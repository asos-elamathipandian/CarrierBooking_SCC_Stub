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BDD16EE7-C2E3-43F8-9959-699CB95CE55F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CARTON_LOOKUP" sheetId="1" state="veryHidden" r:id="rId1"/>
    <sheet name="LISTS_LOOKUP" sheetId="2" state="veryHidden" r:id="rId2"/>
    <sheet name="BOOKING_HEADER" sheetId="3" r:id="rId3"/>
    <sheet name="SKU_LINES" sheetId="4" r:id="rId4"/>
    <sheet name="FACTORY_LOOKUP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1" i="4" l="1"/>
  <c r="J211" i="4"/>
  <c r="K211" i="4" s="1"/>
  <c r="I211" i="4"/>
  <c r="H211" i="4"/>
  <c r="G211" i="4"/>
  <c r="M211" i="4" s="1"/>
  <c r="L210" i="4"/>
  <c r="J210" i="4"/>
  <c r="K210" i="4" s="1"/>
  <c r="I210" i="4"/>
  <c r="H210" i="4"/>
  <c r="G210" i="4"/>
  <c r="M210" i="4" s="1"/>
  <c r="L209" i="4"/>
  <c r="J209" i="4"/>
  <c r="K209" i="4" s="1"/>
  <c r="I209" i="4"/>
  <c r="H209" i="4"/>
  <c r="G209" i="4"/>
  <c r="M209" i="4" s="1"/>
  <c r="M208" i="4"/>
  <c r="L208" i="4"/>
  <c r="J208" i="4"/>
  <c r="K208" i="4" s="1"/>
  <c r="I208" i="4"/>
  <c r="H208" i="4"/>
  <c r="G208" i="4"/>
  <c r="M207" i="4"/>
  <c r="L207" i="4"/>
  <c r="K207" i="4"/>
  <c r="J207" i="4"/>
  <c r="I207" i="4"/>
  <c r="H207" i="4"/>
  <c r="G207" i="4"/>
  <c r="M206" i="4"/>
  <c r="L206" i="4"/>
  <c r="K206" i="4"/>
  <c r="J206" i="4"/>
  <c r="I206" i="4"/>
  <c r="H206" i="4"/>
  <c r="G206" i="4"/>
  <c r="M205" i="4"/>
  <c r="L205" i="4"/>
  <c r="J205" i="4"/>
  <c r="K205" i="4" s="1"/>
  <c r="I205" i="4"/>
  <c r="H205" i="4"/>
  <c r="G205" i="4"/>
  <c r="L204" i="4"/>
  <c r="J204" i="4"/>
  <c r="K204" i="4" s="1"/>
  <c r="I204" i="4"/>
  <c r="M204" i="4" s="1"/>
  <c r="H204" i="4"/>
  <c r="G204" i="4"/>
  <c r="L203" i="4"/>
  <c r="J203" i="4"/>
  <c r="K203" i="4" s="1"/>
  <c r="I203" i="4"/>
  <c r="H203" i="4"/>
  <c r="M203" i="4" s="1"/>
  <c r="G203" i="4"/>
  <c r="L202" i="4"/>
  <c r="J202" i="4"/>
  <c r="K202" i="4" s="1"/>
  <c r="I202" i="4"/>
  <c r="H202" i="4"/>
  <c r="G202" i="4"/>
  <c r="M202" i="4" s="1"/>
  <c r="L201" i="4"/>
  <c r="K201" i="4"/>
  <c r="J201" i="4"/>
  <c r="I201" i="4"/>
  <c r="H201" i="4"/>
  <c r="G201" i="4"/>
  <c r="M201" i="4" s="1"/>
  <c r="M200" i="4"/>
  <c r="L200" i="4"/>
  <c r="J200" i="4"/>
  <c r="K200" i="4" s="1"/>
  <c r="I200" i="4"/>
  <c r="H200" i="4"/>
  <c r="G200" i="4"/>
  <c r="M199" i="4"/>
  <c r="L199" i="4"/>
  <c r="J199" i="4"/>
  <c r="K199" i="4" s="1"/>
  <c r="I199" i="4"/>
  <c r="H199" i="4"/>
  <c r="G199" i="4"/>
  <c r="M198" i="4"/>
  <c r="L198" i="4"/>
  <c r="K198" i="4"/>
  <c r="J198" i="4"/>
  <c r="I198" i="4"/>
  <c r="H198" i="4"/>
  <c r="G198" i="4"/>
  <c r="M197" i="4"/>
  <c r="L197" i="4"/>
  <c r="J197" i="4"/>
  <c r="K197" i="4" s="1"/>
  <c r="I197" i="4"/>
  <c r="H197" i="4"/>
  <c r="G197" i="4"/>
  <c r="L196" i="4"/>
  <c r="J196" i="4"/>
  <c r="K196" i="4" s="1"/>
  <c r="I196" i="4"/>
  <c r="M196" i="4" s="1"/>
  <c r="H196" i="4"/>
  <c r="G196" i="4"/>
  <c r="L195" i="4"/>
  <c r="J195" i="4"/>
  <c r="K195" i="4" s="1"/>
  <c r="I195" i="4"/>
  <c r="H195" i="4"/>
  <c r="M195" i="4" s="1"/>
  <c r="G195" i="4"/>
  <c r="L194" i="4"/>
  <c r="J194" i="4"/>
  <c r="K194" i="4" s="1"/>
  <c r="I194" i="4"/>
  <c r="H194" i="4"/>
  <c r="G194" i="4"/>
  <c r="M194" i="4" s="1"/>
  <c r="L193" i="4"/>
  <c r="K193" i="4"/>
  <c r="J193" i="4"/>
  <c r="I193" i="4"/>
  <c r="H193" i="4"/>
  <c r="G193" i="4"/>
  <c r="M193" i="4" s="1"/>
  <c r="M192" i="4"/>
  <c r="L192" i="4"/>
  <c r="J192" i="4"/>
  <c r="K192" i="4" s="1"/>
  <c r="I192" i="4"/>
  <c r="H192" i="4"/>
  <c r="G192" i="4"/>
  <c r="M191" i="4"/>
  <c r="L191" i="4"/>
  <c r="J191" i="4"/>
  <c r="K191" i="4" s="1"/>
  <c r="I191" i="4"/>
  <c r="H191" i="4"/>
  <c r="G191" i="4"/>
  <c r="M190" i="4"/>
  <c r="L190" i="4"/>
  <c r="K190" i="4"/>
  <c r="J190" i="4"/>
  <c r="I190" i="4"/>
  <c r="H190" i="4"/>
  <c r="G190" i="4"/>
  <c r="M189" i="4"/>
  <c r="L189" i="4"/>
  <c r="J189" i="4"/>
  <c r="K189" i="4" s="1"/>
  <c r="I189" i="4"/>
  <c r="H189" i="4"/>
  <c r="G189" i="4"/>
  <c r="L188" i="4"/>
  <c r="J188" i="4"/>
  <c r="K188" i="4" s="1"/>
  <c r="I188" i="4"/>
  <c r="M188" i="4" s="1"/>
  <c r="H188" i="4"/>
  <c r="G188" i="4"/>
  <c r="L187" i="4"/>
  <c r="J187" i="4"/>
  <c r="K187" i="4" s="1"/>
  <c r="I187" i="4"/>
  <c r="H187" i="4"/>
  <c r="M187" i="4" s="1"/>
  <c r="G187" i="4"/>
  <c r="L186" i="4"/>
  <c r="J186" i="4"/>
  <c r="K186" i="4" s="1"/>
  <c r="I186" i="4"/>
  <c r="H186" i="4"/>
  <c r="G186" i="4"/>
  <c r="M186" i="4" s="1"/>
  <c r="L185" i="4"/>
  <c r="K185" i="4"/>
  <c r="J185" i="4"/>
  <c r="I185" i="4"/>
  <c r="H185" i="4"/>
  <c r="G185" i="4"/>
  <c r="M185" i="4" s="1"/>
  <c r="M184" i="4"/>
  <c r="L184" i="4"/>
  <c r="J184" i="4"/>
  <c r="K184" i="4" s="1"/>
  <c r="I184" i="4"/>
  <c r="H184" i="4"/>
  <c r="G184" i="4"/>
  <c r="M183" i="4"/>
  <c r="L183" i="4"/>
  <c r="J183" i="4"/>
  <c r="K183" i="4" s="1"/>
  <c r="I183" i="4"/>
  <c r="H183" i="4"/>
  <c r="G183" i="4"/>
  <c r="M182" i="4"/>
  <c r="L182" i="4"/>
  <c r="K182" i="4"/>
  <c r="J182" i="4"/>
  <c r="I182" i="4"/>
  <c r="H182" i="4"/>
  <c r="G182" i="4"/>
  <c r="M181" i="4"/>
  <c r="L181" i="4"/>
  <c r="J181" i="4"/>
  <c r="K181" i="4" s="1"/>
  <c r="I181" i="4"/>
  <c r="H181" i="4"/>
  <c r="G181" i="4"/>
  <c r="L180" i="4"/>
  <c r="J180" i="4"/>
  <c r="K180" i="4" s="1"/>
  <c r="I180" i="4"/>
  <c r="M180" i="4" s="1"/>
  <c r="H180" i="4"/>
  <c r="G180" i="4"/>
  <c r="L179" i="4"/>
  <c r="J179" i="4"/>
  <c r="K179" i="4" s="1"/>
  <c r="I179" i="4"/>
  <c r="H179" i="4"/>
  <c r="M179" i="4" s="1"/>
  <c r="G179" i="4"/>
  <c r="L178" i="4"/>
  <c r="J178" i="4"/>
  <c r="K178" i="4" s="1"/>
  <c r="I178" i="4"/>
  <c r="H178" i="4"/>
  <c r="G178" i="4"/>
  <c r="M178" i="4" s="1"/>
  <c r="L177" i="4"/>
  <c r="K177" i="4"/>
  <c r="J177" i="4"/>
  <c r="I177" i="4"/>
  <c r="H177" i="4"/>
  <c r="G177" i="4"/>
  <c r="M177" i="4" s="1"/>
  <c r="M176" i="4"/>
  <c r="L176" i="4"/>
  <c r="J176" i="4"/>
  <c r="K176" i="4" s="1"/>
  <c r="I176" i="4"/>
  <c r="H176" i="4"/>
  <c r="G176" i="4"/>
  <c r="M175" i="4"/>
  <c r="L175" i="4"/>
  <c r="J175" i="4"/>
  <c r="K175" i="4" s="1"/>
  <c r="I175" i="4"/>
  <c r="H175" i="4"/>
  <c r="G175" i="4"/>
  <c r="M174" i="4"/>
  <c r="L174" i="4"/>
  <c r="K174" i="4"/>
  <c r="J174" i="4"/>
  <c r="I174" i="4"/>
  <c r="H174" i="4"/>
  <c r="G174" i="4"/>
  <c r="M173" i="4"/>
  <c r="L173" i="4"/>
  <c r="J173" i="4"/>
  <c r="K173" i="4" s="1"/>
  <c r="I173" i="4"/>
  <c r="H173" i="4"/>
  <c r="G173" i="4"/>
  <c r="L172" i="4"/>
  <c r="J172" i="4"/>
  <c r="K172" i="4" s="1"/>
  <c r="I172" i="4"/>
  <c r="M172" i="4" s="1"/>
  <c r="H172" i="4"/>
  <c r="G172" i="4"/>
  <c r="L171" i="4"/>
  <c r="J171" i="4"/>
  <c r="K171" i="4" s="1"/>
  <c r="I171" i="4"/>
  <c r="H171" i="4"/>
  <c r="M171" i="4" s="1"/>
  <c r="G171" i="4"/>
  <c r="L170" i="4"/>
  <c r="J170" i="4"/>
  <c r="K170" i="4" s="1"/>
  <c r="I170" i="4"/>
  <c r="H170" i="4"/>
  <c r="G170" i="4"/>
  <c r="M170" i="4" s="1"/>
  <c r="L169" i="4"/>
  <c r="K169" i="4"/>
  <c r="J169" i="4"/>
  <c r="I169" i="4"/>
  <c r="H169" i="4"/>
  <c r="G169" i="4"/>
  <c r="M169" i="4" s="1"/>
  <c r="M168" i="4"/>
  <c r="L168" i="4"/>
  <c r="J168" i="4"/>
  <c r="K168" i="4" s="1"/>
  <c r="I168" i="4"/>
  <c r="H168" i="4"/>
  <c r="G168" i="4"/>
  <c r="M167" i="4"/>
  <c r="L167" i="4"/>
  <c r="J167" i="4"/>
  <c r="K167" i="4" s="1"/>
  <c r="I167" i="4"/>
  <c r="H167" i="4"/>
  <c r="G167" i="4"/>
  <c r="M166" i="4"/>
  <c r="L166" i="4"/>
  <c r="K166" i="4"/>
  <c r="J166" i="4"/>
  <c r="I166" i="4"/>
  <c r="H166" i="4"/>
  <c r="G166" i="4"/>
  <c r="M165" i="4"/>
  <c r="L165" i="4"/>
  <c r="J165" i="4"/>
  <c r="K165" i="4" s="1"/>
  <c r="I165" i="4"/>
  <c r="H165" i="4"/>
  <c r="G165" i="4"/>
  <c r="L164" i="4"/>
  <c r="J164" i="4"/>
  <c r="K164" i="4" s="1"/>
  <c r="I164" i="4"/>
  <c r="M164" i="4" s="1"/>
  <c r="H164" i="4"/>
  <c r="G164" i="4"/>
  <c r="L163" i="4"/>
  <c r="J163" i="4"/>
  <c r="K163" i="4" s="1"/>
  <c r="I163" i="4"/>
  <c r="H163" i="4"/>
  <c r="M163" i="4" s="1"/>
  <c r="G163" i="4"/>
  <c r="L162" i="4"/>
  <c r="J162" i="4"/>
  <c r="K162" i="4" s="1"/>
  <c r="I162" i="4"/>
  <c r="H162" i="4"/>
  <c r="G162" i="4"/>
  <c r="M162" i="4" s="1"/>
  <c r="L161" i="4"/>
  <c r="K161" i="4"/>
  <c r="J161" i="4"/>
  <c r="I161" i="4"/>
  <c r="H161" i="4"/>
  <c r="G161" i="4"/>
  <c r="M161" i="4" s="1"/>
  <c r="M160" i="4"/>
  <c r="L160" i="4"/>
  <c r="J160" i="4"/>
  <c r="K160" i="4" s="1"/>
  <c r="I160" i="4"/>
  <c r="H160" i="4"/>
  <c r="G160" i="4"/>
  <c r="M159" i="4"/>
  <c r="L159" i="4"/>
  <c r="J159" i="4"/>
  <c r="K159" i="4" s="1"/>
  <c r="I159" i="4"/>
  <c r="H159" i="4"/>
  <c r="G159" i="4"/>
  <c r="M158" i="4"/>
  <c r="L158" i="4"/>
  <c r="K158" i="4"/>
  <c r="J158" i="4"/>
  <c r="I158" i="4"/>
  <c r="H158" i="4"/>
  <c r="G158" i="4"/>
  <c r="M157" i="4"/>
  <c r="L157" i="4"/>
  <c r="J157" i="4"/>
  <c r="K157" i="4" s="1"/>
  <c r="I157" i="4"/>
  <c r="H157" i="4"/>
  <c r="G157" i="4"/>
  <c r="L156" i="4"/>
  <c r="J156" i="4"/>
  <c r="K156" i="4" s="1"/>
  <c r="I156" i="4"/>
  <c r="H156" i="4"/>
  <c r="G156" i="4"/>
  <c r="M156" i="4" s="1"/>
  <c r="L155" i="4"/>
  <c r="J155" i="4"/>
  <c r="K155" i="4" s="1"/>
  <c r="I155" i="4"/>
  <c r="H155" i="4"/>
  <c r="M155" i="4" s="1"/>
  <c r="G155" i="4"/>
  <c r="L154" i="4"/>
  <c r="J154" i="4"/>
  <c r="K154" i="4" s="1"/>
  <c r="I154" i="4"/>
  <c r="H154" i="4"/>
  <c r="G154" i="4"/>
  <c r="M154" i="4" s="1"/>
  <c r="L153" i="4"/>
  <c r="K153" i="4"/>
  <c r="J153" i="4"/>
  <c r="I153" i="4"/>
  <c r="H153" i="4"/>
  <c r="G153" i="4"/>
  <c r="M153" i="4" s="1"/>
  <c r="M152" i="4"/>
  <c r="L152" i="4"/>
  <c r="J152" i="4"/>
  <c r="K152" i="4" s="1"/>
  <c r="I152" i="4"/>
  <c r="H152" i="4"/>
  <c r="G152" i="4"/>
  <c r="M151" i="4"/>
  <c r="L151" i="4"/>
  <c r="J151" i="4"/>
  <c r="K151" i="4" s="1"/>
  <c r="I151" i="4"/>
  <c r="H151" i="4"/>
  <c r="G151" i="4"/>
  <c r="M150" i="4"/>
  <c r="L150" i="4"/>
  <c r="K150" i="4"/>
  <c r="J150" i="4"/>
  <c r="I150" i="4"/>
  <c r="H150" i="4"/>
  <c r="G150" i="4"/>
  <c r="M149" i="4"/>
  <c r="L149" i="4"/>
  <c r="J149" i="4"/>
  <c r="K149" i="4" s="1"/>
  <c r="I149" i="4"/>
  <c r="H149" i="4"/>
  <c r="G149" i="4"/>
  <c r="L148" i="4"/>
  <c r="J148" i="4"/>
  <c r="K148" i="4" s="1"/>
  <c r="I148" i="4"/>
  <c r="H148" i="4"/>
  <c r="G148" i="4"/>
  <c r="M148" i="4" s="1"/>
  <c r="L147" i="4"/>
  <c r="J147" i="4"/>
  <c r="K147" i="4" s="1"/>
  <c r="I147" i="4"/>
  <c r="H147" i="4"/>
  <c r="M147" i="4" s="1"/>
  <c r="G147" i="4"/>
  <c r="L146" i="4"/>
  <c r="J146" i="4"/>
  <c r="K146" i="4" s="1"/>
  <c r="I146" i="4"/>
  <c r="H146" i="4"/>
  <c r="G146" i="4"/>
  <c r="M146" i="4" s="1"/>
  <c r="L145" i="4"/>
  <c r="K145" i="4"/>
  <c r="J145" i="4"/>
  <c r="I145" i="4"/>
  <c r="H145" i="4"/>
  <c r="G145" i="4"/>
  <c r="M145" i="4" s="1"/>
  <c r="M144" i="4"/>
  <c r="L144" i="4"/>
  <c r="J144" i="4"/>
  <c r="K144" i="4" s="1"/>
  <c r="I144" i="4"/>
  <c r="H144" i="4"/>
  <c r="G144" i="4"/>
  <c r="M143" i="4"/>
  <c r="L143" i="4"/>
  <c r="J143" i="4"/>
  <c r="K143" i="4" s="1"/>
  <c r="I143" i="4"/>
  <c r="H143" i="4"/>
  <c r="G143" i="4"/>
  <c r="M142" i="4"/>
  <c r="L142" i="4"/>
  <c r="K142" i="4"/>
  <c r="J142" i="4"/>
  <c r="I142" i="4"/>
  <c r="H142" i="4"/>
  <c r="G142" i="4"/>
  <c r="M141" i="4"/>
  <c r="L141" i="4"/>
  <c r="J141" i="4"/>
  <c r="K141" i="4" s="1"/>
  <c r="I141" i="4"/>
  <c r="H141" i="4"/>
  <c r="G141" i="4"/>
  <c r="L140" i="4"/>
  <c r="J140" i="4"/>
  <c r="K140" i="4" s="1"/>
  <c r="I140" i="4"/>
  <c r="H140" i="4"/>
  <c r="G140" i="4"/>
  <c r="M140" i="4" s="1"/>
  <c r="L139" i="4"/>
  <c r="J139" i="4"/>
  <c r="K139" i="4" s="1"/>
  <c r="I139" i="4"/>
  <c r="H139" i="4"/>
  <c r="M139" i="4" s="1"/>
  <c r="G139" i="4"/>
  <c r="L138" i="4"/>
  <c r="J138" i="4"/>
  <c r="K138" i="4" s="1"/>
  <c r="I138" i="4"/>
  <c r="H138" i="4"/>
  <c r="G138" i="4"/>
  <c r="M138" i="4" s="1"/>
  <c r="L137" i="4"/>
  <c r="K137" i="4"/>
  <c r="J137" i="4"/>
  <c r="I137" i="4"/>
  <c r="H137" i="4"/>
  <c r="G137" i="4"/>
  <c r="M137" i="4" s="1"/>
  <c r="M136" i="4"/>
  <c r="L136" i="4"/>
  <c r="J136" i="4"/>
  <c r="K136" i="4" s="1"/>
  <c r="I136" i="4"/>
  <c r="H136" i="4"/>
  <c r="G136" i="4"/>
  <c r="M135" i="4"/>
  <c r="L135" i="4"/>
  <c r="J135" i="4"/>
  <c r="K135" i="4" s="1"/>
  <c r="I135" i="4"/>
  <c r="H135" i="4"/>
  <c r="G135" i="4"/>
  <c r="M134" i="4"/>
  <c r="L134" i="4"/>
  <c r="K134" i="4"/>
  <c r="J134" i="4"/>
  <c r="I134" i="4"/>
  <c r="H134" i="4"/>
  <c r="G134" i="4"/>
  <c r="M133" i="4"/>
  <c r="L133" i="4"/>
  <c r="J133" i="4"/>
  <c r="K133" i="4" s="1"/>
  <c r="I133" i="4"/>
  <c r="H133" i="4"/>
  <c r="G133" i="4"/>
  <c r="L132" i="4"/>
  <c r="J132" i="4"/>
  <c r="K132" i="4" s="1"/>
  <c r="I132" i="4"/>
  <c r="H132" i="4"/>
  <c r="G132" i="4"/>
  <c r="M132" i="4" s="1"/>
  <c r="L131" i="4"/>
  <c r="J131" i="4"/>
  <c r="K131" i="4" s="1"/>
  <c r="I131" i="4"/>
  <c r="H131" i="4"/>
  <c r="M131" i="4" s="1"/>
  <c r="G131" i="4"/>
  <c r="L130" i="4"/>
  <c r="J130" i="4"/>
  <c r="K130" i="4" s="1"/>
  <c r="I130" i="4"/>
  <c r="H130" i="4"/>
  <c r="G130" i="4"/>
  <c r="M130" i="4" s="1"/>
  <c r="L129" i="4"/>
  <c r="K129" i="4"/>
  <c r="J129" i="4"/>
  <c r="I129" i="4"/>
  <c r="H129" i="4"/>
  <c r="G129" i="4"/>
  <c r="M129" i="4" s="1"/>
  <c r="M128" i="4"/>
  <c r="L128" i="4"/>
  <c r="J128" i="4"/>
  <c r="K128" i="4" s="1"/>
  <c r="I128" i="4"/>
  <c r="H128" i="4"/>
  <c r="G128" i="4"/>
  <c r="M127" i="4"/>
  <c r="L127" i="4"/>
  <c r="J127" i="4"/>
  <c r="K127" i="4" s="1"/>
  <c r="I127" i="4"/>
  <c r="H127" i="4"/>
  <c r="G127" i="4"/>
  <c r="M126" i="4"/>
  <c r="L126" i="4"/>
  <c r="K126" i="4"/>
  <c r="J126" i="4"/>
  <c r="I126" i="4"/>
  <c r="H126" i="4"/>
  <c r="G126" i="4"/>
  <c r="M125" i="4"/>
  <c r="L125" i="4"/>
  <c r="J125" i="4"/>
  <c r="K125" i="4" s="1"/>
  <c r="I125" i="4"/>
  <c r="H125" i="4"/>
  <c r="G125" i="4"/>
  <c r="L124" i="4"/>
  <c r="J124" i="4"/>
  <c r="K124" i="4" s="1"/>
  <c r="I124" i="4"/>
  <c r="H124" i="4"/>
  <c r="G124" i="4"/>
  <c r="M124" i="4" s="1"/>
  <c r="L123" i="4"/>
  <c r="J123" i="4"/>
  <c r="K123" i="4" s="1"/>
  <c r="I123" i="4"/>
  <c r="H123" i="4"/>
  <c r="M123" i="4" s="1"/>
  <c r="G123" i="4"/>
  <c r="L122" i="4"/>
  <c r="J122" i="4"/>
  <c r="K122" i="4" s="1"/>
  <c r="I122" i="4"/>
  <c r="H122" i="4"/>
  <c r="G122" i="4"/>
  <c r="M122" i="4" s="1"/>
  <c r="L121" i="4"/>
  <c r="K121" i="4"/>
  <c r="J121" i="4"/>
  <c r="I121" i="4"/>
  <c r="H121" i="4"/>
  <c r="G121" i="4"/>
  <c r="M121" i="4" s="1"/>
  <c r="M120" i="4"/>
  <c r="L120" i="4"/>
  <c r="J120" i="4"/>
  <c r="K120" i="4" s="1"/>
  <c r="I120" i="4"/>
  <c r="H120" i="4"/>
  <c r="G120" i="4"/>
  <c r="M119" i="4"/>
  <c r="L119" i="4"/>
  <c r="J119" i="4"/>
  <c r="K119" i="4" s="1"/>
  <c r="I119" i="4"/>
  <c r="H119" i="4"/>
  <c r="G119" i="4"/>
  <c r="M118" i="4"/>
  <c r="L118" i="4"/>
  <c r="K118" i="4"/>
  <c r="J118" i="4"/>
  <c r="I118" i="4"/>
  <c r="H118" i="4"/>
  <c r="G118" i="4"/>
  <c r="M117" i="4"/>
  <c r="L117" i="4"/>
  <c r="J117" i="4"/>
  <c r="K117" i="4" s="1"/>
  <c r="I117" i="4"/>
  <c r="H117" i="4"/>
  <c r="G117" i="4"/>
  <c r="L116" i="4"/>
  <c r="J116" i="4"/>
  <c r="K116" i="4" s="1"/>
  <c r="I116" i="4"/>
  <c r="H116" i="4"/>
  <c r="G116" i="4"/>
  <c r="M116" i="4" s="1"/>
  <c r="L115" i="4"/>
  <c r="J115" i="4"/>
  <c r="K115" i="4" s="1"/>
  <c r="I115" i="4"/>
  <c r="H115" i="4"/>
  <c r="M115" i="4" s="1"/>
  <c r="G115" i="4"/>
  <c r="L114" i="4"/>
  <c r="J114" i="4"/>
  <c r="K114" i="4" s="1"/>
  <c r="I114" i="4"/>
  <c r="H114" i="4"/>
  <c r="G114" i="4"/>
  <c r="M114" i="4" s="1"/>
  <c r="L113" i="4"/>
  <c r="K113" i="4"/>
  <c r="J113" i="4"/>
  <c r="I113" i="4"/>
  <c r="H113" i="4"/>
  <c r="G113" i="4"/>
  <c r="M113" i="4" s="1"/>
  <c r="M112" i="4"/>
  <c r="L112" i="4"/>
  <c r="J112" i="4"/>
  <c r="K112" i="4" s="1"/>
  <c r="I112" i="4"/>
  <c r="H112" i="4"/>
  <c r="G112" i="4"/>
  <c r="M111" i="4"/>
  <c r="L111" i="4"/>
  <c r="J111" i="4"/>
  <c r="K111" i="4" s="1"/>
  <c r="I111" i="4"/>
  <c r="H111" i="4"/>
  <c r="G111" i="4"/>
  <c r="M110" i="4"/>
  <c r="L110" i="4"/>
  <c r="K110" i="4"/>
  <c r="J110" i="4"/>
  <c r="I110" i="4"/>
  <c r="H110" i="4"/>
  <c r="G110" i="4"/>
  <c r="M109" i="4"/>
  <c r="L109" i="4"/>
  <c r="J109" i="4"/>
  <c r="K109" i="4" s="1"/>
  <c r="I109" i="4"/>
  <c r="H109" i="4"/>
  <c r="G109" i="4"/>
  <c r="L108" i="4"/>
  <c r="J108" i="4"/>
  <c r="K108" i="4" s="1"/>
  <c r="I108" i="4"/>
  <c r="H108" i="4"/>
  <c r="G108" i="4"/>
  <c r="M108" i="4" s="1"/>
  <c r="L107" i="4"/>
  <c r="J107" i="4"/>
  <c r="K107" i="4" s="1"/>
  <c r="I107" i="4"/>
  <c r="H107" i="4"/>
  <c r="M107" i="4" s="1"/>
  <c r="G107" i="4"/>
  <c r="L106" i="4"/>
  <c r="J106" i="4"/>
  <c r="K106" i="4" s="1"/>
  <c r="I106" i="4"/>
  <c r="H106" i="4"/>
  <c r="G106" i="4"/>
  <c r="M106" i="4" s="1"/>
  <c r="L105" i="4"/>
  <c r="K105" i="4"/>
  <c r="J105" i="4"/>
  <c r="I105" i="4"/>
  <c r="H105" i="4"/>
  <c r="G105" i="4"/>
  <c r="M105" i="4" s="1"/>
  <c r="M104" i="4"/>
  <c r="L104" i="4"/>
  <c r="J104" i="4"/>
  <c r="K104" i="4" s="1"/>
  <c r="I104" i="4"/>
  <c r="H104" i="4"/>
  <c r="G104" i="4"/>
  <c r="M103" i="4"/>
  <c r="L103" i="4"/>
  <c r="J103" i="4"/>
  <c r="K103" i="4" s="1"/>
  <c r="I103" i="4"/>
  <c r="H103" i="4"/>
  <c r="G103" i="4"/>
  <c r="M102" i="4"/>
  <c r="L102" i="4"/>
  <c r="K102" i="4"/>
  <c r="J102" i="4"/>
  <c r="I102" i="4"/>
  <c r="H102" i="4"/>
  <c r="G102" i="4"/>
  <c r="M101" i="4"/>
  <c r="L101" i="4"/>
  <c r="J101" i="4"/>
  <c r="K101" i="4" s="1"/>
  <c r="I101" i="4"/>
  <c r="H101" i="4"/>
  <c r="G101" i="4"/>
  <c r="L100" i="4"/>
  <c r="J100" i="4"/>
  <c r="K100" i="4" s="1"/>
  <c r="I100" i="4"/>
  <c r="H100" i="4"/>
  <c r="G100" i="4"/>
  <c r="M100" i="4" s="1"/>
  <c r="L99" i="4"/>
  <c r="J99" i="4"/>
  <c r="K99" i="4" s="1"/>
  <c r="I99" i="4"/>
  <c r="H99" i="4"/>
  <c r="M99" i="4" s="1"/>
  <c r="G99" i="4"/>
  <c r="L98" i="4"/>
  <c r="J98" i="4"/>
  <c r="K98" i="4" s="1"/>
  <c r="I98" i="4"/>
  <c r="H98" i="4"/>
  <c r="G98" i="4"/>
  <c r="M98" i="4" s="1"/>
  <c r="L97" i="4"/>
  <c r="K97" i="4"/>
  <c r="J97" i="4"/>
  <c r="I97" i="4"/>
  <c r="H97" i="4"/>
  <c r="G97" i="4"/>
  <c r="M97" i="4" s="1"/>
  <c r="M96" i="4"/>
  <c r="L96" i="4"/>
  <c r="J96" i="4"/>
  <c r="K96" i="4" s="1"/>
  <c r="I96" i="4"/>
  <c r="H96" i="4"/>
  <c r="G96" i="4"/>
  <c r="M95" i="4"/>
  <c r="L95" i="4"/>
  <c r="K95" i="4"/>
  <c r="J95" i="4"/>
  <c r="I95" i="4"/>
  <c r="H95" i="4"/>
  <c r="G95" i="4"/>
  <c r="M94" i="4"/>
  <c r="L94" i="4"/>
  <c r="K94" i="4"/>
  <c r="J94" i="4"/>
  <c r="I94" i="4"/>
  <c r="H94" i="4"/>
  <c r="G94" i="4"/>
  <c r="M93" i="4"/>
  <c r="L93" i="4"/>
  <c r="J93" i="4"/>
  <c r="K93" i="4" s="1"/>
  <c r="I93" i="4"/>
  <c r="H93" i="4"/>
  <c r="G93" i="4"/>
  <c r="L92" i="4"/>
  <c r="J92" i="4"/>
  <c r="K92" i="4" s="1"/>
  <c r="I92" i="4"/>
  <c r="H92" i="4"/>
  <c r="G92" i="4"/>
  <c r="M92" i="4" s="1"/>
  <c r="L91" i="4"/>
  <c r="J91" i="4"/>
  <c r="K91" i="4" s="1"/>
  <c r="I91" i="4"/>
  <c r="H91" i="4"/>
  <c r="M91" i="4" s="1"/>
  <c r="G91" i="4"/>
  <c r="L90" i="4"/>
  <c r="J90" i="4"/>
  <c r="K90" i="4" s="1"/>
  <c r="I90" i="4"/>
  <c r="H90" i="4"/>
  <c r="G90" i="4"/>
  <c r="M90" i="4" s="1"/>
  <c r="L89" i="4"/>
  <c r="K89" i="4"/>
  <c r="J89" i="4"/>
  <c r="I89" i="4"/>
  <c r="H89" i="4"/>
  <c r="G89" i="4"/>
  <c r="M89" i="4" s="1"/>
  <c r="M88" i="4"/>
  <c r="L88" i="4"/>
  <c r="J88" i="4"/>
  <c r="K88" i="4" s="1"/>
  <c r="I88" i="4"/>
  <c r="H88" i="4"/>
  <c r="G88" i="4"/>
  <c r="M87" i="4"/>
  <c r="L87" i="4"/>
  <c r="K87" i="4"/>
  <c r="J87" i="4"/>
  <c r="I87" i="4"/>
  <c r="H87" i="4"/>
  <c r="G87" i="4"/>
  <c r="M86" i="4"/>
  <c r="L86" i="4"/>
  <c r="K86" i="4"/>
  <c r="J86" i="4"/>
  <c r="I86" i="4"/>
  <c r="H86" i="4"/>
  <c r="G86" i="4"/>
  <c r="M85" i="4"/>
  <c r="L85" i="4"/>
  <c r="J85" i="4"/>
  <c r="K85" i="4" s="1"/>
  <c r="I85" i="4"/>
  <c r="H85" i="4"/>
  <c r="G85" i="4"/>
  <c r="L84" i="4"/>
  <c r="J84" i="4"/>
  <c r="K84" i="4" s="1"/>
  <c r="I84" i="4"/>
  <c r="H84" i="4"/>
  <c r="G84" i="4"/>
  <c r="M84" i="4" s="1"/>
  <c r="L83" i="4"/>
  <c r="J83" i="4"/>
  <c r="K83" i="4" s="1"/>
  <c r="I83" i="4"/>
  <c r="H83" i="4"/>
  <c r="M83" i="4" s="1"/>
  <c r="G83" i="4"/>
  <c r="L82" i="4"/>
  <c r="J82" i="4"/>
  <c r="K82" i="4" s="1"/>
  <c r="I82" i="4"/>
  <c r="H82" i="4"/>
  <c r="G82" i="4"/>
  <c r="M82" i="4" s="1"/>
  <c r="L81" i="4"/>
  <c r="K81" i="4"/>
  <c r="J81" i="4"/>
  <c r="I81" i="4"/>
  <c r="H81" i="4"/>
  <c r="G81" i="4"/>
  <c r="M81" i="4" s="1"/>
  <c r="M80" i="4"/>
  <c r="L80" i="4"/>
  <c r="J80" i="4"/>
  <c r="K80" i="4" s="1"/>
  <c r="I80" i="4"/>
  <c r="H80" i="4"/>
  <c r="G80" i="4"/>
  <c r="M79" i="4"/>
  <c r="L79" i="4"/>
  <c r="K79" i="4"/>
  <c r="J79" i="4"/>
  <c r="I79" i="4"/>
  <c r="H79" i="4"/>
  <c r="G79" i="4"/>
  <c r="M78" i="4"/>
  <c r="L78" i="4"/>
  <c r="K78" i="4"/>
  <c r="J78" i="4"/>
  <c r="I78" i="4"/>
  <c r="H78" i="4"/>
  <c r="G78" i="4"/>
  <c r="M77" i="4"/>
  <c r="L77" i="4"/>
  <c r="J77" i="4"/>
  <c r="K77" i="4" s="1"/>
  <c r="I77" i="4"/>
  <c r="H77" i="4"/>
  <c r="G77" i="4"/>
  <c r="L76" i="4"/>
  <c r="J76" i="4"/>
  <c r="K76" i="4" s="1"/>
  <c r="I76" i="4"/>
  <c r="H76" i="4"/>
  <c r="G76" i="4"/>
  <c r="M76" i="4" s="1"/>
  <c r="L75" i="4"/>
  <c r="J75" i="4"/>
  <c r="K75" i="4" s="1"/>
  <c r="I75" i="4"/>
  <c r="H75" i="4"/>
  <c r="M75" i="4" s="1"/>
  <c r="G75" i="4"/>
  <c r="L74" i="4"/>
  <c r="J74" i="4"/>
  <c r="K74" i="4" s="1"/>
  <c r="I74" i="4"/>
  <c r="H74" i="4"/>
  <c r="G74" i="4"/>
  <c r="M74" i="4" s="1"/>
  <c r="L73" i="4"/>
  <c r="K73" i="4"/>
  <c r="J73" i="4"/>
  <c r="I73" i="4"/>
  <c r="H73" i="4"/>
  <c r="G73" i="4"/>
  <c r="M73" i="4" s="1"/>
  <c r="M72" i="4"/>
  <c r="L72" i="4"/>
  <c r="J72" i="4"/>
  <c r="K72" i="4" s="1"/>
  <c r="I72" i="4"/>
  <c r="H72" i="4"/>
  <c r="G72" i="4"/>
  <c r="M71" i="4"/>
  <c r="L71" i="4"/>
  <c r="K71" i="4"/>
  <c r="J71" i="4"/>
  <c r="I71" i="4"/>
  <c r="H71" i="4"/>
  <c r="G71" i="4"/>
  <c r="M70" i="4"/>
  <c r="L70" i="4"/>
  <c r="K70" i="4"/>
  <c r="J70" i="4"/>
  <c r="I70" i="4"/>
  <c r="H70" i="4"/>
  <c r="G70" i="4"/>
  <c r="M69" i="4"/>
  <c r="L69" i="4"/>
  <c r="J69" i="4"/>
  <c r="K69" i="4" s="1"/>
  <c r="I69" i="4"/>
  <c r="H69" i="4"/>
  <c r="G69" i="4"/>
  <c r="L68" i="4"/>
  <c r="J68" i="4"/>
  <c r="K68" i="4" s="1"/>
  <c r="I68" i="4"/>
  <c r="H68" i="4"/>
  <c r="G68" i="4"/>
  <c r="M68" i="4" s="1"/>
  <c r="L67" i="4"/>
  <c r="J67" i="4"/>
  <c r="K67" i="4" s="1"/>
  <c r="I67" i="4"/>
  <c r="H67" i="4"/>
  <c r="M67" i="4" s="1"/>
  <c r="G67" i="4"/>
  <c r="L66" i="4"/>
  <c r="J66" i="4"/>
  <c r="K66" i="4" s="1"/>
  <c r="I66" i="4"/>
  <c r="H66" i="4"/>
  <c r="G66" i="4"/>
  <c r="M66" i="4" s="1"/>
  <c r="L65" i="4"/>
  <c r="K65" i="4"/>
  <c r="J65" i="4"/>
  <c r="I65" i="4"/>
  <c r="H65" i="4"/>
  <c r="G65" i="4"/>
  <c r="M65" i="4" s="1"/>
  <c r="M64" i="4"/>
  <c r="L64" i="4"/>
  <c r="J64" i="4"/>
  <c r="K64" i="4" s="1"/>
  <c r="I64" i="4"/>
  <c r="H64" i="4"/>
  <c r="G64" i="4"/>
  <c r="M63" i="4"/>
  <c r="L63" i="4"/>
  <c r="K63" i="4"/>
  <c r="J63" i="4"/>
  <c r="I63" i="4"/>
  <c r="H63" i="4"/>
  <c r="G63" i="4"/>
  <c r="M62" i="4"/>
  <c r="L62" i="4"/>
  <c r="K62" i="4"/>
  <c r="J62" i="4"/>
  <c r="I62" i="4"/>
  <c r="H62" i="4"/>
  <c r="G62" i="4"/>
  <c r="M61" i="4"/>
  <c r="L61" i="4"/>
  <c r="J61" i="4"/>
  <c r="K61" i="4" s="1"/>
  <c r="I61" i="4"/>
  <c r="H61" i="4"/>
  <c r="G61" i="4"/>
  <c r="L60" i="4"/>
  <c r="J60" i="4"/>
  <c r="K60" i="4" s="1"/>
  <c r="I60" i="4"/>
  <c r="H60" i="4"/>
  <c r="G60" i="4"/>
  <c r="M60" i="4" s="1"/>
  <c r="L59" i="4"/>
  <c r="J59" i="4"/>
  <c r="K59" i="4" s="1"/>
  <c r="I59" i="4"/>
  <c r="H59" i="4"/>
  <c r="M59" i="4" s="1"/>
  <c r="G59" i="4"/>
  <c r="L58" i="4"/>
  <c r="J58" i="4"/>
  <c r="K58" i="4" s="1"/>
  <c r="I58" i="4"/>
  <c r="H58" i="4"/>
  <c r="G58" i="4"/>
  <c r="M58" i="4" s="1"/>
  <c r="L57" i="4"/>
  <c r="K57" i="4"/>
  <c r="J57" i="4"/>
  <c r="I57" i="4"/>
  <c r="H57" i="4"/>
  <c r="G57" i="4"/>
  <c r="M57" i="4" s="1"/>
  <c r="M56" i="4"/>
  <c r="L56" i="4"/>
  <c r="J56" i="4"/>
  <c r="K56" i="4" s="1"/>
  <c r="I56" i="4"/>
  <c r="H56" i="4"/>
  <c r="G56" i="4"/>
  <c r="M55" i="4"/>
  <c r="L55" i="4"/>
  <c r="K55" i="4"/>
  <c r="J55" i="4"/>
  <c r="I55" i="4"/>
  <c r="H55" i="4"/>
  <c r="G55" i="4"/>
  <c r="M54" i="4"/>
  <c r="L54" i="4"/>
  <c r="K54" i="4"/>
  <c r="J54" i="4"/>
  <c r="I54" i="4"/>
  <c r="H54" i="4"/>
  <c r="G54" i="4"/>
  <c r="M53" i="4"/>
  <c r="L53" i="4"/>
  <c r="J53" i="4"/>
  <c r="K53" i="4" s="1"/>
  <c r="I53" i="4"/>
  <c r="H53" i="4"/>
  <c r="G53" i="4"/>
  <c r="L52" i="4"/>
  <c r="J52" i="4"/>
  <c r="K52" i="4" s="1"/>
  <c r="I52" i="4"/>
  <c r="H52" i="4"/>
  <c r="G52" i="4"/>
  <c r="M52" i="4" s="1"/>
  <c r="L51" i="4"/>
  <c r="J51" i="4"/>
  <c r="K51" i="4" s="1"/>
  <c r="I51" i="4"/>
  <c r="H51" i="4"/>
  <c r="M51" i="4" s="1"/>
  <c r="G51" i="4"/>
  <c r="L50" i="4"/>
  <c r="J50" i="4"/>
  <c r="K50" i="4" s="1"/>
  <c r="I50" i="4"/>
  <c r="H50" i="4"/>
  <c r="G50" i="4"/>
  <c r="M50" i="4" s="1"/>
  <c r="L49" i="4"/>
  <c r="K49" i="4"/>
  <c r="J49" i="4"/>
  <c r="I49" i="4"/>
  <c r="H49" i="4"/>
  <c r="G49" i="4"/>
  <c r="M49" i="4" s="1"/>
  <c r="M48" i="4"/>
  <c r="L48" i="4"/>
  <c r="J48" i="4"/>
  <c r="K48" i="4" s="1"/>
  <c r="I48" i="4"/>
  <c r="H48" i="4"/>
  <c r="G48" i="4"/>
  <c r="M47" i="4"/>
  <c r="L47" i="4"/>
  <c r="K47" i="4"/>
  <c r="J47" i="4"/>
  <c r="I47" i="4"/>
  <c r="H47" i="4"/>
  <c r="G47" i="4"/>
  <c r="M46" i="4"/>
  <c r="L46" i="4"/>
  <c r="K46" i="4"/>
  <c r="J46" i="4"/>
  <c r="I46" i="4"/>
  <c r="H46" i="4"/>
  <c r="G46" i="4"/>
  <c r="M45" i="4"/>
  <c r="L45" i="4"/>
  <c r="J45" i="4"/>
  <c r="K45" i="4" s="1"/>
  <c r="I45" i="4"/>
  <c r="H45" i="4"/>
  <c r="G45" i="4"/>
  <c r="L44" i="4"/>
  <c r="J44" i="4"/>
  <c r="K44" i="4" s="1"/>
  <c r="I44" i="4"/>
  <c r="H44" i="4"/>
  <c r="G44" i="4"/>
  <c r="M44" i="4" s="1"/>
  <c r="L43" i="4"/>
  <c r="J43" i="4"/>
  <c r="K43" i="4" s="1"/>
  <c r="I43" i="4"/>
  <c r="H43" i="4"/>
  <c r="M43" i="4" s="1"/>
  <c r="G43" i="4"/>
  <c r="L42" i="4"/>
  <c r="J42" i="4"/>
  <c r="K42" i="4" s="1"/>
  <c r="I42" i="4"/>
  <c r="H42" i="4"/>
  <c r="G42" i="4"/>
  <c r="M42" i="4" s="1"/>
  <c r="L41" i="4"/>
  <c r="K41" i="4"/>
  <c r="J41" i="4"/>
  <c r="I41" i="4"/>
  <c r="H41" i="4"/>
  <c r="G41" i="4"/>
  <c r="M41" i="4" s="1"/>
  <c r="M40" i="4"/>
  <c r="L40" i="4"/>
  <c r="J40" i="4"/>
  <c r="K40" i="4" s="1"/>
  <c r="I40" i="4"/>
  <c r="H40" i="4"/>
  <c r="G40" i="4"/>
  <c r="M39" i="4"/>
  <c r="L39" i="4"/>
  <c r="K39" i="4"/>
  <c r="J39" i="4"/>
  <c r="I39" i="4"/>
  <c r="H39" i="4"/>
  <c r="G39" i="4"/>
  <c r="M38" i="4"/>
  <c r="L38" i="4"/>
  <c r="K38" i="4"/>
  <c r="J38" i="4"/>
  <c r="I38" i="4"/>
  <c r="H38" i="4"/>
  <c r="G38" i="4"/>
  <c r="M37" i="4"/>
  <c r="L37" i="4"/>
  <c r="J37" i="4"/>
  <c r="K37" i="4" s="1"/>
  <c r="I37" i="4"/>
  <c r="H37" i="4"/>
  <c r="G37" i="4"/>
  <c r="L36" i="4"/>
  <c r="J36" i="4"/>
  <c r="K36" i="4" s="1"/>
  <c r="I36" i="4"/>
  <c r="H36" i="4"/>
  <c r="G36" i="4"/>
  <c r="M36" i="4" s="1"/>
  <c r="L35" i="4"/>
  <c r="J35" i="4"/>
  <c r="K35" i="4" s="1"/>
  <c r="I35" i="4"/>
  <c r="H35" i="4"/>
  <c r="M35" i="4" s="1"/>
  <c r="G35" i="4"/>
  <c r="L34" i="4"/>
  <c r="J34" i="4"/>
  <c r="K34" i="4" s="1"/>
  <c r="I34" i="4"/>
  <c r="H34" i="4"/>
  <c r="G34" i="4"/>
  <c r="M34" i="4" s="1"/>
  <c r="L33" i="4"/>
  <c r="K33" i="4"/>
  <c r="J33" i="4"/>
  <c r="I33" i="4"/>
  <c r="H33" i="4"/>
  <c r="G33" i="4"/>
  <c r="M33" i="4" s="1"/>
  <c r="M32" i="4"/>
  <c r="L32" i="4"/>
  <c r="J32" i="4"/>
  <c r="K32" i="4" s="1"/>
  <c r="I32" i="4"/>
  <c r="H32" i="4"/>
  <c r="G32" i="4"/>
  <c r="M31" i="4"/>
  <c r="L31" i="4"/>
  <c r="K31" i="4"/>
  <c r="J31" i="4"/>
  <c r="I31" i="4"/>
  <c r="H31" i="4"/>
  <c r="G31" i="4"/>
  <c r="M30" i="4"/>
  <c r="L30" i="4"/>
  <c r="K30" i="4"/>
  <c r="J30" i="4"/>
  <c r="I30" i="4"/>
  <c r="H30" i="4"/>
  <c r="G30" i="4"/>
  <c r="M29" i="4"/>
  <c r="L29" i="4"/>
  <c r="J29" i="4"/>
  <c r="K29" i="4" s="1"/>
  <c r="I29" i="4"/>
  <c r="H29" i="4"/>
  <c r="G29" i="4"/>
  <c r="L28" i="4"/>
  <c r="J28" i="4"/>
  <c r="K28" i="4" s="1"/>
  <c r="I28" i="4"/>
  <c r="H28" i="4"/>
  <c r="G28" i="4"/>
  <c r="M28" i="4" s="1"/>
  <c r="L27" i="4"/>
  <c r="J27" i="4"/>
  <c r="K27" i="4" s="1"/>
  <c r="I27" i="4"/>
  <c r="H27" i="4"/>
  <c r="M27" i="4" s="1"/>
  <c r="G27" i="4"/>
  <c r="L26" i="4"/>
  <c r="J26" i="4"/>
  <c r="K26" i="4" s="1"/>
  <c r="I26" i="4"/>
  <c r="H26" i="4"/>
  <c r="G26" i="4"/>
  <c r="M26" i="4" s="1"/>
  <c r="L25" i="4"/>
  <c r="K25" i="4"/>
  <c r="J25" i="4"/>
  <c r="I25" i="4"/>
  <c r="H25" i="4"/>
  <c r="G25" i="4"/>
  <c r="M25" i="4" s="1"/>
  <c r="M24" i="4"/>
  <c r="L24" i="4"/>
  <c r="J24" i="4"/>
  <c r="K24" i="4" s="1"/>
  <c r="I24" i="4"/>
  <c r="H24" i="4"/>
  <c r="G24" i="4"/>
  <c r="M23" i="4"/>
  <c r="L23" i="4"/>
  <c r="K23" i="4"/>
  <c r="J23" i="4"/>
  <c r="I23" i="4"/>
  <c r="H23" i="4"/>
  <c r="G23" i="4"/>
  <c r="M22" i="4"/>
  <c r="L22" i="4"/>
  <c r="K22" i="4"/>
  <c r="J22" i="4"/>
  <c r="I22" i="4"/>
  <c r="H22" i="4"/>
  <c r="G22" i="4"/>
  <c r="M21" i="4"/>
  <c r="L21" i="4"/>
  <c r="J21" i="4"/>
  <c r="K21" i="4" s="1"/>
  <c r="I21" i="4"/>
  <c r="H21" i="4"/>
  <c r="G21" i="4"/>
  <c r="L20" i="4"/>
  <c r="J20" i="4"/>
  <c r="K20" i="4" s="1"/>
  <c r="I20" i="4"/>
  <c r="H20" i="4"/>
  <c r="G20" i="4"/>
  <c r="M20" i="4" s="1"/>
  <c r="L19" i="4"/>
  <c r="J19" i="4"/>
  <c r="K19" i="4" s="1"/>
  <c r="I19" i="4"/>
  <c r="H19" i="4"/>
  <c r="M19" i="4" s="1"/>
  <c r="G19" i="4"/>
  <c r="L18" i="4"/>
  <c r="J18" i="4"/>
  <c r="K18" i="4" s="1"/>
  <c r="I18" i="4"/>
  <c r="H18" i="4"/>
  <c r="G18" i="4"/>
  <c r="M18" i="4" s="1"/>
  <c r="L17" i="4"/>
  <c r="K17" i="4"/>
  <c r="J17" i="4"/>
  <c r="I17" i="4"/>
  <c r="H17" i="4"/>
  <c r="G17" i="4"/>
  <c r="M17" i="4" s="1"/>
  <c r="M16" i="4"/>
  <c r="L16" i="4"/>
  <c r="J16" i="4"/>
  <c r="K16" i="4" s="1"/>
  <c r="I16" i="4"/>
  <c r="H16" i="4"/>
  <c r="G16" i="4"/>
  <c r="M15" i="4"/>
  <c r="L15" i="4"/>
  <c r="K15" i="4"/>
  <c r="J15" i="4"/>
  <c r="I15" i="4"/>
  <c r="H15" i="4"/>
  <c r="G15" i="4"/>
  <c r="M14" i="4"/>
  <c r="L14" i="4"/>
  <c r="K14" i="4"/>
  <c r="J14" i="4"/>
  <c r="I14" i="4"/>
  <c r="H14" i="4"/>
  <c r="G14" i="4"/>
  <c r="M13" i="4"/>
  <c r="L13" i="4"/>
  <c r="J13" i="4"/>
  <c r="K13" i="4" s="1"/>
  <c r="I13" i="4"/>
  <c r="H13" i="4"/>
  <c r="G13" i="4"/>
  <c r="L12" i="4"/>
  <c r="J12" i="4"/>
  <c r="K12" i="4" s="1"/>
  <c r="I12" i="4"/>
  <c r="H12" i="4"/>
  <c r="G12" i="4"/>
  <c r="M12" i="4" s="1"/>
  <c r="P60" i="3"/>
  <c r="O60" i="3"/>
  <c r="N60" i="3"/>
  <c r="M60" i="3"/>
  <c r="L60" i="3"/>
  <c r="K60" i="3"/>
  <c r="P59" i="3"/>
  <c r="O59" i="3"/>
  <c r="N59" i="3"/>
  <c r="M59" i="3"/>
  <c r="L59" i="3"/>
  <c r="K59" i="3"/>
  <c r="P58" i="3"/>
  <c r="O58" i="3"/>
  <c r="N58" i="3"/>
  <c r="M58" i="3"/>
  <c r="L58" i="3"/>
  <c r="K58" i="3"/>
  <c r="P57" i="3"/>
  <c r="O57" i="3"/>
  <c r="N57" i="3"/>
  <c r="M57" i="3"/>
  <c r="L57" i="3"/>
  <c r="K57" i="3"/>
  <c r="P56" i="3"/>
  <c r="O56" i="3"/>
  <c r="N56" i="3"/>
  <c r="M56" i="3"/>
  <c r="L56" i="3"/>
  <c r="K56" i="3"/>
  <c r="P55" i="3"/>
  <c r="O55" i="3"/>
  <c r="N55" i="3"/>
  <c r="M55" i="3"/>
  <c r="L55" i="3"/>
  <c r="K55" i="3"/>
  <c r="P54" i="3"/>
  <c r="O54" i="3"/>
  <c r="N54" i="3"/>
  <c r="M54" i="3"/>
  <c r="L54" i="3"/>
  <c r="K54" i="3"/>
  <c r="P53" i="3"/>
  <c r="O53" i="3"/>
  <c r="N53" i="3"/>
  <c r="M53" i="3"/>
  <c r="L53" i="3"/>
  <c r="K53" i="3"/>
  <c r="P52" i="3"/>
  <c r="O52" i="3"/>
  <c r="N52" i="3"/>
  <c r="M52" i="3"/>
  <c r="L52" i="3"/>
  <c r="K52" i="3"/>
  <c r="P51" i="3"/>
  <c r="O51" i="3"/>
  <c r="N51" i="3"/>
  <c r="M51" i="3"/>
  <c r="L51" i="3"/>
  <c r="K51" i="3"/>
  <c r="P50" i="3"/>
  <c r="O50" i="3"/>
  <c r="N50" i="3"/>
  <c r="M50" i="3"/>
  <c r="L50" i="3"/>
  <c r="K50" i="3"/>
  <c r="P49" i="3"/>
  <c r="O49" i="3"/>
  <c r="N49" i="3"/>
  <c r="M49" i="3"/>
  <c r="L49" i="3"/>
  <c r="K49" i="3"/>
  <c r="P48" i="3"/>
  <c r="O48" i="3"/>
  <c r="N48" i="3"/>
  <c r="M48" i="3"/>
  <c r="L48" i="3"/>
  <c r="K48" i="3"/>
  <c r="P47" i="3"/>
  <c r="O47" i="3"/>
  <c r="N47" i="3"/>
  <c r="M47" i="3"/>
  <c r="L47" i="3"/>
  <c r="K47" i="3"/>
  <c r="P46" i="3"/>
  <c r="O46" i="3"/>
  <c r="N46" i="3"/>
  <c r="M46" i="3"/>
  <c r="L46" i="3"/>
  <c r="K46" i="3"/>
  <c r="P45" i="3"/>
  <c r="O45" i="3"/>
  <c r="N45" i="3"/>
  <c r="M45" i="3"/>
  <c r="L45" i="3"/>
  <c r="K45" i="3"/>
  <c r="P44" i="3"/>
  <c r="O44" i="3"/>
  <c r="N44" i="3"/>
  <c r="M44" i="3"/>
  <c r="L44" i="3"/>
  <c r="K44" i="3"/>
  <c r="P43" i="3"/>
  <c r="O43" i="3"/>
  <c r="N43" i="3"/>
  <c r="M43" i="3"/>
  <c r="L43" i="3"/>
  <c r="K43" i="3"/>
  <c r="P42" i="3"/>
  <c r="O42" i="3"/>
  <c r="N42" i="3"/>
  <c r="M42" i="3"/>
  <c r="L42" i="3"/>
  <c r="K42" i="3"/>
  <c r="P41" i="3"/>
  <c r="O41" i="3"/>
  <c r="N41" i="3"/>
  <c r="M41" i="3"/>
  <c r="L41" i="3"/>
  <c r="K41" i="3"/>
  <c r="P40" i="3"/>
  <c r="O40" i="3"/>
  <c r="N40" i="3"/>
  <c r="M40" i="3"/>
  <c r="L40" i="3"/>
  <c r="K40" i="3"/>
  <c r="P39" i="3"/>
  <c r="O39" i="3"/>
  <c r="N39" i="3"/>
  <c r="M39" i="3"/>
  <c r="L39" i="3"/>
  <c r="K39" i="3"/>
  <c r="P38" i="3"/>
  <c r="O38" i="3"/>
  <c r="N38" i="3"/>
  <c r="M38" i="3"/>
  <c r="L38" i="3"/>
  <c r="K38" i="3"/>
  <c r="P37" i="3"/>
  <c r="O37" i="3"/>
  <c r="N37" i="3"/>
  <c r="M37" i="3"/>
  <c r="L37" i="3"/>
  <c r="K37" i="3"/>
  <c r="P36" i="3"/>
  <c r="O36" i="3"/>
  <c r="N36" i="3"/>
  <c r="M36" i="3"/>
  <c r="L36" i="3"/>
  <c r="K36" i="3"/>
  <c r="P35" i="3"/>
  <c r="O35" i="3"/>
  <c r="N35" i="3"/>
  <c r="M35" i="3"/>
  <c r="L35" i="3"/>
  <c r="K35" i="3"/>
  <c r="P34" i="3"/>
  <c r="O34" i="3"/>
  <c r="N34" i="3"/>
  <c r="M34" i="3"/>
  <c r="L34" i="3"/>
  <c r="K34" i="3"/>
  <c r="P33" i="3"/>
  <c r="O33" i="3"/>
  <c r="N33" i="3"/>
  <c r="M33" i="3"/>
  <c r="L33" i="3"/>
  <c r="K33" i="3"/>
  <c r="P32" i="3"/>
  <c r="O32" i="3"/>
  <c r="N32" i="3"/>
  <c r="M32" i="3"/>
  <c r="L32" i="3"/>
  <c r="K32" i="3"/>
  <c r="P31" i="3"/>
  <c r="O31" i="3"/>
  <c r="N31" i="3"/>
  <c r="M31" i="3"/>
  <c r="L31" i="3"/>
  <c r="K31" i="3"/>
  <c r="P30" i="3"/>
  <c r="O30" i="3"/>
  <c r="N30" i="3"/>
  <c r="M30" i="3"/>
  <c r="L30" i="3"/>
  <c r="K30" i="3"/>
  <c r="P29" i="3"/>
  <c r="O29" i="3"/>
  <c r="N29" i="3"/>
  <c r="M29" i="3"/>
  <c r="L29" i="3"/>
  <c r="K29" i="3"/>
  <c r="P28" i="3"/>
  <c r="O28" i="3"/>
  <c r="N28" i="3"/>
  <c r="M28" i="3"/>
  <c r="L28" i="3"/>
  <c r="K28" i="3"/>
  <c r="P27" i="3"/>
  <c r="O27" i="3"/>
  <c r="N27" i="3"/>
  <c r="M27" i="3"/>
  <c r="L27" i="3"/>
  <c r="K27" i="3"/>
  <c r="P26" i="3"/>
  <c r="O26" i="3"/>
  <c r="N26" i="3"/>
  <c r="M26" i="3"/>
  <c r="L26" i="3"/>
  <c r="K26" i="3"/>
  <c r="P25" i="3"/>
  <c r="O25" i="3"/>
  <c r="N25" i="3"/>
  <c r="M25" i="3"/>
  <c r="L25" i="3"/>
  <c r="K25" i="3"/>
  <c r="P24" i="3"/>
  <c r="O24" i="3"/>
  <c r="N24" i="3"/>
  <c r="M24" i="3"/>
  <c r="L24" i="3"/>
  <c r="K24" i="3"/>
  <c r="P23" i="3"/>
  <c r="O23" i="3"/>
  <c r="N23" i="3"/>
  <c r="M23" i="3"/>
  <c r="L23" i="3"/>
  <c r="K23" i="3"/>
  <c r="P22" i="3"/>
  <c r="O22" i="3"/>
  <c r="N22" i="3"/>
  <c r="M22" i="3"/>
  <c r="L22" i="3"/>
  <c r="K22" i="3"/>
  <c r="P21" i="3"/>
  <c r="O21" i="3"/>
  <c r="N21" i="3"/>
  <c r="M21" i="3"/>
  <c r="L21" i="3"/>
  <c r="K21" i="3"/>
  <c r="P20" i="3"/>
  <c r="O20" i="3"/>
  <c r="N20" i="3"/>
  <c r="M20" i="3"/>
  <c r="L20" i="3"/>
  <c r="K20" i="3"/>
  <c r="P19" i="3"/>
  <c r="O19" i="3"/>
  <c r="N19" i="3"/>
  <c r="M19" i="3"/>
  <c r="L19" i="3"/>
  <c r="K19" i="3"/>
  <c r="P18" i="3"/>
  <c r="O18" i="3"/>
  <c r="N18" i="3"/>
  <c r="M18" i="3"/>
  <c r="L18" i="3"/>
  <c r="K18" i="3"/>
  <c r="P17" i="3"/>
  <c r="O17" i="3"/>
  <c r="N17" i="3"/>
  <c r="M17" i="3"/>
  <c r="L17" i="3"/>
  <c r="K17" i="3"/>
  <c r="P16" i="3"/>
  <c r="O16" i="3"/>
  <c r="N16" i="3"/>
  <c r="M16" i="3"/>
  <c r="L16" i="3"/>
  <c r="K16" i="3"/>
  <c r="P15" i="3"/>
  <c r="O15" i="3"/>
  <c r="N15" i="3"/>
  <c r="M15" i="3"/>
  <c r="L15" i="3"/>
  <c r="K15" i="3"/>
  <c r="P14" i="3"/>
  <c r="O14" i="3"/>
  <c r="N14" i="3"/>
  <c r="M14" i="3"/>
  <c r="L14" i="3"/>
  <c r="K14" i="3"/>
  <c r="P13" i="3"/>
  <c r="O13" i="3"/>
  <c r="N13" i="3"/>
  <c r="M13" i="3"/>
  <c r="L13" i="3"/>
  <c r="K13" i="3"/>
  <c r="P12" i="3"/>
  <c r="O12" i="3"/>
  <c r="N12" i="3"/>
  <c r="M12" i="3"/>
  <c r="L12" i="3"/>
  <c r="K12" i="3"/>
  <c r="P11" i="3"/>
  <c r="O11" i="3"/>
  <c r="N11" i="3"/>
  <c r="M11" i="3"/>
  <c r="L11" i="3"/>
  <c r="K11" i="3"/>
</calcChain>
</file>

<file path=xl/sharedStrings.xml><?xml version="1.0" encoding="utf-8"?>
<sst xmlns="http://schemas.openxmlformats.org/spreadsheetml/2006/main" count="580" uniqueCount="113">
  <si>
    <t>Carton_Type</t>
  </si>
  <si>
    <t>Weight_KG</t>
  </si>
  <si>
    <t>Length_cm</t>
  </si>
  <si>
    <t>Width_cm</t>
  </si>
  <si>
    <t>Height_cm</t>
  </si>
  <si>
    <t>BDCM1</t>
  </si>
  <si>
    <t>BDCM3</t>
  </si>
  <si>
    <t>C5</t>
  </si>
  <si>
    <t>Cartons</t>
  </si>
  <si>
    <t>A1</t>
  </si>
  <si>
    <t>A2</t>
  </si>
  <si>
    <t>A3</t>
  </si>
  <si>
    <t>A4</t>
  </si>
  <si>
    <t>B1</t>
  </si>
  <si>
    <t>B2</t>
  </si>
  <si>
    <t>B3</t>
  </si>
  <si>
    <t>B4</t>
  </si>
  <si>
    <t>C1</t>
  </si>
  <si>
    <t>C2</t>
  </si>
  <si>
    <t>C3</t>
  </si>
  <si>
    <t>C4</t>
  </si>
  <si>
    <t>Hanging</t>
  </si>
  <si>
    <t>Hanging Non-Standard</t>
  </si>
  <si>
    <t>Non-Standard</t>
  </si>
  <si>
    <t>Booking_Group</t>
  </si>
  <si>
    <t>Single Booking</t>
  </si>
  <si>
    <t>Multiple POs-BK001</t>
  </si>
  <si>
    <t>Multiple POs-BK002</t>
  </si>
  <si>
    <t>Multiple POs-BK003</t>
  </si>
  <si>
    <t>Multiple POs-BK004</t>
  </si>
  <si>
    <t>Multiple POs-BK005</t>
  </si>
  <si>
    <t>Multiple POs-BK006</t>
  </si>
  <si>
    <t>Multiple POs-BK007</t>
  </si>
  <si>
    <t>Multiple POs-BK008</t>
  </si>
  <si>
    <t>Multiple POs-BK009</t>
  </si>
  <si>
    <t>Multiple POs-BK010</t>
  </si>
  <si>
    <t>Multiple POs-BK011</t>
  </si>
  <si>
    <t>Multiple POs-BK012</t>
  </si>
  <si>
    <t>Multiple POs-BK013</t>
  </si>
  <si>
    <t>Multiple POs-BK014</t>
  </si>
  <si>
    <t>Multiple POs-BK015</t>
  </si>
  <si>
    <t>Multiple POs-BK016</t>
  </si>
  <si>
    <t>Multiple POs-BK017</t>
  </si>
  <si>
    <t>Multiple POs-BK018</t>
  </si>
  <si>
    <t>Multiple POs-BK019</t>
  </si>
  <si>
    <t>Multiple POs-BK020</t>
  </si>
  <si>
    <t>Multiple POs-BK021</t>
  </si>
  <si>
    <t>Multiple POs-BK022</t>
  </si>
  <si>
    <t>Multiple POs-BK023</t>
  </si>
  <si>
    <t>Multiple POs-BK024</t>
  </si>
  <si>
    <t>Multiple POs-BK025</t>
  </si>
  <si>
    <t>Multiple</t>
  </si>
  <si>
    <t>📋  BOOKING HEADER — Instructions</t>
  </si>
  <si>
    <t xml:space="preserve">  •  ⚠  COMPLETE BOTH SHEETS: Fill in this sheet (BOOKING_HEADER) with PO details AND fill in the SKU_LINES tab with SKU, quantity and carton details for every PO.</t>
  </si>
  <si>
    <t xml:space="preserve">  •  One row per PO. Fill all MANDATORY (pink) columns for every PO.</t>
  </si>
  <si>
    <t xml:space="preserve">  •  Booking_Group: "Single Booking" = One PO per booking; "Multiple POs-BK001" … "Multiple POs-BK025" = POs sharing the same code (BK001, BK002 …) combine into one booking; "Multiple" = all POs into one booking.</t>
  </si>
  <si>
    <t xml:space="preserve">  •  Factory_ID: select from the FACTORY_LOOKUP tab (last tab). Factory_Name and address auto-fill. Default is 9999 (Dummy Factory) — no address required.</t>
  </si>
  <si>
    <t xml:space="preserve">  •  DEFAULTED (green) columns are pre-set — change only if needed.</t>
  </si>
  <si>
    <t xml:space="preserve">  •  Dates must be in DD/MM/YYYY format.</t>
  </si>
  <si>
    <t xml:space="preserve">  •  Do NOT modify or delete column headers.</t>
  </si>
  <si>
    <t xml:space="preserve">  Mandatory — must be filled  </t>
  </si>
  <si>
    <t xml:space="preserve">  Defaulted — editable preset  </t>
  </si>
  <si>
    <t xml:space="preserve">  Pre-filled — auto from lookup  </t>
  </si>
  <si>
    <t xml:space="preserve">  Optional — leave blank if n/a  </t>
  </si>
  <si>
    <t>PO_Number</t>
  </si>
  <si>
    <t>Cargo_Ready_Planned_Collection_Date</t>
  </si>
  <si>
    <t>Carrier_Booking_Request_Date</t>
  </si>
  <si>
    <t>Traffic_Mode</t>
  </si>
  <si>
    <t>Mode_Of_Transport</t>
  </si>
  <si>
    <t>Factory_ID</t>
  </si>
  <si>
    <t>Pack_Type</t>
  </si>
  <si>
    <t>Collection_Type</t>
  </si>
  <si>
    <t>Hazardous</t>
  </si>
  <si>
    <t>Factory_Name</t>
  </si>
  <si>
    <t>Factory_Street1</t>
  </si>
  <si>
    <t>Factory_Street2</t>
  </si>
  <si>
    <t>Factory_City</t>
  </si>
  <si>
    <t>Factory_PostalCd</t>
  </si>
  <si>
    <t>Factory_CountryCd</t>
  </si>
  <si>
    <t>Collection_Time (HH:MM)</t>
  </si>
  <si>
    <t>Remarks</t>
  </si>
  <si>
    <t>Road</t>
  </si>
  <si>
    <t>9999</t>
  </si>
  <si>
    <t>Flat</t>
  </si>
  <si>
    <t>Delivery</t>
  </si>
  <si>
    <t>N/A</t>
  </si>
  <si>
    <t>📋  SKU LINES — Instructions</t>
  </si>
  <si>
    <t xml:space="preserve">  •  ⚠  COMPLETE BOTH SHEETS: This tab must be filled in alongside the BOOKING_HEADER tab — enter one row per SKU with PO_Number, SKU, quantities and any further optional details (EAN, Colour, Size).</t>
  </si>
  <si>
    <t xml:space="preserve">  •  One row per SKU. PO_Number must exactly match a PO_Number in the BOOKING_HEADER tab.</t>
  </si>
  <si>
    <t xml:space="preserve">  •  Fill all MANDATORY (pink) columns: PO_Number, SKU, Booking_Qty, No_of_Cartons, Unit_Weight_KG.</t>
  </si>
  <si>
    <t xml:space="preserve">  •  Carton_Type defaults to BDCM1 — change only if the carton is different.</t>
  </si>
  <si>
    <t xml:space="preserve">  •  Carton dimensions and weight/volume columns are PRE-FILLED automatically from Carton_Type — do not edit.</t>
  </si>
  <si>
    <t xml:space="preserve">  •  Unit_Weight_KG = weight of one individual item (not the whole carton).</t>
  </si>
  <si>
    <t xml:space="preserve">  •  OPTIONAL columns (EAN_Barcode, Colour_Code, Size_Code) can be left blank.</t>
  </si>
  <si>
    <t>SKU</t>
  </si>
  <si>
    <t>Booking_Qty</t>
  </si>
  <si>
    <t>No_of_Cartons</t>
  </si>
  <si>
    <t>Unit_Weight_KG</t>
  </si>
  <si>
    <t>Carton_Length_cm</t>
  </si>
  <si>
    <t>Carton_Width_cm</t>
  </si>
  <si>
    <t>Carton_Height_cm</t>
  </si>
  <si>
    <t>Carton_Weight_KG</t>
  </si>
  <si>
    <t>Gross_Weight_KG</t>
  </si>
  <si>
    <t>Net_Weight_KG</t>
  </si>
  <si>
    <t>Volume_M3</t>
  </si>
  <si>
    <t>EAN_Barcode</t>
  </si>
  <si>
    <t>Colour_Code</t>
  </si>
  <si>
    <t>Size_Code</t>
  </si>
  <si>
    <t>FACTORY LOOKUP TABLE — Add one row per factory. Factory_ID appears as a dropdown on BOOKING_HEADER. Name and address auto-fill when you select an ID. Do NOT change column headers.</t>
  </si>
  <si>
    <t>Dummy Factory</t>
  </si>
  <si>
    <t/>
  </si>
  <si>
    <t>500034236925</t>
  </si>
  <si>
    <t>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</si>
</sst>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9"/>
      <color rgb="FF1A1A2E"/>
      <name val="Calibri"/>
    </font>
    <font>
      <b/>
      <sz val="9"/>
      <color rgb="FFFFFFFF"/>
      <name val="Calibri"/>
    </font>
    <font>
      <sz val="10"/>
      <color rgb="FF0D47A1"/>
      <name val="Calibri"/>
    </font>
    <font>
      <b/>
      <sz val="11"/>
      <color rgb="FF0B4F2A"/>
      <name val="Calibri"/>
    </font>
    <font>
      <b/>
      <sz val="11"/>
      <color rgb="FFFFFFFF"/>
      <name val="Calibri"/>
    </font>
    <font>
      <b/>
      <i/>
      <sz val="11"/>
      <color rgb="FF7F7F7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3FA"/>
      </patternFill>
    </fill>
    <fill>
      <patternFill patternType="solid">
        <fgColor rgb="FFD9534F"/>
      </patternFill>
    </fill>
    <fill>
      <patternFill patternType="solid">
        <fgColor rgb="FF5FAD56"/>
      </patternFill>
    </fill>
    <fill>
      <patternFill patternType="solid">
        <fgColor rgb="FF4A90C4"/>
      </patternFill>
    </fill>
    <fill>
      <patternFill patternType="solid">
        <fgColor rgb="FF9E9E9E"/>
      </patternFill>
    </fill>
    <fill>
      <patternFill patternType="solid">
        <fgColor rgb="FFE3F2FD"/>
      </patternFill>
    </fill>
    <fill>
      <patternFill patternType="solid">
        <fgColor rgb="FFD9EAD3"/>
      </patternFill>
    </fill>
    <fill>
      <patternFill patternType="solid">
        <fgColor rgb="FF274E13"/>
      </patternFill>
    </fill>
  </fills>
  <borders count="3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medium">
        <color rgb="FF888888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0" fillId="0" borderId="0" xfId="0" applyNumberFormat="1"/>
    <xf numFmtId="0" fontId="4" fillId="8" borderId="0" xfId="0" applyFont="1" applyFill="1"/>
    <xf numFmtId="164" fontId="0" fillId="0" borderId="0" xfId="0" applyNumberFormat="1"/>
    <xf numFmtId="2" fontId="4" fillId="8" borderId="0" xfId="0" applyNumberFormat="1" applyFont="1" applyFill="1"/>
    <xf numFmtId="164" fontId="4" fillId="8" borderId="0" xfId="0" applyNumberFormat="1" applyFont="1" applyFill="1"/>
    <xf numFmtId="0" fontId="6" fillId="10" borderId="0" xfId="0" applyFont="1" applyFill="1" applyAlignment="1">
      <alignment horizontal="center" vertical="center"/>
    </xf>
    <xf numFmtId="0" fontId="7" fillId="0" borderId="0" xfId="0" applyFont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5" fillId="9" borderId="0" xfId="0" applyFont="1" applyFill="1" applyAlignment="1">
      <alignment horizontal="left" vertical="center" wrapText="1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workbookViewId="0"/>
  </sheetViews>
  <sheetFormatPr defaultRowHeight="14.5" x14ac:dyDescent="0.35"/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t="s">
        <v>5</v>
      </c>
      <c r="B2">
        <v>1.4</v>
      </c>
      <c r="C2">
        <v>60</v>
      </c>
      <c r="D2">
        <v>30</v>
      </c>
      <c r="E2">
        <v>40</v>
      </c>
    </row>
    <row r="3" spans="1:5" x14ac:dyDescent="0.35">
      <c r="A3" t="s">
        <v>6</v>
      </c>
      <c r="B3">
        <v>1</v>
      </c>
      <c r="C3">
        <v>45</v>
      </c>
      <c r="D3">
        <v>29.5</v>
      </c>
      <c r="E3">
        <v>18.8</v>
      </c>
    </row>
    <row r="4" spans="1:5" x14ac:dyDescent="0.35">
      <c r="A4" t="s">
        <v>7</v>
      </c>
      <c r="B4">
        <v>1</v>
      </c>
      <c r="C4">
        <v>60</v>
      </c>
      <c r="D4">
        <v>30</v>
      </c>
      <c r="E4">
        <v>20</v>
      </c>
    </row>
    <row r="5" spans="1:5" x14ac:dyDescent="0.35">
      <c r="A5" t="s">
        <v>8</v>
      </c>
      <c r="B5">
        <v>1</v>
      </c>
      <c r="C5">
        <v>45</v>
      </c>
      <c r="D5">
        <v>60</v>
      </c>
      <c r="E5">
        <v>40</v>
      </c>
    </row>
    <row r="6" spans="1:5" x14ac:dyDescent="0.35">
      <c r="A6" t="s">
        <v>9</v>
      </c>
      <c r="B6">
        <v>1</v>
      </c>
      <c r="C6">
        <v>59.5</v>
      </c>
      <c r="D6">
        <v>28.5</v>
      </c>
      <c r="E6">
        <v>37.5</v>
      </c>
    </row>
    <row r="7" spans="1:5" x14ac:dyDescent="0.35">
      <c r="A7" t="s">
        <v>10</v>
      </c>
      <c r="B7">
        <v>1</v>
      </c>
      <c r="C7">
        <v>59.5</v>
      </c>
      <c r="D7">
        <v>28.5</v>
      </c>
      <c r="E7">
        <v>32.5</v>
      </c>
    </row>
    <row r="8" spans="1:5" x14ac:dyDescent="0.35">
      <c r="A8" t="s">
        <v>11</v>
      </c>
      <c r="B8">
        <v>1</v>
      </c>
      <c r="C8">
        <v>59.5</v>
      </c>
      <c r="D8">
        <v>28.5</v>
      </c>
      <c r="E8">
        <v>26</v>
      </c>
    </row>
    <row r="9" spans="1:5" x14ac:dyDescent="0.35">
      <c r="A9" t="s">
        <v>12</v>
      </c>
      <c r="B9">
        <v>1</v>
      </c>
      <c r="C9">
        <v>59.5</v>
      </c>
      <c r="D9">
        <v>28.5</v>
      </c>
      <c r="E9">
        <v>19</v>
      </c>
    </row>
    <row r="10" spans="1:5" x14ac:dyDescent="0.35">
      <c r="A10" t="s">
        <v>13</v>
      </c>
      <c r="B10">
        <v>1</v>
      </c>
      <c r="C10">
        <v>52</v>
      </c>
      <c r="D10">
        <v>25.5</v>
      </c>
      <c r="E10">
        <v>37.5</v>
      </c>
    </row>
    <row r="11" spans="1:5" x14ac:dyDescent="0.35">
      <c r="A11" t="s">
        <v>14</v>
      </c>
      <c r="B11">
        <v>1</v>
      </c>
      <c r="C11">
        <v>52</v>
      </c>
      <c r="D11">
        <v>25.5</v>
      </c>
      <c r="E11">
        <v>32.5</v>
      </c>
    </row>
    <row r="12" spans="1:5" x14ac:dyDescent="0.35">
      <c r="A12" t="s">
        <v>15</v>
      </c>
      <c r="B12">
        <v>1</v>
      </c>
      <c r="C12">
        <v>52</v>
      </c>
      <c r="D12">
        <v>25.5</v>
      </c>
      <c r="E12">
        <v>26</v>
      </c>
    </row>
    <row r="13" spans="1:5" x14ac:dyDescent="0.35">
      <c r="A13" t="s">
        <v>16</v>
      </c>
      <c r="B13">
        <v>1</v>
      </c>
      <c r="C13">
        <v>52</v>
      </c>
      <c r="D13">
        <v>25.5</v>
      </c>
      <c r="E13">
        <v>19</v>
      </c>
    </row>
    <row r="14" spans="1:5" x14ac:dyDescent="0.35">
      <c r="A14" t="s">
        <v>17</v>
      </c>
      <c r="B14">
        <v>1</v>
      </c>
      <c r="C14">
        <v>45</v>
      </c>
      <c r="D14">
        <v>28.5</v>
      </c>
      <c r="E14">
        <v>37.5</v>
      </c>
    </row>
    <row r="15" spans="1:5" x14ac:dyDescent="0.35">
      <c r="A15" t="s">
        <v>18</v>
      </c>
      <c r="B15">
        <v>1</v>
      </c>
      <c r="C15">
        <v>45</v>
      </c>
      <c r="D15">
        <v>28.5</v>
      </c>
      <c r="E15">
        <v>32.5</v>
      </c>
    </row>
    <row r="16" spans="1:5" x14ac:dyDescent="0.35">
      <c r="A16" t="s">
        <v>19</v>
      </c>
      <c r="B16">
        <v>1</v>
      </c>
      <c r="C16">
        <v>45</v>
      </c>
      <c r="D16">
        <v>28.5</v>
      </c>
      <c r="E16">
        <v>26</v>
      </c>
    </row>
    <row r="17" spans="1:5" x14ac:dyDescent="0.35">
      <c r="A17" t="s">
        <v>20</v>
      </c>
      <c r="B17">
        <v>1</v>
      </c>
      <c r="C17">
        <v>45</v>
      </c>
      <c r="D17">
        <v>28.5</v>
      </c>
      <c r="E17">
        <v>19</v>
      </c>
    </row>
    <row r="18" spans="1:5" x14ac:dyDescent="0.35">
      <c r="A18" t="s">
        <v>21</v>
      </c>
      <c r="B18">
        <v>0.7</v>
      </c>
      <c r="C18">
        <v>213</v>
      </c>
      <c r="D18">
        <v>94</v>
      </c>
      <c r="E18">
        <v>60</v>
      </c>
    </row>
    <row r="19" spans="1:5" x14ac:dyDescent="0.35">
      <c r="A19" t="s">
        <v>22</v>
      </c>
    </row>
    <row r="20" spans="1:5" x14ac:dyDescent="0.35">
      <c r="A20" t="s">
        <v>23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8"/>
  <sheetViews>
    <sheetView workbookViewId="0"/>
  </sheetViews>
  <sheetFormatPr defaultRowHeight="14.5" x14ac:dyDescent="0.35"/>
  <sheetData>
    <row r="1" spans="1:1" x14ac:dyDescent="0.35">
      <c r="A1" t="s">
        <v>24</v>
      </c>
    </row>
    <row r="2" spans="1:1" x14ac:dyDescent="0.35">
      <c r="A2" t="s">
        <v>25</v>
      </c>
    </row>
    <row r="3" spans="1:1" x14ac:dyDescent="0.35">
      <c r="A3" t="s">
        <v>26</v>
      </c>
    </row>
    <row r="4" spans="1:1" x14ac:dyDescent="0.35">
      <c r="A4" t="s">
        <v>27</v>
      </c>
    </row>
    <row r="5" spans="1:1" x14ac:dyDescent="0.35">
      <c r="A5" t="s">
        <v>28</v>
      </c>
    </row>
    <row r="6" spans="1:1" x14ac:dyDescent="0.35">
      <c r="A6" t="s">
        <v>29</v>
      </c>
    </row>
    <row r="7" spans="1:1" x14ac:dyDescent="0.35">
      <c r="A7" t="s">
        <v>30</v>
      </c>
    </row>
    <row r="8" spans="1:1" x14ac:dyDescent="0.35">
      <c r="A8" t="s">
        <v>31</v>
      </c>
    </row>
    <row r="9" spans="1:1" x14ac:dyDescent="0.35">
      <c r="A9" t="s">
        <v>32</v>
      </c>
    </row>
    <row r="10" spans="1:1" x14ac:dyDescent="0.35">
      <c r="A10" t="s">
        <v>33</v>
      </c>
    </row>
    <row r="11" spans="1:1" x14ac:dyDescent="0.35">
      <c r="A11" t="s">
        <v>34</v>
      </c>
    </row>
    <row r="12" spans="1:1" x14ac:dyDescent="0.35">
      <c r="A12" t="s">
        <v>35</v>
      </c>
    </row>
    <row r="13" spans="1:1" x14ac:dyDescent="0.35">
      <c r="A13" t="s">
        <v>36</v>
      </c>
    </row>
    <row r="14" spans="1:1" x14ac:dyDescent="0.35">
      <c r="A14" t="s">
        <v>37</v>
      </c>
    </row>
    <row r="15" spans="1:1" x14ac:dyDescent="0.35">
      <c r="A15" t="s">
        <v>38</v>
      </c>
    </row>
    <row r="16" spans="1:1" x14ac:dyDescent="0.35">
      <c r="A16" t="s">
        <v>39</v>
      </c>
    </row>
    <row r="17" spans="1:1" x14ac:dyDescent="0.35">
      <c r="A17" t="s">
        <v>40</v>
      </c>
    </row>
    <row r="18" spans="1:1" x14ac:dyDescent="0.35">
      <c r="A18" t="s">
        <v>41</v>
      </c>
    </row>
    <row r="19" spans="1:1" x14ac:dyDescent="0.35">
      <c r="A19" t="s">
        <v>42</v>
      </c>
    </row>
    <row r="20" spans="1:1" x14ac:dyDescent="0.35">
      <c r="A20" t="s">
        <v>43</v>
      </c>
    </row>
    <row r="21" spans="1:1" x14ac:dyDescent="0.35">
      <c r="A21" t="s">
        <v>44</v>
      </c>
    </row>
    <row r="22" spans="1:1" x14ac:dyDescent="0.35">
      <c r="A22" t="s">
        <v>45</v>
      </c>
    </row>
    <row r="23" spans="1:1" x14ac:dyDescent="0.35">
      <c r="A23" t="s">
        <v>46</v>
      </c>
    </row>
    <row r="24" spans="1:1" x14ac:dyDescent="0.35">
      <c r="A24" t="s">
        <v>47</v>
      </c>
    </row>
    <row r="25" spans="1:1" x14ac:dyDescent="0.35">
      <c r="A25" t="s">
        <v>48</v>
      </c>
    </row>
    <row r="26" spans="1:1" x14ac:dyDescent="0.35">
      <c r="A26" t="s">
        <v>49</v>
      </c>
    </row>
    <row r="27" spans="1:1" x14ac:dyDescent="0.35">
      <c r="A27" t="s">
        <v>50</v>
      </c>
    </row>
    <row r="28" spans="1:1" x14ac:dyDescent="0.35">
      <c r="A28" t="s">
        <v>51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E79"/>
  </sheetPr>
  <dimension ref="A1:R60"/>
  <sheetViews>
    <sheetView tabSelected="1" workbookViewId="0">
      <pane xSplit="1" ySplit="10" topLeftCell="F11" activePane="bottomRight" state="frozen"/>
      <selection pane="topRight"/>
      <selection pane="bottomLeft"/>
      <selection pane="bottomRight" activeCell="J13" sqref="J13"/>
    </sheetView>
  </sheetViews>
  <sheetFormatPr defaultRowHeight="14.5" x14ac:dyDescent="0.35"/>
  <cols>
    <col min="1" max="1" width="22" customWidth="1"/>
    <col min="2" max="2" width="34" customWidth="1"/>
    <col min="3" max="3" width="28" customWidth="1"/>
    <col min="4" max="4" width="14" customWidth="1"/>
    <col min="5" max="5" width="18" customWidth="1"/>
    <col min="6" max="6" width="30" customWidth="1"/>
    <col min="7" max="7" width="18" customWidth="1"/>
    <col min="8" max="8" width="14" customWidth="1"/>
    <col min="9" max="9" width="18" customWidth="1"/>
    <col min="10" max="10" width="20" customWidth="1"/>
    <col min="11" max="11" width="28" customWidth="1"/>
    <col min="12" max="12" width="30" customWidth="1"/>
    <col min="13" max="13" width="24" customWidth="1"/>
    <col min="14" max="14" width="20" customWidth="1"/>
    <col min="15" max="16" width="16" customWidth="1"/>
    <col min="17" max="17" width="24" customWidth="1"/>
    <col min="18" max="18" width="30" customWidth="1"/>
  </cols>
  <sheetData>
    <row r="1" spans="1:18" ht="14" customHeight="1" x14ac:dyDescent="0.35">
      <c r="A1" s="16" t="s">
        <v>52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</row>
    <row r="2" spans="1:18" ht="13" customHeight="1" x14ac:dyDescent="0.35">
      <c r="A2" s="17" t="s">
        <v>53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ht="13" customHeight="1" x14ac:dyDescent="0.35">
      <c r="A3" s="17" t="s">
        <v>54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ht="13" customHeight="1" x14ac:dyDescent="0.35">
      <c r="A4" s="17" t="s">
        <v>55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ht="13" customHeight="1" x14ac:dyDescent="0.35">
      <c r="A5" s="17" t="s">
        <v>56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ht="13" customHeight="1" x14ac:dyDescent="0.35">
      <c r="A6" s="17" t="s">
        <v>57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ht="13" customHeight="1" x14ac:dyDescent="0.35">
      <c r="A7" s="17" t="s">
        <v>58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ht="13" customHeight="1" x14ac:dyDescent="0.35">
      <c r="A8" s="17" t="s">
        <v>59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  <row r="9" spans="1:18" ht="14" customHeight="1" x14ac:dyDescent="0.35">
      <c r="A9" s="1" t="s">
        <v>60</v>
      </c>
      <c r="B9" s="2" t="s">
        <v>61</v>
      </c>
      <c r="C9" s="3" t="s">
        <v>62</v>
      </c>
      <c r="D9" s="4" t="s">
        <v>63</v>
      </c>
    </row>
    <row r="10" spans="1:18" ht="22" customHeight="1" x14ac:dyDescent="0.35">
      <c r="A10" s="5" t="s">
        <v>64</v>
      </c>
      <c r="B10" s="5" t="s">
        <v>65</v>
      </c>
      <c r="C10" s="5" t="s">
        <v>66</v>
      </c>
      <c r="D10" s="5" t="s">
        <v>67</v>
      </c>
      <c r="E10" s="5" t="s">
        <v>68</v>
      </c>
      <c r="F10" s="5" t="s">
        <v>24</v>
      </c>
      <c r="G10" s="5" t="s">
        <v>69</v>
      </c>
      <c r="H10" s="6" t="s">
        <v>70</v>
      </c>
      <c r="I10" s="6" t="s">
        <v>71</v>
      </c>
      <c r="J10" s="6" t="s">
        <v>72</v>
      </c>
      <c r="K10" s="7" t="s">
        <v>73</v>
      </c>
      <c r="L10" s="7" t="s">
        <v>74</v>
      </c>
      <c r="M10" s="7" t="s">
        <v>75</v>
      </c>
      <c r="N10" s="7" t="s">
        <v>76</v>
      </c>
      <c r="O10" s="7" t="s">
        <v>77</v>
      </c>
      <c r="P10" s="7" t="s">
        <v>78</v>
      </c>
      <c r="Q10" s="8" t="s">
        <v>79</v>
      </c>
      <c r="R10" s="8" t="s">
        <v>80</v>
      </c>
    </row>
    <row r="11" spans="1:18" x14ac:dyDescent="0.35">
      <c r="A11" s="19" t="s">
        <v>111</v>
      </c>
      <c r="B11" s="9">
        <v>46192</v>
      </c>
      <c r="C11" s="9">
        <v>46193</v>
      </c>
      <c r="D11" t="s">
        <v>112</v>
      </c>
      <c r="E11" t="s">
        <v>81</v>
      </c>
      <c r="F11" t="s">
        <v>25</v>
      </c>
      <c r="G11" t="s">
        <v>82</v>
      </c>
      <c r="H11" t="s">
        <v>83</v>
      </c>
      <c r="I11" t="s">
        <v>84</v>
      </c>
      <c r="J11" t="s">
        <v>85</v>
      </c>
      <c r="K11" s="10" t="str">
        <f>IF($G11="9999","Dummy Factory",IFERROR(VLOOKUP($G11,FACTORY_LOOKUP!$A:$G,2,0),""))</f>
        <v>Dummy Factory</v>
      </c>
      <c r="L11" s="10" t="str">
        <f>IF($G11="9999","",IFERROR(VLOOKUP($G11,FACTORY_LOOKUP!$A:$G,3,0),""))</f>
        <v/>
      </c>
      <c r="M11" s="10" t="str">
        <f>IF($G11="9999","",IFERROR(VLOOKUP($G11,FACTORY_LOOKUP!$A:$G,4,0),""))</f>
        <v/>
      </c>
      <c r="N11" s="10" t="str">
        <f>IF($G11="9999","",IFERROR(VLOOKUP($G11,FACTORY_LOOKUP!$A:$G,5,0),""))</f>
        <v/>
      </c>
      <c r="O11" s="10" t="str">
        <f>IF($G11="9999","",IFERROR(VLOOKUP($G11,FACTORY_LOOKUP!$A:$G,6,0),""))</f>
        <v/>
      </c>
      <c r="P11" s="10" t="str">
        <f>IF($G11="9999","",IFERROR(VLOOKUP($G11,FACTORY_LOOKUP!$A:$G,7,0),""))</f>
        <v/>
      </c>
    </row>
    <row r="12" spans="1:18" x14ac:dyDescent="0.35">
      <c r="B12" s="9"/>
      <c r="C12" s="9"/>
      <c r="E12" t="s">
        <v>81</v>
      </c>
      <c r="G12" t="s">
        <v>82</v>
      </c>
      <c r="H12" t="s">
        <v>83</v>
      </c>
      <c r="I12" t="s">
        <v>84</v>
      </c>
      <c r="J12" t="s">
        <v>85</v>
      </c>
      <c r="K12" s="10" t="str">
        <f>IF($G12="9999","Dummy Factory",IFERROR(VLOOKUP($G12,FACTORY_LOOKUP!$A:$G,2,0),""))</f>
        <v>Dummy Factory</v>
      </c>
      <c r="L12" s="10" t="str">
        <f>IF($G12="9999","",IFERROR(VLOOKUP($G12,FACTORY_LOOKUP!$A:$G,3,0),""))</f>
        <v/>
      </c>
      <c r="M12" s="10" t="str">
        <f>IF($G12="9999","",IFERROR(VLOOKUP($G12,FACTORY_LOOKUP!$A:$G,4,0),""))</f>
        <v/>
      </c>
      <c r="N12" s="10" t="str">
        <f>IF($G12="9999","",IFERROR(VLOOKUP($G12,FACTORY_LOOKUP!$A:$G,5,0),""))</f>
        <v/>
      </c>
      <c r="O12" s="10" t="str">
        <f>IF($G12="9999","",IFERROR(VLOOKUP($G12,FACTORY_LOOKUP!$A:$G,6,0),""))</f>
        <v/>
      </c>
      <c r="P12" s="10" t="str">
        <f>IF($G12="9999","",IFERROR(VLOOKUP($G12,FACTORY_LOOKUP!$A:$G,7,0),""))</f>
        <v/>
      </c>
    </row>
    <row r="13" spans="1:18" x14ac:dyDescent="0.35">
      <c r="B13" s="9"/>
      <c r="C13" s="9"/>
      <c r="E13" t="s">
        <v>81</v>
      </c>
      <c r="G13" t="s">
        <v>82</v>
      </c>
      <c r="H13" t="s">
        <v>83</v>
      </c>
      <c r="I13" t="s">
        <v>84</v>
      </c>
      <c r="J13" t="s">
        <v>85</v>
      </c>
      <c r="K13" s="10" t="str">
        <f>IF($G13="9999","Dummy Factory",IFERROR(VLOOKUP($G13,FACTORY_LOOKUP!$A:$G,2,0),""))</f>
        <v>Dummy Factory</v>
      </c>
      <c r="L13" s="10" t="str">
        <f>IF($G13="9999","",IFERROR(VLOOKUP($G13,FACTORY_LOOKUP!$A:$G,3,0),""))</f>
        <v/>
      </c>
      <c r="M13" s="10" t="str">
        <f>IF($G13="9999","",IFERROR(VLOOKUP($G13,FACTORY_LOOKUP!$A:$G,4,0),""))</f>
        <v/>
      </c>
      <c r="N13" s="10" t="str">
        <f>IF($G13="9999","",IFERROR(VLOOKUP($G13,FACTORY_LOOKUP!$A:$G,5,0),""))</f>
        <v/>
      </c>
      <c r="O13" s="10" t="str">
        <f>IF($G13="9999","",IFERROR(VLOOKUP($G13,FACTORY_LOOKUP!$A:$G,6,0),""))</f>
        <v/>
      </c>
      <c r="P13" s="10" t="str">
        <f>IF($G13="9999","",IFERROR(VLOOKUP($G13,FACTORY_LOOKUP!$A:$G,7,0),""))</f>
        <v/>
      </c>
    </row>
    <row r="14" spans="1:18" x14ac:dyDescent="0.35">
      <c r="B14" s="9"/>
      <c r="C14" s="9"/>
      <c r="E14" t="s">
        <v>81</v>
      </c>
      <c r="G14" t="s">
        <v>82</v>
      </c>
      <c r="H14" t="s">
        <v>83</v>
      </c>
      <c r="I14" t="s">
        <v>84</v>
      </c>
      <c r="J14" t="s">
        <v>85</v>
      </c>
      <c r="K14" s="10" t="str">
        <f>IF($G14="9999","Dummy Factory",IFERROR(VLOOKUP($G14,FACTORY_LOOKUP!$A:$G,2,0),""))</f>
        <v>Dummy Factory</v>
      </c>
      <c r="L14" s="10" t="str">
        <f>IF($G14="9999","",IFERROR(VLOOKUP($G14,FACTORY_LOOKUP!$A:$G,3,0),""))</f>
        <v/>
      </c>
      <c r="M14" s="10" t="str">
        <f>IF($G14="9999","",IFERROR(VLOOKUP($G14,FACTORY_LOOKUP!$A:$G,4,0),""))</f>
        <v/>
      </c>
      <c r="N14" s="10" t="str">
        <f>IF($G14="9999","",IFERROR(VLOOKUP($G14,FACTORY_LOOKUP!$A:$G,5,0),""))</f>
        <v/>
      </c>
      <c r="O14" s="10" t="str">
        <f>IF($G14="9999","",IFERROR(VLOOKUP($G14,FACTORY_LOOKUP!$A:$G,6,0),""))</f>
        <v/>
      </c>
      <c r="P14" s="10" t="str">
        <f>IF($G14="9999","",IFERROR(VLOOKUP($G14,FACTORY_LOOKUP!$A:$G,7,0),""))</f>
        <v/>
      </c>
    </row>
    <row r="15" spans="1:18" x14ac:dyDescent="0.35">
      <c r="B15" s="9"/>
      <c r="C15" s="9"/>
      <c r="E15" t="s">
        <v>81</v>
      </c>
      <c r="G15" t="s">
        <v>82</v>
      </c>
      <c r="H15" t="s">
        <v>83</v>
      </c>
      <c r="I15" t="s">
        <v>84</v>
      </c>
      <c r="J15" t="s">
        <v>85</v>
      </c>
      <c r="K15" s="10" t="str">
        <f>IF($G15="9999","Dummy Factory",IFERROR(VLOOKUP($G15,FACTORY_LOOKUP!$A:$G,2,0),""))</f>
        <v>Dummy Factory</v>
      </c>
      <c r="L15" s="10" t="str">
        <f>IF($G15="9999","",IFERROR(VLOOKUP($G15,FACTORY_LOOKUP!$A:$G,3,0),""))</f>
        <v/>
      </c>
      <c r="M15" s="10" t="str">
        <f>IF($G15="9999","",IFERROR(VLOOKUP($G15,FACTORY_LOOKUP!$A:$G,4,0),""))</f>
        <v/>
      </c>
      <c r="N15" s="10" t="str">
        <f>IF($G15="9999","",IFERROR(VLOOKUP($G15,FACTORY_LOOKUP!$A:$G,5,0),""))</f>
        <v/>
      </c>
      <c r="O15" s="10" t="str">
        <f>IF($G15="9999","",IFERROR(VLOOKUP($G15,FACTORY_LOOKUP!$A:$G,6,0),""))</f>
        <v/>
      </c>
      <c r="P15" s="10" t="str">
        <f>IF($G15="9999","",IFERROR(VLOOKUP($G15,FACTORY_LOOKUP!$A:$G,7,0),""))</f>
        <v/>
      </c>
    </row>
    <row r="16" spans="1:18" x14ac:dyDescent="0.35">
      <c r="B16" s="9"/>
      <c r="C16" s="9"/>
      <c r="E16" t="s">
        <v>81</v>
      </c>
      <c r="G16" t="s">
        <v>82</v>
      </c>
      <c r="H16" t="s">
        <v>83</v>
      </c>
      <c r="I16" t="s">
        <v>84</v>
      </c>
      <c r="J16" t="s">
        <v>85</v>
      </c>
      <c r="K16" s="10" t="str">
        <f>IF($G16="9999","Dummy Factory",IFERROR(VLOOKUP($G16,FACTORY_LOOKUP!$A:$G,2,0),""))</f>
        <v>Dummy Factory</v>
      </c>
      <c r="L16" s="10" t="str">
        <f>IF($G16="9999","",IFERROR(VLOOKUP($G16,FACTORY_LOOKUP!$A:$G,3,0),""))</f>
        <v/>
      </c>
      <c r="M16" s="10" t="str">
        <f>IF($G16="9999","",IFERROR(VLOOKUP($G16,FACTORY_LOOKUP!$A:$G,4,0),""))</f>
        <v/>
      </c>
      <c r="N16" s="10" t="str">
        <f>IF($G16="9999","",IFERROR(VLOOKUP($G16,FACTORY_LOOKUP!$A:$G,5,0),""))</f>
        <v/>
      </c>
      <c r="O16" s="10" t="str">
        <f>IF($G16="9999","",IFERROR(VLOOKUP($G16,FACTORY_LOOKUP!$A:$G,6,0),""))</f>
        <v/>
      </c>
      <c r="P16" s="10" t="str">
        <f>IF($G16="9999","",IFERROR(VLOOKUP($G16,FACTORY_LOOKUP!$A:$G,7,0),""))</f>
        <v/>
      </c>
    </row>
    <row r="17" spans="2:16" x14ac:dyDescent="0.35">
      <c r="B17" s="9"/>
      <c r="C17" s="9"/>
      <c r="E17" t="s">
        <v>81</v>
      </c>
      <c r="G17" t="s">
        <v>82</v>
      </c>
      <c r="H17" t="s">
        <v>83</v>
      </c>
      <c r="I17" t="s">
        <v>84</v>
      </c>
      <c r="J17" t="s">
        <v>85</v>
      </c>
      <c r="K17" s="10" t="str">
        <f>IF($G17="9999","Dummy Factory",IFERROR(VLOOKUP($G17,FACTORY_LOOKUP!$A:$G,2,0),""))</f>
        <v>Dummy Factory</v>
      </c>
      <c r="L17" s="10" t="str">
        <f>IF($G17="9999","",IFERROR(VLOOKUP($G17,FACTORY_LOOKUP!$A:$G,3,0),""))</f>
        <v/>
      </c>
      <c r="M17" s="10" t="str">
        <f>IF($G17="9999","",IFERROR(VLOOKUP($G17,FACTORY_LOOKUP!$A:$G,4,0),""))</f>
        <v/>
      </c>
      <c r="N17" s="10" t="str">
        <f>IF($G17="9999","",IFERROR(VLOOKUP($G17,FACTORY_LOOKUP!$A:$G,5,0),""))</f>
        <v/>
      </c>
      <c r="O17" s="10" t="str">
        <f>IF($G17="9999","",IFERROR(VLOOKUP($G17,FACTORY_LOOKUP!$A:$G,6,0),""))</f>
        <v/>
      </c>
      <c r="P17" s="10" t="str">
        <f>IF($G17="9999","",IFERROR(VLOOKUP($G17,FACTORY_LOOKUP!$A:$G,7,0),""))</f>
        <v/>
      </c>
    </row>
    <row r="18" spans="2:16" x14ac:dyDescent="0.35">
      <c r="B18" s="9"/>
      <c r="C18" s="9"/>
      <c r="E18" t="s">
        <v>81</v>
      </c>
      <c r="G18" t="s">
        <v>82</v>
      </c>
      <c r="H18" t="s">
        <v>83</v>
      </c>
      <c r="I18" t="s">
        <v>84</v>
      </c>
      <c r="J18" t="s">
        <v>85</v>
      </c>
      <c r="K18" s="10" t="str">
        <f>IF($G18="9999","Dummy Factory",IFERROR(VLOOKUP($G18,FACTORY_LOOKUP!$A:$G,2,0),""))</f>
        <v>Dummy Factory</v>
      </c>
      <c r="L18" s="10" t="str">
        <f>IF($G18="9999","",IFERROR(VLOOKUP($G18,FACTORY_LOOKUP!$A:$G,3,0),""))</f>
        <v/>
      </c>
      <c r="M18" s="10" t="str">
        <f>IF($G18="9999","",IFERROR(VLOOKUP($G18,FACTORY_LOOKUP!$A:$G,4,0),""))</f>
        <v/>
      </c>
      <c r="N18" s="10" t="str">
        <f>IF($G18="9999","",IFERROR(VLOOKUP($G18,FACTORY_LOOKUP!$A:$G,5,0),""))</f>
        <v/>
      </c>
      <c r="O18" s="10" t="str">
        <f>IF($G18="9999","",IFERROR(VLOOKUP($G18,FACTORY_LOOKUP!$A:$G,6,0),""))</f>
        <v/>
      </c>
      <c r="P18" s="10" t="str">
        <f>IF($G18="9999","",IFERROR(VLOOKUP($G18,FACTORY_LOOKUP!$A:$G,7,0),""))</f>
        <v/>
      </c>
    </row>
    <row r="19" spans="2:16" x14ac:dyDescent="0.35">
      <c r="B19" s="9"/>
      <c r="C19" s="9"/>
      <c r="E19" t="s">
        <v>81</v>
      </c>
      <c r="G19" t="s">
        <v>82</v>
      </c>
      <c r="H19" t="s">
        <v>83</v>
      </c>
      <c r="I19" t="s">
        <v>84</v>
      </c>
      <c r="J19" t="s">
        <v>85</v>
      </c>
      <c r="K19" s="10" t="str">
        <f>IF($G19="9999","Dummy Factory",IFERROR(VLOOKUP($G19,FACTORY_LOOKUP!$A:$G,2,0),""))</f>
        <v>Dummy Factory</v>
      </c>
      <c r="L19" s="10" t="str">
        <f>IF($G19="9999","",IFERROR(VLOOKUP($G19,FACTORY_LOOKUP!$A:$G,3,0),""))</f>
        <v/>
      </c>
      <c r="M19" s="10" t="str">
        <f>IF($G19="9999","",IFERROR(VLOOKUP($G19,FACTORY_LOOKUP!$A:$G,4,0),""))</f>
        <v/>
      </c>
      <c r="N19" s="10" t="str">
        <f>IF($G19="9999","",IFERROR(VLOOKUP($G19,FACTORY_LOOKUP!$A:$G,5,0),""))</f>
        <v/>
      </c>
      <c r="O19" s="10" t="str">
        <f>IF($G19="9999","",IFERROR(VLOOKUP($G19,FACTORY_LOOKUP!$A:$G,6,0),""))</f>
        <v/>
      </c>
      <c r="P19" s="10" t="str">
        <f>IF($G19="9999","",IFERROR(VLOOKUP($G19,FACTORY_LOOKUP!$A:$G,7,0),""))</f>
        <v/>
      </c>
    </row>
    <row r="20" spans="2:16" x14ac:dyDescent="0.35">
      <c r="B20" s="9"/>
      <c r="C20" s="9"/>
      <c r="E20" t="s">
        <v>81</v>
      </c>
      <c r="G20" t="s">
        <v>82</v>
      </c>
      <c r="H20" t="s">
        <v>83</v>
      </c>
      <c r="I20" t="s">
        <v>84</v>
      </c>
      <c r="J20" t="s">
        <v>85</v>
      </c>
      <c r="K20" s="10" t="str">
        <f>IF($G20="9999","Dummy Factory",IFERROR(VLOOKUP($G20,FACTORY_LOOKUP!$A:$G,2,0),""))</f>
        <v>Dummy Factory</v>
      </c>
      <c r="L20" s="10" t="str">
        <f>IF($G20="9999","",IFERROR(VLOOKUP($G20,FACTORY_LOOKUP!$A:$G,3,0),""))</f>
        <v/>
      </c>
      <c r="M20" s="10" t="str">
        <f>IF($G20="9999","",IFERROR(VLOOKUP($G20,FACTORY_LOOKUP!$A:$G,4,0),""))</f>
        <v/>
      </c>
      <c r="N20" s="10" t="str">
        <f>IF($G20="9999","",IFERROR(VLOOKUP($G20,FACTORY_LOOKUP!$A:$G,5,0),""))</f>
        <v/>
      </c>
      <c r="O20" s="10" t="str">
        <f>IF($G20="9999","",IFERROR(VLOOKUP($G20,FACTORY_LOOKUP!$A:$G,6,0),""))</f>
        <v/>
      </c>
      <c r="P20" s="10" t="str">
        <f>IF($G20="9999","",IFERROR(VLOOKUP($G20,FACTORY_LOOKUP!$A:$G,7,0),""))</f>
        <v/>
      </c>
    </row>
    <row r="21" spans="2:16" x14ac:dyDescent="0.35">
      <c r="B21" s="9"/>
      <c r="C21" s="9"/>
      <c r="E21" t="s">
        <v>81</v>
      </c>
      <c r="G21" t="s">
        <v>82</v>
      </c>
      <c r="H21" t="s">
        <v>83</v>
      </c>
      <c r="I21" t="s">
        <v>84</v>
      </c>
      <c r="J21" t="s">
        <v>85</v>
      </c>
      <c r="K21" s="10" t="str">
        <f>IF($G21="9999","Dummy Factory",IFERROR(VLOOKUP($G21,FACTORY_LOOKUP!$A:$G,2,0),""))</f>
        <v>Dummy Factory</v>
      </c>
      <c r="L21" s="10" t="str">
        <f>IF($G21="9999","",IFERROR(VLOOKUP($G21,FACTORY_LOOKUP!$A:$G,3,0),""))</f>
        <v/>
      </c>
      <c r="M21" s="10" t="str">
        <f>IF($G21="9999","",IFERROR(VLOOKUP($G21,FACTORY_LOOKUP!$A:$G,4,0),""))</f>
        <v/>
      </c>
      <c r="N21" s="10" t="str">
        <f>IF($G21="9999","",IFERROR(VLOOKUP($G21,FACTORY_LOOKUP!$A:$G,5,0),""))</f>
        <v/>
      </c>
      <c r="O21" s="10" t="str">
        <f>IF($G21="9999","",IFERROR(VLOOKUP($G21,FACTORY_LOOKUP!$A:$G,6,0),""))</f>
        <v/>
      </c>
      <c r="P21" s="10" t="str">
        <f>IF($G21="9999","",IFERROR(VLOOKUP($G21,FACTORY_LOOKUP!$A:$G,7,0),""))</f>
        <v/>
      </c>
    </row>
    <row r="22" spans="2:16" x14ac:dyDescent="0.35">
      <c r="B22" s="9"/>
      <c r="C22" s="9"/>
      <c r="E22" t="s">
        <v>81</v>
      </c>
      <c r="G22" t="s">
        <v>82</v>
      </c>
      <c r="H22" t="s">
        <v>83</v>
      </c>
      <c r="I22" t="s">
        <v>84</v>
      </c>
      <c r="J22" t="s">
        <v>85</v>
      </c>
      <c r="K22" s="10" t="str">
        <f>IF($G22="9999","Dummy Factory",IFERROR(VLOOKUP($G22,FACTORY_LOOKUP!$A:$G,2,0),""))</f>
        <v>Dummy Factory</v>
      </c>
      <c r="L22" s="10" t="str">
        <f>IF($G22="9999","",IFERROR(VLOOKUP($G22,FACTORY_LOOKUP!$A:$G,3,0),""))</f>
        <v/>
      </c>
      <c r="M22" s="10" t="str">
        <f>IF($G22="9999","",IFERROR(VLOOKUP($G22,FACTORY_LOOKUP!$A:$G,4,0),""))</f>
        <v/>
      </c>
      <c r="N22" s="10" t="str">
        <f>IF($G22="9999","",IFERROR(VLOOKUP($G22,FACTORY_LOOKUP!$A:$G,5,0),""))</f>
        <v/>
      </c>
      <c r="O22" s="10" t="str">
        <f>IF($G22="9999","",IFERROR(VLOOKUP($G22,FACTORY_LOOKUP!$A:$G,6,0),""))</f>
        <v/>
      </c>
      <c r="P22" s="10" t="str">
        <f>IF($G22="9999","",IFERROR(VLOOKUP($G22,FACTORY_LOOKUP!$A:$G,7,0),""))</f>
        <v/>
      </c>
    </row>
    <row r="23" spans="2:16" x14ac:dyDescent="0.35">
      <c r="B23" s="9"/>
      <c r="C23" s="9"/>
      <c r="E23" t="s">
        <v>81</v>
      </c>
      <c r="G23" t="s">
        <v>82</v>
      </c>
      <c r="H23" t="s">
        <v>83</v>
      </c>
      <c r="I23" t="s">
        <v>84</v>
      </c>
      <c r="J23" t="s">
        <v>85</v>
      </c>
      <c r="K23" s="10" t="str">
        <f>IF($G23="9999","Dummy Factory",IFERROR(VLOOKUP($G23,FACTORY_LOOKUP!$A:$G,2,0),""))</f>
        <v>Dummy Factory</v>
      </c>
      <c r="L23" s="10" t="str">
        <f>IF($G23="9999","",IFERROR(VLOOKUP($G23,FACTORY_LOOKUP!$A:$G,3,0),""))</f>
        <v/>
      </c>
      <c r="M23" s="10" t="str">
        <f>IF($G23="9999","",IFERROR(VLOOKUP($G23,FACTORY_LOOKUP!$A:$G,4,0),""))</f>
        <v/>
      </c>
      <c r="N23" s="10" t="str">
        <f>IF($G23="9999","",IFERROR(VLOOKUP($G23,FACTORY_LOOKUP!$A:$G,5,0),""))</f>
        <v/>
      </c>
      <c r="O23" s="10" t="str">
        <f>IF($G23="9999","",IFERROR(VLOOKUP($G23,FACTORY_LOOKUP!$A:$G,6,0),""))</f>
        <v/>
      </c>
      <c r="P23" s="10" t="str">
        <f>IF($G23="9999","",IFERROR(VLOOKUP($G23,FACTORY_LOOKUP!$A:$G,7,0),""))</f>
        <v/>
      </c>
    </row>
    <row r="24" spans="2:16" x14ac:dyDescent="0.35">
      <c r="B24" s="9"/>
      <c r="C24" s="9"/>
      <c r="E24" t="s">
        <v>81</v>
      </c>
      <c r="G24" t="s">
        <v>82</v>
      </c>
      <c r="H24" t="s">
        <v>83</v>
      </c>
      <c r="I24" t="s">
        <v>84</v>
      </c>
      <c r="J24" t="s">
        <v>85</v>
      </c>
      <c r="K24" s="10" t="str">
        <f>IF($G24="9999","Dummy Factory",IFERROR(VLOOKUP($G24,FACTORY_LOOKUP!$A:$G,2,0),""))</f>
        <v>Dummy Factory</v>
      </c>
      <c r="L24" s="10" t="str">
        <f>IF($G24="9999","",IFERROR(VLOOKUP($G24,FACTORY_LOOKUP!$A:$G,3,0),""))</f>
        <v/>
      </c>
      <c r="M24" s="10" t="str">
        <f>IF($G24="9999","",IFERROR(VLOOKUP($G24,FACTORY_LOOKUP!$A:$G,4,0),""))</f>
        <v/>
      </c>
      <c r="N24" s="10" t="str">
        <f>IF($G24="9999","",IFERROR(VLOOKUP($G24,FACTORY_LOOKUP!$A:$G,5,0),""))</f>
        <v/>
      </c>
      <c r="O24" s="10" t="str">
        <f>IF($G24="9999","",IFERROR(VLOOKUP($G24,FACTORY_LOOKUP!$A:$G,6,0),""))</f>
        <v/>
      </c>
      <c r="P24" s="10" t="str">
        <f>IF($G24="9999","",IFERROR(VLOOKUP($G24,FACTORY_LOOKUP!$A:$G,7,0),""))</f>
        <v/>
      </c>
    </row>
    <row r="25" spans="2:16" x14ac:dyDescent="0.35">
      <c r="B25" s="9"/>
      <c r="C25" s="9"/>
      <c r="E25" t="s">
        <v>81</v>
      </c>
      <c r="G25" t="s">
        <v>82</v>
      </c>
      <c r="H25" t="s">
        <v>83</v>
      </c>
      <c r="I25" t="s">
        <v>84</v>
      </c>
      <c r="J25" t="s">
        <v>85</v>
      </c>
      <c r="K25" s="10" t="str">
        <f>IF($G25="9999","Dummy Factory",IFERROR(VLOOKUP($G25,FACTORY_LOOKUP!$A:$G,2,0),""))</f>
        <v>Dummy Factory</v>
      </c>
      <c r="L25" s="10" t="str">
        <f>IF($G25="9999","",IFERROR(VLOOKUP($G25,FACTORY_LOOKUP!$A:$G,3,0),""))</f>
        <v/>
      </c>
      <c r="M25" s="10" t="str">
        <f>IF($G25="9999","",IFERROR(VLOOKUP($G25,FACTORY_LOOKUP!$A:$G,4,0),""))</f>
        <v/>
      </c>
      <c r="N25" s="10" t="str">
        <f>IF($G25="9999","",IFERROR(VLOOKUP($G25,FACTORY_LOOKUP!$A:$G,5,0),""))</f>
        <v/>
      </c>
      <c r="O25" s="10" t="str">
        <f>IF($G25="9999","",IFERROR(VLOOKUP($G25,FACTORY_LOOKUP!$A:$G,6,0),""))</f>
        <v/>
      </c>
      <c r="P25" s="10" t="str">
        <f>IF($G25="9999","",IFERROR(VLOOKUP($G25,FACTORY_LOOKUP!$A:$G,7,0),""))</f>
        <v/>
      </c>
    </row>
    <row r="26" spans="2:16" x14ac:dyDescent="0.35">
      <c r="B26" s="9"/>
      <c r="C26" s="9"/>
      <c r="E26" t="s">
        <v>81</v>
      </c>
      <c r="G26" t="s">
        <v>82</v>
      </c>
      <c r="H26" t="s">
        <v>83</v>
      </c>
      <c r="I26" t="s">
        <v>84</v>
      </c>
      <c r="J26" t="s">
        <v>85</v>
      </c>
      <c r="K26" s="10" t="str">
        <f>IF($G26="9999","Dummy Factory",IFERROR(VLOOKUP($G26,FACTORY_LOOKUP!$A:$G,2,0),""))</f>
        <v>Dummy Factory</v>
      </c>
      <c r="L26" s="10" t="str">
        <f>IF($G26="9999","",IFERROR(VLOOKUP($G26,FACTORY_LOOKUP!$A:$G,3,0),""))</f>
        <v/>
      </c>
      <c r="M26" s="10" t="str">
        <f>IF($G26="9999","",IFERROR(VLOOKUP($G26,FACTORY_LOOKUP!$A:$G,4,0),""))</f>
        <v/>
      </c>
      <c r="N26" s="10" t="str">
        <f>IF($G26="9999","",IFERROR(VLOOKUP($G26,FACTORY_LOOKUP!$A:$G,5,0),""))</f>
        <v/>
      </c>
      <c r="O26" s="10" t="str">
        <f>IF($G26="9999","",IFERROR(VLOOKUP($G26,FACTORY_LOOKUP!$A:$G,6,0),""))</f>
        <v/>
      </c>
      <c r="P26" s="10" t="str">
        <f>IF($G26="9999","",IFERROR(VLOOKUP($G26,FACTORY_LOOKUP!$A:$G,7,0),""))</f>
        <v/>
      </c>
    </row>
    <row r="27" spans="2:16" x14ac:dyDescent="0.35">
      <c r="B27" s="9"/>
      <c r="C27" s="9"/>
      <c r="E27" t="s">
        <v>81</v>
      </c>
      <c r="G27" t="s">
        <v>82</v>
      </c>
      <c r="H27" t="s">
        <v>83</v>
      </c>
      <c r="I27" t="s">
        <v>84</v>
      </c>
      <c r="J27" t="s">
        <v>85</v>
      </c>
      <c r="K27" s="10" t="str">
        <f>IF($G27="9999","Dummy Factory",IFERROR(VLOOKUP($G27,FACTORY_LOOKUP!$A:$G,2,0),""))</f>
        <v>Dummy Factory</v>
      </c>
      <c r="L27" s="10" t="str">
        <f>IF($G27="9999","",IFERROR(VLOOKUP($G27,FACTORY_LOOKUP!$A:$G,3,0),""))</f>
        <v/>
      </c>
      <c r="M27" s="10" t="str">
        <f>IF($G27="9999","",IFERROR(VLOOKUP($G27,FACTORY_LOOKUP!$A:$G,4,0),""))</f>
        <v/>
      </c>
      <c r="N27" s="10" t="str">
        <f>IF($G27="9999","",IFERROR(VLOOKUP($G27,FACTORY_LOOKUP!$A:$G,5,0),""))</f>
        <v/>
      </c>
      <c r="O27" s="10" t="str">
        <f>IF($G27="9999","",IFERROR(VLOOKUP($G27,FACTORY_LOOKUP!$A:$G,6,0),""))</f>
        <v/>
      </c>
      <c r="P27" s="10" t="str">
        <f>IF($G27="9999","",IFERROR(VLOOKUP($G27,FACTORY_LOOKUP!$A:$G,7,0),""))</f>
        <v/>
      </c>
    </row>
    <row r="28" spans="2:16" x14ac:dyDescent="0.35">
      <c r="B28" s="9"/>
      <c r="C28" s="9"/>
      <c r="E28" t="s">
        <v>81</v>
      </c>
      <c r="G28" t="s">
        <v>82</v>
      </c>
      <c r="H28" t="s">
        <v>83</v>
      </c>
      <c r="I28" t="s">
        <v>84</v>
      </c>
      <c r="J28" t="s">
        <v>85</v>
      </c>
      <c r="K28" s="10" t="str">
        <f>IF($G28="9999","Dummy Factory",IFERROR(VLOOKUP($G28,FACTORY_LOOKUP!$A:$G,2,0),""))</f>
        <v>Dummy Factory</v>
      </c>
      <c r="L28" s="10" t="str">
        <f>IF($G28="9999","",IFERROR(VLOOKUP($G28,FACTORY_LOOKUP!$A:$G,3,0),""))</f>
        <v/>
      </c>
      <c r="M28" s="10" t="str">
        <f>IF($G28="9999","",IFERROR(VLOOKUP($G28,FACTORY_LOOKUP!$A:$G,4,0),""))</f>
        <v/>
      </c>
      <c r="N28" s="10" t="str">
        <f>IF($G28="9999","",IFERROR(VLOOKUP($G28,FACTORY_LOOKUP!$A:$G,5,0),""))</f>
        <v/>
      </c>
      <c r="O28" s="10" t="str">
        <f>IF($G28="9999","",IFERROR(VLOOKUP($G28,FACTORY_LOOKUP!$A:$G,6,0),""))</f>
        <v/>
      </c>
      <c r="P28" s="10" t="str">
        <f>IF($G28="9999","",IFERROR(VLOOKUP($G28,FACTORY_LOOKUP!$A:$G,7,0),""))</f>
        <v/>
      </c>
    </row>
    <row r="29" spans="2:16" x14ac:dyDescent="0.35">
      <c r="B29" s="9"/>
      <c r="C29" s="9"/>
      <c r="E29" t="s">
        <v>81</v>
      </c>
      <c r="G29" t="s">
        <v>82</v>
      </c>
      <c r="H29" t="s">
        <v>83</v>
      </c>
      <c r="I29" t="s">
        <v>84</v>
      </c>
      <c r="J29" t="s">
        <v>85</v>
      </c>
      <c r="K29" s="10" t="str">
        <f>IF($G29="9999","Dummy Factory",IFERROR(VLOOKUP($G29,FACTORY_LOOKUP!$A:$G,2,0),""))</f>
        <v>Dummy Factory</v>
      </c>
      <c r="L29" s="10" t="str">
        <f>IF($G29="9999","",IFERROR(VLOOKUP($G29,FACTORY_LOOKUP!$A:$G,3,0),""))</f>
        <v/>
      </c>
      <c r="M29" s="10" t="str">
        <f>IF($G29="9999","",IFERROR(VLOOKUP($G29,FACTORY_LOOKUP!$A:$G,4,0),""))</f>
        <v/>
      </c>
      <c r="N29" s="10" t="str">
        <f>IF($G29="9999","",IFERROR(VLOOKUP($G29,FACTORY_LOOKUP!$A:$G,5,0),""))</f>
        <v/>
      </c>
      <c r="O29" s="10" t="str">
        <f>IF($G29="9999","",IFERROR(VLOOKUP($G29,FACTORY_LOOKUP!$A:$G,6,0),""))</f>
        <v/>
      </c>
      <c r="P29" s="10" t="str">
        <f>IF($G29="9999","",IFERROR(VLOOKUP($G29,FACTORY_LOOKUP!$A:$G,7,0),""))</f>
        <v/>
      </c>
    </row>
    <row r="30" spans="2:16" x14ac:dyDescent="0.35">
      <c r="B30" s="9"/>
      <c r="C30" s="9"/>
      <c r="E30" t="s">
        <v>81</v>
      </c>
      <c r="G30" t="s">
        <v>82</v>
      </c>
      <c r="H30" t="s">
        <v>83</v>
      </c>
      <c r="I30" t="s">
        <v>84</v>
      </c>
      <c r="J30" t="s">
        <v>85</v>
      </c>
      <c r="K30" s="10" t="str">
        <f>IF($G30="9999","Dummy Factory",IFERROR(VLOOKUP($G30,FACTORY_LOOKUP!$A:$G,2,0),""))</f>
        <v>Dummy Factory</v>
      </c>
      <c r="L30" s="10" t="str">
        <f>IF($G30="9999","",IFERROR(VLOOKUP($G30,FACTORY_LOOKUP!$A:$G,3,0),""))</f>
        <v/>
      </c>
      <c r="M30" s="10" t="str">
        <f>IF($G30="9999","",IFERROR(VLOOKUP($G30,FACTORY_LOOKUP!$A:$G,4,0),""))</f>
        <v/>
      </c>
      <c r="N30" s="10" t="str">
        <f>IF($G30="9999","",IFERROR(VLOOKUP($G30,FACTORY_LOOKUP!$A:$G,5,0),""))</f>
        <v/>
      </c>
      <c r="O30" s="10" t="str">
        <f>IF($G30="9999","",IFERROR(VLOOKUP($G30,FACTORY_LOOKUP!$A:$G,6,0),""))</f>
        <v/>
      </c>
      <c r="P30" s="10" t="str">
        <f>IF($G30="9999","",IFERROR(VLOOKUP($G30,FACTORY_LOOKUP!$A:$G,7,0),""))</f>
        <v/>
      </c>
    </row>
    <row r="31" spans="2:16" x14ac:dyDescent="0.35">
      <c r="B31" s="9"/>
      <c r="C31" s="9"/>
      <c r="E31" t="s">
        <v>81</v>
      </c>
      <c r="G31" t="s">
        <v>82</v>
      </c>
      <c r="H31" t="s">
        <v>83</v>
      </c>
      <c r="I31" t="s">
        <v>84</v>
      </c>
      <c r="J31" t="s">
        <v>85</v>
      </c>
      <c r="K31" s="10" t="str">
        <f>IF($G31="9999","Dummy Factory",IFERROR(VLOOKUP($G31,FACTORY_LOOKUP!$A:$G,2,0),""))</f>
        <v>Dummy Factory</v>
      </c>
      <c r="L31" s="10" t="str">
        <f>IF($G31="9999","",IFERROR(VLOOKUP($G31,FACTORY_LOOKUP!$A:$G,3,0),""))</f>
        <v/>
      </c>
      <c r="M31" s="10" t="str">
        <f>IF($G31="9999","",IFERROR(VLOOKUP($G31,FACTORY_LOOKUP!$A:$G,4,0),""))</f>
        <v/>
      </c>
      <c r="N31" s="10" t="str">
        <f>IF($G31="9999","",IFERROR(VLOOKUP($G31,FACTORY_LOOKUP!$A:$G,5,0),""))</f>
        <v/>
      </c>
      <c r="O31" s="10" t="str">
        <f>IF($G31="9999","",IFERROR(VLOOKUP($G31,FACTORY_LOOKUP!$A:$G,6,0),""))</f>
        <v/>
      </c>
      <c r="P31" s="10" t="str">
        <f>IF($G31="9999","",IFERROR(VLOOKUP($G31,FACTORY_LOOKUP!$A:$G,7,0),""))</f>
        <v/>
      </c>
    </row>
    <row r="32" spans="2:16" x14ac:dyDescent="0.35">
      <c r="B32" s="9"/>
      <c r="C32" s="9"/>
      <c r="E32" t="s">
        <v>81</v>
      </c>
      <c r="G32" t="s">
        <v>82</v>
      </c>
      <c r="H32" t="s">
        <v>83</v>
      </c>
      <c r="I32" t="s">
        <v>84</v>
      </c>
      <c r="J32" t="s">
        <v>85</v>
      </c>
      <c r="K32" s="10" t="str">
        <f>IF($G32="9999","Dummy Factory",IFERROR(VLOOKUP($G32,FACTORY_LOOKUP!$A:$G,2,0),""))</f>
        <v>Dummy Factory</v>
      </c>
      <c r="L32" s="10" t="str">
        <f>IF($G32="9999","",IFERROR(VLOOKUP($G32,FACTORY_LOOKUP!$A:$G,3,0),""))</f>
        <v/>
      </c>
      <c r="M32" s="10" t="str">
        <f>IF($G32="9999","",IFERROR(VLOOKUP($G32,FACTORY_LOOKUP!$A:$G,4,0),""))</f>
        <v/>
      </c>
      <c r="N32" s="10" t="str">
        <f>IF($G32="9999","",IFERROR(VLOOKUP($G32,FACTORY_LOOKUP!$A:$G,5,0),""))</f>
        <v/>
      </c>
      <c r="O32" s="10" t="str">
        <f>IF($G32="9999","",IFERROR(VLOOKUP($G32,FACTORY_LOOKUP!$A:$G,6,0),""))</f>
        <v/>
      </c>
      <c r="P32" s="10" t="str">
        <f>IF($G32="9999","",IFERROR(VLOOKUP($G32,FACTORY_LOOKUP!$A:$G,7,0),""))</f>
        <v/>
      </c>
    </row>
    <row r="33" spans="2:16" x14ac:dyDescent="0.35">
      <c r="B33" s="9"/>
      <c r="C33" s="9"/>
      <c r="E33" t="s">
        <v>81</v>
      </c>
      <c r="G33" t="s">
        <v>82</v>
      </c>
      <c r="H33" t="s">
        <v>83</v>
      </c>
      <c r="I33" t="s">
        <v>84</v>
      </c>
      <c r="J33" t="s">
        <v>85</v>
      </c>
      <c r="K33" s="10" t="str">
        <f>IF($G33="9999","Dummy Factory",IFERROR(VLOOKUP($G33,FACTORY_LOOKUP!$A:$G,2,0),""))</f>
        <v>Dummy Factory</v>
      </c>
      <c r="L33" s="10" t="str">
        <f>IF($G33="9999","",IFERROR(VLOOKUP($G33,FACTORY_LOOKUP!$A:$G,3,0),""))</f>
        <v/>
      </c>
      <c r="M33" s="10" t="str">
        <f>IF($G33="9999","",IFERROR(VLOOKUP($G33,FACTORY_LOOKUP!$A:$G,4,0),""))</f>
        <v/>
      </c>
      <c r="N33" s="10" t="str">
        <f>IF($G33="9999","",IFERROR(VLOOKUP($G33,FACTORY_LOOKUP!$A:$G,5,0),""))</f>
        <v/>
      </c>
      <c r="O33" s="10" t="str">
        <f>IF($G33="9999","",IFERROR(VLOOKUP($G33,FACTORY_LOOKUP!$A:$G,6,0),""))</f>
        <v/>
      </c>
      <c r="P33" s="10" t="str">
        <f>IF($G33="9999","",IFERROR(VLOOKUP($G33,FACTORY_LOOKUP!$A:$G,7,0),""))</f>
        <v/>
      </c>
    </row>
    <row r="34" spans="2:16" x14ac:dyDescent="0.35">
      <c r="B34" s="9"/>
      <c r="C34" s="9"/>
      <c r="E34" t="s">
        <v>81</v>
      </c>
      <c r="G34" t="s">
        <v>82</v>
      </c>
      <c r="H34" t="s">
        <v>83</v>
      </c>
      <c r="I34" t="s">
        <v>84</v>
      </c>
      <c r="J34" t="s">
        <v>85</v>
      </c>
      <c r="K34" s="10" t="str">
        <f>IF($G34="9999","Dummy Factory",IFERROR(VLOOKUP($G34,FACTORY_LOOKUP!$A:$G,2,0),""))</f>
        <v>Dummy Factory</v>
      </c>
      <c r="L34" s="10" t="str">
        <f>IF($G34="9999","",IFERROR(VLOOKUP($G34,FACTORY_LOOKUP!$A:$G,3,0),""))</f>
        <v/>
      </c>
      <c r="M34" s="10" t="str">
        <f>IF($G34="9999","",IFERROR(VLOOKUP($G34,FACTORY_LOOKUP!$A:$G,4,0),""))</f>
        <v/>
      </c>
      <c r="N34" s="10" t="str">
        <f>IF($G34="9999","",IFERROR(VLOOKUP($G34,FACTORY_LOOKUP!$A:$G,5,0),""))</f>
        <v/>
      </c>
      <c r="O34" s="10" t="str">
        <f>IF($G34="9999","",IFERROR(VLOOKUP($G34,FACTORY_LOOKUP!$A:$G,6,0),""))</f>
        <v/>
      </c>
      <c r="P34" s="10" t="str">
        <f>IF($G34="9999","",IFERROR(VLOOKUP($G34,FACTORY_LOOKUP!$A:$G,7,0),""))</f>
        <v/>
      </c>
    </row>
    <row r="35" spans="2:16" x14ac:dyDescent="0.35">
      <c r="B35" s="9"/>
      <c r="C35" s="9"/>
      <c r="E35" t="s">
        <v>81</v>
      </c>
      <c r="G35" t="s">
        <v>82</v>
      </c>
      <c r="H35" t="s">
        <v>83</v>
      </c>
      <c r="I35" t="s">
        <v>84</v>
      </c>
      <c r="J35" t="s">
        <v>85</v>
      </c>
      <c r="K35" s="10" t="str">
        <f>IF($G35="9999","Dummy Factory",IFERROR(VLOOKUP($G35,FACTORY_LOOKUP!$A:$G,2,0),""))</f>
        <v>Dummy Factory</v>
      </c>
      <c r="L35" s="10" t="str">
        <f>IF($G35="9999","",IFERROR(VLOOKUP($G35,FACTORY_LOOKUP!$A:$G,3,0),""))</f>
        <v/>
      </c>
      <c r="M35" s="10" t="str">
        <f>IF($G35="9999","",IFERROR(VLOOKUP($G35,FACTORY_LOOKUP!$A:$G,4,0),""))</f>
        <v/>
      </c>
      <c r="N35" s="10" t="str">
        <f>IF($G35="9999","",IFERROR(VLOOKUP($G35,FACTORY_LOOKUP!$A:$G,5,0),""))</f>
        <v/>
      </c>
      <c r="O35" s="10" t="str">
        <f>IF($G35="9999","",IFERROR(VLOOKUP($G35,FACTORY_LOOKUP!$A:$G,6,0),""))</f>
        <v/>
      </c>
      <c r="P35" s="10" t="str">
        <f>IF($G35="9999","",IFERROR(VLOOKUP($G35,FACTORY_LOOKUP!$A:$G,7,0),""))</f>
        <v/>
      </c>
    </row>
    <row r="36" spans="2:16" x14ac:dyDescent="0.35">
      <c r="B36" s="9"/>
      <c r="C36" s="9"/>
      <c r="E36" t="s">
        <v>81</v>
      </c>
      <c r="G36" t="s">
        <v>82</v>
      </c>
      <c r="H36" t="s">
        <v>83</v>
      </c>
      <c r="I36" t="s">
        <v>84</v>
      </c>
      <c r="J36" t="s">
        <v>85</v>
      </c>
      <c r="K36" s="10" t="str">
        <f>IF($G36="9999","Dummy Factory",IFERROR(VLOOKUP($G36,FACTORY_LOOKUP!$A:$G,2,0),""))</f>
        <v>Dummy Factory</v>
      </c>
      <c r="L36" s="10" t="str">
        <f>IF($G36="9999","",IFERROR(VLOOKUP($G36,FACTORY_LOOKUP!$A:$G,3,0),""))</f>
        <v/>
      </c>
      <c r="M36" s="10" t="str">
        <f>IF($G36="9999","",IFERROR(VLOOKUP($G36,FACTORY_LOOKUP!$A:$G,4,0),""))</f>
        <v/>
      </c>
      <c r="N36" s="10" t="str">
        <f>IF($G36="9999","",IFERROR(VLOOKUP($G36,FACTORY_LOOKUP!$A:$G,5,0),""))</f>
        <v/>
      </c>
      <c r="O36" s="10" t="str">
        <f>IF($G36="9999","",IFERROR(VLOOKUP($G36,FACTORY_LOOKUP!$A:$G,6,0),""))</f>
        <v/>
      </c>
      <c r="P36" s="10" t="str">
        <f>IF($G36="9999","",IFERROR(VLOOKUP($G36,FACTORY_LOOKUP!$A:$G,7,0),""))</f>
        <v/>
      </c>
    </row>
    <row r="37" spans="2:16" x14ac:dyDescent="0.35">
      <c r="B37" s="9"/>
      <c r="C37" s="9"/>
      <c r="E37" t="s">
        <v>81</v>
      </c>
      <c r="G37" t="s">
        <v>82</v>
      </c>
      <c r="H37" t="s">
        <v>83</v>
      </c>
      <c r="I37" t="s">
        <v>84</v>
      </c>
      <c r="J37" t="s">
        <v>85</v>
      </c>
      <c r="K37" s="10" t="str">
        <f>IF($G37="9999","Dummy Factory",IFERROR(VLOOKUP($G37,FACTORY_LOOKUP!$A:$G,2,0),""))</f>
        <v>Dummy Factory</v>
      </c>
      <c r="L37" s="10" t="str">
        <f>IF($G37="9999","",IFERROR(VLOOKUP($G37,FACTORY_LOOKUP!$A:$G,3,0),""))</f>
        <v/>
      </c>
      <c r="M37" s="10" t="str">
        <f>IF($G37="9999","",IFERROR(VLOOKUP($G37,FACTORY_LOOKUP!$A:$G,4,0),""))</f>
        <v/>
      </c>
      <c r="N37" s="10" t="str">
        <f>IF($G37="9999","",IFERROR(VLOOKUP($G37,FACTORY_LOOKUP!$A:$G,5,0),""))</f>
        <v/>
      </c>
      <c r="O37" s="10" t="str">
        <f>IF($G37="9999","",IFERROR(VLOOKUP($G37,FACTORY_LOOKUP!$A:$G,6,0),""))</f>
        <v/>
      </c>
      <c r="P37" s="10" t="str">
        <f>IF($G37="9999","",IFERROR(VLOOKUP($G37,FACTORY_LOOKUP!$A:$G,7,0),""))</f>
        <v/>
      </c>
    </row>
    <row r="38" spans="2:16" x14ac:dyDescent="0.35">
      <c r="B38" s="9"/>
      <c r="C38" s="9"/>
      <c r="E38" t="s">
        <v>81</v>
      </c>
      <c r="G38" t="s">
        <v>82</v>
      </c>
      <c r="H38" t="s">
        <v>83</v>
      </c>
      <c r="I38" t="s">
        <v>84</v>
      </c>
      <c r="J38" t="s">
        <v>85</v>
      </c>
      <c r="K38" s="10" t="str">
        <f>IF($G38="9999","Dummy Factory",IFERROR(VLOOKUP($G38,FACTORY_LOOKUP!$A:$G,2,0),""))</f>
        <v>Dummy Factory</v>
      </c>
      <c r="L38" s="10" t="str">
        <f>IF($G38="9999","",IFERROR(VLOOKUP($G38,FACTORY_LOOKUP!$A:$G,3,0),""))</f>
        <v/>
      </c>
      <c r="M38" s="10" t="str">
        <f>IF($G38="9999","",IFERROR(VLOOKUP($G38,FACTORY_LOOKUP!$A:$G,4,0),""))</f>
        <v/>
      </c>
      <c r="N38" s="10" t="str">
        <f>IF($G38="9999","",IFERROR(VLOOKUP($G38,FACTORY_LOOKUP!$A:$G,5,0),""))</f>
        <v/>
      </c>
      <c r="O38" s="10" t="str">
        <f>IF($G38="9999","",IFERROR(VLOOKUP($G38,FACTORY_LOOKUP!$A:$G,6,0),""))</f>
        <v/>
      </c>
      <c r="P38" s="10" t="str">
        <f>IF($G38="9999","",IFERROR(VLOOKUP($G38,FACTORY_LOOKUP!$A:$G,7,0),""))</f>
        <v/>
      </c>
    </row>
    <row r="39" spans="2:16" x14ac:dyDescent="0.35">
      <c r="B39" s="9"/>
      <c r="C39" s="9"/>
      <c r="E39" t="s">
        <v>81</v>
      </c>
      <c r="G39" t="s">
        <v>82</v>
      </c>
      <c r="H39" t="s">
        <v>83</v>
      </c>
      <c r="I39" t="s">
        <v>84</v>
      </c>
      <c r="J39" t="s">
        <v>85</v>
      </c>
      <c r="K39" s="10" t="str">
        <f>IF($G39="9999","Dummy Factory",IFERROR(VLOOKUP($G39,FACTORY_LOOKUP!$A:$G,2,0),""))</f>
        <v>Dummy Factory</v>
      </c>
      <c r="L39" s="10" t="str">
        <f>IF($G39="9999","",IFERROR(VLOOKUP($G39,FACTORY_LOOKUP!$A:$G,3,0),""))</f>
        <v/>
      </c>
      <c r="M39" s="10" t="str">
        <f>IF($G39="9999","",IFERROR(VLOOKUP($G39,FACTORY_LOOKUP!$A:$G,4,0),""))</f>
        <v/>
      </c>
      <c r="N39" s="10" t="str">
        <f>IF($G39="9999","",IFERROR(VLOOKUP($G39,FACTORY_LOOKUP!$A:$G,5,0),""))</f>
        <v/>
      </c>
      <c r="O39" s="10" t="str">
        <f>IF($G39="9999","",IFERROR(VLOOKUP($G39,FACTORY_LOOKUP!$A:$G,6,0),""))</f>
        <v/>
      </c>
      <c r="P39" s="10" t="str">
        <f>IF($G39="9999","",IFERROR(VLOOKUP($G39,FACTORY_LOOKUP!$A:$G,7,0),""))</f>
        <v/>
      </c>
    </row>
    <row r="40" spans="2:16" x14ac:dyDescent="0.35">
      <c r="B40" s="9"/>
      <c r="C40" s="9"/>
      <c r="E40" t="s">
        <v>81</v>
      </c>
      <c r="G40" t="s">
        <v>82</v>
      </c>
      <c r="H40" t="s">
        <v>83</v>
      </c>
      <c r="I40" t="s">
        <v>84</v>
      </c>
      <c r="J40" t="s">
        <v>85</v>
      </c>
      <c r="K40" s="10" t="str">
        <f>IF($G40="9999","Dummy Factory",IFERROR(VLOOKUP($G40,FACTORY_LOOKUP!$A:$G,2,0),""))</f>
        <v>Dummy Factory</v>
      </c>
      <c r="L40" s="10" t="str">
        <f>IF($G40="9999","",IFERROR(VLOOKUP($G40,FACTORY_LOOKUP!$A:$G,3,0),""))</f>
        <v/>
      </c>
      <c r="M40" s="10" t="str">
        <f>IF($G40="9999","",IFERROR(VLOOKUP($G40,FACTORY_LOOKUP!$A:$G,4,0),""))</f>
        <v/>
      </c>
      <c r="N40" s="10" t="str">
        <f>IF($G40="9999","",IFERROR(VLOOKUP($G40,FACTORY_LOOKUP!$A:$G,5,0),""))</f>
        <v/>
      </c>
      <c r="O40" s="10" t="str">
        <f>IF($G40="9999","",IFERROR(VLOOKUP($G40,FACTORY_LOOKUP!$A:$G,6,0),""))</f>
        <v/>
      </c>
      <c r="P40" s="10" t="str">
        <f>IF($G40="9999","",IFERROR(VLOOKUP($G40,FACTORY_LOOKUP!$A:$G,7,0),""))</f>
        <v/>
      </c>
    </row>
    <row r="41" spans="2:16" x14ac:dyDescent="0.35">
      <c r="B41" s="9"/>
      <c r="C41" s="9"/>
      <c r="E41" t="s">
        <v>81</v>
      </c>
      <c r="G41" t="s">
        <v>82</v>
      </c>
      <c r="H41" t="s">
        <v>83</v>
      </c>
      <c r="I41" t="s">
        <v>84</v>
      </c>
      <c r="J41" t="s">
        <v>85</v>
      </c>
      <c r="K41" s="10" t="str">
        <f>IF($G41="9999","Dummy Factory",IFERROR(VLOOKUP($G41,FACTORY_LOOKUP!$A:$G,2,0),""))</f>
        <v>Dummy Factory</v>
      </c>
      <c r="L41" s="10" t="str">
        <f>IF($G41="9999","",IFERROR(VLOOKUP($G41,FACTORY_LOOKUP!$A:$G,3,0),""))</f>
        <v/>
      </c>
      <c r="M41" s="10" t="str">
        <f>IF($G41="9999","",IFERROR(VLOOKUP($G41,FACTORY_LOOKUP!$A:$G,4,0),""))</f>
        <v/>
      </c>
      <c r="N41" s="10" t="str">
        <f>IF($G41="9999","",IFERROR(VLOOKUP($G41,FACTORY_LOOKUP!$A:$G,5,0),""))</f>
        <v/>
      </c>
      <c r="O41" s="10" t="str">
        <f>IF($G41="9999","",IFERROR(VLOOKUP($G41,FACTORY_LOOKUP!$A:$G,6,0),""))</f>
        <v/>
      </c>
      <c r="P41" s="10" t="str">
        <f>IF($G41="9999","",IFERROR(VLOOKUP($G41,FACTORY_LOOKUP!$A:$G,7,0),""))</f>
        <v/>
      </c>
    </row>
    <row r="42" spans="2:16" x14ac:dyDescent="0.35">
      <c r="B42" s="9"/>
      <c r="C42" s="9"/>
      <c r="E42" t="s">
        <v>81</v>
      </c>
      <c r="G42" t="s">
        <v>82</v>
      </c>
      <c r="H42" t="s">
        <v>83</v>
      </c>
      <c r="I42" t="s">
        <v>84</v>
      </c>
      <c r="J42" t="s">
        <v>85</v>
      </c>
      <c r="K42" s="10" t="str">
        <f>IF($G42="9999","Dummy Factory",IFERROR(VLOOKUP($G42,FACTORY_LOOKUP!$A:$G,2,0),""))</f>
        <v>Dummy Factory</v>
      </c>
      <c r="L42" s="10" t="str">
        <f>IF($G42="9999","",IFERROR(VLOOKUP($G42,FACTORY_LOOKUP!$A:$G,3,0),""))</f>
        <v/>
      </c>
      <c r="M42" s="10" t="str">
        <f>IF($G42="9999","",IFERROR(VLOOKUP($G42,FACTORY_LOOKUP!$A:$G,4,0),""))</f>
        <v/>
      </c>
      <c r="N42" s="10" t="str">
        <f>IF($G42="9999","",IFERROR(VLOOKUP($G42,FACTORY_LOOKUP!$A:$G,5,0),""))</f>
        <v/>
      </c>
      <c r="O42" s="10" t="str">
        <f>IF($G42="9999","",IFERROR(VLOOKUP($G42,FACTORY_LOOKUP!$A:$G,6,0),""))</f>
        <v/>
      </c>
      <c r="P42" s="10" t="str">
        <f>IF($G42="9999","",IFERROR(VLOOKUP($G42,FACTORY_LOOKUP!$A:$G,7,0),""))</f>
        <v/>
      </c>
    </row>
    <row r="43" spans="2:16" x14ac:dyDescent="0.35">
      <c r="B43" s="9"/>
      <c r="C43" s="9"/>
      <c r="E43" t="s">
        <v>81</v>
      </c>
      <c r="G43" t="s">
        <v>82</v>
      </c>
      <c r="H43" t="s">
        <v>83</v>
      </c>
      <c r="I43" t="s">
        <v>84</v>
      </c>
      <c r="J43" t="s">
        <v>85</v>
      </c>
      <c r="K43" s="10" t="str">
        <f>IF($G43="9999","Dummy Factory",IFERROR(VLOOKUP($G43,FACTORY_LOOKUP!$A:$G,2,0),""))</f>
        <v>Dummy Factory</v>
      </c>
      <c r="L43" s="10" t="str">
        <f>IF($G43="9999","",IFERROR(VLOOKUP($G43,FACTORY_LOOKUP!$A:$G,3,0),""))</f>
        <v/>
      </c>
      <c r="M43" s="10" t="str">
        <f>IF($G43="9999","",IFERROR(VLOOKUP($G43,FACTORY_LOOKUP!$A:$G,4,0),""))</f>
        <v/>
      </c>
      <c r="N43" s="10" t="str">
        <f>IF($G43="9999","",IFERROR(VLOOKUP($G43,FACTORY_LOOKUP!$A:$G,5,0),""))</f>
        <v/>
      </c>
      <c r="O43" s="10" t="str">
        <f>IF($G43="9999","",IFERROR(VLOOKUP($G43,FACTORY_LOOKUP!$A:$G,6,0),""))</f>
        <v/>
      </c>
      <c r="P43" s="10" t="str">
        <f>IF($G43="9999","",IFERROR(VLOOKUP($G43,FACTORY_LOOKUP!$A:$G,7,0),""))</f>
        <v/>
      </c>
    </row>
    <row r="44" spans="2:16" x14ac:dyDescent="0.35">
      <c r="B44" s="9"/>
      <c r="C44" s="9"/>
      <c r="E44" t="s">
        <v>81</v>
      </c>
      <c r="G44" t="s">
        <v>82</v>
      </c>
      <c r="H44" t="s">
        <v>83</v>
      </c>
      <c r="I44" t="s">
        <v>84</v>
      </c>
      <c r="J44" t="s">
        <v>85</v>
      </c>
      <c r="K44" s="10" t="str">
        <f>IF($G44="9999","Dummy Factory",IFERROR(VLOOKUP($G44,FACTORY_LOOKUP!$A:$G,2,0),""))</f>
        <v>Dummy Factory</v>
      </c>
      <c r="L44" s="10" t="str">
        <f>IF($G44="9999","",IFERROR(VLOOKUP($G44,FACTORY_LOOKUP!$A:$G,3,0),""))</f>
        <v/>
      </c>
      <c r="M44" s="10" t="str">
        <f>IF($G44="9999","",IFERROR(VLOOKUP($G44,FACTORY_LOOKUP!$A:$G,4,0),""))</f>
        <v/>
      </c>
      <c r="N44" s="10" t="str">
        <f>IF($G44="9999","",IFERROR(VLOOKUP($G44,FACTORY_LOOKUP!$A:$G,5,0),""))</f>
        <v/>
      </c>
      <c r="O44" s="10" t="str">
        <f>IF($G44="9999","",IFERROR(VLOOKUP($G44,FACTORY_LOOKUP!$A:$G,6,0),""))</f>
        <v/>
      </c>
      <c r="P44" s="10" t="str">
        <f>IF($G44="9999","",IFERROR(VLOOKUP($G44,FACTORY_LOOKUP!$A:$G,7,0),""))</f>
        <v/>
      </c>
    </row>
    <row r="45" spans="2:16" x14ac:dyDescent="0.35">
      <c r="B45" s="9"/>
      <c r="C45" s="9"/>
      <c r="E45" t="s">
        <v>81</v>
      </c>
      <c r="G45" t="s">
        <v>82</v>
      </c>
      <c r="H45" t="s">
        <v>83</v>
      </c>
      <c r="I45" t="s">
        <v>84</v>
      </c>
      <c r="J45" t="s">
        <v>85</v>
      </c>
      <c r="K45" s="10" t="str">
        <f>IF($G45="9999","Dummy Factory",IFERROR(VLOOKUP($G45,FACTORY_LOOKUP!$A:$G,2,0),""))</f>
        <v>Dummy Factory</v>
      </c>
      <c r="L45" s="10" t="str">
        <f>IF($G45="9999","",IFERROR(VLOOKUP($G45,FACTORY_LOOKUP!$A:$G,3,0),""))</f>
        <v/>
      </c>
      <c r="M45" s="10" t="str">
        <f>IF($G45="9999","",IFERROR(VLOOKUP($G45,FACTORY_LOOKUP!$A:$G,4,0),""))</f>
        <v/>
      </c>
      <c r="N45" s="10" t="str">
        <f>IF($G45="9999","",IFERROR(VLOOKUP($G45,FACTORY_LOOKUP!$A:$G,5,0),""))</f>
        <v/>
      </c>
      <c r="O45" s="10" t="str">
        <f>IF($G45="9999","",IFERROR(VLOOKUP($G45,FACTORY_LOOKUP!$A:$G,6,0),""))</f>
        <v/>
      </c>
      <c r="P45" s="10" t="str">
        <f>IF($G45="9999","",IFERROR(VLOOKUP($G45,FACTORY_LOOKUP!$A:$G,7,0),""))</f>
        <v/>
      </c>
    </row>
    <row r="46" spans="2:16" x14ac:dyDescent="0.35">
      <c r="B46" s="9"/>
      <c r="C46" s="9"/>
      <c r="E46" t="s">
        <v>81</v>
      </c>
      <c r="G46" t="s">
        <v>82</v>
      </c>
      <c r="H46" t="s">
        <v>83</v>
      </c>
      <c r="I46" t="s">
        <v>84</v>
      </c>
      <c r="J46" t="s">
        <v>85</v>
      </c>
      <c r="K46" s="10" t="str">
        <f>IF($G46="9999","Dummy Factory",IFERROR(VLOOKUP($G46,FACTORY_LOOKUP!$A:$G,2,0),""))</f>
        <v>Dummy Factory</v>
      </c>
      <c r="L46" s="10" t="str">
        <f>IF($G46="9999","",IFERROR(VLOOKUP($G46,FACTORY_LOOKUP!$A:$G,3,0),""))</f>
        <v/>
      </c>
      <c r="M46" s="10" t="str">
        <f>IF($G46="9999","",IFERROR(VLOOKUP($G46,FACTORY_LOOKUP!$A:$G,4,0),""))</f>
        <v/>
      </c>
      <c r="N46" s="10" t="str">
        <f>IF($G46="9999","",IFERROR(VLOOKUP($G46,FACTORY_LOOKUP!$A:$G,5,0),""))</f>
        <v/>
      </c>
      <c r="O46" s="10" t="str">
        <f>IF($G46="9999","",IFERROR(VLOOKUP($G46,FACTORY_LOOKUP!$A:$G,6,0),""))</f>
        <v/>
      </c>
      <c r="P46" s="10" t="str">
        <f>IF($G46="9999","",IFERROR(VLOOKUP($G46,FACTORY_LOOKUP!$A:$G,7,0),""))</f>
        <v/>
      </c>
    </row>
    <row r="47" spans="2:16" x14ac:dyDescent="0.35">
      <c r="B47" s="9"/>
      <c r="C47" s="9"/>
      <c r="E47" t="s">
        <v>81</v>
      </c>
      <c r="G47" t="s">
        <v>82</v>
      </c>
      <c r="H47" t="s">
        <v>83</v>
      </c>
      <c r="I47" t="s">
        <v>84</v>
      </c>
      <c r="J47" t="s">
        <v>85</v>
      </c>
      <c r="K47" s="10" t="str">
        <f>IF($G47="9999","Dummy Factory",IFERROR(VLOOKUP($G47,FACTORY_LOOKUP!$A:$G,2,0),""))</f>
        <v>Dummy Factory</v>
      </c>
      <c r="L47" s="10" t="str">
        <f>IF($G47="9999","",IFERROR(VLOOKUP($G47,FACTORY_LOOKUP!$A:$G,3,0),""))</f>
        <v/>
      </c>
      <c r="M47" s="10" t="str">
        <f>IF($G47="9999","",IFERROR(VLOOKUP($G47,FACTORY_LOOKUP!$A:$G,4,0),""))</f>
        <v/>
      </c>
      <c r="N47" s="10" t="str">
        <f>IF($G47="9999","",IFERROR(VLOOKUP($G47,FACTORY_LOOKUP!$A:$G,5,0),""))</f>
        <v/>
      </c>
      <c r="O47" s="10" t="str">
        <f>IF($G47="9999","",IFERROR(VLOOKUP($G47,FACTORY_LOOKUP!$A:$G,6,0),""))</f>
        <v/>
      </c>
      <c r="P47" s="10" t="str">
        <f>IF($G47="9999","",IFERROR(VLOOKUP($G47,FACTORY_LOOKUP!$A:$G,7,0),""))</f>
        <v/>
      </c>
    </row>
    <row r="48" spans="2:16" x14ac:dyDescent="0.35">
      <c r="B48" s="9"/>
      <c r="C48" s="9"/>
      <c r="E48" t="s">
        <v>81</v>
      </c>
      <c r="G48" t="s">
        <v>82</v>
      </c>
      <c r="H48" t="s">
        <v>83</v>
      </c>
      <c r="I48" t="s">
        <v>84</v>
      </c>
      <c r="J48" t="s">
        <v>85</v>
      </c>
      <c r="K48" s="10" t="str">
        <f>IF($G48="9999","Dummy Factory",IFERROR(VLOOKUP($G48,FACTORY_LOOKUP!$A:$G,2,0),""))</f>
        <v>Dummy Factory</v>
      </c>
      <c r="L48" s="10" t="str">
        <f>IF($G48="9999","",IFERROR(VLOOKUP($G48,FACTORY_LOOKUP!$A:$G,3,0),""))</f>
        <v/>
      </c>
      <c r="M48" s="10" t="str">
        <f>IF($G48="9999","",IFERROR(VLOOKUP($G48,FACTORY_LOOKUP!$A:$G,4,0),""))</f>
        <v/>
      </c>
      <c r="N48" s="10" t="str">
        <f>IF($G48="9999","",IFERROR(VLOOKUP($G48,FACTORY_LOOKUP!$A:$G,5,0),""))</f>
        <v/>
      </c>
      <c r="O48" s="10" t="str">
        <f>IF($G48="9999","",IFERROR(VLOOKUP($G48,FACTORY_LOOKUP!$A:$G,6,0),""))</f>
        <v/>
      </c>
      <c r="P48" s="10" t="str">
        <f>IF($G48="9999","",IFERROR(VLOOKUP($G48,FACTORY_LOOKUP!$A:$G,7,0),""))</f>
        <v/>
      </c>
    </row>
    <row r="49" spans="2:16" x14ac:dyDescent="0.35">
      <c r="B49" s="9"/>
      <c r="C49" s="9"/>
      <c r="E49" t="s">
        <v>81</v>
      </c>
      <c r="G49" t="s">
        <v>82</v>
      </c>
      <c r="H49" t="s">
        <v>83</v>
      </c>
      <c r="I49" t="s">
        <v>84</v>
      </c>
      <c r="J49" t="s">
        <v>85</v>
      </c>
      <c r="K49" s="10" t="str">
        <f>IF($G49="9999","Dummy Factory",IFERROR(VLOOKUP($G49,FACTORY_LOOKUP!$A:$G,2,0),""))</f>
        <v>Dummy Factory</v>
      </c>
      <c r="L49" s="10" t="str">
        <f>IF($G49="9999","",IFERROR(VLOOKUP($G49,FACTORY_LOOKUP!$A:$G,3,0),""))</f>
        <v/>
      </c>
      <c r="M49" s="10" t="str">
        <f>IF($G49="9999","",IFERROR(VLOOKUP($G49,FACTORY_LOOKUP!$A:$G,4,0),""))</f>
        <v/>
      </c>
      <c r="N49" s="10" t="str">
        <f>IF($G49="9999","",IFERROR(VLOOKUP($G49,FACTORY_LOOKUP!$A:$G,5,0),""))</f>
        <v/>
      </c>
      <c r="O49" s="10" t="str">
        <f>IF($G49="9999","",IFERROR(VLOOKUP($G49,FACTORY_LOOKUP!$A:$G,6,0),""))</f>
        <v/>
      </c>
      <c r="P49" s="10" t="str">
        <f>IF($G49="9999","",IFERROR(VLOOKUP($G49,FACTORY_LOOKUP!$A:$G,7,0),""))</f>
        <v/>
      </c>
    </row>
    <row r="50" spans="2:16" x14ac:dyDescent="0.35">
      <c r="B50" s="9"/>
      <c r="C50" s="9"/>
      <c r="E50" t="s">
        <v>81</v>
      </c>
      <c r="G50" t="s">
        <v>82</v>
      </c>
      <c r="H50" t="s">
        <v>83</v>
      </c>
      <c r="I50" t="s">
        <v>84</v>
      </c>
      <c r="J50" t="s">
        <v>85</v>
      </c>
      <c r="K50" s="10" t="str">
        <f>IF($G50="9999","Dummy Factory",IFERROR(VLOOKUP($G50,FACTORY_LOOKUP!$A:$G,2,0),""))</f>
        <v>Dummy Factory</v>
      </c>
      <c r="L50" s="10" t="str">
        <f>IF($G50="9999","",IFERROR(VLOOKUP($G50,FACTORY_LOOKUP!$A:$G,3,0),""))</f>
        <v/>
      </c>
      <c r="M50" s="10" t="str">
        <f>IF($G50="9999","",IFERROR(VLOOKUP($G50,FACTORY_LOOKUP!$A:$G,4,0),""))</f>
        <v/>
      </c>
      <c r="N50" s="10" t="str">
        <f>IF($G50="9999","",IFERROR(VLOOKUP($G50,FACTORY_LOOKUP!$A:$G,5,0),""))</f>
        <v/>
      </c>
      <c r="O50" s="10" t="str">
        <f>IF($G50="9999","",IFERROR(VLOOKUP($G50,FACTORY_LOOKUP!$A:$G,6,0),""))</f>
        <v/>
      </c>
      <c r="P50" s="10" t="str">
        <f>IF($G50="9999","",IFERROR(VLOOKUP($G50,FACTORY_LOOKUP!$A:$G,7,0),""))</f>
        <v/>
      </c>
    </row>
    <row r="51" spans="2:16" x14ac:dyDescent="0.35">
      <c r="B51" s="9"/>
      <c r="C51" s="9"/>
      <c r="E51" t="s">
        <v>81</v>
      </c>
      <c r="G51" t="s">
        <v>82</v>
      </c>
      <c r="H51" t="s">
        <v>83</v>
      </c>
      <c r="I51" t="s">
        <v>84</v>
      </c>
      <c r="J51" t="s">
        <v>85</v>
      </c>
      <c r="K51" s="10" t="str">
        <f>IF($G51="9999","Dummy Factory",IFERROR(VLOOKUP($G51,FACTORY_LOOKUP!$A:$G,2,0),""))</f>
        <v>Dummy Factory</v>
      </c>
      <c r="L51" s="10" t="str">
        <f>IF($G51="9999","",IFERROR(VLOOKUP($G51,FACTORY_LOOKUP!$A:$G,3,0),""))</f>
        <v/>
      </c>
      <c r="M51" s="10" t="str">
        <f>IF($G51="9999","",IFERROR(VLOOKUP($G51,FACTORY_LOOKUP!$A:$G,4,0),""))</f>
        <v/>
      </c>
      <c r="N51" s="10" t="str">
        <f>IF($G51="9999","",IFERROR(VLOOKUP($G51,FACTORY_LOOKUP!$A:$G,5,0),""))</f>
        <v/>
      </c>
      <c r="O51" s="10" t="str">
        <f>IF($G51="9999","",IFERROR(VLOOKUP($G51,FACTORY_LOOKUP!$A:$G,6,0),""))</f>
        <v/>
      </c>
      <c r="P51" s="10" t="str">
        <f>IF($G51="9999","",IFERROR(VLOOKUP($G51,FACTORY_LOOKUP!$A:$G,7,0),""))</f>
        <v/>
      </c>
    </row>
    <row r="52" spans="2:16" x14ac:dyDescent="0.35">
      <c r="B52" s="9"/>
      <c r="C52" s="9"/>
      <c r="E52" t="s">
        <v>81</v>
      </c>
      <c r="G52" t="s">
        <v>82</v>
      </c>
      <c r="H52" t="s">
        <v>83</v>
      </c>
      <c r="I52" t="s">
        <v>84</v>
      </c>
      <c r="J52" t="s">
        <v>85</v>
      </c>
      <c r="K52" s="10" t="str">
        <f>IF($G52="9999","Dummy Factory",IFERROR(VLOOKUP($G52,FACTORY_LOOKUP!$A:$G,2,0),""))</f>
        <v>Dummy Factory</v>
      </c>
      <c r="L52" s="10" t="str">
        <f>IF($G52="9999","",IFERROR(VLOOKUP($G52,FACTORY_LOOKUP!$A:$G,3,0),""))</f>
        <v/>
      </c>
      <c r="M52" s="10" t="str">
        <f>IF($G52="9999","",IFERROR(VLOOKUP($G52,FACTORY_LOOKUP!$A:$G,4,0),""))</f>
        <v/>
      </c>
      <c r="N52" s="10" t="str">
        <f>IF($G52="9999","",IFERROR(VLOOKUP($G52,FACTORY_LOOKUP!$A:$G,5,0),""))</f>
        <v/>
      </c>
      <c r="O52" s="10" t="str">
        <f>IF($G52="9999","",IFERROR(VLOOKUP($G52,FACTORY_LOOKUP!$A:$G,6,0),""))</f>
        <v/>
      </c>
      <c r="P52" s="10" t="str">
        <f>IF($G52="9999","",IFERROR(VLOOKUP($G52,FACTORY_LOOKUP!$A:$G,7,0),""))</f>
        <v/>
      </c>
    </row>
    <row r="53" spans="2:16" x14ac:dyDescent="0.35">
      <c r="B53" s="9"/>
      <c r="C53" s="9"/>
      <c r="E53" t="s">
        <v>81</v>
      </c>
      <c r="G53" t="s">
        <v>82</v>
      </c>
      <c r="H53" t="s">
        <v>83</v>
      </c>
      <c r="I53" t="s">
        <v>84</v>
      </c>
      <c r="J53" t="s">
        <v>85</v>
      </c>
      <c r="K53" s="10" t="str">
        <f>IF($G53="9999","Dummy Factory",IFERROR(VLOOKUP($G53,FACTORY_LOOKUP!$A:$G,2,0),""))</f>
        <v>Dummy Factory</v>
      </c>
      <c r="L53" s="10" t="str">
        <f>IF($G53="9999","",IFERROR(VLOOKUP($G53,FACTORY_LOOKUP!$A:$G,3,0),""))</f>
        <v/>
      </c>
      <c r="M53" s="10" t="str">
        <f>IF($G53="9999","",IFERROR(VLOOKUP($G53,FACTORY_LOOKUP!$A:$G,4,0),""))</f>
        <v/>
      </c>
      <c r="N53" s="10" t="str">
        <f>IF($G53="9999","",IFERROR(VLOOKUP($G53,FACTORY_LOOKUP!$A:$G,5,0),""))</f>
        <v/>
      </c>
      <c r="O53" s="10" t="str">
        <f>IF($G53="9999","",IFERROR(VLOOKUP($G53,FACTORY_LOOKUP!$A:$G,6,0),""))</f>
        <v/>
      </c>
      <c r="P53" s="10" t="str">
        <f>IF($G53="9999","",IFERROR(VLOOKUP($G53,FACTORY_LOOKUP!$A:$G,7,0),""))</f>
        <v/>
      </c>
    </row>
    <row r="54" spans="2:16" x14ac:dyDescent="0.35">
      <c r="B54" s="9"/>
      <c r="C54" s="9"/>
      <c r="E54" t="s">
        <v>81</v>
      </c>
      <c r="G54" t="s">
        <v>82</v>
      </c>
      <c r="H54" t="s">
        <v>83</v>
      </c>
      <c r="I54" t="s">
        <v>84</v>
      </c>
      <c r="J54" t="s">
        <v>85</v>
      </c>
      <c r="K54" s="10" t="str">
        <f>IF($G54="9999","Dummy Factory",IFERROR(VLOOKUP($G54,FACTORY_LOOKUP!$A:$G,2,0),""))</f>
        <v>Dummy Factory</v>
      </c>
      <c r="L54" s="10" t="str">
        <f>IF($G54="9999","",IFERROR(VLOOKUP($G54,FACTORY_LOOKUP!$A:$G,3,0),""))</f>
        <v/>
      </c>
      <c r="M54" s="10" t="str">
        <f>IF($G54="9999","",IFERROR(VLOOKUP($G54,FACTORY_LOOKUP!$A:$G,4,0),""))</f>
        <v/>
      </c>
      <c r="N54" s="10" t="str">
        <f>IF($G54="9999","",IFERROR(VLOOKUP($G54,FACTORY_LOOKUP!$A:$G,5,0),""))</f>
        <v/>
      </c>
      <c r="O54" s="10" t="str">
        <f>IF($G54="9999","",IFERROR(VLOOKUP($G54,FACTORY_LOOKUP!$A:$G,6,0),""))</f>
        <v/>
      </c>
      <c r="P54" s="10" t="str">
        <f>IF($G54="9999","",IFERROR(VLOOKUP($G54,FACTORY_LOOKUP!$A:$G,7,0),""))</f>
        <v/>
      </c>
    </row>
    <row r="55" spans="2:16" x14ac:dyDescent="0.35">
      <c r="B55" s="9"/>
      <c r="C55" s="9"/>
      <c r="E55" t="s">
        <v>81</v>
      </c>
      <c r="G55" t="s">
        <v>82</v>
      </c>
      <c r="H55" t="s">
        <v>83</v>
      </c>
      <c r="I55" t="s">
        <v>84</v>
      </c>
      <c r="J55" t="s">
        <v>85</v>
      </c>
      <c r="K55" s="10" t="str">
        <f>IF($G55="9999","Dummy Factory",IFERROR(VLOOKUP($G55,FACTORY_LOOKUP!$A:$G,2,0),""))</f>
        <v>Dummy Factory</v>
      </c>
      <c r="L55" s="10" t="str">
        <f>IF($G55="9999","",IFERROR(VLOOKUP($G55,FACTORY_LOOKUP!$A:$G,3,0),""))</f>
        <v/>
      </c>
      <c r="M55" s="10" t="str">
        <f>IF($G55="9999","",IFERROR(VLOOKUP($G55,FACTORY_LOOKUP!$A:$G,4,0),""))</f>
        <v/>
      </c>
      <c r="N55" s="10" t="str">
        <f>IF($G55="9999","",IFERROR(VLOOKUP($G55,FACTORY_LOOKUP!$A:$G,5,0),""))</f>
        <v/>
      </c>
      <c r="O55" s="10" t="str">
        <f>IF($G55="9999","",IFERROR(VLOOKUP($G55,FACTORY_LOOKUP!$A:$G,6,0),""))</f>
        <v/>
      </c>
      <c r="P55" s="10" t="str">
        <f>IF($G55="9999","",IFERROR(VLOOKUP($G55,FACTORY_LOOKUP!$A:$G,7,0),""))</f>
        <v/>
      </c>
    </row>
    <row r="56" spans="2:16" x14ac:dyDescent="0.35">
      <c r="B56" s="9"/>
      <c r="C56" s="9"/>
      <c r="E56" t="s">
        <v>81</v>
      </c>
      <c r="G56" t="s">
        <v>82</v>
      </c>
      <c r="H56" t="s">
        <v>83</v>
      </c>
      <c r="I56" t="s">
        <v>84</v>
      </c>
      <c r="J56" t="s">
        <v>85</v>
      </c>
      <c r="K56" s="10" t="str">
        <f>IF($G56="9999","Dummy Factory",IFERROR(VLOOKUP($G56,FACTORY_LOOKUP!$A:$G,2,0),""))</f>
        <v>Dummy Factory</v>
      </c>
      <c r="L56" s="10" t="str">
        <f>IF($G56="9999","",IFERROR(VLOOKUP($G56,FACTORY_LOOKUP!$A:$G,3,0),""))</f>
        <v/>
      </c>
      <c r="M56" s="10" t="str">
        <f>IF($G56="9999","",IFERROR(VLOOKUP($G56,FACTORY_LOOKUP!$A:$G,4,0),""))</f>
        <v/>
      </c>
      <c r="N56" s="10" t="str">
        <f>IF($G56="9999","",IFERROR(VLOOKUP($G56,FACTORY_LOOKUP!$A:$G,5,0),""))</f>
        <v/>
      </c>
      <c r="O56" s="10" t="str">
        <f>IF($G56="9999","",IFERROR(VLOOKUP($G56,FACTORY_LOOKUP!$A:$G,6,0),""))</f>
        <v/>
      </c>
      <c r="P56" s="10" t="str">
        <f>IF($G56="9999","",IFERROR(VLOOKUP($G56,FACTORY_LOOKUP!$A:$G,7,0),""))</f>
        <v/>
      </c>
    </row>
    <row r="57" spans="2:16" x14ac:dyDescent="0.35">
      <c r="B57" s="9"/>
      <c r="C57" s="9"/>
      <c r="E57" t="s">
        <v>81</v>
      </c>
      <c r="G57" t="s">
        <v>82</v>
      </c>
      <c r="H57" t="s">
        <v>83</v>
      </c>
      <c r="I57" t="s">
        <v>84</v>
      </c>
      <c r="J57" t="s">
        <v>85</v>
      </c>
      <c r="K57" s="10" t="str">
        <f>IF($G57="9999","Dummy Factory",IFERROR(VLOOKUP($G57,FACTORY_LOOKUP!$A:$G,2,0),""))</f>
        <v>Dummy Factory</v>
      </c>
      <c r="L57" s="10" t="str">
        <f>IF($G57="9999","",IFERROR(VLOOKUP($G57,FACTORY_LOOKUP!$A:$G,3,0),""))</f>
        <v/>
      </c>
      <c r="M57" s="10" t="str">
        <f>IF($G57="9999","",IFERROR(VLOOKUP($G57,FACTORY_LOOKUP!$A:$G,4,0),""))</f>
        <v/>
      </c>
      <c r="N57" s="10" t="str">
        <f>IF($G57="9999","",IFERROR(VLOOKUP($G57,FACTORY_LOOKUP!$A:$G,5,0),""))</f>
        <v/>
      </c>
      <c r="O57" s="10" t="str">
        <f>IF($G57="9999","",IFERROR(VLOOKUP($G57,FACTORY_LOOKUP!$A:$G,6,0),""))</f>
        <v/>
      </c>
      <c r="P57" s="10" t="str">
        <f>IF($G57="9999","",IFERROR(VLOOKUP($G57,FACTORY_LOOKUP!$A:$G,7,0),""))</f>
        <v/>
      </c>
    </row>
    <row r="58" spans="2:16" x14ac:dyDescent="0.35">
      <c r="B58" s="9"/>
      <c r="C58" s="9"/>
      <c r="E58" t="s">
        <v>81</v>
      </c>
      <c r="G58" t="s">
        <v>82</v>
      </c>
      <c r="H58" t="s">
        <v>83</v>
      </c>
      <c r="I58" t="s">
        <v>84</v>
      </c>
      <c r="J58" t="s">
        <v>85</v>
      </c>
      <c r="K58" s="10" t="str">
        <f>IF($G58="9999","Dummy Factory",IFERROR(VLOOKUP($G58,FACTORY_LOOKUP!$A:$G,2,0),""))</f>
        <v>Dummy Factory</v>
      </c>
      <c r="L58" s="10" t="str">
        <f>IF($G58="9999","",IFERROR(VLOOKUP($G58,FACTORY_LOOKUP!$A:$G,3,0),""))</f>
        <v/>
      </c>
      <c r="M58" s="10" t="str">
        <f>IF($G58="9999","",IFERROR(VLOOKUP($G58,FACTORY_LOOKUP!$A:$G,4,0),""))</f>
        <v/>
      </c>
      <c r="N58" s="10" t="str">
        <f>IF($G58="9999","",IFERROR(VLOOKUP($G58,FACTORY_LOOKUP!$A:$G,5,0),""))</f>
        <v/>
      </c>
      <c r="O58" s="10" t="str">
        <f>IF($G58="9999","",IFERROR(VLOOKUP($G58,FACTORY_LOOKUP!$A:$G,6,0),""))</f>
        <v/>
      </c>
      <c r="P58" s="10" t="str">
        <f>IF($G58="9999","",IFERROR(VLOOKUP($G58,FACTORY_LOOKUP!$A:$G,7,0),""))</f>
        <v/>
      </c>
    </row>
    <row r="59" spans="2:16" x14ac:dyDescent="0.35">
      <c r="B59" s="9"/>
      <c r="C59" s="9"/>
      <c r="E59" t="s">
        <v>81</v>
      </c>
      <c r="G59" t="s">
        <v>82</v>
      </c>
      <c r="H59" t="s">
        <v>83</v>
      </c>
      <c r="I59" t="s">
        <v>84</v>
      </c>
      <c r="J59" t="s">
        <v>85</v>
      </c>
      <c r="K59" s="10" t="str">
        <f>IF($G59="9999","Dummy Factory",IFERROR(VLOOKUP($G59,FACTORY_LOOKUP!$A:$G,2,0),""))</f>
        <v>Dummy Factory</v>
      </c>
      <c r="L59" s="10" t="str">
        <f>IF($G59="9999","",IFERROR(VLOOKUP($G59,FACTORY_LOOKUP!$A:$G,3,0),""))</f>
        <v/>
      </c>
      <c r="M59" s="10" t="str">
        <f>IF($G59="9999","",IFERROR(VLOOKUP($G59,FACTORY_LOOKUP!$A:$G,4,0),""))</f>
        <v/>
      </c>
      <c r="N59" s="10" t="str">
        <f>IF($G59="9999","",IFERROR(VLOOKUP($G59,FACTORY_LOOKUP!$A:$G,5,0),""))</f>
        <v/>
      </c>
      <c r="O59" s="10" t="str">
        <f>IF($G59="9999","",IFERROR(VLOOKUP($G59,FACTORY_LOOKUP!$A:$G,6,0),""))</f>
        <v/>
      </c>
      <c r="P59" s="10" t="str">
        <f>IF($G59="9999","",IFERROR(VLOOKUP($G59,FACTORY_LOOKUP!$A:$G,7,0),""))</f>
        <v/>
      </c>
    </row>
    <row r="60" spans="2:16" x14ac:dyDescent="0.35">
      <c r="B60" s="9"/>
      <c r="C60" s="9"/>
      <c r="E60" t="s">
        <v>81</v>
      </c>
      <c r="G60" t="s">
        <v>82</v>
      </c>
      <c r="H60" t="s">
        <v>83</v>
      </c>
      <c r="I60" t="s">
        <v>84</v>
      </c>
      <c r="J60" t="s">
        <v>85</v>
      </c>
      <c r="K60" s="10" t="str">
        <f>IF($G60="9999","Dummy Factory",IFERROR(VLOOKUP($G60,FACTORY_LOOKUP!$A:$G,2,0),""))</f>
        <v>Dummy Factory</v>
      </c>
      <c r="L60" s="10" t="str">
        <f>IF($G60="9999","",IFERROR(VLOOKUP($G60,FACTORY_LOOKUP!$A:$G,3,0),""))</f>
        <v/>
      </c>
      <c r="M60" s="10" t="str">
        <f>IF($G60="9999","",IFERROR(VLOOKUP($G60,FACTORY_LOOKUP!$A:$G,4,0),""))</f>
        <v/>
      </c>
      <c r="N60" s="10" t="str">
        <f>IF($G60="9999","",IFERROR(VLOOKUP($G60,FACTORY_LOOKUP!$A:$G,5,0),""))</f>
        <v/>
      </c>
      <c r="O60" s="10" t="str">
        <f>IF($G60="9999","",IFERROR(VLOOKUP($G60,FACTORY_LOOKUP!$A:$G,6,0),""))</f>
        <v/>
      </c>
      <c r="P60" s="10" t="str">
        <f>IF($G60="9999","",IFERROR(VLOOKUP($G60,FACTORY_LOOKUP!$A:$G,7,0),""))</f>
        <v/>
      </c>
    </row>
  </sheetData>
  <mergeCells count="8">
    <mergeCell ref="A6:R6"/>
    <mergeCell ref="A7:R7"/>
    <mergeCell ref="A8:R8"/>
    <mergeCell ref="A1:R1"/>
    <mergeCell ref="A2:R2"/>
    <mergeCell ref="A3:R3"/>
    <mergeCell ref="A4:R4"/>
    <mergeCell ref="A5:R5"/>
  </mergeCells>
  <dataValidations count="8">
    <dataValidation type="textLength" operator="greaterThan" showErrorMessage="1" errorTitle="Required" error="PO_Number cannot be blank" sqref="A11:A60" xr:uid="{00000000-0002-0000-0200-000000000000}">
      <formula1>0</formula1>
    </dataValidation>
    <dataValidation type="date" operator="greaterThan" showErrorMessage="1" errorTitle="Invalid date" error="Enter a valid date (DD/MM/YYYY)" sqref="B11:C60" xr:uid="{00000000-0002-0000-0200-000001000000}">
      <formula1>43831</formula1>
    </dataValidation>
    <dataValidation type="list" showErrorMessage="1" errorTitle="Invalid Traffic Mode" error="Select CFS or CY" sqref="D11:D60" xr:uid="{00000000-0002-0000-0200-000002000000}">
      <formula1>"CFS,CY"</formula1>
    </dataValidation>
    <dataValidation type="list" showErrorMessage="1" errorTitle="Invalid Mode of Transport" error="Select Sea, Air, Road, Rail or Eco" sqref="E11:E60" xr:uid="{00000000-0002-0000-0200-000003000000}">
      <formula1>"Sea,Air,Road,Rail,Eco"</formula1>
    </dataValidation>
    <dataValidation type="list" showErrorMessage="1" errorTitle="Invalid Pack Type" error="Select Flat, Bulk Flat or Hanging" sqref="H11:H60" xr:uid="{00000000-0002-0000-0200-000006000000}">
      <formula1>"Flat,Bulk Flat,Hanging"</formula1>
    </dataValidation>
    <dataValidation type="list" showErrorMessage="1" errorTitle="Invalid Collection Type" error="Select Collection or Delivery" sqref="I11:I60" xr:uid="{00000000-0002-0000-0200-000007000000}">
      <formula1>"Collection,Delivery"</formula1>
    </dataValidation>
    <dataValidation type="list" showErrorMessage="1" errorTitle="Invalid Hazardous" error="Select a hazardous classification" sqref="J11:J60" xr:uid="{00000000-0002-0000-0200-000008000000}">
      <formula1>"Flammable,Glass - Hazardous,Hazardous,N/A"</formula1>
    </dataValidation>
    <dataValidation type="custom" showErrorMessage="1" errorTitle="Invalid Time" error="Enter time as HH:MM (e.g. 09:30) or leave blank" sqref="Q11:Q60" xr:uid="{00000000-0002-0000-0200-000009000000}">
      <formula1>OR(Q11="",AND(LEN(Q11)=5,MID(Q11,3,1)=":",ISNUMBER(VALUE(LEFT(Q11,2))),ISNUMBER(VALUE(RIGHT(Q11,2))),VALUE(LEFT(Q11,2))&lt;=23,VALUE(RIGHT(Q11,2))&lt;=59))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ErrorMessage="1" errorTitle="Invalid Booking Group" error="Select a Booking Group from the list" xr:uid="{00000000-0002-0000-0200-000004000000}">
          <x14:formula1>
            <xm:f>LISTS_LOOKUP!$A$2:$A$28</xm:f>
          </x14:formula1>
          <xm:sqref>F11:F60</xm:sqref>
        </x14:dataValidation>
        <x14:dataValidation type="list" showErrorMessage="1" errorTitle="Invalid Factory ID" error="Select a Factory ID from the FACTORY_LOOKUP tab" xr:uid="{00000000-0002-0000-0200-000005000000}">
          <x14:formula1>
            <xm:f>FACTORY_LOOKUP!$A$3:$A$100</xm:f>
          </x14:formula1>
          <xm:sqref>G11:G60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B2C2C"/>
  </sheetPr>
  <dimension ref="A1:P211"/>
  <sheetViews>
    <sheetView workbookViewId="0">
      <pane xSplit="1" ySplit="11" topLeftCell="B12" activePane="bottomRight" state="frozen"/>
      <selection pane="topRight"/>
      <selection pane="bottomLeft"/>
      <selection pane="bottomRight" activeCell="E14" sqref="E14"/>
    </sheetView>
  </sheetViews>
  <sheetFormatPr defaultRowHeight="14.5" x14ac:dyDescent="0.35"/>
  <cols>
    <col min="1" max="2" width="22" customWidth="1"/>
    <col min="3" max="3" width="14" customWidth="1"/>
    <col min="4" max="5" width="16" customWidth="1"/>
    <col min="6" max="6" width="22" customWidth="1"/>
    <col min="7" max="7" width="18" customWidth="1"/>
    <col min="8" max="9" width="17" customWidth="1"/>
    <col min="10" max="10" width="18" customWidth="1"/>
    <col min="11" max="11" width="17" customWidth="1"/>
    <col min="12" max="12" width="16" customWidth="1"/>
    <col min="13" max="13" width="13" customWidth="1"/>
    <col min="14" max="14" width="18" customWidth="1"/>
    <col min="15" max="15" width="14" customWidth="1"/>
    <col min="16" max="16" width="12" customWidth="1"/>
  </cols>
  <sheetData>
    <row r="1" spans="1:16" ht="14" customHeight="1" x14ac:dyDescent="0.35">
      <c r="A1" s="16" t="s">
        <v>86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pans="1:16" ht="13" customHeight="1" x14ac:dyDescent="0.35">
      <c r="A2" s="17" t="s">
        <v>87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 spans="1:16" ht="13" customHeight="1" x14ac:dyDescent="0.35">
      <c r="A3" s="17" t="s">
        <v>88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</row>
    <row r="4" spans="1:16" ht="13" customHeight="1" x14ac:dyDescent="0.35">
      <c r="A4" s="17" t="s">
        <v>89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 spans="1:16" ht="13" customHeight="1" x14ac:dyDescent="0.35">
      <c r="A5" s="17" t="s">
        <v>90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</row>
    <row r="6" spans="1:16" ht="13" customHeight="1" x14ac:dyDescent="0.35">
      <c r="A6" s="17" t="s">
        <v>91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</row>
    <row r="7" spans="1:16" ht="13" customHeight="1" x14ac:dyDescent="0.35">
      <c r="A7" s="17" t="s">
        <v>92</v>
      </c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</row>
    <row r="8" spans="1:16" ht="13" customHeight="1" x14ac:dyDescent="0.35">
      <c r="A8" s="17" t="s">
        <v>93</v>
      </c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</row>
    <row r="9" spans="1:16" ht="13" customHeight="1" x14ac:dyDescent="0.35">
      <c r="A9" s="17" t="s">
        <v>59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</row>
    <row r="10" spans="1:16" ht="14" customHeight="1" x14ac:dyDescent="0.35">
      <c r="A10" s="1" t="s">
        <v>60</v>
      </c>
      <c r="B10" s="2" t="s">
        <v>61</v>
      </c>
      <c r="C10" s="3" t="s">
        <v>62</v>
      </c>
      <c r="D10" s="4" t="s">
        <v>63</v>
      </c>
    </row>
    <row r="11" spans="1:16" ht="22" customHeight="1" x14ac:dyDescent="0.35">
      <c r="A11" s="5" t="s">
        <v>64</v>
      </c>
      <c r="B11" s="5" t="s">
        <v>94</v>
      </c>
      <c r="C11" s="5" t="s">
        <v>95</v>
      </c>
      <c r="D11" s="5" t="s">
        <v>96</v>
      </c>
      <c r="E11" s="5" t="s">
        <v>97</v>
      </c>
      <c r="F11" s="6" t="s">
        <v>0</v>
      </c>
      <c r="G11" s="7" t="s">
        <v>98</v>
      </c>
      <c r="H11" s="7" t="s">
        <v>99</v>
      </c>
      <c r="I11" s="7" t="s">
        <v>100</v>
      </c>
      <c r="J11" s="7" t="s">
        <v>101</v>
      </c>
      <c r="K11" s="7" t="s">
        <v>102</v>
      </c>
      <c r="L11" s="7" t="s">
        <v>103</v>
      </c>
      <c r="M11" s="7" t="s">
        <v>104</v>
      </c>
      <c r="N11" s="8" t="s">
        <v>105</v>
      </c>
      <c r="O11" s="8" t="s">
        <v>106</v>
      </c>
      <c r="P11" s="8" t="s">
        <v>107</v>
      </c>
    </row>
    <row r="12" spans="1:16" x14ac:dyDescent="0.35">
      <c r="A12" s="19" t="s">
        <v>111</v>
      </c>
      <c r="B12">
        <v>148609059</v>
      </c>
      <c r="C12">
        <v>100</v>
      </c>
      <c r="D12">
        <v>1</v>
      </c>
      <c r="E12" s="11">
        <v>2</v>
      </c>
      <c r="F12" t="s">
        <v>5</v>
      </c>
      <c r="G12" s="12">
        <f>IFERROR(VLOOKUP(F12,CARTON_LOOKUP!$A:$E,3,0),"")</f>
        <v>60</v>
      </c>
      <c r="H12" s="12">
        <f>IFERROR(VLOOKUP(F12,CARTON_LOOKUP!$A:$E,4,0),"")</f>
        <v>30</v>
      </c>
      <c r="I12" s="12">
        <f>IFERROR(VLOOKUP(F12,CARTON_LOOKUP!$A:$E,5,0),"")</f>
        <v>40</v>
      </c>
      <c r="J12" s="13">
        <f>IFERROR(VLOOKUP(F12,CARTON_LOOKUP!$A:$E,2,0),"")</f>
        <v>1.4</v>
      </c>
      <c r="K12" s="13">
        <f t="shared" ref="K12:K43" si="0">IFERROR(J12*D12,0)</f>
        <v>1.4</v>
      </c>
      <c r="L12" s="13">
        <f t="shared" ref="L12:L43" si="1">IFERROR(E12*C12,0)</f>
        <v>200</v>
      </c>
      <c r="M12" s="13">
        <f t="shared" ref="M12:M43" si="2">IFERROR((G12*H12*I12/1000000)*D12,0)</f>
        <v>7.1999999999999995E-2</v>
      </c>
    </row>
    <row r="13" spans="1:16" x14ac:dyDescent="0.35">
      <c r="E13" s="11"/>
      <c r="F13" t="s">
        <v>5</v>
      </c>
      <c r="G13" s="12">
        <f>IFERROR(VLOOKUP(F13,CARTON_LOOKUP!$A:$E,3,0),"")</f>
        <v>60</v>
      </c>
      <c r="H13" s="12">
        <f>IFERROR(VLOOKUP(F13,CARTON_LOOKUP!$A:$E,4,0),"")</f>
        <v>30</v>
      </c>
      <c r="I13" s="12">
        <f>IFERROR(VLOOKUP(F13,CARTON_LOOKUP!$A:$E,5,0),"")</f>
        <v>40</v>
      </c>
      <c r="J13" s="13">
        <f>IFERROR(VLOOKUP(F13,CARTON_LOOKUP!$A:$E,2,0),"")</f>
        <v>1.4</v>
      </c>
      <c r="K13" s="13">
        <f t="shared" si="0"/>
        <v>0</v>
      </c>
      <c r="L13" s="13">
        <f t="shared" si="1"/>
        <v>0</v>
      </c>
      <c r="M13" s="13">
        <f t="shared" si="2"/>
        <v>0</v>
      </c>
    </row>
    <row r="14" spans="1:16" x14ac:dyDescent="0.35">
      <c r="E14" s="11"/>
      <c r="F14" t="s">
        <v>5</v>
      </c>
      <c r="G14" s="12">
        <f>IFERROR(VLOOKUP(F14,CARTON_LOOKUP!$A:$E,3,0),"")</f>
        <v>60</v>
      </c>
      <c r="H14" s="12">
        <f>IFERROR(VLOOKUP(F14,CARTON_LOOKUP!$A:$E,4,0),"")</f>
        <v>30</v>
      </c>
      <c r="I14" s="12">
        <f>IFERROR(VLOOKUP(F14,CARTON_LOOKUP!$A:$E,5,0),"")</f>
        <v>40</v>
      </c>
      <c r="J14" s="13">
        <f>IFERROR(VLOOKUP(F14,CARTON_LOOKUP!$A:$E,2,0),"")</f>
        <v>1.4</v>
      </c>
      <c r="K14" s="13">
        <f t="shared" si="0"/>
        <v>0</v>
      </c>
      <c r="L14" s="13">
        <f t="shared" si="1"/>
        <v>0</v>
      </c>
      <c r="M14" s="13">
        <f t="shared" si="2"/>
        <v>0</v>
      </c>
    </row>
    <row r="15" spans="1:16" x14ac:dyDescent="0.35">
      <c r="E15" s="11"/>
      <c r="F15" t="s">
        <v>5</v>
      </c>
      <c r="G15" s="12">
        <f>IFERROR(VLOOKUP(F15,CARTON_LOOKUP!$A:$E,3,0),"")</f>
        <v>60</v>
      </c>
      <c r="H15" s="12">
        <f>IFERROR(VLOOKUP(F15,CARTON_LOOKUP!$A:$E,4,0),"")</f>
        <v>30</v>
      </c>
      <c r="I15" s="12">
        <f>IFERROR(VLOOKUP(F15,CARTON_LOOKUP!$A:$E,5,0),"")</f>
        <v>40</v>
      </c>
      <c r="J15" s="13">
        <f>IFERROR(VLOOKUP(F15,CARTON_LOOKUP!$A:$E,2,0),"")</f>
        <v>1.4</v>
      </c>
      <c r="K15" s="13">
        <f t="shared" si="0"/>
        <v>0</v>
      </c>
      <c r="L15" s="13">
        <f t="shared" si="1"/>
        <v>0</v>
      </c>
      <c r="M15" s="13">
        <f t="shared" si="2"/>
        <v>0</v>
      </c>
    </row>
    <row r="16" spans="1:16" x14ac:dyDescent="0.35">
      <c r="E16" s="11"/>
      <c r="F16" t="s">
        <v>5</v>
      </c>
      <c r="G16" s="12">
        <f>IFERROR(VLOOKUP(F16,CARTON_LOOKUP!$A:$E,3,0),"")</f>
        <v>60</v>
      </c>
      <c r="H16" s="12">
        <f>IFERROR(VLOOKUP(F16,CARTON_LOOKUP!$A:$E,4,0),"")</f>
        <v>30</v>
      </c>
      <c r="I16" s="12">
        <f>IFERROR(VLOOKUP(F16,CARTON_LOOKUP!$A:$E,5,0),"")</f>
        <v>40</v>
      </c>
      <c r="J16" s="13">
        <f>IFERROR(VLOOKUP(F16,CARTON_LOOKUP!$A:$E,2,0),"")</f>
        <v>1.4</v>
      </c>
      <c r="K16" s="13">
        <f t="shared" si="0"/>
        <v>0</v>
      </c>
      <c r="L16" s="13">
        <f t="shared" si="1"/>
        <v>0</v>
      </c>
      <c r="M16" s="13">
        <f t="shared" si="2"/>
        <v>0</v>
      </c>
    </row>
    <row r="17" spans="5:13" x14ac:dyDescent="0.35">
      <c r="E17" s="11"/>
      <c r="F17" t="s">
        <v>5</v>
      </c>
      <c r="G17" s="12">
        <f>IFERROR(VLOOKUP(F17,CARTON_LOOKUP!$A:$E,3,0),"")</f>
        <v>60</v>
      </c>
      <c r="H17" s="12">
        <f>IFERROR(VLOOKUP(F17,CARTON_LOOKUP!$A:$E,4,0),"")</f>
        <v>30</v>
      </c>
      <c r="I17" s="12">
        <f>IFERROR(VLOOKUP(F17,CARTON_LOOKUP!$A:$E,5,0),"")</f>
        <v>40</v>
      </c>
      <c r="J17" s="13">
        <f>IFERROR(VLOOKUP(F17,CARTON_LOOKUP!$A:$E,2,0),"")</f>
        <v>1.4</v>
      </c>
      <c r="K17" s="13">
        <f t="shared" si="0"/>
        <v>0</v>
      </c>
      <c r="L17" s="13">
        <f t="shared" si="1"/>
        <v>0</v>
      </c>
      <c r="M17" s="13">
        <f t="shared" si="2"/>
        <v>0</v>
      </c>
    </row>
    <row r="18" spans="5:13" x14ac:dyDescent="0.35">
      <c r="E18" s="11"/>
      <c r="F18" t="s">
        <v>5</v>
      </c>
      <c r="G18" s="12">
        <f>IFERROR(VLOOKUP(F18,CARTON_LOOKUP!$A:$E,3,0),"")</f>
        <v>60</v>
      </c>
      <c r="H18" s="12">
        <f>IFERROR(VLOOKUP(F18,CARTON_LOOKUP!$A:$E,4,0),"")</f>
        <v>30</v>
      </c>
      <c r="I18" s="12">
        <f>IFERROR(VLOOKUP(F18,CARTON_LOOKUP!$A:$E,5,0),"")</f>
        <v>40</v>
      </c>
      <c r="J18" s="13">
        <f>IFERROR(VLOOKUP(F18,CARTON_LOOKUP!$A:$E,2,0),"")</f>
        <v>1.4</v>
      </c>
      <c r="K18" s="13">
        <f t="shared" si="0"/>
        <v>0</v>
      </c>
      <c r="L18" s="13">
        <f t="shared" si="1"/>
        <v>0</v>
      </c>
      <c r="M18" s="13">
        <f t="shared" si="2"/>
        <v>0</v>
      </c>
    </row>
    <row r="19" spans="5:13" x14ac:dyDescent="0.35">
      <c r="E19" s="11"/>
      <c r="F19" t="s">
        <v>5</v>
      </c>
      <c r="G19" s="12">
        <f>IFERROR(VLOOKUP(F19,CARTON_LOOKUP!$A:$E,3,0),"")</f>
        <v>60</v>
      </c>
      <c r="H19" s="12">
        <f>IFERROR(VLOOKUP(F19,CARTON_LOOKUP!$A:$E,4,0),"")</f>
        <v>30</v>
      </c>
      <c r="I19" s="12">
        <f>IFERROR(VLOOKUP(F19,CARTON_LOOKUP!$A:$E,5,0),"")</f>
        <v>40</v>
      </c>
      <c r="J19" s="13">
        <f>IFERROR(VLOOKUP(F19,CARTON_LOOKUP!$A:$E,2,0),"")</f>
        <v>1.4</v>
      </c>
      <c r="K19" s="13">
        <f t="shared" si="0"/>
        <v>0</v>
      </c>
      <c r="L19" s="13">
        <f t="shared" si="1"/>
        <v>0</v>
      </c>
      <c r="M19" s="13">
        <f t="shared" si="2"/>
        <v>0</v>
      </c>
    </row>
    <row r="20" spans="5:13" x14ac:dyDescent="0.35">
      <c r="E20" s="11"/>
      <c r="F20" t="s">
        <v>5</v>
      </c>
      <c r="G20" s="12">
        <f>IFERROR(VLOOKUP(F20,CARTON_LOOKUP!$A:$E,3,0),"")</f>
        <v>60</v>
      </c>
      <c r="H20" s="12">
        <f>IFERROR(VLOOKUP(F20,CARTON_LOOKUP!$A:$E,4,0),"")</f>
        <v>30</v>
      </c>
      <c r="I20" s="12">
        <f>IFERROR(VLOOKUP(F20,CARTON_LOOKUP!$A:$E,5,0),"")</f>
        <v>40</v>
      </c>
      <c r="J20" s="13">
        <f>IFERROR(VLOOKUP(F20,CARTON_LOOKUP!$A:$E,2,0),"")</f>
        <v>1.4</v>
      </c>
      <c r="K20" s="13">
        <f t="shared" si="0"/>
        <v>0</v>
      </c>
      <c r="L20" s="13">
        <f t="shared" si="1"/>
        <v>0</v>
      </c>
      <c r="M20" s="13">
        <f t="shared" si="2"/>
        <v>0</v>
      </c>
    </row>
    <row r="21" spans="5:13" x14ac:dyDescent="0.35">
      <c r="E21" s="11"/>
      <c r="F21" t="s">
        <v>5</v>
      </c>
      <c r="G21" s="12">
        <f>IFERROR(VLOOKUP(F21,CARTON_LOOKUP!$A:$E,3,0),"")</f>
        <v>60</v>
      </c>
      <c r="H21" s="12">
        <f>IFERROR(VLOOKUP(F21,CARTON_LOOKUP!$A:$E,4,0),"")</f>
        <v>30</v>
      </c>
      <c r="I21" s="12">
        <f>IFERROR(VLOOKUP(F21,CARTON_LOOKUP!$A:$E,5,0),"")</f>
        <v>40</v>
      </c>
      <c r="J21" s="13">
        <f>IFERROR(VLOOKUP(F21,CARTON_LOOKUP!$A:$E,2,0),"")</f>
        <v>1.4</v>
      </c>
      <c r="K21" s="13">
        <f t="shared" si="0"/>
        <v>0</v>
      </c>
      <c r="L21" s="13">
        <f t="shared" si="1"/>
        <v>0</v>
      </c>
      <c r="M21" s="13">
        <f t="shared" si="2"/>
        <v>0</v>
      </c>
    </row>
    <row r="22" spans="5:13" x14ac:dyDescent="0.35">
      <c r="E22" s="11"/>
      <c r="F22" t="s">
        <v>5</v>
      </c>
      <c r="G22" s="12">
        <f>IFERROR(VLOOKUP(F22,CARTON_LOOKUP!$A:$E,3,0),"")</f>
        <v>60</v>
      </c>
      <c r="H22" s="12">
        <f>IFERROR(VLOOKUP(F22,CARTON_LOOKUP!$A:$E,4,0),"")</f>
        <v>30</v>
      </c>
      <c r="I22" s="12">
        <f>IFERROR(VLOOKUP(F22,CARTON_LOOKUP!$A:$E,5,0),"")</f>
        <v>40</v>
      </c>
      <c r="J22" s="13">
        <f>IFERROR(VLOOKUP(F22,CARTON_LOOKUP!$A:$E,2,0),"")</f>
        <v>1.4</v>
      </c>
      <c r="K22" s="13">
        <f t="shared" si="0"/>
        <v>0</v>
      </c>
      <c r="L22" s="13">
        <f t="shared" si="1"/>
        <v>0</v>
      </c>
      <c r="M22" s="13">
        <f t="shared" si="2"/>
        <v>0</v>
      </c>
    </row>
    <row r="23" spans="5:13" x14ac:dyDescent="0.35">
      <c r="E23" s="11"/>
      <c r="F23" t="s">
        <v>5</v>
      </c>
      <c r="G23" s="12">
        <f>IFERROR(VLOOKUP(F23,CARTON_LOOKUP!$A:$E,3,0),"")</f>
        <v>60</v>
      </c>
      <c r="H23" s="12">
        <f>IFERROR(VLOOKUP(F23,CARTON_LOOKUP!$A:$E,4,0),"")</f>
        <v>30</v>
      </c>
      <c r="I23" s="12">
        <f>IFERROR(VLOOKUP(F23,CARTON_LOOKUP!$A:$E,5,0),"")</f>
        <v>40</v>
      </c>
      <c r="J23" s="13">
        <f>IFERROR(VLOOKUP(F23,CARTON_LOOKUP!$A:$E,2,0),"")</f>
        <v>1.4</v>
      </c>
      <c r="K23" s="13">
        <f t="shared" si="0"/>
        <v>0</v>
      </c>
      <c r="L23" s="13">
        <f t="shared" si="1"/>
        <v>0</v>
      </c>
      <c r="M23" s="13">
        <f t="shared" si="2"/>
        <v>0</v>
      </c>
    </row>
    <row r="24" spans="5:13" x14ac:dyDescent="0.35">
      <c r="E24" s="11"/>
      <c r="F24" t="s">
        <v>5</v>
      </c>
      <c r="G24" s="12">
        <f>IFERROR(VLOOKUP(F24,CARTON_LOOKUP!$A:$E,3,0),"")</f>
        <v>60</v>
      </c>
      <c r="H24" s="12">
        <f>IFERROR(VLOOKUP(F24,CARTON_LOOKUP!$A:$E,4,0),"")</f>
        <v>30</v>
      </c>
      <c r="I24" s="12">
        <f>IFERROR(VLOOKUP(F24,CARTON_LOOKUP!$A:$E,5,0),"")</f>
        <v>40</v>
      </c>
      <c r="J24" s="13">
        <f>IFERROR(VLOOKUP(F24,CARTON_LOOKUP!$A:$E,2,0),"")</f>
        <v>1.4</v>
      </c>
      <c r="K24" s="13">
        <f t="shared" si="0"/>
        <v>0</v>
      </c>
      <c r="L24" s="13">
        <f t="shared" si="1"/>
        <v>0</v>
      </c>
      <c r="M24" s="13">
        <f t="shared" si="2"/>
        <v>0</v>
      </c>
    </row>
    <row r="25" spans="5:13" x14ac:dyDescent="0.35">
      <c r="E25" s="11"/>
      <c r="F25" t="s">
        <v>5</v>
      </c>
      <c r="G25" s="12">
        <f>IFERROR(VLOOKUP(F25,CARTON_LOOKUP!$A:$E,3,0),"")</f>
        <v>60</v>
      </c>
      <c r="H25" s="12">
        <f>IFERROR(VLOOKUP(F25,CARTON_LOOKUP!$A:$E,4,0),"")</f>
        <v>30</v>
      </c>
      <c r="I25" s="12">
        <f>IFERROR(VLOOKUP(F25,CARTON_LOOKUP!$A:$E,5,0),"")</f>
        <v>40</v>
      </c>
      <c r="J25" s="13">
        <f>IFERROR(VLOOKUP(F25,CARTON_LOOKUP!$A:$E,2,0),"")</f>
        <v>1.4</v>
      </c>
      <c r="K25" s="13">
        <f t="shared" si="0"/>
        <v>0</v>
      </c>
      <c r="L25" s="13">
        <f t="shared" si="1"/>
        <v>0</v>
      </c>
      <c r="M25" s="13">
        <f t="shared" si="2"/>
        <v>0</v>
      </c>
    </row>
    <row r="26" spans="5:13" x14ac:dyDescent="0.35">
      <c r="E26" s="11"/>
      <c r="F26" t="s">
        <v>5</v>
      </c>
      <c r="G26" s="12">
        <f>IFERROR(VLOOKUP(F26,CARTON_LOOKUP!$A:$E,3,0),"")</f>
        <v>60</v>
      </c>
      <c r="H26" s="12">
        <f>IFERROR(VLOOKUP(F26,CARTON_LOOKUP!$A:$E,4,0),"")</f>
        <v>30</v>
      </c>
      <c r="I26" s="12">
        <f>IFERROR(VLOOKUP(F26,CARTON_LOOKUP!$A:$E,5,0),"")</f>
        <v>40</v>
      </c>
      <c r="J26" s="13">
        <f>IFERROR(VLOOKUP(F26,CARTON_LOOKUP!$A:$E,2,0),"")</f>
        <v>1.4</v>
      </c>
      <c r="K26" s="13">
        <f t="shared" si="0"/>
        <v>0</v>
      </c>
      <c r="L26" s="13">
        <f t="shared" si="1"/>
        <v>0</v>
      </c>
      <c r="M26" s="13">
        <f t="shared" si="2"/>
        <v>0</v>
      </c>
    </row>
    <row r="27" spans="5:13" x14ac:dyDescent="0.35">
      <c r="E27" s="11"/>
      <c r="F27" t="s">
        <v>5</v>
      </c>
      <c r="G27" s="12">
        <f>IFERROR(VLOOKUP(F27,CARTON_LOOKUP!$A:$E,3,0),"")</f>
        <v>60</v>
      </c>
      <c r="H27" s="12">
        <f>IFERROR(VLOOKUP(F27,CARTON_LOOKUP!$A:$E,4,0),"")</f>
        <v>30</v>
      </c>
      <c r="I27" s="12">
        <f>IFERROR(VLOOKUP(F27,CARTON_LOOKUP!$A:$E,5,0),"")</f>
        <v>40</v>
      </c>
      <c r="J27" s="13">
        <f>IFERROR(VLOOKUP(F27,CARTON_LOOKUP!$A:$E,2,0),"")</f>
        <v>1.4</v>
      </c>
      <c r="K27" s="13">
        <f t="shared" si="0"/>
        <v>0</v>
      </c>
      <c r="L27" s="13">
        <f t="shared" si="1"/>
        <v>0</v>
      </c>
      <c r="M27" s="13">
        <f t="shared" si="2"/>
        <v>0</v>
      </c>
    </row>
    <row r="28" spans="5:13" x14ac:dyDescent="0.35">
      <c r="E28" s="11"/>
      <c r="F28" t="s">
        <v>5</v>
      </c>
      <c r="G28" s="12">
        <f>IFERROR(VLOOKUP(F28,CARTON_LOOKUP!$A:$E,3,0),"")</f>
        <v>60</v>
      </c>
      <c r="H28" s="12">
        <f>IFERROR(VLOOKUP(F28,CARTON_LOOKUP!$A:$E,4,0),"")</f>
        <v>30</v>
      </c>
      <c r="I28" s="12">
        <f>IFERROR(VLOOKUP(F28,CARTON_LOOKUP!$A:$E,5,0),"")</f>
        <v>40</v>
      </c>
      <c r="J28" s="13">
        <f>IFERROR(VLOOKUP(F28,CARTON_LOOKUP!$A:$E,2,0),"")</f>
        <v>1.4</v>
      </c>
      <c r="K28" s="13">
        <f t="shared" si="0"/>
        <v>0</v>
      </c>
      <c r="L28" s="13">
        <f t="shared" si="1"/>
        <v>0</v>
      </c>
      <c r="M28" s="13">
        <f t="shared" si="2"/>
        <v>0</v>
      </c>
    </row>
    <row r="29" spans="5:13" x14ac:dyDescent="0.35">
      <c r="E29" s="11"/>
      <c r="F29" t="s">
        <v>5</v>
      </c>
      <c r="G29" s="12">
        <f>IFERROR(VLOOKUP(F29,CARTON_LOOKUP!$A:$E,3,0),"")</f>
        <v>60</v>
      </c>
      <c r="H29" s="12">
        <f>IFERROR(VLOOKUP(F29,CARTON_LOOKUP!$A:$E,4,0),"")</f>
        <v>30</v>
      </c>
      <c r="I29" s="12">
        <f>IFERROR(VLOOKUP(F29,CARTON_LOOKUP!$A:$E,5,0),"")</f>
        <v>40</v>
      </c>
      <c r="J29" s="13">
        <f>IFERROR(VLOOKUP(F29,CARTON_LOOKUP!$A:$E,2,0),"")</f>
        <v>1.4</v>
      </c>
      <c r="K29" s="13">
        <f t="shared" si="0"/>
        <v>0</v>
      </c>
      <c r="L29" s="13">
        <f t="shared" si="1"/>
        <v>0</v>
      </c>
      <c r="M29" s="13">
        <f t="shared" si="2"/>
        <v>0</v>
      </c>
    </row>
    <row r="30" spans="5:13" x14ac:dyDescent="0.35">
      <c r="E30" s="11"/>
      <c r="F30" t="s">
        <v>5</v>
      </c>
      <c r="G30" s="12">
        <f>IFERROR(VLOOKUP(F30,CARTON_LOOKUP!$A:$E,3,0),"")</f>
        <v>60</v>
      </c>
      <c r="H30" s="12">
        <f>IFERROR(VLOOKUP(F30,CARTON_LOOKUP!$A:$E,4,0),"")</f>
        <v>30</v>
      </c>
      <c r="I30" s="12">
        <f>IFERROR(VLOOKUP(F30,CARTON_LOOKUP!$A:$E,5,0),"")</f>
        <v>40</v>
      </c>
      <c r="J30" s="13">
        <f>IFERROR(VLOOKUP(F30,CARTON_LOOKUP!$A:$E,2,0),"")</f>
        <v>1.4</v>
      </c>
      <c r="K30" s="13">
        <f t="shared" si="0"/>
        <v>0</v>
      </c>
      <c r="L30" s="13">
        <f t="shared" si="1"/>
        <v>0</v>
      </c>
      <c r="M30" s="13">
        <f t="shared" si="2"/>
        <v>0</v>
      </c>
    </row>
    <row r="31" spans="5:13" x14ac:dyDescent="0.35">
      <c r="E31" s="11"/>
      <c r="F31" t="s">
        <v>5</v>
      </c>
      <c r="G31" s="12">
        <f>IFERROR(VLOOKUP(F31,CARTON_LOOKUP!$A:$E,3,0),"")</f>
        <v>60</v>
      </c>
      <c r="H31" s="12">
        <f>IFERROR(VLOOKUP(F31,CARTON_LOOKUP!$A:$E,4,0),"")</f>
        <v>30</v>
      </c>
      <c r="I31" s="12">
        <f>IFERROR(VLOOKUP(F31,CARTON_LOOKUP!$A:$E,5,0),"")</f>
        <v>40</v>
      </c>
      <c r="J31" s="13">
        <f>IFERROR(VLOOKUP(F31,CARTON_LOOKUP!$A:$E,2,0),"")</f>
        <v>1.4</v>
      </c>
      <c r="K31" s="13">
        <f t="shared" si="0"/>
        <v>0</v>
      </c>
      <c r="L31" s="13">
        <f t="shared" si="1"/>
        <v>0</v>
      </c>
      <c r="M31" s="13">
        <f t="shared" si="2"/>
        <v>0</v>
      </c>
    </row>
    <row r="32" spans="5:13" x14ac:dyDescent="0.35">
      <c r="E32" s="11"/>
      <c r="F32" t="s">
        <v>5</v>
      </c>
      <c r="G32" s="12">
        <f>IFERROR(VLOOKUP(F32,CARTON_LOOKUP!$A:$E,3,0),"")</f>
        <v>60</v>
      </c>
      <c r="H32" s="12">
        <f>IFERROR(VLOOKUP(F32,CARTON_LOOKUP!$A:$E,4,0),"")</f>
        <v>30</v>
      </c>
      <c r="I32" s="12">
        <f>IFERROR(VLOOKUP(F32,CARTON_LOOKUP!$A:$E,5,0),"")</f>
        <v>40</v>
      </c>
      <c r="J32" s="13">
        <f>IFERROR(VLOOKUP(F32,CARTON_LOOKUP!$A:$E,2,0),"")</f>
        <v>1.4</v>
      </c>
      <c r="K32" s="13">
        <f t="shared" si="0"/>
        <v>0</v>
      </c>
      <c r="L32" s="13">
        <f t="shared" si="1"/>
        <v>0</v>
      </c>
      <c r="M32" s="13">
        <f t="shared" si="2"/>
        <v>0</v>
      </c>
    </row>
    <row r="33" spans="5:13" x14ac:dyDescent="0.35">
      <c r="E33" s="11"/>
      <c r="F33" t="s">
        <v>5</v>
      </c>
      <c r="G33" s="12">
        <f>IFERROR(VLOOKUP(F33,CARTON_LOOKUP!$A:$E,3,0),"")</f>
        <v>60</v>
      </c>
      <c r="H33" s="12">
        <f>IFERROR(VLOOKUP(F33,CARTON_LOOKUP!$A:$E,4,0),"")</f>
        <v>30</v>
      </c>
      <c r="I33" s="12">
        <f>IFERROR(VLOOKUP(F33,CARTON_LOOKUP!$A:$E,5,0),"")</f>
        <v>40</v>
      </c>
      <c r="J33" s="13">
        <f>IFERROR(VLOOKUP(F33,CARTON_LOOKUP!$A:$E,2,0),"")</f>
        <v>1.4</v>
      </c>
      <c r="K33" s="13">
        <f t="shared" si="0"/>
        <v>0</v>
      </c>
      <c r="L33" s="13">
        <f t="shared" si="1"/>
        <v>0</v>
      </c>
      <c r="M33" s="13">
        <f t="shared" si="2"/>
        <v>0</v>
      </c>
    </row>
    <row r="34" spans="5:13" x14ac:dyDescent="0.35">
      <c r="E34" s="11"/>
      <c r="F34" t="s">
        <v>5</v>
      </c>
      <c r="G34" s="12">
        <f>IFERROR(VLOOKUP(F34,CARTON_LOOKUP!$A:$E,3,0),"")</f>
        <v>60</v>
      </c>
      <c r="H34" s="12">
        <f>IFERROR(VLOOKUP(F34,CARTON_LOOKUP!$A:$E,4,0),"")</f>
        <v>30</v>
      </c>
      <c r="I34" s="12">
        <f>IFERROR(VLOOKUP(F34,CARTON_LOOKUP!$A:$E,5,0),"")</f>
        <v>40</v>
      </c>
      <c r="J34" s="13">
        <f>IFERROR(VLOOKUP(F34,CARTON_LOOKUP!$A:$E,2,0),"")</f>
        <v>1.4</v>
      </c>
      <c r="K34" s="13">
        <f t="shared" si="0"/>
        <v>0</v>
      </c>
      <c r="L34" s="13">
        <f t="shared" si="1"/>
        <v>0</v>
      </c>
      <c r="M34" s="13">
        <f t="shared" si="2"/>
        <v>0</v>
      </c>
    </row>
    <row r="35" spans="5:13" x14ac:dyDescent="0.35">
      <c r="E35" s="11"/>
      <c r="F35" t="s">
        <v>5</v>
      </c>
      <c r="G35" s="12">
        <f>IFERROR(VLOOKUP(F35,CARTON_LOOKUP!$A:$E,3,0),"")</f>
        <v>60</v>
      </c>
      <c r="H35" s="12">
        <f>IFERROR(VLOOKUP(F35,CARTON_LOOKUP!$A:$E,4,0),"")</f>
        <v>30</v>
      </c>
      <c r="I35" s="12">
        <f>IFERROR(VLOOKUP(F35,CARTON_LOOKUP!$A:$E,5,0),"")</f>
        <v>40</v>
      </c>
      <c r="J35" s="13">
        <f>IFERROR(VLOOKUP(F35,CARTON_LOOKUP!$A:$E,2,0),"")</f>
        <v>1.4</v>
      </c>
      <c r="K35" s="13">
        <f t="shared" si="0"/>
        <v>0</v>
      </c>
      <c r="L35" s="13">
        <f t="shared" si="1"/>
        <v>0</v>
      </c>
      <c r="M35" s="13">
        <f t="shared" si="2"/>
        <v>0</v>
      </c>
    </row>
    <row r="36" spans="5:13" x14ac:dyDescent="0.35">
      <c r="E36" s="11"/>
      <c r="F36" t="s">
        <v>5</v>
      </c>
      <c r="G36" s="12">
        <f>IFERROR(VLOOKUP(F36,CARTON_LOOKUP!$A:$E,3,0),"")</f>
        <v>60</v>
      </c>
      <c r="H36" s="12">
        <f>IFERROR(VLOOKUP(F36,CARTON_LOOKUP!$A:$E,4,0),"")</f>
        <v>30</v>
      </c>
      <c r="I36" s="12">
        <f>IFERROR(VLOOKUP(F36,CARTON_LOOKUP!$A:$E,5,0),"")</f>
        <v>40</v>
      </c>
      <c r="J36" s="13">
        <f>IFERROR(VLOOKUP(F36,CARTON_LOOKUP!$A:$E,2,0),"")</f>
        <v>1.4</v>
      </c>
      <c r="K36" s="13">
        <f t="shared" si="0"/>
        <v>0</v>
      </c>
      <c r="L36" s="13">
        <f t="shared" si="1"/>
        <v>0</v>
      </c>
      <c r="M36" s="13">
        <f t="shared" si="2"/>
        <v>0</v>
      </c>
    </row>
    <row r="37" spans="5:13" x14ac:dyDescent="0.35">
      <c r="E37" s="11"/>
      <c r="F37" t="s">
        <v>5</v>
      </c>
      <c r="G37" s="12">
        <f>IFERROR(VLOOKUP(F37,CARTON_LOOKUP!$A:$E,3,0),"")</f>
        <v>60</v>
      </c>
      <c r="H37" s="12">
        <f>IFERROR(VLOOKUP(F37,CARTON_LOOKUP!$A:$E,4,0),"")</f>
        <v>30</v>
      </c>
      <c r="I37" s="12">
        <f>IFERROR(VLOOKUP(F37,CARTON_LOOKUP!$A:$E,5,0),"")</f>
        <v>40</v>
      </c>
      <c r="J37" s="13">
        <f>IFERROR(VLOOKUP(F37,CARTON_LOOKUP!$A:$E,2,0),"")</f>
        <v>1.4</v>
      </c>
      <c r="K37" s="13">
        <f t="shared" si="0"/>
        <v>0</v>
      </c>
      <c r="L37" s="13">
        <f t="shared" si="1"/>
        <v>0</v>
      </c>
      <c r="M37" s="13">
        <f t="shared" si="2"/>
        <v>0</v>
      </c>
    </row>
    <row r="38" spans="5:13" x14ac:dyDescent="0.35">
      <c r="E38" s="11"/>
      <c r="F38" t="s">
        <v>5</v>
      </c>
      <c r="G38" s="12">
        <f>IFERROR(VLOOKUP(F38,CARTON_LOOKUP!$A:$E,3,0),"")</f>
        <v>60</v>
      </c>
      <c r="H38" s="12">
        <f>IFERROR(VLOOKUP(F38,CARTON_LOOKUP!$A:$E,4,0),"")</f>
        <v>30</v>
      </c>
      <c r="I38" s="12">
        <f>IFERROR(VLOOKUP(F38,CARTON_LOOKUP!$A:$E,5,0),"")</f>
        <v>40</v>
      </c>
      <c r="J38" s="13">
        <f>IFERROR(VLOOKUP(F38,CARTON_LOOKUP!$A:$E,2,0),"")</f>
        <v>1.4</v>
      </c>
      <c r="K38" s="13">
        <f t="shared" si="0"/>
        <v>0</v>
      </c>
      <c r="L38" s="13">
        <f t="shared" si="1"/>
        <v>0</v>
      </c>
      <c r="M38" s="13">
        <f t="shared" si="2"/>
        <v>0</v>
      </c>
    </row>
    <row r="39" spans="5:13" x14ac:dyDescent="0.35">
      <c r="E39" s="11"/>
      <c r="F39" t="s">
        <v>5</v>
      </c>
      <c r="G39" s="12">
        <f>IFERROR(VLOOKUP(F39,CARTON_LOOKUP!$A:$E,3,0),"")</f>
        <v>60</v>
      </c>
      <c r="H39" s="12">
        <f>IFERROR(VLOOKUP(F39,CARTON_LOOKUP!$A:$E,4,0),"")</f>
        <v>30</v>
      </c>
      <c r="I39" s="12">
        <f>IFERROR(VLOOKUP(F39,CARTON_LOOKUP!$A:$E,5,0),"")</f>
        <v>40</v>
      </c>
      <c r="J39" s="13">
        <f>IFERROR(VLOOKUP(F39,CARTON_LOOKUP!$A:$E,2,0),"")</f>
        <v>1.4</v>
      </c>
      <c r="K39" s="13">
        <f t="shared" si="0"/>
        <v>0</v>
      </c>
      <c r="L39" s="13">
        <f t="shared" si="1"/>
        <v>0</v>
      </c>
      <c r="M39" s="13">
        <f t="shared" si="2"/>
        <v>0</v>
      </c>
    </row>
    <row r="40" spans="5:13" x14ac:dyDescent="0.35">
      <c r="E40" s="11"/>
      <c r="F40" t="s">
        <v>5</v>
      </c>
      <c r="G40" s="12">
        <f>IFERROR(VLOOKUP(F40,CARTON_LOOKUP!$A:$E,3,0),"")</f>
        <v>60</v>
      </c>
      <c r="H40" s="12">
        <f>IFERROR(VLOOKUP(F40,CARTON_LOOKUP!$A:$E,4,0),"")</f>
        <v>30</v>
      </c>
      <c r="I40" s="12">
        <f>IFERROR(VLOOKUP(F40,CARTON_LOOKUP!$A:$E,5,0),"")</f>
        <v>40</v>
      </c>
      <c r="J40" s="13">
        <f>IFERROR(VLOOKUP(F40,CARTON_LOOKUP!$A:$E,2,0),"")</f>
        <v>1.4</v>
      </c>
      <c r="K40" s="13">
        <f t="shared" si="0"/>
        <v>0</v>
      </c>
      <c r="L40" s="13">
        <f t="shared" si="1"/>
        <v>0</v>
      </c>
      <c r="M40" s="13">
        <f t="shared" si="2"/>
        <v>0</v>
      </c>
    </row>
    <row r="41" spans="5:13" x14ac:dyDescent="0.35">
      <c r="E41" s="11"/>
      <c r="F41" t="s">
        <v>5</v>
      </c>
      <c r="G41" s="12">
        <f>IFERROR(VLOOKUP(F41,CARTON_LOOKUP!$A:$E,3,0),"")</f>
        <v>60</v>
      </c>
      <c r="H41" s="12">
        <f>IFERROR(VLOOKUP(F41,CARTON_LOOKUP!$A:$E,4,0),"")</f>
        <v>30</v>
      </c>
      <c r="I41" s="12">
        <f>IFERROR(VLOOKUP(F41,CARTON_LOOKUP!$A:$E,5,0),"")</f>
        <v>40</v>
      </c>
      <c r="J41" s="13">
        <f>IFERROR(VLOOKUP(F41,CARTON_LOOKUP!$A:$E,2,0),"")</f>
        <v>1.4</v>
      </c>
      <c r="K41" s="13">
        <f t="shared" si="0"/>
        <v>0</v>
      </c>
      <c r="L41" s="13">
        <f t="shared" si="1"/>
        <v>0</v>
      </c>
      <c r="M41" s="13">
        <f t="shared" si="2"/>
        <v>0</v>
      </c>
    </row>
    <row r="42" spans="5:13" x14ac:dyDescent="0.35">
      <c r="E42" s="11"/>
      <c r="F42" t="s">
        <v>5</v>
      </c>
      <c r="G42" s="12">
        <f>IFERROR(VLOOKUP(F42,CARTON_LOOKUP!$A:$E,3,0),"")</f>
        <v>60</v>
      </c>
      <c r="H42" s="12">
        <f>IFERROR(VLOOKUP(F42,CARTON_LOOKUP!$A:$E,4,0),"")</f>
        <v>30</v>
      </c>
      <c r="I42" s="12">
        <f>IFERROR(VLOOKUP(F42,CARTON_LOOKUP!$A:$E,5,0),"")</f>
        <v>40</v>
      </c>
      <c r="J42" s="13">
        <f>IFERROR(VLOOKUP(F42,CARTON_LOOKUP!$A:$E,2,0),"")</f>
        <v>1.4</v>
      </c>
      <c r="K42" s="13">
        <f t="shared" si="0"/>
        <v>0</v>
      </c>
      <c r="L42" s="13">
        <f t="shared" si="1"/>
        <v>0</v>
      </c>
      <c r="M42" s="13">
        <f t="shared" si="2"/>
        <v>0</v>
      </c>
    </row>
    <row r="43" spans="5:13" x14ac:dyDescent="0.35">
      <c r="E43" s="11"/>
      <c r="F43" t="s">
        <v>5</v>
      </c>
      <c r="G43" s="12">
        <f>IFERROR(VLOOKUP(F43,CARTON_LOOKUP!$A:$E,3,0),"")</f>
        <v>60</v>
      </c>
      <c r="H43" s="12">
        <f>IFERROR(VLOOKUP(F43,CARTON_LOOKUP!$A:$E,4,0),"")</f>
        <v>30</v>
      </c>
      <c r="I43" s="12">
        <f>IFERROR(VLOOKUP(F43,CARTON_LOOKUP!$A:$E,5,0),"")</f>
        <v>40</v>
      </c>
      <c r="J43" s="13">
        <f>IFERROR(VLOOKUP(F43,CARTON_LOOKUP!$A:$E,2,0),"")</f>
        <v>1.4</v>
      </c>
      <c r="K43" s="13">
        <f t="shared" si="0"/>
        <v>0</v>
      </c>
      <c r="L43" s="13">
        <f t="shared" si="1"/>
        <v>0</v>
      </c>
      <c r="M43" s="13">
        <f t="shared" si="2"/>
        <v>0</v>
      </c>
    </row>
    <row r="44" spans="5:13" x14ac:dyDescent="0.35">
      <c r="E44" s="11"/>
      <c r="F44" t="s">
        <v>5</v>
      </c>
      <c r="G44" s="12">
        <f>IFERROR(VLOOKUP(F44,CARTON_LOOKUP!$A:$E,3,0),"")</f>
        <v>60</v>
      </c>
      <c r="H44" s="12">
        <f>IFERROR(VLOOKUP(F44,CARTON_LOOKUP!$A:$E,4,0),"")</f>
        <v>30</v>
      </c>
      <c r="I44" s="12">
        <f>IFERROR(VLOOKUP(F44,CARTON_LOOKUP!$A:$E,5,0),"")</f>
        <v>40</v>
      </c>
      <c r="J44" s="13">
        <f>IFERROR(VLOOKUP(F44,CARTON_LOOKUP!$A:$E,2,0),"")</f>
        <v>1.4</v>
      </c>
      <c r="K44" s="13">
        <f t="shared" ref="K44:K75" si="3">IFERROR(J44*D44,0)</f>
        <v>0</v>
      </c>
      <c r="L44" s="13">
        <f t="shared" ref="L44:L75" si="4">IFERROR(E44*C44,0)</f>
        <v>0</v>
      </c>
      <c r="M44" s="13">
        <f t="shared" ref="M44:M75" si="5">IFERROR((G44*H44*I44/1000000)*D44,0)</f>
        <v>0</v>
      </c>
    </row>
    <row r="45" spans="5:13" x14ac:dyDescent="0.35">
      <c r="E45" s="11"/>
      <c r="F45" t="s">
        <v>5</v>
      </c>
      <c r="G45" s="12">
        <f>IFERROR(VLOOKUP(F45,CARTON_LOOKUP!$A:$E,3,0),"")</f>
        <v>60</v>
      </c>
      <c r="H45" s="12">
        <f>IFERROR(VLOOKUP(F45,CARTON_LOOKUP!$A:$E,4,0),"")</f>
        <v>30</v>
      </c>
      <c r="I45" s="12">
        <f>IFERROR(VLOOKUP(F45,CARTON_LOOKUP!$A:$E,5,0),"")</f>
        <v>40</v>
      </c>
      <c r="J45" s="13">
        <f>IFERROR(VLOOKUP(F45,CARTON_LOOKUP!$A:$E,2,0),"")</f>
        <v>1.4</v>
      </c>
      <c r="K45" s="13">
        <f t="shared" si="3"/>
        <v>0</v>
      </c>
      <c r="L45" s="13">
        <f t="shared" si="4"/>
        <v>0</v>
      </c>
      <c r="M45" s="13">
        <f t="shared" si="5"/>
        <v>0</v>
      </c>
    </row>
    <row r="46" spans="5:13" x14ac:dyDescent="0.35">
      <c r="E46" s="11"/>
      <c r="F46" t="s">
        <v>5</v>
      </c>
      <c r="G46" s="12">
        <f>IFERROR(VLOOKUP(F46,CARTON_LOOKUP!$A:$E,3,0),"")</f>
        <v>60</v>
      </c>
      <c r="H46" s="12">
        <f>IFERROR(VLOOKUP(F46,CARTON_LOOKUP!$A:$E,4,0),"")</f>
        <v>30</v>
      </c>
      <c r="I46" s="12">
        <f>IFERROR(VLOOKUP(F46,CARTON_LOOKUP!$A:$E,5,0),"")</f>
        <v>40</v>
      </c>
      <c r="J46" s="13">
        <f>IFERROR(VLOOKUP(F46,CARTON_LOOKUP!$A:$E,2,0),"")</f>
        <v>1.4</v>
      </c>
      <c r="K46" s="13">
        <f t="shared" si="3"/>
        <v>0</v>
      </c>
      <c r="L46" s="13">
        <f t="shared" si="4"/>
        <v>0</v>
      </c>
      <c r="M46" s="13">
        <f t="shared" si="5"/>
        <v>0</v>
      </c>
    </row>
    <row r="47" spans="5:13" x14ac:dyDescent="0.35">
      <c r="E47" s="11"/>
      <c r="F47" t="s">
        <v>5</v>
      </c>
      <c r="G47" s="12">
        <f>IFERROR(VLOOKUP(F47,CARTON_LOOKUP!$A:$E,3,0),"")</f>
        <v>60</v>
      </c>
      <c r="H47" s="12">
        <f>IFERROR(VLOOKUP(F47,CARTON_LOOKUP!$A:$E,4,0),"")</f>
        <v>30</v>
      </c>
      <c r="I47" s="12">
        <f>IFERROR(VLOOKUP(F47,CARTON_LOOKUP!$A:$E,5,0),"")</f>
        <v>40</v>
      </c>
      <c r="J47" s="13">
        <f>IFERROR(VLOOKUP(F47,CARTON_LOOKUP!$A:$E,2,0),"")</f>
        <v>1.4</v>
      </c>
      <c r="K47" s="13">
        <f t="shared" si="3"/>
        <v>0</v>
      </c>
      <c r="L47" s="13">
        <f t="shared" si="4"/>
        <v>0</v>
      </c>
      <c r="M47" s="13">
        <f t="shared" si="5"/>
        <v>0</v>
      </c>
    </row>
    <row r="48" spans="5:13" x14ac:dyDescent="0.35">
      <c r="E48" s="11"/>
      <c r="F48" t="s">
        <v>5</v>
      </c>
      <c r="G48" s="12">
        <f>IFERROR(VLOOKUP(F48,CARTON_LOOKUP!$A:$E,3,0),"")</f>
        <v>60</v>
      </c>
      <c r="H48" s="12">
        <f>IFERROR(VLOOKUP(F48,CARTON_LOOKUP!$A:$E,4,0),"")</f>
        <v>30</v>
      </c>
      <c r="I48" s="12">
        <f>IFERROR(VLOOKUP(F48,CARTON_LOOKUP!$A:$E,5,0),"")</f>
        <v>40</v>
      </c>
      <c r="J48" s="13">
        <f>IFERROR(VLOOKUP(F48,CARTON_LOOKUP!$A:$E,2,0),"")</f>
        <v>1.4</v>
      </c>
      <c r="K48" s="13">
        <f t="shared" si="3"/>
        <v>0</v>
      </c>
      <c r="L48" s="13">
        <f t="shared" si="4"/>
        <v>0</v>
      </c>
      <c r="M48" s="13">
        <f t="shared" si="5"/>
        <v>0</v>
      </c>
    </row>
    <row r="49" spans="5:13" x14ac:dyDescent="0.35">
      <c r="E49" s="11"/>
      <c r="F49" t="s">
        <v>5</v>
      </c>
      <c r="G49" s="12">
        <f>IFERROR(VLOOKUP(F49,CARTON_LOOKUP!$A:$E,3,0),"")</f>
        <v>60</v>
      </c>
      <c r="H49" s="12">
        <f>IFERROR(VLOOKUP(F49,CARTON_LOOKUP!$A:$E,4,0),"")</f>
        <v>30</v>
      </c>
      <c r="I49" s="12">
        <f>IFERROR(VLOOKUP(F49,CARTON_LOOKUP!$A:$E,5,0),"")</f>
        <v>40</v>
      </c>
      <c r="J49" s="13">
        <f>IFERROR(VLOOKUP(F49,CARTON_LOOKUP!$A:$E,2,0),"")</f>
        <v>1.4</v>
      </c>
      <c r="K49" s="13">
        <f t="shared" si="3"/>
        <v>0</v>
      </c>
      <c r="L49" s="13">
        <f t="shared" si="4"/>
        <v>0</v>
      </c>
      <c r="M49" s="13">
        <f t="shared" si="5"/>
        <v>0</v>
      </c>
    </row>
    <row r="50" spans="5:13" x14ac:dyDescent="0.35">
      <c r="E50" s="11"/>
      <c r="F50" t="s">
        <v>5</v>
      </c>
      <c r="G50" s="12">
        <f>IFERROR(VLOOKUP(F50,CARTON_LOOKUP!$A:$E,3,0),"")</f>
        <v>60</v>
      </c>
      <c r="H50" s="12">
        <f>IFERROR(VLOOKUP(F50,CARTON_LOOKUP!$A:$E,4,0),"")</f>
        <v>30</v>
      </c>
      <c r="I50" s="12">
        <f>IFERROR(VLOOKUP(F50,CARTON_LOOKUP!$A:$E,5,0),"")</f>
        <v>40</v>
      </c>
      <c r="J50" s="13">
        <f>IFERROR(VLOOKUP(F50,CARTON_LOOKUP!$A:$E,2,0),"")</f>
        <v>1.4</v>
      </c>
      <c r="K50" s="13">
        <f t="shared" si="3"/>
        <v>0</v>
      </c>
      <c r="L50" s="13">
        <f t="shared" si="4"/>
        <v>0</v>
      </c>
      <c r="M50" s="13">
        <f t="shared" si="5"/>
        <v>0</v>
      </c>
    </row>
    <row r="51" spans="5:13" x14ac:dyDescent="0.35">
      <c r="E51" s="11"/>
      <c r="F51" t="s">
        <v>5</v>
      </c>
      <c r="G51" s="12">
        <f>IFERROR(VLOOKUP(F51,CARTON_LOOKUP!$A:$E,3,0),"")</f>
        <v>60</v>
      </c>
      <c r="H51" s="12">
        <f>IFERROR(VLOOKUP(F51,CARTON_LOOKUP!$A:$E,4,0),"")</f>
        <v>30</v>
      </c>
      <c r="I51" s="12">
        <f>IFERROR(VLOOKUP(F51,CARTON_LOOKUP!$A:$E,5,0),"")</f>
        <v>40</v>
      </c>
      <c r="J51" s="13">
        <f>IFERROR(VLOOKUP(F51,CARTON_LOOKUP!$A:$E,2,0),"")</f>
        <v>1.4</v>
      </c>
      <c r="K51" s="13">
        <f t="shared" si="3"/>
        <v>0</v>
      </c>
      <c r="L51" s="13">
        <f t="shared" si="4"/>
        <v>0</v>
      </c>
      <c r="M51" s="13">
        <f t="shared" si="5"/>
        <v>0</v>
      </c>
    </row>
    <row r="52" spans="5:13" x14ac:dyDescent="0.35">
      <c r="E52" s="11"/>
      <c r="F52" t="s">
        <v>5</v>
      </c>
      <c r="G52" s="12">
        <f>IFERROR(VLOOKUP(F52,CARTON_LOOKUP!$A:$E,3,0),"")</f>
        <v>60</v>
      </c>
      <c r="H52" s="12">
        <f>IFERROR(VLOOKUP(F52,CARTON_LOOKUP!$A:$E,4,0),"")</f>
        <v>30</v>
      </c>
      <c r="I52" s="12">
        <f>IFERROR(VLOOKUP(F52,CARTON_LOOKUP!$A:$E,5,0),"")</f>
        <v>40</v>
      </c>
      <c r="J52" s="13">
        <f>IFERROR(VLOOKUP(F52,CARTON_LOOKUP!$A:$E,2,0),"")</f>
        <v>1.4</v>
      </c>
      <c r="K52" s="13">
        <f t="shared" si="3"/>
        <v>0</v>
      </c>
      <c r="L52" s="13">
        <f t="shared" si="4"/>
        <v>0</v>
      </c>
      <c r="M52" s="13">
        <f t="shared" si="5"/>
        <v>0</v>
      </c>
    </row>
    <row r="53" spans="5:13" x14ac:dyDescent="0.35">
      <c r="E53" s="11"/>
      <c r="F53" t="s">
        <v>5</v>
      </c>
      <c r="G53" s="12">
        <f>IFERROR(VLOOKUP(F53,CARTON_LOOKUP!$A:$E,3,0),"")</f>
        <v>60</v>
      </c>
      <c r="H53" s="12">
        <f>IFERROR(VLOOKUP(F53,CARTON_LOOKUP!$A:$E,4,0),"")</f>
        <v>30</v>
      </c>
      <c r="I53" s="12">
        <f>IFERROR(VLOOKUP(F53,CARTON_LOOKUP!$A:$E,5,0),"")</f>
        <v>40</v>
      </c>
      <c r="J53" s="13">
        <f>IFERROR(VLOOKUP(F53,CARTON_LOOKUP!$A:$E,2,0),"")</f>
        <v>1.4</v>
      </c>
      <c r="K53" s="13">
        <f t="shared" si="3"/>
        <v>0</v>
      </c>
      <c r="L53" s="13">
        <f t="shared" si="4"/>
        <v>0</v>
      </c>
      <c r="M53" s="13">
        <f t="shared" si="5"/>
        <v>0</v>
      </c>
    </row>
    <row r="54" spans="5:13" x14ac:dyDescent="0.35">
      <c r="E54" s="11"/>
      <c r="F54" t="s">
        <v>5</v>
      </c>
      <c r="G54" s="12">
        <f>IFERROR(VLOOKUP(F54,CARTON_LOOKUP!$A:$E,3,0),"")</f>
        <v>60</v>
      </c>
      <c r="H54" s="12">
        <f>IFERROR(VLOOKUP(F54,CARTON_LOOKUP!$A:$E,4,0),"")</f>
        <v>30</v>
      </c>
      <c r="I54" s="12">
        <f>IFERROR(VLOOKUP(F54,CARTON_LOOKUP!$A:$E,5,0),"")</f>
        <v>40</v>
      </c>
      <c r="J54" s="13">
        <f>IFERROR(VLOOKUP(F54,CARTON_LOOKUP!$A:$E,2,0),"")</f>
        <v>1.4</v>
      </c>
      <c r="K54" s="13">
        <f t="shared" si="3"/>
        <v>0</v>
      </c>
      <c r="L54" s="13">
        <f t="shared" si="4"/>
        <v>0</v>
      </c>
      <c r="M54" s="13">
        <f t="shared" si="5"/>
        <v>0</v>
      </c>
    </row>
    <row r="55" spans="5:13" x14ac:dyDescent="0.35">
      <c r="E55" s="11"/>
      <c r="F55" t="s">
        <v>5</v>
      </c>
      <c r="G55" s="12">
        <f>IFERROR(VLOOKUP(F55,CARTON_LOOKUP!$A:$E,3,0),"")</f>
        <v>60</v>
      </c>
      <c r="H55" s="12">
        <f>IFERROR(VLOOKUP(F55,CARTON_LOOKUP!$A:$E,4,0),"")</f>
        <v>30</v>
      </c>
      <c r="I55" s="12">
        <f>IFERROR(VLOOKUP(F55,CARTON_LOOKUP!$A:$E,5,0),"")</f>
        <v>40</v>
      </c>
      <c r="J55" s="13">
        <f>IFERROR(VLOOKUP(F55,CARTON_LOOKUP!$A:$E,2,0),"")</f>
        <v>1.4</v>
      </c>
      <c r="K55" s="13">
        <f t="shared" si="3"/>
        <v>0</v>
      </c>
      <c r="L55" s="13">
        <f t="shared" si="4"/>
        <v>0</v>
      </c>
      <c r="M55" s="13">
        <f t="shared" si="5"/>
        <v>0</v>
      </c>
    </row>
    <row r="56" spans="5:13" x14ac:dyDescent="0.35">
      <c r="E56" s="11"/>
      <c r="F56" t="s">
        <v>5</v>
      </c>
      <c r="G56" s="12">
        <f>IFERROR(VLOOKUP(F56,CARTON_LOOKUP!$A:$E,3,0),"")</f>
        <v>60</v>
      </c>
      <c r="H56" s="12">
        <f>IFERROR(VLOOKUP(F56,CARTON_LOOKUP!$A:$E,4,0),"")</f>
        <v>30</v>
      </c>
      <c r="I56" s="12">
        <f>IFERROR(VLOOKUP(F56,CARTON_LOOKUP!$A:$E,5,0),"")</f>
        <v>40</v>
      </c>
      <c r="J56" s="13">
        <f>IFERROR(VLOOKUP(F56,CARTON_LOOKUP!$A:$E,2,0),"")</f>
        <v>1.4</v>
      </c>
      <c r="K56" s="13">
        <f t="shared" si="3"/>
        <v>0</v>
      </c>
      <c r="L56" s="13">
        <f t="shared" si="4"/>
        <v>0</v>
      </c>
      <c r="M56" s="13">
        <f t="shared" si="5"/>
        <v>0</v>
      </c>
    </row>
    <row r="57" spans="5:13" x14ac:dyDescent="0.35">
      <c r="E57" s="11"/>
      <c r="F57" t="s">
        <v>5</v>
      </c>
      <c r="G57" s="12">
        <f>IFERROR(VLOOKUP(F57,CARTON_LOOKUP!$A:$E,3,0),"")</f>
        <v>60</v>
      </c>
      <c r="H57" s="12">
        <f>IFERROR(VLOOKUP(F57,CARTON_LOOKUP!$A:$E,4,0),"")</f>
        <v>30</v>
      </c>
      <c r="I57" s="12">
        <f>IFERROR(VLOOKUP(F57,CARTON_LOOKUP!$A:$E,5,0),"")</f>
        <v>40</v>
      </c>
      <c r="J57" s="13">
        <f>IFERROR(VLOOKUP(F57,CARTON_LOOKUP!$A:$E,2,0),"")</f>
        <v>1.4</v>
      </c>
      <c r="K57" s="13">
        <f t="shared" si="3"/>
        <v>0</v>
      </c>
      <c r="L57" s="13">
        <f t="shared" si="4"/>
        <v>0</v>
      </c>
      <c r="M57" s="13">
        <f t="shared" si="5"/>
        <v>0</v>
      </c>
    </row>
    <row r="58" spans="5:13" x14ac:dyDescent="0.35">
      <c r="E58" s="11"/>
      <c r="F58" t="s">
        <v>5</v>
      </c>
      <c r="G58" s="12">
        <f>IFERROR(VLOOKUP(F58,CARTON_LOOKUP!$A:$E,3,0),"")</f>
        <v>60</v>
      </c>
      <c r="H58" s="12">
        <f>IFERROR(VLOOKUP(F58,CARTON_LOOKUP!$A:$E,4,0),"")</f>
        <v>30</v>
      </c>
      <c r="I58" s="12">
        <f>IFERROR(VLOOKUP(F58,CARTON_LOOKUP!$A:$E,5,0),"")</f>
        <v>40</v>
      </c>
      <c r="J58" s="13">
        <f>IFERROR(VLOOKUP(F58,CARTON_LOOKUP!$A:$E,2,0),"")</f>
        <v>1.4</v>
      </c>
      <c r="K58" s="13">
        <f t="shared" si="3"/>
        <v>0</v>
      </c>
      <c r="L58" s="13">
        <f t="shared" si="4"/>
        <v>0</v>
      </c>
      <c r="M58" s="13">
        <f t="shared" si="5"/>
        <v>0</v>
      </c>
    </row>
    <row r="59" spans="5:13" x14ac:dyDescent="0.35">
      <c r="E59" s="11"/>
      <c r="F59" t="s">
        <v>5</v>
      </c>
      <c r="G59" s="12">
        <f>IFERROR(VLOOKUP(F59,CARTON_LOOKUP!$A:$E,3,0),"")</f>
        <v>60</v>
      </c>
      <c r="H59" s="12">
        <f>IFERROR(VLOOKUP(F59,CARTON_LOOKUP!$A:$E,4,0),"")</f>
        <v>30</v>
      </c>
      <c r="I59" s="12">
        <f>IFERROR(VLOOKUP(F59,CARTON_LOOKUP!$A:$E,5,0),"")</f>
        <v>40</v>
      </c>
      <c r="J59" s="13">
        <f>IFERROR(VLOOKUP(F59,CARTON_LOOKUP!$A:$E,2,0),"")</f>
        <v>1.4</v>
      </c>
      <c r="K59" s="13">
        <f t="shared" si="3"/>
        <v>0</v>
      </c>
      <c r="L59" s="13">
        <f t="shared" si="4"/>
        <v>0</v>
      </c>
      <c r="M59" s="13">
        <f t="shared" si="5"/>
        <v>0</v>
      </c>
    </row>
    <row r="60" spans="5:13" x14ac:dyDescent="0.35">
      <c r="E60" s="11"/>
      <c r="F60" t="s">
        <v>5</v>
      </c>
      <c r="G60" s="12">
        <f>IFERROR(VLOOKUP(F60,CARTON_LOOKUP!$A:$E,3,0),"")</f>
        <v>60</v>
      </c>
      <c r="H60" s="12">
        <f>IFERROR(VLOOKUP(F60,CARTON_LOOKUP!$A:$E,4,0),"")</f>
        <v>30</v>
      </c>
      <c r="I60" s="12">
        <f>IFERROR(VLOOKUP(F60,CARTON_LOOKUP!$A:$E,5,0),"")</f>
        <v>40</v>
      </c>
      <c r="J60" s="13">
        <f>IFERROR(VLOOKUP(F60,CARTON_LOOKUP!$A:$E,2,0),"")</f>
        <v>1.4</v>
      </c>
      <c r="K60" s="13">
        <f t="shared" si="3"/>
        <v>0</v>
      </c>
      <c r="L60" s="13">
        <f t="shared" si="4"/>
        <v>0</v>
      </c>
      <c r="M60" s="13">
        <f t="shared" si="5"/>
        <v>0</v>
      </c>
    </row>
    <row r="61" spans="5:13" x14ac:dyDescent="0.35">
      <c r="E61" s="11"/>
      <c r="F61" t="s">
        <v>5</v>
      </c>
      <c r="G61" s="12">
        <f>IFERROR(VLOOKUP(F61,CARTON_LOOKUP!$A:$E,3,0),"")</f>
        <v>60</v>
      </c>
      <c r="H61" s="12">
        <f>IFERROR(VLOOKUP(F61,CARTON_LOOKUP!$A:$E,4,0),"")</f>
        <v>30</v>
      </c>
      <c r="I61" s="12">
        <f>IFERROR(VLOOKUP(F61,CARTON_LOOKUP!$A:$E,5,0),"")</f>
        <v>40</v>
      </c>
      <c r="J61" s="13">
        <f>IFERROR(VLOOKUP(F61,CARTON_LOOKUP!$A:$E,2,0),"")</f>
        <v>1.4</v>
      </c>
      <c r="K61" s="13">
        <f t="shared" si="3"/>
        <v>0</v>
      </c>
      <c r="L61" s="13">
        <f t="shared" si="4"/>
        <v>0</v>
      </c>
      <c r="M61" s="13">
        <f t="shared" si="5"/>
        <v>0</v>
      </c>
    </row>
    <row r="62" spans="5:13" x14ac:dyDescent="0.35">
      <c r="E62" s="11"/>
      <c r="F62" t="s">
        <v>5</v>
      </c>
      <c r="G62" s="12">
        <f>IFERROR(VLOOKUP(F62,CARTON_LOOKUP!$A:$E,3,0),"")</f>
        <v>60</v>
      </c>
      <c r="H62" s="12">
        <f>IFERROR(VLOOKUP(F62,CARTON_LOOKUP!$A:$E,4,0),"")</f>
        <v>30</v>
      </c>
      <c r="I62" s="12">
        <f>IFERROR(VLOOKUP(F62,CARTON_LOOKUP!$A:$E,5,0),"")</f>
        <v>40</v>
      </c>
      <c r="J62" s="13">
        <f>IFERROR(VLOOKUP(F62,CARTON_LOOKUP!$A:$E,2,0),"")</f>
        <v>1.4</v>
      </c>
      <c r="K62" s="13">
        <f t="shared" si="3"/>
        <v>0</v>
      </c>
      <c r="L62" s="13">
        <f t="shared" si="4"/>
        <v>0</v>
      </c>
      <c r="M62" s="13">
        <f t="shared" si="5"/>
        <v>0</v>
      </c>
    </row>
    <row r="63" spans="5:13" x14ac:dyDescent="0.35">
      <c r="E63" s="11"/>
      <c r="F63" t="s">
        <v>5</v>
      </c>
      <c r="G63" s="12">
        <f>IFERROR(VLOOKUP(F63,CARTON_LOOKUP!$A:$E,3,0),"")</f>
        <v>60</v>
      </c>
      <c r="H63" s="12">
        <f>IFERROR(VLOOKUP(F63,CARTON_LOOKUP!$A:$E,4,0),"")</f>
        <v>30</v>
      </c>
      <c r="I63" s="12">
        <f>IFERROR(VLOOKUP(F63,CARTON_LOOKUP!$A:$E,5,0),"")</f>
        <v>40</v>
      </c>
      <c r="J63" s="13">
        <f>IFERROR(VLOOKUP(F63,CARTON_LOOKUP!$A:$E,2,0),"")</f>
        <v>1.4</v>
      </c>
      <c r="K63" s="13">
        <f t="shared" si="3"/>
        <v>0</v>
      </c>
      <c r="L63" s="13">
        <f t="shared" si="4"/>
        <v>0</v>
      </c>
      <c r="M63" s="13">
        <f t="shared" si="5"/>
        <v>0</v>
      </c>
    </row>
    <row r="64" spans="5:13" x14ac:dyDescent="0.35">
      <c r="E64" s="11"/>
      <c r="F64" t="s">
        <v>5</v>
      </c>
      <c r="G64" s="12">
        <f>IFERROR(VLOOKUP(F64,CARTON_LOOKUP!$A:$E,3,0),"")</f>
        <v>60</v>
      </c>
      <c r="H64" s="12">
        <f>IFERROR(VLOOKUP(F64,CARTON_LOOKUP!$A:$E,4,0),"")</f>
        <v>30</v>
      </c>
      <c r="I64" s="12">
        <f>IFERROR(VLOOKUP(F64,CARTON_LOOKUP!$A:$E,5,0),"")</f>
        <v>40</v>
      </c>
      <c r="J64" s="13">
        <f>IFERROR(VLOOKUP(F64,CARTON_LOOKUP!$A:$E,2,0),"")</f>
        <v>1.4</v>
      </c>
      <c r="K64" s="13">
        <f t="shared" si="3"/>
        <v>0</v>
      </c>
      <c r="L64" s="13">
        <f t="shared" si="4"/>
        <v>0</v>
      </c>
      <c r="M64" s="13">
        <f t="shared" si="5"/>
        <v>0</v>
      </c>
    </row>
    <row r="65" spans="5:13" x14ac:dyDescent="0.35">
      <c r="E65" s="11"/>
      <c r="F65" t="s">
        <v>5</v>
      </c>
      <c r="G65" s="12">
        <f>IFERROR(VLOOKUP(F65,CARTON_LOOKUP!$A:$E,3,0),"")</f>
        <v>60</v>
      </c>
      <c r="H65" s="12">
        <f>IFERROR(VLOOKUP(F65,CARTON_LOOKUP!$A:$E,4,0),"")</f>
        <v>30</v>
      </c>
      <c r="I65" s="12">
        <f>IFERROR(VLOOKUP(F65,CARTON_LOOKUP!$A:$E,5,0),"")</f>
        <v>40</v>
      </c>
      <c r="J65" s="13">
        <f>IFERROR(VLOOKUP(F65,CARTON_LOOKUP!$A:$E,2,0),"")</f>
        <v>1.4</v>
      </c>
      <c r="K65" s="13">
        <f t="shared" si="3"/>
        <v>0</v>
      </c>
      <c r="L65" s="13">
        <f t="shared" si="4"/>
        <v>0</v>
      </c>
      <c r="M65" s="13">
        <f t="shared" si="5"/>
        <v>0</v>
      </c>
    </row>
    <row r="66" spans="5:13" x14ac:dyDescent="0.35">
      <c r="E66" s="11"/>
      <c r="F66" t="s">
        <v>5</v>
      </c>
      <c r="G66" s="12">
        <f>IFERROR(VLOOKUP(F66,CARTON_LOOKUP!$A:$E,3,0),"")</f>
        <v>60</v>
      </c>
      <c r="H66" s="12">
        <f>IFERROR(VLOOKUP(F66,CARTON_LOOKUP!$A:$E,4,0),"")</f>
        <v>30</v>
      </c>
      <c r="I66" s="12">
        <f>IFERROR(VLOOKUP(F66,CARTON_LOOKUP!$A:$E,5,0),"")</f>
        <v>40</v>
      </c>
      <c r="J66" s="13">
        <f>IFERROR(VLOOKUP(F66,CARTON_LOOKUP!$A:$E,2,0),"")</f>
        <v>1.4</v>
      </c>
      <c r="K66" s="13">
        <f t="shared" si="3"/>
        <v>0</v>
      </c>
      <c r="L66" s="13">
        <f t="shared" si="4"/>
        <v>0</v>
      </c>
      <c r="M66" s="13">
        <f t="shared" si="5"/>
        <v>0</v>
      </c>
    </row>
    <row r="67" spans="5:13" x14ac:dyDescent="0.35">
      <c r="E67" s="11"/>
      <c r="F67" t="s">
        <v>5</v>
      </c>
      <c r="G67" s="12">
        <f>IFERROR(VLOOKUP(F67,CARTON_LOOKUP!$A:$E,3,0),"")</f>
        <v>60</v>
      </c>
      <c r="H67" s="12">
        <f>IFERROR(VLOOKUP(F67,CARTON_LOOKUP!$A:$E,4,0),"")</f>
        <v>30</v>
      </c>
      <c r="I67" s="12">
        <f>IFERROR(VLOOKUP(F67,CARTON_LOOKUP!$A:$E,5,0),"")</f>
        <v>40</v>
      </c>
      <c r="J67" s="13">
        <f>IFERROR(VLOOKUP(F67,CARTON_LOOKUP!$A:$E,2,0),"")</f>
        <v>1.4</v>
      </c>
      <c r="K67" s="13">
        <f t="shared" si="3"/>
        <v>0</v>
      </c>
      <c r="L67" s="13">
        <f t="shared" si="4"/>
        <v>0</v>
      </c>
      <c r="M67" s="13">
        <f t="shared" si="5"/>
        <v>0</v>
      </c>
    </row>
    <row r="68" spans="5:13" x14ac:dyDescent="0.35">
      <c r="E68" s="11"/>
      <c r="F68" t="s">
        <v>5</v>
      </c>
      <c r="G68" s="12">
        <f>IFERROR(VLOOKUP(F68,CARTON_LOOKUP!$A:$E,3,0),"")</f>
        <v>60</v>
      </c>
      <c r="H68" s="12">
        <f>IFERROR(VLOOKUP(F68,CARTON_LOOKUP!$A:$E,4,0),"")</f>
        <v>30</v>
      </c>
      <c r="I68" s="12">
        <f>IFERROR(VLOOKUP(F68,CARTON_LOOKUP!$A:$E,5,0),"")</f>
        <v>40</v>
      </c>
      <c r="J68" s="13">
        <f>IFERROR(VLOOKUP(F68,CARTON_LOOKUP!$A:$E,2,0),"")</f>
        <v>1.4</v>
      </c>
      <c r="K68" s="13">
        <f t="shared" si="3"/>
        <v>0</v>
      </c>
      <c r="L68" s="13">
        <f t="shared" si="4"/>
        <v>0</v>
      </c>
      <c r="M68" s="13">
        <f t="shared" si="5"/>
        <v>0</v>
      </c>
    </row>
    <row r="69" spans="5:13" x14ac:dyDescent="0.35">
      <c r="E69" s="11"/>
      <c r="F69" t="s">
        <v>5</v>
      </c>
      <c r="G69" s="12">
        <f>IFERROR(VLOOKUP(F69,CARTON_LOOKUP!$A:$E,3,0),"")</f>
        <v>60</v>
      </c>
      <c r="H69" s="12">
        <f>IFERROR(VLOOKUP(F69,CARTON_LOOKUP!$A:$E,4,0),"")</f>
        <v>30</v>
      </c>
      <c r="I69" s="12">
        <f>IFERROR(VLOOKUP(F69,CARTON_LOOKUP!$A:$E,5,0),"")</f>
        <v>40</v>
      </c>
      <c r="J69" s="13">
        <f>IFERROR(VLOOKUP(F69,CARTON_LOOKUP!$A:$E,2,0),"")</f>
        <v>1.4</v>
      </c>
      <c r="K69" s="13">
        <f t="shared" si="3"/>
        <v>0</v>
      </c>
      <c r="L69" s="13">
        <f t="shared" si="4"/>
        <v>0</v>
      </c>
      <c r="M69" s="13">
        <f t="shared" si="5"/>
        <v>0</v>
      </c>
    </row>
    <row r="70" spans="5:13" x14ac:dyDescent="0.35">
      <c r="E70" s="11"/>
      <c r="F70" t="s">
        <v>5</v>
      </c>
      <c r="G70" s="12">
        <f>IFERROR(VLOOKUP(F70,CARTON_LOOKUP!$A:$E,3,0),"")</f>
        <v>60</v>
      </c>
      <c r="H70" s="12">
        <f>IFERROR(VLOOKUP(F70,CARTON_LOOKUP!$A:$E,4,0),"")</f>
        <v>30</v>
      </c>
      <c r="I70" s="12">
        <f>IFERROR(VLOOKUP(F70,CARTON_LOOKUP!$A:$E,5,0),"")</f>
        <v>40</v>
      </c>
      <c r="J70" s="13">
        <f>IFERROR(VLOOKUP(F70,CARTON_LOOKUP!$A:$E,2,0),"")</f>
        <v>1.4</v>
      </c>
      <c r="K70" s="13">
        <f t="shared" si="3"/>
        <v>0</v>
      </c>
      <c r="L70" s="13">
        <f t="shared" si="4"/>
        <v>0</v>
      </c>
      <c r="M70" s="13">
        <f t="shared" si="5"/>
        <v>0</v>
      </c>
    </row>
    <row r="71" spans="5:13" x14ac:dyDescent="0.35">
      <c r="E71" s="11"/>
      <c r="F71" t="s">
        <v>5</v>
      </c>
      <c r="G71" s="12">
        <f>IFERROR(VLOOKUP(F71,CARTON_LOOKUP!$A:$E,3,0),"")</f>
        <v>60</v>
      </c>
      <c r="H71" s="12">
        <f>IFERROR(VLOOKUP(F71,CARTON_LOOKUP!$A:$E,4,0),"")</f>
        <v>30</v>
      </c>
      <c r="I71" s="12">
        <f>IFERROR(VLOOKUP(F71,CARTON_LOOKUP!$A:$E,5,0),"")</f>
        <v>40</v>
      </c>
      <c r="J71" s="13">
        <f>IFERROR(VLOOKUP(F71,CARTON_LOOKUP!$A:$E,2,0),"")</f>
        <v>1.4</v>
      </c>
      <c r="K71" s="13">
        <f t="shared" si="3"/>
        <v>0</v>
      </c>
      <c r="L71" s="13">
        <f t="shared" si="4"/>
        <v>0</v>
      </c>
      <c r="M71" s="13">
        <f t="shared" si="5"/>
        <v>0</v>
      </c>
    </row>
    <row r="72" spans="5:13" x14ac:dyDescent="0.35">
      <c r="E72" s="11"/>
      <c r="F72" t="s">
        <v>5</v>
      </c>
      <c r="G72" s="12">
        <f>IFERROR(VLOOKUP(F72,CARTON_LOOKUP!$A:$E,3,0),"")</f>
        <v>60</v>
      </c>
      <c r="H72" s="12">
        <f>IFERROR(VLOOKUP(F72,CARTON_LOOKUP!$A:$E,4,0),"")</f>
        <v>30</v>
      </c>
      <c r="I72" s="12">
        <f>IFERROR(VLOOKUP(F72,CARTON_LOOKUP!$A:$E,5,0),"")</f>
        <v>40</v>
      </c>
      <c r="J72" s="13">
        <f>IFERROR(VLOOKUP(F72,CARTON_LOOKUP!$A:$E,2,0),"")</f>
        <v>1.4</v>
      </c>
      <c r="K72" s="13">
        <f t="shared" si="3"/>
        <v>0</v>
      </c>
      <c r="L72" s="13">
        <f t="shared" si="4"/>
        <v>0</v>
      </c>
      <c r="M72" s="13">
        <f t="shared" si="5"/>
        <v>0</v>
      </c>
    </row>
    <row r="73" spans="5:13" x14ac:dyDescent="0.35">
      <c r="E73" s="11"/>
      <c r="F73" t="s">
        <v>5</v>
      </c>
      <c r="G73" s="12">
        <f>IFERROR(VLOOKUP(F73,CARTON_LOOKUP!$A:$E,3,0),"")</f>
        <v>60</v>
      </c>
      <c r="H73" s="12">
        <f>IFERROR(VLOOKUP(F73,CARTON_LOOKUP!$A:$E,4,0),"")</f>
        <v>30</v>
      </c>
      <c r="I73" s="12">
        <f>IFERROR(VLOOKUP(F73,CARTON_LOOKUP!$A:$E,5,0),"")</f>
        <v>40</v>
      </c>
      <c r="J73" s="13">
        <f>IFERROR(VLOOKUP(F73,CARTON_LOOKUP!$A:$E,2,0),"")</f>
        <v>1.4</v>
      </c>
      <c r="K73" s="13">
        <f t="shared" si="3"/>
        <v>0</v>
      </c>
      <c r="L73" s="13">
        <f t="shared" si="4"/>
        <v>0</v>
      </c>
      <c r="M73" s="13">
        <f t="shared" si="5"/>
        <v>0</v>
      </c>
    </row>
    <row r="74" spans="5:13" x14ac:dyDescent="0.35">
      <c r="E74" s="11"/>
      <c r="F74" t="s">
        <v>5</v>
      </c>
      <c r="G74" s="12">
        <f>IFERROR(VLOOKUP(F74,CARTON_LOOKUP!$A:$E,3,0),"")</f>
        <v>60</v>
      </c>
      <c r="H74" s="12">
        <f>IFERROR(VLOOKUP(F74,CARTON_LOOKUP!$A:$E,4,0),"")</f>
        <v>30</v>
      </c>
      <c r="I74" s="12">
        <f>IFERROR(VLOOKUP(F74,CARTON_LOOKUP!$A:$E,5,0),"")</f>
        <v>40</v>
      </c>
      <c r="J74" s="13">
        <f>IFERROR(VLOOKUP(F74,CARTON_LOOKUP!$A:$E,2,0),"")</f>
        <v>1.4</v>
      </c>
      <c r="K74" s="13">
        <f t="shared" si="3"/>
        <v>0</v>
      </c>
      <c r="L74" s="13">
        <f t="shared" si="4"/>
        <v>0</v>
      </c>
      <c r="M74" s="13">
        <f t="shared" si="5"/>
        <v>0</v>
      </c>
    </row>
    <row r="75" spans="5:13" x14ac:dyDescent="0.35">
      <c r="E75" s="11"/>
      <c r="F75" t="s">
        <v>5</v>
      </c>
      <c r="G75" s="12">
        <f>IFERROR(VLOOKUP(F75,CARTON_LOOKUP!$A:$E,3,0),"")</f>
        <v>60</v>
      </c>
      <c r="H75" s="12">
        <f>IFERROR(VLOOKUP(F75,CARTON_LOOKUP!$A:$E,4,0),"")</f>
        <v>30</v>
      </c>
      <c r="I75" s="12">
        <f>IFERROR(VLOOKUP(F75,CARTON_LOOKUP!$A:$E,5,0),"")</f>
        <v>40</v>
      </c>
      <c r="J75" s="13">
        <f>IFERROR(VLOOKUP(F75,CARTON_LOOKUP!$A:$E,2,0),"")</f>
        <v>1.4</v>
      </c>
      <c r="K75" s="13">
        <f t="shared" si="3"/>
        <v>0</v>
      </c>
      <c r="L75" s="13">
        <f t="shared" si="4"/>
        <v>0</v>
      </c>
      <c r="M75" s="13">
        <f t="shared" si="5"/>
        <v>0</v>
      </c>
    </row>
    <row r="76" spans="5:13" x14ac:dyDescent="0.35">
      <c r="E76" s="11"/>
      <c r="F76" t="s">
        <v>5</v>
      </c>
      <c r="G76" s="12">
        <f>IFERROR(VLOOKUP(F76,CARTON_LOOKUP!$A:$E,3,0),"")</f>
        <v>60</v>
      </c>
      <c r="H76" s="12">
        <f>IFERROR(VLOOKUP(F76,CARTON_LOOKUP!$A:$E,4,0),"")</f>
        <v>30</v>
      </c>
      <c r="I76" s="12">
        <f>IFERROR(VLOOKUP(F76,CARTON_LOOKUP!$A:$E,5,0),"")</f>
        <v>40</v>
      </c>
      <c r="J76" s="13">
        <f>IFERROR(VLOOKUP(F76,CARTON_LOOKUP!$A:$E,2,0),"")</f>
        <v>1.4</v>
      </c>
      <c r="K76" s="13">
        <f t="shared" ref="K76:K107" si="6">IFERROR(J76*D76,0)</f>
        <v>0</v>
      </c>
      <c r="L76" s="13">
        <f t="shared" ref="L76:L107" si="7">IFERROR(E76*C76,0)</f>
        <v>0</v>
      </c>
      <c r="M76" s="13">
        <f t="shared" ref="M76:M107" si="8">IFERROR((G76*H76*I76/1000000)*D76,0)</f>
        <v>0</v>
      </c>
    </row>
    <row r="77" spans="5:13" x14ac:dyDescent="0.35">
      <c r="E77" s="11"/>
      <c r="F77" t="s">
        <v>5</v>
      </c>
      <c r="G77" s="12">
        <f>IFERROR(VLOOKUP(F77,CARTON_LOOKUP!$A:$E,3,0),"")</f>
        <v>60</v>
      </c>
      <c r="H77" s="12">
        <f>IFERROR(VLOOKUP(F77,CARTON_LOOKUP!$A:$E,4,0),"")</f>
        <v>30</v>
      </c>
      <c r="I77" s="12">
        <f>IFERROR(VLOOKUP(F77,CARTON_LOOKUP!$A:$E,5,0),"")</f>
        <v>40</v>
      </c>
      <c r="J77" s="13">
        <f>IFERROR(VLOOKUP(F77,CARTON_LOOKUP!$A:$E,2,0),"")</f>
        <v>1.4</v>
      </c>
      <c r="K77" s="13">
        <f t="shared" si="6"/>
        <v>0</v>
      </c>
      <c r="L77" s="13">
        <f t="shared" si="7"/>
        <v>0</v>
      </c>
      <c r="M77" s="13">
        <f t="shared" si="8"/>
        <v>0</v>
      </c>
    </row>
    <row r="78" spans="5:13" x14ac:dyDescent="0.35">
      <c r="E78" s="11"/>
      <c r="F78" t="s">
        <v>5</v>
      </c>
      <c r="G78" s="12">
        <f>IFERROR(VLOOKUP(F78,CARTON_LOOKUP!$A:$E,3,0),"")</f>
        <v>60</v>
      </c>
      <c r="H78" s="12">
        <f>IFERROR(VLOOKUP(F78,CARTON_LOOKUP!$A:$E,4,0),"")</f>
        <v>30</v>
      </c>
      <c r="I78" s="12">
        <f>IFERROR(VLOOKUP(F78,CARTON_LOOKUP!$A:$E,5,0),"")</f>
        <v>40</v>
      </c>
      <c r="J78" s="13">
        <f>IFERROR(VLOOKUP(F78,CARTON_LOOKUP!$A:$E,2,0),"")</f>
        <v>1.4</v>
      </c>
      <c r="K78" s="13">
        <f t="shared" si="6"/>
        <v>0</v>
      </c>
      <c r="L78" s="13">
        <f t="shared" si="7"/>
        <v>0</v>
      </c>
      <c r="M78" s="13">
        <f t="shared" si="8"/>
        <v>0</v>
      </c>
    </row>
    <row r="79" spans="5:13" x14ac:dyDescent="0.35">
      <c r="E79" s="11"/>
      <c r="F79" t="s">
        <v>5</v>
      </c>
      <c r="G79" s="12">
        <f>IFERROR(VLOOKUP(F79,CARTON_LOOKUP!$A:$E,3,0),"")</f>
        <v>60</v>
      </c>
      <c r="H79" s="12">
        <f>IFERROR(VLOOKUP(F79,CARTON_LOOKUP!$A:$E,4,0),"")</f>
        <v>30</v>
      </c>
      <c r="I79" s="12">
        <f>IFERROR(VLOOKUP(F79,CARTON_LOOKUP!$A:$E,5,0),"")</f>
        <v>40</v>
      </c>
      <c r="J79" s="13">
        <f>IFERROR(VLOOKUP(F79,CARTON_LOOKUP!$A:$E,2,0),"")</f>
        <v>1.4</v>
      </c>
      <c r="K79" s="13">
        <f t="shared" si="6"/>
        <v>0</v>
      </c>
      <c r="L79" s="13">
        <f t="shared" si="7"/>
        <v>0</v>
      </c>
      <c r="M79" s="13">
        <f t="shared" si="8"/>
        <v>0</v>
      </c>
    </row>
    <row r="80" spans="5:13" x14ac:dyDescent="0.35">
      <c r="E80" s="11"/>
      <c r="F80" t="s">
        <v>5</v>
      </c>
      <c r="G80" s="12">
        <f>IFERROR(VLOOKUP(F80,CARTON_LOOKUP!$A:$E,3,0),"")</f>
        <v>60</v>
      </c>
      <c r="H80" s="12">
        <f>IFERROR(VLOOKUP(F80,CARTON_LOOKUP!$A:$E,4,0),"")</f>
        <v>30</v>
      </c>
      <c r="I80" s="12">
        <f>IFERROR(VLOOKUP(F80,CARTON_LOOKUP!$A:$E,5,0),"")</f>
        <v>40</v>
      </c>
      <c r="J80" s="13">
        <f>IFERROR(VLOOKUP(F80,CARTON_LOOKUP!$A:$E,2,0),"")</f>
        <v>1.4</v>
      </c>
      <c r="K80" s="13">
        <f t="shared" si="6"/>
        <v>0</v>
      </c>
      <c r="L80" s="13">
        <f t="shared" si="7"/>
        <v>0</v>
      </c>
      <c r="M80" s="13">
        <f t="shared" si="8"/>
        <v>0</v>
      </c>
    </row>
    <row r="81" spans="5:13" x14ac:dyDescent="0.35">
      <c r="E81" s="11"/>
      <c r="F81" t="s">
        <v>5</v>
      </c>
      <c r="G81" s="12">
        <f>IFERROR(VLOOKUP(F81,CARTON_LOOKUP!$A:$E,3,0),"")</f>
        <v>60</v>
      </c>
      <c r="H81" s="12">
        <f>IFERROR(VLOOKUP(F81,CARTON_LOOKUP!$A:$E,4,0),"")</f>
        <v>30</v>
      </c>
      <c r="I81" s="12">
        <f>IFERROR(VLOOKUP(F81,CARTON_LOOKUP!$A:$E,5,0),"")</f>
        <v>40</v>
      </c>
      <c r="J81" s="13">
        <f>IFERROR(VLOOKUP(F81,CARTON_LOOKUP!$A:$E,2,0),"")</f>
        <v>1.4</v>
      </c>
      <c r="K81" s="13">
        <f t="shared" si="6"/>
        <v>0</v>
      </c>
      <c r="L81" s="13">
        <f t="shared" si="7"/>
        <v>0</v>
      </c>
      <c r="M81" s="13">
        <f t="shared" si="8"/>
        <v>0</v>
      </c>
    </row>
    <row r="82" spans="5:13" x14ac:dyDescent="0.35">
      <c r="E82" s="11"/>
      <c r="F82" t="s">
        <v>5</v>
      </c>
      <c r="G82" s="12">
        <f>IFERROR(VLOOKUP(F82,CARTON_LOOKUP!$A:$E,3,0),"")</f>
        <v>60</v>
      </c>
      <c r="H82" s="12">
        <f>IFERROR(VLOOKUP(F82,CARTON_LOOKUP!$A:$E,4,0),"")</f>
        <v>30</v>
      </c>
      <c r="I82" s="12">
        <f>IFERROR(VLOOKUP(F82,CARTON_LOOKUP!$A:$E,5,0),"")</f>
        <v>40</v>
      </c>
      <c r="J82" s="13">
        <f>IFERROR(VLOOKUP(F82,CARTON_LOOKUP!$A:$E,2,0),"")</f>
        <v>1.4</v>
      </c>
      <c r="K82" s="13">
        <f t="shared" si="6"/>
        <v>0</v>
      </c>
      <c r="L82" s="13">
        <f t="shared" si="7"/>
        <v>0</v>
      </c>
      <c r="M82" s="13">
        <f t="shared" si="8"/>
        <v>0</v>
      </c>
    </row>
    <row r="83" spans="5:13" x14ac:dyDescent="0.35">
      <c r="E83" s="11"/>
      <c r="F83" t="s">
        <v>5</v>
      </c>
      <c r="G83" s="12">
        <f>IFERROR(VLOOKUP(F83,CARTON_LOOKUP!$A:$E,3,0),"")</f>
        <v>60</v>
      </c>
      <c r="H83" s="12">
        <f>IFERROR(VLOOKUP(F83,CARTON_LOOKUP!$A:$E,4,0),"")</f>
        <v>30</v>
      </c>
      <c r="I83" s="12">
        <f>IFERROR(VLOOKUP(F83,CARTON_LOOKUP!$A:$E,5,0),"")</f>
        <v>40</v>
      </c>
      <c r="J83" s="13">
        <f>IFERROR(VLOOKUP(F83,CARTON_LOOKUP!$A:$E,2,0),"")</f>
        <v>1.4</v>
      </c>
      <c r="K83" s="13">
        <f t="shared" si="6"/>
        <v>0</v>
      </c>
      <c r="L83" s="13">
        <f t="shared" si="7"/>
        <v>0</v>
      </c>
      <c r="M83" s="13">
        <f t="shared" si="8"/>
        <v>0</v>
      </c>
    </row>
    <row r="84" spans="5:13" x14ac:dyDescent="0.35">
      <c r="E84" s="11"/>
      <c r="F84" t="s">
        <v>5</v>
      </c>
      <c r="G84" s="12">
        <f>IFERROR(VLOOKUP(F84,CARTON_LOOKUP!$A:$E,3,0),"")</f>
        <v>60</v>
      </c>
      <c r="H84" s="12">
        <f>IFERROR(VLOOKUP(F84,CARTON_LOOKUP!$A:$E,4,0),"")</f>
        <v>30</v>
      </c>
      <c r="I84" s="12">
        <f>IFERROR(VLOOKUP(F84,CARTON_LOOKUP!$A:$E,5,0),"")</f>
        <v>40</v>
      </c>
      <c r="J84" s="13">
        <f>IFERROR(VLOOKUP(F84,CARTON_LOOKUP!$A:$E,2,0),"")</f>
        <v>1.4</v>
      </c>
      <c r="K84" s="13">
        <f t="shared" si="6"/>
        <v>0</v>
      </c>
      <c r="L84" s="13">
        <f t="shared" si="7"/>
        <v>0</v>
      </c>
      <c r="M84" s="13">
        <f t="shared" si="8"/>
        <v>0</v>
      </c>
    </row>
    <row r="85" spans="5:13" x14ac:dyDescent="0.35">
      <c r="E85" s="11"/>
      <c r="F85" t="s">
        <v>5</v>
      </c>
      <c r="G85" s="12">
        <f>IFERROR(VLOOKUP(F85,CARTON_LOOKUP!$A:$E,3,0),"")</f>
        <v>60</v>
      </c>
      <c r="H85" s="12">
        <f>IFERROR(VLOOKUP(F85,CARTON_LOOKUP!$A:$E,4,0),"")</f>
        <v>30</v>
      </c>
      <c r="I85" s="12">
        <f>IFERROR(VLOOKUP(F85,CARTON_LOOKUP!$A:$E,5,0),"")</f>
        <v>40</v>
      </c>
      <c r="J85" s="13">
        <f>IFERROR(VLOOKUP(F85,CARTON_LOOKUP!$A:$E,2,0),"")</f>
        <v>1.4</v>
      </c>
      <c r="K85" s="13">
        <f t="shared" si="6"/>
        <v>0</v>
      </c>
      <c r="L85" s="13">
        <f t="shared" si="7"/>
        <v>0</v>
      </c>
      <c r="M85" s="13">
        <f t="shared" si="8"/>
        <v>0</v>
      </c>
    </row>
    <row r="86" spans="5:13" x14ac:dyDescent="0.35">
      <c r="E86" s="11"/>
      <c r="F86" t="s">
        <v>5</v>
      </c>
      <c r="G86" s="12">
        <f>IFERROR(VLOOKUP(F86,CARTON_LOOKUP!$A:$E,3,0),"")</f>
        <v>60</v>
      </c>
      <c r="H86" s="12">
        <f>IFERROR(VLOOKUP(F86,CARTON_LOOKUP!$A:$E,4,0),"")</f>
        <v>30</v>
      </c>
      <c r="I86" s="12">
        <f>IFERROR(VLOOKUP(F86,CARTON_LOOKUP!$A:$E,5,0),"")</f>
        <v>40</v>
      </c>
      <c r="J86" s="13">
        <f>IFERROR(VLOOKUP(F86,CARTON_LOOKUP!$A:$E,2,0),"")</f>
        <v>1.4</v>
      </c>
      <c r="K86" s="13">
        <f t="shared" si="6"/>
        <v>0</v>
      </c>
      <c r="L86" s="13">
        <f t="shared" si="7"/>
        <v>0</v>
      </c>
      <c r="M86" s="13">
        <f t="shared" si="8"/>
        <v>0</v>
      </c>
    </row>
    <row r="87" spans="5:13" x14ac:dyDescent="0.35">
      <c r="E87" s="11"/>
      <c r="F87" t="s">
        <v>5</v>
      </c>
      <c r="G87" s="12">
        <f>IFERROR(VLOOKUP(F87,CARTON_LOOKUP!$A:$E,3,0),"")</f>
        <v>60</v>
      </c>
      <c r="H87" s="12">
        <f>IFERROR(VLOOKUP(F87,CARTON_LOOKUP!$A:$E,4,0),"")</f>
        <v>30</v>
      </c>
      <c r="I87" s="12">
        <f>IFERROR(VLOOKUP(F87,CARTON_LOOKUP!$A:$E,5,0),"")</f>
        <v>40</v>
      </c>
      <c r="J87" s="13">
        <f>IFERROR(VLOOKUP(F87,CARTON_LOOKUP!$A:$E,2,0),"")</f>
        <v>1.4</v>
      </c>
      <c r="K87" s="13">
        <f t="shared" si="6"/>
        <v>0</v>
      </c>
      <c r="L87" s="13">
        <f t="shared" si="7"/>
        <v>0</v>
      </c>
      <c r="M87" s="13">
        <f t="shared" si="8"/>
        <v>0</v>
      </c>
    </row>
    <row r="88" spans="5:13" x14ac:dyDescent="0.35">
      <c r="E88" s="11"/>
      <c r="F88" t="s">
        <v>5</v>
      </c>
      <c r="G88" s="12">
        <f>IFERROR(VLOOKUP(F88,CARTON_LOOKUP!$A:$E,3,0),"")</f>
        <v>60</v>
      </c>
      <c r="H88" s="12">
        <f>IFERROR(VLOOKUP(F88,CARTON_LOOKUP!$A:$E,4,0),"")</f>
        <v>30</v>
      </c>
      <c r="I88" s="12">
        <f>IFERROR(VLOOKUP(F88,CARTON_LOOKUP!$A:$E,5,0),"")</f>
        <v>40</v>
      </c>
      <c r="J88" s="13">
        <f>IFERROR(VLOOKUP(F88,CARTON_LOOKUP!$A:$E,2,0),"")</f>
        <v>1.4</v>
      </c>
      <c r="K88" s="13">
        <f t="shared" si="6"/>
        <v>0</v>
      </c>
      <c r="L88" s="13">
        <f t="shared" si="7"/>
        <v>0</v>
      </c>
      <c r="M88" s="13">
        <f t="shared" si="8"/>
        <v>0</v>
      </c>
    </row>
    <row r="89" spans="5:13" x14ac:dyDescent="0.35">
      <c r="E89" s="11"/>
      <c r="F89" t="s">
        <v>5</v>
      </c>
      <c r="G89" s="12">
        <f>IFERROR(VLOOKUP(F89,CARTON_LOOKUP!$A:$E,3,0),"")</f>
        <v>60</v>
      </c>
      <c r="H89" s="12">
        <f>IFERROR(VLOOKUP(F89,CARTON_LOOKUP!$A:$E,4,0),"")</f>
        <v>30</v>
      </c>
      <c r="I89" s="12">
        <f>IFERROR(VLOOKUP(F89,CARTON_LOOKUP!$A:$E,5,0),"")</f>
        <v>40</v>
      </c>
      <c r="J89" s="13">
        <f>IFERROR(VLOOKUP(F89,CARTON_LOOKUP!$A:$E,2,0),"")</f>
        <v>1.4</v>
      </c>
      <c r="K89" s="13">
        <f t="shared" si="6"/>
        <v>0</v>
      </c>
      <c r="L89" s="13">
        <f t="shared" si="7"/>
        <v>0</v>
      </c>
      <c r="M89" s="13">
        <f t="shared" si="8"/>
        <v>0</v>
      </c>
    </row>
    <row r="90" spans="5:13" x14ac:dyDescent="0.35">
      <c r="E90" s="11"/>
      <c r="F90" t="s">
        <v>5</v>
      </c>
      <c r="G90" s="12">
        <f>IFERROR(VLOOKUP(F90,CARTON_LOOKUP!$A:$E,3,0),"")</f>
        <v>60</v>
      </c>
      <c r="H90" s="12">
        <f>IFERROR(VLOOKUP(F90,CARTON_LOOKUP!$A:$E,4,0),"")</f>
        <v>30</v>
      </c>
      <c r="I90" s="12">
        <f>IFERROR(VLOOKUP(F90,CARTON_LOOKUP!$A:$E,5,0),"")</f>
        <v>40</v>
      </c>
      <c r="J90" s="13">
        <f>IFERROR(VLOOKUP(F90,CARTON_LOOKUP!$A:$E,2,0),"")</f>
        <v>1.4</v>
      </c>
      <c r="K90" s="13">
        <f t="shared" si="6"/>
        <v>0</v>
      </c>
      <c r="L90" s="13">
        <f t="shared" si="7"/>
        <v>0</v>
      </c>
      <c r="M90" s="13">
        <f t="shared" si="8"/>
        <v>0</v>
      </c>
    </row>
    <row r="91" spans="5:13" x14ac:dyDescent="0.35">
      <c r="E91" s="11"/>
      <c r="F91" t="s">
        <v>5</v>
      </c>
      <c r="G91" s="12">
        <f>IFERROR(VLOOKUP(F91,CARTON_LOOKUP!$A:$E,3,0),"")</f>
        <v>60</v>
      </c>
      <c r="H91" s="12">
        <f>IFERROR(VLOOKUP(F91,CARTON_LOOKUP!$A:$E,4,0),"")</f>
        <v>30</v>
      </c>
      <c r="I91" s="12">
        <f>IFERROR(VLOOKUP(F91,CARTON_LOOKUP!$A:$E,5,0),"")</f>
        <v>40</v>
      </c>
      <c r="J91" s="13">
        <f>IFERROR(VLOOKUP(F91,CARTON_LOOKUP!$A:$E,2,0),"")</f>
        <v>1.4</v>
      </c>
      <c r="K91" s="13">
        <f t="shared" si="6"/>
        <v>0</v>
      </c>
      <c r="L91" s="13">
        <f t="shared" si="7"/>
        <v>0</v>
      </c>
      <c r="M91" s="13">
        <f t="shared" si="8"/>
        <v>0</v>
      </c>
    </row>
    <row r="92" spans="5:13" x14ac:dyDescent="0.35">
      <c r="E92" s="11"/>
      <c r="F92" t="s">
        <v>5</v>
      </c>
      <c r="G92" s="12">
        <f>IFERROR(VLOOKUP(F92,CARTON_LOOKUP!$A:$E,3,0),"")</f>
        <v>60</v>
      </c>
      <c r="H92" s="12">
        <f>IFERROR(VLOOKUP(F92,CARTON_LOOKUP!$A:$E,4,0),"")</f>
        <v>30</v>
      </c>
      <c r="I92" s="12">
        <f>IFERROR(VLOOKUP(F92,CARTON_LOOKUP!$A:$E,5,0),"")</f>
        <v>40</v>
      </c>
      <c r="J92" s="13">
        <f>IFERROR(VLOOKUP(F92,CARTON_LOOKUP!$A:$E,2,0),"")</f>
        <v>1.4</v>
      </c>
      <c r="K92" s="13">
        <f t="shared" si="6"/>
        <v>0</v>
      </c>
      <c r="L92" s="13">
        <f t="shared" si="7"/>
        <v>0</v>
      </c>
      <c r="M92" s="13">
        <f t="shared" si="8"/>
        <v>0</v>
      </c>
    </row>
    <row r="93" spans="5:13" x14ac:dyDescent="0.35">
      <c r="E93" s="11"/>
      <c r="F93" t="s">
        <v>5</v>
      </c>
      <c r="G93" s="12">
        <f>IFERROR(VLOOKUP(F93,CARTON_LOOKUP!$A:$E,3,0),"")</f>
        <v>60</v>
      </c>
      <c r="H93" s="12">
        <f>IFERROR(VLOOKUP(F93,CARTON_LOOKUP!$A:$E,4,0),"")</f>
        <v>30</v>
      </c>
      <c r="I93" s="12">
        <f>IFERROR(VLOOKUP(F93,CARTON_LOOKUP!$A:$E,5,0),"")</f>
        <v>40</v>
      </c>
      <c r="J93" s="13">
        <f>IFERROR(VLOOKUP(F93,CARTON_LOOKUP!$A:$E,2,0),"")</f>
        <v>1.4</v>
      </c>
      <c r="K93" s="13">
        <f t="shared" si="6"/>
        <v>0</v>
      </c>
      <c r="L93" s="13">
        <f t="shared" si="7"/>
        <v>0</v>
      </c>
      <c r="M93" s="13">
        <f t="shared" si="8"/>
        <v>0</v>
      </c>
    </row>
    <row r="94" spans="5:13" x14ac:dyDescent="0.35">
      <c r="E94" s="11"/>
      <c r="F94" t="s">
        <v>5</v>
      </c>
      <c r="G94" s="12">
        <f>IFERROR(VLOOKUP(F94,CARTON_LOOKUP!$A:$E,3,0),"")</f>
        <v>60</v>
      </c>
      <c r="H94" s="12">
        <f>IFERROR(VLOOKUP(F94,CARTON_LOOKUP!$A:$E,4,0),"")</f>
        <v>30</v>
      </c>
      <c r="I94" s="12">
        <f>IFERROR(VLOOKUP(F94,CARTON_LOOKUP!$A:$E,5,0),"")</f>
        <v>40</v>
      </c>
      <c r="J94" s="13">
        <f>IFERROR(VLOOKUP(F94,CARTON_LOOKUP!$A:$E,2,0),"")</f>
        <v>1.4</v>
      </c>
      <c r="K94" s="13">
        <f t="shared" si="6"/>
        <v>0</v>
      </c>
      <c r="L94" s="13">
        <f t="shared" si="7"/>
        <v>0</v>
      </c>
      <c r="M94" s="13">
        <f t="shared" si="8"/>
        <v>0</v>
      </c>
    </row>
    <row r="95" spans="5:13" x14ac:dyDescent="0.35">
      <c r="E95" s="11"/>
      <c r="F95" t="s">
        <v>5</v>
      </c>
      <c r="G95" s="12">
        <f>IFERROR(VLOOKUP(F95,CARTON_LOOKUP!$A:$E,3,0),"")</f>
        <v>60</v>
      </c>
      <c r="H95" s="12">
        <f>IFERROR(VLOOKUP(F95,CARTON_LOOKUP!$A:$E,4,0),"")</f>
        <v>30</v>
      </c>
      <c r="I95" s="12">
        <f>IFERROR(VLOOKUP(F95,CARTON_LOOKUP!$A:$E,5,0),"")</f>
        <v>40</v>
      </c>
      <c r="J95" s="13">
        <f>IFERROR(VLOOKUP(F95,CARTON_LOOKUP!$A:$E,2,0),"")</f>
        <v>1.4</v>
      </c>
      <c r="K95" s="13">
        <f t="shared" si="6"/>
        <v>0</v>
      </c>
      <c r="L95" s="13">
        <f t="shared" si="7"/>
        <v>0</v>
      </c>
      <c r="M95" s="13">
        <f t="shared" si="8"/>
        <v>0</v>
      </c>
    </row>
    <row r="96" spans="5:13" x14ac:dyDescent="0.35">
      <c r="E96" s="11"/>
      <c r="F96" t="s">
        <v>5</v>
      </c>
      <c r="G96" s="12">
        <f>IFERROR(VLOOKUP(F96,CARTON_LOOKUP!$A:$E,3,0),"")</f>
        <v>60</v>
      </c>
      <c r="H96" s="12">
        <f>IFERROR(VLOOKUP(F96,CARTON_LOOKUP!$A:$E,4,0),"")</f>
        <v>30</v>
      </c>
      <c r="I96" s="12">
        <f>IFERROR(VLOOKUP(F96,CARTON_LOOKUP!$A:$E,5,0),"")</f>
        <v>40</v>
      </c>
      <c r="J96" s="13">
        <f>IFERROR(VLOOKUP(F96,CARTON_LOOKUP!$A:$E,2,0),"")</f>
        <v>1.4</v>
      </c>
      <c r="K96" s="13">
        <f t="shared" si="6"/>
        <v>0</v>
      </c>
      <c r="L96" s="13">
        <f t="shared" si="7"/>
        <v>0</v>
      </c>
      <c r="M96" s="13">
        <f t="shared" si="8"/>
        <v>0</v>
      </c>
    </row>
    <row r="97" spans="5:13" x14ac:dyDescent="0.35">
      <c r="E97" s="11"/>
      <c r="F97" t="s">
        <v>5</v>
      </c>
      <c r="G97" s="12">
        <f>IFERROR(VLOOKUP(F97,CARTON_LOOKUP!$A:$E,3,0),"")</f>
        <v>60</v>
      </c>
      <c r="H97" s="12">
        <f>IFERROR(VLOOKUP(F97,CARTON_LOOKUP!$A:$E,4,0),"")</f>
        <v>30</v>
      </c>
      <c r="I97" s="12">
        <f>IFERROR(VLOOKUP(F97,CARTON_LOOKUP!$A:$E,5,0),"")</f>
        <v>40</v>
      </c>
      <c r="J97" s="13">
        <f>IFERROR(VLOOKUP(F97,CARTON_LOOKUP!$A:$E,2,0),"")</f>
        <v>1.4</v>
      </c>
      <c r="K97" s="13">
        <f t="shared" si="6"/>
        <v>0</v>
      </c>
      <c r="L97" s="13">
        <f t="shared" si="7"/>
        <v>0</v>
      </c>
      <c r="M97" s="13">
        <f t="shared" si="8"/>
        <v>0</v>
      </c>
    </row>
    <row r="98" spans="5:13" x14ac:dyDescent="0.35">
      <c r="E98" s="11"/>
      <c r="F98" t="s">
        <v>5</v>
      </c>
      <c r="G98" s="12">
        <f>IFERROR(VLOOKUP(F98,CARTON_LOOKUP!$A:$E,3,0),"")</f>
        <v>60</v>
      </c>
      <c r="H98" s="12">
        <f>IFERROR(VLOOKUP(F98,CARTON_LOOKUP!$A:$E,4,0),"")</f>
        <v>30</v>
      </c>
      <c r="I98" s="12">
        <f>IFERROR(VLOOKUP(F98,CARTON_LOOKUP!$A:$E,5,0),"")</f>
        <v>40</v>
      </c>
      <c r="J98" s="13">
        <f>IFERROR(VLOOKUP(F98,CARTON_LOOKUP!$A:$E,2,0),"")</f>
        <v>1.4</v>
      </c>
      <c r="K98" s="13">
        <f t="shared" si="6"/>
        <v>0</v>
      </c>
      <c r="L98" s="13">
        <f t="shared" si="7"/>
        <v>0</v>
      </c>
      <c r="M98" s="13">
        <f t="shared" si="8"/>
        <v>0</v>
      </c>
    </row>
    <row r="99" spans="5:13" x14ac:dyDescent="0.35">
      <c r="E99" s="11"/>
      <c r="F99" t="s">
        <v>5</v>
      </c>
      <c r="G99" s="12">
        <f>IFERROR(VLOOKUP(F99,CARTON_LOOKUP!$A:$E,3,0),"")</f>
        <v>60</v>
      </c>
      <c r="H99" s="12">
        <f>IFERROR(VLOOKUP(F99,CARTON_LOOKUP!$A:$E,4,0),"")</f>
        <v>30</v>
      </c>
      <c r="I99" s="12">
        <f>IFERROR(VLOOKUP(F99,CARTON_LOOKUP!$A:$E,5,0),"")</f>
        <v>40</v>
      </c>
      <c r="J99" s="13">
        <f>IFERROR(VLOOKUP(F99,CARTON_LOOKUP!$A:$E,2,0),"")</f>
        <v>1.4</v>
      </c>
      <c r="K99" s="13">
        <f t="shared" si="6"/>
        <v>0</v>
      </c>
      <c r="L99" s="13">
        <f t="shared" si="7"/>
        <v>0</v>
      </c>
      <c r="M99" s="13">
        <f t="shared" si="8"/>
        <v>0</v>
      </c>
    </row>
    <row r="100" spans="5:13" x14ac:dyDescent="0.35">
      <c r="E100" s="11"/>
      <c r="F100" t="s">
        <v>5</v>
      </c>
      <c r="G100" s="12">
        <f>IFERROR(VLOOKUP(F100,CARTON_LOOKUP!$A:$E,3,0),"")</f>
        <v>60</v>
      </c>
      <c r="H100" s="12">
        <f>IFERROR(VLOOKUP(F100,CARTON_LOOKUP!$A:$E,4,0),"")</f>
        <v>30</v>
      </c>
      <c r="I100" s="12">
        <f>IFERROR(VLOOKUP(F100,CARTON_LOOKUP!$A:$E,5,0),"")</f>
        <v>40</v>
      </c>
      <c r="J100" s="13">
        <f>IFERROR(VLOOKUP(F100,CARTON_LOOKUP!$A:$E,2,0),"")</f>
        <v>1.4</v>
      </c>
      <c r="K100" s="13">
        <f t="shared" si="6"/>
        <v>0</v>
      </c>
      <c r="L100" s="13">
        <f t="shared" si="7"/>
        <v>0</v>
      </c>
      <c r="M100" s="13">
        <f t="shared" si="8"/>
        <v>0</v>
      </c>
    </row>
    <row r="101" spans="5:13" x14ac:dyDescent="0.35">
      <c r="E101" s="11"/>
      <c r="F101" t="s">
        <v>5</v>
      </c>
      <c r="G101" s="12">
        <f>IFERROR(VLOOKUP(F101,CARTON_LOOKUP!$A:$E,3,0),"")</f>
        <v>60</v>
      </c>
      <c r="H101" s="12">
        <f>IFERROR(VLOOKUP(F101,CARTON_LOOKUP!$A:$E,4,0),"")</f>
        <v>30</v>
      </c>
      <c r="I101" s="12">
        <f>IFERROR(VLOOKUP(F101,CARTON_LOOKUP!$A:$E,5,0),"")</f>
        <v>40</v>
      </c>
      <c r="J101" s="13">
        <f>IFERROR(VLOOKUP(F101,CARTON_LOOKUP!$A:$E,2,0),"")</f>
        <v>1.4</v>
      </c>
      <c r="K101" s="13">
        <f t="shared" si="6"/>
        <v>0</v>
      </c>
      <c r="L101" s="13">
        <f t="shared" si="7"/>
        <v>0</v>
      </c>
      <c r="M101" s="13">
        <f t="shared" si="8"/>
        <v>0</v>
      </c>
    </row>
    <row r="102" spans="5:13" x14ac:dyDescent="0.35">
      <c r="E102" s="11"/>
      <c r="F102" t="s">
        <v>5</v>
      </c>
      <c r="G102" s="12">
        <f>IFERROR(VLOOKUP(F102,CARTON_LOOKUP!$A:$E,3,0),"")</f>
        <v>60</v>
      </c>
      <c r="H102" s="12">
        <f>IFERROR(VLOOKUP(F102,CARTON_LOOKUP!$A:$E,4,0),"")</f>
        <v>30</v>
      </c>
      <c r="I102" s="12">
        <f>IFERROR(VLOOKUP(F102,CARTON_LOOKUP!$A:$E,5,0),"")</f>
        <v>40</v>
      </c>
      <c r="J102" s="13">
        <f>IFERROR(VLOOKUP(F102,CARTON_LOOKUP!$A:$E,2,0),"")</f>
        <v>1.4</v>
      </c>
      <c r="K102" s="13">
        <f t="shared" si="6"/>
        <v>0</v>
      </c>
      <c r="L102" s="13">
        <f t="shared" si="7"/>
        <v>0</v>
      </c>
      <c r="M102" s="13">
        <f t="shared" si="8"/>
        <v>0</v>
      </c>
    </row>
    <row r="103" spans="5:13" x14ac:dyDescent="0.35">
      <c r="E103" s="11"/>
      <c r="F103" t="s">
        <v>5</v>
      </c>
      <c r="G103" s="12">
        <f>IFERROR(VLOOKUP(F103,CARTON_LOOKUP!$A:$E,3,0),"")</f>
        <v>60</v>
      </c>
      <c r="H103" s="12">
        <f>IFERROR(VLOOKUP(F103,CARTON_LOOKUP!$A:$E,4,0),"")</f>
        <v>30</v>
      </c>
      <c r="I103" s="12">
        <f>IFERROR(VLOOKUP(F103,CARTON_LOOKUP!$A:$E,5,0),"")</f>
        <v>40</v>
      </c>
      <c r="J103" s="13">
        <f>IFERROR(VLOOKUP(F103,CARTON_LOOKUP!$A:$E,2,0),"")</f>
        <v>1.4</v>
      </c>
      <c r="K103" s="13">
        <f t="shared" si="6"/>
        <v>0</v>
      </c>
      <c r="L103" s="13">
        <f t="shared" si="7"/>
        <v>0</v>
      </c>
      <c r="M103" s="13">
        <f t="shared" si="8"/>
        <v>0</v>
      </c>
    </row>
    <row r="104" spans="5:13" x14ac:dyDescent="0.35">
      <c r="E104" s="11"/>
      <c r="F104" t="s">
        <v>5</v>
      </c>
      <c r="G104" s="12">
        <f>IFERROR(VLOOKUP(F104,CARTON_LOOKUP!$A:$E,3,0),"")</f>
        <v>60</v>
      </c>
      <c r="H104" s="12">
        <f>IFERROR(VLOOKUP(F104,CARTON_LOOKUP!$A:$E,4,0),"")</f>
        <v>30</v>
      </c>
      <c r="I104" s="12">
        <f>IFERROR(VLOOKUP(F104,CARTON_LOOKUP!$A:$E,5,0),"")</f>
        <v>40</v>
      </c>
      <c r="J104" s="13">
        <f>IFERROR(VLOOKUP(F104,CARTON_LOOKUP!$A:$E,2,0),"")</f>
        <v>1.4</v>
      </c>
      <c r="K104" s="13">
        <f t="shared" si="6"/>
        <v>0</v>
      </c>
      <c r="L104" s="13">
        <f t="shared" si="7"/>
        <v>0</v>
      </c>
      <c r="M104" s="13">
        <f t="shared" si="8"/>
        <v>0</v>
      </c>
    </row>
    <row r="105" spans="5:13" x14ac:dyDescent="0.35">
      <c r="E105" s="11"/>
      <c r="F105" t="s">
        <v>5</v>
      </c>
      <c r="G105" s="12">
        <f>IFERROR(VLOOKUP(F105,CARTON_LOOKUP!$A:$E,3,0),"")</f>
        <v>60</v>
      </c>
      <c r="H105" s="12">
        <f>IFERROR(VLOOKUP(F105,CARTON_LOOKUP!$A:$E,4,0),"")</f>
        <v>30</v>
      </c>
      <c r="I105" s="12">
        <f>IFERROR(VLOOKUP(F105,CARTON_LOOKUP!$A:$E,5,0),"")</f>
        <v>40</v>
      </c>
      <c r="J105" s="13">
        <f>IFERROR(VLOOKUP(F105,CARTON_LOOKUP!$A:$E,2,0),"")</f>
        <v>1.4</v>
      </c>
      <c r="K105" s="13">
        <f t="shared" si="6"/>
        <v>0</v>
      </c>
      <c r="L105" s="13">
        <f t="shared" si="7"/>
        <v>0</v>
      </c>
      <c r="M105" s="13">
        <f t="shared" si="8"/>
        <v>0</v>
      </c>
    </row>
    <row r="106" spans="5:13" x14ac:dyDescent="0.35">
      <c r="E106" s="11"/>
      <c r="F106" t="s">
        <v>5</v>
      </c>
      <c r="G106" s="12">
        <f>IFERROR(VLOOKUP(F106,CARTON_LOOKUP!$A:$E,3,0),"")</f>
        <v>60</v>
      </c>
      <c r="H106" s="12">
        <f>IFERROR(VLOOKUP(F106,CARTON_LOOKUP!$A:$E,4,0),"")</f>
        <v>30</v>
      </c>
      <c r="I106" s="12">
        <f>IFERROR(VLOOKUP(F106,CARTON_LOOKUP!$A:$E,5,0),"")</f>
        <v>40</v>
      </c>
      <c r="J106" s="13">
        <f>IFERROR(VLOOKUP(F106,CARTON_LOOKUP!$A:$E,2,0),"")</f>
        <v>1.4</v>
      </c>
      <c r="K106" s="13">
        <f t="shared" si="6"/>
        <v>0</v>
      </c>
      <c r="L106" s="13">
        <f t="shared" si="7"/>
        <v>0</v>
      </c>
      <c r="M106" s="13">
        <f t="shared" si="8"/>
        <v>0</v>
      </c>
    </row>
    <row r="107" spans="5:13" x14ac:dyDescent="0.35">
      <c r="E107" s="11"/>
      <c r="F107" t="s">
        <v>5</v>
      </c>
      <c r="G107" s="12">
        <f>IFERROR(VLOOKUP(F107,CARTON_LOOKUP!$A:$E,3,0),"")</f>
        <v>60</v>
      </c>
      <c r="H107" s="12">
        <f>IFERROR(VLOOKUP(F107,CARTON_LOOKUP!$A:$E,4,0),"")</f>
        <v>30</v>
      </c>
      <c r="I107" s="12">
        <f>IFERROR(VLOOKUP(F107,CARTON_LOOKUP!$A:$E,5,0),"")</f>
        <v>40</v>
      </c>
      <c r="J107" s="13">
        <f>IFERROR(VLOOKUP(F107,CARTON_LOOKUP!$A:$E,2,0),"")</f>
        <v>1.4</v>
      </c>
      <c r="K107" s="13">
        <f t="shared" si="6"/>
        <v>0</v>
      </c>
      <c r="L107" s="13">
        <f t="shared" si="7"/>
        <v>0</v>
      </c>
      <c r="M107" s="13">
        <f t="shared" si="8"/>
        <v>0</v>
      </c>
    </row>
    <row r="108" spans="5:13" x14ac:dyDescent="0.35">
      <c r="E108" s="11"/>
      <c r="F108" t="s">
        <v>5</v>
      </c>
      <c r="G108" s="12">
        <f>IFERROR(VLOOKUP(F108,CARTON_LOOKUP!$A:$E,3,0),"")</f>
        <v>60</v>
      </c>
      <c r="H108" s="12">
        <f>IFERROR(VLOOKUP(F108,CARTON_LOOKUP!$A:$E,4,0),"")</f>
        <v>30</v>
      </c>
      <c r="I108" s="12">
        <f>IFERROR(VLOOKUP(F108,CARTON_LOOKUP!$A:$E,5,0),"")</f>
        <v>40</v>
      </c>
      <c r="J108" s="13">
        <f>IFERROR(VLOOKUP(F108,CARTON_LOOKUP!$A:$E,2,0),"")</f>
        <v>1.4</v>
      </c>
      <c r="K108" s="13">
        <f t="shared" ref="K108:K139" si="9">IFERROR(J108*D108,0)</f>
        <v>0</v>
      </c>
      <c r="L108" s="13">
        <f t="shared" ref="L108:L139" si="10">IFERROR(E108*C108,0)</f>
        <v>0</v>
      </c>
      <c r="M108" s="13">
        <f t="shared" ref="M108:M139" si="11">IFERROR((G108*H108*I108/1000000)*D108,0)</f>
        <v>0</v>
      </c>
    </row>
    <row r="109" spans="5:13" x14ac:dyDescent="0.35">
      <c r="E109" s="11"/>
      <c r="F109" t="s">
        <v>5</v>
      </c>
      <c r="G109" s="12">
        <f>IFERROR(VLOOKUP(F109,CARTON_LOOKUP!$A:$E,3,0),"")</f>
        <v>60</v>
      </c>
      <c r="H109" s="12">
        <f>IFERROR(VLOOKUP(F109,CARTON_LOOKUP!$A:$E,4,0),"")</f>
        <v>30</v>
      </c>
      <c r="I109" s="12">
        <f>IFERROR(VLOOKUP(F109,CARTON_LOOKUP!$A:$E,5,0),"")</f>
        <v>40</v>
      </c>
      <c r="J109" s="13">
        <f>IFERROR(VLOOKUP(F109,CARTON_LOOKUP!$A:$E,2,0),"")</f>
        <v>1.4</v>
      </c>
      <c r="K109" s="13">
        <f t="shared" si="9"/>
        <v>0</v>
      </c>
      <c r="L109" s="13">
        <f t="shared" si="10"/>
        <v>0</v>
      </c>
      <c r="M109" s="13">
        <f t="shared" si="11"/>
        <v>0</v>
      </c>
    </row>
    <row r="110" spans="5:13" x14ac:dyDescent="0.35">
      <c r="E110" s="11"/>
      <c r="F110" t="s">
        <v>5</v>
      </c>
      <c r="G110" s="12">
        <f>IFERROR(VLOOKUP(F110,CARTON_LOOKUP!$A:$E,3,0),"")</f>
        <v>60</v>
      </c>
      <c r="H110" s="12">
        <f>IFERROR(VLOOKUP(F110,CARTON_LOOKUP!$A:$E,4,0),"")</f>
        <v>30</v>
      </c>
      <c r="I110" s="12">
        <f>IFERROR(VLOOKUP(F110,CARTON_LOOKUP!$A:$E,5,0),"")</f>
        <v>40</v>
      </c>
      <c r="J110" s="13">
        <f>IFERROR(VLOOKUP(F110,CARTON_LOOKUP!$A:$E,2,0),"")</f>
        <v>1.4</v>
      </c>
      <c r="K110" s="13">
        <f t="shared" si="9"/>
        <v>0</v>
      </c>
      <c r="L110" s="13">
        <f t="shared" si="10"/>
        <v>0</v>
      </c>
      <c r="M110" s="13">
        <f t="shared" si="11"/>
        <v>0</v>
      </c>
    </row>
    <row r="111" spans="5:13" x14ac:dyDescent="0.35">
      <c r="E111" s="11"/>
      <c r="F111" t="s">
        <v>5</v>
      </c>
      <c r="G111" s="12">
        <f>IFERROR(VLOOKUP(F111,CARTON_LOOKUP!$A:$E,3,0),"")</f>
        <v>60</v>
      </c>
      <c r="H111" s="12">
        <f>IFERROR(VLOOKUP(F111,CARTON_LOOKUP!$A:$E,4,0),"")</f>
        <v>30</v>
      </c>
      <c r="I111" s="12">
        <f>IFERROR(VLOOKUP(F111,CARTON_LOOKUP!$A:$E,5,0),"")</f>
        <v>40</v>
      </c>
      <c r="J111" s="13">
        <f>IFERROR(VLOOKUP(F111,CARTON_LOOKUP!$A:$E,2,0),"")</f>
        <v>1.4</v>
      </c>
      <c r="K111" s="13">
        <f t="shared" si="9"/>
        <v>0</v>
      </c>
      <c r="L111" s="13">
        <f t="shared" si="10"/>
        <v>0</v>
      </c>
      <c r="M111" s="13">
        <f t="shared" si="11"/>
        <v>0</v>
      </c>
    </row>
    <row r="112" spans="5:13" x14ac:dyDescent="0.35">
      <c r="E112" s="11"/>
      <c r="F112" t="s">
        <v>5</v>
      </c>
      <c r="G112" s="12">
        <f>IFERROR(VLOOKUP(F112,CARTON_LOOKUP!$A:$E,3,0),"")</f>
        <v>60</v>
      </c>
      <c r="H112" s="12">
        <f>IFERROR(VLOOKUP(F112,CARTON_LOOKUP!$A:$E,4,0),"")</f>
        <v>30</v>
      </c>
      <c r="I112" s="12">
        <f>IFERROR(VLOOKUP(F112,CARTON_LOOKUP!$A:$E,5,0),"")</f>
        <v>40</v>
      </c>
      <c r="J112" s="13">
        <f>IFERROR(VLOOKUP(F112,CARTON_LOOKUP!$A:$E,2,0),"")</f>
        <v>1.4</v>
      </c>
      <c r="K112" s="13">
        <f t="shared" si="9"/>
        <v>0</v>
      </c>
      <c r="L112" s="13">
        <f t="shared" si="10"/>
        <v>0</v>
      </c>
      <c r="M112" s="13">
        <f t="shared" si="11"/>
        <v>0</v>
      </c>
    </row>
    <row r="113" spans="5:13" x14ac:dyDescent="0.35">
      <c r="E113" s="11"/>
      <c r="F113" t="s">
        <v>5</v>
      </c>
      <c r="G113" s="12">
        <f>IFERROR(VLOOKUP(F113,CARTON_LOOKUP!$A:$E,3,0),"")</f>
        <v>60</v>
      </c>
      <c r="H113" s="12">
        <f>IFERROR(VLOOKUP(F113,CARTON_LOOKUP!$A:$E,4,0),"")</f>
        <v>30</v>
      </c>
      <c r="I113" s="12">
        <f>IFERROR(VLOOKUP(F113,CARTON_LOOKUP!$A:$E,5,0),"")</f>
        <v>40</v>
      </c>
      <c r="J113" s="13">
        <f>IFERROR(VLOOKUP(F113,CARTON_LOOKUP!$A:$E,2,0),"")</f>
        <v>1.4</v>
      </c>
      <c r="K113" s="13">
        <f t="shared" si="9"/>
        <v>0</v>
      </c>
      <c r="L113" s="13">
        <f t="shared" si="10"/>
        <v>0</v>
      </c>
      <c r="M113" s="13">
        <f t="shared" si="11"/>
        <v>0</v>
      </c>
    </row>
    <row r="114" spans="5:13" x14ac:dyDescent="0.35">
      <c r="E114" s="11"/>
      <c r="F114" t="s">
        <v>5</v>
      </c>
      <c r="G114" s="12">
        <f>IFERROR(VLOOKUP(F114,CARTON_LOOKUP!$A:$E,3,0),"")</f>
        <v>60</v>
      </c>
      <c r="H114" s="12">
        <f>IFERROR(VLOOKUP(F114,CARTON_LOOKUP!$A:$E,4,0),"")</f>
        <v>30</v>
      </c>
      <c r="I114" s="12">
        <f>IFERROR(VLOOKUP(F114,CARTON_LOOKUP!$A:$E,5,0),"")</f>
        <v>40</v>
      </c>
      <c r="J114" s="13">
        <f>IFERROR(VLOOKUP(F114,CARTON_LOOKUP!$A:$E,2,0),"")</f>
        <v>1.4</v>
      </c>
      <c r="K114" s="13">
        <f t="shared" si="9"/>
        <v>0</v>
      </c>
      <c r="L114" s="13">
        <f t="shared" si="10"/>
        <v>0</v>
      </c>
      <c r="M114" s="13">
        <f t="shared" si="11"/>
        <v>0</v>
      </c>
    </row>
    <row r="115" spans="5:13" x14ac:dyDescent="0.35">
      <c r="E115" s="11"/>
      <c r="F115" t="s">
        <v>5</v>
      </c>
      <c r="G115" s="12">
        <f>IFERROR(VLOOKUP(F115,CARTON_LOOKUP!$A:$E,3,0),"")</f>
        <v>60</v>
      </c>
      <c r="H115" s="12">
        <f>IFERROR(VLOOKUP(F115,CARTON_LOOKUP!$A:$E,4,0),"")</f>
        <v>30</v>
      </c>
      <c r="I115" s="12">
        <f>IFERROR(VLOOKUP(F115,CARTON_LOOKUP!$A:$E,5,0),"")</f>
        <v>40</v>
      </c>
      <c r="J115" s="13">
        <f>IFERROR(VLOOKUP(F115,CARTON_LOOKUP!$A:$E,2,0),"")</f>
        <v>1.4</v>
      </c>
      <c r="K115" s="13">
        <f t="shared" si="9"/>
        <v>0</v>
      </c>
      <c r="L115" s="13">
        <f t="shared" si="10"/>
        <v>0</v>
      </c>
      <c r="M115" s="13">
        <f t="shared" si="11"/>
        <v>0</v>
      </c>
    </row>
    <row r="116" spans="5:13" x14ac:dyDescent="0.35">
      <c r="E116" s="11"/>
      <c r="F116" t="s">
        <v>5</v>
      </c>
      <c r="G116" s="12">
        <f>IFERROR(VLOOKUP(F116,CARTON_LOOKUP!$A:$E,3,0),"")</f>
        <v>60</v>
      </c>
      <c r="H116" s="12">
        <f>IFERROR(VLOOKUP(F116,CARTON_LOOKUP!$A:$E,4,0),"")</f>
        <v>30</v>
      </c>
      <c r="I116" s="12">
        <f>IFERROR(VLOOKUP(F116,CARTON_LOOKUP!$A:$E,5,0),"")</f>
        <v>40</v>
      </c>
      <c r="J116" s="13">
        <f>IFERROR(VLOOKUP(F116,CARTON_LOOKUP!$A:$E,2,0),"")</f>
        <v>1.4</v>
      </c>
      <c r="K116" s="13">
        <f t="shared" si="9"/>
        <v>0</v>
      </c>
      <c r="L116" s="13">
        <f t="shared" si="10"/>
        <v>0</v>
      </c>
      <c r="M116" s="13">
        <f t="shared" si="11"/>
        <v>0</v>
      </c>
    </row>
    <row r="117" spans="5:13" x14ac:dyDescent="0.35">
      <c r="E117" s="11"/>
      <c r="F117" t="s">
        <v>5</v>
      </c>
      <c r="G117" s="12">
        <f>IFERROR(VLOOKUP(F117,CARTON_LOOKUP!$A:$E,3,0),"")</f>
        <v>60</v>
      </c>
      <c r="H117" s="12">
        <f>IFERROR(VLOOKUP(F117,CARTON_LOOKUP!$A:$E,4,0),"")</f>
        <v>30</v>
      </c>
      <c r="I117" s="12">
        <f>IFERROR(VLOOKUP(F117,CARTON_LOOKUP!$A:$E,5,0),"")</f>
        <v>40</v>
      </c>
      <c r="J117" s="13">
        <f>IFERROR(VLOOKUP(F117,CARTON_LOOKUP!$A:$E,2,0),"")</f>
        <v>1.4</v>
      </c>
      <c r="K117" s="13">
        <f t="shared" si="9"/>
        <v>0</v>
      </c>
      <c r="L117" s="13">
        <f t="shared" si="10"/>
        <v>0</v>
      </c>
      <c r="M117" s="13">
        <f t="shared" si="11"/>
        <v>0</v>
      </c>
    </row>
    <row r="118" spans="5:13" x14ac:dyDescent="0.35">
      <c r="E118" s="11"/>
      <c r="F118" t="s">
        <v>5</v>
      </c>
      <c r="G118" s="12">
        <f>IFERROR(VLOOKUP(F118,CARTON_LOOKUP!$A:$E,3,0),"")</f>
        <v>60</v>
      </c>
      <c r="H118" s="12">
        <f>IFERROR(VLOOKUP(F118,CARTON_LOOKUP!$A:$E,4,0),"")</f>
        <v>30</v>
      </c>
      <c r="I118" s="12">
        <f>IFERROR(VLOOKUP(F118,CARTON_LOOKUP!$A:$E,5,0),"")</f>
        <v>40</v>
      </c>
      <c r="J118" s="13">
        <f>IFERROR(VLOOKUP(F118,CARTON_LOOKUP!$A:$E,2,0),"")</f>
        <v>1.4</v>
      </c>
      <c r="K118" s="13">
        <f t="shared" si="9"/>
        <v>0</v>
      </c>
      <c r="L118" s="13">
        <f t="shared" si="10"/>
        <v>0</v>
      </c>
      <c r="M118" s="13">
        <f t="shared" si="11"/>
        <v>0</v>
      </c>
    </row>
    <row r="119" spans="5:13" x14ac:dyDescent="0.35">
      <c r="E119" s="11"/>
      <c r="F119" t="s">
        <v>5</v>
      </c>
      <c r="G119" s="12">
        <f>IFERROR(VLOOKUP(F119,CARTON_LOOKUP!$A:$E,3,0),"")</f>
        <v>60</v>
      </c>
      <c r="H119" s="12">
        <f>IFERROR(VLOOKUP(F119,CARTON_LOOKUP!$A:$E,4,0),"")</f>
        <v>30</v>
      </c>
      <c r="I119" s="12">
        <f>IFERROR(VLOOKUP(F119,CARTON_LOOKUP!$A:$E,5,0),"")</f>
        <v>40</v>
      </c>
      <c r="J119" s="13">
        <f>IFERROR(VLOOKUP(F119,CARTON_LOOKUP!$A:$E,2,0),"")</f>
        <v>1.4</v>
      </c>
      <c r="K119" s="13">
        <f t="shared" si="9"/>
        <v>0</v>
      </c>
      <c r="L119" s="13">
        <f t="shared" si="10"/>
        <v>0</v>
      </c>
      <c r="M119" s="13">
        <f t="shared" si="11"/>
        <v>0</v>
      </c>
    </row>
    <row r="120" spans="5:13" x14ac:dyDescent="0.35">
      <c r="E120" s="11"/>
      <c r="F120" t="s">
        <v>5</v>
      </c>
      <c r="G120" s="12">
        <f>IFERROR(VLOOKUP(F120,CARTON_LOOKUP!$A:$E,3,0),"")</f>
        <v>60</v>
      </c>
      <c r="H120" s="12">
        <f>IFERROR(VLOOKUP(F120,CARTON_LOOKUP!$A:$E,4,0),"")</f>
        <v>30</v>
      </c>
      <c r="I120" s="12">
        <f>IFERROR(VLOOKUP(F120,CARTON_LOOKUP!$A:$E,5,0),"")</f>
        <v>40</v>
      </c>
      <c r="J120" s="13">
        <f>IFERROR(VLOOKUP(F120,CARTON_LOOKUP!$A:$E,2,0),"")</f>
        <v>1.4</v>
      </c>
      <c r="K120" s="13">
        <f t="shared" si="9"/>
        <v>0</v>
      </c>
      <c r="L120" s="13">
        <f t="shared" si="10"/>
        <v>0</v>
      </c>
      <c r="M120" s="13">
        <f t="shared" si="11"/>
        <v>0</v>
      </c>
    </row>
    <row r="121" spans="5:13" x14ac:dyDescent="0.35">
      <c r="E121" s="11"/>
      <c r="F121" t="s">
        <v>5</v>
      </c>
      <c r="G121" s="12">
        <f>IFERROR(VLOOKUP(F121,CARTON_LOOKUP!$A:$E,3,0),"")</f>
        <v>60</v>
      </c>
      <c r="H121" s="12">
        <f>IFERROR(VLOOKUP(F121,CARTON_LOOKUP!$A:$E,4,0),"")</f>
        <v>30</v>
      </c>
      <c r="I121" s="12">
        <f>IFERROR(VLOOKUP(F121,CARTON_LOOKUP!$A:$E,5,0),"")</f>
        <v>40</v>
      </c>
      <c r="J121" s="13">
        <f>IFERROR(VLOOKUP(F121,CARTON_LOOKUP!$A:$E,2,0),"")</f>
        <v>1.4</v>
      </c>
      <c r="K121" s="13">
        <f t="shared" si="9"/>
        <v>0</v>
      </c>
      <c r="L121" s="13">
        <f t="shared" si="10"/>
        <v>0</v>
      </c>
      <c r="M121" s="13">
        <f t="shared" si="11"/>
        <v>0</v>
      </c>
    </row>
    <row r="122" spans="5:13" x14ac:dyDescent="0.35">
      <c r="E122" s="11"/>
      <c r="F122" t="s">
        <v>5</v>
      </c>
      <c r="G122" s="12">
        <f>IFERROR(VLOOKUP(F122,CARTON_LOOKUP!$A:$E,3,0),"")</f>
        <v>60</v>
      </c>
      <c r="H122" s="12">
        <f>IFERROR(VLOOKUP(F122,CARTON_LOOKUP!$A:$E,4,0),"")</f>
        <v>30</v>
      </c>
      <c r="I122" s="12">
        <f>IFERROR(VLOOKUP(F122,CARTON_LOOKUP!$A:$E,5,0),"")</f>
        <v>40</v>
      </c>
      <c r="J122" s="13">
        <f>IFERROR(VLOOKUP(F122,CARTON_LOOKUP!$A:$E,2,0),"")</f>
        <v>1.4</v>
      </c>
      <c r="K122" s="13">
        <f t="shared" si="9"/>
        <v>0</v>
      </c>
      <c r="L122" s="13">
        <f t="shared" si="10"/>
        <v>0</v>
      </c>
      <c r="M122" s="13">
        <f t="shared" si="11"/>
        <v>0</v>
      </c>
    </row>
    <row r="123" spans="5:13" x14ac:dyDescent="0.35">
      <c r="E123" s="11"/>
      <c r="F123" t="s">
        <v>5</v>
      </c>
      <c r="G123" s="12">
        <f>IFERROR(VLOOKUP(F123,CARTON_LOOKUP!$A:$E,3,0),"")</f>
        <v>60</v>
      </c>
      <c r="H123" s="12">
        <f>IFERROR(VLOOKUP(F123,CARTON_LOOKUP!$A:$E,4,0),"")</f>
        <v>30</v>
      </c>
      <c r="I123" s="12">
        <f>IFERROR(VLOOKUP(F123,CARTON_LOOKUP!$A:$E,5,0),"")</f>
        <v>40</v>
      </c>
      <c r="J123" s="13">
        <f>IFERROR(VLOOKUP(F123,CARTON_LOOKUP!$A:$E,2,0),"")</f>
        <v>1.4</v>
      </c>
      <c r="K123" s="13">
        <f t="shared" si="9"/>
        <v>0</v>
      </c>
      <c r="L123" s="13">
        <f t="shared" si="10"/>
        <v>0</v>
      </c>
      <c r="M123" s="13">
        <f t="shared" si="11"/>
        <v>0</v>
      </c>
    </row>
    <row r="124" spans="5:13" x14ac:dyDescent="0.35">
      <c r="E124" s="11"/>
      <c r="F124" t="s">
        <v>5</v>
      </c>
      <c r="G124" s="12">
        <f>IFERROR(VLOOKUP(F124,CARTON_LOOKUP!$A:$E,3,0),"")</f>
        <v>60</v>
      </c>
      <c r="H124" s="12">
        <f>IFERROR(VLOOKUP(F124,CARTON_LOOKUP!$A:$E,4,0),"")</f>
        <v>30</v>
      </c>
      <c r="I124" s="12">
        <f>IFERROR(VLOOKUP(F124,CARTON_LOOKUP!$A:$E,5,0),"")</f>
        <v>40</v>
      </c>
      <c r="J124" s="13">
        <f>IFERROR(VLOOKUP(F124,CARTON_LOOKUP!$A:$E,2,0),"")</f>
        <v>1.4</v>
      </c>
      <c r="K124" s="13">
        <f t="shared" si="9"/>
        <v>0</v>
      </c>
      <c r="L124" s="13">
        <f t="shared" si="10"/>
        <v>0</v>
      </c>
      <c r="M124" s="13">
        <f t="shared" si="11"/>
        <v>0</v>
      </c>
    </row>
    <row r="125" spans="5:13" x14ac:dyDescent="0.35">
      <c r="E125" s="11"/>
      <c r="F125" t="s">
        <v>5</v>
      </c>
      <c r="G125" s="12">
        <f>IFERROR(VLOOKUP(F125,CARTON_LOOKUP!$A:$E,3,0),"")</f>
        <v>60</v>
      </c>
      <c r="H125" s="12">
        <f>IFERROR(VLOOKUP(F125,CARTON_LOOKUP!$A:$E,4,0),"")</f>
        <v>30</v>
      </c>
      <c r="I125" s="12">
        <f>IFERROR(VLOOKUP(F125,CARTON_LOOKUP!$A:$E,5,0),"")</f>
        <v>40</v>
      </c>
      <c r="J125" s="13">
        <f>IFERROR(VLOOKUP(F125,CARTON_LOOKUP!$A:$E,2,0),"")</f>
        <v>1.4</v>
      </c>
      <c r="K125" s="13">
        <f t="shared" si="9"/>
        <v>0</v>
      </c>
      <c r="L125" s="13">
        <f t="shared" si="10"/>
        <v>0</v>
      </c>
      <c r="M125" s="13">
        <f t="shared" si="11"/>
        <v>0</v>
      </c>
    </row>
    <row r="126" spans="5:13" x14ac:dyDescent="0.35">
      <c r="E126" s="11"/>
      <c r="F126" t="s">
        <v>5</v>
      </c>
      <c r="G126" s="12">
        <f>IFERROR(VLOOKUP(F126,CARTON_LOOKUP!$A:$E,3,0),"")</f>
        <v>60</v>
      </c>
      <c r="H126" s="12">
        <f>IFERROR(VLOOKUP(F126,CARTON_LOOKUP!$A:$E,4,0),"")</f>
        <v>30</v>
      </c>
      <c r="I126" s="12">
        <f>IFERROR(VLOOKUP(F126,CARTON_LOOKUP!$A:$E,5,0),"")</f>
        <v>40</v>
      </c>
      <c r="J126" s="13">
        <f>IFERROR(VLOOKUP(F126,CARTON_LOOKUP!$A:$E,2,0),"")</f>
        <v>1.4</v>
      </c>
      <c r="K126" s="13">
        <f t="shared" si="9"/>
        <v>0</v>
      </c>
      <c r="L126" s="13">
        <f t="shared" si="10"/>
        <v>0</v>
      </c>
      <c r="M126" s="13">
        <f t="shared" si="11"/>
        <v>0</v>
      </c>
    </row>
    <row r="127" spans="5:13" x14ac:dyDescent="0.35">
      <c r="E127" s="11"/>
      <c r="F127" t="s">
        <v>5</v>
      </c>
      <c r="G127" s="12">
        <f>IFERROR(VLOOKUP(F127,CARTON_LOOKUP!$A:$E,3,0),"")</f>
        <v>60</v>
      </c>
      <c r="H127" s="12">
        <f>IFERROR(VLOOKUP(F127,CARTON_LOOKUP!$A:$E,4,0),"")</f>
        <v>30</v>
      </c>
      <c r="I127" s="12">
        <f>IFERROR(VLOOKUP(F127,CARTON_LOOKUP!$A:$E,5,0),"")</f>
        <v>40</v>
      </c>
      <c r="J127" s="13">
        <f>IFERROR(VLOOKUP(F127,CARTON_LOOKUP!$A:$E,2,0),"")</f>
        <v>1.4</v>
      </c>
      <c r="K127" s="13">
        <f t="shared" si="9"/>
        <v>0</v>
      </c>
      <c r="L127" s="13">
        <f t="shared" si="10"/>
        <v>0</v>
      </c>
      <c r="M127" s="13">
        <f t="shared" si="11"/>
        <v>0</v>
      </c>
    </row>
    <row r="128" spans="5:13" x14ac:dyDescent="0.35">
      <c r="E128" s="11"/>
      <c r="F128" t="s">
        <v>5</v>
      </c>
      <c r="G128" s="12">
        <f>IFERROR(VLOOKUP(F128,CARTON_LOOKUP!$A:$E,3,0),"")</f>
        <v>60</v>
      </c>
      <c r="H128" s="12">
        <f>IFERROR(VLOOKUP(F128,CARTON_LOOKUP!$A:$E,4,0),"")</f>
        <v>30</v>
      </c>
      <c r="I128" s="12">
        <f>IFERROR(VLOOKUP(F128,CARTON_LOOKUP!$A:$E,5,0),"")</f>
        <v>40</v>
      </c>
      <c r="J128" s="13">
        <f>IFERROR(VLOOKUP(F128,CARTON_LOOKUP!$A:$E,2,0),"")</f>
        <v>1.4</v>
      </c>
      <c r="K128" s="13">
        <f t="shared" si="9"/>
        <v>0</v>
      </c>
      <c r="L128" s="13">
        <f t="shared" si="10"/>
        <v>0</v>
      </c>
      <c r="M128" s="13">
        <f t="shared" si="11"/>
        <v>0</v>
      </c>
    </row>
    <row r="129" spans="5:13" x14ac:dyDescent="0.35">
      <c r="E129" s="11"/>
      <c r="F129" t="s">
        <v>5</v>
      </c>
      <c r="G129" s="12">
        <f>IFERROR(VLOOKUP(F129,CARTON_LOOKUP!$A:$E,3,0),"")</f>
        <v>60</v>
      </c>
      <c r="H129" s="12">
        <f>IFERROR(VLOOKUP(F129,CARTON_LOOKUP!$A:$E,4,0),"")</f>
        <v>30</v>
      </c>
      <c r="I129" s="12">
        <f>IFERROR(VLOOKUP(F129,CARTON_LOOKUP!$A:$E,5,0),"")</f>
        <v>40</v>
      </c>
      <c r="J129" s="13">
        <f>IFERROR(VLOOKUP(F129,CARTON_LOOKUP!$A:$E,2,0),"")</f>
        <v>1.4</v>
      </c>
      <c r="K129" s="13">
        <f t="shared" si="9"/>
        <v>0</v>
      </c>
      <c r="L129" s="13">
        <f t="shared" si="10"/>
        <v>0</v>
      </c>
      <c r="M129" s="13">
        <f t="shared" si="11"/>
        <v>0</v>
      </c>
    </row>
    <row r="130" spans="5:13" x14ac:dyDescent="0.35">
      <c r="E130" s="11"/>
      <c r="F130" t="s">
        <v>5</v>
      </c>
      <c r="G130" s="12">
        <f>IFERROR(VLOOKUP(F130,CARTON_LOOKUP!$A:$E,3,0),"")</f>
        <v>60</v>
      </c>
      <c r="H130" s="12">
        <f>IFERROR(VLOOKUP(F130,CARTON_LOOKUP!$A:$E,4,0),"")</f>
        <v>30</v>
      </c>
      <c r="I130" s="12">
        <f>IFERROR(VLOOKUP(F130,CARTON_LOOKUP!$A:$E,5,0),"")</f>
        <v>40</v>
      </c>
      <c r="J130" s="13">
        <f>IFERROR(VLOOKUP(F130,CARTON_LOOKUP!$A:$E,2,0),"")</f>
        <v>1.4</v>
      </c>
      <c r="K130" s="13">
        <f t="shared" si="9"/>
        <v>0</v>
      </c>
      <c r="L130" s="13">
        <f t="shared" si="10"/>
        <v>0</v>
      </c>
      <c r="M130" s="13">
        <f t="shared" si="11"/>
        <v>0</v>
      </c>
    </row>
    <row r="131" spans="5:13" x14ac:dyDescent="0.35">
      <c r="E131" s="11"/>
      <c r="F131" t="s">
        <v>5</v>
      </c>
      <c r="G131" s="12">
        <f>IFERROR(VLOOKUP(F131,CARTON_LOOKUP!$A:$E,3,0),"")</f>
        <v>60</v>
      </c>
      <c r="H131" s="12">
        <f>IFERROR(VLOOKUP(F131,CARTON_LOOKUP!$A:$E,4,0),"")</f>
        <v>30</v>
      </c>
      <c r="I131" s="12">
        <f>IFERROR(VLOOKUP(F131,CARTON_LOOKUP!$A:$E,5,0),"")</f>
        <v>40</v>
      </c>
      <c r="J131" s="13">
        <f>IFERROR(VLOOKUP(F131,CARTON_LOOKUP!$A:$E,2,0),"")</f>
        <v>1.4</v>
      </c>
      <c r="K131" s="13">
        <f t="shared" si="9"/>
        <v>0</v>
      </c>
      <c r="L131" s="13">
        <f t="shared" si="10"/>
        <v>0</v>
      </c>
      <c r="M131" s="13">
        <f t="shared" si="11"/>
        <v>0</v>
      </c>
    </row>
    <row r="132" spans="5:13" x14ac:dyDescent="0.35">
      <c r="E132" s="11"/>
      <c r="F132" t="s">
        <v>5</v>
      </c>
      <c r="G132" s="12">
        <f>IFERROR(VLOOKUP(F132,CARTON_LOOKUP!$A:$E,3,0),"")</f>
        <v>60</v>
      </c>
      <c r="H132" s="12">
        <f>IFERROR(VLOOKUP(F132,CARTON_LOOKUP!$A:$E,4,0),"")</f>
        <v>30</v>
      </c>
      <c r="I132" s="12">
        <f>IFERROR(VLOOKUP(F132,CARTON_LOOKUP!$A:$E,5,0),"")</f>
        <v>40</v>
      </c>
      <c r="J132" s="13">
        <f>IFERROR(VLOOKUP(F132,CARTON_LOOKUP!$A:$E,2,0),"")</f>
        <v>1.4</v>
      </c>
      <c r="K132" s="13">
        <f t="shared" si="9"/>
        <v>0</v>
      </c>
      <c r="L132" s="13">
        <f t="shared" si="10"/>
        <v>0</v>
      </c>
      <c r="M132" s="13">
        <f t="shared" si="11"/>
        <v>0</v>
      </c>
    </row>
    <row r="133" spans="5:13" x14ac:dyDescent="0.35">
      <c r="E133" s="11"/>
      <c r="F133" t="s">
        <v>5</v>
      </c>
      <c r="G133" s="12">
        <f>IFERROR(VLOOKUP(F133,CARTON_LOOKUP!$A:$E,3,0),"")</f>
        <v>60</v>
      </c>
      <c r="H133" s="12">
        <f>IFERROR(VLOOKUP(F133,CARTON_LOOKUP!$A:$E,4,0),"")</f>
        <v>30</v>
      </c>
      <c r="I133" s="12">
        <f>IFERROR(VLOOKUP(F133,CARTON_LOOKUP!$A:$E,5,0),"")</f>
        <v>40</v>
      </c>
      <c r="J133" s="13">
        <f>IFERROR(VLOOKUP(F133,CARTON_LOOKUP!$A:$E,2,0),"")</f>
        <v>1.4</v>
      </c>
      <c r="K133" s="13">
        <f t="shared" si="9"/>
        <v>0</v>
      </c>
      <c r="L133" s="13">
        <f t="shared" si="10"/>
        <v>0</v>
      </c>
      <c r="M133" s="13">
        <f t="shared" si="11"/>
        <v>0</v>
      </c>
    </row>
    <row r="134" spans="5:13" x14ac:dyDescent="0.35">
      <c r="E134" s="11"/>
      <c r="F134" t="s">
        <v>5</v>
      </c>
      <c r="G134" s="12">
        <f>IFERROR(VLOOKUP(F134,CARTON_LOOKUP!$A:$E,3,0),"")</f>
        <v>60</v>
      </c>
      <c r="H134" s="12">
        <f>IFERROR(VLOOKUP(F134,CARTON_LOOKUP!$A:$E,4,0),"")</f>
        <v>30</v>
      </c>
      <c r="I134" s="12">
        <f>IFERROR(VLOOKUP(F134,CARTON_LOOKUP!$A:$E,5,0),"")</f>
        <v>40</v>
      </c>
      <c r="J134" s="13">
        <f>IFERROR(VLOOKUP(F134,CARTON_LOOKUP!$A:$E,2,0),"")</f>
        <v>1.4</v>
      </c>
      <c r="K134" s="13">
        <f t="shared" si="9"/>
        <v>0</v>
      </c>
      <c r="L134" s="13">
        <f t="shared" si="10"/>
        <v>0</v>
      </c>
      <c r="M134" s="13">
        <f t="shared" si="11"/>
        <v>0</v>
      </c>
    </row>
    <row r="135" spans="5:13" x14ac:dyDescent="0.35">
      <c r="E135" s="11"/>
      <c r="F135" t="s">
        <v>5</v>
      </c>
      <c r="G135" s="12">
        <f>IFERROR(VLOOKUP(F135,CARTON_LOOKUP!$A:$E,3,0),"")</f>
        <v>60</v>
      </c>
      <c r="H135" s="12">
        <f>IFERROR(VLOOKUP(F135,CARTON_LOOKUP!$A:$E,4,0),"")</f>
        <v>30</v>
      </c>
      <c r="I135" s="12">
        <f>IFERROR(VLOOKUP(F135,CARTON_LOOKUP!$A:$E,5,0),"")</f>
        <v>40</v>
      </c>
      <c r="J135" s="13">
        <f>IFERROR(VLOOKUP(F135,CARTON_LOOKUP!$A:$E,2,0),"")</f>
        <v>1.4</v>
      </c>
      <c r="K135" s="13">
        <f t="shared" si="9"/>
        <v>0</v>
      </c>
      <c r="L135" s="13">
        <f t="shared" si="10"/>
        <v>0</v>
      </c>
      <c r="M135" s="13">
        <f t="shared" si="11"/>
        <v>0</v>
      </c>
    </row>
    <row r="136" spans="5:13" x14ac:dyDescent="0.35">
      <c r="E136" s="11"/>
      <c r="F136" t="s">
        <v>5</v>
      </c>
      <c r="G136" s="12">
        <f>IFERROR(VLOOKUP(F136,CARTON_LOOKUP!$A:$E,3,0),"")</f>
        <v>60</v>
      </c>
      <c r="H136" s="12">
        <f>IFERROR(VLOOKUP(F136,CARTON_LOOKUP!$A:$E,4,0),"")</f>
        <v>30</v>
      </c>
      <c r="I136" s="12">
        <f>IFERROR(VLOOKUP(F136,CARTON_LOOKUP!$A:$E,5,0),"")</f>
        <v>40</v>
      </c>
      <c r="J136" s="13">
        <f>IFERROR(VLOOKUP(F136,CARTON_LOOKUP!$A:$E,2,0),"")</f>
        <v>1.4</v>
      </c>
      <c r="K136" s="13">
        <f t="shared" si="9"/>
        <v>0</v>
      </c>
      <c r="L136" s="13">
        <f t="shared" si="10"/>
        <v>0</v>
      </c>
      <c r="M136" s="13">
        <f t="shared" si="11"/>
        <v>0</v>
      </c>
    </row>
    <row r="137" spans="5:13" x14ac:dyDescent="0.35">
      <c r="E137" s="11"/>
      <c r="F137" t="s">
        <v>5</v>
      </c>
      <c r="G137" s="12">
        <f>IFERROR(VLOOKUP(F137,CARTON_LOOKUP!$A:$E,3,0),"")</f>
        <v>60</v>
      </c>
      <c r="H137" s="12">
        <f>IFERROR(VLOOKUP(F137,CARTON_LOOKUP!$A:$E,4,0),"")</f>
        <v>30</v>
      </c>
      <c r="I137" s="12">
        <f>IFERROR(VLOOKUP(F137,CARTON_LOOKUP!$A:$E,5,0),"")</f>
        <v>40</v>
      </c>
      <c r="J137" s="13">
        <f>IFERROR(VLOOKUP(F137,CARTON_LOOKUP!$A:$E,2,0),"")</f>
        <v>1.4</v>
      </c>
      <c r="K137" s="13">
        <f t="shared" si="9"/>
        <v>0</v>
      </c>
      <c r="L137" s="13">
        <f t="shared" si="10"/>
        <v>0</v>
      </c>
      <c r="M137" s="13">
        <f t="shared" si="11"/>
        <v>0</v>
      </c>
    </row>
    <row r="138" spans="5:13" x14ac:dyDescent="0.35">
      <c r="E138" s="11"/>
      <c r="F138" t="s">
        <v>5</v>
      </c>
      <c r="G138" s="12">
        <f>IFERROR(VLOOKUP(F138,CARTON_LOOKUP!$A:$E,3,0),"")</f>
        <v>60</v>
      </c>
      <c r="H138" s="12">
        <f>IFERROR(VLOOKUP(F138,CARTON_LOOKUP!$A:$E,4,0),"")</f>
        <v>30</v>
      </c>
      <c r="I138" s="12">
        <f>IFERROR(VLOOKUP(F138,CARTON_LOOKUP!$A:$E,5,0),"")</f>
        <v>40</v>
      </c>
      <c r="J138" s="13">
        <f>IFERROR(VLOOKUP(F138,CARTON_LOOKUP!$A:$E,2,0),"")</f>
        <v>1.4</v>
      </c>
      <c r="K138" s="13">
        <f t="shared" si="9"/>
        <v>0</v>
      </c>
      <c r="L138" s="13">
        <f t="shared" si="10"/>
        <v>0</v>
      </c>
      <c r="M138" s="13">
        <f t="shared" si="11"/>
        <v>0</v>
      </c>
    </row>
    <row r="139" spans="5:13" x14ac:dyDescent="0.35">
      <c r="E139" s="11"/>
      <c r="F139" t="s">
        <v>5</v>
      </c>
      <c r="G139" s="12">
        <f>IFERROR(VLOOKUP(F139,CARTON_LOOKUP!$A:$E,3,0),"")</f>
        <v>60</v>
      </c>
      <c r="H139" s="12">
        <f>IFERROR(VLOOKUP(F139,CARTON_LOOKUP!$A:$E,4,0),"")</f>
        <v>30</v>
      </c>
      <c r="I139" s="12">
        <f>IFERROR(VLOOKUP(F139,CARTON_LOOKUP!$A:$E,5,0),"")</f>
        <v>40</v>
      </c>
      <c r="J139" s="13">
        <f>IFERROR(VLOOKUP(F139,CARTON_LOOKUP!$A:$E,2,0),"")</f>
        <v>1.4</v>
      </c>
      <c r="K139" s="13">
        <f t="shared" si="9"/>
        <v>0</v>
      </c>
      <c r="L139" s="13">
        <f t="shared" si="10"/>
        <v>0</v>
      </c>
      <c r="M139" s="13">
        <f t="shared" si="11"/>
        <v>0</v>
      </c>
    </row>
    <row r="140" spans="5:13" x14ac:dyDescent="0.35">
      <c r="E140" s="11"/>
      <c r="F140" t="s">
        <v>5</v>
      </c>
      <c r="G140" s="12">
        <f>IFERROR(VLOOKUP(F140,CARTON_LOOKUP!$A:$E,3,0),"")</f>
        <v>60</v>
      </c>
      <c r="H140" s="12">
        <f>IFERROR(VLOOKUP(F140,CARTON_LOOKUP!$A:$E,4,0),"")</f>
        <v>30</v>
      </c>
      <c r="I140" s="12">
        <f>IFERROR(VLOOKUP(F140,CARTON_LOOKUP!$A:$E,5,0),"")</f>
        <v>40</v>
      </c>
      <c r="J140" s="13">
        <f>IFERROR(VLOOKUP(F140,CARTON_LOOKUP!$A:$E,2,0),"")</f>
        <v>1.4</v>
      </c>
      <c r="K140" s="13">
        <f t="shared" ref="K140:K171" si="12">IFERROR(J140*D140,0)</f>
        <v>0</v>
      </c>
      <c r="L140" s="13">
        <f t="shared" ref="L140:L171" si="13">IFERROR(E140*C140,0)</f>
        <v>0</v>
      </c>
      <c r="M140" s="13">
        <f t="shared" ref="M140:M171" si="14">IFERROR((G140*H140*I140/1000000)*D140,0)</f>
        <v>0</v>
      </c>
    </row>
    <row r="141" spans="5:13" x14ac:dyDescent="0.35">
      <c r="E141" s="11"/>
      <c r="F141" t="s">
        <v>5</v>
      </c>
      <c r="G141" s="12">
        <f>IFERROR(VLOOKUP(F141,CARTON_LOOKUP!$A:$E,3,0),"")</f>
        <v>60</v>
      </c>
      <c r="H141" s="12">
        <f>IFERROR(VLOOKUP(F141,CARTON_LOOKUP!$A:$E,4,0),"")</f>
        <v>30</v>
      </c>
      <c r="I141" s="12">
        <f>IFERROR(VLOOKUP(F141,CARTON_LOOKUP!$A:$E,5,0),"")</f>
        <v>40</v>
      </c>
      <c r="J141" s="13">
        <f>IFERROR(VLOOKUP(F141,CARTON_LOOKUP!$A:$E,2,0),"")</f>
        <v>1.4</v>
      </c>
      <c r="K141" s="13">
        <f t="shared" si="12"/>
        <v>0</v>
      </c>
      <c r="L141" s="13">
        <f t="shared" si="13"/>
        <v>0</v>
      </c>
      <c r="M141" s="13">
        <f t="shared" si="14"/>
        <v>0</v>
      </c>
    </row>
    <row r="142" spans="5:13" x14ac:dyDescent="0.35">
      <c r="E142" s="11"/>
      <c r="F142" t="s">
        <v>5</v>
      </c>
      <c r="G142" s="12">
        <f>IFERROR(VLOOKUP(F142,CARTON_LOOKUP!$A:$E,3,0),"")</f>
        <v>60</v>
      </c>
      <c r="H142" s="12">
        <f>IFERROR(VLOOKUP(F142,CARTON_LOOKUP!$A:$E,4,0),"")</f>
        <v>30</v>
      </c>
      <c r="I142" s="12">
        <f>IFERROR(VLOOKUP(F142,CARTON_LOOKUP!$A:$E,5,0),"")</f>
        <v>40</v>
      </c>
      <c r="J142" s="13">
        <f>IFERROR(VLOOKUP(F142,CARTON_LOOKUP!$A:$E,2,0),"")</f>
        <v>1.4</v>
      </c>
      <c r="K142" s="13">
        <f t="shared" si="12"/>
        <v>0</v>
      </c>
      <c r="L142" s="13">
        <f t="shared" si="13"/>
        <v>0</v>
      </c>
      <c r="M142" s="13">
        <f t="shared" si="14"/>
        <v>0</v>
      </c>
    </row>
    <row r="143" spans="5:13" x14ac:dyDescent="0.35">
      <c r="E143" s="11"/>
      <c r="F143" t="s">
        <v>5</v>
      </c>
      <c r="G143" s="12">
        <f>IFERROR(VLOOKUP(F143,CARTON_LOOKUP!$A:$E,3,0),"")</f>
        <v>60</v>
      </c>
      <c r="H143" s="12">
        <f>IFERROR(VLOOKUP(F143,CARTON_LOOKUP!$A:$E,4,0),"")</f>
        <v>30</v>
      </c>
      <c r="I143" s="12">
        <f>IFERROR(VLOOKUP(F143,CARTON_LOOKUP!$A:$E,5,0),"")</f>
        <v>40</v>
      </c>
      <c r="J143" s="13">
        <f>IFERROR(VLOOKUP(F143,CARTON_LOOKUP!$A:$E,2,0),"")</f>
        <v>1.4</v>
      </c>
      <c r="K143" s="13">
        <f t="shared" si="12"/>
        <v>0</v>
      </c>
      <c r="L143" s="13">
        <f t="shared" si="13"/>
        <v>0</v>
      </c>
      <c r="M143" s="13">
        <f t="shared" si="14"/>
        <v>0</v>
      </c>
    </row>
    <row r="144" spans="5:13" x14ac:dyDescent="0.35">
      <c r="E144" s="11"/>
      <c r="F144" t="s">
        <v>5</v>
      </c>
      <c r="G144" s="12">
        <f>IFERROR(VLOOKUP(F144,CARTON_LOOKUP!$A:$E,3,0),"")</f>
        <v>60</v>
      </c>
      <c r="H144" s="12">
        <f>IFERROR(VLOOKUP(F144,CARTON_LOOKUP!$A:$E,4,0),"")</f>
        <v>30</v>
      </c>
      <c r="I144" s="12">
        <f>IFERROR(VLOOKUP(F144,CARTON_LOOKUP!$A:$E,5,0),"")</f>
        <v>40</v>
      </c>
      <c r="J144" s="13">
        <f>IFERROR(VLOOKUP(F144,CARTON_LOOKUP!$A:$E,2,0),"")</f>
        <v>1.4</v>
      </c>
      <c r="K144" s="13">
        <f t="shared" si="12"/>
        <v>0</v>
      </c>
      <c r="L144" s="13">
        <f t="shared" si="13"/>
        <v>0</v>
      </c>
      <c r="M144" s="13">
        <f t="shared" si="14"/>
        <v>0</v>
      </c>
    </row>
    <row r="145" spans="5:13" x14ac:dyDescent="0.35">
      <c r="E145" s="11"/>
      <c r="F145" t="s">
        <v>5</v>
      </c>
      <c r="G145" s="12">
        <f>IFERROR(VLOOKUP(F145,CARTON_LOOKUP!$A:$E,3,0),"")</f>
        <v>60</v>
      </c>
      <c r="H145" s="12">
        <f>IFERROR(VLOOKUP(F145,CARTON_LOOKUP!$A:$E,4,0),"")</f>
        <v>30</v>
      </c>
      <c r="I145" s="12">
        <f>IFERROR(VLOOKUP(F145,CARTON_LOOKUP!$A:$E,5,0),"")</f>
        <v>40</v>
      </c>
      <c r="J145" s="13">
        <f>IFERROR(VLOOKUP(F145,CARTON_LOOKUP!$A:$E,2,0),"")</f>
        <v>1.4</v>
      </c>
      <c r="K145" s="13">
        <f t="shared" si="12"/>
        <v>0</v>
      </c>
      <c r="L145" s="13">
        <f t="shared" si="13"/>
        <v>0</v>
      </c>
      <c r="M145" s="13">
        <f t="shared" si="14"/>
        <v>0</v>
      </c>
    </row>
    <row r="146" spans="5:13" x14ac:dyDescent="0.35">
      <c r="E146" s="11"/>
      <c r="F146" t="s">
        <v>5</v>
      </c>
      <c r="G146" s="12">
        <f>IFERROR(VLOOKUP(F146,CARTON_LOOKUP!$A:$E,3,0),"")</f>
        <v>60</v>
      </c>
      <c r="H146" s="12">
        <f>IFERROR(VLOOKUP(F146,CARTON_LOOKUP!$A:$E,4,0),"")</f>
        <v>30</v>
      </c>
      <c r="I146" s="12">
        <f>IFERROR(VLOOKUP(F146,CARTON_LOOKUP!$A:$E,5,0),"")</f>
        <v>40</v>
      </c>
      <c r="J146" s="13">
        <f>IFERROR(VLOOKUP(F146,CARTON_LOOKUP!$A:$E,2,0),"")</f>
        <v>1.4</v>
      </c>
      <c r="K146" s="13">
        <f t="shared" si="12"/>
        <v>0</v>
      </c>
      <c r="L146" s="13">
        <f t="shared" si="13"/>
        <v>0</v>
      </c>
      <c r="M146" s="13">
        <f t="shared" si="14"/>
        <v>0</v>
      </c>
    </row>
    <row r="147" spans="5:13" x14ac:dyDescent="0.35">
      <c r="E147" s="11"/>
      <c r="F147" t="s">
        <v>5</v>
      </c>
      <c r="G147" s="12">
        <f>IFERROR(VLOOKUP(F147,CARTON_LOOKUP!$A:$E,3,0),"")</f>
        <v>60</v>
      </c>
      <c r="H147" s="12">
        <f>IFERROR(VLOOKUP(F147,CARTON_LOOKUP!$A:$E,4,0),"")</f>
        <v>30</v>
      </c>
      <c r="I147" s="12">
        <f>IFERROR(VLOOKUP(F147,CARTON_LOOKUP!$A:$E,5,0),"")</f>
        <v>40</v>
      </c>
      <c r="J147" s="13">
        <f>IFERROR(VLOOKUP(F147,CARTON_LOOKUP!$A:$E,2,0),"")</f>
        <v>1.4</v>
      </c>
      <c r="K147" s="13">
        <f t="shared" si="12"/>
        <v>0</v>
      </c>
      <c r="L147" s="13">
        <f t="shared" si="13"/>
        <v>0</v>
      </c>
      <c r="M147" s="13">
        <f t="shared" si="14"/>
        <v>0</v>
      </c>
    </row>
    <row r="148" spans="5:13" x14ac:dyDescent="0.35">
      <c r="E148" s="11"/>
      <c r="F148" t="s">
        <v>5</v>
      </c>
      <c r="G148" s="12">
        <f>IFERROR(VLOOKUP(F148,CARTON_LOOKUP!$A:$E,3,0),"")</f>
        <v>60</v>
      </c>
      <c r="H148" s="12">
        <f>IFERROR(VLOOKUP(F148,CARTON_LOOKUP!$A:$E,4,0),"")</f>
        <v>30</v>
      </c>
      <c r="I148" s="12">
        <f>IFERROR(VLOOKUP(F148,CARTON_LOOKUP!$A:$E,5,0),"")</f>
        <v>40</v>
      </c>
      <c r="J148" s="13">
        <f>IFERROR(VLOOKUP(F148,CARTON_LOOKUP!$A:$E,2,0),"")</f>
        <v>1.4</v>
      </c>
      <c r="K148" s="13">
        <f t="shared" si="12"/>
        <v>0</v>
      </c>
      <c r="L148" s="13">
        <f t="shared" si="13"/>
        <v>0</v>
      </c>
      <c r="M148" s="13">
        <f t="shared" si="14"/>
        <v>0</v>
      </c>
    </row>
    <row r="149" spans="5:13" x14ac:dyDescent="0.35">
      <c r="E149" s="11"/>
      <c r="F149" t="s">
        <v>5</v>
      </c>
      <c r="G149" s="12">
        <f>IFERROR(VLOOKUP(F149,CARTON_LOOKUP!$A:$E,3,0),"")</f>
        <v>60</v>
      </c>
      <c r="H149" s="12">
        <f>IFERROR(VLOOKUP(F149,CARTON_LOOKUP!$A:$E,4,0),"")</f>
        <v>30</v>
      </c>
      <c r="I149" s="12">
        <f>IFERROR(VLOOKUP(F149,CARTON_LOOKUP!$A:$E,5,0),"")</f>
        <v>40</v>
      </c>
      <c r="J149" s="13">
        <f>IFERROR(VLOOKUP(F149,CARTON_LOOKUP!$A:$E,2,0),"")</f>
        <v>1.4</v>
      </c>
      <c r="K149" s="13">
        <f t="shared" si="12"/>
        <v>0</v>
      </c>
      <c r="L149" s="13">
        <f t="shared" si="13"/>
        <v>0</v>
      </c>
      <c r="M149" s="13">
        <f t="shared" si="14"/>
        <v>0</v>
      </c>
    </row>
    <row r="150" spans="5:13" x14ac:dyDescent="0.35">
      <c r="E150" s="11"/>
      <c r="F150" t="s">
        <v>5</v>
      </c>
      <c r="G150" s="12">
        <f>IFERROR(VLOOKUP(F150,CARTON_LOOKUP!$A:$E,3,0),"")</f>
        <v>60</v>
      </c>
      <c r="H150" s="12">
        <f>IFERROR(VLOOKUP(F150,CARTON_LOOKUP!$A:$E,4,0),"")</f>
        <v>30</v>
      </c>
      <c r="I150" s="12">
        <f>IFERROR(VLOOKUP(F150,CARTON_LOOKUP!$A:$E,5,0),"")</f>
        <v>40</v>
      </c>
      <c r="J150" s="13">
        <f>IFERROR(VLOOKUP(F150,CARTON_LOOKUP!$A:$E,2,0),"")</f>
        <v>1.4</v>
      </c>
      <c r="K150" s="13">
        <f t="shared" si="12"/>
        <v>0</v>
      </c>
      <c r="L150" s="13">
        <f t="shared" si="13"/>
        <v>0</v>
      </c>
      <c r="M150" s="13">
        <f t="shared" si="14"/>
        <v>0</v>
      </c>
    </row>
    <row r="151" spans="5:13" x14ac:dyDescent="0.35">
      <c r="E151" s="11"/>
      <c r="F151" t="s">
        <v>5</v>
      </c>
      <c r="G151" s="12">
        <f>IFERROR(VLOOKUP(F151,CARTON_LOOKUP!$A:$E,3,0),"")</f>
        <v>60</v>
      </c>
      <c r="H151" s="12">
        <f>IFERROR(VLOOKUP(F151,CARTON_LOOKUP!$A:$E,4,0),"")</f>
        <v>30</v>
      </c>
      <c r="I151" s="12">
        <f>IFERROR(VLOOKUP(F151,CARTON_LOOKUP!$A:$E,5,0),"")</f>
        <v>40</v>
      </c>
      <c r="J151" s="13">
        <f>IFERROR(VLOOKUP(F151,CARTON_LOOKUP!$A:$E,2,0),"")</f>
        <v>1.4</v>
      </c>
      <c r="K151" s="13">
        <f t="shared" si="12"/>
        <v>0</v>
      </c>
      <c r="L151" s="13">
        <f t="shared" si="13"/>
        <v>0</v>
      </c>
      <c r="M151" s="13">
        <f t="shared" si="14"/>
        <v>0</v>
      </c>
    </row>
    <row r="152" spans="5:13" x14ac:dyDescent="0.35">
      <c r="E152" s="11"/>
      <c r="F152" t="s">
        <v>5</v>
      </c>
      <c r="G152" s="12">
        <f>IFERROR(VLOOKUP(F152,CARTON_LOOKUP!$A:$E,3,0),"")</f>
        <v>60</v>
      </c>
      <c r="H152" s="12">
        <f>IFERROR(VLOOKUP(F152,CARTON_LOOKUP!$A:$E,4,0),"")</f>
        <v>30</v>
      </c>
      <c r="I152" s="12">
        <f>IFERROR(VLOOKUP(F152,CARTON_LOOKUP!$A:$E,5,0),"")</f>
        <v>40</v>
      </c>
      <c r="J152" s="13">
        <f>IFERROR(VLOOKUP(F152,CARTON_LOOKUP!$A:$E,2,0),"")</f>
        <v>1.4</v>
      </c>
      <c r="K152" s="13">
        <f t="shared" si="12"/>
        <v>0</v>
      </c>
      <c r="L152" s="13">
        <f t="shared" si="13"/>
        <v>0</v>
      </c>
      <c r="M152" s="13">
        <f t="shared" si="14"/>
        <v>0</v>
      </c>
    </row>
    <row r="153" spans="5:13" x14ac:dyDescent="0.35">
      <c r="E153" s="11"/>
      <c r="F153" t="s">
        <v>5</v>
      </c>
      <c r="G153" s="12">
        <f>IFERROR(VLOOKUP(F153,CARTON_LOOKUP!$A:$E,3,0),"")</f>
        <v>60</v>
      </c>
      <c r="H153" s="12">
        <f>IFERROR(VLOOKUP(F153,CARTON_LOOKUP!$A:$E,4,0),"")</f>
        <v>30</v>
      </c>
      <c r="I153" s="12">
        <f>IFERROR(VLOOKUP(F153,CARTON_LOOKUP!$A:$E,5,0),"")</f>
        <v>40</v>
      </c>
      <c r="J153" s="13">
        <f>IFERROR(VLOOKUP(F153,CARTON_LOOKUP!$A:$E,2,0),"")</f>
        <v>1.4</v>
      </c>
      <c r="K153" s="13">
        <f t="shared" si="12"/>
        <v>0</v>
      </c>
      <c r="L153" s="13">
        <f t="shared" si="13"/>
        <v>0</v>
      </c>
      <c r="M153" s="13">
        <f t="shared" si="14"/>
        <v>0</v>
      </c>
    </row>
    <row r="154" spans="5:13" x14ac:dyDescent="0.35">
      <c r="E154" s="11"/>
      <c r="F154" t="s">
        <v>5</v>
      </c>
      <c r="G154" s="12">
        <f>IFERROR(VLOOKUP(F154,CARTON_LOOKUP!$A:$E,3,0),"")</f>
        <v>60</v>
      </c>
      <c r="H154" s="12">
        <f>IFERROR(VLOOKUP(F154,CARTON_LOOKUP!$A:$E,4,0),"")</f>
        <v>30</v>
      </c>
      <c r="I154" s="12">
        <f>IFERROR(VLOOKUP(F154,CARTON_LOOKUP!$A:$E,5,0),"")</f>
        <v>40</v>
      </c>
      <c r="J154" s="13">
        <f>IFERROR(VLOOKUP(F154,CARTON_LOOKUP!$A:$E,2,0),"")</f>
        <v>1.4</v>
      </c>
      <c r="K154" s="13">
        <f t="shared" si="12"/>
        <v>0</v>
      </c>
      <c r="L154" s="13">
        <f t="shared" si="13"/>
        <v>0</v>
      </c>
      <c r="M154" s="13">
        <f t="shared" si="14"/>
        <v>0</v>
      </c>
    </row>
    <row r="155" spans="5:13" x14ac:dyDescent="0.35">
      <c r="E155" s="11"/>
      <c r="F155" t="s">
        <v>5</v>
      </c>
      <c r="G155" s="12">
        <f>IFERROR(VLOOKUP(F155,CARTON_LOOKUP!$A:$E,3,0),"")</f>
        <v>60</v>
      </c>
      <c r="H155" s="12">
        <f>IFERROR(VLOOKUP(F155,CARTON_LOOKUP!$A:$E,4,0),"")</f>
        <v>30</v>
      </c>
      <c r="I155" s="12">
        <f>IFERROR(VLOOKUP(F155,CARTON_LOOKUP!$A:$E,5,0),"")</f>
        <v>40</v>
      </c>
      <c r="J155" s="13">
        <f>IFERROR(VLOOKUP(F155,CARTON_LOOKUP!$A:$E,2,0),"")</f>
        <v>1.4</v>
      </c>
      <c r="K155" s="13">
        <f t="shared" si="12"/>
        <v>0</v>
      </c>
      <c r="L155" s="13">
        <f t="shared" si="13"/>
        <v>0</v>
      </c>
      <c r="M155" s="13">
        <f t="shared" si="14"/>
        <v>0</v>
      </c>
    </row>
    <row r="156" spans="5:13" x14ac:dyDescent="0.35">
      <c r="E156" s="11"/>
      <c r="F156" t="s">
        <v>5</v>
      </c>
      <c r="G156" s="12">
        <f>IFERROR(VLOOKUP(F156,CARTON_LOOKUP!$A:$E,3,0),"")</f>
        <v>60</v>
      </c>
      <c r="H156" s="12">
        <f>IFERROR(VLOOKUP(F156,CARTON_LOOKUP!$A:$E,4,0),"")</f>
        <v>30</v>
      </c>
      <c r="I156" s="12">
        <f>IFERROR(VLOOKUP(F156,CARTON_LOOKUP!$A:$E,5,0),"")</f>
        <v>40</v>
      </c>
      <c r="J156" s="13">
        <f>IFERROR(VLOOKUP(F156,CARTON_LOOKUP!$A:$E,2,0),"")</f>
        <v>1.4</v>
      </c>
      <c r="K156" s="13">
        <f t="shared" si="12"/>
        <v>0</v>
      </c>
      <c r="L156" s="13">
        <f t="shared" si="13"/>
        <v>0</v>
      </c>
      <c r="M156" s="13">
        <f t="shared" si="14"/>
        <v>0</v>
      </c>
    </row>
    <row r="157" spans="5:13" x14ac:dyDescent="0.35">
      <c r="E157" s="11"/>
      <c r="F157" t="s">
        <v>5</v>
      </c>
      <c r="G157" s="12">
        <f>IFERROR(VLOOKUP(F157,CARTON_LOOKUP!$A:$E,3,0),"")</f>
        <v>60</v>
      </c>
      <c r="H157" s="12">
        <f>IFERROR(VLOOKUP(F157,CARTON_LOOKUP!$A:$E,4,0),"")</f>
        <v>30</v>
      </c>
      <c r="I157" s="12">
        <f>IFERROR(VLOOKUP(F157,CARTON_LOOKUP!$A:$E,5,0),"")</f>
        <v>40</v>
      </c>
      <c r="J157" s="13">
        <f>IFERROR(VLOOKUP(F157,CARTON_LOOKUP!$A:$E,2,0),"")</f>
        <v>1.4</v>
      </c>
      <c r="K157" s="13">
        <f t="shared" si="12"/>
        <v>0</v>
      </c>
      <c r="L157" s="13">
        <f t="shared" si="13"/>
        <v>0</v>
      </c>
      <c r="M157" s="13">
        <f t="shared" si="14"/>
        <v>0</v>
      </c>
    </row>
    <row r="158" spans="5:13" x14ac:dyDescent="0.35">
      <c r="E158" s="11"/>
      <c r="F158" t="s">
        <v>5</v>
      </c>
      <c r="G158" s="12">
        <f>IFERROR(VLOOKUP(F158,CARTON_LOOKUP!$A:$E,3,0),"")</f>
        <v>60</v>
      </c>
      <c r="H158" s="12">
        <f>IFERROR(VLOOKUP(F158,CARTON_LOOKUP!$A:$E,4,0),"")</f>
        <v>30</v>
      </c>
      <c r="I158" s="12">
        <f>IFERROR(VLOOKUP(F158,CARTON_LOOKUP!$A:$E,5,0),"")</f>
        <v>40</v>
      </c>
      <c r="J158" s="13">
        <f>IFERROR(VLOOKUP(F158,CARTON_LOOKUP!$A:$E,2,0),"")</f>
        <v>1.4</v>
      </c>
      <c r="K158" s="13">
        <f t="shared" si="12"/>
        <v>0</v>
      </c>
      <c r="L158" s="13">
        <f t="shared" si="13"/>
        <v>0</v>
      </c>
      <c r="M158" s="13">
        <f t="shared" si="14"/>
        <v>0</v>
      </c>
    </row>
    <row r="159" spans="5:13" x14ac:dyDescent="0.35">
      <c r="E159" s="11"/>
      <c r="F159" t="s">
        <v>5</v>
      </c>
      <c r="G159" s="12">
        <f>IFERROR(VLOOKUP(F159,CARTON_LOOKUP!$A:$E,3,0),"")</f>
        <v>60</v>
      </c>
      <c r="H159" s="12">
        <f>IFERROR(VLOOKUP(F159,CARTON_LOOKUP!$A:$E,4,0),"")</f>
        <v>30</v>
      </c>
      <c r="I159" s="12">
        <f>IFERROR(VLOOKUP(F159,CARTON_LOOKUP!$A:$E,5,0),"")</f>
        <v>40</v>
      </c>
      <c r="J159" s="13">
        <f>IFERROR(VLOOKUP(F159,CARTON_LOOKUP!$A:$E,2,0),"")</f>
        <v>1.4</v>
      </c>
      <c r="K159" s="13">
        <f t="shared" si="12"/>
        <v>0</v>
      </c>
      <c r="L159" s="13">
        <f t="shared" si="13"/>
        <v>0</v>
      </c>
      <c r="M159" s="13">
        <f t="shared" si="14"/>
        <v>0</v>
      </c>
    </row>
    <row r="160" spans="5:13" x14ac:dyDescent="0.35">
      <c r="E160" s="11"/>
      <c r="F160" t="s">
        <v>5</v>
      </c>
      <c r="G160" s="12">
        <f>IFERROR(VLOOKUP(F160,CARTON_LOOKUP!$A:$E,3,0),"")</f>
        <v>60</v>
      </c>
      <c r="H160" s="12">
        <f>IFERROR(VLOOKUP(F160,CARTON_LOOKUP!$A:$E,4,0),"")</f>
        <v>30</v>
      </c>
      <c r="I160" s="12">
        <f>IFERROR(VLOOKUP(F160,CARTON_LOOKUP!$A:$E,5,0),"")</f>
        <v>40</v>
      </c>
      <c r="J160" s="13">
        <f>IFERROR(VLOOKUP(F160,CARTON_LOOKUP!$A:$E,2,0),"")</f>
        <v>1.4</v>
      </c>
      <c r="K160" s="13">
        <f t="shared" si="12"/>
        <v>0</v>
      </c>
      <c r="L160" s="13">
        <f t="shared" si="13"/>
        <v>0</v>
      </c>
      <c r="M160" s="13">
        <f t="shared" si="14"/>
        <v>0</v>
      </c>
    </row>
    <row r="161" spans="5:13" x14ac:dyDescent="0.35">
      <c r="E161" s="11"/>
      <c r="F161" t="s">
        <v>5</v>
      </c>
      <c r="G161" s="12">
        <f>IFERROR(VLOOKUP(F161,CARTON_LOOKUP!$A:$E,3,0),"")</f>
        <v>60</v>
      </c>
      <c r="H161" s="12">
        <f>IFERROR(VLOOKUP(F161,CARTON_LOOKUP!$A:$E,4,0),"")</f>
        <v>30</v>
      </c>
      <c r="I161" s="12">
        <f>IFERROR(VLOOKUP(F161,CARTON_LOOKUP!$A:$E,5,0),"")</f>
        <v>40</v>
      </c>
      <c r="J161" s="13">
        <f>IFERROR(VLOOKUP(F161,CARTON_LOOKUP!$A:$E,2,0),"")</f>
        <v>1.4</v>
      </c>
      <c r="K161" s="13">
        <f t="shared" si="12"/>
        <v>0</v>
      </c>
      <c r="L161" s="13">
        <f t="shared" si="13"/>
        <v>0</v>
      </c>
      <c r="M161" s="13">
        <f t="shared" si="14"/>
        <v>0</v>
      </c>
    </row>
    <row r="162" spans="5:13" x14ac:dyDescent="0.35">
      <c r="E162" s="11"/>
      <c r="F162" t="s">
        <v>5</v>
      </c>
      <c r="G162" s="12">
        <f>IFERROR(VLOOKUP(F162,CARTON_LOOKUP!$A:$E,3,0),"")</f>
        <v>60</v>
      </c>
      <c r="H162" s="12">
        <f>IFERROR(VLOOKUP(F162,CARTON_LOOKUP!$A:$E,4,0),"")</f>
        <v>30</v>
      </c>
      <c r="I162" s="12">
        <f>IFERROR(VLOOKUP(F162,CARTON_LOOKUP!$A:$E,5,0),"")</f>
        <v>40</v>
      </c>
      <c r="J162" s="13">
        <f>IFERROR(VLOOKUP(F162,CARTON_LOOKUP!$A:$E,2,0),"")</f>
        <v>1.4</v>
      </c>
      <c r="K162" s="13">
        <f t="shared" si="12"/>
        <v>0</v>
      </c>
      <c r="L162" s="13">
        <f t="shared" si="13"/>
        <v>0</v>
      </c>
      <c r="M162" s="13">
        <f t="shared" si="14"/>
        <v>0</v>
      </c>
    </row>
    <row r="163" spans="5:13" x14ac:dyDescent="0.35">
      <c r="E163" s="11"/>
      <c r="F163" t="s">
        <v>5</v>
      </c>
      <c r="G163" s="12">
        <f>IFERROR(VLOOKUP(F163,CARTON_LOOKUP!$A:$E,3,0),"")</f>
        <v>60</v>
      </c>
      <c r="H163" s="12">
        <f>IFERROR(VLOOKUP(F163,CARTON_LOOKUP!$A:$E,4,0),"")</f>
        <v>30</v>
      </c>
      <c r="I163" s="12">
        <f>IFERROR(VLOOKUP(F163,CARTON_LOOKUP!$A:$E,5,0),"")</f>
        <v>40</v>
      </c>
      <c r="J163" s="13">
        <f>IFERROR(VLOOKUP(F163,CARTON_LOOKUP!$A:$E,2,0),"")</f>
        <v>1.4</v>
      </c>
      <c r="K163" s="13">
        <f t="shared" si="12"/>
        <v>0</v>
      </c>
      <c r="L163" s="13">
        <f t="shared" si="13"/>
        <v>0</v>
      </c>
      <c r="M163" s="13">
        <f t="shared" si="14"/>
        <v>0</v>
      </c>
    </row>
    <row r="164" spans="5:13" x14ac:dyDescent="0.35">
      <c r="E164" s="11"/>
      <c r="F164" t="s">
        <v>5</v>
      </c>
      <c r="G164" s="12">
        <f>IFERROR(VLOOKUP(F164,CARTON_LOOKUP!$A:$E,3,0),"")</f>
        <v>60</v>
      </c>
      <c r="H164" s="12">
        <f>IFERROR(VLOOKUP(F164,CARTON_LOOKUP!$A:$E,4,0),"")</f>
        <v>30</v>
      </c>
      <c r="I164" s="12">
        <f>IFERROR(VLOOKUP(F164,CARTON_LOOKUP!$A:$E,5,0),"")</f>
        <v>40</v>
      </c>
      <c r="J164" s="13">
        <f>IFERROR(VLOOKUP(F164,CARTON_LOOKUP!$A:$E,2,0),"")</f>
        <v>1.4</v>
      </c>
      <c r="K164" s="13">
        <f t="shared" si="12"/>
        <v>0</v>
      </c>
      <c r="L164" s="13">
        <f t="shared" si="13"/>
        <v>0</v>
      </c>
      <c r="M164" s="13">
        <f t="shared" si="14"/>
        <v>0</v>
      </c>
    </row>
    <row r="165" spans="5:13" x14ac:dyDescent="0.35">
      <c r="E165" s="11"/>
      <c r="F165" t="s">
        <v>5</v>
      </c>
      <c r="G165" s="12">
        <f>IFERROR(VLOOKUP(F165,CARTON_LOOKUP!$A:$E,3,0),"")</f>
        <v>60</v>
      </c>
      <c r="H165" s="12">
        <f>IFERROR(VLOOKUP(F165,CARTON_LOOKUP!$A:$E,4,0),"")</f>
        <v>30</v>
      </c>
      <c r="I165" s="12">
        <f>IFERROR(VLOOKUP(F165,CARTON_LOOKUP!$A:$E,5,0),"")</f>
        <v>40</v>
      </c>
      <c r="J165" s="13">
        <f>IFERROR(VLOOKUP(F165,CARTON_LOOKUP!$A:$E,2,0),"")</f>
        <v>1.4</v>
      </c>
      <c r="K165" s="13">
        <f t="shared" si="12"/>
        <v>0</v>
      </c>
      <c r="L165" s="13">
        <f t="shared" si="13"/>
        <v>0</v>
      </c>
      <c r="M165" s="13">
        <f t="shared" si="14"/>
        <v>0</v>
      </c>
    </row>
    <row r="166" spans="5:13" x14ac:dyDescent="0.35">
      <c r="E166" s="11"/>
      <c r="F166" t="s">
        <v>5</v>
      </c>
      <c r="G166" s="12">
        <f>IFERROR(VLOOKUP(F166,CARTON_LOOKUP!$A:$E,3,0),"")</f>
        <v>60</v>
      </c>
      <c r="H166" s="12">
        <f>IFERROR(VLOOKUP(F166,CARTON_LOOKUP!$A:$E,4,0),"")</f>
        <v>30</v>
      </c>
      <c r="I166" s="12">
        <f>IFERROR(VLOOKUP(F166,CARTON_LOOKUP!$A:$E,5,0),"")</f>
        <v>40</v>
      </c>
      <c r="J166" s="13">
        <f>IFERROR(VLOOKUP(F166,CARTON_LOOKUP!$A:$E,2,0),"")</f>
        <v>1.4</v>
      </c>
      <c r="K166" s="13">
        <f t="shared" si="12"/>
        <v>0</v>
      </c>
      <c r="L166" s="13">
        <f t="shared" si="13"/>
        <v>0</v>
      </c>
      <c r="M166" s="13">
        <f t="shared" si="14"/>
        <v>0</v>
      </c>
    </row>
    <row r="167" spans="5:13" x14ac:dyDescent="0.35">
      <c r="E167" s="11"/>
      <c r="F167" t="s">
        <v>5</v>
      </c>
      <c r="G167" s="12">
        <f>IFERROR(VLOOKUP(F167,CARTON_LOOKUP!$A:$E,3,0),"")</f>
        <v>60</v>
      </c>
      <c r="H167" s="12">
        <f>IFERROR(VLOOKUP(F167,CARTON_LOOKUP!$A:$E,4,0),"")</f>
        <v>30</v>
      </c>
      <c r="I167" s="12">
        <f>IFERROR(VLOOKUP(F167,CARTON_LOOKUP!$A:$E,5,0),"")</f>
        <v>40</v>
      </c>
      <c r="J167" s="13">
        <f>IFERROR(VLOOKUP(F167,CARTON_LOOKUP!$A:$E,2,0),"")</f>
        <v>1.4</v>
      </c>
      <c r="K167" s="13">
        <f t="shared" si="12"/>
        <v>0</v>
      </c>
      <c r="L167" s="13">
        <f t="shared" si="13"/>
        <v>0</v>
      </c>
      <c r="M167" s="13">
        <f t="shared" si="14"/>
        <v>0</v>
      </c>
    </row>
    <row r="168" spans="5:13" x14ac:dyDescent="0.35">
      <c r="E168" s="11"/>
      <c r="F168" t="s">
        <v>5</v>
      </c>
      <c r="G168" s="12">
        <f>IFERROR(VLOOKUP(F168,CARTON_LOOKUP!$A:$E,3,0),"")</f>
        <v>60</v>
      </c>
      <c r="H168" s="12">
        <f>IFERROR(VLOOKUP(F168,CARTON_LOOKUP!$A:$E,4,0),"")</f>
        <v>30</v>
      </c>
      <c r="I168" s="12">
        <f>IFERROR(VLOOKUP(F168,CARTON_LOOKUP!$A:$E,5,0),"")</f>
        <v>40</v>
      </c>
      <c r="J168" s="13">
        <f>IFERROR(VLOOKUP(F168,CARTON_LOOKUP!$A:$E,2,0),"")</f>
        <v>1.4</v>
      </c>
      <c r="K168" s="13">
        <f t="shared" si="12"/>
        <v>0</v>
      </c>
      <c r="L168" s="13">
        <f t="shared" si="13"/>
        <v>0</v>
      </c>
      <c r="M168" s="13">
        <f t="shared" si="14"/>
        <v>0</v>
      </c>
    </row>
    <row r="169" spans="5:13" x14ac:dyDescent="0.35">
      <c r="E169" s="11"/>
      <c r="F169" t="s">
        <v>5</v>
      </c>
      <c r="G169" s="12">
        <f>IFERROR(VLOOKUP(F169,CARTON_LOOKUP!$A:$E,3,0),"")</f>
        <v>60</v>
      </c>
      <c r="H169" s="12">
        <f>IFERROR(VLOOKUP(F169,CARTON_LOOKUP!$A:$E,4,0),"")</f>
        <v>30</v>
      </c>
      <c r="I169" s="12">
        <f>IFERROR(VLOOKUP(F169,CARTON_LOOKUP!$A:$E,5,0),"")</f>
        <v>40</v>
      </c>
      <c r="J169" s="13">
        <f>IFERROR(VLOOKUP(F169,CARTON_LOOKUP!$A:$E,2,0),"")</f>
        <v>1.4</v>
      </c>
      <c r="K169" s="13">
        <f t="shared" si="12"/>
        <v>0</v>
      </c>
      <c r="L169" s="13">
        <f t="shared" si="13"/>
        <v>0</v>
      </c>
      <c r="M169" s="13">
        <f t="shared" si="14"/>
        <v>0</v>
      </c>
    </row>
    <row r="170" spans="5:13" x14ac:dyDescent="0.35">
      <c r="E170" s="11"/>
      <c r="F170" t="s">
        <v>5</v>
      </c>
      <c r="G170" s="12">
        <f>IFERROR(VLOOKUP(F170,CARTON_LOOKUP!$A:$E,3,0),"")</f>
        <v>60</v>
      </c>
      <c r="H170" s="12">
        <f>IFERROR(VLOOKUP(F170,CARTON_LOOKUP!$A:$E,4,0),"")</f>
        <v>30</v>
      </c>
      <c r="I170" s="12">
        <f>IFERROR(VLOOKUP(F170,CARTON_LOOKUP!$A:$E,5,0),"")</f>
        <v>40</v>
      </c>
      <c r="J170" s="13">
        <f>IFERROR(VLOOKUP(F170,CARTON_LOOKUP!$A:$E,2,0),"")</f>
        <v>1.4</v>
      </c>
      <c r="K170" s="13">
        <f t="shared" si="12"/>
        <v>0</v>
      </c>
      <c r="L170" s="13">
        <f t="shared" si="13"/>
        <v>0</v>
      </c>
      <c r="M170" s="13">
        <f t="shared" si="14"/>
        <v>0</v>
      </c>
    </row>
    <row r="171" spans="5:13" x14ac:dyDescent="0.35">
      <c r="E171" s="11"/>
      <c r="F171" t="s">
        <v>5</v>
      </c>
      <c r="G171" s="12">
        <f>IFERROR(VLOOKUP(F171,CARTON_LOOKUP!$A:$E,3,0),"")</f>
        <v>60</v>
      </c>
      <c r="H171" s="12">
        <f>IFERROR(VLOOKUP(F171,CARTON_LOOKUP!$A:$E,4,0),"")</f>
        <v>30</v>
      </c>
      <c r="I171" s="12">
        <f>IFERROR(VLOOKUP(F171,CARTON_LOOKUP!$A:$E,5,0),"")</f>
        <v>40</v>
      </c>
      <c r="J171" s="13">
        <f>IFERROR(VLOOKUP(F171,CARTON_LOOKUP!$A:$E,2,0),"")</f>
        <v>1.4</v>
      </c>
      <c r="K171" s="13">
        <f t="shared" si="12"/>
        <v>0</v>
      </c>
      <c r="L171" s="13">
        <f t="shared" si="13"/>
        <v>0</v>
      </c>
      <c r="M171" s="13">
        <f t="shared" si="14"/>
        <v>0</v>
      </c>
    </row>
    <row r="172" spans="5:13" x14ac:dyDescent="0.35">
      <c r="E172" s="11"/>
      <c r="F172" t="s">
        <v>5</v>
      </c>
      <c r="G172" s="12">
        <f>IFERROR(VLOOKUP(F172,CARTON_LOOKUP!$A:$E,3,0),"")</f>
        <v>60</v>
      </c>
      <c r="H172" s="12">
        <f>IFERROR(VLOOKUP(F172,CARTON_LOOKUP!$A:$E,4,0),"")</f>
        <v>30</v>
      </c>
      <c r="I172" s="12">
        <f>IFERROR(VLOOKUP(F172,CARTON_LOOKUP!$A:$E,5,0),"")</f>
        <v>40</v>
      </c>
      <c r="J172" s="13">
        <f>IFERROR(VLOOKUP(F172,CARTON_LOOKUP!$A:$E,2,0),"")</f>
        <v>1.4</v>
      </c>
      <c r="K172" s="13">
        <f t="shared" ref="K172:K203" si="15">IFERROR(J172*D172,0)</f>
        <v>0</v>
      </c>
      <c r="L172" s="13">
        <f t="shared" ref="L172:L203" si="16">IFERROR(E172*C172,0)</f>
        <v>0</v>
      </c>
      <c r="M172" s="13">
        <f t="shared" ref="M172:M203" si="17">IFERROR((G172*H172*I172/1000000)*D172,0)</f>
        <v>0</v>
      </c>
    </row>
    <row r="173" spans="5:13" x14ac:dyDescent="0.35">
      <c r="E173" s="11"/>
      <c r="F173" t="s">
        <v>5</v>
      </c>
      <c r="G173" s="12">
        <f>IFERROR(VLOOKUP(F173,CARTON_LOOKUP!$A:$E,3,0),"")</f>
        <v>60</v>
      </c>
      <c r="H173" s="12">
        <f>IFERROR(VLOOKUP(F173,CARTON_LOOKUP!$A:$E,4,0),"")</f>
        <v>30</v>
      </c>
      <c r="I173" s="12">
        <f>IFERROR(VLOOKUP(F173,CARTON_LOOKUP!$A:$E,5,0),"")</f>
        <v>40</v>
      </c>
      <c r="J173" s="13">
        <f>IFERROR(VLOOKUP(F173,CARTON_LOOKUP!$A:$E,2,0),"")</f>
        <v>1.4</v>
      </c>
      <c r="K173" s="13">
        <f t="shared" si="15"/>
        <v>0</v>
      </c>
      <c r="L173" s="13">
        <f t="shared" si="16"/>
        <v>0</v>
      </c>
      <c r="M173" s="13">
        <f t="shared" si="17"/>
        <v>0</v>
      </c>
    </row>
    <row r="174" spans="5:13" x14ac:dyDescent="0.35">
      <c r="E174" s="11"/>
      <c r="F174" t="s">
        <v>5</v>
      </c>
      <c r="G174" s="12">
        <f>IFERROR(VLOOKUP(F174,CARTON_LOOKUP!$A:$E,3,0),"")</f>
        <v>60</v>
      </c>
      <c r="H174" s="12">
        <f>IFERROR(VLOOKUP(F174,CARTON_LOOKUP!$A:$E,4,0),"")</f>
        <v>30</v>
      </c>
      <c r="I174" s="12">
        <f>IFERROR(VLOOKUP(F174,CARTON_LOOKUP!$A:$E,5,0),"")</f>
        <v>40</v>
      </c>
      <c r="J174" s="13">
        <f>IFERROR(VLOOKUP(F174,CARTON_LOOKUP!$A:$E,2,0),"")</f>
        <v>1.4</v>
      </c>
      <c r="K174" s="13">
        <f t="shared" si="15"/>
        <v>0</v>
      </c>
      <c r="L174" s="13">
        <f t="shared" si="16"/>
        <v>0</v>
      </c>
      <c r="M174" s="13">
        <f t="shared" si="17"/>
        <v>0</v>
      </c>
    </row>
    <row r="175" spans="5:13" x14ac:dyDescent="0.35">
      <c r="E175" s="11"/>
      <c r="F175" t="s">
        <v>5</v>
      </c>
      <c r="G175" s="12">
        <f>IFERROR(VLOOKUP(F175,CARTON_LOOKUP!$A:$E,3,0),"")</f>
        <v>60</v>
      </c>
      <c r="H175" s="12">
        <f>IFERROR(VLOOKUP(F175,CARTON_LOOKUP!$A:$E,4,0),"")</f>
        <v>30</v>
      </c>
      <c r="I175" s="12">
        <f>IFERROR(VLOOKUP(F175,CARTON_LOOKUP!$A:$E,5,0),"")</f>
        <v>40</v>
      </c>
      <c r="J175" s="13">
        <f>IFERROR(VLOOKUP(F175,CARTON_LOOKUP!$A:$E,2,0),"")</f>
        <v>1.4</v>
      </c>
      <c r="K175" s="13">
        <f t="shared" si="15"/>
        <v>0</v>
      </c>
      <c r="L175" s="13">
        <f t="shared" si="16"/>
        <v>0</v>
      </c>
      <c r="M175" s="13">
        <f t="shared" si="17"/>
        <v>0</v>
      </c>
    </row>
    <row r="176" spans="5:13" x14ac:dyDescent="0.35">
      <c r="E176" s="11"/>
      <c r="F176" t="s">
        <v>5</v>
      </c>
      <c r="G176" s="12">
        <f>IFERROR(VLOOKUP(F176,CARTON_LOOKUP!$A:$E,3,0),"")</f>
        <v>60</v>
      </c>
      <c r="H176" s="12">
        <f>IFERROR(VLOOKUP(F176,CARTON_LOOKUP!$A:$E,4,0),"")</f>
        <v>30</v>
      </c>
      <c r="I176" s="12">
        <f>IFERROR(VLOOKUP(F176,CARTON_LOOKUP!$A:$E,5,0),"")</f>
        <v>40</v>
      </c>
      <c r="J176" s="13">
        <f>IFERROR(VLOOKUP(F176,CARTON_LOOKUP!$A:$E,2,0),"")</f>
        <v>1.4</v>
      </c>
      <c r="K176" s="13">
        <f t="shared" si="15"/>
        <v>0</v>
      </c>
      <c r="L176" s="13">
        <f t="shared" si="16"/>
        <v>0</v>
      </c>
      <c r="M176" s="13">
        <f t="shared" si="17"/>
        <v>0</v>
      </c>
    </row>
    <row r="177" spans="5:13" x14ac:dyDescent="0.35">
      <c r="E177" s="11"/>
      <c r="F177" t="s">
        <v>5</v>
      </c>
      <c r="G177" s="12">
        <f>IFERROR(VLOOKUP(F177,CARTON_LOOKUP!$A:$E,3,0),"")</f>
        <v>60</v>
      </c>
      <c r="H177" s="12">
        <f>IFERROR(VLOOKUP(F177,CARTON_LOOKUP!$A:$E,4,0),"")</f>
        <v>30</v>
      </c>
      <c r="I177" s="12">
        <f>IFERROR(VLOOKUP(F177,CARTON_LOOKUP!$A:$E,5,0),"")</f>
        <v>40</v>
      </c>
      <c r="J177" s="13">
        <f>IFERROR(VLOOKUP(F177,CARTON_LOOKUP!$A:$E,2,0),"")</f>
        <v>1.4</v>
      </c>
      <c r="K177" s="13">
        <f t="shared" si="15"/>
        <v>0</v>
      </c>
      <c r="L177" s="13">
        <f t="shared" si="16"/>
        <v>0</v>
      </c>
      <c r="M177" s="13">
        <f t="shared" si="17"/>
        <v>0</v>
      </c>
    </row>
    <row r="178" spans="5:13" x14ac:dyDescent="0.35">
      <c r="E178" s="11"/>
      <c r="F178" t="s">
        <v>5</v>
      </c>
      <c r="G178" s="12">
        <f>IFERROR(VLOOKUP(F178,CARTON_LOOKUP!$A:$E,3,0),"")</f>
        <v>60</v>
      </c>
      <c r="H178" s="12">
        <f>IFERROR(VLOOKUP(F178,CARTON_LOOKUP!$A:$E,4,0),"")</f>
        <v>30</v>
      </c>
      <c r="I178" s="12">
        <f>IFERROR(VLOOKUP(F178,CARTON_LOOKUP!$A:$E,5,0),"")</f>
        <v>40</v>
      </c>
      <c r="J178" s="13">
        <f>IFERROR(VLOOKUP(F178,CARTON_LOOKUP!$A:$E,2,0),"")</f>
        <v>1.4</v>
      </c>
      <c r="K178" s="13">
        <f t="shared" si="15"/>
        <v>0</v>
      </c>
      <c r="L178" s="13">
        <f t="shared" si="16"/>
        <v>0</v>
      </c>
      <c r="M178" s="13">
        <f t="shared" si="17"/>
        <v>0</v>
      </c>
    </row>
    <row r="179" spans="5:13" x14ac:dyDescent="0.35">
      <c r="E179" s="11"/>
      <c r="F179" t="s">
        <v>5</v>
      </c>
      <c r="G179" s="12">
        <f>IFERROR(VLOOKUP(F179,CARTON_LOOKUP!$A:$E,3,0),"")</f>
        <v>60</v>
      </c>
      <c r="H179" s="12">
        <f>IFERROR(VLOOKUP(F179,CARTON_LOOKUP!$A:$E,4,0),"")</f>
        <v>30</v>
      </c>
      <c r="I179" s="12">
        <f>IFERROR(VLOOKUP(F179,CARTON_LOOKUP!$A:$E,5,0),"")</f>
        <v>40</v>
      </c>
      <c r="J179" s="13">
        <f>IFERROR(VLOOKUP(F179,CARTON_LOOKUP!$A:$E,2,0),"")</f>
        <v>1.4</v>
      </c>
      <c r="K179" s="13">
        <f t="shared" si="15"/>
        <v>0</v>
      </c>
      <c r="L179" s="13">
        <f t="shared" si="16"/>
        <v>0</v>
      </c>
      <c r="M179" s="13">
        <f t="shared" si="17"/>
        <v>0</v>
      </c>
    </row>
    <row r="180" spans="5:13" x14ac:dyDescent="0.35">
      <c r="E180" s="11"/>
      <c r="F180" t="s">
        <v>5</v>
      </c>
      <c r="G180" s="12">
        <f>IFERROR(VLOOKUP(F180,CARTON_LOOKUP!$A:$E,3,0),"")</f>
        <v>60</v>
      </c>
      <c r="H180" s="12">
        <f>IFERROR(VLOOKUP(F180,CARTON_LOOKUP!$A:$E,4,0),"")</f>
        <v>30</v>
      </c>
      <c r="I180" s="12">
        <f>IFERROR(VLOOKUP(F180,CARTON_LOOKUP!$A:$E,5,0),"")</f>
        <v>40</v>
      </c>
      <c r="J180" s="13">
        <f>IFERROR(VLOOKUP(F180,CARTON_LOOKUP!$A:$E,2,0),"")</f>
        <v>1.4</v>
      </c>
      <c r="K180" s="13">
        <f t="shared" si="15"/>
        <v>0</v>
      </c>
      <c r="L180" s="13">
        <f t="shared" si="16"/>
        <v>0</v>
      </c>
      <c r="M180" s="13">
        <f t="shared" si="17"/>
        <v>0</v>
      </c>
    </row>
    <row r="181" spans="5:13" x14ac:dyDescent="0.35">
      <c r="E181" s="11"/>
      <c r="F181" t="s">
        <v>5</v>
      </c>
      <c r="G181" s="12">
        <f>IFERROR(VLOOKUP(F181,CARTON_LOOKUP!$A:$E,3,0),"")</f>
        <v>60</v>
      </c>
      <c r="H181" s="12">
        <f>IFERROR(VLOOKUP(F181,CARTON_LOOKUP!$A:$E,4,0),"")</f>
        <v>30</v>
      </c>
      <c r="I181" s="12">
        <f>IFERROR(VLOOKUP(F181,CARTON_LOOKUP!$A:$E,5,0),"")</f>
        <v>40</v>
      </c>
      <c r="J181" s="13">
        <f>IFERROR(VLOOKUP(F181,CARTON_LOOKUP!$A:$E,2,0),"")</f>
        <v>1.4</v>
      </c>
      <c r="K181" s="13">
        <f t="shared" si="15"/>
        <v>0</v>
      </c>
      <c r="L181" s="13">
        <f t="shared" si="16"/>
        <v>0</v>
      </c>
      <c r="M181" s="13">
        <f t="shared" si="17"/>
        <v>0</v>
      </c>
    </row>
    <row r="182" spans="5:13" x14ac:dyDescent="0.35">
      <c r="E182" s="11"/>
      <c r="F182" t="s">
        <v>5</v>
      </c>
      <c r="G182" s="12">
        <f>IFERROR(VLOOKUP(F182,CARTON_LOOKUP!$A:$E,3,0),"")</f>
        <v>60</v>
      </c>
      <c r="H182" s="12">
        <f>IFERROR(VLOOKUP(F182,CARTON_LOOKUP!$A:$E,4,0),"")</f>
        <v>30</v>
      </c>
      <c r="I182" s="12">
        <f>IFERROR(VLOOKUP(F182,CARTON_LOOKUP!$A:$E,5,0),"")</f>
        <v>40</v>
      </c>
      <c r="J182" s="13">
        <f>IFERROR(VLOOKUP(F182,CARTON_LOOKUP!$A:$E,2,0),"")</f>
        <v>1.4</v>
      </c>
      <c r="K182" s="13">
        <f t="shared" si="15"/>
        <v>0</v>
      </c>
      <c r="L182" s="13">
        <f t="shared" si="16"/>
        <v>0</v>
      </c>
      <c r="M182" s="13">
        <f t="shared" si="17"/>
        <v>0</v>
      </c>
    </row>
    <row r="183" spans="5:13" x14ac:dyDescent="0.35">
      <c r="E183" s="11"/>
      <c r="F183" t="s">
        <v>5</v>
      </c>
      <c r="G183" s="12">
        <f>IFERROR(VLOOKUP(F183,CARTON_LOOKUP!$A:$E,3,0),"")</f>
        <v>60</v>
      </c>
      <c r="H183" s="12">
        <f>IFERROR(VLOOKUP(F183,CARTON_LOOKUP!$A:$E,4,0),"")</f>
        <v>30</v>
      </c>
      <c r="I183" s="12">
        <f>IFERROR(VLOOKUP(F183,CARTON_LOOKUP!$A:$E,5,0),"")</f>
        <v>40</v>
      </c>
      <c r="J183" s="13">
        <f>IFERROR(VLOOKUP(F183,CARTON_LOOKUP!$A:$E,2,0),"")</f>
        <v>1.4</v>
      </c>
      <c r="K183" s="13">
        <f t="shared" si="15"/>
        <v>0</v>
      </c>
      <c r="L183" s="13">
        <f t="shared" si="16"/>
        <v>0</v>
      </c>
      <c r="M183" s="13">
        <f t="shared" si="17"/>
        <v>0</v>
      </c>
    </row>
    <row r="184" spans="5:13" x14ac:dyDescent="0.35">
      <c r="E184" s="11"/>
      <c r="F184" t="s">
        <v>5</v>
      </c>
      <c r="G184" s="12">
        <f>IFERROR(VLOOKUP(F184,CARTON_LOOKUP!$A:$E,3,0),"")</f>
        <v>60</v>
      </c>
      <c r="H184" s="12">
        <f>IFERROR(VLOOKUP(F184,CARTON_LOOKUP!$A:$E,4,0),"")</f>
        <v>30</v>
      </c>
      <c r="I184" s="12">
        <f>IFERROR(VLOOKUP(F184,CARTON_LOOKUP!$A:$E,5,0),"")</f>
        <v>40</v>
      </c>
      <c r="J184" s="13">
        <f>IFERROR(VLOOKUP(F184,CARTON_LOOKUP!$A:$E,2,0),"")</f>
        <v>1.4</v>
      </c>
      <c r="K184" s="13">
        <f t="shared" si="15"/>
        <v>0</v>
      </c>
      <c r="L184" s="13">
        <f t="shared" si="16"/>
        <v>0</v>
      </c>
      <c r="M184" s="13">
        <f t="shared" si="17"/>
        <v>0</v>
      </c>
    </row>
    <row r="185" spans="5:13" x14ac:dyDescent="0.35">
      <c r="E185" s="11"/>
      <c r="F185" t="s">
        <v>5</v>
      </c>
      <c r="G185" s="12">
        <f>IFERROR(VLOOKUP(F185,CARTON_LOOKUP!$A:$E,3,0),"")</f>
        <v>60</v>
      </c>
      <c r="H185" s="12">
        <f>IFERROR(VLOOKUP(F185,CARTON_LOOKUP!$A:$E,4,0),"")</f>
        <v>30</v>
      </c>
      <c r="I185" s="12">
        <f>IFERROR(VLOOKUP(F185,CARTON_LOOKUP!$A:$E,5,0),"")</f>
        <v>40</v>
      </c>
      <c r="J185" s="13">
        <f>IFERROR(VLOOKUP(F185,CARTON_LOOKUP!$A:$E,2,0),"")</f>
        <v>1.4</v>
      </c>
      <c r="K185" s="13">
        <f t="shared" si="15"/>
        <v>0</v>
      </c>
      <c r="L185" s="13">
        <f t="shared" si="16"/>
        <v>0</v>
      </c>
      <c r="M185" s="13">
        <f t="shared" si="17"/>
        <v>0</v>
      </c>
    </row>
    <row r="186" spans="5:13" x14ac:dyDescent="0.35">
      <c r="E186" s="11"/>
      <c r="F186" t="s">
        <v>5</v>
      </c>
      <c r="G186" s="12">
        <f>IFERROR(VLOOKUP(F186,CARTON_LOOKUP!$A:$E,3,0),"")</f>
        <v>60</v>
      </c>
      <c r="H186" s="12">
        <f>IFERROR(VLOOKUP(F186,CARTON_LOOKUP!$A:$E,4,0),"")</f>
        <v>30</v>
      </c>
      <c r="I186" s="12">
        <f>IFERROR(VLOOKUP(F186,CARTON_LOOKUP!$A:$E,5,0),"")</f>
        <v>40</v>
      </c>
      <c r="J186" s="13">
        <f>IFERROR(VLOOKUP(F186,CARTON_LOOKUP!$A:$E,2,0),"")</f>
        <v>1.4</v>
      </c>
      <c r="K186" s="13">
        <f t="shared" si="15"/>
        <v>0</v>
      </c>
      <c r="L186" s="13">
        <f t="shared" si="16"/>
        <v>0</v>
      </c>
      <c r="M186" s="13">
        <f t="shared" si="17"/>
        <v>0</v>
      </c>
    </row>
    <row r="187" spans="5:13" x14ac:dyDescent="0.35">
      <c r="E187" s="11"/>
      <c r="F187" t="s">
        <v>5</v>
      </c>
      <c r="G187" s="12">
        <f>IFERROR(VLOOKUP(F187,CARTON_LOOKUP!$A:$E,3,0),"")</f>
        <v>60</v>
      </c>
      <c r="H187" s="12">
        <f>IFERROR(VLOOKUP(F187,CARTON_LOOKUP!$A:$E,4,0),"")</f>
        <v>30</v>
      </c>
      <c r="I187" s="12">
        <f>IFERROR(VLOOKUP(F187,CARTON_LOOKUP!$A:$E,5,0),"")</f>
        <v>40</v>
      </c>
      <c r="J187" s="13">
        <f>IFERROR(VLOOKUP(F187,CARTON_LOOKUP!$A:$E,2,0),"")</f>
        <v>1.4</v>
      </c>
      <c r="K187" s="13">
        <f t="shared" si="15"/>
        <v>0</v>
      </c>
      <c r="L187" s="13">
        <f t="shared" si="16"/>
        <v>0</v>
      </c>
      <c r="M187" s="13">
        <f t="shared" si="17"/>
        <v>0</v>
      </c>
    </row>
    <row r="188" spans="5:13" x14ac:dyDescent="0.35">
      <c r="E188" s="11"/>
      <c r="F188" t="s">
        <v>5</v>
      </c>
      <c r="G188" s="12">
        <f>IFERROR(VLOOKUP(F188,CARTON_LOOKUP!$A:$E,3,0),"")</f>
        <v>60</v>
      </c>
      <c r="H188" s="12">
        <f>IFERROR(VLOOKUP(F188,CARTON_LOOKUP!$A:$E,4,0),"")</f>
        <v>30</v>
      </c>
      <c r="I188" s="12">
        <f>IFERROR(VLOOKUP(F188,CARTON_LOOKUP!$A:$E,5,0),"")</f>
        <v>40</v>
      </c>
      <c r="J188" s="13">
        <f>IFERROR(VLOOKUP(F188,CARTON_LOOKUP!$A:$E,2,0),"")</f>
        <v>1.4</v>
      </c>
      <c r="K188" s="13">
        <f t="shared" si="15"/>
        <v>0</v>
      </c>
      <c r="L188" s="13">
        <f t="shared" si="16"/>
        <v>0</v>
      </c>
      <c r="M188" s="13">
        <f t="shared" si="17"/>
        <v>0</v>
      </c>
    </row>
    <row r="189" spans="5:13" x14ac:dyDescent="0.35">
      <c r="E189" s="11"/>
      <c r="F189" t="s">
        <v>5</v>
      </c>
      <c r="G189" s="12">
        <f>IFERROR(VLOOKUP(F189,CARTON_LOOKUP!$A:$E,3,0),"")</f>
        <v>60</v>
      </c>
      <c r="H189" s="12">
        <f>IFERROR(VLOOKUP(F189,CARTON_LOOKUP!$A:$E,4,0),"")</f>
        <v>30</v>
      </c>
      <c r="I189" s="12">
        <f>IFERROR(VLOOKUP(F189,CARTON_LOOKUP!$A:$E,5,0),"")</f>
        <v>40</v>
      </c>
      <c r="J189" s="13">
        <f>IFERROR(VLOOKUP(F189,CARTON_LOOKUP!$A:$E,2,0),"")</f>
        <v>1.4</v>
      </c>
      <c r="K189" s="13">
        <f t="shared" si="15"/>
        <v>0</v>
      </c>
      <c r="L189" s="13">
        <f t="shared" si="16"/>
        <v>0</v>
      </c>
      <c r="M189" s="13">
        <f t="shared" si="17"/>
        <v>0</v>
      </c>
    </row>
    <row r="190" spans="5:13" x14ac:dyDescent="0.35">
      <c r="E190" s="11"/>
      <c r="F190" t="s">
        <v>5</v>
      </c>
      <c r="G190" s="12">
        <f>IFERROR(VLOOKUP(F190,CARTON_LOOKUP!$A:$E,3,0),"")</f>
        <v>60</v>
      </c>
      <c r="H190" s="12">
        <f>IFERROR(VLOOKUP(F190,CARTON_LOOKUP!$A:$E,4,0),"")</f>
        <v>30</v>
      </c>
      <c r="I190" s="12">
        <f>IFERROR(VLOOKUP(F190,CARTON_LOOKUP!$A:$E,5,0),"")</f>
        <v>40</v>
      </c>
      <c r="J190" s="13">
        <f>IFERROR(VLOOKUP(F190,CARTON_LOOKUP!$A:$E,2,0),"")</f>
        <v>1.4</v>
      </c>
      <c r="K190" s="13">
        <f t="shared" si="15"/>
        <v>0</v>
      </c>
      <c r="L190" s="13">
        <f t="shared" si="16"/>
        <v>0</v>
      </c>
      <c r="M190" s="13">
        <f t="shared" si="17"/>
        <v>0</v>
      </c>
    </row>
    <row r="191" spans="5:13" x14ac:dyDescent="0.35">
      <c r="E191" s="11"/>
      <c r="F191" t="s">
        <v>5</v>
      </c>
      <c r="G191" s="12">
        <f>IFERROR(VLOOKUP(F191,CARTON_LOOKUP!$A:$E,3,0),"")</f>
        <v>60</v>
      </c>
      <c r="H191" s="12">
        <f>IFERROR(VLOOKUP(F191,CARTON_LOOKUP!$A:$E,4,0),"")</f>
        <v>30</v>
      </c>
      <c r="I191" s="12">
        <f>IFERROR(VLOOKUP(F191,CARTON_LOOKUP!$A:$E,5,0),"")</f>
        <v>40</v>
      </c>
      <c r="J191" s="13">
        <f>IFERROR(VLOOKUP(F191,CARTON_LOOKUP!$A:$E,2,0),"")</f>
        <v>1.4</v>
      </c>
      <c r="K191" s="13">
        <f t="shared" si="15"/>
        <v>0</v>
      </c>
      <c r="L191" s="13">
        <f t="shared" si="16"/>
        <v>0</v>
      </c>
      <c r="M191" s="13">
        <f t="shared" si="17"/>
        <v>0</v>
      </c>
    </row>
    <row r="192" spans="5:13" x14ac:dyDescent="0.35">
      <c r="E192" s="11"/>
      <c r="F192" t="s">
        <v>5</v>
      </c>
      <c r="G192" s="12">
        <f>IFERROR(VLOOKUP(F192,CARTON_LOOKUP!$A:$E,3,0),"")</f>
        <v>60</v>
      </c>
      <c r="H192" s="12">
        <f>IFERROR(VLOOKUP(F192,CARTON_LOOKUP!$A:$E,4,0),"")</f>
        <v>30</v>
      </c>
      <c r="I192" s="12">
        <f>IFERROR(VLOOKUP(F192,CARTON_LOOKUP!$A:$E,5,0),"")</f>
        <v>40</v>
      </c>
      <c r="J192" s="13">
        <f>IFERROR(VLOOKUP(F192,CARTON_LOOKUP!$A:$E,2,0),"")</f>
        <v>1.4</v>
      </c>
      <c r="K192" s="13">
        <f t="shared" si="15"/>
        <v>0</v>
      </c>
      <c r="L192" s="13">
        <f t="shared" si="16"/>
        <v>0</v>
      </c>
      <c r="M192" s="13">
        <f t="shared" si="17"/>
        <v>0</v>
      </c>
    </row>
    <row r="193" spans="5:13" x14ac:dyDescent="0.35">
      <c r="E193" s="11"/>
      <c r="F193" t="s">
        <v>5</v>
      </c>
      <c r="G193" s="12">
        <f>IFERROR(VLOOKUP(F193,CARTON_LOOKUP!$A:$E,3,0),"")</f>
        <v>60</v>
      </c>
      <c r="H193" s="12">
        <f>IFERROR(VLOOKUP(F193,CARTON_LOOKUP!$A:$E,4,0),"")</f>
        <v>30</v>
      </c>
      <c r="I193" s="12">
        <f>IFERROR(VLOOKUP(F193,CARTON_LOOKUP!$A:$E,5,0),"")</f>
        <v>40</v>
      </c>
      <c r="J193" s="13">
        <f>IFERROR(VLOOKUP(F193,CARTON_LOOKUP!$A:$E,2,0),"")</f>
        <v>1.4</v>
      </c>
      <c r="K193" s="13">
        <f t="shared" si="15"/>
        <v>0</v>
      </c>
      <c r="L193" s="13">
        <f t="shared" si="16"/>
        <v>0</v>
      </c>
      <c r="M193" s="13">
        <f t="shared" si="17"/>
        <v>0</v>
      </c>
    </row>
    <row r="194" spans="5:13" x14ac:dyDescent="0.35">
      <c r="E194" s="11"/>
      <c r="F194" t="s">
        <v>5</v>
      </c>
      <c r="G194" s="12">
        <f>IFERROR(VLOOKUP(F194,CARTON_LOOKUP!$A:$E,3,0),"")</f>
        <v>60</v>
      </c>
      <c r="H194" s="12">
        <f>IFERROR(VLOOKUP(F194,CARTON_LOOKUP!$A:$E,4,0),"")</f>
        <v>30</v>
      </c>
      <c r="I194" s="12">
        <f>IFERROR(VLOOKUP(F194,CARTON_LOOKUP!$A:$E,5,0),"")</f>
        <v>40</v>
      </c>
      <c r="J194" s="13">
        <f>IFERROR(VLOOKUP(F194,CARTON_LOOKUP!$A:$E,2,0),"")</f>
        <v>1.4</v>
      </c>
      <c r="K194" s="13">
        <f t="shared" si="15"/>
        <v>0</v>
      </c>
      <c r="L194" s="13">
        <f t="shared" si="16"/>
        <v>0</v>
      </c>
      <c r="M194" s="13">
        <f t="shared" si="17"/>
        <v>0</v>
      </c>
    </row>
    <row r="195" spans="5:13" x14ac:dyDescent="0.35">
      <c r="E195" s="11"/>
      <c r="F195" t="s">
        <v>5</v>
      </c>
      <c r="G195" s="12">
        <f>IFERROR(VLOOKUP(F195,CARTON_LOOKUP!$A:$E,3,0),"")</f>
        <v>60</v>
      </c>
      <c r="H195" s="12">
        <f>IFERROR(VLOOKUP(F195,CARTON_LOOKUP!$A:$E,4,0),"")</f>
        <v>30</v>
      </c>
      <c r="I195" s="12">
        <f>IFERROR(VLOOKUP(F195,CARTON_LOOKUP!$A:$E,5,0),"")</f>
        <v>40</v>
      </c>
      <c r="J195" s="13">
        <f>IFERROR(VLOOKUP(F195,CARTON_LOOKUP!$A:$E,2,0),"")</f>
        <v>1.4</v>
      </c>
      <c r="K195" s="13">
        <f t="shared" si="15"/>
        <v>0</v>
      </c>
      <c r="L195" s="13">
        <f t="shared" si="16"/>
        <v>0</v>
      </c>
      <c r="M195" s="13">
        <f t="shared" si="17"/>
        <v>0</v>
      </c>
    </row>
    <row r="196" spans="5:13" x14ac:dyDescent="0.35">
      <c r="E196" s="11"/>
      <c r="F196" t="s">
        <v>5</v>
      </c>
      <c r="G196" s="12">
        <f>IFERROR(VLOOKUP(F196,CARTON_LOOKUP!$A:$E,3,0),"")</f>
        <v>60</v>
      </c>
      <c r="H196" s="12">
        <f>IFERROR(VLOOKUP(F196,CARTON_LOOKUP!$A:$E,4,0),"")</f>
        <v>30</v>
      </c>
      <c r="I196" s="12">
        <f>IFERROR(VLOOKUP(F196,CARTON_LOOKUP!$A:$E,5,0),"")</f>
        <v>40</v>
      </c>
      <c r="J196" s="13">
        <f>IFERROR(VLOOKUP(F196,CARTON_LOOKUP!$A:$E,2,0),"")</f>
        <v>1.4</v>
      </c>
      <c r="K196" s="13">
        <f t="shared" si="15"/>
        <v>0</v>
      </c>
      <c r="L196" s="13">
        <f t="shared" si="16"/>
        <v>0</v>
      </c>
      <c r="M196" s="13">
        <f t="shared" si="17"/>
        <v>0</v>
      </c>
    </row>
    <row r="197" spans="5:13" x14ac:dyDescent="0.35">
      <c r="E197" s="11"/>
      <c r="F197" t="s">
        <v>5</v>
      </c>
      <c r="G197" s="12">
        <f>IFERROR(VLOOKUP(F197,CARTON_LOOKUP!$A:$E,3,0),"")</f>
        <v>60</v>
      </c>
      <c r="H197" s="12">
        <f>IFERROR(VLOOKUP(F197,CARTON_LOOKUP!$A:$E,4,0),"")</f>
        <v>30</v>
      </c>
      <c r="I197" s="12">
        <f>IFERROR(VLOOKUP(F197,CARTON_LOOKUP!$A:$E,5,0),"")</f>
        <v>40</v>
      </c>
      <c r="J197" s="13">
        <f>IFERROR(VLOOKUP(F197,CARTON_LOOKUP!$A:$E,2,0),"")</f>
        <v>1.4</v>
      </c>
      <c r="K197" s="13">
        <f t="shared" si="15"/>
        <v>0</v>
      </c>
      <c r="L197" s="13">
        <f t="shared" si="16"/>
        <v>0</v>
      </c>
      <c r="M197" s="13">
        <f t="shared" si="17"/>
        <v>0</v>
      </c>
    </row>
    <row r="198" spans="5:13" x14ac:dyDescent="0.35">
      <c r="E198" s="11"/>
      <c r="F198" t="s">
        <v>5</v>
      </c>
      <c r="G198" s="12">
        <f>IFERROR(VLOOKUP(F198,CARTON_LOOKUP!$A:$E,3,0),"")</f>
        <v>60</v>
      </c>
      <c r="H198" s="12">
        <f>IFERROR(VLOOKUP(F198,CARTON_LOOKUP!$A:$E,4,0),"")</f>
        <v>30</v>
      </c>
      <c r="I198" s="12">
        <f>IFERROR(VLOOKUP(F198,CARTON_LOOKUP!$A:$E,5,0),"")</f>
        <v>40</v>
      </c>
      <c r="J198" s="13">
        <f>IFERROR(VLOOKUP(F198,CARTON_LOOKUP!$A:$E,2,0),"")</f>
        <v>1.4</v>
      </c>
      <c r="K198" s="13">
        <f t="shared" si="15"/>
        <v>0</v>
      </c>
      <c r="L198" s="13">
        <f t="shared" si="16"/>
        <v>0</v>
      </c>
      <c r="M198" s="13">
        <f t="shared" si="17"/>
        <v>0</v>
      </c>
    </row>
    <row r="199" spans="5:13" x14ac:dyDescent="0.35">
      <c r="E199" s="11"/>
      <c r="F199" t="s">
        <v>5</v>
      </c>
      <c r="G199" s="12">
        <f>IFERROR(VLOOKUP(F199,CARTON_LOOKUP!$A:$E,3,0),"")</f>
        <v>60</v>
      </c>
      <c r="H199" s="12">
        <f>IFERROR(VLOOKUP(F199,CARTON_LOOKUP!$A:$E,4,0),"")</f>
        <v>30</v>
      </c>
      <c r="I199" s="12">
        <f>IFERROR(VLOOKUP(F199,CARTON_LOOKUP!$A:$E,5,0),"")</f>
        <v>40</v>
      </c>
      <c r="J199" s="13">
        <f>IFERROR(VLOOKUP(F199,CARTON_LOOKUP!$A:$E,2,0),"")</f>
        <v>1.4</v>
      </c>
      <c r="K199" s="13">
        <f t="shared" si="15"/>
        <v>0</v>
      </c>
      <c r="L199" s="13">
        <f t="shared" si="16"/>
        <v>0</v>
      </c>
      <c r="M199" s="13">
        <f t="shared" si="17"/>
        <v>0</v>
      </c>
    </row>
    <row r="200" spans="5:13" x14ac:dyDescent="0.35">
      <c r="E200" s="11"/>
      <c r="F200" t="s">
        <v>5</v>
      </c>
      <c r="G200" s="12">
        <f>IFERROR(VLOOKUP(F200,CARTON_LOOKUP!$A:$E,3,0),"")</f>
        <v>60</v>
      </c>
      <c r="H200" s="12">
        <f>IFERROR(VLOOKUP(F200,CARTON_LOOKUP!$A:$E,4,0),"")</f>
        <v>30</v>
      </c>
      <c r="I200" s="12">
        <f>IFERROR(VLOOKUP(F200,CARTON_LOOKUP!$A:$E,5,0),"")</f>
        <v>40</v>
      </c>
      <c r="J200" s="13">
        <f>IFERROR(VLOOKUP(F200,CARTON_LOOKUP!$A:$E,2,0),"")</f>
        <v>1.4</v>
      </c>
      <c r="K200" s="13">
        <f t="shared" si="15"/>
        <v>0</v>
      </c>
      <c r="L200" s="13">
        <f t="shared" si="16"/>
        <v>0</v>
      </c>
      <c r="M200" s="13">
        <f t="shared" si="17"/>
        <v>0</v>
      </c>
    </row>
    <row r="201" spans="5:13" x14ac:dyDescent="0.35">
      <c r="E201" s="11"/>
      <c r="F201" t="s">
        <v>5</v>
      </c>
      <c r="G201" s="12">
        <f>IFERROR(VLOOKUP(F201,CARTON_LOOKUP!$A:$E,3,0),"")</f>
        <v>60</v>
      </c>
      <c r="H201" s="12">
        <f>IFERROR(VLOOKUP(F201,CARTON_LOOKUP!$A:$E,4,0),"")</f>
        <v>30</v>
      </c>
      <c r="I201" s="12">
        <f>IFERROR(VLOOKUP(F201,CARTON_LOOKUP!$A:$E,5,0),"")</f>
        <v>40</v>
      </c>
      <c r="J201" s="13">
        <f>IFERROR(VLOOKUP(F201,CARTON_LOOKUP!$A:$E,2,0),"")</f>
        <v>1.4</v>
      </c>
      <c r="K201" s="13">
        <f t="shared" si="15"/>
        <v>0</v>
      </c>
      <c r="L201" s="13">
        <f t="shared" si="16"/>
        <v>0</v>
      </c>
      <c r="M201" s="13">
        <f t="shared" si="17"/>
        <v>0</v>
      </c>
    </row>
    <row r="202" spans="5:13" x14ac:dyDescent="0.35">
      <c r="E202" s="11"/>
      <c r="F202" t="s">
        <v>5</v>
      </c>
      <c r="G202" s="12">
        <f>IFERROR(VLOOKUP(F202,CARTON_LOOKUP!$A:$E,3,0),"")</f>
        <v>60</v>
      </c>
      <c r="H202" s="12">
        <f>IFERROR(VLOOKUP(F202,CARTON_LOOKUP!$A:$E,4,0),"")</f>
        <v>30</v>
      </c>
      <c r="I202" s="12">
        <f>IFERROR(VLOOKUP(F202,CARTON_LOOKUP!$A:$E,5,0),"")</f>
        <v>40</v>
      </c>
      <c r="J202" s="13">
        <f>IFERROR(VLOOKUP(F202,CARTON_LOOKUP!$A:$E,2,0),"")</f>
        <v>1.4</v>
      </c>
      <c r="K202" s="13">
        <f t="shared" si="15"/>
        <v>0</v>
      </c>
      <c r="L202" s="13">
        <f t="shared" si="16"/>
        <v>0</v>
      </c>
      <c r="M202" s="13">
        <f t="shared" si="17"/>
        <v>0</v>
      </c>
    </row>
    <row r="203" spans="5:13" x14ac:dyDescent="0.35">
      <c r="E203" s="11"/>
      <c r="F203" t="s">
        <v>5</v>
      </c>
      <c r="G203" s="12">
        <f>IFERROR(VLOOKUP(F203,CARTON_LOOKUP!$A:$E,3,0),"")</f>
        <v>60</v>
      </c>
      <c r="H203" s="12">
        <f>IFERROR(VLOOKUP(F203,CARTON_LOOKUP!$A:$E,4,0),"")</f>
        <v>30</v>
      </c>
      <c r="I203" s="12">
        <f>IFERROR(VLOOKUP(F203,CARTON_LOOKUP!$A:$E,5,0),"")</f>
        <v>40</v>
      </c>
      <c r="J203" s="13">
        <f>IFERROR(VLOOKUP(F203,CARTON_LOOKUP!$A:$E,2,0),"")</f>
        <v>1.4</v>
      </c>
      <c r="K203" s="13">
        <f t="shared" si="15"/>
        <v>0</v>
      </c>
      <c r="L203" s="13">
        <f t="shared" si="16"/>
        <v>0</v>
      </c>
      <c r="M203" s="13">
        <f t="shared" si="17"/>
        <v>0</v>
      </c>
    </row>
    <row r="204" spans="5:13" x14ac:dyDescent="0.35">
      <c r="E204" s="11"/>
      <c r="F204" t="s">
        <v>5</v>
      </c>
      <c r="G204" s="12">
        <f>IFERROR(VLOOKUP(F204,CARTON_LOOKUP!$A:$E,3,0),"")</f>
        <v>60</v>
      </c>
      <c r="H204" s="12">
        <f>IFERROR(VLOOKUP(F204,CARTON_LOOKUP!$A:$E,4,0),"")</f>
        <v>30</v>
      </c>
      <c r="I204" s="12">
        <f>IFERROR(VLOOKUP(F204,CARTON_LOOKUP!$A:$E,5,0),"")</f>
        <v>40</v>
      </c>
      <c r="J204" s="13">
        <f>IFERROR(VLOOKUP(F204,CARTON_LOOKUP!$A:$E,2,0),"")</f>
        <v>1.4</v>
      </c>
      <c r="K204" s="13">
        <f t="shared" ref="K204:K235" si="18">IFERROR(J204*D204,0)</f>
        <v>0</v>
      </c>
      <c r="L204" s="13">
        <f t="shared" ref="L204:L211" si="19">IFERROR(E204*C204,0)</f>
        <v>0</v>
      </c>
      <c r="M204" s="13">
        <f t="shared" ref="M204:M211" si="20">IFERROR((G204*H204*I204/1000000)*D204,0)</f>
        <v>0</v>
      </c>
    </row>
    <row r="205" spans="5:13" x14ac:dyDescent="0.35">
      <c r="E205" s="11"/>
      <c r="F205" t="s">
        <v>5</v>
      </c>
      <c r="G205" s="12">
        <f>IFERROR(VLOOKUP(F205,CARTON_LOOKUP!$A:$E,3,0),"")</f>
        <v>60</v>
      </c>
      <c r="H205" s="12">
        <f>IFERROR(VLOOKUP(F205,CARTON_LOOKUP!$A:$E,4,0),"")</f>
        <v>30</v>
      </c>
      <c r="I205" s="12">
        <f>IFERROR(VLOOKUP(F205,CARTON_LOOKUP!$A:$E,5,0),"")</f>
        <v>40</v>
      </c>
      <c r="J205" s="13">
        <f>IFERROR(VLOOKUP(F205,CARTON_LOOKUP!$A:$E,2,0),"")</f>
        <v>1.4</v>
      </c>
      <c r="K205" s="13">
        <f t="shared" si="18"/>
        <v>0</v>
      </c>
      <c r="L205" s="13">
        <f t="shared" si="19"/>
        <v>0</v>
      </c>
      <c r="M205" s="13">
        <f t="shared" si="20"/>
        <v>0</v>
      </c>
    </row>
    <row r="206" spans="5:13" x14ac:dyDescent="0.35">
      <c r="E206" s="11"/>
      <c r="F206" t="s">
        <v>5</v>
      </c>
      <c r="G206" s="12">
        <f>IFERROR(VLOOKUP(F206,CARTON_LOOKUP!$A:$E,3,0),"")</f>
        <v>60</v>
      </c>
      <c r="H206" s="12">
        <f>IFERROR(VLOOKUP(F206,CARTON_LOOKUP!$A:$E,4,0),"")</f>
        <v>30</v>
      </c>
      <c r="I206" s="12">
        <f>IFERROR(VLOOKUP(F206,CARTON_LOOKUP!$A:$E,5,0),"")</f>
        <v>40</v>
      </c>
      <c r="J206" s="13">
        <f>IFERROR(VLOOKUP(F206,CARTON_LOOKUP!$A:$E,2,0),"")</f>
        <v>1.4</v>
      </c>
      <c r="K206" s="13">
        <f t="shared" si="18"/>
        <v>0</v>
      </c>
      <c r="L206" s="13">
        <f t="shared" si="19"/>
        <v>0</v>
      </c>
      <c r="M206" s="13">
        <f t="shared" si="20"/>
        <v>0</v>
      </c>
    </row>
    <row r="207" spans="5:13" x14ac:dyDescent="0.35">
      <c r="E207" s="11"/>
      <c r="F207" t="s">
        <v>5</v>
      </c>
      <c r="G207" s="12">
        <f>IFERROR(VLOOKUP(F207,CARTON_LOOKUP!$A:$E,3,0),"")</f>
        <v>60</v>
      </c>
      <c r="H207" s="12">
        <f>IFERROR(VLOOKUP(F207,CARTON_LOOKUP!$A:$E,4,0),"")</f>
        <v>30</v>
      </c>
      <c r="I207" s="12">
        <f>IFERROR(VLOOKUP(F207,CARTON_LOOKUP!$A:$E,5,0),"")</f>
        <v>40</v>
      </c>
      <c r="J207" s="13">
        <f>IFERROR(VLOOKUP(F207,CARTON_LOOKUP!$A:$E,2,0),"")</f>
        <v>1.4</v>
      </c>
      <c r="K207" s="13">
        <f t="shared" si="18"/>
        <v>0</v>
      </c>
      <c r="L207" s="13">
        <f t="shared" si="19"/>
        <v>0</v>
      </c>
      <c r="M207" s="13">
        <f t="shared" si="20"/>
        <v>0</v>
      </c>
    </row>
    <row r="208" spans="5:13" x14ac:dyDescent="0.35">
      <c r="E208" s="11"/>
      <c r="F208" t="s">
        <v>5</v>
      </c>
      <c r="G208" s="12">
        <f>IFERROR(VLOOKUP(F208,CARTON_LOOKUP!$A:$E,3,0),"")</f>
        <v>60</v>
      </c>
      <c r="H208" s="12">
        <f>IFERROR(VLOOKUP(F208,CARTON_LOOKUP!$A:$E,4,0),"")</f>
        <v>30</v>
      </c>
      <c r="I208" s="12">
        <f>IFERROR(VLOOKUP(F208,CARTON_LOOKUP!$A:$E,5,0),"")</f>
        <v>40</v>
      </c>
      <c r="J208" s="13">
        <f>IFERROR(VLOOKUP(F208,CARTON_LOOKUP!$A:$E,2,0),"")</f>
        <v>1.4</v>
      </c>
      <c r="K208" s="13">
        <f t="shared" si="18"/>
        <v>0</v>
      </c>
      <c r="L208" s="13">
        <f t="shared" si="19"/>
        <v>0</v>
      </c>
      <c r="M208" s="13">
        <f t="shared" si="20"/>
        <v>0</v>
      </c>
    </row>
    <row r="209" spans="5:13" x14ac:dyDescent="0.35">
      <c r="E209" s="11"/>
      <c r="F209" t="s">
        <v>5</v>
      </c>
      <c r="G209" s="12">
        <f>IFERROR(VLOOKUP(F209,CARTON_LOOKUP!$A:$E,3,0),"")</f>
        <v>60</v>
      </c>
      <c r="H209" s="12">
        <f>IFERROR(VLOOKUP(F209,CARTON_LOOKUP!$A:$E,4,0),"")</f>
        <v>30</v>
      </c>
      <c r="I209" s="12">
        <f>IFERROR(VLOOKUP(F209,CARTON_LOOKUP!$A:$E,5,0),"")</f>
        <v>40</v>
      </c>
      <c r="J209" s="13">
        <f>IFERROR(VLOOKUP(F209,CARTON_LOOKUP!$A:$E,2,0),"")</f>
        <v>1.4</v>
      </c>
      <c r="K209" s="13">
        <f t="shared" si="18"/>
        <v>0</v>
      </c>
      <c r="L209" s="13">
        <f t="shared" si="19"/>
        <v>0</v>
      </c>
      <c r="M209" s="13">
        <f t="shared" si="20"/>
        <v>0</v>
      </c>
    </row>
    <row r="210" spans="5:13" x14ac:dyDescent="0.35">
      <c r="E210" s="11"/>
      <c r="F210" t="s">
        <v>5</v>
      </c>
      <c r="G210" s="12">
        <f>IFERROR(VLOOKUP(F210,CARTON_LOOKUP!$A:$E,3,0),"")</f>
        <v>60</v>
      </c>
      <c r="H210" s="12">
        <f>IFERROR(VLOOKUP(F210,CARTON_LOOKUP!$A:$E,4,0),"")</f>
        <v>30</v>
      </c>
      <c r="I210" s="12">
        <f>IFERROR(VLOOKUP(F210,CARTON_LOOKUP!$A:$E,5,0),"")</f>
        <v>40</v>
      </c>
      <c r="J210" s="13">
        <f>IFERROR(VLOOKUP(F210,CARTON_LOOKUP!$A:$E,2,0),"")</f>
        <v>1.4</v>
      </c>
      <c r="K210" s="13">
        <f t="shared" si="18"/>
        <v>0</v>
      </c>
      <c r="L210" s="13">
        <f t="shared" si="19"/>
        <v>0</v>
      </c>
      <c r="M210" s="13">
        <f t="shared" si="20"/>
        <v>0</v>
      </c>
    </row>
    <row r="211" spans="5:13" x14ac:dyDescent="0.35">
      <c r="E211" s="11"/>
      <c r="F211" t="s">
        <v>5</v>
      </c>
      <c r="G211" s="12">
        <f>IFERROR(VLOOKUP(F211,CARTON_LOOKUP!$A:$E,3,0),"")</f>
        <v>60</v>
      </c>
      <c r="H211" s="12">
        <f>IFERROR(VLOOKUP(F211,CARTON_LOOKUP!$A:$E,4,0),"")</f>
        <v>30</v>
      </c>
      <c r="I211" s="12">
        <f>IFERROR(VLOOKUP(F211,CARTON_LOOKUP!$A:$E,5,0),"")</f>
        <v>40</v>
      </c>
      <c r="J211" s="13">
        <f>IFERROR(VLOOKUP(F211,CARTON_LOOKUP!$A:$E,2,0),"")</f>
        <v>1.4</v>
      </c>
      <c r="K211" s="13">
        <f t="shared" si="18"/>
        <v>0</v>
      </c>
      <c r="L211" s="13">
        <f t="shared" si="19"/>
        <v>0</v>
      </c>
      <c r="M211" s="13">
        <f t="shared" si="20"/>
        <v>0</v>
      </c>
    </row>
  </sheetData>
  <mergeCells count="9">
    <mergeCell ref="A6:P6"/>
    <mergeCell ref="A7:P7"/>
    <mergeCell ref="A8:P8"/>
    <mergeCell ref="A9:P9"/>
    <mergeCell ref="A1:P1"/>
    <mergeCell ref="A2:P2"/>
    <mergeCell ref="A3:P3"/>
    <mergeCell ref="A4:P4"/>
    <mergeCell ref="A5:P5"/>
  </mergeCells>
  <dataValidations count="5">
    <dataValidation type="textLength" operator="greaterThan" showErrorMessage="1" errorTitle="Required" error="PO_Number cannot be blank" sqref="A12:A211" xr:uid="{00000000-0002-0000-0300-000000000000}">
      <formula1>0</formula1>
    </dataValidation>
    <dataValidation type="textLength" operator="greaterThan" showErrorMessage="1" errorTitle="Required" error="SKU cannot be blank" sqref="B12:B211" xr:uid="{00000000-0002-0000-0300-000002000000}">
      <formula1>0</formula1>
    </dataValidation>
    <dataValidation type="whole" operator="greaterThan" showErrorMessage="1" errorTitle="Invalid Booking Qty" error="Booking_Qty must be a whole number greater than 0" sqref="C12:C211" xr:uid="{00000000-0002-0000-0300-000004000000}">
      <formula1>0</formula1>
    </dataValidation>
    <dataValidation type="whole" operator="greaterThan" showErrorMessage="1" errorTitle="Invalid No of Cartons" error="Enter a whole number greater than 0" sqref="D12:D211" xr:uid="{00000000-0002-0000-0300-000006000000}">
      <formula1>0</formula1>
    </dataValidation>
    <dataValidation type="decimal" operator="greaterThan" showErrorMessage="1" errorTitle="Invalid Weight" error="Enter a positive weight in KG" sqref="E12:E211" xr:uid="{00000000-0002-0000-0300-000008000000}">
      <formula1>0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errorTitle="Invalid Carton Type" error="Select a carton type from the list" xr:uid="{00000000-0002-0000-0300-00000A000000}">
          <x14:formula1>
            <xm:f>CARTON_LOOKUP!$A$2:$A$20</xm:f>
          </x14:formula1>
          <xm:sqref>F12:F211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6F5F"/>
  </sheetPr>
  <dimension ref="A1:G3"/>
  <sheetViews>
    <sheetView workbookViewId="0">
      <pane ySplit="2" topLeftCell="A3" activePane="bottomLeft" state="frozen"/>
      <selection pane="bottomLeft"/>
    </sheetView>
  </sheetViews>
  <sheetFormatPr defaultRowHeight="14.5" x14ac:dyDescent="0.35"/>
  <cols>
    <col min="1" max="1" width="18" customWidth="1"/>
    <col min="2" max="2" width="30" customWidth="1"/>
    <col min="3" max="3" width="32" customWidth="1"/>
    <col min="4" max="4" width="28" customWidth="1"/>
    <col min="5" max="5" width="20" customWidth="1"/>
    <col min="6" max="7" width="16" customWidth="1"/>
  </cols>
  <sheetData>
    <row r="1" spans="1:7" ht="36" customHeight="1" x14ac:dyDescent="0.35">
      <c r="A1" s="18" t="s">
        <v>108</v>
      </c>
      <c r="B1" s="18"/>
      <c r="C1" s="18"/>
      <c r="D1" s="18"/>
      <c r="E1" s="18"/>
      <c r="F1" s="18"/>
      <c r="G1" s="18"/>
    </row>
    <row r="2" spans="1:7" ht="28" customHeight="1" x14ac:dyDescent="0.35">
      <c r="A2" s="14" t="s">
        <v>69</v>
      </c>
      <c r="B2" s="14" t="s">
        <v>73</v>
      </c>
      <c r="C2" s="14" t="s">
        <v>74</v>
      </c>
      <c r="D2" s="14" t="s">
        <v>75</v>
      </c>
      <c r="E2" s="14" t="s">
        <v>76</v>
      </c>
      <c r="F2" s="14" t="s">
        <v>77</v>
      </c>
      <c r="G2" s="14" t="s">
        <v>78</v>
      </c>
    </row>
    <row r="3" spans="1:7" x14ac:dyDescent="0.35">
      <c r="A3" s="15" t="s">
        <v>82</v>
      </c>
      <c r="B3" s="15" t="s">
        <v>109</v>
      </c>
      <c r="C3" t="s">
        <v>110</v>
      </c>
      <c r="D3" t="s">
        <v>110</v>
      </c>
      <c r="E3" t="s">
        <v>110</v>
      </c>
      <c r="F3" t="s">
        <v>110</v>
      </c>
      <c r="G3" t="s">
        <v>110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BOOKING_HEADER</vt:lpstr>
      <vt:lpstr>SKU_LINES</vt:lpstr>
      <vt:lpstr>FACTORY_LOOKUP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2026-06-17T08:13:52Z</dcterms:created>
  <dcterms:modified xsi:type="dcterms:W3CDTF">2026-06-17T08:15:42Z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aae2701-d386-483e-bca7-b4332176f258_Enabled">
    <vt:lpwstr>true</vt:lpwstr>
  </property>
  <property fmtid="{D5CDD505-2E9C-101B-9397-08002B2CF9AE}" pid="3" name="MSIP_Label_9aae2701-d386-483e-bca7-b4332176f258_SetDate">
    <vt:lpwstr>2026-06-17T08:15:42Z</vt:lpwstr>
  </property>
  <property fmtid="{D5CDD505-2E9C-101B-9397-08002B2CF9AE}" pid="4" name="MSIP_Label_9aae2701-d386-483e-bca7-b4332176f258_Method">
    <vt:lpwstr>Standard</vt:lpwstr>
  </property>
  <property fmtid="{D5CDD505-2E9C-101B-9397-08002B2CF9AE}" pid="5" name="MSIP_Label_9aae2701-d386-483e-bca7-b4332176f258_Name">
    <vt:lpwstr>General</vt:lpwstr>
  </property>
  <property fmtid="{D5CDD505-2E9C-101B-9397-08002B2CF9AE}" pid="6" name="MSIP_Label_9aae2701-d386-483e-bca7-b4332176f258_SiteId">
    <vt:lpwstr>4af8322c-80ee-4819-a9ce-863d5afbea1c</vt:lpwstr>
  </property>
  <property fmtid="{D5CDD505-2E9C-101B-9397-08002B2CF9AE}" pid="7" name="MSIP_Label_9aae2701-d386-483e-bca7-b4332176f258_ActionId">
    <vt:lpwstr>7e3dd508-e633-4275-a095-830c8395671b</vt:lpwstr>
  </property>
  <property fmtid="{D5CDD505-2E9C-101B-9397-08002B2CF9AE}" pid="8" name="MSIP_Label_9aae2701-d386-483e-bca7-b4332176f258_ContentBits">
    <vt:lpwstr>0</vt:lpwstr>
  </property>
  <property fmtid="{D5CDD505-2E9C-101B-9397-08002B2CF9AE}" pid="9" name="MSIP_Label_9aae2701-d386-483e-bca7-b4332176f258_Tag">
    <vt:lpwstr>10, 3, 0, 1</vt:lpwstr>
  </property>
</Properties>
</file>