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  <sheet sheetId="5" name="PO Lines" state="visible" r:id="rId8"/>
    <sheet sheetId="6" name="FACTORY_LOOKUP" state="visible" r:id="rId9"/>
  </sheets>
  <calcPr calcId="171027"/>
</workbook>
</file>

<file path=xl/sharedStrings.xml><?xml version="1.0" encoding="utf-8"?>
<sst xmlns="http://schemas.openxmlformats.org/spreadsheetml/2006/main" count="688" uniqueCount="117">
  <si>
    <t>📋  Carrier Booking — VBKREQ Simulator  |  Instructions to Use</t>
  </si>
  <si>
    <t>1.  The supplier must complete two sheets — PO Header and PO Lines —</t>
  </si>
  <si>
    <t xml:space="preserve">     with the PO Number used as the primary key to link both sheets.</t>
  </si>
  <si>
    <t/>
  </si>
  <si>
    <t>2.  All mandatory fields must be completed; otherwise, booking creation will fail.</t>
  </si>
  <si>
    <t xml:space="preserve">     If a field is unclear or you prefer not to provide a value, leave the default pre-filled value where applicable.</t>
  </si>
  <si>
    <t>3.  Enter one row per PO in the PO Header sheet. Ensure all mandatory (pink) columns are filled for each PO.</t>
  </si>
  <si>
    <t xml:space="preserve">     Booking_Group rules:</t>
  </si>
  <si>
    <t xml:space="preserve">       "Single Booking"                          →  one PO per booking</t>
  </si>
  <si>
    <t xml:space="preserve">       "Multiple POs-BK001" … "Multiple POs-BK025"  →  POs with the same code (BK001, BK002 …) are combined into one booking</t>
  </si>
  <si>
    <t xml:space="preserve">       "Multiple"                                →  all POs are combined into a single booking</t>
  </si>
  <si>
    <t>4.  Dates must be in DD/MM/YYYY format.</t>
  </si>
  <si>
    <t>5.  Factory_ID: select from the dropdown — it is based on the FACTORY_LOOKUP tab (last tab). Factory_Name and address auto-fill when you pick an ID.</t>
  </si>
  <si>
    <t xml:space="preserve">     Default Factory_ID is 9999 (Dummy Factory) — no address details are required for this value.</t>
  </si>
  <si>
    <t>6.  In the PO Lines sheet, use multiple rows for POs that contain multiple SKU lines.</t>
  </si>
  <si>
    <t xml:space="preserve">     Each row must have the same PO_Number as the corresponding header row in PO Header.</t>
  </si>
  <si>
    <t>🎨  Colour guide:</t>
  </si>
  <si>
    <t xml:space="preserve">  🔴  Pink / Red  — MANDATORY field (must be filled)</t>
  </si>
  <si>
    <t xml:space="preserve">  🟢  Green       — DEFAULTED field (pre-set, editable)</t>
  </si>
  <si>
    <t xml:space="preserve">  🔵  Blue        — AUTO-FILLED field (formula / lookup — do not edit)</t>
  </si>
  <si>
    <t xml:space="preserve">  ⚪  Grey        — OPTIONAL field (leave blank if not applicable)</t>
  </si>
  <si>
    <t>⚠  Do NOT modify or delete column headers on any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</si>
  <si>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</si>
  <si>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</si>
  <si>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</si>
  <si>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</si>
  <si>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</si>
  <si>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</si>
  <si>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</si>
  <si>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</si>
  <si>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</si>
  <si>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</si>
  <si>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</si>
  <si>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</si>
  <si>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</si>
  <si>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</si>
  <si>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</si>
  <si>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</si>
  <si>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</si>
  <si>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</si>
  <si>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</si>
  <si>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</si>
  <si>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</si>
  <si>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</si>
  <si>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</si>
  <si>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</si>
  <si>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</si>
  <si>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</si>
  <si>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</si>
  <si>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</si>
  <si>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</si>
  <si>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</si>
  <si>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</si>
  <si>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</si>
  <si>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</si>
  <si>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</si>
  <si>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</si>
  <si>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</si>
  <si>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</si>
  <si>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</si>
  <si>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</si>
  <si>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</si>
  <si>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</si>
  <si>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</si>
  <si>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</si>
  <si>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</si>
  <si>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</si>
  <si>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</si>
  <si>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</si>
  <si>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</si>
  <si>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</si>
  <si>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</si>
  <si>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</si>
  <si>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</si>
  <si>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</si>
  <si>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</si>
  <si>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</si>
  <si>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</si>
  <si>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</si>
  <si>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</si>
  <si>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</si>
  <si>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</si>
  <si>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Mode_Of_Transport</t>
  </si>
  <si>
    <t>Factory_ID</t>
  </si>
  <si>
    <t>Pack_Type</t>
  </si>
  <si>
    <t>Collection_Type</t>
  </si>
  <si>
    <t>Hazardous</t>
  </si>
  <si>
    <t>Factory_Name</t>
  </si>
  <si>
    <t>Factory_Street1</t>
  </si>
  <si>
    <t>Factory_Street2</t>
  </si>
  <si>
    <t>Factory_City</t>
  </si>
  <si>
    <t>Factory_PostalCd</t>
  </si>
  <si>
    <t>Factory_CountryCd</t>
  </si>
  <si>
    <t>Collection_Time (HH:MM)</t>
  </si>
  <si>
    <t>Remarks</t>
  </si>
  <si>
    <t>CFS</t>
  </si>
  <si>
    <t>Road</t>
  </si>
  <si>
    <t>9999</t>
  </si>
  <si>
    <t>Bulk Flat</t>
  </si>
  <si>
    <t>Delivery</t>
  </si>
  <si>
    <t>N/A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</si>
  <si>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</si>
  <si>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</si>
  <si>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</si>
  <si>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</si>
  <si>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</si>
  <si>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</si>
  <si>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</si>
  <si>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</si>
  <si>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</si>
  <si>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</si>
  <si>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</si>
  <si>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</si>
  <si>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</si>
  <si>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</si>
  <si>
    <t>FACTORY LOOKUP TABLE — Add one row per factory. Factory_ID appears as a dropdown on PO Header. Name and address auto-fill when you select an ID. Do NOT change column headers.</t>
  </si>
  <si>
    <t>Dummy 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</si>
</sst>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10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  <font>
      <b/>
      <color rgb="FF0B4F2A"/>
      <sz val="11"/>
    </font>
    <font>
      <b/>
      <color rgb="FFFFFFFF"/>
      <sz val="11"/>
    </font>
    <font>
      <b/>
      <i/>
      <color rgb="FF7F7F7F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9F3FB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F5F5F5"/>
      </patternFill>
    </fill>
    <fill>
      <patternFill patternType="solid">
        <fgColor rgb="FFFCE8E8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  <fill>
      <patternFill patternType="solid">
        <fgColor rgb="FFD9EAD3"/>
      </patternFill>
    </fill>
    <fill>
      <patternFill patternType="solid">
        <fgColor rgb="FF274E13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2"/>
    </xf>
    <xf numFmtId="0" fontId="3" fillId="5" borderId="0" xfId="0" applyFont="1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indent="2"/>
    </xf>
    <xf numFmtId="0" fontId="2" fillId="4" borderId="0" xfId="0" applyFont="1" applyFill="1" applyAlignment="1">
      <alignment horizontal="left" vertical="center" indent="2"/>
    </xf>
    <xf numFmtId="0" fontId="3" fillId="4" borderId="0" xfId="0" applyFont="1" applyFill="1" applyAlignment="1">
      <alignment horizontal="left" vertical="center" indent="3"/>
    </xf>
    <xf numFmtId="0" fontId="3" fillId="4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12" borderId="0" xfId="0" applyFont="1" applyFill="1" applyAlignment="1">
      <alignment horizontal="left" vertical="center" indent="1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6" fillId="11" borderId="0" xfId="0" applyFont="1" applyFill="1" applyProtection="1"/>
    <xf numFmtId="165" fontId="0" fillId="0" borderId="0" xfId="0" applyNumberFormat="1"/>
    <xf numFmtId="2" fontId="6" fillId="11" borderId="0" xfId="0" applyNumberFormat="1" applyFont="1" applyFill="1" applyProtection="1"/>
    <xf numFmtId="165" fontId="6" fillId="11" borderId="0" xfId="0" applyNumberFormat="1" applyFont="1" applyFill="1" applyProtection="1"/>
    <xf numFmtId="0" fontId="7" fillId="17" borderId="0" xfId="0" applyFont="1" applyFill="1" applyAlignment="1">
      <alignment horizontal="left" vertical="center" wrapText="1"/>
    </xf>
    <xf numFmtId="0" fontId="8" fillId="18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2">
    <dxf>
      <font>
        <b/>
        <color rgb="FF7F6000"/>
      </font>
      <fill>
        <patternFill patternType="solid">
          <fgColor rgb="FFFFD966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29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5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6" t="s">
        <v>5</v>
      </c>
      <c r="B6" s="6"/>
      <c r="C6" s="6"/>
      <c r="D6" s="6"/>
      <c r="E6" s="6"/>
      <c r="F6" s="6"/>
      <c r="G6" s="6"/>
      <c r="H6" s="6"/>
    </row>
    <row r="7" ht="6" customHeight="1" spans="1:8" x14ac:dyDescent="0.25">
      <c r="A7" s="4" t="s">
        <v>3</v>
      </c>
      <c r="B7" s="4"/>
      <c r="C7" s="4"/>
      <c r="D7" s="4"/>
      <c r="E7" s="4"/>
      <c r="F7" s="4"/>
      <c r="G7" s="4"/>
      <c r="H7" s="4"/>
    </row>
    <row r="8" ht="15" customHeight="1" spans="1:8" x14ac:dyDescent="0.25">
      <c r="A8" s="2" t="s">
        <v>6</v>
      </c>
      <c r="B8" s="2"/>
      <c r="C8" s="2"/>
      <c r="D8" s="2"/>
      <c r="E8" s="2"/>
      <c r="F8" s="2"/>
      <c r="G8" s="2"/>
      <c r="H8" s="2"/>
    </row>
    <row r="9" ht="6" customHeight="1" spans="1:8" x14ac:dyDescent="0.25">
      <c r="A9" s="4" t="s">
        <v>3</v>
      </c>
      <c r="B9" s="4"/>
      <c r="C9" s="4"/>
      <c r="D9" s="4"/>
      <c r="E9" s="4"/>
      <c r="F9" s="4"/>
      <c r="G9" s="4"/>
      <c r="H9" s="4"/>
    </row>
    <row r="10" ht="15" customHeight="1" spans="1:8" x14ac:dyDescent="0.25">
      <c r="A10" s="7" t="s">
        <v>7</v>
      </c>
      <c r="B10" s="7"/>
      <c r="C10" s="7"/>
      <c r="D10" s="7"/>
      <c r="E10" s="7"/>
      <c r="F10" s="7"/>
      <c r="G10" s="7"/>
      <c r="H10" s="7"/>
    </row>
    <row r="11" ht="15" customHeight="1" spans="1:8" x14ac:dyDescent="0.25">
      <c r="A11" s="8" t="s">
        <v>8</v>
      </c>
      <c r="B11" s="8"/>
      <c r="C11" s="8"/>
      <c r="D11" s="8"/>
      <c r="E11" s="8"/>
      <c r="F11" s="8"/>
      <c r="G11" s="8"/>
      <c r="H11" s="8"/>
    </row>
    <row r="12" ht="15" customHeight="1" spans="1:8" x14ac:dyDescent="0.25">
      <c r="A12" s="8" t="s">
        <v>9</v>
      </c>
      <c r="B12" s="8"/>
      <c r="C12" s="8"/>
      <c r="D12" s="8"/>
      <c r="E12" s="8"/>
      <c r="F12" s="8"/>
      <c r="G12" s="8"/>
      <c r="H12" s="8"/>
    </row>
    <row r="13" ht="15" customHeight="1" spans="1:8" x14ac:dyDescent="0.25">
      <c r="A13" s="8" t="s">
        <v>10</v>
      </c>
      <c r="B13" s="8"/>
      <c r="C13" s="8"/>
      <c r="D13" s="8"/>
      <c r="E13" s="8"/>
      <c r="F13" s="8"/>
      <c r="G13" s="8"/>
      <c r="H13" s="8"/>
    </row>
    <row r="14" ht="6" customHeight="1" spans="1:8" x14ac:dyDescent="0.25">
      <c r="A14" s="4" t="s">
        <v>3</v>
      </c>
      <c r="B14" s="4"/>
      <c r="C14" s="4"/>
      <c r="D14" s="4"/>
      <c r="E14" s="4"/>
      <c r="F14" s="4"/>
      <c r="G14" s="4"/>
      <c r="H14" s="4"/>
    </row>
    <row r="15" ht="15" customHeight="1" spans="1:8" x14ac:dyDescent="0.25">
      <c r="A15" s="5" t="s">
        <v>11</v>
      </c>
      <c r="B15" s="5"/>
      <c r="C15" s="5"/>
      <c r="D15" s="5"/>
      <c r="E15" s="5"/>
      <c r="F15" s="5"/>
      <c r="G15" s="5"/>
      <c r="H15" s="5"/>
    </row>
    <row r="16" ht="6" customHeight="1" spans="1:8" x14ac:dyDescent="0.25">
      <c r="A16" s="4" t="s">
        <v>3</v>
      </c>
      <c r="B16" s="4"/>
      <c r="C16" s="4"/>
      <c r="D16" s="4"/>
      <c r="E16" s="4"/>
      <c r="F16" s="4"/>
      <c r="G16" s="4"/>
      <c r="H16" s="4"/>
    </row>
    <row r="17" ht="15" customHeight="1" spans="1:8" x14ac:dyDescent="0.25">
      <c r="A17" s="9" t="s">
        <v>12</v>
      </c>
      <c r="B17" s="9"/>
      <c r="C17" s="9"/>
      <c r="D17" s="9"/>
      <c r="E17" s="9"/>
      <c r="F17" s="9"/>
      <c r="G17" s="9"/>
      <c r="H17" s="9"/>
    </row>
    <row r="18" ht="15" customHeight="1" spans="1:8" x14ac:dyDescent="0.25">
      <c r="A18" s="3" t="s">
        <v>13</v>
      </c>
      <c r="B18" s="3"/>
      <c r="C18" s="3"/>
      <c r="D18" s="3"/>
      <c r="E18" s="3"/>
      <c r="F18" s="3"/>
      <c r="G18" s="3"/>
      <c r="H18" s="3"/>
    </row>
    <row r="19" ht="6" customHeight="1" spans="1:8" x14ac:dyDescent="0.25">
      <c r="A19" s="4" t="s">
        <v>3</v>
      </c>
      <c r="B19" s="4"/>
      <c r="C19" s="4"/>
      <c r="D19" s="4"/>
      <c r="E19" s="4"/>
      <c r="F19" s="4"/>
      <c r="G19" s="4"/>
      <c r="H19" s="4"/>
    </row>
    <row r="20" ht="15" customHeight="1" spans="1:8" x14ac:dyDescent="0.25">
      <c r="A20" s="2" t="s">
        <v>14</v>
      </c>
      <c r="B20" s="2"/>
      <c r="C20" s="2"/>
      <c r="D20" s="2"/>
      <c r="E20" s="2"/>
      <c r="F20" s="2"/>
      <c r="G20" s="2"/>
      <c r="H20" s="2"/>
    </row>
    <row r="21" ht="15" customHeight="1" spans="1:8" x14ac:dyDescent="0.25">
      <c r="A21" s="3" t="s">
        <v>15</v>
      </c>
      <c r="B21" s="3"/>
      <c r="C21" s="3"/>
      <c r="D21" s="3"/>
      <c r="E21" s="3"/>
      <c r="F21" s="3"/>
      <c r="G21" s="3"/>
      <c r="H21" s="3"/>
    </row>
    <row r="22" ht="6" customHeight="1" spans="1:8" x14ac:dyDescent="0.25">
      <c r="A22" s="4" t="s">
        <v>3</v>
      </c>
      <c r="B22" s="4"/>
      <c r="C22" s="4"/>
      <c r="D22" s="4"/>
      <c r="E22" s="4"/>
      <c r="F22" s="4"/>
      <c r="G22" s="4"/>
      <c r="H22" s="4"/>
    </row>
    <row r="23" ht="15" customHeight="1" spans="1:8" x14ac:dyDescent="0.25">
      <c r="A23" s="10" t="s">
        <v>16</v>
      </c>
      <c r="B23" s="10"/>
      <c r="C23" s="10"/>
      <c r="D23" s="10"/>
      <c r="E23" s="10"/>
      <c r="F23" s="10"/>
      <c r="G23" s="10"/>
      <c r="H23" s="10"/>
    </row>
    <row r="24" ht="15" customHeight="1" spans="1:8" x14ac:dyDescent="0.25">
      <c r="A24" s="11" t="s">
        <v>17</v>
      </c>
      <c r="B24" s="11"/>
      <c r="C24" s="11"/>
      <c r="D24" s="11"/>
      <c r="E24" s="11"/>
      <c r="F24" s="11"/>
      <c r="G24" s="11"/>
      <c r="H24" s="11"/>
    </row>
    <row r="25" ht="15" customHeight="1" spans="1:8" x14ac:dyDescent="0.25">
      <c r="A25" s="12" t="s">
        <v>18</v>
      </c>
      <c r="B25" s="12"/>
      <c r="C25" s="12"/>
      <c r="D25" s="12"/>
      <c r="E25" s="12"/>
      <c r="F25" s="12"/>
      <c r="G25" s="12"/>
      <c r="H25" s="12"/>
    </row>
    <row r="26" ht="15" customHeight="1" spans="1:8" x14ac:dyDescent="0.25">
      <c r="A26" s="13" t="s">
        <v>19</v>
      </c>
      <c r="B26" s="13"/>
      <c r="C26" s="13"/>
      <c r="D26" s="13"/>
      <c r="E26" s="13"/>
      <c r="F26" s="13"/>
      <c r="G26" s="13"/>
      <c r="H26" s="13"/>
    </row>
    <row r="27" ht="15" customHeight="1" spans="1:8" x14ac:dyDescent="0.25">
      <c r="A27" s="14" t="s">
        <v>20</v>
      </c>
      <c r="B27" s="14"/>
      <c r="C27" s="14"/>
      <c r="D27" s="14"/>
      <c r="E27" s="14"/>
      <c r="F27" s="14"/>
      <c r="G27" s="14"/>
      <c r="H27" s="14"/>
    </row>
    <row r="28" ht="6" customHeight="1" spans="1:8" x14ac:dyDescent="0.25">
      <c r="A28" s="4" t="s">
        <v>3</v>
      </c>
      <c r="B28" s="4"/>
      <c r="C28" s="4"/>
      <c r="D28" s="4"/>
      <c r="E28" s="4"/>
      <c r="F28" s="4"/>
      <c r="G28" s="4"/>
      <c r="H28" s="4"/>
    </row>
    <row r="29" ht="15" customHeight="1" spans="1:8" x14ac:dyDescent="0.25">
      <c r="A29" s="15" t="s">
        <v>21</v>
      </c>
      <c r="B29" s="15"/>
      <c r="C29" s="15"/>
      <c r="D29" s="15"/>
      <c r="E29" s="15"/>
      <c r="F29" s="15"/>
      <c r="G29" s="15"/>
      <c r="H29" s="15"/>
    </row>
  </sheetData>
  <mergeCells count="29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25">
      <c r="A2" t="s">
        <v>27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28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29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30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31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32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33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34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35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36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37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38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39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40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41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42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43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44</v>
      </c>
    </row>
    <row r="20" spans="1:5" x14ac:dyDescent="0.25">
      <c r="A20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  <row r="6" spans="1:1" x14ac:dyDescent="0.25">
      <c r="A6" t="s">
        <v>51</v>
      </c>
    </row>
    <row r="7" spans="1:1" x14ac:dyDescent="0.25">
      <c r="A7" t="s">
        <v>52</v>
      </c>
    </row>
    <row r="8" spans="1:1" x14ac:dyDescent="0.25">
      <c r="A8" t="s">
        <v>53</v>
      </c>
    </row>
    <row r="9" spans="1:1" x14ac:dyDescent="0.25">
      <c r="A9" t="s">
        <v>54</v>
      </c>
    </row>
    <row r="10" spans="1:1" x14ac:dyDescent="0.25">
      <c r="A10" t="s">
        <v>55</v>
      </c>
    </row>
    <row r="11" spans="1:1" x14ac:dyDescent="0.25">
      <c r="A11" t="s">
        <v>56</v>
      </c>
    </row>
    <row r="12" spans="1:1" x14ac:dyDescent="0.25">
      <c r="A12" t="s">
        <v>57</v>
      </c>
    </row>
    <row r="13" spans="1:1" x14ac:dyDescent="0.25">
      <c r="A13" t="s">
        <v>58</v>
      </c>
    </row>
    <row r="14" spans="1:1" x14ac:dyDescent="0.25">
      <c r="A14" t="s">
        <v>59</v>
      </c>
    </row>
    <row r="15" spans="1:1" x14ac:dyDescent="0.25">
      <c r="A15" t="s">
        <v>60</v>
      </c>
    </row>
    <row r="16" spans="1:1" x14ac:dyDescent="0.25">
      <c r="A16" t="s">
        <v>61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64</v>
      </c>
    </row>
    <row r="20" spans="1:1" x14ac:dyDescent="0.25">
      <c r="A20" t="s">
        <v>65</v>
      </c>
    </row>
    <row r="21" spans="1:1" x14ac:dyDescent="0.25">
      <c r="A21" t="s">
        <v>66</v>
      </c>
    </row>
    <row r="22" spans="1:1" x14ac:dyDescent="0.25">
      <c r="A22" t="s">
        <v>67</v>
      </c>
    </row>
    <row r="23" spans="1:1" x14ac:dyDescent="0.25">
      <c r="A23" t="s">
        <v>68</v>
      </c>
    </row>
    <row r="24" spans="1:1" x14ac:dyDescent="0.25">
      <c r="A24" t="s">
        <v>69</v>
      </c>
    </row>
    <row r="25" spans="1:1" x14ac:dyDescent="0.25">
      <c r="A25" t="s">
        <v>70</v>
      </c>
    </row>
    <row r="26" spans="1:1" x14ac:dyDescent="0.25">
      <c r="A26" t="s">
        <v>71</v>
      </c>
    </row>
    <row r="27" spans="1:1" x14ac:dyDescent="0.25">
      <c r="A27" t="s">
        <v>72</v>
      </c>
    </row>
    <row r="28" spans="1:1" x14ac:dyDescent="0.25">
      <c r="A2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8" customWidth="1"/>
    <col min="4" max="4" width="14" customWidth="1"/>
    <col min="5" max="5" width="18" customWidth="1"/>
    <col min="6" max="6" width="30" customWidth="1"/>
    <col min="7" max="7" width="18" customWidth="1"/>
    <col min="8" max="8" width="14" customWidth="1"/>
    <col min="9" max="9" width="18" customWidth="1"/>
    <col min="10" max="10" width="20" customWidth="1"/>
    <col min="11" max="11" width="28" customWidth="1"/>
    <col min="12" max="12" width="30" customWidth="1"/>
    <col min="13" max="13" width="24" customWidth="1"/>
    <col min="14" max="14" width="20" customWidth="1"/>
    <col min="15" max="16" width="16" customWidth="1"/>
    <col min="17" max="17" width="24" customWidth="1"/>
    <col min="18" max="18" width="30" customWidth="1"/>
  </cols>
  <sheetData>
    <row r="1" ht="14" customHeight="1" spans="1:4" x14ac:dyDescent="0.25">
      <c r="A1" s="16" t="s">
        <v>74</v>
      </c>
      <c r="B1" s="17" t="s">
        <v>75</v>
      </c>
      <c r="C1" s="18" t="s">
        <v>76</v>
      </c>
      <c r="D1" s="19" t="s">
        <v>77</v>
      </c>
    </row>
    <row r="2" ht="22" customHeight="1" spans="1:18" x14ac:dyDescent="0.25">
      <c r="A2" s="20" t="s">
        <v>78</v>
      </c>
      <c r="B2" s="20" t="s">
        <v>79</v>
      </c>
      <c r="C2" s="20" t="s">
        <v>80</v>
      </c>
      <c r="D2" s="20" t="s">
        <v>81</v>
      </c>
      <c r="E2" s="20" t="s">
        <v>82</v>
      </c>
      <c r="F2" s="20" t="s">
        <v>46</v>
      </c>
      <c r="G2" s="20" t="s">
        <v>83</v>
      </c>
      <c r="H2" s="21" t="s">
        <v>84</v>
      </c>
      <c r="I2" s="21" t="s">
        <v>85</v>
      </c>
      <c r="J2" s="21" t="s">
        <v>86</v>
      </c>
      <c r="K2" s="22" t="s">
        <v>87</v>
      </c>
      <c r="L2" s="22" t="s">
        <v>88</v>
      </c>
      <c r="M2" s="22" t="s">
        <v>89</v>
      </c>
      <c r="N2" s="22" t="s">
        <v>90</v>
      </c>
      <c r="O2" s="22" t="s">
        <v>91</v>
      </c>
      <c r="P2" s="22" t="s">
        <v>92</v>
      </c>
      <c r="Q2" s="23" t="s">
        <v>93</v>
      </c>
      <c r="R2" s="23" t="s">
        <v>94</v>
      </c>
    </row>
    <row r="3" spans="1:17" x14ac:dyDescent="0.25">
      <c r="B3" s="24"/>
      <c r="C3" s="24"/>
      <c r="D3" t="s">
        <v>95</v>
      </c>
      <c r="E3" t="s">
        <v>96</v>
      </c>
      <c r="F3" t="s">
        <v>47</v>
      </c>
      <c r="G3" t="s">
        <v>97</v>
      </c>
      <c r="H3" t="s">
        <v>98</v>
      </c>
      <c r="I3" t="s">
        <v>99</v>
      </c>
      <c r="J3" t="s">
        <v>100</v>
      </c>
      <c r="K3" s="25">
        <f>IF($G3="9999","Dummy Factory",IFERROR(VLOOKUP($G3,FACTORY_LOOKUP!$A:$G,2,0),""))</f>
      </c>
      <c r="L3" s="25">
        <f>IF($G3="9999","",IFERROR(VLOOKUP($G3,FACTORY_LOOKUP!$A:$G,3,0),""))</f>
      </c>
      <c r="M3" s="25">
        <f>IF($G3="9999","",IFERROR(VLOOKUP($G3,FACTORY_LOOKUP!$A:$G,4,0),""))</f>
      </c>
      <c r="N3" s="25">
        <f>IF($G3="9999","",IFERROR(VLOOKUP($G3,FACTORY_LOOKUP!$A:$G,5,0),""))</f>
      </c>
      <c r="O3" s="25">
        <f>IF($G3="9999","",IFERROR(VLOOKUP($G3,FACTORY_LOOKUP!$A:$G,6,0),""))</f>
      </c>
      <c r="P3" s="25">
        <f>IF($G3="9999","",IFERROR(VLOOKUP($G3,FACTORY_LOOKUP!$A:$G,7,0),""))</f>
      </c>
    </row>
    <row r="4" spans="1:17" x14ac:dyDescent="0.25">
      <c r="B4" s="24"/>
      <c r="C4" s="24"/>
      <c r="D4" t="s">
        <v>95</v>
      </c>
      <c r="E4" t="s">
        <v>96</v>
      </c>
      <c r="F4" t="s">
        <v>47</v>
      </c>
      <c r="G4" t="s">
        <v>97</v>
      </c>
      <c r="H4" t="s">
        <v>98</v>
      </c>
      <c r="I4" t="s">
        <v>99</v>
      </c>
      <c r="J4" t="s">
        <v>100</v>
      </c>
      <c r="K4" s="25">
        <f>IF($G4="9999","Dummy Factory",IFERROR(VLOOKUP($G4,FACTORY_LOOKUP!$A:$G,2,0),""))</f>
      </c>
      <c r="L4" s="25">
        <f>IF($G4="9999","",IFERROR(VLOOKUP($G4,FACTORY_LOOKUP!$A:$G,3,0),""))</f>
      </c>
      <c r="M4" s="25">
        <f>IF($G4="9999","",IFERROR(VLOOKUP($G4,FACTORY_LOOKUP!$A:$G,4,0),""))</f>
      </c>
      <c r="N4" s="25">
        <f>IF($G4="9999","",IFERROR(VLOOKUP($G4,FACTORY_LOOKUP!$A:$G,5,0),""))</f>
      </c>
      <c r="O4" s="25">
        <f>IF($G4="9999","",IFERROR(VLOOKUP($G4,FACTORY_LOOKUP!$A:$G,6,0),""))</f>
      </c>
      <c r="P4" s="25">
        <f>IF($G4="9999","",IFERROR(VLOOKUP($G4,FACTORY_LOOKUP!$A:$G,7,0),""))</f>
      </c>
    </row>
    <row r="5" spans="1:17" x14ac:dyDescent="0.25">
      <c r="B5" s="24"/>
      <c r="C5" s="24"/>
      <c r="D5" t="s">
        <v>95</v>
      </c>
      <c r="E5" t="s">
        <v>96</v>
      </c>
      <c r="F5" t="s">
        <v>47</v>
      </c>
      <c r="G5" t="s">
        <v>97</v>
      </c>
      <c r="H5" t="s">
        <v>98</v>
      </c>
      <c r="I5" t="s">
        <v>99</v>
      </c>
      <c r="J5" t="s">
        <v>100</v>
      </c>
      <c r="K5" s="25">
        <f>IF($G5="9999","Dummy Factory",IFERROR(VLOOKUP($G5,FACTORY_LOOKUP!$A:$G,2,0),""))</f>
      </c>
      <c r="L5" s="25">
        <f>IF($G5="9999","",IFERROR(VLOOKUP($G5,FACTORY_LOOKUP!$A:$G,3,0),""))</f>
      </c>
      <c r="M5" s="25">
        <f>IF($G5="9999","",IFERROR(VLOOKUP($G5,FACTORY_LOOKUP!$A:$G,4,0),""))</f>
      </c>
      <c r="N5" s="25">
        <f>IF($G5="9999","",IFERROR(VLOOKUP($G5,FACTORY_LOOKUP!$A:$G,5,0),""))</f>
      </c>
      <c r="O5" s="25">
        <f>IF($G5="9999","",IFERROR(VLOOKUP($G5,FACTORY_LOOKUP!$A:$G,6,0),""))</f>
      </c>
      <c r="P5" s="25">
        <f>IF($G5="9999","",IFERROR(VLOOKUP($G5,FACTORY_LOOKUP!$A:$G,7,0),""))</f>
      </c>
    </row>
    <row r="6" spans="1:17" x14ac:dyDescent="0.25">
      <c r="B6" s="24"/>
      <c r="C6" s="24"/>
      <c r="D6" t="s">
        <v>95</v>
      </c>
      <c r="E6" t="s">
        <v>96</v>
      </c>
      <c r="F6" t="s">
        <v>47</v>
      </c>
      <c r="G6" t="s">
        <v>97</v>
      </c>
      <c r="H6" t="s">
        <v>98</v>
      </c>
      <c r="I6" t="s">
        <v>99</v>
      </c>
      <c r="J6" t="s">
        <v>100</v>
      </c>
      <c r="K6" s="25">
        <f>IF($G6="9999","Dummy Factory",IFERROR(VLOOKUP($G6,FACTORY_LOOKUP!$A:$G,2,0),""))</f>
      </c>
      <c r="L6" s="25">
        <f>IF($G6="9999","",IFERROR(VLOOKUP($G6,FACTORY_LOOKUP!$A:$G,3,0),""))</f>
      </c>
      <c r="M6" s="25">
        <f>IF($G6="9999","",IFERROR(VLOOKUP($G6,FACTORY_LOOKUP!$A:$G,4,0),""))</f>
      </c>
      <c r="N6" s="25">
        <f>IF($G6="9999","",IFERROR(VLOOKUP($G6,FACTORY_LOOKUP!$A:$G,5,0),""))</f>
      </c>
      <c r="O6" s="25">
        <f>IF($G6="9999","",IFERROR(VLOOKUP($G6,FACTORY_LOOKUP!$A:$G,6,0),""))</f>
      </c>
      <c r="P6" s="25">
        <f>IF($G6="9999","",IFERROR(VLOOKUP($G6,FACTORY_LOOKUP!$A:$G,7,0),""))</f>
      </c>
    </row>
    <row r="7" spans="1:17" x14ac:dyDescent="0.25">
      <c r="B7" s="24"/>
      <c r="C7" s="24"/>
      <c r="D7" t="s">
        <v>95</v>
      </c>
      <c r="E7" t="s">
        <v>96</v>
      </c>
      <c r="F7" t="s">
        <v>47</v>
      </c>
      <c r="G7" t="s">
        <v>97</v>
      </c>
      <c r="H7" t="s">
        <v>98</v>
      </c>
      <c r="I7" t="s">
        <v>99</v>
      </c>
      <c r="J7" t="s">
        <v>100</v>
      </c>
      <c r="K7" s="25">
        <f>IF($G7="9999","Dummy Factory",IFERROR(VLOOKUP($G7,FACTORY_LOOKUP!$A:$G,2,0),""))</f>
      </c>
      <c r="L7" s="25">
        <f>IF($G7="9999","",IFERROR(VLOOKUP($G7,FACTORY_LOOKUP!$A:$G,3,0),""))</f>
      </c>
      <c r="M7" s="25">
        <f>IF($G7="9999","",IFERROR(VLOOKUP($G7,FACTORY_LOOKUP!$A:$G,4,0),""))</f>
      </c>
      <c r="N7" s="25">
        <f>IF($G7="9999","",IFERROR(VLOOKUP($G7,FACTORY_LOOKUP!$A:$G,5,0),""))</f>
      </c>
      <c r="O7" s="25">
        <f>IF($G7="9999","",IFERROR(VLOOKUP($G7,FACTORY_LOOKUP!$A:$G,6,0),""))</f>
      </c>
      <c r="P7" s="25">
        <f>IF($G7="9999","",IFERROR(VLOOKUP($G7,FACTORY_LOOKUP!$A:$G,7,0),""))</f>
      </c>
    </row>
    <row r="8" spans="1:17" x14ac:dyDescent="0.25">
      <c r="B8" s="24"/>
      <c r="C8" s="24"/>
      <c r="D8" t="s">
        <v>95</v>
      </c>
      <c r="E8" t="s">
        <v>96</v>
      </c>
      <c r="F8" t="s">
        <v>47</v>
      </c>
      <c r="G8" t="s">
        <v>97</v>
      </c>
      <c r="H8" t="s">
        <v>98</v>
      </c>
      <c r="I8" t="s">
        <v>99</v>
      </c>
      <c r="J8" t="s">
        <v>100</v>
      </c>
      <c r="K8" s="25">
        <f>IF($G8="9999","Dummy Factory",IFERROR(VLOOKUP($G8,FACTORY_LOOKUP!$A:$G,2,0),""))</f>
      </c>
      <c r="L8" s="25">
        <f>IF($G8="9999","",IFERROR(VLOOKUP($G8,FACTORY_LOOKUP!$A:$G,3,0),""))</f>
      </c>
      <c r="M8" s="25">
        <f>IF($G8="9999","",IFERROR(VLOOKUP($G8,FACTORY_LOOKUP!$A:$G,4,0),""))</f>
      </c>
      <c r="N8" s="25">
        <f>IF($G8="9999","",IFERROR(VLOOKUP($G8,FACTORY_LOOKUP!$A:$G,5,0),""))</f>
      </c>
      <c r="O8" s="25">
        <f>IF($G8="9999","",IFERROR(VLOOKUP($G8,FACTORY_LOOKUP!$A:$G,6,0),""))</f>
      </c>
      <c r="P8" s="25">
        <f>IF($G8="9999","",IFERROR(VLOOKUP($G8,FACTORY_LOOKUP!$A:$G,7,0),""))</f>
      </c>
    </row>
    <row r="9" spans="1:17" x14ac:dyDescent="0.25">
      <c r="B9" s="24"/>
      <c r="C9" s="24"/>
      <c r="D9" t="s">
        <v>95</v>
      </c>
      <c r="E9" t="s">
        <v>96</v>
      </c>
      <c r="F9" t="s">
        <v>47</v>
      </c>
      <c r="G9" t="s">
        <v>97</v>
      </c>
      <c r="H9" t="s">
        <v>98</v>
      </c>
      <c r="I9" t="s">
        <v>99</v>
      </c>
      <c r="J9" t="s">
        <v>100</v>
      </c>
      <c r="K9" s="25">
        <f>IF($G9="9999","Dummy Factory",IFERROR(VLOOKUP($G9,FACTORY_LOOKUP!$A:$G,2,0),""))</f>
      </c>
      <c r="L9" s="25">
        <f>IF($G9="9999","",IFERROR(VLOOKUP($G9,FACTORY_LOOKUP!$A:$G,3,0),""))</f>
      </c>
      <c r="M9" s="25">
        <f>IF($G9="9999","",IFERROR(VLOOKUP($G9,FACTORY_LOOKUP!$A:$G,4,0),""))</f>
      </c>
      <c r="N9" s="25">
        <f>IF($G9="9999","",IFERROR(VLOOKUP($G9,FACTORY_LOOKUP!$A:$G,5,0),""))</f>
      </c>
      <c r="O9" s="25">
        <f>IF($G9="9999","",IFERROR(VLOOKUP($G9,FACTORY_LOOKUP!$A:$G,6,0),""))</f>
      </c>
      <c r="P9" s="25">
        <f>IF($G9="9999","",IFERROR(VLOOKUP($G9,FACTORY_LOOKUP!$A:$G,7,0),""))</f>
      </c>
    </row>
    <row r="10" spans="1:17" x14ac:dyDescent="0.25">
      <c r="B10" s="24"/>
      <c r="C10" s="24"/>
      <c r="D10" t="s">
        <v>95</v>
      </c>
      <c r="E10" t="s">
        <v>96</v>
      </c>
      <c r="F10" t="s">
        <v>47</v>
      </c>
      <c r="G10" t="s">
        <v>97</v>
      </c>
      <c r="H10" t="s">
        <v>98</v>
      </c>
      <c r="I10" t="s">
        <v>99</v>
      </c>
      <c r="J10" t="s">
        <v>100</v>
      </c>
      <c r="K10" s="25">
        <f>IF($G10="9999","Dummy Factory",IFERROR(VLOOKUP($G10,FACTORY_LOOKUP!$A:$G,2,0),""))</f>
      </c>
      <c r="L10" s="25">
        <f>IF($G10="9999","",IFERROR(VLOOKUP($G10,FACTORY_LOOKUP!$A:$G,3,0),""))</f>
      </c>
      <c r="M10" s="25">
        <f>IF($G10="9999","",IFERROR(VLOOKUP($G10,FACTORY_LOOKUP!$A:$G,4,0),""))</f>
      </c>
      <c r="N10" s="25">
        <f>IF($G10="9999","",IFERROR(VLOOKUP($G10,FACTORY_LOOKUP!$A:$G,5,0),""))</f>
      </c>
      <c r="O10" s="25">
        <f>IF($G10="9999","",IFERROR(VLOOKUP($G10,FACTORY_LOOKUP!$A:$G,6,0),""))</f>
      </c>
      <c r="P10" s="25">
        <f>IF($G10="9999","",IFERROR(VLOOKUP($G10,FACTORY_LOOKUP!$A:$G,7,0),""))</f>
      </c>
    </row>
    <row r="11" spans="1:17" x14ac:dyDescent="0.25">
      <c r="B11" s="24"/>
      <c r="C11" s="24"/>
      <c r="D11" t="s">
        <v>95</v>
      </c>
      <c r="E11" t="s">
        <v>96</v>
      </c>
      <c r="F11" t="s">
        <v>47</v>
      </c>
      <c r="G11" t="s">
        <v>97</v>
      </c>
      <c r="H11" t="s">
        <v>98</v>
      </c>
      <c r="I11" t="s">
        <v>99</v>
      </c>
      <c r="J11" t="s">
        <v>100</v>
      </c>
      <c r="K11" s="25">
        <f>IF($G11="9999","Dummy Factory",IFERROR(VLOOKUP($G11,FACTORY_LOOKUP!$A:$G,2,0),""))</f>
      </c>
      <c r="L11" s="25">
        <f>IF($G11="9999","",IFERROR(VLOOKUP($G11,FACTORY_LOOKUP!$A:$G,3,0),""))</f>
      </c>
      <c r="M11" s="25">
        <f>IF($G11="9999","",IFERROR(VLOOKUP($G11,FACTORY_LOOKUP!$A:$G,4,0),""))</f>
      </c>
      <c r="N11" s="25">
        <f>IF($G11="9999","",IFERROR(VLOOKUP($G11,FACTORY_LOOKUP!$A:$G,5,0),""))</f>
      </c>
      <c r="O11" s="25">
        <f>IF($G11="9999","",IFERROR(VLOOKUP($G11,FACTORY_LOOKUP!$A:$G,6,0),""))</f>
      </c>
      <c r="P11" s="25">
        <f>IF($G11="9999","",IFERROR(VLOOKUP($G11,FACTORY_LOOKUP!$A:$G,7,0),""))</f>
      </c>
    </row>
    <row r="12" spans="1:17" x14ac:dyDescent="0.25">
      <c r="B12" s="24"/>
      <c r="C12" s="24"/>
      <c r="D12" t="s">
        <v>95</v>
      </c>
      <c r="E12" t="s">
        <v>96</v>
      </c>
      <c r="F12" t="s">
        <v>47</v>
      </c>
      <c r="G12" t="s">
        <v>97</v>
      </c>
      <c r="H12" t="s">
        <v>98</v>
      </c>
      <c r="I12" t="s">
        <v>99</v>
      </c>
      <c r="J12" t="s">
        <v>100</v>
      </c>
      <c r="K12" s="25">
        <f>IF($G12="9999","Dummy Factory",IFERROR(VLOOKUP($G12,FACTORY_LOOKUP!$A:$G,2,0),""))</f>
      </c>
      <c r="L12" s="25">
        <f>IF($G12="9999","",IFERROR(VLOOKUP($G12,FACTORY_LOOKUP!$A:$G,3,0),""))</f>
      </c>
      <c r="M12" s="25">
        <f>IF($G12="9999","",IFERROR(VLOOKUP($G12,FACTORY_LOOKUP!$A:$G,4,0),""))</f>
      </c>
      <c r="N12" s="25">
        <f>IF($G12="9999","",IFERROR(VLOOKUP($G12,FACTORY_LOOKUP!$A:$G,5,0),""))</f>
      </c>
      <c r="O12" s="25">
        <f>IF($G12="9999","",IFERROR(VLOOKUP($G12,FACTORY_LOOKUP!$A:$G,6,0),""))</f>
      </c>
      <c r="P12" s="25">
        <f>IF($G12="9999","",IFERROR(VLOOKUP($G12,FACTORY_LOOKUP!$A:$G,7,0),""))</f>
      </c>
    </row>
    <row r="13" spans="1:17" x14ac:dyDescent="0.25">
      <c r="B13" s="24"/>
      <c r="C13" s="24"/>
      <c r="D13" t="s">
        <v>95</v>
      </c>
      <c r="E13" t="s">
        <v>96</v>
      </c>
      <c r="F13" t="s">
        <v>47</v>
      </c>
      <c r="G13" t="s">
        <v>97</v>
      </c>
      <c r="H13" t="s">
        <v>98</v>
      </c>
      <c r="I13" t="s">
        <v>99</v>
      </c>
      <c r="J13" t="s">
        <v>100</v>
      </c>
      <c r="K13" s="25">
        <f>IF($G13="9999","Dummy Factory",IFERROR(VLOOKUP($G13,FACTORY_LOOKUP!$A:$G,2,0),""))</f>
      </c>
      <c r="L13" s="25">
        <f>IF($G13="9999","",IFERROR(VLOOKUP($G13,FACTORY_LOOKUP!$A:$G,3,0),""))</f>
      </c>
      <c r="M13" s="25">
        <f>IF($G13="9999","",IFERROR(VLOOKUP($G13,FACTORY_LOOKUP!$A:$G,4,0),""))</f>
      </c>
      <c r="N13" s="25">
        <f>IF($G13="9999","",IFERROR(VLOOKUP($G13,FACTORY_LOOKUP!$A:$G,5,0),""))</f>
      </c>
      <c r="O13" s="25">
        <f>IF($G13="9999","",IFERROR(VLOOKUP($G13,FACTORY_LOOKUP!$A:$G,6,0),""))</f>
      </c>
      <c r="P13" s="25">
        <f>IF($G13="9999","",IFERROR(VLOOKUP($G13,FACTORY_LOOKUP!$A:$G,7,0),""))</f>
      </c>
    </row>
    <row r="14" spans="1:17" x14ac:dyDescent="0.25">
      <c r="B14" s="24"/>
      <c r="C14" s="24"/>
      <c r="D14" t="s">
        <v>95</v>
      </c>
      <c r="E14" t="s">
        <v>96</v>
      </c>
      <c r="F14" t="s">
        <v>47</v>
      </c>
      <c r="G14" t="s">
        <v>97</v>
      </c>
      <c r="H14" t="s">
        <v>98</v>
      </c>
      <c r="I14" t="s">
        <v>99</v>
      </c>
      <c r="J14" t="s">
        <v>100</v>
      </c>
      <c r="K14" s="25">
        <f>IF($G14="9999","Dummy Factory",IFERROR(VLOOKUP($G14,FACTORY_LOOKUP!$A:$G,2,0),""))</f>
      </c>
      <c r="L14" s="25">
        <f>IF($G14="9999","",IFERROR(VLOOKUP($G14,FACTORY_LOOKUP!$A:$G,3,0),""))</f>
      </c>
      <c r="M14" s="25">
        <f>IF($G14="9999","",IFERROR(VLOOKUP($G14,FACTORY_LOOKUP!$A:$G,4,0),""))</f>
      </c>
      <c r="N14" s="25">
        <f>IF($G14="9999","",IFERROR(VLOOKUP($G14,FACTORY_LOOKUP!$A:$G,5,0),""))</f>
      </c>
      <c r="O14" s="25">
        <f>IF($G14="9999","",IFERROR(VLOOKUP($G14,FACTORY_LOOKUP!$A:$G,6,0),""))</f>
      </c>
      <c r="P14" s="25">
        <f>IF($G14="9999","",IFERROR(VLOOKUP($G14,FACTORY_LOOKUP!$A:$G,7,0),""))</f>
      </c>
    </row>
    <row r="15" spans="1:17" x14ac:dyDescent="0.25">
      <c r="B15" s="24"/>
      <c r="C15" s="24"/>
      <c r="D15" t="s">
        <v>95</v>
      </c>
      <c r="E15" t="s">
        <v>96</v>
      </c>
      <c r="F15" t="s">
        <v>47</v>
      </c>
      <c r="G15" t="s">
        <v>97</v>
      </c>
      <c r="H15" t="s">
        <v>98</v>
      </c>
      <c r="I15" t="s">
        <v>99</v>
      </c>
      <c r="J15" t="s">
        <v>100</v>
      </c>
      <c r="K15" s="25">
        <f>IF($G15="9999","Dummy Factory",IFERROR(VLOOKUP($G15,FACTORY_LOOKUP!$A:$G,2,0),""))</f>
      </c>
      <c r="L15" s="25">
        <f>IF($G15="9999","",IFERROR(VLOOKUP($G15,FACTORY_LOOKUP!$A:$G,3,0),""))</f>
      </c>
      <c r="M15" s="25">
        <f>IF($G15="9999","",IFERROR(VLOOKUP($G15,FACTORY_LOOKUP!$A:$G,4,0),""))</f>
      </c>
      <c r="N15" s="25">
        <f>IF($G15="9999","",IFERROR(VLOOKUP($G15,FACTORY_LOOKUP!$A:$G,5,0),""))</f>
      </c>
      <c r="O15" s="25">
        <f>IF($G15="9999","",IFERROR(VLOOKUP($G15,FACTORY_LOOKUP!$A:$G,6,0),""))</f>
      </c>
      <c r="P15" s="25">
        <f>IF($G15="9999","",IFERROR(VLOOKUP($G15,FACTORY_LOOKUP!$A:$G,7,0),""))</f>
      </c>
    </row>
    <row r="16" spans="1:17" x14ac:dyDescent="0.25">
      <c r="B16" s="24"/>
      <c r="C16" s="24"/>
      <c r="D16" t="s">
        <v>95</v>
      </c>
      <c r="E16" t="s">
        <v>96</v>
      </c>
      <c r="F16" t="s">
        <v>47</v>
      </c>
      <c r="G16" t="s">
        <v>97</v>
      </c>
      <c r="H16" t="s">
        <v>98</v>
      </c>
      <c r="I16" t="s">
        <v>99</v>
      </c>
      <c r="J16" t="s">
        <v>100</v>
      </c>
      <c r="K16" s="25">
        <f>IF($G16="9999","Dummy Factory",IFERROR(VLOOKUP($G16,FACTORY_LOOKUP!$A:$G,2,0),""))</f>
      </c>
      <c r="L16" s="25">
        <f>IF($G16="9999","",IFERROR(VLOOKUP($G16,FACTORY_LOOKUP!$A:$G,3,0),""))</f>
      </c>
      <c r="M16" s="25">
        <f>IF($G16="9999","",IFERROR(VLOOKUP($G16,FACTORY_LOOKUP!$A:$G,4,0),""))</f>
      </c>
      <c r="N16" s="25">
        <f>IF($G16="9999","",IFERROR(VLOOKUP($G16,FACTORY_LOOKUP!$A:$G,5,0),""))</f>
      </c>
      <c r="O16" s="25">
        <f>IF($G16="9999","",IFERROR(VLOOKUP($G16,FACTORY_LOOKUP!$A:$G,6,0),""))</f>
      </c>
      <c r="P16" s="25">
        <f>IF($G16="9999","",IFERROR(VLOOKUP($G16,FACTORY_LOOKUP!$A:$G,7,0),""))</f>
      </c>
    </row>
    <row r="17" spans="1:17" x14ac:dyDescent="0.25">
      <c r="B17" s="24"/>
      <c r="C17" s="24"/>
      <c r="D17" t="s">
        <v>95</v>
      </c>
      <c r="E17" t="s">
        <v>96</v>
      </c>
      <c r="F17" t="s">
        <v>47</v>
      </c>
      <c r="G17" t="s">
        <v>97</v>
      </c>
      <c r="H17" t="s">
        <v>98</v>
      </c>
      <c r="I17" t="s">
        <v>99</v>
      </c>
      <c r="J17" t="s">
        <v>100</v>
      </c>
      <c r="K17" s="25">
        <f>IF($G17="9999","Dummy Factory",IFERROR(VLOOKUP($G17,FACTORY_LOOKUP!$A:$G,2,0),""))</f>
      </c>
      <c r="L17" s="25">
        <f>IF($G17="9999","",IFERROR(VLOOKUP($G17,FACTORY_LOOKUP!$A:$G,3,0),""))</f>
      </c>
      <c r="M17" s="25">
        <f>IF($G17="9999","",IFERROR(VLOOKUP($G17,FACTORY_LOOKUP!$A:$G,4,0),""))</f>
      </c>
      <c r="N17" s="25">
        <f>IF($G17="9999","",IFERROR(VLOOKUP($G17,FACTORY_LOOKUP!$A:$G,5,0),""))</f>
      </c>
      <c r="O17" s="25">
        <f>IF($G17="9999","",IFERROR(VLOOKUP($G17,FACTORY_LOOKUP!$A:$G,6,0),""))</f>
      </c>
      <c r="P17" s="25">
        <f>IF($G17="9999","",IFERROR(VLOOKUP($G17,FACTORY_LOOKUP!$A:$G,7,0),""))</f>
      </c>
    </row>
    <row r="18" spans="1:17" x14ac:dyDescent="0.25">
      <c r="B18" s="24"/>
      <c r="C18" s="24"/>
      <c r="D18" t="s">
        <v>95</v>
      </c>
      <c r="E18" t="s">
        <v>96</v>
      </c>
      <c r="F18" t="s">
        <v>47</v>
      </c>
      <c r="G18" t="s">
        <v>97</v>
      </c>
      <c r="H18" t="s">
        <v>98</v>
      </c>
      <c r="I18" t="s">
        <v>99</v>
      </c>
      <c r="J18" t="s">
        <v>100</v>
      </c>
      <c r="K18" s="25">
        <f>IF($G18="9999","Dummy Factory",IFERROR(VLOOKUP($G18,FACTORY_LOOKUP!$A:$G,2,0),""))</f>
      </c>
      <c r="L18" s="25">
        <f>IF($G18="9999","",IFERROR(VLOOKUP($G18,FACTORY_LOOKUP!$A:$G,3,0),""))</f>
      </c>
      <c r="M18" s="25">
        <f>IF($G18="9999","",IFERROR(VLOOKUP($G18,FACTORY_LOOKUP!$A:$G,4,0),""))</f>
      </c>
      <c r="N18" s="25">
        <f>IF($G18="9999","",IFERROR(VLOOKUP($G18,FACTORY_LOOKUP!$A:$G,5,0),""))</f>
      </c>
      <c r="O18" s="25">
        <f>IF($G18="9999","",IFERROR(VLOOKUP($G18,FACTORY_LOOKUP!$A:$G,6,0),""))</f>
      </c>
      <c r="P18" s="25">
        <f>IF($G18="9999","",IFERROR(VLOOKUP($G18,FACTORY_LOOKUP!$A:$G,7,0),""))</f>
      </c>
    </row>
    <row r="19" spans="1:17" x14ac:dyDescent="0.25">
      <c r="B19" s="24"/>
      <c r="C19" s="24"/>
      <c r="D19" t="s">
        <v>95</v>
      </c>
      <c r="E19" t="s">
        <v>96</v>
      </c>
      <c r="F19" t="s">
        <v>47</v>
      </c>
      <c r="G19" t="s">
        <v>97</v>
      </c>
      <c r="H19" t="s">
        <v>98</v>
      </c>
      <c r="I19" t="s">
        <v>99</v>
      </c>
      <c r="J19" t="s">
        <v>100</v>
      </c>
      <c r="K19" s="25">
        <f>IF($G19="9999","Dummy Factory",IFERROR(VLOOKUP($G19,FACTORY_LOOKUP!$A:$G,2,0),""))</f>
      </c>
      <c r="L19" s="25">
        <f>IF($G19="9999","",IFERROR(VLOOKUP($G19,FACTORY_LOOKUP!$A:$G,3,0),""))</f>
      </c>
      <c r="M19" s="25">
        <f>IF($G19="9999","",IFERROR(VLOOKUP($G19,FACTORY_LOOKUP!$A:$G,4,0),""))</f>
      </c>
      <c r="N19" s="25">
        <f>IF($G19="9999","",IFERROR(VLOOKUP($G19,FACTORY_LOOKUP!$A:$G,5,0),""))</f>
      </c>
      <c r="O19" s="25">
        <f>IF($G19="9999","",IFERROR(VLOOKUP($G19,FACTORY_LOOKUP!$A:$G,6,0),""))</f>
      </c>
      <c r="P19" s="25">
        <f>IF($G19="9999","",IFERROR(VLOOKUP($G19,FACTORY_LOOKUP!$A:$G,7,0),""))</f>
      </c>
    </row>
    <row r="20" spans="1:17" x14ac:dyDescent="0.25">
      <c r="B20" s="24"/>
      <c r="C20" s="24"/>
      <c r="D20" t="s">
        <v>95</v>
      </c>
      <c r="E20" t="s">
        <v>96</v>
      </c>
      <c r="F20" t="s">
        <v>47</v>
      </c>
      <c r="G20" t="s">
        <v>97</v>
      </c>
      <c r="H20" t="s">
        <v>98</v>
      </c>
      <c r="I20" t="s">
        <v>99</v>
      </c>
      <c r="J20" t="s">
        <v>100</v>
      </c>
      <c r="K20" s="25">
        <f>IF($G20="9999","Dummy Factory",IFERROR(VLOOKUP($G20,FACTORY_LOOKUP!$A:$G,2,0),""))</f>
      </c>
      <c r="L20" s="25">
        <f>IF($G20="9999","",IFERROR(VLOOKUP($G20,FACTORY_LOOKUP!$A:$G,3,0),""))</f>
      </c>
      <c r="M20" s="25">
        <f>IF($G20="9999","",IFERROR(VLOOKUP($G20,FACTORY_LOOKUP!$A:$G,4,0),""))</f>
      </c>
      <c r="N20" s="25">
        <f>IF($G20="9999","",IFERROR(VLOOKUP($G20,FACTORY_LOOKUP!$A:$G,5,0),""))</f>
      </c>
      <c r="O20" s="25">
        <f>IF($G20="9999","",IFERROR(VLOOKUP($G20,FACTORY_LOOKUP!$A:$G,6,0),""))</f>
      </c>
      <c r="P20" s="25">
        <f>IF($G20="9999","",IFERROR(VLOOKUP($G20,FACTORY_LOOKUP!$A:$G,7,0),""))</f>
      </c>
    </row>
    <row r="21" spans="1:17" x14ac:dyDescent="0.25">
      <c r="B21" s="24"/>
      <c r="C21" s="24"/>
      <c r="D21" t="s">
        <v>95</v>
      </c>
      <c r="E21" t="s">
        <v>96</v>
      </c>
      <c r="F21" t="s">
        <v>47</v>
      </c>
      <c r="G21" t="s">
        <v>97</v>
      </c>
      <c r="H21" t="s">
        <v>98</v>
      </c>
      <c r="I21" t="s">
        <v>99</v>
      </c>
      <c r="J21" t="s">
        <v>100</v>
      </c>
      <c r="K21" s="25">
        <f>IF($G21="9999","Dummy Factory",IFERROR(VLOOKUP($G21,FACTORY_LOOKUP!$A:$G,2,0),""))</f>
      </c>
      <c r="L21" s="25">
        <f>IF($G21="9999","",IFERROR(VLOOKUP($G21,FACTORY_LOOKUP!$A:$G,3,0),""))</f>
      </c>
      <c r="M21" s="25">
        <f>IF($G21="9999","",IFERROR(VLOOKUP($G21,FACTORY_LOOKUP!$A:$G,4,0),""))</f>
      </c>
      <c r="N21" s="25">
        <f>IF($G21="9999","",IFERROR(VLOOKUP($G21,FACTORY_LOOKUP!$A:$G,5,0),""))</f>
      </c>
      <c r="O21" s="25">
        <f>IF($G21="9999","",IFERROR(VLOOKUP($G21,FACTORY_LOOKUP!$A:$G,6,0),""))</f>
      </c>
      <c r="P21" s="25">
        <f>IF($G21="9999","",IFERROR(VLOOKUP($G21,FACTORY_LOOKUP!$A:$G,7,0),""))</f>
      </c>
    </row>
    <row r="22" spans="1:17" x14ac:dyDescent="0.25">
      <c r="B22" s="24"/>
      <c r="C22" s="24"/>
      <c r="D22" t="s">
        <v>95</v>
      </c>
      <c r="E22" t="s">
        <v>96</v>
      </c>
      <c r="F22" t="s">
        <v>47</v>
      </c>
      <c r="G22" t="s">
        <v>97</v>
      </c>
      <c r="H22" t="s">
        <v>98</v>
      </c>
      <c r="I22" t="s">
        <v>99</v>
      </c>
      <c r="J22" t="s">
        <v>100</v>
      </c>
      <c r="K22" s="25">
        <f>IF($G22="9999","Dummy Factory",IFERROR(VLOOKUP($G22,FACTORY_LOOKUP!$A:$G,2,0),""))</f>
      </c>
      <c r="L22" s="25">
        <f>IF($G22="9999","",IFERROR(VLOOKUP($G22,FACTORY_LOOKUP!$A:$G,3,0),""))</f>
      </c>
      <c r="M22" s="25">
        <f>IF($G22="9999","",IFERROR(VLOOKUP($G22,FACTORY_LOOKUP!$A:$G,4,0),""))</f>
      </c>
      <c r="N22" s="25">
        <f>IF($G22="9999","",IFERROR(VLOOKUP($G22,FACTORY_LOOKUP!$A:$G,5,0),""))</f>
      </c>
      <c r="O22" s="25">
        <f>IF($G22="9999","",IFERROR(VLOOKUP($G22,FACTORY_LOOKUP!$A:$G,6,0),""))</f>
      </c>
      <c r="P22" s="25">
        <f>IF($G22="9999","",IFERROR(VLOOKUP($G22,FACTORY_LOOKUP!$A:$G,7,0),""))</f>
      </c>
    </row>
    <row r="23" spans="1:17" x14ac:dyDescent="0.25">
      <c r="B23" s="24"/>
      <c r="C23" s="24"/>
      <c r="D23" t="s">
        <v>95</v>
      </c>
      <c r="E23" t="s">
        <v>96</v>
      </c>
      <c r="F23" t="s">
        <v>47</v>
      </c>
      <c r="G23" t="s">
        <v>97</v>
      </c>
      <c r="H23" t="s">
        <v>98</v>
      </c>
      <c r="I23" t="s">
        <v>99</v>
      </c>
      <c r="J23" t="s">
        <v>100</v>
      </c>
      <c r="K23" s="25">
        <f>IF($G23="9999","Dummy Factory",IFERROR(VLOOKUP($G23,FACTORY_LOOKUP!$A:$G,2,0),""))</f>
      </c>
      <c r="L23" s="25">
        <f>IF($G23="9999","",IFERROR(VLOOKUP($G23,FACTORY_LOOKUP!$A:$G,3,0),""))</f>
      </c>
      <c r="M23" s="25">
        <f>IF($G23="9999","",IFERROR(VLOOKUP($G23,FACTORY_LOOKUP!$A:$G,4,0),""))</f>
      </c>
      <c r="N23" s="25">
        <f>IF($G23="9999","",IFERROR(VLOOKUP($G23,FACTORY_LOOKUP!$A:$G,5,0),""))</f>
      </c>
      <c r="O23" s="25">
        <f>IF($G23="9999","",IFERROR(VLOOKUP($G23,FACTORY_LOOKUP!$A:$G,6,0),""))</f>
      </c>
      <c r="P23" s="25">
        <f>IF($G23="9999","",IFERROR(VLOOKUP($G23,FACTORY_LOOKUP!$A:$G,7,0),""))</f>
      </c>
    </row>
    <row r="24" spans="1:17" x14ac:dyDescent="0.25">
      <c r="B24" s="24"/>
      <c r="C24" s="24"/>
      <c r="D24" t="s">
        <v>95</v>
      </c>
      <c r="E24" t="s">
        <v>96</v>
      </c>
      <c r="F24" t="s">
        <v>47</v>
      </c>
      <c r="G24" t="s">
        <v>97</v>
      </c>
      <c r="H24" t="s">
        <v>98</v>
      </c>
      <c r="I24" t="s">
        <v>99</v>
      </c>
      <c r="J24" t="s">
        <v>100</v>
      </c>
      <c r="K24" s="25">
        <f>IF($G24="9999","Dummy Factory",IFERROR(VLOOKUP($G24,FACTORY_LOOKUP!$A:$G,2,0),""))</f>
      </c>
      <c r="L24" s="25">
        <f>IF($G24="9999","",IFERROR(VLOOKUP($G24,FACTORY_LOOKUP!$A:$G,3,0),""))</f>
      </c>
      <c r="M24" s="25">
        <f>IF($G24="9999","",IFERROR(VLOOKUP($G24,FACTORY_LOOKUP!$A:$G,4,0),""))</f>
      </c>
      <c r="N24" s="25">
        <f>IF($G24="9999","",IFERROR(VLOOKUP($G24,FACTORY_LOOKUP!$A:$G,5,0),""))</f>
      </c>
      <c r="O24" s="25">
        <f>IF($G24="9999","",IFERROR(VLOOKUP($G24,FACTORY_LOOKUP!$A:$G,6,0),""))</f>
      </c>
      <c r="P24" s="25">
        <f>IF($G24="9999","",IFERROR(VLOOKUP($G24,FACTORY_LOOKUP!$A:$G,7,0),""))</f>
      </c>
    </row>
    <row r="25" spans="1:17" x14ac:dyDescent="0.25">
      <c r="B25" s="24"/>
      <c r="C25" s="24"/>
      <c r="D25" t="s">
        <v>95</v>
      </c>
      <c r="E25" t="s">
        <v>96</v>
      </c>
      <c r="F25" t="s">
        <v>47</v>
      </c>
      <c r="G25" t="s">
        <v>97</v>
      </c>
      <c r="H25" t="s">
        <v>98</v>
      </c>
      <c r="I25" t="s">
        <v>99</v>
      </c>
      <c r="J25" t="s">
        <v>100</v>
      </c>
      <c r="K25" s="25">
        <f>IF($G25="9999","Dummy Factory",IFERROR(VLOOKUP($G25,FACTORY_LOOKUP!$A:$G,2,0),""))</f>
      </c>
      <c r="L25" s="25">
        <f>IF($G25="9999","",IFERROR(VLOOKUP($G25,FACTORY_LOOKUP!$A:$G,3,0),""))</f>
      </c>
      <c r="M25" s="25">
        <f>IF($G25="9999","",IFERROR(VLOOKUP($G25,FACTORY_LOOKUP!$A:$G,4,0),""))</f>
      </c>
      <c r="N25" s="25">
        <f>IF($G25="9999","",IFERROR(VLOOKUP($G25,FACTORY_LOOKUP!$A:$G,5,0),""))</f>
      </c>
      <c r="O25" s="25">
        <f>IF($G25="9999","",IFERROR(VLOOKUP($G25,FACTORY_LOOKUP!$A:$G,6,0),""))</f>
      </c>
      <c r="P25" s="25">
        <f>IF($G25="9999","",IFERROR(VLOOKUP($G25,FACTORY_LOOKUP!$A:$G,7,0),""))</f>
      </c>
    </row>
    <row r="26" spans="1:17" x14ac:dyDescent="0.25">
      <c r="B26" s="24"/>
      <c r="C26" s="24"/>
      <c r="D26" t="s">
        <v>95</v>
      </c>
      <c r="E26" t="s">
        <v>96</v>
      </c>
      <c r="F26" t="s">
        <v>47</v>
      </c>
      <c r="G26" t="s">
        <v>97</v>
      </c>
      <c r="H26" t="s">
        <v>98</v>
      </c>
      <c r="I26" t="s">
        <v>99</v>
      </c>
      <c r="J26" t="s">
        <v>100</v>
      </c>
      <c r="K26" s="25">
        <f>IF($G26="9999","Dummy Factory",IFERROR(VLOOKUP($G26,FACTORY_LOOKUP!$A:$G,2,0),""))</f>
      </c>
      <c r="L26" s="25">
        <f>IF($G26="9999","",IFERROR(VLOOKUP($G26,FACTORY_LOOKUP!$A:$G,3,0),""))</f>
      </c>
      <c r="M26" s="25">
        <f>IF($G26="9999","",IFERROR(VLOOKUP($G26,FACTORY_LOOKUP!$A:$G,4,0),""))</f>
      </c>
      <c r="N26" s="25">
        <f>IF($G26="9999","",IFERROR(VLOOKUP($G26,FACTORY_LOOKUP!$A:$G,5,0),""))</f>
      </c>
      <c r="O26" s="25">
        <f>IF($G26="9999","",IFERROR(VLOOKUP($G26,FACTORY_LOOKUP!$A:$G,6,0),""))</f>
      </c>
      <c r="P26" s="25">
        <f>IF($G26="9999","",IFERROR(VLOOKUP($G26,FACTORY_LOOKUP!$A:$G,7,0),""))</f>
      </c>
    </row>
    <row r="27" spans="1:17" x14ac:dyDescent="0.25">
      <c r="B27" s="24"/>
      <c r="C27" s="24"/>
      <c r="D27" t="s">
        <v>95</v>
      </c>
      <c r="E27" t="s">
        <v>96</v>
      </c>
      <c r="F27" t="s">
        <v>47</v>
      </c>
      <c r="G27" t="s">
        <v>97</v>
      </c>
      <c r="H27" t="s">
        <v>98</v>
      </c>
      <c r="I27" t="s">
        <v>99</v>
      </c>
      <c r="J27" t="s">
        <v>100</v>
      </c>
      <c r="K27" s="25">
        <f>IF($G27="9999","Dummy Factory",IFERROR(VLOOKUP($G27,FACTORY_LOOKUP!$A:$G,2,0),""))</f>
      </c>
      <c r="L27" s="25">
        <f>IF($G27="9999","",IFERROR(VLOOKUP($G27,FACTORY_LOOKUP!$A:$G,3,0),""))</f>
      </c>
      <c r="M27" s="25">
        <f>IF($G27="9999","",IFERROR(VLOOKUP($G27,FACTORY_LOOKUP!$A:$G,4,0),""))</f>
      </c>
      <c r="N27" s="25">
        <f>IF($G27="9999","",IFERROR(VLOOKUP($G27,FACTORY_LOOKUP!$A:$G,5,0),""))</f>
      </c>
      <c r="O27" s="25">
        <f>IF($G27="9999","",IFERROR(VLOOKUP($G27,FACTORY_LOOKUP!$A:$G,6,0),""))</f>
      </c>
      <c r="P27" s="25">
        <f>IF($G27="9999","",IFERROR(VLOOKUP($G27,FACTORY_LOOKUP!$A:$G,7,0),""))</f>
      </c>
    </row>
    <row r="28" spans="1:17" x14ac:dyDescent="0.25">
      <c r="B28" s="24"/>
      <c r="C28" s="24"/>
      <c r="D28" t="s">
        <v>95</v>
      </c>
      <c r="E28" t="s">
        <v>96</v>
      </c>
      <c r="F28" t="s">
        <v>47</v>
      </c>
      <c r="G28" t="s">
        <v>97</v>
      </c>
      <c r="H28" t="s">
        <v>98</v>
      </c>
      <c r="I28" t="s">
        <v>99</v>
      </c>
      <c r="J28" t="s">
        <v>100</v>
      </c>
      <c r="K28" s="25">
        <f>IF($G28="9999","Dummy Factory",IFERROR(VLOOKUP($G28,FACTORY_LOOKUP!$A:$G,2,0),""))</f>
      </c>
      <c r="L28" s="25">
        <f>IF($G28="9999","",IFERROR(VLOOKUP($G28,FACTORY_LOOKUP!$A:$G,3,0),""))</f>
      </c>
      <c r="M28" s="25">
        <f>IF($G28="9999","",IFERROR(VLOOKUP($G28,FACTORY_LOOKUP!$A:$G,4,0),""))</f>
      </c>
      <c r="N28" s="25">
        <f>IF($G28="9999","",IFERROR(VLOOKUP($G28,FACTORY_LOOKUP!$A:$G,5,0),""))</f>
      </c>
      <c r="O28" s="25">
        <f>IF($G28="9999","",IFERROR(VLOOKUP($G28,FACTORY_LOOKUP!$A:$G,6,0),""))</f>
      </c>
      <c r="P28" s="25">
        <f>IF($G28="9999","",IFERROR(VLOOKUP($G28,FACTORY_LOOKUP!$A:$G,7,0),""))</f>
      </c>
    </row>
    <row r="29" spans="1:17" x14ac:dyDescent="0.25">
      <c r="B29" s="24"/>
      <c r="C29" s="24"/>
      <c r="D29" t="s">
        <v>95</v>
      </c>
      <c r="E29" t="s">
        <v>96</v>
      </c>
      <c r="F29" t="s">
        <v>47</v>
      </c>
      <c r="G29" t="s">
        <v>97</v>
      </c>
      <c r="H29" t="s">
        <v>98</v>
      </c>
      <c r="I29" t="s">
        <v>99</v>
      </c>
      <c r="J29" t="s">
        <v>100</v>
      </c>
      <c r="K29" s="25">
        <f>IF($G29="9999","Dummy Factory",IFERROR(VLOOKUP($G29,FACTORY_LOOKUP!$A:$G,2,0),""))</f>
      </c>
      <c r="L29" s="25">
        <f>IF($G29="9999","",IFERROR(VLOOKUP($G29,FACTORY_LOOKUP!$A:$G,3,0),""))</f>
      </c>
      <c r="M29" s="25">
        <f>IF($G29="9999","",IFERROR(VLOOKUP($G29,FACTORY_LOOKUP!$A:$G,4,0),""))</f>
      </c>
      <c r="N29" s="25">
        <f>IF($G29="9999","",IFERROR(VLOOKUP($G29,FACTORY_LOOKUP!$A:$G,5,0),""))</f>
      </c>
      <c r="O29" s="25">
        <f>IF($G29="9999","",IFERROR(VLOOKUP($G29,FACTORY_LOOKUP!$A:$G,6,0),""))</f>
      </c>
      <c r="P29" s="25">
        <f>IF($G29="9999","",IFERROR(VLOOKUP($G29,FACTORY_LOOKUP!$A:$G,7,0),""))</f>
      </c>
    </row>
    <row r="30" spans="1:17" x14ac:dyDescent="0.25">
      <c r="B30" s="24"/>
      <c r="C30" s="24"/>
      <c r="D30" t="s">
        <v>95</v>
      </c>
      <c r="E30" t="s">
        <v>96</v>
      </c>
      <c r="F30" t="s">
        <v>47</v>
      </c>
      <c r="G30" t="s">
        <v>97</v>
      </c>
      <c r="H30" t="s">
        <v>98</v>
      </c>
      <c r="I30" t="s">
        <v>99</v>
      </c>
      <c r="J30" t="s">
        <v>100</v>
      </c>
      <c r="K30" s="25">
        <f>IF($G30="9999","Dummy Factory",IFERROR(VLOOKUP($G30,FACTORY_LOOKUP!$A:$G,2,0),""))</f>
      </c>
      <c r="L30" s="25">
        <f>IF($G30="9999","",IFERROR(VLOOKUP($G30,FACTORY_LOOKUP!$A:$G,3,0),""))</f>
      </c>
      <c r="M30" s="25">
        <f>IF($G30="9999","",IFERROR(VLOOKUP($G30,FACTORY_LOOKUP!$A:$G,4,0),""))</f>
      </c>
      <c r="N30" s="25">
        <f>IF($G30="9999","",IFERROR(VLOOKUP($G30,FACTORY_LOOKUP!$A:$G,5,0),""))</f>
      </c>
      <c r="O30" s="25">
        <f>IF($G30="9999","",IFERROR(VLOOKUP($G30,FACTORY_LOOKUP!$A:$G,6,0),""))</f>
      </c>
      <c r="P30" s="25">
        <f>IF($G30="9999","",IFERROR(VLOOKUP($G30,FACTORY_LOOKUP!$A:$G,7,0),""))</f>
      </c>
    </row>
    <row r="31" spans="1:17" x14ac:dyDescent="0.25">
      <c r="B31" s="24"/>
      <c r="C31" s="24"/>
      <c r="D31" t="s">
        <v>95</v>
      </c>
      <c r="E31" t="s">
        <v>96</v>
      </c>
      <c r="F31" t="s">
        <v>47</v>
      </c>
      <c r="G31" t="s">
        <v>97</v>
      </c>
      <c r="H31" t="s">
        <v>98</v>
      </c>
      <c r="I31" t="s">
        <v>99</v>
      </c>
      <c r="J31" t="s">
        <v>100</v>
      </c>
      <c r="K31" s="25">
        <f>IF($G31="9999","Dummy Factory",IFERROR(VLOOKUP($G31,FACTORY_LOOKUP!$A:$G,2,0),""))</f>
      </c>
      <c r="L31" s="25">
        <f>IF($G31="9999","",IFERROR(VLOOKUP($G31,FACTORY_LOOKUP!$A:$G,3,0),""))</f>
      </c>
      <c r="M31" s="25">
        <f>IF($G31="9999","",IFERROR(VLOOKUP($G31,FACTORY_LOOKUP!$A:$G,4,0),""))</f>
      </c>
      <c r="N31" s="25">
        <f>IF($G31="9999","",IFERROR(VLOOKUP($G31,FACTORY_LOOKUP!$A:$G,5,0),""))</f>
      </c>
      <c r="O31" s="25">
        <f>IF($G31="9999","",IFERROR(VLOOKUP($G31,FACTORY_LOOKUP!$A:$G,6,0),""))</f>
      </c>
      <c r="P31" s="25">
        <f>IF($G31="9999","",IFERROR(VLOOKUP($G31,FACTORY_LOOKUP!$A:$G,7,0),""))</f>
      </c>
    </row>
    <row r="32" spans="1:17" x14ac:dyDescent="0.25">
      <c r="B32" s="24"/>
      <c r="C32" s="24"/>
      <c r="D32" t="s">
        <v>95</v>
      </c>
      <c r="E32" t="s">
        <v>96</v>
      </c>
      <c r="F32" t="s">
        <v>47</v>
      </c>
      <c r="G32" t="s">
        <v>97</v>
      </c>
      <c r="H32" t="s">
        <v>98</v>
      </c>
      <c r="I32" t="s">
        <v>99</v>
      </c>
      <c r="J32" t="s">
        <v>100</v>
      </c>
      <c r="K32" s="25">
        <f>IF($G32="9999","Dummy Factory",IFERROR(VLOOKUP($G32,FACTORY_LOOKUP!$A:$G,2,0),""))</f>
      </c>
      <c r="L32" s="25">
        <f>IF($G32="9999","",IFERROR(VLOOKUP($G32,FACTORY_LOOKUP!$A:$G,3,0),""))</f>
      </c>
      <c r="M32" s="25">
        <f>IF($G32="9999","",IFERROR(VLOOKUP($G32,FACTORY_LOOKUP!$A:$G,4,0),""))</f>
      </c>
      <c r="N32" s="25">
        <f>IF($G32="9999","",IFERROR(VLOOKUP($G32,FACTORY_LOOKUP!$A:$G,5,0),""))</f>
      </c>
      <c r="O32" s="25">
        <f>IF($G32="9999","",IFERROR(VLOOKUP($G32,FACTORY_LOOKUP!$A:$G,6,0),""))</f>
      </c>
      <c r="P32" s="25">
        <f>IF($G32="9999","",IFERROR(VLOOKUP($G32,FACTORY_LOOKUP!$A:$G,7,0),""))</f>
      </c>
    </row>
    <row r="33" spans="1:17" x14ac:dyDescent="0.25">
      <c r="B33" s="24"/>
      <c r="C33" s="24"/>
      <c r="D33" t="s">
        <v>95</v>
      </c>
      <c r="E33" t="s">
        <v>96</v>
      </c>
      <c r="F33" t="s">
        <v>47</v>
      </c>
      <c r="G33" t="s">
        <v>97</v>
      </c>
      <c r="H33" t="s">
        <v>98</v>
      </c>
      <c r="I33" t="s">
        <v>99</v>
      </c>
      <c r="J33" t="s">
        <v>100</v>
      </c>
      <c r="K33" s="25">
        <f>IF($G33="9999","Dummy Factory",IFERROR(VLOOKUP($G33,FACTORY_LOOKUP!$A:$G,2,0),""))</f>
      </c>
      <c r="L33" s="25">
        <f>IF($G33="9999","",IFERROR(VLOOKUP($G33,FACTORY_LOOKUP!$A:$G,3,0),""))</f>
      </c>
      <c r="M33" s="25">
        <f>IF($G33="9999","",IFERROR(VLOOKUP($G33,FACTORY_LOOKUP!$A:$G,4,0),""))</f>
      </c>
      <c r="N33" s="25">
        <f>IF($G33="9999","",IFERROR(VLOOKUP($G33,FACTORY_LOOKUP!$A:$G,5,0),""))</f>
      </c>
      <c r="O33" s="25">
        <f>IF($G33="9999","",IFERROR(VLOOKUP($G33,FACTORY_LOOKUP!$A:$G,6,0),""))</f>
      </c>
      <c r="P33" s="25">
        <f>IF($G33="9999","",IFERROR(VLOOKUP($G33,FACTORY_LOOKUP!$A:$G,7,0),""))</f>
      </c>
    </row>
    <row r="34" spans="1:17" x14ac:dyDescent="0.25">
      <c r="B34" s="24"/>
      <c r="C34" s="24"/>
      <c r="D34" t="s">
        <v>95</v>
      </c>
      <c r="E34" t="s">
        <v>96</v>
      </c>
      <c r="F34" t="s">
        <v>47</v>
      </c>
      <c r="G34" t="s">
        <v>97</v>
      </c>
      <c r="H34" t="s">
        <v>98</v>
      </c>
      <c r="I34" t="s">
        <v>99</v>
      </c>
      <c r="J34" t="s">
        <v>100</v>
      </c>
      <c r="K34" s="25">
        <f>IF($G34="9999","Dummy Factory",IFERROR(VLOOKUP($G34,FACTORY_LOOKUP!$A:$G,2,0),""))</f>
      </c>
      <c r="L34" s="25">
        <f>IF($G34="9999","",IFERROR(VLOOKUP($G34,FACTORY_LOOKUP!$A:$G,3,0),""))</f>
      </c>
      <c r="M34" s="25">
        <f>IF($G34="9999","",IFERROR(VLOOKUP($G34,FACTORY_LOOKUP!$A:$G,4,0),""))</f>
      </c>
      <c r="N34" s="25">
        <f>IF($G34="9999","",IFERROR(VLOOKUP($G34,FACTORY_LOOKUP!$A:$G,5,0),""))</f>
      </c>
      <c r="O34" s="25">
        <f>IF($G34="9999","",IFERROR(VLOOKUP($G34,FACTORY_LOOKUP!$A:$G,6,0),""))</f>
      </c>
      <c r="P34" s="25">
        <f>IF($G34="9999","",IFERROR(VLOOKUP($G34,FACTORY_LOOKUP!$A:$G,7,0),""))</f>
      </c>
    </row>
    <row r="35" spans="1:17" x14ac:dyDescent="0.25">
      <c r="B35" s="24"/>
      <c r="C35" s="24"/>
      <c r="D35" t="s">
        <v>95</v>
      </c>
      <c r="E35" t="s">
        <v>96</v>
      </c>
      <c r="F35" t="s">
        <v>47</v>
      </c>
      <c r="G35" t="s">
        <v>97</v>
      </c>
      <c r="H35" t="s">
        <v>98</v>
      </c>
      <c r="I35" t="s">
        <v>99</v>
      </c>
      <c r="J35" t="s">
        <v>100</v>
      </c>
      <c r="K35" s="25">
        <f>IF($G35="9999","Dummy Factory",IFERROR(VLOOKUP($G35,FACTORY_LOOKUP!$A:$G,2,0),""))</f>
      </c>
      <c r="L35" s="25">
        <f>IF($G35="9999","",IFERROR(VLOOKUP($G35,FACTORY_LOOKUP!$A:$G,3,0),""))</f>
      </c>
      <c r="M35" s="25">
        <f>IF($G35="9999","",IFERROR(VLOOKUP($G35,FACTORY_LOOKUP!$A:$G,4,0),""))</f>
      </c>
      <c r="N35" s="25">
        <f>IF($G35="9999","",IFERROR(VLOOKUP($G35,FACTORY_LOOKUP!$A:$G,5,0),""))</f>
      </c>
      <c r="O35" s="25">
        <f>IF($G35="9999","",IFERROR(VLOOKUP($G35,FACTORY_LOOKUP!$A:$G,6,0),""))</f>
      </c>
      <c r="P35" s="25">
        <f>IF($G35="9999","",IFERROR(VLOOKUP($G35,FACTORY_LOOKUP!$A:$G,7,0),""))</f>
      </c>
    </row>
    <row r="36" spans="1:17" x14ac:dyDescent="0.25">
      <c r="B36" s="24"/>
      <c r="C36" s="24"/>
      <c r="D36" t="s">
        <v>95</v>
      </c>
      <c r="E36" t="s">
        <v>96</v>
      </c>
      <c r="F36" t="s">
        <v>47</v>
      </c>
      <c r="G36" t="s">
        <v>97</v>
      </c>
      <c r="H36" t="s">
        <v>98</v>
      </c>
      <c r="I36" t="s">
        <v>99</v>
      </c>
      <c r="J36" t="s">
        <v>100</v>
      </c>
      <c r="K36" s="25">
        <f>IF($G36="9999","Dummy Factory",IFERROR(VLOOKUP($G36,FACTORY_LOOKUP!$A:$G,2,0),""))</f>
      </c>
      <c r="L36" s="25">
        <f>IF($G36="9999","",IFERROR(VLOOKUP($G36,FACTORY_LOOKUP!$A:$G,3,0),""))</f>
      </c>
      <c r="M36" s="25">
        <f>IF($G36="9999","",IFERROR(VLOOKUP($G36,FACTORY_LOOKUP!$A:$G,4,0),""))</f>
      </c>
      <c r="N36" s="25">
        <f>IF($G36="9999","",IFERROR(VLOOKUP($G36,FACTORY_LOOKUP!$A:$G,5,0),""))</f>
      </c>
      <c r="O36" s="25">
        <f>IF($G36="9999","",IFERROR(VLOOKUP($G36,FACTORY_LOOKUP!$A:$G,6,0),""))</f>
      </c>
      <c r="P36" s="25">
        <f>IF($G36="9999","",IFERROR(VLOOKUP($G36,FACTORY_LOOKUP!$A:$G,7,0),""))</f>
      </c>
    </row>
    <row r="37" spans="1:17" x14ac:dyDescent="0.25">
      <c r="B37" s="24"/>
      <c r="C37" s="24"/>
      <c r="D37" t="s">
        <v>95</v>
      </c>
      <c r="E37" t="s">
        <v>96</v>
      </c>
      <c r="F37" t="s">
        <v>47</v>
      </c>
      <c r="G37" t="s">
        <v>97</v>
      </c>
      <c r="H37" t="s">
        <v>98</v>
      </c>
      <c r="I37" t="s">
        <v>99</v>
      </c>
      <c r="J37" t="s">
        <v>100</v>
      </c>
      <c r="K37" s="25">
        <f>IF($G37="9999","Dummy Factory",IFERROR(VLOOKUP($G37,FACTORY_LOOKUP!$A:$G,2,0),""))</f>
      </c>
      <c r="L37" s="25">
        <f>IF($G37="9999","",IFERROR(VLOOKUP($G37,FACTORY_LOOKUP!$A:$G,3,0),""))</f>
      </c>
      <c r="M37" s="25">
        <f>IF($G37="9999","",IFERROR(VLOOKUP($G37,FACTORY_LOOKUP!$A:$G,4,0),""))</f>
      </c>
      <c r="N37" s="25">
        <f>IF($G37="9999","",IFERROR(VLOOKUP($G37,FACTORY_LOOKUP!$A:$G,5,0),""))</f>
      </c>
      <c r="O37" s="25">
        <f>IF($G37="9999","",IFERROR(VLOOKUP($G37,FACTORY_LOOKUP!$A:$G,6,0),""))</f>
      </c>
      <c r="P37" s="25">
        <f>IF($G37="9999","",IFERROR(VLOOKUP($G37,FACTORY_LOOKUP!$A:$G,7,0),""))</f>
      </c>
    </row>
    <row r="38" spans="1:17" x14ac:dyDescent="0.25">
      <c r="B38" s="24"/>
      <c r="C38" s="24"/>
      <c r="D38" t="s">
        <v>95</v>
      </c>
      <c r="E38" t="s">
        <v>96</v>
      </c>
      <c r="F38" t="s">
        <v>47</v>
      </c>
      <c r="G38" t="s">
        <v>97</v>
      </c>
      <c r="H38" t="s">
        <v>98</v>
      </c>
      <c r="I38" t="s">
        <v>99</v>
      </c>
      <c r="J38" t="s">
        <v>100</v>
      </c>
      <c r="K38" s="25">
        <f>IF($G38="9999","Dummy Factory",IFERROR(VLOOKUP($G38,FACTORY_LOOKUP!$A:$G,2,0),""))</f>
      </c>
      <c r="L38" s="25">
        <f>IF($G38="9999","",IFERROR(VLOOKUP($G38,FACTORY_LOOKUP!$A:$G,3,0),""))</f>
      </c>
      <c r="M38" s="25">
        <f>IF($G38="9999","",IFERROR(VLOOKUP($G38,FACTORY_LOOKUP!$A:$G,4,0),""))</f>
      </c>
      <c r="N38" s="25">
        <f>IF($G38="9999","",IFERROR(VLOOKUP($G38,FACTORY_LOOKUP!$A:$G,5,0),""))</f>
      </c>
      <c r="O38" s="25">
        <f>IF($G38="9999","",IFERROR(VLOOKUP($G38,FACTORY_LOOKUP!$A:$G,6,0),""))</f>
      </c>
      <c r="P38" s="25">
        <f>IF($G38="9999","",IFERROR(VLOOKUP($G38,FACTORY_LOOKUP!$A:$G,7,0),""))</f>
      </c>
    </row>
    <row r="39" spans="1:17" x14ac:dyDescent="0.25">
      <c r="B39" s="24"/>
      <c r="C39" s="24"/>
      <c r="D39" t="s">
        <v>95</v>
      </c>
      <c r="E39" t="s">
        <v>96</v>
      </c>
      <c r="F39" t="s">
        <v>47</v>
      </c>
      <c r="G39" t="s">
        <v>97</v>
      </c>
      <c r="H39" t="s">
        <v>98</v>
      </c>
      <c r="I39" t="s">
        <v>99</v>
      </c>
      <c r="J39" t="s">
        <v>100</v>
      </c>
      <c r="K39" s="25">
        <f>IF($G39="9999","Dummy Factory",IFERROR(VLOOKUP($G39,FACTORY_LOOKUP!$A:$G,2,0),""))</f>
      </c>
      <c r="L39" s="25">
        <f>IF($G39="9999","",IFERROR(VLOOKUP($G39,FACTORY_LOOKUP!$A:$G,3,0),""))</f>
      </c>
      <c r="M39" s="25">
        <f>IF($G39="9999","",IFERROR(VLOOKUP($G39,FACTORY_LOOKUP!$A:$G,4,0),""))</f>
      </c>
      <c r="N39" s="25">
        <f>IF($G39="9999","",IFERROR(VLOOKUP($G39,FACTORY_LOOKUP!$A:$G,5,0),""))</f>
      </c>
      <c r="O39" s="25">
        <f>IF($G39="9999","",IFERROR(VLOOKUP($G39,FACTORY_LOOKUP!$A:$G,6,0),""))</f>
      </c>
      <c r="P39" s="25">
        <f>IF($G39="9999","",IFERROR(VLOOKUP($G39,FACTORY_LOOKUP!$A:$G,7,0),""))</f>
      </c>
    </row>
    <row r="40" spans="1:17" x14ac:dyDescent="0.25">
      <c r="B40" s="24"/>
      <c r="C40" s="24"/>
      <c r="D40" t="s">
        <v>95</v>
      </c>
      <c r="E40" t="s">
        <v>96</v>
      </c>
      <c r="F40" t="s">
        <v>47</v>
      </c>
      <c r="G40" t="s">
        <v>97</v>
      </c>
      <c r="H40" t="s">
        <v>98</v>
      </c>
      <c r="I40" t="s">
        <v>99</v>
      </c>
      <c r="J40" t="s">
        <v>100</v>
      </c>
      <c r="K40" s="25">
        <f>IF($G40="9999","Dummy Factory",IFERROR(VLOOKUP($G40,FACTORY_LOOKUP!$A:$G,2,0),""))</f>
      </c>
      <c r="L40" s="25">
        <f>IF($G40="9999","",IFERROR(VLOOKUP($G40,FACTORY_LOOKUP!$A:$G,3,0),""))</f>
      </c>
      <c r="M40" s="25">
        <f>IF($G40="9999","",IFERROR(VLOOKUP($G40,FACTORY_LOOKUP!$A:$G,4,0),""))</f>
      </c>
      <c r="N40" s="25">
        <f>IF($G40="9999","",IFERROR(VLOOKUP($G40,FACTORY_LOOKUP!$A:$G,5,0),""))</f>
      </c>
      <c r="O40" s="25">
        <f>IF($G40="9999","",IFERROR(VLOOKUP($G40,FACTORY_LOOKUP!$A:$G,6,0),""))</f>
      </c>
      <c r="P40" s="25">
        <f>IF($G40="9999","",IFERROR(VLOOKUP($G40,FACTORY_LOOKUP!$A:$G,7,0),""))</f>
      </c>
    </row>
    <row r="41" spans="1:17" x14ac:dyDescent="0.25">
      <c r="B41" s="24"/>
      <c r="C41" s="24"/>
      <c r="D41" t="s">
        <v>95</v>
      </c>
      <c r="E41" t="s">
        <v>96</v>
      </c>
      <c r="F41" t="s">
        <v>47</v>
      </c>
      <c r="G41" t="s">
        <v>97</v>
      </c>
      <c r="H41" t="s">
        <v>98</v>
      </c>
      <c r="I41" t="s">
        <v>99</v>
      </c>
      <c r="J41" t="s">
        <v>100</v>
      </c>
      <c r="K41" s="25">
        <f>IF($G41="9999","Dummy Factory",IFERROR(VLOOKUP($G41,FACTORY_LOOKUP!$A:$G,2,0),""))</f>
      </c>
      <c r="L41" s="25">
        <f>IF($G41="9999","",IFERROR(VLOOKUP($G41,FACTORY_LOOKUP!$A:$G,3,0),""))</f>
      </c>
      <c r="M41" s="25">
        <f>IF($G41="9999","",IFERROR(VLOOKUP($G41,FACTORY_LOOKUP!$A:$G,4,0),""))</f>
      </c>
      <c r="N41" s="25">
        <f>IF($G41="9999","",IFERROR(VLOOKUP($G41,FACTORY_LOOKUP!$A:$G,5,0),""))</f>
      </c>
      <c r="O41" s="25">
        <f>IF($G41="9999","",IFERROR(VLOOKUP($G41,FACTORY_LOOKUP!$A:$G,6,0),""))</f>
      </c>
      <c r="P41" s="25">
        <f>IF($G41="9999","",IFERROR(VLOOKUP($G41,FACTORY_LOOKUP!$A:$G,7,0),""))</f>
      </c>
    </row>
    <row r="42" spans="1:17" x14ac:dyDescent="0.25">
      <c r="B42" s="24"/>
      <c r="C42" s="24"/>
      <c r="D42" t="s">
        <v>95</v>
      </c>
      <c r="E42" t="s">
        <v>96</v>
      </c>
      <c r="F42" t="s">
        <v>47</v>
      </c>
      <c r="G42" t="s">
        <v>97</v>
      </c>
      <c r="H42" t="s">
        <v>98</v>
      </c>
      <c r="I42" t="s">
        <v>99</v>
      </c>
      <c r="J42" t="s">
        <v>100</v>
      </c>
      <c r="K42" s="25">
        <f>IF($G42="9999","Dummy Factory",IFERROR(VLOOKUP($G42,FACTORY_LOOKUP!$A:$G,2,0),""))</f>
      </c>
      <c r="L42" s="25">
        <f>IF($G42="9999","",IFERROR(VLOOKUP($G42,FACTORY_LOOKUP!$A:$G,3,0),""))</f>
      </c>
      <c r="M42" s="25">
        <f>IF($G42="9999","",IFERROR(VLOOKUP($G42,FACTORY_LOOKUP!$A:$G,4,0),""))</f>
      </c>
      <c r="N42" s="25">
        <f>IF($G42="9999","",IFERROR(VLOOKUP($G42,FACTORY_LOOKUP!$A:$G,5,0),""))</f>
      </c>
      <c r="O42" s="25">
        <f>IF($G42="9999","",IFERROR(VLOOKUP($G42,FACTORY_LOOKUP!$A:$G,6,0),""))</f>
      </c>
      <c r="P42" s="25">
        <f>IF($G42="9999","",IFERROR(VLOOKUP($G42,FACTORY_LOOKUP!$A:$G,7,0),""))</f>
      </c>
    </row>
    <row r="43" spans="1:17" x14ac:dyDescent="0.25">
      <c r="B43" s="24"/>
      <c r="C43" s="24"/>
      <c r="D43" t="s">
        <v>95</v>
      </c>
      <c r="E43" t="s">
        <v>96</v>
      </c>
      <c r="F43" t="s">
        <v>47</v>
      </c>
      <c r="G43" t="s">
        <v>97</v>
      </c>
      <c r="H43" t="s">
        <v>98</v>
      </c>
      <c r="I43" t="s">
        <v>99</v>
      </c>
      <c r="J43" t="s">
        <v>100</v>
      </c>
      <c r="K43" s="25">
        <f>IF($G43="9999","Dummy Factory",IFERROR(VLOOKUP($G43,FACTORY_LOOKUP!$A:$G,2,0),""))</f>
      </c>
      <c r="L43" s="25">
        <f>IF($G43="9999","",IFERROR(VLOOKUP($G43,FACTORY_LOOKUP!$A:$G,3,0),""))</f>
      </c>
      <c r="M43" s="25">
        <f>IF($G43="9999","",IFERROR(VLOOKUP($G43,FACTORY_LOOKUP!$A:$G,4,0),""))</f>
      </c>
      <c r="N43" s="25">
        <f>IF($G43="9999","",IFERROR(VLOOKUP($G43,FACTORY_LOOKUP!$A:$G,5,0),""))</f>
      </c>
      <c r="O43" s="25">
        <f>IF($G43="9999","",IFERROR(VLOOKUP($G43,FACTORY_LOOKUP!$A:$G,6,0),""))</f>
      </c>
      <c r="P43" s="25">
        <f>IF($G43="9999","",IFERROR(VLOOKUP($G43,FACTORY_LOOKUP!$A:$G,7,0),""))</f>
      </c>
    </row>
    <row r="44" spans="1:17" x14ac:dyDescent="0.25">
      <c r="B44" s="24"/>
      <c r="C44" s="24"/>
      <c r="D44" t="s">
        <v>95</v>
      </c>
      <c r="E44" t="s">
        <v>96</v>
      </c>
      <c r="F44" t="s">
        <v>47</v>
      </c>
      <c r="G44" t="s">
        <v>97</v>
      </c>
      <c r="H44" t="s">
        <v>98</v>
      </c>
      <c r="I44" t="s">
        <v>99</v>
      </c>
      <c r="J44" t="s">
        <v>100</v>
      </c>
      <c r="K44" s="25">
        <f>IF($G44="9999","Dummy Factory",IFERROR(VLOOKUP($G44,FACTORY_LOOKUP!$A:$G,2,0),""))</f>
      </c>
      <c r="L44" s="25">
        <f>IF($G44="9999","",IFERROR(VLOOKUP($G44,FACTORY_LOOKUP!$A:$G,3,0),""))</f>
      </c>
      <c r="M44" s="25">
        <f>IF($G44="9999","",IFERROR(VLOOKUP($G44,FACTORY_LOOKUP!$A:$G,4,0),""))</f>
      </c>
      <c r="N44" s="25">
        <f>IF($G44="9999","",IFERROR(VLOOKUP($G44,FACTORY_LOOKUP!$A:$G,5,0),""))</f>
      </c>
      <c r="O44" s="25">
        <f>IF($G44="9999","",IFERROR(VLOOKUP($G44,FACTORY_LOOKUP!$A:$G,6,0),""))</f>
      </c>
      <c r="P44" s="25">
        <f>IF($G44="9999","",IFERROR(VLOOKUP($G44,FACTORY_LOOKUP!$A:$G,7,0),""))</f>
      </c>
    </row>
    <row r="45" spans="1:17" x14ac:dyDescent="0.25">
      <c r="B45" s="24"/>
      <c r="C45" s="24"/>
      <c r="D45" t="s">
        <v>95</v>
      </c>
      <c r="E45" t="s">
        <v>96</v>
      </c>
      <c r="F45" t="s">
        <v>47</v>
      </c>
      <c r="G45" t="s">
        <v>97</v>
      </c>
      <c r="H45" t="s">
        <v>98</v>
      </c>
      <c r="I45" t="s">
        <v>99</v>
      </c>
      <c r="J45" t="s">
        <v>100</v>
      </c>
      <c r="K45" s="25">
        <f>IF($G45="9999","Dummy Factory",IFERROR(VLOOKUP($G45,FACTORY_LOOKUP!$A:$G,2,0),""))</f>
      </c>
      <c r="L45" s="25">
        <f>IF($G45="9999","",IFERROR(VLOOKUP($G45,FACTORY_LOOKUP!$A:$G,3,0),""))</f>
      </c>
      <c r="M45" s="25">
        <f>IF($G45="9999","",IFERROR(VLOOKUP($G45,FACTORY_LOOKUP!$A:$G,4,0),""))</f>
      </c>
      <c r="N45" s="25">
        <f>IF($G45="9999","",IFERROR(VLOOKUP($G45,FACTORY_LOOKUP!$A:$G,5,0),""))</f>
      </c>
      <c r="O45" s="25">
        <f>IF($G45="9999","",IFERROR(VLOOKUP($G45,FACTORY_LOOKUP!$A:$G,6,0),""))</f>
      </c>
      <c r="P45" s="25">
        <f>IF($G45="9999","",IFERROR(VLOOKUP($G45,FACTORY_LOOKUP!$A:$G,7,0),""))</f>
      </c>
    </row>
    <row r="46" spans="1:17" x14ac:dyDescent="0.25">
      <c r="B46" s="24"/>
      <c r="C46" s="24"/>
      <c r="D46" t="s">
        <v>95</v>
      </c>
      <c r="E46" t="s">
        <v>96</v>
      </c>
      <c r="F46" t="s">
        <v>47</v>
      </c>
      <c r="G46" t="s">
        <v>97</v>
      </c>
      <c r="H46" t="s">
        <v>98</v>
      </c>
      <c r="I46" t="s">
        <v>99</v>
      </c>
      <c r="J46" t="s">
        <v>100</v>
      </c>
      <c r="K46" s="25">
        <f>IF($G46="9999","Dummy Factory",IFERROR(VLOOKUP($G46,FACTORY_LOOKUP!$A:$G,2,0),""))</f>
      </c>
      <c r="L46" s="25">
        <f>IF($G46="9999","",IFERROR(VLOOKUP($G46,FACTORY_LOOKUP!$A:$G,3,0),""))</f>
      </c>
      <c r="M46" s="25">
        <f>IF($G46="9999","",IFERROR(VLOOKUP($G46,FACTORY_LOOKUP!$A:$G,4,0),""))</f>
      </c>
      <c r="N46" s="25">
        <f>IF($G46="9999","",IFERROR(VLOOKUP($G46,FACTORY_LOOKUP!$A:$G,5,0),""))</f>
      </c>
      <c r="O46" s="25">
        <f>IF($G46="9999","",IFERROR(VLOOKUP($G46,FACTORY_LOOKUP!$A:$G,6,0),""))</f>
      </c>
      <c r="P46" s="25">
        <f>IF($G46="9999","",IFERROR(VLOOKUP($G46,FACTORY_LOOKUP!$A:$G,7,0),""))</f>
      </c>
    </row>
    <row r="47" spans="1:17" x14ac:dyDescent="0.25">
      <c r="B47" s="24"/>
      <c r="C47" s="24"/>
      <c r="D47" t="s">
        <v>95</v>
      </c>
      <c r="E47" t="s">
        <v>96</v>
      </c>
      <c r="F47" t="s">
        <v>47</v>
      </c>
      <c r="G47" t="s">
        <v>97</v>
      </c>
      <c r="H47" t="s">
        <v>98</v>
      </c>
      <c r="I47" t="s">
        <v>99</v>
      </c>
      <c r="J47" t="s">
        <v>100</v>
      </c>
      <c r="K47" s="25">
        <f>IF($G47="9999","Dummy Factory",IFERROR(VLOOKUP($G47,FACTORY_LOOKUP!$A:$G,2,0),""))</f>
      </c>
      <c r="L47" s="25">
        <f>IF($G47="9999","",IFERROR(VLOOKUP($G47,FACTORY_LOOKUP!$A:$G,3,0),""))</f>
      </c>
      <c r="M47" s="25">
        <f>IF($G47="9999","",IFERROR(VLOOKUP($G47,FACTORY_LOOKUP!$A:$G,4,0),""))</f>
      </c>
      <c r="N47" s="25">
        <f>IF($G47="9999","",IFERROR(VLOOKUP($G47,FACTORY_LOOKUP!$A:$G,5,0),""))</f>
      </c>
      <c r="O47" s="25">
        <f>IF($G47="9999","",IFERROR(VLOOKUP($G47,FACTORY_LOOKUP!$A:$G,6,0),""))</f>
      </c>
      <c r="P47" s="25">
        <f>IF($G47="9999","",IFERROR(VLOOKUP($G47,FACTORY_LOOKUP!$A:$G,7,0),""))</f>
      </c>
    </row>
    <row r="48" spans="1:17" x14ac:dyDescent="0.25">
      <c r="B48" s="24"/>
      <c r="C48" s="24"/>
      <c r="D48" t="s">
        <v>95</v>
      </c>
      <c r="E48" t="s">
        <v>96</v>
      </c>
      <c r="F48" t="s">
        <v>47</v>
      </c>
      <c r="G48" t="s">
        <v>97</v>
      </c>
      <c r="H48" t="s">
        <v>98</v>
      </c>
      <c r="I48" t="s">
        <v>99</v>
      </c>
      <c r="J48" t="s">
        <v>100</v>
      </c>
      <c r="K48" s="25">
        <f>IF($G48="9999","Dummy Factory",IFERROR(VLOOKUP($G48,FACTORY_LOOKUP!$A:$G,2,0),""))</f>
      </c>
      <c r="L48" s="25">
        <f>IF($G48="9999","",IFERROR(VLOOKUP($G48,FACTORY_LOOKUP!$A:$G,3,0),""))</f>
      </c>
      <c r="M48" s="25">
        <f>IF($G48="9999","",IFERROR(VLOOKUP($G48,FACTORY_LOOKUP!$A:$G,4,0),""))</f>
      </c>
      <c r="N48" s="25">
        <f>IF($G48="9999","",IFERROR(VLOOKUP($G48,FACTORY_LOOKUP!$A:$G,5,0),""))</f>
      </c>
      <c r="O48" s="25">
        <f>IF($G48="9999","",IFERROR(VLOOKUP($G48,FACTORY_LOOKUP!$A:$G,6,0),""))</f>
      </c>
      <c r="P48" s="25">
        <f>IF($G48="9999","",IFERROR(VLOOKUP($G48,FACTORY_LOOKUP!$A:$G,7,0),""))</f>
      </c>
    </row>
    <row r="49" spans="1:17" x14ac:dyDescent="0.25">
      <c r="B49" s="24"/>
      <c r="C49" s="24"/>
      <c r="D49" t="s">
        <v>95</v>
      </c>
      <c r="E49" t="s">
        <v>96</v>
      </c>
      <c r="F49" t="s">
        <v>47</v>
      </c>
      <c r="G49" t="s">
        <v>97</v>
      </c>
      <c r="H49" t="s">
        <v>98</v>
      </c>
      <c r="I49" t="s">
        <v>99</v>
      </c>
      <c r="J49" t="s">
        <v>100</v>
      </c>
      <c r="K49" s="25">
        <f>IF($G49="9999","Dummy Factory",IFERROR(VLOOKUP($G49,FACTORY_LOOKUP!$A:$G,2,0),""))</f>
      </c>
      <c r="L49" s="25">
        <f>IF($G49="9999","",IFERROR(VLOOKUP($G49,FACTORY_LOOKUP!$A:$G,3,0),""))</f>
      </c>
      <c r="M49" s="25">
        <f>IF($G49="9999","",IFERROR(VLOOKUP($G49,FACTORY_LOOKUP!$A:$G,4,0),""))</f>
      </c>
      <c r="N49" s="25">
        <f>IF($G49="9999","",IFERROR(VLOOKUP($G49,FACTORY_LOOKUP!$A:$G,5,0),""))</f>
      </c>
      <c r="O49" s="25">
        <f>IF($G49="9999","",IFERROR(VLOOKUP($G49,FACTORY_LOOKUP!$A:$G,6,0),""))</f>
      </c>
      <c r="P49" s="25">
        <f>IF($G49="9999","",IFERROR(VLOOKUP($G49,FACTORY_LOOKUP!$A:$G,7,0),""))</f>
      </c>
    </row>
    <row r="50" spans="1:17" x14ac:dyDescent="0.25">
      <c r="B50" s="24"/>
      <c r="C50" s="24"/>
      <c r="D50" t="s">
        <v>95</v>
      </c>
      <c r="E50" t="s">
        <v>96</v>
      </c>
      <c r="F50" t="s">
        <v>47</v>
      </c>
      <c r="G50" t="s">
        <v>97</v>
      </c>
      <c r="H50" t="s">
        <v>98</v>
      </c>
      <c r="I50" t="s">
        <v>99</v>
      </c>
      <c r="J50" t="s">
        <v>100</v>
      </c>
      <c r="K50" s="25">
        <f>IF($G50="9999","Dummy Factory",IFERROR(VLOOKUP($G50,FACTORY_LOOKUP!$A:$G,2,0),""))</f>
      </c>
      <c r="L50" s="25">
        <f>IF($G50="9999","",IFERROR(VLOOKUP($G50,FACTORY_LOOKUP!$A:$G,3,0),""))</f>
      </c>
      <c r="M50" s="25">
        <f>IF($G50="9999","",IFERROR(VLOOKUP($G50,FACTORY_LOOKUP!$A:$G,4,0),""))</f>
      </c>
      <c r="N50" s="25">
        <f>IF($G50="9999","",IFERROR(VLOOKUP($G50,FACTORY_LOOKUP!$A:$G,5,0),""))</f>
      </c>
      <c r="O50" s="25">
        <f>IF($G50="9999","",IFERROR(VLOOKUP($G50,FACTORY_LOOKUP!$A:$G,6,0),""))</f>
      </c>
      <c r="P50" s="25">
        <f>IF($G50="9999","",IFERROR(VLOOKUP($G50,FACTORY_LOOKUP!$A:$G,7,0),""))</f>
      </c>
    </row>
    <row r="51" spans="1:17" x14ac:dyDescent="0.25">
      <c r="B51" s="24"/>
      <c r="C51" s="24"/>
      <c r="D51" t="s">
        <v>95</v>
      </c>
      <c r="E51" t="s">
        <v>96</v>
      </c>
      <c r="F51" t="s">
        <v>47</v>
      </c>
      <c r="G51" t="s">
        <v>97</v>
      </c>
      <c r="H51" t="s">
        <v>98</v>
      </c>
      <c r="I51" t="s">
        <v>99</v>
      </c>
      <c r="J51" t="s">
        <v>100</v>
      </c>
      <c r="K51" s="25">
        <f>IF($G51="9999","Dummy Factory",IFERROR(VLOOKUP($G51,FACTORY_LOOKUP!$A:$G,2,0),""))</f>
      </c>
      <c r="L51" s="25">
        <f>IF($G51="9999","",IFERROR(VLOOKUP($G51,FACTORY_LOOKUP!$A:$G,3,0),""))</f>
      </c>
      <c r="M51" s="25">
        <f>IF($G51="9999","",IFERROR(VLOOKUP($G51,FACTORY_LOOKUP!$A:$G,4,0),""))</f>
      </c>
      <c r="N51" s="25">
        <f>IF($G51="9999","",IFERROR(VLOOKUP($G51,FACTORY_LOOKUP!$A:$G,5,0),""))</f>
      </c>
      <c r="O51" s="25">
        <f>IF($G51="9999","",IFERROR(VLOOKUP($G51,FACTORY_LOOKUP!$A:$G,6,0),""))</f>
      </c>
      <c r="P51" s="25">
        <f>IF($G51="9999","",IFERROR(VLOOKUP($G51,FACTORY_LOOKUP!$A:$G,7,0),""))</f>
      </c>
    </row>
    <row r="52" spans="1:17" x14ac:dyDescent="0.25">
      <c r="B52" s="24"/>
      <c r="C52" s="24"/>
      <c r="D52" t="s">
        <v>95</v>
      </c>
      <c r="E52" t="s">
        <v>96</v>
      </c>
      <c r="F52" t="s">
        <v>47</v>
      </c>
      <c r="G52" t="s">
        <v>97</v>
      </c>
      <c r="H52" t="s">
        <v>98</v>
      </c>
      <c r="I52" t="s">
        <v>99</v>
      </c>
      <c r="J52" t="s">
        <v>100</v>
      </c>
      <c r="K52" s="25">
        <f>IF($G52="9999","Dummy Factory",IFERROR(VLOOKUP($G52,FACTORY_LOOKUP!$A:$G,2,0),""))</f>
      </c>
      <c r="L52" s="25">
        <f>IF($G52="9999","",IFERROR(VLOOKUP($G52,FACTORY_LOOKUP!$A:$G,3,0),""))</f>
      </c>
      <c r="M52" s="25">
        <f>IF($G52="9999","",IFERROR(VLOOKUP($G52,FACTORY_LOOKUP!$A:$G,4,0),""))</f>
      </c>
      <c r="N52" s="25">
        <f>IF($G52="9999","",IFERROR(VLOOKUP($G52,FACTORY_LOOKUP!$A:$G,5,0),""))</f>
      </c>
      <c r="O52" s="25">
        <f>IF($G52="9999","",IFERROR(VLOOKUP($G52,FACTORY_LOOKUP!$A:$G,6,0),""))</f>
      </c>
      <c r="P52" s="25">
        <f>IF($G52="9999","",IFERROR(VLOOKUP($G52,FACTORY_LOOKUP!$A:$G,7,0),""))</f>
      </c>
    </row>
  </sheetData>
  <conditionalFormatting sqref="A3:A52">
    <cfRule type="expression" dxfId="0" priority="1">
      <formula>AND($A3&lt;&gt;"",COUNTIF('PO Lines'!$A:$A,$A3)=0)</formula>
    </cfRule>
  </conditionalFormatting>
  <dataValidations count="68">
    <dataValidation type="textLength" operator="greaterThan" showErrorMessage="1" errorStyle="stop" errorTitle="Required" error="PO_Number cannot be blank" sqref="A10:A52">
      <formula1>0</formula1>
    </dataValidation>
    <dataValidation type="textLength" operator="greaterThan" showErrorMessage="1" errorStyle="stop" errorTitle="Required" error="PO_Number cannot be blank" sqref="A3:A52">
      <formula1>0</formula1>
    </dataValidation>
    <dataValidation type="date" operator="greaterThan" showInputMessage="1" promptTitle="Date format" prompt="DD/MM/YYYY" showErrorMessage="1" errorStyle="stop" errorTitle="Invalid date" error="Enter a valid date (DD/MM/YYYY)" sqref="B10:C5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B3:C52">
      <formula1>43831</formula1>
    </dataValidation>
    <dataValidation type="list" showErrorMessage="1" errorStyle="stop" errorTitle="Invalid Traffic Mode" error="Select CFS or CY" sqref="D10:D52">
      <formula1>"CFS,CY"</formula1>
    </dataValidation>
    <dataValidation type="list" showErrorMessage="1" errorStyle="stop" errorTitle="Invalid Traffic Mode" error="Select CFS or CY" sqref="D3:D52">
      <formula1>"CFS,CY"</formula1>
    </dataValidation>
    <dataValidation type="list" showErrorMessage="1" errorStyle="stop" errorTitle="Invalid Mode of Transport" error="Select Sea, Air, Road, Rail or Eco" sqref="E10:E52">
      <formula1>"Sea,Air,Road,Rail,Eco"</formula1>
    </dataValidation>
    <dataValidation type="list" showErrorMessage="1" errorStyle="stop" errorTitle="Invalid Mode of Transport" error="Select Sea, Air, Road, Rail or Eco" sqref="E3:E52">
      <formula1>"Sea,Air,Road,Rail,Eco"</formula1>
    </dataValidation>
    <dataValidation type="list" showErrorMessage="1" errorStyle="stop" errorTitle="Invalid Booking Group" error="Select a Booking Group from the list" sqref="F10:F52">
      <formula1>LISTS_LOOKUP!$A$2:$A$28</formula1>
    </dataValidation>
    <dataValidation type="list" showErrorMessage="1" errorStyle="stop" errorTitle="Invalid Booking Group" error="Select a Booking Group from the list" sqref="F3:F52">
      <formula1>LISTS_LOOKUP!$A$2:$A$28</formula1>
    </dataValidation>
    <dataValidation type="list" showErrorMessage="1" errorStyle="stop" errorTitle="Invalid Factory ID" error="Select a Factory ID from the FACTORY_LOOKUP tab" sqref="G10:G52">
      <formula1>FACTORY_LOOKUP!$A$3:$A$100</formula1>
    </dataValidation>
    <dataValidation type="list" showErrorMessage="1" errorStyle="stop" errorTitle="Invalid Factory ID" error="Select a Factory ID from the FACTORY_LOOKUP tab" sqref="G3:G52">
      <formula1>FACTORY_LOOKUP!$A$3:$A$100</formula1>
    </dataValidation>
    <dataValidation type="list" showErrorMessage="1" errorStyle="stop" errorTitle="Invalid Pack Type" error="Select Flat, Bulk Flat or Hanging" sqref="H10:H52">
      <formula1>"Flat,Bulk Flat,Hanging"</formula1>
    </dataValidation>
    <dataValidation type="list" showErrorMessage="1" errorStyle="stop" errorTitle="Invalid Pack Type" error="Select Flat, Bulk Flat or Hanging" sqref="H3:H52">
      <formula1>"Flat,Bulk Flat,Hanging"</formula1>
    </dataValidation>
    <dataValidation type="list" showErrorMessage="1" errorStyle="stop" errorTitle="Invalid Collection Type" error="Select Collection or Delivery" sqref="I10:I52">
      <formula1>"Collection,Delivery"</formula1>
    </dataValidation>
    <dataValidation type="list" showErrorMessage="1" errorStyle="stop" errorTitle="Invalid Collection Type" error="Select Collection or Delivery" sqref="I3:I52">
      <formula1>"Collection,Delivery"</formula1>
    </dataValidation>
    <dataValidation type="list" showErrorMessage="1" errorStyle="stop" errorTitle="Invalid Hazardous" error="Select a hazardous classification" sqref="J10:J52">
      <formula1>"Flammable,Glass - Hazardous,Hazardous,N/A"</formula1>
    </dataValidation>
    <dataValidation type="list" showErrorMessage="1" errorStyle="stop" errorTitle="Invalid Hazardous" error="Select a hazardous classification" sqref="J3:J52">
      <formula1>"Flammable,Glass - Hazardous,Hazardous,N/A"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3">
      <formula1>OR(Q3="",AND(LEN(Q3)=5,MID(Q3,3,1)=":",ISNUMBER(VALUE(LEFT(Q3,2))),ISNUMBER(VALUE(RIGHT(Q3,2))),VALUE(LEFT(Q3,2))&lt;=23,VALUE(RIGHT(Q3,2))&lt;=59))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4">
      <formula1>OR(Q4="",AND(LEN(Q4)=5,MID(Q4,3,1)=":",ISNUMBER(VALUE(LEFT(Q4,2))),ISNUMBER(VALUE(RIGHT(Q4,2))),VALUE(LEFT(Q4,2))&lt;=23,VALUE(RIGHT(Q4,2))&lt;=59))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5">
      <formula1>OR(Q5="",AND(LEN(Q5)=5,MID(Q5,3,1)=":",ISNUMBER(VALUE(LEFT(Q5,2))),ISNUMBER(VALUE(RIGHT(Q5,2))),VALUE(LEFT(Q5,2))&lt;=23,VALUE(RIGHT(Q5,2))&lt;=59))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6">
      <formula1>OR(Q6="",AND(LEN(Q6)=5,MID(Q6,3,1)=":",ISNUMBER(VALUE(LEFT(Q6,2))),ISNUMBER(VALUE(RIGHT(Q6,2))),VALUE(LEFT(Q6,2))&lt;=23,VALUE(RIGHT(Q6,2))&lt;=59))</formula1>
    </dataValidation>
    <dataValidation type="custom" showErrorMessage="1" errorStyle="stop" errorTitle="Invalid Time" error="Enter time as HH:MM (e.g. 09:30) or leave blank" sqref="Q7">
      <formula1>OR(Q7="",AND(LEN(Q7)=5,MID(Q7,3,1)=":",ISNUMBER(VALUE(LEFT(Q7,2))),ISNUMBER(VALUE(RIGHT(Q7,2))),VALUE(LEFT(Q7,2))&lt;=23,VALUE(RIGHT(Q7,2))&lt;=59))</formula1>
    </dataValidation>
    <dataValidation type="custom" showErrorMessage="1" errorStyle="stop" errorTitle="Invalid Time" error="Enter time as HH:MM (e.g. 09:30) or leave blank" sqref="Q8">
      <formula1>OR(Q8="",AND(LEN(Q8)=5,MID(Q8,3,1)=":",ISNUMBER(VALUE(LEFT(Q8,2))),ISNUMBER(VALUE(RIGHT(Q8,2))),VALUE(LEFT(Q8,2))&lt;=23,VALUE(RIGHT(Q8,2))&lt;=59))</formula1>
    </dataValidation>
    <dataValidation type="custom" showErrorMessage="1" errorStyle="stop" errorTitle="Invalid Time" error="Enter time as HH:MM (e.g. 09:30) or leave blank" sqref="Q9">
      <formula1>OR(Q9="",AND(LEN(Q9)=5,MID(Q9,3,1)=":",ISNUMBER(VALUE(LEFT(Q9,2))),ISNUMBER(VALUE(RIGHT(Q9,2))),VALUE(LEFT(Q9,2))&lt;=23,VALUE(RIGHT(Q9,2))&lt;=59))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C2C"/>
  </sheetPr>
  <dimension ref="A1:P2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ht="14" customHeight="1" spans="1:4" x14ac:dyDescent="0.25">
      <c r="A1" s="16" t="s">
        <v>74</v>
      </c>
      <c r="B1" s="17" t="s">
        <v>75</v>
      </c>
      <c r="C1" s="18" t="s">
        <v>76</v>
      </c>
      <c r="D1" s="19" t="s">
        <v>77</v>
      </c>
    </row>
    <row r="2" ht="22" customHeight="1" spans="1:16" x14ac:dyDescent="0.25">
      <c r="A2" s="20" t="s">
        <v>78</v>
      </c>
      <c r="B2" s="20" t="s">
        <v>101</v>
      </c>
      <c r="C2" s="20" t="s">
        <v>102</v>
      </c>
      <c r="D2" s="20" t="s">
        <v>103</v>
      </c>
      <c r="E2" s="20" t="s">
        <v>104</v>
      </c>
      <c r="F2" s="21" t="s">
        <v>22</v>
      </c>
      <c r="G2" s="22" t="s">
        <v>105</v>
      </c>
      <c r="H2" s="22" t="s">
        <v>106</v>
      </c>
      <c r="I2" s="22" t="s">
        <v>107</v>
      </c>
      <c r="J2" s="22" t="s">
        <v>108</v>
      </c>
      <c r="K2" s="22" t="s">
        <v>109</v>
      </c>
      <c r="L2" s="22" t="s">
        <v>110</v>
      </c>
      <c r="M2" s="22" t="s">
        <v>111</v>
      </c>
      <c r="N2" s="23" t="s">
        <v>112</v>
      </c>
      <c r="O2" s="23" t="s">
        <v>113</v>
      </c>
      <c r="P2" s="23" t="s">
        <v>114</v>
      </c>
    </row>
    <row r="3" spans="1:13" x14ac:dyDescent="0.25">
      <c r="E3" s="26"/>
      <c r="F3" t="s">
        <v>27</v>
      </c>
      <c r="G3" s="27">
        <f>IFERROR(VLOOKUP(F3,CARTON_LOOKUP!$A:$E,3,0),"")</f>
      </c>
      <c r="H3" s="27">
        <f>IFERROR(VLOOKUP(F3,CARTON_LOOKUP!$A:$E,4,0),"")</f>
      </c>
      <c r="I3" s="27">
        <f>IFERROR(VLOOKUP(F3,CARTON_LOOKUP!$A:$E,5,0),"")</f>
      </c>
      <c r="J3" s="28">
        <f>IFERROR(VLOOKUP(F3,CARTON_LOOKUP!$A:$E,2,0),"")</f>
      </c>
      <c r="K3" s="28">
        <f>IFERROR(J3*D3,0)</f>
      </c>
      <c r="L3" s="28">
        <f>IFERROR(E3*C3,0)</f>
      </c>
      <c r="M3" s="28">
        <f>IFERROR((G3*H3*I3/1000000)*D3,0)</f>
      </c>
    </row>
    <row r="4" spans="1:13" x14ac:dyDescent="0.25">
      <c r="E4" s="26"/>
      <c r="F4" t="s">
        <v>27</v>
      </c>
      <c r="G4" s="27">
        <f>IFERROR(VLOOKUP(F4,CARTON_LOOKUP!$A:$E,3,0),"")</f>
      </c>
      <c r="H4" s="27">
        <f>IFERROR(VLOOKUP(F4,CARTON_LOOKUP!$A:$E,4,0),"")</f>
      </c>
      <c r="I4" s="27">
        <f>IFERROR(VLOOKUP(F4,CARTON_LOOKUP!$A:$E,5,0),"")</f>
      </c>
      <c r="J4" s="28">
        <f>IFERROR(VLOOKUP(F4,CARTON_LOOKUP!$A:$E,2,0),"")</f>
      </c>
      <c r="K4" s="28">
        <f>IFERROR(J4*D4,0)</f>
      </c>
      <c r="L4" s="28">
        <f>IFERROR(E4*C4,0)</f>
      </c>
      <c r="M4" s="28">
        <f>IFERROR((G4*H4*I4/1000000)*D4,0)</f>
      </c>
    </row>
    <row r="5" spans="1:13" x14ac:dyDescent="0.25">
      <c r="E5" s="26"/>
      <c r="F5" t="s">
        <v>27</v>
      </c>
      <c r="G5" s="27">
        <f>IFERROR(VLOOKUP(F5,CARTON_LOOKUP!$A:$E,3,0),"")</f>
      </c>
      <c r="H5" s="27">
        <f>IFERROR(VLOOKUP(F5,CARTON_LOOKUP!$A:$E,4,0),"")</f>
      </c>
      <c r="I5" s="27">
        <f>IFERROR(VLOOKUP(F5,CARTON_LOOKUP!$A:$E,5,0),"")</f>
      </c>
      <c r="J5" s="28">
        <f>IFERROR(VLOOKUP(F5,CARTON_LOOKUP!$A:$E,2,0),"")</f>
      </c>
      <c r="K5" s="28">
        <f>IFERROR(J5*D5,0)</f>
      </c>
      <c r="L5" s="28">
        <f>IFERROR(E5*C5,0)</f>
      </c>
      <c r="M5" s="28">
        <f>IFERROR((G5*H5*I5/1000000)*D5,0)</f>
      </c>
    </row>
    <row r="6" spans="1:13" x14ac:dyDescent="0.25">
      <c r="E6" s="26"/>
      <c r="F6" t="s">
        <v>27</v>
      </c>
      <c r="G6" s="27">
        <f>IFERROR(VLOOKUP(F6,CARTON_LOOKUP!$A:$E,3,0),"")</f>
      </c>
      <c r="H6" s="27">
        <f>IFERROR(VLOOKUP(F6,CARTON_LOOKUP!$A:$E,4,0),"")</f>
      </c>
      <c r="I6" s="27">
        <f>IFERROR(VLOOKUP(F6,CARTON_LOOKUP!$A:$E,5,0),"")</f>
      </c>
      <c r="J6" s="28">
        <f>IFERROR(VLOOKUP(F6,CARTON_LOOKUP!$A:$E,2,0),"")</f>
      </c>
      <c r="K6" s="28">
        <f>IFERROR(J6*D6,0)</f>
      </c>
      <c r="L6" s="28">
        <f>IFERROR(E6*C6,0)</f>
      </c>
      <c r="M6" s="28">
        <f>IFERROR((G6*H6*I6/1000000)*D6,0)</f>
      </c>
    </row>
    <row r="7" spans="1:13" x14ac:dyDescent="0.25">
      <c r="E7" s="26"/>
      <c r="F7" t="s">
        <v>27</v>
      </c>
      <c r="G7" s="27">
        <f>IFERROR(VLOOKUP(F7,CARTON_LOOKUP!$A:$E,3,0),"")</f>
      </c>
      <c r="H7" s="27">
        <f>IFERROR(VLOOKUP(F7,CARTON_LOOKUP!$A:$E,4,0),"")</f>
      </c>
      <c r="I7" s="27">
        <f>IFERROR(VLOOKUP(F7,CARTON_LOOKUP!$A:$E,5,0),"")</f>
      </c>
      <c r="J7" s="28">
        <f>IFERROR(VLOOKUP(F7,CARTON_LOOKUP!$A:$E,2,0),"")</f>
      </c>
      <c r="K7" s="28">
        <f>IFERROR(J7*D7,0)</f>
      </c>
      <c r="L7" s="28">
        <f>IFERROR(E7*C7,0)</f>
      </c>
      <c r="M7" s="28">
        <f>IFERROR((G7*H7*I7/1000000)*D7,0)</f>
      </c>
    </row>
    <row r="8" spans="1:13" x14ac:dyDescent="0.25">
      <c r="E8" s="26"/>
      <c r="F8" t="s">
        <v>27</v>
      </c>
      <c r="G8" s="27">
        <f>IFERROR(VLOOKUP(F8,CARTON_LOOKUP!$A:$E,3,0),"")</f>
      </c>
      <c r="H8" s="27">
        <f>IFERROR(VLOOKUP(F8,CARTON_LOOKUP!$A:$E,4,0),"")</f>
      </c>
      <c r="I8" s="27">
        <f>IFERROR(VLOOKUP(F8,CARTON_LOOKUP!$A:$E,5,0),"")</f>
      </c>
      <c r="J8" s="28">
        <f>IFERROR(VLOOKUP(F8,CARTON_LOOKUP!$A:$E,2,0),"")</f>
      </c>
      <c r="K8" s="28">
        <f>IFERROR(J8*D8,0)</f>
      </c>
      <c r="L8" s="28">
        <f>IFERROR(E8*C8,0)</f>
      </c>
      <c r="M8" s="28">
        <f>IFERROR((G8*H8*I8/1000000)*D8,0)</f>
      </c>
    </row>
    <row r="9" spans="1:13" x14ac:dyDescent="0.25">
      <c r="E9" s="26"/>
      <c r="F9" t="s">
        <v>27</v>
      </c>
      <c r="G9" s="27">
        <f>IFERROR(VLOOKUP(F9,CARTON_LOOKUP!$A:$E,3,0),"")</f>
      </c>
      <c r="H9" s="27">
        <f>IFERROR(VLOOKUP(F9,CARTON_LOOKUP!$A:$E,4,0),"")</f>
      </c>
      <c r="I9" s="27">
        <f>IFERROR(VLOOKUP(F9,CARTON_LOOKUP!$A:$E,5,0),"")</f>
      </c>
      <c r="J9" s="28">
        <f>IFERROR(VLOOKUP(F9,CARTON_LOOKUP!$A:$E,2,0),"")</f>
      </c>
      <c r="K9" s="28">
        <f>IFERROR(J9*D9,0)</f>
      </c>
      <c r="L9" s="28">
        <f>IFERROR(E9*C9,0)</f>
      </c>
      <c r="M9" s="28">
        <f>IFERROR((G9*H9*I9/1000000)*D9,0)</f>
      </c>
    </row>
    <row r="10" spans="1:13" x14ac:dyDescent="0.25">
      <c r="E10" s="26"/>
      <c r="F10" t="s">
        <v>27</v>
      </c>
      <c r="G10" s="27">
        <f>IFERROR(VLOOKUP(F10,CARTON_LOOKUP!$A:$E,3,0),"")</f>
      </c>
      <c r="H10" s="27">
        <f>IFERROR(VLOOKUP(F10,CARTON_LOOKUP!$A:$E,4,0),"")</f>
      </c>
      <c r="I10" s="27">
        <f>IFERROR(VLOOKUP(F10,CARTON_LOOKUP!$A:$E,5,0),"")</f>
      </c>
      <c r="J10" s="28">
        <f>IFERROR(VLOOKUP(F10,CARTON_LOOKUP!$A:$E,2,0),"")</f>
      </c>
      <c r="K10" s="28">
        <f>IFERROR(J10*D10,0)</f>
      </c>
      <c r="L10" s="28">
        <f>IFERROR(E10*C10,0)</f>
      </c>
      <c r="M10" s="28">
        <f>IFERROR((G10*H10*I10/1000000)*D10,0)</f>
      </c>
    </row>
    <row r="11" spans="1:13" x14ac:dyDescent="0.25">
      <c r="E11" s="26"/>
      <c r="F11" t="s">
        <v>27</v>
      </c>
      <c r="G11" s="27">
        <f>IFERROR(VLOOKUP(F11,CARTON_LOOKUP!$A:$E,3,0),"")</f>
      </c>
      <c r="H11" s="27">
        <f>IFERROR(VLOOKUP(F11,CARTON_LOOKUP!$A:$E,4,0),"")</f>
      </c>
      <c r="I11" s="27">
        <f>IFERROR(VLOOKUP(F11,CARTON_LOOKUP!$A:$E,5,0),"")</f>
      </c>
      <c r="J11" s="28">
        <f>IFERROR(VLOOKUP(F11,CARTON_LOOKUP!$A:$E,2,0),"")</f>
      </c>
      <c r="K11" s="28">
        <f>IFERROR(J11*D11,0)</f>
      </c>
      <c r="L11" s="28">
        <f>IFERROR(E11*C11,0)</f>
      </c>
      <c r="M11" s="28">
        <f>IFERROR((G11*H11*I11/1000000)*D11,0)</f>
      </c>
    </row>
    <row r="12" spans="1:13" x14ac:dyDescent="0.25">
      <c r="E12" s="26"/>
      <c r="F12" t="s">
        <v>27</v>
      </c>
      <c r="G12" s="27">
        <f>IFERROR(VLOOKUP(F12,CARTON_LOOKUP!$A:$E,3,0),"")</f>
      </c>
      <c r="H12" s="27">
        <f>IFERROR(VLOOKUP(F12,CARTON_LOOKUP!$A:$E,4,0),"")</f>
      </c>
      <c r="I12" s="27">
        <f>IFERROR(VLOOKUP(F12,CARTON_LOOKUP!$A:$E,5,0),"")</f>
      </c>
      <c r="J12" s="28">
        <f>IFERROR(VLOOKUP(F12,CARTON_LOOKUP!$A:$E,2,0),"")</f>
      </c>
      <c r="K12" s="28">
        <f>IFERROR(J12*D12,0)</f>
      </c>
      <c r="L12" s="28">
        <f>IFERROR(E12*C12,0)</f>
      </c>
      <c r="M12" s="28">
        <f>IFERROR((G12*H12*I12/1000000)*D12,0)</f>
      </c>
    </row>
    <row r="13" spans="1:13" x14ac:dyDescent="0.25">
      <c r="E13" s="26"/>
      <c r="F13" t="s">
        <v>27</v>
      </c>
      <c r="G13" s="27">
        <f>IFERROR(VLOOKUP(F13,CARTON_LOOKUP!$A:$E,3,0),"")</f>
      </c>
      <c r="H13" s="27">
        <f>IFERROR(VLOOKUP(F13,CARTON_LOOKUP!$A:$E,4,0),"")</f>
      </c>
      <c r="I13" s="27">
        <f>IFERROR(VLOOKUP(F13,CARTON_LOOKUP!$A:$E,5,0),"")</f>
      </c>
      <c r="J13" s="28">
        <f>IFERROR(VLOOKUP(F13,CARTON_LOOKUP!$A:$E,2,0),"")</f>
      </c>
      <c r="K13" s="28">
        <f>IFERROR(J13*D13,0)</f>
      </c>
      <c r="L13" s="28">
        <f>IFERROR(E13*C13,0)</f>
      </c>
      <c r="M13" s="28">
        <f>IFERROR((G13*H13*I13/1000000)*D13,0)</f>
      </c>
    </row>
    <row r="14" spans="1:13" x14ac:dyDescent="0.25">
      <c r="E14" s="26"/>
      <c r="F14" t="s">
        <v>27</v>
      </c>
      <c r="G14" s="27">
        <f>IFERROR(VLOOKUP(F14,CARTON_LOOKUP!$A:$E,3,0),"")</f>
      </c>
      <c r="H14" s="27">
        <f>IFERROR(VLOOKUP(F14,CARTON_LOOKUP!$A:$E,4,0),"")</f>
      </c>
      <c r="I14" s="27">
        <f>IFERROR(VLOOKUP(F14,CARTON_LOOKUP!$A:$E,5,0),"")</f>
      </c>
      <c r="J14" s="28">
        <f>IFERROR(VLOOKUP(F14,CARTON_LOOKUP!$A:$E,2,0),"")</f>
      </c>
      <c r="K14" s="28">
        <f>IFERROR(J14*D14,0)</f>
      </c>
      <c r="L14" s="28">
        <f>IFERROR(E14*C14,0)</f>
      </c>
      <c r="M14" s="28">
        <f>IFERROR((G14*H14*I14/1000000)*D14,0)</f>
      </c>
    </row>
    <row r="15" spans="1:13" x14ac:dyDescent="0.25">
      <c r="E15" s="26"/>
      <c r="F15" t="s">
        <v>27</v>
      </c>
      <c r="G15" s="27">
        <f>IFERROR(VLOOKUP(F15,CARTON_LOOKUP!$A:$E,3,0),"")</f>
      </c>
      <c r="H15" s="27">
        <f>IFERROR(VLOOKUP(F15,CARTON_LOOKUP!$A:$E,4,0),"")</f>
      </c>
      <c r="I15" s="27">
        <f>IFERROR(VLOOKUP(F15,CARTON_LOOKUP!$A:$E,5,0),"")</f>
      </c>
      <c r="J15" s="28">
        <f>IFERROR(VLOOKUP(F15,CARTON_LOOKUP!$A:$E,2,0),"")</f>
      </c>
      <c r="K15" s="28">
        <f>IFERROR(J15*D15,0)</f>
      </c>
      <c r="L15" s="28">
        <f>IFERROR(E15*C15,0)</f>
      </c>
      <c r="M15" s="28">
        <f>IFERROR((G15*H15*I15/1000000)*D15,0)</f>
      </c>
    </row>
    <row r="16" spans="1:13" x14ac:dyDescent="0.25">
      <c r="E16" s="26"/>
      <c r="F16" t="s">
        <v>27</v>
      </c>
      <c r="G16" s="27">
        <f>IFERROR(VLOOKUP(F16,CARTON_LOOKUP!$A:$E,3,0),"")</f>
      </c>
      <c r="H16" s="27">
        <f>IFERROR(VLOOKUP(F16,CARTON_LOOKUP!$A:$E,4,0),"")</f>
      </c>
      <c r="I16" s="27">
        <f>IFERROR(VLOOKUP(F16,CARTON_LOOKUP!$A:$E,5,0),"")</f>
      </c>
      <c r="J16" s="28">
        <f>IFERROR(VLOOKUP(F16,CARTON_LOOKUP!$A:$E,2,0),"")</f>
      </c>
      <c r="K16" s="28">
        <f>IFERROR(J16*D16,0)</f>
      </c>
      <c r="L16" s="28">
        <f>IFERROR(E16*C16,0)</f>
      </c>
      <c r="M16" s="28">
        <f>IFERROR((G16*H16*I16/1000000)*D16,0)</f>
      </c>
    </row>
    <row r="17" spans="1:13" x14ac:dyDescent="0.25">
      <c r="E17" s="26"/>
      <c r="F17" t="s">
        <v>27</v>
      </c>
      <c r="G17" s="27">
        <f>IFERROR(VLOOKUP(F17,CARTON_LOOKUP!$A:$E,3,0),"")</f>
      </c>
      <c r="H17" s="27">
        <f>IFERROR(VLOOKUP(F17,CARTON_LOOKUP!$A:$E,4,0),"")</f>
      </c>
      <c r="I17" s="27">
        <f>IFERROR(VLOOKUP(F17,CARTON_LOOKUP!$A:$E,5,0),"")</f>
      </c>
      <c r="J17" s="28">
        <f>IFERROR(VLOOKUP(F17,CARTON_LOOKUP!$A:$E,2,0),"")</f>
      </c>
      <c r="K17" s="28">
        <f>IFERROR(J17*D17,0)</f>
      </c>
      <c r="L17" s="28">
        <f>IFERROR(E17*C17,0)</f>
      </c>
      <c r="M17" s="28">
        <f>IFERROR((G17*H17*I17/1000000)*D17,0)</f>
      </c>
    </row>
    <row r="18" spans="1:13" x14ac:dyDescent="0.25">
      <c r="E18" s="26"/>
      <c r="F18" t="s">
        <v>27</v>
      </c>
      <c r="G18" s="27">
        <f>IFERROR(VLOOKUP(F18,CARTON_LOOKUP!$A:$E,3,0),"")</f>
      </c>
      <c r="H18" s="27">
        <f>IFERROR(VLOOKUP(F18,CARTON_LOOKUP!$A:$E,4,0),"")</f>
      </c>
      <c r="I18" s="27">
        <f>IFERROR(VLOOKUP(F18,CARTON_LOOKUP!$A:$E,5,0),"")</f>
      </c>
      <c r="J18" s="28">
        <f>IFERROR(VLOOKUP(F18,CARTON_LOOKUP!$A:$E,2,0),"")</f>
      </c>
      <c r="K18" s="28">
        <f>IFERROR(J18*D18,0)</f>
      </c>
      <c r="L18" s="28">
        <f>IFERROR(E18*C18,0)</f>
      </c>
      <c r="M18" s="28">
        <f>IFERROR((G18*H18*I18/1000000)*D18,0)</f>
      </c>
    </row>
    <row r="19" spans="1:13" x14ac:dyDescent="0.25">
      <c r="E19" s="26"/>
      <c r="F19" t="s">
        <v>27</v>
      </c>
      <c r="G19" s="27">
        <f>IFERROR(VLOOKUP(F19,CARTON_LOOKUP!$A:$E,3,0),"")</f>
      </c>
      <c r="H19" s="27">
        <f>IFERROR(VLOOKUP(F19,CARTON_LOOKUP!$A:$E,4,0),"")</f>
      </c>
      <c r="I19" s="27">
        <f>IFERROR(VLOOKUP(F19,CARTON_LOOKUP!$A:$E,5,0),"")</f>
      </c>
      <c r="J19" s="28">
        <f>IFERROR(VLOOKUP(F19,CARTON_LOOKUP!$A:$E,2,0),"")</f>
      </c>
      <c r="K19" s="28">
        <f>IFERROR(J19*D19,0)</f>
      </c>
      <c r="L19" s="28">
        <f>IFERROR(E19*C19,0)</f>
      </c>
      <c r="M19" s="28">
        <f>IFERROR((G19*H19*I19/1000000)*D19,0)</f>
      </c>
    </row>
    <row r="20" spans="1:13" x14ac:dyDescent="0.25">
      <c r="E20" s="26"/>
      <c r="F20" t="s">
        <v>27</v>
      </c>
      <c r="G20" s="27">
        <f>IFERROR(VLOOKUP(F20,CARTON_LOOKUP!$A:$E,3,0),"")</f>
      </c>
      <c r="H20" s="27">
        <f>IFERROR(VLOOKUP(F20,CARTON_LOOKUP!$A:$E,4,0),"")</f>
      </c>
      <c r="I20" s="27">
        <f>IFERROR(VLOOKUP(F20,CARTON_LOOKUP!$A:$E,5,0),"")</f>
      </c>
      <c r="J20" s="28">
        <f>IFERROR(VLOOKUP(F20,CARTON_LOOKUP!$A:$E,2,0),"")</f>
      </c>
      <c r="K20" s="28">
        <f>IFERROR(J20*D20,0)</f>
      </c>
      <c r="L20" s="28">
        <f>IFERROR(E20*C20,0)</f>
      </c>
      <c r="M20" s="28">
        <f>IFERROR((G20*H20*I20/1000000)*D20,0)</f>
      </c>
    </row>
    <row r="21" spans="1:13" x14ac:dyDescent="0.25">
      <c r="E21" s="26"/>
      <c r="F21" t="s">
        <v>27</v>
      </c>
      <c r="G21" s="27">
        <f>IFERROR(VLOOKUP(F21,CARTON_LOOKUP!$A:$E,3,0),"")</f>
      </c>
      <c r="H21" s="27">
        <f>IFERROR(VLOOKUP(F21,CARTON_LOOKUP!$A:$E,4,0),"")</f>
      </c>
      <c r="I21" s="27">
        <f>IFERROR(VLOOKUP(F21,CARTON_LOOKUP!$A:$E,5,0),"")</f>
      </c>
      <c r="J21" s="28">
        <f>IFERROR(VLOOKUP(F21,CARTON_LOOKUP!$A:$E,2,0),"")</f>
      </c>
      <c r="K21" s="28">
        <f>IFERROR(J21*D21,0)</f>
      </c>
      <c r="L21" s="28">
        <f>IFERROR(E21*C21,0)</f>
      </c>
      <c r="M21" s="28">
        <f>IFERROR((G21*H21*I21/1000000)*D21,0)</f>
      </c>
    </row>
    <row r="22" spans="1:13" x14ac:dyDescent="0.25">
      <c r="E22" s="26"/>
      <c r="F22" t="s">
        <v>27</v>
      </c>
      <c r="G22" s="27">
        <f>IFERROR(VLOOKUP(F22,CARTON_LOOKUP!$A:$E,3,0),"")</f>
      </c>
      <c r="H22" s="27">
        <f>IFERROR(VLOOKUP(F22,CARTON_LOOKUP!$A:$E,4,0),"")</f>
      </c>
      <c r="I22" s="27">
        <f>IFERROR(VLOOKUP(F22,CARTON_LOOKUP!$A:$E,5,0),"")</f>
      </c>
      <c r="J22" s="28">
        <f>IFERROR(VLOOKUP(F22,CARTON_LOOKUP!$A:$E,2,0),"")</f>
      </c>
      <c r="K22" s="28">
        <f>IFERROR(J22*D22,0)</f>
      </c>
      <c r="L22" s="28">
        <f>IFERROR(E22*C22,0)</f>
      </c>
      <c r="M22" s="28">
        <f>IFERROR((G22*H22*I22/1000000)*D22,0)</f>
      </c>
    </row>
    <row r="23" spans="1:13" x14ac:dyDescent="0.25">
      <c r="E23" s="26"/>
      <c r="F23" t="s">
        <v>27</v>
      </c>
      <c r="G23" s="27">
        <f>IFERROR(VLOOKUP(F23,CARTON_LOOKUP!$A:$E,3,0),"")</f>
      </c>
      <c r="H23" s="27">
        <f>IFERROR(VLOOKUP(F23,CARTON_LOOKUP!$A:$E,4,0),"")</f>
      </c>
      <c r="I23" s="27">
        <f>IFERROR(VLOOKUP(F23,CARTON_LOOKUP!$A:$E,5,0),"")</f>
      </c>
      <c r="J23" s="28">
        <f>IFERROR(VLOOKUP(F23,CARTON_LOOKUP!$A:$E,2,0),"")</f>
      </c>
      <c r="K23" s="28">
        <f>IFERROR(J23*D23,0)</f>
      </c>
      <c r="L23" s="28">
        <f>IFERROR(E23*C23,0)</f>
      </c>
      <c r="M23" s="28">
        <f>IFERROR((G23*H23*I23/1000000)*D23,0)</f>
      </c>
    </row>
    <row r="24" spans="1:13" x14ac:dyDescent="0.25">
      <c r="E24" s="26"/>
      <c r="F24" t="s">
        <v>27</v>
      </c>
      <c r="G24" s="27">
        <f>IFERROR(VLOOKUP(F24,CARTON_LOOKUP!$A:$E,3,0),"")</f>
      </c>
      <c r="H24" s="27">
        <f>IFERROR(VLOOKUP(F24,CARTON_LOOKUP!$A:$E,4,0),"")</f>
      </c>
      <c r="I24" s="27">
        <f>IFERROR(VLOOKUP(F24,CARTON_LOOKUP!$A:$E,5,0),"")</f>
      </c>
      <c r="J24" s="28">
        <f>IFERROR(VLOOKUP(F24,CARTON_LOOKUP!$A:$E,2,0),"")</f>
      </c>
      <c r="K24" s="28">
        <f>IFERROR(J24*D24,0)</f>
      </c>
      <c r="L24" s="28">
        <f>IFERROR(E24*C24,0)</f>
      </c>
      <c r="M24" s="28">
        <f>IFERROR((G24*H24*I24/1000000)*D24,0)</f>
      </c>
    </row>
    <row r="25" spans="1:13" x14ac:dyDescent="0.25">
      <c r="E25" s="26"/>
      <c r="F25" t="s">
        <v>27</v>
      </c>
      <c r="G25" s="27">
        <f>IFERROR(VLOOKUP(F25,CARTON_LOOKUP!$A:$E,3,0),"")</f>
      </c>
      <c r="H25" s="27">
        <f>IFERROR(VLOOKUP(F25,CARTON_LOOKUP!$A:$E,4,0),"")</f>
      </c>
      <c r="I25" s="27">
        <f>IFERROR(VLOOKUP(F25,CARTON_LOOKUP!$A:$E,5,0),"")</f>
      </c>
      <c r="J25" s="28">
        <f>IFERROR(VLOOKUP(F25,CARTON_LOOKUP!$A:$E,2,0),"")</f>
      </c>
      <c r="K25" s="28">
        <f>IFERROR(J25*D25,0)</f>
      </c>
      <c r="L25" s="28">
        <f>IFERROR(E25*C25,0)</f>
      </c>
      <c r="M25" s="28">
        <f>IFERROR((G25*H25*I25/1000000)*D25,0)</f>
      </c>
    </row>
    <row r="26" spans="1:13" x14ac:dyDescent="0.25">
      <c r="E26" s="26"/>
      <c r="F26" t="s">
        <v>27</v>
      </c>
      <c r="G26" s="27">
        <f>IFERROR(VLOOKUP(F26,CARTON_LOOKUP!$A:$E,3,0),"")</f>
      </c>
      <c r="H26" s="27">
        <f>IFERROR(VLOOKUP(F26,CARTON_LOOKUP!$A:$E,4,0),"")</f>
      </c>
      <c r="I26" s="27">
        <f>IFERROR(VLOOKUP(F26,CARTON_LOOKUP!$A:$E,5,0),"")</f>
      </c>
      <c r="J26" s="28">
        <f>IFERROR(VLOOKUP(F26,CARTON_LOOKUP!$A:$E,2,0),"")</f>
      </c>
      <c r="K26" s="28">
        <f>IFERROR(J26*D26,0)</f>
      </c>
      <c r="L26" s="28">
        <f>IFERROR(E26*C26,0)</f>
      </c>
      <c r="M26" s="28">
        <f>IFERROR((G26*H26*I26/1000000)*D26,0)</f>
      </c>
    </row>
    <row r="27" spans="1:13" x14ac:dyDescent="0.25">
      <c r="E27" s="26"/>
      <c r="F27" t="s">
        <v>27</v>
      </c>
      <c r="G27" s="27">
        <f>IFERROR(VLOOKUP(F27,CARTON_LOOKUP!$A:$E,3,0),"")</f>
      </c>
      <c r="H27" s="27">
        <f>IFERROR(VLOOKUP(F27,CARTON_LOOKUP!$A:$E,4,0),"")</f>
      </c>
      <c r="I27" s="27">
        <f>IFERROR(VLOOKUP(F27,CARTON_LOOKUP!$A:$E,5,0),"")</f>
      </c>
      <c r="J27" s="28">
        <f>IFERROR(VLOOKUP(F27,CARTON_LOOKUP!$A:$E,2,0),"")</f>
      </c>
      <c r="K27" s="28">
        <f>IFERROR(J27*D27,0)</f>
      </c>
      <c r="L27" s="28">
        <f>IFERROR(E27*C27,0)</f>
      </c>
      <c r="M27" s="28">
        <f>IFERROR((G27*H27*I27/1000000)*D27,0)</f>
      </c>
    </row>
    <row r="28" spans="1:13" x14ac:dyDescent="0.25">
      <c r="E28" s="26"/>
      <c r="F28" t="s">
        <v>27</v>
      </c>
      <c r="G28" s="27">
        <f>IFERROR(VLOOKUP(F28,CARTON_LOOKUP!$A:$E,3,0),"")</f>
      </c>
      <c r="H28" s="27">
        <f>IFERROR(VLOOKUP(F28,CARTON_LOOKUP!$A:$E,4,0),"")</f>
      </c>
      <c r="I28" s="27">
        <f>IFERROR(VLOOKUP(F28,CARTON_LOOKUP!$A:$E,5,0),"")</f>
      </c>
      <c r="J28" s="28">
        <f>IFERROR(VLOOKUP(F28,CARTON_LOOKUP!$A:$E,2,0),"")</f>
      </c>
      <c r="K28" s="28">
        <f>IFERROR(J28*D28,0)</f>
      </c>
      <c r="L28" s="28">
        <f>IFERROR(E28*C28,0)</f>
      </c>
      <c r="M28" s="28">
        <f>IFERROR((G28*H28*I28/1000000)*D28,0)</f>
      </c>
    </row>
    <row r="29" spans="1:13" x14ac:dyDescent="0.25">
      <c r="E29" s="26"/>
      <c r="F29" t="s">
        <v>27</v>
      </c>
      <c r="G29" s="27">
        <f>IFERROR(VLOOKUP(F29,CARTON_LOOKUP!$A:$E,3,0),"")</f>
      </c>
      <c r="H29" s="27">
        <f>IFERROR(VLOOKUP(F29,CARTON_LOOKUP!$A:$E,4,0),"")</f>
      </c>
      <c r="I29" s="27">
        <f>IFERROR(VLOOKUP(F29,CARTON_LOOKUP!$A:$E,5,0),"")</f>
      </c>
      <c r="J29" s="28">
        <f>IFERROR(VLOOKUP(F29,CARTON_LOOKUP!$A:$E,2,0),"")</f>
      </c>
      <c r="K29" s="28">
        <f>IFERROR(J29*D29,0)</f>
      </c>
      <c r="L29" s="28">
        <f>IFERROR(E29*C29,0)</f>
      </c>
      <c r="M29" s="28">
        <f>IFERROR((G29*H29*I29/1000000)*D29,0)</f>
      </c>
    </row>
    <row r="30" spans="1:13" x14ac:dyDescent="0.25">
      <c r="E30" s="26"/>
      <c r="F30" t="s">
        <v>27</v>
      </c>
      <c r="G30" s="27">
        <f>IFERROR(VLOOKUP(F30,CARTON_LOOKUP!$A:$E,3,0),"")</f>
      </c>
      <c r="H30" s="27">
        <f>IFERROR(VLOOKUP(F30,CARTON_LOOKUP!$A:$E,4,0),"")</f>
      </c>
      <c r="I30" s="27">
        <f>IFERROR(VLOOKUP(F30,CARTON_LOOKUP!$A:$E,5,0),"")</f>
      </c>
      <c r="J30" s="28">
        <f>IFERROR(VLOOKUP(F30,CARTON_LOOKUP!$A:$E,2,0),"")</f>
      </c>
      <c r="K30" s="28">
        <f>IFERROR(J30*D30,0)</f>
      </c>
      <c r="L30" s="28">
        <f>IFERROR(E30*C30,0)</f>
      </c>
      <c r="M30" s="28">
        <f>IFERROR((G30*H30*I30/1000000)*D30,0)</f>
      </c>
    </row>
    <row r="31" spans="1:13" x14ac:dyDescent="0.25">
      <c r="E31" s="26"/>
      <c r="F31" t="s">
        <v>27</v>
      </c>
      <c r="G31" s="27">
        <f>IFERROR(VLOOKUP(F31,CARTON_LOOKUP!$A:$E,3,0),"")</f>
      </c>
      <c r="H31" s="27">
        <f>IFERROR(VLOOKUP(F31,CARTON_LOOKUP!$A:$E,4,0),"")</f>
      </c>
      <c r="I31" s="27">
        <f>IFERROR(VLOOKUP(F31,CARTON_LOOKUP!$A:$E,5,0),"")</f>
      </c>
      <c r="J31" s="28">
        <f>IFERROR(VLOOKUP(F31,CARTON_LOOKUP!$A:$E,2,0),"")</f>
      </c>
      <c r="K31" s="28">
        <f>IFERROR(J31*D31,0)</f>
      </c>
      <c r="L31" s="28">
        <f>IFERROR(E31*C31,0)</f>
      </c>
      <c r="M31" s="28">
        <f>IFERROR((G31*H31*I31/1000000)*D31,0)</f>
      </c>
    </row>
    <row r="32" spans="1:13" x14ac:dyDescent="0.25">
      <c r="E32" s="26"/>
      <c r="F32" t="s">
        <v>27</v>
      </c>
      <c r="G32" s="27">
        <f>IFERROR(VLOOKUP(F32,CARTON_LOOKUP!$A:$E,3,0),"")</f>
      </c>
      <c r="H32" s="27">
        <f>IFERROR(VLOOKUP(F32,CARTON_LOOKUP!$A:$E,4,0),"")</f>
      </c>
      <c r="I32" s="27">
        <f>IFERROR(VLOOKUP(F32,CARTON_LOOKUP!$A:$E,5,0),"")</f>
      </c>
      <c r="J32" s="28">
        <f>IFERROR(VLOOKUP(F32,CARTON_LOOKUP!$A:$E,2,0),"")</f>
      </c>
      <c r="K32" s="28">
        <f>IFERROR(J32*D32,0)</f>
      </c>
      <c r="L32" s="28">
        <f>IFERROR(E32*C32,0)</f>
      </c>
      <c r="M32" s="28">
        <f>IFERROR((G32*H32*I32/1000000)*D32,0)</f>
      </c>
    </row>
    <row r="33" spans="1:13" x14ac:dyDescent="0.25">
      <c r="E33" s="26"/>
      <c r="F33" t="s">
        <v>27</v>
      </c>
      <c r="G33" s="27">
        <f>IFERROR(VLOOKUP(F33,CARTON_LOOKUP!$A:$E,3,0),"")</f>
      </c>
      <c r="H33" s="27">
        <f>IFERROR(VLOOKUP(F33,CARTON_LOOKUP!$A:$E,4,0),"")</f>
      </c>
      <c r="I33" s="27">
        <f>IFERROR(VLOOKUP(F33,CARTON_LOOKUP!$A:$E,5,0),"")</f>
      </c>
      <c r="J33" s="28">
        <f>IFERROR(VLOOKUP(F33,CARTON_LOOKUP!$A:$E,2,0),"")</f>
      </c>
      <c r="K33" s="28">
        <f>IFERROR(J33*D33,0)</f>
      </c>
      <c r="L33" s="28">
        <f>IFERROR(E33*C33,0)</f>
      </c>
      <c r="M33" s="28">
        <f>IFERROR((G33*H33*I33/1000000)*D33,0)</f>
      </c>
    </row>
    <row r="34" spans="1:13" x14ac:dyDescent="0.25">
      <c r="E34" s="26"/>
      <c r="F34" t="s">
        <v>27</v>
      </c>
      <c r="G34" s="27">
        <f>IFERROR(VLOOKUP(F34,CARTON_LOOKUP!$A:$E,3,0),"")</f>
      </c>
      <c r="H34" s="27">
        <f>IFERROR(VLOOKUP(F34,CARTON_LOOKUP!$A:$E,4,0),"")</f>
      </c>
      <c r="I34" s="27">
        <f>IFERROR(VLOOKUP(F34,CARTON_LOOKUP!$A:$E,5,0),"")</f>
      </c>
      <c r="J34" s="28">
        <f>IFERROR(VLOOKUP(F34,CARTON_LOOKUP!$A:$E,2,0),"")</f>
      </c>
      <c r="K34" s="28">
        <f>IFERROR(J34*D34,0)</f>
      </c>
      <c r="L34" s="28">
        <f>IFERROR(E34*C34,0)</f>
      </c>
      <c r="M34" s="28">
        <f>IFERROR((G34*H34*I34/1000000)*D34,0)</f>
      </c>
    </row>
    <row r="35" spans="1:13" x14ac:dyDescent="0.25">
      <c r="E35" s="26"/>
      <c r="F35" t="s">
        <v>27</v>
      </c>
      <c r="G35" s="27">
        <f>IFERROR(VLOOKUP(F35,CARTON_LOOKUP!$A:$E,3,0),"")</f>
      </c>
      <c r="H35" s="27">
        <f>IFERROR(VLOOKUP(F35,CARTON_LOOKUP!$A:$E,4,0),"")</f>
      </c>
      <c r="I35" s="27">
        <f>IFERROR(VLOOKUP(F35,CARTON_LOOKUP!$A:$E,5,0),"")</f>
      </c>
      <c r="J35" s="28">
        <f>IFERROR(VLOOKUP(F35,CARTON_LOOKUP!$A:$E,2,0),"")</f>
      </c>
      <c r="K35" s="28">
        <f>IFERROR(J35*D35,0)</f>
      </c>
      <c r="L35" s="28">
        <f>IFERROR(E35*C35,0)</f>
      </c>
      <c r="M35" s="28">
        <f>IFERROR((G35*H35*I35/1000000)*D35,0)</f>
      </c>
    </row>
    <row r="36" spans="1:13" x14ac:dyDescent="0.25">
      <c r="E36" s="26"/>
      <c r="F36" t="s">
        <v>27</v>
      </c>
      <c r="G36" s="27">
        <f>IFERROR(VLOOKUP(F36,CARTON_LOOKUP!$A:$E,3,0),"")</f>
      </c>
      <c r="H36" s="27">
        <f>IFERROR(VLOOKUP(F36,CARTON_LOOKUP!$A:$E,4,0),"")</f>
      </c>
      <c r="I36" s="27">
        <f>IFERROR(VLOOKUP(F36,CARTON_LOOKUP!$A:$E,5,0),"")</f>
      </c>
      <c r="J36" s="28">
        <f>IFERROR(VLOOKUP(F36,CARTON_LOOKUP!$A:$E,2,0),"")</f>
      </c>
      <c r="K36" s="28">
        <f>IFERROR(J36*D36,0)</f>
      </c>
      <c r="L36" s="28">
        <f>IFERROR(E36*C36,0)</f>
      </c>
      <c r="M36" s="28">
        <f>IFERROR((G36*H36*I36/1000000)*D36,0)</f>
      </c>
    </row>
    <row r="37" spans="1:13" x14ac:dyDescent="0.25">
      <c r="E37" s="26"/>
      <c r="F37" t="s">
        <v>27</v>
      </c>
      <c r="G37" s="27">
        <f>IFERROR(VLOOKUP(F37,CARTON_LOOKUP!$A:$E,3,0),"")</f>
      </c>
      <c r="H37" s="27">
        <f>IFERROR(VLOOKUP(F37,CARTON_LOOKUP!$A:$E,4,0),"")</f>
      </c>
      <c r="I37" s="27">
        <f>IFERROR(VLOOKUP(F37,CARTON_LOOKUP!$A:$E,5,0),"")</f>
      </c>
      <c r="J37" s="28">
        <f>IFERROR(VLOOKUP(F37,CARTON_LOOKUP!$A:$E,2,0),"")</f>
      </c>
      <c r="K37" s="28">
        <f>IFERROR(J37*D37,0)</f>
      </c>
      <c r="L37" s="28">
        <f>IFERROR(E37*C37,0)</f>
      </c>
      <c r="M37" s="28">
        <f>IFERROR((G37*H37*I37/1000000)*D37,0)</f>
      </c>
    </row>
    <row r="38" spans="1:13" x14ac:dyDescent="0.25">
      <c r="E38" s="26"/>
      <c r="F38" t="s">
        <v>27</v>
      </c>
      <c r="G38" s="27">
        <f>IFERROR(VLOOKUP(F38,CARTON_LOOKUP!$A:$E,3,0),"")</f>
      </c>
      <c r="H38" s="27">
        <f>IFERROR(VLOOKUP(F38,CARTON_LOOKUP!$A:$E,4,0),"")</f>
      </c>
      <c r="I38" s="27">
        <f>IFERROR(VLOOKUP(F38,CARTON_LOOKUP!$A:$E,5,0),"")</f>
      </c>
      <c r="J38" s="28">
        <f>IFERROR(VLOOKUP(F38,CARTON_LOOKUP!$A:$E,2,0),"")</f>
      </c>
      <c r="K38" s="28">
        <f>IFERROR(J38*D38,0)</f>
      </c>
      <c r="L38" s="28">
        <f>IFERROR(E38*C38,0)</f>
      </c>
      <c r="M38" s="28">
        <f>IFERROR((G38*H38*I38/1000000)*D38,0)</f>
      </c>
    </row>
    <row r="39" spans="1:13" x14ac:dyDescent="0.25">
      <c r="E39" s="26"/>
      <c r="F39" t="s">
        <v>27</v>
      </c>
      <c r="G39" s="27">
        <f>IFERROR(VLOOKUP(F39,CARTON_LOOKUP!$A:$E,3,0),"")</f>
      </c>
      <c r="H39" s="27">
        <f>IFERROR(VLOOKUP(F39,CARTON_LOOKUP!$A:$E,4,0),"")</f>
      </c>
      <c r="I39" s="27">
        <f>IFERROR(VLOOKUP(F39,CARTON_LOOKUP!$A:$E,5,0),"")</f>
      </c>
      <c r="J39" s="28">
        <f>IFERROR(VLOOKUP(F39,CARTON_LOOKUP!$A:$E,2,0),"")</f>
      </c>
      <c r="K39" s="28">
        <f>IFERROR(J39*D39,0)</f>
      </c>
      <c r="L39" s="28">
        <f>IFERROR(E39*C39,0)</f>
      </c>
      <c r="M39" s="28">
        <f>IFERROR((G39*H39*I39/1000000)*D39,0)</f>
      </c>
    </row>
    <row r="40" spans="1:13" x14ac:dyDescent="0.25">
      <c r="E40" s="26"/>
      <c r="F40" t="s">
        <v>27</v>
      </c>
      <c r="G40" s="27">
        <f>IFERROR(VLOOKUP(F40,CARTON_LOOKUP!$A:$E,3,0),"")</f>
      </c>
      <c r="H40" s="27">
        <f>IFERROR(VLOOKUP(F40,CARTON_LOOKUP!$A:$E,4,0),"")</f>
      </c>
      <c r="I40" s="27">
        <f>IFERROR(VLOOKUP(F40,CARTON_LOOKUP!$A:$E,5,0),"")</f>
      </c>
      <c r="J40" s="28">
        <f>IFERROR(VLOOKUP(F40,CARTON_LOOKUP!$A:$E,2,0),"")</f>
      </c>
      <c r="K40" s="28">
        <f>IFERROR(J40*D40,0)</f>
      </c>
      <c r="L40" s="28">
        <f>IFERROR(E40*C40,0)</f>
      </c>
      <c r="M40" s="28">
        <f>IFERROR((G40*H40*I40/1000000)*D40,0)</f>
      </c>
    </row>
    <row r="41" spans="1:13" x14ac:dyDescent="0.25">
      <c r="E41" s="26"/>
      <c r="F41" t="s">
        <v>27</v>
      </c>
      <c r="G41" s="27">
        <f>IFERROR(VLOOKUP(F41,CARTON_LOOKUP!$A:$E,3,0),"")</f>
      </c>
      <c r="H41" s="27">
        <f>IFERROR(VLOOKUP(F41,CARTON_LOOKUP!$A:$E,4,0),"")</f>
      </c>
      <c r="I41" s="27">
        <f>IFERROR(VLOOKUP(F41,CARTON_LOOKUP!$A:$E,5,0),"")</f>
      </c>
      <c r="J41" s="28">
        <f>IFERROR(VLOOKUP(F41,CARTON_LOOKUP!$A:$E,2,0),"")</f>
      </c>
      <c r="K41" s="28">
        <f>IFERROR(J41*D41,0)</f>
      </c>
      <c r="L41" s="28">
        <f>IFERROR(E41*C41,0)</f>
      </c>
      <c r="M41" s="28">
        <f>IFERROR((G41*H41*I41/1000000)*D41,0)</f>
      </c>
    </row>
    <row r="42" spans="1:13" x14ac:dyDescent="0.25">
      <c r="E42" s="26"/>
      <c r="F42" t="s">
        <v>27</v>
      </c>
      <c r="G42" s="27">
        <f>IFERROR(VLOOKUP(F42,CARTON_LOOKUP!$A:$E,3,0),"")</f>
      </c>
      <c r="H42" s="27">
        <f>IFERROR(VLOOKUP(F42,CARTON_LOOKUP!$A:$E,4,0),"")</f>
      </c>
      <c r="I42" s="27">
        <f>IFERROR(VLOOKUP(F42,CARTON_LOOKUP!$A:$E,5,0),"")</f>
      </c>
      <c r="J42" s="28">
        <f>IFERROR(VLOOKUP(F42,CARTON_LOOKUP!$A:$E,2,0),"")</f>
      </c>
      <c r="K42" s="28">
        <f>IFERROR(J42*D42,0)</f>
      </c>
      <c r="L42" s="28">
        <f>IFERROR(E42*C42,0)</f>
      </c>
      <c r="M42" s="28">
        <f>IFERROR((G42*H42*I42/1000000)*D42,0)</f>
      </c>
    </row>
    <row r="43" spans="1:13" x14ac:dyDescent="0.25">
      <c r="E43" s="26"/>
      <c r="F43" t="s">
        <v>27</v>
      </c>
      <c r="G43" s="27">
        <f>IFERROR(VLOOKUP(F43,CARTON_LOOKUP!$A:$E,3,0),"")</f>
      </c>
      <c r="H43" s="27">
        <f>IFERROR(VLOOKUP(F43,CARTON_LOOKUP!$A:$E,4,0),"")</f>
      </c>
      <c r="I43" s="27">
        <f>IFERROR(VLOOKUP(F43,CARTON_LOOKUP!$A:$E,5,0),"")</f>
      </c>
      <c r="J43" s="28">
        <f>IFERROR(VLOOKUP(F43,CARTON_LOOKUP!$A:$E,2,0),"")</f>
      </c>
      <c r="K43" s="28">
        <f>IFERROR(J43*D43,0)</f>
      </c>
      <c r="L43" s="28">
        <f>IFERROR(E43*C43,0)</f>
      </c>
      <c r="M43" s="28">
        <f>IFERROR((G43*H43*I43/1000000)*D43,0)</f>
      </c>
    </row>
    <row r="44" spans="1:13" x14ac:dyDescent="0.25">
      <c r="E44" s="26"/>
      <c r="F44" t="s">
        <v>27</v>
      </c>
      <c r="G44" s="27">
        <f>IFERROR(VLOOKUP(F44,CARTON_LOOKUP!$A:$E,3,0),"")</f>
      </c>
      <c r="H44" s="27">
        <f>IFERROR(VLOOKUP(F44,CARTON_LOOKUP!$A:$E,4,0),"")</f>
      </c>
      <c r="I44" s="27">
        <f>IFERROR(VLOOKUP(F44,CARTON_LOOKUP!$A:$E,5,0),"")</f>
      </c>
      <c r="J44" s="28">
        <f>IFERROR(VLOOKUP(F44,CARTON_LOOKUP!$A:$E,2,0),"")</f>
      </c>
      <c r="K44" s="28">
        <f>IFERROR(J44*D44,0)</f>
      </c>
      <c r="L44" s="28">
        <f>IFERROR(E44*C44,0)</f>
      </c>
      <c r="M44" s="28">
        <f>IFERROR((G44*H44*I44/1000000)*D44,0)</f>
      </c>
    </row>
    <row r="45" spans="1:13" x14ac:dyDescent="0.25">
      <c r="E45" s="26"/>
      <c r="F45" t="s">
        <v>27</v>
      </c>
      <c r="G45" s="27">
        <f>IFERROR(VLOOKUP(F45,CARTON_LOOKUP!$A:$E,3,0),"")</f>
      </c>
      <c r="H45" s="27">
        <f>IFERROR(VLOOKUP(F45,CARTON_LOOKUP!$A:$E,4,0),"")</f>
      </c>
      <c r="I45" s="27">
        <f>IFERROR(VLOOKUP(F45,CARTON_LOOKUP!$A:$E,5,0),"")</f>
      </c>
      <c r="J45" s="28">
        <f>IFERROR(VLOOKUP(F45,CARTON_LOOKUP!$A:$E,2,0),"")</f>
      </c>
      <c r="K45" s="28">
        <f>IFERROR(J45*D45,0)</f>
      </c>
      <c r="L45" s="28">
        <f>IFERROR(E45*C45,0)</f>
      </c>
      <c r="M45" s="28">
        <f>IFERROR((G45*H45*I45/1000000)*D45,0)</f>
      </c>
    </row>
    <row r="46" spans="1:13" x14ac:dyDescent="0.25">
      <c r="E46" s="26"/>
      <c r="F46" t="s">
        <v>27</v>
      </c>
      <c r="G46" s="27">
        <f>IFERROR(VLOOKUP(F46,CARTON_LOOKUP!$A:$E,3,0),"")</f>
      </c>
      <c r="H46" s="27">
        <f>IFERROR(VLOOKUP(F46,CARTON_LOOKUP!$A:$E,4,0),"")</f>
      </c>
      <c r="I46" s="27">
        <f>IFERROR(VLOOKUP(F46,CARTON_LOOKUP!$A:$E,5,0),"")</f>
      </c>
      <c r="J46" s="28">
        <f>IFERROR(VLOOKUP(F46,CARTON_LOOKUP!$A:$E,2,0),"")</f>
      </c>
      <c r="K46" s="28">
        <f>IFERROR(J46*D46,0)</f>
      </c>
      <c r="L46" s="28">
        <f>IFERROR(E46*C46,0)</f>
      </c>
      <c r="M46" s="28">
        <f>IFERROR((G46*H46*I46/1000000)*D46,0)</f>
      </c>
    </row>
    <row r="47" spans="1:13" x14ac:dyDescent="0.25">
      <c r="E47" s="26"/>
      <c r="F47" t="s">
        <v>27</v>
      </c>
      <c r="G47" s="27">
        <f>IFERROR(VLOOKUP(F47,CARTON_LOOKUP!$A:$E,3,0),"")</f>
      </c>
      <c r="H47" s="27">
        <f>IFERROR(VLOOKUP(F47,CARTON_LOOKUP!$A:$E,4,0),"")</f>
      </c>
      <c r="I47" s="27">
        <f>IFERROR(VLOOKUP(F47,CARTON_LOOKUP!$A:$E,5,0),"")</f>
      </c>
      <c r="J47" s="28">
        <f>IFERROR(VLOOKUP(F47,CARTON_LOOKUP!$A:$E,2,0),"")</f>
      </c>
      <c r="K47" s="28">
        <f>IFERROR(J47*D47,0)</f>
      </c>
      <c r="L47" s="28">
        <f>IFERROR(E47*C47,0)</f>
      </c>
      <c r="M47" s="28">
        <f>IFERROR((G47*H47*I47/1000000)*D47,0)</f>
      </c>
    </row>
    <row r="48" spans="1:13" x14ac:dyDescent="0.25">
      <c r="E48" s="26"/>
      <c r="F48" t="s">
        <v>27</v>
      </c>
      <c r="G48" s="27">
        <f>IFERROR(VLOOKUP(F48,CARTON_LOOKUP!$A:$E,3,0),"")</f>
      </c>
      <c r="H48" s="27">
        <f>IFERROR(VLOOKUP(F48,CARTON_LOOKUP!$A:$E,4,0),"")</f>
      </c>
      <c r="I48" s="27">
        <f>IFERROR(VLOOKUP(F48,CARTON_LOOKUP!$A:$E,5,0),"")</f>
      </c>
      <c r="J48" s="28">
        <f>IFERROR(VLOOKUP(F48,CARTON_LOOKUP!$A:$E,2,0),"")</f>
      </c>
      <c r="K48" s="28">
        <f>IFERROR(J48*D48,0)</f>
      </c>
      <c r="L48" s="28">
        <f>IFERROR(E48*C48,0)</f>
      </c>
      <c r="M48" s="28">
        <f>IFERROR((G48*H48*I48/1000000)*D48,0)</f>
      </c>
    </row>
    <row r="49" spans="1:13" x14ac:dyDescent="0.25">
      <c r="E49" s="26"/>
      <c r="F49" t="s">
        <v>27</v>
      </c>
      <c r="G49" s="27">
        <f>IFERROR(VLOOKUP(F49,CARTON_LOOKUP!$A:$E,3,0),"")</f>
      </c>
      <c r="H49" s="27">
        <f>IFERROR(VLOOKUP(F49,CARTON_LOOKUP!$A:$E,4,0),"")</f>
      </c>
      <c r="I49" s="27">
        <f>IFERROR(VLOOKUP(F49,CARTON_LOOKUP!$A:$E,5,0),"")</f>
      </c>
      <c r="J49" s="28">
        <f>IFERROR(VLOOKUP(F49,CARTON_LOOKUP!$A:$E,2,0),"")</f>
      </c>
      <c r="K49" s="28">
        <f>IFERROR(J49*D49,0)</f>
      </c>
      <c r="L49" s="28">
        <f>IFERROR(E49*C49,0)</f>
      </c>
      <c r="M49" s="28">
        <f>IFERROR((G49*H49*I49/1000000)*D49,0)</f>
      </c>
    </row>
    <row r="50" spans="1:13" x14ac:dyDescent="0.25">
      <c r="E50" s="26"/>
      <c r="F50" t="s">
        <v>27</v>
      </c>
      <c r="G50" s="27">
        <f>IFERROR(VLOOKUP(F50,CARTON_LOOKUP!$A:$E,3,0),"")</f>
      </c>
      <c r="H50" s="27">
        <f>IFERROR(VLOOKUP(F50,CARTON_LOOKUP!$A:$E,4,0),"")</f>
      </c>
      <c r="I50" s="27">
        <f>IFERROR(VLOOKUP(F50,CARTON_LOOKUP!$A:$E,5,0),"")</f>
      </c>
      <c r="J50" s="28">
        <f>IFERROR(VLOOKUP(F50,CARTON_LOOKUP!$A:$E,2,0),"")</f>
      </c>
      <c r="K50" s="28">
        <f>IFERROR(J50*D50,0)</f>
      </c>
      <c r="L50" s="28">
        <f>IFERROR(E50*C50,0)</f>
      </c>
      <c r="M50" s="28">
        <f>IFERROR((G50*H50*I50/1000000)*D50,0)</f>
      </c>
    </row>
    <row r="51" spans="1:13" x14ac:dyDescent="0.25">
      <c r="E51" s="26"/>
      <c r="F51" t="s">
        <v>27</v>
      </c>
      <c r="G51" s="27">
        <f>IFERROR(VLOOKUP(F51,CARTON_LOOKUP!$A:$E,3,0),"")</f>
      </c>
      <c r="H51" s="27">
        <f>IFERROR(VLOOKUP(F51,CARTON_LOOKUP!$A:$E,4,0),"")</f>
      </c>
      <c r="I51" s="27">
        <f>IFERROR(VLOOKUP(F51,CARTON_LOOKUP!$A:$E,5,0),"")</f>
      </c>
      <c r="J51" s="28">
        <f>IFERROR(VLOOKUP(F51,CARTON_LOOKUP!$A:$E,2,0),"")</f>
      </c>
      <c r="K51" s="28">
        <f>IFERROR(J51*D51,0)</f>
      </c>
      <c r="L51" s="28">
        <f>IFERROR(E51*C51,0)</f>
      </c>
      <c r="M51" s="28">
        <f>IFERROR((G51*H51*I51/1000000)*D51,0)</f>
      </c>
    </row>
    <row r="52" spans="1:13" x14ac:dyDescent="0.25">
      <c r="E52" s="26"/>
      <c r="F52" t="s">
        <v>27</v>
      </c>
      <c r="G52" s="27">
        <f>IFERROR(VLOOKUP(F52,CARTON_LOOKUP!$A:$E,3,0),"")</f>
      </c>
      <c r="H52" s="27">
        <f>IFERROR(VLOOKUP(F52,CARTON_LOOKUP!$A:$E,4,0),"")</f>
      </c>
      <c r="I52" s="27">
        <f>IFERROR(VLOOKUP(F52,CARTON_LOOKUP!$A:$E,5,0),"")</f>
      </c>
      <c r="J52" s="28">
        <f>IFERROR(VLOOKUP(F52,CARTON_LOOKUP!$A:$E,2,0),"")</f>
      </c>
      <c r="K52" s="28">
        <f>IFERROR(J52*D52,0)</f>
      </c>
      <c r="L52" s="28">
        <f>IFERROR(E52*C52,0)</f>
      </c>
      <c r="M52" s="28">
        <f>IFERROR((G52*H52*I52/1000000)*D52,0)</f>
      </c>
    </row>
    <row r="53" spans="1:13" x14ac:dyDescent="0.25">
      <c r="E53" s="26"/>
      <c r="F53" t="s">
        <v>27</v>
      </c>
      <c r="G53" s="27">
        <f>IFERROR(VLOOKUP(F53,CARTON_LOOKUP!$A:$E,3,0),"")</f>
      </c>
      <c r="H53" s="27">
        <f>IFERROR(VLOOKUP(F53,CARTON_LOOKUP!$A:$E,4,0),"")</f>
      </c>
      <c r="I53" s="27">
        <f>IFERROR(VLOOKUP(F53,CARTON_LOOKUP!$A:$E,5,0),"")</f>
      </c>
      <c r="J53" s="28">
        <f>IFERROR(VLOOKUP(F53,CARTON_LOOKUP!$A:$E,2,0),"")</f>
      </c>
      <c r="K53" s="28">
        <f>IFERROR(J53*D53,0)</f>
      </c>
      <c r="L53" s="28">
        <f>IFERROR(E53*C53,0)</f>
      </c>
      <c r="M53" s="28">
        <f>IFERROR((G53*H53*I53/1000000)*D53,0)</f>
      </c>
    </row>
    <row r="54" spans="1:13" x14ac:dyDescent="0.25">
      <c r="E54" s="26"/>
      <c r="F54" t="s">
        <v>27</v>
      </c>
      <c r="G54" s="27">
        <f>IFERROR(VLOOKUP(F54,CARTON_LOOKUP!$A:$E,3,0),"")</f>
      </c>
      <c r="H54" s="27">
        <f>IFERROR(VLOOKUP(F54,CARTON_LOOKUP!$A:$E,4,0),"")</f>
      </c>
      <c r="I54" s="27">
        <f>IFERROR(VLOOKUP(F54,CARTON_LOOKUP!$A:$E,5,0),"")</f>
      </c>
      <c r="J54" s="28">
        <f>IFERROR(VLOOKUP(F54,CARTON_LOOKUP!$A:$E,2,0),"")</f>
      </c>
      <c r="K54" s="28">
        <f>IFERROR(J54*D54,0)</f>
      </c>
      <c r="L54" s="28">
        <f>IFERROR(E54*C54,0)</f>
      </c>
      <c r="M54" s="28">
        <f>IFERROR((G54*H54*I54/1000000)*D54,0)</f>
      </c>
    </row>
    <row r="55" spans="1:13" x14ac:dyDescent="0.25">
      <c r="E55" s="26"/>
      <c r="F55" t="s">
        <v>27</v>
      </c>
      <c r="G55" s="27">
        <f>IFERROR(VLOOKUP(F55,CARTON_LOOKUP!$A:$E,3,0),"")</f>
      </c>
      <c r="H55" s="27">
        <f>IFERROR(VLOOKUP(F55,CARTON_LOOKUP!$A:$E,4,0),"")</f>
      </c>
      <c r="I55" s="27">
        <f>IFERROR(VLOOKUP(F55,CARTON_LOOKUP!$A:$E,5,0),"")</f>
      </c>
      <c r="J55" s="28">
        <f>IFERROR(VLOOKUP(F55,CARTON_LOOKUP!$A:$E,2,0),"")</f>
      </c>
      <c r="K55" s="28">
        <f>IFERROR(J55*D55,0)</f>
      </c>
      <c r="L55" s="28">
        <f>IFERROR(E55*C55,0)</f>
      </c>
      <c r="M55" s="28">
        <f>IFERROR((G55*H55*I55/1000000)*D55,0)</f>
      </c>
    </row>
    <row r="56" spans="1:13" x14ac:dyDescent="0.25">
      <c r="E56" s="26"/>
      <c r="F56" t="s">
        <v>27</v>
      </c>
      <c r="G56" s="27">
        <f>IFERROR(VLOOKUP(F56,CARTON_LOOKUP!$A:$E,3,0),"")</f>
      </c>
      <c r="H56" s="27">
        <f>IFERROR(VLOOKUP(F56,CARTON_LOOKUP!$A:$E,4,0),"")</f>
      </c>
      <c r="I56" s="27">
        <f>IFERROR(VLOOKUP(F56,CARTON_LOOKUP!$A:$E,5,0),"")</f>
      </c>
      <c r="J56" s="28">
        <f>IFERROR(VLOOKUP(F56,CARTON_LOOKUP!$A:$E,2,0),"")</f>
      </c>
      <c r="K56" s="28">
        <f>IFERROR(J56*D56,0)</f>
      </c>
      <c r="L56" s="28">
        <f>IFERROR(E56*C56,0)</f>
      </c>
      <c r="M56" s="28">
        <f>IFERROR((G56*H56*I56/1000000)*D56,0)</f>
      </c>
    </row>
    <row r="57" spans="1:13" x14ac:dyDescent="0.25">
      <c r="E57" s="26"/>
      <c r="F57" t="s">
        <v>27</v>
      </c>
      <c r="G57" s="27">
        <f>IFERROR(VLOOKUP(F57,CARTON_LOOKUP!$A:$E,3,0),"")</f>
      </c>
      <c r="H57" s="27">
        <f>IFERROR(VLOOKUP(F57,CARTON_LOOKUP!$A:$E,4,0),"")</f>
      </c>
      <c r="I57" s="27">
        <f>IFERROR(VLOOKUP(F57,CARTON_LOOKUP!$A:$E,5,0),"")</f>
      </c>
      <c r="J57" s="28">
        <f>IFERROR(VLOOKUP(F57,CARTON_LOOKUP!$A:$E,2,0),"")</f>
      </c>
      <c r="K57" s="28">
        <f>IFERROR(J57*D57,0)</f>
      </c>
      <c r="L57" s="28">
        <f>IFERROR(E57*C57,0)</f>
      </c>
      <c r="M57" s="28">
        <f>IFERROR((G57*H57*I57/1000000)*D57,0)</f>
      </c>
    </row>
    <row r="58" spans="1:13" x14ac:dyDescent="0.25">
      <c r="E58" s="26"/>
      <c r="F58" t="s">
        <v>27</v>
      </c>
      <c r="G58" s="27">
        <f>IFERROR(VLOOKUP(F58,CARTON_LOOKUP!$A:$E,3,0),"")</f>
      </c>
      <c r="H58" s="27">
        <f>IFERROR(VLOOKUP(F58,CARTON_LOOKUP!$A:$E,4,0),"")</f>
      </c>
      <c r="I58" s="27">
        <f>IFERROR(VLOOKUP(F58,CARTON_LOOKUP!$A:$E,5,0),"")</f>
      </c>
      <c r="J58" s="28">
        <f>IFERROR(VLOOKUP(F58,CARTON_LOOKUP!$A:$E,2,0),"")</f>
      </c>
      <c r="K58" s="28">
        <f>IFERROR(J58*D58,0)</f>
      </c>
      <c r="L58" s="28">
        <f>IFERROR(E58*C58,0)</f>
      </c>
      <c r="M58" s="28">
        <f>IFERROR((G58*H58*I58/1000000)*D58,0)</f>
      </c>
    </row>
    <row r="59" spans="1:13" x14ac:dyDescent="0.25">
      <c r="E59" s="26"/>
      <c r="F59" t="s">
        <v>27</v>
      </c>
      <c r="G59" s="27">
        <f>IFERROR(VLOOKUP(F59,CARTON_LOOKUP!$A:$E,3,0),"")</f>
      </c>
      <c r="H59" s="27">
        <f>IFERROR(VLOOKUP(F59,CARTON_LOOKUP!$A:$E,4,0),"")</f>
      </c>
      <c r="I59" s="27">
        <f>IFERROR(VLOOKUP(F59,CARTON_LOOKUP!$A:$E,5,0),"")</f>
      </c>
      <c r="J59" s="28">
        <f>IFERROR(VLOOKUP(F59,CARTON_LOOKUP!$A:$E,2,0),"")</f>
      </c>
      <c r="K59" s="28">
        <f>IFERROR(J59*D59,0)</f>
      </c>
      <c r="L59" s="28">
        <f>IFERROR(E59*C59,0)</f>
      </c>
      <c r="M59" s="28">
        <f>IFERROR((G59*H59*I59/1000000)*D59,0)</f>
      </c>
    </row>
    <row r="60" spans="1:13" x14ac:dyDescent="0.25">
      <c r="E60" s="26"/>
      <c r="F60" t="s">
        <v>27</v>
      </c>
      <c r="G60" s="27">
        <f>IFERROR(VLOOKUP(F60,CARTON_LOOKUP!$A:$E,3,0),"")</f>
      </c>
      <c r="H60" s="27">
        <f>IFERROR(VLOOKUP(F60,CARTON_LOOKUP!$A:$E,4,0),"")</f>
      </c>
      <c r="I60" s="27">
        <f>IFERROR(VLOOKUP(F60,CARTON_LOOKUP!$A:$E,5,0),"")</f>
      </c>
      <c r="J60" s="28">
        <f>IFERROR(VLOOKUP(F60,CARTON_LOOKUP!$A:$E,2,0),"")</f>
      </c>
      <c r="K60" s="28">
        <f>IFERROR(J60*D60,0)</f>
      </c>
      <c r="L60" s="28">
        <f>IFERROR(E60*C60,0)</f>
      </c>
      <c r="M60" s="28">
        <f>IFERROR((G60*H60*I60/1000000)*D60,0)</f>
      </c>
    </row>
    <row r="61" spans="1:13" x14ac:dyDescent="0.25">
      <c r="E61" s="26"/>
      <c r="F61" t="s">
        <v>27</v>
      </c>
      <c r="G61" s="27">
        <f>IFERROR(VLOOKUP(F61,CARTON_LOOKUP!$A:$E,3,0),"")</f>
      </c>
      <c r="H61" s="27">
        <f>IFERROR(VLOOKUP(F61,CARTON_LOOKUP!$A:$E,4,0),"")</f>
      </c>
      <c r="I61" s="27">
        <f>IFERROR(VLOOKUP(F61,CARTON_LOOKUP!$A:$E,5,0),"")</f>
      </c>
      <c r="J61" s="28">
        <f>IFERROR(VLOOKUP(F61,CARTON_LOOKUP!$A:$E,2,0),"")</f>
      </c>
      <c r="K61" s="28">
        <f>IFERROR(J61*D61,0)</f>
      </c>
      <c r="L61" s="28">
        <f>IFERROR(E61*C61,0)</f>
      </c>
      <c r="M61" s="28">
        <f>IFERROR((G61*H61*I61/1000000)*D61,0)</f>
      </c>
    </row>
    <row r="62" spans="1:13" x14ac:dyDescent="0.25">
      <c r="E62" s="26"/>
      <c r="F62" t="s">
        <v>27</v>
      </c>
      <c r="G62" s="27">
        <f>IFERROR(VLOOKUP(F62,CARTON_LOOKUP!$A:$E,3,0),"")</f>
      </c>
      <c r="H62" s="27">
        <f>IFERROR(VLOOKUP(F62,CARTON_LOOKUP!$A:$E,4,0),"")</f>
      </c>
      <c r="I62" s="27">
        <f>IFERROR(VLOOKUP(F62,CARTON_LOOKUP!$A:$E,5,0),"")</f>
      </c>
      <c r="J62" s="28">
        <f>IFERROR(VLOOKUP(F62,CARTON_LOOKUP!$A:$E,2,0),"")</f>
      </c>
      <c r="K62" s="28">
        <f>IFERROR(J62*D62,0)</f>
      </c>
      <c r="L62" s="28">
        <f>IFERROR(E62*C62,0)</f>
      </c>
      <c r="M62" s="28">
        <f>IFERROR((G62*H62*I62/1000000)*D62,0)</f>
      </c>
    </row>
    <row r="63" spans="1:13" x14ac:dyDescent="0.25">
      <c r="E63" s="26"/>
      <c r="F63" t="s">
        <v>27</v>
      </c>
      <c r="G63" s="27">
        <f>IFERROR(VLOOKUP(F63,CARTON_LOOKUP!$A:$E,3,0),"")</f>
      </c>
      <c r="H63" s="27">
        <f>IFERROR(VLOOKUP(F63,CARTON_LOOKUP!$A:$E,4,0),"")</f>
      </c>
      <c r="I63" s="27">
        <f>IFERROR(VLOOKUP(F63,CARTON_LOOKUP!$A:$E,5,0),"")</f>
      </c>
      <c r="J63" s="28">
        <f>IFERROR(VLOOKUP(F63,CARTON_LOOKUP!$A:$E,2,0),"")</f>
      </c>
      <c r="K63" s="28">
        <f>IFERROR(J63*D63,0)</f>
      </c>
      <c r="L63" s="28">
        <f>IFERROR(E63*C63,0)</f>
      </c>
      <c r="M63" s="28">
        <f>IFERROR((G63*H63*I63/1000000)*D63,0)</f>
      </c>
    </row>
    <row r="64" spans="1:13" x14ac:dyDescent="0.25">
      <c r="E64" s="26"/>
      <c r="F64" t="s">
        <v>27</v>
      </c>
      <c r="G64" s="27">
        <f>IFERROR(VLOOKUP(F64,CARTON_LOOKUP!$A:$E,3,0),"")</f>
      </c>
      <c r="H64" s="27">
        <f>IFERROR(VLOOKUP(F64,CARTON_LOOKUP!$A:$E,4,0),"")</f>
      </c>
      <c r="I64" s="27">
        <f>IFERROR(VLOOKUP(F64,CARTON_LOOKUP!$A:$E,5,0),"")</f>
      </c>
      <c r="J64" s="28">
        <f>IFERROR(VLOOKUP(F64,CARTON_LOOKUP!$A:$E,2,0),"")</f>
      </c>
      <c r="K64" s="28">
        <f>IFERROR(J64*D64,0)</f>
      </c>
      <c r="L64" s="28">
        <f>IFERROR(E64*C64,0)</f>
      </c>
      <c r="M64" s="28">
        <f>IFERROR((G64*H64*I64/1000000)*D64,0)</f>
      </c>
    </row>
    <row r="65" spans="1:13" x14ac:dyDescent="0.25">
      <c r="E65" s="26"/>
      <c r="F65" t="s">
        <v>27</v>
      </c>
      <c r="G65" s="27">
        <f>IFERROR(VLOOKUP(F65,CARTON_LOOKUP!$A:$E,3,0),"")</f>
      </c>
      <c r="H65" s="27">
        <f>IFERROR(VLOOKUP(F65,CARTON_LOOKUP!$A:$E,4,0),"")</f>
      </c>
      <c r="I65" s="27">
        <f>IFERROR(VLOOKUP(F65,CARTON_LOOKUP!$A:$E,5,0),"")</f>
      </c>
      <c r="J65" s="28">
        <f>IFERROR(VLOOKUP(F65,CARTON_LOOKUP!$A:$E,2,0),"")</f>
      </c>
      <c r="K65" s="28">
        <f>IFERROR(J65*D65,0)</f>
      </c>
      <c r="L65" s="28">
        <f>IFERROR(E65*C65,0)</f>
      </c>
      <c r="M65" s="28">
        <f>IFERROR((G65*H65*I65/1000000)*D65,0)</f>
      </c>
    </row>
    <row r="66" spans="1:13" x14ac:dyDescent="0.25">
      <c r="E66" s="26"/>
      <c r="F66" t="s">
        <v>27</v>
      </c>
      <c r="G66" s="27">
        <f>IFERROR(VLOOKUP(F66,CARTON_LOOKUP!$A:$E,3,0),"")</f>
      </c>
      <c r="H66" s="27">
        <f>IFERROR(VLOOKUP(F66,CARTON_LOOKUP!$A:$E,4,0),"")</f>
      </c>
      <c r="I66" s="27">
        <f>IFERROR(VLOOKUP(F66,CARTON_LOOKUP!$A:$E,5,0),"")</f>
      </c>
      <c r="J66" s="28">
        <f>IFERROR(VLOOKUP(F66,CARTON_LOOKUP!$A:$E,2,0),"")</f>
      </c>
      <c r="K66" s="28">
        <f>IFERROR(J66*D66,0)</f>
      </c>
      <c r="L66" s="28">
        <f>IFERROR(E66*C66,0)</f>
      </c>
      <c r="M66" s="28">
        <f>IFERROR((G66*H66*I66/1000000)*D66,0)</f>
      </c>
    </row>
    <row r="67" spans="1:13" x14ac:dyDescent="0.25">
      <c r="E67" s="26"/>
      <c r="F67" t="s">
        <v>27</v>
      </c>
      <c r="G67" s="27">
        <f>IFERROR(VLOOKUP(F67,CARTON_LOOKUP!$A:$E,3,0),"")</f>
      </c>
      <c r="H67" s="27">
        <f>IFERROR(VLOOKUP(F67,CARTON_LOOKUP!$A:$E,4,0),"")</f>
      </c>
      <c r="I67" s="27">
        <f>IFERROR(VLOOKUP(F67,CARTON_LOOKUP!$A:$E,5,0),"")</f>
      </c>
      <c r="J67" s="28">
        <f>IFERROR(VLOOKUP(F67,CARTON_LOOKUP!$A:$E,2,0),"")</f>
      </c>
      <c r="K67" s="28">
        <f>IFERROR(J67*D67,0)</f>
      </c>
      <c r="L67" s="28">
        <f>IFERROR(E67*C67,0)</f>
      </c>
      <c r="M67" s="28">
        <f>IFERROR((G67*H67*I67/1000000)*D67,0)</f>
      </c>
    </row>
    <row r="68" spans="1:13" x14ac:dyDescent="0.25">
      <c r="E68" s="26"/>
      <c r="F68" t="s">
        <v>27</v>
      </c>
      <c r="G68" s="27">
        <f>IFERROR(VLOOKUP(F68,CARTON_LOOKUP!$A:$E,3,0),"")</f>
      </c>
      <c r="H68" s="27">
        <f>IFERROR(VLOOKUP(F68,CARTON_LOOKUP!$A:$E,4,0),"")</f>
      </c>
      <c r="I68" s="27">
        <f>IFERROR(VLOOKUP(F68,CARTON_LOOKUP!$A:$E,5,0),"")</f>
      </c>
      <c r="J68" s="28">
        <f>IFERROR(VLOOKUP(F68,CARTON_LOOKUP!$A:$E,2,0),"")</f>
      </c>
      <c r="K68" s="28">
        <f>IFERROR(J68*D68,0)</f>
      </c>
      <c r="L68" s="28">
        <f>IFERROR(E68*C68,0)</f>
      </c>
      <c r="M68" s="28">
        <f>IFERROR((G68*H68*I68/1000000)*D68,0)</f>
      </c>
    </row>
    <row r="69" spans="1:13" x14ac:dyDescent="0.25">
      <c r="E69" s="26"/>
      <c r="F69" t="s">
        <v>27</v>
      </c>
      <c r="G69" s="27">
        <f>IFERROR(VLOOKUP(F69,CARTON_LOOKUP!$A:$E,3,0),"")</f>
      </c>
      <c r="H69" s="27">
        <f>IFERROR(VLOOKUP(F69,CARTON_LOOKUP!$A:$E,4,0),"")</f>
      </c>
      <c r="I69" s="27">
        <f>IFERROR(VLOOKUP(F69,CARTON_LOOKUP!$A:$E,5,0),"")</f>
      </c>
      <c r="J69" s="28">
        <f>IFERROR(VLOOKUP(F69,CARTON_LOOKUP!$A:$E,2,0),"")</f>
      </c>
      <c r="K69" s="28">
        <f>IFERROR(J69*D69,0)</f>
      </c>
      <c r="L69" s="28">
        <f>IFERROR(E69*C69,0)</f>
      </c>
      <c r="M69" s="28">
        <f>IFERROR((G69*H69*I69/1000000)*D69,0)</f>
      </c>
    </row>
    <row r="70" spans="1:13" x14ac:dyDescent="0.25">
      <c r="E70" s="26"/>
      <c r="F70" t="s">
        <v>27</v>
      </c>
      <c r="G70" s="27">
        <f>IFERROR(VLOOKUP(F70,CARTON_LOOKUP!$A:$E,3,0),"")</f>
      </c>
      <c r="H70" s="27">
        <f>IFERROR(VLOOKUP(F70,CARTON_LOOKUP!$A:$E,4,0),"")</f>
      </c>
      <c r="I70" s="27">
        <f>IFERROR(VLOOKUP(F70,CARTON_LOOKUP!$A:$E,5,0),"")</f>
      </c>
      <c r="J70" s="28">
        <f>IFERROR(VLOOKUP(F70,CARTON_LOOKUP!$A:$E,2,0),"")</f>
      </c>
      <c r="K70" s="28">
        <f>IFERROR(J70*D70,0)</f>
      </c>
      <c r="L70" s="28">
        <f>IFERROR(E70*C70,0)</f>
      </c>
      <c r="M70" s="28">
        <f>IFERROR((G70*H70*I70/1000000)*D70,0)</f>
      </c>
    </row>
    <row r="71" spans="1:13" x14ac:dyDescent="0.25">
      <c r="E71" s="26"/>
      <c r="F71" t="s">
        <v>27</v>
      </c>
      <c r="G71" s="27">
        <f>IFERROR(VLOOKUP(F71,CARTON_LOOKUP!$A:$E,3,0),"")</f>
      </c>
      <c r="H71" s="27">
        <f>IFERROR(VLOOKUP(F71,CARTON_LOOKUP!$A:$E,4,0),"")</f>
      </c>
      <c r="I71" s="27">
        <f>IFERROR(VLOOKUP(F71,CARTON_LOOKUP!$A:$E,5,0),"")</f>
      </c>
      <c r="J71" s="28">
        <f>IFERROR(VLOOKUP(F71,CARTON_LOOKUP!$A:$E,2,0),"")</f>
      </c>
      <c r="K71" s="28">
        <f>IFERROR(J71*D71,0)</f>
      </c>
      <c r="L71" s="28">
        <f>IFERROR(E71*C71,0)</f>
      </c>
      <c r="M71" s="28">
        <f>IFERROR((G71*H71*I71/1000000)*D71,0)</f>
      </c>
    </row>
    <row r="72" spans="1:13" x14ac:dyDescent="0.25">
      <c r="E72" s="26"/>
      <c r="F72" t="s">
        <v>27</v>
      </c>
      <c r="G72" s="27">
        <f>IFERROR(VLOOKUP(F72,CARTON_LOOKUP!$A:$E,3,0),"")</f>
      </c>
      <c r="H72" s="27">
        <f>IFERROR(VLOOKUP(F72,CARTON_LOOKUP!$A:$E,4,0),"")</f>
      </c>
      <c r="I72" s="27">
        <f>IFERROR(VLOOKUP(F72,CARTON_LOOKUP!$A:$E,5,0),"")</f>
      </c>
      <c r="J72" s="28">
        <f>IFERROR(VLOOKUP(F72,CARTON_LOOKUP!$A:$E,2,0),"")</f>
      </c>
      <c r="K72" s="28">
        <f>IFERROR(J72*D72,0)</f>
      </c>
      <c r="L72" s="28">
        <f>IFERROR(E72*C72,0)</f>
      </c>
      <c r="M72" s="28">
        <f>IFERROR((G72*H72*I72/1000000)*D72,0)</f>
      </c>
    </row>
    <row r="73" spans="1:13" x14ac:dyDescent="0.25">
      <c r="E73" s="26"/>
      <c r="F73" t="s">
        <v>27</v>
      </c>
      <c r="G73" s="27">
        <f>IFERROR(VLOOKUP(F73,CARTON_LOOKUP!$A:$E,3,0),"")</f>
      </c>
      <c r="H73" s="27">
        <f>IFERROR(VLOOKUP(F73,CARTON_LOOKUP!$A:$E,4,0),"")</f>
      </c>
      <c r="I73" s="27">
        <f>IFERROR(VLOOKUP(F73,CARTON_LOOKUP!$A:$E,5,0),"")</f>
      </c>
      <c r="J73" s="28">
        <f>IFERROR(VLOOKUP(F73,CARTON_LOOKUP!$A:$E,2,0),"")</f>
      </c>
      <c r="K73" s="28">
        <f>IFERROR(J73*D73,0)</f>
      </c>
      <c r="L73" s="28">
        <f>IFERROR(E73*C73,0)</f>
      </c>
      <c r="M73" s="28">
        <f>IFERROR((G73*H73*I73/1000000)*D73,0)</f>
      </c>
    </row>
    <row r="74" spans="1:13" x14ac:dyDescent="0.25">
      <c r="E74" s="26"/>
      <c r="F74" t="s">
        <v>27</v>
      </c>
      <c r="G74" s="27">
        <f>IFERROR(VLOOKUP(F74,CARTON_LOOKUP!$A:$E,3,0),"")</f>
      </c>
      <c r="H74" s="27">
        <f>IFERROR(VLOOKUP(F74,CARTON_LOOKUP!$A:$E,4,0),"")</f>
      </c>
      <c r="I74" s="27">
        <f>IFERROR(VLOOKUP(F74,CARTON_LOOKUP!$A:$E,5,0),"")</f>
      </c>
      <c r="J74" s="28">
        <f>IFERROR(VLOOKUP(F74,CARTON_LOOKUP!$A:$E,2,0),"")</f>
      </c>
      <c r="K74" s="28">
        <f>IFERROR(J74*D74,0)</f>
      </c>
      <c r="L74" s="28">
        <f>IFERROR(E74*C74,0)</f>
      </c>
      <c r="M74" s="28">
        <f>IFERROR((G74*H74*I74/1000000)*D74,0)</f>
      </c>
    </row>
    <row r="75" spans="1:13" x14ac:dyDescent="0.25">
      <c r="E75" s="26"/>
      <c r="F75" t="s">
        <v>27</v>
      </c>
      <c r="G75" s="27">
        <f>IFERROR(VLOOKUP(F75,CARTON_LOOKUP!$A:$E,3,0),"")</f>
      </c>
      <c r="H75" s="27">
        <f>IFERROR(VLOOKUP(F75,CARTON_LOOKUP!$A:$E,4,0),"")</f>
      </c>
      <c r="I75" s="27">
        <f>IFERROR(VLOOKUP(F75,CARTON_LOOKUP!$A:$E,5,0),"")</f>
      </c>
      <c r="J75" s="28">
        <f>IFERROR(VLOOKUP(F75,CARTON_LOOKUP!$A:$E,2,0),"")</f>
      </c>
      <c r="K75" s="28">
        <f>IFERROR(J75*D75,0)</f>
      </c>
      <c r="L75" s="28">
        <f>IFERROR(E75*C75,0)</f>
      </c>
      <c r="M75" s="28">
        <f>IFERROR((G75*H75*I75/1000000)*D75,0)</f>
      </c>
    </row>
    <row r="76" spans="1:13" x14ac:dyDescent="0.25">
      <c r="E76" s="26"/>
      <c r="F76" t="s">
        <v>27</v>
      </c>
      <c r="G76" s="27">
        <f>IFERROR(VLOOKUP(F76,CARTON_LOOKUP!$A:$E,3,0),"")</f>
      </c>
      <c r="H76" s="27">
        <f>IFERROR(VLOOKUP(F76,CARTON_LOOKUP!$A:$E,4,0),"")</f>
      </c>
      <c r="I76" s="27">
        <f>IFERROR(VLOOKUP(F76,CARTON_LOOKUP!$A:$E,5,0),"")</f>
      </c>
      <c r="J76" s="28">
        <f>IFERROR(VLOOKUP(F76,CARTON_LOOKUP!$A:$E,2,0),"")</f>
      </c>
      <c r="K76" s="28">
        <f>IFERROR(J76*D76,0)</f>
      </c>
      <c r="L76" s="28">
        <f>IFERROR(E76*C76,0)</f>
      </c>
      <c r="M76" s="28">
        <f>IFERROR((G76*H76*I76/1000000)*D76,0)</f>
      </c>
    </row>
    <row r="77" spans="1:13" x14ac:dyDescent="0.25">
      <c r="E77" s="26"/>
      <c r="F77" t="s">
        <v>27</v>
      </c>
      <c r="G77" s="27">
        <f>IFERROR(VLOOKUP(F77,CARTON_LOOKUP!$A:$E,3,0),"")</f>
      </c>
      <c r="H77" s="27">
        <f>IFERROR(VLOOKUP(F77,CARTON_LOOKUP!$A:$E,4,0),"")</f>
      </c>
      <c r="I77" s="27">
        <f>IFERROR(VLOOKUP(F77,CARTON_LOOKUP!$A:$E,5,0),"")</f>
      </c>
      <c r="J77" s="28">
        <f>IFERROR(VLOOKUP(F77,CARTON_LOOKUP!$A:$E,2,0),"")</f>
      </c>
      <c r="K77" s="28">
        <f>IFERROR(J77*D77,0)</f>
      </c>
      <c r="L77" s="28">
        <f>IFERROR(E77*C77,0)</f>
      </c>
      <c r="M77" s="28">
        <f>IFERROR((G77*H77*I77/1000000)*D77,0)</f>
      </c>
    </row>
    <row r="78" spans="1:13" x14ac:dyDescent="0.25">
      <c r="E78" s="26"/>
      <c r="F78" t="s">
        <v>27</v>
      </c>
      <c r="G78" s="27">
        <f>IFERROR(VLOOKUP(F78,CARTON_LOOKUP!$A:$E,3,0),"")</f>
      </c>
      <c r="H78" s="27">
        <f>IFERROR(VLOOKUP(F78,CARTON_LOOKUP!$A:$E,4,0),"")</f>
      </c>
      <c r="I78" s="27">
        <f>IFERROR(VLOOKUP(F78,CARTON_LOOKUP!$A:$E,5,0),"")</f>
      </c>
      <c r="J78" s="28">
        <f>IFERROR(VLOOKUP(F78,CARTON_LOOKUP!$A:$E,2,0),"")</f>
      </c>
      <c r="K78" s="28">
        <f>IFERROR(J78*D78,0)</f>
      </c>
      <c r="L78" s="28">
        <f>IFERROR(E78*C78,0)</f>
      </c>
      <c r="M78" s="28">
        <f>IFERROR((G78*H78*I78/1000000)*D78,0)</f>
      </c>
    </row>
    <row r="79" spans="1:13" x14ac:dyDescent="0.25">
      <c r="E79" s="26"/>
      <c r="F79" t="s">
        <v>27</v>
      </c>
      <c r="G79" s="27">
        <f>IFERROR(VLOOKUP(F79,CARTON_LOOKUP!$A:$E,3,0),"")</f>
      </c>
      <c r="H79" s="27">
        <f>IFERROR(VLOOKUP(F79,CARTON_LOOKUP!$A:$E,4,0),"")</f>
      </c>
      <c r="I79" s="27">
        <f>IFERROR(VLOOKUP(F79,CARTON_LOOKUP!$A:$E,5,0),"")</f>
      </c>
      <c r="J79" s="28">
        <f>IFERROR(VLOOKUP(F79,CARTON_LOOKUP!$A:$E,2,0),"")</f>
      </c>
      <c r="K79" s="28">
        <f>IFERROR(J79*D79,0)</f>
      </c>
      <c r="L79" s="28">
        <f>IFERROR(E79*C79,0)</f>
      </c>
      <c r="M79" s="28">
        <f>IFERROR((G79*H79*I79/1000000)*D79,0)</f>
      </c>
    </row>
    <row r="80" spans="1:13" x14ac:dyDescent="0.25">
      <c r="E80" s="26"/>
      <c r="F80" t="s">
        <v>27</v>
      </c>
      <c r="G80" s="27">
        <f>IFERROR(VLOOKUP(F80,CARTON_LOOKUP!$A:$E,3,0),"")</f>
      </c>
      <c r="H80" s="27">
        <f>IFERROR(VLOOKUP(F80,CARTON_LOOKUP!$A:$E,4,0),"")</f>
      </c>
      <c r="I80" s="27">
        <f>IFERROR(VLOOKUP(F80,CARTON_LOOKUP!$A:$E,5,0),"")</f>
      </c>
      <c r="J80" s="28">
        <f>IFERROR(VLOOKUP(F80,CARTON_LOOKUP!$A:$E,2,0),"")</f>
      </c>
      <c r="K80" s="28">
        <f>IFERROR(J80*D80,0)</f>
      </c>
      <c r="L80" s="28">
        <f>IFERROR(E80*C80,0)</f>
      </c>
      <c r="M80" s="28">
        <f>IFERROR((G80*H80*I80/1000000)*D80,0)</f>
      </c>
    </row>
    <row r="81" spans="1:13" x14ac:dyDescent="0.25">
      <c r="E81" s="26"/>
      <c r="F81" t="s">
        <v>27</v>
      </c>
      <c r="G81" s="27">
        <f>IFERROR(VLOOKUP(F81,CARTON_LOOKUP!$A:$E,3,0),"")</f>
      </c>
      <c r="H81" s="27">
        <f>IFERROR(VLOOKUP(F81,CARTON_LOOKUP!$A:$E,4,0),"")</f>
      </c>
      <c r="I81" s="27">
        <f>IFERROR(VLOOKUP(F81,CARTON_LOOKUP!$A:$E,5,0),"")</f>
      </c>
      <c r="J81" s="28">
        <f>IFERROR(VLOOKUP(F81,CARTON_LOOKUP!$A:$E,2,0),"")</f>
      </c>
      <c r="K81" s="28">
        <f>IFERROR(J81*D81,0)</f>
      </c>
      <c r="L81" s="28">
        <f>IFERROR(E81*C81,0)</f>
      </c>
      <c r="M81" s="28">
        <f>IFERROR((G81*H81*I81/1000000)*D81,0)</f>
      </c>
    </row>
    <row r="82" spans="1:13" x14ac:dyDescent="0.25">
      <c r="E82" s="26"/>
      <c r="F82" t="s">
        <v>27</v>
      </c>
      <c r="G82" s="27">
        <f>IFERROR(VLOOKUP(F82,CARTON_LOOKUP!$A:$E,3,0),"")</f>
      </c>
      <c r="H82" s="27">
        <f>IFERROR(VLOOKUP(F82,CARTON_LOOKUP!$A:$E,4,0),"")</f>
      </c>
      <c r="I82" s="27">
        <f>IFERROR(VLOOKUP(F82,CARTON_LOOKUP!$A:$E,5,0),"")</f>
      </c>
      <c r="J82" s="28">
        <f>IFERROR(VLOOKUP(F82,CARTON_LOOKUP!$A:$E,2,0),"")</f>
      </c>
      <c r="K82" s="28">
        <f>IFERROR(J82*D82,0)</f>
      </c>
      <c r="L82" s="28">
        <f>IFERROR(E82*C82,0)</f>
      </c>
      <c r="M82" s="28">
        <f>IFERROR((G82*H82*I82/1000000)*D82,0)</f>
      </c>
    </row>
    <row r="83" spans="1:13" x14ac:dyDescent="0.25">
      <c r="E83" s="26"/>
      <c r="F83" t="s">
        <v>27</v>
      </c>
      <c r="G83" s="27">
        <f>IFERROR(VLOOKUP(F83,CARTON_LOOKUP!$A:$E,3,0),"")</f>
      </c>
      <c r="H83" s="27">
        <f>IFERROR(VLOOKUP(F83,CARTON_LOOKUP!$A:$E,4,0),"")</f>
      </c>
      <c r="I83" s="27">
        <f>IFERROR(VLOOKUP(F83,CARTON_LOOKUP!$A:$E,5,0),"")</f>
      </c>
      <c r="J83" s="28">
        <f>IFERROR(VLOOKUP(F83,CARTON_LOOKUP!$A:$E,2,0),"")</f>
      </c>
      <c r="K83" s="28">
        <f>IFERROR(J83*D83,0)</f>
      </c>
      <c r="L83" s="28">
        <f>IFERROR(E83*C83,0)</f>
      </c>
      <c r="M83" s="28">
        <f>IFERROR((G83*H83*I83/1000000)*D83,0)</f>
      </c>
    </row>
    <row r="84" spans="1:13" x14ac:dyDescent="0.25">
      <c r="E84" s="26"/>
      <c r="F84" t="s">
        <v>27</v>
      </c>
      <c r="G84" s="27">
        <f>IFERROR(VLOOKUP(F84,CARTON_LOOKUP!$A:$E,3,0),"")</f>
      </c>
      <c r="H84" s="27">
        <f>IFERROR(VLOOKUP(F84,CARTON_LOOKUP!$A:$E,4,0),"")</f>
      </c>
      <c r="I84" s="27">
        <f>IFERROR(VLOOKUP(F84,CARTON_LOOKUP!$A:$E,5,0),"")</f>
      </c>
      <c r="J84" s="28">
        <f>IFERROR(VLOOKUP(F84,CARTON_LOOKUP!$A:$E,2,0),"")</f>
      </c>
      <c r="K84" s="28">
        <f>IFERROR(J84*D84,0)</f>
      </c>
      <c r="L84" s="28">
        <f>IFERROR(E84*C84,0)</f>
      </c>
      <c r="M84" s="28">
        <f>IFERROR((G84*H84*I84/1000000)*D84,0)</f>
      </c>
    </row>
    <row r="85" spans="1:13" x14ac:dyDescent="0.25">
      <c r="E85" s="26"/>
      <c r="F85" t="s">
        <v>27</v>
      </c>
      <c r="G85" s="27">
        <f>IFERROR(VLOOKUP(F85,CARTON_LOOKUP!$A:$E,3,0),"")</f>
      </c>
      <c r="H85" s="27">
        <f>IFERROR(VLOOKUP(F85,CARTON_LOOKUP!$A:$E,4,0),"")</f>
      </c>
      <c r="I85" s="27">
        <f>IFERROR(VLOOKUP(F85,CARTON_LOOKUP!$A:$E,5,0),"")</f>
      </c>
      <c r="J85" s="28">
        <f>IFERROR(VLOOKUP(F85,CARTON_LOOKUP!$A:$E,2,0),"")</f>
      </c>
      <c r="K85" s="28">
        <f>IFERROR(J85*D85,0)</f>
      </c>
      <c r="L85" s="28">
        <f>IFERROR(E85*C85,0)</f>
      </c>
      <c r="M85" s="28">
        <f>IFERROR((G85*H85*I85/1000000)*D85,0)</f>
      </c>
    </row>
    <row r="86" spans="1:13" x14ac:dyDescent="0.25">
      <c r="E86" s="26"/>
      <c r="F86" t="s">
        <v>27</v>
      </c>
      <c r="G86" s="27">
        <f>IFERROR(VLOOKUP(F86,CARTON_LOOKUP!$A:$E,3,0),"")</f>
      </c>
      <c r="H86" s="27">
        <f>IFERROR(VLOOKUP(F86,CARTON_LOOKUP!$A:$E,4,0),"")</f>
      </c>
      <c r="I86" s="27">
        <f>IFERROR(VLOOKUP(F86,CARTON_LOOKUP!$A:$E,5,0),"")</f>
      </c>
      <c r="J86" s="28">
        <f>IFERROR(VLOOKUP(F86,CARTON_LOOKUP!$A:$E,2,0),"")</f>
      </c>
      <c r="K86" s="28">
        <f>IFERROR(J86*D86,0)</f>
      </c>
      <c r="L86" s="28">
        <f>IFERROR(E86*C86,0)</f>
      </c>
      <c r="M86" s="28">
        <f>IFERROR((G86*H86*I86/1000000)*D86,0)</f>
      </c>
    </row>
    <row r="87" spans="1:13" x14ac:dyDescent="0.25">
      <c r="E87" s="26"/>
      <c r="F87" t="s">
        <v>27</v>
      </c>
      <c r="G87" s="27">
        <f>IFERROR(VLOOKUP(F87,CARTON_LOOKUP!$A:$E,3,0),"")</f>
      </c>
      <c r="H87" s="27">
        <f>IFERROR(VLOOKUP(F87,CARTON_LOOKUP!$A:$E,4,0),"")</f>
      </c>
      <c r="I87" s="27">
        <f>IFERROR(VLOOKUP(F87,CARTON_LOOKUP!$A:$E,5,0),"")</f>
      </c>
      <c r="J87" s="28">
        <f>IFERROR(VLOOKUP(F87,CARTON_LOOKUP!$A:$E,2,0),"")</f>
      </c>
      <c r="K87" s="28">
        <f>IFERROR(J87*D87,0)</f>
      </c>
      <c r="L87" s="28">
        <f>IFERROR(E87*C87,0)</f>
      </c>
      <c r="M87" s="28">
        <f>IFERROR((G87*H87*I87/1000000)*D87,0)</f>
      </c>
    </row>
    <row r="88" spans="1:13" x14ac:dyDescent="0.25">
      <c r="E88" s="26"/>
      <c r="F88" t="s">
        <v>27</v>
      </c>
      <c r="G88" s="27">
        <f>IFERROR(VLOOKUP(F88,CARTON_LOOKUP!$A:$E,3,0),"")</f>
      </c>
      <c r="H88" s="27">
        <f>IFERROR(VLOOKUP(F88,CARTON_LOOKUP!$A:$E,4,0),"")</f>
      </c>
      <c r="I88" s="27">
        <f>IFERROR(VLOOKUP(F88,CARTON_LOOKUP!$A:$E,5,0),"")</f>
      </c>
      <c r="J88" s="28">
        <f>IFERROR(VLOOKUP(F88,CARTON_LOOKUP!$A:$E,2,0),"")</f>
      </c>
      <c r="K88" s="28">
        <f>IFERROR(J88*D88,0)</f>
      </c>
      <c r="L88" s="28">
        <f>IFERROR(E88*C88,0)</f>
      </c>
      <c r="M88" s="28">
        <f>IFERROR((G88*H88*I88/1000000)*D88,0)</f>
      </c>
    </row>
    <row r="89" spans="1:13" x14ac:dyDescent="0.25">
      <c r="E89" s="26"/>
      <c r="F89" t="s">
        <v>27</v>
      </c>
      <c r="G89" s="27">
        <f>IFERROR(VLOOKUP(F89,CARTON_LOOKUP!$A:$E,3,0),"")</f>
      </c>
      <c r="H89" s="27">
        <f>IFERROR(VLOOKUP(F89,CARTON_LOOKUP!$A:$E,4,0),"")</f>
      </c>
      <c r="I89" s="27">
        <f>IFERROR(VLOOKUP(F89,CARTON_LOOKUP!$A:$E,5,0),"")</f>
      </c>
      <c r="J89" s="28">
        <f>IFERROR(VLOOKUP(F89,CARTON_LOOKUP!$A:$E,2,0),"")</f>
      </c>
      <c r="K89" s="28">
        <f>IFERROR(J89*D89,0)</f>
      </c>
      <c r="L89" s="28">
        <f>IFERROR(E89*C89,0)</f>
      </c>
      <c r="M89" s="28">
        <f>IFERROR((G89*H89*I89/1000000)*D89,0)</f>
      </c>
    </row>
    <row r="90" spans="1:13" x14ac:dyDescent="0.25">
      <c r="E90" s="26"/>
      <c r="F90" t="s">
        <v>27</v>
      </c>
      <c r="G90" s="27">
        <f>IFERROR(VLOOKUP(F90,CARTON_LOOKUP!$A:$E,3,0),"")</f>
      </c>
      <c r="H90" s="27">
        <f>IFERROR(VLOOKUP(F90,CARTON_LOOKUP!$A:$E,4,0),"")</f>
      </c>
      <c r="I90" s="27">
        <f>IFERROR(VLOOKUP(F90,CARTON_LOOKUP!$A:$E,5,0),"")</f>
      </c>
      <c r="J90" s="28">
        <f>IFERROR(VLOOKUP(F90,CARTON_LOOKUP!$A:$E,2,0),"")</f>
      </c>
      <c r="K90" s="28">
        <f>IFERROR(J90*D90,0)</f>
      </c>
      <c r="L90" s="28">
        <f>IFERROR(E90*C90,0)</f>
      </c>
      <c r="M90" s="28">
        <f>IFERROR((G90*H90*I90/1000000)*D90,0)</f>
      </c>
    </row>
    <row r="91" spans="1:13" x14ac:dyDescent="0.25">
      <c r="E91" s="26"/>
      <c r="F91" t="s">
        <v>27</v>
      </c>
      <c r="G91" s="27">
        <f>IFERROR(VLOOKUP(F91,CARTON_LOOKUP!$A:$E,3,0),"")</f>
      </c>
      <c r="H91" s="27">
        <f>IFERROR(VLOOKUP(F91,CARTON_LOOKUP!$A:$E,4,0),"")</f>
      </c>
      <c r="I91" s="27">
        <f>IFERROR(VLOOKUP(F91,CARTON_LOOKUP!$A:$E,5,0),"")</f>
      </c>
      <c r="J91" s="28">
        <f>IFERROR(VLOOKUP(F91,CARTON_LOOKUP!$A:$E,2,0),"")</f>
      </c>
      <c r="K91" s="28">
        <f>IFERROR(J91*D91,0)</f>
      </c>
      <c r="L91" s="28">
        <f>IFERROR(E91*C91,0)</f>
      </c>
      <c r="M91" s="28">
        <f>IFERROR((G91*H91*I91/1000000)*D91,0)</f>
      </c>
    </row>
    <row r="92" spans="1:13" x14ac:dyDescent="0.25">
      <c r="E92" s="26"/>
      <c r="F92" t="s">
        <v>27</v>
      </c>
      <c r="G92" s="27">
        <f>IFERROR(VLOOKUP(F92,CARTON_LOOKUP!$A:$E,3,0),"")</f>
      </c>
      <c r="H92" s="27">
        <f>IFERROR(VLOOKUP(F92,CARTON_LOOKUP!$A:$E,4,0),"")</f>
      </c>
      <c r="I92" s="27">
        <f>IFERROR(VLOOKUP(F92,CARTON_LOOKUP!$A:$E,5,0),"")</f>
      </c>
      <c r="J92" s="28">
        <f>IFERROR(VLOOKUP(F92,CARTON_LOOKUP!$A:$E,2,0),"")</f>
      </c>
      <c r="K92" s="28">
        <f>IFERROR(J92*D92,0)</f>
      </c>
      <c r="L92" s="28">
        <f>IFERROR(E92*C92,0)</f>
      </c>
      <c r="M92" s="28">
        <f>IFERROR((G92*H92*I92/1000000)*D92,0)</f>
      </c>
    </row>
    <row r="93" spans="1:13" x14ac:dyDescent="0.25">
      <c r="E93" s="26"/>
      <c r="F93" t="s">
        <v>27</v>
      </c>
      <c r="G93" s="27">
        <f>IFERROR(VLOOKUP(F93,CARTON_LOOKUP!$A:$E,3,0),"")</f>
      </c>
      <c r="H93" s="27">
        <f>IFERROR(VLOOKUP(F93,CARTON_LOOKUP!$A:$E,4,0),"")</f>
      </c>
      <c r="I93" s="27">
        <f>IFERROR(VLOOKUP(F93,CARTON_LOOKUP!$A:$E,5,0),"")</f>
      </c>
      <c r="J93" s="28">
        <f>IFERROR(VLOOKUP(F93,CARTON_LOOKUP!$A:$E,2,0),"")</f>
      </c>
      <c r="K93" s="28">
        <f>IFERROR(J93*D93,0)</f>
      </c>
      <c r="L93" s="28">
        <f>IFERROR(E93*C93,0)</f>
      </c>
      <c r="M93" s="28">
        <f>IFERROR((G93*H93*I93/1000000)*D93,0)</f>
      </c>
    </row>
    <row r="94" spans="1:13" x14ac:dyDescent="0.25">
      <c r="E94" s="26"/>
      <c r="F94" t="s">
        <v>27</v>
      </c>
      <c r="G94" s="27">
        <f>IFERROR(VLOOKUP(F94,CARTON_LOOKUP!$A:$E,3,0),"")</f>
      </c>
      <c r="H94" s="27">
        <f>IFERROR(VLOOKUP(F94,CARTON_LOOKUP!$A:$E,4,0),"")</f>
      </c>
      <c r="I94" s="27">
        <f>IFERROR(VLOOKUP(F94,CARTON_LOOKUP!$A:$E,5,0),"")</f>
      </c>
      <c r="J94" s="28">
        <f>IFERROR(VLOOKUP(F94,CARTON_LOOKUP!$A:$E,2,0),"")</f>
      </c>
      <c r="K94" s="28">
        <f>IFERROR(J94*D94,0)</f>
      </c>
      <c r="L94" s="28">
        <f>IFERROR(E94*C94,0)</f>
      </c>
      <c r="M94" s="28">
        <f>IFERROR((G94*H94*I94/1000000)*D94,0)</f>
      </c>
    </row>
    <row r="95" spans="1:13" x14ac:dyDescent="0.25">
      <c r="E95" s="26"/>
      <c r="F95" t="s">
        <v>27</v>
      </c>
      <c r="G95" s="27">
        <f>IFERROR(VLOOKUP(F95,CARTON_LOOKUP!$A:$E,3,0),"")</f>
      </c>
      <c r="H95" s="27">
        <f>IFERROR(VLOOKUP(F95,CARTON_LOOKUP!$A:$E,4,0),"")</f>
      </c>
      <c r="I95" s="27">
        <f>IFERROR(VLOOKUP(F95,CARTON_LOOKUP!$A:$E,5,0),"")</f>
      </c>
      <c r="J95" s="28">
        <f>IFERROR(VLOOKUP(F95,CARTON_LOOKUP!$A:$E,2,0),"")</f>
      </c>
      <c r="K95" s="28">
        <f>IFERROR(J95*D95,0)</f>
      </c>
      <c r="L95" s="28">
        <f>IFERROR(E95*C95,0)</f>
      </c>
      <c r="M95" s="28">
        <f>IFERROR((G95*H95*I95/1000000)*D95,0)</f>
      </c>
    </row>
    <row r="96" spans="1:13" x14ac:dyDescent="0.25">
      <c r="E96" s="26"/>
      <c r="F96" t="s">
        <v>27</v>
      </c>
      <c r="G96" s="27">
        <f>IFERROR(VLOOKUP(F96,CARTON_LOOKUP!$A:$E,3,0),"")</f>
      </c>
      <c r="H96" s="27">
        <f>IFERROR(VLOOKUP(F96,CARTON_LOOKUP!$A:$E,4,0),"")</f>
      </c>
      <c r="I96" s="27">
        <f>IFERROR(VLOOKUP(F96,CARTON_LOOKUP!$A:$E,5,0),"")</f>
      </c>
      <c r="J96" s="28">
        <f>IFERROR(VLOOKUP(F96,CARTON_LOOKUP!$A:$E,2,0),"")</f>
      </c>
      <c r="K96" s="28">
        <f>IFERROR(J96*D96,0)</f>
      </c>
      <c r="L96" s="28">
        <f>IFERROR(E96*C96,0)</f>
      </c>
      <c r="M96" s="28">
        <f>IFERROR((G96*H96*I96/1000000)*D96,0)</f>
      </c>
    </row>
    <row r="97" spans="1:13" x14ac:dyDescent="0.25">
      <c r="E97" s="26"/>
      <c r="F97" t="s">
        <v>27</v>
      </c>
      <c r="G97" s="27">
        <f>IFERROR(VLOOKUP(F97,CARTON_LOOKUP!$A:$E,3,0),"")</f>
      </c>
      <c r="H97" s="27">
        <f>IFERROR(VLOOKUP(F97,CARTON_LOOKUP!$A:$E,4,0),"")</f>
      </c>
      <c r="I97" s="27">
        <f>IFERROR(VLOOKUP(F97,CARTON_LOOKUP!$A:$E,5,0),"")</f>
      </c>
      <c r="J97" s="28">
        <f>IFERROR(VLOOKUP(F97,CARTON_LOOKUP!$A:$E,2,0),"")</f>
      </c>
      <c r="K97" s="28">
        <f>IFERROR(J97*D97,0)</f>
      </c>
      <c r="L97" s="28">
        <f>IFERROR(E97*C97,0)</f>
      </c>
      <c r="M97" s="28">
        <f>IFERROR((G97*H97*I97/1000000)*D97,0)</f>
      </c>
    </row>
    <row r="98" spans="1:13" x14ac:dyDescent="0.25">
      <c r="E98" s="26"/>
      <c r="F98" t="s">
        <v>27</v>
      </c>
      <c r="G98" s="27">
        <f>IFERROR(VLOOKUP(F98,CARTON_LOOKUP!$A:$E,3,0),"")</f>
      </c>
      <c r="H98" s="27">
        <f>IFERROR(VLOOKUP(F98,CARTON_LOOKUP!$A:$E,4,0),"")</f>
      </c>
      <c r="I98" s="27">
        <f>IFERROR(VLOOKUP(F98,CARTON_LOOKUP!$A:$E,5,0),"")</f>
      </c>
      <c r="J98" s="28">
        <f>IFERROR(VLOOKUP(F98,CARTON_LOOKUP!$A:$E,2,0),"")</f>
      </c>
      <c r="K98" s="28">
        <f>IFERROR(J98*D98,0)</f>
      </c>
      <c r="L98" s="28">
        <f>IFERROR(E98*C98,0)</f>
      </c>
      <c r="M98" s="28">
        <f>IFERROR((G98*H98*I98/1000000)*D98,0)</f>
      </c>
    </row>
    <row r="99" spans="1:13" x14ac:dyDescent="0.25">
      <c r="E99" s="26"/>
      <c r="F99" t="s">
        <v>27</v>
      </c>
      <c r="G99" s="27">
        <f>IFERROR(VLOOKUP(F99,CARTON_LOOKUP!$A:$E,3,0),"")</f>
      </c>
      <c r="H99" s="27">
        <f>IFERROR(VLOOKUP(F99,CARTON_LOOKUP!$A:$E,4,0),"")</f>
      </c>
      <c r="I99" s="27">
        <f>IFERROR(VLOOKUP(F99,CARTON_LOOKUP!$A:$E,5,0),"")</f>
      </c>
      <c r="J99" s="28">
        <f>IFERROR(VLOOKUP(F99,CARTON_LOOKUP!$A:$E,2,0),"")</f>
      </c>
      <c r="K99" s="28">
        <f>IFERROR(J99*D99,0)</f>
      </c>
      <c r="L99" s="28">
        <f>IFERROR(E99*C99,0)</f>
      </c>
      <c r="M99" s="28">
        <f>IFERROR((G99*H99*I99/1000000)*D99,0)</f>
      </c>
    </row>
    <row r="100" spans="1:13" x14ac:dyDescent="0.25">
      <c r="E100" s="26"/>
      <c r="F100" t="s">
        <v>27</v>
      </c>
      <c r="G100" s="27">
        <f>IFERROR(VLOOKUP(F100,CARTON_LOOKUP!$A:$E,3,0),"")</f>
      </c>
      <c r="H100" s="27">
        <f>IFERROR(VLOOKUP(F100,CARTON_LOOKUP!$A:$E,4,0),"")</f>
      </c>
      <c r="I100" s="27">
        <f>IFERROR(VLOOKUP(F100,CARTON_LOOKUP!$A:$E,5,0),"")</f>
      </c>
      <c r="J100" s="28">
        <f>IFERROR(VLOOKUP(F100,CARTON_LOOKUP!$A:$E,2,0),"")</f>
      </c>
      <c r="K100" s="28">
        <f>IFERROR(J100*D100,0)</f>
      </c>
      <c r="L100" s="28">
        <f>IFERROR(E100*C100,0)</f>
      </c>
      <c r="M100" s="28">
        <f>IFERROR((G100*H100*I100/1000000)*D100,0)</f>
      </c>
    </row>
    <row r="101" spans="1:13" x14ac:dyDescent="0.25">
      <c r="E101" s="26"/>
      <c r="F101" t="s">
        <v>27</v>
      </c>
      <c r="G101" s="27">
        <f>IFERROR(VLOOKUP(F101,CARTON_LOOKUP!$A:$E,3,0),"")</f>
      </c>
      <c r="H101" s="27">
        <f>IFERROR(VLOOKUP(F101,CARTON_LOOKUP!$A:$E,4,0),"")</f>
      </c>
      <c r="I101" s="27">
        <f>IFERROR(VLOOKUP(F101,CARTON_LOOKUP!$A:$E,5,0),"")</f>
      </c>
      <c r="J101" s="28">
        <f>IFERROR(VLOOKUP(F101,CARTON_LOOKUP!$A:$E,2,0),"")</f>
      </c>
      <c r="K101" s="28">
        <f>IFERROR(J101*D101,0)</f>
      </c>
      <c r="L101" s="28">
        <f>IFERROR(E101*C101,0)</f>
      </c>
      <c r="M101" s="28">
        <f>IFERROR((G101*H101*I101/1000000)*D101,0)</f>
      </c>
    </row>
    <row r="102" spans="1:13" x14ac:dyDescent="0.25">
      <c r="E102" s="26"/>
      <c r="F102" t="s">
        <v>27</v>
      </c>
      <c r="G102" s="27">
        <f>IFERROR(VLOOKUP(F102,CARTON_LOOKUP!$A:$E,3,0),"")</f>
      </c>
      <c r="H102" s="27">
        <f>IFERROR(VLOOKUP(F102,CARTON_LOOKUP!$A:$E,4,0),"")</f>
      </c>
      <c r="I102" s="27">
        <f>IFERROR(VLOOKUP(F102,CARTON_LOOKUP!$A:$E,5,0),"")</f>
      </c>
      <c r="J102" s="28">
        <f>IFERROR(VLOOKUP(F102,CARTON_LOOKUP!$A:$E,2,0),"")</f>
      </c>
      <c r="K102" s="28">
        <f>IFERROR(J102*D102,0)</f>
      </c>
      <c r="L102" s="28">
        <f>IFERROR(E102*C102,0)</f>
      </c>
      <c r="M102" s="28">
        <f>IFERROR((G102*H102*I102/1000000)*D102,0)</f>
      </c>
    </row>
    <row r="103" spans="1:13" x14ac:dyDescent="0.25">
      <c r="E103" s="26"/>
      <c r="F103" t="s">
        <v>27</v>
      </c>
      <c r="G103" s="27">
        <f>IFERROR(VLOOKUP(F103,CARTON_LOOKUP!$A:$E,3,0),"")</f>
      </c>
      <c r="H103" s="27">
        <f>IFERROR(VLOOKUP(F103,CARTON_LOOKUP!$A:$E,4,0),"")</f>
      </c>
      <c r="I103" s="27">
        <f>IFERROR(VLOOKUP(F103,CARTON_LOOKUP!$A:$E,5,0),"")</f>
      </c>
      <c r="J103" s="28">
        <f>IFERROR(VLOOKUP(F103,CARTON_LOOKUP!$A:$E,2,0),"")</f>
      </c>
      <c r="K103" s="28">
        <f>IFERROR(J103*D103,0)</f>
      </c>
      <c r="L103" s="28">
        <f>IFERROR(E103*C103,0)</f>
      </c>
      <c r="M103" s="28">
        <f>IFERROR((G103*H103*I103/1000000)*D103,0)</f>
      </c>
    </row>
    <row r="104" spans="1:13" x14ac:dyDescent="0.25">
      <c r="E104" s="26"/>
      <c r="F104" t="s">
        <v>27</v>
      </c>
      <c r="G104" s="27">
        <f>IFERROR(VLOOKUP(F104,CARTON_LOOKUP!$A:$E,3,0),"")</f>
      </c>
      <c r="H104" s="27">
        <f>IFERROR(VLOOKUP(F104,CARTON_LOOKUP!$A:$E,4,0),"")</f>
      </c>
      <c r="I104" s="27">
        <f>IFERROR(VLOOKUP(F104,CARTON_LOOKUP!$A:$E,5,0),"")</f>
      </c>
      <c r="J104" s="28">
        <f>IFERROR(VLOOKUP(F104,CARTON_LOOKUP!$A:$E,2,0),"")</f>
      </c>
      <c r="K104" s="28">
        <f>IFERROR(J104*D104,0)</f>
      </c>
      <c r="L104" s="28">
        <f>IFERROR(E104*C104,0)</f>
      </c>
      <c r="M104" s="28">
        <f>IFERROR((G104*H104*I104/1000000)*D104,0)</f>
      </c>
    </row>
    <row r="105" spans="1:13" x14ac:dyDescent="0.25">
      <c r="E105" s="26"/>
      <c r="F105" t="s">
        <v>27</v>
      </c>
      <c r="G105" s="27">
        <f>IFERROR(VLOOKUP(F105,CARTON_LOOKUP!$A:$E,3,0),"")</f>
      </c>
      <c r="H105" s="27">
        <f>IFERROR(VLOOKUP(F105,CARTON_LOOKUP!$A:$E,4,0),"")</f>
      </c>
      <c r="I105" s="27">
        <f>IFERROR(VLOOKUP(F105,CARTON_LOOKUP!$A:$E,5,0),"")</f>
      </c>
      <c r="J105" s="28">
        <f>IFERROR(VLOOKUP(F105,CARTON_LOOKUP!$A:$E,2,0),"")</f>
      </c>
      <c r="K105" s="28">
        <f>IFERROR(J105*D105,0)</f>
      </c>
      <c r="L105" s="28">
        <f>IFERROR(E105*C105,0)</f>
      </c>
      <c r="M105" s="28">
        <f>IFERROR((G105*H105*I105/1000000)*D105,0)</f>
      </c>
    </row>
    <row r="106" spans="1:13" x14ac:dyDescent="0.25">
      <c r="E106" s="26"/>
      <c r="F106" t="s">
        <v>27</v>
      </c>
      <c r="G106" s="27">
        <f>IFERROR(VLOOKUP(F106,CARTON_LOOKUP!$A:$E,3,0),"")</f>
      </c>
      <c r="H106" s="27">
        <f>IFERROR(VLOOKUP(F106,CARTON_LOOKUP!$A:$E,4,0),"")</f>
      </c>
      <c r="I106" s="27">
        <f>IFERROR(VLOOKUP(F106,CARTON_LOOKUP!$A:$E,5,0),"")</f>
      </c>
      <c r="J106" s="28">
        <f>IFERROR(VLOOKUP(F106,CARTON_LOOKUP!$A:$E,2,0),"")</f>
      </c>
      <c r="K106" s="28">
        <f>IFERROR(J106*D106,0)</f>
      </c>
      <c r="L106" s="28">
        <f>IFERROR(E106*C106,0)</f>
      </c>
      <c r="M106" s="28">
        <f>IFERROR((G106*H106*I106/1000000)*D106,0)</f>
      </c>
    </row>
    <row r="107" spans="1:13" x14ac:dyDescent="0.25">
      <c r="E107" s="26"/>
      <c r="F107" t="s">
        <v>27</v>
      </c>
      <c r="G107" s="27">
        <f>IFERROR(VLOOKUP(F107,CARTON_LOOKUP!$A:$E,3,0),"")</f>
      </c>
      <c r="H107" s="27">
        <f>IFERROR(VLOOKUP(F107,CARTON_LOOKUP!$A:$E,4,0),"")</f>
      </c>
      <c r="I107" s="27">
        <f>IFERROR(VLOOKUP(F107,CARTON_LOOKUP!$A:$E,5,0),"")</f>
      </c>
      <c r="J107" s="28">
        <f>IFERROR(VLOOKUP(F107,CARTON_LOOKUP!$A:$E,2,0),"")</f>
      </c>
      <c r="K107" s="28">
        <f>IFERROR(J107*D107,0)</f>
      </c>
      <c r="L107" s="28">
        <f>IFERROR(E107*C107,0)</f>
      </c>
      <c r="M107" s="28">
        <f>IFERROR((G107*H107*I107/1000000)*D107,0)</f>
      </c>
    </row>
    <row r="108" spans="1:13" x14ac:dyDescent="0.25">
      <c r="E108" s="26"/>
      <c r="F108" t="s">
        <v>27</v>
      </c>
      <c r="G108" s="27">
        <f>IFERROR(VLOOKUP(F108,CARTON_LOOKUP!$A:$E,3,0),"")</f>
      </c>
      <c r="H108" s="27">
        <f>IFERROR(VLOOKUP(F108,CARTON_LOOKUP!$A:$E,4,0),"")</f>
      </c>
      <c r="I108" s="27">
        <f>IFERROR(VLOOKUP(F108,CARTON_LOOKUP!$A:$E,5,0),"")</f>
      </c>
      <c r="J108" s="28">
        <f>IFERROR(VLOOKUP(F108,CARTON_LOOKUP!$A:$E,2,0),"")</f>
      </c>
      <c r="K108" s="28">
        <f>IFERROR(J108*D108,0)</f>
      </c>
      <c r="L108" s="28">
        <f>IFERROR(E108*C108,0)</f>
      </c>
      <c r="M108" s="28">
        <f>IFERROR((G108*H108*I108/1000000)*D108,0)</f>
      </c>
    </row>
    <row r="109" spans="1:13" x14ac:dyDescent="0.25">
      <c r="E109" s="26"/>
      <c r="F109" t="s">
        <v>27</v>
      </c>
      <c r="G109" s="27">
        <f>IFERROR(VLOOKUP(F109,CARTON_LOOKUP!$A:$E,3,0),"")</f>
      </c>
      <c r="H109" s="27">
        <f>IFERROR(VLOOKUP(F109,CARTON_LOOKUP!$A:$E,4,0),"")</f>
      </c>
      <c r="I109" s="27">
        <f>IFERROR(VLOOKUP(F109,CARTON_LOOKUP!$A:$E,5,0),"")</f>
      </c>
      <c r="J109" s="28">
        <f>IFERROR(VLOOKUP(F109,CARTON_LOOKUP!$A:$E,2,0),"")</f>
      </c>
      <c r="K109" s="28">
        <f>IFERROR(J109*D109,0)</f>
      </c>
      <c r="L109" s="28">
        <f>IFERROR(E109*C109,0)</f>
      </c>
      <c r="M109" s="28">
        <f>IFERROR((G109*H109*I109/1000000)*D109,0)</f>
      </c>
    </row>
    <row r="110" spans="1:13" x14ac:dyDescent="0.25">
      <c r="E110" s="26"/>
      <c r="F110" t="s">
        <v>27</v>
      </c>
      <c r="G110" s="27">
        <f>IFERROR(VLOOKUP(F110,CARTON_LOOKUP!$A:$E,3,0),"")</f>
      </c>
      <c r="H110" s="27">
        <f>IFERROR(VLOOKUP(F110,CARTON_LOOKUP!$A:$E,4,0),"")</f>
      </c>
      <c r="I110" s="27">
        <f>IFERROR(VLOOKUP(F110,CARTON_LOOKUP!$A:$E,5,0),"")</f>
      </c>
      <c r="J110" s="28">
        <f>IFERROR(VLOOKUP(F110,CARTON_LOOKUP!$A:$E,2,0),"")</f>
      </c>
      <c r="K110" s="28">
        <f>IFERROR(J110*D110,0)</f>
      </c>
      <c r="L110" s="28">
        <f>IFERROR(E110*C110,0)</f>
      </c>
      <c r="M110" s="28">
        <f>IFERROR((G110*H110*I110/1000000)*D110,0)</f>
      </c>
    </row>
    <row r="111" spans="1:13" x14ac:dyDescent="0.25">
      <c r="E111" s="26"/>
      <c r="F111" t="s">
        <v>27</v>
      </c>
      <c r="G111" s="27">
        <f>IFERROR(VLOOKUP(F111,CARTON_LOOKUP!$A:$E,3,0),"")</f>
      </c>
      <c r="H111" s="27">
        <f>IFERROR(VLOOKUP(F111,CARTON_LOOKUP!$A:$E,4,0),"")</f>
      </c>
      <c r="I111" s="27">
        <f>IFERROR(VLOOKUP(F111,CARTON_LOOKUP!$A:$E,5,0),"")</f>
      </c>
      <c r="J111" s="28">
        <f>IFERROR(VLOOKUP(F111,CARTON_LOOKUP!$A:$E,2,0),"")</f>
      </c>
      <c r="K111" s="28">
        <f>IFERROR(J111*D111,0)</f>
      </c>
      <c r="L111" s="28">
        <f>IFERROR(E111*C111,0)</f>
      </c>
      <c r="M111" s="28">
        <f>IFERROR((G111*H111*I111/1000000)*D111,0)</f>
      </c>
    </row>
    <row r="112" spans="1:13" x14ac:dyDescent="0.25">
      <c r="E112" s="26"/>
      <c r="F112" t="s">
        <v>27</v>
      </c>
      <c r="G112" s="27">
        <f>IFERROR(VLOOKUP(F112,CARTON_LOOKUP!$A:$E,3,0),"")</f>
      </c>
      <c r="H112" s="27">
        <f>IFERROR(VLOOKUP(F112,CARTON_LOOKUP!$A:$E,4,0),"")</f>
      </c>
      <c r="I112" s="27">
        <f>IFERROR(VLOOKUP(F112,CARTON_LOOKUP!$A:$E,5,0),"")</f>
      </c>
      <c r="J112" s="28">
        <f>IFERROR(VLOOKUP(F112,CARTON_LOOKUP!$A:$E,2,0),"")</f>
      </c>
      <c r="K112" s="28">
        <f>IFERROR(J112*D112,0)</f>
      </c>
      <c r="L112" s="28">
        <f>IFERROR(E112*C112,0)</f>
      </c>
      <c r="M112" s="28">
        <f>IFERROR((G112*H112*I112/1000000)*D112,0)</f>
      </c>
    </row>
    <row r="113" spans="1:13" x14ac:dyDescent="0.25">
      <c r="E113" s="26"/>
      <c r="F113" t="s">
        <v>27</v>
      </c>
      <c r="G113" s="27">
        <f>IFERROR(VLOOKUP(F113,CARTON_LOOKUP!$A:$E,3,0),"")</f>
      </c>
      <c r="H113" s="27">
        <f>IFERROR(VLOOKUP(F113,CARTON_LOOKUP!$A:$E,4,0),"")</f>
      </c>
      <c r="I113" s="27">
        <f>IFERROR(VLOOKUP(F113,CARTON_LOOKUP!$A:$E,5,0),"")</f>
      </c>
      <c r="J113" s="28">
        <f>IFERROR(VLOOKUP(F113,CARTON_LOOKUP!$A:$E,2,0),"")</f>
      </c>
      <c r="K113" s="28">
        <f>IFERROR(J113*D113,0)</f>
      </c>
      <c r="L113" s="28">
        <f>IFERROR(E113*C113,0)</f>
      </c>
      <c r="M113" s="28">
        <f>IFERROR((G113*H113*I113/1000000)*D113,0)</f>
      </c>
    </row>
    <row r="114" spans="1:13" x14ac:dyDescent="0.25">
      <c r="E114" s="26"/>
      <c r="F114" t="s">
        <v>27</v>
      </c>
      <c r="G114" s="27">
        <f>IFERROR(VLOOKUP(F114,CARTON_LOOKUP!$A:$E,3,0),"")</f>
      </c>
      <c r="H114" s="27">
        <f>IFERROR(VLOOKUP(F114,CARTON_LOOKUP!$A:$E,4,0),"")</f>
      </c>
      <c r="I114" s="27">
        <f>IFERROR(VLOOKUP(F114,CARTON_LOOKUP!$A:$E,5,0),"")</f>
      </c>
      <c r="J114" s="28">
        <f>IFERROR(VLOOKUP(F114,CARTON_LOOKUP!$A:$E,2,0),"")</f>
      </c>
      <c r="K114" s="28">
        <f>IFERROR(J114*D114,0)</f>
      </c>
      <c r="L114" s="28">
        <f>IFERROR(E114*C114,0)</f>
      </c>
      <c r="M114" s="28">
        <f>IFERROR((G114*H114*I114/1000000)*D114,0)</f>
      </c>
    </row>
    <row r="115" spans="1:13" x14ac:dyDescent="0.25">
      <c r="E115" s="26"/>
      <c r="F115" t="s">
        <v>27</v>
      </c>
      <c r="G115" s="27">
        <f>IFERROR(VLOOKUP(F115,CARTON_LOOKUP!$A:$E,3,0),"")</f>
      </c>
      <c r="H115" s="27">
        <f>IFERROR(VLOOKUP(F115,CARTON_LOOKUP!$A:$E,4,0),"")</f>
      </c>
      <c r="I115" s="27">
        <f>IFERROR(VLOOKUP(F115,CARTON_LOOKUP!$A:$E,5,0),"")</f>
      </c>
      <c r="J115" s="28">
        <f>IFERROR(VLOOKUP(F115,CARTON_LOOKUP!$A:$E,2,0),"")</f>
      </c>
      <c r="K115" s="28">
        <f>IFERROR(J115*D115,0)</f>
      </c>
      <c r="L115" s="28">
        <f>IFERROR(E115*C115,0)</f>
      </c>
      <c r="M115" s="28">
        <f>IFERROR((G115*H115*I115/1000000)*D115,0)</f>
      </c>
    </row>
    <row r="116" spans="1:13" x14ac:dyDescent="0.25">
      <c r="E116" s="26"/>
      <c r="F116" t="s">
        <v>27</v>
      </c>
      <c r="G116" s="27">
        <f>IFERROR(VLOOKUP(F116,CARTON_LOOKUP!$A:$E,3,0),"")</f>
      </c>
      <c r="H116" s="27">
        <f>IFERROR(VLOOKUP(F116,CARTON_LOOKUP!$A:$E,4,0),"")</f>
      </c>
      <c r="I116" s="27">
        <f>IFERROR(VLOOKUP(F116,CARTON_LOOKUP!$A:$E,5,0),"")</f>
      </c>
      <c r="J116" s="28">
        <f>IFERROR(VLOOKUP(F116,CARTON_LOOKUP!$A:$E,2,0),"")</f>
      </c>
      <c r="K116" s="28">
        <f>IFERROR(J116*D116,0)</f>
      </c>
      <c r="L116" s="28">
        <f>IFERROR(E116*C116,0)</f>
      </c>
      <c r="M116" s="28">
        <f>IFERROR((G116*H116*I116/1000000)*D116,0)</f>
      </c>
    </row>
    <row r="117" spans="1:13" x14ac:dyDescent="0.25">
      <c r="E117" s="26"/>
      <c r="F117" t="s">
        <v>27</v>
      </c>
      <c r="G117" s="27">
        <f>IFERROR(VLOOKUP(F117,CARTON_LOOKUP!$A:$E,3,0),"")</f>
      </c>
      <c r="H117" s="27">
        <f>IFERROR(VLOOKUP(F117,CARTON_LOOKUP!$A:$E,4,0),"")</f>
      </c>
      <c r="I117" s="27">
        <f>IFERROR(VLOOKUP(F117,CARTON_LOOKUP!$A:$E,5,0),"")</f>
      </c>
      <c r="J117" s="28">
        <f>IFERROR(VLOOKUP(F117,CARTON_LOOKUP!$A:$E,2,0),"")</f>
      </c>
      <c r="K117" s="28">
        <f>IFERROR(J117*D117,0)</f>
      </c>
      <c r="L117" s="28">
        <f>IFERROR(E117*C117,0)</f>
      </c>
      <c r="M117" s="28">
        <f>IFERROR((G117*H117*I117/1000000)*D117,0)</f>
      </c>
    </row>
    <row r="118" spans="1:13" x14ac:dyDescent="0.25">
      <c r="E118" s="26"/>
      <c r="F118" t="s">
        <v>27</v>
      </c>
      <c r="G118" s="27">
        <f>IFERROR(VLOOKUP(F118,CARTON_LOOKUP!$A:$E,3,0),"")</f>
      </c>
      <c r="H118" s="27">
        <f>IFERROR(VLOOKUP(F118,CARTON_LOOKUP!$A:$E,4,0),"")</f>
      </c>
      <c r="I118" s="27">
        <f>IFERROR(VLOOKUP(F118,CARTON_LOOKUP!$A:$E,5,0),"")</f>
      </c>
      <c r="J118" s="28">
        <f>IFERROR(VLOOKUP(F118,CARTON_LOOKUP!$A:$E,2,0),"")</f>
      </c>
      <c r="K118" s="28">
        <f>IFERROR(J118*D118,0)</f>
      </c>
      <c r="L118" s="28">
        <f>IFERROR(E118*C118,0)</f>
      </c>
      <c r="M118" s="28">
        <f>IFERROR((G118*H118*I118/1000000)*D118,0)</f>
      </c>
    </row>
    <row r="119" spans="1:13" x14ac:dyDescent="0.25">
      <c r="E119" s="26"/>
      <c r="F119" t="s">
        <v>27</v>
      </c>
      <c r="G119" s="27">
        <f>IFERROR(VLOOKUP(F119,CARTON_LOOKUP!$A:$E,3,0),"")</f>
      </c>
      <c r="H119" s="27">
        <f>IFERROR(VLOOKUP(F119,CARTON_LOOKUP!$A:$E,4,0),"")</f>
      </c>
      <c r="I119" s="27">
        <f>IFERROR(VLOOKUP(F119,CARTON_LOOKUP!$A:$E,5,0),"")</f>
      </c>
      <c r="J119" s="28">
        <f>IFERROR(VLOOKUP(F119,CARTON_LOOKUP!$A:$E,2,0),"")</f>
      </c>
      <c r="K119" s="28">
        <f>IFERROR(J119*D119,0)</f>
      </c>
      <c r="L119" s="28">
        <f>IFERROR(E119*C119,0)</f>
      </c>
      <c r="M119" s="28">
        <f>IFERROR((G119*H119*I119/1000000)*D119,0)</f>
      </c>
    </row>
    <row r="120" spans="1:13" x14ac:dyDescent="0.25">
      <c r="E120" s="26"/>
      <c r="F120" t="s">
        <v>27</v>
      </c>
      <c r="G120" s="27">
        <f>IFERROR(VLOOKUP(F120,CARTON_LOOKUP!$A:$E,3,0),"")</f>
      </c>
      <c r="H120" s="27">
        <f>IFERROR(VLOOKUP(F120,CARTON_LOOKUP!$A:$E,4,0),"")</f>
      </c>
      <c r="I120" s="27">
        <f>IFERROR(VLOOKUP(F120,CARTON_LOOKUP!$A:$E,5,0),"")</f>
      </c>
      <c r="J120" s="28">
        <f>IFERROR(VLOOKUP(F120,CARTON_LOOKUP!$A:$E,2,0),"")</f>
      </c>
      <c r="K120" s="28">
        <f>IFERROR(J120*D120,0)</f>
      </c>
      <c r="L120" s="28">
        <f>IFERROR(E120*C120,0)</f>
      </c>
      <c r="M120" s="28">
        <f>IFERROR((G120*H120*I120/1000000)*D120,0)</f>
      </c>
    </row>
    <row r="121" spans="1:13" x14ac:dyDescent="0.25">
      <c r="E121" s="26"/>
      <c r="F121" t="s">
        <v>27</v>
      </c>
      <c r="G121" s="27">
        <f>IFERROR(VLOOKUP(F121,CARTON_LOOKUP!$A:$E,3,0),"")</f>
      </c>
      <c r="H121" s="27">
        <f>IFERROR(VLOOKUP(F121,CARTON_LOOKUP!$A:$E,4,0),"")</f>
      </c>
      <c r="I121" s="27">
        <f>IFERROR(VLOOKUP(F121,CARTON_LOOKUP!$A:$E,5,0),"")</f>
      </c>
      <c r="J121" s="28">
        <f>IFERROR(VLOOKUP(F121,CARTON_LOOKUP!$A:$E,2,0),"")</f>
      </c>
      <c r="K121" s="28">
        <f>IFERROR(J121*D121,0)</f>
      </c>
      <c r="L121" s="28">
        <f>IFERROR(E121*C121,0)</f>
      </c>
      <c r="M121" s="28">
        <f>IFERROR((G121*H121*I121/1000000)*D121,0)</f>
      </c>
    </row>
    <row r="122" spans="1:13" x14ac:dyDescent="0.25">
      <c r="E122" s="26"/>
      <c r="F122" t="s">
        <v>27</v>
      </c>
      <c r="G122" s="27">
        <f>IFERROR(VLOOKUP(F122,CARTON_LOOKUP!$A:$E,3,0),"")</f>
      </c>
      <c r="H122" s="27">
        <f>IFERROR(VLOOKUP(F122,CARTON_LOOKUP!$A:$E,4,0),"")</f>
      </c>
      <c r="I122" s="27">
        <f>IFERROR(VLOOKUP(F122,CARTON_LOOKUP!$A:$E,5,0),"")</f>
      </c>
      <c r="J122" s="28">
        <f>IFERROR(VLOOKUP(F122,CARTON_LOOKUP!$A:$E,2,0),"")</f>
      </c>
      <c r="K122" s="28">
        <f>IFERROR(J122*D122,0)</f>
      </c>
      <c r="L122" s="28">
        <f>IFERROR(E122*C122,0)</f>
      </c>
      <c r="M122" s="28">
        <f>IFERROR((G122*H122*I122/1000000)*D122,0)</f>
      </c>
    </row>
    <row r="123" spans="1:13" x14ac:dyDescent="0.25">
      <c r="E123" s="26"/>
      <c r="F123" t="s">
        <v>27</v>
      </c>
      <c r="G123" s="27">
        <f>IFERROR(VLOOKUP(F123,CARTON_LOOKUP!$A:$E,3,0),"")</f>
      </c>
      <c r="H123" s="27">
        <f>IFERROR(VLOOKUP(F123,CARTON_LOOKUP!$A:$E,4,0),"")</f>
      </c>
      <c r="I123" s="27">
        <f>IFERROR(VLOOKUP(F123,CARTON_LOOKUP!$A:$E,5,0),"")</f>
      </c>
      <c r="J123" s="28">
        <f>IFERROR(VLOOKUP(F123,CARTON_LOOKUP!$A:$E,2,0),"")</f>
      </c>
      <c r="K123" s="28">
        <f>IFERROR(J123*D123,0)</f>
      </c>
      <c r="L123" s="28">
        <f>IFERROR(E123*C123,0)</f>
      </c>
      <c r="M123" s="28">
        <f>IFERROR((G123*H123*I123/1000000)*D123,0)</f>
      </c>
    </row>
    <row r="124" spans="1:13" x14ac:dyDescent="0.25">
      <c r="E124" s="26"/>
      <c r="F124" t="s">
        <v>27</v>
      </c>
      <c r="G124" s="27">
        <f>IFERROR(VLOOKUP(F124,CARTON_LOOKUP!$A:$E,3,0),"")</f>
      </c>
      <c r="H124" s="27">
        <f>IFERROR(VLOOKUP(F124,CARTON_LOOKUP!$A:$E,4,0),"")</f>
      </c>
      <c r="I124" s="27">
        <f>IFERROR(VLOOKUP(F124,CARTON_LOOKUP!$A:$E,5,0),"")</f>
      </c>
      <c r="J124" s="28">
        <f>IFERROR(VLOOKUP(F124,CARTON_LOOKUP!$A:$E,2,0),"")</f>
      </c>
      <c r="K124" s="28">
        <f>IFERROR(J124*D124,0)</f>
      </c>
      <c r="L124" s="28">
        <f>IFERROR(E124*C124,0)</f>
      </c>
      <c r="M124" s="28">
        <f>IFERROR((G124*H124*I124/1000000)*D124,0)</f>
      </c>
    </row>
    <row r="125" spans="1:13" x14ac:dyDescent="0.25">
      <c r="E125" s="26"/>
      <c r="F125" t="s">
        <v>27</v>
      </c>
      <c r="G125" s="27">
        <f>IFERROR(VLOOKUP(F125,CARTON_LOOKUP!$A:$E,3,0),"")</f>
      </c>
      <c r="H125" s="27">
        <f>IFERROR(VLOOKUP(F125,CARTON_LOOKUP!$A:$E,4,0),"")</f>
      </c>
      <c r="I125" s="27">
        <f>IFERROR(VLOOKUP(F125,CARTON_LOOKUP!$A:$E,5,0),"")</f>
      </c>
      <c r="J125" s="28">
        <f>IFERROR(VLOOKUP(F125,CARTON_LOOKUP!$A:$E,2,0),"")</f>
      </c>
      <c r="K125" s="28">
        <f>IFERROR(J125*D125,0)</f>
      </c>
      <c r="L125" s="28">
        <f>IFERROR(E125*C125,0)</f>
      </c>
      <c r="M125" s="28">
        <f>IFERROR((G125*H125*I125/1000000)*D125,0)</f>
      </c>
    </row>
    <row r="126" spans="1:13" x14ac:dyDescent="0.25">
      <c r="E126" s="26"/>
      <c r="F126" t="s">
        <v>27</v>
      </c>
      <c r="G126" s="27">
        <f>IFERROR(VLOOKUP(F126,CARTON_LOOKUP!$A:$E,3,0),"")</f>
      </c>
      <c r="H126" s="27">
        <f>IFERROR(VLOOKUP(F126,CARTON_LOOKUP!$A:$E,4,0),"")</f>
      </c>
      <c r="I126" s="27">
        <f>IFERROR(VLOOKUP(F126,CARTON_LOOKUP!$A:$E,5,0),"")</f>
      </c>
      <c r="J126" s="28">
        <f>IFERROR(VLOOKUP(F126,CARTON_LOOKUP!$A:$E,2,0),"")</f>
      </c>
      <c r="K126" s="28">
        <f>IFERROR(J126*D126,0)</f>
      </c>
      <c r="L126" s="28">
        <f>IFERROR(E126*C126,0)</f>
      </c>
      <c r="M126" s="28">
        <f>IFERROR((G126*H126*I126/1000000)*D126,0)</f>
      </c>
    </row>
    <row r="127" spans="1:13" x14ac:dyDescent="0.25">
      <c r="E127" s="26"/>
      <c r="F127" t="s">
        <v>27</v>
      </c>
      <c r="G127" s="27">
        <f>IFERROR(VLOOKUP(F127,CARTON_LOOKUP!$A:$E,3,0),"")</f>
      </c>
      <c r="H127" s="27">
        <f>IFERROR(VLOOKUP(F127,CARTON_LOOKUP!$A:$E,4,0),"")</f>
      </c>
      <c r="I127" s="27">
        <f>IFERROR(VLOOKUP(F127,CARTON_LOOKUP!$A:$E,5,0),"")</f>
      </c>
      <c r="J127" s="28">
        <f>IFERROR(VLOOKUP(F127,CARTON_LOOKUP!$A:$E,2,0),"")</f>
      </c>
      <c r="K127" s="28">
        <f>IFERROR(J127*D127,0)</f>
      </c>
      <c r="L127" s="28">
        <f>IFERROR(E127*C127,0)</f>
      </c>
      <c r="M127" s="28">
        <f>IFERROR((G127*H127*I127/1000000)*D127,0)</f>
      </c>
    </row>
    <row r="128" spans="1:13" x14ac:dyDescent="0.25">
      <c r="E128" s="26"/>
      <c r="F128" t="s">
        <v>27</v>
      </c>
      <c r="G128" s="27">
        <f>IFERROR(VLOOKUP(F128,CARTON_LOOKUP!$A:$E,3,0),"")</f>
      </c>
      <c r="H128" s="27">
        <f>IFERROR(VLOOKUP(F128,CARTON_LOOKUP!$A:$E,4,0),"")</f>
      </c>
      <c r="I128" s="27">
        <f>IFERROR(VLOOKUP(F128,CARTON_LOOKUP!$A:$E,5,0),"")</f>
      </c>
      <c r="J128" s="28">
        <f>IFERROR(VLOOKUP(F128,CARTON_LOOKUP!$A:$E,2,0),"")</f>
      </c>
      <c r="K128" s="28">
        <f>IFERROR(J128*D128,0)</f>
      </c>
      <c r="L128" s="28">
        <f>IFERROR(E128*C128,0)</f>
      </c>
      <c r="M128" s="28">
        <f>IFERROR((G128*H128*I128/1000000)*D128,0)</f>
      </c>
    </row>
    <row r="129" spans="1:13" x14ac:dyDescent="0.25">
      <c r="E129" s="26"/>
      <c r="F129" t="s">
        <v>27</v>
      </c>
      <c r="G129" s="27">
        <f>IFERROR(VLOOKUP(F129,CARTON_LOOKUP!$A:$E,3,0),"")</f>
      </c>
      <c r="H129" s="27">
        <f>IFERROR(VLOOKUP(F129,CARTON_LOOKUP!$A:$E,4,0),"")</f>
      </c>
      <c r="I129" s="27">
        <f>IFERROR(VLOOKUP(F129,CARTON_LOOKUP!$A:$E,5,0),"")</f>
      </c>
      <c r="J129" s="28">
        <f>IFERROR(VLOOKUP(F129,CARTON_LOOKUP!$A:$E,2,0),"")</f>
      </c>
      <c r="K129" s="28">
        <f>IFERROR(J129*D129,0)</f>
      </c>
      <c r="L129" s="28">
        <f>IFERROR(E129*C129,0)</f>
      </c>
      <c r="M129" s="28">
        <f>IFERROR((G129*H129*I129/1000000)*D129,0)</f>
      </c>
    </row>
    <row r="130" spans="1:13" x14ac:dyDescent="0.25">
      <c r="E130" s="26"/>
      <c r="F130" t="s">
        <v>27</v>
      </c>
      <c r="G130" s="27">
        <f>IFERROR(VLOOKUP(F130,CARTON_LOOKUP!$A:$E,3,0),"")</f>
      </c>
      <c r="H130" s="27">
        <f>IFERROR(VLOOKUP(F130,CARTON_LOOKUP!$A:$E,4,0),"")</f>
      </c>
      <c r="I130" s="27">
        <f>IFERROR(VLOOKUP(F130,CARTON_LOOKUP!$A:$E,5,0),"")</f>
      </c>
      <c r="J130" s="28">
        <f>IFERROR(VLOOKUP(F130,CARTON_LOOKUP!$A:$E,2,0),"")</f>
      </c>
      <c r="K130" s="28">
        <f>IFERROR(J130*D130,0)</f>
      </c>
      <c r="L130" s="28">
        <f>IFERROR(E130*C130,0)</f>
      </c>
      <c r="M130" s="28">
        <f>IFERROR((G130*H130*I130/1000000)*D130,0)</f>
      </c>
    </row>
    <row r="131" spans="1:13" x14ac:dyDescent="0.25">
      <c r="E131" s="26"/>
      <c r="F131" t="s">
        <v>27</v>
      </c>
      <c r="G131" s="27">
        <f>IFERROR(VLOOKUP(F131,CARTON_LOOKUP!$A:$E,3,0),"")</f>
      </c>
      <c r="H131" s="27">
        <f>IFERROR(VLOOKUP(F131,CARTON_LOOKUP!$A:$E,4,0),"")</f>
      </c>
      <c r="I131" s="27">
        <f>IFERROR(VLOOKUP(F131,CARTON_LOOKUP!$A:$E,5,0),"")</f>
      </c>
      <c r="J131" s="28">
        <f>IFERROR(VLOOKUP(F131,CARTON_LOOKUP!$A:$E,2,0),"")</f>
      </c>
      <c r="K131" s="28">
        <f>IFERROR(J131*D131,0)</f>
      </c>
      <c r="L131" s="28">
        <f>IFERROR(E131*C131,0)</f>
      </c>
      <c r="M131" s="28">
        <f>IFERROR((G131*H131*I131/1000000)*D131,0)</f>
      </c>
    </row>
    <row r="132" spans="1:13" x14ac:dyDescent="0.25">
      <c r="E132" s="26"/>
      <c r="F132" t="s">
        <v>27</v>
      </c>
      <c r="G132" s="27">
        <f>IFERROR(VLOOKUP(F132,CARTON_LOOKUP!$A:$E,3,0),"")</f>
      </c>
      <c r="H132" s="27">
        <f>IFERROR(VLOOKUP(F132,CARTON_LOOKUP!$A:$E,4,0),"")</f>
      </c>
      <c r="I132" s="27">
        <f>IFERROR(VLOOKUP(F132,CARTON_LOOKUP!$A:$E,5,0),"")</f>
      </c>
      <c r="J132" s="28">
        <f>IFERROR(VLOOKUP(F132,CARTON_LOOKUP!$A:$E,2,0),"")</f>
      </c>
      <c r="K132" s="28">
        <f>IFERROR(J132*D132,0)</f>
      </c>
      <c r="L132" s="28">
        <f>IFERROR(E132*C132,0)</f>
      </c>
      <c r="M132" s="28">
        <f>IFERROR((G132*H132*I132/1000000)*D132,0)</f>
      </c>
    </row>
    <row r="133" spans="1:13" x14ac:dyDescent="0.25">
      <c r="E133" s="26"/>
      <c r="F133" t="s">
        <v>27</v>
      </c>
      <c r="G133" s="27">
        <f>IFERROR(VLOOKUP(F133,CARTON_LOOKUP!$A:$E,3,0),"")</f>
      </c>
      <c r="H133" s="27">
        <f>IFERROR(VLOOKUP(F133,CARTON_LOOKUP!$A:$E,4,0),"")</f>
      </c>
      <c r="I133" s="27">
        <f>IFERROR(VLOOKUP(F133,CARTON_LOOKUP!$A:$E,5,0),"")</f>
      </c>
      <c r="J133" s="28">
        <f>IFERROR(VLOOKUP(F133,CARTON_LOOKUP!$A:$E,2,0),"")</f>
      </c>
      <c r="K133" s="28">
        <f>IFERROR(J133*D133,0)</f>
      </c>
      <c r="L133" s="28">
        <f>IFERROR(E133*C133,0)</f>
      </c>
      <c r="M133" s="28">
        <f>IFERROR((G133*H133*I133/1000000)*D133,0)</f>
      </c>
    </row>
    <row r="134" spans="1:13" x14ac:dyDescent="0.25">
      <c r="E134" s="26"/>
      <c r="F134" t="s">
        <v>27</v>
      </c>
      <c r="G134" s="27">
        <f>IFERROR(VLOOKUP(F134,CARTON_LOOKUP!$A:$E,3,0),"")</f>
      </c>
      <c r="H134" s="27">
        <f>IFERROR(VLOOKUP(F134,CARTON_LOOKUP!$A:$E,4,0),"")</f>
      </c>
      <c r="I134" s="27">
        <f>IFERROR(VLOOKUP(F134,CARTON_LOOKUP!$A:$E,5,0),"")</f>
      </c>
      <c r="J134" s="28">
        <f>IFERROR(VLOOKUP(F134,CARTON_LOOKUP!$A:$E,2,0),"")</f>
      </c>
      <c r="K134" s="28">
        <f>IFERROR(J134*D134,0)</f>
      </c>
      <c r="L134" s="28">
        <f>IFERROR(E134*C134,0)</f>
      </c>
      <c r="M134" s="28">
        <f>IFERROR((G134*H134*I134/1000000)*D134,0)</f>
      </c>
    </row>
    <row r="135" spans="1:13" x14ac:dyDescent="0.25">
      <c r="E135" s="26"/>
      <c r="F135" t="s">
        <v>27</v>
      </c>
      <c r="G135" s="27">
        <f>IFERROR(VLOOKUP(F135,CARTON_LOOKUP!$A:$E,3,0),"")</f>
      </c>
      <c r="H135" s="27">
        <f>IFERROR(VLOOKUP(F135,CARTON_LOOKUP!$A:$E,4,0),"")</f>
      </c>
      <c r="I135" s="27">
        <f>IFERROR(VLOOKUP(F135,CARTON_LOOKUP!$A:$E,5,0),"")</f>
      </c>
      <c r="J135" s="28">
        <f>IFERROR(VLOOKUP(F135,CARTON_LOOKUP!$A:$E,2,0),"")</f>
      </c>
      <c r="K135" s="28">
        <f>IFERROR(J135*D135,0)</f>
      </c>
      <c r="L135" s="28">
        <f>IFERROR(E135*C135,0)</f>
      </c>
      <c r="M135" s="28">
        <f>IFERROR((G135*H135*I135/1000000)*D135,0)</f>
      </c>
    </row>
    <row r="136" spans="1:13" x14ac:dyDescent="0.25">
      <c r="E136" s="26"/>
      <c r="F136" t="s">
        <v>27</v>
      </c>
      <c r="G136" s="27">
        <f>IFERROR(VLOOKUP(F136,CARTON_LOOKUP!$A:$E,3,0),"")</f>
      </c>
      <c r="H136" s="27">
        <f>IFERROR(VLOOKUP(F136,CARTON_LOOKUP!$A:$E,4,0),"")</f>
      </c>
      <c r="I136" s="27">
        <f>IFERROR(VLOOKUP(F136,CARTON_LOOKUP!$A:$E,5,0),"")</f>
      </c>
      <c r="J136" s="28">
        <f>IFERROR(VLOOKUP(F136,CARTON_LOOKUP!$A:$E,2,0),"")</f>
      </c>
      <c r="K136" s="28">
        <f>IFERROR(J136*D136,0)</f>
      </c>
      <c r="L136" s="28">
        <f>IFERROR(E136*C136,0)</f>
      </c>
      <c r="M136" s="28">
        <f>IFERROR((G136*H136*I136/1000000)*D136,0)</f>
      </c>
    </row>
    <row r="137" spans="1:13" x14ac:dyDescent="0.25">
      <c r="E137" s="26"/>
      <c r="F137" t="s">
        <v>27</v>
      </c>
      <c r="G137" s="27">
        <f>IFERROR(VLOOKUP(F137,CARTON_LOOKUP!$A:$E,3,0),"")</f>
      </c>
      <c r="H137" s="27">
        <f>IFERROR(VLOOKUP(F137,CARTON_LOOKUP!$A:$E,4,0),"")</f>
      </c>
      <c r="I137" s="27">
        <f>IFERROR(VLOOKUP(F137,CARTON_LOOKUP!$A:$E,5,0),"")</f>
      </c>
      <c r="J137" s="28">
        <f>IFERROR(VLOOKUP(F137,CARTON_LOOKUP!$A:$E,2,0),"")</f>
      </c>
      <c r="K137" s="28">
        <f>IFERROR(J137*D137,0)</f>
      </c>
      <c r="L137" s="28">
        <f>IFERROR(E137*C137,0)</f>
      </c>
      <c r="M137" s="28">
        <f>IFERROR((G137*H137*I137/1000000)*D137,0)</f>
      </c>
    </row>
    <row r="138" spans="1:13" x14ac:dyDescent="0.25">
      <c r="E138" s="26"/>
      <c r="F138" t="s">
        <v>27</v>
      </c>
      <c r="G138" s="27">
        <f>IFERROR(VLOOKUP(F138,CARTON_LOOKUP!$A:$E,3,0),"")</f>
      </c>
      <c r="H138" s="27">
        <f>IFERROR(VLOOKUP(F138,CARTON_LOOKUP!$A:$E,4,0),"")</f>
      </c>
      <c r="I138" s="27">
        <f>IFERROR(VLOOKUP(F138,CARTON_LOOKUP!$A:$E,5,0),"")</f>
      </c>
      <c r="J138" s="28">
        <f>IFERROR(VLOOKUP(F138,CARTON_LOOKUP!$A:$E,2,0),"")</f>
      </c>
      <c r="K138" s="28">
        <f>IFERROR(J138*D138,0)</f>
      </c>
      <c r="L138" s="28">
        <f>IFERROR(E138*C138,0)</f>
      </c>
      <c r="M138" s="28">
        <f>IFERROR((G138*H138*I138/1000000)*D138,0)</f>
      </c>
    </row>
    <row r="139" spans="1:13" x14ac:dyDescent="0.25">
      <c r="E139" s="26"/>
      <c r="F139" t="s">
        <v>27</v>
      </c>
      <c r="G139" s="27">
        <f>IFERROR(VLOOKUP(F139,CARTON_LOOKUP!$A:$E,3,0),"")</f>
      </c>
      <c r="H139" s="27">
        <f>IFERROR(VLOOKUP(F139,CARTON_LOOKUP!$A:$E,4,0),"")</f>
      </c>
      <c r="I139" s="27">
        <f>IFERROR(VLOOKUP(F139,CARTON_LOOKUP!$A:$E,5,0),"")</f>
      </c>
      <c r="J139" s="28">
        <f>IFERROR(VLOOKUP(F139,CARTON_LOOKUP!$A:$E,2,0),"")</f>
      </c>
      <c r="K139" s="28">
        <f>IFERROR(J139*D139,0)</f>
      </c>
      <c r="L139" s="28">
        <f>IFERROR(E139*C139,0)</f>
      </c>
      <c r="M139" s="28">
        <f>IFERROR((G139*H139*I139/1000000)*D139,0)</f>
      </c>
    </row>
    <row r="140" spans="1:13" x14ac:dyDescent="0.25">
      <c r="E140" s="26"/>
      <c r="F140" t="s">
        <v>27</v>
      </c>
      <c r="G140" s="27">
        <f>IFERROR(VLOOKUP(F140,CARTON_LOOKUP!$A:$E,3,0),"")</f>
      </c>
      <c r="H140" s="27">
        <f>IFERROR(VLOOKUP(F140,CARTON_LOOKUP!$A:$E,4,0),"")</f>
      </c>
      <c r="I140" s="27">
        <f>IFERROR(VLOOKUP(F140,CARTON_LOOKUP!$A:$E,5,0),"")</f>
      </c>
      <c r="J140" s="28">
        <f>IFERROR(VLOOKUP(F140,CARTON_LOOKUP!$A:$E,2,0),"")</f>
      </c>
      <c r="K140" s="28">
        <f>IFERROR(J140*D140,0)</f>
      </c>
      <c r="L140" s="28">
        <f>IFERROR(E140*C140,0)</f>
      </c>
      <c r="M140" s="28">
        <f>IFERROR((G140*H140*I140/1000000)*D140,0)</f>
      </c>
    </row>
    <row r="141" spans="1:13" x14ac:dyDescent="0.25">
      <c r="E141" s="26"/>
      <c r="F141" t="s">
        <v>27</v>
      </c>
      <c r="G141" s="27">
        <f>IFERROR(VLOOKUP(F141,CARTON_LOOKUP!$A:$E,3,0),"")</f>
      </c>
      <c r="H141" s="27">
        <f>IFERROR(VLOOKUP(F141,CARTON_LOOKUP!$A:$E,4,0),"")</f>
      </c>
      <c r="I141" s="27">
        <f>IFERROR(VLOOKUP(F141,CARTON_LOOKUP!$A:$E,5,0),"")</f>
      </c>
      <c r="J141" s="28">
        <f>IFERROR(VLOOKUP(F141,CARTON_LOOKUP!$A:$E,2,0),"")</f>
      </c>
      <c r="K141" s="28">
        <f>IFERROR(J141*D141,0)</f>
      </c>
      <c r="L141" s="28">
        <f>IFERROR(E141*C141,0)</f>
      </c>
      <c r="M141" s="28">
        <f>IFERROR((G141*H141*I141/1000000)*D141,0)</f>
      </c>
    </row>
    <row r="142" spans="1:13" x14ac:dyDescent="0.25">
      <c r="E142" s="26"/>
      <c r="F142" t="s">
        <v>27</v>
      </c>
      <c r="G142" s="27">
        <f>IFERROR(VLOOKUP(F142,CARTON_LOOKUP!$A:$E,3,0),"")</f>
      </c>
      <c r="H142" s="27">
        <f>IFERROR(VLOOKUP(F142,CARTON_LOOKUP!$A:$E,4,0),"")</f>
      </c>
      <c r="I142" s="27">
        <f>IFERROR(VLOOKUP(F142,CARTON_LOOKUP!$A:$E,5,0),"")</f>
      </c>
      <c r="J142" s="28">
        <f>IFERROR(VLOOKUP(F142,CARTON_LOOKUP!$A:$E,2,0),"")</f>
      </c>
      <c r="K142" s="28">
        <f>IFERROR(J142*D142,0)</f>
      </c>
      <c r="L142" s="28">
        <f>IFERROR(E142*C142,0)</f>
      </c>
      <c r="M142" s="28">
        <f>IFERROR((G142*H142*I142/1000000)*D142,0)</f>
      </c>
    </row>
    <row r="143" spans="1:13" x14ac:dyDescent="0.25">
      <c r="E143" s="26"/>
      <c r="F143" t="s">
        <v>27</v>
      </c>
      <c r="G143" s="27">
        <f>IFERROR(VLOOKUP(F143,CARTON_LOOKUP!$A:$E,3,0),"")</f>
      </c>
      <c r="H143" s="27">
        <f>IFERROR(VLOOKUP(F143,CARTON_LOOKUP!$A:$E,4,0),"")</f>
      </c>
      <c r="I143" s="27">
        <f>IFERROR(VLOOKUP(F143,CARTON_LOOKUP!$A:$E,5,0),"")</f>
      </c>
      <c r="J143" s="28">
        <f>IFERROR(VLOOKUP(F143,CARTON_LOOKUP!$A:$E,2,0),"")</f>
      </c>
      <c r="K143" s="28">
        <f>IFERROR(J143*D143,0)</f>
      </c>
      <c r="L143" s="28">
        <f>IFERROR(E143*C143,0)</f>
      </c>
      <c r="M143" s="28">
        <f>IFERROR((G143*H143*I143/1000000)*D143,0)</f>
      </c>
    </row>
    <row r="144" spans="1:13" x14ac:dyDescent="0.25">
      <c r="E144" s="26"/>
      <c r="F144" t="s">
        <v>27</v>
      </c>
      <c r="G144" s="27">
        <f>IFERROR(VLOOKUP(F144,CARTON_LOOKUP!$A:$E,3,0),"")</f>
      </c>
      <c r="H144" s="27">
        <f>IFERROR(VLOOKUP(F144,CARTON_LOOKUP!$A:$E,4,0),"")</f>
      </c>
      <c r="I144" s="27">
        <f>IFERROR(VLOOKUP(F144,CARTON_LOOKUP!$A:$E,5,0),"")</f>
      </c>
      <c r="J144" s="28">
        <f>IFERROR(VLOOKUP(F144,CARTON_LOOKUP!$A:$E,2,0),"")</f>
      </c>
      <c r="K144" s="28">
        <f>IFERROR(J144*D144,0)</f>
      </c>
      <c r="L144" s="28">
        <f>IFERROR(E144*C144,0)</f>
      </c>
      <c r="M144" s="28">
        <f>IFERROR((G144*H144*I144/1000000)*D144,0)</f>
      </c>
    </row>
    <row r="145" spans="1:13" x14ac:dyDescent="0.25">
      <c r="E145" s="26"/>
      <c r="F145" t="s">
        <v>27</v>
      </c>
      <c r="G145" s="27">
        <f>IFERROR(VLOOKUP(F145,CARTON_LOOKUP!$A:$E,3,0),"")</f>
      </c>
      <c r="H145" s="27">
        <f>IFERROR(VLOOKUP(F145,CARTON_LOOKUP!$A:$E,4,0),"")</f>
      </c>
      <c r="I145" s="27">
        <f>IFERROR(VLOOKUP(F145,CARTON_LOOKUP!$A:$E,5,0),"")</f>
      </c>
      <c r="J145" s="28">
        <f>IFERROR(VLOOKUP(F145,CARTON_LOOKUP!$A:$E,2,0),"")</f>
      </c>
      <c r="K145" s="28">
        <f>IFERROR(J145*D145,0)</f>
      </c>
      <c r="L145" s="28">
        <f>IFERROR(E145*C145,0)</f>
      </c>
      <c r="M145" s="28">
        <f>IFERROR((G145*H145*I145/1000000)*D145,0)</f>
      </c>
    </row>
    <row r="146" spans="1:13" x14ac:dyDescent="0.25">
      <c r="E146" s="26"/>
      <c r="F146" t="s">
        <v>27</v>
      </c>
      <c r="G146" s="27">
        <f>IFERROR(VLOOKUP(F146,CARTON_LOOKUP!$A:$E,3,0),"")</f>
      </c>
      <c r="H146" s="27">
        <f>IFERROR(VLOOKUP(F146,CARTON_LOOKUP!$A:$E,4,0),"")</f>
      </c>
      <c r="I146" s="27">
        <f>IFERROR(VLOOKUP(F146,CARTON_LOOKUP!$A:$E,5,0),"")</f>
      </c>
      <c r="J146" s="28">
        <f>IFERROR(VLOOKUP(F146,CARTON_LOOKUP!$A:$E,2,0),"")</f>
      </c>
      <c r="K146" s="28">
        <f>IFERROR(J146*D146,0)</f>
      </c>
      <c r="L146" s="28">
        <f>IFERROR(E146*C146,0)</f>
      </c>
      <c r="M146" s="28">
        <f>IFERROR((G146*H146*I146/1000000)*D146,0)</f>
      </c>
    </row>
    <row r="147" spans="1:13" x14ac:dyDescent="0.25">
      <c r="E147" s="26"/>
      <c r="F147" t="s">
        <v>27</v>
      </c>
      <c r="G147" s="27">
        <f>IFERROR(VLOOKUP(F147,CARTON_LOOKUP!$A:$E,3,0),"")</f>
      </c>
      <c r="H147" s="27">
        <f>IFERROR(VLOOKUP(F147,CARTON_LOOKUP!$A:$E,4,0),"")</f>
      </c>
      <c r="I147" s="27">
        <f>IFERROR(VLOOKUP(F147,CARTON_LOOKUP!$A:$E,5,0),"")</f>
      </c>
      <c r="J147" s="28">
        <f>IFERROR(VLOOKUP(F147,CARTON_LOOKUP!$A:$E,2,0),"")</f>
      </c>
      <c r="K147" s="28">
        <f>IFERROR(J147*D147,0)</f>
      </c>
      <c r="L147" s="28">
        <f>IFERROR(E147*C147,0)</f>
      </c>
      <c r="M147" s="28">
        <f>IFERROR((G147*H147*I147/1000000)*D147,0)</f>
      </c>
    </row>
    <row r="148" spans="1:13" x14ac:dyDescent="0.25">
      <c r="E148" s="26"/>
      <c r="F148" t="s">
        <v>27</v>
      </c>
      <c r="G148" s="27">
        <f>IFERROR(VLOOKUP(F148,CARTON_LOOKUP!$A:$E,3,0),"")</f>
      </c>
      <c r="H148" s="27">
        <f>IFERROR(VLOOKUP(F148,CARTON_LOOKUP!$A:$E,4,0),"")</f>
      </c>
      <c r="I148" s="27">
        <f>IFERROR(VLOOKUP(F148,CARTON_LOOKUP!$A:$E,5,0),"")</f>
      </c>
      <c r="J148" s="28">
        <f>IFERROR(VLOOKUP(F148,CARTON_LOOKUP!$A:$E,2,0),"")</f>
      </c>
      <c r="K148" s="28">
        <f>IFERROR(J148*D148,0)</f>
      </c>
      <c r="L148" s="28">
        <f>IFERROR(E148*C148,0)</f>
      </c>
      <c r="M148" s="28">
        <f>IFERROR((G148*H148*I148/1000000)*D148,0)</f>
      </c>
    </row>
    <row r="149" spans="1:13" x14ac:dyDescent="0.25">
      <c r="E149" s="26"/>
      <c r="F149" t="s">
        <v>27</v>
      </c>
      <c r="G149" s="27">
        <f>IFERROR(VLOOKUP(F149,CARTON_LOOKUP!$A:$E,3,0),"")</f>
      </c>
      <c r="H149" s="27">
        <f>IFERROR(VLOOKUP(F149,CARTON_LOOKUP!$A:$E,4,0),"")</f>
      </c>
      <c r="I149" s="27">
        <f>IFERROR(VLOOKUP(F149,CARTON_LOOKUP!$A:$E,5,0),"")</f>
      </c>
      <c r="J149" s="28">
        <f>IFERROR(VLOOKUP(F149,CARTON_LOOKUP!$A:$E,2,0),"")</f>
      </c>
      <c r="K149" s="28">
        <f>IFERROR(J149*D149,0)</f>
      </c>
      <c r="L149" s="28">
        <f>IFERROR(E149*C149,0)</f>
      </c>
      <c r="M149" s="28">
        <f>IFERROR((G149*H149*I149/1000000)*D149,0)</f>
      </c>
    </row>
    <row r="150" spans="1:13" x14ac:dyDescent="0.25">
      <c r="E150" s="26"/>
      <c r="F150" t="s">
        <v>27</v>
      </c>
      <c r="G150" s="27">
        <f>IFERROR(VLOOKUP(F150,CARTON_LOOKUP!$A:$E,3,0),"")</f>
      </c>
      <c r="H150" s="27">
        <f>IFERROR(VLOOKUP(F150,CARTON_LOOKUP!$A:$E,4,0),"")</f>
      </c>
      <c r="I150" s="27">
        <f>IFERROR(VLOOKUP(F150,CARTON_LOOKUP!$A:$E,5,0),"")</f>
      </c>
      <c r="J150" s="28">
        <f>IFERROR(VLOOKUP(F150,CARTON_LOOKUP!$A:$E,2,0),"")</f>
      </c>
      <c r="K150" s="28">
        <f>IFERROR(J150*D150,0)</f>
      </c>
      <c r="L150" s="28">
        <f>IFERROR(E150*C150,0)</f>
      </c>
      <c r="M150" s="28">
        <f>IFERROR((G150*H150*I150/1000000)*D150,0)</f>
      </c>
    </row>
    <row r="151" spans="1:13" x14ac:dyDescent="0.25">
      <c r="E151" s="26"/>
      <c r="F151" t="s">
        <v>27</v>
      </c>
      <c r="G151" s="27">
        <f>IFERROR(VLOOKUP(F151,CARTON_LOOKUP!$A:$E,3,0),"")</f>
      </c>
      <c r="H151" s="27">
        <f>IFERROR(VLOOKUP(F151,CARTON_LOOKUP!$A:$E,4,0),"")</f>
      </c>
      <c r="I151" s="27">
        <f>IFERROR(VLOOKUP(F151,CARTON_LOOKUP!$A:$E,5,0),"")</f>
      </c>
      <c r="J151" s="28">
        <f>IFERROR(VLOOKUP(F151,CARTON_LOOKUP!$A:$E,2,0),"")</f>
      </c>
      <c r="K151" s="28">
        <f>IFERROR(J151*D151,0)</f>
      </c>
      <c r="L151" s="28">
        <f>IFERROR(E151*C151,0)</f>
      </c>
      <c r="M151" s="28">
        <f>IFERROR((G151*H151*I151/1000000)*D151,0)</f>
      </c>
    </row>
    <row r="152" spans="1:13" x14ac:dyDescent="0.25">
      <c r="E152" s="26"/>
      <c r="F152" t="s">
        <v>27</v>
      </c>
      <c r="G152" s="27">
        <f>IFERROR(VLOOKUP(F152,CARTON_LOOKUP!$A:$E,3,0),"")</f>
      </c>
      <c r="H152" s="27">
        <f>IFERROR(VLOOKUP(F152,CARTON_LOOKUP!$A:$E,4,0),"")</f>
      </c>
      <c r="I152" s="27">
        <f>IFERROR(VLOOKUP(F152,CARTON_LOOKUP!$A:$E,5,0),"")</f>
      </c>
      <c r="J152" s="28">
        <f>IFERROR(VLOOKUP(F152,CARTON_LOOKUP!$A:$E,2,0),"")</f>
      </c>
      <c r="K152" s="28">
        <f>IFERROR(J152*D152,0)</f>
      </c>
      <c r="L152" s="28">
        <f>IFERROR(E152*C152,0)</f>
      </c>
      <c r="M152" s="28">
        <f>IFERROR((G152*H152*I152/1000000)*D152,0)</f>
      </c>
    </row>
    <row r="153" spans="1:13" x14ac:dyDescent="0.25">
      <c r="E153" s="26"/>
      <c r="F153" t="s">
        <v>27</v>
      </c>
      <c r="G153" s="27">
        <f>IFERROR(VLOOKUP(F153,CARTON_LOOKUP!$A:$E,3,0),"")</f>
      </c>
      <c r="H153" s="27">
        <f>IFERROR(VLOOKUP(F153,CARTON_LOOKUP!$A:$E,4,0),"")</f>
      </c>
      <c r="I153" s="27">
        <f>IFERROR(VLOOKUP(F153,CARTON_LOOKUP!$A:$E,5,0),"")</f>
      </c>
      <c r="J153" s="28">
        <f>IFERROR(VLOOKUP(F153,CARTON_LOOKUP!$A:$E,2,0),"")</f>
      </c>
      <c r="K153" s="28">
        <f>IFERROR(J153*D153,0)</f>
      </c>
      <c r="L153" s="28">
        <f>IFERROR(E153*C153,0)</f>
      </c>
      <c r="M153" s="28">
        <f>IFERROR((G153*H153*I153/1000000)*D153,0)</f>
      </c>
    </row>
    <row r="154" spans="1:13" x14ac:dyDescent="0.25">
      <c r="E154" s="26"/>
      <c r="F154" t="s">
        <v>27</v>
      </c>
      <c r="G154" s="27">
        <f>IFERROR(VLOOKUP(F154,CARTON_LOOKUP!$A:$E,3,0),"")</f>
      </c>
      <c r="H154" s="27">
        <f>IFERROR(VLOOKUP(F154,CARTON_LOOKUP!$A:$E,4,0),"")</f>
      </c>
      <c r="I154" s="27">
        <f>IFERROR(VLOOKUP(F154,CARTON_LOOKUP!$A:$E,5,0),"")</f>
      </c>
      <c r="J154" s="28">
        <f>IFERROR(VLOOKUP(F154,CARTON_LOOKUP!$A:$E,2,0),"")</f>
      </c>
      <c r="K154" s="28">
        <f>IFERROR(J154*D154,0)</f>
      </c>
      <c r="L154" s="28">
        <f>IFERROR(E154*C154,0)</f>
      </c>
      <c r="M154" s="28">
        <f>IFERROR((G154*H154*I154/1000000)*D154,0)</f>
      </c>
    </row>
    <row r="155" spans="1:13" x14ac:dyDescent="0.25">
      <c r="E155" s="26"/>
      <c r="F155" t="s">
        <v>27</v>
      </c>
      <c r="G155" s="27">
        <f>IFERROR(VLOOKUP(F155,CARTON_LOOKUP!$A:$E,3,0),"")</f>
      </c>
      <c r="H155" s="27">
        <f>IFERROR(VLOOKUP(F155,CARTON_LOOKUP!$A:$E,4,0),"")</f>
      </c>
      <c r="I155" s="27">
        <f>IFERROR(VLOOKUP(F155,CARTON_LOOKUP!$A:$E,5,0),"")</f>
      </c>
      <c r="J155" s="28">
        <f>IFERROR(VLOOKUP(F155,CARTON_LOOKUP!$A:$E,2,0),"")</f>
      </c>
      <c r="K155" s="28">
        <f>IFERROR(J155*D155,0)</f>
      </c>
      <c r="L155" s="28">
        <f>IFERROR(E155*C155,0)</f>
      </c>
      <c r="M155" s="28">
        <f>IFERROR((G155*H155*I155/1000000)*D155,0)</f>
      </c>
    </row>
    <row r="156" spans="1:13" x14ac:dyDescent="0.25">
      <c r="E156" s="26"/>
      <c r="F156" t="s">
        <v>27</v>
      </c>
      <c r="G156" s="27">
        <f>IFERROR(VLOOKUP(F156,CARTON_LOOKUP!$A:$E,3,0),"")</f>
      </c>
      <c r="H156" s="27">
        <f>IFERROR(VLOOKUP(F156,CARTON_LOOKUP!$A:$E,4,0),"")</f>
      </c>
      <c r="I156" s="27">
        <f>IFERROR(VLOOKUP(F156,CARTON_LOOKUP!$A:$E,5,0),"")</f>
      </c>
      <c r="J156" s="28">
        <f>IFERROR(VLOOKUP(F156,CARTON_LOOKUP!$A:$E,2,0),"")</f>
      </c>
      <c r="K156" s="28">
        <f>IFERROR(J156*D156,0)</f>
      </c>
      <c r="L156" s="28">
        <f>IFERROR(E156*C156,0)</f>
      </c>
      <c r="M156" s="28">
        <f>IFERROR((G156*H156*I156/1000000)*D156,0)</f>
      </c>
    </row>
    <row r="157" spans="1:13" x14ac:dyDescent="0.25">
      <c r="E157" s="26"/>
      <c r="F157" t="s">
        <v>27</v>
      </c>
      <c r="G157" s="27">
        <f>IFERROR(VLOOKUP(F157,CARTON_LOOKUP!$A:$E,3,0),"")</f>
      </c>
      <c r="H157" s="27">
        <f>IFERROR(VLOOKUP(F157,CARTON_LOOKUP!$A:$E,4,0),"")</f>
      </c>
      <c r="I157" s="27">
        <f>IFERROR(VLOOKUP(F157,CARTON_LOOKUP!$A:$E,5,0),"")</f>
      </c>
      <c r="J157" s="28">
        <f>IFERROR(VLOOKUP(F157,CARTON_LOOKUP!$A:$E,2,0),"")</f>
      </c>
      <c r="K157" s="28">
        <f>IFERROR(J157*D157,0)</f>
      </c>
      <c r="L157" s="28">
        <f>IFERROR(E157*C157,0)</f>
      </c>
      <c r="M157" s="28">
        <f>IFERROR((G157*H157*I157/1000000)*D157,0)</f>
      </c>
    </row>
    <row r="158" spans="1:13" x14ac:dyDescent="0.25">
      <c r="E158" s="26"/>
      <c r="F158" t="s">
        <v>27</v>
      </c>
      <c r="G158" s="27">
        <f>IFERROR(VLOOKUP(F158,CARTON_LOOKUP!$A:$E,3,0),"")</f>
      </c>
      <c r="H158" s="27">
        <f>IFERROR(VLOOKUP(F158,CARTON_LOOKUP!$A:$E,4,0),"")</f>
      </c>
      <c r="I158" s="27">
        <f>IFERROR(VLOOKUP(F158,CARTON_LOOKUP!$A:$E,5,0),"")</f>
      </c>
      <c r="J158" s="28">
        <f>IFERROR(VLOOKUP(F158,CARTON_LOOKUP!$A:$E,2,0),"")</f>
      </c>
      <c r="K158" s="28">
        <f>IFERROR(J158*D158,0)</f>
      </c>
      <c r="L158" s="28">
        <f>IFERROR(E158*C158,0)</f>
      </c>
      <c r="M158" s="28">
        <f>IFERROR((G158*H158*I158/1000000)*D158,0)</f>
      </c>
    </row>
    <row r="159" spans="1:13" x14ac:dyDescent="0.25">
      <c r="E159" s="26"/>
      <c r="F159" t="s">
        <v>27</v>
      </c>
      <c r="G159" s="27">
        <f>IFERROR(VLOOKUP(F159,CARTON_LOOKUP!$A:$E,3,0),"")</f>
      </c>
      <c r="H159" s="27">
        <f>IFERROR(VLOOKUP(F159,CARTON_LOOKUP!$A:$E,4,0),"")</f>
      </c>
      <c r="I159" s="27">
        <f>IFERROR(VLOOKUP(F159,CARTON_LOOKUP!$A:$E,5,0),"")</f>
      </c>
      <c r="J159" s="28">
        <f>IFERROR(VLOOKUP(F159,CARTON_LOOKUP!$A:$E,2,0),"")</f>
      </c>
      <c r="K159" s="28">
        <f>IFERROR(J159*D159,0)</f>
      </c>
      <c r="L159" s="28">
        <f>IFERROR(E159*C159,0)</f>
      </c>
      <c r="M159" s="28">
        <f>IFERROR((G159*H159*I159/1000000)*D159,0)</f>
      </c>
    </row>
    <row r="160" spans="1:13" x14ac:dyDescent="0.25">
      <c r="E160" s="26"/>
      <c r="F160" t="s">
        <v>27</v>
      </c>
      <c r="G160" s="27">
        <f>IFERROR(VLOOKUP(F160,CARTON_LOOKUP!$A:$E,3,0),"")</f>
      </c>
      <c r="H160" s="27">
        <f>IFERROR(VLOOKUP(F160,CARTON_LOOKUP!$A:$E,4,0),"")</f>
      </c>
      <c r="I160" s="27">
        <f>IFERROR(VLOOKUP(F160,CARTON_LOOKUP!$A:$E,5,0),"")</f>
      </c>
      <c r="J160" s="28">
        <f>IFERROR(VLOOKUP(F160,CARTON_LOOKUP!$A:$E,2,0),"")</f>
      </c>
      <c r="K160" s="28">
        <f>IFERROR(J160*D160,0)</f>
      </c>
      <c r="L160" s="28">
        <f>IFERROR(E160*C160,0)</f>
      </c>
      <c r="M160" s="28">
        <f>IFERROR((G160*H160*I160/1000000)*D160,0)</f>
      </c>
    </row>
    <row r="161" spans="1:13" x14ac:dyDescent="0.25">
      <c r="E161" s="26"/>
      <c r="F161" t="s">
        <v>27</v>
      </c>
      <c r="G161" s="27">
        <f>IFERROR(VLOOKUP(F161,CARTON_LOOKUP!$A:$E,3,0),"")</f>
      </c>
      <c r="H161" s="27">
        <f>IFERROR(VLOOKUP(F161,CARTON_LOOKUP!$A:$E,4,0),"")</f>
      </c>
      <c r="I161" s="27">
        <f>IFERROR(VLOOKUP(F161,CARTON_LOOKUP!$A:$E,5,0),"")</f>
      </c>
      <c r="J161" s="28">
        <f>IFERROR(VLOOKUP(F161,CARTON_LOOKUP!$A:$E,2,0),"")</f>
      </c>
      <c r="K161" s="28">
        <f>IFERROR(J161*D161,0)</f>
      </c>
      <c r="L161" s="28">
        <f>IFERROR(E161*C161,0)</f>
      </c>
      <c r="M161" s="28">
        <f>IFERROR((G161*H161*I161/1000000)*D161,0)</f>
      </c>
    </row>
    <row r="162" spans="1:13" x14ac:dyDescent="0.25">
      <c r="E162" s="26"/>
      <c r="F162" t="s">
        <v>27</v>
      </c>
      <c r="G162" s="27">
        <f>IFERROR(VLOOKUP(F162,CARTON_LOOKUP!$A:$E,3,0),"")</f>
      </c>
      <c r="H162" s="27">
        <f>IFERROR(VLOOKUP(F162,CARTON_LOOKUP!$A:$E,4,0),"")</f>
      </c>
      <c r="I162" s="27">
        <f>IFERROR(VLOOKUP(F162,CARTON_LOOKUP!$A:$E,5,0),"")</f>
      </c>
      <c r="J162" s="28">
        <f>IFERROR(VLOOKUP(F162,CARTON_LOOKUP!$A:$E,2,0),"")</f>
      </c>
      <c r="K162" s="28">
        <f>IFERROR(J162*D162,0)</f>
      </c>
      <c r="L162" s="28">
        <f>IFERROR(E162*C162,0)</f>
      </c>
      <c r="M162" s="28">
        <f>IFERROR((G162*H162*I162/1000000)*D162,0)</f>
      </c>
    </row>
    <row r="163" spans="1:13" x14ac:dyDescent="0.25">
      <c r="E163" s="26"/>
      <c r="F163" t="s">
        <v>27</v>
      </c>
      <c r="G163" s="27">
        <f>IFERROR(VLOOKUP(F163,CARTON_LOOKUP!$A:$E,3,0),"")</f>
      </c>
      <c r="H163" s="27">
        <f>IFERROR(VLOOKUP(F163,CARTON_LOOKUP!$A:$E,4,0),"")</f>
      </c>
      <c r="I163" s="27">
        <f>IFERROR(VLOOKUP(F163,CARTON_LOOKUP!$A:$E,5,0),"")</f>
      </c>
      <c r="J163" s="28">
        <f>IFERROR(VLOOKUP(F163,CARTON_LOOKUP!$A:$E,2,0),"")</f>
      </c>
      <c r="K163" s="28">
        <f>IFERROR(J163*D163,0)</f>
      </c>
      <c r="L163" s="28">
        <f>IFERROR(E163*C163,0)</f>
      </c>
      <c r="M163" s="28">
        <f>IFERROR((G163*H163*I163/1000000)*D163,0)</f>
      </c>
    </row>
    <row r="164" spans="1:13" x14ac:dyDescent="0.25">
      <c r="E164" s="26"/>
      <c r="F164" t="s">
        <v>27</v>
      </c>
      <c r="G164" s="27">
        <f>IFERROR(VLOOKUP(F164,CARTON_LOOKUP!$A:$E,3,0),"")</f>
      </c>
      <c r="H164" s="27">
        <f>IFERROR(VLOOKUP(F164,CARTON_LOOKUP!$A:$E,4,0),"")</f>
      </c>
      <c r="I164" s="27">
        <f>IFERROR(VLOOKUP(F164,CARTON_LOOKUP!$A:$E,5,0),"")</f>
      </c>
      <c r="J164" s="28">
        <f>IFERROR(VLOOKUP(F164,CARTON_LOOKUP!$A:$E,2,0),"")</f>
      </c>
      <c r="K164" s="28">
        <f>IFERROR(J164*D164,0)</f>
      </c>
      <c r="L164" s="28">
        <f>IFERROR(E164*C164,0)</f>
      </c>
      <c r="M164" s="28">
        <f>IFERROR((G164*H164*I164/1000000)*D164,0)</f>
      </c>
    </row>
    <row r="165" spans="1:13" x14ac:dyDescent="0.25">
      <c r="E165" s="26"/>
      <c r="F165" t="s">
        <v>27</v>
      </c>
      <c r="G165" s="27">
        <f>IFERROR(VLOOKUP(F165,CARTON_LOOKUP!$A:$E,3,0),"")</f>
      </c>
      <c r="H165" s="27">
        <f>IFERROR(VLOOKUP(F165,CARTON_LOOKUP!$A:$E,4,0),"")</f>
      </c>
      <c r="I165" s="27">
        <f>IFERROR(VLOOKUP(F165,CARTON_LOOKUP!$A:$E,5,0),"")</f>
      </c>
      <c r="J165" s="28">
        <f>IFERROR(VLOOKUP(F165,CARTON_LOOKUP!$A:$E,2,0),"")</f>
      </c>
      <c r="K165" s="28">
        <f>IFERROR(J165*D165,0)</f>
      </c>
      <c r="L165" s="28">
        <f>IFERROR(E165*C165,0)</f>
      </c>
      <c r="M165" s="28">
        <f>IFERROR((G165*H165*I165/1000000)*D165,0)</f>
      </c>
    </row>
    <row r="166" spans="1:13" x14ac:dyDescent="0.25">
      <c r="E166" s="26"/>
      <c r="F166" t="s">
        <v>27</v>
      </c>
      <c r="G166" s="27">
        <f>IFERROR(VLOOKUP(F166,CARTON_LOOKUP!$A:$E,3,0),"")</f>
      </c>
      <c r="H166" s="27">
        <f>IFERROR(VLOOKUP(F166,CARTON_LOOKUP!$A:$E,4,0),"")</f>
      </c>
      <c r="I166" s="27">
        <f>IFERROR(VLOOKUP(F166,CARTON_LOOKUP!$A:$E,5,0),"")</f>
      </c>
      <c r="J166" s="28">
        <f>IFERROR(VLOOKUP(F166,CARTON_LOOKUP!$A:$E,2,0),"")</f>
      </c>
      <c r="K166" s="28">
        <f>IFERROR(J166*D166,0)</f>
      </c>
      <c r="L166" s="28">
        <f>IFERROR(E166*C166,0)</f>
      </c>
      <c r="M166" s="28">
        <f>IFERROR((G166*H166*I166/1000000)*D166,0)</f>
      </c>
    </row>
    <row r="167" spans="1:13" x14ac:dyDescent="0.25">
      <c r="E167" s="26"/>
      <c r="F167" t="s">
        <v>27</v>
      </c>
      <c r="G167" s="27">
        <f>IFERROR(VLOOKUP(F167,CARTON_LOOKUP!$A:$E,3,0),"")</f>
      </c>
      <c r="H167" s="27">
        <f>IFERROR(VLOOKUP(F167,CARTON_LOOKUP!$A:$E,4,0),"")</f>
      </c>
      <c r="I167" s="27">
        <f>IFERROR(VLOOKUP(F167,CARTON_LOOKUP!$A:$E,5,0),"")</f>
      </c>
      <c r="J167" s="28">
        <f>IFERROR(VLOOKUP(F167,CARTON_LOOKUP!$A:$E,2,0),"")</f>
      </c>
      <c r="K167" s="28">
        <f>IFERROR(J167*D167,0)</f>
      </c>
      <c r="L167" s="28">
        <f>IFERROR(E167*C167,0)</f>
      </c>
      <c r="M167" s="28">
        <f>IFERROR((G167*H167*I167/1000000)*D167,0)</f>
      </c>
    </row>
    <row r="168" spans="1:13" x14ac:dyDescent="0.25">
      <c r="E168" s="26"/>
      <c r="F168" t="s">
        <v>27</v>
      </c>
      <c r="G168" s="27">
        <f>IFERROR(VLOOKUP(F168,CARTON_LOOKUP!$A:$E,3,0),"")</f>
      </c>
      <c r="H168" s="27">
        <f>IFERROR(VLOOKUP(F168,CARTON_LOOKUP!$A:$E,4,0),"")</f>
      </c>
      <c r="I168" s="27">
        <f>IFERROR(VLOOKUP(F168,CARTON_LOOKUP!$A:$E,5,0),"")</f>
      </c>
      <c r="J168" s="28">
        <f>IFERROR(VLOOKUP(F168,CARTON_LOOKUP!$A:$E,2,0),"")</f>
      </c>
      <c r="K168" s="28">
        <f>IFERROR(J168*D168,0)</f>
      </c>
      <c r="L168" s="28">
        <f>IFERROR(E168*C168,0)</f>
      </c>
      <c r="M168" s="28">
        <f>IFERROR((G168*H168*I168/1000000)*D168,0)</f>
      </c>
    </row>
    <row r="169" spans="1:13" x14ac:dyDescent="0.25">
      <c r="E169" s="26"/>
      <c r="F169" t="s">
        <v>27</v>
      </c>
      <c r="G169" s="27">
        <f>IFERROR(VLOOKUP(F169,CARTON_LOOKUP!$A:$E,3,0),"")</f>
      </c>
      <c r="H169" s="27">
        <f>IFERROR(VLOOKUP(F169,CARTON_LOOKUP!$A:$E,4,0),"")</f>
      </c>
      <c r="I169" s="27">
        <f>IFERROR(VLOOKUP(F169,CARTON_LOOKUP!$A:$E,5,0),"")</f>
      </c>
      <c r="J169" s="28">
        <f>IFERROR(VLOOKUP(F169,CARTON_LOOKUP!$A:$E,2,0),"")</f>
      </c>
      <c r="K169" s="28">
        <f>IFERROR(J169*D169,0)</f>
      </c>
      <c r="L169" s="28">
        <f>IFERROR(E169*C169,0)</f>
      </c>
      <c r="M169" s="28">
        <f>IFERROR((G169*H169*I169/1000000)*D169,0)</f>
      </c>
    </row>
    <row r="170" spans="1:13" x14ac:dyDescent="0.25">
      <c r="E170" s="26"/>
      <c r="F170" t="s">
        <v>27</v>
      </c>
      <c r="G170" s="27">
        <f>IFERROR(VLOOKUP(F170,CARTON_LOOKUP!$A:$E,3,0),"")</f>
      </c>
      <c r="H170" s="27">
        <f>IFERROR(VLOOKUP(F170,CARTON_LOOKUP!$A:$E,4,0),"")</f>
      </c>
      <c r="I170" s="27">
        <f>IFERROR(VLOOKUP(F170,CARTON_LOOKUP!$A:$E,5,0),"")</f>
      </c>
      <c r="J170" s="28">
        <f>IFERROR(VLOOKUP(F170,CARTON_LOOKUP!$A:$E,2,0),"")</f>
      </c>
      <c r="K170" s="28">
        <f>IFERROR(J170*D170,0)</f>
      </c>
      <c r="L170" s="28">
        <f>IFERROR(E170*C170,0)</f>
      </c>
      <c r="M170" s="28">
        <f>IFERROR((G170*H170*I170/1000000)*D170,0)</f>
      </c>
    </row>
    <row r="171" spans="1:13" x14ac:dyDescent="0.25">
      <c r="E171" s="26"/>
      <c r="F171" t="s">
        <v>27</v>
      </c>
      <c r="G171" s="27">
        <f>IFERROR(VLOOKUP(F171,CARTON_LOOKUP!$A:$E,3,0),"")</f>
      </c>
      <c r="H171" s="27">
        <f>IFERROR(VLOOKUP(F171,CARTON_LOOKUP!$A:$E,4,0),"")</f>
      </c>
      <c r="I171" s="27">
        <f>IFERROR(VLOOKUP(F171,CARTON_LOOKUP!$A:$E,5,0),"")</f>
      </c>
      <c r="J171" s="28">
        <f>IFERROR(VLOOKUP(F171,CARTON_LOOKUP!$A:$E,2,0),"")</f>
      </c>
      <c r="K171" s="28">
        <f>IFERROR(J171*D171,0)</f>
      </c>
      <c r="L171" s="28">
        <f>IFERROR(E171*C171,0)</f>
      </c>
      <c r="M171" s="28">
        <f>IFERROR((G171*H171*I171/1000000)*D171,0)</f>
      </c>
    </row>
    <row r="172" spans="1:13" x14ac:dyDescent="0.25">
      <c r="E172" s="26"/>
      <c r="F172" t="s">
        <v>27</v>
      </c>
      <c r="G172" s="27">
        <f>IFERROR(VLOOKUP(F172,CARTON_LOOKUP!$A:$E,3,0),"")</f>
      </c>
      <c r="H172" s="27">
        <f>IFERROR(VLOOKUP(F172,CARTON_LOOKUP!$A:$E,4,0),"")</f>
      </c>
      <c r="I172" s="27">
        <f>IFERROR(VLOOKUP(F172,CARTON_LOOKUP!$A:$E,5,0),"")</f>
      </c>
      <c r="J172" s="28">
        <f>IFERROR(VLOOKUP(F172,CARTON_LOOKUP!$A:$E,2,0),"")</f>
      </c>
      <c r="K172" s="28">
        <f>IFERROR(J172*D172,0)</f>
      </c>
      <c r="L172" s="28">
        <f>IFERROR(E172*C172,0)</f>
      </c>
      <c r="M172" s="28">
        <f>IFERROR((G172*H172*I172/1000000)*D172,0)</f>
      </c>
    </row>
    <row r="173" spans="1:13" x14ac:dyDescent="0.25">
      <c r="E173" s="26"/>
      <c r="F173" t="s">
        <v>27</v>
      </c>
      <c r="G173" s="27">
        <f>IFERROR(VLOOKUP(F173,CARTON_LOOKUP!$A:$E,3,0),"")</f>
      </c>
      <c r="H173" s="27">
        <f>IFERROR(VLOOKUP(F173,CARTON_LOOKUP!$A:$E,4,0),"")</f>
      </c>
      <c r="I173" s="27">
        <f>IFERROR(VLOOKUP(F173,CARTON_LOOKUP!$A:$E,5,0),"")</f>
      </c>
      <c r="J173" s="28">
        <f>IFERROR(VLOOKUP(F173,CARTON_LOOKUP!$A:$E,2,0),"")</f>
      </c>
      <c r="K173" s="28">
        <f>IFERROR(J173*D173,0)</f>
      </c>
      <c r="L173" s="28">
        <f>IFERROR(E173*C173,0)</f>
      </c>
      <c r="M173" s="28">
        <f>IFERROR((G173*H173*I173/1000000)*D173,0)</f>
      </c>
    </row>
    <row r="174" spans="1:13" x14ac:dyDescent="0.25">
      <c r="E174" s="26"/>
      <c r="F174" t="s">
        <v>27</v>
      </c>
      <c r="G174" s="27">
        <f>IFERROR(VLOOKUP(F174,CARTON_LOOKUP!$A:$E,3,0),"")</f>
      </c>
      <c r="H174" s="27">
        <f>IFERROR(VLOOKUP(F174,CARTON_LOOKUP!$A:$E,4,0),"")</f>
      </c>
      <c r="I174" s="27">
        <f>IFERROR(VLOOKUP(F174,CARTON_LOOKUP!$A:$E,5,0),"")</f>
      </c>
      <c r="J174" s="28">
        <f>IFERROR(VLOOKUP(F174,CARTON_LOOKUP!$A:$E,2,0),"")</f>
      </c>
      <c r="K174" s="28">
        <f>IFERROR(J174*D174,0)</f>
      </c>
      <c r="L174" s="28">
        <f>IFERROR(E174*C174,0)</f>
      </c>
      <c r="M174" s="28">
        <f>IFERROR((G174*H174*I174/1000000)*D174,0)</f>
      </c>
    </row>
    <row r="175" spans="1:13" x14ac:dyDescent="0.25">
      <c r="E175" s="26"/>
      <c r="F175" t="s">
        <v>27</v>
      </c>
      <c r="G175" s="27">
        <f>IFERROR(VLOOKUP(F175,CARTON_LOOKUP!$A:$E,3,0),"")</f>
      </c>
      <c r="H175" s="27">
        <f>IFERROR(VLOOKUP(F175,CARTON_LOOKUP!$A:$E,4,0),"")</f>
      </c>
      <c r="I175" s="27">
        <f>IFERROR(VLOOKUP(F175,CARTON_LOOKUP!$A:$E,5,0),"")</f>
      </c>
      <c r="J175" s="28">
        <f>IFERROR(VLOOKUP(F175,CARTON_LOOKUP!$A:$E,2,0),"")</f>
      </c>
      <c r="K175" s="28">
        <f>IFERROR(J175*D175,0)</f>
      </c>
      <c r="L175" s="28">
        <f>IFERROR(E175*C175,0)</f>
      </c>
      <c r="M175" s="28">
        <f>IFERROR((G175*H175*I175/1000000)*D175,0)</f>
      </c>
    </row>
    <row r="176" spans="1:13" x14ac:dyDescent="0.25">
      <c r="E176" s="26"/>
      <c r="F176" t="s">
        <v>27</v>
      </c>
      <c r="G176" s="27">
        <f>IFERROR(VLOOKUP(F176,CARTON_LOOKUP!$A:$E,3,0),"")</f>
      </c>
      <c r="H176" s="27">
        <f>IFERROR(VLOOKUP(F176,CARTON_LOOKUP!$A:$E,4,0),"")</f>
      </c>
      <c r="I176" s="27">
        <f>IFERROR(VLOOKUP(F176,CARTON_LOOKUP!$A:$E,5,0),"")</f>
      </c>
      <c r="J176" s="28">
        <f>IFERROR(VLOOKUP(F176,CARTON_LOOKUP!$A:$E,2,0),"")</f>
      </c>
      <c r="K176" s="28">
        <f>IFERROR(J176*D176,0)</f>
      </c>
      <c r="L176" s="28">
        <f>IFERROR(E176*C176,0)</f>
      </c>
      <c r="M176" s="28">
        <f>IFERROR((G176*H176*I176/1000000)*D176,0)</f>
      </c>
    </row>
    <row r="177" spans="1:13" x14ac:dyDescent="0.25">
      <c r="E177" s="26"/>
      <c r="F177" t="s">
        <v>27</v>
      </c>
      <c r="G177" s="27">
        <f>IFERROR(VLOOKUP(F177,CARTON_LOOKUP!$A:$E,3,0),"")</f>
      </c>
      <c r="H177" s="27">
        <f>IFERROR(VLOOKUP(F177,CARTON_LOOKUP!$A:$E,4,0),"")</f>
      </c>
      <c r="I177" s="27">
        <f>IFERROR(VLOOKUP(F177,CARTON_LOOKUP!$A:$E,5,0),"")</f>
      </c>
      <c r="J177" s="28">
        <f>IFERROR(VLOOKUP(F177,CARTON_LOOKUP!$A:$E,2,0),"")</f>
      </c>
      <c r="K177" s="28">
        <f>IFERROR(J177*D177,0)</f>
      </c>
      <c r="L177" s="28">
        <f>IFERROR(E177*C177,0)</f>
      </c>
      <c r="M177" s="28">
        <f>IFERROR((G177*H177*I177/1000000)*D177,0)</f>
      </c>
    </row>
    <row r="178" spans="1:13" x14ac:dyDescent="0.25">
      <c r="E178" s="26"/>
      <c r="F178" t="s">
        <v>27</v>
      </c>
      <c r="G178" s="27">
        <f>IFERROR(VLOOKUP(F178,CARTON_LOOKUP!$A:$E,3,0),"")</f>
      </c>
      <c r="H178" s="27">
        <f>IFERROR(VLOOKUP(F178,CARTON_LOOKUP!$A:$E,4,0),"")</f>
      </c>
      <c r="I178" s="27">
        <f>IFERROR(VLOOKUP(F178,CARTON_LOOKUP!$A:$E,5,0),"")</f>
      </c>
      <c r="J178" s="28">
        <f>IFERROR(VLOOKUP(F178,CARTON_LOOKUP!$A:$E,2,0),"")</f>
      </c>
      <c r="K178" s="28">
        <f>IFERROR(J178*D178,0)</f>
      </c>
      <c r="L178" s="28">
        <f>IFERROR(E178*C178,0)</f>
      </c>
      <c r="M178" s="28">
        <f>IFERROR((G178*H178*I178/1000000)*D178,0)</f>
      </c>
    </row>
    <row r="179" spans="1:13" x14ac:dyDescent="0.25">
      <c r="E179" s="26"/>
      <c r="F179" t="s">
        <v>27</v>
      </c>
      <c r="G179" s="27">
        <f>IFERROR(VLOOKUP(F179,CARTON_LOOKUP!$A:$E,3,0),"")</f>
      </c>
      <c r="H179" s="27">
        <f>IFERROR(VLOOKUP(F179,CARTON_LOOKUP!$A:$E,4,0),"")</f>
      </c>
      <c r="I179" s="27">
        <f>IFERROR(VLOOKUP(F179,CARTON_LOOKUP!$A:$E,5,0),"")</f>
      </c>
      <c r="J179" s="28">
        <f>IFERROR(VLOOKUP(F179,CARTON_LOOKUP!$A:$E,2,0),"")</f>
      </c>
      <c r="K179" s="28">
        <f>IFERROR(J179*D179,0)</f>
      </c>
      <c r="L179" s="28">
        <f>IFERROR(E179*C179,0)</f>
      </c>
      <c r="M179" s="28">
        <f>IFERROR((G179*H179*I179/1000000)*D179,0)</f>
      </c>
    </row>
    <row r="180" spans="1:13" x14ac:dyDescent="0.25">
      <c r="E180" s="26"/>
      <c r="F180" t="s">
        <v>27</v>
      </c>
      <c r="G180" s="27">
        <f>IFERROR(VLOOKUP(F180,CARTON_LOOKUP!$A:$E,3,0),"")</f>
      </c>
      <c r="H180" s="27">
        <f>IFERROR(VLOOKUP(F180,CARTON_LOOKUP!$A:$E,4,0),"")</f>
      </c>
      <c r="I180" s="27">
        <f>IFERROR(VLOOKUP(F180,CARTON_LOOKUP!$A:$E,5,0),"")</f>
      </c>
      <c r="J180" s="28">
        <f>IFERROR(VLOOKUP(F180,CARTON_LOOKUP!$A:$E,2,0),"")</f>
      </c>
      <c r="K180" s="28">
        <f>IFERROR(J180*D180,0)</f>
      </c>
      <c r="L180" s="28">
        <f>IFERROR(E180*C180,0)</f>
      </c>
      <c r="M180" s="28">
        <f>IFERROR((G180*H180*I180/1000000)*D180,0)</f>
      </c>
    </row>
    <row r="181" spans="1:13" x14ac:dyDescent="0.25">
      <c r="E181" s="26"/>
      <c r="F181" t="s">
        <v>27</v>
      </c>
      <c r="G181" s="27">
        <f>IFERROR(VLOOKUP(F181,CARTON_LOOKUP!$A:$E,3,0),"")</f>
      </c>
      <c r="H181" s="27">
        <f>IFERROR(VLOOKUP(F181,CARTON_LOOKUP!$A:$E,4,0),"")</f>
      </c>
      <c r="I181" s="27">
        <f>IFERROR(VLOOKUP(F181,CARTON_LOOKUP!$A:$E,5,0),"")</f>
      </c>
      <c r="J181" s="28">
        <f>IFERROR(VLOOKUP(F181,CARTON_LOOKUP!$A:$E,2,0),"")</f>
      </c>
      <c r="K181" s="28">
        <f>IFERROR(J181*D181,0)</f>
      </c>
      <c r="L181" s="28">
        <f>IFERROR(E181*C181,0)</f>
      </c>
      <c r="M181" s="28">
        <f>IFERROR((G181*H181*I181/1000000)*D181,0)</f>
      </c>
    </row>
    <row r="182" spans="1:13" x14ac:dyDescent="0.25">
      <c r="E182" s="26"/>
      <c r="F182" t="s">
        <v>27</v>
      </c>
      <c r="G182" s="27">
        <f>IFERROR(VLOOKUP(F182,CARTON_LOOKUP!$A:$E,3,0),"")</f>
      </c>
      <c r="H182" s="27">
        <f>IFERROR(VLOOKUP(F182,CARTON_LOOKUP!$A:$E,4,0),"")</f>
      </c>
      <c r="I182" s="27">
        <f>IFERROR(VLOOKUP(F182,CARTON_LOOKUP!$A:$E,5,0),"")</f>
      </c>
      <c r="J182" s="28">
        <f>IFERROR(VLOOKUP(F182,CARTON_LOOKUP!$A:$E,2,0),"")</f>
      </c>
      <c r="K182" s="28">
        <f>IFERROR(J182*D182,0)</f>
      </c>
      <c r="L182" s="28">
        <f>IFERROR(E182*C182,0)</f>
      </c>
      <c r="M182" s="28">
        <f>IFERROR((G182*H182*I182/1000000)*D182,0)</f>
      </c>
    </row>
    <row r="183" spans="1:13" x14ac:dyDescent="0.25">
      <c r="E183" s="26"/>
      <c r="F183" t="s">
        <v>27</v>
      </c>
      <c r="G183" s="27">
        <f>IFERROR(VLOOKUP(F183,CARTON_LOOKUP!$A:$E,3,0),"")</f>
      </c>
      <c r="H183" s="27">
        <f>IFERROR(VLOOKUP(F183,CARTON_LOOKUP!$A:$E,4,0),"")</f>
      </c>
      <c r="I183" s="27">
        <f>IFERROR(VLOOKUP(F183,CARTON_LOOKUP!$A:$E,5,0),"")</f>
      </c>
      <c r="J183" s="28">
        <f>IFERROR(VLOOKUP(F183,CARTON_LOOKUP!$A:$E,2,0),"")</f>
      </c>
      <c r="K183" s="28">
        <f>IFERROR(J183*D183,0)</f>
      </c>
      <c r="L183" s="28">
        <f>IFERROR(E183*C183,0)</f>
      </c>
      <c r="M183" s="28">
        <f>IFERROR((G183*H183*I183/1000000)*D183,0)</f>
      </c>
    </row>
    <row r="184" spans="1:13" x14ac:dyDescent="0.25">
      <c r="E184" s="26"/>
      <c r="F184" t="s">
        <v>27</v>
      </c>
      <c r="G184" s="27">
        <f>IFERROR(VLOOKUP(F184,CARTON_LOOKUP!$A:$E,3,0),"")</f>
      </c>
      <c r="H184" s="27">
        <f>IFERROR(VLOOKUP(F184,CARTON_LOOKUP!$A:$E,4,0),"")</f>
      </c>
      <c r="I184" s="27">
        <f>IFERROR(VLOOKUP(F184,CARTON_LOOKUP!$A:$E,5,0),"")</f>
      </c>
      <c r="J184" s="28">
        <f>IFERROR(VLOOKUP(F184,CARTON_LOOKUP!$A:$E,2,0),"")</f>
      </c>
      <c r="K184" s="28">
        <f>IFERROR(J184*D184,0)</f>
      </c>
      <c r="L184" s="28">
        <f>IFERROR(E184*C184,0)</f>
      </c>
      <c r="M184" s="28">
        <f>IFERROR((G184*H184*I184/1000000)*D184,0)</f>
      </c>
    </row>
    <row r="185" spans="1:13" x14ac:dyDescent="0.25">
      <c r="E185" s="26"/>
      <c r="F185" t="s">
        <v>27</v>
      </c>
      <c r="G185" s="27">
        <f>IFERROR(VLOOKUP(F185,CARTON_LOOKUP!$A:$E,3,0),"")</f>
      </c>
      <c r="H185" s="27">
        <f>IFERROR(VLOOKUP(F185,CARTON_LOOKUP!$A:$E,4,0),"")</f>
      </c>
      <c r="I185" s="27">
        <f>IFERROR(VLOOKUP(F185,CARTON_LOOKUP!$A:$E,5,0),"")</f>
      </c>
      <c r="J185" s="28">
        <f>IFERROR(VLOOKUP(F185,CARTON_LOOKUP!$A:$E,2,0),"")</f>
      </c>
      <c r="K185" s="28">
        <f>IFERROR(J185*D185,0)</f>
      </c>
      <c r="L185" s="28">
        <f>IFERROR(E185*C185,0)</f>
      </c>
      <c r="M185" s="28">
        <f>IFERROR((G185*H185*I185/1000000)*D185,0)</f>
      </c>
    </row>
    <row r="186" spans="1:13" x14ac:dyDescent="0.25">
      <c r="E186" s="26"/>
      <c r="F186" t="s">
        <v>27</v>
      </c>
      <c r="G186" s="27">
        <f>IFERROR(VLOOKUP(F186,CARTON_LOOKUP!$A:$E,3,0),"")</f>
      </c>
      <c r="H186" s="27">
        <f>IFERROR(VLOOKUP(F186,CARTON_LOOKUP!$A:$E,4,0),"")</f>
      </c>
      <c r="I186" s="27">
        <f>IFERROR(VLOOKUP(F186,CARTON_LOOKUP!$A:$E,5,0),"")</f>
      </c>
      <c r="J186" s="28">
        <f>IFERROR(VLOOKUP(F186,CARTON_LOOKUP!$A:$E,2,0),"")</f>
      </c>
      <c r="K186" s="28">
        <f>IFERROR(J186*D186,0)</f>
      </c>
      <c r="L186" s="28">
        <f>IFERROR(E186*C186,0)</f>
      </c>
      <c r="M186" s="28">
        <f>IFERROR((G186*H186*I186/1000000)*D186,0)</f>
      </c>
    </row>
    <row r="187" spans="1:13" x14ac:dyDescent="0.25">
      <c r="E187" s="26"/>
      <c r="F187" t="s">
        <v>27</v>
      </c>
      <c r="G187" s="27">
        <f>IFERROR(VLOOKUP(F187,CARTON_LOOKUP!$A:$E,3,0),"")</f>
      </c>
      <c r="H187" s="27">
        <f>IFERROR(VLOOKUP(F187,CARTON_LOOKUP!$A:$E,4,0),"")</f>
      </c>
      <c r="I187" s="27">
        <f>IFERROR(VLOOKUP(F187,CARTON_LOOKUP!$A:$E,5,0),"")</f>
      </c>
      <c r="J187" s="28">
        <f>IFERROR(VLOOKUP(F187,CARTON_LOOKUP!$A:$E,2,0),"")</f>
      </c>
      <c r="K187" s="28">
        <f>IFERROR(J187*D187,0)</f>
      </c>
      <c r="L187" s="28">
        <f>IFERROR(E187*C187,0)</f>
      </c>
      <c r="M187" s="28">
        <f>IFERROR((G187*H187*I187/1000000)*D187,0)</f>
      </c>
    </row>
    <row r="188" spans="1:13" x14ac:dyDescent="0.25">
      <c r="E188" s="26"/>
      <c r="F188" t="s">
        <v>27</v>
      </c>
      <c r="G188" s="27">
        <f>IFERROR(VLOOKUP(F188,CARTON_LOOKUP!$A:$E,3,0),"")</f>
      </c>
      <c r="H188" s="27">
        <f>IFERROR(VLOOKUP(F188,CARTON_LOOKUP!$A:$E,4,0),"")</f>
      </c>
      <c r="I188" s="27">
        <f>IFERROR(VLOOKUP(F188,CARTON_LOOKUP!$A:$E,5,0),"")</f>
      </c>
      <c r="J188" s="28">
        <f>IFERROR(VLOOKUP(F188,CARTON_LOOKUP!$A:$E,2,0),"")</f>
      </c>
      <c r="K188" s="28">
        <f>IFERROR(J188*D188,0)</f>
      </c>
      <c r="L188" s="28">
        <f>IFERROR(E188*C188,0)</f>
      </c>
      <c r="M188" s="28">
        <f>IFERROR((G188*H188*I188/1000000)*D188,0)</f>
      </c>
    </row>
    <row r="189" spans="1:13" x14ac:dyDescent="0.25">
      <c r="E189" s="26"/>
      <c r="F189" t="s">
        <v>27</v>
      </c>
      <c r="G189" s="27">
        <f>IFERROR(VLOOKUP(F189,CARTON_LOOKUP!$A:$E,3,0),"")</f>
      </c>
      <c r="H189" s="27">
        <f>IFERROR(VLOOKUP(F189,CARTON_LOOKUP!$A:$E,4,0),"")</f>
      </c>
      <c r="I189" s="27">
        <f>IFERROR(VLOOKUP(F189,CARTON_LOOKUP!$A:$E,5,0),"")</f>
      </c>
      <c r="J189" s="28">
        <f>IFERROR(VLOOKUP(F189,CARTON_LOOKUP!$A:$E,2,0),"")</f>
      </c>
      <c r="K189" s="28">
        <f>IFERROR(J189*D189,0)</f>
      </c>
      <c r="L189" s="28">
        <f>IFERROR(E189*C189,0)</f>
      </c>
      <c r="M189" s="28">
        <f>IFERROR((G189*H189*I189/1000000)*D189,0)</f>
      </c>
    </row>
    <row r="190" spans="1:13" x14ac:dyDescent="0.25">
      <c r="E190" s="26"/>
      <c r="F190" t="s">
        <v>27</v>
      </c>
      <c r="G190" s="27">
        <f>IFERROR(VLOOKUP(F190,CARTON_LOOKUP!$A:$E,3,0),"")</f>
      </c>
      <c r="H190" s="27">
        <f>IFERROR(VLOOKUP(F190,CARTON_LOOKUP!$A:$E,4,0),"")</f>
      </c>
      <c r="I190" s="27">
        <f>IFERROR(VLOOKUP(F190,CARTON_LOOKUP!$A:$E,5,0),"")</f>
      </c>
      <c r="J190" s="28">
        <f>IFERROR(VLOOKUP(F190,CARTON_LOOKUP!$A:$E,2,0),"")</f>
      </c>
      <c r="K190" s="28">
        <f>IFERROR(J190*D190,0)</f>
      </c>
      <c r="L190" s="28">
        <f>IFERROR(E190*C190,0)</f>
      </c>
      <c r="M190" s="28">
        <f>IFERROR((G190*H190*I190/1000000)*D190,0)</f>
      </c>
    </row>
    <row r="191" spans="1:13" x14ac:dyDescent="0.25">
      <c r="E191" s="26"/>
      <c r="F191" t="s">
        <v>27</v>
      </c>
      <c r="G191" s="27">
        <f>IFERROR(VLOOKUP(F191,CARTON_LOOKUP!$A:$E,3,0),"")</f>
      </c>
      <c r="H191" s="27">
        <f>IFERROR(VLOOKUP(F191,CARTON_LOOKUP!$A:$E,4,0),"")</f>
      </c>
      <c r="I191" s="27">
        <f>IFERROR(VLOOKUP(F191,CARTON_LOOKUP!$A:$E,5,0),"")</f>
      </c>
      <c r="J191" s="28">
        <f>IFERROR(VLOOKUP(F191,CARTON_LOOKUP!$A:$E,2,0),"")</f>
      </c>
      <c r="K191" s="28">
        <f>IFERROR(J191*D191,0)</f>
      </c>
      <c r="L191" s="28">
        <f>IFERROR(E191*C191,0)</f>
      </c>
      <c r="M191" s="28">
        <f>IFERROR((G191*H191*I191/1000000)*D191,0)</f>
      </c>
    </row>
    <row r="192" spans="1:13" x14ac:dyDescent="0.25">
      <c r="E192" s="26"/>
      <c r="F192" t="s">
        <v>27</v>
      </c>
      <c r="G192" s="27">
        <f>IFERROR(VLOOKUP(F192,CARTON_LOOKUP!$A:$E,3,0),"")</f>
      </c>
      <c r="H192" s="27">
        <f>IFERROR(VLOOKUP(F192,CARTON_LOOKUP!$A:$E,4,0),"")</f>
      </c>
      <c r="I192" s="27">
        <f>IFERROR(VLOOKUP(F192,CARTON_LOOKUP!$A:$E,5,0),"")</f>
      </c>
      <c r="J192" s="28">
        <f>IFERROR(VLOOKUP(F192,CARTON_LOOKUP!$A:$E,2,0),"")</f>
      </c>
      <c r="K192" s="28">
        <f>IFERROR(J192*D192,0)</f>
      </c>
      <c r="L192" s="28">
        <f>IFERROR(E192*C192,0)</f>
      </c>
      <c r="M192" s="28">
        <f>IFERROR((G192*H192*I192/1000000)*D192,0)</f>
      </c>
    </row>
    <row r="193" spans="1:13" x14ac:dyDescent="0.25">
      <c r="E193" s="26"/>
      <c r="F193" t="s">
        <v>27</v>
      </c>
      <c r="G193" s="27">
        <f>IFERROR(VLOOKUP(F193,CARTON_LOOKUP!$A:$E,3,0),"")</f>
      </c>
      <c r="H193" s="27">
        <f>IFERROR(VLOOKUP(F193,CARTON_LOOKUP!$A:$E,4,0),"")</f>
      </c>
      <c r="I193" s="27">
        <f>IFERROR(VLOOKUP(F193,CARTON_LOOKUP!$A:$E,5,0),"")</f>
      </c>
      <c r="J193" s="28">
        <f>IFERROR(VLOOKUP(F193,CARTON_LOOKUP!$A:$E,2,0),"")</f>
      </c>
      <c r="K193" s="28">
        <f>IFERROR(J193*D193,0)</f>
      </c>
      <c r="L193" s="28">
        <f>IFERROR(E193*C193,0)</f>
      </c>
      <c r="M193" s="28">
        <f>IFERROR((G193*H193*I193/1000000)*D193,0)</f>
      </c>
    </row>
    <row r="194" spans="1:13" x14ac:dyDescent="0.25">
      <c r="E194" s="26"/>
      <c r="F194" t="s">
        <v>27</v>
      </c>
      <c r="G194" s="27">
        <f>IFERROR(VLOOKUP(F194,CARTON_LOOKUP!$A:$E,3,0),"")</f>
      </c>
      <c r="H194" s="27">
        <f>IFERROR(VLOOKUP(F194,CARTON_LOOKUP!$A:$E,4,0),"")</f>
      </c>
      <c r="I194" s="27">
        <f>IFERROR(VLOOKUP(F194,CARTON_LOOKUP!$A:$E,5,0),"")</f>
      </c>
      <c r="J194" s="28">
        <f>IFERROR(VLOOKUP(F194,CARTON_LOOKUP!$A:$E,2,0),"")</f>
      </c>
      <c r="K194" s="28">
        <f>IFERROR(J194*D194,0)</f>
      </c>
      <c r="L194" s="28">
        <f>IFERROR(E194*C194,0)</f>
      </c>
      <c r="M194" s="28">
        <f>IFERROR((G194*H194*I194/1000000)*D194,0)</f>
      </c>
    </row>
    <row r="195" spans="1:13" x14ac:dyDescent="0.25">
      <c r="E195" s="26"/>
      <c r="F195" t="s">
        <v>27</v>
      </c>
      <c r="G195" s="27">
        <f>IFERROR(VLOOKUP(F195,CARTON_LOOKUP!$A:$E,3,0),"")</f>
      </c>
      <c r="H195" s="27">
        <f>IFERROR(VLOOKUP(F195,CARTON_LOOKUP!$A:$E,4,0),"")</f>
      </c>
      <c r="I195" s="27">
        <f>IFERROR(VLOOKUP(F195,CARTON_LOOKUP!$A:$E,5,0),"")</f>
      </c>
      <c r="J195" s="28">
        <f>IFERROR(VLOOKUP(F195,CARTON_LOOKUP!$A:$E,2,0),"")</f>
      </c>
      <c r="K195" s="28">
        <f>IFERROR(J195*D195,0)</f>
      </c>
      <c r="L195" s="28">
        <f>IFERROR(E195*C195,0)</f>
      </c>
      <c r="M195" s="28">
        <f>IFERROR((G195*H195*I195/1000000)*D195,0)</f>
      </c>
    </row>
    <row r="196" spans="1:13" x14ac:dyDescent="0.25">
      <c r="E196" s="26"/>
      <c r="F196" t="s">
        <v>27</v>
      </c>
      <c r="G196" s="27">
        <f>IFERROR(VLOOKUP(F196,CARTON_LOOKUP!$A:$E,3,0),"")</f>
      </c>
      <c r="H196" s="27">
        <f>IFERROR(VLOOKUP(F196,CARTON_LOOKUP!$A:$E,4,0),"")</f>
      </c>
      <c r="I196" s="27">
        <f>IFERROR(VLOOKUP(F196,CARTON_LOOKUP!$A:$E,5,0),"")</f>
      </c>
      <c r="J196" s="28">
        <f>IFERROR(VLOOKUP(F196,CARTON_LOOKUP!$A:$E,2,0),"")</f>
      </c>
      <c r="K196" s="28">
        <f>IFERROR(J196*D196,0)</f>
      </c>
      <c r="L196" s="28">
        <f>IFERROR(E196*C196,0)</f>
      </c>
      <c r="M196" s="28">
        <f>IFERROR((G196*H196*I196/1000000)*D196,0)</f>
      </c>
    </row>
    <row r="197" spans="1:13" x14ac:dyDescent="0.25">
      <c r="E197" s="26"/>
      <c r="F197" t="s">
        <v>27</v>
      </c>
      <c r="G197" s="27">
        <f>IFERROR(VLOOKUP(F197,CARTON_LOOKUP!$A:$E,3,0),"")</f>
      </c>
      <c r="H197" s="27">
        <f>IFERROR(VLOOKUP(F197,CARTON_LOOKUP!$A:$E,4,0),"")</f>
      </c>
      <c r="I197" s="27">
        <f>IFERROR(VLOOKUP(F197,CARTON_LOOKUP!$A:$E,5,0),"")</f>
      </c>
      <c r="J197" s="28">
        <f>IFERROR(VLOOKUP(F197,CARTON_LOOKUP!$A:$E,2,0),"")</f>
      </c>
      <c r="K197" s="28">
        <f>IFERROR(J197*D197,0)</f>
      </c>
      <c r="L197" s="28">
        <f>IFERROR(E197*C197,0)</f>
      </c>
      <c r="M197" s="28">
        <f>IFERROR((G197*H197*I197/1000000)*D197,0)</f>
      </c>
    </row>
    <row r="198" spans="1:13" x14ac:dyDescent="0.25">
      <c r="E198" s="26"/>
      <c r="F198" t="s">
        <v>27</v>
      </c>
      <c r="G198" s="27">
        <f>IFERROR(VLOOKUP(F198,CARTON_LOOKUP!$A:$E,3,0),"")</f>
      </c>
      <c r="H198" s="27">
        <f>IFERROR(VLOOKUP(F198,CARTON_LOOKUP!$A:$E,4,0),"")</f>
      </c>
      <c r="I198" s="27">
        <f>IFERROR(VLOOKUP(F198,CARTON_LOOKUP!$A:$E,5,0),"")</f>
      </c>
      <c r="J198" s="28">
        <f>IFERROR(VLOOKUP(F198,CARTON_LOOKUP!$A:$E,2,0),"")</f>
      </c>
      <c r="K198" s="28">
        <f>IFERROR(J198*D198,0)</f>
      </c>
      <c r="L198" s="28">
        <f>IFERROR(E198*C198,0)</f>
      </c>
      <c r="M198" s="28">
        <f>IFERROR((G198*H198*I198/1000000)*D198,0)</f>
      </c>
    </row>
    <row r="199" spans="1:13" x14ac:dyDescent="0.25">
      <c r="E199" s="26"/>
      <c r="F199" t="s">
        <v>27</v>
      </c>
      <c r="G199" s="27">
        <f>IFERROR(VLOOKUP(F199,CARTON_LOOKUP!$A:$E,3,0),"")</f>
      </c>
      <c r="H199" s="27">
        <f>IFERROR(VLOOKUP(F199,CARTON_LOOKUP!$A:$E,4,0),"")</f>
      </c>
      <c r="I199" s="27">
        <f>IFERROR(VLOOKUP(F199,CARTON_LOOKUP!$A:$E,5,0),"")</f>
      </c>
      <c r="J199" s="28">
        <f>IFERROR(VLOOKUP(F199,CARTON_LOOKUP!$A:$E,2,0),"")</f>
      </c>
      <c r="K199" s="28">
        <f>IFERROR(J199*D199,0)</f>
      </c>
      <c r="L199" s="28">
        <f>IFERROR(E199*C199,0)</f>
      </c>
      <c r="M199" s="28">
        <f>IFERROR((G199*H199*I199/1000000)*D199,0)</f>
      </c>
    </row>
    <row r="200" spans="1:13" x14ac:dyDescent="0.25">
      <c r="E200" s="26"/>
      <c r="F200" t="s">
        <v>27</v>
      </c>
      <c r="G200" s="27">
        <f>IFERROR(VLOOKUP(F200,CARTON_LOOKUP!$A:$E,3,0),"")</f>
      </c>
      <c r="H200" s="27">
        <f>IFERROR(VLOOKUP(F200,CARTON_LOOKUP!$A:$E,4,0),"")</f>
      </c>
      <c r="I200" s="27">
        <f>IFERROR(VLOOKUP(F200,CARTON_LOOKUP!$A:$E,5,0),"")</f>
      </c>
      <c r="J200" s="28">
        <f>IFERROR(VLOOKUP(F200,CARTON_LOOKUP!$A:$E,2,0),"")</f>
      </c>
      <c r="K200" s="28">
        <f>IFERROR(J200*D200,0)</f>
      </c>
      <c r="L200" s="28">
        <f>IFERROR(E200*C200,0)</f>
      </c>
      <c r="M200" s="28">
        <f>IFERROR((G200*H200*I200/1000000)*D200,0)</f>
      </c>
    </row>
    <row r="201" spans="1:13" x14ac:dyDescent="0.25">
      <c r="E201" s="26"/>
      <c r="F201" t="s">
        <v>27</v>
      </c>
      <c r="G201" s="27">
        <f>IFERROR(VLOOKUP(F201,CARTON_LOOKUP!$A:$E,3,0),"")</f>
      </c>
      <c r="H201" s="27">
        <f>IFERROR(VLOOKUP(F201,CARTON_LOOKUP!$A:$E,4,0),"")</f>
      </c>
      <c r="I201" s="27">
        <f>IFERROR(VLOOKUP(F201,CARTON_LOOKUP!$A:$E,5,0),"")</f>
      </c>
      <c r="J201" s="28">
        <f>IFERROR(VLOOKUP(F201,CARTON_LOOKUP!$A:$E,2,0),"")</f>
      </c>
      <c r="K201" s="28">
        <f>IFERROR(J201*D201,0)</f>
      </c>
      <c r="L201" s="28">
        <f>IFERROR(E201*C201,0)</f>
      </c>
      <c r="M201" s="28">
        <f>IFERROR((G201*H201*I201/1000000)*D201,0)</f>
      </c>
    </row>
    <row r="202" spans="1:13" x14ac:dyDescent="0.25">
      <c r="E202" s="26"/>
      <c r="F202" t="s">
        <v>27</v>
      </c>
      <c r="G202" s="27">
        <f>IFERROR(VLOOKUP(F202,CARTON_LOOKUP!$A:$E,3,0),"")</f>
      </c>
      <c r="H202" s="27">
        <f>IFERROR(VLOOKUP(F202,CARTON_LOOKUP!$A:$E,4,0),"")</f>
      </c>
      <c r="I202" s="27">
        <f>IFERROR(VLOOKUP(F202,CARTON_LOOKUP!$A:$E,5,0),"")</f>
      </c>
      <c r="J202" s="28">
        <f>IFERROR(VLOOKUP(F202,CARTON_LOOKUP!$A:$E,2,0),"")</f>
      </c>
      <c r="K202" s="28">
        <f>IFERROR(J202*D202,0)</f>
      </c>
      <c r="L202" s="28">
        <f>IFERROR(E202*C202,0)</f>
      </c>
      <c r="M202" s="28">
        <f>IFERROR((G202*H202*I202/1000000)*D202,0)</f>
      </c>
    </row>
  </sheetData>
  <conditionalFormatting sqref="A3:A202">
    <cfRule type="expression" dxfId="1" priority="1">
      <formula>AND($A3&lt;&gt;"",COUNTIF('PO Header'!$A:$A,$A3)=0)</formula>
    </cfRule>
  </conditionalFormatting>
  <dataValidations count="12">
    <dataValidation type="textLength" operator="greaterThan" showErrorMessage="1" errorStyle="stop" errorTitle="Required" error="PO_Number cannot be blank" sqref="A10:A202">
      <formula1>0</formula1>
    </dataValidation>
    <dataValidation type="textLength" operator="greaterThan" showErrorMessage="1" errorStyle="stop" errorTitle="Required" error="PO_Number cannot be blank" sqref="A3:A202">
      <formula1>0</formula1>
    </dataValidation>
    <dataValidation type="textLength" operator="greaterThan" showErrorMessage="1" errorStyle="stop" errorTitle="Required" error="SKU cannot be blank" sqref="B10:B202">
      <formula1>0</formula1>
    </dataValidation>
    <dataValidation type="textLength" operator="greaterThan" showErrorMessage="1" errorStyle="stop" errorTitle="Required" error="SKU cannot be blank" sqref="B3:B202">
      <formula1>0</formula1>
    </dataValidation>
    <dataValidation type="whole" operator="greaterThan" showErrorMessage="1" errorStyle="stop" errorTitle="Invalid Booking Qty" error="Booking_Qty must be a whole number greater than 0" sqref="C10:C202">
      <formula1>0</formula1>
    </dataValidation>
    <dataValidation type="whole" operator="greaterThan" showErrorMessage="1" errorStyle="stop" errorTitle="Invalid Booking Qty" error="Booking_Qty must be a whole number greater than 0" sqref="C3:C202">
      <formula1>0</formula1>
    </dataValidation>
    <dataValidation type="whole" operator="greaterThan" showErrorMessage="1" errorStyle="stop" errorTitle="Invalid No of Cartons" error="Enter a whole number greater than 0" sqref="D10:D202">
      <formula1>0</formula1>
    </dataValidation>
    <dataValidation type="whole" operator="greaterThan" showErrorMessage="1" errorStyle="stop" errorTitle="Invalid No of Cartons" error="Enter a whole number greater than 0" sqref="D3:D202">
      <formula1>0</formula1>
    </dataValidation>
    <dataValidation type="decimal" operator="greaterThan" showErrorMessage="1" errorStyle="stop" errorTitle="Invalid Weight" error="Enter a positive weight in KG" sqref="E10:E202">
      <formula1>0</formula1>
    </dataValidation>
    <dataValidation type="decimal" operator="greaterThan" showErrorMessage="1" errorStyle="stop" errorTitle="Invalid Weight" error="Enter a positive weight in KG" sqref="E3:E202">
      <formula1>0</formula1>
    </dataValidation>
    <dataValidation type="list" showErrorMessage="1" errorStyle="stop" errorTitle="Invalid Carton Type" error="Select a carton type from the list" sqref="F10:F202">
      <formula1>CARTON_LOOKUP!$A$2:$A$20</formula1>
    </dataValidation>
    <dataValidation type="list" showErrorMessage="1" errorStyle="stop" errorTitle="Invalid Carton Type" error="Select a carton type from the list" sqref="F3:F202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6F5F"/>
  </sheetPr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32" customWidth="1"/>
    <col min="4" max="4" width="28" customWidth="1"/>
    <col min="5" max="5" width="20" customWidth="1"/>
    <col min="6" max="7" width="16" customWidth="1"/>
  </cols>
  <sheetData>
    <row r="1" ht="36" customHeight="1" spans="1:7" x14ac:dyDescent="0.25">
      <c r="A1" s="29" t="s">
        <v>115</v>
      </c>
      <c r="B1" s="29"/>
      <c r="C1" s="29"/>
      <c r="D1" s="29"/>
      <c r="E1" s="29"/>
      <c r="F1" s="29"/>
      <c r="G1" s="29"/>
    </row>
    <row r="2" ht="28" customHeight="1" spans="1:7" x14ac:dyDescent="0.25">
      <c r="A2" s="30" t="s">
        <v>83</v>
      </c>
      <c r="B2" s="30" t="s">
        <v>87</v>
      </c>
      <c r="C2" s="30" t="s">
        <v>88</v>
      </c>
      <c r="D2" s="30" t="s">
        <v>89</v>
      </c>
      <c r="E2" s="30" t="s">
        <v>90</v>
      </c>
      <c r="F2" s="30" t="s">
        <v>91</v>
      </c>
      <c r="G2" s="30" t="s">
        <v>92</v>
      </c>
    </row>
    <row r="3" spans="1:7" x14ac:dyDescent="0.25">
      <c r="A3" s="31" t="s">
        <v>97</v>
      </c>
      <c r="B3" s="31" t="s">
        <v>116</v>
      </c>
      <c r="C3" t="s">
        <v>3</v>
      </c>
      <c r="D3" t="s">
        <v>3</v>
      </c>
      <c r="E3" t="s">
        <v>3</v>
      </c>
      <c r="F3" t="s">
        <v>3</v>
      </c>
      <c r="G3" t="s">
        <v>3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 to use</vt:lpstr>
      <vt:lpstr>CARTON_LOOKUP</vt:lpstr>
      <vt:lpstr>LISTS_LOOKUP</vt:lpstr>
      <vt:lpstr>PO Header</vt:lpstr>
      <vt:lpstr>PO Lines</vt:lpstr>
      <vt:lpstr>FACTORY_LOOKUP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2026-06-18T12:17:48Z</dcterms:created>
  <dcterms:modified xsi:type="dcterms:W3CDTF">2026-06-18T12:17:48Z</dcterms:modified>
</cp:coreProperties>
</file>