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ON_LOOKUP" state="veryHidden" r:id="rId4"/>
    <sheet sheetId="2" name="SUPPLIER_INPUT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Q3" authorId="0">
      <text>
        <r>
          <rPr>
            <b/>
            <sz val="10"/>
          </rPr>
          <t xml:space="preserve">Enter a short booking reference code
</t>
        </r>
        <r>
          <rPr>
            <sz val="10"/>
          </rPr>
          <t xml:space="preserve">Examples: BK001, BK002, BK003
</t>
        </r>
        <r>
          <rPr>
            <i/>
            <sz val="10"/>
          </rPr>
          <t>Rows sharing the same Booking_Ref are grouped into the same VBKREQ when Booking_Group = “Club”.</t>
        </r>
      </text>
    </comment>
  </commentList>
</comments>
</file>

<file path=xl/sharedStrings.xml><?xml version="1.0" encoding="utf-8"?>
<sst xmlns="http://schemas.openxmlformats.org/spreadsheetml/2006/main" count="315" uniqueCount="68">
  <si>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</si>
  <si>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</si>
  <si>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</si>
  <si>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</si>
  <si>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</si>
  <si>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</si>
  <si>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</si>
  <si>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</si>
  <si>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</si>
  <si>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</si>
  <si>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</si>
  <si>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</si>
  <si>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</si>
  <si>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</si>
  <si>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</si>
  <si>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</si>
  <si>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</si>
  <si>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</si>
  <si>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</si>
  <si>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</si>
  <si>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</si>
  <si>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</si>
  <si>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</si>
  <si>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</si>
  <si>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⚠  INSTRUCTIONS: One row per SKU — fill in all RED columns for every SKU line. Mandatory fields are grouped on the LEFT. Multiple rows can share the same PO_Number. No_of_Cartons and Unit_Weight_KG must be filled per SKU row. Factory columns (Factory_Name through Factory_CountryCd) are mandatory — fill once per PO group. Carton dimensions auto-fill from Carton_Type. Dates in DD/MM/YYYY format. Do NOT modify column headers. BOOKING_GROUP (mandatory): choose “Separate” to generate one VBKREQ per PO, or “Club” to combine multiple POs into one VBKREQ. BOOKING_REF: enter a short reference code e.g. BK001, BK002 to identify each booking batch — rows sharing the same Booking_Ref are grouped together.</t>
  </si>
  <si>
    <t xml:space="preserve"> RED = Mandatory </t>
  </si>
  <si>
    <t xml:space="preserve"> GREEN = Has default </t>
  </si>
  <si>
    <t xml:space="preserve"> BLUE = Auto-calculated </t>
  </si>
  <si>
    <t xml:space="preserve"> ORANGE = Fill reference </t>
  </si>
  <si>
    <t xml:space="preserve"> GREY = Optional </t>
  </si>
  <si>
    <t>PO_Number</t>
  </si>
  <si>
    <t>SKU</t>
  </si>
  <si>
    <t>Booking_Qty</t>
  </si>
  <si>
    <t>No_of_Cartons</t>
  </si>
  <si>
    <t>Unit_Weight_KG</t>
  </si>
  <si>
    <t>Cargo_Ready_Planned_Collection_Date</t>
  </si>
  <si>
    <t>Carrier_Booking_Request_Date</t>
  </si>
  <si>
    <t>Traffic_Mode</t>
  </si>
  <si>
    <t>Mode_Of_Transport</t>
  </si>
  <si>
    <t>Factory_Name</t>
  </si>
  <si>
    <t>Factory_ID</t>
  </si>
  <si>
    <t>Factory_Street1</t>
  </si>
  <si>
    <t>Factory_City</t>
  </si>
  <si>
    <t>Factory_PostalCd</t>
  </si>
  <si>
    <t>Factory_CountryCd</t>
  </si>
  <si>
    <t>Booking_Group</t>
  </si>
  <si>
    <t xml:space="preserve">Booking_Ref
(e.g. BK001)</t>
  </si>
  <si>
    <t>Factory_Street2</t>
  </si>
  <si>
    <t>EAN_Barcode</t>
  </si>
  <si>
    <t>Colour_Code</t>
  </si>
  <si>
    <t>Size_Code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</si>
  <si>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</si>
  <si>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</si>
  <si>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</si>
  <si>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</si>
  <si>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</si>
  <si>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</si>
  <si>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</si>
  <si>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Pack_Type</t>
  </si>
  <si>
    <t>Collection_Type</t>
  </si>
  <si>
    <t>Collection_Time (HH:MM)</t>
  </si>
  <si>
    <t>Hazardous</t>
  </si>
  <si>
    <t>Expected_Delivery_Date</t>
  </si>
  <si>
    <t>Remarks</t>
  </si>
  <si>
    <t>Sea</t>
  </si>
  <si>
    <t>Flat</t>
  </si>
  <si>
    <t>Delivery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</si>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</sst>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DD/MM/YYYY"/>
  </numFmts>
  <fonts count="5" x14ac:knownFonts="1">
    <font>
      <color theme="1"/>
      <family val="2"/>
      <scheme val="minor"/>
      <sz val="11"/>
      <name val="Calibri"/>
    </font>
    <font>
      <b/>
      <color rgb="FF7B3F00"/>
      <sz val="11"/>
    </font>
    <font>
      <b/>
      <color rgb="FFFFFFFF"/>
      <sz val="10"/>
    </font>
    <font>
      <b/>
      <color rgb="FFFFFFFF"/>
      <sz val="11"/>
    </font>
    <font>
      <color rgb="FF1A5276"/>
      <sz val="10"/>
    </font>
  </fonts>
  <fills count="9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27AE60"/>
      </patternFill>
    </fill>
    <fill>
      <patternFill patternType="solid">
        <fgColor rgb="FF2E75B6"/>
      </patternFill>
    </fill>
    <fill>
      <patternFill patternType="solid">
        <fgColor rgb="FFE67E22"/>
      </patternFill>
    </fill>
    <fill>
      <patternFill patternType="solid">
        <fgColor rgb="FF555555"/>
      </patternFill>
    </fill>
    <fill>
      <patternFill patternType="solid">
        <fgColor rgb="FFD6E8F8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AAAAA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2" fontId="4" fillId="8" borderId="0" xfId="0" applyNumberFormat="1" applyFont="1" applyFill="1" applyProtection="1"/>
    <xf numFmtId="164" fontId="4" fillId="8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6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7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8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9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10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11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12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13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14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15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16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17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18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19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20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21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22</v>
      </c>
    </row>
    <row r="20" spans="1:5" x14ac:dyDescent="0.25">
      <c r="A20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AI5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4" customWidth="1"/>
    <col min="4" max="5" width="16" customWidth="1"/>
    <col min="6" max="6" width="34" customWidth="1"/>
    <col min="7" max="7" width="28" customWidth="1"/>
    <col min="8" max="8" width="14" customWidth="1"/>
    <col min="9" max="9" width="18" customWidth="1"/>
    <col min="10" max="10" width="28" customWidth="1"/>
    <col min="11" max="11" width="18" customWidth="1"/>
    <col min="12" max="12" width="30" customWidth="1"/>
    <col min="13" max="13" width="20" customWidth="1"/>
    <col min="14" max="15" width="16" customWidth="1"/>
    <col min="16" max="16" width="18" customWidth="1"/>
    <col min="17" max="17" width="20" customWidth="1"/>
    <col min="18" max="18" width="24" customWidth="1"/>
    <col min="19" max="19" width="18" customWidth="1"/>
    <col min="20" max="20" width="14" customWidth="1"/>
    <col min="21" max="21" width="12" customWidth="1"/>
    <col min="22" max="22" width="22" customWidth="1"/>
    <col min="23" max="23" width="18" customWidth="1"/>
    <col min="24" max="25" width="17" customWidth="1"/>
    <col min="26" max="26" width="18" customWidth="1"/>
    <col min="27" max="27" width="17" customWidth="1"/>
    <col min="28" max="28" width="16" customWidth="1"/>
    <col min="29" max="29" width="13" customWidth="1"/>
    <col min="30" max="30" width="14" customWidth="1"/>
    <col min="31" max="31" width="18" customWidth="1"/>
    <col min="32" max="32" width="24" customWidth="1"/>
    <col min="33" max="33" width="20" customWidth="1"/>
    <col min="34" max="34" width="24" customWidth="1"/>
    <col min="35" max="35" width="30" customWidth="1"/>
  </cols>
  <sheetData>
    <row r="1" ht="32" customHeight="1" spans="1:35" x14ac:dyDescent="0.25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ht="22" customHeight="1" spans="1:5" x14ac:dyDescent="0.25">
      <c r="A2" s="2" t="s">
        <v>25</v>
      </c>
      <c r="B2" s="3" t="s">
        <v>26</v>
      </c>
      <c r="C2" s="4" t="s">
        <v>27</v>
      </c>
      <c r="D2" s="5" t="s">
        <v>28</v>
      </c>
      <c r="E2" s="6" t="s">
        <v>29</v>
      </c>
    </row>
    <row r="3" ht="36" customHeight="1" spans="1:35" x14ac:dyDescent="0.25">
      <c r="A3" s="7" t="s">
        <v>30</v>
      </c>
      <c r="B3" s="7" t="s">
        <v>31</v>
      </c>
      <c r="C3" s="7" t="s">
        <v>32</v>
      </c>
      <c r="D3" s="7" t="s">
        <v>33</v>
      </c>
      <c r="E3" s="7" t="s">
        <v>34</v>
      </c>
      <c r="F3" s="7" t="s">
        <v>35</v>
      </c>
      <c r="G3" s="7" t="s">
        <v>36</v>
      </c>
      <c r="H3" s="7" t="s">
        <v>37</v>
      </c>
      <c r="I3" s="7" t="s">
        <v>38</v>
      </c>
      <c r="J3" s="7" t="s">
        <v>39</v>
      </c>
      <c r="K3" s="7" t="s">
        <v>40</v>
      </c>
      <c r="L3" s="7" t="s">
        <v>41</v>
      </c>
      <c r="M3" s="7" t="s">
        <v>42</v>
      </c>
      <c r="N3" s="7" t="s">
        <v>43</v>
      </c>
      <c r="O3" s="7" t="s">
        <v>44</v>
      </c>
      <c r="P3" s="7" t="s">
        <v>45</v>
      </c>
      <c r="Q3" s="8" t="s">
        <v>46</v>
      </c>
      <c r="R3" s="9" t="s">
        <v>47</v>
      </c>
      <c r="S3" s="9" t="s">
        <v>48</v>
      </c>
      <c r="T3" s="9" t="s">
        <v>49</v>
      </c>
      <c r="U3" s="9" t="s">
        <v>50</v>
      </c>
      <c r="V3" s="10" t="s">
        <v>0</v>
      </c>
      <c r="W3" s="11" t="s">
        <v>51</v>
      </c>
      <c r="X3" s="11" t="s">
        <v>52</v>
      </c>
      <c r="Y3" s="11" t="s">
        <v>53</v>
      </c>
      <c r="Z3" s="11" t="s">
        <v>54</v>
      </c>
      <c r="AA3" s="11" t="s">
        <v>55</v>
      </c>
      <c r="AB3" s="11" t="s">
        <v>56</v>
      </c>
      <c r="AC3" s="11" t="s">
        <v>57</v>
      </c>
      <c r="AD3" s="10" t="s">
        <v>58</v>
      </c>
      <c r="AE3" s="10" t="s">
        <v>59</v>
      </c>
      <c r="AF3" s="9" t="s">
        <v>60</v>
      </c>
      <c r="AG3" s="10" t="s">
        <v>61</v>
      </c>
      <c r="AH3" s="9" t="s">
        <v>62</v>
      </c>
      <c r="AI3" s="9" t="s">
        <v>63</v>
      </c>
    </row>
    <row r="4" spans="4:34" x14ac:dyDescent="0.25">
      <c r="E4" s="12"/>
      <c r="F4" s="13"/>
      <c r="G4" s="13"/>
      <c r="I4" t="s">
        <v>64</v>
      </c>
      <c r="V4" t="s">
        <v>5</v>
      </c>
      <c r="W4" s="14">
        <f>IFERROR(VLOOKUP(V4,CARTON_LOOKUP!$A:$E,3,0),"")</f>
      </c>
      <c r="X4" s="14">
        <f>IFERROR(VLOOKUP(V4,CARTON_LOOKUP!$A:$E,4,0),"")</f>
      </c>
      <c r="Y4" s="14">
        <f>IFERROR(VLOOKUP(V4,CARTON_LOOKUP!$A:$E,5,0),"")</f>
      </c>
      <c r="Z4" s="15">
        <f>IFERROR(VLOOKUP(V4,CARTON_LOOKUP!$A:$E,2,0),"")</f>
      </c>
      <c r="AA4" s="15">
        <f>IFERROR(Z4*D4,0)</f>
      </c>
      <c r="AB4" s="15">
        <f>IFERROR(E4*C4,0)</f>
      </c>
      <c r="AC4" s="15">
        <f>IFERROR((W4*X4*Y4/1000000)*D4,0)</f>
      </c>
      <c r="AD4" t="s">
        <v>65</v>
      </c>
      <c r="AE4" t="s">
        <v>66</v>
      </c>
      <c r="AG4" t="s">
        <v>67</v>
      </c>
      <c r="AH4" s="13"/>
    </row>
    <row r="5" spans="4:34" x14ac:dyDescent="0.25">
      <c r="E5" s="12"/>
      <c r="F5" s="13"/>
      <c r="G5" s="13"/>
      <c r="I5" t="s">
        <v>64</v>
      </c>
      <c r="V5" t="s">
        <v>5</v>
      </c>
      <c r="W5" s="14">
        <f>IFERROR(VLOOKUP(V5,CARTON_LOOKUP!$A:$E,3,0),"")</f>
      </c>
      <c r="X5" s="14">
        <f>IFERROR(VLOOKUP(V5,CARTON_LOOKUP!$A:$E,4,0),"")</f>
      </c>
      <c r="Y5" s="14">
        <f>IFERROR(VLOOKUP(V5,CARTON_LOOKUP!$A:$E,5,0),"")</f>
      </c>
      <c r="Z5" s="15">
        <f>IFERROR(VLOOKUP(V5,CARTON_LOOKUP!$A:$E,2,0),"")</f>
      </c>
      <c r="AA5" s="15">
        <f>IFERROR(Z5*D5,0)</f>
      </c>
      <c r="AB5" s="15">
        <f>IFERROR(E5*C5,0)</f>
      </c>
      <c r="AC5" s="15">
        <f>IFERROR((W5*X5*Y5/1000000)*D5,0)</f>
      </c>
      <c r="AD5" t="s">
        <v>65</v>
      </c>
      <c r="AE5" t="s">
        <v>66</v>
      </c>
      <c r="AG5" t="s">
        <v>67</v>
      </c>
      <c r="AH5" s="13"/>
    </row>
    <row r="6" spans="4:34" x14ac:dyDescent="0.25">
      <c r="E6" s="12"/>
      <c r="F6" s="13"/>
      <c r="G6" s="13"/>
      <c r="I6" t="s">
        <v>64</v>
      </c>
      <c r="V6" t="s">
        <v>5</v>
      </c>
      <c r="W6" s="14">
        <f>IFERROR(VLOOKUP(V6,CARTON_LOOKUP!$A:$E,3,0),"")</f>
      </c>
      <c r="X6" s="14">
        <f>IFERROR(VLOOKUP(V6,CARTON_LOOKUP!$A:$E,4,0),"")</f>
      </c>
      <c r="Y6" s="14">
        <f>IFERROR(VLOOKUP(V6,CARTON_LOOKUP!$A:$E,5,0),"")</f>
      </c>
      <c r="Z6" s="15">
        <f>IFERROR(VLOOKUP(V6,CARTON_LOOKUP!$A:$E,2,0),"")</f>
      </c>
      <c r="AA6" s="15">
        <f>IFERROR(Z6*D6,0)</f>
      </c>
      <c r="AB6" s="15">
        <f>IFERROR(E6*C6,0)</f>
      </c>
      <c r="AC6" s="15">
        <f>IFERROR((W6*X6*Y6/1000000)*D6,0)</f>
      </c>
      <c r="AD6" t="s">
        <v>65</v>
      </c>
      <c r="AE6" t="s">
        <v>66</v>
      </c>
      <c r="AG6" t="s">
        <v>67</v>
      </c>
      <c r="AH6" s="13"/>
    </row>
    <row r="7" spans="4:34" x14ac:dyDescent="0.25">
      <c r="E7" s="12"/>
      <c r="F7" s="13"/>
      <c r="G7" s="13"/>
      <c r="I7" t="s">
        <v>64</v>
      </c>
      <c r="V7" t="s">
        <v>5</v>
      </c>
      <c r="W7" s="14">
        <f>IFERROR(VLOOKUP(V7,CARTON_LOOKUP!$A:$E,3,0),"")</f>
      </c>
      <c r="X7" s="14">
        <f>IFERROR(VLOOKUP(V7,CARTON_LOOKUP!$A:$E,4,0),"")</f>
      </c>
      <c r="Y7" s="14">
        <f>IFERROR(VLOOKUP(V7,CARTON_LOOKUP!$A:$E,5,0),"")</f>
      </c>
      <c r="Z7" s="15">
        <f>IFERROR(VLOOKUP(V7,CARTON_LOOKUP!$A:$E,2,0),"")</f>
      </c>
      <c r="AA7" s="15">
        <f>IFERROR(Z7*D7,0)</f>
      </c>
      <c r="AB7" s="15">
        <f>IFERROR(E7*C7,0)</f>
      </c>
      <c r="AC7" s="15">
        <f>IFERROR((W7*X7*Y7/1000000)*D7,0)</f>
      </c>
      <c r="AD7" t="s">
        <v>65</v>
      </c>
      <c r="AE7" t="s">
        <v>66</v>
      </c>
      <c r="AG7" t="s">
        <v>67</v>
      </c>
      <c r="AH7" s="13"/>
    </row>
    <row r="8" spans="4:34" x14ac:dyDescent="0.25">
      <c r="E8" s="12"/>
      <c r="F8" s="13"/>
      <c r="G8" s="13"/>
      <c r="I8" t="s">
        <v>64</v>
      </c>
      <c r="V8" t="s">
        <v>5</v>
      </c>
      <c r="W8" s="14">
        <f>IFERROR(VLOOKUP(V8,CARTON_LOOKUP!$A:$E,3,0),"")</f>
      </c>
      <c r="X8" s="14">
        <f>IFERROR(VLOOKUP(V8,CARTON_LOOKUP!$A:$E,4,0),"")</f>
      </c>
      <c r="Y8" s="14">
        <f>IFERROR(VLOOKUP(V8,CARTON_LOOKUP!$A:$E,5,0),"")</f>
      </c>
      <c r="Z8" s="15">
        <f>IFERROR(VLOOKUP(V8,CARTON_LOOKUP!$A:$E,2,0),"")</f>
      </c>
      <c r="AA8" s="15">
        <f>IFERROR(Z8*D8,0)</f>
      </c>
      <c r="AB8" s="15">
        <f>IFERROR(E8*C8,0)</f>
      </c>
      <c r="AC8" s="15">
        <f>IFERROR((W8*X8*Y8/1000000)*D8,0)</f>
      </c>
      <c r="AD8" t="s">
        <v>65</v>
      </c>
      <c r="AE8" t="s">
        <v>66</v>
      </c>
      <c r="AG8" t="s">
        <v>67</v>
      </c>
      <c r="AH8" s="13"/>
    </row>
    <row r="9" spans="4:34" x14ac:dyDescent="0.25">
      <c r="E9" s="12"/>
      <c r="F9" s="13"/>
      <c r="G9" s="13"/>
      <c r="I9" t="s">
        <v>64</v>
      </c>
      <c r="V9" t="s">
        <v>5</v>
      </c>
      <c r="W9" s="14">
        <f>IFERROR(VLOOKUP(V9,CARTON_LOOKUP!$A:$E,3,0),"")</f>
      </c>
      <c r="X9" s="14">
        <f>IFERROR(VLOOKUP(V9,CARTON_LOOKUP!$A:$E,4,0),"")</f>
      </c>
      <c r="Y9" s="14">
        <f>IFERROR(VLOOKUP(V9,CARTON_LOOKUP!$A:$E,5,0),"")</f>
      </c>
      <c r="Z9" s="15">
        <f>IFERROR(VLOOKUP(V9,CARTON_LOOKUP!$A:$E,2,0),"")</f>
      </c>
      <c r="AA9" s="15">
        <f>IFERROR(Z9*D9,0)</f>
      </c>
      <c r="AB9" s="15">
        <f>IFERROR(E9*C9,0)</f>
      </c>
      <c r="AC9" s="15">
        <f>IFERROR((W9*X9*Y9/1000000)*D9,0)</f>
      </c>
      <c r="AD9" t="s">
        <v>65</v>
      </c>
      <c r="AE9" t="s">
        <v>66</v>
      </c>
      <c r="AG9" t="s">
        <v>67</v>
      </c>
      <c r="AH9" s="13"/>
    </row>
    <row r="10" spans="4:34" x14ac:dyDescent="0.25">
      <c r="E10" s="12"/>
      <c r="F10" s="13"/>
      <c r="G10" s="13"/>
      <c r="I10" t="s">
        <v>64</v>
      </c>
      <c r="V10" t="s">
        <v>5</v>
      </c>
      <c r="W10" s="14">
        <f>IFERROR(VLOOKUP(V10,CARTON_LOOKUP!$A:$E,3,0),"")</f>
      </c>
      <c r="X10" s="14">
        <f>IFERROR(VLOOKUP(V10,CARTON_LOOKUP!$A:$E,4,0),"")</f>
      </c>
      <c r="Y10" s="14">
        <f>IFERROR(VLOOKUP(V10,CARTON_LOOKUP!$A:$E,5,0),"")</f>
      </c>
      <c r="Z10" s="15">
        <f>IFERROR(VLOOKUP(V10,CARTON_LOOKUP!$A:$E,2,0),"")</f>
      </c>
      <c r="AA10" s="15">
        <f>IFERROR(Z10*D10,0)</f>
      </c>
      <c r="AB10" s="15">
        <f>IFERROR(E10*C10,0)</f>
      </c>
      <c r="AC10" s="15">
        <f>IFERROR((W10*X10*Y10/1000000)*D10,0)</f>
      </c>
      <c r="AD10" t="s">
        <v>65</v>
      </c>
      <c r="AE10" t="s">
        <v>66</v>
      </c>
      <c r="AG10" t="s">
        <v>67</v>
      </c>
      <c r="AH10" s="13"/>
    </row>
    <row r="11" spans="4:34" x14ac:dyDescent="0.25">
      <c r="E11" s="12"/>
      <c r="F11" s="13"/>
      <c r="G11" s="13"/>
      <c r="I11" t="s">
        <v>64</v>
      </c>
      <c r="V11" t="s">
        <v>5</v>
      </c>
      <c r="W11" s="14">
        <f>IFERROR(VLOOKUP(V11,CARTON_LOOKUP!$A:$E,3,0),"")</f>
      </c>
      <c r="X11" s="14">
        <f>IFERROR(VLOOKUP(V11,CARTON_LOOKUP!$A:$E,4,0),"")</f>
      </c>
      <c r="Y11" s="14">
        <f>IFERROR(VLOOKUP(V11,CARTON_LOOKUP!$A:$E,5,0),"")</f>
      </c>
      <c r="Z11" s="15">
        <f>IFERROR(VLOOKUP(V11,CARTON_LOOKUP!$A:$E,2,0),"")</f>
      </c>
      <c r="AA11" s="15">
        <f>IFERROR(Z11*D11,0)</f>
      </c>
      <c r="AB11" s="15">
        <f>IFERROR(E11*C11,0)</f>
      </c>
      <c r="AC11" s="15">
        <f>IFERROR((W11*X11*Y11/1000000)*D11,0)</f>
      </c>
      <c r="AD11" t="s">
        <v>65</v>
      </c>
      <c r="AE11" t="s">
        <v>66</v>
      </c>
      <c r="AG11" t="s">
        <v>67</v>
      </c>
      <c r="AH11" s="13"/>
    </row>
    <row r="12" spans="4:34" x14ac:dyDescent="0.25">
      <c r="E12" s="12"/>
      <c r="F12" s="13"/>
      <c r="G12" s="13"/>
      <c r="I12" t="s">
        <v>64</v>
      </c>
      <c r="V12" t="s">
        <v>5</v>
      </c>
      <c r="W12" s="14">
        <f>IFERROR(VLOOKUP(V12,CARTON_LOOKUP!$A:$E,3,0),"")</f>
      </c>
      <c r="X12" s="14">
        <f>IFERROR(VLOOKUP(V12,CARTON_LOOKUP!$A:$E,4,0),"")</f>
      </c>
      <c r="Y12" s="14">
        <f>IFERROR(VLOOKUP(V12,CARTON_LOOKUP!$A:$E,5,0),"")</f>
      </c>
      <c r="Z12" s="15">
        <f>IFERROR(VLOOKUP(V12,CARTON_LOOKUP!$A:$E,2,0),"")</f>
      </c>
      <c r="AA12" s="15">
        <f>IFERROR(Z12*D12,0)</f>
      </c>
      <c r="AB12" s="15">
        <f>IFERROR(E12*C12,0)</f>
      </c>
      <c r="AC12" s="15">
        <f>IFERROR((W12*X12*Y12/1000000)*D12,0)</f>
      </c>
      <c r="AD12" t="s">
        <v>65</v>
      </c>
      <c r="AE12" t="s">
        <v>66</v>
      </c>
      <c r="AG12" t="s">
        <v>67</v>
      </c>
      <c r="AH12" s="13"/>
    </row>
    <row r="13" spans="4:34" x14ac:dyDescent="0.25">
      <c r="E13" s="12"/>
      <c r="F13" s="13"/>
      <c r="G13" s="13"/>
      <c r="I13" t="s">
        <v>64</v>
      </c>
      <c r="V13" t="s">
        <v>5</v>
      </c>
      <c r="W13" s="14">
        <f>IFERROR(VLOOKUP(V13,CARTON_LOOKUP!$A:$E,3,0),"")</f>
      </c>
      <c r="X13" s="14">
        <f>IFERROR(VLOOKUP(V13,CARTON_LOOKUP!$A:$E,4,0),"")</f>
      </c>
      <c r="Y13" s="14">
        <f>IFERROR(VLOOKUP(V13,CARTON_LOOKUP!$A:$E,5,0),"")</f>
      </c>
      <c r="Z13" s="15">
        <f>IFERROR(VLOOKUP(V13,CARTON_LOOKUP!$A:$E,2,0),"")</f>
      </c>
      <c r="AA13" s="15">
        <f>IFERROR(Z13*D13,0)</f>
      </c>
      <c r="AB13" s="15">
        <f>IFERROR(E13*C13,0)</f>
      </c>
      <c r="AC13" s="15">
        <f>IFERROR((W13*X13*Y13/1000000)*D13,0)</f>
      </c>
      <c r="AD13" t="s">
        <v>65</v>
      </c>
      <c r="AE13" t="s">
        <v>66</v>
      </c>
      <c r="AG13" t="s">
        <v>67</v>
      </c>
      <c r="AH13" s="13"/>
    </row>
    <row r="14" spans="4:34" x14ac:dyDescent="0.25">
      <c r="E14" s="12"/>
      <c r="F14" s="13"/>
      <c r="G14" s="13"/>
      <c r="I14" t="s">
        <v>64</v>
      </c>
      <c r="V14" t="s">
        <v>5</v>
      </c>
      <c r="W14" s="14">
        <f>IFERROR(VLOOKUP(V14,CARTON_LOOKUP!$A:$E,3,0),"")</f>
      </c>
      <c r="X14" s="14">
        <f>IFERROR(VLOOKUP(V14,CARTON_LOOKUP!$A:$E,4,0),"")</f>
      </c>
      <c r="Y14" s="14">
        <f>IFERROR(VLOOKUP(V14,CARTON_LOOKUP!$A:$E,5,0),"")</f>
      </c>
      <c r="Z14" s="15">
        <f>IFERROR(VLOOKUP(V14,CARTON_LOOKUP!$A:$E,2,0),"")</f>
      </c>
      <c r="AA14" s="15">
        <f>IFERROR(Z14*D14,0)</f>
      </c>
      <c r="AB14" s="15">
        <f>IFERROR(E14*C14,0)</f>
      </c>
      <c r="AC14" s="15">
        <f>IFERROR((W14*X14*Y14/1000000)*D14,0)</f>
      </c>
      <c r="AD14" t="s">
        <v>65</v>
      </c>
      <c r="AE14" t="s">
        <v>66</v>
      </c>
      <c r="AG14" t="s">
        <v>67</v>
      </c>
      <c r="AH14" s="13"/>
    </row>
    <row r="15" spans="4:34" x14ac:dyDescent="0.25">
      <c r="E15" s="12"/>
      <c r="F15" s="13"/>
      <c r="G15" s="13"/>
      <c r="I15" t="s">
        <v>64</v>
      </c>
      <c r="V15" t="s">
        <v>5</v>
      </c>
      <c r="W15" s="14">
        <f>IFERROR(VLOOKUP(V15,CARTON_LOOKUP!$A:$E,3,0),"")</f>
      </c>
      <c r="X15" s="14">
        <f>IFERROR(VLOOKUP(V15,CARTON_LOOKUP!$A:$E,4,0),"")</f>
      </c>
      <c r="Y15" s="14">
        <f>IFERROR(VLOOKUP(V15,CARTON_LOOKUP!$A:$E,5,0),"")</f>
      </c>
      <c r="Z15" s="15">
        <f>IFERROR(VLOOKUP(V15,CARTON_LOOKUP!$A:$E,2,0),"")</f>
      </c>
      <c r="AA15" s="15">
        <f>IFERROR(Z15*D15,0)</f>
      </c>
      <c r="AB15" s="15">
        <f>IFERROR(E15*C15,0)</f>
      </c>
      <c r="AC15" s="15">
        <f>IFERROR((W15*X15*Y15/1000000)*D15,0)</f>
      </c>
      <c r="AD15" t="s">
        <v>65</v>
      </c>
      <c r="AE15" t="s">
        <v>66</v>
      </c>
      <c r="AG15" t="s">
        <v>67</v>
      </c>
      <c r="AH15" s="13"/>
    </row>
    <row r="16" spans="4:34" x14ac:dyDescent="0.25">
      <c r="E16" s="12"/>
      <c r="F16" s="13"/>
      <c r="G16" s="13"/>
      <c r="I16" t="s">
        <v>64</v>
      </c>
      <c r="V16" t="s">
        <v>5</v>
      </c>
      <c r="W16" s="14">
        <f>IFERROR(VLOOKUP(V16,CARTON_LOOKUP!$A:$E,3,0),"")</f>
      </c>
      <c r="X16" s="14">
        <f>IFERROR(VLOOKUP(V16,CARTON_LOOKUP!$A:$E,4,0),"")</f>
      </c>
      <c r="Y16" s="14">
        <f>IFERROR(VLOOKUP(V16,CARTON_LOOKUP!$A:$E,5,0),"")</f>
      </c>
      <c r="Z16" s="15">
        <f>IFERROR(VLOOKUP(V16,CARTON_LOOKUP!$A:$E,2,0),"")</f>
      </c>
      <c r="AA16" s="15">
        <f>IFERROR(Z16*D16,0)</f>
      </c>
      <c r="AB16" s="15">
        <f>IFERROR(E16*C16,0)</f>
      </c>
      <c r="AC16" s="15">
        <f>IFERROR((W16*X16*Y16/1000000)*D16,0)</f>
      </c>
      <c r="AD16" t="s">
        <v>65</v>
      </c>
      <c r="AE16" t="s">
        <v>66</v>
      </c>
      <c r="AG16" t="s">
        <v>67</v>
      </c>
      <c r="AH16" s="13"/>
    </row>
    <row r="17" spans="4:34" x14ac:dyDescent="0.25">
      <c r="E17" s="12"/>
      <c r="F17" s="13"/>
      <c r="G17" s="13"/>
      <c r="I17" t="s">
        <v>64</v>
      </c>
      <c r="V17" t="s">
        <v>5</v>
      </c>
      <c r="W17" s="14">
        <f>IFERROR(VLOOKUP(V17,CARTON_LOOKUP!$A:$E,3,0),"")</f>
      </c>
      <c r="X17" s="14">
        <f>IFERROR(VLOOKUP(V17,CARTON_LOOKUP!$A:$E,4,0),"")</f>
      </c>
      <c r="Y17" s="14">
        <f>IFERROR(VLOOKUP(V17,CARTON_LOOKUP!$A:$E,5,0),"")</f>
      </c>
      <c r="Z17" s="15">
        <f>IFERROR(VLOOKUP(V17,CARTON_LOOKUP!$A:$E,2,0),"")</f>
      </c>
      <c r="AA17" s="15">
        <f>IFERROR(Z17*D17,0)</f>
      </c>
      <c r="AB17" s="15">
        <f>IFERROR(E17*C17,0)</f>
      </c>
      <c r="AC17" s="15">
        <f>IFERROR((W17*X17*Y17/1000000)*D17,0)</f>
      </c>
      <c r="AD17" t="s">
        <v>65</v>
      </c>
      <c r="AE17" t="s">
        <v>66</v>
      </c>
      <c r="AG17" t="s">
        <v>67</v>
      </c>
      <c r="AH17" s="13"/>
    </row>
    <row r="18" spans="4:34" x14ac:dyDescent="0.25">
      <c r="E18" s="12"/>
      <c r="F18" s="13"/>
      <c r="G18" s="13"/>
      <c r="I18" t="s">
        <v>64</v>
      </c>
      <c r="V18" t="s">
        <v>5</v>
      </c>
      <c r="W18" s="14">
        <f>IFERROR(VLOOKUP(V18,CARTON_LOOKUP!$A:$E,3,0),"")</f>
      </c>
      <c r="X18" s="14">
        <f>IFERROR(VLOOKUP(V18,CARTON_LOOKUP!$A:$E,4,0),"")</f>
      </c>
      <c r="Y18" s="14">
        <f>IFERROR(VLOOKUP(V18,CARTON_LOOKUP!$A:$E,5,0),"")</f>
      </c>
      <c r="Z18" s="15">
        <f>IFERROR(VLOOKUP(V18,CARTON_LOOKUP!$A:$E,2,0),"")</f>
      </c>
      <c r="AA18" s="15">
        <f>IFERROR(Z18*D18,0)</f>
      </c>
      <c r="AB18" s="15">
        <f>IFERROR(E18*C18,0)</f>
      </c>
      <c r="AC18" s="15">
        <f>IFERROR((W18*X18*Y18/1000000)*D18,0)</f>
      </c>
      <c r="AD18" t="s">
        <v>65</v>
      </c>
      <c r="AE18" t="s">
        <v>66</v>
      </c>
      <c r="AG18" t="s">
        <v>67</v>
      </c>
      <c r="AH18" s="13"/>
    </row>
    <row r="19" spans="4:34" x14ac:dyDescent="0.25">
      <c r="E19" s="12"/>
      <c r="F19" s="13"/>
      <c r="G19" s="13"/>
      <c r="I19" t="s">
        <v>64</v>
      </c>
      <c r="V19" t="s">
        <v>5</v>
      </c>
      <c r="W19" s="14">
        <f>IFERROR(VLOOKUP(V19,CARTON_LOOKUP!$A:$E,3,0),"")</f>
      </c>
      <c r="X19" s="14">
        <f>IFERROR(VLOOKUP(V19,CARTON_LOOKUP!$A:$E,4,0),"")</f>
      </c>
      <c r="Y19" s="14">
        <f>IFERROR(VLOOKUP(V19,CARTON_LOOKUP!$A:$E,5,0),"")</f>
      </c>
      <c r="Z19" s="15">
        <f>IFERROR(VLOOKUP(V19,CARTON_LOOKUP!$A:$E,2,0),"")</f>
      </c>
      <c r="AA19" s="15">
        <f>IFERROR(Z19*D19,0)</f>
      </c>
      <c r="AB19" s="15">
        <f>IFERROR(E19*C19,0)</f>
      </c>
      <c r="AC19" s="15">
        <f>IFERROR((W19*X19*Y19/1000000)*D19,0)</f>
      </c>
      <c r="AD19" t="s">
        <v>65</v>
      </c>
      <c r="AE19" t="s">
        <v>66</v>
      </c>
      <c r="AG19" t="s">
        <v>67</v>
      </c>
      <c r="AH19" s="13"/>
    </row>
    <row r="20" spans="4:34" x14ac:dyDescent="0.25">
      <c r="E20" s="12"/>
      <c r="F20" s="13"/>
      <c r="G20" s="13"/>
      <c r="I20" t="s">
        <v>64</v>
      </c>
      <c r="V20" t="s">
        <v>5</v>
      </c>
      <c r="W20" s="14">
        <f>IFERROR(VLOOKUP(V20,CARTON_LOOKUP!$A:$E,3,0),"")</f>
      </c>
      <c r="X20" s="14">
        <f>IFERROR(VLOOKUP(V20,CARTON_LOOKUP!$A:$E,4,0),"")</f>
      </c>
      <c r="Y20" s="14">
        <f>IFERROR(VLOOKUP(V20,CARTON_LOOKUP!$A:$E,5,0),"")</f>
      </c>
      <c r="Z20" s="15">
        <f>IFERROR(VLOOKUP(V20,CARTON_LOOKUP!$A:$E,2,0),"")</f>
      </c>
      <c r="AA20" s="15">
        <f>IFERROR(Z20*D20,0)</f>
      </c>
      <c r="AB20" s="15">
        <f>IFERROR(E20*C20,0)</f>
      </c>
      <c r="AC20" s="15">
        <f>IFERROR((W20*X20*Y20/1000000)*D20,0)</f>
      </c>
      <c r="AD20" t="s">
        <v>65</v>
      </c>
      <c r="AE20" t="s">
        <v>66</v>
      </c>
      <c r="AG20" t="s">
        <v>67</v>
      </c>
      <c r="AH20" s="13"/>
    </row>
    <row r="21" spans="4:34" x14ac:dyDescent="0.25">
      <c r="E21" s="12"/>
      <c r="F21" s="13"/>
      <c r="G21" s="13"/>
      <c r="I21" t="s">
        <v>64</v>
      </c>
      <c r="V21" t="s">
        <v>5</v>
      </c>
      <c r="W21" s="14">
        <f>IFERROR(VLOOKUP(V21,CARTON_LOOKUP!$A:$E,3,0),"")</f>
      </c>
      <c r="X21" s="14">
        <f>IFERROR(VLOOKUP(V21,CARTON_LOOKUP!$A:$E,4,0),"")</f>
      </c>
      <c r="Y21" s="14">
        <f>IFERROR(VLOOKUP(V21,CARTON_LOOKUP!$A:$E,5,0),"")</f>
      </c>
      <c r="Z21" s="15">
        <f>IFERROR(VLOOKUP(V21,CARTON_LOOKUP!$A:$E,2,0),"")</f>
      </c>
      <c r="AA21" s="15">
        <f>IFERROR(Z21*D21,0)</f>
      </c>
      <c r="AB21" s="15">
        <f>IFERROR(E21*C21,0)</f>
      </c>
      <c r="AC21" s="15">
        <f>IFERROR((W21*X21*Y21/1000000)*D21,0)</f>
      </c>
      <c r="AD21" t="s">
        <v>65</v>
      </c>
      <c r="AE21" t="s">
        <v>66</v>
      </c>
      <c r="AG21" t="s">
        <v>67</v>
      </c>
      <c r="AH21" s="13"/>
    </row>
    <row r="22" spans="4:34" x14ac:dyDescent="0.25">
      <c r="E22" s="12"/>
      <c r="F22" s="13"/>
      <c r="G22" s="13"/>
      <c r="I22" t="s">
        <v>64</v>
      </c>
      <c r="V22" t="s">
        <v>5</v>
      </c>
      <c r="W22" s="14">
        <f>IFERROR(VLOOKUP(V22,CARTON_LOOKUP!$A:$E,3,0),"")</f>
      </c>
      <c r="X22" s="14">
        <f>IFERROR(VLOOKUP(V22,CARTON_LOOKUP!$A:$E,4,0),"")</f>
      </c>
      <c r="Y22" s="14">
        <f>IFERROR(VLOOKUP(V22,CARTON_LOOKUP!$A:$E,5,0),"")</f>
      </c>
      <c r="Z22" s="15">
        <f>IFERROR(VLOOKUP(V22,CARTON_LOOKUP!$A:$E,2,0),"")</f>
      </c>
      <c r="AA22" s="15">
        <f>IFERROR(Z22*D22,0)</f>
      </c>
      <c r="AB22" s="15">
        <f>IFERROR(E22*C22,0)</f>
      </c>
      <c r="AC22" s="15">
        <f>IFERROR((W22*X22*Y22/1000000)*D22,0)</f>
      </c>
      <c r="AD22" t="s">
        <v>65</v>
      </c>
      <c r="AE22" t="s">
        <v>66</v>
      </c>
      <c r="AG22" t="s">
        <v>67</v>
      </c>
      <c r="AH22" s="13"/>
    </row>
    <row r="23" spans="4:34" x14ac:dyDescent="0.25">
      <c r="E23" s="12"/>
      <c r="F23" s="13"/>
      <c r="G23" s="13"/>
      <c r="I23" t="s">
        <v>64</v>
      </c>
      <c r="V23" t="s">
        <v>5</v>
      </c>
      <c r="W23" s="14">
        <f>IFERROR(VLOOKUP(V23,CARTON_LOOKUP!$A:$E,3,0),"")</f>
      </c>
      <c r="X23" s="14">
        <f>IFERROR(VLOOKUP(V23,CARTON_LOOKUP!$A:$E,4,0),"")</f>
      </c>
      <c r="Y23" s="14">
        <f>IFERROR(VLOOKUP(V23,CARTON_LOOKUP!$A:$E,5,0),"")</f>
      </c>
      <c r="Z23" s="15">
        <f>IFERROR(VLOOKUP(V23,CARTON_LOOKUP!$A:$E,2,0),"")</f>
      </c>
      <c r="AA23" s="15">
        <f>IFERROR(Z23*D23,0)</f>
      </c>
      <c r="AB23" s="15">
        <f>IFERROR(E23*C23,0)</f>
      </c>
      <c r="AC23" s="15">
        <f>IFERROR((W23*X23*Y23/1000000)*D23,0)</f>
      </c>
      <c r="AD23" t="s">
        <v>65</v>
      </c>
      <c r="AE23" t="s">
        <v>66</v>
      </c>
      <c r="AG23" t="s">
        <v>67</v>
      </c>
      <c r="AH23" s="13"/>
    </row>
    <row r="24" spans="4:34" x14ac:dyDescent="0.25">
      <c r="E24" s="12"/>
      <c r="F24" s="13"/>
      <c r="G24" s="13"/>
      <c r="I24" t="s">
        <v>64</v>
      </c>
      <c r="V24" t="s">
        <v>5</v>
      </c>
      <c r="W24" s="14">
        <f>IFERROR(VLOOKUP(V24,CARTON_LOOKUP!$A:$E,3,0),"")</f>
      </c>
      <c r="X24" s="14">
        <f>IFERROR(VLOOKUP(V24,CARTON_LOOKUP!$A:$E,4,0),"")</f>
      </c>
      <c r="Y24" s="14">
        <f>IFERROR(VLOOKUP(V24,CARTON_LOOKUP!$A:$E,5,0),"")</f>
      </c>
      <c r="Z24" s="15">
        <f>IFERROR(VLOOKUP(V24,CARTON_LOOKUP!$A:$E,2,0),"")</f>
      </c>
      <c r="AA24" s="15">
        <f>IFERROR(Z24*D24,0)</f>
      </c>
      <c r="AB24" s="15">
        <f>IFERROR(E24*C24,0)</f>
      </c>
      <c r="AC24" s="15">
        <f>IFERROR((W24*X24*Y24/1000000)*D24,0)</f>
      </c>
      <c r="AD24" t="s">
        <v>65</v>
      </c>
      <c r="AE24" t="s">
        <v>66</v>
      </c>
      <c r="AG24" t="s">
        <v>67</v>
      </c>
      <c r="AH24" s="13"/>
    </row>
    <row r="25" spans="4:34" x14ac:dyDescent="0.25">
      <c r="E25" s="12"/>
      <c r="F25" s="13"/>
      <c r="G25" s="13"/>
      <c r="I25" t="s">
        <v>64</v>
      </c>
      <c r="V25" t="s">
        <v>5</v>
      </c>
      <c r="W25" s="14">
        <f>IFERROR(VLOOKUP(V25,CARTON_LOOKUP!$A:$E,3,0),"")</f>
      </c>
      <c r="X25" s="14">
        <f>IFERROR(VLOOKUP(V25,CARTON_LOOKUP!$A:$E,4,0),"")</f>
      </c>
      <c r="Y25" s="14">
        <f>IFERROR(VLOOKUP(V25,CARTON_LOOKUP!$A:$E,5,0),"")</f>
      </c>
      <c r="Z25" s="15">
        <f>IFERROR(VLOOKUP(V25,CARTON_LOOKUP!$A:$E,2,0),"")</f>
      </c>
      <c r="AA25" s="15">
        <f>IFERROR(Z25*D25,0)</f>
      </c>
      <c r="AB25" s="15">
        <f>IFERROR(E25*C25,0)</f>
      </c>
      <c r="AC25" s="15">
        <f>IFERROR((W25*X25*Y25/1000000)*D25,0)</f>
      </c>
      <c r="AD25" t="s">
        <v>65</v>
      </c>
      <c r="AE25" t="s">
        <v>66</v>
      </c>
      <c r="AG25" t="s">
        <v>67</v>
      </c>
      <c r="AH25" s="13"/>
    </row>
    <row r="26" spans="4:34" x14ac:dyDescent="0.25">
      <c r="E26" s="12"/>
      <c r="F26" s="13"/>
      <c r="G26" s="13"/>
      <c r="I26" t="s">
        <v>64</v>
      </c>
      <c r="V26" t="s">
        <v>5</v>
      </c>
      <c r="W26" s="14">
        <f>IFERROR(VLOOKUP(V26,CARTON_LOOKUP!$A:$E,3,0),"")</f>
      </c>
      <c r="X26" s="14">
        <f>IFERROR(VLOOKUP(V26,CARTON_LOOKUP!$A:$E,4,0),"")</f>
      </c>
      <c r="Y26" s="14">
        <f>IFERROR(VLOOKUP(V26,CARTON_LOOKUP!$A:$E,5,0),"")</f>
      </c>
      <c r="Z26" s="15">
        <f>IFERROR(VLOOKUP(V26,CARTON_LOOKUP!$A:$E,2,0),"")</f>
      </c>
      <c r="AA26" s="15">
        <f>IFERROR(Z26*D26,0)</f>
      </c>
      <c r="AB26" s="15">
        <f>IFERROR(E26*C26,0)</f>
      </c>
      <c r="AC26" s="15">
        <f>IFERROR((W26*X26*Y26/1000000)*D26,0)</f>
      </c>
      <c r="AD26" t="s">
        <v>65</v>
      </c>
      <c r="AE26" t="s">
        <v>66</v>
      </c>
      <c r="AG26" t="s">
        <v>67</v>
      </c>
      <c r="AH26" s="13"/>
    </row>
    <row r="27" spans="4:34" x14ac:dyDescent="0.25">
      <c r="E27" s="12"/>
      <c r="F27" s="13"/>
      <c r="G27" s="13"/>
      <c r="I27" t="s">
        <v>64</v>
      </c>
      <c r="V27" t="s">
        <v>5</v>
      </c>
      <c r="W27" s="14">
        <f>IFERROR(VLOOKUP(V27,CARTON_LOOKUP!$A:$E,3,0),"")</f>
      </c>
      <c r="X27" s="14">
        <f>IFERROR(VLOOKUP(V27,CARTON_LOOKUP!$A:$E,4,0),"")</f>
      </c>
      <c r="Y27" s="14">
        <f>IFERROR(VLOOKUP(V27,CARTON_LOOKUP!$A:$E,5,0),"")</f>
      </c>
      <c r="Z27" s="15">
        <f>IFERROR(VLOOKUP(V27,CARTON_LOOKUP!$A:$E,2,0),"")</f>
      </c>
      <c r="AA27" s="15">
        <f>IFERROR(Z27*D27,0)</f>
      </c>
      <c r="AB27" s="15">
        <f>IFERROR(E27*C27,0)</f>
      </c>
      <c r="AC27" s="15">
        <f>IFERROR((W27*X27*Y27/1000000)*D27,0)</f>
      </c>
      <c r="AD27" t="s">
        <v>65</v>
      </c>
      <c r="AE27" t="s">
        <v>66</v>
      </c>
      <c r="AG27" t="s">
        <v>67</v>
      </c>
      <c r="AH27" s="13"/>
    </row>
    <row r="28" spans="4:34" x14ac:dyDescent="0.25">
      <c r="E28" s="12"/>
      <c r="F28" s="13"/>
      <c r="G28" s="13"/>
      <c r="I28" t="s">
        <v>64</v>
      </c>
      <c r="V28" t="s">
        <v>5</v>
      </c>
      <c r="W28" s="14">
        <f>IFERROR(VLOOKUP(V28,CARTON_LOOKUP!$A:$E,3,0),"")</f>
      </c>
      <c r="X28" s="14">
        <f>IFERROR(VLOOKUP(V28,CARTON_LOOKUP!$A:$E,4,0),"")</f>
      </c>
      <c r="Y28" s="14">
        <f>IFERROR(VLOOKUP(V28,CARTON_LOOKUP!$A:$E,5,0),"")</f>
      </c>
      <c r="Z28" s="15">
        <f>IFERROR(VLOOKUP(V28,CARTON_LOOKUP!$A:$E,2,0),"")</f>
      </c>
      <c r="AA28" s="15">
        <f>IFERROR(Z28*D28,0)</f>
      </c>
      <c r="AB28" s="15">
        <f>IFERROR(E28*C28,0)</f>
      </c>
      <c r="AC28" s="15">
        <f>IFERROR((W28*X28*Y28/1000000)*D28,0)</f>
      </c>
      <c r="AD28" t="s">
        <v>65</v>
      </c>
      <c r="AE28" t="s">
        <v>66</v>
      </c>
      <c r="AG28" t="s">
        <v>67</v>
      </c>
      <c r="AH28" s="13"/>
    </row>
    <row r="29" spans="4:34" x14ac:dyDescent="0.25">
      <c r="E29" s="12"/>
      <c r="F29" s="13"/>
      <c r="G29" s="13"/>
      <c r="I29" t="s">
        <v>64</v>
      </c>
      <c r="V29" t="s">
        <v>5</v>
      </c>
      <c r="W29" s="14">
        <f>IFERROR(VLOOKUP(V29,CARTON_LOOKUP!$A:$E,3,0),"")</f>
      </c>
      <c r="X29" s="14">
        <f>IFERROR(VLOOKUP(V29,CARTON_LOOKUP!$A:$E,4,0),"")</f>
      </c>
      <c r="Y29" s="14">
        <f>IFERROR(VLOOKUP(V29,CARTON_LOOKUP!$A:$E,5,0),"")</f>
      </c>
      <c r="Z29" s="15">
        <f>IFERROR(VLOOKUP(V29,CARTON_LOOKUP!$A:$E,2,0),"")</f>
      </c>
      <c r="AA29" s="15">
        <f>IFERROR(Z29*D29,0)</f>
      </c>
      <c r="AB29" s="15">
        <f>IFERROR(E29*C29,0)</f>
      </c>
      <c r="AC29" s="15">
        <f>IFERROR((W29*X29*Y29/1000000)*D29,0)</f>
      </c>
      <c r="AD29" t="s">
        <v>65</v>
      </c>
      <c r="AE29" t="s">
        <v>66</v>
      </c>
      <c r="AG29" t="s">
        <v>67</v>
      </c>
      <c r="AH29" s="13"/>
    </row>
    <row r="30" spans="4:34" x14ac:dyDescent="0.25">
      <c r="E30" s="12"/>
      <c r="F30" s="13"/>
      <c r="G30" s="13"/>
      <c r="I30" t="s">
        <v>64</v>
      </c>
      <c r="V30" t="s">
        <v>5</v>
      </c>
      <c r="W30" s="14">
        <f>IFERROR(VLOOKUP(V30,CARTON_LOOKUP!$A:$E,3,0),"")</f>
      </c>
      <c r="X30" s="14">
        <f>IFERROR(VLOOKUP(V30,CARTON_LOOKUP!$A:$E,4,0),"")</f>
      </c>
      <c r="Y30" s="14">
        <f>IFERROR(VLOOKUP(V30,CARTON_LOOKUP!$A:$E,5,0),"")</f>
      </c>
      <c r="Z30" s="15">
        <f>IFERROR(VLOOKUP(V30,CARTON_LOOKUP!$A:$E,2,0),"")</f>
      </c>
      <c r="AA30" s="15">
        <f>IFERROR(Z30*D30,0)</f>
      </c>
      <c r="AB30" s="15">
        <f>IFERROR(E30*C30,0)</f>
      </c>
      <c r="AC30" s="15">
        <f>IFERROR((W30*X30*Y30/1000000)*D30,0)</f>
      </c>
      <c r="AD30" t="s">
        <v>65</v>
      </c>
      <c r="AE30" t="s">
        <v>66</v>
      </c>
      <c r="AG30" t="s">
        <v>67</v>
      </c>
      <c r="AH30" s="13"/>
    </row>
    <row r="31" spans="4:34" x14ac:dyDescent="0.25">
      <c r="E31" s="12"/>
      <c r="F31" s="13"/>
      <c r="G31" s="13"/>
      <c r="I31" t="s">
        <v>64</v>
      </c>
      <c r="V31" t="s">
        <v>5</v>
      </c>
      <c r="W31" s="14">
        <f>IFERROR(VLOOKUP(V31,CARTON_LOOKUP!$A:$E,3,0),"")</f>
      </c>
      <c r="X31" s="14">
        <f>IFERROR(VLOOKUP(V31,CARTON_LOOKUP!$A:$E,4,0),"")</f>
      </c>
      <c r="Y31" s="14">
        <f>IFERROR(VLOOKUP(V31,CARTON_LOOKUP!$A:$E,5,0),"")</f>
      </c>
      <c r="Z31" s="15">
        <f>IFERROR(VLOOKUP(V31,CARTON_LOOKUP!$A:$E,2,0),"")</f>
      </c>
      <c r="AA31" s="15">
        <f>IFERROR(Z31*D31,0)</f>
      </c>
      <c r="AB31" s="15">
        <f>IFERROR(E31*C31,0)</f>
      </c>
      <c r="AC31" s="15">
        <f>IFERROR((W31*X31*Y31/1000000)*D31,0)</f>
      </c>
      <c r="AD31" t="s">
        <v>65</v>
      </c>
      <c r="AE31" t="s">
        <v>66</v>
      </c>
      <c r="AG31" t="s">
        <v>67</v>
      </c>
      <c r="AH31" s="13"/>
    </row>
    <row r="32" spans="4:34" x14ac:dyDescent="0.25">
      <c r="E32" s="12"/>
      <c r="F32" s="13"/>
      <c r="G32" s="13"/>
      <c r="I32" t="s">
        <v>64</v>
      </c>
      <c r="V32" t="s">
        <v>5</v>
      </c>
      <c r="W32" s="14">
        <f>IFERROR(VLOOKUP(V32,CARTON_LOOKUP!$A:$E,3,0),"")</f>
      </c>
      <c r="X32" s="14">
        <f>IFERROR(VLOOKUP(V32,CARTON_LOOKUP!$A:$E,4,0),"")</f>
      </c>
      <c r="Y32" s="14">
        <f>IFERROR(VLOOKUP(V32,CARTON_LOOKUP!$A:$E,5,0),"")</f>
      </c>
      <c r="Z32" s="15">
        <f>IFERROR(VLOOKUP(V32,CARTON_LOOKUP!$A:$E,2,0),"")</f>
      </c>
      <c r="AA32" s="15">
        <f>IFERROR(Z32*D32,0)</f>
      </c>
      <c r="AB32" s="15">
        <f>IFERROR(E32*C32,0)</f>
      </c>
      <c r="AC32" s="15">
        <f>IFERROR((W32*X32*Y32/1000000)*D32,0)</f>
      </c>
      <c r="AD32" t="s">
        <v>65</v>
      </c>
      <c r="AE32" t="s">
        <v>66</v>
      </c>
      <c r="AG32" t="s">
        <v>67</v>
      </c>
      <c r="AH32" s="13"/>
    </row>
    <row r="33" spans="4:34" x14ac:dyDescent="0.25">
      <c r="E33" s="12"/>
      <c r="F33" s="13"/>
      <c r="G33" s="13"/>
      <c r="I33" t="s">
        <v>64</v>
      </c>
      <c r="V33" t="s">
        <v>5</v>
      </c>
      <c r="W33" s="14">
        <f>IFERROR(VLOOKUP(V33,CARTON_LOOKUP!$A:$E,3,0),"")</f>
      </c>
      <c r="X33" s="14">
        <f>IFERROR(VLOOKUP(V33,CARTON_LOOKUP!$A:$E,4,0),"")</f>
      </c>
      <c r="Y33" s="14">
        <f>IFERROR(VLOOKUP(V33,CARTON_LOOKUP!$A:$E,5,0),"")</f>
      </c>
      <c r="Z33" s="15">
        <f>IFERROR(VLOOKUP(V33,CARTON_LOOKUP!$A:$E,2,0),"")</f>
      </c>
      <c r="AA33" s="15">
        <f>IFERROR(Z33*D33,0)</f>
      </c>
      <c r="AB33" s="15">
        <f>IFERROR(E33*C33,0)</f>
      </c>
      <c r="AC33" s="15">
        <f>IFERROR((W33*X33*Y33/1000000)*D33,0)</f>
      </c>
      <c r="AD33" t="s">
        <v>65</v>
      </c>
      <c r="AE33" t="s">
        <v>66</v>
      </c>
      <c r="AG33" t="s">
        <v>67</v>
      </c>
      <c r="AH33" s="13"/>
    </row>
    <row r="34" spans="4:34" x14ac:dyDescent="0.25">
      <c r="E34" s="12"/>
      <c r="F34" s="13"/>
      <c r="G34" s="13"/>
      <c r="I34" t="s">
        <v>64</v>
      </c>
      <c r="V34" t="s">
        <v>5</v>
      </c>
      <c r="W34" s="14">
        <f>IFERROR(VLOOKUP(V34,CARTON_LOOKUP!$A:$E,3,0),"")</f>
      </c>
      <c r="X34" s="14">
        <f>IFERROR(VLOOKUP(V34,CARTON_LOOKUP!$A:$E,4,0),"")</f>
      </c>
      <c r="Y34" s="14">
        <f>IFERROR(VLOOKUP(V34,CARTON_LOOKUP!$A:$E,5,0),"")</f>
      </c>
      <c r="Z34" s="15">
        <f>IFERROR(VLOOKUP(V34,CARTON_LOOKUP!$A:$E,2,0),"")</f>
      </c>
      <c r="AA34" s="15">
        <f>IFERROR(Z34*D34,0)</f>
      </c>
      <c r="AB34" s="15">
        <f>IFERROR(E34*C34,0)</f>
      </c>
      <c r="AC34" s="15">
        <f>IFERROR((W34*X34*Y34/1000000)*D34,0)</f>
      </c>
      <c r="AD34" t="s">
        <v>65</v>
      </c>
      <c r="AE34" t="s">
        <v>66</v>
      </c>
      <c r="AG34" t="s">
        <v>67</v>
      </c>
      <c r="AH34" s="13"/>
    </row>
    <row r="35" spans="4:34" x14ac:dyDescent="0.25">
      <c r="E35" s="12"/>
      <c r="F35" s="13"/>
      <c r="G35" s="13"/>
      <c r="I35" t="s">
        <v>64</v>
      </c>
      <c r="V35" t="s">
        <v>5</v>
      </c>
      <c r="W35" s="14">
        <f>IFERROR(VLOOKUP(V35,CARTON_LOOKUP!$A:$E,3,0),"")</f>
      </c>
      <c r="X35" s="14">
        <f>IFERROR(VLOOKUP(V35,CARTON_LOOKUP!$A:$E,4,0),"")</f>
      </c>
      <c r="Y35" s="14">
        <f>IFERROR(VLOOKUP(V35,CARTON_LOOKUP!$A:$E,5,0),"")</f>
      </c>
      <c r="Z35" s="15">
        <f>IFERROR(VLOOKUP(V35,CARTON_LOOKUP!$A:$E,2,0),"")</f>
      </c>
      <c r="AA35" s="15">
        <f>IFERROR(Z35*D35,0)</f>
      </c>
      <c r="AB35" s="15">
        <f>IFERROR(E35*C35,0)</f>
      </c>
      <c r="AC35" s="15">
        <f>IFERROR((W35*X35*Y35/1000000)*D35,0)</f>
      </c>
      <c r="AD35" t="s">
        <v>65</v>
      </c>
      <c r="AE35" t="s">
        <v>66</v>
      </c>
      <c r="AG35" t="s">
        <v>67</v>
      </c>
      <c r="AH35" s="13"/>
    </row>
    <row r="36" spans="4:34" x14ac:dyDescent="0.25">
      <c r="E36" s="12"/>
      <c r="F36" s="13"/>
      <c r="G36" s="13"/>
      <c r="I36" t="s">
        <v>64</v>
      </c>
      <c r="V36" t="s">
        <v>5</v>
      </c>
      <c r="W36" s="14">
        <f>IFERROR(VLOOKUP(V36,CARTON_LOOKUP!$A:$E,3,0),"")</f>
      </c>
      <c r="X36" s="14">
        <f>IFERROR(VLOOKUP(V36,CARTON_LOOKUP!$A:$E,4,0),"")</f>
      </c>
      <c r="Y36" s="14">
        <f>IFERROR(VLOOKUP(V36,CARTON_LOOKUP!$A:$E,5,0),"")</f>
      </c>
      <c r="Z36" s="15">
        <f>IFERROR(VLOOKUP(V36,CARTON_LOOKUP!$A:$E,2,0),"")</f>
      </c>
      <c r="AA36" s="15">
        <f>IFERROR(Z36*D36,0)</f>
      </c>
      <c r="AB36" s="15">
        <f>IFERROR(E36*C36,0)</f>
      </c>
      <c r="AC36" s="15">
        <f>IFERROR((W36*X36*Y36/1000000)*D36,0)</f>
      </c>
      <c r="AD36" t="s">
        <v>65</v>
      </c>
      <c r="AE36" t="s">
        <v>66</v>
      </c>
      <c r="AG36" t="s">
        <v>67</v>
      </c>
      <c r="AH36" s="13"/>
    </row>
    <row r="37" spans="4:34" x14ac:dyDescent="0.25">
      <c r="E37" s="12"/>
      <c r="F37" s="13"/>
      <c r="G37" s="13"/>
      <c r="I37" t="s">
        <v>64</v>
      </c>
      <c r="V37" t="s">
        <v>5</v>
      </c>
      <c r="W37" s="14">
        <f>IFERROR(VLOOKUP(V37,CARTON_LOOKUP!$A:$E,3,0),"")</f>
      </c>
      <c r="X37" s="14">
        <f>IFERROR(VLOOKUP(V37,CARTON_LOOKUP!$A:$E,4,0),"")</f>
      </c>
      <c r="Y37" s="14">
        <f>IFERROR(VLOOKUP(V37,CARTON_LOOKUP!$A:$E,5,0),"")</f>
      </c>
      <c r="Z37" s="15">
        <f>IFERROR(VLOOKUP(V37,CARTON_LOOKUP!$A:$E,2,0),"")</f>
      </c>
      <c r="AA37" s="15">
        <f>IFERROR(Z37*D37,0)</f>
      </c>
      <c r="AB37" s="15">
        <f>IFERROR(E37*C37,0)</f>
      </c>
      <c r="AC37" s="15">
        <f>IFERROR((W37*X37*Y37/1000000)*D37,0)</f>
      </c>
      <c r="AD37" t="s">
        <v>65</v>
      </c>
      <c r="AE37" t="s">
        <v>66</v>
      </c>
      <c r="AG37" t="s">
        <v>67</v>
      </c>
      <c r="AH37" s="13"/>
    </row>
    <row r="38" spans="4:34" x14ac:dyDescent="0.25">
      <c r="E38" s="12"/>
      <c r="F38" s="13"/>
      <c r="G38" s="13"/>
      <c r="I38" t="s">
        <v>64</v>
      </c>
      <c r="V38" t="s">
        <v>5</v>
      </c>
      <c r="W38" s="14">
        <f>IFERROR(VLOOKUP(V38,CARTON_LOOKUP!$A:$E,3,0),"")</f>
      </c>
      <c r="X38" s="14">
        <f>IFERROR(VLOOKUP(V38,CARTON_LOOKUP!$A:$E,4,0),"")</f>
      </c>
      <c r="Y38" s="14">
        <f>IFERROR(VLOOKUP(V38,CARTON_LOOKUP!$A:$E,5,0),"")</f>
      </c>
      <c r="Z38" s="15">
        <f>IFERROR(VLOOKUP(V38,CARTON_LOOKUP!$A:$E,2,0),"")</f>
      </c>
      <c r="AA38" s="15">
        <f>IFERROR(Z38*D38,0)</f>
      </c>
      <c r="AB38" s="15">
        <f>IFERROR(E38*C38,0)</f>
      </c>
      <c r="AC38" s="15">
        <f>IFERROR((W38*X38*Y38/1000000)*D38,0)</f>
      </c>
      <c r="AD38" t="s">
        <v>65</v>
      </c>
      <c r="AE38" t="s">
        <v>66</v>
      </c>
      <c r="AG38" t="s">
        <v>67</v>
      </c>
      <c r="AH38" s="13"/>
    </row>
    <row r="39" spans="4:34" x14ac:dyDescent="0.25">
      <c r="E39" s="12"/>
      <c r="F39" s="13"/>
      <c r="G39" s="13"/>
      <c r="I39" t="s">
        <v>64</v>
      </c>
      <c r="V39" t="s">
        <v>5</v>
      </c>
      <c r="W39" s="14">
        <f>IFERROR(VLOOKUP(V39,CARTON_LOOKUP!$A:$E,3,0),"")</f>
      </c>
      <c r="X39" s="14">
        <f>IFERROR(VLOOKUP(V39,CARTON_LOOKUP!$A:$E,4,0),"")</f>
      </c>
      <c r="Y39" s="14">
        <f>IFERROR(VLOOKUP(V39,CARTON_LOOKUP!$A:$E,5,0),"")</f>
      </c>
      <c r="Z39" s="15">
        <f>IFERROR(VLOOKUP(V39,CARTON_LOOKUP!$A:$E,2,0),"")</f>
      </c>
      <c r="AA39" s="15">
        <f>IFERROR(Z39*D39,0)</f>
      </c>
      <c r="AB39" s="15">
        <f>IFERROR(E39*C39,0)</f>
      </c>
      <c r="AC39" s="15">
        <f>IFERROR((W39*X39*Y39/1000000)*D39,0)</f>
      </c>
      <c r="AD39" t="s">
        <v>65</v>
      </c>
      <c r="AE39" t="s">
        <v>66</v>
      </c>
      <c r="AG39" t="s">
        <v>67</v>
      </c>
      <c r="AH39" s="13"/>
    </row>
    <row r="40" spans="4:34" x14ac:dyDescent="0.25">
      <c r="E40" s="12"/>
      <c r="F40" s="13"/>
      <c r="G40" s="13"/>
      <c r="I40" t="s">
        <v>64</v>
      </c>
      <c r="V40" t="s">
        <v>5</v>
      </c>
      <c r="W40" s="14">
        <f>IFERROR(VLOOKUP(V40,CARTON_LOOKUP!$A:$E,3,0),"")</f>
      </c>
      <c r="X40" s="14">
        <f>IFERROR(VLOOKUP(V40,CARTON_LOOKUP!$A:$E,4,0),"")</f>
      </c>
      <c r="Y40" s="14">
        <f>IFERROR(VLOOKUP(V40,CARTON_LOOKUP!$A:$E,5,0),"")</f>
      </c>
      <c r="Z40" s="15">
        <f>IFERROR(VLOOKUP(V40,CARTON_LOOKUP!$A:$E,2,0),"")</f>
      </c>
      <c r="AA40" s="15">
        <f>IFERROR(Z40*D40,0)</f>
      </c>
      <c r="AB40" s="15">
        <f>IFERROR(E40*C40,0)</f>
      </c>
      <c r="AC40" s="15">
        <f>IFERROR((W40*X40*Y40/1000000)*D40,0)</f>
      </c>
      <c r="AD40" t="s">
        <v>65</v>
      </c>
      <c r="AE40" t="s">
        <v>66</v>
      </c>
      <c r="AG40" t="s">
        <v>67</v>
      </c>
      <c r="AH40" s="13"/>
    </row>
    <row r="41" spans="4:34" x14ac:dyDescent="0.25">
      <c r="E41" s="12"/>
      <c r="F41" s="13"/>
      <c r="G41" s="13"/>
      <c r="I41" t="s">
        <v>64</v>
      </c>
      <c r="V41" t="s">
        <v>5</v>
      </c>
      <c r="W41" s="14">
        <f>IFERROR(VLOOKUP(V41,CARTON_LOOKUP!$A:$E,3,0),"")</f>
      </c>
      <c r="X41" s="14">
        <f>IFERROR(VLOOKUP(V41,CARTON_LOOKUP!$A:$E,4,0),"")</f>
      </c>
      <c r="Y41" s="14">
        <f>IFERROR(VLOOKUP(V41,CARTON_LOOKUP!$A:$E,5,0),"")</f>
      </c>
      <c r="Z41" s="15">
        <f>IFERROR(VLOOKUP(V41,CARTON_LOOKUP!$A:$E,2,0),"")</f>
      </c>
      <c r="AA41" s="15">
        <f>IFERROR(Z41*D41,0)</f>
      </c>
      <c r="AB41" s="15">
        <f>IFERROR(E41*C41,0)</f>
      </c>
      <c r="AC41" s="15">
        <f>IFERROR((W41*X41*Y41/1000000)*D41,0)</f>
      </c>
      <c r="AD41" t="s">
        <v>65</v>
      </c>
      <c r="AE41" t="s">
        <v>66</v>
      </c>
      <c r="AG41" t="s">
        <v>67</v>
      </c>
      <c r="AH41" s="13"/>
    </row>
    <row r="42" spans="4:34" x14ac:dyDescent="0.25">
      <c r="E42" s="12"/>
      <c r="F42" s="13"/>
      <c r="G42" s="13"/>
      <c r="I42" t="s">
        <v>64</v>
      </c>
      <c r="V42" t="s">
        <v>5</v>
      </c>
      <c r="W42" s="14">
        <f>IFERROR(VLOOKUP(V42,CARTON_LOOKUP!$A:$E,3,0),"")</f>
      </c>
      <c r="X42" s="14">
        <f>IFERROR(VLOOKUP(V42,CARTON_LOOKUP!$A:$E,4,0),"")</f>
      </c>
      <c r="Y42" s="14">
        <f>IFERROR(VLOOKUP(V42,CARTON_LOOKUP!$A:$E,5,0),"")</f>
      </c>
      <c r="Z42" s="15">
        <f>IFERROR(VLOOKUP(V42,CARTON_LOOKUP!$A:$E,2,0),"")</f>
      </c>
      <c r="AA42" s="15">
        <f>IFERROR(Z42*D42,0)</f>
      </c>
      <c r="AB42" s="15">
        <f>IFERROR(E42*C42,0)</f>
      </c>
      <c r="AC42" s="15">
        <f>IFERROR((W42*X42*Y42/1000000)*D42,0)</f>
      </c>
      <c r="AD42" t="s">
        <v>65</v>
      </c>
      <c r="AE42" t="s">
        <v>66</v>
      </c>
      <c r="AG42" t="s">
        <v>67</v>
      </c>
      <c r="AH42" s="13"/>
    </row>
    <row r="43" spans="4:34" x14ac:dyDescent="0.25">
      <c r="E43" s="12"/>
      <c r="F43" s="13"/>
      <c r="G43" s="13"/>
      <c r="I43" t="s">
        <v>64</v>
      </c>
      <c r="V43" t="s">
        <v>5</v>
      </c>
      <c r="W43" s="14">
        <f>IFERROR(VLOOKUP(V43,CARTON_LOOKUP!$A:$E,3,0),"")</f>
      </c>
      <c r="X43" s="14">
        <f>IFERROR(VLOOKUP(V43,CARTON_LOOKUP!$A:$E,4,0),"")</f>
      </c>
      <c r="Y43" s="14">
        <f>IFERROR(VLOOKUP(V43,CARTON_LOOKUP!$A:$E,5,0),"")</f>
      </c>
      <c r="Z43" s="15">
        <f>IFERROR(VLOOKUP(V43,CARTON_LOOKUP!$A:$E,2,0),"")</f>
      </c>
      <c r="AA43" s="15">
        <f>IFERROR(Z43*D43,0)</f>
      </c>
      <c r="AB43" s="15">
        <f>IFERROR(E43*C43,0)</f>
      </c>
      <c r="AC43" s="15">
        <f>IFERROR((W43*X43*Y43/1000000)*D43,0)</f>
      </c>
      <c r="AD43" t="s">
        <v>65</v>
      </c>
      <c r="AE43" t="s">
        <v>66</v>
      </c>
      <c r="AG43" t="s">
        <v>67</v>
      </c>
      <c r="AH43" s="13"/>
    </row>
    <row r="44" spans="4:34" x14ac:dyDescent="0.25">
      <c r="E44" s="12"/>
      <c r="F44" s="13"/>
      <c r="G44" s="13"/>
      <c r="I44" t="s">
        <v>64</v>
      </c>
      <c r="V44" t="s">
        <v>5</v>
      </c>
      <c r="W44" s="14">
        <f>IFERROR(VLOOKUP(V44,CARTON_LOOKUP!$A:$E,3,0),"")</f>
      </c>
      <c r="X44" s="14">
        <f>IFERROR(VLOOKUP(V44,CARTON_LOOKUP!$A:$E,4,0),"")</f>
      </c>
      <c r="Y44" s="14">
        <f>IFERROR(VLOOKUP(V44,CARTON_LOOKUP!$A:$E,5,0),"")</f>
      </c>
      <c r="Z44" s="15">
        <f>IFERROR(VLOOKUP(V44,CARTON_LOOKUP!$A:$E,2,0),"")</f>
      </c>
      <c r="AA44" s="15">
        <f>IFERROR(Z44*D44,0)</f>
      </c>
      <c r="AB44" s="15">
        <f>IFERROR(E44*C44,0)</f>
      </c>
      <c r="AC44" s="15">
        <f>IFERROR((W44*X44*Y44/1000000)*D44,0)</f>
      </c>
      <c r="AD44" t="s">
        <v>65</v>
      </c>
      <c r="AE44" t="s">
        <v>66</v>
      </c>
      <c r="AG44" t="s">
        <v>67</v>
      </c>
      <c r="AH44" s="13"/>
    </row>
    <row r="45" spans="4:34" x14ac:dyDescent="0.25">
      <c r="E45" s="12"/>
      <c r="F45" s="13"/>
      <c r="G45" s="13"/>
      <c r="I45" t="s">
        <v>64</v>
      </c>
      <c r="V45" t="s">
        <v>5</v>
      </c>
      <c r="W45" s="14">
        <f>IFERROR(VLOOKUP(V45,CARTON_LOOKUP!$A:$E,3,0),"")</f>
      </c>
      <c r="X45" s="14">
        <f>IFERROR(VLOOKUP(V45,CARTON_LOOKUP!$A:$E,4,0),"")</f>
      </c>
      <c r="Y45" s="14">
        <f>IFERROR(VLOOKUP(V45,CARTON_LOOKUP!$A:$E,5,0),"")</f>
      </c>
      <c r="Z45" s="15">
        <f>IFERROR(VLOOKUP(V45,CARTON_LOOKUP!$A:$E,2,0),"")</f>
      </c>
      <c r="AA45" s="15">
        <f>IFERROR(Z45*D45,0)</f>
      </c>
      <c r="AB45" s="15">
        <f>IFERROR(E45*C45,0)</f>
      </c>
      <c r="AC45" s="15">
        <f>IFERROR((W45*X45*Y45/1000000)*D45,0)</f>
      </c>
      <c r="AD45" t="s">
        <v>65</v>
      </c>
      <c r="AE45" t="s">
        <v>66</v>
      </c>
      <c r="AG45" t="s">
        <v>67</v>
      </c>
      <c r="AH45" s="13"/>
    </row>
    <row r="46" spans="4:34" x14ac:dyDescent="0.25">
      <c r="E46" s="12"/>
      <c r="F46" s="13"/>
      <c r="G46" s="13"/>
      <c r="I46" t="s">
        <v>64</v>
      </c>
      <c r="V46" t="s">
        <v>5</v>
      </c>
      <c r="W46" s="14">
        <f>IFERROR(VLOOKUP(V46,CARTON_LOOKUP!$A:$E,3,0),"")</f>
      </c>
      <c r="X46" s="14">
        <f>IFERROR(VLOOKUP(V46,CARTON_LOOKUP!$A:$E,4,0),"")</f>
      </c>
      <c r="Y46" s="14">
        <f>IFERROR(VLOOKUP(V46,CARTON_LOOKUP!$A:$E,5,0),"")</f>
      </c>
      <c r="Z46" s="15">
        <f>IFERROR(VLOOKUP(V46,CARTON_LOOKUP!$A:$E,2,0),"")</f>
      </c>
      <c r="AA46" s="15">
        <f>IFERROR(Z46*D46,0)</f>
      </c>
      <c r="AB46" s="15">
        <f>IFERROR(E46*C46,0)</f>
      </c>
      <c r="AC46" s="15">
        <f>IFERROR((W46*X46*Y46/1000000)*D46,0)</f>
      </c>
      <c r="AD46" t="s">
        <v>65</v>
      </c>
      <c r="AE46" t="s">
        <v>66</v>
      </c>
      <c r="AG46" t="s">
        <v>67</v>
      </c>
      <c r="AH46" s="13"/>
    </row>
    <row r="47" spans="4:34" x14ac:dyDescent="0.25">
      <c r="E47" s="12"/>
      <c r="F47" s="13"/>
      <c r="G47" s="13"/>
      <c r="I47" t="s">
        <v>64</v>
      </c>
      <c r="V47" t="s">
        <v>5</v>
      </c>
      <c r="W47" s="14">
        <f>IFERROR(VLOOKUP(V47,CARTON_LOOKUP!$A:$E,3,0),"")</f>
      </c>
      <c r="X47" s="14">
        <f>IFERROR(VLOOKUP(V47,CARTON_LOOKUP!$A:$E,4,0),"")</f>
      </c>
      <c r="Y47" s="14">
        <f>IFERROR(VLOOKUP(V47,CARTON_LOOKUP!$A:$E,5,0),"")</f>
      </c>
      <c r="Z47" s="15">
        <f>IFERROR(VLOOKUP(V47,CARTON_LOOKUP!$A:$E,2,0),"")</f>
      </c>
      <c r="AA47" s="15">
        <f>IFERROR(Z47*D47,0)</f>
      </c>
      <c r="AB47" s="15">
        <f>IFERROR(E47*C47,0)</f>
      </c>
      <c r="AC47" s="15">
        <f>IFERROR((W47*X47*Y47/1000000)*D47,0)</f>
      </c>
      <c r="AD47" t="s">
        <v>65</v>
      </c>
      <c r="AE47" t="s">
        <v>66</v>
      </c>
      <c r="AG47" t="s">
        <v>67</v>
      </c>
      <c r="AH47" s="13"/>
    </row>
    <row r="48" spans="4:34" x14ac:dyDescent="0.25">
      <c r="E48" s="12"/>
      <c r="F48" s="13"/>
      <c r="G48" s="13"/>
      <c r="I48" t="s">
        <v>64</v>
      </c>
      <c r="V48" t="s">
        <v>5</v>
      </c>
      <c r="W48" s="14">
        <f>IFERROR(VLOOKUP(V48,CARTON_LOOKUP!$A:$E,3,0),"")</f>
      </c>
      <c r="X48" s="14">
        <f>IFERROR(VLOOKUP(V48,CARTON_LOOKUP!$A:$E,4,0),"")</f>
      </c>
      <c r="Y48" s="14">
        <f>IFERROR(VLOOKUP(V48,CARTON_LOOKUP!$A:$E,5,0),"")</f>
      </c>
      <c r="Z48" s="15">
        <f>IFERROR(VLOOKUP(V48,CARTON_LOOKUP!$A:$E,2,0),"")</f>
      </c>
      <c r="AA48" s="15">
        <f>IFERROR(Z48*D48,0)</f>
      </c>
      <c r="AB48" s="15">
        <f>IFERROR(E48*C48,0)</f>
      </c>
      <c r="AC48" s="15">
        <f>IFERROR((W48*X48*Y48/1000000)*D48,0)</f>
      </c>
      <c r="AD48" t="s">
        <v>65</v>
      </c>
      <c r="AE48" t="s">
        <v>66</v>
      </c>
      <c r="AG48" t="s">
        <v>67</v>
      </c>
      <c r="AH48" s="13"/>
    </row>
    <row r="49" spans="4:34" x14ac:dyDescent="0.25">
      <c r="E49" s="12"/>
      <c r="F49" s="13"/>
      <c r="G49" s="13"/>
      <c r="I49" t="s">
        <v>64</v>
      </c>
      <c r="V49" t="s">
        <v>5</v>
      </c>
      <c r="W49" s="14">
        <f>IFERROR(VLOOKUP(V49,CARTON_LOOKUP!$A:$E,3,0),"")</f>
      </c>
      <c r="X49" s="14">
        <f>IFERROR(VLOOKUP(V49,CARTON_LOOKUP!$A:$E,4,0),"")</f>
      </c>
      <c r="Y49" s="14">
        <f>IFERROR(VLOOKUP(V49,CARTON_LOOKUP!$A:$E,5,0),"")</f>
      </c>
      <c r="Z49" s="15">
        <f>IFERROR(VLOOKUP(V49,CARTON_LOOKUP!$A:$E,2,0),"")</f>
      </c>
      <c r="AA49" s="15">
        <f>IFERROR(Z49*D49,0)</f>
      </c>
      <c r="AB49" s="15">
        <f>IFERROR(E49*C49,0)</f>
      </c>
      <c r="AC49" s="15">
        <f>IFERROR((W49*X49*Y49/1000000)*D49,0)</f>
      </c>
      <c r="AD49" t="s">
        <v>65</v>
      </c>
      <c r="AE49" t="s">
        <v>66</v>
      </c>
      <c r="AG49" t="s">
        <v>67</v>
      </c>
      <c r="AH49" s="13"/>
    </row>
    <row r="50" spans="4:34" x14ac:dyDescent="0.25">
      <c r="E50" s="12"/>
      <c r="F50" s="13"/>
      <c r="G50" s="13"/>
      <c r="I50" t="s">
        <v>64</v>
      </c>
      <c r="V50" t="s">
        <v>5</v>
      </c>
      <c r="W50" s="14">
        <f>IFERROR(VLOOKUP(V50,CARTON_LOOKUP!$A:$E,3,0),"")</f>
      </c>
      <c r="X50" s="14">
        <f>IFERROR(VLOOKUP(V50,CARTON_LOOKUP!$A:$E,4,0),"")</f>
      </c>
      <c r="Y50" s="14">
        <f>IFERROR(VLOOKUP(V50,CARTON_LOOKUP!$A:$E,5,0),"")</f>
      </c>
      <c r="Z50" s="15">
        <f>IFERROR(VLOOKUP(V50,CARTON_LOOKUP!$A:$E,2,0),"")</f>
      </c>
      <c r="AA50" s="15">
        <f>IFERROR(Z50*D50,0)</f>
      </c>
      <c r="AB50" s="15">
        <f>IFERROR(E50*C50,0)</f>
      </c>
      <c r="AC50" s="15">
        <f>IFERROR((W50*X50*Y50/1000000)*D50,0)</f>
      </c>
      <c r="AD50" t="s">
        <v>65</v>
      </c>
      <c r="AE50" t="s">
        <v>66</v>
      </c>
      <c r="AG50" t="s">
        <v>67</v>
      </c>
      <c r="AH50" s="13"/>
    </row>
    <row r="51" spans="4:34" x14ac:dyDescent="0.25">
      <c r="E51" s="12"/>
      <c r="F51" s="13"/>
      <c r="G51" s="13"/>
      <c r="I51" t="s">
        <v>64</v>
      </c>
      <c r="V51" t="s">
        <v>5</v>
      </c>
      <c r="W51" s="14">
        <f>IFERROR(VLOOKUP(V51,CARTON_LOOKUP!$A:$E,3,0),"")</f>
      </c>
      <c r="X51" s="14">
        <f>IFERROR(VLOOKUP(V51,CARTON_LOOKUP!$A:$E,4,0),"")</f>
      </c>
      <c r="Y51" s="14">
        <f>IFERROR(VLOOKUP(V51,CARTON_LOOKUP!$A:$E,5,0),"")</f>
      </c>
      <c r="Z51" s="15">
        <f>IFERROR(VLOOKUP(V51,CARTON_LOOKUP!$A:$E,2,0),"")</f>
      </c>
      <c r="AA51" s="15">
        <f>IFERROR(Z51*D51,0)</f>
      </c>
      <c r="AB51" s="15">
        <f>IFERROR(E51*C51,0)</f>
      </c>
      <c r="AC51" s="15">
        <f>IFERROR((W51*X51*Y51/1000000)*D51,0)</f>
      </c>
      <c r="AD51" t="s">
        <v>65</v>
      </c>
      <c r="AE51" t="s">
        <v>66</v>
      </c>
      <c r="AG51" t="s">
        <v>67</v>
      </c>
      <c r="AH51" s="13"/>
    </row>
    <row r="52" spans="4:34" x14ac:dyDescent="0.25">
      <c r="E52" s="12"/>
      <c r="F52" s="13"/>
      <c r="G52" s="13"/>
      <c r="I52" t="s">
        <v>64</v>
      </c>
      <c r="V52" t="s">
        <v>5</v>
      </c>
      <c r="W52" s="14">
        <f>IFERROR(VLOOKUP(V52,CARTON_LOOKUP!$A:$E,3,0),"")</f>
      </c>
      <c r="X52" s="14">
        <f>IFERROR(VLOOKUP(V52,CARTON_LOOKUP!$A:$E,4,0),"")</f>
      </c>
      <c r="Y52" s="14">
        <f>IFERROR(VLOOKUP(V52,CARTON_LOOKUP!$A:$E,5,0),"")</f>
      </c>
      <c r="Z52" s="15">
        <f>IFERROR(VLOOKUP(V52,CARTON_LOOKUP!$A:$E,2,0),"")</f>
      </c>
      <c r="AA52" s="15">
        <f>IFERROR(Z52*D52,0)</f>
      </c>
      <c r="AB52" s="15">
        <f>IFERROR(E52*C52,0)</f>
      </c>
      <c r="AC52" s="15">
        <f>IFERROR((W52*X52*Y52/1000000)*D52,0)</f>
      </c>
      <c r="AD52" t="s">
        <v>65</v>
      </c>
      <c r="AE52" t="s">
        <v>66</v>
      </c>
      <c r="AG52" t="s">
        <v>67</v>
      </c>
      <c r="AH52" s="13"/>
    </row>
    <row r="53" spans="4:34" x14ac:dyDescent="0.25">
      <c r="E53" s="12"/>
      <c r="F53" s="13"/>
      <c r="G53" s="13"/>
      <c r="I53" t="s">
        <v>64</v>
      </c>
      <c r="V53" t="s">
        <v>5</v>
      </c>
      <c r="W53" s="14">
        <f>IFERROR(VLOOKUP(V53,CARTON_LOOKUP!$A:$E,3,0),"")</f>
      </c>
      <c r="X53" s="14">
        <f>IFERROR(VLOOKUP(V53,CARTON_LOOKUP!$A:$E,4,0),"")</f>
      </c>
      <c r="Y53" s="14">
        <f>IFERROR(VLOOKUP(V53,CARTON_LOOKUP!$A:$E,5,0),"")</f>
      </c>
      <c r="Z53" s="15">
        <f>IFERROR(VLOOKUP(V53,CARTON_LOOKUP!$A:$E,2,0),"")</f>
      </c>
      <c r="AA53" s="15">
        <f>IFERROR(Z53*D53,0)</f>
      </c>
      <c r="AB53" s="15">
        <f>IFERROR(E53*C53,0)</f>
      </c>
      <c r="AC53" s="15">
        <f>IFERROR((W53*X53*Y53/1000000)*D53,0)</f>
      </c>
      <c r="AD53" t="s">
        <v>65</v>
      </c>
      <c r="AE53" t="s">
        <v>66</v>
      </c>
      <c r="AG53" t="s">
        <v>67</v>
      </c>
      <c r="AH53" s="13"/>
    </row>
  </sheetData>
  <mergeCells count="1">
    <mergeCell ref="A1:AI1"/>
  </mergeCells>
  <dataValidations count="22">
    <dataValidation type="list" sqref="AD10:AD53">
      <formula1>"Flat,Bulk Flat,Hanging"</formula1>
    </dataValidation>
    <dataValidation type="list" sqref="AD4:AD53">
      <formula1>"Flat,Bulk Flat,Hanging"</formula1>
    </dataValidation>
    <dataValidation type="list" sqref="AE10:AE53">
      <formula1>"Collection,Delivery"</formula1>
    </dataValidation>
    <dataValidation type="list" sqref="AE4:AE53">
      <formula1>"Collection,Delivery"</formula1>
    </dataValidation>
    <dataValidation type="list" sqref="AG10:AG53">
      <formula1>"Flammable,Glass - Hazardous,Hazardous,N/A"</formula1>
    </dataValidation>
    <dataValidation type="list" sqref="AG4:AG53">
      <formula1>"Flammable,Glass - Hazardous,Hazardous,N/A"</formula1>
    </dataValidation>
    <dataValidation type="date" operator="greaterThan" showErrorMessage="1" errorTitle="Invalid date" error="Enter a valid date (DD/MM/YYYY format)" sqref="AH10:AH53">
      <formula1>43831</formula1>
    </dataValidation>
    <dataValidation type="date" operator="greaterThan" showErrorMessage="1" errorTitle="Invalid date" error="Enter a valid date (DD/MM/YYYY format)" sqref="AH4:AH53">
      <formula1>43831</formula1>
    </dataValidation>
    <dataValidation type="whole" operator="greaterThan" showErrorMessage="1" errorTitle="Invalid" error="Enter a whole number greater than 0" sqref="D10:D53">
      <formula1>0</formula1>
    </dataValidation>
    <dataValidation type="whole" operator="greaterThan" showErrorMessage="1" errorTitle="Invalid" error="Enter a whole number greater than 0" sqref="D4:D53">
      <formula1>0</formula1>
    </dataValidation>
    <dataValidation type="decimal" operator="greaterThan" showErrorMessage="1" errorTitle="Invalid" error="Enter a positive weight in KG" sqref="E10:E53">
      <formula1>0</formula1>
    </dataValidation>
    <dataValidation type="decimal" operator="greaterThan" showErrorMessage="1" errorTitle="Invalid" error="Enter a positive weight in KG" sqref="E4:E53">
      <formula1>0</formula1>
    </dataValidation>
    <dataValidation type="date" operator="greaterThan" showErrorMessage="1" errorTitle="Invalid date" error="Enter a valid date (DD/MM/YYYY format)" sqref="F10:G53">
      <formula1>43831</formula1>
    </dataValidation>
    <dataValidation type="date" operator="greaterThan" showErrorMessage="1" errorTitle="Invalid date" error="Enter a valid date (DD/MM/YYYY format)" sqref="F4:G53">
      <formula1>43831</formula1>
    </dataValidation>
    <dataValidation type="list" showErrorMessage="1" errorTitle="Invalid value" error="Please select CFS or CY" sqref="H10:H53">
      <formula1>"CFS,CY"</formula1>
    </dataValidation>
    <dataValidation type="list" showErrorMessage="1" errorTitle="Invalid value" error="Please select CFS or CY" sqref="H4:H53">
      <formula1>"CFS,CY"</formula1>
    </dataValidation>
    <dataValidation type="list" showErrorMessage="1" errorTitle="Invalid value" error="Please select Sea, Air, Road, Rail or Eco" sqref="I10:I53">
      <formula1>"Sea,Air,Road,Rail,Eco"</formula1>
    </dataValidation>
    <dataValidation type="list" showErrorMessage="1" errorTitle="Invalid value" error="Please select Sea, Air, Road, Rail or Eco" sqref="I4:I53">
      <formula1>"Sea,Air,Road,Rail,Eco"</formula1>
    </dataValidation>
    <dataValidation type="list" showInputMessage="1" promptTitle="Booking Group" prompt="Separate = one VBKREQ per PO.  Club = combine selected POs into one VBKREQ." showErrorMessage="1" errorTitle="Invalid value" error="Please select “Separate” or “Club”" sqref="P10:P53">
      <formula1>"Separate,Club"</formula1>
    </dataValidation>
    <dataValidation type="list" showInputMessage="1" promptTitle="Booking Group" prompt="Separate = one VBKREQ per PO.  Club = combine selected POs into one VBKREQ." showErrorMessage="1" errorTitle="Invalid value" error="Please select “Separate” or “Club”" sqref="P4:P53">
      <formula1>"Separate,Club"</formula1>
    </dataValidation>
    <dataValidation type="list" showErrorMessage="1" sqref="V10:V53">
      <formula1>CARTON_LOOKUP!$A$2:$A$20</formula1>
    </dataValidation>
    <dataValidation type="list" showErrorMessage="1" sqref="V4:V53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CARTON_LOOKUP</vt:lpstr>
      <vt:lpstr>SUPPLIER_INPUT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2026-06-15T12:03:44Z</dcterms:created>
  <dcterms:modified xsi:type="dcterms:W3CDTF">2026-06-15T12:03:44Z</dcterms:modified>
</cp:coreProperties>
</file>