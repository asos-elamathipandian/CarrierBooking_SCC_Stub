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0" documentId="13_ncr:1_{182C554F-BC4F-481E-8B2D-1573713FECF8}" xr6:coauthVersionLast="47" xr6:coauthVersionMax="47" xr10:uidLastSave="{00000000-0000-0000-0000-000000000000}"/>
  <bookViews>
    <workbookView xWindow="-110" yWindow="-110" windowWidth="19420" windowHeight="10300" firstSheet="1" activeTab="1" xr2:uid="{00000000-000D-0000-FFFF-FFFF00000000}"/>
  </bookViews>
  <sheets>
    <sheet name="CARTON_LOOKUP" sheetId="1" state="veryHidden" r:id="rId1"/>
    <sheet name="SUPPLIER_INPU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3" i="2" l="1"/>
  <c r="P53" i="2"/>
  <c r="Q53" i="2" s="1"/>
  <c r="O53" i="2"/>
  <c r="N53" i="2"/>
  <c r="M53" i="2"/>
  <c r="S53" i="2" s="1"/>
  <c r="R52" i="2"/>
  <c r="P52" i="2"/>
  <c r="Q52" i="2" s="1"/>
  <c r="O52" i="2"/>
  <c r="N52" i="2"/>
  <c r="M52" i="2"/>
  <c r="S52" i="2" s="1"/>
  <c r="S51" i="2"/>
  <c r="R51" i="2"/>
  <c r="P51" i="2"/>
  <c r="Q51" i="2" s="1"/>
  <c r="O51" i="2"/>
  <c r="N51" i="2"/>
  <c r="M51" i="2"/>
  <c r="R50" i="2"/>
  <c r="Q50" i="2"/>
  <c r="P50" i="2"/>
  <c r="O50" i="2"/>
  <c r="S50" i="2" s="1"/>
  <c r="N50" i="2"/>
  <c r="M50" i="2"/>
  <c r="R49" i="2"/>
  <c r="P49" i="2"/>
  <c r="Q49" i="2" s="1"/>
  <c r="O49" i="2"/>
  <c r="N49" i="2"/>
  <c r="M49" i="2"/>
  <c r="S49" i="2" s="1"/>
  <c r="R48" i="2"/>
  <c r="P48" i="2"/>
  <c r="Q48" i="2" s="1"/>
  <c r="O48" i="2"/>
  <c r="N48" i="2"/>
  <c r="M48" i="2"/>
  <c r="S48" i="2" s="1"/>
  <c r="R47" i="2"/>
  <c r="P47" i="2"/>
  <c r="Q47" i="2" s="1"/>
  <c r="O47" i="2"/>
  <c r="N47" i="2"/>
  <c r="M47" i="2"/>
  <c r="S47" i="2" s="1"/>
  <c r="S46" i="2"/>
  <c r="R46" i="2"/>
  <c r="Q46" i="2"/>
  <c r="P46" i="2"/>
  <c r="O46" i="2"/>
  <c r="N46" i="2"/>
  <c r="M46" i="2"/>
  <c r="S45" i="2"/>
  <c r="R45" i="2"/>
  <c r="P45" i="2"/>
  <c r="Q45" i="2" s="1"/>
  <c r="O45" i="2"/>
  <c r="N45" i="2"/>
  <c r="M45" i="2"/>
  <c r="S44" i="2"/>
  <c r="R44" i="2"/>
  <c r="Q44" i="2"/>
  <c r="P44" i="2"/>
  <c r="O44" i="2"/>
  <c r="N44" i="2"/>
  <c r="M44" i="2"/>
  <c r="S43" i="2"/>
  <c r="R43" i="2"/>
  <c r="P43" i="2"/>
  <c r="Q43" i="2" s="1"/>
  <c r="O43" i="2"/>
  <c r="N43" i="2"/>
  <c r="M43" i="2"/>
  <c r="R42" i="2"/>
  <c r="P42" i="2"/>
  <c r="Q42" i="2" s="1"/>
  <c r="O42" i="2"/>
  <c r="S42" i="2" s="1"/>
  <c r="N42" i="2"/>
  <c r="M42" i="2"/>
  <c r="R41" i="2"/>
  <c r="P41" i="2"/>
  <c r="Q41" i="2" s="1"/>
  <c r="O41" i="2"/>
  <c r="N41" i="2"/>
  <c r="M41" i="2"/>
  <c r="S41" i="2" s="1"/>
  <c r="R40" i="2"/>
  <c r="P40" i="2"/>
  <c r="Q40" i="2" s="1"/>
  <c r="O40" i="2"/>
  <c r="N40" i="2"/>
  <c r="M40" i="2"/>
  <c r="S40" i="2" s="1"/>
  <c r="R39" i="2"/>
  <c r="P39" i="2"/>
  <c r="Q39" i="2" s="1"/>
  <c r="O39" i="2"/>
  <c r="N39" i="2"/>
  <c r="M39" i="2"/>
  <c r="S39" i="2" s="1"/>
  <c r="S38" i="2"/>
  <c r="R38" i="2"/>
  <c r="Q38" i="2"/>
  <c r="P38" i="2"/>
  <c r="O38" i="2"/>
  <c r="N38" i="2"/>
  <c r="M38" i="2"/>
  <c r="S37" i="2"/>
  <c r="R37" i="2"/>
  <c r="P37" i="2"/>
  <c r="Q37" i="2" s="1"/>
  <c r="O37" i="2"/>
  <c r="N37" i="2"/>
  <c r="M37" i="2"/>
  <c r="S36" i="2"/>
  <c r="R36" i="2"/>
  <c r="Q36" i="2"/>
  <c r="P36" i="2"/>
  <c r="O36" i="2"/>
  <c r="N36" i="2"/>
  <c r="M36" i="2"/>
  <c r="S35" i="2"/>
  <c r="R35" i="2"/>
  <c r="P35" i="2"/>
  <c r="Q35" i="2" s="1"/>
  <c r="O35" i="2"/>
  <c r="N35" i="2"/>
  <c r="M35" i="2"/>
  <c r="R34" i="2"/>
  <c r="P34" i="2"/>
  <c r="Q34" i="2" s="1"/>
  <c r="O34" i="2"/>
  <c r="S34" i="2" s="1"/>
  <c r="N34" i="2"/>
  <c r="M34" i="2"/>
  <c r="R33" i="2"/>
  <c r="P33" i="2"/>
  <c r="Q33" i="2" s="1"/>
  <c r="O33" i="2"/>
  <c r="N33" i="2"/>
  <c r="M33" i="2"/>
  <c r="S33" i="2" s="1"/>
  <c r="R32" i="2"/>
  <c r="P32" i="2"/>
  <c r="Q32" i="2" s="1"/>
  <c r="O32" i="2"/>
  <c r="N32" i="2"/>
  <c r="M32" i="2"/>
  <c r="S32" i="2" s="1"/>
  <c r="R31" i="2"/>
  <c r="P31" i="2"/>
  <c r="Q31" i="2" s="1"/>
  <c r="O31" i="2"/>
  <c r="N31" i="2"/>
  <c r="M31" i="2"/>
  <c r="S31" i="2" s="1"/>
  <c r="S30" i="2"/>
  <c r="R30" i="2"/>
  <c r="Q30" i="2"/>
  <c r="P30" i="2"/>
  <c r="O30" i="2"/>
  <c r="N30" i="2"/>
  <c r="M30" i="2"/>
  <c r="S29" i="2"/>
  <c r="R29" i="2"/>
  <c r="P29" i="2"/>
  <c r="Q29" i="2" s="1"/>
  <c r="O29" i="2"/>
  <c r="N29" i="2"/>
  <c r="M29" i="2"/>
  <c r="S28" i="2"/>
  <c r="R28" i="2"/>
  <c r="Q28" i="2"/>
  <c r="P28" i="2"/>
  <c r="O28" i="2"/>
  <c r="N28" i="2"/>
  <c r="M28" i="2"/>
  <c r="S27" i="2"/>
  <c r="R27" i="2"/>
  <c r="P27" i="2"/>
  <c r="Q27" i="2" s="1"/>
  <c r="O27" i="2"/>
  <c r="N27" i="2"/>
  <c r="M27" i="2"/>
  <c r="R26" i="2"/>
  <c r="P26" i="2"/>
  <c r="Q26" i="2" s="1"/>
  <c r="O26" i="2"/>
  <c r="S26" i="2" s="1"/>
  <c r="N26" i="2"/>
  <c r="M26" i="2"/>
  <c r="R25" i="2"/>
  <c r="P25" i="2"/>
  <c r="Q25" i="2" s="1"/>
  <c r="O25" i="2"/>
  <c r="N25" i="2"/>
  <c r="M25" i="2"/>
  <c r="S25" i="2" s="1"/>
  <c r="R24" i="2"/>
  <c r="P24" i="2"/>
  <c r="Q24" i="2" s="1"/>
  <c r="O24" i="2"/>
  <c r="N24" i="2"/>
  <c r="M24" i="2"/>
  <c r="S24" i="2" s="1"/>
  <c r="R23" i="2"/>
  <c r="P23" i="2"/>
  <c r="Q23" i="2" s="1"/>
  <c r="O23" i="2"/>
  <c r="N23" i="2"/>
  <c r="M23" i="2"/>
  <c r="S23" i="2" s="1"/>
  <c r="S22" i="2"/>
  <c r="R22" i="2"/>
  <c r="Q22" i="2"/>
  <c r="P22" i="2"/>
  <c r="O22" i="2"/>
  <c r="N22" i="2"/>
  <c r="M22" i="2"/>
  <c r="S21" i="2"/>
  <c r="R21" i="2"/>
  <c r="P21" i="2"/>
  <c r="Q21" i="2" s="1"/>
  <c r="O21" i="2"/>
  <c r="N21" i="2"/>
  <c r="M21" i="2"/>
  <c r="S20" i="2"/>
  <c r="R20" i="2"/>
  <c r="Q20" i="2"/>
  <c r="P20" i="2"/>
  <c r="O20" i="2"/>
  <c r="N20" i="2"/>
  <c r="M20" i="2"/>
  <c r="S19" i="2"/>
  <c r="R19" i="2"/>
  <c r="P19" i="2"/>
  <c r="Q19" i="2" s="1"/>
  <c r="O19" i="2"/>
  <c r="N19" i="2"/>
  <c r="M19" i="2"/>
  <c r="R18" i="2"/>
  <c r="P18" i="2"/>
  <c r="Q18" i="2" s="1"/>
  <c r="O18" i="2"/>
  <c r="S18" i="2" s="1"/>
  <c r="N18" i="2"/>
  <c r="M18" i="2"/>
  <c r="R17" i="2"/>
  <c r="P17" i="2"/>
  <c r="Q17" i="2" s="1"/>
  <c r="O17" i="2"/>
  <c r="N17" i="2"/>
  <c r="M17" i="2"/>
  <c r="S17" i="2" s="1"/>
  <c r="R16" i="2"/>
  <c r="P16" i="2"/>
  <c r="Q16" i="2" s="1"/>
  <c r="O16" i="2"/>
  <c r="N16" i="2"/>
  <c r="M16" i="2"/>
  <c r="S16" i="2" s="1"/>
  <c r="R15" i="2"/>
  <c r="P15" i="2"/>
  <c r="Q15" i="2" s="1"/>
  <c r="O15" i="2"/>
  <c r="N15" i="2"/>
  <c r="M15" i="2"/>
  <c r="S15" i="2" s="1"/>
  <c r="S14" i="2"/>
  <c r="R14" i="2"/>
  <c r="Q14" i="2"/>
  <c r="P14" i="2"/>
  <c r="O14" i="2"/>
  <c r="N14" i="2"/>
  <c r="M14" i="2"/>
  <c r="S13" i="2"/>
  <c r="R13" i="2"/>
  <c r="P13" i="2"/>
  <c r="Q13" i="2" s="1"/>
  <c r="O13" i="2"/>
  <c r="N13" i="2"/>
  <c r="M13" i="2"/>
  <c r="S12" i="2"/>
  <c r="R12" i="2"/>
  <c r="Q12" i="2"/>
  <c r="P12" i="2"/>
  <c r="O12" i="2"/>
  <c r="N12" i="2"/>
  <c r="M12" i="2"/>
  <c r="S11" i="2"/>
  <c r="R11" i="2"/>
  <c r="P11" i="2"/>
  <c r="Q11" i="2" s="1"/>
  <c r="O11" i="2"/>
  <c r="N11" i="2"/>
  <c r="M11" i="2"/>
  <c r="R10" i="2"/>
  <c r="P10" i="2"/>
  <c r="Q10" i="2" s="1"/>
  <c r="O10" i="2"/>
  <c r="S10" i="2" s="1"/>
  <c r="N10" i="2"/>
  <c r="M10" i="2"/>
  <c r="R9" i="2"/>
  <c r="P9" i="2"/>
  <c r="Q9" i="2" s="1"/>
  <c r="O9" i="2"/>
  <c r="N9" i="2"/>
  <c r="M9" i="2"/>
  <c r="S9" i="2" s="1"/>
  <c r="R8" i="2"/>
  <c r="P8" i="2"/>
  <c r="Q8" i="2" s="1"/>
  <c r="O8" i="2"/>
  <c r="N8" i="2"/>
  <c r="M8" i="2"/>
  <c r="S8" i="2" s="1"/>
  <c r="R7" i="2"/>
  <c r="P7" i="2"/>
  <c r="Q7" i="2" s="1"/>
  <c r="O7" i="2"/>
  <c r="N7" i="2"/>
  <c r="M7" i="2"/>
  <c r="S7" i="2" s="1"/>
  <c r="S6" i="2"/>
  <c r="R6" i="2"/>
  <c r="Q6" i="2"/>
  <c r="P6" i="2"/>
  <c r="O6" i="2"/>
  <c r="N6" i="2"/>
  <c r="M6" i="2"/>
  <c r="S5" i="2"/>
  <c r="R5" i="2"/>
  <c r="P5" i="2"/>
  <c r="Q5" i="2" s="1"/>
  <c r="O5" i="2"/>
  <c r="N5" i="2"/>
  <c r="M5" i="2"/>
  <c r="S4" i="2"/>
  <c r="R4" i="2"/>
  <c r="Q4" i="2"/>
  <c r="P4" i="2"/>
  <c r="O4" i="2"/>
  <c r="N4" i="2"/>
  <c r="M4" i="2"/>
</calcChain>
</file>

<file path=xl/sharedStrings.xml><?xml version="1.0" encoding="utf-8"?>
<sst xmlns="http://schemas.openxmlformats.org/spreadsheetml/2006/main" count="259" uniqueCount="61">
  <si>
    <t>Carton_Type</t>
  </si>
  <si>
    <t>Weight_KG</t>
  </si>
  <si>
    <t>Length_cm</t>
  </si>
  <si>
    <t>Width_cm</t>
  </si>
  <si>
    <t>Height_cm</t>
  </si>
  <si>
    <t>BDCM1</t>
  </si>
  <si>
    <t>BDCM3</t>
  </si>
  <si>
    <t>C5</t>
  </si>
  <si>
    <t>Cartons</t>
  </si>
  <si>
    <t>A1</t>
  </si>
  <si>
    <t>A2</t>
  </si>
  <si>
    <t>A3</t>
  </si>
  <si>
    <t>A4</t>
  </si>
  <si>
    <t>B1</t>
  </si>
  <si>
    <t>B2</t>
  </si>
  <si>
    <t>B3</t>
  </si>
  <si>
    <t>B4</t>
  </si>
  <si>
    <t>C1</t>
  </si>
  <si>
    <t>C2</t>
  </si>
  <si>
    <t>C3</t>
  </si>
  <si>
    <t>C4</t>
  </si>
  <si>
    <t>Hanging</t>
  </si>
  <si>
    <t>Hanging Non-Standard</t>
  </si>
  <si>
    <t>Non-Standard</t>
  </si>
  <si>
    <t>⚠  INSTRUCTIONS: Fill in all RED columns (mandatory). Other columns have defaults — change if needed. Carton dimensions &amp; weights auto-fill from Carton_Type selection. Dates must be in DD/MM/YYYY format.  Do NOT modify column headers.</t>
  </si>
  <si>
    <t xml:space="preserve"> RED = Mandatory </t>
  </si>
  <si>
    <t xml:space="preserve"> GREEN = Has default </t>
  </si>
  <si>
    <t xml:space="preserve"> BLUE = Auto-calculated </t>
  </si>
  <si>
    <t xml:space="preserve"> GREY = Optional </t>
  </si>
  <si>
    <t>PO_Number</t>
  </si>
  <si>
    <t>ASN_Ref</t>
  </si>
  <si>
    <t>No_of_Cartons</t>
  </si>
  <si>
    <t>Unit_Weight_KG</t>
  </si>
  <si>
    <t>Cargo_Ready_Planned_Collection_Date</t>
  </si>
  <si>
    <t>Carrier_Booking_Request_Date</t>
  </si>
  <si>
    <t>Traffic_Mode</t>
  </si>
  <si>
    <t>EAN_Barcode</t>
  </si>
  <si>
    <t>Colour_Code</t>
  </si>
  <si>
    <t>Size_Code</t>
  </si>
  <si>
    <t>Booking_Qty</t>
  </si>
  <si>
    <t>Carton_Length_cm</t>
  </si>
  <si>
    <t>Carton_Width_cm</t>
  </si>
  <si>
    <t>Carton_Height_cm</t>
  </si>
  <si>
    <t>Carton_Weight_KG</t>
  </si>
  <si>
    <t>Gross_Weight_KG</t>
  </si>
  <si>
    <t>Net_Weight_KG</t>
  </si>
  <si>
    <t>Volume_M3</t>
  </si>
  <si>
    <t>Pack_Type</t>
  </si>
  <si>
    <t>Collection_Type</t>
  </si>
  <si>
    <t>Collection_Time (HH:MM)</t>
  </si>
  <si>
    <t>Hazardous</t>
  </si>
  <si>
    <t>Expected_Delivery_Date</t>
  </si>
  <si>
    <t>ASN_Delivery_Date</t>
  </si>
  <si>
    <t>ASOS_Intake_Week</t>
  </si>
  <si>
    <t>Var_Unit</t>
  </si>
  <si>
    <t>Var_Pct</t>
  </si>
  <si>
    <t>Remarks</t>
  </si>
  <si>
    <t>Flat</t>
  </si>
  <si>
    <t>Delivery</t>
  </si>
  <si>
    <t>N/A</t>
  </si>
  <si>
    <t>CFS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</si>
</sst>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" x14ac:knownFonts="1">
    <font>
      <sz val="11"/>
      <color theme="1"/>
      <name val="Calibri"/>
      <family val="2"/>
      <scheme val="minor"/>
    </font>
    <font>
      <b/>
      <sz val="11"/>
      <color rgb="FF7B3F00"/>
      <name val="Calibri"/>
    </font>
    <font>
      <b/>
      <sz val="10"/>
      <color rgb="FFFFFFFF"/>
      <name val="Calibri"/>
    </font>
    <font>
      <b/>
      <sz val="11"/>
      <color rgb="FFFFFFFF"/>
      <name val="Calibri"/>
    </font>
    <font>
      <sz val="10"/>
      <color rgb="FF1A5276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C0392B"/>
      </patternFill>
    </fill>
    <fill>
      <patternFill patternType="solid">
        <fgColor rgb="FF27AE60"/>
      </patternFill>
    </fill>
    <fill>
      <patternFill patternType="solid">
        <fgColor rgb="FF2E75B6"/>
      </patternFill>
    </fill>
    <fill>
      <patternFill patternType="solid">
        <fgColor rgb="FF555555"/>
      </patternFill>
    </fill>
    <fill>
      <patternFill patternType="solid">
        <fgColor rgb="FFD6E8F8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AAAAAA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3" borderId="0" xfId="0" applyFont="1" applyFill="1" applyAlignment="1">
      <alignment horizontal="left" vertical="center"/>
    </xf>
    <xf numFmtId="0" fontId="2" fillId="4" borderId="0" xfId="0" applyFont="1" applyFill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164" fontId="0" fillId="0" borderId="0" xfId="0" applyNumberFormat="1"/>
    <xf numFmtId="14" fontId="0" fillId="0" borderId="0" xfId="0" applyNumberFormat="1"/>
    <xf numFmtId="2" fontId="4" fillId="7" borderId="0" xfId="0" applyNumberFormat="1" applyFont="1" applyFill="1"/>
    <xf numFmtId="164" fontId="4" fillId="7" borderId="0" xfId="0" applyNumberFormat="1" applyFont="1" applyFill="1"/>
    <xf numFmtId="0" fontId="1" fillId="2" borderId="0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"/>
  <sheetViews>
    <sheetView workbookViewId="0"/>
  </sheetViews>
  <sheetFormatPr defaultRowHeight="14.5" x14ac:dyDescent="0.35"/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A2" t="s">
        <v>5</v>
      </c>
      <c r="B2">
        <v>1.4</v>
      </c>
      <c r="C2">
        <v>60</v>
      </c>
      <c r="D2">
        <v>30</v>
      </c>
      <c r="E2">
        <v>40</v>
      </c>
    </row>
    <row r="3" spans="1:5" x14ac:dyDescent="0.35">
      <c r="A3" t="s">
        <v>6</v>
      </c>
      <c r="B3">
        <v>1</v>
      </c>
      <c r="C3">
        <v>45</v>
      </c>
      <c r="D3">
        <v>29.5</v>
      </c>
      <c r="E3">
        <v>18.8</v>
      </c>
    </row>
    <row r="4" spans="1:5" x14ac:dyDescent="0.35">
      <c r="A4" t="s">
        <v>7</v>
      </c>
      <c r="B4">
        <v>1</v>
      </c>
      <c r="C4">
        <v>60</v>
      </c>
      <c r="D4">
        <v>30</v>
      </c>
      <c r="E4">
        <v>20</v>
      </c>
    </row>
    <row r="5" spans="1:5" x14ac:dyDescent="0.35">
      <c r="A5" t="s">
        <v>8</v>
      </c>
      <c r="B5">
        <v>1</v>
      </c>
      <c r="C5">
        <v>45</v>
      </c>
      <c r="D5">
        <v>60</v>
      </c>
      <c r="E5">
        <v>40</v>
      </c>
    </row>
    <row r="6" spans="1:5" x14ac:dyDescent="0.35">
      <c r="A6" t="s">
        <v>9</v>
      </c>
      <c r="B6">
        <v>1</v>
      </c>
      <c r="C6">
        <v>59.5</v>
      </c>
      <c r="D6">
        <v>28.5</v>
      </c>
      <c r="E6">
        <v>37.5</v>
      </c>
    </row>
    <row r="7" spans="1:5" x14ac:dyDescent="0.35">
      <c r="A7" t="s">
        <v>10</v>
      </c>
      <c r="B7">
        <v>1</v>
      </c>
      <c r="C7">
        <v>59.5</v>
      </c>
      <c r="D7">
        <v>28.5</v>
      </c>
      <c r="E7">
        <v>32.5</v>
      </c>
    </row>
    <row r="8" spans="1:5" x14ac:dyDescent="0.35">
      <c r="A8" t="s">
        <v>11</v>
      </c>
      <c r="B8">
        <v>1</v>
      </c>
      <c r="C8">
        <v>59.5</v>
      </c>
      <c r="D8">
        <v>28.5</v>
      </c>
      <c r="E8">
        <v>26</v>
      </c>
    </row>
    <row r="9" spans="1:5" x14ac:dyDescent="0.35">
      <c r="A9" t="s">
        <v>12</v>
      </c>
      <c r="B9">
        <v>1</v>
      </c>
      <c r="C9">
        <v>59.5</v>
      </c>
      <c r="D9">
        <v>28.5</v>
      </c>
      <c r="E9">
        <v>19</v>
      </c>
    </row>
    <row r="10" spans="1:5" x14ac:dyDescent="0.35">
      <c r="A10" t="s">
        <v>13</v>
      </c>
      <c r="B10">
        <v>1</v>
      </c>
      <c r="C10">
        <v>52</v>
      </c>
      <c r="D10">
        <v>25.5</v>
      </c>
      <c r="E10">
        <v>37.5</v>
      </c>
    </row>
    <row r="11" spans="1:5" x14ac:dyDescent="0.35">
      <c r="A11" t="s">
        <v>14</v>
      </c>
      <c r="B11">
        <v>1</v>
      </c>
      <c r="C11">
        <v>52</v>
      </c>
      <c r="D11">
        <v>25.5</v>
      </c>
      <c r="E11">
        <v>32.5</v>
      </c>
    </row>
    <row r="12" spans="1:5" x14ac:dyDescent="0.35">
      <c r="A12" t="s">
        <v>15</v>
      </c>
      <c r="B12">
        <v>1</v>
      </c>
      <c r="C12">
        <v>52</v>
      </c>
      <c r="D12">
        <v>25.5</v>
      </c>
      <c r="E12">
        <v>26</v>
      </c>
    </row>
    <row r="13" spans="1:5" x14ac:dyDescent="0.35">
      <c r="A13" t="s">
        <v>16</v>
      </c>
      <c r="B13">
        <v>1</v>
      </c>
      <c r="C13">
        <v>52</v>
      </c>
      <c r="D13">
        <v>25.5</v>
      </c>
      <c r="E13">
        <v>19</v>
      </c>
    </row>
    <row r="14" spans="1:5" x14ac:dyDescent="0.35">
      <c r="A14" t="s">
        <v>17</v>
      </c>
      <c r="B14">
        <v>1</v>
      </c>
      <c r="C14">
        <v>45</v>
      </c>
      <c r="D14">
        <v>28.5</v>
      </c>
      <c r="E14">
        <v>37.5</v>
      </c>
    </row>
    <row r="15" spans="1:5" x14ac:dyDescent="0.35">
      <c r="A15" t="s">
        <v>18</v>
      </c>
      <c r="B15">
        <v>1</v>
      </c>
      <c r="C15">
        <v>45</v>
      </c>
      <c r="D15">
        <v>28.5</v>
      </c>
      <c r="E15">
        <v>32.5</v>
      </c>
    </row>
    <row r="16" spans="1:5" x14ac:dyDescent="0.35">
      <c r="A16" t="s">
        <v>19</v>
      </c>
      <c r="B16">
        <v>1</v>
      </c>
      <c r="C16">
        <v>45</v>
      </c>
      <c r="D16">
        <v>28.5</v>
      </c>
      <c r="E16">
        <v>26</v>
      </c>
    </row>
    <row r="17" spans="1:5" x14ac:dyDescent="0.35">
      <c r="A17" t="s">
        <v>20</v>
      </c>
      <c r="B17">
        <v>1</v>
      </c>
      <c r="C17">
        <v>45</v>
      </c>
      <c r="D17">
        <v>28.5</v>
      </c>
      <c r="E17">
        <v>19</v>
      </c>
    </row>
    <row r="18" spans="1:5" x14ac:dyDescent="0.35">
      <c r="A18" t="s">
        <v>21</v>
      </c>
      <c r="B18">
        <v>0.7</v>
      </c>
      <c r="C18">
        <v>213</v>
      </c>
      <c r="D18">
        <v>94</v>
      </c>
      <c r="E18">
        <v>60</v>
      </c>
    </row>
    <row r="19" spans="1:5" x14ac:dyDescent="0.35">
      <c r="A19" t="s">
        <v>22</v>
      </c>
    </row>
    <row r="20" spans="1:5" x14ac:dyDescent="0.35">
      <c r="A20" t="s">
        <v>23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E79"/>
  </sheetPr>
  <dimension ref="A1:AC53"/>
  <sheetViews>
    <sheetView tabSelected="1" workbookViewId="0">
      <pane ySplit="3" topLeftCell="A4" activePane="bottomLeft" state="frozen"/>
      <selection pane="bottomLeft" activeCell="F9" sqref="F9"/>
    </sheetView>
  </sheetViews>
  <sheetFormatPr defaultRowHeight="14.5" x14ac:dyDescent="0.35"/>
  <cols>
    <col min="1" max="2" width="22" customWidth="1"/>
    <col min="3" max="4" width="16" customWidth="1"/>
    <col min="5" max="5" width="34" customWidth="1"/>
    <col min="6" max="6" width="28" customWidth="1"/>
    <col min="7" max="7" width="14" customWidth="1"/>
    <col min="8" max="8" width="18" customWidth="1"/>
    <col min="9" max="9" width="14" customWidth="1"/>
    <col min="10" max="10" width="12" customWidth="1"/>
    <col min="11" max="11" width="14" customWidth="1"/>
    <col min="12" max="12" width="22" customWidth="1"/>
    <col min="13" max="13" width="18" customWidth="1"/>
    <col min="14" max="15" width="17" customWidth="1"/>
    <col min="16" max="16" width="18" customWidth="1"/>
    <col min="17" max="17" width="17" customWidth="1"/>
    <col min="18" max="18" width="16" customWidth="1"/>
    <col min="19" max="19" width="13" customWidth="1"/>
    <col min="20" max="20" width="14" customWidth="1"/>
    <col min="21" max="21" width="18" customWidth="1"/>
    <col min="22" max="22" width="24" customWidth="1"/>
    <col min="23" max="23" width="20" customWidth="1"/>
    <col min="24" max="24" width="24" customWidth="1"/>
    <col min="25" max="25" width="20" customWidth="1"/>
    <col min="26" max="26" width="18" customWidth="1"/>
    <col min="27" max="28" width="11" customWidth="1"/>
    <col min="29" max="29" width="30" customWidth="1"/>
  </cols>
  <sheetData>
    <row r="1" spans="1:29" ht="32" customHeight="1" x14ac:dyDescent="0.35">
      <c r="A1" s="13" t="s">
        <v>24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</row>
    <row r="2" spans="1:29" ht="22" customHeight="1" x14ac:dyDescent="0.35">
      <c r="A2" s="1" t="s">
        <v>25</v>
      </c>
      <c r="B2" s="2" t="s">
        <v>26</v>
      </c>
      <c r="C2" s="3" t="s">
        <v>27</v>
      </c>
      <c r="D2" s="4" t="s">
        <v>28</v>
      </c>
    </row>
    <row r="3" spans="1:29" ht="36" customHeight="1" x14ac:dyDescent="0.35">
      <c r="A3" s="5" t="s">
        <v>29</v>
      </c>
      <c r="B3" s="5" t="s">
        <v>30</v>
      </c>
      <c r="C3" s="5" t="s">
        <v>31</v>
      </c>
      <c r="D3" s="5" t="s">
        <v>32</v>
      </c>
      <c r="E3" s="5" t="s">
        <v>33</v>
      </c>
      <c r="F3" s="5" t="s">
        <v>34</v>
      </c>
      <c r="G3" s="5" t="s">
        <v>35</v>
      </c>
      <c r="H3" s="6" t="s">
        <v>36</v>
      </c>
      <c r="I3" s="6" t="s">
        <v>37</v>
      </c>
      <c r="J3" s="6" t="s">
        <v>38</v>
      </c>
      <c r="K3" s="6" t="s">
        <v>39</v>
      </c>
      <c r="L3" s="7" t="s">
        <v>0</v>
      </c>
      <c r="M3" s="8" t="s">
        <v>40</v>
      </c>
      <c r="N3" s="8" t="s">
        <v>41</v>
      </c>
      <c r="O3" s="8" t="s">
        <v>42</v>
      </c>
      <c r="P3" s="8" t="s">
        <v>43</v>
      </c>
      <c r="Q3" s="8" t="s">
        <v>44</v>
      </c>
      <c r="R3" s="8" t="s">
        <v>45</v>
      </c>
      <c r="S3" s="8" t="s">
        <v>46</v>
      </c>
      <c r="T3" s="7" t="s">
        <v>47</v>
      </c>
      <c r="U3" s="7" t="s">
        <v>48</v>
      </c>
      <c r="V3" s="6" t="s">
        <v>49</v>
      </c>
      <c r="W3" s="7" t="s">
        <v>50</v>
      </c>
      <c r="X3" s="6" t="s">
        <v>51</v>
      </c>
      <c r="Y3" s="6" t="s">
        <v>52</v>
      </c>
      <c r="Z3" s="6" t="s">
        <v>53</v>
      </c>
      <c r="AA3" s="7" t="s">
        <v>54</v>
      </c>
      <c r="AB3" s="7" t="s">
        <v>55</v>
      </c>
      <c r="AC3" s="6" t="s">
        <v>56</v>
      </c>
    </row>
    <row r="4" spans="1:29" x14ac:dyDescent="0.35">
      <c r="A4">
        <v>50001</v>
      </c>
      <c r="B4">
        <v>600001</v>
      </c>
      <c r="C4">
        <v>1</v>
      </c>
      <c r="D4" s="9">
        <v>1</v>
      </c>
      <c r="E4" s="10">
        <v>46251</v>
      </c>
      <c r="F4" s="10">
        <v>46252</v>
      </c>
      <c r="G4" t="s">
        <v>60</v>
      </c>
      <c r="L4" t="s">
        <v>5</v>
      </c>
      <c r="M4" s="11">
        <f>IFERROR(VLOOKUP(L4,CARTON_LOOKUP!$A:$E,3,0),"")</f>
        <v>60</v>
      </c>
      <c r="N4" s="11">
        <f>IFERROR(VLOOKUP(L4,CARTON_LOOKUP!$A:$E,4,0),"")</f>
        <v>30</v>
      </c>
      <c r="O4" s="11">
        <f>IFERROR(VLOOKUP(L4,CARTON_LOOKUP!$A:$E,5,0),"")</f>
        <v>40</v>
      </c>
      <c r="P4" s="12">
        <f>IFERROR(VLOOKUP(L4,CARTON_LOOKUP!$A:$E,2,0),"")</f>
        <v>1.4</v>
      </c>
      <c r="Q4" s="12">
        <f t="shared" ref="Q4:Q35" si="0">IFERROR(P4*C4,0)</f>
        <v>1.4</v>
      </c>
      <c r="R4" s="12">
        <f t="shared" ref="R4:R35" si="1">IFERROR(D4*K4,0)</f>
        <v>0</v>
      </c>
      <c r="S4" s="12">
        <f t="shared" ref="S4:S35" si="2">IFERROR((M4*N4*O4/1000000)*C4,0)</f>
        <v>7.1999999999999995E-2</v>
      </c>
      <c r="T4" t="s">
        <v>57</v>
      </c>
      <c r="U4" t="s">
        <v>58</v>
      </c>
      <c r="W4" t="s">
        <v>59</v>
      </c>
      <c r="X4" s="10"/>
      <c r="Y4" s="10"/>
      <c r="AA4">
        <v>0</v>
      </c>
      <c r="AB4">
        <v>0</v>
      </c>
    </row>
    <row r="5" spans="1:29" x14ac:dyDescent="0.35">
      <c r="D5" s="9"/>
      <c r="E5" s="10"/>
      <c r="F5" s="10"/>
      <c r="L5" t="s">
        <v>5</v>
      </c>
      <c r="M5" s="11">
        <f>IFERROR(VLOOKUP(L5,CARTON_LOOKUP!$A:$E,3,0),"")</f>
        <v>60</v>
      </c>
      <c r="N5" s="11">
        <f>IFERROR(VLOOKUP(L5,CARTON_LOOKUP!$A:$E,4,0),"")</f>
        <v>30</v>
      </c>
      <c r="O5" s="11">
        <f>IFERROR(VLOOKUP(L5,CARTON_LOOKUP!$A:$E,5,0),"")</f>
        <v>40</v>
      </c>
      <c r="P5" s="12">
        <f>IFERROR(VLOOKUP(L5,CARTON_LOOKUP!$A:$E,2,0),"")</f>
        <v>1.4</v>
      </c>
      <c r="Q5" s="12">
        <f t="shared" si="0"/>
        <v>0</v>
      </c>
      <c r="R5" s="12">
        <f t="shared" si="1"/>
        <v>0</v>
      </c>
      <c r="S5" s="12">
        <f t="shared" si="2"/>
        <v>0</v>
      </c>
      <c r="T5" t="s">
        <v>57</v>
      </c>
      <c r="U5" t="s">
        <v>58</v>
      </c>
      <c r="W5" t="s">
        <v>59</v>
      </c>
      <c r="X5" s="10"/>
      <c r="Y5" s="10"/>
      <c r="AA5">
        <v>0</v>
      </c>
      <c r="AB5">
        <v>0</v>
      </c>
    </row>
    <row r="6" spans="1:29" x14ac:dyDescent="0.35">
      <c r="D6" s="9"/>
      <c r="E6" s="10"/>
      <c r="F6" s="10"/>
      <c r="L6" t="s">
        <v>5</v>
      </c>
      <c r="M6" s="11">
        <f>IFERROR(VLOOKUP(L6,CARTON_LOOKUP!$A:$E,3,0),"")</f>
        <v>60</v>
      </c>
      <c r="N6" s="11">
        <f>IFERROR(VLOOKUP(L6,CARTON_LOOKUP!$A:$E,4,0),"")</f>
        <v>30</v>
      </c>
      <c r="O6" s="11">
        <f>IFERROR(VLOOKUP(L6,CARTON_LOOKUP!$A:$E,5,0),"")</f>
        <v>40</v>
      </c>
      <c r="P6" s="12">
        <f>IFERROR(VLOOKUP(L6,CARTON_LOOKUP!$A:$E,2,0),"")</f>
        <v>1.4</v>
      </c>
      <c r="Q6" s="12">
        <f t="shared" si="0"/>
        <v>0</v>
      </c>
      <c r="R6" s="12">
        <f t="shared" si="1"/>
        <v>0</v>
      </c>
      <c r="S6" s="12">
        <f t="shared" si="2"/>
        <v>0</v>
      </c>
      <c r="T6" t="s">
        <v>57</v>
      </c>
      <c r="U6" t="s">
        <v>58</v>
      </c>
      <c r="W6" t="s">
        <v>59</v>
      </c>
      <c r="X6" s="10"/>
      <c r="Y6" s="10"/>
      <c r="AA6">
        <v>0</v>
      </c>
      <c r="AB6">
        <v>0</v>
      </c>
    </row>
    <row r="7" spans="1:29" x14ac:dyDescent="0.35">
      <c r="D7" s="9"/>
      <c r="E7" s="10"/>
      <c r="F7" s="10"/>
      <c r="L7" t="s">
        <v>5</v>
      </c>
      <c r="M7" s="11">
        <f>IFERROR(VLOOKUP(L7,CARTON_LOOKUP!$A:$E,3,0),"")</f>
        <v>60</v>
      </c>
      <c r="N7" s="11">
        <f>IFERROR(VLOOKUP(L7,CARTON_LOOKUP!$A:$E,4,0),"")</f>
        <v>30</v>
      </c>
      <c r="O7" s="11">
        <f>IFERROR(VLOOKUP(L7,CARTON_LOOKUP!$A:$E,5,0),"")</f>
        <v>40</v>
      </c>
      <c r="P7" s="12">
        <f>IFERROR(VLOOKUP(L7,CARTON_LOOKUP!$A:$E,2,0),"")</f>
        <v>1.4</v>
      </c>
      <c r="Q7" s="12">
        <f t="shared" si="0"/>
        <v>0</v>
      </c>
      <c r="R7" s="12">
        <f t="shared" si="1"/>
        <v>0</v>
      </c>
      <c r="S7" s="12">
        <f t="shared" si="2"/>
        <v>0</v>
      </c>
      <c r="T7" t="s">
        <v>57</v>
      </c>
      <c r="U7" t="s">
        <v>58</v>
      </c>
      <c r="W7" t="s">
        <v>59</v>
      </c>
      <c r="X7" s="10"/>
      <c r="Y7" s="10"/>
      <c r="AA7">
        <v>0</v>
      </c>
      <c r="AB7">
        <v>0</v>
      </c>
    </row>
    <row r="8" spans="1:29" x14ac:dyDescent="0.35">
      <c r="D8" s="9"/>
      <c r="E8" s="10"/>
      <c r="F8" s="10"/>
      <c r="L8" t="s">
        <v>5</v>
      </c>
      <c r="M8" s="11">
        <f>IFERROR(VLOOKUP(L8,CARTON_LOOKUP!$A:$E,3,0),"")</f>
        <v>60</v>
      </c>
      <c r="N8" s="11">
        <f>IFERROR(VLOOKUP(L8,CARTON_LOOKUP!$A:$E,4,0),"")</f>
        <v>30</v>
      </c>
      <c r="O8" s="11">
        <f>IFERROR(VLOOKUP(L8,CARTON_LOOKUP!$A:$E,5,0),"")</f>
        <v>40</v>
      </c>
      <c r="P8" s="12">
        <f>IFERROR(VLOOKUP(L8,CARTON_LOOKUP!$A:$E,2,0),"")</f>
        <v>1.4</v>
      </c>
      <c r="Q8" s="12">
        <f t="shared" si="0"/>
        <v>0</v>
      </c>
      <c r="R8" s="12">
        <f t="shared" si="1"/>
        <v>0</v>
      </c>
      <c r="S8" s="12">
        <f t="shared" si="2"/>
        <v>0</v>
      </c>
      <c r="T8" t="s">
        <v>57</v>
      </c>
      <c r="U8" t="s">
        <v>58</v>
      </c>
      <c r="W8" t="s">
        <v>59</v>
      </c>
      <c r="X8" s="10"/>
      <c r="Y8" s="10"/>
      <c r="AA8">
        <v>0</v>
      </c>
      <c r="AB8">
        <v>0</v>
      </c>
    </row>
    <row r="9" spans="1:29" x14ac:dyDescent="0.35">
      <c r="D9" s="9"/>
      <c r="E9" s="10"/>
      <c r="F9" s="10"/>
      <c r="L9" t="s">
        <v>5</v>
      </c>
      <c r="M9" s="11">
        <f>IFERROR(VLOOKUP(L9,CARTON_LOOKUP!$A:$E,3,0),"")</f>
        <v>60</v>
      </c>
      <c r="N9" s="11">
        <f>IFERROR(VLOOKUP(L9,CARTON_LOOKUP!$A:$E,4,0),"")</f>
        <v>30</v>
      </c>
      <c r="O9" s="11">
        <f>IFERROR(VLOOKUP(L9,CARTON_LOOKUP!$A:$E,5,0),"")</f>
        <v>40</v>
      </c>
      <c r="P9" s="12">
        <f>IFERROR(VLOOKUP(L9,CARTON_LOOKUP!$A:$E,2,0),"")</f>
        <v>1.4</v>
      </c>
      <c r="Q9" s="12">
        <f t="shared" si="0"/>
        <v>0</v>
      </c>
      <c r="R9" s="12">
        <f t="shared" si="1"/>
        <v>0</v>
      </c>
      <c r="S9" s="12">
        <f t="shared" si="2"/>
        <v>0</v>
      </c>
      <c r="T9" t="s">
        <v>57</v>
      </c>
      <c r="U9" t="s">
        <v>58</v>
      </c>
      <c r="W9" t="s">
        <v>59</v>
      </c>
      <c r="X9" s="10"/>
      <c r="Y9" s="10"/>
      <c r="AA9">
        <v>0</v>
      </c>
      <c r="AB9">
        <v>0</v>
      </c>
    </row>
    <row r="10" spans="1:29" x14ac:dyDescent="0.35">
      <c r="D10" s="9"/>
      <c r="E10" s="10"/>
      <c r="F10" s="10"/>
      <c r="L10" t="s">
        <v>5</v>
      </c>
      <c r="M10" s="11">
        <f>IFERROR(VLOOKUP(L10,CARTON_LOOKUP!$A:$E,3,0),"")</f>
        <v>60</v>
      </c>
      <c r="N10" s="11">
        <f>IFERROR(VLOOKUP(L10,CARTON_LOOKUP!$A:$E,4,0),"")</f>
        <v>30</v>
      </c>
      <c r="O10" s="11">
        <f>IFERROR(VLOOKUP(L10,CARTON_LOOKUP!$A:$E,5,0),"")</f>
        <v>40</v>
      </c>
      <c r="P10" s="12">
        <f>IFERROR(VLOOKUP(L10,CARTON_LOOKUP!$A:$E,2,0),"")</f>
        <v>1.4</v>
      </c>
      <c r="Q10" s="12">
        <f t="shared" si="0"/>
        <v>0</v>
      </c>
      <c r="R10" s="12">
        <f t="shared" si="1"/>
        <v>0</v>
      </c>
      <c r="S10" s="12">
        <f t="shared" si="2"/>
        <v>0</v>
      </c>
      <c r="T10" t="s">
        <v>57</v>
      </c>
      <c r="U10" t="s">
        <v>58</v>
      </c>
      <c r="W10" t="s">
        <v>59</v>
      </c>
      <c r="X10" s="10"/>
      <c r="Y10" s="10"/>
      <c r="AA10">
        <v>0</v>
      </c>
      <c r="AB10">
        <v>0</v>
      </c>
    </row>
    <row r="11" spans="1:29" x14ac:dyDescent="0.35">
      <c r="D11" s="9"/>
      <c r="E11" s="10"/>
      <c r="F11" s="10"/>
      <c r="L11" t="s">
        <v>5</v>
      </c>
      <c r="M11" s="11">
        <f>IFERROR(VLOOKUP(L11,CARTON_LOOKUP!$A:$E,3,0),"")</f>
        <v>60</v>
      </c>
      <c r="N11" s="11">
        <f>IFERROR(VLOOKUP(L11,CARTON_LOOKUP!$A:$E,4,0),"")</f>
        <v>30</v>
      </c>
      <c r="O11" s="11">
        <f>IFERROR(VLOOKUP(L11,CARTON_LOOKUP!$A:$E,5,0),"")</f>
        <v>40</v>
      </c>
      <c r="P11" s="12">
        <f>IFERROR(VLOOKUP(L11,CARTON_LOOKUP!$A:$E,2,0),"")</f>
        <v>1.4</v>
      </c>
      <c r="Q11" s="12">
        <f t="shared" si="0"/>
        <v>0</v>
      </c>
      <c r="R11" s="12">
        <f t="shared" si="1"/>
        <v>0</v>
      </c>
      <c r="S11" s="12">
        <f t="shared" si="2"/>
        <v>0</v>
      </c>
      <c r="T11" t="s">
        <v>57</v>
      </c>
      <c r="U11" t="s">
        <v>58</v>
      </c>
      <c r="W11" t="s">
        <v>59</v>
      </c>
      <c r="X11" s="10"/>
      <c r="Y11" s="10"/>
      <c r="AA11">
        <v>0</v>
      </c>
      <c r="AB11">
        <v>0</v>
      </c>
    </row>
    <row r="12" spans="1:29" x14ac:dyDescent="0.35">
      <c r="D12" s="9"/>
      <c r="E12" s="10"/>
      <c r="F12" s="10"/>
      <c r="L12" t="s">
        <v>5</v>
      </c>
      <c r="M12" s="11">
        <f>IFERROR(VLOOKUP(L12,CARTON_LOOKUP!$A:$E,3,0),"")</f>
        <v>60</v>
      </c>
      <c r="N12" s="11">
        <f>IFERROR(VLOOKUP(L12,CARTON_LOOKUP!$A:$E,4,0),"")</f>
        <v>30</v>
      </c>
      <c r="O12" s="11">
        <f>IFERROR(VLOOKUP(L12,CARTON_LOOKUP!$A:$E,5,0),"")</f>
        <v>40</v>
      </c>
      <c r="P12" s="12">
        <f>IFERROR(VLOOKUP(L12,CARTON_LOOKUP!$A:$E,2,0),"")</f>
        <v>1.4</v>
      </c>
      <c r="Q12" s="12">
        <f t="shared" si="0"/>
        <v>0</v>
      </c>
      <c r="R12" s="12">
        <f t="shared" si="1"/>
        <v>0</v>
      </c>
      <c r="S12" s="12">
        <f t="shared" si="2"/>
        <v>0</v>
      </c>
      <c r="T12" t="s">
        <v>57</v>
      </c>
      <c r="U12" t="s">
        <v>58</v>
      </c>
      <c r="W12" t="s">
        <v>59</v>
      </c>
      <c r="X12" s="10"/>
      <c r="Y12" s="10"/>
      <c r="AA12">
        <v>0</v>
      </c>
      <c r="AB12">
        <v>0</v>
      </c>
    </row>
    <row r="13" spans="1:29" x14ac:dyDescent="0.35">
      <c r="D13" s="9"/>
      <c r="E13" s="10"/>
      <c r="F13" s="10"/>
      <c r="L13" t="s">
        <v>5</v>
      </c>
      <c r="M13" s="11">
        <f>IFERROR(VLOOKUP(L13,CARTON_LOOKUP!$A:$E,3,0),"")</f>
        <v>60</v>
      </c>
      <c r="N13" s="11">
        <f>IFERROR(VLOOKUP(L13,CARTON_LOOKUP!$A:$E,4,0),"")</f>
        <v>30</v>
      </c>
      <c r="O13" s="11">
        <f>IFERROR(VLOOKUP(L13,CARTON_LOOKUP!$A:$E,5,0),"")</f>
        <v>40</v>
      </c>
      <c r="P13" s="12">
        <f>IFERROR(VLOOKUP(L13,CARTON_LOOKUP!$A:$E,2,0),"")</f>
        <v>1.4</v>
      </c>
      <c r="Q13" s="12">
        <f t="shared" si="0"/>
        <v>0</v>
      </c>
      <c r="R13" s="12">
        <f t="shared" si="1"/>
        <v>0</v>
      </c>
      <c r="S13" s="12">
        <f t="shared" si="2"/>
        <v>0</v>
      </c>
      <c r="T13" t="s">
        <v>57</v>
      </c>
      <c r="U13" t="s">
        <v>58</v>
      </c>
      <c r="W13" t="s">
        <v>59</v>
      </c>
      <c r="X13" s="10"/>
      <c r="Y13" s="10"/>
      <c r="AA13">
        <v>0</v>
      </c>
      <c r="AB13">
        <v>0</v>
      </c>
    </row>
    <row r="14" spans="1:29" x14ac:dyDescent="0.35">
      <c r="D14" s="9"/>
      <c r="E14" s="10"/>
      <c r="F14" s="10"/>
      <c r="L14" t="s">
        <v>5</v>
      </c>
      <c r="M14" s="11">
        <f>IFERROR(VLOOKUP(L14,CARTON_LOOKUP!$A:$E,3,0),"")</f>
        <v>60</v>
      </c>
      <c r="N14" s="11">
        <f>IFERROR(VLOOKUP(L14,CARTON_LOOKUP!$A:$E,4,0),"")</f>
        <v>30</v>
      </c>
      <c r="O14" s="11">
        <f>IFERROR(VLOOKUP(L14,CARTON_LOOKUP!$A:$E,5,0),"")</f>
        <v>40</v>
      </c>
      <c r="P14" s="12">
        <f>IFERROR(VLOOKUP(L14,CARTON_LOOKUP!$A:$E,2,0),"")</f>
        <v>1.4</v>
      </c>
      <c r="Q14" s="12">
        <f t="shared" si="0"/>
        <v>0</v>
      </c>
      <c r="R14" s="12">
        <f t="shared" si="1"/>
        <v>0</v>
      </c>
      <c r="S14" s="12">
        <f t="shared" si="2"/>
        <v>0</v>
      </c>
      <c r="T14" t="s">
        <v>57</v>
      </c>
      <c r="U14" t="s">
        <v>58</v>
      </c>
      <c r="W14" t="s">
        <v>59</v>
      </c>
      <c r="X14" s="10"/>
      <c r="Y14" s="10"/>
      <c r="AA14">
        <v>0</v>
      </c>
      <c r="AB14">
        <v>0</v>
      </c>
    </row>
    <row r="15" spans="1:29" x14ac:dyDescent="0.35">
      <c r="D15" s="9"/>
      <c r="E15" s="10"/>
      <c r="F15" s="10"/>
      <c r="L15" t="s">
        <v>5</v>
      </c>
      <c r="M15" s="11">
        <f>IFERROR(VLOOKUP(L15,CARTON_LOOKUP!$A:$E,3,0),"")</f>
        <v>60</v>
      </c>
      <c r="N15" s="11">
        <f>IFERROR(VLOOKUP(L15,CARTON_LOOKUP!$A:$E,4,0),"")</f>
        <v>30</v>
      </c>
      <c r="O15" s="11">
        <f>IFERROR(VLOOKUP(L15,CARTON_LOOKUP!$A:$E,5,0),"")</f>
        <v>40</v>
      </c>
      <c r="P15" s="12">
        <f>IFERROR(VLOOKUP(L15,CARTON_LOOKUP!$A:$E,2,0),"")</f>
        <v>1.4</v>
      </c>
      <c r="Q15" s="12">
        <f t="shared" si="0"/>
        <v>0</v>
      </c>
      <c r="R15" s="12">
        <f t="shared" si="1"/>
        <v>0</v>
      </c>
      <c r="S15" s="12">
        <f t="shared" si="2"/>
        <v>0</v>
      </c>
      <c r="T15" t="s">
        <v>57</v>
      </c>
      <c r="U15" t="s">
        <v>58</v>
      </c>
      <c r="W15" t="s">
        <v>59</v>
      </c>
      <c r="X15" s="10"/>
      <c r="Y15" s="10"/>
      <c r="AA15">
        <v>0</v>
      </c>
      <c r="AB15">
        <v>0</v>
      </c>
    </row>
    <row r="16" spans="1:29" x14ac:dyDescent="0.35">
      <c r="D16" s="9"/>
      <c r="E16" s="10"/>
      <c r="F16" s="10"/>
      <c r="L16" t="s">
        <v>5</v>
      </c>
      <c r="M16" s="11">
        <f>IFERROR(VLOOKUP(L16,CARTON_LOOKUP!$A:$E,3,0),"")</f>
        <v>60</v>
      </c>
      <c r="N16" s="11">
        <f>IFERROR(VLOOKUP(L16,CARTON_LOOKUP!$A:$E,4,0),"")</f>
        <v>30</v>
      </c>
      <c r="O16" s="11">
        <f>IFERROR(VLOOKUP(L16,CARTON_LOOKUP!$A:$E,5,0),"")</f>
        <v>40</v>
      </c>
      <c r="P16" s="12">
        <f>IFERROR(VLOOKUP(L16,CARTON_LOOKUP!$A:$E,2,0),"")</f>
        <v>1.4</v>
      </c>
      <c r="Q16" s="12">
        <f t="shared" si="0"/>
        <v>0</v>
      </c>
      <c r="R16" s="12">
        <f t="shared" si="1"/>
        <v>0</v>
      </c>
      <c r="S16" s="12">
        <f t="shared" si="2"/>
        <v>0</v>
      </c>
      <c r="T16" t="s">
        <v>57</v>
      </c>
      <c r="U16" t="s">
        <v>58</v>
      </c>
      <c r="W16" t="s">
        <v>59</v>
      </c>
      <c r="X16" s="10"/>
      <c r="Y16" s="10"/>
      <c r="AA16">
        <v>0</v>
      </c>
      <c r="AB16">
        <v>0</v>
      </c>
    </row>
    <row r="17" spans="4:28" x14ac:dyDescent="0.35">
      <c r="D17" s="9"/>
      <c r="E17" s="10"/>
      <c r="F17" s="10"/>
      <c r="L17" t="s">
        <v>5</v>
      </c>
      <c r="M17" s="11">
        <f>IFERROR(VLOOKUP(L17,CARTON_LOOKUP!$A:$E,3,0),"")</f>
        <v>60</v>
      </c>
      <c r="N17" s="11">
        <f>IFERROR(VLOOKUP(L17,CARTON_LOOKUP!$A:$E,4,0),"")</f>
        <v>30</v>
      </c>
      <c r="O17" s="11">
        <f>IFERROR(VLOOKUP(L17,CARTON_LOOKUP!$A:$E,5,0),"")</f>
        <v>40</v>
      </c>
      <c r="P17" s="12">
        <f>IFERROR(VLOOKUP(L17,CARTON_LOOKUP!$A:$E,2,0),"")</f>
        <v>1.4</v>
      </c>
      <c r="Q17" s="12">
        <f t="shared" si="0"/>
        <v>0</v>
      </c>
      <c r="R17" s="12">
        <f t="shared" si="1"/>
        <v>0</v>
      </c>
      <c r="S17" s="12">
        <f t="shared" si="2"/>
        <v>0</v>
      </c>
      <c r="T17" t="s">
        <v>57</v>
      </c>
      <c r="U17" t="s">
        <v>58</v>
      </c>
      <c r="W17" t="s">
        <v>59</v>
      </c>
      <c r="X17" s="10"/>
      <c r="Y17" s="10"/>
      <c r="AA17">
        <v>0</v>
      </c>
      <c r="AB17">
        <v>0</v>
      </c>
    </row>
    <row r="18" spans="4:28" x14ac:dyDescent="0.35">
      <c r="D18" s="9"/>
      <c r="E18" s="10"/>
      <c r="F18" s="10"/>
      <c r="L18" t="s">
        <v>5</v>
      </c>
      <c r="M18" s="11">
        <f>IFERROR(VLOOKUP(L18,CARTON_LOOKUP!$A:$E,3,0),"")</f>
        <v>60</v>
      </c>
      <c r="N18" s="11">
        <f>IFERROR(VLOOKUP(L18,CARTON_LOOKUP!$A:$E,4,0),"")</f>
        <v>30</v>
      </c>
      <c r="O18" s="11">
        <f>IFERROR(VLOOKUP(L18,CARTON_LOOKUP!$A:$E,5,0),"")</f>
        <v>40</v>
      </c>
      <c r="P18" s="12">
        <f>IFERROR(VLOOKUP(L18,CARTON_LOOKUP!$A:$E,2,0),"")</f>
        <v>1.4</v>
      </c>
      <c r="Q18" s="12">
        <f t="shared" si="0"/>
        <v>0</v>
      </c>
      <c r="R18" s="12">
        <f t="shared" si="1"/>
        <v>0</v>
      </c>
      <c r="S18" s="12">
        <f t="shared" si="2"/>
        <v>0</v>
      </c>
      <c r="T18" t="s">
        <v>57</v>
      </c>
      <c r="U18" t="s">
        <v>58</v>
      </c>
      <c r="W18" t="s">
        <v>59</v>
      </c>
      <c r="X18" s="10"/>
      <c r="Y18" s="10"/>
      <c r="AA18">
        <v>0</v>
      </c>
      <c r="AB18">
        <v>0</v>
      </c>
    </row>
    <row r="19" spans="4:28" x14ac:dyDescent="0.35">
      <c r="D19" s="9"/>
      <c r="E19" s="10"/>
      <c r="F19" s="10"/>
      <c r="L19" t="s">
        <v>5</v>
      </c>
      <c r="M19" s="11">
        <f>IFERROR(VLOOKUP(L19,CARTON_LOOKUP!$A:$E,3,0),"")</f>
        <v>60</v>
      </c>
      <c r="N19" s="11">
        <f>IFERROR(VLOOKUP(L19,CARTON_LOOKUP!$A:$E,4,0),"")</f>
        <v>30</v>
      </c>
      <c r="O19" s="11">
        <f>IFERROR(VLOOKUP(L19,CARTON_LOOKUP!$A:$E,5,0),"")</f>
        <v>40</v>
      </c>
      <c r="P19" s="12">
        <f>IFERROR(VLOOKUP(L19,CARTON_LOOKUP!$A:$E,2,0),"")</f>
        <v>1.4</v>
      </c>
      <c r="Q19" s="12">
        <f t="shared" si="0"/>
        <v>0</v>
      </c>
      <c r="R19" s="12">
        <f t="shared" si="1"/>
        <v>0</v>
      </c>
      <c r="S19" s="12">
        <f t="shared" si="2"/>
        <v>0</v>
      </c>
      <c r="T19" t="s">
        <v>57</v>
      </c>
      <c r="U19" t="s">
        <v>58</v>
      </c>
      <c r="W19" t="s">
        <v>59</v>
      </c>
      <c r="X19" s="10"/>
      <c r="Y19" s="10"/>
      <c r="AA19">
        <v>0</v>
      </c>
      <c r="AB19">
        <v>0</v>
      </c>
    </row>
    <row r="20" spans="4:28" x14ac:dyDescent="0.35">
      <c r="D20" s="9"/>
      <c r="E20" s="10"/>
      <c r="F20" s="10"/>
      <c r="L20" t="s">
        <v>5</v>
      </c>
      <c r="M20" s="11">
        <f>IFERROR(VLOOKUP(L20,CARTON_LOOKUP!$A:$E,3,0),"")</f>
        <v>60</v>
      </c>
      <c r="N20" s="11">
        <f>IFERROR(VLOOKUP(L20,CARTON_LOOKUP!$A:$E,4,0),"")</f>
        <v>30</v>
      </c>
      <c r="O20" s="11">
        <f>IFERROR(VLOOKUP(L20,CARTON_LOOKUP!$A:$E,5,0),"")</f>
        <v>40</v>
      </c>
      <c r="P20" s="12">
        <f>IFERROR(VLOOKUP(L20,CARTON_LOOKUP!$A:$E,2,0),"")</f>
        <v>1.4</v>
      </c>
      <c r="Q20" s="12">
        <f t="shared" si="0"/>
        <v>0</v>
      </c>
      <c r="R20" s="12">
        <f t="shared" si="1"/>
        <v>0</v>
      </c>
      <c r="S20" s="12">
        <f t="shared" si="2"/>
        <v>0</v>
      </c>
      <c r="T20" t="s">
        <v>57</v>
      </c>
      <c r="U20" t="s">
        <v>58</v>
      </c>
      <c r="W20" t="s">
        <v>59</v>
      </c>
      <c r="X20" s="10"/>
      <c r="Y20" s="10"/>
      <c r="AA20">
        <v>0</v>
      </c>
      <c r="AB20">
        <v>0</v>
      </c>
    </row>
    <row r="21" spans="4:28" x14ac:dyDescent="0.35">
      <c r="D21" s="9"/>
      <c r="E21" s="10"/>
      <c r="F21" s="10"/>
      <c r="L21" t="s">
        <v>5</v>
      </c>
      <c r="M21" s="11">
        <f>IFERROR(VLOOKUP(L21,CARTON_LOOKUP!$A:$E,3,0),"")</f>
        <v>60</v>
      </c>
      <c r="N21" s="11">
        <f>IFERROR(VLOOKUP(L21,CARTON_LOOKUP!$A:$E,4,0),"")</f>
        <v>30</v>
      </c>
      <c r="O21" s="11">
        <f>IFERROR(VLOOKUP(L21,CARTON_LOOKUP!$A:$E,5,0),"")</f>
        <v>40</v>
      </c>
      <c r="P21" s="12">
        <f>IFERROR(VLOOKUP(L21,CARTON_LOOKUP!$A:$E,2,0),"")</f>
        <v>1.4</v>
      </c>
      <c r="Q21" s="12">
        <f t="shared" si="0"/>
        <v>0</v>
      </c>
      <c r="R21" s="12">
        <f t="shared" si="1"/>
        <v>0</v>
      </c>
      <c r="S21" s="12">
        <f t="shared" si="2"/>
        <v>0</v>
      </c>
      <c r="T21" t="s">
        <v>57</v>
      </c>
      <c r="U21" t="s">
        <v>58</v>
      </c>
      <c r="W21" t="s">
        <v>59</v>
      </c>
      <c r="X21" s="10"/>
      <c r="Y21" s="10"/>
      <c r="AA21">
        <v>0</v>
      </c>
      <c r="AB21">
        <v>0</v>
      </c>
    </row>
    <row r="22" spans="4:28" x14ac:dyDescent="0.35">
      <c r="D22" s="9"/>
      <c r="E22" s="10"/>
      <c r="F22" s="10"/>
      <c r="L22" t="s">
        <v>5</v>
      </c>
      <c r="M22" s="11">
        <f>IFERROR(VLOOKUP(L22,CARTON_LOOKUP!$A:$E,3,0),"")</f>
        <v>60</v>
      </c>
      <c r="N22" s="11">
        <f>IFERROR(VLOOKUP(L22,CARTON_LOOKUP!$A:$E,4,0),"")</f>
        <v>30</v>
      </c>
      <c r="O22" s="11">
        <f>IFERROR(VLOOKUP(L22,CARTON_LOOKUP!$A:$E,5,0),"")</f>
        <v>40</v>
      </c>
      <c r="P22" s="12">
        <f>IFERROR(VLOOKUP(L22,CARTON_LOOKUP!$A:$E,2,0),"")</f>
        <v>1.4</v>
      </c>
      <c r="Q22" s="12">
        <f t="shared" si="0"/>
        <v>0</v>
      </c>
      <c r="R22" s="12">
        <f t="shared" si="1"/>
        <v>0</v>
      </c>
      <c r="S22" s="12">
        <f t="shared" si="2"/>
        <v>0</v>
      </c>
      <c r="T22" t="s">
        <v>57</v>
      </c>
      <c r="U22" t="s">
        <v>58</v>
      </c>
      <c r="W22" t="s">
        <v>59</v>
      </c>
      <c r="X22" s="10"/>
      <c r="Y22" s="10"/>
      <c r="AA22">
        <v>0</v>
      </c>
      <c r="AB22">
        <v>0</v>
      </c>
    </row>
    <row r="23" spans="4:28" x14ac:dyDescent="0.35">
      <c r="D23" s="9"/>
      <c r="E23" s="10"/>
      <c r="F23" s="10"/>
      <c r="L23" t="s">
        <v>5</v>
      </c>
      <c r="M23" s="11">
        <f>IFERROR(VLOOKUP(L23,CARTON_LOOKUP!$A:$E,3,0),"")</f>
        <v>60</v>
      </c>
      <c r="N23" s="11">
        <f>IFERROR(VLOOKUP(L23,CARTON_LOOKUP!$A:$E,4,0),"")</f>
        <v>30</v>
      </c>
      <c r="O23" s="11">
        <f>IFERROR(VLOOKUP(L23,CARTON_LOOKUP!$A:$E,5,0),"")</f>
        <v>40</v>
      </c>
      <c r="P23" s="12">
        <f>IFERROR(VLOOKUP(L23,CARTON_LOOKUP!$A:$E,2,0),"")</f>
        <v>1.4</v>
      </c>
      <c r="Q23" s="12">
        <f t="shared" si="0"/>
        <v>0</v>
      </c>
      <c r="R23" s="12">
        <f t="shared" si="1"/>
        <v>0</v>
      </c>
      <c r="S23" s="12">
        <f t="shared" si="2"/>
        <v>0</v>
      </c>
      <c r="T23" t="s">
        <v>57</v>
      </c>
      <c r="U23" t="s">
        <v>58</v>
      </c>
      <c r="W23" t="s">
        <v>59</v>
      </c>
      <c r="X23" s="10"/>
      <c r="Y23" s="10"/>
      <c r="AA23">
        <v>0</v>
      </c>
      <c r="AB23">
        <v>0</v>
      </c>
    </row>
    <row r="24" spans="4:28" x14ac:dyDescent="0.35">
      <c r="D24" s="9"/>
      <c r="E24" s="10"/>
      <c r="F24" s="10"/>
      <c r="L24" t="s">
        <v>5</v>
      </c>
      <c r="M24" s="11">
        <f>IFERROR(VLOOKUP(L24,CARTON_LOOKUP!$A:$E,3,0),"")</f>
        <v>60</v>
      </c>
      <c r="N24" s="11">
        <f>IFERROR(VLOOKUP(L24,CARTON_LOOKUP!$A:$E,4,0),"")</f>
        <v>30</v>
      </c>
      <c r="O24" s="11">
        <f>IFERROR(VLOOKUP(L24,CARTON_LOOKUP!$A:$E,5,0),"")</f>
        <v>40</v>
      </c>
      <c r="P24" s="12">
        <f>IFERROR(VLOOKUP(L24,CARTON_LOOKUP!$A:$E,2,0),"")</f>
        <v>1.4</v>
      </c>
      <c r="Q24" s="12">
        <f t="shared" si="0"/>
        <v>0</v>
      </c>
      <c r="R24" s="12">
        <f t="shared" si="1"/>
        <v>0</v>
      </c>
      <c r="S24" s="12">
        <f t="shared" si="2"/>
        <v>0</v>
      </c>
      <c r="T24" t="s">
        <v>57</v>
      </c>
      <c r="U24" t="s">
        <v>58</v>
      </c>
      <c r="W24" t="s">
        <v>59</v>
      </c>
      <c r="X24" s="10"/>
      <c r="Y24" s="10"/>
      <c r="AA24">
        <v>0</v>
      </c>
      <c r="AB24">
        <v>0</v>
      </c>
    </row>
    <row r="25" spans="4:28" x14ac:dyDescent="0.35">
      <c r="D25" s="9"/>
      <c r="E25" s="10"/>
      <c r="F25" s="10"/>
      <c r="L25" t="s">
        <v>5</v>
      </c>
      <c r="M25" s="11">
        <f>IFERROR(VLOOKUP(L25,CARTON_LOOKUP!$A:$E,3,0),"")</f>
        <v>60</v>
      </c>
      <c r="N25" s="11">
        <f>IFERROR(VLOOKUP(L25,CARTON_LOOKUP!$A:$E,4,0),"")</f>
        <v>30</v>
      </c>
      <c r="O25" s="11">
        <f>IFERROR(VLOOKUP(L25,CARTON_LOOKUP!$A:$E,5,0),"")</f>
        <v>40</v>
      </c>
      <c r="P25" s="12">
        <f>IFERROR(VLOOKUP(L25,CARTON_LOOKUP!$A:$E,2,0),"")</f>
        <v>1.4</v>
      </c>
      <c r="Q25" s="12">
        <f t="shared" si="0"/>
        <v>0</v>
      </c>
      <c r="R25" s="12">
        <f t="shared" si="1"/>
        <v>0</v>
      </c>
      <c r="S25" s="12">
        <f t="shared" si="2"/>
        <v>0</v>
      </c>
      <c r="T25" t="s">
        <v>57</v>
      </c>
      <c r="U25" t="s">
        <v>58</v>
      </c>
      <c r="W25" t="s">
        <v>59</v>
      </c>
      <c r="X25" s="10"/>
      <c r="Y25" s="10"/>
      <c r="AA25">
        <v>0</v>
      </c>
      <c r="AB25">
        <v>0</v>
      </c>
    </row>
    <row r="26" spans="4:28" x14ac:dyDescent="0.35">
      <c r="D26" s="9"/>
      <c r="E26" s="10"/>
      <c r="F26" s="10"/>
      <c r="L26" t="s">
        <v>5</v>
      </c>
      <c r="M26" s="11">
        <f>IFERROR(VLOOKUP(L26,CARTON_LOOKUP!$A:$E,3,0),"")</f>
        <v>60</v>
      </c>
      <c r="N26" s="11">
        <f>IFERROR(VLOOKUP(L26,CARTON_LOOKUP!$A:$E,4,0),"")</f>
        <v>30</v>
      </c>
      <c r="O26" s="11">
        <f>IFERROR(VLOOKUP(L26,CARTON_LOOKUP!$A:$E,5,0),"")</f>
        <v>40</v>
      </c>
      <c r="P26" s="12">
        <f>IFERROR(VLOOKUP(L26,CARTON_LOOKUP!$A:$E,2,0),"")</f>
        <v>1.4</v>
      </c>
      <c r="Q26" s="12">
        <f t="shared" si="0"/>
        <v>0</v>
      </c>
      <c r="R26" s="12">
        <f t="shared" si="1"/>
        <v>0</v>
      </c>
      <c r="S26" s="12">
        <f t="shared" si="2"/>
        <v>0</v>
      </c>
      <c r="T26" t="s">
        <v>57</v>
      </c>
      <c r="U26" t="s">
        <v>58</v>
      </c>
      <c r="W26" t="s">
        <v>59</v>
      </c>
      <c r="X26" s="10"/>
      <c r="Y26" s="10"/>
      <c r="AA26">
        <v>0</v>
      </c>
      <c r="AB26">
        <v>0</v>
      </c>
    </row>
    <row r="27" spans="4:28" x14ac:dyDescent="0.35">
      <c r="D27" s="9"/>
      <c r="E27" s="10"/>
      <c r="F27" s="10"/>
      <c r="L27" t="s">
        <v>5</v>
      </c>
      <c r="M27" s="11">
        <f>IFERROR(VLOOKUP(L27,CARTON_LOOKUP!$A:$E,3,0),"")</f>
        <v>60</v>
      </c>
      <c r="N27" s="11">
        <f>IFERROR(VLOOKUP(L27,CARTON_LOOKUP!$A:$E,4,0),"")</f>
        <v>30</v>
      </c>
      <c r="O27" s="11">
        <f>IFERROR(VLOOKUP(L27,CARTON_LOOKUP!$A:$E,5,0),"")</f>
        <v>40</v>
      </c>
      <c r="P27" s="12">
        <f>IFERROR(VLOOKUP(L27,CARTON_LOOKUP!$A:$E,2,0),"")</f>
        <v>1.4</v>
      </c>
      <c r="Q27" s="12">
        <f t="shared" si="0"/>
        <v>0</v>
      </c>
      <c r="R27" s="12">
        <f t="shared" si="1"/>
        <v>0</v>
      </c>
      <c r="S27" s="12">
        <f t="shared" si="2"/>
        <v>0</v>
      </c>
      <c r="T27" t="s">
        <v>57</v>
      </c>
      <c r="U27" t="s">
        <v>58</v>
      </c>
      <c r="W27" t="s">
        <v>59</v>
      </c>
      <c r="X27" s="10"/>
      <c r="Y27" s="10"/>
      <c r="AA27">
        <v>0</v>
      </c>
      <c r="AB27">
        <v>0</v>
      </c>
    </row>
    <row r="28" spans="4:28" x14ac:dyDescent="0.35">
      <c r="D28" s="9"/>
      <c r="E28" s="10"/>
      <c r="F28" s="10"/>
      <c r="L28" t="s">
        <v>5</v>
      </c>
      <c r="M28" s="11">
        <f>IFERROR(VLOOKUP(L28,CARTON_LOOKUP!$A:$E,3,0),"")</f>
        <v>60</v>
      </c>
      <c r="N28" s="11">
        <f>IFERROR(VLOOKUP(L28,CARTON_LOOKUP!$A:$E,4,0),"")</f>
        <v>30</v>
      </c>
      <c r="O28" s="11">
        <f>IFERROR(VLOOKUP(L28,CARTON_LOOKUP!$A:$E,5,0),"")</f>
        <v>40</v>
      </c>
      <c r="P28" s="12">
        <f>IFERROR(VLOOKUP(L28,CARTON_LOOKUP!$A:$E,2,0),"")</f>
        <v>1.4</v>
      </c>
      <c r="Q28" s="12">
        <f t="shared" si="0"/>
        <v>0</v>
      </c>
      <c r="R28" s="12">
        <f t="shared" si="1"/>
        <v>0</v>
      </c>
      <c r="S28" s="12">
        <f t="shared" si="2"/>
        <v>0</v>
      </c>
      <c r="T28" t="s">
        <v>57</v>
      </c>
      <c r="U28" t="s">
        <v>58</v>
      </c>
      <c r="W28" t="s">
        <v>59</v>
      </c>
      <c r="X28" s="10"/>
      <c r="Y28" s="10"/>
      <c r="AA28">
        <v>0</v>
      </c>
      <c r="AB28">
        <v>0</v>
      </c>
    </row>
    <row r="29" spans="4:28" x14ac:dyDescent="0.35">
      <c r="D29" s="9"/>
      <c r="E29" s="10"/>
      <c r="F29" s="10"/>
      <c r="L29" t="s">
        <v>5</v>
      </c>
      <c r="M29" s="11">
        <f>IFERROR(VLOOKUP(L29,CARTON_LOOKUP!$A:$E,3,0),"")</f>
        <v>60</v>
      </c>
      <c r="N29" s="11">
        <f>IFERROR(VLOOKUP(L29,CARTON_LOOKUP!$A:$E,4,0),"")</f>
        <v>30</v>
      </c>
      <c r="O29" s="11">
        <f>IFERROR(VLOOKUP(L29,CARTON_LOOKUP!$A:$E,5,0),"")</f>
        <v>40</v>
      </c>
      <c r="P29" s="12">
        <f>IFERROR(VLOOKUP(L29,CARTON_LOOKUP!$A:$E,2,0),"")</f>
        <v>1.4</v>
      </c>
      <c r="Q29" s="12">
        <f t="shared" si="0"/>
        <v>0</v>
      </c>
      <c r="R29" s="12">
        <f t="shared" si="1"/>
        <v>0</v>
      </c>
      <c r="S29" s="12">
        <f t="shared" si="2"/>
        <v>0</v>
      </c>
      <c r="T29" t="s">
        <v>57</v>
      </c>
      <c r="U29" t="s">
        <v>58</v>
      </c>
      <c r="W29" t="s">
        <v>59</v>
      </c>
      <c r="X29" s="10"/>
      <c r="Y29" s="10"/>
      <c r="AA29">
        <v>0</v>
      </c>
      <c r="AB29">
        <v>0</v>
      </c>
    </row>
    <row r="30" spans="4:28" x14ac:dyDescent="0.35">
      <c r="D30" s="9"/>
      <c r="E30" s="10"/>
      <c r="F30" s="10"/>
      <c r="L30" t="s">
        <v>5</v>
      </c>
      <c r="M30" s="11">
        <f>IFERROR(VLOOKUP(L30,CARTON_LOOKUP!$A:$E,3,0),"")</f>
        <v>60</v>
      </c>
      <c r="N30" s="11">
        <f>IFERROR(VLOOKUP(L30,CARTON_LOOKUP!$A:$E,4,0),"")</f>
        <v>30</v>
      </c>
      <c r="O30" s="11">
        <f>IFERROR(VLOOKUP(L30,CARTON_LOOKUP!$A:$E,5,0),"")</f>
        <v>40</v>
      </c>
      <c r="P30" s="12">
        <f>IFERROR(VLOOKUP(L30,CARTON_LOOKUP!$A:$E,2,0),"")</f>
        <v>1.4</v>
      </c>
      <c r="Q30" s="12">
        <f t="shared" si="0"/>
        <v>0</v>
      </c>
      <c r="R30" s="12">
        <f t="shared" si="1"/>
        <v>0</v>
      </c>
      <c r="S30" s="12">
        <f t="shared" si="2"/>
        <v>0</v>
      </c>
      <c r="T30" t="s">
        <v>57</v>
      </c>
      <c r="U30" t="s">
        <v>58</v>
      </c>
      <c r="W30" t="s">
        <v>59</v>
      </c>
      <c r="X30" s="10"/>
      <c r="Y30" s="10"/>
      <c r="AA30">
        <v>0</v>
      </c>
      <c r="AB30">
        <v>0</v>
      </c>
    </row>
    <row r="31" spans="4:28" x14ac:dyDescent="0.35">
      <c r="D31" s="9"/>
      <c r="E31" s="10"/>
      <c r="F31" s="10"/>
      <c r="L31" t="s">
        <v>5</v>
      </c>
      <c r="M31" s="11">
        <f>IFERROR(VLOOKUP(L31,CARTON_LOOKUP!$A:$E,3,0),"")</f>
        <v>60</v>
      </c>
      <c r="N31" s="11">
        <f>IFERROR(VLOOKUP(L31,CARTON_LOOKUP!$A:$E,4,0),"")</f>
        <v>30</v>
      </c>
      <c r="O31" s="11">
        <f>IFERROR(VLOOKUP(L31,CARTON_LOOKUP!$A:$E,5,0),"")</f>
        <v>40</v>
      </c>
      <c r="P31" s="12">
        <f>IFERROR(VLOOKUP(L31,CARTON_LOOKUP!$A:$E,2,0),"")</f>
        <v>1.4</v>
      </c>
      <c r="Q31" s="12">
        <f t="shared" si="0"/>
        <v>0</v>
      </c>
      <c r="R31" s="12">
        <f t="shared" si="1"/>
        <v>0</v>
      </c>
      <c r="S31" s="12">
        <f t="shared" si="2"/>
        <v>0</v>
      </c>
      <c r="T31" t="s">
        <v>57</v>
      </c>
      <c r="U31" t="s">
        <v>58</v>
      </c>
      <c r="W31" t="s">
        <v>59</v>
      </c>
      <c r="X31" s="10"/>
      <c r="Y31" s="10"/>
      <c r="AA31">
        <v>0</v>
      </c>
      <c r="AB31">
        <v>0</v>
      </c>
    </row>
    <row r="32" spans="4:28" x14ac:dyDescent="0.35">
      <c r="D32" s="9"/>
      <c r="E32" s="10"/>
      <c r="F32" s="10"/>
      <c r="L32" t="s">
        <v>5</v>
      </c>
      <c r="M32" s="11">
        <f>IFERROR(VLOOKUP(L32,CARTON_LOOKUP!$A:$E,3,0),"")</f>
        <v>60</v>
      </c>
      <c r="N32" s="11">
        <f>IFERROR(VLOOKUP(L32,CARTON_LOOKUP!$A:$E,4,0),"")</f>
        <v>30</v>
      </c>
      <c r="O32" s="11">
        <f>IFERROR(VLOOKUP(L32,CARTON_LOOKUP!$A:$E,5,0),"")</f>
        <v>40</v>
      </c>
      <c r="P32" s="12">
        <f>IFERROR(VLOOKUP(L32,CARTON_LOOKUP!$A:$E,2,0),"")</f>
        <v>1.4</v>
      </c>
      <c r="Q32" s="12">
        <f t="shared" si="0"/>
        <v>0</v>
      </c>
      <c r="R32" s="12">
        <f t="shared" si="1"/>
        <v>0</v>
      </c>
      <c r="S32" s="12">
        <f t="shared" si="2"/>
        <v>0</v>
      </c>
      <c r="T32" t="s">
        <v>57</v>
      </c>
      <c r="U32" t="s">
        <v>58</v>
      </c>
      <c r="W32" t="s">
        <v>59</v>
      </c>
      <c r="X32" s="10"/>
      <c r="Y32" s="10"/>
      <c r="AA32">
        <v>0</v>
      </c>
      <c r="AB32">
        <v>0</v>
      </c>
    </row>
    <row r="33" spans="4:28" x14ac:dyDescent="0.35">
      <c r="D33" s="9"/>
      <c r="E33" s="10"/>
      <c r="F33" s="10"/>
      <c r="L33" t="s">
        <v>5</v>
      </c>
      <c r="M33" s="11">
        <f>IFERROR(VLOOKUP(L33,CARTON_LOOKUP!$A:$E,3,0),"")</f>
        <v>60</v>
      </c>
      <c r="N33" s="11">
        <f>IFERROR(VLOOKUP(L33,CARTON_LOOKUP!$A:$E,4,0),"")</f>
        <v>30</v>
      </c>
      <c r="O33" s="11">
        <f>IFERROR(VLOOKUP(L33,CARTON_LOOKUP!$A:$E,5,0),"")</f>
        <v>40</v>
      </c>
      <c r="P33" s="12">
        <f>IFERROR(VLOOKUP(L33,CARTON_LOOKUP!$A:$E,2,0),"")</f>
        <v>1.4</v>
      </c>
      <c r="Q33" s="12">
        <f t="shared" si="0"/>
        <v>0</v>
      </c>
      <c r="R33" s="12">
        <f t="shared" si="1"/>
        <v>0</v>
      </c>
      <c r="S33" s="12">
        <f t="shared" si="2"/>
        <v>0</v>
      </c>
      <c r="T33" t="s">
        <v>57</v>
      </c>
      <c r="U33" t="s">
        <v>58</v>
      </c>
      <c r="W33" t="s">
        <v>59</v>
      </c>
      <c r="X33" s="10"/>
      <c r="Y33" s="10"/>
      <c r="AA33">
        <v>0</v>
      </c>
      <c r="AB33">
        <v>0</v>
      </c>
    </row>
    <row r="34" spans="4:28" x14ac:dyDescent="0.35">
      <c r="D34" s="9"/>
      <c r="E34" s="10"/>
      <c r="F34" s="10"/>
      <c r="L34" t="s">
        <v>5</v>
      </c>
      <c r="M34" s="11">
        <f>IFERROR(VLOOKUP(L34,CARTON_LOOKUP!$A:$E,3,0),"")</f>
        <v>60</v>
      </c>
      <c r="N34" s="11">
        <f>IFERROR(VLOOKUP(L34,CARTON_LOOKUP!$A:$E,4,0),"")</f>
        <v>30</v>
      </c>
      <c r="O34" s="11">
        <f>IFERROR(VLOOKUP(L34,CARTON_LOOKUP!$A:$E,5,0),"")</f>
        <v>40</v>
      </c>
      <c r="P34" s="12">
        <f>IFERROR(VLOOKUP(L34,CARTON_LOOKUP!$A:$E,2,0),"")</f>
        <v>1.4</v>
      </c>
      <c r="Q34" s="12">
        <f t="shared" si="0"/>
        <v>0</v>
      </c>
      <c r="R34" s="12">
        <f t="shared" si="1"/>
        <v>0</v>
      </c>
      <c r="S34" s="12">
        <f t="shared" si="2"/>
        <v>0</v>
      </c>
      <c r="T34" t="s">
        <v>57</v>
      </c>
      <c r="U34" t="s">
        <v>58</v>
      </c>
      <c r="W34" t="s">
        <v>59</v>
      </c>
      <c r="X34" s="10"/>
      <c r="Y34" s="10"/>
      <c r="AA34">
        <v>0</v>
      </c>
      <c r="AB34">
        <v>0</v>
      </c>
    </row>
    <row r="35" spans="4:28" x14ac:dyDescent="0.35">
      <c r="D35" s="9"/>
      <c r="E35" s="10"/>
      <c r="F35" s="10"/>
      <c r="L35" t="s">
        <v>5</v>
      </c>
      <c r="M35" s="11">
        <f>IFERROR(VLOOKUP(L35,CARTON_LOOKUP!$A:$E,3,0),"")</f>
        <v>60</v>
      </c>
      <c r="N35" s="11">
        <f>IFERROR(VLOOKUP(L35,CARTON_LOOKUP!$A:$E,4,0),"")</f>
        <v>30</v>
      </c>
      <c r="O35" s="11">
        <f>IFERROR(VLOOKUP(L35,CARTON_LOOKUP!$A:$E,5,0),"")</f>
        <v>40</v>
      </c>
      <c r="P35" s="12">
        <f>IFERROR(VLOOKUP(L35,CARTON_LOOKUP!$A:$E,2,0),"")</f>
        <v>1.4</v>
      </c>
      <c r="Q35" s="12">
        <f t="shared" si="0"/>
        <v>0</v>
      </c>
      <c r="R35" s="12">
        <f t="shared" si="1"/>
        <v>0</v>
      </c>
      <c r="S35" s="12">
        <f t="shared" si="2"/>
        <v>0</v>
      </c>
      <c r="T35" t="s">
        <v>57</v>
      </c>
      <c r="U35" t="s">
        <v>58</v>
      </c>
      <c r="W35" t="s">
        <v>59</v>
      </c>
      <c r="X35" s="10"/>
      <c r="Y35" s="10"/>
      <c r="AA35">
        <v>0</v>
      </c>
      <c r="AB35">
        <v>0</v>
      </c>
    </row>
    <row r="36" spans="4:28" x14ac:dyDescent="0.35">
      <c r="D36" s="9"/>
      <c r="E36" s="10"/>
      <c r="F36" s="10"/>
      <c r="L36" t="s">
        <v>5</v>
      </c>
      <c r="M36" s="11">
        <f>IFERROR(VLOOKUP(L36,CARTON_LOOKUP!$A:$E,3,0),"")</f>
        <v>60</v>
      </c>
      <c r="N36" s="11">
        <f>IFERROR(VLOOKUP(L36,CARTON_LOOKUP!$A:$E,4,0),"")</f>
        <v>30</v>
      </c>
      <c r="O36" s="11">
        <f>IFERROR(VLOOKUP(L36,CARTON_LOOKUP!$A:$E,5,0),"")</f>
        <v>40</v>
      </c>
      <c r="P36" s="12">
        <f>IFERROR(VLOOKUP(L36,CARTON_LOOKUP!$A:$E,2,0),"")</f>
        <v>1.4</v>
      </c>
      <c r="Q36" s="12">
        <f t="shared" ref="Q36:Q67" si="3">IFERROR(P36*C36,0)</f>
        <v>0</v>
      </c>
      <c r="R36" s="12">
        <f t="shared" ref="R36:R53" si="4">IFERROR(D36*K36,0)</f>
        <v>0</v>
      </c>
      <c r="S36" s="12">
        <f t="shared" ref="S36:S53" si="5">IFERROR((M36*N36*O36/1000000)*C36,0)</f>
        <v>0</v>
      </c>
      <c r="T36" t="s">
        <v>57</v>
      </c>
      <c r="U36" t="s">
        <v>58</v>
      </c>
      <c r="W36" t="s">
        <v>59</v>
      </c>
      <c r="X36" s="10"/>
      <c r="Y36" s="10"/>
      <c r="AA36">
        <v>0</v>
      </c>
      <c r="AB36">
        <v>0</v>
      </c>
    </row>
    <row r="37" spans="4:28" x14ac:dyDescent="0.35">
      <c r="D37" s="9"/>
      <c r="E37" s="10"/>
      <c r="F37" s="10"/>
      <c r="L37" t="s">
        <v>5</v>
      </c>
      <c r="M37" s="11">
        <f>IFERROR(VLOOKUP(L37,CARTON_LOOKUP!$A:$E,3,0),"")</f>
        <v>60</v>
      </c>
      <c r="N37" s="11">
        <f>IFERROR(VLOOKUP(L37,CARTON_LOOKUP!$A:$E,4,0),"")</f>
        <v>30</v>
      </c>
      <c r="O37" s="11">
        <f>IFERROR(VLOOKUP(L37,CARTON_LOOKUP!$A:$E,5,0),"")</f>
        <v>40</v>
      </c>
      <c r="P37" s="12">
        <f>IFERROR(VLOOKUP(L37,CARTON_LOOKUP!$A:$E,2,0),"")</f>
        <v>1.4</v>
      </c>
      <c r="Q37" s="12">
        <f t="shared" si="3"/>
        <v>0</v>
      </c>
      <c r="R37" s="12">
        <f t="shared" si="4"/>
        <v>0</v>
      </c>
      <c r="S37" s="12">
        <f t="shared" si="5"/>
        <v>0</v>
      </c>
      <c r="T37" t="s">
        <v>57</v>
      </c>
      <c r="U37" t="s">
        <v>58</v>
      </c>
      <c r="W37" t="s">
        <v>59</v>
      </c>
      <c r="X37" s="10"/>
      <c r="Y37" s="10"/>
      <c r="AA37">
        <v>0</v>
      </c>
      <c r="AB37">
        <v>0</v>
      </c>
    </row>
    <row r="38" spans="4:28" x14ac:dyDescent="0.35">
      <c r="D38" s="9"/>
      <c r="E38" s="10"/>
      <c r="F38" s="10"/>
      <c r="L38" t="s">
        <v>5</v>
      </c>
      <c r="M38" s="11">
        <f>IFERROR(VLOOKUP(L38,CARTON_LOOKUP!$A:$E,3,0),"")</f>
        <v>60</v>
      </c>
      <c r="N38" s="11">
        <f>IFERROR(VLOOKUP(L38,CARTON_LOOKUP!$A:$E,4,0),"")</f>
        <v>30</v>
      </c>
      <c r="O38" s="11">
        <f>IFERROR(VLOOKUP(L38,CARTON_LOOKUP!$A:$E,5,0),"")</f>
        <v>40</v>
      </c>
      <c r="P38" s="12">
        <f>IFERROR(VLOOKUP(L38,CARTON_LOOKUP!$A:$E,2,0),"")</f>
        <v>1.4</v>
      </c>
      <c r="Q38" s="12">
        <f t="shared" si="3"/>
        <v>0</v>
      </c>
      <c r="R38" s="12">
        <f t="shared" si="4"/>
        <v>0</v>
      </c>
      <c r="S38" s="12">
        <f t="shared" si="5"/>
        <v>0</v>
      </c>
      <c r="T38" t="s">
        <v>57</v>
      </c>
      <c r="U38" t="s">
        <v>58</v>
      </c>
      <c r="W38" t="s">
        <v>59</v>
      </c>
      <c r="X38" s="10"/>
      <c r="Y38" s="10"/>
      <c r="AA38">
        <v>0</v>
      </c>
      <c r="AB38">
        <v>0</v>
      </c>
    </row>
    <row r="39" spans="4:28" x14ac:dyDescent="0.35">
      <c r="D39" s="9"/>
      <c r="E39" s="10"/>
      <c r="F39" s="10"/>
      <c r="L39" t="s">
        <v>5</v>
      </c>
      <c r="M39" s="11">
        <f>IFERROR(VLOOKUP(L39,CARTON_LOOKUP!$A:$E,3,0),"")</f>
        <v>60</v>
      </c>
      <c r="N39" s="11">
        <f>IFERROR(VLOOKUP(L39,CARTON_LOOKUP!$A:$E,4,0),"")</f>
        <v>30</v>
      </c>
      <c r="O39" s="11">
        <f>IFERROR(VLOOKUP(L39,CARTON_LOOKUP!$A:$E,5,0),"")</f>
        <v>40</v>
      </c>
      <c r="P39" s="12">
        <f>IFERROR(VLOOKUP(L39,CARTON_LOOKUP!$A:$E,2,0),"")</f>
        <v>1.4</v>
      </c>
      <c r="Q39" s="12">
        <f t="shared" si="3"/>
        <v>0</v>
      </c>
      <c r="R39" s="12">
        <f t="shared" si="4"/>
        <v>0</v>
      </c>
      <c r="S39" s="12">
        <f t="shared" si="5"/>
        <v>0</v>
      </c>
      <c r="T39" t="s">
        <v>57</v>
      </c>
      <c r="U39" t="s">
        <v>58</v>
      </c>
      <c r="W39" t="s">
        <v>59</v>
      </c>
      <c r="X39" s="10"/>
      <c r="Y39" s="10"/>
      <c r="AA39">
        <v>0</v>
      </c>
      <c r="AB39">
        <v>0</v>
      </c>
    </row>
    <row r="40" spans="4:28" x14ac:dyDescent="0.35">
      <c r="D40" s="9"/>
      <c r="E40" s="10"/>
      <c r="F40" s="10"/>
      <c r="L40" t="s">
        <v>5</v>
      </c>
      <c r="M40" s="11">
        <f>IFERROR(VLOOKUP(L40,CARTON_LOOKUP!$A:$E,3,0),"")</f>
        <v>60</v>
      </c>
      <c r="N40" s="11">
        <f>IFERROR(VLOOKUP(L40,CARTON_LOOKUP!$A:$E,4,0),"")</f>
        <v>30</v>
      </c>
      <c r="O40" s="11">
        <f>IFERROR(VLOOKUP(L40,CARTON_LOOKUP!$A:$E,5,0),"")</f>
        <v>40</v>
      </c>
      <c r="P40" s="12">
        <f>IFERROR(VLOOKUP(L40,CARTON_LOOKUP!$A:$E,2,0),"")</f>
        <v>1.4</v>
      </c>
      <c r="Q40" s="12">
        <f t="shared" si="3"/>
        <v>0</v>
      </c>
      <c r="R40" s="12">
        <f t="shared" si="4"/>
        <v>0</v>
      </c>
      <c r="S40" s="12">
        <f t="shared" si="5"/>
        <v>0</v>
      </c>
      <c r="T40" t="s">
        <v>57</v>
      </c>
      <c r="U40" t="s">
        <v>58</v>
      </c>
      <c r="W40" t="s">
        <v>59</v>
      </c>
      <c r="X40" s="10"/>
      <c r="Y40" s="10"/>
      <c r="AA40">
        <v>0</v>
      </c>
      <c r="AB40">
        <v>0</v>
      </c>
    </row>
    <row r="41" spans="4:28" x14ac:dyDescent="0.35">
      <c r="D41" s="9"/>
      <c r="E41" s="10"/>
      <c r="F41" s="10"/>
      <c r="L41" t="s">
        <v>5</v>
      </c>
      <c r="M41" s="11">
        <f>IFERROR(VLOOKUP(L41,CARTON_LOOKUP!$A:$E,3,0),"")</f>
        <v>60</v>
      </c>
      <c r="N41" s="11">
        <f>IFERROR(VLOOKUP(L41,CARTON_LOOKUP!$A:$E,4,0),"")</f>
        <v>30</v>
      </c>
      <c r="O41" s="11">
        <f>IFERROR(VLOOKUP(L41,CARTON_LOOKUP!$A:$E,5,0),"")</f>
        <v>40</v>
      </c>
      <c r="P41" s="12">
        <f>IFERROR(VLOOKUP(L41,CARTON_LOOKUP!$A:$E,2,0),"")</f>
        <v>1.4</v>
      </c>
      <c r="Q41" s="12">
        <f t="shared" si="3"/>
        <v>0</v>
      </c>
      <c r="R41" s="12">
        <f t="shared" si="4"/>
        <v>0</v>
      </c>
      <c r="S41" s="12">
        <f t="shared" si="5"/>
        <v>0</v>
      </c>
      <c r="T41" t="s">
        <v>57</v>
      </c>
      <c r="U41" t="s">
        <v>58</v>
      </c>
      <c r="W41" t="s">
        <v>59</v>
      </c>
      <c r="X41" s="10"/>
      <c r="Y41" s="10"/>
      <c r="AA41">
        <v>0</v>
      </c>
      <c r="AB41">
        <v>0</v>
      </c>
    </row>
    <row r="42" spans="4:28" x14ac:dyDescent="0.35">
      <c r="D42" s="9"/>
      <c r="E42" s="10"/>
      <c r="F42" s="10"/>
      <c r="L42" t="s">
        <v>5</v>
      </c>
      <c r="M42" s="11">
        <f>IFERROR(VLOOKUP(L42,CARTON_LOOKUP!$A:$E,3,0),"")</f>
        <v>60</v>
      </c>
      <c r="N42" s="11">
        <f>IFERROR(VLOOKUP(L42,CARTON_LOOKUP!$A:$E,4,0),"")</f>
        <v>30</v>
      </c>
      <c r="O42" s="11">
        <f>IFERROR(VLOOKUP(L42,CARTON_LOOKUP!$A:$E,5,0),"")</f>
        <v>40</v>
      </c>
      <c r="P42" s="12">
        <f>IFERROR(VLOOKUP(L42,CARTON_LOOKUP!$A:$E,2,0),"")</f>
        <v>1.4</v>
      </c>
      <c r="Q42" s="12">
        <f t="shared" si="3"/>
        <v>0</v>
      </c>
      <c r="R42" s="12">
        <f t="shared" si="4"/>
        <v>0</v>
      </c>
      <c r="S42" s="12">
        <f t="shared" si="5"/>
        <v>0</v>
      </c>
      <c r="T42" t="s">
        <v>57</v>
      </c>
      <c r="U42" t="s">
        <v>58</v>
      </c>
      <c r="W42" t="s">
        <v>59</v>
      </c>
      <c r="X42" s="10"/>
      <c r="Y42" s="10"/>
      <c r="AA42">
        <v>0</v>
      </c>
      <c r="AB42">
        <v>0</v>
      </c>
    </row>
    <row r="43" spans="4:28" x14ac:dyDescent="0.35">
      <c r="D43" s="9"/>
      <c r="E43" s="10"/>
      <c r="F43" s="10"/>
      <c r="L43" t="s">
        <v>5</v>
      </c>
      <c r="M43" s="11">
        <f>IFERROR(VLOOKUP(L43,CARTON_LOOKUP!$A:$E,3,0),"")</f>
        <v>60</v>
      </c>
      <c r="N43" s="11">
        <f>IFERROR(VLOOKUP(L43,CARTON_LOOKUP!$A:$E,4,0),"")</f>
        <v>30</v>
      </c>
      <c r="O43" s="11">
        <f>IFERROR(VLOOKUP(L43,CARTON_LOOKUP!$A:$E,5,0),"")</f>
        <v>40</v>
      </c>
      <c r="P43" s="12">
        <f>IFERROR(VLOOKUP(L43,CARTON_LOOKUP!$A:$E,2,0),"")</f>
        <v>1.4</v>
      </c>
      <c r="Q43" s="12">
        <f t="shared" si="3"/>
        <v>0</v>
      </c>
      <c r="R43" s="12">
        <f t="shared" si="4"/>
        <v>0</v>
      </c>
      <c r="S43" s="12">
        <f t="shared" si="5"/>
        <v>0</v>
      </c>
      <c r="T43" t="s">
        <v>57</v>
      </c>
      <c r="U43" t="s">
        <v>58</v>
      </c>
      <c r="W43" t="s">
        <v>59</v>
      </c>
      <c r="X43" s="10"/>
      <c r="Y43" s="10"/>
      <c r="AA43">
        <v>0</v>
      </c>
      <c r="AB43">
        <v>0</v>
      </c>
    </row>
    <row r="44" spans="4:28" x14ac:dyDescent="0.35">
      <c r="D44" s="9"/>
      <c r="E44" s="10"/>
      <c r="F44" s="10"/>
      <c r="L44" t="s">
        <v>5</v>
      </c>
      <c r="M44" s="11">
        <f>IFERROR(VLOOKUP(L44,CARTON_LOOKUP!$A:$E,3,0),"")</f>
        <v>60</v>
      </c>
      <c r="N44" s="11">
        <f>IFERROR(VLOOKUP(L44,CARTON_LOOKUP!$A:$E,4,0),"")</f>
        <v>30</v>
      </c>
      <c r="O44" s="11">
        <f>IFERROR(VLOOKUP(L44,CARTON_LOOKUP!$A:$E,5,0),"")</f>
        <v>40</v>
      </c>
      <c r="P44" s="12">
        <f>IFERROR(VLOOKUP(L44,CARTON_LOOKUP!$A:$E,2,0),"")</f>
        <v>1.4</v>
      </c>
      <c r="Q44" s="12">
        <f t="shared" si="3"/>
        <v>0</v>
      </c>
      <c r="R44" s="12">
        <f t="shared" si="4"/>
        <v>0</v>
      </c>
      <c r="S44" s="12">
        <f t="shared" si="5"/>
        <v>0</v>
      </c>
      <c r="T44" t="s">
        <v>57</v>
      </c>
      <c r="U44" t="s">
        <v>58</v>
      </c>
      <c r="W44" t="s">
        <v>59</v>
      </c>
      <c r="X44" s="10"/>
      <c r="Y44" s="10"/>
      <c r="AA44">
        <v>0</v>
      </c>
      <c r="AB44">
        <v>0</v>
      </c>
    </row>
    <row r="45" spans="4:28" x14ac:dyDescent="0.35">
      <c r="D45" s="9"/>
      <c r="E45" s="10"/>
      <c r="F45" s="10"/>
      <c r="L45" t="s">
        <v>5</v>
      </c>
      <c r="M45" s="11">
        <f>IFERROR(VLOOKUP(L45,CARTON_LOOKUP!$A:$E,3,0),"")</f>
        <v>60</v>
      </c>
      <c r="N45" s="11">
        <f>IFERROR(VLOOKUP(L45,CARTON_LOOKUP!$A:$E,4,0),"")</f>
        <v>30</v>
      </c>
      <c r="O45" s="11">
        <f>IFERROR(VLOOKUP(L45,CARTON_LOOKUP!$A:$E,5,0),"")</f>
        <v>40</v>
      </c>
      <c r="P45" s="12">
        <f>IFERROR(VLOOKUP(L45,CARTON_LOOKUP!$A:$E,2,0),"")</f>
        <v>1.4</v>
      </c>
      <c r="Q45" s="12">
        <f t="shared" si="3"/>
        <v>0</v>
      </c>
      <c r="R45" s="12">
        <f t="shared" si="4"/>
        <v>0</v>
      </c>
      <c r="S45" s="12">
        <f t="shared" si="5"/>
        <v>0</v>
      </c>
      <c r="T45" t="s">
        <v>57</v>
      </c>
      <c r="U45" t="s">
        <v>58</v>
      </c>
      <c r="W45" t="s">
        <v>59</v>
      </c>
      <c r="X45" s="10"/>
      <c r="Y45" s="10"/>
      <c r="AA45">
        <v>0</v>
      </c>
      <c r="AB45">
        <v>0</v>
      </c>
    </row>
    <row r="46" spans="4:28" x14ac:dyDescent="0.35">
      <c r="D46" s="9"/>
      <c r="E46" s="10"/>
      <c r="F46" s="10"/>
      <c r="L46" t="s">
        <v>5</v>
      </c>
      <c r="M46" s="11">
        <f>IFERROR(VLOOKUP(L46,CARTON_LOOKUP!$A:$E,3,0),"")</f>
        <v>60</v>
      </c>
      <c r="N46" s="11">
        <f>IFERROR(VLOOKUP(L46,CARTON_LOOKUP!$A:$E,4,0),"")</f>
        <v>30</v>
      </c>
      <c r="O46" s="11">
        <f>IFERROR(VLOOKUP(L46,CARTON_LOOKUP!$A:$E,5,0),"")</f>
        <v>40</v>
      </c>
      <c r="P46" s="12">
        <f>IFERROR(VLOOKUP(L46,CARTON_LOOKUP!$A:$E,2,0),"")</f>
        <v>1.4</v>
      </c>
      <c r="Q46" s="12">
        <f t="shared" si="3"/>
        <v>0</v>
      </c>
      <c r="R46" s="12">
        <f t="shared" si="4"/>
        <v>0</v>
      </c>
      <c r="S46" s="12">
        <f t="shared" si="5"/>
        <v>0</v>
      </c>
      <c r="T46" t="s">
        <v>57</v>
      </c>
      <c r="U46" t="s">
        <v>58</v>
      </c>
      <c r="W46" t="s">
        <v>59</v>
      </c>
      <c r="X46" s="10"/>
      <c r="Y46" s="10"/>
      <c r="AA46">
        <v>0</v>
      </c>
      <c r="AB46">
        <v>0</v>
      </c>
    </row>
    <row r="47" spans="4:28" x14ac:dyDescent="0.35">
      <c r="D47" s="9"/>
      <c r="E47" s="10"/>
      <c r="F47" s="10"/>
      <c r="L47" t="s">
        <v>5</v>
      </c>
      <c r="M47" s="11">
        <f>IFERROR(VLOOKUP(L47,CARTON_LOOKUP!$A:$E,3,0),"")</f>
        <v>60</v>
      </c>
      <c r="N47" s="11">
        <f>IFERROR(VLOOKUP(L47,CARTON_LOOKUP!$A:$E,4,0),"")</f>
        <v>30</v>
      </c>
      <c r="O47" s="11">
        <f>IFERROR(VLOOKUP(L47,CARTON_LOOKUP!$A:$E,5,0),"")</f>
        <v>40</v>
      </c>
      <c r="P47" s="12">
        <f>IFERROR(VLOOKUP(L47,CARTON_LOOKUP!$A:$E,2,0),"")</f>
        <v>1.4</v>
      </c>
      <c r="Q47" s="12">
        <f t="shared" si="3"/>
        <v>0</v>
      </c>
      <c r="R47" s="12">
        <f t="shared" si="4"/>
        <v>0</v>
      </c>
      <c r="S47" s="12">
        <f t="shared" si="5"/>
        <v>0</v>
      </c>
      <c r="T47" t="s">
        <v>57</v>
      </c>
      <c r="U47" t="s">
        <v>58</v>
      </c>
      <c r="W47" t="s">
        <v>59</v>
      </c>
      <c r="X47" s="10"/>
      <c r="Y47" s="10"/>
      <c r="AA47">
        <v>0</v>
      </c>
      <c r="AB47">
        <v>0</v>
      </c>
    </row>
    <row r="48" spans="4:28" x14ac:dyDescent="0.35">
      <c r="D48" s="9"/>
      <c r="E48" s="10"/>
      <c r="F48" s="10"/>
      <c r="L48" t="s">
        <v>5</v>
      </c>
      <c r="M48" s="11">
        <f>IFERROR(VLOOKUP(L48,CARTON_LOOKUP!$A:$E,3,0),"")</f>
        <v>60</v>
      </c>
      <c r="N48" s="11">
        <f>IFERROR(VLOOKUP(L48,CARTON_LOOKUP!$A:$E,4,0),"")</f>
        <v>30</v>
      </c>
      <c r="O48" s="11">
        <f>IFERROR(VLOOKUP(L48,CARTON_LOOKUP!$A:$E,5,0),"")</f>
        <v>40</v>
      </c>
      <c r="P48" s="12">
        <f>IFERROR(VLOOKUP(L48,CARTON_LOOKUP!$A:$E,2,0),"")</f>
        <v>1.4</v>
      </c>
      <c r="Q48" s="12">
        <f t="shared" si="3"/>
        <v>0</v>
      </c>
      <c r="R48" s="12">
        <f t="shared" si="4"/>
        <v>0</v>
      </c>
      <c r="S48" s="12">
        <f t="shared" si="5"/>
        <v>0</v>
      </c>
      <c r="T48" t="s">
        <v>57</v>
      </c>
      <c r="U48" t="s">
        <v>58</v>
      </c>
      <c r="W48" t="s">
        <v>59</v>
      </c>
      <c r="X48" s="10"/>
      <c r="Y48" s="10"/>
      <c r="AA48">
        <v>0</v>
      </c>
      <c r="AB48">
        <v>0</v>
      </c>
    </row>
    <row r="49" spans="4:28" x14ac:dyDescent="0.35">
      <c r="D49" s="9"/>
      <c r="E49" s="10"/>
      <c r="F49" s="10"/>
      <c r="L49" t="s">
        <v>5</v>
      </c>
      <c r="M49" s="11">
        <f>IFERROR(VLOOKUP(L49,CARTON_LOOKUP!$A:$E,3,0),"")</f>
        <v>60</v>
      </c>
      <c r="N49" s="11">
        <f>IFERROR(VLOOKUP(L49,CARTON_LOOKUP!$A:$E,4,0),"")</f>
        <v>30</v>
      </c>
      <c r="O49" s="11">
        <f>IFERROR(VLOOKUP(L49,CARTON_LOOKUP!$A:$E,5,0),"")</f>
        <v>40</v>
      </c>
      <c r="P49" s="12">
        <f>IFERROR(VLOOKUP(L49,CARTON_LOOKUP!$A:$E,2,0),"")</f>
        <v>1.4</v>
      </c>
      <c r="Q49" s="12">
        <f t="shared" si="3"/>
        <v>0</v>
      </c>
      <c r="R49" s="12">
        <f t="shared" si="4"/>
        <v>0</v>
      </c>
      <c r="S49" s="12">
        <f t="shared" si="5"/>
        <v>0</v>
      </c>
      <c r="T49" t="s">
        <v>57</v>
      </c>
      <c r="U49" t="s">
        <v>58</v>
      </c>
      <c r="W49" t="s">
        <v>59</v>
      </c>
      <c r="X49" s="10"/>
      <c r="Y49" s="10"/>
      <c r="AA49">
        <v>0</v>
      </c>
      <c r="AB49">
        <v>0</v>
      </c>
    </row>
    <row r="50" spans="4:28" x14ac:dyDescent="0.35">
      <c r="D50" s="9"/>
      <c r="E50" s="10"/>
      <c r="F50" s="10"/>
      <c r="L50" t="s">
        <v>5</v>
      </c>
      <c r="M50" s="11">
        <f>IFERROR(VLOOKUP(L50,CARTON_LOOKUP!$A:$E,3,0),"")</f>
        <v>60</v>
      </c>
      <c r="N50" s="11">
        <f>IFERROR(VLOOKUP(L50,CARTON_LOOKUP!$A:$E,4,0),"")</f>
        <v>30</v>
      </c>
      <c r="O50" s="11">
        <f>IFERROR(VLOOKUP(L50,CARTON_LOOKUP!$A:$E,5,0),"")</f>
        <v>40</v>
      </c>
      <c r="P50" s="12">
        <f>IFERROR(VLOOKUP(L50,CARTON_LOOKUP!$A:$E,2,0),"")</f>
        <v>1.4</v>
      </c>
      <c r="Q50" s="12">
        <f t="shared" si="3"/>
        <v>0</v>
      </c>
      <c r="R50" s="12">
        <f t="shared" si="4"/>
        <v>0</v>
      </c>
      <c r="S50" s="12">
        <f t="shared" si="5"/>
        <v>0</v>
      </c>
      <c r="T50" t="s">
        <v>57</v>
      </c>
      <c r="U50" t="s">
        <v>58</v>
      </c>
      <c r="W50" t="s">
        <v>59</v>
      </c>
      <c r="X50" s="10"/>
      <c r="Y50" s="10"/>
      <c r="AA50">
        <v>0</v>
      </c>
      <c r="AB50">
        <v>0</v>
      </c>
    </row>
    <row r="51" spans="4:28" x14ac:dyDescent="0.35">
      <c r="D51" s="9"/>
      <c r="E51" s="10"/>
      <c r="F51" s="10"/>
      <c r="L51" t="s">
        <v>5</v>
      </c>
      <c r="M51" s="11">
        <f>IFERROR(VLOOKUP(L51,CARTON_LOOKUP!$A:$E,3,0),"")</f>
        <v>60</v>
      </c>
      <c r="N51" s="11">
        <f>IFERROR(VLOOKUP(L51,CARTON_LOOKUP!$A:$E,4,0),"")</f>
        <v>30</v>
      </c>
      <c r="O51" s="11">
        <f>IFERROR(VLOOKUP(L51,CARTON_LOOKUP!$A:$E,5,0),"")</f>
        <v>40</v>
      </c>
      <c r="P51" s="12">
        <f>IFERROR(VLOOKUP(L51,CARTON_LOOKUP!$A:$E,2,0),"")</f>
        <v>1.4</v>
      </c>
      <c r="Q51" s="12">
        <f t="shared" si="3"/>
        <v>0</v>
      </c>
      <c r="R51" s="12">
        <f t="shared" si="4"/>
        <v>0</v>
      </c>
      <c r="S51" s="12">
        <f t="shared" si="5"/>
        <v>0</v>
      </c>
      <c r="T51" t="s">
        <v>57</v>
      </c>
      <c r="U51" t="s">
        <v>58</v>
      </c>
      <c r="W51" t="s">
        <v>59</v>
      </c>
      <c r="X51" s="10"/>
      <c r="Y51" s="10"/>
      <c r="AA51">
        <v>0</v>
      </c>
      <c r="AB51">
        <v>0</v>
      </c>
    </row>
    <row r="52" spans="4:28" x14ac:dyDescent="0.35">
      <c r="D52" s="9"/>
      <c r="E52" s="10"/>
      <c r="F52" s="10"/>
      <c r="L52" t="s">
        <v>5</v>
      </c>
      <c r="M52" s="11">
        <f>IFERROR(VLOOKUP(L52,CARTON_LOOKUP!$A:$E,3,0),"")</f>
        <v>60</v>
      </c>
      <c r="N52" s="11">
        <f>IFERROR(VLOOKUP(L52,CARTON_LOOKUP!$A:$E,4,0),"")</f>
        <v>30</v>
      </c>
      <c r="O52" s="11">
        <f>IFERROR(VLOOKUP(L52,CARTON_LOOKUP!$A:$E,5,0),"")</f>
        <v>40</v>
      </c>
      <c r="P52" s="12">
        <f>IFERROR(VLOOKUP(L52,CARTON_LOOKUP!$A:$E,2,0),"")</f>
        <v>1.4</v>
      </c>
      <c r="Q52" s="12">
        <f t="shared" si="3"/>
        <v>0</v>
      </c>
      <c r="R52" s="12">
        <f t="shared" si="4"/>
        <v>0</v>
      </c>
      <c r="S52" s="12">
        <f t="shared" si="5"/>
        <v>0</v>
      </c>
      <c r="T52" t="s">
        <v>57</v>
      </c>
      <c r="U52" t="s">
        <v>58</v>
      </c>
      <c r="W52" t="s">
        <v>59</v>
      </c>
      <c r="X52" s="10"/>
      <c r="Y52" s="10"/>
      <c r="AA52">
        <v>0</v>
      </c>
      <c r="AB52">
        <v>0</v>
      </c>
    </row>
    <row r="53" spans="4:28" x14ac:dyDescent="0.35">
      <c r="D53" s="9"/>
      <c r="E53" s="10"/>
      <c r="F53" s="10"/>
      <c r="L53" t="s">
        <v>5</v>
      </c>
      <c r="M53" s="11">
        <f>IFERROR(VLOOKUP(L53,CARTON_LOOKUP!$A:$E,3,0),"")</f>
        <v>60</v>
      </c>
      <c r="N53" s="11">
        <f>IFERROR(VLOOKUP(L53,CARTON_LOOKUP!$A:$E,4,0),"")</f>
        <v>30</v>
      </c>
      <c r="O53" s="11">
        <f>IFERROR(VLOOKUP(L53,CARTON_LOOKUP!$A:$E,5,0),"")</f>
        <v>40</v>
      </c>
      <c r="P53" s="12">
        <f>IFERROR(VLOOKUP(L53,CARTON_LOOKUP!$A:$E,2,0),"")</f>
        <v>1.4</v>
      </c>
      <c r="Q53" s="12">
        <f t="shared" si="3"/>
        <v>0</v>
      </c>
      <c r="R53" s="12">
        <f t="shared" si="4"/>
        <v>0</v>
      </c>
      <c r="S53" s="12">
        <f t="shared" si="5"/>
        <v>0</v>
      </c>
      <c r="T53" t="s">
        <v>57</v>
      </c>
      <c r="U53" t="s">
        <v>58</v>
      </c>
      <c r="W53" t="s">
        <v>59</v>
      </c>
      <c r="X53" s="10"/>
      <c r="Y53" s="10"/>
      <c r="AA53">
        <v>0</v>
      </c>
      <c r="AB53">
        <v>0</v>
      </c>
    </row>
  </sheetData>
  <mergeCells count="1">
    <mergeCell ref="A1:AA1"/>
  </mergeCells>
  <dataValidations count="7">
    <dataValidation type="whole" operator="greaterThan" showErrorMessage="1" errorTitle="Invalid" error="Enter a whole number greater than 0" sqref="C4:C53" xr:uid="{00000000-0002-0000-0100-000000000000}">
      <formula1>0</formula1>
    </dataValidation>
    <dataValidation type="decimal" operator="greaterThan" showErrorMessage="1" errorTitle="Invalid" error="Enter a positive weight in KG" sqref="D4:D53" xr:uid="{00000000-0002-0000-0100-000002000000}">
      <formula1>0</formula1>
    </dataValidation>
    <dataValidation type="date" operator="greaterThan" showErrorMessage="1" errorTitle="Invalid date" error="Enter a valid date (DD/MM/YYYY format)" sqref="X4:Y53 E4:F53" xr:uid="{00000000-0002-0000-0100-000004000000}">
      <formula1>43831</formula1>
    </dataValidation>
    <dataValidation type="list" showErrorMessage="1" errorTitle="Invalid value" error="Please select CFS or CY" sqref="G4:G53" xr:uid="{00000000-0002-0000-0100-000006000000}">
      <formula1>"CFS,CY"</formula1>
    </dataValidation>
    <dataValidation type="list" sqref="T4:T53" xr:uid="{00000000-0002-0000-0100-00000A000000}">
      <formula1>"Flat,Bulk Flat,Hanging"</formula1>
    </dataValidation>
    <dataValidation type="list" sqref="U4:U53" xr:uid="{00000000-0002-0000-0100-00000C000000}">
      <formula1>"Collection,Delivery"</formula1>
    </dataValidation>
    <dataValidation type="list" sqref="W4:W53" xr:uid="{00000000-0002-0000-0100-00000E000000}">
      <formula1>"Flammable,Glass - Hazardous,Hazardous,N/A"</formula1>
    </dataValidation>
  </dataValidations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ErrorMessage="1" xr:uid="{00000000-0002-0000-0100-000008000000}">
          <x14:formula1>
            <xm:f>CARTON_LOOKUP!$A$2:$A$20</xm:f>
          </x14:formula1>
          <xm:sqref>L4:L53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SUPPLIER_INPUT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2026-06-04T12:42:41Z</dcterms:created>
  <dcterms:modified xsi:type="dcterms:W3CDTF">2026-06-04T12:44:51Z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aae2701-d386-483e-bca7-b4332176f258_Enabled">
    <vt:lpwstr>true</vt:lpwstr>
  </property>
  <property fmtid="{D5CDD505-2E9C-101B-9397-08002B2CF9AE}" pid="3" name="MSIP_Label_9aae2701-d386-483e-bca7-b4332176f258_SetDate">
    <vt:lpwstr>2026-06-04T12:44:51Z</vt:lpwstr>
  </property>
  <property fmtid="{D5CDD505-2E9C-101B-9397-08002B2CF9AE}" pid="4" name="MSIP_Label_9aae2701-d386-483e-bca7-b4332176f258_Method">
    <vt:lpwstr>Standard</vt:lpwstr>
  </property>
  <property fmtid="{D5CDD505-2E9C-101B-9397-08002B2CF9AE}" pid="5" name="MSIP_Label_9aae2701-d386-483e-bca7-b4332176f258_Name">
    <vt:lpwstr>General</vt:lpwstr>
  </property>
  <property fmtid="{D5CDD505-2E9C-101B-9397-08002B2CF9AE}" pid="6" name="MSIP_Label_9aae2701-d386-483e-bca7-b4332176f258_SiteId">
    <vt:lpwstr>4af8322c-80ee-4819-a9ce-863d5afbea1c</vt:lpwstr>
  </property>
  <property fmtid="{D5CDD505-2E9C-101B-9397-08002B2CF9AE}" pid="7" name="MSIP_Label_9aae2701-d386-483e-bca7-b4332176f258_ActionId">
    <vt:lpwstr>bd4ddbb8-ec87-4c6f-b9de-de42bd78028c</vt:lpwstr>
  </property>
  <property fmtid="{D5CDD505-2E9C-101B-9397-08002B2CF9AE}" pid="8" name="MSIP_Label_9aae2701-d386-483e-bca7-b4332176f258_ContentBits">
    <vt:lpwstr>0</vt:lpwstr>
  </property>
  <property fmtid="{D5CDD505-2E9C-101B-9397-08002B2CF9AE}" pid="9" name="MSIP_Label_9aae2701-d386-483e-bca7-b4332176f258_Tag">
    <vt:lpwstr>10, 3, 0, 1</vt:lpwstr>
  </property>
</Properties>
</file>