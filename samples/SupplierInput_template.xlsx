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to use" state="visible" r:id="rId4"/>
    <sheet sheetId="2" name="CARTON_LOOKUP" state="veryHidden" r:id="rId5"/>
    <sheet sheetId="3" name="LISTS_LOOKUP" state="veryHidden" r:id="rId6"/>
    <sheet sheetId="4" name="PO Header" state="visible" r:id="rId7"/>
    <sheet sheetId="5" name="PO Lines" state="visible" r:id="rId8"/>
  </sheets>
  <calcPr calcId="171027"/>
</workbook>
</file>

<file path=xl/sharedStrings.xml><?xml version="1.0" encoding="utf-8"?>
<sst xmlns="http://schemas.openxmlformats.org/spreadsheetml/2006/main" count="12614" uniqueCount="104">
  <si>
    <t>📋  Carrier Booking — VBKREQ Simulator  |  Instructions to Use</t>
  </si>
  <si>
    <t>1.  The supplier must complete two sheets — PO Header and PO Lines —</t>
  </si>
  <si>
    <t xml:space="preserve">     with the PO Number used as the primary key to link both sheets.</t>
  </si>
  <si>
    <t/>
  </si>
  <si>
    <t>2.  All mandatory fields must be completed; otherwise, booking creation will fail.</t>
  </si>
  <si>
    <t xml:space="preserve">     If a field is unclear or you prefer not to provide a value, leave the default pre-filled value where applicable.</t>
  </si>
  <si>
    <t>3.  Enter one row per PO in the PO Header sheet. Ensure all mandatory (pink) columns are filled for each PO.</t>
  </si>
  <si>
    <t xml:space="preserve">     Booking_Group rules:</t>
  </si>
  <si>
    <t xml:space="preserve">       "Single Booking"                          →  one PO per booking</t>
  </si>
  <si>
    <t xml:space="preserve">       "Multiple POs-BK001" … "Multiple POs-BK025"  →  POs with the same code (BK001, BK002 …) are combined into one booking</t>
  </si>
  <si>
    <t xml:space="preserve">       "Multiple"                                →  all POs are combined into a single booking</t>
  </si>
  <si>
    <t>4.  Dates must be in DD/MM/YYYY format.</t>
  </si>
  <si>
    <t>5.  Factory details (ID, name, address) and Mode of Transport are sourced automatically from Databricks — no need to provide them in this template.</t>
  </si>
  <si>
    <t>6.  In the PO Lines sheet, use multiple rows for POs that contain multiple SKU lines.</t>
  </si>
  <si>
    <t xml:space="preserve">     Each row must have the same PO_Number as the corresponding header row in PO Header.</t>
  </si>
  <si>
    <t>🎨  Colour guide:</t>
  </si>
  <si>
    <t xml:space="preserve">  🔴  Pink / Red  — MANDATORY field (must be filled)</t>
  </si>
  <si>
    <t xml:space="preserve">  🟢  Green       — DEFAULTED field (pre-set, editable)</t>
  </si>
  <si>
    <t xml:space="preserve">  🔵  Blue        — AUTO-FILLED field (formula / lookup — do not edit)</t>
  </si>
  <si>
    <t xml:space="preserve">  ⚪  Grey        — OPTIONAL field (leave blank if not applicable)</t>
  </si>
  <si>
    <t>⚠  Do NOT modify or delete column headers on any sheet.</t>
  </si>
  <si>
    <t>Carton_Type</t>
  </si>
  <si>
    <t>Weight_KG</t>
  </si>
  <si>
    <t>Length_cm</t>
  </si>
  <si>
    <t>Width_cm</t>
  </si>
  <si>
    <t>Height_cm</t>
  </si>
  <si>
    <t>BDCM1</t>
  </si>
  <si>
    <t>BDCM3</t>
  </si>
  <si>
    <t>C5</t>
  </si>
  <si>
    <t>Cartons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</si>
  <si>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</si>
  <si>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</si>
  <si>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</si>
  <si>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</si>
  <si>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</si>
  <si>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</si>
  <si>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</si>
  <si>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</si>
  <si>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</si>
  <si>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</si>
  <si>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</si>
  <si>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</si>
  <si>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Hanging</t>
  </si>
  <si>
    <t>Hanging Non-Standard</t>
  </si>
  <si>
    <t>Non-Standard</t>
  </si>
  <si>
    <t>Booking_Group</t>
  </si>
  <si>
    <t>Single Booking</t>
  </si>
  <si>
    <t>Multiple POs-BK001</t>
  </si>
  <si>
    <t>Multiple POs-BK002</t>
  </si>
  <si>
    <t>Multiple POs-BK003</t>
  </si>
  <si>
    <t>Multiple POs-BK004</t>
  </si>
  <si>
    <t>Multiple POs-BK005</t>
  </si>
  <si>
    <t>Multiple POs-BK006</t>
  </si>
  <si>
    <t>Multiple POs-BK007</t>
  </si>
  <si>
    <t>Multiple POs-BK008</t>
  </si>
  <si>
    <t>Multiple POs-BK009</t>
  </si>
  <si>
    <t>Multiple POs-BK010</t>
  </si>
  <si>
    <t>Multiple POs-BK011</t>
  </si>
  <si>
    <t>Multiple POs-BK012</t>
  </si>
  <si>
    <t>Multiple POs-BK013</t>
  </si>
  <si>
    <t>Multiple POs-BK014</t>
  </si>
  <si>
    <t>Multiple POs-BK015</t>
  </si>
  <si>
    <t>Multiple POs-BK016</t>
  </si>
  <si>
    <t>Multiple POs-BK017</t>
  </si>
  <si>
    <t>Multiple POs-BK018</t>
  </si>
  <si>
    <t>Multiple POs-BK019</t>
  </si>
  <si>
    <t>Multiple POs-BK020</t>
  </si>
  <si>
    <t>Multiple POs-BK021</t>
  </si>
  <si>
    <t>Multiple POs-BK022</t>
  </si>
  <si>
    <t>Multiple POs-BK023</t>
  </si>
  <si>
    <t>Multiple POs-BK024</t>
  </si>
  <si>
    <t>Multiple POs-BK025</t>
  </si>
  <si>
    <t>Multiple</t>
  </si>
  <si>
    <t xml:space="preserve">  Mandatory — must be filled  </t>
  </si>
  <si>
    <t xml:space="preserve">  Defaulted — editable preset  </t>
  </si>
  <si>
    <t xml:space="preserve">  Pre-filled — auto from lookup  </t>
  </si>
  <si>
    <t xml:space="preserve">  Optional — leave blank if n/a  </t>
  </si>
  <si>
    <t>PO_Number</t>
  </si>
  <si>
    <t>Cargo_Ready_Planned_Collection_Date</t>
  </si>
  <si>
    <t>Carrier_Booking_Request_Date</t>
  </si>
  <si>
    <t>Traffic_Mode</t>
  </si>
  <si>
    <t>Pack_Type</t>
  </si>
  <si>
    <t>Collection_Type</t>
  </si>
  <si>
    <t>Hazardous</t>
  </si>
  <si>
    <t>Collection_Time (HH:MM)</t>
  </si>
  <si>
    <t>Remarks</t>
  </si>
  <si>
    <t>CFS</t>
  </si>
  <si>
    <t>Bulk Flat</t>
  </si>
  <si>
    <t>Delivery</t>
  </si>
  <si>
    <t>N/A</t>
  </si>
  <si>
    <t>SKU</t>
  </si>
  <si>
    <t>Booking_Qty</t>
  </si>
  <si>
    <t>No_of_Cartons</t>
  </si>
  <si>
    <t>Unit_Weight_KG</t>
  </si>
  <si>
    <t>Carton_Length_cm</t>
  </si>
  <si>
    <t>Carton_Width_cm</t>
  </si>
  <si>
    <t>Carton_Height_cm</t>
  </si>
  <si>
    <t>Carton_Weight_KG</t>
  </si>
  <si>
    <t>Gross_Weight_KG</t>
  </si>
  <si>
    <t>Net_Weight_KG</t>
  </si>
  <si>
    <t>Volume_M3</t>
  </si>
  <si>
    <t>EAN_Barcode</t>
  </si>
  <si>
    <t>Colour_Code</t>
  </si>
  <si>
    <t>Size_Code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</si>
</sst>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A1A2E"/>
      <sz val="10"/>
    </font>
    <font>
      <color rgb="FF1A1A2E"/>
      <sz val="10"/>
    </font>
    <font>
      <b/>
      <color rgb="FFFFFFFF"/>
      <sz val="9"/>
    </font>
    <font>
      <b/>
      <color rgb="FFFFFFFF"/>
      <sz val="10"/>
    </font>
    <font>
      <color rgb="FF0D47A1"/>
      <sz val="10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9F3FB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EF4F4"/>
      </patternFill>
    </fill>
    <fill>
      <patternFill patternType="solid">
        <fgColor rgb="FFF5F5F5"/>
      </patternFill>
    </fill>
    <fill>
      <patternFill patternType="solid">
        <fgColor rgb="FFFCE8E8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CD"/>
      </patternFill>
    </fill>
    <fill>
      <patternFill patternType="solid">
        <fgColor rgb="FFD9534F"/>
      </patternFill>
    </fill>
    <fill>
      <patternFill patternType="solid">
        <fgColor rgb="FF5FAD56"/>
      </patternFill>
    </fill>
    <fill>
      <patternFill patternType="solid">
        <fgColor rgb="FF4A90C4"/>
      </patternFill>
    </fill>
    <fill>
      <patternFill patternType="solid">
        <fgColor rgb="FF9E9E9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2"/>
    </xf>
    <xf numFmtId="0" fontId="3" fillId="5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2"/>
    </xf>
    <xf numFmtId="0" fontId="2" fillId="4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left" vertical="center" indent="3"/>
    </xf>
    <xf numFmtId="0" fontId="3" fillId="4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2"/>
    </xf>
    <xf numFmtId="0" fontId="3" fillId="10" borderId="0" xfId="0" applyFont="1" applyFill="1" applyAlignment="1">
      <alignment horizontal="left" vertical="center" indent="2"/>
    </xf>
    <xf numFmtId="0" fontId="3" fillId="11" borderId="0" xfId="0" applyFont="1" applyFill="1" applyAlignment="1">
      <alignment horizontal="left" vertical="center" indent="2"/>
    </xf>
    <xf numFmtId="0" fontId="3" fillId="8" borderId="0" xfId="0" applyFont="1" applyFill="1" applyAlignment="1">
      <alignment horizontal="left" vertical="center" indent="2"/>
    </xf>
    <xf numFmtId="0" fontId="2" fillId="12" borderId="0" xfId="0" applyFont="1" applyFill="1" applyAlignment="1">
      <alignment horizontal="left" vertical="center" indent="1"/>
    </xf>
    <xf numFmtId="49" fontId="0" fillId="0" borderId="0" xfId="0" applyNumberFormat="1"/>
    <xf numFmtId="49" fontId="4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49" fontId="5" fillId="13" borderId="2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15" borderId="2" xfId="0" applyFont="1" applyFill="1" applyBorder="1" applyAlignment="1">
      <alignment horizontal="center" vertical="center" wrapText="1"/>
    </xf>
    <xf numFmtId="165" fontId="0" fillId="0" borderId="0" xfId="0" applyNumberFormat="1"/>
    <xf numFmtId="2" fontId="6" fillId="11" borderId="0" xfId="0" applyNumberFormat="1" applyFont="1" applyFill="1" applyProtection="1"/>
    <xf numFmtId="165" fontId="6" fillId="11" borderId="0" xfId="0" applyNumberFormat="1" applyFont="1" applyFill="1" applyProtection="1"/>
  </cellXfs>
  <cellStyles count="1">
    <cellStyle name="Normal" xfId="0" builtinId="0"/>
  </cellStyles>
  <dxfs count="2">
    <dxf>
      <font>
        <b/>
        <color rgb="FF7F6000"/>
      </font>
      <fill>
        <patternFill patternType="solid">
          <fgColor rgb="FFFFD966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500"/>
  </sheetPr>
  <dimension ref="A1:H28"/>
  <sheetViews>
    <sheetView workbookViewId="0" showGridLines="0"/>
  </sheetViews>
  <sheetFormatPr defaultRowHeight="15" outlineLevelRow="0" outlineLevelCol="0" x14ac:dyDescent="55"/>
  <cols>
    <col min="1" max="1" width="120" customWidth="1"/>
    <col min="2" max="8" width="10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5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6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ht="15" customHeight="1" spans="1:8" x14ac:dyDescent="0.25">
      <c r="A5" s="5" t="s">
        <v>4</v>
      </c>
      <c r="B5" s="5"/>
      <c r="C5" s="5"/>
      <c r="D5" s="5"/>
      <c r="E5" s="5"/>
      <c r="F5" s="5"/>
      <c r="G5" s="5"/>
      <c r="H5" s="5"/>
    </row>
    <row r="6" ht="15" customHeight="1" spans="1:8" x14ac:dyDescent="0.25">
      <c r="A6" s="6" t="s">
        <v>5</v>
      </c>
      <c r="B6" s="6"/>
      <c r="C6" s="6"/>
      <c r="D6" s="6"/>
      <c r="E6" s="6"/>
      <c r="F6" s="6"/>
      <c r="G6" s="6"/>
      <c r="H6" s="6"/>
    </row>
    <row r="7" ht="6" customHeight="1" spans="1:8" x14ac:dyDescent="0.25">
      <c r="A7" s="4" t="s">
        <v>3</v>
      </c>
      <c r="B7" s="4"/>
      <c r="C7" s="4"/>
      <c r="D7" s="4"/>
      <c r="E7" s="4"/>
      <c r="F7" s="4"/>
      <c r="G7" s="4"/>
      <c r="H7" s="4"/>
    </row>
    <row r="8" ht="15" customHeight="1" spans="1:8" x14ac:dyDescent="0.25">
      <c r="A8" s="2" t="s">
        <v>6</v>
      </c>
      <c r="B8" s="2"/>
      <c r="C8" s="2"/>
      <c r="D8" s="2"/>
      <c r="E8" s="2"/>
      <c r="F8" s="2"/>
      <c r="G8" s="2"/>
      <c r="H8" s="2"/>
    </row>
    <row r="9" ht="6" customHeight="1" spans="1:8" x14ac:dyDescent="0.25">
      <c r="A9" s="4" t="s">
        <v>3</v>
      </c>
      <c r="B9" s="4"/>
      <c r="C9" s="4"/>
      <c r="D9" s="4"/>
      <c r="E9" s="4"/>
      <c r="F9" s="4"/>
      <c r="G9" s="4"/>
      <c r="H9" s="4"/>
    </row>
    <row r="10" ht="15" customHeight="1" spans="1:8" x14ac:dyDescent="0.25">
      <c r="A10" s="7" t="s">
        <v>7</v>
      </c>
      <c r="B10" s="7"/>
      <c r="C10" s="7"/>
      <c r="D10" s="7"/>
      <c r="E10" s="7"/>
      <c r="F10" s="7"/>
      <c r="G10" s="7"/>
      <c r="H10" s="7"/>
    </row>
    <row r="11" ht="15" customHeight="1" spans="1:8" x14ac:dyDescent="0.25">
      <c r="A11" s="8" t="s">
        <v>8</v>
      </c>
      <c r="B11" s="8"/>
      <c r="C11" s="8"/>
      <c r="D11" s="8"/>
      <c r="E11" s="8"/>
      <c r="F11" s="8"/>
      <c r="G11" s="8"/>
      <c r="H11" s="8"/>
    </row>
    <row r="12" ht="15" customHeight="1" spans="1:8" x14ac:dyDescent="0.25">
      <c r="A12" s="8" t="s">
        <v>9</v>
      </c>
      <c r="B12" s="8"/>
      <c r="C12" s="8"/>
      <c r="D12" s="8"/>
      <c r="E12" s="8"/>
      <c r="F12" s="8"/>
      <c r="G12" s="8"/>
      <c r="H12" s="8"/>
    </row>
    <row r="13" ht="15" customHeight="1" spans="1:8" x14ac:dyDescent="0.25">
      <c r="A13" s="8" t="s">
        <v>10</v>
      </c>
      <c r="B13" s="8"/>
      <c r="C13" s="8"/>
      <c r="D13" s="8"/>
      <c r="E13" s="8"/>
      <c r="F13" s="8"/>
      <c r="G13" s="8"/>
      <c r="H13" s="8"/>
    </row>
    <row r="14" ht="6" customHeight="1" spans="1:8" x14ac:dyDescent="0.25">
      <c r="A14" s="4" t="s">
        <v>3</v>
      </c>
      <c r="B14" s="4"/>
      <c r="C14" s="4"/>
      <c r="D14" s="4"/>
      <c r="E14" s="4"/>
      <c r="F14" s="4"/>
      <c r="G14" s="4"/>
      <c r="H14" s="4"/>
    </row>
    <row r="15" ht="15" customHeight="1" spans="1:8" x14ac:dyDescent="0.25">
      <c r="A15" s="5" t="s">
        <v>11</v>
      </c>
      <c r="B15" s="5"/>
      <c r="C15" s="5"/>
      <c r="D15" s="5"/>
      <c r="E15" s="5"/>
      <c r="F15" s="5"/>
      <c r="G15" s="5"/>
      <c r="H15" s="5"/>
    </row>
    <row r="16" ht="6" customHeight="1" spans="1:8" x14ac:dyDescent="0.25">
      <c r="A16" s="4" t="s">
        <v>3</v>
      </c>
      <c r="B16" s="4"/>
      <c r="C16" s="4"/>
      <c r="D16" s="4"/>
      <c r="E16" s="4"/>
      <c r="F16" s="4"/>
      <c r="G16" s="4"/>
      <c r="H16" s="4"/>
    </row>
    <row r="17" ht="15" customHeight="1" spans="1:8" x14ac:dyDescent="0.25">
      <c r="A17" s="9" t="s">
        <v>12</v>
      </c>
      <c r="B17" s="9"/>
      <c r="C17" s="9"/>
      <c r="D17" s="9"/>
      <c r="E17" s="9"/>
      <c r="F17" s="9"/>
      <c r="G17" s="9"/>
      <c r="H17" s="9"/>
    </row>
    <row r="18" ht="6" customHeight="1" spans="1:8" x14ac:dyDescent="0.25">
      <c r="A18" s="4" t="s">
        <v>3</v>
      </c>
      <c r="B18" s="4"/>
      <c r="C18" s="4"/>
      <c r="D18" s="4"/>
      <c r="E18" s="4"/>
      <c r="F18" s="4"/>
      <c r="G18" s="4"/>
      <c r="H18" s="4"/>
    </row>
    <row r="19" ht="15" customHeight="1" spans="1:8" x14ac:dyDescent="0.25">
      <c r="A19" s="2" t="s">
        <v>13</v>
      </c>
      <c r="B19" s="2"/>
      <c r="C19" s="2"/>
      <c r="D19" s="2"/>
      <c r="E19" s="2"/>
      <c r="F19" s="2"/>
      <c r="G19" s="2"/>
      <c r="H19" s="2"/>
    </row>
    <row r="20" ht="15" customHeight="1" spans="1:8" x14ac:dyDescent="0.25">
      <c r="A20" s="3" t="s">
        <v>14</v>
      </c>
      <c r="B20" s="3"/>
      <c r="C20" s="3"/>
      <c r="D20" s="3"/>
      <c r="E20" s="3"/>
      <c r="F20" s="3"/>
      <c r="G20" s="3"/>
      <c r="H20" s="3"/>
    </row>
    <row r="21" ht="6" customHeight="1" spans="1:8" x14ac:dyDescent="0.25">
      <c r="A21" s="4" t="s">
        <v>3</v>
      </c>
      <c r="B21" s="4"/>
      <c r="C21" s="4"/>
      <c r="D21" s="4"/>
      <c r="E21" s="4"/>
      <c r="F21" s="4"/>
      <c r="G21" s="4"/>
      <c r="H21" s="4"/>
    </row>
    <row r="22" ht="15" customHeight="1" spans="1:8" x14ac:dyDescent="0.25">
      <c r="A22" s="10" t="s">
        <v>15</v>
      </c>
      <c r="B22" s="10"/>
      <c r="C22" s="10"/>
      <c r="D22" s="10"/>
      <c r="E22" s="10"/>
      <c r="F22" s="10"/>
      <c r="G22" s="10"/>
      <c r="H22" s="10"/>
    </row>
    <row r="23" ht="15" customHeight="1" spans="1:8" x14ac:dyDescent="0.25">
      <c r="A23" s="11" t="s">
        <v>16</v>
      </c>
      <c r="B23" s="11"/>
      <c r="C23" s="11"/>
      <c r="D23" s="11"/>
      <c r="E23" s="11"/>
      <c r="F23" s="11"/>
      <c r="G23" s="11"/>
      <c r="H23" s="11"/>
    </row>
    <row r="24" ht="15" customHeight="1" spans="1:8" x14ac:dyDescent="0.25">
      <c r="A24" s="12" t="s">
        <v>17</v>
      </c>
      <c r="B24" s="12"/>
      <c r="C24" s="12"/>
      <c r="D24" s="12"/>
      <c r="E24" s="12"/>
      <c r="F24" s="12"/>
      <c r="G24" s="12"/>
      <c r="H24" s="12"/>
    </row>
    <row r="25" ht="15" customHeight="1" spans="1:8" x14ac:dyDescent="0.25">
      <c r="A25" s="13" t="s">
        <v>18</v>
      </c>
      <c r="B25" s="13"/>
      <c r="C25" s="13"/>
      <c r="D25" s="13"/>
      <c r="E25" s="13"/>
      <c r="F25" s="13"/>
      <c r="G25" s="13"/>
      <c r="H25" s="13"/>
    </row>
    <row r="26" ht="15" customHeight="1" spans="1:8" x14ac:dyDescent="0.25">
      <c r="A26" s="14" t="s">
        <v>19</v>
      </c>
      <c r="B26" s="14"/>
      <c r="C26" s="14"/>
      <c r="D26" s="14"/>
      <c r="E26" s="14"/>
      <c r="F26" s="14"/>
      <c r="G26" s="14"/>
      <c r="H26" s="14"/>
    </row>
    <row r="27" ht="6" customHeight="1" spans="1:8" x14ac:dyDescent="0.25">
      <c r="A27" s="4" t="s">
        <v>3</v>
      </c>
      <c r="B27" s="4"/>
      <c r="C27" s="4"/>
      <c r="D27" s="4"/>
      <c r="E27" s="4"/>
      <c r="F27" s="4"/>
      <c r="G27" s="4"/>
      <c r="H27" s="4"/>
    </row>
    <row r="28" ht="15" customHeight="1" spans="1:8" x14ac:dyDescent="0.25">
      <c r="A28" s="15" t="s">
        <v>20</v>
      </c>
      <c r="B28" s="15"/>
      <c r="C28" s="15"/>
      <c r="D28" s="15"/>
      <c r="E28" s="15"/>
      <c r="F28" s="15"/>
      <c r="G28" s="15"/>
      <c r="H28" s="15"/>
    </row>
  </sheetData>
  <mergeCells count="2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>
        <v>1.4</v>
      </c>
      <c r="C2">
        <v>60</v>
      </c>
      <c r="D2">
        <v>30</v>
      </c>
      <c r="E2">
        <v>40</v>
      </c>
    </row>
    <row r="3" spans="1:5" x14ac:dyDescent="0.25">
      <c r="A3" t="s">
        <v>27</v>
      </c>
      <c r="B3">
        <v>1</v>
      </c>
      <c r="C3">
        <v>45</v>
      </c>
      <c r="D3">
        <v>29.5</v>
      </c>
      <c r="E3">
        <v>18.8</v>
      </c>
    </row>
    <row r="4" spans="1:5" x14ac:dyDescent="0.25">
      <c r="A4" t="s">
        <v>28</v>
      </c>
      <c r="B4">
        <v>1</v>
      </c>
      <c r="C4">
        <v>60</v>
      </c>
      <c r="D4">
        <v>30</v>
      </c>
      <c r="E4">
        <v>20</v>
      </c>
    </row>
    <row r="5" spans="1:5" x14ac:dyDescent="0.25">
      <c r="A5" t="s">
        <v>29</v>
      </c>
      <c r="B5">
        <v>1</v>
      </c>
      <c r="C5">
        <v>45</v>
      </c>
      <c r="D5">
        <v>60</v>
      </c>
      <c r="E5">
        <v>40</v>
      </c>
    </row>
    <row r="6" spans="1:5" x14ac:dyDescent="0.25">
      <c r="A6" t="s">
        <v>30</v>
      </c>
      <c r="B6">
        <v>1</v>
      </c>
      <c r="C6">
        <v>59.5</v>
      </c>
      <c r="D6">
        <v>28.5</v>
      </c>
      <c r="E6">
        <v>37.5</v>
      </c>
    </row>
    <row r="7" spans="1:5" x14ac:dyDescent="0.25">
      <c r="A7" t="s">
        <v>31</v>
      </c>
      <c r="B7">
        <v>1</v>
      </c>
      <c r="C7">
        <v>59.5</v>
      </c>
      <c r="D7">
        <v>28.5</v>
      </c>
      <c r="E7">
        <v>32.5</v>
      </c>
    </row>
    <row r="8" spans="1:5" x14ac:dyDescent="0.25">
      <c r="A8" t="s">
        <v>32</v>
      </c>
      <c r="B8">
        <v>1</v>
      </c>
      <c r="C8">
        <v>59.5</v>
      </c>
      <c r="D8">
        <v>28.5</v>
      </c>
      <c r="E8">
        <v>26</v>
      </c>
    </row>
    <row r="9" spans="1:5" x14ac:dyDescent="0.25">
      <c r="A9" t="s">
        <v>33</v>
      </c>
      <c r="B9">
        <v>1</v>
      </c>
      <c r="C9">
        <v>59.5</v>
      </c>
      <c r="D9">
        <v>28.5</v>
      </c>
      <c r="E9">
        <v>19</v>
      </c>
    </row>
    <row r="10" spans="1:5" x14ac:dyDescent="0.25">
      <c r="A10" t="s">
        <v>34</v>
      </c>
      <c r="B10">
        <v>1</v>
      </c>
      <c r="C10">
        <v>52</v>
      </c>
      <c r="D10">
        <v>25.5</v>
      </c>
      <c r="E10">
        <v>37.5</v>
      </c>
    </row>
    <row r="11" spans="1:5" x14ac:dyDescent="0.25">
      <c r="A11" t="s">
        <v>35</v>
      </c>
      <c r="B11">
        <v>1</v>
      </c>
      <c r="C11">
        <v>52</v>
      </c>
      <c r="D11">
        <v>25.5</v>
      </c>
      <c r="E11">
        <v>32.5</v>
      </c>
    </row>
    <row r="12" spans="1:5" x14ac:dyDescent="0.25">
      <c r="A12" t="s">
        <v>36</v>
      </c>
      <c r="B12">
        <v>1</v>
      </c>
      <c r="C12">
        <v>52</v>
      </c>
      <c r="D12">
        <v>25.5</v>
      </c>
      <c r="E12">
        <v>26</v>
      </c>
    </row>
    <row r="13" spans="1:5" x14ac:dyDescent="0.25">
      <c r="A13" t="s">
        <v>37</v>
      </c>
      <c r="B13">
        <v>1</v>
      </c>
      <c r="C13">
        <v>52</v>
      </c>
      <c r="D13">
        <v>25.5</v>
      </c>
      <c r="E13">
        <v>19</v>
      </c>
    </row>
    <row r="14" spans="1:5" x14ac:dyDescent="0.25">
      <c r="A14" t="s">
        <v>38</v>
      </c>
      <c r="B14">
        <v>1</v>
      </c>
      <c r="C14">
        <v>45</v>
      </c>
      <c r="D14">
        <v>28.5</v>
      </c>
      <c r="E14">
        <v>37.5</v>
      </c>
    </row>
    <row r="15" spans="1:5" x14ac:dyDescent="0.25">
      <c r="A15" t="s">
        <v>39</v>
      </c>
      <c r="B15">
        <v>1</v>
      </c>
      <c r="C15">
        <v>45</v>
      </c>
      <c r="D15">
        <v>28.5</v>
      </c>
      <c r="E15">
        <v>32.5</v>
      </c>
    </row>
    <row r="16" spans="1:5" x14ac:dyDescent="0.25">
      <c r="A16" t="s">
        <v>40</v>
      </c>
      <c r="B16">
        <v>1</v>
      </c>
      <c r="C16">
        <v>45</v>
      </c>
      <c r="D16">
        <v>28.5</v>
      </c>
      <c r="E16">
        <v>26</v>
      </c>
    </row>
    <row r="17" spans="1:5" x14ac:dyDescent="0.25">
      <c r="A17" t="s">
        <v>41</v>
      </c>
      <c r="B17">
        <v>1</v>
      </c>
      <c r="C17">
        <v>45</v>
      </c>
      <c r="D17">
        <v>28.5</v>
      </c>
      <c r="E17">
        <v>19</v>
      </c>
    </row>
    <row r="18" spans="1:5" x14ac:dyDescent="0.25">
      <c r="A18" t="s">
        <v>42</v>
      </c>
      <c r="B18">
        <v>0.7</v>
      </c>
      <c r="C18">
        <v>213</v>
      </c>
      <c r="D18">
        <v>94</v>
      </c>
      <c r="E18">
        <v>60</v>
      </c>
    </row>
    <row r="19" spans="1:5" x14ac:dyDescent="0.25">
      <c r="A19" t="s">
        <v>43</v>
      </c>
    </row>
    <row r="20" spans="1:5" x14ac:dyDescent="0.25">
      <c r="A20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J5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style="16" customWidth="1"/>
    <col min="2" max="2" width="34" customWidth="1"/>
    <col min="3" max="3" width="28" customWidth="1"/>
    <col min="4" max="4" width="14" customWidth="1"/>
    <col min="5" max="5" width="30" customWidth="1"/>
    <col min="6" max="6" width="14" customWidth="1"/>
    <col min="7" max="7" width="18" customWidth="1"/>
    <col min="8" max="8" width="20" customWidth="1"/>
    <col min="9" max="9" width="24" customWidth="1"/>
    <col min="10" max="10" width="30" customWidth="1"/>
  </cols>
  <sheetData>
    <row r="1" ht="14" customHeight="1" spans="1:4" x14ac:dyDescent="0.25">
      <c r="A1" s="17" t="s">
        <v>73</v>
      </c>
      <c r="B1" s="18" t="s">
        <v>74</v>
      </c>
      <c r="C1" s="19" t="s">
        <v>75</v>
      </c>
      <c r="D1" s="20" t="s">
        <v>76</v>
      </c>
    </row>
    <row r="2" ht="22" customHeight="1" spans="1:10" x14ac:dyDescent="0.25">
      <c r="A2" s="21" t="s">
        <v>77</v>
      </c>
      <c r="B2" s="22" t="s">
        <v>78</v>
      </c>
      <c r="C2" s="22" t="s">
        <v>79</v>
      </c>
      <c r="D2" s="22" t="s">
        <v>80</v>
      </c>
      <c r="E2" s="22" t="s">
        <v>45</v>
      </c>
      <c r="F2" s="23" t="s">
        <v>81</v>
      </c>
      <c r="G2" s="23" t="s">
        <v>82</v>
      </c>
      <c r="H2" s="23" t="s">
        <v>83</v>
      </c>
      <c r="I2" s="24" t="s">
        <v>84</v>
      </c>
      <c r="J2" s="24" t="s">
        <v>85</v>
      </c>
    </row>
    <row r="3" spans="1:9" x14ac:dyDescent="0.25">
      <c r="A3" s="16"/>
      <c r="B3" s="25"/>
      <c r="C3" s="25"/>
      <c r="D3" t="s">
        <v>86</v>
      </c>
      <c r="E3" t="s">
        <v>46</v>
      </c>
      <c r="F3" t="s">
        <v>87</v>
      </c>
      <c r="G3" t="s">
        <v>88</v>
      </c>
      <c r="H3" t="s">
        <v>89</v>
      </c>
    </row>
    <row r="4" spans="1:9" x14ac:dyDescent="0.25">
      <c r="A4" s="16"/>
      <c r="B4" s="25"/>
      <c r="C4" s="25"/>
      <c r="D4" t="s">
        <v>86</v>
      </c>
      <c r="E4" t="s">
        <v>46</v>
      </c>
      <c r="F4" t="s">
        <v>87</v>
      </c>
      <c r="G4" t="s">
        <v>88</v>
      </c>
      <c r="H4" t="s">
        <v>89</v>
      </c>
    </row>
    <row r="5" spans="1:9" x14ac:dyDescent="0.25">
      <c r="A5" s="16"/>
      <c r="B5" s="25"/>
      <c r="C5" s="25"/>
      <c r="D5" t="s">
        <v>86</v>
      </c>
      <c r="E5" t="s">
        <v>46</v>
      </c>
      <c r="F5" t="s">
        <v>87</v>
      </c>
      <c r="G5" t="s">
        <v>88</v>
      </c>
      <c r="H5" t="s">
        <v>89</v>
      </c>
    </row>
    <row r="6" spans="1:9" x14ac:dyDescent="0.25">
      <c r="A6" s="16"/>
      <c r="B6" s="25"/>
      <c r="C6" s="25"/>
      <c r="D6" t="s">
        <v>86</v>
      </c>
      <c r="E6" t="s">
        <v>46</v>
      </c>
      <c r="F6" t="s">
        <v>87</v>
      </c>
      <c r="G6" t="s">
        <v>88</v>
      </c>
      <c r="H6" t="s">
        <v>89</v>
      </c>
    </row>
    <row r="7" spans="1:9" x14ac:dyDescent="0.25">
      <c r="A7" s="16"/>
      <c r="B7" s="25"/>
      <c r="C7" s="25"/>
      <c r="D7" t="s">
        <v>86</v>
      </c>
      <c r="E7" t="s">
        <v>46</v>
      </c>
      <c r="F7" t="s">
        <v>87</v>
      </c>
      <c r="G7" t="s">
        <v>88</v>
      </c>
      <c r="H7" t="s">
        <v>89</v>
      </c>
    </row>
    <row r="8" spans="1:9" x14ac:dyDescent="0.25">
      <c r="A8" s="16"/>
      <c r="B8" s="25"/>
      <c r="C8" s="25"/>
      <c r="D8" t="s">
        <v>86</v>
      </c>
      <c r="E8" t="s">
        <v>46</v>
      </c>
      <c r="F8" t="s">
        <v>87</v>
      </c>
      <c r="G8" t="s">
        <v>88</v>
      </c>
      <c r="H8" t="s">
        <v>89</v>
      </c>
    </row>
    <row r="9" spans="1:9" x14ac:dyDescent="0.25">
      <c r="A9" s="16"/>
      <c r="B9" s="25"/>
      <c r="C9" s="25"/>
      <c r="D9" t="s">
        <v>86</v>
      </c>
      <c r="E9" t="s">
        <v>46</v>
      </c>
      <c r="F9" t="s">
        <v>87</v>
      </c>
      <c r="G9" t="s">
        <v>88</v>
      </c>
      <c r="H9" t="s">
        <v>89</v>
      </c>
    </row>
    <row r="10" spans="1:9" x14ac:dyDescent="0.25">
      <c r="A10" s="16"/>
      <c r="B10" s="25"/>
      <c r="C10" s="25"/>
      <c r="D10" t="s">
        <v>86</v>
      </c>
      <c r="E10" t="s">
        <v>46</v>
      </c>
      <c r="F10" t="s">
        <v>87</v>
      </c>
      <c r="G10" t="s">
        <v>88</v>
      </c>
      <c r="H10" t="s">
        <v>89</v>
      </c>
    </row>
    <row r="11" spans="1:9" x14ac:dyDescent="0.25">
      <c r="A11" s="16"/>
      <c r="B11" s="25"/>
      <c r="C11" s="25"/>
      <c r="D11" t="s">
        <v>86</v>
      </c>
      <c r="E11" t="s">
        <v>46</v>
      </c>
      <c r="F11" t="s">
        <v>87</v>
      </c>
      <c r="G11" t="s">
        <v>88</v>
      </c>
      <c r="H11" t="s">
        <v>89</v>
      </c>
    </row>
    <row r="12" spans="1:9" x14ac:dyDescent="0.25">
      <c r="A12" s="16"/>
      <c r="B12" s="25"/>
      <c r="C12" s="25"/>
      <c r="D12" t="s">
        <v>86</v>
      </c>
      <c r="E12" t="s">
        <v>46</v>
      </c>
      <c r="F12" t="s">
        <v>87</v>
      </c>
      <c r="G12" t="s">
        <v>88</v>
      </c>
      <c r="H12" t="s">
        <v>89</v>
      </c>
    </row>
    <row r="13" spans="1:9" x14ac:dyDescent="0.25">
      <c r="A13" s="16"/>
      <c r="B13" s="25"/>
      <c r="C13" s="25"/>
      <c r="D13" t="s">
        <v>86</v>
      </c>
      <c r="E13" t="s">
        <v>46</v>
      </c>
      <c r="F13" t="s">
        <v>87</v>
      </c>
      <c r="G13" t="s">
        <v>88</v>
      </c>
      <c r="H13" t="s">
        <v>89</v>
      </c>
    </row>
    <row r="14" spans="1:9" x14ac:dyDescent="0.25">
      <c r="A14" s="16"/>
      <c r="B14" s="25"/>
      <c r="C14" s="25"/>
      <c r="D14" t="s">
        <v>86</v>
      </c>
      <c r="E14" t="s">
        <v>46</v>
      </c>
      <c r="F14" t="s">
        <v>87</v>
      </c>
      <c r="G14" t="s">
        <v>88</v>
      </c>
      <c r="H14" t="s">
        <v>89</v>
      </c>
    </row>
    <row r="15" spans="1:9" x14ac:dyDescent="0.25">
      <c r="A15" s="16"/>
      <c r="B15" s="25"/>
      <c r="C15" s="25"/>
      <c r="D15" t="s">
        <v>86</v>
      </c>
      <c r="E15" t="s">
        <v>46</v>
      </c>
      <c r="F15" t="s">
        <v>87</v>
      </c>
      <c r="G15" t="s">
        <v>88</v>
      </c>
      <c r="H15" t="s">
        <v>89</v>
      </c>
    </row>
    <row r="16" spans="1:9" x14ac:dyDescent="0.25">
      <c r="A16" s="16"/>
      <c r="B16" s="25"/>
      <c r="C16" s="25"/>
      <c r="D16" t="s">
        <v>86</v>
      </c>
      <c r="E16" t="s">
        <v>46</v>
      </c>
      <c r="F16" t="s">
        <v>87</v>
      </c>
      <c r="G16" t="s">
        <v>88</v>
      </c>
      <c r="H16" t="s">
        <v>89</v>
      </c>
    </row>
    <row r="17" spans="1:9" x14ac:dyDescent="0.25">
      <c r="A17" s="16"/>
      <c r="B17" s="25"/>
      <c r="C17" s="25"/>
      <c r="D17" t="s">
        <v>86</v>
      </c>
      <c r="E17" t="s">
        <v>46</v>
      </c>
      <c r="F17" t="s">
        <v>87</v>
      </c>
      <c r="G17" t="s">
        <v>88</v>
      </c>
      <c r="H17" t="s">
        <v>89</v>
      </c>
    </row>
    <row r="18" spans="1:9" x14ac:dyDescent="0.25">
      <c r="A18" s="16"/>
      <c r="B18" s="25"/>
      <c r="C18" s="25"/>
      <c r="D18" t="s">
        <v>86</v>
      </c>
      <c r="E18" t="s">
        <v>46</v>
      </c>
      <c r="F18" t="s">
        <v>87</v>
      </c>
      <c r="G18" t="s">
        <v>88</v>
      </c>
      <c r="H18" t="s">
        <v>89</v>
      </c>
    </row>
    <row r="19" spans="1:9" x14ac:dyDescent="0.25">
      <c r="A19" s="16"/>
      <c r="B19" s="25"/>
      <c r="C19" s="25"/>
      <c r="D19" t="s">
        <v>86</v>
      </c>
      <c r="E19" t="s">
        <v>46</v>
      </c>
      <c r="F19" t="s">
        <v>87</v>
      </c>
      <c r="G19" t="s">
        <v>88</v>
      </c>
      <c r="H19" t="s">
        <v>89</v>
      </c>
    </row>
    <row r="20" spans="1:9" x14ac:dyDescent="0.25">
      <c r="A20" s="16"/>
      <c r="B20" s="25"/>
      <c r="C20" s="25"/>
      <c r="D20" t="s">
        <v>86</v>
      </c>
      <c r="E20" t="s">
        <v>46</v>
      </c>
      <c r="F20" t="s">
        <v>87</v>
      </c>
      <c r="G20" t="s">
        <v>88</v>
      </c>
      <c r="H20" t="s">
        <v>89</v>
      </c>
    </row>
    <row r="21" spans="1:9" x14ac:dyDescent="0.25">
      <c r="A21" s="16"/>
      <c r="B21" s="25"/>
      <c r="C21" s="25"/>
      <c r="D21" t="s">
        <v>86</v>
      </c>
      <c r="E21" t="s">
        <v>46</v>
      </c>
      <c r="F21" t="s">
        <v>87</v>
      </c>
      <c r="G21" t="s">
        <v>88</v>
      </c>
      <c r="H21" t="s">
        <v>89</v>
      </c>
    </row>
    <row r="22" spans="1:9" x14ac:dyDescent="0.25">
      <c r="A22" s="16"/>
      <c r="B22" s="25"/>
      <c r="C22" s="25"/>
      <c r="D22" t="s">
        <v>86</v>
      </c>
      <c r="E22" t="s">
        <v>46</v>
      </c>
      <c r="F22" t="s">
        <v>87</v>
      </c>
      <c r="G22" t="s">
        <v>88</v>
      </c>
      <c r="H22" t="s">
        <v>89</v>
      </c>
    </row>
    <row r="23" spans="1:9" x14ac:dyDescent="0.25">
      <c r="A23" s="16"/>
      <c r="B23" s="25"/>
      <c r="C23" s="25"/>
      <c r="D23" t="s">
        <v>86</v>
      </c>
      <c r="E23" t="s">
        <v>46</v>
      </c>
      <c r="F23" t="s">
        <v>87</v>
      </c>
      <c r="G23" t="s">
        <v>88</v>
      </c>
      <c r="H23" t="s">
        <v>89</v>
      </c>
    </row>
    <row r="24" spans="1:9" x14ac:dyDescent="0.25">
      <c r="A24" s="16"/>
      <c r="B24" s="25"/>
      <c r="C24" s="25"/>
      <c r="D24" t="s">
        <v>86</v>
      </c>
      <c r="E24" t="s">
        <v>46</v>
      </c>
      <c r="F24" t="s">
        <v>87</v>
      </c>
      <c r="G24" t="s">
        <v>88</v>
      </c>
      <c r="H24" t="s">
        <v>89</v>
      </c>
    </row>
    <row r="25" spans="1:9" x14ac:dyDescent="0.25">
      <c r="A25" s="16"/>
      <c r="B25" s="25"/>
      <c r="C25" s="25"/>
      <c r="D25" t="s">
        <v>86</v>
      </c>
      <c r="E25" t="s">
        <v>46</v>
      </c>
      <c r="F25" t="s">
        <v>87</v>
      </c>
      <c r="G25" t="s">
        <v>88</v>
      </c>
      <c r="H25" t="s">
        <v>89</v>
      </c>
    </row>
    <row r="26" spans="1:9" x14ac:dyDescent="0.25">
      <c r="A26" s="16"/>
      <c r="B26" s="25"/>
      <c r="C26" s="25"/>
      <c r="D26" t="s">
        <v>86</v>
      </c>
      <c r="E26" t="s">
        <v>46</v>
      </c>
      <c r="F26" t="s">
        <v>87</v>
      </c>
      <c r="G26" t="s">
        <v>88</v>
      </c>
      <c r="H26" t="s">
        <v>89</v>
      </c>
    </row>
    <row r="27" spans="1:9" x14ac:dyDescent="0.25">
      <c r="A27" s="16"/>
      <c r="B27" s="25"/>
      <c r="C27" s="25"/>
      <c r="D27" t="s">
        <v>86</v>
      </c>
      <c r="E27" t="s">
        <v>46</v>
      </c>
      <c r="F27" t="s">
        <v>87</v>
      </c>
      <c r="G27" t="s">
        <v>88</v>
      </c>
      <c r="H27" t="s">
        <v>89</v>
      </c>
    </row>
    <row r="28" spans="1:9" x14ac:dyDescent="0.25">
      <c r="A28" s="16"/>
      <c r="B28" s="25"/>
      <c r="C28" s="25"/>
      <c r="D28" t="s">
        <v>86</v>
      </c>
      <c r="E28" t="s">
        <v>46</v>
      </c>
      <c r="F28" t="s">
        <v>87</v>
      </c>
      <c r="G28" t="s">
        <v>88</v>
      </c>
      <c r="H28" t="s">
        <v>89</v>
      </c>
    </row>
    <row r="29" spans="1:9" x14ac:dyDescent="0.25">
      <c r="A29" s="16"/>
      <c r="B29" s="25"/>
      <c r="C29" s="25"/>
      <c r="D29" t="s">
        <v>86</v>
      </c>
      <c r="E29" t="s">
        <v>46</v>
      </c>
      <c r="F29" t="s">
        <v>87</v>
      </c>
      <c r="G29" t="s">
        <v>88</v>
      </c>
      <c r="H29" t="s">
        <v>89</v>
      </c>
    </row>
    <row r="30" spans="1:9" x14ac:dyDescent="0.25">
      <c r="A30" s="16"/>
      <c r="B30" s="25"/>
      <c r="C30" s="25"/>
      <c r="D30" t="s">
        <v>86</v>
      </c>
      <c r="E30" t="s">
        <v>46</v>
      </c>
      <c r="F30" t="s">
        <v>87</v>
      </c>
      <c r="G30" t="s">
        <v>88</v>
      </c>
      <c r="H30" t="s">
        <v>89</v>
      </c>
    </row>
    <row r="31" spans="1:9" x14ac:dyDescent="0.25">
      <c r="A31" s="16"/>
      <c r="B31" s="25"/>
      <c r="C31" s="25"/>
      <c r="D31" t="s">
        <v>86</v>
      </c>
      <c r="E31" t="s">
        <v>46</v>
      </c>
      <c r="F31" t="s">
        <v>87</v>
      </c>
      <c r="G31" t="s">
        <v>88</v>
      </c>
      <c r="H31" t="s">
        <v>89</v>
      </c>
    </row>
    <row r="32" spans="1:9" x14ac:dyDescent="0.25">
      <c r="A32" s="16"/>
      <c r="B32" s="25"/>
      <c r="C32" s="25"/>
      <c r="D32" t="s">
        <v>86</v>
      </c>
      <c r="E32" t="s">
        <v>46</v>
      </c>
      <c r="F32" t="s">
        <v>87</v>
      </c>
      <c r="G32" t="s">
        <v>88</v>
      </c>
      <c r="H32" t="s">
        <v>89</v>
      </c>
    </row>
    <row r="33" spans="1:9" x14ac:dyDescent="0.25">
      <c r="A33" s="16"/>
      <c r="B33" s="25"/>
      <c r="C33" s="25"/>
      <c r="D33" t="s">
        <v>86</v>
      </c>
      <c r="E33" t="s">
        <v>46</v>
      </c>
      <c r="F33" t="s">
        <v>87</v>
      </c>
      <c r="G33" t="s">
        <v>88</v>
      </c>
      <c r="H33" t="s">
        <v>89</v>
      </c>
    </row>
    <row r="34" spans="1:9" x14ac:dyDescent="0.25">
      <c r="A34" s="16"/>
      <c r="B34" s="25"/>
      <c r="C34" s="25"/>
      <c r="D34" t="s">
        <v>86</v>
      </c>
      <c r="E34" t="s">
        <v>46</v>
      </c>
      <c r="F34" t="s">
        <v>87</v>
      </c>
      <c r="G34" t="s">
        <v>88</v>
      </c>
      <c r="H34" t="s">
        <v>89</v>
      </c>
    </row>
    <row r="35" spans="1:9" x14ac:dyDescent="0.25">
      <c r="A35" s="16"/>
      <c r="B35" s="25"/>
      <c r="C35" s="25"/>
      <c r="D35" t="s">
        <v>86</v>
      </c>
      <c r="E35" t="s">
        <v>46</v>
      </c>
      <c r="F35" t="s">
        <v>87</v>
      </c>
      <c r="G35" t="s">
        <v>88</v>
      </c>
      <c r="H35" t="s">
        <v>89</v>
      </c>
    </row>
    <row r="36" spans="1:9" x14ac:dyDescent="0.25">
      <c r="A36" s="16"/>
      <c r="B36" s="25"/>
      <c r="C36" s="25"/>
      <c r="D36" t="s">
        <v>86</v>
      </c>
      <c r="E36" t="s">
        <v>46</v>
      </c>
      <c r="F36" t="s">
        <v>87</v>
      </c>
      <c r="G36" t="s">
        <v>88</v>
      </c>
      <c r="H36" t="s">
        <v>89</v>
      </c>
    </row>
    <row r="37" spans="1:9" x14ac:dyDescent="0.25">
      <c r="A37" s="16"/>
      <c r="B37" s="25"/>
      <c r="C37" s="25"/>
      <c r="D37" t="s">
        <v>86</v>
      </c>
      <c r="E37" t="s">
        <v>46</v>
      </c>
      <c r="F37" t="s">
        <v>87</v>
      </c>
      <c r="G37" t="s">
        <v>88</v>
      </c>
      <c r="H37" t="s">
        <v>89</v>
      </c>
    </row>
    <row r="38" spans="1:9" x14ac:dyDescent="0.25">
      <c r="A38" s="16"/>
      <c r="B38" s="25"/>
      <c r="C38" s="25"/>
      <c r="D38" t="s">
        <v>86</v>
      </c>
      <c r="E38" t="s">
        <v>46</v>
      </c>
      <c r="F38" t="s">
        <v>87</v>
      </c>
      <c r="G38" t="s">
        <v>88</v>
      </c>
      <c r="H38" t="s">
        <v>89</v>
      </c>
    </row>
    <row r="39" spans="1:9" x14ac:dyDescent="0.25">
      <c r="A39" s="16"/>
      <c r="B39" s="25"/>
      <c r="C39" s="25"/>
      <c r="D39" t="s">
        <v>86</v>
      </c>
      <c r="E39" t="s">
        <v>46</v>
      </c>
      <c r="F39" t="s">
        <v>87</v>
      </c>
      <c r="G39" t="s">
        <v>88</v>
      </c>
      <c r="H39" t="s">
        <v>89</v>
      </c>
    </row>
    <row r="40" spans="1:9" x14ac:dyDescent="0.25">
      <c r="A40" s="16"/>
      <c r="B40" s="25"/>
      <c r="C40" s="25"/>
      <c r="D40" t="s">
        <v>86</v>
      </c>
      <c r="E40" t="s">
        <v>46</v>
      </c>
      <c r="F40" t="s">
        <v>87</v>
      </c>
      <c r="G40" t="s">
        <v>88</v>
      </c>
      <c r="H40" t="s">
        <v>89</v>
      </c>
    </row>
    <row r="41" spans="1:9" x14ac:dyDescent="0.25">
      <c r="A41" s="16"/>
      <c r="B41" s="25"/>
      <c r="C41" s="25"/>
      <c r="D41" t="s">
        <v>86</v>
      </c>
      <c r="E41" t="s">
        <v>46</v>
      </c>
      <c r="F41" t="s">
        <v>87</v>
      </c>
      <c r="G41" t="s">
        <v>88</v>
      </c>
      <c r="H41" t="s">
        <v>89</v>
      </c>
    </row>
    <row r="42" spans="1:9" x14ac:dyDescent="0.25">
      <c r="A42" s="16"/>
      <c r="B42" s="25"/>
      <c r="C42" s="25"/>
      <c r="D42" t="s">
        <v>86</v>
      </c>
      <c r="E42" t="s">
        <v>46</v>
      </c>
      <c r="F42" t="s">
        <v>87</v>
      </c>
      <c r="G42" t="s">
        <v>88</v>
      </c>
      <c r="H42" t="s">
        <v>89</v>
      </c>
    </row>
    <row r="43" spans="1:9" x14ac:dyDescent="0.25">
      <c r="A43" s="16"/>
      <c r="B43" s="25"/>
      <c r="C43" s="25"/>
      <c r="D43" t="s">
        <v>86</v>
      </c>
      <c r="E43" t="s">
        <v>46</v>
      </c>
      <c r="F43" t="s">
        <v>87</v>
      </c>
      <c r="G43" t="s">
        <v>88</v>
      </c>
      <c r="H43" t="s">
        <v>89</v>
      </c>
    </row>
    <row r="44" spans="1:9" x14ac:dyDescent="0.25">
      <c r="A44" s="16"/>
      <c r="B44" s="25"/>
      <c r="C44" s="25"/>
      <c r="D44" t="s">
        <v>86</v>
      </c>
      <c r="E44" t="s">
        <v>46</v>
      </c>
      <c r="F44" t="s">
        <v>87</v>
      </c>
      <c r="G44" t="s">
        <v>88</v>
      </c>
      <c r="H44" t="s">
        <v>89</v>
      </c>
    </row>
    <row r="45" spans="1:9" x14ac:dyDescent="0.25">
      <c r="A45" s="16"/>
      <c r="B45" s="25"/>
      <c r="C45" s="25"/>
      <c r="D45" t="s">
        <v>86</v>
      </c>
      <c r="E45" t="s">
        <v>46</v>
      </c>
      <c r="F45" t="s">
        <v>87</v>
      </c>
      <c r="G45" t="s">
        <v>88</v>
      </c>
      <c r="H45" t="s">
        <v>89</v>
      </c>
    </row>
    <row r="46" spans="1:9" x14ac:dyDescent="0.25">
      <c r="A46" s="16"/>
      <c r="B46" s="25"/>
      <c r="C46" s="25"/>
      <c r="D46" t="s">
        <v>86</v>
      </c>
      <c r="E46" t="s">
        <v>46</v>
      </c>
      <c r="F46" t="s">
        <v>87</v>
      </c>
      <c r="G46" t="s">
        <v>88</v>
      </c>
      <c r="H46" t="s">
        <v>89</v>
      </c>
    </row>
    <row r="47" spans="1:9" x14ac:dyDescent="0.25">
      <c r="A47" s="16"/>
      <c r="B47" s="25"/>
      <c r="C47" s="25"/>
      <c r="D47" t="s">
        <v>86</v>
      </c>
      <c r="E47" t="s">
        <v>46</v>
      </c>
      <c r="F47" t="s">
        <v>87</v>
      </c>
      <c r="G47" t="s">
        <v>88</v>
      </c>
      <c r="H47" t="s">
        <v>89</v>
      </c>
    </row>
    <row r="48" spans="1:9" x14ac:dyDescent="0.25">
      <c r="A48" s="16"/>
      <c r="B48" s="25"/>
      <c r="C48" s="25"/>
      <c r="D48" t="s">
        <v>86</v>
      </c>
      <c r="E48" t="s">
        <v>46</v>
      </c>
      <c r="F48" t="s">
        <v>87</v>
      </c>
      <c r="G48" t="s">
        <v>88</v>
      </c>
      <c r="H48" t="s">
        <v>89</v>
      </c>
    </row>
    <row r="49" spans="1:9" x14ac:dyDescent="0.25">
      <c r="A49" s="16"/>
      <c r="B49" s="25"/>
      <c r="C49" s="25"/>
      <c r="D49" t="s">
        <v>86</v>
      </c>
      <c r="E49" t="s">
        <v>46</v>
      </c>
      <c r="F49" t="s">
        <v>87</v>
      </c>
      <c r="G49" t="s">
        <v>88</v>
      </c>
      <c r="H49" t="s">
        <v>89</v>
      </c>
    </row>
    <row r="50" spans="1:9" x14ac:dyDescent="0.25">
      <c r="A50" s="16"/>
      <c r="B50" s="25"/>
      <c r="C50" s="25"/>
      <c r="D50" t="s">
        <v>86</v>
      </c>
      <c r="E50" t="s">
        <v>46</v>
      </c>
      <c r="F50" t="s">
        <v>87</v>
      </c>
      <c r="G50" t="s">
        <v>88</v>
      </c>
      <c r="H50" t="s">
        <v>89</v>
      </c>
    </row>
    <row r="51" spans="1:9" x14ac:dyDescent="0.25">
      <c r="A51" s="16"/>
      <c r="B51" s="25"/>
      <c r="C51" s="25"/>
      <c r="D51" t="s">
        <v>86</v>
      </c>
      <c r="E51" t="s">
        <v>46</v>
      </c>
      <c r="F51" t="s">
        <v>87</v>
      </c>
      <c r="G51" t="s">
        <v>88</v>
      </c>
      <c r="H51" t="s">
        <v>89</v>
      </c>
    </row>
    <row r="52" spans="1:9" x14ac:dyDescent="0.25">
      <c r="A52" s="16"/>
      <c r="B52" s="25"/>
      <c r="C52" s="25"/>
      <c r="D52" t="s">
        <v>86</v>
      </c>
      <c r="E52" t="s">
        <v>46</v>
      </c>
      <c r="F52" t="s">
        <v>87</v>
      </c>
      <c r="G52" t="s">
        <v>88</v>
      </c>
      <c r="H52" t="s">
        <v>89</v>
      </c>
    </row>
    <row r="53" spans="1:9" x14ac:dyDescent="0.25">
      <c r="A53" s="16"/>
      <c r="B53" s="25"/>
      <c r="C53" s="25"/>
      <c r="D53" t="s">
        <v>86</v>
      </c>
      <c r="E53" t="s">
        <v>46</v>
      </c>
      <c r="F53" t="s">
        <v>87</v>
      </c>
      <c r="G53" t="s">
        <v>88</v>
      </c>
      <c r="H53" t="s">
        <v>89</v>
      </c>
    </row>
    <row r="54" spans="1:9" x14ac:dyDescent="0.25">
      <c r="A54" s="16"/>
      <c r="B54" s="25"/>
      <c r="C54" s="25"/>
      <c r="D54" t="s">
        <v>86</v>
      </c>
      <c r="E54" t="s">
        <v>46</v>
      </c>
      <c r="F54" t="s">
        <v>87</v>
      </c>
      <c r="G54" t="s">
        <v>88</v>
      </c>
      <c r="H54" t="s">
        <v>89</v>
      </c>
    </row>
    <row r="55" spans="1:9" x14ac:dyDescent="0.25">
      <c r="A55" s="16"/>
      <c r="B55" s="25"/>
      <c r="C55" s="25"/>
      <c r="D55" t="s">
        <v>86</v>
      </c>
      <c r="E55" t="s">
        <v>46</v>
      </c>
      <c r="F55" t="s">
        <v>87</v>
      </c>
      <c r="G55" t="s">
        <v>88</v>
      </c>
      <c r="H55" t="s">
        <v>89</v>
      </c>
    </row>
    <row r="56" spans="1:9" x14ac:dyDescent="0.25">
      <c r="A56" s="16"/>
      <c r="B56" s="25"/>
      <c r="C56" s="25"/>
      <c r="D56" t="s">
        <v>86</v>
      </c>
      <c r="E56" t="s">
        <v>46</v>
      </c>
      <c r="F56" t="s">
        <v>87</v>
      </c>
      <c r="G56" t="s">
        <v>88</v>
      </c>
      <c r="H56" t="s">
        <v>89</v>
      </c>
    </row>
    <row r="57" spans="1:9" x14ac:dyDescent="0.25">
      <c r="A57" s="16"/>
      <c r="B57" s="25"/>
      <c r="C57" s="25"/>
      <c r="D57" t="s">
        <v>86</v>
      </c>
      <c r="E57" t="s">
        <v>46</v>
      </c>
      <c r="F57" t="s">
        <v>87</v>
      </c>
      <c r="G57" t="s">
        <v>88</v>
      </c>
      <c r="H57" t="s">
        <v>89</v>
      </c>
    </row>
    <row r="58" spans="1:9" x14ac:dyDescent="0.25">
      <c r="A58" s="16"/>
      <c r="B58" s="25"/>
      <c r="C58" s="25"/>
      <c r="D58" t="s">
        <v>86</v>
      </c>
      <c r="E58" t="s">
        <v>46</v>
      </c>
      <c r="F58" t="s">
        <v>87</v>
      </c>
      <c r="G58" t="s">
        <v>88</v>
      </c>
      <c r="H58" t="s">
        <v>89</v>
      </c>
    </row>
    <row r="59" spans="1:9" x14ac:dyDescent="0.25">
      <c r="A59" s="16"/>
      <c r="B59" s="25"/>
      <c r="C59" s="25"/>
      <c r="D59" t="s">
        <v>86</v>
      </c>
      <c r="E59" t="s">
        <v>46</v>
      </c>
      <c r="F59" t="s">
        <v>87</v>
      </c>
      <c r="G59" t="s">
        <v>88</v>
      </c>
      <c r="H59" t="s">
        <v>89</v>
      </c>
    </row>
    <row r="60" spans="1:9" x14ac:dyDescent="0.25">
      <c r="A60" s="16"/>
      <c r="B60" s="25"/>
      <c r="C60" s="25"/>
      <c r="D60" t="s">
        <v>86</v>
      </c>
      <c r="E60" t="s">
        <v>46</v>
      </c>
      <c r="F60" t="s">
        <v>87</v>
      </c>
      <c r="G60" t="s">
        <v>88</v>
      </c>
      <c r="H60" t="s">
        <v>89</v>
      </c>
    </row>
    <row r="61" spans="1:9" x14ac:dyDescent="0.25">
      <c r="A61" s="16"/>
      <c r="B61" s="25"/>
      <c r="C61" s="25"/>
      <c r="D61" t="s">
        <v>86</v>
      </c>
      <c r="E61" t="s">
        <v>46</v>
      </c>
      <c r="F61" t="s">
        <v>87</v>
      </c>
      <c r="G61" t="s">
        <v>88</v>
      </c>
      <c r="H61" t="s">
        <v>89</v>
      </c>
    </row>
    <row r="62" spans="1:9" x14ac:dyDescent="0.25">
      <c r="A62" s="16"/>
      <c r="B62" s="25"/>
      <c r="C62" s="25"/>
      <c r="D62" t="s">
        <v>86</v>
      </c>
      <c r="E62" t="s">
        <v>46</v>
      </c>
      <c r="F62" t="s">
        <v>87</v>
      </c>
      <c r="G62" t="s">
        <v>88</v>
      </c>
      <c r="H62" t="s">
        <v>89</v>
      </c>
    </row>
    <row r="63" spans="1:9" x14ac:dyDescent="0.25">
      <c r="A63" s="16"/>
      <c r="B63" s="25"/>
      <c r="C63" s="25"/>
      <c r="D63" t="s">
        <v>86</v>
      </c>
      <c r="E63" t="s">
        <v>46</v>
      </c>
      <c r="F63" t="s">
        <v>87</v>
      </c>
      <c r="G63" t="s">
        <v>88</v>
      </c>
      <c r="H63" t="s">
        <v>89</v>
      </c>
    </row>
    <row r="64" spans="1:9" x14ac:dyDescent="0.25">
      <c r="A64" s="16"/>
      <c r="B64" s="25"/>
      <c r="C64" s="25"/>
      <c r="D64" t="s">
        <v>86</v>
      </c>
      <c r="E64" t="s">
        <v>46</v>
      </c>
      <c r="F64" t="s">
        <v>87</v>
      </c>
      <c r="G64" t="s">
        <v>88</v>
      </c>
      <c r="H64" t="s">
        <v>89</v>
      </c>
    </row>
    <row r="65" spans="1:9" x14ac:dyDescent="0.25">
      <c r="A65" s="16"/>
      <c r="B65" s="25"/>
      <c r="C65" s="25"/>
      <c r="D65" t="s">
        <v>86</v>
      </c>
      <c r="E65" t="s">
        <v>46</v>
      </c>
      <c r="F65" t="s">
        <v>87</v>
      </c>
      <c r="G65" t="s">
        <v>88</v>
      </c>
      <c r="H65" t="s">
        <v>89</v>
      </c>
    </row>
    <row r="66" spans="1:9" x14ac:dyDescent="0.25">
      <c r="A66" s="16"/>
      <c r="B66" s="25"/>
      <c r="C66" s="25"/>
      <c r="D66" t="s">
        <v>86</v>
      </c>
      <c r="E66" t="s">
        <v>46</v>
      </c>
      <c r="F66" t="s">
        <v>87</v>
      </c>
      <c r="G66" t="s">
        <v>88</v>
      </c>
      <c r="H66" t="s">
        <v>89</v>
      </c>
    </row>
    <row r="67" spans="1:9" x14ac:dyDescent="0.25">
      <c r="A67" s="16"/>
      <c r="B67" s="25"/>
      <c r="C67" s="25"/>
      <c r="D67" t="s">
        <v>86</v>
      </c>
      <c r="E67" t="s">
        <v>46</v>
      </c>
      <c r="F67" t="s">
        <v>87</v>
      </c>
      <c r="G67" t="s">
        <v>88</v>
      </c>
      <c r="H67" t="s">
        <v>89</v>
      </c>
    </row>
    <row r="68" spans="1:9" x14ac:dyDescent="0.25">
      <c r="A68" s="16"/>
      <c r="B68" s="25"/>
      <c r="C68" s="25"/>
      <c r="D68" t="s">
        <v>86</v>
      </c>
      <c r="E68" t="s">
        <v>46</v>
      </c>
      <c r="F68" t="s">
        <v>87</v>
      </c>
      <c r="G68" t="s">
        <v>88</v>
      </c>
      <c r="H68" t="s">
        <v>89</v>
      </c>
    </row>
    <row r="69" spans="1:9" x14ac:dyDescent="0.25">
      <c r="A69" s="16"/>
      <c r="B69" s="25"/>
      <c r="C69" s="25"/>
      <c r="D69" t="s">
        <v>86</v>
      </c>
      <c r="E69" t="s">
        <v>46</v>
      </c>
      <c r="F69" t="s">
        <v>87</v>
      </c>
      <c r="G69" t="s">
        <v>88</v>
      </c>
      <c r="H69" t="s">
        <v>89</v>
      </c>
    </row>
    <row r="70" spans="1:9" x14ac:dyDescent="0.25">
      <c r="A70" s="16"/>
      <c r="B70" s="25"/>
      <c r="C70" s="25"/>
      <c r="D70" t="s">
        <v>86</v>
      </c>
      <c r="E70" t="s">
        <v>46</v>
      </c>
      <c r="F70" t="s">
        <v>87</v>
      </c>
      <c r="G70" t="s">
        <v>88</v>
      </c>
      <c r="H70" t="s">
        <v>89</v>
      </c>
    </row>
    <row r="71" spans="1:9" x14ac:dyDescent="0.25">
      <c r="A71" s="16"/>
      <c r="B71" s="25"/>
      <c r="C71" s="25"/>
      <c r="D71" t="s">
        <v>86</v>
      </c>
      <c r="E71" t="s">
        <v>46</v>
      </c>
      <c r="F71" t="s">
        <v>87</v>
      </c>
      <c r="G71" t="s">
        <v>88</v>
      </c>
      <c r="H71" t="s">
        <v>89</v>
      </c>
    </row>
    <row r="72" spans="1:9" x14ac:dyDescent="0.25">
      <c r="A72" s="16"/>
      <c r="B72" s="25"/>
      <c r="C72" s="25"/>
      <c r="D72" t="s">
        <v>86</v>
      </c>
      <c r="E72" t="s">
        <v>46</v>
      </c>
      <c r="F72" t="s">
        <v>87</v>
      </c>
      <c r="G72" t="s">
        <v>88</v>
      </c>
      <c r="H72" t="s">
        <v>89</v>
      </c>
    </row>
    <row r="73" spans="1:9" x14ac:dyDescent="0.25">
      <c r="A73" s="16"/>
      <c r="B73" s="25"/>
      <c r="C73" s="25"/>
      <c r="D73" t="s">
        <v>86</v>
      </c>
      <c r="E73" t="s">
        <v>46</v>
      </c>
      <c r="F73" t="s">
        <v>87</v>
      </c>
      <c r="G73" t="s">
        <v>88</v>
      </c>
      <c r="H73" t="s">
        <v>89</v>
      </c>
    </row>
    <row r="74" spans="1:9" x14ac:dyDescent="0.25">
      <c r="A74" s="16"/>
      <c r="B74" s="25"/>
      <c r="C74" s="25"/>
      <c r="D74" t="s">
        <v>86</v>
      </c>
      <c r="E74" t="s">
        <v>46</v>
      </c>
      <c r="F74" t="s">
        <v>87</v>
      </c>
      <c r="G74" t="s">
        <v>88</v>
      </c>
      <c r="H74" t="s">
        <v>89</v>
      </c>
    </row>
    <row r="75" spans="1:9" x14ac:dyDescent="0.25">
      <c r="A75" s="16"/>
      <c r="B75" s="25"/>
      <c r="C75" s="25"/>
      <c r="D75" t="s">
        <v>86</v>
      </c>
      <c r="E75" t="s">
        <v>46</v>
      </c>
      <c r="F75" t="s">
        <v>87</v>
      </c>
      <c r="G75" t="s">
        <v>88</v>
      </c>
      <c r="H75" t="s">
        <v>89</v>
      </c>
    </row>
    <row r="76" spans="1:9" x14ac:dyDescent="0.25">
      <c r="A76" s="16"/>
      <c r="B76" s="25"/>
      <c r="C76" s="25"/>
      <c r="D76" t="s">
        <v>86</v>
      </c>
      <c r="E76" t="s">
        <v>46</v>
      </c>
      <c r="F76" t="s">
        <v>87</v>
      </c>
      <c r="G76" t="s">
        <v>88</v>
      </c>
      <c r="H76" t="s">
        <v>89</v>
      </c>
    </row>
    <row r="77" spans="1:9" x14ac:dyDescent="0.25">
      <c r="A77" s="16"/>
      <c r="B77" s="25"/>
      <c r="C77" s="25"/>
      <c r="D77" t="s">
        <v>86</v>
      </c>
      <c r="E77" t="s">
        <v>46</v>
      </c>
      <c r="F77" t="s">
        <v>87</v>
      </c>
      <c r="G77" t="s">
        <v>88</v>
      </c>
      <c r="H77" t="s">
        <v>89</v>
      </c>
    </row>
    <row r="78" spans="1:9" x14ac:dyDescent="0.25">
      <c r="A78" s="16"/>
      <c r="B78" s="25"/>
      <c r="C78" s="25"/>
      <c r="D78" t="s">
        <v>86</v>
      </c>
      <c r="E78" t="s">
        <v>46</v>
      </c>
      <c r="F78" t="s">
        <v>87</v>
      </c>
      <c r="G78" t="s">
        <v>88</v>
      </c>
      <c r="H78" t="s">
        <v>89</v>
      </c>
    </row>
    <row r="79" spans="1:9" x14ac:dyDescent="0.25">
      <c r="A79" s="16"/>
      <c r="B79" s="25"/>
      <c r="C79" s="25"/>
      <c r="D79" t="s">
        <v>86</v>
      </c>
      <c r="E79" t="s">
        <v>46</v>
      </c>
      <c r="F79" t="s">
        <v>87</v>
      </c>
      <c r="G79" t="s">
        <v>88</v>
      </c>
      <c r="H79" t="s">
        <v>89</v>
      </c>
    </row>
    <row r="80" spans="1:9" x14ac:dyDescent="0.25">
      <c r="A80" s="16"/>
      <c r="B80" s="25"/>
      <c r="C80" s="25"/>
      <c r="D80" t="s">
        <v>86</v>
      </c>
      <c r="E80" t="s">
        <v>46</v>
      </c>
      <c r="F80" t="s">
        <v>87</v>
      </c>
      <c r="G80" t="s">
        <v>88</v>
      </c>
      <c r="H80" t="s">
        <v>89</v>
      </c>
    </row>
    <row r="81" spans="1:9" x14ac:dyDescent="0.25">
      <c r="A81" s="16"/>
      <c r="B81" s="25"/>
      <c r="C81" s="25"/>
      <c r="D81" t="s">
        <v>86</v>
      </c>
      <c r="E81" t="s">
        <v>46</v>
      </c>
      <c r="F81" t="s">
        <v>87</v>
      </c>
      <c r="G81" t="s">
        <v>88</v>
      </c>
      <c r="H81" t="s">
        <v>89</v>
      </c>
    </row>
    <row r="82" spans="1:9" x14ac:dyDescent="0.25">
      <c r="A82" s="16"/>
      <c r="B82" s="25"/>
      <c r="C82" s="25"/>
      <c r="D82" t="s">
        <v>86</v>
      </c>
      <c r="E82" t="s">
        <v>46</v>
      </c>
      <c r="F82" t="s">
        <v>87</v>
      </c>
      <c r="G82" t="s">
        <v>88</v>
      </c>
      <c r="H82" t="s">
        <v>89</v>
      </c>
    </row>
    <row r="83" spans="1:9" x14ac:dyDescent="0.25">
      <c r="A83" s="16"/>
      <c r="B83" s="25"/>
      <c r="C83" s="25"/>
      <c r="D83" t="s">
        <v>86</v>
      </c>
      <c r="E83" t="s">
        <v>46</v>
      </c>
      <c r="F83" t="s">
        <v>87</v>
      </c>
      <c r="G83" t="s">
        <v>88</v>
      </c>
      <c r="H83" t="s">
        <v>89</v>
      </c>
    </row>
    <row r="84" spans="1:9" x14ac:dyDescent="0.25">
      <c r="A84" s="16"/>
      <c r="B84" s="25"/>
      <c r="C84" s="25"/>
      <c r="D84" t="s">
        <v>86</v>
      </c>
      <c r="E84" t="s">
        <v>46</v>
      </c>
      <c r="F84" t="s">
        <v>87</v>
      </c>
      <c r="G84" t="s">
        <v>88</v>
      </c>
      <c r="H84" t="s">
        <v>89</v>
      </c>
    </row>
    <row r="85" spans="1:9" x14ac:dyDescent="0.25">
      <c r="A85" s="16"/>
      <c r="B85" s="25"/>
      <c r="C85" s="25"/>
      <c r="D85" t="s">
        <v>86</v>
      </c>
      <c r="E85" t="s">
        <v>46</v>
      </c>
      <c r="F85" t="s">
        <v>87</v>
      </c>
      <c r="G85" t="s">
        <v>88</v>
      </c>
      <c r="H85" t="s">
        <v>89</v>
      </c>
    </row>
    <row r="86" spans="1:9" x14ac:dyDescent="0.25">
      <c r="A86" s="16"/>
      <c r="B86" s="25"/>
      <c r="C86" s="25"/>
      <c r="D86" t="s">
        <v>86</v>
      </c>
      <c r="E86" t="s">
        <v>46</v>
      </c>
      <c r="F86" t="s">
        <v>87</v>
      </c>
      <c r="G86" t="s">
        <v>88</v>
      </c>
      <c r="H86" t="s">
        <v>89</v>
      </c>
    </row>
    <row r="87" spans="1:9" x14ac:dyDescent="0.25">
      <c r="A87" s="16"/>
      <c r="B87" s="25"/>
      <c r="C87" s="25"/>
      <c r="D87" t="s">
        <v>86</v>
      </c>
      <c r="E87" t="s">
        <v>46</v>
      </c>
      <c r="F87" t="s">
        <v>87</v>
      </c>
      <c r="G87" t="s">
        <v>88</v>
      </c>
      <c r="H87" t="s">
        <v>89</v>
      </c>
    </row>
    <row r="88" spans="1:9" x14ac:dyDescent="0.25">
      <c r="A88" s="16"/>
      <c r="B88" s="25"/>
      <c r="C88" s="25"/>
      <c r="D88" t="s">
        <v>86</v>
      </c>
      <c r="E88" t="s">
        <v>46</v>
      </c>
      <c r="F88" t="s">
        <v>87</v>
      </c>
      <c r="G88" t="s">
        <v>88</v>
      </c>
      <c r="H88" t="s">
        <v>89</v>
      </c>
    </row>
    <row r="89" spans="1:9" x14ac:dyDescent="0.25">
      <c r="A89" s="16"/>
      <c r="B89" s="25"/>
      <c r="C89" s="25"/>
      <c r="D89" t="s">
        <v>86</v>
      </c>
      <c r="E89" t="s">
        <v>46</v>
      </c>
      <c r="F89" t="s">
        <v>87</v>
      </c>
      <c r="G89" t="s">
        <v>88</v>
      </c>
      <c r="H89" t="s">
        <v>89</v>
      </c>
    </row>
    <row r="90" spans="1:9" x14ac:dyDescent="0.25">
      <c r="A90" s="16"/>
      <c r="B90" s="25"/>
      <c r="C90" s="25"/>
      <c r="D90" t="s">
        <v>86</v>
      </c>
      <c r="E90" t="s">
        <v>46</v>
      </c>
      <c r="F90" t="s">
        <v>87</v>
      </c>
      <c r="G90" t="s">
        <v>88</v>
      </c>
      <c r="H90" t="s">
        <v>89</v>
      </c>
    </row>
    <row r="91" spans="1:9" x14ac:dyDescent="0.25">
      <c r="A91" s="16"/>
      <c r="B91" s="25"/>
      <c r="C91" s="25"/>
      <c r="D91" t="s">
        <v>86</v>
      </c>
      <c r="E91" t="s">
        <v>46</v>
      </c>
      <c r="F91" t="s">
        <v>87</v>
      </c>
      <c r="G91" t="s">
        <v>88</v>
      </c>
      <c r="H91" t="s">
        <v>89</v>
      </c>
    </row>
    <row r="92" spans="1:9" x14ac:dyDescent="0.25">
      <c r="A92" s="16"/>
      <c r="B92" s="25"/>
      <c r="C92" s="25"/>
      <c r="D92" t="s">
        <v>86</v>
      </c>
      <c r="E92" t="s">
        <v>46</v>
      </c>
      <c r="F92" t="s">
        <v>87</v>
      </c>
      <c r="G92" t="s">
        <v>88</v>
      </c>
      <c r="H92" t="s">
        <v>89</v>
      </c>
    </row>
    <row r="93" spans="1:9" x14ac:dyDescent="0.25">
      <c r="A93" s="16"/>
      <c r="B93" s="25"/>
      <c r="C93" s="25"/>
      <c r="D93" t="s">
        <v>86</v>
      </c>
      <c r="E93" t="s">
        <v>46</v>
      </c>
      <c r="F93" t="s">
        <v>87</v>
      </c>
      <c r="G93" t="s">
        <v>88</v>
      </c>
      <c r="H93" t="s">
        <v>89</v>
      </c>
    </row>
    <row r="94" spans="1:9" x14ac:dyDescent="0.25">
      <c r="A94" s="16"/>
      <c r="B94" s="25"/>
      <c r="C94" s="25"/>
      <c r="D94" t="s">
        <v>86</v>
      </c>
      <c r="E94" t="s">
        <v>46</v>
      </c>
      <c r="F94" t="s">
        <v>87</v>
      </c>
      <c r="G94" t="s">
        <v>88</v>
      </c>
      <c r="H94" t="s">
        <v>89</v>
      </c>
    </row>
    <row r="95" spans="1:9" x14ac:dyDescent="0.25">
      <c r="A95" s="16"/>
      <c r="B95" s="25"/>
      <c r="C95" s="25"/>
      <c r="D95" t="s">
        <v>86</v>
      </c>
      <c r="E95" t="s">
        <v>46</v>
      </c>
      <c r="F95" t="s">
        <v>87</v>
      </c>
      <c r="G95" t="s">
        <v>88</v>
      </c>
      <c r="H95" t="s">
        <v>89</v>
      </c>
    </row>
    <row r="96" spans="1:9" x14ac:dyDescent="0.25">
      <c r="A96" s="16"/>
      <c r="B96" s="25"/>
      <c r="C96" s="25"/>
      <c r="D96" t="s">
        <v>86</v>
      </c>
      <c r="E96" t="s">
        <v>46</v>
      </c>
      <c r="F96" t="s">
        <v>87</v>
      </c>
      <c r="G96" t="s">
        <v>88</v>
      </c>
      <c r="H96" t="s">
        <v>89</v>
      </c>
    </row>
    <row r="97" spans="1:9" x14ac:dyDescent="0.25">
      <c r="A97" s="16"/>
      <c r="B97" s="25"/>
      <c r="C97" s="25"/>
      <c r="D97" t="s">
        <v>86</v>
      </c>
      <c r="E97" t="s">
        <v>46</v>
      </c>
      <c r="F97" t="s">
        <v>87</v>
      </c>
      <c r="G97" t="s">
        <v>88</v>
      </c>
      <c r="H97" t="s">
        <v>89</v>
      </c>
    </row>
    <row r="98" spans="1:9" x14ac:dyDescent="0.25">
      <c r="A98" s="16"/>
      <c r="B98" s="25"/>
      <c r="C98" s="25"/>
      <c r="D98" t="s">
        <v>86</v>
      </c>
      <c r="E98" t="s">
        <v>46</v>
      </c>
      <c r="F98" t="s">
        <v>87</v>
      </c>
      <c r="G98" t="s">
        <v>88</v>
      </c>
      <c r="H98" t="s">
        <v>89</v>
      </c>
    </row>
    <row r="99" spans="1:9" x14ac:dyDescent="0.25">
      <c r="A99" s="16"/>
      <c r="B99" s="25"/>
      <c r="C99" s="25"/>
      <c r="D99" t="s">
        <v>86</v>
      </c>
      <c r="E99" t="s">
        <v>46</v>
      </c>
      <c r="F99" t="s">
        <v>87</v>
      </c>
      <c r="G99" t="s">
        <v>88</v>
      </c>
      <c r="H99" t="s">
        <v>89</v>
      </c>
    </row>
    <row r="100" spans="1:9" x14ac:dyDescent="0.25">
      <c r="A100" s="16"/>
      <c r="B100" s="25"/>
      <c r="C100" s="25"/>
      <c r="D100" t="s">
        <v>86</v>
      </c>
      <c r="E100" t="s">
        <v>46</v>
      </c>
      <c r="F100" t="s">
        <v>87</v>
      </c>
      <c r="G100" t="s">
        <v>88</v>
      </c>
      <c r="H100" t="s">
        <v>89</v>
      </c>
    </row>
    <row r="101" spans="1:9" x14ac:dyDescent="0.25">
      <c r="A101" s="16"/>
      <c r="B101" s="25"/>
      <c r="C101" s="25"/>
      <c r="D101" t="s">
        <v>86</v>
      </c>
      <c r="E101" t="s">
        <v>46</v>
      </c>
      <c r="F101" t="s">
        <v>87</v>
      </c>
      <c r="G101" t="s">
        <v>88</v>
      </c>
      <c r="H101" t="s">
        <v>89</v>
      </c>
    </row>
    <row r="102" spans="1:9" x14ac:dyDescent="0.25">
      <c r="A102" s="16"/>
      <c r="B102" s="25"/>
      <c r="C102" s="25"/>
      <c r="D102" t="s">
        <v>86</v>
      </c>
      <c r="E102" t="s">
        <v>46</v>
      </c>
      <c r="F102" t="s">
        <v>87</v>
      </c>
      <c r="G102" t="s">
        <v>88</v>
      </c>
      <c r="H102" t="s">
        <v>89</v>
      </c>
    </row>
    <row r="103" spans="1:9" x14ac:dyDescent="0.25">
      <c r="A103" s="16"/>
      <c r="B103" s="25"/>
      <c r="C103" s="25"/>
      <c r="D103" t="s">
        <v>86</v>
      </c>
      <c r="E103" t="s">
        <v>46</v>
      </c>
      <c r="F103" t="s">
        <v>87</v>
      </c>
      <c r="G103" t="s">
        <v>88</v>
      </c>
      <c r="H103" t="s">
        <v>89</v>
      </c>
    </row>
    <row r="104" spans="1:9" x14ac:dyDescent="0.25">
      <c r="A104" s="16"/>
      <c r="B104" s="25"/>
      <c r="C104" s="25"/>
      <c r="D104" t="s">
        <v>86</v>
      </c>
      <c r="E104" t="s">
        <v>46</v>
      </c>
      <c r="F104" t="s">
        <v>87</v>
      </c>
      <c r="G104" t="s">
        <v>88</v>
      </c>
      <c r="H104" t="s">
        <v>89</v>
      </c>
    </row>
    <row r="105" spans="1:9" x14ac:dyDescent="0.25">
      <c r="A105" s="16"/>
      <c r="B105" s="25"/>
      <c r="C105" s="25"/>
      <c r="D105" t="s">
        <v>86</v>
      </c>
      <c r="E105" t="s">
        <v>46</v>
      </c>
      <c r="F105" t="s">
        <v>87</v>
      </c>
      <c r="G105" t="s">
        <v>88</v>
      </c>
      <c r="H105" t="s">
        <v>89</v>
      </c>
    </row>
    <row r="106" spans="1:9" x14ac:dyDescent="0.25">
      <c r="A106" s="16"/>
      <c r="B106" s="25"/>
      <c r="C106" s="25"/>
      <c r="D106" t="s">
        <v>86</v>
      </c>
      <c r="E106" t="s">
        <v>46</v>
      </c>
      <c r="F106" t="s">
        <v>87</v>
      </c>
      <c r="G106" t="s">
        <v>88</v>
      </c>
      <c r="H106" t="s">
        <v>89</v>
      </c>
    </row>
    <row r="107" spans="1:9" x14ac:dyDescent="0.25">
      <c r="A107" s="16"/>
      <c r="B107" s="25"/>
      <c r="C107" s="25"/>
      <c r="D107" t="s">
        <v>86</v>
      </c>
      <c r="E107" t="s">
        <v>46</v>
      </c>
      <c r="F107" t="s">
        <v>87</v>
      </c>
      <c r="G107" t="s">
        <v>88</v>
      </c>
      <c r="H107" t="s">
        <v>89</v>
      </c>
    </row>
    <row r="108" spans="1:9" x14ac:dyDescent="0.25">
      <c r="A108" s="16"/>
      <c r="B108" s="25"/>
      <c r="C108" s="25"/>
      <c r="D108" t="s">
        <v>86</v>
      </c>
      <c r="E108" t="s">
        <v>46</v>
      </c>
      <c r="F108" t="s">
        <v>87</v>
      </c>
      <c r="G108" t="s">
        <v>88</v>
      </c>
      <c r="H108" t="s">
        <v>89</v>
      </c>
    </row>
    <row r="109" spans="1:9" x14ac:dyDescent="0.25">
      <c r="A109" s="16"/>
      <c r="B109" s="25"/>
      <c r="C109" s="25"/>
      <c r="D109" t="s">
        <v>86</v>
      </c>
      <c r="E109" t="s">
        <v>46</v>
      </c>
      <c r="F109" t="s">
        <v>87</v>
      </c>
      <c r="G109" t="s">
        <v>88</v>
      </c>
      <c r="H109" t="s">
        <v>89</v>
      </c>
    </row>
    <row r="110" spans="1:9" x14ac:dyDescent="0.25">
      <c r="A110" s="16"/>
      <c r="B110" s="25"/>
      <c r="C110" s="25"/>
      <c r="D110" t="s">
        <v>86</v>
      </c>
      <c r="E110" t="s">
        <v>46</v>
      </c>
      <c r="F110" t="s">
        <v>87</v>
      </c>
      <c r="G110" t="s">
        <v>88</v>
      </c>
      <c r="H110" t="s">
        <v>89</v>
      </c>
    </row>
    <row r="111" spans="1:9" x14ac:dyDescent="0.25">
      <c r="A111" s="16"/>
      <c r="B111" s="25"/>
      <c r="C111" s="25"/>
      <c r="D111" t="s">
        <v>86</v>
      </c>
      <c r="E111" t="s">
        <v>46</v>
      </c>
      <c r="F111" t="s">
        <v>87</v>
      </c>
      <c r="G111" t="s">
        <v>88</v>
      </c>
      <c r="H111" t="s">
        <v>89</v>
      </c>
    </row>
    <row r="112" spans="1:9" x14ac:dyDescent="0.25">
      <c r="A112" s="16"/>
      <c r="B112" s="25"/>
      <c r="C112" s="25"/>
      <c r="D112" t="s">
        <v>86</v>
      </c>
      <c r="E112" t="s">
        <v>46</v>
      </c>
      <c r="F112" t="s">
        <v>87</v>
      </c>
      <c r="G112" t="s">
        <v>88</v>
      </c>
      <c r="H112" t="s">
        <v>89</v>
      </c>
    </row>
    <row r="113" spans="1:9" x14ac:dyDescent="0.25">
      <c r="A113" s="16"/>
      <c r="B113" s="25"/>
      <c r="C113" s="25"/>
      <c r="D113" t="s">
        <v>86</v>
      </c>
      <c r="E113" t="s">
        <v>46</v>
      </c>
      <c r="F113" t="s">
        <v>87</v>
      </c>
      <c r="G113" t="s">
        <v>88</v>
      </c>
      <c r="H113" t="s">
        <v>89</v>
      </c>
    </row>
    <row r="114" spans="1:9" x14ac:dyDescent="0.25">
      <c r="A114" s="16"/>
      <c r="B114" s="25"/>
      <c r="C114" s="25"/>
      <c r="D114" t="s">
        <v>86</v>
      </c>
      <c r="E114" t="s">
        <v>46</v>
      </c>
      <c r="F114" t="s">
        <v>87</v>
      </c>
      <c r="G114" t="s">
        <v>88</v>
      </c>
      <c r="H114" t="s">
        <v>89</v>
      </c>
    </row>
    <row r="115" spans="1:9" x14ac:dyDescent="0.25">
      <c r="A115" s="16"/>
      <c r="B115" s="25"/>
      <c r="C115" s="25"/>
      <c r="D115" t="s">
        <v>86</v>
      </c>
      <c r="E115" t="s">
        <v>46</v>
      </c>
      <c r="F115" t="s">
        <v>87</v>
      </c>
      <c r="G115" t="s">
        <v>88</v>
      </c>
      <c r="H115" t="s">
        <v>89</v>
      </c>
    </row>
    <row r="116" spans="1:9" x14ac:dyDescent="0.25">
      <c r="A116" s="16"/>
      <c r="B116" s="25"/>
      <c r="C116" s="25"/>
      <c r="D116" t="s">
        <v>86</v>
      </c>
      <c r="E116" t="s">
        <v>46</v>
      </c>
      <c r="F116" t="s">
        <v>87</v>
      </c>
      <c r="G116" t="s">
        <v>88</v>
      </c>
      <c r="H116" t="s">
        <v>89</v>
      </c>
    </row>
    <row r="117" spans="1:9" x14ac:dyDescent="0.25">
      <c r="A117" s="16"/>
      <c r="B117" s="25"/>
      <c r="C117" s="25"/>
      <c r="D117" t="s">
        <v>86</v>
      </c>
      <c r="E117" t="s">
        <v>46</v>
      </c>
      <c r="F117" t="s">
        <v>87</v>
      </c>
      <c r="G117" t="s">
        <v>88</v>
      </c>
      <c r="H117" t="s">
        <v>89</v>
      </c>
    </row>
    <row r="118" spans="1:9" x14ac:dyDescent="0.25">
      <c r="A118" s="16"/>
      <c r="B118" s="25"/>
      <c r="C118" s="25"/>
      <c r="D118" t="s">
        <v>86</v>
      </c>
      <c r="E118" t="s">
        <v>46</v>
      </c>
      <c r="F118" t="s">
        <v>87</v>
      </c>
      <c r="G118" t="s">
        <v>88</v>
      </c>
      <c r="H118" t="s">
        <v>89</v>
      </c>
    </row>
    <row r="119" spans="1:9" x14ac:dyDescent="0.25">
      <c r="A119" s="16"/>
      <c r="B119" s="25"/>
      <c r="C119" s="25"/>
      <c r="D119" t="s">
        <v>86</v>
      </c>
      <c r="E119" t="s">
        <v>46</v>
      </c>
      <c r="F119" t="s">
        <v>87</v>
      </c>
      <c r="G119" t="s">
        <v>88</v>
      </c>
      <c r="H119" t="s">
        <v>89</v>
      </c>
    </row>
    <row r="120" spans="1:9" x14ac:dyDescent="0.25">
      <c r="A120" s="16"/>
      <c r="B120" s="25"/>
      <c r="C120" s="25"/>
      <c r="D120" t="s">
        <v>86</v>
      </c>
      <c r="E120" t="s">
        <v>46</v>
      </c>
      <c r="F120" t="s">
        <v>87</v>
      </c>
      <c r="G120" t="s">
        <v>88</v>
      </c>
      <c r="H120" t="s">
        <v>89</v>
      </c>
    </row>
    <row r="121" spans="1:9" x14ac:dyDescent="0.25">
      <c r="A121" s="16"/>
      <c r="B121" s="25"/>
      <c r="C121" s="25"/>
      <c r="D121" t="s">
        <v>86</v>
      </c>
      <c r="E121" t="s">
        <v>46</v>
      </c>
      <c r="F121" t="s">
        <v>87</v>
      </c>
      <c r="G121" t="s">
        <v>88</v>
      </c>
      <c r="H121" t="s">
        <v>89</v>
      </c>
    </row>
    <row r="122" spans="1:9" x14ac:dyDescent="0.25">
      <c r="A122" s="16"/>
      <c r="B122" s="25"/>
      <c r="C122" s="25"/>
      <c r="D122" t="s">
        <v>86</v>
      </c>
      <c r="E122" t="s">
        <v>46</v>
      </c>
      <c r="F122" t="s">
        <v>87</v>
      </c>
      <c r="G122" t="s">
        <v>88</v>
      </c>
      <c r="H122" t="s">
        <v>89</v>
      </c>
    </row>
    <row r="123" spans="1:9" x14ac:dyDescent="0.25">
      <c r="A123" s="16"/>
      <c r="B123" s="25"/>
      <c r="C123" s="25"/>
      <c r="D123" t="s">
        <v>86</v>
      </c>
      <c r="E123" t="s">
        <v>46</v>
      </c>
      <c r="F123" t="s">
        <v>87</v>
      </c>
      <c r="G123" t="s">
        <v>88</v>
      </c>
      <c r="H123" t="s">
        <v>89</v>
      </c>
    </row>
    <row r="124" spans="1:9" x14ac:dyDescent="0.25">
      <c r="A124" s="16"/>
      <c r="B124" s="25"/>
      <c r="C124" s="25"/>
      <c r="D124" t="s">
        <v>86</v>
      </c>
      <c r="E124" t="s">
        <v>46</v>
      </c>
      <c r="F124" t="s">
        <v>87</v>
      </c>
      <c r="G124" t="s">
        <v>88</v>
      </c>
      <c r="H124" t="s">
        <v>89</v>
      </c>
    </row>
    <row r="125" spans="1:9" x14ac:dyDescent="0.25">
      <c r="A125" s="16"/>
      <c r="B125" s="25"/>
      <c r="C125" s="25"/>
      <c r="D125" t="s">
        <v>86</v>
      </c>
      <c r="E125" t="s">
        <v>46</v>
      </c>
      <c r="F125" t="s">
        <v>87</v>
      </c>
      <c r="G125" t="s">
        <v>88</v>
      </c>
      <c r="H125" t="s">
        <v>89</v>
      </c>
    </row>
    <row r="126" spans="1:9" x14ac:dyDescent="0.25">
      <c r="A126" s="16"/>
      <c r="B126" s="25"/>
      <c r="C126" s="25"/>
      <c r="D126" t="s">
        <v>86</v>
      </c>
      <c r="E126" t="s">
        <v>46</v>
      </c>
      <c r="F126" t="s">
        <v>87</v>
      </c>
      <c r="G126" t="s">
        <v>88</v>
      </c>
      <c r="H126" t="s">
        <v>89</v>
      </c>
    </row>
    <row r="127" spans="1:9" x14ac:dyDescent="0.25">
      <c r="A127" s="16"/>
      <c r="B127" s="25"/>
      <c r="C127" s="25"/>
      <c r="D127" t="s">
        <v>86</v>
      </c>
      <c r="E127" t="s">
        <v>46</v>
      </c>
      <c r="F127" t="s">
        <v>87</v>
      </c>
      <c r="G127" t="s">
        <v>88</v>
      </c>
      <c r="H127" t="s">
        <v>89</v>
      </c>
    </row>
    <row r="128" spans="1:9" x14ac:dyDescent="0.25">
      <c r="A128" s="16"/>
      <c r="B128" s="25"/>
      <c r="C128" s="25"/>
      <c r="D128" t="s">
        <v>86</v>
      </c>
      <c r="E128" t="s">
        <v>46</v>
      </c>
      <c r="F128" t="s">
        <v>87</v>
      </c>
      <c r="G128" t="s">
        <v>88</v>
      </c>
      <c r="H128" t="s">
        <v>89</v>
      </c>
    </row>
    <row r="129" spans="1:9" x14ac:dyDescent="0.25">
      <c r="A129" s="16"/>
      <c r="B129" s="25"/>
      <c r="C129" s="25"/>
      <c r="D129" t="s">
        <v>86</v>
      </c>
      <c r="E129" t="s">
        <v>46</v>
      </c>
      <c r="F129" t="s">
        <v>87</v>
      </c>
      <c r="G129" t="s">
        <v>88</v>
      </c>
      <c r="H129" t="s">
        <v>89</v>
      </c>
    </row>
    <row r="130" spans="1:9" x14ac:dyDescent="0.25">
      <c r="A130" s="16"/>
      <c r="B130" s="25"/>
      <c r="C130" s="25"/>
      <c r="D130" t="s">
        <v>86</v>
      </c>
      <c r="E130" t="s">
        <v>46</v>
      </c>
      <c r="F130" t="s">
        <v>87</v>
      </c>
      <c r="G130" t="s">
        <v>88</v>
      </c>
      <c r="H130" t="s">
        <v>89</v>
      </c>
    </row>
    <row r="131" spans="1:9" x14ac:dyDescent="0.25">
      <c r="A131" s="16"/>
      <c r="B131" s="25"/>
      <c r="C131" s="25"/>
      <c r="D131" t="s">
        <v>86</v>
      </c>
      <c r="E131" t="s">
        <v>46</v>
      </c>
      <c r="F131" t="s">
        <v>87</v>
      </c>
      <c r="G131" t="s">
        <v>88</v>
      </c>
      <c r="H131" t="s">
        <v>89</v>
      </c>
    </row>
    <row r="132" spans="1:9" x14ac:dyDescent="0.25">
      <c r="A132" s="16"/>
      <c r="B132" s="25"/>
      <c r="C132" s="25"/>
      <c r="D132" t="s">
        <v>86</v>
      </c>
      <c r="E132" t="s">
        <v>46</v>
      </c>
      <c r="F132" t="s">
        <v>87</v>
      </c>
      <c r="G132" t="s">
        <v>88</v>
      </c>
      <c r="H132" t="s">
        <v>89</v>
      </c>
    </row>
    <row r="133" spans="1:9" x14ac:dyDescent="0.25">
      <c r="A133" s="16"/>
      <c r="B133" s="25"/>
      <c r="C133" s="25"/>
      <c r="D133" t="s">
        <v>86</v>
      </c>
      <c r="E133" t="s">
        <v>46</v>
      </c>
      <c r="F133" t="s">
        <v>87</v>
      </c>
      <c r="G133" t="s">
        <v>88</v>
      </c>
      <c r="H133" t="s">
        <v>89</v>
      </c>
    </row>
    <row r="134" spans="1:9" x14ac:dyDescent="0.25">
      <c r="A134" s="16"/>
      <c r="B134" s="25"/>
      <c r="C134" s="25"/>
      <c r="D134" t="s">
        <v>86</v>
      </c>
      <c r="E134" t="s">
        <v>46</v>
      </c>
      <c r="F134" t="s">
        <v>87</v>
      </c>
      <c r="G134" t="s">
        <v>88</v>
      </c>
      <c r="H134" t="s">
        <v>89</v>
      </c>
    </row>
    <row r="135" spans="1:9" x14ac:dyDescent="0.25">
      <c r="A135" s="16"/>
      <c r="B135" s="25"/>
      <c r="C135" s="25"/>
      <c r="D135" t="s">
        <v>86</v>
      </c>
      <c r="E135" t="s">
        <v>46</v>
      </c>
      <c r="F135" t="s">
        <v>87</v>
      </c>
      <c r="G135" t="s">
        <v>88</v>
      </c>
      <c r="H135" t="s">
        <v>89</v>
      </c>
    </row>
    <row r="136" spans="1:9" x14ac:dyDescent="0.25">
      <c r="A136" s="16"/>
      <c r="B136" s="25"/>
      <c r="C136" s="25"/>
      <c r="D136" t="s">
        <v>86</v>
      </c>
      <c r="E136" t="s">
        <v>46</v>
      </c>
      <c r="F136" t="s">
        <v>87</v>
      </c>
      <c r="G136" t="s">
        <v>88</v>
      </c>
      <c r="H136" t="s">
        <v>89</v>
      </c>
    </row>
    <row r="137" spans="1:9" x14ac:dyDescent="0.25">
      <c r="A137" s="16"/>
      <c r="B137" s="25"/>
      <c r="C137" s="25"/>
      <c r="D137" t="s">
        <v>86</v>
      </c>
      <c r="E137" t="s">
        <v>46</v>
      </c>
      <c r="F137" t="s">
        <v>87</v>
      </c>
      <c r="G137" t="s">
        <v>88</v>
      </c>
      <c r="H137" t="s">
        <v>89</v>
      </c>
    </row>
    <row r="138" spans="1:9" x14ac:dyDescent="0.25">
      <c r="A138" s="16"/>
      <c r="B138" s="25"/>
      <c r="C138" s="25"/>
      <c r="D138" t="s">
        <v>86</v>
      </c>
      <c r="E138" t="s">
        <v>46</v>
      </c>
      <c r="F138" t="s">
        <v>87</v>
      </c>
      <c r="G138" t="s">
        <v>88</v>
      </c>
      <c r="H138" t="s">
        <v>89</v>
      </c>
    </row>
    <row r="139" spans="1:9" x14ac:dyDescent="0.25">
      <c r="A139" s="16"/>
      <c r="B139" s="25"/>
      <c r="C139" s="25"/>
      <c r="D139" t="s">
        <v>86</v>
      </c>
      <c r="E139" t="s">
        <v>46</v>
      </c>
      <c r="F139" t="s">
        <v>87</v>
      </c>
      <c r="G139" t="s">
        <v>88</v>
      </c>
      <c r="H139" t="s">
        <v>89</v>
      </c>
    </row>
    <row r="140" spans="1:9" x14ac:dyDescent="0.25">
      <c r="A140" s="16"/>
      <c r="B140" s="25"/>
      <c r="C140" s="25"/>
      <c r="D140" t="s">
        <v>86</v>
      </c>
      <c r="E140" t="s">
        <v>46</v>
      </c>
      <c r="F140" t="s">
        <v>87</v>
      </c>
      <c r="G140" t="s">
        <v>88</v>
      </c>
      <c r="H140" t="s">
        <v>89</v>
      </c>
    </row>
    <row r="141" spans="1:9" x14ac:dyDescent="0.25">
      <c r="A141" s="16"/>
      <c r="B141" s="25"/>
      <c r="C141" s="25"/>
      <c r="D141" t="s">
        <v>86</v>
      </c>
      <c r="E141" t="s">
        <v>46</v>
      </c>
      <c r="F141" t="s">
        <v>87</v>
      </c>
      <c r="G141" t="s">
        <v>88</v>
      </c>
      <c r="H141" t="s">
        <v>89</v>
      </c>
    </row>
    <row r="142" spans="1:9" x14ac:dyDescent="0.25">
      <c r="A142" s="16"/>
      <c r="B142" s="25"/>
      <c r="C142" s="25"/>
      <c r="D142" t="s">
        <v>86</v>
      </c>
      <c r="E142" t="s">
        <v>46</v>
      </c>
      <c r="F142" t="s">
        <v>87</v>
      </c>
      <c r="G142" t="s">
        <v>88</v>
      </c>
      <c r="H142" t="s">
        <v>89</v>
      </c>
    </row>
    <row r="143" spans="1:9" x14ac:dyDescent="0.25">
      <c r="A143" s="16"/>
      <c r="B143" s="25"/>
      <c r="C143" s="25"/>
      <c r="D143" t="s">
        <v>86</v>
      </c>
      <c r="E143" t="s">
        <v>46</v>
      </c>
      <c r="F143" t="s">
        <v>87</v>
      </c>
      <c r="G143" t="s">
        <v>88</v>
      </c>
      <c r="H143" t="s">
        <v>89</v>
      </c>
    </row>
    <row r="144" spans="1:9" x14ac:dyDescent="0.25">
      <c r="A144" s="16"/>
      <c r="B144" s="25"/>
      <c r="C144" s="25"/>
      <c r="D144" t="s">
        <v>86</v>
      </c>
      <c r="E144" t="s">
        <v>46</v>
      </c>
      <c r="F144" t="s">
        <v>87</v>
      </c>
      <c r="G144" t="s">
        <v>88</v>
      </c>
      <c r="H144" t="s">
        <v>89</v>
      </c>
    </row>
    <row r="145" spans="1:9" x14ac:dyDescent="0.25">
      <c r="A145" s="16"/>
      <c r="B145" s="25"/>
      <c r="C145" s="25"/>
      <c r="D145" t="s">
        <v>86</v>
      </c>
      <c r="E145" t="s">
        <v>46</v>
      </c>
      <c r="F145" t="s">
        <v>87</v>
      </c>
      <c r="G145" t="s">
        <v>88</v>
      </c>
      <c r="H145" t="s">
        <v>89</v>
      </c>
    </row>
    <row r="146" spans="1:9" x14ac:dyDescent="0.25">
      <c r="A146" s="16"/>
      <c r="B146" s="25"/>
      <c r="C146" s="25"/>
      <c r="D146" t="s">
        <v>86</v>
      </c>
      <c r="E146" t="s">
        <v>46</v>
      </c>
      <c r="F146" t="s">
        <v>87</v>
      </c>
      <c r="G146" t="s">
        <v>88</v>
      </c>
      <c r="H146" t="s">
        <v>89</v>
      </c>
    </row>
    <row r="147" spans="1:9" x14ac:dyDescent="0.25">
      <c r="A147" s="16"/>
      <c r="B147" s="25"/>
      <c r="C147" s="25"/>
      <c r="D147" t="s">
        <v>86</v>
      </c>
      <c r="E147" t="s">
        <v>46</v>
      </c>
      <c r="F147" t="s">
        <v>87</v>
      </c>
      <c r="G147" t="s">
        <v>88</v>
      </c>
      <c r="H147" t="s">
        <v>89</v>
      </c>
    </row>
    <row r="148" spans="1:9" x14ac:dyDescent="0.25">
      <c r="A148" s="16"/>
      <c r="B148" s="25"/>
      <c r="C148" s="25"/>
      <c r="D148" t="s">
        <v>86</v>
      </c>
      <c r="E148" t="s">
        <v>46</v>
      </c>
      <c r="F148" t="s">
        <v>87</v>
      </c>
      <c r="G148" t="s">
        <v>88</v>
      </c>
      <c r="H148" t="s">
        <v>89</v>
      </c>
    </row>
    <row r="149" spans="1:9" x14ac:dyDescent="0.25">
      <c r="A149" s="16"/>
      <c r="B149" s="25"/>
      <c r="C149" s="25"/>
      <c r="D149" t="s">
        <v>86</v>
      </c>
      <c r="E149" t="s">
        <v>46</v>
      </c>
      <c r="F149" t="s">
        <v>87</v>
      </c>
      <c r="G149" t="s">
        <v>88</v>
      </c>
      <c r="H149" t="s">
        <v>89</v>
      </c>
    </row>
    <row r="150" spans="1:9" x14ac:dyDescent="0.25">
      <c r="A150" s="16"/>
      <c r="B150" s="25"/>
      <c r="C150" s="25"/>
      <c r="D150" t="s">
        <v>86</v>
      </c>
      <c r="E150" t="s">
        <v>46</v>
      </c>
      <c r="F150" t="s">
        <v>87</v>
      </c>
      <c r="G150" t="s">
        <v>88</v>
      </c>
      <c r="H150" t="s">
        <v>89</v>
      </c>
    </row>
    <row r="151" spans="1:9" x14ac:dyDescent="0.25">
      <c r="A151" s="16"/>
      <c r="B151" s="25"/>
      <c r="C151" s="25"/>
      <c r="D151" t="s">
        <v>86</v>
      </c>
      <c r="E151" t="s">
        <v>46</v>
      </c>
      <c r="F151" t="s">
        <v>87</v>
      </c>
      <c r="G151" t="s">
        <v>88</v>
      </c>
      <c r="H151" t="s">
        <v>89</v>
      </c>
    </row>
    <row r="152" spans="1:9" x14ac:dyDescent="0.25">
      <c r="A152" s="16"/>
      <c r="B152" s="25"/>
      <c r="C152" s="25"/>
      <c r="D152" t="s">
        <v>86</v>
      </c>
      <c r="E152" t="s">
        <v>46</v>
      </c>
      <c r="F152" t="s">
        <v>87</v>
      </c>
      <c r="G152" t="s">
        <v>88</v>
      </c>
      <c r="H152" t="s">
        <v>89</v>
      </c>
    </row>
    <row r="153" spans="1:9" x14ac:dyDescent="0.25">
      <c r="A153" s="16"/>
      <c r="B153" s="25"/>
      <c r="C153" s="25"/>
      <c r="D153" t="s">
        <v>86</v>
      </c>
      <c r="E153" t="s">
        <v>46</v>
      </c>
      <c r="F153" t="s">
        <v>87</v>
      </c>
      <c r="G153" t="s">
        <v>88</v>
      </c>
      <c r="H153" t="s">
        <v>89</v>
      </c>
    </row>
    <row r="154" spans="1:9" x14ac:dyDescent="0.25">
      <c r="A154" s="16"/>
      <c r="B154" s="25"/>
      <c r="C154" s="25"/>
      <c r="D154" t="s">
        <v>86</v>
      </c>
      <c r="E154" t="s">
        <v>46</v>
      </c>
      <c r="F154" t="s">
        <v>87</v>
      </c>
      <c r="G154" t="s">
        <v>88</v>
      </c>
      <c r="H154" t="s">
        <v>89</v>
      </c>
    </row>
    <row r="155" spans="1:9" x14ac:dyDescent="0.25">
      <c r="A155" s="16"/>
      <c r="B155" s="25"/>
      <c r="C155" s="25"/>
      <c r="D155" t="s">
        <v>86</v>
      </c>
      <c r="E155" t="s">
        <v>46</v>
      </c>
      <c r="F155" t="s">
        <v>87</v>
      </c>
      <c r="G155" t="s">
        <v>88</v>
      </c>
      <c r="H155" t="s">
        <v>89</v>
      </c>
    </row>
    <row r="156" spans="1:9" x14ac:dyDescent="0.25">
      <c r="A156" s="16"/>
      <c r="B156" s="25"/>
      <c r="C156" s="25"/>
      <c r="D156" t="s">
        <v>86</v>
      </c>
      <c r="E156" t="s">
        <v>46</v>
      </c>
      <c r="F156" t="s">
        <v>87</v>
      </c>
      <c r="G156" t="s">
        <v>88</v>
      </c>
      <c r="H156" t="s">
        <v>89</v>
      </c>
    </row>
    <row r="157" spans="1:9" x14ac:dyDescent="0.25">
      <c r="A157" s="16"/>
      <c r="B157" s="25"/>
      <c r="C157" s="25"/>
      <c r="D157" t="s">
        <v>86</v>
      </c>
      <c r="E157" t="s">
        <v>46</v>
      </c>
      <c r="F157" t="s">
        <v>87</v>
      </c>
      <c r="G157" t="s">
        <v>88</v>
      </c>
      <c r="H157" t="s">
        <v>89</v>
      </c>
    </row>
    <row r="158" spans="1:9" x14ac:dyDescent="0.25">
      <c r="A158" s="16"/>
      <c r="B158" s="25"/>
      <c r="C158" s="25"/>
      <c r="D158" t="s">
        <v>86</v>
      </c>
      <c r="E158" t="s">
        <v>46</v>
      </c>
      <c r="F158" t="s">
        <v>87</v>
      </c>
      <c r="G158" t="s">
        <v>88</v>
      </c>
      <c r="H158" t="s">
        <v>89</v>
      </c>
    </row>
    <row r="159" spans="1:9" x14ac:dyDescent="0.25">
      <c r="A159" s="16"/>
      <c r="B159" s="25"/>
      <c r="C159" s="25"/>
      <c r="D159" t="s">
        <v>86</v>
      </c>
      <c r="E159" t="s">
        <v>46</v>
      </c>
      <c r="F159" t="s">
        <v>87</v>
      </c>
      <c r="G159" t="s">
        <v>88</v>
      </c>
      <c r="H159" t="s">
        <v>89</v>
      </c>
    </row>
    <row r="160" spans="1:9" x14ac:dyDescent="0.25">
      <c r="A160" s="16"/>
      <c r="B160" s="25"/>
      <c r="C160" s="25"/>
      <c r="D160" t="s">
        <v>86</v>
      </c>
      <c r="E160" t="s">
        <v>46</v>
      </c>
      <c r="F160" t="s">
        <v>87</v>
      </c>
      <c r="G160" t="s">
        <v>88</v>
      </c>
      <c r="H160" t="s">
        <v>89</v>
      </c>
    </row>
    <row r="161" spans="1:9" x14ac:dyDescent="0.25">
      <c r="A161" s="16"/>
      <c r="B161" s="25"/>
      <c r="C161" s="25"/>
      <c r="D161" t="s">
        <v>86</v>
      </c>
      <c r="E161" t="s">
        <v>46</v>
      </c>
      <c r="F161" t="s">
        <v>87</v>
      </c>
      <c r="G161" t="s">
        <v>88</v>
      </c>
      <c r="H161" t="s">
        <v>89</v>
      </c>
    </row>
    <row r="162" spans="1:9" x14ac:dyDescent="0.25">
      <c r="A162" s="16"/>
      <c r="B162" s="25"/>
      <c r="C162" s="25"/>
      <c r="D162" t="s">
        <v>86</v>
      </c>
      <c r="E162" t="s">
        <v>46</v>
      </c>
      <c r="F162" t="s">
        <v>87</v>
      </c>
      <c r="G162" t="s">
        <v>88</v>
      </c>
      <c r="H162" t="s">
        <v>89</v>
      </c>
    </row>
    <row r="163" spans="1:9" x14ac:dyDescent="0.25">
      <c r="A163" s="16"/>
      <c r="B163" s="25"/>
      <c r="C163" s="25"/>
      <c r="D163" t="s">
        <v>86</v>
      </c>
      <c r="E163" t="s">
        <v>46</v>
      </c>
      <c r="F163" t="s">
        <v>87</v>
      </c>
      <c r="G163" t="s">
        <v>88</v>
      </c>
      <c r="H163" t="s">
        <v>89</v>
      </c>
    </row>
    <row r="164" spans="1:9" x14ac:dyDescent="0.25">
      <c r="A164" s="16"/>
      <c r="B164" s="25"/>
      <c r="C164" s="25"/>
      <c r="D164" t="s">
        <v>86</v>
      </c>
      <c r="E164" t="s">
        <v>46</v>
      </c>
      <c r="F164" t="s">
        <v>87</v>
      </c>
      <c r="G164" t="s">
        <v>88</v>
      </c>
      <c r="H164" t="s">
        <v>89</v>
      </c>
    </row>
    <row r="165" spans="1:9" x14ac:dyDescent="0.25">
      <c r="A165" s="16"/>
      <c r="B165" s="25"/>
      <c r="C165" s="25"/>
      <c r="D165" t="s">
        <v>86</v>
      </c>
      <c r="E165" t="s">
        <v>46</v>
      </c>
      <c r="F165" t="s">
        <v>87</v>
      </c>
      <c r="G165" t="s">
        <v>88</v>
      </c>
      <c r="H165" t="s">
        <v>89</v>
      </c>
    </row>
    <row r="166" spans="1:9" x14ac:dyDescent="0.25">
      <c r="A166" s="16"/>
      <c r="B166" s="25"/>
      <c r="C166" s="25"/>
      <c r="D166" t="s">
        <v>86</v>
      </c>
      <c r="E166" t="s">
        <v>46</v>
      </c>
      <c r="F166" t="s">
        <v>87</v>
      </c>
      <c r="G166" t="s">
        <v>88</v>
      </c>
      <c r="H166" t="s">
        <v>89</v>
      </c>
    </row>
    <row r="167" spans="1:9" x14ac:dyDescent="0.25">
      <c r="A167" s="16"/>
      <c r="B167" s="25"/>
      <c r="C167" s="25"/>
      <c r="D167" t="s">
        <v>86</v>
      </c>
      <c r="E167" t="s">
        <v>46</v>
      </c>
      <c r="F167" t="s">
        <v>87</v>
      </c>
      <c r="G167" t="s">
        <v>88</v>
      </c>
      <c r="H167" t="s">
        <v>89</v>
      </c>
    </row>
    <row r="168" spans="1:9" x14ac:dyDescent="0.25">
      <c r="A168" s="16"/>
      <c r="B168" s="25"/>
      <c r="C168" s="25"/>
      <c r="D168" t="s">
        <v>86</v>
      </c>
      <c r="E168" t="s">
        <v>46</v>
      </c>
      <c r="F168" t="s">
        <v>87</v>
      </c>
      <c r="G168" t="s">
        <v>88</v>
      </c>
      <c r="H168" t="s">
        <v>89</v>
      </c>
    </row>
    <row r="169" spans="1:9" x14ac:dyDescent="0.25">
      <c r="A169" s="16"/>
      <c r="B169" s="25"/>
      <c r="C169" s="25"/>
      <c r="D169" t="s">
        <v>86</v>
      </c>
      <c r="E169" t="s">
        <v>46</v>
      </c>
      <c r="F169" t="s">
        <v>87</v>
      </c>
      <c r="G169" t="s">
        <v>88</v>
      </c>
      <c r="H169" t="s">
        <v>89</v>
      </c>
    </row>
    <row r="170" spans="1:9" x14ac:dyDescent="0.25">
      <c r="A170" s="16"/>
      <c r="B170" s="25"/>
      <c r="C170" s="25"/>
      <c r="D170" t="s">
        <v>86</v>
      </c>
      <c r="E170" t="s">
        <v>46</v>
      </c>
      <c r="F170" t="s">
        <v>87</v>
      </c>
      <c r="G170" t="s">
        <v>88</v>
      </c>
      <c r="H170" t="s">
        <v>89</v>
      </c>
    </row>
    <row r="171" spans="1:9" x14ac:dyDescent="0.25">
      <c r="A171" s="16"/>
      <c r="B171" s="25"/>
      <c r="C171" s="25"/>
      <c r="D171" t="s">
        <v>86</v>
      </c>
      <c r="E171" t="s">
        <v>46</v>
      </c>
      <c r="F171" t="s">
        <v>87</v>
      </c>
      <c r="G171" t="s">
        <v>88</v>
      </c>
      <c r="H171" t="s">
        <v>89</v>
      </c>
    </row>
    <row r="172" spans="1:9" x14ac:dyDescent="0.25">
      <c r="A172" s="16"/>
      <c r="B172" s="25"/>
      <c r="C172" s="25"/>
      <c r="D172" t="s">
        <v>86</v>
      </c>
      <c r="E172" t="s">
        <v>46</v>
      </c>
      <c r="F172" t="s">
        <v>87</v>
      </c>
      <c r="G172" t="s">
        <v>88</v>
      </c>
      <c r="H172" t="s">
        <v>89</v>
      </c>
    </row>
    <row r="173" spans="1:9" x14ac:dyDescent="0.25">
      <c r="A173" s="16"/>
      <c r="B173" s="25"/>
      <c r="C173" s="25"/>
      <c r="D173" t="s">
        <v>86</v>
      </c>
      <c r="E173" t="s">
        <v>46</v>
      </c>
      <c r="F173" t="s">
        <v>87</v>
      </c>
      <c r="G173" t="s">
        <v>88</v>
      </c>
      <c r="H173" t="s">
        <v>89</v>
      </c>
    </row>
    <row r="174" spans="1:9" x14ac:dyDescent="0.25">
      <c r="A174" s="16"/>
      <c r="B174" s="25"/>
      <c r="C174" s="25"/>
      <c r="D174" t="s">
        <v>86</v>
      </c>
      <c r="E174" t="s">
        <v>46</v>
      </c>
      <c r="F174" t="s">
        <v>87</v>
      </c>
      <c r="G174" t="s">
        <v>88</v>
      </c>
      <c r="H174" t="s">
        <v>89</v>
      </c>
    </row>
    <row r="175" spans="1:9" x14ac:dyDescent="0.25">
      <c r="A175" s="16"/>
      <c r="B175" s="25"/>
      <c r="C175" s="25"/>
      <c r="D175" t="s">
        <v>86</v>
      </c>
      <c r="E175" t="s">
        <v>46</v>
      </c>
      <c r="F175" t="s">
        <v>87</v>
      </c>
      <c r="G175" t="s">
        <v>88</v>
      </c>
      <c r="H175" t="s">
        <v>89</v>
      </c>
    </row>
    <row r="176" spans="1:9" x14ac:dyDescent="0.25">
      <c r="A176" s="16"/>
      <c r="B176" s="25"/>
      <c r="C176" s="25"/>
      <c r="D176" t="s">
        <v>86</v>
      </c>
      <c r="E176" t="s">
        <v>46</v>
      </c>
      <c r="F176" t="s">
        <v>87</v>
      </c>
      <c r="G176" t="s">
        <v>88</v>
      </c>
      <c r="H176" t="s">
        <v>89</v>
      </c>
    </row>
    <row r="177" spans="1:9" x14ac:dyDescent="0.25">
      <c r="A177" s="16"/>
      <c r="B177" s="25"/>
      <c r="C177" s="25"/>
      <c r="D177" t="s">
        <v>86</v>
      </c>
      <c r="E177" t="s">
        <v>46</v>
      </c>
      <c r="F177" t="s">
        <v>87</v>
      </c>
      <c r="G177" t="s">
        <v>88</v>
      </c>
      <c r="H177" t="s">
        <v>89</v>
      </c>
    </row>
    <row r="178" spans="1:9" x14ac:dyDescent="0.25">
      <c r="A178" s="16"/>
      <c r="B178" s="25"/>
      <c r="C178" s="25"/>
      <c r="D178" t="s">
        <v>86</v>
      </c>
      <c r="E178" t="s">
        <v>46</v>
      </c>
      <c r="F178" t="s">
        <v>87</v>
      </c>
      <c r="G178" t="s">
        <v>88</v>
      </c>
      <c r="H178" t="s">
        <v>89</v>
      </c>
    </row>
    <row r="179" spans="1:9" x14ac:dyDescent="0.25">
      <c r="A179" s="16"/>
      <c r="B179" s="25"/>
      <c r="C179" s="25"/>
      <c r="D179" t="s">
        <v>86</v>
      </c>
      <c r="E179" t="s">
        <v>46</v>
      </c>
      <c r="F179" t="s">
        <v>87</v>
      </c>
      <c r="G179" t="s">
        <v>88</v>
      </c>
      <c r="H179" t="s">
        <v>89</v>
      </c>
    </row>
    <row r="180" spans="1:9" x14ac:dyDescent="0.25">
      <c r="A180" s="16"/>
      <c r="B180" s="25"/>
      <c r="C180" s="25"/>
      <c r="D180" t="s">
        <v>86</v>
      </c>
      <c r="E180" t="s">
        <v>46</v>
      </c>
      <c r="F180" t="s">
        <v>87</v>
      </c>
      <c r="G180" t="s">
        <v>88</v>
      </c>
      <c r="H180" t="s">
        <v>89</v>
      </c>
    </row>
    <row r="181" spans="1:9" x14ac:dyDescent="0.25">
      <c r="A181" s="16"/>
      <c r="B181" s="25"/>
      <c r="C181" s="25"/>
      <c r="D181" t="s">
        <v>86</v>
      </c>
      <c r="E181" t="s">
        <v>46</v>
      </c>
      <c r="F181" t="s">
        <v>87</v>
      </c>
      <c r="G181" t="s">
        <v>88</v>
      </c>
      <c r="H181" t="s">
        <v>89</v>
      </c>
    </row>
    <row r="182" spans="1:9" x14ac:dyDescent="0.25">
      <c r="A182" s="16"/>
      <c r="B182" s="25"/>
      <c r="C182" s="25"/>
      <c r="D182" t="s">
        <v>86</v>
      </c>
      <c r="E182" t="s">
        <v>46</v>
      </c>
      <c r="F182" t="s">
        <v>87</v>
      </c>
      <c r="G182" t="s">
        <v>88</v>
      </c>
      <c r="H182" t="s">
        <v>89</v>
      </c>
    </row>
    <row r="183" spans="1:9" x14ac:dyDescent="0.25">
      <c r="A183" s="16"/>
      <c r="B183" s="25"/>
      <c r="C183" s="25"/>
      <c r="D183" t="s">
        <v>86</v>
      </c>
      <c r="E183" t="s">
        <v>46</v>
      </c>
      <c r="F183" t="s">
        <v>87</v>
      </c>
      <c r="G183" t="s">
        <v>88</v>
      </c>
      <c r="H183" t="s">
        <v>89</v>
      </c>
    </row>
    <row r="184" spans="1:9" x14ac:dyDescent="0.25">
      <c r="A184" s="16"/>
      <c r="B184" s="25"/>
      <c r="C184" s="25"/>
      <c r="D184" t="s">
        <v>86</v>
      </c>
      <c r="E184" t="s">
        <v>46</v>
      </c>
      <c r="F184" t="s">
        <v>87</v>
      </c>
      <c r="G184" t="s">
        <v>88</v>
      </c>
      <c r="H184" t="s">
        <v>89</v>
      </c>
    </row>
    <row r="185" spans="1:9" x14ac:dyDescent="0.25">
      <c r="A185" s="16"/>
      <c r="B185" s="25"/>
      <c r="C185" s="25"/>
      <c r="D185" t="s">
        <v>86</v>
      </c>
      <c r="E185" t="s">
        <v>46</v>
      </c>
      <c r="F185" t="s">
        <v>87</v>
      </c>
      <c r="G185" t="s">
        <v>88</v>
      </c>
      <c r="H185" t="s">
        <v>89</v>
      </c>
    </row>
    <row r="186" spans="1:9" x14ac:dyDescent="0.25">
      <c r="A186" s="16"/>
      <c r="B186" s="25"/>
      <c r="C186" s="25"/>
      <c r="D186" t="s">
        <v>86</v>
      </c>
      <c r="E186" t="s">
        <v>46</v>
      </c>
      <c r="F186" t="s">
        <v>87</v>
      </c>
      <c r="G186" t="s">
        <v>88</v>
      </c>
      <c r="H186" t="s">
        <v>89</v>
      </c>
    </row>
    <row r="187" spans="1:9" x14ac:dyDescent="0.25">
      <c r="A187" s="16"/>
      <c r="B187" s="25"/>
      <c r="C187" s="25"/>
      <c r="D187" t="s">
        <v>86</v>
      </c>
      <c r="E187" t="s">
        <v>46</v>
      </c>
      <c r="F187" t="s">
        <v>87</v>
      </c>
      <c r="G187" t="s">
        <v>88</v>
      </c>
      <c r="H187" t="s">
        <v>89</v>
      </c>
    </row>
    <row r="188" spans="1:9" x14ac:dyDescent="0.25">
      <c r="A188" s="16"/>
      <c r="B188" s="25"/>
      <c r="C188" s="25"/>
      <c r="D188" t="s">
        <v>86</v>
      </c>
      <c r="E188" t="s">
        <v>46</v>
      </c>
      <c r="F188" t="s">
        <v>87</v>
      </c>
      <c r="G188" t="s">
        <v>88</v>
      </c>
      <c r="H188" t="s">
        <v>89</v>
      </c>
    </row>
    <row r="189" spans="1:9" x14ac:dyDescent="0.25">
      <c r="A189" s="16"/>
      <c r="B189" s="25"/>
      <c r="C189" s="25"/>
      <c r="D189" t="s">
        <v>86</v>
      </c>
      <c r="E189" t="s">
        <v>46</v>
      </c>
      <c r="F189" t="s">
        <v>87</v>
      </c>
      <c r="G189" t="s">
        <v>88</v>
      </c>
      <c r="H189" t="s">
        <v>89</v>
      </c>
    </row>
    <row r="190" spans="1:9" x14ac:dyDescent="0.25">
      <c r="A190" s="16"/>
      <c r="B190" s="25"/>
      <c r="C190" s="25"/>
      <c r="D190" t="s">
        <v>86</v>
      </c>
      <c r="E190" t="s">
        <v>46</v>
      </c>
      <c r="F190" t="s">
        <v>87</v>
      </c>
      <c r="G190" t="s">
        <v>88</v>
      </c>
      <c r="H190" t="s">
        <v>89</v>
      </c>
    </row>
    <row r="191" spans="1:9" x14ac:dyDescent="0.25">
      <c r="A191" s="16"/>
      <c r="B191" s="25"/>
      <c r="C191" s="25"/>
      <c r="D191" t="s">
        <v>86</v>
      </c>
      <c r="E191" t="s">
        <v>46</v>
      </c>
      <c r="F191" t="s">
        <v>87</v>
      </c>
      <c r="G191" t="s">
        <v>88</v>
      </c>
      <c r="H191" t="s">
        <v>89</v>
      </c>
    </row>
    <row r="192" spans="1:9" x14ac:dyDescent="0.25">
      <c r="A192" s="16"/>
      <c r="B192" s="25"/>
      <c r="C192" s="25"/>
      <c r="D192" t="s">
        <v>86</v>
      </c>
      <c r="E192" t="s">
        <v>46</v>
      </c>
      <c r="F192" t="s">
        <v>87</v>
      </c>
      <c r="G192" t="s">
        <v>88</v>
      </c>
      <c r="H192" t="s">
        <v>89</v>
      </c>
    </row>
    <row r="193" spans="1:9" x14ac:dyDescent="0.25">
      <c r="A193" s="16"/>
      <c r="B193" s="25"/>
      <c r="C193" s="25"/>
      <c r="D193" t="s">
        <v>86</v>
      </c>
      <c r="E193" t="s">
        <v>46</v>
      </c>
      <c r="F193" t="s">
        <v>87</v>
      </c>
      <c r="G193" t="s">
        <v>88</v>
      </c>
      <c r="H193" t="s">
        <v>89</v>
      </c>
    </row>
    <row r="194" spans="1:9" x14ac:dyDescent="0.25">
      <c r="A194" s="16"/>
      <c r="B194" s="25"/>
      <c r="C194" s="25"/>
      <c r="D194" t="s">
        <v>86</v>
      </c>
      <c r="E194" t="s">
        <v>46</v>
      </c>
      <c r="F194" t="s">
        <v>87</v>
      </c>
      <c r="G194" t="s">
        <v>88</v>
      </c>
      <c r="H194" t="s">
        <v>89</v>
      </c>
    </row>
    <row r="195" spans="1:9" x14ac:dyDescent="0.25">
      <c r="A195" s="16"/>
      <c r="B195" s="25"/>
      <c r="C195" s="25"/>
      <c r="D195" t="s">
        <v>86</v>
      </c>
      <c r="E195" t="s">
        <v>46</v>
      </c>
      <c r="F195" t="s">
        <v>87</v>
      </c>
      <c r="G195" t="s">
        <v>88</v>
      </c>
      <c r="H195" t="s">
        <v>89</v>
      </c>
    </row>
    <row r="196" spans="1:9" x14ac:dyDescent="0.25">
      <c r="A196" s="16"/>
      <c r="B196" s="25"/>
      <c r="C196" s="25"/>
      <c r="D196" t="s">
        <v>86</v>
      </c>
      <c r="E196" t="s">
        <v>46</v>
      </c>
      <c r="F196" t="s">
        <v>87</v>
      </c>
      <c r="G196" t="s">
        <v>88</v>
      </c>
      <c r="H196" t="s">
        <v>89</v>
      </c>
    </row>
    <row r="197" spans="1:9" x14ac:dyDescent="0.25">
      <c r="A197" s="16"/>
      <c r="B197" s="25"/>
      <c r="C197" s="25"/>
      <c r="D197" t="s">
        <v>86</v>
      </c>
      <c r="E197" t="s">
        <v>46</v>
      </c>
      <c r="F197" t="s">
        <v>87</v>
      </c>
      <c r="G197" t="s">
        <v>88</v>
      </c>
      <c r="H197" t="s">
        <v>89</v>
      </c>
    </row>
    <row r="198" spans="1:9" x14ac:dyDescent="0.25">
      <c r="A198" s="16"/>
      <c r="B198" s="25"/>
      <c r="C198" s="25"/>
      <c r="D198" t="s">
        <v>86</v>
      </c>
      <c r="E198" t="s">
        <v>46</v>
      </c>
      <c r="F198" t="s">
        <v>87</v>
      </c>
      <c r="G198" t="s">
        <v>88</v>
      </c>
      <c r="H198" t="s">
        <v>89</v>
      </c>
    </row>
    <row r="199" spans="1:9" x14ac:dyDescent="0.25">
      <c r="A199" s="16"/>
      <c r="B199" s="25"/>
      <c r="C199" s="25"/>
      <c r="D199" t="s">
        <v>86</v>
      </c>
      <c r="E199" t="s">
        <v>46</v>
      </c>
      <c r="F199" t="s">
        <v>87</v>
      </c>
      <c r="G199" t="s">
        <v>88</v>
      </c>
      <c r="H199" t="s">
        <v>89</v>
      </c>
    </row>
    <row r="200" spans="1:9" x14ac:dyDescent="0.25">
      <c r="A200" s="16"/>
      <c r="B200" s="25"/>
      <c r="C200" s="25"/>
      <c r="D200" t="s">
        <v>86</v>
      </c>
      <c r="E200" t="s">
        <v>46</v>
      </c>
      <c r="F200" t="s">
        <v>87</v>
      </c>
      <c r="G200" t="s">
        <v>88</v>
      </c>
      <c r="H200" t="s">
        <v>89</v>
      </c>
    </row>
    <row r="201" spans="1:9" x14ac:dyDescent="0.25">
      <c r="A201" s="16"/>
      <c r="B201" s="25"/>
      <c r="C201" s="25"/>
      <c r="D201" t="s">
        <v>86</v>
      </c>
      <c r="E201" t="s">
        <v>46</v>
      </c>
      <c r="F201" t="s">
        <v>87</v>
      </c>
      <c r="G201" t="s">
        <v>88</v>
      </c>
      <c r="H201" t="s">
        <v>89</v>
      </c>
    </row>
    <row r="202" spans="1:9" x14ac:dyDescent="0.25">
      <c r="A202" s="16"/>
      <c r="B202" s="25"/>
      <c r="C202" s="25"/>
      <c r="D202" t="s">
        <v>86</v>
      </c>
      <c r="E202" t="s">
        <v>46</v>
      </c>
      <c r="F202" t="s">
        <v>87</v>
      </c>
      <c r="G202" t="s">
        <v>88</v>
      </c>
      <c r="H202" t="s">
        <v>89</v>
      </c>
    </row>
    <row r="203" spans="1:9" x14ac:dyDescent="0.25">
      <c r="A203" s="16"/>
      <c r="B203" s="25"/>
      <c r="C203" s="25"/>
      <c r="D203" t="s">
        <v>86</v>
      </c>
      <c r="E203" t="s">
        <v>46</v>
      </c>
      <c r="F203" t="s">
        <v>87</v>
      </c>
      <c r="G203" t="s">
        <v>88</v>
      </c>
      <c r="H203" t="s">
        <v>89</v>
      </c>
    </row>
    <row r="204" spans="1:9" x14ac:dyDescent="0.25">
      <c r="A204" s="16"/>
      <c r="B204" s="25"/>
      <c r="C204" s="25"/>
      <c r="D204" t="s">
        <v>86</v>
      </c>
      <c r="E204" t="s">
        <v>46</v>
      </c>
      <c r="F204" t="s">
        <v>87</v>
      </c>
      <c r="G204" t="s">
        <v>88</v>
      </c>
      <c r="H204" t="s">
        <v>89</v>
      </c>
    </row>
    <row r="205" spans="1:9" x14ac:dyDescent="0.25">
      <c r="A205" s="16"/>
      <c r="B205" s="25"/>
      <c r="C205" s="25"/>
      <c r="D205" t="s">
        <v>86</v>
      </c>
      <c r="E205" t="s">
        <v>46</v>
      </c>
      <c r="F205" t="s">
        <v>87</v>
      </c>
      <c r="G205" t="s">
        <v>88</v>
      </c>
      <c r="H205" t="s">
        <v>89</v>
      </c>
    </row>
    <row r="206" spans="1:9" x14ac:dyDescent="0.25">
      <c r="A206" s="16"/>
      <c r="B206" s="25"/>
      <c r="C206" s="25"/>
      <c r="D206" t="s">
        <v>86</v>
      </c>
      <c r="E206" t="s">
        <v>46</v>
      </c>
      <c r="F206" t="s">
        <v>87</v>
      </c>
      <c r="G206" t="s">
        <v>88</v>
      </c>
      <c r="H206" t="s">
        <v>89</v>
      </c>
    </row>
    <row r="207" spans="1:9" x14ac:dyDescent="0.25">
      <c r="A207" s="16"/>
      <c r="B207" s="25"/>
      <c r="C207" s="25"/>
      <c r="D207" t="s">
        <v>86</v>
      </c>
      <c r="E207" t="s">
        <v>46</v>
      </c>
      <c r="F207" t="s">
        <v>87</v>
      </c>
      <c r="G207" t="s">
        <v>88</v>
      </c>
      <c r="H207" t="s">
        <v>89</v>
      </c>
    </row>
    <row r="208" spans="1:9" x14ac:dyDescent="0.25">
      <c r="A208" s="16"/>
      <c r="B208" s="25"/>
      <c r="C208" s="25"/>
      <c r="D208" t="s">
        <v>86</v>
      </c>
      <c r="E208" t="s">
        <v>46</v>
      </c>
      <c r="F208" t="s">
        <v>87</v>
      </c>
      <c r="G208" t="s">
        <v>88</v>
      </c>
      <c r="H208" t="s">
        <v>89</v>
      </c>
    </row>
    <row r="209" spans="1:9" x14ac:dyDescent="0.25">
      <c r="A209" s="16"/>
      <c r="B209" s="25"/>
      <c r="C209" s="25"/>
      <c r="D209" t="s">
        <v>86</v>
      </c>
      <c r="E209" t="s">
        <v>46</v>
      </c>
      <c r="F209" t="s">
        <v>87</v>
      </c>
      <c r="G209" t="s">
        <v>88</v>
      </c>
      <c r="H209" t="s">
        <v>89</v>
      </c>
    </row>
    <row r="210" spans="1:9" x14ac:dyDescent="0.25">
      <c r="A210" s="16"/>
      <c r="B210" s="25"/>
      <c r="C210" s="25"/>
      <c r="D210" t="s">
        <v>86</v>
      </c>
      <c r="E210" t="s">
        <v>46</v>
      </c>
      <c r="F210" t="s">
        <v>87</v>
      </c>
      <c r="G210" t="s">
        <v>88</v>
      </c>
      <c r="H210" t="s">
        <v>89</v>
      </c>
    </row>
    <row r="211" spans="1:9" x14ac:dyDescent="0.25">
      <c r="A211" s="16"/>
      <c r="B211" s="25"/>
      <c r="C211" s="25"/>
      <c r="D211" t="s">
        <v>86</v>
      </c>
      <c r="E211" t="s">
        <v>46</v>
      </c>
      <c r="F211" t="s">
        <v>87</v>
      </c>
      <c r="G211" t="s">
        <v>88</v>
      </c>
      <c r="H211" t="s">
        <v>89</v>
      </c>
    </row>
    <row r="212" spans="1:9" x14ac:dyDescent="0.25">
      <c r="A212" s="16"/>
      <c r="B212" s="25"/>
      <c r="C212" s="25"/>
      <c r="D212" t="s">
        <v>86</v>
      </c>
      <c r="E212" t="s">
        <v>46</v>
      </c>
      <c r="F212" t="s">
        <v>87</v>
      </c>
      <c r="G212" t="s">
        <v>88</v>
      </c>
      <c r="H212" t="s">
        <v>89</v>
      </c>
    </row>
    <row r="213" spans="1:9" x14ac:dyDescent="0.25">
      <c r="A213" s="16"/>
      <c r="B213" s="25"/>
      <c r="C213" s="25"/>
      <c r="D213" t="s">
        <v>86</v>
      </c>
      <c r="E213" t="s">
        <v>46</v>
      </c>
      <c r="F213" t="s">
        <v>87</v>
      </c>
      <c r="G213" t="s">
        <v>88</v>
      </c>
      <c r="H213" t="s">
        <v>89</v>
      </c>
    </row>
    <row r="214" spans="1:9" x14ac:dyDescent="0.25">
      <c r="A214" s="16"/>
      <c r="B214" s="25"/>
      <c r="C214" s="25"/>
      <c r="D214" t="s">
        <v>86</v>
      </c>
      <c r="E214" t="s">
        <v>46</v>
      </c>
      <c r="F214" t="s">
        <v>87</v>
      </c>
      <c r="G214" t="s">
        <v>88</v>
      </c>
      <c r="H214" t="s">
        <v>89</v>
      </c>
    </row>
    <row r="215" spans="1:9" x14ac:dyDescent="0.25">
      <c r="A215" s="16"/>
      <c r="B215" s="25"/>
      <c r="C215" s="25"/>
      <c r="D215" t="s">
        <v>86</v>
      </c>
      <c r="E215" t="s">
        <v>46</v>
      </c>
      <c r="F215" t="s">
        <v>87</v>
      </c>
      <c r="G215" t="s">
        <v>88</v>
      </c>
      <c r="H215" t="s">
        <v>89</v>
      </c>
    </row>
    <row r="216" spans="1:9" x14ac:dyDescent="0.25">
      <c r="A216" s="16"/>
      <c r="B216" s="25"/>
      <c r="C216" s="25"/>
      <c r="D216" t="s">
        <v>86</v>
      </c>
      <c r="E216" t="s">
        <v>46</v>
      </c>
      <c r="F216" t="s">
        <v>87</v>
      </c>
      <c r="G216" t="s">
        <v>88</v>
      </c>
      <c r="H216" t="s">
        <v>89</v>
      </c>
    </row>
    <row r="217" spans="1:9" x14ac:dyDescent="0.25">
      <c r="A217" s="16"/>
      <c r="B217" s="25"/>
      <c r="C217" s="25"/>
      <c r="D217" t="s">
        <v>86</v>
      </c>
      <c r="E217" t="s">
        <v>46</v>
      </c>
      <c r="F217" t="s">
        <v>87</v>
      </c>
      <c r="G217" t="s">
        <v>88</v>
      </c>
      <c r="H217" t="s">
        <v>89</v>
      </c>
    </row>
    <row r="218" spans="1:9" x14ac:dyDescent="0.25">
      <c r="A218" s="16"/>
      <c r="B218" s="25"/>
      <c r="C218" s="25"/>
      <c r="D218" t="s">
        <v>86</v>
      </c>
      <c r="E218" t="s">
        <v>46</v>
      </c>
      <c r="F218" t="s">
        <v>87</v>
      </c>
      <c r="G218" t="s">
        <v>88</v>
      </c>
      <c r="H218" t="s">
        <v>89</v>
      </c>
    </row>
    <row r="219" spans="1:9" x14ac:dyDescent="0.25">
      <c r="A219" s="16"/>
      <c r="B219" s="25"/>
      <c r="C219" s="25"/>
      <c r="D219" t="s">
        <v>86</v>
      </c>
      <c r="E219" t="s">
        <v>46</v>
      </c>
      <c r="F219" t="s">
        <v>87</v>
      </c>
      <c r="G219" t="s">
        <v>88</v>
      </c>
      <c r="H219" t="s">
        <v>89</v>
      </c>
    </row>
    <row r="220" spans="1:9" x14ac:dyDescent="0.25">
      <c r="A220" s="16"/>
      <c r="B220" s="25"/>
      <c r="C220" s="25"/>
      <c r="D220" t="s">
        <v>86</v>
      </c>
      <c r="E220" t="s">
        <v>46</v>
      </c>
      <c r="F220" t="s">
        <v>87</v>
      </c>
      <c r="G220" t="s">
        <v>88</v>
      </c>
      <c r="H220" t="s">
        <v>89</v>
      </c>
    </row>
    <row r="221" spans="1:9" x14ac:dyDescent="0.25">
      <c r="A221" s="16"/>
      <c r="B221" s="25"/>
      <c r="C221" s="25"/>
      <c r="D221" t="s">
        <v>86</v>
      </c>
      <c r="E221" t="s">
        <v>46</v>
      </c>
      <c r="F221" t="s">
        <v>87</v>
      </c>
      <c r="G221" t="s">
        <v>88</v>
      </c>
      <c r="H221" t="s">
        <v>89</v>
      </c>
    </row>
    <row r="222" spans="1:9" x14ac:dyDescent="0.25">
      <c r="A222" s="16"/>
      <c r="B222" s="25"/>
      <c r="C222" s="25"/>
      <c r="D222" t="s">
        <v>86</v>
      </c>
      <c r="E222" t="s">
        <v>46</v>
      </c>
      <c r="F222" t="s">
        <v>87</v>
      </c>
      <c r="G222" t="s">
        <v>88</v>
      </c>
      <c r="H222" t="s">
        <v>89</v>
      </c>
    </row>
    <row r="223" spans="1:9" x14ac:dyDescent="0.25">
      <c r="A223" s="16"/>
      <c r="B223" s="25"/>
      <c r="C223" s="25"/>
      <c r="D223" t="s">
        <v>86</v>
      </c>
      <c r="E223" t="s">
        <v>46</v>
      </c>
      <c r="F223" t="s">
        <v>87</v>
      </c>
      <c r="G223" t="s">
        <v>88</v>
      </c>
      <c r="H223" t="s">
        <v>89</v>
      </c>
    </row>
    <row r="224" spans="1:9" x14ac:dyDescent="0.25">
      <c r="A224" s="16"/>
      <c r="B224" s="25"/>
      <c r="C224" s="25"/>
      <c r="D224" t="s">
        <v>86</v>
      </c>
      <c r="E224" t="s">
        <v>46</v>
      </c>
      <c r="F224" t="s">
        <v>87</v>
      </c>
      <c r="G224" t="s">
        <v>88</v>
      </c>
      <c r="H224" t="s">
        <v>89</v>
      </c>
    </row>
    <row r="225" spans="1:9" x14ac:dyDescent="0.25">
      <c r="A225" s="16"/>
      <c r="B225" s="25"/>
      <c r="C225" s="25"/>
      <c r="D225" t="s">
        <v>86</v>
      </c>
      <c r="E225" t="s">
        <v>46</v>
      </c>
      <c r="F225" t="s">
        <v>87</v>
      </c>
      <c r="G225" t="s">
        <v>88</v>
      </c>
      <c r="H225" t="s">
        <v>89</v>
      </c>
    </row>
    <row r="226" spans="1:9" x14ac:dyDescent="0.25">
      <c r="A226" s="16"/>
      <c r="B226" s="25"/>
      <c r="C226" s="25"/>
      <c r="D226" t="s">
        <v>86</v>
      </c>
      <c r="E226" t="s">
        <v>46</v>
      </c>
      <c r="F226" t="s">
        <v>87</v>
      </c>
      <c r="G226" t="s">
        <v>88</v>
      </c>
      <c r="H226" t="s">
        <v>89</v>
      </c>
    </row>
    <row r="227" spans="1:9" x14ac:dyDescent="0.25">
      <c r="A227" s="16"/>
      <c r="B227" s="25"/>
      <c r="C227" s="25"/>
      <c r="D227" t="s">
        <v>86</v>
      </c>
      <c r="E227" t="s">
        <v>46</v>
      </c>
      <c r="F227" t="s">
        <v>87</v>
      </c>
      <c r="G227" t="s">
        <v>88</v>
      </c>
      <c r="H227" t="s">
        <v>89</v>
      </c>
    </row>
    <row r="228" spans="1:9" x14ac:dyDescent="0.25">
      <c r="A228" s="16"/>
      <c r="B228" s="25"/>
      <c r="C228" s="25"/>
      <c r="D228" t="s">
        <v>86</v>
      </c>
      <c r="E228" t="s">
        <v>46</v>
      </c>
      <c r="F228" t="s">
        <v>87</v>
      </c>
      <c r="G228" t="s">
        <v>88</v>
      </c>
      <c r="H228" t="s">
        <v>89</v>
      </c>
    </row>
    <row r="229" spans="1:9" x14ac:dyDescent="0.25">
      <c r="A229" s="16"/>
      <c r="B229" s="25"/>
      <c r="C229" s="25"/>
      <c r="D229" t="s">
        <v>86</v>
      </c>
      <c r="E229" t="s">
        <v>46</v>
      </c>
      <c r="F229" t="s">
        <v>87</v>
      </c>
      <c r="G229" t="s">
        <v>88</v>
      </c>
      <c r="H229" t="s">
        <v>89</v>
      </c>
    </row>
    <row r="230" spans="1:9" x14ac:dyDescent="0.25">
      <c r="A230" s="16"/>
      <c r="B230" s="25"/>
      <c r="C230" s="25"/>
      <c r="D230" t="s">
        <v>86</v>
      </c>
      <c r="E230" t="s">
        <v>46</v>
      </c>
      <c r="F230" t="s">
        <v>87</v>
      </c>
      <c r="G230" t="s">
        <v>88</v>
      </c>
      <c r="H230" t="s">
        <v>89</v>
      </c>
    </row>
    <row r="231" spans="1:9" x14ac:dyDescent="0.25">
      <c r="A231" s="16"/>
      <c r="B231" s="25"/>
      <c r="C231" s="25"/>
      <c r="D231" t="s">
        <v>86</v>
      </c>
      <c r="E231" t="s">
        <v>46</v>
      </c>
      <c r="F231" t="s">
        <v>87</v>
      </c>
      <c r="G231" t="s">
        <v>88</v>
      </c>
      <c r="H231" t="s">
        <v>89</v>
      </c>
    </row>
    <row r="232" spans="1:9" x14ac:dyDescent="0.25">
      <c r="A232" s="16"/>
      <c r="B232" s="25"/>
      <c r="C232" s="25"/>
      <c r="D232" t="s">
        <v>86</v>
      </c>
      <c r="E232" t="s">
        <v>46</v>
      </c>
      <c r="F232" t="s">
        <v>87</v>
      </c>
      <c r="G232" t="s">
        <v>88</v>
      </c>
      <c r="H232" t="s">
        <v>89</v>
      </c>
    </row>
    <row r="233" spans="1:9" x14ac:dyDescent="0.25">
      <c r="A233" s="16"/>
      <c r="B233" s="25"/>
      <c r="C233" s="25"/>
      <c r="D233" t="s">
        <v>86</v>
      </c>
      <c r="E233" t="s">
        <v>46</v>
      </c>
      <c r="F233" t="s">
        <v>87</v>
      </c>
      <c r="G233" t="s">
        <v>88</v>
      </c>
      <c r="H233" t="s">
        <v>89</v>
      </c>
    </row>
    <row r="234" spans="1:9" x14ac:dyDescent="0.25">
      <c r="A234" s="16"/>
      <c r="B234" s="25"/>
      <c r="C234" s="25"/>
      <c r="D234" t="s">
        <v>86</v>
      </c>
      <c r="E234" t="s">
        <v>46</v>
      </c>
      <c r="F234" t="s">
        <v>87</v>
      </c>
      <c r="G234" t="s">
        <v>88</v>
      </c>
      <c r="H234" t="s">
        <v>89</v>
      </c>
    </row>
    <row r="235" spans="1:9" x14ac:dyDescent="0.25">
      <c r="A235" s="16"/>
      <c r="B235" s="25"/>
      <c r="C235" s="25"/>
      <c r="D235" t="s">
        <v>86</v>
      </c>
      <c r="E235" t="s">
        <v>46</v>
      </c>
      <c r="F235" t="s">
        <v>87</v>
      </c>
      <c r="G235" t="s">
        <v>88</v>
      </c>
      <c r="H235" t="s">
        <v>89</v>
      </c>
    </row>
    <row r="236" spans="1:9" x14ac:dyDescent="0.25">
      <c r="A236" s="16"/>
      <c r="B236" s="25"/>
      <c r="C236" s="25"/>
      <c r="D236" t="s">
        <v>86</v>
      </c>
      <c r="E236" t="s">
        <v>46</v>
      </c>
      <c r="F236" t="s">
        <v>87</v>
      </c>
      <c r="G236" t="s">
        <v>88</v>
      </c>
      <c r="H236" t="s">
        <v>89</v>
      </c>
    </row>
    <row r="237" spans="1:9" x14ac:dyDescent="0.25">
      <c r="A237" s="16"/>
      <c r="B237" s="25"/>
      <c r="C237" s="25"/>
      <c r="D237" t="s">
        <v>86</v>
      </c>
      <c r="E237" t="s">
        <v>46</v>
      </c>
      <c r="F237" t="s">
        <v>87</v>
      </c>
      <c r="G237" t="s">
        <v>88</v>
      </c>
      <c r="H237" t="s">
        <v>89</v>
      </c>
    </row>
    <row r="238" spans="1:9" x14ac:dyDescent="0.25">
      <c r="A238" s="16"/>
      <c r="B238" s="25"/>
      <c r="C238" s="25"/>
      <c r="D238" t="s">
        <v>86</v>
      </c>
      <c r="E238" t="s">
        <v>46</v>
      </c>
      <c r="F238" t="s">
        <v>87</v>
      </c>
      <c r="G238" t="s">
        <v>88</v>
      </c>
      <c r="H238" t="s">
        <v>89</v>
      </c>
    </row>
    <row r="239" spans="1:9" x14ac:dyDescent="0.25">
      <c r="A239" s="16"/>
      <c r="B239" s="25"/>
      <c r="C239" s="25"/>
      <c r="D239" t="s">
        <v>86</v>
      </c>
      <c r="E239" t="s">
        <v>46</v>
      </c>
      <c r="F239" t="s">
        <v>87</v>
      </c>
      <c r="G239" t="s">
        <v>88</v>
      </c>
      <c r="H239" t="s">
        <v>89</v>
      </c>
    </row>
    <row r="240" spans="1:9" x14ac:dyDescent="0.25">
      <c r="A240" s="16"/>
      <c r="B240" s="25"/>
      <c r="C240" s="25"/>
      <c r="D240" t="s">
        <v>86</v>
      </c>
      <c r="E240" t="s">
        <v>46</v>
      </c>
      <c r="F240" t="s">
        <v>87</v>
      </c>
      <c r="G240" t="s">
        <v>88</v>
      </c>
      <c r="H240" t="s">
        <v>89</v>
      </c>
    </row>
    <row r="241" spans="1:9" x14ac:dyDescent="0.25">
      <c r="A241" s="16"/>
      <c r="B241" s="25"/>
      <c r="C241" s="25"/>
      <c r="D241" t="s">
        <v>86</v>
      </c>
      <c r="E241" t="s">
        <v>46</v>
      </c>
      <c r="F241" t="s">
        <v>87</v>
      </c>
      <c r="G241" t="s">
        <v>88</v>
      </c>
      <c r="H241" t="s">
        <v>89</v>
      </c>
    </row>
    <row r="242" spans="1:9" x14ac:dyDescent="0.25">
      <c r="A242" s="16"/>
      <c r="B242" s="25"/>
      <c r="C242" s="25"/>
      <c r="D242" t="s">
        <v>86</v>
      </c>
      <c r="E242" t="s">
        <v>46</v>
      </c>
      <c r="F242" t="s">
        <v>87</v>
      </c>
      <c r="G242" t="s">
        <v>88</v>
      </c>
      <c r="H242" t="s">
        <v>89</v>
      </c>
    </row>
    <row r="243" spans="1:9" x14ac:dyDescent="0.25">
      <c r="A243" s="16"/>
      <c r="B243" s="25"/>
      <c r="C243" s="25"/>
      <c r="D243" t="s">
        <v>86</v>
      </c>
      <c r="E243" t="s">
        <v>46</v>
      </c>
      <c r="F243" t="s">
        <v>87</v>
      </c>
      <c r="G243" t="s">
        <v>88</v>
      </c>
      <c r="H243" t="s">
        <v>89</v>
      </c>
    </row>
    <row r="244" spans="1:9" x14ac:dyDescent="0.25">
      <c r="A244" s="16"/>
      <c r="B244" s="25"/>
      <c r="C244" s="25"/>
      <c r="D244" t="s">
        <v>86</v>
      </c>
      <c r="E244" t="s">
        <v>46</v>
      </c>
      <c r="F244" t="s">
        <v>87</v>
      </c>
      <c r="G244" t="s">
        <v>88</v>
      </c>
      <c r="H244" t="s">
        <v>89</v>
      </c>
    </row>
    <row r="245" spans="1:9" x14ac:dyDescent="0.25">
      <c r="A245" s="16"/>
      <c r="B245" s="25"/>
      <c r="C245" s="25"/>
      <c r="D245" t="s">
        <v>86</v>
      </c>
      <c r="E245" t="s">
        <v>46</v>
      </c>
      <c r="F245" t="s">
        <v>87</v>
      </c>
      <c r="G245" t="s">
        <v>88</v>
      </c>
      <c r="H245" t="s">
        <v>89</v>
      </c>
    </row>
    <row r="246" spans="1:9" x14ac:dyDescent="0.25">
      <c r="A246" s="16"/>
      <c r="B246" s="25"/>
      <c r="C246" s="25"/>
      <c r="D246" t="s">
        <v>86</v>
      </c>
      <c r="E246" t="s">
        <v>46</v>
      </c>
      <c r="F246" t="s">
        <v>87</v>
      </c>
      <c r="G246" t="s">
        <v>88</v>
      </c>
      <c r="H246" t="s">
        <v>89</v>
      </c>
    </row>
    <row r="247" spans="1:9" x14ac:dyDescent="0.25">
      <c r="A247" s="16"/>
      <c r="B247" s="25"/>
      <c r="C247" s="25"/>
      <c r="D247" t="s">
        <v>86</v>
      </c>
      <c r="E247" t="s">
        <v>46</v>
      </c>
      <c r="F247" t="s">
        <v>87</v>
      </c>
      <c r="G247" t="s">
        <v>88</v>
      </c>
      <c r="H247" t="s">
        <v>89</v>
      </c>
    </row>
    <row r="248" spans="1:9" x14ac:dyDescent="0.25">
      <c r="A248" s="16"/>
      <c r="B248" s="25"/>
      <c r="C248" s="25"/>
      <c r="D248" t="s">
        <v>86</v>
      </c>
      <c r="E248" t="s">
        <v>46</v>
      </c>
      <c r="F248" t="s">
        <v>87</v>
      </c>
      <c r="G248" t="s">
        <v>88</v>
      </c>
      <c r="H248" t="s">
        <v>89</v>
      </c>
    </row>
    <row r="249" spans="1:9" x14ac:dyDescent="0.25">
      <c r="A249" s="16"/>
      <c r="B249" s="25"/>
      <c r="C249" s="25"/>
      <c r="D249" t="s">
        <v>86</v>
      </c>
      <c r="E249" t="s">
        <v>46</v>
      </c>
      <c r="F249" t="s">
        <v>87</v>
      </c>
      <c r="G249" t="s">
        <v>88</v>
      </c>
      <c r="H249" t="s">
        <v>89</v>
      </c>
    </row>
    <row r="250" spans="1:9" x14ac:dyDescent="0.25">
      <c r="A250" s="16"/>
      <c r="B250" s="25"/>
      <c r="C250" s="25"/>
      <c r="D250" t="s">
        <v>86</v>
      </c>
      <c r="E250" t="s">
        <v>46</v>
      </c>
      <c r="F250" t="s">
        <v>87</v>
      </c>
      <c r="G250" t="s">
        <v>88</v>
      </c>
      <c r="H250" t="s">
        <v>89</v>
      </c>
    </row>
    <row r="251" spans="1:9" x14ac:dyDescent="0.25">
      <c r="A251" s="16"/>
      <c r="B251" s="25"/>
      <c r="C251" s="25"/>
      <c r="D251" t="s">
        <v>86</v>
      </c>
      <c r="E251" t="s">
        <v>46</v>
      </c>
      <c r="F251" t="s">
        <v>87</v>
      </c>
      <c r="G251" t="s">
        <v>88</v>
      </c>
      <c r="H251" t="s">
        <v>89</v>
      </c>
    </row>
    <row r="252" spans="1:9" x14ac:dyDescent="0.25">
      <c r="A252" s="16"/>
      <c r="B252" s="25"/>
      <c r="C252" s="25"/>
      <c r="D252" t="s">
        <v>86</v>
      </c>
      <c r="E252" t="s">
        <v>46</v>
      </c>
      <c r="F252" t="s">
        <v>87</v>
      </c>
      <c r="G252" t="s">
        <v>88</v>
      </c>
      <c r="H252" t="s">
        <v>89</v>
      </c>
    </row>
    <row r="253" spans="1:9" x14ac:dyDescent="0.25">
      <c r="A253" s="16"/>
      <c r="B253" s="25"/>
      <c r="C253" s="25"/>
      <c r="D253" t="s">
        <v>86</v>
      </c>
      <c r="E253" t="s">
        <v>46</v>
      </c>
      <c r="F253" t="s">
        <v>87</v>
      </c>
      <c r="G253" t="s">
        <v>88</v>
      </c>
      <c r="H253" t="s">
        <v>89</v>
      </c>
    </row>
    <row r="254" spans="1:9" x14ac:dyDescent="0.25">
      <c r="A254" s="16"/>
      <c r="B254" s="25"/>
      <c r="C254" s="25"/>
      <c r="D254" t="s">
        <v>86</v>
      </c>
      <c r="E254" t="s">
        <v>46</v>
      </c>
      <c r="F254" t="s">
        <v>87</v>
      </c>
      <c r="G254" t="s">
        <v>88</v>
      </c>
      <c r="H254" t="s">
        <v>89</v>
      </c>
    </row>
    <row r="255" spans="1:9" x14ac:dyDescent="0.25">
      <c r="A255" s="16"/>
      <c r="B255" s="25"/>
      <c r="C255" s="25"/>
      <c r="D255" t="s">
        <v>86</v>
      </c>
      <c r="E255" t="s">
        <v>46</v>
      </c>
      <c r="F255" t="s">
        <v>87</v>
      </c>
      <c r="G255" t="s">
        <v>88</v>
      </c>
      <c r="H255" t="s">
        <v>89</v>
      </c>
    </row>
    <row r="256" spans="1:9" x14ac:dyDescent="0.25">
      <c r="A256" s="16"/>
      <c r="B256" s="25"/>
      <c r="C256" s="25"/>
      <c r="D256" t="s">
        <v>86</v>
      </c>
      <c r="E256" t="s">
        <v>46</v>
      </c>
      <c r="F256" t="s">
        <v>87</v>
      </c>
      <c r="G256" t="s">
        <v>88</v>
      </c>
      <c r="H256" t="s">
        <v>89</v>
      </c>
    </row>
    <row r="257" spans="1:9" x14ac:dyDescent="0.25">
      <c r="A257" s="16"/>
      <c r="B257" s="25"/>
      <c r="C257" s="25"/>
      <c r="D257" t="s">
        <v>86</v>
      </c>
      <c r="E257" t="s">
        <v>46</v>
      </c>
      <c r="F257" t="s">
        <v>87</v>
      </c>
      <c r="G257" t="s">
        <v>88</v>
      </c>
      <c r="H257" t="s">
        <v>89</v>
      </c>
    </row>
    <row r="258" spans="1:9" x14ac:dyDescent="0.25">
      <c r="A258" s="16"/>
      <c r="B258" s="25"/>
      <c r="C258" s="25"/>
      <c r="D258" t="s">
        <v>86</v>
      </c>
      <c r="E258" t="s">
        <v>46</v>
      </c>
      <c r="F258" t="s">
        <v>87</v>
      </c>
      <c r="G258" t="s">
        <v>88</v>
      </c>
      <c r="H258" t="s">
        <v>89</v>
      </c>
    </row>
    <row r="259" spans="1:9" x14ac:dyDescent="0.25">
      <c r="A259" s="16"/>
      <c r="B259" s="25"/>
      <c r="C259" s="25"/>
      <c r="D259" t="s">
        <v>86</v>
      </c>
      <c r="E259" t="s">
        <v>46</v>
      </c>
      <c r="F259" t="s">
        <v>87</v>
      </c>
      <c r="G259" t="s">
        <v>88</v>
      </c>
      <c r="H259" t="s">
        <v>89</v>
      </c>
    </row>
    <row r="260" spans="1:9" x14ac:dyDescent="0.25">
      <c r="A260" s="16"/>
      <c r="B260" s="25"/>
      <c r="C260" s="25"/>
      <c r="D260" t="s">
        <v>86</v>
      </c>
      <c r="E260" t="s">
        <v>46</v>
      </c>
      <c r="F260" t="s">
        <v>87</v>
      </c>
      <c r="G260" t="s">
        <v>88</v>
      </c>
      <c r="H260" t="s">
        <v>89</v>
      </c>
    </row>
    <row r="261" spans="1:9" x14ac:dyDescent="0.25">
      <c r="A261" s="16"/>
      <c r="B261" s="25"/>
      <c r="C261" s="25"/>
      <c r="D261" t="s">
        <v>86</v>
      </c>
      <c r="E261" t="s">
        <v>46</v>
      </c>
      <c r="F261" t="s">
        <v>87</v>
      </c>
      <c r="G261" t="s">
        <v>88</v>
      </c>
      <c r="H261" t="s">
        <v>89</v>
      </c>
    </row>
    <row r="262" spans="1:9" x14ac:dyDescent="0.25">
      <c r="A262" s="16"/>
      <c r="B262" s="25"/>
      <c r="C262" s="25"/>
      <c r="D262" t="s">
        <v>86</v>
      </c>
      <c r="E262" t="s">
        <v>46</v>
      </c>
      <c r="F262" t="s">
        <v>87</v>
      </c>
      <c r="G262" t="s">
        <v>88</v>
      </c>
      <c r="H262" t="s">
        <v>89</v>
      </c>
    </row>
    <row r="263" spans="1:9" x14ac:dyDescent="0.25">
      <c r="A263" s="16"/>
      <c r="B263" s="25"/>
      <c r="C263" s="25"/>
      <c r="D263" t="s">
        <v>86</v>
      </c>
      <c r="E263" t="s">
        <v>46</v>
      </c>
      <c r="F263" t="s">
        <v>87</v>
      </c>
      <c r="G263" t="s">
        <v>88</v>
      </c>
      <c r="H263" t="s">
        <v>89</v>
      </c>
    </row>
    <row r="264" spans="1:9" x14ac:dyDescent="0.25">
      <c r="A264" s="16"/>
      <c r="B264" s="25"/>
      <c r="C264" s="25"/>
      <c r="D264" t="s">
        <v>86</v>
      </c>
      <c r="E264" t="s">
        <v>46</v>
      </c>
      <c r="F264" t="s">
        <v>87</v>
      </c>
      <c r="G264" t="s">
        <v>88</v>
      </c>
      <c r="H264" t="s">
        <v>89</v>
      </c>
    </row>
    <row r="265" spans="1:9" x14ac:dyDescent="0.25">
      <c r="A265" s="16"/>
      <c r="B265" s="25"/>
      <c r="C265" s="25"/>
      <c r="D265" t="s">
        <v>86</v>
      </c>
      <c r="E265" t="s">
        <v>46</v>
      </c>
      <c r="F265" t="s">
        <v>87</v>
      </c>
      <c r="G265" t="s">
        <v>88</v>
      </c>
      <c r="H265" t="s">
        <v>89</v>
      </c>
    </row>
    <row r="266" spans="1:9" x14ac:dyDescent="0.25">
      <c r="A266" s="16"/>
      <c r="B266" s="25"/>
      <c r="C266" s="25"/>
      <c r="D266" t="s">
        <v>86</v>
      </c>
      <c r="E266" t="s">
        <v>46</v>
      </c>
      <c r="F266" t="s">
        <v>87</v>
      </c>
      <c r="G266" t="s">
        <v>88</v>
      </c>
      <c r="H266" t="s">
        <v>89</v>
      </c>
    </row>
    <row r="267" spans="1:9" x14ac:dyDescent="0.25">
      <c r="A267" s="16"/>
      <c r="B267" s="25"/>
      <c r="C267" s="25"/>
      <c r="D267" t="s">
        <v>86</v>
      </c>
      <c r="E267" t="s">
        <v>46</v>
      </c>
      <c r="F267" t="s">
        <v>87</v>
      </c>
      <c r="G267" t="s">
        <v>88</v>
      </c>
      <c r="H267" t="s">
        <v>89</v>
      </c>
    </row>
    <row r="268" spans="1:9" x14ac:dyDescent="0.25">
      <c r="A268" s="16"/>
      <c r="B268" s="25"/>
      <c r="C268" s="25"/>
      <c r="D268" t="s">
        <v>86</v>
      </c>
      <c r="E268" t="s">
        <v>46</v>
      </c>
      <c r="F268" t="s">
        <v>87</v>
      </c>
      <c r="G268" t="s">
        <v>88</v>
      </c>
      <c r="H268" t="s">
        <v>89</v>
      </c>
    </row>
    <row r="269" spans="1:9" x14ac:dyDescent="0.25">
      <c r="A269" s="16"/>
      <c r="B269" s="25"/>
      <c r="C269" s="25"/>
      <c r="D269" t="s">
        <v>86</v>
      </c>
      <c r="E269" t="s">
        <v>46</v>
      </c>
      <c r="F269" t="s">
        <v>87</v>
      </c>
      <c r="G269" t="s">
        <v>88</v>
      </c>
      <c r="H269" t="s">
        <v>89</v>
      </c>
    </row>
    <row r="270" spans="1:9" x14ac:dyDescent="0.25">
      <c r="A270" s="16"/>
      <c r="B270" s="25"/>
      <c r="C270" s="25"/>
      <c r="D270" t="s">
        <v>86</v>
      </c>
      <c r="E270" t="s">
        <v>46</v>
      </c>
      <c r="F270" t="s">
        <v>87</v>
      </c>
      <c r="G270" t="s">
        <v>88</v>
      </c>
      <c r="H270" t="s">
        <v>89</v>
      </c>
    </row>
    <row r="271" spans="1:9" x14ac:dyDescent="0.25">
      <c r="A271" s="16"/>
      <c r="B271" s="25"/>
      <c r="C271" s="25"/>
      <c r="D271" t="s">
        <v>86</v>
      </c>
      <c r="E271" t="s">
        <v>46</v>
      </c>
      <c r="F271" t="s">
        <v>87</v>
      </c>
      <c r="G271" t="s">
        <v>88</v>
      </c>
      <c r="H271" t="s">
        <v>89</v>
      </c>
    </row>
    <row r="272" spans="1:9" x14ac:dyDescent="0.25">
      <c r="A272" s="16"/>
      <c r="B272" s="25"/>
      <c r="C272" s="25"/>
      <c r="D272" t="s">
        <v>86</v>
      </c>
      <c r="E272" t="s">
        <v>46</v>
      </c>
      <c r="F272" t="s">
        <v>87</v>
      </c>
      <c r="G272" t="s">
        <v>88</v>
      </c>
      <c r="H272" t="s">
        <v>89</v>
      </c>
    </row>
    <row r="273" spans="1:9" x14ac:dyDescent="0.25">
      <c r="A273" s="16"/>
      <c r="B273" s="25"/>
      <c r="C273" s="25"/>
      <c r="D273" t="s">
        <v>86</v>
      </c>
      <c r="E273" t="s">
        <v>46</v>
      </c>
      <c r="F273" t="s">
        <v>87</v>
      </c>
      <c r="G273" t="s">
        <v>88</v>
      </c>
      <c r="H273" t="s">
        <v>89</v>
      </c>
    </row>
    <row r="274" spans="1:9" x14ac:dyDescent="0.25">
      <c r="A274" s="16"/>
      <c r="B274" s="25"/>
      <c r="C274" s="25"/>
      <c r="D274" t="s">
        <v>86</v>
      </c>
      <c r="E274" t="s">
        <v>46</v>
      </c>
      <c r="F274" t="s">
        <v>87</v>
      </c>
      <c r="G274" t="s">
        <v>88</v>
      </c>
      <c r="H274" t="s">
        <v>89</v>
      </c>
    </row>
    <row r="275" spans="1:9" x14ac:dyDescent="0.25">
      <c r="A275" s="16"/>
      <c r="B275" s="25"/>
      <c r="C275" s="25"/>
      <c r="D275" t="s">
        <v>86</v>
      </c>
      <c r="E275" t="s">
        <v>46</v>
      </c>
      <c r="F275" t="s">
        <v>87</v>
      </c>
      <c r="G275" t="s">
        <v>88</v>
      </c>
      <c r="H275" t="s">
        <v>89</v>
      </c>
    </row>
    <row r="276" spans="1:9" x14ac:dyDescent="0.25">
      <c r="A276" s="16"/>
      <c r="B276" s="25"/>
      <c r="C276" s="25"/>
      <c r="D276" t="s">
        <v>86</v>
      </c>
      <c r="E276" t="s">
        <v>46</v>
      </c>
      <c r="F276" t="s">
        <v>87</v>
      </c>
      <c r="G276" t="s">
        <v>88</v>
      </c>
      <c r="H276" t="s">
        <v>89</v>
      </c>
    </row>
    <row r="277" spans="1:9" x14ac:dyDescent="0.25">
      <c r="A277" s="16"/>
      <c r="B277" s="25"/>
      <c r="C277" s="25"/>
      <c r="D277" t="s">
        <v>86</v>
      </c>
      <c r="E277" t="s">
        <v>46</v>
      </c>
      <c r="F277" t="s">
        <v>87</v>
      </c>
      <c r="G277" t="s">
        <v>88</v>
      </c>
      <c r="H277" t="s">
        <v>89</v>
      </c>
    </row>
    <row r="278" spans="1:9" x14ac:dyDescent="0.25">
      <c r="A278" s="16"/>
      <c r="B278" s="25"/>
      <c r="C278" s="25"/>
      <c r="D278" t="s">
        <v>86</v>
      </c>
      <c r="E278" t="s">
        <v>46</v>
      </c>
      <c r="F278" t="s">
        <v>87</v>
      </c>
      <c r="G278" t="s">
        <v>88</v>
      </c>
      <c r="H278" t="s">
        <v>89</v>
      </c>
    </row>
    <row r="279" spans="1:9" x14ac:dyDescent="0.25">
      <c r="A279" s="16"/>
      <c r="B279" s="25"/>
      <c r="C279" s="25"/>
      <c r="D279" t="s">
        <v>86</v>
      </c>
      <c r="E279" t="s">
        <v>46</v>
      </c>
      <c r="F279" t="s">
        <v>87</v>
      </c>
      <c r="G279" t="s">
        <v>88</v>
      </c>
      <c r="H279" t="s">
        <v>89</v>
      </c>
    </row>
    <row r="280" spans="1:9" x14ac:dyDescent="0.25">
      <c r="A280" s="16"/>
      <c r="B280" s="25"/>
      <c r="C280" s="25"/>
      <c r="D280" t="s">
        <v>86</v>
      </c>
      <c r="E280" t="s">
        <v>46</v>
      </c>
      <c r="F280" t="s">
        <v>87</v>
      </c>
      <c r="G280" t="s">
        <v>88</v>
      </c>
      <c r="H280" t="s">
        <v>89</v>
      </c>
    </row>
    <row r="281" spans="1:9" x14ac:dyDescent="0.25">
      <c r="A281" s="16"/>
      <c r="B281" s="25"/>
      <c r="C281" s="25"/>
      <c r="D281" t="s">
        <v>86</v>
      </c>
      <c r="E281" t="s">
        <v>46</v>
      </c>
      <c r="F281" t="s">
        <v>87</v>
      </c>
      <c r="G281" t="s">
        <v>88</v>
      </c>
      <c r="H281" t="s">
        <v>89</v>
      </c>
    </row>
    <row r="282" spans="1:9" x14ac:dyDescent="0.25">
      <c r="A282" s="16"/>
      <c r="B282" s="25"/>
      <c r="C282" s="25"/>
      <c r="D282" t="s">
        <v>86</v>
      </c>
      <c r="E282" t="s">
        <v>46</v>
      </c>
      <c r="F282" t="s">
        <v>87</v>
      </c>
      <c r="G282" t="s">
        <v>88</v>
      </c>
      <c r="H282" t="s">
        <v>89</v>
      </c>
    </row>
    <row r="283" spans="1:9" x14ac:dyDescent="0.25">
      <c r="A283" s="16"/>
      <c r="B283" s="25"/>
      <c r="C283" s="25"/>
      <c r="D283" t="s">
        <v>86</v>
      </c>
      <c r="E283" t="s">
        <v>46</v>
      </c>
      <c r="F283" t="s">
        <v>87</v>
      </c>
      <c r="G283" t="s">
        <v>88</v>
      </c>
      <c r="H283" t="s">
        <v>89</v>
      </c>
    </row>
    <row r="284" spans="1:9" x14ac:dyDescent="0.25">
      <c r="A284" s="16"/>
      <c r="B284" s="25"/>
      <c r="C284" s="25"/>
      <c r="D284" t="s">
        <v>86</v>
      </c>
      <c r="E284" t="s">
        <v>46</v>
      </c>
      <c r="F284" t="s">
        <v>87</v>
      </c>
      <c r="G284" t="s">
        <v>88</v>
      </c>
      <c r="H284" t="s">
        <v>89</v>
      </c>
    </row>
    <row r="285" spans="1:9" x14ac:dyDescent="0.25">
      <c r="A285" s="16"/>
      <c r="B285" s="25"/>
      <c r="C285" s="25"/>
      <c r="D285" t="s">
        <v>86</v>
      </c>
      <c r="E285" t="s">
        <v>46</v>
      </c>
      <c r="F285" t="s">
        <v>87</v>
      </c>
      <c r="G285" t="s">
        <v>88</v>
      </c>
      <c r="H285" t="s">
        <v>89</v>
      </c>
    </row>
    <row r="286" spans="1:9" x14ac:dyDescent="0.25">
      <c r="A286" s="16"/>
      <c r="B286" s="25"/>
      <c r="C286" s="25"/>
      <c r="D286" t="s">
        <v>86</v>
      </c>
      <c r="E286" t="s">
        <v>46</v>
      </c>
      <c r="F286" t="s">
        <v>87</v>
      </c>
      <c r="G286" t="s">
        <v>88</v>
      </c>
      <c r="H286" t="s">
        <v>89</v>
      </c>
    </row>
    <row r="287" spans="1:9" x14ac:dyDescent="0.25">
      <c r="A287" s="16"/>
      <c r="B287" s="25"/>
      <c r="C287" s="25"/>
      <c r="D287" t="s">
        <v>86</v>
      </c>
      <c r="E287" t="s">
        <v>46</v>
      </c>
      <c r="F287" t="s">
        <v>87</v>
      </c>
      <c r="G287" t="s">
        <v>88</v>
      </c>
      <c r="H287" t="s">
        <v>89</v>
      </c>
    </row>
    <row r="288" spans="1:9" x14ac:dyDescent="0.25">
      <c r="A288" s="16"/>
      <c r="B288" s="25"/>
      <c r="C288" s="25"/>
      <c r="D288" t="s">
        <v>86</v>
      </c>
      <c r="E288" t="s">
        <v>46</v>
      </c>
      <c r="F288" t="s">
        <v>87</v>
      </c>
      <c r="G288" t="s">
        <v>88</v>
      </c>
      <c r="H288" t="s">
        <v>89</v>
      </c>
    </row>
    <row r="289" spans="1:9" x14ac:dyDescent="0.25">
      <c r="A289" s="16"/>
      <c r="B289" s="25"/>
      <c r="C289" s="25"/>
      <c r="D289" t="s">
        <v>86</v>
      </c>
      <c r="E289" t="s">
        <v>46</v>
      </c>
      <c r="F289" t="s">
        <v>87</v>
      </c>
      <c r="G289" t="s">
        <v>88</v>
      </c>
      <c r="H289" t="s">
        <v>89</v>
      </c>
    </row>
    <row r="290" spans="1:9" x14ac:dyDescent="0.25">
      <c r="A290" s="16"/>
      <c r="B290" s="25"/>
      <c r="C290" s="25"/>
      <c r="D290" t="s">
        <v>86</v>
      </c>
      <c r="E290" t="s">
        <v>46</v>
      </c>
      <c r="F290" t="s">
        <v>87</v>
      </c>
      <c r="G290" t="s">
        <v>88</v>
      </c>
      <c r="H290" t="s">
        <v>89</v>
      </c>
    </row>
    <row r="291" spans="1:9" x14ac:dyDescent="0.25">
      <c r="A291" s="16"/>
      <c r="B291" s="25"/>
      <c r="C291" s="25"/>
      <c r="D291" t="s">
        <v>86</v>
      </c>
      <c r="E291" t="s">
        <v>46</v>
      </c>
      <c r="F291" t="s">
        <v>87</v>
      </c>
      <c r="G291" t="s">
        <v>88</v>
      </c>
      <c r="H291" t="s">
        <v>89</v>
      </c>
    </row>
    <row r="292" spans="1:9" x14ac:dyDescent="0.25">
      <c r="A292" s="16"/>
      <c r="B292" s="25"/>
      <c r="C292" s="25"/>
      <c r="D292" t="s">
        <v>86</v>
      </c>
      <c r="E292" t="s">
        <v>46</v>
      </c>
      <c r="F292" t="s">
        <v>87</v>
      </c>
      <c r="G292" t="s">
        <v>88</v>
      </c>
      <c r="H292" t="s">
        <v>89</v>
      </c>
    </row>
    <row r="293" spans="1:9" x14ac:dyDescent="0.25">
      <c r="A293" s="16"/>
      <c r="B293" s="25"/>
      <c r="C293" s="25"/>
      <c r="D293" t="s">
        <v>86</v>
      </c>
      <c r="E293" t="s">
        <v>46</v>
      </c>
      <c r="F293" t="s">
        <v>87</v>
      </c>
      <c r="G293" t="s">
        <v>88</v>
      </c>
      <c r="H293" t="s">
        <v>89</v>
      </c>
    </row>
    <row r="294" spans="1:9" x14ac:dyDescent="0.25">
      <c r="A294" s="16"/>
      <c r="B294" s="25"/>
      <c r="C294" s="25"/>
      <c r="D294" t="s">
        <v>86</v>
      </c>
      <c r="E294" t="s">
        <v>46</v>
      </c>
      <c r="F294" t="s">
        <v>87</v>
      </c>
      <c r="G294" t="s">
        <v>88</v>
      </c>
      <c r="H294" t="s">
        <v>89</v>
      </c>
    </row>
    <row r="295" spans="1:9" x14ac:dyDescent="0.25">
      <c r="A295" s="16"/>
      <c r="B295" s="25"/>
      <c r="C295" s="25"/>
      <c r="D295" t="s">
        <v>86</v>
      </c>
      <c r="E295" t="s">
        <v>46</v>
      </c>
      <c r="F295" t="s">
        <v>87</v>
      </c>
      <c r="G295" t="s">
        <v>88</v>
      </c>
      <c r="H295" t="s">
        <v>89</v>
      </c>
    </row>
    <row r="296" spans="1:9" x14ac:dyDescent="0.25">
      <c r="A296" s="16"/>
      <c r="B296" s="25"/>
      <c r="C296" s="25"/>
      <c r="D296" t="s">
        <v>86</v>
      </c>
      <c r="E296" t="s">
        <v>46</v>
      </c>
      <c r="F296" t="s">
        <v>87</v>
      </c>
      <c r="G296" t="s">
        <v>88</v>
      </c>
      <c r="H296" t="s">
        <v>89</v>
      </c>
    </row>
    <row r="297" spans="1:9" x14ac:dyDescent="0.25">
      <c r="A297" s="16"/>
      <c r="B297" s="25"/>
      <c r="C297" s="25"/>
      <c r="D297" t="s">
        <v>86</v>
      </c>
      <c r="E297" t="s">
        <v>46</v>
      </c>
      <c r="F297" t="s">
        <v>87</v>
      </c>
      <c r="G297" t="s">
        <v>88</v>
      </c>
      <c r="H297" t="s">
        <v>89</v>
      </c>
    </row>
    <row r="298" spans="1:9" x14ac:dyDescent="0.25">
      <c r="A298" s="16"/>
      <c r="B298" s="25"/>
      <c r="C298" s="25"/>
      <c r="D298" t="s">
        <v>86</v>
      </c>
      <c r="E298" t="s">
        <v>46</v>
      </c>
      <c r="F298" t="s">
        <v>87</v>
      </c>
      <c r="G298" t="s">
        <v>88</v>
      </c>
      <c r="H298" t="s">
        <v>89</v>
      </c>
    </row>
    <row r="299" spans="1:9" x14ac:dyDescent="0.25">
      <c r="A299" s="16"/>
      <c r="B299" s="25"/>
      <c r="C299" s="25"/>
      <c r="D299" t="s">
        <v>86</v>
      </c>
      <c r="E299" t="s">
        <v>46</v>
      </c>
      <c r="F299" t="s">
        <v>87</v>
      </c>
      <c r="G299" t="s">
        <v>88</v>
      </c>
      <c r="H299" t="s">
        <v>89</v>
      </c>
    </row>
    <row r="300" spans="1:9" x14ac:dyDescent="0.25">
      <c r="A300" s="16"/>
      <c r="B300" s="25"/>
      <c r="C300" s="25"/>
      <c r="D300" t="s">
        <v>86</v>
      </c>
      <c r="E300" t="s">
        <v>46</v>
      </c>
      <c r="F300" t="s">
        <v>87</v>
      </c>
      <c r="G300" t="s">
        <v>88</v>
      </c>
      <c r="H300" t="s">
        <v>89</v>
      </c>
    </row>
    <row r="301" spans="1:9" x14ac:dyDescent="0.25">
      <c r="A301" s="16"/>
      <c r="B301" s="25"/>
      <c r="C301" s="25"/>
      <c r="D301" t="s">
        <v>86</v>
      </c>
      <c r="E301" t="s">
        <v>46</v>
      </c>
      <c r="F301" t="s">
        <v>87</v>
      </c>
      <c r="G301" t="s">
        <v>88</v>
      </c>
      <c r="H301" t="s">
        <v>89</v>
      </c>
    </row>
    <row r="302" spans="1:9" x14ac:dyDescent="0.25">
      <c r="A302" s="16"/>
      <c r="B302" s="25"/>
      <c r="C302" s="25"/>
      <c r="D302" t="s">
        <v>86</v>
      </c>
      <c r="E302" t="s">
        <v>46</v>
      </c>
      <c r="F302" t="s">
        <v>87</v>
      </c>
      <c r="G302" t="s">
        <v>88</v>
      </c>
      <c r="H302" t="s">
        <v>89</v>
      </c>
    </row>
    <row r="303" spans="1:9" x14ac:dyDescent="0.25">
      <c r="A303" s="16"/>
      <c r="B303" s="25"/>
      <c r="C303" s="25"/>
      <c r="D303" t="s">
        <v>86</v>
      </c>
      <c r="E303" t="s">
        <v>46</v>
      </c>
      <c r="F303" t="s">
        <v>87</v>
      </c>
      <c r="G303" t="s">
        <v>88</v>
      </c>
      <c r="H303" t="s">
        <v>89</v>
      </c>
    </row>
    <row r="304" spans="1:9" x14ac:dyDescent="0.25">
      <c r="A304" s="16"/>
      <c r="B304" s="25"/>
      <c r="C304" s="25"/>
      <c r="D304" t="s">
        <v>86</v>
      </c>
      <c r="E304" t="s">
        <v>46</v>
      </c>
      <c r="F304" t="s">
        <v>87</v>
      </c>
      <c r="G304" t="s">
        <v>88</v>
      </c>
      <c r="H304" t="s">
        <v>89</v>
      </c>
    </row>
    <row r="305" spans="1:9" x14ac:dyDescent="0.25">
      <c r="A305" s="16"/>
      <c r="B305" s="25"/>
      <c r="C305" s="25"/>
      <c r="D305" t="s">
        <v>86</v>
      </c>
      <c r="E305" t="s">
        <v>46</v>
      </c>
      <c r="F305" t="s">
        <v>87</v>
      </c>
      <c r="G305" t="s">
        <v>88</v>
      </c>
      <c r="H305" t="s">
        <v>89</v>
      </c>
    </row>
    <row r="306" spans="1:9" x14ac:dyDescent="0.25">
      <c r="A306" s="16"/>
      <c r="B306" s="25"/>
      <c r="C306" s="25"/>
      <c r="D306" t="s">
        <v>86</v>
      </c>
      <c r="E306" t="s">
        <v>46</v>
      </c>
      <c r="F306" t="s">
        <v>87</v>
      </c>
      <c r="G306" t="s">
        <v>88</v>
      </c>
      <c r="H306" t="s">
        <v>89</v>
      </c>
    </row>
    <row r="307" spans="1:9" x14ac:dyDescent="0.25">
      <c r="A307" s="16"/>
      <c r="B307" s="25"/>
      <c r="C307" s="25"/>
      <c r="D307" t="s">
        <v>86</v>
      </c>
      <c r="E307" t="s">
        <v>46</v>
      </c>
      <c r="F307" t="s">
        <v>87</v>
      </c>
      <c r="G307" t="s">
        <v>88</v>
      </c>
      <c r="H307" t="s">
        <v>89</v>
      </c>
    </row>
    <row r="308" spans="1:9" x14ac:dyDescent="0.25">
      <c r="A308" s="16"/>
      <c r="B308" s="25"/>
      <c r="C308" s="25"/>
      <c r="D308" t="s">
        <v>86</v>
      </c>
      <c r="E308" t="s">
        <v>46</v>
      </c>
      <c r="F308" t="s">
        <v>87</v>
      </c>
      <c r="G308" t="s">
        <v>88</v>
      </c>
      <c r="H308" t="s">
        <v>89</v>
      </c>
    </row>
    <row r="309" spans="1:9" x14ac:dyDescent="0.25">
      <c r="A309" s="16"/>
      <c r="B309" s="25"/>
      <c r="C309" s="25"/>
      <c r="D309" t="s">
        <v>86</v>
      </c>
      <c r="E309" t="s">
        <v>46</v>
      </c>
      <c r="F309" t="s">
        <v>87</v>
      </c>
      <c r="G309" t="s">
        <v>88</v>
      </c>
      <c r="H309" t="s">
        <v>89</v>
      </c>
    </row>
    <row r="310" spans="1:9" x14ac:dyDescent="0.25">
      <c r="A310" s="16"/>
      <c r="B310" s="25"/>
      <c r="C310" s="25"/>
      <c r="D310" t="s">
        <v>86</v>
      </c>
      <c r="E310" t="s">
        <v>46</v>
      </c>
      <c r="F310" t="s">
        <v>87</v>
      </c>
      <c r="G310" t="s">
        <v>88</v>
      </c>
      <c r="H310" t="s">
        <v>89</v>
      </c>
    </row>
    <row r="311" spans="1:9" x14ac:dyDescent="0.25">
      <c r="A311" s="16"/>
      <c r="B311" s="25"/>
      <c r="C311" s="25"/>
      <c r="D311" t="s">
        <v>86</v>
      </c>
      <c r="E311" t="s">
        <v>46</v>
      </c>
      <c r="F311" t="s">
        <v>87</v>
      </c>
      <c r="G311" t="s">
        <v>88</v>
      </c>
      <c r="H311" t="s">
        <v>89</v>
      </c>
    </row>
    <row r="312" spans="1:9" x14ac:dyDescent="0.25">
      <c r="A312" s="16"/>
      <c r="B312" s="25"/>
      <c r="C312" s="25"/>
      <c r="D312" t="s">
        <v>86</v>
      </c>
      <c r="E312" t="s">
        <v>46</v>
      </c>
      <c r="F312" t="s">
        <v>87</v>
      </c>
      <c r="G312" t="s">
        <v>88</v>
      </c>
      <c r="H312" t="s">
        <v>89</v>
      </c>
    </row>
    <row r="313" spans="1:9" x14ac:dyDescent="0.25">
      <c r="A313" s="16"/>
      <c r="B313" s="25"/>
      <c r="C313" s="25"/>
      <c r="D313" t="s">
        <v>86</v>
      </c>
      <c r="E313" t="s">
        <v>46</v>
      </c>
      <c r="F313" t="s">
        <v>87</v>
      </c>
      <c r="G313" t="s">
        <v>88</v>
      </c>
      <c r="H313" t="s">
        <v>89</v>
      </c>
    </row>
    <row r="314" spans="1:9" x14ac:dyDescent="0.25">
      <c r="A314" s="16"/>
      <c r="B314" s="25"/>
      <c r="C314" s="25"/>
      <c r="D314" t="s">
        <v>86</v>
      </c>
      <c r="E314" t="s">
        <v>46</v>
      </c>
      <c r="F314" t="s">
        <v>87</v>
      </c>
      <c r="G314" t="s">
        <v>88</v>
      </c>
      <c r="H314" t="s">
        <v>89</v>
      </c>
    </row>
    <row r="315" spans="1:9" x14ac:dyDescent="0.25">
      <c r="A315" s="16"/>
      <c r="B315" s="25"/>
      <c r="C315" s="25"/>
      <c r="D315" t="s">
        <v>86</v>
      </c>
      <c r="E315" t="s">
        <v>46</v>
      </c>
      <c r="F315" t="s">
        <v>87</v>
      </c>
      <c r="G315" t="s">
        <v>88</v>
      </c>
      <c r="H315" t="s">
        <v>89</v>
      </c>
    </row>
    <row r="316" spans="1:9" x14ac:dyDescent="0.25">
      <c r="A316" s="16"/>
      <c r="B316" s="25"/>
      <c r="C316" s="25"/>
      <c r="D316" t="s">
        <v>86</v>
      </c>
      <c r="E316" t="s">
        <v>46</v>
      </c>
      <c r="F316" t="s">
        <v>87</v>
      </c>
      <c r="G316" t="s">
        <v>88</v>
      </c>
      <c r="H316" t="s">
        <v>89</v>
      </c>
    </row>
    <row r="317" spans="1:9" x14ac:dyDescent="0.25">
      <c r="A317" s="16"/>
      <c r="B317" s="25"/>
      <c r="C317" s="25"/>
      <c r="D317" t="s">
        <v>86</v>
      </c>
      <c r="E317" t="s">
        <v>46</v>
      </c>
      <c r="F317" t="s">
        <v>87</v>
      </c>
      <c r="G317" t="s">
        <v>88</v>
      </c>
      <c r="H317" t="s">
        <v>89</v>
      </c>
    </row>
    <row r="318" spans="1:9" x14ac:dyDescent="0.25">
      <c r="A318" s="16"/>
      <c r="B318" s="25"/>
      <c r="C318" s="25"/>
      <c r="D318" t="s">
        <v>86</v>
      </c>
      <c r="E318" t="s">
        <v>46</v>
      </c>
      <c r="F318" t="s">
        <v>87</v>
      </c>
      <c r="G318" t="s">
        <v>88</v>
      </c>
      <c r="H318" t="s">
        <v>89</v>
      </c>
    </row>
    <row r="319" spans="1:9" x14ac:dyDescent="0.25">
      <c r="A319" s="16"/>
      <c r="B319" s="25"/>
      <c r="C319" s="25"/>
      <c r="D319" t="s">
        <v>86</v>
      </c>
      <c r="E319" t="s">
        <v>46</v>
      </c>
      <c r="F319" t="s">
        <v>87</v>
      </c>
      <c r="G319" t="s">
        <v>88</v>
      </c>
      <c r="H319" t="s">
        <v>89</v>
      </c>
    </row>
    <row r="320" spans="1:9" x14ac:dyDescent="0.25">
      <c r="A320" s="16"/>
      <c r="B320" s="25"/>
      <c r="C320" s="25"/>
      <c r="D320" t="s">
        <v>86</v>
      </c>
      <c r="E320" t="s">
        <v>46</v>
      </c>
      <c r="F320" t="s">
        <v>87</v>
      </c>
      <c r="G320" t="s">
        <v>88</v>
      </c>
      <c r="H320" t="s">
        <v>89</v>
      </c>
    </row>
    <row r="321" spans="1:9" x14ac:dyDescent="0.25">
      <c r="A321" s="16"/>
      <c r="B321" s="25"/>
      <c r="C321" s="25"/>
      <c r="D321" t="s">
        <v>86</v>
      </c>
      <c r="E321" t="s">
        <v>46</v>
      </c>
      <c r="F321" t="s">
        <v>87</v>
      </c>
      <c r="G321" t="s">
        <v>88</v>
      </c>
      <c r="H321" t="s">
        <v>89</v>
      </c>
    </row>
    <row r="322" spans="1:9" x14ac:dyDescent="0.25">
      <c r="A322" s="16"/>
      <c r="B322" s="25"/>
      <c r="C322" s="25"/>
      <c r="D322" t="s">
        <v>86</v>
      </c>
      <c r="E322" t="s">
        <v>46</v>
      </c>
      <c r="F322" t="s">
        <v>87</v>
      </c>
      <c r="G322" t="s">
        <v>88</v>
      </c>
      <c r="H322" t="s">
        <v>89</v>
      </c>
    </row>
    <row r="323" spans="1:9" x14ac:dyDescent="0.25">
      <c r="A323" s="16"/>
      <c r="B323" s="25"/>
      <c r="C323" s="25"/>
      <c r="D323" t="s">
        <v>86</v>
      </c>
      <c r="E323" t="s">
        <v>46</v>
      </c>
      <c r="F323" t="s">
        <v>87</v>
      </c>
      <c r="G323" t="s">
        <v>88</v>
      </c>
      <c r="H323" t="s">
        <v>89</v>
      </c>
    </row>
    <row r="324" spans="1:9" x14ac:dyDescent="0.25">
      <c r="A324" s="16"/>
      <c r="B324" s="25"/>
      <c r="C324" s="25"/>
      <c r="D324" t="s">
        <v>86</v>
      </c>
      <c r="E324" t="s">
        <v>46</v>
      </c>
      <c r="F324" t="s">
        <v>87</v>
      </c>
      <c r="G324" t="s">
        <v>88</v>
      </c>
      <c r="H324" t="s">
        <v>89</v>
      </c>
    </row>
    <row r="325" spans="1:9" x14ac:dyDescent="0.25">
      <c r="A325" s="16"/>
      <c r="B325" s="25"/>
      <c r="C325" s="25"/>
      <c r="D325" t="s">
        <v>86</v>
      </c>
      <c r="E325" t="s">
        <v>46</v>
      </c>
      <c r="F325" t="s">
        <v>87</v>
      </c>
      <c r="G325" t="s">
        <v>88</v>
      </c>
      <c r="H325" t="s">
        <v>89</v>
      </c>
    </row>
    <row r="326" spans="1:9" x14ac:dyDescent="0.25">
      <c r="A326" s="16"/>
      <c r="B326" s="25"/>
      <c r="C326" s="25"/>
      <c r="D326" t="s">
        <v>86</v>
      </c>
      <c r="E326" t="s">
        <v>46</v>
      </c>
      <c r="F326" t="s">
        <v>87</v>
      </c>
      <c r="G326" t="s">
        <v>88</v>
      </c>
      <c r="H326" t="s">
        <v>89</v>
      </c>
    </row>
    <row r="327" spans="1:9" x14ac:dyDescent="0.25">
      <c r="A327" s="16"/>
      <c r="B327" s="25"/>
      <c r="C327" s="25"/>
      <c r="D327" t="s">
        <v>86</v>
      </c>
      <c r="E327" t="s">
        <v>46</v>
      </c>
      <c r="F327" t="s">
        <v>87</v>
      </c>
      <c r="G327" t="s">
        <v>88</v>
      </c>
      <c r="H327" t="s">
        <v>89</v>
      </c>
    </row>
    <row r="328" spans="1:9" x14ac:dyDescent="0.25">
      <c r="A328" s="16"/>
      <c r="B328" s="25"/>
      <c r="C328" s="25"/>
      <c r="D328" t="s">
        <v>86</v>
      </c>
      <c r="E328" t="s">
        <v>46</v>
      </c>
      <c r="F328" t="s">
        <v>87</v>
      </c>
      <c r="G328" t="s">
        <v>88</v>
      </c>
      <c r="H328" t="s">
        <v>89</v>
      </c>
    </row>
    <row r="329" spans="1:9" x14ac:dyDescent="0.25">
      <c r="A329" s="16"/>
      <c r="B329" s="25"/>
      <c r="C329" s="25"/>
      <c r="D329" t="s">
        <v>86</v>
      </c>
      <c r="E329" t="s">
        <v>46</v>
      </c>
      <c r="F329" t="s">
        <v>87</v>
      </c>
      <c r="G329" t="s">
        <v>88</v>
      </c>
      <c r="H329" t="s">
        <v>89</v>
      </c>
    </row>
    <row r="330" spans="1:9" x14ac:dyDescent="0.25">
      <c r="A330" s="16"/>
      <c r="B330" s="25"/>
      <c r="C330" s="25"/>
      <c r="D330" t="s">
        <v>86</v>
      </c>
      <c r="E330" t="s">
        <v>46</v>
      </c>
      <c r="F330" t="s">
        <v>87</v>
      </c>
      <c r="G330" t="s">
        <v>88</v>
      </c>
      <c r="H330" t="s">
        <v>89</v>
      </c>
    </row>
    <row r="331" spans="1:9" x14ac:dyDescent="0.25">
      <c r="A331" s="16"/>
      <c r="B331" s="25"/>
      <c r="C331" s="25"/>
      <c r="D331" t="s">
        <v>86</v>
      </c>
      <c r="E331" t="s">
        <v>46</v>
      </c>
      <c r="F331" t="s">
        <v>87</v>
      </c>
      <c r="G331" t="s">
        <v>88</v>
      </c>
      <c r="H331" t="s">
        <v>89</v>
      </c>
    </row>
    <row r="332" spans="1:9" x14ac:dyDescent="0.25">
      <c r="A332" s="16"/>
      <c r="B332" s="25"/>
      <c r="C332" s="25"/>
      <c r="D332" t="s">
        <v>86</v>
      </c>
      <c r="E332" t="s">
        <v>46</v>
      </c>
      <c r="F332" t="s">
        <v>87</v>
      </c>
      <c r="G332" t="s">
        <v>88</v>
      </c>
      <c r="H332" t="s">
        <v>89</v>
      </c>
    </row>
    <row r="333" spans="1:9" x14ac:dyDescent="0.25">
      <c r="A333" s="16"/>
      <c r="B333" s="25"/>
      <c r="C333" s="25"/>
      <c r="D333" t="s">
        <v>86</v>
      </c>
      <c r="E333" t="s">
        <v>46</v>
      </c>
      <c r="F333" t="s">
        <v>87</v>
      </c>
      <c r="G333" t="s">
        <v>88</v>
      </c>
      <c r="H333" t="s">
        <v>89</v>
      </c>
    </row>
    <row r="334" spans="1:9" x14ac:dyDescent="0.25">
      <c r="A334" s="16"/>
      <c r="B334" s="25"/>
      <c r="C334" s="25"/>
      <c r="D334" t="s">
        <v>86</v>
      </c>
      <c r="E334" t="s">
        <v>46</v>
      </c>
      <c r="F334" t="s">
        <v>87</v>
      </c>
      <c r="G334" t="s">
        <v>88</v>
      </c>
      <c r="H334" t="s">
        <v>89</v>
      </c>
    </row>
    <row r="335" spans="1:9" x14ac:dyDescent="0.25">
      <c r="A335" s="16"/>
      <c r="B335" s="25"/>
      <c r="C335" s="25"/>
      <c r="D335" t="s">
        <v>86</v>
      </c>
      <c r="E335" t="s">
        <v>46</v>
      </c>
      <c r="F335" t="s">
        <v>87</v>
      </c>
      <c r="G335" t="s">
        <v>88</v>
      </c>
      <c r="H335" t="s">
        <v>89</v>
      </c>
    </row>
    <row r="336" spans="1:9" x14ac:dyDescent="0.25">
      <c r="A336" s="16"/>
      <c r="B336" s="25"/>
      <c r="C336" s="25"/>
      <c r="D336" t="s">
        <v>86</v>
      </c>
      <c r="E336" t="s">
        <v>46</v>
      </c>
      <c r="F336" t="s">
        <v>87</v>
      </c>
      <c r="G336" t="s">
        <v>88</v>
      </c>
      <c r="H336" t="s">
        <v>89</v>
      </c>
    </row>
    <row r="337" spans="1:9" x14ac:dyDescent="0.25">
      <c r="A337" s="16"/>
      <c r="B337" s="25"/>
      <c r="C337" s="25"/>
      <c r="D337" t="s">
        <v>86</v>
      </c>
      <c r="E337" t="s">
        <v>46</v>
      </c>
      <c r="F337" t="s">
        <v>87</v>
      </c>
      <c r="G337" t="s">
        <v>88</v>
      </c>
      <c r="H337" t="s">
        <v>89</v>
      </c>
    </row>
    <row r="338" spans="1:9" x14ac:dyDescent="0.25">
      <c r="A338" s="16"/>
      <c r="B338" s="25"/>
      <c r="C338" s="25"/>
      <c r="D338" t="s">
        <v>86</v>
      </c>
      <c r="E338" t="s">
        <v>46</v>
      </c>
      <c r="F338" t="s">
        <v>87</v>
      </c>
      <c r="G338" t="s">
        <v>88</v>
      </c>
      <c r="H338" t="s">
        <v>89</v>
      </c>
    </row>
    <row r="339" spans="1:9" x14ac:dyDescent="0.25">
      <c r="A339" s="16"/>
      <c r="B339" s="25"/>
      <c r="C339" s="25"/>
      <c r="D339" t="s">
        <v>86</v>
      </c>
      <c r="E339" t="s">
        <v>46</v>
      </c>
      <c r="F339" t="s">
        <v>87</v>
      </c>
      <c r="G339" t="s">
        <v>88</v>
      </c>
      <c r="H339" t="s">
        <v>89</v>
      </c>
    </row>
    <row r="340" spans="1:9" x14ac:dyDescent="0.25">
      <c r="A340" s="16"/>
      <c r="B340" s="25"/>
      <c r="C340" s="25"/>
      <c r="D340" t="s">
        <v>86</v>
      </c>
      <c r="E340" t="s">
        <v>46</v>
      </c>
      <c r="F340" t="s">
        <v>87</v>
      </c>
      <c r="G340" t="s">
        <v>88</v>
      </c>
      <c r="H340" t="s">
        <v>89</v>
      </c>
    </row>
    <row r="341" spans="1:9" x14ac:dyDescent="0.25">
      <c r="A341" s="16"/>
      <c r="B341" s="25"/>
      <c r="C341" s="25"/>
      <c r="D341" t="s">
        <v>86</v>
      </c>
      <c r="E341" t="s">
        <v>46</v>
      </c>
      <c r="F341" t="s">
        <v>87</v>
      </c>
      <c r="G341" t="s">
        <v>88</v>
      </c>
      <c r="H341" t="s">
        <v>89</v>
      </c>
    </row>
    <row r="342" spans="1:9" x14ac:dyDescent="0.25">
      <c r="A342" s="16"/>
      <c r="B342" s="25"/>
      <c r="C342" s="25"/>
      <c r="D342" t="s">
        <v>86</v>
      </c>
      <c r="E342" t="s">
        <v>46</v>
      </c>
      <c r="F342" t="s">
        <v>87</v>
      </c>
      <c r="G342" t="s">
        <v>88</v>
      </c>
      <c r="H342" t="s">
        <v>89</v>
      </c>
    </row>
    <row r="343" spans="1:9" x14ac:dyDescent="0.25">
      <c r="A343" s="16"/>
      <c r="B343" s="25"/>
      <c r="C343" s="25"/>
      <c r="D343" t="s">
        <v>86</v>
      </c>
      <c r="E343" t="s">
        <v>46</v>
      </c>
      <c r="F343" t="s">
        <v>87</v>
      </c>
      <c r="G343" t="s">
        <v>88</v>
      </c>
      <c r="H343" t="s">
        <v>89</v>
      </c>
    </row>
    <row r="344" spans="1:9" x14ac:dyDescent="0.25">
      <c r="A344" s="16"/>
      <c r="B344" s="25"/>
      <c r="C344" s="25"/>
      <c r="D344" t="s">
        <v>86</v>
      </c>
      <c r="E344" t="s">
        <v>46</v>
      </c>
      <c r="F344" t="s">
        <v>87</v>
      </c>
      <c r="G344" t="s">
        <v>88</v>
      </c>
      <c r="H344" t="s">
        <v>89</v>
      </c>
    </row>
    <row r="345" spans="1:9" x14ac:dyDescent="0.25">
      <c r="A345" s="16"/>
      <c r="B345" s="25"/>
      <c r="C345" s="25"/>
      <c r="D345" t="s">
        <v>86</v>
      </c>
      <c r="E345" t="s">
        <v>46</v>
      </c>
      <c r="F345" t="s">
        <v>87</v>
      </c>
      <c r="G345" t="s">
        <v>88</v>
      </c>
      <c r="H345" t="s">
        <v>89</v>
      </c>
    </row>
    <row r="346" spans="1:9" x14ac:dyDescent="0.25">
      <c r="A346" s="16"/>
      <c r="B346" s="25"/>
      <c r="C346" s="25"/>
      <c r="D346" t="s">
        <v>86</v>
      </c>
      <c r="E346" t="s">
        <v>46</v>
      </c>
      <c r="F346" t="s">
        <v>87</v>
      </c>
      <c r="G346" t="s">
        <v>88</v>
      </c>
      <c r="H346" t="s">
        <v>89</v>
      </c>
    </row>
    <row r="347" spans="1:9" x14ac:dyDescent="0.25">
      <c r="A347" s="16"/>
      <c r="B347" s="25"/>
      <c r="C347" s="25"/>
      <c r="D347" t="s">
        <v>86</v>
      </c>
      <c r="E347" t="s">
        <v>46</v>
      </c>
      <c r="F347" t="s">
        <v>87</v>
      </c>
      <c r="G347" t="s">
        <v>88</v>
      </c>
      <c r="H347" t="s">
        <v>89</v>
      </c>
    </row>
    <row r="348" spans="1:9" x14ac:dyDescent="0.25">
      <c r="A348" s="16"/>
      <c r="B348" s="25"/>
      <c r="C348" s="25"/>
      <c r="D348" t="s">
        <v>86</v>
      </c>
      <c r="E348" t="s">
        <v>46</v>
      </c>
      <c r="F348" t="s">
        <v>87</v>
      </c>
      <c r="G348" t="s">
        <v>88</v>
      </c>
      <c r="H348" t="s">
        <v>89</v>
      </c>
    </row>
    <row r="349" spans="1:9" x14ac:dyDescent="0.25">
      <c r="A349" s="16"/>
      <c r="B349" s="25"/>
      <c r="C349" s="25"/>
      <c r="D349" t="s">
        <v>86</v>
      </c>
      <c r="E349" t="s">
        <v>46</v>
      </c>
      <c r="F349" t="s">
        <v>87</v>
      </c>
      <c r="G349" t="s">
        <v>88</v>
      </c>
      <c r="H349" t="s">
        <v>89</v>
      </c>
    </row>
    <row r="350" spans="1:9" x14ac:dyDescent="0.25">
      <c r="A350" s="16"/>
      <c r="B350" s="25"/>
      <c r="C350" s="25"/>
      <c r="D350" t="s">
        <v>86</v>
      </c>
      <c r="E350" t="s">
        <v>46</v>
      </c>
      <c r="F350" t="s">
        <v>87</v>
      </c>
      <c r="G350" t="s">
        <v>88</v>
      </c>
      <c r="H350" t="s">
        <v>89</v>
      </c>
    </row>
    <row r="351" spans="1:9" x14ac:dyDescent="0.25">
      <c r="A351" s="16"/>
      <c r="B351" s="25"/>
      <c r="C351" s="25"/>
      <c r="D351" t="s">
        <v>86</v>
      </c>
      <c r="E351" t="s">
        <v>46</v>
      </c>
      <c r="F351" t="s">
        <v>87</v>
      </c>
      <c r="G351" t="s">
        <v>88</v>
      </c>
      <c r="H351" t="s">
        <v>89</v>
      </c>
    </row>
    <row r="352" spans="1:9" x14ac:dyDescent="0.25">
      <c r="A352" s="16"/>
      <c r="B352" s="25"/>
      <c r="C352" s="25"/>
      <c r="D352" t="s">
        <v>86</v>
      </c>
      <c r="E352" t="s">
        <v>46</v>
      </c>
      <c r="F352" t="s">
        <v>87</v>
      </c>
      <c r="G352" t="s">
        <v>88</v>
      </c>
      <c r="H352" t="s">
        <v>89</v>
      </c>
    </row>
    <row r="353" spans="1:9" x14ac:dyDescent="0.25">
      <c r="A353" s="16"/>
      <c r="B353" s="25"/>
      <c r="C353" s="25"/>
      <c r="D353" t="s">
        <v>86</v>
      </c>
      <c r="E353" t="s">
        <v>46</v>
      </c>
      <c r="F353" t="s">
        <v>87</v>
      </c>
      <c r="G353" t="s">
        <v>88</v>
      </c>
      <c r="H353" t="s">
        <v>89</v>
      </c>
    </row>
    <row r="354" spans="1:9" x14ac:dyDescent="0.25">
      <c r="A354" s="16"/>
      <c r="B354" s="25"/>
      <c r="C354" s="25"/>
      <c r="D354" t="s">
        <v>86</v>
      </c>
      <c r="E354" t="s">
        <v>46</v>
      </c>
      <c r="F354" t="s">
        <v>87</v>
      </c>
      <c r="G354" t="s">
        <v>88</v>
      </c>
      <c r="H354" t="s">
        <v>89</v>
      </c>
    </row>
    <row r="355" spans="1:9" x14ac:dyDescent="0.25">
      <c r="A355" s="16"/>
      <c r="B355" s="25"/>
      <c r="C355" s="25"/>
      <c r="D355" t="s">
        <v>86</v>
      </c>
      <c r="E355" t="s">
        <v>46</v>
      </c>
      <c r="F355" t="s">
        <v>87</v>
      </c>
      <c r="G355" t="s">
        <v>88</v>
      </c>
      <c r="H355" t="s">
        <v>89</v>
      </c>
    </row>
    <row r="356" spans="1:9" x14ac:dyDescent="0.25">
      <c r="A356" s="16"/>
      <c r="B356" s="25"/>
      <c r="C356" s="25"/>
      <c r="D356" t="s">
        <v>86</v>
      </c>
      <c r="E356" t="s">
        <v>46</v>
      </c>
      <c r="F356" t="s">
        <v>87</v>
      </c>
      <c r="G356" t="s">
        <v>88</v>
      </c>
      <c r="H356" t="s">
        <v>89</v>
      </c>
    </row>
    <row r="357" spans="1:9" x14ac:dyDescent="0.25">
      <c r="A357" s="16"/>
      <c r="B357" s="25"/>
      <c r="C357" s="25"/>
      <c r="D357" t="s">
        <v>86</v>
      </c>
      <c r="E357" t="s">
        <v>46</v>
      </c>
      <c r="F357" t="s">
        <v>87</v>
      </c>
      <c r="G357" t="s">
        <v>88</v>
      </c>
      <c r="H357" t="s">
        <v>89</v>
      </c>
    </row>
    <row r="358" spans="1:9" x14ac:dyDescent="0.25">
      <c r="A358" s="16"/>
      <c r="B358" s="25"/>
      <c r="C358" s="25"/>
      <c r="D358" t="s">
        <v>86</v>
      </c>
      <c r="E358" t="s">
        <v>46</v>
      </c>
      <c r="F358" t="s">
        <v>87</v>
      </c>
      <c r="G358" t="s">
        <v>88</v>
      </c>
      <c r="H358" t="s">
        <v>89</v>
      </c>
    </row>
    <row r="359" spans="1:9" x14ac:dyDescent="0.25">
      <c r="A359" s="16"/>
      <c r="B359" s="25"/>
      <c r="C359" s="25"/>
      <c r="D359" t="s">
        <v>86</v>
      </c>
      <c r="E359" t="s">
        <v>46</v>
      </c>
      <c r="F359" t="s">
        <v>87</v>
      </c>
      <c r="G359" t="s">
        <v>88</v>
      </c>
      <c r="H359" t="s">
        <v>89</v>
      </c>
    </row>
    <row r="360" spans="1:9" x14ac:dyDescent="0.25">
      <c r="A360" s="16"/>
      <c r="B360" s="25"/>
      <c r="C360" s="25"/>
      <c r="D360" t="s">
        <v>86</v>
      </c>
      <c r="E360" t="s">
        <v>46</v>
      </c>
      <c r="F360" t="s">
        <v>87</v>
      </c>
      <c r="G360" t="s">
        <v>88</v>
      </c>
      <c r="H360" t="s">
        <v>89</v>
      </c>
    </row>
    <row r="361" spans="1:9" x14ac:dyDescent="0.25">
      <c r="A361" s="16"/>
      <c r="B361" s="25"/>
      <c r="C361" s="25"/>
      <c r="D361" t="s">
        <v>86</v>
      </c>
      <c r="E361" t="s">
        <v>46</v>
      </c>
      <c r="F361" t="s">
        <v>87</v>
      </c>
      <c r="G361" t="s">
        <v>88</v>
      </c>
      <c r="H361" t="s">
        <v>89</v>
      </c>
    </row>
    <row r="362" spans="1:9" x14ac:dyDescent="0.25">
      <c r="A362" s="16"/>
      <c r="B362" s="25"/>
      <c r="C362" s="25"/>
      <c r="D362" t="s">
        <v>86</v>
      </c>
      <c r="E362" t="s">
        <v>46</v>
      </c>
      <c r="F362" t="s">
        <v>87</v>
      </c>
      <c r="G362" t="s">
        <v>88</v>
      </c>
      <c r="H362" t="s">
        <v>89</v>
      </c>
    </row>
    <row r="363" spans="1:9" x14ac:dyDescent="0.25">
      <c r="A363" s="16"/>
      <c r="B363" s="25"/>
      <c r="C363" s="25"/>
      <c r="D363" t="s">
        <v>86</v>
      </c>
      <c r="E363" t="s">
        <v>46</v>
      </c>
      <c r="F363" t="s">
        <v>87</v>
      </c>
      <c r="G363" t="s">
        <v>88</v>
      </c>
      <c r="H363" t="s">
        <v>89</v>
      </c>
    </row>
    <row r="364" spans="1:9" x14ac:dyDescent="0.25">
      <c r="A364" s="16"/>
      <c r="B364" s="25"/>
      <c r="C364" s="25"/>
      <c r="D364" t="s">
        <v>86</v>
      </c>
      <c r="E364" t="s">
        <v>46</v>
      </c>
      <c r="F364" t="s">
        <v>87</v>
      </c>
      <c r="G364" t="s">
        <v>88</v>
      </c>
      <c r="H364" t="s">
        <v>89</v>
      </c>
    </row>
    <row r="365" spans="1:9" x14ac:dyDescent="0.25">
      <c r="A365" s="16"/>
      <c r="B365" s="25"/>
      <c r="C365" s="25"/>
      <c r="D365" t="s">
        <v>86</v>
      </c>
      <c r="E365" t="s">
        <v>46</v>
      </c>
      <c r="F365" t="s">
        <v>87</v>
      </c>
      <c r="G365" t="s">
        <v>88</v>
      </c>
      <c r="H365" t="s">
        <v>89</v>
      </c>
    </row>
    <row r="366" spans="1:9" x14ac:dyDescent="0.25">
      <c r="A366" s="16"/>
      <c r="B366" s="25"/>
      <c r="C366" s="25"/>
      <c r="D366" t="s">
        <v>86</v>
      </c>
      <c r="E366" t="s">
        <v>46</v>
      </c>
      <c r="F366" t="s">
        <v>87</v>
      </c>
      <c r="G366" t="s">
        <v>88</v>
      </c>
      <c r="H366" t="s">
        <v>89</v>
      </c>
    </row>
    <row r="367" spans="1:9" x14ac:dyDescent="0.25">
      <c r="A367" s="16"/>
      <c r="B367" s="25"/>
      <c r="C367" s="25"/>
      <c r="D367" t="s">
        <v>86</v>
      </c>
      <c r="E367" t="s">
        <v>46</v>
      </c>
      <c r="F367" t="s">
        <v>87</v>
      </c>
      <c r="G367" t="s">
        <v>88</v>
      </c>
      <c r="H367" t="s">
        <v>89</v>
      </c>
    </row>
    <row r="368" spans="1:9" x14ac:dyDescent="0.25">
      <c r="A368" s="16"/>
      <c r="B368" s="25"/>
      <c r="C368" s="25"/>
      <c r="D368" t="s">
        <v>86</v>
      </c>
      <c r="E368" t="s">
        <v>46</v>
      </c>
      <c r="F368" t="s">
        <v>87</v>
      </c>
      <c r="G368" t="s">
        <v>88</v>
      </c>
      <c r="H368" t="s">
        <v>89</v>
      </c>
    </row>
    <row r="369" spans="1:9" x14ac:dyDescent="0.25">
      <c r="A369" s="16"/>
      <c r="B369" s="25"/>
      <c r="C369" s="25"/>
      <c r="D369" t="s">
        <v>86</v>
      </c>
      <c r="E369" t="s">
        <v>46</v>
      </c>
      <c r="F369" t="s">
        <v>87</v>
      </c>
      <c r="G369" t="s">
        <v>88</v>
      </c>
      <c r="H369" t="s">
        <v>89</v>
      </c>
    </row>
    <row r="370" spans="1:9" x14ac:dyDescent="0.25">
      <c r="A370" s="16"/>
      <c r="B370" s="25"/>
      <c r="C370" s="25"/>
      <c r="D370" t="s">
        <v>86</v>
      </c>
      <c r="E370" t="s">
        <v>46</v>
      </c>
      <c r="F370" t="s">
        <v>87</v>
      </c>
      <c r="G370" t="s">
        <v>88</v>
      </c>
      <c r="H370" t="s">
        <v>89</v>
      </c>
    </row>
    <row r="371" spans="1:9" x14ac:dyDescent="0.25">
      <c r="A371" s="16"/>
      <c r="B371" s="25"/>
      <c r="C371" s="25"/>
      <c r="D371" t="s">
        <v>86</v>
      </c>
      <c r="E371" t="s">
        <v>46</v>
      </c>
      <c r="F371" t="s">
        <v>87</v>
      </c>
      <c r="G371" t="s">
        <v>88</v>
      </c>
      <c r="H371" t="s">
        <v>89</v>
      </c>
    </row>
    <row r="372" spans="1:9" x14ac:dyDescent="0.25">
      <c r="A372" s="16"/>
      <c r="B372" s="25"/>
      <c r="C372" s="25"/>
      <c r="D372" t="s">
        <v>86</v>
      </c>
      <c r="E372" t="s">
        <v>46</v>
      </c>
      <c r="F372" t="s">
        <v>87</v>
      </c>
      <c r="G372" t="s">
        <v>88</v>
      </c>
      <c r="H372" t="s">
        <v>89</v>
      </c>
    </row>
    <row r="373" spans="1:9" x14ac:dyDescent="0.25">
      <c r="A373" s="16"/>
      <c r="B373" s="25"/>
      <c r="C373" s="25"/>
      <c r="D373" t="s">
        <v>86</v>
      </c>
      <c r="E373" t="s">
        <v>46</v>
      </c>
      <c r="F373" t="s">
        <v>87</v>
      </c>
      <c r="G373" t="s">
        <v>88</v>
      </c>
      <c r="H373" t="s">
        <v>89</v>
      </c>
    </row>
    <row r="374" spans="1:9" x14ac:dyDescent="0.25">
      <c r="A374" s="16"/>
      <c r="B374" s="25"/>
      <c r="C374" s="25"/>
      <c r="D374" t="s">
        <v>86</v>
      </c>
      <c r="E374" t="s">
        <v>46</v>
      </c>
      <c r="F374" t="s">
        <v>87</v>
      </c>
      <c r="G374" t="s">
        <v>88</v>
      </c>
      <c r="H374" t="s">
        <v>89</v>
      </c>
    </row>
    <row r="375" spans="1:9" x14ac:dyDescent="0.25">
      <c r="A375" s="16"/>
      <c r="B375" s="25"/>
      <c r="C375" s="25"/>
      <c r="D375" t="s">
        <v>86</v>
      </c>
      <c r="E375" t="s">
        <v>46</v>
      </c>
      <c r="F375" t="s">
        <v>87</v>
      </c>
      <c r="G375" t="s">
        <v>88</v>
      </c>
      <c r="H375" t="s">
        <v>89</v>
      </c>
    </row>
    <row r="376" spans="1:9" x14ac:dyDescent="0.25">
      <c r="A376" s="16"/>
      <c r="B376" s="25"/>
      <c r="C376" s="25"/>
      <c r="D376" t="s">
        <v>86</v>
      </c>
      <c r="E376" t="s">
        <v>46</v>
      </c>
      <c r="F376" t="s">
        <v>87</v>
      </c>
      <c r="G376" t="s">
        <v>88</v>
      </c>
      <c r="H376" t="s">
        <v>89</v>
      </c>
    </row>
    <row r="377" spans="1:9" x14ac:dyDescent="0.25">
      <c r="A377" s="16"/>
      <c r="B377" s="25"/>
      <c r="C377" s="25"/>
      <c r="D377" t="s">
        <v>86</v>
      </c>
      <c r="E377" t="s">
        <v>46</v>
      </c>
      <c r="F377" t="s">
        <v>87</v>
      </c>
      <c r="G377" t="s">
        <v>88</v>
      </c>
      <c r="H377" t="s">
        <v>89</v>
      </c>
    </row>
    <row r="378" spans="1:9" x14ac:dyDescent="0.25">
      <c r="A378" s="16"/>
      <c r="B378" s="25"/>
      <c r="C378" s="25"/>
      <c r="D378" t="s">
        <v>86</v>
      </c>
      <c r="E378" t="s">
        <v>46</v>
      </c>
      <c r="F378" t="s">
        <v>87</v>
      </c>
      <c r="G378" t="s">
        <v>88</v>
      </c>
      <c r="H378" t="s">
        <v>89</v>
      </c>
    </row>
    <row r="379" spans="1:9" x14ac:dyDescent="0.25">
      <c r="A379" s="16"/>
      <c r="B379" s="25"/>
      <c r="C379" s="25"/>
      <c r="D379" t="s">
        <v>86</v>
      </c>
      <c r="E379" t="s">
        <v>46</v>
      </c>
      <c r="F379" t="s">
        <v>87</v>
      </c>
      <c r="G379" t="s">
        <v>88</v>
      </c>
      <c r="H379" t="s">
        <v>89</v>
      </c>
    </row>
    <row r="380" spans="1:9" x14ac:dyDescent="0.25">
      <c r="A380" s="16"/>
      <c r="B380" s="25"/>
      <c r="C380" s="25"/>
      <c r="D380" t="s">
        <v>86</v>
      </c>
      <c r="E380" t="s">
        <v>46</v>
      </c>
      <c r="F380" t="s">
        <v>87</v>
      </c>
      <c r="G380" t="s">
        <v>88</v>
      </c>
      <c r="H380" t="s">
        <v>89</v>
      </c>
    </row>
    <row r="381" spans="1:9" x14ac:dyDescent="0.25">
      <c r="A381" s="16"/>
      <c r="B381" s="25"/>
      <c r="C381" s="25"/>
      <c r="D381" t="s">
        <v>86</v>
      </c>
      <c r="E381" t="s">
        <v>46</v>
      </c>
      <c r="F381" t="s">
        <v>87</v>
      </c>
      <c r="G381" t="s">
        <v>88</v>
      </c>
      <c r="H381" t="s">
        <v>89</v>
      </c>
    </row>
    <row r="382" spans="1:9" x14ac:dyDescent="0.25">
      <c r="A382" s="16"/>
      <c r="B382" s="25"/>
      <c r="C382" s="25"/>
      <c r="D382" t="s">
        <v>86</v>
      </c>
      <c r="E382" t="s">
        <v>46</v>
      </c>
      <c r="F382" t="s">
        <v>87</v>
      </c>
      <c r="G382" t="s">
        <v>88</v>
      </c>
      <c r="H382" t="s">
        <v>89</v>
      </c>
    </row>
    <row r="383" spans="1:9" x14ac:dyDescent="0.25">
      <c r="A383" s="16"/>
      <c r="B383" s="25"/>
      <c r="C383" s="25"/>
      <c r="D383" t="s">
        <v>86</v>
      </c>
      <c r="E383" t="s">
        <v>46</v>
      </c>
      <c r="F383" t="s">
        <v>87</v>
      </c>
      <c r="G383" t="s">
        <v>88</v>
      </c>
      <c r="H383" t="s">
        <v>89</v>
      </c>
    </row>
    <row r="384" spans="1:9" x14ac:dyDescent="0.25">
      <c r="A384" s="16"/>
      <c r="B384" s="25"/>
      <c r="C384" s="25"/>
      <c r="D384" t="s">
        <v>86</v>
      </c>
      <c r="E384" t="s">
        <v>46</v>
      </c>
      <c r="F384" t="s">
        <v>87</v>
      </c>
      <c r="G384" t="s">
        <v>88</v>
      </c>
      <c r="H384" t="s">
        <v>89</v>
      </c>
    </row>
    <row r="385" spans="1:9" x14ac:dyDescent="0.25">
      <c r="A385" s="16"/>
      <c r="B385" s="25"/>
      <c r="C385" s="25"/>
      <c r="D385" t="s">
        <v>86</v>
      </c>
      <c r="E385" t="s">
        <v>46</v>
      </c>
      <c r="F385" t="s">
        <v>87</v>
      </c>
      <c r="G385" t="s">
        <v>88</v>
      </c>
      <c r="H385" t="s">
        <v>89</v>
      </c>
    </row>
    <row r="386" spans="1:9" x14ac:dyDescent="0.25">
      <c r="A386" s="16"/>
      <c r="B386" s="25"/>
      <c r="C386" s="25"/>
      <c r="D386" t="s">
        <v>86</v>
      </c>
      <c r="E386" t="s">
        <v>46</v>
      </c>
      <c r="F386" t="s">
        <v>87</v>
      </c>
      <c r="G386" t="s">
        <v>88</v>
      </c>
      <c r="H386" t="s">
        <v>89</v>
      </c>
    </row>
    <row r="387" spans="1:9" x14ac:dyDescent="0.25">
      <c r="A387" s="16"/>
      <c r="B387" s="25"/>
      <c r="C387" s="25"/>
      <c r="D387" t="s">
        <v>86</v>
      </c>
      <c r="E387" t="s">
        <v>46</v>
      </c>
      <c r="F387" t="s">
        <v>87</v>
      </c>
      <c r="G387" t="s">
        <v>88</v>
      </c>
      <c r="H387" t="s">
        <v>89</v>
      </c>
    </row>
    <row r="388" spans="1:9" x14ac:dyDescent="0.25">
      <c r="A388" s="16"/>
      <c r="B388" s="25"/>
      <c r="C388" s="25"/>
      <c r="D388" t="s">
        <v>86</v>
      </c>
      <c r="E388" t="s">
        <v>46</v>
      </c>
      <c r="F388" t="s">
        <v>87</v>
      </c>
      <c r="G388" t="s">
        <v>88</v>
      </c>
      <c r="H388" t="s">
        <v>89</v>
      </c>
    </row>
    <row r="389" spans="1:9" x14ac:dyDescent="0.25">
      <c r="A389" s="16"/>
      <c r="B389" s="25"/>
      <c r="C389" s="25"/>
      <c r="D389" t="s">
        <v>86</v>
      </c>
      <c r="E389" t="s">
        <v>46</v>
      </c>
      <c r="F389" t="s">
        <v>87</v>
      </c>
      <c r="G389" t="s">
        <v>88</v>
      </c>
      <c r="H389" t="s">
        <v>89</v>
      </c>
    </row>
    <row r="390" spans="1:9" x14ac:dyDescent="0.25">
      <c r="A390" s="16"/>
      <c r="B390" s="25"/>
      <c r="C390" s="25"/>
      <c r="D390" t="s">
        <v>86</v>
      </c>
      <c r="E390" t="s">
        <v>46</v>
      </c>
      <c r="F390" t="s">
        <v>87</v>
      </c>
      <c r="G390" t="s">
        <v>88</v>
      </c>
      <c r="H390" t="s">
        <v>89</v>
      </c>
    </row>
    <row r="391" spans="1:9" x14ac:dyDescent="0.25">
      <c r="A391" s="16"/>
      <c r="B391" s="25"/>
      <c r="C391" s="25"/>
      <c r="D391" t="s">
        <v>86</v>
      </c>
      <c r="E391" t="s">
        <v>46</v>
      </c>
      <c r="F391" t="s">
        <v>87</v>
      </c>
      <c r="G391" t="s">
        <v>88</v>
      </c>
      <c r="H391" t="s">
        <v>89</v>
      </c>
    </row>
    <row r="392" spans="1:9" x14ac:dyDescent="0.25">
      <c r="A392" s="16"/>
      <c r="B392" s="25"/>
      <c r="C392" s="25"/>
      <c r="D392" t="s">
        <v>86</v>
      </c>
      <c r="E392" t="s">
        <v>46</v>
      </c>
      <c r="F392" t="s">
        <v>87</v>
      </c>
      <c r="G392" t="s">
        <v>88</v>
      </c>
      <c r="H392" t="s">
        <v>89</v>
      </c>
    </row>
    <row r="393" spans="1:9" x14ac:dyDescent="0.25">
      <c r="A393" s="16"/>
      <c r="B393" s="25"/>
      <c r="C393" s="25"/>
      <c r="D393" t="s">
        <v>86</v>
      </c>
      <c r="E393" t="s">
        <v>46</v>
      </c>
      <c r="F393" t="s">
        <v>87</v>
      </c>
      <c r="G393" t="s">
        <v>88</v>
      </c>
      <c r="H393" t="s">
        <v>89</v>
      </c>
    </row>
    <row r="394" spans="1:9" x14ac:dyDescent="0.25">
      <c r="A394" s="16"/>
      <c r="B394" s="25"/>
      <c r="C394" s="25"/>
      <c r="D394" t="s">
        <v>86</v>
      </c>
      <c r="E394" t="s">
        <v>46</v>
      </c>
      <c r="F394" t="s">
        <v>87</v>
      </c>
      <c r="G394" t="s">
        <v>88</v>
      </c>
      <c r="H394" t="s">
        <v>89</v>
      </c>
    </row>
    <row r="395" spans="1:9" x14ac:dyDescent="0.25">
      <c r="A395" s="16"/>
      <c r="B395" s="25"/>
      <c r="C395" s="25"/>
      <c r="D395" t="s">
        <v>86</v>
      </c>
      <c r="E395" t="s">
        <v>46</v>
      </c>
      <c r="F395" t="s">
        <v>87</v>
      </c>
      <c r="G395" t="s">
        <v>88</v>
      </c>
      <c r="H395" t="s">
        <v>89</v>
      </c>
    </row>
    <row r="396" spans="1:9" x14ac:dyDescent="0.25">
      <c r="A396" s="16"/>
      <c r="B396" s="25"/>
      <c r="C396" s="25"/>
      <c r="D396" t="s">
        <v>86</v>
      </c>
      <c r="E396" t="s">
        <v>46</v>
      </c>
      <c r="F396" t="s">
        <v>87</v>
      </c>
      <c r="G396" t="s">
        <v>88</v>
      </c>
      <c r="H396" t="s">
        <v>89</v>
      </c>
    </row>
    <row r="397" spans="1:9" x14ac:dyDescent="0.25">
      <c r="A397" s="16"/>
      <c r="B397" s="25"/>
      <c r="C397" s="25"/>
      <c r="D397" t="s">
        <v>86</v>
      </c>
      <c r="E397" t="s">
        <v>46</v>
      </c>
      <c r="F397" t="s">
        <v>87</v>
      </c>
      <c r="G397" t="s">
        <v>88</v>
      </c>
      <c r="H397" t="s">
        <v>89</v>
      </c>
    </row>
    <row r="398" spans="1:9" x14ac:dyDescent="0.25">
      <c r="A398" s="16"/>
      <c r="B398" s="25"/>
      <c r="C398" s="25"/>
      <c r="D398" t="s">
        <v>86</v>
      </c>
      <c r="E398" t="s">
        <v>46</v>
      </c>
      <c r="F398" t="s">
        <v>87</v>
      </c>
      <c r="G398" t="s">
        <v>88</v>
      </c>
      <c r="H398" t="s">
        <v>89</v>
      </c>
    </row>
    <row r="399" spans="1:9" x14ac:dyDescent="0.25">
      <c r="A399" s="16"/>
      <c r="B399" s="25"/>
      <c r="C399" s="25"/>
      <c r="D399" t="s">
        <v>86</v>
      </c>
      <c r="E399" t="s">
        <v>46</v>
      </c>
      <c r="F399" t="s">
        <v>87</v>
      </c>
      <c r="G399" t="s">
        <v>88</v>
      </c>
      <c r="H399" t="s">
        <v>89</v>
      </c>
    </row>
    <row r="400" spans="1:9" x14ac:dyDescent="0.25">
      <c r="A400" s="16"/>
      <c r="B400" s="25"/>
      <c r="C400" s="25"/>
      <c r="D400" t="s">
        <v>86</v>
      </c>
      <c r="E400" t="s">
        <v>46</v>
      </c>
      <c r="F400" t="s">
        <v>87</v>
      </c>
      <c r="G400" t="s">
        <v>88</v>
      </c>
      <c r="H400" t="s">
        <v>89</v>
      </c>
    </row>
    <row r="401" spans="1:9" x14ac:dyDescent="0.25">
      <c r="A401" s="16"/>
      <c r="B401" s="25"/>
      <c r="C401" s="25"/>
      <c r="D401" t="s">
        <v>86</v>
      </c>
      <c r="E401" t="s">
        <v>46</v>
      </c>
      <c r="F401" t="s">
        <v>87</v>
      </c>
      <c r="G401" t="s">
        <v>88</v>
      </c>
      <c r="H401" t="s">
        <v>89</v>
      </c>
    </row>
    <row r="402" spans="1:9" x14ac:dyDescent="0.25">
      <c r="A402" s="16"/>
      <c r="B402" s="25"/>
      <c r="C402" s="25"/>
      <c r="D402" t="s">
        <v>86</v>
      </c>
      <c r="E402" t="s">
        <v>46</v>
      </c>
      <c r="F402" t="s">
        <v>87</v>
      </c>
      <c r="G402" t="s">
        <v>88</v>
      </c>
      <c r="H402" t="s">
        <v>89</v>
      </c>
    </row>
    <row r="403" spans="1:9" x14ac:dyDescent="0.25">
      <c r="A403" s="16"/>
      <c r="B403" s="25"/>
      <c r="C403" s="25"/>
      <c r="D403" t="s">
        <v>86</v>
      </c>
      <c r="E403" t="s">
        <v>46</v>
      </c>
      <c r="F403" t="s">
        <v>87</v>
      </c>
      <c r="G403" t="s">
        <v>88</v>
      </c>
      <c r="H403" t="s">
        <v>89</v>
      </c>
    </row>
    <row r="404" spans="1:9" x14ac:dyDescent="0.25">
      <c r="A404" s="16"/>
      <c r="B404" s="25"/>
      <c r="C404" s="25"/>
      <c r="D404" t="s">
        <v>86</v>
      </c>
      <c r="E404" t="s">
        <v>46</v>
      </c>
      <c r="F404" t="s">
        <v>87</v>
      </c>
      <c r="G404" t="s">
        <v>88</v>
      </c>
      <c r="H404" t="s">
        <v>89</v>
      </c>
    </row>
    <row r="405" spans="1:9" x14ac:dyDescent="0.25">
      <c r="A405" s="16"/>
      <c r="B405" s="25"/>
      <c r="C405" s="25"/>
      <c r="D405" t="s">
        <v>86</v>
      </c>
      <c r="E405" t="s">
        <v>46</v>
      </c>
      <c r="F405" t="s">
        <v>87</v>
      </c>
      <c r="G405" t="s">
        <v>88</v>
      </c>
      <c r="H405" t="s">
        <v>89</v>
      </c>
    </row>
    <row r="406" spans="1:9" x14ac:dyDescent="0.25">
      <c r="A406" s="16"/>
      <c r="B406" s="25"/>
      <c r="C406" s="25"/>
      <c r="D406" t="s">
        <v>86</v>
      </c>
      <c r="E406" t="s">
        <v>46</v>
      </c>
      <c r="F406" t="s">
        <v>87</v>
      </c>
      <c r="G406" t="s">
        <v>88</v>
      </c>
      <c r="H406" t="s">
        <v>89</v>
      </c>
    </row>
    <row r="407" spans="1:9" x14ac:dyDescent="0.25">
      <c r="A407" s="16"/>
      <c r="B407" s="25"/>
      <c r="C407" s="25"/>
      <c r="D407" t="s">
        <v>86</v>
      </c>
      <c r="E407" t="s">
        <v>46</v>
      </c>
      <c r="F407" t="s">
        <v>87</v>
      </c>
      <c r="G407" t="s">
        <v>88</v>
      </c>
      <c r="H407" t="s">
        <v>89</v>
      </c>
    </row>
    <row r="408" spans="1:9" x14ac:dyDescent="0.25">
      <c r="A408" s="16"/>
      <c r="B408" s="25"/>
      <c r="C408" s="25"/>
      <c r="D408" t="s">
        <v>86</v>
      </c>
      <c r="E408" t="s">
        <v>46</v>
      </c>
      <c r="F408" t="s">
        <v>87</v>
      </c>
      <c r="G408" t="s">
        <v>88</v>
      </c>
      <c r="H408" t="s">
        <v>89</v>
      </c>
    </row>
    <row r="409" spans="1:9" x14ac:dyDescent="0.25">
      <c r="A409" s="16"/>
      <c r="B409" s="25"/>
      <c r="C409" s="25"/>
      <c r="D409" t="s">
        <v>86</v>
      </c>
      <c r="E409" t="s">
        <v>46</v>
      </c>
      <c r="F409" t="s">
        <v>87</v>
      </c>
      <c r="G409" t="s">
        <v>88</v>
      </c>
      <c r="H409" t="s">
        <v>89</v>
      </c>
    </row>
    <row r="410" spans="1:9" x14ac:dyDescent="0.25">
      <c r="A410" s="16"/>
      <c r="B410" s="25"/>
      <c r="C410" s="25"/>
      <c r="D410" t="s">
        <v>86</v>
      </c>
      <c r="E410" t="s">
        <v>46</v>
      </c>
      <c r="F410" t="s">
        <v>87</v>
      </c>
      <c r="G410" t="s">
        <v>88</v>
      </c>
      <c r="H410" t="s">
        <v>89</v>
      </c>
    </row>
    <row r="411" spans="1:9" x14ac:dyDescent="0.25">
      <c r="A411" s="16"/>
      <c r="B411" s="25"/>
      <c r="C411" s="25"/>
      <c r="D411" t="s">
        <v>86</v>
      </c>
      <c r="E411" t="s">
        <v>46</v>
      </c>
      <c r="F411" t="s">
        <v>87</v>
      </c>
      <c r="G411" t="s">
        <v>88</v>
      </c>
      <c r="H411" t="s">
        <v>89</v>
      </c>
    </row>
    <row r="412" spans="1:9" x14ac:dyDescent="0.25">
      <c r="A412" s="16"/>
      <c r="B412" s="25"/>
      <c r="C412" s="25"/>
      <c r="D412" t="s">
        <v>86</v>
      </c>
      <c r="E412" t="s">
        <v>46</v>
      </c>
      <c r="F412" t="s">
        <v>87</v>
      </c>
      <c r="G412" t="s">
        <v>88</v>
      </c>
      <c r="H412" t="s">
        <v>89</v>
      </c>
    </row>
    <row r="413" spans="1:9" x14ac:dyDescent="0.25">
      <c r="A413" s="16"/>
      <c r="B413" s="25"/>
      <c r="C413" s="25"/>
      <c r="D413" t="s">
        <v>86</v>
      </c>
      <c r="E413" t="s">
        <v>46</v>
      </c>
      <c r="F413" t="s">
        <v>87</v>
      </c>
      <c r="G413" t="s">
        <v>88</v>
      </c>
      <c r="H413" t="s">
        <v>89</v>
      </c>
    </row>
    <row r="414" spans="1:9" x14ac:dyDescent="0.25">
      <c r="A414" s="16"/>
      <c r="B414" s="25"/>
      <c r="C414" s="25"/>
      <c r="D414" t="s">
        <v>86</v>
      </c>
      <c r="E414" t="s">
        <v>46</v>
      </c>
      <c r="F414" t="s">
        <v>87</v>
      </c>
      <c r="G414" t="s">
        <v>88</v>
      </c>
      <c r="H414" t="s">
        <v>89</v>
      </c>
    </row>
    <row r="415" spans="1:9" x14ac:dyDescent="0.25">
      <c r="A415" s="16"/>
      <c r="B415" s="25"/>
      <c r="C415" s="25"/>
      <c r="D415" t="s">
        <v>86</v>
      </c>
      <c r="E415" t="s">
        <v>46</v>
      </c>
      <c r="F415" t="s">
        <v>87</v>
      </c>
      <c r="G415" t="s">
        <v>88</v>
      </c>
      <c r="H415" t="s">
        <v>89</v>
      </c>
    </row>
    <row r="416" spans="1:9" x14ac:dyDescent="0.25">
      <c r="A416" s="16"/>
      <c r="B416" s="25"/>
      <c r="C416" s="25"/>
      <c r="D416" t="s">
        <v>86</v>
      </c>
      <c r="E416" t="s">
        <v>46</v>
      </c>
      <c r="F416" t="s">
        <v>87</v>
      </c>
      <c r="G416" t="s">
        <v>88</v>
      </c>
      <c r="H416" t="s">
        <v>89</v>
      </c>
    </row>
    <row r="417" spans="1:9" x14ac:dyDescent="0.25">
      <c r="A417" s="16"/>
      <c r="B417" s="25"/>
      <c r="C417" s="25"/>
      <c r="D417" t="s">
        <v>86</v>
      </c>
      <c r="E417" t="s">
        <v>46</v>
      </c>
      <c r="F417" t="s">
        <v>87</v>
      </c>
      <c r="G417" t="s">
        <v>88</v>
      </c>
      <c r="H417" t="s">
        <v>89</v>
      </c>
    </row>
    <row r="418" spans="1:9" x14ac:dyDescent="0.25">
      <c r="A418" s="16"/>
      <c r="B418" s="25"/>
      <c r="C418" s="25"/>
      <c r="D418" t="s">
        <v>86</v>
      </c>
      <c r="E418" t="s">
        <v>46</v>
      </c>
      <c r="F418" t="s">
        <v>87</v>
      </c>
      <c r="G418" t="s">
        <v>88</v>
      </c>
      <c r="H418" t="s">
        <v>89</v>
      </c>
    </row>
    <row r="419" spans="1:9" x14ac:dyDescent="0.25">
      <c r="A419" s="16"/>
      <c r="B419" s="25"/>
      <c r="C419" s="25"/>
      <c r="D419" t="s">
        <v>86</v>
      </c>
      <c r="E419" t="s">
        <v>46</v>
      </c>
      <c r="F419" t="s">
        <v>87</v>
      </c>
      <c r="G419" t="s">
        <v>88</v>
      </c>
      <c r="H419" t="s">
        <v>89</v>
      </c>
    </row>
    <row r="420" spans="1:9" x14ac:dyDescent="0.25">
      <c r="A420" s="16"/>
      <c r="B420" s="25"/>
      <c r="C420" s="25"/>
      <c r="D420" t="s">
        <v>86</v>
      </c>
      <c r="E420" t="s">
        <v>46</v>
      </c>
      <c r="F420" t="s">
        <v>87</v>
      </c>
      <c r="G420" t="s">
        <v>88</v>
      </c>
      <c r="H420" t="s">
        <v>89</v>
      </c>
    </row>
    <row r="421" spans="1:9" x14ac:dyDescent="0.25">
      <c r="A421" s="16"/>
      <c r="B421" s="25"/>
      <c r="C421" s="25"/>
      <c r="D421" t="s">
        <v>86</v>
      </c>
      <c r="E421" t="s">
        <v>46</v>
      </c>
      <c r="F421" t="s">
        <v>87</v>
      </c>
      <c r="G421" t="s">
        <v>88</v>
      </c>
      <c r="H421" t="s">
        <v>89</v>
      </c>
    </row>
    <row r="422" spans="1:9" x14ac:dyDescent="0.25">
      <c r="A422" s="16"/>
      <c r="B422" s="25"/>
      <c r="C422" s="25"/>
      <c r="D422" t="s">
        <v>86</v>
      </c>
      <c r="E422" t="s">
        <v>46</v>
      </c>
      <c r="F422" t="s">
        <v>87</v>
      </c>
      <c r="G422" t="s">
        <v>88</v>
      </c>
      <c r="H422" t="s">
        <v>89</v>
      </c>
    </row>
    <row r="423" spans="1:9" x14ac:dyDescent="0.25">
      <c r="A423" s="16"/>
      <c r="B423" s="25"/>
      <c r="C423" s="25"/>
      <c r="D423" t="s">
        <v>86</v>
      </c>
      <c r="E423" t="s">
        <v>46</v>
      </c>
      <c r="F423" t="s">
        <v>87</v>
      </c>
      <c r="G423" t="s">
        <v>88</v>
      </c>
      <c r="H423" t="s">
        <v>89</v>
      </c>
    </row>
    <row r="424" spans="1:9" x14ac:dyDescent="0.25">
      <c r="A424" s="16"/>
      <c r="B424" s="25"/>
      <c r="C424" s="25"/>
      <c r="D424" t="s">
        <v>86</v>
      </c>
      <c r="E424" t="s">
        <v>46</v>
      </c>
      <c r="F424" t="s">
        <v>87</v>
      </c>
      <c r="G424" t="s">
        <v>88</v>
      </c>
      <c r="H424" t="s">
        <v>89</v>
      </c>
    </row>
    <row r="425" spans="1:9" x14ac:dyDescent="0.25">
      <c r="A425" s="16"/>
      <c r="B425" s="25"/>
      <c r="C425" s="25"/>
      <c r="D425" t="s">
        <v>86</v>
      </c>
      <c r="E425" t="s">
        <v>46</v>
      </c>
      <c r="F425" t="s">
        <v>87</v>
      </c>
      <c r="G425" t="s">
        <v>88</v>
      </c>
      <c r="H425" t="s">
        <v>89</v>
      </c>
    </row>
    <row r="426" spans="1:9" x14ac:dyDescent="0.25">
      <c r="A426" s="16"/>
      <c r="B426" s="25"/>
      <c r="C426" s="25"/>
      <c r="D426" t="s">
        <v>86</v>
      </c>
      <c r="E426" t="s">
        <v>46</v>
      </c>
      <c r="F426" t="s">
        <v>87</v>
      </c>
      <c r="G426" t="s">
        <v>88</v>
      </c>
      <c r="H426" t="s">
        <v>89</v>
      </c>
    </row>
    <row r="427" spans="1:9" x14ac:dyDescent="0.25">
      <c r="A427" s="16"/>
      <c r="B427" s="25"/>
      <c r="C427" s="25"/>
      <c r="D427" t="s">
        <v>86</v>
      </c>
      <c r="E427" t="s">
        <v>46</v>
      </c>
      <c r="F427" t="s">
        <v>87</v>
      </c>
      <c r="G427" t="s">
        <v>88</v>
      </c>
      <c r="H427" t="s">
        <v>89</v>
      </c>
    </row>
    <row r="428" spans="1:9" x14ac:dyDescent="0.25">
      <c r="A428" s="16"/>
      <c r="B428" s="25"/>
      <c r="C428" s="25"/>
      <c r="D428" t="s">
        <v>86</v>
      </c>
      <c r="E428" t="s">
        <v>46</v>
      </c>
      <c r="F428" t="s">
        <v>87</v>
      </c>
      <c r="G428" t="s">
        <v>88</v>
      </c>
      <c r="H428" t="s">
        <v>89</v>
      </c>
    </row>
    <row r="429" spans="1:9" x14ac:dyDescent="0.25">
      <c r="A429" s="16"/>
      <c r="B429" s="25"/>
      <c r="C429" s="25"/>
      <c r="D429" t="s">
        <v>86</v>
      </c>
      <c r="E429" t="s">
        <v>46</v>
      </c>
      <c r="F429" t="s">
        <v>87</v>
      </c>
      <c r="G429" t="s">
        <v>88</v>
      </c>
      <c r="H429" t="s">
        <v>89</v>
      </c>
    </row>
    <row r="430" spans="1:9" x14ac:dyDescent="0.25">
      <c r="A430" s="16"/>
      <c r="B430" s="25"/>
      <c r="C430" s="25"/>
      <c r="D430" t="s">
        <v>86</v>
      </c>
      <c r="E430" t="s">
        <v>46</v>
      </c>
      <c r="F430" t="s">
        <v>87</v>
      </c>
      <c r="G430" t="s">
        <v>88</v>
      </c>
      <c r="H430" t="s">
        <v>89</v>
      </c>
    </row>
    <row r="431" spans="1:9" x14ac:dyDescent="0.25">
      <c r="A431" s="16"/>
      <c r="B431" s="25"/>
      <c r="C431" s="25"/>
      <c r="D431" t="s">
        <v>86</v>
      </c>
      <c r="E431" t="s">
        <v>46</v>
      </c>
      <c r="F431" t="s">
        <v>87</v>
      </c>
      <c r="G431" t="s">
        <v>88</v>
      </c>
      <c r="H431" t="s">
        <v>89</v>
      </c>
    </row>
    <row r="432" spans="1:9" x14ac:dyDescent="0.25">
      <c r="A432" s="16"/>
      <c r="B432" s="25"/>
      <c r="C432" s="25"/>
      <c r="D432" t="s">
        <v>86</v>
      </c>
      <c r="E432" t="s">
        <v>46</v>
      </c>
      <c r="F432" t="s">
        <v>87</v>
      </c>
      <c r="G432" t="s">
        <v>88</v>
      </c>
      <c r="H432" t="s">
        <v>89</v>
      </c>
    </row>
    <row r="433" spans="1:9" x14ac:dyDescent="0.25">
      <c r="A433" s="16"/>
      <c r="B433" s="25"/>
      <c r="C433" s="25"/>
      <c r="D433" t="s">
        <v>86</v>
      </c>
      <c r="E433" t="s">
        <v>46</v>
      </c>
      <c r="F433" t="s">
        <v>87</v>
      </c>
      <c r="G433" t="s">
        <v>88</v>
      </c>
      <c r="H433" t="s">
        <v>89</v>
      </c>
    </row>
    <row r="434" spans="1:9" x14ac:dyDescent="0.25">
      <c r="A434" s="16"/>
      <c r="B434" s="25"/>
      <c r="C434" s="25"/>
      <c r="D434" t="s">
        <v>86</v>
      </c>
      <c r="E434" t="s">
        <v>46</v>
      </c>
      <c r="F434" t="s">
        <v>87</v>
      </c>
      <c r="G434" t="s">
        <v>88</v>
      </c>
      <c r="H434" t="s">
        <v>89</v>
      </c>
    </row>
    <row r="435" spans="1:9" x14ac:dyDescent="0.25">
      <c r="A435" s="16"/>
      <c r="B435" s="25"/>
      <c r="C435" s="25"/>
      <c r="D435" t="s">
        <v>86</v>
      </c>
      <c r="E435" t="s">
        <v>46</v>
      </c>
      <c r="F435" t="s">
        <v>87</v>
      </c>
      <c r="G435" t="s">
        <v>88</v>
      </c>
      <c r="H435" t="s">
        <v>89</v>
      </c>
    </row>
    <row r="436" spans="1:9" x14ac:dyDescent="0.25">
      <c r="A436" s="16"/>
      <c r="B436" s="25"/>
      <c r="C436" s="25"/>
      <c r="D436" t="s">
        <v>86</v>
      </c>
      <c r="E436" t="s">
        <v>46</v>
      </c>
      <c r="F436" t="s">
        <v>87</v>
      </c>
      <c r="G436" t="s">
        <v>88</v>
      </c>
      <c r="H436" t="s">
        <v>89</v>
      </c>
    </row>
    <row r="437" spans="1:9" x14ac:dyDescent="0.25">
      <c r="A437" s="16"/>
      <c r="B437" s="25"/>
      <c r="C437" s="25"/>
      <c r="D437" t="s">
        <v>86</v>
      </c>
      <c r="E437" t="s">
        <v>46</v>
      </c>
      <c r="F437" t="s">
        <v>87</v>
      </c>
      <c r="G437" t="s">
        <v>88</v>
      </c>
      <c r="H437" t="s">
        <v>89</v>
      </c>
    </row>
    <row r="438" spans="1:9" x14ac:dyDescent="0.25">
      <c r="A438" s="16"/>
      <c r="B438" s="25"/>
      <c r="C438" s="25"/>
      <c r="D438" t="s">
        <v>86</v>
      </c>
      <c r="E438" t="s">
        <v>46</v>
      </c>
      <c r="F438" t="s">
        <v>87</v>
      </c>
      <c r="G438" t="s">
        <v>88</v>
      </c>
      <c r="H438" t="s">
        <v>89</v>
      </c>
    </row>
    <row r="439" spans="1:9" x14ac:dyDescent="0.25">
      <c r="A439" s="16"/>
      <c r="B439" s="25"/>
      <c r="C439" s="25"/>
      <c r="D439" t="s">
        <v>86</v>
      </c>
      <c r="E439" t="s">
        <v>46</v>
      </c>
      <c r="F439" t="s">
        <v>87</v>
      </c>
      <c r="G439" t="s">
        <v>88</v>
      </c>
      <c r="H439" t="s">
        <v>89</v>
      </c>
    </row>
    <row r="440" spans="1:9" x14ac:dyDescent="0.25">
      <c r="A440" s="16"/>
      <c r="B440" s="25"/>
      <c r="C440" s="25"/>
      <c r="D440" t="s">
        <v>86</v>
      </c>
      <c r="E440" t="s">
        <v>46</v>
      </c>
      <c r="F440" t="s">
        <v>87</v>
      </c>
      <c r="G440" t="s">
        <v>88</v>
      </c>
      <c r="H440" t="s">
        <v>89</v>
      </c>
    </row>
    <row r="441" spans="1:9" x14ac:dyDescent="0.25">
      <c r="A441" s="16"/>
      <c r="B441" s="25"/>
      <c r="C441" s="25"/>
      <c r="D441" t="s">
        <v>86</v>
      </c>
      <c r="E441" t="s">
        <v>46</v>
      </c>
      <c r="F441" t="s">
        <v>87</v>
      </c>
      <c r="G441" t="s">
        <v>88</v>
      </c>
      <c r="H441" t="s">
        <v>89</v>
      </c>
    </row>
    <row r="442" spans="1:9" x14ac:dyDescent="0.25">
      <c r="A442" s="16"/>
      <c r="B442" s="25"/>
      <c r="C442" s="25"/>
      <c r="D442" t="s">
        <v>86</v>
      </c>
      <c r="E442" t="s">
        <v>46</v>
      </c>
      <c r="F442" t="s">
        <v>87</v>
      </c>
      <c r="G442" t="s">
        <v>88</v>
      </c>
      <c r="H442" t="s">
        <v>89</v>
      </c>
    </row>
    <row r="443" spans="1:9" x14ac:dyDescent="0.25">
      <c r="A443" s="16"/>
      <c r="B443" s="25"/>
      <c r="C443" s="25"/>
      <c r="D443" t="s">
        <v>86</v>
      </c>
      <c r="E443" t="s">
        <v>46</v>
      </c>
      <c r="F443" t="s">
        <v>87</v>
      </c>
      <c r="G443" t="s">
        <v>88</v>
      </c>
      <c r="H443" t="s">
        <v>89</v>
      </c>
    </row>
    <row r="444" spans="1:9" x14ac:dyDescent="0.25">
      <c r="A444" s="16"/>
      <c r="B444" s="25"/>
      <c r="C444" s="25"/>
      <c r="D444" t="s">
        <v>86</v>
      </c>
      <c r="E444" t="s">
        <v>46</v>
      </c>
      <c r="F444" t="s">
        <v>87</v>
      </c>
      <c r="G444" t="s">
        <v>88</v>
      </c>
      <c r="H444" t="s">
        <v>89</v>
      </c>
    </row>
    <row r="445" spans="1:9" x14ac:dyDescent="0.25">
      <c r="A445" s="16"/>
      <c r="B445" s="25"/>
      <c r="C445" s="25"/>
      <c r="D445" t="s">
        <v>86</v>
      </c>
      <c r="E445" t="s">
        <v>46</v>
      </c>
      <c r="F445" t="s">
        <v>87</v>
      </c>
      <c r="G445" t="s">
        <v>88</v>
      </c>
      <c r="H445" t="s">
        <v>89</v>
      </c>
    </row>
    <row r="446" spans="1:9" x14ac:dyDescent="0.25">
      <c r="A446" s="16"/>
      <c r="B446" s="25"/>
      <c r="C446" s="25"/>
      <c r="D446" t="s">
        <v>86</v>
      </c>
      <c r="E446" t="s">
        <v>46</v>
      </c>
      <c r="F446" t="s">
        <v>87</v>
      </c>
      <c r="G446" t="s">
        <v>88</v>
      </c>
      <c r="H446" t="s">
        <v>89</v>
      </c>
    </row>
    <row r="447" spans="1:9" x14ac:dyDescent="0.25">
      <c r="A447" s="16"/>
      <c r="B447" s="25"/>
      <c r="C447" s="25"/>
      <c r="D447" t="s">
        <v>86</v>
      </c>
      <c r="E447" t="s">
        <v>46</v>
      </c>
      <c r="F447" t="s">
        <v>87</v>
      </c>
      <c r="G447" t="s">
        <v>88</v>
      </c>
      <c r="H447" t="s">
        <v>89</v>
      </c>
    </row>
    <row r="448" spans="1:9" x14ac:dyDescent="0.25">
      <c r="A448" s="16"/>
      <c r="B448" s="25"/>
      <c r="C448" s="25"/>
      <c r="D448" t="s">
        <v>86</v>
      </c>
      <c r="E448" t="s">
        <v>46</v>
      </c>
      <c r="F448" t="s">
        <v>87</v>
      </c>
      <c r="G448" t="s">
        <v>88</v>
      </c>
      <c r="H448" t="s">
        <v>89</v>
      </c>
    </row>
    <row r="449" spans="1:9" x14ac:dyDescent="0.25">
      <c r="A449" s="16"/>
      <c r="B449" s="25"/>
      <c r="C449" s="25"/>
      <c r="D449" t="s">
        <v>86</v>
      </c>
      <c r="E449" t="s">
        <v>46</v>
      </c>
      <c r="F449" t="s">
        <v>87</v>
      </c>
      <c r="G449" t="s">
        <v>88</v>
      </c>
      <c r="H449" t="s">
        <v>89</v>
      </c>
    </row>
    <row r="450" spans="1:9" x14ac:dyDescent="0.25">
      <c r="A450" s="16"/>
      <c r="B450" s="25"/>
      <c r="C450" s="25"/>
      <c r="D450" t="s">
        <v>86</v>
      </c>
      <c r="E450" t="s">
        <v>46</v>
      </c>
      <c r="F450" t="s">
        <v>87</v>
      </c>
      <c r="G450" t="s">
        <v>88</v>
      </c>
      <c r="H450" t="s">
        <v>89</v>
      </c>
    </row>
    <row r="451" spans="1:9" x14ac:dyDescent="0.25">
      <c r="A451" s="16"/>
      <c r="B451" s="25"/>
      <c r="C451" s="25"/>
      <c r="D451" t="s">
        <v>86</v>
      </c>
      <c r="E451" t="s">
        <v>46</v>
      </c>
      <c r="F451" t="s">
        <v>87</v>
      </c>
      <c r="G451" t="s">
        <v>88</v>
      </c>
      <c r="H451" t="s">
        <v>89</v>
      </c>
    </row>
    <row r="452" spans="1:9" x14ac:dyDescent="0.25">
      <c r="A452" s="16"/>
      <c r="B452" s="25"/>
      <c r="C452" s="25"/>
      <c r="D452" t="s">
        <v>86</v>
      </c>
      <c r="E452" t="s">
        <v>46</v>
      </c>
      <c r="F452" t="s">
        <v>87</v>
      </c>
      <c r="G452" t="s">
        <v>88</v>
      </c>
      <c r="H452" t="s">
        <v>89</v>
      </c>
    </row>
    <row r="453" spans="1:9" x14ac:dyDescent="0.25">
      <c r="A453" s="16"/>
      <c r="B453" s="25"/>
      <c r="C453" s="25"/>
      <c r="D453" t="s">
        <v>86</v>
      </c>
      <c r="E453" t="s">
        <v>46</v>
      </c>
      <c r="F453" t="s">
        <v>87</v>
      </c>
      <c r="G453" t="s">
        <v>88</v>
      </c>
      <c r="H453" t="s">
        <v>89</v>
      </c>
    </row>
    <row r="454" spans="1:9" x14ac:dyDescent="0.25">
      <c r="A454" s="16"/>
      <c r="B454" s="25"/>
      <c r="C454" s="25"/>
      <c r="D454" t="s">
        <v>86</v>
      </c>
      <c r="E454" t="s">
        <v>46</v>
      </c>
      <c r="F454" t="s">
        <v>87</v>
      </c>
      <c r="G454" t="s">
        <v>88</v>
      </c>
      <c r="H454" t="s">
        <v>89</v>
      </c>
    </row>
    <row r="455" spans="1:9" x14ac:dyDescent="0.25">
      <c r="A455" s="16"/>
      <c r="B455" s="25"/>
      <c r="C455" s="25"/>
      <c r="D455" t="s">
        <v>86</v>
      </c>
      <c r="E455" t="s">
        <v>46</v>
      </c>
      <c r="F455" t="s">
        <v>87</v>
      </c>
      <c r="G455" t="s">
        <v>88</v>
      </c>
      <c r="H455" t="s">
        <v>89</v>
      </c>
    </row>
    <row r="456" spans="1:9" x14ac:dyDescent="0.25">
      <c r="A456" s="16"/>
      <c r="B456" s="25"/>
      <c r="C456" s="25"/>
      <c r="D456" t="s">
        <v>86</v>
      </c>
      <c r="E456" t="s">
        <v>46</v>
      </c>
      <c r="F456" t="s">
        <v>87</v>
      </c>
      <c r="G456" t="s">
        <v>88</v>
      </c>
      <c r="H456" t="s">
        <v>89</v>
      </c>
    </row>
    <row r="457" spans="1:9" x14ac:dyDescent="0.25">
      <c r="A457" s="16"/>
      <c r="B457" s="25"/>
      <c r="C457" s="25"/>
      <c r="D457" t="s">
        <v>86</v>
      </c>
      <c r="E457" t="s">
        <v>46</v>
      </c>
      <c r="F457" t="s">
        <v>87</v>
      </c>
      <c r="G457" t="s">
        <v>88</v>
      </c>
      <c r="H457" t="s">
        <v>89</v>
      </c>
    </row>
    <row r="458" spans="1:9" x14ac:dyDescent="0.25">
      <c r="A458" s="16"/>
      <c r="B458" s="25"/>
      <c r="C458" s="25"/>
      <c r="D458" t="s">
        <v>86</v>
      </c>
      <c r="E458" t="s">
        <v>46</v>
      </c>
      <c r="F458" t="s">
        <v>87</v>
      </c>
      <c r="G458" t="s">
        <v>88</v>
      </c>
      <c r="H458" t="s">
        <v>89</v>
      </c>
    </row>
    <row r="459" spans="1:9" x14ac:dyDescent="0.25">
      <c r="A459" s="16"/>
      <c r="B459" s="25"/>
      <c r="C459" s="25"/>
      <c r="D459" t="s">
        <v>86</v>
      </c>
      <c r="E459" t="s">
        <v>46</v>
      </c>
      <c r="F459" t="s">
        <v>87</v>
      </c>
      <c r="G459" t="s">
        <v>88</v>
      </c>
      <c r="H459" t="s">
        <v>89</v>
      </c>
    </row>
    <row r="460" spans="1:9" x14ac:dyDescent="0.25">
      <c r="A460" s="16"/>
      <c r="B460" s="25"/>
      <c r="C460" s="25"/>
      <c r="D460" t="s">
        <v>86</v>
      </c>
      <c r="E460" t="s">
        <v>46</v>
      </c>
      <c r="F460" t="s">
        <v>87</v>
      </c>
      <c r="G460" t="s">
        <v>88</v>
      </c>
      <c r="H460" t="s">
        <v>89</v>
      </c>
    </row>
    <row r="461" spans="1:9" x14ac:dyDescent="0.25">
      <c r="A461" s="16"/>
      <c r="B461" s="25"/>
      <c r="C461" s="25"/>
      <c r="D461" t="s">
        <v>86</v>
      </c>
      <c r="E461" t="s">
        <v>46</v>
      </c>
      <c r="F461" t="s">
        <v>87</v>
      </c>
      <c r="G461" t="s">
        <v>88</v>
      </c>
      <c r="H461" t="s">
        <v>89</v>
      </c>
    </row>
    <row r="462" spans="1:9" x14ac:dyDescent="0.25">
      <c r="A462" s="16"/>
      <c r="B462" s="25"/>
      <c r="C462" s="25"/>
      <c r="D462" t="s">
        <v>86</v>
      </c>
      <c r="E462" t="s">
        <v>46</v>
      </c>
      <c r="F462" t="s">
        <v>87</v>
      </c>
      <c r="G462" t="s">
        <v>88</v>
      </c>
      <c r="H462" t="s">
        <v>89</v>
      </c>
    </row>
    <row r="463" spans="1:9" x14ac:dyDescent="0.25">
      <c r="A463" s="16"/>
      <c r="B463" s="25"/>
      <c r="C463" s="25"/>
      <c r="D463" t="s">
        <v>86</v>
      </c>
      <c r="E463" t="s">
        <v>46</v>
      </c>
      <c r="F463" t="s">
        <v>87</v>
      </c>
      <c r="G463" t="s">
        <v>88</v>
      </c>
      <c r="H463" t="s">
        <v>89</v>
      </c>
    </row>
    <row r="464" spans="1:9" x14ac:dyDescent="0.25">
      <c r="A464" s="16"/>
      <c r="B464" s="25"/>
      <c r="C464" s="25"/>
      <c r="D464" t="s">
        <v>86</v>
      </c>
      <c r="E464" t="s">
        <v>46</v>
      </c>
      <c r="F464" t="s">
        <v>87</v>
      </c>
      <c r="G464" t="s">
        <v>88</v>
      </c>
      <c r="H464" t="s">
        <v>89</v>
      </c>
    </row>
    <row r="465" spans="1:9" x14ac:dyDescent="0.25">
      <c r="A465" s="16"/>
      <c r="B465" s="25"/>
      <c r="C465" s="25"/>
      <c r="D465" t="s">
        <v>86</v>
      </c>
      <c r="E465" t="s">
        <v>46</v>
      </c>
      <c r="F465" t="s">
        <v>87</v>
      </c>
      <c r="G465" t="s">
        <v>88</v>
      </c>
      <c r="H465" t="s">
        <v>89</v>
      </c>
    </row>
    <row r="466" spans="1:9" x14ac:dyDescent="0.25">
      <c r="A466" s="16"/>
      <c r="B466" s="25"/>
      <c r="C466" s="25"/>
      <c r="D466" t="s">
        <v>86</v>
      </c>
      <c r="E466" t="s">
        <v>46</v>
      </c>
      <c r="F466" t="s">
        <v>87</v>
      </c>
      <c r="G466" t="s">
        <v>88</v>
      </c>
      <c r="H466" t="s">
        <v>89</v>
      </c>
    </row>
    <row r="467" spans="1:9" x14ac:dyDescent="0.25">
      <c r="A467" s="16"/>
      <c r="B467" s="25"/>
      <c r="C467" s="25"/>
      <c r="D467" t="s">
        <v>86</v>
      </c>
      <c r="E467" t="s">
        <v>46</v>
      </c>
      <c r="F467" t="s">
        <v>87</v>
      </c>
      <c r="G467" t="s">
        <v>88</v>
      </c>
      <c r="H467" t="s">
        <v>89</v>
      </c>
    </row>
    <row r="468" spans="1:9" x14ac:dyDescent="0.25">
      <c r="A468" s="16"/>
      <c r="B468" s="25"/>
      <c r="C468" s="25"/>
      <c r="D468" t="s">
        <v>86</v>
      </c>
      <c r="E468" t="s">
        <v>46</v>
      </c>
      <c r="F468" t="s">
        <v>87</v>
      </c>
      <c r="G468" t="s">
        <v>88</v>
      </c>
      <c r="H468" t="s">
        <v>89</v>
      </c>
    </row>
    <row r="469" spans="1:9" x14ac:dyDescent="0.25">
      <c r="A469" s="16"/>
      <c r="B469" s="25"/>
      <c r="C469" s="25"/>
      <c r="D469" t="s">
        <v>86</v>
      </c>
      <c r="E469" t="s">
        <v>46</v>
      </c>
      <c r="F469" t="s">
        <v>87</v>
      </c>
      <c r="G469" t="s">
        <v>88</v>
      </c>
      <c r="H469" t="s">
        <v>89</v>
      </c>
    </row>
    <row r="470" spans="1:9" x14ac:dyDescent="0.25">
      <c r="A470" s="16"/>
      <c r="B470" s="25"/>
      <c r="C470" s="25"/>
      <c r="D470" t="s">
        <v>86</v>
      </c>
      <c r="E470" t="s">
        <v>46</v>
      </c>
      <c r="F470" t="s">
        <v>87</v>
      </c>
      <c r="G470" t="s">
        <v>88</v>
      </c>
      <c r="H470" t="s">
        <v>89</v>
      </c>
    </row>
    <row r="471" spans="1:9" x14ac:dyDescent="0.25">
      <c r="A471" s="16"/>
      <c r="B471" s="25"/>
      <c r="C471" s="25"/>
      <c r="D471" t="s">
        <v>86</v>
      </c>
      <c r="E471" t="s">
        <v>46</v>
      </c>
      <c r="F471" t="s">
        <v>87</v>
      </c>
      <c r="G471" t="s">
        <v>88</v>
      </c>
      <c r="H471" t="s">
        <v>89</v>
      </c>
    </row>
    <row r="472" spans="1:9" x14ac:dyDescent="0.25">
      <c r="A472" s="16"/>
      <c r="B472" s="25"/>
      <c r="C472" s="25"/>
      <c r="D472" t="s">
        <v>86</v>
      </c>
      <c r="E472" t="s">
        <v>46</v>
      </c>
      <c r="F472" t="s">
        <v>87</v>
      </c>
      <c r="G472" t="s">
        <v>88</v>
      </c>
      <c r="H472" t="s">
        <v>89</v>
      </c>
    </row>
    <row r="473" spans="1:9" x14ac:dyDescent="0.25">
      <c r="A473" s="16"/>
      <c r="B473" s="25"/>
      <c r="C473" s="25"/>
      <c r="D473" t="s">
        <v>86</v>
      </c>
      <c r="E473" t="s">
        <v>46</v>
      </c>
      <c r="F473" t="s">
        <v>87</v>
      </c>
      <c r="G473" t="s">
        <v>88</v>
      </c>
      <c r="H473" t="s">
        <v>89</v>
      </c>
    </row>
    <row r="474" spans="1:9" x14ac:dyDescent="0.25">
      <c r="A474" s="16"/>
      <c r="B474" s="25"/>
      <c r="C474" s="25"/>
      <c r="D474" t="s">
        <v>86</v>
      </c>
      <c r="E474" t="s">
        <v>46</v>
      </c>
      <c r="F474" t="s">
        <v>87</v>
      </c>
      <c r="G474" t="s">
        <v>88</v>
      </c>
      <c r="H474" t="s">
        <v>89</v>
      </c>
    </row>
    <row r="475" spans="1:9" x14ac:dyDescent="0.25">
      <c r="A475" s="16"/>
      <c r="B475" s="25"/>
      <c r="C475" s="25"/>
      <c r="D475" t="s">
        <v>86</v>
      </c>
      <c r="E475" t="s">
        <v>46</v>
      </c>
      <c r="F475" t="s">
        <v>87</v>
      </c>
      <c r="G475" t="s">
        <v>88</v>
      </c>
      <c r="H475" t="s">
        <v>89</v>
      </c>
    </row>
    <row r="476" spans="1:9" x14ac:dyDescent="0.25">
      <c r="A476" s="16"/>
      <c r="B476" s="25"/>
      <c r="C476" s="25"/>
      <c r="D476" t="s">
        <v>86</v>
      </c>
      <c r="E476" t="s">
        <v>46</v>
      </c>
      <c r="F476" t="s">
        <v>87</v>
      </c>
      <c r="G476" t="s">
        <v>88</v>
      </c>
      <c r="H476" t="s">
        <v>89</v>
      </c>
    </row>
    <row r="477" spans="1:9" x14ac:dyDescent="0.25">
      <c r="A477" s="16"/>
      <c r="B477" s="25"/>
      <c r="C477" s="25"/>
      <c r="D477" t="s">
        <v>86</v>
      </c>
      <c r="E477" t="s">
        <v>46</v>
      </c>
      <c r="F477" t="s">
        <v>87</v>
      </c>
      <c r="G477" t="s">
        <v>88</v>
      </c>
      <c r="H477" t="s">
        <v>89</v>
      </c>
    </row>
    <row r="478" spans="1:9" x14ac:dyDescent="0.25">
      <c r="A478" s="16"/>
      <c r="B478" s="25"/>
      <c r="C478" s="25"/>
      <c r="D478" t="s">
        <v>86</v>
      </c>
      <c r="E478" t="s">
        <v>46</v>
      </c>
      <c r="F478" t="s">
        <v>87</v>
      </c>
      <c r="G478" t="s">
        <v>88</v>
      </c>
      <c r="H478" t="s">
        <v>89</v>
      </c>
    </row>
    <row r="479" spans="1:9" x14ac:dyDescent="0.25">
      <c r="A479" s="16"/>
      <c r="B479" s="25"/>
      <c r="C479" s="25"/>
      <c r="D479" t="s">
        <v>86</v>
      </c>
      <c r="E479" t="s">
        <v>46</v>
      </c>
      <c r="F479" t="s">
        <v>87</v>
      </c>
      <c r="G479" t="s">
        <v>88</v>
      </c>
      <c r="H479" t="s">
        <v>89</v>
      </c>
    </row>
    <row r="480" spans="1:9" x14ac:dyDescent="0.25">
      <c r="A480" s="16"/>
      <c r="B480" s="25"/>
      <c r="C480" s="25"/>
      <c r="D480" t="s">
        <v>86</v>
      </c>
      <c r="E480" t="s">
        <v>46</v>
      </c>
      <c r="F480" t="s">
        <v>87</v>
      </c>
      <c r="G480" t="s">
        <v>88</v>
      </c>
      <c r="H480" t="s">
        <v>89</v>
      </c>
    </row>
    <row r="481" spans="1:9" x14ac:dyDescent="0.25">
      <c r="A481" s="16"/>
      <c r="B481" s="25"/>
      <c r="C481" s="25"/>
      <c r="D481" t="s">
        <v>86</v>
      </c>
      <c r="E481" t="s">
        <v>46</v>
      </c>
      <c r="F481" t="s">
        <v>87</v>
      </c>
      <c r="G481" t="s">
        <v>88</v>
      </c>
      <c r="H481" t="s">
        <v>89</v>
      </c>
    </row>
    <row r="482" spans="1:9" x14ac:dyDescent="0.25">
      <c r="A482" s="16"/>
      <c r="B482" s="25"/>
      <c r="C482" s="25"/>
      <c r="D482" t="s">
        <v>86</v>
      </c>
      <c r="E482" t="s">
        <v>46</v>
      </c>
      <c r="F482" t="s">
        <v>87</v>
      </c>
      <c r="G482" t="s">
        <v>88</v>
      </c>
      <c r="H482" t="s">
        <v>89</v>
      </c>
    </row>
    <row r="483" spans="1:9" x14ac:dyDescent="0.25">
      <c r="A483" s="16"/>
      <c r="B483" s="25"/>
      <c r="C483" s="25"/>
      <c r="D483" t="s">
        <v>86</v>
      </c>
      <c r="E483" t="s">
        <v>46</v>
      </c>
      <c r="F483" t="s">
        <v>87</v>
      </c>
      <c r="G483" t="s">
        <v>88</v>
      </c>
      <c r="H483" t="s">
        <v>89</v>
      </c>
    </row>
    <row r="484" spans="1:9" x14ac:dyDescent="0.25">
      <c r="A484" s="16"/>
      <c r="B484" s="25"/>
      <c r="C484" s="25"/>
      <c r="D484" t="s">
        <v>86</v>
      </c>
      <c r="E484" t="s">
        <v>46</v>
      </c>
      <c r="F484" t="s">
        <v>87</v>
      </c>
      <c r="G484" t="s">
        <v>88</v>
      </c>
      <c r="H484" t="s">
        <v>89</v>
      </c>
    </row>
    <row r="485" spans="1:9" x14ac:dyDescent="0.25">
      <c r="A485" s="16"/>
      <c r="B485" s="25"/>
      <c r="C485" s="25"/>
      <c r="D485" t="s">
        <v>86</v>
      </c>
      <c r="E485" t="s">
        <v>46</v>
      </c>
      <c r="F485" t="s">
        <v>87</v>
      </c>
      <c r="G485" t="s">
        <v>88</v>
      </c>
      <c r="H485" t="s">
        <v>89</v>
      </c>
    </row>
    <row r="486" spans="1:9" x14ac:dyDescent="0.25">
      <c r="A486" s="16"/>
      <c r="B486" s="25"/>
      <c r="C486" s="25"/>
      <c r="D486" t="s">
        <v>86</v>
      </c>
      <c r="E486" t="s">
        <v>46</v>
      </c>
      <c r="F486" t="s">
        <v>87</v>
      </c>
      <c r="G486" t="s">
        <v>88</v>
      </c>
      <c r="H486" t="s">
        <v>89</v>
      </c>
    </row>
    <row r="487" spans="1:9" x14ac:dyDescent="0.25">
      <c r="A487" s="16"/>
      <c r="B487" s="25"/>
      <c r="C487" s="25"/>
      <c r="D487" t="s">
        <v>86</v>
      </c>
      <c r="E487" t="s">
        <v>46</v>
      </c>
      <c r="F487" t="s">
        <v>87</v>
      </c>
      <c r="G487" t="s">
        <v>88</v>
      </c>
      <c r="H487" t="s">
        <v>89</v>
      </c>
    </row>
    <row r="488" spans="1:9" x14ac:dyDescent="0.25">
      <c r="A488" s="16"/>
      <c r="B488" s="25"/>
      <c r="C488" s="25"/>
      <c r="D488" t="s">
        <v>86</v>
      </c>
      <c r="E488" t="s">
        <v>46</v>
      </c>
      <c r="F488" t="s">
        <v>87</v>
      </c>
      <c r="G488" t="s">
        <v>88</v>
      </c>
      <c r="H488" t="s">
        <v>89</v>
      </c>
    </row>
    <row r="489" spans="1:9" x14ac:dyDescent="0.25">
      <c r="A489" s="16"/>
      <c r="B489" s="25"/>
      <c r="C489" s="25"/>
      <c r="D489" t="s">
        <v>86</v>
      </c>
      <c r="E489" t="s">
        <v>46</v>
      </c>
      <c r="F489" t="s">
        <v>87</v>
      </c>
      <c r="G489" t="s">
        <v>88</v>
      </c>
      <c r="H489" t="s">
        <v>89</v>
      </c>
    </row>
    <row r="490" spans="1:9" x14ac:dyDescent="0.25">
      <c r="A490" s="16"/>
      <c r="B490" s="25"/>
      <c r="C490" s="25"/>
      <c r="D490" t="s">
        <v>86</v>
      </c>
      <c r="E490" t="s">
        <v>46</v>
      </c>
      <c r="F490" t="s">
        <v>87</v>
      </c>
      <c r="G490" t="s">
        <v>88</v>
      </c>
      <c r="H490" t="s">
        <v>89</v>
      </c>
    </row>
    <row r="491" spans="1:9" x14ac:dyDescent="0.25">
      <c r="A491" s="16"/>
      <c r="B491" s="25"/>
      <c r="C491" s="25"/>
      <c r="D491" t="s">
        <v>86</v>
      </c>
      <c r="E491" t="s">
        <v>46</v>
      </c>
      <c r="F491" t="s">
        <v>87</v>
      </c>
      <c r="G491" t="s">
        <v>88</v>
      </c>
      <c r="H491" t="s">
        <v>89</v>
      </c>
    </row>
    <row r="492" spans="1:9" x14ac:dyDescent="0.25">
      <c r="A492" s="16"/>
      <c r="B492" s="25"/>
      <c r="C492" s="25"/>
      <c r="D492" t="s">
        <v>86</v>
      </c>
      <c r="E492" t="s">
        <v>46</v>
      </c>
      <c r="F492" t="s">
        <v>87</v>
      </c>
      <c r="G492" t="s">
        <v>88</v>
      </c>
      <c r="H492" t="s">
        <v>89</v>
      </c>
    </row>
    <row r="493" spans="1:9" x14ac:dyDescent="0.25">
      <c r="A493" s="16"/>
      <c r="B493" s="25"/>
      <c r="C493" s="25"/>
      <c r="D493" t="s">
        <v>86</v>
      </c>
      <c r="E493" t="s">
        <v>46</v>
      </c>
      <c r="F493" t="s">
        <v>87</v>
      </c>
      <c r="G493" t="s">
        <v>88</v>
      </c>
      <c r="H493" t="s">
        <v>89</v>
      </c>
    </row>
    <row r="494" spans="1:9" x14ac:dyDescent="0.25">
      <c r="A494" s="16"/>
      <c r="B494" s="25"/>
      <c r="C494" s="25"/>
      <c r="D494" t="s">
        <v>86</v>
      </c>
      <c r="E494" t="s">
        <v>46</v>
      </c>
      <c r="F494" t="s">
        <v>87</v>
      </c>
      <c r="G494" t="s">
        <v>88</v>
      </c>
      <c r="H494" t="s">
        <v>89</v>
      </c>
    </row>
    <row r="495" spans="1:9" x14ac:dyDescent="0.25">
      <c r="A495" s="16"/>
      <c r="B495" s="25"/>
      <c r="C495" s="25"/>
      <c r="D495" t="s">
        <v>86</v>
      </c>
      <c r="E495" t="s">
        <v>46</v>
      </c>
      <c r="F495" t="s">
        <v>87</v>
      </c>
      <c r="G495" t="s">
        <v>88</v>
      </c>
      <c r="H495" t="s">
        <v>89</v>
      </c>
    </row>
    <row r="496" spans="1:9" x14ac:dyDescent="0.25">
      <c r="A496" s="16"/>
      <c r="B496" s="25"/>
      <c r="C496" s="25"/>
      <c r="D496" t="s">
        <v>86</v>
      </c>
      <c r="E496" t="s">
        <v>46</v>
      </c>
      <c r="F496" t="s">
        <v>87</v>
      </c>
      <c r="G496" t="s">
        <v>88</v>
      </c>
      <c r="H496" t="s">
        <v>89</v>
      </c>
    </row>
    <row r="497" spans="1:9" x14ac:dyDescent="0.25">
      <c r="A497" s="16"/>
      <c r="B497" s="25"/>
      <c r="C497" s="25"/>
      <c r="D497" t="s">
        <v>86</v>
      </c>
      <c r="E497" t="s">
        <v>46</v>
      </c>
      <c r="F497" t="s">
        <v>87</v>
      </c>
      <c r="G497" t="s">
        <v>88</v>
      </c>
      <c r="H497" t="s">
        <v>89</v>
      </c>
    </row>
    <row r="498" spans="1:9" x14ac:dyDescent="0.25">
      <c r="A498" s="16"/>
      <c r="B498" s="25"/>
      <c r="C498" s="25"/>
      <c r="D498" t="s">
        <v>86</v>
      </c>
      <c r="E498" t="s">
        <v>46</v>
      </c>
      <c r="F498" t="s">
        <v>87</v>
      </c>
      <c r="G498" t="s">
        <v>88</v>
      </c>
      <c r="H498" t="s">
        <v>89</v>
      </c>
    </row>
    <row r="499" spans="1:9" x14ac:dyDescent="0.25">
      <c r="A499" s="16"/>
      <c r="B499" s="25"/>
      <c r="C499" s="25"/>
      <c r="D499" t="s">
        <v>86</v>
      </c>
      <c r="E499" t="s">
        <v>46</v>
      </c>
      <c r="F499" t="s">
        <v>87</v>
      </c>
      <c r="G499" t="s">
        <v>88</v>
      </c>
      <c r="H499" t="s">
        <v>89</v>
      </c>
    </row>
    <row r="500" spans="1:9" x14ac:dyDescent="0.25">
      <c r="A500" s="16"/>
      <c r="B500" s="25"/>
      <c r="C500" s="25"/>
      <c r="D500" t="s">
        <v>86</v>
      </c>
      <c r="E500" t="s">
        <v>46</v>
      </c>
      <c r="F500" t="s">
        <v>87</v>
      </c>
      <c r="G500" t="s">
        <v>88</v>
      </c>
      <c r="H500" t="s">
        <v>89</v>
      </c>
    </row>
    <row r="501" spans="1:9" x14ac:dyDescent="0.25">
      <c r="A501" s="16"/>
      <c r="B501" s="25"/>
      <c r="C501" s="25"/>
      <c r="D501" t="s">
        <v>86</v>
      </c>
      <c r="E501" t="s">
        <v>46</v>
      </c>
      <c r="F501" t="s">
        <v>87</v>
      </c>
      <c r="G501" t="s">
        <v>88</v>
      </c>
      <c r="H501" t="s">
        <v>89</v>
      </c>
    </row>
    <row r="502" spans="1:9" x14ac:dyDescent="0.25">
      <c r="A502" s="16"/>
      <c r="B502" s="25"/>
      <c r="C502" s="25"/>
      <c r="D502" t="s">
        <v>86</v>
      </c>
      <c r="E502" t="s">
        <v>46</v>
      </c>
      <c r="F502" t="s">
        <v>87</v>
      </c>
      <c r="G502" t="s">
        <v>88</v>
      </c>
      <c r="H502" t="s">
        <v>89</v>
      </c>
    </row>
  </sheetData>
  <conditionalFormatting sqref="A3:A502">
    <cfRule type="expression" dxfId="0" priority="1">
      <formula>AND($A3&lt;&gt;"",COUNTIF('PO Lines'!$A:$A,$A3)=0)</formula>
    </cfRule>
  </conditionalFormatting>
  <dataValidations count="514">
    <dataValidation type="textLength" operator="greaterThan" showErrorMessage="1" errorStyle="stop" errorTitle="Required" error="PO_Number cannot be blank" sqref="A10:A502">
      <formula1>0</formula1>
    </dataValidation>
    <dataValidation type="textLength" operator="greaterThan" showErrorMessage="1" errorStyle="stop" errorTitle="Required" error="PO_Number cannot be blank" sqref="A3:A502">
      <formula1>0</formula1>
    </dataValidation>
    <dataValidation type="date" operator="greaterThan" showInputMessage="1" promptTitle="Date format" prompt="DD/MM/YYYY" showErrorMessage="1" errorStyle="stop" errorTitle="Invalid date" error="Enter a valid date (DD/MM/YYYY)" sqref="B10:C502">
      <formula1>43831</formula1>
    </dataValidation>
    <dataValidation type="date" operator="greaterThan" showInputMessage="1" promptTitle="Date format" prompt="DD/MM/YYYY" showErrorMessage="1" errorStyle="stop" errorTitle="Invalid date" error="Enter a valid date (DD/MM/YYYY)" sqref="B3:C502">
      <formula1>43831</formula1>
    </dataValidation>
    <dataValidation type="list" showErrorMessage="1" errorStyle="stop" errorTitle="Invalid Traffic Mode" error="Select CFS or CY" sqref="D10:D502">
      <formula1>"CFS,CY"</formula1>
    </dataValidation>
    <dataValidation type="list" showErrorMessage="1" errorStyle="stop" errorTitle="Invalid Traffic Mode" error="Select CFS or CY" sqref="D3:D502">
      <formula1>"CFS,CY"</formula1>
    </dataValidation>
    <dataValidation type="list" showErrorMessage="1" errorStyle="stop" errorTitle="Invalid Booking Group" error="Select a Booking Group from the list" sqref="E10:E502">
      <formula1>LISTS_LOOKUP!$A$2:$A$28</formula1>
    </dataValidation>
    <dataValidation type="list" showErrorMessage="1" errorStyle="stop" errorTitle="Invalid Booking Group" error="Select a Booking Group from the list" sqref="E3:E502">
      <formula1>LISTS_LOOKUP!$A$2:$A$28</formula1>
    </dataValidation>
    <dataValidation type="list" showErrorMessage="1" errorStyle="stop" errorTitle="Invalid Pack Type" error="Select Flat, Bulk Flat or Hanging" sqref="F10:F502">
      <formula1>"Flat,Bulk Flat,Hanging"</formula1>
    </dataValidation>
    <dataValidation type="list" showErrorMessage="1" errorStyle="stop" errorTitle="Invalid Pack Type" error="Select Flat, Bulk Flat or Hanging" sqref="F3:F502">
      <formula1>"Flat,Bulk Flat,Hanging"</formula1>
    </dataValidation>
    <dataValidation type="list" showErrorMessage="1" errorStyle="stop" errorTitle="Invalid Collection Type" error="Select Collection or Delivery" sqref="G10:G502">
      <formula1>"Collection,Delivery"</formula1>
    </dataValidation>
    <dataValidation type="list" showErrorMessage="1" errorStyle="stop" errorTitle="Invalid Collection Type" error="Select Collection or Delivery" sqref="G3:G502">
      <formula1>"Collection,Delivery"</formula1>
    </dataValidation>
    <dataValidation type="list" showErrorMessage="1" errorStyle="stop" errorTitle="Invalid Hazardous" error="Select a hazardous classification" sqref="H10:H502">
      <formula1>"Flammable,Glass - Hazardous,Hazardous,N/A"</formula1>
    </dataValidation>
    <dataValidation type="list" showErrorMessage="1" errorStyle="stop" errorTitle="Invalid Hazardous" error="Select a hazardous classification" sqref="H3:H502">
      <formula1>"Flammable,Glass - Hazardous,Hazardous,N/A"</formula1>
    </dataValidation>
    <dataValidation type="custom" showErrorMessage="1" errorStyle="stop" errorTitle="Invalid Time" error="Enter time as HH:MM (e.g. 09:30) or leave blank" sqref="I10">
      <formula1>OR(I10="",AND(LEN(I10)=5,MID(I10,3,1)=":",ISNUMBER(VALUE(LEFT(I10,2))),ISNUMBER(VALUE(RIGHT(I10,2))),VALUE(LEFT(I10,2))&lt;=23,VALUE(RIGHT(I10,2))&lt;=59))</formula1>
    </dataValidation>
    <dataValidation type="custom" showErrorMessage="1" errorStyle="stop" errorTitle="Invalid Time" error="Enter time as HH:MM (e.g. 09:30) or leave blank" sqref="I100">
      <formula1>OR(I100="",AND(LEN(I100)=5,MID(I100,3,1)=":",ISNUMBER(VALUE(LEFT(I100,2))),ISNUMBER(VALUE(RIGHT(I100,2))),VALUE(LEFT(I100,2))&lt;=23,VALUE(RIGHT(I100,2))&lt;=59))</formula1>
    </dataValidation>
    <dataValidation type="custom" showErrorMessage="1" errorStyle="stop" errorTitle="Invalid Time" error="Enter time as HH:MM (e.g. 09:30) or leave blank" sqref="I101">
      <formula1>OR(I101="",AND(LEN(I101)=5,MID(I101,3,1)=":",ISNUMBER(VALUE(LEFT(I101,2))),ISNUMBER(VALUE(RIGHT(I101,2))),VALUE(LEFT(I101,2))&lt;=23,VALUE(RIGHT(I101,2))&lt;=59))</formula1>
    </dataValidation>
    <dataValidation type="custom" showErrorMessage="1" errorStyle="stop" errorTitle="Invalid Time" error="Enter time as HH:MM (e.g. 09:30) or leave blank" sqref="I102">
      <formula1>OR(I102="",AND(LEN(I102)=5,MID(I102,3,1)=":",ISNUMBER(VALUE(LEFT(I102,2))),ISNUMBER(VALUE(RIGHT(I102,2))),VALUE(LEFT(I102,2))&lt;=23,VALUE(RIGHT(I102,2))&lt;=59))</formula1>
    </dataValidation>
    <dataValidation type="custom" showErrorMessage="1" errorStyle="stop" errorTitle="Invalid Time" error="Enter time as HH:MM (e.g. 09:30) or leave blank" sqref="I103">
      <formula1>OR(I103="",AND(LEN(I103)=5,MID(I103,3,1)=":",ISNUMBER(VALUE(LEFT(I103,2))),ISNUMBER(VALUE(RIGHT(I103,2))),VALUE(LEFT(I103,2))&lt;=23,VALUE(RIGHT(I103,2))&lt;=59))</formula1>
    </dataValidation>
    <dataValidation type="custom" showErrorMessage="1" errorStyle="stop" errorTitle="Invalid Time" error="Enter time as HH:MM (e.g. 09:30) or leave blank" sqref="I104">
      <formula1>OR(I104="",AND(LEN(I104)=5,MID(I104,3,1)=":",ISNUMBER(VALUE(LEFT(I104,2))),ISNUMBER(VALUE(RIGHT(I104,2))),VALUE(LEFT(I104,2))&lt;=23,VALUE(RIGHT(I104,2))&lt;=59))</formula1>
    </dataValidation>
    <dataValidation type="custom" showErrorMessage="1" errorStyle="stop" errorTitle="Invalid Time" error="Enter time as HH:MM (e.g. 09:30) or leave blank" sqref="I105">
      <formula1>OR(I105="",AND(LEN(I105)=5,MID(I105,3,1)=":",ISNUMBER(VALUE(LEFT(I105,2))),ISNUMBER(VALUE(RIGHT(I105,2))),VALUE(LEFT(I105,2))&lt;=23,VALUE(RIGHT(I105,2))&lt;=59))</formula1>
    </dataValidation>
    <dataValidation type="custom" showErrorMessage="1" errorStyle="stop" errorTitle="Invalid Time" error="Enter time as HH:MM (e.g. 09:30) or leave blank" sqref="I106">
      <formula1>OR(I106="",AND(LEN(I106)=5,MID(I106,3,1)=":",ISNUMBER(VALUE(LEFT(I106,2))),ISNUMBER(VALUE(RIGHT(I106,2))),VALUE(LEFT(I106,2))&lt;=23,VALUE(RIGHT(I106,2))&lt;=59))</formula1>
    </dataValidation>
    <dataValidation type="custom" showErrorMessage="1" errorStyle="stop" errorTitle="Invalid Time" error="Enter time as HH:MM (e.g. 09:30) or leave blank" sqref="I107">
      <formula1>OR(I107="",AND(LEN(I107)=5,MID(I107,3,1)=":",ISNUMBER(VALUE(LEFT(I107,2))),ISNUMBER(VALUE(RIGHT(I107,2))),VALUE(LEFT(I107,2))&lt;=23,VALUE(RIGHT(I107,2))&lt;=59))</formula1>
    </dataValidation>
    <dataValidation type="custom" showErrorMessage="1" errorStyle="stop" errorTitle="Invalid Time" error="Enter time as HH:MM (e.g. 09:30) or leave blank" sqref="I108">
      <formula1>OR(I108="",AND(LEN(I108)=5,MID(I108,3,1)=":",ISNUMBER(VALUE(LEFT(I108,2))),ISNUMBER(VALUE(RIGHT(I108,2))),VALUE(LEFT(I108,2))&lt;=23,VALUE(RIGHT(I108,2))&lt;=59))</formula1>
    </dataValidation>
    <dataValidation type="custom" showErrorMessage="1" errorStyle="stop" errorTitle="Invalid Time" error="Enter time as HH:MM (e.g. 09:30) or leave blank" sqref="I109">
      <formula1>OR(I109="",AND(LEN(I109)=5,MID(I109,3,1)=":",ISNUMBER(VALUE(LEFT(I109,2))),ISNUMBER(VALUE(RIGHT(I109,2))),VALUE(LEFT(I109,2))&lt;=23,VALUE(RIGHT(I109,2))&lt;=59))</formula1>
    </dataValidation>
    <dataValidation type="custom" showErrorMessage="1" errorStyle="stop" errorTitle="Invalid Time" error="Enter time as HH:MM (e.g. 09:30) or leave blank" sqref="I11">
      <formula1>OR(I11="",AND(LEN(I11)=5,MID(I11,3,1)=":",ISNUMBER(VALUE(LEFT(I11,2))),ISNUMBER(VALUE(RIGHT(I11,2))),VALUE(LEFT(I11,2))&lt;=23,VALUE(RIGHT(I11,2))&lt;=59))</formula1>
    </dataValidation>
    <dataValidation type="custom" showErrorMessage="1" errorStyle="stop" errorTitle="Invalid Time" error="Enter time as HH:MM (e.g. 09:30) or leave blank" sqref="I110">
      <formula1>OR(I110="",AND(LEN(I110)=5,MID(I110,3,1)=":",ISNUMBER(VALUE(LEFT(I110,2))),ISNUMBER(VALUE(RIGHT(I110,2))),VALUE(LEFT(I110,2))&lt;=23,VALUE(RIGHT(I110,2))&lt;=59))</formula1>
    </dataValidation>
    <dataValidation type="custom" showErrorMessage="1" errorStyle="stop" errorTitle="Invalid Time" error="Enter time as HH:MM (e.g. 09:30) or leave blank" sqref="I111">
      <formula1>OR(I111="",AND(LEN(I111)=5,MID(I111,3,1)=":",ISNUMBER(VALUE(LEFT(I111,2))),ISNUMBER(VALUE(RIGHT(I111,2))),VALUE(LEFT(I111,2))&lt;=23,VALUE(RIGHT(I111,2))&lt;=59))</formula1>
    </dataValidation>
    <dataValidation type="custom" showErrorMessage="1" errorStyle="stop" errorTitle="Invalid Time" error="Enter time as HH:MM (e.g. 09:30) or leave blank" sqref="I112">
      <formula1>OR(I112="",AND(LEN(I112)=5,MID(I112,3,1)=":",ISNUMBER(VALUE(LEFT(I112,2))),ISNUMBER(VALUE(RIGHT(I112,2))),VALUE(LEFT(I112,2))&lt;=23,VALUE(RIGHT(I112,2))&lt;=59))</formula1>
    </dataValidation>
    <dataValidation type="custom" showErrorMessage="1" errorStyle="stop" errorTitle="Invalid Time" error="Enter time as HH:MM (e.g. 09:30) or leave blank" sqref="I113">
      <formula1>OR(I113="",AND(LEN(I113)=5,MID(I113,3,1)=":",ISNUMBER(VALUE(LEFT(I113,2))),ISNUMBER(VALUE(RIGHT(I113,2))),VALUE(LEFT(I113,2))&lt;=23,VALUE(RIGHT(I113,2))&lt;=59))</formula1>
    </dataValidation>
    <dataValidation type="custom" showErrorMessage="1" errorStyle="stop" errorTitle="Invalid Time" error="Enter time as HH:MM (e.g. 09:30) or leave blank" sqref="I114">
      <formula1>OR(I114="",AND(LEN(I114)=5,MID(I114,3,1)=":",ISNUMBER(VALUE(LEFT(I114,2))),ISNUMBER(VALUE(RIGHT(I114,2))),VALUE(LEFT(I114,2))&lt;=23,VALUE(RIGHT(I114,2))&lt;=59))</formula1>
    </dataValidation>
    <dataValidation type="custom" showErrorMessage="1" errorStyle="stop" errorTitle="Invalid Time" error="Enter time as HH:MM (e.g. 09:30) or leave blank" sqref="I115">
      <formula1>OR(I115="",AND(LEN(I115)=5,MID(I115,3,1)=":",ISNUMBER(VALUE(LEFT(I115,2))),ISNUMBER(VALUE(RIGHT(I115,2))),VALUE(LEFT(I115,2))&lt;=23,VALUE(RIGHT(I115,2))&lt;=59))</formula1>
    </dataValidation>
    <dataValidation type="custom" showErrorMessage="1" errorStyle="stop" errorTitle="Invalid Time" error="Enter time as HH:MM (e.g. 09:30) or leave blank" sqref="I116">
      <formula1>OR(I116="",AND(LEN(I116)=5,MID(I116,3,1)=":",ISNUMBER(VALUE(LEFT(I116,2))),ISNUMBER(VALUE(RIGHT(I116,2))),VALUE(LEFT(I116,2))&lt;=23,VALUE(RIGHT(I116,2))&lt;=59))</formula1>
    </dataValidation>
    <dataValidation type="custom" showErrorMessage="1" errorStyle="stop" errorTitle="Invalid Time" error="Enter time as HH:MM (e.g. 09:30) or leave blank" sqref="I117">
      <formula1>OR(I117="",AND(LEN(I117)=5,MID(I117,3,1)=":",ISNUMBER(VALUE(LEFT(I117,2))),ISNUMBER(VALUE(RIGHT(I117,2))),VALUE(LEFT(I117,2))&lt;=23,VALUE(RIGHT(I117,2))&lt;=59))</formula1>
    </dataValidation>
    <dataValidation type="custom" showErrorMessage="1" errorStyle="stop" errorTitle="Invalid Time" error="Enter time as HH:MM (e.g. 09:30) or leave blank" sqref="I118">
      <formula1>OR(I118="",AND(LEN(I118)=5,MID(I118,3,1)=":",ISNUMBER(VALUE(LEFT(I118,2))),ISNUMBER(VALUE(RIGHT(I118,2))),VALUE(LEFT(I118,2))&lt;=23,VALUE(RIGHT(I118,2))&lt;=59))</formula1>
    </dataValidation>
    <dataValidation type="custom" showErrorMessage="1" errorStyle="stop" errorTitle="Invalid Time" error="Enter time as HH:MM (e.g. 09:30) or leave blank" sqref="I119">
      <formula1>OR(I119="",AND(LEN(I119)=5,MID(I119,3,1)=":",ISNUMBER(VALUE(LEFT(I119,2))),ISNUMBER(VALUE(RIGHT(I119,2))),VALUE(LEFT(I119,2))&lt;=23,VALUE(RIGHT(I119,2))&lt;=59))</formula1>
    </dataValidation>
    <dataValidation type="custom" showErrorMessage="1" errorStyle="stop" errorTitle="Invalid Time" error="Enter time as HH:MM (e.g. 09:30) or leave blank" sqref="I12">
      <formula1>OR(I12="",AND(LEN(I12)=5,MID(I12,3,1)=":",ISNUMBER(VALUE(LEFT(I12,2))),ISNUMBER(VALUE(RIGHT(I12,2))),VALUE(LEFT(I12,2))&lt;=23,VALUE(RIGHT(I12,2))&lt;=59))</formula1>
    </dataValidation>
    <dataValidation type="custom" showErrorMessage="1" errorStyle="stop" errorTitle="Invalid Time" error="Enter time as HH:MM (e.g. 09:30) or leave blank" sqref="I120">
      <formula1>OR(I120="",AND(LEN(I120)=5,MID(I120,3,1)=":",ISNUMBER(VALUE(LEFT(I120,2))),ISNUMBER(VALUE(RIGHT(I120,2))),VALUE(LEFT(I120,2))&lt;=23,VALUE(RIGHT(I120,2))&lt;=59))</formula1>
    </dataValidation>
    <dataValidation type="custom" showErrorMessage="1" errorStyle="stop" errorTitle="Invalid Time" error="Enter time as HH:MM (e.g. 09:30) or leave blank" sqref="I121">
      <formula1>OR(I121="",AND(LEN(I121)=5,MID(I121,3,1)=":",ISNUMBER(VALUE(LEFT(I121,2))),ISNUMBER(VALUE(RIGHT(I121,2))),VALUE(LEFT(I121,2))&lt;=23,VALUE(RIGHT(I121,2))&lt;=59))</formula1>
    </dataValidation>
    <dataValidation type="custom" showErrorMessage="1" errorStyle="stop" errorTitle="Invalid Time" error="Enter time as HH:MM (e.g. 09:30) or leave blank" sqref="I122">
      <formula1>OR(I122="",AND(LEN(I122)=5,MID(I122,3,1)=":",ISNUMBER(VALUE(LEFT(I122,2))),ISNUMBER(VALUE(RIGHT(I122,2))),VALUE(LEFT(I122,2))&lt;=23,VALUE(RIGHT(I122,2))&lt;=59))</formula1>
    </dataValidation>
    <dataValidation type="custom" showErrorMessage="1" errorStyle="stop" errorTitle="Invalid Time" error="Enter time as HH:MM (e.g. 09:30) or leave blank" sqref="I123">
      <formula1>OR(I123="",AND(LEN(I123)=5,MID(I123,3,1)=":",ISNUMBER(VALUE(LEFT(I123,2))),ISNUMBER(VALUE(RIGHT(I123,2))),VALUE(LEFT(I123,2))&lt;=23,VALUE(RIGHT(I123,2))&lt;=59))</formula1>
    </dataValidation>
    <dataValidation type="custom" showErrorMessage="1" errorStyle="stop" errorTitle="Invalid Time" error="Enter time as HH:MM (e.g. 09:30) or leave blank" sqref="I124">
      <formula1>OR(I124="",AND(LEN(I124)=5,MID(I124,3,1)=":",ISNUMBER(VALUE(LEFT(I124,2))),ISNUMBER(VALUE(RIGHT(I124,2))),VALUE(LEFT(I124,2))&lt;=23,VALUE(RIGHT(I124,2))&lt;=59))</formula1>
    </dataValidation>
    <dataValidation type="custom" showErrorMessage="1" errorStyle="stop" errorTitle="Invalid Time" error="Enter time as HH:MM (e.g. 09:30) or leave blank" sqref="I125">
      <formula1>OR(I125="",AND(LEN(I125)=5,MID(I125,3,1)=":",ISNUMBER(VALUE(LEFT(I125,2))),ISNUMBER(VALUE(RIGHT(I125,2))),VALUE(LEFT(I125,2))&lt;=23,VALUE(RIGHT(I125,2))&lt;=59))</formula1>
    </dataValidation>
    <dataValidation type="custom" showErrorMessage="1" errorStyle="stop" errorTitle="Invalid Time" error="Enter time as HH:MM (e.g. 09:30) or leave blank" sqref="I126">
      <formula1>OR(I126="",AND(LEN(I126)=5,MID(I126,3,1)=":",ISNUMBER(VALUE(LEFT(I126,2))),ISNUMBER(VALUE(RIGHT(I126,2))),VALUE(LEFT(I126,2))&lt;=23,VALUE(RIGHT(I126,2))&lt;=59))</formula1>
    </dataValidation>
    <dataValidation type="custom" showErrorMessage="1" errorStyle="stop" errorTitle="Invalid Time" error="Enter time as HH:MM (e.g. 09:30) or leave blank" sqref="I127">
      <formula1>OR(I127="",AND(LEN(I127)=5,MID(I127,3,1)=":",ISNUMBER(VALUE(LEFT(I127,2))),ISNUMBER(VALUE(RIGHT(I127,2))),VALUE(LEFT(I127,2))&lt;=23,VALUE(RIGHT(I127,2))&lt;=59))</formula1>
    </dataValidation>
    <dataValidation type="custom" showErrorMessage="1" errorStyle="stop" errorTitle="Invalid Time" error="Enter time as HH:MM (e.g. 09:30) or leave blank" sqref="I128">
      <formula1>OR(I128="",AND(LEN(I128)=5,MID(I128,3,1)=":",ISNUMBER(VALUE(LEFT(I128,2))),ISNUMBER(VALUE(RIGHT(I128,2))),VALUE(LEFT(I128,2))&lt;=23,VALUE(RIGHT(I128,2))&lt;=59))</formula1>
    </dataValidation>
    <dataValidation type="custom" showErrorMessage="1" errorStyle="stop" errorTitle="Invalid Time" error="Enter time as HH:MM (e.g. 09:30) or leave blank" sqref="I129">
      <formula1>OR(I129="",AND(LEN(I129)=5,MID(I129,3,1)=":",ISNUMBER(VALUE(LEFT(I129,2))),ISNUMBER(VALUE(RIGHT(I129,2))),VALUE(LEFT(I129,2))&lt;=23,VALUE(RIGHT(I129,2))&lt;=59))</formula1>
    </dataValidation>
    <dataValidation type="custom" showErrorMessage="1" errorStyle="stop" errorTitle="Invalid Time" error="Enter time as HH:MM (e.g. 09:30) or leave blank" sqref="I13">
      <formula1>OR(I13="",AND(LEN(I13)=5,MID(I13,3,1)=":",ISNUMBER(VALUE(LEFT(I13,2))),ISNUMBER(VALUE(RIGHT(I13,2))),VALUE(LEFT(I13,2))&lt;=23,VALUE(RIGHT(I13,2))&lt;=59))</formula1>
    </dataValidation>
    <dataValidation type="custom" showErrorMessage="1" errorStyle="stop" errorTitle="Invalid Time" error="Enter time as HH:MM (e.g. 09:30) or leave blank" sqref="I130">
      <formula1>OR(I130="",AND(LEN(I130)=5,MID(I130,3,1)=":",ISNUMBER(VALUE(LEFT(I130,2))),ISNUMBER(VALUE(RIGHT(I130,2))),VALUE(LEFT(I130,2))&lt;=23,VALUE(RIGHT(I130,2))&lt;=59))</formula1>
    </dataValidation>
    <dataValidation type="custom" showErrorMessage="1" errorStyle="stop" errorTitle="Invalid Time" error="Enter time as HH:MM (e.g. 09:30) or leave blank" sqref="I131">
      <formula1>OR(I131="",AND(LEN(I131)=5,MID(I131,3,1)=":",ISNUMBER(VALUE(LEFT(I131,2))),ISNUMBER(VALUE(RIGHT(I131,2))),VALUE(LEFT(I131,2))&lt;=23,VALUE(RIGHT(I131,2))&lt;=59))</formula1>
    </dataValidation>
    <dataValidation type="custom" showErrorMessage="1" errorStyle="stop" errorTitle="Invalid Time" error="Enter time as HH:MM (e.g. 09:30) or leave blank" sqref="I132">
      <formula1>OR(I132="",AND(LEN(I132)=5,MID(I132,3,1)=":",ISNUMBER(VALUE(LEFT(I132,2))),ISNUMBER(VALUE(RIGHT(I132,2))),VALUE(LEFT(I132,2))&lt;=23,VALUE(RIGHT(I132,2))&lt;=59))</formula1>
    </dataValidation>
    <dataValidation type="custom" showErrorMessage="1" errorStyle="stop" errorTitle="Invalid Time" error="Enter time as HH:MM (e.g. 09:30) or leave blank" sqref="I133">
      <formula1>OR(I133="",AND(LEN(I133)=5,MID(I133,3,1)=":",ISNUMBER(VALUE(LEFT(I133,2))),ISNUMBER(VALUE(RIGHT(I133,2))),VALUE(LEFT(I133,2))&lt;=23,VALUE(RIGHT(I133,2))&lt;=59))</formula1>
    </dataValidation>
    <dataValidation type="custom" showErrorMessage="1" errorStyle="stop" errorTitle="Invalid Time" error="Enter time as HH:MM (e.g. 09:30) or leave blank" sqref="I134">
      <formula1>OR(I134="",AND(LEN(I134)=5,MID(I134,3,1)=":",ISNUMBER(VALUE(LEFT(I134,2))),ISNUMBER(VALUE(RIGHT(I134,2))),VALUE(LEFT(I134,2))&lt;=23,VALUE(RIGHT(I134,2))&lt;=59))</formula1>
    </dataValidation>
    <dataValidation type="custom" showErrorMessage="1" errorStyle="stop" errorTitle="Invalid Time" error="Enter time as HH:MM (e.g. 09:30) or leave blank" sqref="I135">
      <formula1>OR(I135="",AND(LEN(I135)=5,MID(I135,3,1)=":",ISNUMBER(VALUE(LEFT(I135,2))),ISNUMBER(VALUE(RIGHT(I135,2))),VALUE(LEFT(I135,2))&lt;=23,VALUE(RIGHT(I135,2))&lt;=59))</formula1>
    </dataValidation>
    <dataValidation type="custom" showErrorMessage="1" errorStyle="stop" errorTitle="Invalid Time" error="Enter time as HH:MM (e.g. 09:30) or leave blank" sqref="I136">
      <formula1>OR(I136="",AND(LEN(I136)=5,MID(I136,3,1)=":",ISNUMBER(VALUE(LEFT(I136,2))),ISNUMBER(VALUE(RIGHT(I136,2))),VALUE(LEFT(I136,2))&lt;=23,VALUE(RIGHT(I136,2))&lt;=59))</formula1>
    </dataValidation>
    <dataValidation type="custom" showErrorMessage="1" errorStyle="stop" errorTitle="Invalid Time" error="Enter time as HH:MM (e.g. 09:30) or leave blank" sqref="I137">
      <formula1>OR(I137="",AND(LEN(I137)=5,MID(I137,3,1)=":",ISNUMBER(VALUE(LEFT(I137,2))),ISNUMBER(VALUE(RIGHT(I137,2))),VALUE(LEFT(I137,2))&lt;=23,VALUE(RIGHT(I137,2))&lt;=59))</formula1>
    </dataValidation>
    <dataValidation type="custom" showErrorMessage="1" errorStyle="stop" errorTitle="Invalid Time" error="Enter time as HH:MM (e.g. 09:30) or leave blank" sqref="I138">
      <formula1>OR(I138="",AND(LEN(I138)=5,MID(I138,3,1)=":",ISNUMBER(VALUE(LEFT(I138,2))),ISNUMBER(VALUE(RIGHT(I138,2))),VALUE(LEFT(I138,2))&lt;=23,VALUE(RIGHT(I138,2))&lt;=59))</formula1>
    </dataValidation>
    <dataValidation type="custom" showErrorMessage="1" errorStyle="stop" errorTitle="Invalid Time" error="Enter time as HH:MM (e.g. 09:30) or leave blank" sqref="I139">
      <formula1>OR(I139="",AND(LEN(I139)=5,MID(I139,3,1)=":",ISNUMBER(VALUE(LEFT(I139,2))),ISNUMBER(VALUE(RIGHT(I139,2))),VALUE(LEFT(I139,2))&lt;=23,VALUE(RIGHT(I139,2))&lt;=59))</formula1>
    </dataValidation>
    <dataValidation type="custom" showErrorMessage="1" errorStyle="stop" errorTitle="Invalid Time" error="Enter time as HH:MM (e.g. 09:30) or leave blank" sqref="I14">
      <formula1>OR(I14="",AND(LEN(I14)=5,MID(I14,3,1)=":",ISNUMBER(VALUE(LEFT(I14,2))),ISNUMBER(VALUE(RIGHT(I14,2))),VALUE(LEFT(I14,2))&lt;=23,VALUE(RIGHT(I14,2))&lt;=59))</formula1>
    </dataValidation>
    <dataValidation type="custom" showErrorMessage="1" errorStyle="stop" errorTitle="Invalid Time" error="Enter time as HH:MM (e.g. 09:30) or leave blank" sqref="I140">
      <formula1>OR(I140="",AND(LEN(I140)=5,MID(I140,3,1)=":",ISNUMBER(VALUE(LEFT(I140,2))),ISNUMBER(VALUE(RIGHT(I140,2))),VALUE(LEFT(I140,2))&lt;=23,VALUE(RIGHT(I140,2))&lt;=59))</formula1>
    </dataValidation>
    <dataValidation type="custom" showErrorMessage="1" errorStyle="stop" errorTitle="Invalid Time" error="Enter time as HH:MM (e.g. 09:30) or leave blank" sqref="I141">
      <formula1>OR(I141="",AND(LEN(I141)=5,MID(I141,3,1)=":",ISNUMBER(VALUE(LEFT(I141,2))),ISNUMBER(VALUE(RIGHT(I141,2))),VALUE(LEFT(I141,2))&lt;=23,VALUE(RIGHT(I141,2))&lt;=59))</formula1>
    </dataValidation>
    <dataValidation type="custom" showErrorMessage="1" errorStyle="stop" errorTitle="Invalid Time" error="Enter time as HH:MM (e.g. 09:30) or leave blank" sqref="I142">
      <formula1>OR(I142="",AND(LEN(I142)=5,MID(I142,3,1)=":",ISNUMBER(VALUE(LEFT(I142,2))),ISNUMBER(VALUE(RIGHT(I142,2))),VALUE(LEFT(I142,2))&lt;=23,VALUE(RIGHT(I142,2))&lt;=59))</formula1>
    </dataValidation>
    <dataValidation type="custom" showErrorMessage="1" errorStyle="stop" errorTitle="Invalid Time" error="Enter time as HH:MM (e.g. 09:30) or leave blank" sqref="I143">
      <formula1>OR(I143="",AND(LEN(I143)=5,MID(I143,3,1)=":",ISNUMBER(VALUE(LEFT(I143,2))),ISNUMBER(VALUE(RIGHT(I143,2))),VALUE(LEFT(I143,2))&lt;=23,VALUE(RIGHT(I143,2))&lt;=59))</formula1>
    </dataValidation>
    <dataValidation type="custom" showErrorMessage="1" errorStyle="stop" errorTitle="Invalid Time" error="Enter time as HH:MM (e.g. 09:30) or leave blank" sqref="I144">
      <formula1>OR(I144="",AND(LEN(I144)=5,MID(I144,3,1)=":",ISNUMBER(VALUE(LEFT(I144,2))),ISNUMBER(VALUE(RIGHT(I144,2))),VALUE(LEFT(I144,2))&lt;=23,VALUE(RIGHT(I144,2))&lt;=59))</formula1>
    </dataValidation>
    <dataValidation type="custom" showErrorMessage="1" errorStyle="stop" errorTitle="Invalid Time" error="Enter time as HH:MM (e.g. 09:30) or leave blank" sqref="I145">
      <formula1>OR(I145="",AND(LEN(I145)=5,MID(I145,3,1)=":",ISNUMBER(VALUE(LEFT(I145,2))),ISNUMBER(VALUE(RIGHT(I145,2))),VALUE(LEFT(I145,2))&lt;=23,VALUE(RIGHT(I145,2))&lt;=59))</formula1>
    </dataValidation>
    <dataValidation type="custom" showErrorMessage="1" errorStyle="stop" errorTitle="Invalid Time" error="Enter time as HH:MM (e.g. 09:30) or leave blank" sqref="I146">
      <formula1>OR(I146="",AND(LEN(I146)=5,MID(I146,3,1)=":",ISNUMBER(VALUE(LEFT(I146,2))),ISNUMBER(VALUE(RIGHT(I146,2))),VALUE(LEFT(I146,2))&lt;=23,VALUE(RIGHT(I146,2))&lt;=59))</formula1>
    </dataValidation>
    <dataValidation type="custom" showErrorMessage="1" errorStyle="stop" errorTitle="Invalid Time" error="Enter time as HH:MM (e.g. 09:30) or leave blank" sqref="I147">
      <formula1>OR(I147="",AND(LEN(I147)=5,MID(I147,3,1)=":",ISNUMBER(VALUE(LEFT(I147,2))),ISNUMBER(VALUE(RIGHT(I147,2))),VALUE(LEFT(I147,2))&lt;=23,VALUE(RIGHT(I147,2))&lt;=59))</formula1>
    </dataValidation>
    <dataValidation type="custom" showErrorMessage="1" errorStyle="stop" errorTitle="Invalid Time" error="Enter time as HH:MM (e.g. 09:30) or leave blank" sqref="I148">
      <formula1>OR(I148="",AND(LEN(I148)=5,MID(I148,3,1)=":",ISNUMBER(VALUE(LEFT(I148,2))),ISNUMBER(VALUE(RIGHT(I148,2))),VALUE(LEFT(I148,2))&lt;=23,VALUE(RIGHT(I148,2))&lt;=59))</formula1>
    </dataValidation>
    <dataValidation type="custom" showErrorMessage="1" errorStyle="stop" errorTitle="Invalid Time" error="Enter time as HH:MM (e.g. 09:30) or leave blank" sqref="I149">
      <formula1>OR(I149="",AND(LEN(I149)=5,MID(I149,3,1)=":",ISNUMBER(VALUE(LEFT(I149,2))),ISNUMBER(VALUE(RIGHT(I149,2))),VALUE(LEFT(I149,2))&lt;=23,VALUE(RIGHT(I149,2))&lt;=59))</formula1>
    </dataValidation>
    <dataValidation type="custom" showErrorMessage="1" errorStyle="stop" errorTitle="Invalid Time" error="Enter time as HH:MM (e.g. 09:30) or leave blank" sqref="I15">
      <formula1>OR(I15="",AND(LEN(I15)=5,MID(I15,3,1)=":",ISNUMBER(VALUE(LEFT(I15,2))),ISNUMBER(VALUE(RIGHT(I15,2))),VALUE(LEFT(I15,2))&lt;=23,VALUE(RIGHT(I15,2))&lt;=59))</formula1>
    </dataValidation>
    <dataValidation type="custom" showErrorMessage="1" errorStyle="stop" errorTitle="Invalid Time" error="Enter time as HH:MM (e.g. 09:30) or leave blank" sqref="I150">
      <formula1>OR(I150="",AND(LEN(I150)=5,MID(I150,3,1)=":",ISNUMBER(VALUE(LEFT(I150,2))),ISNUMBER(VALUE(RIGHT(I150,2))),VALUE(LEFT(I150,2))&lt;=23,VALUE(RIGHT(I150,2))&lt;=59))</formula1>
    </dataValidation>
    <dataValidation type="custom" showErrorMessage="1" errorStyle="stop" errorTitle="Invalid Time" error="Enter time as HH:MM (e.g. 09:30) or leave blank" sqref="I151">
      <formula1>OR(I151="",AND(LEN(I151)=5,MID(I151,3,1)=":",ISNUMBER(VALUE(LEFT(I151,2))),ISNUMBER(VALUE(RIGHT(I151,2))),VALUE(LEFT(I151,2))&lt;=23,VALUE(RIGHT(I151,2))&lt;=59))</formula1>
    </dataValidation>
    <dataValidation type="custom" showErrorMessage="1" errorStyle="stop" errorTitle="Invalid Time" error="Enter time as HH:MM (e.g. 09:30) or leave blank" sqref="I152">
      <formula1>OR(I152="",AND(LEN(I152)=5,MID(I152,3,1)=":",ISNUMBER(VALUE(LEFT(I152,2))),ISNUMBER(VALUE(RIGHT(I152,2))),VALUE(LEFT(I152,2))&lt;=23,VALUE(RIGHT(I152,2))&lt;=59))</formula1>
    </dataValidation>
    <dataValidation type="custom" showErrorMessage="1" errorStyle="stop" errorTitle="Invalid Time" error="Enter time as HH:MM (e.g. 09:30) or leave blank" sqref="I153">
      <formula1>OR(I153="",AND(LEN(I153)=5,MID(I153,3,1)=":",ISNUMBER(VALUE(LEFT(I153,2))),ISNUMBER(VALUE(RIGHT(I153,2))),VALUE(LEFT(I153,2))&lt;=23,VALUE(RIGHT(I153,2))&lt;=59))</formula1>
    </dataValidation>
    <dataValidation type="custom" showErrorMessage="1" errorStyle="stop" errorTitle="Invalid Time" error="Enter time as HH:MM (e.g. 09:30) or leave blank" sqref="I154">
      <formula1>OR(I154="",AND(LEN(I154)=5,MID(I154,3,1)=":",ISNUMBER(VALUE(LEFT(I154,2))),ISNUMBER(VALUE(RIGHT(I154,2))),VALUE(LEFT(I154,2))&lt;=23,VALUE(RIGHT(I154,2))&lt;=59))</formula1>
    </dataValidation>
    <dataValidation type="custom" showErrorMessage="1" errorStyle="stop" errorTitle="Invalid Time" error="Enter time as HH:MM (e.g. 09:30) or leave blank" sqref="I155">
      <formula1>OR(I155="",AND(LEN(I155)=5,MID(I155,3,1)=":",ISNUMBER(VALUE(LEFT(I155,2))),ISNUMBER(VALUE(RIGHT(I155,2))),VALUE(LEFT(I155,2))&lt;=23,VALUE(RIGHT(I155,2))&lt;=59))</formula1>
    </dataValidation>
    <dataValidation type="custom" showErrorMessage="1" errorStyle="stop" errorTitle="Invalid Time" error="Enter time as HH:MM (e.g. 09:30) or leave blank" sqref="I156">
      <formula1>OR(I156="",AND(LEN(I156)=5,MID(I156,3,1)=":",ISNUMBER(VALUE(LEFT(I156,2))),ISNUMBER(VALUE(RIGHT(I156,2))),VALUE(LEFT(I156,2))&lt;=23,VALUE(RIGHT(I156,2))&lt;=59))</formula1>
    </dataValidation>
    <dataValidation type="custom" showErrorMessage="1" errorStyle="stop" errorTitle="Invalid Time" error="Enter time as HH:MM (e.g. 09:30) or leave blank" sqref="I157">
      <formula1>OR(I157="",AND(LEN(I157)=5,MID(I157,3,1)=":",ISNUMBER(VALUE(LEFT(I157,2))),ISNUMBER(VALUE(RIGHT(I157,2))),VALUE(LEFT(I157,2))&lt;=23,VALUE(RIGHT(I157,2))&lt;=59))</formula1>
    </dataValidation>
    <dataValidation type="custom" showErrorMessage="1" errorStyle="stop" errorTitle="Invalid Time" error="Enter time as HH:MM (e.g. 09:30) or leave blank" sqref="I158">
      <formula1>OR(I158="",AND(LEN(I158)=5,MID(I158,3,1)=":",ISNUMBER(VALUE(LEFT(I158,2))),ISNUMBER(VALUE(RIGHT(I158,2))),VALUE(LEFT(I158,2))&lt;=23,VALUE(RIGHT(I158,2))&lt;=59))</formula1>
    </dataValidation>
    <dataValidation type="custom" showErrorMessage="1" errorStyle="stop" errorTitle="Invalid Time" error="Enter time as HH:MM (e.g. 09:30) or leave blank" sqref="I159">
      <formula1>OR(I159="",AND(LEN(I159)=5,MID(I159,3,1)=":",ISNUMBER(VALUE(LEFT(I159,2))),ISNUMBER(VALUE(RIGHT(I159,2))),VALUE(LEFT(I159,2))&lt;=23,VALUE(RIGHT(I159,2))&lt;=59))</formula1>
    </dataValidation>
    <dataValidation type="custom" showErrorMessage="1" errorStyle="stop" errorTitle="Invalid Time" error="Enter time as HH:MM (e.g. 09:30) or leave blank" sqref="I16">
      <formula1>OR(I16="",AND(LEN(I16)=5,MID(I16,3,1)=":",ISNUMBER(VALUE(LEFT(I16,2))),ISNUMBER(VALUE(RIGHT(I16,2))),VALUE(LEFT(I16,2))&lt;=23,VALUE(RIGHT(I16,2))&lt;=59))</formula1>
    </dataValidation>
    <dataValidation type="custom" showErrorMessage="1" errorStyle="stop" errorTitle="Invalid Time" error="Enter time as HH:MM (e.g. 09:30) or leave blank" sqref="I160">
      <formula1>OR(I160="",AND(LEN(I160)=5,MID(I160,3,1)=":",ISNUMBER(VALUE(LEFT(I160,2))),ISNUMBER(VALUE(RIGHT(I160,2))),VALUE(LEFT(I160,2))&lt;=23,VALUE(RIGHT(I160,2))&lt;=59))</formula1>
    </dataValidation>
    <dataValidation type="custom" showErrorMessage="1" errorStyle="stop" errorTitle="Invalid Time" error="Enter time as HH:MM (e.g. 09:30) or leave blank" sqref="I161">
      <formula1>OR(I161="",AND(LEN(I161)=5,MID(I161,3,1)=":",ISNUMBER(VALUE(LEFT(I161,2))),ISNUMBER(VALUE(RIGHT(I161,2))),VALUE(LEFT(I161,2))&lt;=23,VALUE(RIGHT(I161,2))&lt;=59))</formula1>
    </dataValidation>
    <dataValidation type="custom" showErrorMessage="1" errorStyle="stop" errorTitle="Invalid Time" error="Enter time as HH:MM (e.g. 09:30) or leave blank" sqref="I162">
      <formula1>OR(I162="",AND(LEN(I162)=5,MID(I162,3,1)=":",ISNUMBER(VALUE(LEFT(I162,2))),ISNUMBER(VALUE(RIGHT(I162,2))),VALUE(LEFT(I162,2))&lt;=23,VALUE(RIGHT(I162,2))&lt;=59))</formula1>
    </dataValidation>
    <dataValidation type="custom" showErrorMessage="1" errorStyle="stop" errorTitle="Invalid Time" error="Enter time as HH:MM (e.g. 09:30) or leave blank" sqref="I163">
      <formula1>OR(I163="",AND(LEN(I163)=5,MID(I163,3,1)=":",ISNUMBER(VALUE(LEFT(I163,2))),ISNUMBER(VALUE(RIGHT(I163,2))),VALUE(LEFT(I163,2))&lt;=23,VALUE(RIGHT(I163,2))&lt;=59))</formula1>
    </dataValidation>
    <dataValidation type="custom" showErrorMessage="1" errorStyle="stop" errorTitle="Invalid Time" error="Enter time as HH:MM (e.g. 09:30) or leave blank" sqref="I164">
      <formula1>OR(I164="",AND(LEN(I164)=5,MID(I164,3,1)=":",ISNUMBER(VALUE(LEFT(I164,2))),ISNUMBER(VALUE(RIGHT(I164,2))),VALUE(LEFT(I164,2))&lt;=23,VALUE(RIGHT(I164,2))&lt;=59))</formula1>
    </dataValidation>
    <dataValidation type="custom" showErrorMessage="1" errorStyle="stop" errorTitle="Invalid Time" error="Enter time as HH:MM (e.g. 09:30) or leave blank" sqref="I165">
      <formula1>OR(I165="",AND(LEN(I165)=5,MID(I165,3,1)=":",ISNUMBER(VALUE(LEFT(I165,2))),ISNUMBER(VALUE(RIGHT(I165,2))),VALUE(LEFT(I165,2))&lt;=23,VALUE(RIGHT(I165,2))&lt;=59))</formula1>
    </dataValidation>
    <dataValidation type="custom" showErrorMessage="1" errorStyle="stop" errorTitle="Invalid Time" error="Enter time as HH:MM (e.g. 09:30) or leave blank" sqref="I166">
      <formula1>OR(I166="",AND(LEN(I166)=5,MID(I166,3,1)=":",ISNUMBER(VALUE(LEFT(I166,2))),ISNUMBER(VALUE(RIGHT(I166,2))),VALUE(LEFT(I166,2))&lt;=23,VALUE(RIGHT(I166,2))&lt;=59))</formula1>
    </dataValidation>
    <dataValidation type="custom" showErrorMessage="1" errorStyle="stop" errorTitle="Invalid Time" error="Enter time as HH:MM (e.g. 09:30) or leave blank" sqref="I167">
      <formula1>OR(I167="",AND(LEN(I167)=5,MID(I167,3,1)=":",ISNUMBER(VALUE(LEFT(I167,2))),ISNUMBER(VALUE(RIGHT(I167,2))),VALUE(LEFT(I167,2))&lt;=23,VALUE(RIGHT(I167,2))&lt;=59))</formula1>
    </dataValidation>
    <dataValidation type="custom" showErrorMessage="1" errorStyle="stop" errorTitle="Invalid Time" error="Enter time as HH:MM (e.g. 09:30) or leave blank" sqref="I168">
      <formula1>OR(I168="",AND(LEN(I168)=5,MID(I168,3,1)=":",ISNUMBER(VALUE(LEFT(I168,2))),ISNUMBER(VALUE(RIGHT(I168,2))),VALUE(LEFT(I168,2))&lt;=23,VALUE(RIGHT(I168,2))&lt;=59))</formula1>
    </dataValidation>
    <dataValidation type="custom" showErrorMessage="1" errorStyle="stop" errorTitle="Invalid Time" error="Enter time as HH:MM (e.g. 09:30) or leave blank" sqref="I169">
      <formula1>OR(I169="",AND(LEN(I169)=5,MID(I169,3,1)=":",ISNUMBER(VALUE(LEFT(I169,2))),ISNUMBER(VALUE(RIGHT(I169,2))),VALUE(LEFT(I169,2))&lt;=23,VALUE(RIGHT(I169,2))&lt;=59))</formula1>
    </dataValidation>
    <dataValidation type="custom" showErrorMessage="1" errorStyle="stop" errorTitle="Invalid Time" error="Enter time as HH:MM (e.g. 09:30) or leave blank" sqref="I17">
      <formula1>OR(I17="",AND(LEN(I17)=5,MID(I17,3,1)=":",ISNUMBER(VALUE(LEFT(I17,2))),ISNUMBER(VALUE(RIGHT(I17,2))),VALUE(LEFT(I17,2))&lt;=23,VALUE(RIGHT(I17,2))&lt;=59))</formula1>
    </dataValidation>
    <dataValidation type="custom" showErrorMessage="1" errorStyle="stop" errorTitle="Invalid Time" error="Enter time as HH:MM (e.g. 09:30) or leave blank" sqref="I170">
      <formula1>OR(I170="",AND(LEN(I170)=5,MID(I170,3,1)=":",ISNUMBER(VALUE(LEFT(I170,2))),ISNUMBER(VALUE(RIGHT(I170,2))),VALUE(LEFT(I170,2))&lt;=23,VALUE(RIGHT(I170,2))&lt;=59))</formula1>
    </dataValidation>
    <dataValidation type="custom" showErrorMessage="1" errorStyle="stop" errorTitle="Invalid Time" error="Enter time as HH:MM (e.g. 09:30) or leave blank" sqref="I171">
      <formula1>OR(I171="",AND(LEN(I171)=5,MID(I171,3,1)=":",ISNUMBER(VALUE(LEFT(I171,2))),ISNUMBER(VALUE(RIGHT(I171,2))),VALUE(LEFT(I171,2))&lt;=23,VALUE(RIGHT(I171,2))&lt;=59))</formula1>
    </dataValidation>
    <dataValidation type="custom" showErrorMessage="1" errorStyle="stop" errorTitle="Invalid Time" error="Enter time as HH:MM (e.g. 09:30) or leave blank" sqref="I172">
      <formula1>OR(I172="",AND(LEN(I172)=5,MID(I172,3,1)=":",ISNUMBER(VALUE(LEFT(I172,2))),ISNUMBER(VALUE(RIGHT(I172,2))),VALUE(LEFT(I172,2))&lt;=23,VALUE(RIGHT(I172,2))&lt;=59))</formula1>
    </dataValidation>
    <dataValidation type="custom" showErrorMessage="1" errorStyle="stop" errorTitle="Invalid Time" error="Enter time as HH:MM (e.g. 09:30) or leave blank" sqref="I173">
      <formula1>OR(I173="",AND(LEN(I173)=5,MID(I173,3,1)=":",ISNUMBER(VALUE(LEFT(I173,2))),ISNUMBER(VALUE(RIGHT(I173,2))),VALUE(LEFT(I173,2))&lt;=23,VALUE(RIGHT(I173,2))&lt;=59))</formula1>
    </dataValidation>
    <dataValidation type="custom" showErrorMessage="1" errorStyle="stop" errorTitle="Invalid Time" error="Enter time as HH:MM (e.g. 09:30) or leave blank" sqref="I174">
      <formula1>OR(I174="",AND(LEN(I174)=5,MID(I174,3,1)=":",ISNUMBER(VALUE(LEFT(I174,2))),ISNUMBER(VALUE(RIGHT(I174,2))),VALUE(LEFT(I174,2))&lt;=23,VALUE(RIGHT(I174,2))&lt;=59))</formula1>
    </dataValidation>
    <dataValidation type="custom" showErrorMessage="1" errorStyle="stop" errorTitle="Invalid Time" error="Enter time as HH:MM (e.g. 09:30) or leave blank" sqref="I175">
      <formula1>OR(I175="",AND(LEN(I175)=5,MID(I175,3,1)=":",ISNUMBER(VALUE(LEFT(I175,2))),ISNUMBER(VALUE(RIGHT(I175,2))),VALUE(LEFT(I175,2))&lt;=23,VALUE(RIGHT(I175,2))&lt;=59))</formula1>
    </dataValidation>
    <dataValidation type="custom" showErrorMessage="1" errorStyle="stop" errorTitle="Invalid Time" error="Enter time as HH:MM (e.g. 09:30) or leave blank" sqref="I176">
      <formula1>OR(I176="",AND(LEN(I176)=5,MID(I176,3,1)=":",ISNUMBER(VALUE(LEFT(I176,2))),ISNUMBER(VALUE(RIGHT(I176,2))),VALUE(LEFT(I176,2))&lt;=23,VALUE(RIGHT(I176,2))&lt;=59))</formula1>
    </dataValidation>
    <dataValidation type="custom" showErrorMessage="1" errorStyle="stop" errorTitle="Invalid Time" error="Enter time as HH:MM (e.g. 09:30) or leave blank" sqref="I177">
      <formula1>OR(I177="",AND(LEN(I177)=5,MID(I177,3,1)=":",ISNUMBER(VALUE(LEFT(I177,2))),ISNUMBER(VALUE(RIGHT(I177,2))),VALUE(LEFT(I177,2))&lt;=23,VALUE(RIGHT(I177,2))&lt;=59))</formula1>
    </dataValidation>
    <dataValidation type="custom" showErrorMessage="1" errorStyle="stop" errorTitle="Invalid Time" error="Enter time as HH:MM (e.g. 09:30) or leave blank" sqref="I178">
      <formula1>OR(I178="",AND(LEN(I178)=5,MID(I178,3,1)=":",ISNUMBER(VALUE(LEFT(I178,2))),ISNUMBER(VALUE(RIGHT(I178,2))),VALUE(LEFT(I178,2))&lt;=23,VALUE(RIGHT(I178,2))&lt;=59))</formula1>
    </dataValidation>
    <dataValidation type="custom" showErrorMessage="1" errorStyle="stop" errorTitle="Invalid Time" error="Enter time as HH:MM (e.g. 09:30) or leave blank" sqref="I179">
      <formula1>OR(I179="",AND(LEN(I179)=5,MID(I179,3,1)=":",ISNUMBER(VALUE(LEFT(I179,2))),ISNUMBER(VALUE(RIGHT(I179,2))),VALUE(LEFT(I179,2))&lt;=23,VALUE(RIGHT(I179,2))&lt;=59))</formula1>
    </dataValidation>
    <dataValidation type="custom" showErrorMessage="1" errorStyle="stop" errorTitle="Invalid Time" error="Enter time as HH:MM (e.g. 09:30) or leave blank" sqref="I18">
      <formula1>OR(I18="",AND(LEN(I18)=5,MID(I18,3,1)=":",ISNUMBER(VALUE(LEFT(I18,2))),ISNUMBER(VALUE(RIGHT(I18,2))),VALUE(LEFT(I18,2))&lt;=23,VALUE(RIGHT(I18,2))&lt;=59))</formula1>
    </dataValidation>
    <dataValidation type="custom" showErrorMessage="1" errorStyle="stop" errorTitle="Invalid Time" error="Enter time as HH:MM (e.g. 09:30) or leave blank" sqref="I180">
      <formula1>OR(I180="",AND(LEN(I180)=5,MID(I180,3,1)=":",ISNUMBER(VALUE(LEFT(I180,2))),ISNUMBER(VALUE(RIGHT(I180,2))),VALUE(LEFT(I180,2))&lt;=23,VALUE(RIGHT(I180,2))&lt;=59))</formula1>
    </dataValidation>
    <dataValidation type="custom" showErrorMessage="1" errorStyle="stop" errorTitle="Invalid Time" error="Enter time as HH:MM (e.g. 09:30) or leave blank" sqref="I181">
      <formula1>OR(I181="",AND(LEN(I181)=5,MID(I181,3,1)=":",ISNUMBER(VALUE(LEFT(I181,2))),ISNUMBER(VALUE(RIGHT(I181,2))),VALUE(LEFT(I181,2))&lt;=23,VALUE(RIGHT(I181,2))&lt;=59))</formula1>
    </dataValidation>
    <dataValidation type="custom" showErrorMessage="1" errorStyle="stop" errorTitle="Invalid Time" error="Enter time as HH:MM (e.g. 09:30) or leave blank" sqref="I182">
      <formula1>OR(I182="",AND(LEN(I182)=5,MID(I182,3,1)=":",ISNUMBER(VALUE(LEFT(I182,2))),ISNUMBER(VALUE(RIGHT(I182,2))),VALUE(LEFT(I182,2))&lt;=23,VALUE(RIGHT(I182,2))&lt;=59))</formula1>
    </dataValidation>
    <dataValidation type="custom" showErrorMessage="1" errorStyle="stop" errorTitle="Invalid Time" error="Enter time as HH:MM (e.g. 09:30) or leave blank" sqref="I183">
      <formula1>OR(I183="",AND(LEN(I183)=5,MID(I183,3,1)=":",ISNUMBER(VALUE(LEFT(I183,2))),ISNUMBER(VALUE(RIGHT(I183,2))),VALUE(LEFT(I183,2))&lt;=23,VALUE(RIGHT(I183,2))&lt;=59))</formula1>
    </dataValidation>
    <dataValidation type="custom" showErrorMessage="1" errorStyle="stop" errorTitle="Invalid Time" error="Enter time as HH:MM (e.g. 09:30) or leave blank" sqref="I184">
      <formula1>OR(I184="",AND(LEN(I184)=5,MID(I184,3,1)=":",ISNUMBER(VALUE(LEFT(I184,2))),ISNUMBER(VALUE(RIGHT(I184,2))),VALUE(LEFT(I184,2))&lt;=23,VALUE(RIGHT(I184,2))&lt;=59))</formula1>
    </dataValidation>
    <dataValidation type="custom" showErrorMessage="1" errorStyle="stop" errorTitle="Invalid Time" error="Enter time as HH:MM (e.g. 09:30) or leave blank" sqref="I185">
      <formula1>OR(I185="",AND(LEN(I185)=5,MID(I185,3,1)=":",ISNUMBER(VALUE(LEFT(I185,2))),ISNUMBER(VALUE(RIGHT(I185,2))),VALUE(LEFT(I185,2))&lt;=23,VALUE(RIGHT(I185,2))&lt;=59))</formula1>
    </dataValidation>
    <dataValidation type="custom" showErrorMessage="1" errorStyle="stop" errorTitle="Invalid Time" error="Enter time as HH:MM (e.g. 09:30) or leave blank" sqref="I186">
      <formula1>OR(I186="",AND(LEN(I186)=5,MID(I186,3,1)=":",ISNUMBER(VALUE(LEFT(I186,2))),ISNUMBER(VALUE(RIGHT(I186,2))),VALUE(LEFT(I186,2))&lt;=23,VALUE(RIGHT(I186,2))&lt;=59))</formula1>
    </dataValidation>
    <dataValidation type="custom" showErrorMessage="1" errorStyle="stop" errorTitle="Invalid Time" error="Enter time as HH:MM (e.g. 09:30) or leave blank" sqref="I187">
      <formula1>OR(I187="",AND(LEN(I187)=5,MID(I187,3,1)=":",ISNUMBER(VALUE(LEFT(I187,2))),ISNUMBER(VALUE(RIGHT(I187,2))),VALUE(LEFT(I187,2))&lt;=23,VALUE(RIGHT(I187,2))&lt;=59))</formula1>
    </dataValidation>
    <dataValidation type="custom" showErrorMessage="1" errorStyle="stop" errorTitle="Invalid Time" error="Enter time as HH:MM (e.g. 09:30) or leave blank" sqref="I188">
      <formula1>OR(I188="",AND(LEN(I188)=5,MID(I188,3,1)=":",ISNUMBER(VALUE(LEFT(I188,2))),ISNUMBER(VALUE(RIGHT(I188,2))),VALUE(LEFT(I188,2))&lt;=23,VALUE(RIGHT(I188,2))&lt;=59))</formula1>
    </dataValidation>
    <dataValidation type="custom" showErrorMessage="1" errorStyle="stop" errorTitle="Invalid Time" error="Enter time as HH:MM (e.g. 09:30) or leave blank" sqref="I189">
      <formula1>OR(I189="",AND(LEN(I189)=5,MID(I189,3,1)=":",ISNUMBER(VALUE(LEFT(I189,2))),ISNUMBER(VALUE(RIGHT(I189,2))),VALUE(LEFT(I189,2))&lt;=23,VALUE(RIGHT(I189,2))&lt;=59))</formula1>
    </dataValidation>
    <dataValidation type="custom" showErrorMessage="1" errorStyle="stop" errorTitle="Invalid Time" error="Enter time as HH:MM (e.g. 09:30) or leave blank" sqref="I19">
      <formula1>OR(I19="",AND(LEN(I19)=5,MID(I19,3,1)=":",ISNUMBER(VALUE(LEFT(I19,2))),ISNUMBER(VALUE(RIGHT(I19,2))),VALUE(LEFT(I19,2))&lt;=23,VALUE(RIGHT(I19,2))&lt;=59))</formula1>
    </dataValidation>
    <dataValidation type="custom" showErrorMessage="1" errorStyle="stop" errorTitle="Invalid Time" error="Enter time as HH:MM (e.g. 09:30) or leave blank" sqref="I190">
      <formula1>OR(I190="",AND(LEN(I190)=5,MID(I190,3,1)=":",ISNUMBER(VALUE(LEFT(I190,2))),ISNUMBER(VALUE(RIGHT(I190,2))),VALUE(LEFT(I190,2))&lt;=23,VALUE(RIGHT(I190,2))&lt;=59))</formula1>
    </dataValidation>
    <dataValidation type="custom" showErrorMessage="1" errorStyle="stop" errorTitle="Invalid Time" error="Enter time as HH:MM (e.g. 09:30) or leave blank" sqref="I191">
      <formula1>OR(I191="",AND(LEN(I191)=5,MID(I191,3,1)=":",ISNUMBER(VALUE(LEFT(I191,2))),ISNUMBER(VALUE(RIGHT(I191,2))),VALUE(LEFT(I191,2))&lt;=23,VALUE(RIGHT(I191,2))&lt;=59))</formula1>
    </dataValidation>
    <dataValidation type="custom" showErrorMessage="1" errorStyle="stop" errorTitle="Invalid Time" error="Enter time as HH:MM (e.g. 09:30) or leave blank" sqref="I192">
      <formula1>OR(I192="",AND(LEN(I192)=5,MID(I192,3,1)=":",ISNUMBER(VALUE(LEFT(I192,2))),ISNUMBER(VALUE(RIGHT(I192,2))),VALUE(LEFT(I192,2))&lt;=23,VALUE(RIGHT(I192,2))&lt;=59))</formula1>
    </dataValidation>
    <dataValidation type="custom" showErrorMessage="1" errorStyle="stop" errorTitle="Invalid Time" error="Enter time as HH:MM (e.g. 09:30) or leave blank" sqref="I193">
      <formula1>OR(I193="",AND(LEN(I193)=5,MID(I193,3,1)=":",ISNUMBER(VALUE(LEFT(I193,2))),ISNUMBER(VALUE(RIGHT(I193,2))),VALUE(LEFT(I193,2))&lt;=23,VALUE(RIGHT(I193,2))&lt;=59))</formula1>
    </dataValidation>
    <dataValidation type="custom" showErrorMessage="1" errorStyle="stop" errorTitle="Invalid Time" error="Enter time as HH:MM (e.g. 09:30) or leave blank" sqref="I194">
      <formula1>OR(I194="",AND(LEN(I194)=5,MID(I194,3,1)=":",ISNUMBER(VALUE(LEFT(I194,2))),ISNUMBER(VALUE(RIGHT(I194,2))),VALUE(LEFT(I194,2))&lt;=23,VALUE(RIGHT(I194,2))&lt;=59))</formula1>
    </dataValidation>
    <dataValidation type="custom" showErrorMessage="1" errorStyle="stop" errorTitle="Invalid Time" error="Enter time as HH:MM (e.g. 09:30) or leave blank" sqref="I195">
      <formula1>OR(I195="",AND(LEN(I195)=5,MID(I195,3,1)=":",ISNUMBER(VALUE(LEFT(I195,2))),ISNUMBER(VALUE(RIGHT(I195,2))),VALUE(LEFT(I195,2))&lt;=23,VALUE(RIGHT(I195,2))&lt;=59))</formula1>
    </dataValidation>
    <dataValidation type="custom" showErrorMessage="1" errorStyle="stop" errorTitle="Invalid Time" error="Enter time as HH:MM (e.g. 09:30) or leave blank" sqref="I196">
      <formula1>OR(I196="",AND(LEN(I196)=5,MID(I196,3,1)=":",ISNUMBER(VALUE(LEFT(I196,2))),ISNUMBER(VALUE(RIGHT(I196,2))),VALUE(LEFT(I196,2))&lt;=23,VALUE(RIGHT(I196,2))&lt;=59))</formula1>
    </dataValidation>
    <dataValidation type="custom" showErrorMessage="1" errorStyle="stop" errorTitle="Invalid Time" error="Enter time as HH:MM (e.g. 09:30) or leave blank" sqref="I197">
      <formula1>OR(I197="",AND(LEN(I197)=5,MID(I197,3,1)=":",ISNUMBER(VALUE(LEFT(I197,2))),ISNUMBER(VALUE(RIGHT(I197,2))),VALUE(LEFT(I197,2))&lt;=23,VALUE(RIGHT(I197,2))&lt;=59))</formula1>
    </dataValidation>
    <dataValidation type="custom" showErrorMessage="1" errorStyle="stop" errorTitle="Invalid Time" error="Enter time as HH:MM (e.g. 09:30) or leave blank" sqref="I198">
      <formula1>OR(I198="",AND(LEN(I198)=5,MID(I198,3,1)=":",ISNUMBER(VALUE(LEFT(I198,2))),ISNUMBER(VALUE(RIGHT(I198,2))),VALUE(LEFT(I198,2))&lt;=23,VALUE(RIGHT(I198,2))&lt;=59))</formula1>
    </dataValidation>
    <dataValidation type="custom" showErrorMessage="1" errorStyle="stop" errorTitle="Invalid Time" error="Enter time as HH:MM (e.g. 09:30) or leave blank" sqref="I199">
      <formula1>OR(I199="",AND(LEN(I199)=5,MID(I199,3,1)=":",ISNUMBER(VALUE(LEFT(I199,2))),ISNUMBER(VALUE(RIGHT(I199,2))),VALUE(LEFT(I199,2))&lt;=23,VALUE(RIGHT(I199,2))&lt;=59))</formula1>
    </dataValidation>
    <dataValidation type="custom" showErrorMessage="1" errorStyle="stop" errorTitle="Invalid Time" error="Enter time as HH:MM (e.g. 09:30) or leave blank" sqref="I20">
      <formula1>OR(I20="",AND(LEN(I20)=5,MID(I20,3,1)=":",ISNUMBER(VALUE(LEFT(I20,2))),ISNUMBER(VALUE(RIGHT(I20,2))),VALUE(LEFT(I20,2))&lt;=23,VALUE(RIGHT(I20,2))&lt;=59))</formula1>
    </dataValidation>
    <dataValidation type="custom" showErrorMessage="1" errorStyle="stop" errorTitle="Invalid Time" error="Enter time as HH:MM (e.g. 09:30) or leave blank" sqref="I200">
      <formula1>OR(I200="",AND(LEN(I200)=5,MID(I200,3,1)=":",ISNUMBER(VALUE(LEFT(I200,2))),ISNUMBER(VALUE(RIGHT(I200,2))),VALUE(LEFT(I200,2))&lt;=23,VALUE(RIGHT(I200,2))&lt;=59))</formula1>
    </dataValidation>
    <dataValidation type="custom" showErrorMessage="1" errorStyle="stop" errorTitle="Invalid Time" error="Enter time as HH:MM (e.g. 09:30) or leave blank" sqref="I201">
      <formula1>OR(I201="",AND(LEN(I201)=5,MID(I201,3,1)=":",ISNUMBER(VALUE(LEFT(I201,2))),ISNUMBER(VALUE(RIGHT(I201,2))),VALUE(LEFT(I201,2))&lt;=23,VALUE(RIGHT(I201,2))&lt;=59))</formula1>
    </dataValidation>
    <dataValidation type="custom" showErrorMessage="1" errorStyle="stop" errorTitle="Invalid Time" error="Enter time as HH:MM (e.g. 09:30) or leave blank" sqref="I202">
      <formula1>OR(I202="",AND(LEN(I202)=5,MID(I202,3,1)=":",ISNUMBER(VALUE(LEFT(I202,2))),ISNUMBER(VALUE(RIGHT(I202,2))),VALUE(LEFT(I202,2))&lt;=23,VALUE(RIGHT(I202,2))&lt;=59))</formula1>
    </dataValidation>
    <dataValidation type="custom" showErrorMessage="1" errorStyle="stop" errorTitle="Invalid Time" error="Enter time as HH:MM (e.g. 09:30) or leave blank" sqref="I203">
      <formula1>OR(I203="",AND(LEN(I203)=5,MID(I203,3,1)=":",ISNUMBER(VALUE(LEFT(I203,2))),ISNUMBER(VALUE(RIGHT(I203,2))),VALUE(LEFT(I203,2))&lt;=23,VALUE(RIGHT(I203,2))&lt;=59))</formula1>
    </dataValidation>
    <dataValidation type="custom" showErrorMessage="1" errorStyle="stop" errorTitle="Invalid Time" error="Enter time as HH:MM (e.g. 09:30) or leave blank" sqref="I204">
      <formula1>OR(I204="",AND(LEN(I204)=5,MID(I204,3,1)=":",ISNUMBER(VALUE(LEFT(I204,2))),ISNUMBER(VALUE(RIGHT(I204,2))),VALUE(LEFT(I204,2))&lt;=23,VALUE(RIGHT(I204,2))&lt;=59))</formula1>
    </dataValidation>
    <dataValidation type="custom" showErrorMessage="1" errorStyle="stop" errorTitle="Invalid Time" error="Enter time as HH:MM (e.g. 09:30) or leave blank" sqref="I205">
      <formula1>OR(I205="",AND(LEN(I205)=5,MID(I205,3,1)=":",ISNUMBER(VALUE(LEFT(I205,2))),ISNUMBER(VALUE(RIGHT(I205,2))),VALUE(LEFT(I205,2))&lt;=23,VALUE(RIGHT(I205,2))&lt;=59))</formula1>
    </dataValidation>
    <dataValidation type="custom" showErrorMessage="1" errorStyle="stop" errorTitle="Invalid Time" error="Enter time as HH:MM (e.g. 09:30) or leave blank" sqref="I206">
      <formula1>OR(I206="",AND(LEN(I206)=5,MID(I206,3,1)=":",ISNUMBER(VALUE(LEFT(I206,2))),ISNUMBER(VALUE(RIGHT(I206,2))),VALUE(LEFT(I206,2))&lt;=23,VALUE(RIGHT(I206,2))&lt;=59))</formula1>
    </dataValidation>
    <dataValidation type="custom" showErrorMessage="1" errorStyle="stop" errorTitle="Invalid Time" error="Enter time as HH:MM (e.g. 09:30) or leave blank" sqref="I207">
      <formula1>OR(I207="",AND(LEN(I207)=5,MID(I207,3,1)=":",ISNUMBER(VALUE(LEFT(I207,2))),ISNUMBER(VALUE(RIGHT(I207,2))),VALUE(LEFT(I207,2))&lt;=23,VALUE(RIGHT(I207,2))&lt;=59))</formula1>
    </dataValidation>
    <dataValidation type="custom" showErrorMessage="1" errorStyle="stop" errorTitle="Invalid Time" error="Enter time as HH:MM (e.g. 09:30) or leave blank" sqref="I208">
      <formula1>OR(I208="",AND(LEN(I208)=5,MID(I208,3,1)=":",ISNUMBER(VALUE(LEFT(I208,2))),ISNUMBER(VALUE(RIGHT(I208,2))),VALUE(LEFT(I208,2))&lt;=23,VALUE(RIGHT(I208,2))&lt;=59))</formula1>
    </dataValidation>
    <dataValidation type="custom" showErrorMessage="1" errorStyle="stop" errorTitle="Invalid Time" error="Enter time as HH:MM (e.g. 09:30) or leave blank" sqref="I209">
      <formula1>OR(I209="",AND(LEN(I209)=5,MID(I209,3,1)=":",ISNUMBER(VALUE(LEFT(I209,2))),ISNUMBER(VALUE(RIGHT(I209,2))),VALUE(LEFT(I209,2))&lt;=23,VALUE(RIGHT(I209,2))&lt;=59))</formula1>
    </dataValidation>
    <dataValidation type="custom" showErrorMessage="1" errorStyle="stop" errorTitle="Invalid Time" error="Enter time as HH:MM (e.g. 09:30) or leave blank" sqref="I21">
      <formula1>OR(I21="",AND(LEN(I21)=5,MID(I21,3,1)=":",ISNUMBER(VALUE(LEFT(I21,2))),ISNUMBER(VALUE(RIGHT(I21,2))),VALUE(LEFT(I21,2))&lt;=23,VALUE(RIGHT(I21,2))&lt;=59))</formula1>
    </dataValidation>
    <dataValidation type="custom" showErrorMessage="1" errorStyle="stop" errorTitle="Invalid Time" error="Enter time as HH:MM (e.g. 09:30) or leave blank" sqref="I210">
      <formula1>OR(I210="",AND(LEN(I210)=5,MID(I210,3,1)=":",ISNUMBER(VALUE(LEFT(I210,2))),ISNUMBER(VALUE(RIGHT(I210,2))),VALUE(LEFT(I210,2))&lt;=23,VALUE(RIGHT(I210,2))&lt;=59))</formula1>
    </dataValidation>
    <dataValidation type="custom" showErrorMessage="1" errorStyle="stop" errorTitle="Invalid Time" error="Enter time as HH:MM (e.g. 09:30) or leave blank" sqref="I211">
      <formula1>OR(I211="",AND(LEN(I211)=5,MID(I211,3,1)=":",ISNUMBER(VALUE(LEFT(I211,2))),ISNUMBER(VALUE(RIGHT(I211,2))),VALUE(LEFT(I211,2))&lt;=23,VALUE(RIGHT(I211,2))&lt;=59))</formula1>
    </dataValidation>
    <dataValidation type="custom" showErrorMessage="1" errorStyle="stop" errorTitle="Invalid Time" error="Enter time as HH:MM (e.g. 09:30) or leave blank" sqref="I212">
      <formula1>OR(I212="",AND(LEN(I212)=5,MID(I212,3,1)=":",ISNUMBER(VALUE(LEFT(I212,2))),ISNUMBER(VALUE(RIGHT(I212,2))),VALUE(LEFT(I212,2))&lt;=23,VALUE(RIGHT(I212,2))&lt;=59))</formula1>
    </dataValidation>
    <dataValidation type="custom" showErrorMessage="1" errorStyle="stop" errorTitle="Invalid Time" error="Enter time as HH:MM (e.g. 09:30) or leave blank" sqref="I213">
      <formula1>OR(I213="",AND(LEN(I213)=5,MID(I213,3,1)=":",ISNUMBER(VALUE(LEFT(I213,2))),ISNUMBER(VALUE(RIGHT(I213,2))),VALUE(LEFT(I213,2))&lt;=23,VALUE(RIGHT(I213,2))&lt;=59))</formula1>
    </dataValidation>
    <dataValidation type="custom" showErrorMessage="1" errorStyle="stop" errorTitle="Invalid Time" error="Enter time as HH:MM (e.g. 09:30) or leave blank" sqref="I214">
      <formula1>OR(I214="",AND(LEN(I214)=5,MID(I214,3,1)=":",ISNUMBER(VALUE(LEFT(I214,2))),ISNUMBER(VALUE(RIGHT(I214,2))),VALUE(LEFT(I214,2))&lt;=23,VALUE(RIGHT(I214,2))&lt;=59))</formula1>
    </dataValidation>
    <dataValidation type="custom" showErrorMessage="1" errorStyle="stop" errorTitle="Invalid Time" error="Enter time as HH:MM (e.g. 09:30) or leave blank" sqref="I215">
      <formula1>OR(I215="",AND(LEN(I215)=5,MID(I215,3,1)=":",ISNUMBER(VALUE(LEFT(I215,2))),ISNUMBER(VALUE(RIGHT(I215,2))),VALUE(LEFT(I215,2))&lt;=23,VALUE(RIGHT(I215,2))&lt;=59))</formula1>
    </dataValidation>
    <dataValidation type="custom" showErrorMessage="1" errorStyle="stop" errorTitle="Invalid Time" error="Enter time as HH:MM (e.g. 09:30) or leave blank" sqref="I216">
      <formula1>OR(I216="",AND(LEN(I216)=5,MID(I216,3,1)=":",ISNUMBER(VALUE(LEFT(I216,2))),ISNUMBER(VALUE(RIGHT(I216,2))),VALUE(LEFT(I216,2))&lt;=23,VALUE(RIGHT(I216,2))&lt;=59))</formula1>
    </dataValidation>
    <dataValidation type="custom" showErrorMessage="1" errorStyle="stop" errorTitle="Invalid Time" error="Enter time as HH:MM (e.g. 09:30) or leave blank" sqref="I217">
      <formula1>OR(I217="",AND(LEN(I217)=5,MID(I217,3,1)=":",ISNUMBER(VALUE(LEFT(I217,2))),ISNUMBER(VALUE(RIGHT(I217,2))),VALUE(LEFT(I217,2))&lt;=23,VALUE(RIGHT(I217,2))&lt;=59))</formula1>
    </dataValidation>
    <dataValidation type="custom" showErrorMessage="1" errorStyle="stop" errorTitle="Invalid Time" error="Enter time as HH:MM (e.g. 09:30) or leave blank" sqref="I218">
      <formula1>OR(I218="",AND(LEN(I218)=5,MID(I218,3,1)=":",ISNUMBER(VALUE(LEFT(I218,2))),ISNUMBER(VALUE(RIGHT(I218,2))),VALUE(LEFT(I218,2))&lt;=23,VALUE(RIGHT(I218,2))&lt;=59))</formula1>
    </dataValidation>
    <dataValidation type="custom" showErrorMessage="1" errorStyle="stop" errorTitle="Invalid Time" error="Enter time as HH:MM (e.g. 09:30) or leave blank" sqref="I219">
      <formula1>OR(I219="",AND(LEN(I219)=5,MID(I219,3,1)=":",ISNUMBER(VALUE(LEFT(I219,2))),ISNUMBER(VALUE(RIGHT(I219,2))),VALUE(LEFT(I219,2))&lt;=23,VALUE(RIGHT(I219,2))&lt;=59))</formula1>
    </dataValidation>
    <dataValidation type="custom" showErrorMessage="1" errorStyle="stop" errorTitle="Invalid Time" error="Enter time as HH:MM (e.g. 09:30) or leave blank" sqref="I22">
      <formula1>OR(I22="",AND(LEN(I22)=5,MID(I22,3,1)=":",ISNUMBER(VALUE(LEFT(I22,2))),ISNUMBER(VALUE(RIGHT(I22,2))),VALUE(LEFT(I22,2))&lt;=23,VALUE(RIGHT(I22,2))&lt;=59))</formula1>
    </dataValidation>
    <dataValidation type="custom" showErrorMessage="1" errorStyle="stop" errorTitle="Invalid Time" error="Enter time as HH:MM (e.g. 09:30) or leave blank" sqref="I220">
      <formula1>OR(I220="",AND(LEN(I220)=5,MID(I220,3,1)=":",ISNUMBER(VALUE(LEFT(I220,2))),ISNUMBER(VALUE(RIGHT(I220,2))),VALUE(LEFT(I220,2))&lt;=23,VALUE(RIGHT(I220,2))&lt;=59))</formula1>
    </dataValidation>
    <dataValidation type="custom" showErrorMessage="1" errorStyle="stop" errorTitle="Invalid Time" error="Enter time as HH:MM (e.g. 09:30) or leave blank" sqref="I221">
      <formula1>OR(I221="",AND(LEN(I221)=5,MID(I221,3,1)=":",ISNUMBER(VALUE(LEFT(I221,2))),ISNUMBER(VALUE(RIGHT(I221,2))),VALUE(LEFT(I221,2))&lt;=23,VALUE(RIGHT(I221,2))&lt;=59))</formula1>
    </dataValidation>
    <dataValidation type="custom" showErrorMessage="1" errorStyle="stop" errorTitle="Invalid Time" error="Enter time as HH:MM (e.g. 09:30) or leave blank" sqref="I222">
      <formula1>OR(I222="",AND(LEN(I222)=5,MID(I222,3,1)=":",ISNUMBER(VALUE(LEFT(I222,2))),ISNUMBER(VALUE(RIGHT(I222,2))),VALUE(LEFT(I222,2))&lt;=23,VALUE(RIGHT(I222,2))&lt;=59))</formula1>
    </dataValidation>
    <dataValidation type="custom" showErrorMessage="1" errorStyle="stop" errorTitle="Invalid Time" error="Enter time as HH:MM (e.g. 09:30) or leave blank" sqref="I223">
      <formula1>OR(I223="",AND(LEN(I223)=5,MID(I223,3,1)=":",ISNUMBER(VALUE(LEFT(I223,2))),ISNUMBER(VALUE(RIGHT(I223,2))),VALUE(LEFT(I223,2))&lt;=23,VALUE(RIGHT(I223,2))&lt;=59))</formula1>
    </dataValidation>
    <dataValidation type="custom" showErrorMessage="1" errorStyle="stop" errorTitle="Invalid Time" error="Enter time as HH:MM (e.g. 09:30) or leave blank" sqref="I224">
      <formula1>OR(I224="",AND(LEN(I224)=5,MID(I224,3,1)=":",ISNUMBER(VALUE(LEFT(I224,2))),ISNUMBER(VALUE(RIGHT(I224,2))),VALUE(LEFT(I224,2))&lt;=23,VALUE(RIGHT(I224,2))&lt;=59))</formula1>
    </dataValidation>
    <dataValidation type="custom" showErrorMessage="1" errorStyle="stop" errorTitle="Invalid Time" error="Enter time as HH:MM (e.g. 09:30) or leave blank" sqref="I225">
      <formula1>OR(I225="",AND(LEN(I225)=5,MID(I225,3,1)=":",ISNUMBER(VALUE(LEFT(I225,2))),ISNUMBER(VALUE(RIGHT(I225,2))),VALUE(LEFT(I225,2))&lt;=23,VALUE(RIGHT(I225,2))&lt;=59))</formula1>
    </dataValidation>
    <dataValidation type="custom" showErrorMessage="1" errorStyle="stop" errorTitle="Invalid Time" error="Enter time as HH:MM (e.g. 09:30) or leave blank" sqref="I226">
      <formula1>OR(I226="",AND(LEN(I226)=5,MID(I226,3,1)=":",ISNUMBER(VALUE(LEFT(I226,2))),ISNUMBER(VALUE(RIGHT(I226,2))),VALUE(LEFT(I226,2))&lt;=23,VALUE(RIGHT(I226,2))&lt;=59))</formula1>
    </dataValidation>
    <dataValidation type="custom" showErrorMessage="1" errorStyle="stop" errorTitle="Invalid Time" error="Enter time as HH:MM (e.g. 09:30) or leave blank" sqref="I227">
      <formula1>OR(I227="",AND(LEN(I227)=5,MID(I227,3,1)=":",ISNUMBER(VALUE(LEFT(I227,2))),ISNUMBER(VALUE(RIGHT(I227,2))),VALUE(LEFT(I227,2))&lt;=23,VALUE(RIGHT(I227,2))&lt;=59))</formula1>
    </dataValidation>
    <dataValidation type="custom" showErrorMessage="1" errorStyle="stop" errorTitle="Invalid Time" error="Enter time as HH:MM (e.g. 09:30) or leave blank" sqref="I228">
      <formula1>OR(I228="",AND(LEN(I228)=5,MID(I228,3,1)=":",ISNUMBER(VALUE(LEFT(I228,2))),ISNUMBER(VALUE(RIGHT(I228,2))),VALUE(LEFT(I228,2))&lt;=23,VALUE(RIGHT(I228,2))&lt;=59))</formula1>
    </dataValidation>
    <dataValidation type="custom" showErrorMessage="1" errorStyle="stop" errorTitle="Invalid Time" error="Enter time as HH:MM (e.g. 09:30) or leave blank" sqref="I229">
      <formula1>OR(I229="",AND(LEN(I229)=5,MID(I229,3,1)=":",ISNUMBER(VALUE(LEFT(I229,2))),ISNUMBER(VALUE(RIGHT(I229,2))),VALUE(LEFT(I229,2))&lt;=23,VALUE(RIGHT(I229,2))&lt;=59))</formula1>
    </dataValidation>
    <dataValidation type="custom" showErrorMessage="1" errorStyle="stop" errorTitle="Invalid Time" error="Enter time as HH:MM (e.g. 09:30) or leave blank" sqref="I23">
      <formula1>OR(I23="",AND(LEN(I23)=5,MID(I23,3,1)=":",ISNUMBER(VALUE(LEFT(I23,2))),ISNUMBER(VALUE(RIGHT(I23,2))),VALUE(LEFT(I23,2))&lt;=23,VALUE(RIGHT(I23,2))&lt;=59))</formula1>
    </dataValidation>
    <dataValidation type="custom" showErrorMessage="1" errorStyle="stop" errorTitle="Invalid Time" error="Enter time as HH:MM (e.g. 09:30) or leave blank" sqref="I230">
      <formula1>OR(I230="",AND(LEN(I230)=5,MID(I230,3,1)=":",ISNUMBER(VALUE(LEFT(I230,2))),ISNUMBER(VALUE(RIGHT(I230,2))),VALUE(LEFT(I230,2))&lt;=23,VALUE(RIGHT(I230,2))&lt;=59))</formula1>
    </dataValidation>
    <dataValidation type="custom" showErrorMessage="1" errorStyle="stop" errorTitle="Invalid Time" error="Enter time as HH:MM (e.g. 09:30) or leave blank" sqref="I231">
      <formula1>OR(I231="",AND(LEN(I231)=5,MID(I231,3,1)=":",ISNUMBER(VALUE(LEFT(I231,2))),ISNUMBER(VALUE(RIGHT(I231,2))),VALUE(LEFT(I231,2))&lt;=23,VALUE(RIGHT(I231,2))&lt;=59))</formula1>
    </dataValidation>
    <dataValidation type="custom" showErrorMessage="1" errorStyle="stop" errorTitle="Invalid Time" error="Enter time as HH:MM (e.g. 09:30) or leave blank" sqref="I232">
      <formula1>OR(I232="",AND(LEN(I232)=5,MID(I232,3,1)=":",ISNUMBER(VALUE(LEFT(I232,2))),ISNUMBER(VALUE(RIGHT(I232,2))),VALUE(LEFT(I232,2))&lt;=23,VALUE(RIGHT(I232,2))&lt;=59))</formula1>
    </dataValidation>
    <dataValidation type="custom" showErrorMessage="1" errorStyle="stop" errorTitle="Invalid Time" error="Enter time as HH:MM (e.g. 09:30) or leave blank" sqref="I233">
      <formula1>OR(I233="",AND(LEN(I233)=5,MID(I233,3,1)=":",ISNUMBER(VALUE(LEFT(I233,2))),ISNUMBER(VALUE(RIGHT(I233,2))),VALUE(LEFT(I233,2))&lt;=23,VALUE(RIGHT(I233,2))&lt;=59))</formula1>
    </dataValidation>
    <dataValidation type="custom" showErrorMessage="1" errorStyle="stop" errorTitle="Invalid Time" error="Enter time as HH:MM (e.g. 09:30) or leave blank" sqref="I234">
      <formula1>OR(I234="",AND(LEN(I234)=5,MID(I234,3,1)=":",ISNUMBER(VALUE(LEFT(I234,2))),ISNUMBER(VALUE(RIGHT(I234,2))),VALUE(LEFT(I234,2))&lt;=23,VALUE(RIGHT(I234,2))&lt;=59))</formula1>
    </dataValidation>
    <dataValidation type="custom" showErrorMessage="1" errorStyle="stop" errorTitle="Invalid Time" error="Enter time as HH:MM (e.g. 09:30) or leave blank" sqref="I235">
      <formula1>OR(I235="",AND(LEN(I235)=5,MID(I235,3,1)=":",ISNUMBER(VALUE(LEFT(I235,2))),ISNUMBER(VALUE(RIGHT(I235,2))),VALUE(LEFT(I235,2))&lt;=23,VALUE(RIGHT(I235,2))&lt;=59))</formula1>
    </dataValidation>
    <dataValidation type="custom" showErrorMessage="1" errorStyle="stop" errorTitle="Invalid Time" error="Enter time as HH:MM (e.g. 09:30) or leave blank" sqref="I236">
      <formula1>OR(I236="",AND(LEN(I236)=5,MID(I236,3,1)=":",ISNUMBER(VALUE(LEFT(I236,2))),ISNUMBER(VALUE(RIGHT(I236,2))),VALUE(LEFT(I236,2))&lt;=23,VALUE(RIGHT(I236,2))&lt;=59))</formula1>
    </dataValidation>
    <dataValidation type="custom" showErrorMessage="1" errorStyle="stop" errorTitle="Invalid Time" error="Enter time as HH:MM (e.g. 09:30) or leave blank" sqref="I237">
      <formula1>OR(I237="",AND(LEN(I237)=5,MID(I237,3,1)=":",ISNUMBER(VALUE(LEFT(I237,2))),ISNUMBER(VALUE(RIGHT(I237,2))),VALUE(LEFT(I237,2))&lt;=23,VALUE(RIGHT(I237,2))&lt;=59))</formula1>
    </dataValidation>
    <dataValidation type="custom" showErrorMessage="1" errorStyle="stop" errorTitle="Invalid Time" error="Enter time as HH:MM (e.g. 09:30) or leave blank" sqref="I238">
      <formula1>OR(I238="",AND(LEN(I238)=5,MID(I238,3,1)=":",ISNUMBER(VALUE(LEFT(I238,2))),ISNUMBER(VALUE(RIGHT(I238,2))),VALUE(LEFT(I238,2))&lt;=23,VALUE(RIGHT(I238,2))&lt;=59))</formula1>
    </dataValidation>
    <dataValidation type="custom" showErrorMessage="1" errorStyle="stop" errorTitle="Invalid Time" error="Enter time as HH:MM (e.g. 09:30) or leave blank" sqref="I239">
      <formula1>OR(I239="",AND(LEN(I239)=5,MID(I239,3,1)=":",ISNUMBER(VALUE(LEFT(I239,2))),ISNUMBER(VALUE(RIGHT(I239,2))),VALUE(LEFT(I239,2))&lt;=23,VALUE(RIGHT(I239,2))&lt;=59))</formula1>
    </dataValidation>
    <dataValidation type="custom" showErrorMessage="1" errorStyle="stop" errorTitle="Invalid Time" error="Enter time as HH:MM (e.g. 09:30) or leave blank" sqref="I24">
      <formula1>OR(I24="",AND(LEN(I24)=5,MID(I24,3,1)=":",ISNUMBER(VALUE(LEFT(I24,2))),ISNUMBER(VALUE(RIGHT(I24,2))),VALUE(LEFT(I24,2))&lt;=23,VALUE(RIGHT(I24,2))&lt;=59))</formula1>
    </dataValidation>
    <dataValidation type="custom" showErrorMessage="1" errorStyle="stop" errorTitle="Invalid Time" error="Enter time as HH:MM (e.g. 09:30) or leave blank" sqref="I240">
      <formula1>OR(I240="",AND(LEN(I240)=5,MID(I240,3,1)=":",ISNUMBER(VALUE(LEFT(I240,2))),ISNUMBER(VALUE(RIGHT(I240,2))),VALUE(LEFT(I240,2))&lt;=23,VALUE(RIGHT(I240,2))&lt;=59))</formula1>
    </dataValidation>
    <dataValidation type="custom" showErrorMessage="1" errorStyle="stop" errorTitle="Invalid Time" error="Enter time as HH:MM (e.g. 09:30) or leave blank" sqref="I241">
      <formula1>OR(I241="",AND(LEN(I241)=5,MID(I241,3,1)=":",ISNUMBER(VALUE(LEFT(I241,2))),ISNUMBER(VALUE(RIGHT(I241,2))),VALUE(LEFT(I241,2))&lt;=23,VALUE(RIGHT(I241,2))&lt;=59))</formula1>
    </dataValidation>
    <dataValidation type="custom" showErrorMessage="1" errorStyle="stop" errorTitle="Invalid Time" error="Enter time as HH:MM (e.g. 09:30) or leave blank" sqref="I242">
      <formula1>OR(I242="",AND(LEN(I242)=5,MID(I242,3,1)=":",ISNUMBER(VALUE(LEFT(I242,2))),ISNUMBER(VALUE(RIGHT(I242,2))),VALUE(LEFT(I242,2))&lt;=23,VALUE(RIGHT(I242,2))&lt;=59))</formula1>
    </dataValidation>
    <dataValidation type="custom" showErrorMessage="1" errorStyle="stop" errorTitle="Invalid Time" error="Enter time as HH:MM (e.g. 09:30) or leave blank" sqref="I243">
      <formula1>OR(I243="",AND(LEN(I243)=5,MID(I243,3,1)=":",ISNUMBER(VALUE(LEFT(I243,2))),ISNUMBER(VALUE(RIGHT(I243,2))),VALUE(LEFT(I243,2))&lt;=23,VALUE(RIGHT(I243,2))&lt;=59))</formula1>
    </dataValidation>
    <dataValidation type="custom" showErrorMessage="1" errorStyle="stop" errorTitle="Invalid Time" error="Enter time as HH:MM (e.g. 09:30) or leave blank" sqref="I244">
      <formula1>OR(I244="",AND(LEN(I244)=5,MID(I244,3,1)=":",ISNUMBER(VALUE(LEFT(I244,2))),ISNUMBER(VALUE(RIGHT(I244,2))),VALUE(LEFT(I244,2))&lt;=23,VALUE(RIGHT(I244,2))&lt;=59))</formula1>
    </dataValidation>
    <dataValidation type="custom" showErrorMessage="1" errorStyle="stop" errorTitle="Invalid Time" error="Enter time as HH:MM (e.g. 09:30) or leave blank" sqref="I245">
      <formula1>OR(I245="",AND(LEN(I245)=5,MID(I245,3,1)=":",ISNUMBER(VALUE(LEFT(I245,2))),ISNUMBER(VALUE(RIGHT(I245,2))),VALUE(LEFT(I245,2))&lt;=23,VALUE(RIGHT(I245,2))&lt;=59))</formula1>
    </dataValidation>
    <dataValidation type="custom" showErrorMessage="1" errorStyle="stop" errorTitle="Invalid Time" error="Enter time as HH:MM (e.g. 09:30) or leave blank" sqref="I246">
      <formula1>OR(I246="",AND(LEN(I246)=5,MID(I246,3,1)=":",ISNUMBER(VALUE(LEFT(I246,2))),ISNUMBER(VALUE(RIGHT(I246,2))),VALUE(LEFT(I246,2))&lt;=23,VALUE(RIGHT(I246,2))&lt;=59))</formula1>
    </dataValidation>
    <dataValidation type="custom" showErrorMessage="1" errorStyle="stop" errorTitle="Invalid Time" error="Enter time as HH:MM (e.g. 09:30) or leave blank" sqref="I247">
      <formula1>OR(I247="",AND(LEN(I247)=5,MID(I247,3,1)=":",ISNUMBER(VALUE(LEFT(I247,2))),ISNUMBER(VALUE(RIGHT(I247,2))),VALUE(LEFT(I247,2))&lt;=23,VALUE(RIGHT(I247,2))&lt;=59))</formula1>
    </dataValidation>
    <dataValidation type="custom" showErrorMessage="1" errorStyle="stop" errorTitle="Invalid Time" error="Enter time as HH:MM (e.g. 09:30) or leave blank" sqref="I248">
      <formula1>OR(I248="",AND(LEN(I248)=5,MID(I248,3,1)=":",ISNUMBER(VALUE(LEFT(I248,2))),ISNUMBER(VALUE(RIGHT(I248,2))),VALUE(LEFT(I248,2))&lt;=23,VALUE(RIGHT(I248,2))&lt;=59))</formula1>
    </dataValidation>
    <dataValidation type="custom" showErrorMessage="1" errorStyle="stop" errorTitle="Invalid Time" error="Enter time as HH:MM (e.g. 09:30) or leave blank" sqref="I249">
      <formula1>OR(I249="",AND(LEN(I249)=5,MID(I249,3,1)=":",ISNUMBER(VALUE(LEFT(I249,2))),ISNUMBER(VALUE(RIGHT(I249,2))),VALUE(LEFT(I249,2))&lt;=23,VALUE(RIGHT(I249,2))&lt;=59))</formula1>
    </dataValidation>
    <dataValidation type="custom" showErrorMessage="1" errorStyle="stop" errorTitle="Invalid Time" error="Enter time as HH:MM (e.g. 09:30) or leave blank" sqref="I25">
      <formula1>OR(I25="",AND(LEN(I25)=5,MID(I25,3,1)=":",ISNUMBER(VALUE(LEFT(I25,2))),ISNUMBER(VALUE(RIGHT(I25,2))),VALUE(LEFT(I25,2))&lt;=23,VALUE(RIGHT(I25,2))&lt;=59))</formula1>
    </dataValidation>
    <dataValidation type="custom" showErrorMessage="1" errorStyle="stop" errorTitle="Invalid Time" error="Enter time as HH:MM (e.g. 09:30) or leave blank" sqref="I250">
      <formula1>OR(I250="",AND(LEN(I250)=5,MID(I250,3,1)=":",ISNUMBER(VALUE(LEFT(I250,2))),ISNUMBER(VALUE(RIGHT(I250,2))),VALUE(LEFT(I250,2))&lt;=23,VALUE(RIGHT(I250,2))&lt;=59))</formula1>
    </dataValidation>
    <dataValidation type="custom" showErrorMessage="1" errorStyle="stop" errorTitle="Invalid Time" error="Enter time as HH:MM (e.g. 09:30) or leave blank" sqref="I251">
      <formula1>OR(I251="",AND(LEN(I251)=5,MID(I251,3,1)=":",ISNUMBER(VALUE(LEFT(I251,2))),ISNUMBER(VALUE(RIGHT(I251,2))),VALUE(LEFT(I251,2))&lt;=23,VALUE(RIGHT(I251,2))&lt;=59))</formula1>
    </dataValidation>
    <dataValidation type="custom" showErrorMessage="1" errorStyle="stop" errorTitle="Invalid Time" error="Enter time as HH:MM (e.g. 09:30) or leave blank" sqref="I252">
      <formula1>OR(I252="",AND(LEN(I252)=5,MID(I252,3,1)=":",ISNUMBER(VALUE(LEFT(I252,2))),ISNUMBER(VALUE(RIGHT(I252,2))),VALUE(LEFT(I252,2))&lt;=23,VALUE(RIGHT(I252,2))&lt;=59))</formula1>
    </dataValidation>
    <dataValidation type="custom" showErrorMessage="1" errorStyle="stop" errorTitle="Invalid Time" error="Enter time as HH:MM (e.g. 09:30) or leave blank" sqref="I253">
      <formula1>OR(I253="",AND(LEN(I253)=5,MID(I253,3,1)=":",ISNUMBER(VALUE(LEFT(I253,2))),ISNUMBER(VALUE(RIGHT(I253,2))),VALUE(LEFT(I253,2))&lt;=23,VALUE(RIGHT(I253,2))&lt;=59))</formula1>
    </dataValidation>
    <dataValidation type="custom" showErrorMessage="1" errorStyle="stop" errorTitle="Invalid Time" error="Enter time as HH:MM (e.g. 09:30) or leave blank" sqref="I254">
      <formula1>OR(I254="",AND(LEN(I254)=5,MID(I254,3,1)=":",ISNUMBER(VALUE(LEFT(I254,2))),ISNUMBER(VALUE(RIGHT(I254,2))),VALUE(LEFT(I254,2))&lt;=23,VALUE(RIGHT(I254,2))&lt;=59))</formula1>
    </dataValidation>
    <dataValidation type="custom" showErrorMessage="1" errorStyle="stop" errorTitle="Invalid Time" error="Enter time as HH:MM (e.g. 09:30) or leave blank" sqref="I255">
      <formula1>OR(I255="",AND(LEN(I255)=5,MID(I255,3,1)=":",ISNUMBER(VALUE(LEFT(I255,2))),ISNUMBER(VALUE(RIGHT(I255,2))),VALUE(LEFT(I255,2))&lt;=23,VALUE(RIGHT(I255,2))&lt;=59))</formula1>
    </dataValidation>
    <dataValidation type="custom" showErrorMessage="1" errorStyle="stop" errorTitle="Invalid Time" error="Enter time as HH:MM (e.g. 09:30) or leave blank" sqref="I256">
      <formula1>OR(I256="",AND(LEN(I256)=5,MID(I256,3,1)=":",ISNUMBER(VALUE(LEFT(I256,2))),ISNUMBER(VALUE(RIGHT(I256,2))),VALUE(LEFT(I256,2))&lt;=23,VALUE(RIGHT(I256,2))&lt;=59))</formula1>
    </dataValidation>
    <dataValidation type="custom" showErrorMessage="1" errorStyle="stop" errorTitle="Invalid Time" error="Enter time as HH:MM (e.g. 09:30) or leave blank" sqref="I257">
      <formula1>OR(I257="",AND(LEN(I257)=5,MID(I257,3,1)=":",ISNUMBER(VALUE(LEFT(I257,2))),ISNUMBER(VALUE(RIGHT(I257,2))),VALUE(LEFT(I257,2))&lt;=23,VALUE(RIGHT(I257,2))&lt;=59))</formula1>
    </dataValidation>
    <dataValidation type="custom" showErrorMessage="1" errorStyle="stop" errorTitle="Invalid Time" error="Enter time as HH:MM (e.g. 09:30) or leave blank" sqref="I258">
      <formula1>OR(I258="",AND(LEN(I258)=5,MID(I258,3,1)=":",ISNUMBER(VALUE(LEFT(I258,2))),ISNUMBER(VALUE(RIGHT(I258,2))),VALUE(LEFT(I258,2))&lt;=23,VALUE(RIGHT(I258,2))&lt;=59))</formula1>
    </dataValidation>
    <dataValidation type="custom" showErrorMessage="1" errorStyle="stop" errorTitle="Invalid Time" error="Enter time as HH:MM (e.g. 09:30) or leave blank" sqref="I259">
      <formula1>OR(I259="",AND(LEN(I259)=5,MID(I259,3,1)=":",ISNUMBER(VALUE(LEFT(I259,2))),ISNUMBER(VALUE(RIGHT(I259,2))),VALUE(LEFT(I259,2))&lt;=23,VALUE(RIGHT(I259,2))&lt;=59))</formula1>
    </dataValidation>
    <dataValidation type="custom" showErrorMessage="1" errorStyle="stop" errorTitle="Invalid Time" error="Enter time as HH:MM (e.g. 09:30) or leave blank" sqref="I26">
      <formula1>OR(I26="",AND(LEN(I26)=5,MID(I26,3,1)=":",ISNUMBER(VALUE(LEFT(I26,2))),ISNUMBER(VALUE(RIGHT(I26,2))),VALUE(LEFT(I26,2))&lt;=23,VALUE(RIGHT(I26,2))&lt;=59))</formula1>
    </dataValidation>
    <dataValidation type="custom" showErrorMessage="1" errorStyle="stop" errorTitle="Invalid Time" error="Enter time as HH:MM (e.g. 09:30) or leave blank" sqref="I260">
      <formula1>OR(I260="",AND(LEN(I260)=5,MID(I260,3,1)=":",ISNUMBER(VALUE(LEFT(I260,2))),ISNUMBER(VALUE(RIGHT(I260,2))),VALUE(LEFT(I260,2))&lt;=23,VALUE(RIGHT(I260,2))&lt;=59))</formula1>
    </dataValidation>
    <dataValidation type="custom" showErrorMessage="1" errorStyle="stop" errorTitle="Invalid Time" error="Enter time as HH:MM (e.g. 09:30) or leave blank" sqref="I261">
      <formula1>OR(I261="",AND(LEN(I261)=5,MID(I261,3,1)=":",ISNUMBER(VALUE(LEFT(I261,2))),ISNUMBER(VALUE(RIGHT(I261,2))),VALUE(LEFT(I261,2))&lt;=23,VALUE(RIGHT(I261,2))&lt;=59))</formula1>
    </dataValidation>
    <dataValidation type="custom" showErrorMessage="1" errorStyle="stop" errorTitle="Invalid Time" error="Enter time as HH:MM (e.g. 09:30) or leave blank" sqref="I262">
      <formula1>OR(I262="",AND(LEN(I262)=5,MID(I262,3,1)=":",ISNUMBER(VALUE(LEFT(I262,2))),ISNUMBER(VALUE(RIGHT(I262,2))),VALUE(LEFT(I262,2))&lt;=23,VALUE(RIGHT(I262,2))&lt;=59))</formula1>
    </dataValidation>
    <dataValidation type="custom" showErrorMessage="1" errorStyle="stop" errorTitle="Invalid Time" error="Enter time as HH:MM (e.g. 09:30) or leave blank" sqref="I263">
      <formula1>OR(I263="",AND(LEN(I263)=5,MID(I263,3,1)=":",ISNUMBER(VALUE(LEFT(I263,2))),ISNUMBER(VALUE(RIGHT(I263,2))),VALUE(LEFT(I263,2))&lt;=23,VALUE(RIGHT(I263,2))&lt;=59))</formula1>
    </dataValidation>
    <dataValidation type="custom" showErrorMessage="1" errorStyle="stop" errorTitle="Invalid Time" error="Enter time as HH:MM (e.g. 09:30) or leave blank" sqref="I264">
      <formula1>OR(I264="",AND(LEN(I264)=5,MID(I264,3,1)=":",ISNUMBER(VALUE(LEFT(I264,2))),ISNUMBER(VALUE(RIGHT(I264,2))),VALUE(LEFT(I264,2))&lt;=23,VALUE(RIGHT(I264,2))&lt;=59))</formula1>
    </dataValidation>
    <dataValidation type="custom" showErrorMessage="1" errorStyle="stop" errorTitle="Invalid Time" error="Enter time as HH:MM (e.g. 09:30) or leave blank" sqref="I265">
      <formula1>OR(I265="",AND(LEN(I265)=5,MID(I265,3,1)=":",ISNUMBER(VALUE(LEFT(I265,2))),ISNUMBER(VALUE(RIGHT(I265,2))),VALUE(LEFT(I265,2))&lt;=23,VALUE(RIGHT(I265,2))&lt;=59))</formula1>
    </dataValidation>
    <dataValidation type="custom" showErrorMessage="1" errorStyle="stop" errorTitle="Invalid Time" error="Enter time as HH:MM (e.g. 09:30) or leave blank" sqref="I266">
      <formula1>OR(I266="",AND(LEN(I266)=5,MID(I266,3,1)=":",ISNUMBER(VALUE(LEFT(I266,2))),ISNUMBER(VALUE(RIGHT(I266,2))),VALUE(LEFT(I266,2))&lt;=23,VALUE(RIGHT(I266,2))&lt;=59))</formula1>
    </dataValidation>
    <dataValidation type="custom" showErrorMessage="1" errorStyle="stop" errorTitle="Invalid Time" error="Enter time as HH:MM (e.g. 09:30) or leave blank" sqref="I267">
      <formula1>OR(I267="",AND(LEN(I267)=5,MID(I267,3,1)=":",ISNUMBER(VALUE(LEFT(I267,2))),ISNUMBER(VALUE(RIGHT(I267,2))),VALUE(LEFT(I267,2))&lt;=23,VALUE(RIGHT(I267,2))&lt;=59))</formula1>
    </dataValidation>
    <dataValidation type="custom" showErrorMessage="1" errorStyle="stop" errorTitle="Invalid Time" error="Enter time as HH:MM (e.g. 09:30) or leave blank" sqref="I268">
      <formula1>OR(I268="",AND(LEN(I268)=5,MID(I268,3,1)=":",ISNUMBER(VALUE(LEFT(I268,2))),ISNUMBER(VALUE(RIGHT(I268,2))),VALUE(LEFT(I268,2))&lt;=23,VALUE(RIGHT(I268,2))&lt;=59))</formula1>
    </dataValidation>
    <dataValidation type="custom" showErrorMessage="1" errorStyle="stop" errorTitle="Invalid Time" error="Enter time as HH:MM (e.g. 09:30) or leave blank" sqref="I269">
      <formula1>OR(I269="",AND(LEN(I269)=5,MID(I269,3,1)=":",ISNUMBER(VALUE(LEFT(I269,2))),ISNUMBER(VALUE(RIGHT(I269,2))),VALUE(LEFT(I269,2))&lt;=23,VALUE(RIGHT(I269,2))&lt;=59))</formula1>
    </dataValidation>
    <dataValidation type="custom" showErrorMessage="1" errorStyle="stop" errorTitle="Invalid Time" error="Enter time as HH:MM (e.g. 09:30) or leave blank" sqref="I27">
      <formula1>OR(I27="",AND(LEN(I27)=5,MID(I27,3,1)=":",ISNUMBER(VALUE(LEFT(I27,2))),ISNUMBER(VALUE(RIGHT(I27,2))),VALUE(LEFT(I27,2))&lt;=23,VALUE(RIGHT(I27,2))&lt;=59))</formula1>
    </dataValidation>
    <dataValidation type="custom" showErrorMessage="1" errorStyle="stop" errorTitle="Invalid Time" error="Enter time as HH:MM (e.g. 09:30) or leave blank" sqref="I270">
      <formula1>OR(I270="",AND(LEN(I270)=5,MID(I270,3,1)=":",ISNUMBER(VALUE(LEFT(I270,2))),ISNUMBER(VALUE(RIGHT(I270,2))),VALUE(LEFT(I270,2))&lt;=23,VALUE(RIGHT(I270,2))&lt;=59))</formula1>
    </dataValidation>
    <dataValidation type="custom" showErrorMessage="1" errorStyle="stop" errorTitle="Invalid Time" error="Enter time as HH:MM (e.g. 09:30) or leave blank" sqref="I271">
      <formula1>OR(I271="",AND(LEN(I271)=5,MID(I271,3,1)=":",ISNUMBER(VALUE(LEFT(I271,2))),ISNUMBER(VALUE(RIGHT(I271,2))),VALUE(LEFT(I271,2))&lt;=23,VALUE(RIGHT(I271,2))&lt;=59))</formula1>
    </dataValidation>
    <dataValidation type="custom" showErrorMessage="1" errorStyle="stop" errorTitle="Invalid Time" error="Enter time as HH:MM (e.g. 09:30) or leave blank" sqref="I272">
      <formula1>OR(I272="",AND(LEN(I272)=5,MID(I272,3,1)=":",ISNUMBER(VALUE(LEFT(I272,2))),ISNUMBER(VALUE(RIGHT(I272,2))),VALUE(LEFT(I272,2))&lt;=23,VALUE(RIGHT(I272,2))&lt;=59))</formula1>
    </dataValidation>
    <dataValidation type="custom" showErrorMessage="1" errorStyle="stop" errorTitle="Invalid Time" error="Enter time as HH:MM (e.g. 09:30) or leave blank" sqref="I273">
      <formula1>OR(I273="",AND(LEN(I273)=5,MID(I273,3,1)=":",ISNUMBER(VALUE(LEFT(I273,2))),ISNUMBER(VALUE(RIGHT(I273,2))),VALUE(LEFT(I273,2))&lt;=23,VALUE(RIGHT(I273,2))&lt;=59))</formula1>
    </dataValidation>
    <dataValidation type="custom" showErrorMessage="1" errorStyle="stop" errorTitle="Invalid Time" error="Enter time as HH:MM (e.g. 09:30) or leave blank" sqref="I274">
      <formula1>OR(I274="",AND(LEN(I274)=5,MID(I274,3,1)=":",ISNUMBER(VALUE(LEFT(I274,2))),ISNUMBER(VALUE(RIGHT(I274,2))),VALUE(LEFT(I274,2))&lt;=23,VALUE(RIGHT(I274,2))&lt;=59))</formula1>
    </dataValidation>
    <dataValidation type="custom" showErrorMessage="1" errorStyle="stop" errorTitle="Invalid Time" error="Enter time as HH:MM (e.g. 09:30) or leave blank" sqref="I275">
      <formula1>OR(I275="",AND(LEN(I275)=5,MID(I275,3,1)=":",ISNUMBER(VALUE(LEFT(I275,2))),ISNUMBER(VALUE(RIGHT(I275,2))),VALUE(LEFT(I275,2))&lt;=23,VALUE(RIGHT(I275,2))&lt;=59))</formula1>
    </dataValidation>
    <dataValidation type="custom" showErrorMessage="1" errorStyle="stop" errorTitle="Invalid Time" error="Enter time as HH:MM (e.g. 09:30) or leave blank" sqref="I276">
      <formula1>OR(I276="",AND(LEN(I276)=5,MID(I276,3,1)=":",ISNUMBER(VALUE(LEFT(I276,2))),ISNUMBER(VALUE(RIGHT(I276,2))),VALUE(LEFT(I276,2))&lt;=23,VALUE(RIGHT(I276,2))&lt;=59))</formula1>
    </dataValidation>
    <dataValidation type="custom" showErrorMessage="1" errorStyle="stop" errorTitle="Invalid Time" error="Enter time as HH:MM (e.g. 09:30) or leave blank" sqref="I277">
      <formula1>OR(I277="",AND(LEN(I277)=5,MID(I277,3,1)=":",ISNUMBER(VALUE(LEFT(I277,2))),ISNUMBER(VALUE(RIGHT(I277,2))),VALUE(LEFT(I277,2))&lt;=23,VALUE(RIGHT(I277,2))&lt;=59))</formula1>
    </dataValidation>
    <dataValidation type="custom" showErrorMessage="1" errorStyle="stop" errorTitle="Invalid Time" error="Enter time as HH:MM (e.g. 09:30) or leave blank" sqref="I278">
      <formula1>OR(I278="",AND(LEN(I278)=5,MID(I278,3,1)=":",ISNUMBER(VALUE(LEFT(I278,2))),ISNUMBER(VALUE(RIGHT(I278,2))),VALUE(LEFT(I278,2))&lt;=23,VALUE(RIGHT(I278,2))&lt;=59))</formula1>
    </dataValidation>
    <dataValidation type="custom" showErrorMessage="1" errorStyle="stop" errorTitle="Invalid Time" error="Enter time as HH:MM (e.g. 09:30) or leave blank" sqref="I279">
      <formula1>OR(I279="",AND(LEN(I279)=5,MID(I279,3,1)=":",ISNUMBER(VALUE(LEFT(I279,2))),ISNUMBER(VALUE(RIGHT(I279,2))),VALUE(LEFT(I279,2))&lt;=23,VALUE(RIGHT(I279,2))&lt;=59))</formula1>
    </dataValidation>
    <dataValidation type="custom" showErrorMessage="1" errorStyle="stop" errorTitle="Invalid Time" error="Enter time as HH:MM (e.g. 09:30) or leave blank" sqref="I28">
      <formula1>OR(I28="",AND(LEN(I28)=5,MID(I28,3,1)=":",ISNUMBER(VALUE(LEFT(I28,2))),ISNUMBER(VALUE(RIGHT(I28,2))),VALUE(LEFT(I28,2))&lt;=23,VALUE(RIGHT(I28,2))&lt;=59))</formula1>
    </dataValidation>
    <dataValidation type="custom" showErrorMessage="1" errorStyle="stop" errorTitle="Invalid Time" error="Enter time as HH:MM (e.g. 09:30) or leave blank" sqref="I280">
      <formula1>OR(I280="",AND(LEN(I280)=5,MID(I280,3,1)=":",ISNUMBER(VALUE(LEFT(I280,2))),ISNUMBER(VALUE(RIGHT(I280,2))),VALUE(LEFT(I280,2))&lt;=23,VALUE(RIGHT(I280,2))&lt;=59))</formula1>
    </dataValidation>
    <dataValidation type="custom" showErrorMessage="1" errorStyle="stop" errorTitle="Invalid Time" error="Enter time as HH:MM (e.g. 09:30) or leave blank" sqref="I281">
      <formula1>OR(I281="",AND(LEN(I281)=5,MID(I281,3,1)=":",ISNUMBER(VALUE(LEFT(I281,2))),ISNUMBER(VALUE(RIGHT(I281,2))),VALUE(LEFT(I281,2))&lt;=23,VALUE(RIGHT(I281,2))&lt;=59))</formula1>
    </dataValidation>
    <dataValidation type="custom" showErrorMessage="1" errorStyle="stop" errorTitle="Invalid Time" error="Enter time as HH:MM (e.g. 09:30) or leave blank" sqref="I282">
      <formula1>OR(I282="",AND(LEN(I282)=5,MID(I282,3,1)=":",ISNUMBER(VALUE(LEFT(I282,2))),ISNUMBER(VALUE(RIGHT(I282,2))),VALUE(LEFT(I282,2))&lt;=23,VALUE(RIGHT(I282,2))&lt;=59))</formula1>
    </dataValidation>
    <dataValidation type="custom" showErrorMessage="1" errorStyle="stop" errorTitle="Invalid Time" error="Enter time as HH:MM (e.g. 09:30) or leave blank" sqref="I283">
      <formula1>OR(I283="",AND(LEN(I283)=5,MID(I283,3,1)=":",ISNUMBER(VALUE(LEFT(I283,2))),ISNUMBER(VALUE(RIGHT(I283,2))),VALUE(LEFT(I283,2))&lt;=23,VALUE(RIGHT(I283,2))&lt;=59))</formula1>
    </dataValidation>
    <dataValidation type="custom" showErrorMessage="1" errorStyle="stop" errorTitle="Invalid Time" error="Enter time as HH:MM (e.g. 09:30) or leave blank" sqref="I284">
      <formula1>OR(I284="",AND(LEN(I284)=5,MID(I284,3,1)=":",ISNUMBER(VALUE(LEFT(I284,2))),ISNUMBER(VALUE(RIGHT(I284,2))),VALUE(LEFT(I284,2))&lt;=23,VALUE(RIGHT(I284,2))&lt;=59))</formula1>
    </dataValidation>
    <dataValidation type="custom" showErrorMessage="1" errorStyle="stop" errorTitle="Invalid Time" error="Enter time as HH:MM (e.g. 09:30) or leave blank" sqref="I285">
      <formula1>OR(I285="",AND(LEN(I285)=5,MID(I285,3,1)=":",ISNUMBER(VALUE(LEFT(I285,2))),ISNUMBER(VALUE(RIGHT(I285,2))),VALUE(LEFT(I285,2))&lt;=23,VALUE(RIGHT(I285,2))&lt;=59))</formula1>
    </dataValidation>
    <dataValidation type="custom" showErrorMessage="1" errorStyle="stop" errorTitle="Invalid Time" error="Enter time as HH:MM (e.g. 09:30) or leave blank" sqref="I286">
      <formula1>OR(I286="",AND(LEN(I286)=5,MID(I286,3,1)=":",ISNUMBER(VALUE(LEFT(I286,2))),ISNUMBER(VALUE(RIGHT(I286,2))),VALUE(LEFT(I286,2))&lt;=23,VALUE(RIGHT(I286,2))&lt;=59))</formula1>
    </dataValidation>
    <dataValidation type="custom" showErrorMessage="1" errorStyle="stop" errorTitle="Invalid Time" error="Enter time as HH:MM (e.g. 09:30) or leave blank" sqref="I287">
      <formula1>OR(I287="",AND(LEN(I287)=5,MID(I287,3,1)=":",ISNUMBER(VALUE(LEFT(I287,2))),ISNUMBER(VALUE(RIGHT(I287,2))),VALUE(LEFT(I287,2))&lt;=23,VALUE(RIGHT(I287,2))&lt;=59))</formula1>
    </dataValidation>
    <dataValidation type="custom" showErrorMessage="1" errorStyle="stop" errorTitle="Invalid Time" error="Enter time as HH:MM (e.g. 09:30) or leave blank" sqref="I288">
      <formula1>OR(I288="",AND(LEN(I288)=5,MID(I288,3,1)=":",ISNUMBER(VALUE(LEFT(I288,2))),ISNUMBER(VALUE(RIGHT(I288,2))),VALUE(LEFT(I288,2))&lt;=23,VALUE(RIGHT(I288,2))&lt;=59))</formula1>
    </dataValidation>
    <dataValidation type="custom" showErrorMessage="1" errorStyle="stop" errorTitle="Invalid Time" error="Enter time as HH:MM (e.g. 09:30) or leave blank" sqref="I289">
      <formula1>OR(I289="",AND(LEN(I289)=5,MID(I289,3,1)=":",ISNUMBER(VALUE(LEFT(I289,2))),ISNUMBER(VALUE(RIGHT(I289,2))),VALUE(LEFT(I289,2))&lt;=23,VALUE(RIGHT(I289,2))&lt;=59))</formula1>
    </dataValidation>
    <dataValidation type="custom" showErrorMessage="1" errorStyle="stop" errorTitle="Invalid Time" error="Enter time as HH:MM (e.g. 09:30) or leave blank" sqref="I29">
      <formula1>OR(I29="",AND(LEN(I29)=5,MID(I29,3,1)=":",ISNUMBER(VALUE(LEFT(I29,2))),ISNUMBER(VALUE(RIGHT(I29,2))),VALUE(LEFT(I29,2))&lt;=23,VALUE(RIGHT(I29,2))&lt;=59))</formula1>
    </dataValidation>
    <dataValidation type="custom" showErrorMessage="1" errorStyle="stop" errorTitle="Invalid Time" error="Enter time as HH:MM (e.g. 09:30) or leave blank" sqref="I290">
      <formula1>OR(I290="",AND(LEN(I290)=5,MID(I290,3,1)=":",ISNUMBER(VALUE(LEFT(I290,2))),ISNUMBER(VALUE(RIGHT(I290,2))),VALUE(LEFT(I290,2))&lt;=23,VALUE(RIGHT(I290,2))&lt;=59))</formula1>
    </dataValidation>
    <dataValidation type="custom" showErrorMessage="1" errorStyle="stop" errorTitle="Invalid Time" error="Enter time as HH:MM (e.g. 09:30) or leave blank" sqref="I291">
      <formula1>OR(I291="",AND(LEN(I291)=5,MID(I291,3,1)=":",ISNUMBER(VALUE(LEFT(I291,2))),ISNUMBER(VALUE(RIGHT(I291,2))),VALUE(LEFT(I291,2))&lt;=23,VALUE(RIGHT(I291,2))&lt;=59))</formula1>
    </dataValidation>
    <dataValidation type="custom" showErrorMessage="1" errorStyle="stop" errorTitle="Invalid Time" error="Enter time as HH:MM (e.g. 09:30) or leave blank" sqref="I292">
      <formula1>OR(I292="",AND(LEN(I292)=5,MID(I292,3,1)=":",ISNUMBER(VALUE(LEFT(I292,2))),ISNUMBER(VALUE(RIGHT(I292,2))),VALUE(LEFT(I292,2))&lt;=23,VALUE(RIGHT(I292,2))&lt;=59))</formula1>
    </dataValidation>
    <dataValidation type="custom" showErrorMessage="1" errorStyle="stop" errorTitle="Invalid Time" error="Enter time as HH:MM (e.g. 09:30) or leave blank" sqref="I293">
      <formula1>OR(I293="",AND(LEN(I293)=5,MID(I293,3,1)=":",ISNUMBER(VALUE(LEFT(I293,2))),ISNUMBER(VALUE(RIGHT(I293,2))),VALUE(LEFT(I293,2))&lt;=23,VALUE(RIGHT(I293,2))&lt;=59))</formula1>
    </dataValidation>
    <dataValidation type="custom" showErrorMessage="1" errorStyle="stop" errorTitle="Invalid Time" error="Enter time as HH:MM (e.g. 09:30) or leave blank" sqref="I294">
      <formula1>OR(I294="",AND(LEN(I294)=5,MID(I294,3,1)=":",ISNUMBER(VALUE(LEFT(I294,2))),ISNUMBER(VALUE(RIGHT(I294,2))),VALUE(LEFT(I294,2))&lt;=23,VALUE(RIGHT(I294,2))&lt;=59))</formula1>
    </dataValidation>
    <dataValidation type="custom" showErrorMessage="1" errorStyle="stop" errorTitle="Invalid Time" error="Enter time as HH:MM (e.g. 09:30) or leave blank" sqref="I295">
      <formula1>OR(I295="",AND(LEN(I295)=5,MID(I295,3,1)=":",ISNUMBER(VALUE(LEFT(I295,2))),ISNUMBER(VALUE(RIGHT(I295,2))),VALUE(LEFT(I295,2))&lt;=23,VALUE(RIGHT(I295,2))&lt;=59))</formula1>
    </dataValidation>
    <dataValidation type="custom" showErrorMessage="1" errorStyle="stop" errorTitle="Invalid Time" error="Enter time as HH:MM (e.g. 09:30) or leave blank" sqref="I296">
      <formula1>OR(I296="",AND(LEN(I296)=5,MID(I296,3,1)=":",ISNUMBER(VALUE(LEFT(I296,2))),ISNUMBER(VALUE(RIGHT(I296,2))),VALUE(LEFT(I296,2))&lt;=23,VALUE(RIGHT(I296,2))&lt;=59))</formula1>
    </dataValidation>
    <dataValidation type="custom" showErrorMessage="1" errorStyle="stop" errorTitle="Invalid Time" error="Enter time as HH:MM (e.g. 09:30) or leave blank" sqref="I297">
      <formula1>OR(I297="",AND(LEN(I297)=5,MID(I297,3,1)=":",ISNUMBER(VALUE(LEFT(I297,2))),ISNUMBER(VALUE(RIGHT(I297,2))),VALUE(LEFT(I297,2))&lt;=23,VALUE(RIGHT(I297,2))&lt;=59))</formula1>
    </dataValidation>
    <dataValidation type="custom" showErrorMessage="1" errorStyle="stop" errorTitle="Invalid Time" error="Enter time as HH:MM (e.g. 09:30) or leave blank" sqref="I298">
      <formula1>OR(I298="",AND(LEN(I298)=5,MID(I298,3,1)=":",ISNUMBER(VALUE(LEFT(I298,2))),ISNUMBER(VALUE(RIGHT(I298,2))),VALUE(LEFT(I298,2))&lt;=23,VALUE(RIGHT(I298,2))&lt;=59))</formula1>
    </dataValidation>
    <dataValidation type="custom" showErrorMessage="1" errorStyle="stop" errorTitle="Invalid Time" error="Enter time as HH:MM (e.g. 09:30) or leave blank" sqref="I299">
      <formula1>OR(I299="",AND(LEN(I299)=5,MID(I299,3,1)=":",ISNUMBER(VALUE(LEFT(I299,2))),ISNUMBER(VALUE(RIGHT(I299,2))),VALUE(LEFT(I299,2))&lt;=23,VALUE(RIGHT(I299,2))&lt;=59))</formula1>
    </dataValidation>
    <dataValidation type="custom" showErrorMessage="1" errorStyle="stop" errorTitle="Invalid Time" error="Enter time as HH:MM (e.g. 09:30) or leave blank" sqref="I3">
      <formula1>OR(I3="",AND(LEN(I3)=5,MID(I3,3,1)=":",ISNUMBER(VALUE(LEFT(I3,2))),ISNUMBER(VALUE(RIGHT(I3,2))),VALUE(LEFT(I3,2))&lt;=23,VALUE(RIGHT(I3,2))&lt;=59))</formula1>
    </dataValidation>
    <dataValidation type="custom" showErrorMessage="1" errorStyle="stop" errorTitle="Invalid Time" error="Enter time as HH:MM (e.g. 09:30) or leave blank" sqref="I30">
      <formula1>OR(I30="",AND(LEN(I30)=5,MID(I30,3,1)=":",ISNUMBER(VALUE(LEFT(I30,2))),ISNUMBER(VALUE(RIGHT(I30,2))),VALUE(LEFT(I30,2))&lt;=23,VALUE(RIGHT(I30,2))&lt;=59))</formula1>
    </dataValidation>
    <dataValidation type="custom" showErrorMessage="1" errorStyle="stop" errorTitle="Invalid Time" error="Enter time as HH:MM (e.g. 09:30) or leave blank" sqref="I300">
      <formula1>OR(I300="",AND(LEN(I300)=5,MID(I300,3,1)=":",ISNUMBER(VALUE(LEFT(I300,2))),ISNUMBER(VALUE(RIGHT(I300,2))),VALUE(LEFT(I300,2))&lt;=23,VALUE(RIGHT(I300,2))&lt;=59))</formula1>
    </dataValidation>
    <dataValidation type="custom" showErrorMessage="1" errorStyle="stop" errorTitle="Invalid Time" error="Enter time as HH:MM (e.g. 09:30) or leave blank" sqref="I301">
      <formula1>OR(I301="",AND(LEN(I301)=5,MID(I301,3,1)=":",ISNUMBER(VALUE(LEFT(I301,2))),ISNUMBER(VALUE(RIGHT(I301,2))),VALUE(LEFT(I301,2))&lt;=23,VALUE(RIGHT(I301,2))&lt;=59))</formula1>
    </dataValidation>
    <dataValidation type="custom" showErrorMessage="1" errorStyle="stop" errorTitle="Invalid Time" error="Enter time as HH:MM (e.g. 09:30) or leave blank" sqref="I302">
      <formula1>OR(I302="",AND(LEN(I302)=5,MID(I302,3,1)=":",ISNUMBER(VALUE(LEFT(I302,2))),ISNUMBER(VALUE(RIGHT(I302,2))),VALUE(LEFT(I302,2))&lt;=23,VALUE(RIGHT(I302,2))&lt;=59))</formula1>
    </dataValidation>
    <dataValidation type="custom" showErrorMessage="1" errorStyle="stop" errorTitle="Invalid Time" error="Enter time as HH:MM (e.g. 09:30) or leave blank" sqref="I303">
      <formula1>OR(I303="",AND(LEN(I303)=5,MID(I303,3,1)=":",ISNUMBER(VALUE(LEFT(I303,2))),ISNUMBER(VALUE(RIGHT(I303,2))),VALUE(LEFT(I303,2))&lt;=23,VALUE(RIGHT(I303,2))&lt;=59))</formula1>
    </dataValidation>
    <dataValidation type="custom" showErrorMessage="1" errorStyle="stop" errorTitle="Invalid Time" error="Enter time as HH:MM (e.g. 09:30) or leave blank" sqref="I304">
      <formula1>OR(I304="",AND(LEN(I304)=5,MID(I304,3,1)=":",ISNUMBER(VALUE(LEFT(I304,2))),ISNUMBER(VALUE(RIGHT(I304,2))),VALUE(LEFT(I304,2))&lt;=23,VALUE(RIGHT(I304,2))&lt;=59))</formula1>
    </dataValidation>
    <dataValidation type="custom" showErrorMessage="1" errorStyle="stop" errorTitle="Invalid Time" error="Enter time as HH:MM (e.g. 09:30) or leave blank" sqref="I305">
      <formula1>OR(I305="",AND(LEN(I305)=5,MID(I305,3,1)=":",ISNUMBER(VALUE(LEFT(I305,2))),ISNUMBER(VALUE(RIGHT(I305,2))),VALUE(LEFT(I305,2))&lt;=23,VALUE(RIGHT(I305,2))&lt;=59))</formula1>
    </dataValidation>
    <dataValidation type="custom" showErrorMessage="1" errorStyle="stop" errorTitle="Invalid Time" error="Enter time as HH:MM (e.g. 09:30) or leave blank" sqref="I306">
      <formula1>OR(I306="",AND(LEN(I306)=5,MID(I306,3,1)=":",ISNUMBER(VALUE(LEFT(I306,2))),ISNUMBER(VALUE(RIGHT(I306,2))),VALUE(LEFT(I306,2))&lt;=23,VALUE(RIGHT(I306,2))&lt;=59))</formula1>
    </dataValidation>
    <dataValidation type="custom" showErrorMessage="1" errorStyle="stop" errorTitle="Invalid Time" error="Enter time as HH:MM (e.g. 09:30) or leave blank" sqref="I307">
      <formula1>OR(I307="",AND(LEN(I307)=5,MID(I307,3,1)=":",ISNUMBER(VALUE(LEFT(I307,2))),ISNUMBER(VALUE(RIGHT(I307,2))),VALUE(LEFT(I307,2))&lt;=23,VALUE(RIGHT(I307,2))&lt;=59))</formula1>
    </dataValidation>
    <dataValidation type="custom" showErrorMessage="1" errorStyle="stop" errorTitle="Invalid Time" error="Enter time as HH:MM (e.g. 09:30) or leave blank" sqref="I308">
      <formula1>OR(I308="",AND(LEN(I308)=5,MID(I308,3,1)=":",ISNUMBER(VALUE(LEFT(I308,2))),ISNUMBER(VALUE(RIGHT(I308,2))),VALUE(LEFT(I308,2))&lt;=23,VALUE(RIGHT(I308,2))&lt;=59))</formula1>
    </dataValidation>
    <dataValidation type="custom" showErrorMessage="1" errorStyle="stop" errorTitle="Invalid Time" error="Enter time as HH:MM (e.g. 09:30) or leave blank" sqref="I309">
      <formula1>OR(I309="",AND(LEN(I309)=5,MID(I309,3,1)=":",ISNUMBER(VALUE(LEFT(I309,2))),ISNUMBER(VALUE(RIGHT(I309,2))),VALUE(LEFT(I309,2))&lt;=23,VALUE(RIGHT(I309,2))&lt;=59))</formula1>
    </dataValidation>
    <dataValidation type="custom" showErrorMessage="1" errorStyle="stop" errorTitle="Invalid Time" error="Enter time as HH:MM (e.g. 09:30) or leave blank" sqref="I31">
      <formula1>OR(I31="",AND(LEN(I31)=5,MID(I31,3,1)=":",ISNUMBER(VALUE(LEFT(I31,2))),ISNUMBER(VALUE(RIGHT(I31,2))),VALUE(LEFT(I31,2))&lt;=23,VALUE(RIGHT(I31,2))&lt;=59))</formula1>
    </dataValidation>
    <dataValidation type="custom" showErrorMessage="1" errorStyle="stop" errorTitle="Invalid Time" error="Enter time as HH:MM (e.g. 09:30) or leave blank" sqref="I310">
      <formula1>OR(I310="",AND(LEN(I310)=5,MID(I310,3,1)=":",ISNUMBER(VALUE(LEFT(I310,2))),ISNUMBER(VALUE(RIGHT(I310,2))),VALUE(LEFT(I310,2))&lt;=23,VALUE(RIGHT(I310,2))&lt;=59))</formula1>
    </dataValidation>
    <dataValidation type="custom" showErrorMessage="1" errorStyle="stop" errorTitle="Invalid Time" error="Enter time as HH:MM (e.g. 09:30) or leave blank" sqref="I311">
      <formula1>OR(I311="",AND(LEN(I311)=5,MID(I311,3,1)=":",ISNUMBER(VALUE(LEFT(I311,2))),ISNUMBER(VALUE(RIGHT(I311,2))),VALUE(LEFT(I311,2))&lt;=23,VALUE(RIGHT(I311,2))&lt;=59))</formula1>
    </dataValidation>
    <dataValidation type="custom" showErrorMessage="1" errorStyle="stop" errorTitle="Invalid Time" error="Enter time as HH:MM (e.g. 09:30) or leave blank" sqref="I312">
      <formula1>OR(I312="",AND(LEN(I312)=5,MID(I312,3,1)=":",ISNUMBER(VALUE(LEFT(I312,2))),ISNUMBER(VALUE(RIGHT(I312,2))),VALUE(LEFT(I312,2))&lt;=23,VALUE(RIGHT(I312,2))&lt;=59))</formula1>
    </dataValidation>
    <dataValidation type="custom" showErrorMessage="1" errorStyle="stop" errorTitle="Invalid Time" error="Enter time as HH:MM (e.g. 09:30) or leave blank" sqref="I313">
      <formula1>OR(I313="",AND(LEN(I313)=5,MID(I313,3,1)=":",ISNUMBER(VALUE(LEFT(I313,2))),ISNUMBER(VALUE(RIGHT(I313,2))),VALUE(LEFT(I313,2))&lt;=23,VALUE(RIGHT(I313,2))&lt;=59))</formula1>
    </dataValidation>
    <dataValidation type="custom" showErrorMessage="1" errorStyle="stop" errorTitle="Invalid Time" error="Enter time as HH:MM (e.g. 09:30) or leave blank" sqref="I314">
      <formula1>OR(I314="",AND(LEN(I314)=5,MID(I314,3,1)=":",ISNUMBER(VALUE(LEFT(I314,2))),ISNUMBER(VALUE(RIGHT(I314,2))),VALUE(LEFT(I314,2))&lt;=23,VALUE(RIGHT(I314,2))&lt;=59))</formula1>
    </dataValidation>
    <dataValidation type="custom" showErrorMessage="1" errorStyle="stop" errorTitle="Invalid Time" error="Enter time as HH:MM (e.g. 09:30) or leave blank" sqref="I315">
      <formula1>OR(I315="",AND(LEN(I315)=5,MID(I315,3,1)=":",ISNUMBER(VALUE(LEFT(I315,2))),ISNUMBER(VALUE(RIGHT(I315,2))),VALUE(LEFT(I315,2))&lt;=23,VALUE(RIGHT(I315,2))&lt;=59))</formula1>
    </dataValidation>
    <dataValidation type="custom" showErrorMessage="1" errorStyle="stop" errorTitle="Invalid Time" error="Enter time as HH:MM (e.g. 09:30) or leave blank" sqref="I316">
      <formula1>OR(I316="",AND(LEN(I316)=5,MID(I316,3,1)=":",ISNUMBER(VALUE(LEFT(I316,2))),ISNUMBER(VALUE(RIGHT(I316,2))),VALUE(LEFT(I316,2))&lt;=23,VALUE(RIGHT(I316,2))&lt;=59))</formula1>
    </dataValidation>
    <dataValidation type="custom" showErrorMessage="1" errorStyle="stop" errorTitle="Invalid Time" error="Enter time as HH:MM (e.g. 09:30) or leave blank" sqref="I317">
      <formula1>OR(I317="",AND(LEN(I317)=5,MID(I317,3,1)=":",ISNUMBER(VALUE(LEFT(I317,2))),ISNUMBER(VALUE(RIGHT(I317,2))),VALUE(LEFT(I317,2))&lt;=23,VALUE(RIGHT(I317,2))&lt;=59))</formula1>
    </dataValidation>
    <dataValidation type="custom" showErrorMessage="1" errorStyle="stop" errorTitle="Invalid Time" error="Enter time as HH:MM (e.g. 09:30) or leave blank" sqref="I318">
      <formula1>OR(I318="",AND(LEN(I318)=5,MID(I318,3,1)=":",ISNUMBER(VALUE(LEFT(I318,2))),ISNUMBER(VALUE(RIGHT(I318,2))),VALUE(LEFT(I318,2))&lt;=23,VALUE(RIGHT(I318,2))&lt;=59))</formula1>
    </dataValidation>
    <dataValidation type="custom" showErrorMessage="1" errorStyle="stop" errorTitle="Invalid Time" error="Enter time as HH:MM (e.g. 09:30) or leave blank" sqref="I319">
      <formula1>OR(I319="",AND(LEN(I319)=5,MID(I319,3,1)=":",ISNUMBER(VALUE(LEFT(I319,2))),ISNUMBER(VALUE(RIGHT(I319,2))),VALUE(LEFT(I319,2))&lt;=23,VALUE(RIGHT(I319,2))&lt;=59))</formula1>
    </dataValidation>
    <dataValidation type="custom" showErrorMessage="1" errorStyle="stop" errorTitle="Invalid Time" error="Enter time as HH:MM (e.g. 09:30) or leave blank" sqref="I32">
      <formula1>OR(I32="",AND(LEN(I32)=5,MID(I32,3,1)=":",ISNUMBER(VALUE(LEFT(I32,2))),ISNUMBER(VALUE(RIGHT(I32,2))),VALUE(LEFT(I32,2))&lt;=23,VALUE(RIGHT(I32,2))&lt;=59))</formula1>
    </dataValidation>
    <dataValidation type="custom" showErrorMessage="1" errorStyle="stop" errorTitle="Invalid Time" error="Enter time as HH:MM (e.g. 09:30) or leave blank" sqref="I320">
      <formula1>OR(I320="",AND(LEN(I320)=5,MID(I320,3,1)=":",ISNUMBER(VALUE(LEFT(I320,2))),ISNUMBER(VALUE(RIGHT(I320,2))),VALUE(LEFT(I320,2))&lt;=23,VALUE(RIGHT(I320,2))&lt;=59))</formula1>
    </dataValidation>
    <dataValidation type="custom" showErrorMessage="1" errorStyle="stop" errorTitle="Invalid Time" error="Enter time as HH:MM (e.g. 09:30) or leave blank" sqref="I321">
      <formula1>OR(I321="",AND(LEN(I321)=5,MID(I321,3,1)=":",ISNUMBER(VALUE(LEFT(I321,2))),ISNUMBER(VALUE(RIGHT(I321,2))),VALUE(LEFT(I321,2))&lt;=23,VALUE(RIGHT(I321,2))&lt;=59))</formula1>
    </dataValidation>
    <dataValidation type="custom" showErrorMessage="1" errorStyle="stop" errorTitle="Invalid Time" error="Enter time as HH:MM (e.g. 09:30) or leave blank" sqref="I322">
      <formula1>OR(I322="",AND(LEN(I322)=5,MID(I322,3,1)=":",ISNUMBER(VALUE(LEFT(I322,2))),ISNUMBER(VALUE(RIGHT(I322,2))),VALUE(LEFT(I322,2))&lt;=23,VALUE(RIGHT(I322,2))&lt;=59))</formula1>
    </dataValidation>
    <dataValidation type="custom" showErrorMessage="1" errorStyle="stop" errorTitle="Invalid Time" error="Enter time as HH:MM (e.g. 09:30) or leave blank" sqref="I323">
      <formula1>OR(I323="",AND(LEN(I323)=5,MID(I323,3,1)=":",ISNUMBER(VALUE(LEFT(I323,2))),ISNUMBER(VALUE(RIGHT(I323,2))),VALUE(LEFT(I323,2))&lt;=23,VALUE(RIGHT(I323,2))&lt;=59))</formula1>
    </dataValidation>
    <dataValidation type="custom" showErrorMessage="1" errorStyle="stop" errorTitle="Invalid Time" error="Enter time as HH:MM (e.g. 09:30) or leave blank" sqref="I324">
      <formula1>OR(I324="",AND(LEN(I324)=5,MID(I324,3,1)=":",ISNUMBER(VALUE(LEFT(I324,2))),ISNUMBER(VALUE(RIGHT(I324,2))),VALUE(LEFT(I324,2))&lt;=23,VALUE(RIGHT(I324,2))&lt;=59))</formula1>
    </dataValidation>
    <dataValidation type="custom" showErrorMessage="1" errorStyle="stop" errorTitle="Invalid Time" error="Enter time as HH:MM (e.g. 09:30) or leave blank" sqref="I325">
      <formula1>OR(I325="",AND(LEN(I325)=5,MID(I325,3,1)=":",ISNUMBER(VALUE(LEFT(I325,2))),ISNUMBER(VALUE(RIGHT(I325,2))),VALUE(LEFT(I325,2))&lt;=23,VALUE(RIGHT(I325,2))&lt;=59))</formula1>
    </dataValidation>
    <dataValidation type="custom" showErrorMessage="1" errorStyle="stop" errorTitle="Invalid Time" error="Enter time as HH:MM (e.g. 09:30) or leave blank" sqref="I326">
      <formula1>OR(I326="",AND(LEN(I326)=5,MID(I326,3,1)=":",ISNUMBER(VALUE(LEFT(I326,2))),ISNUMBER(VALUE(RIGHT(I326,2))),VALUE(LEFT(I326,2))&lt;=23,VALUE(RIGHT(I326,2))&lt;=59))</formula1>
    </dataValidation>
    <dataValidation type="custom" showErrorMessage="1" errorStyle="stop" errorTitle="Invalid Time" error="Enter time as HH:MM (e.g. 09:30) or leave blank" sqref="I327">
      <formula1>OR(I327="",AND(LEN(I327)=5,MID(I327,3,1)=":",ISNUMBER(VALUE(LEFT(I327,2))),ISNUMBER(VALUE(RIGHT(I327,2))),VALUE(LEFT(I327,2))&lt;=23,VALUE(RIGHT(I327,2))&lt;=59))</formula1>
    </dataValidation>
    <dataValidation type="custom" showErrorMessage="1" errorStyle="stop" errorTitle="Invalid Time" error="Enter time as HH:MM (e.g. 09:30) or leave blank" sqref="I328">
      <formula1>OR(I328="",AND(LEN(I328)=5,MID(I328,3,1)=":",ISNUMBER(VALUE(LEFT(I328,2))),ISNUMBER(VALUE(RIGHT(I328,2))),VALUE(LEFT(I328,2))&lt;=23,VALUE(RIGHT(I328,2))&lt;=59))</formula1>
    </dataValidation>
    <dataValidation type="custom" showErrorMessage="1" errorStyle="stop" errorTitle="Invalid Time" error="Enter time as HH:MM (e.g. 09:30) or leave blank" sqref="I329">
      <formula1>OR(I329="",AND(LEN(I329)=5,MID(I329,3,1)=":",ISNUMBER(VALUE(LEFT(I329,2))),ISNUMBER(VALUE(RIGHT(I329,2))),VALUE(LEFT(I329,2))&lt;=23,VALUE(RIGHT(I329,2))&lt;=59))</formula1>
    </dataValidation>
    <dataValidation type="custom" showErrorMessage="1" errorStyle="stop" errorTitle="Invalid Time" error="Enter time as HH:MM (e.g. 09:30) or leave blank" sqref="I33">
      <formula1>OR(I33="",AND(LEN(I33)=5,MID(I33,3,1)=":",ISNUMBER(VALUE(LEFT(I33,2))),ISNUMBER(VALUE(RIGHT(I33,2))),VALUE(LEFT(I33,2))&lt;=23,VALUE(RIGHT(I33,2))&lt;=59))</formula1>
    </dataValidation>
    <dataValidation type="custom" showErrorMessage="1" errorStyle="stop" errorTitle="Invalid Time" error="Enter time as HH:MM (e.g. 09:30) or leave blank" sqref="I330">
      <formula1>OR(I330="",AND(LEN(I330)=5,MID(I330,3,1)=":",ISNUMBER(VALUE(LEFT(I330,2))),ISNUMBER(VALUE(RIGHT(I330,2))),VALUE(LEFT(I330,2))&lt;=23,VALUE(RIGHT(I330,2))&lt;=59))</formula1>
    </dataValidation>
    <dataValidation type="custom" showErrorMessage="1" errorStyle="stop" errorTitle="Invalid Time" error="Enter time as HH:MM (e.g. 09:30) or leave blank" sqref="I331">
      <formula1>OR(I331="",AND(LEN(I331)=5,MID(I331,3,1)=":",ISNUMBER(VALUE(LEFT(I331,2))),ISNUMBER(VALUE(RIGHT(I331,2))),VALUE(LEFT(I331,2))&lt;=23,VALUE(RIGHT(I331,2))&lt;=59))</formula1>
    </dataValidation>
    <dataValidation type="custom" showErrorMessage="1" errorStyle="stop" errorTitle="Invalid Time" error="Enter time as HH:MM (e.g. 09:30) or leave blank" sqref="I332">
      <formula1>OR(I332="",AND(LEN(I332)=5,MID(I332,3,1)=":",ISNUMBER(VALUE(LEFT(I332,2))),ISNUMBER(VALUE(RIGHT(I332,2))),VALUE(LEFT(I332,2))&lt;=23,VALUE(RIGHT(I332,2))&lt;=59))</formula1>
    </dataValidation>
    <dataValidation type="custom" showErrorMessage="1" errorStyle="stop" errorTitle="Invalid Time" error="Enter time as HH:MM (e.g. 09:30) or leave blank" sqref="I333">
      <formula1>OR(I333="",AND(LEN(I333)=5,MID(I333,3,1)=":",ISNUMBER(VALUE(LEFT(I333,2))),ISNUMBER(VALUE(RIGHT(I333,2))),VALUE(LEFT(I333,2))&lt;=23,VALUE(RIGHT(I333,2))&lt;=59))</formula1>
    </dataValidation>
    <dataValidation type="custom" showErrorMessage="1" errorStyle="stop" errorTitle="Invalid Time" error="Enter time as HH:MM (e.g. 09:30) or leave blank" sqref="I334">
      <formula1>OR(I334="",AND(LEN(I334)=5,MID(I334,3,1)=":",ISNUMBER(VALUE(LEFT(I334,2))),ISNUMBER(VALUE(RIGHT(I334,2))),VALUE(LEFT(I334,2))&lt;=23,VALUE(RIGHT(I334,2))&lt;=59))</formula1>
    </dataValidation>
    <dataValidation type="custom" showErrorMessage="1" errorStyle="stop" errorTitle="Invalid Time" error="Enter time as HH:MM (e.g. 09:30) or leave blank" sqref="I335">
      <formula1>OR(I335="",AND(LEN(I335)=5,MID(I335,3,1)=":",ISNUMBER(VALUE(LEFT(I335,2))),ISNUMBER(VALUE(RIGHT(I335,2))),VALUE(LEFT(I335,2))&lt;=23,VALUE(RIGHT(I335,2))&lt;=59))</formula1>
    </dataValidation>
    <dataValidation type="custom" showErrorMessage="1" errorStyle="stop" errorTitle="Invalid Time" error="Enter time as HH:MM (e.g. 09:30) or leave blank" sqref="I336">
      <formula1>OR(I336="",AND(LEN(I336)=5,MID(I336,3,1)=":",ISNUMBER(VALUE(LEFT(I336,2))),ISNUMBER(VALUE(RIGHT(I336,2))),VALUE(LEFT(I336,2))&lt;=23,VALUE(RIGHT(I336,2))&lt;=59))</formula1>
    </dataValidation>
    <dataValidation type="custom" showErrorMessage="1" errorStyle="stop" errorTitle="Invalid Time" error="Enter time as HH:MM (e.g. 09:30) or leave blank" sqref="I337">
      <formula1>OR(I337="",AND(LEN(I337)=5,MID(I337,3,1)=":",ISNUMBER(VALUE(LEFT(I337,2))),ISNUMBER(VALUE(RIGHT(I337,2))),VALUE(LEFT(I337,2))&lt;=23,VALUE(RIGHT(I337,2))&lt;=59))</formula1>
    </dataValidation>
    <dataValidation type="custom" showErrorMessage="1" errorStyle="stop" errorTitle="Invalid Time" error="Enter time as HH:MM (e.g. 09:30) or leave blank" sqref="I338">
      <formula1>OR(I338="",AND(LEN(I338)=5,MID(I338,3,1)=":",ISNUMBER(VALUE(LEFT(I338,2))),ISNUMBER(VALUE(RIGHT(I338,2))),VALUE(LEFT(I338,2))&lt;=23,VALUE(RIGHT(I338,2))&lt;=59))</formula1>
    </dataValidation>
    <dataValidation type="custom" showErrorMessage="1" errorStyle="stop" errorTitle="Invalid Time" error="Enter time as HH:MM (e.g. 09:30) or leave blank" sqref="I339">
      <formula1>OR(I339="",AND(LEN(I339)=5,MID(I339,3,1)=":",ISNUMBER(VALUE(LEFT(I339,2))),ISNUMBER(VALUE(RIGHT(I339,2))),VALUE(LEFT(I339,2))&lt;=23,VALUE(RIGHT(I339,2))&lt;=59))</formula1>
    </dataValidation>
    <dataValidation type="custom" showErrorMessage="1" errorStyle="stop" errorTitle="Invalid Time" error="Enter time as HH:MM (e.g. 09:30) or leave blank" sqref="I34">
      <formula1>OR(I34="",AND(LEN(I34)=5,MID(I34,3,1)=":",ISNUMBER(VALUE(LEFT(I34,2))),ISNUMBER(VALUE(RIGHT(I34,2))),VALUE(LEFT(I34,2))&lt;=23,VALUE(RIGHT(I34,2))&lt;=59))</formula1>
    </dataValidation>
    <dataValidation type="custom" showErrorMessage="1" errorStyle="stop" errorTitle="Invalid Time" error="Enter time as HH:MM (e.g. 09:30) or leave blank" sqref="I340">
      <formula1>OR(I340="",AND(LEN(I340)=5,MID(I340,3,1)=":",ISNUMBER(VALUE(LEFT(I340,2))),ISNUMBER(VALUE(RIGHT(I340,2))),VALUE(LEFT(I340,2))&lt;=23,VALUE(RIGHT(I340,2))&lt;=59))</formula1>
    </dataValidation>
    <dataValidation type="custom" showErrorMessage="1" errorStyle="stop" errorTitle="Invalid Time" error="Enter time as HH:MM (e.g. 09:30) or leave blank" sqref="I341">
      <formula1>OR(I341="",AND(LEN(I341)=5,MID(I341,3,1)=":",ISNUMBER(VALUE(LEFT(I341,2))),ISNUMBER(VALUE(RIGHT(I341,2))),VALUE(LEFT(I341,2))&lt;=23,VALUE(RIGHT(I341,2))&lt;=59))</formula1>
    </dataValidation>
    <dataValidation type="custom" showErrorMessage="1" errorStyle="stop" errorTitle="Invalid Time" error="Enter time as HH:MM (e.g. 09:30) or leave blank" sqref="I342">
      <formula1>OR(I342="",AND(LEN(I342)=5,MID(I342,3,1)=":",ISNUMBER(VALUE(LEFT(I342,2))),ISNUMBER(VALUE(RIGHT(I342,2))),VALUE(LEFT(I342,2))&lt;=23,VALUE(RIGHT(I342,2))&lt;=59))</formula1>
    </dataValidation>
    <dataValidation type="custom" showErrorMessage="1" errorStyle="stop" errorTitle="Invalid Time" error="Enter time as HH:MM (e.g. 09:30) or leave blank" sqref="I343">
      <formula1>OR(I343="",AND(LEN(I343)=5,MID(I343,3,1)=":",ISNUMBER(VALUE(LEFT(I343,2))),ISNUMBER(VALUE(RIGHT(I343,2))),VALUE(LEFT(I343,2))&lt;=23,VALUE(RIGHT(I343,2))&lt;=59))</formula1>
    </dataValidation>
    <dataValidation type="custom" showErrorMessage="1" errorStyle="stop" errorTitle="Invalid Time" error="Enter time as HH:MM (e.g. 09:30) or leave blank" sqref="I344">
      <formula1>OR(I344="",AND(LEN(I344)=5,MID(I344,3,1)=":",ISNUMBER(VALUE(LEFT(I344,2))),ISNUMBER(VALUE(RIGHT(I344,2))),VALUE(LEFT(I344,2))&lt;=23,VALUE(RIGHT(I344,2))&lt;=59))</formula1>
    </dataValidation>
    <dataValidation type="custom" showErrorMessage="1" errorStyle="stop" errorTitle="Invalid Time" error="Enter time as HH:MM (e.g. 09:30) or leave blank" sqref="I345">
      <formula1>OR(I345="",AND(LEN(I345)=5,MID(I345,3,1)=":",ISNUMBER(VALUE(LEFT(I345,2))),ISNUMBER(VALUE(RIGHT(I345,2))),VALUE(LEFT(I345,2))&lt;=23,VALUE(RIGHT(I345,2))&lt;=59))</formula1>
    </dataValidation>
    <dataValidation type="custom" showErrorMessage="1" errorStyle="stop" errorTitle="Invalid Time" error="Enter time as HH:MM (e.g. 09:30) or leave blank" sqref="I346">
      <formula1>OR(I346="",AND(LEN(I346)=5,MID(I346,3,1)=":",ISNUMBER(VALUE(LEFT(I346,2))),ISNUMBER(VALUE(RIGHT(I346,2))),VALUE(LEFT(I346,2))&lt;=23,VALUE(RIGHT(I346,2))&lt;=59))</formula1>
    </dataValidation>
    <dataValidation type="custom" showErrorMessage="1" errorStyle="stop" errorTitle="Invalid Time" error="Enter time as HH:MM (e.g. 09:30) or leave blank" sqref="I347">
      <formula1>OR(I347="",AND(LEN(I347)=5,MID(I347,3,1)=":",ISNUMBER(VALUE(LEFT(I347,2))),ISNUMBER(VALUE(RIGHT(I347,2))),VALUE(LEFT(I347,2))&lt;=23,VALUE(RIGHT(I347,2))&lt;=59))</formula1>
    </dataValidation>
    <dataValidation type="custom" showErrorMessage="1" errorStyle="stop" errorTitle="Invalid Time" error="Enter time as HH:MM (e.g. 09:30) or leave blank" sqref="I348">
      <formula1>OR(I348="",AND(LEN(I348)=5,MID(I348,3,1)=":",ISNUMBER(VALUE(LEFT(I348,2))),ISNUMBER(VALUE(RIGHT(I348,2))),VALUE(LEFT(I348,2))&lt;=23,VALUE(RIGHT(I348,2))&lt;=59))</formula1>
    </dataValidation>
    <dataValidation type="custom" showErrorMessage="1" errorStyle="stop" errorTitle="Invalid Time" error="Enter time as HH:MM (e.g. 09:30) or leave blank" sqref="I349">
      <formula1>OR(I349="",AND(LEN(I349)=5,MID(I349,3,1)=":",ISNUMBER(VALUE(LEFT(I349,2))),ISNUMBER(VALUE(RIGHT(I349,2))),VALUE(LEFT(I349,2))&lt;=23,VALUE(RIGHT(I349,2))&lt;=59))</formula1>
    </dataValidation>
    <dataValidation type="custom" showErrorMessage="1" errorStyle="stop" errorTitle="Invalid Time" error="Enter time as HH:MM (e.g. 09:30) or leave blank" sqref="I35">
      <formula1>OR(I35="",AND(LEN(I35)=5,MID(I35,3,1)=":",ISNUMBER(VALUE(LEFT(I35,2))),ISNUMBER(VALUE(RIGHT(I35,2))),VALUE(LEFT(I35,2))&lt;=23,VALUE(RIGHT(I35,2))&lt;=59))</formula1>
    </dataValidation>
    <dataValidation type="custom" showErrorMessage="1" errorStyle="stop" errorTitle="Invalid Time" error="Enter time as HH:MM (e.g. 09:30) or leave blank" sqref="I350">
      <formula1>OR(I350="",AND(LEN(I350)=5,MID(I350,3,1)=":",ISNUMBER(VALUE(LEFT(I350,2))),ISNUMBER(VALUE(RIGHT(I350,2))),VALUE(LEFT(I350,2))&lt;=23,VALUE(RIGHT(I350,2))&lt;=59))</formula1>
    </dataValidation>
    <dataValidation type="custom" showErrorMessage="1" errorStyle="stop" errorTitle="Invalid Time" error="Enter time as HH:MM (e.g. 09:30) or leave blank" sqref="I351">
      <formula1>OR(I351="",AND(LEN(I351)=5,MID(I351,3,1)=":",ISNUMBER(VALUE(LEFT(I351,2))),ISNUMBER(VALUE(RIGHT(I351,2))),VALUE(LEFT(I351,2))&lt;=23,VALUE(RIGHT(I351,2))&lt;=59))</formula1>
    </dataValidation>
    <dataValidation type="custom" showErrorMessage="1" errorStyle="stop" errorTitle="Invalid Time" error="Enter time as HH:MM (e.g. 09:30) or leave blank" sqref="I352">
      <formula1>OR(I352="",AND(LEN(I352)=5,MID(I352,3,1)=":",ISNUMBER(VALUE(LEFT(I352,2))),ISNUMBER(VALUE(RIGHT(I352,2))),VALUE(LEFT(I352,2))&lt;=23,VALUE(RIGHT(I352,2))&lt;=59))</formula1>
    </dataValidation>
    <dataValidation type="custom" showErrorMessage="1" errorStyle="stop" errorTitle="Invalid Time" error="Enter time as HH:MM (e.g. 09:30) or leave blank" sqref="I353">
      <formula1>OR(I353="",AND(LEN(I353)=5,MID(I353,3,1)=":",ISNUMBER(VALUE(LEFT(I353,2))),ISNUMBER(VALUE(RIGHT(I353,2))),VALUE(LEFT(I353,2))&lt;=23,VALUE(RIGHT(I353,2))&lt;=59))</formula1>
    </dataValidation>
    <dataValidation type="custom" showErrorMessage="1" errorStyle="stop" errorTitle="Invalid Time" error="Enter time as HH:MM (e.g. 09:30) or leave blank" sqref="I354">
      <formula1>OR(I354="",AND(LEN(I354)=5,MID(I354,3,1)=":",ISNUMBER(VALUE(LEFT(I354,2))),ISNUMBER(VALUE(RIGHT(I354,2))),VALUE(LEFT(I354,2))&lt;=23,VALUE(RIGHT(I354,2))&lt;=59))</formula1>
    </dataValidation>
    <dataValidation type="custom" showErrorMessage="1" errorStyle="stop" errorTitle="Invalid Time" error="Enter time as HH:MM (e.g. 09:30) or leave blank" sqref="I355">
      <formula1>OR(I355="",AND(LEN(I355)=5,MID(I355,3,1)=":",ISNUMBER(VALUE(LEFT(I355,2))),ISNUMBER(VALUE(RIGHT(I355,2))),VALUE(LEFT(I355,2))&lt;=23,VALUE(RIGHT(I355,2))&lt;=59))</formula1>
    </dataValidation>
    <dataValidation type="custom" showErrorMessage="1" errorStyle="stop" errorTitle="Invalid Time" error="Enter time as HH:MM (e.g. 09:30) or leave blank" sqref="I356">
      <formula1>OR(I356="",AND(LEN(I356)=5,MID(I356,3,1)=":",ISNUMBER(VALUE(LEFT(I356,2))),ISNUMBER(VALUE(RIGHT(I356,2))),VALUE(LEFT(I356,2))&lt;=23,VALUE(RIGHT(I356,2))&lt;=59))</formula1>
    </dataValidation>
    <dataValidation type="custom" showErrorMessage="1" errorStyle="stop" errorTitle="Invalid Time" error="Enter time as HH:MM (e.g. 09:30) or leave blank" sqref="I357">
      <formula1>OR(I357="",AND(LEN(I357)=5,MID(I357,3,1)=":",ISNUMBER(VALUE(LEFT(I357,2))),ISNUMBER(VALUE(RIGHT(I357,2))),VALUE(LEFT(I357,2))&lt;=23,VALUE(RIGHT(I357,2))&lt;=59))</formula1>
    </dataValidation>
    <dataValidation type="custom" showErrorMessage="1" errorStyle="stop" errorTitle="Invalid Time" error="Enter time as HH:MM (e.g. 09:30) or leave blank" sqref="I358">
      <formula1>OR(I358="",AND(LEN(I358)=5,MID(I358,3,1)=":",ISNUMBER(VALUE(LEFT(I358,2))),ISNUMBER(VALUE(RIGHT(I358,2))),VALUE(LEFT(I358,2))&lt;=23,VALUE(RIGHT(I358,2))&lt;=59))</formula1>
    </dataValidation>
    <dataValidation type="custom" showErrorMessage="1" errorStyle="stop" errorTitle="Invalid Time" error="Enter time as HH:MM (e.g. 09:30) or leave blank" sqref="I359">
      <formula1>OR(I359="",AND(LEN(I359)=5,MID(I359,3,1)=":",ISNUMBER(VALUE(LEFT(I359,2))),ISNUMBER(VALUE(RIGHT(I359,2))),VALUE(LEFT(I359,2))&lt;=23,VALUE(RIGHT(I359,2))&lt;=59))</formula1>
    </dataValidation>
    <dataValidation type="custom" showErrorMessage="1" errorStyle="stop" errorTitle="Invalid Time" error="Enter time as HH:MM (e.g. 09:30) or leave blank" sqref="I36">
      <formula1>OR(I36="",AND(LEN(I36)=5,MID(I36,3,1)=":",ISNUMBER(VALUE(LEFT(I36,2))),ISNUMBER(VALUE(RIGHT(I36,2))),VALUE(LEFT(I36,2))&lt;=23,VALUE(RIGHT(I36,2))&lt;=59))</formula1>
    </dataValidation>
    <dataValidation type="custom" showErrorMessage="1" errorStyle="stop" errorTitle="Invalid Time" error="Enter time as HH:MM (e.g. 09:30) or leave blank" sqref="I360">
      <formula1>OR(I360="",AND(LEN(I360)=5,MID(I360,3,1)=":",ISNUMBER(VALUE(LEFT(I360,2))),ISNUMBER(VALUE(RIGHT(I360,2))),VALUE(LEFT(I360,2))&lt;=23,VALUE(RIGHT(I360,2))&lt;=59))</formula1>
    </dataValidation>
    <dataValidation type="custom" showErrorMessage="1" errorStyle="stop" errorTitle="Invalid Time" error="Enter time as HH:MM (e.g. 09:30) or leave blank" sqref="I361">
      <formula1>OR(I361="",AND(LEN(I361)=5,MID(I361,3,1)=":",ISNUMBER(VALUE(LEFT(I361,2))),ISNUMBER(VALUE(RIGHT(I361,2))),VALUE(LEFT(I361,2))&lt;=23,VALUE(RIGHT(I361,2))&lt;=59))</formula1>
    </dataValidation>
    <dataValidation type="custom" showErrorMessage="1" errorStyle="stop" errorTitle="Invalid Time" error="Enter time as HH:MM (e.g. 09:30) or leave blank" sqref="I362">
      <formula1>OR(I362="",AND(LEN(I362)=5,MID(I362,3,1)=":",ISNUMBER(VALUE(LEFT(I362,2))),ISNUMBER(VALUE(RIGHT(I362,2))),VALUE(LEFT(I362,2))&lt;=23,VALUE(RIGHT(I362,2))&lt;=59))</formula1>
    </dataValidation>
    <dataValidation type="custom" showErrorMessage="1" errorStyle="stop" errorTitle="Invalid Time" error="Enter time as HH:MM (e.g. 09:30) or leave blank" sqref="I363">
      <formula1>OR(I363="",AND(LEN(I363)=5,MID(I363,3,1)=":",ISNUMBER(VALUE(LEFT(I363,2))),ISNUMBER(VALUE(RIGHT(I363,2))),VALUE(LEFT(I363,2))&lt;=23,VALUE(RIGHT(I363,2))&lt;=59))</formula1>
    </dataValidation>
    <dataValidation type="custom" showErrorMessage="1" errorStyle="stop" errorTitle="Invalid Time" error="Enter time as HH:MM (e.g. 09:30) or leave blank" sqref="I364">
      <formula1>OR(I364="",AND(LEN(I364)=5,MID(I364,3,1)=":",ISNUMBER(VALUE(LEFT(I364,2))),ISNUMBER(VALUE(RIGHT(I364,2))),VALUE(LEFT(I364,2))&lt;=23,VALUE(RIGHT(I364,2))&lt;=59))</formula1>
    </dataValidation>
    <dataValidation type="custom" showErrorMessage="1" errorStyle="stop" errorTitle="Invalid Time" error="Enter time as HH:MM (e.g. 09:30) or leave blank" sqref="I365">
      <formula1>OR(I365="",AND(LEN(I365)=5,MID(I365,3,1)=":",ISNUMBER(VALUE(LEFT(I365,2))),ISNUMBER(VALUE(RIGHT(I365,2))),VALUE(LEFT(I365,2))&lt;=23,VALUE(RIGHT(I365,2))&lt;=59))</formula1>
    </dataValidation>
    <dataValidation type="custom" showErrorMessage="1" errorStyle="stop" errorTitle="Invalid Time" error="Enter time as HH:MM (e.g. 09:30) or leave blank" sqref="I366">
      <formula1>OR(I366="",AND(LEN(I366)=5,MID(I366,3,1)=":",ISNUMBER(VALUE(LEFT(I366,2))),ISNUMBER(VALUE(RIGHT(I366,2))),VALUE(LEFT(I366,2))&lt;=23,VALUE(RIGHT(I366,2))&lt;=59))</formula1>
    </dataValidation>
    <dataValidation type="custom" showErrorMessage="1" errorStyle="stop" errorTitle="Invalid Time" error="Enter time as HH:MM (e.g. 09:30) or leave blank" sqref="I367">
      <formula1>OR(I367="",AND(LEN(I367)=5,MID(I367,3,1)=":",ISNUMBER(VALUE(LEFT(I367,2))),ISNUMBER(VALUE(RIGHT(I367,2))),VALUE(LEFT(I367,2))&lt;=23,VALUE(RIGHT(I367,2))&lt;=59))</formula1>
    </dataValidation>
    <dataValidation type="custom" showErrorMessage="1" errorStyle="stop" errorTitle="Invalid Time" error="Enter time as HH:MM (e.g. 09:30) or leave blank" sqref="I368">
      <formula1>OR(I368="",AND(LEN(I368)=5,MID(I368,3,1)=":",ISNUMBER(VALUE(LEFT(I368,2))),ISNUMBER(VALUE(RIGHT(I368,2))),VALUE(LEFT(I368,2))&lt;=23,VALUE(RIGHT(I368,2))&lt;=59))</formula1>
    </dataValidation>
    <dataValidation type="custom" showErrorMessage="1" errorStyle="stop" errorTitle="Invalid Time" error="Enter time as HH:MM (e.g. 09:30) or leave blank" sqref="I369">
      <formula1>OR(I369="",AND(LEN(I369)=5,MID(I369,3,1)=":",ISNUMBER(VALUE(LEFT(I369,2))),ISNUMBER(VALUE(RIGHT(I369,2))),VALUE(LEFT(I369,2))&lt;=23,VALUE(RIGHT(I369,2))&lt;=59))</formula1>
    </dataValidation>
    <dataValidation type="custom" showErrorMessage="1" errorStyle="stop" errorTitle="Invalid Time" error="Enter time as HH:MM (e.g. 09:30) or leave blank" sqref="I37">
      <formula1>OR(I37="",AND(LEN(I37)=5,MID(I37,3,1)=":",ISNUMBER(VALUE(LEFT(I37,2))),ISNUMBER(VALUE(RIGHT(I37,2))),VALUE(LEFT(I37,2))&lt;=23,VALUE(RIGHT(I37,2))&lt;=59))</formula1>
    </dataValidation>
    <dataValidation type="custom" showErrorMessage="1" errorStyle="stop" errorTitle="Invalid Time" error="Enter time as HH:MM (e.g. 09:30) or leave blank" sqref="I370">
      <formula1>OR(I370="",AND(LEN(I370)=5,MID(I370,3,1)=":",ISNUMBER(VALUE(LEFT(I370,2))),ISNUMBER(VALUE(RIGHT(I370,2))),VALUE(LEFT(I370,2))&lt;=23,VALUE(RIGHT(I370,2))&lt;=59))</formula1>
    </dataValidation>
    <dataValidation type="custom" showErrorMessage="1" errorStyle="stop" errorTitle="Invalid Time" error="Enter time as HH:MM (e.g. 09:30) or leave blank" sqref="I371">
      <formula1>OR(I371="",AND(LEN(I371)=5,MID(I371,3,1)=":",ISNUMBER(VALUE(LEFT(I371,2))),ISNUMBER(VALUE(RIGHT(I371,2))),VALUE(LEFT(I371,2))&lt;=23,VALUE(RIGHT(I371,2))&lt;=59))</formula1>
    </dataValidation>
    <dataValidation type="custom" showErrorMessage="1" errorStyle="stop" errorTitle="Invalid Time" error="Enter time as HH:MM (e.g. 09:30) or leave blank" sqref="I372">
      <formula1>OR(I372="",AND(LEN(I372)=5,MID(I372,3,1)=":",ISNUMBER(VALUE(LEFT(I372,2))),ISNUMBER(VALUE(RIGHT(I372,2))),VALUE(LEFT(I372,2))&lt;=23,VALUE(RIGHT(I372,2))&lt;=59))</formula1>
    </dataValidation>
    <dataValidation type="custom" showErrorMessage="1" errorStyle="stop" errorTitle="Invalid Time" error="Enter time as HH:MM (e.g. 09:30) or leave blank" sqref="I373">
      <formula1>OR(I373="",AND(LEN(I373)=5,MID(I373,3,1)=":",ISNUMBER(VALUE(LEFT(I373,2))),ISNUMBER(VALUE(RIGHT(I373,2))),VALUE(LEFT(I373,2))&lt;=23,VALUE(RIGHT(I373,2))&lt;=59))</formula1>
    </dataValidation>
    <dataValidation type="custom" showErrorMessage="1" errorStyle="stop" errorTitle="Invalid Time" error="Enter time as HH:MM (e.g. 09:30) or leave blank" sqref="I374">
      <formula1>OR(I374="",AND(LEN(I374)=5,MID(I374,3,1)=":",ISNUMBER(VALUE(LEFT(I374,2))),ISNUMBER(VALUE(RIGHT(I374,2))),VALUE(LEFT(I374,2))&lt;=23,VALUE(RIGHT(I374,2))&lt;=59))</formula1>
    </dataValidation>
    <dataValidation type="custom" showErrorMessage="1" errorStyle="stop" errorTitle="Invalid Time" error="Enter time as HH:MM (e.g. 09:30) or leave blank" sqref="I375">
      <formula1>OR(I375="",AND(LEN(I375)=5,MID(I375,3,1)=":",ISNUMBER(VALUE(LEFT(I375,2))),ISNUMBER(VALUE(RIGHT(I375,2))),VALUE(LEFT(I375,2))&lt;=23,VALUE(RIGHT(I375,2))&lt;=59))</formula1>
    </dataValidation>
    <dataValidation type="custom" showErrorMessage="1" errorStyle="stop" errorTitle="Invalid Time" error="Enter time as HH:MM (e.g. 09:30) or leave blank" sqref="I376">
      <formula1>OR(I376="",AND(LEN(I376)=5,MID(I376,3,1)=":",ISNUMBER(VALUE(LEFT(I376,2))),ISNUMBER(VALUE(RIGHT(I376,2))),VALUE(LEFT(I376,2))&lt;=23,VALUE(RIGHT(I376,2))&lt;=59))</formula1>
    </dataValidation>
    <dataValidation type="custom" showErrorMessage="1" errorStyle="stop" errorTitle="Invalid Time" error="Enter time as HH:MM (e.g. 09:30) or leave blank" sqref="I377">
      <formula1>OR(I377="",AND(LEN(I377)=5,MID(I377,3,1)=":",ISNUMBER(VALUE(LEFT(I377,2))),ISNUMBER(VALUE(RIGHT(I377,2))),VALUE(LEFT(I377,2))&lt;=23,VALUE(RIGHT(I377,2))&lt;=59))</formula1>
    </dataValidation>
    <dataValidation type="custom" showErrorMessage="1" errorStyle="stop" errorTitle="Invalid Time" error="Enter time as HH:MM (e.g. 09:30) or leave blank" sqref="I378">
      <formula1>OR(I378="",AND(LEN(I378)=5,MID(I378,3,1)=":",ISNUMBER(VALUE(LEFT(I378,2))),ISNUMBER(VALUE(RIGHT(I378,2))),VALUE(LEFT(I378,2))&lt;=23,VALUE(RIGHT(I378,2))&lt;=59))</formula1>
    </dataValidation>
    <dataValidation type="custom" showErrorMessage="1" errorStyle="stop" errorTitle="Invalid Time" error="Enter time as HH:MM (e.g. 09:30) or leave blank" sqref="I379">
      <formula1>OR(I379="",AND(LEN(I379)=5,MID(I379,3,1)=":",ISNUMBER(VALUE(LEFT(I379,2))),ISNUMBER(VALUE(RIGHT(I379,2))),VALUE(LEFT(I379,2))&lt;=23,VALUE(RIGHT(I379,2))&lt;=59))</formula1>
    </dataValidation>
    <dataValidation type="custom" showErrorMessage="1" errorStyle="stop" errorTitle="Invalid Time" error="Enter time as HH:MM (e.g. 09:30) or leave blank" sqref="I38">
      <formula1>OR(I38="",AND(LEN(I38)=5,MID(I38,3,1)=":",ISNUMBER(VALUE(LEFT(I38,2))),ISNUMBER(VALUE(RIGHT(I38,2))),VALUE(LEFT(I38,2))&lt;=23,VALUE(RIGHT(I38,2))&lt;=59))</formula1>
    </dataValidation>
    <dataValidation type="custom" showErrorMessage="1" errorStyle="stop" errorTitle="Invalid Time" error="Enter time as HH:MM (e.g. 09:30) or leave blank" sqref="I380">
      <formula1>OR(I380="",AND(LEN(I380)=5,MID(I380,3,1)=":",ISNUMBER(VALUE(LEFT(I380,2))),ISNUMBER(VALUE(RIGHT(I380,2))),VALUE(LEFT(I380,2))&lt;=23,VALUE(RIGHT(I380,2))&lt;=59))</formula1>
    </dataValidation>
    <dataValidation type="custom" showErrorMessage="1" errorStyle="stop" errorTitle="Invalid Time" error="Enter time as HH:MM (e.g. 09:30) or leave blank" sqref="I381">
      <formula1>OR(I381="",AND(LEN(I381)=5,MID(I381,3,1)=":",ISNUMBER(VALUE(LEFT(I381,2))),ISNUMBER(VALUE(RIGHT(I381,2))),VALUE(LEFT(I381,2))&lt;=23,VALUE(RIGHT(I381,2))&lt;=59))</formula1>
    </dataValidation>
    <dataValidation type="custom" showErrorMessage="1" errorStyle="stop" errorTitle="Invalid Time" error="Enter time as HH:MM (e.g. 09:30) or leave blank" sqref="I382">
      <formula1>OR(I382="",AND(LEN(I382)=5,MID(I382,3,1)=":",ISNUMBER(VALUE(LEFT(I382,2))),ISNUMBER(VALUE(RIGHT(I382,2))),VALUE(LEFT(I382,2))&lt;=23,VALUE(RIGHT(I382,2))&lt;=59))</formula1>
    </dataValidation>
    <dataValidation type="custom" showErrorMessage="1" errorStyle="stop" errorTitle="Invalid Time" error="Enter time as HH:MM (e.g. 09:30) or leave blank" sqref="I383">
      <formula1>OR(I383="",AND(LEN(I383)=5,MID(I383,3,1)=":",ISNUMBER(VALUE(LEFT(I383,2))),ISNUMBER(VALUE(RIGHT(I383,2))),VALUE(LEFT(I383,2))&lt;=23,VALUE(RIGHT(I383,2))&lt;=59))</formula1>
    </dataValidation>
    <dataValidation type="custom" showErrorMessage="1" errorStyle="stop" errorTitle="Invalid Time" error="Enter time as HH:MM (e.g. 09:30) or leave blank" sqref="I384">
      <formula1>OR(I384="",AND(LEN(I384)=5,MID(I384,3,1)=":",ISNUMBER(VALUE(LEFT(I384,2))),ISNUMBER(VALUE(RIGHT(I384,2))),VALUE(LEFT(I384,2))&lt;=23,VALUE(RIGHT(I384,2))&lt;=59))</formula1>
    </dataValidation>
    <dataValidation type="custom" showErrorMessage="1" errorStyle="stop" errorTitle="Invalid Time" error="Enter time as HH:MM (e.g. 09:30) or leave blank" sqref="I385">
      <formula1>OR(I385="",AND(LEN(I385)=5,MID(I385,3,1)=":",ISNUMBER(VALUE(LEFT(I385,2))),ISNUMBER(VALUE(RIGHT(I385,2))),VALUE(LEFT(I385,2))&lt;=23,VALUE(RIGHT(I385,2))&lt;=59))</formula1>
    </dataValidation>
    <dataValidation type="custom" showErrorMessage="1" errorStyle="stop" errorTitle="Invalid Time" error="Enter time as HH:MM (e.g. 09:30) or leave blank" sqref="I386">
      <formula1>OR(I386="",AND(LEN(I386)=5,MID(I386,3,1)=":",ISNUMBER(VALUE(LEFT(I386,2))),ISNUMBER(VALUE(RIGHT(I386,2))),VALUE(LEFT(I386,2))&lt;=23,VALUE(RIGHT(I386,2))&lt;=59))</formula1>
    </dataValidation>
    <dataValidation type="custom" showErrorMessage="1" errorStyle="stop" errorTitle="Invalid Time" error="Enter time as HH:MM (e.g. 09:30) or leave blank" sqref="I387">
      <formula1>OR(I387="",AND(LEN(I387)=5,MID(I387,3,1)=":",ISNUMBER(VALUE(LEFT(I387,2))),ISNUMBER(VALUE(RIGHT(I387,2))),VALUE(LEFT(I387,2))&lt;=23,VALUE(RIGHT(I387,2))&lt;=59))</formula1>
    </dataValidation>
    <dataValidation type="custom" showErrorMessage="1" errorStyle="stop" errorTitle="Invalid Time" error="Enter time as HH:MM (e.g. 09:30) or leave blank" sqref="I388">
      <formula1>OR(I388="",AND(LEN(I388)=5,MID(I388,3,1)=":",ISNUMBER(VALUE(LEFT(I388,2))),ISNUMBER(VALUE(RIGHT(I388,2))),VALUE(LEFT(I388,2))&lt;=23,VALUE(RIGHT(I388,2))&lt;=59))</formula1>
    </dataValidation>
    <dataValidation type="custom" showErrorMessage="1" errorStyle="stop" errorTitle="Invalid Time" error="Enter time as HH:MM (e.g. 09:30) or leave blank" sqref="I389">
      <formula1>OR(I389="",AND(LEN(I389)=5,MID(I389,3,1)=":",ISNUMBER(VALUE(LEFT(I389,2))),ISNUMBER(VALUE(RIGHT(I389,2))),VALUE(LEFT(I389,2))&lt;=23,VALUE(RIGHT(I389,2))&lt;=59))</formula1>
    </dataValidation>
    <dataValidation type="custom" showErrorMessage="1" errorStyle="stop" errorTitle="Invalid Time" error="Enter time as HH:MM (e.g. 09:30) or leave blank" sqref="I39">
      <formula1>OR(I39="",AND(LEN(I39)=5,MID(I39,3,1)=":",ISNUMBER(VALUE(LEFT(I39,2))),ISNUMBER(VALUE(RIGHT(I39,2))),VALUE(LEFT(I39,2))&lt;=23,VALUE(RIGHT(I39,2))&lt;=59))</formula1>
    </dataValidation>
    <dataValidation type="custom" showErrorMessage="1" errorStyle="stop" errorTitle="Invalid Time" error="Enter time as HH:MM (e.g. 09:30) or leave blank" sqref="I390">
      <formula1>OR(I390="",AND(LEN(I390)=5,MID(I390,3,1)=":",ISNUMBER(VALUE(LEFT(I390,2))),ISNUMBER(VALUE(RIGHT(I390,2))),VALUE(LEFT(I390,2))&lt;=23,VALUE(RIGHT(I390,2))&lt;=59))</formula1>
    </dataValidation>
    <dataValidation type="custom" showErrorMessage="1" errorStyle="stop" errorTitle="Invalid Time" error="Enter time as HH:MM (e.g. 09:30) or leave blank" sqref="I391">
      <formula1>OR(I391="",AND(LEN(I391)=5,MID(I391,3,1)=":",ISNUMBER(VALUE(LEFT(I391,2))),ISNUMBER(VALUE(RIGHT(I391,2))),VALUE(LEFT(I391,2))&lt;=23,VALUE(RIGHT(I391,2))&lt;=59))</formula1>
    </dataValidation>
    <dataValidation type="custom" showErrorMessage="1" errorStyle="stop" errorTitle="Invalid Time" error="Enter time as HH:MM (e.g. 09:30) or leave blank" sqref="I392">
      <formula1>OR(I392="",AND(LEN(I392)=5,MID(I392,3,1)=":",ISNUMBER(VALUE(LEFT(I392,2))),ISNUMBER(VALUE(RIGHT(I392,2))),VALUE(LEFT(I392,2))&lt;=23,VALUE(RIGHT(I392,2))&lt;=59))</formula1>
    </dataValidation>
    <dataValidation type="custom" showErrorMessage="1" errorStyle="stop" errorTitle="Invalid Time" error="Enter time as HH:MM (e.g. 09:30) or leave blank" sqref="I393">
      <formula1>OR(I393="",AND(LEN(I393)=5,MID(I393,3,1)=":",ISNUMBER(VALUE(LEFT(I393,2))),ISNUMBER(VALUE(RIGHT(I393,2))),VALUE(LEFT(I393,2))&lt;=23,VALUE(RIGHT(I393,2))&lt;=59))</formula1>
    </dataValidation>
    <dataValidation type="custom" showErrorMessage="1" errorStyle="stop" errorTitle="Invalid Time" error="Enter time as HH:MM (e.g. 09:30) or leave blank" sqref="I394">
      <formula1>OR(I394="",AND(LEN(I394)=5,MID(I394,3,1)=":",ISNUMBER(VALUE(LEFT(I394,2))),ISNUMBER(VALUE(RIGHT(I394,2))),VALUE(LEFT(I394,2))&lt;=23,VALUE(RIGHT(I394,2))&lt;=59))</formula1>
    </dataValidation>
    <dataValidation type="custom" showErrorMessage="1" errorStyle="stop" errorTitle="Invalid Time" error="Enter time as HH:MM (e.g. 09:30) or leave blank" sqref="I395">
      <formula1>OR(I395="",AND(LEN(I395)=5,MID(I395,3,1)=":",ISNUMBER(VALUE(LEFT(I395,2))),ISNUMBER(VALUE(RIGHT(I395,2))),VALUE(LEFT(I395,2))&lt;=23,VALUE(RIGHT(I395,2))&lt;=59))</formula1>
    </dataValidation>
    <dataValidation type="custom" showErrorMessage="1" errorStyle="stop" errorTitle="Invalid Time" error="Enter time as HH:MM (e.g. 09:30) or leave blank" sqref="I396">
      <formula1>OR(I396="",AND(LEN(I396)=5,MID(I396,3,1)=":",ISNUMBER(VALUE(LEFT(I396,2))),ISNUMBER(VALUE(RIGHT(I396,2))),VALUE(LEFT(I396,2))&lt;=23,VALUE(RIGHT(I396,2))&lt;=59))</formula1>
    </dataValidation>
    <dataValidation type="custom" showErrorMessage="1" errorStyle="stop" errorTitle="Invalid Time" error="Enter time as HH:MM (e.g. 09:30) or leave blank" sqref="I397">
      <formula1>OR(I397="",AND(LEN(I397)=5,MID(I397,3,1)=":",ISNUMBER(VALUE(LEFT(I397,2))),ISNUMBER(VALUE(RIGHT(I397,2))),VALUE(LEFT(I397,2))&lt;=23,VALUE(RIGHT(I397,2))&lt;=59))</formula1>
    </dataValidation>
    <dataValidation type="custom" showErrorMessage="1" errorStyle="stop" errorTitle="Invalid Time" error="Enter time as HH:MM (e.g. 09:30) or leave blank" sqref="I398">
      <formula1>OR(I398="",AND(LEN(I398)=5,MID(I398,3,1)=":",ISNUMBER(VALUE(LEFT(I398,2))),ISNUMBER(VALUE(RIGHT(I398,2))),VALUE(LEFT(I398,2))&lt;=23,VALUE(RIGHT(I398,2))&lt;=59))</formula1>
    </dataValidation>
    <dataValidation type="custom" showErrorMessage="1" errorStyle="stop" errorTitle="Invalid Time" error="Enter time as HH:MM (e.g. 09:30) or leave blank" sqref="I399">
      <formula1>OR(I399="",AND(LEN(I399)=5,MID(I399,3,1)=":",ISNUMBER(VALUE(LEFT(I399,2))),ISNUMBER(VALUE(RIGHT(I399,2))),VALUE(LEFT(I399,2))&lt;=23,VALUE(RIGHT(I399,2))&lt;=59))</formula1>
    </dataValidation>
    <dataValidation type="custom" showErrorMessage="1" errorStyle="stop" errorTitle="Invalid Time" error="Enter time as HH:MM (e.g. 09:30) or leave blank" sqref="I4">
      <formula1>OR(I4="",AND(LEN(I4)=5,MID(I4,3,1)=":",ISNUMBER(VALUE(LEFT(I4,2))),ISNUMBER(VALUE(RIGHT(I4,2))),VALUE(LEFT(I4,2))&lt;=23,VALUE(RIGHT(I4,2))&lt;=59))</formula1>
    </dataValidation>
    <dataValidation type="custom" showErrorMessage="1" errorStyle="stop" errorTitle="Invalid Time" error="Enter time as HH:MM (e.g. 09:30) or leave blank" sqref="I40">
      <formula1>OR(I40="",AND(LEN(I40)=5,MID(I40,3,1)=":",ISNUMBER(VALUE(LEFT(I40,2))),ISNUMBER(VALUE(RIGHT(I40,2))),VALUE(LEFT(I40,2))&lt;=23,VALUE(RIGHT(I40,2))&lt;=59))</formula1>
    </dataValidation>
    <dataValidation type="custom" showErrorMessage="1" errorStyle="stop" errorTitle="Invalid Time" error="Enter time as HH:MM (e.g. 09:30) or leave blank" sqref="I400">
      <formula1>OR(I400="",AND(LEN(I400)=5,MID(I400,3,1)=":",ISNUMBER(VALUE(LEFT(I400,2))),ISNUMBER(VALUE(RIGHT(I400,2))),VALUE(LEFT(I400,2))&lt;=23,VALUE(RIGHT(I400,2))&lt;=59))</formula1>
    </dataValidation>
    <dataValidation type="custom" showErrorMessage="1" errorStyle="stop" errorTitle="Invalid Time" error="Enter time as HH:MM (e.g. 09:30) or leave blank" sqref="I401">
      <formula1>OR(I401="",AND(LEN(I401)=5,MID(I401,3,1)=":",ISNUMBER(VALUE(LEFT(I401,2))),ISNUMBER(VALUE(RIGHT(I401,2))),VALUE(LEFT(I401,2))&lt;=23,VALUE(RIGHT(I401,2))&lt;=59))</formula1>
    </dataValidation>
    <dataValidation type="custom" showErrorMessage="1" errorStyle="stop" errorTitle="Invalid Time" error="Enter time as HH:MM (e.g. 09:30) or leave blank" sqref="I402">
      <formula1>OR(I402="",AND(LEN(I402)=5,MID(I402,3,1)=":",ISNUMBER(VALUE(LEFT(I402,2))),ISNUMBER(VALUE(RIGHT(I402,2))),VALUE(LEFT(I402,2))&lt;=23,VALUE(RIGHT(I402,2))&lt;=59))</formula1>
    </dataValidation>
    <dataValidation type="custom" showErrorMessage="1" errorStyle="stop" errorTitle="Invalid Time" error="Enter time as HH:MM (e.g. 09:30) or leave blank" sqref="I403">
      <formula1>OR(I403="",AND(LEN(I403)=5,MID(I403,3,1)=":",ISNUMBER(VALUE(LEFT(I403,2))),ISNUMBER(VALUE(RIGHT(I403,2))),VALUE(LEFT(I403,2))&lt;=23,VALUE(RIGHT(I403,2))&lt;=59))</formula1>
    </dataValidation>
    <dataValidation type="custom" showErrorMessage="1" errorStyle="stop" errorTitle="Invalid Time" error="Enter time as HH:MM (e.g. 09:30) or leave blank" sqref="I404">
      <formula1>OR(I404="",AND(LEN(I404)=5,MID(I404,3,1)=":",ISNUMBER(VALUE(LEFT(I404,2))),ISNUMBER(VALUE(RIGHT(I404,2))),VALUE(LEFT(I404,2))&lt;=23,VALUE(RIGHT(I404,2))&lt;=59))</formula1>
    </dataValidation>
    <dataValidation type="custom" showErrorMessage="1" errorStyle="stop" errorTitle="Invalid Time" error="Enter time as HH:MM (e.g. 09:30) or leave blank" sqref="I405">
      <formula1>OR(I405="",AND(LEN(I405)=5,MID(I405,3,1)=":",ISNUMBER(VALUE(LEFT(I405,2))),ISNUMBER(VALUE(RIGHT(I405,2))),VALUE(LEFT(I405,2))&lt;=23,VALUE(RIGHT(I405,2))&lt;=59))</formula1>
    </dataValidation>
    <dataValidation type="custom" showErrorMessage="1" errorStyle="stop" errorTitle="Invalid Time" error="Enter time as HH:MM (e.g. 09:30) or leave blank" sqref="I406">
      <formula1>OR(I406="",AND(LEN(I406)=5,MID(I406,3,1)=":",ISNUMBER(VALUE(LEFT(I406,2))),ISNUMBER(VALUE(RIGHT(I406,2))),VALUE(LEFT(I406,2))&lt;=23,VALUE(RIGHT(I406,2))&lt;=59))</formula1>
    </dataValidation>
    <dataValidation type="custom" showErrorMessage="1" errorStyle="stop" errorTitle="Invalid Time" error="Enter time as HH:MM (e.g. 09:30) or leave blank" sqref="I407">
      <formula1>OR(I407="",AND(LEN(I407)=5,MID(I407,3,1)=":",ISNUMBER(VALUE(LEFT(I407,2))),ISNUMBER(VALUE(RIGHT(I407,2))),VALUE(LEFT(I407,2))&lt;=23,VALUE(RIGHT(I407,2))&lt;=59))</formula1>
    </dataValidation>
    <dataValidation type="custom" showErrorMessage="1" errorStyle="stop" errorTitle="Invalid Time" error="Enter time as HH:MM (e.g. 09:30) or leave blank" sqref="I408">
      <formula1>OR(I408="",AND(LEN(I408)=5,MID(I408,3,1)=":",ISNUMBER(VALUE(LEFT(I408,2))),ISNUMBER(VALUE(RIGHT(I408,2))),VALUE(LEFT(I408,2))&lt;=23,VALUE(RIGHT(I408,2))&lt;=59))</formula1>
    </dataValidation>
    <dataValidation type="custom" showErrorMessage="1" errorStyle="stop" errorTitle="Invalid Time" error="Enter time as HH:MM (e.g. 09:30) or leave blank" sqref="I409">
      <formula1>OR(I409="",AND(LEN(I409)=5,MID(I409,3,1)=":",ISNUMBER(VALUE(LEFT(I409,2))),ISNUMBER(VALUE(RIGHT(I409,2))),VALUE(LEFT(I409,2))&lt;=23,VALUE(RIGHT(I409,2))&lt;=59))</formula1>
    </dataValidation>
    <dataValidation type="custom" showErrorMessage="1" errorStyle="stop" errorTitle="Invalid Time" error="Enter time as HH:MM (e.g. 09:30) or leave blank" sqref="I41">
      <formula1>OR(I41="",AND(LEN(I41)=5,MID(I41,3,1)=":",ISNUMBER(VALUE(LEFT(I41,2))),ISNUMBER(VALUE(RIGHT(I41,2))),VALUE(LEFT(I41,2))&lt;=23,VALUE(RIGHT(I41,2))&lt;=59))</formula1>
    </dataValidation>
    <dataValidation type="custom" showErrorMessage="1" errorStyle="stop" errorTitle="Invalid Time" error="Enter time as HH:MM (e.g. 09:30) or leave blank" sqref="I410">
      <formula1>OR(I410="",AND(LEN(I410)=5,MID(I410,3,1)=":",ISNUMBER(VALUE(LEFT(I410,2))),ISNUMBER(VALUE(RIGHT(I410,2))),VALUE(LEFT(I410,2))&lt;=23,VALUE(RIGHT(I410,2))&lt;=59))</formula1>
    </dataValidation>
    <dataValidation type="custom" showErrorMessage="1" errorStyle="stop" errorTitle="Invalid Time" error="Enter time as HH:MM (e.g. 09:30) or leave blank" sqref="I411">
      <formula1>OR(I411="",AND(LEN(I411)=5,MID(I411,3,1)=":",ISNUMBER(VALUE(LEFT(I411,2))),ISNUMBER(VALUE(RIGHT(I411,2))),VALUE(LEFT(I411,2))&lt;=23,VALUE(RIGHT(I411,2))&lt;=59))</formula1>
    </dataValidation>
    <dataValidation type="custom" showErrorMessage="1" errorStyle="stop" errorTitle="Invalid Time" error="Enter time as HH:MM (e.g. 09:30) or leave blank" sqref="I412">
      <formula1>OR(I412="",AND(LEN(I412)=5,MID(I412,3,1)=":",ISNUMBER(VALUE(LEFT(I412,2))),ISNUMBER(VALUE(RIGHT(I412,2))),VALUE(LEFT(I412,2))&lt;=23,VALUE(RIGHT(I412,2))&lt;=59))</formula1>
    </dataValidation>
    <dataValidation type="custom" showErrorMessage="1" errorStyle="stop" errorTitle="Invalid Time" error="Enter time as HH:MM (e.g. 09:30) or leave blank" sqref="I413">
      <formula1>OR(I413="",AND(LEN(I413)=5,MID(I413,3,1)=":",ISNUMBER(VALUE(LEFT(I413,2))),ISNUMBER(VALUE(RIGHT(I413,2))),VALUE(LEFT(I413,2))&lt;=23,VALUE(RIGHT(I413,2))&lt;=59))</formula1>
    </dataValidation>
    <dataValidation type="custom" showErrorMessage="1" errorStyle="stop" errorTitle="Invalid Time" error="Enter time as HH:MM (e.g. 09:30) or leave blank" sqref="I414">
      <formula1>OR(I414="",AND(LEN(I414)=5,MID(I414,3,1)=":",ISNUMBER(VALUE(LEFT(I414,2))),ISNUMBER(VALUE(RIGHT(I414,2))),VALUE(LEFT(I414,2))&lt;=23,VALUE(RIGHT(I414,2))&lt;=59))</formula1>
    </dataValidation>
    <dataValidation type="custom" showErrorMessage="1" errorStyle="stop" errorTitle="Invalid Time" error="Enter time as HH:MM (e.g. 09:30) or leave blank" sqref="I415">
      <formula1>OR(I415="",AND(LEN(I415)=5,MID(I415,3,1)=":",ISNUMBER(VALUE(LEFT(I415,2))),ISNUMBER(VALUE(RIGHT(I415,2))),VALUE(LEFT(I415,2))&lt;=23,VALUE(RIGHT(I415,2))&lt;=59))</formula1>
    </dataValidation>
    <dataValidation type="custom" showErrorMessage="1" errorStyle="stop" errorTitle="Invalid Time" error="Enter time as HH:MM (e.g. 09:30) or leave blank" sqref="I416">
      <formula1>OR(I416="",AND(LEN(I416)=5,MID(I416,3,1)=":",ISNUMBER(VALUE(LEFT(I416,2))),ISNUMBER(VALUE(RIGHT(I416,2))),VALUE(LEFT(I416,2))&lt;=23,VALUE(RIGHT(I416,2))&lt;=59))</formula1>
    </dataValidation>
    <dataValidation type="custom" showErrorMessage="1" errorStyle="stop" errorTitle="Invalid Time" error="Enter time as HH:MM (e.g. 09:30) or leave blank" sqref="I417">
      <formula1>OR(I417="",AND(LEN(I417)=5,MID(I417,3,1)=":",ISNUMBER(VALUE(LEFT(I417,2))),ISNUMBER(VALUE(RIGHT(I417,2))),VALUE(LEFT(I417,2))&lt;=23,VALUE(RIGHT(I417,2))&lt;=59))</formula1>
    </dataValidation>
    <dataValidation type="custom" showErrorMessage="1" errorStyle="stop" errorTitle="Invalid Time" error="Enter time as HH:MM (e.g. 09:30) or leave blank" sqref="I418">
      <formula1>OR(I418="",AND(LEN(I418)=5,MID(I418,3,1)=":",ISNUMBER(VALUE(LEFT(I418,2))),ISNUMBER(VALUE(RIGHT(I418,2))),VALUE(LEFT(I418,2))&lt;=23,VALUE(RIGHT(I418,2))&lt;=59))</formula1>
    </dataValidation>
    <dataValidation type="custom" showErrorMessage="1" errorStyle="stop" errorTitle="Invalid Time" error="Enter time as HH:MM (e.g. 09:30) or leave blank" sqref="I419">
      <formula1>OR(I419="",AND(LEN(I419)=5,MID(I419,3,1)=":",ISNUMBER(VALUE(LEFT(I419,2))),ISNUMBER(VALUE(RIGHT(I419,2))),VALUE(LEFT(I419,2))&lt;=23,VALUE(RIGHT(I419,2))&lt;=59))</formula1>
    </dataValidation>
    <dataValidation type="custom" showErrorMessage="1" errorStyle="stop" errorTitle="Invalid Time" error="Enter time as HH:MM (e.g. 09:30) or leave blank" sqref="I42">
      <formula1>OR(I42="",AND(LEN(I42)=5,MID(I42,3,1)=":",ISNUMBER(VALUE(LEFT(I42,2))),ISNUMBER(VALUE(RIGHT(I42,2))),VALUE(LEFT(I42,2))&lt;=23,VALUE(RIGHT(I42,2))&lt;=59))</formula1>
    </dataValidation>
    <dataValidation type="custom" showErrorMessage="1" errorStyle="stop" errorTitle="Invalid Time" error="Enter time as HH:MM (e.g. 09:30) or leave blank" sqref="I420">
      <formula1>OR(I420="",AND(LEN(I420)=5,MID(I420,3,1)=":",ISNUMBER(VALUE(LEFT(I420,2))),ISNUMBER(VALUE(RIGHT(I420,2))),VALUE(LEFT(I420,2))&lt;=23,VALUE(RIGHT(I420,2))&lt;=59))</formula1>
    </dataValidation>
    <dataValidation type="custom" showErrorMessage="1" errorStyle="stop" errorTitle="Invalid Time" error="Enter time as HH:MM (e.g. 09:30) or leave blank" sqref="I421">
      <formula1>OR(I421="",AND(LEN(I421)=5,MID(I421,3,1)=":",ISNUMBER(VALUE(LEFT(I421,2))),ISNUMBER(VALUE(RIGHT(I421,2))),VALUE(LEFT(I421,2))&lt;=23,VALUE(RIGHT(I421,2))&lt;=59))</formula1>
    </dataValidation>
    <dataValidation type="custom" showErrorMessage="1" errorStyle="stop" errorTitle="Invalid Time" error="Enter time as HH:MM (e.g. 09:30) or leave blank" sqref="I422">
      <formula1>OR(I422="",AND(LEN(I422)=5,MID(I422,3,1)=":",ISNUMBER(VALUE(LEFT(I422,2))),ISNUMBER(VALUE(RIGHT(I422,2))),VALUE(LEFT(I422,2))&lt;=23,VALUE(RIGHT(I422,2))&lt;=59))</formula1>
    </dataValidation>
    <dataValidation type="custom" showErrorMessage="1" errorStyle="stop" errorTitle="Invalid Time" error="Enter time as HH:MM (e.g. 09:30) or leave blank" sqref="I423">
      <formula1>OR(I423="",AND(LEN(I423)=5,MID(I423,3,1)=":",ISNUMBER(VALUE(LEFT(I423,2))),ISNUMBER(VALUE(RIGHT(I423,2))),VALUE(LEFT(I423,2))&lt;=23,VALUE(RIGHT(I423,2))&lt;=59))</formula1>
    </dataValidation>
    <dataValidation type="custom" showErrorMessage="1" errorStyle="stop" errorTitle="Invalid Time" error="Enter time as HH:MM (e.g. 09:30) or leave blank" sqref="I424">
      <formula1>OR(I424="",AND(LEN(I424)=5,MID(I424,3,1)=":",ISNUMBER(VALUE(LEFT(I424,2))),ISNUMBER(VALUE(RIGHT(I424,2))),VALUE(LEFT(I424,2))&lt;=23,VALUE(RIGHT(I424,2))&lt;=59))</formula1>
    </dataValidation>
    <dataValidation type="custom" showErrorMessage="1" errorStyle="stop" errorTitle="Invalid Time" error="Enter time as HH:MM (e.g. 09:30) or leave blank" sqref="I425">
      <formula1>OR(I425="",AND(LEN(I425)=5,MID(I425,3,1)=":",ISNUMBER(VALUE(LEFT(I425,2))),ISNUMBER(VALUE(RIGHT(I425,2))),VALUE(LEFT(I425,2))&lt;=23,VALUE(RIGHT(I425,2))&lt;=59))</formula1>
    </dataValidation>
    <dataValidation type="custom" showErrorMessage="1" errorStyle="stop" errorTitle="Invalid Time" error="Enter time as HH:MM (e.g. 09:30) or leave blank" sqref="I426">
      <formula1>OR(I426="",AND(LEN(I426)=5,MID(I426,3,1)=":",ISNUMBER(VALUE(LEFT(I426,2))),ISNUMBER(VALUE(RIGHT(I426,2))),VALUE(LEFT(I426,2))&lt;=23,VALUE(RIGHT(I426,2))&lt;=59))</formula1>
    </dataValidation>
    <dataValidation type="custom" showErrorMessage="1" errorStyle="stop" errorTitle="Invalid Time" error="Enter time as HH:MM (e.g. 09:30) or leave blank" sqref="I427">
      <formula1>OR(I427="",AND(LEN(I427)=5,MID(I427,3,1)=":",ISNUMBER(VALUE(LEFT(I427,2))),ISNUMBER(VALUE(RIGHT(I427,2))),VALUE(LEFT(I427,2))&lt;=23,VALUE(RIGHT(I427,2))&lt;=59))</formula1>
    </dataValidation>
    <dataValidation type="custom" showErrorMessage="1" errorStyle="stop" errorTitle="Invalid Time" error="Enter time as HH:MM (e.g. 09:30) or leave blank" sqref="I428">
      <formula1>OR(I428="",AND(LEN(I428)=5,MID(I428,3,1)=":",ISNUMBER(VALUE(LEFT(I428,2))),ISNUMBER(VALUE(RIGHT(I428,2))),VALUE(LEFT(I428,2))&lt;=23,VALUE(RIGHT(I428,2))&lt;=59))</formula1>
    </dataValidation>
    <dataValidation type="custom" showErrorMessage="1" errorStyle="stop" errorTitle="Invalid Time" error="Enter time as HH:MM (e.g. 09:30) or leave blank" sqref="I429">
      <formula1>OR(I429="",AND(LEN(I429)=5,MID(I429,3,1)=":",ISNUMBER(VALUE(LEFT(I429,2))),ISNUMBER(VALUE(RIGHT(I429,2))),VALUE(LEFT(I429,2))&lt;=23,VALUE(RIGHT(I429,2))&lt;=59))</formula1>
    </dataValidation>
    <dataValidation type="custom" showErrorMessage="1" errorStyle="stop" errorTitle="Invalid Time" error="Enter time as HH:MM (e.g. 09:30) or leave blank" sqref="I43">
      <formula1>OR(I43="",AND(LEN(I43)=5,MID(I43,3,1)=":",ISNUMBER(VALUE(LEFT(I43,2))),ISNUMBER(VALUE(RIGHT(I43,2))),VALUE(LEFT(I43,2))&lt;=23,VALUE(RIGHT(I43,2))&lt;=59))</formula1>
    </dataValidation>
    <dataValidation type="custom" showErrorMessage="1" errorStyle="stop" errorTitle="Invalid Time" error="Enter time as HH:MM (e.g. 09:30) or leave blank" sqref="I430">
      <formula1>OR(I430="",AND(LEN(I430)=5,MID(I430,3,1)=":",ISNUMBER(VALUE(LEFT(I430,2))),ISNUMBER(VALUE(RIGHT(I430,2))),VALUE(LEFT(I430,2))&lt;=23,VALUE(RIGHT(I430,2))&lt;=59))</formula1>
    </dataValidation>
    <dataValidation type="custom" showErrorMessage="1" errorStyle="stop" errorTitle="Invalid Time" error="Enter time as HH:MM (e.g. 09:30) or leave blank" sqref="I431">
      <formula1>OR(I431="",AND(LEN(I431)=5,MID(I431,3,1)=":",ISNUMBER(VALUE(LEFT(I431,2))),ISNUMBER(VALUE(RIGHT(I431,2))),VALUE(LEFT(I431,2))&lt;=23,VALUE(RIGHT(I431,2))&lt;=59))</formula1>
    </dataValidation>
    <dataValidation type="custom" showErrorMessage="1" errorStyle="stop" errorTitle="Invalid Time" error="Enter time as HH:MM (e.g. 09:30) or leave blank" sqref="I432">
      <formula1>OR(I432="",AND(LEN(I432)=5,MID(I432,3,1)=":",ISNUMBER(VALUE(LEFT(I432,2))),ISNUMBER(VALUE(RIGHT(I432,2))),VALUE(LEFT(I432,2))&lt;=23,VALUE(RIGHT(I432,2))&lt;=59))</formula1>
    </dataValidation>
    <dataValidation type="custom" showErrorMessage="1" errorStyle="stop" errorTitle="Invalid Time" error="Enter time as HH:MM (e.g. 09:30) or leave blank" sqref="I433">
      <formula1>OR(I433="",AND(LEN(I433)=5,MID(I433,3,1)=":",ISNUMBER(VALUE(LEFT(I433,2))),ISNUMBER(VALUE(RIGHT(I433,2))),VALUE(LEFT(I433,2))&lt;=23,VALUE(RIGHT(I433,2))&lt;=59))</formula1>
    </dataValidation>
    <dataValidation type="custom" showErrorMessage="1" errorStyle="stop" errorTitle="Invalid Time" error="Enter time as HH:MM (e.g. 09:30) or leave blank" sqref="I434">
      <formula1>OR(I434="",AND(LEN(I434)=5,MID(I434,3,1)=":",ISNUMBER(VALUE(LEFT(I434,2))),ISNUMBER(VALUE(RIGHT(I434,2))),VALUE(LEFT(I434,2))&lt;=23,VALUE(RIGHT(I434,2))&lt;=59))</formula1>
    </dataValidation>
    <dataValidation type="custom" showErrorMessage="1" errorStyle="stop" errorTitle="Invalid Time" error="Enter time as HH:MM (e.g. 09:30) or leave blank" sqref="I435">
      <formula1>OR(I435="",AND(LEN(I435)=5,MID(I435,3,1)=":",ISNUMBER(VALUE(LEFT(I435,2))),ISNUMBER(VALUE(RIGHT(I435,2))),VALUE(LEFT(I435,2))&lt;=23,VALUE(RIGHT(I435,2))&lt;=59))</formula1>
    </dataValidation>
    <dataValidation type="custom" showErrorMessage="1" errorStyle="stop" errorTitle="Invalid Time" error="Enter time as HH:MM (e.g. 09:30) or leave blank" sqref="I436">
      <formula1>OR(I436="",AND(LEN(I436)=5,MID(I436,3,1)=":",ISNUMBER(VALUE(LEFT(I436,2))),ISNUMBER(VALUE(RIGHT(I436,2))),VALUE(LEFT(I436,2))&lt;=23,VALUE(RIGHT(I436,2))&lt;=59))</formula1>
    </dataValidation>
    <dataValidation type="custom" showErrorMessage="1" errorStyle="stop" errorTitle="Invalid Time" error="Enter time as HH:MM (e.g. 09:30) or leave blank" sqref="I437">
      <formula1>OR(I437="",AND(LEN(I437)=5,MID(I437,3,1)=":",ISNUMBER(VALUE(LEFT(I437,2))),ISNUMBER(VALUE(RIGHT(I437,2))),VALUE(LEFT(I437,2))&lt;=23,VALUE(RIGHT(I437,2))&lt;=59))</formula1>
    </dataValidation>
    <dataValidation type="custom" showErrorMessage="1" errorStyle="stop" errorTitle="Invalid Time" error="Enter time as HH:MM (e.g. 09:30) or leave blank" sqref="I438">
      <formula1>OR(I438="",AND(LEN(I438)=5,MID(I438,3,1)=":",ISNUMBER(VALUE(LEFT(I438,2))),ISNUMBER(VALUE(RIGHT(I438,2))),VALUE(LEFT(I438,2))&lt;=23,VALUE(RIGHT(I438,2))&lt;=59))</formula1>
    </dataValidation>
    <dataValidation type="custom" showErrorMessage="1" errorStyle="stop" errorTitle="Invalid Time" error="Enter time as HH:MM (e.g. 09:30) or leave blank" sqref="I439">
      <formula1>OR(I439="",AND(LEN(I439)=5,MID(I439,3,1)=":",ISNUMBER(VALUE(LEFT(I439,2))),ISNUMBER(VALUE(RIGHT(I439,2))),VALUE(LEFT(I439,2))&lt;=23,VALUE(RIGHT(I439,2))&lt;=59))</formula1>
    </dataValidation>
    <dataValidation type="custom" showErrorMessage="1" errorStyle="stop" errorTitle="Invalid Time" error="Enter time as HH:MM (e.g. 09:30) or leave blank" sqref="I44">
      <formula1>OR(I44="",AND(LEN(I44)=5,MID(I44,3,1)=":",ISNUMBER(VALUE(LEFT(I44,2))),ISNUMBER(VALUE(RIGHT(I44,2))),VALUE(LEFT(I44,2))&lt;=23,VALUE(RIGHT(I44,2))&lt;=59))</formula1>
    </dataValidation>
    <dataValidation type="custom" showErrorMessage="1" errorStyle="stop" errorTitle="Invalid Time" error="Enter time as HH:MM (e.g. 09:30) or leave blank" sqref="I440">
      <formula1>OR(I440="",AND(LEN(I440)=5,MID(I440,3,1)=":",ISNUMBER(VALUE(LEFT(I440,2))),ISNUMBER(VALUE(RIGHT(I440,2))),VALUE(LEFT(I440,2))&lt;=23,VALUE(RIGHT(I440,2))&lt;=59))</formula1>
    </dataValidation>
    <dataValidation type="custom" showErrorMessage="1" errorStyle="stop" errorTitle="Invalid Time" error="Enter time as HH:MM (e.g. 09:30) or leave blank" sqref="I441">
      <formula1>OR(I441="",AND(LEN(I441)=5,MID(I441,3,1)=":",ISNUMBER(VALUE(LEFT(I441,2))),ISNUMBER(VALUE(RIGHT(I441,2))),VALUE(LEFT(I441,2))&lt;=23,VALUE(RIGHT(I441,2))&lt;=59))</formula1>
    </dataValidation>
    <dataValidation type="custom" showErrorMessage="1" errorStyle="stop" errorTitle="Invalid Time" error="Enter time as HH:MM (e.g. 09:30) or leave blank" sqref="I442">
      <formula1>OR(I442="",AND(LEN(I442)=5,MID(I442,3,1)=":",ISNUMBER(VALUE(LEFT(I442,2))),ISNUMBER(VALUE(RIGHT(I442,2))),VALUE(LEFT(I442,2))&lt;=23,VALUE(RIGHT(I442,2))&lt;=59))</formula1>
    </dataValidation>
    <dataValidation type="custom" showErrorMessage="1" errorStyle="stop" errorTitle="Invalid Time" error="Enter time as HH:MM (e.g. 09:30) or leave blank" sqref="I443">
      <formula1>OR(I443="",AND(LEN(I443)=5,MID(I443,3,1)=":",ISNUMBER(VALUE(LEFT(I443,2))),ISNUMBER(VALUE(RIGHT(I443,2))),VALUE(LEFT(I443,2))&lt;=23,VALUE(RIGHT(I443,2))&lt;=59))</formula1>
    </dataValidation>
    <dataValidation type="custom" showErrorMessage="1" errorStyle="stop" errorTitle="Invalid Time" error="Enter time as HH:MM (e.g. 09:30) or leave blank" sqref="I444">
      <formula1>OR(I444="",AND(LEN(I444)=5,MID(I444,3,1)=":",ISNUMBER(VALUE(LEFT(I444,2))),ISNUMBER(VALUE(RIGHT(I444,2))),VALUE(LEFT(I444,2))&lt;=23,VALUE(RIGHT(I444,2))&lt;=59))</formula1>
    </dataValidation>
    <dataValidation type="custom" showErrorMessage="1" errorStyle="stop" errorTitle="Invalid Time" error="Enter time as HH:MM (e.g. 09:30) or leave blank" sqref="I445">
      <formula1>OR(I445="",AND(LEN(I445)=5,MID(I445,3,1)=":",ISNUMBER(VALUE(LEFT(I445,2))),ISNUMBER(VALUE(RIGHT(I445,2))),VALUE(LEFT(I445,2))&lt;=23,VALUE(RIGHT(I445,2))&lt;=59))</formula1>
    </dataValidation>
    <dataValidation type="custom" showErrorMessage="1" errorStyle="stop" errorTitle="Invalid Time" error="Enter time as HH:MM (e.g. 09:30) or leave blank" sqref="I446">
      <formula1>OR(I446="",AND(LEN(I446)=5,MID(I446,3,1)=":",ISNUMBER(VALUE(LEFT(I446,2))),ISNUMBER(VALUE(RIGHT(I446,2))),VALUE(LEFT(I446,2))&lt;=23,VALUE(RIGHT(I446,2))&lt;=59))</formula1>
    </dataValidation>
    <dataValidation type="custom" showErrorMessage="1" errorStyle="stop" errorTitle="Invalid Time" error="Enter time as HH:MM (e.g. 09:30) or leave blank" sqref="I447">
      <formula1>OR(I447="",AND(LEN(I447)=5,MID(I447,3,1)=":",ISNUMBER(VALUE(LEFT(I447,2))),ISNUMBER(VALUE(RIGHT(I447,2))),VALUE(LEFT(I447,2))&lt;=23,VALUE(RIGHT(I447,2))&lt;=59))</formula1>
    </dataValidation>
    <dataValidation type="custom" showErrorMessage="1" errorStyle="stop" errorTitle="Invalid Time" error="Enter time as HH:MM (e.g. 09:30) or leave blank" sqref="I448">
      <formula1>OR(I448="",AND(LEN(I448)=5,MID(I448,3,1)=":",ISNUMBER(VALUE(LEFT(I448,2))),ISNUMBER(VALUE(RIGHT(I448,2))),VALUE(LEFT(I448,2))&lt;=23,VALUE(RIGHT(I448,2))&lt;=59))</formula1>
    </dataValidation>
    <dataValidation type="custom" showErrorMessage="1" errorStyle="stop" errorTitle="Invalid Time" error="Enter time as HH:MM (e.g. 09:30) or leave blank" sqref="I449">
      <formula1>OR(I449="",AND(LEN(I449)=5,MID(I449,3,1)=":",ISNUMBER(VALUE(LEFT(I449,2))),ISNUMBER(VALUE(RIGHT(I449,2))),VALUE(LEFT(I449,2))&lt;=23,VALUE(RIGHT(I449,2))&lt;=59))</formula1>
    </dataValidation>
    <dataValidation type="custom" showErrorMessage="1" errorStyle="stop" errorTitle="Invalid Time" error="Enter time as HH:MM (e.g. 09:30) or leave blank" sqref="I45">
      <formula1>OR(I45="",AND(LEN(I45)=5,MID(I45,3,1)=":",ISNUMBER(VALUE(LEFT(I45,2))),ISNUMBER(VALUE(RIGHT(I45,2))),VALUE(LEFT(I45,2))&lt;=23,VALUE(RIGHT(I45,2))&lt;=59))</formula1>
    </dataValidation>
    <dataValidation type="custom" showErrorMessage="1" errorStyle="stop" errorTitle="Invalid Time" error="Enter time as HH:MM (e.g. 09:30) or leave blank" sqref="I450">
      <formula1>OR(I450="",AND(LEN(I450)=5,MID(I450,3,1)=":",ISNUMBER(VALUE(LEFT(I450,2))),ISNUMBER(VALUE(RIGHT(I450,2))),VALUE(LEFT(I450,2))&lt;=23,VALUE(RIGHT(I450,2))&lt;=59))</formula1>
    </dataValidation>
    <dataValidation type="custom" showErrorMessage="1" errorStyle="stop" errorTitle="Invalid Time" error="Enter time as HH:MM (e.g. 09:30) or leave blank" sqref="I451">
      <formula1>OR(I451="",AND(LEN(I451)=5,MID(I451,3,1)=":",ISNUMBER(VALUE(LEFT(I451,2))),ISNUMBER(VALUE(RIGHT(I451,2))),VALUE(LEFT(I451,2))&lt;=23,VALUE(RIGHT(I451,2))&lt;=59))</formula1>
    </dataValidation>
    <dataValidation type="custom" showErrorMessage="1" errorStyle="stop" errorTitle="Invalid Time" error="Enter time as HH:MM (e.g. 09:30) or leave blank" sqref="I452">
      <formula1>OR(I452="",AND(LEN(I452)=5,MID(I452,3,1)=":",ISNUMBER(VALUE(LEFT(I452,2))),ISNUMBER(VALUE(RIGHT(I452,2))),VALUE(LEFT(I452,2))&lt;=23,VALUE(RIGHT(I452,2))&lt;=59))</formula1>
    </dataValidation>
    <dataValidation type="custom" showErrorMessage="1" errorStyle="stop" errorTitle="Invalid Time" error="Enter time as HH:MM (e.g. 09:30) or leave blank" sqref="I453">
      <formula1>OR(I453="",AND(LEN(I453)=5,MID(I453,3,1)=":",ISNUMBER(VALUE(LEFT(I453,2))),ISNUMBER(VALUE(RIGHT(I453,2))),VALUE(LEFT(I453,2))&lt;=23,VALUE(RIGHT(I453,2))&lt;=59))</formula1>
    </dataValidation>
    <dataValidation type="custom" showErrorMessage="1" errorStyle="stop" errorTitle="Invalid Time" error="Enter time as HH:MM (e.g. 09:30) or leave blank" sqref="I454">
      <formula1>OR(I454="",AND(LEN(I454)=5,MID(I454,3,1)=":",ISNUMBER(VALUE(LEFT(I454,2))),ISNUMBER(VALUE(RIGHT(I454,2))),VALUE(LEFT(I454,2))&lt;=23,VALUE(RIGHT(I454,2))&lt;=59))</formula1>
    </dataValidation>
    <dataValidation type="custom" showErrorMessage="1" errorStyle="stop" errorTitle="Invalid Time" error="Enter time as HH:MM (e.g. 09:30) or leave blank" sqref="I455">
      <formula1>OR(I455="",AND(LEN(I455)=5,MID(I455,3,1)=":",ISNUMBER(VALUE(LEFT(I455,2))),ISNUMBER(VALUE(RIGHT(I455,2))),VALUE(LEFT(I455,2))&lt;=23,VALUE(RIGHT(I455,2))&lt;=59))</formula1>
    </dataValidation>
    <dataValidation type="custom" showErrorMessage="1" errorStyle="stop" errorTitle="Invalid Time" error="Enter time as HH:MM (e.g. 09:30) or leave blank" sqref="I456">
      <formula1>OR(I456="",AND(LEN(I456)=5,MID(I456,3,1)=":",ISNUMBER(VALUE(LEFT(I456,2))),ISNUMBER(VALUE(RIGHT(I456,2))),VALUE(LEFT(I456,2))&lt;=23,VALUE(RIGHT(I456,2))&lt;=59))</formula1>
    </dataValidation>
    <dataValidation type="custom" showErrorMessage="1" errorStyle="stop" errorTitle="Invalid Time" error="Enter time as HH:MM (e.g. 09:30) or leave blank" sqref="I457">
      <formula1>OR(I457="",AND(LEN(I457)=5,MID(I457,3,1)=":",ISNUMBER(VALUE(LEFT(I457,2))),ISNUMBER(VALUE(RIGHT(I457,2))),VALUE(LEFT(I457,2))&lt;=23,VALUE(RIGHT(I457,2))&lt;=59))</formula1>
    </dataValidation>
    <dataValidation type="custom" showErrorMessage="1" errorStyle="stop" errorTitle="Invalid Time" error="Enter time as HH:MM (e.g. 09:30) or leave blank" sqref="I458">
      <formula1>OR(I458="",AND(LEN(I458)=5,MID(I458,3,1)=":",ISNUMBER(VALUE(LEFT(I458,2))),ISNUMBER(VALUE(RIGHT(I458,2))),VALUE(LEFT(I458,2))&lt;=23,VALUE(RIGHT(I458,2))&lt;=59))</formula1>
    </dataValidation>
    <dataValidation type="custom" showErrorMessage="1" errorStyle="stop" errorTitle="Invalid Time" error="Enter time as HH:MM (e.g. 09:30) or leave blank" sqref="I459">
      <formula1>OR(I459="",AND(LEN(I459)=5,MID(I459,3,1)=":",ISNUMBER(VALUE(LEFT(I459,2))),ISNUMBER(VALUE(RIGHT(I459,2))),VALUE(LEFT(I459,2))&lt;=23,VALUE(RIGHT(I459,2))&lt;=59))</formula1>
    </dataValidation>
    <dataValidation type="custom" showErrorMessage="1" errorStyle="stop" errorTitle="Invalid Time" error="Enter time as HH:MM (e.g. 09:30) or leave blank" sqref="I46">
      <formula1>OR(I46="",AND(LEN(I46)=5,MID(I46,3,1)=":",ISNUMBER(VALUE(LEFT(I46,2))),ISNUMBER(VALUE(RIGHT(I46,2))),VALUE(LEFT(I46,2))&lt;=23,VALUE(RIGHT(I46,2))&lt;=59))</formula1>
    </dataValidation>
    <dataValidation type="custom" showErrorMessage="1" errorStyle="stop" errorTitle="Invalid Time" error="Enter time as HH:MM (e.g. 09:30) or leave blank" sqref="I460">
      <formula1>OR(I460="",AND(LEN(I460)=5,MID(I460,3,1)=":",ISNUMBER(VALUE(LEFT(I460,2))),ISNUMBER(VALUE(RIGHT(I460,2))),VALUE(LEFT(I460,2))&lt;=23,VALUE(RIGHT(I460,2))&lt;=59))</formula1>
    </dataValidation>
    <dataValidation type="custom" showErrorMessage="1" errorStyle="stop" errorTitle="Invalid Time" error="Enter time as HH:MM (e.g. 09:30) or leave blank" sqref="I461">
      <formula1>OR(I461="",AND(LEN(I461)=5,MID(I461,3,1)=":",ISNUMBER(VALUE(LEFT(I461,2))),ISNUMBER(VALUE(RIGHT(I461,2))),VALUE(LEFT(I461,2))&lt;=23,VALUE(RIGHT(I461,2))&lt;=59))</formula1>
    </dataValidation>
    <dataValidation type="custom" showErrorMessage="1" errorStyle="stop" errorTitle="Invalid Time" error="Enter time as HH:MM (e.g. 09:30) or leave blank" sqref="I462">
      <formula1>OR(I462="",AND(LEN(I462)=5,MID(I462,3,1)=":",ISNUMBER(VALUE(LEFT(I462,2))),ISNUMBER(VALUE(RIGHT(I462,2))),VALUE(LEFT(I462,2))&lt;=23,VALUE(RIGHT(I462,2))&lt;=59))</formula1>
    </dataValidation>
    <dataValidation type="custom" showErrorMessage="1" errorStyle="stop" errorTitle="Invalid Time" error="Enter time as HH:MM (e.g. 09:30) or leave blank" sqref="I463">
      <formula1>OR(I463="",AND(LEN(I463)=5,MID(I463,3,1)=":",ISNUMBER(VALUE(LEFT(I463,2))),ISNUMBER(VALUE(RIGHT(I463,2))),VALUE(LEFT(I463,2))&lt;=23,VALUE(RIGHT(I463,2))&lt;=59))</formula1>
    </dataValidation>
    <dataValidation type="custom" showErrorMessage="1" errorStyle="stop" errorTitle="Invalid Time" error="Enter time as HH:MM (e.g. 09:30) or leave blank" sqref="I464">
      <formula1>OR(I464="",AND(LEN(I464)=5,MID(I464,3,1)=":",ISNUMBER(VALUE(LEFT(I464,2))),ISNUMBER(VALUE(RIGHT(I464,2))),VALUE(LEFT(I464,2))&lt;=23,VALUE(RIGHT(I464,2))&lt;=59))</formula1>
    </dataValidation>
    <dataValidation type="custom" showErrorMessage="1" errorStyle="stop" errorTitle="Invalid Time" error="Enter time as HH:MM (e.g. 09:30) or leave blank" sqref="I465">
      <formula1>OR(I465="",AND(LEN(I465)=5,MID(I465,3,1)=":",ISNUMBER(VALUE(LEFT(I465,2))),ISNUMBER(VALUE(RIGHT(I465,2))),VALUE(LEFT(I465,2))&lt;=23,VALUE(RIGHT(I465,2))&lt;=59))</formula1>
    </dataValidation>
    <dataValidation type="custom" showErrorMessage="1" errorStyle="stop" errorTitle="Invalid Time" error="Enter time as HH:MM (e.g. 09:30) or leave blank" sqref="I466">
      <formula1>OR(I466="",AND(LEN(I466)=5,MID(I466,3,1)=":",ISNUMBER(VALUE(LEFT(I466,2))),ISNUMBER(VALUE(RIGHT(I466,2))),VALUE(LEFT(I466,2))&lt;=23,VALUE(RIGHT(I466,2))&lt;=59))</formula1>
    </dataValidation>
    <dataValidation type="custom" showErrorMessage="1" errorStyle="stop" errorTitle="Invalid Time" error="Enter time as HH:MM (e.g. 09:30) or leave blank" sqref="I467">
      <formula1>OR(I467="",AND(LEN(I467)=5,MID(I467,3,1)=":",ISNUMBER(VALUE(LEFT(I467,2))),ISNUMBER(VALUE(RIGHT(I467,2))),VALUE(LEFT(I467,2))&lt;=23,VALUE(RIGHT(I467,2))&lt;=59))</formula1>
    </dataValidation>
    <dataValidation type="custom" showErrorMessage="1" errorStyle="stop" errorTitle="Invalid Time" error="Enter time as HH:MM (e.g. 09:30) or leave blank" sqref="I468">
      <formula1>OR(I468="",AND(LEN(I468)=5,MID(I468,3,1)=":",ISNUMBER(VALUE(LEFT(I468,2))),ISNUMBER(VALUE(RIGHT(I468,2))),VALUE(LEFT(I468,2))&lt;=23,VALUE(RIGHT(I468,2))&lt;=59))</formula1>
    </dataValidation>
    <dataValidation type="custom" showErrorMessage="1" errorStyle="stop" errorTitle="Invalid Time" error="Enter time as HH:MM (e.g. 09:30) or leave blank" sqref="I469">
      <formula1>OR(I469="",AND(LEN(I469)=5,MID(I469,3,1)=":",ISNUMBER(VALUE(LEFT(I469,2))),ISNUMBER(VALUE(RIGHT(I469,2))),VALUE(LEFT(I469,2))&lt;=23,VALUE(RIGHT(I469,2))&lt;=59))</formula1>
    </dataValidation>
    <dataValidation type="custom" showErrorMessage="1" errorStyle="stop" errorTitle="Invalid Time" error="Enter time as HH:MM (e.g. 09:30) or leave blank" sqref="I47">
      <formula1>OR(I47="",AND(LEN(I47)=5,MID(I47,3,1)=":",ISNUMBER(VALUE(LEFT(I47,2))),ISNUMBER(VALUE(RIGHT(I47,2))),VALUE(LEFT(I47,2))&lt;=23,VALUE(RIGHT(I47,2))&lt;=59))</formula1>
    </dataValidation>
    <dataValidation type="custom" showErrorMessage="1" errorStyle="stop" errorTitle="Invalid Time" error="Enter time as HH:MM (e.g. 09:30) or leave blank" sqref="I470">
      <formula1>OR(I470="",AND(LEN(I470)=5,MID(I470,3,1)=":",ISNUMBER(VALUE(LEFT(I470,2))),ISNUMBER(VALUE(RIGHT(I470,2))),VALUE(LEFT(I470,2))&lt;=23,VALUE(RIGHT(I470,2))&lt;=59))</formula1>
    </dataValidation>
    <dataValidation type="custom" showErrorMessage="1" errorStyle="stop" errorTitle="Invalid Time" error="Enter time as HH:MM (e.g. 09:30) or leave blank" sqref="I471">
      <formula1>OR(I471="",AND(LEN(I471)=5,MID(I471,3,1)=":",ISNUMBER(VALUE(LEFT(I471,2))),ISNUMBER(VALUE(RIGHT(I471,2))),VALUE(LEFT(I471,2))&lt;=23,VALUE(RIGHT(I471,2))&lt;=59))</formula1>
    </dataValidation>
    <dataValidation type="custom" showErrorMessage="1" errorStyle="stop" errorTitle="Invalid Time" error="Enter time as HH:MM (e.g. 09:30) or leave blank" sqref="I472">
      <formula1>OR(I472="",AND(LEN(I472)=5,MID(I472,3,1)=":",ISNUMBER(VALUE(LEFT(I472,2))),ISNUMBER(VALUE(RIGHT(I472,2))),VALUE(LEFT(I472,2))&lt;=23,VALUE(RIGHT(I472,2))&lt;=59))</formula1>
    </dataValidation>
    <dataValidation type="custom" showErrorMessage="1" errorStyle="stop" errorTitle="Invalid Time" error="Enter time as HH:MM (e.g. 09:30) or leave blank" sqref="I473">
      <formula1>OR(I473="",AND(LEN(I473)=5,MID(I473,3,1)=":",ISNUMBER(VALUE(LEFT(I473,2))),ISNUMBER(VALUE(RIGHT(I473,2))),VALUE(LEFT(I473,2))&lt;=23,VALUE(RIGHT(I473,2))&lt;=59))</formula1>
    </dataValidation>
    <dataValidation type="custom" showErrorMessage="1" errorStyle="stop" errorTitle="Invalid Time" error="Enter time as HH:MM (e.g. 09:30) or leave blank" sqref="I474">
      <formula1>OR(I474="",AND(LEN(I474)=5,MID(I474,3,1)=":",ISNUMBER(VALUE(LEFT(I474,2))),ISNUMBER(VALUE(RIGHT(I474,2))),VALUE(LEFT(I474,2))&lt;=23,VALUE(RIGHT(I474,2))&lt;=59))</formula1>
    </dataValidation>
    <dataValidation type="custom" showErrorMessage="1" errorStyle="stop" errorTitle="Invalid Time" error="Enter time as HH:MM (e.g. 09:30) or leave blank" sqref="I475">
      <formula1>OR(I475="",AND(LEN(I475)=5,MID(I475,3,1)=":",ISNUMBER(VALUE(LEFT(I475,2))),ISNUMBER(VALUE(RIGHT(I475,2))),VALUE(LEFT(I475,2))&lt;=23,VALUE(RIGHT(I475,2))&lt;=59))</formula1>
    </dataValidation>
    <dataValidation type="custom" showErrorMessage="1" errorStyle="stop" errorTitle="Invalid Time" error="Enter time as HH:MM (e.g. 09:30) or leave blank" sqref="I476">
      <formula1>OR(I476="",AND(LEN(I476)=5,MID(I476,3,1)=":",ISNUMBER(VALUE(LEFT(I476,2))),ISNUMBER(VALUE(RIGHT(I476,2))),VALUE(LEFT(I476,2))&lt;=23,VALUE(RIGHT(I476,2))&lt;=59))</formula1>
    </dataValidation>
    <dataValidation type="custom" showErrorMessage="1" errorStyle="stop" errorTitle="Invalid Time" error="Enter time as HH:MM (e.g. 09:30) or leave blank" sqref="I477">
      <formula1>OR(I477="",AND(LEN(I477)=5,MID(I477,3,1)=":",ISNUMBER(VALUE(LEFT(I477,2))),ISNUMBER(VALUE(RIGHT(I477,2))),VALUE(LEFT(I477,2))&lt;=23,VALUE(RIGHT(I477,2))&lt;=59))</formula1>
    </dataValidation>
    <dataValidation type="custom" showErrorMessage="1" errorStyle="stop" errorTitle="Invalid Time" error="Enter time as HH:MM (e.g. 09:30) or leave blank" sqref="I478">
      <formula1>OR(I478="",AND(LEN(I478)=5,MID(I478,3,1)=":",ISNUMBER(VALUE(LEFT(I478,2))),ISNUMBER(VALUE(RIGHT(I478,2))),VALUE(LEFT(I478,2))&lt;=23,VALUE(RIGHT(I478,2))&lt;=59))</formula1>
    </dataValidation>
    <dataValidation type="custom" showErrorMessage="1" errorStyle="stop" errorTitle="Invalid Time" error="Enter time as HH:MM (e.g. 09:30) or leave blank" sqref="I479">
      <formula1>OR(I479="",AND(LEN(I479)=5,MID(I479,3,1)=":",ISNUMBER(VALUE(LEFT(I479,2))),ISNUMBER(VALUE(RIGHT(I479,2))),VALUE(LEFT(I479,2))&lt;=23,VALUE(RIGHT(I479,2))&lt;=59))</formula1>
    </dataValidation>
    <dataValidation type="custom" showErrorMessage="1" errorStyle="stop" errorTitle="Invalid Time" error="Enter time as HH:MM (e.g. 09:30) or leave blank" sqref="I48">
      <formula1>OR(I48="",AND(LEN(I48)=5,MID(I48,3,1)=":",ISNUMBER(VALUE(LEFT(I48,2))),ISNUMBER(VALUE(RIGHT(I48,2))),VALUE(LEFT(I48,2))&lt;=23,VALUE(RIGHT(I48,2))&lt;=59))</formula1>
    </dataValidation>
    <dataValidation type="custom" showErrorMessage="1" errorStyle="stop" errorTitle="Invalid Time" error="Enter time as HH:MM (e.g. 09:30) or leave blank" sqref="I480">
      <formula1>OR(I480="",AND(LEN(I480)=5,MID(I480,3,1)=":",ISNUMBER(VALUE(LEFT(I480,2))),ISNUMBER(VALUE(RIGHT(I480,2))),VALUE(LEFT(I480,2))&lt;=23,VALUE(RIGHT(I480,2))&lt;=59))</formula1>
    </dataValidation>
    <dataValidation type="custom" showErrorMessage="1" errorStyle="stop" errorTitle="Invalid Time" error="Enter time as HH:MM (e.g. 09:30) or leave blank" sqref="I481">
      <formula1>OR(I481="",AND(LEN(I481)=5,MID(I481,3,1)=":",ISNUMBER(VALUE(LEFT(I481,2))),ISNUMBER(VALUE(RIGHT(I481,2))),VALUE(LEFT(I481,2))&lt;=23,VALUE(RIGHT(I481,2))&lt;=59))</formula1>
    </dataValidation>
    <dataValidation type="custom" showErrorMessage="1" errorStyle="stop" errorTitle="Invalid Time" error="Enter time as HH:MM (e.g. 09:30) or leave blank" sqref="I482">
      <formula1>OR(I482="",AND(LEN(I482)=5,MID(I482,3,1)=":",ISNUMBER(VALUE(LEFT(I482,2))),ISNUMBER(VALUE(RIGHT(I482,2))),VALUE(LEFT(I482,2))&lt;=23,VALUE(RIGHT(I482,2))&lt;=59))</formula1>
    </dataValidation>
    <dataValidation type="custom" showErrorMessage="1" errorStyle="stop" errorTitle="Invalid Time" error="Enter time as HH:MM (e.g. 09:30) or leave blank" sqref="I483">
      <formula1>OR(I483="",AND(LEN(I483)=5,MID(I483,3,1)=":",ISNUMBER(VALUE(LEFT(I483,2))),ISNUMBER(VALUE(RIGHT(I483,2))),VALUE(LEFT(I483,2))&lt;=23,VALUE(RIGHT(I483,2))&lt;=59))</formula1>
    </dataValidation>
    <dataValidation type="custom" showErrorMessage="1" errorStyle="stop" errorTitle="Invalid Time" error="Enter time as HH:MM (e.g. 09:30) or leave blank" sqref="I484">
      <formula1>OR(I484="",AND(LEN(I484)=5,MID(I484,3,1)=":",ISNUMBER(VALUE(LEFT(I484,2))),ISNUMBER(VALUE(RIGHT(I484,2))),VALUE(LEFT(I484,2))&lt;=23,VALUE(RIGHT(I484,2))&lt;=59))</formula1>
    </dataValidation>
    <dataValidation type="custom" showErrorMessage="1" errorStyle="stop" errorTitle="Invalid Time" error="Enter time as HH:MM (e.g. 09:30) or leave blank" sqref="I485">
      <formula1>OR(I485="",AND(LEN(I485)=5,MID(I485,3,1)=":",ISNUMBER(VALUE(LEFT(I485,2))),ISNUMBER(VALUE(RIGHT(I485,2))),VALUE(LEFT(I485,2))&lt;=23,VALUE(RIGHT(I485,2))&lt;=59))</formula1>
    </dataValidation>
    <dataValidation type="custom" showErrorMessage="1" errorStyle="stop" errorTitle="Invalid Time" error="Enter time as HH:MM (e.g. 09:30) or leave blank" sqref="I486">
      <formula1>OR(I486="",AND(LEN(I486)=5,MID(I486,3,1)=":",ISNUMBER(VALUE(LEFT(I486,2))),ISNUMBER(VALUE(RIGHT(I486,2))),VALUE(LEFT(I486,2))&lt;=23,VALUE(RIGHT(I486,2))&lt;=59))</formula1>
    </dataValidation>
    <dataValidation type="custom" showErrorMessage="1" errorStyle="stop" errorTitle="Invalid Time" error="Enter time as HH:MM (e.g. 09:30) or leave blank" sqref="I487">
      <formula1>OR(I487="",AND(LEN(I487)=5,MID(I487,3,1)=":",ISNUMBER(VALUE(LEFT(I487,2))),ISNUMBER(VALUE(RIGHT(I487,2))),VALUE(LEFT(I487,2))&lt;=23,VALUE(RIGHT(I487,2))&lt;=59))</formula1>
    </dataValidation>
    <dataValidation type="custom" showErrorMessage="1" errorStyle="stop" errorTitle="Invalid Time" error="Enter time as HH:MM (e.g. 09:30) or leave blank" sqref="I488">
      <formula1>OR(I488="",AND(LEN(I488)=5,MID(I488,3,1)=":",ISNUMBER(VALUE(LEFT(I488,2))),ISNUMBER(VALUE(RIGHT(I488,2))),VALUE(LEFT(I488,2))&lt;=23,VALUE(RIGHT(I488,2))&lt;=59))</formula1>
    </dataValidation>
    <dataValidation type="custom" showErrorMessage="1" errorStyle="stop" errorTitle="Invalid Time" error="Enter time as HH:MM (e.g. 09:30) or leave blank" sqref="I489">
      <formula1>OR(I489="",AND(LEN(I489)=5,MID(I489,3,1)=":",ISNUMBER(VALUE(LEFT(I489,2))),ISNUMBER(VALUE(RIGHT(I489,2))),VALUE(LEFT(I489,2))&lt;=23,VALUE(RIGHT(I489,2))&lt;=59))</formula1>
    </dataValidation>
    <dataValidation type="custom" showErrorMessage="1" errorStyle="stop" errorTitle="Invalid Time" error="Enter time as HH:MM (e.g. 09:30) or leave blank" sqref="I49">
      <formula1>OR(I49="",AND(LEN(I49)=5,MID(I49,3,1)=":",ISNUMBER(VALUE(LEFT(I49,2))),ISNUMBER(VALUE(RIGHT(I49,2))),VALUE(LEFT(I49,2))&lt;=23,VALUE(RIGHT(I49,2))&lt;=59))</formula1>
    </dataValidation>
    <dataValidation type="custom" showErrorMessage="1" errorStyle="stop" errorTitle="Invalid Time" error="Enter time as HH:MM (e.g. 09:30) or leave blank" sqref="I490">
      <formula1>OR(I490="",AND(LEN(I490)=5,MID(I490,3,1)=":",ISNUMBER(VALUE(LEFT(I490,2))),ISNUMBER(VALUE(RIGHT(I490,2))),VALUE(LEFT(I490,2))&lt;=23,VALUE(RIGHT(I490,2))&lt;=59))</formula1>
    </dataValidation>
    <dataValidation type="custom" showErrorMessage="1" errorStyle="stop" errorTitle="Invalid Time" error="Enter time as HH:MM (e.g. 09:30) or leave blank" sqref="I491">
      <formula1>OR(I491="",AND(LEN(I491)=5,MID(I491,3,1)=":",ISNUMBER(VALUE(LEFT(I491,2))),ISNUMBER(VALUE(RIGHT(I491,2))),VALUE(LEFT(I491,2))&lt;=23,VALUE(RIGHT(I491,2))&lt;=59))</formula1>
    </dataValidation>
    <dataValidation type="custom" showErrorMessage="1" errorStyle="stop" errorTitle="Invalid Time" error="Enter time as HH:MM (e.g. 09:30) or leave blank" sqref="I492">
      <formula1>OR(I492="",AND(LEN(I492)=5,MID(I492,3,1)=":",ISNUMBER(VALUE(LEFT(I492,2))),ISNUMBER(VALUE(RIGHT(I492,2))),VALUE(LEFT(I492,2))&lt;=23,VALUE(RIGHT(I492,2))&lt;=59))</formula1>
    </dataValidation>
    <dataValidation type="custom" showErrorMessage="1" errorStyle="stop" errorTitle="Invalid Time" error="Enter time as HH:MM (e.g. 09:30) or leave blank" sqref="I493">
      <formula1>OR(I493="",AND(LEN(I493)=5,MID(I493,3,1)=":",ISNUMBER(VALUE(LEFT(I493,2))),ISNUMBER(VALUE(RIGHT(I493,2))),VALUE(LEFT(I493,2))&lt;=23,VALUE(RIGHT(I493,2))&lt;=59))</formula1>
    </dataValidation>
    <dataValidation type="custom" showErrorMessage="1" errorStyle="stop" errorTitle="Invalid Time" error="Enter time as HH:MM (e.g. 09:30) or leave blank" sqref="I494">
      <formula1>OR(I494="",AND(LEN(I494)=5,MID(I494,3,1)=":",ISNUMBER(VALUE(LEFT(I494,2))),ISNUMBER(VALUE(RIGHT(I494,2))),VALUE(LEFT(I494,2))&lt;=23,VALUE(RIGHT(I494,2))&lt;=59))</formula1>
    </dataValidation>
    <dataValidation type="custom" showErrorMessage="1" errorStyle="stop" errorTitle="Invalid Time" error="Enter time as HH:MM (e.g. 09:30) or leave blank" sqref="I495">
      <formula1>OR(I495="",AND(LEN(I495)=5,MID(I495,3,1)=":",ISNUMBER(VALUE(LEFT(I495,2))),ISNUMBER(VALUE(RIGHT(I495,2))),VALUE(LEFT(I495,2))&lt;=23,VALUE(RIGHT(I495,2))&lt;=59))</formula1>
    </dataValidation>
    <dataValidation type="custom" showErrorMessage="1" errorStyle="stop" errorTitle="Invalid Time" error="Enter time as HH:MM (e.g. 09:30) or leave blank" sqref="I496">
      <formula1>OR(I496="",AND(LEN(I496)=5,MID(I496,3,1)=":",ISNUMBER(VALUE(LEFT(I496,2))),ISNUMBER(VALUE(RIGHT(I496,2))),VALUE(LEFT(I496,2))&lt;=23,VALUE(RIGHT(I496,2))&lt;=59))</formula1>
    </dataValidation>
    <dataValidation type="custom" showErrorMessage="1" errorStyle="stop" errorTitle="Invalid Time" error="Enter time as HH:MM (e.g. 09:30) or leave blank" sqref="I497">
      <formula1>OR(I497="",AND(LEN(I497)=5,MID(I497,3,1)=":",ISNUMBER(VALUE(LEFT(I497,2))),ISNUMBER(VALUE(RIGHT(I497,2))),VALUE(LEFT(I497,2))&lt;=23,VALUE(RIGHT(I497,2))&lt;=59))</formula1>
    </dataValidation>
    <dataValidation type="custom" showErrorMessage="1" errorStyle="stop" errorTitle="Invalid Time" error="Enter time as HH:MM (e.g. 09:30) or leave blank" sqref="I498">
      <formula1>OR(I498="",AND(LEN(I498)=5,MID(I498,3,1)=":",ISNUMBER(VALUE(LEFT(I498,2))),ISNUMBER(VALUE(RIGHT(I498,2))),VALUE(LEFT(I498,2))&lt;=23,VALUE(RIGHT(I498,2))&lt;=59))</formula1>
    </dataValidation>
    <dataValidation type="custom" showErrorMessage="1" errorStyle="stop" errorTitle="Invalid Time" error="Enter time as HH:MM (e.g. 09:30) or leave blank" sqref="I499">
      <formula1>OR(I499="",AND(LEN(I499)=5,MID(I499,3,1)=":",ISNUMBER(VALUE(LEFT(I499,2))),ISNUMBER(VALUE(RIGHT(I499,2))),VALUE(LEFT(I499,2))&lt;=23,VALUE(RIGHT(I499,2))&lt;=59))</formula1>
    </dataValidation>
    <dataValidation type="custom" showErrorMessage="1" errorStyle="stop" errorTitle="Invalid Time" error="Enter time as HH:MM (e.g. 09:30) or leave blank" sqref="I5">
      <formula1>OR(I5="",AND(LEN(I5)=5,MID(I5,3,1)=":",ISNUMBER(VALUE(LEFT(I5,2))),ISNUMBER(VALUE(RIGHT(I5,2))),VALUE(LEFT(I5,2))&lt;=23,VALUE(RIGHT(I5,2))&lt;=59))</formula1>
    </dataValidation>
    <dataValidation type="custom" showErrorMessage="1" errorStyle="stop" errorTitle="Invalid Time" error="Enter time as HH:MM (e.g. 09:30) or leave blank" sqref="I50">
      <formula1>OR(I50="",AND(LEN(I50)=5,MID(I50,3,1)=":",ISNUMBER(VALUE(LEFT(I50,2))),ISNUMBER(VALUE(RIGHT(I50,2))),VALUE(LEFT(I50,2))&lt;=23,VALUE(RIGHT(I50,2))&lt;=59))</formula1>
    </dataValidation>
    <dataValidation type="custom" showErrorMessage="1" errorStyle="stop" errorTitle="Invalid Time" error="Enter time as HH:MM (e.g. 09:30) or leave blank" sqref="I500">
      <formula1>OR(I500="",AND(LEN(I500)=5,MID(I500,3,1)=":",ISNUMBER(VALUE(LEFT(I500,2))),ISNUMBER(VALUE(RIGHT(I500,2))),VALUE(LEFT(I500,2))&lt;=23,VALUE(RIGHT(I500,2))&lt;=59))</formula1>
    </dataValidation>
    <dataValidation type="custom" showErrorMessage="1" errorStyle="stop" errorTitle="Invalid Time" error="Enter time as HH:MM (e.g. 09:30) or leave blank" sqref="I501">
      <formula1>OR(I501="",AND(LEN(I501)=5,MID(I501,3,1)=":",ISNUMBER(VALUE(LEFT(I501,2))),ISNUMBER(VALUE(RIGHT(I501,2))),VALUE(LEFT(I501,2))&lt;=23,VALUE(RIGHT(I501,2))&lt;=59))</formula1>
    </dataValidation>
    <dataValidation type="custom" showErrorMessage="1" errorStyle="stop" errorTitle="Invalid Time" error="Enter time as HH:MM (e.g. 09:30) or leave blank" sqref="I502">
      <formula1>OR(I502="",AND(LEN(I502)=5,MID(I502,3,1)=":",ISNUMBER(VALUE(LEFT(I502,2))),ISNUMBER(VALUE(RIGHT(I502,2))),VALUE(LEFT(I502,2))&lt;=23,VALUE(RIGHT(I502,2))&lt;=59))</formula1>
    </dataValidation>
    <dataValidation type="custom" showErrorMessage="1" errorStyle="stop" errorTitle="Invalid Time" error="Enter time as HH:MM (e.g. 09:30) or leave blank" sqref="I51">
      <formula1>OR(I51="",AND(LEN(I51)=5,MID(I51,3,1)=":",ISNUMBER(VALUE(LEFT(I51,2))),ISNUMBER(VALUE(RIGHT(I51,2))),VALUE(LEFT(I51,2))&lt;=23,VALUE(RIGHT(I51,2))&lt;=59))</formula1>
    </dataValidation>
    <dataValidation type="custom" showErrorMessage="1" errorStyle="stop" errorTitle="Invalid Time" error="Enter time as HH:MM (e.g. 09:30) or leave blank" sqref="I52">
      <formula1>OR(I52="",AND(LEN(I52)=5,MID(I52,3,1)=":",ISNUMBER(VALUE(LEFT(I52,2))),ISNUMBER(VALUE(RIGHT(I52,2))),VALUE(LEFT(I52,2))&lt;=23,VALUE(RIGHT(I52,2))&lt;=59))</formula1>
    </dataValidation>
    <dataValidation type="custom" showErrorMessage="1" errorStyle="stop" errorTitle="Invalid Time" error="Enter time as HH:MM (e.g. 09:30) or leave blank" sqref="I53">
      <formula1>OR(I53="",AND(LEN(I53)=5,MID(I53,3,1)=":",ISNUMBER(VALUE(LEFT(I53,2))),ISNUMBER(VALUE(RIGHT(I53,2))),VALUE(LEFT(I53,2))&lt;=23,VALUE(RIGHT(I53,2))&lt;=59))</formula1>
    </dataValidation>
    <dataValidation type="custom" showErrorMessage="1" errorStyle="stop" errorTitle="Invalid Time" error="Enter time as HH:MM (e.g. 09:30) or leave blank" sqref="I54">
      <formula1>OR(I54="",AND(LEN(I54)=5,MID(I54,3,1)=":",ISNUMBER(VALUE(LEFT(I54,2))),ISNUMBER(VALUE(RIGHT(I54,2))),VALUE(LEFT(I54,2))&lt;=23,VALUE(RIGHT(I54,2))&lt;=59))</formula1>
    </dataValidation>
    <dataValidation type="custom" showErrorMessage="1" errorStyle="stop" errorTitle="Invalid Time" error="Enter time as HH:MM (e.g. 09:30) or leave blank" sqref="I55">
      <formula1>OR(I55="",AND(LEN(I55)=5,MID(I55,3,1)=":",ISNUMBER(VALUE(LEFT(I55,2))),ISNUMBER(VALUE(RIGHT(I55,2))),VALUE(LEFT(I55,2))&lt;=23,VALUE(RIGHT(I55,2))&lt;=59))</formula1>
    </dataValidation>
    <dataValidation type="custom" showErrorMessage="1" errorStyle="stop" errorTitle="Invalid Time" error="Enter time as HH:MM (e.g. 09:30) or leave blank" sqref="I56">
      <formula1>OR(I56="",AND(LEN(I56)=5,MID(I56,3,1)=":",ISNUMBER(VALUE(LEFT(I56,2))),ISNUMBER(VALUE(RIGHT(I56,2))),VALUE(LEFT(I56,2))&lt;=23,VALUE(RIGHT(I56,2))&lt;=59))</formula1>
    </dataValidation>
    <dataValidation type="custom" showErrorMessage="1" errorStyle="stop" errorTitle="Invalid Time" error="Enter time as HH:MM (e.g. 09:30) or leave blank" sqref="I57">
      <formula1>OR(I57="",AND(LEN(I57)=5,MID(I57,3,1)=":",ISNUMBER(VALUE(LEFT(I57,2))),ISNUMBER(VALUE(RIGHT(I57,2))),VALUE(LEFT(I57,2))&lt;=23,VALUE(RIGHT(I57,2))&lt;=59))</formula1>
    </dataValidation>
    <dataValidation type="custom" showErrorMessage="1" errorStyle="stop" errorTitle="Invalid Time" error="Enter time as HH:MM (e.g. 09:30) or leave blank" sqref="I58">
      <formula1>OR(I58="",AND(LEN(I58)=5,MID(I58,3,1)=":",ISNUMBER(VALUE(LEFT(I58,2))),ISNUMBER(VALUE(RIGHT(I58,2))),VALUE(LEFT(I58,2))&lt;=23,VALUE(RIGHT(I58,2))&lt;=59))</formula1>
    </dataValidation>
    <dataValidation type="custom" showErrorMessage="1" errorStyle="stop" errorTitle="Invalid Time" error="Enter time as HH:MM (e.g. 09:30) or leave blank" sqref="I59">
      <formula1>OR(I59="",AND(LEN(I59)=5,MID(I59,3,1)=":",ISNUMBER(VALUE(LEFT(I59,2))),ISNUMBER(VALUE(RIGHT(I59,2))),VALUE(LEFT(I59,2))&lt;=23,VALUE(RIGHT(I59,2))&lt;=59))</formula1>
    </dataValidation>
    <dataValidation type="custom" showErrorMessage="1" errorStyle="stop" errorTitle="Invalid Time" error="Enter time as HH:MM (e.g. 09:30) or leave blank" sqref="I6">
      <formula1>OR(I6="",AND(LEN(I6)=5,MID(I6,3,1)=":",ISNUMBER(VALUE(LEFT(I6,2))),ISNUMBER(VALUE(RIGHT(I6,2))),VALUE(LEFT(I6,2))&lt;=23,VALUE(RIGHT(I6,2))&lt;=59))</formula1>
    </dataValidation>
    <dataValidation type="custom" showErrorMessage="1" errorStyle="stop" errorTitle="Invalid Time" error="Enter time as HH:MM (e.g. 09:30) or leave blank" sqref="I60">
      <formula1>OR(I60="",AND(LEN(I60)=5,MID(I60,3,1)=":",ISNUMBER(VALUE(LEFT(I60,2))),ISNUMBER(VALUE(RIGHT(I60,2))),VALUE(LEFT(I60,2))&lt;=23,VALUE(RIGHT(I60,2))&lt;=59))</formula1>
    </dataValidation>
    <dataValidation type="custom" showErrorMessage="1" errorStyle="stop" errorTitle="Invalid Time" error="Enter time as HH:MM (e.g. 09:30) or leave blank" sqref="I61">
      <formula1>OR(I61="",AND(LEN(I61)=5,MID(I61,3,1)=":",ISNUMBER(VALUE(LEFT(I61,2))),ISNUMBER(VALUE(RIGHT(I61,2))),VALUE(LEFT(I61,2))&lt;=23,VALUE(RIGHT(I61,2))&lt;=59))</formula1>
    </dataValidation>
    <dataValidation type="custom" showErrorMessage="1" errorStyle="stop" errorTitle="Invalid Time" error="Enter time as HH:MM (e.g. 09:30) or leave blank" sqref="I62">
      <formula1>OR(I62="",AND(LEN(I62)=5,MID(I62,3,1)=":",ISNUMBER(VALUE(LEFT(I62,2))),ISNUMBER(VALUE(RIGHT(I62,2))),VALUE(LEFT(I62,2))&lt;=23,VALUE(RIGHT(I62,2))&lt;=59))</formula1>
    </dataValidation>
    <dataValidation type="custom" showErrorMessage="1" errorStyle="stop" errorTitle="Invalid Time" error="Enter time as HH:MM (e.g. 09:30) or leave blank" sqref="I63">
      <formula1>OR(I63="",AND(LEN(I63)=5,MID(I63,3,1)=":",ISNUMBER(VALUE(LEFT(I63,2))),ISNUMBER(VALUE(RIGHT(I63,2))),VALUE(LEFT(I63,2))&lt;=23,VALUE(RIGHT(I63,2))&lt;=59))</formula1>
    </dataValidation>
    <dataValidation type="custom" showErrorMessage="1" errorStyle="stop" errorTitle="Invalid Time" error="Enter time as HH:MM (e.g. 09:30) or leave blank" sqref="I64">
      <formula1>OR(I64="",AND(LEN(I64)=5,MID(I64,3,1)=":",ISNUMBER(VALUE(LEFT(I64,2))),ISNUMBER(VALUE(RIGHT(I64,2))),VALUE(LEFT(I64,2))&lt;=23,VALUE(RIGHT(I64,2))&lt;=59))</formula1>
    </dataValidation>
    <dataValidation type="custom" showErrorMessage="1" errorStyle="stop" errorTitle="Invalid Time" error="Enter time as HH:MM (e.g. 09:30) or leave blank" sqref="I65">
      <formula1>OR(I65="",AND(LEN(I65)=5,MID(I65,3,1)=":",ISNUMBER(VALUE(LEFT(I65,2))),ISNUMBER(VALUE(RIGHT(I65,2))),VALUE(LEFT(I65,2))&lt;=23,VALUE(RIGHT(I65,2))&lt;=59))</formula1>
    </dataValidation>
    <dataValidation type="custom" showErrorMessage="1" errorStyle="stop" errorTitle="Invalid Time" error="Enter time as HH:MM (e.g. 09:30) or leave blank" sqref="I66">
      <formula1>OR(I66="",AND(LEN(I66)=5,MID(I66,3,1)=":",ISNUMBER(VALUE(LEFT(I66,2))),ISNUMBER(VALUE(RIGHT(I66,2))),VALUE(LEFT(I66,2))&lt;=23,VALUE(RIGHT(I66,2))&lt;=59))</formula1>
    </dataValidation>
    <dataValidation type="custom" showErrorMessage="1" errorStyle="stop" errorTitle="Invalid Time" error="Enter time as HH:MM (e.g. 09:30) or leave blank" sqref="I67">
      <formula1>OR(I67="",AND(LEN(I67)=5,MID(I67,3,1)=":",ISNUMBER(VALUE(LEFT(I67,2))),ISNUMBER(VALUE(RIGHT(I67,2))),VALUE(LEFT(I67,2))&lt;=23,VALUE(RIGHT(I67,2))&lt;=59))</formula1>
    </dataValidation>
    <dataValidation type="custom" showErrorMessage="1" errorStyle="stop" errorTitle="Invalid Time" error="Enter time as HH:MM (e.g. 09:30) or leave blank" sqref="I68">
      <formula1>OR(I68="",AND(LEN(I68)=5,MID(I68,3,1)=":",ISNUMBER(VALUE(LEFT(I68,2))),ISNUMBER(VALUE(RIGHT(I68,2))),VALUE(LEFT(I68,2))&lt;=23,VALUE(RIGHT(I68,2))&lt;=59))</formula1>
    </dataValidation>
    <dataValidation type="custom" showErrorMessage="1" errorStyle="stop" errorTitle="Invalid Time" error="Enter time as HH:MM (e.g. 09:30) or leave blank" sqref="I69">
      <formula1>OR(I69="",AND(LEN(I69)=5,MID(I69,3,1)=":",ISNUMBER(VALUE(LEFT(I69,2))),ISNUMBER(VALUE(RIGHT(I69,2))),VALUE(LEFT(I69,2))&lt;=23,VALUE(RIGHT(I69,2))&lt;=59))</formula1>
    </dataValidation>
    <dataValidation type="custom" showErrorMessage="1" errorStyle="stop" errorTitle="Invalid Time" error="Enter time as HH:MM (e.g. 09:30) or leave blank" sqref="I7">
      <formula1>OR(I7="",AND(LEN(I7)=5,MID(I7,3,1)=":",ISNUMBER(VALUE(LEFT(I7,2))),ISNUMBER(VALUE(RIGHT(I7,2))),VALUE(LEFT(I7,2))&lt;=23,VALUE(RIGHT(I7,2))&lt;=59))</formula1>
    </dataValidation>
    <dataValidation type="custom" showErrorMessage="1" errorStyle="stop" errorTitle="Invalid Time" error="Enter time as HH:MM (e.g. 09:30) or leave blank" sqref="I70">
      <formula1>OR(I70="",AND(LEN(I70)=5,MID(I70,3,1)=":",ISNUMBER(VALUE(LEFT(I70,2))),ISNUMBER(VALUE(RIGHT(I70,2))),VALUE(LEFT(I70,2))&lt;=23,VALUE(RIGHT(I70,2))&lt;=59))</formula1>
    </dataValidation>
    <dataValidation type="custom" showErrorMessage="1" errorStyle="stop" errorTitle="Invalid Time" error="Enter time as HH:MM (e.g. 09:30) or leave blank" sqref="I71">
      <formula1>OR(I71="",AND(LEN(I71)=5,MID(I71,3,1)=":",ISNUMBER(VALUE(LEFT(I71,2))),ISNUMBER(VALUE(RIGHT(I71,2))),VALUE(LEFT(I71,2))&lt;=23,VALUE(RIGHT(I71,2))&lt;=59))</formula1>
    </dataValidation>
    <dataValidation type="custom" showErrorMessage="1" errorStyle="stop" errorTitle="Invalid Time" error="Enter time as HH:MM (e.g. 09:30) or leave blank" sqref="I72">
      <formula1>OR(I72="",AND(LEN(I72)=5,MID(I72,3,1)=":",ISNUMBER(VALUE(LEFT(I72,2))),ISNUMBER(VALUE(RIGHT(I72,2))),VALUE(LEFT(I72,2))&lt;=23,VALUE(RIGHT(I72,2))&lt;=59))</formula1>
    </dataValidation>
    <dataValidation type="custom" showErrorMessage="1" errorStyle="stop" errorTitle="Invalid Time" error="Enter time as HH:MM (e.g. 09:30) or leave blank" sqref="I73">
      <formula1>OR(I73="",AND(LEN(I73)=5,MID(I73,3,1)=":",ISNUMBER(VALUE(LEFT(I73,2))),ISNUMBER(VALUE(RIGHT(I73,2))),VALUE(LEFT(I73,2))&lt;=23,VALUE(RIGHT(I73,2))&lt;=59))</formula1>
    </dataValidation>
    <dataValidation type="custom" showErrorMessage="1" errorStyle="stop" errorTitle="Invalid Time" error="Enter time as HH:MM (e.g. 09:30) or leave blank" sqref="I74">
      <formula1>OR(I74="",AND(LEN(I74)=5,MID(I74,3,1)=":",ISNUMBER(VALUE(LEFT(I74,2))),ISNUMBER(VALUE(RIGHT(I74,2))),VALUE(LEFT(I74,2))&lt;=23,VALUE(RIGHT(I74,2))&lt;=59))</formula1>
    </dataValidation>
    <dataValidation type="custom" showErrorMessage="1" errorStyle="stop" errorTitle="Invalid Time" error="Enter time as HH:MM (e.g. 09:30) or leave blank" sqref="I75">
      <formula1>OR(I75="",AND(LEN(I75)=5,MID(I75,3,1)=":",ISNUMBER(VALUE(LEFT(I75,2))),ISNUMBER(VALUE(RIGHT(I75,2))),VALUE(LEFT(I75,2))&lt;=23,VALUE(RIGHT(I75,2))&lt;=59))</formula1>
    </dataValidation>
    <dataValidation type="custom" showErrorMessage="1" errorStyle="stop" errorTitle="Invalid Time" error="Enter time as HH:MM (e.g. 09:30) or leave blank" sqref="I76">
      <formula1>OR(I76="",AND(LEN(I76)=5,MID(I76,3,1)=":",ISNUMBER(VALUE(LEFT(I76,2))),ISNUMBER(VALUE(RIGHT(I76,2))),VALUE(LEFT(I76,2))&lt;=23,VALUE(RIGHT(I76,2))&lt;=59))</formula1>
    </dataValidation>
    <dataValidation type="custom" showErrorMessage="1" errorStyle="stop" errorTitle="Invalid Time" error="Enter time as HH:MM (e.g. 09:30) or leave blank" sqref="I77">
      <formula1>OR(I77="",AND(LEN(I77)=5,MID(I77,3,1)=":",ISNUMBER(VALUE(LEFT(I77,2))),ISNUMBER(VALUE(RIGHT(I77,2))),VALUE(LEFT(I77,2))&lt;=23,VALUE(RIGHT(I77,2))&lt;=59))</formula1>
    </dataValidation>
    <dataValidation type="custom" showErrorMessage="1" errorStyle="stop" errorTitle="Invalid Time" error="Enter time as HH:MM (e.g. 09:30) or leave blank" sqref="I78">
      <formula1>OR(I78="",AND(LEN(I78)=5,MID(I78,3,1)=":",ISNUMBER(VALUE(LEFT(I78,2))),ISNUMBER(VALUE(RIGHT(I78,2))),VALUE(LEFT(I78,2))&lt;=23,VALUE(RIGHT(I78,2))&lt;=59))</formula1>
    </dataValidation>
    <dataValidation type="custom" showErrorMessage="1" errorStyle="stop" errorTitle="Invalid Time" error="Enter time as HH:MM (e.g. 09:30) or leave blank" sqref="I79">
      <formula1>OR(I79="",AND(LEN(I79)=5,MID(I79,3,1)=":",ISNUMBER(VALUE(LEFT(I79,2))),ISNUMBER(VALUE(RIGHT(I79,2))),VALUE(LEFT(I79,2))&lt;=23,VALUE(RIGHT(I79,2))&lt;=59))</formula1>
    </dataValidation>
    <dataValidation type="custom" showErrorMessage="1" errorStyle="stop" errorTitle="Invalid Time" error="Enter time as HH:MM (e.g. 09:30) or leave blank" sqref="I8">
      <formula1>OR(I8="",AND(LEN(I8)=5,MID(I8,3,1)=":",ISNUMBER(VALUE(LEFT(I8,2))),ISNUMBER(VALUE(RIGHT(I8,2))),VALUE(LEFT(I8,2))&lt;=23,VALUE(RIGHT(I8,2))&lt;=59))</formula1>
    </dataValidation>
    <dataValidation type="custom" showErrorMessage="1" errorStyle="stop" errorTitle="Invalid Time" error="Enter time as HH:MM (e.g. 09:30) or leave blank" sqref="I80">
      <formula1>OR(I80="",AND(LEN(I80)=5,MID(I80,3,1)=":",ISNUMBER(VALUE(LEFT(I80,2))),ISNUMBER(VALUE(RIGHT(I80,2))),VALUE(LEFT(I80,2))&lt;=23,VALUE(RIGHT(I80,2))&lt;=59))</formula1>
    </dataValidation>
    <dataValidation type="custom" showErrorMessage="1" errorStyle="stop" errorTitle="Invalid Time" error="Enter time as HH:MM (e.g. 09:30) or leave blank" sqref="I81">
      <formula1>OR(I81="",AND(LEN(I81)=5,MID(I81,3,1)=":",ISNUMBER(VALUE(LEFT(I81,2))),ISNUMBER(VALUE(RIGHT(I81,2))),VALUE(LEFT(I81,2))&lt;=23,VALUE(RIGHT(I81,2))&lt;=59))</formula1>
    </dataValidation>
    <dataValidation type="custom" showErrorMessage="1" errorStyle="stop" errorTitle="Invalid Time" error="Enter time as HH:MM (e.g. 09:30) or leave blank" sqref="I82">
      <formula1>OR(I82="",AND(LEN(I82)=5,MID(I82,3,1)=":",ISNUMBER(VALUE(LEFT(I82,2))),ISNUMBER(VALUE(RIGHT(I82,2))),VALUE(LEFT(I82,2))&lt;=23,VALUE(RIGHT(I82,2))&lt;=59))</formula1>
    </dataValidation>
    <dataValidation type="custom" showErrorMessage="1" errorStyle="stop" errorTitle="Invalid Time" error="Enter time as HH:MM (e.g. 09:30) or leave blank" sqref="I83">
      <formula1>OR(I83="",AND(LEN(I83)=5,MID(I83,3,1)=":",ISNUMBER(VALUE(LEFT(I83,2))),ISNUMBER(VALUE(RIGHT(I83,2))),VALUE(LEFT(I83,2))&lt;=23,VALUE(RIGHT(I83,2))&lt;=59))</formula1>
    </dataValidation>
    <dataValidation type="custom" showErrorMessage="1" errorStyle="stop" errorTitle="Invalid Time" error="Enter time as HH:MM (e.g. 09:30) or leave blank" sqref="I84">
      <formula1>OR(I84="",AND(LEN(I84)=5,MID(I84,3,1)=":",ISNUMBER(VALUE(LEFT(I84,2))),ISNUMBER(VALUE(RIGHT(I84,2))),VALUE(LEFT(I84,2))&lt;=23,VALUE(RIGHT(I84,2))&lt;=59))</formula1>
    </dataValidation>
    <dataValidation type="custom" showErrorMessage="1" errorStyle="stop" errorTitle="Invalid Time" error="Enter time as HH:MM (e.g. 09:30) or leave blank" sqref="I85">
      <formula1>OR(I85="",AND(LEN(I85)=5,MID(I85,3,1)=":",ISNUMBER(VALUE(LEFT(I85,2))),ISNUMBER(VALUE(RIGHT(I85,2))),VALUE(LEFT(I85,2))&lt;=23,VALUE(RIGHT(I85,2))&lt;=59))</formula1>
    </dataValidation>
    <dataValidation type="custom" showErrorMessage="1" errorStyle="stop" errorTitle="Invalid Time" error="Enter time as HH:MM (e.g. 09:30) or leave blank" sqref="I86">
      <formula1>OR(I86="",AND(LEN(I86)=5,MID(I86,3,1)=":",ISNUMBER(VALUE(LEFT(I86,2))),ISNUMBER(VALUE(RIGHT(I86,2))),VALUE(LEFT(I86,2))&lt;=23,VALUE(RIGHT(I86,2))&lt;=59))</formula1>
    </dataValidation>
    <dataValidation type="custom" showErrorMessage="1" errorStyle="stop" errorTitle="Invalid Time" error="Enter time as HH:MM (e.g. 09:30) or leave blank" sqref="I87">
      <formula1>OR(I87="",AND(LEN(I87)=5,MID(I87,3,1)=":",ISNUMBER(VALUE(LEFT(I87,2))),ISNUMBER(VALUE(RIGHT(I87,2))),VALUE(LEFT(I87,2))&lt;=23,VALUE(RIGHT(I87,2))&lt;=59))</formula1>
    </dataValidation>
    <dataValidation type="custom" showErrorMessage="1" errorStyle="stop" errorTitle="Invalid Time" error="Enter time as HH:MM (e.g. 09:30) or leave blank" sqref="I88">
      <formula1>OR(I88="",AND(LEN(I88)=5,MID(I88,3,1)=":",ISNUMBER(VALUE(LEFT(I88,2))),ISNUMBER(VALUE(RIGHT(I88,2))),VALUE(LEFT(I88,2))&lt;=23,VALUE(RIGHT(I88,2))&lt;=59))</formula1>
    </dataValidation>
    <dataValidation type="custom" showErrorMessage="1" errorStyle="stop" errorTitle="Invalid Time" error="Enter time as HH:MM (e.g. 09:30) or leave blank" sqref="I89">
      <formula1>OR(I89="",AND(LEN(I89)=5,MID(I89,3,1)=":",ISNUMBER(VALUE(LEFT(I89,2))),ISNUMBER(VALUE(RIGHT(I89,2))),VALUE(LEFT(I89,2))&lt;=23,VALUE(RIGHT(I89,2))&lt;=59))</formula1>
    </dataValidation>
    <dataValidation type="custom" showErrorMessage="1" errorStyle="stop" errorTitle="Invalid Time" error="Enter time as HH:MM (e.g. 09:30) or leave blank" sqref="I9">
      <formula1>OR(I9="",AND(LEN(I9)=5,MID(I9,3,1)=":",ISNUMBER(VALUE(LEFT(I9,2))),ISNUMBER(VALUE(RIGHT(I9,2))),VALUE(LEFT(I9,2))&lt;=23,VALUE(RIGHT(I9,2))&lt;=59))</formula1>
    </dataValidation>
    <dataValidation type="custom" showErrorMessage="1" errorStyle="stop" errorTitle="Invalid Time" error="Enter time as HH:MM (e.g. 09:30) or leave blank" sqref="I90">
      <formula1>OR(I90="",AND(LEN(I90)=5,MID(I90,3,1)=":",ISNUMBER(VALUE(LEFT(I90,2))),ISNUMBER(VALUE(RIGHT(I90,2))),VALUE(LEFT(I90,2))&lt;=23,VALUE(RIGHT(I90,2))&lt;=59))</formula1>
    </dataValidation>
    <dataValidation type="custom" showErrorMessage="1" errorStyle="stop" errorTitle="Invalid Time" error="Enter time as HH:MM (e.g. 09:30) or leave blank" sqref="I91">
      <formula1>OR(I91="",AND(LEN(I91)=5,MID(I91,3,1)=":",ISNUMBER(VALUE(LEFT(I91,2))),ISNUMBER(VALUE(RIGHT(I91,2))),VALUE(LEFT(I91,2))&lt;=23,VALUE(RIGHT(I91,2))&lt;=59))</formula1>
    </dataValidation>
    <dataValidation type="custom" showErrorMessage="1" errorStyle="stop" errorTitle="Invalid Time" error="Enter time as HH:MM (e.g. 09:30) or leave blank" sqref="I92">
      <formula1>OR(I92="",AND(LEN(I92)=5,MID(I92,3,1)=":",ISNUMBER(VALUE(LEFT(I92,2))),ISNUMBER(VALUE(RIGHT(I92,2))),VALUE(LEFT(I92,2))&lt;=23,VALUE(RIGHT(I92,2))&lt;=59))</formula1>
    </dataValidation>
    <dataValidation type="custom" showErrorMessage="1" errorStyle="stop" errorTitle="Invalid Time" error="Enter time as HH:MM (e.g. 09:30) or leave blank" sqref="I93">
      <formula1>OR(I93="",AND(LEN(I93)=5,MID(I93,3,1)=":",ISNUMBER(VALUE(LEFT(I93,2))),ISNUMBER(VALUE(RIGHT(I93,2))),VALUE(LEFT(I93,2))&lt;=23,VALUE(RIGHT(I93,2))&lt;=59))</formula1>
    </dataValidation>
    <dataValidation type="custom" showErrorMessage="1" errorStyle="stop" errorTitle="Invalid Time" error="Enter time as HH:MM (e.g. 09:30) or leave blank" sqref="I94">
      <formula1>OR(I94="",AND(LEN(I94)=5,MID(I94,3,1)=":",ISNUMBER(VALUE(LEFT(I94,2))),ISNUMBER(VALUE(RIGHT(I94,2))),VALUE(LEFT(I94,2))&lt;=23,VALUE(RIGHT(I94,2))&lt;=59))</formula1>
    </dataValidation>
    <dataValidation type="custom" showErrorMessage="1" errorStyle="stop" errorTitle="Invalid Time" error="Enter time as HH:MM (e.g. 09:30) or leave blank" sqref="I95">
      <formula1>OR(I95="",AND(LEN(I95)=5,MID(I95,3,1)=":",ISNUMBER(VALUE(LEFT(I95,2))),ISNUMBER(VALUE(RIGHT(I95,2))),VALUE(LEFT(I95,2))&lt;=23,VALUE(RIGHT(I95,2))&lt;=59))</formula1>
    </dataValidation>
    <dataValidation type="custom" showErrorMessage="1" errorStyle="stop" errorTitle="Invalid Time" error="Enter time as HH:MM (e.g. 09:30) or leave blank" sqref="I96">
      <formula1>OR(I96="",AND(LEN(I96)=5,MID(I96,3,1)=":",ISNUMBER(VALUE(LEFT(I96,2))),ISNUMBER(VALUE(RIGHT(I96,2))),VALUE(LEFT(I96,2))&lt;=23,VALUE(RIGHT(I96,2))&lt;=59))</formula1>
    </dataValidation>
    <dataValidation type="custom" showErrorMessage="1" errorStyle="stop" errorTitle="Invalid Time" error="Enter time as HH:MM (e.g. 09:30) or leave blank" sqref="I97">
      <formula1>OR(I97="",AND(LEN(I97)=5,MID(I97,3,1)=":",ISNUMBER(VALUE(LEFT(I97,2))),ISNUMBER(VALUE(RIGHT(I97,2))),VALUE(LEFT(I97,2))&lt;=23,VALUE(RIGHT(I97,2))&lt;=59))</formula1>
    </dataValidation>
    <dataValidation type="custom" showErrorMessage="1" errorStyle="stop" errorTitle="Invalid Time" error="Enter time as HH:MM (e.g. 09:30) or leave blank" sqref="I98">
      <formula1>OR(I98="",AND(LEN(I98)=5,MID(I98,3,1)=":",ISNUMBER(VALUE(LEFT(I98,2))),ISNUMBER(VALUE(RIGHT(I98,2))),VALUE(LEFT(I98,2))&lt;=23,VALUE(RIGHT(I98,2))&lt;=59))</formula1>
    </dataValidation>
    <dataValidation type="custom" showErrorMessage="1" errorStyle="stop" errorTitle="Invalid Time" error="Enter time as HH:MM (e.g. 09:30) or leave blank" sqref="I99">
      <formula1>OR(I99="",AND(LEN(I99)=5,MID(I99,3,1)=":",ISNUMBER(VALUE(LEFT(I99,2))),ISNUMBER(VALUE(RIGHT(I99,2))),VALUE(LEFT(I99,2))&lt;=23,VALUE(RIGHT(I99,2))&lt;=59))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2C2C"/>
  </sheetPr>
  <dimension ref="A1:P1000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style="16" customWidth="1"/>
    <col min="2" max="2" width="22" customWidth="1"/>
    <col min="3" max="3" width="14" customWidth="1"/>
    <col min="4" max="5" width="16" customWidth="1"/>
    <col min="6" max="6" width="22" customWidth="1"/>
    <col min="7" max="7" width="18" customWidth="1"/>
    <col min="8" max="9" width="17" customWidth="1"/>
    <col min="10" max="10" width="18" customWidth="1"/>
    <col min="11" max="11" width="17" customWidth="1"/>
    <col min="12" max="12" width="16" customWidth="1"/>
    <col min="13" max="13" width="13" customWidth="1"/>
    <col min="14" max="14" width="18" customWidth="1"/>
    <col min="15" max="15" width="14" customWidth="1"/>
    <col min="16" max="16" width="12" customWidth="1"/>
  </cols>
  <sheetData>
    <row r="1" ht="14" customHeight="1" spans="1:4" x14ac:dyDescent="0.25">
      <c r="A1" s="17" t="s">
        <v>73</v>
      </c>
      <c r="B1" s="18" t="s">
        <v>74</v>
      </c>
      <c r="C1" s="19" t="s">
        <v>75</v>
      </c>
      <c r="D1" s="20" t="s">
        <v>76</v>
      </c>
    </row>
    <row r="2" ht="22" customHeight="1" spans="1:16" x14ac:dyDescent="0.25">
      <c r="A2" s="21" t="s">
        <v>77</v>
      </c>
      <c r="B2" s="22" t="s">
        <v>90</v>
      </c>
      <c r="C2" s="22" t="s">
        <v>91</v>
      </c>
      <c r="D2" s="22" t="s">
        <v>92</v>
      </c>
      <c r="E2" s="22" t="s">
        <v>93</v>
      </c>
      <c r="F2" s="23" t="s">
        <v>21</v>
      </c>
      <c r="G2" s="26" t="s">
        <v>94</v>
      </c>
      <c r="H2" s="26" t="s">
        <v>95</v>
      </c>
      <c r="I2" s="26" t="s">
        <v>96</v>
      </c>
      <c r="J2" s="26" t="s">
        <v>97</v>
      </c>
      <c r="K2" s="26" t="s">
        <v>98</v>
      </c>
      <c r="L2" s="26" t="s">
        <v>99</v>
      </c>
      <c r="M2" s="26" t="s">
        <v>100</v>
      </c>
      <c r="N2" s="24" t="s">
        <v>101</v>
      </c>
      <c r="O2" s="24" t="s">
        <v>102</v>
      </c>
      <c r="P2" s="24" t="s">
        <v>103</v>
      </c>
    </row>
    <row r="3" spans="1:13" x14ac:dyDescent="0.25">
      <c r="A3" s="16"/>
      <c r="E3" s="27"/>
      <c r="F3" t="s">
        <v>26</v>
      </c>
      <c r="G3" s="28">
        <f>IFERROR(VLOOKUP(F3,CARTON_LOOKUP!$A:$E,3,0),"")</f>
      </c>
      <c r="H3" s="28">
        <f>IFERROR(VLOOKUP(F3,CARTON_LOOKUP!$A:$E,4,0),"")</f>
      </c>
      <c r="I3" s="28">
        <f>IFERROR(VLOOKUP(F3,CARTON_LOOKUP!$A:$E,5,0),"")</f>
      </c>
      <c r="J3" s="29">
        <f>IFERROR(VLOOKUP(F3,CARTON_LOOKUP!$A:$E,2,0),"")</f>
      </c>
      <c r="K3" s="29">
        <f>IFERROR(J3*D3,0)</f>
      </c>
      <c r="L3" s="29">
        <f>IFERROR(E3*C3,0)</f>
      </c>
      <c r="M3" s="29">
        <f>IFERROR((G3*H3*I3/1000000)*D3,0)</f>
      </c>
    </row>
    <row r="4" spans="1:13" x14ac:dyDescent="0.25">
      <c r="A4" s="16"/>
      <c r="E4" s="27"/>
      <c r="F4" t="s">
        <v>26</v>
      </c>
      <c r="G4" s="28">
        <f>IFERROR(VLOOKUP(F4,CARTON_LOOKUP!$A:$E,3,0),"")</f>
      </c>
      <c r="H4" s="28">
        <f>IFERROR(VLOOKUP(F4,CARTON_LOOKUP!$A:$E,4,0),"")</f>
      </c>
      <c r="I4" s="28">
        <f>IFERROR(VLOOKUP(F4,CARTON_LOOKUP!$A:$E,5,0),"")</f>
      </c>
      <c r="J4" s="29">
        <f>IFERROR(VLOOKUP(F4,CARTON_LOOKUP!$A:$E,2,0),"")</f>
      </c>
      <c r="K4" s="29">
        <f>IFERROR(J4*D4,0)</f>
      </c>
      <c r="L4" s="29">
        <f>IFERROR(E4*C4,0)</f>
      </c>
      <c r="M4" s="29">
        <f>IFERROR((G4*H4*I4/1000000)*D4,0)</f>
      </c>
    </row>
    <row r="5" spans="1:13" x14ac:dyDescent="0.25">
      <c r="A5" s="16"/>
      <c r="E5" s="27"/>
      <c r="F5" t="s">
        <v>26</v>
      </c>
      <c r="G5" s="28">
        <f>IFERROR(VLOOKUP(F5,CARTON_LOOKUP!$A:$E,3,0),"")</f>
      </c>
      <c r="H5" s="28">
        <f>IFERROR(VLOOKUP(F5,CARTON_LOOKUP!$A:$E,4,0),"")</f>
      </c>
      <c r="I5" s="28">
        <f>IFERROR(VLOOKUP(F5,CARTON_LOOKUP!$A:$E,5,0),"")</f>
      </c>
      <c r="J5" s="29">
        <f>IFERROR(VLOOKUP(F5,CARTON_LOOKUP!$A:$E,2,0),"")</f>
      </c>
      <c r="K5" s="29">
        <f>IFERROR(J5*D5,0)</f>
      </c>
      <c r="L5" s="29">
        <f>IFERROR(E5*C5,0)</f>
      </c>
      <c r="M5" s="29">
        <f>IFERROR((G5*H5*I5/1000000)*D5,0)</f>
      </c>
    </row>
    <row r="6" spans="1:13" x14ac:dyDescent="0.25">
      <c r="A6" s="16"/>
      <c r="E6" s="27"/>
      <c r="F6" t="s">
        <v>26</v>
      </c>
      <c r="G6" s="28">
        <f>IFERROR(VLOOKUP(F6,CARTON_LOOKUP!$A:$E,3,0),"")</f>
      </c>
      <c r="H6" s="28">
        <f>IFERROR(VLOOKUP(F6,CARTON_LOOKUP!$A:$E,4,0),"")</f>
      </c>
      <c r="I6" s="28">
        <f>IFERROR(VLOOKUP(F6,CARTON_LOOKUP!$A:$E,5,0),"")</f>
      </c>
      <c r="J6" s="29">
        <f>IFERROR(VLOOKUP(F6,CARTON_LOOKUP!$A:$E,2,0),"")</f>
      </c>
      <c r="K6" s="29">
        <f>IFERROR(J6*D6,0)</f>
      </c>
      <c r="L6" s="29">
        <f>IFERROR(E6*C6,0)</f>
      </c>
      <c r="M6" s="29">
        <f>IFERROR((G6*H6*I6/1000000)*D6,0)</f>
      </c>
    </row>
    <row r="7" spans="1:13" x14ac:dyDescent="0.25">
      <c r="A7" s="16"/>
      <c r="E7" s="27"/>
      <c r="F7" t="s">
        <v>26</v>
      </c>
      <c r="G7" s="28">
        <f>IFERROR(VLOOKUP(F7,CARTON_LOOKUP!$A:$E,3,0),"")</f>
      </c>
      <c r="H7" s="28">
        <f>IFERROR(VLOOKUP(F7,CARTON_LOOKUP!$A:$E,4,0),"")</f>
      </c>
      <c r="I7" s="28">
        <f>IFERROR(VLOOKUP(F7,CARTON_LOOKUP!$A:$E,5,0),"")</f>
      </c>
      <c r="J7" s="29">
        <f>IFERROR(VLOOKUP(F7,CARTON_LOOKUP!$A:$E,2,0),"")</f>
      </c>
      <c r="K7" s="29">
        <f>IFERROR(J7*D7,0)</f>
      </c>
      <c r="L7" s="29">
        <f>IFERROR(E7*C7,0)</f>
      </c>
      <c r="M7" s="29">
        <f>IFERROR((G7*H7*I7/1000000)*D7,0)</f>
      </c>
    </row>
    <row r="8" spans="1:13" x14ac:dyDescent="0.25">
      <c r="A8" s="16"/>
      <c r="E8" s="27"/>
      <c r="F8" t="s">
        <v>26</v>
      </c>
      <c r="G8" s="28">
        <f>IFERROR(VLOOKUP(F8,CARTON_LOOKUP!$A:$E,3,0),"")</f>
      </c>
      <c r="H8" s="28">
        <f>IFERROR(VLOOKUP(F8,CARTON_LOOKUP!$A:$E,4,0),"")</f>
      </c>
      <c r="I8" s="28">
        <f>IFERROR(VLOOKUP(F8,CARTON_LOOKUP!$A:$E,5,0),"")</f>
      </c>
      <c r="J8" s="29">
        <f>IFERROR(VLOOKUP(F8,CARTON_LOOKUP!$A:$E,2,0),"")</f>
      </c>
      <c r="K8" s="29">
        <f>IFERROR(J8*D8,0)</f>
      </c>
      <c r="L8" s="29">
        <f>IFERROR(E8*C8,0)</f>
      </c>
      <c r="M8" s="29">
        <f>IFERROR((G8*H8*I8/1000000)*D8,0)</f>
      </c>
    </row>
    <row r="9" spans="1:13" x14ac:dyDescent="0.25">
      <c r="A9" s="16"/>
      <c r="E9" s="27"/>
      <c r="F9" t="s">
        <v>26</v>
      </c>
      <c r="G9" s="28">
        <f>IFERROR(VLOOKUP(F9,CARTON_LOOKUP!$A:$E,3,0),"")</f>
      </c>
      <c r="H9" s="28">
        <f>IFERROR(VLOOKUP(F9,CARTON_LOOKUP!$A:$E,4,0),"")</f>
      </c>
      <c r="I9" s="28">
        <f>IFERROR(VLOOKUP(F9,CARTON_LOOKUP!$A:$E,5,0),"")</f>
      </c>
      <c r="J9" s="29">
        <f>IFERROR(VLOOKUP(F9,CARTON_LOOKUP!$A:$E,2,0),"")</f>
      </c>
      <c r="K9" s="29">
        <f>IFERROR(J9*D9,0)</f>
      </c>
      <c r="L9" s="29">
        <f>IFERROR(E9*C9,0)</f>
      </c>
      <c r="M9" s="29">
        <f>IFERROR((G9*H9*I9/1000000)*D9,0)</f>
      </c>
    </row>
    <row r="10" spans="1:13" x14ac:dyDescent="0.25">
      <c r="A10" s="16"/>
      <c r="E10" s="27"/>
      <c r="F10" t="s">
        <v>26</v>
      </c>
      <c r="G10" s="28">
        <f>IFERROR(VLOOKUP(F10,CARTON_LOOKUP!$A:$E,3,0),"")</f>
      </c>
      <c r="H10" s="28">
        <f>IFERROR(VLOOKUP(F10,CARTON_LOOKUP!$A:$E,4,0),"")</f>
      </c>
      <c r="I10" s="28">
        <f>IFERROR(VLOOKUP(F10,CARTON_LOOKUP!$A:$E,5,0),"")</f>
      </c>
      <c r="J10" s="29">
        <f>IFERROR(VLOOKUP(F10,CARTON_LOOKUP!$A:$E,2,0),"")</f>
      </c>
      <c r="K10" s="29">
        <f>IFERROR(J10*D10,0)</f>
      </c>
      <c r="L10" s="29">
        <f>IFERROR(E10*C10,0)</f>
      </c>
      <c r="M10" s="29">
        <f>IFERROR((G10*H10*I10/1000000)*D10,0)</f>
      </c>
    </row>
    <row r="11" spans="1:13" x14ac:dyDescent="0.25">
      <c r="A11" s="16"/>
      <c r="E11" s="27"/>
      <c r="F11" t="s">
        <v>26</v>
      </c>
      <c r="G11" s="28">
        <f>IFERROR(VLOOKUP(F11,CARTON_LOOKUP!$A:$E,3,0),"")</f>
      </c>
      <c r="H11" s="28">
        <f>IFERROR(VLOOKUP(F11,CARTON_LOOKUP!$A:$E,4,0),"")</f>
      </c>
      <c r="I11" s="28">
        <f>IFERROR(VLOOKUP(F11,CARTON_LOOKUP!$A:$E,5,0),"")</f>
      </c>
      <c r="J11" s="29">
        <f>IFERROR(VLOOKUP(F11,CARTON_LOOKUP!$A:$E,2,0),"")</f>
      </c>
      <c r="K11" s="29">
        <f>IFERROR(J11*D11,0)</f>
      </c>
      <c r="L11" s="29">
        <f>IFERROR(E11*C11,0)</f>
      </c>
      <c r="M11" s="29">
        <f>IFERROR((G11*H11*I11/1000000)*D11,0)</f>
      </c>
    </row>
    <row r="12" spans="1:13" x14ac:dyDescent="0.25">
      <c r="A12" s="16"/>
      <c r="E12" s="27"/>
      <c r="F12" t="s">
        <v>26</v>
      </c>
      <c r="G12" s="28">
        <f>IFERROR(VLOOKUP(F12,CARTON_LOOKUP!$A:$E,3,0),"")</f>
      </c>
      <c r="H12" s="28">
        <f>IFERROR(VLOOKUP(F12,CARTON_LOOKUP!$A:$E,4,0),"")</f>
      </c>
      <c r="I12" s="28">
        <f>IFERROR(VLOOKUP(F12,CARTON_LOOKUP!$A:$E,5,0),"")</f>
      </c>
      <c r="J12" s="29">
        <f>IFERROR(VLOOKUP(F12,CARTON_LOOKUP!$A:$E,2,0),"")</f>
      </c>
      <c r="K12" s="29">
        <f>IFERROR(J12*D12,0)</f>
      </c>
      <c r="L12" s="29">
        <f>IFERROR(E12*C12,0)</f>
      </c>
      <c r="M12" s="29">
        <f>IFERROR((G12*H12*I12/1000000)*D12,0)</f>
      </c>
    </row>
    <row r="13" spans="1:13" x14ac:dyDescent="0.25">
      <c r="A13" s="16"/>
      <c r="E13" s="27"/>
      <c r="F13" t="s">
        <v>26</v>
      </c>
      <c r="G13" s="28">
        <f>IFERROR(VLOOKUP(F13,CARTON_LOOKUP!$A:$E,3,0),"")</f>
      </c>
      <c r="H13" s="28">
        <f>IFERROR(VLOOKUP(F13,CARTON_LOOKUP!$A:$E,4,0),"")</f>
      </c>
      <c r="I13" s="28">
        <f>IFERROR(VLOOKUP(F13,CARTON_LOOKUP!$A:$E,5,0),"")</f>
      </c>
      <c r="J13" s="29">
        <f>IFERROR(VLOOKUP(F13,CARTON_LOOKUP!$A:$E,2,0),"")</f>
      </c>
      <c r="K13" s="29">
        <f>IFERROR(J13*D13,0)</f>
      </c>
      <c r="L13" s="29">
        <f>IFERROR(E13*C13,0)</f>
      </c>
      <c r="M13" s="29">
        <f>IFERROR((G13*H13*I13/1000000)*D13,0)</f>
      </c>
    </row>
    <row r="14" spans="1:13" x14ac:dyDescent="0.25">
      <c r="A14" s="16"/>
      <c r="E14" s="27"/>
      <c r="F14" t="s">
        <v>26</v>
      </c>
      <c r="G14" s="28">
        <f>IFERROR(VLOOKUP(F14,CARTON_LOOKUP!$A:$E,3,0),"")</f>
      </c>
      <c r="H14" s="28">
        <f>IFERROR(VLOOKUP(F14,CARTON_LOOKUP!$A:$E,4,0),"")</f>
      </c>
      <c r="I14" s="28">
        <f>IFERROR(VLOOKUP(F14,CARTON_LOOKUP!$A:$E,5,0),"")</f>
      </c>
      <c r="J14" s="29">
        <f>IFERROR(VLOOKUP(F14,CARTON_LOOKUP!$A:$E,2,0),"")</f>
      </c>
      <c r="K14" s="29">
        <f>IFERROR(J14*D14,0)</f>
      </c>
      <c r="L14" s="29">
        <f>IFERROR(E14*C14,0)</f>
      </c>
      <c r="M14" s="29">
        <f>IFERROR((G14*H14*I14/1000000)*D14,0)</f>
      </c>
    </row>
    <row r="15" spans="1:13" x14ac:dyDescent="0.25">
      <c r="A15" s="16"/>
      <c r="E15" s="27"/>
      <c r="F15" t="s">
        <v>26</v>
      </c>
      <c r="G15" s="28">
        <f>IFERROR(VLOOKUP(F15,CARTON_LOOKUP!$A:$E,3,0),"")</f>
      </c>
      <c r="H15" s="28">
        <f>IFERROR(VLOOKUP(F15,CARTON_LOOKUP!$A:$E,4,0),"")</f>
      </c>
      <c r="I15" s="28">
        <f>IFERROR(VLOOKUP(F15,CARTON_LOOKUP!$A:$E,5,0),"")</f>
      </c>
      <c r="J15" s="29">
        <f>IFERROR(VLOOKUP(F15,CARTON_LOOKUP!$A:$E,2,0),"")</f>
      </c>
      <c r="K15" s="29">
        <f>IFERROR(J15*D15,0)</f>
      </c>
      <c r="L15" s="29">
        <f>IFERROR(E15*C15,0)</f>
      </c>
      <c r="M15" s="29">
        <f>IFERROR((G15*H15*I15/1000000)*D15,0)</f>
      </c>
    </row>
    <row r="16" spans="1:13" x14ac:dyDescent="0.25">
      <c r="A16" s="16"/>
      <c r="E16" s="27"/>
      <c r="F16" t="s">
        <v>26</v>
      </c>
      <c r="G16" s="28">
        <f>IFERROR(VLOOKUP(F16,CARTON_LOOKUP!$A:$E,3,0),"")</f>
      </c>
      <c r="H16" s="28">
        <f>IFERROR(VLOOKUP(F16,CARTON_LOOKUP!$A:$E,4,0),"")</f>
      </c>
      <c r="I16" s="28">
        <f>IFERROR(VLOOKUP(F16,CARTON_LOOKUP!$A:$E,5,0),"")</f>
      </c>
      <c r="J16" s="29">
        <f>IFERROR(VLOOKUP(F16,CARTON_LOOKUP!$A:$E,2,0),"")</f>
      </c>
      <c r="K16" s="29">
        <f>IFERROR(J16*D16,0)</f>
      </c>
      <c r="L16" s="29">
        <f>IFERROR(E16*C16,0)</f>
      </c>
      <c r="M16" s="29">
        <f>IFERROR((G16*H16*I16/1000000)*D16,0)</f>
      </c>
    </row>
    <row r="17" spans="1:13" x14ac:dyDescent="0.25">
      <c r="A17" s="16"/>
      <c r="E17" s="27"/>
      <c r="F17" t="s">
        <v>26</v>
      </c>
      <c r="G17" s="28">
        <f>IFERROR(VLOOKUP(F17,CARTON_LOOKUP!$A:$E,3,0),"")</f>
      </c>
      <c r="H17" s="28">
        <f>IFERROR(VLOOKUP(F17,CARTON_LOOKUP!$A:$E,4,0),"")</f>
      </c>
      <c r="I17" s="28">
        <f>IFERROR(VLOOKUP(F17,CARTON_LOOKUP!$A:$E,5,0),"")</f>
      </c>
      <c r="J17" s="29">
        <f>IFERROR(VLOOKUP(F17,CARTON_LOOKUP!$A:$E,2,0),"")</f>
      </c>
      <c r="K17" s="29">
        <f>IFERROR(J17*D17,0)</f>
      </c>
      <c r="L17" s="29">
        <f>IFERROR(E17*C17,0)</f>
      </c>
      <c r="M17" s="29">
        <f>IFERROR((G17*H17*I17/1000000)*D17,0)</f>
      </c>
    </row>
    <row r="18" spans="1:13" x14ac:dyDescent="0.25">
      <c r="A18" s="16"/>
      <c r="E18" s="27"/>
      <c r="F18" t="s">
        <v>26</v>
      </c>
      <c r="G18" s="28">
        <f>IFERROR(VLOOKUP(F18,CARTON_LOOKUP!$A:$E,3,0),"")</f>
      </c>
      <c r="H18" s="28">
        <f>IFERROR(VLOOKUP(F18,CARTON_LOOKUP!$A:$E,4,0),"")</f>
      </c>
      <c r="I18" s="28">
        <f>IFERROR(VLOOKUP(F18,CARTON_LOOKUP!$A:$E,5,0),"")</f>
      </c>
      <c r="J18" s="29">
        <f>IFERROR(VLOOKUP(F18,CARTON_LOOKUP!$A:$E,2,0),"")</f>
      </c>
      <c r="K18" s="29">
        <f>IFERROR(J18*D18,0)</f>
      </c>
      <c r="L18" s="29">
        <f>IFERROR(E18*C18,0)</f>
      </c>
      <c r="M18" s="29">
        <f>IFERROR((G18*H18*I18/1000000)*D18,0)</f>
      </c>
    </row>
    <row r="19" spans="1:13" x14ac:dyDescent="0.25">
      <c r="A19" s="16"/>
      <c r="E19" s="27"/>
      <c r="F19" t="s">
        <v>26</v>
      </c>
      <c r="G19" s="28">
        <f>IFERROR(VLOOKUP(F19,CARTON_LOOKUP!$A:$E,3,0),"")</f>
      </c>
      <c r="H19" s="28">
        <f>IFERROR(VLOOKUP(F19,CARTON_LOOKUP!$A:$E,4,0),"")</f>
      </c>
      <c r="I19" s="28">
        <f>IFERROR(VLOOKUP(F19,CARTON_LOOKUP!$A:$E,5,0),"")</f>
      </c>
      <c r="J19" s="29">
        <f>IFERROR(VLOOKUP(F19,CARTON_LOOKUP!$A:$E,2,0),"")</f>
      </c>
      <c r="K19" s="29">
        <f>IFERROR(J19*D19,0)</f>
      </c>
      <c r="L19" s="29">
        <f>IFERROR(E19*C19,0)</f>
      </c>
      <c r="M19" s="29">
        <f>IFERROR((G19*H19*I19/1000000)*D19,0)</f>
      </c>
    </row>
    <row r="20" spans="1:13" x14ac:dyDescent="0.25">
      <c r="A20" s="16"/>
      <c r="E20" s="27"/>
      <c r="F20" t="s">
        <v>26</v>
      </c>
      <c r="G20" s="28">
        <f>IFERROR(VLOOKUP(F20,CARTON_LOOKUP!$A:$E,3,0),"")</f>
      </c>
      <c r="H20" s="28">
        <f>IFERROR(VLOOKUP(F20,CARTON_LOOKUP!$A:$E,4,0),"")</f>
      </c>
      <c r="I20" s="28">
        <f>IFERROR(VLOOKUP(F20,CARTON_LOOKUP!$A:$E,5,0),"")</f>
      </c>
      <c r="J20" s="29">
        <f>IFERROR(VLOOKUP(F20,CARTON_LOOKUP!$A:$E,2,0),"")</f>
      </c>
      <c r="K20" s="29">
        <f>IFERROR(J20*D20,0)</f>
      </c>
      <c r="L20" s="29">
        <f>IFERROR(E20*C20,0)</f>
      </c>
      <c r="M20" s="29">
        <f>IFERROR((G20*H20*I20/1000000)*D20,0)</f>
      </c>
    </row>
    <row r="21" spans="1:13" x14ac:dyDescent="0.25">
      <c r="A21" s="16"/>
      <c r="E21" s="27"/>
      <c r="F21" t="s">
        <v>26</v>
      </c>
      <c r="G21" s="28">
        <f>IFERROR(VLOOKUP(F21,CARTON_LOOKUP!$A:$E,3,0),"")</f>
      </c>
      <c r="H21" s="28">
        <f>IFERROR(VLOOKUP(F21,CARTON_LOOKUP!$A:$E,4,0),"")</f>
      </c>
      <c r="I21" s="28">
        <f>IFERROR(VLOOKUP(F21,CARTON_LOOKUP!$A:$E,5,0),"")</f>
      </c>
      <c r="J21" s="29">
        <f>IFERROR(VLOOKUP(F21,CARTON_LOOKUP!$A:$E,2,0),"")</f>
      </c>
      <c r="K21" s="29">
        <f>IFERROR(J21*D21,0)</f>
      </c>
      <c r="L21" s="29">
        <f>IFERROR(E21*C21,0)</f>
      </c>
      <c r="M21" s="29">
        <f>IFERROR((G21*H21*I21/1000000)*D21,0)</f>
      </c>
    </row>
    <row r="22" spans="1:13" x14ac:dyDescent="0.25">
      <c r="A22" s="16"/>
      <c r="E22" s="27"/>
      <c r="F22" t="s">
        <v>26</v>
      </c>
      <c r="G22" s="28">
        <f>IFERROR(VLOOKUP(F22,CARTON_LOOKUP!$A:$E,3,0),"")</f>
      </c>
      <c r="H22" s="28">
        <f>IFERROR(VLOOKUP(F22,CARTON_LOOKUP!$A:$E,4,0),"")</f>
      </c>
      <c r="I22" s="28">
        <f>IFERROR(VLOOKUP(F22,CARTON_LOOKUP!$A:$E,5,0),"")</f>
      </c>
      <c r="J22" s="29">
        <f>IFERROR(VLOOKUP(F22,CARTON_LOOKUP!$A:$E,2,0),"")</f>
      </c>
      <c r="K22" s="29">
        <f>IFERROR(J22*D22,0)</f>
      </c>
      <c r="L22" s="29">
        <f>IFERROR(E22*C22,0)</f>
      </c>
      <c r="M22" s="29">
        <f>IFERROR((G22*H22*I22/1000000)*D22,0)</f>
      </c>
    </row>
    <row r="23" spans="1:13" x14ac:dyDescent="0.25">
      <c r="A23" s="16"/>
      <c r="E23" s="27"/>
      <c r="F23" t="s">
        <v>26</v>
      </c>
      <c r="G23" s="28">
        <f>IFERROR(VLOOKUP(F23,CARTON_LOOKUP!$A:$E,3,0),"")</f>
      </c>
      <c r="H23" s="28">
        <f>IFERROR(VLOOKUP(F23,CARTON_LOOKUP!$A:$E,4,0),"")</f>
      </c>
      <c r="I23" s="28">
        <f>IFERROR(VLOOKUP(F23,CARTON_LOOKUP!$A:$E,5,0),"")</f>
      </c>
      <c r="J23" s="29">
        <f>IFERROR(VLOOKUP(F23,CARTON_LOOKUP!$A:$E,2,0),"")</f>
      </c>
      <c r="K23" s="29">
        <f>IFERROR(J23*D23,0)</f>
      </c>
      <c r="L23" s="29">
        <f>IFERROR(E23*C23,0)</f>
      </c>
      <c r="M23" s="29">
        <f>IFERROR((G23*H23*I23/1000000)*D23,0)</f>
      </c>
    </row>
    <row r="24" spans="1:13" x14ac:dyDescent="0.25">
      <c r="A24" s="16"/>
      <c r="E24" s="27"/>
      <c r="F24" t="s">
        <v>26</v>
      </c>
      <c r="G24" s="28">
        <f>IFERROR(VLOOKUP(F24,CARTON_LOOKUP!$A:$E,3,0),"")</f>
      </c>
      <c r="H24" s="28">
        <f>IFERROR(VLOOKUP(F24,CARTON_LOOKUP!$A:$E,4,0),"")</f>
      </c>
      <c r="I24" s="28">
        <f>IFERROR(VLOOKUP(F24,CARTON_LOOKUP!$A:$E,5,0),"")</f>
      </c>
      <c r="J24" s="29">
        <f>IFERROR(VLOOKUP(F24,CARTON_LOOKUP!$A:$E,2,0),"")</f>
      </c>
      <c r="K24" s="29">
        <f>IFERROR(J24*D24,0)</f>
      </c>
      <c r="L24" s="29">
        <f>IFERROR(E24*C24,0)</f>
      </c>
      <c r="M24" s="29">
        <f>IFERROR((G24*H24*I24/1000000)*D24,0)</f>
      </c>
    </row>
    <row r="25" spans="1:13" x14ac:dyDescent="0.25">
      <c r="A25" s="16"/>
      <c r="E25" s="27"/>
      <c r="F25" t="s">
        <v>26</v>
      </c>
      <c r="G25" s="28">
        <f>IFERROR(VLOOKUP(F25,CARTON_LOOKUP!$A:$E,3,0),"")</f>
      </c>
      <c r="H25" s="28">
        <f>IFERROR(VLOOKUP(F25,CARTON_LOOKUP!$A:$E,4,0),"")</f>
      </c>
      <c r="I25" s="28">
        <f>IFERROR(VLOOKUP(F25,CARTON_LOOKUP!$A:$E,5,0),"")</f>
      </c>
      <c r="J25" s="29">
        <f>IFERROR(VLOOKUP(F25,CARTON_LOOKUP!$A:$E,2,0),"")</f>
      </c>
      <c r="K25" s="29">
        <f>IFERROR(J25*D25,0)</f>
      </c>
      <c r="L25" s="29">
        <f>IFERROR(E25*C25,0)</f>
      </c>
      <c r="M25" s="29">
        <f>IFERROR((G25*H25*I25/1000000)*D25,0)</f>
      </c>
    </row>
    <row r="26" spans="1:13" x14ac:dyDescent="0.25">
      <c r="A26" s="16"/>
      <c r="E26" s="27"/>
      <c r="F26" t="s">
        <v>26</v>
      </c>
      <c r="G26" s="28">
        <f>IFERROR(VLOOKUP(F26,CARTON_LOOKUP!$A:$E,3,0),"")</f>
      </c>
      <c r="H26" s="28">
        <f>IFERROR(VLOOKUP(F26,CARTON_LOOKUP!$A:$E,4,0),"")</f>
      </c>
      <c r="I26" s="28">
        <f>IFERROR(VLOOKUP(F26,CARTON_LOOKUP!$A:$E,5,0),"")</f>
      </c>
      <c r="J26" s="29">
        <f>IFERROR(VLOOKUP(F26,CARTON_LOOKUP!$A:$E,2,0),"")</f>
      </c>
      <c r="K26" s="29">
        <f>IFERROR(J26*D26,0)</f>
      </c>
      <c r="L26" s="29">
        <f>IFERROR(E26*C26,0)</f>
      </c>
      <c r="M26" s="29">
        <f>IFERROR((G26*H26*I26/1000000)*D26,0)</f>
      </c>
    </row>
    <row r="27" spans="1:13" x14ac:dyDescent="0.25">
      <c r="A27" s="16"/>
      <c r="E27" s="27"/>
      <c r="F27" t="s">
        <v>26</v>
      </c>
      <c r="G27" s="28">
        <f>IFERROR(VLOOKUP(F27,CARTON_LOOKUP!$A:$E,3,0),"")</f>
      </c>
      <c r="H27" s="28">
        <f>IFERROR(VLOOKUP(F27,CARTON_LOOKUP!$A:$E,4,0),"")</f>
      </c>
      <c r="I27" s="28">
        <f>IFERROR(VLOOKUP(F27,CARTON_LOOKUP!$A:$E,5,0),"")</f>
      </c>
      <c r="J27" s="29">
        <f>IFERROR(VLOOKUP(F27,CARTON_LOOKUP!$A:$E,2,0),"")</f>
      </c>
      <c r="K27" s="29">
        <f>IFERROR(J27*D27,0)</f>
      </c>
      <c r="L27" s="29">
        <f>IFERROR(E27*C27,0)</f>
      </c>
      <c r="M27" s="29">
        <f>IFERROR((G27*H27*I27/1000000)*D27,0)</f>
      </c>
    </row>
    <row r="28" spans="1:13" x14ac:dyDescent="0.25">
      <c r="A28" s="16"/>
      <c r="E28" s="27"/>
      <c r="F28" t="s">
        <v>26</v>
      </c>
      <c r="G28" s="28">
        <f>IFERROR(VLOOKUP(F28,CARTON_LOOKUP!$A:$E,3,0),"")</f>
      </c>
      <c r="H28" s="28">
        <f>IFERROR(VLOOKUP(F28,CARTON_LOOKUP!$A:$E,4,0),"")</f>
      </c>
      <c r="I28" s="28">
        <f>IFERROR(VLOOKUP(F28,CARTON_LOOKUP!$A:$E,5,0),"")</f>
      </c>
      <c r="J28" s="29">
        <f>IFERROR(VLOOKUP(F28,CARTON_LOOKUP!$A:$E,2,0),"")</f>
      </c>
      <c r="K28" s="29">
        <f>IFERROR(J28*D28,0)</f>
      </c>
      <c r="L28" s="29">
        <f>IFERROR(E28*C28,0)</f>
      </c>
      <c r="M28" s="29">
        <f>IFERROR((G28*H28*I28/1000000)*D28,0)</f>
      </c>
    </row>
    <row r="29" spans="1:13" x14ac:dyDescent="0.25">
      <c r="A29" s="16"/>
      <c r="E29" s="27"/>
      <c r="F29" t="s">
        <v>26</v>
      </c>
      <c r="G29" s="28">
        <f>IFERROR(VLOOKUP(F29,CARTON_LOOKUP!$A:$E,3,0),"")</f>
      </c>
      <c r="H29" s="28">
        <f>IFERROR(VLOOKUP(F29,CARTON_LOOKUP!$A:$E,4,0),"")</f>
      </c>
      <c r="I29" s="28">
        <f>IFERROR(VLOOKUP(F29,CARTON_LOOKUP!$A:$E,5,0),"")</f>
      </c>
      <c r="J29" s="29">
        <f>IFERROR(VLOOKUP(F29,CARTON_LOOKUP!$A:$E,2,0),"")</f>
      </c>
      <c r="K29" s="29">
        <f>IFERROR(J29*D29,0)</f>
      </c>
      <c r="L29" s="29">
        <f>IFERROR(E29*C29,0)</f>
      </c>
      <c r="M29" s="29">
        <f>IFERROR((G29*H29*I29/1000000)*D29,0)</f>
      </c>
    </row>
    <row r="30" spans="1:13" x14ac:dyDescent="0.25">
      <c r="A30" s="16"/>
      <c r="E30" s="27"/>
      <c r="F30" t="s">
        <v>26</v>
      </c>
      <c r="G30" s="28">
        <f>IFERROR(VLOOKUP(F30,CARTON_LOOKUP!$A:$E,3,0),"")</f>
      </c>
      <c r="H30" s="28">
        <f>IFERROR(VLOOKUP(F30,CARTON_LOOKUP!$A:$E,4,0),"")</f>
      </c>
      <c r="I30" s="28">
        <f>IFERROR(VLOOKUP(F30,CARTON_LOOKUP!$A:$E,5,0),"")</f>
      </c>
      <c r="J30" s="29">
        <f>IFERROR(VLOOKUP(F30,CARTON_LOOKUP!$A:$E,2,0),"")</f>
      </c>
      <c r="K30" s="29">
        <f>IFERROR(J30*D30,0)</f>
      </c>
      <c r="L30" s="29">
        <f>IFERROR(E30*C30,0)</f>
      </c>
      <c r="M30" s="29">
        <f>IFERROR((G30*H30*I30/1000000)*D30,0)</f>
      </c>
    </row>
    <row r="31" spans="1:13" x14ac:dyDescent="0.25">
      <c r="A31" s="16"/>
      <c r="E31" s="27"/>
      <c r="F31" t="s">
        <v>26</v>
      </c>
      <c r="G31" s="28">
        <f>IFERROR(VLOOKUP(F31,CARTON_LOOKUP!$A:$E,3,0),"")</f>
      </c>
      <c r="H31" s="28">
        <f>IFERROR(VLOOKUP(F31,CARTON_LOOKUP!$A:$E,4,0),"")</f>
      </c>
      <c r="I31" s="28">
        <f>IFERROR(VLOOKUP(F31,CARTON_LOOKUP!$A:$E,5,0),"")</f>
      </c>
      <c r="J31" s="29">
        <f>IFERROR(VLOOKUP(F31,CARTON_LOOKUP!$A:$E,2,0),"")</f>
      </c>
      <c r="K31" s="29">
        <f>IFERROR(J31*D31,0)</f>
      </c>
      <c r="L31" s="29">
        <f>IFERROR(E31*C31,0)</f>
      </c>
      <c r="M31" s="29">
        <f>IFERROR((G31*H31*I31/1000000)*D31,0)</f>
      </c>
    </row>
    <row r="32" spans="1:13" x14ac:dyDescent="0.25">
      <c r="A32" s="16"/>
      <c r="E32" s="27"/>
      <c r="F32" t="s">
        <v>26</v>
      </c>
      <c r="G32" s="28">
        <f>IFERROR(VLOOKUP(F32,CARTON_LOOKUP!$A:$E,3,0),"")</f>
      </c>
      <c r="H32" s="28">
        <f>IFERROR(VLOOKUP(F32,CARTON_LOOKUP!$A:$E,4,0),"")</f>
      </c>
      <c r="I32" s="28">
        <f>IFERROR(VLOOKUP(F32,CARTON_LOOKUP!$A:$E,5,0),"")</f>
      </c>
      <c r="J32" s="29">
        <f>IFERROR(VLOOKUP(F32,CARTON_LOOKUP!$A:$E,2,0),"")</f>
      </c>
      <c r="K32" s="29">
        <f>IFERROR(J32*D32,0)</f>
      </c>
      <c r="L32" s="29">
        <f>IFERROR(E32*C32,0)</f>
      </c>
      <c r="M32" s="29">
        <f>IFERROR((G32*H32*I32/1000000)*D32,0)</f>
      </c>
    </row>
    <row r="33" spans="1:13" x14ac:dyDescent="0.25">
      <c r="A33" s="16"/>
      <c r="E33" s="27"/>
      <c r="F33" t="s">
        <v>26</v>
      </c>
      <c r="G33" s="28">
        <f>IFERROR(VLOOKUP(F33,CARTON_LOOKUP!$A:$E,3,0),"")</f>
      </c>
      <c r="H33" s="28">
        <f>IFERROR(VLOOKUP(F33,CARTON_LOOKUP!$A:$E,4,0),"")</f>
      </c>
      <c r="I33" s="28">
        <f>IFERROR(VLOOKUP(F33,CARTON_LOOKUP!$A:$E,5,0),"")</f>
      </c>
      <c r="J33" s="29">
        <f>IFERROR(VLOOKUP(F33,CARTON_LOOKUP!$A:$E,2,0),"")</f>
      </c>
      <c r="K33" s="29">
        <f>IFERROR(J33*D33,0)</f>
      </c>
      <c r="L33" s="29">
        <f>IFERROR(E33*C33,0)</f>
      </c>
      <c r="M33" s="29">
        <f>IFERROR((G33*H33*I33/1000000)*D33,0)</f>
      </c>
    </row>
    <row r="34" spans="1:13" x14ac:dyDescent="0.25">
      <c r="A34" s="16"/>
      <c r="E34" s="27"/>
      <c r="F34" t="s">
        <v>26</v>
      </c>
      <c r="G34" s="28">
        <f>IFERROR(VLOOKUP(F34,CARTON_LOOKUP!$A:$E,3,0),"")</f>
      </c>
      <c r="H34" s="28">
        <f>IFERROR(VLOOKUP(F34,CARTON_LOOKUP!$A:$E,4,0),"")</f>
      </c>
      <c r="I34" s="28">
        <f>IFERROR(VLOOKUP(F34,CARTON_LOOKUP!$A:$E,5,0),"")</f>
      </c>
      <c r="J34" s="29">
        <f>IFERROR(VLOOKUP(F34,CARTON_LOOKUP!$A:$E,2,0),"")</f>
      </c>
      <c r="K34" s="29">
        <f>IFERROR(J34*D34,0)</f>
      </c>
      <c r="L34" s="29">
        <f>IFERROR(E34*C34,0)</f>
      </c>
      <c r="M34" s="29">
        <f>IFERROR((G34*H34*I34/1000000)*D34,0)</f>
      </c>
    </row>
    <row r="35" spans="1:13" x14ac:dyDescent="0.25">
      <c r="A35" s="16"/>
      <c r="E35" s="27"/>
      <c r="F35" t="s">
        <v>26</v>
      </c>
      <c r="G35" s="28">
        <f>IFERROR(VLOOKUP(F35,CARTON_LOOKUP!$A:$E,3,0),"")</f>
      </c>
      <c r="H35" s="28">
        <f>IFERROR(VLOOKUP(F35,CARTON_LOOKUP!$A:$E,4,0),"")</f>
      </c>
      <c r="I35" s="28">
        <f>IFERROR(VLOOKUP(F35,CARTON_LOOKUP!$A:$E,5,0),"")</f>
      </c>
      <c r="J35" s="29">
        <f>IFERROR(VLOOKUP(F35,CARTON_LOOKUP!$A:$E,2,0),"")</f>
      </c>
      <c r="K35" s="29">
        <f>IFERROR(J35*D35,0)</f>
      </c>
      <c r="L35" s="29">
        <f>IFERROR(E35*C35,0)</f>
      </c>
      <c r="M35" s="29">
        <f>IFERROR((G35*H35*I35/1000000)*D35,0)</f>
      </c>
    </row>
    <row r="36" spans="1:13" x14ac:dyDescent="0.25">
      <c r="A36" s="16"/>
      <c r="E36" s="27"/>
      <c r="F36" t="s">
        <v>26</v>
      </c>
      <c r="G36" s="28">
        <f>IFERROR(VLOOKUP(F36,CARTON_LOOKUP!$A:$E,3,0),"")</f>
      </c>
      <c r="H36" s="28">
        <f>IFERROR(VLOOKUP(F36,CARTON_LOOKUP!$A:$E,4,0),"")</f>
      </c>
      <c r="I36" s="28">
        <f>IFERROR(VLOOKUP(F36,CARTON_LOOKUP!$A:$E,5,0),"")</f>
      </c>
      <c r="J36" s="29">
        <f>IFERROR(VLOOKUP(F36,CARTON_LOOKUP!$A:$E,2,0),"")</f>
      </c>
      <c r="K36" s="29">
        <f>IFERROR(J36*D36,0)</f>
      </c>
      <c r="L36" s="29">
        <f>IFERROR(E36*C36,0)</f>
      </c>
      <c r="M36" s="29">
        <f>IFERROR((G36*H36*I36/1000000)*D36,0)</f>
      </c>
    </row>
    <row r="37" spans="1:13" x14ac:dyDescent="0.25">
      <c r="A37" s="16"/>
      <c r="E37" s="27"/>
      <c r="F37" t="s">
        <v>26</v>
      </c>
      <c r="G37" s="28">
        <f>IFERROR(VLOOKUP(F37,CARTON_LOOKUP!$A:$E,3,0),"")</f>
      </c>
      <c r="H37" s="28">
        <f>IFERROR(VLOOKUP(F37,CARTON_LOOKUP!$A:$E,4,0),"")</f>
      </c>
      <c r="I37" s="28">
        <f>IFERROR(VLOOKUP(F37,CARTON_LOOKUP!$A:$E,5,0),"")</f>
      </c>
      <c r="J37" s="29">
        <f>IFERROR(VLOOKUP(F37,CARTON_LOOKUP!$A:$E,2,0),"")</f>
      </c>
      <c r="K37" s="29">
        <f>IFERROR(J37*D37,0)</f>
      </c>
      <c r="L37" s="29">
        <f>IFERROR(E37*C37,0)</f>
      </c>
      <c r="M37" s="29">
        <f>IFERROR((G37*H37*I37/1000000)*D37,0)</f>
      </c>
    </row>
    <row r="38" spans="1:13" x14ac:dyDescent="0.25">
      <c r="A38" s="16"/>
      <c r="E38" s="27"/>
      <c r="F38" t="s">
        <v>26</v>
      </c>
      <c r="G38" s="28">
        <f>IFERROR(VLOOKUP(F38,CARTON_LOOKUP!$A:$E,3,0),"")</f>
      </c>
      <c r="H38" s="28">
        <f>IFERROR(VLOOKUP(F38,CARTON_LOOKUP!$A:$E,4,0),"")</f>
      </c>
      <c r="I38" s="28">
        <f>IFERROR(VLOOKUP(F38,CARTON_LOOKUP!$A:$E,5,0),"")</f>
      </c>
      <c r="J38" s="29">
        <f>IFERROR(VLOOKUP(F38,CARTON_LOOKUP!$A:$E,2,0),"")</f>
      </c>
      <c r="K38" s="29">
        <f>IFERROR(J38*D38,0)</f>
      </c>
      <c r="L38" s="29">
        <f>IFERROR(E38*C38,0)</f>
      </c>
      <c r="M38" s="29">
        <f>IFERROR((G38*H38*I38/1000000)*D38,0)</f>
      </c>
    </row>
    <row r="39" spans="1:13" x14ac:dyDescent="0.25">
      <c r="A39" s="16"/>
      <c r="E39" s="27"/>
      <c r="F39" t="s">
        <v>26</v>
      </c>
      <c r="G39" s="28">
        <f>IFERROR(VLOOKUP(F39,CARTON_LOOKUP!$A:$E,3,0),"")</f>
      </c>
      <c r="H39" s="28">
        <f>IFERROR(VLOOKUP(F39,CARTON_LOOKUP!$A:$E,4,0),"")</f>
      </c>
      <c r="I39" s="28">
        <f>IFERROR(VLOOKUP(F39,CARTON_LOOKUP!$A:$E,5,0),"")</f>
      </c>
      <c r="J39" s="29">
        <f>IFERROR(VLOOKUP(F39,CARTON_LOOKUP!$A:$E,2,0),"")</f>
      </c>
      <c r="K39" s="29">
        <f>IFERROR(J39*D39,0)</f>
      </c>
      <c r="L39" s="29">
        <f>IFERROR(E39*C39,0)</f>
      </c>
      <c r="M39" s="29">
        <f>IFERROR((G39*H39*I39/1000000)*D39,0)</f>
      </c>
    </row>
    <row r="40" spans="1:13" x14ac:dyDescent="0.25">
      <c r="A40" s="16"/>
      <c r="E40" s="27"/>
      <c r="F40" t="s">
        <v>26</v>
      </c>
      <c r="G40" s="28">
        <f>IFERROR(VLOOKUP(F40,CARTON_LOOKUP!$A:$E,3,0),"")</f>
      </c>
      <c r="H40" s="28">
        <f>IFERROR(VLOOKUP(F40,CARTON_LOOKUP!$A:$E,4,0),"")</f>
      </c>
      <c r="I40" s="28">
        <f>IFERROR(VLOOKUP(F40,CARTON_LOOKUP!$A:$E,5,0),"")</f>
      </c>
      <c r="J40" s="29">
        <f>IFERROR(VLOOKUP(F40,CARTON_LOOKUP!$A:$E,2,0),"")</f>
      </c>
      <c r="K40" s="29">
        <f>IFERROR(J40*D40,0)</f>
      </c>
      <c r="L40" s="29">
        <f>IFERROR(E40*C40,0)</f>
      </c>
      <c r="M40" s="29">
        <f>IFERROR((G40*H40*I40/1000000)*D40,0)</f>
      </c>
    </row>
    <row r="41" spans="1:13" x14ac:dyDescent="0.25">
      <c r="A41" s="16"/>
      <c r="E41" s="27"/>
      <c r="F41" t="s">
        <v>26</v>
      </c>
      <c r="G41" s="28">
        <f>IFERROR(VLOOKUP(F41,CARTON_LOOKUP!$A:$E,3,0),"")</f>
      </c>
      <c r="H41" s="28">
        <f>IFERROR(VLOOKUP(F41,CARTON_LOOKUP!$A:$E,4,0),"")</f>
      </c>
      <c r="I41" s="28">
        <f>IFERROR(VLOOKUP(F41,CARTON_LOOKUP!$A:$E,5,0),"")</f>
      </c>
      <c r="J41" s="29">
        <f>IFERROR(VLOOKUP(F41,CARTON_LOOKUP!$A:$E,2,0),"")</f>
      </c>
      <c r="K41" s="29">
        <f>IFERROR(J41*D41,0)</f>
      </c>
      <c r="L41" s="29">
        <f>IFERROR(E41*C41,0)</f>
      </c>
      <c r="M41" s="29">
        <f>IFERROR((G41*H41*I41/1000000)*D41,0)</f>
      </c>
    </row>
    <row r="42" spans="1:13" x14ac:dyDescent="0.25">
      <c r="A42" s="16"/>
      <c r="E42" s="27"/>
      <c r="F42" t="s">
        <v>26</v>
      </c>
      <c r="G42" s="28">
        <f>IFERROR(VLOOKUP(F42,CARTON_LOOKUP!$A:$E,3,0),"")</f>
      </c>
      <c r="H42" s="28">
        <f>IFERROR(VLOOKUP(F42,CARTON_LOOKUP!$A:$E,4,0),"")</f>
      </c>
      <c r="I42" s="28">
        <f>IFERROR(VLOOKUP(F42,CARTON_LOOKUP!$A:$E,5,0),"")</f>
      </c>
      <c r="J42" s="29">
        <f>IFERROR(VLOOKUP(F42,CARTON_LOOKUP!$A:$E,2,0),"")</f>
      </c>
      <c r="K42" s="29">
        <f>IFERROR(J42*D42,0)</f>
      </c>
      <c r="L42" s="29">
        <f>IFERROR(E42*C42,0)</f>
      </c>
      <c r="M42" s="29">
        <f>IFERROR((G42*H42*I42/1000000)*D42,0)</f>
      </c>
    </row>
    <row r="43" spans="1:13" x14ac:dyDescent="0.25">
      <c r="A43" s="16"/>
      <c r="E43" s="27"/>
      <c r="F43" t="s">
        <v>26</v>
      </c>
      <c r="G43" s="28">
        <f>IFERROR(VLOOKUP(F43,CARTON_LOOKUP!$A:$E,3,0),"")</f>
      </c>
      <c r="H43" s="28">
        <f>IFERROR(VLOOKUP(F43,CARTON_LOOKUP!$A:$E,4,0),"")</f>
      </c>
      <c r="I43" s="28">
        <f>IFERROR(VLOOKUP(F43,CARTON_LOOKUP!$A:$E,5,0),"")</f>
      </c>
      <c r="J43" s="29">
        <f>IFERROR(VLOOKUP(F43,CARTON_LOOKUP!$A:$E,2,0),"")</f>
      </c>
      <c r="K43" s="29">
        <f>IFERROR(J43*D43,0)</f>
      </c>
      <c r="L43" s="29">
        <f>IFERROR(E43*C43,0)</f>
      </c>
      <c r="M43" s="29">
        <f>IFERROR((G43*H43*I43/1000000)*D43,0)</f>
      </c>
    </row>
    <row r="44" spans="1:13" x14ac:dyDescent="0.25">
      <c r="A44" s="16"/>
      <c r="E44" s="27"/>
      <c r="F44" t="s">
        <v>26</v>
      </c>
      <c r="G44" s="28">
        <f>IFERROR(VLOOKUP(F44,CARTON_LOOKUP!$A:$E,3,0),"")</f>
      </c>
      <c r="H44" s="28">
        <f>IFERROR(VLOOKUP(F44,CARTON_LOOKUP!$A:$E,4,0),"")</f>
      </c>
      <c r="I44" s="28">
        <f>IFERROR(VLOOKUP(F44,CARTON_LOOKUP!$A:$E,5,0),"")</f>
      </c>
      <c r="J44" s="29">
        <f>IFERROR(VLOOKUP(F44,CARTON_LOOKUP!$A:$E,2,0),"")</f>
      </c>
      <c r="K44" s="29">
        <f>IFERROR(J44*D44,0)</f>
      </c>
      <c r="L44" s="29">
        <f>IFERROR(E44*C44,0)</f>
      </c>
      <c r="M44" s="29">
        <f>IFERROR((G44*H44*I44/1000000)*D44,0)</f>
      </c>
    </row>
    <row r="45" spans="1:13" x14ac:dyDescent="0.25">
      <c r="A45" s="16"/>
      <c r="E45" s="27"/>
      <c r="F45" t="s">
        <v>26</v>
      </c>
      <c r="G45" s="28">
        <f>IFERROR(VLOOKUP(F45,CARTON_LOOKUP!$A:$E,3,0),"")</f>
      </c>
      <c r="H45" s="28">
        <f>IFERROR(VLOOKUP(F45,CARTON_LOOKUP!$A:$E,4,0),"")</f>
      </c>
      <c r="I45" s="28">
        <f>IFERROR(VLOOKUP(F45,CARTON_LOOKUP!$A:$E,5,0),"")</f>
      </c>
      <c r="J45" s="29">
        <f>IFERROR(VLOOKUP(F45,CARTON_LOOKUP!$A:$E,2,0),"")</f>
      </c>
      <c r="K45" s="29">
        <f>IFERROR(J45*D45,0)</f>
      </c>
      <c r="L45" s="29">
        <f>IFERROR(E45*C45,0)</f>
      </c>
      <c r="M45" s="29">
        <f>IFERROR((G45*H45*I45/1000000)*D45,0)</f>
      </c>
    </row>
    <row r="46" spans="1:13" x14ac:dyDescent="0.25">
      <c r="A46" s="16"/>
      <c r="E46" s="27"/>
      <c r="F46" t="s">
        <v>26</v>
      </c>
      <c r="G46" s="28">
        <f>IFERROR(VLOOKUP(F46,CARTON_LOOKUP!$A:$E,3,0),"")</f>
      </c>
      <c r="H46" s="28">
        <f>IFERROR(VLOOKUP(F46,CARTON_LOOKUP!$A:$E,4,0),"")</f>
      </c>
      <c r="I46" s="28">
        <f>IFERROR(VLOOKUP(F46,CARTON_LOOKUP!$A:$E,5,0),"")</f>
      </c>
      <c r="J46" s="29">
        <f>IFERROR(VLOOKUP(F46,CARTON_LOOKUP!$A:$E,2,0),"")</f>
      </c>
      <c r="K46" s="29">
        <f>IFERROR(J46*D46,0)</f>
      </c>
      <c r="L46" s="29">
        <f>IFERROR(E46*C46,0)</f>
      </c>
      <c r="M46" s="29">
        <f>IFERROR((G46*H46*I46/1000000)*D46,0)</f>
      </c>
    </row>
    <row r="47" spans="1:13" x14ac:dyDescent="0.25">
      <c r="A47" s="16"/>
      <c r="E47" s="27"/>
      <c r="F47" t="s">
        <v>26</v>
      </c>
      <c r="G47" s="28">
        <f>IFERROR(VLOOKUP(F47,CARTON_LOOKUP!$A:$E,3,0),"")</f>
      </c>
      <c r="H47" s="28">
        <f>IFERROR(VLOOKUP(F47,CARTON_LOOKUP!$A:$E,4,0),"")</f>
      </c>
      <c r="I47" s="28">
        <f>IFERROR(VLOOKUP(F47,CARTON_LOOKUP!$A:$E,5,0),"")</f>
      </c>
      <c r="J47" s="29">
        <f>IFERROR(VLOOKUP(F47,CARTON_LOOKUP!$A:$E,2,0),"")</f>
      </c>
      <c r="K47" s="29">
        <f>IFERROR(J47*D47,0)</f>
      </c>
      <c r="L47" s="29">
        <f>IFERROR(E47*C47,0)</f>
      </c>
      <c r="M47" s="29">
        <f>IFERROR((G47*H47*I47/1000000)*D47,0)</f>
      </c>
    </row>
    <row r="48" spans="1:13" x14ac:dyDescent="0.25">
      <c r="A48" s="16"/>
      <c r="E48" s="27"/>
      <c r="F48" t="s">
        <v>26</v>
      </c>
      <c r="G48" s="28">
        <f>IFERROR(VLOOKUP(F48,CARTON_LOOKUP!$A:$E,3,0),"")</f>
      </c>
      <c r="H48" s="28">
        <f>IFERROR(VLOOKUP(F48,CARTON_LOOKUP!$A:$E,4,0),"")</f>
      </c>
      <c r="I48" s="28">
        <f>IFERROR(VLOOKUP(F48,CARTON_LOOKUP!$A:$E,5,0),"")</f>
      </c>
      <c r="J48" s="29">
        <f>IFERROR(VLOOKUP(F48,CARTON_LOOKUP!$A:$E,2,0),"")</f>
      </c>
      <c r="K48" s="29">
        <f>IFERROR(J48*D48,0)</f>
      </c>
      <c r="L48" s="29">
        <f>IFERROR(E48*C48,0)</f>
      </c>
      <c r="M48" s="29">
        <f>IFERROR((G48*H48*I48/1000000)*D48,0)</f>
      </c>
    </row>
    <row r="49" spans="1:13" x14ac:dyDescent="0.25">
      <c r="A49" s="16"/>
      <c r="E49" s="27"/>
      <c r="F49" t="s">
        <v>26</v>
      </c>
      <c r="G49" s="28">
        <f>IFERROR(VLOOKUP(F49,CARTON_LOOKUP!$A:$E,3,0),"")</f>
      </c>
      <c r="H49" s="28">
        <f>IFERROR(VLOOKUP(F49,CARTON_LOOKUP!$A:$E,4,0),"")</f>
      </c>
      <c r="I49" s="28">
        <f>IFERROR(VLOOKUP(F49,CARTON_LOOKUP!$A:$E,5,0),"")</f>
      </c>
      <c r="J49" s="29">
        <f>IFERROR(VLOOKUP(F49,CARTON_LOOKUP!$A:$E,2,0),"")</f>
      </c>
      <c r="K49" s="29">
        <f>IFERROR(J49*D49,0)</f>
      </c>
      <c r="L49" s="29">
        <f>IFERROR(E49*C49,0)</f>
      </c>
      <c r="M49" s="29">
        <f>IFERROR((G49*H49*I49/1000000)*D49,0)</f>
      </c>
    </row>
    <row r="50" spans="1:13" x14ac:dyDescent="0.25">
      <c r="A50" s="16"/>
      <c r="E50" s="27"/>
      <c r="F50" t="s">
        <v>26</v>
      </c>
      <c r="G50" s="28">
        <f>IFERROR(VLOOKUP(F50,CARTON_LOOKUP!$A:$E,3,0),"")</f>
      </c>
      <c r="H50" s="28">
        <f>IFERROR(VLOOKUP(F50,CARTON_LOOKUP!$A:$E,4,0),"")</f>
      </c>
      <c r="I50" s="28">
        <f>IFERROR(VLOOKUP(F50,CARTON_LOOKUP!$A:$E,5,0),"")</f>
      </c>
      <c r="J50" s="29">
        <f>IFERROR(VLOOKUP(F50,CARTON_LOOKUP!$A:$E,2,0),"")</f>
      </c>
      <c r="K50" s="29">
        <f>IFERROR(J50*D50,0)</f>
      </c>
      <c r="L50" s="29">
        <f>IFERROR(E50*C50,0)</f>
      </c>
      <c r="M50" s="29">
        <f>IFERROR((G50*H50*I50/1000000)*D50,0)</f>
      </c>
    </row>
    <row r="51" spans="1:13" x14ac:dyDescent="0.25">
      <c r="A51" s="16"/>
      <c r="E51" s="27"/>
      <c r="F51" t="s">
        <v>26</v>
      </c>
      <c r="G51" s="28">
        <f>IFERROR(VLOOKUP(F51,CARTON_LOOKUP!$A:$E,3,0),"")</f>
      </c>
      <c r="H51" s="28">
        <f>IFERROR(VLOOKUP(F51,CARTON_LOOKUP!$A:$E,4,0),"")</f>
      </c>
      <c r="I51" s="28">
        <f>IFERROR(VLOOKUP(F51,CARTON_LOOKUP!$A:$E,5,0),"")</f>
      </c>
      <c r="J51" s="29">
        <f>IFERROR(VLOOKUP(F51,CARTON_LOOKUP!$A:$E,2,0),"")</f>
      </c>
      <c r="K51" s="29">
        <f>IFERROR(J51*D51,0)</f>
      </c>
      <c r="L51" s="29">
        <f>IFERROR(E51*C51,0)</f>
      </c>
      <c r="M51" s="29">
        <f>IFERROR((G51*H51*I51/1000000)*D51,0)</f>
      </c>
    </row>
    <row r="52" spans="1:13" x14ac:dyDescent="0.25">
      <c r="A52" s="16"/>
      <c r="E52" s="27"/>
      <c r="F52" t="s">
        <v>26</v>
      </c>
      <c r="G52" s="28">
        <f>IFERROR(VLOOKUP(F52,CARTON_LOOKUP!$A:$E,3,0),"")</f>
      </c>
      <c r="H52" s="28">
        <f>IFERROR(VLOOKUP(F52,CARTON_LOOKUP!$A:$E,4,0),"")</f>
      </c>
      <c r="I52" s="28">
        <f>IFERROR(VLOOKUP(F52,CARTON_LOOKUP!$A:$E,5,0),"")</f>
      </c>
      <c r="J52" s="29">
        <f>IFERROR(VLOOKUP(F52,CARTON_LOOKUP!$A:$E,2,0),"")</f>
      </c>
      <c r="K52" s="29">
        <f>IFERROR(J52*D52,0)</f>
      </c>
      <c r="L52" s="29">
        <f>IFERROR(E52*C52,0)</f>
      </c>
      <c r="M52" s="29">
        <f>IFERROR((G52*H52*I52/1000000)*D52,0)</f>
      </c>
    </row>
    <row r="53" spans="1:13" x14ac:dyDescent="0.25">
      <c r="A53" s="16"/>
      <c r="E53" s="27"/>
      <c r="F53" t="s">
        <v>26</v>
      </c>
      <c r="G53" s="28">
        <f>IFERROR(VLOOKUP(F53,CARTON_LOOKUP!$A:$E,3,0),"")</f>
      </c>
      <c r="H53" s="28">
        <f>IFERROR(VLOOKUP(F53,CARTON_LOOKUP!$A:$E,4,0),"")</f>
      </c>
      <c r="I53" s="28">
        <f>IFERROR(VLOOKUP(F53,CARTON_LOOKUP!$A:$E,5,0),"")</f>
      </c>
      <c r="J53" s="29">
        <f>IFERROR(VLOOKUP(F53,CARTON_LOOKUP!$A:$E,2,0),"")</f>
      </c>
      <c r="K53" s="29">
        <f>IFERROR(J53*D53,0)</f>
      </c>
      <c r="L53" s="29">
        <f>IFERROR(E53*C53,0)</f>
      </c>
      <c r="M53" s="29">
        <f>IFERROR((G53*H53*I53/1000000)*D53,0)</f>
      </c>
    </row>
    <row r="54" spans="1:13" x14ac:dyDescent="0.25">
      <c r="A54" s="16"/>
      <c r="E54" s="27"/>
      <c r="F54" t="s">
        <v>26</v>
      </c>
      <c r="G54" s="28">
        <f>IFERROR(VLOOKUP(F54,CARTON_LOOKUP!$A:$E,3,0),"")</f>
      </c>
      <c r="H54" s="28">
        <f>IFERROR(VLOOKUP(F54,CARTON_LOOKUP!$A:$E,4,0),"")</f>
      </c>
      <c r="I54" s="28">
        <f>IFERROR(VLOOKUP(F54,CARTON_LOOKUP!$A:$E,5,0),"")</f>
      </c>
      <c r="J54" s="29">
        <f>IFERROR(VLOOKUP(F54,CARTON_LOOKUP!$A:$E,2,0),"")</f>
      </c>
      <c r="K54" s="29">
        <f>IFERROR(J54*D54,0)</f>
      </c>
      <c r="L54" s="29">
        <f>IFERROR(E54*C54,0)</f>
      </c>
      <c r="M54" s="29">
        <f>IFERROR((G54*H54*I54/1000000)*D54,0)</f>
      </c>
    </row>
    <row r="55" spans="1:13" x14ac:dyDescent="0.25">
      <c r="A55" s="16"/>
      <c r="E55" s="27"/>
      <c r="F55" t="s">
        <v>26</v>
      </c>
      <c r="G55" s="28">
        <f>IFERROR(VLOOKUP(F55,CARTON_LOOKUP!$A:$E,3,0),"")</f>
      </c>
      <c r="H55" s="28">
        <f>IFERROR(VLOOKUP(F55,CARTON_LOOKUP!$A:$E,4,0),"")</f>
      </c>
      <c r="I55" s="28">
        <f>IFERROR(VLOOKUP(F55,CARTON_LOOKUP!$A:$E,5,0),"")</f>
      </c>
      <c r="J55" s="29">
        <f>IFERROR(VLOOKUP(F55,CARTON_LOOKUP!$A:$E,2,0),"")</f>
      </c>
      <c r="K55" s="29">
        <f>IFERROR(J55*D55,0)</f>
      </c>
      <c r="L55" s="29">
        <f>IFERROR(E55*C55,0)</f>
      </c>
      <c r="M55" s="29">
        <f>IFERROR((G55*H55*I55/1000000)*D55,0)</f>
      </c>
    </row>
    <row r="56" spans="1:13" x14ac:dyDescent="0.25">
      <c r="A56" s="16"/>
      <c r="E56" s="27"/>
      <c r="F56" t="s">
        <v>26</v>
      </c>
      <c r="G56" s="28">
        <f>IFERROR(VLOOKUP(F56,CARTON_LOOKUP!$A:$E,3,0),"")</f>
      </c>
      <c r="H56" s="28">
        <f>IFERROR(VLOOKUP(F56,CARTON_LOOKUP!$A:$E,4,0),"")</f>
      </c>
      <c r="I56" s="28">
        <f>IFERROR(VLOOKUP(F56,CARTON_LOOKUP!$A:$E,5,0),"")</f>
      </c>
      <c r="J56" s="29">
        <f>IFERROR(VLOOKUP(F56,CARTON_LOOKUP!$A:$E,2,0),"")</f>
      </c>
      <c r="K56" s="29">
        <f>IFERROR(J56*D56,0)</f>
      </c>
      <c r="L56" s="29">
        <f>IFERROR(E56*C56,0)</f>
      </c>
      <c r="M56" s="29">
        <f>IFERROR((G56*H56*I56/1000000)*D56,0)</f>
      </c>
    </row>
    <row r="57" spans="1:13" x14ac:dyDescent="0.25">
      <c r="A57" s="16"/>
      <c r="E57" s="27"/>
      <c r="F57" t="s">
        <v>26</v>
      </c>
      <c r="G57" s="28">
        <f>IFERROR(VLOOKUP(F57,CARTON_LOOKUP!$A:$E,3,0),"")</f>
      </c>
      <c r="H57" s="28">
        <f>IFERROR(VLOOKUP(F57,CARTON_LOOKUP!$A:$E,4,0),"")</f>
      </c>
      <c r="I57" s="28">
        <f>IFERROR(VLOOKUP(F57,CARTON_LOOKUP!$A:$E,5,0),"")</f>
      </c>
      <c r="J57" s="29">
        <f>IFERROR(VLOOKUP(F57,CARTON_LOOKUP!$A:$E,2,0),"")</f>
      </c>
      <c r="K57" s="29">
        <f>IFERROR(J57*D57,0)</f>
      </c>
      <c r="L57" s="29">
        <f>IFERROR(E57*C57,0)</f>
      </c>
      <c r="M57" s="29">
        <f>IFERROR((G57*H57*I57/1000000)*D57,0)</f>
      </c>
    </row>
    <row r="58" spans="1:13" x14ac:dyDescent="0.25">
      <c r="A58" s="16"/>
      <c r="E58" s="27"/>
      <c r="F58" t="s">
        <v>26</v>
      </c>
      <c r="G58" s="28">
        <f>IFERROR(VLOOKUP(F58,CARTON_LOOKUP!$A:$E,3,0),"")</f>
      </c>
      <c r="H58" s="28">
        <f>IFERROR(VLOOKUP(F58,CARTON_LOOKUP!$A:$E,4,0),"")</f>
      </c>
      <c r="I58" s="28">
        <f>IFERROR(VLOOKUP(F58,CARTON_LOOKUP!$A:$E,5,0),"")</f>
      </c>
      <c r="J58" s="29">
        <f>IFERROR(VLOOKUP(F58,CARTON_LOOKUP!$A:$E,2,0),"")</f>
      </c>
      <c r="K58" s="29">
        <f>IFERROR(J58*D58,0)</f>
      </c>
      <c r="L58" s="29">
        <f>IFERROR(E58*C58,0)</f>
      </c>
      <c r="M58" s="29">
        <f>IFERROR((G58*H58*I58/1000000)*D58,0)</f>
      </c>
    </row>
    <row r="59" spans="1:13" x14ac:dyDescent="0.25">
      <c r="A59" s="16"/>
      <c r="E59" s="27"/>
      <c r="F59" t="s">
        <v>26</v>
      </c>
      <c r="G59" s="28">
        <f>IFERROR(VLOOKUP(F59,CARTON_LOOKUP!$A:$E,3,0),"")</f>
      </c>
      <c r="H59" s="28">
        <f>IFERROR(VLOOKUP(F59,CARTON_LOOKUP!$A:$E,4,0),"")</f>
      </c>
      <c r="I59" s="28">
        <f>IFERROR(VLOOKUP(F59,CARTON_LOOKUP!$A:$E,5,0),"")</f>
      </c>
      <c r="J59" s="29">
        <f>IFERROR(VLOOKUP(F59,CARTON_LOOKUP!$A:$E,2,0),"")</f>
      </c>
      <c r="K59" s="29">
        <f>IFERROR(J59*D59,0)</f>
      </c>
      <c r="L59" s="29">
        <f>IFERROR(E59*C59,0)</f>
      </c>
      <c r="M59" s="29">
        <f>IFERROR((G59*H59*I59/1000000)*D59,0)</f>
      </c>
    </row>
    <row r="60" spans="1:13" x14ac:dyDescent="0.25">
      <c r="A60" s="16"/>
      <c r="E60" s="27"/>
      <c r="F60" t="s">
        <v>26</v>
      </c>
      <c r="G60" s="28">
        <f>IFERROR(VLOOKUP(F60,CARTON_LOOKUP!$A:$E,3,0),"")</f>
      </c>
      <c r="H60" s="28">
        <f>IFERROR(VLOOKUP(F60,CARTON_LOOKUP!$A:$E,4,0),"")</f>
      </c>
      <c r="I60" s="28">
        <f>IFERROR(VLOOKUP(F60,CARTON_LOOKUP!$A:$E,5,0),"")</f>
      </c>
      <c r="J60" s="29">
        <f>IFERROR(VLOOKUP(F60,CARTON_LOOKUP!$A:$E,2,0),"")</f>
      </c>
      <c r="K60" s="29">
        <f>IFERROR(J60*D60,0)</f>
      </c>
      <c r="L60" s="29">
        <f>IFERROR(E60*C60,0)</f>
      </c>
      <c r="M60" s="29">
        <f>IFERROR((G60*H60*I60/1000000)*D60,0)</f>
      </c>
    </row>
    <row r="61" spans="1:13" x14ac:dyDescent="0.25">
      <c r="A61" s="16"/>
      <c r="E61" s="27"/>
      <c r="F61" t="s">
        <v>26</v>
      </c>
      <c r="G61" s="28">
        <f>IFERROR(VLOOKUP(F61,CARTON_LOOKUP!$A:$E,3,0),"")</f>
      </c>
      <c r="H61" s="28">
        <f>IFERROR(VLOOKUP(F61,CARTON_LOOKUP!$A:$E,4,0),"")</f>
      </c>
      <c r="I61" s="28">
        <f>IFERROR(VLOOKUP(F61,CARTON_LOOKUP!$A:$E,5,0),"")</f>
      </c>
      <c r="J61" s="29">
        <f>IFERROR(VLOOKUP(F61,CARTON_LOOKUP!$A:$E,2,0),"")</f>
      </c>
      <c r="K61" s="29">
        <f>IFERROR(J61*D61,0)</f>
      </c>
      <c r="L61" s="29">
        <f>IFERROR(E61*C61,0)</f>
      </c>
      <c r="M61" s="29">
        <f>IFERROR((G61*H61*I61/1000000)*D61,0)</f>
      </c>
    </row>
    <row r="62" spans="1:13" x14ac:dyDescent="0.25">
      <c r="A62" s="16"/>
      <c r="E62" s="27"/>
      <c r="F62" t="s">
        <v>26</v>
      </c>
      <c r="G62" s="28">
        <f>IFERROR(VLOOKUP(F62,CARTON_LOOKUP!$A:$E,3,0),"")</f>
      </c>
      <c r="H62" s="28">
        <f>IFERROR(VLOOKUP(F62,CARTON_LOOKUP!$A:$E,4,0),"")</f>
      </c>
      <c r="I62" s="28">
        <f>IFERROR(VLOOKUP(F62,CARTON_LOOKUP!$A:$E,5,0),"")</f>
      </c>
      <c r="J62" s="29">
        <f>IFERROR(VLOOKUP(F62,CARTON_LOOKUP!$A:$E,2,0),"")</f>
      </c>
      <c r="K62" s="29">
        <f>IFERROR(J62*D62,0)</f>
      </c>
      <c r="L62" s="29">
        <f>IFERROR(E62*C62,0)</f>
      </c>
      <c r="M62" s="29">
        <f>IFERROR((G62*H62*I62/1000000)*D62,0)</f>
      </c>
    </row>
    <row r="63" spans="1:13" x14ac:dyDescent="0.25">
      <c r="A63" s="16"/>
      <c r="E63" s="27"/>
      <c r="F63" t="s">
        <v>26</v>
      </c>
      <c r="G63" s="28">
        <f>IFERROR(VLOOKUP(F63,CARTON_LOOKUP!$A:$E,3,0),"")</f>
      </c>
      <c r="H63" s="28">
        <f>IFERROR(VLOOKUP(F63,CARTON_LOOKUP!$A:$E,4,0),"")</f>
      </c>
      <c r="I63" s="28">
        <f>IFERROR(VLOOKUP(F63,CARTON_LOOKUP!$A:$E,5,0),"")</f>
      </c>
      <c r="J63" s="29">
        <f>IFERROR(VLOOKUP(F63,CARTON_LOOKUP!$A:$E,2,0),"")</f>
      </c>
      <c r="K63" s="29">
        <f>IFERROR(J63*D63,0)</f>
      </c>
      <c r="L63" s="29">
        <f>IFERROR(E63*C63,0)</f>
      </c>
      <c r="M63" s="29">
        <f>IFERROR((G63*H63*I63/1000000)*D63,0)</f>
      </c>
    </row>
    <row r="64" spans="1:13" x14ac:dyDescent="0.25">
      <c r="A64" s="16"/>
      <c r="E64" s="27"/>
      <c r="F64" t="s">
        <v>26</v>
      </c>
      <c r="G64" s="28">
        <f>IFERROR(VLOOKUP(F64,CARTON_LOOKUP!$A:$E,3,0),"")</f>
      </c>
      <c r="H64" s="28">
        <f>IFERROR(VLOOKUP(F64,CARTON_LOOKUP!$A:$E,4,0),"")</f>
      </c>
      <c r="I64" s="28">
        <f>IFERROR(VLOOKUP(F64,CARTON_LOOKUP!$A:$E,5,0),"")</f>
      </c>
      <c r="J64" s="29">
        <f>IFERROR(VLOOKUP(F64,CARTON_LOOKUP!$A:$E,2,0),"")</f>
      </c>
      <c r="K64" s="29">
        <f>IFERROR(J64*D64,0)</f>
      </c>
      <c r="L64" s="29">
        <f>IFERROR(E64*C64,0)</f>
      </c>
      <c r="M64" s="29">
        <f>IFERROR((G64*H64*I64/1000000)*D64,0)</f>
      </c>
    </row>
    <row r="65" spans="1:13" x14ac:dyDescent="0.25">
      <c r="A65" s="16"/>
      <c r="E65" s="27"/>
      <c r="F65" t="s">
        <v>26</v>
      </c>
      <c r="G65" s="28">
        <f>IFERROR(VLOOKUP(F65,CARTON_LOOKUP!$A:$E,3,0),"")</f>
      </c>
      <c r="H65" s="28">
        <f>IFERROR(VLOOKUP(F65,CARTON_LOOKUP!$A:$E,4,0),"")</f>
      </c>
      <c r="I65" s="28">
        <f>IFERROR(VLOOKUP(F65,CARTON_LOOKUP!$A:$E,5,0),"")</f>
      </c>
      <c r="J65" s="29">
        <f>IFERROR(VLOOKUP(F65,CARTON_LOOKUP!$A:$E,2,0),"")</f>
      </c>
      <c r="K65" s="29">
        <f>IFERROR(J65*D65,0)</f>
      </c>
      <c r="L65" s="29">
        <f>IFERROR(E65*C65,0)</f>
      </c>
      <c r="M65" s="29">
        <f>IFERROR((G65*H65*I65/1000000)*D65,0)</f>
      </c>
    </row>
    <row r="66" spans="1:13" x14ac:dyDescent="0.25">
      <c r="A66" s="16"/>
      <c r="E66" s="27"/>
      <c r="F66" t="s">
        <v>26</v>
      </c>
      <c r="G66" s="28">
        <f>IFERROR(VLOOKUP(F66,CARTON_LOOKUP!$A:$E,3,0),"")</f>
      </c>
      <c r="H66" s="28">
        <f>IFERROR(VLOOKUP(F66,CARTON_LOOKUP!$A:$E,4,0),"")</f>
      </c>
      <c r="I66" s="28">
        <f>IFERROR(VLOOKUP(F66,CARTON_LOOKUP!$A:$E,5,0),"")</f>
      </c>
      <c r="J66" s="29">
        <f>IFERROR(VLOOKUP(F66,CARTON_LOOKUP!$A:$E,2,0),"")</f>
      </c>
      <c r="K66" s="29">
        <f>IFERROR(J66*D66,0)</f>
      </c>
      <c r="L66" s="29">
        <f>IFERROR(E66*C66,0)</f>
      </c>
      <c r="M66" s="29">
        <f>IFERROR((G66*H66*I66/1000000)*D66,0)</f>
      </c>
    </row>
    <row r="67" spans="1:13" x14ac:dyDescent="0.25">
      <c r="A67" s="16"/>
      <c r="E67" s="27"/>
      <c r="F67" t="s">
        <v>26</v>
      </c>
      <c r="G67" s="28">
        <f>IFERROR(VLOOKUP(F67,CARTON_LOOKUP!$A:$E,3,0),"")</f>
      </c>
      <c r="H67" s="28">
        <f>IFERROR(VLOOKUP(F67,CARTON_LOOKUP!$A:$E,4,0),"")</f>
      </c>
      <c r="I67" s="28">
        <f>IFERROR(VLOOKUP(F67,CARTON_LOOKUP!$A:$E,5,0),"")</f>
      </c>
      <c r="J67" s="29">
        <f>IFERROR(VLOOKUP(F67,CARTON_LOOKUP!$A:$E,2,0),"")</f>
      </c>
      <c r="K67" s="29">
        <f>IFERROR(J67*D67,0)</f>
      </c>
      <c r="L67" s="29">
        <f>IFERROR(E67*C67,0)</f>
      </c>
      <c r="M67" s="29">
        <f>IFERROR((G67*H67*I67/1000000)*D67,0)</f>
      </c>
    </row>
    <row r="68" spans="1:13" x14ac:dyDescent="0.25">
      <c r="A68" s="16"/>
      <c r="E68" s="27"/>
      <c r="F68" t="s">
        <v>26</v>
      </c>
      <c r="G68" s="28">
        <f>IFERROR(VLOOKUP(F68,CARTON_LOOKUP!$A:$E,3,0),"")</f>
      </c>
      <c r="H68" s="28">
        <f>IFERROR(VLOOKUP(F68,CARTON_LOOKUP!$A:$E,4,0),"")</f>
      </c>
      <c r="I68" s="28">
        <f>IFERROR(VLOOKUP(F68,CARTON_LOOKUP!$A:$E,5,0),"")</f>
      </c>
      <c r="J68" s="29">
        <f>IFERROR(VLOOKUP(F68,CARTON_LOOKUP!$A:$E,2,0),"")</f>
      </c>
      <c r="K68" s="29">
        <f>IFERROR(J68*D68,0)</f>
      </c>
      <c r="L68" s="29">
        <f>IFERROR(E68*C68,0)</f>
      </c>
      <c r="M68" s="29">
        <f>IFERROR((G68*H68*I68/1000000)*D68,0)</f>
      </c>
    </row>
    <row r="69" spans="1:13" x14ac:dyDescent="0.25">
      <c r="A69" s="16"/>
      <c r="E69" s="27"/>
      <c r="F69" t="s">
        <v>26</v>
      </c>
      <c r="G69" s="28">
        <f>IFERROR(VLOOKUP(F69,CARTON_LOOKUP!$A:$E,3,0),"")</f>
      </c>
      <c r="H69" s="28">
        <f>IFERROR(VLOOKUP(F69,CARTON_LOOKUP!$A:$E,4,0),"")</f>
      </c>
      <c r="I69" s="28">
        <f>IFERROR(VLOOKUP(F69,CARTON_LOOKUP!$A:$E,5,0),"")</f>
      </c>
      <c r="J69" s="29">
        <f>IFERROR(VLOOKUP(F69,CARTON_LOOKUP!$A:$E,2,0),"")</f>
      </c>
      <c r="K69" s="29">
        <f>IFERROR(J69*D69,0)</f>
      </c>
      <c r="L69" s="29">
        <f>IFERROR(E69*C69,0)</f>
      </c>
      <c r="M69" s="29">
        <f>IFERROR((G69*H69*I69/1000000)*D69,0)</f>
      </c>
    </row>
    <row r="70" spans="1:13" x14ac:dyDescent="0.25">
      <c r="A70" s="16"/>
      <c r="E70" s="27"/>
      <c r="F70" t="s">
        <v>26</v>
      </c>
      <c r="G70" s="28">
        <f>IFERROR(VLOOKUP(F70,CARTON_LOOKUP!$A:$E,3,0),"")</f>
      </c>
      <c r="H70" s="28">
        <f>IFERROR(VLOOKUP(F70,CARTON_LOOKUP!$A:$E,4,0),"")</f>
      </c>
      <c r="I70" s="28">
        <f>IFERROR(VLOOKUP(F70,CARTON_LOOKUP!$A:$E,5,0),"")</f>
      </c>
      <c r="J70" s="29">
        <f>IFERROR(VLOOKUP(F70,CARTON_LOOKUP!$A:$E,2,0),"")</f>
      </c>
      <c r="K70" s="29">
        <f>IFERROR(J70*D70,0)</f>
      </c>
      <c r="L70" s="29">
        <f>IFERROR(E70*C70,0)</f>
      </c>
      <c r="M70" s="29">
        <f>IFERROR((G70*H70*I70/1000000)*D70,0)</f>
      </c>
    </row>
    <row r="71" spans="1:13" x14ac:dyDescent="0.25">
      <c r="A71" s="16"/>
      <c r="E71" s="27"/>
      <c r="F71" t="s">
        <v>26</v>
      </c>
      <c r="G71" s="28">
        <f>IFERROR(VLOOKUP(F71,CARTON_LOOKUP!$A:$E,3,0),"")</f>
      </c>
      <c r="H71" s="28">
        <f>IFERROR(VLOOKUP(F71,CARTON_LOOKUP!$A:$E,4,0),"")</f>
      </c>
      <c r="I71" s="28">
        <f>IFERROR(VLOOKUP(F71,CARTON_LOOKUP!$A:$E,5,0),"")</f>
      </c>
      <c r="J71" s="29">
        <f>IFERROR(VLOOKUP(F71,CARTON_LOOKUP!$A:$E,2,0),"")</f>
      </c>
      <c r="K71" s="29">
        <f>IFERROR(J71*D71,0)</f>
      </c>
      <c r="L71" s="29">
        <f>IFERROR(E71*C71,0)</f>
      </c>
      <c r="M71" s="29">
        <f>IFERROR((G71*H71*I71/1000000)*D71,0)</f>
      </c>
    </row>
    <row r="72" spans="1:13" x14ac:dyDescent="0.25">
      <c r="A72" s="16"/>
      <c r="E72" s="27"/>
      <c r="F72" t="s">
        <v>26</v>
      </c>
      <c r="G72" s="28">
        <f>IFERROR(VLOOKUP(F72,CARTON_LOOKUP!$A:$E,3,0),"")</f>
      </c>
      <c r="H72" s="28">
        <f>IFERROR(VLOOKUP(F72,CARTON_LOOKUP!$A:$E,4,0),"")</f>
      </c>
      <c r="I72" s="28">
        <f>IFERROR(VLOOKUP(F72,CARTON_LOOKUP!$A:$E,5,0),"")</f>
      </c>
      <c r="J72" s="29">
        <f>IFERROR(VLOOKUP(F72,CARTON_LOOKUP!$A:$E,2,0),"")</f>
      </c>
      <c r="K72" s="29">
        <f>IFERROR(J72*D72,0)</f>
      </c>
      <c r="L72" s="29">
        <f>IFERROR(E72*C72,0)</f>
      </c>
      <c r="M72" s="29">
        <f>IFERROR((G72*H72*I72/1000000)*D72,0)</f>
      </c>
    </row>
    <row r="73" spans="1:13" x14ac:dyDescent="0.25">
      <c r="A73" s="16"/>
      <c r="E73" s="27"/>
      <c r="F73" t="s">
        <v>26</v>
      </c>
      <c r="G73" s="28">
        <f>IFERROR(VLOOKUP(F73,CARTON_LOOKUP!$A:$E,3,0),"")</f>
      </c>
      <c r="H73" s="28">
        <f>IFERROR(VLOOKUP(F73,CARTON_LOOKUP!$A:$E,4,0),"")</f>
      </c>
      <c r="I73" s="28">
        <f>IFERROR(VLOOKUP(F73,CARTON_LOOKUP!$A:$E,5,0),"")</f>
      </c>
      <c r="J73" s="29">
        <f>IFERROR(VLOOKUP(F73,CARTON_LOOKUP!$A:$E,2,0),"")</f>
      </c>
      <c r="K73" s="29">
        <f>IFERROR(J73*D73,0)</f>
      </c>
      <c r="L73" s="29">
        <f>IFERROR(E73*C73,0)</f>
      </c>
      <c r="M73" s="29">
        <f>IFERROR((G73*H73*I73/1000000)*D73,0)</f>
      </c>
    </row>
    <row r="74" spans="1:13" x14ac:dyDescent="0.25">
      <c r="A74" s="16"/>
      <c r="E74" s="27"/>
      <c r="F74" t="s">
        <v>26</v>
      </c>
      <c r="G74" s="28">
        <f>IFERROR(VLOOKUP(F74,CARTON_LOOKUP!$A:$E,3,0),"")</f>
      </c>
      <c r="H74" s="28">
        <f>IFERROR(VLOOKUP(F74,CARTON_LOOKUP!$A:$E,4,0),"")</f>
      </c>
      <c r="I74" s="28">
        <f>IFERROR(VLOOKUP(F74,CARTON_LOOKUP!$A:$E,5,0),"")</f>
      </c>
      <c r="J74" s="29">
        <f>IFERROR(VLOOKUP(F74,CARTON_LOOKUP!$A:$E,2,0),"")</f>
      </c>
      <c r="K74" s="29">
        <f>IFERROR(J74*D74,0)</f>
      </c>
      <c r="L74" s="29">
        <f>IFERROR(E74*C74,0)</f>
      </c>
      <c r="M74" s="29">
        <f>IFERROR((G74*H74*I74/1000000)*D74,0)</f>
      </c>
    </row>
    <row r="75" spans="1:13" x14ac:dyDescent="0.25">
      <c r="A75" s="16"/>
      <c r="E75" s="27"/>
      <c r="F75" t="s">
        <v>26</v>
      </c>
      <c r="G75" s="28">
        <f>IFERROR(VLOOKUP(F75,CARTON_LOOKUP!$A:$E,3,0),"")</f>
      </c>
      <c r="H75" s="28">
        <f>IFERROR(VLOOKUP(F75,CARTON_LOOKUP!$A:$E,4,0),"")</f>
      </c>
      <c r="I75" s="28">
        <f>IFERROR(VLOOKUP(F75,CARTON_LOOKUP!$A:$E,5,0),"")</f>
      </c>
      <c r="J75" s="29">
        <f>IFERROR(VLOOKUP(F75,CARTON_LOOKUP!$A:$E,2,0),"")</f>
      </c>
      <c r="K75" s="29">
        <f>IFERROR(J75*D75,0)</f>
      </c>
      <c r="L75" s="29">
        <f>IFERROR(E75*C75,0)</f>
      </c>
      <c r="M75" s="29">
        <f>IFERROR((G75*H75*I75/1000000)*D75,0)</f>
      </c>
    </row>
    <row r="76" spans="1:13" x14ac:dyDescent="0.25">
      <c r="A76" s="16"/>
      <c r="E76" s="27"/>
      <c r="F76" t="s">
        <v>26</v>
      </c>
      <c r="G76" s="28">
        <f>IFERROR(VLOOKUP(F76,CARTON_LOOKUP!$A:$E,3,0),"")</f>
      </c>
      <c r="H76" s="28">
        <f>IFERROR(VLOOKUP(F76,CARTON_LOOKUP!$A:$E,4,0),"")</f>
      </c>
      <c r="I76" s="28">
        <f>IFERROR(VLOOKUP(F76,CARTON_LOOKUP!$A:$E,5,0),"")</f>
      </c>
      <c r="J76" s="29">
        <f>IFERROR(VLOOKUP(F76,CARTON_LOOKUP!$A:$E,2,0),"")</f>
      </c>
      <c r="K76" s="29">
        <f>IFERROR(J76*D76,0)</f>
      </c>
      <c r="L76" s="29">
        <f>IFERROR(E76*C76,0)</f>
      </c>
      <c r="M76" s="29">
        <f>IFERROR((G76*H76*I76/1000000)*D76,0)</f>
      </c>
    </row>
    <row r="77" spans="1:13" x14ac:dyDescent="0.25">
      <c r="A77" s="16"/>
      <c r="E77" s="27"/>
      <c r="F77" t="s">
        <v>26</v>
      </c>
      <c r="G77" s="28">
        <f>IFERROR(VLOOKUP(F77,CARTON_LOOKUP!$A:$E,3,0),"")</f>
      </c>
      <c r="H77" s="28">
        <f>IFERROR(VLOOKUP(F77,CARTON_LOOKUP!$A:$E,4,0),"")</f>
      </c>
      <c r="I77" s="28">
        <f>IFERROR(VLOOKUP(F77,CARTON_LOOKUP!$A:$E,5,0),"")</f>
      </c>
      <c r="J77" s="29">
        <f>IFERROR(VLOOKUP(F77,CARTON_LOOKUP!$A:$E,2,0),"")</f>
      </c>
      <c r="K77" s="29">
        <f>IFERROR(J77*D77,0)</f>
      </c>
      <c r="L77" s="29">
        <f>IFERROR(E77*C77,0)</f>
      </c>
      <c r="M77" s="29">
        <f>IFERROR((G77*H77*I77/1000000)*D77,0)</f>
      </c>
    </row>
    <row r="78" spans="1:13" x14ac:dyDescent="0.25">
      <c r="A78" s="16"/>
      <c r="E78" s="27"/>
      <c r="F78" t="s">
        <v>26</v>
      </c>
      <c r="G78" s="28">
        <f>IFERROR(VLOOKUP(F78,CARTON_LOOKUP!$A:$E,3,0),"")</f>
      </c>
      <c r="H78" s="28">
        <f>IFERROR(VLOOKUP(F78,CARTON_LOOKUP!$A:$E,4,0),"")</f>
      </c>
      <c r="I78" s="28">
        <f>IFERROR(VLOOKUP(F78,CARTON_LOOKUP!$A:$E,5,0),"")</f>
      </c>
      <c r="J78" s="29">
        <f>IFERROR(VLOOKUP(F78,CARTON_LOOKUP!$A:$E,2,0),"")</f>
      </c>
      <c r="K78" s="29">
        <f>IFERROR(J78*D78,0)</f>
      </c>
      <c r="L78" s="29">
        <f>IFERROR(E78*C78,0)</f>
      </c>
      <c r="M78" s="29">
        <f>IFERROR((G78*H78*I78/1000000)*D78,0)</f>
      </c>
    </row>
    <row r="79" spans="1:13" x14ac:dyDescent="0.25">
      <c r="A79" s="16"/>
      <c r="E79" s="27"/>
      <c r="F79" t="s">
        <v>26</v>
      </c>
      <c r="G79" s="28">
        <f>IFERROR(VLOOKUP(F79,CARTON_LOOKUP!$A:$E,3,0),"")</f>
      </c>
      <c r="H79" s="28">
        <f>IFERROR(VLOOKUP(F79,CARTON_LOOKUP!$A:$E,4,0),"")</f>
      </c>
      <c r="I79" s="28">
        <f>IFERROR(VLOOKUP(F79,CARTON_LOOKUP!$A:$E,5,0),"")</f>
      </c>
      <c r="J79" s="29">
        <f>IFERROR(VLOOKUP(F79,CARTON_LOOKUP!$A:$E,2,0),"")</f>
      </c>
      <c r="K79" s="29">
        <f>IFERROR(J79*D79,0)</f>
      </c>
      <c r="L79" s="29">
        <f>IFERROR(E79*C79,0)</f>
      </c>
      <c r="M79" s="29">
        <f>IFERROR((G79*H79*I79/1000000)*D79,0)</f>
      </c>
    </row>
    <row r="80" spans="1:13" x14ac:dyDescent="0.25">
      <c r="A80" s="16"/>
      <c r="E80" s="27"/>
      <c r="F80" t="s">
        <v>26</v>
      </c>
      <c r="G80" s="28">
        <f>IFERROR(VLOOKUP(F80,CARTON_LOOKUP!$A:$E,3,0),"")</f>
      </c>
      <c r="H80" s="28">
        <f>IFERROR(VLOOKUP(F80,CARTON_LOOKUP!$A:$E,4,0),"")</f>
      </c>
      <c r="I80" s="28">
        <f>IFERROR(VLOOKUP(F80,CARTON_LOOKUP!$A:$E,5,0),"")</f>
      </c>
      <c r="J80" s="29">
        <f>IFERROR(VLOOKUP(F80,CARTON_LOOKUP!$A:$E,2,0),"")</f>
      </c>
      <c r="K80" s="29">
        <f>IFERROR(J80*D80,0)</f>
      </c>
      <c r="L80" s="29">
        <f>IFERROR(E80*C80,0)</f>
      </c>
      <c r="M80" s="29">
        <f>IFERROR((G80*H80*I80/1000000)*D80,0)</f>
      </c>
    </row>
    <row r="81" spans="1:13" x14ac:dyDescent="0.25">
      <c r="A81" s="16"/>
      <c r="E81" s="27"/>
      <c r="F81" t="s">
        <v>26</v>
      </c>
      <c r="G81" s="28">
        <f>IFERROR(VLOOKUP(F81,CARTON_LOOKUP!$A:$E,3,0),"")</f>
      </c>
      <c r="H81" s="28">
        <f>IFERROR(VLOOKUP(F81,CARTON_LOOKUP!$A:$E,4,0),"")</f>
      </c>
      <c r="I81" s="28">
        <f>IFERROR(VLOOKUP(F81,CARTON_LOOKUP!$A:$E,5,0),"")</f>
      </c>
      <c r="J81" s="29">
        <f>IFERROR(VLOOKUP(F81,CARTON_LOOKUP!$A:$E,2,0),"")</f>
      </c>
      <c r="K81" s="29">
        <f>IFERROR(J81*D81,0)</f>
      </c>
      <c r="L81" s="29">
        <f>IFERROR(E81*C81,0)</f>
      </c>
      <c r="M81" s="29">
        <f>IFERROR((G81*H81*I81/1000000)*D81,0)</f>
      </c>
    </row>
    <row r="82" spans="1:13" x14ac:dyDescent="0.25">
      <c r="A82" s="16"/>
      <c r="E82" s="27"/>
      <c r="F82" t="s">
        <v>26</v>
      </c>
      <c r="G82" s="28">
        <f>IFERROR(VLOOKUP(F82,CARTON_LOOKUP!$A:$E,3,0),"")</f>
      </c>
      <c r="H82" s="28">
        <f>IFERROR(VLOOKUP(F82,CARTON_LOOKUP!$A:$E,4,0),"")</f>
      </c>
      <c r="I82" s="28">
        <f>IFERROR(VLOOKUP(F82,CARTON_LOOKUP!$A:$E,5,0),"")</f>
      </c>
      <c r="J82" s="29">
        <f>IFERROR(VLOOKUP(F82,CARTON_LOOKUP!$A:$E,2,0),"")</f>
      </c>
      <c r="K82" s="29">
        <f>IFERROR(J82*D82,0)</f>
      </c>
      <c r="L82" s="29">
        <f>IFERROR(E82*C82,0)</f>
      </c>
      <c r="M82" s="29">
        <f>IFERROR((G82*H82*I82/1000000)*D82,0)</f>
      </c>
    </row>
    <row r="83" spans="1:13" x14ac:dyDescent="0.25">
      <c r="A83" s="16"/>
      <c r="E83" s="27"/>
      <c r="F83" t="s">
        <v>26</v>
      </c>
      <c r="G83" s="28">
        <f>IFERROR(VLOOKUP(F83,CARTON_LOOKUP!$A:$E,3,0),"")</f>
      </c>
      <c r="H83" s="28">
        <f>IFERROR(VLOOKUP(F83,CARTON_LOOKUP!$A:$E,4,0),"")</f>
      </c>
      <c r="I83" s="28">
        <f>IFERROR(VLOOKUP(F83,CARTON_LOOKUP!$A:$E,5,0),"")</f>
      </c>
      <c r="J83" s="29">
        <f>IFERROR(VLOOKUP(F83,CARTON_LOOKUP!$A:$E,2,0),"")</f>
      </c>
      <c r="K83" s="29">
        <f>IFERROR(J83*D83,0)</f>
      </c>
      <c r="L83" s="29">
        <f>IFERROR(E83*C83,0)</f>
      </c>
      <c r="M83" s="29">
        <f>IFERROR((G83*H83*I83/1000000)*D83,0)</f>
      </c>
    </row>
    <row r="84" spans="1:13" x14ac:dyDescent="0.25">
      <c r="A84" s="16"/>
      <c r="E84" s="27"/>
      <c r="F84" t="s">
        <v>26</v>
      </c>
      <c r="G84" s="28">
        <f>IFERROR(VLOOKUP(F84,CARTON_LOOKUP!$A:$E,3,0),"")</f>
      </c>
      <c r="H84" s="28">
        <f>IFERROR(VLOOKUP(F84,CARTON_LOOKUP!$A:$E,4,0),"")</f>
      </c>
      <c r="I84" s="28">
        <f>IFERROR(VLOOKUP(F84,CARTON_LOOKUP!$A:$E,5,0),"")</f>
      </c>
      <c r="J84" s="29">
        <f>IFERROR(VLOOKUP(F84,CARTON_LOOKUP!$A:$E,2,0),"")</f>
      </c>
      <c r="K84" s="29">
        <f>IFERROR(J84*D84,0)</f>
      </c>
      <c r="L84" s="29">
        <f>IFERROR(E84*C84,0)</f>
      </c>
      <c r="M84" s="29">
        <f>IFERROR((G84*H84*I84/1000000)*D84,0)</f>
      </c>
    </row>
    <row r="85" spans="1:13" x14ac:dyDescent="0.25">
      <c r="A85" s="16"/>
      <c r="E85" s="27"/>
      <c r="F85" t="s">
        <v>26</v>
      </c>
      <c r="G85" s="28">
        <f>IFERROR(VLOOKUP(F85,CARTON_LOOKUP!$A:$E,3,0),"")</f>
      </c>
      <c r="H85" s="28">
        <f>IFERROR(VLOOKUP(F85,CARTON_LOOKUP!$A:$E,4,0),"")</f>
      </c>
      <c r="I85" s="28">
        <f>IFERROR(VLOOKUP(F85,CARTON_LOOKUP!$A:$E,5,0),"")</f>
      </c>
      <c r="J85" s="29">
        <f>IFERROR(VLOOKUP(F85,CARTON_LOOKUP!$A:$E,2,0),"")</f>
      </c>
      <c r="K85" s="29">
        <f>IFERROR(J85*D85,0)</f>
      </c>
      <c r="L85" s="29">
        <f>IFERROR(E85*C85,0)</f>
      </c>
      <c r="M85" s="29">
        <f>IFERROR((G85*H85*I85/1000000)*D85,0)</f>
      </c>
    </row>
    <row r="86" spans="1:13" x14ac:dyDescent="0.25">
      <c r="A86" s="16"/>
      <c r="E86" s="27"/>
      <c r="F86" t="s">
        <v>26</v>
      </c>
      <c r="G86" s="28">
        <f>IFERROR(VLOOKUP(F86,CARTON_LOOKUP!$A:$E,3,0),"")</f>
      </c>
      <c r="H86" s="28">
        <f>IFERROR(VLOOKUP(F86,CARTON_LOOKUP!$A:$E,4,0),"")</f>
      </c>
      <c r="I86" s="28">
        <f>IFERROR(VLOOKUP(F86,CARTON_LOOKUP!$A:$E,5,0),"")</f>
      </c>
      <c r="J86" s="29">
        <f>IFERROR(VLOOKUP(F86,CARTON_LOOKUP!$A:$E,2,0),"")</f>
      </c>
      <c r="K86" s="29">
        <f>IFERROR(J86*D86,0)</f>
      </c>
      <c r="L86" s="29">
        <f>IFERROR(E86*C86,0)</f>
      </c>
      <c r="M86" s="29">
        <f>IFERROR((G86*H86*I86/1000000)*D86,0)</f>
      </c>
    </row>
    <row r="87" spans="1:13" x14ac:dyDescent="0.25">
      <c r="A87" s="16"/>
      <c r="E87" s="27"/>
      <c r="F87" t="s">
        <v>26</v>
      </c>
      <c r="G87" s="28">
        <f>IFERROR(VLOOKUP(F87,CARTON_LOOKUP!$A:$E,3,0),"")</f>
      </c>
      <c r="H87" s="28">
        <f>IFERROR(VLOOKUP(F87,CARTON_LOOKUP!$A:$E,4,0),"")</f>
      </c>
      <c r="I87" s="28">
        <f>IFERROR(VLOOKUP(F87,CARTON_LOOKUP!$A:$E,5,0),"")</f>
      </c>
      <c r="J87" s="29">
        <f>IFERROR(VLOOKUP(F87,CARTON_LOOKUP!$A:$E,2,0),"")</f>
      </c>
      <c r="K87" s="29">
        <f>IFERROR(J87*D87,0)</f>
      </c>
      <c r="L87" s="29">
        <f>IFERROR(E87*C87,0)</f>
      </c>
      <c r="M87" s="29">
        <f>IFERROR((G87*H87*I87/1000000)*D87,0)</f>
      </c>
    </row>
    <row r="88" spans="1:13" x14ac:dyDescent="0.25">
      <c r="A88" s="16"/>
      <c r="E88" s="27"/>
      <c r="F88" t="s">
        <v>26</v>
      </c>
      <c r="G88" s="28">
        <f>IFERROR(VLOOKUP(F88,CARTON_LOOKUP!$A:$E,3,0),"")</f>
      </c>
      <c r="H88" s="28">
        <f>IFERROR(VLOOKUP(F88,CARTON_LOOKUP!$A:$E,4,0),"")</f>
      </c>
      <c r="I88" s="28">
        <f>IFERROR(VLOOKUP(F88,CARTON_LOOKUP!$A:$E,5,0),"")</f>
      </c>
      <c r="J88" s="29">
        <f>IFERROR(VLOOKUP(F88,CARTON_LOOKUP!$A:$E,2,0),"")</f>
      </c>
      <c r="K88" s="29">
        <f>IFERROR(J88*D88,0)</f>
      </c>
      <c r="L88" s="29">
        <f>IFERROR(E88*C88,0)</f>
      </c>
      <c r="M88" s="29">
        <f>IFERROR((G88*H88*I88/1000000)*D88,0)</f>
      </c>
    </row>
    <row r="89" spans="1:13" x14ac:dyDescent="0.25">
      <c r="A89" s="16"/>
      <c r="E89" s="27"/>
      <c r="F89" t="s">
        <v>26</v>
      </c>
      <c r="G89" s="28">
        <f>IFERROR(VLOOKUP(F89,CARTON_LOOKUP!$A:$E,3,0),"")</f>
      </c>
      <c r="H89" s="28">
        <f>IFERROR(VLOOKUP(F89,CARTON_LOOKUP!$A:$E,4,0),"")</f>
      </c>
      <c r="I89" s="28">
        <f>IFERROR(VLOOKUP(F89,CARTON_LOOKUP!$A:$E,5,0),"")</f>
      </c>
      <c r="J89" s="29">
        <f>IFERROR(VLOOKUP(F89,CARTON_LOOKUP!$A:$E,2,0),"")</f>
      </c>
      <c r="K89" s="29">
        <f>IFERROR(J89*D89,0)</f>
      </c>
      <c r="L89" s="29">
        <f>IFERROR(E89*C89,0)</f>
      </c>
      <c r="M89" s="29">
        <f>IFERROR((G89*H89*I89/1000000)*D89,0)</f>
      </c>
    </row>
    <row r="90" spans="1:13" x14ac:dyDescent="0.25">
      <c r="A90" s="16"/>
      <c r="E90" s="27"/>
      <c r="F90" t="s">
        <v>26</v>
      </c>
      <c r="G90" s="28">
        <f>IFERROR(VLOOKUP(F90,CARTON_LOOKUP!$A:$E,3,0),"")</f>
      </c>
      <c r="H90" s="28">
        <f>IFERROR(VLOOKUP(F90,CARTON_LOOKUP!$A:$E,4,0),"")</f>
      </c>
      <c r="I90" s="28">
        <f>IFERROR(VLOOKUP(F90,CARTON_LOOKUP!$A:$E,5,0),"")</f>
      </c>
      <c r="J90" s="29">
        <f>IFERROR(VLOOKUP(F90,CARTON_LOOKUP!$A:$E,2,0),"")</f>
      </c>
      <c r="K90" s="29">
        <f>IFERROR(J90*D90,0)</f>
      </c>
      <c r="L90" s="29">
        <f>IFERROR(E90*C90,0)</f>
      </c>
      <c r="M90" s="29">
        <f>IFERROR((G90*H90*I90/1000000)*D90,0)</f>
      </c>
    </row>
    <row r="91" spans="1:13" x14ac:dyDescent="0.25">
      <c r="A91" s="16"/>
      <c r="E91" s="27"/>
      <c r="F91" t="s">
        <v>26</v>
      </c>
      <c r="G91" s="28">
        <f>IFERROR(VLOOKUP(F91,CARTON_LOOKUP!$A:$E,3,0),"")</f>
      </c>
      <c r="H91" s="28">
        <f>IFERROR(VLOOKUP(F91,CARTON_LOOKUP!$A:$E,4,0),"")</f>
      </c>
      <c r="I91" s="28">
        <f>IFERROR(VLOOKUP(F91,CARTON_LOOKUP!$A:$E,5,0),"")</f>
      </c>
      <c r="J91" s="29">
        <f>IFERROR(VLOOKUP(F91,CARTON_LOOKUP!$A:$E,2,0),"")</f>
      </c>
      <c r="K91" s="29">
        <f>IFERROR(J91*D91,0)</f>
      </c>
      <c r="L91" s="29">
        <f>IFERROR(E91*C91,0)</f>
      </c>
      <c r="M91" s="29">
        <f>IFERROR((G91*H91*I91/1000000)*D91,0)</f>
      </c>
    </row>
    <row r="92" spans="1:13" x14ac:dyDescent="0.25">
      <c r="A92" s="16"/>
      <c r="E92" s="27"/>
      <c r="F92" t="s">
        <v>26</v>
      </c>
      <c r="G92" s="28">
        <f>IFERROR(VLOOKUP(F92,CARTON_LOOKUP!$A:$E,3,0),"")</f>
      </c>
      <c r="H92" s="28">
        <f>IFERROR(VLOOKUP(F92,CARTON_LOOKUP!$A:$E,4,0),"")</f>
      </c>
      <c r="I92" s="28">
        <f>IFERROR(VLOOKUP(F92,CARTON_LOOKUP!$A:$E,5,0),"")</f>
      </c>
      <c r="J92" s="29">
        <f>IFERROR(VLOOKUP(F92,CARTON_LOOKUP!$A:$E,2,0),"")</f>
      </c>
      <c r="K92" s="29">
        <f>IFERROR(J92*D92,0)</f>
      </c>
      <c r="L92" s="29">
        <f>IFERROR(E92*C92,0)</f>
      </c>
      <c r="M92" s="29">
        <f>IFERROR((G92*H92*I92/1000000)*D92,0)</f>
      </c>
    </row>
    <row r="93" spans="1:13" x14ac:dyDescent="0.25">
      <c r="A93" s="16"/>
      <c r="E93" s="27"/>
      <c r="F93" t="s">
        <v>26</v>
      </c>
      <c r="G93" s="28">
        <f>IFERROR(VLOOKUP(F93,CARTON_LOOKUP!$A:$E,3,0),"")</f>
      </c>
      <c r="H93" s="28">
        <f>IFERROR(VLOOKUP(F93,CARTON_LOOKUP!$A:$E,4,0),"")</f>
      </c>
      <c r="I93" s="28">
        <f>IFERROR(VLOOKUP(F93,CARTON_LOOKUP!$A:$E,5,0),"")</f>
      </c>
      <c r="J93" s="29">
        <f>IFERROR(VLOOKUP(F93,CARTON_LOOKUP!$A:$E,2,0),"")</f>
      </c>
      <c r="K93" s="29">
        <f>IFERROR(J93*D93,0)</f>
      </c>
      <c r="L93" s="29">
        <f>IFERROR(E93*C93,0)</f>
      </c>
      <c r="M93" s="29">
        <f>IFERROR((G93*H93*I93/1000000)*D93,0)</f>
      </c>
    </row>
    <row r="94" spans="1:13" x14ac:dyDescent="0.25">
      <c r="A94" s="16"/>
      <c r="E94" s="27"/>
      <c r="F94" t="s">
        <v>26</v>
      </c>
      <c r="G94" s="28">
        <f>IFERROR(VLOOKUP(F94,CARTON_LOOKUP!$A:$E,3,0),"")</f>
      </c>
      <c r="H94" s="28">
        <f>IFERROR(VLOOKUP(F94,CARTON_LOOKUP!$A:$E,4,0),"")</f>
      </c>
      <c r="I94" s="28">
        <f>IFERROR(VLOOKUP(F94,CARTON_LOOKUP!$A:$E,5,0),"")</f>
      </c>
      <c r="J94" s="29">
        <f>IFERROR(VLOOKUP(F94,CARTON_LOOKUP!$A:$E,2,0),"")</f>
      </c>
      <c r="K94" s="29">
        <f>IFERROR(J94*D94,0)</f>
      </c>
      <c r="L94" s="29">
        <f>IFERROR(E94*C94,0)</f>
      </c>
      <c r="M94" s="29">
        <f>IFERROR((G94*H94*I94/1000000)*D94,0)</f>
      </c>
    </row>
    <row r="95" spans="1:13" x14ac:dyDescent="0.25">
      <c r="A95" s="16"/>
      <c r="E95" s="27"/>
      <c r="F95" t="s">
        <v>26</v>
      </c>
      <c r="G95" s="28">
        <f>IFERROR(VLOOKUP(F95,CARTON_LOOKUP!$A:$E,3,0),"")</f>
      </c>
      <c r="H95" s="28">
        <f>IFERROR(VLOOKUP(F95,CARTON_LOOKUP!$A:$E,4,0),"")</f>
      </c>
      <c r="I95" s="28">
        <f>IFERROR(VLOOKUP(F95,CARTON_LOOKUP!$A:$E,5,0),"")</f>
      </c>
      <c r="J95" s="29">
        <f>IFERROR(VLOOKUP(F95,CARTON_LOOKUP!$A:$E,2,0),"")</f>
      </c>
      <c r="K95" s="29">
        <f>IFERROR(J95*D95,0)</f>
      </c>
      <c r="L95" s="29">
        <f>IFERROR(E95*C95,0)</f>
      </c>
      <c r="M95" s="29">
        <f>IFERROR((G95*H95*I95/1000000)*D95,0)</f>
      </c>
    </row>
    <row r="96" spans="1:13" x14ac:dyDescent="0.25">
      <c r="A96" s="16"/>
      <c r="E96" s="27"/>
      <c r="F96" t="s">
        <v>26</v>
      </c>
      <c r="G96" s="28">
        <f>IFERROR(VLOOKUP(F96,CARTON_LOOKUP!$A:$E,3,0),"")</f>
      </c>
      <c r="H96" s="28">
        <f>IFERROR(VLOOKUP(F96,CARTON_LOOKUP!$A:$E,4,0),"")</f>
      </c>
      <c r="I96" s="28">
        <f>IFERROR(VLOOKUP(F96,CARTON_LOOKUP!$A:$E,5,0),"")</f>
      </c>
      <c r="J96" s="29">
        <f>IFERROR(VLOOKUP(F96,CARTON_LOOKUP!$A:$E,2,0),"")</f>
      </c>
      <c r="K96" s="29">
        <f>IFERROR(J96*D96,0)</f>
      </c>
      <c r="L96" s="29">
        <f>IFERROR(E96*C96,0)</f>
      </c>
      <c r="M96" s="29">
        <f>IFERROR((G96*H96*I96/1000000)*D96,0)</f>
      </c>
    </row>
    <row r="97" spans="1:13" x14ac:dyDescent="0.25">
      <c r="A97" s="16"/>
      <c r="E97" s="27"/>
      <c r="F97" t="s">
        <v>26</v>
      </c>
      <c r="G97" s="28">
        <f>IFERROR(VLOOKUP(F97,CARTON_LOOKUP!$A:$E,3,0),"")</f>
      </c>
      <c r="H97" s="28">
        <f>IFERROR(VLOOKUP(F97,CARTON_LOOKUP!$A:$E,4,0),"")</f>
      </c>
      <c r="I97" s="28">
        <f>IFERROR(VLOOKUP(F97,CARTON_LOOKUP!$A:$E,5,0),"")</f>
      </c>
      <c r="J97" s="29">
        <f>IFERROR(VLOOKUP(F97,CARTON_LOOKUP!$A:$E,2,0),"")</f>
      </c>
      <c r="K97" s="29">
        <f>IFERROR(J97*D97,0)</f>
      </c>
      <c r="L97" s="29">
        <f>IFERROR(E97*C97,0)</f>
      </c>
      <c r="M97" s="29">
        <f>IFERROR((G97*H97*I97/1000000)*D97,0)</f>
      </c>
    </row>
    <row r="98" spans="1:13" x14ac:dyDescent="0.25">
      <c r="A98" s="16"/>
      <c r="E98" s="27"/>
      <c r="F98" t="s">
        <v>26</v>
      </c>
      <c r="G98" s="28">
        <f>IFERROR(VLOOKUP(F98,CARTON_LOOKUP!$A:$E,3,0),"")</f>
      </c>
      <c r="H98" s="28">
        <f>IFERROR(VLOOKUP(F98,CARTON_LOOKUP!$A:$E,4,0),"")</f>
      </c>
      <c r="I98" s="28">
        <f>IFERROR(VLOOKUP(F98,CARTON_LOOKUP!$A:$E,5,0),"")</f>
      </c>
      <c r="J98" s="29">
        <f>IFERROR(VLOOKUP(F98,CARTON_LOOKUP!$A:$E,2,0),"")</f>
      </c>
      <c r="K98" s="29">
        <f>IFERROR(J98*D98,0)</f>
      </c>
      <c r="L98" s="29">
        <f>IFERROR(E98*C98,0)</f>
      </c>
      <c r="M98" s="29">
        <f>IFERROR((G98*H98*I98/1000000)*D98,0)</f>
      </c>
    </row>
    <row r="99" spans="1:13" x14ac:dyDescent="0.25">
      <c r="A99" s="16"/>
      <c r="E99" s="27"/>
      <c r="F99" t="s">
        <v>26</v>
      </c>
      <c r="G99" s="28">
        <f>IFERROR(VLOOKUP(F99,CARTON_LOOKUP!$A:$E,3,0),"")</f>
      </c>
      <c r="H99" s="28">
        <f>IFERROR(VLOOKUP(F99,CARTON_LOOKUP!$A:$E,4,0),"")</f>
      </c>
      <c r="I99" s="28">
        <f>IFERROR(VLOOKUP(F99,CARTON_LOOKUP!$A:$E,5,0),"")</f>
      </c>
      <c r="J99" s="29">
        <f>IFERROR(VLOOKUP(F99,CARTON_LOOKUP!$A:$E,2,0),"")</f>
      </c>
      <c r="K99" s="29">
        <f>IFERROR(J99*D99,0)</f>
      </c>
      <c r="L99" s="29">
        <f>IFERROR(E99*C99,0)</f>
      </c>
      <c r="M99" s="29">
        <f>IFERROR((G99*H99*I99/1000000)*D99,0)</f>
      </c>
    </row>
    <row r="100" spans="1:13" x14ac:dyDescent="0.25">
      <c r="A100" s="16"/>
      <c r="E100" s="27"/>
      <c r="F100" t="s">
        <v>26</v>
      </c>
      <c r="G100" s="28">
        <f>IFERROR(VLOOKUP(F100,CARTON_LOOKUP!$A:$E,3,0),"")</f>
      </c>
      <c r="H100" s="28">
        <f>IFERROR(VLOOKUP(F100,CARTON_LOOKUP!$A:$E,4,0),"")</f>
      </c>
      <c r="I100" s="28">
        <f>IFERROR(VLOOKUP(F100,CARTON_LOOKUP!$A:$E,5,0),"")</f>
      </c>
      <c r="J100" s="29">
        <f>IFERROR(VLOOKUP(F100,CARTON_LOOKUP!$A:$E,2,0),"")</f>
      </c>
      <c r="K100" s="29">
        <f>IFERROR(J100*D100,0)</f>
      </c>
      <c r="L100" s="29">
        <f>IFERROR(E100*C100,0)</f>
      </c>
      <c r="M100" s="29">
        <f>IFERROR((G100*H100*I100/1000000)*D100,0)</f>
      </c>
    </row>
    <row r="101" spans="1:13" x14ac:dyDescent="0.25">
      <c r="A101" s="16"/>
      <c r="E101" s="27"/>
      <c r="F101" t="s">
        <v>26</v>
      </c>
      <c r="G101" s="28">
        <f>IFERROR(VLOOKUP(F101,CARTON_LOOKUP!$A:$E,3,0),"")</f>
      </c>
      <c r="H101" s="28">
        <f>IFERROR(VLOOKUP(F101,CARTON_LOOKUP!$A:$E,4,0),"")</f>
      </c>
      <c r="I101" s="28">
        <f>IFERROR(VLOOKUP(F101,CARTON_LOOKUP!$A:$E,5,0),"")</f>
      </c>
      <c r="J101" s="29">
        <f>IFERROR(VLOOKUP(F101,CARTON_LOOKUP!$A:$E,2,0),"")</f>
      </c>
      <c r="K101" s="29">
        <f>IFERROR(J101*D101,0)</f>
      </c>
      <c r="L101" s="29">
        <f>IFERROR(E101*C101,0)</f>
      </c>
      <c r="M101" s="29">
        <f>IFERROR((G101*H101*I101/1000000)*D101,0)</f>
      </c>
    </row>
    <row r="102" spans="1:13" x14ac:dyDescent="0.25">
      <c r="A102" s="16"/>
      <c r="E102" s="27"/>
      <c r="F102" t="s">
        <v>26</v>
      </c>
      <c r="G102" s="28">
        <f>IFERROR(VLOOKUP(F102,CARTON_LOOKUP!$A:$E,3,0),"")</f>
      </c>
      <c r="H102" s="28">
        <f>IFERROR(VLOOKUP(F102,CARTON_LOOKUP!$A:$E,4,0),"")</f>
      </c>
      <c r="I102" s="28">
        <f>IFERROR(VLOOKUP(F102,CARTON_LOOKUP!$A:$E,5,0),"")</f>
      </c>
      <c r="J102" s="29">
        <f>IFERROR(VLOOKUP(F102,CARTON_LOOKUP!$A:$E,2,0),"")</f>
      </c>
      <c r="K102" s="29">
        <f>IFERROR(J102*D102,0)</f>
      </c>
      <c r="L102" s="29">
        <f>IFERROR(E102*C102,0)</f>
      </c>
      <c r="M102" s="29">
        <f>IFERROR((G102*H102*I102/1000000)*D102,0)</f>
      </c>
    </row>
    <row r="103" spans="1:13" x14ac:dyDescent="0.25">
      <c r="A103" s="16"/>
      <c r="E103" s="27"/>
      <c r="F103" t="s">
        <v>26</v>
      </c>
      <c r="G103" s="28">
        <f>IFERROR(VLOOKUP(F103,CARTON_LOOKUP!$A:$E,3,0),"")</f>
      </c>
      <c r="H103" s="28">
        <f>IFERROR(VLOOKUP(F103,CARTON_LOOKUP!$A:$E,4,0),"")</f>
      </c>
      <c r="I103" s="28">
        <f>IFERROR(VLOOKUP(F103,CARTON_LOOKUP!$A:$E,5,0),"")</f>
      </c>
      <c r="J103" s="29">
        <f>IFERROR(VLOOKUP(F103,CARTON_LOOKUP!$A:$E,2,0),"")</f>
      </c>
      <c r="K103" s="29">
        <f>IFERROR(J103*D103,0)</f>
      </c>
      <c r="L103" s="29">
        <f>IFERROR(E103*C103,0)</f>
      </c>
      <c r="M103" s="29">
        <f>IFERROR((G103*H103*I103/1000000)*D103,0)</f>
      </c>
    </row>
    <row r="104" spans="1:13" x14ac:dyDescent="0.25">
      <c r="A104" s="16"/>
      <c r="E104" s="27"/>
      <c r="F104" t="s">
        <v>26</v>
      </c>
      <c r="G104" s="28">
        <f>IFERROR(VLOOKUP(F104,CARTON_LOOKUP!$A:$E,3,0),"")</f>
      </c>
      <c r="H104" s="28">
        <f>IFERROR(VLOOKUP(F104,CARTON_LOOKUP!$A:$E,4,0),"")</f>
      </c>
      <c r="I104" s="28">
        <f>IFERROR(VLOOKUP(F104,CARTON_LOOKUP!$A:$E,5,0),"")</f>
      </c>
      <c r="J104" s="29">
        <f>IFERROR(VLOOKUP(F104,CARTON_LOOKUP!$A:$E,2,0),"")</f>
      </c>
      <c r="K104" s="29">
        <f>IFERROR(J104*D104,0)</f>
      </c>
      <c r="L104" s="29">
        <f>IFERROR(E104*C104,0)</f>
      </c>
      <c r="M104" s="29">
        <f>IFERROR((G104*H104*I104/1000000)*D104,0)</f>
      </c>
    </row>
    <row r="105" spans="1:13" x14ac:dyDescent="0.25">
      <c r="A105" s="16"/>
      <c r="E105" s="27"/>
      <c r="F105" t="s">
        <v>26</v>
      </c>
      <c r="G105" s="28">
        <f>IFERROR(VLOOKUP(F105,CARTON_LOOKUP!$A:$E,3,0),"")</f>
      </c>
      <c r="H105" s="28">
        <f>IFERROR(VLOOKUP(F105,CARTON_LOOKUP!$A:$E,4,0),"")</f>
      </c>
      <c r="I105" s="28">
        <f>IFERROR(VLOOKUP(F105,CARTON_LOOKUP!$A:$E,5,0),"")</f>
      </c>
      <c r="J105" s="29">
        <f>IFERROR(VLOOKUP(F105,CARTON_LOOKUP!$A:$E,2,0),"")</f>
      </c>
      <c r="K105" s="29">
        <f>IFERROR(J105*D105,0)</f>
      </c>
      <c r="L105" s="29">
        <f>IFERROR(E105*C105,0)</f>
      </c>
      <c r="M105" s="29">
        <f>IFERROR((G105*H105*I105/1000000)*D105,0)</f>
      </c>
    </row>
    <row r="106" spans="1:13" x14ac:dyDescent="0.25">
      <c r="A106" s="16"/>
      <c r="E106" s="27"/>
      <c r="F106" t="s">
        <v>26</v>
      </c>
      <c r="G106" s="28">
        <f>IFERROR(VLOOKUP(F106,CARTON_LOOKUP!$A:$E,3,0),"")</f>
      </c>
      <c r="H106" s="28">
        <f>IFERROR(VLOOKUP(F106,CARTON_LOOKUP!$A:$E,4,0),"")</f>
      </c>
      <c r="I106" s="28">
        <f>IFERROR(VLOOKUP(F106,CARTON_LOOKUP!$A:$E,5,0),"")</f>
      </c>
      <c r="J106" s="29">
        <f>IFERROR(VLOOKUP(F106,CARTON_LOOKUP!$A:$E,2,0),"")</f>
      </c>
      <c r="K106" s="29">
        <f>IFERROR(J106*D106,0)</f>
      </c>
      <c r="L106" s="29">
        <f>IFERROR(E106*C106,0)</f>
      </c>
      <c r="M106" s="29">
        <f>IFERROR((G106*H106*I106/1000000)*D106,0)</f>
      </c>
    </row>
    <row r="107" spans="1:13" x14ac:dyDescent="0.25">
      <c r="A107" s="16"/>
      <c r="E107" s="27"/>
      <c r="F107" t="s">
        <v>26</v>
      </c>
      <c r="G107" s="28">
        <f>IFERROR(VLOOKUP(F107,CARTON_LOOKUP!$A:$E,3,0),"")</f>
      </c>
      <c r="H107" s="28">
        <f>IFERROR(VLOOKUP(F107,CARTON_LOOKUP!$A:$E,4,0),"")</f>
      </c>
      <c r="I107" s="28">
        <f>IFERROR(VLOOKUP(F107,CARTON_LOOKUP!$A:$E,5,0),"")</f>
      </c>
      <c r="J107" s="29">
        <f>IFERROR(VLOOKUP(F107,CARTON_LOOKUP!$A:$E,2,0),"")</f>
      </c>
      <c r="K107" s="29">
        <f>IFERROR(J107*D107,0)</f>
      </c>
      <c r="L107" s="29">
        <f>IFERROR(E107*C107,0)</f>
      </c>
      <c r="M107" s="29">
        <f>IFERROR((G107*H107*I107/1000000)*D107,0)</f>
      </c>
    </row>
    <row r="108" spans="1:13" x14ac:dyDescent="0.25">
      <c r="A108" s="16"/>
      <c r="E108" s="27"/>
      <c r="F108" t="s">
        <v>26</v>
      </c>
      <c r="G108" s="28">
        <f>IFERROR(VLOOKUP(F108,CARTON_LOOKUP!$A:$E,3,0),"")</f>
      </c>
      <c r="H108" s="28">
        <f>IFERROR(VLOOKUP(F108,CARTON_LOOKUP!$A:$E,4,0),"")</f>
      </c>
      <c r="I108" s="28">
        <f>IFERROR(VLOOKUP(F108,CARTON_LOOKUP!$A:$E,5,0),"")</f>
      </c>
      <c r="J108" s="29">
        <f>IFERROR(VLOOKUP(F108,CARTON_LOOKUP!$A:$E,2,0),"")</f>
      </c>
      <c r="K108" s="29">
        <f>IFERROR(J108*D108,0)</f>
      </c>
      <c r="L108" s="29">
        <f>IFERROR(E108*C108,0)</f>
      </c>
      <c r="M108" s="29">
        <f>IFERROR((G108*H108*I108/1000000)*D108,0)</f>
      </c>
    </row>
    <row r="109" spans="1:13" x14ac:dyDescent="0.25">
      <c r="A109" s="16"/>
      <c r="E109" s="27"/>
      <c r="F109" t="s">
        <v>26</v>
      </c>
      <c r="G109" s="28">
        <f>IFERROR(VLOOKUP(F109,CARTON_LOOKUP!$A:$E,3,0),"")</f>
      </c>
      <c r="H109" s="28">
        <f>IFERROR(VLOOKUP(F109,CARTON_LOOKUP!$A:$E,4,0),"")</f>
      </c>
      <c r="I109" s="28">
        <f>IFERROR(VLOOKUP(F109,CARTON_LOOKUP!$A:$E,5,0),"")</f>
      </c>
      <c r="J109" s="29">
        <f>IFERROR(VLOOKUP(F109,CARTON_LOOKUP!$A:$E,2,0),"")</f>
      </c>
      <c r="K109" s="29">
        <f>IFERROR(J109*D109,0)</f>
      </c>
      <c r="L109" s="29">
        <f>IFERROR(E109*C109,0)</f>
      </c>
      <c r="M109" s="29">
        <f>IFERROR((G109*H109*I109/1000000)*D109,0)</f>
      </c>
    </row>
    <row r="110" spans="1:13" x14ac:dyDescent="0.25">
      <c r="A110" s="16"/>
      <c r="E110" s="27"/>
      <c r="F110" t="s">
        <v>26</v>
      </c>
      <c r="G110" s="28">
        <f>IFERROR(VLOOKUP(F110,CARTON_LOOKUP!$A:$E,3,0),"")</f>
      </c>
      <c r="H110" s="28">
        <f>IFERROR(VLOOKUP(F110,CARTON_LOOKUP!$A:$E,4,0),"")</f>
      </c>
      <c r="I110" s="28">
        <f>IFERROR(VLOOKUP(F110,CARTON_LOOKUP!$A:$E,5,0),"")</f>
      </c>
      <c r="J110" s="29">
        <f>IFERROR(VLOOKUP(F110,CARTON_LOOKUP!$A:$E,2,0),"")</f>
      </c>
      <c r="K110" s="29">
        <f>IFERROR(J110*D110,0)</f>
      </c>
      <c r="L110" s="29">
        <f>IFERROR(E110*C110,0)</f>
      </c>
      <c r="M110" s="29">
        <f>IFERROR((G110*H110*I110/1000000)*D110,0)</f>
      </c>
    </row>
    <row r="111" spans="1:13" x14ac:dyDescent="0.25">
      <c r="A111" s="16"/>
      <c r="E111" s="27"/>
      <c r="F111" t="s">
        <v>26</v>
      </c>
      <c r="G111" s="28">
        <f>IFERROR(VLOOKUP(F111,CARTON_LOOKUP!$A:$E,3,0),"")</f>
      </c>
      <c r="H111" s="28">
        <f>IFERROR(VLOOKUP(F111,CARTON_LOOKUP!$A:$E,4,0),"")</f>
      </c>
      <c r="I111" s="28">
        <f>IFERROR(VLOOKUP(F111,CARTON_LOOKUP!$A:$E,5,0),"")</f>
      </c>
      <c r="J111" s="29">
        <f>IFERROR(VLOOKUP(F111,CARTON_LOOKUP!$A:$E,2,0),"")</f>
      </c>
      <c r="K111" s="29">
        <f>IFERROR(J111*D111,0)</f>
      </c>
      <c r="L111" s="29">
        <f>IFERROR(E111*C111,0)</f>
      </c>
      <c r="M111" s="29">
        <f>IFERROR((G111*H111*I111/1000000)*D111,0)</f>
      </c>
    </row>
    <row r="112" spans="1:13" x14ac:dyDescent="0.25">
      <c r="A112" s="16"/>
      <c r="E112" s="27"/>
      <c r="F112" t="s">
        <v>26</v>
      </c>
      <c r="G112" s="28">
        <f>IFERROR(VLOOKUP(F112,CARTON_LOOKUP!$A:$E,3,0),"")</f>
      </c>
      <c r="H112" s="28">
        <f>IFERROR(VLOOKUP(F112,CARTON_LOOKUP!$A:$E,4,0),"")</f>
      </c>
      <c r="I112" s="28">
        <f>IFERROR(VLOOKUP(F112,CARTON_LOOKUP!$A:$E,5,0),"")</f>
      </c>
      <c r="J112" s="29">
        <f>IFERROR(VLOOKUP(F112,CARTON_LOOKUP!$A:$E,2,0),"")</f>
      </c>
      <c r="K112" s="29">
        <f>IFERROR(J112*D112,0)</f>
      </c>
      <c r="L112" s="29">
        <f>IFERROR(E112*C112,0)</f>
      </c>
      <c r="M112" s="29">
        <f>IFERROR((G112*H112*I112/1000000)*D112,0)</f>
      </c>
    </row>
    <row r="113" spans="1:13" x14ac:dyDescent="0.25">
      <c r="A113" s="16"/>
      <c r="E113" s="27"/>
      <c r="F113" t="s">
        <v>26</v>
      </c>
      <c r="G113" s="28">
        <f>IFERROR(VLOOKUP(F113,CARTON_LOOKUP!$A:$E,3,0),"")</f>
      </c>
      <c r="H113" s="28">
        <f>IFERROR(VLOOKUP(F113,CARTON_LOOKUP!$A:$E,4,0),"")</f>
      </c>
      <c r="I113" s="28">
        <f>IFERROR(VLOOKUP(F113,CARTON_LOOKUP!$A:$E,5,0),"")</f>
      </c>
      <c r="J113" s="29">
        <f>IFERROR(VLOOKUP(F113,CARTON_LOOKUP!$A:$E,2,0),"")</f>
      </c>
      <c r="K113" s="29">
        <f>IFERROR(J113*D113,0)</f>
      </c>
      <c r="L113" s="29">
        <f>IFERROR(E113*C113,0)</f>
      </c>
      <c r="M113" s="29">
        <f>IFERROR((G113*H113*I113/1000000)*D113,0)</f>
      </c>
    </row>
    <row r="114" spans="1:13" x14ac:dyDescent="0.25">
      <c r="A114" s="16"/>
      <c r="E114" s="27"/>
      <c r="F114" t="s">
        <v>26</v>
      </c>
      <c r="G114" s="28">
        <f>IFERROR(VLOOKUP(F114,CARTON_LOOKUP!$A:$E,3,0),"")</f>
      </c>
      <c r="H114" s="28">
        <f>IFERROR(VLOOKUP(F114,CARTON_LOOKUP!$A:$E,4,0),"")</f>
      </c>
      <c r="I114" s="28">
        <f>IFERROR(VLOOKUP(F114,CARTON_LOOKUP!$A:$E,5,0),"")</f>
      </c>
      <c r="J114" s="29">
        <f>IFERROR(VLOOKUP(F114,CARTON_LOOKUP!$A:$E,2,0),"")</f>
      </c>
      <c r="K114" s="29">
        <f>IFERROR(J114*D114,0)</f>
      </c>
      <c r="L114" s="29">
        <f>IFERROR(E114*C114,0)</f>
      </c>
      <c r="M114" s="29">
        <f>IFERROR((G114*H114*I114/1000000)*D114,0)</f>
      </c>
    </row>
    <row r="115" spans="1:13" x14ac:dyDescent="0.25">
      <c r="A115" s="16"/>
      <c r="E115" s="27"/>
      <c r="F115" t="s">
        <v>26</v>
      </c>
      <c r="G115" s="28">
        <f>IFERROR(VLOOKUP(F115,CARTON_LOOKUP!$A:$E,3,0),"")</f>
      </c>
      <c r="H115" s="28">
        <f>IFERROR(VLOOKUP(F115,CARTON_LOOKUP!$A:$E,4,0),"")</f>
      </c>
      <c r="I115" s="28">
        <f>IFERROR(VLOOKUP(F115,CARTON_LOOKUP!$A:$E,5,0),"")</f>
      </c>
      <c r="J115" s="29">
        <f>IFERROR(VLOOKUP(F115,CARTON_LOOKUP!$A:$E,2,0),"")</f>
      </c>
      <c r="K115" s="29">
        <f>IFERROR(J115*D115,0)</f>
      </c>
      <c r="L115" s="29">
        <f>IFERROR(E115*C115,0)</f>
      </c>
      <c r="M115" s="29">
        <f>IFERROR((G115*H115*I115/1000000)*D115,0)</f>
      </c>
    </row>
    <row r="116" spans="1:13" x14ac:dyDescent="0.25">
      <c r="A116" s="16"/>
      <c r="E116" s="27"/>
      <c r="F116" t="s">
        <v>26</v>
      </c>
      <c r="G116" s="28">
        <f>IFERROR(VLOOKUP(F116,CARTON_LOOKUP!$A:$E,3,0),"")</f>
      </c>
      <c r="H116" s="28">
        <f>IFERROR(VLOOKUP(F116,CARTON_LOOKUP!$A:$E,4,0),"")</f>
      </c>
      <c r="I116" s="28">
        <f>IFERROR(VLOOKUP(F116,CARTON_LOOKUP!$A:$E,5,0),"")</f>
      </c>
      <c r="J116" s="29">
        <f>IFERROR(VLOOKUP(F116,CARTON_LOOKUP!$A:$E,2,0),"")</f>
      </c>
      <c r="K116" s="29">
        <f>IFERROR(J116*D116,0)</f>
      </c>
      <c r="L116" s="29">
        <f>IFERROR(E116*C116,0)</f>
      </c>
      <c r="M116" s="29">
        <f>IFERROR((G116*H116*I116/1000000)*D116,0)</f>
      </c>
    </row>
    <row r="117" spans="1:13" x14ac:dyDescent="0.25">
      <c r="A117" s="16"/>
      <c r="E117" s="27"/>
      <c r="F117" t="s">
        <v>26</v>
      </c>
      <c r="G117" s="28">
        <f>IFERROR(VLOOKUP(F117,CARTON_LOOKUP!$A:$E,3,0),"")</f>
      </c>
      <c r="H117" s="28">
        <f>IFERROR(VLOOKUP(F117,CARTON_LOOKUP!$A:$E,4,0),"")</f>
      </c>
      <c r="I117" s="28">
        <f>IFERROR(VLOOKUP(F117,CARTON_LOOKUP!$A:$E,5,0),"")</f>
      </c>
      <c r="J117" s="29">
        <f>IFERROR(VLOOKUP(F117,CARTON_LOOKUP!$A:$E,2,0),"")</f>
      </c>
      <c r="K117" s="29">
        <f>IFERROR(J117*D117,0)</f>
      </c>
      <c r="L117" s="29">
        <f>IFERROR(E117*C117,0)</f>
      </c>
      <c r="M117" s="29">
        <f>IFERROR((G117*H117*I117/1000000)*D117,0)</f>
      </c>
    </row>
    <row r="118" spans="1:13" x14ac:dyDescent="0.25">
      <c r="A118" s="16"/>
      <c r="E118" s="27"/>
      <c r="F118" t="s">
        <v>26</v>
      </c>
      <c r="G118" s="28">
        <f>IFERROR(VLOOKUP(F118,CARTON_LOOKUP!$A:$E,3,0),"")</f>
      </c>
      <c r="H118" s="28">
        <f>IFERROR(VLOOKUP(F118,CARTON_LOOKUP!$A:$E,4,0),"")</f>
      </c>
      <c r="I118" s="28">
        <f>IFERROR(VLOOKUP(F118,CARTON_LOOKUP!$A:$E,5,0),"")</f>
      </c>
      <c r="J118" s="29">
        <f>IFERROR(VLOOKUP(F118,CARTON_LOOKUP!$A:$E,2,0),"")</f>
      </c>
      <c r="K118" s="29">
        <f>IFERROR(J118*D118,0)</f>
      </c>
      <c r="L118" s="29">
        <f>IFERROR(E118*C118,0)</f>
      </c>
      <c r="M118" s="29">
        <f>IFERROR((G118*H118*I118/1000000)*D118,0)</f>
      </c>
    </row>
    <row r="119" spans="1:13" x14ac:dyDescent="0.25">
      <c r="A119" s="16"/>
      <c r="E119" s="27"/>
      <c r="F119" t="s">
        <v>26</v>
      </c>
      <c r="G119" s="28">
        <f>IFERROR(VLOOKUP(F119,CARTON_LOOKUP!$A:$E,3,0),"")</f>
      </c>
      <c r="H119" s="28">
        <f>IFERROR(VLOOKUP(F119,CARTON_LOOKUP!$A:$E,4,0),"")</f>
      </c>
      <c r="I119" s="28">
        <f>IFERROR(VLOOKUP(F119,CARTON_LOOKUP!$A:$E,5,0),"")</f>
      </c>
      <c r="J119" s="29">
        <f>IFERROR(VLOOKUP(F119,CARTON_LOOKUP!$A:$E,2,0),"")</f>
      </c>
      <c r="K119" s="29">
        <f>IFERROR(J119*D119,0)</f>
      </c>
      <c r="L119" s="29">
        <f>IFERROR(E119*C119,0)</f>
      </c>
      <c r="M119" s="29">
        <f>IFERROR((G119*H119*I119/1000000)*D119,0)</f>
      </c>
    </row>
    <row r="120" spans="1:13" x14ac:dyDescent="0.25">
      <c r="A120" s="16"/>
      <c r="E120" s="27"/>
      <c r="F120" t="s">
        <v>26</v>
      </c>
      <c r="G120" s="28">
        <f>IFERROR(VLOOKUP(F120,CARTON_LOOKUP!$A:$E,3,0),"")</f>
      </c>
      <c r="H120" s="28">
        <f>IFERROR(VLOOKUP(F120,CARTON_LOOKUP!$A:$E,4,0),"")</f>
      </c>
      <c r="I120" s="28">
        <f>IFERROR(VLOOKUP(F120,CARTON_LOOKUP!$A:$E,5,0),"")</f>
      </c>
      <c r="J120" s="29">
        <f>IFERROR(VLOOKUP(F120,CARTON_LOOKUP!$A:$E,2,0),"")</f>
      </c>
      <c r="K120" s="29">
        <f>IFERROR(J120*D120,0)</f>
      </c>
      <c r="L120" s="29">
        <f>IFERROR(E120*C120,0)</f>
      </c>
      <c r="M120" s="29">
        <f>IFERROR((G120*H120*I120/1000000)*D120,0)</f>
      </c>
    </row>
    <row r="121" spans="1:13" x14ac:dyDescent="0.25">
      <c r="A121" s="16"/>
      <c r="E121" s="27"/>
      <c r="F121" t="s">
        <v>26</v>
      </c>
      <c r="G121" s="28">
        <f>IFERROR(VLOOKUP(F121,CARTON_LOOKUP!$A:$E,3,0),"")</f>
      </c>
      <c r="H121" s="28">
        <f>IFERROR(VLOOKUP(F121,CARTON_LOOKUP!$A:$E,4,0),"")</f>
      </c>
      <c r="I121" s="28">
        <f>IFERROR(VLOOKUP(F121,CARTON_LOOKUP!$A:$E,5,0),"")</f>
      </c>
      <c r="J121" s="29">
        <f>IFERROR(VLOOKUP(F121,CARTON_LOOKUP!$A:$E,2,0),"")</f>
      </c>
      <c r="K121" s="29">
        <f>IFERROR(J121*D121,0)</f>
      </c>
      <c r="L121" s="29">
        <f>IFERROR(E121*C121,0)</f>
      </c>
      <c r="M121" s="29">
        <f>IFERROR((G121*H121*I121/1000000)*D121,0)</f>
      </c>
    </row>
    <row r="122" spans="1:13" x14ac:dyDescent="0.25">
      <c r="A122" s="16"/>
      <c r="E122" s="27"/>
      <c r="F122" t="s">
        <v>26</v>
      </c>
      <c r="G122" s="28">
        <f>IFERROR(VLOOKUP(F122,CARTON_LOOKUP!$A:$E,3,0),"")</f>
      </c>
      <c r="H122" s="28">
        <f>IFERROR(VLOOKUP(F122,CARTON_LOOKUP!$A:$E,4,0),"")</f>
      </c>
      <c r="I122" s="28">
        <f>IFERROR(VLOOKUP(F122,CARTON_LOOKUP!$A:$E,5,0),"")</f>
      </c>
      <c r="J122" s="29">
        <f>IFERROR(VLOOKUP(F122,CARTON_LOOKUP!$A:$E,2,0),"")</f>
      </c>
      <c r="K122" s="29">
        <f>IFERROR(J122*D122,0)</f>
      </c>
      <c r="L122" s="29">
        <f>IFERROR(E122*C122,0)</f>
      </c>
      <c r="M122" s="29">
        <f>IFERROR((G122*H122*I122/1000000)*D122,0)</f>
      </c>
    </row>
    <row r="123" spans="1:13" x14ac:dyDescent="0.25">
      <c r="A123" s="16"/>
      <c r="E123" s="27"/>
      <c r="F123" t="s">
        <v>26</v>
      </c>
      <c r="G123" s="28">
        <f>IFERROR(VLOOKUP(F123,CARTON_LOOKUP!$A:$E,3,0),"")</f>
      </c>
      <c r="H123" s="28">
        <f>IFERROR(VLOOKUP(F123,CARTON_LOOKUP!$A:$E,4,0),"")</f>
      </c>
      <c r="I123" s="28">
        <f>IFERROR(VLOOKUP(F123,CARTON_LOOKUP!$A:$E,5,0),"")</f>
      </c>
      <c r="J123" s="29">
        <f>IFERROR(VLOOKUP(F123,CARTON_LOOKUP!$A:$E,2,0),"")</f>
      </c>
      <c r="K123" s="29">
        <f>IFERROR(J123*D123,0)</f>
      </c>
      <c r="L123" s="29">
        <f>IFERROR(E123*C123,0)</f>
      </c>
      <c r="M123" s="29">
        <f>IFERROR((G123*H123*I123/1000000)*D123,0)</f>
      </c>
    </row>
    <row r="124" spans="1:13" x14ac:dyDescent="0.25">
      <c r="A124" s="16"/>
      <c r="E124" s="27"/>
      <c r="F124" t="s">
        <v>26</v>
      </c>
      <c r="G124" s="28">
        <f>IFERROR(VLOOKUP(F124,CARTON_LOOKUP!$A:$E,3,0),"")</f>
      </c>
      <c r="H124" s="28">
        <f>IFERROR(VLOOKUP(F124,CARTON_LOOKUP!$A:$E,4,0),"")</f>
      </c>
      <c r="I124" s="28">
        <f>IFERROR(VLOOKUP(F124,CARTON_LOOKUP!$A:$E,5,0),"")</f>
      </c>
      <c r="J124" s="29">
        <f>IFERROR(VLOOKUP(F124,CARTON_LOOKUP!$A:$E,2,0),"")</f>
      </c>
      <c r="K124" s="29">
        <f>IFERROR(J124*D124,0)</f>
      </c>
      <c r="L124" s="29">
        <f>IFERROR(E124*C124,0)</f>
      </c>
      <c r="M124" s="29">
        <f>IFERROR((G124*H124*I124/1000000)*D124,0)</f>
      </c>
    </row>
    <row r="125" spans="1:13" x14ac:dyDescent="0.25">
      <c r="A125" s="16"/>
      <c r="E125" s="27"/>
      <c r="F125" t="s">
        <v>26</v>
      </c>
      <c r="G125" s="28">
        <f>IFERROR(VLOOKUP(F125,CARTON_LOOKUP!$A:$E,3,0),"")</f>
      </c>
      <c r="H125" s="28">
        <f>IFERROR(VLOOKUP(F125,CARTON_LOOKUP!$A:$E,4,0),"")</f>
      </c>
      <c r="I125" s="28">
        <f>IFERROR(VLOOKUP(F125,CARTON_LOOKUP!$A:$E,5,0),"")</f>
      </c>
      <c r="J125" s="29">
        <f>IFERROR(VLOOKUP(F125,CARTON_LOOKUP!$A:$E,2,0),"")</f>
      </c>
      <c r="K125" s="29">
        <f>IFERROR(J125*D125,0)</f>
      </c>
      <c r="L125" s="29">
        <f>IFERROR(E125*C125,0)</f>
      </c>
      <c r="M125" s="29">
        <f>IFERROR((G125*H125*I125/1000000)*D125,0)</f>
      </c>
    </row>
    <row r="126" spans="1:13" x14ac:dyDescent="0.25">
      <c r="A126" s="16"/>
      <c r="E126" s="27"/>
      <c r="F126" t="s">
        <v>26</v>
      </c>
      <c r="G126" s="28">
        <f>IFERROR(VLOOKUP(F126,CARTON_LOOKUP!$A:$E,3,0),"")</f>
      </c>
      <c r="H126" s="28">
        <f>IFERROR(VLOOKUP(F126,CARTON_LOOKUP!$A:$E,4,0),"")</f>
      </c>
      <c r="I126" s="28">
        <f>IFERROR(VLOOKUP(F126,CARTON_LOOKUP!$A:$E,5,0),"")</f>
      </c>
      <c r="J126" s="29">
        <f>IFERROR(VLOOKUP(F126,CARTON_LOOKUP!$A:$E,2,0),"")</f>
      </c>
      <c r="K126" s="29">
        <f>IFERROR(J126*D126,0)</f>
      </c>
      <c r="L126" s="29">
        <f>IFERROR(E126*C126,0)</f>
      </c>
      <c r="M126" s="29">
        <f>IFERROR((G126*H126*I126/1000000)*D126,0)</f>
      </c>
    </row>
    <row r="127" spans="1:13" x14ac:dyDescent="0.25">
      <c r="A127" s="16"/>
      <c r="E127" s="27"/>
      <c r="F127" t="s">
        <v>26</v>
      </c>
      <c r="G127" s="28">
        <f>IFERROR(VLOOKUP(F127,CARTON_LOOKUP!$A:$E,3,0),"")</f>
      </c>
      <c r="H127" s="28">
        <f>IFERROR(VLOOKUP(F127,CARTON_LOOKUP!$A:$E,4,0),"")</f>
      </c>
      <c r="I127" s="28">
        <f>IFERROR(VLOOKUP(F127,CARTON_LOOKUP!$A:$E,5,0),"")</f>
      </c>
      <c r="J127" s="29">
        <f>IFERROR(VLOOKUP(F127,CARTON_LOOKUP!$A:$E,2,0),"")</f>
      </c>
      <c r="K127" s="29">
        <f>IFERROR(J127*D127,0)</f>
      </c>
      <c r="L127" s="29">
        <f>IFERROR(E127*C127,0)</f>
      </c>
      <c r="M127" s="29">
        <f>IFERROR((G127*H127*I127/1000000)*D127,0)</f>
      </c>
    </row>
    <row r="128" spans="1:13" x14ac:dyDescent="0.25">
      <c r="A128" s="16"/>
      <c r="E128" s="27"/>
      <c r="F128" t="s">
        <v>26</v>
      </c>
      <c r="G128" s="28">
        <f>IFERROR(VLOOKUP(F128,CARTON_LOOKUP!$A:$E,3,0),"")</f>
      </c>
      <c r="H128" s="28">
        <f>IFERROR(VLOOKUP(F128,CARTON_LOOKUP!$A:$E,4,0),"")</f>
      </c>
      <c r="I128" s="28">
        <f>IFERROR(VLOOKUP(F128,CARTON_LOOKUP!$A:$E,5,0),"")</f>
      </c>
      <c r="J128" s="29">
        <f>IFERROR(VLOOKUP(F128,CARTON_LOOKUP!$A:$E,2,0),"")</f>
      </c>
      <c r="K128" s="29">
        <f>IFERROR(J128*D128,0)</f>
      </c>
      <c r="L128" s="29">
        <f>IFERROR(E128*C128,0)</f>
      </c>
      <c r="M128" s="29">
        <f>IFERROR((G128*H128*I128/1000000)*D128,0)</f>
      </c>
    </row>
    <row r="129" spans="1:13" x14ac:dyDescent="0.25">
      <c r="A129" s="16"/>
      <c r="E129" s="27"/>
      <c r="F129" t="s">
        <v>26</v>
      </c>
      <c r="G129" s="28">
        <f>IFERROR(VLOOKUP(F129,CARTON_LOOKUP!$A:$E,3,0),"")</f>
      </c>
      <c r="H129" s="28">
        <f>IFERROR(VLOOKUP(F129,CARTON_LOOKUP!$A:$E,4,0),"")</f>
      </c>
      <c r="I129" s="28">
        <f>IFERROR(VLOOKUP(F129,CARTON_LOOKUP!$A:$E,5,0),"")</f>
      </c>
      <c r="J129" s="29">
        <f>IFERROR(VLOOKUP(F129,CARTON_LOOKUP!$A:$E,2,0),"")</f>
      </c>
      <c r="K129" s="29">
        <f>IFERROR(J129*D129,0)</f>
      </c>
      <c r="L129" s="29">
        <f>IFERROR(E129*C129,0)</f>
      </c>
      <c r="M129" s="29">
        <f>IFERROR((G129*H129*I129/1000000)*D129,0)</f>
      </c>
    </row>
    <row r="130" spans="1:13" x14ac:dyDescent="0.25">
      <c r="A130" s="16"/>
      <c r="E130" s="27"/>
      <c r="F130" t="s">
        <v>26</v>
      </c>
      <c r="G130" s="28">
        <f>IFERROR(VLOOKUP(F130,CARTON_LOOKUP!$A:$E,3,0),"")</f>
      </c>
      <c r="H130" s="28">
        <f>IFERROR(VLOOKUP(F130,CARTON_LOOKUP!$A:$E,4,0),"")</f>
      </c>
      <c r="I130" s="28">
        <f>IFERROR(VLOOKUP(F130,CARTON_LOOKUP!$A:$E,5,0),"")</f>
      </c>
      <c r="J130" s="29">
        <f>IFERROR(VLOOKUP(F130,CARTON_LOOKUP!$A:$E,2,0),"")</f>
      </c>
      <c r="K130" s="29">
        <f>IFERROR(J130*D130,0)</f>
      </c>
      <c r="L130" s="29">
        <f>IFERROR(E130*C130,0)</f>
      </c>
      <c r="M130" s="29">
        <f>IFERROR((G130*H130*I130/1000000)*D130,0)</f>
      </c>
    </row>
    <row r="131" spans="1:13" x14ac:dyDescent="0.25">
      <c r="A131" s="16"/>
      <c r="E131" s="27"/>
      <c r="F131" t="s">
        <v>26</v>
      </c>
      <c r="G131" s="28">
        <f>IFERROR(VLOOKUP(F131,CARTON_LOOKUP!$A:$E,3,0),"")</f>
      </c>
      <c r="H131" s="28">
        <f>IFERROR(VLOOKUP(F131,CARTON_LOOKUP!$A:$E,4,0),"")</f>
      </c>
      <c r="I131" s="28">
        <f>IFERROR(VLOOKUP(F131,CARTON_LOOKUP!$A:$E,5,0),"")</f>
      </c>
      <c r="J131" s="29">
        <f>IFERROR(VLOOKUP(F131,CARTON_LOOKUP!$A:$E,2,0),"")</f>
      </c>
      <c r="K131" s="29">
        <f>IFERROR(J131*D131,0)</f>
      </c>
      <c r="L131" s="29">
        <f>IFERROR(E131*C131,0)</f>
      </c>
      <c r="M131" s="29">
        <f>IFERROR((G131*H131*I131/1000000)*D131,0)</f>
      </c>
    </row>
    <row r="132" spans="1:13" x14ac:dyDescent="0.25">
      <c r="A132" s="16"/>
      <c r="E132" s="27"/>
      <c r="F132" t="s">
        <v>26</v>
      </c>
      <c r="G132" s="28">
        <f>IFERROR(VLOOKUP(F132,CARTON_LOOKUP!$A:$E,3,0),"")</f>
      </c>
      <c r="H132" s="28">
        <f>IFERROR(VLOOKUP(F132,CARTON_LOOKUP!$A:$E,4,0),"")</f>
      </c>
      <c r="I132" s="28">
        <f>IFERROR(VLOOKUP(F132,CARTON_LOOKUP!$A:$E,5,0),"")</f>
      </c>
      <c r="J132" s="29">
        <f>IFERROR(VLOOKUP(F132,CARTON_LOOKUP!$A:$E,2,0),"")</f>
      </c>
      <c r="K132" s="29">
        <f>IFERROR(J132*D132,0)</f>
      </c>
      <c r="L132" s="29">
        <f>IFERROR(E132*C132,0)</f>
      </c>
      <c r="M132" s="29">
        <f>IFERROR((G132*H132*I132/1000000)*D132,0)</f>
      </c>
    </row>
    <row r="133" spans="1:13" x14ac:dyDescent="0.25">
      <c r="A133" s="16"/>
      <c r="E133" s="27"/>
      <c r="F133" t="s">
        <v>26</v>
      </c>
      <c r="G133" s="28">
        <f>IFERROR(VLOOKUP(F133,CARTON_LOOKUP!$A:$E,3,0),"")</f>
      </c>
      <c r="H133" s="28">
        <f>IFERROR(VLOOKUP(F133,CARTON_LOOKUP!$A:$E,4,0),"")</f>
      </c>
      <c r="I133" s="28">
        <f>IFERROR(VLOOKUP(F133,CARTON_LOOKUP!$A:$E,5,0),"")</f>
      </c>
      <c r="J133" s="29">
        <f>IFERROR(VLOOKUP(F133,CARTON_LOOKUP!$A:$E,2,0),"")</f>
      </c>
      <c r="K133" s="29">
        <f>IFERROR(J133*D133,0)</f>
      </c>
      <c r="L133" s="29">
        <f>IFERROR(E133*C133,0)</f>
      </c>
      <c r="M133" s="29">
        <f>IFERROR((G133*H133*I133/1000000)*D133,0)</f>
      </c>
    </row>
    <row r="134" spans="1:13" x14ac:dyDescent="0.25">
      <c r="A134" s="16"/>
      <c r="E134" s="27"/>
      <c r="F134" t="s">
        <v>26</v>
      </c>
      <c r="G134" s="28">
        <f>IFERROR(VLOOKUP(F134,CARTON_LOOKUP!$A:$E,3,0),"")</f>
      </c>
      <c r="H134" s="28">
        <f>IFERROR(VLOOKUP(F134,CARTON_LOOKUP!$A:$E,4,0),"")</f>
      </c>
      <c r="I134" s="28">
        <f>IFERROR(VLOOKUP(F134,CARTON_LOOKUP!$A:$E,5,0),"")</f>
      </c>
      <c r="J134" s="29">
        <f>IFERROR(VLOOKUP(F134,CARTON_LOOKUP!$A:$E,2,0),"")</f>
      </c>
      <c r="K134" s="29">
        <f>IFERROR(J134*D134,0)</f>
      </c>
      <c r="L134" s="29">
        <f>IFERROR(E134*C134,0)</f>
      </c>
      <c r="M134" s="29">
        <f>IFERROR((G134*H134*I134/1000000)*D134,0)</f>
      </c>
    </row>
    <row r="135" spans="1:13" x14ac:dyDescent="0.25">
      <c r="A135" s="16"/>
      <c r="E135" s="27"/>
      <c r="F135" t="s">
        <v>26</v>
      </c>
      <c r="G135" s="28">
        <f>IFERROR(VLOOKUP(F135,CARTON_LOOKUP!$A:$E,3,0),"")</f>
      </c>
      <c r="H135" s="28">
        <f>IFERROR(VLOOKUP(F135,CARTON_LOOKUP!$A:$E,4,0),"")</f>
      </c>
      <c r="I135" s="28">
        <f>IFERROR(VLOOKUP(F135,CARTON_LOOKUP!$A:$E,5,0),"")</f>
      </c>
      <c r="J135" s="29">
        <f>IFERROR(VLOOKUP(F135,CARTON_LOOKUP!$A:$E,2,0),"")</f>
      </c>
      <c r="K135" s="29">
        <f>IFERROR(J135*D135,0)</f>
      </c>
      <c r="L135" s="29">
        <f>IFERROR(E135*C135,0)</f>
      </c>
      <c r="M135" s="29">
        <f>IFERROR((G135*H135*I135/1000000)*D135,0)</f>
      </c>
    </row>
    <row r="136" spans="1:13" x14ac:dyDescent="0.25">
      <c r="A136" s="16"/>
      <c r="E136" s="27"/>
      <c r="F136" t="s">
        <v>26</v>
      </c>
      <c r="G136" s="28">
        <f>IFERROR(VLOOKUP(F136,CARTON_LOOKUP!$A:$E,3,0),"")</f>
      </c>
      <c r="H136" s="28">
        <f>IFERROR(VLOOKUP(F136,CARTON_LOOKUP!$A:$E,4,0),"")</f>
      </c>
      <c r="I136" s="28">
        <f>IFERROR(VLOOKUP(F136,CARTON_LOOKUP!$A:$E,5,0),"")</f>
      </c>
      <c r="J136" s="29">
        <f>IFERROR(VLOOKUP(F136,CARTON_LOOKUP!$A:$E,2,0),"")</f>
      </c>
      <c r="K136" s="29">
        <f>IFERROR(J136*D136,0)</f>
      </c>
      <c r="L136" s="29">
        <f>IFERROR(E136*C136,0)</f>
      </c>
      <c r="M136" s="29">
        <f>IFERROR((G136*H136*I136/1000000)*D136,0)</f>
      </c>
    </row>
    <row r="137" spans="1:13" x14ac:dyDescent="0.25">
      <c r="A137" s="16"/>
      <c r="E137" s="27"/>
      <c r="F137" t="s">
        <v>26</v>
      </c>
      <c r="G137" s="28">
        <f>IFERROR(VLOOKUP(F137,CARTON_LOOKUP!$A:$E,3,0),"")</f>
      </c>
      <c r="H137" s="28">
        <f>IFERROR(VLOOKUP(F137,CARTON_LOOKUP!$A:$E,4,0),"")</f>
      </c>
      <c r="I137" s="28">
        <f>IFERROR(VLOOKUP(F137,CARTON_LOOKUP!$A:$E,5,0),"")</f>
      </c>
      <c r="J137" s="29">
        <f>IFERROR(VLOOKUP(F137,CARTON_LOOKUP!$A:$E,2,0),"")</f>
      </c>
      <c r="K137" s="29">
        <f>IFERROR(J137*D137,0)</f>
      </c>
      <c r="L137" s="29">
        <f>IFERROR(E137*C137,0)</f>
      </c>
      <c r="M137" s="29">
        <f>IFERROR((G137*H137*I137/1000000)*D137,0)</f>
      </c>
    </row>
    <row r="138" spans="1:13" x14ac:dyDescent="0.25">
      <c r="A138" s="16"/>
      <c r="E138" s="27"/>
      <c r="F138" t="s">
        <v>26</v>
      </c>
      <c r="G138" s="28">
        <f>IFERROR(VLOOKUP(F138,CARTON_LOOKUP!$A:$E,3,0),"")</f>
      </c>
      <c r="H138" s="28">
        <f>IFERROR(VLOOKUP(F138,CARTON_LOOKUP!$A:$E,4,0),"")</f>
      </c>
      <c r="I138" s="28">
        <f>IFERROR(VLOOKUP(F138,CARTON_LOOKUP!$A:$E,5,0),"")</f>
      </c>
      <c r="J138" s="29">
        <f>IFERROR(VLOOKUP(F138,CARTON_LOOKUP!$A:$E,2,0),"")</f>
      </c>
      <c r="K138" s="29">
        <f>IFERROR(J138*D138,0)</f>
      </c>
      <c r="L138" s="29">
        <f>IFERROR(E138*C138,0)</f>
      </c>
      <c r="M138" s="29">
        <f>IFERROR((G138*H138*I138/1000000)*D138,0)</f>
      </c>
    </row>
    <row r="139" spans="1:13" x14ac:dyDescent="0.25">
      <c r="A139" s="16"/>
      <c r="E139" s="27"/>
      <c r="F139" t="s">
        <v>26</v>
      </c>
      <c r="G139" s="28">
        <f>IFERROR(VLOOKUP(F139,CARTON_LOOKUP!$A:$E,3,0),"")</f>
      </c>
      <c r="H139" s="28">
        <f>IFERROR(VLOOKUP(F139,CARTON_LOOKUP!$A:$E,4,0),"")</f>
      </c>
      <c r="I139" s="28">
        <f>IFERROR(VLOOKUP(F139,CARTON_LOOKUP!$A:$E,5,0),"")</f>
      </c>
      <c r="J139" s="29">
        <f>IFERROR(VLOOKUP(F139,CARTON_LOOKUP!$A:$E,2,0),"")</f>
      </c>
      <c r="K139" s="29">
        <f>IFERROR(J139*D139,0)</f>
      </c>
      <c r="L139" s="29">
        <f>IFERROR(E139*C139,0)</f>
      </c>
      <c r="M139" s="29">
        <f>IFERROR((G139*H139*I139/1000000)*D139,0)</f>
      </c>
    </row>
    <row r="140" spans="1:13" x14ac:dyDescent="0.25">
      <c r="A140" s="16"/>
      <c r="E140" s="27"/>
      <c r="F140" t="s">
        <v>26</v>
      </c>
      <c r="G140" s="28">
        <f>IFERROR(VLOOKUP(F140,CARTON_LOOKUP!$A:$E,3,0),"")</f>
      </c>
      <c r="H140" s="28">
        <f>IFERROR(VLOOKUP(F140,CARTON_LOOKUP!$A:$E,4,0),"")</f>
      </c>
      <c r="I140" s="28">
        <f>IFERROR(VLOOKUP(F140,CARTON_LOOKUP!$A:$E,5,0),"")</f>
      </c>
      <c r="J140" s="29">
        <f>IFERROR(VLOOKUP(F140,CARTON_LOOKUP!$A:$E,2,0),"")</f>
      </c>
      <c r="K140" s="29">
        <f>IFERROR(J140*D140,0)</f>
      </c>
      <c r="L140" s="29">
        <f>IFERROR(E140*C140,0)</f>
      </c>
      <c r="M140" s="29">
        <f>IFERROR((G140*H140*I140/1000000)*D140,0)</f>
      </c>
    </row>
    <row r="141" spans="1:13" x14ac:dyDescent="0.25">
      <c r="A141" s="16"/>
      <c r="E141" s="27"/>
      <c r="F141" t="s">
        <v>26</v>
      </c>
      <c r="G141" s="28">
        <f>IFERROR(VLOOKUP(F141,CARTON_LOOKUP!$A:$E,3,0),"")</f>
      </c>
      <c r="H141" s="28">
        <f>IFERROR(VLOOKUP(F141,CARTON_LOOKUP!$A:$E,4,0),"")</f>
      </c>
      <c r="I141" s="28">
        <f>IFERROR(VLOOKUP(F141,CARTON_LOOKUP!$A:$E,5,0),"")</f>
      </c>
      <c r="J141" s="29">
        <f>IFERROR(VLOOKUP(F141,CARTON_LOOKUP!$A:$E,2,0),"")</f>
      </c>
      <c r="K141" s="29">
        <f>IFERROR(J141*D141,0)</f>
      </c>
      <c r="L141" s="29">
        <f>IFERROR(E141*C141,0)</f>
      </c>
      <c r="M141" s="29">
        <f>IFERROR((G141*H141*I141/1000000)*D141,0)</f>
      </c>
    </row>
    <row r="142" spans="1:13" x14ac:dyDescent="0.25">
      <c r="A142" s="16"/>
      <c r="E142" s="27"/>
      <c r="F142" t="s">
        <v>26</v>
      </c>
      <c r="G142" s="28">
        <f>IFERROR(VLOOKUP(F142,CARTON_LOOKUP!$A:$E,3,0),"")</f>
      </c>
      <c r="H142" s="28">
        <f>IFERROR(VLOOKUP(F142,CARTON_LOOKUP!$A:$E,4,0),"")</f>
      </c>
      <c r="I142" s="28">
        <f>IFERROR(VLOOKUP(F142,CARTON_LOOKUP!$A:$E,5,0),"")</f>
      </c>
      <c r="J142" s="29">
        <f>IFERROR(VLOOKUP(F142,CARTON_LOOKUP!$A:$E,2,0),"")</f>
      </c>
      <c r="K142" s="29">
        <f>IFERROR(J142*D142,0)</f>
      </c>
      <c r="L142" s="29">
        <f>IFERROR(E142*C142,0)</f>
      </c>
      <c r="M142" s="29">
        <f>IFERROR((G142*H142*I142/1000000)*D142,0)</f>
      </c>
    </row>
    <row r="143" spans="1:13" x14ac:dyDescent="0.25">
      <c r="A143" s="16"/>
      <c r="E143" s="27"/>
      <c r="F143" t="s">
        <v>26</v>
      </c>
      <c r="G143" s="28">
        <f>IFERROR(VLOOKUP(F143,CARTON_LOOKUP!$A:$E,3,0),"")</f>
      </c>
      <c r="H143" s="28">
        <f>IFERROR(VLOOKUP(F143,CARTON_LOOKUP!$A:$E,4,0),"")</f>
      </c>
      <c r="I143" s="28">
        <f>IFERROR(VLOOKUP(F143,CARTON_LOOKUP!$A:$E,5,0),"")</f>
      </c>
      <c r="J143" s="29">
        <f>IFERROR(VLOOKUP(F143,CARTON_LOOKUP!$A:$E,2,0),"")</f>
      </c>
      <c r="K143" s="29">
        <f>IFERROR(J143*D143,0)</f>
      </c>
      <c r="L143" s="29">
        <f>IFERROR(E143*C143,0)</f>
      </c>
      <c r="M143" s="29">
        <f>IFERROR((G143*H143*I143/1000000)*D143,0)</f>
      </c>
    </row>
    <row r="144" spans="1:13" x14ac:dyDescent="0.25">
      <c r="A144" s="16"/>
      <c r="E144" s="27"/>
      <c r="F144" t="s">
        <v>26</v>
      </c>
      <c r="G144" s="28">
        <f>IFERROR(VLOOKUP(F144,CARTON_LOOKUP!$A:$E,3,0),"")</f>
      </c>
      <c r="H144" s="28">
        <f>IFERROR(VLOOKUP(F144,CARTON_LOOKUP!$A:$E,4,0),"")</f>
      </c>
      <c r="I144" s="28">
        <f>IFERROR(VLOOKUP(F144,CARTON_LOOKUP!$A:$E,5,0),"")</f>
      </c>
      <c r="J144" s="29">
        <f>IFERROR(VLOOKUP(F144,CARTON_LOOKUP!$A:$E,2,0),"")</f>
      </c>
      <c r="K144" s="29">
        <f>IFERROR(J144*D144,0)</f>
      </c>
      <c r="L144" s="29">
        <f>IFERROR(E144*C144,0)</f>
      </c>
      <c r="M144" s="29">
        <f>IFERROR((G144*H144*I144/1000000)*D144,0)</f>
      </c>
    </row>
    <row r="145" spans="1:13" x14ac:dyDescent="0.25">
      <c r="A145" s="16"/>
      <c r="E145" s="27"/>
      <c r="F145" t="s">
        <v>26</v>
      </c>
      <c r="G145" s="28">
        <f>IFERROR(VLOOKUP(F145,CARTON_LOOKUP!$A:$E,3,0),"")</f>
      </c>
      <c r="H145" s="28">
        <f>IFERROR(VLOOKUP(F145,CARTON_LOOKUP!$A:$E,4,0),"")</f>
      </c>
      <c r="I145" s="28">
        <f>IFERROR(VLOOKUP(F145,CARTON_LOOKUP!$A:$E,5,0),"")</f>
      </c>
      <c r="J145" s="29">
        <f>IFERROR(VLOOKUP(F145,CARTON_LOOKUP!$A:$E,2,0),"")</f>
      </c>
      <c r="K145" s="29">
        <f>IFERROR(J145*D145,0)</f>
      </c>
      <c r="L145" s="29">
        <f>IFERROR(E145*C145,0)</f>
      </c>
      <c r="M145" s="29">
        <f>IFERROR((G145*H145*I145/1000000)*D145,0)</f>
      </c>
    </row>
    <row r="146" spans="1:13" x14ac:dyDescent="0.25">
      <c r="A146" s="16"/>
      <c r="E146" s="27"/>
      <c r="F146" t="s">
        <v>26</v>
      </c>
      <c r="G146" s="28">
        <f>IFERROR(VLOOKUP(F146,CARTON_LOOKUP!$A:$E,3,0),"")</f>
      </c>
      <c r="H146" s="28">
        <f>IFERROR(VLOOKUP(F146,CARTON_LOOKUP!$A:$E,4,0),"")</f>
      </c>
      <c r="I146" s="28">
        <f>IFERROR(VLOOKUP(F146,CARTON_LOOKUP!$A:$E,5,0),"")</f>
      </c>
      <c r="J146" s="29">
        <f>IFERROR(VLOOKUP(F146,CARTON_LOOKUP!$A:$E,2,0),"")</f>
      </c>
      <c r="K146" s="29">
        <f>IFERROR(J146*D146,0)</f>
      </c>
      <c r="L146" s="29">
        <f>IFERROR(E146*C146,0)</f>
      </c>
      <c r="M146" s="29">
        <f>IFERROR((G146*H146*I146/1000000)*D146,0)</f>
      </c>
    </row>
    <row r="147" spans="1:13" x14ac:dyDescent="0.25">
      <c r="A147" s="16"/>
      <c r="E147" s="27"/>
      <c r="F147" t="s">
        <v>26</v>
      </c>
      <c r="G147" s="28">
        <f>IFERROR(VLOOKUP(F147,CARTON_LOOKUP!$A:$E,3,0),"")</f>
      </c>
      <c r="H147" s="28">
        <f>IFERROR(VLOOKUP(F147,CARTON_LOOKUP!$A:$E,4,0),"")</f>
      </c>
      <c r="I147" s="28">
        <f>IFERROR(VLOOKUP(F147,CARTON_LOOKUP!$A:$E,5,0),"")</f>
      </c>
      <c r="J147" s="29">
        <f>IFERROR(VLOOKUP(F147,CARTON_LOOKUP!$A:$E,2,0),"")</f>
      </c>
      <c r="K147" s="29">
        <f>IFERROR(J147*D147,0)</f>
      </c>
      <c r="L147" s="29">
        <f>IFERROR(E147*C147,0)</f>
      </c>
      <c r="M147" s="29">
        <f>IFERROR((G147*H147*I147/1000000)*D147,0)</f>
      </c>
    </row>
    <row r="148" spans="1:13" x14ac:dyDescent="0.25">
      <c r="A148" s="16"/>
      <c r="E148" s="27"/>
      <c r="F148" t="s">
        <v>26</v>
      </c>
      <c r="G148" s="28">
        <f>IFERROR(VLOOKUP(F148,CARTON_LOOKUP!$A:$E,3,0),"")</f>
      </c>
      <c r="H148" s="28">
        <f>IFERROR(VLOOKUP(F148,CARTON_LOOKUP!$A:$E,4,0),"")</f>
      </c>
      <c r="I148" s="28">
        <f>IFERROR(VLOOKUP(F148,CARTON_LOOKUP!$A:$E,5,0),"")</f>
      </c>
      <c r="J148" s="29">
        <f>IFERROR(VLOOKUP(F148,CARTON_LOOKUP!$A:$E,2,0),"")</f>
      </c>
      <c r="K148" s="29">
        <f>IFERROR(J148*D148,0)</f>
      </c>
      <c r="L148" s="29">
        <f>IFERROR(E148*C148,0)</f>
      </c>
      <c r="M148" s="29">
        <f>IFERROR((G148*H148*I148/1000000)*D148,0)</f>
      </c>
    </row>
    <row r="149" spans="1:13" x14ac:dyDescent="0.25">
      <c r="A149" s="16"/>
      <c r="E149" s="27"/>
      <c r="F149" t="s">
        <v>26</v>
      </c>
      <c r="G149" s="28">
        <f>IFERROR(VLOOKUP(F149,CARTON_LOOKUP!$A:$E,3,0),"")</f>
      </c>
      <c r="H149" s="28">
        <f>IFERROR(VLOOKUP(F149,CARTON_LOOKUP!$A:$E,4,0),"")</f>
      </c>
      <c r="I149" s="28">
        <f>IFERROR(VLOOKUP(F149,CARTON_LOOKUP!$A:$E,5,0),"")</f>
      </c>
      <c r="J149" s="29">
        <f>IFERROR(VLOOKUP(F149,CARTON_LOOKUP!$A:$E,2,0),"")</f>
      </c>
      <c r="K149" s="29">
        <f>IFERROR(J149*D149,0)</f>
      </c>
      <c r="L149" s="29">
        <f>IFERROR(E149*C149,0)</f>
      </c>
      <c r="M149" s="29">
        <f>IFERROR((G149*H149*I149/1000000)*D149,0)</f>
      </c>
    </row>
    <row r="150" spans="1:13" x14ac:dyDescent="0.25">
      <c r="A150" s="16"/>
      <c r="E150" s="27"/>
      <c r="F150" t="s">
        <v>26</v>
      </c>
      <c r="G150" s="28">
        <f>IFERROR(VLOOKUP(F150,CARTON_LOOKUP!$A:$E,3,0),"")</f>
      </c>
      <c r="H150" s="28">
        <f>IFERROR(VLOOKUP(F150,CARTON_LOOKUP!$A:$E,4,0),"")</f>
      </c>
      <c r="I150" s="28">
        <f>IFERROR(VLOOKUP(F150,CARTON_LOOKUP!$A:$E,5,0),"")</f>
      </c>
      <c r="J150" s="29">
        <f>IFERROR(VLOOKUP(F150,CARTON_LOOKUP!$A:$E,2,0),"")</f>
      </c>
      <c r="K150" s="29">
        <f>IFERROR(J150*D150,0)</f>
      </c>
      <c r="L150" s="29">
        <f>IFERROR(E150*C150,0)</f>
      </c>
      <c r="M150" s="29">
        <f>IFERROR((G150*H150*I150/1000000)*D150,0)</f>
      </c>
    </row>
    <row r="151" spans="1:13" x14ac:dyDescent="0.25">
      <c r="A151" s="16"/>
      <c r="E151" s="27"/>
      <c r="F151" t="s">
        <v>26</v>
      </c>
      <c r="G151" s="28">
        <f>IFERROR(VLOOKUP(F151,CARTON_LOOKUP!$A:$E,3,0),"")</f>
      </c>
      <c r="H151" s="28">
        <f>IFERROR(VLOOKUP(F151,CARTON_LOOKUP!$A:$E,4,0),"")</f>
      </c>
      <c r="I151" s="28">
        <f>IFERROR(VLOOKUP(F151,CARTON_LOOKUP!$A:$E,5,0),"")</f>
      </c>
      <c r="J151" s="29">
        <f>IFERROR(VLOOKUP(F151,CARTON_LOOKUP!$A:$E,2,0),"")</f>
      </c>
      <c r="K151" s="29">
        <f>IFERROR(J151*D151,0)</f>
      </c>
      <c r="L151" s="29">
        <f>IFERROR(E151*C151,0)</f>
      </c>
      <c r="M151" s="29">
        <f>IFERROR((G151*H151*I151/1000000)*D151,0)</f>
      </c>
    </row>
    <row r="152" spans="1:13" x14ac:dyDescent="0.25">
      <c r="A152" s="16"/>
      <c r="E152" s="27"/>
      <c r="F152" t="s">
        <v>26</v>
      </c>
      <c r="G152" s="28">
        <f>IFERROR(VLOOKUP(F152,CARTON_LOOKUP!$A:$E,3,0),"")</f>
      </c>
      <c r="H152" s="28">
        <f>IFERROR(VLOOKUP(F152,CARTON_LOOKUP!$A:$E,4,0),"")</f>
      </c>
      <c r="I152" s="28">
        <f>IFERROR(VLOOKUP(F152,CARTON_LOOKUP!$A:$E,5,0),"")</f>
      </c>
      <c r="J152" s="29">
        <f>IFERROR(VLOOKUP(F152,CARTON_LOOKUP!$A:$E,2,0),"")</f>
      </c>
      <c r="K152" s="29">
        <f>IFERROR(J152*D152,0)</f>
      </c>
      <c r="L152" s="29">
        <f>IFERROR(E152*C152,0)</f>
      </c>
      <c r="M152" s="29">
        <f>IFERROR((G152*H152*I152/1000000)*D152,0)</f>
      </c>
    </row>
    <row r="153" spans="1:13" x14ac:dyDescent="0.25">
      <c r="A153" s="16"/>
      <c r="E153" s="27"/>
      <c r="F153" t="s">
        <v>26</v>
      </c>
      <c r="G153" s="28">
        <f>IFERROR(VLOOKUP(F153,CARTON_LOOKUP!$A:$E,3,0),"")</f>
      </c>
      <c r="H153" s="28">
        <f>IFERROR(VLOOKUP(F153,CARTON_LOOKUP!$A:$E,4,0),"")</f>
      </c>
      <c r="I153" s="28">
        <f>IFERROR(VLOOKUP(F153,CARTON_LOOKUP!$A:$E,5,0),"")</f>
      </c>
      <c r="J153" s="29">
        <f>IFERROR(VLOOKUP(F153,CARTON_LOOKUP!$A:$E,2,0),"")</f>
      </c>
      <c r="K153" s="29">
        <f>IFERROR(J153*D153,0)</f>
      </c>
      <c r="L153" s="29">
        <f>IFERROR(E153*C153,0)</f>
      </c>
      <c r="M153" s="29">
        <f>IFERROR((G153*H153*I153/1000000)*D153,0)</f>
      </c>
    </row>
    <row r="154" spans="1:13" x14ac:dyDescent="0.25">
      <c r="A154" s="16"/>
      <c r="E154" s="27"/>
      <c r="F154" t="s">
        <v>26</v>
      </c>
      <c r="G154" s="28">
        <f>IFERROR(VLOOKUP(F154,CARTON_LOOKUP!$A:$E,3,0),"")</f>
      </c>
      <c r="H154" s="28">
        <f>IFERROR(VLOOKUP(F154,CARTON_LOOKUP!$A:$E,4,0),"")</f>
      </c>
      <c r="I154" s="28">
        <f>IFERROR(VLOOKUP(F154,CARTON_LOOKUP!$A:$E,5,0),"")</f>
      </c>
      <c r="J154" s="29">
        <f>IFERROR(VLOOKUP(F154,CARTON_LOOKUP!$A:$E,2,0),"")</f>
      </c>
      <c r="K154" s="29">
        <f>IFERROR(J154*D154,0)</f>
      </c>
      <c r="L154" s="29">
        <f>IFERROR(E154*C154,0)</f>
      </c>
      <c r="M154" s="29">
        <f>IFERROR((G154*H154*I154/1000000)*D154,0)</f>
      </c>
    </row>
    <row r="155" spans="1:13" x14ac:dyDescent="0.25">
      <c r="A155" s="16"/>
      <c r="E155" s="27"/>
      <c r="F155" t="s">
        <v>26</v>
      </c>
      <c r="G155" s="28">
        <f>IFERROR(VLOOKUP(F155,CARTON_LOOKUP!$A:$E,3,0),"")</f>
      </c>
      <c r="H155" s="28">
        <f>IFERROR(VLOOKUP(F155,CARTON_LOOKUP!$A:$E,4,0),"")</f>
      </c>
      <c r="I155" s="28">
        <f>IFERROR(VLOOKUP(F155,CARTON_LOOKUP!$A:$E,5,0),"")</f>
      </c>
      <c r="J155" s="29">
        <f>IFERROR(VLOOKUP(F155,CARTON_LOOKUP!$A:$E,2,0),"")</f>
      </c>
      <c r="K155" s="29">
        <f>IFERROR(J155*D155,0)</f>
      </c>
      <c r="L155" s="29">
        <f>IFERROR(E155*C155,0)</f>
      </c>
      <c r="M155" s="29">
        <f>IFERROR((G155*H155*I155/1000000)*D155,0)</f>
      </c>
    </row>
    <row r="156" spans="1:13" x14ac:dyDescent="0.25">
      <c r="A156" s="16"/>
      <c r="E156" s="27"/>
      <c r="F156" t="s">
        <v>26</v>
      </c>
      <c r="G156" s="28">
        <f>IFERROR(VLOOKUP(F156,CARTON_LOOKUP!$A:$E,3,0),"")</f>
      </c>
      <c r="H156" s="28">
        <f>IFERROR(VLOOKUP(F156,CARTON_LOOKUP!$A:$E,4,0),"")</f>
      </c>
      <c r="I156" s="28">
        <f>IFERROR(VLOOKUP(F156,CARTON_LOOKUP!$A:$E,5,0),"")</f>
      </c>
      <c r="J156" s="29">
        <f>IFERROR(VLOOKUP(F156,CARTON_LOOKUP!$A:$E,2,0),"")</f>
      </c>
      <c r="K156" s="29">
        <f>IFERROR(J156*D156,0)</f>
      </c>
      <c r="L156" s="29">
        <f>IFERROR(E156*C156,0)</f>
      </c>
      <c r="M156" s="29">
        <f>IFERROR((G156*H156*I156/1000000)*D156,0)</f>
      </c>
    </row>
    <row r="157" spans="1:13" x14ac:dyDescent="0.25">
      <c r="A157" s="16"/>
      <c r="E157" s="27"/>
      <c r="F157" t="s">
        <v>26</v>
      </c>
      <c r="G157" s="28">
        <f>IFERROR(VLOOKUP(F157,CARTON_LOOKUP!$A:$E,3,0),"")</f>
      </c>
      <c r="H157" s="28">
        <f>IFERROR(VLOOKUP(F157,CARTON_LOOKUP!$A:$E,4,0),"")</f>
      </c>
      <c r="I157" s="28">
        <f>IFERROR(VLOOKUP(F157,CARTON_LOOKUP!$A:$E,5,0),"")</f>
      </c>
      <c r="J157" s="29">
        <f>IFERROR(VLOOKUP(F157,CARTON_LOOKUP!$A:$E,2,0),"")</f>
      </c>
      <c r="K157" s="29">
        <f>IFERROR(J157*D157,0)</f>
      </c>
      <c r="L157" s="29">
        <f>IFERROR(E157*C157,0)</f>
      </c>
      <c r="M157" s="29">
        <f>IFERROR((G157*H157*I157/1000000)*D157,0)</f>
      </c>
    </row>
    <row r="158" spans="1:13" x14ac:dyDescent="0.25">
      <c r="A158" s="16"/>
      <c r="E158" s="27"/>
      <c r="F158" t="s">
        <v>26</v>
      </c>
      <c r="G158" s="28">
        <f>IFERROR(VLOOKUP(F158,CARTON_LOOKUP!$A:$E,3,0),"")</f>
      </c>
      <c r="H158" s="28">
        <f>IFERROR(VLOOKUP(F158,CARTON_LOOKUP!$A:$E,4,0),"")</f>
      </c>
      <c r="I158" s="28">
        <f>IFERROR(VLOOKUP(F158,CARTON_LOOKUP!$A:$E,5,0),"")</f>
      </c>
      <c r="J158" s="29">
        <f>IFERROR(VLOOKUP(F158,CARTON_LOOKUP!$A:$E,2,0),"")</f>
      </c>
      <c r="K158" s="29">
        <f>IFERROR(J158*D158,0)</f>
      </c>
      <c r="L158" s="29">
        <f>IFERROR(E158*C158,0)</f>
      </c>
      <c r="M158" s="29">
        <f>IFERROR((G158*H158*I158/1000000)*D158,0)</f>
      </c>
    </row>
    <row r="159" spans="1:13" x14ac:dyDescent="0.25">
      <c r="A159" s="16"/>
      <c r="E159" s="27"/>
      <c r="F159" t="s">
        <v>26</v>
      </c>
      <c r="G159" s="28">
        <f>IFERROR(VLOOKUP(F159,CARTON_LOOKUP!$A:$E,3,0),"")</f>
      </c>
      <c r="H159" s="28">
        <f>IFERROR(VLOOKUP(F159,CARTON_LOOKUP!$A:$E,4,0),"")</f>
      </c>
      <c r="I159" s="28">
        <f>IFERROR(VLOOKUP(F159,CARTON_LOOKUP!$A:$E,5,0),"")</f>
      </c>
      <c r="J159" s="29">
        <f>IFERROR(VLOOKUP(F159,CARTON_LOOKUP!$A:$E,2,0),"")</f>
      </c>
      <c r="K159" s="29">
        <f>IFERROR(J159*D159,0)</f>
      </c>
      <c r="L159" s="29">
        <f>IFERROR(E159*C159,0)</f>
      </c>
      <c r="M159" s="29">
        <f>IFERROR((G159*H159*I159/1000000)*D159,0)</f>
      </c>
    </row>
    <row r="160" spans="1:13" x14ac:dyDescent="0.25">
      <c r="A160" s="16"/>
      <c r="E160" s="27"/>
      <c r="F160" t="s">
        <v>26</v>
      </c>
      <c r="G160" s="28">
        <f>IFERROR(VLOOKUP(F160,CARTON_LOOKUP!$A:$E,3,0),"")</f>
      </c>
      <c r="H160" s="28">
        <f>IFERROR(VLOOKUP(F160,CARTON_LOOKUP!$A:$E,4,0),"")</f>
      </c>
      <c r="I160" s="28">
        <f>IFERROR(VLOOKUP(F160,CARTON_LOOKUP!$A:$E,5,0),"")</f>
      </c>
      <c r="J160" s="29">
        <f>IFERROR(VLOOKUP(F160,CARTON_LOOKUP!$A:$E,2,0),"")</f>
      </c>
      <c r="K160" s="29">
        <f>IFERROR(J160*D160,0)</f>
      </c>
      <c r="L160" s="29">
        <f>IFERROR(E160*C160,0)</f>
      </c>
      <c r="M160" s="29">
        <f>IFERROR((G160*H160*I160/1000000)*D160,0)</f>
      </c>
    </row>
    <row r="161" spans="1:13" x14ac:dyDescent="0.25">
      <c r="A161" s="16"/>
      <c r="E161" s="27"/>
      <c r="F161" t="s">
        <v>26</v>
      </c>
      <c r="G161" s="28">
        <f>IFERROR(VLOOKUP(F161,CARTON_LOOKUP!$A:$E,3,0),"")</f>
      </c>
      <c r="H161" s="28">
        <f>IFERROR(VLOOKUP(F161,CARTON_LOOKUP!$A:$E,4,0),"")</f>
      </c>
      <c r="I161" s="28">
        <f>IFERROR(VLOOKUP(F161,CARTON_LOOKUP!$A:$E,5,0),"")</f>
      </c>
      <c r="J161" s="29">
        <f>IFERROR(VLOOKUP(F161,CARTON_LOOKUP!$A:$E,2,0),"")</f>
      </c>
      <c r="K161" s="29">
        <f>IFERROR(J161*D161,0)</f>
      </c>
      <c r="L161" s="29">
        <f>IFERROR(E161*C161,0)</f>
      </c>
      <c r="M161" s="29">
        <f>IFERROR((G161*H161*I161/1000000)*D161,0)</f>
      </c>
    </row>
    <row r="162" spans="1:13" x14ac:dyDescent="0.25">
      <c r="A162" s="16"/>
      <c r="E162" s="27"/>
      <c r="F162" t="s">
        <v>26</v>
      </c>
      <c r="G162" s="28">
        <f>IFERROR(VLOOKUP(F162,CARTON_LOOKUP!$A:$E,3,0),"")</f>
      </c>
      <c r="H162" s="28">
        <f>IFERROR(VLOOKUP(F162,CARTON_LOOKUP!$A:$E,4,0),"")</f>
      </c>
      <c r="I162" s="28">
        <f>IFERROR(VLOOKUP(F162,CARTON_LOOKUP!$A:$E,5,0),"")</f>
      </c>
      <c r="J162" s="29">
        <f>IFERROR(VLOOKUP(F162,CARTON_LOOKUP!$A:$E,2,0),"")</f>
      </c>
      <c r="K162" s="29">
        <f>IFERROR(J162*D162,0)</f>
      </c>
      <c r="L162" s="29">
        <f>IFERROR(E162*C162,0)</f>
      </c>
      <c r="M162" s="29">
        <f>IFERROR((G162*H162*I162/1000000)*D162,0)</f>
      </c>
    </row>
    <row r="163" spans="1:13" x14ac:dyDescent="0.25">
      <c r="A163" s="16"/>
      <c r="E163" s="27"/>
      <c r="F163" t="s">
        <v>26</v>
      </c>
      <c r="G163" s="28">
        <f>IFERROR(VLOOKUP(F163,CARTON_LOOKUP!$A:$E,3,0),"")</f>
      </c>
      <c r="H163" s="28">
        <f>IFERROR(VLOOKUP(F163,CARTON_LOOKUP!$A:$E,4,0),"")</f>
      </c>
      <c r="I163" s="28">
        <f>IFERROR(VLOOKUP(F163,CARTON_LOOKUP!$A:$E,5,0),"")</f>
      </c>
      <c r="J163" s="29">
        <f>IFERROR(VLOOKUP(F163,CARTON_LOOKUP!$A:$E,2,0),"")</f>
      </c>
      <c r="K163" s="29">
        <f>IFERROR(J163*D163,0)</f>
      </c>
      <c r="L163" s="29">
        <f>IFERROR(E163*C163,0)</f>
      </c>
      <c r="M163" s="29">
        <f>IFERROR((G163*H163*I163/1000000)*D163,0)</f>
      </c>
    </row>
    <row r="164" spans="1:13" x14ac:dyDescent="0.25">
      <c r="A164" s="16"/>
      <c r="E164" s="27"/>
      <c r="F164" t="s">
        <v>26</v>
      </c>
      <c r="G164" s="28">
        <f>IFERROR(VLOOKUP(F164,CARTON_LOOKUP!$A:$E,3,0),"")</f>
      </c>
      <c r="H164" s="28">
        <f>IFERROR(VLOOKUP(F164,CARTON_LOOKUP!$A:$E,4,0),"")</f>
      </c>
      <c r="I164" s="28">
        <f>IFERROR(VLOOKUP(F164,CARTON_LOOKUP!$A:$E,5,0),"")</f>
      </c>
      <c r="J164" s="29">
        <f>IFERROR(VLOOKUP(F164,CARTON_LOOKUP!$A:$E,2,0),"")</f>
      </c>
      <c r="K164" s="29">
        <f>IFERROR(J164*D164,0)</f>
      </c>
      <c r="L164" s="29">
        <f>IFERROR(E164*C164,0)</f>
      </c>
      <c r="M164" s="29">
        <f>IFERROR((G164*H164*I164/1000000)*D164,0)</f>
      </c>
    </row>
    <row r="165" spans="1:13" x14ac:dyDescent="0.25">
      <c r="A165" s="16"/>
      <c r="E165" s="27"/>
      <c r="F165" t="s">
        <v>26</v>
      </c>
      <c r="G165" s="28">
        <f>IFERROR(VLOOKUP(F165,CARTON_LOOKUP!$A:$E,3,0),"")</f>
      </c>
      <c r="H165" s="28">
        <f>IFERROR(VLOOKUP(F165,CARTON_LOOKUP!$A:$E,4,0),"")</f>
      </c>
      <c r="I165" s="28">
        <f>IFERROR(VLOOKUP(F165,CARTON_LOOKUP!$A:$E,5,0),"")</f>
      </c>
      <c r="J165" s="29">
        <f>IFERROR(VLOOKUP(F165,CARTON_LOOKUP!$A:$E,2,0),"")</f>
      </c>
      <c r="K165" s="29">
        <f>IFERROR(J165*D165,0)</f>
      </c>
      <c r="L165" s="29">
        <f>IFERROR(E165*C165,0)</f>
      </c>
      <c r="M165" s="29">
        <f>IFERROR((G165*H165*I165/1000000)*D165,0)</f>
      </c>
    </row>
    <row r="166" spans="1:13" x14ac:dyDescent="0.25">
      <c r="A166" s="16"/>
      <c r="E166" s="27"/>
      <c r="F166" t="s">
        <v>26</v>
      </c>
      <c r="G166" s="28">
        <f>IFERROR(VLOOKUP(F166,CARTON_LOOKUP!$A:$E,3,0),"")</f>
      </c>
      <c r="H166" s="28">
        <f>IFERROR(VLOOKUP(F166,CARTON_LOOKUP!$A:$E,4,0),"")</f>
      </c>
      <c r="I166" s="28">
        <f>IFERROR(VLOOKUP(F166,CARTON_LOOKUP!$A:$E,5,0),"")</f>
      </c>
      <c r="J166" s="29">
        <f>IFERROR(VLOOKUP(F166,CARTON_LOOKUP!$A:$E,2,0),"")</f>
      </c>
      <c r="K166" s="29">
        <f>IFERROR(J166*D166,0)</f>
      </c>
      <c r="L166" s="29">
        <f>IFERROR(E166*C166,0)</f>
      </c>
      <c r="M166" s="29">
        <f>IFERROR((G166*H166*I166/1000000)*D166,0)</f>
      </c>
    </row>
    <row r="167" spans="1:13" x14ac:dyDescent="0.25">
      <c r="A167" s="16"/>
      <c r="E167" s="27"/>
      <c r="F167" t="s">
        <v>26</v>
      </c>
      <c r="G167" s="28">
        <f>IFERROR(VLOOKUP(F167,CARTON_LOOKUP!$A:$E,3,0),"")</f>
      </c>
      <c r="H167" s="28">
        <f>IFERROR(VLOOKUP(F167,CARTON_LOOKUP!$A:$E,4,0),"")</f>
      </c>
      <c r="I167" s="28">
        <f>IFERROR(VLOOKUP(F167,CARTON_LOOKUP!$A:$E,5,0),"")</f>
      </c>
      <c r="J167" s="29">
        <f>IFERROR(VLOOKUP(F167,CARTON_LOOKUP!$A:$E,2,0),"")</f>
      </c>
      <c r="K167" s="29">
        <f>IFERROR(J167*D167,0)</f>
      </c>
      <c r="L167" s="29">
        <f>IFERROR(E167*C167,0)</f>
      </c>
      <c r="M167" s="29">
        <f>IFERROR((G167*H167*I167/1000000)*D167,0)</f>
      </c>
    </row>
    <row r="168" spans="1:13" x14ac:dyDescent="0.25">
      <c r="A168" s="16"/>
      <c r="E168" s="27"/>
      <c r="F168" t="s">
        <v>26</v>
      </c>
      <c r="G168" s="28">
        <f>IFERROR(VLOOKUP(F168,CARTON_LOOKUP!$A:$E,3,0),"")</f>
      </c>
      <c r="H168" s="28">
        <f>IFERROR(VLOOKUP(F168,CARTON_LOOKUP!$A:$E,4,0),"")</f>
      </c>
      <c r="I168" s="28">
        <f>IFERROR(VLOOKUP(F168,CARTON_LOOKUP!$A:$E,5,0),"")</f>
      </c>
      <c r="J168" s="29">
        <f>IFERROR(VLOOKUP(F168,CARTON_LOOKUP!$A:$E,2,0),"")</f>
      </c>
      <c r="K168" s="29">
        <f>IFERROR(J168*D168,0)</f>
      </c>
      <c r="L168" s="29">
        <f>IFERROR(E168*C168,0)</f>
      </c>
      <c r="M168" s="29">
        <f>IFERROR((G168*H168*I168/1000000)*D168,0)</f>
      </c>
    </row>
    <row r="169" spans="1:13" x14ac:dyDescent="0.25">
      <c r="A169" s="16"/>
      <c r="E169" s="27"/>
      <c r="F169" t="s">
        <v>26</v>
      </c>
      <c r="G169" s="28">
        <f>IFERROR(VLOOKUP(F169,CARTON_LOOKUP!$A:$E,3,0),"")</f>
      </c>
      <c r="H169" s="28">
        <f>IFERROR(VLOOKUP(F169,CARTON_LOOKUP!$A:$E,4,0),"")</f>
      </c>
      <c r="I169" s="28">
        <f>IFERROR(VLOOKUP(F169,CARTON_LOOKUP!$A:$E,5,0),"")</f>
      </c>
      <c r="J169" s="29">
        <f>IFERROR(VLOOKUP(F169,CARTON_LOOKUP!$A:$E,2,0),"")</f>
      </c>
      <c r="K169" s="29">
        <f>IFERROR(J169*D169,0)</f>
      </c>
      <c r="L169" s="29">
        <f>IFERROR(E169*C169,0)</f>
      </c>
      <c r="M169" s="29">
        <f>IFERROR((G169*H169*I169/1000000)*D169,0)</f>
      </c>
    </row>
    <row r="170" spans="1:13" x14ac:dyDescent="0.25">
      <c r="A170" s="16"/>
      <c r="E170" s="27"/>
      <c r="F170" t="s">
        <v>26</v>
      </c>
      <c r="G170" s="28">
        <f>IFERROR(VLOOKUP(F170,CARTON_LOOKUP!$A:$E,3,0),"")</f>
      </c>
      <c r="H170" s="28">
        <f>IFERROR(VLOOKUP(F170,CARTON_LOOKUP!$A:$E,4,0),"")</f>
      </c>
      <c r="I170" s="28">
        <f>IFERROR(VLOOKUP(F170,CARTON_LOOKUP!$A:$E,5,0),"")</f>
      </c>
      <c r="J170" s="29">
        <f>IFERROR(VLOOKUP(F170,CARTON_LOOKUP!$A:$E,2,0),"")</f>
      </c>
      <c r="K170" s="29">
        <f>IFERROR(J170*D170,0)</f>
      </c>
      <c r="L170" s="29">
        <f>IFERROR(E170*C170,0)</f>
      </c>
      <c r="M170" s="29">
        <f>IFERROR((G170*H170*I170/1000000)*D170,0)</f>
      </c>
    </row>
    <row r="171" spans="1:13" x14ac:dyDescent="0.25">
      <c r="A171" s="16"/>
      <c r="E171" s="27"/>
      <c r="F171" t="s">
        <v>26</v>
      </c>
      <c r="G171" s="28">
        <f>IFERROR(VLOOKUP(F171,CARTON_LOOKUP!$A:$E,3,0),"")</f>
      </c>
      <c r="H171" s="28">
        <f>IFERROR(VLOOKUP(F171,CARTON_LOOKUP!$A:$E,4,0),"")</f>
      </c>
      <c r="I171" s="28">
        <f>IFERROR(VLOOKUP(F171,CARTON_LOOKUP!$A:$E,5,0),"")</f>
      </c>
      <c r="J171" s="29">
        <f>IFERROR(VLOOKUP(F171,CARTON_LOOKUP!$A:$E,2,0),"")</f>
      </c>
      <c r="K171" s="29">
        <f>IFERROR(J171*D171,0)</f>
      </c>
      <c r="L171" s="29">
        <f>IFERROR(E171*C171,0)</f>
      </c>
      <c r="M171" s="29">
        <f>IFERROR((G171*H171*I171/1000000)*D171,0)</f>
      </c>
    </row>
    <row r="172" spans="1:13" x14ac:dyDescent="0.25">
      <c r="A172" s="16"/>
      <c r="E172" s="27"/>
      <c r="F172" t="s">
        <v>26</v>
      </c>
      <c r="G172" s="28">
        <f>IFERROR(VLOOKUP(F172,CARTON_LOOKUP!$A:$E,3,0),"")</f>
      </c>
      <c r="H172" s="28">
        <f>IFERROR(VLOOKUP(F172,CARTON_LOOKUP!$A:$E,4,0),"")</f>
      </c>
      <c r="I172" s="28">
        <f>IFERROR(VLOOKUP(F172,CARTON_LOOKUP!$A:$E,5,0),"")</f>
      </c>
      <c r="J172" s="29">
        <f>IFERROR(VLOOKUP(F172,CARTON_LOOKUP!$A:$E,2,0),"")</f>
      </c>
      <c r="K172" s="29">
        <f>IFERROR(J172*D172,0)</f>
      </c>
      <c r="L172" s="29">
        <f>IFERROR(E172*C172,0)</f>
      </c>
      <c r="M172" s="29">
        <f>IFERROR((G172*H172*I172/1000000)*D172,0)</f>
      </c>
    </row>
    <row r="173" spans="1:13" x14ac:dyDescent="0.25">
      <c r="A173" s="16"/>
      <c r="E173" s="27"/>
      <c r="F173" t="s">
        <v>26</v>
      </c>
      <c r="G173" s="28">
        <f>IFERROR(VLOOKUP(F173,CARTON_LOOKUP!$A:$E,3,0),"")</f>
      </c>
      <c r="H173" s="28">
        <f>IFERROR(VLOOKUP(F173,CARTON_LOOKUP!$A:$E,4,0),"")</f>
      </c>
      <c r="I173" s="28">
        <f>IFERROR(VLOOKUP(F173,CARTON_LOOKUP!$A:$E,5,0),"")</f>
      </c>
      <c r="J173" s="29">
        <f>IFERROR(VLOOKUP(F173,CARTON_LOOKUP!$A:$E,2,0),"")</f>
      </c>
      <c r="K173" s="29">
        <f>IFERROR(J173*D173,0)</f>
      </c>
      <c r="L173" s="29">
        <f>IFERROR(E173*C173,0)</f>
      </c>
      <c r="M173" s="29">
        <f>IFERROR((G173*H173*I173/1000000)*D173,0)</f>
      </c>
    </row>
    <row r="174" spans="1:13" x14ac:dyDescent="0.25">
      <c r="A174" s="16"/>
      <c r="E174" s="27"/>
      <c r="F174" t="s">
        <v>26</v>
      </c>
      <c r="G174" s="28">
        <f>IFERROR(VLOOKUP(F174,CARTON_LOOKUP!$A:$E,3,0),"")</f>
      </c>
      <c r="H174" s="28">
        <f>IFERROR(VLOOKUP(F174,CARTON_LOOKUP!$A:$E,4,0),"")</f>
      </c>
      <c r="I174" s="28">
        <f>IFERROR(VLOOKUP(F174,CARTON_LOOKUP!$A:$E,5,0),"")</f>
      </c>
      <c r="J174" s="29">
        <f>IFERROR(VLOOKUP(F174,CARTON_LOOKUP!$A:$E,2,0),"")</f>
      </c>
      <c r="K174" s="29">
        <f>IFERROR(J174*D174,0)</f>
      </c>
      <c r="L174" s="29">
        <f>IFERROR(E174*C174,0)</f>
      </c>
      <c r="M174" s="29">
        <f>IFERROR((G174*H174*I174/1000000)*D174,0)</f>
      </c>
    </row>
    <row r="175" spans="1:13" x14ac:dyDescent="0.25">
      <c r="A175" s="16"/>
      <c r="E175" s="27"/>
      <c r="F175" t="s">
        <v>26</v>
      </c>
      <c r="G175" s="28">
        <f>IFERROR(VLOOKUP(F175,CARTON_LOOKUP!$A:$E,3,0),"")</f>
      </c>
      <c r="H175" s="28">
        <f>IFERROR(VLOOKUP(F175,CARTON_LOOKUP!$A:$E,4,0),"")</f>
      </c>
      <c r="I175" s="28">
        <f>IFERROR(VLOOKUP(F175,CARTON_LOOKUP!$A:$E,5,0),"")</f>
      </c>
      <c r="J175" s="29">
        <f>IFERROR(VLOOKUP(F175,CARTON_LOOKUP!$A:$E,2,0),"")</f>
      </c>
      <c r="K175" s="29">
        <f>IFERROR(J175*D175,0)</f>
      </c>
      <c r="L175" s="29">
        <f>IFERROR(E175*C175,0)</f>
      </c>
      <c r="M175" s="29">
        <f>IFERROR((G175*H175*I175/1000000)*D175,0)</f>
      </c>
    </row>
    <row r="176" spans="1:13" x14ac:dyDescent="0.25">
      <c r="A176" s="16"/>
      <c r="E176" s="27"/>
      <c r="F176" t="s">
        <v>26</v>
      </c>
      <c r="G176" s="28">
        <f>IFERROR(VLOOKUP(F176,CARTON_LOOKUP!$A:$E,3,0),"")</f>
      </c>
      <c r="H176" s="28">
        <f>IFERROR(VLOOKUP(F176,CARTON_LOOKUP!$A:$E,4,0),"")</f>
      </c>
      <c r="I176" s="28">
        <f>IFERROR(VLOOKUP(F176,CARTON_LOOKUP!$A:$E,5,0),"")</f>
      </c>
      <c r="J176" s="29">
        <f>IFERROR(VLOOKUP(F176,CARTON_LOOKUP!$A:$E,2,0),"")</f>
      </c>
      <c r="K176" s="29">
        <f>IFERROR(J176*D176,0)</f>
      </c>
      <c r="L176" s="29">
        <f>IFERROR(E176*C176,0)</f>
      </c>
      <c r="M176" s="29">
        <f>IFERROR((G176*H176*I176/1000000)*D176,0)</f>
      </c>
    </row>
    <row r="177" spans="1:13" x14ac:dyDescent="0.25">
      <c r="A177" s="16"/>
      <c r="E177" s="27"/>
      <c r="F177" t="s">
        <v>26</v>
      </c>
      <c r="G177" s="28">
        <f>IFERROR(VLOOKUP(F177,CARTON_LOOKUP!$A:$E,3,0),"")</f>
      </c>
      <c r="H177" s="28">
        <f>IFERROR(VLOOKUP(F177,CARTON_LOOKUP!$A:$E,4,0),"")</f>
      </c>
      <c r="I177" s="28">
        <f>IFERROR(VLOOKUP(F177,CARTON_LOOKUP!$A:$E,5,0),"")</f>
      </c>
      <c r="J177" s="29">
        <f>IFERROR(VLOOKUP(F177,CARTON_LOOKUP!$A:$E,2,0),"")</f>
      </c>
      <c r="K177" s="29">
        <f>IFERROR(J177*D177,0)</f>
      </c>
      <c r="L177" s="29">
        <f>IFERROR(E177*C177,0)</f>
      </c>
      <c r="M177" s="29">
        <f>IFERROR((G177*H177*I177/1000000)*D177,0)</f>
      </c>
    </row>
    <row r="178" spans="1:13" x14ac:dyDescent="0.25">
      <c r="A178" s="16"/>
      <c r="E178" s="27"/>
      <c r="F178" t="s">
        <v>26</v>
      </c>
      <c r="G178" s="28">
        <f>IFERROR(VLOOKUP(F178,CARTON_LOOKUP!$A:$E,3,0),"")</f>
      </c>
      <c r="H178" s="28">
        <f>IFERROR(VLOOKUP(F178,CARTON_LOOKUP!$A:$E,4,0),"")</f>
      </c>
      <c r="I178" s="28">
        <f>IFERROR(VLOOKUP(F178,CARTON_LOOKUP!$A:$E,5,0),"")</f>
      </c>
      <c r="J178" s="29">
        <f>IFERROR(VLOOKUP(F178,CARTON_LOOKUP!$A:$E,2,0),"")</f>
      </c>
      <c r="K178" s="29">
        <f>IFERROR(J178*D178,0)</f>
      </c>
      <c r="L178" s="29">
        <f>IFERROR(E178*C178,0)</f>
      </c>
      <c r="M178" s="29">
        <f>IFERROR((G178*H178*I178/1000000)*D178,0)</f>
      </c>
    </row>
    <row r="179" spans="1:13" x14ac:dyDescent="0.25">
      <c r="A179" s="16"/>
      <c r="E179" s="27"/>
      <c r="F179" t="s">
        <v>26</v>
      </c>
      <c r="G179" s="28">
        <f>IFERROR(VLOOKUP(F179,CARTON_LOOKUP!$A:$E,3,0),"")</f>
      </c>
      <c r="H179" s="28">
        <f>IFERROR(VLOOKUP(F179,CARTON_LOOKUP!$A:$E,4,0),"")</f>
      </c>
      <c r="I179" s="28">
        <f>IFERROR(VLOOKUP(F179,CARTON_LOOKUP!$A:$E,5,0),"")</f>
      </c>
      <c r="J179" s="29">
        <f>IFERROR(VLOOKUP(F179,CARTON_LOOKUP!$A:$E,2,0),"")</f>
      </c>
      <c r="K179" s="29">
        <f>IFERROR(J179*D179,0)</f>
      </c>
      <c r="L179" s="29">
        <f>IFERROR(E179*C179,0)</f>
      </c>
      <c r="M179" s="29">
        <f>IFERROR((G179*H179*I179/1000000)*D179,0)</f>
      </c>
    </row>
    <row r="180" spans="1:13" x14ac:dyDescent="0.25">
      <c r="A180" s="16"/>
      <c r="E180" s="27"/>
      <c r="F180" t="s">
        <v>26</v>
      </c>
      <c r="G180" s="28">
        <f>IFERROR(VLOOKUP(F180,CARTON_LOOKUP!$A:$E,3,0),"")</f>
      </c>
      <c r="H180" s="28">
        <f>IFERROR(VLOOKUP(F180,CARTON_LOOKUP!$A:$E,4,0),"")</f>
      </c>
      <c r="I180" s="28">
        <f>IFERROR(VLOOKUP(F180,CARTON_LOOKUP!$A:$E,5,0),"")</f>
      </c>
      <c r="J180" s="29">
        <f>IFERROR(VLOOKUP(F180,CARTON_LOOKUP!$A:$E,2,0),"")</f>
      </c>
      <c r="K180" s="29">
        <f>IFERROR(J180*D180,0)</f>
      </c>
      <c r="L180" s="29">
        <f>IFERROR(E180*C180,0)</f>
      </c>
      <c r="M180" s="29">
        <f>IFERROR((G180*H180*I180/1000000)*D180,0)</f>
      </c>
    </row>
    <row r="181" spans="1:13" x14ac:dyDescent="0.25">
      <c r="A181" s="16"/>
      <c r="E181" s="27"/>
      <c r="F181" t="s">
        <v>26</v>
      </c>
      <c r="G181" s="28">
        <f>IFERROR(VLOOKUP(F181,CARTON_LOOKUP!$A:$E,3,0),"")</f>
      </c>
      <c r="H181" s="28">
        <f>IFERROR(VLOOKUP(F181,CARTON_LOOKUP!$A:$E,4,0),"")</f>
      </c>
      <c r="I181" s="28">
        <f>IFERROR(VLOOKUP(F181,CARTON_LOOKUP!$A:$E,5,0),"")</f>
      </c>
      <c r="J181" s="29">
        <f>IFERROR(VLOOKUP(F181,CARTON_LOOKUP!$A:$E,2,0),"")</f>
      </c>
      <c r="K181" s="29">
        <f>IFERROR(J181*D181,0)</f>
      </c>
      <c r="L181" s="29">
        <f>IFERROR(E181*C181,0)</f>
      </c>
      <c r="M181" s="29">
        <f>IFERROR((G181*H181*I181/1000000)*D181,0)</f>
      </c>
    </row>
    <row r="182" spans="1:13" x14ac:dyDescent="0.25">
      <c r="A182" s="16"/>
      <c r="E182" s="27"/>
      <c r="F182" t="s">
        <v>26</v>
      </c>
      <c r="G182" s="28">
        <f>IFERROR(VLOOKUP(F182,CARTON_LOOKUP!$A:$E,3,0),"")</f>
      </c>
      <c r="H182" s="28">
        <f>IFERROR(VLOOKUP(F182,CARTON_LOOKUP!$A:$E,4,0),"")</f>
      </c>
      <c r="I182" s="28">
        <f>IFERROR(VLOOKUP(F182,CARTON_LOOKUP!$A:$E,5,0),"")</f>
      </c>
      <c r="J182" s="29">
        <f>IFERROR(VLOOKUP(F182,CARTON_LOOKUP!$A:$E,2,0),"")</f>
      </c>
      <c r="K182" s="29">
        <f>IFERROR(J182*D182,0)</f>
      </c>
      <c r="L182" s="29">
        <f>IFERROR(E182*C182,0)</f>
      </c>
      <c r="M182" s="29">
        <f>IFERROR((G182*H182*I182/1000000)*D182,0)</f>
      </c>
    </row>
    <row r="183" spans="1:13" x14ac:dyDescent="0.25">
      <c r="A183" s="16"/>
      <c r="E183" s="27"/>
      <c r="F183" t="s">
        <v>26</v>
      </c>
      <c r="G183" s="28">
        <f>IFERROR(VLOOKUP(F183,CARTON_LOOKUP!$A:$E,3,0),"")</f>
      </c>
      <c r="H183" s="28">
        <f>IFERROR(VLOOKUP(F183,CARTON_LOOKUP!$A:$E,4,0),"")</f>
      </c>
      <c r="I183" s="28">
        <f>IFERROR(VLOOKUP(F183,CARTON_LOOKUP!$A:$E,5,0),"")</f>
      </c>
      <c r="J183" s="29">
        <f>IFERROR(VLOOKUP(F183,CARTON_LOOKUP!$A:$E,2,0),"")</f>
      </c>
      <c r="K183" s="29">
        <f>IFERROR(J183*D183,0)</f>
      </c>
      <c r="L183" s="29">
        <f>IFERROR(E183*C183,0)</f>
      </c>
      <c r="M183" s="29">
        <f>IFERROR((G183*H183*I183/1000000)*D183,0)</f>
      </c>
    </row>
    <row r="184" spans="1:13" x14ac:dyDescent="0.25">
      <c r="A184" s="16"/>
      <c r="E184" s="27"/>
      <c r="F184" t="s">
        <v>26</v>
      </c>
      <c r="G184" s="28">
        <f>IFERROR(VLOOKUP(F184,CARTON_LOOKUP!$A:$E,3,0),"")</f>
      </c>
      <c r="H184" s="28">
        <f>IFERROR(VLOOKUP(F184,CARTON_LOOKUP!$A:$E,4,0),"")</f>
      </c>
      <c r="I184" s="28">
        <f>IFERROR(VLOOKUP(F184,CARTON_LOOKUP!$A:$E,5,0),"")</f>
      </c>
      <c r="J184" s="29">
        <f>IFERROR(VLOOKUP(F184,CARTON_LOOKUP!$A:$E,2,0),"")</f>
      </c>
      <c r="K184" s="29">
        <f>IFERROR(J184*D184,0)</f>
      </c>
      <c r="L184" s="29">
        <f>IFERROR(E184*C184,0)</f>
      </c>
      <c r="M184" s="29">
        <f>IFERROR((G184*H184*I184/1000000)*D184,0)</f>
      </c>
    </row>
    <row r="185" spans="1:13" x14ac:dyDescent="0.25">
      <c r="A185" s="16"/>
      <c r="E185" s="27"/>
      <c r="F185" t="s">
        <v>26</v>
      </c>
      <c r="G185" s="28">
        <f>IFERROR(VLOOKUP(F185,CARTON_LOOKUP!$A:$E,3,0),"")</f>
      </c>
      <c r="H185" s="28">
        <f>IFERROR(VLOOKUP(F185,CARTON_LOOKUP!$A:$E,4,0),"")</f>
      </c>
      <c r="I185" s="28">
        <f>IFERROR(VLOOKUP(F185,CARTON_LOOKUP!$A:$E,5,0),"")</f>
      </c>
      <c r="J185" s="29">
        <f>IFERROR(VLOOKUP(F185,CARTON_LOOKUP!$A:$E,2,0),"")</f>
      </c>
      <c r="K185" s="29">
        <f>IFERROR(J185*D185,0)</f>
      </c>
      <c r="L185" s="29">
        <f>IFERROR(E185*C185,0)</f>
      </c>
      <c r="M185" s="29">
        <f>IFERROR((G185*H185*I185/1000000)*D185,0)</f>
      </c>
    </row>
    <row r="186" spans="1:13" x14ac:dyDescent="0.25">
      <c r="A186" s="16"/>
      <c r="E186" s="27"/>
      <c r="F186" t="s">
        <v>26</v>
      </c>
      <c r="G186" s="28">
        <f>IFERROR(VLOOKUP(F186,CARTON_LOOKUP!$A:$E,3,0),"")</f>
      </c>
      <c r="H186" s="28">
        <f>IFERROR(VLOOKUP(F186,CARTON_LOOKUP!$A:$E,4,0),"")</f>
      </c>
      <c r="I186" s="28">
        <f>IFERROR(VLOOKUP(F186,CARTON_LOOKUP!$A:$E,5,0),"")</f>
      </c>
      <c r="J186" s="29">
        <f>IFERROR(VLOOKUP(F186,CARTON_LOOKUP!$A:$E,2,0),"")</f>
      </c>
      <c r="K186" s="29">
        <f>IFERROR(J186*D186,0)</f>
      </c>
      <c r="L186" s="29">
        <f>IFERROR(E186*C186,0)</f>
      </c>
      <c r="M186" s="29">
        <f>IFERROR((G186*H186*I186/1000000)*D186,0)</f>
      </c>
    </row>
    <row r="187" spans="1:13" x14ac:dyDescent="0.25">
      <c r="A187" s="16"/>
      <c r="E187" s="27"/>
      <c r="F187" t="s">
        <v>26</v>
      </c>
      <c r="G187" s="28">
        <f>IFERROR(VLOOKUP(F187,CARTON_LOOKUP!$A:$E,3,0),"")</f>
      </c>
      <c r="H187" s="28">
        <f>IFERROR(VLOOKUP(F187,CARTON_LOOKUP!$A:$E,4,0),"")</f>
      </c>
      <c r="I187" s="28">
        <f>IFERROR(VLOOKUP(F187,CARTON_LOOKUP!$A:$E,5,0),"")</f>
      </c>
      <c r="J187" s="29">
        <f>IFERROR(VLOOKUP(F187,CARTON_LOOKUP!$A:$E,2,0),"")</f>
      </c>
      <c r="K187" s="29">
        <f>IFERROR(J187*D187,0)</f>
      </c>
      <c r="L187" s="29">
        <f>IFERROR(E187*C187,0)</f>
      </c>
      <c r="M187" s="29">
        <f>IFERROR((G187*H187*I187/1000000)*D187,0)</f>
      </c>
    </row>
    <row r="188" spans="1:13" x14ac:dyDescent="0.25">
      <c r="A188" s="16"/>
      <c r="E188" s="27"/>
      <c r="F188" t="s">
        <v>26</v>
      </c>
      <c r="G188" s="28">
        <f>IFERROR(VLOOKUP(F188,CARTON_LOOKUP!$A:$E,3,0),"")</f>
      </c>
      <c r="H188" s="28">
        <f>IFERROR(VLOOKUP(F188,CARTON_LOOKUP!$A:$E,4,0),"")</f>
      </c>
      <c r="I188" s="28">
        <f>IFERROR(VLOOKUP(F188,CARTON_LOOKUP!$A:$E,5,0),"")</f>
      </c>
      <c r="J188" s="29">
        <f>IFERROR(VLOOKUP(F188,CARTON_LOOKUP!$A:$E,2,0),"")</f>
      </c>
      <c r="K188" s="29">
        <f>IFERROR(J188*D188,0)</f>
      </c>
      <c r="L188" s="29">
        <f>IFERROR(E188*C188,0)</f>
      </c>
      <c r="M188" s="29">
        <f>IFERROR((G188*H188*I188/1000000)*D188,0)</f>
      </c>
    </row>
    <row r="189" spans="1:13" x14ac:dyDescent="0.25">
      <c r="A189" s="16"/>
      <c r="E189" s="27"/>
      <c r="F189" t="s">
        <v>26</v>
      </c>
      <c r="G189" s="28">
        <f>IFERROR(VLOOKUP(F189,CARTON_LOOKUP!$A:$E,3,0),"")</f>
      </c>
      <c r="H189" s="28">
        <f>IFERROR(VLOOKUP(F189,CARTON_LOOKUP!$A:$E,4,0),"")</f>
      </c>
      <c r="I189" s="28">
        <f>IFERROR(VLOOKUP(F189,CARTON_LOOKUP!$A:$E,5,0),"")</f>
      </c>
      <c r="J189" s="29">
        <f>IFERROR(VLOOKUP(F189,CARTON_LOOKUP!$A:$E,2,0),"")</f>
      </c>
      <c r="K189" s="29">
        <f>IFERROR(J189*D189,0)</f>
      </c>
      <c r="L189" s="29">
        <f>IFERROR(E189*C189,0)</f>
      </c>
      <c r="M189" s="29">
        <f>IFERROR((G189*H189*I189/1000000)*D189,0)</f>
      </c>
    </row>
    <row r="190" spans="1:13" x14ac:dyDescent="0.25">
      <c r="A190" s="16"/>
      <c r="E190" s="27"/>
      <c r="F190" t="s">
        <v>26</v>
      </c>
      <c r="G190" s="28">
        <f>IFERROR(VLOOKUP(F190,CARTON_LOOKUP!$A:$E,3,0),"")</f>
      </c>
      <c r="H190" s="28">
        <f>IFERROR(VLOOKUP(F190,CARTON_LOOKUP!$A:$E,4,0),"")</f>
      </c>
      <c r="I190" s="28">
        <f>IFERROR(VLOOKUP(F190,CARTON_LOOKUP!$A:$E,5,0),"")</f>
      </c>
      <c r="J190" s="29">
        <f>IFERROR(VLOOKUP(F190,CARTON_LOOKUP!$A:$E,2,0),"")</f>
      </c>
      <c r="K190" s="29">
        <f>IFERROR(J190*D190,0)</f>
      </c>
      <c r="L190" s="29">
        <f>IFERROR(E190*C190,0)</f>
      </c>
      <c r="M190" s="29">
        <f>IFERROR((G190*H190*I190/1000000)*D190,0)</f>
      </c>
    </row>
    <row r="191" spans="1:13" x14ac:dyDescent="0.25">
      <c r="A191" s="16"/>
      <c r="E191" s="27"/>
      <c r="F191" t="s">
        <v>26</v>
      </c>
      <c r="G191" s="28">
        <f>IFERROR(VLOOKUP(F191,CARTON_LOOKUP!$A:$E,3,0),"")</f>
      </c>
      <c r="H191" s="28">
        <f>IFERROR(VLOOKUP(F191,CARTON_LOOKUP!$A:$E,4,0),"")</f>
      </c>
      <c r="I191" s="28">
        <f>IFERROR(VLOOKUP(F191,CARTON_LOOKUP!$A:$E,5,0),"")</f>
      </c>
      <c r="J191" s="29">
        <f>IFERROR(VLOOKUP(F191,CARTON_LOOKUP!$A:$E,2,0),"")</f>
      </c>
      <c r="K191" s="29">
        <f>IFERROR(J191*D191,0)</f>
      </c>
      <c r="L191" s="29">
        <f>IFERROR(E191*C191,0)</f>
      </c>
      <c r="M191" s="29">
        <f>IFERROR((G191*H191*I191/1000000)*D191,0)</f>
      </c>
    </row>
    <row r="192" spans="1:13" x14ac:dyDescent="0.25">
      <c r="A192" s="16"/>
      <c r="E192" s="27"/>
      <c r="F192" t="s">
        <v>26</v>
      </c>
      <c r="G192" s="28">
        <f>IFERROR(VLOOKUP(F192,CARTON_LOOKUP!$A:$E,3,0),"")</f>
      </c>
      <c r="H192" s="28">
        <f>IFERROR(VLOOKUP(F192,CARTON_LOOKUP!$A:$E,4,0),"")</f>
      </c>
      <c r="I192" s="28">
        <f>IFERROR(VLOOKUP(F192,CARTON_LOOKUP!$A:$E,5,0),"")</f>
      </c>
      <c r="J192" s="29">
        <f>IFERROR(VLOOKUP(F192,CARTON_LOOKUP!$A:$E,2,0),"")</f>
      </c>
      <c r="K192" s="29">
        <f>IFERROR(J192*D192,0)</f>
      </c>
      <c r="L192" s="29">
        <f>IFERROR(E192*C192,0)</f>
      </c>
      <c r="M192" s="29">
        <f>IFERROR((G192*H192*I192/1000000)*D192,0)</f>
      </c>
    </row>
    <row r="193" spans="1:13" x14ac:dyDescent="0.25">
      <c r="A193" s="16"/>
      <c r="E193" s="27"/>
      <c r="F193" t="s">
        <v>26</v>
      </c>
      <c r="G193" s="28">
        <f>IFERROR(VLOOKUP(F193,CARTON_LOOKUP!$A:$E,3,0),"")</f>
      </c>
      <c r="H193" s="28">
        <f>IFERROR(VLOOKUP(F193,CARTON_LOOKUP!$A:$E,4,0),"")</f>
      </c>
      <c r="I193" s="28">
        <f>IFERROR(VLOOKUP(F193,CARTON_LOOKUP!$A:$E,5,0),"")</f>
      </c>
      <c r="J193" s="29">
        <f>IFERROR(VLOOKUP(F193,CARTON_LOOKUP!$A:$E,2,0),"")</f>
      </c>
      <c r="K193" s="29">
        <f>IFERROR(J193*D193,0)</f>
      </c>
      <c r="L193" s="29">
        <f>IFERROR(E193*C193,0)</f>
      </c>
      <c r="M193" s="29">
        <f>IFERROR((G193*H193*I193/1000000)*D193,0)</f>
      </c>
    </row>
    <row r="194" spans="1:13" x14ac:dyDescent="0.25">
      <c r="A194" s="16"/>
      <c r="E194" s="27"/>
      <c r="F194" t="s">
        <v>26</v>
      </c>
      <c r="G194" s="28">
        <f>IFERROR(VLOOKUP(F194,CARTON_LOOKUP!$A:$E,3,0),"")</f>
      </c>
      <c r="H194" s="28">
        <f>IFERROR(VLOOKUP(F194,CARTON_LOOKUP!$A:$E,4,0),"")</f>
      </c>
      <c r="I194" s="28">
        <f>IFERROR(VLOOKUP(F194,CARTON_LOOKUP!$A:$E,5,0),"")</f>
      </c>
      <c r="J194" s="29">
        <f>IFERROR(VLOOKUP(F194,CARTON_LOOKUP!$A:$E,2,0),"")</f>
      </c>
      <c r="K194" s="29">
        <f>IFERROR(J194*D194,0)</f>
      </c>
      <c r="L194" s="29">
        <f>IFERROR(E194*C194,0)</f>
      </c>
      <c r="M194" s="29">
        <f>IFERROR((G194*H194*I194/1000000)*D194,0)</f>
      </c>
    </row>
    <row r="195" spans="1:13" x14ac:dyDescent="0.25">
      <c r="A195" s="16"/>
      <c r="E195" s="27"/>
      <c r="F195" t="s">
        <v>26</v>
      </c>
      <c r="G195" s="28">
        <f>IFERROR(VLOOKUP(F195,CARTON_LOOKUP!$A:$E,3,0),"")</f>
      </c>
      <c r="H195" s="28">
        <f>IFERROR(VLOOKUP(F195,CARTON_LOOKUP!$A:$E,4,0),"")</f>
      </c>
      <c r="I195" s="28">
        <f>IFERROR(VLOOKUP(F195,CARTON_LOOKUP!$A:$E,5,0),"")</f>
      </c>
      <c r="J195" s="29">
        <f>IFERROR(VLOOKUP(F195,CARTON_LOOKUP!$A:$E,2,0),"")</f>
      </c>
      <c r="K195" s="29">
        <f>IFERROR(J195*D195,0)</f>
      </c>
      <c r="L195" s="29">
        <f>IFERROR(E195*C195,0)</f>
      </c>
      <c r="M195" s="29">
        <f>IFERROR((G195*H195*I195/1000000)*D195,0)</f>
      </c>
    </row>
    <row r="196" spans="1:13" x14ac:dyDescent="0.25">
      <c r="A196" s="16"/>
      <c r="E196" s="27"/>
      <c r="F196" t="s">
        <v>26</v>
      </c>
      <c r="G196" s="28">
        <f>IFERROR(VLOOKUP(F196,CARTON_LOOKUP!$A:$E,3,0),"")</f>
      </c>
      <c r="H196" s="28">
        <f>IFERROR(VLOOKUP(F196,CARTON_LOOKUP!$A:$E,4,0),"")</f>
      </c>
      <c r="I196" s="28">
        <f>IFERROR(VLOOKUP(F196,CARTON_LOOKUP!$A:$E,5,0),"")</f>
      </c>
      <c r="J196" s="29">
        <f>IFERROR(VLOOKUP(F196,CARTON_LOOKUP!$A:$E,2,0),"")</f>
      </c>
      <c r="K196" s="29">
        <f>IFERROR(J196*D196,0)</f>
      </c>
      <c r="L196" s="29">
        <f>IFERROR(E196*C196,0)</f>
      </c>
      <c r="M196" s="29">
        <f>IFERROR((G196*H196*I196/1000000)*D196,0)</f>
      </c>
    </row>
    <row r="197" spans="1:13" x14ac:dyDescent="0.25">
      <c r="A197" s="16"/>
      <c r="E197" s="27"/>
      <c r="F197" t="s">
        <v>26</v>
      </c>
      <c r="G197" s="28">
        <f>IFERROR(VLOOKUP(F197,CARTON_LOOKUP!$A:$E,3,0),"")</f>
      </c>
      <c r="H197" s="28">
        <f>IFERROR(VLOOKUP(F197,CARTON_LOOKUP!$A:$E,4,0),"")</f>
      </c>
      <c r="I197" s="28">
        <f>IFERROR(VLOOKUP(F197,CARTON_LOOKUP!$A:$E,5,0),"")</f>
      </c>
      <c r="J197" s="29">
        <f>IFERROR(VLOOKUP(F197,CARTON_LOOKUP!$A:$E,2,0),"")</f>
      </c>
      <c r="K197" s="29">
        <f>IFERROR(J197*D197,0)</f>
      </c>
      <c r="L197" s="29">
        <f>IFERROR(E197*C197,0)</f>
      </c>
      <c r="M197" s="29">
        <f>IFERROR((G197*H197*I197/1000000)*D197,0)</f>
      </c>
    </row>
    <row r="198" spans="1:13" x14ac:dyDescent="0.25">
      <c r="A198" s="16"/>
      <c r="E198" s="27"/>
      <c r="F198" t="s">
        <v>26</v>
      </c>
      <c r="G198" s="28">
        <f>IFERROR(VLOOKUP(F198,CARTON_LOOKUP!$A:$E,3,0),"")</f>
      </c>
      <c r="H198" s="28">
        <f>IFERROR(VLOOKUP(F198,CARTON_LOOKUP!$A:$E,4,0),"")</f>
      </c>
      <c r="I198" s="28">
        <f>IFERROR(VLOOKUP(F198,CARTON_LOOKUP!$A:$E,5,0),"")</f>
      </c>
      <c r="J198" s="29">
        <f>IFERROR(VLOOKUP(F198,CARTON_LOOKUP!$A:$E,2,0),"")</f>
      </c>
      <c r="K198" s="29">
        <f>IFERROR(J198*D198,0)</f>
      </c>
      <c r="L198" s="29">
        <f>IFERROR(E198*C198,0)</f>
      </c>
      <c r="M198" s="29">
        <f>IFERROR((G198*H198*I198/1000000)*D198,0)</f>
      </c>
    </row>
    <row r="199" spans="1:13" x14ac:dyDescent="0.25">
      <c r="A199" s="16"/>
      <c r="E199" s="27"/>
      <c r="F199" t="s">
        <v>26</v>
      </c>
      <c r="G199" s="28">
        <f>IFERROR(VLOOKUP(F199,CARTON_LOOKUP!$A:$E,3,0),"")</f>
      </c>
      <c r="H199" s="28">
        <f>IFERROR(VLOOKUP(F199,CARTON_LOOKUP!$A:$E,4,0),"")</f>
      </c>
      <c r="I199" s="28">
        <f>IFERROR(VLOOKUP(F199,CARTON_LOOKUP!$A:$E,5,0),"")</f>
      </c>
      <c r="J199" s="29">
        <f>IFERROR(VLOOKUP(F199,CARTON_LOOKUP!$A:$E,2,0),"")</f>
      </c>
      <c r="K199" s="29">
        <f>IFERROR(J199*D199,0)</f>
      </c>
      <c r="L199" s="29">
        <f>IFERROR(E199*C199,0)</f>
      </c>
      <c r="M199" s="29">
        <f>IFERROR((G199*H199*I199/1000000)*D199,0)</f>
      </c>
    </row>
    <row r="200" spans="1:13" x14ac:dyDescent="0.25">
      <c r="A200" s="16"/>
      <c r="E200" s="27"/>
      <c r="F200" t="s">
        <v>26</v>
      </c>
      <c r="G200" s="28">
        <f>IFERROR(VLOOKUP(F200,CARTON_LOOKUP!$A:$E,3,0),"")</f>
      </c>
      <c r="H200" s="28">
        <f>IFERROR(VLOOKUP(F200,CARTON_LOOKUP!$A:$E,4,0),"")</f>
      </c>
      <c r="I200" s="28">
        <f>IFERROR(VLOOKUP(F200,CARTON_LOOKUP!$A:$E,5,0),"")</f>
      </c>
      <c r="J200" s="29">
        <f>IFERROR(VLOOKUP(F200,CARTON_LOOKUP!$A:$E,2,0),"")</f>
      </c>
      <c r="K200" s="29">
        <f>IFERROR(J200*D200,0)</f>
      </c>
      <c r="L200" s="29">
        <f>IFERROR(E200*C200,0)</f>
      </c>
      <c r="M200" s="29">
        <f>IFERROR((G200*H200*I200/1000000)*D200,0)</f>
      </c>
    </row>
    <row r="201" spans="1:13" x14ac:dyDescent="0.25">
      <c r="A201" s="16"/>
      <c r="E201" s="27"/>
      <c r="F201" t="s">
        <v>26</v>
      </c>
      <c r="G201" s="28">
        <f>IFERROR(VLOOKUP(F201,CARTON_LOOKUP!$A:$E,3,0),"")</f>
      </c>
      <c r="H201" s="28">
        <f>IFERROR(VLOOKUP(F201,CARTON_LOOKUP!$A:$E,4,0),"")</f>
      </c>
      <c r="I201" s="28">
        <f>IFERROR(VLOOKUP(F201,CARTON_LOOKUP!$A:$E,5,0),"")</f>
      </c>
      <c r="J201" s="29">
        <f>IFERROR(VLOOKUP(F201,CARTON_LOOKUP!$A:$E,2,0),"")</f>
      </c>
      <c r="K201" s="29">
        <f>IFERROR(J201*D201,0)</f>
      </c>
      <c r="L201" s="29">
        <f>IFERROR(E201*C201,0)</f>
      </c>
      <c r="M201" s="29">
        <f>IFERROR((G201*H201*I201/1000000)*D201,0)</f>
      </c>
    </row>
    <row r="202" spans="1:13" x14ac:dyDescent="0.25">
      <c r="A202" s="16"/>
      <c r="E202" s="27"/>
      <c r="F202" t="s">
        <v>26</v>
      </c>
      <c r="G202" s="28">
        <f>IFERROR(VLOOKUP(F202,CARTON_LOOKUP!$A:$E,3,0),"")</f>
      </c>
      <c r="H202" s="28">
        <f>IFERROR(VLOOKUP(F202,CARTON_LOOKUP!$A:$E,4,0),"")</f>
      </c>
      <c r="I202" s="28">
        <f>IFERROR(VLOOKUP(F202,CARTON_LOOKUP!$A:$E,5,0),"")</f>
      </c>
      <c r="J202" s="29">
        <f>IFERROR(VLOOKUP(F202,CARTON_LOOKUP!$A:$E,2,0),"")</f>
      </c>
      <c r="K202" s="29">
        <f>IFERROR(J202*D202,0)</f>
      </c>
      <c r="L202" s="29">
        <f>IFERROR(E202*C202,0)</f>
      </c>
      <c r="M202" s="29">
        <f>IFERROR((G202*H202*I202/1000000)*D202,0)</f>
      </c>
    </row>
    <row r="203" spans="1:13" x14ac:dyDescent="0.25">
      <c r="A203" s="16"/>
      <c r="E203" s="27"/>
      <c r="F203" t="s">
        <v>26</v>
      </c>
      <c r="G203" s="28">
        <f>IFERROR(VLOOKUP(F203,CARTON_LOOKUP!$A:$E,3,0),"")</f>
      </c>
      <c r="H203" s="28">
        <f>IFERROR(VLOOKUP(F203,CARTON_LOOKUP!$A:$E,4,0),"")</f>
      </c>
      <c r="I203" s="28">
        <f>IFERROR(VLOOKUP(F203,CARTON_LOOKUP!$A:$E,5,0),"")</f>
      </c>
      <c r="J203" s="29">
        <f>IFERROR(VLOOKUP(F203,CARTON_LOOKUP!$A:$E,2,0),"")</f>
      </c>
      <c r="K203" s="29">
        <f>IFERROR(J203*D203,0)</f>
      </c>
      <c r="L203" s="29">
        <f>IFERROR(E203*C203,0)</f>
      </c>
      <c r="M203" s="29">
        <f>IFERROR((G203*H203*I203/1000000)*D203,0)</f>
      </c>
    </row>
    <row r="204" spans="1:13" x14ac:dyDescent="0.25">
      <c r="A204" s="16"/>
      <c r="E204" s="27"/>
      <c r="F204" t="s">
        <v>26</v>
      </c>
      <c r="G204" s="28">
        <f>IFERROR(VLOOKUP(F204,CARTON_LOOKUP!$A:$E,3,0),"")</f>
      </c>
      <c r="H204" s="28">
        <f>IFERROR(VLOOKUP(F204,CARTON_LOOKUP!$A:$E,4,0),"")</f>
      </c>
      <c r="I204" s="28">
        <f>IFERROR(VLOOKUP(F204,CARTON_LOOKUP!$A:$E,5,0),"")</f>
      </c>
      <c r="J204" s="29">
        <f>IFERROR(VLOOKUP(F204,CARTON_LOOKUP!$A:$E,2,0),"")</f>
      </c>
      <c r="K204" s="29">
        <f>IFERROR(J204*D204,0)</f>
      </c>
      <c r="L204" s="29">
        <f>IFERROR(E204*C204,0)</f>
      </c>
      <c r="M204" s="29">
        <f>IFERROR((G204*H204*I204/1000000)*D204,0)</f>
      </c>
    </row>
    <row r="205" spans="1:13" x14ac:dyDescent="0.25">
      <c r="A205" s="16"/>
      <c r="E205" s="27"/>
      <c r="F205" t="s">
        <v>26</v>
      </c>
      <c r="G205" s="28">
        <f>IFERROR(VLOOKUP(F205,CARTON_LOOKUP!$A:$E,3,0),"")</f>
      </c>
      <c r="H205" s="28">
        <f>IFERROR(VLOOKUP(F205,CARTON_LOOKUP!$A:$E,4,0),"")</f>
      </c>
      <c r="I205" s="28">
        <f>IFERROR(VLOOKUP(F205,CARTON_LOOKUP!$A:$E,5,0),"")</f>
      </c>
      <c r="J205" s="29">
        <f>IFERROR(VLOOKUP(F205,CARTON_LOOKUP!$A:$E,2,0),"")</f>
      </c>
      <c r="K205" s="29">
        <f>IFERROR(J205*D205,0)</f>
      </c>
      <c r="L205" s="29">
        <f>IFERROR(E205*C205,0)</f>
      </c>
      <c r="M205" s="29">
        <f>IFERROR((G205*H205*I205/1000000)*D205,0)</f>
      </c>
    </row>
    <row r="206" spans="1:13" x14ac:dyDescent="0.25">
      <c r="A206" s="16"/>
      <c r="E206" s="27"/>
      <c r="F206" t="s">
        <v>26</v>
      </c>
      <c r="G206" s="28">
        <f>IFERROR(VLOOKUP(F206,CARTON_LOOKUP!$A:$E,3,0),"")</f>
      </c>
      <c r="H206" s="28">
        <f>IFERROR(VLOOKUP(F206,CARTON_LOOKUP!$A:$E,4,0),"")</f>
      </c>
      <c r="I206" s="28">
        <f>IFERROR(VLOOKUP(F206,CARTON_LOOKUP!$A:$E,5,0),"")</f>
      </c>
      <c r="J206" s="29">
        <f>IFERROR(VLOOKUP(F206,CARTON_LOOKUP!$A:$E,2,0),"")</f>
      </c>
      <c r="K206" s="29">
        <f>IFERROR(J206*D206,0)</f>
      </c>
      <c r="L206" s="29">
        <f>IFERROR(E206*C206,0)</f>
      </c>
      <c r="M206" s="29">
        <f>IFERROR((G206*H206*I206/1000000)*D206,0)</f>
      </c>
    </row>
    <row r="207" spans="1:13" x14ac:dyDescent="0.25">
      <c r="A207" s="16"/>
      <c r="E207" s="27"/>
      <c r="F207" t="s">
        <v>26</v>
      </c>
      <c r="G207" s="28">
        <f>IFERROR(VLOOKUP(F207,CARTON_LOOKUP!$A:$E,3,0),"")</f>
      </c>
      <c r="H207" s="28">
        <f>IFERROR(VLOOKUP(F207,CARTON_LOOKUP!$A:$E,4,0),"")</f>
      </c>
      <c r="I207" s="28">
        <f>IFERROR(VLOOKUP(F207,CARTON_LOOKUP!$A:$E,5,0),"")</f>
      </c>
      <c r="J207" s="29">
        <f>IFERROR(VLOOKUP(F207,CARTON_LOOKUP!$A:$E,2,0),"")</f>
      </c>
      <c r="K207" s="29">
        <f>IFERROR(J207*D207,0)</f>
      </c>
      <c r="L207" s="29">
        <f>IFERROR(E207*C207,0)</f>
      </c>
      <c r="M207" s="29">
        <f>IFERROR((G207*H207*I207/1000000)*D207,0)</f>
      </c>
    </row>
    <row r="208" spans="1:13" x14ac:dyDescent="0.25">
      <c r="A208" s="16"/>
      <c r="E208" s="27"/>
      <c r="F208" t="s">
        <v>26</v>
      </c>
      <c r="G208" s="28">
        <f>IFERROR(VLOOKUP(F208,CARTON_LOOKUP!$A:$E,3,0),"")</f>
      </c>
      <c r="H208" s="28">
        <f>IFERROR(VLOOKUP(F208,CARTON_LOOKUP!$A:$E,4,0),"")</f>
      </c>
      <c r="I208" s="28">
        <f>IFERROR(VLOOKUP(F208,CARTON_LOOKUP!$A:$E,5,0),"")</f>
      </c>
      <c r="J208" s="29">
        <f>IFERROR(VLOOKUP(F208,CARTON_LOOKUP!$A:$E,2,0),"")</f>
      </c>
      <c r="K208" s="29">
        <f>IFERROR(J208*D208,0)</f>
      </c>
      <c r="L208" s="29">
        <f>IFERROR(E208*C208,0)</f>
      </c>
      <c r="M208" s="29">
        <f>IFERROR((G208*H208*I208/1000000)*D208,0)</f>
      </c>
    </row>
    <row r="209" spans="1:13" x14ac:dyDescent="0.25">
      <c r="A209" s="16"/>
      <c r="E209" s="27"/>
      <c r="F209" t="s">
        <v>26</v>
      </c>
      <c r="G209" s="28">
        <f>IFERROR(VLOOKUP(F209,CARTON_LOOKUP!$A:$E,3,0),"")</f>
      </c>
      <c r="H209" s="28">
        <f>IFERROR(VLOOKUP(F209,CARTON_LOOKUP!$A:$E,4,0),"")</f>
      </c>
      <c r="I209" s="28">
        <f>IFERROR(VLOOKUP(F209,CARTON_LOOKUP!$A:$E,5,0),"")</f>
      </c>
      <c r="J209" s="29">
        <f>IFERROR(VLOOKUP(F209,CARTON_LOOKUP!$A:$E,2,0),"")</f>
      </c>
      <c r="K209" s="29">
        <f>IFERROR(J209*D209,0)</f>
      </c>
      <c r="L209" s="29">
        <f>IFERROR(E209*C209,0)</f>
      </c>
      <c r="M209" s="29">
        <f>IFERROR((G209*H209*I209/1000000)*D209,0)</f>
      </c>
    </row>
    <row r="210" spans="1:13" x14ac:dyDescent="0.25">
      <c r="A210" s="16"/>
      <c r="E210" s="27"/>
      <c r="F210" t="s">
        <v>26</v>
      </c>
      <c r="G210" s="28">
        <f>IFERROR(VLOOKUP(F210,CARTON_LOOKUP!$A:$E,3,0),"")</f>
      </c>
      <c r="H210" s="28">
        <f>IFERROR(VLOOKUP(F210,CARTON_LOOKUP!$A:$E,4,0),"")</f>
      </c>
      <c r="I210" s="28">
        <f>IFERROR(VLOOKUP(F210,CARTON_LOOKUP!$A:$E,5,0),"")</f>
      </c>
      <c r="J210" s="29">
        <f>IFERROR(VLOOKUP(F210,CARTON_LOOKUP!$A:$E,2,0),"")</f>
      </c>
      <c r="K210" s="29">
        <f>IFERROR(J210*D210,0)</f>
      </c>
      <c r="L210" s="29">
        <f>IFERROR(E210*C210,0)</f>
      </c>
      <c r="M210" s="29">
        <f>IFERROR((G210*H210*I210/1000000)*D210,0)</f>
      </c>
    </row>
    <row r="211" spans="1:13" x14ac:dyDescent="0.25">
      <c r="A211" s="16"/>
      <c r="E211" s="27"/>
      <c r="F211" t="s">
        <v>26</v>
      </c>
      <c r="G211" s="28">
        <f>IFERROR(VLOOKUP(F211,CARTON_LOOKUP!$A:$E,3,0),"")</f>
      </c>
      <c r="H211" s="28">
        <f>IFERROR(VLOOKUP(F211,CARTON_LOOKUP!$A:$E,4,0),"")</f>
      </c>
      <c r="I211" s="28">
        <f>IFERROR(VLOOKUP(F211,CARTON_LOOKUP!$A:$E,5,0),"")</f>
      </c>
      <c r="J211" s="29">
        <f>IFERROR(VLOOKUP(F211,CARTON_LOOKUP!$A:$E,2,0),"")</f>
      </c>
      <c r="K211" s="29">
        <f>IFERROR(J211*D211,0)</f>
      </c>
      <c r="L211" s="29">
        <f>IFERROR(E211*C211,0)</f>
      </c>
      <c r="M211" s="29">
        <f>IFERROR((G211*H211*I211/1000000)*D211,0)</f>
      </c>
    </row>
    <row r="212" spans="1:13" x14ac:dyDescent="0.25">
      <c r="A212" s="16"/>
      <c r="E212" s="27"/>
      <c r="F212" t="s">
        <v>26</v>
      </c>
      <c r="G212" s="28">
        <f>IFERROR(VLOOKUP(F212,CARTON_LOOKUP!$A:$E,3,0),"")</f>
      </c>
      <c r="H212" s="28">
        <f>IFERROR(VLOOKUP(F212,CARTON_LOOKUP!$A:$E,4,0),"")</f>
      </c>
      <c r="I212" s="28">
        <f>IFERROR(VLOOKUP(F212,CARTON_LOOKUP!$A:$E,5,0),"")</f>
      </c>
      <c r="J212" s="29">
        <f>IFERROR(VLOOKUP(F212,CARTON_LOOKUP!$A:$E,2,0),"")</f>
      </c>
      <c r="K212" s="29">
        <f>IFERROR(J212*D212,0)</f>
      </c>
      <c r="L212" s="29">
        <f>IFERROR(E212*C212,0)</f>
      </c>
      <c r="M212" s="29">
        <f>IFERROR((G212*H212*I212/1000000)*D212,0)</f>
      </c>
    </row>
    <row r="213" spans="1:13" x14ac:dyDescent="0.25">
      <c r="A213" s="16"/>
      <c r="E213" s="27"/>
      <c r="F213" t="s">
        <v>26</v>
      </c>
      <c r="G213" s="28">
        <f>IFERROR(VLOOKUP(F213,CARTON_LOOKUP!$A:$E,3,0),"")</f>
      </c>
      <c r="H213" s="28">
        <f>IFERROR(VLOOKUP(F213,CARTON_LOOKUP!$A:$E,4,0),"")</f>
      </c>
      <c r="I213" s="28">
        <f>IFERROR(VLOOKUP(F213,CARTON_LOOKUP!$A:$E,5,0),"")</f>
      </c>
      <c r="J213" s="29">
        <f>IFERROR(VLOOKUP(F213,CARTON_LOOKUP!$A:$E,2,0),"")</f>
      </c>
      <c r="K213" s="29">
        <f>IFERROR(J213*D213,0)</f>
      </c>
      <c r="L213" s="29">
        <f>IFERROR(E213*C213,0)</f>
      </c>
      <c r="M213" s="29">
        <f>IFERROR((G213*H213*I213/1000000)*D213,0)</f>
      </c>
    </row>
    <row r="214" spans="1:13" x14ac:dyDescent="0.25">
      <c r="A214" s="16"/>
      <c r="E214" s="27"/>
      <c r="F214" t="s">
        <v>26</v>
      </c>
      <c r="G214" s="28">
        <f>IFERROR(VLOOKUP(F214,CARTON_LOOKUP!$A:$E,3,0),"")</f>
      </c>
      <c r="H214" s="28">
        <f>IFERROR(VLOOKUP(F214,CARTON_LOOKUP!$A:$E,4,0),"")</f>
      </c>
      <c r="I214" s="28">
        <f>IFERROR(VLOOKUP(F214,CARTON_LOOKUP!$A:$E,5,0),"")</f>
      </c>
      <c r="J214" s="29">
        <f>IFERROR(VLOOKUP(F214,CARTON_LOOKUP!$A:$E,2,0),"")</f>
      </c>
      <c r="K214" s="29">
        <f>IFERROR(J214*D214,0)</f>
      </c>
      <c r="L214" s="29">
        <f>IFERROR(E214*C214,0)</f>
      </c>
      <c r="M214" s="29">
        <f>IFERROR((G214*H214*I214/1000000)*D214,0)</f>
      </c>
    </row>
    <row r="215" spans="1:13" x14ac:dyDescent="0.25">
      <c r="A215" s="16"/>
      <c r="E215" s="27"/>
      <c r="F215" t="s">
        <v>26</v>
      </c>
      <c r="G215" s="28">
        <f>IFERROR(VLOOKUP(F215,CARTON_LOOKUP!$A:$E,3,0),"")</f>
      </c>
      <c r="H215" s="28">
        <f>IFERROR(VLOOKUP(F215,CARTON_LOOKUP!$A:$E,4,0),"")</f>
      </c>
      <c r="I215" s="28">
        <f>IFERROR(VLOOKUP(F215,CARTON_LOOKUP!$A:$E,5,0),"")</f>
      </c>
      <c r="J215" s="29">
        <f>IFERROR(VLOOKUP(F215,CARTON_LOOKUP!$A:$E,2,0),"")</f>
      </c>
      <c r="K215" s="29">
        <f>IFERROR(J215*D215,0)</f>
      </c>
      <c r="L215" s="29">
        <f>IFERROR(E215*C215,0)</f>
      </c>
      <c r="M215" s="29">
        <f>IFERROR((G215*H215*I215/1000000)*D215,0)</f>
      </c>
    </row>
    <row r="216" spans="1:13" x14ac:dyDescent="0.25">
      <c r="A216" s="16"/>
      <c r="E216" s="27"/>
      <c r="F216" t="s">
        <v>26</v>
      </c>
      <c r="G216" s="28">
        <f>IFERROR(VLOOKUP(F216,CARTON_LOOKUP!$A:$E,3,0),"")</f>
      </c>
      <c r="H216" s="28">
        <f>IFERROR(VLOOKUP(F216,CARTON_LOOKUP!$A:$E,4,0),"")</f>
      </c>
      <c r="I216" s="28">
        <f>IFERROR(VLOOKUP(F216,CARTON_LOOKUP!$A:$E,5,0),"")</f>
      </c>
      <c r="J216" s="29">
        <f>IFERROR(VLOOKUP(F216,CARTON_LOOKUP!$A:$E,2,0),"")</f>
      </c>
      <c r="K216" s="29">
        <f>IFERROR(J216*D216,0)</f>
      </c>
      <c r="L216" s="29">
        <f>IFERROR(E216*C216,0)</f>
      </c>
      <c r="M216" s="29">
        <f>IFERROR((G216*H216*I216/1000000)*D216,0)</f>
      </c>
    </row>
    <row r="217" spans="1:13" x14ac:dyDescent="0.25">
      <c r="A217" s="16"/>
      <c r="E217" s="27"/>
      <c r="F217" t="s">
        <v>26</v>
      </c>
      <c r="G217" s="28">
        <f>IFERROR(VLOOKUP(F217,CARTON_LOOKUP!$A:$E,3,0),"")</f>
      </c>
      <c r="H217" s="28">
        <f>IFERROR(VLOOKUP(F217,CARTON_LOOKUP!$A:$E,4,0),"")</f>
      </c>
      <c r="I217" s="28">
        <f>IFERROR(VLOOKUP(F217,CARTON_LOOKUP!$A:$E,5,0),"")</f>
      </c>
      <c r="J217" s="29">
        <f>IFERROR(VLOOKUP(F217,CARTON_LOOKUP!$A:$E,2,0),"")</f>
      </c>
      <c r="K217" s="29">
        <f>IFERROR(J217*D217,0)</f>
      </c>
      <c r="L217" s="29">
        <f>IFERROR(E217*C217,0)</f>
      </c>
      <c r="M217" s="29">
        <f>IFERROR((G217*H217*I217/1000000)*D217,0)</f>
      </c>
    </row>
    <row r="218" spans="1:13" x14ac:dyDescent="0.25">
      <c r="A218" s="16"/>
      <c r="E218" s="27"/>
      <c r="F218" t="s">
        <v>26</v>
      </c>
      <c r="G218" s="28">
        <f>IFERROR(VLOOKUP(F218,CARTON_LOOKUP!$A:$E,3,0),"")</f>
      </c>
      <c r="H218" s="28">
        <f>IFERROR(VLOOKUP(F218,CARTON_LOOKUP!$A:$E,4,0),"")</f>
      </c>
      <c r="I218" s="28">
        <f>IFERROR(VLOOKUP(F218,CARTON_LOOKUP!$A:$E,5,0),"")</f>
      </c>
      <c r="J218" s="29">
        <f>IFERROR(VLOOKUP(F218,CARTON_LOOKUP!$A:$E,2,0),"")</f>
      </c>
      <c r="K218" s="29">
        <f>IFERROR(J218*D218,0)</f>
      </c>
      <c r="L218" s="29">
        <f>IFERROR(E218*C218,0)</f>
      </c>
      <c r="M218" s="29">
        <f>IFERROR((G218*H218*I218/1000000)*D218,0)</f>
      </c>
    </row>
    <row r="219" spans="1:13" x14ac:dyDescent="0.25">
      <c r="A219" s="16"/>
      <c r="E219" s="27"/>
      <c r="F219" t="s">
        <v>26</v>
      </c>
      <c r="G219" s="28">
        <f>IFERROR(VLOOKUP(F219,CARTON_LOOKUP!$A:$E,3,0),"")</f>
      </c>
      <c r="H219" s="28">
        <f>IFERROR(VLOOKUP(F219,CARTON_LOOKUP!$A:$E,4,0),"")</f>
      </c>
      <c r="I219" s="28">
        <f>IFERROR(VLOOKUP(F219,CARTON_LOOKUP!$A:$E,5,0),"")</f>
      </c>
      <c r="J219" s="29">
        <f>IFERROR(VLOOKUP(F219,CARTON_LOOKUP!$A:$E,2,0),"")</f>
      </c>
      <c r="K219" s="29">
        <f>IFERROR(J219*D219,0)</f>
      </c>
      <c r="L219" s="29">
        <f>IFERROR(E219*C219,0)</f>
      </c>
      <c r="M219" s="29">
        <f>IFERROR((G219*H219*I219/1000000)*D219,0)</f>
      </c>
    </row>
    <row r="220" spans="1:13" x14ac:dyDescent="0.25">
      <c r="A220" s="16"/>
      <c r="E220" s="27"/>
      <c r="F220" t="s">
        <v>26</v>
      </c>
      <c r="G220" s="28">
        <f>IFERROR(VLOOKUP(F220,CARTON_LOOKUP!$A:$E,3,0),"")</f>
      </c>
      <c r="H220" s="28">
        <f>IFERROR(VLOOKUP(F220,CARTON_LOOKUP!$A:$E,4,0),"")</f>
      </c>
      <c r="I220" s="28">
        <f>IFERROR(VLOOKUP(F220,CARTON_LOOKUP!$A:$E,5,0),"")</f>
      </c>
      <c r="J220" s="29">
        <f>IFERROR(VLOOKUP(F220,CARTON_LOOKUP!$A:$E,2,0),"")</f>
      </c>
      <c r="K220" s="29">
        <f>IFERROR(J220*D220,0)</f>
      </c>
      <c r="L220" s="29">
        <f>IFERROR(E220*C220,0)</f>
      </c>
      <c r="M220" s="29">
        <f>IFERROR((G220*H220*I220/1000000)*D220,0)</f>
      </c>
    </row>
    <row r="221" spans="1:13" x14ac:dyDescent="0.25">
      <c r="A221" s="16"/>
      <c r="E221" s="27"/>
      <c r="F221" t="s">
        <v>26</v>
      </c>
      <c r="G221" s="28">
        <f>IFERROR(VLOOKUP(F221,CARTON_LOOKUP!$A:$E,3,0),"")</f>
      </c>
      <c r="H221" s="28">
        <f>IFERROR(VLOOKUP(F221,CARTON_LOOKUP!$A:$E,4,0),"")</f>
      </c>
      <c r="I221" s="28">
        <f>IFERROR(VLOOKUP(F221,CARTON_LOOKUP!$A:$E,5,0),"")</f>
      </c>
      <c r="J221" s="29">
        <f>IFERROR(VLOOKUP(F221,CARTON_LOOKUP!$A:$E,2,0),"")</f>
      </c>
      <c r="K221" s="29">
        <f>IFERROR(J221*D221,0)</f>
      </c>
      <c r="L221" s="29">
        <f>IFERROR(E221*C221,0)</f>
      </c>
      <c r="M221" s="29">
        <f>IFERROR((G221*H221*I221/1000000)*D221,0)</f>
      </c>
    </row>
    <row r="222" spans="1:13" x14ac:dyDescent="0.25">
      <c r="A222" s="16"/>
      <c r="E222" s="27"/>
      <c r="F222" t="s">
        <v>26</v>
      </c>
      <c r="G222" s="28">
        <f>IFERROR(VLOOKUP(F222,CARTON_LOOKUP!$A:$E,3,0),"")</f>
      </c>
      <c r="H222" s="28">
        <f>IFERROR(VLOOKUP(F222,CARTON_LOOKUP!$A:$E,4,0),"")</f>
      </c>
      <c r="I222" s="28">
        <f>IFERROR(VLOOKUP(F222,CARTON_LOOKUP!$A:$E,5,0),"")</f>
      </c>
      <c r="J222" s="29">
        <f>IFERROR(VLOOKUP(F222,CARTON_LOOKUP!$A:$E,2,0),"")</f>
      </c>
      <c r="K222" s="29">
        <f>IFERROR(J222*D222,0)</f>
      </c>
      <c r="L222" s="29">
        <f>IFERROR(E222*C222,0)</f>
      </c>
      <c r="M222" s="29">
        <f>IFERROR((G222*H222*I222/1000000)*D222,0)</f>
      </c>
    </row>
    <row r="223" spans="1:13" x14ac:dyDescent="0.25">
      <c r="A223" s="16"/>
      <c r="E223" s="27"/>
      <c r="F223" t="s">
        <v>26</v>
      </c>
      <c r="G223" s="28">
        <f>IFERROR(VLOOKUP(F223,CARTON_LOOKUP!$A:$E,3,0),"")</f>
      </c>
      <c r="H223" s="28">
        <f>IFERROR(VLOOKUP(F223,CARTON_LOOKUP!$A:$E,4,0),"")</f>
      </c>
      <c r="I223" s="28">
        <f>IFERROR(VLOOKUP(F223,CARTON_LOOKUP!$A:$E,5,0),"")</f>
      </c>
      <c r="J223" s="29">
        <f>IFERROR(VLOOKUP(F223,CARTON_LOOKUP!$A:$E,2,0),"")</f>
      </c>
      <c r="K223" s="29">
        <f>IFERROR(J223*D223,0)</f>
      </c>
      <c r="L223" s="29">
        <f>IFERROR(E223*C223,0)</f>
      </c>
      <c r="M223" s="29">
        <f>IFERROR((G223*H223*I223/1000000)*D223,0)</f>
      </c>
    </row>
    <row r="224" spans="1:13" x14ac:dyDescent="0.25">
      <c r="A224" s="16"/>
      <c r="E224" s="27"/>
      <c r="F224" t="s">
        <v>26</v>
      </c>
      <c r="G224" s="28">
        <f>IFERROR(VLOOKUP(F224,CARTON_LOOKUP!$A:$E,3,0),"")</f>
      </c>
      <c r="H224" s="28">
        <f>IFERROR(VLOOKUP(F224,CARTON_LOOKUP!$A:$E,4,0),"")</f>
      </c>
      <c r="I224" s="28">
        <f>IFERROR(VLOOKUP(F224,CARTON_LOOKUP!$A:$E,5,0),"")</f>
      </c>
      <c r="J224" s="29">
        <f>IFERROR(VLOOKUP(F224,CARTON_LOOKUP!$A:$E,2,0),"")</f>
      </c>
      <c r="K224" s="29">
        <f>IFERROR(J224*D224,0)</f>
      </c>
      <c r="L224" s="29">
        <f>IFERROR(E224*C224,0)</f>
      </c>
      <c r="M224" s="29">
        <f>IFERROR((G224*H224*I224/1000000)*D224,0)</f>
      </c>
    </row>
    <row r="225" spans="1:13" x14ac:dyDescent="0.25">
      <c r="A225" s="16"/>
      <c r="E225" s="27"/>
      <c r="F225" t="s">
        <v>26</v>
      </c>
      <c r="G225" s="28">
        <f>IFERROR(VLOOKUP(F225,CARTON_LOOKUP!$A:$E,3,0),"")</f>
      </c>
      <c r="H225" s="28">
        <f>IFERROR(VLOOKUP(F225,CARTON_LOOKUP!$A:$E,4,0),"")</f>
      </c>
      <c r="I225" s="28">
        <f>IFERROR(VLOOKUP(F225,CARTON_LOOKUP!$A:$E,5,0),"")</f>
      </c>
      <c r="J225" s="29">
        <f>IFERROR(VLOOKUP(F225,CARTON_LOOKUP!$A:$E,2,0),"")</f>
      </c>
      <c r="K225" s="29">
        <f>IFERROR(J225*D225,0)</f>
      </c>
      <c r="L225" s="29">
        <f>IFERROR(E225*C225,0)</f>
      </c>
      <c r="M225" s="29">
        <f>IFERROR((G225*H225*I225/1000000)*D225,0)</f>
      </c>
    </row>
    <row r="226" spans="1:13" x14ac:dyDescent="0.25">
      <c r="A226" s="16"/>
      <c r="E226" s="27"/>
      <c r="F226" t="s">
        <v>26</v>
      </c>
      <c r="G226" s="28">
        <f>IFERROR(VLOOKUP(F226,CARTON_LOOKUP!$A:$E,3,0),"")</f>
      </c>
      <c r="H226" s="28">
        <f>IFERROR(VLOOKUP(F226,CARTON_LOOKUP!$A:$E,4,0),"")</f>
      </c>
      <c r="I226" s="28">
        <f>IFERROR(VLOOKUP(F226,CARTON_LOOKUP!$A:$E,5,0),"")</f>
      </c>
      <c r="J226" s="29">
        <f>IFERROR(VLOOKUP(F226,CARTON_LOOKUP!$A:$E,2,0),"")</f>
      </c>
      <c r="K226" s="29">
        <f>IFERROR(J226*D226,0)</f>
      </c>
      <c r="L226" s="29">
        <f>IFERROR(E226*C226,0)</f>
      </c>
      <c r="M226" s="29">
        <f>IFERROR((G226*H226*I226/1000000)*D226,0)</f>
      </c>
    </row>
    <row r="227" spans="1:13" x14ac:dyDescent="0.25">
      <c r="A227" s="16"/>
      <c r="E227" s="27"/>
      <c r="F227" t="s">
        <v>26</v>
      </c>
      <c r="G227" s="28">
        <f>IFERROR(VLOOKUP(F227,CARTON_LOOKUP!$A:$E,3,0),"")</f>
      </c>
      <c r="H227" s="28">
        <f>IFERROR(VLOOKUP(F227,CARTON_LOOKUP!$A:$E,4,0),"")</f>
      </c>
      <c r="I227" s="28">
        <f>IFERROR(VLOOKUP(F227,CARTON_LOOKUP!$A:$E,5,0),"")</f>
      </c>
      <c r="J227" s="29">
        <f>IFERROR(VLOOKUP(F227,CARTON_LOOKUP!$A:$E,2,0),"")</f>
      </c>
      <c r="K227" s="29">
        <f>IFERROR(J227*D227,0)</f>
      </c>
      <c r="L227" s="29">
        <f>IFERROR(E227*C227,0)</f>
      </c>
      <c r="M227" s="29">
        <f>IFERROR((G227*H227*I227/1000000)*D227,0)</f>
      </c>
    </row>
    <row r="228" spans="1:13" x14ac:dyDescent="0.25">
      <c r="A228" s="16"/>
      <c r="E228" s="27"/>
      <c r="F228" t="s">
        <v>26</v>
      </c>
      <c r="G228" s="28">
        <f>IFERROR(VLOOKUP(F228,CARTON_LOOKUP!$A:$E,3,0),"")</f>
      </c>
      <c r="H228" s="28">
        <f>IFERROR(VLOOKUP(F228,CARTON_LOOKUP!$A:$E,4,0),"")</f>
      </c>
      <c r="I228" s="28">
        <f>IFERROR(VLOOKUP(F228,CARTON_LOOKUP!$A:$E,5,0),"")</f>
      </c>
      <c r="J228" s="29">
        <f>IFERROR(VLOOKUP(F228,CARTON_LOOKUP!$A:$E,2,0),"")</f>
      </c>
      <c r="K228" s="29">
        <f>IFERROR(J228*D228,0)</f>
      </c>
      <c r="L228" s="29">
        <f>IFERROR(E228*C228,0)</f>
      </c>
      <c r="M228" s="29">
        <f>IFERROR((G228*H228*I228/1000000)*D228,0)</f>
      </c>
    </row>
    <row r="229" spans="1:13" x14ac:dyDescent="0.25">
      <c r="A229" s="16"/>
      <c r="E229" s="27"/>
      <c r="F229" t="s">
        <v>26</v>
      </c>
      <c r="G229" s="28">
        <f>IFERROR(VLOOKUP(F229,CARTON_LOOKUP!$A:$E,3,0),"")</f>
      </c>
      <c r="H229" s="28">
        <f>IFERROR(VLOOKUP(F229,CARTON_LOOKUP!$A:$E,4,0),"")</f>
      </c>
      <c r="I229" s="28">
        <f>IFERROR(VLOOKUP(F229,CARTON_LOOKUP!$A:$E,5,0),"")</f>
      </c>
      <c r="J229" s="29">
        <f>IFERROR(VLOOKUP(F229,CARTON_LOOKUP!$A:$E,2,0),"")</f>
      </c>
      <c r="K229" s="29">
        <f>IFERROR(J229*D229,0)</f>
      </c>
      <c r="L229" s="29">
        <f>IFERROR(E229*C229,0)</f>
      </c>
      <c r="M229" s="29">
        <f>IFERROR((G229*H229*I229/1000000)*D229,0)</f>
      </c>
    </row>
    <row r="230" spans="1:13" x14ac:dyDescent="0.25">
      <c r="A230" s="16"/>
      <c r="E230" s="27"/>
      <c r="F230" t="s">
        <v>26</v>
      </c>
      <c r="G230" s="28">
        <f>IFERROR(VLOOKUP(F230,CARTON_LOOKUP!$A:$E,3,0),"")</f>
      </c>
      <c r="H230" s="28">
        <f>IFERROR(VLOOKUP(F230,CARTON_LOOKUP!$A:$E,4,0),"")</f>
      </c>
      <c r="I230" s="28">
        <f>IFERROR(VLOOKUP(F230,CARTON_LOOKUP!$A:$E,5,0),"")</f>
      </c>
      <c r="J230" s="29">
        <f>IFERROR(VLOOKUP(F230,CARTON_LOOKUP!$A:$E,2,0),"")</f>
      </c>
      <c r="K230" s="29">
        <f>IFERROR(J230*D230,0)</f>
      </c>
      <c r="L230" s="29">
        <f>IFERROR(E230*C230,0)</f>
      </c>
      <c r="M230" s="29">
        <f>IFERROR((G230*H230*I230/1000000)*D230,0)</f>
      </c>
    </row>
    <row r="231" spans="1:13" x14ac:dyDescent="0.25">
      <c r="A231" s="16"/>
      <c r="E231" s="27"/>
      <c r="F231" t="s">
        <v>26</v>
      </c>
      <c r="G231" s="28">
        <f>IFERROR(VLOOKUP(F231,CARTON_LOOKUP!$A:$E,3,0),"")</f>
      </c>
      <c r="H231" s="28">
        <f>IFERROR(VLOOKUP(F231,CARTON_LOOKUP!$A:$E,4,0),"")</f>
      </c>
      <c r="I231" s="28">
        <f>IFERROR(VLOOKUP(F231,CARTON_LOOKUP!$A:$E,5,0),"")</f>
      </c>
      <c r="J231" s="29">
        <f>IFERROR(VLOOKUP(F231,CARTON_LOOKUP!$A:$E,2,0),"")</f>
      </c>
      <c r="K231" s="29">
        <f>IFERROR(J231*D231,0)</f>
      </c>
      <c r="L231" s="29">
        <f>IFERROR(E231*C231,0)</f>
      </c>
      <c r="M231" s="29">
        <f>IFERROR((G231*H231*I231/1000000)*D231,0)</f>
      </c>
    </row>
    <row r="232" spans="1:13" x14ac:dyDescent="0.25">
      <c r="A232" s="16"/>
      <c r="E232" s="27"/>
      <c r="F232" t="s">
        <v>26</v>
      </c>
      <c r="G232" s="28">
        <f>IFERROR(VLOOKUP(F232,CARTON_LOOKUP!$A:$E,3,0),"")</f>
      </c>
      <c r="H232" s="28">
        <f>IFERROR(VLOOKUP(F232,CARTON_LOOKUP!$A:$E,4,0),"")</f>
      </c>
      <c r="I232" s="28">
        <f>IFERROR(VLOOKUP(F232,CARTON_LOOKUP!$A:$E,5,0),"")</f>
      </c>
      <c r="J232" s="29">
        <f>IFERROR(VLOOKUP(F232,CARTON_LOOKUP!$A:$E,2,0),"")</f>
      </c>
      <c r="K232" s="29">
        <f>IFERROR(J232*D232,0)</f>
      </c>
      <c r="L232" s="29">
        <f>IFERROR(E232*C232,0)</f>
      </c>
      <c r="M232" s="29">
        <f>IFERROR((G232*H232*I232/1000000)*D232,0)</f>
      </c>
    </row>
    <row r="233" spans="1:13" x14ac:dyDescent="0.25">
      <c r="A233" s="16"/>
      <c r="E233" s="27"/>
      <c r="F233" t="s">
        <v>26</v>
      </c>
      <c r="G233" s="28">
        <f>IFERROR(VLOOKUP(F233,CARTON_LOOKUP!$A:$E,3,0),"")</f>
      </c>
      <c r="H233" s="28">
        <f>IFERROR(VLOOKUP(F233,CARTON_LOOKUP!$A:$E,4,0),"")</f>
      </c>
      <c r="I233" s="28">
        <f>IFERROR(VLOOKUP(F233,CARTON_LOOKUP!$A:$E,5,0),"")</f>
      </c>
      <c r="J233" s="29">
        <f>IFERROR(VLOOKUP(F233,CARTON_LOOKUP!$A:$E,2,0),"")</f>
      </c>
      <c r="K233" s="29">
        <f>IFERROR(J233*D233,0)</f>
      </c>
      <c r="L233" s="29">
        <f>IFERROR(E233*C233,0)</f>
      </c>
      <c r="M233" s="29">
        <f>IFERROR((G233*H233*I233/1000000)*D233,0)</f>
      </c>
    </row>
    <row r="234" spans="1:13" x14ac:dyDescent="0.25">
      <c r="A234" s="16"/>
      <c r="E234" s="27"/>
      <c r="F234" t="s">
        <v>26</v>
      </c>
      <c r="G234" s="28">
        <f>IFERROR(VLOOKUP(F234,CARTON_LOOKUP!$A:$E,3,0),"")</f>
      </c>
      <c r="H234" s="28">
        <f>IFERROR(VLOOKUP(F234,CARTON_LOOKUP!$A:$E,4,0),"")</f>
      </c>
      <c r="I234" s="28">
        <f>IFERROR(VLOOKUP(F234,CARTON_LOOKUP!$A:$E,5,0),"")</f>
      </c>
      <c r="J234" s="29">
        <f>IFERROR(VLOOKUP(F234,CARTON_LOOKUP!$A:$E,2,0),"")</f>
      </c>
      <c r="K234" s="29">
        <f>IFERROR(J234*D234,0)</f>
      </c>
      <c r="L234" s="29">
        <f>IFERROR(E234*C234,0)</f>
      </c>
      <c r="M234" s="29">
        <f>IFERROR((G234*H234*I234/1000000)*D234,0)</f>
      </c>
    </row>
    <row r="235" spans="1:13" x14ac:dyDescent="0.25">
      <c r="A235" s="16"/>
      <c r="E235" s="27"/>
      <c r="F235" t="s">
        <v>26</v>
      </c>
      <c r="G235" s="28">
        <f>IFERROR(VLOOKUP(F235,CARTON_LOOKUP!$A:$E,3,0),"")</f>
      </c>
      <c r="H235" s="28">
        <f>IFERROR(VLOOKUP(F235,CARTON_LOOKUP!$A:$E,4,0),"")</f>
      </c>
      <c r="I235" s="28">
        <f>IFERROR(VLOOKUP(F235,CARTON_LOOKUP!$A:$E,5,0),"")</f>
      </c>
      <c r="J235" s="29">
        <f>IFERROR(VLOOKUP(F235,CARTON_LOOKUP!$A:$E,2,0),"")</f>
      </c>
      <c r="K235" s="29">
        <f>IFERROR(J235*D235,0)</f>
      </c>
      <c r="L235" s="29">
        <f>IFERROR(E235*C235,0)</f>
      </c>
      <c r="M235" s="29">
        <f>IFERROR((G235*H235*I235/1000000)*D235,0)</f>
      </c>
    </row>
    <row r="236" spans="1:13" x14ac:dyDescent="0.25">
      <c r="A236" s="16"/>
      <c r="E236" s="27"/>
      <c r="F236" t="s">
        <v>26</v>
      </c>
      <c r="G236" s="28">
        <f>IFERROR(VLOOKUP(F236,CARTON_LOOKUP!$A:$E,3,0),"")</f>
      </c>
      <c r="H236" s="28">
        <f>IFERROR(VLOOKUP(F236,CARTON_LOOKUP!$A:$E,4,0),"")</f>
      </c>
      <c r="I236" s="28">
        <f>IFERROR(VLOOKUP(F236,CARTON_LOOKUP!$A:$E,5,0),"")</f>
      </c>
      <c r="J236" s="29">
        <f>IFERROR(VLOOKUP(F236,CARTON_LOOKUP!$A:$E,2,0),"")</f>
      </c>
      <c r="K236" s="29">
        <f>IFERROR(J236*D236,0)</f>
      </c>
      <c r="L236" s="29">
        <f>IFERROR(E236*C236,0)</f>
      </c>
      <c r="M236" s="29">
        <f>IFERROR((G236*H236*I236/1000000)*D236,0)</f>
      </c>
    </row>
    <row r="237" spans="1:13" x14ac:dyDescent="0.25">
      <c r="A237" s="16"/>
      <c r="E237" s="27"/>
      <c r="F237" t="s">
        <v>26</v>
      </c>
      <c r="G237" s="28">
        <f>IFERROR(VLOOKUP(F237,CARTON_LOOKUP!$A:$E,3,0),"")</f>
      </c>
      <c r="H237" s="28">
        <f>IFERROR(VLOOKUP(F237,CARTON_LOOKUP!$A:$E,4,0),"")</f>
      </c>
      <c r="I237" s="28">
        <f>IFERROR(VLOOKUP(F237,CARTON_LOOKUP!$A:$E,5,0),"")</f>
      </c>
      <c r="J237" s="29">
        <f>IFERROR(VLOOKUP(F237,CARTON_LOOKUP!$A:$E,2,0),"")</f>
      </c>
      <c r="K237" s="29">
        <f>IFERROR(J237*D237,0)</f>
      </c>
      <c r="L237" s="29">
        <f>IFERROR(E237*C237,0)</f>
      </c>
      <c r="M237" s="29">
        <f>IFERROR((G237*H237*I237/1000000)*D237,0)</f>
      </c>
    </row>
    <row r="238" spans="1:13" x14ac:dyDescent="0.25">
      <c r="A238" s="16"/>
      <c r="E238" s="27"/>
      <c r="F238" t="s">
        <v>26</v>
      </c>
      <c r="G238" s="28">
        <f>IFERROR(VLOOKUP(F238,CARTON_LOOKUP!$A:$E,3,0),"")</f>
      </c>
      <c r="H238" s="28">
        <f>IFERROR(VLOOKUP(F238,CARTON_LOOKUP!$A:$E,4,0),"")</f>
      </c>
      <c r="I238" s="28">
        <f>IFERROR(VLOOKUP(F238,CARTON_LOOKUP!$A:$E,5,0),"")</f>
      </c>
      <c r="J238" s="29">
        <f>IFERROR(VLOOKUP(F238,CARTON_LOOKUP!$A:$E,2,0),"")</f>
      </c>
      <c r="K238" s="29">
        <f>IFERROR(J238*D238,0)</f>
      </c>
      <c r="L238" s="29">
        <f>IFERROR(E238*C238,0)</f>
      </c>
      <c r="M238" s="29">
        <f>IFERROR((G238*H238*I238/1000000)*D238,0)</f>
      </c>
    </row>
    <row r="239" spans="1:13" x14ac:dyDescent="0.25">
      <c r="A239" s="16"/>
      <c r="E239" s="27"/>
      <c r="F239" t="s">
        <v>26</v>
      </c>
      <c r="G239" s="28">
        <f>IFERROR(VLOOKUP(F239,CARTON_LOOKUP!$A:$E,3,0),"")</f>
      </c>
      <c r="H239" s="28">
        <f>IFERROR(VLOOKUP(F239,CARTON_LOOKUP!$A:$E,4,0),"")</f>
      </c>
      <c r="I239" s="28">
        <f>IFERROR(VLOOKUP(F239,CARTON_LOOKUP!$A:$E,5,0),"")</f>
      </c>
      <c r="J239" s="29">
        <f>IFERROR(VLOOKUP(F239,CARTON_LOOKUP!$A:$E,2,0),"")</f>
      </c>
      <c r="K239" s="29">
        <f>IFERROR(J239*D239,0)</f>
      </c>
      <c r="L239" s="29">
        <f>IFERROR(E239*C239,0)</f>
      </c>
      <c r="M239" s="29">
        <f>IFERROR((G239*H239*I239/1000000)*D239,0)</f>
      </c>
    </row>
    <row r="240" spans="1:13" x14ac:dyDescent="0.25">
      <c r="A240" s="16"/>
      <c r="E240" s="27"/>
      <c r="F240" t="s">
        <v>26</v>
      </c>
      <c r="G240" s="28">
        <f>IFERROR(VLOOKUP(F240,CARTON_LOOKUP!$A:$E,3,0),"")</f>
      </c>
      <c r="H240" s="28">
        <f>IFERROR(VLOOKUP(F240,CARTON_LOOKUP!$A:$E,4,0),"")</f>
      </c>
      <c r="I240" s="28">
        <f>IFERROR(VLOOKUP(F240,CARTON_LOOKUP!$A:$E,5,0),"")</f>
      </c>
      <c r="J240" s="29">
        <f>IFERROR(VLOOKUP(F240,CARTON_LOOKUP!$A:$E,2,0),"")</f>
      </c>
      <c r="K240" s="29">
        <f>IFERROR(J240*D240,0)</f>
      </c>
      <c r="L240" s="29">
        <f>IFERROR(E240*C240,0)</f>
      </c>
      <c r="M240" s="29">
        <f>IFERROR((G240*H240*I240/1000000)*D240,0)</f>
      </c>
    </row>
    <row r="241" spans="1:13" x14ac:dyDescent="0.25">
      <c r="A241" s="16"/>
      <c r="E241" s="27"/>
      <c r="F241" t="s">
        <v>26</v>
      </c>
      <c r="G241" s="28">
        <f>IFERROR(VLOOKUP(F241,CARTON_LOOKUP!$A:$E,3,0),"")</f>
      </c>
      <c r="H241" s="28">
        <f>IFERROR(VLOOKUP(F241,CARTON_LOOKUP!$A:$E,4,0),"")</f>
      </c>
      <c r="I241" s="28">
        <f>IFERROR(VLOOKUP(F241,CARTON_LOOKUP!$A:$E,5,0),"")</f>
      </c>
      <c r="J241" s="29">
        <f>IFERROR(VLOOKUP(F241,CARTON_LOOKUP!$A:$E,2,0),"")</f>
      </c>
      <c r="K241" s="29">
        <f>IFERROR(J241*D241,0)</f>
      </c>
      <c r="L241" s="29">
        <f>IFERROR(E241*C241,0)</f>
      </c>
      <c r="M241" s="29">
        <f>IFERROR((G241*H241*I241/1000000)*D241,0)</f>
      </c>
    </row>
    <row r="242" spans="1:13" x14ac:dyDescent="0.25">
      <c r="A242" s="16"/>
      <c r="E242" s="27"/>
      <c r="F242" t="s">
        <v>26</v>
      </c>
      <c r="G242" s="28">
        <f>IFERROR(VLOOKUP(F242,CARTON_LOOKUP!$A:$E,3,0),"")</f>
      </c>
      <c r="H242" s="28">
        <f>IFERROR(VLOOKUP(F242,CARTON_LOOKUP!$A:$E,4,0),"")</f>
      </c>
      <c r="I242" s="28">
        <f>IFERROR(VLOOKUP(F242,CARTON_LOOKUP!$A:$E,5,0),"")</f>
      </c>
      <c r="J242" s="29">
        <f>IFERROR(VLOOKUP(F242,CARTON_LOOKUP!$A:$E,2,0),"")</f>
      </c>
      <c r="K242" s="29">
        <f>IFERROR(J242*D242,0)</f>
      </c>
      <c r="L242" s="29">
        <f>IFERROR(E242*C242,0)</f>
      </c>
      <c r="M242" s="29">
        <f>IFERROR((G242*H242*I242/1000000)*D242,0)</f>
      </c>
    </row>
    <row r="243" spans="1:13" x14ac:dyDescent="0.25">
      <c r="A243" s="16"/>
      <c r="E243" s="27"/>
      <c r="F243" t="s">
        <v>26</v>
      </c>
      <c r="G243" s="28">
        <f>IFERROR(VLOOKUP(F243,CARTON_LOOKUP!$A:$E,3,0),"")</f>
      </c>
      <c r="H243" s="28">
        <f>IFERROR(VLOOKUP(F243,CARTON_LOOKUP!$A:$E,4,0),"")</f>
      </c>
      <c r="I243" s="28">
        <f>IFERROR(VLOOKUP(F243,CARTON_LOOKUP!$A:$E,5,0),"")</f>
      </c>
      <c r="J243" s="29">
        <f>IFERROR(VLOOKUP(F243,CARTON_LOOKUP!$A:$E,2,0),"")</f>
      </c>
      <c r="K243" s="29">
        <f>IFERROR(J243*D243,0)</f>
      </c>
      <c r="L243" s="29">
        <f>IFERROR(E243*C243,0)</f>
      </c>
      <c r="M243" s="29">
        <f>IFERROR((G243*H243*I243/1000000)*D243,0)</f>
      </c>
    </row>
    <row r="244" spans="1:13" x14ac:dyDescent="0.25">
      <c r="A244" s="16"/>
      <c r="E244" s="27"/>
      <c r="F244" t="s">
        <v>26</v>
      </c>
      <c r="G244" s="28">
        <f>IFERROR(VLOOKUP(F244,CARTON_LOOKUP!$A:$E,3,0),"")</f>
      </c>
      <c r="H244" s="28">
        <f>IFERROR(VLOOKUP(F244,CARTON_LOOKUP!$A:$E,4,0),"")</f>
      </c>
      <c r="I244" s="28">
        <f>IFERROR(VLOOKUP(F244,CARTON_LOOKUP!$A:$E,5,0),"")</f>
      </c>
      <c r="J244" s="29">
        <f>IFERROR(VLOOKUP(F244,CARTON_LOOKUP!$A:$E,2,0),"")</f>
      </c>
      <c r="K244" s="29">
        <f>IFERROR(J244*D244,0)</f>
      </c>
      <c r="L244" s="29">
        <f>IFERROR(E244*C244,0)</f>
      </c>
      <c r="M244" s="29">
        <f>IFERROR((G244*H244*I244/1000000)*D244,0)</f>
      </c>
    </row>
    <row r="245" spans="1:13" x14ac:dyDescent="0.25">
      <c r="A245" s="16"/>
      <c r="E245" s="27"/>
      <c r="F245" t="s">
        <v>26</v>
      </c>
      <c r="G245" s="28">
        <f>IFERROR(VLOOKUP(F245,CARTON_LOOKUP!$A:$E,3,0),"")</f>
      </c>
      <c r="H245" s="28">
        <f>IFERROR(VLOOKUP(F245,CARTON_LOOKUP!$A:$E,4,0),"")</f>
      </c>
      <c r="I245" s="28">
        <f>IFERROR(VLOOKUP(F245,CARTON_LOOKUP!$A:$E,5,0),"")</f>
      </c>
      <c r="J245" s="29">
        <f>IFERROR(VLOOKUP(F245,CARTON_LOOKUP!$A:$E,2,0),"")</f>
      </c>
      <c r="K245" s="29">
        <f>IFERROR(J245*D245,0)</f>
      </c>
      <c r="L245" s="29">
        <f>IFERROR(E245*C245,0)</f>
      </c>
      <c r="M245" s="29">
        <f>IFERROR((G245*H245*I245/1000000)*D245,0)</f>
      </c>
    </row>
    <row r="246" spans="1:13" x14ac:dyDescent="0.25">
      <c r="A246" s="16"/>
      <c r="E246" s="27"/>
      <c r="F246" t="s">
        <v>26</v>
      </c>
      <c r="G246" s="28">
        <f>IFERROR(VLOOKUP(F246,CARTON_LOOKUP!$A:$E,3,0),"")</f>
      </c>
      <c r="H246" s="28">
        <f>IFERROR(VLOOKUP(F246,CARTON_LOOKUP!$A:$E,4,0),"")</f>
      </c>
      <c r="I246" s="28">
        <f>IFERROR(VLOOKUP(F246,CARTON_LOOKUP!$A:$E,5,0),"")</f>
      </c>
      <c r="J246" s="29">
        <f>IFERROR(VLOOKUP(F246,CARTON_LOOKUP!$A:$E,2,0),"")</f>
      </c>
      <c r="K246" s="29">
        <f>IFERROR(J246*D246,0)</f>
      </c>
      <c r="L246" s="29">
        <f>IFERROR(E246*C246,0)</f>
      </c>
      <c r="M246" s="29">
        <f>IFERROR((G246*H246*I246/1000000)*D246,0)</f>
      </c>
    </row>
    <row r="247" spans="1:13" x14ac:dyDescent="0.25">
      <c r="A247" s="16"/>
      <c r="E247" s="27"/>
      <c r="F247" t="s">
        <v>26</v>
      </c>
      <c r="G247" s="28">
        <f>IFERROR(VLOOKUP(F247,CARTON_LOOKUP!$A:$E,3,0),"")</f>
      </c>
      <c r="H247" s="28">
        <f>IFERROR(VLOOKUP(F247,CARTON_LOOKUP!$A:$E,4,0),"")</f>
      </c>
      <c r="I247" s="28">
        <f>IFERROR(VLOOKUP(F247,CARTON_LOOKUP!$A:$E,5,0),"")</f>
      </c>
      <c r="J247" s="29">
        <f>IFERROR(VLOOKUP(F247,CARTON_LOOKUP!$A:$E,2,0),"")</f>
      </c>
      <c r="K247" s="29">
        <f>IFERROR(J247*D247,0)</f>
      </c>
      <c r="L247" s="29">
        <f>IFERROR(E247*C247,0)</f>
      </c>
      <c r="M247" s="29">
        <f>IFERROR((G247*H247*I247/1000000)*D247,0)</f>
      </c>
    </row>
    <row r="248" spans="1:13" x14ac:dyDescent="0.25">
      <c r="A248" s="16"/>
      <c r="E248" s="27"/>
      <c r="F248" t="s">
        <v>26</v>
      </c>
      <c r="G248" s="28">
        <f>IFERROR(VLOOKUP(F248,CARTON_LOOKUP!$A:$E,3,0),"")</f>
      </c>
      <c r="H248" s="28">
        <f>IFERROR(VLOOKUP(F248,CARTON_LOOKUP!$A:$E,4,0),"")</f>
      </c>
      <c r="I248" s="28">
        <f>IFERROR(VLOOKUP(F248,CARTON_LOOKUP!$A:$E,5,0),"")</f>
      </c>
      <c r="J248" s="29">
        <f>IFERROR(VLOOKUP(F248,CARTON_LOOKUP!$A:$E,2,0),"")</f>
      </c>
      <c r="K248" s="29">
        <f>IFERROR(J248*D248,0)</f>
      </c>
      <c r="L248" s="29">
        <f>IFERROR(E248*C248,0)</f>
      </c>
      <c r="M248" s="29">
        <f>IFERROR((G248*H248*I248/1000000)*D248,0)</f>
      </c>
    </row>
    <row r="249" spans="1:13" x14ac:dyDescent="0.25">
      <c r="A249" s="16"/>
      <c r="E249" s="27"/>
      <c r="F249" t="s">
        <v>26</v>
      </c>
      <c r="G249" s="28">
        <f>IFERROR(VLOOKUP(F249,CARTON_LOOKUP!$A:$E,3,0),"")</f>
      </c>
      <c r="H249" s="28">
        <f>IFERROR(VLOOKUP(F249,CARTON_LOOKUP!$A:$E,4,0),"")</f>
      </c>
      <c r="I249" s="28">
        <f>IFERROR(VLOOKUP(F249,CARTON_LOOKUP!$A:$E,5,0),"")</f>
      </c>
      <c r="J249" s="29">
        <f>IFERROR(VLOOKUP(F249,CARTON_LOOKUP!$A:$E,2,0),"")</f>
      </c>
      <c r="K249" s="29">
        <f>IFERROR(J249*D249,0)</f>
      </c>
      <c r="L249" s="29">
        <f>IFERROR(E249*C249,0)</f>
      </c>
      <c r="M249" s="29">
        <f>IFERROR((G249*H249*I249/1000000)*D249,0)</f>
      </c>
    </row>
    <row r="250" spans="1:13" x14ac:dyDescent="0.25">
      <c r="A250" s="16"/>
      <c r="E250" s="27"/>
      <c r="F250" t="s">
        <v>26</v>
      </c>
      <c r="G250" s="28">
        <f>IFERROR(VLOOKUP(F250,CARTON_LOOKUP!$A:$E,3,0),"")</f>
      </c>
      <c r="H250" s="28">
        <f>IFERROR(VLOOKUP(F250,CARTON_LOOKUP!$A:$E,4,0),"")</f>
      </c>
      <c r="I250" s="28">
        <f>IFERROR(VLOOKUP(F250,CARTON_LOOKUP!$A:$E,5,0),"")</f>
      </c>
      <c r="J250" s="29">
        <f>IFERROR(VLOOKUP(F250,CARTON_LOOKUP!$A:$E,2,0),"")</f>
      </c>
      <c r="K250" s="29">
        <f>IFERROR(J250*D250,0)</f>
      </c>
      <c r="L250" s="29">
        <f>IFERROR(E250*C250,0)</f>
      </c>
      <c r="M250" s="29">
        <f>IFERROR((G250*H250*I250/1000000)*D250,0)</f>
      </c>
    </row>
    <row r="251" spans="1:13" x14ac:dyDescent="0.25">
      <c r="A251" s="16"/>
      <c r="E251" s="27"/>
      <c r="F251" t="s">
        <v>26</v>
      </c>
      <c r="G251" s="28">
        <f>IFERROR(VLOOKUP(F251,CARTON_LOOKUP!$A:$E,3,0),"")</f>
      </c>
      <c r="H251" s="28">
        <f>IFERROR(VLOOKUP(F251,CARTON_LOOKUP!$A:$E,4,0),"")</f>
      </c>
      <c r="I251" s="28">
        <f>IFERROR(VLOOKUP(F251,CARTON_LOOKUP!$A:$E,5,0),"")</f>
      </c>
      <c r="J251" s="29">
        <f>IFERROR(VLOOKUP(F251,CARTON_LOOKUP!$A:$E,2,0),"")</f>
      </c>
      <c r="K251" s="29">
        <f>IFERROR(J251*D251,0)</f>
      </c>
      <c r="L251" s="29">
        <f>IFERROR(E251*C251,0)</f>
      </c>
      <c r="M251" s="29">
        <f>IFERROR((G251*H251*I251/1000000)*D251,0)</f>
      </c>
    </row>
    <row r="252" spans="1:13" x14ac:dyDescent="0.25">
      <c r="A252" s="16"/>
      <c r="E252" s="27"/>
      <c r="F252" t="s">
        <v>26</v>
      </c>
      <c r="G252" s="28">
        <f>IFERROR(VLOOKUP(F252,CARTON_LOOKUP!$A:$E,3,0),"")</f>
      </c>
      <c r="H252" s="28">
        <f>IFERROR(VLOOKUP(F252,CARTON_LOOKUP!$A:$E,4,0),"")</f>
      </c>
      <c r="I252" s="28">
        <f>IFERROR(VLOOKUP(F252,CARTON_LOOKUP!$A:$E,5,0),"")</f>
      </c>
      <c r="J252" s="29">
        <f>IFERROR(VLOOKUP(F252,CARTON_LOOKUP!$A:$E,2,0),"")</f>
      </c>
      <c r="K252" s="29">
        <f>IFERROR(J252*D252,0)</f>
      </c>
      <c r="L252" s="29">
        <f>IFERROR(E252*C252,0)</f>
      </c>
      <c r="M252" s="29">
        <f>IFERROR((G252*H252*I252/1000000)*D252,0)</f>
      </c>
    </row>
    <row r="253" spans="1:13" x14ac:dyDescent="0.25">
      <c r="A253" s="16"/>
      <c r="E253" s="27"/>
      <c r="F253" t="s">
        <v>26</v>
      </c>
      <c r="G253" s="28">
        <f>IFERROR(VLOOKUP(F253,CARTON_LOOKUP!$A:$E,3,0),"")</f>
      </c>
      <c r="H253" s="28">
        <f>IFERROR(VLOOKUP(F253,CARTON_LOOKUP!$A:$E,4,0),"")</f>
      </c>
      <c r="I253" s="28">
        <f>IFERROR(VLOOKUP(F253,CARTON_LOOKUP!$A:$E,5,0),"")</f>
      </c>
      <c r="J253" s="29">
        <f>IFERROR(VLOOKUP(F253,CARTON_LOOKUP!$A:$E,2,0),"")</f>
      </c>
      <c r="K253" s="29">
        <f>IFERROR(J253*D253,0)</f>
      </c>
      <c r="L253" s="29">
        <f>IFERROR(E253*C253,0)</f>
      </c>
      <c r="M253" s="29">
        <f>IFERROR((G253*H253*I253/1000000)*D253,0)</f>
      </c>
    </row>
    <row r="254" spans="1:13" x14ac:dyDescent="0.25">
      <c r="A254" s="16"/>
      <c r="E254" s="27"/>
      <c r="F254" t="s">
        <v>26</v>
      </c>
      <c r="G254" s="28">
        <f>IFERROR(VLOOKUP(F254,CARTON_LOOKUP!$A:$E,3,0),"")</f>
      </c>
      <c r="H254" s="28">
        <f>IFERROR(VLOOKUP(F254,CARTON_LOOKUP!$A:$E,4,0),"")</f>
      </c>
      <c r="I254" s="28">
        <f>IFERROR(VLOOKUP(F254,CARTON_LOOKUP!$A:$E,5,0),"")</f>
      </c>
      <c r="J254" s="29">
        <f>IFERROR(VLOOKUP(F254,CARTON_LOOKUP!$A:$E,2,0),"")</f>
      </c>
      <c r="K254" s="29">
        <f>IFERROR(J254*D254,0)</f>
      </c>
      <c r="L254" s="29">
        <f>IFERROR(E254*C254,0)</f>
      </c>
      <c r="M254" s="29">
        <f>IFERROR((G254*H254*I254/1000000)*D254,0)</f>
      </c>
    </row>
    <row r="255" spans="1:13" x14ac:dyDescent="0.25">
      <c r="A255" s="16"/>
      <c r="E255" s="27"/>
      <c r="F255" t="s">
        <v>26</v>
      </c>
      <c r="G255" s="28">
        <f>IFERROR(VLOOKUP(F255,CARTON_LOOKUP!$A:$E,3,0),"")</f>
      </c>
      <c r="H255" s="28">
        <f>IFERROR(VLOOKUP(F255,CARTON_LOOKUP!$A:$E,4,0),"")</f>
      </c>
      <c r="I255" s="28">
        <f>IFERROR(VLOOKUP(F255,CARTON_LOOKUP!$A:$E,5,0),"")</f>
      </c>
      <c r="J255" s="29">
        <f>IFERROR(VLOOKUP(F255,CARTON_LOOKUP!$A:$E,2,0),"")</f>
      </c>
      <c r="K255" s="29">
        <f>IFERROR(J255*D255,0)</f>
      </c>
      <c r="L255" s="29">
        <f>IFERROR(E255*C255,0)</f>
      </c>
      <c r="M255" s="29">
        <f>IFERROR((G255*H255*I255/1000000)*D255,0)</f>
      </c>
    </row>
    <row r="256" spans="1:13" x14ac:dyDescent="0.25">
      <c r="A256" s="16"/>
      <c r="E256" s="27"/>
      <c r="F256" t="s">
        <v>26</v>
      </c>
      <c r="G256" s="28">
        <f>IFERROR(VLOOKUP(F256,CARTON_LOOKUP!$A:$E,3,0),"")</f>
      </c>
      <c r="H256" s="28">
        <f>IFERROR(VLOOKUP(F256,CARTON_LOOKUP!$A:$E,4,0),"")</f>
      </c>
      <c r="I256" s="28">
        <f>IFERROR(VLOOKUP(F256,CARTON_LOOKUP!$A:$E,5,0),"")</f>
      </c>
      <c r="J256" s="29">
        <f>IFERROR(VLOOKUP(F256,CARTON_LOOKUP!$A:$E,2,0),"")</f>
      </c>
      <c r="K256" s="29">
        <f>IFERROR(J256*D256,0)</f>
      </c>
      <c r="L256" s="29">
        <f>IFERROR(E256*C256,0)</f>
      </c>
      <c r="M256" s="29">
        <f>IFERROR((G256*H256*I256/1000000)*D256,0)</f>
      </c>
    </row>
    <row r="257" spans="1:13" x14ac:dyDescent="0.25">
      <c r="A257" s="16"/>
      <c r="E257" s="27"/>
      <c r="F257" t="s">
        <v>26</v>
      </c>
      <c r="G257" s="28">
        <f>IFERROR(VLOOKUP(F257,CARTON_LOOKUP!$A:$E,3,0),"")</f>
      </c>
      <c r="H257" s="28">
        <f>IFERROR(VLOOKUP(F257,CARTON_LOOKUP!$A:$E,4,0),"")</f>
      </c>
      <c r="I257" s="28">
        <f>IFERROR(VLOOKUP(F257,CARTON_LOOKUP!$A:$E,5,0),"")</f>
      </c>
      <c r="J257" s="29">
        <f>IFERROR(VLOOKUP(F257,CARTON_LOOKUP!$A:$E,2,0),"")</f>
      </c>
      <c r="K257" s="29">
        <f>IFERROR(J257*D257,0)</f>
      </c>
      <c r="L257" s="29">
        <f>IFERROR(E257*C257,0)</f>
      </c>
      <c r="M257" s="29">
        <f>IFERROR((G257*H257*I257/1000000)*D257,0)</f>
      </c>
    </row>
    <row r="258" spans="1:13" x14ac:dyDescent="0.25">
      <c r="A258" s="16"/>
      <c r="E258" s="27"/>
      <c r="F258" t="s">
        <v>26</v>
      </c>
      <c r="G258" s="28">
        <f>IFERROR(VLOOKUP(F258,CARTON_LOOKUP!$A:$E,3,0),"")</f>
      </c>
      <c r="H258" s="28">
        <f>IFERROR(VLOOKUP(F258,CARTON_LOOKUP!$A:$E,4,0),"")</f>
      </c>
      <c r="I258" s="28">
        <f>IFERROR(VLOOKUP(F258,CARTON_LOOKUP!$A:$E,5,0),"")</f>
      </c>
      <c r="J258" s="29">
        <f>IFERROR(VLOOKUP(F258,CARTON_LOOKUP!$A:$E,2,0),"")</f>
      </c>
      <c r="K258" s="29">
        <f>IFERROR(J258*D258,0)</f>
      </c>
      <c r="L258" s="29">
        <f>IFERROR(E258*C258,0)</f>
      </c>
      <c r="M258" s="29">
        <f>IFERROR((G258*H258*I258/1000000)*D258,0)</f>
      </c>
    </row>
    <row r="259" spans="1:13" x14ac:dyDescent="0.25">
      <c r="A259" s="16"/>
      <c r="E259" s="27"/>
      <c r="F259" t="s">
        <v>26</v>
      </c>
      <c r="G259" s="28">
        <f>IFERROR(VLOOKUP(F259,CARTON_LOOKUP!$A:$E,3,0),"")</f>
      </c>
      <c r="H259" s="28">
        <f>IFERROR(VLOOKUP(F259,CARTON_LOOKUP!$A:$E,4,0),"")</f>
      </c>
      <c r="I259" s="28">
        <f>IFERROR(VLOOKUP(F259,CARTON_LOOKUP!$A:$E,5,0),"")</f>
      </c>
      <c r="J259" s="29">
        <f>IFERROR(VLOOKUP(F259,CARTON_LOOKUP!$A:$E,2,0),"")</f>
      </c>
      <c r="K259" s="29">
        <f>IFERROR(J259*D259,0)</f>
      </c>
      <c r="L259" s="29">
        <f>IFERROR(E259*C259,0)</f>
      </c>
      <c r="M259" s="29">
        <f>IFERROR((G259*H259*I259/1000000)*D259,0)</f>
      </c>
    </row>
    <row r="260" spans="1:13" x14ac:dyDescent="0.25">
      <c r="A260" s="16"/>
      <c r="E260" s="27"/>
      <c r="F260" t="s">
        <v>26</v>
      </c>
      <c r="G260" s="28">
        <f>IFERROR(VLOOKUP(F260,CARTON_LOOKUP!$A:$E,3,0),"")</f>
      </c>
      <c r="H260" s="28">
        <f>IFERROR(VLOOKUP(F260,CARTON_LOOKUP!$A:$E,4,0),"")</f>
      </c>
      <c r="I260" s="28">
        <f>IFERROR(VLOOKUP(F260,CARTON_LOOKUP!$A:$E,5,0),"")</f>
      </c>
      <c r="J260" s="29">
        <f>IFERROR(VLOOKUP(F260,CARTON_LOOKUP!$A:$E,2,0),"")</f>
      </c>
      <c r="K260" s="29">
        <f>IFERROR(J260*D260,0)</f>
      </c>
      <c r="L260" s="29">
        <f>IFERROR(E260*C260,0)</f>
      </c>
      <c r="M260" s="29">
        <f>IFERROR((G260*H260*I260/1000000)*D260,0)</f>
      </c>
    </row>
    <row r="261" spans="1:13" x14ac:dyDescent="0.25">
      <c r="A261" s="16"/>
      <c r="E261" s="27"/>
      <c r="F261" t="s">
        <v>26</v>
      </c>
      <c r="G261" s="28">
        <f>IFERROR(VLOOKUP(F261,CARTON_LOOKUP!$A:$E,3,0),"")</f>
      </c>
      <c r="H261" s="28">
        <f>IFERROR(VLOOKUP(F261,CARTON_LOOKUP!$A:$E,4,0),"")</f>
      </c>
      <c r="I261" s="28">
        <f>IFERROR(VLOOKUP(F261,CARTON_LOOKUP!$A:$E,5,0),"")</f>
      </c>
      <c r="J261" s="29">
        <f>IFERROR(VLOOKUP(F261,CARTON_LOOKUP!$A:$E,2,0),"")</f>
      </c>
      <c r="K261" s="29">
        <f>IFERROR(J261*D261,0)</f>
      </c>
      <c r="L261" s="29">
        <f>IFERROR(E261*C261,0)</f>
      </c>
      <c r="M261" s="29">
        <f>IFERROR((G261*H261*I261/1000000)*D261,0)</f>
      </c>
    </row>
    <row r="262" spans="1:13" x14ac:dyDescent="0.25">
      <c r="A262" s="16"/>
      <c r="E262" s="27"/>
      <c r="F262" t="s">
        <v>26</v>
      </c>
      <c r="G262" s="28">
        <f>IFERROR(VLOOKUP(F262,CARTON_LOOKUP!$A:$E,3,0),"")</f>
      </c>
      <c r="H262" s="28">
        <f>IFERROR(VLOOKUP(F262,CARTON_LOOKUP!$A:$E,4,0),"")</f>
      </c>
      <c r="I262" s="28">
        <f>IFERROR(VLOOKUP(F262,CARTON_LOOKUP!$A:$E,5,0),"")</f>
      </c>
      <c r="J262" s="29">
        <f>IFERROR(VLOOKUP(F262,CARTON_LOOKUP!$A:$E,2,0),"")</f>
      </c>
      <c r="K262" s="29">
        <f>IFERROR(J262*D262,0)</f>
      </c>
      <c r="L262" s="29">
        <f>IFERROR(E262*C262,0)</f>
      </c>
      <c r="M262" s="29">
        <f>IFERROR((G262*H262*I262/1000000)*D262,0)</f>
      </c>
    </row>
    <row r="263" spans="1:13" x14ac:dyDescent="0.25">
      <c r="A263" s="16"/>
      <c r="E263" s="27"/>
      <c r="F263" t="s">
        <v>26</v>
      </c>
      <c r="G263" s="28">
        <f>IFERROR(VLOOKUP(F263,CARTON_LOOKUP!$A:$E,3,0),"")</f>
      </c>
      <c r="H263" s="28">
        <f>IFERROR(VLOOKUP(F263,CARTON_LOOKUP!$A:$E,4,0),"")</f>
      </c>
      <c r="I263" s="28">
        <f>IFERROR(VLOOKUP(F263,CARTON_LOOKUP!$A:$E,5,0),"")</f>
      </c>
      <c r="J263" s="29">
        <f>IFERROR(VLOOKUP(F263,CARTON_LOOKUP!$A:$E,2,0),"")</f>
      </c>
      <c r="K263" s="29">
        <f>IFERROR(J263*D263,0)</f>
      </c>
      <c r="L263" s="29">
        <f>IFERROR(E263*C263,0)</f>
      </c>
      <c r="M263" s="29">
        <f>IFERROR((G263*H263*I263/1000000)*D263,0)</f>
      </c>
    </row>
    <row r="264" spans="1:13" x14ac:dyDescent="0.25">
      <c r="A264" s="16"/>
      <c r="E264" s="27"/>
      <c r="F264" t="s">
        <v>26</v>
      </c>
      <c r="G264" s="28">
        <f>IFERROR(VLOOKUP(F264,CARTON_LOOKUP!$A:$E,3,0),"")</f>
      </c>
      <c r="H264" s="28">
        <f>IFERROR(VLOOKUP(F264,CARTON_LOOKUP!$A:$E,4,0),"")</f>
      </c>
      <c r="I264" s="28">
        <f>IFERROR(VLOOKUP(F264,CARTON_LOOKUP!$A:$E,5,0),"")</f>
      </c>
      <c r="J264" s="29">
        <f>IFERROR(VLOOKUP(F264,CARTON_LOOKUP!$A:$E,2,0),"")</f>
      </c>
      <c r="K264" s="29">
        <f>IFERROR(J264*D264,0)</f>
      </c>
      <c r="L264" s="29">
        <f>IFERROR(E264*C264,0)</f>
      </c>
      <c r="M264" s="29">
        <f>IFERROR((G264*H264*I264/1000000)*D264,0)</f>
      </c>
    </row>
    <row r="265" spans="1:13" x14ac:dyDescent="0.25">
      <c r="A265" s="16"/>
      <c r="E265" s="27"/>
      <c r="F265" t="s">
        <v>26</v>
      </c>
      <c r="G265" s="28">
        <f>IFERROR(VLOOKUP(F265,CARTON_LOOKUP!$A:$E,3,0),"")</f>
      </c>
      <c r="H265" s="28">
        <f>IFERROR(VLOOKUP(F265,CARTON_LOOKUP!$A:$E,4,0),"")</f>
      </c>
      <c r="I265" s="28">
        <f>IFERROR(VLOOKUP(F265,CARTON_LOOKUP!$A:$E,5,0),"")</f>
      </c>
      <c r="J265" s="29">
        <f>IFERROR(VLOOKUP(F265,CARTON_LOOKUP!$A:$E,2,0),"")</f>
      </c>
      <c r="K265" s="29">
        <f>IFERROR(J265*D265,0)</f>
      </c>
      <c r="L265" s="29">
        <f>IFERROR(E265*C265,0)</f>
      </c>
      <c r="M265" s="29">
        <f>IFERROR((G265*H265*I265/1000000)*D265,0)</f>
      </c>
    </row>
    <row r="266" spans="1:13" x14ac:dyDescent="0.25">
      <c r="A266" s="16"/>
      <c r="E266" s="27"/>
      <c r="F266" t="s">
        <v>26</v>
      </c>
      <c r="G266" s="28">
        <f>IFERROR(VLOOKUP(F266,CARTON_LOOKUP!$A:$E,3,0),"")</f>
      </c>
      <c r="H266" s="28">
        <f>IFERROR(VLOOKUP(F266,CARTON_LOOKUP!$A:$E,4,0),"")</f>
      </c>
      <c r="I266" s="28">
        <f>IFERROR(VLOOKUP(F266,CARTON_LOOKUP!$A:$E,5,0),"")</f>
      </c>
      <c r="J266" s="29">
        <f>IFERROR(VLOOKUP(F266,CARTON_LOOKUP!$A:$E,2,0),"")</f>
      </c>
      <c r="K266" s="29">
        <f>IFERROR(J266*D266,0)</f>
      </c>
      <c r="L266" s="29">
        <f>IFERROR(E266*C266,0)</f>
      </c>
      <c r="M266" s="29">
        <f>IFERROR((G266*H266*I266/1000000)*D266,0)</f>
      </c>
    </row>
    <row r="267" spans="1:13" x14ac:dyDescent="0.25">
      <c r="A267" s="16"/>
      <c r="E267" s="27"/>
      <c r="F267" t="s">
        <v>26</v>
      </c>
      <c r="G267" s="28">
        <f>IFERROR(VLOOKUP(F267,CARTON_LOOKUP!$A:$E,3,0),"")</f>
      </c>
      <c r="H267" s="28">
        <f>IFERROR(VLOOKUP(F267,CARTON_LOOKUP!$A:$E,4,0),"")</f>
      </c>
      <c r="I267" s="28">
        <f>IFERROR(VLOOKUP(F267,CARTON_LOOKUP!$A:$E,5,0),"")</f>
      </c>
      <c r="J267" s="29">
        <f>IFERROR(VLOOKUP(F267,CARTON_LOOKUP!$A:$E,2,0),"")</f>
      </c>
      <c r="K267" s="29">
        <f>IFERROR(J267*D267,0)</f>
      </c>
      <c r="L267" s="29">
        <f>IFERROR(E267*C267,0)</f>
      </c>
      <c r="M267" s="29">
        <f>IFERROR((G267*H267*I267/1000000)*D267,0)</f>
      </c>
    </row>
    <row r="268" spans="1:13" x14ac:dyDescent="0.25">
      <c r="A268" s="16"/>
      <c r="E268" s="27"/>
      <c r="F268" t="s">
        <v>26</v>
      </c>
      <c r="G268" s="28">
        <f>IFERROR(VLOOKUP(F268,CARTON_LOOKUP!$A:$E,3,0),"")</f>
      </c>
      <c r="H268" s="28">
        <f>IFERROR(VLOOKUP(F268,CARTON_LOOKUP!$A:$E,4,0),"")</f>
      </c>
      <c r="I268" s="28">
        <f>IFERROR(VLOOKUP(F268,CARTON_LOOKUP!$A:$E,5,0),"")</f>
      </c>
      <c r="J268" s="29">
        <f>IFERROR(VLOOKUP(F268,CARTON_LOOKUP!$A:$E,2,0),"")</f>
      </c>
      <c r="K268" s="29">
        <f>IFERROR(J268*D268,0)</f>
      </c>
      <c r="L268" s="29">
        <f>IFERROR(E268*C268,0)</f>
      </c>
      <c r="M268" s="29">
        <f>IFERROR((G268*H268*I268/1000000)*D268,0)</f>
      </c>
    </row>
    <row r="269" spans="1:13" x14ac:dyDescent="0.25">
      <c r="A269" s="16"/>
      <c r="E269" s="27"/>
      <c r="F269" t="s">
        <v>26</v>
      </c>
      <c r="G269" s="28">
        <f>IFERROR(VLOOKUP(F269,CARTON_LOOKUP!$A:$E,3,0),"")</f>
      </c>
      <c r="H269" s="28">
        <f>IFERROR(VLOOKUP(F269,CARTON_LOOKUP!$A:$E,4,0),"")</f>
      </c>
      <c r="I269" s="28">
        <f>IFERROR(VLOOKUP(F269,CARTON_LOOKUP!$A:$E,5,0),"")</f>
      </c>
      <c r="J269" s="29">
        <f>IFERROR(VLOOKUP(F269,CARTON_LOOKUP!$A:$E,2,0),"")</f>
      </c>
      <c r="K269" s="29">
        <f>IFERROR(J269*D269,0)</f>
      </c>
      <c r="L269" s="29">
        <f>IFERROR(E269*C269,0)</f>
      </c>
      <c r="M269" s="29">
        <f>IFERROR((G269*H269*I269/1000000)*D269,0)</f>
      </c>
    </row>
    <row r="270" spans="1:13" x14ac:dyDescent="0.25">
      <c r="A270" s="16"/>
      <c r="E270" s="27"/>
      <c r="F270" t="s">
        <v>26</v>
      </c>
      <c r="G270" s="28">
        <f>IFERROR(VLOOKUP(F270,CARTON_LOOKUP!$A:$E,3,0),"")</f>
      </c>
      <c r="H270" s="28">
        <f>IFERROR(VLOOKUP(F270,CARTON_LOOKUP!$A:$E,4,0),"")</f>
      </c>
      <c r="I270" s="28">
        <f>IFERROR(VLOOKUP(F270,CARTON_LOOKUP!$A:$E,5,0),"")</f>
      </c>
      <c r="J270" s="29">
        <f>IFERROR(VLOOKUP(F270,CARTON_LOOKUP!$A:$E,2,0),"")</f>
      </c>
      <c r="K270" s="29">
        <f>IFERROR(J270*D270,0)</f>
      </c>
      <c r="L270" s="29">
        <f>IFERROR(E270*C270,0)</f>
      </c>
      <c r="M270" s="29">
        <f>IFERROR((G270*H270*I270/1000000)*D270,0)</f>
      </c>
    </row>
    <row r="271" spans="1:13" x14ac:dyDescent="0.25">
      <c r="A271" s="16"/>
      <c r="E271" s="27"/>
      <c r="F271" t="s">
        <v>26</v>
      </c>
      <c r="G271" s="28">
        <f>IFERROR(VLOOKUP(F271,CARTON_LOOKUP!$A:$E,3,0),"")</f>
      </c>
      <c r="H271" s="28">
        <f>IFERROR(VLOOKUP(F271,CARTON_LOOKUP!$A:$E,4,0),"")</f>
      </c>
      <c r="I271" s="28">
        <f>IFERROR(VLOOKUP(F271,CARTON_LOOKUP!$A:$E,5,0),"")</f>
      </c>
      <c r="J271" s="29">
        <f>IFERROR(VLOOKUP(F271,CARTON_LOOKUP!$A:$E,2,0),"")</f>
      </c>
      <c r="K271" s="29">
        <f>IFERROR(J271*D271,0)</f>
      </c>
      <c r="L271" s="29">
        <f>IFERROR(E271*C271,0)</f>
      </c>
      <c r="M271" s="29">
        <f>IFERROR((G271*H271*I271/1000000)*D271,0)</f>
      </c>
    </row>
    <row r="272" spans="1:13" x14ac:dyDescent="0.25">
      <c r="A272" s="16"/>
      <c r="E272" s="27"/>
      <c r="F272" t="s">
        <v>26</v>
      </c>
      <c r="G272" s="28">
        <f>IFERROR(VLOOKUP(F272,CARTON_LOOKUP!$A:$E,3,0),"")</f>
      </c>
      <c r="H272" s="28">
        <f>IFERROR(VLOOKUP(F272,CARTON_LOOKUP!$A:$E,4,0),"")</f>
      </c>
      <c r="I272" s="28">
        <f>IFERROR(VLOOKUP(F272,CARTON_LOOKUP!$A:$E,5,0),"")</f>
      </c>
      <c r="J272" s="29">
        <f>IFERROR(VLOOKUP(F272,CARTON_LOOKUP!$A:$E,2,0),"")</f>
      </c>
      <c r="K272" s="29">
        <f>IFERROR(J272*D272,0)</f>
      </c>
      <c r="L272" s="29">
        <f>IFERROR(E272*C272,0)</f>
      </c>
      <c r="M272" s="29">
        <f>IFERROR((G272*H272*I272/1000000)*D272,0)</f>
      </c>
    </row>
    <row r="273" spans="1:13" x14ac:dyDescent="0.25">
      <c r="A273" s="16"/>
      <c r="E273" s="27"/>
      <c r="F273" t="s">
        <v>26</v>
      </c>
      <c r="G273" s="28">
        <f>IFERROR(VLOOKUP(F273,CARTON_LOOKUP!$A:$E,3,0),"")</f>
      </c>
      <c r="H273" s="28">
        <f>IFERROR(VLOOKUP(F273,CARTON_LOOKUP!$A:$E,4,0),"")</f>
      </c>
      <c r="I273" s="28">
        <f>IFERROR(VLOOKUP(F273,CARTON_LOOKUP!$A:$E,5,0),"")</f>
      </c>
      <c r="J273" s="29">
        <f>IFERROR(VLOOKUP(F273,CARTON_LOOKUP!$A:$E,2,0),"")</f>
      </c>
      <c r="K273" s="29">
        <f>IFERROR(J273*D273,0)</f>
      </c>
      <c r="L273" s="29">
        <f>IFERROR(E273*C273,0)</f>
      </c>
      <c r="M273" s="29">
        <f>IFERROR((G273*H273*I273/1000000)*D273,0)</f>
      </c>
    </row>
    <row r="274" spans="1:13" x14ac:dyDescent="0.25">
      <c r="A274" s="16"/>
      <c r="E274" s="27"/>
      <c r="F274" t="s">
        <v>26</v>
      </c>
      <c r="G274" s="28">
        <f>IFERROR(VLOOKUP(F274,CARTON_LOOKUP!$A:$E,3,0),"")</f>
      </c>
      <c r="H274" s="28">
        <f>IFERROR(VLOOKUP(F274,CARTON_LOOKUP!$A:$E,4,0),"")</f>
      </c>
      <c r="I274" s="28">
        <f>IFERROR(VLOOKUP(F274,CARTON_LOOKUP!$A:$E,5,0),"")</f>
      </c>
      <c r="J274" s="29">
        <f>IFERROR(VLOOKUP(F274,CARTON_LOOKUP!$A:$E,2,0),"")</f>
      </c>
      <c r="K274" s="29">
        <f>IFERROR(J274*D274,0)</f>
      </c>
      <c r="L274" s="29">
        <f>IFERROR(E274*C274,0)</f>
      </c>
      <c r="M274" s="29">
        <f>IFERROR((G274*H274*I274/1000000)*D274,0)</f>
      </c>
    </row>
    <row r="275" spans="1:13" x14ac:dyDescent="0.25">
      <c r="A275" s="16"/>
      <c r="E275" s="27"/>
      <c r="F275" t="s">
        <v>26</v>
      </c>
      <c r="G275" s="28">
        <f>IFERROR(VLOOKUP(F275,CARTON_LOOKUP!$A:$E,3,0),"")</f>
      </c>
      <c r="H275" s="28">
        <f>IFERROR(VLOOKUP(F275,CARTON_LOOKUP!$A:$E,4,0),"")</f>
      </c>
      <c r="I275" s="28">
        <f>IFERROR(VLOOKUP(F275,CARTON_LOOKUP!$A:$E,5,0),"")</f>
      </c>
      <c r="J275" s="29">
        <f>IFERROR(VLOOKUP(F275,CARTON_LOOKUP!$A:$E,2,0),"")</f>
      </c>
      <c r="K275" s="29">
        <f>IFERROR(J275*D275,0)</f>
      </c>
      <c r="L275" s="29">
        <f>IFERROR(E275*C275,0)</f>
      </c>
      <c r="M275" s="29">
        <f>IFERROR((G275*H275*I275/1000000)*D275,0)</f>
      </c>
    </row>
    <row r="276" spans="1:13" x14ac:dyDescent="0.25">
      <c r="A276" s="16"/>
      <c r="E276" s="27"/>
      <c r="F276" t="s">
        <v>26</v>
      </c>
      <c r="G276" s="28">
        <f>IFERROR(VLOOKUP(F276,CARTON_LOOKUP!$A:$E,3,0),"")</f>
      </c>
      <c r="H276" s="28">
        <f>IFERROR(VLOOKUP(F276,CARTON_LOOKUP!$A:$E,4,0),"")</f>
      </c>
      <c r="I276" s="28">
        <f>IFERROR(VLOOKUP(F276,CARTON_LOOKUP!$A:$E,5,0),"")</f>
      </c>
      <c r="J276" s="29">
        <f>IFERROR(VLOOKUP(F276,CARTON_LOOKUP!$A:$E,2,0),"")</f>
      </c>
      <c r="K276" s="29">
        <f>IFERROR(J276*D276,0)</f>
      </c>
      <c r="L276" s="29">
        <f>IFERROR(E276*C276,0)</f>
      </c>
      <c r="M276" s="29">
        <f>IFERROR((G276*H276*I276/1000000)*D276,0)</f>
      </c>
    </row>
    <row r="277" spans="1:13" x14ac:dyDescent="0.25">
      <c r="A277" s="16"/>
      <c r="E277" s="27"/>
      <c r="F277" t="s">
        <v>26</v>
      </c>
      <c r="G277" s="28">
        <f>IFERROR(VLOOKUP(F277,CARTON_LOOKUP!$A:$E,3,0),"")</f>
      </c>
      <c r="H277" s="28">
        <f>IFERROR(VLOOKUP(F277,CARTON_LOOKUP!$A:$E,4,0),"")</f>
      </c>
      <c r="I277" s="28">
        <f>IFERROR(VLOOKUP(F277,CARTON_LOOKUP!$A:$E,5,0),"")</f>
      </c>
      <c r="J277" s="29">
        <f>IFERROR(VLOOKUP(F277,CARTON_LOOKUP!$A:$E,2,0),"")</f>
      </c>
      <c r="K277" s="29">
        <f>IFERROR(J277*D277,0)</f>
      </c>
      <c r="L277" s="29">
        <f>IFERROR(E277*C277,0)</f>
      </c>
      <c r="M277" s="29">
        <f>IFERROR((G277*H277*I277/1000000)*D277,0)</f>
      </c>
    </row>
    <row r="278" spans="1:13" x14ac:dyDescent="0.25">
      <c r="A278" s="16"/>
      <c r="E278" s="27"/>
      <c r="F278" t="s">
        <v>26</v>
      </c>
      <c r="G278" s="28">
        <f>IFERROR(VLOOKUP(F278,CARTON_LOOKUP!$A:$E,3,0),"")</f>
      </c>
      <c r="H278" s="28">
        <f>IFERROR(VLOOKUP(F278,CARTON_LOOKUP!$A:$E,4,0),"")</f>
      </c>
      <c r="I278" s="28">
        <f>IFERROR(VLOOKUP(F278,CARTON_LOOKUP!$A:$E,5,0),"")</f>
      </c>
      <c r="J278" s="29">
        <f>IFERROR(VLOOKUP(F278,CARTON_LOOKUP!$A:$E,2,0),"")</f>
      </c>
      <c r="K278" s="29">
        <f>IFERROR(J278*D278,0)</f>
      </c>
      <c r="L278" s="29">
        <f>IFERROR(E278*C278,0)</f>
      </c>
      <c r="M278" s="29">
        <f>IFERROR((G278*H278*I278/1000000)*D278,0)</f>
      </c>
    </row>
    <row r="279" spans="1:13" x14ac:dyDescent="0.25">
      <c r="A279" s="16"/>
      <c r="E279" s="27"/>
      <c r="F279" t="s">
        <v>26</v>
      </c>
      <c r="G279" s="28">
        <f>IFERROR(VLOOKUP(F279,CARTON_LOOKUP!$A:$E,3,0),"")</f>
      </c>
      <c r="H279" s="28">
        <f>IFERROR(VLOOKUP(F279,CARTON_LOOKUP!$A:$E,4,0),"")</f>
      </c>
      <c r="I279" s="28">
        <f>IFERROR(VLOOKUP(F279,CARTON_LOOKUP!$A:$E,5,0),"")</f>
      </c>
      <c r="J279" s="29">
        <f>IFERROR(VLOOKUP(F279,CARTON_LOOKUP!$A:$E,2,0),"")</f>
      </c>
      <c r="K279" s="29">
        <f>IFERROR(J279*D279,0)</f>
      </c>
      <c r="L279" s="29">
        <f>IFERROR(E279*C279,0)</f>
      </c>
      <c r="M279" s="29">
        <f>IFERROR((G279*H279*I279/1000000)*D279,0)</f>
      </c>
    </row>
    <row r="280" spans="1:13" x14ac:dyDescent="0.25">
      <c r="A280" s="16"/>
      <c r="E280" s="27"/>
      <c r="F280" t="s">
        <v>26</v>
      </c>
      <c r="G280" s="28">
        <f>IFERROR(VLOOKUP(F280,CARTON_LOOKUP!$A:$E,3,0),"")</f>
      </c>
      <c r="H280" s="28">
        <f>IFERROR(VLOOKUP(F280,CARTON_LOOKUP!$A:$E,4,0),"")</f>
      </c>
      <c r="I280" s="28">
        <f>IFERROR(VLOOKUP(F280,CARTON_LOOKUP!$A:$E,5,0),"")</f>
      </c>
      <c r="J280" s="29">
        <f>IFERROR(VLOOKUP(F280,CARTON_LOOKUP!$A:$E,2,0),"")</f>
      </c>
      <c r="K280" s="29">
        <f>IFERROR(J280*D280,0)</f>
      </c>
      <c r="L280" s="29">
        <f>IFERROR(E280*C280,0)</f>
      </c>
      <c r="M280" s="29">
        <f>IFERROR((G280*H280*I280/1000000)*D280,0)</f>
      </c>
    </row>
    <row r="281" spans="1:13" x14ac:dyDescent="0.25">
      <c r="A281" s="16"/>
      <c r="E281" s="27"/>
      <c r="F281" t="s">
        <v>26</v>
      </c>
      <c r="G281" s="28">
        <f>IFERROR(VLOOKUP(F281,CARTON_LOOKUP!$A:$E,3,0),"")</f>
      </c>
      <c r="H281" s="28">
        <f>IFERROR(VLOOKUP(F281,CARTON_LOOKUP!$A:$E,4,0),"")</f>
      </c>
      <c r="I281" s="28">
        <f>IFERROR(VLOOKUP(F281,CARTON_LOOKUP!$A:$E,5,0),"")</f>
      </c>
      <c r="J281" s="29">
        <f>IFERROR(VLOOKUP(F281,CARTON_LOOKUP!$A:$E,2,0),"")</f>
      </c>
      <c r="K281" s="29">
        <f>IFERROR(J281*D281,0)</f>
      </c>
      <c r="L281" s="29">
        <f>IFERROR(E281*C281,0)</f>
      </c>
      <c r="M281" s="29">
        <f>IFERROR((G281*H281*I281/1000000)*D281,0)</f>
      </c>
    </row>
    <row r="282" spans="1:13" x14ac:dyDescent="0.25">
      <c r="A282" s="16"/>
      <c r="E282" s="27"/>
      <c r="F282" t="s">
        <v>26</v>
      </c>
      <c r="G282" s="28">
        <f>IFERROR(VLOOKUP(F282,CARTON_LOOKUP!$A:$E,3,0),"")</f>
      </c>
      <c r="H282" s="28">
        <f>IFERROR(VLOOKUP(F282,CARTON_LOOKUP!$A:$E,4,0),"")</f>
      </c>
      <c r="I282" s="28">
        <f>IFERROR(VLOOKUP(F282,CARTON_LOOKUP!$A:$E,5,0),"")</f>
      </c>
      <c r="J282" s="29">
        <f>IFERROR(VLOOKUP(F282,CARTON_LOOKUP!$A:$E,2,0),"")</f>
      </c>
      <c r="K282" s="29">
        <f>IFERROR(J282*D282,0)</f>
      </c>
      <c r="L282" s="29">
        <f>IFERROR(E282*C282,0)</f>
      </c>
      <c r="M282" s="29">
        <f>IFERROR((G282*H282*I282/1000000)*D282,0)</f>
      </c>
    </row>
    <row r="283" spans="1:13" x14ac:dyDescent="0.25">
      <c r="A283" s="16"/>
      <c r="E283" s="27"/>
      <c r="F283" t="s">
        <v>26</v>
      </c>
      <c r="G283" s="28">
        <f>IFERROR(VLOOKUP(F283,CARTON_LOOKUP!$A:$E,3,0),"")</f>
      </c>
      <c r="H283" s="28">
        <f>IFERROR(VLOOKUP(F283,CARTON_LOOKUP!$A:$E,4,0),"")</f>
      </c>
      <c r="I283" s="28">
        <f>IFERROR(VLOOKUP(F283,CARTON_LOOKUP!$A:$E,5,0),"")</f>
      </c>
      <c r="J283" s="29">
        <f>IFERROR(VLOOKUP(F283,CARTON_LOOKUP!$A:$E,2,0),"")</f>
      </c>
      <c r="K283" s="29">
        <f>IFERROR(J283*D283,0)</f>
      </c>
      <c r="L283" s="29">
        <f>IFERROR(E283*C283,0)</f>
      </c>
      <c r="M283" s="29">
        <f>IFERROR((G283*H283*I283/1000000)*D283,0)</f>
      </c>
    </row>
    <row r="284" spans="1:13" x14ac:dyDescent="0.25">
      <c r="A284" s="16"/>
      <c r="E284" s="27"/>
      <c r="F284" t="s">
        <v>26</v>
      </c>
      <c r="G284" s="28">
        <f>IFERROR(VLOOKUP(F284,CARTON_LOOKUP!$A:$E,3,0),"")</f>
      </c>
      <c r="H284" s="28">
        <f>IFERROR(VLOOKUP(F284,CARTON_LOOKUP!$A:$E,4,0),"")</f>
      </c>
      <c r="I284" s="28">
        <f>IFERROR(VLOOKUP(F284,CARTON_LOOKUP!$A:$E,5,0),"")</f>
      </c>
      <c r="J284" s="29">
        <f>IFERROR(VLOOKUP(F284,CARTON_LOOKUP!$A:$E,2,0),"")</f>
      </c>
      <c r="K284" s="29">
        <f>IFERROR(J284*D284,0)</f>
      </c>
      <c r="L284" s="29">
        <f>IFERROR(E284*C284,0)</f>
      </c>
      <c r="M284" s="29">
        <f>IFERROR((G284*H284*I284/1000000)*D284,0)</f>
      </c>
    </row>
    <row r="285" spans="1:13" x14ac:dyDescent="0.25">
      <c r="A285" s="16"/>
      <c r="E285" s="27"/>
      <c r="F285" t="s">
        <v>26</v>
      </c>
      <c r="G285" s="28">
        <f>IFERROR(VLOOKUP(F285,CARTON_LOOKUP!$A:$E,3,0),"")</f>
      </c>
      <c r="H285" s="28">
        <f>IFERROR(VLOOKUP(F285,CARTON_LOOKUP!$A:$E,4,0),"")</f>
      </c>
      <c r="I285" s="28">
        <f>IFERROR(VLOOKUP(F285,CARTON_LOOKUP!$A:$E,5,0),"")</f>
      </c>
      <c r="J285" s="29">
        <f>IFERROR(VLOOKUP(F285,CARTON_LOOKUP!$A:$E,2,0),"")</f>
      </c>
      <c r="K285" s="29">
        <f>IFERROR(J285*D285,0)</f>
      </c>
      <c r="L285" s="29">
        <f>IFERROR(E285*C285,0)</f>
      </c>
      <c r="M285" s="29">
        <f>IFERROR((G285*H285*I285/1000000)*D285,0)</f>
      </c>
    </row>
    <row r="286" spans="1:13" x14ac:dyDescent="0.25">
      <c r="A286" s="16"/>
      <c r="E286" s="27"/>
      <c r="F286" t="s">
        <v>26</v>
      </c>
      <c r="G286" s="28">
        <f>IFERROR(VLOOKUP(F286,CARTON_LOOKUP!$A:$E,3,0),"")</f>
      </c>
      <c r="H286" s="28">
        <f>IFERROR(VLOOKUP(F286,CARTON_LOOKUP!$A:$E,4,0),"")</f>
      </c>
      <c r="I286" s="28">
        <f>IFERROR(VLOOKUP(F286,CARTON_LOOKUP!$A:$E,5,0),"")</f>
      </c>
      <c r="J286" s="29">
        <f>IFERROR(VLOOKUP(F286,CARTON_LOOKUP!$A:$E,2,0),"")</f>
      </c>
      <c r="K286" s="29">
        <f>IFERROR(J286*D286,0)</f>
      </c>
      <c r="L286" s="29">
        <f>IFERROR(E286*C286,0)</f>
      </c>
      <c r="M286" s="29">
        <f>IFERROR((G286*H286*I286/1000000)*D286,0)</f>
      </c>
    </row>
    <row r="287" spans="1:13" x14ac:dyDescent="0.25">
      <c r="A287" s="16"/>
      <c r="E287" s="27"/>
      <c r="F287" t="s">
        <v>26</v>
      </c>
      <c r="G287" s="28">
        <f>IFERROR(VLOOKUP(F287,CARTON_LOOKUP!$A:$E,3,0),"")</f>
      </c>
      <c r="H287" s="28">
        <f>IFERROR(VLOOKUP(F287,CARTON_LOOKUP!$A:$E,4,0),"")</f>
      </c>
      <c r="I287" s="28">
        <f>IFERROR(VLOOKUP(F287,CARTON_LOOKUP!$A:$E,5,0),"")</f>
      </c>
      <c r="J287" s="29">
        <f>IFERROR(VLOOKUP(F287,CARTON_LOOKUP!$A:$E,2,0),"")</f>
      </c>
      <c r="K287" s="29">
        <f>IFERROR(J287*D287,0)</f>
      </c>
      <c r="L287" s="29">
        <f>IFERROR(E287*C287,0)</f>
      </c>
      <c r="M287" s="29">
        <f>IFERROR((G287*H287*I287/1000000)*D287,0)</f>
      </c>
    </row>
    <row r="288" spans="1:13" x14ac:dyDescent="0.25">
      <c r="A288" s="16"/>
      <c r="E288" s="27"/>
      <c r="F288" t="s">
        <v>26</v>
      </c>
      <c r="G288" s="28">
        <f>IFERROR(VLOOKUP(F288,CARTON_LOOKUP!$A:$E,3,0),"")</f>
      </c>
      <c r="H288" s="28">
        <f>IFERROR(VLOOKUP(F288,CARTON_LOOKUP!$A:$E,4,0),"")</f>
      </c>
      <c r="I288" s="28">
        <f>IFERROR(VLOOKUP(F288,CARTON_LOOKUP!$A:$E,5,0),"")</f>
      </c>
      <c r="J288" s="29">
        <f>IFERROR(VLOOKUP(F288,CARTON_LOOKUP!$A:$E,2,0),"")</f>
      </c>
      <c r="K288" s="29">
        <f>IFERROR(J288*D288,0)</f>
      </c>
      <c r="L288" s="29">
        <f>IFERROR(E288*C288,0)</f>
      </c>
      <c r="M288" s="29">
        <f>IFERROR((G288*H288*I288/1000000)*D288,0)</f>
      </c>
    </row>
    <row r="289" spans="1:13" x14ac:dyDescent="0.25">
      <c r="A289" s="16"/>
      <c r="E289" s="27"/>
      <c r="F289" t="s">
        <v>26</v>
      </c>
      <c r="G289" s="28">
        <f>IFERROR(VLOOKUP(F289,CARTON_LOOKUP!$A:$E,3,0),"")</f>
      </c>
      <c r="H289" s="28">
        <f>IFERROR(VLOOKUP(F289,CARTON_LOOKUP!$A:$E,4,0),"")</f>
      </c>
      <c r="I289" s="28">
        <f>IFERROR(VLOOKUP(F289,CARTON_LOOKUP!$A:$E,5,0),"")</f>
      </c>
      <c r="J289" s="29">
        <f>IFERROR(VLOOKUP(F289,CARTON_LOOKUP!$A:$E,2,0),"")</f>
      </c>
      <c r="K289" s="29">
        <f>IFERROR(J289*D289,0)</f>
      </c>
      <c r="L289" s="29">
        <f>IFERROR(E289*C289,0)</f>
      </c>
      <c r="M289" s="29">
        <f>IFERROR((G289*H289*I289/1000000)*D289,0)</f>
      </c>
    </row>
    <row r="290" spans="1:13" x14ac:dyDescent="0.25">
      <c r="A290" s="16"/>
      <c r="E290" s="27"/>
      <c r="F290" t="s">
        <v>26</v>
      </c>
      <c r="G290" s="28">
        <f>IFERROR(VLOOKUP(F290,CARTON_LOOKUP!$A:$E,3,0),"")</f>
      </c>
      <c r="H290" s="28">
        <f>IFERROR(VLOOKUP(F290,CARTON_LOOKUP!$A:$E,4,0),"")</f>
      </c>
      <c r="I290" s="28">
        <f>IFERROR(VLOOKUP(F290,CARTON_LOOKUP!$A:$E,5,0),"")</f>
      </c>
      <c r="J290" s="29">
        <f>IFERROR(VLOOKUP(F290,CARTON_LOOKUP!$A:$E,2,0),"")</f>
      </c>
      <c r="K290" s="29">
        <f>IFERROR(J290*D290,0)</f>
      </c>
      <c r="L290" s="29">
        <f>IFERROR(E290*C290,0)</f>
      </c>
      <c r="M290" s="29">
        <f>IFERROR((G290*H290*I290/1000000)*D290,0)</f>
      </c>
    </row>
    <row r="291" spans="1:13" x14ac:dyDescent="0.25">
      <c r="A291" s="16"/>
      <c r="E291" s="27"/>
      <c r="F291" t="s">
        <v>26</v>
      </c>
      <c r="G291" s="28">
        <f>IFERROR(VLOOKUP(F291,CARTON_LOOKUP!$A:$E,3,0),"")</f>
      </c>
      <c r="H291" s="28">
        <f>IFERROR(VLOOKUP(F291,CARTON_LOOKUP!$A:$E,4,0),"")</f>
      </c>
      <c r="I291" s="28">
        <f>IFERROR(VLOOKUP(F291,CARTON_LOOKUP!$A:$E,5,0),"")</f>
      </c>
      <c r="J291" s="29">
        <f>IFERROR(VLOOKUP(F291,CARTON_LOOKUP!$A:$E,2,0),"")</f>
      </c>
      <c r="K291" s="29">
        <f>IFERROR(J291*D291,0)</f>
      </c>
      <c r="L291" s="29">
        <f>IFERROR(E291*C291,0)</f>
      </c>
      <c r="M291" s="29">
        <f>IFERROR((G291*H291*I291/1000000)*D291,0)</f>
      </c>
    </row>
    <row r="292" spans="1:13" x14ac:dyDescent="0.25">
      <c r="A292" s="16"/>
      <c r="E292" s="27"/>
      <c r="F292" t="s">
        <v>26</v>
      </c>
      <c r="G292" s="28">
        <f>IFERROR(VLOOKUP(F292,CARTON_LOOKUP!$A:$E,3,0),"")</f>
      </c>
      <c r="H292" s="28">
        <f>IFERROR(VLOOKUP(F292,CARTON_LOOKUP!$A:$E,4,0),"")</f>
      </c>
      <c r="I292" s="28">
        <f>IFERROR(VLOOKUP(F292,CARTON_LOOKUP!$A:$E,5,0),"")</f>
      </c>
      <c r="J292" s="29">
        <f>IFERROR(VLOOKUP(F292,CARTON_LOOKUP!$A:$E,2,0),"")</f>
      </c>
      <c r="K292" s="29">
        <f>IFERROR(J292*D292,0)</f>
      </c>
      <c r="L292" s="29">
        <f>IFERROR(E292*C292,0)</f>
      </c>
      <c r="M292" s="29">
        <f>IFERROR((G292*H292*I292/1000000)*D292,0)</f>
      </c>
    </row>
    <row r="293" spans="1:13" x14ac:dyDescent="0.25">
      <c r="A293" s="16"/>
      <c r="E293" s="27"/>
      <c r="F293" t="s">
        <v>26</v>
      </c>
      <c r="G293" s="28">
        <f>IFERROR(VLOOKUP(F293,CARTON_LOOKUP!$A:$E,3,0),"")</f>
      </c>
      <c r="H293" s="28">
        <f>IFERROR(VLOOKUP(F293,CARTON_LOOKUP!$A:$E,4,0),"")</f>
      </c>
      <c r="I293" s="28">
        <f>IFERROR(VLOOKUP(F293,CARTON_LOOKUP!$A:$E,5,0),"")</f>
      </c>
      <c r="J293" s="29">
        <f>IFERROR(VLOOKUP(F293,CARTON_LOOKUP!$A:$E,2,0),"")</f>
      </c>
      <c r="K293" s="29">
        <f>IFERROR(J293*D293,0)</f>
      </c>
      <c r="L293" s="29">
        <f>IFERROR(E293*C293,0)</f>
      </c>
      <c r="M293" s="29">
        <f>IFERROR((G293*H293*I293/1000000)*D293,0)</f>
      </c>
    </row>
    <row r="294" spans="1:13" x14ac:dyDescent="0.25">
      <c r="A294" s="16"/>
      <c r="E294" s="27"/>
      <c r="F294" t="s">
        <v>26</v>
      </c>
      <c r="G294" s="28">
        <f>IFERROR(VLOOKUP(F294,CARTON_LOOKUP!$A:$E,3,0),"")</f>
      </c>
      <c r="H294" s="28">
        <f>IFERROR(VLOOKUP(F294,CARTON_LOOKUP!$A:$E,4,0),"")</f>
      </c>
      <c r="I294" s="28">
        <f>IFERROR(VLOOKUP(F294,CARTON_LOOKUP!$A:$E,5,0),"")</f>
      </c>
      <c r="J294" s="29">
        <f>IFERROR(VLOOKUP(F294,CARTON_LOOKUP!$A:$E,2,0),"")</f>
      </c>
      <c r="K294" s="29">
        <f>IFERROR(J294*D294,0)</f>
      </c>
      <c r="L294" s="29">
        <f>IFERROR(E294*C294,0)</f>
      </c>
      <c r="M294" s="29">
        <f>IFERROR((G294*H294*I294/1000000)*D294,0)</f>
      </c>
    </row>
    <row r="295" spans="1:13" x14ac:dyDescent="0.25">
      <c r="A295" s="16"/>
      <c r="E295" s="27"/>
      <c r="F295" t="s">
        <v>26</v>
      </c>
      <c r="G295" s="28">
        <f>IFERROR(VLOOKUP(F295,CARTON_LOOKUP!$A:$E,3,0),"")</f>
      </c>
      <c r="H295" s="28">
        <f>IFERROR(VLOOKUP(F295,CARTON_LOOKUP!$A:$E,4,0),"")</f>
      </c>
      <c r="I295" s="28">
        <f>IFERROR(VLOOKUP(F295,CARTON_LOOKUP!$A:$E,5,0),"")</f>
      </c>
      <c r="J295" s="29">
        <f>IFERROR(VLOOKUP(F295,CARTON_LOOKUP!$A:$E,2,0),"")</f>
      </c>
      <c r="K295" s="29">
        <f>IFERROR(J295*D295,0)</f>
      </c>
      <c r="L295" s="29">
        <f>IFERROR(E295*C295,0)</f>
      </c>
      <c r="M295" s="29">
        <f>IFERROR((G295*H295*I295/1000000)*D295,0)</f>
      </c>
    </row>
    <row r="296" spans="1:13" x14ac:dyDescent="0.25">
      <c r="A296" s="16"/>
      <c r="E296" s="27"/>
      <c r="F296" t="s">
        <v>26</v>
      </c>
      <c r="G296" s="28">
        <f>IFERROR(VLOOKUP(F296,CARTON_LOOKUP!$A:$E,3,0),"")</f>
      </c>
      <c r="H296" s="28">
        <f>IFERROR(VLOOKUP(F296,CARTON_LOOKUP!$A:$E,4,0),"")</f>
      </c>
      <c r="I296" s="28">
        <f>IFERROR(VLOOKUP(F296,CARTON_LOOKUP!$A:$E,5,0),"")</f>
      </c>
      <c r="J296" s="29">
        <f>IFERROR(VLOOKUP(F296,CARTON_LOOKUP!$A:$E,2,0),"")</f>
      </c>
      <c r="K296" s="29">
        <f>IFERROR(J296*D296,0)</f>
      </c>
      <c r="L296" s="29">
        <f>IFERROR(E296*C296,0)</f>
      </c>
      <c r="M296" s="29">
        <f>IFERROR((G296*H296*I296/1000000)*D296,0)</f>
      </c>
    </row>
    <row r="297" spans="1:13" x14ac:dyDescent="0.25">
      <c r="A297" s="16"/>
      <c r="E297" s="27"/>
      <c r="F297" t="s">
        <v>26</v>
      </c>
      <c r="G297" s="28">
        <f>IFERROR(VLOOKUP(F297,CARTON_LOOKUP!$A:$E,3,0),"")</f>
      </c>
      <c r="H297" s="28">
        <f>IFERROR(VLOOKUP(F297,CARTON_LOOKUP!$A:$E,4,0),"")</f>
      </c>
      <c r="I297" s="28">
        <f>IFERROR(VLOOKUP(F297,CARTON_LOOKUP!$A:$E,5,0),"")</f>
      </c>
      <c r="J297" s="29">
        <f>IFERROR(VLOOKUP(F297,CARTON_LOOKUP!$A:$E,2,0),"")</f>
      </c>
      <c r="K297" s="29">
        <f>IFERROR(J297*D297,0)</f>
      </c>
      <c r="L297" s="29">
        <f>IFERROR(E297*C297,0)</f>
      </c>
      <c r="M297" s="29">
        <f>IFERROR((G297*H297*I297/1000000)*D297,0)</f>
      </c>
    </row>
    <row r="298" spans="1:13" x14ac:dyDescent="0.25">
      <c r="A298" s="16"/>
      <c r="E298" s="27"/>
      <c r="F298" t="s">
        <v>26</v>
      </c>
      <c r="G298" s="28">
        <f>IFERROR(VLOOKUP(F298,CARTON_LOOKUP!$A:$E,3,0),"")</f>
      </c>
      <c r="H298" s="28">
        <f>IFERROR(VLOOKUP(F298,CARTON_LOOKUP!$A:$E,4,0),"")</f>
      </c>
      <c r="I298" s="28">
        <f>IFERROR(VLOOKUP(F298,CARTON_LOOKUP!$A:$E,5,0),"")</f>
      </c>
      <c r="J298" s="29">
        <f>IFERROR(VLOOKUP(F298,CARTON_LOOKUP!$A:$E,2,0),"")</f>
      </c>
      <c r="K298" s="29">
        <f>IFERROR(J298*D298,0)</f>
      </c>
      <c r="L298" s="29">
        <f>IFERROR(E298*C298,0)</f>
      </c>
      <c r="M298" s="29">
        <f>IFERROR((G298*H298*I298/1000000)*D298,0)</f>
      </c>
    </row>
    <row r="299" spans="1:13" x14ac:dyDescent="0.25">
      <c r="A299" s="16"/>
      <c r="E299" s="27"/>
      <c r="F299" t="s">
        <v>26</v>
      </c>
      <c r="G299" s="28">
        <f>IFERROR(VLOOKUP(F299,CARTON_LOOKUP!$A:$E,3,0),"")</f>
      </c>
      <c r="H299" s="28">
        <f>IFERROR(VLOOKUP(F299,CARTON_LOOKUP!$A:$E,4,0),"")</f>
      </c>
      <c r="I299" s="28">
        <f>IFERROR(VLOOKUP(F299,CARTON_LOOKUP!$A:$E,5,0),"")</f>
      </c>
      <c r="J299" s="29">
        <f>IFERROR(VLOOKUP(F299,CARTON_LOOKUP!$A:$E,2,0),"")</f>
      </c>
      <c r="K299" s="29">
        <f>IFERROR(J299*D299,0)</f>
      </c>
      <c r="L299" s="29">
        <f>IFERROR(E299*C299,0)</f>
      </c>
      <c r="M299" s="29">
        <f>IFERROR((G299*H299*I299/1000000)*D299,0)</f>
      </c>
    </row>
    <row r="300" spans="1:13" x14ac:dyDescent="0.25">
      <c r="A300" s="16"/>
      <c r="E300" s="27"/>
      <c r="F300" t="s">
        <v>26</v>
      </c>
      <c r="G300" s="28">
        <f>IFERROR(VLOOKUP(F300,CARTON_LOOKUP!$A:$E,3,0),"")</f>
      </c>
      <c r="H300" s="28">
        <f>IFERROR(VLOOKUP(F300,CARTON_LOOKUP!$A:$E,4,0),"")</f>
      </c>
      <c r="I300" s="28">
        <f>IFERROR(VLOOKUP(F300,CARTON_LOOKUP!$A:$E,5,0),"")</f>
      </c>
      <c r="J300" s="29">
        <f>IFERROR(VLOOKUP(F300,CARTON_LOOKUP!$A:$E,2,0),"")</f>
      </c>
      <c r="K300" s="29">
        <f>IFERROR(J300*D300,0)</f>
      </c>
      <c r="L300" s="29">
        <f>IFERROR(E300*C300,0)</f>
      </c>
      <c r="M300" s="29">
        <f>IFERROR((G300*H300*I300/1000000)*D300,0)</f>
      </c>
    </row>
    <row r="301" spans="1:13" x14ac:dyDescent="0.25">
      <c r="A301" s="16"/>
      <c r="E301" s="27"/>
      <c r="F301" t="s">
        <v>26</v>
      </c>
      <c r="G301" s="28">
        <f>IFERROR(VLOOKUP(F301,CARTON_LOOKUP!$A:$E,3,0),"")</f>
      </c>
      <c r="H301" s="28">
        <f>IFERROR(VLOOKUP(F301,CARTON_LOOKUP!$A:$E,4,0),"")</f>
      </c>
      <c r="I301" s="28">
        <f>IFERROR(VLOOKUP(F301,CARTON_LOOKUP!$A:$E,5,0),"")</f>
      </c>
      <c r="J301" s="29">
        <f>IFERROR(VLOOKUP(F301,CARTON_LOOKUP!$A:$E,2,0),"")</f>
      </c>
      <c r="K301" s="29">
        <f>IFERROR(J301*D301,0)</f>
      </c>
      <c r="L301" s="29">
        <f>IFERROR(E301*C301,0)</f>
      </c>
      <c r="M301" s="29">
        <f>IFERROR((G301*H301*I301/1000000)*D301,0)</f>
      </c>
    </row>
    <row r="302" spans="1:13" x14ac:dyDescent="0.25">
      <c r="A302" s="16"/>
      <c r="E302" s="27"/>
      <c r="F302" t="s">
        <v>26</v>
      </c>
      <c r="G302" s="28">
        <f>IFERROR(VLOOKUP(F302,CARTON_LOOKUP!$A:$E,3,0),"")</f>
      </c>
      <c r="H302" s="28">
        <f>IFERROR(VLOOKUP(F302,CARTON_LOOKUP!$A:$E,4,0),"")</f>
      </c>
      <c r="I302" s="28">
        <f>IFERROR(VLOOKUP(F302,CARTON_LOOKUP!$A:$E,5,0),"")</f>
      </c>
      <c r="J302" s="29">
        <f>IFERROR(VLOOKUP(F302,CARTON_LOOKUP!$A:$E,2,0),"")</f>
      </c>
      <c r="K302" s="29">
        <f>IFERROR(J302*D302,0)</f>
      </c>
      <c r="L302" s="29">
        <f>IFERROR(E302*C302,0)</f>
      </c>
      <c r="M302" s="29">
        <f>IFERROR((G302*H302*I302/1000000)*D302,0)</f>
      </c>
    </row>
    <row r="303" spans="1:13" x14ac:dyDescent="0.25">
      <c r="A303" s="16"/>
      <c r="E303" s="27"/>
      <c r="F303" t="s">
        <v>26</v>
      </c>
      <c r="G303" s="28">
        <f>IFERROR(VLOOKUP(F303,CARTON_LOOKUP!$A:$E,3,0),"")</f>
      </c>
      <c r="H303" s="28">
        <f>IFERROR(VLOOKUP(F303,CARTON_LOOKUP!$A:$E,4,0),"")</f>
      </c>
      <c r="I303" s="28">
        <f>IFERROR(VLOOKUP(F303,CARTON_LOOKUP!$A:$E,5,0),"")</f>
      </c>
      <c r="J303" s="29">
        <f>IFERROR(VLOOKUP(F303,CARTON_LOOKUP!$A:$E,2,0),"")</f>
      </c>
      <c r="K303" s="29">
        <f>IFERROR(J303*D303,0)</f>
      </c>
      <c r="L303" s="29">
        <f>IFERROR(E303*C303,0)</f>
      </c>
      <c r="M303" s="29">
        <f>IFERROR((G303*H303*I303/1000000)*D303,0)</f>
      </c>
    </row>
    <row r="304" spans="1:13" x14ac:dyDescent="0.25">
      <c r="A304" s="16"/>
      <c r="E304" s="27"/>
      <c r="F304" t="s">
        <v>26</v>
      </c>
      <c r="G304" s="28">
        <f>IFERROR(VLOOKUP(F304,CARTON_LOOKUP!$A:$E,3,0),"")</f>
      </c>
      <c r="H304" s="28">
        <f>IFERROR(VLOOKUP(F304,CARTON_LOOKUP!$A:$E,4,0),"")</f>
      </c>
      <c r="I304" s="28">
        <f>IFERROR(VLOOKUP(F304,CARTON_LOOKUP!$A:$E,5,0),"")</f>
      </c>
      <c r="J304" s="29">
        <f>IFERROR(VLOOKUP(F304,CARTON_LOOKUP!$A:$E,2,0),"")</f>
      </c>
      <c r="K304" s="29">
        <f>IFERROR(J304*D304,0)</f>
      </c>
      <c r="L304" s="29">
        <f>IFERROR(E304*C304,0)</f>
      </c>
      <c r="M304" s="29">
        <f>IFERROR((G304*H304*I304/1000000)*D304,0)</f>
      </c>
    </row>
    <row r="305" spans="1:13" x14ac:dyDescent="0.25">
      <c r="A305" s="16"/>
      <c r="E305" s="27"/>
      <c r="F305" t="s">
        <v>26</v>
      </c>
      <c r="G305" s="28">
        <f>IFERROR(VLOOKUP(F305,CARTON_LOOKUP!$A:$E,3,0),"")</f>
      </c>
      <c r="H305" s="28">
        <f>IFERROR(VLOOKUP(F305,CARTON_LOOKUP!$A:$E,4,0),"")</f>
      </c>
      <c r="I305" s="28">
        <f>IFERROR(VLOOKUP(F305,CARTON_LOOKUP!$A:$E,5,0),"")</f>
      </c>
      <c r="J305" s="29">
        <f>IFERROR(VLOOKUP(F305,CARTON_LOOKUP!$A:$E,2,0),"")</f>
      </c>
      <c r="K305" s="29">
        <f>IFERROR(J305*D305,0)</f>
      </c>
      <c r="L305" s="29">
        <f>IFERROR(E305*C305,0)</f>
      </c>
      <c r="M305" s="29">
        <f>IFERROR((G305*H305*I305/1000000)*D305,0)</f>
      </c>
    </row>
    <row r="306" spans="1:13" x14ac:dyDescent="0.25">
      <c r="A306" s="16"/>
      <c r="E306" s="27"/>
      <c r="F306" t="s">
        <v>26</v>
      </c>
      <c r="G306" s="28">
        <f>IFERROR(VLOOKUP(F306,CARTON_LOOKUP!$A:$E,3,0),"")</f>
      </c>
      <c r="H306" s="28">
        <f>IFERROR(VLOOKUP(F306,CARTON_LOOKUP!$A:$E,4,0),"")</f>
      </c>
      <c r="I306" s="28">
        <f>IFERROR(VLOOKUP(F306,CARTON_LOOKUP!$A:$E,5,0),"")</f>
      </c>
      <c r="J306" s="29">
        <f>IFERROR(VLOOKUP(F306,CARTON_LOOKUP!$A:$E,2,0),"")</f>
      </c>
      <c r="K306" s="29">
        <f>IFERROR(J306*D306,0)</f>
      </c>
      <c r="L306" s="29">
        <f>IFERROR(E306*C306,0)</f>
      </c>
      <c r="M306" s="29">
        <f>IFERROR((G306*H306*I306/1000000)*D306,0)</f>
      </c>
    </row>
    <row r="307" spans="1:13" x14ac:dyDescent="0.25">
      <c r="A307" s="16"/>
      <c r="E307" s="27"/>
      <c r="F307" t="s">
        <v>26</v>
      </c>
      <c r="G307" s="28">
        <f>IFERROR(VLOOKUP(F307,CARTON_LOOKUP!$A:$E,3,0),"")</f>
      </c>
      <c r="H307" s="28">
        <f>IFERROR(VLOOKUP(F307,CARTON_LOOKUP!$A:$E,4,0),"")</f>
      </c>
      <c r="I307" s="28">
        <f>IFERROR(VLOOKUP(F307,CARTON_LOOKUP!$A:$E,5,0),"")</f>
      </c>
      <c r="J307" s="29">
        <f>IFERROR(VLOOKUP(F307,CARTON_LOOKUP!$A:$E,2,0),"")</f>
      </c>
      <c r="K307" s="29">
        <f>IFERROR(J307*D307,0)</f>
      </c>
      <c r="L307" s="29">
        <f>IFERROR(E307*C307,0)</f>
      </c>
      <c r="M307" s="29">
        <f>IFERROR((G307*H307*I307/1000000)*D307,0)</f>
      </c>
    </row>
    <row r="308" spans="1:13" x14ac:dyDescent="0.25">
      <c r="A308" s="16"/>
      <c r="E308" s="27"/>
      <c r="F308" t="s">
        <v>26</v>
      </c>
      <c r="G308" s="28">
        <f>IFERROR(VLOOKUP(F308,CARTON_LOOKUP!$A:$E,3,0),"")</f>
      </c>
      <c r="H308" s="28">
        <f>IFERROR(VLOOKUP(F308,CARTON_LOOKUP!$A:$E,4,0),"")</f>
      </c>
      <c r="I308" s="28">
        <f>IFERROR(VLOOKUP(F308,CARTON_LOOKUP!$A:$E,5,0),"")</f>
      </c>
      <c r="J308" s="29">
        <f>IFERROR(VLOOKUP(F308,CARTON_LOOKUP!$A:$E,2,0),"")</f>
      </c>
      <c r="K308" s="29">
        <f>IFERROR(J308*D308,0)</f>
      </c>
      <c r="L308" s="29">
        <f>IFERROR(E308*C308,0)</f>
      </c>
      <c r="M308" s="29">
        <f>IFERROR((G308*H308*I308/1000000)*D308,0)</f>
      </c>
    </row>
    <row r="309" spans="1:13" x14ac:dyDescent="0.25">
      <c r="A309" s="16"/>
      <c r="E309" s="27"/>
      <c r="F309" t="s">
        <v>26</v>
      </c>
      <c r="G309" s="28">
        <f>IFERROR(VLOOKUP(F309,CARTON_LOOKUP!$A:$E,3,0),"")</f>
      </c>
      <c r="H309" s="28">
        <f>IFERROR(VLOOKUP(F309,CARTON_LOOKUP!$A:$E,4,0),"")</f>
      </c>
      <c r="I309" s="28">
        <f>IFERROR(VLOOKUP(F309,CARTON_LOOKUP!$A:$E,5,0),"")</f>
      </c>
      <c r="J309" s="29">
        <f>IFERROR(VLOOKUP(F309,CARTON_LOOKUP!$A:$E,2,0),"")</f>
      </c>
      <c r="K309" s="29">
        <f>IFERROR(J309*D309,0)</f>
      </c>
      <c r="L309" s="29">
        <f>IFERROR(E309*C309,0)</f>
      </c>
      <c r="M309" s="29">
        <f>IFERROR((G309*H309*I309/1000000)*D309,0)</f>
      </c>
    </row>
    <row r="310" spans="1:13" x14ac:dyDescent="0.25">
      <c r="A310" s="16"/>
      <c r="E310" s="27"/>
      <c r="F310" t="s">
        <v>26</v>
      </c>
      <c r="G310" s="28">
        <f>IFERROR(VLOOKUP(F310,CARTON_LOOKUP!$A:$E,3,0),"")</f>
      </c>
      <c r="H310" s="28">
        <f>IFERROR(VLOOKUP(F310,CARTON_LOOKUP!$A:$E,4,0),"")</f>
      </c>
      <c r="I310" s="28">
        <f>IFERROR(VLOOKUP(F310,CARTON_LOOKUP!$A:$E,5,0),"")</f>
      </c>
      <c r="J310" s="29">
        <f>IFERROR(VLOOKUP(F310,CARTON_LOOKUP!$A:$E,2,0),"")</f>
      </c>
      <c r="K310" s="29">
        <f>IFERROR(J310*D310,0)</f>
      </c>
      <c r="L310" s="29">
        <f>IFERROR(E310*C310,0)</f>
      </c>
      <c r="M310" s="29">
        <f>IFERROR((G310*H310*I310/1000000)*D310,0)</f>
      </c>
    </row>
    <row r="311" spans="1:13" x14ac:dyDescent="0.25">
      <c r="A311" s="16"/>
      <c r="E311" s="27"/>
      <c r="F311" t="s">
        <v>26</v>
      </c>
      <c r="G311" s="28">
        <f>IFERROR(VLOOKUP(F311,CARTON_LOOKUP!$A:$E,3,0),"")</f>
      </c>
      <c r="H311" s="28">
        <f>IFERROR(VLOOKUP(F311,CARTON_LOOKUP!$A:$E,4,0),"")</f>
      </c>
      <c r="I311" s="28">
        <f>IFERROR(VLOOKUP(F311,CARTON_LOOKUP!$A:$E,5,0),"")</f>
      </c>
      <c r="J311" s="29">
        <f>IFERROR(VLOOKUP(F311,CARTON_LOOKUP!$A:$E,2,0),"")</f>
      </c>
      <c r="K311" s="29">
        <f>IFERROR(J311*D311,0)</f>
      </c>
      <c r="L311" s="29">
        <f>IFERROR(E311*C311,0)</f>
      </c>
      <c r="M311" s="29">
        <f>IFERROR((G311*H311*I311/1000000)*D311,0)</f>
      </c>
    </row>
    <row r="312" spans="1:13" x14ac:dyDescent="0.25">
      <c r="A312" s="16"/>
      <c r="E312" s="27"/>
      <c r="F312" t="s">
        <v>26</v>
      </c>
      <c r="G312" s="28">
        <f>IFERROR(VLOOKUP(F312,CARTON_LOOKUP!$A:$E,3,0),"")</f>
      </c>
      <c r="H312" s="28">
        <f>IFERROR(VLOOKUP(F312,CARTON_LOOKUP!$A:$E,4,0),"")</f>
      </c>
      <c r="I312" s="28">
        <f>IFERROR(VLOOKUP(F312,CARTON_LOOKUP!$A:$E,5,0),"")</f>
      </c>
      <c r="J312" s="29">
        <f>IFERROR(VLOOKUP(F312,CARTON_LOOKUP!$A:$E,2,0),"")</f>
      </c>
      <c r="K312" s="29">
        <f>IFERROR(J312*D312,0)</f>
      </c>
      <c r="L312" s="29">
        <f>IFERROR(E312*C312,0)</f>
      </c>
      <c r="M312" s="29">
        <f>IFERROR((G312*H312*I312/1000000)*D312,0)</f>
      </c>
    </row>
    <row r="313" spans="1:13" x14ac:dyDescent="0.25">
      <c r="A313" s="16"/>
      <c r="E313" s="27"/>
      <c r="F313" t="s">
        <v>26</v>
      </c>
      <c r="G313" s="28">
        <f>IFERROR(VLOOKUP(F313,CARTON_LOOKUP!$A:$E,3,0),"")</f>
      </c>
      <c r="H313" s="28">
        <f>IFERROR(VLOOKUP(F313,CARTON_LOOKUP!$A:$E,4,0),"")</f>
      </c>
      <c r="I313" s="28">
        <f>IFERROR(VLOOKUP(F313,CARTON_LOOKUP!$A:$E,5,0),"")</f>
      </c>
      <c r="J313" s="29">
        <f>IFERROR(VLOOKUP(F313,CARTON_LOOKUP!$A:$E,2,0),"")</f>
      </c>
      <c r="K313" s="29">
        <f>IFERROR(J313*D313,0)</f>
      </c>
      <c r="L313" s="29">
        <f>IFERROR(E313*C313,0)</f>
      </c>
      <c r="M313" s="29">
        <f>IFERROR((G313*H313*I313/1000000)*D313,0)</f>
      </c>
    </row>
    <row r="314" spans="1:13" x14ac:dyDescent="0.25">
      <c r="A314" s="16"/>
      <c r="E314" s="27"/>
      <c r="F314" t="s">
        <v>26</v>
      </c>
      <c r="G314" s="28">
        <f>IFERROR(VLOOKUP(F314,CARTON_LOOKUP!$A:$E,3,0),"")</f>
      </c>
      <c r="H314" s="28">
        <f>IFERROR(VLOOKUP(F314,CARTON_LOOKUP!$A:$E,4,0),"")</f>
      </c>
      <c r="I314" s="28">
        <f>IFERROR(VLOOKUP(F314,CARTON_LOOKUP!$A:$E,5,0),"")</f>
      </c>
      <c r="J314" s="29">
        <f>IFERROR(VLOOKUP(F314,CARTON_LOOKUP!$A:$E,2,0),"")</f>
      </c>
      <c r="K314" s="29">
        <f>IFERROR(J314*D314,0)</f>
      </c>
      <c r="L314" s="29">
        <f>IFERROR(E314*C314,0)</f>
      </c>
      <c r="M314" s="29">
        <f>IFERROR((G314*H314*I314/1000000)*D314,0)</f>
      </c>
    </row>
    <row r="315" spans="1:13" x14ac:dyDescent="0.25">
      <c r="A315" s="16"/>
      <c r="E315" s="27"/>
      <c r="F315" t="s">
        <v>26</v>
      </c>
      <c r="G315" s="28">
        <f>IFERROR(VLOOKUP(F315,CARTON_LOOKUP!$A:$E,3,0),"")</f>
      </c>
      <c r="H315" s="28">
        <f>IFERROR(VLOOKUP(F315,CARTON_LOOKUP!$A:$E,4,0),"")</f>
      </c>
      <c r="I315" s="28">
        <f>IFERROR(VLOOKUP(F315,CARTON_LOOKUP!$A:$E,5,0),"")</f>
      </c>
      <c r="J315" s="29">
        <f>IFERROR(VLOOKUP(F315,CARTON_LOOKUP!$A:$E,2,0),"")</f>
      </c>
      <c r="K315" s="29">
        <f>IFERROR(J315*D315,0)</f>
      </c>
      <c r="L315" s="29">
        <f>IFERROR(E315*C315,0)</f>
      </c>
      <c r="M315" s="29">
        <f>IFERROR((G315*H315*I315/1000000)*D315,0)</f>
      </c>
    </row>
    <row r="316" spans="1:13" x14ac:dyDescent="0.25">
      <c r="A316" s="16"/>
      <c r="E316" s="27"/>
      <c r="F316" t="s">
        <v>26</v>
      </c>
      <c r="G316" s="28">
        <f>IFERROR(VLOOKUP(F316,CARTON_LOOKUP!$A:$E,3,0),"")</f>
      </c>
      <c r="H316" s="28">
        <f>IFERROR(VLOOKUP(F316,CARTON_LOOKUP!$A:$E,4,0),"")</f>
      </c>
      <c r="I316" s="28">
        <f>IFERROR(VLOOKUP(F316,CARTON_LOOKUP!$A:$E,5,0),"")</f>
      </c>
      <c r="J316" s="29">
        <f>IFERROR(VLOOKUP(F316,CARTON_LOOKUP!$A:$E,2,0),"")</f>
      </c>
      <c r="K316" s="29">
        <f>IFERROR(J316*D316,0)</f>
      </c>
      <c r="L316" s="29">
        <f>IFERROR(E316*C316,0)</f>
      </c>
      <c r="M316" s="29">
        <f>IFERROR((G316*H316*I316/1000000)*D316,0)</f>
      </c>
    </row>
    <row r="317" spans="1:13" x14ac:dyDescent="0.25">
      <c r="A317" s="16"/>
      <c r="E317" s="27"/>
      <c r="F317" t="s">
        <v>26</v>
      </c>
      <c r="G317" s="28">
        <f>IFERROR(VLOOKUP(F317,CARTON_LOOKUP!$A:$E,3,0),"")</f>
      </c>
      <c r="H317" s="28">
        <f>IFERROR(VLOOKUP(F317,CARTON_LOOKUP!$A:$E,4,0),"")</f>
      </c>
      <c r="I317" s="28">
        <f>IFERROR(VLOOKUP(F317,CARTON_LOOKUP!$A:$E,5,0),"")</f>
      </c>
      <c r="J317" s="29">
        <f>IFERROR(VLOOKUP(F317,CARTON_LOOKUP!$A:$E,2,0),"")</f>
      </c>
      <c r="K317" s="29">
        <f>IFERROR(J317*D317,0)</f>
      </c>
      <c r="L317" s="29">
        <f>IFERROR(E317*C317,0)</f>
      </c>
      <c r="M317" s="29">
        <f>IFERROR((G317*H317*I317/1000000)*D317,0)</f>
      </c>
    </row>
    <row r="318" spans="1:13" x14ac:dyDescent="0.25">
      <c r="A318" s="16"/>
      <c r="E318" s="27"/>
      <c r="F318" t="s">
        <v>26</v>
      </c>
      <c r="G318" s="28">
        <f>IFERROR(VLOOKUP(F318,CARTON_LOOKUP!$A:$E,3,0),"")</f>
      </c>
      <c r="H318" s="28">
        <f>IFERROR(VLOOKUP(F318,CARTON_LOOKUP!$A:$E,4,0),"")</f>
      </c>
      <c r="I318" s="28">
        <f>IFERROR(VLOOKUP(F318,CARTON_LOOKUP!$A:$E,5,0),"")</f>
      </c>
      <c r="J318" s="29">
        <f>IFERROR(VLOOKUP(F318,CARTON_LOOKUP!$A:$E,2,0),"")</f>
      </c>
      <c r="K318" s="29">
        <f>IFERROR(J318*D318,0)</f>
      </c>
      <c r="L318" s="29">
        <f>IFERROR(E318*C318,0)</f>
      </c>
      <c r="M318" s="29">
        <f>IFERROR((G318*H318*I318/1000000)*D318,0)</f>
      </c>
    </row>
    <row r="319" spans="1:13" x14ac:dyDescent="0.25">
      <c r="A319" s="16"/>
      <c r="E319" s="27"/>
      <c r="F319" t="s">
        <v>26</v>
      </c>
      <c r="G319" s="28">
        <f>IFERROR(VLOOKUP(F319,CARTON_LOOKUP!$A:$E,3,0),"")</f>
      </c>
      <c r="H319" s="28">
        <f>IFERROR(VLOOKUP(F319,CARTON_LOOKUP!$A:$E,4,0),"")</f>
      </c>
      <c r="I319" s="28">
        <f>IFERROR(VLOOKUP(F319,CARTON_LOOKUP!$A:$E,5,0),"")</f>
      </c>
      <c r="J319" s="29">
        <f>IFERROR(VLOOKUP(F319,CARTON_LOOKUP!$A:$E,2,0),"")</f>
      </c>
      <c r="K319" s="29">
        <f>IFERROR(J319*D319,0)</f>
      </c>
      <c r="L319" s="29">
        <f>IFERROR(E319*C319,0)</f>
      </c>
      <c r="M319" s="29">
        <f>IFERROR((G319*H319*I319/1000000)*D319,0)</f>
      </c>
    </row>
    <row r="320" spans="1:13" x14ac:dyDescent="0.25">
      <c r="A320" s="16"/>
      <c r="E320" s="27"/>
      <c r="F320" t="s">
        <v>26</v>
      </c>
      <c r="G320" s="28">
        <f>IFERROR(VLOOKUP(F320,CARTON_LOOKUP!$A:$E,3,0),"")</f>
      </c>
      <c r="H320" s="28">
        <f>IFERROR(VLOOKUP(F320,CARTON_LOOKUP!$A:$E,4,0),"")</f>
      </c>
      <c r="I320" s="28">
        <f>IFERROR(VLOOKUP(F320,CARTON_LOOKUP!$A:$E,5,0),"")</f>
      </c>
      <c r="J320" s="29">
        <f>IFERROR(VLOOKUP(F320,CARTON_LOOKUP!$A:$E,2,0),"")</f>
      </c>
      <c r="K320" s="29">
        <f>IFERROR(J320*D320,0)</f>
      </c>
      <c r="L320" s="29">
        <f>IFERROR(E320*C320,0)</f>
      </c>
      <c r="M320" s="29">
        <f>IFERROR((G320*H320*I320/1000000)*D320,0)</f>
      </c>
    </row>
    <row r="321" spans="1:13" x14ac:dyDescent="0.25">
      <c r="A321" s="16"/>
      <c r="E321" s="27"/>
      <c r="F321" t="s">
        <v>26</v>
      </c>
      <c r="G321" s="28">
        <f>IFERROR(VLOOKUP(F321,CARTON_LOOKUP!$A:$E,3,0),"")</f>
      </c>
      <c r="H321" s="28">
        <f>IFERROR(VLOOKUP(F321,CARTON_LOOKUP!$A:$E,4,0),"")</f>
      </c>
      <c r="I321" s="28">
        <f>IFERROR(VLOOKUP(F321,CARTON_LOOKUP!$A:$E,5,0),"")</f>
      </c>
      <c r="J321" s="29">
        <f>IFERROR(VLOOKUP(F321,CARTON_LOOKUP!$A:$E,2,0),"")</f>
      </c>
      <c r="K321" s="29">
        <f>IFERROR(J321*D321,0)</f>
      </c>
      <c r="L321" s="29">
        <f>IFERROR(E321*C321,0)</f>
      </c>
      <c r="M321" s="29">
        <f>IFERROR((G321*H321*I321/1000000)*D321,0)</f>
      </c>
    </row>
    <row r="322" spans="1:13" x14ac:dyDescent="0.25">
      <c r="A322" s="16"/>
      <c r="E322" s="27"/>
      <c r="F322" t="s">
        <v>26</v>
      </c>
      <c r="G322" s="28">
        <f>IFERROR(VLOOKUP(F322,CARTON_LOOKUP!$A:$E,3,0),"")</f>
      </c>
      <c r="H322" s="28">
        <f>IFERROR(VLOOKUP(F322,CARTON_LOOKUP!$A:$E,4,0),"")</f>
      </c>
      <c r="I322" s="28">
        <f>IFERROR(VLOOKUP(F322,CARTON_LOOKUP!$A:$E,5,0),"")</f>
      </c>
      <c r="J322" s="29">
        <f>IFERROR(VLOOKUP(F322,CARTON_LOOKUP!$A:$E,2,0),"")</f>
      </c>
      <c r="K322" s="29">
        <f>IFERROR(J322*D322,0)</f>
      </c>
      <c r="L322" s="29">
        <f>IFERROR(E322*C322,0)</f>
      </c>
      <c r="M322" s="29">
        <f>IFERROR((G322*H322*I322/1000000)*D322,0)</f>
      </c>
    </row>
    <row r="323" spans="1:13" x14ac:dyDescent="0.25">
      <c r="A323" s="16"/>
      <c r="E323" s="27"/>
      <c r="F323" t="s">
        <v>26</v>
      </c>
      <c r="G323" s="28">
        <f>IFERROR(VLOOKUP(F323,CARTON_LOOKUP!$A:$E,3,0),"")</f>
      </c>
      <c r="H323" s="28">
        <f>IFERROR(VLOOKUP(F323,CARTON_LOOKUP!$A:$E,4,0),"")</f>
      </c>
      <c r="I323" s="28">
        <f>IFERROR(VLOOKUP(F323,CARTON_LOOKUP!$A:$E,5,0),"")</f>
      </c>
      <c r="J323" s="29">
        <f>IFERROR(VLOOKUP(F323,CARTON_LOOKUP!$A:$E,2,0),"")</f>
      </c>
      <c r="K323" s="29">
        <f>IFERROR(J323*D323,0)</f>
      </c>
      <c r="L323" s="29">
        <f>IFERROR(E323*C323,0)</f>
      </c>
      <c r="M323" s="29">
        <f>IFERROR((G323*H323*I323/1000000)*D323,0)</f>
      </c>
    </row>
    <row r="324" spans="1:13" x14ac:dyDescent="0.25">
      <c r="A324" s="16"/>
      <c r="E324" s="27"/>
      <c r="F324" t="s">
        <v>26</v>
      </c>
      <c r="G324" s="28">
        <f>IFERROR(VLOOKUP(F324,CARTON_LOOKUP!$A:$E,3,0),"")</f>
      </c>
      <c r="H324" s="28">
        <f>IFERROR(VLOOKUP(F324,CARTON_LOOKUP!$A:$E,4,0),"")</f>
      </c>
      <c r="I324" s="28">
        <f>IFERROR(VLOOKUP(F324,CARTON_LOOKUP!$A:$E,5,0),"")</f>
      </c>
      <c r="J324" s="29">
        <f>IFERROR(VLOOKUP(F324,CARTON_LOOKUP!$A:$E,2,0),"")</f>
      </c>
      <c r="K324" s="29">
        <f>IFERROR(J324*D324,0)</f>
      </c>
      <c r="L324" s="29">
        <f>IFERROR(E324*C324,0)</f>
      </c>
      <c r="M324" s="29">
        <f>IFERROR((G324*H324*I324/1000000)*D324,0)</f>
      </c>
    </row>
    <row r="325" spans="1:13" x14ac:dyDescent="0.25">
      <c r="A325" s="16"/>
      <c r="E325" s="27"/>
      <c r="F325" t="s">
        <v>26</v>
      </c>
      <c r="G325" s="28">
        <f>IFERROR(VLOOKUP(F325,CARTON_LOOKUP!$A:$E,3,0),"")</f>
      </c>
      <c r="H325" s="28">
        <f>IFERROR(VLOOKUP(F325,CARTON_LOOKUP!$A:$E,4,0),"")</f>
      </c>
      <c r="I325" s="28">
        <f>IFERROR(VLOOKUP(F325,CARTON_LOOKUP!$A:$E,5,0),"")</f>
      </c>
      <c r="J325" s="29">
        <f>IFERROR(VLOOKUP(F325,CARTON_LOOKUP!$A:$E,2,0),"")</f>
      </c>
      <c r="K325" s="29">
        <f>IFERROR(J325*D325,0)</f>
      </c>
      <c r="L325" s="29">
        <f>IFERROR(E325*C325,0)</f>
      </c>
      <c r="M325" s="29">
        <f>IFERROR((G325*H325*I325/1000000)*D325,0)</f>
      </c>
    </row>
    <row r="326" spans="1:13" x14ac:dyDescent="0.25">
      <c r="A326" s="16"/>
      <c r="E326" s="27"/>
      <c r="F326" t="s">
        <v>26</v>
      </c>
      <c r="G326" s="28">
        <f>IFERROR(VLOOKUP(F326,CARTON_LOOKUP!$A:$E,3,0),"")</f>
      </c>
      <c r="H326" s="28">
        <f>IFERROR(VLOOKUP(F326,CARTON_LOOKUP!$A:$E,4,0),"")</f>
      </c>
      <c r="I326" s="28">
        <f>IFERROR(VLOOKUP(F326,CARTON_LOOKUP!$A:$E,5,0),"")</f>
      </c>
      <c r="J326" s="29">
        <f>IFERROR(VLOOKUP(F326,CARTON_LOOKUP!$A:$E,2,0),"")</f>
      </c>
      <c r="K326" s="29">
        <f>IFERROR(J326*D326,0)</f>
      </c>
      <c r="L326" s="29">
        <f>IFERROR(E326*C326,0)</f>
      </c>
      <c r="M326" s="29">
        <f>IFERROR((G326*H326*I326/1000000)*D326,0)</f>
      </c>
    </row>
    <row r="327" spans="1:13" x14ac:dyDescent="0.25">
      <c r="A327" s="16"/>
      <c r="E327" s="27"/>
      <c r="F327" t="s">
        <v>26</v>
      </c>
      <c r="G327" s="28">
        <f>IFERROR(VLOOKUP(F327,CARTON_LOOKUP!$A:$E,3,0),"")</f>
      </c>
      <c r="H327" s="28">
        <f>IFERROR(VLOOKUP(F327,CARTON_LOOKUP!$A:$E,4,0),"")</f>
      </c>
      <c r="I327" s="28">
        <f>IFERROR(VLOOKUP(F327,CARTON_LOOKUP!$A:$E,5,0),"")</f>
      </c>
      <c r="J327" s="29">
        <f>IFERROR(VLOOKUP(F327,CARTON_LOOKUP!$A:$E,2,0),"")</f>
      </c>
      <c r="K327" s="29">
        <f>IFERROR(J327*D327,0)</f>
      </c>
      <c r="L327" s="29">
        <f>IFERROR(E327*C327,0)</f>
      </c>
      <c r="M327" s="29">
        <f>IFERROR((G327*H327*I327/1000000)*D327,0)</f>
      </c>
    </row>
    <row r="328" spans="1:13" x14ac:dyDescent="0.25">
      <c r="A328" s="16"/>
      <c r="E328" s="27"/>
      <c r="F328" t="s">
        <v>26</v>
      </c>
      <c r="G328" s="28">
        <f>IFERROR(VLOOKUP(F328,CARTON_LOOKUP!$A:$E,3,0),"")</f>
      </c>
      <c r="H328" s="28">
        <f>IFERROR(VLOOKUP(F328,CARTON_LOOKUP!$A:$E,4,0),"")</f>
      </c>
      <c r="I328" s="28">
        <f>IFERROR(VLOOKUP(F328,CARTON_LOOKUP!$A:$E,5,0),"")</f>
      </c>
      <c r="J328" s="29">
        <f>IFERROR(VLOOKUP(F328,CARTON_LOOKUP!$A:$E,2,0),"")</f>
      </c>
      <c r="K328" s="29">
        <f>IFERROR(J328*D328,0)</f>
      </c>
      <c r="L328" s="29">
        <f>IFERROR(E328*C328,0)</f>
      </c>
      <c r="M328" s="29">
        <f>IFERROR((G328*H328*I328/1000000)*D328,0)</f>
      </c>
    </row>
    <row r="329" spans="1:13" x14ac:dyDescent="0.25">
      <c r="A329" s="16"/>
      <c r="E329" s="27"/>
      <c r="F329" t="s">
        <v>26</v>
      </c>
      <c r="G329" s="28">
        <f>IFERROR(VLOOKUP(F329,CARTON_LOOKUP!$A:$E,3,0),"")</f>
      </c>
      <c r="H329" s="28">
        <f>IFERROR(VLOOKUP(F329,CARTON_LOOKUP!$A:$E,4,0),"")</f>
      </c>
      <c r="I329" s="28">
        <f>IFERROR(VLOOKUP(F329,CARTON_LOOKUP!$A:$E,5,0),"")</f>
      </c>
      <c r="J329" s="29">
        <f>IFERROR(VLOOKUP(F329,CARTON_LOOKUP!$A:$E,2,0),"")</f>
      </c>
      <c r="K329" s="29">
        <f>IFERROR(J329*D329,0)</f>
      </c>
      <c r="L329" s="29">
        <f>IFERROR(E329*C329,0)</f>
      </c>
      <c r="M329" s="29">
        <f>IFERROR((G329*H329*I329/1000000)*D329,0)</f>
      </c>
    </row>
    <row r="330" spans="1:13" x14ac:dyDescent="0.25">
      <c r="A330" s="16"/>
      <c r="E330" s="27"/>
      <c r="F330" t="s">
        <v>26</v>
      </c>
      <c r="G330" s="28">
        <f>IFERROR(VLOOKUP(F330,CARTON_LOOKUP!$A:$E,3,0),"")</f>
      </c>
      <c r="H330" s="28">
        <f>IFERROR(VLOOKUP(F330,CARTON_LOOKUP!$A:$E,4,0),"")</f>
      </c>
      <c r="I330" s="28">
        <f>IFERROR(VLOOKUP(F330,CARTON_LOOKUP!$A:$E,5,0),"")</f>
      </c>
      <c r="J330" s="29">
        <f>IFERROR(VLOOKUP(F330,CARTON_LOOKUP!$A:$E,2,0),"")</f>
      </c>
      <c r="K330" s="29">
        <f>IFERROR(J330*D330,0)</f>
      </c>
      <c r="L330" s="29">
        <f>IFERROR(E330*C330,0)</f>
      </c>
      <c r="M330" s="29">
        <f>IFERROR((G330*H330*I330/1000000)*D330,0)</f>
      </c>
    </row>
    <row r="331" spans="1:13" x14ac:dyDescent="0.25">
      <c r="A331" s="16"/>
      <c r="E331" s="27"/>
      <c r="F331" t="s">
        <v>26</v>
      </c>
      <c r="G331" s="28">
        <f>IFERROR(VLOOKUP(F331,CARTON_LOOKUP!$A:$E,3,0),"")</f>
      </c>
      <c r="H331" s="28">
        <f>IFERROR(VLOOKUP(F331,CARTON_LOOKUP!$A:$E,4,0),"")</f>
      </c>
      <c r="I331" s="28">
        <f>IFERROR(VLOOKUP(F331,CARTON_LOOKUP!$A:$E,5,0),"")</f>
      </c>
      <c r="J331" s="29">
        <f>IFERROR(VLOOKUP(F331,CARTON_LOOKUP!$A:$E,2,0),"")</f>
      </c>
      <c r="K331" s="29">
        <f>IFERROR(J331*D331,0)</f>
      </c>
      <c r="L331" s="29">
        <f>IFERROR(E331*C331,0)</f>
      </c>
      <c r="M331" s="29">
        <f>IFERROR((G331*H331*I331/1000000)*D331,0)</f>
      </c>
    </row>
    <row r="332" spans="1:13" x14ac:dyDescent="0.25">
      <c r="A332" s="16"/>
      <c r="E332" s="27"/>
      <c r="F332" t="s">
        <v>26</v>
      </c>
      <c r="G332" s="28">
        <f>IFERROR(VLOOKUP(F332,CARTON_LOOKUP!$A:$E,3,0),"")</f>
      </c>
      <c r="H332" s="28">
        <f>IFERROR(VLOOKUP(F332,CARTON_LOOKUP!$A:$E,4,0),"")</f>
      </c>
      <c r="I332" s="28">
        <f>IFERROR(VLOOKUP(F332,CARTON_LOOKUP!$A:$E,5,0),"")</f>
      </c>
      <c r="J332" s="29">
        <f>IFERROR(VLOOKUP(F332,CARTON_LOOKUP!$A:$E,2,0),"")</f>
      </c>
      <c r="K332" s="29">
        <f>IFERROR(J332*D332,0)</f>
      </c>
      <c r="L332" s="29">
        <f>IFERROR(E332*C332,0)</f>
      </c>
      <c r="M332" s="29">
        <f>IFERROR((G332*H332*I332/1000000)*D332,0)</f>
      </c>
    </row>
    <row r="333" spans="1:13" x14ac:dyDescent="0.25">
      <c r="A333" s="16"/>
      <c r="E333" s="27"/>
      <c r="F333" t="s">
        <v>26</v>
      </c>
      <c r="G333" s="28">
        <f>IFERROR(VLOOKUP(F333,CARTON_LOOKUP!$A:$E,3,0),"")</f>
      </c>
      <c r="H333" s="28">
        <f>IFERROR(VLOOKUP(F333,CARTON_LOOKUP!$A:$E,4,0),"")</f>
      </c>
      <c r="I333" s="28">
        <f>IFERROR(VLOOKUP(F333,CARTON_LOOKUP!$A:$E,5,0),"")</f>
      </c>
      <c r="J333" s="29">
        <f>IFERROR(VLOOKUP(F333,CARTON_LOOKUP!$A:$E,2,0),"")</f>
      </c>
      <c r="K333" s="29">
        <f>IFERROR(J333*D333,0)</f>
      </c>
      <c r="L333" s="29">
        <f>IFERROR(E333*C333,0)</f>
      </c>
      <c r="M333" s="29">
        <f>IFERROR((G333*H333*I333/1000000)*D333,0)</f>
      </c>
    </row>
    <row r="334" spans="1:13" x14ac:dyDescent="0.25">
      <c r="A334" s="16"/>
      <c r="E334" s="27"/>
      <c r="F334" t="s">
        <v>26</v>
      </c>
      <c r="G334" s="28">
        <f>IFERROR(VLOOKUP(F334,CARTON_LOOKUP!$A:$E,3,0),"")</f>
      </c>
      <c r="H334" s="28">
        <f>IFERROR(VLOOKUP(F334,CARTON_LOOKUP!$A:$E,4,0),"")</f>
      </c>
      <c r="I334" s="28">
        <f>IFERROR(VLOOKUP(F334,CARTON_LOOKUP!$A:$E,5,0),"")</f>
      </c>
      <c r="J334" s="29">
        <f>IFERROR(VLOOKUP(F334,CARTON_LOOKUP!$A:$E,2,0),"")</f>
      </c>
      <c r="K334" s="29">
        <f>IFERROR(J334*D334,0)</f>
      </c>
      <c r="L334" s="29">
        <f>IFERROR(E334*C334,0)</f>
      </c>
      <c r="M334" s="29">
        <f>IFERROR((G334*H334*I334/1000000)*D334,0)</f>
      </c>
    </row>
    <row r="335" spans="1:13" x14ac:dyDescent="0.25">
      <c r="A335" s="16"/>
      <c r="E335" s="27"/>
      <c r="F335" t="s">
        <v>26</v>
      </c>
      <c r="G335" s="28">
        <f>IFERROR(VLOOKUP(F335,CARTON_LOOKUP!$A:$E,3,0),"")</f>
      </c>
      <c r="H335" s="28">
        <f>IFERROR(VLOOKUP(F335,CARTON_LOOKUP!$A:$E,4,0),"")</f>
      </c>
      <c r="I335" s="28">
        <f>IFERROR(VLOOKUP(F335,CARTON_LOOKUP!$A:$E,5,0),"")</f>
      </c>
      <c r="J335" s="29">
        <f>IFERROR(VLOOKUP(F335,CARTON_LOOKUP!$A:$E,2,0),"")</f>
      </c>
      <c r="K335" s="29">
        <f>IFERROR(J335*D335,0)</f>
      </c>
      <c r="L335" s="29">
        <f>IFERROR(E335*C335,0)</f>
      </c>
      <c r="M335" s="29">
        <f>IFERROR((G335*H335*I335/1000000)*D335,0)</f>
      </c>
    </row>
    <row r="336" spans="1:13" x14ac:dyDescent="0.25">
      <c r="A336" s="16"/>
      <c r="E336" s="27"/>
      <c r="F336" t="s">
        <v>26</v>
      </c>
      <c r="G336" s="28">
        <f>IFERROR(VLOOKUP(F336,CARTON_LOOKUP!$A:$E,3,0),"")</f>
      </c>
      <c r="H336" s="28">
        <f>IFERROR(VLOOKUP(F336,CARTON_LOOKUP!$A:$E,4,0),"")</f>
      </c>
      <c r="I336" s="28">
        <f>IFERROR(VLOOKUP(F336,CARTON_LOOKUP!$A:$E,5,0),"")</f>
      </c>
      <c r="J336" s="29">
        <f>IFERROR(VLOOKUP(F336,CARTON_LOOKUP!$A:$E,2,0),"")</f>
      </c>
      <c r="K336" s="29">
        <f>IFERROR(J336*D336,0)</f>
      </c>
      <c r="L336" s="29">
        <f>IFERROR(E336*C336,0)</f>
      </c>
      <c r="M336" s="29">
        <f>IFERROR((G336*H336*I336/1000000)*D336,0)</f>
      </c>
    </row>
    <row r="337" spans="1:13" x14ac:dyDescent="0.25">
      <c r="A337" s="16"/>
      <c r="E337" s="27"/>
      <c r="F337" t="s">
        <v>26</v>
      </c>
      <c r="G337" s="28">
        <f>IFERROR(VLOOKUP(F337,CARTON_LOOKUP!$A:$E,3,0),"")</f>
      </c>
      <c r="H337" s="28">
        <f>IFERROR(VLOOKUP(F337,CARTON_LOOKUP!$A:$E,4,0),"")</f>
      </c>
      <c r="I337" s="28">
        <f>IFERROR(VLOOKUP(F337,CARTON_LOOKUP!$A:$E,5,0),"")</f>
      </c>
      <c r="J337" s="29">
        <f>IFERROR(VLOOKUP(F337,CARTON_LOOKUP!$A:$E,2,0),"")</f>
      </c>
      <c r="K337" s="29">
        <f>IFERROR(J337*D337,0)</f>
      </c>
      <c r="L337" s="29">
        <f>IFERROR(E337*C337,0)</f>
      </c>
      <c r="M337" s="29">
        <f>IFERROR((G337*H337*I337/1000000)*D337,0)</f>
      </c>
    </row>
    <row r="338" spans="1:13" x14ac:dyDescent="0.25">
      <c r="A338" s="16"/>
      <c r="E338" s="27"/>
      <c r="F338" t="s">
        <v>26</v>
      </c>
      <c r="G338" s="28">
        <f>IFERROR(VLOOKUP(F338,CARTON_LOOKUP!$A:$E,3,0),"")</f>
      </c>
      <c r="H338" s="28">
        <f>IFERROR(VLOOKUP(F338,CARTON_LOOKUP!$A:$E,4,0),"")</f>
      </c>
      <c r="I338" s="28">
        <f>IFERROR(VLOOKUP(F338,CARTON_LOOKUP!$A:$E,5,0),"")</f>
      </c>
      <c r="J338" s="29">
        <f>IFERROR(VLOOKUP(F338,CARTON_LOOKUP!$A:$E,2,0),"")</f>
      </c>
      <c r="K338" s="29">
        <f>IFERROR(J338*D338,0)</f>
      </c>
      <c r="L338" s="29">
        <f>IFERROR(E338*C338,0)</f>
      </c>
      <c r="M338" s="29">
        <f>IFERROR((G338*H338*I338/1000000)*D338,0)</f>
      </c>
    </row>
    <row r="339" spans="1:13" x14ac:dyDescent="0.25">
      <c r="A339" s="16"/>
      <c r="E339" s="27"/>
      <c r="F339" t="s">
        <v>26</v>
      </c>
      <c r="G339" s="28">
        <f>IFERROR(VLOOKUP(F339,CARTON_LOOKUP!$A:$E,3,0),"")</f>
      </c>
      <c r="H339" s="28">
        <f>IFERROR(VLOOKUP(F339,CARTON_LOOKUP!$A:$E,4,0),"")</f>
      </c>
      <c r="I339" s="28">
        <f>IFERROR(VLOOKUP(F339,CARTON_LOOKUP!$A:$E,5,0),"")</f>
      </c>
      <c r="J339" s="29">
        <f>IFERROR(VLOOKUP(F339,CARTON_LOOKUP!$A:$E,2,0),"")</f>
      </c>
      <c r="K339" s="29">
        <f>IFERROR(J339*D339,0)</f>
      </c>
      <c r="L339" s="29">
        <f>IFERROR(E339*C339,0)</f>
      </c>
      <c r="M339" s="29">
        <f>IFERROR((G339*H339*I339/1000000)*D339,0)</f>
      </c>
    </row>
    <row r="340" spans="1:13" x14ac:dyDescent="0.25">
      <c r="A340" s="16"/>
      <c r="E340" s="27"/>
      <c r="F340" t="s">
        <v>26</v>
      </c>
      <c r="G340" s="28">
        <f>IFERROR(VLOOKUP(F340,CARTON_LOOKUP!$A:$E,3,0),"")</f>
      </c>
      <c r="H340" s="28">
        <f>IFERROR(VLOOKUP(F340,CARTON_LOOKUP!$A:$E,4,0),"")</f>
      </c>
      <c r="I340" s="28">
        <f>IFERROR(VLOOKUP(F340,CARTON_LOOKUP!$A:$E,5,0),"")</f>
      </c>
      <c r="J340" s="29">
        <f>IFERROR(VLOOKUP(F340,CARTON_LOOKUP!$A:$E,2,0),"")</f>
      </c>
      <c r="K340" s="29">
        <f>IFERROR(J340*D340,0)</f>
      </c>
      <c r="L340" s="29">
        <f>IFERROR(E340*C340,0)</f>
      </c>
      <c r="M340" s="29">
        <f>IFERROR((G340*H340*I340/1000000)*D340,0)</f>
      </c>
    </row>
    <row r="341" spans="1:13" x14ac:dyDescent="0.25">
      <c r="A341" s="16"/>
      <c r="E341" s="27"/>
      <c r="F341" t="s">
        <v>26</v>
      </c>
      <c r="G341" s="28">
        <f>IFERROR(VLOOKUP(F341,CARTON_LOOKUP!$A:$E,3,0),"")</f>
      </c>
      <c r="H341" s="28">
        <f>IFERROR(VLOOKUP(F341,CARTON_LOOKUP!$A:$E,4,0),"")</f>
      </c>
      <c r="I341" s="28">
        <f>IFERROR(VLOOKUP(F341,CARTON_LOOKUP!$A:$E,5,0),"")</f>
      </c>
      <c r="J341" s="29">
        <f>IFERROR(VLOOKUP(F341,CARTON_LOOKUP!$A:$E,2,0),"")</f>
      </c>
      <c r="K341" s="29">
        <f>IFERROR(J341*D341,0)</f>
      </c>
      <c r="L341" s="29">
        <f>IFERROR(E341*C341,0)</f>
      </c>
      <c r="M341" s="29">
        <f>IFERROR((G341*H341*I341/1000000)*D341,0)</f>
      </c>
    </row>
    <row r="342" spans="1:13" x14ac:dyDescent="0.25">
      <c r="A342" s="16"/>
      <c r="E342" s="27"/>
      <c r="F342" t="s">
        <v>26</v>
      </c>
      <c r="G342" s="28">
        <f>IFERROR(VLOOKUP(F342,CARTON_LOOKUP!$A:$E,3,0),"")</f>
      </c>
      <c r="H342" s="28">
        <f>IFERROR(VLOOKUP(F342,CARTON_LOOKUP!$A:$E,4,0),"")</f>
      </c>
      <c r="I342" s="28">
        <f>IFERROR(VLOOKUP(F342,CARTON_LOOKUP!$A:$E,5,0),"")</f>
      </c>
      <c r="J342" s="29">
        <f>IFERROR(VLOOKUP(F342,CARTON_LOOKUP!$A:$E,2,0),"")</f>
      </c>
      <c r="K342" s="29">
        <f>IFERROR(J342*D342,0)</f>
      </c>
      <c r="L342" s="29">
        <f>IFERROR(E342*C342,0)</f>
      </c>
      <c r="M342" s="29">
        <f>IFERROR((G342*H342*I342/1000000)*D342,0)</f>
      </c>
    </row>
    <row r="343" spans="1:13" x14ac:dyDescent="0.25">
      <c r="A343" s="16"/>
      <c r="E343" s="27"/>
      <c r="F343" t="s">
        <v>26</v>
      </c>
      <c r="G343" s="28">
        <f>IFERROR(VLOOKUP(F343,CARTON_LOOKUP!$A:$E,3,0),"")</f>
      </c>
      <c r="H343" s="28">
        <f>IFERROR(VLOOKUP(F343,CARTON_LOOKUP!$A:$E,4,0),"")</f>
      </c>
      <c r="I343" s="28">
        <f>IFERROR(VLOOKUP(F343,CARTON_LOOKUP!$A:$E,5,0),"")</f>
      </c>
      <c r="J343" s="29">
        <f>IFERROR(VLOOKUP(F343,CARTON_LOOKUP!$A:$E,2,0),"")</f>
      </c>
      <c r="K343" s="29">
        <f>IFERROR(J343*D343,0)</f>
      </c>
      <c r="L343" s="29">
        <f>IFERROR(E343*C343,0)</f>
      </c>
      <c r="M343" s="29">
        <f>IFERROR((G343*H343*I343/1000000)*D343,0)</f>
      </c>
    </row>
    <row r="344" spans="1:13" x14ac:dyDescent="0.25">
      <c r="A344" s="16"/>
      <c r="E344" s="27"/>
      <c r="F344" t="s">
        <v>26</v>
      </c>
      <c r="G344" s="28">
        <f>IFERROR(VLOOKUP(F344,CARTON_LOOKUP!$A:$E,3,0),"")</f>
      </c>
      <c r="H344" s="28">
        <f>IFERROR(VLOOKUP(F344,CARTON_LOOKUP!$A:$E,4,0),"")</f>
      </c>
      <c r="I344" s="28">
        <f>IFERROR(VLOOKUP(F344,CARTON_LOOKUP!$A:$E,5,0),"")</f>
      </c>
      <c r="J344" s="29">
        <f>IFERROR(VLOOKUP(F344,CARTON_LOOKUP!$A:$E,2,0),"")</f>
      </c>
      <c r="K344" s="29">
        <f>IFERROR(J344*D344,0)</f>
      </c>
      <c r="L344" s="29">
        <f>IFERROR(E344*C344,0)</f>
      </c>
      <c r="M344" s="29">
        <f>IFERROR((G344*H344*I344/1000000)*D344,0)</f>
      </c>
    </row>
    <row r="345" spans="1:13" x14ac:dyDescent="0.25">
      <c r="A345" s="16"/>
      <c r="E345" s="27"/>
      <c r="F345" t="s">
        <v>26</v>
      </c>
      <c r="G345" s="28">
        <f>IFERROR(VLOOKUP(F345,CARTON_LOOKUP!$A:$E,3,0),"")</f>
      </c>
      <c r="H345" s="28">
        <f>IFERROR(VLOOKUP(F345,CARTON_LOOKUP!$A:$E,4,0),"")</f>
      </c>
      <c r="I345" s="28">
        <f>IFERROR(VLOOKUP(F345,CARTON_LOOKUP!$A:$E,5,0),"")</f>
      </c>
      <c r="J345" s="29">
        <f>IFERROR(VLOOKUP(F345,CARTON_LOOKUP!$A:$E,2,0),"")</f>
      </c>
      <c r="K345" s="29">
        <f>IFERROR(J345*D345,0)</f>
      </c>
      <c r="L345" s="29">
        <f>IFERROR(E345*C345,0)</f>
      </c>
      <c r="M345" s="29">
        <f>IFERROR((G345*H345*I345/1000000)*D345,0)</f>
      </c>
    </row>
    <row r="346" spans="1:13" x14ac:dyDescent="0.25">
      <c r="A346" s="16"/>
      <c r="E346" s="27"/>
      <c r="F346" t="s">
        <v>26</v>
      </c>
      <c r="G346" s="28">
        <f>IFERROR(VLOOKUP(F346,CARTON_LOOKUP!$A:$E,3,0),"")</f>
      </c>
      <c r="H346" s="28">
        <f>IFERROR(VLOOKUP(F346,CARTON_LOOKUP!$A:$E,4,0),"")</f>
      </c>
      <c r="I346" s="28">
        <f>IFERROR(VLOOKUP(F346,CARTON_LOOKUP!$A:$E,5,0),"")</f>
      </c>
      <c r="J346" s="29">
        <f>IFERROR(VLOOKUP(F346,CARTON_LOOKUP!$A:$E,2,0),"")</f>
      </c>
      <c r="K346" s="29">
        <f>IFERROR(J346*D346,0)</f>
      </c>
      <c r="L346" s="29">
        <f>IFERROR(E346*C346,0)</f>
      </c>
      <c r="M346" s="29">
        <f>IFERROR((G346*H346*I346/1000000)*D346,0)</f>
      </c>
    </row>
    <row r="347" spans="1:13" x14ac:dyDescent="0.25">
      <c r="A347" s="16"/>
      <c r="E347" s="27"/>
      <c r="F347" t="s">
        <v>26</v>
      </c>
      <c r="G347" s="28">
        <f>IFERROR(VLOOKUP(F347,CARTON_LOOKUP!$A:$E,3,0),"")</f>
      </c>
      <c r="H347" s="28">
        <f>IFERROR(VLOOKUP(F347,CARTON_LOOKUP!$A:$E,4,0),"")</f>
      </c>
      <c r="I347" s="28">
        <f>IFERROR(VLOOKUP(F347,CARTON_LOOKUP!$A:$E,5,0),"")</f>
      </c>
      <c r="J347" s="29">
        <f>IFERROR(VLOOKUP(F347,CARTON_LOOKUP!$A:$E,2,0),"")</f>
      </c>
      <c r="K347" s="29">
        <f>IFERROR(J347*D347,0)</f>
      </c>
      <c r="L347" s="29">
        <f>IFERROR(E347*C347,0)</f>
      </c>
      <c r="M347" s="29">
        <f>IFERROR((G347*H347*I347/1000000)*D347,0)</f>
      </c>
    </row>
    <row r="348" spans="1:13" x14ac:dyDescent="0.25">
      <c r="A348" s="16"/>
      <c r="E348" s="27"/>
      <c r="F348" t="s">
        <v>26</v>
      </c>
      <c r="G348" s="28">
        <f>IFERROR(VLOOKUP(F348,CARTON_LOOKUP!$A:$E,3,0),"")</f>
      </c>
      <c r="H348" s="28">
        <f>IFERROR(VLOOKUP(F348,CARTON_LOOKUP!$A:$E,4,0),"")</f>
      </c>
      <c r="I348" s="28">
        <f>IFERROR(VLOOKUP(F348,CARTON_LOOKUP!$A:$E,5,0),"")</f>
      </c>
      <c r="J348" s="29">
        <f>IFERROR(VLOOKUP(F348,CARTON_LOOKUP!$A:$E,2,0),"")</f>
      </c>
      <c r="K348" s="29">
        <f>IFERROR(J348*D348,0)</f>
      </c>
      <c r="L348" s="29">
        <f>IFERROR(E348*C348,0)</f>
      </c>
      <c r="M348" s="29">
        <f>IFERROR((G348*H348*I348/1000000)*D348,0)</f>
      </c>
    </row>
    <row r="349" spans="1:13" x14ac:dyDescent="0.25">
      <c r="A349" s="16"/>
      <c r="E349" s="27"/>
      <c r="F349" t="s">
        <v>26</v>
      </c>
      <c r="G349" s="28">
        <f>IFERROR(VLOOKUP(F349,CARTON_LOOKUP!$A:$E,3,0),"")</f>
      </c>
      <c r="H349" s="28">
        <f>IFERROR(VLOOKUP(F349,CARTON_LOOKUP!$A:$E,4,0),"")</f>
      </c>
      <c r="I349" s="28">
        <f>IFERROR(VLOOKUP(F349,CARTON_LOOKUP!$A:$E,5,0),"")</f>
      </c>
      <c r="J349" s="29">
        <f>IFERROR(VLOOKUP(F349,CARTON_LOOKUP!$A:$E,2,0),"")</f>
      </c>
      <c r="K349" s="29">
        <f>IFERROR(J349*D349,0)</f>
      </c>
      <c r="L349" s="29">
        <f>IFERROR(E349*C349,0)</f>
      </c>
      <c r="M349" s="29">
        <f>IFERROR((G349*H349*I349/1000000)*D349,0)</f>
      </c>
    </row>
    <row r="350" spans="1:13" x14ac:dyDescent="0.25">
      <c r="A350" s="16"/>
      <c r="E350" s="27"/>
      <c r="F350" t="s">
        <v>26</v>
      </c>
      <c r="G350" s="28">
        <f>IFERROR(VLOOKUP(F350,CARTON_LOOKUP!$A:$E,3,0),"")</f>
      </c>
      <c r="H350" s="28">
        <f>IFERROR(VLOOKUP(F350,CARTON_LOOKUP!$A:$E,4,0),"")</f>
      </c>
      <c r="I350" s="28">
        <f>IFERROR(VLOOKUP(F350,CARTON_LOOKUP!$A:$E,5,0),"")</f>
      </c>
      <c r="J350" s="29">
        <f>IFERROR(VLOOKUP(F350,CARTON_LOOKUP!$A:$E,2,0),"")</f>
      </c>
      <c r="K350" s="29">
        <f>IFERROR(J350*D350,0)</f>
      </c>
      <c r="L350" s="29">
        <f>IFERROR(E350*C350,0)</f>
      </c>
      <c r="M350" s="29">
        <f>IFERROR((G350*H350*I350/1000000)*D350,0)</f>
      </c>
    </row>
    <row r="351" spans="1:13" x14ac:dyDescent="0.25">
      <c r="A351" s="16"/>
      <c r="E351" s="27"/>
      <c r="F351" t="s">
        <v>26</v>
      </c>
      <c r="G351" s="28">
        <f>IFERROR(VLOOKUP(F351,CARTON_LOOKUP!$A:$E,3,0),"")</f>
      </c>
      <c r="H351" s="28">
        <f>IFERROR(VLOOKUP(F351,CARTON_LOOKUP!$A:$E,4,0),"")</f>
      </c>
      <c r="I351" s="28">
        <f>IFERROR(VLOOKUP(F351,CARTON_LOOKUP!$A:$E,5,0),"")</f>
      </c>
      <c r="J351" s="29">
        <f>IFERROR(VLOOKUP(F351,CARTON_LOOKUP!$A:$E,2,0),"")</f>
      </c>
      <c r="K351" s="29">
        <f>IFERROR(J351*D351,0)</f>
      </c>
      <c r="L351" s="29">
        <f>IFERROR(E351*C351,0)</f>
      </c>
      <c r="M351" s="29">
        <f>IFERROR((G351*H351*I351/1000000)*D351,0)</f>
      </c>
    </row>
    <row r="352" spans="1:13" x14ac:dyDescent="0.25">
      <c r="A352" s="16"/>
      <c r="E352" s="27"/>
      <c r="F352" t="s">
        <v>26</v>
      </c>
      <c r="G352" s="28">
        <f>IFERROR(VLOOKUP(F352,CARTON_LOOKUP!$A:$E,3,0),"")</f>
      </c>
      <c r="H352" s="28">
        <f>IFERROR(VLOOKUP(F352,CARTON_LOOKUP!$A:$E,4,0),"")</f>
      </c>
      <c r="I352" s="28">
        <f>IFERROR(VLOOKUP(F352,CARTON_LOOKUP!$A:$E,5,0),"")</f>
      </c>
      <c r="J352" s="29">
        <f>IFERROR(VLOOKUP(F352,CARTON_LOOKUP!$A:$E,2,0),"")</f>
      </c>
      <c r="K352" s="29">
        <f>IFERROR(J352*D352,0)</f>
      </c>
      <c r="L352" s="29">
        <f>IFERROR(E352*C352,0)</f>
      </c>
      <c r="M352" s="29">
        <f>IFERROR((G352*H352*I352/1000000)*D352,0)</f>
      </c>
    </row>
    <row r="353" spans="1:13" x14ac:dyDescent="0.25">
      <c r="A353" s="16"/>
      <c r="E353" s="27"/>
      <c r="F353" t="s">
        <v>26</v>
      </c>
      <c r="G353" s="28">
        <f>IFERROR(VLOOKUP(F353,CARTON_LOOKUP!$A:$E,3,0),"")</f>
      </c>
      <c r="H353" s="28">
        <f>IFERROR(VLOOKUP(F353,CARTON_LOOKUP!$A:$E,4,0),"")</f>
      </c>
      <c r="I353" s="28">
        <f>IFERROR(VLOOKUP(F353,CARTON_LOOKUP!$A:$E,5,0),"")</f>
      </c>
      <c r="J353" s="29">
        <f>IFERROR(VLOOKUP(F353,CARTON_LOOKUP!$A:$E,2,0),"")</f>
      </c>
      <c r="K353" s="29">
        <f>IFERROR(J353*D353,0)</f>
      </c>
      <c r="L353" s="29">
        <f>IFERROR(E353*C353,0)</f>
      </c>
      <c r="M353" s="29">
        <f>IFERROR((G353*H353*I353/1000000)*D353,0)</f>
      </c>
    </row>
    <row r="354" spans="1:13" x14ac:dyDescent="0.25">
      <c r="A354" s="16"/>
      <c r="E354" s="27"/>
      <c r="F354" t="s">
        <v>26</v>
      </c>
      <c r="G354" s="28">
        <f>IFERROR(VLOOKUP(F354,CARTON_LOOKUP!$A:$E,3,0),"")</f>
      </c>
      <c r="H354" s="28">
        <f>IFERROR(VLOOKUP(F354,CARTON_LOOKUP!$A:$E,4,0),"")</f>
      </c>
      <c r="I354" s="28">
        <f>IFERROR(VLOOKUP(F354,CARTON_LOOKUP!$A:$E,5,0),"")</f>
      </c>
      <c r="J354" s="29">
        <f>IFERROR(VLOOKUP(F354,CARTON_LOOKUP!$A:$E,2,0),"")</f>
      </c>
      <c r="K354" s="29">
        <f>IFERROR(J354*D354,0)</f>
      </c>
      <c r="L354" s="29">
        <f>IFERROR(E354*C354,0)</f>
      </c>
      <c r="M354" s="29">
        <f>IFERROR((G354*H354*I354/1000000)*D354,0)</f>
      </c>
    </row>
    <row r="355" spans="1:13" x14ac:dyDescent="0.25">
      <c r="A355" s="16"/>
      <c r="E355" s="27"/>
      <c r="F355" t="s">
        <v>26</v>
      </c>
      <c r="G355" s="28">
        <f>IFERROR(VLOOKUP(F355,CARTON_LOOKUP!$A:$E,3,0),"")</f>
      </c>
      <c r="H355" s="28">
        <f>IFERROR(VLOOKUP(F355,CARTON_LOOKUP!$A:$E,4,0),"")</f>
      </c>
      <c r="I355" s="28">
        <f>IFERROR(VLOOKUP(F355,CARTON_LOOKUP!$A:$E,5,0),"")</f>
      </c>
      <c r="J355" s="29">
        <f>IFERROR(VLOOKUP(F355,CARTON_LOOKUP!$A:$E,2,0),"")</f>
      </c>
      <c r="K355" s="29">
        <f>IFERROR(J355*D355,0)</f>
      </c>
      <c r="L355" s="29">
        <f>IFERROR(E355*C355,0)</f>
      </c>
      <c r="M355" s="29">
        <f>IFERROR((G355*H355*I355/1000000)*D355,0)</f>
      </c>
    </row>
    <row r="356" spans="1:13" x14ac:dyDescent="0.25">
      <c r="A356" s="16"/>
      <c r="E356" s="27"/>
      <c r="F356" t="s">
        <v>26</v>
      </c>
      <c r="G356" s="28">
        <f>IFERROR(VLOOKUP(F356,CARTON_LOOKUP!$A:$E,3,0),"")</f>
      </c>
      <c r="H356" s="28">
        <f>IFERROR(VLOOKUP(F356,CARTON_LOOKUP!$A:$E,4,0),"")</f>
      </c>
      <c r="I356" s="28">
        <f>IFERROR(VLOOKUP(F356,CARTON_LOOKUP!$A:$E,5,0),"")</f>
      </c>
      <c r="J356" s="29">
        <f>IFERROR(VLOOKUP(F356,CARTON_LOOKUP!$A:$E,2,0),"")</f>
      </c>
      <c r="K356" s="29">
        <f>IFERROR(J356*D356,0)</f>
      </c>
      <c r="L356" s="29">
        <f>IFERROR(E356*C356,0)</f>
      </c>
      <c r="M356" s="29">
        <f>IFERROR((G356*H356*I356/1000000)*D356,0)</f>
      </c>
    </row>
    <row r="357" spans="1:13" x14ac:dyDescent="0.25">
      <c r="A357" s="16"/>
      <c r="E357" s="27"/>
      <c r="F357" t="s">
        <v>26</v>
      </c>
      <c r="G357" s="28">
        <f>IFERROR(VLOOKUP(F357,CARTON_LOOKUP!$A:$E,3,0),"")</f>
      </c>
      <c r="H357" s="28">
        <f>IFERROR(VLOOKUP(F357,CARTON_LOOKUP!$A:$E,4,0),"")</f>
      </c>
      <c r="I357" s="28">
        <f>IFERROR(VLOOKUP(F357,CARTON_LOOKUP!$A:$E,5,0),"")</f>
      </c>
      <c r="J357" s="29">
        <f>IFERROR(VLOOKUP(F357,CARTON_LOOKUP!$A:$E,2,0),"")</f>
      </c>
      <c r="K357" s="29">
        <f>IFERROR(J357*D357,0)</f>
      </c>
      <c r="L357" s="29">
        <f>IFERROR(E357*C357,0)</f>
      </c>
      <c r="M357" s="29">
        <f>IFERROR((G357*H357*I357/1000000)*D357,0)</f>
      </c>
    </row>
    <row r="358" spans="1:13" x14ac:dyDescent="0.25">
      <c r="A358" s="16"/>
      <c r="E358" s="27"/>
      <c r="F358" t="s">
        <v>26</v>
      </c>
      <c r="G358" s="28">
        <f>IFERROR(VLOOKUP(F358,CARTON_LOOKUP!$A:$E,3,0),"")</f>
      </c>
      <c r="H358" s="28">
        <f>IFERROR(VLOOKUP(F358,CARTON_LOOKUP!$A:$E,4,0),"")</f>
      </c>
      <c r="I358" s="28">
        <f>IFERROR(VLOOKUP(F358,CARTON_LOOKUP!$A:$E,5,0),"")</f>
      </c>
      <c r="J358" s="29">
        <f>IFERROR(VLOOKUP(F358,CARTON_LOOKUP!$A:$E,2,0),"")</f>
      </c>
      <c r="K358" s="29">
        <f>IFERROR(J358*D358,0)</f>
      </c>
      <c r="L358" s="29">
        <f>IFERROR(E358*C358,0)</f>
      </c>
      <c r="M358" s="29">
        <f>IFERROR((G358*H358*I358/1000000)*D358,0)</f>
      </c>
    </row>
    <row r="359" spans="1:13" x14ac:dyDescent="0.25">
      <c r="A359" s="16"/>
      <c r="E359" s="27"/>
      <c r="F359" t="s">
        <v>26</v>
      </c>
      <c r="G359" s="28">
        <f>IFERROR(VLOOKUP(F359,CARTON_LOOKUP!$A:$E,3,0),"")</f>
      </c>
      <c r="H359" s="28">
        <f>IFERROR(VLOOKUP(F359,CARTON_LOOKUP!$A:$E,4,0),"")</f>
      </c>
      <c r="I359" s="28">
        <f>IFERROR(VLOOKUP(F359,CARTON_LOOKUP!$A:$E,5,0),"")</f>
      </c>
      <c r="J359" s="29">
        <f>IFERROR(VLOOKUP(F359,CARTON_LOOKUP!$A:$E,2,0),"")</f>
      </c>
      <c r="K359" s="29">
        <f>IFERROR(J359*D359,0)</f>
      </c>
      <c r="L359" s="29">
        <f>IFERROR(E359*C359,0)</f>
      </c>
      <c r="M359" s="29">
        <f>IFERROR((G359*H359*I359/1000000)*D359,0)</f>
      </c>
    </row>
    <row r="360" spans="1:13" x14ac:dyDescent="0.25">
      <c r="A360" s="16"/>
      <c r="E360" s="27"/>
      <c r="F360" t="s">
        <v>26</v>
      </c>
      <c r="G360" s="28">
        <f>IFERROR(VLOOKUP(F360,CARTON_LOOKUP!$A:$E,3,0),"")</f>
      </c>
      <c r="H360" s="28">
        <f>IFERROR(VLOOKUP(F360,CARTON_LOOKUP!$A:$E,4,0),"")</f>
      </c>
      <c r="I360" s="28">
        <f>IFERROR(VLOOKUP(F360,CARTON_LOOKUP!$A:$E,5,0),"")</f>
      </c>
      <c r="J360" s="29">
        <f>IFERROR(VLOOKUP(F360,CARTON_LOOKUP!$A:$E,2,0),"")</f>
      </c>
      <c r="K360" s="29">
        <f>IFERROR(J360*D360,0)</f>
      </c>
      <c r="L360" s="29">
        <f>IFERROR(E360*C360,0)</f>
      </c>
      <c r="M360" s="29">
        <f>IFERROR((G360*H360*I360/1000000)*D360,0)</f>
      </c>
    </row>
    <row r="361" spans="1:13" x14ac:dyDescent="0.25">
      <c r="A361" s="16"/>
      <c r="E361" s="27"/>
      <c r="F361" t="s">
        <v>26</v>
      </c>
      <c r="G361" s="28">
        <f>IFERROR(VLOOKUP(F361,CARTON_LOOKUP!$A:$E,3,0),"")</f>
      </c>
      <c r="H361" s="28">
        <f>IFERROR(VLOOKUP(F361,CARTON_LOOKUP!$A:$E,4,0),"")</f>
      </c>
      <c r="I361" s="28">
        <f>IFERROR(VLOOKUP(F361,CARTON_LOOKUP!$A:$E,5,0),"")</f>
      </c>
      <c r="J361" s="29">
        <f>IFERROR(VLOOKUP(F361,CARTON_LOOKUP!$A:$E,2,0),"")</f>
      </c>
      <c r="K361" s="29">
        <f>IFERROR(J361*D361,0)</f>
      </c>
      <c r="L361" s="29">
        <f>IFERROR(E361*C361,0)</f>
      </c>
      <c r="M361" s="29">
        <f>IFERROR((G361*H361*I361/1000000)*D361,0)</f>
      </c>
    </row>
    <row r="362" spans="1:13" x14ac:dyDescent="0.25">
      <c r="A362" s="16"/>
      <c r="E362" s="27"/>
      <c r="F362" t="s">
        <v>26</v>
      </c>
      <c r="G362" s="28">
        <f>IFERROR(VLOOKUP(F362,CARTON_LOOKUP!$A:$E,3,0),"")</f>
      </c>
      <c r="H362" s="28">
        <f>IFERROR(VLOOKUP(F362,CARTON_LOOKUP!$A:$E,4,0),"")</f>
      </c>
      <c r="I362" s="28">
        <f>IFERROR(VLOOKUP(F362,CARTON_LOOKUP!$A:$E,5,0),"")</f>
      </c>
      <c r="J362" s="29">
        <f>IFERROR(VLOOKUP(F362,CARTON_LOOKUP!$A:$E,2,0),"")</f>
      </c>
      <c r="K362" s="29">
        <f>IFERROR(J362*D362,0)</f>
      </c>
      <c r="L362" s="29">
        <f>IFERROR(E362*C362,0)</f>
      </c>
      <c r="M362" s="29">
        <f>IFERROR((G362*H362*I362/1000000)*D362,0)</f>
      </c>
    </row>
    <row r="363" spans="1:13" x14ac:dyDescent="0.25">
      <c r="A363" s="16"/>
      <c r="E363" s="27"/>
      <c r="F363" t="s">
        <v>26</v>
      </c>
      <c r="G363" s="28">
        <f>IFERROR(VLOOKUP(F363,CARTON_LOOKUP!$A:$E,3,0),"")</f>
      </c>
      <c r="H363" s="28">
        <f>IFERROR(VLOOKUP(F363,CARTON_LOOKUP!$A:$E,4,0),"")</f>
      </c>
      <c r="I363" s="28">
        <f>IFERROR(VLOOKUP(F363,CARTON_LOOKUP!$A:$E,5,0),"")</f>
      </c>
      <c r="J363" s="29">
        <f>IFERROR(VLOOKUP(F363,CARTON_LOOKUP!$A:$E,2,0),"")</f>
      </c>
      <c r="K363" s="29">
        <f>IFERROR(J363*D363,0)</f>
      </c>
      <c r="L363" s="29">
        <f>IFERROR(E363*C363,0)</f>
      </c>
      <c r="M363" s="29">
        <f>IFERROR((G363*H363*I363/1000000)*D363,0)</f>
      </c>
    </row>
    <row r="364" spans="1:13" x14ac:dyDescent="0.25">
      <c r="A364" s="16"/>
      <c r="E364" s="27"/>
      <c r="F364" t="s">
        <v>26</v>
      </c>
      <c r="G364" s="28">
        <f>IFERROR(VLOOKUP(F364,CARTON_LOOKUP!$A:$E,3,0),"")</f>
      </c>
      <c r="H364" s="28">
        <f>IFERROR(VLOOKUP(F364,CARTON_LOOKUP!$A:$E,4,0),"")</f>
      </c>
      <c r="I364" s="28">
        <f>IFERROR(VLOOKUP(F364,CARTON_LOOKUP!$A:$E,5,0),"")</f>
      </c>
      <c r="J364" s="29">
        <f>IFERROR(VLOOKUP(F364,CARTON_LOOKUP!$A:$E,2,0),"")</f>
      </c>
      <c r="K364" s="29">
        <f>IFERROR(J364*D364,0)</f>
      </c>
      <c r="L364" s="29">
        <f>IFERROR(E364*C364,0)</f>
      </c>
      <c r="M364" s="29">
        <f>IFERROR((G364*H364*I364/1000000)*D364,0)</f>
      </c>
    </row>
    <row r="365" spans="1:13" x14ac:dyDescent="0.25">
      <c r="A365" s="16"/>
      <c r="E365" s="27"/>
      <c r="F365" t="s">
        <v>26</v>
      </c>
      <c r="G365" s="28">
        <f>IFERROR(VLOOKUP(F365,CARTON_LOOKUP!$A:$E,3,0),"")</f>
      </c>
      <c r="H365" s="28">
        <f>IFERROR(VLOOKUP(F365,CARTON_LOOKUP!$A:$E,4,0),"")</f>
      </c>
      <c r="I365" s="28">
        <f>IFERROR(VLOOKUP(F365,CARTON_LOOKUP!$A:$E,5,0),"")</f>
      </c>
      <c r="J365" s="29">
        <f>IFERROR(VLOOKUP(F365,CARTON_LOOKUP!$A:$E,2,0),"")</f>
      </c>
      <c r="K365" s="29">
        <f>IFERROR(J365*D365,0)</f>
      </c>
      <c r="L365" s="29">
        <f>IFERROR(E365*C365,0)</f>
      </c>
      <c r="M365" s="29">
        <f>IFERROR((G365*H365*I365/1000000)*D365,0)</f>
      </c>
    </row>
    <row r="366" spans="1:13" x14ac:dyDescent="0.25">
      <c r="A366" s="16"/>
      <c r="E366" s="27"/>
      <c r="F366" t="s">
        <v>26</v>
      </c>
      <c r="G366" s="28">
        <f>IFERROR(VLOOKUP(F366,CARTON_LOOKUP!$A:$E,3,0),"")</f>
      </c>
      <c r="H366" s="28">
        <f>IFERROR(VLOOKUP(F366,CARTON_LOOKUP!$A:$E,4,0),"")</f>
      </c>
      <c r="I366" s="28">
        <f>IFERROR(VLOOKUP(F366,CARTON_LOOKUP!$A:$E,5,0),"")</f>
      </c>
      <c r="J366" s="29">
        <f>IFERROR(VLOOKUP(F366,CARTON_LOOKUP!$A:$E,2,0),"")</f>
      </c>
      <c r="K366" s="29">
        <f>IFERROR(J366*D366,0)</f>
      </c>
      <c r="L366" s="29">
        <f>IFERROR(E366*C366,0)</f>
      </c>
      <c r="M366" s="29">
        <f>IFERROR((G366*H366*I366/1000000)*D366,0)</f>
      </c>
    </row>
    <row r="367" spans="1:13" x14ac:dyDescent="0.25">
      <c r="A367" s="16"/>
      <c r="E367" s="27"/>
      <c r="F367" t="s">
        <v>26</v>
      </c>
      <c r="G367" s="28">
        <f>IFERROR(VLOOKUP(F367,CARTON_LOOKUP!$A:$E,3,0),"")</f>
      </c>
      <c r="H367" s="28">
        <f>IFERROR(VLOOKUP(F367,CARTON_LOOKUP!$A:$E,4,0),"")</f>
      </c>
      <c r="I367" s="28">
        <f>IFERROR(VLOOKUP(F367,CARTON_LOOKUP!$A:$E,5,0),"")</f>
      </c>
      <c r="J367" s="29">
        <f>IFERROR(VLOOKUP(F367,CARTON_LOOKUP!$A:$E,2,0),"")</f>
      </c>
      <c r="K367" s="29">
        <f>IFERROR(J367*D367,0)</f>
      </c>
      <c r="L367" s="29">
        <f>IFERROR(E367*C367,0)</f>
      </c>
      <c r="M367" s="29">
        <f>IFERROR((G367*H367*I367/1000000)*D367,0)</f>
      </c>
    </row>
    <row r="368" spans="1:13" x14ac:dyDescent="0.25">
      <c r="A368" s="16"/>
      <c r="E368" s="27"/>
      <c r="F368" t="s">
        <v>26</v>
      </c>
      <c r="G368" s="28">
        <f>IFERROR(VLOOKUP(F368,CARTON_LOOKUP!$A:$E,3,0),"")</f>
      </c>
      <c r="H368" s="28">
        <f>IFERROR(VLOOKUP(F368,CARTON_LOOKUP!$A:$E,4,0),"")</f>
      </c>
      <c r="I368" s="28">
        <f>IFERROR(VLOOKUP(F368,CARTON_LOOKUP!$A:$E,5,0),"")</f>
      </c>
      <c r="J368" s="29">
        <f>IFERROR(VLOOKUP(F368,CARTON_LOOKUP!$A:$E,2,0),"")</f>
      </c>
      <c r="K368" s="29">
        <f>IFERROR(J368*D368,0)</f>
      </c>
      <c r="L368" s="29">
        <f>IFERROR(E368*C368,0)</f>
      </c>
      <c r="M368" s="29">
        <f>IFERROR((G368*H368*I368/1000000)*D368,0)</f>
      </c>
    </row>
    <row r="369" spans="1:13" x14ac:dyDescent="0.25">
      <c r="A369" s="16"/>
      <c r="E369" s="27"/>
      <c r="F369" t="s">
        <v>26</v>
      </c>
      <c r="G369" s="28">
        <f>IFERROR(VLOOKUP(F369,CARTON_LOOKUP!$A:$E,3,0),"")</f>
      </c>
      <c r="H369" s="28">
        <f>IFERROR(VLOOKUP(F369,CARTON_LOOKUP!$A:$E,4,0),"")</f>
      </c>
      <c r="I369" s="28">
        <f>IFERROR(VLOOKUP(F369,CARTON_LOOKUP!$A:$E,5,0),"")</f>
      </c>
      <c r="J369" s="29">
        <f>IFERROR(VLOOKUP(F369,CARTON_LOOKUP!$A:$E,2,0),"")</f>
      </c>
      <c r="K369" s="29">
        <f>IFERROR(J369*D369,0)</f>
      </c>
      <c r="L369" s="29">
        <f>IFERROR(E369*C369,0)</f>
      </c>
      <c r="M369" s="29">
        <f>IFERROR((G369*H369*I369/1000000)*D369,0)</f>
      </c>
    </row>
    <row r="370" spans="1:13" x14ac:dyDescent="0.25">
      <c r="A370" s="16"/>
      <c r="E370" s="27"/>
      <c r="F370" t="s">
        <v>26</v>
      </c>
      <c r="G370" s="28">
        <f>IFERROR(VLOOKUP(F370,CARTON_LOOKUP!$A:$E,3,0),"")</f>
      </c>
      <c r="H370" s="28">
        <f>IFERROR(VLOOKUP(F370,CARTON_LOOKUP!$A:$E,4,0),"")</f>
      </c>
      <c r="I370" s="28">
        <f>IFERROR(VLOOKUP(F370,CARTON_LOOKUP!$A:$E,5,0),"")</f>
      </c>
      <c r="J370" s="29">
        <f>IFERROR(VLOOKUP(F370,CARTON_LOOKUP!$A:$E,2,0),"")</f>
      </c>
      <c r="K370" s="29">
        <f>IFERROR(J370*D370,0)</f>
      </c>
      <c r="L370" s="29">
        <f>IFERROR(E370*C370,0)</f>
      </c>
      <c r="M370" s="29">
        <f>IFERROR((G370*H370*I370/1000000)*D370,0)</f>
      </c>
    </row>
    <row r="371" spans="1:13" x14ac:dyDescent="0.25">
      <c r="A371" s="16"/>
      <c r="E371" s="27"/>
      <c r="F371" t="s">
        <v>26</v>
      </c>
      <c r="G371" s="28">
        <f>IFERROR(VLOOKUP(F371,CARTON_LOOKUP!$A:$E,3,0),"")</f>
      </c>
      <c r="H371" s="28">
        <f>IFERROR(VLOOKUP(F371,CARTON_LOOKUP!$A:$E,4,0),"")</f>
      </c>
      <c r="I371" s="28">
        <f>IFERROR(VLOOKUP(F371,CARTON_LOOKUP!$A:$E,5,0),"")</f>
      </c>
      <c r="J371" s="29">
        <f>IFERROR(VLOOKUP(F371,CARTON_LOOKUP!$A:$E,2,0),"")</f>
      </c>
      <c r="K371" s="29">
        <f>IFERROR(J371*D371,0)</f>
      </c>
      <c r="L371" s="29">
        <f>IFERROR(E371*C371,0)</f>
      </c>
      <c r="M371" s="29">
        <f>IFERROR((G371*H371*I371/1000000)*D371,0)</f>
      </c>
    </row>
    <row r="372" spans="1:13" x14ac:dyDescent="0.25">
      <c r="A372" s="16"/>
      <c r="E372" s="27"/>
      <c r="F372" t="s">
        <v>26</v>
      </c>
      <c r="G372" s="28">
        <f>IFERROR(VLOOKUP(F372,CARTON_LOOKUP!$A:$E,3,0),"")</f>
      </c>
      <c r="H372" s="28">
        <f>IFERROR(VLOOKUP(F372,CARTON_LOOKUP!$A:$E,4,0),"")</f>
      </c>
      <c r="I372" s="28">
        <f>IFERROR(VLOOKUP(F372,CARTON_LOOKUP!$A:$E,5,0),"")</f>
      </c>
      <c r="J372" s="29">
        <f>IFERROR(VLOOKUP(F372,CARTON_LOOKUP!$A:$E,2,0),"")</f>
      </c>
      <c r="K372" s="29">
        <f>IFERROR(J372*D372,0)</f>
      </c>
      <c r="L372" s="29">
        <f>IFERROR(E372*C372,0)</f>
      </c>
      <c r="M372" s="29">
        <f>IFERROR((G372*H372*I372/1000000)*D372,0)</f>
      </c>
    </row>
    <row r="373" spans="1:13" x14ac:dyDescent="0.25">
      <c r="A373" s="16"/>
      <c r="E373" s="27"/>
      <c r="F373" t="s">
        <v>26</v>
      </c>
      <c r="G373" s="28">
        <f>IFERROR(VLOOKUP(F373,CARTON_LOOKUP!$A:$E,3,0),"")</f>
      </c>
      <c r="H373" s="28">
        <f>IFERROR(VLOOKUP(F373,CARTON_LOOKUP!$A:$E,4,0),"")</f>
      </c>
      <c r="I373" s="28">
        <f>IFERROR(VLOOKUP(F373,CARTON_LOOKUP!$A:$E,5,0),"")</f>
      </c>
      <c r="J373" s="29">
        <f>IFERROR(VLOOKUP(F373,CARTON_LOOKUP!$A:$E,2,0),"")</f>
      </c>
      <c r="K373" s="29">
        <f>IFERROR(J373*D373,0)</f>
      </c>
      <c r="L373" s="29">
        <f>IFERROR(E373*C373,0)</f>
      </c>
      <c r="M373" s="29">
        <f>IFERROR((G373*H373*I373/1000000)*D373,0)</f>
      </c>
    </row>
    <row r="374" spans="1:13" x14ac:dyDescent="0.25">
      <c r="A374" s="16"/>
      <c r="E374" s="27"/>
      <c r="F374" t="s">
        <v>26</v>
      </c>
      <c r="G374" s="28">
        <f>IFERROR(VLOOKUP(F374,CARTON_LOOKUP!$A:$E,3,0),"")</f>
      </c>
      <c r="H374" s="28">
        <f>IFERROR(VLOOKUP(F374,CARTON_LOOKUP!$A:$E,4,0),"")</f>
      </c>
      <c r="I374" s="28">
        <f>IFERROR(VLOOKUP(F374,CARTON_LOOKUP!$A:$E,5,0),"")</f>
      </c>
      <c r="J374" s="29">
        <f>IFERROR(VLOOKUP(F374,CARTON_LOOKUP!$A:$E,2,0),"")</f>
      </c>
      <c r="K374" s="29">
        <f>IFERROR(J374*D374,0)</f>
      </c>
      <c r="L374" s="29">
        <f>IFERROR(E374*C374,0)</f>
      </c>
      <c r="M374" s="29">
        <f>IFERROR((G374*H374*I374/1000000)*D374,0)</f>
      </c>
    </row>
    <row r="375" spans="1:13" x14ac:dyDescent="0.25">
      <c r="A375" s="16"/>
      <c r="E375" s="27"/>
      <c r="F375" t="s">
        <v>26</v>
      </c>
      <c r="G375" s="28">
        <f>IFERROR(VLOOKUP(F375,CARTON_LOOKUP!$A:$E,3,0),"")</f>
      </c>
      <c r="H375" s="28">
        <f>IFERROR(VLOOKUP(F375,CARTON_LOOKUP!$A:$E,4,0),"")</f>
      </c>
      <c r="I375" s="28">
        <f>IFERROR(VLOOKUP(F375,CARTON_LOOKUP!$A:$E,5,0),"")</f>
      </c>
      <c r="J375" s="29">
        <f>IFERROR(VLOOKUP(F375,CARTON_LOOKUP!$A:$E,2,0),"")</f>
      </c>
      <c r="K375" s="29">
        <f>IFERROR(J375*D375,0)</f>
      </c>
      <c r="L375" s="29">
        <f>IFERROR(E375*C375,0)</f>
      </c>
      <c r="M375" s="29">
        <f>IFERROR((G375*H375*I375/1000000)*D375,0)</f>
      </c>
    </row>
    <row r="376" spans="1:13" x14ac:dyDescent="0.25">
      <c r="A376" s="16"/>
      <c r="E376" s="27"/>
      <c r="F376" t="s">
        <v>26</v>
      </c>
      <c r="G376" s="28">
        <f>IFERROR(VLOOKUP(F376,CARTON_LOOKUP!$A:$E,3,0),"")</f>
      </c>
      <c r="H376" s="28">
        <f>IFERROR(VLOOKUP(F376,CARTON_LOOKUP!$A:$E,4,0),"")</f>
      </c>
      <c r="I376" s="28">
        <f>IFERROR(VLOOKUP(F376,CARTON_LOOKUP!$A:$E,5,0),"")</f>
      </c>
      <c r="J376" s="29">
        <f>IFERROR(VLOOKUP(F376,CARTON_LOOKUP!$A:$E,2,0),"")</f>
      </c>
      <c r="K376" s="29">
        <f>IFERROR(J376*D376,0)</f>
      </c>
      <c r="L376" s="29">
        <f>IFERROR(E376*C376,0)</f>
      </c>
      <c r="M376" s="29">
        <f>IFERROR((G376*H376*I376/1000000)*D376,0)</f>
      </c>
    </row>
    <row r="377" spans="1:13" x14ac:dyDescent="0.25">
      <c r="A377" s="16"/>
      <c r="E377" s="27"/>
      <c r="F377" t="s">
        <v>26</v>
      </c>
      <c r="G377" s="28">
        <f>IFERROR(VLOOKUP(F377,CARTON_LOOKUP!$A:$E,3,0),"")</f>
      </c>
      <c r="H377" s="28">
        <f>IFERROR(VLOOKUP(F377,CARTON_LOOKUP!$A:$E,4,0),"")</f>
      </c>
      <c r="I377" s="28">
        <f>IFERROR(VLOOKUP(F377,CARTON_LOOKUP!$A:$E,5,0),"")</f>
      </c>
      <c r="J377" s="29">
        <f>IFERROR(VLOOKUP(F377,CARTON_LOOKUP!$A:$E,2,0),"")</f>
      </c>
      <c r="K377" s="29">
        <f>IFERROR(J377*D377,0)</f>
      </c>
      <c r="L377" s="29">
        <f>IFERROR(E377*C377,0)</f>
      </c>
      <c r="M377" s="29">
        <f>IFERROR((G377*H377*I377/1000000)*D377,0)</f>
      </c>
    </row>
    <row r="378" spans="1:13" x14ac:dyDescent="0.25">
      <c r="A378" s="16"/>
      <c r="E378" s="27"/>
      <c r="F378" t="s">
        <v>26</v>
      </c>
      <c r="G378" s="28">
        <f>IFERROR(VLOOKUP(F378,CARTON_LOOKUP!$A:$E,3,0),"")</f>
      </c>
      <c r="H378" s="28">
        <f>IFERROR(VLOOKUP(F378,CARTON_LOOKUP!$A:$E,4,0),"")</f>
      </c>
      <c r="I378" s="28">
        <f>IFERROR(VLOOKUP(F378,CARTON_LOOKUP!$A:$E,5,0),"")</f>
      </c>
      <c r="J378" s="29">
        <f>IFERROR(VLOOKUP(F378,CARTON_LOOKUP!$A:$E,2,0),"")</f>
      </c>
      <c r="K378" s="29">
        <f>IFERROR(J378*D378,0)</f>
      </c>
      <c r="L378" s="29">
        <f>IFERROR(E378*C378,0)</f>
      </c>
      <c r="M378" s="29">
        <f>IFERROR((G378*H378*I378/1000000)*D378,0)</f>
      </c>
    </row>
    <row r="379" spans="1:13" x14ac:dyDescent="0.25">
      <c r="A379" s="16"/>
      <c r="E379" s="27"/>
      <c r="F379" t="s">
        <v>26</v>
      </c>
      <c r="G379" s="28">
        <f>IFERROR(VLOOKUP(F379,CARTON_LOOKUP!$A:$E,3,0),"")</f>
      </c>
      <c r="H379" s="28">
        <f>IFERROR(VLOOKUP(F379,CARTON_LOOKUP!$A:$E,4,0),"")</f>
      </c>
      <c r="I379" s="28">
        <f>IFERROR(VLOOKUP(F379,CARTON_LOOKUP!$A:$E,5,0),"")</f>
      </c>
      <c r="J379" s="29">
        <f>IFERROR(VLOOKUP(F379,CARTON_LOOKUP!$A:$E,2,0),"")</f>
      </c>
      <c r="K379" s="29">
        <f>IFERROR(J379*D379,0)</f>
      </c>
      <c r="L379" s="29">
        <f>IFERROR(E379*C379,0)</f>
      </c>
      <c r="M379" s="29">
        <f>IFERROR((G379*H379*I379/1000000)*D379,0)</f>
      </c>
    </row>
    <row r="380" spans="1:13" x14ac:dyDescent="0.25">
      <c r="A380" s="16"/>
      <c r="E380" s="27"/>
      <c r="F380" t="s">
        <v>26</v>
      </c>
      <c r="G380" s="28">
        <f>IFERROR(VLOOKUP(F380,CARTON_LOOKUP!$A:$E,3,0),"")</f>
      </c>
      <c r="H380" s="28">
        <f>IFERROR(VLOOKUP(F380,CARTON_LOOKUP!$A:$E,4,0),"")</f>
      </c>
      <c r="I380" s="28">
        <f>IFERROR(VLOOKUP(F380,CARTON_LOOKUP!$A:$E,5,0),"")</f>
      </c>
      <c r="J380" s="29">
        <f>IFERROR(VLOOKUP(F380,CARTON_LOOKUP!$A:$E,2,0),"")</f>
      </c>
      <c r="K380" s="29">
        <f>IFERROR(J380*D380,0)</f>
      </c>
      <c r="L380" s="29">
        <f>IFERROR(E380*C380,0)</f>
      </c>
      <c r="M380" s="29">
        <f>IFERROR((G380*H380*I380/1000000)*D380,0)</f>
      </c>
    </row>
    <row r="381" spans="1:13" x14ac:dyDescent="0.25">
      <c r="A381" s="16"/>
      <c r="E381" s="27"/>
      <c r="F381" t="s">
        <v>26</v>
      </c>
      <c r="G381" s="28">
        <f>IFERROR(VLOOKUP(F381,CARTON_LOOKUP!$A:$E,3,0),"")</f>
      </c>
      <c r="H381" s="28">
        <f>IFERROR(VLOOKUP(F381,CARTON_LOOKUP!$A:$E,4,0),"")</f>
      </c>
      <c r="I381" s="28">
        <f>IFERROR(VLOOKUP(F381,CARTON_LOOKUP!$A:$E,5,0),"")</f>
      </c>
      <c r="J381" s="29">
        <f>IFERROR(VLOOKUP(F381,CARTON_LOOKUP!$A:$E,2,0),"")</f>
      </c>
      <c r="K381" s="29">
        <f>IFERROR(J381*D381,0)</f>
      </c>
      <c r="L381" s="29">
        <f>IFERROR(E381*C381,0)</f>
      </c>
      <c r="M381" s="29">
        <f>IFERROR((G381*H381*I381/1000000)*D381,0)</f>
      </c>
    </row>
    <row r="382" spans="1:13" x14ac:dyDescent="0.25">
      <c r="A382" s="16"/>
      <c r="E382" s="27"/>
      <c r="F382" t="s">
        <v>26</v>
      </c>
      <c r="G382" s="28">
        <f>IFERROR(VLOOKUP(F382,CARTON_LOOKUP!$A:$E,3,0),"")</f>
      </c>
      <c r="H382" s="28">
        <f>IFERROR(VLOOKUP(F382,CARTON_LOOKUP!$A:$E,4,0),"")</f>
      </c>
      <c r="I382" s="28">
        <f>IFERROR(VLOOKUP(F382,CARTON_LOOKUP!$A:$E,5,0),"")</f>
      </c>
      <c r="J382" s="29">
        <f>IFERROR(VLOOKUP(F382,CARTON_LOOKUP!$A:$E,2,0),"")</f>
      </c>
      <c r="K382" s="29">
        <f>IFERROR(J382*D382,0)</f>
      </c>
      <c r="L382" s="29">
        <f>IFERROR(E382*C382,0)</f>
      </c>
      <c r="M382" s="29">
        <f>IFERROR((G382*H382*I382/1000000)*D382,0)</f>
      </c>
    </row>
    <row r="383" spans="1:13" x14ac:dyDescent="0.25">
      <c r="A383" s="16"/>
      <c r="E383" s="27"/>
      <c r="F383" t="s">
        <v>26</v>
      </c>
      <c r="G383" s="28">
        <f>IFERROR(VLOOKUP(F383,CARTON_LOOKUP!$A:$E,3,0),"")</f>
      </c>
      <c r="H383" s="28">
        <f>IFERROR(VLOOKUP(F383,CARTON_LOOKUP!$A:$E,4,0),"")</f>
      </c>
      <c r="I383" s="28">
        <f>IFERROR(VLOOKUP(F383,CARTON_LOOKUP!$A:$E,5,0),"")</f>
      </c>
      <c r="J383" s="29">
        <f>IFERROR(VLOOKUP(F383,CARTON_LOOKUP!$A:$E,2,0),"")</f>
      </c>
      <c r="K383" s="29">
        <f>IFERROR(J383*D383,0)</f>
      </c>
      <c r="L383" s="29">
        <f>IFERROR(E383*C383,0)</f>
      </c>
      <c r="M383" s="29">
        <f>IFERROR((G383*H383*I383/1000000)*D383,0)</f>
      </c>
    </row>
    <row r="384" spans="1:13" x14ac:dyDescent="0.25">
      <c r="A384" s="16"/>
      <c r="E384" s="27"/>
      <c r="F384" t="s">
        <v>26</v>
      </c>
      <c r="G384" s="28">
        <f>IFERROR(VLOOKUP(F384,CARTON_LOOKUP!$A:$E,3,0),"")</f>
      </c>
      <c r="H384" s="28">
        <f>IFERROR(VLOOKUP(F384,CARTON_LOOKUP!$A:$E,4,0),"")</f>
      </c>
      <c r="I384" s="28">
        <f>IFERROR(VLOOKUP(F384,CARTON_LOOKUP!$A:$E,5,0),"")</f>
      </c>
      <c r="J384" s="29">
        <f>IFERROR(VLOOKUP(F384,CARTON_LOOKUP!$A:$E,2,0),"")</f>
      </c>
      <c r="K384" s="29">
        <f>IFERROR(J384*D384,0)</f>
      </c>
      <c r="L384" s="29">
        <f>IFERROR(E384*C384,0)</f>
      </c>
      <c r="M384" s="29">
        <f>IFERROR((G384*H384*I384/1000000)*D384,0)</f>
      </c>
    </row>
    <row r="385" spans="1:13" x14ac:dyDescent="0.25">
      <c r="A385" s="16"/>
      <c r="E385" s="27"/>
      <c r="F385" t="s">
        <v>26</v>
      </c>
      <c r="G385" s="28">
        <f>IFERROR(VLOOKUP(F385,CARTON_LOOKUP!$A:$E,3,0),"")</f>
      </c>
      <c r="H385" s="28">
        <f>IFERROR(VLOOKUP(F385,CARTON_LOOKUP!$A:$E,4,0),"")</f>
      </c>
      <c r="I385" s="28">
        <f>IFERROR(VLOOKUP(F385,CARTON_LOOKUP!$A:$E,5,0),"")</f>
      </c>
      <c r="J385" s="29">
        <f>IFERROR(VLOOKUP(F385,CARTON_LOOKUP!$A:$E,2,0),"")</f>
      </c>
      <c r="K385" s="29">
        <f>IFERROR(J385*D385,0)</f>
      </c>
      <c r="L385" s="29">
        <f>IFERROR(E385*C385,0)</f>
      </c>
      <c r="M385" s="29">
        <f>IFERROR((G385*H385*I385/1000000)*D385,0)</f>
      </c>
    </row>
    <row r="386" spans="1:13" x14ac:dyDescent="0.25">
      <c r="A386" s="16"/>
      <c r="E386" s="27"/>
      <c r="F386" t="s">
        <v>26</v>
      </c>
      <c r="G386" s="28">
        <f>IFERROR(VLOOKUP(F386,CARTON_LOOKUP!$A:$E,3,0),"")</f>
      </c>
      <c r="H386" s="28">
        <f>IFERROR(VLOOKUP(F386,CARTON_LOOKUP!$A:$E,4,0),"")</f>
      </c>
      <c r="I386" s="28">
        <f>IFERROR(VLOOKUP(F386,CARTON_LOOKUP!$A:$E,5,0),"")</f>
      </c>
      <c r="J386" s="29">
        <f>IFERROR(VLOOKUP(F386,CARTON_LOOKUP!$A:$E,2,0),"")</f>
      </c>
      <c r="K386" s="29">
        <f>IFERROR(J386*D386,0)</f>
      </c>
      <c r="L386" s="29">
        <f>IFERROR(E386*C386,0)</f>
      </c>
      <c r="M386" s="29">
        <f>IFERROR((G386*H386*I386/1000000)*D386,0)</f>
      </c>
    </row>
    <row r="387" spans="1:13" x14ac:dyDescent="0.25">
      <c r="A387" s="16"/>
      <c r="E387" s="27"/>
      <c r="F387" t="s">
        <v>26</v>
      </c>
      <c r="G387" s="28">
        <f>IFERROR(VLOOKUP(F387,CARTON_LOOKUP!$A:$E,3,0),"")</f>
      </c>
      <c r="H387" s="28">
        <f>IFERROR(VLOOKUP(F387,CARTON_LOOKUP!$A:$E,4,0),"")</f>
      </c>
      <c r="I387" s="28">
        <f>IFERROR(VLOOKUP(F387,CARTON_LOOKUP!$A:$E,5,0),"")</f>
      </c>
      <c r="J387" s="29">
        <f>IFERROR(VLOOKUP(F387,CARTON_LOOKUP!$A:$E,2,0),"")</f>
      </c>
      <c r="K387" s="29">
        <f>IFERROR(J387*D387,0)</f>
      </c>
      <c r="L387" s="29">
        <f>IFERROR(E387*C387,0)</f>
      </c>
      <c r="M387" s="29">
        <f>IFERROR((G387*H387*I387/1000000)*D387,0)</f>
      </c>
    </row>
    <row r="388" spans="1:13" x14ac:dyDescent="0.25">
      <c r="A388" s="16"/>
      <c r="E388" s="27"/>
      <c r="F388" t="s">
        <v>26</v>
      </c>
      <c r="G388" s="28">
        <f>IFERROR(VLOOKUP(F388,CARTON_LOOKUP!$A:$E,3,0),"")</f>
      </c>
      <c r="H388" s="28">
        <f>IFERROR(VLOOKUP(F388,CARTON_LOOKUP!$A:$E,4,0),"")</f>
      </c>
      <c r="I388" s="28">
        <f>IFERROR(VLOOKUP(F388,CARTON_LOOKUP!$A:$E,5,0),"")</f>
      </c>
      <c r="J388" s="29">
        <f>IFERROR(VLOOKUP(F388,CARTON_LOOKUP!$A:$E,2,0),"")</f>
      </c>
      <c r="K388" s="29">
        <f>IFERROR(J388*D388,0)</f>
      </c>
      <c r="L388" s="29">
        <f>IFERROR(E388*C388,0)</f>
      </c>
      <c r="M388" s="29">
        <f>IFERROR((G388*H388*I388/1000000)*D388,0)</f>
      </c>
    </row>
    <row r="389" spans="1:13" x14ac:dyDescent="0.25">
      <c r="A389" s="16"/>
      <c r="E389" s="27"/>
      <c r="F389" t="s">
        <v>26</v>
      </c>
      <c r="G389" s="28">
        <f>IFERROR(VLOOKUP(F389,CARTON_LOOKUP!$A:$E,3,0),"")</f>
      </c>
      <c r="H389" s="28">
        <f>IFERROR(VLOOKUP(F389,CARTON_LOOKUP!$A:$E,4,0),"")</f>
      </c>
      <c r="I389" s="28">
        <f>IFERROR(VLOOKUP(F389,CARTON_LOOKUP!$A:$E,5,0),"")</f>
      </c>
      <c r="J389" s="29">
        <f>IFERROR(VLOOKUP(F389,CARTON_LOOKUP!$A:$E,2,0),"")</f>
      </c>
      <c r="K389" s="29">
        <f>IFERROR(J389*D389,0)</f>
      </c>
      <c r="L389" s="29">
        <f>IFERROR(E389*C389,0)</f>
      </c>
      <c r="M389" s="29">
        <f>IFERROR((G389*H389*I389/1000000)*D389,0)</f>
      </c>
    </row>
    <row r="390" spans="1:13" x14ac:dyDescent="0.25">
      <c r="A390" s="16"/>
      <c r="E390" s="27"/>
      <c r="F390" t="s">
        <v>26</v>
      </c>
      <c r="G390" s="28">
        <f>IFERROR(VLOOKUP(F390,CARTON_LOOKUP!$A:$E,3,0),"")</f>
      </c>
      <c r="H390" s="28">
        <f>IFERROR(VLOOKUP(F390,CARTON_LOOKUP!$A:$E,4,0),"")</f>
      </c>
      <c r="I390" s="28">
        <f>IFERROR(VLOOKUP(F390,CARTON_LOOKUP!$A:$E,5,0),"")</f>
      </c>
      <c r="J390" s="29">
        <f>IFERROR(VLOOKUP(F390,CARTON_LOOKUP!$A:$E,2,0),"")</f>
      </c>
      <c r="K390" s="29">
        <f>IFERROR(J390*D390,0)</f>
      </c>
      <c r="L390" s="29">
        <f>IFERROR(E390*C390,0)</f>
      </c>
      <c r="M390" s="29">
        <f>IFERROR((G390*H390*I390/1000000)*D390,0)</f>
      </c>
    </row>
    <row r="391" spans="1:13" x14ac:dyDescent="0.25">
      <c r="A391" s="16"/>
      <c r="E391" s="27"/>
      <c r="F391" t="s">
        <v>26</v>
      </c>
      <c r="G391" s="28">
        <f>IFERROR(VLOOKUP(F391,CARTON_LOOKUP!$A:$E,3,0),"")</f>
      </c>
      <c r="H391" s="28">
        <f>IFERROR(VLOOKUP(F391,CARTON_LOOKUP!$A:$E,4,0),"")</f>
      </c>
      <c r="I391" s="28">
        <f>IFERROR(VLOOKUP(F391,CARTON_LOOKUP!$A:$E,5,0),"")</f>
      </c>
      <c r="J391" s="29">
        <f>IFERROR(VLOOKUP(F391,CARTON_LOOKUP!$A:$E,2,0),"")</f>
      </c>
      <c r="K391" s="29">
        <f>IFERROR(J391*D391,0)</f>
      </c>
      <c r="L391" s="29">
        <f>IFERROR(E391*C391,0)</f>
      </c>
      <c r="M391" s="29">
        <f>IFERROR((G391*H391*I391/1000000)*D391,0)</f>
      </c>
    </row>
    <row r="392" spans="1:13" x14ac:dyDescent="0.25">
      <c r="A392" s="16"/>
      <c r="E392" s="27"/>
      <c r="F392" t="s">
        <v>26</v>
      </c>
      <c r="G392" s="28">
        <f>IFERROR(VLOOKUP(F392,CARTON_LOOKUP!$A:$E,3,0),"")</f>
      </c>
      <c r="H392" s="28">
        <f>IFERROR(VLOOKUP(F392,CARTON_LOOKUP!$A:$E,4,0),"")</f>
      </c>
      <c r="I392" s="28">
        <f>IFERROR(VLOOKUP(F392,CARTON_LOOKUP!$A:$E,5,0),"")</f>
      </c>
      <c r="J392" s="29">
        <f>IFERROR(VLOOKUP(F392,CARTON_LOOKUP!$A:$E,2,0),"")</f>
      </c>
      <c r="K392" s="29">
        <f>IFERROR(J392*D392,0)</f>
      </c>
      <c r="L392" s="29">
        <f>IFERROR(E392*C392,0)</f>
      </c>
      <c r="M392" s="29">
        <f>IFERROR((G392*H392*I392/1000000)*D392,0)</f>
      </c>
    </row>
    <row r="393" spans="1:13" x14ac:dyDescent="0.25">
      <c r="A393" s="16"/>
      <c r="E393" s="27"/>
      <c r="F393" t="s">
        <v>26</v>
      </c>
      <c r="G393" s="28">
        <f>IFERROR(VLOOKUP(F393,CARTON_LOOKUP!$A:$E,3,0),"")</f>
      </c>
      <c r="H393" s="28">
        <f>IFERROR(VLOOKUP(F393,CARTON_LOOKUP!$A:$E,4,0),"")</f>
      </c>
      <c r="I393" s="28">
        <f>IFERROR(VLOOKUP(F393,CARTON_LOOKUP!$A:$E,5,0),"")</f>
      </c>
      <c r="J393" s="29">
        <f>IFERROR(VLOOKUP(F393,CARTON_LOOKUP!$A:$E,2,0),"")</f>
      </c>
      <c r="K393" s="29">
        <f>IFERROR(J393*D393,0)</f>
      </c>
      <c r="L393" s="29">
        <f>IFERROR(E393*C393,0)</f>
      </c>
      <c r="M393" s="29">
        <f>IFERROR((G393*H393*I393/1000000)*D393,0)</f>
      </c>
    </row>
    <row r="394" spans="1:13" x14ac:dyDescent="0.25">
      <c r="A394" s="16"/>
      <c r="E394" s="27"/>
      <c r="F394" t="s">
        <v>26</v>
      </c>
      <c r="G394" s="28">
        <f>IFERROR(VLOOKUP(F394,CARTON_LOOKUP!$A:$E,3,0),"")</f>
      </c>
      <c r="H394" s="28">
        <f>IFERROR(VLOOKUP(F394,CARTON_LOOKUP!$A:$E,4,0),"")</f>
      </c>
      <c r="I394" s="28">
        <f>IFERROR(VLOOKUP(F394,CARTON_LOOKUP!$A:$E,5,0),"")</f>
      </c>
      <c r="J394" s="29">
        <f>IFERROR(VLOOKUP(F394,CARTON_LOOKUP!$A:$E,2,0),"")</f>
      </c>
      <c r="K394" s="29">
        <f>IFERROR(J394*D394,0)</f>
      </c>
      <c r="L394" s="29">
        <f>IFERROR(E394*C394,0)</f>
      </c>
      <c r="M394" s="29">
        <f>IFERROR((G394*H394*I394/1000000)*D394,0)</f>
      </c>
    </row>
    <row r="395" spans="1:13" x14ac:dyDescent="0.25">
      <c r="A395" s="16"/>
      <c r="E395" s="27"/>
      <c r="F395" t="s">
        <v>26</v>
      </c>
      <c r="G395" s="28">
        <f>IFERROR(VLOOKUP(F395,CARTON_LOOKUP!$A:$E,3,0),"")</f>
      </c>
      <c r="H395" s="28">
        <f>IFERROR(VLOOKUP(F395,CARTON_LOOKUP!$A:$E,4,0),"")</f>
      </c>
      <c r="I395" s="28">
        <f>IFERROR(VLOOKUP(F395,CARTON_LOOKUP!$A:$E,5,0),"")</f>
      </c>
      <c r="J395" s="29">
        <f>IFERROR(VLOOKUP(F395,CARTON_LOOKUP!$A:$E,2,0),"")</f>
      </c>
      <c r="K395" s="29">
        <f>IFERROR(J395*D395,0)</f>
      </c>
      <c r="L395" s="29">
        <f>IFERROR(E395*C395,0)</f>
      </c>
      <c r="M395" s="29">
        <f>IFERROR((G395*H395*I395/1000000)*D395,0)</f>
      </c>
    </row>
    <row r="396" spans="1:13" x14ac:dyDescent="0.25">
      <c r="A396" s="16"/>
      <c r="E396" s="27"/>
      <c r="F396" t="s">
        <v>26</v>
      </c>
      <c r="G396" s="28">
        <f>IFERROR(VLOOKUP(F396,CARTON_LOOKUP!$A:$E,3,0),"")</f>
      </c>
      <c r="H396" s="28">
        <f>IFERROR(VLOOKUP(F396,CARTON_LOOKUP!$A:$E,4,0),"")</f>
      </c>
      <c r="I396" s="28">
        <f>IFERROR(VLOOKUP(F396,CARTON_LOOKUP!$A:$E,5,0),"")</f>
      </c>
      <c r="J396" s="29">
        <f>IFERROR(VLOOKUP(F396,CARTON_LOOKUP!$A:$E,2,0),"")</f>
      </c>
      <c r="K396" s="29">
        <f>IFERROR(J396*D396,0)</f>
      </c>
      <c r="L396" s="29">
        <f>IFERROR(E396*C396,0)</f>
      </c>
      <c r="M396" s="29">
        <f>IFERROR((G396*H396*I396/1000000)*D396,0)</f>
      </c>
    </row>
    <row r="397" spans="1:13" x14ac:dyDescent="0.25">
      <c r="A397" s="16"/>
      <c r="E397" s="27"/>
      <c r="F397" t="s">
        <v>26</v>
      </c>
      <c r="G397" s="28">
        <f>IFERROR(VLOOKUP(F397,CARTON_LOOKUP!$A:$E,3,0),"")</f>
      </c>
      <c r="H397" s="28">
        <f>IFERROR(VLOOKUP(F397,CARTON_LOOKUP!$A:$E,4,0),"")</f>
      </c>
      <c r="I397" s="28">
        <f>IFERROR(VLOOKUP(F397,CARTON_LOOKUP!$A:$E,5,0),"")</f>
      </c>
      <c r="J397" s="29">
        <f>IFERROR(VLOOKUP(F397,CARTON_LOOKUP!$A:$E,2,0),"")</f>
      </c>
      <c r="K397" s="29">
        <f>IFERROR(J397*D397,0)</f>
      </c>
      <c r="L397" s="29">
        <f>IFERROR(E397*C397,0)</f>
      </c>
      <c r="M397" s="29">
        <f>IFERROR((G397*H397*I397/1000000)*D397,0)</f>
      </c>
    </row>
    <row r="398" spans="1:13" x14ac:dyDescent="0.25">
      <c r="A398" s="16"/>
      <c r="E398" s="27"/>
      <c r="F398" t="s">
        <v>26</v>
      </c>
      <c r="G398" s="28">
        <f>IFERROR(VLOOKUP(F398,CARTON_LOOKUP!$A:$E,3,0),"")</f>
      </c>
      <c r="H398" s="28">
        <f>IFERROR(VLOOKUP(F398,CARTON_LOOKUP!$A:$E,4,0),"")</f>
      </c>
      <c r="I398" s="28">
        <f>IFERROR(VLOOKUP(F398,CARTON_LOOKUP!$A:$E,5,0),"")</f>
      </c>
      <c r="J398" s="29">
        <f>IFERROR(VLOOKUP(F398,CARTON_LOOKUP!$A:$E,2,0),"")</f>
      </c>
      <c r="K398" s="29">
        <f>IFERROR(J398*D398,0)</f>
      </c>
      <c r="L398" s="29">
        <f>IFERROR(E398*C398,0)</f>
      </c>
      <c r="M398" s="29">
        <f>IFERROR((G398*H398*I398/1000000)*D398,0)</f>
      </c>
    </row>
    <row r="399" spans="1:13" x14ac:dyDescent="0.25">
      <c r="A399" s="16"/>
      <c r="E399" s="27"/>
      <c r="F399" t="s">
        <v>26</v>
      </c>
      <c r="G399" s="28">
        <f>IFERROR(VLOOKUP(F399,CARTON_LOOKUP!$A:$E,3,0),"")</f>
      </c>
      <c r="H399" s="28">
        <f>IFERROR(VLOOKUP(F399,CARTON_LOOKUP!$A:$E,4,0),"")</f>
      </c>
      <c r="I399" s="28">
        <f>IFERROR(VLOOKUP(F399,CARTON_LOOKUP!$A:$E,5,0),"")</f>
      </c>
      <c r="J399" s="29">
        <f>IFERROR(VLOOKUP(F399,CARTON_LOOKUP!$A:$E,2,0),"")</f>
      </c>
      <c r="K399" s="29">
        <f>IFERROR(J399*D399,0)</f>
      </c>
      <c r="L399" s="29">
        <f>IFERROR(E399*C399,0)</f>
      </c>
      <c r="M399" s="29">
        <f>IFERROR((G399*H399*I399/1000000)*D399,0)</f>
      </c>
    </row>
    <row r="400" spans="1:13" x14ac:dyDescent="0.25">
      <c r="A400" s="16"/>
      <c r="E400" s="27"/>
      <c r="F400" t="s">
        <v>26</v>
      </c>
      <c r="G400" s="28">
        <f>IFERROR(VLOOKUP(F400,CARTON_LOOKUP!$A:$E,3,0),"")</f>
      </c>
      <c r="H400" s="28">
        <f>IFERROR(VLOOKUP(F400,CARTON_LOOKUP!$A:$E,4,0),"")</f>
      </c>
      <c r="I400" s="28">
        <f>IFERROR(VLOOKUP(F400,CARTON_LOOKUP!$A:$E,5,0),"")</f>
      </c>
      <c r="J400" s="29">
        <f>IFERROR(VLOOKUP(F400,CARTON_LOOKUP!$A:$E,2,0),"")</f>
      </c>
      <c r="K400" s="29">
        <f>IFERROR(J400*D400,0)</f>
      </c>
      <c r="L400" s="29">
        <f>IFERROR(E400*C400,0)</f>
      </c>
      <c r="M400" s="29">
        <f>IFERROR((G400*H400*I400/1000000)*D400,0)</f>
      </c>
    </row>
    <row r="401" spans="1:13" x14ac:dyDescent="0.25">
      <c r="A401" s="16"/>
      <c r="E401" s="27"/>
      <c r="F401" t="s">
        <v>26</v>
      </c>
      <c r="G401" s="28">
        <f>IFERROR(VLOOKUP(F401,CARTON_LOOKUP!$A:$E,3,0),"")</f>
      </c>
      <c r="H401" s="28">
        <f>IFERROR(VLOOKUP(F401,CARTON_LOOKUP!$A:$E,4,0),"")</f>
      </c>
      <c r="I401" s="28">
        <f>IFERROR(VLOOKUP(F401,CARTON_LOOKUP!$A:$E,5,0),"")</f>
      </c>
      <c r="J401" s="29">
        <f>IFERROR(VLOOKUP(F401,CARTON_LOOKUP!$A:$E,2,0),"")</f>
      </c>
      <c r="K401" s="29">
        <f>IFERROR(J401*D401,0)</f>
      </c>
      <c r="L401" s="29">
        <f>IFERROR(E401*C401,0)</f>
      </c>
      <c r="M401" s="29">
        <f>IFERROR((G401*H401*I401/1000000)*D401,0)</f>
      </c>
    </row>
    <row r="402" spans="1:13" x14ac:dyDescent="0.25">
      <c r="A402" s="16"/>
      <c r="E402" s="27"/>
      <c r="F402" t="s">
        <v>26</v>
      </c>
      <c r="G402" s="28">
        <f>IFERROR(VLOOKUP(F402,CARTON_LOOKUP!$A:$E,3,0),"")</f>
      </c>
      <c r="H402" s="28">
        <f>IFERROR(VLOOKUP(F402,CARTON_LOOKUP!$A:$E,4,0),"")</f>
      </c>
      <c r="I402" s="28">
        <f>IFERROR(VLOOKUP(F402,CARTON_LOOKUP!$A:$E,5,0),"")</f>
      </c>
      <c r="J402" s="29">
        <f>IFERROR(VLOOKUP(F402,CARTON_LOOKUP!$A:$E,2,0),"")</f>
      </c>
      <c r="K402" s="29">
        <f>IFERROR(J402*D402,0)</f>
      </c>
      <c r="L402" s="29">
        <f>IFERROR(E402*C402,0)</f>
      </c>
      <c r="M402" s="29">
        <f>IFERROR((G402*H402*I402/1000000)*D402,0)</f>
      </c>
    </row>
    <row r="403" spans="1:13" x14ac:dyDescent="0.25">
      <c r="A403" s="16"/>
      <c r="E403" s="27"/>
      <c r="F403" t="s">
        <v>26</v>
      </c>
      <c r="G403" s="28">
        <f>IFERROR(VLOOKUP(F403,CARTON_LOOKUP!$A:$E,3,0),"")</f>
      </c>
      <c r="H403" s="28">
        <f>IFERROR(VLOOKUP(F403,CARTON_LOOKUP!$A:$E,4,0),"")</f>
      </c>
      <c r="I403" s="28">
        <f>IFERROR(VLOOKUP(F403,CARTON_LOOKUP!$A:$E,5,0),"")</f>
      </c>
      <c r="J403" s="29">
        <f>IFERROR(VLOOKUP(F403,CARTON_LOOKUP!$A:$E,2,0),"")</f>
      </c>
      <c r="K403" s="29">
        <f>IFERROR(J403*D403,0)</f>
      </c>
      <c r="L403" s="29">
        <f>IFERROR(E403*C403,0)</f>
      </c>
      <c r="M403" s="29">
        <f>IFERROR((G403*H403*I403/1000000)*D403,0)</f>
      </c>
    </row>
    <row r="404" spans="1:13" x14ac:dyDescent="0.25">
      <c r="A404" s="16"/>
      <c r="E404" s="27"/>
      <c r="F404" t="s">
        <v>26</v>
      </c>
      <c r="G404" s="28">
        <f>IFERROR(VLOOKUP(F404,CARTON_LOOKUP!$A:$E,3,0),"")</f>
      </c>
      <c r="H404" s="28">
        <f>IFERROR(VLOOKUP(F404,CARTON_LOOKUP!$A:$E,4,0),"")</f>
      </c>
      <c r="I404" s="28">
        <f>IFERROR(VLOOKUP(F404,CARTON_LOOKUP!$A:$E,5,0),"")</f>
      </c>
      <c r="J404" s="29">
        <f>IFERROR(VLOOKUP(F404,CARTON_LOOKUP!$A:$E,2,0),"")</f>
      </c>
      <c r="K404" s="29">
        <f>IFERROR(J404*D404,0)</f>
      </c>
      <c r="L404" s="29">
        <f>IFERROR(E404*C404,0)</f>
      </c>
      <c r="M404" s="29">
        <f>IFERROR((G404*H404*I404/1000000)*D404,0)</f>
      </c>
    </row>
    <row r="405" spans="1:13" x14ac:dyDescent="0.25">
      <c r="A405" s="16"/>
      <c r="E405" s="27"/>
      <c r="F405" t="s">
        <v>26</v>
      </c>
      <c r="G405" s="28">
        <f>IFERROR(VLOOKUP(F405,CARTON_LOOKUP!$A:$E,3,0),"")</f>
      </c>
      <c r="H405" s="28">
        <f>IFERROR(VLOOKUP(F405,CARTON_LOOKUP!$A:$E,4,0),"")</f>
      </c>
      <c r="I405" s="28">
        <f>IFERROR(VLOOKUP(F405,CARTON_LOOKUP!$A:$E,5,0),"")</f>
      </c>
      <c r="J405" s="29">
        <f>IFERROR(VLOOKUP(F405,CARTON_LOOKUP!$A:$E,2,0),"")</f>
      </c>
      <c r="K405" s="29">
        <f>IFERROR(J405*D405,0)</f>
      </c>
      <c r="L405" s="29">
        <f>IFERROR(E405*C405,0)</f>
      </c>
      <c r="M405" s="29">
        <f>IFERROR((G405*H405*I405/1000000)*D405,0)</f>
      </c>
    </row>
    <row r="406" spans="1:13" x14ac:dyDescent="0.25">
      <c r="A406" s="16"/>
      <c r="E406" s="27"/>
      <c r="F406" t="s">
        <v>26</v>
      </c>
      <c r="G406" s="28">
        <f>IFERROR(VLOOKUP(F406,CARTON_LOOKUP!$A:$E,3,0),"")</f>
      </c>
      <c r="H406" s="28">
        <f>IFERROR(VLOOKUP(F406,CARTON_LOOKUP!$A:$E,4,0),"")</f>
      </c>
      <c r="I406" s="28">
        <f>IFERROR(VLOOKUP(F406,CARTON_LOOKUP!$A:$E,5,0),"")</f>
      </c>
      <c r="J406" s="29">
        <f>IFERROR(VLOOKUP(F406,CARTON_LOOKUP!$A:$E,2,0),"")</f>
      </c>
      <c r="K406" s="29">
        <f>IFERROR(J406*D406,0)</f>
      </c>
      <c r="L406" s="29">
        <f>IFERROR(E406*C406,0)</f>
      </c>
      <c r="M406" s="29">
        <f>IFERROR((G406*H406*I406/1000000)*D406,0)</f>
      </c>
    </row>
    <row r="407" spans="1:13" x14ac:dyDescent="0.25">
      <c r="A407" s="16"/>
      <c r="E407" s="27"/>
      <c r="F407" t="s">
        <v>26</v>
      </c>
      <c r="G407" s="28">
        <f>IFERROR(VLOOKUP(F407,CARTON_LOOKUP!$A:$E,3,0),"")</f>
      </c>
      <c r="H407" s="28">
        <f>IFERROR(VLOOKUP(F407,CARTON_LOOKUP!$A:$E,4,0),"")</f>
      </c>
      <c r="I407" s="28">
        <f>IFERROR(VLOOKUP(F407,CARTON_LOOKUP!$A:$E,5,0),"")</f>
      </c>
      <c r="J407" s="29">
        <f>IFERROR(VLOOKUP(F407,CARTON_LOOKUP!$A:$E,2,0),"")</f>
      </c>
      <c r="K407" s="29">
        <f>IFERROR(J407*D407,0)</f>
      </c>
      <c r="L407" s="29">
        <f>IFERROR(E407*C407,0)</f>
      </c>
      <c r="M407" s="29">
        <f>IFERROR((G407*H407*I407/1000000)*D407,0)</f>
      </c>
    </row>
    <row r="408" spans="1:13" x14ac:dyDescent="0.25">
      <c r="A408" s="16"/>
      <c r="E408" s="27"/>
      <c r="F408" t="s">
        <v>26</v>
      </c>
      <c r="G408" s="28">
        <f>IFERROR(VLOOKUP(F408,CARTON_LOOKUP!$A:$E,3,0),"")</f>
      </c>
      <c r="H408" s="28">
        <f>IFERROR(VLOOKUP(F408,CARTON_LOOKUP!$A:$E,4,0),"")</f>
      </c>
      <c r="I408" s="28">
        <f>IFERROR(VLOOKUP(F408,CARTON_LOOKUP!$A:$E,5,0),"")</f>
      </c>
      <c r="J408" s="29">
        <f>IFERROR(VLOOKUP(F408,CARTON_LOOKUP!$A:$E,2,0),"")</f>
      </c>
      <c r="K408" s="29">
        <f>IFERROR(J408*D408,0)</f>
      </c>
      <c r="L408" s="29">
        <f>IFERROR(E408*C408,0)</f>
      </c>
      <c r="M408" s="29">
        <f>IFERROR((G408*H408*I408/1000000)*D408,0)</f>
      </c>
    </row>
    <row r="409" spans="1:13" x14ac:dyDescent="0.25">
      <c r="A409" s="16"/>
      <c r="E409" s="27"/>
      <c r="F409" t="s">
        <v>26</v>
      </c>
      <c r="G409" s="28">
        <f>IFERROR(VLOOKUP(F409,CARTON_LOOKUP!$A:$E,3,0),"")</f>
      </c>
      <c r="H409" s="28">
        <f>IFERROR(VLOOKUP(F409,CARTON_LOOKUP!$A:$E,4,0),"")</f>
      </c>
      <c r="I409" s="28">
        <f>IFERROR(VLOOKUP(F409,CARTON_LOOKUP!$A:$E,5,0),"")</f>
      </c>
      <c r="J409" s="29">
        <f>IFERROR(VLOOKUP(F409,CARTON_LOOKUP!$A:$E,2,0),"")</f>
      </c>
      <c r="K409" s="29">
        <f>IFERROR(J409*D409,0)</f>
      </c>
      <c r="L409" s="29">
        <f>IFERROR(E409*C409,0)</f>
      </c>
      <c r="M409" s="29">
        <f>IFERROR((G409*H409*I409/1000000)*D409,0)</f>
      </c>
    </row>
    <row r="410" spans="1:13" x14ac:dyDescent="0.25">
      <c r="A410" s="16"/>
      <c r="E410" s="27"/>
      <c r="F410" t="s">
        <v>26</v>
      </c>
      <c r="G410" s="28">
        <f>IFERROR(VLOOKUP(F410,CARTON_LOOKUP!$A:$E,3,0),"")</f>
      </c>
      <c r="H410" s="28">
        <f>IFERROR(VLOOKUP(F410,CARTON_LOOKUP!$A:$E,4,0),"")</f>
      </c>
      <c r="I410" s="28">
        <f>IFERROR(VLOOKUP(F410,CARTON_LOOKUP!$A:$E,5,0),"")</f>
      </c>
      <c r="J410" s="29">
        <f>IFERROR(VLOOKUP(F410,CARTON_LOOKUP!$A:$E,2,0),"")</f>
      </c>
      <c r="K410" s="29">
        <f>IFERROR(J410*D410,0)</f>
      </c>
      <c r="L410" s="29">
        <f>IFERROR(E410*C410,0)</f>
      </c>
      <c r="M410" s="29">
        <f>IFERROR((G410*H410*I410/1000000)*D410,0)</f>
      </c>
    </row>
    <row r="411" spans="1:13" x14ac:dyDescent="0.25">
      <c r="A411" s="16"/>
      <c r="E411" s="27"/>
      <c r="F411" t="s">
        <v>26</v>
      </c>
      <c r="G411" s="28">
        <f>IFERROR(VLOOKUP(F411,CARTON_LOOKUP!$A:$E,3,0),"")</f>
      </c>
      <c r="H411" s="28">
        <f>IFERROR(VLOOKUP(F411,CARTON_LOOKUP!$A:$E,4,0),"")</f>
      </c>
      <c r="I411" s="28">
        <f>IFERROR(VLOOKUP(F411,CARTON_LOOKUP!$A:$E,5,0),"")</f>
      </c>
      <c r="J411" s="29">
        <f>IFERROR(VLOOKUP(F411,CARTON_LOOKUP!$A:$E,2,0),"")</f>
      </c>
      <c r="K411" s="29">
        <f>IFERROR(J411*D411,0)</f>
      </c>
      <c r="L411" s="29">
        <f>IFERROR(E411*C411,0)</f>
      </c>
      <c r="M411" s="29">
        <f>IFERROR((G411*H411*I411/1000000)*D411,0)</f>
      </c>
    </row>
    <row r="412" spans="1:13" x14ac:dyDescent="0.25">
      <c r="A412" s="16"/>
      <c r="E412" s="27"/>
      <c r="F412" t="s">
        <v>26</v>
      </c>
      <c r="G412" s="28">
        <f>IFERROR(VLOOKUP(F412,CARTON_LOOKUP!$A:$E,3,0),"")</f>
      </c>
      <c r="H412" s="28">
        <f>IFERROR(VLOOKUP(F412,CARTON_LOOKUP!$A:$E,4,0),"")</f>
      </c>
      <c r="I412" s="28">
        <f>IFERROR(VLOOKUP(F412,CARTON_LOOKUP!$A:$E,5,0),"")</f>
      </c>
      <c r="J412" s="29">
        <f>IFERROR(VLOOKUP(F412,CARTON_LOOKUP!$A:$E,2,0),"")</f>
      </c>
      <c r="K412" s="29">
        <f>IFERROR(J412*D412,0)</f>
      </c>
      <c r="L412" s="29">
        <f>IFERROR(E412*C412,0)</f>
      </c>
      <c r="M412" s="29">
        <f>IFERROR((G412*H412*I412/1000000)*D412,0)</f>
      </c>
    </row>
    <row r="413" spans="1:13" x14ac:dyDescent="0.25">
      <c r="A413" s="16"/>
      <c r="E413" s="27"/>
      <c r="F413" t="s">
        <v>26</v>
      </c>
      <c r="G413" s="28">
        <f>IFERROR(VLOOKUP(F413,CARTON_LOOKUP!$A:$E,3,0),"")</f>
      </c>
      <c r="H413" s="28">
        <f>IFERROR(VLOOKUP(F413,CARTON_LOOKUP!$A:$E,4,0),"")</f>
      </c>
      <c r="I413" s="28">
        <f>IFERROR(VLOOKUP(F413,CARTON_LOOKUP!$A:$E,5,0),"")</f>
      </c>
      <c r="J413" s="29">
        <f>IFERROR(VLOOKUP(F413,CARTON_LOOKUP!$A:$E,2,0),"")</f>
      </c>
      <c r="K413" s="29">
        <f>IFERROR(J413*D413,0)</f>
      </c>
      <c r="L413" s="29">
        <f>IFERROR(E413*C413,0)</f>
      </c>
      <c r="M413" s="29">
        <f>IFERROR((G413*H413*I413/1000000)*D413,0)</f>
      </c>
    </row>
    <row r="414" spans="1:13" x14ac:dyDescent="0.25">
      <c r="A414" s="16"/>
      <c r="E414" s="27"/>
      <c r="F414" t="s">
        <v>26</v>
      </c>
      <c r="G414" s="28">
        <f>IFERROR(VLOOKUP(F414,CARTON_LOOKUP!$A:$E,3,0),"")</f>
      </c>
      <c r="H414" s="28">
        <f>IFERROR(VLOOKUP(F414,CARTON_LOOKUP!$A:$E,4,0),"")</f>
      </c>
      <c r="I414" s="28">
        <f>IFERROR(VLOOKUP(F414,CARTON_LOOKUP!$A:$E,5,0),"")</f>
      </c>
      <c r="J414" s="29">
        <f>IFERROR(VLOOKUP(F414,CARTON_LOOKUP!$A:$E,2,0),"")</f>
      </c>
      <c r="K414" s="29">
        <f>IFERROR(J414*D414,0)</f>
      </c>
      <c r="L414" s="29">
        <f>IFERROR(E414*C414,0)</f>
      </c>
      <c r="M414" s="29">
        <f>IFERROR((G414*H414*I414/1000000)*D414,0)</f>
      </c>
    </row>
    <row r="415" spans="1:13" x14ac:dyDescent="0.25">
      <c r="A415" s="16"/>
      <c r="E415" s="27"/>
      <c r="F415" t="s">
        <v>26</v>
      </c>
      <c r="G415" s="28">
        <f>IFERROR(VLOOKUP(F415,CARTON_LOOKUP!$A:$E,3,0),"")</f>
      </c>
      <c r="H415" s="28">
        <f>IFERROR(VLOOKUP(F415,CARTON_LOOKUP!$A:$E,4,0),"")</f>
      </c>
      <c r="I415" s="28">
        <f>IFERROR(VLOOKUP(F415,CARTON_LOOKUP!$A:$E,5,0),"")</f>
      </c>
      <c r="J415" s="29">
        <f>IFERROR(VLOOKUP(F415,CARTON_LOOKUP!$A:$E,2,0),"")</f>
      </c>
      <c r="K415" s="29">
        <f>IFERROR(J415*D415,0)</f>
      </c>
      <c r="L415" s="29">
        <f>IFERROR(E415*C415,0)</f>
      </c>
      <c r="M415" s="29">
        <f>IFERROR((G415*H415*I415/1000000)*D415,0)</f>
      </c>
    </row>
    <row r="416" spans="1:13" x14ac:dyDescent="0.25">
      <c r="A416" s="16"/>
      <c r="E416" s="27"/>
      <c r="F416" t="s">
        <v>26</v>
      </c>
      <c r="G416" s="28">
        <f>IFERROR(VLOOKUP(F416,CARTON_LOOKUP!$A:$E,3,0),"")</f>
      </c>
      <c r="H416" s="28">
        <f>IFERROR(VLOOKUP(F416,CARTON_LOOKUP!$A:$E,4,0),"")</f>
      </c>
      <c r="I416" s="28">
        <f>IFERROR(VLOOKUP(F416,CARTON_LOOKUP!$A:$E,5,0),"")</f>
      </c>
      <c r="J416" s="29">
        <f>IFERROR(VLOOKUP(F416,CARTON_LOOKUP!$A:$E,2,0),"")</f>
      </c>
      <c r="K416" s="29">
        <f>IFERROR(J416*D416,0)</f>
      </c>
      <c r="L416" s="29">
        <f>IFERROR(E416*C416,0)</f>
      </c>
      <c r="M416" s="29">
        <f>IFERROR((G416*H416*I416/1000000)*D416,0)</f>
      </c>
    </row>
    <row r="417" spans="1:13" x14ac:dyDescent="0.25">
      <c r="A417" s="16"/>
      <c r="E417" s="27"/>
      <c r="F417" t="s">
        <v>26</v>
      </c>
      <c r="G417" s="28">
        <f>IFERROR(VLOOKUP(F417,CARTON_LOOKUP!$A:$E,3,0),"")</f>
      </c>
      <c r="H417" s="28">
        <f>IFERROR(VLOOKUP(F417,CARTON_LOOKUP!$A:$E,4,0),"")</f>
      </c>
      <c r="I417" s="28">
        <f>IFERROR(VLOOKUP(F417,CARTON_LOOKUP!$A:$E,5,0),"")</f>
      </c>
      <c r="J417" s="29">
        <f>IFERROR(VLOOKUP(F417,CARTON_LOOKUP!$A:$E,2,0),"")</f>
      </c>
      <c r="K417" s="29">
        <f>IFERROR(J417*D417,0)</f>
      </c>
      <c r="L417" s="29">
        <f>IFERROR(E417*C417,0)</f>
      </c>
      <c r="M417" s="29">
        <f>IFERROR((G417*H417*I417/1000000)*D417,0)</f>
      </c>
    </row>
    <row r="418" spans="1:13" x14ac:dyDescent="0.25">
      <c r="A418" s="16"/>
      <c r="E418" s="27"/>
      <c r="F418" t="s">
        <v>26</v>
      </c>
      <c r="G418" s="28">
        <f>IFERROR(VLOOKUP(F418,CARTON_LOOKUP!$A:$E,3,0),"")</f>
      </c>
      <c r="H418" s="28">
        <f>IFERROR(VLOOKUP(F418,CARTON_LOOKUP!$A:$E,4,0),"")</f>
      </c>
      <c r="I418" s="28">
        <f>IFERROR(VLOOKUP(F418,CARTON_LOOKUP!$A:$E,5,0),"")</f>
      </c>
      <c r="J418" s="29">
        <f>IFERROR(VLOOKUP(F418,CARTON_LOOKUP!$A:$E,2,0),"")</f>
      </c>
      <c r="K418" s="29">
        <f>IFERROR(J418*D418,0)</f>
      </c>
      <c r="L418" s="29">
        <f>IFERROR(E418*C418,0)</f>
      </c>
      <c r="M418" s="29">
        <f>IFERROR((G418*H418*I418/1000000)*D418,0)</f>
      </c>
    </row>
    <row r="419" spans="1:13" x14ac:dyDescent="0.25">
      <c r="A419" s="16"/>
      <c r="E419" s="27"/>
      <c r="F419" t="s">
        <v>26</v>
      </c>
      <c r="G419" s="28">
        <f>IFERROR(VLOOKUP(F419,CARTON_LOOKUP!$A:$E,3,0),"")</f>
      </c>
      <c r="H419" s="28">
        <f>IFERROR(VLOOKUP(F419,CARTON_LOOKUP!$A:$E,4,0),"")</f>
      </c>
      <c r="I419" s="28">
        <f>IFERROR(VLOOKUP(F419,CARTON_LOOKUP!$A:$E,5,0),"")</f>
      </c>
      <c r="J419" s="29">
        <f>IFERROR(VLOOKUP(F419,CARTON_LOOKUP!$A:$E,2,0),"")</f>
      </c>
      <c r="K419" s="29">
        <f>IFERROR(J419*D419,0)</f>
      </c>
      <c r="L419" s="29">
        <f>IFERROR(E419*C419,0)</f>
      </c>
      <c r="M419" s="29">
        <f>IFERROR((G419*H419*I419/1000000)*D419,0)</f>
      </c>
    </row>
    <row r="420" spans="1:13" x14ac:dyDescent="0.25">
      <c r="A420" s="16"/>
      <c r="E420" s="27"/>
      <c r="F420" t="s">
        <v>26</v>
      </c>
      <c r="G420" s="28">
        <f>IFERROR(VLOOKUP(F420,CARTON_LOOKUP!$A:$E,3,0),"")</f>
      </c>
      <c r="H420" s="28">
        <f>IFERROR(VLOOKUP(F420,CARTON_LOOKUP!$A:$E,4,0),"")</f>
      </c>
      <c r="I420" s="28">
        <f>IFERROR(VLOOKUP(F420,CARTON_LOOKUP!$A:$E,5,0),"")</f>
      </c>
      <c r="J420" s="29">
        <f>IFERROR(VLOOKUP(F420,CARTON_LOOKUP!$A:$E,2,0),"")</f>
      </c>
      <c r="K420" s="29">
        <f>IFERROR(J420*D420,0)</f>
      </c>
      <c r="L420" s="29">
        <f>IFERROR(E420*C420,0)</f>
      </c>
      <c r="M420" s="29">
        <f>IFERROR((G420*H420*I420/1000000)*D420,0)</f>
      </c>
    </row>
    <row r="421" spans="1:13" x14ac:dyDescent="0.25">
      <c r="A421" s="16"/>
      <c r="E421" s="27"/>
      <c r="F421" t="s">
        <v>26</v>
      </c>
      <c r="G421" s="28">
        <f>IFERROR(VLOOKUP(F421,CARTON_LOOKUP!$A:$E,3,0),"")</f>
      </c>
      <c r="H421" s="28">
        <f>IFERROR(VLOOKUP(F421,CARTON_LOOKUP!$A:$E,4,0),"")</f>
      </c>
      <c r="I421" s="28">
        <f>IFERROR(VLOOKUP(F421,CARTON_LOOKUP!$A:$E,5,0),"")</f>
      </c>
      <c r="J421" s="29">
        <f>IFERROR(VLOOKUP(F421,CARTON_LOOKUP!$A:$E,2,0),"")</f>
      </c>
      <c r="K421" s="29">
        <f>IFERROR(J421*D421,0)</f>
      </c>
      <c r="L421" s="29">
        <f>IFERROR(E421*C421,0)</f>
      </c>
      <c r="M421" s="29">
        <f>IFERROR((G421*H421*I421/1000000)*D421,0)</f>
      </c>
    </row>
    <row r="422" spans="1:13" x14ac:dyDescent="0.25">
      <c r="A422" s="16"/>
      <c r="E422" s="27"/>
      <c r="F422" t="s">
        <v>26</v>
      </c>
      <c r="G422" s="28">
        <f>IFERROR(VLOOKUP(F422,CARTON_LOOKUP!$A:$E,3,0),"")</f>
      </c>
      <c r="H422" s="28">
        <f>IFERROR(VLOOKUP(F422,CARTON_LOOKUP!$A:$E,4,0),"")</f>
      </c>
      <c r="I422" s="28">
        <f>IFERROR(VLOOKUP(F422,CARTON_LOOKUP!$A:$E,5,0),"")</f>
      </c>
      <c r="J422" s="29">
        <f>IFERROR(VLOOKUP(F422,CARTON_LOOKUP!$A:$E,2,0),"")</f>
      </c>
      <c r="K422" s="29">
        <f>IFERROR(J422*D422,0)</f>
      </c>
      <c r="L422" s="29">
        <f>IFERROR(E422*C422,0)</f>
      </c>
      <c r="M422" s="29">
        <f>IFERROR((G422*H422*I422/1000000)*D422,0)</f>
      </c>
    </row>
    <row r="423" spans="1:13" x14ac:dyDescent="0.25">
      <c r="A423" s="16"/>
      <c r="E423" s="27"/>
      <c r="F423" t="s">
        <v>26</v>
      </c>
      <c r="G423" s="28">
        <f>IFERROR(VLOOKUP(F423,CARTON_LOOKUP!$A:$E,3,0),"")</f>
      </c>
      <c r="H423" s="28">
        <f>IFERROR(VLOOKUP(F423,CARTON_LOOKUP!$A:$E,4,0),"")</f>
      </c>
      <c r="I423" s="28">
        <f>IFERROR(VLOOKUP(F423,CARTON_LOOKUP!$A:$E,5,0),"")</f>
      </c>
      <c r="J423" s="29">
        <f>IFERROR(VLOOKUP(F423,CARTON_LOOKUP!$A:$E,2,0),"")</f>
      </c>
      <c r="K423" s="29">
        <f>IFERROR(J423*D423,0)</f>
      </c>
      <c r="L423" s="29">
        <f>IFERROR(E423*C423,0)</f>
      </c>
      <c r="M423" s="29">
        <f>IFERROR((G423*H423*I423/1000000)*D423,0)</f>
      </c>
    </row>
    <row r="424" spans="1:13" x14ac:dyDescent="0.25">
      <c r="A424" s="16"/>
      <c r="E424" s="27"/>
      <c r="F424" t="s">
        <v>26</v>
      </c>
      <c r="G424" s="28">
        <f>IFERROR(VLOOKUP(F424,CARTON_LOOKUP!$A:$E,3,0),"")</f>
      </c>
      <c r="H424" s="28">
        <f>IFERROR(VLOOKUP(F424,CARTON_LOOKUP!$A:$E,4,0),"")</f>
      </c>
      <c r="I424" s="28">
        <f>IFERROR(VLOOKUP(F424,CARTON_LOOKUP!$A:$E,5,0),"")</f>
      </c>
      <c r="J424" s="29">
        <f>IFERROR(VLOOKUP(F424,CARTON_LOOKUP!$A:$E,2,0),"")</f>
      </c>
      <c r="K424" s="29">
        <f>IFERROR(J424*D424,0)</f>
      </c>
      <c r="L424" s="29">
        <f>IFERROR(E424*C424,0)</f>
      </c>
      <c r="M424" s="29">
        <f>IFERROR((G424*H424*I424/1000000)*D424,0)</f>
      </c>
    </row>
    <row r="425" spans="1:13" x14ac:dyDescent="0.25">
      <c r="A425" s="16"/>
      <c r="E425" s="27"/>
      <c r="F425" t="s">
        <v>26</v>
      </c>
      <c r="G425" s="28">
        <f>IFERROR(VLOOKUP(F425,CARTON_LOOKUP!$A:$E,3,0),"")</f>
      </c>
      <c r="H425" s="28">
        <f>IFERROR(VLOOKUP(F425,CARTON_LOOKUP!$A:$E,4,0),"")</f>
      </c>
      <c r="I425" s="28">
        <f>IFERROR(VLOOKUP(F425,CARTON_LOOKUP!$A:$E,5,0),"")</f>
      </c>
      <c r="J425" s="29">
        <f>IFERROR(VLOOKUP(F425,CARTON_LOOKUP!$A:$E,2,0),"")</f>
      </c>
      <c r="K425" s="29">
        <f>IFERROR(J425*D425,0)</f>
      </c>
      <c r="L425" s="29">
        <f>IFERROR(E425*C425,0)</f>
      </c>
      <c r="M425" s="29">
        <f>IFERROR((G425*H425*I425/1000000)*D425,0)</f>
      </c>
    </row>
    <row r="426" spans="1:13" x14ac:dyDescent="0.25">
      <c r="A426" s="16"/>
      <c r="E426" s="27"/>
      <c r="F426" t="s">
        <v>26</v>
      </c>
      <c r="G426" s="28">
        <f>IFERROR(VLOOKUP(F426,CARTON_LOOKUP!$A:$E,3,0),"")</f>
      </c>
      <c r="H426" s="28">
        <f>IFERROR(VLOOKUP(F426,CARTON_LOOKUP!$A:$E,4,0),"")</f>
      </c>
      <c r="I426" s="28">
        <f>IFERROR(VLOOKUP(F426,CARTON_LOOKUP!$A:$E,5,0),"")</f>
      </c>
      <c r="J426" s="29">
        <f>IFERROR(VLOOKUP(F426,CARTON_LOOKUP!$A:$E,2,0),"")</f>
      </c>
      <c r="K426" s="29">
        <f>IFERROR(J426*D426,0)</f>
      </c>
      <c r="L426" s="29">
        <f>IFERROR(E426*C426,0)</f>
      </c>
      <c r="M426" s="29">
        <f>IFERROR((G426*H426*I426/1000000)*D426,0)</f>
      </c>
    </row>
    <row r="427" spans="1:13" x14ac:dyDescent="0.25">
      <c r="A427" s="16"/>
      <c r="E427" s="27"/>
      <c r="F427" t="s">
        <v>26</v>
      </c>
      <c r="G427" s="28">
        <f>IFERROR(VLOOKUP(F427,CARTON_LOOKUP!$A:$E,3,0),"")</f>
      </c>
      <c r="H427" s="28">
        <f>IFERROR(VLOOKUP(F427,CARTON_LOOKUP!$A:$E,4,0),"")</f>
      </c>
      <c r="I427" s="28">
        <f>IFERROR(VLOOKUP(F427,CARTON_LOOKUP!$A:$E,5,0),"")</f>
      </c>
      <c r="J427" s="29">
        <f>IFERROR(VLOOKUP(F427,CARTON_LOOKUP!$A:$E,2,0),"")</f>
      </c>
      <c r="K427" s="29">
        <f>IFERROR(J427*D427,0)</f>
      </c>
      <c r="L427" s="29">
        <f>IFERROR(E427*C427,0)</f>
      </c>
      <c r="M427" s="29">
        <f>IFERROR((G427*H427*I427/1000000)*D427,0)</f>
      </c>
    </row>
    <row r="428" spans="1:13" x14ac:dyDescent="0.25">
      <c r="A428" s="16"/>
      <c r="E428" s="27"/>
      <c r="F428" t="s">
        <v>26</v>
      </c>
      <c r="G428" s="28">
        <f>IFERROR(VLOOKUP(F428,CARTON_LOOKUP!$A:$E,3,0),"")</f>
      </c>
      <c r="H428" s="28">
        <f>IFERROR(VLOOKUP(F428,CARTON_LOOKUP!$A:$E,4,0),"")</f>
      </c>
      <c r="I428" s="28">
        <f>IFERROR(VLOOKUP(F428,CARTON_LOOKUP!$A:$E,5,0),"")</f>
      </c>
      <c r="J428" s="29">
        <f>IFERROR(VLOOKUP(F428,CARTON_LOOKUP!$A:$E,2,0),"")</f>
      </c>
      <c r="K428" s="29">
        <f>IFERROR(J428*D428,0)</f>
      </c>
      <c r="L428" s="29">
        <f>IFERROR(E428*C428,0)</f>
      </c>
      <c r="M428" s="29">
        <f>IFERROR((G428*H428*I428/1000000)*D428,0)</f>
      </c>
    </row>
    <row r="429" spans="1:13" x14ac:dyDescent="0.25">
      <c r="A429" s="16"/>
      <c r="E429" s="27"/>
      <c r="F429" t="s">
        <v>26</v>
      </c>
      <c r="G429" s="28">
        <f>IFERROR(VLOOKUP(F429,CARTON_LOOKUP!$A:$E,3,0),"")</f>
      </c>
      <c r="H429" s="28">
        <f>IFERROR(VLOOKUP(F429,CARTON_LOOKUP!$A:$E,4,0),"")</f>
      </c>
      <c r="I429" s="28">
        <f>IFERROR(VLOOKUP(F429,CARTON_LOOKUP!$A:$E,5,0),"")</f>
      </c>
      <c r="J429" s="29">
        <f>IFERROR(VLOOKUP(F429,CARTON_LOOKUP!$A:$E,2,0),"")</f>
      </c>
      <c r="K429" s="29">
        <f>IFERROR(J429*D429,0)</f>
      </c>
      <c r="L429" s="29">
        <f>IFERROR(E429*C429,0)</f>
      </c>
      <c r="M429" s="29">
        <f>IFERROR((G429*H429*I429/1000000)*D429,0)</f>
      </c>
    </row>
    <row r="430" spans="1:13" x14ac:dyDescent="0.25">
      <c r="A430" s="16"/>
      <c r="E430" s="27"/>
      <c r="F430" t="s">
        <v>26</v>
      </c>
      <c r="G430" s="28">
        <f>IFERROR(VLOOKUP(F430,CARTON_LOOKUP!$A:$E,3,0),"")</f>
      </c>
      <c r="H430" s="28">
        <f>IFERROR(VLOOKUP(F430,CARTON_LOOKUP!$A:$E,4,0),"")</f>
      </c>
      <c r="I430" s="28">
        <f>IFERROR(VLOOKUP(F430,CARTON_LOOKUP!$A:$E,5,0),"")</f>
      </c>
      <c r="J430" s="29">
        <f>IFERROR(VLOOKUP(F430,CARTON_LOOKUP!$A:$E,2,0),"")</f>
      </c>
      <c r="K430" s="29">
        <f>IFERROR(J430*D430,0)</f>
      </c>
      <c r="L430" s="29">
        <f>IFERROR(E430*C430,0)</f>
      </c>
      <c r="M430" s="29">
        <f>IFERROR((G430*H430*I430/1000000)*D430,0)</f>
      </c>
    </row>
    <row r="431" spans="1:13" x14ac:dyDescent="0.25">
      <c r="A431" s="16"/>
      <c r="E431" s="27"/>
      <c r="F431" t="s">
        <v>26</v>
      </c>
      <c r="G431" s="28">
        <f>IFERROR(VLOOKUP(F431,CARTON_LOOKUP!$A:$E,3,0),"")</f>
      </c>
      <c r="H431" s="28">
        <f>IFERROR(VLOOKUP(F431,CARTON_LOOKUP!$A:$E,4,0),"")</f>
      </c>
      <c r="I431" s="28">
        <f>IFERROR(VLOOKUP(F431,CARTON_LOOKUP!$A:$E,5,0),"")</f>
      </c>
      <c r="J431" s="29">
        <f>IFERROR(VLOOKUP(F431,CARTON_LOOKUP!$A:$E,2,0),"")</f>
      </c>
      <c r="K431" s="29">
        <f>IFERROR(J431*D431,0)</f>
      </c>
      <c r="L431" s="29">
        <f>IFERROR(E431*C431,0)</f>
      </c>
      <c r="M431" s="29">
        <f>IFERROR((G431*H431*I431/1000000)*D431,0)</f>
      </c>
    </row>
    <row r="432" spans="1:13" x14ac:dyDescent="0.25">
      <c r="A432" s="16"/>
      <c r="E432" s="27"/>
      <c r="F432" t="s">
        <v>26</v>
      </c>
      <c r="G432" s="28">
        <f>IFERROR(VLOOKUP(F432,CARTON_LOOKUP!$A:$E,3,0),"")</f>
      </c>
      <c r="H432" s="28">
        <f>IFERROR(VLOOKUP(F432,CARTON_LOOKUP!$A:$E,4,0),"")</f>
      </c>
      <c r="I432" s="28">
        <f>IFERROR(VLOOKUP(F432,CARTON_LOOKUP!$A:$E,5,0),"")</f>
      </c>
      <c r="J432" s="29">
        <f>IFERROR(VLOOKUP(F432,CARTON_LOOKUP!$A:$E,2,0),"")</f>
      </c>
      <c r="K432" s="29">
        <f>IFERROR(J432*D432,0)</f>
      </c>
      <c r="L432" s="29">
        <f>IFERROR(E432*C432,0)</f>
      </c>
      <c r="M432" s="29">
        <f>IFERROR((G432*H432*I432/1000000)*D432,0)</f>
      </c>
    </row>
    <row r="433" spans="1:13" x14ac:dyDescent="0.25">
      <c r="A433" s="16"/>
      <c r="E433" s="27"/>
      <c r="F433" t="s">
        <v>26</v>
      </c>
      <c r="G433" s="28">
        <f>IFERROR(VLOOKUP(F433,CARTON_LOOKUP!$A:$E,3,0),"")</f>
      </c>
      <c r="H433" s="28">
        <f>IFERROR(VLOOKUP(F433,CARTON_LOOKUP!$A:$E,4,0),"")</f>
      </c>
      <c r="I433" s="28">
        <f>IFERROR(VLOOKUP(F433,CARTON_LOOKUP!$A:$E,5,0),"")</f>
      </c>
      <c r="J433" s="29">
        <f>IFERROR(VLOOKUP(F433,CARTON_LOOKUP!$A:$E,2,0),"")</f>
      </c>
      <c r="K433" s="29">
        <f>IFERROR(J433*D433,0)</f>
      </c>
      <c r="L433" s="29">
        <f>IFERROR(E433*C433,0)</f>
      </c>
      <c r="M433" s="29">
        <f>IFERROR((G433*H433*I433/1000000)*D433,0)</f>
      </c>
    </row>
    <row r="434" spans="1:13" x14ac:dyDescent="0.25">
      <c r="A434" s="16"/>
      <c r="E434" s="27"/>
      <c r="F434" t="s">
        <v>26</v>
      </c>
      <c r="G434" s="28">
        <f>IFERROR(VLOOKUP(F434,CARTON_LOOKUP!$A:$E,3,0),"")</f>
      </c>
      <c r="H434" s="28">
        <f>IFERROR(VLOOKUP(F434,CARTON_LOOKUP!$A:$E,4,0),"")</f>
      </c>
      <c r="I434" s="28">
        <f>IFERROR(VLOOKUP(F434,CARTON_LOOKUP!$A:$E,5,0),"")</f>
      </c>
      <c r="J434" s="29">
        <f>IFERROR(VLOOKUP(F434,CARTON_LOOKUP!$A:$E,2,0),"")</f>
      </c>
      <c r="K434" s="29">
        <f>IFERROR(J434*D434,0)</f>
      </c>
      <c r="L434" s="29">
        <f>IFERROR(E434*C434,0)</f>
      </c>
      <c r="M434" s="29">
        <f>IFERROR((G434*H434*I434/1000000)*D434,0)</f>
      </c>
    </row>
    <row r="435" spans="1:13" x14ac:dyDescent="0.25">
      <c r="A435" s="16"/>
      <c r="E435" s="27"/>
      <c r="F435" t="s">
        <v>26</v>
      </c>
      <c r="G435" s="28">
        <f>IFERROR(VLOOKUP(F435,CARTON_LOOKUP!$A:$E,3,0),"")</f>
      </c>
      <c r="H435" s="28">
        <f>IFERROR(VLOOKUP(F435,CARTON_LOOKUP!$A:$E,4,0),"")</f>
      </c>
      <c r="I435" s="28">
        <f>IFERROR(VLOOKUP(F435,CARTON_LOOKUP!$A:$E,5,0),"")</f>
      </c>
      <c r="J435" s="29">
        <f>IFERROR(VLOOKUP(F435,CARTON_LOOKUP!$A:$E,2,0),"")</f>
      </c>
      <c r="K435" s="29">
        <f>IFERROR(J435*D435,0)</f>
      </c>
      <c r="L435" s="29">
        <f>IFERROR(E435*C435,0)</f>
      </c>
      <c r="M435" s="29">
        <f>IFERROR((G435*H435*I435/1000000)*D435,0)</f>
      </c>
    </row>
    <row r="436" spans="1:13" x14ac:dyDescent="0.25">
      <c r="A436" s="16"/>
      <c r="E436" s="27"/>
      <c r="F436" t="s">
        <v>26</v>
      </c>
      <c r="G436" s="28">
        <f>IFERROR(VLOOKUP(F436,CARTON_LOOKUP!$A:$E,3,0),"")</f>
      </c>
      <c r="H436" s="28">
        <f>IFERROR(VLOOKUP(F436,CARTON_LOOKUP!$A:$E,4,0),"")</f>
      </c>
      <c r="I436" s="28">
        <f>IFERROR(VLOOKUP(F436,CARTON_LOOKUP!$A:$E,5,0),"")</f>
      </c>
      <c r="J436" s="29">
        <f>IFERROR(VLOOKUP(F436,CARTON_LOOKUP!$A:$E,2,0),"")</f>
      </c>
      <c r="K436" s="29">
        <f>IFERROR(J436*D436,0)</f>
      </c>
      <c r="L436" s="29">
        <f>IFERROR(E436*C436,0)</f>
      </c>
      <c r="M436" s="29">
        <f>IFERROR((G436*H436*I436/1000000)*D436,0)</f>
      </c>
    </row>
    <row r="437" spans="1:13" x14ac:dyDescent="0.25">
      <c r="A437" s="16"/>
      <c r="E437" s="27"/>
      <c r="F437" t="s">
        <v>26</v>
      </c>
      <c r="G437" s="28">
        <f>IFERROR(VLOOKUP(F437,CARTON_LOOKUP!$A:$E,3,0),"")</f>
      </c>
      <c r="H437" s="28">
        <f>IFERROR(VLOOKUP(F437,CARTON_LOOKUP!$A:$E,4,0),"")</f>
      </c>
      <c r="I437" s="28">
        <f>IFERROR(VLOOKUP(F437,CARTON_LOOKUP!$A:$E,5,0),"")</f>
      </c>
      <c r="J437" s="29">
        <f>IFERROR(VLOOKUP(F437,CARTON_LOOKUP!$A:$E,2,0),"")</f>
      </c>
      <c r="K437" s="29">
        <f>IFERROR(J437*D437,0)</f>
      </c>
      <c r="L437" s="29">
        <f>IFERROR(E437*C437,0)</f>
      </c>
      <c r="M437" s="29">
        <f>IFERROR((G437*H437*I437/1000000)*D437,0)</f>
      </c>
    </row>
    <row r="438" spans="1:13" x14ac:dyDescent="0.25">
      <c r="A438" s="16"/>
      <c r="E438" s="27"/>
      <c r="F438" t="s">
        <v>26</v>
      </c>
      <c r="G438" s="28">
        <f>IFERROR(VLOOKUP(F438,CARTON_LOOKUP!$A:$E,3,0),"")</f>
      </c>
      <c r="H438" s="28">
        <f>IFERROR(VLOOKUP(F438,CARTON_LOOKUP!$A:$E,4,0),"")</f>
      </c>
      <c r="I438" s="28">
        <f>IFERROR(VLOOKUP(F438,CARTON_LOOKUP!$A:$E,5,0),"")</f>
      </c>
      <c r="J438" s="29">
        <f>IFERROR(VLOOKUP(F438,CARTON_LOOKUP!$A:$E,2,0),"")</f>
      </c>
      <c r="K438" s="29">
        <f>IFERROR(J438*D438,0)</f>
      </c>
      <c r="L438" s="29">
        <f>IFERROR(E438*C438,0)</f>
      </c>
      <c r="M438" s="29">
        <f>IFERROR((G438*H438*I438/1000000)*D438,0)</f>
      </c>
    </row>
    <row r="439" spans="1:13" x14ac:dyDescent="0.25">
      <c r="A439" s="16"/>
      <c r="E439" s="27"/>
      <c r="F439" t="s">
        <v>26</v>
      </c>
      <c r="G439" s="28">
        <f>IFERROR(VLOOKUP(F439,CARTON_LOOKUP!$A:$E,3,0),"")</f>
      </c>
      <c r="H439" s="28">
        <f>IFERROR(VLOOKUP(F439,CARTON_LOOKUP!$A:$E,4,0),"")</f>
      </c>
      <c r="I439" s="28">
        <f>IFERROR(VLOOKUP(F439,CARTON_LOOKUP!$A:$E,5,0),"")</f>
      </c>
      <c r="J439" s="29">
        <f>IFERROR(VLOOKUP(F439,CARTON_LOOKUP!$A:$E,2,0),"")</f>
      </c>
      <c r="K439" s="29">
        <f>IFERROR(J439*D439,0)</f>
      </c>
      <c r="L439" s="29">
        <f>IFERROR(E439*C439,0)</f>
      </c>
      <c r="M439" s="29">
        <f>IFERROR((G439*H439*I439/1000000)*D439,0)</f>
      </c>
    </row>
    <row r="440" spans="1:13" x14ac:dyDescent="0.25">
      <c r="A440" s="16"/>
      <c r="E440" s="27"/>
      <c r="F440" t="s">
        <v>26</v>
      </c>
      <c r="G440" s="28">
        <f>IFERROR(VLOOKUP(F440,CARTON_LOOKUP!$A:$E,3,0),"")</f>
      </c>
      <c r="H440" s="28">
        <f>IFERROR(VLOOKUP(F440,CARTON_LOOKUP!$A:$E,4,0),"")</f>
      </c>
      <c r="I440" s="28">
        <f>IFERROR(VLOOKUP(F440,CARTON_LOOKUP!$A:$E,5,0),"")</f>
      </c>
      <c r="J440" s="29">
        <f>IFERROR(VLOOKUP(F440,CARTON_LOOKUP!$A:$E,2,0),"")</f>
      </c>
      <c r="K440" s="29">
        <f>IFERROR(J440*D440,0)</f>
      </c>
      <c r="L440" s="29">
        <f>IFERROR(E440*C440,0)</f>
      </c>
      <c r="M440" s="29">
        <f>IFERROR((G440*H440*I440/1000000)*D440,0)</f>
      </c>
    </row>
    <row r="441" spans="1:13" x14ac:dyDescent="0.25">
      <c r="A441" s="16"/>
      <c r="E441" s="27"/>
      <c r="F441" t="s">
        <v>26</v>
      </c>
      <c r="G441" s="28">
        <f>IFERROR(VLOOKUP(F441,CARTON_LOOKUP!$A:$E,3,0),"")</f>
      </c>
      <c r="H441" s="28">
        <f>IFERROR(VLOOKUP(F441,CARTON_LOOKUP!$A:$E,4,0),"")</f>
      </c>
      <c r="I441" s="28">
        <f>IFERROR(VLOOKUP(F441,CARTON_LOOKUP!$A:$E,5,0),"")</f>
      </c>
      <c r="J441" s="29">
        <f>IFERROR(VLOOKUP(F441,CARTON_LOOKUP!$A:$E,2,0),"")</f>
      </c>
      <c r="K441" s="29">
        <f>IFERROR(J441*D441,0)</f>
      </c>
      <c r="L441" s="29">
        <f>IFERROR(E441*C441,0)</f>
      </c>
      <c r="M441" s="29">
        <f>IFERROR((G441*H441*I441/1000000)*D441,0)</f>
      </c>
    </row>
    <row r="442" spans="1:13" x14ac:dyDescent="0.25">
      <c r="A442" s="16"/>
      <c r="E442" s="27"/>
      <c r="F442" t="s">
        <v>26</v>
      </c>
      <c r="G442" s="28">
        <f>IFERROR(VLOOKUP(F442,CARTON_LOOKUP!$A:$E,3,0),"")</f>
      </c>
      <c r="H442" s="28">
        <f>IFERROR(VLOOKUP(F442,CARTON_LOOKUP!$A:$E,4,0),"")</f>
      </c>
      <c r="I442" s="28">
        <f>IFERROR(VLOOKUP(F442,CARTON_LOOKUP!$A:$E,5,0),"")</f>
      </c>
      <c r="J442" s="29">
        <f>IFERROR(VLOOKUP(F442,CARTON_LOOKUP!$A:$E,2,0),"")</f>
      </c>
      <c r="K442" s="29">
        <f>IFERROR(J442*D442,0)</f>
      </c>
      <c r="L442" s="29">
        <f>IFERROR(E442*C442,0)</f>
      </c>
      <c r="M442" s="29">
        <f>IFERROR((G442*H442*I442/1000000)*D442,0)</f>
      </c>
    </row>
    <row r="443" spans="1:13" x14ac:dyDescent="0.25">
      <c r="A443" s="16"/>
      <c r="E443" s="27"/>
      <c r="F443" t="s">
        <v>26</v>
      </c>
      <c r="G443" s="28">
        <f>IFERROR(VLOOKUP(F443,CARTON_LOOKUP!$A:$E,3,0),"")</f>
      </c>
      <c r="H443" s="28">
        <f>IFERROR(VLOOKUP(F443,CARTON_LOOKUP!$A:$E,4,0),"")</f>
      </c>
      <c r="I443" s="28">
        <f>IFERROR(VLOOKUP(F443,CARTON_LOOKUP!$A:$E,5,0),"")</f>
      </c>
      <c r="J443" s="29">
        <f>IFERROR(VLOOKUP(F443,CARTON_LOOKUP!$A:$E,2,0),"")</f>
      </c>
      <c r="K443" s="29">
        <f>IFERROR(J443*D443,0)</f>
      </c>
      <c r="L443" s="29">
        <f>IFERROR(E443*C443,0)</f>
      </c>
      <c r="M443" s="29">
        <f>IFERROR((G443*H443*I443/1000000)*D443,0)</f>
      </c>
    </row>
    <row r="444" spans="1:13" x14ac:dyDescent="0.25">
      <c r="A444" s="16"/>
      <c r="E444" s="27"/>
      <c r="F444" t="s">
        <v>26</v>
      </c>
      <c r="G444" s="28">
        <f>IFERROR(VLOOKUP(F444,CARTON_LOOKUP!$A:$E,3,0),"")</f>
      </c>
      <c r="H444" s="28">
        <f>IFERROR(VLOOKUP(F444,CARTON_LOOKUP!$A:$E,4,0),"")</f>
      </c>
      <c r="I444" s="28">
        <f>IFERROR(VLOOKUP(F444,CARTON_LOOKUP!$A:$E,5,0),"")</f>
      </c>
      <c r="J444" s="29">
        <f>IFERROR(VLOOKUP(F444,CARTON_LOOKUP!$A:$E,2,0),"")</f>
      </c>
      <c r="K444" s="29">
        <f>IFERROR(J444*D444,0)</f>
      </c>
      <c r="L444" s="29">
        <f>IFERROR(E444*C444,0)</f>
      </c>
      <c r="M444" s="29">
        <f>IFERROR((G444*H444*I444/1000000)*D444,0)</f>
      </c>
    </row>
    <row r="445" spans="1:13" x14ac:dyDescent="0.25">
      <c r="A445" s="16"/>
      <c r="E445" s="27"/>
      <c r="F445" t="s">
        <v>26</v>
      </c>
      <c r="G445" s="28">
        <f>IFERROR(VLOOKUP(F445,CARTON_LOOKUP!$A:$E,3,0),"")</f>
      </c>
      <c r="H445" s="28">
        <f>IFERROR(VLOOKUP(F445,CARTON_LOOKUP!$A:$E,4,0),"")</f>
      </c>
      <c r="I445" s="28">
        <f>IFERROR(VLOOKUP(F445,CARTON_LOOKUP!$A:$E,5,0),"")</f>
      </c>
      <c r="J445" s="29">
        <f>IFERROR(VLOOKUP(F445,CARTON_LOOKUP!$A:$E,2,0),"")</f>
      </c>
      <c r="K445" s="29">
        <f>IFERROR(J445*D445,0)</f>
      </c>
      <c r="L445" s="29">
        <f>IFERROR(E445*C445,0)</f>
      </c>
      <c r="M445" s="29">
        <f>IFERROR((G445*H445*I445/1000000)*D445,0)</f>
      </c>
    </row>
    <row r="446" spans="1:13" x14ac:dyDescent="0.25">
      <c r="A446" s="16"/>
      <c r="E446" s="27"/>
      <c r="F446" t="s">
        <v>26</v>
      </c>
      <c r="G446" s="28">
        <f>IFERROR(VLOOKUP(F446,CARTON_LOOKUP!$A:$E,3,0),"")</f>
      </c>
      <c r="H446" s="28">
        <f>IFERROR(VLOOKUP(F446,CARTON_LOOKUP!$A:$E,4,0),"")</f>
      </c>
      <c r="I446" s="28">
        <f>IFERROR(VLOOKUP(F446,CARTON_LOOKUP!$A:$E,5,0),"")</f>
      </c>
      <c r="J446" s="29">
        <f>IFERROR(VLOOKUP(F446,CARTON_LOOKUP!$A:$E,2,0),"")</f>
      </c>
      <c r="K446" s="29">
        <f>IFERROR(J446*D446,0)</f>
      </c>
      <c r="L446" s="29">
        <f>IFERROR(E446*C446,0)</f>
      </c>
      <c r="M446" s="29">
        <f>IFERROR((G446*H446*I446/1000000)*D446,0)</f>
      </c>
    </row>
    <row r="447" spans="1:13" x14ac:dyDescent="0.25">
      <c r="A447" s="16"/>
      <c r="E447" s="27"/>
      <c r="F447" t="s">
        <v>26</v>
      </c>
      <c r="G447" s="28">
        <f>IFERROR(VLOOKUP(F447,CARTON_LOOKUP!$A:$E,3,0),"")</f>
      </c>
      <c r="H447" s="28">
        <f>IFERROR(VLOOKUP(F447,CARTON_LOOKUP!$A:$E,4,0),"")</f>
      </c>
      <c r="I447" s="28">
        <f>IFERROR(VLOOKUP(F447,CARTON_LOOKUP!$A:$E,5,0),"")</f>
      </c>
      <c r="J447" s="29">
        <f>IFERROR(VLOOKUP(F447,CARTON_LOOKUP!$A:$E,2,0),"")</f>
      </c>
      <c r="K447" s="29">
        <f>IFERROR(J447*D447,0)</f>
      </c>
      <c r="L447" s="29">
        <f>IFERROR(E447*C447,0)</f>
      </c>
      <c r="M447" s="29">
        <f>IFERROR((G447*H447*I447/1000000)*D447,0)</f>
      </c>
    </row>
    <row r="448" spans="1:13" x14ac:dyDescent="0.25">
      <c r="A448" s="16"/>
      <c r="E448" s="27"/>
      <c r="F448" t="s">
        <v>26</v>
      </c>
      <c r="G448" s="28">
        <f>IFERROR(VLOOKUP(F448,CARTON_LOOKUP!$A:$E,3,0),"")</f>
      </c>
      <c r="H448" s="28">
        <f>IFERROR(VLOOKUP(F448,CARTON_LOOKUP!$A:$E,4,0),"")</f>
      </c>
      <c r="I448" s="28">
        <f>IFERROR(VLOOKUP(F448,CARTON_LOOKUP!$A:$E,5,0),"")</f>
      </c>
      <c r="J448" s="29">
        <f>IFERROR(VLOOKUP(F448,CARTON_LOOKUP!$A:$E,2,0),"")</f>
      </c>
      <c r="K448" s="29">
        <f>IFERROR(J448*D448,0)</f>
      </c>
      <c r="L448" s="29">
        <f>IFERROR(E448*C448,0)</f>
      </c>
      <c r="M448" s="29">
        <f>IFERROR((G448*H448*I448/1000000)*D448,0)</f>
      </c>
    </row>
    <row r="449" spans="1:13" x14ac:dyDescent="0.25">
      <c r="A449" s="16"/>
      <c r="E449" s="27"/>
      <c r="F449" t="s">
        <v>26</v>
      </c>
      <c r="G449" s="28">
        <f>IFERROR(VLOOKUP(F449,CARTON_LOOKUP!$A:$E,3,0),"")</f>
      </c>
      <c r="H449" s="28">
        <f>IFERROR(VLOOKUP(F449,CARTON_LOOKUP!$A:$E,4,0),"")</f>
      </c>
      <c r="I449" s="28">
        <f>IFERROR(VLOOKUP(F449,CARTON_LOOKUP!$A:$E,5,0),"")</f>
      </c>
      <c r="J449" s="29">
        <f>IFERROR(VLOOKUP(F449,CARTON_LOOKUP!$A:$E,2,0),"")</f>
      </c>
      <c r="K449" s="29">
        <f>IFERROR(J449*D449,0)</f>
      </c>
      <c r="L449" s="29">
        <f>IFERROR(E449*C449,0)</f>
      </c>
      <c r="M449" s="29">
        <f>IFERROR((G449*H449*I449/1000000)*D449,0)</f>
      </c>
    </row>
    <row r="450" spans="1:13" x14ac:dyDescent="0.25">
      <c r="A450" s="16"/>
      <c r="E450" s="27"/>
      <c r="F450" t="s">
        <v>26</v>
      </c>
      <c r="G450" s="28">
        <f>IFERROR(VLOOKUP(F450,CARTON_LOOKUP!$A:$E,3,0),"")</f>
      </c>
      <c r="H450" s="28">
        <f>IFERROR(VLOOKUP(F450,CARTON_LOOKUP!$A:$E,4,0),"")</f>
      </c>
      <c r="I450" s="28">
        <f>IFERROR(VLOOKUP(F450,CARTON_LOOKUP!$A:$E,5,0),"")</f>
      </c>
      <c r="J450" s="29">
        <f>IFERROR(VLOOKUP(F450,CARTON_LOOKUP!$A:$E,2,0),"")</f>
      </c>
      <c r="K450" s="29">
        <f>IFERROR(J450*D450,0)</f>
      </c>
      <c r="L450" s="29">
        <f>IFERROR(E450*C450,0)</f>
      </c>
      <c r="M450" s="29">
        <f>IFERROR((G450*H450*I450/1000000)*D450,0)</f>
      </c>
    </row>
    <row r="451" spans="1:13" x14ac:dyDescent="0.25">
      <c r="A451" s="16"/>
      <c r="E451" s="27"/>
      <c r="F451" t="s">
        <v>26</v>
      </c>
      <c r="G451" s="28">
        <f>IFERROR(VLOOKUP(F451,CARTON_LOOKUP!$A:$E,3,0),"")</f>
      </c>
      <c r="H451" s="28">
        <f>IFERROR(VLOOKUP(F451,CARTON_LOOKUP!$A:$E,4,0),"")</f>
      </c>
      <c r="I451" s="28">
        <f>IFERROR(VLOOKUP(F451,CARTON_LOOKUP!$A:$E,5,0),"")</f>
      </c>
      <c r="J451" s="29">
        <f>IFERROR(VLOOKUP(F451,CARTON_LOOKUP!$A:$E,2,0),"")</f>
      </c>
      <c r="K451" s="29">
        <f>IFERROR(J451*D451,0)</f>
      </c>
      <c r="L451" s="29">
        <f>IFERROR(E451*C451,0)</f>
      </c>
      <c r="M451" s="29">
        <f>IFERROR((G451*H451*I451/1000000)*D451,0)</f>
      </c>
    </row>
    <row r="452" spans="1:13" x14ac:dyDescent="0.25">
      <c r="A452" s="16"/>
      <c r="E452" s="27"/>
      <c r="F452" t="s">
        <v>26</v>
      </c>
      <c r="G452" s="28">
        <f>IFERROR(VLOOKUP(F452,CARTON_LOOKUP!$A:$E,3,0),"")</f>
      </c>
      <c r="H452" s="28">
        <f>IFERROR(VLOOKUP(F452,CARTON_LOOKUP!$A:$E,4,0),"")</f>
      </c>
      <c r="I452" s="28">
        <f>IFERROR(VLOOKUP(F452,CARTON_LOOKUP!$A:$E,5,0),"")</f>
      </c>
      <c r="J452" s="29">
        <f>IFERROR(VLOOKUP(F452,CARTON_LOOKUP!$A:$E,2,0),"")</f>
      </c>
      <c r="K452" s="29">
        <f>IFERROR(J452*D452,0)</f>
      </c>
      <c r="L452" s="29">
        <f>IFERROR(E452*C452,0)</f>
      </c>
      <c r="M452" s="29">
        <f>IFERROR((G452*H452*I452/1000000)*D452,0)</f>
      </c>
    </row>
    <row r="453" spans="1:13" x14ac:dyDescent="0.25">
      <c r="A453" s="16"/>
      <c r="E453" s="27"/>
      <c r="F453" t="s">
        <v>26</v>
      </c>
      <c r="G453" s="28">
        <f>IFERROR(VLOOKUP(F453,CARTON_LOOKUP!$A:$E,3,0),"")</f>
      </c>
      <c r="H453" s="28">
        <f>IFERROR(VLOOKUP(F453,CARTON_LOOKUP!$A:$E,4,0),"")</f>
      </c>
      <c r="I453" s="28">
        <f>IFERROR(VLOOKUP(F453,CARTON_LOOKUP!$A:$E,5,0),"")</f>
      </c>
      <c r="J453" s="29">
        <f>IFERROR(VLOOKUP(F453,CARTON_LOOKUP!$A:$E,2,0),"")</f>
      </c>
      <c r="K453" s="29">
        <f>IFERROR(J453*D453,0)</f>
      </c>
      <c r="L453" s="29">
        <f>IFERROR(E453*C453,0)</f>
      </c>
      <c r="M453" s="29">
        <f>IFERROR((G453*H453*I453/1000000)*D453,0)</f>
      </c>
    </row>
    <row r="454" spans="1:13" x14ac:dyDescent="0.25">
      <c r="A454" s="16"/>
      <c r="E454" s="27"/>
      <c r="F454" t="s">
        <v>26</v>
      </c>
      <c r="G454" s="28">
        <f>IFERROR(VLOOKUP(F454,CARTON_LOOKUP!$A:$E,3,0),"")</f>
      </c>
      <c r="H454" s="28">
        <f>IFERROR(VLOOKUP(F454,CARTON_LOOKUP!$A:$E,4,0),"")</f>
      </c>
      <c r="I454" s="28">
        <f>IFERROR(VLOOKUP(F454,CARTON_LOOKUP!$A:$E,5,0),"")</f>
      </c>
      <c r="J454" s="29">
        <f>IFERROR(VLOOKUP(F454,CARTON_LOOKUP!$A:$E,2,0),"")</f>
      </c>
      <c r="K454" s="29">
        <f>IFERROR(J454*D454,0)</f>
      </c>
      <c r="L454" s="29">
        <f>IFERROR(E454*C454,0)</f>
      </c>
      <c r="M454" s="29">
        <f>IFERROR((G454*H454*I454/1000000)*D454,0)</f>
      </c>
    </row>
    <row r="455" spans="1:13" x14ac:dyDescent="0.25">
      <c r="A455" s="16"/>
      <c r="E455" s="27"/>
      <c r="F455" t="s">
        <v>26</v>
      </c>
      <c r="G455" s="28">
        <f>IFERROR(VLOOKUP(F455,CARTON_LOOKUP!$A:$E,3,0),"")</f>
      </c>
      <c r="H455" s="28">
        <f>IFERROR(VLOOKUP(F455,CARTON_LOOKUP!$A:$E,4,0),"")</f>
      </c>
      <c r="I455" s="28">
        <f>IFERROR(VLOOKUP(F455,CARTON_LOOKUP!$A:$E,5,0),"")</f>
      </c>
      <c r="J455" s="29">
        <f>IFERROR(VLOOKUP(F455,CARTON_LOOKUP!$A:$E,2,0),"")</f>
      </c>
      <c r="K455" s="29">
        <f>IFERROR(J455*D455,0)</f>
      </c>
      <c r="L455" s="29">
        <f>IFERROR(E455*C455,0)</f>
      </c>
      <c r="M455" s="29">
        <f>IFERROR((G455*H455*I455/1000000)*D455,0)</f>
      </c>
    </row>
    <row r="456" spans="1:13" x14ac:dyDescent="0.25">
      <c r="A456" s="16"/>
      <c r="E456" s="27"/>
      <c r="F456" t="s">
        <v>26</v>
      </c>
      <c r="G456" s="28">
        <f>IFERROR(VLOOKUP(F456,CARTON_LOOKUP!$A:$E,3,0),"")</f>
      </c>
      <c r="H456" s="28">
        <f>IFERROR(VLOOKUP(F456,CARTON_LOOKUP!$A:$E,4,0),"")</f>
      </c>
      <c r="I456" s="28">
        <f>IFERROR(VLOOKUP(F456,CARTON_LOOKUP!$A:$E,5,0),"")</f>
      </c>
      <c r="J456" s="29">
        <f>IFERROR(VLOOKUP(F456,CARTON_LOOKUP!$A:$E,2,0),"")</f>
      </c>
      <c r="K456" s="29">
        <f>IFERROR(J456*D456,0)</f>
      </c>
      <c r="L456" s="29">
        <f>IFERROR(E456*C456,0)</f>
      </c>
      <c r="M456" s="29">
        <f>IFERROR((G456*H456*I456/1000000)*D456,0)</f>
      </c>
    </row>
    <row r="457" spans="1:13" x14ac:dyDescent="0.25">
      <c r="A457" s="16"/>
      <c r="E457" s="27"/>
      <c r="F457" t="s">
        <v>26</v>
      </c>
      <c r="G457" s="28">
        <f>IFERROR(VLOOKUP(F457,CARTON_LOOKUP!$A:$E,3,0),"")</f>
      </c>
      <c r="H457" s="28">
        <f>IFERROR(VLOOKUP(F457,CARTON_LOOKUP!$A:$E,4,0),"")</f>
      </c>
      <c r="I457" s="28">
        <f>IFERROR(VLOOKUP(F457,CARTON_LOOKUP!$A:$E,5,0),"")</f>
      </c>
      <c r="J457" s="29">
        <f>IFERROR(VLOOKUP(F457,CARTON_LOOKUP!$A:$E,2,0),"")</f>
      </c>
      <c r="K457" s="29">
        <f>IFERROR(J457*D457,0)</f>
      </c>
      <c r="L457" s="29">
        <f>IFERROR(E457*C457,0)</f>
      </c>
      <c r="M457" s="29">
        <f>IFERROR((G457*H457*I457/1000000)*D457,0)</f>
      </c>
    </row>
    <row r="458" spans="1:13" x14ac:dyDescent="0.25">
      <c r="A458" s="16"/>
      <c r="E458" s="27"/>
      <c r="F458" t="s">
        <v>26</v>
      </c>
      <c r="G458" s="28">
        <f>IFERROR(VLOOKUP(F458,CARTON_LOOKUP!$A:$E,3,0),"")</f>
      </c>
      <c r="H458" s="28">
        <f>IFERROR(VLOOKUP(F458,CARTON_LOOKUP!$A:$E,4,0),"")</f>
      </c>
      <c r="I458" s="28">
        <f>IFERROR(VLOOKUP(F458,CARTON_LOOKUP!$A:$E,5,0),"")</f>
      </c>
      <c r="J458" s="29">
        <f>IFERROR(VLOOKUP(F458,CARTON_LOOKUP!$A:$E,2,0),"")</f>
      </c>
      <c r="K458" s="29">
        <f>IFERROR(J458*D458,0)</f>
      </c>
      <c r="L458" s="29">
        <f>IFERROR(E458*C458,0)</f>
      </c>
      <c r="M458" s="29">
        <f>IFERROR((G458*H458*I458/1000000)*D458,0)</f>
      </c>
    </row>
    <row r="459" spans="1:13" x14ac:dyDescent="0.25">
      <c r="A459" s="16"/>
      <c r="E459" s="27"/>
      <c r="F459" t="s">
        <v>26</v>
      </c>
      <c r="G459" s="28">
        <f>IFERROR(VLOOKUP(F459,CARTON_LOOKUP!$A:$E,3,0),"")</f>
      </c>
      <c r="H459" s="28">
        <f>IFERROR(VLOOKUP(F459,CARTON_LOOKUP!$A:$E,4,0),"")</f>
      </c>
      <c r="I459" s="28">
        <f>IFERROR(VLOOKUP(F459,CARTON_LOOKUP!$A:$E,5,0),"")</f>
      </c>
      <c r="J459" s="29">
        <f>IFERROR(VLOOKUP(F459,CARTON_LOOKUP!$A:$E,2,0),"")</f>
      </c>
      <c r="K459" s="29">
        <f>IFERROR(J459*D459,0)</f>
      </c>
      <c r="L459" s="29">
        <f>IFERROR(E459*C459,0)</f>
      </c>
      <c r="M459" s="29">
        <f>IFERROR((G459*H459*I459/1000000)*D459,0)</f>
      </c>
    </row>
    <row r="460" spans="1:13" x14ac:dyDescent="0.25">
      <c r="A460" s="16"/>
      <c r="E460" s="27"/>
      <c r="F460" t="s">
        <v>26</v>
      </c>
      <c r="G460" s="28">
        <f>IFERROR(VLOOKUP(F460,CARTON_LOOKUP!$A:$E,3,0),"")</f>
      </c>
      <c r="H460" s="28">
        <f>IFERROR(VLOOKUP(F460,CARTON_LOOKUP!$A:$E,4,0),"")</f>
      </c>
      <c r="I460" s="28">
        <f>IFERROR(VLOOKUP(F460,CARTON_LOOKUP!$A:$E,5,0),"")</f>
      </c>
      <c r="J460" s="29">
        <f>IFERROR(VLOOKUP(F460,CARTON_LOOKUP!$A:$E,2,0),"")</f>
      </c>
      <c r="K460" s="29">
        <f>IFERROR(J460*D460,0)</f>
      </c>
      <c r="L460" s="29">
        <f>IFERROR(E460*C460,0)</f>
      </c>
      <c r="M460" s="29">
        <f>IFERROR((G460*H460*I460/1000000)*D460,0)</f>
      </c>
    </row>
    <row r="461" spans="1:13" x14ac:dyDescent="0.25">
      <c r="A461" s="16"/>
      <c r="E461" s="27"/>
      <c r="F461" t="s">
        <v>26</v>
      </c>
      <c r="G461" s="28">
        <f>IFERROR(VLOOKUP(F461,CARTON_LOOKUP!$A:$E,3,0),"")</f>
      </c>
      <c r="H461" s="28">
        <f>IFERROR(VLOOKUP(F461,CARTON_LOOKUP!$A:$E,4,0),"")</f>
      </c>
      <c r="I461" s="28">
        <f>IFERROR(VLOOKUP(F461,CARTON_LOOKUP!$A:$E,5,0),"")</f>
      </c>
      <c r="J461" s="29">
        <f>IFERROR(VLOOKUP(F461,CARTON_LOOKUP!$A:$E,2,0),"")</f>
      </c>
      <c r="K461" s="29">
        <f>IFERROR(J461*D461,0)</f>
      </c>
      <c r="L461" s="29">
        <f>IFERROR(E461*C461,0)</f>
      </c>
      <c r="M461" s="29">
        <f>IFERROR((G461*H461*I461/1000000)*D461,0)</f>
      </c>
    </row>
    <row r="462" spans="1:13" x14ac:dyDescent="0.25">
      <c r="A462" s="16"/>
      <c r="E462" s="27"/>
      <c r="F462" t="s">
        <v>26</v>
      </c>
      <c r="G462" s="28">
        <f>IFERROR(VLOOKUP(F462,CARTON_LOOKUP!$A:$E,3,0),"")</f>
      </c>
      <c r="H462" s="28">
        <f>IFERROR(VLOOKUP(F462,CARTON_LOOKUP!$A:$E,4,0),"")</f>
      </c>
      <c r="I462" s="28">
        <f>IFERROR(VLOOKUP(F462,CARTON_LOOKUP!$A:$E,5,0),"")</f>
      </c>
      <c r="J462" s="29">
        <f>IFERROR(VLOOKUP(F462,CARTON_LOOKUP!$A:$E,2,0),"")</f>
      </c>
      <c r="K462" s="29">
        <f>IFERROR(J462*D462,0)</f>
      </c>
      <c r="L462" s="29">
        <f>IFERROR(E462*C462,0)</f>
      </c>
      <c r="M462" s="29">
        <f>IFERROR((G462*H462*I462/1000000)*D462,0)</f>
      </c>
    </row>
    <row r="463" spans="1:13" x14ac:dyDescent="0.25">
      <c r="A463" s="16"/>
      <c r="E463" s="27"/>
      <c r="F463" t="s">
        <v>26</v>
      </c>
      <c r="G463" s="28">
        <f>IFERROR(VLOOKUP(F463,CARTON_LOOKUP!$A:$E,3,0),"")</f>
      </c>
      <c r="H463" s="28">
        <f>IFERROR(VLOOKUP(F463,CARTON_LOOKUP!$A:$E,4,0),"")</f>
      </c>
      <c r="I463" s="28">
        <f>IFERROR(VLOOKUP(F463,CARTON_LOOKUP!$A:$E,5,0),"")</f>
      </c>
      <c r="J463" s="29">
        <f>IFERROR(VLOOKUP(F463,CARTON_LOOKUP!$A:$E,2,0),"")</f>
      </c>
      <c r="K463" s="29">
        <f>IFERROR(J463*D463,0)</f>
      </c>
      <c r="L463" s="29">
        <f>IFERROR(E463*C463,0)</f>
      </c>
      <c r="M463" s="29">
        <f>IFERROR((G463*H463*I463/1000000)*D463,0)</f>
      </c>
    </row>
    <row r="464" spans="1:13" x14ac:dyDescent="0.25">
      <c r="A464" s="16"/>
      <c r="E464" s="27"/>
      <c r="F464" t="s">
        <v>26</v>
      </c>
      <c r="G464" s="28">
        <f>IFERROR(VLOOKUP(F464,CARTON_LOOKUP!$A:$E,3,0),"")</f>
      </c>
      <c r="H464" s="28">
        <f>IFERROR(VLOOKUP(F464,CARTON_LOOKUP!$A:$E,4,0),"")</f>
      </c>
      <c r="I464" s="28">
        <f>IFERROR(VLOOKUP(F464,CARTON_LOOKUP!$A:$E,5,0),"")</f>
      </c>
      <c r="J464" s="29">
        <f>IFERROR(VLOOKUP(F464,CARTON_LOOKUP!$A:$E,2,0),"")</f>
      </c>
      <c r="K464" s="29">
        <f>IFERROR(J464*D464,0)</f>
      </c>
      <c r="L464" s="29">
        <f>IFERROR(E464*C464,0)</f>
      </c>
      <c r="M464" s="29">
        <f>IFERROR((G464*H464*I464/1000000)*D464,0)</f>
      </c>
    </row>
    <row r="465" spans="1:13" x14ac:dyDescent="0.25">
      <c r="A465" s="16"/>
      <c r="E465" s="27"/>
      <c r="F465" t="s">
        <v>26</v>
      </c>
      <c r="G465" s="28">
        <f>IFERROR(VLOOKUP(F465,CARTON_LOOKUP!$A:$E,3,0),"")</f>
      </c>
      <c r="H465" s="28">
        <f>IFERROR(VLOOKUP(F465,CARTON_LOOKUP!$A:$E,4,0),"")</f>
      </c>
      <c r="I465" s="28">
        <f>IFERROR(VLOOKUP(F465,CARTON_LOOKUP!$A:$E,5,0),"")</f>
      </c>
      <c r="J465" s="29">
        <f>IFERROR(VLOOKUP(F465,CARTON_LOOKUP!$A:$E,2,0),"")</f>
      </c>
      <c r="K465" s="29">
        <f>IFERROR(J465*D465,0)</f>
      </c>
      <c r="L465" s="29">
        <f>IFERROR(E465*C465,0)</f>
      </c>
      <c r="M465" s="29">
        <f>IFERROR((G465*H465*I465/1000000)*D465,0)</f>
      </c>
    </row>
    <row r="466" spans="1:13" x14ac:dyDescent="0.25">
      <c r="A466" s="16"/>
      <c r="E466" s="27"/>
      <c r="F466" t="s">
        <v>26</v>
      </c>
      <c r="G466" s="28">
        <f>IFERROR(VLOOKUP(F466,CARTON_LOOKUP!$A:$E,3,0),"")</f>
      </c>
      <c r="H466" s="28">
        <f>IFERROR(VLOOKUP(F466,CARTON_LOOKUP!$A:$E,4,0),"")</f>
      </c>
      <c r="I466" s="28">
        <f>IFERROR(VLOOKUP(F466,CARTON_LOOKUP!$A:$E,5,0),"")</f>
      </c>
      <c r="J466" s="29">
        <f>IFERROR(VLOOKUP(F466,CARTON_LOOKUP!$A:$E,2,0),"")</f>
      </c>
      <c r="K466" s="29">
        <f>IFERROR(J466*D466,0)</f>
      </c>
      <c r="L466" s="29">
        <f>IFERROR(E466*C466,0)</f>
      </c>
      <c r="M466" s="29">
        <f>IFERROR((G466*H466*I466/1000000)*D466,0)</f>
      </c>
    </row>
    <row r="467" spans="1:13" x14ac:dyDescent="0.25">
      <c r="A467" s="16"/>
      <c r="E467" s="27"/>
      <c r="F467" t="s">
        <v>26</v>
      </c>
      <c r="G467" s="28">
        <f>IFERROR(VLOOKUP(F467,CARTON_LOOKUP!$A:$E,3,0),"")</f>
      </c>
      <c r="H467" s="28">
        <f>IFERROR(VLOOKUP(F467,CARTON_LOOKUP!$A:$E,4,0),"")</f>
      </c>
      <c r="I467" s="28">
        <f>IFERROR(VLOOKUP(F467,CARTON_LOOKUP!$A:$E,5,0),"")</f>
      </c>
      <c r="J467" s="29">
        <f>IFERROR(VLOOKUP(F467,CARTON_LOOKUP!$A:$E,2,0),"")</f>
      </c>
      <c r="K467" s="29">
        <f>IFERROR(J467*D467,0)</f>
      </c>
      <c r="L467" s="29">
        <f>IFERROR(E467*C467,0)</f>
      </c>
      <c r="M467" s="29">
        <f>IFERROR((G467*H467*I467/1000000)*D467,0)</f>
      </c>
    </row>
    <row r="468" spans="1:13" x14ac:dyDescent="0.25">
      <c r="A468" s="16"/>
      <c r="E468" s="27"/>
      <c r="F468" t="s">
        <v>26</v>
      </c>
      <c r="G468" s="28">
        <f>IFERROR(VLOOKUP(F468,CARTON_LOOKUP!$A:$E,3,0),"")</f>
      </c>
      <c r="H468" s="28">
        <f>IFERROR(VLOOKUP(F468,CARTON_LOOKUP!$A:$E,4,0),"")</f>
      </c>
      <c r="I468" s="28">
        <f>IFERROR(VLOOKUP(F468,CARTON_LOOKUP!$A:$E,5,0),"")</f>
      </c>
      <c r="J468" s="29">
        <f>IFERROR(VLOOKUP(F468,CARTON_LOOKUP!$A:$E,2,0),"")</f>
      </c>
      <c r="K468" s="29">
        <f>IFERROR(J468*D468,0)</f>
      </c>
      <c r="L468" s="29">
        <f>IFERROR(E468*C468,0)</f>
      </c>
      <c r="M468" s="29">
        <f>IFERROR((G468*H468*I468/1000000)*D468,0)</f>
      </c>
    </row>
    <row r="469" spans="1:13" x14ac:dyDescent="0.25">
      <c r="A469" s="16"/>
      <c r="E469" s="27"/>
      <c r="F469" t="s">
        <v>26</v>
      </c>
      <c r="G469" s="28">
        <f>IFERROR(VLOOKUP(F469,CARTON_LOOKUP!$A:$E,3,0),"")</f>
      </c>
      <c r="H469" s="28">
        <f>IFERROR(VLOOKUP(F469,CARTON_LOOKUP!$A:$E,4,0),"")</f>
      </c>
      <c r="I469" s="28">
        <f>IFERROR(VLOOKUP(F469,CARTON_LOOKUP!$A:$E,5,0),"")</f>
      </c>
      <c r="J469" s="29">
        <f>IFERROR(VLOOKUP(F469,CARTON_LOOKUP!$A:$E,2,0),"")</f>
      </c>
      <c r="K469" s="29">
        <f>IFERROR(J469*D469,0)</f>
      </c>
      <c r="L469" s="29">
        <f>IFERROR(E469*C469,0)</f>
      </c>
      <c r="M469" s="29">
        <f>IFERROR((G469*H469*I469/1000000)*D469,0)</f>
      </c>
    </row>
    <row r="470" spans="1:13" x14ac:dyDescent="0.25">
      <c r="A470" s="16"/>
      <c r="E470" s="27"/>
      <c r="F470" t="s">
        <v>26</v>
      </c>
      <c r="G470" s="28">
        <f>IFERROR(VLOOKUP(F470,CARTON_LOOKUP!$A:$E,3,0),"")</f>
      </c>
      <c r="H470" s="28">
        <f>IFERROR(VLOOKUP(F470,CARTON_LOOKUP!$A:$E,4,0),"")</f>
      </c>
      <c r="I470" s="28">
        <f>IFERROR(VLOOKUP(F470,CARTON_LOOKUP!$A:$E,5,0),"")</f>
      </c>
      <c r="J470" s="29">
        <f>IFERROR(VLOOKUP(F470,CARTON_LOOKUP!$A:$E,2,0),"")</f>
      </c>
      <c r="K470" s="29">
        <f>IFERROR(J470*D470,0)</f>
      </c>
      <c r="L470" s="29">
        <f>IFERROR(E470*C470,0)</f>
      </c>
      <c r="M470" s="29">
        <f>IFERROR((G470*H470*I470/1000000)*D470,0)</f>
      </c>
    </row>
    <row r="471" spans="1:13" x14ac:dyDescent="0.25">
      <c r="A471" s="16"/>
      <c r="E471" s="27"/>
      <c r="F471" t="s">
        <v>26</v>
      </c>
      <c r="G471" s="28">
        <f>IFERROR(VLOOKUP(F471,CARTON_LOOKUP!$A:$E,3,0),"")</f>
      </c>
      <c r="H471" s="28">
        <f>IFERROR(VLOOKUP(F471,CARTON_LOOKUP!$A:$E,4,0),"")</f>
      </c>
      <c r="I471" s="28">
        <f>IFERROR(VLOOKUP(F471,CARTON_LOOKUP!$A:$E,5,0),"")</f>
      </c>
      <c r="J471" s="29">
        <f>IFERROR(VLOOKUP(F471,CARTON_LOOKUP!$A:$E,2,0),"")</f>
      </c>
      <c r="K471" s="29">
        <f>IFERROR(J471*D471,0)</f>
      </c>
      <c r="L471" s="29">
        <f>IFERROR(E471*C471,0)</f>
      </c>
      <c r="M471" s="29">
        <f>IFERROR((G471*H471*I471/1000000)*D471,0)</f>
      </c>
    </row>
    <row r="472" spans="1:13" x14ac:dyDescent="0.25">
      <c r="A472" s="16"/>
      <c r="E472" s="27"/>
      <c r="F472" t="s">
        <v>26</v>
      </c>
      <c r="G472" s="28">
        <f>IFERROR(VLOOKUP(F472,CARTON_LOOKUP!$A:$E,3,0),"")</f>
      </c>
      <c r="H472" s="28">
        <f>IFERROR(VLOOKUP(F472,CARTON_LOOKUP!$A:$E,4,0),"")</f>
      </c>
      <c r="I472" s="28">
        <f>IFERROR(VLOOKUP(F472,CARTON_LOOKUP!$A:$E,5,0),"")</f>
      </c>
      <c r="J472" s="29">
        <f>IFERROR(VLOOKUP(F472,CARTON_LOOKUP!$A:$E,2,0),"")</f>
      </c>
      <c r="K472" s="29">
        <f>IFERROR(J472*D472,0)</f>
      </c>
      <c r="L472" s="29">
        <f>IFERROR(E472*C472,0)</f>
      </c>
      <c r="M472" s="29">
        <f>IFERROR((G472*H472*I472/1000000)*D472,0)</f>
      </c>
    </row>
    <row r="473" spans="1:13" x14ac:dyDescent="0.25">
      <c r="A473" s="16"/>
      <c r="E473" s="27"/>
      <c r="F473" t="s">
        <v>26</v>
      </c>
      <c r="G473" s="28">
        <f>IFERROR(VLOOKUP(F473,CARTON_LOOKUP!$A:$E,3,0),"")</f>
      </c>
      <c r="H473" s="28">
        <f>IFERROR(VLOOKUP(F473,CARTON_LOOKUP!$A:$E,4,0),"")</f>
      </c>
      <c r="I473" s="28">
        <f>IFERROR(VLOOKUP(F473,CARTON_LOOKUP!$A:$E,5,0),"")</f>
      </c>
      <c r="J473" s="29">
        <f>IFERROR(VLOOKUP(F473,CARTON_LOOKUP!$A:$E,2,0),"")</f>
      </c>
      <c r="K473" s="29">
        <f>IFERROR(J473*D473,0)</f>
      </c>
      <c r="L473" s="29">
        <f>IFERROR(E473*C473,0)</f>
      </c>
      <c r="M473" s="29">
        <f>IFERROR((G473*H473*I473/1000000)*D473,0)</f>
      </c>
    </row>
    <row r="474" spans="1:13" x14ac:dyDescent="0.25">
      <c r="A474" s="16"/>
      <c r="E474" s="27"/>
      <c r="F474" t="s">
        <v>26</v>
      </c>
      <c r="G474" s="28">
        <f>IFERROR(VLOOKUP(F474,CARTON_LOOKUP!$A:$E,3,0),"")</f>
      </c>
      <c r="H474" s="28">
        <f>IFERROR(VLOOKUP(F474,CARTON_LOOKUP!$A:$E,4,0),"")</f>
      </c>
      <c r="I474" s="28">
        <f>IFERROR(VLOOKUP(F474,CARTON_LOOKUP!$A:$E,5,0),"")</f>
      </c>
      <c r="J474" s="29">
        <f>IFERROR(VLOOKUP(F474,CARTON_LOOKUP!$A:$E,2,0),"")</f>
      </c>
      <c r="K474" s="29">
        <f>IFERROR(J474*D474,0)</f>
      </c>
      <c r="L474" s="29">
        <f>IFERROR(E474*C474,0)</f>
      </c>
      <c r="M474" s="29">
        <f>IFERROR((G474*H474*I474/1000000)*D474,0)</f>
      </c>
    </row>
    <row r="475" spans="1:13" x14ac:dyDescent="0.25">
      <c r="A475" s="16"/>
      <c r="E475" s="27"/>
      <c r="F475" t="s">
        <v>26</v>
      </c>
      <c r="G475" s="28">
        <f>IFERROR(VLOOKUP(F475,CARTON_LOOKUP!$A:$E,3,0),"")</f>
      </c>
      <c r="H475" s="28">
        <f>IFERROR(VLOOKUP(F475,CARTON_LOOKUP!$A:$E,4,0),"")</f>
      </c>
      <c r="I475" s="28">
        <f>IFERROR(VLOOKUP(F475,CARTON_LOOKUP!$A:$E,5,0),"")</f>
      </c>
      <c r="J475" s="29">
        <f>IFERROR(VLOOKUP(F475,CARTON_LOOKUP!$A:$E,2,0),"")</f>
      </c>
      <c r="K475" s="29">
        <f>IFERROR(J475*D475,0)</f>
      </c>
      <c r="L475" s="29">
        <f>IFERROR(E475*C475,0)</f>
      </c>
      <c r="M475" s="29">
        <f>IFERROR((G475*H475*I475/1000000)*D475,0)</f>
      </c>
    </row>
    <row r="476" spans="1:13" x14ac:dyDescent="0.25">
      <c r="A476" s="16"/>
      <c r="E476" s="27"/>
      <c r="F476" t="s">
        <v>26</v>
      </c>
      <c r="G476" s="28">
        <f>IFERROR(VLOOKUP(F476,CARTON_LOOKUP!$A:$E,3,0),"")</f>
      </c>
      <c r="H476" s="28">
        <f>IFERROR(VLOOKUP(F476,CARTON_LOOKUP!$A:$E,4,0),"")</f>
      </c>
      <c r="I476" s="28">
        <f>IFERROR(VLOOKUP(F476,CARTON_LOOKUP!$A:$E,5,0),"")</f>
      </c>
      <c r="J476" s="29">
        <f>IFERROR(VLOOKUP(F476,CARTON_LOOKUP!$A:$E,2,0),"")</f>
      </c>
      <c r="K476" s="29">
        <f>IFERROR(J476*D476,0)</f>
      </c>
      <c r="L476" s="29">
        <f>IFERROR(E476*C476,0)</f>
      </c>
      <c r="M476" s="29">
        <f>IFERROR((G476*H476*I476/1000000)*D476,0)</f>
      </c>
    </row>
    <row r="477" spans="1:13" x14ac:dyDescent="0.25">
      <c r="A477" s="16"/>
      <c r="E477" s="27"/>
      <c r="F477" t="s">
        <v>26</v>
      </c>
      <c r="G477" s="28">
        <f>IFERROR(VLOOKUP(F477,CARTON_LOOKUP!$A:$E,3,0),"")</f>
      </c>
      <c r="H477" s="28">
        <f>IFERROR(VLOOKUP(F477,CARTON_LOOKUP!$A:$E,4,0),"")</f>
      </c>
      <c r="I477" s="28">
        <f>IFERROR(VLOOKUP(F477,CARTON_LOOKUP!$A:$E,5,0),"")</f>
      </c>
      <c r="J477" s="29">
        <f>IFERROR(VLOOKUP(F477,CARTON_LOOKUP!$A:$E,2,0),"")</f>
      </c>
      <c r="K477" s="29">
        <f>IFERROR(J477*D477,0)</f>
      </c>
      <c r="L477" s="29">
        <f>IFERROR(E477*C477,0)</f>
      </c>
      <c r="M477" s="29">
        <f>IFERROR((G477*H477*I477/1000000)*D477,0)</f>
      </c>
    </row>
    <row r="478" spans="1:13" x14ac:dyDescent="0.25">
      <c r="A478" s="16"/>
      <c r="E478" s="27"/>
      <c r="F478" t="s">
        <v>26</v>
      </c>
      <c r="G478" s="28">
        <f>IFERROR(VLOOKUP(F478,CARTON_LOOKUP!$A:$E,3,0),"")</f>
      </c>
      <c r="H478" s="28">
        <f>IFERROR(VLOOKUP(F478,CARTON_LOOKUP!$A:$E,4,0),"")</f>
      </c>
      <c r="I478" s="28">
        <f>IFERROR(VLOOKUP(F478,CARTON_LOOKUP!$A:$E,5,0),"")</f>
      </c>
      <c r="J478" s="29">
        <f>IFERROR(VLOOKUP(F478,CARTON_LOOKUP!$A:$E,2,0),"")</f>
      </c>
      <c r="K478" s="29">
        <f>IFERROR(J478*D478,0)</f>
      </c>
      <c r="L478" s="29">
        <f>IFERROR(E478*C478,0)</f>
      </c>
      <c r="M478" s="29">
        <f>IFERROR((G478*H478*I478/1000000)*D478,0)</f>
      </c>
    </row>
    <row r="479" spans="1:13" x14ac:dyDescent="0.25">
      <c r="A479" s="16"/>
      <c r="E479" s="27"/>
      <c r="F479" t="s">
        <v>26</v>
      </c>
      <c r="G479" s="28">
        <f>IFERROR(VLOOKUP(F479,CARTON_LOOKUP!$A:$E,3,0),"")</f>
      </c>
      <c r="H479" s="28">
        <f>IFERROR(VLOOKUP(F479,CARTON_LOOKUP!$A:$E,4,0),"")</f>
      </c>
      <c r="I479" s="28">
        <f>IFERROR(VLOOKUP(F479,CARTON_LOOKUP!$A:$E,5,0),"")</f>
      </c>
      <c r="J479" s="29">
        <f>IFERROR(VLOOKUP(F479,CARTON_LOOKUP!$A:$E,2,0),"")</f>
      </c>
      <c r="K479" s="29">
        <f>IFERROR(J479*D479,0)</f>
      </c>
      <c r="L479" s="29">
        <f>IFERROR(E479*C479,0)</f>
      </c>
      <c r="M479" s="29">
        <f>IFERROR((G479*H479*I479/1000000)*D479,0)</f>
      </c>
    </row>
    <row r="480" spans="1:13" x14ac:dyDescent="0.25">
      <c r="A480" s="16"/>
      <c r="E480" s="27"/>
      <c r="F480" t="s">
        <v>26</v>
      </c>
      <c r="G480" s="28">
        <f>IFERROR(VLOOKUP(F480,CARTON_LOOKUP!$A:$E,3,0),"")</f>
      </c>
      <c r="H480" s="28">
        <f>IFERROR(VLOOKUP(F480,CARTON_LOOKUP!$A:$E,4,0),"")</f>
      </c>
      <c r="I480" s="28">
        <f>IFERROR(VLOOKUP(F480,CARTON_LOOKUP!$A:$E,5,0),"")</f>
      </c>
      <c r="J480" s="29">
        <f>IFERROR(VLOOKUP(F480,CARTON_LOOKUP!$A:$E,2,0),"")</f>
      </c>
      <c r="K480" s="29">
        <f>IFERROR(J480*D480,0)</f>
      </c>
      <c r="L480" s="29">
        <f>IFERROR(E480*C480,0)</f>
      </c>
      <c r="M480" s="29">
        <f>IFERROR((G480*H480*I480/1000000)*D480,0)</f>
      </c>
    </row>
    <row r="481" spans="1:13" x14ac:dyDescent="0.25">
      <c r="A481" s="16"/>
      <c r="E481" s="27"/>
      <c r="F481" t="s">
        <v>26</v>
      </c>
      <c r="G481" s="28">
        <f>IFERROR(VLOOKUP(F481,CARTON_LOOKUP!$A:$E,3,0),"")</f>
      </c>
      <c r="H481" s="28">
        <f>IFERROR(VLOOKUP(F481,CARTON_LOOKUP!$A:$E,4,0),"")</f>
      </c>
      <c r="I481" s="28">
        <f>IFERROR(VLOOKUP(F481,CARTON_LOOKUP!$A:$E,5,0),"")</f>
      </c>
      <c r="J481" s="29">
        <f>IFERROR(VLOOKUP(F481,CARTON_LOOKUP!$A:$E,2,0),"")</f>
      </c>
      <c r="K481" s="29">
        <f>IFERROR(J481*D481,0)</f>
      </c>
      <c r="L481" s="29">
        <f>IFERROR(E481*C481,0)</f>
      </c>
      <c r="M481" s="29">
        <f>IFERROR((G481*H481*I481/1000000)*D481,0)</f>
      </c>
    </row>
    <row r="482" spans="1:13" x14ac:dyDescent="0.25">
      <c r="A482" s="16"/>
      <c r="E482" s="27"/>
      <c r="F482" t="s">
        <v>26</v>
      </c>
      <c r="G482" s="28">
        <f>IFERROR(VLOOKUP(F482,CARTON_LOOKUP!$A:$E,3,0),"")</f>
      </c>
      <c r="H482" s="28">
        <f>IFERROR(VLOOKUP(F482,CARTON_LOOKUP!$A:$E,4,0),"")</f>
      </c>
      <c r="I482" s="28">
        <f>IFERROR(VLOOKUP(F482,CARTON_LOOKUP!$A:$E,5,0),"")</f>
      </c>
      <c r="J482" s="29">
        <f>IFERROR(VLOOKUP(F482,CARTON_LOOKUP!$A:$E,2,0),"")</f>
      </c>
      <c r="K482" s="29">
        <f>IFERROR(J482*D482,0)</f>
      </c>
      <c r="L482" s="29">
        <f>IFERROR(E482*C482,0)</f>
      </c>
      <c r="M482" s="29">
        <f>IFERROR((G482*H482*I482/1000000)*D482,0)</f>
      </c>
    </row>
    <row r="483" spans="1:13" x14ac:dyDescent="0.25">
      <c r="A483" s="16"/>
      <c r="E483" s="27"/>
      <c r="F483" t="s">
        <v>26</v>
      </c>
      <c r="G483" s="28">
        <f>IFERROR(VLOOKUP(F483,CARTON_LOOKUP!$A:$E,3,0),"")</f>
      </c>
      <c r="H483" s="28">
        <f>IFERROR(VLOOKUP(F483,CARTON_LOOKUP!$A:$E,4,0),"")</f>
      </c>
      <c r="I483" s="28">
        <f>IFERROR(VLOOKUP(F483,CARTON_LOOKUP!$A:$E,5,0),"")</f>
      </c>
      <c r="J483" s="29">
        <f>IFERROR(VLOOKUP(F483,CARTON_LOOKUP!$A:$E,2,0),"")</f>
      </c>
      <c r="K483" s="29">
        <f>IFERROR(J483*D483,0)</f>
      </c>
      <c r="L483" s="29">
        <f>IFERROR(E483*C483,0)</f>
      </c>
      <c r="M483" s="29">
        <f>IFERROR((G483*H483*I483/1000000)*D483,0)</f>
      </c>
    </row>
    <row r="484" spans="1:13" x14ac:dyDescent="0.25">
      <c r="A484" s="16"/>
      <c r="E484" s="27"/>
      <c r="F484" t="s">
        <v>26</v>
      </c>
      <c r="G484" s="28">
        <f>IFERROR(VLOOKUP(F484,CARTON_LOOKUP!$A:$E,3,0),"")</f>
      </c>
      <c r="H484" s="28">
        <f>IFERROR(VLOOKUP(F484,CARTON_LOOKUP!$A:$E,4,0),"")</f>
      </c>
      <c r="I484" s="28">
        <f>IFERROR(VLOOKUP(F484,CARTON_LOOKUP!$A:$E,5,0),"")</f>
      </c>
      <c r="J484" s="29">
        <f>IFERROR(VLOOKUP(F484,CARTON_LOOKUP!$A:$E,2,0),"")</f>
      </c>
      <c r="K484" s="29">
        <f>IFERROR(J484*D484,0)</f>
      </c>
      <c r="L484" s="29">
        <f>IFERROR(E484*C484,0)</f>
      </c>
      <c r="M484" s="29">
        <f>IFERROR((G484*H484*I484/1000000)*D484,0)</f>
      </c>
    </row>
    <row r="485" spans="1:13" x14ac:dyDescent="0.25">
      <c r="A485" s="16"/>
      <c r="E485" s="27"/>
      <c r="F485" t="s">
        <v>26</v>
      </c>
      <c r="G485" s="28">
        <f>IFERROR(VLOOKUP(F485,CARTON_LOOKUP!$A:$E,3,0),"")</f>
      </c>
      <c r="H485" s="28">
        <f>IFERROR(VLOOKUP(F485,CARTON_LOOKUP!$A:$E,4,0),"")</f>
      </c>
      <c r="I485" s="28">
        <f>IFERROR(VLOOKUP(F485,CARTON_LOOKUP!$A:$E,5,0),"")</f>
      </c>
      <c r="J485" s="29">
        <f>IFERROR(VLOOKUP(F485,CARTON_LOOKUP!$A:$E,2,0),"")</f>
      </c>
      <c r="K485" s="29">
        <f>IFERROR(J485*D485,0)</f>
      </c>
      <c r="L485" s="29">
        <f>IFERROR(E485*C485,0)</f>
      </c>
      <c r="M485" s="29">
        <f>IFERROR((G485*H485*I485/1000000)*D485,0)</f>
      </c>
    </row>
    <row r="486" spans="1:13" x14ac:dyDescent="0.25">
      <c r="A486" s="16"/>
      <c r="E486" s="27"/>
      <c r="F486" t="s">
        <v>26</v>
      </c>
      <c r="G486" s="28">
        <f>IFERROR(VLOOKUP(F486,CARTON_LOOKUP!$A:$E,3,0),"")</f>
      </c>
      <c r="H486" s="28">
        <f>IFERROR(VLOOKUP(F486,CARTON_LOOKUP!$A:$E,4,0),"")</f>
      </c>
      <c r="I486" s="28">
        <f>IFERROR(VLOOKUP(F486,CARTON_LOOKUP!$A:$E,5,0),"")</f>
      </c>
      <c r="J486" s="29">
        <f>IFERROR(VLOOKUP(F486,CARTON_LOOKUP!$A:$E,2,0),"")</f>
      </c>
      <c r="K486" s="29">
        <f>IFERROR(J486*D486,0)</f>
      </c>
      <c r="L486" s="29">
        <f>IFERROR(E486*C486,0)</f>
      </c>
      <c r="M486" s="29">
        <f>IFERROR((G486*H486*I486/1000000)*D486,0)</f>
      </c>
    </row>
    <row r="487" spans="1:13" x14ac:dyDescent="0.25">
      <c r="A487" s="16"/>
      <c r="E487" s="27"/>
      <c r="F487" t="s">
        <v>26</v>
      </c>
      <c r="G487" s="28">
        <f>IFERROR(VLOOKUP(F487,CARTON_LOOKUP!$A:$E,3,0),"")</f>
      </c>
      <c r="H487" s="28">
        <f>IFERROR(VLOOKUP(F487,CARTON_LOOKUP!$A:$E,4,0),"")</f>
      </c>
      <c r="I487" s="28">
        <f>IFERROR(VLOOKUP(F487,CARTON_LOOKUP!$A:$E,5,0),"")</f>
      </c>
      <c r="J487" s="29">
        <f>IFERROR(VLOOKUP(F487,CARTON_LOOKUP!$A:$E,2,0),"")</f>
      </c>
      <c r="K487" s="29">
        <f>IFERROR(J487*D487,0)</f>
      </c>
      <c r="L487" s="29">
        <f>IFERROR(E487*C487,0)</f>
      </c>
      <c r="M487" s="29">
        <f>IFERROR((G487*H487*I487/1000000)*D487,0)</f>
      </c>
    </row>
    <row r="488" spans="1:13" x14ac:dyDescent="0.25">
      <c r="A488" s="16"/>
      <c r="E488" s="27"/>
      <c r="F488" t="s">
        <v>26</v>
      </c>
      <c r="G488" s="28">
        <f>IFERROR(VLOOKUP(F488,CARTON_LOOKUP!$A:$E,3,0),"")</f>
      </c>
      <c r="H488" s="28">
        <f>IFERROR(VLOOKUP(F488,CARTON_LOOKUP!$A:$E,4,0),"")</f>
      </c>
      <c r="I488" s="28">
        <f>IFERROR(VLOOKUP(F488,CARTON_LOOKUP!$A:$E,5,0),"")</f>
      </c>
      <c r="J488" s="29">
        <f>IFERROR(VLOOKUP(F488,CARTON_LOOKUP!$A:$E,2,0),"")</f>
      </c>
      <c r="K488" s="29">
        <f>IFERROR(J488*D488,0)</f>
      </c>
      <c r="L488" s="29">
        <f>IFERROR(E488*C488,0)</f>
      </c>
      <c r="M488" s="29">
        <f>IFERROR((G488*H488*I488/1000000)*D488,0)</f>
      </c>
    </row>
    <row r="489" spans="1:13" x14ac:dyDescent="0.25">
      <c r="A489" s="16"/>
      <c r="E489" s="27"/>
      <c r="F489" t="s">
        <v>26</v>
      </c>
      <c r="G489" s="28">
        <f>IFERROR(VLOOKUP(F489,CARTON_LOOKUP!$A:$E,3,0),"")</f>
      </c>
      <c r="H489" s="28">
        <f>IFERROR(VLOOKUP(F489,CARTON_LOOKUP!$A:$E,4,0),"")</f>
      </c>
      <c r="I489" s="28">
        <f>IFERROR(VLOOKUP(F489,CARTON_LOOKUP!$A:$E,5,0),"")</f>
      </c>
      <c r="J489" s="29">
        <f>IFERROR(VLOOKUP(F489,CARTON_LOOKUP!$A:$E,2,0),"")</f>
      </c>
      <c r="K489" s="29">
        <f>IFERROR(J489*D489,0)</f>
      </c>
      <c r="L489" s="29">
        <f>IFERROR(E489*C489,0)</f>
      </c>
      <c r="M489" s="29">
        <f>IFERROR((G489*H489*I489/1000000)*D489,0)</f>
      </c>
    </row>
    <row r="490" spans="1:13" x14ac:dyDescent="0.25">
      <c r="A490" s="16"/>
      <c r="E490" s="27"/>
      <c r="F490" t="s">
        <v>26</v>
      </c>
      <c r="G490" s="28">
        <f>IFERROR(VLOOKUP(F490,CARTON_LOOKUP!$A:$E,3,0),"")</f>
      </c>
      <c r="H490" s="28">
        <f>IFERROR(VLOOKUP(F490,CARTON_LOOKUP!$A:$E,4,0),"")</f>
      </c>
      <c r="I490" s="28">
        <f>IFERROR(VLOOKUP(F490,CARTON_LOOKUP!$A:$E,5,0),"")</f>
      </c>
      <c r="J490" s="29">
        <f>IFERROR(VLOOKUP(F490,CARTON_LOOKUP!$A:$E,2,0),"")</f>
      </c>
      <c r="K490" s="29">
        <f>IFERROR(J490*D490,0)</f>
      </c>
      <c r="L490" s="29">
        <f>IFERROR(E490*C490,0)</f>
      </c>
      <c r="M490" s="29">
        <f>IFERROR((G490*H490*I490/1000000)*D490,0)</f>
      </c>
    </row>
    <row r="491" spans="1:13" x14ac:dyDescent="0.25">
      <c r="A491" s="16"/>
      <c r="E491" s="27"/>
      <c r="F491" t="s">
        <v>26</v>
      </c>
      <c r="G491" s="28">
        <f>IFERROR(VLOOKUP(F491,CARTON_LOOKUP!$A:$E,3,0),"")</f>
      </c>
      <c r="H491" s="28">
        <f>IFERROR(VLOOKUP(F491,CARTON_LOOKUP!$A:$E,4,0),"")</f>
      </c>
      <c r="I491" s="28">
        <f>IFERROR(VLOOKUP(F491,CARTON_LOOKUP!$A:$E,5,0),"")</f>
      </c>
      <c r="J491" s="29">
        <f>IFERROR(VLOOKUP(F491,CARTON_LOOKUP!$A:$E,2,0),"")</f>
      </c>
      <c r="K491" s="29">
        <f>IFERROR(J491*D491,0)</f>
      </c>
      <c r="L491" s="29">
        <f>IFERROR(E491*C491,0)</f>
      </c>
      <c r="M491" s="29">
        <f>IFERROR((G491*H491*I491/1000000)*D491,0)</f>
      </c>
    </row>
    <row r="492" spans="1:13" x14ac:dyDescent="0.25">
      <c r="A492" s="16"/>
      <c r="E492" s="27"/>
      <c r="F492" t="s">
        <v>26</v>
      </c>
      <c r="G492" s="28">
        <f>IFERROR(VLOOKUP(F492,CARTON_LOOKUP!$A:$E,3,0),"")</f>
      </c>
      <c r="H492" s="28">
        <f>IFERROR(VLOOKUP(F492,CARTON_LOOKUP!$A:$E,4,0),"")</f>
      </c>
      <c r="I492" s="28">
        <f>IFERROR(VLOOKUP(F492,CARTON_LOOKUP!$A:$E,5,0),"")</f>
      </c>
      <c r="J492" s="29">
        <f>IFERROR(VLOOKUP(F492,CARTON_LOOKUP!$A:$E,2,0),"")</f>
      </c>
      <c r="K492" s="29">
        <f>IFERROR(J492*D492,0)</f>
      </c>
      <c r="L492" s="29">
        <f>IFERROR(E492*C492,0)</f>
      </c>
      <c r="M492" s="29">
        <f>IFERROR((G492*H492*I492/1000000)*D492,0)</f>
      </c>
    </row>
    <row r="493" spans="1:13" x14ac:dyDescent="0.25">
      <c r="A493" s="16"/>
      <c r="E493" s="27"/>
      <c r="F493" t="s">
        <v>26</v>
      </c>
      <c r="G493" s="28">
        <f>IFERROR(VLOOKUP(F493,CARTON_LOOKUP!$A:$E,3,0),"")</f>
      </c>
      <c r="H493" s="28">
        <f>IFERROR(VLOOKUP(F493,CARTON_LOOKUP!$A:$E,4,0),"")</f>
      </c>
      <c r="I493" s="28">
        <f>IFERROR(VLOOKUP(F493,CARTON_LOOKUP!$A:$E,5,0),"")</f>
      </c>
      <c r="J493" s="29">
        <f>IFERROR(VLOOKUP(F493,CARTON_LOOKUP!$A:$E,2,0),"")</f>
      </c>
      <c r="K493" s="29">
        <f>IFERROR(J493*D493,0)</f>
      </c>
      <c r="L493" s="29">
        <f>IFERROR(E493*C493,0)</f>
      </c>
      <c r="M493" s="29">
        <f>IFERROR((G493*H493*I493/1000000)*D493,0)</f>
      </c>
    </row>
    <row r="494" spans="1:13" x14ac:dyDescent="0.25">
      <c r="A494" s="16"/>
      <c r="E494" s="27"/>
      <c r="F494" t="s">
        <v>26</v>
      </c>
      <c r="G494" s="28">
        <f>IFERROR(VLOOKUP(F494,CARTON_LOOKUP!$A:$E,3,0),"")</f>
      </c>
      <c r="H494" s="28">
        <f>IFERROR(VLOOKUP(F494,CARTON_LOOKUP!$A:$E,4,0),"")</f>
      </c>
      <c r="I494" s="28">
        <f>IFERROR(VLOOKUP(F494,CARTON_LOOKUP!$A:$E,5,0),"")</f>
      </c>
      <c r="J494" s="29">
        <f>IFERROR(VLOOKUP(F494,CARTON_LOOKUP!$A:$E,2,0),"")</f>
      </c>
      <c r="K494" s="29">
        <f>IFERROR(J494*D494,0)</f>
      </c>
      <c r="L494" s="29">
        <f>IFERROR(E494*C494,0)</f>
      </c>
      <c r="M494" s="29">
        <f>IFERROR((G494*H494*I494/1000000)*D494,0)</f>
      </c>
    </row>
    <row r="495" spans="1:13" x14ac:dyDescent="0.25">
      <c r="A495" s="16"/>
      <c r="E495" s="27"/>
      <c r="F495" t="s">
        <v>26</v>
      </c>
      <c r="G495" s="28">
        <f>IFERROR(VLOOKUP(F495,CARTON_LOOKUP!$A:$E,3,0),"")</f>
      </c>
      <c r="H495" s="28">
        <f>IFERROR(VLOOKUP(F495,CARTON_LOOKUP!$A:$E,4,0),"")</f>
      </c>
      <c r="I495" s="28">
        <f>IFERROR(VLOOKUP(F495,CARTON_LOOKUP!$A:$E,5,0),"")</f>
      </c>
      <c r="J495" s="29">
        <f>IFERROR(VLOOKUP(F495,CARTON_LOOKUP!$A:$E,2,0),"")</f>
      </c>
      <c r="K495" s="29">
        <f>IFERROR(J495*D495,0)</f>
      </c>
      <c r="L495" s="29">
        <f>IFERROR(E495*C495,0)</f>
      </c>
      <c r="M495" s="29">
        <f>IFERROR((G495*H495*I495/1000000)*D495,0)</f>
      </c>
    </row>
    <row r="496" spans="1:13" x14ac:dyDescent="0.25">
      <c r="A496" s="16"/>
      <c r="E496" s="27"/>
      <c r="F496" t="s">
        <v>26</v>
      </c>
      <c r="G496" s="28">
        <f>IFERROR(VLOOKUP(F496,CARTON_LOOKUP!$A:$E,3,0),"")</f>
      </c>
      <c r="H496" s="28">
        <f>IFERROR(VLOOKUP(F496,CARTON_LOOKUP!$A:$E,4,0),"")</f>
      </c>
      <c r="I496" s="28">
        <f>IFERROR(VLOOKUP(F496,CARTON_LOOKUP!$A:$E,5,0),"")</f>
      </c>
      <c r="J496" s="29">
        <f>IFERROR(VLOOKUP(F496,CARTON_LOOKUP!$A:$E,2,0),"")</f>
      </c>
      <c r="K496" s="29">
        <f>IFERROR(J496*D496,0)</f>
      </c>
      <c r="L496" s="29">
        <f>IFERROR(E496*C496,0)</f>
      </c>
      <c r="M496" s="29">
        <f>IFERROR((G496*H496*I496/1000000)*D496,0)</f>
      </c>
    </row>
    <row r="497" spans="1:13" x14ac:dyDescent="0.25">
      <c r="A497" s="16"/>
      <c r="E497" s="27"/>
      <c r="F497" t="s">
        <v>26</v>
      </c>
      <c r="G497" s="28">
        <f>IFERROR(VLOOKUP(F497,CARTON_LOOKUP!$A:$E,3,0),"")</f>
      </c>
      <c r="H497" s="28">
        <f>IFERROR(VLOOKUP(F497,CARTON_LOOKUP!$A:$E,4,0),"")</f>
      </c>
      <c r="I497" s="28">
        <f>IFERROR(VLOOKUP(F497,CARTON_LOOKUP!$A:$E,5,0),"")</f>
      </c>
      <c r="J497" s="29">
        <f>IFERROR(VLOOKUP(F497,CARTON_LOOKUP!$A:$E,2,0),"")</f>
      </c>
      <c r="K497" s="29">
        <f>IFERROR(J497*D497,0)</f>
      </c>
      <c r="L497" s="29">
        <f>IFERROR(E497*C497,0)</f>
      </c>
      <c r="M497" s="29">
        <f>IFERROR((G497*H497*I497/1000000)*D497,0)</f>
      </c>
    </row>
    <row r="498" spans="1:13" x14ac:dyDescent="0.25">
      <c r="A498" s="16"/>
      <c r="E498" s="27"/>
      <c r="F498" t="s">
        <v>26</v>
      </c>
      <c r="G498" s="28">
        <f>IFERROR(VLOOKUP(F498,CARTON_LOOKUP!$A:$E,3,0),"")</f>
      </c>
      <c r="H498" s="28">
        <f>IFERROR(VLOOKUP(F498,CARTON_LOOKUP!$A:$E,4,0),"")</f>
      </c>
      <c r="I498" s="28">
        <f>IFERROR(VLOOKUP(F498,CARTON_LOOKUP!$A:$E,5,0),"")</f>
      </c>
      <c r="J498" s="29">
        <f>IFERROR(VLOOKUP(F498,CARTON_LOOKUP!$A:$E,2,0),"")</f>
      </c>
      <c r="K498" s="29">
        <f>IFERROR(J498*D498,0)</f>
      </c>
      <c r="L498" s="29">
        <f>IFERROR(E498*C498,0)</f>
      </c>
      <c r="M498" s="29">
        <f>IFERROR((G498*H498*I498/1000000)*D498,0)</f>
      </c>
    </row>
    <row r="499" spans="1:13" x14ac:dyDescent="0.25">
      <c r="A499" s="16"/>
      <c r="E499" s="27"/>
      <c r="F499" t="s">
        <v>26</v>
      </c>
      <c r="G499" s="28">
        <f>IFERROR(VLOOKUP(F499,CARTON_LOOKUP!$A:$E,3,0),"")</f>
      </c>
      <c r="H499" s="28">
        <f>IFERROR(VLOOKUP(F499,CARTON_LOOKUP!$A:$E,4,0),"")</f>
      </c>
      <c r="I499" s="28">
        <f>IFERROR(VLOOKUP(F499,CARTON_LOOKUP!$A:$E,5,0),"")</f>
      </c>
      <c r="J499" s="29">
        <f>IFERROR(VLOOKUP(F499,CARTON_LOOKUP!$A:$E,2,0),"")</f>
      </c>
      <c r="K499" s="29">
        <f>IFERROR(J499*D499,0)</f>
      </c>
      <c r="L499" s="29">
        <f>IFERROR(E499*C499,0)</f>
      </c>
      <c r="M499" s="29">
        <f>IFERROR((G499*H499*I499/1000000)*D499,0)</f>
      </c>
    </row>
    <row r="500" spans="1:13" x14ac:dyDescent="0.25">
      <c r="A500" s="16"/>
      <c r="E500" s="27"/>
      <c r="F500" t="s">
        <v>26</v>
      </c>
      <c r="G500" s="28">
        <f>IFERROR(VLOOKUP(F500,CARTON_LOOKUP!$A:$E,3,0),"")</f>
      </c>
      <c r="H500" s="28">
        <f>IFERROR(VLOOKUP(F500,CARTON_LOOKUP!$A:$E,4,0),"")</f>
      </c>
      <c r="I500" s="28">
        <f>IFERROR(VLOOKUP(F500,CARTON_LOOKUP!$A:$E,5,0),"")</f>
      </c>
      <c r="J500" s="29">
        <f>IFERROR(VLOOKUP(F500,CARTON_LOOKUP!$A:$E,2,0),"")</f>
      </c>
      <c r="K500" s="29">
        <f>IFERROR(J500*D500,0)</f>
      </c>
      <c r="L500" s="29">
        <f>IFERROR(E500*C500,0)</f>
      </c>
      <c r="M500" s="29">
        <f>IFERROR((G500*H500*I500/1000000)*D500,0)</f>
      </c>
    </row>
    <row r="501" spans="1:13" x14ac:dyDescent="0.25">
      <c r="A501" s="16"/>
      <c r="E501" s="27"/>
      <c r="F501" t="s">
        <v>26</v>
      </c>
      <c r="G501" s="28">
        <f>IFERROR(VLOOKUP(F501,CARTON_LOOKUP!$A:$E,3,0),"")</f>
      </c>
      <c r="H501" s="28">
        <f>IFERROR(VLOOKUP(F501,CARTON_LOOKUP!$A:$E,4,0),"")</f>
      </c>
      <c r="I501" s="28">
        <f>IFERROR(VLOOKUP(F501,CARTON_LOOKUP!$A:$E,5,0),"")</f>
      </c>
      <c r="J501" s="29">
        <f>IFERROR(VLOOKUP(F501,CARTON_LOOKUP!$A:$E,2,0),"")</f>
      </c>
      <c r="K501" s="29">
        <f>IFERROR(J501*D501,0)</f>
      </c>
      <c r="L501" s="29">
        <f>IFERROR(E501*C501,0)</f>
      </c>
      <c r="M501" s="29">
        <f>IFERROR((G501*H501*I501/1000000)*D501,0)</f>
      </c>
    </row>
    <row r="502" spans="1:13" x14ac:dyDescent="0.25">
      <c r="A502" s="16"/>
      <c r="E502" s="27"/>
      <c r="F502" t="s">
        <v>26</v>
      </c>
      <c r="G502" s="28">
        <f>IFERROR(VLOOKUP(F502,CARTON_LOOKUP!$A:$E,3,0),"")</f>
      </c>
      <c r="H502" s="28">
        <f>IFERROR(VLOOKUP(F502,CARTON_LOOKUP!$A:$E,4,0),"")</f>
      </c>
      <c r="I502" s="28">
        <f>IFERROR(VLOOKUP(F502,CARTON_LOOKUP!$A:$E,5,0),"")</f>
      </c>
      <c r="J502" s="29">
        <f>IFERROR(VLOOKUP(F502,CARTON_LOOKUP!$A:$E,2,0),"")</f>
      </c>
      <c r="K502" s="29">
        <f>IFERROR(J502*D502,0)</f>
      </c>
      <c r="L502" s="29">
        <f>IFERROR(E502*C502,0)</f>
      </c>
      <c r="M502" s="29">
        <f>IFERROR((G502*H502*I502/1000000)*D502,0)</f>
      </c>
    </row>
    <row r="503" spans="1:13" x14ac:dyDescent="0.25">
      <c r="A503" s="16"/>
      <c r="E503" s="27"/>
      <c r="F503" t="s">
        <v>26</v>
      </c>
      <c r="G503" s="28">
        <f>IFERROR(VLOOKUP(F503,CARTON_LOOKUP!$A:$E,3,0),"")</f>
      </c>
      <c r="H503" s="28">
        <f>IFERROR(VLOOKUP(F503,CARTON_LOOKUP!$A:$E,4,0),"")</f>
      </c>
      <c r="I503" s="28">
        <f>IFERROR(VLOOKUP(F503,CARTON_LOOKUP!$A:$E,5,0),"")</f>
      </c>
      <c r="J503" s="29">
        <f>IFERROR(VLOOKUP(F503,CARTON_LOOKUP!$A:$E,2,0),"")</f>
      </c>
      <c r="K503" s="29">
        <f>IFERROR(J503*D503,0)</f>
      </c>
      <c r="L503" s="29">
        <f>IFERROR(E503*C503,0)</f>
      </c>
      <c r="M503" s="29">
        <f>IFERROR((G503*H503*I503/1000000)*D503,0)</f>
      </c>
    </row>
    <row r="504" spans="1:13" x14ac:dyDescent="0.25">
      <c r="A504" s="16"/>
      <c r="E504" s="27"/>
      <c r="F504" t="s">
        <v>26</v>
      </c>
      <c r="G504" s="28">
        <f>IFERROR(VLOOKUP(F504,CARTON_LOOKUP!$A:$E,3,0),"")</f>
      </c>
      <c r="H504" s="28">
        <f>IFERROR(VLOOKUP(F504,CARTON_LOOKUP!$A:$E,4,0),"")</f>
      </c>
      <c r="I504" s="28">
        <f>IFERROR(VLOOKUP(F504,CARTON_LOOKUP!$A:$E,5,0),"")</f>
      </c>
      <c r="J504" s="29">
        <f>IFERROR(VLOOKUP(F504,CARTON_LOOKUP!$A:$E,2,0),"")</f>
      </c>
      <c r="K504" s="29">
        <f>IFERROR(J504*D504,0)</f>
      </c>
      <c r="L504" s="29">
        <f>IFERROR(E504*C504,0)</f>
      </c>
      <c r="M504" s="29">
        <f>IFERROR((G504*H504*I504/1000000)*D504,0)</f>
      </c>
    </row>
    <row r="505" spans="1:13" x14ac:dyDescent="0.25">
      <c r="A505" s="16"/>
      <c r="E505" s="27"/>
      <c r="F505" t="s">
        <v>26</v>
      </c>
      <c r="G505" s="28">
        <f>IFERROR(VLOOKUP(F505,CARTON_LOOKUP!$A:$E,3,0),"")</f>
      </c>
      <c r="H505" s="28">
        <f>IFERROR(VLOOKUP(F505,CARTON_LOOKUP!$A:$E,4,0),"")</f>
      </c>
      <c r="I505" s="28">
        <f>IFERROR(VLOOKUP(F505,CARTON_LOOKUP!$A:$E,5,0),"")</f>
      </c>
      <c r="J505" s="29">
        <f>IFERROR(VLOOKUP(F505,CARTON_LOOKUP!$A:$E,2,0),"")</f>
      </c>
      <c r="K505" s="29">
        <f>IFERROR(J505*D505,0)</f>
      </c>
      <c r="L505" s="29">
        <f>IFERROR(E505*C505,0)</f>
      </c>
      <c r="M505" s="29">
        <f>IFERROR((G505*H505*I505/1000000)*D505,0)</f>
      </c>
    </row>
    <row r="506" spans="1:13" x14ac:dyDescent="0.25">
      <c r="A506" s="16"/>
      <c r="E506" s="27"/>
      <c r="F506" t="s">
        <v>26</v>
      </c>
      <c r="G506" s="28">
        <f>IFERROR(VLOOKUP(F506,CARTON_LOOKUP!$A:$E,3,0),"")</f>
      </c>
      <c r="H506" s="28">
        <f>IFERROR(VLOOKUP(F506,CARTON_LOOKUP!$A:$E,4,0),"")</f>
      </c>
      <c r="I506" s="28">
        <f>IFERROR(VLOOKUP(F506,CARTON_LOOKUP!$A:$E,5,0),"")</f>
      </c>
      <c r="J506" s="29">
        <f>IFERROR(VLOOKUP(F506,CARTON_LOOKUP!$A:$E,2,0),"")</f>
      </c>
      <c r="K506" s="29">
        <f>IFERROR(J506*D506,0)</f>
      </c>
      <c r="L506" s="29">
        <f>IFERROR(E506*C506,0)</f>
      </c>
      <c r="M506" s="29">
        <f>IFERROR((G506*H506*I506/1000000)*D506,0)</f>
      </c>
    </row>
    <row r="507" spans="1:13" x14ac:dyDescent="0.25">
      <c r="A507" s="16"/>
      <c r="E507" s="27"/>
      <c r="F507" t="s">
        <v>26</v>
      </c>
      <c r="G507" s="28">
        <f>IFERROR(VLOOKUP(F507,CARTON_LOOKUP!$A:$E,3,0),"")</f>
      </c>
      <c r="H507" s="28">
        <f>IFERROR(VLOOKUP(F507,CARTON_LOOKUP!$A:$E,4,0),"")</f>
      </c>
      <c r="I507" s="28">
        <f>IFERROR(VLOOKUP(F507,CARTON_LOOKUP!$A:$E,5,0),"")</f>
      </c>
      <c r="J507" s="29">
        <f>IFERROR(VLOOKUP(F507,CARTON_LOOKUP!$A:$E,2,0),"")</f>
      </c>
      <c r="K507" s="29">
        <f>IFERROR(J507*D507,0)</f>
      </c>
      <c r="L507" s="29">
        <f>IFERROR(E507*C507,0)</f>
      </c>
      <c r="M507" s="29">
        <f>IFERROR((G507*H507*I507/1000000)*D507,0)</f>
      </c>
    </row>
    <row r="508" spans="1:13" x14ac:dyDescent="0.25">
      <c r="A508" s="16"/>
      <c r="E508" s="27"/>
      <c r="F508" t="s">
        <v>26</v>
      </c>
      <c r="G508" s="28">
        <f>IFERROR(VLOOKUP(F508,CARTON_LOOKUP!$A:$E,3,0),"")</f>
      </c>
      <c r="H508" s="28">
        <f>IFERROR(VLOOKUP(F508,CARTON_LOOKUP!$A:$E,4,0),"")</f>
      </c>
      <c r="I508" s="28">
        <f>IFERROR(VLOOKUP(F508,CARTON_LOOKUP!$A:$E,5,0),"")</f>
      </c>
      <c r="J508" s="29">
        <f>IFERROR(VLOOKUP(F508,CARTON_LOOKUP!$A:$E,2,0),"")</f>
      </c>
      <c r="K508" s="29">
        <f>IFERROR(J508*D508,0)</f>
      </c>
      <c r="L508" s="29">
        <f>IFERROR(E508*C508,0)</f>
      </c>
      <c r="M508" s="29">
        <f>IFERROR((G508*H508*I508/1000000)*D508,0)</f>
      </c>
    </row>
    <row r="509" spans="1:13" x14ac:dyDescent="0.25">
      <c r="A509" s="16"/>
      <c r="E509" s="27"/>
      <c r="F509" t="s">
        <v>26</v>
      </c>
      <c r="G509" s="28">
        <f>IFERROR(VLOOKUP(F509,CARTON_LOOKUP!$A:$E,3,0),"")</f>
      </c>
      <c r="H509" s="28">
        <f>IFERROR(VLOOKUP(F509,CARTON_LOOKUP!$A:$E,4,0),"")</f>
      </c>
      <c r="I509" s="28">
        <f>IFERROR(VLOOKUP(F509,CARTON_LOOKUP!$A:$E,5,0),"")</f>
      </c>
      <c r="J509" s="29">
        <f>IFERROR(VLOOKUP(F509,CARTON_LOOKUP!$A:$E,2,0),"")</f>
      </c>
      <c r="K509" s="29">
        <f>IFERROR(J509*D509,0)</f>
      </c>
      <c r="L509" s="29">
        <f>IFERROR(E509*C509,0)</f>
      </c>
      <c r="M509" s="29">
        <f>IFERROR((G509*H509*I509/1000000)*D509,0)</f>
      </c>
    </row>
    <row r="510" spans="1:13" x14ac:dyDescent="0.25">
      <c r="A510" s="16"/>
      <c r="E510" s="27"/>
      <c r="F510" t="s">
        <v>26</v>
      </c>
      <c r="G510" s="28">
        <f>IFERROR(VLOOKUP(F510,CARTON_LOOKUP!$A:$E,3,0),"")</f>
      </c>
      <c r="H510" s="28">
        <f>IFERROR(VLOOKUP(F510,CARTON_LOOKUP!$A:$E,4,0),"")</f>
      </c>
      <c r="I510" s="28">
        <f>IFERROR(VLOOKUP(F510,CARTON_LOOKUP!$A:$E,5,0),"")</f>
      </c>
      <c r="J510" s="29">
        <f>IFERROR(VLOOKUP(F510,CARTON_LOOKUP!$A:$E,2,0),"")</f>
      </c>
      <c r="K510" s="29">
        <f>IFERROR(J510*D510,0)</f>
      </c>
      <c r="L510" s="29">
        <f>IFERROR(E510*C510,0)</f>
      </c>
      <c r="M510" s="29">
        <f>IFERROR((G510*H510*I510/1000000)*D510,0)</f>
      </c>
    </row>
    <row r="511" spans="1:13" x14ac:dyDescent="0.25">
      <c r="A511" s="16"/>
      <c r="E511" s="27"/>
      <c r="F511" t="s">
        <v>26</v>
      </c>
      <c r="G511" s="28">
        <f>IFERROR(VLOOKUP(F511,CARTON_LOOKUP!$A:$E,3,0),"")</f>
      </c>
      <c r="H511" s="28">
        <f>IFERROR(VLOOKUP(F511,CARTON_LOOKUP!$A:$E,4,0),"")</f>
      </c>
      <c r="I511" s="28">
        <f>IFERROR(VLOOKUP(F511,CARTON_LOOKUP!$A:$E,5,0),"")</f>
      </c>
      <c r="J511" s="29">
        <f>IFERROR(VLOOKUP(F511,CARTON_LOOKUP!$A:$E,2,0),"")</f>
      </c>
      <c r="K511" s="29">
        <f>IFERROR(J511*D511,0)</f>
      </c>
      <c r="L511" s="29">
        <f>IFERROR(E511*C511,0)</f>
      </c>
      <c r="M511" s="29">
        <f>IFERROR((G511*H511*I511/1000000)*D511,0)</f>
      </c>
    </row>
    <row r="512" spans="1:13" x14ac:dyDescent="0.25">
      <c r="A512" s="16"/>
      <c r="E512" s="27"/>
      <c r="F512" t="s">
        <v>26</v>
      </c>
      <c r="G512" s="28">
        <f>IFERROR(VLOOKUP(F512,CARTON_LOOKUP!$A:$E,3,0),"")</f>
      </c>
      <c r="H512" s="28">
        <f>IFERROR(VLOOKUP(F512,CARTON_LOOKUP!$A:$E,4,0),"")</f>
      </c>
      <c r="I512" s="28">
        <f>IFERROR(VLOOKUP(F512,CARTON_LOOKUP!$A:$E,5,0),"")</f>
      </c>
      <c r="J512" s="29">
        <f>IFERROR(VLOOKUP(F512,CARTON_LOOKUP!$A:$E,2,0),"")</f>
      </c>
      <c r="K512" s="29">
        <f>IFERROR(J512*D512,0)</f>
      </c>
      <c r="L512" s="29">
        <f>IFERROR(E512*C512,0)</f>
      </c>
      <c r="M512" s="29">
        <f>IFERROR((G512*H512*I512/1000000)*D512,0)</f>
      </c>
    </row>
    <row r="513" spans="1:13" x14ac:dyDescent="0.25">
      <c r="A513" s="16"/>
      <c r="E513" s="27"/>
      <c r="F513" t="s">
        <v>26</v>
      </c>
      <c r="G513" s="28">
        <f>IFERROR(VLOOKUP(F513,CARTON_LOOKUP!$A:$E,3,0),"")</f>
      </c>
      <c r="H513" s="28">
        <f>IFERROR(VLOOKUP(F513,CARTON_LOOKUP!$A:$E,4,0),"")</f>
      </c>
      <c r="I513" s="28">
        <f>IFERROR(VLOOKUP(F513,CARTON_LOOKUP!$A:$E,5,0),"")</f>
      </c>
      <c r="J513" s="29">
        <f>IFERROR(VLOOKUP(F513,CARTON_LOOKUP!$A:$E,2,0),"")</f>
      </c>
      <c r="K513" s="29">
        <f>IFERROR(J513*D513,0)</f>
      </c>
      <c r="L513" s="29">
        <f>IFERROR(E513*C513,0)</f>
      </c>
      <c r="M513" s="29">
        <f>IFERROR((G513*H513*I513/1000000)*D513,0)</f>
      </c>
    </row>
    <row r="514" spans="1:13" x14ac:dyDescent="0.25">
      <c r="A514" s="16"/>
      <c r="E514" s="27"/>
      <c r="F514" t="s">
        <v>26</v>
      </c>
      <c r="G514" s="28">
        <f>IFERROR(VLOOKUP(F514,CARTON_LOOKUP!$A:$E,3,0),"")</f>
      </c>
      <c r="H514" s="28">
        <f>IFERROR(VLOOKUP(F514,CARTON_LOOKUP!$A:$E,4,0),"")</f>
      </c>
      <c r="I514" s="28">
        <f>IFERROR(VLOOKUP(F514,CARTON_LOOKUP!$A:$E,5,0),"")</f>
      </c>
      <c r="J514" s="29">
        <f>IFERROR(VLOOKUP(F514,CARTON_LOOKUP!$A:$E,2,0),"")</f>
      </c>
      <c r="K514" s="29">
        <f>IFERROR(J514*D514,0)</f>
      </c>
      <c r="L514" s="29">
        <f>IFERROR(E514*C514,0)</f>
      </c>
      <c r="M514" s="29">
        <f>IFERROR((G514*H514*I514/1000000)*D514,0)</f>
      </c>
    </row>
    <row r="515" spans="1:13" x14ac:dyDescent="0.25">
      <c r="A515" s="16"/>
      <c r="E515" s="27"/>
      <c r="F515" t="s">
        <v>26</v>
      </c>
      <c r="G515" s="28">
        <f>IFERROR(VLOOKUP(F515,CARTON_LOOKUP!$A:$E,3,0),"")</f>
      </c>
      <c r="H515" s="28">
        <f>IFERROR(VLOOKUP(F515,CARTON_LOOKUP!$A:$E,4,0),"")</f>
      </c>
      <c r="I515" s="28">
        <f>IFERROR(VLOOKUP(F515,CARTON_LOOKUP!$A:$E,5,0),"")</f>
      </c>
      <c r="J515" s="29">
        <f>IFERROR(VLOOKUP(F515,CARTON_LOOKUP!$A:$E,2,0),"")</f>
      </c>
      <c r="K515" s="29">
        <f>IFERROR(J515*D515,0)</f>
      </c>
      <c r="L515" s="29">
        <f>IFERROR(E515*C515,0)</f>
      </c>
      <c r="M515" s="29">
        <f>IFERROR((G515*H515*I515/1000000)*D515,0)</f>
      </c>
    </row>
    <row r="516" spans="1:13" x14ac:dyDescent="0.25">
      <c r="A516" s="16"/>
      <c r="E516" s="27"/>
      <c r="F516" t="s">
        <v>26</v>
      </c>
      <c r="G516" s="28">
        <f>IFERROR(VLOOKUP(F516,CARTON_LOOKUP!$A:$E,3,0),"")</f>
      </c>
      <c r="H516" s="28">
        <f>IFERROR(VLOOKUP(F516,CARTON_LOOKUP!$A:$E,4,0),"")</f>
      </c>
      <c r="I516" s="28">
        <f>IFERROR(VLOOKUP(F516,CARTON_LOOKUP!$A:$E,5,0),"")</f>
      </c>
      <c r="J516" s="29">
        <f>IFERROR(VLOOKUP(F516,CARTON_LOOKUP!$A:$E,2,0),"")</f>
      </c>
      <c r="K516" s="29">
        <f>IFERROR(J516*D516,0)</f>
      </c>
      <c r="L516" s="29">
        <f>IFERROR(E516*C516,0)</f>
      </c>
      <c r="M516" s="29">
        <f>IFERROR((G516*H516*I516/1000000)*D516,0)</f>
      </c>
    </row>
    <row r="517" spans="1:13" x14ac:dyDescent="0.25">
      <c r="A517" s="16"/>
      <c r="E517" s="27"/>
      <c r="F517" t="s">
        <v>26</v>
      </c>
      <c r="G517" s="28">
        <f>IFERROR(VLOOKUP(F517,CARTON_LOOKUP!$A:$E,3,0),"")</f>
      </c>
      <c r="H517" s="28">
        <f>IFERROR(VLOOKUP(F517,CARTON_LOOKUP!$A:$E,4,0),"")</f>
      </c>
      <c r="I517" s="28">
        <f>IFERROR(VLOOKUP(F517,CARTON_LOOKUP!$A:$E,5,0),"")</f>
      </c>
      <c r="J517" s="29">
        <f>IFERROR(VLOOKUP(F517,CARTON_LOOKUP!$A:$E,2,0),"")</f>
      </c>
      <c r="K517" s="29">
        <f>IFERROR(J517*D517,0)</f>
      </c>
      <c r="L517" s="29">
        <f>IFERROR(E517*C517,0)</f>
      </c>
      <c r="M517" s="29">
        <f>IFERROR((G517*H517*I517/1000000)*D517,0)</f>
      </c>
    </row>
    <row r="518" spans="1:13" x14ac:dyDescent="0.25">
      <c r="A518" s="16"/>
      <c r="E518" s="27"/>
      <c r="F518" t="s">
        <v>26</v>
      </c>
      <c r="G518" s="28">
        <f>IFERROR(VLOOKUP(F518,CARTON_LOOKUP!$A:$E,3,0),"")</f>
      </c>
      <c r="H518" s="28">
        <f>IFERROR(VLOOKUP(F518,CARTON_LOOKUP!$A:$E,4,0),"")</f>
      </c>
      <c r="I518" s="28">
        <f>IFERROR(VLOOKUP(F518,CARTON_LOOKUP!$A:$E,5,0),"")</f>
      </c>
      <c r="J518" s="29">
        <f>IFERROR(VLOOKUP(F518,CARTON_LOOKUP!$A:$E,2,0),"")</f>
      </c>
      <c r="K518" s="29">
        <f>IFERROR(J518*D518,0)</f>
      </c>
      <c r="L518" s="29">
        <f>IFERROR(E518*C518,0)</f>
      </c>
      <c r="M518" s="29">
        <f>IFERROR((G518*H518*I518/1000000)*D518,0)</f>
      </c>
    </row>
    <row r="519" spans="1:13" x14ac:dyDescent="0.25">
      <c r="A519" s="16"/>
      <c r="E519" s="27"/>
      <c r="F519" t="s">
        <v>26</v>
      </c>
      <c r="G519" s="28">
        <f>IFERROR(VLOOKUP(F519,CARTON_LOOKUP!$A:$E,3,0),"")</f>
      </c>
      <c r="H519" s="28">
        <f>IFERROR(VLOOKUP(F519,CARTON_LOOKUP!$A:$E,4,0),"")</f>
      </c>
      <c r="I519" s="28">
        <f>IFERROR(VLOOKUP(F519,CARTON_LOOKUP!$A:$E,5,0),"")</f>
      </c>
      <c r="J519" s="29">
        <f>IFERROR(VLOOKUP(F519,CARTON_LOOKUP!$A:$E,2,0),"")</f>
      </c>
      <c r="K519" s="29">
        <f>IFERROR(J519*D519,0)</f>
      </c>
      <c r="L519" s="29">
        <f>IFERROR(E519*C519,0)</f>
      </c>
      <c r="M519" s="29">
        <f>IFERROR((G519*H519*I519/1000000)*D519,0)</f>
      </c>
    </row>
    <row r="520" spans="1:13" x14ac:dyDescent="0.25">
      <c r="A520" s="16"/>
      <c r="E520" s="27"/>
      <c r="F520" t="s">
        <v>26</v>
      </c>
      <c r="G520" s="28">
        <f>IFERROR(VLOOKUP(F520,CARTON_LOOKUP!$A:$E,3,0),"")</f>
      </c>
      <c r="H520" s="28">
        <f>IFERROR(VLOOKUP(F520,CARTON_LOOKUP!$A:$E,4,0),"")</f>
      </c>
      <c r="I520" s="28">
        <f>IFERROR(VLOOKUP(F520,CARTON_LOOKUP!$A:$E,5,0),"")</f>
      </c>
      <c r="J520" s="29">
        <f>IFERROR(VLOOKUP(F520,CARTON_LOOKUP!$A:$E,2,0),"")</f>
      </c>
      <c r="K520" s="29">
        <f>IFERROR(J520*D520,0)</f>
      </c>
      <c r="L520" s="29">
        <f>IFERROR(E520*C520,0)</f>
      </c>
      <c r="M520" s="29">
        <f>IFERROR((G520*H520*I520/1000000)*D520,0)</f>
      </c>
    </row>
    <row r="521" spans="1:13" x14ac:dyDescent="0.25">
      <c r="A521" s="16"/>
      <c r="E521" s="27"/>
      <c r="F521" t="s">
        <v>26</v>
      </c>
      <c r="G521" s="28">
        <f>IFERROR(VLOOKUP(F521,CARTON_LOOKUP!$A:$E,3,0),"")</f>
      </c>
      <c r="H521" s="28">
        <f>IFERROR(VLOOKUP(F521,CARTON_LOOKUP!$A:$E,4,0),"")</f>
      </c>
      <c r="I521" s="28">
        <f>IFERROR(VLOOKUP(F521,CARTON_LOOKUP!$A:$E,5,0),"")</f>
      </c>
      <c r="J521" s="29">
        <f>IFERROR(VLOOKUP(F521,CARTON_LOOKUP!$A:$E,2,0),"")</f>
      </c>
      <c r="K521" s="29">
        <f>IFERROR(J521*D521,0)</f>
      </c>
      <c r="L521" s="29">
        <f>IFERROR(E521*C521,0)</f>
      </c>
      <c r="M521" s="29">
        <f>IFERROR((G521*H521*I521/1000000)*D521,0)</f>
      </c>
    </row>
    <row r="522" spans="1:13" x14ac:dyDescent="0.25">
      <c r="A522" s="16"/>
      <c r="E522" s="27"/>
      <c r="F522" t="s">
        <v>26</v>
      </c>
      <c r="G522" s="28">
        <f>IFERROR(VLOOKUP(F522,CARTON_LOOKUP!$A:$E,3,0),"")</f>
      </c>
      <c r="H522" s="28">
        <f>IFERROR(VLOOKUP(F522,CARTON_LOOKUP!$A:$E,4,0),"")</f>
      </c>
      <c r="I522" s="28">
        <f>IFERROR(VLOOKUP(F522,CARTON_LOOKUP!$A:$E,5,0),"")</f>
      </c>
      <c r="J522" s="29">
        <f>IFERROR(VLOOKUP(F522,CARTON_LOOKUP!$A:$E,2,0),"")</f>
      </c>
      <c r="K522" s="29">
        <f>IFERROR(J522*D522,0)</f>
      </c>
      <c r="L522" s="29">
        <f>IFERROR(E522*C522,0)</f>
      </c>
      <c r="M522" s="29">
        <f>IFERROR((G522*H522*I522/1000000)*D522,0)</f>
      </c>
    </row>
    <row r="523" spans="1:13" x14ac:dyDescent="0.25">
      <c r="A523" s="16"/>
      <c r="E523" s="27"/>
      <c r="F523" t="s">
        <v>26</v>
      </c>
      <c r="G523" s="28">
        <f>IFERROR(VLOOKUP(F523,CARTON_LOOKUP!$A:$E,3,0),"")</f>
      </c>
      <c r="H523" s="28">
        <f>IFERROR(VLOOKUP(F523,CARTON_LOOKUP!$A:$E,4,0),"")</f>
      </c>
      <c r="I523" s="28">
        <f>IFERROR(VLOOKUP(F523,CARTON_LOOKUP!$A:$E,5,0),"")</f>
      </c>
      <c r="J523" s="29">
        <f>IFERROR(VLOOKUP(F523,CARTON_LOOKUP!$A:$E,2,0),"")</f>
      </c>
      <c r="K523" s="29">
        <f>IFERROR(J523*D523,0)</f>
      </c>
      <c r="L523" s="29">
        <f>IFERROR(E523*C523,0)</f>
      </c>
      <c r="M523" s="29">
        <f>IFERROR((G523*H523*I523/1000000)*D523,0)</f>
      </c>
    </row>
    <row r="524" spans="1:13" x14ac:dyDescent="0.25">
      <c r="A524" s="16"/>
      <c r="E524" s="27"/>
      <c r="F524" t="s">
        <v>26</v>
      </c>
      <c r="G524" s="28">
        <f>IFERROR(VLOOKUP(F524,CARTON_LOOKUP!$A:$E,3,0),"")</f>
      </c>
      <c r="H524" s="28">
        <f>IFERROR(VLOOKUP(F524,CARTON_LOOKUP!$A:$E,4,0),"")</f>
      </c>
      <c r="I524" s="28">
        <f>IFERROR(VLOOKUP(F524,CARTON_LOOKUP!$A:$E,5,0),"")</f>
      </c>
      <c r="J524" s="29">
        <f>IFERROR(VLOOKUP(F524,CARTON_LOOKUP!$A:$E,2,0),"")</f>
      </c>
      <c r="K524" s="29">
        <f>IFERROR(J524*D524,0)</f>
      </c>
      <c r="L524" s="29">
        <f>IFERROR(E524*C524,0)</f>
      </c>
      <c r="M524" s="29">
        <f>IFERROR((G524*H524*I524/1000000)*D524,0)</f>
      </c>
    </row>
    <row r="525" spans="1:13" x14ac:dyDescent="0.25">
      <c r="A525" s="16"/>
      <c r="E525" s="27"/>
      <c r="F525" t="s">
        <v>26</v>
      </c>
      <c r="G525" s="28">
        <f>IFERROR(VLOOKUP(F525,CARTON_LOOKUP!$A:$E,3,0),"")</f>
      </c>
      <c r="H525" s="28">
        <f>IFERROR(VLOOKUP(F525,CARTON_LOOKUP!$A:$E,4,0),"")</f>
      </c>
      <c r="I525" s="28">
        <f>IFERROR(VLOOKUP(F525,CARTON_LOOKUP!$A:$E,5,0),"")</f>
      </c>
      <c r="J525" s="29">
        <f>IFERROR(VLOOKUP(F525,CARTON_LOOKUP!$A:$E,2,0),"")</f>
      </c>
      <c r="K525" s="29">
        <f>IFERROR(J525*D525,0)</f>
      </c>
      <c r="L525" s="29">
        <f>IFERROR(E525*C525,0)</f>
      </c>
      <c r="M525" s="29">
        <f>IFERROR((G525*H525*I525/1000000)*D525,0)</f>
      </c>
    </row>
    <row r="526" spans="1:13" x14ac:dyDescent="0.25">
      <c r="A526" s="16"/>
      <c r="E526" s="27"/>
      <c r="F526" t="s">
        <v>26</v>
      </c>
      <c r="G526" s="28">
        <f>IFERROR(VLOOKUP(F526,CARTON_LOOKUP!$A:$E,3,0),"")</f>
      </c>
      <c r="H526" s="28">
        <f>IFERROR(VLOOKUP(F526,CARTON_LOOKUP!$A:$E,4,0),"")</f>
      </c>
      <c r="I526" s="28">
        <f>IFERROR(VLOOKUP(F526,CARTON_LOOKUP!$A:$E,5,0),"")</f>
      </c>
      <c r="J526" s="29">
        <f>IFERROR(VLOOKUP(F526,CARTON_LOOKUP!$A:$E,2,0),"")</f>
      </c>
      <c r="K526" s="29">
        <f>IFERROR(J526*D526,0)</f>
      </c>
      <c r="L526" s="29">
        <f>IFERROR(E526*C526,0)</f>
      </c>
      <c r="M526" s="29">
        <f>IFERROR((G526*H526*I526/1000000)*D526,0)</f>
      </c>
    </row>
    <row r="527" spans="1:13" x14ac:dyDescent="0.25">
      <c r="A527" s="16"/>
      <c r="E527" s="27"/>
      <c r="F527" t="s">
        <v>26</v>
      </c>
      <c r="G527" s="28">
        <f>IFERROR(VLOOKUP(F527,CARTON_LOOKUP!$A:$E,3,0),"")</f>
      </c>
      <c r="H527" s="28">
        <f>IFERROR(VLOOKUP(F527,CARTON_LOOKUP!$A:$E,4,0),"")</f>
      </c>
      <c r="I527" s="28">
        <f>IFERROR(VLOOKUP(F527,CARTON_LOOKUP!$A:$E,5,0),"")</f>
      </c>
      <c r="J527" s="29">
        <f>IFERROR(VLOOKUP(F527,CARTON_LOOKUP!$A:$E,2,0),"")</f>
      </c>
      <c r="K527" s="29">
        <f>IFERROR(J527*D527,0)</f>
      </c>
      <c r="L527" s="29">
        <f>IFERROR(E527*C527,0)</f>
      </c>
      <c r="M527" s="29">
        <f>IFERROR((G527*H527*I527/1000000)*D527,0)</f>
      </c>
    </row>
    <row r="528" spans="1:13" x14ac:dyDescent="0.25">
      <c r="A528" s="16"/>
      <c r="E528" s="27"/>
      <c r="F528" t="s">
        <v>26</v>
      </c>
      <c r="G528" s="28">
        <f>IFERROR(VLOOKUP(F528,CARTON_LOOKUP!$A:$E,3,0),"")</f>
      </c>
      <c r="H528" s="28">
        <f>IFERROR(VLOOKUP(F528,CARTON_LOOKUP!$A:$E,4,0),"")</f>
      </c>
      <c r="I528" s="28">
        <f>IFERROR(VLOOKUP(F528,CARTON_LOOKUP!$A:$E,5,0),"")</f>
      </c>
      <c r="J528" s="29">
        <f>IFERROR(VLOOKUP(F528,CARTON_LOOKUP!$A:$E,2,0),"")</f>
      </c>
      <c r="K528" s="29">
        <f>IFERROR(J528*D528,0)</f>
      </c>
      <c r="L528" s="29">
        <f>IFERROR(E528*C528,0)</f>
      </c>
      <c r="M528" s="29">
        <f>IFERROR((G528*H528*I528/1000000)*D528,0)</f>
      </c>
    </row>
    <row r="529" spans="1:13" x14ac:dyDescent="0.25">
      <c r="A529" s="16"/>
      <c r="E529" s="27"/>
      <c r="F529" t="s">
        <v>26</v>
      </c>
      <c r="G529" s="28">
        <f>IFERROR(VLOOKUP(F529,CARTON_LOOKUP!$A:$E,3,0),"")</f>
      </c>
      <c r="H529" s="28">
        <f>IFERROR(VLOOKUP(F529,CARTON_LOOKUP!$A:$E,4,0),"")</f>
      </c>
      <c r="I529" s="28">
        <f>IFERROR(VLOOKUP(F529,CARTON_LOOKUP!$A:$E,5,0),"")</f>
      </c>
      <c r="J529" s="29">
        <f>IFERROR(VLOOKUP(F529,CARTON_LOOKUP!$A:$E,2,0),"")</f>
      </c>
      <c r="K529" s="29">
        <f>IFERROR(J529*D529,0)</f>
      </c>
      <c r="L529" s="29">
        <f>IFERROR(E529*C529,0)</f>
      </c>
      <c r="M529" s="29">
        <f>IFERROR((G529*H529*I529/1000000)*D529,0)</f>
      </c>
    </row>
    <row r="530" spans="1:13" x14ac:dyDescent="0.25">
      <c r="A530" s="16"/>
      <c r="E530" s="27"/>
      <c r="F530" t="s">
        <v>26</v>
      </c>
      <c r="G530" s="28">
        <f>IFERROR(VLOOKUP(F530,CARTON_LOOKUP!$A:$E,3,0),"")</f>
      </c>
      <c r="H530" s="28">
        <f>IFERROR(VLOOKUP(F530,CARTON_LOOKUP!$A:$E,4,0),"")</f>
      </c>
      <c r="I530" s="28">
        <f>IFERROR(VLOOKUP(F530,CARTON_LOOKUP!$A:$E,5,0),"")</f>
      </c>
      <c r="J530" s="29">
        <f>IFERROR(VLOOKUP(F530,CARTON_LOOKUP!$A:$E,2,0),"")</f>
      </c>
      <c r="K530" s="29">
        <f>IFERROR(J530*D530,0)</f>
      </c>
      <c r="L530" s="29">
        <f>IFERROR(E530*C530,0)</f>
      </c>
      <c r="M530" s="29">
        <f>IFERROR((G530*H530*I530/1000000)*D530,0)</f>
      </c>
    </row>
    <row r="531" spans="1:13" x14ac:dyDescent="0.25">
      <c r="A531" s="16"/>
      <c r="E531" s="27"/>
      <c r="F531" t="s">
        <v>26</v>
      </c>
      <c r="G531" s="28">
        <f>IFERROR(VLOOKUP(F531,CARTON_LOOKUP!$A:$E,3,0),"")</f>
      </c>
      <c r="H531" s="28">
        <f>IFERROR(VLOOKUP(F531,CARTON_LOOKUP!$A:$E,4,0),"")</f>
      </c>
      <c r="I531" s="28">
        <f>IFERROR(VLOOKUP(F531,CARTON_LOOKUP!$A:$E,5,0),"")</f>
      </c>
      <c r="J531" s="29">
        <f>IFERROR(VLOOKUP(F531,CARTON_LOOKUP!$A:$E,2,0),"")</f>
      </c>
      <c r="K531" s="29">
        <f>IFERROR(J531*D531,0)</f>
      </c>
      <c r="L531" s="29">
        <f>IFERROR(E531*C531,0)</f>
      </c>
      <c r="M531" s="29">
        <f>IFERROR((G531*H531*I531/1000000)*D531,0)</f>
      </c>
    </row>
    <row r="532" spans="1:13" x14ac:dyDescent="0.25">
      <c r="A532" s="16"/>
      <c r="E532" s="27"/>
      <c r="F532" t="s">
        <v>26</v>
      </c>
      <c r="G532" s="28">
        <f>IFERROR(VLOOKUP(F532,CARTON_LOOKUP!$A:$E,3,0),"")</f>
      </c>
      <c r="H532" s="28">
        <f>IFERROR(VLOOKUP(F532,CARTON_LOOKUP!$A:$E,4,0),"")</f>
      </c>
      <c r="I532" s="28">
        <f>IFERROR(VLOOKUP(F532,CARTON_LOOKUP!$A:$E,5,0),"")</f>
      </c>
      <c r="J532" s="29">
        <f>IFERROR(VLOOKUP(F532,CARTON_LOOKUP!$A:$E,2,0),"")</f>
      </c>
      <c r="K532" s="29">
        <f>IFERROR(J532*D532,0)</f>
      </c>
      <c r="L532" s="29">
        <f>IFERROR(E532*C532,0)</f>
      </c>
      <c r="M532" s="29">
        <f>IFERROR((G532*H532*I532/1000000)*D532,0)</f>
      </c>
    </row>
    <row r="533" spans="1:13" x14ac:dyDescent="0.25">
      <c r="A533" s="16"/>
      <c r="E533" s="27"/>
      <c r="F533" t="s">
        <v>26</v>
      </c>
      <c r="G533" s="28">
        <f>IFERROR(VLOOKUP(F533,CARTON_LOOKUP!$A:$E,3,0),"")</f>
      </c>
      <c r="H533" s="28">
        <f>IFERROR(VLOOKUP(F533,CARTON_LOOKUP!$A:$E,4,0),"")</f>
      </c>
      <c r="I533" s="28">
        <f>IFERROR(VLOOKUP(F533,CARTON_LOOKUP!$A:$E,5,0),"")</f>
      </c>
      <c r="J533" s="29">
        <f>IFERROR(VLOOKUP(F533,CARTON_LOOKUP!$A:$E,2,0),"")</f>
      </c>
      <c r="K533" s="29">
        <f>IFERROR(J533*D533,0)</f>
      </c>
      <c r="L533" s="29">
        <f>IFERROR(E533*C533,0)</f>
      </c>
      <c r="M533" s="29">
        <f>IFERROR((G533*H533*I533/1000000)*D533,0)</f>
      </c>
    </row>
    <row r="534" spans="1:13" x14ac:dyDescent="0.25">
      <c r="A534" s="16"/>
      <c r="E534" s="27"/>
      <c r="F534" t="s">
        <v>26</v>
      </c>
      <c r="G534" s="28">
        <f>IFERROR(VLOOKUP(F534,CARTON_LOOKUP!$A:$E,3,0),"")</f>
      </c>
      <c r="H534" s="28">
        <f>IFERROR(VLOOKUP(F534,CARTON_LOOKUP!$A:$E,4,0),"")</f>
      </c>
      <c r="I534" s="28">
        <f>IFERROR(VLOOKUP(F534,CARTON_LOOKUP!$A:$E,5,0),"")</f>
      </c>
      <c r="J534" s="29">
        <f>IFERROR(VLOOKUP(F534,CARTON_LOOKUP!$A:$E,2,0),"")</f>
      </c>
      <c r="K534" s="29">
        <f>IFERROR(J534*D534,0)</f>
      </c>
      <c r="L534" s="29">
        <f>IFERROR(E534*C534,0)</f>
      </c>
      <c r="M534" s="29">
        <f>IFERROR((G534*H534*I534/1000000)*D534,0)</f>
      </c>
    </row>
    <row r="535" spans="1:13" x14ac:dyDescent="0.25">
      <c r="A535" s="16"/>
      <c r="E535" s="27"/>
      <c r="F535" t="s">
        <v>26</v>
      </c>
      <c r="G535" s="28">
        <f>IFERROR(VLOOKUP(F535,CARTON_LOOKUP!$A:$E,3,0),"")</f>
      </c>
      <c r="H535" s="28">
        <f>IFERROR(VLOOKUP(F535,CARTON_LOOKUP!$A:$E,4,0),"")</f>
      </c>
      <c r="I535" s="28">
        <f>IFERROR(VLOOKUP(F535,CARTON_LOOKUP!$A:$E,5,0),"")</f>
      </c>
      <c r="J535" s="29">
        <f>IFERROR(VLOOKUP(F535,CARTON_LOOKUP!$A:$E,2,0),"")</f>
      </c>
      <c r="K535" s="29">
        <f>IFERROR(J535*D535,0)</f>
      </c>
      <c r="L535" s="29">
        <f>IFERROR(E535*C535,0)</f>
      </c>
      <c r="M535" s="29">
        <f>IFERROR((G535*H535*I535/1000000)*D535,0)</f>
      </c>
    </row>
    <row r="536" spans="1:13" x14ac:dyDescent="0.25">
      <c r="A536" s="16"/>
      <c r="E536" s="27"/>
      <c r="F536" t="s">
        <v>26</v>
      </c>
      <c r="G536" s="28">
        <f>IFERROR(VLOOKUP(F536,CARTON_LOOKUP!$A:$E,3,0),"")</f>
      </c>
      <c r="H536" s="28">
        <f>IFERROR(VLOOKUP(F536,CARTON_LOOKUP!$A:$E,4,0),"")</f>
      </c>
      <c r="I536" s="28">
        <f>IFERROR(VLOOKUP(F536,CARTON_LOOKUP!$A:$E,5,0),"")</f>
      </c>
      <c r="J536" s="29">
        <f>IFERROR(VLOOKUP(F536,CARTON_LOOKUP!$A:$E,2,0),"")</f>
      </c>
      <c r="K536" s="29">
        <f>IFERROR(J536*D536,0)</f>
      </c>
      <c r="L536" s="29">
        <f>IFERROR(E536*C536,0)</f>
      </c>
      <c r="M536" s="29">
        <f>IFERROR((G536*H536*I536/1000000)*D536,0)</f>
      </c>
    </row>
    <row r="537" spans="1:13" x14ac:dyDescent="0.25">
      <c r="A537" s="16"/>
      <c r="E537" s="27"/>
      <c r="F537" t="s">
        <v>26</v>
      </c>
      <c r="G537" s="28">
        <f>IFERROR(VLOOKUP(F537,CARTON_LOOKUP!$A:$E,3,0),"")</f>
      </c>
      <c r="H537" s="28">
        <f>IFERROR(VLOOKUP(F537,CARTON_LOOKUP!$A:$E,4,0),"")</f>
      </c>
      <c r="I537" s="28">
        <f>IFERROR(VLOOKUP(F537,CARTON_LOOKUP!$A:$E,5,0),"")</f>
      </c>
      <c r="J537" s="29">
        <f>IFERROR(VLOOKUP(F537,CARTON_LOOKUP!$A:$E,2,0),"")</f>
      </c>
      <c r="K537" s="29">
        <f>IFERROR(J537*D537,0)</f>
      </c>
      <c r="L537" s="29">
        <f>IFERROR(E537*C537,0)</f>
      </c>
      <c r="M537" s="29">
        <f>IFERROR((G537*H537*I537/1000000)*D537,0)</f>
      </c>
    </row>
    <row r="538" spans="1:13" x14ac:dyDescent="0.25">
      <c r="A538" s="16"/>
      <c r="E538" s="27"/>
      <c r="F538" t="s">
        <v>26</v>
      </c>
      <c r="G538" s="28">
        <f>IFERROR(VLOOKUP(F538,CARTON_LOOKUP!$A:$E,3,0),"")</f>
      </c>
      <c r="H538" s="28">
        <f>IFERROR(VLOOKUP(F538,CARTON_LOOKUP!$A:$E,4,0),"")</f>
      </c>
      <c r="I538" s="28">
        <f>IFERROR(VLOOKUP(F538,CARTON_LOOKUP!$A:$E,5,0),"")</f>
      </c>
      <c r="J538" s="29">
        <f>IFERROR(VLOOKUP(F538,CARTON_LOOKUP!$A:$E,2,0),"")</f>
      </c>
      <c r="K538" s="29">
        <f>IFERROR(J538*D538,0)</f>
      </c>
      <c r="L538" s="29">
        <f>IFERROR(E538*C538,0)</f>
      </c>
      <c r="M538" s="29">
        <f>IFERROR((G538*H538*I538/1000000)*D538,0)</f>
      </c>
    </row>
    <row r="539" spans="1:13" x14ac:dyDescent="0.25">
      <c r="A539" s="16"/>
      <c r="E539" s="27"/>
      <c r="F539" t="s">
        <v>26</v>
      </c>
      <c r="G539" s="28">
        <f>IFERROR(VLOOKUP(F539,CARTON_LOOKUP!$A:$E,3,0),"")</f>
      </c>
      <c r="H539" s="28">
        <f>IFERROR(VLOOKUP(F539,CARTON_LOOKUP!$A:$E,4,0),"")</f>
      </c>
      <c r="I539" s="28">
        <f>IFERROR(VLOOKUP(F539,CARTON_LOOKUP!$A:$E,5,0),"")</f>
      </c>
      <c r="J539" s="29">
        <f>IFERROR(VLOOKUP(F539,CARTON_LOOKUP!$A:$E,2,0),"")</f>
      </c>
      <c r="K539" s="29">
        <f>IFERROR(J539*D539,0)</f>
      </c>
      <c r="L539" s="29">
        <f>IFERROR(E539*C539,0)</f>
      </c>
      <c r="M539" s="29">
        <f>IFERROR((G539*H539*I539/1000000)*D539,0)</f>
      </c>
    </row>
    <row r="540" spans="1:13" x14ac:dyDescent="0.25">
      <c r="A540" s="16"/>
      <c r="E540" s="27"/>
      <c r="F540" t="s">
        <v>26</v>
      </c>
      <c r="G540" s="28">
        <f>IFERROR(VLOOKUP(F540,CARTON_LOOKUP!$A:$E,3,0),"")</f>
      </c>
      <c r="H540" s="28">
        <f>IFERROR(VLOOKUP(F540,CARTON_LOOKUP!$A:$E,4,0),"")</f>
      </c>
      <c r="I540" s="28">
        <f>IFERROR(VLOOKUP(F540,CARTON_LOOKUP!$A:$E,5,0),"")</f>
      </c>
      <c r="J540" s="29">
        <f>IFERROR(VLOOKUP(F540,CARTON_LOOKUP!$A:$E,2,0),"")</f>
      </c>
      <c r="K540" s="29">
        <f>IFERROR(J540*D540,0)</f>
      </c>
      <c r="L540" s="29">
        <f>IFERROR(E540*C540,0)</f>
      </c>
      <c r="M540" s="29">
        <f>IFERROR((G540*H540*I540/1000000)*D540,0)</f>
      </c>
    </row>
    <row r="541" spans="1:13" x14ac:dyDescent="0.25">
      <c r="A541" s="16"/>
      <c r="E541" s="27"/>
      <c r="F541" t="s">
        <v>26</v>
      </c>
      <c r="G541" s="28">
        <f>IFERROR(VLOOKUP(F541,CARTON_LOOKUP!$A:$E,3,0),"")</f>
      </c>
      <c r="H541" s="28">
        <f>IFERROR(VLOOKUP(F541,CARTON_LOOKUP!$A:$E,4,0),"")</f>
      </c>
      <c r="I541" s="28">
        <f>IFERROR(VLOOKUP(F541,CARTON_LOOKUP!$A:$E,5,0),"")</f>
      </c>
      <c r="J541" s="29">
        <f>IFERROR(VLOOKUP(F541,CARTON_LOOKUP!$A:$E,2,0),"")</f>
      </c>
      <c r="K541" s="29">
        <f>IFERROR(J541*D541,0)</f>
      </c>
      <c r="L541" s="29">
        <f>IFERROR(E541*C541,0)</f>
      </c>
      <c r="M541" s="29">
        <f>IFERROR((G541*H541*I541/1000000)*D541,0)</f>
      </c>
    </row>
    <row r="542" spans="1:13" x14ac:dyDescent="0.25">
      <c r="A542" s="16"/>
      <c r="E542" s="27"/>
      <c r="F542" t="s">
        <v>26</v>
      </c>
      <c r="G542" s="28">
        <f>IFERROR(VLOOKUP(F542,CARTON_LOOKUP!$A:$E,3,0),"")</f>
      </c>
      <c r="H542" s="28">
        <f>IFERROR(VLOOKUP(F542,CARTON_LOOKUP!$A:$E,4,0),"")</f>
      </c>
      <c r="I542" s="28">
        <f>IFERROR(VLOOKUP(F542,CARTON_LOOKUP!$A:$E,5,0),"")</f>
      </c>
      <c r="J542" s="29">
        <f>IFERROR(VLOOKUP(F542,CARTON_LOOKUP!$A:$E,2,0),"")</f>
      </c>
      <c r="K542" s="29">
        <f>IFERROR(J542*D542,0)</f>
      </c>
      <c r="L542" s="29">
        <f>IFERROR(E542*C542,0)</f>
      </c>
      <c r="M542" s="29">
        <f>IFERROR((G542*H542*I542/1000000)*D542,0)</f>
      </c>
    </row>
    <row r="543" spans="1:13" x14ac:dyDescent="0.25">
      <c r="A543" s="16"/>
      <c r="E543" s="27"/>
      <c r="F543" t="s">
        <v>26</v>
      </c>
      <c r="G543" s="28">
        <f>IFERROR(VLOOKUP(F543,CARTON_LOOKUP!$A:$E,3,0),"")</f>
      </c>
      <c r="H543" s="28">
        <f>IFERROR(VLOOKUP(F543,CARTON_LOOKUP!$A:$E,4,0),"")</f>
      </c>
      <c r="I543" s="28">
        <f>IFERROR(VLOOKUP(F543,CARTON_LOOKUP!$A:$E,5,0),"")</f>
      </c>
      <c r="J543" s="29">
        <f>IFERROR(VLOOKUP(F543,CARTON_LOOKUP!$A:$E,2,0),"")</f>
      </c>
      <c r="K543" s="29">
        <f>IFERROR(J543*D543,0)</f>
      </c>
      <c r="L543" s="29">
        <f>IFERROR(E543*C543,0)</f>
      </c>
      <c r="M543" s="29">
        <f>IFERROR((G543*H543*I543/1000000)*D543,0)</f>
      </c>
    </row>
    <row r="544" spans="1:13" x14ac:dyDescent="0.25">
      <c r="A544" s="16"/>
      <c r="E544" s="27"/>
      <c r="F544" t="s">
        <v>26</v>
      </c>
      <c r="G544" s="28">
        <f>IFERROR(VLOOKUP(F544,CARTON_LOOKUP!$A:$E,3,0),"")</f>
      </c>
      <c r="H544" s="28">
        <f>IFERROR(VLOOKUP(F544,CARTON_LOOKUP!$A:$E,4,0),"")</f>
      </c>
      <c r="I544" s="28">
        <f>IFERROR(VLOOKUP(F544,CARTON_LOOKUP!$A:$E,5,0),"")</f>
      </c>
      <c r="J544" s="29">
        <f>IFERROR(VLOOKUP(F544,CARTON_LOOKUP!$A:$E,2,0),"")</f>
      </c>
      <c r="K544" s="29">
        <f>IFERROR(J544*D544,0)</f>
      </c>
      <c r="L544" s="29">
        <f>IFERROR(E544*C544,0)</f>
      </c>
      <c r="M544" s="29">
        <f>IFERROR((G544*H544*I544/1000000)*D544,0)</f>
      </c>
    </row>
    <row r="545" spans="1:13" x14ac:dyDescent="0.25">
      <c r="A545" s="16"/>
      <c r="E545" s="27"/>
      <c r="F545" t="s">
        <v>26</v>
      </c>
      <c r="G545" s="28">
        <f>IFERROR(VLOOKUP(F545,CARTON_LOOKUP!$A:$E,3,0),"")</f>
      </c>
      <c r="H545" s="28">
        <f>IFERROR(VLOOKUP(F545,CARTON_LOOKUP!$A:$E,4,0),"")</f>
      </c>
      <c r="I545" s="28">
        <f>IFERROR(VLOOKUP(F545,CARTON_LOOKUP!$A:$E,5,0),"")</f>
      </c>
      <c r="J545" s="29">
        <f>IFERROR(VLOOKUP(F545,CARTON_LOOKUP!$A:$E,2,0),"")</f>
      </c>
      <c r="K545" s="29">
        <f>IFERROR(J545*D545,0)</f>
      </c>
      <c r="L545" s="29">
        <f>IFERROR(E545*C545,0)</f>
      </c>
      <c r="M545" s="29">
        <f>IFERROR((G545*H545*I545/1000000)*D545,0)</f>
      </c>
    </row>
    <row r="546" spans="1:13" x14ac:dyDescent="0.25">
      <c r="A546" s="16"/>
      <c r="E546" s="27"/>
      <c r="F546" t="s">
        <v>26</v>
      </c>
      <c r="G546" s="28">
        <f>IFERROR(VLOOKUP(F546,CARTON_LOOKUP!$A:$E,3,0),"")</f>
      </c>
      <c r="H546" s="28">
        <f>IFERROR(VLOOKUP(F546,CARTON_LOOKUP!$A:$E,4,0),"")</f>
      </c>
      <c r="I546" s="28">
        <f>IFERROR(VLOOKUP(F546,CARTON_LOOKUP!$A:$E,5,0),"")</f>
      </c>
      <c r="J546" s="29">
        <f>IFERROR(VLOOKUP(F546,CARTON_LOOKUP!$A:$E,2,0),"")</f>
      </c>
      <c r="K546" s="29">
        <f>IFERROR(J546*D546,0)</f>
      </c>
      <c r="L546" s="29">
        <f>IFERROR(E546*C546,0)</f>
      </c>
      <c r="M546" s="29">
        <f>IFERROR((G546*H546*I546/1000000)*D546,0)</f>
      </c>
    </row>
    <row r="547" spans="1:13" x14ac:dyDescent="0.25">
      <c r="A547" s="16"/>
      <c r="E547" s="27"/>
      <c r="F547" t="s">
        <v>26</v>
      </c>
      <c r="G547" s="28">
        <f>IFERROR(VLOOKUP(F547,CARTON_LOOKUP!$A:$E,3,0),"")</f>
      </c>
      <c r="H547" s="28">
        <f>IFERROR(VLOOKUP(F547,CARTON_LOOKUP!$A:$E,4,0),"")</f>
      </c>
      <c r="I547" s="28">
        <f>IFERROR(VLOOKUP(F547,CARTON_LOOKUP!$A:$E,5,0),"")</f>
      </c>
      <c r="J547" s="29">
        <f>IFERROR(VLOOKUP(F547,CARTON_LOOKUP!$A:$E,2,0),"")</f>
      </c>
      <c r="K547" s="29">
        <f>IFERROR(J547*D547,0)</f>
      </c>
      <c r="L547" s="29">
        <f>IFERROR(E547*C547,0)</f>
      </c>
      <c r="M547" s="29">
        <f>IFERROR((G547*H547*I547/1000000)*D547,0)</f>
      </c>
    </row>
    <row r="548" spans="1:13" x14ac:dyDescent="0.25">
      <c r="A548" s="16"/>
      <c r="E548" s="27"/>
      <c r="F548" t="s">
        <v>26</v>
      </c>
      <c r="G548" s="28">
        <f>IFERROR(VLOOKUP(F548,CARTON_LOOKUP!$A:$E,3,0),"")</f>
      </c>
      <c r="H548" s="28">
        <f>IFERROR(VLOOKUP(F548,CARTON_LOOKUP!$A:$E,4,0),"")</f>
      </c>
      <c r="I548" s="28">
        <f>IFERROR(VLOOKUP(F548,CARTON_LOOKUP!$A:$E,5,0),"")</f>
      </c>
      <c r="J548" s="29">
        <f>IFERROR(VLOOKUP(F548,CARTON_LOOKUP!$A:$E,2,0),"")</f>
      </c>
      <c r="K548" s="29">
        <f>IFERROR(J548*D548,0)</f>
      </c>
      <c r="L548" s="29">
        <f>IFERROR(E548*C548,0)</f>
      </c>
      <c r="M548" s="29">
        <f>IFERROR((G548*H548*I548/1000000)*D548,0)</f>
      </c>
    </row>
    <row r="549" spans="1:13" x14ac:dyDescent="0.25">
      <c r="A549" s="16"/>
      <c r="E549" s="27"/>
      <c r="F549" t="s">
        <v>26</v>
      </c>
      <c r="G549" s="28">
        <f>IFERROR(VLOOKUP(F549,CARTON_LOOKUP!$A:$E,3,0),"")</f>
      </c>
      <c r="H549" s="28">
        <f>IFERROR(VLOOKUP(F549,CARTON_LOOKUP!$A:$E,4,0),"")</f>
      </c>
      <c r="I549" s="28">
        <f>IFERROR(VLOOKUP(F549,CARTON_LOOKUP!$A:$E,5,0),"")</f>
      </c>
      <c r="J549" s="29">
        <f>IFERROR(VLOOKUP(F549,CARTON_LOOKUP!$A:$E,2,0),"")</f>
      </c>
      <c r="K549" s="29">
        <f>IFERROR(J549*D549,0)</f>
      </c>
      <c r="L549" s="29">
        <f>IFERROR(E549*C549,0)</f>
      </c>
      <c r="M549" s="29">
        <f>IFERROR((G549*H549*I549/1000000)*D549,0)</f>
      </c>
    </row>
    <row r="550" spans="1:13" x14ac:dyDescent="0.25">
      <c r="A550" s="16"/>
      <c r="E550" s="27"/>
      <c r="F550" t="s">
        <v>26</v>
      </c>
      <c r="G550" s="28">
        <f>IFERROR(VLOOKUP(F550,CARTON_LOOKUP!$A:$E,3,0),"")</f>
      </c>
      <c r="H550" s="28">
        <f>IFERROR(VLOOKUP(F550,CARTON_LOOKUP!$A:$E,4,0),"")</f>
      </c>
      <c r="I550" s="28">
        <f>IFERROR(VLOOKUP(F550,CARTON_LOOKUP!$A:$E,5,0),"")</f>
      </c>
      <c r="J550" s="29">
        <f>IFERROR(VLOOKUP(F550,CARTON_LOOKUP!$A:$E,2,0),"")</f>
      </c>
      <c r="K550" s="29">
        <f>IFERROR(J550*D550,0)</f>
      </c>
      <c r="L550" s="29">
        <f>IFERROR(E550*C550,0)</f>
      </c>
      <c r="M550" s="29">
        <f>IFERROR((G550*H550*I550/1000000)*D550,0)</f>
      </c>
    </row>
    <row r="551" spans="1:13" x14ac:dyDescent="0.25">
      <c r="A551" s="16"/>
      <c r="E551" s="27"/>
      <c r="F551" t="s">
        <v>26</v>
      </c>
      <c r="G551" s="28">
        <f>IFERROR(VLOOKUP(F551,CARTON_LOOKUP!$A:$E,3,0),"")</f>
      </c>
      <c r="H551" s="28">
        <f>IFERROR(VLOOKUP(F551,CARTON_LOOKUP!$A:$E,4,0),"")</f>
      </c>
      <c r="I551" s="28">
        <f>IFERROR(VLOOKUP(F551,CARTON_LOOKUP!$A:$E,5,0),"")</f>
      </c>
      <c r="J551" s="29">
        <f>IFERROR(VLOOKUP(F551,CARTON_LOOKUP!$A:$E,2,0),"")</f>
      </c>
      <c r="K551" s="29">
        <f>IFERROR(J551*D551,0)</f>
      </c>
      <c r="L551" s="29">
        <f>IFERROR(E551*C551,0)</f>
      </c>
      <c r="M551" s="29">
        <f>IFERROR((G551*H551*I551/1000000)*D551,0)</f>
      </c>
    </row>
    <row r="552" spans="1:13" x14ac:dyDescent="0.25">
      <c r="A552" s="16"/>
      <c r="E552" s="27"/>
      <c r="F552" t="s">
        <v>26</v>
      </c>
      <c r="G552" s="28">
        <f>IFERROR(VLOOKUP(F552,CARTON_LOOKUP!$A:$E,3,0),"")</f>
      </c>
      <c r="H552" s="28">
        <f>IFERROR(VLOOKUP(F552,CARTON_LOOKUP!$A:$E,4,0),"")</f>
      </c>
      <c r="I552" s="28">
        <f>IFERROR(VLOOKUP(F552,CARTON_LOOKUP!$A:$E,5,0),"")</f>
      </c>
      <c r="J552" s="29">
        <f>IFERROR(VLOOKUP(F552,CARTON_LOOKUP!$A:$E,2,0),"")</f>
      </c>
      <c r="K552" s="29">
        <f>IFERROR(J552*D552,0)</f>
      </c>
      <c r="L552" s="29">
        <f>IFERROR(E552*C552,0)</f>
      </c>
      <c r="M552" s="29">
        <f>IFERROR((G552*H552*I552/1000000)*D552,0)</f>
      </c>
    </row>
    <row r="553" spans="1:13" x14ac:dyDescent="0.25">
      <c r="A553" s="16"/>
      <c r="E553" s="27"/>
      <c r="F553" t="s">
        <v>26</v>
      </c>
      <c r="G553" s="28">
        <f>IFERROR(VLOOKUP(F553,CARTON_LOOKUP!$A:$E,3,0),"")</f>
      </c>
      <c r="H553" s="28">
        <f>IFERROR(VLOOKUP(F553,CARTON_LOOKUP!$A:$E,4,0),"")</f>
      </c>
      <c r="I553" s="28">
        <f>IFERROR(VLOOKUP(F553,CARTON_LOOKUP!$A:$E,5,0),"")</f>
      </c>
      <c r="J553" s="29">
        <f>IFERROR(VLOOKUP(F553,CARTON_LOOKUP!$A:$E,2,0),"")</f>
      </c>
      <c r="K553" s="29">
        <f>IFERROR(J553*D553,0)</f>
      </c>
      <c r="L553" s="29">
        <f>IFERROR(E553*C553,0)</f>
      </c>
      <c r="M553" s="29">
        <f>IFERROR((G553*H553*I553/1000000)*D553,0)</f>
      </c>
    </row>
    <row r="554" spans="1:13" x14ac:dyDescent="0.25">
      <c r="A554" s="16"/>
      <c r="E554" s="27"/>
      <c r="F554" t="s">
        <v>26</v>
      </c>
      <c r="G554" s="28">
        <f>IFERROR(VLOOKUP(F554,CARTON_LOOKUP!$A:$E,3,0),"")</f>
      </c>
      <c r="H554" s="28">
        <f>IFERROR(VLOOKUP(F554,CARTON_LOOKUP!$A:$E,4,0),"")</f>
      </c>
      <c r="I554" s="28">
        <f>IFERROR(VLOOKUP(F554,CARTON_LOOKUP!$A:$E,5,0),"")</f>
      </c>
      <c r="J554" s="29">
        <f>IFERROR(VLOOKUP(F554,CARTON_LOOKUP!$A:$E,2,0),"")</f>
      </c>
      <c r="K554" s="29">
        <f>IFERROR(J554*D554,0)</f>
      </c>
      <c r="L554" s="29">
        <f>IFERROR(E554*C554,0)</f>
      </c>
      <c r="M554" s="29">
        <f>IFERROR((G554*H554*I554/1000000)*D554,0)</f>
      </c>
    </row>
    <row r="555" spans="1:13" x14ac:dyDescent="0.25">
      <c r="A555" s="16"/>
      <c r="E555" s="27"/>
      <c r="F555" t="s">
        <v>26</v>
      </c>
      <c r="G555" s="28">
        <f>IFERROR(VLOOKUP(F555,CARTON_LOOKUP!$A:$E,3,0),"")</f>
      </c>
      <c r="H555" s="28">
        <f>IFERROR(VLOOKUP(F555,CARTON_LOOKUP!$A:$E,4,0),"")</f>
      </c>
      <c r="I555" s="28">
        <f>IFERROR(VLOOKUP(F555,CARTON_LOOKUP!$A:$E,5,0),"")</f>
      </c>
      <c r="J555" s="29">
        <f>IFERROR(VLOOKUP(F555,CARTON_LOOKUP!$A:$E,2,0),"")</f>
      </c>
      <c r="K555" s="29">
        <f>IFERROR(J555*D555,0)</f>
      </c>
      <c r="L555" s="29">
        <f>IFERROR(E555*C555,0)</f>
      </c>
      <c r="M555" s="29">
        <f>IFERROR((G555*H555*I555/1000000)*D555,0)</f>
      </c>
    </row>
    <row r="556" spans="1:13" x14ac:dyDescent="0.25">
      <c r="A556" s="16"/>
      <c r="E556" s="27"/>
      <c r="F556" t="s">
        <v>26</v>
      </c>
      <c r="G556" s="28">
        <f>IFERROR(VLOOKUP(F556,CARTON_LOOKUP!$A:$E,3,0),"")</f>
      </c>
      <c r="H556" s="28">
        <f>IFERROR(VLOOKUP(F556,CARTON_LOOKUP!$A:$E,4,0),"")</f>
      </c>
      <c r="I556" s="28">
        <f>IFERROR(VLOOKUP(F556,CARTON_LOOKUP!$A:$E,5,0),"")</f>
      </c>
      <c r="J556" s="29">
        <f>IFERROR(VLOOKUP(F556,CARTON_LOOKUP!$A:$E,2,0),"")</f>
      </c>
      <c r="K556" s="29">
        <f>IFERROR(J556*D556,0)</f>
      </c>
      <c r="L556" s="29">
        <f>IFERROR(E556*C556,0)</f>
      </c>
      <c r="M556" s="29">
        <f>IFERROR((G556*H556*I556/1000000)*D556,0)</f>
      </c>
    </row>
    <row r="557" spans="1:13" x14ac:dyDescent="0.25">
      <c r="A557" s="16"/>
      <c r="E557" s="27"/>
      <c r="F557" t="s">
        <v>26</v>
      </c>
      <c r="G557" s="28">
        <f>IFERROR(VLOOKUP(F557,CARTON_LOOKUP!$A:$E,3,0),"")</f>
      </c>
      <c r="H557" s="28">
        <f>IFERROR(VLOOKUP(F557,CARTON_LOOKUP!$A:$E,4,0),"")</f>
      </c>
      <c r="I557" s="28">
        <f>IFERROR(VLOOKUP(F557,CARTON_LOOKUP!$A:$E,5,0),"")</f>
      </c>
      <c r="J557" s="29">
        <f>IFERROR(VLOOKUP(F557,CARTON_LOOKUP!$A:$E,2,0),"")</f>
      </c>
      <c r="K557" s="29">
        <f>IFERROR(J557*D557,0)</f>
      </c>
      <c r="L557" s="29">
        <f>IFERROR(E557*C557,0)</f>
      </c>
      <c r="M557" s="29">
        <f>IFERROR((G557*H557*I557/1000000)*D557,0)</f>
      </c>
    </row>
    <row r="558" spans="1:13" x14ac:dyDescent="0.25">
      <c r="A558" s="16"/>
      <c r="E558" s="27"/>
      <c r="F558" t="s">
        <v>26</v>
      </c>
      <c r="G558" s="28">
        <f>IFERROR(VLOOKUP(F558,CARTON_LOOKUP!$A:$E,3,0),"")</f>
      </c>
      <c r="H558" s="28">
        <f>IFERROR(VLOOKUP(F558,CARTON_LOOKUP!$A:$E,4,0),"")</f>
      </c>
      <c r="I558" s="28">
        <f>IFERROR(VLOOKUP(F558,CARTON_LOOKUP!$A:$E,5,0),"")</f>
      </c>
      <c r="J558" s="29">
        <f>IFERROR(VLOOKUP(F558,CARTON_LOOKUP!$A:$E,2,0),"")</f>
      </c>
      <c r="K558" s="29">
        <f>IFERROR(J558*D558,0)</f>
      </c>
      <c r="L558" s="29">
        <f>IFERROR(E558*C558,0)</f>
      </c>
      <c r="M558" s="29">
        <f>IFERROR((G558*H558*I558/1000000)*D558,0)</f>
      </c>
    </row>
    <row r="559" spans="1:13" x14ac:dyDescent="0.25">
      <c r="A559" s="16"/>
      <c r="E559" s="27"/>
      <c r="F559" t="s">
        <v>26</v>
      </c>
      <c r="G559" s="28">
        <f>IFERROR(VLOOKUP(F559,CARTON_LOOKUP!$A:$E,3,0),"")</f>
      </c>
      <c r="H559" s="28">
        <f>IFERROR(VLOOKUP(F559,CARTON_LOOKUP!$A:$E,4,0),"")</f>
      </c>
      <c r="I559" s="28">
        <f>IFERROR(VLOOKUP(F559,CARTON_LOOKUP!$A:$E,5,0),"")</f>
      </c>
      <c r="J559" s="29">
        <f>IFERROR(VLOOKUP(F559,CARTON_LOOKUP!$A:$E,2,0),"")</f>
      </c>
      <c r="K559" s="29">
        <f>IFERROR(J559*D559,0)</f>
      </c>
      <c r="L559" s="29">
        <f>IFERROR(E559*C559,0)</f>
      </c>
      <c r="M559" s="29">
        <f>IFERROR((G559*H559*I559/1000000)*D559,0)</f>
      </c>
    </row>
    <row r="560" spans="1:13" x14ac:dyDescent="0.25">
      <c r="A560" s="16"/>
      <c r="E560" s="27"/>
      <c r="F560" t="s">
        <v>26</v>
      </c>
      <c r="G560" s="28">
        <f>IFERROR(VLOOKUP(F560,CARTON_LOOKUP!$A:$E,3,0),"")</f>
      </c>
      <c r="H560" s="28">
        <f>IFERROR(VLOOKUP(F560,CARTON_LOOKUP!$A:$E,4,0),"")</f>
      </c>
      <c r="I560" s="28">
        <f>IFERROR(VLOOKUP(F560,CARTON_LOOKUP!$A:$E,5,0),"")</f>
      </c>
      <c r="J560" s="29">
        <f>IFERROR(VLOOKUP(F560,CARTON_LOOKUP!$A:$E,2,0),"")</f>
      </c>
      <c r="K560" s="29">
        <f>IFERROR(J560*D560,0)</f>
      </c>
      <c r="L560" s="29">
        <f>IFERROR(E560*C560,0)</f>
      </c>
      <c r="M560" s="29">
        <f>IFERROR((G560*H560*I560/1000000)*D560,0)</f>
      </c>
    </row>
    <row r="561" spans="1:13" x14ac:dyDescent="0.25">
      <c r="A561" s="16"/>
      <c r="E561" s="27"/>
      <c r="F561" t="s">
        <v>26</v>
      </c>
      <c r="G561" s="28">
        <f>IFERROR(VLOOKUP(F561,CARTON_LOOKUP!$A:$E,3,0),"")</f>
      </c>
      <c r="H561" s="28">
        <f>IFERROR(VLOOKUP(F561,CARTON_LOOKUP!$A:$E,4,0),"")</f>
      </c>
      <c r="I561" s="28">
        <f>IFERROR(VLOOKUP(F561,CARTON_LOOKUP!$A:$E,5,0),"")</f>
      </c>
      <c r="J561" s="29">
        <f>IFERROR(VLOOKUP(F561,CARTON_LOOKUP!$A:$E,2,0),"")</f>
      </c>
      <c r="K561" s="29">
        <f>IFERROR(J561*D561,0)</f>
      </c>
      <c r="L561" s="29">
        <f>IFERROR(E561*C561,0)</f>
      </c>
      <c r="M561" s="29">
        <f>IFERROR((G561*H561*I561/1000000)*D561,0)</f>
      </c>
    </row>
    <row r="562" spans="1:13" x14ac:dyDescent="0.25">
      <c r="A562" s="16"/>
      <c r="E562" s="27"/>
      <c r="F562" t="s">
        <v>26</v>
      </c>
      <c r="G562" s="28">
        <f>IFERROR(VLOOKUP(F562,CARTON_LOOKUP!$A:$E,3,0),"")</f>
      </c>
      <c r="H562" s="28">
        <f>IFERROR(VLOOKUP(F562,CARTON_LOOKUP!$A:$E,4,0),"")</f>
      </c>
      <c r="I562" s="28">
        <f>IFERROR(VLOOKUP(F562,CARTON_LOOKUP!$A:$E,5,0),"")</f>
      </c>
      <c r="J562" s="29">
        <f>IFERROR(VLOOKUP(F562,CARTON_LOOKUP!$A:$E,2,0),"")</f>
      </c>
      <c r="K562" s="29">
        <f>IFERROR(J562*D562,0)</f>
      </c>
      <c r="L562" s="29">
        <f>IFERROR(E562*C562,0)</f>
      </c>
      <c r="M562" s="29">
        <f>IFERROR((G562*H562*I562/1000000)*D562,0)</f>
      </c>
    </row>
    <row r="563" spans="1:13" x14ac:dyDescent="0.25">
      <c r="A563" s="16"/>
      <c r="E563" s="27"/>
      <c r="F563" t="s">
        <v>26</v>
      </c>
      <c r="G563" s="28">
        <f>IFERROR(VLOOKUP(F563,CARTON_LOOKUP!$A:$E,3,0),"")</f>
      </c>
      <c r="H563" s="28">
        <f>IFERROR(VLOOKUP(F563,CARTON_LOOKUP!$A:$E,4,0),"")</f>
      </c>
      <c r="I563" s="28">
        <f>IFERROR(VLOOKUP(F563,CARTON_LOOKUP!$A:$E,5,0),"")</f>
      </c>
      <c r="J563" s="29">
        <f>IFERROR(VLOOKUP(F563,CARTON_LOOKUP!$A:$E,2,0),"")</f>
      </c>
      <c r="K563" s="29">
        <f>IFERROR(J563*D563,0)</f>
      </c>
      <c r="L563" s="29">
        <f>IFERROR(E563*C563,0)</f>
      </c>
      <c r="M563" s="29">
        <f>IFERROR((G563*H563*I563/1000000)*D563,0)</f>
      </c>
    </row>
    <row r="564" spans="1:13" x14ac:dyDescent="0.25">
      <c r="A564" s="16"/>
      <c r="E564" s="27"/>
      <c r="F564" t="s">
        <v>26</v>
      </c>
      <c r="G564" s="28">
        <f>IFERROR(VLOOKUP(F564,CARTON_LOOKUP!$A:$E,3,0),"")</f>
      </c>
      <c r="H564" s="28">
        <f>IFERROR(VLOOKUP(F564,CARTON_LOOKUP!$A:$E,4,0),"")</f>
      </c>
      <c r="I564" s="28">
        <f>IFERROR(VLOOKUP(F564,CARTON_LOOKUP!$A:$E,5,0),"")</f>
      </c>
      <c r="J564" s="29">
        <f>IFERROR(VLOOKUP(F564,CARTON_LOOKUP!$A:$E,2,0),"")</f>
      </c>
      <c r="K564" s="29">
        <f>IFERROR(J564*D564,0)</f>
      </c>
      <c r="L564" s="29">
        <f>IFERROR(E564*C564,0)</f>
      </c>
      <c r="M564" s="29">
        <f>IFERROR((G564*H564*I564/1000000)*D564,0)</f>
      </c>
    </row>
    <row r="565" spans="1:13" x14ac:dyDescent="0.25">
      <c r="A565" s="16"/>
      <c r="E565" s="27"/>
      <c r="F565" t="s">
        <v>26</v>
      </c>
      <c r="G565" s="28">
        <f>IFERROR(VLOOKUP(F565,CARTON_LOOKUP!$A:$E,3,0),"")</f>
      </c>
      <c r="H565" s="28">
        <f>IFERROR(VLOOKUP(F565,CARTON_LOOKUP!$A:$E,4,0),"")</f>
      </c>
      <c r="I565" s="28">
        <f>IFERROR(VLOOKUP(F565,CARTON_LOOKUP!$A:$E,5,0),"")</f>
      </c>
      <c r="J565" s="29">
        <f>IFERROR(VLOOKUP(F565,CARTON_LOOKUP!$A:$E,2,0),"")</f>
      </c>
      <c r="K565" s="29">
        <f>IFERROR(J565*D565,0)</f>
      </c>
      <c r="L565" s="29">
        <f>IFERROR(E565*C565,0)</f>
      </c>
      <c r="M565" s="29">
        <f>IFERROR((G565*H565*I565/1000000)*D565,0)</f>
      </c>
    </row>
    <row r="566" spans="1:13" x14ac:dyDescent="0.25">
      <c r="A566" s="16"/>
      <c r="E566" s="27"/>
      <c r="F566" t="s">
        <v>26</v>
      </c>
      <c r="G566" s="28">
        <f>IFERROR(VLOOKUP(F566,CARTON_LOOKUP!$A:$E,3,0),"")</f>
      </c>
      <c r="H566" s="28">
        <f>IFERROR(VLOOKUP(F566,CARTON_LOOKUP!$A:$E,4,0),"")</f>
      </c>
      <c r="I566" s="28">
        <f>IFERROR(VLOOKUP(F566,CARTON_LOOKUP!$A:$E,5,0),"")</f>
      </c>
      <c r="J566" s="29">
        <f>IFERROR(VLOOKUP(F566,CARTON_LOOKUP!$A:$E,2,0),"")</f>
      </c>
      <c r="K566" s="29">
        <f>IFERROR(J566*D566,0)</f>
      </c>
      <c r="L566" s="29">
        <f>IFERROR(E566*C566,0)</f>
      </c>
      <c r="M566" s="29">
        <f>IFERROR((G566*H566*I566/1000000)*D566,0)</f>
      </c>
    </row>
    <row r="567" spans="1:13" x14ac:dyDescent="0.25">
      <c r="A567" s="16"/>
      <c r="E567" s="27"/>
      <c r="F567" t="s">
        <v>26</v>
      </c>
      <c r="G567" s="28">
        <f>IFERROR(VLOOKUP(F567,CARTON_LOOKUP!$A:$E,3,0),"")</f>
      </c>
      <c r="H567" s="28">
        <f>IFERROR(VLOOKUP(F567,CARTON_LOOKUP!$A:$E,4,0),"")</f>
      </c>
      <c r="I567" s="28">
        <f>IFERROR(VLOOKUP(F567,CARTON_LOOKUP!$A:$E,5,0),"")</f>
      </c>
      <c r="J567" s="29">
        <f>IFERROR(VLOOKUP(F567,CARTON_LOOKUP!$A:$E,2,0),"")</f>
      </c>
      <c r="K567" s="29">
        <f>IFERROR(J567*D567,0)</f>
      </c>
      <c r="L567" s="29">
        <f>IFERROR(E567*C567,0)</f>
      </c>
      <c r="M567" s="29">
        <f>IFERROR((G567*H567*I567/1000000)*D567,0)</f>
      </c>
    </row>
    <row r="568" spans="1:13" x14ac:dyDescent="0.25">
      <c r="A568" s="16"/>
      <c r="E568" s="27"/>
      <c r="F568" t="s">
        <v>26</v>
      </c>
      <c r="G568" s="28">
        <f>IFERROR(VLOOKUP(F568,CARTON_LOOKUP!$A:$E,3,0),"")</f>
      </c>
      <c r="H568" s="28">
        <f>IFERROR(VLOOKUP(F568,CARTON_LOOKUP!$A:$E,4,0),"")</f>
      </c>
      <c r="I568" s="28">
        <f>IFERROR(VLOOKUP(F568,CARTON_LOOKUP!$A:$E,5,0),"")</f>
      </c>
      <c r="J568" s="29">
        <f>IFERROR(VLOOKUP(F568,CARTON_LOOKUP!$A:$E,2,0),"")</f>
      </c>
      <c r="K568" s="29">
        <f>IFERROR(J568*D568,0)</f>
      </c>
      <c r="L568" s="29">
        <f>IFERROR(E568*C568,0)</f>
      </c>
      <c r="M568" s="29">
        <f>IFERROR((G568*H568*I568/1000000)*D568,0)</f>
      </c>
    </row>
    <row r="569" spans="1:13" x14ac:dyDescent="0.25">
      <c r="A569" s="16"/>
      <c r="E569" s="27"/>
      <c r="F569" t="s">
        <v>26</v>
      </c>
      <c r="G569" s="28">
        <f>IFERROR(VLOOKUP(F569,CARTON_LOOKUP!$A:$E,3,0),"")</f>
      </c>
      <c r="H569" s="28">
        <f>IFERROR(VLOOKUP(F569,CARTON_LOOKUP!$A:$E,4,0),"")</f>
      </c>
      <c r="I569" s="28">
        <f>IFERROR(VLOOKUP(F569,CARTON_LOOKUP!$A:$E,5,0),"")</f>
      </c>
      <c r="J569" s="29">
        <f>IFERROR(VLOOKUP(F569,CARTON_LOOKUP!$A:$E,2,0),"")</f>
      </c>
      <c r="K569" s="29">
        <f>IFERROR(J569*D569,0)</f>
      </c>
      <c r="L569" s="29">
        <f>IFERROR(E569*C569,0)</f>
      </c>
      <c r="M569" s="29">
        <f>IFERROR((G569*H569*I569/1000000)*D569,0)</f>
      </c>
    </row>
    <row r="570" spans="1:13" x14ac:dyDescent="0.25">
      <c r="A570" s="16"/>
      <c r="E570" s="27"/>
      <c r="F570" t="s">
        <v>26</v>
      </c>
      <c r="G570" s="28">
        <f>IFERROR(VLOOKUP(F570,CARTON_LOOKUP!$A:$E,3,0),"")</f>
      </c>
      <c r="H570" s="28">
        <f>IFERROR(VLOOKUP(F570,CARTON_LOOKUP!$A:$E,4,0),"")</f>
      </c>
      <c r="I570" s="28">
        <f>IFERROR(VLOOKUP(F570,CARTON_LOOKUP!$A:$E,5,0),"")</f>
      </c>
      <c r="J570" s="29">
        <f>IFERROR(VLOOKUP(F570,CARTON_LOOKUP!$A:$E,2,0),"")</f>
      </c>
      <c r="K570" s="29">
        <f>IFERROR(J570*D570,0)</f>
      </c>
      <c r="L570" s="29">
        <f>IFERROR(E570*C570,0)</f>
      </c>
      <c r="M570" s="29">
        <f>IFERROR((G570*H570*I570/1000000)*D570,0)</f>
      </c>
    </row>
    <row r="571" spans="1:13" x14ac:dyDescent="0.25">
      <c r="A571" s="16"/>
      <c r="E571" s="27"/>
      <c r="F571" t="s">
        <v>26</v>
      </c>
      <c r="G571" s="28">
        <f>IFERROR(VLOOKUP(F571,CARTON_LOOKUP!$A:$E,3,0),"")</f>
      </c>
      <c r="H571" s="28">
        <f>IFERROR(VLOOKUP(F571,CARTON_LOOKUP!$A:$E,4,0),"")</f>
      </c>
      <c r="I571" s="28">
        <f>IFERROR(VLOOKUP(F571,CARTON_LOOKUP!$A:$E,5,0),"")</f>
      </c>
      <c r="J571" s="29">
        <f>IFERROR(VLOOKUP(F571,CARTON_LOOKUP!$A:$E,2,0),"")</f>
      </c>
      <c r="K571" s="29">
        <f>IFERROR(J571*D571,0)</f>
      </c>
      <c r="L571" s="29">
        <f>IFERROR(E571*C571,0)</f>
      </c>
      <c r="M571" s="29">
        <f>IFERROR((G571*H571*I571/1000000)*D571,0)</f>
      </c>
    </row>
    <row r="572" spans="1:13" x14ac:dyDescent="0.25">
      <c r="A572" s="16"/>
      <c r="E572" s="27"/>
      <c r="F572" t="s">
        <v>26</v>
      </c>
      <c r="G572" s="28">
        <f>IFERROR(VLOOKUP(F572,CARTON_LOOKUP!$A:$E,3,0),"")</f>
      </c>
      <c r="H572" s="28">
        <f>IFERROR(VLOOKUP(F572,CARTON_LOOKUP!$A:$E,4,0),"")</f>
      </c>
      <c r="I572" s="28">
        <f>IFERROR(VLOOKUP(F572,CARTON_LOOKUP!$A:$E,5,0),"")</f>
      </c>
      <c r="J572" s="29">
        <f>IFERROR(VLOOKUP(F572,CARTON_LOOKUP!$A:$E,2,0),"")</f>
      </c>
      <c r="K572" s="29">
        <f>IFERROR(J572*D572,0)</f>
      </c>
      <c r="L572" s="29">
        <f>IFERROR(E572*C572,0)</f>
      </c>
      <c r="M572" s="29">
        <f>IFERROR((G572*H572*I572/1000000)*D572,0)</f>
      </c>
    </row>
    <row r="573" spans="1:13" x14ac:dyDescent="0.25">
      <c r="A573" s="16"/>
      <c r="E573" s="27"/>
      <c r="F573" t="s">
        <v>26</v>
      </c>
      <c r="G573" s="28">
        <f>IFERROR(VLOOKUP(F573,CARTON_LOOKUP!$A:$E,3,0),"")</f>
      </c>
      <c r="H573" s="28">
        <f>IFERROR(VLOOKUP(F573,CARTON_LOOKUP!$A:$E,4,0),"")</f>
      </c>
      <c r="I573" s="28">
        <f>IFERROR(VLOOKUP(F573,CARTON_LOOKUP!$A:$E,5,0),"")</f>
      </c>
      <c r="J573" s="29">
        <f>IFERROR(VLOOKUP(F573,CARTON_LOOKUP!$A:$E,2,0),"")</f>
      </c>
      <c r="K573" s="29">
        <f>IFERROR(J573*D573,0)</f>
      </c>
      <c r="L573" s="29">
        <f>IFERROR(E573*C573,0)</f>
      </c>
      <c r="M573" s="29">
        <f>IFERROR((G573*H573*I573/1000000)*D573,0)</f>
      </c>
    </row>
    <row r="574" spans="1:13" x14ac:dyDescent="0.25">
      <c r="A574" s="16"/>
      <c r="E574" s="27"/>
      <c r="F574" t="s">
        <v>26</v>
      </c>
      <c r="G574" s="28">
        <f>IFERROR(VLOOKUP(F574,CARTON_LOOKUP!$A:$E,3,0),"")</f>
      </c>
      <c r="H574" s="28">
        <f>IFERROR(VLOOKUP(F574,CARTON_LOOKUP!$A:$E,4,0),"")</f>
      </c>
      <c r="I574" s="28">
        <f>IFERROR(VLOOKUP(F574,CARTON_LOOKUP!$A:$E,5,0),"")</f>
      </c>
      <c r="J574" s="29">
        <f>IFERROR(VLOOKUP(F574,CARTON_LOOKUP!$A:$E,2,0),"")</f>
      </c>
      <c r="K574" s="29">
        <f>IFERROR(J574*D574,0)</f>
      </c>
      <c r="L574" s="29">
        <f>IFERROR(E574*C574,0)</f>
      </c>
      <c r="M574" s="29">
        <f>IFERROR((G574*H574*I574/1000000)*D574,0)</f>
      </c>
    </row>
    <row r="575" spans="1:13" x14ac:dyDescent="0.25">
      <c r="A575" s="16"/>
      <c r="E575" s="27"/>
      <c r="F575" t="s">
        <v>26</v>
      </c>
      <c r="G575" s="28">
        <f>IFERROR(VLOOKUP(F575,CARTON_LOOKUP!$A:$E,3,0),"")</f>
      </c>
      <c r="H575" s="28">
        <f>IFERROR(VLOOKUP(F575,CARTON_LOOKUP!$A:$E,4,0),"")</f>
      </c>
      <c r="I575" s="28">
        <f>IFERROR(VLOOKUP(F575,CARTON_LOOKUP!$A:$E,5,0),"")</f>
      </c>
      <c r="J575" s="29">
        <f>IFERROR(VLOOKUP(F575,CARTON_LOOKUP!$A:$E,2,0),"")</f>
      </c>
      <c r="K575" s="29">
        <f>IFERROR(J575*D575,0)</f>
      </c>
      <c r="L575" s="29">
        <f>IFERROR(E575*C575,0)</f>
      </c>
      <c r="M575" s="29">
        <f>IFERROR((G575*H575*I575/1000000)*D575,0)</f>
      </c>
    </row>
    <row r="576" spans="1:13" x14ac:dyDescent="0.25">
      <c r="A576" s="16"/>
      <c r="E576" s="27"/>
      <c r="F576" t="s">
        <v>26</v>
      </c>
      <c r="G576" s="28">
        <f>IFERROR(VLOOKUP(F576,CARTON_LOOKUP!$A:$E,3,0),"")</f>
      </c>
      <c r="H576" s="28">
        <f>IFERROR(VLOOKUP(F576,CARTON_LOOKUP!$A:$E,4,0),"")</f>
      </c>
      <c r="I576" s="28">
        <f>IFERROR(VLOOKUP(F576,CARTON_LOOKUP!$A:$E,5,0),"")</f>
      </c>
      <c r="J576" s="29">
        <f>IFERROR(VLOOKUP(F576,CARTON_LOOKUP!$A:$E,2,0),"")</f>
      </c>
      <c r="K576" s="29">
        <f>IFERROR(J576*D576,0)</f>
      </c>
      <c r="L576" s="29">
        <f>IFERROR(E576*C576,0)</f>
      </c>
      <c r="M576" s="29">
        <f>IFERROR((G576*H576*I576/1000000)*D576,0)</f>
      </c>
    </row>
    <row r="577" spans="1:13" x14ac:dyDescent="0.25">
      <c r="A577" s="16"/>
      <c r="E577" s="27"/>
      <c r="F577" t="s">
        <v>26</v>
      </c>
      <c r="G577" s="28">
        <f>IFERROR(VLOOKUP(F577,CARTON_LOOKUP!$A:$E,3,0),"")</f>
      </c>
      <c r="H577" s="28">
        <f>IFERROR(VLOOKUP(F577,CARTON_LOOKUP!$A:$E,4,0),"")</f>
      </c>
      <c r="I577" s="28">
        <f>IFERROR(VLOOKUP(F577,CARTON_LOOKUP!$A:$E,5,0),"")</f>
      </c>
      <c r="J577" s="29">
        <f>IFERROR(VLOOKUP(F577,CARTON_LOOKUP!$A:$E,2,0),"")</f>
      </c>
      <c r="K577" s="29">
        <f>IFERROR(J577*D577,0)</f>
      </c>
      <c r="L577" s="29">
        <f>IFERROR(E577*C577,0)</f>
      </c>
      <c r="M577" s="29">
        <f>IFERROR((G577*H577*I577/1000000)*D577,0)</f>
      </c>
    </row>
    <row r="578" spans="1:13" x14ac:dyDescent="0.25">
      <c r="A578" s="16"/>
      <c r="E578" s="27"/>
      <c r="F578" t="s">
        <v>26</v>
      </c>
      <c r="G578" s="28">
        <f>IFERROR(VLOOKUP(F578,CARTON_LOOKUP!$A:$E,3,0),"")</f>
      </c>
      <c r="H578" s="28">
        <f>IFERROR(VLOOKUP(F578,CARTON_LOOKUP!$A:$E,4,0),"")</f>
      </c>
      <c r="I578" s="28">
        <f>IFERROR(VLOOKUP(F578,CARTON_LOOKUP!$A:$E,5,0),"")</f>
      </c>
      <c r="J578" s="29">
        <f>IFERROR(VLOOKUP(F578,CARTON_LOOKUP!$A:$E,2,0),"")</f>
      </c>
      <c r="K578" s="29">
        <f>IFERROR(J578*D578,0)</f>
      </c>
      <c r="L578" s="29">
        <f>IFERROR(E578*C578,0)</f>
      </c>
      <c r="M578" s="29">
        <f>IFERROR((G578*H578*I578/1000000)*D578,0)</f>
      </c>
    </row>
    <row r="579" spans="1:13" x14ac:dyDescent="0.25">
      <c r="A579" s="16"/>
      <c r="E579" s="27"/>
      <c r="F579" t="s">
        <v>26</v>
      </c>
      <c r="G579" s="28">
        <f>IFERROR(VLOOKUP(F579,CARTON_LOOKUP!$A:$E,3,0),"")</f>
      </c>
      <c r="H579" s="28">
        <f>IFERROR(VLOOKUP(F579,CARTON_LOOKUP!$A:$E,4,0),"")</f>
      </c>
      <c r="I579" s="28">
        <f>IFERROR(VLOOKUP(F579,CARTON_LOOKUP!$A:$E,5,0),"")</f>
      </c>
      <c r="J579" s="29">
        <f>IFERROR(VLOOKUP(F579,CARTON_LOOKUP!$A:$E,2,0),"")</f>
      </c>
      <c r="K579" s="29">
        <f>IFERROR(J579*D579,0)</f>
      </c>
      <c r="L579" s="29">
        <f>IFERROR(E579*C579,0)</f>
      </c>
      <c r="M579" s="29">
        <f>IFERROR((G579*H579*I579/1000000)*D579,0)</f>
      </c>
    </row>
    <row r="580" spans="1:13" x14ac:dyDescent="0.25">
      <c r="A580" s="16"/>
      <c r="E580" s="27"/>
      <c r="F580" t="s">
        <v>26</v>
      </c>
      <c r="G580" s="28">
        <f>IFERROR(VLOOKUP(F580,CARTON_LOOKUP!$A:$E,3,0),"")</f>
      </c>
      <c r="H580" s="28">
        <f>IFERROR(VLOOKUP(F580,CARTON_LOOKUP!$A:$E,4,0),"")</f>
      </c>
      <c r="I580" s="28">
        <f>IFERROR(VLOOKUP(F580,CARTON_LOOKUP!$A:$E,5,0),"")</f>
      </c>
      <c r="J580" s="29">
        <f>IFERROR(VLOOKUP(F580,CARTON_LOOKUP!$A:$E,2,0),"")</f>
      </c>
      <c r="K580" s="29">
        <f>IFERROR(J580*D580,0)</f>
      </c>
      <c r="L580" s="29">
        <f>IFERROR(E580*C580,0)</f>
      </c>
      <c r="M580" s="29">
        <f>IFERROR((G580*H580*I580/1000000)*D580,0)</f>
      </c>
    </row>
    <row r="581" spans="1:13" x14ac:dyDescent="0.25">
      <c r="A581" s="16"/>
      <c r="E581" s="27"/>
      <c r="F581" t="s">
        <v>26</v>
      </c>
      <c r="G581" s="28">
        <f>IFERROR(VLOOKUP(F581,CARTON_LOOKUP!$A:$E,3,0),"")</f>
      </c>
      <c r="H581" s="28">
        <f>IFERROR(VLOOKUP(F581,CARTON_LOOKUP!$A:$E,4,0),"")</f>
      </c>
      <c r="I581" s="28">
        <f>IFERROR(VLOOKUP(F581,CARTON_LOOKUP!$A:$E,5,0),"")</f>
      </c>
      <c r="J581" s="29">
        <f>IFERROR(VLOOKUP(F581,CARTON_LOOKUP!$A:$E,2,0),"")</f>
      </c>
      <c r="K581" s="29">
        <f>IFERROR(J581*D581,0)</f>
      </c>
      <c r="L581" s="29">
        <f>IFERROR(E581*C581,0)</f>
      </c>
      <c r="M581" s="29">
        <f>IFERROR((G581*H581*I581/1000000)*D581,0)</f>
      </c>
    </row>
    <row r="582" spans="1:13" x14ac:dyDescent="0.25">
      <c r="A582" s="16"/>
      <c r="E582" s="27"/>
      <c r="F582" t="s">
        <v>26</v>
      </c>
      <c r="G582" s="28">
        <f>IFERROR(VLOOKUP(F582,CARTON_LOOKUP!$A:$E,3,0),"")</f>
      </c>
      <c r="H582" s="28">
        <f>IFERROR(VLOOKUP(F582,CARTON_LOOKUP!$A:$E,4,0),"")</f>
      </c>
      <c r="I582" s="28">
        <f>IFERROR(VLOOKUP(F582,CARTON_LOOKUP!$A:$E,5,0),"")</f>
      </c>
      <c r="J582" s="29">
        <f>IFERROR(VLOOKUP(F582,CARTON_LOOKUP!$A:$E,2,0),"")</f>
      </c>
      <c r="K582" s="29">
        <f>IFERROR(J582*D582,0)</f>
      </c>
      <c r="L582" s="29">
        <f>IFERROR(E582*C582,0)</f>
      </c>
      <c r="M582" s="29">
        <f>IFERROR((G582*H582*I582/1000000)*D582,0)</f>
      </c>
    </row>
    <row r="583" spans="1:13" x14ac:dyDescent="0.25">
      <c r="A583" s="16"/>
      <c r="E583" s="27"/>
      <c r="F583" t="s">
        <v>26</v>
      </c>
      <c r="G583" s="28">
        <f>IFERROR(VLOOKUP(F583,CARTON_LOOKUP!$A:$E,3,0),"")</f>
      </c>
      <c r="H583" s="28">
        <f>IFERROR(VLOOKUP(F583,CARTON_LOOKUP!$A:$E,4,0),"")</f>
      </c>
      <c r="I583" s="28">
        <f>IFERROR(VLOOKUP(F583,CARTON_LOOKUP!$A:$E,5,0),"")</f>
      </c>
      <c r="J583" s="29">
        <f>IFERROR(VLOOKUP(F583,CARTON_LOOKUP!$A:$E,2,0),"")</f>
      </c>
      <c r="K583" s="29">
        <f>IFERROR(J583*D583,0)</f>
      </c>
      <c r="L583" s="29">
        <f>IFERROR(E583*C583,0)</f>
      </c>
      <c r="M583" s="29">
        <f>IFERROR((G583*H583*I583/1000000)*D583,0)</f>
      </c>
    </row>
    <row r="584" spans="1:13" x14ac:dyDescent="0.25">
      <c r="A584" s="16"/>
      <c r="E584" s="27"/>
      <c r="F584" t="s">
        <v>26</v>
      </c>
      <c r="G584" s="28">
        <f>IFERROR(VLOOKUP(F584,CARTON_LOOKUP!$A:$E,3,0),"")</f>
      </c>
      <c r="H584" s="28">
        <f>IFERROR(VLOOKUP(F584,CARTON_LOOKUP!$A:$E,4,0),"")</f>
      </c>
      <c r="I584" s="28">
        <f>IFERROR(VLOOKUP(F584,CARTON_LOOKUP!$A:$E,5,0),"")</f>
      </c>
      <c r="J584" s="29">
        <f>IFERROR(VLOOKUP(F584,CARTON_LOOKUP!$A:$E,2,0),"")</f>
      </c>
      <c r="K584" s="29">
        <f>IFERROR(J584*D584,0)</f>
      </c>
      <c r="L584" s="29">
        <f>IFERROR(E584*C584,0)</f>
      </c>
      <c r="M584" s="29">
        <f>IFERROR((G584*H584*I584/1000000)*D584,0)</f>
      </c>
    </row>
    <row r="585" spans="1:13" x14ac:dyDescent="0.25">
      <c r="A585" s="16"/>
      <c r="E585" s="27"/>
      <c r="F585" t="s">
        <v>26</v>
      </c>
      <c r="G585" s="28">
        <f>IFERROR(VLOOKUP(F585,CARTON_LOOKUP!$A:$E,3,0),"")</f>
      </c>
      <c r="H585" s="28">
        <f>IFERROR(VLOOKUP(F585,CARTON_LOOKUP!$A:$E,4,0),"")</f>
      </c>
      <c r="I585" s="28">
        <f>IFERROR(VLOOKUP(F585,CARTON_LOOKUP!$A:$E,5,0),"")</f>
      </c>
      <c r="J585" s="29">
        <f>IFERROR(VLOOKUP(F585,CARTON_LOOKUP!$A:$E,2,0),"")</f>
      </c>
      <c r="K585" s="29">
        <f>IFERROR(J585*D585,0)</f>
      </c>
      <c r="L585" s="29">
        <f>IFERROR(E585*C585,0)</f>
      </c>
      <c r="M585" s="29">
        <f>IFERROR((G585*H585*I585/1000000)*D585,0)</f>
      </c>
    </row>
    <row r="586" spans="1:13" x14ac:dyDescent="0.25">
      <c r="A586" s="16"/>
      <c r="E586" s="27"/>
      <c r="F586" t="s">
        <v>26</v>
      </c>
      <c r="G586" s="28">
        <f>IFERROR(VLOOKUP(F586,CARTON_LOOKUP!$A:$E,3,0),"")</f>
      </c>
      <c r="H586" s="28">
        <f>IFERROR(VLOOKUP(F586,CARTON_LOOKUP!$A:$E,4,0),"")</f>
      </c>
      <c r="I586" s="28">
        <f>IFERROR(VLOOKUP(F586,CARTON_LOOKUP!$A:$E,5,0),"")</f>
      </c>
      <c r="J586" s="29">
        <f>IFERROR(VLOOKUP(F586,CARTON_LOOKUP!$A:$E,2,0),"")</f>
      </c>
      <c r="K586" s="29">
        <f>IFERROR(J586*D586,0)</f>
      </c>
      <c r="L586" s="29">
        <f>IFERROR(E586*C586,0)</f>
      </c>
      <c r="M586" s="29">
        <f>IFERROR((G586*H586*I586/1000000)*D586,0)</f>
      </c>
    </row>
    <row r="587" spans="1:13" x14ac:dyDescent="0.25">
      <c r="A587" s="16"/>
      <c r="E587" s="27"/>
      <c r="F587" t="s">
        <v>26</v>
      </c>
      <c r="G587" s="28">
        <f>IFERROR(VLOOKUP(F587,CARTON_LOOKUP!$A:$E,3,0),"")</f>
      </c>
      <c r="H587" s="28">
        <f>IFERROR(VLOOKUP(F587,CARTON_LOOKUP!$A:$E,4,0),"")</f>
      </c>
      <c r="I587" s="28">
        <f>IFERROR(VLOOKUP(F587,CARTON_LOOKUP!$A:$E,5,0),"")</f>
      </c>
      <c r="J587" s="29">
        <f>IFERROR(VLOOKUP(F587,CARTON_LOOKUP!$A:$E,2,0),"")</f>
      </c>
      <c r="K587" s="29">
        <f>IFERROR(J587*D587,0)</f>
      </c>
      <c r="L587" s="29">
        <f>IFERROR(E587*C587,0)</f>
      </c>
      <c r="M587" s="29">
        <f>IFERROR((G587*H587*I587/1000000)*D587,0)</f>
      </c>
    </row>
    <row r="588" spans="1:13" x14ac:dyDescent="0.25">
      <c r="A588" s="16"/>
      <c r="E588" s="27"/>
      <c r="F588" t="s">
        <v>26</v>
      </c>
      <c r="G588" s="28">
        <f>IFERROR(VLOOKUP(F588,CARTON_LOOKUP!$A:$E,3,0),"")</f>
      </c>
      <c r="H588" s="28">
        <f>IFERROR(VLOOKUP(F588,CARTON_LOOKUP!$A:$E,4,0),"")</f>
      </c>
      <c r="I588" s="28">
        <f>IFERROR(VLOOKUP(F588,CARTON_LOOKUP!$A:$E,5,0),"")</f>
      </c>
      <c r="J588" s="29">
        <f>IFERROR(VLOOKUP(F588,CARTON_LOOKUP!$A:$E,2,0),"")</f>
      </c>
      <c r="K588" s="29">
        <f>IFERROR(J588*D588,0)</f>
      </c>
      <c r="L588" s="29">
        <f>IFERROR(E588*C588,0)</f>
      </c>
      <c r="M588" s="29">
        <f>IFERROR((G588*H588*I588/1000000)*D588,0)</f>
      </c>
    </row>
    <row r="589" spans="1:13" x14ac:dyDescent="0.25">
      <c r="A589" s="16"/>
      <c r="E589" s="27"/>
      <c r="F589" t="s">
        <v>26</v>
      </c>
      <c r="G589" s="28">
        <f>IFERROR(VLOOKUP(F589,CARTON_LOOKUP!$A:$E,3,0),"")</f>
      </c>
      <c r="H589" s="28">
        <f>IFERROR(VLOOKUP(F589,CARTON_LOOKUP!$A:$E,4,0),"")</f>
      </c>
      <c r="I589" s="28">
        <f>IFERROR(VLOOKUP(F589,CARTON_LOOKUP!$A:$E,5,0),"")</f>
      </c>
      <c r="J589" s="29">
        <f>IFERROR(VLOOKUP(F589,CARTON_LOOKUP!$A:$E,2,0),"")</f>
      </c>
      <c r="K589" s="29">
        <f>IFERROR(J589*D589,0)</f>
      </c>
      <c r="L589" s="29">
        <f>IFERROR(E589*C589,0)</f>
      </c>
      <c r="M589" s="29">
        <f>IFERROR((G589*H589*I589/1000000)*D589,0)</f>
      </c>
    </row>
    <row r="590" spans="1:13" x14ac:dyDescent="0.25">
      <c r="A590" s="16"/>
      <c r="E590" s="27"/>
      <c r="F590" t="s">
        <v>26</v>
      </c>
      <c r="G590" s="28">
        <f>IFERROR(VLOOKUP(F590,CARTON_LOOKUP!$A:$E,3,0),"")</f>
      </c>
      <c r="H590" s="28">
        <f>IFERROR(VLOOKUP(F590,CARTON_LOOKUP!$A:$E,4,0),"")</f>
      </c>
      <c r="I590" s="28">
        <f>IFERROR(VLOOKUP(F590,CARTON_LOOKUP!$A:$E,5,0),"")</f>
      </c>
      <c r="J590" s="29">
        <f>IFERROR(VLOOKUP(F590,CARTON_LOOKUP!$A:$E,2,0),"")</f>
      </c>
      <c r="K590" s="29">
        <f>IFERROR(J590*D590,0)</f>
      </c>
      <c r="L590" s="29">
        <f>IFERROR(E590*C590,0)</f>
      </c>
      <c r="M590" s="29">
        <f>IFERROR((G590*H590*I590/1000000)*D590,0)</f>
      </c>
    </row>
    <row r="591" spans="1:13" x14ac:dyDescent="0.25">
      <c r="A591" s="16"/>
      <c r="E591" s="27"/>
      <c r="F591" t="s">
        <v>26</v>
      </c>
      <c r="G591" s="28">
        <f>IFERROR(VLOOKUP(F591,CARTON_LOOKUP!$A:$E,3,0),"")</f>
      </c>
      <c r="H591" s="28">
        <f>IFERROR(VLOOKUP(F591,CARTON_LOOKUP!$A:$E,4,0),"")</f>
      </c>
      <c r="I591" s="28">
        <f>IFERROR(VLOOKUP(F591,CARTON_LOOKUP!$A:$E,5,0),"")</f>
      </c>
      <c r="J591" s="29">
        <f>IFERROR(VLOOKUP(F591,CARTON_LOOKUP!$A:$E,2,0),"")</f>
      </c>
      <c r="K591" s="29">
        <f>IFERROR(J591*D591,0)</f>
      </c>
      <c r="L591" s="29">
        <f>IFERROR(E591*C591,0)</f>
      </c>
      <c r="M591" s="29">
        <f>IFERROR((G591*H591*I591/1000000)*D591,0)</f>
      </c>
    </row>
    <row r="592" spans="1:13" x14ac:dyDescent="0.25">
      <c r="A592" s="16"/>
      <c r="E592" s="27"/>
      <c r="F592" t="s">
        <v>26</v>
      </c>
      <c r="G592" s="28">
        <f>IFERROR(VLOOKUP(F592,CARTON_LOOKUP!$A:$E,3,0),"")</f>
      </c>
      <c r="H592" s="28">
        <f>IFERROR(VLOOKUP(F592,CARTON_LOOKUP!$A:$E,4,0),"")</f>
      </c>
      <c r="I592" s="28">
        <f>IFERROR(VLOOKUP(F592,CARTON_LOOKUP!$A:$E,5,0),"")</f>
      </c>
      <c r="J592" s="29">
        <f>IFERROR(VLOOKUP(F592,CARTON_LOOKUP!$A:$E,2,0),"")</f>
      </c>
      <c r="K592" s="29">
        <f>IFERROR(J592*D592,0)</f>
      </c>
      <c r="L592" s="29">
        <f>IFERROR(E592*C592,0)</f>
      </c>
      <c r="M592" s="29">
        <f>IFERROR((G592*H592*I592/1000000)*D592,0)</f>
      </c>
    </row>
    <row r="593" spans="1:13" x14ac:dyDescent="0.25">
      <c r="A593" s="16"/>
      <c r="E593" s="27"/>
      <c r="F593" t="s">
        <v>26</v>
      </c>
      <c r="G593" s="28">
        <f>IFERROR(VLOOKUP(F593,CARTON_LOOKUP!$A:$E,3,0),"")</f>
      </c>
      <c r="H593" s="28">
        <f>IFERROR(VLOOKUP(F593,CARTON_LOOKUP!$A:$E,4,0),"")</f>
      </c>
      <c r="I593" s="28">
        <f>IFERROR(VLOOKUP(F593,CARTON_LOOKUP!$A:$E,5,0),"")</f>
      </c>
      <c r="J593" s="29">
        <f>IFERROR(VLOOKUP(F593,CARTON_LOOKUP!$A:$E,2,0),"")</f>
      </c>
      <c r="K593" s="29">
        <f>IFERROR(J593*D593,0)</f>
      </c>
      <c r="L593" s="29">
        <f>IFERROR(E593*C593,0)</f>
      </c>
      <c r="M593" s="29">
        <f>IFERROR((G593*H593*I593/1000000)*D593,0)</f>
      </c>
    </row>
    <row r="594" spans="1:13" x14ac:dyDescent="0.25">
      <c r="A594" s="16"/>
      <c r="E594" s="27"/>
      <c r="F594" t="s">
        <v>26</v>
      </c>
      <c r="G594" s="28">
        <f>IFERROR(VLOOKUP(F594,CARTON_LOOKUP!$A:$E,3,0),"")</f>
      </c>
      <c r="H594" s="28">
        <f>IFERROR(VLOOKUP(F594,CARTON_LOOKUP!$A:$E,4,0),"")</f>
      </c>
      <c r="I594" s="28">
        <f>IFERROR(VLOOKUP(F594,CARTON_LOOKUP!$A:$E,5,0),"")</f>
      </c>
      <c r="J594" s="29">
        <f>IFERROR(VLOOKUP(F594,CARTON_LOOKUP!$A:$E,2,0),"")</f>
      </c>
      <c r="K594" s="29">
        <f>IFERROR(J594*D594,0)</f>
      </c>
      <c r="L594" s="29">
        <f>IFERROR(E594*C594,0)</f>
      </c>
      <c r="M594" s="29">
        <f>IFERROR((G594*H594*I594/1000000)*D594,0)</f>
      </c>
    </row>
    <row r="595" spans="1:13" x14ac:dyDescent="0.25">
      <c r="A595" s="16"/>
      <c r="E595" s="27"/>
      <c r="F595" t="s">
        <v>26</v>
      </c>
      <c r="G595" s="28">
        <f>IFERROR(VLOOKUP(F595,CARTON_LOOKUP!$A:$E,3,0),"")</f>
      </c>
      <c r="H595" s="28">
        <f>IFERROR(VLOOKUP(F595,CARTON_LOOKUP!$A:$E,4,0),"")</f>
      </c>
      <c r="I595" s="28">
        <f>IFERROR(VLOOKUP(F595,CARTON_LOOKUP!$A:$E,5,0),"")</f>
      </c>
      <c r="J595" s="29">
        <f>IFERROR(VLOOKUP(F595,CARTON_LOOKUP!$A:$E,2,0),"")</f>
      </c>
      <c r="K595" s="29">
        <f>IFERROR(J595*D595,0)</f>
      </c>
      <c r="L595" s="29">
        <f>IFERROR(E595*C595,0)</f>
      </c>
      <c r="M595" s="29">
        <f>IFERROR((G595*H595*I595/1000000)*D595,0)</f>
      </c>
    </row>
    <row r="596" spans="1:13" x14ac:dyDescent="0.25">
      <c r="A596" s="16"/>
      <c r="E596" s="27"/>
      <c r="F596" t="s">
        <v>26</v>
      </c>
      <c r="G596" s="28">
        <f>IFERROR(VLOOKUP(F596,CARTON_LOOKUP!$A:$E,3,0),"")</f>
      </c>
      <c r="H596" s="28">
        <f>IFERROR(VLOOKUP(F596,CARTON_LOOKUP!$A:$E,4,0),"")</f>
      </c>
      <c r="I596" s="28">
        <f>IFERROR(VLOOKUP(F596,CARTON_LOOKUP!$A:$E,5,0),"")</f>
      </c>
      <c r="J596" s="29">
        <f>IFERROR(VLOOKUP(F596,CARTON_LOOKUP!$A:$E,2,0),"")</f>
      </c>
      <c r="K596" s="29">
        <f>IFERROR(J596*D596,0)</f>
      </c>
      <c r="L596" s="29">
        <f>IFERROR(E596*C596,0)</f>
      </c>
      <c r="M596" s="29">
        <f>IFERROR((G596*H596*I596/1000000)*D596,0)</f>
      </c>
    </row>
    <row r="597" spans="1:13" x14ac:dyDescent="0.25">
      <c r="A597" s="16"/>
      <c r="E597" s="27"/>
      <c r="F597" t="s">
        <v>26</v>
      </c>
      <c r="G597" s="28">
        <f>IFERROR(VLOOKUP(F597,CARTON_LOOKUP!$A:$E,3,0),"")</f>
      </c>
      <c r="H597" s="28">
        <f>IFERROR(VLOOKUP(F597,CARTON_LOOKUP!$A:$E,4,0),"")</f>
      </c>
      <c r="I597" s="28">
        <f>IFERROR(VLOOKUP(F597,CARTON_LOOKUP!$A:$E,5,0),"")</f>
      </c>
      <c r="J597" s="29">
        <f>IFERROR(VLOOKUP(F597,CARTON_LOOKUP!$A:$E,2,0),"")</f>
      </c>
      <c r="K597" s="29">
        <f>IFERROR(J597*D597,0)</f>
      </c>
      <c r="L597" s="29">
        <f>IFERROR(E597*C597,0)</f>
      </c>
      <c r="M597" s="29">
        <f>IFERROR((G597*H597*I597/1000000)*D597,0)</f>
      </c>
    </row>
    <row r="598" spans="1:13" x14ac:dyDescent="0.25">
      <c r="A598" s="16"/>
      <c r="E598" s="27"/>
      <c r="F598" t="s">
        <v>26</v>
      </c>
      <c r="G598" s="28">
        <f>IFERROR(VLOOKUP(F598,CARTON_LOOKUP!$A:$E,3,0),"")</f>
      </c>
      <c r="H598" s="28">
        <f>IFERROR(VLOOKUP(F598,CARTON_LOOKUP!$A:$E,4,0),"")</f>
      </c>
      <c r="I598" s="28">
        <f>IFERROR(VLOOKUP(F598,CARTON_LOOKUP!$A:$E,5,0),"")</f>
      </c>
      <c r="J598" s="29">
        <f>IFERROR(VLOOKUP(F598,CARTON_LOOKUP!$A:$E,2,0),"")</f>
      </c>
      <c r="K598" s="29">
        <f>IFERROR(J598*D598,0)</f>
      </c>
      <c r="L598" s="29">
        <f>IFERROR(E598*C598,0)</f>
      </c>
      <c r="M598" s="29">
        <f>IFERROR((G598*H598*I598/1000000)*D598,0)</f>
      </c>
    </row>
    <row r="599" spans="1:13" x14ac:dyDescent="0.25">
      <c r="A599" s="16"/>
      <c r="E599" s="27"/>
      <c r="F599" t="s">
        <v>26</v>
      </c>
      <c r="G599" s="28">
        <f>IFERROR(VLOOKUP(F599,CARTON_LOOKUP!$A:$E,3,0),"")</f>
      </c>
      <c r="H599" s="28">
        <f>IFERROR(VLOOKUP(F599,CARTON_LOOKUP!$A:$E,4,0),"")</f>
      </c>
      <c r="I599" s="28">
        <f>IFERROR(VLOOKUP(F599,CARTON_LOOKUP!$A:$E,5,0),"")</f>
      </c>
      <c r="J599" s="29">
        <f>IFERROR(VLOOKUP(F599,CARTON_LOOKUP!$A:$E,2,0),"")</f>
      </c>
      <c r="K599" s="29">
        <f>IFERROR(J599*D599,0)</f>
      </c>
      <c r="L599" s="29">
        <f>IFERROR(E599*C599,0)</f>
      </c>
      <c r="M599" s="29">
        <f>IFERROR((G599*H599*I599/1000000)*D599,0)</f>
      </c>
    </row>
    <row r="600" spans="1:13" x14ac:dyDescent="0.25">
      <c r="A600" s="16"/>
      <c r="E600" s="27"/>
      <c r="F600" t="s">
        <v>26</v>
      </c>
      <c r="G600" s="28">
        <f>IFERROR(VLOOKUP(F600,CARTON_LOOKUP!$A:$E,3,0),"")</f>
      </c>
      <c r="H600" s="28">
        <f>IFERROR(VLOOKUP(F600,CARTON_LOOKUP!$A:$E,4,0),"")</f>
      </c>
      <c r="I600" s="28">
        <f>IFERROR(VLOOKUP(F600,CARTON_LOOKUP!$A:$E,5,0),"")</f>
      </c>
      <c r="J600" s="29">
        <f>IFERROR(VLOOKUP(F600,CARTON_LOOKUP!$A:$E,2,0),"")</f>
      </c>
      <c r="K600" s="29">
        <f>IFERROR(J600*D600,0)</f>
      </c>
      <c r="L600" s="29">
        <f>IFERROR(E600*C600,0)</f>
      </c>
      <c r="M600" s="29">
        <f>IFERROR((G600*H600*I600/1000000)*D600,0)</f>
      </c>
    </row>
    <row r="601" spans="1:13" x14ac:dyDescent="0.25">
      <c r="A601" s="16"/>
      <c r="E601" s="27"/>
      <c r="F601" t="s">
        <v>26</v>
      </c>
      <c r="G601" s="28">
        <f>IFERROR(VLOOKUP(F601,CARTON_LOOKUP!$A:$E,3,0),"")</f>
      </c>
      <c r="H601" s="28">
        <f>IFERROR(VLOOKUP(F601,CARTON_LOOKUP!$A:$E,4,0),"")</f>
      </c>
      <c r="I601" s="28">
        <f>IFERROR(VLOOKUP(F601,CARTON_LOOKUP!$A:$E,5,0),"")</f>
      </c>
      <c r="J601" s="29">
        <f>IFERROR(VLOOKUP(F601,CARTON_LOOKUP!$A:$E,2,0),"")</f>
      </c>
      <c r="K601" s="29">
        <f>IFERROR(J601*D601,0)</f>
      </c>
      <c r="L601" s="29">
        <f>IFERROR(E601*C601,0)</f>
      </c>
      <c r="M601" s="29">
        <f>IFERROR((G601*H601*I601/1000000)*D601,0)</f>
      </c>
    </row>
    <row r="602" spans="1:13" x14ac:dyDescent="0.25">
      <c r="A602" s="16"/>
      <c r="E602" s="27"/>
      <c r="F602" t="s">
        <v>26</v>
      </c>
      <c r="G602" s="28">
        <f>IFERROR(VLOOKUP(F602,CARTON_LOOKUP!$A:$E,3,0),"")</f>
      </c>
      <c r="H602" s="28">
        <f>IFERROR(VLOOKUP(F602,CARTON_LOOKUP!$A:$E,4,0),"")</f>
      </c>
      <c r="I602" s="28">
        <f>IFERROR(VLOOKUP(F602,CARTON_LOOKUP!$A:$E,5,0),"")</f>
      </c>
      <c r="J602" s="29">
        <f>IFERROR(VLOOKUP(F602,CARTON_LOOKUP!$A:$E,2,0),"")</f>
      </c>
      <c r="K602" s="29">
        <f>IFERROR(J602*D602,0)</f>
      </c>
      <c r="L602" s="29">
        <f>IFERROR(E602*C602,0)</f>
      </c>
      <c r="M602" s="29">
        <f>IFERROR((G602*H602*I602/1000000)*D602,0)</f>
      </c>
    </row>
    <row r="603" spans="1:13" x14ac:dyDescent="0.25">
      <c r="A603" s="16"/>
      <c r="E603" s="27"/>
      <c r="F603" t="s">
        <v>26</v>
      </c>
      <c r="G603" s="28">
        <f>IFERROR(VLOOKUP(F603,CARTON_LOOKUP!$A:$E,3,0),"")</f>
      </c>
      <c r="H603" s="28">
        <f>IFERROR(VLOOKUP(F603,CARTON_LOOKUP!$A:$E,4,0),"")</f>
      </c>
      <c r="I603" s="28">
        <f>IFERROR(VLOOKUP(F603,CARTON_LOOKUP!$A:$E,5,0),"")</f>
      </c>
      <c r="J603" s="29">
        <f>IFERROR(VLOOKUP(F603,CARTON_LOOKUP!$A:$E,2,0),"")</f>
      </c>
      <c r="K603" s="29">
        <f>IFERROR(J603*D603,0)</f>
      </c>
      <c r="L603" s="29">
        <f>IFERROR(E603*C603,0)</f>
      </c>
      <c r="M603" s="29">
        <f>IFERROR((G603*H603*I603/1000000)*D603,0)</f>
      </c>
    </row>
    <row r="604" spans="1:13" x14ac:dyDescent="0.25">
      <c r="A604" s="16"/>
      <c r="E604" s="27"/>
      <c r="F604" t="s">
        <v>26</v>
      </c>
      <c r="G604" s="28">
        <f>IFERROR(VLOOKUP(F604,CARTON_LOOKUP!$A:$E,3,0),"")</f>
      </c>
      <c r="H604" s="28">
        <f>IFERROR(VLOOKUP(F604,CARTON_LOOKUP!$A:$E,4,0),"")</f>
      </c>
      <c r="I604" s="28">
        <f>IFERROR(VLOOKUP(F604,CARTON_LOOKUP!$A:$E,5,0),"")</f>
      </c>
      <c r="J604" s="29">
        <f>IFERROR(VLOOKUP(F604,CARTON_LOOKUP!$A:$E,2,0),"")</f>
      </c>
      <c r="K604" s="29">
        <f>IFERROR(J604*D604,0)</f>
      </c>
      <c r="L604" s="29">
        <f>IFERROR(E604*C604,0)</f>
      </c>
      <c r="M604" s="29">
        <f>IFERROR((G604*H604*I604/1000000)*D604,0)</f>
      </c>
    </row>
    <row r="605" spans="1:13" x14ac:dyDescent="0.25">
      <c r="A605" s="16"/>
      <c r="E605" s="27"/>
      <c r="F605" t="s">
        <v>26</v>
      </c>
      <c r="G605" s="28">
        <f>IFERROR(VLOOKUP(F605,CARTON_LOOKUP!$A:$E,3,0),"")</f>
      </c>
      <c r="H605" s="28">
        <f>IFERROR(VLOOKUP(F605,CARTON_LOOKUP!$A:$E,4,0),"")</f>
      </c>
      <c r="I605" s="28">
        <f>IFERROR(VLOOKUP(F605,CARTON_LOOKUP!$A:$E,5,0),"")</f>
      </c>
      <c r="J605" s="29">
        <f>IFERROR(VLOOKUP(F605,CARTON_LOOKUP!$A:$E,2,0),"")</f>
      </c>
      <c r="K605" s="29">
        <f>IFERROR(J605*D605,0)</f>
      </c>
      <c r="L605" s="29">
        <f>IFERROR(E605*C605,0)</f>
      </c>
      <c r="M605" s="29">
        <f>IFERROR((G605*H605*I605/1000000)*D605,0)</f>
      </c>
    </row>
    <row r="606" spans="1:13" x14ac:dyDescent="0.25">
      <c r="A606" s="16"/>
      <c r="E606" s="27"/>
      <c r="F606" t="s">
        <v>26</v>
      </c>
      <c r="G606" s="28">
        <f>IFERROR(VLOOKUP(F606,CARTON_LOOKUP!$A:$E,3,0),"")</f>
      </c>
      <c r="H606" s="28">
        <f>IFERROR(VLOOKUP(F606,CARTON_LOOKUP!$A:$E,4,0),"")</f>
      </c>
      <c r="I606" s="28">
        <f>IFERROR(VLOOKUP(F606,CARTON_LOOKUP!$A:$E,5,0),"")</f>
      </c>
      <c r="J606" s="29">
        <f>IFERROR(VLOOKUP(F606,CARTON_LOOKUP!$A:$E,2,0),"")</f>
      </c>
      <c r="K606" s="29">
        <f>IFERROR(J606*D606,0)</f>
      </c>
      <c r="L606" s="29">
        <f>IFERROR(E606*C606,0)</f>
      </c>
      <c r="M606" s="29">
        <f>IFERROR((G606*H606*I606/1000000)*D606,0)</f>
      </c>
    </row>
    <row r="607" spans="1:13" x14ac:dyDescent="0.25">
      <c r="A607" s="16"/>
      <c r="E607" s="27"/>
      <c r="F607" t="s">
        <v>26</v>
      </c>
      <c r="G607" s="28">
        <f>IFERROR(VLOOKUP(F607,CARTON_LOOKUP!$A:$E,3,0),"")</f>
      </c>
      <c r="H607" s="28">
        <f>IFERROR(VLOOKUP(F607,CARTON_LOOKUP!$A:$E,4,0),"")</f>
      </c>
      <c r="I607" s="28">
        <f>IFERROR(VLOOKUP(F607,CARTON_LOOKUP!$A:$E,5,0),"")</f>
      </c>
      <c r="J607" s="29">
        <f>IFERROR(VLOOKUP(F607,CARTON_LOOKUP!$A:$E,2,0),"")</f>
      </c>
      <c r="K607" s="29">
        <f>IFERROR(J607*D607,0)</f>
      </c>
      <c r="L607" s="29">
        <f>IFERROR(E607*C607,0)</f>
      </c>
      <c r="M607" s="29">
        <f>IFERROR((G607*H607*I607/1000000)*D607,0)</f>
      </c>
    </row>
    <row r="608" spans="1:13" x14ac:dyDescent="0.25">
      <c r="A608" s="16"/>
      <c r="E608" s="27"/>
      <c r="F608" t="s">
        <v>26</v>
      </c>
      <c r="G608" s="28">
        <f>IFERROR(VLOOKUP(F608,CARTON_LOOKUP!$A:$E,3,0),"")</f>
      </c>
      <c r="H608" s="28">
        <f>IFERROR(VLOOKUP(F608,CARTON_LOOKUP!$A:$E,4,0),"")</f>
      </c>
      <c r="I608" s="28">
        <f>IFERROR(VLOOKUP(F608,CARTON_LOOKUP!$A:$E,5,0),"")</f>
      </c>
      <c r="J608" s="29">
        <f>IFERROR(VLOOKUP(F608,CARTON_LOOKUP!$A:$E,2,0),"")</f>
      </c>
      <c r="K608" s="29">
        <f>IFERROR(J608*D608,0)</f>
      </c>
      <c r="L608" s="29">
        <f>IFERROR(E608*C608,0)</f>
      </c>
      <c r="M608" s="29">
        <f>IFERROR((G608*H608*I608/1000000)*D608,0)</f>
      </c>
    </row>
    <row r="609" spans="1:13" x14ac:dyDescent="0.25">
      <c r="A609" s="16"/>
      <c r="E609" s="27"/>
      <c r="F609" t="s">
        <v>26</v>
      </c>
      <c r="G609" s="28">
        <f>IFERROR(VLOOKUP(F609,CARTON_LOOKUP!$A:$E,3,0),"")</f>
      </c>
      <c r="H609" s="28">
        <f>IFERROR(VLOOKUP(F609,CARTON_LOOKUP!$A:$E,4,0),"")</f>
      </c>
      <c r="I609" s="28">
        <f>IFERROR(VLOOKUP(F609,CARTON_LOOKUP!$A:$E,5,0),"")</f>
      </c>
      <c r="J609" s="29">
        <f>IFERROR(VLOOKUP(F609,CARTON_LOOKUP!$A:$E,2,0),"")</f>
      </c>
      <c r="K609" s="29">
        <f>IFERROR(J609*D609,0)</f>
      </c>
      <c r="L609" s="29">
        <f>IFERROR(E609*C609,0)</f>
      </c>
      <c r="M609" s="29">
        <f>IFERROR((G609*H609*I609/1000000)*D609,0)</f>
      </c>
    </row>
    <row r="610" spans="1:13" x14ac:dyDescent="0.25">
      <c r="A610" s="16"/>
      <c r="E610" s="27"/>
      <c r="F610" t="s">
        <v>26</v>
      </c>
      <c r="G610" s="28">
        <f>IFERROR(VLOOKUP(F610,CARTON_LOOKUP!$A:$E,3,0),"")</f>
      </c>
      <c r="H610" s="28">
        <f>IFERROR(VLOOKUP(F610,CARTON_LOOKUP!$A:$E,4,0),"")</f>
      </c>
      <c r="I610" s="28">
        <f>IFERROR(VLOOKUP(F610,CARTON_LOOKUP!$A:$E,5,0),"")</f>
      </c>
      <c r="J610" s="29">
        <f>IFERROR(VLOOKUP(F610,CARTON_LOOKUP!$A:$E,2,0),"")</f>
      </c>
      <c r="K610" s="29">
        <f>IFERROR(J610*D610,0)</f>
      </c>
      <c r="L610" s="29">
        <f>IFERROR(E610*C610,0)</f>
      </c>
      <c r="M610" s="29">
        <f>IFERROR((G610*H610*I610/1000000)*D610,0)</f>
      </c>
    </row>
    <row r="611" spans="1:13" x14ac:dyDescent="0.25">
      <c r="A611" s="16"/>
      <c r="E611" s="27"/>
      <c r="F611" t="s">
        <v>26</v>
      </c>
      <c r="G611" s="28">
        <f>IFERROR(VLOOKUP(F611,CARTON_LOOKUP!$A:$E,3,0),"")</f>
      </c>
      <c r="H611" s="28">
        <f>IFERROR(VLOOKUP(F611,CARTON_LOOKUP!$A:$E,4,0),"")</f>
      </c>
      <c r="I611" s="28">
        <f>IFERROR(VLOOKUP(F611,CARTON_LOOKUP!$A:$E,5,0),"")</f>
      </c>
      <c r="J611" s="29">
        <f>IFERROR(VLOOKUP(F611,CARTON_LOOKUP!$A:$E,2,0),"")</f>
      </c>
      <c r="K611" s="29">
        <f>IFERROR(J611*D611,0)</f>
      </c>
      <c r="L611" s="29">
        <f>IFERROR(E611*C611,0)</f>
      </c>
      <c r="M611" s="29">
        <f>IFERROR((G611*H611*I611/1000000)*D611,0)</f>
      </c>
    </row>
    <row r="612" spans="1:13" x14ac:dyDescent="0.25">
      <c r="A612" s="16"/>
      <c r="E612" s="27"/>
      <c r="F612" t="s">
        <v>26</v>
      </c>
      <c r="G612" s="28">
        <f>IFERROR(VLOOKUP(F612,CARTON_LOOKUP!$A:$E,3,0),"")</f>
      </c>
      <c r="H612" s="28">
        <f>IFERROR(VLOOKUP(F612,CARTON_LOOKUP!$A:$E,4,0),"")</f>
      </c>
      <c r="I612" s="28">
        <f>IFERROR(VLOOKUP(F612,CARTON_LOOKUP!$A:$E,5,0),"")</f>
      </c>
      <c r="J612" s="29">
        <f>IFERROR(VLOOKUP(F612,CARTON_LOOKUP!$A:$E,2,0),"")</f>
      </c>
      <c r="K612" s="29">
        <f>IFERROR(J612*D612,0)</f>
      </c>
      <c r="L612" s="29">
        <f>IFERROR(E612*C612,0)</f>
      </c>
      <c r="M612" s="29">
        <f>IFERROR((G612*H612*I612/1000000)*D612,0)</f>
      </c>
    </row>
    <row r="613" spans="1:13" x14ac:dyDescent="0.25">
      <c r="A613" s="16"/>
      <c r="E613" s="27"/>
      <c r="F613" t="s">
        <v>26</v>
      </c>
      <c r="G613" s="28">
        <f>IFERROR(VLOOKUP(F613,CARTON_LOOKUP!$A:$E,3,0),"")</f>
      </c>
      <c r="H613" s="28">
        <f>IFERROR(VLOOKUP(F613,CARTON_LOOKUP!$A:$E,4,0),"")</f>
      </c>
      <c r="I613" s="28">
        <f>IFERROR(VLOOKUP(F613,CARTON_LOOKUP!$A:$E,5,0),"")</f>
      </c>
      <c r="J613" s="29">
        <f>IFERROR(VLOOKUP(F613,CARTON_LOOKUP!$A:$E,2,0),"")</f>
      </c>
      <c r="K613" s="29">
        <f>IFERROR(J613*D613,0)</f>
      </c>
      <c r="L613" s="29">
        <f>IFERROR(E613*C613,0)</f>
      </c>
      <c r="M613" s="29">
        <f>IFERROR((G613*H613*I613/1000000)*D613,0)</f>
      </c>
    </row>
    <row r="614" spans="1:13" x14ac:dyDescent="0.25">
      <c r="A614" s="16"/>
      <c r="E614" s="27"/>
      <c r="F614" t="s">
        <v>26</v>
      </c>
      <c r="G614" s="28">
        <f>IFERROR(VLOOKUP(F614,CARTON_LOOKUP!$A:$E,3,0),"")</f>
      </c>
      <c r="H614" s="28">
        <f>IFERROR(VLOOKUP(F614,CARTON_LOOKUP!$A:$E,4,0),"")</f>
      </c>
      <c r="I614" s="28">
        <f>IFERROR(VLOOKUP(F614,CARTON_LOOKUP!$A:$E,5,0),"")</f>
      </c>
      <c r="J614" s="29">
        <f>IFERROR(VLOOKUP(F614,CARTON_LOOKUP!$A:$E,2,0),"")</f>
      </c>
      <c r="K614" s="29">
        <f>IFERROR(J614*D614,0)</f>
      </c>
      <c r="L614" s="29">
        <f>IFERROR(E614*C614,0)</f>
      </c>
      <c r="M614" s="29">
        <f>IFERROR((G614*H614*I614/1000000)*D614,0)</f>
      </c>
    </row>
    <row r="615" spans="1:13" x14ac:dyDescent="0.25">
      <c r="A615" s="16"/>
      <c r="E615" s="27"/>
      <c r="F615" t="s">
        <v>26</v>
      </c>
      <c r="G615" s="28">
        <f>IFERROR(VLOOKUP(F615,CARTON_LOOKUP!$A:$E,3,0),"")</f>
      </c>
      <c r="H615" s="28">
        <f>IFERROR(VLOOKUP(F615,CARTON_LOOKUP!$A:$E,4,0),"")</f>
      </c>
      <c r="I615" s="28">
        <f>IFERROR(VLOOKUP(F615,CARTON_LOOKUP!$A:$E,5,0),"")</f>
      </c>
      <c r="J615" s="29">
        <f>IFERROR(VLOOKUP(F615,CARTON_LOOKUP!$A:$E,2,0),"")</f>
      </c>
      <c r="K615" s="29">
        <f>IFERROR(J615*D615,0)</f>
      </c>
      <c r="L615" s="29">
        <f>IFERROR(E615*C615,0)</f>
      </c>
      <c r="M615" s="29">
        <f>IFERROR((G615*H615*I615/1000000)*D615,0)</f>
      </c>
    </row>
    <row r="616" spans="1:13" x14ac:dyDescent="0.25">
      <c r="A616" s="16"/>
      <c r="E616" s="27"/>
      <c r="F616" t="s">
        <v>26</v>
      </c>
      <c r="G616" s="28">
        <f>IFERROR(VLOOKUP(F616,CARTON_LOOKUP!$A:$E,3,0),"")</f>
      </c>
      <c r="H616" s="28">
        <f>IFERROR(VLOOKUP(F616,CARTON_LOOKUP!$A:$E,4,0),"")</f>
      </c>
      <c r="I616" s="28">
        <f>IFERROR(VLOOKUP(F616,CARTON_LOOKUP!$A:$E,5,0),"")</f>
      </c>
      <c r="J616" s="29">
        <f>IFERROR(VLOOKUP(F616,CARTON_LOOKUP!$A:$E,2,0),"")</f>
      </c>
      <c r="K616" s="29">
        <f>IFERROR(J616*D616,0)</f>
      </c>
      <c r="L616" s="29">
        <f>IFERROR(E616*C616,0)</f>
      </c>
      <c r="M616" s="29">
        <f>IFERROR((G616*H616*I616/1000000)*D616,0)</f>
      </c>
    </row>
    <row r="617" spans="1:13" x14ac:dyDescent="0.25">
      <c r="A617" s="16"/>
      <c r="E617" s="27"/>
      <c r="F617" t="s">
        <v>26</v>
      </c>
      <c r="G617" s="28">
        <f>IFERROR(VLOOKUP(F617,CARTON_LOOKUP!$A:$E,3,0),"")</f>
      </c>
      <c r="H617" s="28">
        <f>IFERROR(VLOOKUP(F617,CARTON_LOOKUP!$A:$E,4,0),"")</f>
      </c>
      <c r="I617" s="28">
        <f>IFERROR(VLOOKUP(F617,CARTON_LOOKUP!$A:$E,5,0),"")</f>
      </c>
      <c r="J617" s="29">
        <f>IFERROR(VLOOKUP(F617,CARTON_LOOKUP!$A:$E,2,0),"")</f>
      </c>
      <c r="K617" s="29">
        <f>IFERROR(J617*D617,0)</f>
      </c>
      <c r="L617" s="29">
        <f>IFERROR(E617*C617,0)</f>
      </c>
      <c r="M617" s="29">
        <f>IFERROR((G617*H617*I617/1000000)*D617,0)</f>
      </c>
    </row>
    <row r="618" spans="1:13" x14ac:dyDescent="0.25">
      <c r="A618" s="16"/>
      <c r="E618" s="27"/>
      <c r="F618" t="s">
        <v>26</v>
      </c>
      <c r="G618" s="28">
        <f>IFERROR(VLOOKUP(F618,CARTON_LOOKUP!$A:$E,3,0),"")</f>
      </c>
      <c r="H618" s="28">
        <f>IFERROR(VLOOKUP(F618,CARTON_LOOKUP!$A:$E,4,0),"")</f>
      </c>
      <c r="I618" s="28">
        <f>IFERROR(VLOOKUP(F618,CARTON_LOOKUP!$A:$E,5,0),"")</f>
      </c>
      <c r="J618" s="29">
        <f>IFERROR(VLOOKUP(F618,CARTON_LOOKUP!$A:$E,2,0),"")</f>
      </c>
      <c r="K618" s="29">
        <f>IFERROR(J618*D618,0)</f>
      </c>
      <c r="L618" s="29">
        <f>IFERROR(E618*C618,0)</f>
      </c>
      <c r="M618" s="29">
        <f>IFERROR((G618*H618*I618/1000000)*D618,0)</f>
      </c>
    </row>
    <row r="619" spans="1:13" x14ac:dyDescent="0.25">
      <c r="A619" s="16"/>
      <c r="E619" s="27"/>
      <c r="F619" t="s">
        <v>26</v>
      </c>
      <c r="G619" s="28">
        <f>IFERROR(VLOOKUP(F619,CARTON_LOOKUP!$A:$E,3,0),"")</f>
      </c>
      <c r="H619" s="28">
        <f>IFERROR(VLOOKUP(F619,CARTON_LOOKUP!$A:$E,4,0),"")</f>
      </c>
      <c r="I619" s="28">
        <f>IFERROR(VLOOKUP(F619,CARTON_LOOKUP!$A:$E,5,0),"")</f>
      </c>
      <c r="J619" s="29">
        <f>IFERROR(VLOOKUP(F619,CARTON_LOOKUP!$A:$E,2,0),"")</f>
      </c>
      <c r="K619" s="29">
        <f>IFERROR(J619*D619,0)</f>
      </c>
      <c r="L619" s="29">
        <f>IFERROR(E619*C619,0)</f>
      </c>
      <c r="M619" s="29">
        <f>IFERROR((G619*H619*I619/1000000)*D619,0)</f>
      </c>
    </row>
    <row r="620" spans="1:13" x14ac:dyDescent="0.25">
      <c r="A620" s="16"/>
      <c r="E620" s="27"/>
      <c r="F620" t="s">
        <v>26</v>
      </c>
      <c r="G620" s="28">
        <f>IFERROR(VLOOKUP(F620,CARTON_LOOKUP!$A:$E,3,0),"")</f>
      </c>
      <c r="H620" s="28">
        <f>IFERROR(VLOOKUP(F620,CARTON_LOOKUP!$A:$E,4,0),"")</f>
      </c>
      <c r="I620" s="28">
        <f>IFERROR(VLOOKUP(F620,CARTON_LOOKUP!$A:$E,5,0),"")</f>
      </c>
      <c r="J620" s="29">
        <f>IFERROR(VLOOKUP(F620,CARTON_LOOKUP!$A:$E,2,0),"")</f>
      </c>
      <c r="K620" s="29">
        <f>IFERROR(J620*D620,0)</f>
      </c>
      <c r="L620" s="29">
        <f>IFERROR(E620*C620,0)</f>
      </c>
      <c r="M620" s="29">
        <f>IFERROR((G620*H620*I620/1000000)*D620,0)</f>
      </c>
    </row>
    <row r="621" spans="1:13" x14ac:dyDescent="0.25">
      <c r="A621" s="16"/>
      <c r="E621" s="27"/>
      <c r="F621" t="s">
        <v>26</v>
      </c>
      <c r="G621" s="28">
        <f>IFERROR(VLOOKUP(F621,CARTON_LOOKUP!$A:$E,3,0),"")</f>
      </c>
      <c r="H621" s="28">
        <f>IFERROR(VLOOKUP(F621,CARTON_LOOKUP!$A:$E,4,0),"")</f>
      </c>
      <c r="I621" s="28">
        <f>IFERROR(VLOOKUP(F621,CARTON_LOOKUP!$A:$E,5,0),"")</f>
      </c>
      <c r="J621" s="29">
        <f>IFERROR(VLOOKUP(F621,CARTON_LOOKUP!$A:$E,2,0),"")</f>
      </c>
      <c r="K621" s="29">
        <f>IFERROR(J621*D621,0)</f>
      </c>
      <c r="L621" s="29">
        <f>IFERROR(E621*C621,0)</f>
      </c>
      <c r="M621" s="29">
        <f>IFERROR((G621*H621*I621/1000000)*D621,0)</f>
      </c>
    </row>
    <row r="622" spans="1:13" x14ac:dyDescent="0.25">
      <c r="A622" s="16"/>
      <c r="E622" s="27"/>
      <c r="F622" t="s">
        <v>26</v>
      </c>
      <c r="G622" s="28">
        <f>IFERROR(VLOOKUP(F622,CARTON_LOOKUP!$A:$E,3,0),"")</f>
      </c>
      <c r="H622" s="28">
        <f>IFERROR(VLOOKUP(F622,CARTON_LOOKUP!$A:$E,4,0),"")</f>
      </c>
      <c r="I622" s="28">
        <f>IFERROR(VLOOKUP(F622,CARTON_LOOKUP!$A:$E,5,0),"")</f>
      </c>
      <c r="J622" s="29">
        <f>IFERROR(VLOOKUP(F622,CARTON_LOOKUP!$A:$E,2,0),"")</f>
      </c>
      <c r="K622" s="29">
        <f>IFERROR(J622*D622,0)</f>
      </c>
      <c r="L622" s="29">
        <f>IFERROR(E622*C622,0)</f>
      </c>
      <c r="M622" s="29">
        <f>IFERROR((G622*H622*I622/1000000)*D622,0)</f>
      </c>
    </row>
    <row r="623" spans="1:13" x14ac:dyDescent="0.25">
      <c r="A623" s="16"/>
      <c r="E623" s="27"/>
      <c r="F623" t="s">
        <v>26</v>
      </c>
      <c r="G623" s="28">
        <f>IFERROR(VLOOKUP(F623,CARTON_LOOKUP!$A:$E,3,0),"")</f>
      </c>
      <c r="H623" s="28">
        <f>IFERROR(VLOOKUP(F623,CARTON_LOOKUP!$A:$E,4,0),"")</f>
      </c>
      <c r="I623" s="28">
        <f>IFERROR(VLOOKUP(F623,CARTON_LOOKUP!$A:$E,5,0),"")</f>
      </c>
      <c r="J623" s="29">
        <f>IFERROR(VLOOKUP(F623,CARTON_LOOKUP!$A:$E,2,0),"")</f>
      </c>
      <c r="K623" s="29">
        <f>IFERROR(J623*D623,0)</f>
      </c>
      <c r="L623" s="29">
        <f>IFERROR(E623*C623,0)</f>
      </c>
      <c r="M623" s="29">
        <f>IFERROR((G623*H623*I623/1000000)*D623,0)</f>
      </c>
    </row>
    <row r="624" spans="1:13" x14ac:dyDescent="0.25">
      <c r="A624" s="16"/>
      <c r="E624" s="27"/>
      <c r="F624" t="s">
        <v>26</v>
      </c>
      <c r="G624" s="28">
        <f>IFERROR(VLOOKUP(F624,CARTON_LOOKUP!$A:$E,3,0),"")</f>
      </c>
      <c r="H624" s="28">
        <f>IFERROR(VLOOKUP(F624,CARTON_LOOKUP!$A:$E,4,0),"")</f>
      </c>
      <c r="I624" s="28">
        <f>IFERROR(VLOOKUP(F624,CARTON_LOOKUP!$A:$E,5,0),"")</f>
      </c>
      <c r="J624" s="29">
        <f>IFERROR(VLOOKUP(F624,CARTON_LOOKUP!$A:$E,2,0),"")</f>
      </c>
      <c r="K624" s="29">
        <f>IFERROR(J624*D624,0)</f>
      </c>
      <c r="L624" s="29">
        <f>IFERROR(E624*C624,0)</f>
      </c>
      <c r="M624" s="29">
        <f>IFERROR((G624*H624*I624/1000000)*D624,0)</f>
      </c>
    </row>
    <row r="625" spans="1:13" x14ac:dyDescent="0.25">
      <c r="A625" s="16"/>
      <c r="E625" s="27"/>
      <c r="F625" t="s">
        <v>26</v>
      </c>
      <c r="G625" s="28">
        <f>IFERROR(VLOOKUP(F625,CARTON_LOOKUP!$A:$E,3,0),"")</f>
      </c>
      <c r="H625" s="28">
        <f>IFERROR(VLOOKUP(F625,CARTON_LOOKUP!$A:$E,4,0),"")</f>
      </c>
      <c r="I625" s="28">
        <f>IFERROR(VLOOKUP(F625,CARTON_LOOKUP!$A:$E,5,0),"")</f>
      </c>
      <c r="J625" s="29">
        <f>IFERROR(VLOOKUP(F625,CARTON_LOOKUP!$A:$E,2,0),"")</f>
      </c>
      <c r="K625" s="29">
        <f>IFERROR(J625*D625,0)</f>
      </c>
      <c r="L625" s="29">
        <f>IFERROR(E625*C625,0)</f>
      </c>
      <c r="M625" s="29">
        <f>IFERROR((G625*H625*I625/1000000)*D625,0)</f>
      </c>
    </row>
    <row r="626" spans="1:13" x14ac:dyDescent="0.25">
      <c r="A626" s="16"/>
      <c r="E626" s="27"/>
      <c r="F626" t="s">
        <v>26</v>
      </c>
      <c r="G626" s="28">
        <f>IFERROR(VLOOKUP(F626,CARTON_LOOKUP!$A:$E,3,0),"")</f>
      </c>
      <c r="H626" s="28">
        <f>IFERROR(VLOOKUP(F626,CARTON_LOOKUP!$A:$E,4,0),"")</f>
      </c>
      <c r="I626" s="28">
        <f>IFERROR(VLOOKUP(F626,CARTON_LOOKUP!$A:$E,5,0),"")</f>
      </c>
      <c r="J626" s="29">
        <f>IFERROR(VLOOKUP(F626,CARTON_LOOKUP!$A:$E,2,0),"")</f>
      </c>
      <c r="K626" s="29">
        <f>IFERROR(J626*D626,0)</f>
      </c>
      <c r="L626" s="29">
        <f>IFERROR(E626*C626,0)</f>
      </c>
      <c r="M626" s="29">
        <f>IFERROR((G626*H626*I626/1000000)*D626,0)</f>
      </c>
    </row>
    <row r="627" spans="1:13" x14ac:dyDescent="0.25">
      <c r="A627" s="16"/>
      <c r="E627" s="27"/>
      <c r="F627" t="s">
        <v>26</v>
      </c>
      <c r="G627" s="28">
        <f>IFERROR(VLOOKUP(F627,CARTON_LOOKUP!$A:$E,3,0),"")</f>
      </c>
      <c r="H627" s="28">
        <f>IFERROR(VLOOKUP(F627,CARTON_LOOKUP!$A:$E,4,0),"")</f>
      </c>
      <c r="I627" s="28">
        <f>IFERROR(VLOOKUP(F627,CARTON_LOOKUP!$A:$E,5,0),"")</f>
      </c>
      <c r="J627" s="29">
        <f>IFERROR(VLOOKUP(F627,CARTON_LOOKUP!$A:$E,2,0),"")</f>
      </c>
      <c r="K627" s="29">
        <f>IFERROR(J627*D627,0)</f>
      </c>
      <c r="L627" s="29">
        <f>IFERROR(E627*C627,0)</f>
      </c>
      <c r="M627" s="29">
        <f>IFERROR((G627*H627*I627/1000000)*D627,0)</f>
      </c>
    </row>
    <row r="628" spans="1:13" x14ac:dyDescent="0.25">
      <c r="A628" s="16"/>
      <c r="E628" s="27"/>
      <c r="F628" t="s">
        <v>26</v>
      </c>
      <c r="G628" s="28">
        <f>IFERROR(VLOOKUP(F628,CARTON_LOOKUP!$A:$E,3,0),"")</f>
      </c>
      <c r="H628" s="28">
        <f>IFERROR(VLOOKUP(F628,CARTON_LOOKUP!$A:$E,4,0),"")</f>
      </c>
      <c r="I628" s="28">
        <f>IFERROR(VLOOKUP(F628,CARTON_LOOKUP!$A:$E,5,0),"")</f>
      </c>
      <c r="J628" s="29">
        <f>IFERROR(VLOOKUP(F628,CARTON_LOOKUP!$A:$E,2,0),"")</f>
      </c>
      <c r="K628" s="29">
        <f>IFERROR(J628*D628,0)</f>
      </c>
      <c r="L628" s="29">
        <f>IFERROR(E628*C628,0)</f>
      </c>
      <c r="M628" s="29">
        <f>IFERROR((G628*H628*I628/1000000)*D628,0)</f>
      </c>
    </row>
    <row r="629" spans="1:13" x14ac:dyDescent="0.25">
      <c r="A629" s="16"/>
      <c r="E629" s="27"/>
      <c r="F629" t="s">
        <v>26</v>
      </c>
      <c r="G629" s="28">
        <f>IFERROR(VLOOKUP(F629,CARTON_LOOKUP!$A:$E,3,0),"")</f>
      </c>
      <c r="H629" s="28">
        <f>IFERROR(VLOOKUP(F629,CARTON_LOOKUP!$A:$E,4,0),"")</f>
      </c>
      <c r="I629" s="28">
        <f>IFERROR(VLOOKUP(F629,CARTON_LOOKUP!$A:$E,5,0),"")</f>
      </c>
      <c r="J629" s="29">
        <f>IFERROR(VLOOKUP(F629,CARTON_LOOKUP!$A:$E,2,0),"")</f>
      </c>
      <c r="K629" s="29">
        <f>IFERROR(J629*D629,0)</f>
      </c>
      <c r="L629" s="29">
        <f>IFERROR(E629*C629,0)</f>
      </c>
      <c r="M629" s="29">
        <f>IFERROR((G629*H629*I629/1000000)*D629,0)</f>
      </c>
    </row>
    <row r="630" spans="1:13" x14ac:dyDescent="0.25">
      <c r="A630" s="16"/>
      <c r="E630" s="27"/>
      <c r="F630" t="s">
        <v>26</v>
      </c>
      <c r="G630" s="28">
        <f>IFERROR(VLOOKUP(F630,CARTON_LOOKUP!$A:$E,3,0),"")</f>
      </c>
      <c r="H630" s="28">
        <f>IFERROR(VLOOKUP(F630,CARTON_LOOKUP!$A:$E,4,0),"")</f>
      </c>
      <c r="I630" s="28">
        <f>IFERROR(VLOOKUP(F630,CARTON_LOOKUP!$A:$E,5,0),"")</f>
      </c>
      <c r="J630" s="29">
        <f>IFERROR(VLOOKUP(F630,CARTON_LOOKUP!$A:$E,2,0),"")</f>
      </c>
      <c r="K630" s="29">
        <f>IFERROR(J630*D630,0)</f>
      </c>
      <c r="L630" s="29">
        <f>IFERROR(E630*C630,0)</f>
      </c>
      <c r="M630" s="29">
        <f>IFERROR((G630*H630*I630/1000000)*D630,0)</f>
      </c>
    </row>
    <row r="631" spans="1:13" x14ac:dyDescent="0.25">
      <c r="A631" s="16"/>
      <c r="E631" s="27"/>
      <c r="F631" t="s">
        <v>26</v>
      </c>
      <c r="G631" s="28">
        <f>IFERROR(VLOOKUP(F631,CARTON_LOOKUP!$A:$E,3,0),"")</f>
      </c>
      <c r="H631" s="28">
        <f>IFERROR(VLOOKUP(F631,CARTON_LOOKUP!$A:$E,4,0),"")</f>
      </c>
      <c r="I631" s="28">
        <f>IFERROR(VLOOKUP(F631,CARTON_LOOKUP!$A:$E,5,0),"")</f>
      </c>
      <c r="J631" s="29">
        <f>IFERROR(VLOOKUP(F631,CARTON_LOOKUP!$A:$E,2,0),"")</f>
      </c>
      <c r="K631" s="29">
        <f>IFERROR(J631*D631,0)</f>
      </c>
      <c r="L631" s="29">
        <f>IFERROR(E631*C631,0)</f>
      </c>
      <c r="M631" s="29">
        <f>IFERROR((G631*H631*I631/1000000)*D631,0)</f>
      </c>
    </row>
    <row r="632" spans="1:13" x14ac:dyDescent="0.25">
      <c r="A632" s="16"/>
      <c r="E632" s="27"/>
      <c r="F632" t="s">
        <v>26</v>
      </c>
      <c r="G632" s="28">
        <f>IFERROR(VLOOKUP(F632,CARTON_LOOKUP!$A:$E,3,0),"")</f>
      </c>
      <c r="H632" s="28">
        <f>IFERROR(VLOOKUP(F632,CARTON_LOOKUP!$A:$E,4,0),"")</f>
      </c>
      <c r="I632" s="28">
        <f>IFERROR(VLOOKUP(F632,CARTON_LOOKUP!$A:$E,5,0),"")</f>
      </c>
      <c r="J632" s="29">
        <f>IFERROR(VLOOKUP(F632,CARTON_LOOKUP!$A:$E,2,0),"")</f>
      </c>
      <c r="K632" s="29">
        <f>IFERROR(J632*D632,0)</f>
      </c>
      <c r="L632" s="29">
        <f>IFERROR(E632*C632,0)</f>
      </c>
      <c r="M632" s="29">
        <f>IFERROR((G632*H632*I632/1000000)*D632,0)</f>
      </c>
    </row>
    <row r="633" spans="1:13" x14ac:dyDescent="0.25">
      <c r="A633" s="16"/>
      <c r="E633" s="27"/>
      <c r="F633" t="s">
        <v>26</v>
      </c>
      <c r="G633" s="28">
        <f>IFERROR(VLOOKUP(F633,CARTON_LOOKUP!$A:$E,3,0),"")</f>
      </c>
      <c r="H633" s="28">
        <f>IFERROR(VLOOKUP(F633,CARTON_LOOKUP!$A:$E,4,0),"")</f>
      </c>
      <c r="I633" s="28">
        <f>IFERROR(VLOOKUP(F633,CARTON_LOOKUP!$A:$E,5,0),"")</f>
      </c>
      <c r="J633" s="29">
        <f>IFERROR(VLOOKUP(F633,CARTON_LOOKUP!$A:$E,2,0),"")</f>
      </c>
      <c r="K633" s="29">
        <f>IFERROR(J633*D633,0)</f>
      </c>
      <c r="L633" s="29">
        <f>IFERROR(E633*C633,0)</f>
      </c>
      <c r="M633" s="29">
        <f>IFERROR((G633*H633*I633/1000000)*D633,0)</f>
      </c>
    </row>
    <row r="634" spans="1:13" x14ac:dyDescent="0.25">
      <c r="A634" s="16"/>
      <c r="E634" s="27"/>
      <c r="F634" t="s">
        <v>26</v>
      </c>
      <c r="G634" s="28">
        <f>IFERROR(VLOOKUP(F634,CARTON_LOOKUP!$A:$E,3,0),"")</f>
      </c>
      <c r="H634" s="28">
        <f>IFERROR(VLOOKUP(F634,CARTON_LOOKUP!$A:$E,4,0),"")</f>
      </c>
      <c r="I634" s="28">
        <f>IFERROR(VLOOKUP(F634,CARTON_LOOKUP!$A:$E,5,0),"")</f>
      </c>
      <c r="J634" s="29">
        <f>IFERROR(VLOOKUP(F634,CARTON_LOOKUP!$A:$E,2,0),"")</f>
      </c>
      <c r="K634" s="29">
        <f>IFERROR(J634*D634,0)</f>
      </c>
      <c r="L634" s="29">
        <f>IFERROR(E634*C634,0)</f>
      </c>
      <c r="M634" s="29">
        <f>IFERROR((G634*H634*I634/1000000)*D634,0)</f>
      </c>
    </row>
    <row r="635" spans="1:13" x14ac:dyDescent="0.25">
      <c r="A635" s="16"/>
      <c r="E635" s="27"/>
      <c r="F635" t="s">
        <v>26</v>
      </c>
      <c r="G635" s="28">
        <f>IFERROR(VLOOKUP(F635,CARTON_LOOKUP!$A:$E,3,0),"")</f>
      </c>
      <c r="H635" s="28">
        <f>IFERROR(VLOOKUP(F635,CARTON_LOOKUP!$A:$E,4,0),"")</f>
      </c>
      <c r="I635" s="28">
        <f>IFERROR(VLOOKUP(F635,CARTON_LOOKUP!$A:$E,5,0),"")</f>
      </c>
      <c r="J635" s="29">
        <f>IFERROR(VLOOKUP(F635,CARTON_LOOKUP!$A:$E,2,0),"")</f>
      </c>
      <c r="K635" s="29">
        <f>IFERROR(J635*D635,0)</f>
      </c>
      <c r="L635" s="29">
        <f>IFERROR(E635*C635,0)</f>
      </c>
      <c r="M635" s="29">
        <f>IFERROR((G635*H635*I635/1000000)*D635,0)</f>
      </c>
    </row>
    <row r="636" spans="1:13" x14ac:dyDescent="0.25">
      <c r="A636" s="16"/>
      <c r="E636" s="27"/>
      <c r="F636" t="s">
        <v>26</v>
      </c>
      <c r="G636" s="28">
        <f>IFERROR(VLOOKUP(F636,CARTON_LOOKUP!$A:$E,3,0),"")</f>
      </c>
      <c r="H636" s="28">
        <f>IFERROR(VLOOKUP(F636,CARTON_LOOKUP!$A:$E,4,0),"")</f>
      </c>
      <c r="I636" s="28">
        <f>IFERROR(VLOOKUP(F636,CARTON_LOOKUP!$A:$E,5,0),"")</f>
      </c>
      <c r="J636" s="29">
        <f>IFERROR(VLOOKUP(F636,CARTON_LOOKUP!$A:$E,2,0),"")</f>
      </c>
      <c r="K636" s="29">
        <f>IFERROR(J636*D636,0)</f>
      </c>
      <c r="L636" s="29">
        <f>IFERROR(E636*C636,0)</f>
      </c>
      <c r="M636" s="29">
        <f>IFERROR((G636*H636*I636/1000000)*D636,0)</f>
      </c>
    </row>
    <row r="637" spans="1:13" x14ac:dyDescent="0.25">
      <c r="A637" s="16"/>
      <c r="E637" s="27"/>
      <c r="F637" t="s">
        <v>26</v>
      </c>
      <c r="G637" s="28">
        <f>IFERROR(VLOOKUP(F637,CARTON_LOOKUP!$A:$E,3,0),"")</f>
      </c>
      <c r="H637" s="28">
        <f>IFERROR(VLOOKUP(F637,CARTON_LOOKUP!$A:$E,4,0),"")</f>
      </c>
      <c r="I637" s="28">
        <f>IFERROR(VLOOKUP(F637,CARTON_LOOKUP!$A:$E,5,0),"")</f>
      </c>
      <c r="J637" s="29">
        <f>IFERROR(VLOOKUP(F637,CARTON_LOOKUP!$A:$E,2,0),"")</f>
      </c>
      <c r="K637" s="29">
        <f>IFERROR(J637*D637,0)</f>
      </c>
      <c r="L637" s="29">
        <f>IFERROR(E637*C637,0)</f>
      </c>
      <c r="M637" s="29">
        <f>IFERROR((G637*H637*I637/1000000)*D637,0)</f>
      </c>
    </row>
    <row r="638" spans="1:13" x14ac:dyDescent="0.25">
      <c r="A638" s="16"/>
      <c r="E638" s="27"/>
      <c r="F638" t="s">
        <v>26</v>
      </c>
      <c r="G638" s="28">
        <f>IFERROR(VLOOKUP(F638,CARTON_LOOKUP!$A:$E,3,0),"")</f>
      </c>
      <c r="H638" s="28">
        <f>IFERROR(VLOOKUP(F638,CARTON_LOOKUP!$A:$E,4,0),"")</f>
      </c>
      <c r="I638" s="28">
        <f>IFERROR(VLOOKUP(F638,CARTON_LOOKUP!$A:$E,5,0),"")</f>
      </c>
      <c r="J638" s="29">
        <f>IFERROR(VLOOKUP(F638,CARTON_LOOKUP!$A:$E,2,0),"")</f>
      </c>
      <c r="K638" s="29">
        <f>IFERROR(J638*D638,0)</f>
      </c>
      <c r="L638" s="29">
        <f>IFERROR(E638*C638,0)</f>
      </c>
      <c r="M638" s="29">
        <f>IFERROR((G638*H638*I638/1000000)*D638,0)</f>
      </c>
    </row>
    <row r="639" spans="1:13" x14ac:dyDescent="0.25">
      <c r="A639" s="16"/>
      <c r="E639" s="27"/>
      <c r="F639" t="s">
        <v>26</v>
      </c>
      <c r="G639" s="28">
        <f>IFERROR(VLOOKUP(F639,CARTON_LOOKUP!$A:$E,3,0),"")</f>
      </c>
      <c r="H639" s="28">
        <f>IFERROR(VLOOKUP(F639,CARTON_LOOKUP!$A:$E,4,0),"")</f>
      </c>
      <c r="I639" s="28">
        <f>IFERROR(VLOOKUP(F639,CARTON_LOOKUP!$A:$E,5,0),"")</f>
      </c>
      <c r="J639" s="29">
        <f>IFERROR(VLOOKUP(F639,CARTON_LOOKUP!$A:$E,2,0),"")</f>
      </c>
      <c r="K639" s="29">
        <f>IFERROR(J639*D639,0)</f>
      </c>
      <c r="L639" s="29">
        <f>IFERROR(E639*C639,0)</f>
      </c>
      <c r="M639" s="29">
        <f>IFERROR((G639*H639*I639/1000000)*D639,0)</f>
      </c>
    </row>
    <row r="640" spans="1:13" x14ac:dyDescent="0.25">
      <c r="A640" s="16"/>
      <c r="E640" s="27"/>
      <c r="F640" t="s">
        <v>26</v>
      </c>
      <c r="G640" s="28">
        <f>IFERROR(VLOOKUP(F640,CARTON_LOOKUP!$A:$E,3,0),"")</f>
      </c>
      <c r="H640" s="28">
        <f>IFERROR(VLOOKUP(F640,CARTON_LOOKUP!$A:$E,4,0),"")</f>
      </c>
      <c r="I640" s="28">
        <f>IFERROR(VLOOKUP(F640,CARTON_LOOKUP!$A:$E,5,0),"")</f>
      </c>
      <c r="J640" s="29">
        <f>IFERROR(VLOOKUP(F640,CARTON_LOOKUP!$A:$E,2,0),"")</f>
      </c>
      <c r="K640" s="29">
        <f>IFERROR(J640*D640,0)</f>
      </c>
      <c r="L640" s="29">
        <f>IFERROR(E640*C640,0)</f>
      </c>
      <c r="M640" s="29">
        <f>IFERROR((G640*H640*I640/1000000)*D640,0)</f>
      </c>
    </row>
    <row r="641" spans="1:13" x14ac:dyDescent="0.25">
      <c r="A641" s="16"/>
      <c r="E641" s="27"/>
      <c r="F641" t="s">
        <v>26</v>
      </c>
      <c r="G641" s="28">
        <f>IFERROR(VLOOKUP(F641,CARTON_LOOKUP!$A:$E,3,0),"")</f>
      </c>
      <c r="H641" s="28">
        <f>IFERROR(VLOOKUP(F641,CARTON_LOOKUP!$A:$E,4,0),"")</f>
      </c>
      <c r="I641" s="28">
        <f>IFERROR(VLOOKUP(F641,CARTON_LOOKUP!$A:$E,5,0),"")</f>
      </c>
      <c r="J641" s="29">
        <f>IFERROR(VLOOKUP(F641,CARTON_LOOKUP!$A:$E,2,0),"")</f>
      </c>
      <c r="K641" s="29">
        <f>IFERROR(J641*D641,0)</f>
      </c>
      <c r="L641" s="29">
        <f>IFERROR(E641*C641,0)</f>
      </c>
      <c r="M641" s="29">
        <f>IFERROR((G641*H641*I641/1000000)*D641,0)</f>
      </c>
    </row>
    <row r="642" spans="1:13" x14ac:dyDescent="0.25">
      <c r="A642" s="16"/>
      <c r="E642" s="27"/>
      <c r="F642" t="s">
        <v>26</v>
      </c>
      <c r="G642" s="28">
        <f>IFERROR(VLOOKUP(F642,CARTON_LOOKUP!$A:$E,3,0),"")</f>
      </c>
      <c r="H642" s="28">
        <f>IFERROR(VLOOKUP(F642,CARTON_LOOKUP!$A:$E,4,0),"")</f>
      </c>
      <c r="I642" s="28">
        <f>IFERROR(VLOOKUP(F642,CARTON_LOOKUP!$A:$E,5,0),"")</f>
      </c>
      <c r="J642" s="29">
        <f>IFERROR(VLOOKUP(F642,CARTON_LOOKUP!$A:$E,2,0),"")</f>
      </c>
      <c r="K642" s="29">
        <f>IFERROR(J642*D642,0)</f>
      </c>
      <c r="L642" s="29">
        <f>IFERROR(E642*C642,0)</f>
      </c>
      <c r="M642" s="29">
        <f>IFERROR((G642*H642*I642/1000000)*D642,0)</f>
      </c>
    </row>
    <row r="643" spans="1:13" x14ac:dyDescent="0.25">
      <c r="A643" s="16"/>
      <c r="E643" s="27"/>
      <c r="F643" t="s">
        <v>26</v>
      </c>
      <c r="G643" s="28">
        <f>IFERROR(VLOOKUP(F643,CARTON_LOOKUP!$A:$E,3,0),"")</f>
      </c>
      <c r="H643" s="28">
        <f>IFERROR(VLOOKUP(F643,CARTON_LOOKUP!$A:$E,4,0),"")</f>
      </c>
      <c r="I643" s="28">
        <f>IFERROR(VLOOKUP(F643,CARTON_LOOKUP!$A:$E,5,0),"")</f>
      </c>
      <c r="J643" s="29">
        <f>IFERROR(VLOOKUP(F643,CARTON_LOOKUP!$A:$E,2,0),"")</f>
      </c>
      <c r="K643" s="29">
        <f>IFERROR(J643*D643,0)</f>
      </c>
      <c r="L643" s="29">
        <f>IFERROR(E643*C643,0)</f>
      </c>
      <c r="M643" s="29">
        <f>IFERROR((G643*H643*I643/1000000)*D643,0)</f>
      </c>
    </row>
    <row r="644" spans="1:13" x14ac:dyDescent="0.25">
      <c r="A644" s="16"/>
      <c r="E644" s="27"/>
      <c r="F644" t="s">
        <v>26</v>
      </c>
      <c r="G644" s="28">
        <f>IFERROR(VLOOKUP(F644,CARTON_LOOKUP!$A:$E,3,0),"")</f>
      </c>
      <c r="H644" s="28">
        <f>IFERROR(VLOOKUP(F644,CARTON_LOOKUP!$A:$E,4,0),"")</f>
      </c>
      <c r="I644" s="28">
        <f>IFERROR(VLOOKUP(F644,CARTON_LOOKUP!$A:$E,5,0),"")</f>
      </c>
      <c r="J644" s="29">
        <f>IFERROR(VLOOKUP(F644,CARTON_LOOKUP!$A:$E,2,0),"")</f>
      </c>
      <c r="K644" s="29">
        <f>IFERROR(J644*D644,0)</f>
      </c>
      <c r="L644" s="29">
        <f>IFERROR(E644*C644,0)</f>
      </c>
      <c r="M644" s="29">
        <f>IFERROR((G644*H644*I644/1000000)*D644,0)</f>
      </c>
    </row>
    <row r="645" spans="1:13" x14ac:dyDescent="0.25">
      <c r="A645" s="16"/>
      <c r="E645" s="27"/>
      <c r="F645" t="s">
        <v>26</v>
      </c>
      <c r="G645" s="28">
        <f>IFERROR(VLOOKUP(F645,CARTON_LOOKUP!$A:$E,3,0),"")</f>
      </c>
      <c r="H645" s="28">
        <f>IFERROR(VLOOKUP(F645,CARTON_LOOKUP!$A:$E,4,0),"")</f>
      </c>
      <c r="I645" s="28">
        <f>IFERROR(VLOOKUP(F645,CARTON_LOOKUP!$A:$E,5,0),"")</f>
      </c>
      <c r="J645" s="29">
        <f>IFERROR(VLOOKUP(F645,CARTON_LOOKUP!$A:$E,2,0),"")</f>
      </c>
      <c r="K645" s="29">
        <f>IFERROR(J645*D645,0)</f>
      </c>
      <c r="L645" s="29">
        <f>IFERROR(E645*C645,0)</f>
      </c>
      <c r="M645" s="29">
        <f>IFERROR((G645*H645*I645/1000000)*D645,0)</f>
      </c>
    </row>
    <row r="646" spans="1:13" x14ac:dyDescent="0.25">
      <c r="A646" s="16"/>
      <c r="E646" s="27"/>
      <c r="F646" t="s">
        <v>26</v>
      </c>
      <c r="G646" s="28">
        <f>IFERROR(VLOOKUP(F646,CARTON_LOOKUP!$A:$E,3,0),"")</f>
      </c>
      <c r="H646" s="28">
        <f>IFERROR(VLOOKUP(F646,CARTON_LOOKUP!$A:$E,4,0),"")</f>
      </c>
      <c r="I646" s="28">
        <f>IFERROR(VLOOKUP(F646,CARTON_LOOKUP!$A:$E,5,0),"")</f>
      </c>
      <c r="J646" s="29">
        <f>IFERROR(VLOOKUP(F646,CARTON_LOOKUP!$A:$E,2,0),"")</f>
      </c>
      <c r="K646" s="29">
        <f>IFERROR(J646*D646,0)</f>
      </c>
      <c r="L646" s="29">
        <f>IFERROR(E646*C646,0)</f>
      </c>
      <c r="M646" s="29">
        <f>IFERROR((G646*H646*I646/1000000)*D646,0)</f>
      </c>
    </row>
    <row r="647" spans="1:13" x14ac:dyDescent="0.25">
      <c r="A647" s="16"/>
      <c r="E647" s="27"/>
      <c r="F647" t="s">
        <v>26</v>
      </c>
      <c r="G647" s="28">
        <f>IFERROR(VLOOKUP(F647,CARTON_LOOKUP!$A:$E,3,0),"")</f>
      </c>
      <c r="H647" s="28">
        <f>IFERROR(VLOOKUP(F647,CARTON_LOOKUP!$A:$E,4,0),"")</f>
      </c>
      <c r="I647" s="28">
        <f>IFERROR(VLOOKUP(F647,CARTON_LOOKUP!$A:$E,5,0),"")</f>
      </c>
      <c r="J647" s="29">
        <f>IFERROR(VLOOKUP(F647,CARTON_LOOKUP!$A:$E,2,0),"")</f>
      </c>
      <c r="K647" s="29">
        <f>IFERROR(J647*D647,0)</f>
      </c>
      <c r="L647" s="29">
        <f>IFERROR(E647*C647,0)</f>
      </c>
      <c r="M647" s="29">
        <f>IFERROR((G647*H647*I647/1000000)*D647,0)</f>
      </c>
    </row>
    <row r="648" spans="1:13" x14ac:dyDescent="0.25">
      <c r="A648" s="16"/>
      <c r="E648" s="27"/>
      <c r="F648" t="s">
        <v>26</v>
      </c>
      <c r="G648" s="28">
        <f>IFERROR(VLOOKUP(F648,CARTON_LOOKUP!$A:$E,3,0),"")</f>
      </c>
      <c r="H648" s="28">
        <f>IFERROR(VLOOKUP(F648,CARTON_LOOKUP!$A:$E,4,0),"")</f>
      </c>
      <c r="I648" s="28">
        <f>IFERROR(VLOOKUP(F648,CARTON_LOOKUP!$A:$E,5,0),"")</f>
      </c>
      <c r="J648" s="29">
        <f>IFERROR(VLOOKUP(F648,CARTON_LOOKUP!$A:$E,2,0),"")</f>
      </c>
      <c r="K648" s="29">
        <f>IFERROR(J648*D648,0)</f>
      </c>
      <c r="L648" s="29">
        <f>IFERROR(E648*C648,0)</f>
      </c>
      <c r="M648" s="29">
        <f>IFERROR((G648*H648*I648/1000000)*D648,0)</f>
      </c>
    </row>
    <row r="649" spans="1:13" x14ac:dyDescent="0.25">
      <c r="A649" s="16"/>
      <c r="E649" s="27"/>
      <c r="F649" t="s">
        <v>26</v>
      </c>
      <c r="G649" s="28">
        <f>IFERROR(VLOOKUP(F649,CARTON_LOOKUP!$A:$E,3,0),"")</f>
      </c>
      <c r="H649" s="28">
        <f>IFERROR(VLOOKUP(F649,CARTON_LOOKUP!$A:$E,4,0),"")</f>
      </c>
      <c r="I649" s="28">
        <f>IFERROR(VLOOKUP(F649,CARTON_LOOKUP!$A:$E,5,0),"")</f>
      </c>
      <c r="J649" s="29">
        <f>IFERROR(VLOOKUP(F649,CARTON_LOOKUP!$A:$E,2,0),"")</f>
      </c>
      <c r="K649" s="29">
        <f>IFERROR(J649*D649,0)</f>
      </c>
      <c r="L649" s="29">
        <f>IFERROR(E649*C649,0)</f>
      </c>
      <c r="M649" s="29">
        <f>IFERROR((G649*H649*I649/1000000)*D649,0)</f>
      </c>
    </row>
    <row r="650" spans="1:13" x14ac:dyDescent="0.25">
      <c r="A650" s="16"/>
      <c r="E650" s="27"/>
      <c r="F650" t="s">
        <v>26</v>
      </c>
      <c r="G650" s="28">
        <f>IFERROR(VLOOKUP(F650,CARTON_LOOKUP!$A:$E,3,0),"")</f>
      </c>
      <c r="H650" s="28">
        <f>IFERROR(VLOOKUP(F650,CARTON_LOOKUP!$A:$E,4,0),"")</f>
      </c>
      <c r="I650" s="28">
        <f>IFERROR(VLOOKUP(F650,CARTON_LOOKUP!$A:$E,5,0),"")</f>
      </c>
      <c r="J650" s="29">
        <f>IFERROR(VLOOKUP(F650,CARTON_LOOKUP!$A:$E,2,0),"")</f>
      </c>
      <c r="K650" s="29">
        <f>IFERROR(J650*D650,0)</f>
      </c>
      <c r="L650" s="29">
        <f>IFERROR(E650*C650,0)</f>
      </c>
      <c r="M650" s="29">
        <f>IFERROR((G650*H650*I650/1000000)*D650,0)</f>
      </c>
    </row>
    <row r="651" spans="1:13" x14ac:dyDescent="0.25">
      <c r="A651" s="16"/>
      <c r="E651" s="27"/>
      <c r="F651" t="s">
        <v>26</v>
      </c>
      <c r="G651" s="28">
        <f>IFERROR(VLOOKUP(F651,CARTON_LOOKUP!$A:$E,3,0),"")</f>
      </c>
      <c r="H651" s="28">
        <f>IFERROR(VLOOKUP(F651,CARTON_LOOKUP!$A:$E,4,0),"")</f>
      </c>
      <c r="I651" s="28">
        <f>IFERROR(VLOOKUP(F651,CARTON_LOOKUP!$A:$E,5,0),"")</f>
      </c>
      <c r="J651" s="29">
        <f>IFERROR(VLOOKUP(F651,CARTON_LOOKUP!$A:$E,2,0),"")</f>
      </c>
      <c r="K651" s="29">
        <f>IFERROR(J651*D651,0)</f>
      </c>
      <c r="L651" s="29">
        <f>IFERROR(E651*C651,0)</f>
      </c>
      <c r="M651" s="29">
        <f>IFERROR((G651*H651*I651/1000000)*D651,0)</f>
      </c>
    </row>
    <row r="652" spans="1:13" x14ac:dyDescent="0.25">
      <c r="A652" s="16"/>
      <c r="E652" s="27"/>
      <c r="F652" t="s">
        <v>26</v>
      </c>
      <c r="G652" s="28">
        <f>IFERROR(VLOOKUP(F652,CARTON_LOOKUP!$A:$E,3,0),"")</f>
      </c>
      <c r="H652" s="28">
        <f>IFERROR(VLOOKUP(F652,CARTON_LOOKUP!$A:$E,4,0),"")</f>
      </c>
      <c r="I652" s="28">
        <f>IFERROR(VLOOKUP(F652,CARTON_LOOKUP!$A:$E,5,0),"")</f>
      </c>
      <c r="J652" s="29">
        <f>IFERROR(VLOOKUP(F652,CARTON_LOOKUP!$A:$E,2,0),"")</f>
      </c>
      <c r="K652" s="29">
        <f>IFERROR(J652*D652,0)</f>
      </c>
      <c r="L652" s="29">
        <f>IFERROR(E652*C652,0)</f>
      </c>
      <c r="M652" s="29">
        <f>IFERROR((G652*H652*I652/1000000)*D652,0)</f>
      </c>
    </row>
    <row r="653" spans="1:13" x14ac:dyDescent="0.25">
      <c r="A653" s="16"/>
      <c r="E653" s="27"/>
      <c r="F653" t="s">
        <v>26</v>
      </c>
      <c r="G653" s="28">
        <f>IFERROR(VLOOKUP(F653,CARTON_LOOKUP!$A:$E,3,0),"")</f>
      </c>
      <c r="H653" s="28">
        <f>IFERROR(VLOOKUP(F653,CARTON_LOOKUP!$A:$E,4,0),"")</f>
      </c>
      <c r="I653" s="28">
        <f>IFERROR(VLOOKUP(F653,CARTON_LOOKUP!$A:$E,5,0),"")</f>
      </c>
      <c r="J653" s="29">
        <f>IFERROR(VLOOKUP(F653,CARTON_LOOKUP!$A:$E,2,0),"")</f>
      </c>
      <c r="K653" s="29">
        <f>IFERROR(J653*D653,0)</f>
      </c>
      <c r="L653" s="29">
        <f>IFERROR(E653*C653,0)</f>
      </c>
      <c r="M653" s="29">
        <f>IFERROR((G653*H653*I653/1000000)*D653,0)</f>
      </c>
    </row>
    <row r="654" spans="1:13" x14ac:dyDescent="0.25">
      <c r="A654" s="16"/>
      <c r="E654" s="27"/>
      <c r="F654" t="s">
        <v>26</v>
      </c>
      <c r="G654" s="28">
        <f>IFERROR(VLOOKUP(F654,CARTON_LOOKUP!$A:$E,3,0),"")</f>
      </c>
      <c r="H654" s="28">
        <f>IFERROR(VLOOKUP(F654,CARTON_LOOKUP!$A:$E,4,0),"")</f>
      </c>
      <c r="I654" s="28">
        <f>IFERROR(VLOOKUP(F654,CARTON_LOOKUP!$A:$E,5,0),"")</f>
      </c>
      <c r="J654" s="29">
        <f>IFERROR(VLOOKUP(F654,CARTON_LOOKUP!$A:$E,2,0),"")</f>
      </c>
      <c r="K654" s="29">
        <f>IFERROR(J654*D654,0)</f>
      </c>
      <c r="L654" s="29">
        <f>IFERROR(E654*C654,0)</f>
      </c>
      <c r="M654" s="29">
        <f>IFERROR((G654*H654*I654/1000000)*D654,0)</f>
      </c>
    </row>
    <row r="655" spans="1:13" x14ac:dyDescent="0.25">
      <c r="A655" s="16"/>
      <c r="E655" s="27"/>
      <c r="F655" t="s">
        <v>26</v>
      </c>
      <c r="G655" s="28">
        <f>IFERROR(VLOOKUP(F655,CARTON_LOOKUP!$A:$E,3,0),"")</f>
      </c>
      <c r="H655" s="28">
        <f>IFERROR(VLOOKUP(F655,CARTON_LOOKUP!$A:$E,4,0),"")</f>
      </c>
      <c r="I655" s="28">
        <f>IFERROR(VLOOKUP(F655,CARTON_LOOKUP!$A:$E,5,0),"")</f>
      </c>
      <c r="J655" s="29">
        <f>IFERROR(VLOOKUP(F655,CARTON_LOOKUP!$A:$E,2,0),"")</f>
      </c>
      <c r="K655" s="29">
        <f>IFERROR(J655*D655,0)</f>
      </c>
      <c r="L655" s="29">
        <f>IFERROR(E655*C655,0)</f>
      </c>
      <c r="M655" s="29">
        <f>IFERROR((G655*H655*I655/1000000)*D655,0)</f>
      </c>
    </row>
    <row r="656" spans="1:13" x14ac:dyDescent="0.25">
      <c r="A656" s="16"/>
      <c r="E656" s="27"/>
      <c r="F656" t="s">
        <v>26</v>
      </c>
      <c r="G656" s="28">
        <f>IFERROR(VLOOKUP(F656,CARTON_LOOKUP!$A:$E,3,0),"")</f>
      </c>
      <c r="H656" s="28">
        <f>IFERROR(VLOOKUP(F656,CARTON_LOOKUP!$A:$E,4,0),"")</f>
      </c>
      <c r="I656" s="28">
        <f>IFERROR(VLOOKUP(F656,CARTON_LOOKUP!$A:$E,5,0),"")</f>
      </c>
      <c r="J656" s="29">
        <f>IFERROR(VLOOKUP(F656,CARTON_LOOKUP!$A:$E,2,0),"")</f>
      </c>
      <c r="K656" s="29">
        <f>IFERROR(J656*D656,0)</f>
      </c>
      <c r="L656" s="29">
        <f>IFERROR(E656*C656,0)</f>
      </c>
      <c r="M656" s="29">
        <f>IFERROR((G656*H656*I656/1000000)*D656,0)</f>
      </c>
    </row>
    <row r="657" spans="1:13" x14ac:dyDescent="0.25">
      <c r="A657" s="16"/>
      <c r="E657" s="27"/>
      <c r="F657" t="s">
        <v>26</v>
      </c>
      <c r="G657" s="28">
        <f>IFERROR(VLOOKUP(F657,CARTON_LOOKUP!$A:$E,3,0),"")</f>
      </c>
      <c r="H657" s="28">
        <f>IFERROR(VLOOKUP(F657,CARTON_LOOKUP!$A:$E,4,0),"")</f>
      </c>
      <c r="I657" s="28">
        <f>IFERROR(VLOOKUP(F657,CARTON_LOOKUP!$A:$E,5,0),"")</f>
      </c>
      <c r="J657" s="29">
        <f>IFERROR(VLOOKUP(F657,CARTON_LOOKUP!$A:$E,2,0),"")</f>
      </c>
      <c r="K657" s="29">
        <f>IFERROR(J657*D657,0)</f>
      </c>
      <c r="L657" s="29">
        <f>IFERROR(E657*C657,0)</f>
      </c>
      <c r="M657" s="29">
        <f>IFERROR((G657*H657*I657/1000000)*D657,0)</f>
      </c>
    </row>
    <row r="658" spans="1:13" x14ac:dyDescent="0.25">
      <c r="A658" s="16"/>
      <c r="E658" s="27"/>
      <c r="F658" t="s">
        <v>26</v>
      </c>
      <c r="G658" s="28">
        <f>IFERROR(VLOOKUP(F658,CARTON_LOOKUP!$A:$E,3,0),"")</f>
      </c>
      <c r="H658" s="28">
        <f>IFERROR(VLOOKUP(F658,CARTON_LOOKUP!$A:$E,4,0),"")</f>
      </c>
      <c r="I658" s="28">
        <f>IFERROR(VLOOKUP(F658,CARTON_LOOKUP!$A:$E,5,0),"")</f>
      </c>
      <c r="J658" s="29">
        <f>IFERROR(VLOOKUP(F658,CARTON_LOOKUP!$A:$E,2,0),"")</f>
      </c>
      <c r="K658" s="29">
        <f>IFERROR(J658*D658,0)</f>
      </c>
      <c r="L658" s="29">
        <f>IFERROR(E658*C658,0)</f>
      </c>
      <c r="M658" s="29">
        <f>IFERROR((G658*H658*I658/1000000)*D658,0)</f>
      </c>
    </row>
    <row r="659" spans="1:13" x14ac:dyDescent="0.25">
      <c r="A659" s="16"/>
      <c r="E659" s="27"/>
      <c r="F659" t="s">
        <v>26</v>
      </c>
      <c r="G659" s="28">
        <f>IFERROR(VLOOKUP(F659,CARTON_LOOKUP!$A:$E,3,0),"")</f>
      </c>
      <c r="H659" s="28">
        <f>IFERROR(VLOOKUP(F659,CARTON_LOOKUP!$A:$E,4,0),"")</f>
      </c>
      <c r="I659" s="28">
        <f>IFERROR(VLOOKUP(F659,CARTON_LOOKUP!$A:$E,5,0),"")</f>
      </c>
      <c r="J659" s="29">
        <f>IFERROR(VLOOKUP(F659,CARTON_LOOKUP!$A:$E,2,0),"")</f>
      </c>
      <c r="K659" s="29">
        <f>IFERROR(J659*D659,0)</f>
      </c>
      <c r="L659" s="29">
        <f>IFERROR(E659*C659,0)</f>
      </c>
      <c r="M659" s="29">
        <f>IFERROR((G659*H659*I659/1000000)*D659,0)</f>
      </c>
    </row>
    <row r="660" spans="1:13" x14ac:dyDescent="0.25">
      <c r="A660" s="16"/>
      <c r="E660" s="27"/>
      <c r="F660" t="s">
        <v>26</v>
      </c>
      <c r="G660" s="28">
        <f>IFERROR(VLOOKUP(F660,CARTON_LOOKUP!$A:$E,3,0),"")</f>
      </c>
      <c r="H660" s="28">
        <f>IFERROR(VLOOKUP(F660,CARTON_LOOKUP!$A:$E,4,0),"")</f>
      </c>
      <c r="I660" s="28">
        <f>IFERROR(VLOOKUP(F660,CARTON_LOOKUP!$A:$E,5,0),"")</f>
      </c>
      <c r="J660" s="29">
        <f>IFERROR(VLOOKUP(F660,CARTON_LOOKUP!$A:$E,2,0),"")</f>
      </c>
      <c r="K660" s="29">
        <f>IFERROR(J660*D660,0)</f>
      </c>
      <c r="L660" s="29">
        <f>IFERROR(E660*C660,0)</f>
      </c>
      <c r="M660" s="29">
        <f>IFERROR((G660*H660*I660/1000000)*D660,0)</f>
      </c>
    </row>
    <row r="661" spans="1:13" x14ac:dyDescent="0.25">
      <c r="A661" s="16"/>
      <c r="E661" s="27"/>
      <c r="F661" t="s">
        <v>26</v>
      </c>
      <c r="G661" s="28">
        <f>IFERROR(VLOOKUP(F661,CARTON_LOOKUP!$A:$E,3,0),"")</f>
      </c>
      <c r="H661" s="28">
        <f>IFERROR(VLOOKUP(F661,CARTON_LOOKUP!$A:$E,4,0),"")</f>
      </c>
      <c r="I661" s="28">
        <f>IFERROR(VLOOKUP(F661,CARTON_LOOKUP!$A:$E,5,0),"")</f>
      </c>
      <c r="J661" s="29">
        <f>IFERROR(VLOOKUP(F661,CARTON_LOOKUP!$A:$E,2,0),"")</f>
      </c>
      <c r="K661" s="29">
        <f>IFERROR(J661*D661,0)</f>
      </c>
      <c r="L661" s="29">
        <f>IFERROR(E661*C661,0)</f>
      </c>
      <c r="M661" s="29">
        <f>IFERROR((G661*H661*I661/1000000)*D661,0)</f>
      </c>
    </row>
    <row r="662" spans="1:13" x14ac:dyDescent="0.25">
      <c r="A662" s="16"/>
      <c r="E662" s="27"/>
      <c r="F662" t="s">
        <v>26</v>
      </c>
      <c r="G662" s="28">
        <f>IFERROR(VLOOKUP(F662,CARTON_LOOKUP!$A:$E,3,0),"")</f>
      </c>
      <c r="H662" s="28">
        <f>IFERROR(VLOOKUP(F662,CARTON_LOOKUP!$A:$E,4,0),"")</f>
      </c>
      <c r="I662" s="28">
        <f>IFERROR(VLOOKUP(F662,CARTON_LOOKUP!$A:$E,5,0),"")</f>
      </c>
      <c r="J662" s="29">
        <f>IFERROR(VLOOKUP(F662,CARTON_LOOKUP!$A:$E,2,0),"")</f>
      </c>
      <c r="K662" s="29">
        <f>IFERROR(J662*D662,0)</f>
      </c>
      <c r="L662" s="29">
        <f>IFERROR(E662*C662,0)</f>
      </c>
      <c r="M662" s="29">
        <f>IFERROR((G662*H662*I662/1000000)*D662,0)</f>
      </c>
    </row>
    <row r="663" spans="1:13" x14ac:dyDescent="0.25">
      <c r="A663" s="16"/>
      <c r="E663" s="27"/>
      <c r="F663" t="s">
        <v>26</v>
      </c>
      <c r="G663" s="28">
        <f>IFERROR(VLOOKUP(F663,CARTON_LOOKUP!$A:$E,3,0),"")</f>
      </c>
      <c r="H663" s="28">
        <f>IFERROR(VLOOKUP(F663,CARTON_LOOKUP!$A:$E,4,0),"")</f>
      </c>
      <c r="I663" s="28">
        <f>IFERROR(VLOOKUP(F663,CARTON_LOOKUP!$A:$E,5,0),"")</f>
      </c>
      <c r="J663" s="29">
        <f>IFERROR(VLOOKUP(F663,CARTON_LOOKUP!$A:$E,2,0),"")</f>
      </c>
      <c r="K663" s="29">
        <f>IFERROR(J663*D663,0)</f>
      </c>
      <c r="L663" s="29">
        <f>IFERROR(E663*C663,0)</f>
      </c>
      <c r="M663" s="29">
        <f>IFERROR((G663*H663*I663/1000000)*D663,0)</f>
      </c>
    </row>
    <row r="664" spans="1:13" x14ac:dyDescent="0.25">
      <c r="A664" s="16"/>
      <c r="E664" s="27"/>
      <c r="F664" t="s">
        <v>26</v>
      </c>
      <c r="G664" s="28">
        <f>IFERROR(VLOOKUP(F664,CARTON_LOOKUP!$A:$E,3,0),"")</f>
      </c>
      <c r="H664" s="28">
        <f>IFERROR(VLOOKUP(F664,CARTON_LOOKUP!$A:$E,4,0),"")</f>
      </c>
      <c r="I664" s="28">
        <f>IFERROR(VLOOKUP(F664,CARTON_LOOKUP!$A:$E,5,0),"")</f>
      </c>
      <c r="J664" s="29">
        <f>IFERROR(VLOOKUP(F664,CARTON_LOOKUP!$A:$E,2,0),"")</f>
      </c>
      <c r="K664" s="29">
        <f>IFERROR(J664*D664,0)</f>
      </c>
      <c r="L664" s="29">
        <f>IFERROR(E664*C664,0)</f>
      </c>
      <c r="M664" s="29">
        <f>IFERROR((G664*H664*I664/1000000)*D664,0)</f>
      </c>
    </row>
    <row r="665" spans="1:13" x14ac:dyDescent="0.25">
      <c r="A665" s="16"/>
      <c r="E665" s="27"/>
      <c r="F665" t="s">
        <v>26</v>
      </c>
      <c r="G665" s="28">
        <f>IFERROR(VLOOKUP(F665,CARTON_LOOKUP!$A:$E,3,0),"")</f>
      </c>
      <c r="H665" s="28">
        <f>IFERROR(VLOOKUP(F665,CARTON_LOOKUP!$A:$E,4,0),"")</f>
      </c>
      <c r="I665" s="28">
        <f>IFERROR(VLOOKUP(F665,CARTON_LOOKUP!$A:$E,5,0),"")</f>
      </c>
      <c r="J665" s="29">
        <f>IFERROR(VLOOKUP(F665,CARTON_LOOKUP!$A:$E,2,0),"")</f>
      </c>
      <c r="K665" s="29">
        <f>IFERROR(J665*D665,0)</f>
      </c>
      <c r="L665" s="29">
        <f>IFERROR(E665*C665,0)</f>
      </c>
      <c r="M665" s="29">
        <f>IFERROR((G665*H665*I665/1000000)*D665,0)</f>
      </c>
    </row>
    <row r="666" spans="1:13" x14ac:dyDescent="0.25">
      <c r="A666" s="16"/>
      <c r="E666" s="27"/>
      <c r="F666" t="s">
        <v>26</v>
      </c>
      <c r="G666" s="28">
        <f>IFERROR(VLOOKUP(F666,CARTON_LOOKUP!$A:$E,3,0),"")</f>
      </c>
      <c r="H666" s="28">
        <f>IFERROR(VLOOKUP(F666,CARTON_LOOKUP!$A:$E,4,0),"")</f>
      </c>
      <c r="I666" s="28">
        <f>IFERROR(VLOOKUP(F666,CARTON_LOOKUP!$A:$E,5,0),"")</f>
      </c>
      <c r="J666" s="29">
        <f>IFERROR(VLOOKUP(F666,CARTON_LOOKUP!$A:$E,2,0),"")</f>
      </c>
      <c r="K666" s="29">
        <f>IFERROR(J666*D666,0)</f>
      </c>
      <c r="L666" s="29">
        <f>IFERROR(E666*C666,0)</f>
      </c>
      <c r="M666" s="29">
        <f>IFERROR((G666*H666*I666/1000000)*D666,0)</f>
      </c>
    </row>
    <row r="667" spans="1:13" x14ac:dyDescent="0.25">
      <c r="A667" s="16"/>
      <c r="E667" s="27"/>
      <c r="F667" t="s">
        <v>26</v>
      </c>
      <c r="G667" s="28">
        <f>IFERROR(VLOOKUP(F667,CARTON_LOOKUP!$A:$E,3,0),"")</f>
      </c>
      <c r="H667" s="28">
        <f>IFERROR(VLOOKUP(F667,CARTON_LOOKUP!$A:$E,4,0),"")</f>
      </c>
      <c r="I667" s="28">
        <f>IFERROR(VLOOKUP(F667,CARTON_LOOKUP!$A:$E,5,0),"")</f>
      </c>
      <c r="J667" s="29">
        <f>IFERROR(VLOOKUP(F667,CARTON_LOOKUP!$A:$E,2,0),"")</f>
      </c>
      <c r="K667" s="29">
        <f>IFERROR(J667*D667,0)</f>
      </c>
      <c r="L667" s="29">
        <f>IFERROR(E667*C667,0)</f>
      </c>
      <c r="M667" s="29">
        <f>IFERROR((G667*H667*I667/1000000)*D667,0)</f>
      </c>
    </row>
    <row r="668" spans="1:13" x14ac:dyDescent="0.25">
      <c r="A668" s="16"/>
      <c r="E668" s="27"/>
      <c r="F668" t="s">
        <v>26</v>
      </c>
      <c r="G668" s="28">
        <f>IFERROR(VLOOKUP(F668,CARTON_LOOKUP!$A:$E,3,0),"")</f>
      </c>
      <c r="H668" s="28">
        <f>IFERROR(VLOOKUP(F668,CARTON_LOOKUP!$A:$E,4,0),"")</f>
      </c>
      <c r="I668" s="28">
        <f>IFERROR(VLOOKUP(F668,CARTON_LOOKUP!$A:$E,5,0),"")</f>
      </c>
      <c r="J668" s="29">
        <f>IFERROR(VLOOKUP(F668,CARTON_LOOKUP!$A:$E,2,0),"")</f>
      </c>
      <c r="K668" s="29">
        <f>IFERROR(J668*D668,0)</f>
      </c>
      <c r="L668" s="29">
        <f>IFERROR(E668*C668,0)</f>
      </c>
      <c r="M668" s="29">
        <f>IFERROR((G668*H668*I668/1000000)*D668,0)</f>
      </c>
    </row>
    <row r="669" spans="1:13" x14ac:dyDescent="0.25">
      <c r="A669" s="16"/>
      <c r="E669" s="27"/>
      <c r="F669" t="s">
        <v>26</v>
      </c>
      <c r="G669" s="28">
        <f>IFERROR(VLOOKUP(F669,CARTON_LOOKUP!$A:$E,3,0),"")</f>
      </c>
      <c r="H669" s="28">
        <f>IFERROR(VLOOKUP(F669,CARTON_LOOKUP!$A:$E,4,0),"")</f>
      </c>
      <c r="I669" s="28">
        <f>IFERROR(VLOOKUP(F669,CARTON_LOOKUP!$A:$E,5,0),"")</f>
      </c>
      <c r="J669" s="29">
        <f>IFERROR(VLOOKUP(F669,CARTON_LOOKUP!$A:$E,2,0),"")</f>
      </c>
      <c r="K669" s="29">
        <f>IFERROR(J669*D669,0)</f>
      </c>
      <c r="L669" s="29">
        <f>IFERROR(E669*C669,0)</f>
      </c>
      <c r="M669" s="29">
        <f>IFERROR((G669*H669*I669/1000000)*D669,0)</f>
      </c>
    </row>
    <row r="670" spans="1:13" x14ac:dyDescent="0.25">
      <c r="A670" s="16"/>
      <c r="E670" s="27"/>
      <c r="F670" t="s">
        <v>26</v>
      </c>
      <c r="G670" s="28">
        <f>IFERROR(VLOOKUP(F670,CARTON_LOOKUP!$A:$E,3,0),"")</f>
      </c>
      <c r="H670" s="28">
        <f>IFERROR(VLOOKUP(F670,CARTON_LOOKUP!$A:$E,4,0),"")</f>
      </c>
      <c r="I670" s="28">
        <f>IFERROR(VLOOKUP(F670,CARTON_LOOKUP!$A:$E,5,0),"")</f>
      </c>
      <c r="J670" s="29">
        <f>IFERROR(VLOOKUP(F670,CARTON_LOOKUP!$A:$E,2,0),"")</f>
      </c>
      <c r="K670" s="29">
        <f>IFERROR(J670*D670,0)</f>
      </c>
      <c r="L670" s="29">
        <f>IFERROR(E670*C670,0)</f>
      </c>
      <c r="M670" s="29">
        <f>IFERROR((G670*H670*I670/1000000)*D670,0)</f>
      </c>
    </row>
    <row r="671" spans="1:13" x14ac:dyDescent="0.25">
      <c r="A671" s="16"/>
      <c r="E671" s="27"/>
      <c r="F671" t="s">
        <v>26</v>
      </c>
      <c r="G671" s="28">
        <f>IFERROR(VLOOKUP(F671,CARTON_LOOKUP!$A:$E,3,0),"")</f>
      </c>
      <c r="H671" s="28">
        <f>IFERROR(VLOOKUP(F671,CARTON_LOOKUP!$A:$E,4,0),"")</f>
      </c>
      <c r="I671" s="28">
        <f>IFERROR(VLOOKUP(F671,CARTON_LOOKUP!$A:$E,5,0),"")</f>
      </c>
      <c r="J671" s="29">
        <f>IFERROR(VLOOKUP(F671,CARTON_LOOKUP!$A:$E,2,0),"")</f>
      </c>
      <c r="K671" s="29">
        <f>IFERROR(J671*D671,0)</f>
      </c>
      <c r="L671" s="29">
        <f>IFERROR(E671*C671,0)</f>
      </c>
      <c r="M671" s="29">
        <f>IFERROR((G671*H671*I671/1000000)*D671,0)</f>
      </c>
    </row>
    <row r="672" spans="1:13" x14ac:dyDescent="0.25">
      <c r="A672" s="16"/>
      <c r="E672" s="27"/>
      <c r="F672" t="s">
        <v>26</v>
      </c>
      <c r="G672" s="28">
        <f>IFERROR(VLOOKUP(F672,CARTON_LOOKUP!$A:$E,3,0),"")</f>
      </c>
      <c r="H672" s="28">
        <f>IFERROR(VLOOKUP(F672,CARTON_LOOKUP!$A:$E,4,0),"")</f>
      </c>
      <c r="I672" s="28">
        <f>IFERROR(VLOOKUP(F672,CARTON_LOOKUP!$A:$E,5,0),"")</f>
      </c>
      <c r="J672" s="29">
        <f>IFERROR(VLOOKUP(F672,CARTON_LOOKUP!$A:$E,2,0),"")</f>
      </c>
      <c r="K672" s="29">
        <f>IFERROR(J672*D672,0)</f>
      </c>
      <c r="L672" s="29">
        <f>IFERROR(E672*C672,0)</f>
      </c>
      <c r="M672" s="29">
        <f>IFERROR((G672*H672*I672/1000000)*D672,0)</f>
      </c>
    </row>
    <row r="673" spans="1:13" x14ac:dyDescent="0.25">
      <c r="A673" s="16"/>
      <c r="E673" s="27"/>
      <c r="F673" t="s">
        <v>26</v>
      </c>
      <c r="G673" s="28">
        <f>IFERROR(VLOOKUP(F673,CARTON_LOOKUP!$A:$E,3,0),"")</f>
      </c>
      <c r="H673" s="28">
        <f>IFERROR(VLOOKUP(F673,CARTON_LOOKUP!$A:$E,4,0),"")</f>
      </c>
      <c r="I673" s="28">
        <f>IFERROR(VLOOKUP(F673,CARTON_LOOKUP!$A:$E,5,0),"")</f>
      </c>
      <c r="J673" s="29">
        <f>IFERROR(VLOOKUP(F673,CARTON_LOOKUP!$A:$E,2,0),"")</f>
      </c>
      <c r="K673" s="29">
        <f>IFERROR(J673*D673,0)</f>
      </c>
      <c r="L673" s="29">
        <f>IFERROR(E673*C673,0)</f>
      </c>
      <c r="M673" s="29">
        <f>IFERROR((G673*H673*I673/1000000)*D673,0)</f>
      </c>
    </row>
    <row r="674" spans="1:13" x14ac:dyDescent="0.25">
      <c r="A674" s="16"/>
      <c r="E674" s="27"/>
      <c r="F674" t="s">
        <v>26</v>
      </c>
      <c r="G674" s="28">
        <f>IFERROR(VLOOKUP(F674,CARTON_LOOKUP!$A:$E,3,0),"")</f>
      </c>
      <c r="H674" s="28">
        <f>IFERROR(VLOOKUP(F674,CARTON_LOOKUP!$A:$E,4,0),"")</f>
      </c>
      <c r="I674" s="28">
        <f>IFERROR(VLOOKUP(F674,CARTON_LOOKUP!$A:$E,5,0),"")</f>
      </c>
      <c r="J674" s="29">
        <f>IFERROR(VLOOKUP(F674,CARTON_LOOKUP!$A:$E,2,0),"")</f>
      </c>
      <c r="K674" s="29">
        <f>IFERROR(J674*D674,0)</f>
      </c>
      <c r="L674" s="29">
        <f>IFERROR(E674*C674,0)</f>
      </c>
      <c r="M674" s="29">
        <f>IFERROR((G674*H674*I674/1000000)*D674,0)</f>
      </c>
    </row>
    <row r="675" spans="1:13" x14ac:dyDescent="0.25">
      <c r="A675" s="16"/>
      <c r="E675" s="27"/>
      <c r="F675" t="s">
        <v>26</v>
      </c>
      <c r="G675" s="28">
        <f>IFERROR(VLOOKUP(F675,CARTON_LOOKUP!$A:$E,3,0),"")</f>
      </c>
      <c r="H675" s="28">
        <f>IFERROR(VLOOKUP(F675,CARTON_LOOKUP!$A:$E,4,0),"")</f>
      </c>
      <c r="I675" s="28">
        <f>IFERROR(VLOOKUP(F675,CARTON_LOOKUP!$A:$E,5,0),"")</f>
      </c>
      <c r="J675" s="29">
        <f>IFERROR(VLOOKUP(F675,CARTON_LOOKUP!$A:$E,2,0),"")</f>
      </c>
      <c r="K675" s="29">
        <f>IFERROR(J675*D675,0)</f>
      </c>
      <c r="L675" s="29">
        <f>IFERROR(E675*C675,0)</f>
      </c>
      <c r="M675" s="29">
        <f>IFERROR((G675*H675*I675/1000000)*D675,0)</f>
      </c>
    </row>
    <row r="676" spans="1:13" x14ac:dyDescent="0.25">
      <c r="A676" s="16"/>
      <c r="E676" s="27"/>
      <c r="F676" t="s">
        <v>26</v>
      </c>
      <c r="G676" s="28">
        <f>IFERROR(VLOOKUP(F676,CARTON_LOOKUP!$A:$E,3,0),"")</f>
      </c>
      <c r="H676" s="28">
        <f>IFERROR(VLOOKUP(F676,CARTON_LOOKUP!$A:$E,4,0),"")</f>
      </c>
      <c r="I676" s="28">
        <f>IFERROR(VLOOKUP(F676,CARTON_LOOKUP!$A:$E,5,0),"")</f>
      </c>
      <c r="J676" s="29">
        <f>IFERROR(VLOOKUP(F676,CARTON_LOOKUP!$A:$E,2,0),"")</f>
      </c>
      <c r="K676" s="29">
        <f>IFERROR(J676*D676,0)</f>
      </c>
      <c r="L676" s="29">
        <f>IFERROR(E676*C676,0)</f>
      </c>
      <c r="M676" s="29">
        <f>IFERROR((G676*H676*I676/1000000)*D676,0)</f>
      </c>
    </row>
    <row r="677" spans="1:13" x14ac:dyDescent="0.25">
      <c r="A677" s="16"/>
      <c r="E677" s="27"/>
      <c r="F677" t="s">
        <v>26</v>
      </c>
      <c r="G677" s="28">
        <f>IFERROR(VLOOKUP(F677,CARTON_LOOKUP!$A:$E,3,0),"")</f>
      </c>
      <c r="H677" s="28">
        <f>IFERROR(VLOOKUP(F677,CARTON_LOOKUP!$A:$E,4,0),"")</f>
      </c>
      <c r="I677" s="28">
        <f>IFERROR(VLOOKUP(F677,CARTON_LOOKUP!$A:$E,5,0),"")</f>
      </c>
      <c r="J677" s="29">
        <f>IFERROR(VLOOKUP(F677,CARTON_LOOKUP!$A:$E,2,0),"")</f>
      </c>
      <c r="K677" s="29">
        <f>IFERROR(J677*D677,0)</f>
      </c>
      <c r="L677" s="29">
        <f>IFERROR(E677*C677,0)</f>
      </c>
      <c r="M677" s="29">
        <f>IFERROR((G677*H677*I677/1000000)*D677,0)</f>
      </c>
    </row>
    <row r="678" spans="1:13" x14ac:dyDescent="0.25">
      <c r="A678" s="16"/>
      <c r="E678" s="27"/>
      <c r="F678" t="s">
        <v>26</v>
      </c>
      <c r="G678" s="28">
        <f>IFERROR(VLOOKUP(F678,CARTON_LOOKUP!$A:$E,3,0),"")</f>
      </c>
      <c r="H678" s="28">
        <f>IFERROR(VLOOKUP(F678,CARTON_LOOKUP!$A:$E,4,0),"")</f>
      </c>
      <c r="I678" s="28">
        <f>IFERROR(VLOOKUP(F678,CARTON_LOOKUP!$A:$E,5,0),"")</f>
      </c>
      <c r="J678" s="29">
        <f>IFERROR(VLOOKUP(F678,CARTON_LOOKUP!$A:$E,2,0),"")</f>
      </c>
      <c r="K678" s="29">
        <f>IFERROR(J678*D678,0)</f>
      </c>
      <c r="L678" s="29">
        <f>IFERROR(E678*C678,0)</f>
      </c>
      <c r="M678" s="29">
        <f>IFERROR((G678*H678*I678/1000000)*D678,0)</f>
      </c>
    </row>
    <row r="679" spans="1:13" x14ac:dyDescent="0.25">
      <c r="A679" s="16"/>
      <c r="E679" s="27"/>
      <c r="F679" t="s">
        <v>26</v>
      </c>
      <c r="G679" s="28">
        <f>IFERROR(VLOOKUP(F679,CARTON_LOOKUP!$A:$E,3,0),"")</f>
      </c>
      <c r="H679" s="28">
        <f>IFERROR(VLOOKUP(F679,CARTON_LOOKUP!$A:$E,4,0),"")</f>
      </c>
      <c r="I679" s="28">
        <f>IFERROR(VLOOKUP(F679,CARTON_LOOKUP!$A:$E,5,0),"")</f>
      </c>
      <c r="J679" s="29">
        <f>IFERROR(VLOOKUP(F679,CARTON_LOOKUP!$A:$E,2,0),"")</f>
      </c>
      <c r="K679" s="29">
        <f>IFERROR(J679*D679,0)</f>
      </c>
      <c r="L679" s="29">
        <f>IFERROR(E679*C679,0)</f>
      </c>
      <c r="M679" s="29">
        <f>IFERROR((G679*H679*I679/1000000)*D679,0)</f>
      </c>
    </row>
    <row r="680" spans="1:13" x14ac:dyDescent="0.25">
      <c r="A680" s="16"/>
      <c r="E680" s="27"/>
      <c r="F680" t="s">
        <v>26</v>
      </c>
      <c r="G680" s="28">
        <f>IFERROR(VLOOKUP(F680,CARTON_LOOKUP!$A:$E,3,0),"")</f>
      </c>
      <c r="H680" s="28">
        <f>IFERROR(VLOOKUP(F680,CARTON_LOOKUP!$A:$E,4,0),"")</f>
      </c>
      <c r="I680" s="28">
        <f>IFERROR(VLOOKUP(F680,CARTON_LOOKUP!$A:$E,5,0),"")</f>
      </c>
      <c r="J680" s="29">
        <f>IFERROR(VLOOKUP(F680,CARTON_LOOKUP!$A:$E,2,0),"")</f>
      </c>
      <c r="K680" s="29">
        <f>IFERROR(J680*D680,0)</f>
      </c>
      <c r="L680" s="29">
        <f>IFERROR(E680*C680,0)</f>
      </c>
      <c r="M680" s="29">
        <f>IFERROR((G680*H680*I680/1000000)*D680,0)</f>
      </c>
    </row>
    <row r="681" spans="1:13" x14ac:dyDescent="0.25">
      <c r="A681" s="16"/>
      <c r="E681" s="27"/>
      <c r="F681" t="s">
        <v>26</v>
      </c>
      <c r="G681" s="28">
        <f>IFERROR(VLOOKUP(F681,CARTON_LOOKUP!$A:$E,3,0),"")</f>
      </c>
      <c r="H681" s="28">
        <f>IFERROR(VLOOKUP(F681,CARTON_LOOKUP!$A:$E,4,0),"")</f>
      </c>
      <c r="I681" s="28">
        <f>IFERROR(VLOOKUP(F681,CARTON_LOOKUP!$A:$E,5,0),"")</f>
      </c>
      <c r="J681" s="29">
        <f>IFERROR(VLOOKUP(F681,CARTON_LOOKUP!$A:$E,2,0),"")</f>
      </c>
      <c r="K681" s="29">
        <f>IFERROR(J681*D681,0)</f>
      </c>
      <c r="L681" s="29">
        <f>IFERROR(E681*C681,0)</f>
      </c>
      <c r="M681" s="29">
        <f>IFERROR((G681*H681*I681/1000000)*D681,0)</f>
      </c>
    </row>
    <row r="682" spans="1:13" x14ac:dyDescent="0.25">
      <c r="A682" s="16"/>
      <c r="E682" s="27"/>
      <c r="F682" t="s">
        <v>26</v>
      </c>
      <c r="G682" s="28">
        <f>IFERROR(VLOOKUP(F682,CARTON_LOOKUP!$A:$E,3,0),"")</f>
      </c>
      <c r="H682" s="28">
        <f>IFERROR(VLOOKUP(F682,CARTON_LOOKUP!$A:$E,4,0),"")</f>
      </c>
      <c r="I682" s="28">
        <f>IFERROR(VLOOKUP(F682,CARTON_LOOKUP!$A:$E,5,0),"")</f>
      </c>
      <c r="J682" s="29">
        <f>IFERROR(VLOOKUP(F682,CARTON_LOOKUP!$A:$E,2,0),"")</f>
      </c>
      <c r="K682" s="29">
        <f>IFERROR(J682*D682,0)</f>
      </c>
      <c r="L682" s="29">
        <f>IFERROR(E682*C682,0)</f>
      </c>
      <c r="M682" s="29">
        <f>IFERROR((G682*H682*I682/1000000)*D682,0)</f>
      </c>
    </row>
    <row r="683" spans="1:13" x14ac:dyDescent="0.25">
      <c r="A683" s="16"/>
      <c r="E683" s="27"/>
      <c r="F683" t="s">
        <v>26</v>
      </c>
      <c r="G683" s="28">
        <f>IFERROR(VLOOKUP(F683,CARTON_LOOKUP!$A:$E,3,0),"")</f>
      </c>
      <c r="H683" s="28">
        <f>IFERROR(VLOOKUP(F683,CARTON_LOOKUP!$A:$E,4,0),"")</f>
      </c>
      <c r="I683" s="28">
        <f>IFERROR(VLOOKUP(F683,CARTON_LOOKUP!$A:$E,5,0),"")</f>
      </c>
      <c r="J683" s="29">
        <f>IFERROR(VLOOKUP(F683,CARTON_LOOKUP!$A:$E,2,0),"")</f>
      </c>
      <c r="K683" s="29">
        <f>IFERROR(J683*D683,0)</f>
      </c>
      <c r="L683" s="29">
        <f>IFERROR(E683*C683,0)</f>
      </c>
      <c r="M683" s="29">
        <f>IFERROR((G683*H683*I683/1000000)*D683,0)</f>
      </c>
    </row>
    <row r="684" spans="1:13" x14ac:dyDescent="0.25">
      <c r="A684" s="16"/>
      <c r="E684" s="27"/>
      <c r="F684" t="s">
        <v>26</v>
      </c>
      <c r="G684" s="28">
        <f>IFERROR(VLOOKUP(F684,CARTON_LOOKUP!$A:$E,3,0),"")</f>
      </c>
      <c r="H684" s="28">
        <f>IFERROR(VLOOKUP(F684,CARTON_LOOKUP!$A:$E,4,0),"")</f>
      </c>
      <c r="I684" s="28">
        <f>IFERROR(VLOOKUP(F684,CARTON_LOOKUP!$A:$E,5,0),"")</f>
      </c>
      <c r="J684" s="29">
        <f>IFERROR(VLOOKUP(F684,CARTON_LOOKUP!$A:$E,2,0),"")</f>
      </c>
      <c r="K684" s="29">
        <f>IFERROR(J684*D684,0)</f>
      </c>
      <c r="L684" s="29">
        <f>IFERROR(E684*C684,0)</f>
      </c>
      <c r="M684" s="29">
        <f>IFERROR((G684*H684*I684/1000000)*D684,0)</f>
      </c>
    </row>
    <row r="685" spans="1:13" x14ac:dyDescent="0.25">
      <c r="A685" s="16"/>
      <c r="E685" s="27"/>
      <c r="F685" t="s">
        <v>26</v>
      </c>
      <c r="G685" s="28">
        <f>IFERROR(VLOOKUP(F685,CARTON_LOOKUP!$A:$E,3,0),"")</f>
      </c>
      <c r="H685" s="28">
        <f>IFERROR(VLOOKUP(F685,CARTON_LOOKUP!$A:$E,4,0),"")</f>
      </c>
      <c r="I685" s="28">
        <f>IFERROR(VLOOKUP(F685,CARTON_LOOKUP!$A:$E,5,0),"")</f>
      </c>
      <c r="J685" s="29">
        <f>IFERROR(VLOOKUP(F685,CARTON_LOOKUP!$A:$E,2,0),"")</f>
      </c>
      <c r="K685" s="29">
        <f>IFERROR(J685*D685,0)</f>
      </c>
      <c r="L685" s="29">
        <f>IFERROR(E685*C685,0)</f>
      </c>
      <c r="M685" s="29">
        <f>IFERROR((G685*H685*I685/1000000)*D685,0)</f>
      </c>
    </row>
    <row r="686" spans="1:13" x14ac:dyDescent="0.25">
      <c r="A686" s="16"/>
      <c r="E686" s="27"/>
      <c r="F686" t="s">
        <v>26</v>
      </c>
      <c r="G686" s="28">
        <f>IFERROR(VLOOKUP(F686,CARTON_LOOKUP!$A:$E,3,0),"")</f>
      </c>
      <c r="H686" s="28">
        <f>IFERROR(VLOOKUP(F686,CARTON_LOOKUP!$A:$E,4,0),"")</f>
      </c>
      <c r="I686" s="28">
        <f>IFERROR(VLOOKUP(F686,CARTON_LOOKUP!$A:$E,5,0),"")</f>
      </c>
      <c r="J686" s="29">
        <f>IFERROR(VLOOKUP(F686,CARTON_LOOKUP!$A:$E,2,0),"")</f>
      </c>
      <c r="K686" s="29">
        <f>IFERROR(J686*D686,0)</f>
      </c>
      <c r="L686" s="29">
        <f>IFERROR(E686*C686,0)</f>
      </c>
      <c r="M686" s="29">
        <f>IFERROR((G686*H686*I686/1000000)*D686,0)</f>
      </c>
    </row>
    <row r="687" spans="1:13" x14ac:dyDescent="0.25">
      <c r="A687" s="16"/>
      <c r="E687" s="27"/>
      <c r="F687" t="s">
        <v>26</v>
      </c>
      <c r="G687" s="28">
        <f>IFERROR(VLOOKUP(F687,CARTON_LOOKUP!$A:$E,3,0),"")</f>
      </c>
      <c r="H687" s="28">
        <f>IFERROR(VLOOKUP(F687,CARTON_LOOKUP!$A:$E,4,0),"")</f>
      </c>
      <c r="I687" s="28">
        <f>IFERROR(VLOOKUP(F687,CARTON_LOOKUP!$A:$E,5,0),"")</f>
      </c>
      <c r="J687" s="29">
        <f>IFERROR(VLOOKUP(F687,CARTON_LOOKUP!$A:$E,2,0),"")</f>
      </c>
      <c r="K687" s="29">
        <f>IFERROR(J687*D687,0)</f>
      </c>
      <c r="L687" s="29">
        <f>IFERROR(E687*C687,0)</f>
      </c>
      <c r="M687" s="29">
        <f>IFERROR((G687*H687*I687/1000000)*D687,0)</f>
      </c>
    </row>
    <row r="688" spans="1:13" x14ac:dyDescent="0.25">
      <c r="A688" s="16"/>
      <c r="E688" s="27"/>
      <c r="F688" t="s">
        <v>26</v>
      </c>
      <c r="G688" s="28">
        <f>IFERROR(VLOOKUP(F688,CARTON_LOOKUP!$A:$E,3,0),"")</f>
      </c>
      <c r="H688" s="28">
        <f>IFERROR(VLOOKUP(F688,CARTON_LOOKUP!$A:$E,4,0),"")</f>
      </c>
      <c r="I688" s="28">
        <f>IFERROR(VLOOKUP(F688,CARTON_LOOKUP!$A:$E,5,0),"")</f>
      </c>
      <c r="J688" s="29">
        <f>IFERROR(VLOOKUP(F688,CARTON_LOOKUP!$A:$E,2,0),"")</f>
      </c>
      <c r="K688" s="29">
        <f>IFERROR(J688*D688,0)</f>
      </c>
      <c r="L688" s="29">
        <f>IFERROR(E688*C688,0)</f>
      </c>
      <c r="M688" s="29">
        <f>IFERROR((G688*H688*I688/1000000)*D688,0)</f>
      </c>
    </row>
    <row r="689" spans="1:13" x14ac:dyDescent="0.25">
      <c r="A689" s="16"/>
      <c r="E689" s="27"/>
      <c r="F689" t="s">
        <v>26</v>
      </c>
      <c r="G689" s="28">
        <f>IFERROR(VLOOKUP(F689,CARTON_LOOKUP!$A:$E,3,0),"")</f>
      </c>
      <c r="H689" s="28">
        <f>IFERROR(VLOOKUP(F689,CARTON_LOOKUP!$A:$E,4,0),"")</f>
      </c>
      <c r="I689" s="28">
        <f>IFERROR(VLOOKUP(F689,CARTON_LOOKUP!$A:$E,5,0),"")</f>
      </c>
      <c r="J689" s="29">
        <f>IFERROR(VLOOKUP(F689,CARTON_LOOKUP!$A:$E,2,0),"")</f>
      </c>
      <c r="K689" s="29">
        <f>IFERROR(J689*D689,0)</f>
      </c>
      <c r="L689" s="29">
        <f>IFERROR(E689*C689,0)</f>
      </c>
      <c r="M689" s="29">
        <f>IFERROR((G689*H689*I689/1000000)*D689,0)</f>
      </c>
    </row>
    <row r="690" spans="1:13" x14ac:dyDescent="0.25">
      <c r="A690" s="16"/>
      <c r="E690" s="27"/>
      <c r="F690" t="s">
        <v>26</v>
      </c>
      <c r="G690" s="28">
        <f>IFERROR(VLOOKUP(F690,CARTON_LOOKUP!$A:$E,3,0),"")</f>
      </c>
      <c r="H690" s="28">
        <f>IFERROR(VLOOKUP(F690,CARTON_LOOKUP!$A:$E,4,0),"")</f>
      </c>
      <c r="I690" s="28">
        <f>IFERROR(VLOOKUP(F690,CARTON_LOOKUP!$A:$E,5,0),"")</f>
      </c>
      <c r="J690" s="29">
        <f>IFERROR(VLOOKUP(F690,CARTON_LOOKUP!$A:$E,2,0),"")</f>
      </c>
      <c r="K690" s="29">
        <f>IFERROR(J690*D690,0)</f>
      </c>
      <c r="L690" s="29">
        <f>IFERROR(E690*C690,0)</f>
      </c>
      <c r="M690" s="29">
        <f>IFERROR((G690*H690*I690/1000000)*D690,0)</f>
      </c>
    </row>
    <row r="691" spans="1:13" x14ac:dyDescent="0.25">
      <c r="A691" s="16"/>
      <c r="E691" s="27"/>
      <c r="F691" t="s">
        <v>26</v>
      </c>
      <c r="G691" s="28">
        <f>IFERROR(VLOOKUP(F691,CARTON_LOOKUP!$A:$E,3,0),"")</f>
      </c>
      <c r="H691" s="28">
        <f>IFERROR(VLOOKUP(F691,CARTON_LOOKUP!$A:$E,4,0),"")</f>
      </c>
      <c r="I691" s="28">
        <f>IFERROR(VLOOKUP(F691,CARTON_LOOKUP!$A:$E,5,0),"")</f>
      </c>
      <c r="J691" s="29">
        <f>IFERROR(VLOOKUP(F691,CARTON_LOOKUP!$A:$E,2,0),"")</f>
      </c>
      <c r="K691" s="29">
        <f>IFERROR(J691*D691,0)</f>
      </c>
      <c r="L691" s="29">
        <f>IFERROR(E691*C691,0)</f>
      </c>
      <c r="M691" s="29">
        <f>IFERROR((G691*H691*I691/1000000)*D691,0)</f>
      </c>
    </row>
    <row r="692" spans="1:13" x14ac:dyDescent="0.25">
      <c r="A692" s="16"/>
      <c r="E692" s="27"/>
      <c r="F692" t="s">
        <v>26</v>
      </c>
      <c r="G692" s="28">
        <f>IFERROR(VLOOKUP(F692,CARTON_LOOKUP!$A:$E,3,0),"")</f>
      </c>
      <c r="H692" s="28">
        <f>IFERROR(VLOOKUP(F692,CARTON_LOOKUP!$A:$E,4,0),"")</f>
      </c>
      <c r="I692" s="28">
        <f>IFERROR(VLOOKUP(F692,CARTON_LOOKUP!$A:$E,5,0),"")</f>
      </c>
      <c r="J692" s="29">
        <f>IFERROR(VLOOKUP(F692,CARTON_LOOKUP!$A:$E,2,0),"")</f>
      </c>
      <c r="K692" s="29">
        <f>IFERROR(J692*D692,0)</f>
      </c>
      <c r="L692" s="29">
        <f>IFERROR(E692*C692,0)</f>
      </c>
      <c r="M692" s="29">
        <f>IFERROR((G692*H692*I692/1000000)*D692,0)</f>
      </c>
    </row>
    <row r="693" spans="1:13" x14ac:dyDescent="0.25">
      <c r="A693" s="16"/>
      <c r="E693" s="27"/>
      <c r="F693" t="s">
        <v>26</v>
      </c>
      <c r="G693" s="28">
        <f>IFERROR(VLOOKUP(F693,CARTON_LOOKUP!$A:$E,3,0),"")</f>
      </c>
      <c r="H693" s="28">
        <f>IFERROR(VLOOKUP(F693,CARTON_LOOKUP!$A:$E,4,0),"")</f>
      </c>
      <c r="I693" s="28">
        <f>IFERROR(VLOOKUP(F693,CARTON_LOOKUP!$A:$E,5,0),"")</f>
      </c>
      <c r="J693" s="29">
        <f>IFERROR(VLOOKUP(F693,CARTON_LOOKUP!$A:$E,2,0),"")</f>
      </c>
      <c r="K693" s="29">
        <f>IFERROR(J693*D693,0)</f>
      </c>
      <c r="L693" s="29">
        <f>IFERROR(E693*C693,0)</f>
      </c>
      <c r="M693" s="29">
        <f>IFERROR((G693*H693*I693/1000000)*D693,0)</f>
      </c>
    </row>
    <row r="694" spans="1:13" x14ac:dyDescent="0.25">
      <c r="A694" s="16"/>
      <c r="E694" s="27"/>
      <c r="F694" t="s">
        <v>26</v>
      </c>
      <c r="G694" s="28">
        <f>IFERROR(VLOOKUP(F694,CARTON_LOOKUP!$A:$E,3,0),"")</f>
      </c>
      <c r="H694" s="28">
        <f>IFERROR(VLOOKUP(F694,CARTON_LOOKUP!$A:$E,4,0),"")</f>
      </c>
      <c r="I694" s="28">
        <f>IFERROR(VLOOKUP(F694,CARTON_LOOKUP!$A:$E,5,0),"")</f>
      </c>
      <c r="J694" s="29">
        <f>IFERROR(VLOOKUP(F694,CARTON_LOOKUP!$A:$E,2,0),"")</f>
      </c>
      <c r="K694" s="29">
        <f>IFERROR(J694*D694,0)</f>
      </c>
      <c r="L694" s="29">
        <f>IFERROR(E694*C694,0)</f>
      </c>
      <c r="M694" s="29">
        <f>IFERROR((G694*H694*I694/1000000)*D694,0)</f>
      </c>
    </row>
    <row r="695" spans="1:13" x14ac:dyDescent="0.25">
      <c r="A695" s="16"/>
      <c r="E695" s="27"/>
      <c r="F695" t="s">
        <v>26</v>
      </c>
      <c r="G695" s="28">
        <f>IFERROR(VLOOKUP(F695,CARTON_LOOKUP!$A:$E,3,0),"")</f>
      </c>
      <c r="H695" s="28">
        <f>IFERROR(VLOOKUP(F695,CARTON_LOOKUP!$A:$E,4,0),"")</f>
      </c>
      <c r="I695" s="28">
        <f>IFERROR(VLOOKUP(F695,CARTON_LOOKUP!$A:$E,5,0),"")</f>
      </c>
      <c r="J695" s="29">
        <f>IFERROR(VLOOKUP(F695,CARTON_LOOKUP!$A:$E,2,0),"")</f>
      </c>
      <c r="K695" s="29">
        <f>IFERROR(J695*D695,0)</f>
      </c>
      <c r="L695" s="29">
        <f>IFERROR(E695*C695,0)</f>
      </c>
      <c r="M695" s="29">
        <f>IFERROR((G695*H695*I695/1000000)*D695,0)</f>
      </c>
    </row>
    <row r="696" spans="1:13" x14ac:dyDescent="0.25">
      <c r="A696" s="16"/>
      <c r="E696" s="27"/>
      <c r="F696" t="s">
        <v>26</v>
      </c>
      <c r="G696" s="28">
        <f>IFERROR(VLOOKUP(F696,CARTON_LOOKUP!$A:$E,3,0),"")</f>
      </c>
      <c r="H696" s="28">
        <f>IFERROR(VLOOKUP(F696,CARTON_LOOKUP!$A:$E,4,0),"")</f>
      </c>
      <c r="I696" s="28">
        <f>IFERROR(VLOOKUP(F696,CARTON_LOOKUP!$A:$E,5,0),"")</f>
      </c>
      <c r="J696" s="29">
        <f>IFERROR(VLOOKUP(F696,CARTON_LOOKUP!$A:$E,2,0),"")</f>
      </c>
      <c r="K696" s="29">
        <f>IFERROR(J696*D696,0)</f>
      </c>
      <c r="L696" s="29">
        <f>IFERROR(E696*C696,0)</f>
      </c>
      <c r="M696" s="29">
        <f>IFERROR((G696*H696*I696/1000000)*D696,0)</f>
      </c>
    </row>
    <row r="697" spans="1:13" x14ac:dyDescent="0.25">
      <c r="A697" s="16"/>
      <c r="E697" s="27"/>
      <c r="F697" t="s">
        <v>26</v>
      </c>
      <c r="G697" s="28">
        <f>IFERROR(VLOOKUP(F697,CARTON_LOOKUP!$A:$E,3,0),"")</f>
      </c>
      <c r="H697" s="28">
        <f>IFERROR(VLOOKUP(F697,CARTON_LOOKUP!$A:$E,4,0),"")</f>
      </c>
      <c r="I697" s="28">
        <f>IFERROR(VLOOKUP(F697,CARTON_LOOKUP!$A:$E,5,0),"")</f>
      </c>
      <c r="J697" s="29">
        <f>IFERROR(VLOOKUP(F697,CARTON_LOOKUP!$A:$E,2,0),"")</f>
      </c>
      <c r="K697" s="29">
        <f>IFERROR(J697*D697,0)</f>
      </c>
      <c r="L697" s="29">
        <f>IFERROR(E697*C697,0)</f>
      </c>
      <c r="M697" s="29">
        <f>IFERROR((G697*H697*I697/1000000)*D697,0)</f>
      </c>
    </row>
    <row r="698" spans="1:13" x14ac:dyDescent="0.25">
      <c r="A698" s="16"/>
      <c r="E698" s="27"/>
      <c r="F698" t="s">
        <v>26</v>
      </c>
      <c r="G698" s="28">
        <f>IFERROR(VLOOKUP(F698,CARTON_LOOKUP!$A:$E,3,0),"")</f>
      </c>
      <c r="H698" s="28">
        <f>IFERROR(VLOOKUP(F698,CARTON_LOOKUP!$A:$E,4,0),"")</f>
      </c>
      <c r="I698" s="28">
        <f>IFERROR(VLOOKUP(F698,CARTON_LOOKUP!$A:$E,5,0),"")</f>
      </c>
      <c r="J698" s="29">
        <f>IFERROR(VLOOKUP(F698,CARTON_LOOKUP!$A:$E,2,0),"")</f>
      </c>
      <c r="K698" s="29">
        <f>IFERROR(J698*D698,0)</f>
      </c>
      <c r="L698" s="29">
        <f>IFERROR(E698*C698,0)</f>
      </c>
      <c r="M698" s="29">
        <f>IFERROR((G698*H698*I698/1000000)*D698,0)</f>
      </c>
    </row>
    <row r="699" spans="1:13" x14ac:dyDescent="0.25">
      <c r="A699" s="16"/>
      <c r="E699" s="27"/>
      <c r="F699" t="s">
        <v>26</v>
      </c>
      <c r="G699" s="28">
        <f>IFERROR(VLOOKUP(F699,CARTON_LOOKUP!$A:$E,3,0),"")</f>
      </c>
      <c r="H699" s="28">
        <f>IFERROR(VLOOKUP(F699,CARTON_LOOKUP!$A:$E,4,0),"")</f>
      </c>
      <c r="I699" s="28">
        <f>IFERROR(VLOOKUP(F699,CARTON_LOOKUP!$A:$E,5,0),"")</f>
      </c>
      <c r="J699" s="29">
        <f>IFERROR(VLOOKUP(F699,CARTON_LOOKUP!$A:$E,2,0),"")</f>
      </c>
      <c r="K699" s="29">
        <f>IFERROR(J699*D699,0)</f>
      </c>
      <c r="L699" s="29">
        <f>IFERROR(E699*C699,0)</f>
      </c>
      <c r="M699" s="29">
        <f>IFERROR((G699*H699*I699/1000000)*D699,0)</f>
      </c>
    </row>
    <row r="700" spans="1:13" x14ac:dyDescent="0.25">
      <c r="A700" s="16"/>
      <c r="E700" s="27"/>
      <c r="F700" t="s">
        <v>26</v>
      </c>
      <c r="G700" s="28">
        <f>IFERROR(VLOOKUP(F700,CARTON_LOOKUP!$A:$E,3,0),"")</f>
      </c>
      <c r="H700" s="28">
        <f>IFERROR(VLOOKUP(F700,CARTON_LOOKUP!$A:$E,4,0),"")</f>
      </c>
      <c r="I700" s="28">
        <f>IFERROR(VLOOKUP(F700,CARTON_LOOKUP!$A:$E,5,0),"")</f>
      </c>
      <c r="J700" s="29">
        <f>IFERROR(VLOOKUP(F700,CARTON_LOOKUP!$A:$E,2,0),"")</f>
      </c>
      <c r="K700" s="29">
        <f>IFERROR(J700*D700,0)</f>
      </c>
      <c r="L700" s="29">
        <f>IFERROR(E700*C700,0)</f>
      </c>
      <c r="M700" s="29">
        <f>IFERROR((G700*H700*I700/1000000)*D700,0)</f>
      </c>
    </row>
    <row r="701" spans="1:13" x14ac:dyDescent="0.25">
      <c r="A701" s="16"/>
      <c r="E701" s="27"/>
      <c r="F701" t="s">
        <v>26</v>
      </c>
      <c r="G701" s="28">
        <f>IFERROR(VLOOKUP(F701,CARTON_LOOKUP!$A:$E,3,0),"")</f>
      </c>
      <c r="H701" s="28">
        <f>IFERROR(VLOOKUP(F701,CARTON_LOOKUP!$A:$E,4,0),"")</f>
      </c>
      <c r="I701" s="28">
        <f>IFERROR(VLOOKUP(F701,CARTON_LOOKUP!$A:$E,5,0),"")</f>
      </c>
      <c r="J701" s="29">
        <f>IFERROR(VLOOKUP(F701,CARTON_LOOKUP!$A:$E,2,0),"")</f>
      </c>
      <c r="K701" s="29">
        <f>IFERROR(J701*D701,0)</f>
      </c>
      <c r="L701" s="29">
        <f>IFERROR(E701*C701,0)</f>
      </c>
      <c r="M701" s="29">
        <f>IFERROR((G701*H701*I701/1000000)*D701,0)</f>
      </c>
    </row>
    <row r="702" spans="1:13" x14ac:dyDescent="0.25">
      <c r="A702" s="16"/>
      <c r="E702" s="27"/>
      <c r="F702" t="s">
        <v>26</v>
      </c>
      <c r="G702" s="28">
        <f>IFERROR(VLOOKUP(F702,CARTON_LOOKUP!$A:$E,3,0),"")</f>
      </c>
      <c r="H702" s="28">
        <f>IFERROR(VLOOKUP(F702,CARTON_LOOKUP!$A:$E,4,0),"")</f>
      </c>
      <c r="I702" s="28">
        <f>IFERROR(VLOOKUP(F702,CARTON_LOOKUP!$A:$E,5,0),"")</f>
      </c>
      <c r="J702" s="29">
        <f>IFERROR(VLOOKUP(F702,CARTON_LOOKUP!$A:$E,2,0),"")</f>
      </c>
      <c r="K702" s="29">
        <f>IFERROR(J702*D702,0)</f>
      </c>
      <c r="L702" s="29">
        <f>IFERROR(E702*C702,0)</f>
      </c>
      <c r="M702" s="29">
        <f>IFERROR((G702*H702*I702/1000000)*D702,0)</f>
      </c>
    </row>
    <row r="703" spans="1:13" x14ac:dyDescent="0.25">
      <c r="A703" s="16"/>
      <c r="E703" s="27"/>
      <c r="F703" t="s">
        <v>26</v>
      </c>
      <c r="G703" s="28">
        <f>IFERROR(VLOOKUP(F703,CARTON_LOOKUP!$A:$E,3,0),"")</f>
      </c>
      <c r="H703" s="28">
        <f>IFERROR(VLOOKUP(F703,CARTON_LOOKUP!$A:$E,4,0),"")</f>
      </c>
      <c r="I703" s="28">
        <f>IFERROR(VLOOKUP(F703,CARTON_LOOKUP!$A:$E,5,0),"")</f>
      </c>
      <c r="J703" s="29">
        <f>IFERROR(VLOOKUP(F703,CARTON_LOOKUP!$A:$E,2,0),"")</f>
      </c>
      <c r="K703" s="29">
        <f>IFERROR(J703*D703,0)</f>
      </c>
      <c r="L703" s="29">
        <f>IFERROR(E703*C703,0)</f>
      </c>
      <c r="M703" s="29">
        <f>IFERROR((G703*H703*I703/1000000)*D703,0)</f>
      </c>
    </row>
    <row r="704" spans="1:13" x14ac:dyDescent="0.25">
      <c r="A704" s="16"/>
      <c r="E704" s="27"/>
      <c r="F704" t="s">
        <v>26</v>
      </c>
      <c r="G704" s="28">
        <f>IFERROR(VLOOKUP(F704,CARTON_LOOKUP!$A:$E,3,0),"")</f>
      </c>
      <c r="H704" s="28">
        <f>IFERROR(VLOOKUP(F704,CARTON_LOOKUP!$A:$E,4,0),"")</f>
      </c>
      <c r="I704" s="28">
        <f>IFERROR(VLOOKUP(F704,CARTON_LOOKUP!$A:$E,5,0),"")</f>
      </c>
      <c r="J704" s="29">
        <f>IFERROR(VLOOKUP(F704,CARTON_LOOKUP!$A:$E,2,0),"")</f>
      </c>
      <c r="K704" s="29">
        <f>IFERROR(J704*D704,0)</f>
      </c>
      <c r="L704" s="29">
        <f>IFERROR(E704*C704,0)</f>
      </c>
      <c r="M704" s="29">
        <f>IFERROR((G704*H704*I704/1000000)*D704,0)</f>
      </c>
    </row>
    <row r="705" spans="1:13" x14ac:dyDescent="0.25">
      <c r="A705" s="16"/>
      <c r="E705" s="27"/>
      <c r="F705" t="s">
        <v>26</v>
      </c>
      <c r="G705" s="28">
        <f>IFERROR(VLOOKUP(F705,CARTON_LOOKUP!$A:$E,3,0),"")</f>
      </c>
      <c r="H705" s="28">
        <f>IFERROR(VLOOKUP(F705,CARTON_LOOKUP!$A:$E,4,0),"")</f>
      </c>
      <c r="I705" s="28">
        <f>IFERROR(VLOOKUP(F705,CARTON_LOOKUP!$A:$E,5,0),"")</f>
      </c>
      <c r="J705" s="29">
        <f>IFERROR(VLOOKUP(F705,CARTON_LOOKUP!$A:$E,2,0),"")</f>
      </c>
      <c r="K705" s="29">
        <f>IFERROR(J705*D705,0)</f>
      </c>
      <c r="L705" s="29">
        <f>IFERROR(E705*C705,0)</f>
      </c>
      <c r="M705" s="29">
        <f>IFERROR((G705*H705*I705/1000000)*D705,0)</f>
      </c>
    </row>
    <row r="706" spans="1:13" x14ac:dyDescent="0.25">
      <c r="A706" s="16"/>
      <c r="E706" s="27"/>
      <c r="F706" t="s">
        <v>26</v>
      </c>
      <c r="G706" s="28">
        <f>IFERROR(VLOOKUP(F706,CARTON_LOOKUP!$A:$E,3,0),"")</f>
      </c>
      <c r="H706" s="28">
        <f>IFERROR(VLOOKUP(F706,CARTON_LOOKUP!$A:$E,4,0),"")</f>
      </c>
      <c r="I706" s="28">
        <f>IFERROR(VLOOKUP(F706,CARTON_LOOKUP!$A:$E,5,0),"")</f>
      </c>
      <c r="J706" s="29">
        <f>IFERROR(VLOOKUP(F706,CARTON_LOOKUP!$A:$E,2,0),"")</f>
      </c>
      <c r="K706" s="29">
        <f>IFERROR(J706*D706,0)</f>
      </c>
      <c r="L706" s="29">
        <f>IFERROR(E706*C706,0)</f>
      </c>
      <c r="M706" s="29">
        <f>IFERROR((G706*H706*I706/1000000)*D706,0)</f>
      </c>
    </row>
    <row r="707" spans="1:13" x14ac:dyDescent="0.25">
      <c r="A707" s="16"/>
      <c r="E707" s="27"/>
      <c r="F707" t="s">
        <v>26</v>
      </c>
      <c r="G707" s="28">
        <f>IFERROR(VLOOKUP(F707,CARTON_LOOKUP!$A:$E,3,0),"")</f>
      </c>
      <c r="H707" s="28">
        <f>IFERROR(VLOOKUP(F707,CARTON_LOOKUP!$A:$E,4,0),"")</f>
      </c>
      <c r="I707" s="28">
        <f>IFERROR(VLOOKUP(F707,CARTON_LOOKUP!$A:$E,5,0),"")</f>
      </c>
      <c r="J707" s="29">
        <f>IFERROR(VLOOKUP(F707,CARTON_LOOKUP!$A:$E,2,0),"")</f>
      </c>
      <c r="K707" s="29">
        <f>IFERROR(J707*D707,0)</f>
      </c>
      <c r="L707" s="29">
        <f>IFERROR(E707*C707,0)</f>
      </c>
      <c r="M707" s="29">
        <f>IFERROR((G707*H707*I707/1000000)*D707,0)</f>
      </c>
    </row>
    <row r="708" spans="1:13" x14ac:dyDescent="0.25">
      <c r="A708" s="16"/>
      <c r="E708" s="27"/>
      <c r="F708" t="s">
        <v>26</v>
      </c>
      <c r="G708" s="28">
        <f>IFERROR(VLOOKUP(F708,CARTON_LOOKUP!$A:$E,3,0),"")</f>
      </c>
      <c r="H708" s="28">
        <f>IFERROR(VLOOKUP(F708,CARTON_LOOKUP!$A:$E,4,0),"")</f>
      </c>
      <c r="I708" s="28">
        <f>IFERROR(VLOOKUP(F708,CARTON_LOOKUP!$A:$E,5,0),"")</f>
      </c>
      <c r="J708" s="29">
        <f>IFERROR(VLOOKUP(F708,CARTON_LOOKUP!$A:$E,2,0),"")</f>
      </c>
      <c r="K708" s="29">
        <f>IFERROR(J708*D708,0)</f>
      </c>
      <c r="L708" s="29">
        <f>IFERROR(E708*C708,0)</f>
      </c>
      <c r="M708" s="29">
        <f>IFERROR((G708*H708*I708/1000000)*D708,0)</f>
      </c>
    </row>
    <row r="709" spans="1:13" x14ac:dyDescent="0.25">
      <c r="A709" s="16"/>
      <c r="E709" s="27"/>
      <c r="F709" t="s">
        <v>26</v>
      </c>
      <c r="G709" s="28">
        <f>IFERROR(VLOOKUP(F709,CARTON_LOOKUP!$A:$E,3,0),"")</f>
      </c>
      <c r="H709" s="28">
        <f>IFERROR(VLOOKUP(F709,CARTON_LOOKUP!$A:$E,4,0),"")</f>
      </c>
      <c r="I709" s="28">
        <f>IFERROR(VLOOKUP(F709,CARTON_LOOKUP!$A:$E,5,0),"")</f>
      </c>
      <c r="J709" s="29">
        <f>IFERROR(VLOOKUP(F709,CARTON_LOOKUP!$A:$E,2,0),"")</f>
      </c>
      <c r="K709" s="29">
        <f>IFERROR(J709*D709,0)</f>
      </c>
      <c r="L709" s="29">
        <f>IFERROR(E709*C709,0)</f>
      </c>
      <c r="M709" s="29">
        <f>IFERROR((G709*H709*I709/1000000)*D709,0)</f>
      </c>
    </row>
    <row r="710" spans="1:13" x14ac:dyDescent="0.25">
      <c r="A710" s="16"/>
      <c r="E710" s="27"/>
      <c r="F710" t="s">
        <v>26</v>
      </c>
      <c r="G710" s="28">
        <f>IFERROR(VLOOKUP(F710,CARTON_LOOKUP!$A:$E,3,0),"")</f>
      </c>
      <c r="H710" s="28">
        <f>IFERROR(VLOOKUP(F710,CARTON_LOOKUP!$A:$E,4,0),"")</f>
      </c>
      <c r="I710" s="28">
        <f>IFERROR(VLOOKUP(F710,CARTON_LOOKUP!$A:$E,5,0),"")</f>
      </c>
      <c r="J710" s="29">
        <f>IFERROR(VLOOKUP(F710,CARTON_LOOKUP!$A:$E,2,0),"")</f>
      </c>
      <c r="K710" s="29">
        <f>IFERROR(J710*D710,0)</f>
      </c>
      <c r="L710" s="29">
        <f>IFERROR(E710*C710,0)</f>
      </c>
      <c r="M710" s="29">
        <f>IFERROR((G710*H710*I710/1000000)*D710,0)</f>
      </c>
    </row>
    <row r="711" spans="1:13" x14ac:dyDescent="0.25">
      <c r="A711" s="16"/>
      <c r="E711" s="27"/>
      <c r="F711" t="s">
        <v>26</v>
      </c>
      <c r="G711" s="28">
        <f>IFERROR(VLOOKUP(F711,CARTON_LOOKUP!$A:$E,3,0),"")</f>
      </c>
      <c r="H711" s="28">
        <f>IFERROR(VLOOKUP(F711,CARTON_LOOKUP!$A:$E,4,0),"")</f>
      </c>
      <c r="I711" s="28">
        <f>IFERROR(VLOOKUP(F711,CARTON_LOOKUP!$A:$E,5,0),"")</f>
      </c>
      <c r="J711" s="29">
        <f>IFERROR(VLOOKUP(F711,CARTON_LOOKUP!$A:$E,2,0),"")</f>
      </c>
      <c r="K711" s="29">
        <f>IFERROR(J711*D711,0)</f>
      </c>
      <c r="L711" s="29">
        <f>IFERROR(E711*C711,0)</f>
      </c>
      <c r="M711" s="29">
        <f>IFERROR((G711*H711*I711/1000000)*D711,0)</f>
      </c>
    </row>
    <row r="712" spans="1:13" x14ac:dyDescent="0.25">
      <c r="A712" s="16"/>
      <c r="E712" s="27"/>
      <c r="F712" t="s">
        <v>26</v>
      </c>
      <c r="G712" s="28">
        <f>IFERROR(VLOOKUP(F712,CARTON_LOOKUP!$A:$E,3,0),"")</f>
      </c>
      <c r="H712" s="28">
        <f>IFERROR(VLOOKUP(F712,CARTON_LOOKUP!$A:$E,4,0),"")</f>
      </c>
      <c r="I712" s="28">
        <f>IFERROR(VLOOKUP(F712,CARTON_LOOKUP!$A:$E,5,0),"")</f>
      </c>
      <c r="J712" s="29">
        <f>IFERROR(VLOOKUP(F712,CARTON_LOOKUP!$A:$E,2,0),"")</f>
      </c>
      <c r="K712" s="29">
        <f>IFERROR(J712*D712,0)</f>
      </c>
      <c r="L712" s="29">
        <f>IFERROR(E712*C712,0)</f>
      </c>
      <c r="M712" s="29">
        <f>IFERROR((G712*H712*I712/1000000)*D712,0)</f>
      </c>
    </row>
    <row r="713" spans="1:13" x14ac:dyDescent="0.25">
      <c r="A713" s="16"/>
      <c r="E713" s="27"/>
      <c r="F713" t="s">
        <v>26</v>
      </c>
      <c r="G713" s="28">
        <f>IFERROR(VLOOKUP(F713,CARTON_LOOKUP!$A:$E,3,0),"")</f>
      </c>
      <c r="H713" s="28">
        <f>IFERROR(VLOOKUP(F713,CARTON_LOOKUP!$A:$E,4,0),"")</f>
      </c>
      <c r="I713" s="28">
        <f>IFERROR(VLOOKUP(F713,CARTON_LOOKUP!$A:$E,5,0),"")</f>
      </c>
      <c r="J713" s="29">
        <f>IFERROR(VLOOKUP(F713,CARTON_LOOKUP!$A:$E,2,0),"")</f>
      </c>
      <c r="K713" s="29">
        <f>IFERROR(J713*D713,0)</f>
      </c>
      <c r="L713" s="29">
        <f>IFERROR(E713*C713,0)</f>
      </c>
      <c r="M713" s="29">
        <f>IFERROR((G713*H713*I713/1000000)*D713,0)</f>
      </c>
    </row>
    <row r="714" spans="1:13" x14ac:dyDescent="0.25">
      <c r="A714" s="16"/>
      <c r="E714" s="27"/>
      <c r="F714" t="s">
        <v>26</v>
      </c>
      <c r="G714" s="28">
        <f>IFERROR(VLOOKUP(F714,CARTON_LOOKUP!$A:$E,3,0),"")</f>
      </c>
      <c r="H714" s="28">
        <f>IFERROR(VLOOKUP(F714,CARTON_LOOKUP!$A:$E,4,0),"")</f>
      </c>
      <c r="I714" s="28">
        <f>IFERROR(VLOOKUP(F714,CARTON_LOOKUP!$A:$E,5,0),"")</f>
      </c>
      <c r="J714" s="29">
        <f>IFERROR(VLOOKUP(F714,CARTON_LOOKUP!$A:$E,2,0),"")</f>
      </c>
      <c r="K714" s="29">
        <f>IFERROR(J714*D714,0)</f>
      </c>
      <c r="L714" s="29">
        <f>IFERROR(E714*C714,0)</f>
      </c>
      <c r="M714" s="29">
        <f>IFERROR((G714*H714*I714/1000000)*D714,0)</f>
      </c>
    </row>
    <row r="715" spans="1:13" x14ac:dyDescent="0.25">
      <c r="A715" s="16"/>
      <c r="E715" s="27"/>
      <c r="F715" t="s">
        <v>26</v>
      </c>
      <c r="G715" s="28">
        <f>IFERROR(VLOOKUP(F715,CARTON_LOOKUP!$A:$E,3,0),"")</f>
      </c>
      <c r="H715" s="28">
        <f>IFERROR(VLOOKUP(F715,CARTON_LOOKUP!$A:$E,4,0),"")</f>
      </c>
      <c r="I715" s="28">
        <f>IFERROR(VLOOKUP(F715,CARTON_LOOKUP!$A:$E,5,0),"")</f>
      </c>
      <c r="J715" s="29">
        <f>IFERROR(VLOOKUP(F715,CARTON_LOOKUP!$A:$E,2,0),"")</f>
      </c>
      <c r="K715" s="29">
        <f>IFERROR(J715*D715,0)</f>
      </c>
      <c r="L715" s="29">
        <f>IFERROR(E715*C715,0)</f>
      </c>
      <c r="M715" s="29">
        <f>IFERROR((G715*H715*I715/1000000)*D715,0)</f>
      </c>
    </row>
    <row r="716" spans="1:13" x14ac:dyDescent="0.25">
      <c r="A716" s="16"/>
      <c r="E716" s="27"/>
      <c r="F716" t="s">
        <v>26</v>
      </c>
      <c r="G716" s="28">
        <f>IFERROR(VLOOKUP(F716,CARTON_LOOKUP!$A:$E,3,0),"")</f>
      </c>
      <c r="H716" s="28">
        <f>IFERROR(VLOOKUP(F716,CARTON_LOOKUP!$A:$E,4,0),"")</f>
      </c>
      <c r="I716" s="28">
        <f>IFERROR(VLOOKUP(F716,CARTON_LOOKUP!$A:$E,5,0),"")</f>
      </c>
      <c r="J716" s="29">
        <f>IFERROR(VLOOKUP(F716,CARTON_LOOKUP!$A:$E,2,0),"")</f>
      </c>
      <c r="K716" s="29">
        <f>IFERROR(J716*D716,0)</f>
      </c>
      <c r="L716" s="29">
        <f>IFERROR(E716*C716,0)</f>
      </c>
      <c r="M716" s="29">
        <f>IFERROR((G716*H716*I716/1000000)*D716,0)</f>
      </c>
    </row>
    <row r="717" spans="1:13" x14ac:dyDescent="0.25">
      <c r="A717" s="16"/>
      <c r="E717" s="27"/>
      <c r="F717" t="s">
        <v>26</v>
      </c>
      <c r="G717" s="28">
        <f>IFERROR(VLOOKUP(F717,CARTON_LOOKUP!$A:$E,3,0),"")</f>
      </c>
      <c r="H717" s="28">
        <f>IFERROR(VLOOKUP(F717,CARTON_LOOKUP!$A:$E,4,0),"")</f>
      </c>
      <c r="I717" s="28">
        <f>IFERROR(VLOOKUP(F717,CARTON_LOOKUP!$A:$E,5,0),"")</f>
      </c>
      <c r="J717" s="29">
        <f>IFERROR(VLOOKUP(F717,CARTON_LOOKUP!$A:$E,2,0),"")</f>
      </c>
      <c r="K717" s="29">
        <f>IFERROR(J717*D717,0)</f>
      </c>
      <c r="L717" s="29">
        <f>IFERROR(E717*C717,0)</f>
      </c>
      <c r="M717" s="29">
        <f>IFERROR((G717*H717*I717/1000000)*D717,0)</f>
      </c>
    </row>
    <row r="718" spans="1:13" x14ac:dyDescent="0.25">
      <c r="A718" s="16"/>
      <c r="E718" s="27"/>
      <c r="F718" t="s">
        <v>26</v>
      </c>
      <c r="G718" s="28">
        <f>IFERROR(VLOOKUP(F718,CARTON_LOOKUP!$A:$E,3,0),"")</f>
      </c>
      <c r="H718" s="28">
        <f>IFERROR(VLOOKUP(F718,CARTON_LOOKUP!$A:$E,4,0),"")</f>
      </c>
      <c r="I718" s="28">
        <f>IFERROR(VLOOKUP(F718,CARTON_LOOKUP!$A:$E,5,0),"")</f>
      </c>
      <c r="J718" s="29">
        <f>IFERROR(VLOOKUP(F718,CARTON_LOOKUP!$A:$E,2,0),"")</f>
      </c>
      <c r="K718" s="29">
        <f>IFERROR(J718*D718,0)</f>
      </c>
      <c r="L718" s="29">
        <f>IFERROR(E718*C718,0)</f>
      </c>
      <c r="M718" s="29">
        <f>IFERROR((G718*H718*I718/1000000)*D718,0)</f>
      </c>
    </row>
    <row r="719" spans="1:13" x14ac:dyDescent="0.25">
      <c r="A719" s="16"/>
      <c r="E719" s="27"/>
      <c r="F719" t="s">
        <v>26</v>
      </c>
      <c r="G719" s="28">
        <f>IFERROR(VLOOKUP(F719,CARTON_LOOKUP!$A:$E,3,0),"")</f>
      </c>
      <c r="H719" s="28">
        <f>IFERROR(VLOOKUP(F719,CARTON_LOOKUP!$A:$E,4,0),"")</f>
      </c>
      <c r="I719" s="28">
        <f>IFERROR(VLOOKUP(F719,CARTON_LOOKUP!$A:$E,5,0),"")</f>
      </c>
      <c r="J719" s="29">
        <f>IFERROR(VLOOKUP(F719,CARTON_LOOKUP!$A:$E,2,0),"")</f>
      </c>
      <c r="K719" s="29">
        <f>IFERROR(J719*D719,0)</f>
      </c>
      <c r="L719" s="29">
        <f>IFERROR(E719*C719,0)</f>
      </c>
      <c r="M719" s="29">
        <f>IFERROR((G719*H719*I719/1000000)*D719,0)</f>
      </c>
    </row>
    <row r="720" spans="1:13" x14ac:dyDescent="0.25">
      <c r="A720" s="16"/>
      <c r="E720" s="27"/>
      <c r="F720" t="s">
        <v>26</v>
      </c>
      <c r="G720" s="28">
        <f>IFERROR(VLOOKUP(F720,CARTON_LOOKUP!$A:$E,3,0),"")</f>
      </c>
      <c r="H720" s="28">
        <f>IFERROR(VLOOKUP(F720,CARTON_LOOKUP!$A:$E,4,0),"")</f>
      </c>
      <c r="I720" s="28">
        <f>IFERROR(VLOOKUP(F720,CARTON_LOOKUP!$A:$E,5,0),"")</f>
      </c>
      <c r="J720" s="29">
        <f>IFERROR(VLOOKUP(F720,CARTON_LOOKUP!$A:$E,2,0),"")</f>
      </c>
      <c r="K720" s="29">
        <f>IFERROR(J720*D720,0)</f>
      </c>
      <c r="L720" s="29">
        <f>IFERROR(E720*C720,0)</f>
      </c>
      <c r="M720" s="29">
        <f>IFERROR((G720*H720*I720/1000000)*D720,0)</f>
      </c>
    </row>
    <row r="721" spans="1:13" x14ac:dyDescent="0.25">
      <c r="A721" s="16"/>
      <c r="E721" s="27"/>
      <c r="F721" t="s">
        <v>26</v>
      </c>
      <c r="G721" s="28">
        <f>IFERROR(VLOOKUP(F721,CARTON_LOOKUP!$A:$E,3,0),"")</f>
      </c>
      <c r="H721" s="28">
        <f>IFERROR(VLOOKUP(F721,CARTON_LOOKUP!$A:$E,4,0),"")</f>
      </c>
      <c r="I721" s="28">
        <f>IFERROR(VLOOKUP(F721,CARTON_LOOKUP!$A:$E,5,0),"")</f>
      </c>
      <c r="J721" s="29">
        <f>IFERROR(VLOOKUP(F721,CARTON_LOOKUP!$A:$E,2,0),"")</f>
      </c>
      <c r="K721" s="29">
        <f>IFERROR(J721*D721,0)</f>
      </c>
      <c r="L721" s="29">
        <f>IFERROR(E721*C721,0)</f>
      </c>
      <c r="M721" s="29">
        <f>IFERROR((G721*H721*I721/1000000)*D721,0)</f>
      </c>
    </row>
    <row r="722" spans="1:13" x14ac:dyDescent="0.25">
      <c r="A722" s="16"/>
      <c r="E722" s="27"/>
      <c r="F722" t="s">
        <v>26</v>
      </c>
      <c r="G722" s="28">
        <f>IFERROR(VLOOKUP(F722,CARTON_LOOKUP!$A:$E,3,0),"")</f>
      </c>
      <c r="H722" s="28">
        <f>IFERROR(VLOOKUP(F722,CARTON_LOOKUP!$A:$E,4,0),"")</f>
      </c>
      <c r="I722" s="28">
        <f>IFERROR(VLOOKUP(F722,CARTON_LOOKUP!$A:$E,5,0),"")</f>
      </c>
      <c r="J722" s="29">
        <f>IFERROR(VLOOKUP(F722,CARTON_LOOKUP!$A:$E,2,0),"")</f>
      </c>
      <c r="K722" s="29">
        <f>IFERROR(J722*D722,0)</f>
      </c>
      <c r="L722" s="29">
        <f>IFERROR(E722*C722,0)</f>
      </c>
      <c r="M722" s="29">
        <f>IFERROR((G722*H722*I722/1000000)*D722,0)</f>
      </c>
    </row>
    <row r="723" spans="1:13" x14ac:dyDescent="0.25">
      <c r="A723" s="16"/>
      <c r="E723" s="27"/>
      <c r="F723" t="s">
        <v>26</v>
      </c>
      <c r="G723" s="28">
        <f>IFERROR(VLOOKUP(F723,CARTON_LOOKUP!$A:$E,3,0),"")</f>
      </c>
      <c r="H723" s="28">
        <f>IFERROR(VLOOKUP(F723,CARTON_LOOKUP!$A:$E,4,0),"")</f>
      </c>
      <c r="I723" s="28">
        <f>IFERROR(VLOOKUP(F723,CARTON_LOOKUP!$A:$E,5,0),"")</f>
      </c>
      <c r="J723" s="29">
        <f>IFERROR(VLOOKUP(F723,CARTON_LOOKUP!$A:$E,2,0),"")</f>
      </c>
      <c r="K723" s="29">
        <f>IFERROR(J723*D723,0)</f>
      </c>
      <c r="L723" s="29">
        <f>IFERROR(E723*C723,0)</f>
      </c>
      <c r="M723" s="29">
        <f>IFERROR((G723*H723*I723/1000000)*D723,0)</f>
      </c>
    </row>
    <row r="724" spans="1:13" x14ac:dyDescent="0.25">
      <c r="A724" s="16"/>
      <c r="E724" s="27"/>
      <c r="F724" t="s">
        <v>26</v>
      </c>
      <c r="G724" s="28">
        <f>IFERROR(VLOOKUP(F724,CARTON_LOOKUP!$A:$E,3,0),"")</f>
      </c>
      <c r="H724" s="28">
        <f>IFERROR(VLOOKUP(F724,CARTON_LOOKUP!$A:$E,4,0),"")</f>
      </c>
      <c r="I724" s="28">
        <f>IFERROR(VLOOKUP(F724,CARTON_LOOKUP!$A:$E,5,0),"")</f>
      </c>
      <c r="J724" s="29">
        <f>IFERROR(VLOOKUP(F724,CARTON_LOOKUP!$A:$E,2,0),"")</f>
      </c>
      <c r="K724" s="29">
        <f>IFERROR(J724*D724,0)</f>
      </c>
      <c r="L724" s="29">
        <f>IFERROR(E724*C724,0)</f>
      </c>
      <c r="M724" s="29">
        <f>IFERROR((G724*H724*I724/1000000)*D724,0)</f>
      </c>
    </row>
    <row r="725" spans="1:13" x14ac:dyDescent="0.25">
      <c r="A725" s="16"/>
      <c r="E725" s="27"/>
      <c r="F725" t="s">
        <v>26</v>
      </c>
      <c r="G725" s="28">
        <f>IFERROR(VLOOKUP(F725,CARTON_LOOKUP!$A:$E,3,0),"")</f>
      </c>
      <c r="H725" s="28">
        <f>IFERROR(VLOOKUP(F725,CARTON_LOOKUP!$A:$E,4,0),"")</f>
      </c>
      <c r="I725" s="28">
        <f>IFERROR(VLOOKUP(F725,CARTON_LOOKUP!$A:$E,5,0),"")</f>
      </c>
      <c r="J725" s="29">
        <f>IFERROR(VLOOKUP(F725,CARTON_LOOKUP!$A:$E,2,0),"")</f>
      </c>
      <c r="K725" s="29">
        <f>IFERROR(J725*D725,0)</f>
      </c>
      <c r="L725" s="29">
        <f>IFERROR(E725*C725,0)</f>
      </c>
      <c r="M725" s="29">
        <f>IFERROR((G725*H725*I725/1000000)*D725,0)</f>
      </c>
    </row>
    <row r="726" spans="1:13" x14ac:dyDescent="0.25">
      <c r="A726" s="16"/>
      <c r="E726" s="27"/>
      <c r="F726" t="s">
        <v>26</v>
      </c>
      <c r="G726" s="28">
        <f>IFERROR(VLOOKUP(F726,CARTON_LOOKUP!$A:$E,3,0),"")</f>
      </c>
      <c r="H726" s="28">
        <f>IFERROR(VLOOKUP(F726,CARTON_LOOKUP!$A:$E,4,0),"")</f>
      </c>
      <c r="I726" s="28">
        <f>IFERROR(VLOOKUP(F726,CARTON_LOOKUP!$A:$E,5,0),"")</f>
      </c>
      <c r="J726" s="29">
        <f>IFERROR(VLOOKUP(F726,CARTON_LOOKUP!$A:$E,2,0),"")</f>
      </c>
      <c r="K726" s="29">
        <f>IFERROR(J726*D726,0)</f>
      </c>
      <c r="L726" s="29">
        <f>IFERROR(E726*C726,0)</f>
      </c>
      <c r="M726" s="29">
        <f>IFERROR((G726*H726*I726/1000000)*D726,0)</f>
      </c>
    </row>
    <row r="727" spans="1:13" x14ac:dyDescent="0.25">
      <c r="A727" s="16"/>
      <c r="E727" s="27"/>
      <c r="F727" t="s">
        <v>26</v>
      </c>
      <c r="G727" s="28">
        <f>IFERROR(VLOOKUP(F727,CARTON_LOOKUP!$A:$E,3,0),"")</f>
      </c>
      <c r="H727" s="28">
        <f>IFERROR(VLOOKUP(F727,CARTON_LOOKUP!$A:$E,4,0),"")</f>
      </c>
      <c r="I727" s="28">
        <f>IFERROR(VLOOKUP(F727,CARTON_LOOKUP!$A:$E,5,0),"")</f>
      </c>
      <c r="J727" s="29">
        <f>IFERROR(VLOOKUP(F727,CARTON_LOOKUP!$A:$E,2,0),"")</f>
      </c>
      <c r="K727" s="29">
        <f>IFERROR(J727*D727,0)</f>
      </c>
      <c r="L727" s="29">
        <f>IFERROR(E727*C727,0)</f>
      </c>
      <c r="M727" s="29">
        <f>IFERROR((G727*H727*I727/1000000)*D727,0)</f>
      </c>
    </row>
    <row r="728" spans="1:13" x14ac:dyDescent="0.25">
      <c r="A728" s="16"/>
      <c r="E728" s="27"/>
      <c r="F728" t="s">
        <v>26</v>
      </c>
      <c r="G728" s="28">
        <f>IFERROR(VLOOKUP(F728,CARTON_LOOKUP!$A:$E,3,0),"")</f>
      </c>
      <c r="H728" s="28">
        <f>IFERROR(VLOOKUP(F728,CARTON_LOOKUP!$A:$E,4,0),"")</f>
      </c>
      <c r="I728" s="28">
        <f>IFERROR(VLOOKUP(F728,CARTON_LOOKUP!$A:$E,5,0),"")</f>
      </c>
      <c r="J728" s="29">
        <f>IFERROR(VLOOKUP(F728,CARTON_LOOKUP!$A:$E,2,0),"")</f>
      </c>
      <c r="K728" s="29">
        <f>IFERROR(J728*D728,0)</f>
      </c>
      <c r="L728" s="29">
        <f>IFERROR(E728*C728,0)</f>
      </c>
      <c r="M728" s="29">
        <f>IFERROR((G728*H728*I728/1000000)*D728,0)</f>
      </c>
    </row>
    <row r="729" spans="1:13" x14ac:dyDescent="0.25">
      <c r="A729" s="16"/>
      <c r="E729" s="27"/>
      <c r="F729" t="s">
        <v>26</v>
      </c>
      <c r="G729" s="28">
        <f>IFERROR(VLOOKUP(F729,CARTON_LOOKUP!$A:$E,3,0),"")</f>
      </c>
      <c r="H729" s="28">
        <f>IFERROR(VLOOKUP(F729,CARTON_LOOKUP!$A:$E,4,0),"")</f>
      </c>
      <c r="I729" s="28">
        <f>IFERROR(VLOOKUP(F729,CARTON_LOOKUP!$A:$E,5,0),"")</f>
      </c>
      <c r="J729" s="29">
        <f>IFERROR(VLOOKUP(F729,CARTON_LOOKUP!$A:$E,2,0),"")</f>
      </c>
      <c r="K729" s="29">
        <f>IFERROR(J729*D729,0)</f>
      </c>
      <c r="L729" s="29">
        <f>IFERROR(E729*C729,0)</f>
      </c>
      <c r="M729" s="29">
        <f>IFERROR((G729*H729*I729/1000000)*D729,0)</f>
      </c>
    </row>
    <row r="730" spans="1:13" x14ac:dyDescent="0.25">
      <c r="A730" s="16"/>
      <c r="E730" s="27"/>
      <c r="F730" t="s">
        <v>26</v>
      </c>
      <c r="G730" s="28">
        <f>IFERROR(VLOOKUP(F730,CARTON_LOOKUP!$A:$E,3,0),"")</f>
      </c>
      <c r="H730" s="28">
        <f>IFERROR(VLOOKUP(F730,CARTON_LOOKUP!$A:$E,4,0),"")</f>
      </c>
      <c r="I730" s="28">
        <f>IFERROR(VLOOKUP(F730,CARTON_LOOKUP!$A:$E,5,0),"")</f>
      </c>
      <c r="J730" s="29">
        <f>IFERROR(VLOOKUP(F730,CARTON_LOOKUP!$A:$E,2,0),"")</f>
      </c>
      <c r="K730" s="29">
        <f>IFERROR(J730*D730,0)</f>
      </c>
      <c r="L730" s="29">
        <f>IFERROR(E730*C730,0)</f>
      </c>
      <c r="M730" s="29">
        <f>IFERROR((G730*H730*I730/1000000)*D730,0)</f>
      </c>
    </row>
    <row r="731" spans="1:13" x14ac:dyDescent="0.25">
      <c r="A731" s="16"/>
      <c r="E731" s="27"/>
      <c r="F731" t="s">
        <v>26</v>
      </c>
      <c r="G731" s="28">
        <f>IFERROR(VLOOKUP(F731,CARTON_LOOKUP!$A:$E,3,0),"")</f>
      </c>
      <c r="H731" s="28">
        <f>IFERROR(VLOOKUP(F731,CARTON_LOOKUP!$A:$E,4,0),"")</f>
      </c>
      <c r="I731" s="28">
        <f>IFERROR(VLOOKUP(F731,CARTON_LOOKUP!$A:$E,5,0),"")</f>
      </c>
      <c r="J731" s="29">
        <f>IFERROR(VLOOKUP(F731,CARTON_LOOKUP!$A:$E,2,0),"")</f>
      </c>
      <c r="K731" s="29">
        <f>IFERROR(J731*D731,0)</f>
      </c>
      <c r="L731" s="29">
        <f>IFERROR(E731*C731,0)</f>
      </c>
      <c r="M731" s="29">
        <f>IFERROR((G731*H731*I731/1000000)*D731,0)</f>
      </c>
    </row>
    <row r="732" spans="1:13" x14ac:dyDescent="0.25">
      <c r="A732" s="16"/>
      <c r="E732" s="27"/>
      <c r="F732" t="s">
        <v>26</v>
      </c>
      <c r="G732" s="28">
        <f>IFERROR(VLOOKUP(F732,CARTON_LOOKUP!$A:$E,3,0),"")</f>
      </c>
      <c r="H732" s="28">
        <f>IFERROR(VLOOKUP(F732,CARTON_LOOKUP!$A:$E,4,0),"")</f>
      </c>
      <c r="I732" s="28">
        <f>IFERROR(VLOOKUP(F732,CARTON_LOOKUP!$A:$E,5,0),"")</f>
      </c>
      <c r="J732" s="29">
        <f>IFERROR(VLOOKUP(F732,CARTON_LOOKUP!$A:$E,2,0),"")</f>
      </c>
      <c r="K732" s="29">
        <f>IFERROR(J732*D732,0)</f>
      </c>
      <c r="L732" s="29">
        <f>IFERROR(E732*C732,0)</f>
      </c>
      <c r="M732" s="29">
        <f>IFERROR((G732*H732*I732/1000000)*D732,0)</f>
      </c>
    </row>
    <row r="733" spans="1:13" x14ac:dyDescent="0.25">
      <c r="A733" s="16"/>
      <c r="E733" s="27"/>
      <c r="F733" t="s">
        <v>26</v>
      </c>
      <c r="G733" s="28">
        <f>IFERROR(VLOOKUP(F733,CARTON_LOOKUP!$A:$E,3,0),"")</f>
      </c>
      <c r="H733" s="28">
        <f>IFERROR(VLOOKUP(F733,CARTON_LOOKUP!$A:$E,4,0),"")</f>
      </c>
      <c r="I733" s="28">
        <f>IFERROR(VLOOKUP(F733,CARTON_LOOKUP!$A:$E,5,0),"")</f>
      </c>
      <c r="J733" s="29">
        <f>IFERROR(VLOOKUP(F733,CARTON_LOOKUP!$A:$E,2,0),"")</f>
      </c>
      <c r="K733" s="29">
        <f>IFERROR(J733*D733,0)</f>
      </c>
      <c r="L733" s="29">
        <f>IFERROR(E733*C733,0)</f>
      </c>
      <c r="M733" s="29">
        <f>IFERROR((G733*H733*I733/1000000)*D733,0)</f>
      </c>
    </row>
    <row r="734" spans="1:13" x14ac:dyDescent="0.25">
      <c r="A734" s="16"/>
      <c r="E734" s="27"/>
      <c r="F734" t="s">
        <v>26</v>
      </c>
      <c r="G734" s="28">
        <f>IFERROR(VLOOKUP(F734,CARTON_LOOKUP!$A:$E,3,0),"")</f>
      </c>
      <c r="H734" s="28">
        <f>IFERROR(VLOOKUP(F734,CARTON_LOOKUP!$A:$E,4,0),"")</f>
      </c>
      <c r="I734" s="28">
        <f>IFERROR(VLOOKUP(F734,CARTON_LOOKUP!$A:$E,5,0),"")</f>
      </c>
      <c r="J734" s="29">
        <f>IFERROR(VLOOKUP(F734,CARTON_LOOKUP!$A:$E,2,0),"")</f>
      </c>
      <c r="K734" s="29">
        <f>IFERROR(J734*D734,0)</f>
      </c>
      <c r="L734" s="29">
        <f>IFERROR(E734*C734,0)</f>
      </c>
      <c r="M734" s="29">
        <f>IFERROR((G734*H734*I734/1000000)*D734,0)</f>
      </c>
    </row>
    <row r="735" spans="1:13" x14ac:dyDescent="0.25">
      <c r="A735" s="16"/>
      <c r="E735" s="27"/>
      <c r="F735" t="s">
        <v>26</v>
      </c>
      <c r="G735" s="28">
        <f>IFERROR(VLOOKUP(F735,CARTON_LOOKUP!$A:$E,3,0),"")</f>
      </c>
      <c r="H735" s="28">
        <f>IFERROR(VLOOKUP(F735,CARTON_LOOKUP!$A:$E,4,0),"")</f>
      </c>
      <c r="I735" s="28">
        <f>IFERROR(VLOOKUP(F735,CARTON_LOOKUP!$A:$E,5,0),"")</f>
      </c>
      <c r="J735" s="29">
        <f>IFERROR(VLOOKUP(F735,CARTON_LOOKUP!$A:$E,2,0),"")</f>
      </c>
      <c r="K735" s="29">
        <f>IFERROR(J735*D735,0)</f>
      </c>
      <c r="L735" s="29">
        <f>IFERROR(E735*C735,0)</f>
      </c>
      <c r="M735" s="29">
        <f>IFERROR((G735*H735*I735/1000000)*D735,0)</f>
      </c>
    </row>
    <row r="736" spans="1:13" x14ac:dyDescent="0.25">
      <c r="A736" s="16"/>
      <c r="E736" s="27"/>
      <c r="F736" t="s">
        <v>26</v>
      </c>
      <c r="G736" s="28">
        <f>IFERROR(VLOOKUP(F736,CARTON_LOOKUP!$A:$E,3,0),"")</f>
      </c>
      <c r="H736" s="28">
        <f>IFERROR(VLOOKUP(F736,CARTON_LOOKUP!$A:$E,4,0),"")</f>
      </c>
      <c r="I736" s="28">
        <f>IFERROR(VLOOKUP(F736,CARTON_LOOKUP!$A:$E,5,0),"")</f>
      </c>
      <c r="J736" s="29">
        <f>IFERROR(VLOOKUP(F736,CARTON_LOOKUP!$A:$E,2,0),"")</f>
      </c>
      <c r="K736" s="29">
        <f>IFERROR(J736*D736,0)</f>
      </c>
      <c r="L736" s="29">
        <f>IFERROR(E736*C736,0)</f>
      </c>
      <c r="M736" s="29">
        <f>IFERROR((G736*H736*I736/1000000)*D736,0)</f>
      </c>
    </row>
    <row r="737" spans="1:13" x14ac:dyDescent="0.25">
      <c r="A737" s="16"/>
      <c r="E737" s="27"/>
      <c r="F737" t="s">
        <v>26</v>
      </c>
      <c r="G737" s="28">
        <f>IFERROR(VLOOKUP(F737,CARTON_LOOKUP!$A:$E,3,0),"")</f>
      </c>
      <c r="H737" s="28">
        <f>IFERROR(VLOOKUP(F737,CARTON_LOOKUP!$A:$E,4,0),"")</f>
      </c>
      <c r="I737" s="28">
        <f>IFERROR(VLOOKUP(F737,CARTON_LOOKUP!$A:$E,5,0),"")</f>
      </c>
      <c r="J737" s="29">
        <f>IFERROR(VLOOKUP(F737,CARTON_LOOKUP!$A:$E,2,0),"")</f>
      </c>
      <c r="K737" s="29">
        <f>IFERROR(J737*D737,0)</f>
      </c>
      <c r="L737" s="29">
        <f>IFERROR(E737*C737,0)</f>
      </c>
      <c r="M737" s="29">
        <f>IFERROR((G737*H737*I737/1000000)*D737,0)</f>
      </c>
    </row>
    <row r="738" spans="1:13" x14ac:dyDescent="0.25">
      <c r="A738" s="16"/>
      <c r="E738" s="27"/>
      <c r="F738" t="s">
        <v>26</v>
      </c>
      <c r="G738" s="28">
        <f>IFERROR(VLOOKUP(F738,CARTON_LOOKUP!$A:$E,3,0),"")</f>
      </c>
      <c r="H738" s="28">
        <f>IFERROR(VLOOKUP(F738,CARTON_LOOKUP!$A:$E,4,0),"")</f>
      </c>
      <c r="I738" s="28">
        <f>IFERROR(VLOOKUP(F738,CARTON_LOOKUP!$A:$E,5,0),"")</f>
      </c>
      <c r="J738" s="29">
        <f>IFERROR(VLOOKUP(F738,CARTON_LOOKUP!$A:$E,2,0),"")</f>
      </c>
      <c r="K738" s="29">
        <f>IFERROR(J738*D738,0)</f>
      </c>
      <c r="L738" s="29">
        <f>IFERROR(E738*C738,0)</f>
      </c>
      <c r="M738" s="29">
        <f>IFERROR((G738*H738*I738/1000000)*D738,0)</f>
      </c>
    </row>
    <row r="739" spans="1:13" x14ac:dyDescent="0.25">
      <c r="A739" s="16"/>
      <c r="E739" s="27"/>
      <c r="F739" t="s">
        <v>26</v>
      </c>
      <c r="G739" s="28">
        <f>IFERROR(VLOOKUP(F739,CARTON_LOOKUP!$A:$E,3,0),"")</f>
      </c>
      <c r="H739" s="28">
        <f>IFERROR(VLOOKUP(F739,CARTON_LOOKUP!$A:$E,4,0),"")</f>
      </c>
      <c r="I739" s="28">
        <f>IFERROR(VLOOKUP(F739,CARTON_LOOKUP!$A:$E,5,0),"")</f>
      </c>
      <c r="J739" s="29">
        <f>IFERROR(VLOOKUP(F739,CARTON_LOOKUP!$A:$E,2,0),"")</f>
      </c>
      <c r="K739" s="29">
        <f>IFERROR(J739*D739,0)</f>
      </c>
      <c r="L739" s="29">
        <f>IFERROR(E739*C739,0)</f>
      </c>
      <c r="M739" s="29">
        <f>IFERROR((G739*H739*I739/1000000)*D739,0)</f>
      </c>
    </row>
    <row r="740" spans="1:13" x14ac:dyDescent="0.25">
      <c r="A740" s="16"/>
      <c r="E740" s="27"/>
      <c r="F740" t="s">
        <v>26</v>
      </c>
      <c r="G740" s="28">
        <f>IFERROR(VLOOKUP(F740,CARTON_LOOKUP!$A:$E,3,0),"")</f>
      </c>
      <c r="H740" s="28">
        <f>IFERROR(VLOOKUP(F740,CARTON_LOOKUP!$A:$E,4,0),"")</f>
      </c>
      <c r="I740" s="28">
        <f>IFERROR(VLOOKUP(F740,CARTON_LOOKUP!$A:$E,5,0),"")</f>
      </c>
      <c r="J740" s="29">
        <f>IFERROR(VLOOKUP(F740,CARTON_LOOKUP!$A:$E,2,0),"")</f>
      </c>
      <c r="K740" s="29">
        <f>IFERROR(J740*D740,0)</f>
      </c>
      <c r="L740" s="29">
        <f>IFERROR(E740*C740,0)</f>
      </c>
      <c r="M740" s="29">
        <f>IFERROR((G740*H740*I740/1000000)*D740,0)</f>
      </c>
    </row>
    <row r="741" spans="1:13" x14ac:dyDescent="0.25">
      <c r="A741" s="16"/>
      <c r="E741" s="27"/>
      <c r="F741" t="s">
        <v>26</v>
      </c>
      <c r="G741" s="28">
        <f>IFERROR(VLOOKUP(F741,CARTON_LOOKUP!$A:$E,3,0),"")</f>
      </c>
      <c r="H741" s="28">
        <f>IFERROR(VLOOKUP(F741,CARTON_LOOKUP!$A:$E,4,0),"")</f>
      </c>
      <c r="I741" s="28">
        <f>IFERROR(VLOOKUP(F741,CARTON_LOOKUP!$A:$E,5,0),"")</f>
      </c>
      <c r="J741" s="29">
        <f>IFERROR(VLOOKUP(F741,CARTON_LOOKUP!$A:$E,2,0),"")</f>
      </c>
      <c r="K741" s="29">
        <f>IFERROR(J741*D741,0)</f>
      </c>
      <c r="L741" s="29">
        <f>IFERROR(E741*C741,0)</f>
      </c>
      <c r="M741" s="29">
        <f>IFERROR((G741*H741*I741/1000000)*D741,0)</f>
      </c>
    </row>
    <row r="742" spans="1:13" x14ac:dyDescent="0.25">
      <c r="A742" s="16"/>
      <c r="E742" s="27"/>
      <c r="F742" t="s">
        <v>26</v>
      </c>
      <c r="G742" s="28">
        <f>IFERROR(VLOOKUP(F742,CARTON_LOOKUP!$A:$E,3,0),"")</f>
      </c>
      <c r="H742" s="28">
        <f>IFERROR(VLOOKUP(F742,CARTON_LOOKUP!$A:$E,4,0),"")</f>
      </c>
      <c r="I742" s="28">
        <f>IFERROR(VLOOKUP(F742,CARTON_LOOKUP!$A:$E,5,0),"")</f>
      </c>
      <c r="J742" s="29">
        <f>IFERROR(VLOOKUP(F742,CARTON_LOOKUP!$A:$E,2,0),"")</f>
      </c>
      <c r="K742" s="29">
        <f>IFERROR(J742*D742,0)</f>
      </c>
      <c r="L742" s="29">
        <f>IFERROR(E742*C742,0)</f>
      </c>
      <c r="M742" s="29">
        <f>IFERROR((G742*H742*I742/1000000)*D742,0)</f>
      </c>
    </row>
    <row r="743" spans="1:13" x14ac:dyDescent="0.25">
      <c r="A743" s="16"/>
      <c r="E743" s="27"/>
      <c r="F743" t="s">
        <v>26</v>
      </c>
      <c r="G743" s="28">
        <f>IFERROR(VLOOKUP(F743,CARTON_LOOKUP!$A:$E,3,0),"")</f>
      </c>
      <c r="H743" s="28">
        <f>IFERROR(VLOOKUP(F743,CARTON_LOOKUP!$A:$E,4,0),"")</f>
      </c>
      <c r="I743" s="28">
        <f>IFERROR(VLOOKUP(F743,CARTON_LOOKUP!$A:$E,5,0),"")</f>
      </c>
      <c r="J743" s="29">
        <f>IFERROR(VLOOKUP(F743,CARTON_LOOKUP!$A:$E,2,0),"")</f>
      </c>
      <c r="K743" s="29">
        <f>IFERROR(J743*D743,0)</f>
      </c>
      <c r="L743" s="29">
        <f>IFERROR(E743*C743,0)</f>
      </c>
      <c r="M743" s="29">
        <f>IFERROR((G743*H743*I743/1000000)*D743,0)</f>
      </c>
    </row>
    <row r="744" spans="1:13" x14ac:dyDescent="0.25">
      <c r="A744" s="16"/>
      <c r="E744" s="27"/>
      <c r="F744" t="s">
        <v>26</v>
      </c>
      <c r="G744" s="28">
        <f>IFERROR(VLOOKUP(F744,CARTON_LOOKUP!$A:$E,3,0),"")</f>
      </c>
      <c r="H744" s="28">
        <f>IFERROR(VLOOKUP(F744,CARTON_LOOKUP!$A:$E,4,0),"")</f>
      </c>
      <c r="I744" s="28">
        <f>IFERROR(VLOOKUP(F744,CARTON_LOOKUP!$A:$E,5,0),"")</f>
      </c>
      <c r="J744" s="29">
        <f>IFERROR(VLOOKUP(F744,CARTON_LOOKUP!$A:$E,2,0),"")</f>
      </c>
      <c r="K744" s="29">
        <f>IFERROR(J744*D744,0)</f>
      </c>
      <c r="L744" s="29">
        <f>IFERROR(E744*C744,0)</f>
      </c>
      <c r="M744" s="29">
        <f>IFERROR((G744*H744*I744/1000000)*D744,0)</f>
      </c>
    </row>
    <row r="745" spans="1:13" x14ac:dyDescent="0.25">
      <c r="A745" s="16"/>
      <c r="E745" s="27"/>
      <c r="F745" t="s">
        <v>26</v>
      </c>
      <c r="G745" s="28">
        <f>IFERROR(VLOOKUP(F745,CARTON_LOOKUP!$A:$E,3,0),"")</f>
      </c>
      <c r="H745" s="28">
        <f>IFERROR(VLOOKUP(F745,CARTON_LOOKUP!$A:$E,4,0),"")</f>
      </c>
      <c r="I745" s="28">
        <f>IFERROR(VLOOKUP(F745,CARTON_LOOKUP!$A:$E,5,0),"")</f>
      </c>
      <c r="J745" s="29">
        <f>IFERROR(VLOOKUP(F745,CARTON_LOOKUP!$A:$E,2,0),"")</f>
      </c>
      <c r="K745" s="29">
        <f>IFERROR(J745*D745,0)</f>
      </c>
      <c r="L745" s="29">
        <f>IFERROR(E745*C745,0)</f>
      </c>
      <c r="M745" s="29">
        <f>IFERROR((G745*H745*I745/1000000)*D745,0)</f>
      </c>
    </row>
    <row r="746" spans="1:13" x14ac:dyDescent="0.25">
      <c r="A746" s="16"/>
      <c r="E746" s="27"/>
      <c r="F746" t="s">
        <v>26</v>
      </c>
      <c r="G746" s="28">
        <f>IFERROR(VLOOKUP(F746,CARTON_LOOKUP!$A:$E,3,0),"")</f>
      </c>
      <c r="H746" s="28">
        <f>IFERROR(VLOOKUP(F746,CARTON_LOOKUP!$A:$E,4,0),"")</f>
      </c>
      <c r="I746" s="28">
        <f>IFERROR(VLOOKUP(F746,CARTON_LOOKUP!$A:$E,5,0),"")</f>
      </c>
      <c r="J746" s="29">
        <f>IFERROR(VLOOKUP(F746,CARTON_LOOKUP!$A:$E,2,0),"")</f>
      </c>
      <c r="K746" s="29">
        <f>IFERROR(J746*D746,0)</f>
      </c>
      <c r="L746" s="29">
        <f>IFERROR(E746*C746,0)</f>
      </c>
      <c r="M746" s="29">
        <f>IFERROR((G746*H746*I746/1000000)*D746,0)</f>
      </c>
    </row>
    <row r="747" spans="1:13" x14ac:dyDescent="0.25">
      <c r="A747" s="16"/>
      <c r="E747" s="27"/>
      <c r="F747" t="s">
        <v>26</v>
      </c>
      <c r="G747" s="28">
        <f>IFERROR(VLOOKUP(F747,CARTON_LOOKUP!$A:$E,3,0),"")</f>
      </c>
      <c r="H747" s="28">
        <f>IFERROR(VLOOKUP(F747,CARTON_LOOKUP!$A:$E,4,0),"")</f>
      </c>
      <c r="I747" s="28">
        <f>IFERROR(VLOOKUP(F747,CARTON_LOOKUP!$A:$E,5,0),"")</f>
      </c>
      <c r="J747" s="29">
        <f>IFERROR(VLOOKUP(F747,CARTON_LOOKUP!$A:$E,2,0),"")</f>
      </c>
      <c r="K747" s="29">
        <f>IFERROR(J747*D747,0)</f>
      </c>
      <c r="L747" s="29">
        <f>IFERROR(E747*C747,0)</f>
      </c>
      <c r="M747" s="29">
        <f>IFERROR((G747*H747*I747/1000000)*D747,0)</f>
      </c>
    </row>
    <row r="748" spans="1:13" x14ac:dyDescent="0.25">
      <c r="A748" s="16"/>
      <c r="E748" s="27"/>
      <c r="F748" t="s">
        <v>26</v>
      </c>
      <c r="G748" s="28">
        <f>IFERROR(VLOOKUP(F748,CARTON_LOOKUP!$A:$E,3,0),"")</f>
      </c>
      <c r="H748" s="28">
        <f>IFERROR(VLOOKUP(F748,CARTON_LOOKUP!$A:$E,4,0),"")</f>
      </c>
      <c r="I748" s="28">
        <f>IFERROR(VLOOKUP(F748,CARTON_LOOKUP!$A:$E,5,0),"")</f>
      </c>
      <c r="J748" s="29">
        <f>IFERROR(VLOOKUP(F748,CARTON_LOOKUP!$A:$E,2,0),"")</f>
      </c>
      <c r="K748" s="29">
        <f>IFERROR(J748*D748,0)</f>
      </c>
      <c r="L748" s="29">
        <f>IFERROR(E748*C748,0)</f>
      </c>
      <c r="M748" s="29">
        <f>IFERROR((G748*H748*I748/1000000)*D748,0)</f>
      </c>
    </row>
    <row r="749" spans="1:13" x14ac:dyDescent="0.25">
      <c r="A749" s="16"/>
      <c r="E749" s="27"/>
      <c r="F749" t="s">
        <v>26</v>
      </c>
      <c r="G749" s="28">
        <f>IFERROR(VLOOKUP(F749,CARTON_LOOKUP!$A:$E,3,0),"")</f>
      </c>
      <c r="H749" s="28">
        <f>IFERROR(VLOOKUP(F749,CARTON_LOOKUP!$A:$E,4,0),"")</f>
      </c>
      <c r="I749" s="28">
        <f>IFERROR(VLOOKUP(F749,CARTON_LOOKUP!$A:$E,5,0),"")</f>
      </c>
      <c r="J749" s="29">
        <f>IFERROR(VLOOKUP(F749,CARTON_LOOKUP!$A:$E,2,0),"")</f>
      </c>
      <c r="K749" s="29">
        <f>IFERROR(J749*D749,0)</f>
      </c>
      <c r="L749" s="29">
        <f>IFERROR(E749*C749,0)</f>
      </c>
      <c r="M749" s="29">
        <f>IFERROR((G749*H749*I749/1000000)*D749,0)</f>
      </c>
    </row>
    <row r="750" spans="1:13" x14ac:dyDescent="0.25">
      <c r="A750" s="16"/>
      <c r="E750" s="27"/>
      <c r="F750" t="s">
        <v>26</v>
      </c>
      <c r="G750" s="28">
        <f>IFERROR(VLOOKUP(F750,CARTON_LOOKUP!$A:$E,3,0),"")</f>
      </c>
      <c r="H750" s="28">
        <f>IFERROR(VLOOKUP(F750,CARTON_LOOKUP!$A:$E,4,0),"")</f>
      </c>
      <c r="I750" s="28">
        <f>IFERROR(VLOOKUP(F750,CARTON_LOOKUP!$A:$E,5,0),"")</f>
      </c>
      <c r="J750" s="29">
        <f>IFERROR(VLOOKUP(F750,CARTON_LOOKUP!$A:$E,2,0),"")</f>
      </c>
      <c r="K750" s="29">
        <f>IFERROR(J750*D750,0)</f>
      </c>
      <c r="L750" s="29">
        <f>IFERROR(E750*C750,0)</f>
      </c>
      <c r="M750" s="29">
        <f>IFERROR((G750*H750*I750/1000000)*D750,0)</f>
      </c>
    </row>
    <row r="751" spans="1:13" x14ac:dyDescent="0.25">
      <c r="A751" s="16"/>
      <c r="E751" s="27"/>
      <c r="F751" t="s">
        <v>26</v>
      </c>
      <c r="G751" s="28">
        <f>IFERROR(VLOOKUP(F751,CARTON_LOOKUP!$A:$E,3,0),"")</f>
      </c>
      <c r="H751" s="28">
        <f>IFERROR(VLOOKUP(F751,CARTON_LOOKUP!$A:$E,4,0),"")</f>
      </c>
      <c r="I751" s="28">
        <f>IFERROR(VLOOKUP(F751,CARTON_LOOKUP!$A:$E,5,0),"")</f>
      </c>
      <c r="J751" s="29">
        <f>IFERROR(VLOOKUP(F751,CARTON_LOOKUP!$A:$E,2,0),"")</f>
      </c>
      <c r="K751" s="29">
        <f>IFERROR(J751*D751,0)</f>
      </c>
      <c r="L751" s="29">
        <f>IFERROR(E751*C751,0)</f>
      </c>
      <c r="M751" s="29">
        <f>IFERROR((G751*H751*I751/1000000)*D751,0)</f>
      </c>
    </row>
    <row r="752" spans="1:13" x14ac:dyDescent="0.25">
      <c r="A752" s="16"/>
      <c r="E752" s="27"/>
      <c r="F752" t="s">
        <v>26</v>
      </c>
      <c r="G752" s="28">
        <f>IFERROR(VLOOKUP(F752,CARTON_LOOKUP!$A:$E,3,0),"")</f>
      </c>
      <c r="H752" s="28">
        <f>IFERROR(VLOOKUP(F752,CARTON_LOOKUP!$A:$E,4,0),"")</f>
      </c>
      <c r="I752" s="28">
        <f>IFERROR(VLOOKUP(F752,CARTON_LOOKUP!$A:$E,5,0),"")</f>
      </c>
      <c r="J752" s="29">
        <f>IFERROR(VLOOKUP(F752,CARTON_LOOKUP!$A:$E,2,0),"")</f>
      </c>
      <c r="K752" s="29">
        <f>IFERROR(J752*D752,0)</f>
      </c>
      <c r="L752" s="29">
        <f>IFERROR(E752*C752,0)</f>
      </c>
      <c r="M752" s="29">
        <f>IFERROR((G752*H752*I752/1000000)*D752,0)</f>
      </c>
    </row>
    <row r="753" spans="1:13" x14ac:dyDescent="0.25">
      <c r="A753" s="16"/>
      <c r="E753" s="27"/>
      <c r="F753" t="s">
        <v>26</v>
      </c>
      <c r="G753" s="28">
        <f>IFERROR(VLOOKUP(F753,CARTON_LOOKUP!$A:$E,3,0),"")</f>
      </c>
      <c r="H753" s="28">
        <f>IFERROR(VLOOKUP(F753,CARTON_LOOKUP!$A:$E,4,0),"")</f>
      </c>
      <c r="I753" s="28">
        <f>IFERROR(VLOOKUP(F753,CARTON_LOOKUP!$A:$E,5,0),"")</f>
      </c>
      <c r="J753" s="29">
        <f>IFERROR(VLOOKUP(F753,CARTON_LOOKUP!$A:$E,2,0),"")</f>
      </c>
      <c r="K753" s="29">
        <f>IFERROR(J753*D753,0)</f>
      </c>
      <c r="L753" s="29">
        <f>IFERROR(E753*C753,0)</f>
      </c>
      <c r="M753" s="29">
        <f>IFERROR((G753*H753*I753/1000000)*D753,0)</f>
      </c>
    </row>
    <row r="754" spans="1:13" x14ac:dyDescent="0.25">
      <c r="A754" s="16"/>
      <c r="E754" s="27"/>
      <c r="F754" t="s">
        <v>26</v>
      </c>
      <c r="G754" s="28">
        <f>IFERROR(VLOOKUP(F754,CARTON_LOOKUP!$A:$E,3,0),"")</f>
      </c>
      <c r="H754" s="28">
        <f>IFERROR(VLOOKUP(F754,CARTON_LOOKUP!$A:$E,4,0),"")</f>
      </c>
      <c r="I754" s="28">
        <f>IFERROR(VLOOKUP(F754,CARTON_LOOKUP!$A:$E,5,0),"")</f>
      </c>
      <c r="J754" s="29">
        <f>IFERROR(VLOOKUP(F754,CARTON_LOOKUP!$A:$E,2,0),"")</f>
      </c>
      <c r="K754" s="29">
        <f>IFERROR(J754*D754,0)</f>
      </c>
      <c r="L754" s="29">
        <f>IFERROR(E754*C754,0)</f>
      </c>
      <c r="M754" s="29">
        <f>IFERROR((G754*H754*I754/1000000)*D754,0)</f>
      </c>
    </row>
    <row r="755" spans="1:13" x14ac:dyDescent="0.25">
      <c r="A755" s="16"/>
      <c r="E755" s="27"/>
      <c r="F755" t="s">
        <v>26</v>
      </c>
      <c r="G755" s="28">
        <f>IFERROR(VLOOKUP(F755,CARTON_LOOKUP!$A:$E,3,0),"")</f>
      </c>
      <c r="H755" s="28">
        <f>IFERROR(VLOOKUP(F755,CARTON_LOOKUP!$A:$E,4,0),"")</f>
      </c>
      <c r="I755" s="28">
        <f>IFERROR(VLOOKUP(F755,CARTON_LOOKUP!$A:$E,5,0),"")</f>
      </c>
      <c r="J755" s="29">
        <f>IFERROR(VLOOKUP(F755,CARTON_LOOKUP!$A:$E,2,0),"")</f>
      </c>
      <c r="K755" s="29">
        <f>IFERROR(J755*D755,0)</f>
      </c>
      <c r="L755" s="29">
        <f>IFERROR(E755*C755,0)</f>
      </c>
      <c r="M755" s="29">
        <f>IFERROR((G755*H755*I755/1000000)*D755,0)</f>
      </c>
    </row>
    <row r="756" spans="1:13" x14ac:dyDescent="0.25">
      <c r="A756" s="16"/>
      <c r="E756" s="27"/>
      <c r="F756" t="s">
        <v>26</v>
      </c>
      <c r="G756" s="28">
        <f>IFERROR(VLOOKUP(F756,CARTON_LOOKUP!$A:$E,3,0),"")</f>
      </c>
      <c r="H756" s="28">
        <f>IFERROR(VLOOKUP(F756,CARTON_LOOKUP!$A:$E,4,0),"")</f>
      </c>
      <c r="I756" s="28">
        <f>IFERROR(VLOOKUP(F756,CARTON_LOOKUP!$A:$E,5,0),"")</f>
      </c>
      <c r="J756" s="29">
        <f>IFERROR(VLOOKUP(F756,CARTON_LOOKUP!$A:$E,2,0),"")</f>
      </c>
      <c r="K756" s="29">
        <f>IFERROR(J756*D756,0)</f>
      </c>
      <c r="L756" s="29">
        <f>IFERROR(E756*C756,0)</f>
      </c>
      <c r="M756" s="29">
        <f>IFERROR((G756*H756*I756/1000000)*D756,0)</f>
      </c>
    </row>
    <row r="757" spans="1:13" x14ac:dyDescent="0.25">
      <c r="A757" s="16"/>
      <c r="E757" s="27"/>
      <c r="F757" t="s">
        <v>26</v>
      </c>
      <c r="G757" s="28">
        <f>IFERROR(VLOOKUP(F757,CARTON_LOOKUP!$A:$E,3,0),"")</f>
      </c>
      <c r="H757" s="28">
        <f>IFERROR(VLOOKUP(F757,CARTON_LOOKUP!$A:$E,4,0),"")</f>
      </c>
      <c r="I757" s="28">
        <f>IFERROR(VLOOKUP(F757,CARTON_LOOKUP!$A:$E,5,0),"")</f>
      </c>
      <c r="J757" s="29">
        <f>IFERROR(VLOOKUP(F757,CARTON_LOOKUP!$A:$E,2,0),"")</f>
      </c>
      <c r="K757" s="29">
        <f>IFERROR(J757*D757,0)</f>
      </c>
      <c r="L757" s="29">
        <f>IFERROR(E757*C757,0)</f>
      </c>
      <c r="M757" s="29">
        <f>IFERROR((G757*H757*I757/1000000)*D757,0)</f>
      </c>
    </row>
    <row r="758" spans="1:13" x14ac:dyDescent="0.25">
      <c r="A758" s="16"/>
      <c r="E758" s="27"/>
      <c r="F758" t="s">
        <v>26</v>
      </c>
      <c r="G758" s="28">
        <f>IFERROR(VLOOKUP(F758,CARTON_LOOKUP!$A:$E,3,0),"")</f>
      </c>
      <c r="H758" s="28">
        <f>IFERROR(VLOOKUP(F758,CARTON_LOOKUP!$A:$E,4,0),"")</f>
      </c>
      <c r="I758" s="28">
        <f>IFERROR(VLOOKUP(F758,CARTON_LOOKUP!$A:$E,5,0),"")</f>
      </c>
      <c r="J758" s="29">
        <f>IFERROR(VLOOKUP(F758,CARTON_LOOKUP!$A:$E,2,0),"")</f>
      </c>
      <c r="K758" s="29">
        <f>IFERROR(J758*D758,0)</f>
      </c>
      <c r="L758" s="29">
        <f>IFERROR(E758*C758,0)</f>
      </c>
      <c r="M758" s="29">
        <f>IFERROR((G758*H758*I758/1000000)*D758,0)</f>
      </c>
    </row>
    <row r="759" spans="1:13" x14ac:dyDescent="0.25">
      <c r="A759" s="16"/>
      <c r="E759" s="27"/>
      <c r="F759" t="s">
        <v>26</v>
      </c>
      <c r="G759" s="28">
        <f>IFERROR(VLOOKUP(F759,CARTON_LOOKUP!$A:$E,3,0),"")</f>
      </c>
      <c r="H759" s="28">
        <f>IFERROR(VLOOKUP(F759,CARTON_LOOKUP!$A:$E,4,0),"")</f>
      </c>
      <c r="I759" s="28">
        <f>IFERROR(VLOOKUP(F759,CARTON_LOOKUP!$A:$E,5,0),"")</f>
      </c>
      <c r="J759" s="29">
        <f>IFERROR(VLOOKUP(F759,CARTON_LOOKUP!$A:$E,2,0),"")</f>
      </c>
      <c r="K759" s="29">
        <f>IFERROR(J759*D759,0)</f>
      </c>
      <c r="L759" s="29">
        <f>IFERROR(E759*C759,0)</f>
      </c>
      <c r="M759" s="29">
        <f>IFERROR((G759*H759*I759/1000000)*D759,0)</f>
      </c>
    </row>
    <row r="760" spans="1:13" x14ac:dyDescent="0.25">
      <c r="A760" s="16"/>
      <c r="E760" s="27"/>
      <c r="F760" t="s">
        <v>26</v>
      </c>
      <c r="G760" s="28">
        <f>IFERROR(VLOOKUP(F760,CARTON_LOOKUP!$A:$E,3,0),"")</f>
      </c>
      <c r="H760" s="28">
        <f>IFERROR(VLOOKUP(F760,CARTON_LOOKUP!$A:$E,4,0),"")</f>
      </c>
      <c r="I760" s="28">
        <f>IFERROR(VLOOKUP(F760,CARTON_LOOKUP!$A:$E,5,0),"")</f>
      </c>
      <c r="J760" s="29">
        <f>IFERROR(VLOOKUP(F760,CARTON_LOOKUP!$A:$E,2,0),"")</f>
      </c>
      <c r="K760" s="29">
        <f>IFERROR(J760*D760,0)</f>
      </c>
      <c r="L760" s="29">
        <f>IFERROR(E760*C760,0)</f>
      </c>
      <c r="M760" s="29">
        <f>IFERROR((G760*H760*I760/1000000)*D760,0)</f>
      </c>
    </row>
    <row r="761" spans="1:13" x14ac:dyDescent="0.25">
      <c r="A761" s="16"/>
      <c r="E761" s="27"/>
      <c r="F761" t="s">
        <v>26</v>
      </c>
      <c r="G761" s="28">
        <f>IFERROR(VLOOKUP(F761,CARTON_LOOKUP!$A:$E,3,0),"")</f>
      </c>
      <c r="H761" s="28">
        <f>IFERROR(VLOOKUP(F761,CARTON_LOOKUP!$A:$E,4,0),"")</f>
      </c>
      <c r="I761" s="28">
        <f>IFERROR(VLOOKUP(F761,CARTON_LOOKUP!$A:$E,5,0),"")</f>
      </c>
      <c r="J761" s="29">
        <f>IFERROR(VLOOKUP(F761,CARTON_LOOKUP!$A:$E,2,0),"")</f>
      </c>
      <c r="K761" s="29">
        <f>IFERROR(J761*D761,0)</f>
      </c>
      <c r="L761" s="29">
        <f>IFERROR(E761*C761,0)</f>
      </c>
      <c r="M761" s="29">
        <f>IFERROR((G761*H761*I761/1000000)*D761,0)</f>
      </c>
    </row>
    <row r="762" spans="1:13" x14ac:dyDescent="0.25">
      <c r="A762" s="16"/>
      <c r="E762" s="27"/>
      <c r="F762" t="s">
        <v>26</v>
      </c>
      <c r="G762" s="28">
        <f>IFERROR(VLOOKUP(F762,CARTON_LOOKUP!$A:$E,3,0),"")</f>
      </c>
      <c r="H762" s="28">
        <f>IFERROR(VLOOKUP(F762,CARTON_LOOKUP!$A:$E,4,0),"")</f>
      </c>
      <c r="I762" s="28">
        <f>IFERROR(VLOOKUP(F762,CARTON_LOOKUP!$A:$E,5,0),"")</f>
      </c>
      <c r="J762" s="29">
        <f>IFERROR(VLOOKUP(F762,CARTON_LOOKUP!$A:$E,2,0),"")</f>
      </c>
      <c r="K762" s="29">
        <f>IFERROR(J762*D762,0)</f>
      </c>
      <c r="L762" s="29">
        <f>IFERROR(E762*C762,0)</f>
      </c>
      <c r="M762" s="29">
        <f>IFERROR((G762*H762*I762/1000000)*D762,0)</f>
      </c>
    </row>
    <row r="763" spans="1:13" x14ac:dyDescent="0.25">
      <c r="A763" s="16"/>
      <c r="E763" s="27"/>
      <c r="F763" t="s">
        <v>26</v>
      </c>
      <c r="G763" s="28">
        <f>IFERROR(VLOOKUP(F763,CARTON_LOOKUP!$A:$E,3,0),"")</f>
      </c>
      <c r="H763" s="28">
        <f>IFERROR(VLOOKUP(F763,CARTON_LOOKUP!$A:$E,4,0),"")</f>
      </c>
      <c r="I763" s="28">
        <f>IFERROR(VLOOKUP(F763,CARTON_LOOKUP!$A:$E,5,0),"")</f>
      </c>
      <c r="J763" s="29">
        <f>IFERROR(VLOOKUP(F763,CARTON_LOOKUP!$A:$E,2,0),"")</f>
      </c>
      <c r="K763" s="29">
        <f>IFERROR(J763*D763,0)</f>
      </c>
      <c r="L763" s="29">
        <f>IFERROR(E763*C763,0)</f>
      </c>
      <c r="M763" s="29">
        <f>IFERROR((G763*H763*I763/1000000)*D763,0)</f>
      </c>
    </row>
    <row r="764" spans="1:13" x14ac:dyDescent="0.25">
      <c r="A764" s="16"/>
      <c r="E764" s="27"/>
      <c r="F764" t="s">
        <v>26</v>
      </c>
      <c r="G764" s="28">
        <f>IFERROR(VLOOKUP(F764,CARTON_LOOKUP!$A:$E,3,0),"")</f>
      </c>
      <c r="H764" s="28">
        <f>IFERROR(VLOOKUP(F764,CARTON_LOOKUP!$A:$E,4,0),"")</f>
      </c>
      <c r="I764" s="28">
        <f>IFERROR(VLOOKUP(F764,CARTON_LOOKUP!$A:$E,5,0),"")</f>
      </c>
      <c r="J764" s="29">
        <f>IFERROR(VLOOKUP(F764,CARTON_LOOKUP!$A:$E,2,0),"")</f>
      </c>
      <c r="K764" s="29">
        <f>IFERROR(J764*D764,0)</f>
      </c>
      <c r="L764" s="29">
        <f>IFERROR(E764*C764,0)</f>
      </c>
      <c r="M764" s="29">
        <f>IFERROR((G764*H764*I764/1000000)*D764,0)</f>
      </c>
    </row>
    <row r="765" spans="1:13" x14ac:dyDescent="0.25">
      <c r="A765" s="16"/>
      <c r="E765" s="27"/>
      <c r="F765" t="s">
        <v>26</v>
      </c>
      <c r="G765" s="28">
        <f>IFERROR(VLOOKUP(F765,CARTON_LOOKUP!$A:$E,3,0),"")</f>
      </c>
      <c r="H765" s="28">
        <f>IFERROR(VLOOKUP(F765,CARTON_LOOKUP!$A:$E,4,0),"")</f>
      </c>
      <c r="I765" s="28">
        <f>IFERROR(VLOOKUP(F765,CARTON_LOOKUP!$A:$E,5,0),"")</f>
      </c>
      <c r="J765" s="29">
        <f>IFERROR(VLOOKUP(F765,CARTON_LOOKUP!$A:$E,2,0),"")</f>
      </c>
      <c r="K765" s="29">
        <f>IFERROR(J765*D765,0)</f>
      </c>
      <c r="L765" s="29">
        <f>IFERROR(E765*C765,0)</f>
      </c>
      <c r="M765" s="29">
        <f>IFERROR((G765*H765*I765/1000000)*D765,0)</f>
      </c>
    </row>
    <row r="766" spans="1:13" x14ac:dyDescent="0.25">
      <c r="A766" s="16"/>
      <c r="E766" s="27"/>
      <c r="F766" t="s">
        <v>26</v>
      </c>
      <c r="G766" s="28">
        <f>IFERROR(VLOOKUP(F766,CARTON_LOOKUP!$A:$E,3,0),"")</f>
      </c>
      <c r="H766" s="28">
        <f>IFERROR(VLOOKUP(F766,CARTON_LOOKUP!$A:$E,4,0),"")</f>
      </c>
      <c r="I766" s="28">
        <f>IFERROR(VLOOKUP(F766,CARTON_LOOKUP!$A:$E,5,0),"")</f>
      </c>
      <c r="J766" s="29">
        <f>IFERROR(VLOOKUP(F766,CARTON_LOOKUP!$A:$E,2,0),"")</f>
      </c>
      <c r="K766" s="29">
        <f>IFERROR(J766*D766,0)</f>
      </c>
      <c r="L766" s="29">
        <f>IFERROR(E766*C766,0)</f>
      </c>
      <c r="M766" s="29">
        <f>IFERROR((G766*H766*I766/1000000)*D766,0)</f>
      </c>
    </row>
    <row r="767" spans="1:13" x14ac:dyDescent="0.25">
      <c r="A767" s="16"/>
      <c r="E767" s="27"/>
      <c r="F767" t="s">
        <v>26</v>
      </c>
      <c r="G767" s="28">
        <f>IFERROR(VLOOKUP(F767,CARTON_LOOKUP!$A:$E,3,0),"")</f>
      </c>
      <c r="H767" s="28">
        <f>IFERROR(VLOOKUP(F767,CARTON_LOOKUP!$A:$E,4,0),"")</f>
      </c>
      <c r="I767" s="28">
        <f>IFERROR(VLOOKUP(F767,CARTON_LOOKUP!$A:$E,5,0),"")</f>
      </c>
      <c r="J767" s="29">
        <f>IFERROR(VLOOKUP(F767,CARTON_LOOKUP!$A:$E,2,0),"")</f>
      </c>
      <c r="K767" s="29">
        <f>IFERROR(J767*D767,0)</f>
      </c>
      <c r="L767" s="29">
        <f>IFERROR(E767*C767,0)</f>
      </c>
      <c r="M767" s="29">
        <f>IFERROR((G767*H767*I767/1000000)*D767,0)</f>
      </c>
    </row>
    <row r="768" spans="1:13" x14ac:dyDescent="0.25">
      <c r="A768" s="16"/>
      <c r="E768" s="27"/>
      <c r="F768" t="s">
        <v>26</v>
      </c>
      <c r="G768" s="28">
        <f>IFERROR(VLOOKUP(F768,CARTON_LOOKUP!$A:$E,3,0),"")</f>
      </c>
      <c r="H768" s="28">
        <f>IFERROR(VLOOKUP(F768,CARTON_LOOKUP!$A:$E,4,0),"")</f>
      </c>
      <c r="I768" s="28">
        <f>IFERROR(VLOOKUP(F768,CARTON_LOOKUP!$A:$E,5,0),"")</f>
      </c>
      <c r="J768" s="29">
        <f>IFERROR(VLOOKUP(F768,CARTON_LOOKUP!$A:$E,2,0),"")</f>
      </c>
      <c r="K768" s="29">
        <f>IFERROR(J768*D768,0)</f>
      </c>
      <c r="L768" s="29">
        <f>IFERROR(E768*C768,0)</f>
      </c>
      <c r="M768" s="29">
        <f>IFERROR((G768*H768*I768/1000000)*D768,0)</f>
      </c>
    </row>
    <row r="769" spans="1:13" x14ac:dyDescent="0.25">
      <c r="A769" s="16"/>
      <c r="E769" s="27"/>
      <c r="F769" t="s">
        <v>26</v>
      </c>
      <c r="G769" s="28">
        <f>IFERROR(VLOOKUP(F769,CARTON_LOOKUP!$A:$E,3,0),"")</f>
      </c>
      <c r="H769" s="28">
        <f>IFERROR(VLOOKUP(F769,CARTON_LOOKUP!$A:$E,4,0),"")</f>
      </c>
      <c r="I769" s="28">
        <f>IFERROR(VLOOKUP(F769,CARTON_LOOKUP!$A:$E,5,0),"")</f>
      </c>
      <c r="J769" s="29">
        <f>IFERROR(VLOOKUP(F769,CARTON_LOOKUP!$A:$E,2,0),"")</f>
      </c>
      <c r="K769" s="29">
        <f>IFERROR(J769*D769,0)</f>
      </c>
      <c r="L769" s="29">
        <f>IFERROR(E769*C769,0)</f>
      </c>
      <c r="M769" s="29">
        <f>IFERROR((G769*H769*I769/1000000)*D769,0)</f>
      </c>
    </row>
    <row r="770" spans="1:13" x14ac:dyDescent="0.25">
      <c r="A770" s="16"/>
      <c r="E770" s="27"/>
      <c r="F770" t="s">
        <v>26</v>
      </c>
      <c r="G770" s="28">
        <f>IFERROR(VLOOKUP(F770,CARTON_LOOKUP!$A:$E,3,0),"")</f>
      </c>
      <c r="H770" s="28">
        <f>IFERROR(VLOOKUP(F770,CARTON_LOOKUP!$A:$E,4,0),"")</f>
      </c>
      <c r="I770" s="28">
        <f>IFERROR(VLOOKUP(F770,CARTON_LOOKUP!$A:$E,5,0),"")</f>
      </c>
      <c r="J770" s="29">
        <f>IFERROR(VLOOKUP(F770,CARTON_LOOKUP!$A:$E,2,0),"")</f>
      </c>
      <c r="K770" s="29">
        <f>IFERROR(J770*D770,0)</f>
      </c>
      <c r="L770" s="29">
        <f>IFERROR(E770*C770,0)</f>
      </c>
      <c r="M770" s="29">
        <f>IFERROR((G770*H770*I770/1000000)*D770,0)</f>
      </c>
    </row>
    <row r="771" spans="1:13" x14ac:dyDescent="0.25">
      <c r="A771" s="16"/>
      <c r="E771" s="27"/>
      <c r="F771" t="s">
        <v>26</v>
      </c>
      <c r="G771" s="28">
        <f>IFERROR(VLOOKUP(F771,CARTON_LOOKUP!$A:$E,3,0),"")</f>
      </c>
      <c r="H771" s="28">
        <f>IFERROR(VLOOKUP(F771,CARTON_LOOKUP!$A:$E,4,0),"")</f>
      </c>
      <c r="I771" s="28">
        <f>IFERROR(VLOOKUP(F771,CARTON_LOOKUP!$A:$E,5,0),"")</f>
      </c>
      <c r="J771" s="29">
        <f>IFERROR(VLOOKUP(F771,CARTON_LOOKUP!$A:$E,2,0),"")</f>
      </c>
      <c r="K771" s="29">
        <f>IFERROR(J771*D771,0)</f>
      </c>
      <c r="L771" s="29">
        <f>IFERROR(E771*C771,0)</f>
      </c>
      <c r="M771" s="29">
        <f>IFERROR((G771*H771*I771/1000000)*D771,0)</f>
      </c>
    </row>
    <row r="772" spans="1:13" x14ac:dyDescent="0.25">
      <c r="A772" s="16"/>
      <c r="E772" s="27"/>
      <c r="F772" t="s">
        <v>26</v>
      </c>
      <c r="G772" s="28">
        <f>IFERROR(VLOOKUP(F772,CARTON_LOOKUP!$A:$E,3,0),"")</f>
      </c>
      <c r="H772" s="28">
        <f>IFERROR(VLOOKUP(F772,CARTON_LOOKUP!$A:$E,4,0),"")</f>
      </c>
      <c r="I772" s="28">
        <f>IFERROR(VLOOKUP(F772,CARTON_LOOKUP!$A:$E,5,0),"")</f>
      </c>
      <c r="J772" s="29">
        <f>IFERROR(VLOOKUP(F772,CARTON_LOOKUP!$A:$E,2,0),"")</f>
      </c>
      <c r="K772" s="29">
        <f>IFERROR(J772*D772,0)</f>
      </c>
      <c r="L772" s="29">
        <f>IFERROR(E772*C772,0)</f>
      </c>
      <c r="M772" s="29">
        <f>IFERROR((G772*H772*I772/1000000)*D772,0)</f>
      </c>
    </row>
    <row r="773" spans="1:13" x14ac:dyDescent="0.25">
      <c r="A773" s="16"/>
      <c r="E773" s="27"/>
      <c r="F773" t="s">
        <v>26</v>
      </c>
      <c r="G773" s="28">
        <f>IFERROR(VLOOKUP(F773,CARTON_LOOKUP!$A:$E,3,0),"")</f>
      </c>
      <c r="H773" s="28">
        <f>IFERROR(VLOOKUP(F773,CARTON_LOOKUP!$A:$E,4,0),"")</f>
      </c>
      <c r="I773" s="28">
        <f>IFERROR(VLOOKUP(F773,CARTON_LOOKUP!$A:$E,5,0),"")</f>
      </c>
      <c r="J773" s="29">
        <f>IFERROR(VLOOKUP(F773,CARTON_LOOKUP!$A:$E,2,0),"")</f>
      </c>
      <c r="K773" s="29">
        <f>IFERROR(J773*D773,0)</f>
      </c>
      <c r="L773" s="29">
        <f>IFERROR(E773*C773,0)</f>
      </c>
      <c r="M773" s="29">
        <f>IFERROR((G773*H773*I773/1000000)*D773,0)</f>
      </c>
    </row>
    <row r="774" spans="1:13" x14ac:dyDescent="0.25">
      <c r="A774" s="16"/>
      <c r="E774" s="27"/>
      <c r="F774" t="s">
        <v>26</v>
      </c>
      <c r="G774" s="28">
        <f>IFERROR(VLOOKUP(F774,CARTON_LOOKUP!$A:$E,3,0),"")</f>
      </c>
      <c r="H774" s="28">
        <f>IFERROR(VLOOKUP(F774,CARTON_LOOKUP!$A:$E,4,0),"")</f>
      </c>
      <c r="I774" s="28">
        <f>IFERROR(VLOOKUP(F774,CARTON_LOOKUP!$A:$E,5,0),"")</f>
      </c>
      <c r="J774" s="29">
        <f>IFERROR(VLOOKUP(F774,CARTON_LOOKUP!$A:$E,2,0),"")</f>
      </c>
      <c r="K774" s="29">
        <f>IFERROR(J774*D774,0)</f>
      </c>
      <c r="L774" s="29">
        <f>IFERROR(E774*C774,0)</f>
      </c>
      <c r="M774" s="29">
        <f>IFERROR((G774*H774*I774/1000000)*D774,0)</f>
      </c>
    </row>
    <row r="775" spans="1:13" x14ac:dyDescent="0.25">
      <c r="A775" s="16"/>
      <c r="E775" s="27"/>
      <c r="F775" t="s">
        <v>26</v>
      </c>
      <c r="G775" s="28">
        <f>IFERROR(VLOOKUP(F775,CARTON_LOOKUP!$A:$E,3,0),"")</f>
      </c>
      <c r="H775" s="28">
        <f>IFERROR(VLOOKUP(F775,CARTON_LOOKUP!$A:$E,4,0),"")</f>
      </c>
      <c r="I775" s="28">
        <f>IFERROR(VLOOKUP(F775,CARTON_LOOKUP!$A:$E,5,0),"")</f>
      </c>
      <c r="J775" s="29">
        <f>IFERROR(VLOOKUP(F775,CARTON_LOOKUP!$A:$E,2,0),"")</f>
      </c>
      <c r="K775" s="29">
        <f>IFERROR(J775*D775,0)</f>
      </c>
      <c r="L775" s="29">
        <f>IFERROR(E775*C775,0)</f>
      </c>
      <c r="M775" s="29">
        <f>IFERROR((G775*H775*I775/1000000)*D775,0)</f>
      </c>
    </row>
    <row r="776" spans="1:13" x14ac:dyDescent="0.25">
      <c r="A776" s="16"/>
      <c r="E776" s="27"/>
      <c r="F776" t="s">
        <v>26</v>
      </c>
      <c r="G776" s="28">
        <f>IFERROR(VLOOKUP(F776,CARTON_LOOKUP!$A:$E,3,0),"")</f>
      </c>
      <c r="H776" s="28">
        <f>IFERROR(VLOOKUP(F776,CARTON_LOOKUP!$A:$E,4,0),"")</f>
      </c>
      <c r="I776" s="28">
        <f>IFERROR(VLOOKUP(F776,CARTON_LOOKUP!$A:$E,5,0),"")</f>
      </c>
      <c r="J776" s="29">
        <f>IFERROR(VLOOKUP(F776,CARTON_LOOKUP!$A:$E,2,0),"")</f>
      </c>
      <c r="K776" s="29">
        <f>IFERROR(J776*D776,0)</f>
      </c>
      <c r="L776" s="29">
        <f>IFERROR(E776*C776,0)</f>
      </c>
      <c r="M776" s="29">
        <f>IFERROR((G776*H776*I776/1000000)*D776,0)</f>
      </c>
    </row>
    <row r="777" spans="1:13" x14ac:dyDescent="0.25">
      <c r="A777" s="16"/>
      <c r="E777" s="27"/>
      <c r="F777" t="s">
        <v>26</v>
      </c>
      <c r="G777" s="28">
        <f>IFERROR(VLOOKUP(F777,CARTON_LOOKUP!$A:$E,3,0),"")</f>
      </c>
      <c r="H777" s="28">
        <f>IFERROR(VLOOKUP(F777,CARTON_LOOKUP!$A:$E,4,0),"")</f>
      </c>
      <c r="I777" s="28">
        <f>IFERROR(VLOOKUP(F777,CARTON_LOOKUP!$A:$E,5,0),"")</f>
      </c>
      <c r="J777" s="29">
        <f>IFERROR(VLOOKUP(F777,CARTON_LOOKUP!$A:$E,2,0),"")</f>
      </c>
      <c r="K777" s="29">
        <f>IFERROR(J777*D777,0)</f>
      </c>
      <c r="L777" s="29">
        <f>IFERROR(E777*C777,0)</f>
      </c>
      <c r="M777" s="29">
        <f>IFERROR((G777*H777*I777/1000000)*D777,0)</f>
      </c>
    </row>
    <row r="778" spans="1:13" x14ac:dyDescent="0.25">
      <c r="A778" s="16"/>
      <c r="E778" s="27"/>
      <c r="F778" t="s">
        <v>26</v>
      </c>
      <c r="G778" s="28">
        <f>IFERROR(VLOOKUP(F778,CARTON_LOOKUP!$A:$E,3,0),"")</f>
      </c>
      <c r="H778" s="28">
        <f>IFERROR(VLOOKUP(F778,CARTON_LOOKUP!$A:$E,4,0),"")</f>
      </c>
      <c r="I778" s="28">
        <f>IFERROR(VLOOKUP(F778,CARTON_LOOKUP!$A:$E,5,0),"")</f>
      </c>
      <c r="J778" s="29">
        <f>IFERROR(VLOOKUP(F778,CARTON_LOOKUP!$A:$E,2,0),"")</f>
      </c>
      <c r="K778" s="29">
        <f>IFERROR(J778*D778,0)</f>
      </c>
      <c r="L778" s="29">
        <f>IFERROR(E778*C778,0)</f>
      </c>
      <c r="M778" s="29">
        <f>IFERROR((G778*H778*I778/1000000)*D778,0)</f>
      </c>
    </row>
    <row r="779" spans="1:13" x14ac:dyDescent="0.25">
      <c r="A779" s="16"/>
      <c r="E779" s="27"/>
      <c r="F779" t="s">
        <v>26</v>
      </c>
      <c r="G779" s="28">
        <f>IFERROR(VLOOKUP(F779,CARTON_LOOKUP!$A:$E,3,0),"")</f>
      </c>
      <c r="H779" s="28">
        <f>IFERROR(VLOOKUP(F779,CARTON_LOOKUP!$A:$E,4,0),"")</f>
      </c>
      <c r="I779" s="28">
        <f>IFERROR(VLOOKUP(F779,CARTON_LOOKUP!$A:$E,5,0),"")</f>
      </c>
      <c r="J779" s="29">
        <f>IFERROR(VLOOKUP(F779,CARTON_LOOKUP!$A:$E,2,0),"")</f>
      </c>
      <c r="K779" s="29">
        <f>IFERROR(J779*D779,0)</f>
      </c>
      <c r="L779" s="29">
        <f>IFERROR(E779*C779,0)</f>
      </c>
      <c r="M779" s="29">
        <f>IFERROR((G779*H779*I779/1000000)*D779,0)</f>
      </c>
    </row>
    <row r="780" spans="1:13" x14ac:dyDescent="0.25">
      <c r="A780" s="16"/>
      <c r="E780" s="27"/>
      <c r="F780" t="s">
        <v>26</v>
      </c>
      <c r="G780" s="28">
        <f>IFERROR(VLOOKUP(F780,CARTON_LOOKUP!$A:$E,3,0),"")</f>
      </c>
      <c r="H780" s="28">
        <f>IFERROR(VLOOKUP(F780,CARTON_LOOKUP!$A:$E,4,0),"")</f>
      </c>
      <c r="I780" s="28">
        <f>IFERROR(VLOOKUP(F780,CARTON_LOOKUP!$A:$E,5,0),"")</f>
      </c>
      <c r="J780" s="29">
        <f>IFERROR(VLOOKUP(F780,CARTON_LOOKUP!$A:$E,2,0),"")</f>
      </c>
      <c r="K780" s="29">
        <f>IFERROR(J780*D780,0)</f>
      </c>
      <c r="L780" s="29">
        <f>IFERROR(E780*C780,0)</f>
      </c>
      <c r="M780" s="29">
        <f>IFERROR((G780*H780*I780/1000000)*D780,0)</f>
      </c>
    </row>
    <row r="781" spans="1:13" x14ac:dyDescent="0.25">
      <c r="A781" s="16"/>
      <c r="E781" s="27"/>
      <c r="F781" t="s">
        <v>26</v>
      </c>
      <c r="G781" s="28">
        <f>IFERROR(VLOOKUP(F781,CARTON_LOOKUP!$A:$E,3,0),"")</f>
      </c>
      <c r="H781" s="28">
        <f>IFERROR(VLOOKUP(F781,CARTON_LOOKUP!$A:$E,4,0),"")</f>
      </c>
      <c r="I781" s="28">
        <f>IFERROR(VLOOKUP(F781,CARTON_LOOKUP!$A:$E,5,0),"")</f>
      </c>
      <c r="J781" s="29">
        <f>IFERROR(VLOOKUP(F781,CARTON_LOOKUP!$A:$E,2,0),"")</f>
      </c>
      <c r="K781" s="29">
        <f>IFERROR(J781*D781,0)</f>
      </c>
      <c r="L781" s="29">
        <f>IFERROR(E781*C781,0)</f>
      </c>
      <c r="M781" s="29">
        <f>IFERROR((G781*H781*I781/1000000)*D781,0)</f>
      </c>
    </row>
    <row r="782" spans="1:13" x14ac:dyDescent="0.25">
      <c r="A782" s="16"/>
      <c r="E782" s="27"/>
      <c r="F782" t="s">
        <v>26</v>
      </c>
      <c r="G782" s="28">
        <f>IFERROR(VLOOKUP(F782,CARTON_LOOKUP!$A:$E,3,0),"")</f>
      </c>
      <c r="H782" s="28">
        <f>IFERROR(VLOOKUP(F782,CARTON_LOOKUP!$A:$E,4,0),"")</f>
      </c>
      <c r="I782" s="28">
        <f>IFERROR(VLOOKUP(F782,CARTON_LOOKUP!$A:$E,5,0),"")</f>
      </c>
      <c r="J782" s="29">
        <f>IFERROR(VLOOKUP(F782,CARTON_LOOKUP!$A:$E,2,0),"")</f>
      </c>
      <c r="K782" s="29">
        <f>IFERROR(J782*D782,0)</f>
      </c>
      <c r="L782" s="29">
        <f>IFERROR(E782*C782,0)</f>
      </c>
      <c r="M782" s="29">
        <f>IFERROR((G782*H782*I782/1000000)*D782,0)</f>
      </c>
    </row>
    <row r="783" spans="1:13" x14ac:dyDescent="0.25">
      <c r="A783" s="16"/>
      <c r="E783" s="27"/>
      <c r="F783" t="s">
        <v>26</v>
      </c>
      <c r="G783" s="28">
        <f>IFERROR(VLOOKUP(F783,CARTON_LOOKUP!$A:$E,3,0),"")</f>
      </c>
      <c r="H783" s="28">
        <f>IFERROR(VLOOKUP(F783,CARTON_LOOKUP!$A:$E,4,0),"")</f>
      </c>
      <c r="I783" s="28">
        <f>IFERROR(VLOOKUP(F783,CARTON_LOOKUP!$A:$E,5,0),"")</f>
      </c>
      <c r="J783" s="29">
        <f>IFERROR(VLOOKUP(F783,CARTON_LOOKUP!$A:$E,2,0),"")</f>
      </c>
      <c r="K783" s="29">
        <f>IFERROR(J783*D783,0)</f>
      </c>
      <c r="L783" s="29">
        <f>IFERROR(E783*C783,0)</f>
      </c>
      <c r="M783" s="29">
        <f>IFERROR((G783*H783*I783/1000000)*D783,0)</f>
      </c>
    </row>
    <row r="784" spans="1:13" x14ac:dyDescent="0.25">
      <c r="A784" s="16"/>
      <c r="E784" s="27"/>
      <c r="F784" t="s">
        <v>26</v>
      </c>
      <c r="G784" s="28">
        <f>IFERROR(VLOOKUP(F784,CARTON_LOOKUP!$A:$E,3,0),"")</f>
      </c>
      <c r="H784" s="28">
        <f>IFERROR(VLOOKUP(F784,CARTON_LOOKUP!$A:$E,4,0),"")</f>
      </c>
      <c r="I784" s="28">
        <f>IFERROR(VLOOKUP(F784,CARTON_LOOKUP!$A:$E,5,0),"")</f>
      </c>
      <c r="J784" s="29">
        <f>IFERROR(VLOOKUP(F784,CARTON_LOOKUP!$A:$E,2,0),"")</f>
      </c>
      <c r="K784" s="29">
        <f>IFERROR(J784*D784,0)</f>
      </c>
      <c r="L784" s="29">
        <f>IFERROR(E784*C784,0)</f>
      </c>
      <c r="M784" s="29">
        <f>IFERROR((G784*H784*I784/1000000)*D784,0)</f>
      </c>
    </row>
    <row r="785" spans="1:13" x14ac:dyDescent="0.25">
      <c r="A785" s="16"/>
      <c r="E785" s="27"/>
      <c r="F785" t="s">
        <v>26</v>
      </c>
      <c r="G785" s="28">
        <f>IFERROR(VLOOKUP(F785,CARTON_LOOKUP!$A:$E,3,0),"")</f>
      </c>
      <c r="H785" s="28">
        <f>IFERROR(VLOOKUP(F785,CARTON_LOOKUP!$A:$E,4,0),"")</f>
      </c>
      <c r="I785" s="28">
        <f>IFERROR(VLOOKUP(F785,CARTON_LOOKUP!$A:$E,5,0),"")</f>
      </c>
      <c r="J785" s="29">
        <f>IFERROR(VLOOKUP(F785,CARTON_LOOKUP!$A:$E,2,0),"")</f>
      </c>
      <c r="K785" s="29">
        <f>IFERROR(J785*D785,0)</f>
      </c>
      <c r="L785" s="29">
        <f>IFERROR(E785*C785,0)</f>
      </c>
      <c r="M785" s="29">
        <f>IFERROR((G785*H785*I785/1000000)*D785,0)</f>
      </c>
    </row>
    <row r="786" spans="1:13" x14ac:dyDescent="0.25">
      <c r="A786" s="16"/>
      <c r="E786" s="27"/>
      <c r="F786" t="s">
        <v>26</v>
      </c>
      <c r="G786" s="28">
        <f>IFERROR(VLOOKUP(F786,CARTON_LOOKUP!$A:$E,3,0),"")</f>
      </c>
      <c r="H786" s="28">
        <f>IFERROR(VLOOKUP(F786,CARTON_LOOKUP!$A:$E,4,0),"")</f>
      </c>
      <c r="I786" s="28">
        <f>IFERROR(VLOOKUP(F786,CARTON_LOOKUP!$A:$E,5,0),"")</f>
      </c>
      <c r="J786" s="29">
        <f>IFERROR(VLOOKUP(F786,CARTON_LOOKUP!$A:$E,2,0),"")</f>
      </c>
      <c r="K786" s="29">
        <f>IFERROR(J786*D786,0)</f>
      </c>
      <c r="L786" s="29">
        <f>IFERROR(E786*C786,0)</f>
      </c>
      <c r="M786" s="29">
        <f>IFERROR((G786*H786*I786/1000000)*D786,0)</f>
      </c>
    </row>
    <row r="787" spans="1:13" x14ac:dyDescent="0.25">
      <c r="A787" s="16"/>
      <c r="E787" s="27"/>
      <c r="F787" t="s">
        <v>26</v>
      </c>
      <c r="G787" s="28">
        <f>IFERROR(VLOOKUP(F787,CARTON_LOOKUP!$A:$E,3,0),"")</f>
      </c>
      <c r="H787" s="28">
        <f>IFERROR(VLOOKUP(F787,CARTON_LOOKUP!$A:$E,4,0),"")</f>
      </c>
      <c r="I787" s="28">
        <f>IFERROR(VLOOKUP(F787,CARTON_LOOKUP!$A:$E,5,0),"")</f>
      </c>
      <c r="J787" s="29">
        <f>IFERROR(VLOOKUP(F787,CARTON_LOOKUP!$A:$E,2,0),"")</f>
      </c>
      <c r="K787" s="29">
        <f>IFERROR(J787*D787,0)</f>
      </c>
      <c r="L787" s="29">
        <f>IFERROR(E787*C787,0)</f>
      </c>
      <c r="M787" s="29">
        <f>IFERROR((G787*H787*I787/1000000)*D787,0)</f>
      </c>
    </row>
    <row r="788" spans="1:13" x14ac:dyDescent="0.25">
      <c r="A788" s="16"/>
      <c r="E788" s="27"/>
      <c r="F788" t="s">
        <v>26</v>
      </c>
      <c r="G788" s="28">
        <f>IFERROR(VLOOKUP(F788,CARTON_LOOKUP!$A:$E,3,0),"")</f>
      </c>
      <c r="H788" s="28">
        <f>IFERROR(VLOOKUP(F788,CARTON_LOOKUP!$A:$E,4,0),"")</f>
      </c>
      <c r="I788" s="28">
        <f>IFERROR(VLOOKUP(F788,CARTON_LOOKUP!$A:$E,5,0),"")</f>
      </c>
      <c r="J788" s="29">
        <f>IFERROR(VLOOKUP(F788,CARTON_LOOKUP!$A:$E,2,0),"")</f>
      </c>
      <c r="K788" s="29">
        <f>IFERROR(J788*D788,0)</f>
      </c>
      <c r="L788" s="29">
        <f>IFERROR(E788*C788,0)</f>
      </c>
      <c r="M788" s="29">
        <f>IFERROR((G788*H788*I788/1000000)*D788,0)</f>
      </c>
    </row>
    <row r="789" spans="1:13" x14ac:dyDescent="0.25">
      <c r="A789" s="16"/>
      <c r="E789" s="27"/>
      <c r="F789" t="s">
        <v>26</v>
      </c>
      <c r="G789" s="28">
        <f>IFERROR(VLOOKUP(F789,CARTON_LOOKUP!$A:$E,3,0),"")</f>
      </c>
      <c r="H789" s="28">
        <f>IFERROR(VLOOKUP(F789,CARTON_LOOKUP!$A:$E,4,0),"")</f>
      </c>
      <c r="I789" s="28">
        <f>IFERROR(VLOOKUP(F789,CARTON_LOOKUP!$A:$E,5,0),"")</f>
      </c>
      <c r="J789" s="29">
        <f>IFERROR(VLOOKUP(F789,CARTON_LOOKUP!$A:$E,2,0),"")</f>
      </c>
      <c r="K789" s="29">
        <f>IFERROR(J789*D789,0)</f>
      </c>
      <c r="L789" s="29">
        <f>IFERROR(E789*C789,0)</f>
      </c>
      <c r="M789" s="29">
        <f>IFERROR((G789*H789*I789/1000000)*D789,0)</f>
      </c>
    </row>
    <row r="790" spans="1:13" x14ac:dyDescent="0.25">
      <c r="A790" s="16"/>
      <c r="E790" s="27"/>
      <c r="F790" t="s">
        <v>26</v>
      </c>
      <c r="G790" s="28">
        <f>IFERROR(VLOOKUP(F790,CARTON_LOOKUP!$A:$E,3,0),"")</f>
      </c>
      <c r="H790" s="28">
        <f>IFERROR(VLOOKUP(F790,CARTON_LOOKUP!$A:$E,4,0),"")</f>
      </c>
      <c r="I790" s="28">
        <f>IFERROR(VLOOKUP(F790,CARTON_LOOKUP!$A:$E,5,0),"")</f>
      </c>
      <c r="J790" s="29">
        <f>IFERROR(VLOOKUP(F790,CARTON_LOOKUP!$A:$E,2,0),"")</f>
      </c>
      <c r="K790" s="29">
        <f>IFERROR(J790*D790,0)</f>
      </c>
      <c r="L790" s="29">
        <f>IFERROR(E790*C790,0)</f>
      </c>
      <c r="M790" s="29">
        <f>IFERROR((G790*H790*I790/1000000)*D790,0)</f>
      </c>
    </row>
    <row r="791" spans="1:13" x14ac:dyDescent="0.25">
      <c r="A791" s="16"/>
      <c r="E791" s="27"/>
      <c r="F791" t="s">
        <v>26</v>
      </c>
      <c r="G791" s="28">
        <f>IFERROR(VLOOKUP(F791,CARTON_LOOKUP!$A:$E,3,0),"")</f>
      </c>
      <c r="H791" s="28">
        <f>IFERROR(VLOOKUP(F791,CARTON_LOOKUP!$A:$E,4,0),"")</f>
      </c>
      <c r="I791" s="28">
        <f>IFERROR(VLOOKUP(F791,CARTON_LOOKUP!$A:$E,5,0),"")</f>
      </c>
      <c r="J791" s="29">
        <f>IFERROR(VLOOKUP(F791,CARTON_LOOKUP!$A:$E,2,0),"")</f>
      </c>
      <c r="K791" s="29">
        <f>IFERROR(J791*D791,0)</f>
      </c>
      <c r="L791" s="29">
        <f>IFERROR(E791*C791,0)</f>
      </c>
      <c r="M791" s="29">
        <f>IFERROR((G791*H791*I791/1000000)*D791,0)</f>
      </c>
    </row>
    <row r="792" spans="1:13" x14ac:dyDescent="0.25">
      <c r="A792" s="16"/>
      <c r="E792" s="27"/>
      <c r="F792" t="s">
        <v>26</v>
      </c>
      <c r="G792" s="28">
        <f>IFERROR(VLOOKUP(F792,CARTON_LOOKUP!$A:$E,3,0),"")</f>
      </c>
      <c r="H792" s="28">
        <f>IFERROR(VLOOKUP(F792,CARTON_LOOKUP!$A:$E,4,0),"")</f>
      </c>
      <c r="I792" s="28">
        <f>IFERROR(VLOOKUP(F792,CARTON_LOOKUP!$A:$E,5,0),"")</f>
      </c>
      <c r="J792" s="29">
        <f>IFERROR(VLOOKUP(F792,CARTON_LOOKUP!$A:$E,2,0),"")</f>
      </c>
      <c r="K792" s="29">
        <f>IFERROR(J792*D792,0)</f>
      </c>
      <c r="L792" s="29">
        <f>IFERROR(E792*C792,0)</f>
      </c>
      <c r="M792" s="29">
        <f>IFERROR((G792*H792*I792/1000000)*D792,0)</f>
      </c>
    </row>
    <row r="793" spans="1:13" x14ac:dyDescent="0.25">
      <c r="A793" s="16"/>
      <c r="E793" s="27"/>
      <c r="F793" t="s">
        <v>26</v>
      </c>
      <c r="G793" s="28">
        <f>IFERROR(VLOOKUP(F793,CARTON_LOOKUP!$A:$E,3,0),"")</f>
      </c>
      <c r="H793" s="28">
        <f>IFERROR(VLOOKUP(F793,CARTON_LOOKUP!$A:$E,4,0),"")</f>
      </c>
      <c r="I793" s="28">
        <f>IFERROR(VLOOKUP(F793,CARTON_LOOKUP!$A:$E,5,0),"")</f>
      </c>
      <c r="J793" s="29">
        <f>IFERROR(VLOOKUP(F793,CARTON_LOOKUP!$A:$E,2,0),"")</f>
      </c>
      <c r="K793" s="29">
        <f>IFERROR(J793*D793,0)</f>
      </c>
      <c r="L793" s="29">
        <f>IFERROR(E793*C793,0)</f>
      </c>
      <c r="M793" s="29">
        <f>IFERROR((G793*H793*I793/1000000)*D793,0)</f>
      </c>
    </row>
    <row r="794" spans="1:13" x14ac:dyDescent="0.25">
      <c r="A794" s="16"/>
      <c r="E794" s="27"/>
      <c r="F794" t="s">
        <v>26</v>
      </c>
      <c r="G794" s="28">
        <f>IFERROR(VLOOKUP(F794,CARTON_LOOKUP!$A:$E,3,0),"")</f>
      </c>
      <c r="H794" s="28">
        <f>IFERROR(VLOOKUP(F794,CARTON_LOOKUP!$A:$E,4,0),"")</f>
      </c>
      <c r="I794" s="28">
        <f>IFERROR(VLOOKUP(F794,CARTON_LOOKUP!$A:$E,5,0),"")</f>
      </c>
      <c r="J794" s="29">
        <f>IFERROR(VLOOKUP(F794,CARTON_LOOKUP!$A:$E,2,0),"")</f>
      </c>
      <c r="K794" s="29">
        <f>IFERROR(J794*D794,0)</f>
      </c>
      <c r="L794" s="29">
        <f>IFERROR(E794*C794,0)</f>
      </c>
      <c r="M794" s="29">
        <f>IFERROR((G794*H794*I794/1000000)*D794,0)</f>
      </c>
    </row>
    <row r="795" spans="1:13" x14ac:dyDescent="0.25">
      <c r="A795" s="16"/>
      <c r="E795" s="27"/>
      <c r="F795" t="s">
        <v>26</v>
      </c>
      <c r="G795" s="28">
        <f>IFERROR(VLOOKUP(F795,CARTON_LOOKUP!$A:$E,3,0),"")</f>
      </c>
      <c r="H795" s="28">
        <f>IFERROR(VLOOKUP(F795,CARTON_LOOKUP!$A:$E,4,0),"")</f>
      </c>
      <c r="I795" s="28">
        <f>IFERROR(VLOOKUP(F795,CARTON_LOOKUP!$A:$E,5,0),"")</f>
      </c>
      <c r="J795" s="29">
        <f>IFERROR(VLOOKUP(F795,CARTON_LOOKUP!$A:$E,2,0),"")</f>
      </c>
      <c r="K795" s="29">
        <f>IFERROR(J795*D795,0)</f>
      </c>
      <c r="L795" s="29">
        <f>IFERROR(E795*C795,0)</f>
      </c>
      <c r="M795" s="29">
        <f>IFERROR((G795*H795*I795/1000000)*D795,0)</f>
      </c>
    </row>
    <row r="796" spans="1:13" x14ac:dyDescent="0.25">
      <c r="A796" s="16"/>
      <c r="E796" s="27"/>
      <c r="F796" t="s">
        <v>26</v>
      </c>
      <c r="G796" s="28">
        <f>IFERROR(VLOOKUP(F796,CARTON_LOOKUP!$A:$E,3,0),"")</f>
      </c>
      <c r="H796" s="28">
        <f>IFERROR(VLOOKUP(F796,CARTON_LOOKUP!$A:$E,4,0),"")</f>
      </c>
      <c r="I796" s="28">
        <f>IFERROR(VLOOKUP(F796,CARTON_LOOKUP!$A:$E,5,0),"")</f>
      </c>
      <c r="J796" s="29">
        <f>IFERROR(VLOOKUP(F796,CARTON_LOOKUP!$A:$E,2,0),"")</f>
      </c>
      <c r="K796" s="29">
        <f>IFERROR(J796*D796,0)</f>
      </c>
      <c r="L796" s="29">
        <f>IFERROR(E796*C796,0)</f>
      </c>
      <c r="M796" s="29">
        <f>IFERROR((G796*H796*I796/1000000)*D796,0)</f>
      </c>
    </row>
    <row r="797" spans="1:13" x14ac:dyDescent="0.25">
      <c r="A797" s="16"/>
      <c r="E797" s="27"/>
      <c r="F797" t="s">
        <v>26</v>
      </c>
      <c r="G797" s="28">
        <f>IFERROR(VLOOKUP(F797,CARTON_LOOKUP!$A:$E,3,0),"")</f>
      </c>
      <c r="H797" s="28">
        <f>IFERROR(VLOOKUP(F797,CARTON_LOOKUP!$A:$E,4,0),"")</f>
      </c>
      <c r="I797" s="28">
        <f>IFERROR(VLOOKUP(F797,CARTON_LOOKUP!$A:$E,5,0),"")</f>
      </c>
      <c r="J797" s="29">
        <f>IFERROR(VLOOKUP(F797,CARTON_LOOKUP!$A:$E,2,0),"")</f>
      </c>
      <c r="K797" s="29">
        <f>IFERROR(J797*D797,0)</f>
      </c>
      <c r="L797" s="29">
        <f>IFERROR(E797*C797,0)</f>
      </c>
      <c r="M797" s="29">
        <f>IFERROR((G797*H797*I797/1000000)*D797,0)</f>
      </c>
    </row>
    <row r="798" spans="1:13" x14ac:dyDescent="0.25">
      <c r="A798" s="16"/>
      <c r="E798" s="27"/>
      <c r="F798" t="s">
        <v>26</v>
      </c>
      <c r="G798" s="28">
        <f>IFERROR(VLOOKUP(F798,CARTON_LOOKUP!$A:$E,3,0),"")</f>
      </c>
      <c r="H798" s="28">
        <f>IFERROR(VLOOKUP(F798,CARTON_LOOKUP!$A:$E,4,0),"")</f>
      </c>
      <c r="I798" s="28">
        <f>IFERROR(VLOOKUP(F798,CARTON_LOOKUP!$A:$E,5,0),"")</f>
      </c>
      <c r="J798" s="29">
        <f>IFERROR(VLOOKUP(F798,CARTON_LOOKUP!$A:$E,2,0),"")</f>
      </c>
      <c r="K798" s="29">
        <f>IFERROR(J798*D798,0)</f>
      </c>
      <c r="L798" s="29">
        <f>IFERROR(E798*C798,0)</f>
      </c>
      <c r="M798" s="29">
        <f>IFERROR((G798*H798*I798/1000000)*D798,0)</f>
      </c>
    </row>
    <row r="799" spans="1:13" x14ac:dyDescent="0.25">
      <c r="A799" s="16"/>
      <c r="E799" s="27"/>
      <c r="F799" t="s">
        <v>26</v>
      </c>
      <c r="G799" s="28">
        <f>IFERROR(VLOOKUP(F799,CARTON_LOOKUP!$A:$E,3,0),"")</f>
      </c>
      <c r="H799" s="28">
        <f>IFERROR(VLOOKUP(F799,CARTON_LOOKUP!$A:$E,4,0),"")</f>
      </c>
      <c r="I799" s="28">
        <f>IFERROR(VLOOKUP(F799,CARTON_LOOKUP!$A:$E,5,0),"")</f>
      </c>
      <c r="J799" s="29">
        <f>IFERROR(VLOOKUP(F799,CARTON_LOOKUP!$A:$E,2,0),"")</f>
      </c>
      <c r="K799" s="29">
        <f>IFERROR(J799*D799,0)</f>
      </c>
      <c r="L799" s="29">
        <f>IFERROR(E799*C799,0)</f>
      </c>
      <c r="M799" s="29">
        <f>IFERROR((G799*H799*I799/1000000)*D799,0)</f>
      </c>
    </row>
    <row r="800" spans="1:13" x14ac:dyDescent="0.25">
      <c r="A800" s="16"/>
      <c r="E800" s="27"/>
      <c r="F800" t="s">
        <v>26</v>
      </c>
      <c r="G800" s="28">
        <f>IFERROR(VLOOKUP(F800,CARTON_LOOKUP!$A:$E,3,0),"")</f>
      </c>
      <c r="H800" s="28">
        <f>IFERROR(VLOOKUP(F800,CARTON_LOOKUP!$A:$E,4,0),"")</f>
      </c>
      <c r="I800" s="28">
        <f>IFERROR(VLOOKUP(F800,CARTON_LOOKUP!$A:$E,5,0),"")</f>
      </c>
      <c r="J800" s="29">
        <f>IFERROR(VLOOKUP(F800,CARTON_LOOKUP!$A:$E,2,0),"")</f>
      </c>
      <c r="K800" s="29">
        <f>IFERROR(J800*D800,0)</f>
      </c>
      <c r="L800" s="29">
        <f>IFERROR(E800*C800,0)</f>
      </c>
      <c r="M800" s="29">
        <f>IFERROR((G800*H800*I800/1000000)*D800,0)</f>
      </c>
    </row>
    <row r="801" spans="1:13" x14ac:dyDescent="0.25">
      <c r="A801" s="16"/>
      <c r="E801" s="27"/>
      <c r="F801" t="s">
        <v>26</v>
      </c>
      <c r="G801" s="28">
        <f>IFERROR(VLOOKUP(F801,CARTON_LOOKUP!$A:$E,3,0),"")</f>
      </c>
      <c r="H801" s="28">
        <f>IFERROR(VLOOKUP(F801,CARTON_LOOKUP!$A:$E,4,0),"")</f>
      </c>
      <c r="I801" s="28">
        <f>IFERROR(VLOOKUP(F801,CARTON_LOOKUP!$A:$E,5,0),"")</f>
      </c>
      <c r="J801" s="29">
        <f>IFERROR(VLOOKUP(F801,CARTON_LOOKUP!$A:$E,2,0),"")</f>
      </c>
      <c r="K801" s="29">
        <f>IFERROR(J801*D801,0)</f>
      </c>
      <c r="L801" s="29">
        <f>IFERROR(E801*C801,0)</f>
      </c>
      <c r="M801" s="29">
        <f>IFERROR((G801*H801*I801/1000000)*D801,0)</f>
      </c>
    </row>
    <row r="802" spans="1:13" x14ac:dyDescent="0.25">
      <c r="A802" s="16"/>
      <c r="E802" s="27"/>
      <c r="F802" t="s">
        <v>26</v>
      </c>
      <c r="G802" s="28">
        <f>IFERROR(VLOOKUP(F802,CARTON_LOOKUP!$A:$E,3,0),"")</f>
      </c>
      <c r="H802" s="28">
        <f>IFERROR(VLOOKUP(F802,CARTON_LOOKUP!$A:$E,4,0),"")</f>
      </c>
      <c r="I802" s="28">
        <f>IFERROR(VLOOKUP(F802,CARTON_LOOKUP!$A:$E,5,0),"")</f>
      </c>
      <c r="J802" s="29">
        <f>IFERROR(VLOOKUP(F802,CARTON_LOOKUP!$A:$E,2,0),"")</f>
      </c>
      <c r="K802" s="29">
        <f>IFERROR(J802*D802,0)</f>
      </c>
      <c r="L802" s="29">
        <f>IFERROR(E802*C802,0)</f>
      </c>
      <c r="M802" s="29">
        <f>IFERROR((G802*H802*I802/1000000)*D802,0)</f>
      </c>
    </row>
    <row r="803" spans="1:13" x14ac:dyDescent="0.25">
      <c r="A803" s="16"/>
      <c r="E803" s="27"/>
      <c r="F803" t="s">
        <v>26</v>
      </c>
      <c r="G803" s="28">
        <f>IFERROR(VLOOKUP(F803,CARTON_LOOKUP!$A:$E,3,0),"")</f>
      </c>
      <c r="H803" s="28">
        <f>IFERROR(VLOOKUP(F803,CARTON_LOOKUP!$A:$E,4,0),"")</f>
      </c>
      <c r="I803" s="28">
        <f>IFERROR(VLOOKUP(F803,CARTON_LOOKUP!$A:$E,5,0),"")</f>
      </c>
      <c r="J803" s="29">
        <f>IFERROR(VLOOKUP(F803,CARTON_LOOKUP!$A:$E,2,0),"")</f>
      </c>
      <c r="K803" s="29">
        <f>IFERROR(J803*D803,0)</f>
      </c>
      <c r="L803" s="29">
        <f>IFERROR(E803*C803,0)</f>
      </c>
      <c r="M803" s="29">
        <f>IFERROR((G803*H803*I803/1000000)*D803,0)</f>
      </c>
    </row>
    <row r="804" spans="1:13" x14ac:dyDescent="0.25">
      <c r="A804" s="16"/>
      <c r="E804" s="27"/>
      <c r="F804" t="s">
        <v>26</v>
      </c>
      <c r="G804" s="28">
        <f>IFERROR(VLOOKUP(F804,CARTON_LOOKUP!$A:$E,3,0),"")</f>
      </c>
      <c r="H804" s="28">
        <f>IFERROR(VLOOKUP(F804,CARTON_LOOKUP!$A:$E,4,0),"")</f>
      </c>
      <c r="I804" s="28">
        <f>IFERROR(VLOOKUP(F804,CARTON_LOOKUP!$A:$E,5,0),"")</f>
      </c>
      <c r="J804" s="29">
        <f>IFERROR(VLOOKUP(F804,CARTON_LOOKUP!$A:$E,2,0),"")</f>
      </c>
      <c r="K804" s="29">
        <f>IFERROR(J804*D804,0)</f>
      </c>
      <c r="L804" s="29">
        <f>IFERROR(E804*C804,0)</f>
      </c>
      <c r="M804" s="29">
        <f>IFERROR((G804*H804*I804/1000000)*D804,0)</f>
      </c>
    </row>
    <row r="805" spans="1:13" x14ac:dyDescent="0.25">
      <c r="A805" s="16"/>
      <c r="E805" s="27"/>
      <c r="F805" t="s">
        <v>26</v>
      </c>
      <c r="G805" s="28">
        <f>IFERROR(VLOOKUP(F805,CARTON_LOOKUP!$A:$E,3,0),"")</f>
      </c>
      <c r="H805" s="28">
        <f>IFERROR(VLOOKUP(F805,CARTON_LOOKUP!$A:$E,4,0),"")</f>
      </c>
      <c r="I805" s="28">
        <f>IFERROR(VLOOKUP(F805,CARTON_LOOKUP!$A:$E,5,0),"")</f>
      </c>
      <c r="J805" s="29">
        <f>IFERROR(VLOOKUP(F805,CARTON_LOOKUP!$A:$E,2,0),"")</f>
      </c>
      <c r="K805" s="29">
        <f>IFERROR(J805*D805,0)</f>
      </c>
      <c r="L805" s="29">
        <f>IFERROR(E805*C805,0)</f>
      </c>
      <c r="M805" s="29">
        <f>IFERROR((G805*H805*I805/1000000)*D805,0)</f>
      </c>
    </row>
    <row r="806" spans="1:13" x14ac:dyDescent="0.25">
      <c r="A806" s="16"/>
      <c r="E806" s="27"/>
      <c r="F806" t="s">
        <v>26</v>
      </c>
      <c r="G806" s="28">
        <f>IFERROR(VLOOKUP(F806,CARTON_LOOKUP!$A:$E,3,0),"")</f>
      </c>
      <c r="H806" s="28">
        <f>IFERROR(VLOOKUP(F806,CARTON_LOOKUP!$A:$E,4,0),"")</f>
      </c>
      <c r="I806" s="28">
        <f>IFERROR(VLOOKUP(F806,CARTON_LOOKUP!$A:$E,5,0),"")</f>
      </c>
      <c r="J806" s="29">
        <f>IFERROR(VLOOKUP(F806,CARTON_LOOKUP!$A:$E,2,0),"")</f>
      </c>
      <c r="K806" s="29">
        <f>IFERROR(J806*D806,0)</f>
      </c>
      <c r="L806" s="29">
        <f>IFERROR(E806*C806,0)</f>
      </c>
      <c r="M806" s="29">
        <f>IFERROR((G806*H806*I806/1000000)*D806,0)</f>
      </c>
    </row>
    <row r="807" spans="1:13" x14ac:dyDescent="0.25">
      <c r="A807" s="16"/>
      <c r="E807" s="27"/>
      <c r="F807" t="s">
        <v>26</v>
      </c>
      <c r="G807" s="28">
        <f>IFERROR(VLOOKUP(F807,CARTON_LOOKUP!$A:$E,3,0),"")</f>
      </c>
      <c r="H807" s="28">
        <f>IFERROR(VLOOKUP(F807,CARTON_LOOKUP!$A:$E,4,0),"")</f>
      </c>
      <c r="I807" s="28">
        <f>IFERROR(VLOOKUP(F807,CARTON_LOOKUP!$A:$E,5,0),"")</f>
      </c>
      <c r="J807" s="29">
        <f>IFERROR(VLOOKUP(F807,CARTON_LOOKUP!$A:$E,2,0),"")</f>
      </c>
      <c r="K807" s="29">
        <f>IFERROR(J807*D807,0)</f>
      </c>
      <c r="L807" s="29">
        <f>IFERROR(E807*C807,0)</f>
      </c>
      <c r="M807" s="29">
        <f>IFERROR((G807*H807*I807/1000000)*D807,0)</f>
      </c>
    </row>
    <row r="808" spans="1:13" x14ac:dyDescent="0.25">
      <c r="A808" s="16"/>
      <c r="E808" s="27"/>
      <c r="F808" t="s">
        <v>26</v>
      </c>
      <c r="G808" s="28">
        <f>IFERROR(VLOOKUP(F808,CARTON_LOOKUP!$A:$E,3,0),"")</f>
      </c>
      <c r="H808" s="28">
        <f>IFERROR(VLOOKUP(F808,CARTON_LOOKUP!$A:$E,4,0),"")</f>
      </c>
      <c r="I808" s="28">
        <f>IFERROR(VLOOKUP(F808,CARTON_LOOKUP!$A:$E,5,0),"")</f>
      </c>
      <c r="J808" s="29">
        <f>IFERROR(VLOOKUP(F808,CARTON_LOOKUP!$A:$E,2,0),"")</f>
      </c>
      <c r="K808" s="29">
        <f>IFERROR(J808*D808,0)</f>
      </c>
      <c r="L808" s="29">
        <f>IFERROR(E808*C808,0)</f>
      </c>
      <c r="M808" s="29">
        <f>IFERROR((G808*H808*I808/1000000)*D808,0)</f>
      </c>
    </row>
    <row r="809" spans="1:13" x14ac:dyDescent="0.25">
      <c r="A809" s="16"/>
      <c r="E809" s="27"/>
      <c r="F809" t="s">
        <v>26</v>
      </c>
      <c r="G809" s="28">
        <f>IFERROR(VLOOKUP(F809,CARTON_LOOKUP!$A:$E,3,0),"")</f>
      </c>
      <c r="H809" s="28">
        <f>IFERROR(VLOOKUP(F809,CARTON_LOOKUP!$A:$E,4,0),"")</f>
      </c>
      <c r="I809" s="28">
        <f>IFERROR(VLOOKUP(F809,CARTON_LOOKUP!$A:$E,5,0),"")</f>
      </c>
      <c r="J809" s="29">
        <f>IFERROR(VLOOKUP(F809,CARTON_LOOKUP!$A:$E,2,0),"")</f>
      </c>
      <c r="K809" s="29">
        <f>IFERROR(J809*D809,0)</f>
      </c>
      <c r="L809" s="29">
        <f>IFERROR(E809*C809,0)</f>
      </c>
      <c r="M809" s="29">
        <f>IFERROR((G809*H809*I809/1000000)*D809,0)</f>
      </c>
    </row>
    <row r="810" spans="1:13" x14ac:dyDescent="0.25">
      <c r="A810" s="16"/>
      <c r="E810" s="27"/>
      <c r="F810" t="s">
        <v>26</v>
      </c>
      <c r="G810" s="28">
        <f>IFERROR(VLOOKUP(F810,CARTON_LOOKUP!$A:$E,3,0),"")</f>
      </c>
      <c r="H810" s="28">
        <f>IFERROR(VLOOKUP(F810,CARTON_LOOKUP!$A:$E,4,0),"")</f>
      </c>
      <c r="I810" s="28">
        <f>IFERROR(VLOOKUP(F810,CARTON_LOOKUP!$A:$E,5,0),"")</f>
      </c>
      <c r="J810" s="29">
        <f>IFERROR(VLOOKUP(F810,CARTON_LOOKUP!$A:$E,2,0),"")</f>
      </c>
      <c r="K810" s="29">
        <f>IFERROR(J810*D810,0)</f>
      </c>
      <c r="L810" s="29">
        <f>IFERROR(E810*C810,0)</f>
      </c>
      <c r="M810" s="29">
        <f>IFERROR((G810*H810*I810/1000000)*D810,0)</f>
      </c>
    </row>
    <row r="811" spans="1:13" x14ac:dyDescent="0.25">
      <c r="A811" s="16"/>
      <c r="E811" s="27"/>
      <c r="F811" t="s">
        <v>26</v>
      </c>
      <c r="G811" s="28">
        <f>IFERROR(VLOOKUP(F811,CARTON_LOOKUP!$A:$E,3,0),"")</f>
      </c>
      <c r="H811" s="28">
        <f>IFERROR(VLOOKUP(F811,CARTON_LOOKUP!$A:$E,4,0),"")</f>
      </c>
      <c r="I811" s="28">
        <f>IFERROR(VLOOKUP(F811,CARTON_LOOKUP!$A:$E,5,0),"")</f>
      </c>
      <c r="J811" s="29">
        <f>IFERROR(VLOOKUP(F811,CARTON_LOOKUP!$A:$E,2,0),"")</f>
      </c>
      <c r="K811" s="29">
        <f>IFERROR(J811*D811,0)</f>
      </c>
      <c r="L811" s="29">
        <f>IFERROR(E811*C811,0)</f>
      </c>
      <c r="M811" s="29">
        <f>IFERROR((G811*H811*I811/1000000)*D811,0)</f>
      </c>
    </row>
    <row r="812" spans="1:13" x14ac:dyDescent="0.25">
      <c r="A812" s="16"/>
      <c r="E812" s="27"/>
      <c r="F812" t="s">
        <v>26</v>
      </c>
      <c r="G812" s="28">
        <f>IFERROR(VLOOKUP(F812,CARTON_LOOKUP!$A:$E,3,0),"")</f>
      </c>
      <c r="H812" s="28">
        <f>IFERROR(VLOOKUP(F812,CARTON_LOOKUP!$A:$E,4,0),"")</f>
      </c>
      <c r="I812" s="28">
        <f>IFERROR(VLOOKUP(F812,CARTON_LOOKUP!$A:$E,5,0),"")</f>
      </c>
      <c r="J812" s="29">
        <f>IFERROR(VLOOKUP(F812,CARTON_LOOKUP!$A:$E,2,0),"")</f>
      </c>
      <c r="K812" s="29">
        <f>IFERROR(J812*D812,0)</f>
      </c>
      <c r="L812" s="29">
        <f>IFERROR(E812*C812,0)</f>
      </c>
      <c r="M812" s="29">
        <f>IFERROR((G812*H812*I812/1000000)*D812,0)</f>
      </c>
    </row>
    <row r="813" spans="1:13" x14ac:dyDescent="0.25">
      <c r="A813" s="16"/>
      <c r="E813" s="27"/>
      <c r="F813" t="s">
        <v>26</v>
      </c>
      <c r="G813" s="28">
        <f>IFERROR(VLOOKUP(F813,CARTON_LOOKUP!$A:$E,3,0),"")</f>
      </c>
      <c r="H813" s="28">
        <f>IFERROR(VLOOKUP(F813,CARTON_LOOKUP!$A:$E,4,0),"")</f>
      </c>
      <c r="I813" s="28">
        <f>IFERROR(VLOOKUP(F813,CARTON_LOOKUP!$A:$E,5,0),"")</f>
      </c>
      <c r="J813" s="29">
        <f>IFERROR(VLOOKUP(F813,CARTON_LOOKUP!$A:$E,2,0),"")</f>
      </c>
      <c r="K813" s="29">
        <f>IFERROR(J813*D813,0)</f>
      </c>
      <c r="L813" s="29">
        <f>IFERROR(E813*C813,0)</f>
      </c>
      <c r="M813" s="29">
        <f>IFERROR((G813*H813*I813/1000000)*D813,0)</f>
      </c>
    </row>
    <row r="814" spans="1:13" x14ac:dyDescent="0.25">
      <c r="A814" s="16"/>
      <c r="E814" s="27"/>
      <c r="F814" t="s">
        <v>26</v>
      </c>
      <c r="G814" s="28">
        <f>IFERROR(VLOOKUP(F814,CARTON_LOOKUP!$A:$E,3,0),"")</f>
      </c>
      <c r="H814" s="28">
        <f>IFERROR(VLOOKUP(F814,CARTON_LOOKUP!$A:$E,4,0),"")</f>
      </c>
      <c r="I814" s="28">
        <f>IFERROR(VLOOKUP(F814,CARTON_LOOKUP!$A:$E,5,0),"")</f>
      </c>
      <c r="J814" s="29">
        <f>IFERROR(VLOOKUP(F814,CARTON_LOOKUP!$A:$E,2,0),"")</f>
      </c>
      <c r="K814" s="29">
        <f>IFERROR(J814*D814,0)</f>
      </c>
      <c r="L814" s="29">
        <f>IFERROR(E814*C814,0)</f>
      </c>
      <c r="M814" s="29">
        <f>IFERROR((G814*H814*I814/1000000)*D814,0)</f>
      </c>
    </row>
    <row r="815" spans="1:13" x14ac:dyDescent="0.25">
      <c r="A815" s="16"/>
      <c r="E815" s="27"/>
      <c r="F815" t="s">
        <v>26</v>
      </c>
      <c r="G815" s="28">
        <f>IFERROR(VLOOKUP(F815,CARTON_LOOKUP!$A:$E,3,0),"")</f>
      </c>
      <c r="H815" s="28">
        <f>IFERROR(VLOOKUP(F815,CARTON_LOOKUP!$A:$E,4,0),"")</f>
      </c>
      <c r="I815" s="28">
        <f>IFERROR(VLOOKUP(F815,CARTON_LOOKUP!$A:$E,5,0),"")</f>
      </c>
      <c r="J815" s="29">
        <f>IFERROR(VLOOKUP(F815,CARTON_LOOKUP!$A:$E,2,0),"")</f>
      </c>
      <c r="K815" s="29">
        <f>IFERROR(J815*D815,0)</f>
      </c>
      <c r="L815" s="29">
        <f>IFERROR(E815*C815,0)</f>
      </c>
      <c r="M815" s="29">
        <f>IFERROR((G815*H815*I815/1000000)*D815,0)</f>
      </c>
    </row>
    <row r="816" spans="1:13" x14ac:dyDescent="0.25">
      <c r="A816" s="16"/>
      <c r="E816" s="27"/>
      <c r="F816" t="s">
        <v>26</v>
      </c>
      <c r="G816" s="28">
        <f>IFERROR(VLOOKUP(F816,CARTON_LOOKUP!$A:$E,3,0),"")</f>
      </c>
      <c r="H816" s="28">
        <f>IFERROR(VLOOKUP(F816,CARTON_LOOKUP!$A:$E,4,0),"")</f>
      </c>
      <c r="I816" s="28">
        <f>IFERROR(VLOOKUP(F816,CARTON_LOOKUP!$A:$E,5,0),"")</f>
      </c>
      <c r="J816" s="29">
        <f>IFERROR(VLOOKUP(F816,CARTON_LOOKUP!$A:$E,2,0),"")</f>
      </c>
      <c r="K816" s="29">
        <f>IFERROR(J816*D816,0)</f>
      </c>
      <c r="L816" s="29">
        <f>IFERROR(E816*C816,0)</f>
      </c>
      <c r="M816" s="29">
        <f>IFERROR((G816*H816*I816/1000000)*D816,0)</f>
      </c>
    </row>
    <row r="817" spans="1:13" x14ac:dyDescent="0.25">
      <c r="A817" s="16"/>
      <c r="E817" s="27"/>
      <c r="F817" t="s">
        <v>26</v>
      </c>
      <c r="G817" s="28">
        <f>IFERROR(VLOOKUP(F817,CARTON_LOOKUP!$A:$E,3,0),"")</f>
      </c>
      <c r="H817" s="28">
        <f>IFERROR(VLOOKUP(F817,CARTON_LOOKUP!$A:$E,4,0),"")</f>
      </c>
      <c r="I817" s="28">
        <f>IFERROR(VLOOKUP(F817,CARTON_LOOKUP!$A:$E,5,0),"")</f>
      </c>
      <c r="J817" s="29">
        <f>IFERROR(VLOOKUP(F817,CARTON_LOOKUP!$A:$E,2,0),"")</f>
      </c>
      <c r="K817" s="29">
        <f>IFERROR(J817*D817,0)</f>
      </c>
      <c r="L817" s="29">
        <f>IFERROR(E817*C817,0)</f>
      </c>
      <c r="M817" s="29">
        <f>IFERROR((G817*H817*I817/1000000)*D817,0)</f>
      </c>
    </row>
    <row r="818" spans="1:13" x14ac:dyDescent="0.25">
      <c r="A818" s="16"/>
      <c r="E818" s="27"/>
      <c r="F818" t="s">
        <v>26</v>
      </c>
      <c r="G818" s="28">
        <f>IFERROR(VLOOKUP(F818,CARTON_LOOKUP!$A:$E,3,0),"")</f>
      </c>
      <c r="H818" s="28">
        <f>IFERROR(VLOOKUP(F818,CARTON_LOOKUP!$A:$E,4,0),"")</f>
      </c>
      <c r="I818" s="28">
        <f>IFERROR(VLOOKUP(F818,CARTON_LOOKUP!$A:$E,5,0),"")</f>
      </c>
      <c r="J818" s="29">
        <f>IFERROR(VLOOKUP(F818,CARTON_LOOKUP!$A:$E,2,0),"")</f>
      </c>
      <c r="K818" s="29">
        <f>IFERROR(J818*D818,0)</f>
      </c>
      <c r="L818" s="29">
        <f>IFERROR(E818*C818,0)</f>
      </c>
      <c r="M818" s="29">
        <f>IFERROR((G818*H818*I818/1000000)*D818,0)</f>
      </c>
    </row>
    <row r="819" spans="1:13" x14ac:dyDescent="0.25">
      <c r="A819" s="16"/>
      <c r="E819" s="27"/>
      <c r="F819" t="s">
        <v>26</v>
      </c>
      <c r="G819" s="28">
        <f>IFERROR(VLOOKUP(F819,CARTON_LOOKUP!$A:$E,3,0),"")</f>
      </c>
      <c r="H819" s="28">
        <f>IFERROR(VLOOKUP(F819,CARTON_LOOKUP!$A:$E,4,0),"")</f>
      </c>
      <c r="I819" s="28">
        <f>IFERROR(VLOOKUP(F819,CARTON_LOOKUP!$A:$E,5,0),"")</f>
      </c>
      <c r="J819" s="29">
        <f>IFERROR(VLOOKUP(F819,CARTON_LOOKUP!$A:$E,2,0),"")</f>
      </c>
      <c r="K819" s="29">
        <f>IFERROR(J819*D819,0)</f>
      </c>
      <c r="L819" s="29">
        <f>IFERROR(E819*C819,0)</f>
      </c>
      <c r="M819" s="29">
        <f>IFERROR((G819*H819*I819/1000000)*D819,0)</f>
      </c>
    </row>
    <row r="820" spans="1:13" x14ac:dyDescent="0.25">
      <c r="A820" s="16"/>
      <c r="E820" s="27"/>
      <c r="F820" t="s">
        <v>26</v>
      </c>
      <c r="G820" s="28">
        <f>IFERROR(VLOOKUP(F820,CARTON_LOOKUP!$A:$E,3,0),"")</f>
      </c>
      <c r="H820" s="28">
        <f>IFERROR(VLOOKUP(F820,CARTON_LOOKUP!$A:$E,4,0),"")</f>
      </c>
      <c r="I820" s="28">
        <f>IFERROR(VLOOKUP(F820,CARTON_LOOKUP!$A:$E,5,0),"")</f>
      </c>
      <c r="J820" s="29">
        <f>IFERROR(VLOOKUP(F820,CARTON_LOOKUP!$A:$E,2,0),"")</f>
      </c>
      <c r="K820" s="29">
        <f>IFERROR(J820*D820,0)</f>
      </c>
      <c r="L820" s="29">
        <f>IFERROR(E820*C820,0)</f>
      </c>
      <c r="M820" s="29">
        <f>IFERROR((G820*H820*I820/1000000)*D820,0)</f>
      </c>
    </row>
    <row r="821" spans="1:13" x14ac:dyDescent="0.25">
      <c r="A821" s="16"/>
      <c r="E821" s="27"/>
      <c r="F821" t="s">
        <v>26</v>
      </c>
      <c r="G821" s="28">
        <f>IFERROR(VLOOKUP(F821,CARTON_LOOKUP!$A:$E,3,0),"")</f>
      </c>
      <c r="H821" s="28">
        <f>IFERROR(VLOOKUP(F821,CARTON_LOOKUP!$A:$E,4,0),"")</f>
      </c>
      <c r="I821" s="28">
        <f>IFERROR(VLOOKUP(F821,CARTON_LOOKUP!$A:$E,5,0),"")</f>
      </c>
      <c r="J821" s="29">
        <f>IFERROR(VLOOKUP(F821,CARTON_LOOKUP!$A:$E,2,0),"")</f>
      </c>
      <c r="K821" s="29">
        <f>IFERROR(J821*D821,0)</f>
      </c>
      <c r="L821" s="29">
        <f>IFERROR(E821*C821,0)</f>
      </c>
      <c r="M821" s="29">
        <f>IFERROR((G821*H821*I821/1000000)*D821,0)</f>
      </c>
    </row>
    <row r="822" spans="1:13" x14ac:dyDescent="0.25">
      <c r="A822" s="16"/>
      <c r="E822" s="27"/>
      <c r="F822" t="s">
        <v>26</v>
      </c>
      <c r="G822" s="28">
        <f>IFERROR(VLOOKUP(F822,CARTON_LOOKUP!$A:$E,3,0),"")</f>
      </c>
      <c r="H822" s="28">
        <f>IFERROR(VLOOKUP(F822,CARTON_LOOKUP!$A:$E,4,0),"")</f>
      </c>
      <c r="I822" s="28">
        <f>IFERROR(VLOOKUP(F822,CARTON_LOOKUP!$A:$E,5,0),"")</f>
      </c>
      <c r="J822" s="29">
        <f>IFERROR(VLOOKUP(F822,CARTON_LOOKUP!$A:$E,2,0),"")</f>
      </c>
      <c r="K822" s="29">
        <f>IFERROR(J822*D822,0)</f>
      </c>
      <c r="L822" s="29">
        <f>IFERROR(E822*C822,0)</f>
      </c>
      <c r="M822" s="29">
        <f>IFERROR((G822*H822*I822/1000000)*D822,0)</f>
      </c>
    </row>
    <row r="823" spans="1:13" x14ac:dyDescent="0.25">
      <c r="A823" s="16"/>
      <c r="E823" s="27"/>
      <c r="F823" t="s">
        <v>26</v>
      </c>
      <c r="G823" s="28">
        <f>IFERROR(VLOOKUP(F823,CARTON_LOOKUP!$A:$E,3,0),"")</f>
      </c>
      <c r="H823" s="28">
        <f>IFERROR(VLOOKUP(F823,CARTON_LOOKUP!$A:$E,4,0),"")</f>
      </c>
      <c r="I823" s="28">
        <f>IFERROR(VLOOKUP(F823,CARTON_LOOKUP!$A:$E,5,0),"")</f>
      </c>
      <c r="J823" s="29">
        <f>IFERROR(VLOOKUP(F823,CARTON_LOOKUP!$A:$E,2,0),"")</f>
      </c>
      <c r="K823" s="29">
        <f>IFERROR(J823*D823,0)</f>
      </c>
      <c r="L823" s="29">
        <f>IFERROR(E823*C823,0)</f>
      </c>
      <c r="M823" s="29">
        <f>IFERROR((G823*H823*I823/1000000)*D823,0)</f>
      </c>
    </row>
    <row r="824" spans="1:13" x14ac:dyDescent="0.25">
      <c r="A824" s="16"/>
      <c r="E824" s="27"/>
      <c r="F824" t="s">
        <v>26</v>
      </c>
      <c r="G824" s="28">
        <f>IFERROR(VLOOKUP(F824,CARTON_LOOKUP!$A:$E,3,0),"")</f>
      </c>
      <c r="H824" s="28">
        <f>IFERROR(VLOOKUP(F824,CARTON_LOOKUP!$A:$E,4,0),"")</f>
      </c>
      <c r="I824" s="28">
        <f>IFERROR(VLOOKUP(F824,CARTON_LOOKUP!$A:$E,5,0),"")</f>
      </c>
      <c r="J824" s="29">
        <f>IFERROR(VLOOKUP(F824,CARTON_LOOKUP!$A:$E,2,0),"")</f>
      </c>
      <c r="K824" s="29">
        <f>IFERROR(J824*D824,0)</f>
      </c>
      <c r="L824" s="29">
        <f>IFERROR(E824*C824,0)</f>
      </c>
      <c r="M824" s="29">
        <f>IFERROR((G824*H824*I824/1000000)*D824,0)</f>
      </c>
    </row>
    <row r="825" spans="1:13" x14ac:dyDescent="0.25">
      <c r="A825" s="16"/>
      <c r="E825" s="27"/>
      <c r="F825" t="s">
        <v>26</v>
      </c>
      <c r="G825" s="28">
        <f>IFERROR(VLOOKUP(F825,CARTON_LOOKUP!$A:$E,3,0),"")</f>
      </c>
      <c r="H825" s="28">
        <f>IFERROR(VLOOKUP(F825,CARTON_LOOKUP!$A:$E,4,0),"")</f>
      </c>
      <c r="I825" s="28">
        <f>IFERROR(VLOOKUP(F825,CARTON_LOOKUP!$A:$E,5,0),"")</f>
      </c>
      <c r="J825" s="29">
        <f>IFERROR(VLOOKUP(F825,CARTON_LOOKUP!$A:$E,2,0),"")</f>
      </c>
      <c r="K825" s="29">
        <f>IFERROR(J825*D825,0)</f>
      </c>
      <c r="L825" s="29">
        <f>IFERROR(E825*C825,0)</f>
      </c>
      <c r="M825" s="29">
        <f>IFERROR((G825*H825*I825/1000000)*D825,0)</f>
      </c>
    </row>
    <row r="826" spans="1:13" x14ac:dyDescent="0.25">
      <c r="A826" s="16"/>
      <c r="E826" s="27"/>
      <c r="F826" t="s">
        <v>26</v>
      </c>
      <c r="G826" s="28">
        <f>IFERROR(VLOOKUP(F826,CARTON_LOOKUP!$A:$E,3,0),"")</f>
      </c>
      <c r="H826" s="28">
        <f>IFERROR(VLOOKUP(F826,CARTON_LOOKUP!$A:$E,4,0),"")</f>
      </c>
      <c r="I826" s="28">
        <f>IFERROR(VLOOKUP(F826,CARTON_LOOKUP!$A:$E,5,0),"")</f>
      </c>
      <c r="J826" s="29">
        <f>IFERROR(VLOOKUP(F826,CARTON_LOOKUP!$A:$E,2,0),"")</f>
      </c>
      <c r="K826" s="29">
        <f>IFERROR(J826*D826,0)</f>
      </c>
      <c r="L826" s="29">
        <f>IFERROR(E826*C826,0)</f>
      </c>
      <c r="M826" s="29">
        <f>IFERROR((G826*H826*I826/1000000)*D826,0)</f>
      </c>
    </row>
    <row r="827" spans="1:13" x14ac:dyDescent="0.25">
      <c r="A827" s="16"/>
      <c r="E827" s="27"/>
      <c r="F827" t="s">
        <v>26</v>
      </c>
      <c r="G827" s="28">
        <f>IFERROR(VLOOKUP(F827,CARTON_LOOKUP!$A:$E,3,0),"")</f>
      </c>
      <c r="H827" s="28">
        <f>IFERROR(VLOOKUP(F827,CARTON_LOOKUP!$A:$E,4,0),"")</f>
      </c>
      <c r="I827" s="28">
        <f>IFERROR(VLOOKUP(F827,CARTON_LOOKUP!$A:$E,5,0),"")</f>
      </c>
      <c r="J827" s="29">
        <f>IFERROR(VLOOKUP(F827,CARTON_LOOKUP!$A:$E,2,0),"")</f>
      </c>
      <c r="K827" s="29">
        <f>IFERROR(J827*D827,0)</f>
      </c>
      <c r="L827" s="29">
        <f>IFERROR(E827*C827,0)</f>
      </c>
      <c r="M827" s="29">
        <f>IFERROR((G827*H827*I827/1000000)*D827,0)</f>
      </c>
    </row>
    <row r="828" spans="1:13" x14ac:dyDescent="0.25">
      <c r="A828" s="16"/>
      <c r="E828" s="27"/>
      <c r="F828" t="s">
        <v>26</v>
      </c>
      <c r="G828" s="28">
        <f>IFERROR(VLOOKUP(F828,CARTON_LOOKUP!$A:$E,3,0),"")</f>
      </c>
      <c r="H828" s="28">
        <f>IFERROR(VLOOKUP(F828,CARTON_LOOKUP!$A:$E,4,0),"")</f>
      </c>
      <c r="I828" s="28">
        <f>IFERROR(VLOOKUP(F828,CARTON_LOOKUP!$A:$E,5,0),"")</f>
      </c>
      <c r="J828" s="29">
        <f>IFERROR(VLOOKUP(F828,CARTON_LOOKUP!$A:$E,2,0),"")</f>
      </c>
      <c r="K828" s="29">
        <f>IFERROR(J828*D828,0)</f>
      </c>
      <c r="L828" s="29">
        <f>IFERROR(E828*C828,0)</f>
      </c>
      <c r="M828" s="29">
        <f>IFERROR((G828*H828*I828/1000000)*D828,0)</f>
      </c>
    </row>
    <row r="829" spans="1:13" x14ac:dyDescent="0.25">
      <c r="A829" s="16"/>
      <c r="E829" s="27"/>
      <c r="F829" t="s">
        <v>26</v>
      </c>
      <c r="G829" s="28">
        <f>IFERROR(VLOOKUP(F829,CARTON_LOOKUP!$A:$E,3,0),"")</f>
      </c>
      <c r="H829" s="28">
        <f>IFERROR(VLOOKUP(F829,CARTON_LOOKUP!$A:$E,4,0),"")</f>
      </c>
      <c r="I829" s="28">
        <f>IFERROR(VLOOKUP(F829,CARTON_LOOKUP!$A:$E,5,0),"")</f>
      </c>
      <c r="J829" s="29">
        <f>IFERROR(VLOOKUP(F829,CARTON_LOOKUP!$A:$E,2,0),"")</f>
      </c>
      <c r="K829" s="29">
        <f>IFERROR(J829*D829,0)</f>
      </c>
      <c r="L829" s="29">
        <f>IFERROR(E829*C829,0)</f>
      </c>
      <c r="M829" s="29">
        <f>IFERROR((G829*H829*I829/1000000)*D829,0)</f>
      </c>
    </row>
    <row r="830" spans="1:13" x14ac:dyDescent="0.25">
      <c r="A830" s="16"/>
      <c r="E830" s="27"/>
      <c r="F830" t="s">
        <v>26</v>
      </c>
      <c r="G830" s="28">
        <f>IFERROR(VLOOKUP(F830,CARTON_LOOKUP!$A:$E,3,0),"")</f>
      </c>
      <c r="H830" s="28">
        <f>IFERROR(VLOOKUP(F830,CARTON_LOOKUP!$A:$E,4,0),"")</f>
      </c>
      <c r="I830" s="28">
        <f>IFERROR(VLOOKUP(F830,CARTON_LOOKUP!$A:$E,5,0),"")</f>
      </c>
      <c r="J830" s="29">
        <f>IFERROR(VLOOKUP(F830,CARTON_LOOKUP!$A:$E,2,0),"")</f>
      </c>
      <c r="K830" s="29">
        <f>IFERROR(J830*D830,0)</f>
      </c>
      <c r="L830" s="29">
        <f>IFERROR(E830*C830,0)</f>
      </c>
      <c r="M830" s="29">
        <f>IFERROR((G830*H830*I830/1000000)*D830,0)</f>
      </c>
    </row>
    <row r="831" spans="1:13" x14ac:dyDescent="0.25">
      <c r="A831" s="16"/>
      <c r="E831" s="27"/>
      <c r="F831" t="s">
        <v>26</v>
      </c>
      <c r="G831" s="28">
        <f>IFERROR(VLOOKUP(F831,CARTON_LOOKUP!$A:$E,3,0),"")</f>
      </c>
      <c r="H831" s="28">
        <f>IFERROR(VLOOKUP(F831,CARTON_LOOKUP!$A:$E,4,0),"")</f>
      </c>
      <c r="I831" s="28">
        <f>IFERROR(VLOOKUP(F831,CARTON_LOOKUP!$A:$E,5,0),"")</f>
      </c>
      <c r="J831" s="29">
        <f>IFERROR(VLOOKUP(F831,CARTON_LOOKUP!$A:$E,2,0),"")</f>
      </c>
      <c r="K831" s="29">
        <f>IFERROR(J831*D831,0)</f>
      </c>
      <c r="L831" s="29">
        <f>IFERROR(E831*C831,0)</f>
      </c>
      <c r="M831" s="29">
        <f>IFERROR((G831*H831*I831/1000000)*D831,0)</f>
      </c>
    </row>
    <row r="832" spans="1:13" x14ac:dyDescent="0.25">
      <c r="A832" s="16"/>
      <c r="E832" s="27"/>
      <c r="F832" t="s">
        <v>26</v>
      </c>
      <c r="G832" s="28">
        <f>IFERROR(VLOOKUP(F832,CARTON_LOOKUP!$A:$E,3,0),"")</f>
      </c>
      <c r="H832" s="28">
        <f>IFERROR(VLOOKUP(F832,CARTON_LOOKUP!$A:$E,4,0),"")</f>
      </c>
      <c r="I832" s="28">
        <f>IFERROR(VLOOKUP(F832,CARTON_LOOKUP!$A:$E,5,0),"")</f>
      </c>
      <c r="J832" s="29">
        <f>IFERROR(VLOOKUP(F832,CARTON_LOOKUP!$A:$E,2,0),"")</f>
      </c>
      <c r="K832" s="29">
        <f>IFERROR(J832*D832,0)</f>
      </c>
      <c r="L832" s="29">
        <f>IFERROR(E832*C832,0)</f>
      </c>
      <c r="M832" s="29">
        <f>IFERROR((G832*H832*I832/1000000)*D832,0)</f>
      </c>
    </row>
    <row r="833" spans="1:13" x14ac:dyDescent="0.25">
      <c r="A833" s="16"/>
      <c r="E833" s="27"/>
      <c r="F833" t="s">
        <v>26</v>
      </c>
      <c r="G833" s="28">
        <f>IFERROR(VLOOKUP(F833,CARTON_LOOKUP!$A:$E,3,0),"")</f>
      </c>
      <c r="H833" s="28">
        <f>IFERROR(VLOOKUP(F833,CARTON_LOOKUP!$A:$E,4,0),"")</f>
      </c>
      <c r="I833" s="28">
        <f>IFERROR(VLOOKUP(F833,CARTON_LOOKUP!$A:$E,5,0),"")</f>
      </c>
      <c r="J833" s="29">
        <f>IFERROR(VLOOKUP(F833,CARTON_LOOKUP!$A:$E,2,0),"")</f>
      </c>
      <c r="K833" s="29">
        <f>IFERROR(J833*D833,0)</f>
      </c>
      <c r="L833" s="29">
        <f>IFERROR(E833*C833,0)</f>
      </c>
      <c r="M833" s="29">
        <f>IFERROR((G833*H833*I833/1000000)*D833,0)</f>
      </c>
    </row>
    <row r="834" spans="1:13" x14ac:dyDescent="0.25">
      <c r="A834" s="16"/>
      <c r="E834" s="27"/>
      <c r="F834" t="s">
        <v>26</v>
      </c>
      <c r="G834" s="28">
        <f>IFERROR(VLOOKUP(F834,CARTON_LOOKUP!$A:$E,3,0),"")</f>
      </c>
      <c r="H834" s="28">
        <f>IFERROR(VLOOKUP(F834,CARTON_LOOKUP!$A:$E,4,0),"")</f>
      </c>
      <c r="I834" s="28">
        <f>IFERROR(VLOOKUP(F834,CARTON_LOOKUP!$A:$E,5,0),"")</f>
      </c>
      <c r="J834" s="29">
        <f>IFERROR(VLOOKUP(F834,CARTON_LOOKUP!$A:$E,2,0),"")</f>
      </c>
      <c r="K834" s="29">
        <f>IFERROR(J834*D834,0)</f>
      </c>
      <c r="L834" s="29">
        <f>IFERROR(E834*C834,0)</f>
      </c>
      <c r="M834" s="29">
        <f>IFERROR((G834*H834*I834/1000000)*D834,0)</f>
      </c>
    </row>
    <row r="835" spans="1:13" x14ac:dyDescent="0.25">
      <c r="A835" s="16"/>
      <c r="E835" s="27"/>
      <c r="F835" t="s">
        <v>26</v>
      </c>
      <c r="G835" s="28">
        <f>IFERROR(VLOOKUP(F835,CARTON_LOOKUP!$A:$E,3,0),"")</f>
      </c>
      <c r="H835" s="28">
        <f>IFERROR(VLOOKUP(F835,CARTON_LOOKUP!$A:$E,4,0),"")</f>
      </c>
      <c r="I835" s="28">
        <f>IFERROR(VLOOKUP(F835,CARTON_LOOKUP!$A:$E,5,0),"")</f>
      </c>
      <c r="J835" s="29">
        <f>IFERROR(VLOOKUP(F835,CARTON_LOOKUP!$A:$E,2,0),"")</f>
      </c>
      <c r="K835" s="29">
        <f>IFERROR(J835*D835,0)</f>
      </c>
      <c r="L835" s="29">
        <f>IFERROR(E835*C835,0)</f>
      </c>
      <c r="M835" s="29">
        <f>IFERROR((G835*H835*I835/1000000)*D835,0)</f>
      </c>
    </row>
    <row r="836" spans="1:13" x14ac:dyDescent="0.25">
      <c r="A836" s="16"/>
      <c r="E836" s="27"/>
      <c r="F836" t="s">
        <v>26</v>
      </c>
      <c r="G836" s="28">
        <f>IFERROR(VLOOKUP(F836,CARTON_LOOKUP!$A:$E,3,0),"")</f>
      </c>
      <c r="H836" s="28">
        <f>IFERROR(VLOOKUP(F836,CARTON_LOOKUP!$A:$E,4,0),"")</f>
      </c>
      <c r="I836" s="28">
        <f>IFERROR(VLOOKUP(F836,CARTON_LOOKUP!$A:$E,5,0),"")</f>
      </c>
      <c r="J836" s="29">
        <f>IFERROR(VLOOKUP(F836,CARTON_LOOKUP!$A:$E,2,0),"")</f>
      </c>
      <c r="K836" s="29">
        <f>IFERROR(J836*D836,0)</f>
      </c>
      <c r="L836" s="29">
        <f>IFERROR(E836*C836,0)</f>
      </c>
      <c r="M836" s="29">
        <f>IFERROR((G836*H836*I836/1000000)*D836,0)</f>
      </c>
    </row>
    <row r="837" spans="1:13" x14ac:dyDescent="0.25">
      <c r="A837" s="16"/>
      <c r="E837" s="27"/>
      <c r="F837" t="s">
        <v>26</v>
      </c>
      <c r="G837" s="28">
        <f>IFERROR(VLOOKUP(F837,CARTON_LOOKUP!$A:$E,3,0),"")</f>
      </c>
      <c r="H837" s="28">
        <f>IFERROR(VLOOKUP(F837,CARTON_LOOKUP!$A:$E,4,0),"")</f>
      </c>
      <c r="I837" s="28">
        <f>IFERROR(VLOOKUP(F837,CARTON_LOOKUP!$A:$E,5,0),"")</f>
      </c>
      <c r="J837" s="29">
        <f>IFERROR(VLOOKUP(F837,CARTON_LOOKUP!$A:$E,2,0),"")</f>
      </c>
      <c r="K837" s="29">
        <f>IFERROR(J837*D837,0)</f>
      </c>
      <c r="L837" s="29">
        <f>IFERROR(E837*C837,0)</f>
      </c>
      <c r="M837" s="29">
        <f>IFERROR((G837*H837*I837/1000000)*D837,0)</f>
      </c>
    </row>
    <row r="838" spans="1:13" x14ac:dyDescent="0.25">
      <c r="A838" s="16"/>
      <c r="E838" s="27"/>
      <c r="F838" t="s">
        <v>26</v>
      </c>
      <c r="G838" s="28">
        <f>IFERROR(VLOOKUP(F838,CARTON_LOOKUP!$A:$E,3,0),"")</f>
      </c>
      <c r="H838" s="28">
        <f>IFERROR(VLOOKUP(F838,CARTON_LOOKUP!$A:$E,4,0),"")</f>
      </c>
      <c r="I838" s="28">
        <f>IFERROR(VLOOKUP(F838,CARTON_LOOKUP!$A:$E,5,0),"")</f>
      </c>
      <c r="J838" s="29">
        <f>IFERROR(VLOOKUP(F838,CARTON_LOOKUP!$A:$E,2,0),"")</f>
      </c>
      <c r="K838" s="29">
        <f>IFERROR(J838*D838,0)</f>
      </c>
      <c r="L838" s="29">
        <f>IFERROR(E838*C838,0)</f>
      </c>
      <c r="M838" s="29">
        <f>IFERROR((G838*H838*I838/1000000)*D838,0)</f>
      </c>
    </row>
    <row r="839" spans="1:13" x14ac:dyDescent="0.25">
      <c r="A839" s="16"/>
      <c r="E839" s="27"/>
      <c r="F839" t="s">
        <v>26</v>
      </c>
      <c r="G839" s="28">
        <f>IFERROR(VLOOKUP(F839,CARTON_LOOKUP!$A:$E,3,0),"")</f>
      </c>
      <c r="H839" s="28">
        <f>IFERROR(VLOOKUP(F839,CARTON_LOOKUP!$A:$E,4,0),"")</f>
      </c>
      <c r="I839" s="28">
        <f>IFERROR(VLOOKUP(F839,CARTON_LOOKUP!$A:$E,5,0),"")</f>
      </c>
      <c r="J839" s="29">
        <f>IFERROR(VLOOKUP(F839,CARTON_LOOKUP!$A:$E,2,0),"")</f>
      </c>
      <c r="K839" s="29">
        <f>IFERROR(J839*D839,0)</f>
      </c>
      <c r="L839" s="29">
        <f>IFERROR(E839*C839,0)</f>
      </c>
      <c r="M839" s="29">
        <f>IFERROR((G839*H839*I839/1000000)*D839,0)</f>
      </c>
    </row>
    <row r="840" spans="1:13" x14ac:dyDescent="0.25">
      <c r="A840" s="16"/>
      <c r="E840" s="27"/>
      <c r="F840" t="s">
        <v>26</v>
      </c>
      <c r="G840" s="28">
        <f>IFERROR(VLOOKUP(F840,CARTON_LOOKUP!$A:$E,3,0),"")</f>
      </c>
      <c r="H840" s="28">
        <f>IFERROR(VLOOKUP(F840,CARTON_LOOKUP!$A:$E,4,0),"")</f>
      </c>
      <c r="I840" s="28">
        <f>IFERROR(VLOOKUP(F840,CARTON_LOOKUP!$A:$E,5,0),"")</f>
      </c>
      <c r="J840" s="29">
        <f>IFERROR(VLOOKUP(F840,CARTON_LOOKUP!$A:$E,2,0),"")</f>
      </c>
      <c r="K840" s="29">
        <f>IFERROR(J840*D840,0)</f>
      </c>
      <c r="L840" s="29">
        <f>IFERROR(E840*C840,0)</f>
      </c>
      <c r="M840" s="29">
        <f>IFERROR((G840*H840*I840/1000000)*D840,0)</f>
      </c>
    </row>
    <row r="841" spans="1:13" x14ac:dyDescent="0.25">
      <c r="A841" s="16"/>
      <c r="E841" s="27"/>
      <c r="F841" t="s">
        <v>26</v>
      </c>
      <c r="G841" s="28">
        <f>IFERROR(VLOOKUP(F841,CARTON_LOOKUP!$A:$E,3,0),"")</f>
      </c>
      <c r="H841" s="28">
        <f>IFERROR(VLOOKUP(F841,CARTON_LOOKUP!$A:$E,4,0),"")</f>
      </c>
      <c r="I841" s="28">
        <f>IFERROR(VLOOKUP(F841,CARTON_LOOKUP!$A:$E,5,0),"")</f>
      </c>
      <c r="J841" s="29">
        <f>IFERROR(VLOOKUP(F841,CARTON_LOOKUP!$A:$E,2,0),"")</f>
      </c>
      <c r="K841" s="29">
        <f>IFERROR(J841*D841,0)</f>
      </c>
      <c r="L841" s="29">
        <f>IFERROR(E841*C841,0)</f>
      </c>
      <c r="M841" s="29">
        <f>IFERROR((G841*H841*I841/1000000)*D841,0)</f>
      </c>
    </row>
    <row r="842" spans="1:13" x14ac:dyDescent="0.25">
      <c r="A842" s="16"/>
      <c r="E842" s="27"/>
      <c r="F842" t="s">
        <v>26</v>
      </c>
      <c r="G842" s="28">
        <f>IFERROR(VLOOKUP(F842,CARTON_LOOKUP!$A:$E,3,0),"")</f>
      </c>
      <c r="H842" s="28">
        <f>IFERROR(VLOOKUP(F842,CARTON_LOOKUP!$A:$E,4,0),"")</f>
      </c>
      <c r="I842" s="28">
        <f>IFERROR(VLOOKUP(F842,CARTON_LOOKUP!$A:$E,5,0),"")</f>
      </c>
      <c r="J842" s="29">
        <f>IFERROR(VLOOKUP(F842,CARTON_LOOKUP!$A:$E,2,0),"")</f>
      </c>
      <c r="K842" s="29">
        <f>IFERROR(J842*D842,0)</f>
      </c>
      <c r="L842" s="29">
        <f>IFERROR(E842*C842,0)</f>
      </c>
      <c r="M842" s="29">
        <f>IFERROR((G842*H842*I842/1000000)*D842,0)</f>
      </c>
    </row>
    <row r="843" spans="1:13" x14ac:dyDescent="0.25">
      <c r="A843" s="16"/>
      <c r="E843" s="27"/>
      <c r="F843" t="s">
        <v>26</v>
      </c>
      <c r="G843" s="28">
        <f>IFERROR(VLOOKUP(F843,CARTON_LOOKUP!$A:$E,3,0),"")</f>
      </c>
      <c r="H843" s="28">
        <f>IFERROR(VLOOKUP(F843,CARTON_LOOKUP!$A:$E,4,0),"")</f>
      </c>
      <c r="I843" s="28">
        <f>IFERROR(VLOOKUP(F843,CARTON_LOOKUP!$A:$E,5,0),"")</f>
      </c>
      <c r="J843" s="29">
        <f>IFERROR(VLOOKUP(F843,CARTON_LOOKUP!$A:$E,2,0),"")</f>
      </c>
      <c r="K843" s="29">
        <f>IFERROR(J843*D843,0)</f>
      </c>
      <c r="L843" s="29">
        <f>IFERROR(E843*C843,0)</f>
      </c>
      <c r="M843" s="29">
        <f>IFERROR((G843*H843*I843/1000000)*D843,0)</f>
      </c>
    </row>
    <row r="844" spans="1:13" x14ac:dyDescent="0.25">
      <c r="A844" s="16"/>
      <c r="E844" s="27"/>
      <c r="F844" t="s">
        <v>26</v>
      </c>
      <c r="G844" s="28">
        <f>IFERROR(VLOOKUP(F844,CARTON_LOOKUP!$A:$E,3,0),"")</f>
      </c>
      <c r="H844" s="28">
        <f>IFERROR(VLOOKUP(F844,CARTON_LOOKUP!$A:$E,4,0),"")</f>
      </c>
      <c r="I844" s="28">
        <f>IFERROR(VLOOKUP(F844,CARTON_LOOKUP!$A:$E,5,0),"")</f>
      </c>
      <c r="J844" s="29">
        <f>IFERROR(VLOOKUP(F844,CARTON_LOOKUP!$A:$E,2,0),"")</f>
      </c>
      <c r="K844" s="29">
        <f>IFERROR(J844*D844,0)</f>
      </c>
      <c r="L844" s="29">
        <f>IFERROR(E844*C844,0)</f>
      </c>
      <c r="M844" s="29">
        <f>IFERROR((G844*H844*I844/1000000)*D844,0)</f>
      </c>
    </row>
    <row r="845" spans="1:13" x14ac:dyDescent="0.25">
      <c r="A845" s="16"/>
      <c r="E845" s="27"/>
      <c r="F845" t="s">
        <v>26</v>
      </c>
      <c r="G845" s="28">
        <f>IFERROR(VLOOKUP(F845,CARTON_LOOKUP!$A:$E,3,0),"")</f>
      </c>
      <c r="H845" s="28">
        <f>IFERROR(VLOOKUP(F845,CARTON_LOOKUP!$A:$E,4,0),"")</f>
      </c>
      <c r="I845" s="28">
        <f>IFERROR(VLOOKUP(F845,CARTON_LOOKUP!$A:$E,5,0),"")</f>
      </c>
      <c r="J845" s="29">
        <f>IFERROR(VLOOKUP(F845,CARTON_LOOKUP!$A:$E,2,0),"")</f>
      </c>
      <c r="K845" s="29">
        <f>IFERROR(J845*D845,0)</f>
      </c>
      <c r="L845" s="29">
        <f>IFERROR(E845*C845,0)</f>
      </c>
      <c r="M845" s="29">
        <f>IFERROR((G845*H845*I845/1000000)*D845,0)</f>
      </c>
    </row>
    <row r="846" spans="1:13" x14ac:dyDescent="0.25">
      <c r="A846" s="16"/>
      <c r="E846" s="27"/>
      <c r="F846" t="s">
        <v>26</v>
      </c>
      <c r="G846" s="28">
        <f>IFERROR(VLOOKUP(F846,CARTON_LOOKUP!$A:$E,3,0),"")</f>
      </c>
      <c r="H846" s="28">
        <f>IFERROR(VLOOKUP(F846,CARTON_LOOKUP!$A:$E,4,0),"")</f>
      </c>
      <c r="I846" s="28">
        <f>IFERROR(VLOOKUP(F846,CARTON_LOOKUP!$A:$E,5,0),"")</f>
      </c>
      <c r="J846" s="29">
        <f>IFERROR(VLOOKUP(F846,CARTON_LOOKUP!$A:$E,2,0),"")</f>
      </c>
      <c r="K846" s="29">
        <f>IFERROR(J846*D846,0)</f>
      </c>
      <c r="L846" s="29">
        <f>IFERROR(E846*C846,0)</f>
      </c>
      <c r="M846" s="29">
        <f>IFERROR((G846*H846*I846/1000000)*D846,0)</f>
      </c>
    </row>
    <row r="847" spans="1:13" x14ac:dyDescent="0.25">
      <c r="A847" s="16"/>
      <c r="E847" s="27"/>
      <c r="F847" t="s">
        <v>26</v>
      </c>
      <c r="G847" s="28">
        <f>IFERROR(VLOOKUP(F847,CARTON_LOOKUP!$A:$E,3,0),"")</f>
      </c>
      <c r="H847" s="28">
        <f>IFERROR(VLOOKUP(F847,CARTON_LOOKUP!$A:$E,4,0),"")</f>
      </c>
      <c r="I847" s="28">
        <f>IFERROR(VLOOKUP(F847,CARTON_LOOKUP!$A:$E,5,0),"")</f>
      </c>
      <c r="J847" s="29">
        <f>IFERROR(VLOOKUP(F847,CARTON_LOOKUP!$A:$E,2,0),"")</f>
      </c>
      <c r="K847" s="29">
        <f>IFERROR(J847*D847,0)</f>
      </c>
      <c r="L847" s="29">
        <f>IFERROR(E847*C847,0)</f>
      </c>
      <c r="M847" s="29">
        <f>IFERROR((G847*H847*I847/1000000)*D847,0)</f>
      </c>
    </row>
    <row r="848" spans="1:13" x14ac:dyDescent="0.25">
      <c r="A848" s="16"/>
      <c r="E848" s="27"/>
      <c r="F848" t="s">
        <v>26</v>
      </c>
      <c r="G848" s="28">
        <f>IFERROR(VLOOKUP(F848,CARTON_LOOKUP!$A:$E,3,0),"")</f>
      </c>
      <c r="H848" s="28">
        <f>IFERROR(VLOOKUP(F848,CARTON_LOOKUP!$A:$E,4,0),"")</f>
      </c>
      <c r="I848" s="28">
        <f>IFERROR(VLOOKUP(F848,CARTON_LOOKUP!$A:$E,5,0),"")</f>
      </c>
      <c r="J848" s="29">
        <f>IFERROR(VLOOKUP(F848,CARTON_LOOKUP!$A:$E,2,0),"")</f>
      </c>
      <c r="K848" s="29">
        <f>IFERROR(J848*D848,0)</f>
      </c>
      <c r="L848" s="29">
        <f>IFERROR(E848*C848,0)</f>
      </c>
      <c r="M848" s="29">
        <f>IFERROR((G848*H848*I848/1000000)*D848,0)</f>
      </c>
    </row>
    <row r="849" spans="1:13" x14ac:dyDescent="0.25">
      <c r="A849" s="16"/>
      <c r="E849" s="27"/>
      <c r="F849" t="s">
        <v>26</v>
      </c>
      <c r="G849" s="28">
        <f>IFERROR(VLOOKUP(F849,CARTON_LOOKUP!$A:$E,3,0),"")</f>
      </c>
      <c r="H849" s="28">
        <f>IFERROR(VLOOKUP(F849,CARTON_LOOKUP!$A:$E,4,0),"")</f>
      </c>
      <c r="I849" s="28">
        <f>IFERROR(VLOOKUP(F849,CARTON_LOOKUP!$A:$E,5,0),"")</f>
      </c>
      <c r="J849" s="29">
        <f>IFERROR(VLOOKUP(F849,CARTON_LOOKUP!$A:$E,2,0),"")</f>
      </c>
      <c r="K849" s="29">
        <f>IFERROR(J849*D849,0)</f>
      </c>
      <c r="L849" s="29">
        <f>IFERROR(E849*C849,0)</f>
      </c>
      <c r="M849" s="29">
        <f>IFERROR((G849*H849*I849/1000000)*D849,0)</f>
      </c>
    </row>
    <row r="850" spans="1:13" x14ac:dyDescent="0.25">
      <c r="A850" s="16"/>
      <c r="E850" s="27"/>
      <c r="F850" t="s">
        <v>26</v>
      </c>
      <c r="G850" s="28">
        <f>IFERROR(VLOOKUP(F850,CARTON_LOOKUP!$A:$E,3,0),"")</f>
      </c>
      <c r="H850" s="28">
        <f>IFERROR(VLOOKUP(F850,CARTON_LOOKUP!$A:$E,4,0),"")</f>
      </c>
      <c r="I850" s="28">
        <f>IFERROR(VLOOKUP(F850,CARTON_LOOKUP!$A:$E,5,0),"")</f>
      </c>
      <c r="J850" s="29">
        <f>IFERROR(VLOOKUP(F850,CARTON_LOOKUP!$A:$E,2,0),"")</f>
      </c>
      <c r="K850" s="29">
        <f>IFERROR(J850*D850,0)</f>
      </c>
      <c r="L850" s="29">
        <f>IFERROR(E850*C850,0)</f>
      </c>
      <c r="M850" s="29">
        <f>IFERROR((G850*H850*I850/1000000)*D850,0)</f>
      </c>
    </row>
    <row r="851" spans="1:13" x14ac:dyDescent="0.25">
      <c r="A851" s="16"/>
      <c r="E851" s="27"/>
      <c r="F851" t="s">
        <v>26</v>
      </c>
      <c r="G851" s="28">
        <f>IFERROR(VLOOKUP(F851,CARTON_LOOKUP!$A:$E,3,0),"")</f>
      </c>
      <c r="H851" s="28">
        <f>IFERROR(VLOOKUP(F851,CARTON_LOOKUP!$A:$E,4,0),"")</f>
      </c>
      <c r="I851" s="28">
        <f>IFERROR(VLOOKUP(F851,CARTON_LOOKUP!$A:$E,5,0),"")</f>
      </c>
      <c r="J851" s="29">
        <f>IFERROR(VLOOKUP(F851,CARTON_LOOKUP!$A:$E,2,0),"")</f>
      </c>
      <c r="K851" s="29">
        <f>IFERROR(J851*D851,0)</f>
      </c>
      <c r="L851" s="29">
        <f>IFERROR(E851*C851,0)</f>
      </c>
      <c r="M851" s="29">
        <f>IFERROR((G851*H851*I851/1000000)*D851,0)</f>
      </c>
    </row>
    <row r="852" spans="1:13" x14ac:dyDescent="0.25">
      <c r="A852" s="16"/>
      <c r="E852" s="27"/>
      <c r="F852" t="s">
        <v>26</v>
      </c>
      <c r="G852" s="28">
        <f>IFERROR(VLOOKUP(F852,CARTON_LOOKUP!$A:$E,3,0),"")</f>
      </c>
      <c r="H852" s="28">
        <f>IFERROR(VLOOKUP(F852,CARTON_LOOKUP!$A:$E,4,0),"")</f>
      </c>
      <c r="I852" s="28">
        <f>IFERROR(VLOOKUP(F852,CARTON_LOOKUP!$A:$E,5,0),"")</f>
      </c>
      <c r="J852" s="29">
        <f>IFERROR(VLOOKUP(F852,CARTON_LOOKUP!$A:$E,2,0),"")</f>
      </c>
      <c r="K852" s="29">
        <f>IFERROR(J852*D852,0)</f>
      </c>
      <c r="L852" s="29">
        <f>IFERROR(E852*C852,0)</f>
      </c>
      <c r="M852" s="29">
        <f>IFERROR((G852*H852*I852/1000000)*D852,0)</f>
      </c>
    </row>
    <row r="853" spans="1:13" x14ac:dyDescent="0.25">
      <c r="A853" s="16"/>
      <c r="E853" s="27"/>
      <c r="F853" t="s">
        <v>26</v>
      </c>
      <c r="G853" s="28">
        <f>IFERROR(VLOOKUP(F853,CARTON_LOOKUP!$A:$E,3,0),"")</f>
      </c>
      <c r="H853" s="28">
        <f>IFERROR(VLOOKUP(F853,CARTON_LOOKUP!$A:$E,4,0),"")</f>
      </c>
      <c r="I853" s="28">
        <f>IFERROR(VLOOKUP(F853,CARTON_LOOKUP!$A:$E,5,0),"")</f>
      </c>
      <c r="J853" s="29">
        <f>IFERROR(VLOOKUP(F853,CARTON_LOOKUP!$A:$E,2,0),"")</f>
      </c>
      <c r="K853" s="29">
        <f>IFERROR(J853*D853,0)</f>
      </c>
      <c r="L853" s="29">
        <f>IFERROR(E853*C853,0)</f>
      </c>
      <c r="M853" s="29">
        <f>IFERROR((G853*H853*I853/1000000)*D853,0)</f>
      </c>
    </row>
    <row r="854" spans="1:13" x14ac:dyDescent="0.25">
      <c r="A854" s="16"/>
      <c r="E854" s="27"/>
      <c r="F854" t="s">
        <v>26</v>
      </c>
      <c r="G854" s="28">
        <f>IFERROR(VLOOKUP(F854,CARTON_LOOKUP!$A:$E,3,0),"")</f>
      </c>
      <c r="H854" s="28">
        <f>IFERROR(VLOOKUP(F854,CARTON_LOOKUP!$A:$E,4,0),"")</f>
      </c>
      <c r="I854" s="28">
        <f>IFERROR(VLOOKUP(F854,CARTON_LOOKUP!$A:$E,5,0),"")</f>
      </c>
      <c r="J854" s="29">
        <f>IFERROR(VLOOKUP(F854,CARTON_LOOKUP!$A:$E,2,0),"")</f>
      </c>
      <c r="K854" s="29">
        <f>IFERROR(J854*D854,0)</f>
      </c>
      <c r="L854" s="29">
        <f>IFERROR(E854*C854,0)</f>
      </c>
      <c r="M854" s="29">
        <f>IFERROR((G854*H854*I854/1000000)*D854,0)</f>
      </c>
    </row>
    <row r="855" spans="1:13" x14ac:dyDescent="0.25">
      <c r="A855" s="16"/>
      <c r="E855" s="27"/>
      <c r="F855" t="s">
        <v>26</v>
      </c>
      <c r="G855" s="28">
        <f>IFERROR(VLOOKUP(F855,CARTON_LOOKUP!$A:$E,3,0),"")</f>
      </c>
      <c r="H855" s="28">
        <f>IFERROR(VLOOKUP(F855,CARTON_LOOKUP!$A:$E,4,0),"")</f>
      </c>
      <c r="I855" s="28">
        <f>IFERROR(VLOOKUP(F855,CARTON_LOOKUP!$A:$E,5,0),"")</f>
      </c>
      <c r="J855" s="29">
        <f>IFERROR(VLOOKUP(F855,CARTON_LOOKUP!$A:$E,2,0),"")</f>
      </c>
      <c r="K855" s="29">
        <f>IFERROR(J855*D855,0)</f>
      </c>
      <c r="L855" s="29">
        <f>IFERROR(E855*C855,0)</f>
      </c>
      <c r="M855" s="29">
        <f>IFERROR((G855*H855*I855/1000000)*D855,0)</f>
      </c>
    </row>
    <row r="856" spans="1:13" x14ac:dyDescent="0.25">
      <c r="A856" s="16"/>
      <c r="E856" s="27"/>
      <c r="F856" t="s">
        <v>26</v>
      </c>
      <c r="G856" s="28">
        <f>IFERROR(VLOOKUP(F856,CARTON_LOOKUP!$A:$E,3,0),"")</f>
      </c>
      <c r="H856" s="28">
        <f>IFERROR(VLOOKUP(F856,CARTON_LOOKUP!$A:$E,4,0),"")</f>
      </c>
      <c r="I856" s="28">
        <f>IFERROR(VLOOKUP(F856,CARTON_LOOKUP!$A:$E,5,0),"")</f>
      </c>
      <c r="J856" s="29">
        <f>IFERROR(VLOOKUP(F856,CARTON_LOOKUP!$A:$E,2,0),"")</f>
      </c>
      <c r="K856" s="29">
        <f>IFERROR(J856*D856,0)</f>
      </c>
      <c r="L856" s="29">
        <f>IFERROR(E856*C856,0)</f>
      </c>
      <c r="M856" s="29">
        <f>IFERROR((G856*H856*I856/1000000)*D856,0)</f>
      </c>
    </row>
    <row r="857" spans="1:13" x14ac:dyDescent="0.25">
      <c r="A857" s="16"/>
      <c r="E857" s="27"/>
      <c r="F857" t="s">
        <v>26</v>
      </c>
      <c r="G857" s="28">
        <f>IFERROR(VLOOKUP(F857,CARTON_LOOKUP!$A:$E,3,0),"")</f>
      </c>
      <c r="H857" s="28">
        <f>IFERROR(VLOOKUP(F857,CARTON_LOOKUP!$A:$E,4,0),"")</f>
      </c>
      <c r="I857" s="28">
        <f>IFERROR(VLOOKUP(F857,CARTON_LOOKUP!$A:$E,5,0),"")</f>
      </c>
      <c r="J857" s="29">
        <f>IFERROR(VLOOKUP(F857,CARTON_LOOKUP!$A:$E,2,0),"")</f>
      </c>
      <c r="K857" s="29">
        <f>IFERROR(J857*D857,0)</f>
      </c>
      <c r="L857" s="29">
        <f>IFERROR(E857*C857,0)</f>
      </c>
      <c r="M857" s="29">
        <f>IFERROR((G857*H857*I857/1000000)*D857,0)</f>
      </c>
    </row>
    <row r="858" spans="1:13" x14ac:dyDescent="0.25">
      <c r="A858" s="16"/>
      <c r="E858" s="27"/>
      <c r="F858" t="s">
        <v>26</v>
      </c>
      <c r="G858" s="28">
        <f>IFERROR(VLOOKUP(F858,CARTON_LOOKUP!$A:$E,3,0),"")</f>
      </c>
      <c r="H858" s="28">
        <f>IFERROR(VLOOKUP(F858,CARTON_LOOKUP!$A:$E,4,0),"")</f>
      </c>
      <c r="I858" s="28">
        <f>IFERROR(VLOOKUP(F858,CARTON_LOOKUP!$A:$E,5,0),"")</f>
      </c>
      <c r="J858" s="29">
        <f>IFERROR(VLOOKUP(F858,CARTON_LOOKUP!$A:$E,2,0),"")</f>
      </c>
      <c r="K858" s="29">
        <f>IFERROR(J858*D858,0)</f>
      </c>
      <c r="L858" s="29">
        <f>IFERROR(E858*C858,0)</f>
      </c>
      <c r="M858" s="29">
        <f>IFERROR((G858*H858*I858/1000000)*D858,0)</f>
      </c>
    </row>
    <row r="859" spans="1:13" x14ac:dyDescent="0.25">
      <c r="A859" s="16"/>
      <c r="E859" s="27"/>
      <c r="F859" t="s">
        <v>26</v>
      </c>
      <c r="G859" s="28">
        <f>IFERROR(VLOOKUP(F859,CARTON_LOOKUP!$A:$E,3,0),"")</f>
      </c>
      <c r="H859" s="28">
        <f>IFERROR(VLOOKUP(F859,CARTON_LOOKUP!$A:$E,4,0),"")</f>
      </c>
      <c r="I859" s="28">
        <f>IFERROR(VLOOKUP(F859,CARTON_LOOKUP!$A:$E,5,0),"")</f>
      </c>
      <c r="J859" s="29">
        <f>IFERROR(VLOOKUP(F859,CARTON_LOOKUP!$A:$E,2,0),"")</f>
      </c>
      <c r="K859" s="29">
        <f>IFERROR(J859*D859,0)</f>
      </c>
      <c r="L859" s="29">
        <f>IFERROR(E859*C859,0)</f>
      </c>
      <c r="M859" s="29">
        <f>IFERROR((G859*H859*I859/1000000)*D859,0)</f>
      </c>
    </row>
    <row r="860" spans="1:13" x14ac:dyDescent="0.25">
      <c r="A860" s="16"/>
      <c r="E860" s="27"/>
      <c r="F860" t="s">
        <v>26</v>
      </c>
      <c r="G860" s="28">
        <f>IFERROR(VLOOKUP(F860,CARTON_LOOKUP!$A:$E,3,0),"")</f>
      </c>
      <c r="H860" s="28">
        <f>IFERROR(VLOOKUP(F860,CARTON_LOOKUP!$A:$E,4,0),"")</f>
      </c>
      <c r="I860" s="28">
        <f>IFERROR(VLOOKUP(F860,CARTON_LOOKUP!$A:$E,5,0),"")</f>
      </c>
      <c r="J860" s="29">
        <f>IFERROR(VLOOKUP(F860,CARTON_LOOKUP!$A:$E,2,0),"")</f>
      </c>
      <c r="K860" s="29">
        <f>IFERROR(J860*D860,0)</f>
      </c>
      <c r="L860" s="29">
        <f>IFERROR(E860*C860,0)</f>
      </c>
      <c r="M860" s="29">
        <f>IFERROR((G860*H860*I860/1000000)*D860,0)</f>
      </c>
    </row>
    <row r="861" spans="1:13" x14ac:dyDescent="0.25">
      <c r="A861" s="16"/>
      <c r="E861" s="27"/>
      <c r="F861" t="s">
        <v>26</v>
      </c>
      <c r="G861" s="28">
        <f>IFERROR(VLOOKUP(F861,CARTON_LOOKUP!$A:$E,3,0),"")</f>
      </c>
      <c r="H861" s="28">
        <f>IFERROR(VLOOKUP(F861,CARTON_LOOKUP!$A:$E,4,0),"")</f>
      </c>
      <c r="I861" s="28">
        <f>IFERROR(VLOOKUP(F861,CARTON_LOOKUP!$A:$E,5,0),"")</f>
      </c>
      <c r="J861" s="29">
        <f>IFERROR(VLOOKUP(F861,CARTON_LOOKUP!$A:$E,2,0),"")</f>
      </c>
      <c r="K861" s="29">
        <f>IFERROR(J861*D861,0)</f>
      </c>
      <c r="L861" s="29">
        <f>IFERROR(E861*C861,0)</f>
      </c>
      <c r="M861" s="29">
        <f>IFERROR((G861*H861*I861/1000000)*D861,0)</f>
      </c>
    </row>
    <row r="862" spans="1:13" x14ac:dyDescent="0.25">
      <c r="A862" s="16"/>
      <c r="E862" s="27"/>
      <c r="F862" t="s">
        <v>26</v>
      </c>
      <c r="G862" s="28">
        <f>IFERROR(VLOOKUP(F862,CARTON_LOOKUP!$A:$E,3,0),"")</f>
      </c>
      <c r="H862" s="28">
        <f>IFERROR(VLOOKUP(F862,CARTON_LOOKUP!$A:$E,4,0),"")</f>
      </c>
      <c r="I862" s="28">
        <f>IFERROR(VLOOKUP(F862,CARTON_LOOKUP!$A:$E,5,0),"")</f>
      </c>
      <c r="J862" s="29">
        <f>IFERROR(VLOOKUP(F862,CARTON_LOOKUP!$A:$E,2,0),"")</f>
      </c>
      <c r="K862" s="29">
        <f>IFERROR(J862*D862,0)</f>
      </c>
      <c r="L862" s="29">
        <f>IFERROR(E862*C862,0)</f>
      </c>
      <c r="M862" s="29">
        <f>IFERROR((G862*H862*I862/1000000)*D862,0)</f>
      </c>
    </row>
    <row r="863" spans="1:13" x14ac:dyDescent="0.25">
      <c r="A863" s="16"/>
      <c r="E863" s="27"/>
      <c r="F863" t="s">
        <v>26</v>
      </c>
      <c r="G863" s="28">
        <f>IFERROR(VLOOKUP(F863,CARTON_LOOKUP!$A:$E,3,0),"")</f>
      </c>
      <c r="H863" s="28">
        <f>IFERROR(VLOOKUP(F863,CARTON_LOOKUP!$A:$E,4,0),"")</f>
      </c>
      <c r="I863" s="28">
        <f>IFERROR(VLOOKUP(F863,CARTON_LOOKUP!$A:$E,5,0),"")</f>
      </c>
      <c r="J863" s="29">
        <f>IFERROR(VLOOKUP(F863,CARTON_LOOKUP!$A:$E,2,0),"")</f>
      </c>
      <c r="K863" s="29">
        <f>IFERROR(J863*D863,0)</f>
      </c>
      <c r="L863" s="29">
        <f>IFERROR(E863*C863,0)</f>
      </c>
      <c r="M863" s="29">
        <f>IFERROR((G863*H863*I863/1000000)*D863,0)</f>
      </c>
    </row>
    <row r="864" spans="1:13" x14ac:dyDescent="0.25">
      <c r="A864" s="16"/>
      <c r="E864" s="27"/>
      <c r="F864" t="s">
        <v>26</v>
      </c>
      <c r="G864" s="28">
        <f>IFERROR(VLOOKUP(F864,CARTON_LOOKUP!$A:$E,3,0),"")</f>
      </c>
      <c r="H864" s="28">
        <f>IFERROR(VLOOKUP(F864,CARTON_LOOKUP!$A:$E,4,0),"")</f>
      </c>
      <c r="I864" s="28">
        <f>IFERROR(VLOOKUP(F864,CARTON_LOOKUP!$A:$E,5,0),"")</f>
      </c>
      <c r="J864" s="29">
        <f>IFERROR(VLOOKUP(F864,CARTON_LOOKUP!$A:$E,2,0),"")</f>
      </c>
      <c r="K864" s="29">
        <f>IFERROR(J864*D864,0)</f>
      </c>
      <c r="L864" s="29">
        <f>IFERROR(E864*C864,0)</f>
      </c>
      <c r="M864" s="29">
        <f>IFERROR((G864*H864*I864/1000000)*D864,0)</f>
      </c>
    </row>
    <row r="865" spans="1:13" x14ac:dyDescent="0.25">
      <c r="A865" s="16"/>
      <c r="E865" s="27"/>
      <c r="F865" t="s">
        <v>26</v>
      </c>
      <c r="G865" s="28">
        <f>IFERROR(VLOOKUP(F865,CARTON_LOOKUP!$A:$E,3,0),"")</f>
      </c>
      <c r="H865" s="28">
        <f>IFERROR(VLOOKUP(F865,CARTON_LOOKUP!$A:$E,4,0),"")</f>
      </c>
      <c r="I865" s="28">
        <f>IFERROR(VLOOKUP(F865,CARTON_LOOKUP!$A:$E,5,0),"")</f>
      </c>
      <c r="J865" s="29">
        <f>IFERROR(VLOOKUP(F865,CARTON_LOOKUP!$A:$E,2,0),"")</f>
      </c>
      <c r="K865" s="29">
        <f>IFERROR(J865*D865,0)</f>
      </c>
      <c r="L865" s="29">
        <f>IFERROR(E865*C865,0)</f>
      </c>
      <c r="M865" s="29">
        <f>IFERROR((G865*H865*I865/1000000)*D865,0)</f>
      </c>
    </row>
    <row r="866" spans="1:13" x14ac:dyDescent="0.25">
      <c r="A866" s="16"/>
      <c r="E866" s="27"/>
      <c r="F866" t="s">
        <v>26</v>
      </c>
      <c r="G866" s="28">
        <f>IFERROR(VLOOKUP(F866,CARTON_LOOKUP!$A:$E,3,0),"")</f>
      </c>
      <c r="H866" s="28">
        <f>IFERROR(VLOOKUP(F866,CARTON_LOOKUP!$A:$E,4,0),"")</f>
      </c>
      <c r="I866" s="28">
        <f>IFERROR(VLOOKUP(F866,CARTON_LOOKUP!$A:$E,5,0),"")</f>
      </c>
      <c r="J866" s="29">
        <f>IFERROR(VLOOKUP(F866,CARTON_LOOKUP!$A:$E,2,0),"")</f>
      </c>
      <c r="K866" s="29">
        <f>IFERROR(J866*D866,0)</f>
      </c>
      <c r="L866" s="29">
        <f>IFERROR(E866*C866,0)</f>
      </c>
      <c r="M866" s="29">
        <f>IFERROR((G866*H866*I866/1000000)*D866,0)</f>
      </c>
    </row>
    <row r="867" spans="1:13" x14ac:dyDescent="0.25">
      <c r="A867" s="16"/>
      <c r="E867" s="27"/>
      <c r="F867" t="s">
        <v>26</v>
      </c>
      <c r="G867" s="28">
        <f>IFERROR(VLOOKUP(F867,CARTON_LOOKUP!$A:$E,3,0),"")</f>
      </c>
      <c r="H867" s="28">
        <f>IFERROR(VLOOKUP(F867,CARTON_LOOKUP!$A:$E,4,0),"")</f>
      </c>
      <c r="I867" s="28">
        <f>IFERROR(VLOOKUP(F867,CARTON_LOOKUP!$A:$E,5,0),"")</f>
      </c>
      <c r="J867" s="29">
        <f>IFERROR(VLOOKUP(F867,CARTON_LOOKUP!$A:$E,2,0),"")</f>
      </c>
      <c r="K867" s="29">
        <f>IFERROR(J867*D867,0)</f>
      </c>
      <c r="L867" s="29">
        <f>IFERROR(E867*C867,0)</f>
      </c>
      <c r="M867" s="29">
        <f>IFERROR((G867*H867*I867/1000000)*D867,0)</f>
      </c>
    </row>
    <row r="868" spans="1:13" x14ac:dyDescent="0.25">
      <c r="A868" s="16"/>
      <c r="E868" s="27"/>
      <c r="F868" t="s">
        <v>26</v>
      </c>
      <c r="G868" s="28">
        <f>IFERROR(VLOOKUP(F868,CARTON_LOOKUP!$A:$E,3,0),"")</f>
      </c>
      <c r="H868" s="28">
        <f>IFERROR(VLOOKUP(F868,CARTON_LOOKUP!$A:$E,4,0),"")</f>
      </c>
      <c r="I868" s="28">
        <f>IFERROR(VLOOKUP(F868,CARTON_LOOKUP!$A:$E,5,0),"")</f>
      </c>
      <c r="J868" s="29">
        <f>IFERROR(VLOOKUP(F868,CARTON_LOOKUP!$A:$E,2,0),"")</f>
      </c>
      <c r="K868" s="29">
        <f>IFERROR(J868*D868,0)</f>
      </c>
      <c r="L868" s="29">
        <f>IFERROR(E868*C868,0)</f>
      </c>
      <c r="M868" s="29">
        <f>IFERROR((G868*H868*I868/1000000)*D868,0)</f>
      </c>
    </row>
    <row r="869" spans="1:13" x14ac:dyDescent="0.25">
      <c r="A869" s="16"/>
      <c r="E869" s="27"/>
      <c r="F869" t="s">
        <v>26</v>
      </c>
      <c r="G869" s="28">
        <f>IFERROR(VLOOKUP(F869,CARTON_LOOKUP!$A:$E,3,0),"")</f>
      </c>
      <c r="H869" s="28">
        <f>IFERROR(VLOOKUP(F869,CARTON_LOOKUP!$A:$E,4,0),"")</f>
      </c>
      <c r="I869" s="28">
        <f>IFERROR(VLOOKUP(F869,CARTON_LOOKUP!$A:$E,5,0),"")</f>
      </c>
      <c r="J869" s="29">
        <f>IFERROR(VLOOKUP(F869,CARTON_LOOKUP!$A:$E,2,0),"")</f>
      </c>
      <c r="K869" s="29">
        <f>IFERROR(J869*D869,0)</f>
      </c>
      <c r="L869" s="29">
        <f>IFERROR(E869*C869,0)</f>
      </c>
      <c r="M869" s="29">
        <f>IFERROR((G869*H869*I869/1000000)*D869,0)</f>
      </c>
    </row>
    <row r="870" spans="1:13" x14ac:dyDescent="0.25">
      <c r="A870" s="16"/>
      <c r="E870" s="27"/>
      <c r="F870" t="s">
        <v>26</v>
      </c>
      <c r="G870" s="28">
        <f>IFERROR(VLOOKUP(F870,CARTON_LOOKUP!$A:$E,3,0),"")</f>
      </c>
      <c r="H870" s="28">
        <f>IFERROR(VLOOKUP(F870,CARTON_LOOKUP!$A:$E,4,0),"")</f>
      </c>
      <c r="I870" s="28">
        <f>IFERROR(VLOOKUP(F870,CARTON_LOOKUP!$A:$E,5,0),"")</f>
      </c>
      <c r="J870" s="29">
        <f>IFERROR(VLOOKUP(F870,CARTON_LOOKUP!$A:$E,2,0),"")</f>
      </c>
      <c r="K870" s="29">
        <f>IFERROR(J870*D870,0)</f>
      </c>
      <c r="L870" s="29">
        <f>IFERROR(E870*C870,0)</f>
      </c>
      <c r="M870" s="29">
        <f>IFERROR((G870*H870*I870/1000000)*D870,0)</f>
      </c>
    </row>
    <row r="871" spans="1:13" x14ac:dyDescent="0.25">
      <c r="A871" s="16"/>
      <c r="E871" s="27"/>
      <c r="F871" t="s">
        <v>26</v>
      </c>
      <c r="G871" s="28">
        <f>IFERROR(VLOOKUP(F871,CARTON_LOOKUP!$A:$E,3,0),"")</f>
      </c>
      <c r="H871" s="28">
        <f>IFERROR(VLOOKUP(F871,CARTON_LOOKUP!$A:$E,4,0),"")</f>
      </c>
      <c r="I871" s="28">
        <f>IFERROR(VLOOKUP(F871,CARTON_LOOKUP!$A:$E,5,0),"")</f>
      </c>
      <c r="J871" s="29">
        <f>IFERROR(VLOOKUP(F871,CARTON_LOOKUP!$A:$E,2,0),"")</f>
      </c>
      <c r="K871" s="29">
        <f>IFERROR(J871*D871,0)</f>
      </c>
      <c r="L871" s="29">
        <f>IFERROR(E871*C871,0)</f>
      </c>
      <c r="M871" s="29">
        <f>IFERROR((G871*H871*I871/1000000)*D871,0)</f>
      </c>
    </row>
    <row r="872" spans="1:13" x14ac:dyDescent="0.25">
      <c r="A872" s="16"/>
      <c r="E872" s="27"/>
      <c r="F872" t="s">
        <v>26</v>
      </c>
      <c r="G872" s="28">
        <f>IFERROR(VLOOKUP(F872,CARTON_LOOKUP!$A:$E,3,0),"")</f>
      </c>
      <c r="H872" s="28">
        <f>IFERROR(VLOOKUP(F872,CARTON_LOOKUP!$A:$E,4,0),"")</f>
      </c>
      <c r="I872" s="28">
        <f>IFERROR(VLOOKUP(F872,CARTON_LOOKUP!$A:$E,5,0),"")</f>
      </c>
      <c r="J872" s="29">
        <f>IFERROR(VLOOKUP(F872,CARTON_LOOKUP!$A:$E,2,0),"")</f>
      </c>
      <c r="K872" s="29">
        <f>IFERROR(J872*D872,0)</f>
      </c>
      <c r="L872" s="29">
        <f>IFERROR(E872*C872,0)</f>
      </c>
      <c r="M872" s="29">
        <f>IFERROR((G872*H872*I872/1000000)*D872,0)</f>
      </c>
    </row>
    <row r="873" spans="1:13" x14ac:dyDescent="0.25">
      <c r="A873" s="16"/>
      <c r="E873" s="27"/>
      <c r="F873" t="s">
        <v>26</v>
      </c>
      <c r="G873" s="28">
        <f>IFERROR(VLOOKUP(F873,CARTON_LOOKUP!$A:$E,3,0),"")</f>
      </c>
      <c r="H873" s="28">
        <f>IFERROR(VLOOKUP(F873,CARTON_LOOKUP!$A:$E,4,0),"")</f>
      </c>
      <c r="I873" s="28">
        <f>IFERROR(VLOOKUP(F873,CARTON_LOOKUP!$A:$E,5,0),"")</f>
      </c>
      <c r="J873" s="29">
        <f>IFERROR(VLOOKUP(F873,CARTON_LOOKUP!$A:$E,2,0),"")</f>
      </c>
      <c r="K873" s="29">
        <f>IFERROR(J873*D873,0)</f>
      </c>
      <c r="L873" s="29">
        <f>IFERROR(E873*C873,0)</f>
      </c>
      <c r="M873" s="29">
        <f>IFERROR((G873*H873*I873/1000000)*D873,0)</f>
      </c>
    </row>
    <row r="874" spans="1:13" x14ac:dyDescent="0.25">
      <c r="A874" s="16"/>
      <c r="E874" s="27"/>
      <c r="F874" t="s">
        <v>26</v>
      </c>
      <c r="G874" s="28">
        <f>IFERROR(VLOOKUP(F874,CARTON_LOOKUP!$A:$E,3,0),"")</f>
      </c>
      <c r="H874" s="28">
        <f>IFERROR(VLOOKUP(F874,CARTON_LOOKUP!$A:$E,4,0),"")</f>
      </c>
      <c r="I874" s="28">
        <f>IFERROR(VLOOKUP(F874,CARTON_LOOKUP!$A:$E,5,0),"")</f>
      </c>
      <c r="J874" s="29">
        <f>IFERROR(VLOOKUP(F874,CARTON_LOOKUP!$A:$E,2,0),"")</f>
      </c>
      <c r="K874" s="29">
        <f>IFERROR(J874*D874,0)</f>
      </c>
      <c r="L874" s="29">
        <f>IFERROR(E874*C874,0)</f>
      </c>
      <c r="M874" s="29">
        <f>IFERROR((G874*H874*I874/1000000)*D874,0)</f>
      </c>
    </row>
    <row r="875" spans="1:13" x14ac:dyDescent="0.25">
      <c r="A875" s="16"/>
      <c r="E875" s="27"/>
      <c r="F875" t="s">
        <v>26</v>
      </c>
      <c r="G875" s="28">
        <f>IFERROR(VLOOKUP(F875,CARTON_LOOKUP!$A:$E,3,0),"")</f>
      </c>
      <c r="H875" s="28">
        <f>IFERROR(VLOOKUP(F875,CARTON_LOOKUP!$A:$E,4,0),"")</f>
      </c>
      <c r="I875" s="28">
        <f>IFERROR(VLOOKUP(F875,CARTON_LOOKUP!$A:$E,5,0),"")</f>
      </c>
      <c r="J875" s="29">
        <f>IFERROR(VLOOKUP(F875,CARTON_LOOKUP!$A:$E,2,0),"")</f>
      </c>
      <c r="K875" s="29">
        <f>IFERROR(J875*D875,0)</f>
      </c>
      <c r="L875" s="29">
        <f>IFERROR(E875*C875,0)</f>
      </c>
      <c r="M875" s="29">
        <f>IFERROR((G875*H875*I875/1000000)*D875,0)</f>
      </c>
    </row>
    <row r="876" spans="1:13" x14ac:dyDescent="0.25">
      <c r="A876" s="16"/>
      <c r="E876" s="27"/>
      <c r="F876" t="s">
        <v>26</v>
      </c>
      <c r="G876" s="28">
        <f>IFERROR(VLOOKUP(F876,CARTON_LOOKUP!$A:$E,3,0),"")</f>
      </c>
      <c r="H876" s="28">
        <f>IFERROR(VLOOKUP(F876,CARTON_LOOKUP!$A:$E,4,0),"")</f>
      </c>
      <c r="I876" s="28">
        <f>IFERROR(VLOOKUP(F876,CARTON_LOOKUP!$A:$E,5,0),"")</f>
      </c>
      <c r="J876" s="29">
        <f>IFERROR(VLOOKUP(F876,CARTON_LOOKUP!$A:$E,2,0),"")</f>
      </c>
      <c r="K876" s="29">
        <f>IFERROR(J876*D876,0)</f>
      </c>
      <c r="L876" s="29">
        <f>IFERROR(E876*C876,0)</f>
      </c>
      <c r="M876" s="29">
        <f>IFERROR((G876*H876*I876/1000000)*D876,0)</f>
      </c>
    </row>
    <row r="877" spans="1:13" x14ac:dyDescent="0.25">
      <c r="A877" s="16"/>
      <c r="E877" s="27"/>
      <c r="F877" t="s">
        <v>26</v>
      </c>
      <c r="G877" s="28">
        <f>IFERROR(VLOOKUP(F877,CARTON_LOOKUP!$A:$E,3,0),"")</f>
      </c>
      <c r="H877" s="28">
        <f>IFERROR(VLOOKUP(F877,CARTON_LOOKUP!$A:$E,4,0),"")</f>
      </c>
      <c r="I877" s="28">
        <f>IFERROR(VLOOKUP(F877,CARTON_LOOKUP!$A:$E,5,0),"")</f>
      </c>
      <c r="J877" s="29">
        <f>IFERROR(VLOOKUP(F877,CARTON_LOOKUP!$A:$E,2,0),"")</f>
      </c>
      <c r="K877" s="29">
        <f>IFERROR(J877*D877,0)</f>
      </c>
      <c r="L877" s="29">
        <f>IFERROR(E877*C877,0)</f>
      </c>
      <c r="M877" s="29">
        <f>IFERROR((G877*H877*I877/1000000)*D877,0)</f>
      </c>
    </row>
    <row r="878" spans="1:13" x14ac:dyDescent="0.25">
      <c r="A878" s="16"/>
      <c r="E878" s="27"/>
      <c r="F878" t="s">
        <v>26</v>
      </c>
      <c r="G878" s="28">
        <f>IFERROR(VLOOKUP(F878,CARTON_LOOKUP!$A:$E,3,0),"")</f>
      </c>
      <c r="H878" s="28">
        <f>IFERROR(VLOOKUP(F878,CARTON_LOOKUP!$A:$E,4,0),"")</f>
      </c>
      <c r="I878" s="28">
        <f>IFERROR(VLOOKUP(F878,CARTON_LOOKUP!$A:$E,5,0),"")</f>
      </c>
      <c r="J878" s="29">
        <f>IFERROR(VLOOKUP(F878,CARTON_LOOKUP!$A:$E,2,0),"")</f>
      </c>
      <c r="K878" s="29">
        <f>IFERROR(J878*D878,0)</f>
      </c>
      <c r="L878" s="29">
        <f>IFERROR(E878*C878,0)</f>
      </c>
      <c r="M878" s="29">
        <f>IFERROR((G878*H878*I878/1000000)*D878,0)</f>
      </c>
    </row>
    <row r="879" spans="1:13" x14ac:dyDescent="0.25">
      <c r="A879" s="16"/>
      <c r="E879" s="27"/>
      <c r="F879" t="s">
        <v>26</v>
      </c>
      <c r="G879" s="28">
        <f>IFERROR(VLOOKUP(F879,CARTON_LOOKUP!$A:$E,3,0),"")</f>
      </c>
      <c r="H879" s="28">
        <f>IFERROR(VLOOKUP(F879,CARTON_LOOKUP!$A:$E,4,0),"")</f>
      </c>
      <c r="I879" s="28">
        <f>IFERROR(VLOOKUP(F879,CARTON_LOOKUP!$A:$E,5,0),"")</f>
      </c>
      <c r="J879" s="29">
        <f>IFERROR(VLOOKUP(F879,CARTON_LOOKUP!$A:$E,2,0),"")</f>
      </c>
      <c r="K879" s="29">
        <f>IFERROR(J879*D879,0)</f>
      </c>
      <c r="L879" s="29">
        <f>IFERROR(E879*C879,0)</f>
      </c>
      <c r="M879" s="29">
        <f>IFERROR((G879*H879*I879/1000000)*D879,0)</f>
      </c>
    </row>
    <row r="880" spans="1:13" x14ac:dyDescent="0.25">
      <c r="A880" s="16"/>
      <c r="E880" s="27"/>
      <c r="F880" t="s">
        <v>26</v>
      </c>
      <c r="G880" s="28">
        <f>IFERROR(VLOOKUP(F880,CARTON_LOOKUP!$A:$E,3,0),"")</f>
      </c>
      <c r="H880" s="28">
        <f>IFERROR(VLOOKUP(F880,CARTON_LOOKUP!$A:$E,4,0),"")</f>
      </c>
      <c r="I880" s="28">
        <f>IFERROR(VLOOKUP(F880,CARTON_LOOKUP!$A:$E,5,0),"")</f>
      </c>
      <c r="J880" s="29">
        <f>IFERROR(VLOOKUP(F880,CARTON_LOOKUP!$A:$E,2,0),"")</f>
      </c>
      <c r="K880" s="29">
        <f>IFERROR(J880*D880,0)</f>
      </c>
      <c r="L880" s="29">
        <f>IFERROR(E880*C880,0)</f>
      </c>
      <c r="M880" s="29">
        <f>IFERROR((G880*H880*I880/1000000)*D880,0)</f>
      </c>
    </row>
    <row r="881" spans="1:13" x14ac:dyDescent="0.25">
      <c r="A881" s="16"/>
      <c r="E881" s="27"/>
      <c r="F881" t="s">
        <v>26</v>
      </c>
      <c r="G881" s="28">
        <f>IFERROR(VLOOKUP(F881,CARTON_LOOKUP!$A:$E,3,0),"")</f>
      </c>
      <c r="H881" s="28">
        <f>IFERROR(VLOOKUP(F881,CARTON_LOOKUP!$A:$E,4,0),"")</f>
      </c>
      <c r="I881" s="28">
        <f>IFERROR(VLOOKUP(F881,CARTON_LOOKUP!$A:$E,5,0),"")</f>
      </c>
      <c r="J881" s="29">
        <f>IFERROR(VLOOKUP(F881,CARTON_LOOKUP!$A:$E,2,0),"")</f>
      </c>
      <c r="K881" s="29">
        <f>IFERROR(J881*D881,0)</f>
      </c>
      <c r="L881" s="29">
        <f>IFERROR(E881*C881,0)</f>
      </c>
      <c r="M881" s="29">
        <f>IFERROR((G881*H881*I881/1000000)*D881,0)</f>
      </c>
    </row>
    <row r="882" spans="1:13" x14ac:dyDescent="0.25">
      <c r="A882" s="16"/>
      <c r="E882" s="27"/>
      <c r="F882" t="s">
        <v>26</v>
      </c>
      <c r="G882" s="28">
        <f>IFERROR(VLOOKUP(F882,CARTON_LOOKUP!$A:$E,3,0),"")</f>
      </c>
      <c r="H882" s="28">
        <f>IFERROR(VLOOKUP(F882,CARTON_LOOKUP!$A:$E,4,0),"")</f>
      </c>
      <c r="I882" s="28">
        <f>IFERROR(VLOOKUP(F882,CARTON_LOOKUP!$A:$E,5,0),"")</f>
      </c>
      <c r="J882" s="29">
        <f>IFERROR(VLOOKUP(F882,CARTON_LOOKUP!$A:$E,2,0),"")</f>
      </c>
      <c r="K882" s="29">
        <f>IFERROR(J882*D882,0)</f>
      </c>
      <c r="L882" s="29">
        <f>IFERROR(E882*C882,0)</f>
      </c>
      <c r="M882" s="29">
        <f>IFERROR((G882*H882*I882/1000000)*D882,0)</f>
      </c>
    </row>
    <row r="883" spans="1:13" x14ac:dyDescent="0.25">
      <c r="A883" s="16"/>
      <c r="E883" s="27"/>
      <c r="F883" t="s">
        <v>26</v>
      </c>
      <c r="G883" s="28">
        <f>IFERROR(VLOOKUP(F883,CARTON_LOOKUP!$A:$E,3,0),"")</f>
      </c>
      <c r="H883" s="28">
        <f>IFERROR(VLOOKUP(F883,CARTON_LOOKUP!$A:$E,4,0),"")</f>
      </c>
      <c r="I883" s="28">
        <f>IFERROR(VLOOKUP(F883,CARTON_LOOKUP!$A:$E,5,0),"")</f>
      </c>
      <c r="J883" s="29">
        <f>IFERROR(VLOOKUP(F883,CARTON_LOOKUP!$A:$E,2,0),"")</f>
      </c>
      <c r="K883" s="29">
        <f>IFERROR(J883*D883,0)</f>
      </c>
      <c r="L883" s="29">
        <f>IFERROR(E883*C883,0)</f>
      </c>
      <c r="M883" s="29">
        <f>IFERROR((G883*H883*I883/1000000)*D883,0)</f>
      </c>
    </row>
    <row r="884" spans="1:13" x14ac:dyDescent="0.25">
      <c r="A884" s="16"/>
      <c r="E884" s="27"/>
      <c r="F884" t="s">
        <v>26</v>
      </c>
      <c r="G884" s="28">
        <f>IFERROR(VLOOKUP(F884,CARTON_LOOKUP!$A:$E,3,0),"")</f>
      </c>
      <c r="H884" s="28">
        <f>IFERROR(VLOOKUP(F884,CARTON_LOOKUP!$A:$E,4,0),"")</f>
      </c>
      <c r="I884" s="28">
        <f>IFERROR(VLOOKUP(F884,CARTON_LOOKUP!$A:$E,5,0),"")</f>
      </c>
      <c r="J884" s="29">
        <f>IFERROR(VLOOKUP(F884,CARTON_LOOKUP!$A:$E,2,0),"")</f>
      </c>
      <c r="K884" s="29">
        <f>IFERROR(J884*D884,0)</f>
      </c>
      <c r="L884" s="29">
        <f>IFERROR(E884*C884,0)</f>
      </c>
      <c r="M884" s="29">
        <f>IFERROR((G884*H884*I884/1000000)*D884,0)</f>
      </c>
    </row>
    <row r="885" spans="1:13" x14ac:dyDescent="0.25">
      <c r="A885" s="16"/>
      <c r="E885" s="27"/>
      <c r="F885" t="s">
        <v>26</v>
      </c>
      <c r="G885" s="28">
        <f>IFERROR(VLOOKUP(F885,CARTON_LOOKUP!$A:$E,3,0),"")</f>
      </c>
      <c r="H885" s="28">
        <f>IFERROR(VLOOKUP(F885,CARTON_LOOKUP!$A:$E,4,0),"")</f>
      </c>
      <c r="I885" s="28">
        <f>IFERROR(VLOOKUP(F885,CARTON_LOOKUP!$A:$E,5,0),"")</f>
      </c>
      <c r="J885" s="29">
        <f>IFERROR(VLOOKUP(F885,CARTON_LOOKUP!$A:$E,2,0),"")</f>
      </c>
      <c r="K885" s="29">
        <f>IFERROR(J885*D885,0)</f>
      </c>
      <c r="L885" s="29">
        <f>IFERROR(E885*C885,0)</f>
      </c>
      <c r="M885" s="29">
        <f>IFERROR((G885*H885*I885/1000000)*D885,0)</f>
      </c>
    </row>
    <row r="886" spans="1:13" x14ac:dyDescent="0.25">
      <c r="A886" s="16"/>
      <c r="E886" s="27"/>
      <c r="F886" t="s">
        <v>26</v>
      </c>
      <c r="G886" s="28">
        <f>IFERROR(VLOOKUP(F886,CARTON_LOOKUP!$A:$E,3,0),"")</f>
      </c>
      <c r="H886" s="28">
        <f>IFERROR(VLOOKUP(F886,CARTON_LOOKUP!$A:$E,4,0),"")</f>
      </c>
      <c r="I886" s="28">
        <f>IFERROR(VLOOKUP(F886,CARTON_LOOKUP!$A:$E,5,0),"")</f>
      </c>
      <c r="J886" s="29">
        <f>IFERROR(VLOOKUP(F886,CARTON_LOOKUP!$A:$E,2,0),"")</f>
      </c>
      <c r="K886" s="29">
        <f>IFERROR(J886*D886,0)</f>
      </c>
      <c r="L886" s="29">
        <f>IFERROR(E886*C886,0)</f>
      </c>
      <c r="M886" s="29">
        <f>IFERROR((G886*H886*I886/1000000)*D886,0)</f>
      </c>
    </row>
    <row r="887" spans="1:13" x14ac:dyDescent="0.25">
      <c r="A887" s="16"/>
      <c r="E887" s="27"/>
      <c r="F887" t="s">
        <v>26</v>
      </c>
      <c r="G887" s="28">
        <f>IFERROR(VLOOKUP(F887,CARTON_LOOKUP!$A:$E,3,0),"")</f>
      </c>
      <c r="H887" s="28">
        <f>IFERROR(VLOOKUP(F887,CARTON_LOOKUP!$A:$E,4,0),"")</f>
      </c>
      <c r="I887" s="28">
        <f>IFERROR(VLOOKUP(F887,CARTON_LOOKUP!$A:$E,5,0),"")</f>
      </c>
      <c r="J887" s="29">
        <f>IFERROR(VLOOKUP(F887,CARTON_LOOKUP!$A:$E,2,0),"")</f>
      </c>
      <c r="K887" s="29">
        <f>IFERROR(J887*D887,0)</f>
      </c>
      <c r="L887" s="29">
        <f>IFERROR(E887*C887,0)</f>
      </c>
      <c r="M887" s="29">
        <f>IFERROR((G887*H887*I887/1000000)*D887,0)</f>
      </c>
    </row>
    <row r="888" spans="1:13" x14ac:dyDescent="0.25">
      <c r="A888" s="16"/>
      <c r="E888" s="27"/>
      <c r="F888" t="s">
        <v>26</v>
      </c>
      <c r="G888" s="28">
        <f>IFERROR(VLOOKUP(F888,CARTON_LOOKUP!$A:$E,3,0),"")</f>
      </c>
      <c r="H888" s="28">
        <f>IFERROR(VLOOKUP(F888,CARTON_LOOKUP!$A:$E,4,0),"")</f>
      </c>
      <c r="I888" s="28">
        <f>IFERROR(VLOOKUP(F888,CARTON_LOOKUP!$A:$E,5,0),"")</f>
      </c>
      <c r="J888" s="29">
        <f>IFERROR(VLOOKUP(F888,CARTON_LOOKUP!$A:$E,2,0),"")</f>
      </c>
      <c r="K888" s="29">
        <f>IFERROR(J888*D888,0)</f>
      </c>
      <c r="L888" s="29">
        <f>IFERROR(E888*C888,0)</f>
      </c>
      <c r="M888" s="29">
        <f>IFERROR((G888*H888*I888/1000000)*D888,0)</f>
      </c>
    </row>
    <row r="889" spans="1:13" x14ac:dyDescent="0.25">
      <c r="A889" s="16"/>
      <c r="E889" s="27"/>
      <c r="F889" t="s">
        <v>26</v>
      </c>
      <c r="G889" s="28">
        <f>IFERROR(VLOOKUP(F889,CARTON_LOOKUP!$A:$E,3,0),"")</f>
      </c>
      <c r="H889" s="28">
        <f>IFERROR(VLOOKUP(F889,CARTON_LOOKUP!$A:$E,4,0),"")</f>
      </c>
      <c r="I889" s="28">
        <f>IFERROR(VLOOKUP(F889,CARTON_LOOKUP!$A:$E,5,0),"")</f>
      </c>
      <c r="J889" s="29">
        <f>IFERROR(VLOOKUP(F889,CARTON_LOOKUP!$A:$E,2,0),"")</f>
      </c>
      <c r="K889" s="29">
        <f>IFERROR(J889*D889,0)</f>
      </c>
      <c r="L889" s="29">
        <f>IFERROR(E889*C889,0)</f>
      </c>
      <c r="M889" s="29">
        <f>IFERROR((G889*H889*I889/1000000)*D889,0)</f>
      </c>
    </row>
    <row r="890" spans="1:13" x14ac:dyDescent="0.25">
      <c r="A890" s="16"/>
      <c r="E890" s="27"/>
      <c r="F890" t="s">
        <v>26</v>
      </c>
      <c r="G890" s="28">
        <f>IFERROR(VLOOKUP(F890,CARTON_LOOKUP!$A:$E,3,0),"")</f>
      </c>
      <c r="H890" s="28">
        <f>IFERROR(VLOOKUP(F890,CARTON_LOOKUP!$A:$E,4,0),"")</f>
      </c>
      <c r="I890" s="28">
        <f>IFERROR(VLOOKUP(F890,CARTON_LOOKUP!$A:$E,5,0),"")</f>
      </c>
      <c r="J890" s="29">
        <f>IFERROR(VLOOKUP(F890,CARTON_LOOKUP!$A:$E,2,0),"")</f>
      </c>
      <c r="K890" s="29">
        <f>IFERROR(J890*D890,0)</f>
      </c>
      <c r="L890" s="29">
        <f>IFERROR(E890*C890,0)</f>
      </c>
      <c r="M890" s="29">
        <f>IFERROR((G890*H890*I890/1000000)*D890,0)</f>
      </c>
    </row>
    <row r="891" spans="1:13" x14ac:dyDescent="0.25">
      <c r="A891" s="16"/>
      <c r="E891" s="27"/>
      <c r="F891" t="s">
        <v>26</v>
      </c>
      <c r="G891" s="28">
        <f>IFERROR(VLOOKUP(F891,CARTON_LOOKUP!$A:$E,3,0),"")</f>
      </c>
      <c r="H891" s="28">
        <f>IFERROR(VLOOKUP(F891,CARTON_LOOKUP!$A:$E,4,0),"")</f>
      </c>
      <c r="I891" s="28">
        <f>IFERROR(VLOOKUP(F891,CARTON_LOOKUP!$A:$E,5,0),"")</f>
      </c>
      <c r="J891" s="29">
        <f>IFERROR(VLOOKUP(F891,CARTON_LOOKUP!$A:$E,2,0),"")</f>
      </c>
      <c r="K891" s="29">
        <f>IFERROR(J891*D891,0)</f>
      </c>
      <c r="L891" s="29">
        <f>IFERROR(E891*C891,0)</f>
      </c>
      <c r="M891" s="29">
        <f>IFERROR((G891*H891*I891/1000000)*D891,0)</f>
      </c>
    </row>
    <row r="892" spans="1:13" x14ac:dyDescent="0.25">
      <c r="A892" s="16"/>
      <c r="E892" s="27"/>
      <c r="F892" t="s">
        <v>26</v>
      </c>
      <c r="G892" s="28">
        <f>IFERROR(VLOOKUP(F892,CARTON_LOOKUP!$A:$E,3,0),"")</f>
      </c>
      <c r="H892" s="28">
        <f>IFERROR(VLOOKUP(F892,CARTON_LOOKUP!$A:$E,4,0),"")</f>
      </c>
      <c r="I892" s="28">
        <f>IFERROR(VLOOKUP(F892,CARTON_LOOKUP!$A:$E,5,0),"")</f>
      </c>
      <c r="J892" s="29">
        <f>IFERROR(VLOOKUP(F892,CARTON_LOOKUP!$A:$E,2,0),"")</f>
      </c>
      <c r="K892" s="29">
        <f>IFERROR(J892*D892,0)</f>
      </c>
      <c r="L892" s="29">
        <f>IFERROR(E892*C892,0)</f>
      </c>
      <c r="M892" s="29">
        <f>IFERROR((G892*H892*I892/1000000)*D892,0)</f>
      </c>
    </row>
    <row r="893" spans="1:13" x14ac:dyDescent="0.25">
      <c r="A893" s="16"/>
      <c r="E893" s="27"/>
      <c r="F893" t="s">
        <v>26</v>
      </c>
      <c r="G893" s="28">
        <f>IFERROR(VLOOKUP(F893,CARTON_LOOKUP!$A:$E,3,0),"")</f>
      </c>
      <c r="H893" s="28">
        <f>IFERROR(VLOOKUP(F893,CARTON_LOOKUP!$A:$E,4,0),"")</f>
      </c>
      <c r="I893" s="28">
        <f>IFERROR(VLOOKUP(F893,CARTON_LOOKUP!$A:$E,5,0),"")</f>
      </c>
      <c r="J893" s="29">
        <f>IFERROR(VLOOKUP(F893,CARTON_LOOKUP!$A:$E,2,0),"")</f>
      </c>
      <c r="K893" s="29">
        <f>IFERROR(J893*D893,0)</f>
      </c>
      <c r="L893" s="29">
        <f>IFERROR(E893*C893,0)</f>
      </c>
      <c r="M893" s="29">
        <f>IFERROR((G893*H893*I893/1000000)*D893,0)</f>
      </c>
    </row>
    <row r="894" spans="1:13" x14ac:dyDescent="0.25">
      <c r="A894" s="16"/>
      <c r="E894" s="27"/>
      <c r="F894" t="s">
        <v>26</v>
      </c>
      <c r="G894" s="28">
        <f>IFERROR(VLOOKUP(F894,CARTON_LOOKUP!$A:$E,3,0),"")</f>
      </c>
      <c r="H894" s="28">
        <f>IFERROR(VLOOKUP(F894,CARTON_LOOKUP!$A:$E,4,0),"")</f>
      </c>
      <c r="I894" s="28">
        <f>IFERROR(VLOOKUP(F894,CARTON_LOOKUP!$A:$E,5,0),"")</f>
      </c>
      <c r="J894" s="29">
        <f>IFERROR(VLOOKUP(F894,CARTON_LOOKUP!$A:$E,2,0),"")</f>
      </c>
      <c r="K894" s="29">
        <f>IFERROR(J894*D894,0)</f>
      </c>
      <c r="L894" s="29">
        <f>IFERROR(E894*C894,0)</f>
      </c>
      <c r="M894" s="29">
        <f>IFERROR((G894*H894*I894/1000000)*D894,0)</f>
      </c>
    </row>
    <row r="895" spans="1:13" x14ac:dyDescent="0.25">
      <c r="A895" s="16"/>
      <c r="E895" s="27"/>
      <c r="F895" t="s">
        <v>26</v>
      </c>
      <c r="G895" s="28">
        <f>IFERROR(VLOOKUP(F895,CARTON_LOOKUP!$A:$E,3,0),"")</f>
      </c>
      <c r="H895" s="28">
        <f>IFERROR(VLOOKUP(F895,CARTON_LOOKUP!$A:$E,4,0),"")</f>
      </c>
      <c r="I895" s="28">
        <f>IFERROR(VLOOKUP(F895,CARTON_LOOKUP!$A:$E,5,0),"")</f>
      </c>
      <c r="J895" s="29">
        <f>IFERROR(VLOOKUP(F895,CARTON_LOOKUP!$A:$E,2,0),"")</f>
      </c>
      <c r="K895" s="29">
        <f>IFERROR(J895*D895,0)</f>
      </c>
      <c r="L895" s="29">
        <f>IFERROR(E895*C895,0)</f>
      </c>
      <c r="M895" s="29">
        <f>IFERROR((G895*H895*I895/1000000)*D895,0)</f>
      </c>
    </row>
    <row r="896" spans="1:13" x14ac:dyDescent="0.25">
      <c r="A896" s="16"/>
      <c r="E896" s="27"/>
      <c r="F896" t="s">
        <v>26</v>
      </c>
      <c r="G896" s="28">
        <f>IFERROR(VLOOKUP(F896,CARTON_LOOKUP!$A:$E,3,0),"")</f>
      </c>
      <c r="H896" s="28">
        <f>IFERROR(VLOOKUP(F896,CARTON_LOOKUP!$A:$E,4,0),"")</f>
      </c>
      <c r="I896" s="28">
        <f>IFERROR(VLOOKUP(F896,CARTON_LOOKUP!$A:$E,5,0),"")</f>
      </c>
      <c r="J896" s="29">
        <f>IFERROR(VLOOKUP(F896,CARTON_LOOKUP!$A:$E,2,0),"")</f>
      </c>
      <c r="K896" s="29">
        <f>IFERROR(J896*D896,0)</f>
      </c>
      <c r="L896" s="29">
        <f>IFERROR(E896*C896,0)</f>
      </c>
      <c r="M896" s="29">
        <f>IFERROR((G896*H896*I896/1000000)*D896,0)</f>
      </c>
    </row>
    <row r="897" spans="1:13" x14ac:dyDescent="0.25">
      <c r="A897" s="16"/>
      <c r="E897" s="27"/>
      <c r="F897" t="s">
        <v>26</v>
      </c>
      <c r="G897" s="28">
        <f>IFERROR(VLOOKUP(F897,CARTON_LOOKUP!$A:$E,3,0),"")</f>
      </c>
      <c r="H897" s="28">
        <f>IFERROR(VLOOKUP(F897,CARTON_LOOKUP!$A:$E,4,0),"")</f>
      </c>
      <c r="I897" s="28">
        <f>IFERROR(VLOOKUP(F897,CARTON_LOOKUP!$A:$E,5,0),"")</f>
      </c>
      <c r="J897" s="29">
        <f>IFERROR(VLOOKUP(F897,CARTON_LOOKUP!$A:$E,2,0),"")</f>
      </c>
      <c r="K897" s="29">
        <f>IFERROR(J897*D897,0)</f>
      </c>
      <c r="L897" s="29">
        <f>IFERROR(E897*C897,0)</f>
      </c>
      <c r="M897" s="29">
        <f>IFERROR((G897*H897*I897/1000000)*D897,0)</f>
      </c>
    </row>
    <row r="898" spans="1:13" x14ac:dyDescent="0.25">
      <c r="A898" s="16"/>
      <c r="E898" s="27"/>
      <c r="F898" t="s">
        <v>26</v>
      </c>
      <c r="G898" s="28">
        <f>IFERROR(VLOOKUP(F898,CARTON_LOOKUP!$A:$E,3,0),"")</f>
      </c>
      <c r="H898" s="28">
        <f>IFERROR(VLOOKUP(F898,CARTON_LOOKUP!$A:$E,4,0),"")</f>
      </c>
      <c r="I898" s="28">
        <f>IFERROR(VLOOKUP(F898,CARTON_LOOKUP!$A:$E,5,0),"")</f>
      </c>
      <c r="J898" s="29">
        <f>IFERROR(VLOOKUP(F898,CARTON_LOOKUP!$A:$E,2,0),"")</f>
      </c>
      <c r="K898" s="29">
        <f>IFERROR(J898*D898,0)</f>
      </c>
      <c r="L898" s="29">
        <f>IFERROR(E898*C898,0)</f>
      </c>
      <c r="M898" s="29">
        <f>IFERROR((G898*H898*I898/1000000)*D898,0)</f>
      </c>
    </row>
    <row r="899" spans="1:13" x14ac:dyDescent="0.25">
      <c r="A899" s="16"/>
      <c r="E899" s="27"/>
      <c r="F899" t="s">
        <v>26</v>
      </c>
      <c r="G899" s="28">
        <f>IFERROR(VLOOKUP(F899,CARTON_LOOKUP!$A:$E,3,0),"")</f>
      </c>
      <c r="H899" s="28">
        <f>IFERROR(VLOOKUP(F899,CARTON_LOOKUP!$A:$E,4,0),"")</f>
      </c>
      <c r="I899" s="28">
        <f>IFERROR(VLOOKUP(F899,CARTON_LOOKUP!$A:$E,5,0),"")</f>
      </c>
      <c r="J899" s="29">
        <f>IFERROR(VLOOKUP(F899,CARTON_LOOKUP!$A:$E,2,0),"")</f>
      </c>
      <c r="K899" s="29">
        <f>IFERROR(J899*D899,0)</f>
      </c>
      <c r="L899" s="29">
        <f>IFERROR(E899*C899,0)</f>
      </c>
      <c r="M899" s="29">
        <f>IFERROR((G899*H899*I899/1000000)*D899,0)</f>
      </c>
    </row>
    <row r="900" spans="1:13" x14ac:dyDescent="0.25">
      <c r="A900" s="16"/>
      <c r="E900" s="27"/>
      <c r="F900" t="s">
        <v>26</v>
      </c>
      <c r="G900" s="28">
        <f>IFERROR(VLOOKUP(F900,CARTON_LOOKUP!$A:$E,3,0),"")</f>
      </c>
      <c r="H900" s="28">
        <f>IFERROR(VLOOKUP(F900,CARTON_LOOKUP!$A:$E,4,0),"")</f>
      </c>
      <c r="I900" s="28">
        <f>IFERROR(VLOOKUP(F900,CARTON_LOOKUP!$A:$E,5,0),"")</f>
      </c>
      <c r="J900" s="29">
        <f>IFERROR(VLOOKUP(F900,CARTON_LOOKUP!$A:$E,2,0),"")</f>
      </c>
      <c r="K900" s="29">
        <f>IFERROR(J900*D900,0)</f>
      </c>
      <c r="L900" s="29">
        <f>IFERROR(E900*C900,0)</f>
      </c>
      <c r="M900" s="29">
        <f>IFERROR((G900*H900*I900/1000000)*D900,0)</f>
      </c>
    </row>
    <row r="901" spans="1:13" x14ac:dyDescent="0.25">
      <c r="A901" s="16"/>
      <c r="E901" s="27"/>
      <c r="F901" t="s">
        <v>26</v>
      </c>
      <c r="G901" s="28">
        <f>IFERROR(VLOOKUP(F901,CARTON_LOOKUP!$A:$E,3,0),"")</f>
      </c>
      <c r="H901" s="28">
        <f>IFERROR(VLOOKUP(F901,CARTON_LOOKUP!$A:$E,4,0),"")</f>
      </c>
      <c r="I901" s="28">
        <f>IFERROR(VLOOKUP(F901,CARTON_LOOKUP!$A:$E,5,0),"")</f>
      </c>
      <c r="J901" s="29">
        <f>IFERROR(VLOOKUP(F901,CARTON_LOOKUP!$A:$E,2,0),"")</f>
      </c>
      <c r="K901" s="29">
        <f>IFERROR(J901*D901,0)</f>
      </c>
      <c r="L901" s="29">
        <f>IFERROR(E901*C901,0)</f>
      </c>
      <c r="M901" s="29">
        <f>IFERROR((G901*H901*I901/1000000)*D901,0)</f>
      </c>
    </row>
    <row r="902" spans="1:13" x14ac:dyDescent="0.25">
      <c r="A902" s="16"/>
      <c r="E902" s="27"/>
      <c r="F902" t="s">
        <v>26</v>
      </c>
      <c r="G902" s="28">
        <f>IFERROR(VLOOKUP(F902,CARTON_LOOKUP!$A:$E,3,0),"")</f>
      </c>
      <c r="H902" s="28">
        <f>IFERROR(VLOOKUP(F902,CARTON_LOOKUP!$A:$E,4,0),"")</f>
      </c>
      <c r="I902" s="28">
        <f>IFERROR(VLOOKUP(F902,CARTON_LOOKUP!$A:$E,5,0),"")</f>
      </c>
      <c r="J902" s="29">
        <f>IFERROR(VLOOKUP(F902,CARTON_LOOKUP!$A:$E,2,0),"")</f>
      </c>
      <c r="K902" s="29">
        <f>IFERROR(J902*D902,0)</f>
      </c>
      <c r="L902" s="29">
        <f>IFERROR(E902*C902,0)</f>
      </c>
      <c r="M902" s="29">
        <f>IFERROR((G902*H902*I902/1000000)*D902,0)</f>
      </c>
    </row>
    <row r="903" spans="1:13" x14ac:dyDescent="0.25">
      <c r="A903" s="16"/>
      <c r="E903" s="27"/>
      <c r="F903" t="s">
        <v>26</v>
      </c>
      <c r="G903" s="28">
        <f>IFERROR(VLOOKUP(F903,CARTON_LOOKUP!$A:$E,3,0),"")</f>
      </c>
      <c r="H903" s="28">
        <f>IFERROR(VLOOKUP(F903,CARTON_LOOKUP!$A:$E,4,0),"")</f>
      </c>
      <c r="I903" s="28">
        <f>IFERROR(VLOOKUP(F903,CARTON_LOOKUP!$A:$E,5,0),"")</f>
      </c>
      <c r="J903" s="29">
        <f>IFERROR(VLOOKUP(F903,CARTON_LOOKUP!$A:$E,2,0),"")</f>
      </c>
      <c r="K903" s="29">
        <f>IFERROR(J903*D903,0)</f>
      </c>
      <c r="L903" s="29">
        <f>IFERROR(E903*C903,0)</f>
      </c>
      <c r="M903" s="29">
        <f>IFERROR((G903*H903*I903/1000000)*D903,0)</f>
      </c>
    </row>
    <row r="904" spans="1:13" x14ac:dyDescent="0.25">
      <c r="A904" s="16"/>
      <c r="E904" s="27"/>
      <c r="F904" t="s">
        <v>26</v>
      </c>
      <c r="G904" s="28">
        <f>IFERROR(VLOOKUP(F904,CARTON_LOOKUP!$A:$E,3,0),"")</f>
      </c>
      <c r="H904" s="28">
        <f>IFERROR(VLOOKUP(F904,CARTON_LOOKUP!$A:$E,4,0),"")</f>
      </c>
      <c r="I904" s="28">
        <f>IFERROR(VLOOKUP(F904,CARTON_LOOKUP!$A:$E,5,0),"")</f>
      </c>
      <c r="J904" s="29">
        <f>IFERROR(VLOOKUP(F904,CARTON_LOOKUP!$A:$E,2,0),"")</f>
      </c>
      <c r="K904" s="29">
        <f>IFERROR(J904*D904,0)</f>
      </c>
      <c r="L904" s="29">
        <f>IFERROR(E904*C904,0)</f>
      </c>
      <c r="M904" s="29">
        <f>IFERROR((G904*H904*I904/1000000)*D904,0)</f>
      </c>
    </row>
    <row r="905" spans="1:13" x14ac:dyDescent="0.25">
      <c r="A905" s="16"/>
      <c r="E905" s="27"/>
      <c r="F905" t="s">
        <v>26</v>
      </c>
      <c r="G905" s="28">
        <f>IFERROR(VLOOKUP(F905,CARTON_LOOKUP!$A:$E,3,0),"")</f>
      </c>
      <c r="H905" s="28">
        <f>IFERROR(VLOOKUP(F905,CARTON_LOOKUP!$A:$E,4,0),"")</f>
      </c>
      <c r="I905" s="28">
        <f>IFERROR(VLOOKUP(F905,CARTON_LOOKUP!$A:$E,5,0),"")</f>
      </c>
      <c r="J905" s="29">
        <f>IFERROR(VLOOKUP(F905,CARTON_LOOKUP!$A:$E,2,0),"")</f>
      </c>
      <c r="K905" s="29">
        <f>IFERROR(J905*D905,0)</f>
      </c>
      <c r="L905" s="29">
        <f>IFERROR(E905*C905,0)</f>
      </c>
      <c r="M905" s="29">
        <f>IFERROR((G905*H905*I905/1000000)*D905,0)</f>
      </c>
    </row>
    <row r="906" spans="1:13" x14ac:dyDescent="0.25">
      <c r="A906" s="16"/>
      <c r="E906" s="27"/>
      <c r="F906" t="s">
        <v>26</v>
      </c>
      <c r="G906" s="28">
        <f>IFERROR(VLOOKUP(F906,CARTON_LOOKUP!$A:$E,3,0),"")</f>
      </c>
      <c r="H906" s="28">
        <f>IFERROR(VLOOKUP(F906,CARTON_LOOKUP!$A:$E,4,0),"")</f>
      </c>
      <c r="I906" s="28">
        <f>IFERROR(VLOOKUP(F906,CARTON_LOOKUP!$A:$E,5,0),"")</f>
      </c>
      <c r="J906" s="29">
        <f>IFERROR(VLOOKUP(F906,CARTON_LOOKUP!$A:$E,2,0),"")</f>
      </c>
      <c r="K906" s="29">
        <f>IFERROR(J906*D906,0)</f>
      </c>
      <c r="L906" s="29">
        <f>IFERROR(E906*C906,0)</f>
      </c>
      <c r="M906" s="29">
        <f>IFERROR((G906*H906*I906/1000000)*D906,0)</f>
      </c>
    </row>
    <row r="907" spans="1:13" x14ac:dyDescent="0.25">
      <c r="A907" s="16"/>
      <c r="E907" s="27"/>
      <c r="F907" t="s">
        <v>26</v>
      </c>
      <c r="G907" s="28">
        <f>IFERROR(VLOOKUP(F907,CARTON_LOOKUP!$A:$E,3,0),"")</f>
      </c>
      <c r="H907" s="28">
        <f>IFERROR(VLOOKUP(F907,CARTON_LOOKUP!$A:$E,4,0),"")</f>
      </c>
      <c r="I907" s="28">
        <f>IFERROR(VLOOKUP(F907,CARTON_LOOKUP!$A:$E,5,0),"")</f>
      </c>
      <c r="J907" s="29">
        <f>IFERROR(VLOOKUP(F907,CARTON_LOOKUP!$A:$E,2,0),"")</f>
      </c>
      <c r="K907" s="29">
        <f>IFERROR(J907*D907,0)</f>
      </c>
      <c r="L907" s="29">
        <f>IFERROR(E907*C907,0)</f>
      </c>
      <c r="M907" s="29">
        <f>IFERROR((G907*H907*I907/1000000)*D907,0)</f>
      </c>
    </row>
    <row r="908" spans="1:13" x14ac:dyDescent="0.25">
      <c r="A908" s="16"/>
      <c r="E908" s="27"/>
      <c r="F908" t="s">
        <v>26</v>
      </c>
      <c r="G908" s="28">
        <f>IFERROR(VLOOKUP(F908,CARTON_LOOKUP!$A:$E,3,0),"")</f>
      </c>
      <c r="H908" s="28">
        <f>IFERROR(VLOOKUP(F908,CARTON_LOOKUP!$A:$E,4,0),"")</f>
      </c>
      <c r="I908" s="28">
        <f>IFERROR(VLOOKUP(F908,CARTON_LOOKUP!$A:$E,5,0),"")</f>
      </c>
      <c r="J908" s="29">
        <f>IFERROR(VLOOKUP(F908,CARTON_LOOKUP!$A:$E,2,0),"")</f>
      </c>
      <c r="K908" s="29">
        <f>IFERROR(J908*D908,0)</f>
      </c>
      <c r="L908" s="29">
        <f>IFERROR(E908*C908,0)</f>
      </c>
      <c r="M908" s="29">
        <f>IFERROR((G908*H908*I908/1000000)*D908,0)</f>
      </c>
    </row>
    <row r="909" spans="1:13" x14ac:dyDescent="0.25">
      <c r="A909" s="16"/>
      <c r="E909" s="27"/>
      <c r="F909" t="s">
        <v>26</v>
      </c>
      <c r="G909" s="28">
        <f>IFERROR(VLOOKUP(F909,CARTON_LOOKUP!$A:$E,3,0),"")</f>
      </c>
      <c r="H909" s="28">
        <f>IFERROR(VLOOKUP(F909,CARTON_LOOKUP!$A:$E,4,0),"")</f>
      </c>
      <c r="I909" s="28">
        <f>IFERROR(VLOOKUP(F909,CARTON_LOOKUP!$A:$E,5,0),"")</f>
      </c>
      <c r="J909" s="29">
        <f>IFERROR(VLOOKUP(F909,CARTON_LOOKUP!$A:$E,2,0),"")</f>
      </c>
      <c r="K909" s="29">
        <f>IFERROR(J909*D909,0)</f>
      </c>
      <c r="L909" s="29">
        <f>IFERROR(E909*C909,0)</f>
      </c>
      <c r="M909" s="29">
        <f>IFERROR((G909*H909*I909/1000000)*D909,0)</f>
      </c>
    </row>
    <row r="910" spans="1:13" x14ac:dyDescent="0.25">
      <c r="A910" s="16"/>
      <c r="E910" s="27"/>
      <c r="F910" t="s">
        <v>26</v>
      </c>
      <c r="G910" s="28">
        <f>IFERROR(VLOOKUP(F910,CARTON_LOOKUP!$A:$E,3,0),"")</f>
      </c>
      <c r="H910" s="28">
        <f>IFERROR(VLOOKUP(F910,CARTON_LOOKUP!$A:$E,4,0),"")</f>
      </c>
      <c r="I910" s="28">
        <f>IFERROR(VLOOKUP(F910,CARTON_LOOKUP!$A:$E,5,0),"")</f>
      </c>
      <c r="J910" s="29">
        <f>IFERROR(VLOOKUP(F910,CARTON_LOOKUP!$A:$E,2,0),"")</f>
      </c>
      <c r="K910" s="29">
        <f>IFERROR(J910*D910,0)</f>
      </c>
      <c r="L910" s="29">
        <f>IFERROR(E910*C910,0)</f>
      </c>
      <c r="M910" s="29">
        <f>IFERROR((G910*H910*I910/1000000)*D910,0)</f>
      </c>
    </row>
    <row r="911" spans="1:13" x14ac:dyDescent="0.25">
      <c r="A911" s="16"/>
      <c r="E911" s="27"/>
      <c r="F911" t="s">
        <v>26</v>
      </c>
      <c r="G911" s="28">
        <f>IFERROR(VLOOKUP(F911,CARTON_LOOKUP!$A:$E,3,0),"")</f>
      </c>
      <c r="H911" s="28">
        <f>IFERROR(VLOOKUP(F911,CARTON_LOOKUP!$A:$E,4,0),"")</f>
      </c>
      <c r="I911" s="28">
        <f>IFERROR(VLOOKUP(F911,CARTON_LOOKUP!$A:$E,5,0),"")</f>
      </c>
      <c r="J911" s="29">
        <f>IFERROR(VLOOKUP(F911,CARTON_LOOKUP!$A:$E,2,0),"")</f>
      </c>
      <c r="K911" s="29">
        <f>IFERROR(J911*D911,0)</f>
      </c>
      <c r="L911" s="29">
        <f>IFERROR(E911*C911,0)</f>
      </c>
      <c r="M911" s="29">
        <f>IFERROR((G911*H911*I911/1000000)*D911,0)</f>
      </c>
    </row>
    <row r="912" spans="1:13" x14ac:dyDescent="0.25">
      <c r="A912" s="16"/>
      <c r="E912" s="27"/>
      <c r="F912" t="s">
        <v>26</v>
      </c>
      <c r="G912" s="28">
        <f>IFERROR(VLOOKUP(F912,CARTON_LOOKUP!$A:$E,3,0),"")</f>
      </c>
      <c r="H912" s="28">
        <f>IFERROR(VLOOKUP(F912,CARTON_LOOKUP!$A:$E,4,0),"")</f>
      </c>
      <c r="I912" s="28">
        <f>IFERROR(VLOOKUP(F912,CARTON_LOOKUP!$A:$E,5,0),"")</f>
      </c>
      <c r="J912" s="29">
        <f>IFERROR(VLOOKUP(F912,CARTON_LOOKUP!$A:$E,2,0),"")</f>
      </c>
      <c r="K912" s="29">
        <f>IFERROR(J912*D912,0)</f>
      </c>
      <c r="L912" s="29">
        <f>IFERROR(E912*C912,0)</f>
      </c>
      <c r="M912" s="29">
        <f>IFERROR((G912*H912*I912/1000000)*D912,0)</f>
      </c>
    </row>
    <row r="913" spans="1:13" x14ac:dyDescent="0.25">
      <c r="A913" s="16"/>
      <c r="E913" s="27"/>
      <c r="F913" t="s">
        <v>26</v>
      </c>
      <c r="G913" s="28">
        <f>IFERROR(VLOOKUP(F913,CARTON_LOOKUP!$A:$E,3,0),"")</f>
      </c>
      <c r="H913" s="28">
        <f>IFERROR(VLOOKUP(F913,CARTON_LOOKUP!$A:$E,4,0),"")</f>
      </c>
      <c r="I913" s="28">
        <f>IFERROR(VLOOKUP(F913,CARTON_LOOKUP!$A:$E,5,0),"")</f>
      </c>
      <c r="J913" s="29">
        <f>IFERROR(VLOOKUP(F913,CARTON_LOOKUP!$A:$E,2,0),"")</f>
      </c>
      <c r="K913" s="29">
        <f>IFERROR(J913*D913,0)</f>
      </c>
      <c r="L913" s="29">
        <f>IFERROR(E913*C913,0)</f>
      </c>
      <c r="M913" s="29">
        <f>IFERROR((G913*H913*I913/1000000)*D913,0)</f>
      </c>
    </row>
    <row r="914" spans="1:13" x14ac:dyDescent="0.25">
      <c r="A914" s="16"/>
      <c r="E914" s="27"/>
      <c r="F914" t="s">
        <v>26</v>
      </c>
      <c r="G914" s="28">
        <f>IFERROR(VLOOKUP(F914,CARTON_LOOKUP!$A:$E,3,0),"")</f>
      </c>
      <c r="H914" s="28">
        <f>IFERROR(VLOOKUP(F914,CARTON_LOOKUP!$A:$E,4,0),"")</f>
      </c>
      <c r="I914" s="28">
        <f>IFERROR(VLOOKUP(F914,CARTON_LOOKUP!$A:$E,5,0),"")</f>
      </c>
      <c r="J914" s="29">
        <f>IFERROR(VLOOKUP(F914,CARTON_LOOKUP!$A:$E,2,0),"")</f>
      </c>
      <c r="K914" s="29">
        <f>IFERROR(J914*D914,0)</f>
      </c>
      <c r="L914" s="29">
        <f>IFERROR(E914*C914,0)</f>
      </c>
      <c r="M914" s="29">
        <f>IFERROR((G914*H914*I914/1000000)*D914,0)</f>
      </c>
    </row>
    <row r="915" spans="1:13" x14ac:dyDescent="0.25">
      <c r="A915" s="16"/>
      <c r="E915" s="27"/>
      <c r="F915" t="s">
        <v>26</v>
      </c>
      <c r="G915" s="28">
        <f>IFERROR(VLOOKUP(F915,CARTON_LOOKUP!$A:$E,3,0),"")</f>
      </c>
      <c r="H915" s="28">
        <f>IFERROR(VLOOKUP(F915,CARTON_LOOKUP!$A:$E,4,0),"")</f>
      </c>
      <c r="I915" s="28">
        <f>IFERROR(VLOOKUP(F915,CARTON_LOOKUP!$A:$E,5,0),"")</f>
      </c>
      <c r="J915" s="29">
        <f>IFERROR(VLOOKUP(F915,CARTON_LOOKUP!$A:$E,2,0),"")</f>
      </c>
      <c r="K915" s="29">
        <f>IFERROR(J915*D915,0)</f>
      </c>
      <c r="L915" s="29">
        <f>IFERROR(E915*C915,0)</f>
      </c>
      <c r="M915" s="29">
        <f>IFERROR((G915*H915*I915/1000000)*D915,0)</f>
      </c>
    </row>
    <row r="916" spans="1:13" x14ac:dyDescent="0.25">
      <c r="A916" s="16"/>
      <c r="E916" s="27"/>
      <c r="F916" t="s">
        <v>26</v>
      </c>
      <c r="G916" s="28">
        <f>IFERROR(VLOOKUP(F916,CARTON_LOOKUP!$A:$E,3,0),"")</f>
      </c>
      <c r="H916" s="28">
        <f>IFERROR(VLOOKUP(F916,CARTON_LOOKUP!$A:$E,4,0),"")</f>
      </c>
      <c r="I916" s="28">
        <f>IFERROR(VLOOKUP(F916,CARTON_LOOKUP!$A:$E,5,0),"")</f>
      </c>
      <c r="J916" s="29">
        <f>IFERROR(VLOOKUP(F916,CARTON_LOOKUP!$A:$E,2,0),"")</f>
      </c>
      <c r="K916" s="29">
        <f>IFERROR(J916*D916,0)</f>
      </c>
      <c r="L916" s="29">
        <f>IFERROR(E916*C916,0)</f>
      </c>
      <c r="M916" s="29">
        <f>IFERROR((G916*H916*I916/1000000)*D916,0)</f>
      </c>
    </row>
    <row r="917" spans="1:13" x14ac:dyDescent="0.25">
      <c r="A917" s="16"/>
      <c r="E917" s="27"/>
      <c r="F917" t="s">
        <v>26</v>
      </c>
      <c r="G917" s="28">
        <f>IFERROR(VLOOKUP(F917,CARTON_LOOKUP!$A:$E,3,0),"")</f>
      </c>
      <c r="H917" s="28">
        <f>IFERROR(VLOOKUP(F917,CARTON_LOOKUP!$A:$E,4,0),"")</f>
      </c>
      <c r="I917" s="28">
        <f>IFERROR(VLOOKUP(F917,CARTON_LOOKUP!$A:$E,5,0),"")</f>
      </c>
      <c r="J917" s="29">
        <f>IFERROR(VLOOKUP(F917,CARTON_LOOKUP!$A:$E,2,0),"")</f>
      </c>
      <c r="K917" s="29">
        <f>IFERROR(J917*D917,0)</f>
      </c>
      <c r="L917" s="29">
        <f>IFERROR(E917*C917,0)</f>
      </c>
      <c r="M917" s="29">
        <f>IFERROR((G917*H917*I917/1000000)*D917,0)</f>
      </c>
    </row>
    <row r="918" spans="1:13" x14ac:dyDescent="0.25">
      <c r="A918" s="16"/>
      <c r="E918" s="27"/>
      <c r="F918" t="s">
        <v>26</v>
      </c>
      <c r="G918" s="28">
        <f>IFERROR(VLOOKUP(F918,CARTON_LOOKUP!$A:$E,3,0),"")</f>
      </c>
      <c r="H918" s="28">
        <f>IFERROR(VLOOKUP(F918,CARTON_LOOKUP!$A:$E,4,0),"")</f>
      </c>
      <c r="I918" s="28">
        <f>IFERROR(VLOOKUP(F918,CARTON_LOOKUP!$A:$E,5,0),"")</f>
      </c>
      <c r="J918" s="29">
        <f>IFERROR(VLOOKUP(F918,CARTON_LOOKUP!$A:$E,2,0),"")</f>
      </c>
      <c r="K918" s="29">
        <f>IFERROR(J918*D918,0)</f>
      </c>
      <c r="L918" s="29">
        <f>IFERROR(E918*C918,0)</f>
      </c>
      <c r="M918" s="29">
        <f>IFERROR((G918*H918*I918/1000000)*D918,0)</f>
      </c>
    </row>
    <row r="919" spans="1:13" x14ac:dyDescent="0.25">
      <c r="A919" s="16"/>
      <c r="E919" s="27"/>
      <c r="F919" t="s">
        <v>26</v>
      </c>
      <c r="G919" s="28">
        <f>IFERROR(VLOOKUP(F919,CARTON_LOOKUP!$A:$E,3,0),"")</f>
      </c>
      <c r="H919" s="28">
        <f>IFERROR(VLOOKUP(F919,CARTON_LOOKUP!$A:$E,4,0),"")</f>
      </c>
      <c r="I919" s="28">
        <f>IFERROR(VLOOKUP(F919,CARTON_LOOKUP!$A:$E,5,0),"")</f>
      </c>
      <c r="J919" s="29">
        <f>IFERROR(VLOOKUP(F919,CARTON_LOOKUP!$A:$E,2,0),"")</f>
      </c>
      <c r="K919" s="29">
        <f>IFERROR(J919*D919,0)</f>
      </c>
      <c r="L919" s="29">
        <f>IFERROR(E919*C919,0)</f>
      </c>
      <c r="M919" s="29">
        <f>IFERROR((G919*H919*I919/1000000)*D919,0)</f>
      </c>
    </row>
    <row r="920" spans="1:13" x14ac:dyDescent="0.25">
      <c r="A920" s="16"/>
      <c r="E920" s="27"/>
      <c r="F920" t="s">
        <v>26</v>
      </c>
      <c r="G920" s="28">
        <f>IFERROR(VLOOKUP(F920,CARTON_LOOKUP!$A:$E,3,0),"")</f>
      </c>
      <c r="H920" s="28">
        <f>IFERROR(VLOOKUP(F920,CARTON_LOOKUP!$A:$E,4,0),"")</f>
      </c>
      <c r="I920" s="28">
        <f>IFERROR(VLOOKUP(F920,CARTON_LOOKUP!$A:$E,5,0),"")</f>
      </c>
      <c r="J920" s="29">
        <f>IFERROR(VLOOKUP(F920,CARTON_LOOKUP!$A:$E,2,0),"")</f>
      </c>
      <c r="K920" s="29">
        <f>IFERROR(J920*D920,0)</f>
      </c>
      <c r="L920" s="29">
        <f>IFERROR(E920*C920,0)</f>
      </c>
      <c r="M920" s="29">
        <f>IFERROR((G920*H920*I920/1000000)*D920,0)</f>
      </c>
    </row>
    <row r="921" spans="1:13" x14ac:dyDescent="0.25">
      <c r="A921" s="16"/>
      <c r="E921" s="27"/>
      <c r="F921" t="s">
        <v>26</v>
      </c>
      <c r="G921" s="28">
        <f>IFERROR(VLOOKUP(F921,CARTON_LOOKUP!$A:$E,3,0),"")</f>
      </c>
      <c r="H921" s="28">
        <f>IFERROR(VLOOKUP(F921,CARTON_LOOKUP!$A:$E,4,0),"")</f>
      </c>
      <c r="I921" s="28">
        <f>IFERROR(VLOOKUP(F921,CARTON_LOOKUP!$A:$E,5,0),"")</f>
      </c>
      <c r="J921" s="29">
        <f>IFERROR(VLOOKUP(F921,CARTON_LOOKUP!$A:$E,2,0),"")</f>
      </c>
      <c r="K921" s="29">
        <f>IFERROR(J921*D921,0)</f>
      </c>
      <c r="L921" s="29">
        <f>IFERROR(E921*C921,0)</f>
      </c>
      <c r="M921" s="29">
        <f>IFERROR((G921*H921*I921/1000000)*D921,0)</f>
      </c>
    </row>
    <row r="922" spans="1:13" x14ac:dyDescent="0.25">
      <c r="A922" s="16"/>
      <c r="E922" s="27"/>
      <c r="F922" t="s">
        <v>26</v>
      </c>
      <c r="G922" s="28">
        <f>IFERROR(VLOOKUP(F922,CARTON_LOOKUP!$A:$E,3,0),"")</f>
      </c>
      <c r="H922" s="28">
        <f>IFERROR(VLOOKUP(F922,CARTON_LOOKUP!$A:$E,4,0),"")</f>
      </c>
      <c r="I922" s="28">
        <f>IFERROR(VLOOKUP(F922,CARTON_LOOKUP!$A:$E,5,0),"")</f>
      </c>
      <c r="J922" s="29">
        <f>IFERROR(VLOOKUP(F922,CARTON_LOOKUP!$A:$E,2,0),"")</f>
      </c>
      <c r="K922" s="29">
        <f>IFERROR(J922*D922,0)</f>
      </c>
      <c r="L922" s="29">
        <f>IFERROR(E922*C922,0)</f>
      </c>
      <c r="M922" s="29">
        <f>IFERROR((G922*H922*I922/1000000)*D922,0)</f>
      </c>
    </row>
    <row r="923" spans="1:13" x14ac:dyDescent="0.25">
      <c r="A923" s="16"/>
      <c r="E923" s="27"/>
      <c r="F923" t="s">
        <v>26</v>
      </c>
      <c r="G923" s="28">
        <f>IFERROR(VLOOKUP(F923,CARTON_LOOKUP!$A:$E,3,0),"")</f>
      </c>
      <c r="H923" s="28">
        <f>IFERROR(VLOOKUP(F923,CARTON_LOOKUP!$A:$E,4,0),"")</f>
      </c>
      <c r="I923" s="28">
        <f>IFERROR(VLOOKUP(F923,CARTON_LOOKUP!$A:$E,5,0),"")</f>
      </c>
      <c r="J923" s="29">
        <f>IFERROR(VLOOKUP(F923,CARTON_LOOKUP!$A:$E,2,0),"")</f>
      </c>
      <c r="K923" s="29">
        <f>IFERROR(J923*D923,0)</f>
      </c>
      <c r="L923" s="29">
        <f>IFERROR(E923*C923,0)</f>
      </c>
      <c r="M923" s="29">
        <f>IFERROR((G923*H923*I923/1000000)*D923,0)</f>
      </c>
    </row>
    <row r="924" spans="1:13" x14ac:dyDescent="0.25">
      <c r="A924" s="16"/>
      <c r="E924" s="27"/>
      <c r="F924" t="s">
        <v>26</v>
      </c>
      <c r="G924" s="28">
        <f>IFERROR(VLOOKUP(F924,CARTON_LOOKUP!$A:$E,3,0),"")</f>
      </c>
      <c r="H924" s="28">
        <f>IFERROR(VLOOKUP(F924,CARTON_LOOKUP!$A:$E,4,0),"")</f>
      </c>
      <c r="I924" s="28">
        <f>IFERROR(VLOOKUP(F924,CARTON_LOOKUP!$A:$E,5,0),"")</f>
      </c>
      <c r="J924" s="29">
        <f>IFERROR(VLOOKUP(F924,CARTON_LOOKUP!$A:$E,2,0),"")</f>
      </c>
      <c r="K924" s="29">
        <f>IFERROR(J924*D924,0)</f>
      </c>
      <c r="L924" s="29">
        <f>IFERROR(E924*C924,0)</f>
      </c>
      <c r="M924" s="29">
        <f>IFERROR((G924*H924*I924/1000000)*D924,0)</f>
      </c>
    </row>
    <row r="925" spans="1:13" x14ac:dyDescent="0.25">
      <c r="A925" s="16"/>
      <c r="E925" s="27"/>
      <c r="F925" t="s">
        <v>26</v>
      </c>
      <c r="G925" s="28">
        <f>IFERROR(VLOOKUP(F925,CARTON_LOOKUP!$A:$E,3,0),"")</f>
      </c>
      <c r="H925" s="28">
        <f>IFERROR(VLOOKUP(F925,CARTON_LOOKUP!$A:$E,4,0),"")</f>
      </c>
      <c r="I925" s="28">
        <f>IFERROR(VLOOKUP(F925,CARTON_LOOKUP!$A:$E,5,0),"")</f>
      </c>
      <c r="J925" s="29">
        <f>IFERROR(VLOOKUP(F925,CARTON_LOOKUP!$A:$E,2,0),"")</f>
      </c>
      <c r="K925" s="29">
        <f>IFERROR(J925*D925,0)</f>
      </c>
      <c r="L925" s="29">
        <f>IFERROR(E925*C925,0)</f>
      </c>
      <c r="M925" s="29">
        <f>IFERROR((G925*H925*I925/1000000)*D925,0)</f>
      </c>
    </row>
    <row r="926" spans="1:13" x14ac:dyDescent="0.25">
      <c r="A926" s="16"/>
      <c r="E926" s="27"/>
      <c r="F926" t="s">
        <v>26</v>
      </c>
      <c r="G926" s="28">
        <f>IFERROR(VLOOKUP(F926,CARTON_LOOKUP!$A:$E,3,0),"")</f>
      </c>
      <c r="H926" s="28">
        <f>IFERROR(VLOOKUP(F926,CARTON_LOOKUP!$A:$E,4,0),"")</f>
      </c>
      <c r="I926" s="28">
        <f>IFERROR(VLOOKUP(F926,CARTON_LOOKUP!$A:$E,5,0),"")</f>
      </c>
      <c r="J926" s="29">
        <f>IFERROR(VLOOKUP(F926,CARTON_LOOKUP!$A:$E,2,0),"")</f>
      </c>
      <c r="K926" s="29">
        <f>IFERROR(J926*D926,0)</f>
      </c>
      <c r="L926" s="29">
        <f>IFERROR(E926*C926,0)</f>
      </c>
      <c r="M926" s="29">
        <f>IFERROR((G926*H926*I926/1000000)*D926,0)</f>
      </c>
    </row>
    <row r="927" spans="1:13" x14ac:dyDescent="0.25">
      <c r="A927" s="16"/>
      <c r="E927" s="27"/>
      <c r="F927" t="s">
        <v>26</v>
      </c>
      <c r="G927" s="28">
        <f>IFERROR(VLOOKUP(F927,CARTON_LOOKUP!$A:$E,3,0),"")</f>
      </c>
      <c r="H927" s="28">
        <f>IFERROR(VLOOKUP(F927,CARTON_LOOKUP!$A:$E,4,0),"")</f>
      </c>
      <c r="I927" s="28">
        <f>IFERROR(VLOOKUP(F927,CARTON_LOOKUP!$A:$E,5,0),"")</f>
      </c>
      <c r="J927" s="29">
        <f>IFERROR(VLOOKUP(F927,CARTON_LOOKUP!$A:$E,2,0),"")</f>
      </c>
      <c r="K927" s="29">
        <f>IFERROR(J927*D927,0)</f>
      </c>
      <c r="L927" s="29">
        <f>IFERROR(E927*C927,0)</f>
      </c>
      <c r="M927" s="29">
        <f>IFERROR((G927*H927*I927/1000000)*D927,0)</f>
      </c>
    </row>
    <row r="928" spans="1:13" x14ac:dyDescent="0.25">
      <c r="A928" s="16"/>
      <c r="E928" s="27"/>
      <c r="F928" t="s">
        <v>26</v>
      </c>
      <c r="G928" s="28">
        <f>IFERROR(VLOOKUP(F928,CARTON_LOOKUP!$A:$E,3,0),"")</f>
      </c>
      <c r="H928" s="28">
        <f>IFERROR(VLOOKUP(F928,CARTON_LOOKUP!$A:$E,4,0),"")</f>
      </c>
      <c r="I928" s="28">
        <f>IFERROR(VLOOKUP(F928,CARTON_LOOKUP!$A:$E,5,0),"")</f>
      </c>
      <c r="J928" s="29">
        <f>IFERROR(VLOOKUP(F928,CARTON_LOOKUP!$A:$E,2,0),"")</f>
      </c>
      <c r="K928" s="29">
        <f>IFERROR(J928*D928,0)</f>
      </c>
      <c r="L928" s="29">
        <f>IFERROR(E928*C928,0)</f>
      </c>
      <c r="M928" s="29">
        <f>IFERROR((G928*H928*I928/1000000)*D928,0)</f>
      </c>
    </row>
    <row r="929" spans="1:13" x14ac:dyDescent="0.25">
      <c r="A929" s="16"/>
      <c r="E929" s="27"/>
      <c r="F929" t="s">
        <v>26</v>
      </c>
      <c r="G929" s="28">
        <f>IFERROR(VLOOKUP(F929,CARTON_LOOKUP!$A:$E,3,0),"")</f>
      </c>
      <c r="H929" s="28">
        <f>IFERROR(VLOOKUP(F929,CARTON_LOOKUP!$A:$E,4,0),"")</f>
      </c>
      <c r="I929" s="28">
        <f>IFERROR(VLOOKUP(F929,CARTON_LOOKUP!$A:$E,5,0),"")</f>
      </c>
      <c r="J929" s="29">
        <f>IFERROR(VLOOKUP(F929,CARTON_LOOKUP!$A:$E,2,0),"")</f>
      </c>
      <c r="K929" s="29">
        <f>IFERROR(J929*D929,0)</f>
      </c>
      <c r="L929" s="29">
        <f>IFERROR(E929*C929,0)</f>
      </c>
      <c r="M929" s="29">
        <f>IFERROR((G929*H929*I929/1000000)*D929,0)</f>
      </c>
    </row>
    <row r="930" spans="1:13" x14ac:dyDescent="0.25">
      <c r="A930" s="16"/>
      <c r="E930" s="27"/>
      <c r="F930" t="s">
        <v>26</v>
      </c>
      <c r="G930" s="28">
        <f>IFERROR(VLOOKUP(F930,CARTON_LOOKUP!$A:$E,3,0),"")</f>
      </c>
      <c r="H930" s="28">
        <f>IFERROR(VLOOKUP(F930,CARTON_LOOKUP!$A:$E,4,0),"")</f>
      </c>
      <c r="I930" s="28">
        <f>IFERROR(VLOOKUP(F930,CARTON_LOOKUP!$A:$E,5,0),"")</f>
      </c>
      <c r="J930" s="29">
        <f>IFERROR(VLOOKUP(F930,CARTON_LOOKUP!$A:$E,2,0),"")</f>
      </c>
      <c r="K930" s="29">
        <f>IFERROR(J930*D930,0)</f>
      </c>
      <c r="L930" s="29">
        <f>IFERROR(E930*C930,0)</f>
      </c>
      <c r="M930" s="29">
        <f>IFERROR((G930*H930*I930/1000000)*D930,0)</f>
      </c>
    </row>
    <row r="931" spans="1:13" x14ac:dyDescent="0.25">
      <c r="A931" s="16"/>
      <c r="E931" s="27"/>
      <c r="F931" t="s">
        <v>26</v>
      </c>
      <c r="G931" s="28">
        <f>IFERROR(VLOOKUP(F931,CARTON_LOOKUP!$A:$E,3,0),"")</f>
      </c>
      <c r="H931" s="28">
        <f>IFERROR(VLOOKUP(F931,CARTON_LOOKUP!$A:$E,4,0),"")</f>
      </c>
      <c r="I931" s="28">
        <f>IFERROR(VLOOKUP(F931,CARTON_LOOKUP!$A:$E,5,0),"")</f>
      </c>
      <c r="J931" s="29">
        <f>IFERROR(VLOOKUP(F931,CARTON_LOOKUP!$A:$E,2,0),"")</f>
      </c>
      <c r="K931" s="29">
        <f>IFERROR(J931*D931,0)</f>
      </c>
      <c r="L931" s="29">
        <f>IFERROR(E931*C931,0)</f>
      </c>
      <c r="M931" s="29">
        <f>IFERROR((G931*H931*I931/1000000)*D931,0)</f>
      </c>
    </row>
    <row r="932" spans="1:13" x14ac:dyDescent="0.25">
      <c r="A932" s="16"/>
      <c r="E932" s="27"/>
      <c r="F932" t="s">
        <v>26</v>
      </c>
      <c r="G932" s="28">
        <f>IFERROR(VLOOKUP(F932,CARTON_LOOKUP!$A:$E,3,0),"")</f>
      </c>
      <c r="H932" s="28">
        <f>IFERROR(VLOOKUP(F932,CARTON_LOOKUP!$A:$E,4,0),"")</f>
      </c>
      <c r="I932" s="28">
        <f>IFERROR(VLOOKUP(F932,CARTON_LOOKUP!$A:$E,5,0),"")</f>
      </c>
      <c r="J932" s="29">
        <f>IFERROR(VLOOKUP(F932,CARTON_LOOKUP!$A:$E,2,0),"")</f>
      </c>
      <c r="K932" s="29">
        <f>IFERROR(J932*D932,0)</f>
      </c>
      <c r="L932" s="29">
        <f>IFERROR(E932*C932,0)</f>
      </c>
      <c r="M932" s="29">
        <f>IFERROR((G932*H932*I932/1000000)*D932,0)</f>
      </c>
    </row>
    <row r="933" spans="1:13" x14ac:dyDescent="0.25">
      <c r="A933" s="16"/>
      <c r="E933" s="27"/>
      <c r="F933" t="s">
        <v>26</v>
      </c>
      <c r="G933" s="28">
        <f>IFERROR(VLOOKUP(F933,CARTON_LOOKUP!$A:$E,3,0),"")</f>
      </c>
      <c r="H933" s="28">
        <f>IFERROR(VLOOKUP(F933,CARTON_LOOKUP!$A:$E,4,0),"")</f>
      </c>
      <c r="I933" s="28">
        <f>IFERROR(VLOOKUP(F933,CARTON_LOOKUP!$A:$E,5,0),"")</f>
      </c>
      <c r="J933" s="29">
        <f>IFERROR(VLOOKUP(F933,CARTON_LOOKUP!$A:$E,2,0),"")</f>
      </c>
      <c r="K933" s="29">
        <f>IFERROR(J933*D933,0)</f>
      </c>
      <c r="L933" s="29">
        <f>IFERROR(E933*C933,0)</f>
      </c>
      <c r="M933" s="29">
        <f>IFERROR((G933*H933*I933/1000000)*D933,0)</f>
      </c>
    </row>
    <row r="934" spans="1:13" x14ac:dyDescent="0.25">
      <c r="A934" s="16"/>
      <c r="E934" s="27"/>
      <c r="F934" t="s">
        <v>26</v>
      </c>
      <c r="G934" s="28">
        <f>IFERROR(VLOOKUP(F934,CARTON_LOOKUP!$A:$E,3,0),"")</f>
      </c>
      <c r="H934" s="28">
        <f>IFERROR(VLOOKUP(F934,CARTON_LOOKUP!$A:$E,4,0),"")</f>
      </c>
      <c r="I934" s="28">
        <f>IFERROR(VLOOKUP(F934,CARTON_LOOKUP!$A:$E,5,0),"")</f>
      </c>
      <c r="J934" s="29">
        <f>IFERROR(VLOOKUP(F934,CARTON_LOOKUP!$A:$E,2,0),"")</f>
      </c>
      <c r="K934" s="29">
        <f>IFERROR(J934*D934,0)</f>
      </c>
      <c r="L934" s="29">
        <f>IFERROR(E934*C934,0)</f>
      </c>
      <c r="M934" s="29">
        <f>IFERROR((G934*H934*I934/1000000)*D934,0)</f>
      </c>
    </row>
    <row r="935" spans="1:13" x14ac:dyDescent="0.25">
      <c r="A935" s="16"/>
      <c r="E935" s="27"/>
      <c r="F935" t="s">
        <v>26</v>
      </c>
      <c r="G935" s="28">
        <f>IFERROR(VLOOKUP(F935,CARTON_LOOKUP!$A:$E,3,0),"")</f>
      </c>
      <c r="H935" s="28">
        <f>IFERROR(VLOOKUP(F935,CARTON_LOOKUP!$A:$E,4,0),"")</f>
      </c>
      <c r="I935" s="28">
        <f>IFERROR(VLOOKUP(F935,CARTON_LOOKUP!$A:$E,5,0),"")</f>
      </c>
      <c r="J935" s="29">
        <f>IFERROR(VLOOKUP(F935,CARTON_LOOKUP!$A:$E,2,0),"")</f>
      </c>
      <c r="K935" s="29">
        <f>IFERROR(J935*D935,0)</f>
      </c>
      <c r="L935" s="29">
        <f>IFERROR(E935*C935,0)</f>
      </c>
      <c r="M935" s="29">
        <f>IFERROR((G935*H935*I935/1000000)*D935,0)</f>
      </c>
    </row>
    <row r="936" spans="1:13" x14ac:dyDescent="0.25">
      <c r="A936" s="16"/>
      <c r="E936" s="27"/>
      <c r="F936" t="s">
        <v>26</v>
      </c>
      <c r="G936" s="28">
        <f>IFERROR(VLOOKUP(F936,CARTON_LOOKUP!$A:$E,3,0),"")</f>
      </c>
      <c r="H936" s="28">
        <f>IFERROR(VLOOKUP(F936,CARTON_LOOKUP!$A:$E,4,0),"")</f>
      </c>
      <c r="I936" s="28">
        <f>IFERROR(VLOOKUP(F936,CARTON_LOOKUP!$A:$E,5,0),"")</f>
      </c>
      <c r="J936" s="29">
        <f>IFERROR(VLOOKUP(F936,CARTON_LOOKUP!$A:$E,2,0),"")</f>
      </c>
      <c r="K936" s="29">
        <f>IFERROR(J936*D936,0)</f>
      </c>
      <c r="L936" s="29">
        <f>IFERROR(E936*C936,0)</f>
      </c>
      <c r="M936" s="29">
        <f>IFERROR((G936*H936*I936/1000000)*D936,0)</f>
      </c>
    </row>
    <row r="937" spans="1:13" x14ac:dyDescent="0.25">
      <c r="A937" s="16"/>
      <c r="E937" s="27"/>
      <c r="F937" t="s">
        <v>26</v>
      </c>
      <c r="G937" s="28">
        <f>IFERROR(VLOOKUP(F937,CARTON_LOOKUP!$A:$E,3,0),"")</f>
      </c>
      <c r="H937" s="28">
        <f>IFERROR(VLOOKUP(F937,CARTON_LOOKUP!$A:$E,4,0),"")</f>
      </c>
      <c r="I937" s="28">
        <f>IFERROR(VLOOKUP(F937,CARTON_LOOKUP!$A:$E,5,0),"")</f>
      </c>
      <c r="J937" s="29">
        <f>IFERROR(VLOOKUP(F937,CARTON_LOOKUP!$A:$E,2,0),"")</f>
      </c>
      <c r="K937" s="29">
        <f>IFERROR(J937*D937,0)</f>
      </c>
      <c r="L937" s="29">
        <f>IFERROR(E937*C937,0)</f>
      </c>
      <c r="M937" s="29">
        <f>IFERROR((G937*H937*I937/1000000)*D937,0)</f>
      </c>
    </row>
    <row r="938" spans="1:13" x14ac:dyDescent="0.25">
      <c r="A938" s="16"/>
      <c r="E938" s="27"/>
      <c r="F938" t="s">
        <v>26</v>
      </c>
      <c r="G938" s="28">
        <f>IFERROR(VLOOKUP(F938,CARTON_LOOKUP!$A:$E,3,0),"")</f>
      </c>
      <c r="H938" s="28">
        <f>IFERROR(VLOOKUP(F938,CARTON_LOOKUP!$A:$E,4,0),"")</f>
      </c>
      <c r="I938" s="28">
        <f>IFERROR(VLOOKUP(F938,CARTON_LOOKUP!$A:$E,5,0),"")</f>
      </c>
      <c r="J938" s="29">
        <f>IFERROR(VLOOKUP(F938,CARTON_LOOKUP!$A:$E,2,0),"")</f>
      </c>
      <c r="K938" s="29">
        <f>IFERROR(J938*D938,0)</f>
      </c>
      <c r="L938" s="29">
        <f>IFERROR(E938*C938,0)</f>
      </c>
      <c r="M938" s="29">
        <f>IFERROR((G938*H938*I938/1000000)*D938,0)</f>
      </c>
    </row>
    <row r="939" spans="1:13" x14ac:dyDescent="0.25">
      <c r="A939" s="16"/>
      <c r="E939" s="27"/>
      <c r="F939" t="s">
        <v>26</v>
      </c>
      <c r="G939" s="28">
        <f>IFERROR(VLOOKUP(F939,CARTON_LOOKUP!$A:$E,3,0),"")</f>
      </c>
      <c r="H939" s="28">
        <f>IFERROR(VLOOKUP(F939,CARTON_LOOKUP!$A:$E,4,0),"")</f>
      </c>
      <c r="I939" s="28">
        <f>IFERROR(VLOOKUP(F939,CARTON_LOOKUP!$A:$E,5,0),"")</f>
      </c>
      <c r="J939" s="29">
        <f>IFERROR(VLOOKUP(F939,CARTON_LOOKUP!$A:$E,2,0),"")</f>
      </c>
      <c r="K939" s="29">
        <f>IFERROR(J939*D939,0)</f>
      </c>
      <c r="L939" s="29">
        <f>IFERROR(E939*C939,0)</f>
      </c>
      <c r="M939" s="29">
        <f>IFERROR((G939*H939*I939/1000000)*D939,0)</f>
      </c>
    </row>
    <row r="940" spans="1:13" x14ac:dyDescent="0.25">
      <c r="A940" s="16"/>
      <c r="E940" s="27"/>
      <c r="F940" t="s">
        <v>26</v>
      </c>
      <c r="G940" s="28">
        <f>IFERROR(VLOOKUP(F940,CARTON_LOOKUP!$A:$E,3,0),"")</f>
      </c>
      <c r="H940" s="28">
        <f>IFERROR(VLOOKUP(F940,CARTON_LOOKUP!$A:$E,4,0),"")</f>
      </c>
      <c r="I940" s="28">
        <f>IFERROR(VLOOKUP(F940,CARTON_LOOKUP!$A:$E,5,0),"")</f>
      </c>
      <c r="J940" s="29">
        <f>IFERROR(VLOOKUP(F940,CARTON_LOOKUP!$A:$E,2,0),"")</f>
      </c>
      <c r="K940" s="29">
        <f>IFERROR(J940*D940,0)</f>
      </c>
      <c r="L940" s="29">
        <f>IFERROR(E940*C940,0)</f>
      </c>
      <c r="M940" s="29">
        <f>IFERROR((G940*H940*I940/1000000)*D940,0)</f>
      </c>
    </row>
    <row r="941" spans="1:13" x14ac:dyDescent="0.25">
      <c r="A941" s="16"/>
      <c r="E941" s="27"/>
      <c r="F941" t="s">
        <v>26</v>
      </c>
      <c r="G941" s="28">
        <f>IFERROR(VLOOKUP(F941,CARTON_LOOKUP!$A:$E,3,0),"")</f>
      </c>
      <c r="H941" s="28">
        <f>IFERROR(VLOOKUP(F941,CARTON_LOOKUP!$A:$E,4,0),"")</f>
      </c>
      <c r="I941" s="28">
        <f>IFERROR(VLOOKUP(F941,CARTON_LOOKUP!$A:$E,5,0),"")</f>
      </c>
      <c r="J941" s="29">
        <f>IFERROR(VLOOKUP(F941,CARTON_LOOKUP!$A:$E,2,0),"")</f>
      </c>
      <c r="K941" s="29">
        <f>IFERROR(J941*D941,0)</f>
      </c>
      <c r="L941" s="29">
        <f>IFERROR(E941*C941,0)</f>
      </c>
      <c r="M941" s="29">
        <f>IFERROR((G941*H941*I941/1000000)*D941,0)</f>
      </c>
    </row>
    <row r="942" spans="1:13" x14ac:dyDescent="0.25">
      <c r="A942" s="16"/>
      <c r="E942" s="27"/>
      <c r="F942" t="s">
        <v>26</v>
      </c>
      <c r="G942" s="28">
        <f>IFERROR(VLOOKUP(F942,CARTON_LOOKUP!$A:$E,3,0),"")</f>
      </c>
      <c r="H942" s="28">
        <f>IFERROR(VLOOKUP(F942,CARTON_LOOKUP!$A:$E,4,0),"")</f>
      </c>
      <c r="I942" s="28">
        <f>IFERROR(VLOOKUP(F942,CARTON_LOOKUP!$A:$E,5,0),"")</f>
      </c>
      <c r="J942" s="29">
        <f>IFERROR(VLOOKUP(F942,CARTON_LOOKUP!$A:$E,2,0),"")</f>
      </c>
      <c r="K942" s="29">
        <f>IFERROR(J942*D942,0)</f>
      </c>
      <c r="L942" s="29">
        <f>IFERROR(E942*C942,0)</f>
      </c>
      <c r="M942" s="29">
        <f>IFERROR((G942*H942*I942/1000000)*D942,0)</f>
      </c>
    </row>
    <row r="943" spans="1:13" x14ac:dyDescent="0.25">
      <c r="A943" s="16"/>
      <c r="E943" s="27"/>
      <c r="F943" t="s">
        <v>26</v>
      </c>
      <c r="G943" s="28">
        <f>IFERROR(VLOOKUP(F943,CARTON_LOOKUP!$A:$E,3,0),"")</f>
      </c>
      <c r="H943" s="28">
        <f>IFERROR(VLOOKUP(F943,CARTON_LOOKUP!$A:$E,4,0),"")</f>
      </c>
      <c r="I943" s="28">
        <f>IFERROR(VLOOKUP(F943,CARTON_LOOKUP!$A:$E,5,0),"")</f>
      </c>
      <c r="J943" s="29">
        <f>IFERROR(VLOOKUP(F943,CARTON_LOOKUP!$A:$E,2,0),"")</f>
      </c>
      <c r="K943" s="29">
        <f>IFERROR(J943*D943,0)</f>
      </c>
      <c r="L943" s="29">
        <f>IFERROR(E943*C943,0)</f>
      </c>
      <c r="M943" s="29">
        <f>IFERROR((G943*H943*I943/1000000)*D943,0)</f>
      </c>
    </row>
    <row r="944" spans="1:13" x14ac:dyDescent="0.25">
      <c r="A944" s="16"/>
      <c r="E944" s="27"/>
      <c r="F944" t="s">
        <v>26</v>
      </c>
      <c r="G944" s="28">
        <f>IFERROR(VLOOKUP(F944,CARTON_LOOKUP!$A:$E,3,0),"")</f>
      </c>
      <c r="H944" s="28">
        <f>IFERROR(VLOOKUP(F944,CARTON_LOOKUP!$A:$E,4,0),"")</f>
      </c>
      <c r="I944" s="28">
        <f>IFERROR(VLOOKUP(F944,CARTON_LOOKUP!$A:$E,5,0),"")</f>
      </c>
      <c r="J944" s="29">
        <f>IFERROR(VLOOKUP(F944,CARTON_LOOKUP!$A:$E,2,0),"")</f>
      </c>
      <c r="K944" s="29">
        <f>IFERROR(J944*D944,0)</f>
      </c>
      <c r="L944" s="29">
        <f>IFERROR(E944*C944,0)</f>
      </c>
      <c r="M944" s="29">
        <f>IFERROR((G944*H944*I944/1000000)*D944,0)</f>
      </c>
    </row>
    <row r="945" spans="1:13" x14ac:dyDescent="0.25">
      <c r="A945" s="16"/>
      <c r="E945" s="27"/>
      <c r="F945" t="s">
        <v>26</v>
      </c>
      <c r="G945" s="28">
        <f>IFERROR(VLOOKUP(F945,CARTON_LOOKUP!$A:$E,3,0),"")</f>
      </c>
      <c r="H945" s="28">
        <f>IFERROR(VLOOKUP(F945,CARTON_LOOKUP!$A:$E,4,0),"")</f>
      </c>
      <c r="I945" s="28">
        <f>IFERROR(VLOOKUP(F945,CARTON_LOOKUP!$A:$E,5,0),"")</f>
      </c>
      <c r="J945" s="29">
        <f>IFERROR(VLOOKUP(F945,CARTON_LOOKUP!$A:$E,2,0),"")</f>
      </c>
      <c r="K945" s="29">
        <f>IFERROR(J945*D945,0)</f>
      </c>
      <c r="L945" s="29">
        <f>IFERROR(E945*C945,0)</f>
      </c>
      <c r="M945" s="29">
        <f>IFERROR((G945*H945*I945/1000000)*D945,0)</f>
      </c>
    </row>
    <row r="946" spans="1:13" x14ac:dyDescent="0.25">
      <c r="A946" s="16"/>
      <c r="E946" s="27"/>
      <c r="F946" t="s">
        <v>26</v>
      </c>
      <c r="G946" s="28">
        <f>IFERROR(VLOOKUP(F946,CARTON_LOOKUP!$A:$E,3,0),"")</f>
      </c>
      <c r="H946" s="28">
        <f>IFERROR(VLOOKUP(F946,CARTON_LOOKUP!$A:$E,4,0),"")</f>
      </c>
      <c r="I946" s="28">
        <f>IFERROR(VLOOKUP(F946,CARTON_LOOKUP!$A:$E,5,0),"")</f>
      </c>
      <c r="J946" s="29">
        <f>IFERROR(VLOOKUP(F946,CARTON_LOOKUP!$A:$E,2,0),"")</f>
      </c>
      <c r="K946" s="29">
        <f>IFERROR(J946*D946,0)</f>
      </c>
      <c r="L946" s="29">
        <f>IFERROR(E946*C946,0)</f>
      </c>
      <c r="M946" s="29">
        <f>IFERROR((G946*H946*I946/1000000)*D946,0)</f>
      </c>
    </row>
    <row r="947" spans="1:13" x14ac:dyDescent="0.25">
      <c r="A947" s="16"/>
      <c r="E947" s="27"/>
      <c r="F947" t="s">
        <v>26</v>
      </c>
      <c r="G947" s="28">
        <f>IFERROR(VLOOKUP(F947,CARTON_LOOKUP!$A:$E,3,0),"")</f>
      </c>
      <c r="H947" s="28">
        <f>IFERROR(VLOOKUP(F947,CARTON_LOOKUP!$A:$E,4,0),"")</f>
      </c>
      <c r="I947" s="28">
        <f>IFERROR(VLOOKUP(F947,CARTON_LOOKUP!$A:$E,5,0),"")</f>
      </c>
      <c r="J947" s="29">
        <f>IFERROR(VLOOKUP(F947,CARTON_LOOKUP!$A:$E,2,0),"")</f>
      </c>
      <c r="K947" s="29">
        <f>IFERROR(J947*D947,0)</f>
      </c>
      <c r="L947" s="29">
        <f>IFERROR(E947*C947,0)</f>
      </c>
      <c r="M947" s="29">
        <f>IFERROR((G947*H947*I947/1000000)*D947,0)</f>
      </c>
    </row>
    <row r="948" spans="1:13" x14ac:dyDescent="0.25">
      <c r="A948" s="16"/>
      <c r="E948" s="27"/>
      <c r="F948" t="s">
        <v>26</v>
      </c>
      <c r="G948" s="28">
        <f>IFERROR(VLOOKUP(F948,CARTON_LOOKUP!$A:$E,3,0),"")</f>
      </c>
      <c r="H948" s="28">
        <f>IFERROR(VLOOKUP(F948,CARTON_LOOKUP!$A:$E,4,0),"")</f>
      </c>
      <c r="I948" s="28">
        <f>IFERROR(VLOOKUP(F948,CARTON_LOOKUP!$A:$E,5,0),"")</f>
      </c>
      <c r="J948" s="29">
        <f>IFERROR(VLOOKUP(F948,CARTON_LOOKUP!$A:$E,2,0),"")</f>
      </c>
      <c r="K948" s="29">
        <f>IFERROR(J948*D948,0)</f>
      </c>
      <c r="L948" s="29">
        <f>IFERROR(E948*C948,0)</f>
      </c>
      <c r="M948" s="29">
        <f>IFERROR((G948*H948*I948/1000000)*D948,0)</f>
      </c>
    </row>
    <row r="949" spans="1:13" x14ac:dyDescent="0.25">
      <c r="A949" s="16"/>
      <c r="E949" s="27"/>
      <c r="F949" t="s">
        <v>26</v>
      </c>
      <c r="G949" s="28">
        <f>IFERROR(VLOOKUP(F949,CARTON_LOOKUP!$A:$E,3,0),"")</f>
      </c>
      <c r="H949" s="28">
        <f>IFERROR(VLOOKUP(F949,CARTON_LOOKUP!$A:$E,4,0),"")</f>
      </c>
      <c r="I949" s="28">
        <f>IFERROR(VLOOKUP(F949,CARTON_LOOKUP!$A:$E,5,0),"")</f>
      </c>
      <c r="J949" s="29">
        <f>IFERROR(VLOOKUP(F949,CARTON_LOOKUP!$A:$E,2,0),"")</f>
      </c>
      <c r="K949" s="29">
        <f>IFERROR(J949*D949,0)</f>
      </c>
      <c r="L949" s="29">
        <f>IFERROR(E949*C949,0)</f>
      </c>
      <c r="M949" s="29">
        <f>IFERROR((G949*H949*I949/1000000)*D949,0)</f>
      </c>
    </row>
    <row r="950" spans="1:13" x14ac:dyDescent="0.25">
      <c r="A950" s="16"/>
      <c r="E950" s="27"/>
      <c r="F950" t="s">
        <v>26</v>
      </c>
      <c r="G950" s="28">
        <f>IFERROR(VLOOKUP(F950,CARTON_LOOKUP!$A:$E,3,0),"")</f>
      </c>
      <c r="H950" s="28">
        <f>IFERROR(VLOOKUP(F950,CARTON_LOOKUP!$A:$E,4,0),"")</f>
      </c>
      <c r="I950" s="28">
        <f>IFERROR(VLOOKUP(F950,CARTON_LOOKUP!$A:$E,5,0),"")</f>
      </c>
      <c r="J950" s="29">
        <f>IFERROR(VLOOKUP(F950,CARTON_LOOKUP!$A:$E,2,0),"")</f>
      </c>
      <c r="K950" s="29">
        <f>IFERROR(J950*D950,0)</f>
      </c>
      <c r="L950" s="29">
        <f>IFERROR(E950*C950,0)</f>
      </c>
      <c r="M950" s="29">
        <f>IFERROR((G950*H950*I950/1000000)*D950,0)</f>
      </c>
    </row>
    <row r="951" spans="1:13" x14ac:dyDescent="0.25">
      <c r="A951" s="16"/>
      <c r="E951" s="27"/>
      <c r="F951" t="s">
        <v>26</v>
      </c>
      <c r="G951" s="28">
        <f>IFERROR(VLOOKUP(F951,CARTON_LOOKUP!$A:$E,3,0),"")</f>
      </c>
      <c r="H951" s="28">
        <f>IFERROR(VLOOKUP(F951,CARTON_LOOKUP!$A:$E,4,0),"")</f>
      </c>
      <c r="I951" s="28">
        <f>IFERROR(VLOOKUP(F951,CARTON_LOOKUP!$A:$E,5,0),"")</f>
      </c>
      <c r="J951" s="29">
        <f>IFERROR(VLOOKUP(F951,CARTON_LOOKUP!$A:$E,2,0),"")</f>
      </c>
      <c r="K951" s="29">
        <f>IFERROR(J951*D951,0)</f>
      </c>
      <c r="L951" s="29">
        <f>IFERROR(E951*C951,0)</f>
      </c>
      <c r="M951" s="29">
        <f>IFERROR((G951*H951*I951/1000000)*D951,0)</f>
      </c>
    </row>
    <row r="952" spans="1:13" x14ac:dyDescent="0.25">
      <c r="A952" s="16"/>
      <c r="E952" s="27"/>
      <c r="F952" t="s">
        <v>26</v>
      </c>
      <c r="G952" s="28">
        <f>IFERROR(VLOOKUP(F952,CARTON_LOOKUP!$A:$E,3,0),"")</f>
      </c>
      <c r="H952" s="28">
        <f>IFERROR(VLOOKUP(F952,CARTON_LOOKUP!$A:$E,4,0),"")</f>
      </c>
      <c r="I952" s="28">
        <f>IFERROR(VLOOKUP(F952,CARTON_LOOKUP!$A:$E,5,0),"")</f>
      </c>
      <c r="J952" s="29">
        <f>IFERROR(VLOOKUP(F952,CARTON_LOOKUP!$A:$E,2,0),"")</f>
      </c>
      <c r="K952" s="29">
        <f>IFERROR(J952*D952,0)</f>
      </c>
      <c r="L952" s="29">
        <f>IFERROR(E952*C952,0)</f>
      </c>
      <c r="M952" s="29">
        <f>IFERROR((G952*H952*I952/1000000)*D952,0)</f>
      </c>
    </row>
    <row r="953" spans="1:13" x14ac:dyDescent="0.25">
      <c r="A953" s="16"/>
      <c r="E953" s="27"/>
      <c r="F953" t="s">
        <v>26</v>
      </c>
      <c r="G953" s="28">
        <f>IFERROR(VLOOKUP(F953,CARTON_LOOKUP!$A:$E,3,0),"")</f>
      </c>
      <c r="H953" s="28">
        <f>IFERROR(VLOOKUP(F953,CARTON_LOOKUP!$A:$E,4,0),"")</f>
      </c>
      <c r="I953" s="28">
        <f>IFERROR(VLOOKUP(F953,CARTON_LOOKUP!$A:$E,5,0),"")</f>
      </c>
      <c r="J953" s="29">
        <f>IFERROR(VLOOKUP(F953,CARTON_LOOKUP!$A:$E,2,0),"")</f>
      </c>
      <c r="K953" s="29">
        <f>IFERROR(J953*D953,0)</f>
      </c>
      <c r="L953" s="29">
        <f>IFERROR(E953*C953,0)</f>
      </c>
      <c r="M953" s="29">
        <f>IFERROR((G953*H953*I953/1000000)*D953,0)</f>
      </c>
    </row>
    <row r="954" spans="1:13" x14ac:dyDescent="0.25">
      <c r="A954" s="16"/>
      <c r="E954" s="27"/>
      <c r="F954" t="s">
        <v>26</v>
      </c>
      <c r="G954" s="28">
        <f>IFERROR(VLOOKUP(F954,CARTON_LOOKUP!$A:$E,3,0),"")</f>
      </c>
      <c r="H954" s="28">
        <f>IFERROR(VLOOKUP(F954,CARTON_LOOKUP!$A:$E,4,0),"")</f>
      </c>
      <c r="I954" s="28">
        <f>IFERROR(VLOOKUP(F954,CARTON_LOOKUP!$A:$E,5,0),"")</f>
      </c>
      <c r="J954" s="29">
        <f>IFERROR(VLOOKUP(F954,CARTON_LOOKUP!$A:$E,2,0),"")</f>
      </c>
      <c r="K954" s="29">
        <f>IFERROR(J954*D954,0)</f>
      </c>
      <c r="L954" s="29">
        <f>IFERROR(E954*C954,0)</f>
      </c>
      <c r="M954" s="29">
        <f>IFERROR((G954*H954*I954/1000000)*D954,0)</f>
      </c>
    </row>
    <row r="955" spans="1:13" x14ac:dyDescent="0.25">
      <c r="A955" s="16"/>
      <c r="E955" s="27"/>
      <c r="F955" t="s">
        <v>26</v>
      </c>
      <c r="G955" s="28">
        <f>IFERROR(VLOOKUP(F955,CARTON_LOOKUP!$A:$E,3,0),"")</f>
      </c>
      <c r="H955" s="28">
        <f>IFERROR(VLOOKUP(F955,CARTON_LOOKUP!$A:$E,4,0),"")</f>
      </c>
      <c r="I955" s="28">
        <f>IFERROR(VLOOKUP(F955,CARTON_LOOKUP!$A:$E,5,0),"")</f>
      </c>
      <c r="J955" s="29">
        <f>IFERROR(VLOOKUP(F955,CARTON_LOOKUP!$A:$E,2,0),"")</f>
      </c>
      <c r="K955" s="29">
        <f>IFERROR(J955*D955,0)</f>
      </c>
      <c r="L955" s="29">
        <f>IFERROR(E955*C955,0)</f>
      </c>
      <c r="M955" s="29">
        <f>IFERROR((G955*H955*I955/1000000)*D955,0)</f>
      </c>
    </row>
    <row r="956" spans="1:13" x14ac:dyDescent="0.25">
      <c r="A956" s="16"/>
      <c r="E956" s="27"/>
      <c r="F956" t="s">
        <v>26</v>
      </c>
      <c r="G956" s="28">
        <f>IFERROR(VLOOKUP(F956,CARTON_LOOKUP!$A:$E,3,0),"")</f>
      </c>
      <c r="H956" s="28">
        <f>IFERROR(VLOOKUP(F956,CARTON_LOOKUP!$A:$E,4,0),"")</f>
      </c>
      <c r="I956" s="28">
        <f>IFERROR(VLOOKUP(F956,CARTON_LOOKUP!$A:$E,5,0),"")</f>
      </c>
      <c r="J956" s="29">
        <f>IFERROR(VLOOKUP(F956,CARTON_LOOKUP!$A:$E,2,0),"")</f>
      </c>
      <c r="K956" s="29">
        <f>IFERROR(J956*D956,0)</f>
      </c>
      <c r="L956" s="29">
        <f>IFERROR(E956*C956,0)</f>
      </c>
      <c r="M956" s="29">
        <f>IFERROR((G956*H956*I956/1000000)*D956,0)</f>
      </c>
    </row>
    <row r="957" spans="1:13" x14ac:dyDescent="0.25">
      <c r="A957" s="16"/>
      <c r="E957" s="27"/>
      <c r="F957" t="s">
        <v>26</v>
      </c>
      <c r="G957" s="28">
        <f>IFERROR(VLOOKUP(F957,CARTON_LOOKUP!$A:$E,3,0),"")</f>
      </c>
      <c r="H957" s="28">
        <f>IFERROR(VLOOKUP(F957,CARTON_LOOKUP!$A:$E,4,0),"")</f>
      </c>
      <c r="I957" s="28">
        <f>IFERROR(VLOOKUP(F957,CARTON_LOOKUP!$A:$E,5,0),"")</f>
      </c>
      <c r="J957" s="29">
        <f>IFERROR(VLOOKUP(F957,CARTON_LOOKUP!$A:$E,2,0),"")</f>
      </c>
      <c r="K957" s="29">
        <f>IFERROR(J957*D957,0)</f>
      </c>
      <c r="L957" s="29">
        <f>IFERROR(E957*C957,0)</f>
      </c>
      <c r="M957" s="29">
        <f>IFERROR((G957*H957*I957/1000000)*D957,0)</f>
      </c>
    </row>
    <row r="958" spans="1:13" x14ac:dyDescent="0.25">
      <c r="A958" s="16"/>
      <c r="E958" s="27"/>
      <c r="F958" t="s">
        <v>26</v>
      </c>
      <c r="G958" s="28">
        <f>IFERROR(VLOOKUP(F958,CARTON_LOOKUP!$A:$E,3,0),"")</f>
      </c>
      <c r="H958" s="28">
        <f>IFERROR(VLOOKUP(F958,CARTON_LOOKUP!$A:$E,4,0),"")</f>
      </c>
      <c r="I958" s="28">
        <f>IFERROR(VLOOKUP(F958,CARTON_LOOKUP!$A:$E,5,0),"")</f>
      </c>
      <c r="J958" s="29">
        <f>IFERROR(VLOOKUP(F958,CARTON_LOOKUP!$A:$E,2,0),"")</f>
      </c>
      <c r="K958" s="29">
        <f>IFERROR(J958*D958,0)</f>
      </c>
      <c r="L958" s="29">
        <f>IFERROR(E958*C958,0)</f>
      </c>
      <c r="M958" s="29">
        <f>IFERROR((G958*H958*I958/1000000)*D958,0)</f>
      </c>
    </row>
    <row r="959" spans="1:13" x14ac:dyDescent="0.25">
      <c r="A959" s="16"/>
      <c r="E959" s="27"/>
      <c r="F959" t="s">
        <v>26</v>
      </c>
      <c r="G959" s="28">
        <f>IFERROR(VLOOKUP(F959,CARTON_LOOKUP!$A:$E,3,0),"")</f>
      </c>
      <c r="H959" s="28">
        <f>IFERROR(VLOOKUP(F959,CARTON_LOOKUP!$A:$E,4,0),"")</f>
      </c>
      <c r="I959" s="28">
        <f>IFERROR(VLOOKUP(F959,CARTON_LOOKUP!$A:$E,5,0),"")</f>
      </c>
      <c r="J959" s="29">
        <f>IFERROR(VLOOKUP(F959,CARTON_LOOKUP!$A:$E,2,0),"")</f>
      </c>
      <c r="K959" s="29">
        <f>IFERROR(J959*D959,0)</f>
      </c>
      <c r="L959" s="29">
        <f>IFERROR(E959*C959,0)</f>
      </c>
      <c r="M959" s="29">
        <f>IFERROR((G959*H959*I959/1000000)*D959,0)</f>
      </c>
    </row>
    <row r="960" spans="1:13" x14ac:dyDescent="0.25">
      <c r="A960" s="16"/>
      <c r="E960" s="27"/>
      <c r="F960" t="s">
        <v>26</v>
      </c>
      <c r="G960" s="28">
        <f>IFERROR(VLOOKUP(F960,CARTON_LOOKUP!$A:$E,3,0),"")</f>
      </c>
      <c r="H960" s="28">
        <f>IFERROR(VLOOKUP(F960,CARTON_LOOKUP!$A:$E,4,0),"")</f>
      </c>
      <c r="I960" s="28">
        <f>IFERROR(VLOOKUP(F960,CARTON_LOOKUP!$A:$E,5,0),"")</f>
      </c>
      <c r="J960" s="29">
        <f>IFERROR(VLOOKUP(F960,CARTON_LOOKUP!$A:$E,2,0),"")</f>
      </c>
      <c r="K960" s="29">
        <f>IFERROR(J960*D960,0)</f>
      </c>
      <c r="L960" s="29">
        <f>IFERROR(E960*C960,0)</f>
      </c>
      <c r="M960" s="29">
        <f>IFERROR((G960*H960*I960/1000000)*D960,0)</f>
      </c>
    </row>
    <row r="961" spans="1:13" x14ac:dyDescent="0.25">
      <c r="A961" s="16"/>
      <c r="E961" s="27"/>
      <c r="F961" t="s">
        <v>26</v>
      </c>
      <c r="G961" s="28">
        <f>IFERROR(VLOOKUP(F961,CARTON_LOOKUP!$A:$E,3,0),"")</f>
      </c>
      <c r="H961" s="28">
        <f>IFERROR(VLOOKUP(F961,CARTON_LOOKUP!$A:$E,4,0),"")</f>
      </c>
      <c r="I961" s="28">
        <f>IFERROR(VLOOKUP(F961,CARTON_LOOKUP!$A:$E,5,0),"")</f>
      </c>
      <c r="J961" s="29">
        <f>IFERROR(VLOOKUP(F961,CARTON_LOOKUP!$A:$E,2,0),"")</f>
      </c>
      <c r="K961" s="29">
        <f>IFERROR(J961*D961,0)</f>
      </c>
      <c r="L961" s="29">
        <f>IFERROR(E961*C961,0)</f>
      </c>
      <c r="M961" s="29">
        <f>IFERROR((G961*H961*I961/1000000)*D961,0)</f>
      </c>
    </row>
    <row r="962" spans="1:13" x14ac:dyDescent="0.25">
      <c r="A962" s="16"/>
      <c r="E962" s="27"/>
      <c r="F962" t="s">
        <v>26</v>
      </c>
      <c r="G962" s="28">
        <f>IFERROR(VLOOKUP(F962,CARTON_LOOKUP!$A:$E,3,0),"")</f>
      </c>
      <c r="H962" s="28">
        <f>IFERROR(VLOOKUP(F962,CARTON_LOOKUP!$A:$E,4,0),"")</f>
      </c>
      <c r="I962" s="28">
        <f>IFERROR(VLOOKUP(F962,CARTON_LOOKUP!$A:$E,5,0),"")</f>
      </c>
      <c r="J962" s="29">
        <f>IFERROR(VLOOKUP(F962,CARTON_LOOKUP!$A:$E,2,0),"")</f>
      </c>
      <c r="K962" s="29">
        <f>IFERROR(J962*D962,0)</f>
      </c>
      <c r="L962" s="29">
        <f>IFERROR(E962*C962,0)</f>
      </c>
      <c r="M962" s="29">
        <f>IFERROR((G962*H962*I962/1000000)*D962,0)</f>
      </c>
    </row>
    <row r="963" spans="1:13" x14ac:dyDescent="0.25">
      <c r="A963" s="16"/>
      <c r="E963" s="27"/>
      <c r="F963" t="s">
        <v>26</v>
      </c>
      <c r="G963" s="28">
        <f>IFERROR(VLOOKUP(F963,CARTON_LOOKUP!$A:$E,3,0),"")</f>
      </c>
      <c r="H963" s="28">
        <f>IFERROR(VLOOKUP(F963,CARTON_LOOKUP!$A:$E,4,0),"")</f>
      </c>
      <c r="I963" s="28">
        <f>IFERROR(VLOOKUP(F963,CARTON_LOOKUP!$A:$E,5,0),"")</f>
      </c>
      <c r="J963" s="29">
        <f>IFERROR(VLOOKUP(F963,CARTON_LOOKUP!$A:$E,2,0),"")</f>
      </c>
      <c r="K963" s="29">
        <f>IFERROR(J963*D963,0)</f>
      </c>
      <c r="L963" s="29">
        <f>IFERROR(E963*C963,0)</f>
      </c>
      <c r="M963" s="29">
        <f>IFERROR((G963*H963*I963/1000000)*D963,0)</f>
      </c>
    </row>
    <row r="964" spans="1:13" x14ac:dyDescent="0.25">
      <c r="A964" s="16"/>
      <c r="E964" s="27"/>
      <c r="F964" t="s">
        <v>26</v>
      </c>
      <c r="G964" s="28">
        <f>IFERROR(VLOOKUP(F964,CARTON_LOOKUP!$A:$E,3,0),"")</f>
      </c>
      <c r="H964" s="28">
        <f>IFERROR(VLOOKUP(F964,CARTON_LOOKUP!$A:$E,4,0),"")</f>
      </c>
      <c r="I964" s="28">
        <f>IFERROR(VLOOKUP(F964,CARTON_LOOKUP!$A:$E,5,0),"")</f>
      </c>
      <c r="J964" s="29">
        <f>IFERROR(VLOOKUP(F964,CARTON_LOOKUP!$A:$E,2,0),"")</f>
      </c>
      <c r="K964" s="29">
        <f>IFERROR(J964*D964,0)</f>
      </c>
      <c r="L964" s="29">
        <f>IFERROR(E964*C964,0)</f>
      </c>
      <c r="M964" s="29">
        <f>IFERROR((G964*H964*I964/1000000)*D964,0)</f>
      </c>
    </row>
    <row r="965" spans="1:13" x14ac:dyDescent="0.25">
      <c r="A965" s="16"/>
      <c r="E965" s="27"/>
      <c r="F965" t="s">
        <v>26</v>
      </c>
      <c r="G965" s="28">
        <f>IFERROR(VLOOKUP(F965,CARTON_LOOKUP!$A:$E,3,0),"")</f>
      </c>
      <c r="H965" s="28">
        <f>IFERROR(VLOOKUP(F965,CARTON_LOOKUP!$A:$E,4,0),"")</f>
      </c>
      <c r="I965" s="28">
        <f>IFERROR(VLOOKUP(F965,CARTON_LOOKUP!$A:$E,5,0),"")</f>
      </c>
      <c r="J965" s="29">
        <f>IFERROR(VLOOKUP(F965,CARTON_LOOKUP!$A:$E,2,0),"")</f>
      </c>
      <c r="K965" s="29">
        <f>IFERROR(J965*D965,0)</f>
      </c>
      <c r="L965" s="29">
        <f>IFERROR(E965*C965,0)</f>
      </c>
      <c r="M965" s="29">
        <f>IFERROR((G965*H965*I965/1000000)*D965,0)</f>
      </c>
    </row>
    <row r="966" spans="1:13" x14ac:dyDescent="0.25">
      <c r="A966" s="16"/>
      <c r="E966" s="27"/>
      <c r="F966" t="s">
        <v>26</v>
      </c>
      <c r="G966" s="28">
        <f>IFERROR(VLOOKUP(F966,CARTON_LOOKUP!$A:$E,3,0),"")</f>
      </c>
      <c r="H966" s="28">
        <f>IFERROR(VLOOKUP(F966,CARTON_LOOKUP!$A:$E,4,0),"")</f>
      </c>
      <c r="I966" s="28">
        <f>IFERROR(VLOOKUP(F966,CARTON_LOOKUP!$A:$E,5,0),"")</f>
      </c>
      <c r="J966" s="29">
        <f>IFERROR(VLOOKUP(F966,CARTON_LOOKUP!$A:$E,2,0),"")</f>
      </c>
      <c r="K966" s="29">
        <f>IFERROR(J966*D966,0)</f>
      </c>
      <c r="L966" s="29">
        <f>IFERROR(E966*C966,0)</f>
      </c>
      <c r="M966" s="29">
        <f>IFERROR((G966*H966*I966/1000000)*D966,0)</f>
      </c>
    </row>
    <row r="967" spans="1:13" x14ac:dyDescent="0.25">
      <c r="A967" s="16"/>
      <c r="E967" s="27"/>
      <c r="F967" t="s">
        <v>26</v>
      </c>
      <c r="G967" s="28">
        <f>IFERROR(VLOOKUP(F967,CARTON_LOOKUP!$A:$E,3,0),"")</f>
      </c>
      <c r="H967" s="28">
        <f>IFERROR(VLOOKUP(F967,CARTON_LOOKUP!$A:$E,4,0),"")</f>
      </c>
      <c r="I967" s="28">
        <f>IFERROR(VLOOKUP(F967,CARTON_LOOKUP!$A:$E,5,0),"")</f>
      </c>
      <c r="J967" s="29">
        <f>IFERROR(VLOOKUP(F967,CARTON_LOOKUP!$A:$E,2,0),"")</f>
      </c>
      <c r="K967" s="29">
        <f>IFERROR(J967*D967,0)</f>
      </c>
      <c r="L967" s="29">
        <f>IFERROR(E967*C967,0)</f>
      </c>
      <c r="M967" s="29">
        <f>IFERROR((G967*H967*I967/1000000)*D967,0)</f>
      </c>
    </row>
    <row r="968" spans="1:13" x14ac:dyDescent="0.25">
      <c r="A968" s="16"/>
      <c r="E968" s="27"/>
      <c r="F968" t="s">
        <v>26</v>
      </c>
      <c r="G968" s="28">
        <f>IFERROR(VLOOKUP(F968,CARTON_LOOKUP!$A:$E,3,0),"")</f>
      </c>
      <c r="H968" s="28">
        <f>IFERROR(VLOOKUP(F968,CARTON_LOOKUP!$A:$E,4,0),"")</f>
      </c>
      <c r="I968" s="28">
        <f>IFERROR(VLOOKUP(F968,CARTON_LOOKUP!$A:$E,5,0),"")</f>
      </c>
      <c r="J968" s="29">
        <f>IFERROR(VLOOKUP(F968,CARTON_LOOKUP!$A:$E,2,0),"")</f>
      </c>
      <c r="K968" s="29">
        <f>IFERROR(J968*D968,0)</f>
      </c>
      <c r="L968" s="29">
        <f>IFERROR(E968*C968,0)</f>
      </c>
      <c r="M968" s="29">
        <f>IFERROR((G968*H968*I968/1000000)*D968,0)</f>
      </c>
    </row>
    <row r="969" spans="1:13" x14ac:dyDescent="0.25">
      <c r="A969" s="16"/>
      <c r="E969" s="27"/>
      <c r="F969" t="s">
        <v>26</v>
      </c>
      <c r="G969" s="28">
        <f>IFERROR(VLOOKUP(F969,CARTON_LOOKUP!$A:$E,3,0),"")</f>
      </c>
      <c r="H969" s="28">
        <f>IFERROR(VLOOKUP(F969,CARTON_LOOKUP!$A:$E,4,0),"")</f>
      </c>
      <c r="I969" s="28">
        <f>IFERROR(VLOOKUP(F969,CARTON_LOOKUP!$A:$E,5,0),"")</f>
      </c>
      <c r="J969" s="29">
        <f>IFERROR(VLOOKUP(F969,CARTON_LOOKUP!$A:$E,2,0),"")</f>
      </c>
      <c r="K969" s="29">
        <f>IFERROR(J969*D969,0)</f>
      </c>
      <c r="L969" s="29">
        <f>IFERROR(E969*C969,0)</f>
      </c>
      <c r="M969" s="29">
        <f>IFERROR((G969*H969*I969/1000000)*D969,0)</f>
      </c>
    </row>
    <row r="970" spans="1:13" x14ac:dyDescent="0.25">
      <c r="A970" s="16"/>
      <c r="E970" s="27"/>
      <c r="F970" t="s">
        <v>26</v>
      </c>
      <c r="G970" s="28">
        <f>IFERROR(VLOOKUP(F970,CARTON_LOOKUP!$A:$E,3,0),"")</f>
      </c>
      <c r="H970" s="28">
        <f>IFERROR(VLOOKUP(F970,CARTON_LOOKUP!$A:$E,4,0),"")</f>
      </c>
      <c r="I970" s="28">
        <f>IFERROR(VLOOKUP(F970,CARTON_LOOKUP!$A:$E,5,0),"")</f>
      </c>
      <c r="J970" s="29">
        <f>IFERROR(VLOOKUP(F970,CARTON_LOOKUP!$A:$E,2,0),"")</f>
      </c>
      <c r="K970" s="29">
        <f>IFERROR(J970*D970,0)</f>
      </c>
      <c r="L970" s="29">
        <f>IFERROR(E970*C970,0)</f>
      </c>
      <c r="M970" s="29">
        <f>IFERROR((G970*H970*I970/1000000)*D970,0)</f>
      </c>
    </row>
    <row r="971" spans="1:13" x14ac:dyDescent="0.25">
      <c r="A971" s="16"/>
      <c r="E971" s="27"/>
      <c r="F971" t="s">
        <v>26</v>
      </c>
      <c r="G971" s="28">
        <f>IFERROR(VLOOKUP(F971,CARTON_LOOKUP!$A:$E,3,0),"")</f>
      </c>
      <c r="H971" s="28">
        <f>IFERROR(VLOOKUP(F971,CARTON_LOOKUP!$A:$E,4,0),"")</f>
      </c>
      <c r="I971" s="28">
        <f>IFERROR(VLOOKUP(F971,CARTON_LOOKUP!$A:$E,5,0),"")</f>
      </c>
      <c r="J971" s="29">
        <f>IFERROR(VLOOKUP(F971,CARTON_LOOKUP!$A:$E,2,0),"")</f>
      </c>
      <c r="K971" s="29">
        <f>IFERROR(J971*D971,0)</f>
      </c>
      <c r="L971" s="29">
        <f>IFERROR(E971*C971,0)</f>
      </c>
      <c r="M971" s="29">
        <f>IFERROR((G971*H971*I971/1000000)*D971,0)</f>
      </c>
    </row>
    <row r="972" spans="1:13" x14ac:dyDescent="0.25">
      <c r="A972" s="16"/>
      <c r="E972" s="27"/>
      <c r="F972" t="s">
        <v>26</v>
      </c>
      <c r="G972" s="28">
        <f>IFERROR(VLOOKUP(F972,CARTON_LOOKUP!$A:$E,3,0),"")</f>
      </c>
      <c r="H972" s="28">
        <f>IFERROR(VLOOKUP(F972,CARTON_LOOKUP!$A:$E,4,0),"")</f>
      </c>
      <c r="I972" s="28">
        <f>IFERROR(VLOOKUP(F972,CARTON_LOOKUP!$A:$E,5,0),"")</f>
      </c>
      <c r="J972" s="29">
        <f>IFERROR(VLOOKUP(F972,CARTON_LOOKUP!$A:$E,2,0),"")</f>
      </c>
      <c r="K972" s="29">
        <f>IFERROR(J972*D972,0)</f>
      </c>
      <c r="L972" s="29">
        <f>IFERROR(E972*C972,0)</f>
      </c>
      <c r="M972" s="29">
        <f>IFERROR((G972*H972*I972/1000000)*D972,0)</f>
      </c>
    </row>
    <row r="973" spans="1:13" x14ac:dyDescent="0.25">
      <c r="A973" s="16"/>
      <c r="E973" s="27"/>
      <c r="F973" t="s">
        <v>26</v>
      </c>
      <c r="G973" s="28">
        <f>IFERROR(VLOOKUP(F973,CARTON_LOOKUP!$A:$E,3,0),"")</f>
      </c>
      <c r="H973" s="28">
        <f>IFERROR(VLOOKUP(F973,CARTON_LOOKUP!$A:$E,4,0),"")</f>
      </c>
      <c r="I973" s="28">
        <f>IFERROR(VLOOKUP(F973,CARTON_LOOKUP!$A:$E,5,0),"")</f>
      </c>
      <c r="J973" s="29">
        <f>IFERROR(VLOOKUP(F973,CARTON_LOOKUP!$A:$E,2,0),"")</f>
      </c>
      <c r="K973" s="29">
        <f>IFERROR(J973*D973,0)</f>
      </c>
      <c r="L973" s="29">
        <f>IFERROR(E973*C973,0)</f>
      </c>
      <c r="M973" s="29">
        <f>IFERROR((G973*H973*I973/1000000)*D973,0)</f>
      </c>
    </row>
    <row r="974" spans="1:13" x14ac:dyDescent="0.25">
      <c r="A974" s="16"/>
      <c r="E974" s="27"/>
      <c r="F974" t="s">
        <v>26</v>
      </c>
      <c r="G974" s="28">
        <f>IFERROR(VLOOKUP(F974,CARTON_LOOKUP!$A:$E,3,0),"")</f>
      </c>
      <c r="H974" s="28">
        <f>IFERROR(VLOOKUP(F974,CARTON_LOOKUP!$A:$E,4,0),"")</f>
      </c>
      <c r="I974" s="28">
        <f>IFERROR(VLOOKUP(F974,CARTON_LOOKUP!$A:$E,5,0),"")</f>
      </c>
      <c r="J974" s="29">
        <f>IFERROR(VLOOKUP(F974,CARTON_LOOKUP!$A:$E,2,0),"")</f>
      </c>
      <c r="K974" s="29">
        <f>IFERROR(J974*D974,0)</f>
      </c>
      <c r="L974" s="29">
        <f>IFERROR(E974*C974,0)</f>
      </c>
      <c r="M974" s="29">
        <f>IFERROR((G974*H974*I974/1000000)*D974,0)</f>
      </c>
    </row>
    <row r="975" spans="1:13" x14ac:dyDescent="0.25">
      <c r="A975" s="16"/>
      <c r="E975" s="27"/>
      <c r="F975" t="s">
        <v>26</v>
      </c>
      <c r="G975" s="28">
        <f>IFERROR(VLOOKUP(F975,CARTON_LOOKUP!$A:$E,3,0),"")</f>
      </c>
      <c r="H975" s="28">
        <f>IFERROR(VLOOKUP(F975,CARTON_LOOKUP!$A:$E,4,0),"")</f>
      </c>
      <c r="I975" s="28">
        <f>IFERROR(VLOOKUP(F975,CARTON_LOOKUP!$A:$E,5,0),"")</f>
      </c>
      <c r="J975" s="29">
        <f>IFERROR(VLOOKUP(F975,CARTON_LOOKUP!$A:$E,2,0),"")</f>
      </c>
      <c r="K975" s="29">
        <f>IFERROR(J975*D975,0)</f>
      </c>
      <c r="L975" s="29">
        <f>IFERROR(E975*C975,0)</f>
      </c>
      <c r="M975" s="29">
        <f>IFERROR((G975*H975*I975/1000000)*D975,0)</f>
      </c>
    </row>
    <row r="976" spans="1:13" x14ac:dyDescent="0.25">
      <c r="A976" s="16"/>
      <c r="E976" s="27"/>
      <c r="F976" t="s">
        <v>26</v>
      </c>
      <c r="G976" s="28">
        <f>IFERROR(VLOOKUP(F976,CARTON_LOOKUP!$A:$E,3,0),"")</f>
      </c>
      <c r="H976" s="28">
        <f>IFERROR(VLOOKUP(F976,CARTON_LOOKUP!$A:$E,4,0),"")</f>
      </c>
      <c r="I976" s="28">
        <f>IFERROR(VLOOKUP(F976,CARTON_LOOKUP!$A:$E,5,0),"")</f>
      </c>
      <c r="J976" s="29">
        <f>IFERROR(VLOOKUP(F976,CARTON_LOOKUP!$A:$E,2,0),"")</f>
      </c>
      <c r="K976" s="29">
        <f>IFERROR(J976*D976,0)</f>
      </c>
      <c r="L976" s="29">
        <f>IFERROR(E976*C976,0)</f>
      </c>
      <c r="M976" s="29">
        <f>IFERROR((G976*H976*I976/1000000)*D976,0)</f>
      </c>
    </row>
    <row r="977" spans="1:13" x14ac:dyDescent="0.25">
      <c r="A977" s="16"/>
      <c r="E977" s="27"/>
      <c r="F977" t="s">
        <v>26</v>
      </c>
      <c r="G977" s="28">
        <f>IFERROR(VLOOKUP(F977,CARTON_LOOKUP!$A:$E,3,0),"")</f>
      </c>
      <c r="H977" s="28">
        <f>IFERROR(VLOOKUP(F977,CARTON_LOOKUP!$A:$E,4,0),"")</f>
      </c>
      <c r="I977" s="28">
        <f>IFERROR(VLOOKUP(F977,CARTON_LOOKUP!$A:$E,5,0),"")</f>
      </c>
      <c r="J977" s="29">
        <f>IFERROR(VLOOKUP(F977,CARTON_LOOKUP!$A:$E,2,0),"")</f>
      </c>
      <c r="K977" s="29">
        <f>IFERROR(J977*D977,0)</f>
      </c>
      <c r="L977" s="29">
        <f>IFERROR(E977*C977,0)</f>
      </c>
      <c r="M977" s="29">
        <f>IFERROR((G977*H977*I977/1000000)*D977,0)</f>
      </c>
    </row>
    <row r="978" spans="1:13" x14ac:dyDescent="0.25">
      <c r="A978" s="16"/>
      <c r="E978" s="27"/>
      <c r="F978" t="s">
        <v>26</v>
      </c>
      <c r="G978" s="28">
        <f>IFERROR(VLOOKUP(F978,CARTON_LOOKUP!$A:$E,3,0),"")</f>
      </c>
      <c r="H978" s="28">
        <f>IFERROR(VLOOKUP(F978,CARTON_LOOKUP!$A:$E,4,0),"")</f>
      </c>
      <c r="I978" s="28">
        <f>IFERROR(VLOOKUP(F978,CARTON_LOOKUP!$A:$E,5,0),"")</f>
      </c>
      <c r="J978" s="29">
        <f>IFERROR(VLOOKUP(F978,CARTON_LOOKUP!$A:$E,2,0),"")</f>
      </c>
      <c r="K978" s="29">
        <f>IFERROR(J978*D978,0)</f>
      </c>
      <c r="L978" s="29">
        <f>IFERROR(E978*C978,0)</f>
      </c>
      <c r="M978" s="29">
        <f>IFERROR((G978*H978*I978/1000000)*D978,0)</f>
      </c>
    </row>
    <row r="979" spans="1:13" x14ac:dyDescent="0.25">
      <c r="A979" s="16"/>
      <c r="E979" s="27"/>
      <c r="F979" t="s">
        <v>26</v>
      </c>
      <c r="G979" s="28">
        <f>IFERROR(VLOOKUP(F979,CARTON_LOOKUP!$A:$E,3,0),"")</f>
      </c>
      <c r="H979" s="28">
        <f>IFERROR(VLOOKUP(F979,CARTON_LOOKUP!$A:$E,4,0),"")</f>
      </c>
      <c r="I979" s="28">
        <f>IFERROR(VLOOKUP(F979,CARTON_LOOKUP!$A:$E,5,0),"")</f>
      </c>
      <c r="J979" s="29">
        <f>IFERROR(VLOOKUP(F979,CARTON_LOOKUP!$A:$E,2,0),"")</f>
      </c>
      <c r="K979" s="29">
        <f>IFERROR(J979*D979,0)</f>
      </c>
      <c r="L979" s="29">
        <f>IFERROR(E979*C979,0)</f>
      </c>
      <c r="M979" s="29">
        <f>IFERROR((G979*H979*I979/1000000)*D979,0)</f>
      </c>
    </row>
    <row r="980" spans="1:13" x14ac:dyDescent="0.25">
      <c r="A980" s="16"/>
      <c r="E980" s="27"/>
      <c r="F980" t="s">
        <v>26</v>
      </c>
      <c r="G980" s="28">
        <f>IFERROR(VLOOKUP(F980,CARTON_LOOKUP!$A:$E,3,0),"")</f>
      </c>
      <c r="H980" s="28">
        <f>IFERROR(VLOOKUP(F980,CARTON_LOOKUP!$A:$E,4,0),"")</f>
      </c>
      <c r="I980" s="28">
        <f>IFERROR(VLOOKUP(F980,CARTON_LOOKUP!$A:$E,5,0),"")</f>
      </c>
      <c r="J980" s="29">
        <f>IFERROR(VLOOKUP(F980,CARTON_LOOKUP!$A:$E,2,0),"")</f>
      </c>
      <c r="K980" s="29">
        <f>IFERROR(J980*D980,0)</f>
      </c>
      <c r="L980" s="29">
        <f>IFERROR(E980*C980,0)</f>
      </c>
      <c r="M980" s="29">
        <f>IFERROR((G980*H980*I980/1000000)*D980,0)</f>
      </c>
    </row>
    <row r="981" spans="1:13" x14ac:dyDescent="0.25">
      <c r="A981" s="16"/>
      <c r="E981" s="27"/>
      <c r="F981" t="s">
        <v>26</v>
      </c>
      <c r="G981" s="28">
        <f>IFERROR(VLOOKUP(F981,CARTON_LOOKUP!$A:$E,3,0),"")</f>
      </c>
      <c r="H981" s="28">
        <f>IFERROR(VLOOKUP(F981,CARTON_LOOKUP!$A:$E,4,0),"")</f>
      </c>
      <c r="I981" s="28">
        <f>IFERROR(VLOOKUP(F981,CARTON_LOOKUP!$A:$E,5,0),"")</f>
      </c>
      <c r="J981" s="29">
        <f>IFERROR(VLOOKUP(F981,CARTON_LOOKUP!$A:$E,2,0),"")</f>
      </c>
      <c r="K981" s="29">
        <f>IFERROR(J981*D981,0)</f>
      </c>
      <c r="L981" s="29">
        <f>IFERROR(E981*C981,0)</f>
      </c>
      <c r="M981" s="29">
        <f>IFERROR((G981*H981*I981/1000000)*D981,0)</f>
      </c>
    </row>
    <row r="982" spans="1:13" x14ac:dyDescent="0.25">
      <c r="A982" s="16"/>
      <c r="E982" s="27"/>
      <c r="F982" t="s">
        <v>26</v>
      </c>
      <c r="G982" s="28">
        <f>IFERROR(VLOOKUP(F982,CARTON_LOOKUP!$A:$E,3,0),"")</f>
      </c>
      <c r="H982" s="28">
        <f>IFERROR(VLOOKUP(F982,CARTON_LOOKUP!$A:$E,4,0),"")</f>
      </c>
      <c r="I982" s="28">
        <f>IFERROR(VLOOKUP(F982,CARTON_LOOKUP!$A:$E,5,0),"")</f>
      </c>
      <c r="J982" s="29">
        <f>IFERROR(VLOOKUP(F982,CARTON_LOOKUP!$A:$E,2,0),"")</f>
      </c>
      <c r="K982" s="29">
        <f>IFERROR(J982*D982,0)</f>
      </c>
      <c r="L982" s="29">
        <f>IFERROR(E982*C982,0)</f>
      </c>
      <c r="M982" s="29">
        <f>IFERROR((G982*H982*I982/1000000)*D982,0)</f>
      </c>
    </row>
    <row r="983" spans="1:13" x14ac:dyDescent="0.25">
      <c r="A983" s="16"/>
      <c r="E983" s="27"/>
      <c r="F983" t="s">
        <v>26</v>
      </c>
      <c r="G983" s="28">
        <f>IFERROR(VLOOKUP(F983,CARTON_LOOKUP!$A:$E,3,0),"")</f>
      </c>
      <c r="H983" s="28">
        <f>IFERROR(VLOOKUP(F983,CARTON_LOOKUP!$A:$E,4,0),"")</f>
      </c>
      <c r="I983" s="28">
        <f>IFERROR(VLOOKUP(F983,CARTON_LOOKUP!$A:$E,5,0),"")</f>
      </c>
      <c r="J983" s="29">
        <f>IFERROR(VLOOKUP(F983,CARTON_LOOKUP!$A:$E,2,0),"")</f>
      </c>
      <c r="K983" s="29">
        <f>IFERROR(J983*D983,0)</f>
      </c>
      <c r="L983" s="29">
        <f>IFERROR(E983*C983,0)</f>
      </c>
      <c r="M983" s="29">
        <f>IFERROR((G983*H983*I983/1000000)*D983,0)</f>
      </c>
    </row>
    <row r="984" spans="1:13" x14ac:dyDescent="0.25">
      <c r="A984" s="16"/>
      <c r="E984" s="27"/>
      <c r="F984" t="s">
        <v>26</v>
      </c>
      <c r="G984" s="28">
        <f>IFERROR(VLOOKUP(F984,CARTON_LOOKUP!$A:$E,3,0),"")</f>
      </c>
      <c r="H984" s="28">
        <f>IFERROR(VLOOKUP(F984,CARTON_LOOKUP!$A:$E,4,0),"")</f>
      </c>
      <c r="I984" s="28">
        <f>IFERROR(VLOOKUP(F984,CARTON_LOOKUP!$A:$E,5,0),"")</f>
      </c>
      <c r="J984" s="29">
        <f>IFERROR(VLOOKUP(F984,CARTON_LOOKUP!$A:$E,2,0),"")</f>
      </c>
      <c r="K984" s="29">
        <f>IFERROR(J984*D984,0)</f>
      </c>
      <c r="L984" s="29">
        <f>IFERROR(E984*C984,0)</f>
      </c>
      <c r="M984" s="29">
        <f>IFERROR((G984*H984*I984/1000000)*D984,0)</f>
      </c>
    </row>
    <row r="985" spans="1:13" x14ac:dyDescent="0.25">
      <c r="A985" s="16"/>
      <c r="E985" s="27"/>
      <c r="F985" t="s">
        <v>26</v>
      </c>
      <c r="G985" s="28">
        <f>IFERROR(VLOOKUP(F985,CARTON_LOOKUP!$A:$E,3,0),"")</f>
      </c>
      <c r="H985" s="28">
        <f>IFERROR(VLOOKUP(F985,CARTON_LOOKUP!$A:$E,4,0),"")</f>
      </c>
      <c r="I985" s="28">
        <f>IFERROR(VLOOKUP(F985,CARTON_LOOKUP!$A:$E,5,0),"")</f>
      </c>
      <c r="J985" s="29">
        <f>IFERROR(VLOOKUP(F985,CARTON_LOOKUP!$A:$E,2,0),"")</f>
      </c>
      <c r="K985" s="29">
        <f>IFERROR(J985*D985,0)</f>
      </c>
      <c r="L985" s="29">
        <f>IFERROR(E985*C985,0)</f>
      </c>
      <c r="M985" s="29">
        <f>IFERROR((G985*H985*I985/1000000)*D985,0)</f>
      </c>
    </row>
    <row r="986" spans="1:13" x14ac:dyDescent="0.25">
      <c r="A986" s="16"/>
      <c r="E986" s="27"/>
      <c r="F986" t="s">
        <v>26</v>
      </c>
      <c r="G986" s="28">
        <f>IFERROR(VLOOKUP(F986,CARTON_LOOKUP!$A:$E,3,0),"")</f>
      </c>
      <c r="H986" s="28">
        <f>IFERROR(VLOOKUP(F986,CARTON_LOOKUP!$A:$E,4,0),"")</f>
      </c>
      <c r="I986" s="28">
        <f>IFERROR(VLOOKUP(F986,CARTON_LOOKUP!$A:$E,5,0),"")</f>
      </c>
      <c r="J986" s="29">
        <f>IFERROR(VLOOKUP(F986,CARTON_LOOKUP!$A:$E,2,0),"")</f>
      </c>
      <c r="K986" s="29">
        <f>IFERROR(J986*D986,0)</f>
      </c>
      <c r="L986" s="29">
        <f>IFERROR(E986*C986,0)</f>
      </c>
      <c r="M986" s="29">
        <f>IFERROR((G986*H986*I986/1000000)*D986,0)</f>
      </c>
    </row>
    <row r="987" spans="1:13" x14ac:dyDescent="0.25">
      <c r="A987" s="16"/>
      <c r="E987" s="27"/>
      <c r="F987" t="s">
        <v>26</v>
      </c>
      <c r="G987" s="28">
        <f>IFERROR(VLOOKUP(F987,CARTON_LOOKUP!$A:$E,3,0),"")</f>
      </c>
      <c r="H987" s="28">
        <f>IFERROR(VLOOKUP(F987,CARTON_LOOKUP!$A:$E,4,0),"")</f>
      </c>
      <c r="I987" s="28">
        <f>IFERROR(VLOOKUP(F987,CARTON_LOOKUP!$A:$E,5,0),"")</f>
      </c>
      <c r="J987" s="29">
        <f>IFERROR(VLOOKUP(F987,CARTON_LOOKUP!$A:$E,2,0),"")</f>
      </c>
      <c r="K987" s="29">
        <f>IFERROR(J987*D987,0)</f>
      </c>
      <c r="L987" s="29">
        <f>IFERROR(E987*C987,0)</f>
      </c>
      <c r="M987" s="29">
        <f>IFERROR((G987*H987*I987/1000000)*D987,0)</f>
      </c>
    </row>
    <row r="988" spans="1:13" x14ac:dyDescent="0.25">
      <c r="A988" s="16"/>
      <c r="E988" s="27"/>
      <c r="F988" t="s">
        <v>26</v>
      </c>
      <c r="G988" s="28">
        <f>IFERROR(VLOOKUP(F988,CARTON_LOOKUP!$A:$E,3,0),"")</f>
      </c>
      <c r="H988" s="28">
        <f>IFERROR(VLOOKUP(F988,CARTON_LOOKUP!$A:$E,4,0),"")</f>
      </c>
      <c r="I988" s="28">
        <f>IFERROR(VLOOKUP(F988,CARTON_LOOKUP!$A:$E,5,0),"")</f>
      </c>
      <c r="J988" s="29">
        <f>IFERROR(VLOOKUP(F988,CARTON_LOOKUP!$A:$E,2,0),"")</f>
      </c>
      <c r="K988" s="29">
        <f>IFERROR(J988*D988,0)</f>
      </c>
      <c r="L988" s="29">
        <f>IFERROR(E988*C988,0)</f>
      </c>
      <c r="M988" s="29">
        <f>IFERROR((G988*H988*I988/1000000)*D988,0)</f>
      </c>
    </row>
    <row r="989" spans="1:13" x14ac:dyDescent="0.25">
      <c r="A989" s="16"/>
      <c r="E989" s="27"/>
      <c r="F989" t="s">
        <v>26</v>
      </c>
      <c r="G989" s="28">
        <f>IFERROR(VLOOKUP(F989,CARTON_LOOKUP!$A:$E,3,0),"")</f>
      </c>
      <c r="H989" s="28">
        <f>IFERROR(VLOOKUP(F989,CARTON_LOOKUP!$A:$E,4,0),"")</f>
      </c>
      <c r="I989" s="28">
        <f>IFERROR(VLOOKUP(F989,CARTON_LOOKUP!$A:$E,5,0),"")</f>
      </c>
      <c r="J989" s="29">
        <f>IFERROR(VLOOKUP(F989,CARTON_LOOKUP!$A:$E,2,0),"")</f>
      </c>
      <c r="K989" s="29">
        <f>IFERROR(J989*D989,0)</f>
      </c>
      <c r="L989" s="29">
        <f>IFERROR(E989*C989,0)</f>
      </c>
      <c r="M989" s="29">
        <f>IFERROR((G989*H989*I989/1000000)*D989,0)</f>
      </c>
    </row>
    <row r="990" spans="1:13" x14ac:dyDescent="0.25">
      <c r="A990" s="16"/>
      <c r="E990" s="27"/>
      <c r="F990" t="s">
        <v>26</v>
      </c>
      <c r="G990" s="28">
        <f>IFERROR(VLOOKUP(F990,CARTON_LOOKUP!$A:$E,3,0),"")</f>
      </c>
      <c r="H990" s="28">
        <f>IFERROR(VLOOKUP(F990,CARTON_LOOKUP!$A:$E,4,0),"")</f>
      </c>
      <c r="I990" s="28">
        <f>IFERROR(VLOOKUP(F990,CARTON_LOOKUP!$A:$E,5,0),"")</f>
      </c>
      <c r="J990" s="29">
        <f>IFERROR(VLOOKUP(F990,CARTON_LOOKUP!$A:$E,2,0),"")</f>
      </c>
      <c r="K990" s="29">
        <f>IFERROR(J990*D990,0)</f>
      </c>
      <c r="L990" s="29">
        <f>IFERROR(E990*C990,0)</f>
      </c>
      <c r="M990" s="29">
        <f>IFERROR((G990*H990*I990/1000000)*D990,0)</f>
      </c>
    </row>
    <row r="991" spans="1:13" x14ac:dyDescent="0.25">
      <c r="A991" s="16"/>
      <c r="E991" s="27"/>
      <c r="F991" t="s">
        <v>26</v>
      </c>
      <c r="G991" s="28">
        <f>IFERROR(VLOOKUP(F991,CARTON_LOOKUP!$A:$E,3,0),"")</f>
      </c>
      <c r="H991" s="28">
        <f>IFERROR(VLOOKUP(F991,CARTON_LOOKUP!$A:$E,4,0),"")</f>
      </c>
      <c r="I991" s="28">
        <f>IFERROR(VLOOKUP(F991,CARTON_LOOKUP!$A:$E,5,0),"")</f>
      </c>
      <c r="J991" s="29">
        <f>IFERROR(VLOOKUP(F991,CARTON_LOOKUP!$A:$E,2,0),"")</f>
      </c>
      <c r="K991" s="29">
        <f>IFERROR(J991*D991,0)</f>
      </c>
      <c r="L991" s="29">
        <f>IFERROR(E991*C991,0)</f>
      </c>
      <c r="M991" s="29">
        <f>IFERROR((G991*H991*I991/1000000)*D991,0)</f>
      </c>
    </row>
    <row r="992" spans="1:13" x14ac:dyDescent="0.25">
      <c r="A992" s="16"/>
      <c r="E992" s="27"/>
      <c r="F992" t="s">
        <v>26</v>
      </c>
      <c r="G992" s="28">
        <f>IFERROR(VLOOKUP(F992,CARTON_LOOKUP!$A:$E,3,0),"")</f>
      </c>
      <c r="H992" s="28">
        <f>IFERROR(VLOOKUP(F992,CARTON_LOOKUP!$A:$E,4,0),"")</f>
      </c>
      <c r="I992" s="28">
        <f>IFERROR(VLOOKUP(F992,CARTON_LOOKUP!$A:$E,5,0),"")</f>
      </c>
      <c r="J992" s="29">
        <f>IFERROR(VLOOKUP(F992,CARTON_LOOKUP!$A:$E,2,0),"")</f>
      </c>
      <c r="K992" s="29">
        <f>IFERROR(J992*D992,0)</f>
      </c>
      <c r="L992" s="29">
        <f>IFERROR(E992*C992,0)</f>
      </c>
      <c r="M992" s="29">
        <f>IFERROR((G992*H992*I992/1000000)*D992,0)</f>
      </c>
    </row>
    <row r="993" spans="1:13" x14ac:dyDescent="0.25">
      <c r="A993" s="16"/>
      <c r="E993" s="27"/>
      <c r="F993" t="s">
        <v>26</v>
      </c>
      <c r="G993" s="28">
        <f>IFERROR(VLOOKUP(F993,CARTON_LOOKUP!$A:$E,3,0),"")</f>
      </c>
      <c r="H993" s="28">
        <f>IFERROR(VLOOKUP(F993,CARTON_LOOKUP!$A:$E,4,0),"")</f>
      </c>
      <c r="I993" s="28">
        <f>IFERROR(VLOOKUP(F993,CARTON_LOOKUP!$A:$E,5,0),"")</f>
      </c>
      <c r="J993" s="29">
        <f>IFERROR(VLOOKUP(F993,CARTON_LOOKUP!$A:$E,2,0),"")</f>
      </c>
      <c r="K993" s="29">
        <f>IFERROR(J993*D993,0)</f>
      </c>
      <c r="L993" s="29">
        <f>IFERROR(E993*C993,0)</f>
      </c>
      <c r="M993" s="29">
        <f>IFERROR((G993*H993*I993/1000000)*D993,0)</f>
      </c>
    </row>
    <row r="994" spans="1:13" x14ac:dyDescent="0.25">
      <c r="A994" s="16"/>
      <c r="E994" s="27"/>
      <c r="F994" t="s">
        <v>26</v>
      </c>
      <c r="G994" s="28">
        <f>IFERROR(VLOOKUP(F994,CARTON_LOOKUP!$A:$E,3,0),"")</f>
      </c>
      <c r="H994" s="28">
        <f>IFERROR(VLOOKUP(F994,CARTON_LOOKUP!$A:$E,4,0),"")</f>
      </c>
      <c r="I994" s="28">
        <f>IFERROR(VLOOKUP(F994,CARTON_LOOKUP!$A:$E,5,0),"")</f>
      </c>
      <c r="J994" s="29">
        <f>IFERROR(VLOOKUP(F994,CARTON_LOOKUP!$A:$E,2,0),"")</f>
      </c>
      <c r="K994" s="29">
        <f>IFERROR(J994*D994,0)</f>
      </c>
      <c r="L994" s="29">
        <f>IFERROR(E994*C994,0)</f>
      </c>
      <c r="M994" s="29">
        <f>IFERROR((G994*H994*I994/1000000)*D994,0)</f>
      </c>
    </row>
    <row r="995" spans="1:13" x14ac:dyDescent="0.25">
      <c r="A995" s="16"/>
      <c r="E995" s="27"/>
      <c r="F995" t="s">
        <v>26</v>
      </c>
      <c r="G995" s="28">
        <f>IFERROR(VLOOKUP(F995,CARTON_LOOKUP!$A:$E,3,0),"")</f>
      </c>
      <c r="H995" s="28">
        <f>IFERROR(VLOOKUP(F995,CARTON_LOOKUP!$A:$E,4,0),"")</f>
      </c>
      <c r="I995" s="28">
        <f>IFERROR(VLOOKUP(F995,CARTON_LOOKUP!$A:$E,5,0),"")</f>
      </c>
      <c r="J995" s="29">
        <f>IFERROR(VLOOKUP(F995,CARTON_LOOKUP!$A:$E,2,0),"")</f>
      </c>
      <c r="K995" s="29">
        <f>IFERROR(J995*D995,0)</f>
      </c>
      <c r="L995" s="29">
        <f>IFERROR(E995*C995,0)</f>
      </c>
      <c r="M995" s="29">
        <f>IFERROR((G995*H995*I995/1000000)*D995,0)</f>
      </c>
    </row>
    <row r="996" spans="1:13" x14ac:dyDescent="0.25">
      <c r="A996" s="16"/>
      <c r="E996" s="27"/>
      <c r="F996" t="s">
        <v>26</v>
      </c>
      <c r="G996" s="28">
        <f>IFERROR(VLOOKUP(F996,CARTON_LOOKUP!$A:$E,3,0),"")</f>
      </c>
      <c r="H996" s="28">
        <f>IFERROR(VLOOKUP(F996,CARTON_LOOKUP!$A:$E,4,0),"")</f>
      </c>
      <c r="I996" s="28">
        <f>IFERROR(VLOOKUP(F996,CARTON_LOOKUP!$A:$E,5,0),"")</f>
      </c>
      <c r="J996" s="29">
        <f>IFERROR(VLOOKUP(F996,CARTON_LOOKUP!$A:$E,2,0),"")</f>
      </c>
      <c r="K996" s="29">
        <f>IFERROR(J996*D996,0)</f>
      </c>
      <c r="L996" s="29">
        <f>IFERROR(E996*C996,0)</f>
      </c>
      <c r="M996" s="29">
        <f>IFERROR((G996*H996*I996/1000000)*D996,0)</f>
      </c>
    </row>
    <row r="997" spans="1:13" x14ac:dyDescent="0.25">
      <c r="A997" s="16"/>
      <c r="E997" s="27"/>
      <c r="F997" t="s">
        <v>26</v>
      </c>
      <c r="G997" s="28">
        <f>IFERROR(VLOOKUP(F997,CARTON_LOOKUP!$A:$E,3,0),"")</f>
      </c>
      <c r="H997" s="28">
        <f>IFERROR(VLOOKUP(F997,CARTON_LOOKUP!$A:$E,4,0),"")</f>
      </c>
      <c r="I997" s="28">
        <f>IFERROR(VLOOKUP(F997,CARTON_LOOKUP!$A:$E,5,0),"")</f>
      </c>
      <c r="J997" s="29">
        <f>IFERROR(VLOOKUP(F997,CARTON_LOOKUP!$A:$E,2,0),"")</f>
      </c>
      <c r="K997" s="29">
        <f>IFERROR(J997*D997,0)</f>
      </c>
      <c r="L997" s="29">
        <f>IFERROR(E997*C997,0)</f>
      </c>
      <c r="M997" s="29">
        <f>IFERROR((G997*H997*I997/1000000)*D997,0)</f>
      </c>
    </row>
    <row r="998" spans="1:13" x14ac:dyDescent="0.25">
      <c r="A998" s="16"/>
      <c r="E998" s="27"/>
      <c r="F998" t="s">
        <v>26</v>
      </c>
      <c r="G998" s="28">
        <f>IFERROR(VLOOKUP(F998,CARTON_LOOKUP!$A:$E,3,0),"")</f>
      </c>
      <c r="H998" s="28">
        <f>IFERROR(VLOOKUP(F998,CARTON_LOOKUP!$A:$E,4,0),"")</f>
      </c>
      <c r="I998" s="28">
        <f>IFERROR(VLOOKUP(F998,CARTON_LOOKUP!$A:$E,5,0),"")</f>
      </c>
      <c r="J998" s="29">
        <f>IFERROR(VLOOKUP(F998,CARTON_LOOKUP!$A:$E,2,0),"")</f>
      </c>
      <c r="K998" s="29">
        <f>IFERROR(J998*D998,0)</f>
      </c>
      <c r="L998" s="29">
        <f>IFERROR(E998*C998,0)</f>
      </c>
      <c r="M998" s="29">
        <f>IFERROR((G998*H998*I998/1000000)*D998,0)</f>
      </c>
    </row>
    <row r="999" spans="1:13" x14ac:dyDescent="0.25">
      <c r="A999" s="16"/>
      <c r="E999" s="27"/>
      <c r="F999" t="s">
        <v>26</v>
      </c>
      <c r="G999" s="28">
        <f>IFERROR(VLOOKUP(F999,CARTON_LOOKUP!$A:$E,3,0),"")</f>
      </c>
      <c r="H999" s="28">
        <f>IFERROR(VLOOKUP(F999,CARTON_LOOKUP!$A:$E,4,0),"")</f>
      </c>
      <c r="I999" s="28">
        <f>IFERROR(VLOOKUP(F999,CARTON_LOOKUP!$A:$E,5,0),"")</f>
      </c>
      <c r="J999" s="29">
        <f>IFERROR(VLOOKUP(F999,CARTON_LOOKUP!$A:$E,2,0),"")</f>
      </c>
      <c r="K999" s="29">
        <f>IFERROR(J999*D999,0)</f>
      </c>
      <c r="L999" s="29">
        <f>IFERROR(E999*C999,0)</f>
      </c>
      <c r="M999" s="29">
        <f>IFERROR((G999*H999*I999/1000000)*D999,0)</f>
      </c>
    </row>
    <row r="1000" spans="1:13" x14ac:dyDescent="0.25">
      <c r="A1000" s="16"/>
      <c r="E1000" s="27"/>
      <c r="F1000" t="s">
        <v>26</v>
      </c>
      <c r="G1000" s="28">
        <f>IFERROR(VLOOKUP(F1000,CARTON_LOOKUP!$A:$E,3,0),"")</f>
      </c>
      <c r="H1000" s="28">
        <f>IFERROR(VLOOKUP(F1000,CARTON_LOOKUP!$A:$E,4,0),"")</f>
      </c>
      <c r="I1000" s="28">
        <f>IFERROR(VLOOKUP(F1000,CARTON_LOOKUP!$A:$E,5,0),"")</f>
      </c>
      <c r="J1000" s="29">
        <f>IFERROR(VLOOKUP(F1000,CARTON_LOOKUP!$A:$E,2,0),"")</f>
      </c>
      <c r="K1000" s="29">
        <f>IFERROR(J1000*D1000,0)</f>
      </c>
      <c r="L1000" s="29">
        <f>IFERROR(E1000*C1000,0)</f>
      </c>
      <c r="M1000" s="29">
        <f>IFERROR((G1000*H1000*I1000/1000000)*D1000,0)</f>
      </c>
    </row>
    <row r="1001" spans="1:13" x14ac:dyDescent="0.25">
      <c r="A1001" s="16"/>
      <c r="E1001" s="27"/>
      <c r="F1001" t="s">
        <v>26</v>
      </c>
      <c r="G1001" s="28">
        <f>IFERROR(VLOOKUP(F1001,CARTON_LOOKUP!$A:$E,3,0),"")</f>
      </c>
      <c r="H1001" s="28">
        <f>IFERROR(VLOOKUP(F1001,CARTON_LOOKUP!$A:$E,4,0),"")</f>
      </c>
      <c r="I1001" s="28">
        <f>IFERROR(VLOOKUP(F1001,CARTON_LOOKUP!$A:$E,5,0),"")</f>
      </c>
      <c r="J1001" s="29">
        <f>IFERROR(VLOOKUP(F1001,CARTON_LOOKUP!$A:$E,2,0),"")</f>
      </c>
      <c r="K1001" s="29">
        <f>IFERROR(J1001*D1001,0)</f>
      </c>
      <c r="L1001" s="29">
        <f>IFERROR(E1001*C1001,0)</f>
      </c>
      <c r="M1001" s="29">
        <f>IFERROR((G1001*H1001*I1001/1000000)*D1001,0)</f>
      </c>
    </row>
    <row r="1002" spans="1:13" x14ac:dyDescent="0.25">
      <c r="A1002" s="16"/>
      <c r="E1002" s="27"/>
      <c r="F1002" t="s">
        <v>26</v>
      </c>
      <c r="G1002" s="28">
        <f>IFERROR(VLOOKUP(F1002,CARTON_LOOKUP!$A:$E,3,0),"")</f>
      </c>
      <c r="H1002" s="28">
        <f>IFERROR(VLOOKUP(F1002,CARTON_LOOKUP!$A:$E,4,0),"")</f>
      </c>
      <c r="I1002" s="28">
        <f>IFERROR(VLOOKUP(F1002,CARTON_LOOKUP!$A:$E,5,0),"")</f>
      </c>
      <c r="J1002" s="29">
        <f>IFERROR(VLOOKUP(F1002,CARTON_LOOKUP!$A:$E,2,0),"")</f>
      </c>
      <c r="K1002" s="29">
        <f>IFERROR(J1002*D1002,0)</f>
      </c>
      <c r="L1002" s="29">
        <f>IFERROR(E1002*C1002,0)</f>
      </c>
      <c r="M1002" s="29">
        <f>IFERROR((G1002*H1002*I1002/1000000)*D1002,0)</f>
      </c>
    </row>
    <row r="1003" spans="1:13" x14ac:dyDescent="0.25">
      <c r="A1003" s="16"/>
      <c r="E1003" s="27"/>
      <c r="F1003" t="s">
        <v>26</v>
      </c>
      <c r="G1003" s="28">
        <f>IFERROR(VLOOKUP(F1003,CARTON_LOOKUP!$A:$E,3,0),"")</f>
      </c>
      <c r="H1003" s="28">
        <f>IFERROR(VLOOKUP(F1003,CARTON_LOOKUP!$A:$E,4,0),"")</f>
      </c>
      <c r="I1003" s="28">
        <f>IFERROR(VLOOKUP(F1003,CARTON_LOOKUP!$A:$E,5,0),"")</f>
      </c>
      <c r="J1003" s="29">
        <f>IFERROR(VLOOKUP(F1003,CARTON_LOOKUP!$A:$E,2,0),"")</f>
      </c>
      <c r="K1003" s="29">
        <f>IFERROR(J1003*D1003,0)</f>
      </c>
      <c r="L1003" s="29">
        <f>IFERROR(E1003*C1003,0)</f>
      </c>
      <c r="M1003" s="29">
        <f>IFERROR((G1003*H1003*I1003/1000000)*D1003,0)</f>
      </c>
    </row>
    <row r="1004" spans="1:13" x14ac:dyDescent="0.25">
      <c r="A1004" s="16"/>
      <c r="E1004" s="27"/>
      <c r="F1004" t="s">
        <v>26</v>
      </c>
      <c r="G1004" s="28">
        <f>IFERROR(VLOOKUP(F1004,CARTON_LOOKUP!$A:$E,3,0),"")</f>
      </c>
      <c r="H1004" s="28">
        <f>IFERROR(VLOOKUP(F1004,CARTON_LOOKUP!$A:$E,4,0),"")</f>
      </c>
      <c r="I1004" s="28">
        <f>IFERROR(VLOOKUP(F1004,CARTON_LOOKUP!$A:$E,5,0),"")</f>
      </c>
      <c r="J1004" s="29">
        <f>IFERROR(VLOOKUP(F1004,CARTON_LOOKUP!$A:$E,2,0),"")</f>
      </c>
      <c r="K1004" s="29">
        <f>IFERROR(J1004*D1004,0)</f>
      </c>
      <c r="L1004" s="29">
        <f>IFERROR(E1004*C1004,0)</f>
      </c>
      <c r="M1004" s="29">
        <f>IFERROR((G1004*H1004*I1004/1000000)*D1004,0)</f>
      </c>
    </row>
    <row r="1005" spans="1:13" x14ac:dyDescent="0.25">
      <c r="A1005" s="16"/>
      <c r="E1005" s="27"/>
      <c r="F1005" t="s">
        <v>26</v>
      </c>
      <c r="G1005" s="28">
        <f>IFERROR(VLOOKUP(F1005,CARTON_LOOKUP!$A:$E,3,0),"")</f>
      </c>
      <c r="H1005" s="28">
        <f>IFERROR(VLOOKUP(F1005,CARTON_LOOKUP!$A:$E,4,0),"")</f>
      </c>
      <c r="I1005" s="28">
        <f>IFERROR(VLOOKUP(F1005,CARTON_LOOKUP!$A:$E,5,0),"")</f>
      </c>
      <c r="J1005" s="29">
        <f>IFERROR(VLOOKUP(F1005,CARTON_LOOKUP!$A:$E,2,0),"")</f>
      </c>
      <c r="K1005" s="29">
        <f>IFERROR(J1005*D1005,0)</f>
      </c>
      <c r="L1005" s="29">
        <f>IFERROR(E1005*C1005,0)</f>
      </c>
      <c r="M1005" s="29">
        <f>IFERROR((G1005*H1005*I1005/1000000)*D1005,0)</f>
      </c>
    </row>
    <row r="1006" spans="1:13" x14ac:dyDescent="0.25">
      <c r="A1006" s="16"/>
      <c r="E1006" s="27"/>
      <c r="F1006" t="s">
        <v>26</v>
      </c>
      <c r="G1006" s="28">
        <f>IFERROR(VLOOKUP(F1006,CARTON_LOOKUP!$A:$E,3,0),"")</f>
      </c>
      <c r="H1006" s="28">
        <f>IFERROR(VLOOKUP(F1006,CARTON_LOOKUP!$A:$E,4,0),"")</f>
      </c>
      <c r="I1006" s="28">
        <f>IFERROR(VLOOKUP(F1006,CARTON_LOOKUP!$A:$E,5,0),"")</f>
      </c>
      <c r="J1006" s="29">
        <f>IFERROR(VLOOKUP(F1006,CARTON_LOOKUP!$A:$E,2,0),"")</f>
      </c>
      <c r="K1006" s="29">
        <f>IFERROR(J1006*D1006,0)</f>
      </c>
      <c r="L1006" s="29">
        <f>IFERROR(E1006*C1006,0)</f>
      </c>
      <c r="M1006" s="29">
        <f>IFERROR((G1006*H1006*I1006/1000000)*D1006,0)</f>
      </c>
    </row>
    <row r="1007" spans="1:13" x14ac:dyDescent="0.25">
      <c r="A1007" s="16"/>
      <c r="E1007" s="27"/>
      <c r="F1007" t="s">
        <v>26</v>
      </c>
      <c r="G1007" s="28">
        <f>IFERROR(VLOOKUP(F1007,CARTON_LOOKUP!$A:$E,3,0),"")</f>
      </c>
      <c r="H1007" s="28">
        <f>IFERROR(VLOOKUP(F1007,CARTON_LOOKUP!$A:$E,4,0),"")</f>
      </c>
      <c r="I1007" s="28">
        <f>IFERROR(VLOOKUP(F1007,CARTON_LOOKUP!$A:$E,5,0),"")</f>
      </c>
      <c r="J1007" s="29">
        <f>IFERROR(VLOOKUP(F1007,CARTON_LOOKUP!$A:$E,2,0),"")</f>
      </c>
      <c r="K1007" s="29">
        <f>IFERROR(J1007*D1007,0)</f>
      </c>
      <c r="L1007" s="29">
        <f>IFERROR(E1007*C1007,0)</f>
      </c>
      <c r="M1007" s="29">
        <f>IFERROR((G1007*H1007*I1007/1000000)*D1007,0)</f>
      </c>
    </row>
    <row r="1008" spans="1:13" x14ac:dyDescent="0.25">
      <c r="A1008" s="16"/>
      <c r="E1008" s="27"/>
      <c r="F1008" t="s">
        <v>26</v>
      </c>
      <c r="G1008" s="28">
        <f>IFERROR(VLOOKUP(F1008,CARTON_LOOKUP!$A:$E,3,0),"")</f>
      </c>
      <c r="H1008" s="28">
        <f>IFERROR(VLOOKUP(F1008,CARTON_LOOKUP!$A:$E,4,0),"")</f>
      </c>
      <c r="I1008" s="28">
        <f>IFERROR(VLOOKUP(F1008,CARTON_LOOKUP!$A:$E,5,0),"")</f>
      </c>
      <c r="J1008" s="29">
        <f>IFERROR(VLOOKUP(F1008,CARTON_LOOKUP!$A:$E,2,0),"")</f>
      </c>
      <c r="K1008" s="29">
        <f>IFERROR(J1008*D1008,0)</f>
      </c>
      <c r="L1008" s="29">
        <f>IFERROR(E1008*C1008,0)</f>
      </c>
      <c r="M1008" s="29">
        <f>IFERROR((G1008*H1008*I1008/1000000)*D1008,0)</f>
      </c>
    </row>
    <row r="1009" spans="1:13" x14ac:dyDescent="0.25">
      <c r="A1009" s="16"/>
      <c r="E1009" s="27"/>
      <c r="F1009" t="s">
        <v>26</v>
      </c>
      <c r="G1009" s="28">
        <f>IFERROR(VLOOKUP(F1009,CARTON_LOOKUP!$A:$E,3,0),"")</f>
      </c>
      <c r="H1009" s="28">
        <f>IFERROR(VLOOKUP(F1009,CARTON_LOOKUP!$A:$E,4,0),"")</f>
      </c>
      <c r="I1009" s="28">
        <f>IFERROR(VLOOKUP(F1009,CARTON_LOOKUP!$A:$E,5,0),"")</f>
      </c>
      <c r="J1009" s="29">
        <f>IFERROR(VLOOKUP(F1009,CARTON_LOOKUP!$A:$E,2,0),"")</f>
      </c>
      <c r="K1009" s="29">
        <f>IFERROR(J1009*D1009,0)</f>
      </c>
      <c r="L1009" s="29">
        <f>IFERROR(E1009*C1009,0)</f>
      </c>
      <c r="M1009" s="29">
        <f>IFERROR((G1009*H1009*I1009/1000000)*D1009,0)</f>
      </c>
    </row>
    <row r="1010" spans="1:13" x14ac:dyDescent="0.25">
      <c r="A1010" s="16"/>
      <c r="E1010" s="27"/>
      <c r="F1010" t="s">
        <v>26</v>
      </c>
      <c r="G1010" s="28">
        <f>IFERROR(VLOOKUP(F1010,CARTON_LOOKUP!$A:$E,3,0),"")</f>
      </c>
      <c r="H1010" s="28">
        <f>IFERROR(VLOOKUP(F1010,CARTON_LOOKUP!$A:$E,4,0),"")</f>
      </c>
      <c r="I1010" s="28">
        <f>IFERROR(VLOOKUP(F1010,CARTON_LOOKUP!$A:$E,5,0),"")</f>
      </c>
      <c r="J1010" s="29">
        <f>IFERROR(VLOOKUP(F1010,CARTON_LOOKUP!$A:$E,2,0),"")</f>
      </c>
      <c r="K1010" s="29">
        <f>IFERROR(J1010*D1010,0)</f>
      </c>
      <c r="L1010" s="29">
        <f>IFERROR(E1010*C1010,0)</f>
      </c>
      <c r="M1010" s="29">
        <f>IFERROR((G1010*H1010*I1010/1000000)*D1010,0)</f>
      </c>
    </row>
    <row r="1011" spans="1:13" x14ac:dyDescent="0.25">
      <c r="A1011" s="16"/>
      <c r="E1011" s="27"/>
      <c r="F1011" t="s">
        <v>26</v>
      </c>
      <c r="G1011" s="28">
        <f>IFERROR(VLOOKUP(F1011,CARTON_LOOKUP!$A:$E,3,0),"")</f>
      </c>
      <c r="H1011" s="28">
        <f>IFERROR(VLOOKUP(F1011,CARTON_LOOKUP!$A:$E,4,0),"")</f>
      </c>
      <c r="I1011" s="28">
        <f>IFERROR(VLOOKUP(F1011,CARTON_LOOKUP!$A:$E,5,0),"")</f>
      </c>
      <c r="J1011" s="29">
        <f>IFERROR(VLOOKUP(F1011,CARTON_LOOKUP!$A:$E,2,0),"")</f>
      </c>
      <c r="K1011" s="29">
        <f>IFERROR(J1011*D1011,0)</f>
      </c>
      <c r="L1011" s="29">
        <f>IFERROR(E1011*C1011,0)</f>
      </c>
      <c r="M1011" s="29">
        <f>IFERROR((G1011*H1011*I1011/1000000)*D1011,0)</f>
      </c>
    </row>
    <row r="1012" spans="1:13" x14ac:dyDescent="0.25">
      <c r="A1012" s="16"/>
      <c r="E1012" s="27"/>
      <c r="F1012" t="s">
        <v>26</v>
      </c>
      <c r="G1012" s="28">
        <f>IFERROR(VLOOKUP(F1012,CARTON_LOOKUP!$A:$E,3,0),"")</f>
      </c>
      <c r="H1012" s="28">
        <f>IFERROR(VLOOKUP(F1012,CARTON_LOOKUP!$A:$E,4,0),"")</f>
      </c>
      <c r="I1012" s="28">
        <f>IFERROR(VLOOKUP(F1012,CARTON_LOOKUP!$A:$E,5,0),"")</f>
      </c>
      <c r="J1012" s="29">
        <f>IFERROR(VLOOKUP(F1012,CARTON_LOOKUP!$A:$E,2,0),"")</f>
      </c>
      <c r="K1012" s="29">
        <f>IFERROR(J1012*D1012,0)</f>
      </c>
      <c r="L1012" s="29">
        <f>IFERROR(E1012*C1012,0)</f>
      </c>
      <c r="M1012" s="29">
        <f>IFERROR((G1012*H1012*I1012/1000000)*D1012,0)</f>
      </c>
    </row>
    <row r="1013" spans="1:13" x14ac:dyDescent="0.25">
      <c r="A1013" s="16"/>
      <c r="E1013" s="27"/>
      <c r="F1013" t="s">
        <v>26</v>
      </c>
      <c r="G1013" s="28">
        <f>IFERROR(VLOOKUP(F1013,CARTON_LOOKUP!$A:$E,3,0),"")</f>
      </c>
      <c r="H1013" s="28">
        <f>IFERROR(VLOOKUP(F1013,CARTON_LOOKUP!$A:$E,4,0),"")</f>
      </c>
      <c r="I1013" s="28">
        <f>IFERROR(VLOOKUP(F1013,CARTON_LOOKUP!$A:$E,5,0),"")</f>
      </c>
      <c r="J1013" s="29">
        <f>IFERROR(VLOOKUP(F1013,CARTON_LOOKUP!$A:$E,2,0),"")</f>
      </c>
      <c r="K1013" s="29">
        <f>IFERROR(J1013*D1013,0)</f>
      </c>
      <c r="L1013" s="29">
        <f>IFERROR(E1013*C1013,0)</f>
      </c>
      <c r="M1013" s="29">
        <f>IFERROR((G1013*H1013*I1013/1000000)*D1013,0)</f>
      </c>
    </row>
    <row r="1014" spans="1:13" x14ac:dyDescent="0.25">
      <c r="A1014" s="16"/>
      <c r="E1014" s="27"/>
      <c r="F1014" t="s">
        <v>26</v>
      </c>
      <c r="G1014" s="28">
        <f>IFERROR(VLOOKUP(F1014,CARTON_LOOKUP!$A:$E,3,0),"")</f>
      </c>
      <c r="H1014" s="28">
        <f>IFERROR(VLOOKUP(F1014,CARTON_LOOKUP!$A:$E,4,0),"")</f>
      </c>
      <c r="I1014" s="28">
        <f>IFERROR(VLOOKUP(F1014,CARTON_LOOKUP!$A:$E,5,0),"")</f>
      </c>
      <c r="J1014" s="29">
        <f>IFERROR(VLOOKUP(F1014,CARTON_LOOKUP!$A:$E,2,0),"")</f>
      </c>
      <c r="K1014" s="29">
        <f>IFERROR(J1014*D1014,0)</f>
      </c>
      <c r="L1014" s="29">
        <f>IFERROR(E1014*C1014,0)</f>
      </c>
      <c r="M1014" s="29">
        <f>IFERROR((G1014*H1014*I1014/1000000)*D1014,0)</f>
      </c>
    </row>
    <row r="1015" spans="1:13" x14ac:dyDescent="0.25">
      <c r="A1015" s="16"/>
      <c r="E1015" s="27"/>
      <c r="F1015" t="s">
        <v>26</v>
      </c>
      <c r="G1015" s="28">
        <f>IFERROR(VLOOKUP(F1015,CARTON_LOOKUP!$A:$E,3,0),"")</f>
      </c>
      <c r="H1015" s="28">
        <f>IFERROR(VLOOKUP(F1015,CARTON_LOOKUP!$A:$E,4,0),"")</f>
      </c>
      <c r="I1015" s="28">
        <f>IFERROR(VLOOKUP(F1015,CARTON_LOOKUP!$A:$E,5,0),"")</f>
      </c>
      <c r="J1015" s="29">
        <f>IFERROR(VLOOKUP(F1015,CARTON_LOOKUP!$A:$E,2,0),"")</f>
      </c>
      <c r="K1015" s="29">
        <f>IFERROR(J1015*D1015,0)</f>
      </c>
      <c r="L1015" s="29">
        <f>IFERROR(E1015*C1015,0)</f>
      </c>
      <c r="M1015" s="29">
        <f>IFERROR((G1015*H1015*I1015/1000000)*D1015,0)</f>
      </c>
    </row>
    <row r="1016" spans="1:13" x14ac:dyDescent="0.25">
      <c r="A1016" s="16"/>
      <c r="E1016" s="27"/>
      <c r="F1016" t="s">
        <v>26</v>
      </c>
      <c r="G1016" s="28">
        <f>IFERROR(VLOOKUP(F1016,CARTON_LOOKUP!$A:$E,3,0),"")</f>
      </c>
      <c r="H1016" s="28">
        <f>IFERROR(VLOOKUP(F1016,CARTON_LOOKUP!$A:$E,4,0),"")</f>
      </c>
      <c r="I1016" s="28">
        <f>IFERROR(VLOOKUP(F1016,CARTON_LOOKUP!$A:$E,5,0),"")</f>
      </c>
      <c r="J1016" s="29">
        <f>IFERROR(VLOOKUP(F1016,CARTON_LOOKUP!$A:$E,2,0),"")</f>
      </c>
      <c r="K1016" s="29">
        <f>IFERROR(J1016*D1016,0)</f>
      </c>
      <c r="L1016" s="29">
        <f>IFERROR(E1016*C1016,0)</f>
      </c>
      <c r="M1016" s="29">
        <f>IFERROR((G1016*H1016*I1016/1000000)*D1016,0)</f>
      </c>
    </row>
    <row r="1017" spans="1:13" x14ac:dyDescent="0.25">
      <c r="A1017" s="16"/>
      <c r="E1017" s="27"/>
      <c r="F1017" t="s">
        <v>26</v>
      </c>
      <c r="G1017" s="28">
        <f>IFERROR(VLOOKUP(F1017,CARTON_LOOKUP!$A:$E,3,0),"")</f>
      </c>
      <c r="H1017" s="28">
        <f>IFERROR(VLOOKUP(F1017,CARTON_LOOKUP!$A:$E,4,0),"")</f>
      </c>
      <c r="I1017" s="28">
        <f>IFERROR(VLOOKUP(F1017,CARTON_LOOKUP!$A:$E,5,0),"")</f>
      </c>
      <c r="J1017" s="29">
        <f>IFERROR(VLOOKUP(F1017,CARTON_LOOKUP!$A:$E,2,0),"")</f>
      </c>
      <c r="K1017" s="29">
        <f>IFERROR(J1017*D1017,0)</f>
      </c>
      <c r="L1017" s="29">
        <f>IFERROR(E1017*C1017,0)</f>
      </c>
      <c r="M1017" s="29">
        <f>IFERROR((G1017*H1017*I1017/1000000)*D1017,0)</f>
      </c>
    </row>
    <row r="1018" spans="1:13" x14ac:dyDescent="0.25">
      <c r="A1018" s="16"/>
      <c r="E1018" s="27"/>
      <c r="F1018" t="s">
        <v>26</v>
      </c>
      <c r="G1018" s="28">
        <f>IFERROR(VLOOKUP(F1018,CARTON_LOOKUP!$A:$E,3,0),"")</f>
      </c>
      <c r="H1018" s="28">
        <f>IFERROR(VLOOKUP(F1018,CARTON_LOOKUP!$A:$E,4,0),"")</f>
      </c>
      <c r="I1018" s="28">
        <f>IFERROR(VLOOKUP(F1018,CARTON_LOOKUP!$A:$E,5,0),"")</f>
      </c>
      <c r="J1018" s="29">
        <f>IFERROR(VLOOKUP(F1018,CARTON_LOOKUP!$A:$E,2,0),"")</f>
      </c>
      <c r="K1018" s="29">
        <f>IFERROR(J1018*D1018,0)</f>
      </c>
      <c r="L1018" s="29">
        <f>IFERROR(E1018*C1018,0)</f>
      </c>
      <c r="M1018" s="29">
        <f>IFERROR((G1018*H1018*I1018/1000000)*D1018,0)</f>
      </c>
    </row>
    <row r="1019" spans="1:13" x14ac:dyDescent="0.25">
      <c r="A1019" s="16"/>
      <c r="E1019" s="27"/>
      <c r="F1019" t="s">
        <v>26</v>
      </c>
      <c r="G1019" s="28">
        <f>IFERROR(VLOOKUP(F1019,CARTON_LOOKUP!$A:$E,3,0),"")</f>
      </c>
      <c r="H1019" s="28">
        <f>IFERROR(VLOOKUP(F1019,CARTON_LOOKUP!$A:$E,4,0),"")</f>
      </c>
      <c r="I1019" s="28">
        <f>IFERROR(VLOOKUP(F1019,CARTON_LOOKUP!$A:$E,5,0),"")</f>
      </c>
      <c r="J1019" s="29">
        <f>IFERROR(VLOOKUP(F1019,CARTON_LOOKUP!$A:$E,2,0),"")</f>
      </c>
      <c r="K1019" s="29">
        <f>IFERROR(J1019*D1019,0)</f>
      </c>
      <c r="L1019" s="29">
        <f>IFERROR(E1019*C1019,0)</f>
      </c>
      <c r="M1019" s="29">
        <f>IFERROR((G1019*H1019*I1019/1000000)*D1019,0)</f>
      </c>
    </row>
    <row r="1020" spans="1:13" x14ac:dyDescent="0.25">
      <c r="A1020" s="16"/>
      <c r="E1020" s="27"/>
      <c r="F1020" t="s">
        <v>26</v>
      </c>
      <c r="G1020" s="28">
        <f>IFERROR(VLOOKUP(F1020,CARTON_LOOKUP!$A:$E,3,0),"")</f>
      </c>
      <c r="H1020" s="28">
        <f>IFERROR(VLOOKUP(F1020,CARTON_LOOKUP!$A:$E,4,0),"")</f>
      </c>
      <c r="I1020" s="28">
        <f>IFERROR(VLOOKUP(F1020,CARTON_LOOKUP!$A:$E,5,0),"")</f>
      </c>
      <c r="J1020" s="29">
        <f>IFERROR(VLOOKUP(F1020,CARTON_LOOKUP!$A:$E,2,0),"")</f>
      </c>
      <c r="K1020" s="29">
        <f>IFERROR(J1020*D1020,0)</f>
      </c>
      <c r="L1020" s="29">
        <f>IFERROR(E1020*C1020,0)</f>
      </c>
      <c r="M1020" s="29">
        <f>IFERROR((G1020*H1020*I1020/1000000)*D1020,0)</f>
      </c>
    </row>
    <row r="1021" spans="1:13" x14ac:dyDescent="0.25">
      <c r="A1021" s="16"/>
      <c r="E1021" s="27"/>
      <c r="F1021" t="s">
        <v>26</v>
      </c>
      <c r="G1021" s="28">
        <f>IFERROR(VLOOKUP(F1021,CARTON_LOOKUP!$A:$E,3,0),"")</f>
      </c>
      <c r="H1021" s="28">
        <f>IFERROR(VLOOKUP(F1021,CARTON_LOOKUP!$A:$E,4,0),"")</f>
      </c>
      <c r="I1021" s="28">
        <f>IFERROR(VLOOKUP(F1021,CARTON_LOOKUP!$A:$E,5,0),"")</f>
      </c>
      <c r="J1021" s="29">
        <f>IFERROR(VLOOKUP(F1021,CARTON_LOOKUP!$A:$E,2,0),"")</f>
      </c>
      <c r="K1021" s="29">
        <f>IFERROR(J1021*D1021,0)</f>
      </c>
      <c r="L1021" s="29">
        <f>IFERROR(E1021*C1021,0)</f>
      </c>
      <c r="M1021" s="29">
        <f>IFERROR((G1021*H1021*I1021/1000000)*D1021,0)</f>
      </c>
    </row>
    <row r="1022" spans="1:13" x14ac:dyDescent="0.25">
      <c r="A1022" s="16"/>
      <c r="E1022" s="27"/>
      <c r="F1022" t="s">
        <v>26</v>
      </c>
      <c r="G1022" s="28">
        <f>IFERROR(VLOOKUP(F1022,CARTON_LOOKUP!$A:$E,3,0),"")</f>
      </c>
      <c r="H1022" s="28">
        <f>IFERROR(VLOOKUP(F1022,CARTON_LOOKUP!$A:$E,4,0),"")</f>
      </c>
      <c r="I1022" s="28">
        <f>IFERROR(VLOOKUP(F1022,CARTON_LOOKUP!$A:$E,5,0),"")</f>
      </c>
      <c r="J1022" s="29">
        <f>IFERROR(VLOOKUP(F1022,CARTON_LOOKUP!$A:$E,2,0),"")</f>
      </c>
      <c r="K1022" s="29">
        <f>IFERROR(J1022*D1022,0)</f>
      </c>
      <c r="L1022" s="29">
        <f>IFERROR(E1022*C1022,0)</f>
      </c>
      <c r="M1022" s="29">
        <f>IFERROR((G1022*H1022*I1022/1000000)*D1022,0)</f>
      </c>
    </row>
    <row r="1023" spans="1:13" x14ac:dyDescent="0.25">
      <c r="A1023" s="16"/>
      <c r="E1023" s="27"/>
      <c r="F1023" t="s">
        <v>26</v>
      </c>
      <c r="G1023" s="28">
        <f>IFERROR(VLOOKUP(F1023,CARTON_LOOKUP!$A:$E,3,0),"")</f>
      </c>
      <c r="H1023" s="28">
        <f>IFERROR(VLOOKUP(F1023,CARTON_LOOKUP!$A:$E,4,0),"")</f>
      </c>
      <c r="I1023" s="28">
        <f>IFERROR(VLOOKUP(F1023,CARTON_LOOKUP!$A:$E,5,0),"")</f>
      </c>
      <c r="J1023" s="29">
        <f>IFERROR(VLOOKUP(F1023,CARTON_LOOKUP!$A:$E,2,0),"")</f>
      </c>
      <c r="K1023" s="29">
        <f>IFERROR(J1023*D1023,0)</f>
      </c>
      <c r="L1023" s="29">
        <f>IFERROR(E1023*C1023,0)</f>
      </c>
      <c r="M1023" s="29">
        <f>IFERROR((G1023*H1023*I1023/1000000)*D1023,0)</f>
      </c>
    </row>
    <row r="1024" spans="1:13" x14ac:dyDescent="0.25">
      <c r="A1024" s="16"/>
      <c r="E1024" s="27"/>
      <c r="F1024" t="s">
        <v>26</v>
      </c>
      <c r="G1024" s="28">
        <f>IFERROR(VLOOKUP(F1024,CARTON_LOOKUP!$A:$E,3,0),"")</f>
      </c>
      <c r="H1024" s="28">
        <f>IFERROR(VLOOKUP(F1024,CARTON_LOOKUP!$A:$E,4,0),"")</f>
      </c>
      <c r="I1024" s="28">
        <f>IFERROR(VLOOKUP(F1024,CARTON_LOOKUP!$A:$E,5,0),"")</f>
      </c>
      <c r="J1024" s="29">
        <f>IFERROR(VLOOKUP(F1024,CARTON_LOOKUP!$A:$E,2,0),"")</f>
      </c>
      <c r="K1024" s="29">
        <f>IFERROR(J1024*D1024,0)</f>
      </c>
      <c r="L1024" s="29">
        <f>IFERROR(E1024*C1024,0)</f>
      </c>
      <c r="M1024" s="29">
        <f>IFERROR((G1024*H1024*I1024/1000000)*D1024,0)</f>
      </c>
    </row>
    <row r="1025" spans="1:13" x14ac:dyDescent="0.25">
      <c r="A1025" s="16"/>
      <c r="E1025" s="27"/>
      <c r="F1025" t="s">
        <v>26</v>
      </c>
      <c r="G1025" s="28">
        <f>IFERROR(VLOOKUP(F1025,CARTON_LOOKUP!$A:$E,3,0),"")</f>
      </c>
      <c r="H1025" s="28">
        <f>IFERROR(VLOOKUP(F1025,CARTON_LOOKUP!$A:$E,4,0),"")</f>
      </c>
      <c r="I1025" s="28">
        <f>IFERROR(VLOOKUP(F1025,CARTON_LOOKUP!$A:$E,5,0),"")</f>
      </c>
      <c r="J1025" s="29">
        <f>IFERROR(VLOOKUP(F1025,CARTON_LOOKUP!$A:$E,2,0),"")</f>
      </c>
      <c r="K1025" s="29">
        <f>IFERROR(J1025*D1025,0)</f>
      </c>
      <c r="L1025" s="29">
        <f>IFERROR(E1025*C1025,0)</f>
      </c>
      <c r="M1025" s="29">
        <f>IFERROR((G1025*H1025*I1025/1000000)*D1025,0)</f>
      </c>
    </row>
    <row r="1026" spans="1:13" x14ac:dyDescent="0.25">
      <c r="A1026" s="16"/>
      <c r="E1026" s="27"/>
      <c r="F1026" t="s">
        <v>26</v>
      </c>
      <c r="G1026" s="28">
        <f>IFERROR(VLOOKUP(F1026,CARTON_LOOKUP!$A:$E,3,0),"")</f>
      </c>
      <c r="H1026" s="28">
        <f>IFERROR(VLOOKUP(F1026,CARTON_LOOKUP!$A:$E,4,0),"")</f>
      </c>
      <c r="I1026" s="28">
        <f>IFERROR(VLOOKUP(F1026,CARTON_LOOKUP!$A:$E,5,0),"")</f>
      </c>
      <c r="J1026" s="29">
        <f>IFERROR(VLOOKUP(F1026,CARTON_LOOKUP!$A:$E,2,0),"")</f>
      </c>
      <c r="K1026" s="29">
        <f>IFERROR(J1026*D1026,0)</f>
      </c>
      <c r="L1026" s="29">
        <f>IFERROR(E1026*C1026,0)</f>
      </c>
      <c r="M1026" s="29">
        <f>IFERROR((G1026*H1026*I1026/1000000)*D1026,0)</f>
      </c>
    </row>
    <row r="1027" spans="1:13" x14ac:dyDescent="0.25">
      <c r="A1027" s="16"/>
      <c r="E1027" s="27"/>
      <c r="F1027" t="s">
        <v>26</v>
      </c>
      <c r="G1027" s="28">
        <f>IFERROR(VLOOKUP(F1027,CARTON_LOOKUP!$A:$E,3,0),"")</f>
      </c>
      <c r="H1027" s="28">
        <f>IFERROR(VLOOKUP(F1027,CARTON_LOOKUP!$A:$E,4,0),"")</f>
      </c>
      <c r="I1027" s="28">
        <f>IFERROR(VLOOKUP(F1027,CARTON_LOOKUP!$A:$E,5,0),"")</f>
      </c>
      <c r="J1027" s="29">
        <f>IFERROR(VLOOKUP(F1027,CARTON_LOOKUP!$A:$E,2,0),"")</f>
      </c>
      <c r="K1027" s="29">
        <f>IFERROR(J1027*D1027,0)</f>
      </c>
      <c r="L1027" s="29">
        <f>IFERROR(E1027*C1027,0)</f>
      </c>
      <c r="M1027" s="29">
        <f>IFERROR((G1027*H1027*I1027/1000000)*D1027,0)</f>
      </c>
    </row>
    <row r="1028" spans="1:13" x14ac:dyDescent="0.25">
      <c r="A1028" s="16"/>
      <c r="E1028" s="27"/>
      <c r="F1028" t="s">
        <v>26</v>
      </c>
      <c r="G1028" s="28">
        <f>IFERROR(VLOOKUP(F1028,CARTON_LOOKUP!$A:$E,3,0),"")</f>
      </c>
      <c r="H1028" s="28">
        <f>IFERROR(VLOOKUP(F1028,CARTON_LOOKUP!$A:$E,4,0),"")</f>
      </c>
      <c r="I1028" s="28">
        <f>IFERROR(VLOOKUP(F1028,CARTON_LOOKUP!$A:$E,5,0),"")</f>
      </c>
      <c r="J1028" s="29">
        <f>IFERROR(VLOOKUP(F1028,CARTON_LOOKUP!$A:$E,2,0),"")</f>
      </c>
      <c r="K1028" s="29">
        <f>IFERROR(J1028*D1028,0)</f>
      </c>
      <c r="L1028" s="29">
        <f>IFERROR(E1028*C1028,0)</f>
      </c>
      <c r="M1028" s="29">
        <f>IFERROR((G1028*H1028*I1028/1000000)*D1028,0)</f>
      </c>
    </row>
    <row r="1029" spans="1:13" x14ac:dyDescent="0.25">
      <c r="A1029" s="16"/>
      <c r="E1029" s="27"/>
      <c r="F1029" t="s">
        <v>26</v>
      </c>
      <c r="G1029" s="28">
        <f>IFERROR(VLOOKUP(F1029,CARTON_LOOKUP!$A:$E,3,0),"")</f>
      </c>
      <c r="H1029" s="28">
        <f>IFERROR(VLOOKUP(F1029,CARTON_LOOKUP!$A:$E,4,0),"")</f>
      </c>
      <c r="I1029" s="28">
        <f>IFERROR(VLOOKUP(F1029,CARTON_LOOKUP!$A:$E,5,0),"")</f>
      </c>
      <c r="J1029" s="29">
        <f>IFERROR(VLOOKUP(F1029,CARTON_LOOKUP!$A:$E,2,0),"")</f>
      </c>
      <c r="K1029" s="29">
        <f>IFERROR(J1029*D1029,0)</f>
      </c>
      <c r="L1029" s="29">
        <f>IFERROR(E1029*C1029,0)</f>
      </c>
      <c r="M1029" s="29">
        <f>IFERROR((G1029*H1029*I1029/1000000)*D1029,0)</f>
      </c>
    </row>
    <row r="1030" spans="1:13" x14ac:dyDescent="0.25">
      <c r="A1030" s="16"/>
      <c r="E1030" s="27"/>
      <c r="F1030" t="s">
        <v>26</v>
      </c>
      <c r="G1030" s="28">
        <f>IFERROR(VLOOKUP(F1030,CARTON_LOOKUP!$A:$E,3,0),"")</f>
      </c>
      <c r="H1030" s="28">
        <f>IFERROR(VLOOKUP(F1030,CARTON_LOOKUP!$A:$E,4,0),"")</f>
      </c>
      <c r="I1030" s="28">
        <f>IFERROR(VLOOKUP(F1030,CARTON_LOOKUP!$A:$E,5,0),"")</f>
      </c>
      <c r="J1030" s="29">
        <f>IFERROR(VLOOKUP(F1030,CARTON_LOOKUP!$A:$E,2,0),"")</f>
      </c>
      <c r="K1030" s="29">
        <f>IFERROR(J1030*D1030,0)</f>
      </c>
      <c r="L1030" s="29">
        <f>IFERROR(E1030*C1030,0)</f>
      </c>
      <c r="M1030" s="29">
        <f>IFERROR((G1030*H1030*I1030/1000000)*D1030,0)</f>
      </c>
    </row>
    <row r="1031" spans="1:13" x14ac:dyDescent="0.25">
      <c r="A1031" s="16"/>
      <c r="E1031" s="27"/>
      <c r="F1031" t="s">
        <v>26</v>
      </c>
      <c r="G1031" s="28">
        <f>IFERROR(VLOOKUP(F1031,CARTON_LOOKUP!$A:$E,3,0),"")</f>
      </c>
      <c r="H1031" s="28">
        <f>IFERROR(VLOOKUP(F1031,CARTON_LOOKUP!$A:$E,4,0),"")</f>
      </c>
      <c r="I1031" s="28">
        <f>IFERROR(VLOOKUP(F1031,CARTON_LOOKUP!$A:$E,5,0),"")</f>
      </c>
      <c r="J1031" s="29">
        <f>IFERROR(VLOOKUP(F1031,CARTON_LOOKUP!$A:$E,2,0),"")</f>
      </c>
      <c r="K1031" s="29">
        <f>IFERROR(J1031*D1031,0)</f>
      </c>
      <c r="L1031" s="29">
        <f>IFERROR(E1031*C1031,0)</f>
      </c>
      <c r="M1031" s="29">
        <f>IFERROR((G1031*H1031*I1031/1000000)*D1031,0)</f>
      </c>
    </row>
    <row r="1032" spans="1:13" x14ac:dyDescent="0.25">
      <c r="A1032" s="16"/>
      <c r="E1032" s="27"/>
      <c r="F1032" t="s">
        <v>26</v>
      </c>
      <c r="G1032" s="28">
        <f>IFERROR(VLOOKUP(F1032,CARTON_LOOKUP!$A:$E,3,0),"")</f>
      </c>
      <c r="H1032" s="28">
        <f>IFERROR(VLOOKUP(F1032,CARTON_LOOKUP!$A:$E,4,0),"")</f>
      </c>
      <c r="I1032" s="28">
        <f>IFERROR(VLOOKUP(F1032,CARTON_LOOKUP!$A:$E,5,0),"")</f>
      </c>
      <c r="J1032" s="29">
        <f>IFERROR(VLOOKUP(F1032,CARTON_LOOKUP!$A:$E,2,0),"")</f>
      </c>
      <c r="K1032" s="29">
        <f>IFERROR(J1032*D1032,0)</f>
      </c>
      <c r="L1032" s="29">
        <f>IFERROR(E1032*C1032,0)</f>
      </c>
      <c r="M1032" s="29">
        <f>IFERROR((G1032*H1032*I1032/1000000)*D1032,0)</f>
      </c>
    </row>
    <row r="1033" spans="1:13" x14ac:dyDescent="0.25">
      <c r="A1033" s="16"/>
      <c r="E1033" s="27"/>
      <c r="F1033" t="s">
        <v>26</v>
      </c>
      <c r="G1033" s="28">
        <f>IFERROR(VLOOKUP(F1033,CARTON_LOOKUP!$A:$E,3,0),"")</f>
      </c>
      <c r="H1033" s="28">
        <f>IFERROR(VLOOKUP(F1033,CARTON_LOOKUP!$A:$E,4,0),"")</f>
      </c>
      <c r="I1033" s="28">
        <f>IFERROR(VLOOKUP(F1033,CARTON_LOOKUP!$A:$E,5,0),"")</f>
      </c>
      <c r="J1033" s="29">
        <f>IFERROR(VLOOKUP(F1033,CARTON_LOOKUP!$A:$E,2,0),"")</f>
      </c>
      <c r="K1033" s="29">
        <f>IFERROR(J1033*D1033,0)</f>
      </c>
      <c r="L1033" s="29">
        <f>IFERROR(E1033*C1033,0)</f>
      </c>
      <c r="M1033" s="29">
        <f>IFERROR((G1033*H1033*I1033/1000000)*D1033,0)</f>
      </c>
    </row>
    <row r="1034" spans="1:13" x14ac:dyDescent="0.25">
      <c r="A1034" s="16"/>
      <c r="E1034" s="27"/>
      <c r="F1034" t="s">
        <v>26</v>
      </c>
      <c r="G1034" s="28">
        <f>IFERROR(VLOOKUP(F1034,CARTON_LOOKUP!$A:$E,3,0),"")</f>
      </c>
      <c r="H1034" s="28">
        <f>IFERROR(VLOOKUP(F1034,CARTON_LOOKUP!$A:$E,4,0),"")</f>
      </c>
      <c r="I1034" s="28">
        <f>IFERROR(VLOOKUP(F1034,CARTON_LOOKUP!$A:$E,5,0),"")</f>
      </c>
      <c r="J1034" s="29">
        <f>IFERROR(VLOOKUP(F1034,CARTON_LOOKUP!$A:$E,2,0),"")</f>
      </c>
      <c r="K1034" s="29">
        <f>IFERROR(J1034*D1034,0)</f>
      </c>
      <c r="L1034" s="29">
        <f>IFERROR(E1034*C1034,0)</f>
      </c>
      <c r="M1034" s="29">
        <f>IFERROR((G1034*H1034*I1034/1000000)*D1034,0)</f>
      </c>
    </row>
    <row r="1035" spans="1:13" x14ac:dyDescent="0.25">
      <c r="A1035" s="16"/>
      <c r="E1035" s="27"/>
      <c r="F1035" t="s">
        <v>26</v>
      </c>
      <c r="G1035" s="28">
        <f>IFERROR(VLOOKUP(F1035,CARTON_LOOKUP!$A:$E,3,0),"")</f>
      </c>
      <c r="H1035" s="28">
        <f>IFERROR(VLOOKUP(F1035,CARTON_LOOKUP!$A:$E,4,0),"")</f>
      </c>
      <c r="I1035" s="28">
        <f>IFERROR(VLOOKUP(F1035,CARTON_LOOKUP!$A:$E,5,0),"")</f>
      </c>
      <c r="J1035" s="29">
        <f>IFERROR(VLOOKUP(F1035,CARTON_LOOKUP!$A:$E,2,0),"")</f>
      </c>
      <c r="K1035" s="29">
        <f>IFERROR(J1035*D1035,0)</f>
      </c>
      <c r="L1035" s="29">
        <f>IFERROR(E1035*C1035,0)</f>
      </c>
      <c r="M1035" s="29">
        <f>IFERROR((G1035*H1035*I1035/1000000)*D1035,0)</f>
      </c>
    </row>
    <row r="1036" spans="1:13" x14ac:dyDescent="0.25">
      <c r="A1036" s="16"/>
      <c r="E1036" s="27"/>
      <c r="F1036" t="s">
        <v>26</v>
      </c>
      <c r="G1036" s="28">
        <f>IFERROR(VLOOKUP(F1036,CARTON_LOOKUP!$A:$E,3,0),"")</f>
      </c>
      <c r="H1036" s="28">
        <f>IFERROR(VLOOKUP(F1036,CARTON_LOOKUP!$A:$E,4,0),"")</f>
      </c>
      <c r="I1036" s="28">
        <f>IFERROR(VLOOKUP(F1036,CARTON_LOOKUP!$A:$E,5,0),"")</f>
      </c>
      <c r="J1036" s="29">
        <f>IFERROR(VLOOKUP(F1036,CARTON_LOOKUP!$A:$E,2,0),"")</f>
      </c>
      <c r="K1036" s="29">
        <f>IFERROR(J1036*D1036,0)</f>
      </c>
      <c r="L1036" s="29">
        <f>IFERROR(E1036*C1036,0)</f>
      </c>
      <c r="M1036" s="29">
        <f>IFERROR((G1036*H1036*I1036/1000000)*D1036,0)</f>
      </c>
    </row>
    <row r="1037" spans="1:13" x14ac:dyDescent="0.25">
      <c r="A1037" s="16"/>
      <c r="E1037" s="27"/>
      <c r="F1037" t="s">
        <v>26</v>
      </c>
      <c r="G1037" s="28">
        <f>IFERROR(VLOOKUP(F1037,CARTON_LOOKUP!$A:$E,3,0),"")</f>
      </c>
      <c r="H1037" s="28">
        <f>IFERROR(VLOOKUP(F1037,CARTON_LOOKUP!$A:$E,4,0),"")</f>
      </c>
      <c r="I1037" s="28">
        <f>IFERROR(VLOOKUP(F1037,CARTON_LOOKUP!$A:$E,5,0),"")</f>
      </c>
      <c r="J1037" s="29">
        <f>IFERROR(VLOOKUP(F1037,CARTON_LOOKUP!$A:$E,2,0),"")</f>
      </c>
      <c r="K1037" s="29">
        <f>IFERROR(J1037*D1037,0)</f>
      </c>
      <c r="L1037" s="29">
        <f>IFERROR(E1037*C1037,0)</f>
      </c>
      <c r="M1037" s="29">
        <f>IFERROR((G1037*H1037*I1037/1000000)*D1037,0)</f>
      </c>
    </row>
    <row r="1038" spans="1:13" x14ac:dyDescent="0.25">
      <c r="A1038" s="16"/>
      <c r="E1038" s="27"/>
      <c r="F1038" t="s">
        <v>26</v>
      </c>
      <c r="G1038" s="28">
        <f>IFERROR(VLOOKUP(F1038,CARTON_LOOKUP!$A:$E,3,0),"")</f>
      </c>
      <c r="H1038" s="28">
        <f>IFERROR(VLOOKUP(F1038,CARTON_LOOKUP!$A:$E,4,0),"")</f>
      </c>
      <c r="I1038" s="28">
        <f>IFERROR(VLOOKUP(F1038,CARTON_LOOKUP!$A:$E,5,0),"")</f>
      </c>
      <c r="J1038" s="29">
        <f>IFERROR(VLOOKUP(F1038,CARTON_LOOKUP!$A:$E,2,0),"")</f>
      </c>
      <c r="K1038" s="29">
        <f>IFERROR(J1038*D1038,0)</f>
      </c>
      <c r="L1038" s="29">
        <f>IFERROR(E1038*C1038,0)</f>
      </c>
      <c r="M1038" s="29">
        <f>IFERROR((G1038*H1038*I1038/1000000)*D1038,0)</f>
      </c>
    </row>
    <row r="1039" spans="1:13" x14ac:dyDescent="0.25">
      <c r="A1039" s="16"/>
      <c r="E1039" s="27"/>
      <c r="F1039" t="s">
        <v>26</v>
      </c>
      <c r="G1039" s="28">
        <f>IFERROR(VLOOKUP(F1039,CARTON_LOOKUP!$A:$E,3,0),"")</f>
      </c>
      <c r="H1039" s="28">
        <f>IFERROR(VLOOKUP(F1039,CARTON_LOOKUP!$A:$E,4,0),"")</f>
      </c>
      <c r="I1039" s="28">
        <f>IFERROR(VLOOKUP(F1039,CARTON_LOOKUP!$A:$E,5,0),"")</f>
      </c>
      <c r="J1039" s="29">
        <f>IFERROR(VLOOKUP(F1039,CARTON_LOOKUP!$A:$E,2,0),"")</f>
      </c>
      <c r="K1039" s="29">
        <f>IFERROR(J1039*D1039,0)</f>
      </c>
      <c r="L1039" s="29">
        <f>IFERROR(E1039*C1039,0)</f>
      </c>
      <c r="M1039" s="29">
        <f>IFERROR((G1039*H1039*I1039/1000000)*D1039,0)</f>
      </c>
    </row>
    <row r="1040" spans="1:13" x14ac:dyDescent="0.25">
      <c r="A1040" s="16"/>
      <c r="E1040" s="27"/>
      <c r="F1040" t="s">
        <v>26</v>
      </c>
      <c r="G1040" s="28">
        <f>IFERROR(VLOOKUP(F1040,CARTON_LOOKUP!$A:$E,3,0),"")</f>
      </c>
      <c r="H1040" s="28">
        <f>IFERROR(VLOOKUP(F1040,CARTON_LOOKUP!$A:$E,4,0),"")</f>
      </c>
      <c r="I1040" s="28">
        <f>IFERROR(VLOOKUP(F1040,CARTON_LOOKUP!$A:$E,5,0),"")</f>
      </c>
      <c r="J1040" s="29">
        <f>IFERROR(VLOOKUP(F1040,CARTON_LOOKUP!$A:$E,2,0),"")</f>
      </c>
      <c r="K1040" s="29">
        <f>IFERROR(J1040*D1040,0)</f>
      </c>
      <c r="L1040" s="29">
        <f>IFERROR(E1040*C1040,0)</f>
      </c>
      <c r="M1040" s="29">
        <f>IFERROR((G1040*H1040*I1040/1000000)*D1040,0)</f>
      </c>
    </row>
    <row r="1041" spans="1:13" x14ac:dyDescent="0.25">
      <c r="A1041" s="16"/>
      <c r="E1041" s="27"/>
      <c r="F1041" t="s">
        <v>26</v>
      </c>
      <c r="G1041" s="28">
        <f>IFERROR(VLOOKUP(F1041,CARTON_LOOKUP!$A:$E,3,0),"")</f>
      </c>
      <c r="H1041" s="28">
        <f>IFERROR(VLOOKUP(F1041,CARTON_LOOKUP!$A:$E,4,0),"")</f>
      </c>
      <c r="I1041" s="28">
        <f>IFERROR(VLOOKUP(F1041,CARTON_LOOKUP!$A:$E,5,0),"")</f>
      </c>
      <c r="J1041" s="29">
        <f>IFERROR(VLOOKUP(F1041,CARTON_LOOKUP!$A:$E,2,0),"")</f>
      </c>
      <c r="K1041" s="29">
        <f>IFERROR(J1041*D1041,0)</f>
      </c>
      <c r="L1041" s="29">
        <f>IFERROR(E1041*C1041,0)</f>
      </c>
      <c r="M1041" s="29">
        <f>IFERROR((G1041*H1041*I1041/1000000)*D1041,0)</f>
      </c>
    </row>
    <row r="1042" spans="1:13" x14ac:dyDescent="0.25">
      <c r="A1042" s="16"/>
      <c r="E1042" s="27"/>
      <c r="F1042" t="s">
        <v>26</v>
      </c>
      <c r="G1042" s="28">
        <f>IFERROR(VLOOKUP(F1042,CARTON_LOOKUP!$A:$E,3,0),"")</f>
      </c>
      <c r="H1042" s="28">
        <f>IFERROR(VLOOKUP(F1042,CARTON_LOOKUP!$A:$E,4,0),"")</f>
      </c>
      <c r="I1042" s="28">
        <f>IFERROR(VLOOKUP(F1042,CARTON_LOOKUP!$A:$E,5,0),"")</f>
      </c>
      <c r="J1042" s="29">
        <f>IFERROR(VLOOKUP(F1042,CARTON_LOOKUP!$A:$E,2,0),"")</f>
      </c>
      <c r="K1042" s="29">
        <f>IFERROR(J1042*D1042,0)</f>
      </c>
      <c r="L1042" s="29">
        <f>IFERROR(E1042*C1042,0)</f>
      </c>
      <c r="M1042" s="29">
        <f>IFERROR((G1042*H1042*I1042/1000000)*D1042,0)</f>
      </c>
    </row>
    <row r="1043" spans="1:13" x14ac:dyDescent="0.25">
      <c r="A1043" s="16"/>
      <c r="E1043" s="27"/>
      <c r="F1043" t="s">
        <v>26</v>
      </c>
      <c r="G1043" s="28">
        <f>IFERROR(VLOOKUP(F1043,CARTON_LOOKUP!$A:$E,3,0),"")</f>
      </c>
      <c r="H1043" s="28">
        <f>IFERROR(VLOOKUP(F1043,CARTON_LOOKUP!$A:$E,4,0),"")</f>
      </c>
      <c r="I1043" s="28">
        <f>IFERROR(VLOOKUP(F1043,CARTON_LOOKUP!$A:$E,5,0),"")</f>
      </c>
      <c r="J1043" s="29">
        <f>IFERROR(VLOOKUP(F1043,CARTON_LOOKUP!$A:$E,2,0),"")</f>
      </c>
      <c r="K1043" s="29">
        <f>IFERROR(J1043*D1043,0)</f>
      </c>
      <c r="L1043" s="29">
        <f>IFERROR(E1043*C1043,0)</f>
      </c>
      <c r="M1043" s="29">
        <f>IFERROR((G1043*H1043*I1043/1000000)*D1043,0)</f>
      </c>
    </row>
    <row r="1044" spans="1:13" x14ac:dyDescent="0.25">
      <c r="A1044" s="16"/>
      <c r="E1044" s="27"/>
      <c r="F1044" t="s">
        <v>26</v>
      </c>
      <c r="G1044" s="28">
        <f>IFERROR(VLOOKUP(F1044,CARTON_LOOKUP!$A:$E,3,0),"")</f>
      </c>
      <c r="H1044" s="28">
        <f>IFERROR(VLOOKUP(F1044,CARTON_LOOKUP!$A:$E,4,0),"")</f>
      </c>
      <c r="I1044" s="28">
        <f>IFERROR(VLOOKUP(F1044,CARTON_LOOKUP!$A:$E,5,0),"")</f>
      </c>
      <c r="J1044" s="29">
        <f>IFERROR(VLOOKUP(F1044,CARTON_LOOKUP!$A:$E,2,0),"")</f>
      </c>
      <c r="K1044" s="29">
        <f>IFERROR(J1044*D1044,0)</f>
      </c>
      <c r="L1044" s="29">
        <f>IFERROR(E1044*C1044,0)</f>
      </c>
      <c r="M1044" s="29">
        <f>IFERROR((G1044*H1044*I1044/1000000)*D1044,0)</f>
      </c>
    </row>
    <row r="1045" spans="1:13" x14ac:dyDescent="0.25">
      <c r="A1045" s="16"/>
      <c r="E1045" s="27"/>
      <c r="F1045" t="s">
        <v>26</v>
      </c>
      <c r="G1045" s="28">
        <f>IFERROR(VLOOKUP(F1045,CARTON_LOOKUP!$A:$E,3,0),"")</f>
      </c>
      <c r="H1045" s="28">
        <f>IFERROR(VLOOKUP(F1045,CARTON_LOOKUP!$A:$E,4,0),"")</f>
      </c>
      <c r="I1045" s="28">
        <f>IFERROR(VLOOKUP(F1045,CARTON_LOOKUP!$A:$E,5,0),"")</f>
      </c>
      <c r="J1045" s="29">
        <f>IFERROR(VLOOKUP(F1045,CARTON_LOOKUP!$A:$E,2,0),"")</f>
      </c>
      <c r="K1045" s="29">
        <f>IFERROR(J1045*D1045,0)</f>
      </c>
      <c r="L1045" s="29">
        <f>IFERROR(E1045*C1045,0)</f>
      </c>
      <c r="M1045" s="29">
        <f>IFERROR((G1045*H1045*I1045/1000000)*D1045,0)</f>
      </c>
    </row>
    <row r="1046" spans="1:13" x14ac:dyDescent="0.25">
      <c r="A1046" s="16"/>
      <c r="E1046" s="27"/>
      <c r="F1046" t="s">
        <v>26</v>
      </c>
      <c r="G1046" s="28">
        <f>IFERROR(VLOOKUP(F1046,CARTON_LOOKUP!$A:$E,3,0),"")</f>
      </c>
      <c r="H1046" s="28">
        <f>IFERROR(VLOOKUP(F1046,CARTON_LOOKUP!$A:$E,4,0),"")</f>
      </c>
      <c r="I1046" s="28">
        <f>IFERROR(VLOOKUP(F1046,CARTON_LOOKUP!$A:$E,5,0),"")</f>
      </c>
      <c r="J1046" s="29">
        <f>IFERROR(VLOOKUP(F1046,CARTON_LOOKUP!$A:$E,2,0),"")</f>
      </c>
      <c r="K1046" s="29">
        <f>IFERROR(J1046*D1046,0)</f>
      </c>
      <c r="L1046" s="29">
        <f>IFERROR(E1046*C1046,0)</f>
      </c>
      <c r="M1046" s="29">
        <f>IFERROR((G1046*H1046*I1046/1000000)*D1046,0)</f>
      </c>
    </row>
    <row r="1047" spans="1:13" x14ac:dyDescent="0.25">
      <c r="A1047" s="16"/>
      <c r="E1047" s="27"/>
      <c r="F1047" t="s">
        <v>26</v>
      </c>
      <c r="G1047" s="28">
        <f>IFERROR(VLOOKUP(F1047,CARTON_LOOKUP!$A:$E,3,0),"")</f>
      </c>
      <c r="H1047" s="28">
        <f>IFERROR(VLOOKUP(F1047,CARTON_LOOKUP!$A:$E,4,0),"")</f>
      </c>
      <c r="I1047" s="28">
        <f>IFERROR(VLOOKUP(F1047,CARTON_LOOKUP!$A:$E,5,0),"")</f>
      </c>
      <c r="J1047" s="29">
        <f>IFERROR(VLOOKUP(F1047,CARTON_LOOKUP!$A:$E,2,0),"")</f>
      </c>
      <c r="K1047" s="29">
        <f>IFERROR(J1047*D1047,0)</f>
      </c>
      <c r="L1047" s="29">
        <f>IFERROR(E1047*C1047,0)</f>
      </c>
      <c r="M1047" s="29">
        <f>IFERROR((G1047*H1047*I1047/1000000)*D1047,0)</f>
      </c>
    </row>
    <row r="1048" spans="1:13" x14ac:dyDescent="0.25">
      <c r="A1048" s="16"/>
      <c r="E1048" s="27"/>
      <c r="F1048" t="s">
        <v>26</v>
      </c>
      <c r="G1048" s="28">
        <f>IFERROR(VLOOKUP(F1048,CARTON_LOOKUP!$A:$E,3,0),"")</f>
      </c>
      <c r="H1048" s="28">
        <f>IFERROR(VLOOKUP(F1048,CARTON_LOOKUP!$A:$E,4,0),"")</f>
      </c>
      <c r="I1048" s="28">
        <f>IFERROR(VLOOKUP(F1048,CARTON_LOOKUP!$A:$E,5,0),"")</f>
      </c>
      <c r="J1048" s="29">
        <f>IFERROR(VLOOKUP(F1048,CARTON_LOOKUP!$A:$E,2,0),"")</f>
      </c>
      <c r="K1048" s="29">
        <f>IFERROR(J1048*D1048,0)</f>
      </c>
      <c r="L1048" s="29">
        <f>IFERROR(E1048*C1048,0)</f>
      </c>
      <c r="M1048" s="29">
        <f>IFERROR((G1048*H1048*I1048/1000000)*D1048,0)</f>
      </c>
    </row>
    <row r="1049" spans="1:13" x14ac:dyDescent="0.25">
      <c r="A1049" s="16"/>
      <c r="E1049" s="27"/>
      <c r="F1049" t="s">
        <v>26</v>
      </c>
      <c r="G1049" s="28">
        <f>IFERROR(VLOOKUP(F1049,CARTON_LOOKUP!$A:$E,3,0),"")</f>
      </c>
      <c r="H1049" s="28">
        <f>IFERROR(VLOOKUP(F1049,CARTON_LOOKUP!$A:$E,4,0),"")</f>
      </c>
      <c r="I1049" s="28">
        <f>IFERROR(VLOOKUP(F1049,CARTON_LOOKUP!$A:$E,5,0),"")</f>
      </c>
      <c r="J1049" s="29">
        <f>IFERROR(VLOOKUP(F1049,CARTON_LOOKUP!$A:$E,2,0),"")</f>
      </c>
      <c r="K1049" s="29">
        <f>IFERROR(J1049*D1049,0)</f>
      </c>
      <c r="L1049" s="29">
        <f>IFERROR(E1049*C1049,0)</f>
      </c>
      <c r="M1049" s="29">
        <f>IFERROR((G1049*H1049*I1049/1000000)*D1049,0)</f>
      </c>
    </row>
    <row r="1050" spans="1:13" x14ac:dyDescent="0.25">
      <c r="A1050" s="16"/>
      <c r="E1050" s="27"/>
      <c r="F1050" t="s">
        <v>26</v>
      </c>
      <c r="G1050" s="28">
        <f>IFERROR(VLOOKUP(F1050,CARTON_LOOKUP!$A:$E,3,0),"")</f>
      </c>
      <c r="H1050" s="28">
        <f>IFERROR(VLOOKUP(F1050,CARTON_LOOKUP!$A:$E,4,0),"")</f>
      </c>
      <c r="I1050" s="28">
        <f>IFERROR(VLOOKUP(F1050,CARTON_LOOKUP!$A:$E,5,0),"")</f>
      </c>
      <c r="J1050" s="29">
        <f>IFERROR(VLOOKUP(F1050,CARTON_LOOKUP!$A:$E,2,0),"")</f>
      </c>
      <c r="K1050" s="29">
        <f>IFERROR(J1050*D1050,0)</f>
      </c>
      <c r="L1050" s="29">
        <f>IFERROR(E1050*C1050,0)</f>
      </c>
      <c r="M1050" s="29">
        <f>IFERROR((G1050*H1050*I1050/1000000)*D1050,0)</f>
      </c>
    </row>
    <row r="1051" spans="1:13" x14ac:dyDescent="0.25">
      <c r="A1051" s="16"/>
      <c r="E1051" s="27"/>
      <c r="F1051" t="s">
        <v>26</v>
      </c>
      <c r="G1051" s="28">
        <f>IFERROR(VLOOKUP(F1051,CARTON_LOOKUP!$A:$E,3,0),"")</f>
      </c>
      <c r="H1051" s="28">
        <f>IFERROR(VLOOKUP(F1051,CARTON_LOOKUP!$A:$E,4,0),"")</f>
      </c>
      <c r="I1051" s="28">
        <f>IFERROR(VLOOKUP(F1051,CARTON_LOOKUP!$A:$E,5,0),"")</f>
      </c>
      <c r="J1051" s="29">
        <f>IFERROR(VLOOKUP(F1051,CARTON_LOOKUP!$A:$E,2,0),"")</f>
      </c>
      <c r="K1051" s="29">
        <f>IFERROR(J1051*D1051,0)</f>
      </c>
      <c r="L1051" s="29">
        <f>IFERROR(E1051*C1051,0)</f>
      </c>
      <c r="M1051" s="29">
        <f>IFERROR((G1051*H1051*I1051/1000000)*D1051,0)</f>
      </c>
    </row>
    <row r="1052" spans="1:13" x14ac:dyDescent="0.25">
      <c r="A1052" s="16"/>
      <c r="E1052" s="27"/>
      <c r="F1052" t="s">
        <v>26</v>
      </c>
      <c r="G1052" s="28">
        <f>IFERROR(VLOOKUP(F1052,CARTON_LOOKUP!$A:$E,3,0),"")</f>
      </c>
      <c r="H1052" s="28">
        <f>IFERROR(VLOOKUP(F1052,CARTON_LOOKUP!$A:$E,4,0),"")</f>
      </c>
      <c r="I1052" s="28">
        <f>IFERROR(VLOOKUP(F1052,CARTON_LOOKUP!$A:$E,5,0),"")</f>
      </c>
      <c r="J1052" s="29">
        <f>IFERROR(VLOOKUP(F1052,CARTON_LOOKUP!$A:$E,2,0),"")</f>
      </c>
      <c r="K1052" s="29">
        <f>IFERROR(J1052*D1052,0)</f>
      </c>
      <c r="L1052" s="29">
        <f>IFERROR(E1052*C1052,0)</f>
      </c>
      <c r="M1052" s="29">
        <f>IFERROR((G1052*H1052*I1052/1000000)*D1052,0)</f>
      </c>
    </row>
    <row r="1053" spans="1:13" x14ac:dyDescent="0.25">
      <c r="A1053" s="16"/>
      <c r="E1053" s="27"/>
      <c r="F1053" t="s">
        <v>26</v>
      </c>
      <c r="G1053" s="28">
        <f>IFERROR(VLOOKUP(F1053,CARTON_LOOKUP!$A:$E,3,0),"")</f>
      </c>
      <c r="H1053" s="28">
        <f>IFERROR(VLOOKUP(F1053,CARTON_LOOKUP!$A:$E,4,0),"")</f>
      </c>
      <c r="I1053" s="28">
        <f>IFERROR(VLOOKUP(F1053,CARTON_LOOKUP!$A:$E,5,0),"")</f>
      </c>
      <c r="J1053" s="29">
        <f>IFERROR(VLOOKUP(F1053,CARTON_LOOKUP!$A:$E,2,0),"")</f>
      </c>
      <c r="K1053" s="29">
        <f>IFERROR(J1053*D1053,0)</f>
      </c>
      <c r="L1053" s="29">
        <f>IFERROR(E1053*C1053,0)</f>
      </c>
      <c r="M1053" s="29">
        <f>IFERROR((G1053*H1053*I1053/1000000)*D1053,0)</f>
      </c>
    </row>
    <row r="1054" spans="1:13" x14ac:dyDescent="0.25">
      <c r="A1054" s="16"/>
      <c r="E1054" s="27"/>
      <c r="F1054" t="s">
        <v>26</v>
      </c>
      <c r="G1054" s="28">
        <f>IFERROR(VLOOKUP(F1054,CARTON_LOOKUP!$A:$E,3,0),"")</f>
      </c>
      <c r="H1054" s="28">
        <f>IFERROR(VLOOKUP(F1054,CARTON_LOOKUP!$A:$E,4,0),"")</f>
      </c>
      <c r="I1054" s="28">
        <f>IFERROR(VLOOKUP(F1054,CARTON_LOOKUP!$A:$E,5,0),"")</f>
      </c>
      <c r="J1054" s="29">
        <f>IFERROR(VLOOKUP(F1054,CARTON_LOOKUP!$A:$E,2,0),"")</f>
      </c>
      <c r="K1054" s="29">
        <f>IFERROR(J1054*D1054,0)</f>
      </c>
      <c r="L1054" s="29">
        <f>IFERROR(E1054*C1054,0)</f>
      </c>
      <c r="M1054" s="29">
        <f>IFERROR((G1054*H1054*I1054/1000000)*D1054,0)</f>
      </c>
    </row>
    <row r="1055" spans="1:13" x14ac:dyDescent="0.25">
      <c r="A1055" s="16"/>
      <c r="E1055" s="27"/>
      <c r="F1055" t="s">
        <v>26</v>
      </c>
      <c r="G1055" s="28">
        <f>IFERROR(VLOOKUP(F1055,CARTON_LOOKUP!$A:$E,3,0),"")</f>
      </c>
      <c r="H1055" s="28">
        <f>IFERROR(VLOOKUP(F1055,CARTON_LOOKUP!$A:$E,4,0),"")</f>
      </c>
      <c r="I1055" s="28">
        <f>IFERROR(VLOOKUP(F1055,CARTON_LOOKUP!$A:$E,5,0),"")</f>
      </c>
      <c r="J1055" s="29">
        <f>IFERROR(VLOOKUP(F1055,CARTON_LOOKUP!$A:$E,2,0),"")</f>
      </c>
      <c r="K1055" s="29">
        <f>IFERROR(J1055*D1055,0)</f>
      </c>
      <c r="L1055" s="29">
        <f>IFERROR(E1055*C1055,0)</f>
      </c>
      <c r="M1055" s="29">
        <f>IFERROR((G1055*H1055*I1055/1000000)*D1055,0)</f>
      </c>
    </row>
    <row r="1056" spans="1:13" x14ac:dyDescent="0.25">
      <c r="A1056" s="16"/>
      <c r="E1056" s="27"/>
      <c r="F1056" t="s">
        <v>26</v>
      </c>
      <c r="G1056" s="28">
        <f>IFERROR(VLOOKUP(F1056,CARTON_LOOKUP!$A:$E,3,0),"")</f>
      </c>
      <c r="H1056" s="28">
        <f>IFERROR(VLOOKUP(F1056,CARTON_LOOKUP!$A:$E,4,0),"")</f>
      </c>
      <c r="I1056" s="28">
        <f>IFERROR(VLOOKUP(F1056,CARTON_LOOKUP!$A:$E,5,0),"")</f>
      </c>
      <c r="J1056" s="29">
        <f>IFERROR(VLOOKUP(F1056,CARTON_LOOKUP!$A:$E,2,0),"")</f>
      </c>
      <c r="K1056" s="29">
        <f>IFERROR(J1056*D1056,0)</f>
      </c>
      <c r="L1056" s="29">
        <f>IFERROR(E1056*C1056,0)</f>
      </c>
      <c r="M1056" s="29">
        <f>IFERROR((G1056*H1056*I1056/1000000)*D1056,0)</f>
      </c>
    </row>
    <row r="1057" spans="1:13" x14ac:dyDescent="0.25">
      <c r="A1057" s="16"/>
      <c r="E1057" s="27"/>
      <c r="F1057" t="s">
        <v>26</v>
      </c>
      <c r="G1057" s="28">
        <f>IFERROR(VLOOKUP(F1057,CARTON_LOOKUP!$A:$E,3,0),"")</f>
      </c>
      <c r="H1057" s="28">
        <f>IFERROR(VLOOKUP(F1057,CARTON_LOOKUP!$A:$E,4,0),"")</f>
      </c>
      <c r="I1057" s="28">
        <f>IFERROR(VLOOKUP(F1057,CARTON_LOOKUP!$A:$E,5,0),"")</f>
      </c>
      <c r="J1057" s="29">
        <f>IFERROR(VLOOKUP(F1057,CARTON_LOOKUP!$A:$E,2,0),"")</f>
      </c>
      <c r="K1057" s="29">
        <f>IFERROR(J1057*D1057,0)</f>
      </c>
      <c r="L1057" s="29">
        <f>IFERROR(E1057*C1057,0)</f>
      </c>
      <c r="M1057" s="29">
        <f>IFERROR((G1057*H1057*I1057/1000000)*D1057,0)</f>
      </c>
    </row>
    <row r="1058" spans="1:13" x14ac:dyDescent="0.25">
      <c r="A1058" s="16"/>
      <c r="E1058" s="27"/>
      <c r="F1058" t="s">
        <v>26</v>
      </c>
      <c r="G1058" s="28">
        <f>IFERROR(VLOOKUP(F1058,CARTON_LOOKUP!$A:$E,3,0),"")</f>
      </c>
      <c r="H1058" s="28">
        <f>IFERROR(VLOOKUP(F1058,CARTON_LOOKUP!$A:$E,4,0),"")</f>
      </c>
      <c r="I1058" s="28">
        <f>IFERROR(VLOOKUP(F1058,CARTON_LOOKUP!$A:$E,5,0),"")</f>
      </c>
      <c r="J1058" s="29">
        <f>IFERROR(VLOOKUP(F1058,CARTON_LOOKUP!$A:$E,2,0),"")</f>
      </c>
      <c r="K1058" s="29">
        <f>IFERROR(J1058*D1058,0)</f>
      </c>
      <c r="L1058" s="29">
        <f>IFERROR(E1058*C1058,0)</f>
      </c>
      <c r="M1058" s="29">
        <f>IFERROR((G1058*H1058*I1058/1000000)*D1058,0)</f>
      </c>
    </row>
    <row r="1059" spans="1:13" x14ac:dyDescent="0.25">
      <c r="A1059" s="16"/>
      <c r="E1059" s="27"/>
      <c r="F1059" t="s">
        <v>26</v>
      </c>
      <c r="G1059" s="28">
        <f>IFERROR(VLOOKUP(F1059,CARTON_LOOKUP!$A:$E,3,0),"")</f>
      </c>
      <c r="H1059" s="28">
        <f>IFERROR(VLOOKUP(F1059,CARTON_LOOKUP!$A:$E,4,0),"")</f>
      </c>
      <c r="I1059" s="28">
        <f>IFERROR(VLOOKUP(F1059,CARTON_LOOKUP!$A:$E,5,0),"")</f>
      </c>
      <c r="J1059" s="29">
        <f>IFERROR(VLOOKUP(F1059,CARTON_LOOKUP!$A:$E,2,0),"")</f>
      </c>
      <c r="K1059" s="29">
        <f>IFERROR(J1059*D1059,0)</f>
      </c>
      <c r="L1059" s="29">
        <f>IFERROR(E1059*C1059,0)</f>
      </c>
      <c r="M1059" s="29">
        <f>IFERROR((G1059*H1059*I1059/1000000)*D1059,0)</f>
      </c>
    </row>
    <row r="1060" spans="1:13" x14ac:dyDescent="0.25">
      <c r="A1060" s="16"/>
      <c r="E1060" s="27"/>
      <c r="F1060" t="s">
        <v>26</v>
      </c>
      <c r="G1060" s="28">
        <f>IFERROR(VLOOKUP(F1060,CARTON_LOOKUP!$A:$E,3,0),"")</f>
      </c>
      <c r="H1060" s="28">
        <f>IFERROR(VLOOKUP(F1060,CARTON_LOOKUP!$A:$E,4,0),"")</f>
      </c>
      <c r="I1060" s="28">
        <f>IFERROR(VLOOKUP(F1060,CARTON_LOOKUP!$A:$E,5,0),"")</f>
      </c>
      <c r="J1060" s="29">
        <f>IFERROR(VLOOKUP(F1060,CARTON_LOOKUP!$A:$E,2,0),"")</f>
      </c>
      <c r="K1060" s="29">
        <f>IFERROR(J1060*D1060,0)</f>
      </c>
      <c r="L1060" s="29">
        <f>IFERROR(E1060*C1060,0)</f>
      </c>
      <c r="M1060" s="29">
        <f>IFERROR((G1060*H1060*I1060/1000000)*D1060,0)</f>
      </c>
    </row>
    <row r="1061" spans="1:13" x14ac:dyDescent="0.25">
      <c r="A1061" s="16"/>
      <c r="E1061" s="27"/>
      <c r="F1061" t="s">
        <v>26</v>
      </c>
      <c r="G1061" s="28">
        <f>IFERROR(VLOOKUP(F1061,CARTON_LOOKUP!$A:$E,3,0),"")</f>
      </c>
      <c r="H1061" s="28">
        <f>IFERROR(VLOOKUP(F1061,CARTON_LOOKUP!$A:$E,4,0),"")</f>
      </c>
      <c r="I1061" s="28">
        <f>IFERROR(VLOOKUP(F1061,CARTON_LOOKUP!$A:$E,5,0),"")</f>
      </c>
      <c r="J1061" s="29">
        <f>IFERROR(VLOOKUP(F1061,CARTON_LOOKUP!$A:$E,2,0),"")</f>
      </c>
      <c r="K1061" s="29">
        <f>IFERROR(J1061*D1061,0)</f>
      </c>
      <c r="L1061" s="29">
        <f>IFERROR(E1061*C1061,0)</f>
      </c>
      <c r="M1061" s="29">
        <f>IFERROR((G1061*H1061*I1061/1000000)*D1061,0)</f>
      </c>
    </row>
    <row r="1062" spans="1:13" x14ac:dyDescent="0.25">
      <c r="A1062" s="16"/>
      <c r="E1062" s="27"/>
      <c r="F1062" t="s">
        <v>26</v>
      </c>
      <c r="G1062" s="28">
        <f>IFERROR(VLOOKUP(F1062,CARTON_LOOKUP!$A:$E,3,0),"")</f>
      </c>
      <c r="H1062" s="28">
        <f>IFERROR(VLOOKUP(F1062,CARTON_LOOKUP!$A:$E,4,0),"")</f>
      </c>
      <c r="I1062" s="28">
        <f>IFERROR(VLOOKUP(F1062,CARTON_LOOKUP!$A:$E,5,0),"")</f>
      </c>
      <c r="J1062" s="29">
        <f>IFERROR(VLOOKUP(F1062,CARTON_LOOKUP!$A:$E,2,0),"")</f>
      </c>
      <c r="K1062" s="29">
        <f>IFERROR(J1062*D1062,0)</f>
      </c>
      <c r="L1062" s="29">
        <f>IFERROR(E1062*C1062,0)</f>
      </c>
      <c r="M1062" s="29">
        <f>IFERROR((G1062*H1062*I1062/1000000)*D1062,0)</f>
      </c>
    </row>
    <row r="1063" spans="1:13" x14ac:dyDescent="0.25">
      <c r="A1063" s="16"/>
      <c r="E1063" s="27"/>
      <c r="F1063" t="s">
        <v>26</v>
      </c>
      <c r="G1063" s="28">
        <f>IFERROR(VLOOKUP(F1063,CARTON_LOOKUP!$A:$E,3,0),"")</f>
      </c>
      <c r="H1063" s="28">
        <f>IFERROR(VLOOKUP(F1063,CARTON_LOOKUP!$A:$E,4,0),"")</f>
      </c>
      <c r="I1063" s="28">
        <f>IFERROR(VLOOKUP(F1063,CARTON_LOOKUP!$A:$E,5,0),"")</f>
      </c>
      <c r="J1063" s="29">
        <f>IFERROR(VLOOKUP(F1063,CARTON_LOOKUP!$A:$E,2,0),"")</f>
      </c>
      <c r="K1063" s="29">
        <f>IFERROR(J1063*D1063,0)</f>
      </c>
      <c r="L1063" s="29">
        <f>IFERROR(E1063*C1063,0)</f>
      </c>
      <c r="M1063" s="29">
        <f>IFERROR((G1063*H1063*I1063/1000000)*D1063,0)</f>
      </c>
    </row>
    <row r="1064" spans="1:13" x14ac:dyDescent="0.25">
      <c r="A1064" s="16"/>
      <c r="E1064" s="27"/>
      <c r="F1064" t="s">
        <v>26</v>
      </c>
      <c r="G1064" s="28">
        <f>IFERROR(VLOOKUP(F1064,CARTON_LOOKUP!$A:$E,3,0),"")</f>
      </c>
      <c r="H1064" s="28">
        <f>IFERROR(VLOOKUP(F1064,CARTON_LOOKUP!$A:$E,4,0),"")</f>
      </c>
      <c r="I1064" s="28">
        <f>IFERROR(VLOOKUP(F1064,CARTON_LOOKUP!$A:$E,5,0),"")</f>
      </c>
      <c r="J1064" s="29">
        <f>IFERROR(VLOOKUP(F1064,CARTON_LOOKUP!$A:$E,2,0),"")</f>
      </c>
      <c r="K1064" s="29">
        <f>IFERROR(J1064*D1064,0)</f>
      </c>
      <c r="L1064" s="29">
        <f>IFERROR(E1064*C1064,0)</f>
      </c>
      <c r="M1064" s="29">
        <f>IFERROR((G1064*H1064*I1064/1000000)*D1064,0)</f>
      </c>
    </row>
    <row r="1065" spans="1:13" x14ac:dyDescent="0.25">
      <c r="A1065" s="16"/>
      <c r="E1065" s="27"/>
      <c r="F1065" t="s">
        <v>26</v>
      </c>
      <c r="G1065" s="28">
        <f>IFERROR(VLOOKUP(F1065,CARTON_LOOKUP!$A:$E,3,0),"")</f>
      </c>
      <c r="H1065" s="28">
        <f>IFERROR(VLOOKUP(F1065,CARTON_LOOKUP!$A:$E,4,0),"")</f>
      </c>
      <c r="I1065" s="28">
        <f>IFERROR(VLOOKUP(F1065,CARTON_LOOKUP!$A:$E,5,0),"")</f>
      </c>
      <c r="J1065" s="29">
        <f>IFERROR(VLOOKUP(F1065,CARTON_LOOKUP!$A:$E,2,0),"")</f>
      </c>
      <c r="K1065" s="29">
        <f>IFERROR(J1065*D1065,0)</f>
      </c>
      <c r="L1065" s="29">
        <f>IFERROR(E1065*C1065,0)</f>
      </c>
      <c r="M1065" s="29">
        <f>IFERROR((G1065*H1065*I1065/1000000)*D1065,0)</f>
      </c>
    </row>
    <row r="1066" spans="1:13" x14ac:dyDescent="0.25">
      <c r="A1066" s="16"/>
      <c r="E1066" s="27"/>
      <c r="F1066" t="s">
        <v>26</v>
      </c>
      <c r="G1066" s="28">
        <f>IFERROR(VLOOKUP(F1066,CARTON_LOOKUP!$A:$E,3,0),"")</f>
      </c>
      <c r="H1066" s="28">
        <f>IFERROR(VLOOKUP(F1066,CARTON_LOOKUP!$A:$E,4,0),"")</f>
      </c>
      <c r="I1066" s="28">
        <f>IFERROR(VLOOKUP(F1066,CARTON_LOOKUP!$A:$E,5,0),"")</f>
      </c>
      <c r="J1066" s="29">
        <f>IFERROR(VLOOKUP(F1066,CARTON_LOOKUP!$A:$E,2,0),"")</f>
      </c>
      <c r="K1066" s="29">
        <f>IFERROR(J1066*D1066,0)</f>
      </c>
      <c r="L1066" s="29">
        <f>IFERROR(E1066*C1066,0)</f>
      </c>
      <c r="M1066" s="29">
        <f>IFERROR((G1066*H1066*I1066/1000000)*D1066,0)</f>
      </c>
    </row>
    <row r="1067" spans="1:13" x14ac:dyDescent="0.25">
      <c r="A1067" s="16"/>
      <c r="E1067" s="27"/>
      <c r="F1067" t="s">
        <v>26</v>
      </c>
      <c r="G1067" s="28">
        <f>IFERROR(VLOOKUP(F1067,CARTON_LOOKUP!$A:$E,3,0),"")</f>
      </c>
      <c r="H1067" s="28">
        <f>IFERROR(VLOOKUP(F1067,CARTON_LOOKUP!$A:$E,4,0),"")</f>
      </c>
      <c r="I1067" s="28">
        <f>IFERROR(VLOOKUP(F1067,CARTON_LOOKUP!$A:$E,5,0),"")</f>
      </c>
      <c r="J1067" s="29">
        <f>IFERROR(VLOOKUP(F1067,CARTON_LOOKUP!$A:$E,2,0),"")</f>
      </c>
      <c r="K1067" s="29">
        <f>IFERROR(J1067*D1067,0)</f>
      </c>
      <c r="L1067" s="29">
        <f>IFERROR(E1067*C1067,0)</f>
      </c>
      <c r="M1067" s="29">
        <f>IFERROR((G1067*H1067*I1067/1000000)*D1067,0)</f>
      </c>
    </row>
    <row r="1068" spans="1:13" x14ac:dyDescent="0.25">
      <c r="A1068" s="16"/>
      <c r="E1068" s="27"/>
      <c r="F1068" t="s">
        <v>26</v>
      </c>
      <c r="G1068" s="28">
        <f>IFERROR(VLOOKUP(F1068,CARTON_LOOKUP!$A:$E,3,0),"")</f>
      </c>
      <c r="H1068" s="28">
        <f>IFERROR(VLOOKUP(F1068,CARTON_LOOKUP!$A:$E,4,0),"")</f>
      </c>
      <c r="I1068" s="28">
        <f>IFERROR(VLOOKUP(F1068,CARTON_LOOKUP!$A:$E,5,0),"")</f>
      </c>
      <c r="J1068" s="29">
        <f>IFERROR(VLOOKUP(F1068,CARTON_LOOKUP!$A:$E,2,0),"")</f>
      </c>
      <c r="K1068" s="29">
        <f>IFERROR(J1068*D1068,0)</f>
      </c>
      <c r="L1068" s="29">
        <f>IFERROR(E1068*C1068,0)</f>
      </c>
      <c r="M1068" s="29">
        <f>IFERROR((G1068*H1068*I1068/1000000)*D1068,0)</f>
      </c>
    </row>
    <row r="1069" spans="1:13" x14ac:dyDescent="0.25">
      <c r="A1069" s="16"/>
      <c r="E1069" s="27"/>
      <c r="F1069" t="s">
        <v>26</v>
      </c>
      <c r="G1069" s="28">
        <f>IFERROR(VLOOKUP(F1069,CARTON_LOOKUP!$A:$E,3,0),"")</f>
      </c>
      <c r="H1069" s="28">
        <f>IFERROR(VLOOKUP(F1069,CARTON_LOOKUP!$A:$E,4,0),"")</f>
      </c>
      <c r="I1069" s="28">
        <f>IFERROR(VLOOKUP(F1069,CARTON_LOOKUP!$A:$E,5,0),"")</f>
      </c>
      <c r="J1069" s="29">
        <f>IFERROR(VLOOKUP(F1069,CARTON_LOOKUP!$A:$E,2,0),"")</f>
      </c>
      <c r="K1069" s="29">
        <f>IFERROR(J1069*D1069,0)</f>
      </c>
      <c r="L1069" s="29">
        <f>IFERROR(E1069*C1069,0)</f>
      </c>
      <c r="M1069" s="29">
        <f>IFERROR((G1069*H1069*I1069/1000000)*D1069,0)</f>
      </c>
    </row>
    <row r="1070" spans="1:13" x14ac:dyDescent="0.25">
      <c r="A1070" s="16"/>
      <c r="E1070" s="27"/>
      <c r="F1070" t="s">
        <v>26</v>
      </c>
      <c r="G1070" s="28">
        <f>IFERROR(VLOOKUP(F1070,CARTON_LOOKUP!$A:$E,3,0),"")</f>
      </c>
      <c r="H1070" s="28">
        <f>IFERROR(VLOOKUP(F1070,CARTON_LOOKUP!$A:$E,4,0),"")</f>
      </c>
      <c r="I1070" s="28">
        <f>IFERROR(VLOOKUP(F1070,CARTON_LOOKUP!$A:$E,5,0),"")</f>
      </c>
      <c r="J1070" s="29">
        <f>IFERROR(VLOOKUP(F1070,CARTON_LOOKUP!$A:$E,2,0),"")</f>
      </c>
      <c r="K1070" s="29">
        <f>IFERROR(J1070*D1070,0)</f>
      </c>
      <c r="L1070" s="29">
        <f>IFERROR(E1070*C1070,0)</f>
      </c>
      <c r="M1070" s="29">
        <f>IFERROR((G1070*H1070*I1070/1000000)*D1070,0)</f>
      </c>
    </row>
    <row r="1071" spans="1:13" x14ac:dyDescent="0.25">
      <c r="A1071" s="16"/>
      <c r="E1071" s="27"/>
      <c r="F1071" t="s">
        <v>26</v>
      </c>
      <c r="G1071" s="28">
        <f>IFERROR(VLOOKUP(F1071,CARTON_LOOKUP!$A:$E,3,0),"")</f>
      </c>
      <c r="H1071" s="28">
        <f>IFERROR(VLOOKUP(F1071,CARTON_LOOKUP!$A:$E,4,0),"")</f>
      </c>
      <c r="I1071" s="28">
        <f>IFERROR(VLOOKUP(F1071,CARTON_LOOKUP!$A:$E,5,0),"")</f>
      </c>
      <c r="J1071" s="29">
        <f>IFERROR(VLOOKUP(F1071,CARTON_LOOKUP!$A:$E,2,0),"")</f>
      </c>
      <c r="K1071" s="29">
        <f>IFERROR(J1071*D1071,0)</f>
      </c>
      <c r="L1071" s="29">
        <f>IFERROR(E1071*C1071,0)</f>
      </c>
      <c r="M1071" s="29">
        <f>IFERROR((G1071*H1071*I1071/1000000)*D1071,0)</f>
      </c>
    </row>
    <row r="1072" spans="1:13" x14ac:dyDescent="0.25">
      <c r="A1072" s="16"/>
      <c r="E1072" s="27"/>
      <c r="F1072" t="s">
        <v>26</v>
      </c>
      <c r="G1072" s="28">
        <f>IFERROR(VLOOKUP(F1072,CARTON_LOOKUP!$A:$E,3,0),"")</f>
      </c>
      <c r="H1072" s="28">
        <f>IFERROR(VLOOKUP(F1072,CARTON_LOOKUP!$A:$E,4,0),"")</f>
      </c>
      <c r="I1072" s="28">
        <f>IFERROR(VLOOKUP(F1072,CARTON_LOOKUP!$A:$E,5,0),"")</f>
      </c>
      <c r="J1072" s="29">
        <f>IFERROR(VLOOKUP(F1072,CARTON_LOOKUP!$A:$E,2,0),"")</f>
      </c>
      <c r="K1072" s="29">
        <f>IFERROR(J1072*D1072,0)</f>
      </c>
      <c r="L1072" s="29">
        <f>IFERROR(E1072*C1072,0)</f>
      </c>
      <c r="M1072" s="29">
        <f>IFERROR((G1072*H1072*I1072/1000000)*D1072,0)</f>
      </c>
    </row>
    <row r="1073" spans="1:13" x14ac:dyDescent="0.25">
      <c r="A1073" s="16"/>
      <c r="E1073" s="27"/>
      <c r="F1073" t="s">
        <v>26</v>
      </c>
      <c r="G1073" s="28">
        <f>IFERROR(VLOOKUP(F1073,CARTON_LOOKUP!$A:$E,3,0),"")</f>
      </c>
      <c r="H1073" s="28">
        <f>IFERROR(VLOOKUP(F1073,CARTON_LOOKUP!$A:$E,4,0),"")</f>
      </c>
      <c r="I1073" s="28">
        <f>IFERROR(VLOOKUP(F1073,CARTON_LOOKUP!$A:$E,5,0),"")</f>
      </c>
      <c r="J1073" s="29">
        <f>IFERROR(VLOOKUP(F1073,CARTON_LOOKUP!$A:$E,2,0),"")</f>
      </c>
      <c r="K1073" s="29">
        <f>IFERROR(J1073*D1073,0)</f>
      </c>
      <c r="L1073" s="29">
        <f>IFERROR(E1073*C1073,0)</f>
      </c>
      <c r="M1073" s="29">
        <f>IFERROR((G1073*H1073*I1073/1000000)*D1073,0)</f>
      </c>
    </row>
    <row r="1074" spans="1:13" x14ac:dyDescent="0.25">
      <c r="A1074" s="16"/>
      <c r="E1074" s="27"/>
      <c r="F1074" t="s">
        <v>26</v>
      </c>
      <c r="G1074" s="28">
        <f>IFERROR(VLOOKUP(F1074,CARTON_LOOKUP!$A:$E,3,0),"")</f>
      </c>
      <c r="H1074" s="28">
        <f>IFERROR(VLOOKUP(F1074,CARTON_LOOKUP!$A:$E,4,0),"")</f>
      </c>
      <c r="I1074" s="28">
        <f>IFERROR(VLOOKUP(F1074,CARTON_LOOKUP!$A:$E,5,0),"")</f>
      </c>
      <c r="J1074" s="29">
        <f>IFERROR(VLOOKUP(F1074,CARTON_LOOKUP!$A:$E,2,0),"")</f>
      </c>
      <c r="K1074" s="29">
        <f>IFERROR(J1074*D1074,0)</f>
      </c>
      <c r="L1074" s="29">
        <f>IFERROR(E1074*C1074,0)</f>
      </c>
      <c r="M1074" s="29">
        <f>IFERROR((G1074*H1074*I1074/1000000)*D1074,0)</f>
      </c>
    </row>
    <row r="1075" spans="1:13" x14ac:dyDescent="0.25">
      <c r="A1075" s="16"/>
      <c r="E1075" s="27"/>
      <c r="F1075" t="s">
        <v>26</v>
      </c>
      <c r="G1075" s="28">
        <f>IFERROR(VLOOKUP(F1075,CARTON_LOOKUP!$A:$E,3,0),"")</f>
      </c>
      <c r="H1075" s="28">
        <f>IFERROR(VLOOKUP(F1075,CARTON_LOOKUP!$A:$E,4,0),"")</f>
      </c>
      <c r="I1075" s="28">
        <f>IFERROR(VLOOKUP(F1075,CARTON_LOOKUP!$A:$E,5,0),"")</f>
      </c>
      <c r="J1075" s="29">
        <f>IFERROR(VLOOKUP(F1075,CARTON_LOOKUP!$A:$E,2,0),"")</f>
      </c>
      <c r="K1075" s="29">
        <f>IFERROR(J1075*D1075,0)</f>
      </c>
      <c r="L1075" s="29">
        <f>IFERROR(E1075*C1075,0)</f>
      </c>
      <c r="M1075" s="29">
        <f>IFERROR((G1075*H1075*I1075/1000000)*D1075,0)</f>
      </c>
    </row>
    <row r="1076" spans="1:13" x14ac:dyDescent="0.25">
      <c r="A1076" s="16"/>
      <c r="E1076" s="27"/>
      <c r="F1076" t="s">
        <v>26</v>
      </c>
      <c r="G1076" s="28">
        <f>IFERROR(VLOOKUP(F1076,CARTON_LOOKUP!$A:$E,3,0),"")</f>
      </c>
      <c r="H1076" s="28">
        <f>IFERROR(VLOOKUP(F1076,CARTON_LOOKUP!$A:$E,4,0),"")</f>
      </c>
      <c r="I1076" s="28">
        <f>IFERROR(VLOOKUP(F1076,CARTON_LOOKUP!$A:$E,5,0),"")</f>
      </c>
      <c r="J1076" s="29">
        <f>IFERROR(VLOOKUP(F1076,CARTON_LOOKUP!$A:$E,2,0),"")</f>
      </c>
      <c r="K1076" s="29">
        <f>IFERROR(J1076*D1076,0)</f>
      </c>
      <c r="L1076" s="29">
        <f>IFERROR(E1076*C1076,0)</f>
      </c>
      <c r="M1076" s="29">
        <f>IFERROR((G1076*H1076*I1076/1000000)*D1076,0)</f>
      </c>
    </row>
    <row r="1077" spans="1:13" x14ac:dyDescent="0.25">
      <c r="A1077" s="16"/>
      <c r="E1077" s="27"/>
      <c r="F1077" t="s">
        <v>26</v>
      </c>
      <c r="G1077" s="28">
        <f>IFERROR(VLOOKUP(F1077,CARTON_LOOKUP!$A:$E,3,0),"")</f>
      </c>
      <c r="H1077" s="28">
        <f>IFERROR(VLOOKUP(F1077,CARTON_LOOKUP!$A:$E,4,0),"")</f>
      </c>
      <c r="I1077" s="28">
        <f>IFERROR(VLOOKUP(F1077,CARTON_LOOKUP!$A:$E,5,0),"")</f>
      </c>
      <c r="J1077" s="29">
        <f>IFERROR(VLOOKUP(F1077,CARTON_LOOKUP!$A:$E,2,0),"")</f>
      </c>
      <c r="K1077" s="29">
        <f>IFERROR(J1077*D1077,0)</f>
      </c>
      <c r="L1077" s="29">
        <f>IFERROR(E1077*C1077,0)</f>
      </c>
      <c r="M1077" s="29">
        <f>IFERROR((G1077*H1077*I1077/1000000)*D1077,0)</f>
      </c>
    </row>
    <row r="1078" spans="1:13" x14ac:dyDescent="0.25">
      <c r="A1078" s="16"/>
      <c r="E1078" s="27"/>
      <c r="F1078" t="s">
        <v>26</v>
      </c>
      <c r="G1078" s="28">
        <f>IFERROR(VLOOKUP(F1078,CARTON_LOOKUP!$A:$E,3,0),"")</f>
      </c>
      <c r="H1078" s="28">
        <f>IFERROR(VLOOKUP(F1078,CARTON_LOOKUP!$A:$E,4,0),"")</f>
      </c>
      <c r="I1078" s="28">
        <f>IFERROR(VLOOKUP(F1078,CARTON_LOOKUP!$A:$E,5,0),"")</f>
      </c>
      <c r="J1078" s="29">
        <f>IFERROR(VLOOKUP(F1078,CARTON_LOOKUP!$A:$E,2,0),"")</f>
      </c>
      <c r="K1078" s="29">
        <f>IFERROR(J1078*D1078,0)</f>
      </c>
      <c r="L1078" s="29">
        <f>IFERROR(E1078*C1078,0)</f>
      </c>
      <c r="M1078" s="29">
        <f>IFERROR((G1078*H1078*I1078/1000000)*D1078,0)</f>
      </c>
    </row>
    <row r="1079" spans="1:13" x14ac:dyDescent="0.25">
      <c r="A1079" s="16"/>
      <c r="E1079" s="27"/>
      <c r="F1079" t="s">
        <v>26</v>
      </c>
      <c r="G1079" s="28">
        <f>IFERROR(VLOOKUP(F1079,CARTON_LOOKUP!$A:$E,3,0),"")</f>
      </c>
      <c r="H1079" s="28">
        <f>IFERROR(VLOOKUP(F1079,CARTON_LOOKUP!$A:$E,4,0),"")</f>
      </c>
      <c r="I1079" s="28">
        <f>IFERROR(VLOOKUP(F1079,CARTON_LOOKUP!$A:$E,5,0),"")</f>
      </c>
      <c r="J1079" s="29">
        <f>IFERROR(VLOOKUP(F1079,CARTON_LOOKUP!$A:$E,2,0),"")</f>
      </c>
      <c r="K1079" s="29">
        <f>IFERROR(J1079*D1079,0)</f>
      </c>
      <c r="L1079" s="29">
        <f>IFERROR(E1079*C1079,0)</f>
      </c>
      <c r="M1079" s="29">
        <f>IFERROR((G1079*H1079*I1079/1000000)*D1079,0)</f>
      </c>
    </row>
    <row r="1080" spans="1:13" x14ac:dyDescent="0.25">
      <c r="A1080" s="16"/>
      <c r="E1080" s="27"/>
      <c r="F1080" t="s">
        <v>26</v>
      </c>
      <c r="G1080" s="28">
        <f>IFERROR(VLOOKUP(F1080,CARTON_LOOKUP!$A:$E,3,0),"")</f>
      </c>
      <c r="H1080" s="28">
        <f>IFERROR(VLOOKUP(F1080,CARTON_LOOKUP!$A:$E,4,0),"")</f>
      </c>
      <c r="I1080" s="28">
        <f>IFERROR(VLOOKUP(F1080,CARTON_LOOKUP!$A:$E,5,0),"")</f>
      </c>
      <c r="J1080" s="29">
        <f>IFERROR(VLOOKUP(F1080,CARTON_LOOKUP!$A:$E,2,0),"")</f>
      </c>
      <c r="K1080" s="29">
        <f>IFERROR(J1080*D1080,0)</f>
      </c>
      <c r="L1080" s="29">
        <f>IFERROR(E1080*C1080,0)</f>
      </c>
      <c r="M1080" s="29">
        <f>IFERROR((G1080*H1080*I1080/1000000)*D1080,0)</f>
      </c>
    </row>
    <row r="1081" spans="1:13" x14ac:dyDescent="0.25">
      <c r="A1081" s="16"/>
      <c r="E1081" s="27"/>
      <c r="F1081" t="s">
        <v>26</v>
      </c>
      <c r="G1081" s="28">
        <f>IFERROR(VLOOKUP(F1081,CARTON_LOOKUP!$A:$E,3,0),"")</f>
      </c>
      <c r="H1081" s="28">
        <f>IFERROR(VLOOKUP(F1081,CARTON_LOOKUP!$A:$E,4,0),"")</f>
      </c>
      <c r="I1081" s="28">
        <f>IFERROR(VLOOKUP(F1081,CARTON_LOOKUP!$A:$E,5,0),"")</f>
      </c>
      <c r="J1081" s="29">
        <f>IFERROR(VLOOKUP(F1081,CARTON_LOOKUP!$A:$E,2,0),"")</f>
      </c>
      <c r="K1081" s="29">
        <f>IFERROR(J1081*D1081,0)</f>
      </c>
      <c r="L1081" s="29">
        <f>IFERROR(E1081*C1081,0)</f>
      </c>
      <c r="M1081" s="29">
        <f>IFERROR((G1081*H1081*I1081/1000000)*D1081,0)</f>
      </c>
    </row>
    <row r="1082" spans="1:13" x14ac:dyDescent="0.25">
      <c r="A1082" s="16"/>
      <c r="E1082" s="27"/>
      <c r="F1082" t="s">
        <v>26</v>
      </c>
      <c r="G1082" s="28">
        <f>IFERROR(VLOOKUP(F1082,CARTON_LOOKUP!$A:$E,3,0),"")</f>
      </c>
      <c r="H1082" s="28">
        <f>IFERROR(VLOOKUP(F1082,CARTON_LOOKUP!$A:$E,4,0),"")</f>
      </c>
      <c r="I1082" s="28">
        <f>IFERROR(VLOOKUP(F1082,CARTON_LOOKUP!$A:$E,5,0),"")</f>
      </c>
      <c r="J1082" s="29">
        <f>IFERROR(VLOOKUP(F1082,CARTON_LOOKUP!$A:$E,2,0),"")</f>
      </c>
      <c r="K1082" s="29">
        <f>IFERROR(J1082*D1082,0)</f>
      </c>
      <c r="L1082" s="29">
        <f>IFERROR(E1082*C1082,0)</f>
      </c>
      <c r="M1082" s="29">
        <f>IFERROR((G1082*H1082*I1082/1000000)*D1082,0)</f>
      </c>
    </row>
    <row r="1083" spans="1:13" x14ac:dyDescent="0.25">
      <c r="A1083" s="16"/>
      <c r="E1083" s="27"/>
      <c r="F1083" t="s">
        <v>26</v>
      </c>
      <c r="G1083" s="28">
        <f>IFERROR(VLOOKUP(F1083,CARTON_LOOKUP!$A:$E,3,0),"")</f>
      </c>
      <c r="H1083" s="28">
        <f>IFERROR(VLOOKUP(F1083,CARTON_LOOKUP!$A:$E,4,0),"")</f>
      </c>
      <c r="I1083" s="28">
        <f>IFERROR(VLOOKUP(F1083,CARTON_LOOKUP!$A:$E,5,0),"")</f>
      </c>
      <c r="J1083" s="29">
        <f>IFERROR(VLOOKUP(F1083,CARTON_LOOKUP!$A:$E,2,0),"")</f>
      </c>
      <c r="K1083" s="29">
        <f>IFERROR(J1083*D1083,0)</f>
      </c>
      <c r="L1083" s="29">
        <f>IFERROR(E1083*C1083,0)</f>
      </c>
      <c r="M1083" s="29">
        <f>IFERROR((G1083*H1083*I1083/1000000)*D1083,0)</f>
      </c>
    </row>
    <row r="1084" spans="1:13" x14ac:dyDescent="0.25">
      <c r="A1084" s="16"/>
      <c r="E1084" s="27"/>
      <c r="F1084" t="s">
        <v>26</v>
      </c>
      <c r="G1084" s="28">
        <f>IFERROR(VLOOKUP(F1084,CARTON_LOOKUP!$A:$E,3,0),"")</f>
      </c>
      <c r="H1084" s="28">
        <f>IFERROR(VLOOKUP(F1084,CARTON_LOOKUP!$A:$E,4,0),"")</f>
      </c>
      <c r="I1084" s="28">
        <f>IFERROR(VLOOKUP(F1084,CARTON_LOOKUP!$A:$E,5,0),"")</f>
      </c>
      <c r="J1084" s="29">
        <f>IFERROR(VLOOKUP(F1084,CARTON_LOOKUP!$A:$E,2,0),"")</f>
      </c>
      <c r="K1084" s="29">
        <f>IFERROR(J1084*D1084,0)</f>
      </c>
      <c r="L1084" s="29">
        <f>IFERROR(E1084*C1084,0)</f>
      </c>
      <c r="M1084" s="29">
        <f>IFERROR((G1084*H1084*I1084/1000000)*D1084,0)</f>
      </c>
    </row>
    <row r="1085" spans="1:13" x14ac:dyDescent="0.25">
      <c r="A1085" s="16"/>
      <c r="E1085" s="27"/>
      <c r="F1085" t="s">
        <v>26</v>
      </c>
      <c r="G1085" s="28">
        <f>IFERROR(VLOOKUP(F1085,CARTON_LOOKUP!$A:$E,3,0),"")</f>
      </c>
      <c r="H1085" s="28">
        <f>IFERROR(VLOOKUP(F1085,CARTON_LOOKUP!$A:$E,4,0),"")</f>
      </c>
      <c r="I1085" s="28">
        <f>IFERROR(VLOOKUP(F1085,CARTON_LOOKUP!$A:$E,5,0),"")</f>
      </c>
      <c r="J1085" s="29">
        <f>IFERROR(VLOOKUP(F1085,CARTON_LOOKUP!$A:$E,2,0),"")</f>
      </c>
      <c r="K1085" s="29">
        <f>IFERROR(J1085*D1085,0)</f>
      </c>
      <c r="L1085" s="29">
        <f>IFERROR(E1085*C1085,0)</f>
      </c>
      <c r="M1085" s="29">
        <f>IFERROR((G1085*H1085*I1085/1000000)*D1085,0)</f>
      </c>
    </row>
    <row r="1086" spans="1:13" x14ac:dyDescent="0.25">
      <c r="A1086" s="16"/>
      <c r="E1086" s="27"/>
      <c r="F1086" t="s">
        <v>26</v>
      </c>
      <c r="G1086" s="28">
        <f>IFERROR(VLOOKUP(F1086,CARTON_LOOKUP!$A:$E,3,0),"")</f>
      </c>
      <c r="H1086" s="28">
        <f>IFERROR(VLOOKUP(F1086,CARTON_LOOKUP!$A:$E,4,0),"")</f>
      </c>
      <c r="I1086" s="28">
        <f>IFERROR(VLOOKUP(F1086,CARTON_LOOKUP!$A:$E,5,0),"")</f>
      </c>
      <c r="J1086" s="29">
        <f>IFERROR(VLOOKUP(F1086,CARTON_LOOKUP!$A:$E,2,0),"")</f>
      </c>
      <c r="K1086" s="29">
        <f>IFERROR(J1086*D1086,0)</f>
      </c>
      <c r="L1086" s="29">
        <f>IFERROR(E1086*C1086,0)</f>
      </c>
      <c r="M1086" s="29">
        <f>IFERROR((G1086*H1086*I1086/1000000)*D1086,0)</f>
      </c>
    </row>
    <row r="1087" spans="1:13" x14ac:dyDescent="0.25">
      <c r="A1087" s="16"/>
      <c r="E1087" s="27"/>
      <c r="F1087" t="s">
        <v>26</v>
      </c>
      <c r="G1087" s="28">
        <f>IFERROR(VLOOKUP(F1087,CARTON_LOOKUP!$A:$E,3,0),"")</f>
      </c>
      <c r="H1087" s="28">
        <f>IFERROR(VLOOKUP(F1087,CARTON_LOOKUP!$A:$E,4,0),"")</f>
      </c>
      <c r="I1087" s="28">
        <f>IFERROR(VLOOKUP(F1087,CARTON_LOOKUP!$A:$E,5,0),"")</f>
      </c>
      <c r="J1087" s="29">
        <f>IFERROR(VLOOKUP(F1087,CARTON_LOOKUP!$A:$E,2,0),"")</f>
      </c>
      <c r="K1087" s="29">
        <f>IFERROR(J1087*D1087,0)</f>
      </c>
      <c r="L1087" s="29">
        <f>IFERROR(E1087*C1087,0)</f>
      </c>
      <c r="M1087" s="29">
        <f>IFERROR((G1087*H1087*I1087/1000000)*D1087,0)</f>
      </c>
    </row>
    <row r="1088" spans="1:13" x14ac:dyDescent="0.25">
      <c r="A1088" s="16"/>
      <c r="E1088" s="27"/>
      <c r="F1088" t="s">
        <v>26</v>
      </c>
      <c r="G1088" s="28">
        <f>IFERROR(VLOOKUP(F1088,CARTON_LOOKUP!$A:$E,3,0),"")</f>
      </c>
      <c r="H1088" s="28">
        <f>IFERROR(VLOOKUP(F1088,CARTON_LOOKUP!$A:$E,4,0),"")</f>
      </c>
      <c r="I1088" s="28">
        <f>IFERROR(VLOOKUP(F1088,CARTON_LOOKUP!$A:$E,5,0),"")</f>
      </c>
      <c r="J1088" s="29">
        <f>IFERROR(VLOOKUP(F1088,CARTON_LOOKUP!$A:$E,2,0),"")</f>
      </c>
      <c r="K1088" s="29">
        <f>IFERROR(J1088*D1088,0)</f>
      </c>
      <c r="L1088" s="29">
        <f>IFERROR(E1088*C1088,0)</f>
      </c>
      <c r="M1088" s="29">
        <f>IFERROR((G1088*H1088*I1088/1000000)*D1088,0)</f>
      </c>
    </row>
    <row r="1089" spans="1:13" x14ac:dyDescent="0.25">
      <c r="A1089" s="16"/>
      <c r="E1089" s="27"/>
      <c r="F1089" t="s">
        <v>26</v>
      </c>
      <c r="G1089" s="28">
        <f>IFERROR(VLOOKUP(F1089,CARTON_LOOKUP!$A:$E,3,0),"")</f>
      </c>
      <c r="H1089" s="28">
        <f>IFERROR(VLOOKUP(F1089,CARTON_LOOKUP!$A:$E,4,0),"")</f>
      </c>
      <c r="I1089" s="28">
        <f>IFERROR(VLOOKUP(F1089,CARTON_LOOKUP!$A:$E,5,0),"")</f>
      </c>
      <c r="J1089" s="29">
        <f>IFERROR(VLOOKUP(F1089,CARTON_LOOKUP!$A:$E,2,0),"")</f>
      </c>
      <c r="K1089" s="29">
        <f>IFERROR(J1089*D1089,0)</f>
      </c>
      <c r="L1089" s="29">
        <f>IFERROR(E1089*C1089,0)</f>
      </c>
      <c r="M1089" s="29">
        <f>IFERROR((G1089*H1089*I1089/1000000)*D1089,0)</f>
      </c>
    </row>
    <row r="1090" spans="1:13" x14ac:dyDescent="0.25">
      <c r="A1090" s="16"/>
      <c r="E1090" s="27"/>
      <c r="F1090" t="s">
        <v>26</v>
      </c>
      <c r="G1090" s="28">
        <f>IFERROR(VLOOKUP(F1090,CARTON_LOOKUP!$A:$E,3,0),"")</f>
      </c>
      <c r="H1090" s="28">
        <f>IFERROR(VLOOKUP(F1090,CARTON_LOOKUP!$A:$E,4,0),"")</f>
      </c>
      <c r="I1090" s="28">
        <f>IFERROR(VLOOKUP(F1090,CARTON_LOOKUP!$A:$E,5,0),"")</f>
      </c>
      <c r="J1090" s="29">
        <f>IFERROR(VLOOKUP(F1090,CARTON_LOOKUP!$A:$E,2,0),"")</f>
      </c>
      <c r="K1090" s="29">
        <f>IFERROR(J1090*D1090,0)</f>
      </c>
      <c r="L1090" s="29">
        <f>IFERROR(E1090*C1090,0)</f>
      </c>
      <c r="M1090" s="29">
        <f>IFERROR((G1090*H1090*I1090/1000000)*D1090,0)</f>
      </c>
    </row>
    <row r="1091" spans="1:13" x14ac:dyDescent="0.25">
      <c r="A1091" s="16"/>
      <c r="E1091" s="27"/>
      <c r="F1091" t="s">
        <v>26</v>
      </c>
      <c r="G1091" s="28">
        <f>IFERROR(VLOOKUP(F1091,CARTON_LOOKUP!$A:$E,3,0),"")</f>
      </c>
      <c r="H1091" s="28">
        <f>IFERROR(VLOOKUP(F1091,CARTON_LOOKUP!$A:$E,4,0),"")</f>
      </c>
      <c r="I1091" s="28">
        <f>IFERROR(VLOOKUP(F1091,CARTON_LOOKUP!$A:$E,5,0),"")</f>
      </c>
      <c r="J1091" s="29">
        <f>IFERROR(VLOOKUP(F1091,CARTON_LOOKUP!$A:$E,2,0),"")</f>
      </c>
      <c r="K1091" s="29">
        <f>IFERROR(J1091*D1091,0)</f>
      </c>
      <c r="L1091" s="29">
        <f>IFERROR(E1091*C1091,0)</f>
      </c>
      <c r="M1091" s="29">
        <f>IFERROR((G1091*H1091*I1091/1000000)*D1091,0)</f>
      </c>
    </row>
    <row r="1092" spans="1:13" x14ac:dyDescent="0.25">
      <c r="A1092" s="16"/>
      <c r="E1092" s="27"/>
      <c r="F1092" t="s">
        <v>26</v>
      </c>
      <c r="G1092" s="28">
        <f>IFERROR(VLOOKUP(F1092,CARTON_LOOKUP!$A:$E,3,0),"")</f>
      </c>
      <c r="H1092" s="28">
        <f>IFERROR(VLOOKUP(F1092,CARTON_LOOKUP!$A:$E,4,0),"")</f>
      </c>
      <c r="I1092" s="28">
        <f>IFERROR(VLOOKUP(F1092,CARTON_LOOKUP!$A:$E,5,0),"")</f>
      </c>
      <c r="J1092" s="29">
        <f>IFERROR(VLOOKUP(F1092,CARTON_LOOKUP!$A:$E,2,0),"")</f>
      </c>
      <c r="K1092" s="29">
        <f>IFERROR(J1092*D1092,0)</f>
      </c>
      <c r="L1092" s="29">
        <f>IFERROR(E1092*C1092,0)</f>
      </c>
      <c r="M1092" s="29">
        <f>IFERROR((G1092*H1092*I1092/1000000)*D1092,0)</f>
      </c>
    </row>
    <row r="1093" spans="1:13" x14ac:dyDescent="0.25">
      <c r="A1093" s="16"/>
      <c r="E1093" s="27"/>
      <c r="F1093" t="s">
        <v>26</v>
      </c>
      <c r="G1093" s="28">
        <f>IFERROR(VLOOKUP(F1093,CARTON_LOOKUP!$A:$E,3,0),"")</f>
      </c>
      <c r="H1093" s="28">
        <f>IFERROR(VLOOKUP(F1093,CARTON_LOOKUP!$A:$E,4,0),"")</f>
      </c>
      <c r="I1093" s="28">
        <f>IFERROR(VLOOKUP(F1093,CARTON_LOOKUP!$A:$E,5,0),"")</f>
      </c>
      <c r="J1093" s="29">
        <f>IFERROR(VLOOKUP(F1093,CARTON_LOOKUP!$A:$E,2,0),"")</f>
      </c>
      <c r="K1093" s="29">
        <f>IFERROR(J1093*D1093,0)</f>
      </c>
      <c r="L1093" s="29">
        <f>IFERROR(E1093*C1093,0)</f>
      </c>
      <c r="M1093" s="29">
        <f>IFERROR((G1093*H1093*I1093/1000000)*D1093,0)</f>
      </c>
    </row>
    <row r="1094" spans="1:13" x14ac:dyDescent="0.25">
      <c r="A1094" s="16"/>
      <c r="E1094" s="27"/>
      <c r="F1094" t="s">
        <v>26</v>
      </c>
      <c r="G1094" s="28">
        <f>IFERROR(VLOOKUP(F1094,CARTON_LOOKUP!$A:$E,3,0),"")</f>
      </c>
      <c r="H1094" s="28">
        <f>IFERROR(VLOOKUP(F1094,CARTON_LOOKUP!$A:$E,4,0),"")</f>
      </c>
      <c r="I1094" s="28">
        <f>IFERROR(VLOOKUP(F1094,CARTON_LOOKUP!$A:$E,5,0),"")</f>
      </c>
      <c r="J1094" s="29">
        <f>IFERROR(VLOOKUP(F1094,CARTON_LOOKUP!$A:$E,2,0),"")</f>
      </c>
      <c r="K1094" s="29">
        <f>IFERROR(J1094*D1094,0)</f>
      </c>
      <c r="L1094" s="29">
        <f>IFERROR(E1094*C1094,0)</f>
      </c>
      <c r="M1094" s="29">
        <f>IFERROR((G1094*H1094*I1094/1000000)*D1094,0)</f>
      </c>
    </row>
    <row r="1095" spans="1:13" x14ac:dyDescent="0.25">
      <c r="A1095" s="16"/>
      <c r="E1095" s="27"/>
      <c r="F1095" t="s">
        <v>26</v>
      </c>
      <c r="G1095" s="28">
        <f>IFERROR(VLOOKUP(F1095,CARTON_LOOKUP!$A:$E,3,0),"")</f>
      </c>
      <c r="H1095" s="28">
        <f>IFERROR(VLOOKUP(F1095,CARTON_LOOKUP!$A:$E,4,0),"")</f>
      </c>
      <c r="I1095" s="28">
        <f>IFERROR(VLOOKUP(F1095,CARTON_LOOKUP!$A:$E,5,0),"")</f>
      </c>
      <c r="J1095" s="29">
        <f>IFERROR(VLOOKUP(F1095,CARTON_LOOKUP!$A:$E,2,0),"")</f>
      </c>
      <c r="K1095" s="29">
        <f>IFERROR(J1095*D1095,0)</f>
      </c>
      <c r="L1095" s="29">
        <f>IFERROR(E1095*C1095,0)</f>
      </c>
      <c r="M1095" s="29">
        <f>IFERROR((G1095*H1095*I1095/1000000)*D1095,0)</f>
      </c>
    </row>
    <row r="1096" spans="1:13" x14ac:dyDescent="0.25">
      <c r="A1096" s="16"/>
      <c r="E1096" s="27"/>
      <c r="F1096" t="s">
        <v>26</v>
      </c>
      <c r="G1096" s="28">
        <f>IFERROR(VLOOKUP(F1096,CARTON_LOOKUP!$A:$E,3,0),"")</f>
      </c>
      <c r="H1096" s="28">
        <f>IFERROR(VLOOKUP(F1096,CARTON_LOOKUP!$A:$E,4,0),"")</f>
      </c>
      <c r="I1096" s="28">
        <f>IFERROR(VLOOKUP(F1096,CARTON_LOOKUP!$A:$E,5,0),"")</f>
      </c>
      <c r="J1096" s="29">
        <f>IFERROR(VLOOKUP(F1096,CARTON_LOOKUP!$A:$E,2,0),"")</f>
      </c>
      <c r="K1096" s="29">
        <f>IFERROR(J1096*D1096,0)</f>
      </c>
      <c r="L1096" s="29">
        <f>IFERROR(E1096*C1096,0)</f>
      </c>
      <c r="M1096" s="29">
        <f>IFERROR((G1096*H1096*I1096/1000000)*D1096,0)</f>
      </c>
    </row>
    <row r="1097" spans="1:13" x14ac:dyDescent="0.25">
      <c r="A1097" s="16"/>
      <c r="E1097" s="27"/>
      <c r="F1097" t="s">
        <v>26</v>
      </c>
      <c r="G1097" s="28">
        <f>IFERROR(VLOOKUP(F1097,CARTON_LOOKUP!$A:$E,3,0),"")</f>
      </c>
      <c r="H1097" s="28">
        <f>IFERROR(VLOOKUP(F1097,CARTON_LOOKUP!$A:$E,4,0),"")</f>
      </c>
      <c r="I1097" s="28">
        <f>IFERROR(VLOOKUP(F1097,CARTON_LOOKUP!$A:$E,5,0),"")</f>
      </c>
      <c r="J1097" s="29">
        <f>IFERROR(VLOOKUP(F1097,CARTON_LOOKUP!$A:$E,2,0),"")</f>
      </c>
      <c r="K1097" s="29">
        <f>IFERROR(J1097*D1097,0)</f>
      </c>
      <c r="L1097" s="29">
        <f>IFERROR(E1097*C1097,0)</f>
      </c>
      <c r="M1097" s="29">
        <f>IFERROR((G1097*H1097*I1097/1000000)*D1097,0)</f>
      </c>
    </row>
    <row r="1098" spans="1:13" x14ac:dyDescent="0.25">
      <c r="A1098" s="16"/>
      <c r="E1098" s="27"/>
      <c r="F1098" t="s">
        <v>26</v>
      </c>
      <c r="G1098" s="28">
        <f>IFERROR(VLOOKUP(F1098,CARTON_LOOKUP!$A:$E,3,0),"")</f>
      </c>
      <c r="H1098" s="28">
        <f>IFERROR(VLOOKUP(F1098,CARTON_LOOKUP!$A:$E,4,0),"")</f>
      </c>
      <c r="I1098" s="28">
        <f>IFERROR(VLOOKUP(F1098,CARTON_LOOKUP!$A:$E,5,0),"")</f>
      </c>
      <c r="J1098" s="29">
        <f>IFERROR(VLOOKUP(F1098,CARTON_LOOKUP!$A:$E,2,0),"")</f>
      </c>
      <c r="K1098" s="29">
        <f>IFERROR(J1098*D1098,0)</f>
      </c>
      <c r="L1098" s="29">
        <f>IFERROR(E1098*C1098,0)</f>
      </c>
      <c r="M1098" s="29">
        <f>IFERROR((G1098*H1098*I1098/1000000)*D1098,0)</f>
      </c>
    </row>
    <row r="1099" spans="1:13" x14ac:dyDescent="0.25">
      <c r="A1099" s="16"/>
      <c r="E1099" s="27"/>
      <c r="F1099" t="s">
        <v>26</v>
      </c>
      <c r="G1099" s="28">
        <f>IFERROR(VLOOKUP(F1099,CARTON_LOOKUP!$A:$E,3,0),"")</f>
      </c>
      <c r="H1099" s="28">
        <f>IFERROR(VLOOKUP(F1099,CARTON_LOOKUP!$A:$E,4,0),"")</f>
      </c>
      <c r="I1099" s="28">
        <f>IFERROR(VLOOKUP(F1099,CARTON_LOOKUP!$A:$E,5,0),"")</f>
      </c>
      <c r="J1099" s="29">
        <f>IFERROR(VLOOKUP(F1099,CARTON_LOOKUP!$A:$E,2,0),"")</f>
      </c>
      <c r="K1099" s="29">
        <f>IFERROR(J1099*D1099,0)</f>
      </c>
      <c r="L1099" s="29">
        <f>IFERROR(E1099*C1099,0)</f>
      </c>
      <c r="M1099" s="29">
        <f>IFERROR((G1099*H1099*I1099/1000000)*D1099,0)</f>
      </c>
    </row>
    <row r="1100" spans="1:13" x14ac:dyDescent="0.25">
      <c r="A1100" s="16"/>
      <c r="E1100" s="27"/>
      <c r="F1100" t="s">
        <v>26</v>
      </c>
      <c r="G1100" s="28">
        <f>IFERROR(VLOOKUP(F1100,CARTON_LOOKUP!$A:$E,3,0),"")</f>
      </c>
      <c r="H1100" s="28">
        <f>IFERROR(VLOOKUP(F1100,CARTON_LOOKUP!$A:$E,4,0),"")</f>
      </c>
      <c r="I1100" s="28">
        <f>IFERROR(VLOOKUP(F1100,CARTON_LOOKUP!$A:$E,5,0),"")</f>
      </c>
      <c r="J1100" s="29">
        <f>IFERROR(VLOOKUP(F1100,CARTON_LOOKUP!$A:$E,2,0),"")</f>
      </c>
      <c r="K1100" s="29">
        <f>IFERROR(J1100*D1100,0)</f>
      </c>
      <c r="L1100" s="29">
        <f>IFERROR(E1100*C1100,0)</f>
      </c>
      <c r="M1100" s="29">
        <f>IFERROR((G1100*H1100*I1100/1000000)*D1100,0)</f>
      </c>
    </row>
    <row r="1101" spans="1:13" x14ac:dyDescent="0.25">
      <c r="A1101" s="16"/>
      <c r="E1101" s="27"/>
      <c r="F1101" t="s">
        <v>26</v>
      </c>
      <c r="G1101" s="28">
        <f>IFERROR(VLOOKUP(F1101,CARTON_LOOKUP!$A:$E,3,0),"")</f>
      </c>
      <c r="H1101" s="28">
        <f>IFERROR(VLOOKUP(F1101,CARTON_LOOKUP!$A:$E,4,0),"")</f>
      </c>
      <c r="I1101" s="28">
        <f>IFERROR(VLOOKUP(F1101,CARTON_LOOKUP!$A:$E,5,0),"")</f>
      </c>
      <c r="J1101" s="29">
        <f>IFERROR(VLOOKUP(F1101,CARTON_LOOKUP!$A:$E,2,0),"")</f>
      </c>
      <c r="K1101" s="29">
        <f>IFERROR(J1101*D1101,0)</f>
      </c>
      <c r="L1101" s="29">
        <f>IFERROR(E1101*C1101,0)</f>
      </c>
      <c r="M1101" s="29">
        <f>IFERROR((G1101*H1101*I1101/1000000)*D1101,0)</f>
      </c>
    </row>
    <row r="1102" spans="1:13" x14ac:dyDescent="0.25">
      <c r="A1102" s="16"/>
      <c r="E1102" s="27"/>
      <c r="F1102" t="s">
        <v>26</v>
      </c>
      <c r="G1102" s="28">
        <f>IFERROR(VLOOKUP(F1102,CARTON_LOOKUP!$A:$E,3,0),"")</f>
      </c>
      <c r="H1102" s="28">
        <f>IFERROR(VLOOKUP(F1102,CARTON_LOOKUP!$A:$E,4,0),"")</f>
      </c>
      <c r="I1102" s="28">
        <f>IFERROR(VLOOKUP(F1102,CARTON_LOOKUP!$A:$E,5,0),"")</f>
      </c>
      <c r="J1102" s="29">
        <f>IFERROR(VLOOKUP(F1102,CARTON_LOOKUP!$A:$E,2,0),"")</f>
      </c>
      <c r="K1102" s="29">
        <f>IFERROR(J1102*D1102,0)</f>
      </c>
      <c r="L1102" s="29">
        <f>IFERROR(E1102*C1102,0)</f>
      </c>
      <c r="M1102" s="29">
        <f>IFERROR((G1102*H1102*I1102/1000000)*D1102,0)</f>
      </c>
    </row>
    <row r="1103" spans="1:13" x14ac:dyDescent="0.25">
      <c r="A1103" s="16"/>
      <c r="E1103" s="27"/>
      <c r="F1103" t="s">
        <v>26</v>
      </c>
      <c r="G1103" s="28">
        <f>IFERROR(VLOOKUP(F1103,CARTON_LOOKUP!$A:$E,3,0),"")</f>
      </c>
      <c r="H1103" s="28">
        <f>IFERROR(VLOOKUP(F1103,CARTON_LOOKUP!$A:$E,4,0),"")</f>
      </c>
      <c r="I1103" s="28">
        <f>IFERROR(VLOOKUP(F1103,CARTON_LOOKUP!$A:$E,5,0),"")</f>
      </c>
      <c r="J1103" s="29">
        <f>IFERROR(VLOOKUP(F1103,CARTON_LOOKUP!$A:$E,2,0),"")</f>
      </c>
      <c r="K1103" s="29">
        <f>IFERROR(J1103*D1103,0)</f>
      </c>
      <c r="L1103" s="29">
        <f>IFERROR(E1103*C1103,0)</f>
      </c>
      <c r="M1103" s="29">
        <f>IFERROR((G1103*H1103*I1103/1000000)*D1103,0)</f>
      </c>
    </row>
    <row r="1104" spans="1:13" x14ac:dyDescent="0.25">
      <c r="A1104" s="16"/>
      <c r="E1104" s="27"/>
      <c r="F1104" t="s">
        <v>26</v>
      </c>
      <c r="G1104" s="28">
        <f>IFERROR(VLOOKUP(F1104,CARTON_LOOKUP!$A:$E,3,0),"")</f>
      </c>
      <c r="H1104" s="28">
        <f>IFERROR(VLOOKUP(F1104,CARTON_LOOKUP!$A:$E,4,0),"")</f>
      </c>
      <c r="I1104" s="28">
        <f>IFERROR(VLOOKUP(F1104,CARTON_LOOKUP!$A:$E,5,0),"")</f>
      </c>
      <c r="J1104" s="29">
        <f>IFERROR(VLOOKUP(F1104,CARTON_LOOKUP!$A:$E,2,0),"")</f>
      </c>
      <c r="K1104" s="29">
        <f>IFERROR(J1104*D1104,0)</f>
      </c>
      <c r="L1104" s="29">
        <f>IFERROR(E1104*C1104,0)</f>
      </c>
      <c r="M1104" s="29">
        <f>IFERROR((G1104*H1104*I1104/1000000)*D1104,0)</f>
      </c>
    </row>
    <row r="1105" spans="1:13" x14ac:dyDescent="0.25">
      <c r="A1105" s="16"/>
      <c r="E1105" s="27"/>
      <c r="F1105" t="s">
        <v>26</v>
      </c>
      <c r="G1105" s="28">
        <f>IFERROR(VLOOKUP(F1105,CARTON_LOOKUP!$A:$E,3,0),"")</f>
      </c>
      <c r="H1105" s="28">
        <f>IFERROR(VLOOKUP(F1105,CARTON_LOOKUP!$A:$E,4,0),"")</f>
      </c>
      <c r="I1105" s="28">
        <f>IFERROR(VLOOKUP(F1105,CARTON_LOOKUP!$A:$E,5,0),"")</f>
      </c>
      <c r="J1105" s="29">
        <f>IFERROR(VLOOKUP(F1105,CARTON_LOOKUP!$A:$E,2,0),"")</f>
      </c>
      <c r="K1105" s="29">
        <f>IFERROR(J1105*D1105,0)</f>
      </c>
      <c r="L1105" s="29">
        <f>IFERROR(E1105*C1105,0)</f>
      </c>
      <c r="M1105" s="29">
        <f>IFERROR((G1105*H1105*I1105/1000000)*D1105,0)</f>
      </c>
    </row>
    <row r="1106" spans="1:13" x14ac:dyDescent="0.25">
      <c r="A1106" s="16"/>
      <c r="E1106" s="27"/>
      <c r="F1106" t="s">
        <v>26</v>
      </c>
      <c r="G1106" s="28">
        <f>IFERROR(VLOOKUP(F1106,CARTON_LOOKUP!$A:$E,3,0),"")</f>
      </c>
      <c r="H1106" s="28">
        <f>IFERROR(VLOOKUP(F1106,CARTON_LOOKUP!$A:$E,4,0),"")</f>
      </c>
      <c r="I1106" s="28">
        <f>IFERROR(VLOOKUP(F1106,CARTON_LOOKUP!$A:$E,5,0),"")</f>
      </c>
      <c r="J1106" s="29">
        <f>IFERROR(VLOOKUP(F1106,CARTON_LOOKUP!$A:$E,2,0),"")</f>
      </c>
      <c r="K1106" s="29">
        <f>IFERROR(J1106*D1106,0)</f>
      </c>
      <c r="L1106" s="29">
        <f>IFERROR(E1106*C1106,0)</f>
      </c>
      <c r="M1106" s="29">
        <f>IFERROR((G1106*H1106*I1106/1000000)*D1106,0)</f>
      </c>
    </row>
    <row r="1107" spans="1:13" x14ac:dyDescent="0.25">
      <c r="A1107" s="16"/>
      <c r="E1107" s="27"/>
      <c r="F1107" t="s">
        <v>26</v>
      </c>
      <c r="G1107" s="28">
        <f>IFERROR(VLOOKUP(F1107,CARTON_LOOKUP!$A:$E,3,0),"")</f>
      </c>
      <c r="H1107" s="28">
        <f>IFERROR(VLOOKUP(F1107,CARTON_LOOKUP!$A:$E,4,0),"")</f>
      </c>
      <c r="I1107" s="28">
        <f>IFERROR(VLOOKUP(F1107,CARTON_LOOKUP!$A:$E,5,0),"")</f>
      </c>
      <c r="J1107" s="29">
        <f>IFERROR(VLOOKUP(F1107,CARTON_LOOKUP!$A:$E,2,0),"")</f>
      </c>
      <c r="K1107" s="29">
        <f>IFERROR(J1107*D1107,0)</f>
      </c>
      <c r="L1107" s="29">
        <f>IFERROR(E1107*C1107,0)</f>
      </c>
      <c r="M1107" s="29">
        <f>IFERROR((G1107*H1107*I1107/1000000)*D1107,0)</f>
      </c>
    </row>
    <row r="1108" spans="1:13" x14ac:dyDescent="0.25">
      <c r="A1108" s="16"/>
      <c r="E1108" s="27"/>
      <c r="F1108" t="s">
        <v>26</v>
      </c>
      <c r="G1108" s="28">
        <f>IFERROR(VLOOKUP(F1108,CARTON_LOOKUP!$A:$E,3,0),"")</f>
      </c>
      <c r="H1108" s="28">
        <f>IFERROR(VLOOKUP(F1108,CARTON_LOOKUP!$A:$E,4,0),"")</f>
      </c>
      <c r="I1108" s="28">
        <f>IFERROR(VLOOKUP(F1108,CARTON_LOOKUP!$A:$E,5,0),"")</f>
      </c>
      <c r="J1108" s="29">
        <f>IFERROR(VLOOKUP(F1108,CARTON_LOOKUP!$A:$E,2,0),"")</f>
      </c>
      <c r="K1108" s="29">
        <f>IFERROR(J1108*D1108,0)</f>
      </c>
      <c r="L1108" s="29">
        <f>IFERROR(E1108*C1108,0)</f>
      </c>
      <c r="M1108" s="29">
        <f>IFERROR((G1108*H1108*I1108/1000000)*D1108,0)</f>
      </c>
    </row>
    <row r="1109" spans="1:13" x14ac:dyDescent="0.25">
      <c r="A1109" s="16"/>
      <c r="E1109" s="27"/>
      <c r="F1109" t="s">
        <v>26</v>
      </c>
      <c r="G1109" s="28">
        <f>IFERROR(VLOOKUP(F1109,CARTON_LOOKUP!$A:$E,3,0),"")</f>
      </c>
      <c r="H1109" s="28">
        <f>IFERROR(VLOOKUP(F1109,CARTON_LOOKUP!$A:$E,4,0),"")</f>
      </c>
      <c r="I1109" s="28">
        <f>IFERROR(VLOOKUP(F1109,CARTON_LOOKUP!$A:$E,5,0),"")</f>
      </c>
      <c r="J1109" s="29">
        <f>IFERROR(VLOOKUP(F1109,CARTON_LOOKUP!$A:$E,2,0),"")</f>
      </c>
      <c r="K1109" s="29">
        <f>IFERROR(J1109*D1109,0)</f>
      </c>
      <c r="L1109" s="29">
        <f>IFERROR(E1109*C1109,0)</f>
      </c>
      <c r="M1109" s="29">
        <f>IFERROR((G1109*H1109*I1109/1000000)*D1109,0)</f>
      </c>
    </row>
    <row r="1110" spans="1:13" x14ac:dyDescent="0.25">
      <c r="A1110" s="16"/>
      <c r="E1110" s="27"/>
      <c r="F1110" t="s">
        <v>26</v>
      </c>
      <c r="G1110" s="28">
        <f>IFERROR(VLOOKUP(F1110,CARTON_LOOKUP!$A:$E,3,0),"")</f>
      </c>
      <c r="H1110" s="28">
        <f>IFERROR(VLOOKUP(F1110,CARTON_LOOKUP!$A:$E,4,0),"")</f>
      </c>
      <c r="I1110" s="28">
        <f>IFERROR(VLOOKUP(F1110,CARTON_LOOKUP!$A:$E,5,0),"")</f>
      </c>
      <c r="J1110" s="29">
        <f>IFERROR(VLOOKUP(F1110,CARTON_LOOKUP!$A:$E,2,0),"")</f>
      </c>
      <c r="K1110" s="29">
        <f>IFERROR(J1110*D1110,0)</f>
      </c>
      <c r="L1110" s="29">
        <f>IFERROR(E1110*C1110,0)</f>
      </c>
      <c r="M1110" s="29">
        <f>IFERROR((G1110*H1110*I1110/1000000)*D1110,0)</f>
      </c>
    </row>
    <row r="1111" spans="1:13" x14ac:dyDescent="0.25">
      <c r="A1111" s="16"/>
      <c r="E1111" s="27"/>
      <c r="F1111" t="s">
        <v>26</v>
      </c>
      <c r="G1111" s="28">
        <f>IFERROR(VLOOKUP(F1111,CARTON_LOOKUP!$A:$E,3,0),"")</f>
      </c>
      <c r="H1111" s="28">
        <f>IFERROR(VLOOKUP(F1111,CARTON_LOOKUP!$A:$E,4,0),"")</f>
      </c>
      <c r="I1111" s="28">
        <f>IFERROR(VLOOKUP(F1111,CARTON_LOOKUP!$A:$E,5,0),"")</f>
      </c>
      <c r="J1111" s="29">
        <f>IFERROR(VLOOKUP(F1111,CARTON_LOOKUP!$A:$E,2,0),"")</f>
      </c>
      <c r="K1111" s="29">
        <f>IFERROR(J1111*D1111,0)</f>
      </c>
      <c r="L1111" s="29">
        <f>IFERROR(E1111*C1111,0)</f>
      </c>
      <c r="M1111" s="29">
        <f>IFERROR((G1111*H1111*I1111/1000000)*D1111,0)</f>
      </c>
    </row>
    <row r="1112" spans="1:13" x14ac:dyDescent="0.25">
      <c r="A1112" s="16"/>
      <c r="E1112" s="27"/>
      <c r="F1112" t="s">
        <v>26</v>
      </c>
      <c r="G1112" s="28">
        <f>IFERROR(VLOOKUP(F1112,CARTON_LOOKUP!$A:$E,3,0),"")</f>
      </c>
      <c r="H1112" s="28">
        <f>IFERROR(VLOOKUP(F1112,CARTON_LOOKUP!$A:$E,4,0),"")</f>
      </c>
      <c r="I1112" s="28">
        <f>IFERROR(VLOOKUP(F1112,CARTON_LOOKUP!$A:$E,5,0),"")</f>
      </c>
      <c r="J1112" s="29">
        <f>IFERROR(VLOOKUP(F1112,CARTON_LOOKUP!$A:$E,2,0),"")</f>
      </c>
      <c r="K1112" s="29">
        <f>IFERROR(J1112*D1112,0)</f>
      </c>
      <c r="L1112" s="29">
        <f>IFERROR(E1112*C1112,0)</f>
      </c>
      <c r="M1112" s="29">
        <f>IFERROR((G1112*H1112*I1112/1000000)*D1112,0)</f>
      </c>
    </row>
    <row r="1113" spans="1:13" x14ac:dyDescent="0.25">
      <c r="A1113" s="16"/>
      <c r="E1113" s="27"/>
      <c r="F1113" t="s">
        <v>26</v>
      </c>
      <c r="G1113" s="28">
        <f>IFERROR(VLOOKUP(F1113,CARTON_LOOKUP!$A:$E,3,0),"")</f>
      </c>
      <c r="H1113" s="28">
        <f>IFERROR(VLOOKUP(F1113,CARTON_LOOKUP!$A:$E,4,0),"")</f>
      </c>
      <c r="I1113" s="28">
        <f>IFERROR(VLOOKUP(F1113,CARTON_LOOKUP!$A:$E,5,0),"")</f>
      </c>
      <c r="J1113" s="29">
        <f>IFERROR(VLOOKUP(F1113,CARTON_LOOKUP!$A:$E,2,0),"")</f>
      </c>
      <c r="K1113" s="29">
        <f>IFERROR(J1113*D1113,0)</f>
      </c>
      <c r="L1113" s="29">
        <f>IFERROR(E1113*C1113,0)</f>
      </c>
      <c r="M1113" s="29">
        <f>IFERROR((G1113*H1113*I1113/1000000)*D1113,0)</f>
      </c>
    </row>
    <row r="1114" spans="1:13" x14ac:dyDescent="0.25">
      <c r="A1114" s="16"/>
      <c r="E1114" s="27"/>
      <c r="F1114" t="s">
        <v>26</v>
      </c>
      <c r="G1114" s="28">
        <f>IFERROR(VLOOKUP(F1114,CARTON_LOOKUP!$A:$E,3,0),"")</f>
      </c>
      <c r="H1114" s="28">
        <f>IFERROR(VLOOKUP(F1114,CARTON_LOOKUP!$A:$E,4,0),"")</f>
      </c>
      <c r="I1114" s="28">
        <f>IFERROR(VLOOKUP(F1114,CARTON_LOOKUP!$A:$E,5,0),"")</f>
      </c>
      <c r="J1114" s="29">
        <f>IFERROR(VLOOKUP(F1114,CARTON_LOOKUP!$A:$E,2,0),"")</f>
      </c>
      <c r="K1114" s="29">
        <f>IFERROR(J1114*D1114,0)</f>
      </c>
      <c r="L1114" s="29">
        <f>IFERROR(E1114*C1114,0)</f>
      </c>
      <c r="M1114" s="29">
        <f>IFERROR((G1114*H1114*I1114/1000000)*D1114,0)</f>
      </c>
    </row>
    <row r="1115" spans="1:13" x14ac:dyDescent="0.25">
      <c r="A1115" s="16"/>
      <c r="E1115" s="27"/>
      <c r="F1115" t="s">
        <v>26</v>
      </c>
      <c r="G1115" s="28">
        <f>IFERROR(VLOOKUP(F1115,CARTON_LOOKUP!$A:$E,3,0),"")</f>
      </c>
      <c r="H1115" s="28">
        <f>IFERROR(VLOOKUP(F1115,CARTON_LOOKUP!$A:$E,4,0),"")</f>
      </c>
      <c r="I1115" s="28">
        <f>IFERROR(VLOOKUP(F1115,CARTON_LOOKUP!$A:$E,5,0),"")</f>
      </c>
      <c r="J1115" s="29">
        <f>IFERROR(VLOOKUP(F1115,CARTON_LOOKUP!$A:$E,2,0),"")</f>
      </c>
      <c r="K1115" s="29">
        <f>IFERROR(J1115*D1115,0)</f>
      </c>
      <c r="L1115" s="29">
        <f>IFERROR(E1115*C1115,0)</f>
      </c>
      <c r="M1115" s="29">
        <f>IFERROR((G1115*H1115*I1115/1000000)*D1115,0)</f>
      </c>
    </row>
    <row r="1116" spans="1:13" x14ac:dyDescent="0.25">
      <c r="A1116" s="16"/>
      <c r="E1116" s="27"/>
      <c r="F1116" t="s">
        <v>26</v>
      </c>
      <c r="G1116" s="28">
        <f>IFERROR(VLOOKUP(F1116,CARTON_LOOKUP!$A:$E,3,0),"")</f>
      </c>
      <c r="H1116" s="28">
        <f>IFERROR(VLOOKUP(F1116,CARTON_LOOKUP!$A:$E,4,0),"")</f>
      </c>
      <c r="I1116" s="28">
        <f>IFERROR(VLOOKUP(F1116,CARTON_LOOKUP!$A:$E,5,0),"")</f>
      </c>
      <c r="J1116" s="29">
        <f>IFERROR(VLOOKUP(F1116,CARTON_LOOKUP!$A:$E,2,0),"")</f>
      </c>
      <c r="K1116" s="29">
        <f>IFERROR(J1116*D1116,0)</f>
      </c>
      <c r="L1116" s="29">
        <f>IFERROR(E1116*C1116,0)</f>
      </c>
      <c r="M1116" s="29">
        <f>IFERROR((G1116*H1116*I1116/1000000)*D1116,0)</f>
      </c>
    </row>
    <row r="1117" spans="1:13" x14ac:dyDescent="0.25">
      <c r="A1117" s="16"/>
      <c r="E1117" s="27"/>
      <c r="F1117" t="s">
        <v>26</v>
      </c>
      <c r="G1117" s="28">
        <f>IFERROR(VLOOKUP(F1117,CARTON_LOOKUP!$A:$E,3,0),"")</f>
      </c>
      <c r="H1117" s="28">
        <f>IFERROR(VLOOKUP(F1117,CARTON_LOOKUP!$A:$E,4,0),"")</f>
      </c>
      <c r="I1117" s="28">
        <f>IFERROR(VLOOKUP(F1117,CARTON_LOOKUP!$A:$E,5,0),"")</f>
      </c>
      <c r="J1117" s="29">
        <f>IFERROR(VLOOKUP(F1117,CARTON_LOOKUP!$A:$E,2,0),"")</f>
      </c>
      <c r="K1117" s="29">
        <f>IFERROR(J1117*D1117,0)</f>
      </c>
      <c r="L1117" s="29">
        <f>IFERROR(E1117*C1117,0)</f>
      </c>
      <c r="M1117" s="29">
        <f>IFERROR((G1117*H1117*I1117/1000000)*D1117,0)</f>
      </c>
    </row>
    <row r="1118" spans="1:13" x14ac:dyDescent="0.25">
      <c r="A1118" s="16"/>
      <c r="E1118" s="27"/>
      <c r="F1118" t="s">
        <v>26</v>
      </c>
      <c r="G1118" s="28">
        <f>IFERROR(VLOOKUP(F1118,CARTON_LOOKUP!$A:$E,3,0),"")</f>
      </c>
      <c r="H1118" s="28">
        <f>IFERROR(VLOOKUP(F1118,CARTON_LOOKUP!$A:$E,4,0),"")</f>
      </c>
      <c r="I1118" s="28">
        <f>IFERROR(VLOOKUP(F1118,CARTON_LOOKUP!$A:$E,5,0),"")</f>
      </c>
      <c r="J1118" s="29">
        <f>IFERROR(VLOOKUP(F1118,CARTON_LOOKUP!$A:$E,2,0),"")</f>
      </c>
      <c r="K1118" s="29">
        <f>IFERROR(J1118*D1118,0)</f>
      </c>
      <c r="L1118" s="29">
        <f>IFERROR(E1118*C1118,0)</f>
      </c>
      <c r="M1118" s="29">
        <f>IFERROR((G1118*H1118*I1118/1000000)*D1118,0)</f>
      </c>
    </row>
    <row r="1119" spans="1:13" x14ac:dyDescent="0.25">
      <c r="A1119" s="16"/>
      <c r="E1119" s="27"/>
      <c r="F1119" t="s">
        <v>26</v>
      </c>
      <c r="G1119" s="28">
        <f>IFERROR(VLOOKUP(F1119,CARTON_LOOKUP!$A:$E,3,0),"")</f>
      </c>
      <c r="H1119" s="28">
        <f>IFERROR(VLOOKUP(F1119,CARTON_LOOKUP!$A:$E,4,0),"")</f>
      </c>
      <c r="I1119" s="28">
        <f>IFERROR(VLOOKUP(F1119,CARTON_LOOKUP!$A:$E,5,0),"")</f>
      </c>
      <c r="J1119" s="29">
        <f>IFERROR(VLOOKUP(F1119,CARTON_LOOKUP!$A:$E,2,0),"")</f>
      </c>
      <c r="K1119" s="29">
        <f>IFERROR(J1119*D1119,0)</f>
      </c>
      <c r="L1119" s="29">
        <f>IFERROR(E1119*C1119,0)</f>
      </c>
      <c r="M1119" s="29">
        <f>IFERROR((G1119*H1119*I1119/1000000)*D1119,0)</f>
      </c>
    </row>
    <row r="1120" spans="1:13" x14ac:dyDescent="0.25">
      <c r="A1120" s="16"/>
      <c r="E1120" s="27"/>
      <c r="F1120" t="s">
        <v>26</v>
      </c>
      <c r="G1120" s="28">
        <f>IFERROR(VLOOKUP(F1120,CARTON_LOOKUP!$A:$E,3,0),"")</f>
      </c>
      <c r="H1120" s="28">
        <f>IFERROR(VLOOKUP(F1120,CARTON_LOOKUP!$A:$E,4,0),"")</f>
      </c>
      <c r="I1120" s="28">
        <f>IFERROR(VLOOKUP(F1120,CARTON_LOOKUP!$A:$E,5,0),"")</f>
      </c>
      <c r="J1120" s="29">
        <f>IFERROR(VLOOKUP(F1120,CARTON_LOOKUP!$A:$E,2,0),"")</f>
      </c>
      <c r="K1120" s="29">
        <f>IFERROR(J1120*D1120,0)</f>
      </c>
      <c r="L1120" s="29">
        <f>IFERROR(E1120*C1120,0)</f>
      </c>
      <c r="M1120" s="29">
        <f>IFERROR((G1120*H1120*I1120/1000000)*D1120,0)</f>
      </c>
    </row>
    <row r="1121" spans="1:13" x14ac:dyDescent="0.25">
      <c r="A1121" s="16"/>
      <c r="E1121" s="27"/>
      <c r="F1121" t="s">
        <v>26</v>
      </c>
      <c r="G1121" s="28">
        <f>IFERROR(VLOOKUP(F1121,CARTON_LOOKUP!$A:$E,3,0),"")</f>
      </c>
      <c r="H1121" s="28">
        <f>IFERROR(VLOOKUP(F1121,CARTON_LOOKUP!$A:$E,4,0),"")</f>
      </c>
      <c r="I1121" s="28">
        <f>IFERROR(VLOOKUP(F1121,CARTON_LOOKUP!$A:$E,5,0),"")</f>
      </c>
      <c r="J1121" s="29">
        <f>IFERROR(VLOOKUP(F1121,CARTON_LOOKUP!$A:$E,2,0),"")</f>
      </c>
      <c r="K1121" s="29">
        <f>IFERROR(J1121*D1121,0)</f>
      </c>
      <c r="L1121" s="29">
        <f>IFERROR(E1121*C1121,0)</f>
      </c>
      <c r="M1121" s="29">
        <f>IFERROR((G1121*H1121*I1121/1000000)*D1121,0)</f>
      </c>
    </row>
    <row r="1122" spans="1:13" x14ac:dyDescent="0.25">
      <c r="A1122" s="16"/>
      <c r="E1122" s="27"/>
      <c r="F1122" t="s">
        <v>26</v>
      </c>
      <c r="G1122" s="28">
        <f>IFERROR(VLOOKUP(F1122,CARTON_LOOKUP!$A:$E,3,0),"")</f>
      </c>
      <c r="H1122" s="28">
        <f>IFERROR(VLOOKUP(F1122,CARTON_LOOKUP!$A:$E,4,0),"")</f>
      </c>
      <c r="I1122" s="28">
        <f>IFERROR(VLOOKUP(F1122,CARTON_LOOKUP!$A:$E,5,0),"")</f>
      </c>
      <c r="J1122" s="29">
        <f>IFERROR(VLOOKUP(F1122,CARTON_LOOKUP!$A:$E,2,0),"")</f>
      </c>
      <c r="K1122" s="29">
        <f>IFERROR(J1122*D1122,0)</f>
      </c>
      <c r="L1122" s="29">
        <f>IFERROR(E1122*C1122,0)</f>
      </c>
      <c r="M1122" s="29">
        <f>IFERROR((G1122*H1122*I1122/1000000)*D1122,0)</f>
      </c>
    </row>
    <row r="1123" spans="1:13" x14ac:dyDescent="0.25">
      <c r="A1123" s="16"/>
      <c r="E1123" s="27"/>
      <c r="F1123" t="s">
        <v>26</v>
      </c>
      <c r="G1123" s="28">
        <f>IFERROR(VLOOKUP(F1123,CARTON_LOOKUP!$A:$E,3,0),"")</f>
      </c>
      <c r="H1123" s="28">
        <f>IFERROR(VLOOKUP(F1123,CARTON_LOOKUP!$A:$E,4,0),"")</f>
      </c>
      <c r="I1123" s="28">
        <f>IFERROR(VLOOKUP(F1123,CARTON_LOOKUP!$A:$E,5,0),"")</f>
      </c>
      <c r="J1123" s="29">
        <f>IFERROR(VLOOKUP(F1123,CARTON_LOOKUP!$A:$E,2,0),"")</f>
      </c>
      <c r="K1123" s="29">
        <f>IFERROR(J1123*D1123,0)</f>
      </c>
      <c r="L1123" s="29">
        <f>IFERROR(E1123*C1123,0)</f>
      </c>
      <c r="M1123" s="29">
        <f>IFERROR((G1123*H1123*I1123/1000000)*D1123,0)</f>
      </c>
    </row>
    <row r="1124" spans="1:13" x14ac:dyDescent="0.25">
      <c r="A1124" s="16"/>
      <c r="E1124" s="27"/>
      <c r="F1124" t="s">
        <v>26</v>
      </c>
      <c r="G1124" s="28">
        <f>IFERROR(VLOOKUP(F1124,CARTON_LOOKUP!$A:$E,3,0),"")</f>
      </c>
      <c r="H1124" s="28">
        <f>IFERROR(VLOOKUP(F1124,CARTON_LOOKUP!$A:$E,4,0),"")</f>
      </c>
      <c r="I1124" s="28">
        <f>IFERROR(VLOOKUP(F1124,CARTON_LOOKUP!$A:$E,5,0),"")</f>
      </c>
      <c r="J1124" s="29">
        <f>IFERROR(VLOOKUP(F1124,CARTON_LOOKUP!$A:$E,2,0),"")</f>
      </c>
      <c r="K1124" s="29">
        <f>IFERROR(J1124*D1124,0)</f>
      </c>
      <c r="L1124" s="29">
        <f>IFERROR(E1124*C1124,0)</f>
      </c>
      <c r="M1124" s="29">
        <f>IFERROR((G1124*H1124*I1124/1000000)*D1124,0)</f>
      </c>
    </row>
    <row r="1125" spans="1:13" x14ac:dyDescent="0.25">
      <c r="A1125" s="16"/>
      <c r="E1125" s="27"/>
      <c r="F1125" t="s">
        <v>26</v>
      </c>
      <c r="G1125" s="28">
        <f>IFERROR(VLOOKUP(F1125,CARTON_LOOKUP!$A:$E,3,0),"")</f>
      </c>
      <c r="H1125" s="28">
        <f>IFERROR(VLOOKUP(F1125,CARTON_LOOKUP!$A:$E,4,0),"")</f>
      </c>
      <c r="I1125" s="28">
        <f>IFERROR(VLOOKUP(F1125,CARTON_LOOKUP!$A:$E,5,0),"")</f>
      </c>
      <c r="J1125" s="29">
        <f>IFERROR(VLOOKUP(F1125,CARTON_LOOKUP!$A:$E,2,0),"")</f>
      </c>
      <c r="K1125" s="29">
        <f>IFERROR(J1125*D1125,0)</f>
      </c>
      <c r="L1125" s="29">
        <f>IFERROR(E1125*C1125,0)</f>
      </c>
      <c r="M1125" s="29">
        <f>IFERROR((G1125*H1125*I1125/1000000)*D1125,0)</f>
      </c>
    </row>
    <row r="1126" spans="1:13" x14ac:dyDescent="0.25">
      <c r="A1126" s="16"/>
      <c r="E1126" s="27"/>
      <c r="F1126" t="s">
        <v>26</v>
      </c>
      <c r="G1126" s="28">
        <f>IFERROR(VLOOKUP(F1126,CARTON_LOOKUP!$A:$E,3,0),"")</f>
      </c>
      <c r="H1126" s="28">
        <f>IFERROR(VLOOKUP(F1126,CARTON_LOOKUP!$A:$E,4,0),"")</f>
      </c>
      <c r="I1126" s="28">
        <f>IFERROR(VLOOKUP(F1126,CARTON_LOOKUP!$A:$E,5,0),"")</f>
      </c>
      <c r="J1126" s="29">
        <f>IFERROR(VLOOKUP(F1126,CARTON_LOOKUP!$A:$E,2,0),"")</f>
      </c>
      <c r="K1126" s="29">
        <f>IFERROR(J1126*D1126,0)</f>
      </c>
      <c r="L1126" s="29">
        <f>IFERROR(E1126*C1126,0)</f>
      </c>
      <c r="M1126" s="29">
        <f>IFERROR((G1126*H1126*I1126/1000000)*D1126,0)</f>
      </c>
    </row>
    <row r="1127" spans="1:13" x14ac:dyDescent="0.25">
      <c r="A1127" s="16"/>
      <c r="E1127" s="27"/>
      <c r="F1127" t="s">
        <v>26</v>
      </c>
      <c r="G1127" s="28">
        <f>IFERROR(VLOOKUP(F1127,CARTON_LOOKUP!$A:$E,3,0),"")</f>
      </c>
      <c r="H1127" s="28">
        <f>IFERROR(VLOOKUP(F1127,CARTON_LOOKUP!$A:$E,4,0),"")</f>
      </c>
      <c r="I1127" s="28">
        <f>IFERROR(VLOOKUP(F1127,CARTON_LOOKUP!$A:$E,5,0),"")</f>
      </c>
      <c r="J1127" s="29">
        <f>IFERROR(VLOOKUP(F1127,CARTON_LOOKUP!$A:$E,2,0),"")</f>
      </c>
      <c r="K1127" s="29">
        <f>IFERROR(J1127*D1127,0)</f>
      </c>
      <c r="L1127" s="29">
        <f>IFERROR(E1127*C1127,0)</f>
      </c>
      <c r="M1127" s="29">
        <f>IFERROR((G1127*H1127*I1127/1000000)*D1127,0)</f>
      </c>
    </row>
    <row r="1128" spans="1:13" x14ac:dyDescent="0.25">
      <c r="A1128" s="16"/>
      <c r="E1128" s="27"/>
      <c r="F1128" t="s">
        <v>26</v>
      </c>
      <c r="G1128" s="28">
        <f>IFERROR(VLOOKUP(F1128,CARTON_LOOKUP!$A:$E,3,0),"")</f>
      </c>
      <c r="H1128" s="28">
        <f>IFERROR(VLOOKUP(F1128,CARTON_LOOKUP!$A:$E,4,0),"")</f>
      </c>
      <c r="I1128" s="28">
        <f>IFERROR(VLOOKUP(F1128,CARTON_LOOKUP!$A:$E,5,0),"")</f>
      </c>
      <c r="J1128" s="29">
        <f>IFERROR(VLOOKUP(F1128,CARTON_LOOKUP!$A:$E,2,0),"")</f>
      </c>
      <c r="K1128" s="29">
        <f>IFERROR(J1128*D1128,0)</f>
      </c>
      <c r="L1128" s="29">
        <f>IFERROR(E1128*C1128,0)</f>
      </c>
      <c r="M1128" s="29">
        <f>IFERROR((G1128*H1128*I1128/1000000)*D1128,0)</f>
      </c>
    </row>
    <row r="1129" spans="1:13" x14ac:dyDescent="0.25">
      <c r="A1129" s="16"/>
      <c r="E1129" s="27"/>
      <c r="F1129" t="s">
        <v>26</v>
      </c>
      <c r="G1129" s="28">
        <f>IFERROR(VLOOKUP(F1129,CARTON_LOOKUP!$A:$E,3,0),"")</f>
      </c>
      <c r="H1129" s="28">
        <f>IFERROR(VLOOKUP(F1129,CARTON_LOOKUP!$A:$E,4,0),"")</f>
      </c>
      <c r="I1129" s="28">
        <f>IFERROR(VLOOKUP(F1129,CARTON_LOOKUP!$A:$E,5,0),"")</f>
      </c>
      <c r="J1129" s="29">
        <f>IFERROR(VLOOKUP(F1129,CARTON_LOOKUP!$A:$E,2,0),"")</f>
      </c>
      <c r="K1129" s="29">
        <f>IFERROR(J1129*D1129,0)</f>
      </c>
      <c r="L1129" s="29">
        <f>IFERROR(E1129*C1129,0)</f>
      </c>
      <c r="M1129" s="29">
        <f>IFERROR((G1129*H1129*I1129/1000000)*D1129,0)</f>
      </c>
    </row>
    <row r="1130" spans="1:13" x14ac:dyDescent="0.25">
      <c r="A1130" s="16"/>
      <c r="E1130" s="27"/>
      <c r="F1130" t="s">
        <v>26</v>
      </c>
      <c r="G1130" s="28">
        <f>IFERROR(VLOOKUP(F1130,CARTON_LOOKUP!$A:$E,3,0),"")</f>
      </c>
      <c r="H1130" s="28">
        <f>IFERROR(VLOOKUP(F1130,CARTON_LOOKUP!$A:$E,4,0),"")</f>
      </c>
      <c r="I1130" s="28">
        <f>IFERROR(VLOOKUP(F1130,CARTON_LOOKUP!$A:$E,5,0),"")</f>
      </c>
      <c r="J1130" s="29">
        <f>IFERROR(VLOOKUP(F1130,CARTON_LOOKUP!$A:$E,2,0),"")</f>
      </c>
      <c r="K1130" s="29">
        <f>IFERROR(J1130*D1130,0)</f>
      </c>
      <c r="L1130" s="29">
        <f>IFERROR(E1130*C1130,0)</f>
      </c>
      <c r="M1130" s="29">
        <f>IFERROR((G1130*H1130*I1130/1000000)*D1130,0)</f>
      </c>
    </row>
    <row r="1131" spans="1:13" x14ac:dyDescent="0.25">
      <c r="A1131" s="16"/>
      <c r="E1131" s="27"/>
      <c r="F1131" t="s">
        <v>26</v>
      </c>
      <c r="G1131" s="28">
        <f>IFERROR(VLOOKUP(F1131,CARTON_LOOKUP!$A:$E,3,0),"")</f>
      </c>
      <c r="H1131" s="28">
        <f>IFERROR(VLOOKUP(F1131,CARTON_LOOKUP!$A:$E,4,0),"")</f>
      </c>
      <c r="I1131" s="28">
        <f>IFERROR(VLOOKUP(F1131,CARTON_LOOKUP!$A:$E,5,0),"")</f>
      </c>
      <c r="J1131" s="29">
        <f>IFERROR(VLOOKUP(F1131,CARTON_LOOKUP!$A:$E,2,0),"")</f>
      </c>
      <c r="K1131" s="29">
        <f>IFERROR(J1131*D1131,0)</f>
      </c>
      <c r="L1131" s="29">
        <f>IFERROR(E1131*C1131,0)</f>
      </c>
      <c r="M1131" s="29">
        <f>IFERROR((G1131*H1131*I1131/1000000)*D1131,0)</f>
      </c>
    </row>
    <row r="1132" spans="1:13" x14ac:dyDescent="0.25">
      <c r="A1132" s="16"/>
      <c r="E1132" s="27"/>
      <c r="F1132" t="s">
        <v>26</v>
      </c>
      <c r="G1132" s="28">
        <f>IFERROR(VLOOKUP(F1132,CARTON_LOOKUP!$A:$E,3,0),"")</f>
      </c>
      <c r="H1132" s="28">
        <f>IFERROR(VLOOKUP(F1132,CARTON_LOOKUP!$A:$E,4,0),"")</f>
      </c>
      <c r="I1132" s="28">
        <f>IFERROR(VLOOKUP(F1132,CARTON_LOOKUP!$A:$E,5,0),"")</f>
      </c>
      <c r="J1132" s="29">
        <f>IFERROR(VLOOKUP(F1132,CARTON_LOOKUP!$A:$E,2,0),"")</f>
      </c>
      <c r="K1132" s="29">
        <f>IFERROR(J1132*D1132,0)</f>
      </c>
      <c r="L1132" s="29">
        <f>IFERROR(E1132*C1132,0)</f>
      </c>
      <c r="M1132" s="29">
        <f>IFERROR((G1132*H1132*I1132/1000000)*D1132,0)</f>
      </c>
    </row>
    <row r="1133" spans="1:13" x14ac:dyDescent="0.25">
      <c r="A1133" s="16"/>
      <c r="E1133" s="27"/>
      <c r="F1133" t="s">
        <v>26</v>
      </c>
      <c r="G1133" s="28">
        <f>IFERROR(VLOOKUP(F1133,CARTON_LOOKUP!$A:$E,3,0),"")</f>
      </c>
      <c r="H1133" s="28">
        <f>IFERROR(VLOOKUP(F1133,CARTON_LOOKUP!$A:$E,4,0),"")</f>
      </c>
      <c r="I1133" s="28">
        <f>IFERROR(VLOOKUP(F1133,CARTON_LOOKUP!$A:$E,5,0),"")</f>
      </c>
      <c r="J1133" s="29">
        <f>IFERROR(VLOOKUP(F1133,CARTON_LOOKUP!$A:$E,2,0),"")</f>
      </c>
      <c r="K1133" s="29">
        <f>IFERROR(J1133*D1133,0)</f>
      </c>
      <c r="L1133" s="29">
        <f>IFERROR(E1133*C1133,0)</f>
      </c>
      <c r="M1133" s="29">
        <f>IFERROR((G1133*H1133*I1133/1000000)*D1133,0)</f>
      </c>
    </row>
    <row r="1134" spans="1:13" x14ac:dyDescent="0.25">
      <c r="A1134" s="16"/>
      <c r="E1134" s="27"/>
      <c r="F1134" t="s">
        <v>26</v>
      </c>
      <c r="G1134" s="28">
        <f>IFERROR(VLOOKUP(F1134,CARTON_LOOKUP!$A:$E,3,0),"")</f>
      </c>
      <c r="H1134" s="28">
        <f>IFERROR(VLOOKUP(F1134,CARTON_LOOKUP!$A:$E,4,0),"")</f>
      </c>
      <c r="I1134" s="28">
        <f>IFERROR(VLOOKUP(F1134,CARTON_LOOKUP!$A:$E,5,0),"")</f>
      </c>
      <c r="J1134" s="29">
        <f>IFERROR(VLOOKUP(F1134,CARTON_LOOKUP!$A:$E,2,0),"")</f>
      </c>
      <c r="K1134" s="29">
        <f>IFERROR(J1134*D1134,0)</f>
      </c>
      <c r="L1134" s="29">
        <f>IFERROR(E1134*C1134,0)</f>
      </c>
      <c r="M1134" s="29">
        <f>IFERROR((G1134*H1134*I1134/1000000)*D1134,0)</f>
      </c>
    </row>
    <row r="1135" spans="1:13" x14ac:dyDescent="0.25">
      <c r="A1135" s="16"/>
      <c r="E1135" s="27"/>
      <c r="F1135" t="s">
        <v>26</v>
      </c>
      <c r="G1135" s="28">
        <f>IFERROR(VLOOKUP(F1135,CARTON_LOOKUP!$A:$E,3,0),"")</f>
      </c>
      <c r="H1135" s="28">
        <f>IFERROR(VLOOKUP(F1135,CARTON_LOOKUP!$A:$E,4,0),"")</f>
      </c>
      <c r="I1135" s="28">
        <f>IFERROR(VLOOKUP(F1135,CARTON_LOOKUP!$A:$E,5,0),"")</f>
      </c>
      <c r="J1135" s="29">
        <f>IFERROR(VLOOKUP(F1135,CARTON_LOOKUP!$A:$E,2,0),"")</f>
      </c>
      <c r="K1135" s="29">
        <f>IFERROR(J1135*D1135,0)</f>
      </c>
      <c r="L1135" s="29">
        <f>IFERROR(E1135*C1135,0)</f>
      </c>
      <c r="M1135" s="29">
        <f>IFERROR((G1135*H1135*I1135/1000000)*D1135,0)</f>
      </c>
    </row>
    <row r="1136" spans="1:13" x14ac:dyDescent="0.25">
      <c r="A1136" s="16"/>
      <c r="E1136" s="27"/>
      <c r="F1136" t="s">
        <v>26</v>
      </c>
      <c r="G1136" s="28">
        <f>IFERROR(VLOOKUP(F1136,CARTON_LOOKUP!$A:$E,3,0),"")</f>
      </c>
      <c r="H1136" s="28">
        <f>IFERROR(VLOOKUP(F1136,CARTON_LOOKUP!$A:$E,4,0),"")</f>
      </c>
      <c r="I1136" s="28">
        <f>IFERROR(VLOOKUP(F1136,CARTON_LOOKUP!$A:$E,5,0),"")</f>
      </c>
      <c r="J1136" s="29">
        <f>IFERROR(VLOOKUP(F1136,CARTON_LOOKUP!$A:$E,2,0),"")</f>
      </c>
      <c r="K1136" s="29">
        <f>IFERROR(J1136*D1136,0)</f>
      </c>
      <c r="L1136" s="29">
        <f>IFERROR(E1136*C1136,0)</f>
      </c>
      <c r="M1136" s="29">
        <f>IFERROR((G1136*H1136*I1136/1000000)*D1136,0)</f>
      </c>
    </row>
    <row r="1137" spans="1:13" x14ac:dyDescent="0.25">
      <c r="A1137" s="16"/>
      <c r="E1137" s="27"/>
      <c r="F1137" t="s">
        <v>26</v>
      </c>
      <c r="G1137" s="28">
        <f>IFERROR(VLOOKUP(F1137,CARTON_LOOKUP!$A:$E,3,0),"")</f>
      </c>
      <c r="H1137" s="28">
        <f>IFERROR(VLOOKUP(F1137,CARTON_LOOKUP!$A:$E,4,0),"")</f>
      </c>
      <c r="I1137" s="28">
        <f>IFERROR(VLOOKUP(F1137,CARTON_LOOKUP!$A:$E,5,0),"")</f>
      </c>
      <c r="J1137" s="29">
        <f>IFERROR(VLOOKUP(F1137,CARTON_LOOKUP!$A:$E,2,0),"")</f>
      </c>
      <c r="K1137" s="29">
        <f>IFERROR(J1137*D1137,0)</f>
      </c>
      <c r="L1137" s="29">
        <f>IFERROR(E1137*C1137,0)</f>
      </c>
      <c r="M1137" s="29">
        <f>IFERROR((G1137*H1137*I1137/1000000)*D1137,0)</f>
      </c>
    </row>
    <row r="1138" spans="1:13" x14ac:dyDescent="0.25">
      <c r="A1138" s="16"/>
      <c r="E1138" s="27"/>
      <c r="F1138" t="s">
        <v>26</v>
      </c>
      <c r="G1138" s="28">
        <f>IFERROR(VLOOKUP(F1138,CARTON_LOOKUP!$A:$E,3,0),"")</f>
      </c>
      <c r="H1138" s="28">
        <f>IFERROR(VLOOKUP(F1138,CARTON_LOOKUP!$A:$E,4,0),"")</f>
      </c>
      <c r="I1138" s="28">
        <f>IFERROR(VLOOKUP(F1138,CARTON_LOOKUP!$A:$E,5,0),"")</f>
      </c>
      <c r="J1138" s="29">
        <f>IFERROR(VLOOKUP(F1138,CARTON_LOOKUP!$A:$E,2,0),"")</f>
      </c>
      <c r="K1138" s="29">
        <f>IFERROR(J1138*D1138,0)</f>
      </c>
      <c r="L1138" s="29">
        <f>IFERROR(E1138*C1138,0)</f>
      </c>
      <c r="M1138" s="29">
        <f>IFERROR((G1138*H1138*I1138/1000000)*D1138,0)</f>
      </c>
    </row>
    <row r="1139" spans="1:13" x14ac:dyDescent="0.25">
      <c r="A1139" s="16"/>
      <c r="E1139" s="27"/>
      <c r="F1139" t="s">
        <v>26</v>
      </c>
      <c r="G1139" s="28">
        <f>IFERROR(VLOOKUP(F1139,CARTON_LOOKUP!$A:$E,3,0),"")</f>
      </c>
      <c r="H1139" s="28">
        <f>IFERROR(VLOOKUP(F1139,CARTON_LOOKUP!$A:$E,4,0),"")</f>
      </c>
      <c r="I1139" s="28">
        <f>IFERROR(VLOOKUP(F1139,CARTON_LOOKUP!$A:$E,5,0),"")</f>
      </c>
      <c r="J1139" s="29">
        <f>IFERROR(VLOOKUP(F1139,CARTON_LOOKUP!$A:$E,2,0),"")</f>
      </c>
      <c r="K1139" s="29">
        <f>IFERROR(J1139*D1139,0)</f>
      </c>
      <c r="L1139" s="29">
        <f>IFERROR(E1139*C1139,0)</f>
      </c>
      <c r="M1139" s="29">
        <f>IFERROR((G1139*H1139*I1139/1000000)*D1139,0)</f>
      </c>
    </row>
    <row r="1140" spans="1:13" x14ac:dyDescent="0.25">
      <c r="A1140" s="16"/>
      <c r="E1140" s="27"/>
      <c r="F1140" t="s">
        <v>26</v>
      </c>
      <c r="G1140" s="28">
        <f>IFERROR(VLOOKUP(F1140,CARTON_LOOKUP!$A:$E,3,0),"")</f>
      </c>
      <c r="H1140" s="28">
        <f>IFERROR(VLOOKUP(F1140,CARTON_LOOKUP!$A:$E,4,0),"")</f>
      </c>
      <c r="I1140" s="28">
        <f>IFERROR(VLOOKUP(F1140,CARTON_LOOKUP!$A:$E,5,0),"")</f>
      </c>
      <c r="J1140" s="29">
        <f>IFERROR(VLOOKUP(F1140,CARTON_LOOKUP!$A:$E,2,0),"")</f>
      </c>
      <c r="K1140" s="29">
        <f>IFERROR(J1140*D1140,0)</f>
      </c>
      <c r="L1140" s="29">
        <f>IFERROR(E1140*C1140,0)</f>
      </c>
      <c r="M1140" s="29">
        <f>IFERROR((G1140*H1140*I1140/1000000)*D1140,0)</f>
      </c>
    </row>
    <row r="1141" spans="1:13" x14ac:dyDescent="0.25">
      <c r="A1141" s="16"/>
      <c r="E1141" s="27"/>
      <c r="F1141" t="s">
        <v>26</v>
      </c>
      <c r="G1141" s="28">
        <f>IFERROR(VLOOKUP(F1141,CARTON_LOOKUP!$A:$E,3,0),"")</f>
      </c>
      <c r="H1141" s="28">
        <f>IFERROR(VLOOKUP(F1141,CARTON_LOOKUP!$A:$E,4,0),"")</f>
      </c>
      <c r="I1141" s="28">
        <f>IFERROR(VLOOKUP(F1141,CARTON_LOOKUP!$A:$E,5,0),"")</f>
      </c>
      <c r="J1141" s="29">
        <f>IFERROR(VLOOKUP(F1141,CARTON_LOOKUP!$A:$E,2,0),"")</f>
      </c>
      <c r="K1141" s="29">
        <f>IFERROR(J1141*D1141,0)</f>
      </c>
      <c r="L1141" s="29">
        <f>IFERROR(E1141*C1141,0)</f>
      </c>
      <c r="M1141" s="29">
        <f>IFERROR((G1141*H1141*I1141/1000000)*D1141,0)</f>
      </c>
    </row>
    <row r="1142" spans="1:13" x14ac:dyDescent="0.25">
      <c r="A1142" s="16"/>
      <c r="E1142" s="27"/>
      <c r="F1142" t="s">
        <v>26</v>
      </c>
      <c r="G1142" s="28">
        <f>IFERROR(VLOOKUP(F1142,CARTON_LOOKUP!$A:$E,3,0),"")</f>
      </c>
      <c r="H1142" s="28">
        <f>IFERROR(VLOOKUP(F1142,CARTON_LOOKUP!$A:$E,4,0),"")</f>
      </c>
      <c r="I1142" s="28">
        <f>IFERROR(VLOOKUP(F1142,CARTON_LOOKUP!$A:$E,5,0),"")</f>
      </c>
      <c r="J1142" s="29">
        <f>IFERROR(VLOOKUP(F1142,CARTON_LOOKUP!$A:$E,2,0),"")</f>
      </c>
      <c r="K1142" s="29">
        <f>IFERROR(J1142*D1142,0)</f>
      </c>
      <c r="L1142" s="29">
        <f>IFERROR(E1142*C1142,0)</f>
      </c>
      <c r="M1142" s="29">
        <f>IFERROR((G1142*H1142*I1142/1000000)*D1142,0)</f>
      </c>
    </row>
    <row r="1143" spans="1:13" x14ac:dyDescent="0.25">
      <c r="A1143" s="16"/>
      <c r="E1143" s="27"/>
      <c r="F1143" t="s">
        <v>26</v>
      </c>
      <c r="G1143" s="28">
        <f>IFERROR(VLOOKUP(F1143,CARTON_LOOKUP!$A:$E,3,0),"")</f>
      </c>
      <c r="H1143" s="28">
        <f>IFERROR(VLOOKUP(F1143,CARTON_LOOKUP!$A:$E,4,0),"")</f>
      </c>
      <c r="I1143" s="28">
        <f>IFERROR(VLOOKUP(F1143,CARTON_LOOKUP!$A:$E,5,0),"")</f>
      </c>
      <c r="J1143" s="29">
        <f>IFERROR(VLOOKUP(F1143,CARTON_LOOKUP!$A:$E,2,0),"")</f>
      </c>
      <c r="K1143" s="29">
        <f>IFERROR(J1143*D1143,0)</f>
      </c>
      <c r="L1143" s="29">
        <f>IFERROR(E1143*C1143,0)</f>
      </c>
      <c r="M1143" s="29">
        <f>IFERROR((G1143*H1143*I1143/1000000)*D1143,0)</f>
      </c>
    </row>
    <row r="1144" spans="1:13" x14ac:dyDescent="0.25">
      <c r="A1144" s="16"/>
      <c r="E1144" s="27"/>
      <c r="F1144" t="s">
        <v>26</v>
      </c>
      <c r="G1144" s="28">
        <f>IFERROR(VLOOKUP(F1144,CARTON_LOOKUP!$A:$E,3,0),"")</f>
      </c>
      <c r="H1144" s="28">
        <f>IFERROR(VLOOKUP(F1144,CARTON_LOOKUP!$A:$E,4,0),"")</f>
      </c>
      <c r="I1144" s="28">
        <f>IFERROR(VLOOKUP(F1144,CARTON_LOOKUP!$A:$E,5,0),"")</f>
      </c>
      <c r="J1144" s="29">
        <f>IFERROR(VLOOKUP(F1144,CARTON_LOOKUP!$A:$E,2,0),"")</f>
      </c>
      <c r="K1144" s="29">
        <f>IFERROR(J1144*D1144,0)</f>
      </c>
      <c r="L1144" s="29">
        <f>IFERROR(E1144*C1144,0)</f>
      </c>
      <c r="M1144" s="29">
        <f>IFERROR((G1144*H1144*I1144/1000000)*D1144,0)</f>
      </c>
    </row>
    <row r="1145" spans="1:13" x14ac:dyDescent="0.25">
      <c r="A1145" s="16"/>
      <c r="E1145" s="27"/>
      <c r="F1145" t="s">
        <v>26</v>
      </c>
      <c r="G1145" s="28">
        <f>IFERROR(VLOOKUP(F1145,CARTON_LOOKUP!$A:$E,3,0),"")</f>
      </c>
      <c r="H1145" s="28">
        <f>IFERROR(VLOOKUP(F1145,CARTON_LOOKUP!$A:$E,4,0),"")</f>
      </c>
      <c r="I1145" s="28">
        <f>IFERROR(VLOOKUP(F1145,CARTON_LOOKUP!$A:$E,5,0),"")</f>
      </c>
      <c r="J1145" s="29">
        <f>IFERROR(VLOOKUP(F1145,CARTON_LOOKUP!$A:$E,2,0),"")</f>
      </c>
      <c r="K1145" s="29">
        <f>IFERROR(J1145*D1145,0)</f>
      </c>
      <c r="L1145" s="29">
        <f>IFERROR(E1145*C1145,0)</f>
      </c>
      <c r="M1145" s="29">
        <f>IFERROR((G1145*H1145*I1145/1000000)*D1145,0)</f>
      </c>
    </row>
    <row r="1146" spans="1:13" x14ac:dyDescent="0.25">
      <c r="A1146" s="16"/>
      <c r="E1146" s="27"/>
      <c r="F1146" t="s">
        <v>26</v>
      </c>
      <c r="G1146" s="28">
        <f>IFERROR(VLOOKUP(F1146,CARTON_LOOKUP!$A:$E,3,0),"")</f>
      </c>
      <c r="H1146" s="28">
        <f>IFERROR(VLOOKUP(F1146,CARTON_LOOKUP!$A:$E,4,0),"")</f>
      </c>
      <c r="I1146" s="28">
        <f>IFERROR(VLOOKUP(F1146,CARTON_LOOKUP!$A:$E,5,0),"")</f>
      </c>
      <c r="J1146" s="29">
        <f>IFERROR(VLOOKUP(F1146,CARTON_LOOKUP!$A:$E,2,0),"")</f>
      </c>
      <c r="K1146" s="29">
        <f>IFERROR(J1146*D1146,0)</f>
      </c>
      <c r="L1146" s="29">
        <f>IFERROR(E1146*C1146,0)</f>
      </c>
      <c r="M1146" s="29">
        <f>IFERROR((G1146*H1146*I1146/1000000)*D1146,0)</f>
      </c>
    </row>
    <row r="1147" spans="1:13" x14ac:dyDescent="0.25">
      <c r="A1147" s="16"/>
      <c r="E1147" s="27"/>
      <c r="F1147" t="s">
        <v>26</v>
      </c>
      <c r="G1147" s="28">
        <f>IFERROR(VLOOKUP(F1147,CARTON_LOOKUP!$A:$E,3,0),"")</f>
      </c>
      <c r="H1147" s="28">
        <f>IFERROR(VLOOKUP(F1147,CARTON_LOOKUP!$A:$E,4,0),"")</f>
      </c>
      <c r="I1147" s="28">
        <f>IFERROR(VLOOKUP(F1147,CARTON_LOOKUP!$A:$E,5,0),"")</f>
      </c>
      <c r="J1147" s="29">
        <f>IFERROR(VLOOKUP(F1147,CARTON_LOOKUP!$A:$E,2,0),"")</f>
      </c>
      <c r="K1147" s="29">
        <f>IFERROR(J1147*D1147,0)</f>
      </c>
      <c r="L1147" s="29">
        <f>IFERROR(E1147*C1147,0)</f>
      </c>
      <c r="M1147" s="29">
        <f>IFERROR((G1147*H1147*I1147/1000000)*D1147,0)</f>
      </c>
    </row>
    <row r="1148" spans="1:13" x14ac:dyDescent="0.25">
      <c r="A1148" s="16"/>
      <c r="E1148" s="27"/>
      <c r="F1148" t="s">
        <v>26</v>
      </c>
      <c r="G1148" s="28">
        <f>IFERROR(VLOOKUP(F1148,CARTON_LOOKUP!$A:$E,3,0),"")</f>
      </c>
      <c r="H1148" s="28">
        <f>IFERROR(VLOOKUP(F1148,CARTON_LOOKUP!$A:$E,4,0),"")</f>
      </c>
      <c r="I1148" s="28">
        <f>IFERROR(VLOOKUP(F1148,CARTON_LOOKUP!$A:$E,5,0),"")</f>
      </c>
      <c r="J1148" s="29">
        <f>IFERROR(VLOOKUP(F1148,CARTON_LOOKUP!$A:$E,2,0),"")</f>
      </c>
      <c r="K1148" s="29">
        <f>IFERROR(J1148*D1148,0)</f>
      </c>
      <c r="L1148" s="29">
        <f>IFERROR(E1148*C1148,0)</f>
      </c>
      <c r="M1148" s="29">
        <f>IFERROR((G1148*H1148*I1148/1000000)*D1148,0)</f>
      </c>
    </row>
    <row r="1149" spans="1:13" x14ac:dyDescent="0.25">
      <c r="A1149" s="16"/>
      <c r="E1149" s="27"/>
      <c r="F1149" t="s">
        <v>26</v>
      </c>
      <c r="G1149" s="28">
        <f>IFERROR(VLOOKUP(F1149,CARTON_LOOKUP!$A:$E,3,0),"")</f>
      </c>
      <c r="H1149" s="28">
        <f>IFERROR(VLOOKUP(F1149,CARTON_LOOKUP!$A:$E,4,0),"")</f>
      </c>
      <c r="I1149" s="28">
        <f>IFERROR(VLOOKUP(F1149,CARTON_LOOKUP!$A:$E,5,0),"")</f>
      </c>
      <c r="J1149" s="29">
        <f>IFERROR(VLOOKUP(F1149,CARTON_LOOKUP!$A:$E,2,0),"")</f>
      </c>
      <c r="K1149" s="29">
        <f>IFERROR(J1149*D1149,0)</f>
      </c>
      <c r="L1149" s="29">
        <f>IFERROR(E1149*C1149,0)</f>
      </c>
      <c r="M1149" s="29">
        <f>IFERROR((G1149*H1149*I1149/1000000)*D1149,0)</f>
      </c>
    </row>
    <row r="1150" spans="1:13" x14ac:dyDescent="0.25">
      <c r="A1150" s="16"/>
      <c r="E1150" s="27"/>
      <c r="F1150" t="s">
        <v>26</v>
      </c>
      <c r="G1150" s="28">
        <f>IFERROR(VLOOKUP(F1150,CARTON_LOOKUP!$A:$E,3,0),"")</f>
      </c>
      <c r="H1150" s="28">
        <f>IFERROR(VLOOKUP(F1150,CARTON_LOOKUP!$A:$E,4,0),"")</f>
      </c>
      <c r="I1150" s="28">
        <f>IFERROR(VLOOKUP(F1150,CARTON_LOOKUP!$A:$E,5,0),"")</f>
      </c>
      <c r="J1150" s="29">
        <f>IFERROR(VLOOKUP(F1150,CARTON_LOOKUP!$A:$E,2,0),"")</f>
      </c>
      <c r="K1150" s="29">
        <f>IFERROR(J1150*D1150,0)</f>
      </c>
      <c r="L1150" s="29">
        <f>IFERROR(E1150*C1150,0)</f>
      </c>
      <c r="M1150" s="29">
        <f>IFERROR((G1150*H1150*I1150/1000000)*D1150,0)</f>
      </c>
    </row>
    <row r="1151" spans="1:13" x14ac:dyDescent="0.25">
      <c r="A1151" s="16"/>
      <c r="E1151" s="27"/>
      <c r="F1151" t="s">
        <v>26</v>
      </c>
      <c r="G1151" s="28">
        <f>IFERROR(VLOOKUP(F1151,CARTON_LOOKUP!$A:$E,3,0),"")</f>
      </c>
      <c r="H1151" s="28">
        <f>IFERROR(VLOOKUP(F1151,CARTON_LOOKUP!$A:$E,4,0),"")</f>
      </c>
      <c r="I1151" s="28">
        <f>IFERROR(VLOOKUP(F1151,CARTON_LOOKUP!$A:$E,5,0),"")</f>
      </c>
      <c r="J1151" s="29">
        <f>IFERROR(VLOOKUP(F1151,CARTON_LOOKUP!$A:$E,2,0),"")</f>
      </c>
      <c r="K1151" s="29">
        <f>IFERROR(J1151*D1151,0)</f>
      </c>
      <c r="L1151" s="29">
        <f>IFERROR(E1151*C1151,0)</f>
      </c>
      <c r="M1151" s="29">
        <f>IFERROR((G1151*H1151*I1151/1000000)*D1151,0)</f>
      </c>
    </row>
    <row r="1152" spans="1:13" x14ac:dyDescent="0.25">
      <c r="A1152" s="16"/>
      <c r="E1152" s="27"/>
      <c r="F1152" t="s">
        <v>26</v>
      </c>
      <c r="G1152" s="28">
        <f>IFERROR(VLOOKUP(F1152,CARTON_LOOKUP!$A:$E,3,0),"")</f>
      </c>
      <c r="H1152" s="28">
        <f>IFERROR(VLOOKUP(F1152,CARTON_LOOKUP!$A:$E,4,0),"")</f>
      </c>
      <c r="I1152" s="28">
        <f>IFERROR(VLOOKUP(F1152,CARTON_LOOKUP!$A:$E,5,0),"")</f>
      </c>
      <c r="J1152" s="29">
        <f>IFERROR(VLOOKUP(F1152,CARTON_LOOKUP!$A:$E,2,0),"")</f>
      </c>
      <c r="K1152" s="29">
        <f>IFERROR(J1152*D1152,0)</f>
      </c>
      <c r="L1152" s="29">
        <f>IFERROR(E1152*C1152,0)</f>
      </c>
      <c r="M1152" s="29">
        <f>IFERROR((G1152*H1152*I1152/1000000)*D1152,0)</f>
      </c>
    </row>
    <row r="1153" spans="1:13" x14ac:dyDescent="0.25">
      <c r="A1153" s="16"/>
      <c r="E1153" s="27"/>
      <c r="F1153" t="s">
        <v>26</v>
      </c>
      <c r="G1153" s="28">
        <f>IFERROR(VLOOKUP(F1153,CARTON_LOOKUP!$A:$E,3,0),"")</f>
      </c>
      <c r="H1153" s="28">
        <f>IFERROR(VLOOKUP(F1153,CARTON_LOOKUP!$A:$E,4,0),"")</f>
      </c>
      <c r="I1153" s="28">
        <f>IFERROR(VLOOKUP(F1153,CARTON_LOOKUP!$A:$E,5,0),"")</f>
      </c>
      <c r="J1153" s="29">
        <f>IFERROR(VLOOKUP(F1153,CARTON_LOOKUP!$A:$E,2,0),"")</f>
      </c>
      <c r="K1153" s="29">
        <f>IFERROR(J1153*D1153,0)</f>
      </c>
      <c r="L1153" s="29">
        <f>IFERROR(E1153*C1153,0)</f>
      </c>
      <c r="M1153" s="29">
        <f>IFERROR((G1153*H1153*I1153/1000000)*D1153,0)</f>
      </c>
    </row>
    <row r="1154" spans="1:13" x14ac:dyDescent="0.25">
      <c r="A1154" s="16"/>
      <c r="E1154" s="27"/>
      <c r="F1154" t="s">
        <v>26</v>
      </c>
      <c r="G1154" s="28">
        <f>IFERROR(VLOOKUP(F1154,CARTON_LOOKUP!$A:$E,3,0),"")</f>
      </c>
      <c r="H1154" s="28">
        <f>IFERROR(VLOOKUP(F1154,CARTON_LOOKUP!$A:$E,4,0),"")</f>
      </c>
      <c r="I1154" s="28">
        <f>IFERROR(VLOOKUP(F1154,CARTON_LOOKUP!$A:$E,5,0),"")</f>
      </c>
      <c r="J1154" s="29">
        <f>IFERROR(VLOOKUP(F1154,CARTON_LOOKUP!$A:$E,2,0),"")</f>
      </c>
      <c r="K1154" s="29">
        <f>IFERROR(J1154*D1154,0)</f>
      </c>
      <c r="L1154" s="29">
        <f>IFERROR(E1154*C1154,0)</f>
      </c>
      <c r="M1154" s="29">
        <f>IFERROR((G1154*H1154*I1154/1000000)*D1154,0)</f>
      </c>
    </row>
    <row r="1155" spans="1:13" x14ac:dyDescent="0.25">
      <c r="A1155" s="16"/>
      <c r="E1155" s="27"/>
      <c r="F1155" t="s">
        <v>26</v>
      </c>
      <c r="G1155" s="28">
        <f>IFERROR(VLOOKUP(F1155,CARTON_LOOKUP!$A:$E,3,0),"")</f>
      </c>
      <c r="H1155" s="28">
        <f>IFERROR(VLOOKUP(F1155,CARTON_LOOKUP!$A:$E,4,0),"")</f>
      </c>
      <c r="I1155" s="28">
        <f>IFERROR(VLOOKUP(F1155,CARTON_LOOKUP!$A:$E,5,0),"")</f>
      </c>
      <c r="J1155" s="29">
        <f>IFERROR(VLOOKUP(F1155,CARTON_LOOKUP!$A:$E,2,0),"")</f>
      </c>
      <c r="K1155" s="29">
        <f>IFERROR(J1155*D1155,0)</f>
      </c>
      <c r="L1155" s="29">
        <f>IFERROR(E1155*C1155,0)</f>
      </c>
      <c r="M1155" s="29">
        <f>IFERROR((G1155*H1155*I1155/1000000)*D1155,0)</f>
      </c>
    </row>
    <row r="1156" spans="1:13" x14ac:dyDescent="0.25">
      <c r="A1156" s="16"/>
      <c r="E1156" s="27"/>
      <c r="F1156" t="s">
        <v>26</v>
      </c>
      <c r="G1156" s="28">
        <f>IFERROR(VLOOKUP(F1156,CARTON_LOOKUP!$A:$E,3,0),"")</f>
      </c>
      <c r="H1156" s="28">
        <f>IFERROR(VLOOKUP(F1156,CARTON_LOOKUP!$A:$E,4,0),"")</f>
      </c>
      <c r="I1156" s="28">
        <f>IFERROR(VLOOKUP(F1156,CARTON_LOOKUP!$A:$E,5,0),"")</f>
      </c>
      <c r="J1156" s="29">
        <f>IFERROR(VLOOKUP(F1156,CARTON_LOOKUP!$A:$E,2,0),"")</f>
      </c>
      <c r="K1156" s="29">
        <f>IFERROR(J1156*D1156,0)</f>
      </c>
      <c r="L1156" s="29">
        <f>IFERROR(E1156*C1156,0)</f>
      </c>
      <c r="M1156" s="29">
        <f>IFERROR((G1156*H1156*I1156/1000000)*D1156,0)</f>
      </c>
    </row>
    <row r="1157" spans="1:13" x14ac:dyDescent="0.25">
      <c r="A1157" s="16"/>
      <c r="E1157" s="27"/>
      <c r="F1157" t="s">
        <v>26</v>
      </c>
      <c r="G1157" s="28">
        <f>IFERROR(VLOOKUP(F1157,CARTON_LOOKUP!$A:$E,3,0),"")</f>
      </c>
      <c r="H1157" s="28">
        <f>IFERROR(VLOOKUP(F1157,CARTON_LOOKUP!$A:$E,4,0),"")</f>
      </c>
      <c r="I1157" s="28">
        <f>IFERROR(VLOOKUP(F1157,CARTON_LOOKUP!$A:$E,5,0),"")</f>
      </c>
      <c r="J1157" s="29">
        <f>IFERROR(VLOOKUP(F1157,CARTON_LOOKUP!$A:$E,2,0),"")</f>
      </c>
      <c r="K1157" s="29">
        <f>IFERROR(J1157*D1157,0)</f>
      </c>
      <c r="L1157" s="29">
        <f>IFERROR(E1157*C1157,0)</f>
      </c>
      <c r="M1157" s="29">
        <f>IFERROR((G1157*H1157*I1157/1000000)*D1157,0)</f>
      </c>
    </row>
    <row r="1158" spans="1:13" x14ac:dyDescent="0.25">
      <c r="A1158" s="16"/>
      <c r="E1158" s="27"/>
      <c r="F1158" t="s">
        <v>26</v>
      </c>
      <c r="G1158" s="28">
        <f>IFERROR(VLOOKUP(F1158,CARTON_LOOKUP!$A:$E,3,0),"")</f>
      </c>
      <c r="H1158" s="28">
        <f>IFERROR(VLOOKUP(F1158,CARTON_LOOKUP!$A:$E,4,0),"")</f>
      </c>
      <c r="I1158" s="28">
        <f>IFERROR(VLOOKUP(F1158,CARTON_LOOKUP!$A:$E,5,0),"")</f>
      </c>
      <c r="J1158" s="29">
        <f>IFERROR(VLOOKUP(F1158,CARTON_LOOKUP!$A:$E,2,0),"")</f>
      </c>
      <c r="K1158" s="29">
        <f>IFERROR(J1158*D1158,0)</f>
      </c>
      <c r="L1158" s="29">
        <f>IFERROR(E1158*C1158,0)</f>
      </c>
      <c r="M1158" s="29">
        <f>IFERROR((G1158*H1158*I1158/1000000)*D1158,0)</f>
      </c>
    </row>
    <row r="1159" spans="1:13" x14ac:dyDescent="0.25">
      <c r="A1159" s="16"/>
      <c r="E1159" s="27"/>
      <c r="F1159" t="s">
        <v>26</v>
      </c>
      <c r="G1159" s="28">
        <f>IFERROR(VLOOKUP(F1159,CARTON_LOOKUP!$A:$E,3,0),"")</f>
      </c>
      <c r="H1159" s="28">
        <f>IFERROR(VLOOKUP(F1159,CARTON_LOOKUP!$A:$E,4,0),"")</f>
      </c>
      <c r="I1159" s="28">
        <f>IFERROR(VLOOKUP(F1159,CARTON_LOOKUP!$A:$E,5,0),"")</f>
      </c>
      <c r="J1159" s="29">
        <f>IFERROR(VLOOKUP(F1159,CARTON_LOOKUP!$A:$E,2,0),"")</f>
      </c>
      <c r="K1159" s="29">
        <f>IFERROR(J1159*D1159,0)</f>
      </c>
      <c r="L1159" s="29">
        <f>IFERROR(E1159*C1159,0)</f>
      </c>
      <c r="M1159" s="29">
        <f>IFERROR((G1159*H1159*I1159/1000000)*D1159,0)</f>
      </c>
    </row>
    <row r="1160" spans="1:13" x14ac:dyDescent="0.25">
      <c r="A1160" s="16"/>
      <c r="E1160" s="27"/>
      <c r="F1160" t="s">
        <v>26</v>
      </c>
      <c r="G1160" s="28">
        <f>IFERROR(VLOOKUP(F1160,CARTON_LOOKUP!$A:$E,3,0),"")</f>
      </c>
      <c r="H1160" s="28">
        <f>IFERROR(VLOOKUP(F1160,CARTON_LOOKUP!$A:$E,4,0),"")</f>
      </c>
      <c r="I1160" s="28">
        <f>IFERROR(VLOOKUP(F1160,CARTON_LOOKUP!$A:$E,5,0),"")</f>
      </c>
      <c r="J1160" s="29">
        <f>IFERROR(VLOOKUP(F1160,CARTON_LOOKUP!$A:$E,2,0),"")</f>
      </c>
      <c r="K1160" s="29">
        <f>IFERROR(J1160*D1160,0)</f>
      </c>
      <c r="L1160" s="29">
        <f>IFERROR(E1160*C1160,0)</f>
      </c>
      <c r="M1160" s="29">
        <f>IFERROR((G1160*H1160*I1160/1000000)*D1160,0)</f>
      </c>
    </row>
    <row r="1161" spans="1:13" x14ac:dyDescent="0.25">
      <c r="A1161" s="16"/>
      <c r="E1161" s="27"/>
      <c r="F1161" t="s">
        <v>26</v>
      </c>
      <c r="G1161" s="28">
        <f>IFERROR(VLOOKUP(F1161,CARTON_LOOKUP!$A:$E,3,0),"")</f>
      </c>
      <c r="H1161" s="28">
        <f>IFERROR(VLOOKUP(F1161,CARTON_LOOKUP!$A:$E,4,0),"")</f>
      </c>
      <c r="I1161" s="28">
        <f>IFERROR(VLOOKUP(F1161,CARTON_LOOKUP!$A:$E,5,0),"")</f>
      </c>
      <c r="J1161" s="29">
        <f>IFERROR(VLOOKUP(F1161,CARTON_LOOKUP!$A:$E,2,0),"")</f>
      </c>
      <c r="K1161" s="29">
        <f>IFERROR(J1161*D1161,0)</f>
      </c>
      <c r="L1161" s="29">
        <f>IFERROR(E1161*C1161,0)</f>
      </c>
      <c r="M1161" s="29">
        <f>IFERROR((G1161*H1161*I1161/1000000)*D1161,0)</f>
      </c>
    </row>
    <row r="1162" spans="1:13" x14ac:dyDescent="0.25">
      <c r="A1162" s="16"/>
      <c r="E1162" s="27"/>
      <c r="F1162" t="s">
        <v>26</v>
      </c>
      <c r="G1162" s="28">
        <f>IFERROR(VLOOKUP(F1162,CARTON_LOOKUP!$A:$E,3,0),"")</f>
      </c>
      <c r="H1162" s="28">
        <f>IFERROR(VLOOKUP(F1162,CARTON_LOOKUP!$A:$E,4,0),"")</f>
      </c>
      <c r="I1162" s="28">
        <f>IFERROR(VLOOKUP(F1162,CARTON_LOOKUP!$A:$E,5,0),"")</f>
      </c>
      <c r="J1162" s="29">
        <f>IFERROR(VLOOKUP(F1162,CARTON_LOOKUP!$A:$E,2,0),"")</f>
      </c>
      <c r="K1162" s="29">
        <f>IFERROR(J1162*D1162,0)</f>
      </c>
      <c r="L1162" s="29">
        <f>IFERROR(E1162*C1162,0)</f>
      </c>
      <c r="M1162" s="29">
        <f>IFERROR((G1162*H1162*I1162/1000000)*D1162,0)</f>
      </c>
    </row>
    <row r="1163" spans="1:13" x14ac:dyDescent="0.25">
      <c r="A1163" s="16"/>
      <c r="E1163" s="27"/>
      <c r="F1163" t="s">
        <v>26</v>
      </c>
      <c r="G1163" s="28">
        <f>IFERROR(VLOOKUP(F1163,CARTON_LOOKUP!$A:$E,3,0),"")</f>
      </c>
      <c r="H1163" s="28">
        <f>IFERROR(VLOOKUP(F1163,CARTON_LOOKUP!$A:$E,4,0),"")</f>
      </c>
      <c r="I1163" s="28">
        <f>IFERROR(VLOOKUP(F1163,CARTON_LOOKUP!$A:$E,5,0),"")</f>
      </c>
      <c r="J1163" s="29">
        <f>IFERROR(VLOOKUP(F1163,CARTON_LOOKUP!$A:$E,2,0),"")</f>
      </c>
      <c r="K1163" s="29">
        <f>IFERROR(J1163*D1163,0)</f>
      </c>
      <c r="L1163" s="29">
        <f>IFERROR(E1163*C1163,0)</f>
      </c>
      <c r="M1163" s="29">
        <f>IFERROR((G1163*H1163*I1163/1000000)*D1163,0)</f>
      </c>
    </row>
    <row r="1164" spans="1:13" x14ac:dyDescent="0.25">
      <c r="A1164" s="16"/>
      <c r="E1164" s="27"/>
      <c r="F1164" t="s">
        <v>26</v>
      </c>
      <c r="G1164" s="28">
        <f>IFERROR(VLOOKUP(F1164,CARTON_LOOKUP!$A:$E,3,0),"")</f>
      </c>
      <c r="H1164" s="28">
        <f>IFERROR(VLOOKUP(F1164,CARTON_LOOKUP!$A:$E,4,0),"")</f>
      </c>
      <c r="I1164" s="28">
        <f>IFERROR(VLOOKUP(F1164,CARTON_LOOKUP!$A:$E,5,0),"")</f>
      </c>
      <c r="J1164" s="29">
        <f>IFERROR(VLOOKUP(F1164,CARTON_LOOKUP!$A:$E,2,0),"")</f>
      </c>
      <c r="K1164" s="29">
        <f>IFERROR(J1164*D1164,0)</f>
      </c>
      <c r="L1164" s="29">
        <f>IFERROR(E1164*C1164,0)</f>
      </c>
      <c r="M1164" s="29">
        <f>IFERROR((G1164*H1164*I1164/1000000)*D1164,0)</f>
      </c>
    </row>
    <row r="1165" spans="1:13" x14ac:dyDescent="0.25">
      <c r="A1165" s="16"/>
      <c r="E1165" s="27"/>
      <c r="F1165" t="s">
        <v>26</v>
      </c>
      <c r="G1165" s="28">
        <f>IFERROR(VLOOKUP(F1165,CARTON_LOOKUP!$A:$E,3,0),"")</f>
      </c>
      <c r="H1165" s="28">
        <f>IFERROR(VLOOKUP(F1165,CARTON_LOOKUP!$A:$E,4,0),"")</f>
      </c>
      <c r="I1165" s="28">
        <f>IFERROR(VLOOKUP(F1165,CARTON_LOOKUP!$A:$E,5,0),"")</f>
      </c>
      <c r="J1165" s="29">
        <f>IFERROR(VLOOKUP(F1165,CARTON_LOOKUP!$A:$E,2,0),"")</f>
      </c>
      <c r="K1165" s="29">
        <f>IFERROR(J1165*D1165,0)</f>
      </c>
      <c r="L1165" s="29">
        <f>IFERROR(E1165*C1165,0)</f>
      </c>
      <c r="M1165" s="29">
        <f>IFERROR((G1165*H1165*I1165/1000000)*D1165,0)</f>
      </c>
    </row>
    <row r="1166" spans="1:13" x14ac:dyDescent="0.25">
      <c r="A1166" s="16"/>
      <c r="E1166" s="27"/>
      <c r="F1166" t="s">
        <v>26</v>
      </c>
      <c r="G1166" s="28">
        <f>IFERROR(VLOOKUP(F1166,CARTON_LOOKUP!$A:$E,3,0),"")</f>
      </c>
      <c r="H1166" s="28">
        <f>IFERROR(VLOOKUP(F1166,CARTON_LOOKUP!$A:$E,4,0),"")</f>
      </c>
      <c r="I1166" s="28">
        <f>IFERROR(VLOOKUP(F1166,CARTON_LOOKUP!$A:$E,5,0),"")</f>
      </c>
      <c r="J1166" s="29">
        <f>IFERROR(VLOOKUP(F1166,CARTON_LOOKUP!$A:$E,2,0),"")</f>
      </c>
      <c r="K1166" s="29">
        <f>IFERROR(J1166*D1166,0)</f>
      </c>
      <c r="L1166" s="29">
        <f>IFERROR(E1166*C1166,0)</f>
      </c>
      <c r="M1166" s="29">
        <f>IFERROR((G1166*H1166*I1166/1000000)*D1166,0)</f>
      </c>
    </row>
    <row r="1167" spans="1:13" x14ac:dyDescent="0.25">
      <c r="A1167" s="16"/>
      <c r="E1167" s="27"/>
      <c r="F1167" t="s">
        <v>26</v>
      </c>
      <c r="G1167" s="28">
        <f>IFERROR(VLOOKUP(F1167,CARTON_LOOKUP!$A:$E,3,0),"")</f>
      </c>
      <c r="H1167" s="28">
        <f>IFERROR(VLOOKUP(F1167,CARTON_LOOKUP!$A:$E,4,0),"")</f>
      </c>
      <c r="I1167" s="28">
        <f>IFERROR(VLOOKUP(F1167,CARTON_LOOKUP!$A:$E,5,0),"")</f>
      </c>
      <c r="J1167" s="29">
        <f>IFERROR(VLOOKUP(F1167,CARTON_LOOKUP!$A:$E,2,0),"")</f>
      </c>
      <c r="K1167" s="29">
        <f>IFERROR(J1167*D1167,0)</f>
      </c>
      <c r="L1167" s="29">
        <f>IFERROR(E1167*C1167,0)</f>
      </c>
      <c r="M1167" s="29">
        <f>IFERROR((G1167*H1167*I1167/1000000)*D1167,0)</f>
      </c>
    </row>
    <row r="1168" spans="1:13" x14ac:dyDescent="0.25">
      <c r="A1168" s="16"/>
      <c r="E1168" s="27"/>
      <c r="F1168" t="s">
        <v>26</v>
      </c>
      <c r="G1168" s="28">
        <f>IFERROR(VLOOKUP(F1168,CARTON_LOOKUP!$A:$E,3,0),"")</f>
      </c>
      <c r="H1168" s="28">
        <f>IFERROR(VLOOKUP(F1168,CARTON_LOOKUP!$A:$E,4,0),"")</f>
      </c>
      <c r="I1168" s="28">
        <f>IFERROR(VLOOKUP(F1168,CARTON_LOOKUP!$A:$E,5,0),"")</f>
      </c>
      <c r="J1168" s="29">
        <f>IFERROR(VLOOKUP(F1168,CARTON_LOOKUP!$A:$E,2,0),"")</f>
      </c>
      <c r="K1168" s="29">
        <f>IFERROR(J1168*D1168,0)</f>
      </c>
      <c r="L1168" s="29">
        <f>IFERROR(E1168*C1168,0)</f>
      </c>
      <c r="M1168" s="29">
        <f>IFERROR((G1168*H1168*I1168/1000000)*D1168,0)</f>
      </c>
    </row>
    <row r="1169" spans="1:13" x14ac:dyDescent="0.25">
      <c r="A1169" s="16"/>
      <c r="E1169" s="27"/>
      <c r="F1169" t="s">
        <v>26</v>
      </c>
      <c r="G1169" s="28">
        <f>IFERROR(VLOOKUP(F1169,CARTON_LOOKUP!$A:$E,3,0),"")</f>
      </c>
      <c r="H1169" s="28">
        <f>IFERROR(VLOOKUP(F1169,CARTON_LOOKUP!$A:$E,4,0),"")</f>
      </c>
      <c r="I1169" s="28">
        <f>IFERROR(VLOOKUP(F1169,CARTON_LOOKUP!$A:$E,5,0),"")</f>
      </c>
      <c r="J1169" s="29">
        <f>IFERROR(VLOOKUP(F1169,CARTON_LOOKUP!$A:$E,2,0),"")</f>
      </c>
      <c r="K1169" s="29">
        <f>IFERROR(J1169*D1169,0)</f>
      </c>
      <c r="L1169" s="29">
        <f>IFERROR(E1169*C1169,0)</f>
      </c>
      <c r="M1169" s="29">
        <f>IFERROR((G1169*H1169*I1169/1000000)*D1169,0)</f>
      </c>
    </row>
    <row r="1170" spans="1:13" x14ac:dyDescent="0.25">
      <c r="A1170" s="16"/>
      <c r="E1170" s="27"/>
      <c r="F1170" t="s">
        <v>26</v>
      </c>
      <c r="G1170" s="28">
        <f>IFERROR(VLOOKUP(F1170,CARTON_LOOKUP!$A:$E,3,0),"")</f>
      </c>
      <c r="H1170" s="28">
        <f>IFERROR(VLOOKUP(F1170,CARTON_LOOKUP!$A:$E,4,0),"")</f>
      </c>
      <c r="I1170" s="28">
        <f>IFERROR(VLOOKUP(F1170,CARTON_LOOKUP!$A:$E,5,0),"")</f>
      </c>
      <c r="J1170" s="29">
        <f>IFERROR(VLOOKUP(F1170,CARTON_LOOKUP!$A:$E,2,0),"")</f>
      </c>
      <c r="K1170" s="29">
        <f>IFERROR(J1170*D1170,0)</f>
      </c>
      <c r="L1170" s="29">
        <f>IFERROR(E1170*C1170,0)</f>
      </c>
      <c r="M1170" s="29">
        <f>IFERROR((G1170*H1170*I1170/1000000)*D1170,0)</f>
      </c>
    </row>
    <row r="1171" spans="1:13" x14ac:dyDescent="0.25">
      <c r="A1171" s="16"/>
      <c r="E1171" s="27"/>
      <c r="F1171" t="s">
        <v>26</v>
      </c>
      <c r="G1171" s="28">
        <f>IFERROR(VLOOKUP(F1171,CARTON_LOOKUP!$A:$E,3,0),"")</f>
      </c>
      <c r="H1171" s="28">
        <f>IFERROR(VLOOKUP(F1171,CARTON_LOOKUP!$A:$E,4,0),"")</f>
      </c>
      <c r="I1171" s="28">
        <f>IFERROR(VLOOKUP(F1171,CARTON_LOOKUP!$A:$E,5,0),"")</f>
      </c>
      <c r="J1171" s="29">
        <f>IFERROR(VLOOKUP(F1171,CARTON_LOOKUP!$A:$E,2,0),"")</f>
      </c>
      <c r="K1171" s="29">
        <f>IFERROR(J1171*D1171,0)</f>
      </c>
      <c r="L1171" s="29">
        <f>IFERROR(E1171*C1171,0)</f>
      </c>
      <c r="M1171" s="29">
        <f>IFERROR((G1171*H1171*I1171/1000000)*D1171,0)</f>
      </c>
    </row>
    <row r="1172" spans="1:13" x14ac:dyDescent="0.25">
      <c r="A1172" s="16"/>
      <c r="E1172" s="27"/>
      <c r="F1172" t="s">
        <v>26</v>
      </c>
      <c r="G1172" s="28">
        <f>IFERROR(VLOOKUP(F1172,CARTON_LOOKUP!$A:$E,3,0),"")</f>
      </c>
      <c r="H1172" s="28">
        <f>IFERROR(VLOOKUP(F1172,CARTON_LOOKUP!$A:$E,4,0),"")</f>
      </c>
      <c r="I1172" s="28">
        <f>IFERROR(VLOOKUP(F1172,CARTON_LOOKUP!$A:$E,5,0),"")</f>
      </c>
      <c r="J1172" s="29">
        <f>IFERROR(VLOOKUP(F1172,CARTON_LOOKUP!$A:$E,2,0),"")</f>
      </c>
      <c r="K1172" s="29">
        <f>IFERROR(J1172*D1172,0)</f>
      </c>
      <c r="L1172" s="29">
        <f>IFERROR(E1172*C1172,0)</f>
      </c>
      <c r="M1172" s="29">
        <f>IFERROR((G1172*H1172*I1172/1000000)*D1172,0)</f>
      </c>
    </row>
    <row r="1173" spans="1:13" x14ac:dyDescent="0.25">
      <c r="A1173" s="16"/>
      <c r="E1173" s="27"/>
      <c r="F1173" t="s">
        <v>26</v>
      </c>
      <c r="G1173" s="28">
        <f>IFERROR(VLOOKUP(F1173,CARTON_LOOKUP!$A:$E,3,0),"")</f>
      </c>
      <c r="H1173" s="28">
        <f>IFERROR(VLOOKUP(F1173,CARTON_LOOKUP!$A:$E,4,0),"")</f>
      </c>
      <c r="I1173" s="28">
        <f>IFERROR(VLOOKUP(F1173,CARTON_LOOKUP!$A:$E,5,0),"")</f>
      </c>
      <c r="J1173" s="29">
        <f>IFERROR(VLOOKUP(F1173,CARTON_LOOKUP!$A:$E,2,0),"")</f>
      </c>
      <c r="K1173" s="29">
        <f>IFERROR(J1173*D1173,0)</f>
      </c>
      <c r="L1173" s="29">
        <f>IFERROR(E1173*C1173,0)</f>
      </c>
      <c r="M1173" s="29">
        <f>IFERROR((G1173*H1173*I1173/1000000)*D1173,0)</f>
      </c>
    </row>
    <row r="1174" spans="1:13" x14ac:dyDescent="0.25">
      <c r="A1174" s="16"/>
      <c r="E1174" s="27"/>
      <c r="F1174" t="s">
        <v>26</v>
      </c>
      <c r="G1174" s="28">
        <f>IFERROR(VLOOKUP(F1174,CARTON_LOOKUP!$A:$E,3,0),"")</f>
      </c>
      <c r="H1174" s="28">
        <f>IFERROR(VLOOKUP(F1174,CARTON_LOOKUP!$A:$E,4,0),"")</f>
      </c>
      <c r="I1174" s="28">
        <f>IFERROR(VLOOKUP(F1174,CARTON_LOOKUP!$A:$E,5,0),"")</f>
      </c>
      <c r="J1174" s="29">
        <f>IFERROR(VLOOKUP(F1174,CARTON_LOOKUP!$A:$E,2,0),"")</f>
      </c>
      <c r="K1174" s="29">
        <f>IFERROR(J1174*D1174,0)</f>
      </c>
      <c r="L1174" s="29">
        <f>IFERROR(E1174*C1174,0)</f>
      </c>
      <c r="M1174" s="29">
        <f>IFERROR((G1174*H1174*I1174/1000000)*D1174,0)</f>
      </c>
    </row>
    <row r="1175" spans="1:13" x14ac:dyDescent="0.25">
      <c r="A1175" s="16"/>
      <c r="E1175" s="27"/>
      <c r="F1175" t="s">
        <v>26</v>
      </c>
      <c r="G1175" s="28">
        <f>IFERROR(VLOOKUP(F1175,CARTON_LOOKUP!$A:$E,3,0),"")</f>
      </c>
      <c r="H1175" s="28">
        <f>IFERROR(VLOOKUP(F1175,CARTON_LOOKUP!$A:$E,4,0),"")</f>
      </c>
      <c r="I1175" s="28">
        <f>IFERROR(VLOOKUP(F1175,CARTON_LOOKUP!$A:$E,5,0),"")</f>
      </c>
      <c r="J1175" s="29">
        <f>IFERROR(VLOOKUP(F1175,CARTON_LOOKUP!$A:$E,2,0),"")</f>
      </c>
      <c r="K1175" s="29">
        <f>IFERROR(J1175*D1175,0)</f>
      </c>
      <c r="L1175" s="29">
        <f>IFERROR(E1175*C1175,0)</f>
      </c>
      <c r="M1175" s="29">
        <f>IFERROR((G1175*H1175*I1175/1000000)*D1175,0)</f>
      </c>
    </row>
    <row r="1176" spans="1:13" x14ac:dyDescent="0.25">
      <c r="A1176" s="16"/>
      <c r="E1176" s="27"/>
      <c r="F1176" t="s">
        <v>26</v>
      </c>
      <c r="G1176" s="28">
        <f>IFERROR(VLOOKUP(F1176,CARTON_LOOKUP!$A:$E,3,0),"")</f>
      </c>
      <c r="H1176" s="28">
        <f>IFERROR(VLOOKUP(F1176,CARTON_LOOKUP!$A:$E,4,0),"")</f>
      </c>
      <c r="I1176" s="28">
        <f>IFERROR(VLOOKUP(F1176,CARTON_LOOKUP!$A:$E,5,0),"")</f>
      </c>
      <c r="J1176" s="29">
        <f>IFERROR(VLOOKUP(F1176,CARTON_LOOKUP!$A:$E,2,0),"")</f>
      </c>
      <c r="K1176" s="29">
        <f>IFERROR(J1176*D1176,0)</f>
      </c>
      <c r="L1176" s="29">
        <f>IFERROR(E1176*C1176,0)</f>
      </c>
      <c r="M1176" s="29">
        <f>IFERROR((G1176*H1176*I1176/1000000)*D1176,0)</f>
      </c>
    </row>
    <row r="1177" spans="1:13" x14ac:dyDescent="0.25">
      <c r="A1177" s="16"/>
      <c r="E1177" s="27"/>
      <c r="F1177" t="s">
        <v>26</v>
      </c>
      <c r="G1177" s="28">
        <f>IFERROR(VLOOKUP(F1177,CARTON_LOOKUP!$A:$E,3,0),"")</f>
      </c>
      <c r="H1177" s="28">
        <f>IFERROR(VLOOKUP(F1177,CARTON_LOOKUP!$A:$E,4,0),"")</f>
      </c>
      <c r="I1177" s="28">
        <f>IFERROR(VLOOKUP(F1177,CARTON_LOOKUP!$A:$E,5,0),"")</f>
      </c>
      <c r="J1177" s="29">
        <f>IFERROR(VLOOKUP(F1177,CARTON_LOOKUP!$A:$E,2,0),"")</f>
      </c>
      <c r="K1177" s="29">
        <f>IFERROR(J1177*D1177,0)</f>
      </c>
      <c r="L1177" s="29">
        <f>IFERROR(E1177*C1177,0)</f>
      </c>
      <c r="M1177" s="29">
        <f>IFERROR((G1177*H1177*I1177/1000000)*D1177,0)</f>
      </c>
    </row>
    <row r="1178" spans="1:13" x14ac:dyDescent="0.25">
      <c r="A1178" s="16"/>
      <c r="E1178" s="27"/>
      <c r="F1178" t="s">
        <v>26</v>
      </c>
      <c r="G1178" s="28">
        <f>IFERROR(VLOOKUP(F1178,CARTON_LOOKUP!$A:$E,3,0),"")</f>
      </c>
      <c r="H1178" s="28">
        <f>IFERROR(VLOOKUP(F1178,CARTON_LOOKUP!$A:$E,4,0),"")</f>
      </c>
      <c r="I1178" s="28">
        <f>IFERROR(VLOOKUP(F1178,CARTON_LOOKUP!$A:$E,5,0),"")</f>
      </c>
      <c r="J1178" s="29">
        <f>IFERROR(VLOOKUP(F1178,CARTON_LOOKUP!$A:$E,2,0),"")</f>
      </c>
      <c r="K1178" s="29">
        <f>IFERROR(J1178*D1178,0)</f>
      </c>
      <c r="L1178" s="29">
        <f>IFERROR(E1178*C1178,0)</f>
      </c>
      <c r="M1178" s="29">
        <f>IFERROR((G1178*H1178*I1178/1000000)*D1178,0)</f>
      </c>
    </row>
    <row r="1179" spans="1:13" x14ac:dyDescent="0.25">
      <c r="A1179" s="16"/>
      <c r="E1179" s="27"/>
      <c r="F1179" t="s">
        <v>26</v>
      </c>
      <c r="G1179" s="28">
        <f>IFERROR(VLOOKUP(F1179,CARTON_LOOKUP!$A:$E,3,0),"")</f>
      </c>
      <c r="H1179" s="28">
        <f>IFERROR(VLOOKUP(F1179,CARTON_LOOKUP!$A:$E,4,0),"")</f>
      </c>
      <c r="I1179" s="28">
        <f>IFERROR(VLOOKUP(F1179,CARTON_LOOKUP!$A:$E,5,0),"")</f>
      </c>
      <c r="J1179" s="29">
        <f>IFERROR(VLOOKUP(F1179,CARTON_LOOKUP!$A:$E,2,0),"")</f>
      </c>
      <c r="K1179" s="29">
        <f>IFERROR(J1179*D1179,0)</f>
      </c>
      <c r="L1179" s="29">
        <f>IFERROR(E1179*C1179,0)</f>
      </c>
      <c r="M1179" s="29">
        <f>IFERROR((G1179*H1179*I1179/1000000)*D1179,0)</f>
      </c>
    </row>
    <row r="1180" spans="1:13" x14ac:dyDescent="0.25">
      <c r="A1180" s="16"/>
      <c r="E1180" s="27"/>
      <c r="F1180" t="s">
        <v>26</v>
      </c>
      <c r="G1180" s="28">
        <f>IFERROR(VLOOKUP(F1180,CARTON_LOOKUP!$A:$E,3,0),"")</f>
      </c>
      <c r="H1180" s="28">
        <f>IFERROR(VLOOKUP(F1180,CARTON_LOOKUP!$A:$E,4,0),"")</f>
      </c>
      <c r="I1180" s="28">
        <f>IFERROR(VLOOKUP(F1180,CARTON_LOOKUP!$A:$E,5,0),"")</f>
      </c>
      <c r="J1180" s="29">
        <f>IFERROR(VLOOKUP(F1180,CARTON_LOOKUP!$A:$E,2,0),"")</f>
      </c>
      <c r="K1180" s="29">
        <f>IFERROR(J1180*D1180,0)</f>
      </c>
      <c r="L1180" s="29">
        <f>IFERROR(E1180*C1180,0)</f>
      </c>
      <c r="M1180" s="29">
        <f>IFERROR((G1180*H1180*I1180/1000000)*D1180,0)</f>
      </c>
    </row>
    <row r="1181" spans="1:13" x14ac:dyDescent="0.25">
      <c r="A1181" s="16"/>
      <c r="E1181" s="27"/>
      <c r="F1181" t="s">
        <v>26</v>
      </c>
      <c r="G1181" s="28">
        <f>IFERROR(VLOOKUP(F1181,CARTON_LOOKUP!$A:$E,3,0),"")</f>
      </c>
      <c r="H1181" s="28">
        <f>IFERROR(VLOOKUP(F1181,CARTON_LOOKUP!$A:$E,4,0),"")</f>
      </c>
      <c r="I1181" s="28">
        <f>IFERROR(VLOOKUP(F1181,CARTON_LOOKUP!$A:$E,5,0),"")</f>
      </c>
      <c r="J1181" s="29">
        <f>IFERROR(VLOOKUP(F1181,CARTON_LOOKUP!$A:$E,2,0),"")</f>
      </c>
      <c r="K1181" s="29">
        <f>IFERROR(J1181*D1181,0)</f>
      </c>
      <c r="L1181" s="29">
        <f>IFERROR(E1181*C1181,0)</f>
      </c>
      <c r="M1181" s="29">
        <f>IFERROR((G1181*H1181*I1181/1000000)*D1181,0)</f>
      </c>
    </row>
    <row r="1182" spans="1:13" x14ac:dyDescent="0.25">
      <c r="A1182" s="16"/>
      <c r="E1182" s="27"/>
      <c r="F1182" t="s">
        <v>26</v>
      </c>
      <c r="G1182" s="28">
        <f>IFERROR(VLOOKUP(F1182,CARTON_LOOKUP!$A:$E,3,0),"")</f>
      </c>
      <c r="H1182" s="28">
        <f>IFERROR(VLOOKUP(F1182,CARTON_LOOKUP!$A:$E,4,0),"")</f>
      </c>
      <c r="I1182" s="28">
        <f>IFERROR(VLOOKUP(F1182,CARTON_LOOKUP!$A:$E,5,0),"")</f>
      </c>
      <c r="J1182" s="29">
        <f>IFERROR(VLOOKUP(F1182,CARTON_LOOKUP!$A:$E,2,0),"")</f>
      </c>
      <c r="K1182" s="29">
        <f>IFERROR(J1182*D1182,0)</f>
      </c>
      <c r="L1182" s="29">
        <f>IFERROR(E1182*C1182,0)</f>
      </c>
      <c r="M1182" s="29">
        <f>IFERROR((G1182*H1182*I1182/1000000)*D1182,0)</f>
      </c>
    </row>
    <row r="1183" spans="1:13" x14ac:dyDescent="0.25">
      <c r="A1183" s="16"/>
      <c r="E1183" s="27"/>
      <c r="F1183" t="s">
        <v>26</v>
      </c>
      <c r="G1183" s="28">
        <f>IFERROR(VLOOKUP(F1183,CARTON_LOOKUP!$A:$E,3,0),"")</f>
      </c>
      <c r="H1183" s="28">
        <f>IFERROR(VLOOKUP(F1183,CARTON_LOOKUP!$A:$E,4,0),"")</f>
      </c>
      <c r="I1183" s="28">
        <f>IFERROR(VLOOKUP(F1183,CARTON_LOOKUP!$A:$E,5,0),"")</f>
      </c>
      <c r="J1183" s="29">
        <f>IFERROR(VLOOKUP(F1183,CARTON_LOOKUP!$A:$E,2,0),"")</f>
      </c>
      <c r="K1183" s="29">
        <f>IFERROR(J1183*D1183,0)</f>
      </c>
      <c r="L1183" s="29">
        <f>IFERROR(E1183*C1183,0)</f>
      </c>
      <c r="M1183" s="29">
        <f>IFERROR((G1183*H1183*I1183/1000000)*D1183,0)</f>
      </c>
    </row>
    <row r="1184" spans="1:13" x14ac:dyDescent="0.25">
      <c r="A1184" s="16"/>
      <c r="E1184" s="27"/>
      <c r="F1184" t="s">
        <v>26</v>
      </c>
      <c r="G1184" s="28">
        <f>IFERROR(VLOOKUP(F1184,CARTON_LOOKUP!$A:$E,3,0),"")</f>
      </c>
      <c r="H1184" s="28">
        <f>IFERROR(VLOOKUP(F1184,CARTON_LOOKUP!$A:$E,4,0),"")</f>
      </c>
      <c r="I1184" s="28">
        <f>IFERROR(VLOOKUP(F1184,CARTON_LOOKUP!$A:$E,5,0),"")</f>
      </c>
      <c r="J1184" s="29">
        <f>IFERROR(VLOOKUP(F1184,CARTON_LOOKUP!$A:$E,2,0),"")</f>
      </c>
      <c r="K1184" s="29">
        <f>IFERROR(J1184*D1184,0)</f>
      </c>
      <c r="L1184" s="29">
        <f>IFERROR(E1184*C1184,0)</f>
      </c>
      <c r="M1184" s="29">
        <f>IFERROR((G1184*H1184*I1184/1000000)*D1184,0)</f>
      </c>
    </row>
    <row r="1185" spans="1:13" x14ac:dyDescent="0.25">
      <c r="A1185" s="16"/>
      <c r="E1185" s="27"/>
      <c r="F1185" t="s">
        <v>26</v>
      </c>
      <c r="G1185" s="28">
        <f>IFERROR(VLOOKUP(F1185,CARTON_LOOKUP!$A:$E,3,0),"")</f>
      </c>
      <c r="H1185" s="28">
        <f>IFERROR(VLOOKUP(F1185,CARTON_LOOKUP!$A:$E,4,0),"")</f>
      </c>
      <c r="I1185" s="28">
        <f>IFERROR(VLOOKUP(F1185,CARTON_LOOKUP!$A:$E,5,0),"")</f>
      </c>
      <c r="J1185" s="29">
        <f>IFERROR(VLOOKUP(F1185,CARTON_LOOKUP!$A:$E,2,0),"")</f>
      </c>
      <c r="K1185" s="29">
        <f>IFERROR(J1185*D1185,0)</f>
      </c>
      <c r="L1185" s="29">
        <f>IFERROR(E1185*C1185,0)</f>
      </c>
      <c r="M1185" s="29">
        <f>IFERROR((G1185*H1185*I1185/1000000)*D1185,0)</f>
      </c>
    </row>
    <row r="1186" spans="1:13" x14ac:dyDescent="0.25">
      <c r="A1186" s="16"/>
      <c r="E1186" s="27"/>
      <c r="F1186" t="s">
        <v>26</v>
      </c>
      <c r="G1186" s="28">
        <f>IFERROR(VLOOKUP(F1186,CARTON_LOOKUP!$A:$E,3,0),"")</f>
      </c>
      <c r="H1186" s="28">
        <f>IFERROR(VLOOKUP(F1186,CARTON_LOOKUP!$A:$E,4,0),"")</f>
      </c>
      <c r="I1186" s="28">
        <f>IFERROR(VLOOKUP(F1186,CARTON_LOOKUP!$A:$E,5,0),"")</f>
      </c>
      <c r="J1186" s="29">
        <f>IFERROR(VLOOKUP(F1186,CARTON_LOOKUP!$A:$E,2,0),"")</f>
      </c>
      <c r="K1186" s="29">
        <f>IFERROR(J1186*D1186,0)</f>
      </c>
      <c r="L1186" s="29">
        <f>IFERROR(E1186*C1186,0)</f>
      </c>
      <c r="M1186" s="29">
        <f>IFERROR((G1186*H1186*I1186/1000000)*D1186,0)</f>
      </c>
    </row>
    <row r="1187" spans="1:13" x14ac:dyDescent="0.25">
      <c r="A1187" s="16"/>
      <c r="E1187" s="27"/>
      <c r="F1187" t="s">
        <v>26</v>
      </c>
      <c r="G1187" s="28">
        <f>IFERROR(VLOOKUP(F1187,CARTON_LOOKUP!$A:$E,3,0),"")</f>
      </c>
      <c r="H1187" s="28">
        <f>IFERROR(VLOOKUP(F1187,CARTON_LOOKUP!$A:$E,4,0),"")</f>
      </c>
      <c r="I1187" s="28">
        <f>IFERROR(VLOOKUP(F1187,CARTON_LOOKUP!$A:$E,5,0),"")</f>
      </c>
      <c r="J1187" s="29">
        <f>IFERROR(VLOOKUP(F1187,CARTON_LOOKUP!$A:$E,2,0),"")</f>
      </c>
      <c r="K1187" s="29">
        <f>IFERROR(J1187*D1187,0)</f>
      </c>
      <c r="L1187" s="29">
        <f>IFERROR(E1187*C1187,0)</f>
      </c>
      <c r="M1187" s="29">
        <f>IFERROR((G1187*H1187*I1187/1000000)*D1187,0)</f>
      </c>
    </row>
    <row r="1188" spans="1:13" x14ac:dyDescent="0.25">
      <c r="A1188" s="16"/>
      <c r="E1188" s="27"/>
      <c r="F1188" t="s">
        <v>26</v>
      </c>
      <c r="G1188" s="28">
        <f>IFERROR(VLOOKUP(F1188,CARTON_LOOKUP!$A:$E,3,0),"")</f>
      </c>
      <c r="H1188" s="28">
        <f>IFERROR(VLOOKUP(F1188,CARTON_LOOKUP!$A:$E,4,0),"")</f>
      </c>
      <c r="I1188" s="28">
        <f>IFERROR(VLOOKUP(F1188,CARTON_LOOKUP!$A:$E,5,0),"")</f>
      </c>
      <c r="J1188" s="29">
        <f>IFERROR(VLOOKUP(F1188,CARTON_LOOKUP!$A:$E,2,0),"")</f>
      </c>
      <c r="K1188" s="29">
        <f>IFERROR(J1188*D1188,0)</f>
      </c>
      <c r="L1188" s="29">
        <f>IFERROR(E1188*C1188,0)</f>
      </c>
      <c r="M1188" s="29">
        <f>IFERROR((G1188*H1188*I1188/1000000)*D1188,0)</f>
      </c>
    </row>
    <row r="1189" spans="1:13" x14ac:dyDescent="0.25">
      <c r="A1189" s="16"/>
      <c r="E1189" s="27"/>
      <c r="F1189" t="s">
        <v>26</v>
      </c>
      <c r="G1189" s="28">
        <f>IFERROR(VLOOKUP(F1189,CARTON_LOOKUP!$A:$E,3,0),"")</f>
      </c>
      <c r="H1189" s="28">
        <f>IFERROR(VLOOKUP(F1189,CARTON_LOOKUP!$A:$E,4,0),"")</f>
      </c>
      <c r="I1189" s="28">
        <f>IFERROR(VLOOKUP(F1189,CARTON_LOOKUP!$A:$E,5,0),"")</f>
      </c>
      <c r="J1189" s="29">
        <f>IFERROR(VLOOKUP(F1189,CARTON_LOOKUP!$A:$E,2,0),"")</f>
      </c>
      <c r="K1189" s="29">
        <f>IFERROR(J1189*D1189,0)</f>
      </c>
      <c r="L1189" s="29">
        <f>IFERROR(E1189*C1189,0)</f>
      </c>
      <c r="M1189" s="29">
        <f>IFERROR((G1189*H1189*I1189/1000000)*D1189,0)</f>
      </c>
    </row>
    <row r="1190" spans="1:13" x14ac:dyDescent="0.25">
      <c r="A1190" s="16"/>
      <c r="E1190" s="27"/>
      <c r="F1190" t="s">
        <v>26</v>
      </c>
      <c r="G1190" s="28">
        <f>IFERROR(VLOOKUP(F1190,CARTON_LOOKUP!$A:$E,3,0),"")</f>
      </c>
      <c r="H1190" s="28">
        <f>IFERROR(VLOOKUP(F1190,CARTON_LOOKUP!$A:$E,4,0),"")</f>
      </c>
      <c r="I1190" s="28">
        <f>IFERROR(VLOOKUP(F1190,CARTON_LOOKUP!$A:$E,5,0),"")</f>
      </c>
      <c r="J1190" s="29">
        <f>IFERROR(VLOOKUP(F1190,CARTON_LOOKUP!$A:$E,2,0),"")</f>
      </c>
      <c r="K1190" s="29">
        <f>IFERROR(J1190*D1190,0)</f>
      </c>
      <c r="L1190" s="29">
        <f>IFERROR(E1190*C1190,0)</f>
      </c>
      <c r="M1190" s="29">
        <f>IFERROR((G1190*H1190*I1190/1000000)*D1190,0)</f>
      </c>
    </row>
    <row r="1191" spans="1:13" x14ac:dyDescent="0.25">
      <c r="A1191" s="16"/>
      <c r="E1191" s="27"/>
      <c r="F1191" t="s">
        <v>26</v>
      </c>
      <c r="G1191" s="28">
        <f>IFERROR(VLOOKUP(F1191,CARTON_LOOKUP!$A:$E,3,0),"")</f>
      </c>
      <c r="H1191" s="28">
        <f>IFERROR(VLOOKUP(F1191,CARTON_LOOKUP!$A:$E,4,0),"")</f>
      </c>
      <c r="I1191" s="28">
        <f>IFERROR(VLOOKUP(F1191,CARTON_LOOKUP!$A:$E,5,0),"")</f>
      </c>
      <c r="J1191" s="29">
        <f>IFERROR(VLOOKUP(F1191,CARTON_LOOKUP!$A:$E,2,0),"")</f>
      </c>
      <c r="K1191" s="29">
        <f>IFERROR(J1191*D1191,0)</f>
      </c>
      <c r="L1191" s="29">
        <f>IFERROR(E1191*C1191,0)</f>
      </c>
      <c r="M1191" s="29">
        <f>IFERROR((G1191*H1191*I1191/1000000)*D1191,0)</f>
      </c>
    </row>
    <row r="1192" spans="1:13" x14ac:dyDescent="0.25">
      <c r="A1192" s="16"/>
      <c r="E1192" s="27"/>
      <c r="F1192" t="s">
        <v>26</v>
      </c>
      <c r="G1192" s="28">
        <f>IFERROR(VLOOKUP(F1192,CARTON_LOOKUP!$A:$E,3,0),"")</f>
      </c>
      <c r="H1192" s="28">
        <f>IFERROR(VLOOKUP(F1192,CARTON_LOOKUP!$A:$E,4,0),"")</f>
      </c>
      <c r="I1192" s="28">
        <f>IFERROR(VLOOKUP(F1192,CARTON_LOOKUP!$A:$E,5,0),"")</f>
      </c>
      <c r="J1192" s="29">
        <f>IFERROR(VLOOKUP(F1192,CARTON_LOOKUP!$A:$E,2,0),"")</f>
      </c>
      <c r="K1192" s="29">
        <f>IFERROR(J1192*D1192,0)</f>
      </c>
      <c r="L1192" s="29">
        <f>IFERROR(E1192*C1192,0)</f>
      </c>
      <c r="M1192" s="29">
        <f>IFERROR((G1192*H1192*I1192/1000000)*D1192,0)</f>
      </c>
    </row>
    <row r="1193" spans="1:13" x14ac:dyDescent="0.25">
      <c r="A1193" s="16"/>
      <c r="E1193" s="27"/>
      <c r="F1193" t="s">
        <v>26</v>
      </c>
      <c r="G1193" s="28">
        <f>IFERROR(VLOOKUP(F1193,CARTON_LOOKUP!$A:$E,3,0),"")</f>
      </c>
      <c r="H1193" s="28">
        <f>IFERROR(VLOOKUP(F1193,CARTON_LOOKUP!$A:$E,4,0),"")</f>
      </c>
      <c r="I1193" s="28">
        <f>IFERROR(VLOOKUP(F1193,CARTON_LOOKUP!$A:$E,5,0),"")</f>
      </c>
      <c r="J1193" s="29">
        <f>IFERROR(VLOOKUP(F1193,CARTON_LOOKUP!$A:$E,2,0),"")</f>
      </c>
      <c r="K1193" s="29">
        <f>IFERROR(J1193*D1193,0)</f>
      </c>
      <c r="L1193" s="29">
        <f>IFERROR(E1193*C1193,0)</f>
      </c>
      <c r="M1193" s="29">
        <f>IFERROR((G1193*H1193*I1193/1000000)*D1193,0)</f>
      </c>
    </row>
    <row r="1194" spans="1:13" x14ac:dyDescent="0.25">
      <c r="A1194" s="16"/>
      <c r="E1194" s="27"/>
      <c r="F1194" t="s">
        <v>26</v>
      </c>
      <c r="G1194" s="28">
        <f>IFERROR(VLOOKUP(F1194,CARTON_LOOKUP!$A:$E,3,0),"")</f>
      </c>
      <c r="H1194" s="28">
        <f>IFERROR(VLOOKUP(F1194,CARTON_LOOKUP!$A:$E,4,0),"")</f>
      </c>
      <c r="I1194" s="28">
        <f>IFERROR(VLOOKUP(F1194,CARTON_LOOKUP!$A:$E,5,0),"")</f>
      </c>
      <c r="J1194" s="29">
        <f>IFERROR(VLOOKUP(F1194,CARTON_LOOKUP!$A:$E,2,0),"")</f>
      </c>
      <c r="K1194" s="29">
        <f>IFERROR(J1194*D1194,0)</f>
      </c>
      <c r="L1194" s="29">
        <f>IFERROR(E1194*C1194,0)</f>
      </c>
      <c r="M1194" s="29">
        <f>IFERROR((G1194*H1194*I1194/1000000)*D1194,0)</f>
      </c>
    </row>
    <row r="1195" spans="1:13" x14ac:dyDescent="0.25">
      <c r="A1195" s="16"/>
      <c r="E1195" s="27"/>
      <c r="F1195" t="s">
        <v>26</v>
      </c>
      <c r="G1195" s="28">
        <f>IFERROR(VLOOKUP(F1195,CARTON_LOOKUP!$A:$E,3,0),"")</f>
      </c>
      <c r="H1195" s="28">
        <f>IFERROR(VLOOKUP(F1195,CARTON_LOOKUP!$A:$E,4,0),"")</f>
      </c>
      <c r="I1195" s="28">
        <f>IFERROR(VLOOKUP(F1195,CARTON_LOOKUP!$A:$E,5,0),"")</f>
      </c>
      <c r="J1195" s="29">
        <f>IFERROR(VLOOKUP(F1195,CARTON_LOOKUP!$A:$E,2,0),"")</f>
      </c>
      <c r="K1195" s="29">
        <f>IFERROR(J1195*D1195,0)</f>
      </c>
      <c r="L1195" s="29">
        <f>IFERROR(E1195*C1195,0)</f>
      </c>
      <c r="M1195" s="29">
        <f>IFERROR((G1195*H1195*I1195/1000000)*D1195,0)</f>
      </c>
    </row>
    <row r="1196" spans="1:13" x14ac:dyDescent="0.25">
      <c r="A1196" s="16"/>
      <c r="E1196" s="27"/>
      <c r="F1196" t="s">
        <v>26</v>
      </c>
      <c r="G1196" s="28">
        <f>IFERROR(VLOOKUP(F1196,CARTON_LOOKUP!$A:$E,3,0),"")</f>
      </c>
      <c r="H1196" s="28">
        <f>IFERROR(VLOOKUP(F1196,CARTON_LOOKUP!$A:$E,4,0),"")</f>
      </c>
      <c r="I1196" s="28">
        <f>IFERROR(VLOOKUP(F1196,CARTON_LOOKUP!$A:$E,5,0),"")</f>
      </c>
      <c r="J1196" s="29">
        <f>IFERROR(VLOOKUP(F1196,CARTON_LOOKUP!$A:$E,2,0),"")</f>
      </c>
      <c r="K1196" s="29">
        <f>IFERROR(J1196*D1196,0)</f>
      </c>
      <c r="L1196" s="29">
        <f>IFERROR(E1196*C1196,0)</f>
      </c>
      <c r="M1196" s="29">
        <f>IFERROR((G1196*H1196*I1196/1000000)*D1196,0)</f>
      </c>
    </row>
    <row r="1197" spans="1:13" x14ac:dyDescent="0.25">
      <c r="A1197" s="16"/>
      <c r="E1197" s="27"/>
      <c r="F1197" t="s">
        <v>26</v>
      </c>
      <c r="G1197" s="28">
        <f>IFERROR(VLOOKUP(F1197,CARTON_LOOKUP!$A:$E,3,0),"")</f>
      </c>
      <c r="H1197" s="28">
        <f>IFERROR(VLOOKUP(F1197,CARTON_LOOKUP!$A:$E,4,0),"")</f>
      </c>
      <c r="I1197" s="28">
        <f>IFERROR(VLOOKUP(F1197,CARTON_LOOKUP!$A:$E,5,0),"")</f>
      </c>
      <c r="J1197" s="29">
        <f>IFERROR(VLOOKUP(F1197,CARTON_LOOKUP!$A:$E,2,0),"")</f>
      </c>
      <c r="K1197" s="29">
        <f>IFERROR(J1197*D1197,0)</f>
      </c>
      <c r="L1197" s="29">
        <f>IFERROR(E1197*C1197,0)</f>
      </c>
      <c r="M1197" s="29">
        <f>IFERROR((G1197*H1197*I1197/1000000)*D1197,0)</f>
      </c>
    </row>
    <row r="1198" spans="1:13" x14ac:dyDescent="0.25">
      <c r="A1198" s="16"/>
      <c r="E1198" s="27"/>
      <c r="F1198" t="s">
        <v>26</v>
      </c>
      <c r="G1198" s="28">
        <f>IFERROR(VLOOKUP(F1198,CARTON_LOOKUP!$A:$E,3,0),"")</f>
      </c>
      <c r="H1198" s="28">
        <f>IFERROR(VLOOKUP(F1198,CARTON_LOOKUP!$A:$E,4,0),"")</f>
      </c>
      <c r="I1198" s="28">
        <f>IFERROR(VLOOKUP(F1198,CARTON_LOOKUP!$A:$E,5,0),"")</f>
      </c>
      <c r="J1198" s="29">
        <f>IFERROR(VLOOKUP(F1198,CARTON_LOOKUP!$A:$E,2,0),"")</f>
      </c>
      <c r="K1198" s="29">
        <f>IFERROR(J1198*D1198,0)</f>
      </c>
      <c r="L1198" s="29">
        <f>IFERROR(E1198*C1198,0)</f>
      </c>
      <c r="M1198" s="29">
        <f>IFERROR((G1198*H1198*I1198/1000000)*D1198,0)</f>
      </c>
    </row>
    <row r="1199" spans="1:13" x14ac:dyDescent="0.25">
      <c r="A1199" s="16"/>
      <c r="E1199" s="27"/>
      <c r="F1199" t="s">
        <v>26</v>
      </c>
      <c r="G1199" s="28">
        <f>IFERROR(VLOOKUP(F1199,CARTON_LOOKUP!$A:$E,3,0),"")</f>
      </c>
      <c r="H1199" s="28">
        <f>IFERROR(VLOOKUP(F1199,CARTON_LOOKUP!$A:$E,4,0),"")</f>
      </c>
      <c r="I1199" s="28">
        <f>IFERROR(VLOOKUP(F1199,CARTON_LOOKUP!$A:$E,5,0),"")</f>
      </c>
      <c r="J1199" s="29">
        <f>IFERROR(VLOOKUP(F1199,CARTON_LOOKUP!$A:$E,2,0),"")</f>
      </c>
      <c r="K1199" s="29">
        <f>IFERROR(J1199*D1199,0)</f>
      </c>
      <c r="L1199" s="29">
        <f>IFERROR(E1199*C1199,0)</f>
      </c>
      <c r="M1199" s="29">
        <f>IFERROR((G1199*H1199*I1199/1000000)*D1199,0)</f>
      </c>
    </row>
    <row r="1200" spans="1:13" x14ac:dyDescent="0.25">
      <c r="A1200" s="16"/>
      <c r="E1200" s="27"/>
      <c r="F1200" t="s">
        <v>26</v>
      </c>
      <c r="G1200" s="28">
        <f>IFERROR(VLOOKUP(F1200,CARTON_LOOKUP!$A:$E,3,0),"")</f>
      </c>
      <c r="H1200" s="28">
        <f>IFERROR(VLOOKUP(F1200,CARTON_LOOKUP!$A:$E,4,0),"")</f>
      </c>
      <c r="I1200" s="28">
        <f>IFERROR(VLOOKUP(F1200,CARTON_LOOKUP!$A:$E,5,0),"")</f>
      </c>
      <c r="J1200" s="29">
        <f>IFERROR(VLOOKUP(F1200,CARTON_LOOKUP!$A:$E,2,0),"")</f>
      </c>
      <c r="K1200" s="29">
        <f>IFERROR(J1200*D1200,0)</f>
      </c>
      <c r="L1200" s="29">
        <f>IFERROR(E1200*C1200,0)</f>
      </c>
      <c r="M1200" s="29">
        <f>IFERROR((G1200*H1200*I1200/1000000)*D1200,0)</f>
      </c>
    </row>
    <row r="1201" spans="1:13" x14ac:dyDescent="0.25">
      <c r="A1201" s="16"/>
      <c r="E1201" s="27"/>
      <c r="F1201" t="s">
        <v>26</v>
      </c>
      <c r="G1201" s="28">
        <f>IFERROR(VLOOKUP(F1201,CARTON_LOOKUP!$A:$E,3,0),"")</f>
      </c>
      <c r="H1201" s="28">
        <f>IFERROR(VLOOKUP(F1201,CARTON_LOOKUP!$A:$E,4,0),"")</f>
      </c>
      <c r="I1201" s="28">
        <f>IFERROR(VLOOKUP(F1201,CARTON_LOOKUP!$A:$E,5,0),"")</f>
      </c>
      <c r="J1201" s="29">
        <f>IFERROR(VLOOKUP(F1201,CARTON_LOOKUP!$A:$E,2,0),"")</f>
      </c>
      <c r="K1201" s="29">
        <f>IFERROR(J1201*D1201,0)</f>
      </c>
      <c r="L1201" s="29">
        <f>IFERROR(E1201*C1201,0)</f>
      </c>
      <c r="M1201" s="29">
        <f>IFERROR((G1201*H1201*I1201/1000000)*D1201,0)</f>
      </c>
    </row>
    <row r="1202" spans="1:13" x14ac:dyDescent="0.25">
      <c r="A1202" s="16"/>
      <c r="E1202" s="27"/>
      <c r="F1202" t="s">
        <v>26</v>
      </c>
      <c r="G1202" s="28">
        <f>IFERROR(VLOOKUP(F1202,CARTON_LOOKUP!$A:$E,3,0),"")</f>
      </c>
      <c r="H1202" s="28">
        <f>IFERROR(VLOOKUP(F1202,CARTON_LOOKUP!$A:$E,4,0),"")</f>
      </c>
      <c r="I1202" s="28">
        <f>IFERROR(VLOOKUP(F1202,CARTON_LOOKUP!$A:$E,5,0),"")</f>
      </c>
      <c r="J1202" s="29">
        <f>IFERROR(VLOOKUP(F1202,CARTON_LOOKUP!$A:$E,2,0),"")</f>
      </c>
      <c r="K1202" s="29">
        <f>IFERROR(J1202*D1202,0)</f>
      </c>
      <c r="L1202" s="29">
        <f>IFERROR(E1202*C1202,0)</f>
      </c>
      <c r="M1202" s="29">
        <f>IFERROR((G1202*H1202*I1202/1000000)*D1202,0)</f>
      </c>
    </row>
    <row r="1203" spans="1:13" x14ac:dyDescent="0.25">
      <c r="A1203" s="16"/>
      <c r="E1203" s="27"/>
      <c r="F1203" t="s">
        <v>26</v>
      </c>
      <c r="G1203" s="28">
        <f>IFERROR(VLOOKUP(F1203,CARTON_LOOKUP!$A:$E,3,0),"")</f>
      </c>
      <c r="H1203" s="28">
        <f>IFERROR(VLOOKUP(F1203,CARTON_LOOKUP!$A:$E,4,0),"")</f>
      </c>
      <c r="I1203" s="28">
        <f>IFERROR(VLOOKUP(F1203,CARTON_LOOKUP!$A:$E,5,0),"")</f>
      </c>
      <c r="J1203" s="29">
        <f>IFERROR(VLOOKUP(F1203,CARTON_LOOKUP!$A:$E,2,0),"")</f>
      </c>
      <c r="K1203" s="29">
        <f>IFERROR(J1203*D1203,0)</f>
      </c>
      <c r="L1203" s="29">
        <f>IFERROR(E1203*C1203,0)</f>
      </c>
      <c r="M1203" s="29">
        <f>IFERROR((G1203*H1203*I1203/1000000)*D1203,0)</f>
      </c>
    </row>
    <row r="1204" spans="1:13" x14ac:dyDescent="0.25">
      <c r="A1204" s="16"/>
      <c r="E1204" s="27"/>
      <c r="F1204" t="s">
        <v>26</v>
      </c>
      <c r="G1204" s="28">
        <f>IFERROR(VLOOKUP(F1204,CARTON_LOOKUP!$A:$E,3,0),"")</f>
      </c>
      <c r="H1204" s="28">
        <f>IFERROR(VLOOKUP(F1204,CARTON_LOOKUP!$A:$E,4,0),"")</f>
      </c>
      <c r="I1204" s="28">
        <f>IFERROR(VLOOKUP(F1204,CARTON_LOOKUP!$A:$E,5,0),"")</f>
      </c>
      <c r="J1204" s="29">
        <f>IFERROR(VLOOKUP(F1204,CARTON_LOOKUP!$A:$E,2,0),"")</f>
      </c>
      <c r="K1204" s="29">
        <f>IFERROR(J1204*D1204,0)</f>
      </c>
      <c r="L1204" s="29">
        <f>IFERROR(E1204*C1204,0)</f>
      </c>
      <c r="M1204" s="29">
        <f>IFERROR((G1204*H1204*I1204/1000000)*D1204,0)</f>
      </c>
    </row>
    <row r="1205" spans="1:13" x14ac:dyDescent="0.25">
      <c r="A1205" s="16"/>
      <c r="E1205" s="27"/>
      <c r="F1205" t="s">
        <v>26</v>
      </c>
      <c r="G1205" s="28">
        <f>IFERROR(VLOOKUP(F1205,CARTON_LOOKUP!$A:$E,3,0),"")</f>
      </c>
      <c r="H1205" s="28">
        <f>IFERROR(VLOOKUP(F1205,CARTON_LOOKUP!$A:$E,4,0),"")</f>
      </c>
      <c r="I1205" s="28">
        <f>IFERROR(VLOOKUP(F1205,CARTON_LOOKUP!$A:$E,5,0),"")</f>
      </c>
      <c r="J1205" s="29">
        <f>IFERROR(VLOOKUP(F1205,CARTON_LOOKUP!$A:$E,2,0),"")</f>
      </c>
      <c r="K1205" s="29">
        <f>IFERROR(J1205*D1205,0)</f>
      </c>
      <c r="L1205" s="29">
        <f>IFERROR(E1205*C1205,0)</f>
      </c>
      <c r="M1205" s="29">
        <f>IFERROR((G1205*H1205*I1205/1000000)*D1205,0)</f>
      </c>
    </row>
    <row r="1206" spans="1:13" x14ac:dyDescent="0.25">
      <c r="A1206" s="16"/>
      <c r="E1206" s="27"/>
      <c r="F1206" t="s">
        <v>26</v>
      </c>
      <c r="G1206" s="28">
        <f>IFERROR(VLOOKUP(F1206,CARTON_LOOKUP!$A:$E,3,0),"")</f>
      </c>
      <c r="H1206" s="28">
        <f>IFERROR(VLOOKUP(F1206,CARTON_LOOKUP!$A:$E,4,0),"")</f>
      </c>
      <c r="I1206" s="28">
        <f>IFERROR(VLOOKUP(F1206,CARTON_LOOKUP!$A:$E,5,0),"")</f>
      </c>
      <c r="J1206" s="29">
        <f>IFERROR(VLOOKUP(F1206,CARTON_LOOKUP!$A:$E,2,0),"")</f>
      </c>
      <c r="K1206" s="29">
        <f>IFERROR(J1206*D1206,0)</f>
      </c>
      <c r="L1206" s="29">
        <f>IFERROR(E1206*C1206,0)</f>
      </c>
      <c r="M1206" s="29">
        <f>IFERROR((G1206*H1206*I1206/1000000)*D1206,0)</f>
      </c>
    </row>
    <row r="1207" spans="1:13" x14ac:dyDescent="0.25">
      <c r="A1207" s="16"/>
      <c r="E1207" s="27"/>
      <c r="F1207" t="s">
        <v>26</v>
      </c>
      <c r="G1207" s="28">
        <f>IFERROR(VLOOKUP(F1207,CARTON_LOOKUP!$A:$E,3,0),"")</f>
      </c>
      <c r="H1207" s="28">
        <f>IFERROR(VLOOKUP(F1207,CARTON_LOOKUP!$A:$E,4,0),"")</f>
      </c>
      <c r="I1207" s="28">
        <f>IFERROR(VLOOKUP(F1207,CARTON_LOOKUP!$A:$E,5,0),"")</f>
      </c>
      <c r="J1207" s="29">
        <f>IFERROR(VLOOKUP(F1207,CARTON_LOOKUP!$A:$E,2,0),"")</f>
      </c>
      <c r="K1207" s="29">
        <f>IFERROR(J1207*D1207,0)</f>
      </c>
      <c r="L1207" s="29">
        <f>IFERROR(E1207*C1207,0)</f>
      </c>
      <c r="M1207" s="29">
        <f>IFERROR((G1207*H1207*I1207/1000000)*D1207,0)</f>
      </c>
    </row>
    <row r="1208" spans="1:13" x14ac:dyDescent="0.25">
      <c r="A1208" s="16"/>
      <c r="E1208" s="27"/>
      <c r="F1208" t="s">
        <v>26</v>
      </c>
      <c r="G1208" s="28">
        <f>IFERROR(VLOOKUP(F1208,CARTON_LOOKUP!$A:$E,3,0),"")</f>
      </c>
      <c r="H1208" s="28">
        <f>IFERROR(VLOOKUP(F1208,CARTON_LOOKUP!$A:$E,4,0),"")</f>
      </c>
      <c r="I1208" s="28">
        <f>IFERROR(VLOOKUP(F1208,CARTON_LOOKUP!$A:$E,5,0),"")</f>
      </c>
      <c r="J1208" s="29">
        <f>IFERROR(VLOOKUP(F1208,CARTON_LOOKUP!$A:$E,2,0),"")</f>
      </c>
      <c r="K1208" s="29">
        <f>IFERROR(J1208*D1208,0)</f>
      </c>
      <c r="L1208" s="29">
        <f>IFERROR(E1208*C1208,0)</f>
      </c>
      <c r="M1208" s="29">
        <f>IFERROR((G1208*H1208*I1208/1000000)*D1208,0)</f>
      </c>
    </row>
    <row r="1209" spans="1:13" x14ac:dyDescent="0.25">
      <c r="A1209" s="16"/>
      <c r="E1209" s="27"/>
      <c r="F1209" t="s">
        <v>26</v>
      </c>
      <c r="G1209" s="28">
        <f>IFERROR(VLOOKUP(F1209,CARTON_LOOKUP!$A:$E,3,0),"")</f>
      </c>
      <c r="H1209" s="28">
        <f>IFERROR(VLOOKUP(F1209,CARTON_LOOKUP!$A:$E,4,0),"")</f>
      </c>
      <c r="I1209" s="28">
        <f>IFERROR(VLOOKUP(F1209,CARTON_LOOKUP!$A:$E,5,0),"")</f>
      </c>
      <c r="J1209" s="29">
        <f>IFERROR(VLOOKUP(F1209,CARTON_LOOKUP!$A:$E,2,0),"")</f>
      </c>
      <c r="K1209" s="29">
        <f>IFERROR(J1209*D1209,0)</f>
      </c>
      <c r="L1209" s="29">
        <f>IFERROR(E1209*C1209,0)</f>
      </c>
      <c r="M1209" s="29">
        <f>IFERROR((G1209*H1209*I1209/1000000)*D1209,0)</f>
      </c>
    </row>
    <row r="1210" spans="1:13" x14ac:dyDescent="0.25">
      <c r="A1210" s="16"/>
      <c r="E1210" s="27"/>
      <c r="F1210" t="s">
        <v>26</v>
      </c>
      <c r="G1210" s="28">
        <f>IFERROR(VLOOKUP(F1210,CARTON_LOOKUP!$A:$E,3,0),"")</f>
      </c>
      <c r="H1210" s="28">
        <f>IFERROR(VLOOKUP(F1210,CARTON_LOOKUP!$A:$E,4,0),"")</f>
      </c>
      <c r="I1210" s="28">
        <f>IFERROR(VLOOKUP(F1210,CARTON_LOOKUP!$A:$E,5,0),"")</f>
      </c>
      <c r="J1210" s="29">
        <f>IFERROR(VLOOKUP(F1210,CARTON_LOOKUP!$A:$E,2,0),"")</f>
      </c>
      <c r="K1210" s="29">
        <f>IFERROR(J1210*D1210,0)</f>
      </c>
      <c r="L1210" s="29">
        <f>IFERROR(E1210*C1210,0)</f>
      </c>
      <c r="M1210" s="29">
        <f>IFERROR((G1210*H1210*I1210/1000000)*D1210,0)</f>
      </c>
    </row>
    <row r="1211" spans="1:13" x14ac:dyDescent="0.25">
      <c r="A1211" s="16"/>
      <c r="E1211" s="27"/>
      <c r="F1211" t="s">
        <v>26</v>
      </c>
      <c r="G1211" s="28">
        <f>IFERROR(VLOOKUP(F1211,CARTON_LOOKUP!$A:$E,3,0),"")</f>
      </c>
      <c r="H1211" s="28">
        <f>IFERROR(VLOOKUP(F1211,CARTON_LOOKUP!$A:$E,4,0),"")</f>
      </c>
      <c r="I1211" s="28">
        <f>IFERROR(VLOOKUP(F1211,CARTON_LOOKUP!$A:$E,5,0),"")</f>
      </c>
      <c r="J1211" s="29">
        <f>IFERROR(VLOOKUP(F1211,CARTON_LOOKUP!$A:$E,2,0),"")</f>
      </c>
      <c r="K1211" s="29">
        <f>IFERROR(J1211*D1211,0)</f>
      </c>
      <c r="L1211" s="29">
        <f>IFERROR(E1211*C1211,0)</f>
      </c>
      <c r="M1211" s="29">
        <f>IFERROR((G1211*H1211*I1211/1000000)*D1211,0)</f>
      </c>
    </row>
    <row r="1212" spans="1:13" x14ac:dyDescent="0.25">
      <c r="A1212" s="16"/>
      <c r="E1212" s="27"/>
      <c r="F1212" t="s">
        <v>26</v>
      </c>
      <c r="G1212" s="28">
        <f>IFERROR(VLOOKUP(F1212,CARTON_LOOKUP!$A:$E,3,0),"")</f>
      </c>
      <c r="H1212" s="28">
        <f>IFERROR(VLOOKUP(F1212,CARTON_LOOKUP!$A:$E,4,0),"")</f>
      </c>
      <c r="I1212" s="28">
        <f>IFERROR(VLOOKUP(F1212,CARTON_LOOKUP!$A:$E,5,0),"")</f>
      </c>
      <c r="J1212" s="29">
        <f>IFERROR(VLOOKUP(F1212,CARTON_LOOKUP!$A:$E,2,0),"")</f>
      </c>
      <c r="K1212" s="29">
        <f>IFERROR(J1212*D1212,0)</f>
      </c>
      <c r="L1212" s="29">
        <f>IFERROR(E1212*C1212,0)</f>
      </c>
      <c r="M1212" s="29">
        <f>IFERROR((G1212*H1212*I1212/1000000)*D1212,0)</f>
      </c>
    </row>
    <row r="1213" spans="1:13" x14ac:dyDescent="0.25">
      <c r="A1213" s="16"/>
      <c r="E1213" s="27"/>
      <c r="F1213" t="s">
        <v>26</v>
      </c>
      <c r="G1213" s="28">
        <f>IFERROR(VLOOKUP(F1213,CARTON_LOOKUP!$A:$E,3,0),"")</f>
      </c>
      <c r="H1213" s="28">
        <f>IFERROR(VLOOKUP(F1213,CARTON_LOOKUP!$A:$E,4,0),"")</f>
      </c>
      <c r="I1213" s="28">
        <f>IFERROR(VLOOKUP(F1213,CARTON_LOOKUP!$A:$E,5,0),"")</f>
      </c>
      <c r="J1213" s="29">
        <f>IFERROR(VLOOKUP(F1213,CARTON_LOOKUP!$A:$E,2,0),"")</f>
      </c>
      <c r="K1213" s="29">
        <f>IFERROR(J1213*D1213,0)</f>
      </c>
      <c r="L1213" s="29">
        <f>IFERROR(E1213*C1213,0)</f>
      </c>
      <c r="M1213" s="29">
        <f>IFERROR((G1213*H1213*I1213/1000000)*D1213,0)</f>
      </c>
    </row>
    <row r="1214" spans="1:13" x14ac:dyDescent="0.25">
      <c r="A1214" s="16"/>
      <c r="E1214" s="27"/>
      <c r="F1214" t="s">
        <v>26</v>
      </c>
      <c r="G1214" s="28">
        <f>IFERROR(VLOOKUP(F1214,CARTON_LOOKUP!$A:$E,3,0),"")</f>
      </c>
      <c r="H1214" s="28">
        <f>IFERROR(VLOOKUP(F1214,CARTON_LOOKUP!$A:$E,4,0),"")</f>
      </c>
      <c r="I1214" s="28">
        <f>IFERROR(VLOOKUP(F1214,CARTON_LOOKUP!$A:$E,5,0),"")</f>
      </c>
      <c r="J1214" s="29">
        <f>IFERROR(VLOOKUP(F1214,CARTON_LOOKUP!$A:$E,2,0),"")</f>
      </c>
      <c r="K1214" s="29">
        <f>IFERROR(J1214*D1214,0)</f>
      </c>
      <c r="L1214" s="29">
        <f>IFERROR(E1214*C1214,0)</f>
      </c>
      <c r="M1214" s="29">
        <f>IFERROR((G1214*H1214*I1214/1000000)*D1214,0)</f>
      </c>
    </row>
    <row r="1215" spans="1:13" x14ac:dyDescent="0.25">
      <c r="A1215" s="16"/>
      <c r="E1215" s="27"/>
      <c r="F1215" t="s">
        <v>26</v>
      </c>
      <c r="G1215" s="28">
        <f>IFERROR(VLOOKUP(F1215,CARTON_LOOKUP!$A:$E,3,0),"")</f>
      </c>
      <c r="H1215" s="28">
        <f>IFERROR(VLOOKUP(F1215,CARTON_LOOKUP!$A:$E,4,0),"")</f>
      </c>
      <c r="I1215" s="28">
        <f>IFERROR(VLOOKUP(F1215,CARTON_LOOKUP!$A:$E,5,0),"")</f>
      </c>
      <c r="J1215" s="29">
        <f>IFERROR(VLOOKUP(F1215,CARTON_LOOKUP!$A:$E,2,0),"")</f>
      </c>
      <c r="K1215" s="29">
        <f>IFERROR(J1215*D1215,0)</f>
      </c>
      <c r="L1215" s="29">
        <f>IFERROR(E1215*C1215,0)</f>
      </c>
      <c r="M1215" s="29">
        <f>IFERROR((G1215*H1215*I1215/1000000)*D1215,0)</f>
      </c>
    </row>
    <row r="1216" spans="1:13" x14ac:dyDescent="0.25">
      <c r="A1216" s="16"/>
      <c r="E1216" s="27"/>
      <c r="F1216" t="s">
        <v>26</v>
      </c>
      <c r="G1216" s="28">
        <f>IFERROR(VLOOKUP(F1216,CARTON_LOOKUP!$A:$E,3,0),"")</f>
      </c>
      <c r="H1216" s="28">
        <f>IFERROR(VLOOKUP(F1216,CARTON_LOOKUP!$A:$E,4,0),"")</f>
      </c>
      <c r="I1216" s="28">
        <f>IFERROR(VLOOKUP(F1216,CARTON_LOOKUP!$A:$E,5,0),"")</f>
      </c>
      <c r="J1216" s="29">
        <f>IFERROR(VLOOKUP(F1216,CARTON_LOOKUP!$A:$E,2,0),"")</f>
      </c>
      <c r="K1216" s="29">
        <f>IFERROR(J1216*D1216,0)</f>
      </c>
      <c r="L1216" s="29">
        <f>IFERROR(E1216*C1216,0)</f>
      </c>
      <c r="M1216" s="29">
        <f>IFERROR((G1216*H1216*I1216/1000000)*D1216,0)</f>
      </c>
    </row>
    <row r="1217" spans="1:13" x14ac:dyDescent="0.25">
      <c r="A1217" s="16"/>
      <c r="E1217" s="27"/>
      <c r="F1217" t="s">
        <v>26</v>
      </c>
      <c r="G1217" s="28">
        <f>IFERROR(VLOOKUP(F1217,CARTON_LOOKUP!$A:$E,3,0),"")</f>
      </c>
      <c r="H1217" s="28">
        <f>IFERROR(VLOOKUP(F1217,CARTON_LOOKUP!$A:$E,4,0),"")</f>
      </c>
      <c r="I1217" s="28">
        <f>IFERROR(VLOOKUP(F1217,CARTON_LOOKUP!$A:$E,5,0),"")</f>
      </c>
      <c r="J1217" s="29">
        <f>IFERROR(VLOOKUP(F1217,CARTON_LOOKUP!$A:$E,2,0),"")</f>
      </c>
      <c r="K1217" s="29">
        <f>IFERROR(J1217*D1217,0)</f>
      </c>
      <c r="L1217" s="29">
        <f>IFERROR(E1217*C1217,0)</f>
      </c>
      <c r="M1217" s="29">
        <f>IFERROR((G1217*H1217*I1217/1000000)*D1217,0)</f>
      </c>
    </row>
    <row r="1218" spans="1:13" x14ac:dyDescent="0.25">
      <c r="A1218" s="16"/>
      <c r="E1218" s="27"/>
      <c r="F1218" t="s">
        <v>26</v>
      </c>
      <c r="G1218" s="28">
        <f>IFERROR(VLOOKUP(F1218,CARTON_LOOKUP!$A:$E,3,0),"")</f>
      </c>
      <c r="H1218" s="28">
        <f>IFERROR(VLOOKUP(F1218,CARTON_LOOKUP!$A:$E,4,0),"")</f>
      </c>
      <c r="I1218" s="28">
        <f>IFERROR(VLOOKUP(F1218,CARTON_LOOKUP!$A:$E,5,0),"")</f>
      </c>
      <c r="J1218" s="29">
        <f>IFERROR(VLOOKUP(F1218,CARTON_LOOKUP!$A:$E,2,0),"")</f>
      </c>
      <c r="K1218" s="29">
        <f>IFERROR(J1218*D1218,0)</f>
      </c>
      <c r="L1218" s="29">
        <f>IFERROR(E1218*C1218,0)</f>
      </c>
      <c r="M1218" s="29">
        <f>IFERROR((G1218*H1218*I1218/1000000)*D1218,0)</f>
      </c>
    </row>
    <row r="1219" spans="1:13" x14ac:dyDescent="0.25">
      <c r="A1219" s="16"/>
      <c r="E1219" s="27"/>
      <c r="F1219" t="s">
        <v>26</v>
      </c>
      <c r="G1219" s="28">
        <f>IFERROR(VLOOKUP(F1219,CARTON_LOOKUP!$A:$E,3,0),"")</f>
      </c>
      <c r="H1219" s="28">
        <f>IFERROR(VLOOKUP(F1219,CARTON_LOOKUP!$A:$E,4,0),"")</f>
      </c>
      <c r="I1219" s="28">
        <f>IFERROR(VLOOKUP(F1219,CARTON_LOOKUP!$A:$E,5,0),"")</f>
      </c>
      <c r="J1219" s="29">
        <f>IFERROR(VLOOKUP(F1219,CARTON_LOOKUP!$A:$E,2,0),"")</f>
      </c>
      <c r="K1219" s="29">
        <f>IFERROR(J1219*D1219,0)</f>
      </c>
      <c r="L1219" s="29">
        <f>IFERROR(E1219*C1219,0)</f>
      </c>
      <c r="M1219" s="29">
        <f>IFERROR((G1219*H1219*I1219/1000000)*D1219,0)</f>
      </c>
    </row>
    <row r="1220" spans="1:13" x14ac:dyDescent="0.25">
      <c r="A1220" s="16"/>
      <c r="E1220" s="27"/>
      <c r="F1220" t="s">
        <v>26</v>
      </c>
      <c r="G1220" s="28">
        <f>IFERROR(VLOOKUP(F1220,CARTON_LOOKUP!$A:$E,3,0),"")</f>
      </c>
      <c r="H1220" s="28">
        <f>IFERROR(VLOOKUP(F1220,CARTON_LOOKUP!$A:$E,4,0),"")</f>
      </c>
      <c r="I1220" s="28">
        <f>IFERROR(VLOOKUP(F1220,CARTON_LOOKUP!$A:$E,5,0),"")</f>
      </c>
      <c r="J1220" s="29">
        <f>IFERROR(VLOOKUP(F1220,CARTON_LOOKUP!$A:$E,2,0),"")</f>
      </c>
      <c r="K1220" s="29">
        <f>IFERROR(J1220*D1220,0)</f>
      </c>
      <c r="L1220" s="29">
        <f>IFERROR(E1220*C1220,0)</f>
      </c>
      <c r="M1220" s="29">
        <f>IFERROR((G1220*H1220*I1220/1000000)*D1220,0)</f>
      </c>
    </row>
    <row r="1221" spans="1:13" x14ac:dyDescent="0.25">
      <c r="A1221" s="16"/>
      <c r="E1221" s="27"/>
      <c r="F1221" t="s">
        <v>26</v>
      </c>
      <c r="G1221" s="28">
        <f>IFERROR(VLOOKUP(F1221,CARTON_LOOKUP!$A:$E,3,0),"")</f>
      </c>
      <c r="H1221" s="28">
        <f>IFERROR(VLOOKUP(F1221,CARTON_LOOKUP!$A:$E,4,0),"")</f>
      </c>
      <c r="I1221" s="28">
        <f>IFERROR(VLOOKUP(F1221,CARTON_LOOKUP!$A:$E,5,0),"")</f>
      </c>
      <c r="J1221" s="29">
        <f>IFERROR(VLOOKUP(F1221,CARTON_LOOKUP!$A:$E,2,0),"")</f>
      </c>
      <c r="K1221" s="29">
        <f>IFERROR(J1221*D1221,0)</f>
      </c>
      <c r="L1221" s="29">
        <f>IFERROR(E1221*C1221,0)</f>
      </c>
      <c r="M1221" s="29">
        <f>IFERROR((G1221*H1221*I1221/1000000)*D1221,0)</f>
      </c>
    </row>
    <row r="1222" spans="1:13" x14ac:dyDescent="0.25">
      <c r="A1222" s="16"/>
      <c r="E1222" s="27"/>
      <c r="F1222" t="s">
        <v>26</v>
      </c>
      <c r="G1222" s="28">
        <f>IFERROR(VLOOKUP(F1222,CARTON_LOOKUP!$A:$E,3,0),"")</f>
      </c>
      <c r="H1222" s="28">
        <f>IFERROR(VLOOKUP(F1222,CARTON_LOOKUP!$A:$E,4,0),"")</f>
      </c>
      <c r="I1222" s="28">
        <f>IFERROR(VLOOKUP(F1222,CARTON_LOOKUP!$A:$E,5,0),"")</f>
      </c>
      <c r="J1222" s="29">
        <f>IFERROR(VLOOKUP(F1222,CARTON_LOOKUP!$A:$E,2,0),"")</f>
      </c>
      <c r="K1222" s="29">
        <f>IFERROR(J1222*D1222,0)</f>
      </c>
      <c r="L1222" s="29">
        <f>IFERROR(E1222*C1222,0)</f>
      </c>
      <c r="M1222" s="29">
        <f>IFERROR((G1222*H1222*I1222/1000000)*D1222,0)</f>
      </c>
    </row>
    <row r="1223" spans="1:13" x14ac:dyDescent="0.25">
      <c r="A1223" s="16"/>
      <c r="E1223" s="27"/>
      <c r="F1223" t="s">
        <v>26</v>
      </c>
      <c r="G1223" s="28">
        <f>IFERROR(VLOOKUP(F1223,CARTON_LOOKUP!$A:$E,3,0),"")</f>
      </c>
      <c r="H1223" s="28">
        <f>IFERROR(VLOOKUP(F1223,CARTON_LOOKUP!$A:$E,4,0),"")</f>
      </c>
      <c r="I1223" s="28">
        <f>IFERROR(VLOOKUP(F1223,CARTON_LOOKUP!$A:$E,5,0),"")</f>
      </c>
      <c r="J1223" s="29">
        <f>IFERROR(VLOOKUP(F1223,CARTON_LOOKUP!$A:$E,2,0),"")</f>
      </c>
      <c r="K1223" s="29">
        <f>IFERROR(J1223*D1223,0)</f>
      </c>
      <c r="L1223" s="29">
        <f>IFERROR(E1223*C1223,0)</f>
      </c>
      <c r="M1223" s="29">
        <f>IFERROR((G1223*H1223*I1223/1000000)*D1223,0)</f>
      </c>
    </row>
    <row r="1224" spans="1:13" x14ac:dyDescent="0.25">
      <c r="A1224" s="16"/>
      <c r="E1224" s="27"/>
      <c r="F1224" t="s">
        <v>26</v>
      </c>
      <c r="G1224" s="28">
        <f>IFERROR(VLOOKUP(F1224,CARTON_LOOKUP!$A:$E,3,0),"")</f>
      </c>
      <c r="H1224" s="28">
        <f>IFERROR(VLOOKUP(F1224,CARTON_LOOKUP!$A:$E,4,0),"")</f>
      </c>
      <c r="I1224" s="28">
        <f>IFERROR(VLOOKUP(F1224,CARTON_LOOKUP!$A:$E,5,0),"")</f>
      </c>
      <c r="J1224" s="29">
        <f>IFERROR(VLOOKUP(F1224,CARTON_LOOKUP!$A:$E,2,0),"")</f>
      </c>
      <c r="K1224" s="29">
        <f>IFERROR(J1224*D1224,0)</f>
      </c>
      <c r="L1224" s="29">
        <f>IFERROR(E1224*C1224,0)</f>
      </c>
      <c r="M1224" s="29">
        <f>IFERROR((G1224*H1224*I1224/1000000)*D1224,0)</f>
      </c>
    </row>
    <row r="1225" spans="1:13" x14ac:dyDescent="0.25">
      <c r="A1225" s="16"/>
      <c r="E1225" s="27"/>
      <c r="F1225" t="s">
        <v>26</v>
      </c>
      <c r="G1225" s="28">
        <f>IFERROR(VLOOKUP(F1225,CARTON_LOOKUP!$A:$E,3,0),"")</f>
      </c>
      <c r="H1225" s="28">
        <f>IFERROR(VLOOKUP(F1225,CARTON_LOOKUP!$A:$E,4,0),"")</f>
      </c>
      <c r="I1225" s="28">
        <f>IFERROR(VLOOKUP(F1225,CARTON_LOOKUP!$A:$E,5,0),"")</f>
      </c>
      <c r="J1225" s="29">
        <f>IFERROR(VLOOKUP(F1225,CARTON_LOOKUP!$A:$E,2,0),"")</f>
      </c>
      <c r="K1225" s="29">
        <f>IFERROR(J1225*D1225,0)</f>
      </c>
      <c r="L1225" s="29">
        <f>IFERROR(E1225*C1225,0)</f>
      </c>
      <c r="M1225" s="29">
        <f>IFERROR((G1225*H1225*I1225/1000000)*D1225,0)</f>
      </c>
    </row>
    <row r="1226" spans="1:13" x14ac:dyDescent="0.25">
      <c r="A1226" s="16"/>
      <c r="E1226" s="27"/>
      <c r="F1226" t="s">
        <v>26</v>
      </c>
      <c r="G1226" s="28">
        <f>IFERROR(VLOOKUP(F1226,CARTON_LOOKUP!$A:$E,3,0),"")</f>
      </c>
      <c r="H1226" s="28">
        <f>IFERROR(VLOOKUP(F1226,CARTON_LOOKUP!$A:$E,4,0),"")</f>
      </c>
      <c r="I1226" s="28">
        <f>IFERROR(VLOOKUP(F1226,CARTON_LOOKUP!$A:$E,5,0),"")</f>
      </c>
      <c r="J1226" s="29">
        <f>IFERROR(VLOOKUP(F1226,CARTON_LOOKUP!$A:$E,2,0),"")</f>
      </c>
      <c r="K1226" s="29">
        <f>IFERROR(J1226*D1226,0)</f>
      </c>
      <c r="L1226" s="29">
        <f>IFERROR(E1226*C1226,0)</f>
      </c>
      <c r="M1226" s="29">
        <f>IFERROR((G1226*H1226*I1226/1000000)*D1226,0)</f>
      </c>
    </row>
    <row r="1227" spans="1:13" x14ac:dyDescent="0.25">
      <c r="A1227" s="16"/>
      <c r="E1227" s="27"/>
      <c r="F1227" t="s">
        <v>26</v>
      </c>
      <c r="G1227" s="28">
        <f>IFERROR(VLOOKUP(F1227,CARTON_LOOKUP!$A:$E,3,0),"")</f>
      </c>
      <c r="H1227" s="28">
        <f>IFERROR(VLOOKUP(F1227,CARTON_LOOKUP!$A:$E,4,0),"")</f>
      </c>
      <c r="I1227" s="28">
        <f>IFERROR(VLOOKUP(F1227,CARTON_LOOKUP!$A:$E,5,0),"")</f>
      </c>
      <c r="J1227" s="29">
        <f>IFERROR(VLOOKUP(F1227,CARTON_LOOKUP!$A:$E,2,0),"")</f>
      </c>
      <c r="K1227" s="29">
        <f>IFERROR(J1227*D1227,0)</f>
      </c>
      <c r="L1227" s="29">
        <f>IFERROR(E1227*C1227,0)</f>
      </c>
      <c r="M1227" s="29">
        <f>IFERROR((G1227*H1227*I1227/1000000)*D1227,0)</f>
      </c>
    </row>
    <row r="1228" spans="1:13" x14ac:dyDescent="0.25">
      <c r="A1228" s="16"/>
      <c r="E1228" s="27"/>
      <c r="F1228" t="s">
        <v>26</v>
      </c>
      <c r="G1228" s="28">
        <f>IFERROR(VLOOKUP(F1228,CARTON_LOOKUP!$A:$E,3,0),"")</f>
      </c>
      <c r="H1228" s="28">
        <f>IFERROR(VLOOKUP(F1228,CARTON_LOOKUP!$A:$E,4,0),"")</f>
      </c>
      <c r="I1228" s="28">
        <f>IFERROR(VLOOKUP(F1228,CARTON_LOOKUP!$A:$E,5,0),"")</f>
      </c>
      <c r="J1228" s="29">
        <f>IFERROR(VLOOKUP(F1228,CARTON_LOOKUP!$A:$E,2,0),"")</f>
      </c>
      <c r="K1228" s="29">
        <f>IFERROR(J1228*D1228,0)</f>
      </c>
      <c r="L1228" s="29">
        <f>IFERROR(E1228*C1228,0)</f>
      </c>
      <c r="M1228" s="29">
        <f>IFERROR((G1228*H1228*I1228/1000000)*D1228,0)</f>
      </c>
    </row>
    <row r="1229" spans="1:13" x14ac:dyDescent="0.25">
      <c r="A1229" s="16"/>
      <c r="E1229" s="27"/>
      <c r="F1229" t="s">
        <v>26</v>
      </c>
      <c r="G1229" s="28">
        <f>IFERROR(VLOOKUP(F1229,CARTON_LOOKUP!$A:$E,3,0),"")</f>
      </c>
      <c r="H1229" s="28">
        <f>IFERROR(VLOOKUP(F1229,CARTON_LOOKUP!$A:$E,4,0),"")</f>
      </c>
      <c r="I1229" s="28">
        <f>IFERROR(VLOOKUP(F1229,CARTON_LOOKUP!$A:$E,5,0),"")</f>
      </c>
      <c r="J1229" s="29">
        <f>IFERROR(VLOOKUP(F1229,CARTON_LOOKUP!$A:$E,2,0),"")</f>
      </c>
      <c r="K1229" s="29">
        <f>IFERROR(J1229*D1229,0)</f>
      </c>
      <c r="L1229" s="29">
        <f>IFERROR(E1229*C1229,0)</f>
      </c>
      <c r="M1229" s="29">
        <f>IFERROR((G1229*H1229*I1229/1000000)*D1229,0)</f>
      </c>
    </row>
    <row r="1230" spans="1:13" x14ac:dyDescent="0.25">
      <c r="A1230" s="16"/>
      <c r="E1230" s="27"/>
      <c r="F1230" t="s">
        <v>26</v>
      </c>
      <c r="G1230" s="28">
        <f>IFERROR(VLOOKUP(F1230,CARTON_LOOKUP!$A:$E,3,0),"")</f>
      </c>
      <c r="H1230" s="28">
        <f>IFERROR(VLOOKUP(F1230,CARTON_LOOKUP!$A:$E,4,0),"")</f>
      </c>
      <c r="I1230" s="28">
        <f>IFERROR(VLOOKUP(F1230,CARTON_LOOKUP!$A:$E,5,0),"")</f>
      </c>
      <c r="J1230" s="29">
        <f>IFERROR(VLOOKUP(F1230,CARTON_LOOKUP!$A:$E,2,0),"")</f>
      </c>
      <c r="K1230" s="29">
        <f>IFERROR(J1230*D1230,0)</f>
      </c>
      <c r="L1230" s="29">
        <f>IFERROR(E1230*C1230,0)</f>
      </c>
      <c r="M1230" s="29">
        <f>IFERROR((G1230*H1230*I1230/1000000)*D1230,0)</f>
      </c>
    </row>
    <row r="1231" spans="1:13" x14ac:dyDescent="0.25">
      <c r="A1231" s="16"/>
      <c r="E1231" s="27"/>
      <c r="F1231" t="s">
        <v>26</v>
      </c>
      <c r="G1231" s="28">
        <f>IFERROR(VLOOKUP(F1231,CARTON_LOOKUP!$A:$E,3,0),"")</f>
      </c>
      <c r="H1231" s="28">
        <f>IFERROR(VLOOKUP(F1231,CARTON_LOOKUP!$A:$E,4,0),"")</f>
      </c>
      <c r="I1231" s="28">
        <f>IFERROR(VLOOKUP(F1231,CARTON_LOOKUP!$A:$E,5,0),"")</f>
      </c>
      <c r="J1231" s="29">
        <f>IFERROR(VLOOKUP(F1231,CARTON_LOOKUP!$A:$E,2,0),"")</f>
      </c>
      <c r="K1231" s="29">
        <f>IFERROR(J1231*D1231,0)</f>
      </c>
      <c r="L1231" s="29">
        <f>IFERROR(E1231*C1231,0)</f>
      </c>
      <c r="M1231" s="29">
        <f>IFERROR((G1231*H1231*I1231/1000000)*D1231,0)</f>
      </c>
    </row>
    <row r="1232" spans="1:13" x14ac:dyDescent="0.25">
      <c r="A1232" s="16"/>
      <c r="E1232" s="27"/>
      <c r="F1232" t="s">
        <v>26</v>
      </c>
      <c r="G1232" s="28">
        <f>IFERROR(VLOOKUP(F1232,CARTON_LOOKUP!$A:$E,3,0),"")</f>
      </c>
      <c r="H1232" s="28">
        <f>IFERROR(VLOOKUP(F1232,CARTON_LOOKUP!$A:$E,4,0),"")</f>
      </c>
      <c r="I1232" s="28">
        <f>IFERROR(VLOOKUP(F1232,CARTON_LOOKUP!$A:$E,5,0),"")</f>
      </c>
      <c r="J1232" s="29">
        <f>IFERROR(VLOOKUP(F1232,CARTON_LOOKUP!$A:$E,2,0),"")</f>
      </c>
      <c r="K1232" s="29">
        <f>IFERROR(J1232*D1232,0)</f>
      </c>
      <c r="L1232" s="29">
        <f>IFERROR(E1232*C1232,0)</f>
      </c>
      <c r="M1232" s="29">
        <f>IFERROR((G1232*H1232*I1232/1000000)*D1232,0)</f>
      </c>
    </row>
    <row r="1233" spans="1:13" x14ac:dyDescent="0.25">
      <c r="A1233" s="16"/>
      <c r="E1233" s="27"/>
      <c r="F1233" t="s">
        <v>26</v>
      </c>
      <c r="G1233" s="28">
        <f>IFERROR(VLOOKUP(F1233,CARTON_LOOKUP!$A:$E,3,0),"")</f>
      </c>
      <c r="H1233" s="28">
        <f>IFERROR(VLOOKUP(F1233,CARTON_LOOKUP!$A:$E,4,0),"")</f>
      </c>
      <c r="I1233" s="28">
        <f>IFERROR(VLOOKUP(F1233,CARTON_LOOKUP!$A:$E,5,0),"")</f>
      </c>
      <c r="J1233" s="29">
        <f>IFERROR(VLOOKUP(F1233,CARTON_LOOKUP!$A:$E,2,0),"")</f>
      </c>
      <c r="K1233" s="29">
        <f>IFERROR(J1233*D1233,0)</f>
      </c>
      <c r="L1233" s="29">
        <f>IFERROR(E1233*C1233,0)</f>
      </c>
      <c r="M1233" s="29">
        <f>IFERROR((G1233*H1233*I1233/1000000)*D1233,0)</f>
      </c>
    </row>
    <row r="1234" spans="1:13" x14ac:dyDescent="0.25">
      <c r="A1234" s="16"/>
      <c r="E1234" s="27"/>
      <c r="F1234" t="s">
        <v>26</v>
      </c>
      <c r="G1234" s="28">
        <f>IFERROR(VLOOKUP(F1234,CARTON_LOOKUP!$A:$E,3,0),"")</f>
      </c>
      <c r="H1234" s="28">
        <f>IFERROR(VLOOKUP(F1234,CARTON_LOOKUP!$A:$E,4,0),"")</f>
      </c>
      <c r="I1234" s="28">
        <f>IFERROR(VLOOKUP(F1234,CARTON_LOOKUP!$A:$E,5,0),"")</f>
      </c>
      <c r="J1234" s="29">
        <f>IFERROR(VLOOKUP(F1234,CARTON_LOOKUP!$A:$E,2,0),"")</f>
      </c>
      <c r="K1234" s="29">
        <f>IFERROR(J1234*D1234,0)</f>
      </c>
      <c r="L1234" s="29">
        <f>IFERROR(E1234*C1234,0)</f>
      </c>
      <c r="M1234" s="29">
        <f>IFERROR((G1234*H1234*I1234/1000000)*D1234,0)</f>
      </c>
    </row>
    <row r="1235" spans="1:13" x14ac:dyDescent="0.25">
      <c r="A1235" s="16"/>
      <c r="E1235" s="27"/>
      <c r="F1235" t="s">
        <v>26</v>
      </c>
      <c r="G1235" s="28">
        <f>IFERROR(VLOOKUP(F1235,CARTON_LOOKUP!$A:$E,3,0),"")</f>
      </c>
      <c r="H1235" s="28">
        <f>IFERROR(VLOOKUP(F1235,CARTON_LOOKUP!$A:$E,4,0),"")</f>
      </c>
      <c r="I1235" s="28">
        <f>IFERROR(VLOOKUP(F1235,CARTON_LOOKUP!$A:$E,5,0),"")</f>
      </c>
      <c r="J1235" s="29">
        <f>IFERROR(VLOOKUP(F1235,CARTON_LOOKUP!$A:$E,2,0),"")</f>
      </c>
      <c r="K1235" s="29">
        <f>IFERROR(J1235*D1235,0)</f>
      </c>
      <c r="L1235" s="29">
        <f>IFERROR(E1235*C1235,0)</f>
      </c>
      <c r="M1235" s="29">
        <f>IFERROR((G1235*H1235*I1235/1000000)*D1235,0)</f>
      </c>
    </row>
    <row r="1236" spans="1:13" x14ac:dyDescent="0.25">
      <c r="A1236" s="16"/>
      <c r="E1236" s="27"/>
      <c r="F1236" t="s">
        <v>26</v>
      </c>
      <c r="G1236" s="28">
        <f>IFERROR(VLOOKUP(F1236,CARTON_LOOKUP!$A:$E,3,0),"")</f>
      </c>
      <c r="H1236" s="28">
        <f>IFERROR(VLOOKUP(F1236,CARTON_LOOKUP!$A:$E,4,0),"")</f>
      </c>
      <c r="I1236" s="28">
        <f>IFERROR(VLOOKUP(F1236,CARTON_LOOKUP!$A:$E,5,0),"")</f>
      </c>
      <c r="J1236" s="29">
        <f>IFERROR(VLOOKUP(F1236,CARTON_LOOKUP!$A:$E,2,0),"")</f>
      </c>
      <c r="K1236" s="29">
        <f>IFERROR(J1236*D1236,0)</f>
      </c>
      <c r="L1236" s="29">
        <f>IFERROR(E1236*C1236,0)</f>
      </c>
      <c r="M1236" s="29">
        <f>IFERROR((G1236*H1236*I1236/1000000)*D1236,0)</f>
      </c>
    </row>
    <row r="1237" spans="1:13" x14ac:dyDescent="0.25">
      <c r="A1237" s="16"/>
      <c r="E1237" s="27"/>
      <c r="F1237" t="s">
        <v>26</v>
      </c>
      <c r="G1237" s="28">
        <f>IFERROR(VLOOKUP(F1237,CARTON_LOOKUP!$A:$E,3,0),"")</f>
      </c>
      <c r="H1237" s="28">
        <f>IFERROR(VLOOKUP(F1237,CARTON_LOOKUP!$A:$E,4,0),"")</f>
      </c>
      <c r="I1237" s="28">
        <f>IFERROR(VLOOKUP(F1237,CARTON_LOOKUP!$A:$E,5,0),"")</f>
      </c>
      <c r="J1237" s="29">
        <f>IFERROR(VLOOKUP(F1237,CARTON_LOOKUP!$A:$E,2,0),"")</f>
      </c>
      <c r="K1237" s="29">
        <f>IFERROR(J1237*D1237,0)</f>
      </c>
      <c r="L1237" s="29">
        <f>IFERROR(E1237*C1237,0)</f>
      </c>
      <c r="M1237" s="29">
        <f>IFERROR((G1237*H1237*I1237/1000000)*D1237,0)</f>
      </c>
    </row>
    <row r="1238" spans="1:13" x14ac:dyDescent="0.25">
      <c r="A1238" s="16"/>
      <c r="E1238" s="27"/>
      <c r="F1238" t="s">
        <v>26</v>
      </c>
      <c r="G1238" s="28">
        <f>IFERROR(VLOOKUP(F1238,CARTON_LOOKUP!$A:$E,3,0),"")</f>
      </c>
      <c r="H1238" s="28">
        <f>IFERROR(VLOOKUP(F1238,CARTON_LOOKUP!$A:$E,4,0),"")</f>
      </c>
      <c r="I1238" s="28">
        <f>IFERROR(VLOOKUP(F1238,CARTON_LOOKUP!$A:$E,5,0),"")</f>
      </c>
      <c r="J1238" s="29">
        <f>IFERROR(VLOOKUP(F1238,CARTON_LOOKUP!$A:$E,2,0),"")</f>
      </c>
      <c r="K1238" s="29">
        <f>IFERROR(J1238*D1238,0)</f>
      </c>
      <c r="L1238" s="29">
        <f>IFERROR(E1238*C1238,0)</f>
      </c>
      <c r="M1238" s="29">
        <f>IFERROR((G1238*H1238*I1238/1000000)*D1238,0)</f>
      </c>
    </row>
    <row r="1239" spans="1:13" x14ac:dyDescent="0.25">
      <c r="A1239" s="16"/>
      <c r="E1239" s="27"/>
      <c r="F1239" t="s">
        <v>26</v>
      </c>
      <c r="G1239" s="28">
        <f>IFERROR(VLOOKUP(F1239,CARTON_LOOKUP!$A:$E,3,0),"")</f>
      </c>
      <c r="H1239" s="28">
        <f>IFERROR(VLOOKUP(F1239,CARTON_LOOKUP!$A:$E,4,0),"")</f>
      </c>
      <c r="I1239" s="28">
        <f>IFERROR(VLOOKUP(F1239,CARTON_LOOKUP!$A:$E,5,0),"")</f>
      </c>
      <c r="J1239" s="29">
        <f>IFERROR(VLOOKUP(F1239,CARTON_LOOKUP!$A:$E,2,0),"")</f>
      </c>
      <c r="K1239" s="29">
        <f>IFERROR(J1239*D1239,0)</f>
      </c>
      <c r="L1239" s="29">
        <f>IFERROR(E1239*C1239,0)</f>
      </c>
      <c r="M1239" s="29">
        <f>IFERROR((G1239*H1239*I1239/1000000)*D1239,0)</f>
      </c>
    </row>
    <row r="1240" spans="1:13" x14ac:dyDescent="0.25">
      <c r="A1240" s="16"/>
      <c r="E1240" s="27"/>
      <c r="F1240" t="s">
        <v>26</v>
      </c>
      <c r="G1240" s="28">
        <f>IFERROR(VLOOKUP(F1240,CARTON_LOOKUP!$A:$E,3,0),"")</f>
      </c>
      <c r="H1240" s="28">
        <f>IFERROR(VLOOKUP(F1240,CARTON_LOOKUP!$A:$E,4,0),"")</f>
      </c>
      <c r="I1240" s="28">
        <f>IFERROR(VLOOKUP(F1240,CARTON_LOOKUP!$A:$E,5,0),"")</f>
      </c>
      <c r="J1240" s="29">
        <f>IFERROR(VLOOKUP(F1240,CARTON_LOOKUP!$A:$E,2,0),"")</f>
      </c>
      <c r="K1240" s="29">
        <f>IFERROR(J1240*D1240,0)</f>
      </c>
      <c r="L1240" s="29">
        <f>IFERROR(E1240*C1240,0)</f>
      </c>
      <c r="M1240" s="29">
        <f>IFERROR((G1240*H1240*I1240/1000000)*D1240,0)</f>
      </c>
    </row>
    <row r="1241" spans="1:13" x14ac:dyDescent="0.25">
      <c r="A1241" s="16"/>
      <c r="E1241" s="27"/>
      <c r="F1241" t="s">
        <v>26</v>
      </c>
      <c r="G1241" s="28">
        <f>IFERROR(VLOOKUP(F1241,CARTON_LOOKUP!$A:$E,3,0),"")</f>
      </c>
      <c r="H1241" s="28">
        <f>IFERROR(VLOOKUP(F1241,CARTON_LOOKUP!$A:$E,4,0),"")</f>
      </c>
      <c r="I1241" s="28">
        <f>IFERROR(VLOOKUP(F1241,CARTON_LOOKUP!$A:$E,5,0),"")</f>
      </c>
      <c r="J1241" s="29">
        <f>IFERROR(VLOOKUP(F1241,CARTON_LOOKUP!$A:$E,2,0),"")</f>
      </c>
      <c r="K1241" s="29">
        <f>IFERROR(J1241*D1241,0)</f>
      </c>
      <c r="L1241" s="29">
        <f>IFERROR(E1241*C1241,0)</f>
      </c>
      <c r="M1241" s="29">
        <f>IFERROR((G1241*H1241*I1241/1000000)*D1241,0)</f>
      </c>
    </row>
    <row r="1242" spans="1:13" x14ac:dyDescent="0.25">
      <c r="A1242" s="16"/>
      <c r="E1242" s="27"/>
      <c r="F1242" t="s">
        <v>26</v>
      </c>
      <c r="G1242" s="28">
        <f>IFERROR(VLOOKUP(F1242,CARTON_LOOKUP!$A:$E,3,0),"")</f>
      </c>
      <c r="H1242" s="28">
        <f>IFERROR(VLOOKUP(F1242,CARTON_LOOKUP!$A:$E,4,0),"")</f>
      </c>
      <c r="I1242" s="28">
        <f>IFERROR(VLOOKUP(F1242,CARTON_LOOKUP!$A:$E,5,0),"")</f>
      </c>
      <c r="J1242" s="29">
        <f>IFERROR(VLOOKUP(F1242,CARTON_LOOKUP!$A:$E,2,0),"")</f>
      </c>
      <c r="K1242" s="29">
        <f>IFERROR(J1242*D1242,0)</f>
      </c>
      <c r="L1242" s="29">
        <f>IFERROR(E1242*C1242,0)</f>
      </c>
      <c r="M1242" s="29">
        <f>IFERROR((G1242*H1242*I1242/1000000)*D1242,0)</f>
      </c>
    </row>
    <row r="1243" spans="1:13" x14ac:dyDescent="0.25">
      <c r="A1243" s="16"/>
      <c r="E1243" s="27"/>
      <c r="F1243" t="s">
        <v>26</v>
      </c>
      <c r="G1243" s="28">
        <f>IFERROR(VLOOKUP(F1243,CARTON_LOOKUP!$A:$E,3,0),"")</f>
      </c>
      <c r="H1243" s="28">
        <f>IFERROR(VLOOKUP(F1243,CARTON_LOOKUP!$A:$E,4,0),"")</f>
      </c>
      <c r="I1243" s="28">
        <f>IFERROR(VLOOKUP(F1243,CARTON_LOOKUP!$A:$E,5,0),"")</f>
      </c>
      <c r="J1243" s="29">
        <f>IFERROR(VLOOKUP(F1243,CARTON_LOOKUP!$A:$E,2,0),"")</f>
      </c>
      <c r="K1243" s="29">
        <f>IFERROR(J1243*D1243,0)</f>
      </c>
      <c r="L1243" s="29">
        <f>IFERROR(E1243*C1243,0)</f>
      </c>
      <c r="M1243" s="29">
        <f>IFERROR((G1243*H1243*I1243/1000000)*D1243,0)</f>
      </c>
    </row>
    <row r="1244" spans="1:13" x14ac:dyDescent="0.25">
      <c r="A1244" s="16"/>
      <c r="E1244" s="27"/>
      <c r="F1244" t="s">
        <v>26</v>
      </c>
      <c r="G1244" s="28">
        <f>IFERROR(VLOOKUP(F1244,CARTON_LOOKUP!$A:$E,3,0),"")</f>
      </c>
      <c r="H1244" s="28">
        <f>IFERROR(VLOOKUP(F1244,CARTON_LOOKUP!$A:$E,4,0),"")</f>
      </c>
      <c r="I1244" s="28">
        <f>IFERROR(VLOOKUP(F1244,CARTON_LOOKUP!$A:$E,5,0),"")</f>
      </c>
      <c r="J1244" s="29">
        <f>IFERROR(VLOOKUP(F1244,CARTON_LOOKUP!$A:$E,2,0),"")</f>
      </c>
      <c r="K1244" s="29">
        <f>IFERROR(J1244*D1244,0)</f>
      </c>
      <c r="L1244" s="29">
        <f>IFERROR(E1244*C1244,0)</f>
      </c>
      <c r="M1244" s="29">
        <f>IFERROR((G1244*H1244*I1244/1000000)*D1244,0)</f>
      </c>
    </row>
    <row r="1245" spans="1:13" x14ac:dyDescent="0.25">
      <c r="A1245" s="16"/>
      <c r="E1245" s="27"/>
      <c r="F1245" t="s">
        <v>26</v>
      </c>
      <c r="G1245" s="28">
        <f>IFERROR(VLOOKUP(F1245,CARTON_LOOKUP!$A:$E,3,0),"")</f>
      </c>
      <c r="H1245" s="28">
        <f>IFERROR(VLOOKUP(F1245,CARTON_LOOKUP!$A:$E,4,0),"")</f>
      </c>
      <c r="I1245" s="28">
        <f>IFERROR(VLOOKUP(F1245,CARTON_LOOKUP!$A:$E,5,0),"")</f>
      </c>
      <c r="J1245" s="29">
        <f>IFERROR(VLOOKUP(F1245,CARTON_LOOKUP!$A:$E,2,0),"")</f>
      </c>
      <c r="K1245" s="29">
        <f>IFERROR(J1245*D1245,0)</f>
      </c>
      <c r="L1245" s="29">
        <f>IFERROR(E1245*C1245,0)</f>
      </c>
      <c r="M1245" s="29">
        <f>IFERROR((G1245*H1245*I1245/1000000)*D1245,0)</f>
      </c>
    </row>
    <row r="1246" spans="1:13" x14ac:dyDescent="0.25">
      <c r="A1246" s="16"/>
      <c r="E1246" s="27"/>
      <c r="F1246" t="s">
        <v>26</v>
      </c>
      <c r="G1246" s="28">
        <f>IFERROR(VLOOKUP(F1246,CARTON_LOOKUP!$A:$E,3,0),"")</f>
      </c>
      <c r="H1246" s="28">
        <f>IFERROR(VLOOKUP(F1246,CARTON_LOOKUP!$A:$E,4,0),"")</f>
      </c>
      <c r="I1246" s="28">
        <f>IFERROR(VLOOKUP(F1246,CARTON_LOOKUP!$A:$E,5,0),"")</f>
      </c>
      <c r="J1246" s="29">
        <f>IFERROR(VLOOKUP(F1246,CARTON_LOOKUP!$A:$E,2,0),"")</f>
      </c>
      <c r="K1246" s="29">
        <f>IFERROR(J1246*D1246,0)</f>
      </c>
      <c r="L1246" s="29">
        <f>IFERROR(E1246*C1246,0)</f>
      </c>
      <c r="M1246" s="29">
        <f>IFERROR((G1246*H1246*I1246/1000000)*D1246,0)</f>
      </c>
    </row>
    <row r="1247" spans="1:13" x14ac:dyDescent="0.25">
      <c r="A1247" s="16"/>
      <c r="E1247" s="27"/>
      <c r="F1247" t="s">
        <v>26</v>
      </c>
      <c r="G1247" s="28">
        <f>IFERROR(VLOOKUP(F1247,CARTON_LOOKUP!$A:$E,3,0),"")</f>
      </c>
      <c r="H1247" s="28">
        <f>IFERROR(VLOOKUP(F1247,CARTON_LOOKUP!$A:$E,4,0),"")</f>
      </c>
      <c r="I1247" s="28">
        <f>IFERROR(VLOOKUP(F1247,CARTON_LOOKUP!$A:$E,5,0),"")</f>
      </c>
      <c r="J1247" s="29">
        <f>IFERROR(VLOOKUP(F1247,CARTON_LOOKUP!$A:$E,2,0),"")</f>
      </c>
      <c r="K1247" s="29">
        <f>IFERROR(J1247*D1247,0)</f>
      </c>
      <c r="L1247" s="29">
        <f>IFERROR(E1247*C1247,0)</f>
      </c>
      <c r="M1247" s="29">
        <f>IFERROR((G1247*H1247*I1247/1000000)*D1247,0)</f>
      </c>
    </row>
    <row r="1248" spans="1:13" x14ac:dyDescent="0.25">
      <c r="A1248" s="16"/>
      <c r="E1248" s="27"/>
      <c r="F1248" t="s">
        <v>26</v>
      </c>
      <c r="G1248" s="28">
        <f>IFERROR(VLOOKUP(F1248,CARTON_LOOKUP!$A:$E,3,0),"")</f>
      </c>
      <c r="H1248" s="28">
        <f>IFERROR(VLOOKUP(F1248,CARTON_LOOKUP!$A:$E,4,0),"")</f>
      </c>
      <c r="I1248" s="28">
        <f>IFERROR(VLOOKUP(F1248,CARTON_LOOKUP!$A:$E,5,0),"")</f>
      </c>
      <c r="J1248" s="29">
        <f>IFERROR(VLOOKUP(F1248,CARTON_LOOKUP!$A:$E,2,0),"")</f>
      </c>
      <c r="K1248" s="29">
        <f>IFERROR(J1248*D1248,0)</f>
      </c>
      <c r="L1248" s="29">
        <f>IFERROR(E1248*C1248,0)</f>
      </c>
      <c r="M1248" s="29">
        <f>IFERROR((G1248*H1248*I1248/1000000)*D1248,0)</f>
      </c>
    </row>
    <row r="1249" spans="1:13" x14ac:dyDescent="0.25">
      <c r="A1249" s="16"/>
      <c r="E1249" s="27"/>
      <c r="F1249" t="s">
        <v>26</v>
      </c>
      <c r="G1249" s="28">
        <f>IFERROR(VLOOKUP(F1249,CARTON_LOOKUP!$A:$E,3,0),"")</f>
      </c>
      <c r="H1249" s="28">
        <f>IFERROR(VLOOKUP(F1249,CARTON_LOOKUP!$A:$E,4,0),"")</f>
      </c>
      <c r="I1249" s="28">
        <f>IFERROR(VLOOKUP(F1249,CARTON_LOOKUP!$A:$E,5,0),"")</f>
      </c>
      <c r="J1249" s="29">
        <f>IFERROR(VLOOKUP(F1249,CARTON_LOOKUP!$A:$E,2,0),"")</f>
      </c>
      <c r="K1249" s="29">
        <f>IFERROR(J1249*D1249,0)</f>
      </c>
      <c r="L1249" s="29">
        <f>IFERROR(E1249*C1249,0)</f>
      </c>
      <c r="M1249" s="29">
        <f>IFERROR((G1249*H1249*I1249/1000000)*D1249,0)</f>
      </c>
    </row>
    <row r="1250" spans="1:13" x14ac:dyDescent="0.25">
      <c r="A1250" s="16"/>
      <c r="E1250" s="27"/>
      <c r="F1250" t="s">
        <v>26</v>
      </c>
      <c r="G1250" s="28">
        <f>IFERROR(VLOOKUP(F1250,CARTON_LOOKUP!$A:$E,3,0),"")</f>
      </c>
      <c r="H1250" s="28">
        <f>IFERROR(VLOOKUP(F1250,CARTON_LOOKUP!$A:$E,4,0),"")</f>
      </c>
      <c r="I1250" s="28">
        <f>IFERROR(VLOOKUP(F1250,CARTON_LOOKUP!$A:$E,5,0),"")</f>
      </c>
      <c r="J1250" s="29">
        <f>IFERROR(VLOOKUP(F1250,CARTON_LOOKUP!$A:$E,2,0),"")</f>
      </c>
      <c r="K1250" s="29">
        <f>IFERROR(J1250*D1250,0)</f>
      </c>
      <c r="L1250" s="29">
        <f>IFERROR(E1250*C1250,0)</f>
      </c>
      <c r="M1250" s="29">
        <f>IFERROR((G1250*H1250*I1250/1000000)*D1250,0)</f>
      </c>
    </row>
    <row r="1251" spans="1:13" x14ac:dyDescent="0.25">
      <c r="A1251" s="16"/>
      <c r="E1251" s="27"/>
      <c r="F1251" t="s">
        <v>26</v>
      </c>
      <c r="G1251" s="28">
        <f>IFERROR(VLOOKUP(F1251,CARTON_LOOKUP!$A:$E,3,0),"")</f>
      </c>
      <c r="H1251" s="28">
        <f>IFERROR(VLOOKUP(F1251,CARTON_LOOKUP!$A:$E,4,0),"")</f>
      </c>
      <c r="I1251" s="28">
        <f>IFERROR(VLOOKUP(F1251,CARTON_LOOKUP!$A:$E,5,0),"")</f>
      </c>
      <c r="J1251" s="29">
        <f>IFERROR(VLOOKUP(F1251,CARTON_LOOKUP!$A:$E,2,0),"")</f>
      </c>
      <c r="K1251" s="29">
        <f>IFERROR(J1251*D1251,0)</f>
      </c>
      <c r="L1251" s="29">
        <f>IFERROR(E1251*C1251,0)</f>
      </c>
      <c r="M1251" s="29">
        <f>IFERROR((G1251*H1251*I1251/1000000)*D1251,0)</f>
      </c>
    </row>
    <row r="1252" spans="1:13" x14ac:dyDescent="0.25">
      <c r="A1252" s="16"/>
      <c r="E1252" s="27"/>
      <c r="F1252" t="s">
        <v>26</v>
      </c>
      <c r="G1252" s="28">
        <f>IFERROR(VLOOKUP(F1252,CARTON_LOOKUP!$A:$E,3,0),"")</f>
      </c>
      <c r="H1252" s="28">
        <f>IFERROR(VLOOKUP(F1252,CARTON_LOOKUP!$A:$E,4,0),"")</f>
      </c>
      <c r="I1252" s="28">
        <f>IFERROR(VLOOKUP(F1252,CARTON_LOOKUP!$A:$E,5,0),"")</f>
      </c>
      <c r="J1252" s="29">
        <f>IFERROR(VLOOKUP(F1252,CARTON_LOOKUP!$A:$E,2,0),"")</f>
      </c>
      <c r="K1252" s="29">
        <f>IFERROR(J1252*D1252,0)</f>
      </c>
      <c r="L1252" s="29">
        <f>IFERROR(E1252*C1252,0)</f>
      </c>
      <c r="M1252" s="29">
        <f>IFERROR((G1252*H1252*I1252/1000000)*D1252,0)</f>
      </c>
    </row>
    <row r="1253" spans="1:13" x14ac:dyDescent="0.25">
      <c r="A1253" s="16"/>
      <c r="E1253" s="27"/>
      <c r="F1253" t="s">
        <v>26</v>
      </c>
      <c r="G1253" s="28">
        <f>IFERROR(VLOOKUP(F1253,CARTON_LOOKUP!$A:$E,3,0),"")</f>
      </c>
      <c r="H1253" s="28">
        <f>IFERROR(VLOOKUP(F1253,CARTON_LOOKUP!$A:$E,4,0),"")</f>
      </c>
      <c r="I1253" s="28">
        <f>IFERROR(VLOOKUP(F1253,CARTON_LOOKUP!$A:$E,5,0),"")</f>
      </c>
      <c r="J1253" s="29">
        <f>IFERROR(VLOOKUP(F1253,CARTON_LOOKUP!$A:$E,2,0),"")</f>
      </c>
      <c r="K1253" s="29">
        <f>IFERROR(J1253*D1253,0)</f>
      </c>
      <c r="L1253" s="29">
        <f>IFERROR(E1253*C1253,0)</f>
      </c>
      <c r="M1253" s="29">
        <f>IFERROR((G1253*H1253*I1253/1000000)*D1253,0)</f>
      </c>
    </row>
    <row r="1254" spans="1:13" x14ac:dyDescent="0.25">
      <c r="A1254" s="16"/>
      <c r="E1254" s="27"/>
      <c r="F1254" t="s">
        <v>26</v>
      </c>
      <c r="G1254" s="28">
        <f>IFERROR(VLOOKUP(F1254,CARTON_LOOKUP!$A:$E,3,0),"")</f>
      </c>
      <c r="H1254" s="28">
        <f>IFERROR(VLOOKUP(F1254,CARTON_LOOKUP!$A:$E,4,0),"")</f>
      </c>
      <c r="I1254" s="28">
        <f>IFERROR(VLOOKUP(F1254,CARTON_LOOKUP!$A:$E,5,0),"")</f>
      </c>
      <c r="J1254" s="29">
        <f>IFERROR(VLOOKUP(F1254,CARTON_LOOKUP!$A:$E,2,0),"")</f>
      </c>
      <c r="K1254" s="29">
        <f>IFERROR(J1254*D1254,0)</f>
      </c>
      <c r="L1254" s="29">
        <f>IFERROR(E1254*C1254,0)</f>
      </c>
      <c r="M1254" s="29">
        <f>IFERROR((G1254*H1254*I1254/1000000)*D1254,0)</f>
      </c>
    </row>
    <row r="1255" spans="1:13" x14ac:dyDescent="0.25">
      <c r="A1255" s="16"/>
      <c r="E1255" s="27"/>
      <c r="F1255" t="s">
        <v>26</v>
      </c>
      <c r="G1255" s="28">
        <f>IFERROR(VLOOKUP(F1255,CARTON_LOOKUP!$A:$E,3,0),"")</f>
      </c>
      <c r="H1255" s="28">
        <f>IFERROR(VLOOKUP(F1255,CARTON_LOOKUP!$A:$E,4,0),"")</f>
      </c>
      <c r="I1255" s="28">
        <f>IFERROR(VLOOKUP(F1255,CARTON_LOOKUP!$A:$E,5,0),"")</f>
      </c>
      <c r="J1255" s="29">
        <f>IFERROR(VLOOKUP(F1255,CARTON_LOOKUP!$A:$E,2,0),"")</f>
      </c>
      <c r="K1255" s="29">
        <f>IFERROR(J1255*D1255,0)</f>
      </c>
      <c r="L1255" s="29">
        <f>IFERROR(E1255*C1255,0)</f>
      </c>
      <c r="M1255" s="29">
        <f>IFERROR((G1255*H1255*I1255/1000000)*D1255,0)</f>
      </c>
    </row>
    <row r="1256" spans="1:13" x14ac:dyDescent="0.25">
      <c r="A1256" s="16"/>
      <c r="E1256" s="27"/>
      <c r="F1256" t="s">
        <v>26</v>
      </c>
      <c r="G1256" s="28">
        <f>IFERROR(VLOOKUP(F1256,CARTON_LOOKUP!$A:$E,3,0),"")</f>
      </c>
      <c r="H1256" s="28">
        <f>IFERROR(VLOOKUP(F1256,CARTON_LOOKUP!$A:$E,4,0),"")</f>
      </c>
      <c r="I1256" s="28">
        <f>IFERROR(VLOOKUP(F1256,CARTON_LOOKUP!$A:$E,5,0),"")</f>
      </c>
      <c r="J1256" s="29">
        <f>IFERROR(VLOOKUP(F1256,CARTON_LOOKUP!$A:$E,2,0),"")</f>
      </c>
      <c r="K1256" s="29">
        <f>IFERROR(J1256*D1256,0)</f>
      </c>
      <c r="L1256" s="29">
        <f>IFERROR(E1256*C1256,0)</f>
      </c>
      <c r="M1256" s="29">
        <f>IFERROR((G1256*H1256*I1256/1000000)*D1256,0)</f>
      </c>
    </row>
    <row r="1257" spans="1:13" x14ac:dyDescent="0.25">
      <c r="A1257" s="16"/>
      <c r="E1257" s="27"/>
      <c r="F1257" t="s">
        <v>26</v>
      </c>
      <c r="G1257" s="28">
        <f>IFERROR(VLOOKUP(F1257,CARTON_LOOKUP!$A:$E,3,0),"")</f>
      </c>
      <c r="H1257" s="28">
        <f>IFERROR(VLOOKUP(F1257,CARTON_LOOKUP!$A:$E,4,0),"")</f>
      </c>
      <c r="I1257" s="28">
        <f>IFERROR(VLOOKUP(F1257,CARTON_LOOKUP!$A:$E,5,0),"")</f>
      </c>
      <c r="J1257" s="29">
        <f>IFERROR(VLOOKUP(F1257,CARTON_LOOKUP!$A:$E,2,0),"")</f>
      </c>
      <c r="K1257" s="29">
        <f>IFERROR(J1257*D1257,0)</f>
      </c>
      <c r="L1257" s="29">
        <f>IFERROR(E1257*C1257,0)</f>
      </c>
      <c r="M1257" s="29">
        <f>IFERROR((G1257*H1257*I1257/1000000)*D1257,0)</f>
      </c>
    </row>
    <row r="1258" spans="1:13" x14ac:dyDescent="0.25">
      <c r="A1258" s="16"/>
      <c r="E1258" s="27"/>
      <c r="F1258" t="s">
        <v>26</v>
      </c>
      <c r="G1258" s="28">
        <f>IFERROR(VLOOKUP(F1258,CARTON_LOOKUP!$A:$E,3,0),"")</f>
      </c>
      <c r="H1258" s="28">
        <f>IFERROR(VLOOKUP(F1258,CARTON_LOOKUP!$A:$E,4,0),"")</f>
      </c>
      <c r="I1258" s="28">
        <f>IFERROR(VLOOKUP(F1258,CARTON_LOOKUP!$A:$E,5,0),"")</f>
      </c>
      <c r="J1258" s="29">
        <f>IFERROR(VLOOKUP(F1258,CARTON_LOOKUP!$A:$E,2,0),"")</f>
      </c>
      <c r="K1258" s="29">
        <f>IFERROR(J1258*D1258,0)</f>
      </c>
      <c r="L1258" s="29">
        <f>IFERROR(E1258*C1258,0)</f>
      </c>
      <c r="M1258" s="29">
        <f>IFERROR((G1258*H1258*I1258/1000000)*D1258,0)</f>
      </c>
    </row>
    <row r="1259" spans="1:13" x14ac:dyDescent="0.25">
      <c r="A1259" s="16"/>
      <c r="E1259" s="27"/>
      <c r="F1259" t="s">
        <v>26</v>
      </c>
      <c r="G1259" s="28">
        <f>IFERROR(VLOOKUP(F1259,CARTON_LOOKUP!$A:$E,3,0),"")</f>
      </c>
      <c r="H1259" s="28">
        <f>IFERROR(VLOOKUP(F1259,CARTON_LOOKUP!$A:$E,4,0),"")</f>
      </c>
      <c r="I1259" s="28">
        <f>IFERROR(VLOOKUP(F1259,CARTON_LOOKUP!$A:$E,5,0),"")</f>
      </c>
      <c r="J1259" s="29">
        <f>IFERROR(VLOOKUP(F1259,CARTON_LOOKUP!$A:$E,2,0),"")</f>
      </c>
      <c r="K1259" s="29">
        <f>IFERROR(J1259*D1259,0)</f>
      </c>
      <c r="L1259" s="29">
        <f>IFERROR(E1259*C1259,0)</f>
      </c>
      <c r="M1259" s="29">
        <f>IFERROR((G1259*H1259*I1259/1000000)*D1259,0)</f>
      </c>
    </row>
    <row r="1260" spans="1:13" x14ac:dyDescent="0.25">
      <c r="A1260" s="16"/>
      <c r="E1260" s="27"/>
      <c r="F1260" t="s">
        <v>26</v>
      </c>
      <c r="G1260" s="28">
        <f>IFERROR(VLOOKUP(F1260,CARTON_LOOKUP!$A:$E,3,0),"")</f>
      </c>
      <c r="H1260" s="28">
        <f>IFERROR(VLOOKUP(F1260,CARTON_LOOKUP!$A:$E,4,0),"")</f>
      </c>
      <c r="I1260" s="28">
        <f>IFERROR(VLOOKUP(F1260,CARTON_LOOKUP!$A:$E,5,0),"")</f>
      </c>
      <c r="J1260" s="29">
        <f>IFERROR(VLOOKUP(F1260,CARTON_LOOKUP!$A:$E,2,0),"")</f>
      </c>
      <c r="K1260" s="29">
        <f>IFERROR(J1260*D1260,0)</f>
      </c>
      <c r="L1260" s="29">
        <f>IFERROR(E1260*C1260,0)</f>
      </c>
      <c r="M1260" s="29">
        <f>IFERROR((G1260*H1260*I1260/1000000)*D1260,0)</f>
      </c>
    </row>
    <row r="1261" spans="1:13" x14ac:dyDescent="0.25">
      <c r="A1261" s="16"/>
      <c r="E1261" s="27"/>
      <c r="F1261" t="s">
        <v>26</v>
      </c>
      <c r="G1261" s="28">
        <f>IFERROR(VLOOKUP(F1261,CARTON_LOOKUP!$A:$E,3,0),"")</f>
      </c>
      <c r="H1261" s="28">
        <f>IFERROR(VLOOKUP(F1261,CARTON_LOOKUP!$A:$E,4,0),"")</f>
      </c>
      <c r="I1261" s="28">
        <f>IFERROR(VLOOKUP(F1261,CARTON_LOOKUP!$A:$E,5,0),"")</f>
      </c>
      <c r="J1261" s="29">
        <f>IFERROR(VLOOKUP(F1261,CARTON_LOOKUP!$A:$E,2,0),"")</f>
      </c>
      <c r="K1261" s="29">
        <f>IFERROR(J1261*D1261,0)</f>
      </c>
      <c r="L1261" s="29">
        <f>IFERROR(E1261*C1261,0)</f>
      </c>
      <c r="M1261" s="29">
        <f>IFERROR((G1261*H1261*I1261/1000000)*D1261,0)</f>
      </c>
    </row>
    <row r="1262" spans="1:13" x14ac:dyDescent="0.25">
      <c r="A1262" s="16"/>
      <c r="E1262" s="27"/>
      <c r="F1262" t="s">
        <v>26</v>
      </c>
      <c r="G1262" s="28">
        <f>IFERROR(VLOOKUP(F1262,CARTON_LOOKUP!$A:$E,3,0),"")</f>
      </c>
      <c r="H1262" s="28">
        <f>IFERROR(VLOOKUP(F1262,CARTON_LOOKUP!$A:$E,4,0),"")</f>
      </c>
      <c r="I1262" s="28">
        <f>IFERROR(VLOOKUP(F1262,CARTON_LOOKUP!$A:$E,5,0),"")</f>
      </c>
      <c r="J1262" s="29">
        <f>IFERROR(VLOOKUP(F1262,CARTON_LOOKUP!$A:$E,2,0),"")</f>
      </c>
      <c r="K1262" s="29">
        <f>IFERROR(J1262*D1262,0)</f>
      </c>
      <c r="L1262" s="29">
        <f>IFERROR(E1262*C1262,0)</f>
      </c>
      <c r="M1262" s="29">
        <f>IFERROR((G1262*H1262*I1262/1000000)*D1262,0)</f>
      </c>
    </row>
    <row r="1263" spans="1:13" x14ac:dyDescent="0.25">
      <c r="A1263" s="16"/>
      <c r="E1263" s="27"/>
      <c r="F1263" t="s">
        <v>26</v>
      </c>
      <c r="G1263" s="28">
        <f>IFERROR(VLOOKUP(F1263,CARTON_LOOKUP!$A:$E,3,0),"")</f>
      </c>
      <c r="H1263" s="28">
        <f>IFERROR(VLOOKUP(F1263,CARTON_LOOKUP!$A:$E,4,0),"")</f>
      </c>
      <c r="I1263" s="28">
        <f>IFERROR(VLOOKUP(F1263,CARTON_LOOKUP!$A:$E,5,0),"")</f>
      </c>
      <c r="J1263" s="29">
        <f>IFERROR(VLOOKUP(F1263,CARTON_LOOKUP!$A:$E,2,0),"")</f>
      </c>
      <c r="K1263" s="29">
        <f>IFERROR(J1263*D1263,0)</f>
      </c>
      <c r="L1263" s="29">
        <f>IFERROR(E1263*C1263,0)</f>
      </c>
      <c r="M1263" s="29">
        <f>IFERROR((G1263*H1263*I1263/1000000)*D1263,0)</f>
      </c>
    </row>
    <row r="1264" spans="1:13" x14ac:dyDescent="0.25">
      <c r="A1264" s="16"/>
      <c r="E1264" s="27"/>
      <c r="F1264" t="s">
        <v>26</v>
      </c>
      <c r="G1264" s="28">
        <f>IFERROR(VLOOKUP(F1264,CARTON_LOOKUP!$A:$E,3,0),"")</f>
      </c>
      <c r="H1264" s="28">
        <f>IFERROR(VLOOKUP(F1264,CARTON_LOOKUP!$A:$E,4,0),"")</f>
      </c>
      <c r="I1264" s="28">
        <f>IFERROR(VLOOKUP(F1264,CARTON_LOOKUP!$A:$E,5,0),"")</f>
      </c>
      <c r="J1264" s="29">
        <f>IFERROR(VLOOKUP(F1264,CARTON_LOOKUP!$A:$E,2,0),"")</f>
      </c>
      <c r="K1264" s="29">
        <f>IFERROR(J1264*D1264,0)</f>
      </c>
      <c r="L1264" s="29">
        <f>IFERROR(E1264*C1264,0)</f>
      </c>
      <c r="M1264" s="29">
        <f>IFERROR((G1264*H1264*I1264/1000000)*D1264,0)</f>
      </c>
    </row>
    <row r="1265" spans="1:13" x14ac:dyDescent="0.25">
      <c r="A1265" s="16"/>
      <c r="E1265" s="27"/>
      <c r="F1265" t="s">
        <v>26</v>
      </c>
      <c r="G1265" s="28">
        <f>IFERROR(VLOOKUP(F1265,CARTON_LOOKUP!$A:$E,3,0),"")</f>
      </c>
      <c r="H1265" s="28">
        <f>IFERROR(VLOOKUP(F1265,CARTON_LOOKUP!$A:$E,4,0),"")</f>
      </c>
      <c r="I1265" s="28">
        <f>IFERROR(VLOOKUP(F1265,CARTON_LOOKUP!$A:$E,5,0),"")</f>
      </c>
      <c r="J1265" s="29">
        <f>IFERROR(VLOOKUP(F1265,CARTON_LOOKUP!$A:$E,2,0),"")</f>
      </c>
      <c r="K1265" s="29">
        <f>IFERROR(J1265*D1265,0)</f>
      </c>
      <c r="L1265" s="29">
        <f>IFERROR(E1265*C1265,0)</f>
      </c>
      <c r="M1265" s="29">
        <f>IFERROR((G1265*H1265*I1265/1000000)*D1265,0)</f>
      </c>
    </row>
    <row r="1266" spans="1:13" x14ac:dyDescent="0.25">
      <c r="A1266" s="16"/>
      <c r="E1266" s="27"/>
      <c r="F1266" t="s">
        <v>26</v>
      </c>
      <c r="G1266" s="28">
        <f>IFERROR(VLOOKUP(F1266,CARTON_LOOKUP!$A:$E,3,0),"")</f>
      </c>
      <c r="H1266" s="28">
        <f>IFERROR(VLOOKUP(F1266,CARTON_LOOKUP!$A:$E,4,0),"")</f>
      </c>
      <c r="I1266" s="28">
        <f>IFERROR(VLOOKUP(F1266,CARTON_LOOKUP!$A:$E,5,0),"")</f>
      </c>
      <c r="J1266" s="29">
        <f>IFERROR(VLOOKUP(F1266,CARTON_LOOKUP!$A:$E,2,0),"")</f>
      </c>
      <c r="K1266" s="29">
        <f>IFERROR(J1266*D1266,0)</f>
      </c>
      <c r="L1266" s="29">
        <f>IFERROR(E1266*C1266,0)</f>
      </c>
      <c r="M1266" s="29">
        <f>IFERROR((G1266*H1266*I1266/1000000)*D1266,0)</f>
      </c>
    </row>
    <row r="1267" spans="1:13" x14ac:dyDescent="0.25">
      <c r="A1267" s="16"/>
      <c r="E1267" s="27"/>
      <c r="F1267" t="s">
        <v>26</v>
      </c>
      <c r="G1267" s="28">
        <f>IFERROR(VLOOKUP(F1267,CARTON_LOOKUP!$A:$E,3,0),"")</f>
      </c>
      <c r="H1267" s="28">
        <f>IFERROR(VLOOKUP(F1267,CARTON_LOOKUP!$A:$E,4,0),"")</f>
      </c>
      <c r="I1267" s="28">
        <f>IFERROR(VLOOKUP(F1267,CARTON_LOOKUP!$A:$E,5,0),"")</f>
      </c>
      <c r="J1267" s="29">
        <f>IFERROR(VLOOKUP(F1267,CARTON_LOOKUP!$A:$E,2,0),"")</f>
      </c>
      <c r="K1267" s="29">
        <f>IFERROR(J1267*D1267,0)</f>
      </c>
      <c r="L1267" s="29">
        <f>IFERROR(E1267*C1267,0)</f>
      </c>
      <c r="M1267" s="29">
        <f>IFERROR((G1267*H1267*I1267/1000000)*D1267,0)</f>
      </c>
    </row>
    <row r="1268" spans="1:13" x14ac:dyDescent="0.25">
      <c r="A1268" s="16"/>
      <c r="E1268" s="27"/>
      <c r="F1268" t="s">
        <v>26</v>
      </c>
      <c r="G1268" s="28">
        <f>IFERROR(VLOOKUP(F1268,CARTON_LOOKUP!$A:$E,3,0),"")</f>
      </c>
      <c r="H1268" s="28">
        <f>IFERROR(VLOOKUP(F1268,CARTON_LOOKUP!$A:$E,4,0),"")</f>
      </c>
      <c r="I1268" s="28">
        <f>IFERROR(VLOOKUP(F1268,CARTON_LOOKUP!$A:$E,5,0),"")</f>
      </c>
      <c r="J1268" s="29">
        <f>IFERROR(VLOOKUP(F1268,CARTON_LOOKUP!$A:$E,2,0),"")</f>
      </c>
      <c r="K1268" s="29">
        <f>IFERROR(J1268*D1268,0)</f>
      </c>
      <c r="L1268" s="29">
        <f>IFERROR(E1268*C1268,0)</f>
      </c>
      <c r="M1268" s="29">
        <f>IFERROR((G1268*H1268*I1268/1000000)*D1268,0)</f>
      </c>
    </row>
    <row r="1269" spans="1:13" x14ac:dyDescent="0.25">
      <c r="A1269" s="16"/>
      <c r="E1269" s="27"/>
      <c r="F1269" t="s">
        <v>26</v>
      </c>
      <c r="G1269" s="28">
        <f>IFERROR(VLOOKUP(F1269,CARTON_LOOKUP!$A:$E,3,0),"")</f>
      </c>
      <c r="H1269" s="28">
        <f>IFERROR(VLOOKUP(F1269,CARTON_LOOKUP!$A:$E,4,0),"")</f>
      </c>
      <c r="I1269" s="28">
        <f>IFERROR(VLOOKUP(F1269,CARTON_LOOKUP!$A:$E,5,0),"")</f>
      </c>
      <c r="J1269" s="29">
        <f>IFERROR(VLOOKUP(F1269,CARTON_LOOKUP!$A:$E,2,0),"")</f>
      </c>
      <c r="K1269" s="29">
        <f>IFERROR(J1269*D1269,0)</f>
      </c>
      <c r="L1269" s="29">
        <f>IFERROR(E1269*C1269,0)</f>
      </c>
      <c r="M1269" s="29">
        <f>IFERROR((G1269*H1269*I1269/1000000)*D1269,0)</f>
      </c>
    </row>
    <row r="1270" spans="1:13" x14ac:dyDescent="0.25">
      <c r="A1270" s="16"/>
      <c r="E1270" s="27"/>
      <c r="F1270" t="s">
        <v>26</v>
      </c>
      <c r="G1270" s="28">
        <f>IFERROR(VLOOKUP(F1270,CARTON_LOOKUP!$A:$E,3,0),"")</f>
      </c>
      <c r="H1270" s="28">
        <f>IFERROR(VLOOKUP(F1270,CARTON_LOOKUP!$A:$E,4,0),"")</f>
      </c>
      <c r="I1270" s="28">
        <f>IFERROR(VLOOKUP(F1270,CARTON_LOOKUP!$A:$E,5,0),"")</f>
      </c>
      <c r="J1270" s="29">
        <f>IFERROR(VLOOKUP(F1270,CARTON_LOOKUP!$A:$E,2,0),"")</f>
      </c>
      <c r="K1270" s="29">
        <f>IFERROR(J1270*D1270,0)</f>
      </c>
      <c r="L1270" s="29">
        <f>IFERROR(E1270*C1270,0)</f>
      </c>
      <c r="M1270" s="29">
        <f>IFERROR((G1270*H1270*I1270/1000000)*D1270,0)</f>
      </c>
    </row>
    <row r="1271" spans="1:13" x14ac:dyDescent="0.25">
      <c r="A1271" s="16"/>
      <c r="E1271" s="27"/>
      <c r="F1271" t="s">
        <v>26</v>
      </c>
      <c r="G1271" s="28">
        <f>IFERROR(VLOOKUP(F1271,CARTON_LOOKUP!$A:$E,3,0),"")</f>
      </c>
      <c r="H1271" s="28">
        <f>IFERROR(VLOOKUP(F1271,CARTON_LOOKUP!$A:$E,4,0),"")</f>
      </c>
      <c r="I1271" s="28">
        <f>IFERROR(VLOOKUP(F1271,CARTON_LOOKUP!$A:$E,5,0),"")</f>
      </c>
      <c r="J1271" s="29">
        <f>IFERROR(VLOOKUP(F1271,CARTON_LOOKUP!$A:$E,2,0),"")</f>
      </c>
      <c r="K1271" s="29">
        <f>IFERROR(J1271*D1271,0)</f>
      </c>
      <c r="L1271" s="29">
        <f>IFERROR(E1271*C1271,0)</f>
      </c>
      <c r="M1271" s="29">
        <f>IFERROR((G1271*H1271*I1271/1000000)*D1271,0)</f>
      </c>
    </row>
    <row r="1272" spans="1:13" x14ac:dyDescent="0.25">
      <c r="A1272" s="16"/>
      <c r="E1272" s="27"/>
      <c r="F1272" t="s">
        <v>26</v>
      </c>
      <c r="G1272" s="28">
        <f>IFERROR(VLOOKUP(F1272,CARTON_LOOKUP!$A:$E,3,0),"")</f>
      </c>
      <c r="H1272" s="28">
        <f>IFERROR(VLOOKUP(F1272,CARTON_LOOKUP!$A:$E,4,0),"")</f>
      </c>
      <c r="I1272" s="28">
        <f>IFERROR(VLOOKUP(F1272,CARTON_LOOKUP!$A:$E,5,0),"")</f>
      </c>
      <c r="J1272" s="29">
        <f>IFERROR(VLOOKUP(F1272,CARTON_LOOKUP!$A:$E,2,0),"")</f>
      </c>
      <c r="K1272" s="29">
        <f>IFERROR(J1272*D1272,0)</f>
      </c>
      <c r="L1272" s="29">
        <f>IFERROR(E1272*C1272,0)</f>
      </c>
      <c r="M1272" s="29">
        <f>IFERROR((G1272*H1272*I1272/1000000)*D1272,0)</f>
      </c>
    </row>
    <row r="1273" spans="1:13" x14ac:dyDescent="0.25">
      <c r="A1273" s="16"/>
      <c r="E1273" s="27"/>
      <c r="F1273" t="s">
        <v>26</v>
      </c>
      <c r="G1273" s="28">
        <f>IFERROR(VLOOKUP(F1273,CARTON_LOOKUP!$A:$E,3,0),"")</f>
      </c>
      <c r="H1273" s="28">
        <f>IFERROR(VLOOKUP(F1273,CARTON_LOOKUP!$A:$E,4,0),"")</f>
      </c>
      <c r="I1273" s="28">
        <f>IFERROR(VLOOKUP(F1273,CARTON_LOOKUP!$A:$E,5,0),"")</f>
      </c>
      <c r="J1273" s="29">
        <f>IFERROR(VLOOKUP(F1273,CARTON_LOOKUP!$A:$E,2,0),"")</f>
      </c>
      <c r="K1273" s="29">
        <f>IFERROR(J1273*D1273,0)</f>
      </c>
      <c r="L1273" s="29">
        <f>IFERROR(E1273*C1273,0)</f>
      </c>
      <c r="M1273" s="29">
        <f>IFERROR((G1273*H1273*I1273/1000000)*D1273,0)</f>
      </c>
    </row>
    <row r="1274" spans="1:13" x14ac:dyDescent="0.25">
      <c r="A1274" s="16"/>
      <c r="E1274" s="27"/>
      <c r="F1274" t="s">
        <v>26</v>
      </c>
      <c r="G1274" s="28">
        <f>IFERROR(VLOOKUP(F1274,CARTON_LOOKUP!$A:$E,3,0),"")</f>
      </c>
      <c r="H1274" s="28">
        <f>IFERROR(VLOOKUP(F1274,CARTON_LOOKUP!$A:$E,4,0),"")</f>
      </c>
      <c r="I1274" s="28">
        <f>IFERROR(VLOOKUP(F1274,CARTON_LOOKUP!$A:$E,5,0),"")</f>
      </c>
      <c r="J1274" s="29">
        <f>IFERROR(VLOOKUP(F1274,CARTON_LOOKUP!$A:$E,2,0),"")</f>
      </c>
      <c r="K1274" s="29">
        <f>IFERROR(J1274*D1274,0)</f>
      </c>
      <c r="L1274" s="29">
        <f>IFERROR(E1274*C1274,0)</f>
      </c>
      <c r="M1274" s="29">
        <f>IFERROR((G1274*H1274*I1274/1000000)*D1274,0)</f>
      </c>
    </row>
    <row r="1275" spans="1:13" x14ac:dyDescent="0.25">
      <c r="A1275" s="16"/>
      <c r="E1275" s="27"/>
      <c r="F1275" t="s">
        <v>26</v>
      </c>
      <c r="G1275" s="28">
        <f>IFERROR(VLOOKUP(F1275,CARTON_LOOKUP!$A:$E,3,0),"")</f>
      </c>
      <c r="H1275" s="28">
        <f>IFERROR(VLOOKUP(F1275,CARTON_LOOKUP!$A:$E,4,0),"")</f>
      </c>
      <c r="I1275" s="28">
        <f>IFERROR(VLOOKUP(F1275,CARTON_LOOKUP!$A:$E,5,0),"")</f>
      </c>
      <c r="J1275" s="29">
        <f>IFERROR(VLOOKUP(F1275,CARTON_LOOKUP!$A:$E,2,0),"")</f>
      </c>
      <c r="K1275" s="29">
        <f>IFERROR(J1275*D1275,0)</f>
      </c>
      <c r="L1275" s="29">
        <f>IFERROR(E1275*C1275,0)</f>
      </c>
      <c r="M1275" s="29">
        <f>IFERROR((G1275*H1275*I1275/1000000)*D1275,0)</f>
      </c>
    </row>
    <row r="1276" spans="1:13" x14ac:dyDescent="0.25">
      <c r="A1276" s="16"/>
      <c r="E1276" s="27"/>
      <c r="F1276" t="s">
        <v>26</v>
      </c>
      <c r="G1276" s="28">
        <f>IFERROR(VLOOKUP(F1276,CARTON_LOOKUP!$A:$E,3,0),"")</f>
      </c>
      <c r="H1276" s="28">
        <f>IFERROR(VLOOKUP(F1276,CARTON_LOOKUP!$A:$E,4,0),"")</f>
      </c>
      <c r="I1276" s="28">
        <f>IFERROR(VLOOKUP(F1276,CARTON_LOOKUP!$A:$E,5,0),"")</f>
      </c>
      <c r="J1276" s="29">
        <f>IFERROR(VLOOKUP(F1276,CARTON_LOOKUP!$A:$E,2,0),"")</f>
      </c>
      <c r="K1276" s="29">
        <f>IFERROR(J1276*D1276,0)</f>
      </c>
      <c r="L1276" s="29">
        <f>IFERROR(E1276*C1276,0)</f>
      </c>
      <c r="M1276" s="29">
        <f>IFERROR((G1276*H1276*I1276/1000000)*D1276,0)</f>
      </c>
    </row>
    <row r="1277" spans="1:13" x14ac:dyDescent="0.25">
      <c r="A1277" s="16"/>
      <c r="E1277" s="27"/>
      <c r="F1277" t="s">
        <v>26</v>
      </c>
      <c r="G1277" s="28">
        <f>IFERROR(VLOOKUP(F1277,CARTON_LOOKUP!$A:$E,3,0),"")</f>
      </c>
      <c r="H1277" s="28">
        <f>IFERROR(VLOOKUP(F1277,CARTON_LOOKUP!$A:$E,4,0),"")</f>
      </c>
      <c r="I1277" s="28">
        <f>IFERROR(VLOOKUP(F1277,CARTON_LOOKUP!$A:$E,5,0),"")</f>
      </c>
      <c r="J1277" s="29">
        <f>IFERROR(VLOOKUP(F1277,CARTON_LOOKUP!$A:$E,2,0),"")</f>
      </c>
      <c r="K1277" s="29">
        <f>IFERROR(J1277*D1277,0)</f>
      </c>
      <c r="L1277" s="29">
        <f>IFERROR(E1277*C1277,0)</f>
      </c>
      <c r="M1277" s="29">
        <f>IFERROR((G1277*H1277*I1277/1000000)*D1277,0)</f>
      </c>
    </row>
    <row r="1278" spans="1:13" x14ac:dyDescent="0.25">
      <c r="A1278" s="16"/>
      <c r="E1278" s="27"/>
      <c r="F1278" t="s">
        <v>26</v>
      </c>
      <c r="G1278" s="28">
        <f>IFERROR(VLOOKUP(F1278,CARTON_LOOKUP!$A:$E,3,0),"")</f>
      </c>
      <c r="H1278" s="28">
        <f>IFERROR(VLOOKUP(F1278,CARTON_LOOKUP!$A:$E,4,0),"")</f>
      </c>
      <c r="I1278" s="28">
        <f>IFERROR(VLOOKUP(F1278,CARTON_LOOKUP!$A:$E,5,0),"")</f>
      </c>
      <c r="J1278" s="29">
        <f>IFERROR(VLOOKUP(F1278,CARTON_LOOKUP!$A:$E,2,0),"")</f>
      </c>
      <c r="K1278" s="29">
        <f>IFERROR(J1278*D1278,0)</f>
      </c>
      <c r="L1278" s="29">
        <f>IFERROR(E1278*C1278,0)</f>
      </c>
      <c r="M1278" s="29">
        <f>IFERROR((G1278*H1278*I1278/1000000)*D1278,0)</f>
      </c>
    </row>
    <row r="1279" spans="1:13" x14ac:dyDescent="0.25">
      <c r="A1279" s="16"/>
      <c r="E1279" s="27"/>
      <c r="F1279" t="s">
        <v>26</v>
      </c>
      <c r="G1279" s="28">
        <f>IFERROR(VLOOKUP(F1279,CARTON_LOOKUP!$A:$E,3,0),"")</f>
      </c>
      <c r="H1279" s="28">
        <f>IFERROR(VLOOKUP(F1279,CARTON_LOOKUP!$A:$E,4,0),"")</f>
      </c>
      <c r="I1279" s="28">
        <f>IFERROR(VLOOKUP(F1279,CARTON_LOOKUP!$A:$E,5,0),"")</f>
      </c>
      <c r="J1279" s="29">
        <f>IFERROR(VLOOKUP(F1279,CARTON_LOOKUP!$A:$E,2,0),"")</f>
      </c>
      <c r="K1279" s="29">
        <f>IFERROR(J1279*D1279,0)</f>
      </c>
      <c r="L1279" s="29">
        <f>IFERROR(E1279*C1279,0)</f>
      </c>
      <c r="M1279" s="29">
        <f>IFERROR((G1279*H1279*I1279/1000000)*D1279,0)</f>
      </c>
    </row>
    <row r="1280" spans="1:13" x14ac:dyDescent="0.25">
      <c r="A1280" s="16"/>
      <c r="E1280" s="27"/>
      <c r="F1280" t="s">
        <v>26</v>
      </c>
      <c r="G1280" s="28">
        <f>IFERROR(VLOOKUP(F1280,CARTON_LOOKUP!$A:$E,3,0),"")</f>
      </c>
      <c r="H1280" s="28">
        <f>IFERROR(VLOOKUP(F1280,CARTON_LOOKUP!$A:$E,4,0),"")</f>
      </c>
      <c r="I1280" s="28">
        <f>IFERROR(VLOOKUP(F1280,CARTON_LOOKUP!$A:$E,5,0),"")</f>
      </c>
      <c r="J1280" s="29">
        <f>IFERROR(VLOOKUP(F1280,CARTON_LOOKUP!$A:$E,2,0),"")</f>
      </c>
      <c r="K1280" s="29">
        <f>IFERROR(J1280*D1280,0)</f>
      </c>
      <c r="L1280" s="29">
        <f>IFERROR(E1280*C1280,0)</f>
      </c>
      <c r="M1280" s="29">
        <f>IFERROR((G1280*H1280*I1280/1000000)*D1280,0)</f>
      </c>
    </row>
    <row r="1281" spans="1:13" x14ac:dyDescent="0.25">
      <c r="A1281" s="16"/>
      <c r="E1281" s="27"/>
      <c r="F1281" t="s">
        <v>26</v>
      </c>
      <c r="G1281" s="28">
        <f>IFERROR(VLOOKUP(F1281,CARTON_LOOKUP!$A:$E,3,0),"")</f>
      </c>
      <c r="H1281" s="28">
        <f>IFERROR(VLOOKUP(F1281,CARTON_LOOKUP!$A:$E,4,0),"")</f>
      </c>
      <c r="I1281" s="28">
        <f>IFERROR(VLOOKUP(F1281,CARTON_LOOKUP!$A:$E,5,0),"")</f>
      </c>
      <c r="J1281" s="29">
        <f>IFERROR(VLOOKUP(F1281,CARTON_LOOKUP!$A:$E,2,0),"")</f>
      </c>
      <c r="K1281" s="29">
        <f>IFERROR(J1281*D1281,0)</f>
      </c>
      <c r="L1281" s="29">
        <f>IFERROR(E1281*C1281,0)</f>
      </c>
      <c r="M1281" s="29">
        <f>IFERROR((G1281*H1281*I1281/1000000)*D1281,0)</f>
      </c>
    </row>
    <row r="1282" spans="1:13" x14ac:dyDescent="0.25">
      <c r="A1282" s="16"/>
      <c r="E1282" s="27"/>
      <c r="F1282" t="s">
        <v>26</v>
      </c>
      <c r="G1282" s="28">
        <f>IFERROR(VLOOKUP(F1282,CARTON_LOOKUP!$A:$E,3,0),"")</f>
      </c>
      <c r="H1282" s="28">
        <f>IFERROR(VLOOKUP(F1282,CARTON_LOOKUP!$A:$E,4,0),"")</f>
      </c>
      <c r="I1282" s="28">
        <f>IFERROR(VLOOKUP(F1282,CARTON_LOOKUP!$A:$E,5,0),"")</f>
      </c>
      <c r="J1282" s="29">
        <f>IFERROR(VLOOKUP(F1282,CARTON_LOOKUP!$A:$E,2,0),"")</f>
      </c>
      <c r="K1282" s="29">
        <f>IFERROR(J1282*D1282,0)</f>
      </c>
      <c r="L1282" s="29">
        <f>IFERROR(E1282*C1282,0)</f>
      </c>
      <c r="M1282" s="29">
        <f>IFERROR((G1282*H1282*I1282/1000000)*D1282,0)</f>
      </c>
    </row>
    <row r="1283" spans="1:13" x14ac:dyDescent="0.25">
      <c r="A1283" s="16"/>
      <c r="E1283" s="27"/>
      <c r="F1283" t="s">
        <v>26</v>
      </c>
      <c r="G1283" s="28">
        <f>IFERROR(VLOOKUP(F1283,CARTON_LOOKUP!$A:$E,3,0),"")</f>
      </c>
      <c r="H1283" s="28">
        <f>IFERROR(VLOOKUP(F1283,CARTON_LOOKUP!$A:$E,4,0),"")</f>
      </c>
      <c r="I1283" s="28">
        <f>IFERROR(VLOOKUP(F1283,CARTON_LOOKUP!$A:$E,5,0),"")</f>
      </c>
      <c r="J1283" s="29">
        <f>IFERROR(VLOOKUP(F1283,CARTON_LOOKUP!$A:$E,2,0),"")</f>
      </c>
      <c r="K1283" s="29">
        <f>IFERROR(J1283*D1283,0)</f>
      </c>
      <c r="L1283" s="29">
        <f>IFERROR(E1283*C1283,0)</f>
      </c>
      <c r="M1283" s="29">
        <f>IFERROR((G1283*H1283*I1283/1000000)*D1283,0)</f>
      </c>
    </row>
    <row r="1284" spans="1:13" x14ac:dyDescent="0.25">
      <c r="A1284" s="16"/>
      <c r="E1284" s="27"/>
      <c r="F1284" t="s">
        <v>26</v>
      </c>
      <c r="G1284" s="28">
        <f>IFERROR(VLOOKUP(F1284,CARTON_LOOKUP!$A:$E,3,0),"")</f>
      </c>
      <c r="H1284" s="28">
        <f>IFERROR(VLOOKUP(F1284,CARTON_LOOKUP!$A:$E,4,0),"")</f>
      </c>
      <c r="I1284" s="28">
        <f>IFERROR(VLOOKUP(F1284,CARTON_LOOKUP!$A:$E,5,0),"")</f>
      </c>
      <c r="J1284" s="29">
        <f>IFERROR(VLOOKUP(F1284,CARTON_LOOKUP!$A:$E,2,0),"")</f>
      </c>
      <c r="K1284" s="29">
        <f>IFERROR(J1284*D1284,0)</f>
      </c>
      <c r="L1284" s="29">
        <f>IFERROR(E1284*C1284,0)</f>
      </c>
      <c r="M1284" s="29">
        <f>IFERROR((G1284*H1284*I1284/1000000)*D1284,0)</f>
      </c>
    </row>
    <row r="1285" spans="1:13" x14ac:dyDescent="0.25">
      <c r="A1285" s="16"/>
      <c r="E1285" s="27"/>
      <c r="F1285" t="s">
        <v>26</v>
      </c>
      <c r="G1285" s="28">
        <f>IFERROR(VLOOKUP(F1285,CARTON_LOOKUP!$A:$E,3,0),"")</f>
      </c>
      <c r="H1285" s="28">
        <f>IFERROR(VLOOKUP(F1285,CARTON_LOOKUP!$A:$E,4,0),"")</f>
      </c>
      <c r="I1285" s="28">
        <f>IFERROR(VLOOKUP(F1285,CARTON_LOOKUP!$A:$E,5,0),"")</f>
      </c>
      <c r="J1285" s="29">
        <f>IFERROR(VLOOKUP(F1285,CARTON_LOOKUP!$A:$E,2,0),"")</f>
      </c>
      <c r="K1285" s="29">
        <f>IFERROR(J1285*D1285,0)</f>
      </c>
      <c r="L1285" s="29">
        <f>IFERROR(E1285*C1285,0)</f>
      </c>
      <c r="M1285" s="29">
        <f>IFERROR((G1285*H1285*I1285/1000000)*D1285,0)</f>
      </c>
    </row>
    <row r="1286" spans="1:13" x14ac:dyDescent="0.25">
      <c r="A1286" s="16"/>
      <c r="E1286" s="27"/>
      <c r="F1286" t="s">
        <v>26</v>
      </c>
      <c r="G1286" s="28">
        <f>IFERROR(VLOOKUP(F1286,CARTON_LOOKUP!$A:$E,3,0),"")</f>
      </c>
      <c r="H1286" s="28">
        <f>IFERROR(VLOOKUP(F1286,CARTON_LOOKUP!$A:$E,4,0),"")</f>
      </c>
      <c r="I1286" s="28">
        <f>IFERROR(VLOOKUP(F1286,CARTON_LOOKUP!$A:$E,5,0),"")</f>
      </c>
      <c r="J1286" s="29">
        <f>IFERROR(VLOOKUP(F1286,CARTON_LOOKUP!$A:$E,2,0),"")</f>
      </c>
      <c r="K1286" s="29">
        <f>IFERROR(J1286*D1286,0)</f>
      </c>
      <c r="L1286" s="29">
        <f>IFERROR(E1286*C1286,0)</f>
      </c>
      <c r="M1286" s="29">
        <f>IFERROR((G1286*H1286*I1286/1000000)*D1286,0)</f>
      </c>
    </row>
    <row r="1287" spans="1:13" x14ac:dyDescent="0.25">
      <c r="A1287" s="16"/>
      <c r="E1287" s="27"/>
      <c r="F1287" t="s">
        <v>26</v>
      </c>
      <c r="G1287" s="28">
        <f>IFERROR(VLOOKUP(F1287,CARTON_LOOKUP!$A:$E,3,0),"")</f>
      </c>
      <c r="H1287" s="28">
        <f>IFERROR(VLOOKUP(F1287,CARTON_LOOKUP!$A:$E,4,0),"")</f>
      </c>
      <c r="I1287" s="28">
        <f>IFERROR(VLOOKUP(F1287,CARTON_LOOKUP!$A:$E,5,0),"")</f>
      </c>
      <c r="J1287" s="29">
        <f>IFERROR(VLOOKUP(F1287,CARTON_LOOKUP!$A:$E,2,0),"")</f>
      </c>
      <c r="K1287" s="29">
        <f>IFERROR(J1287*D1287,0)</f>
      </c>
      <c r="L1287" s="29">
        <f>IFERROR(E1287*C1287,0)</f>
      </c>
      <c r="M1287" s="29">
        <f>IFERROR((G1287*H1287*I1287/1000000)*D1287,0)</f>
      </c>
    </row>
    <row r="1288" spans="1:13" x14ac:dyDescent="0.25">
      <c r="A1288" s="16"/>
      <c r="E1288" s="27"/>
      <c r="F1288" t="s">
        <v>26</v>
      </c>
      <c r="G1288" s="28">
        <f>IFERROR(VLOOKUP(F1288,CARTON_LOOKUP!$A:$E,3,0),"")</f>
      </c>
      <c r="H1288" s="28">
        <f>IFERROR(VLOOKUP(F1288,CARTON_LOOKUP!$A:$E,4,0),"")</f>
      </c>
      <c r="I1288" s="28">
        <f>IFERROR(VLOOKUP(F1288,CARTON_LOOKUP!$A:$E,5,0),"")</f>
      </c>
      <c r="J1288" s="29">
        <f>IFERROR(VLOOKUP(F1288,CARTON_LOOKUP!$A:$E,2,0),"")</f>
      </c>
      <c r="K1288" s="29">
        <f>IFERROR(J1288*D1288,0)</f>
      </c>
      <c r="L1288" s="29">
        <f>IFERROR(E1288*C1288,0)</f>
      </c>
      <c r="M1288" s="29">
        <f>IFERROR((G1288*H1288*I1288/1000000)*D1288,0)</f>
      </c>
    </row>
    <row r="1289" spans="1:13" x14ac:dyDescent="0.25">
      <c r="A1289" s="16"/>
      <c r="E1289" s="27"/>
      <c r="F1289" t="s">
        <v>26</v>
      </c>
      <c r="G1289" s="28">
        <f>IFERROR(VLOOKUP(F1289,CARTON_LOOKUP!$A:$E,3,0),"")</f>
      </c>
      <c r="H1289" s="28">
        <f>IFERROR(VLOOKUP(F1289,CARTON_LOOKUP!$A:$E,4,0),"")</f>
      </c>
      <c r="I1289" s="28">
        <f>IFERROR(VLOOKUP(F1289,CARTON_LOOKUP!$A:$E,5,0),"")</f>
      </c>
      <c r="J1289" s="29">
        <f>IFERROR(VLOOKUP(F1289,CARTON_LOOKUP!$A:$E,2,0),"")</f>
      </c>
      <c r="K1289" s="29">
        <f>IFERROR(J1289*D1289,0)</f>
      </c>
      <c r="L1289" s="29">
        <f>IFERROR(E1289*C1289,0)</f>
      </c>
      <c r="M1289" s="29">
        <f>IFERROR((G1289*H1289*I1289/1000000)*D1289,0)</f>
      </c>
    </row>
    <row r="1290" spans="1:13" x14ac:dyDescent="0.25">
      <c r="A1290" s="16"/>
      <c r="E1290" s="27"/>
      <c r="F1290" t="s">
        <v>26</v>
      </c>
      <c r="G1290" s="28">
        <f>IFERROR(VLOOKUP(F1290,CARTON_LOOKUP!$A:$E,3,0),"")</f>
      </c>
      <c r="H1290" s="28">
        <f>IFERROR(VLOOKUP(F1290,CARTON_LOOKUP!$A:$E,4,0),"")</f>
      </c>
      <c r="I1290" s="28">
        <f>IFERROR(VLOOKUP(F1290,CARTON_LOOKUP!$A:$E,5,0),"")</f>
      </c>
      <c r="J1290" s="29">
        <f>IFERROR(VLOOKUP(F1290,CARTON_LOOKUP!$A:$E,2,0),"")</f>
      </c>
      <c r="K1290" s="29">
        <f>IFERROR(J1290*D1290,0)</f>
      </c>
      <c r="L1290" s="29">
        <f>IFERROR(E1290*C1290,0)</f>
      </c>
      <c r="M1290" s="29">
        <f>IFERROR((G1290*H1290*I1290/1000000)*D1290,0)</f>
      </c>
    </row>
    <row r="1291" spans="1:13" x14ac:dyDescent="0.25">
      <c r="A1291" s="16"/>
      <c r="E1291" s="27"/>
      <c r="F1291" t="s">
        <v>26</v>
      </c>
      <c r="G1291" s="28">
        <f>IFERROR(VLOOKUP(F1291,CARTON_LOOKUP!$A:$E,3,0),"")</f>
      </c>
      <c r="H1291" s="28">
        <f>IFERROR(VLOOKUP(F1291,CARTON_LOOKUP!$A:$E,4,0),"")</f>
      </c>
      <c r="I1291" s="28">
        <f>IFERROR(VLOOKUP(F1291,CARTON_LOOKUP!$A:$E,5,0),"")</f>
      </c>
      <c r="J1291" s="29">
        <f>IFERROR(VLOOKUP(F1291,CARTON_LOOKUP!$A:$E,2,0),"")</f>
      </c>
      <c r="K1291" s="29">
        <f>IFERROR(J1291*D1291,0)</f>
      </c>
      <c r="L1291" s="29">
        <f>IFERROR(E1291*C1291,0)</f>
      </c>
      <c r="M1291" s="29">
        <f>IFERROR((G1291*H1291*I1291/1000000)*D1291,0)</f>
      </c>
    </row>
    <row r="1292" spans="1:13" x14ac:dyDescent="0.25">
      <c r="A1292" s="16"/>
      <c r="E1292" s="27"/>
      <c r="F1292" t="s">
        <v>26</v>
      </c>
      <c r="G1292" s="28">
        <f>IFERROR(VLOOKUP(F1292,CARTON_LOOKUP!$A:$E,3,0),"")</f>
      </c>
      <c r="H1292" s="28">
        <f>IFERROR(VLOOKUP(F1292,CARTON_LOOKUP!$A:$E,4,0),"")</f>
      </c>
      <c r="I1292" s="28">
        <f>IFERROR(VLOOKUP(F1292,CARTON_LOOKUP!$A:$E,5,0),"")</f>
      </c>
      <c r="J1292" s="29">
        <f>IFERROR(VLOOKUP(F1292,CARTON_LOOKUP!$A:$E,2,0),"")</f>
      </c>
      <c r="K1292" s="29">
        <f>IFERROR(J1292*D1292,0)</f>
      </c>
      <c r="L1292" s="29">
        <f>IFERROR(E1292*C1292,0)</f>
      </c>
      <c r="M1292" s="29">
        <f>IFERROR((G1292*H1292*I1292/1000000)*D1292,0)</f>
      </c>
    </row>
    <row r="1293" spans="1:13" x14ac:dyDescent="0.25">
      <c r="A1293" s="16"/>
      <c r="E1293" s="27"/>
      <c r="F1293" t="s">
        <v>26</v>
      </c>
      <c r="G1293" s="28">
        <f>IFERROR(VLOOKUP(F1293,CARTON_LOOKUP!$A:$E,3,0),"")</f>
      </c>
      <c r="H1293" s="28">
        <f>IFERROR(VLOOKUP(F1293,CARTON_LOOKUP!$A:$E,4,0),"")</f>
      </c>
      <c r="I1293" s="28">
        <f>IFERROR(VLOOKUP(F1293,CARTON_LOOKUP!$A:$E,5,0),"")</f>
      </c>
      <c r="J1293" s="29">
        <f>IFERROR(VLOOKUP(F1293,CARTON_LOOKUP!$A:$E,2,0),"")</f>
      </c>
      <c r="K1293" s="29">
        <f>IFERROR(J1293*D1293,0)</f>
      </c>
      <c r="L1293" s="29">
        <f>IFERROR(E1293*C1293,0)</f>
      </c>
      <c r="M1293" s="29">
        <f>IFERROR((G1293*H1293*I1293/1000000)*D1293,0)</f>
      </c>
    </row>
    <row r="1294" spans="1:13" x14ac:dyDescent="0.25">
      <c r="A1294" s="16"/>
      <c r="E1294" s="27"/>
      <c r="F1294" t="s">
        <v>26</v>
      </c>
      <c r="G1294" s="28">
        <f>IFERROR(VLOOKUP(F1294,CARTON_LOOKUP!$A:$E,3,0),"")</f>
      </c>
      <c r="H1294" s="28">
        <f>IFERROR(VLOOKUP(F1294,CARTON_LOOKUP!$A:$E,4,0),"")</f>
      </c>
      <c r="I1294" s="28">
        <f>IFERROR(VLOOKUP(F1294,CARTON_LOOKUP!$A:$E,5,0),"")</f>
      </c>
      <c r="J1294" s="29">
        <f>IFERROR(VLOOKUP(F1294,CARTON_LOOKUP!$A:$E,2,0),"")</f>
      </c>
      <c r="K1294" s="29">
        <f>IFERROR(J1294*D1294,0)</f>
      </c>
      <c r="L1294" s="29">
        <f>IFERROR(E1294*C1294,0)</f>
      </c>
      <c r="M1294" s="29">
        <f>IFERROR((G1294*H1294*I1294/1000000)*D1294,0)</f>
      </c>
    </row>
    <row r="1295" spans="1:13" x14ac:dyDescent="0.25">
      <c r="A1295" s="16"/>
      <c r="E1295" s="27"/>
      <c r="F1295" t="s">
        <v>26</v>
      </c>
      <c r="G1295" s="28">
        <f>IFERROR(VLOOKUP(F1295,CARTON_LOOKUP!$A:$E,3,0),"")</f>
      </c>
      <c r="H1295" s="28">
        <f>IFERROR(VLOOKUP(F1295,CARTON_LOOKUP!$A:$E,4,0),"")</f>
      </c>
      <c r="I1295" s="28">
        <f>IFERROR(VLOOKUP(F1295,CARTON_LOOKUP!$A:$E,5,0),"")</f>
      </c>
      <c r="J1295" s="29">
        <f>IFERROR(VLOOKUP(F1295,CARTON_LOOKUP!$A:$E,2,0),"")</f>
      </c>
      <c r="K1295" s="29">
        <f>IFERROR(J1295*D1295,0)</f>
      </c>
      <c r="L1295" s="29">
        <f>IFERROR(E1295*C1295,0)</f>
      </c>
      <c r="M1295" s="29">
        <f>IFERROR((G1295*H1295*I1295/1000000)*D1295,0)</f>
      </c>
    </row>
    <row r="1296" spans="1:13" x14ac:dyDescent="0.25">
      <c r="A1296" s="16"/>
      <c r="E1296" s="27"/>
      <c r="F1296" t="s">
        <v>26</v>
      </c>
      <c r="G1296" s="28">
        <f>IFERROR(VLOOKUP(F1296,CARTON_LOOKUP!$A:$E,3,0),"")</f>
      </c>
      <c r="H1296" s="28">
        <f>IFERROR(VLOOKUP(F1296,CARTON_LOOKUP!$A:$E,4,0),"")</f>
      </c>
      <c r="I1296" s="28">
        <f>IFERROR(VLOOKUP(F1296,CARTON_LOOKUP!$A:$E,5,0),"")</f>
      </c>
      <c r="J1296" s="29">
        <f>IFERROR(VLOOKUP(F1296,CARTON_LOOKUP!$A:$E,2,0),"")</f>
      </c>
      <c r="K1296" s="29">
        <f>IFERROR(J1296*D1296,0)</f>
      </c>
      <c r="L1296" s="29">
        <f>IFERROR(E1296*C1296,0)</f>
      </c>
      <c r="M1296" s="29">
        <f>IFERROR((G1296*H1296*I1296/1000000)*D1296,0)</f>
      </c>
    </row>
    <row r="1297" spans="1:13" x14ac:dyDescent="0.25">
      <c r="A1297" s="16"/>
      <c r="E1297" s="27"/>
      <c r="F1297" t="s">
        <v>26</v>
      </c>
      <c r="G1297" s="28">
        <f>IFERROR(VLOOKUP(F1297,CARTON_LOOKUP!$A:$E,3,0),"")</f>
      </c>
      <c r="H1297" s="28">
        <f>IFERROR(VLOOKUP(F1297,CARTON_LOOKUP!$A:$E,4,0),"")</f>
      </c>
      <c r="I1297" s="28">
        <f>IFERROR(VLOOKUP(F1297,CARTON_LOOKUP!$A:$E,5,0),"")</f>
      </c>
      <c r="J1297" s="29">
        <f>IFERROR(VLOOKUP(F1297,CARTON_LOOKUP!$A:$E,2,0),"")</f>
      </c>
      <c r="K1297" s="29">
        <f>IFERROR(J1297*D1297,0)</f>
      </c>
      <c r="L1297" s="29">
        <f>IFERROR(E1297*C1297,0)</f>
      </c>
      <c r="M1297" s="29">
        <f>IFERROR((G1297*H1297*I1297/1000000)*D1297,0)</f>
      </c>
    </row>
    <row r="1298" spans="1:13" x14ac:dyDescent="0.25">
      <c r="A1298" s="16"/>
      <c r="E1298" s="27"/>
      <c r="F1298" t="s">
        <v>26</v>
      </c>
      <c r="G1298" s="28">
        <f>IFERROR(VLOOKUP(F1298,CARTON_LOOKUP!$A:$E,3,0),"")</f>
      </c>
      <c r="H1298" s="28">
        <f>IFERROR(VLOOKUP(F1298,CARTON_LOOKUP!$A:$E,4,0),"")</f>
      </c>
      <c r="I1298" s="28">
        <f>IFERROR(VLOOKUP(F1298,CARTON_LOOKUP!$A:$E,5,0),"")</f>
      </c>
      <c r="J1298" s="29">
        <f>IFERROR(VLOOKUP(F1298,CARTON_LOOKUP!$A:$E,2,0),"")</f>
      </c>
      <c r="K1298" s="29">
        <f>IFERROR(J1298*D1298,0)</f>
      </c>
      <c r="L1298" s="29">
        <f>IFERROR(E1298*C1298,0)</f>
      </c>
      <c r="M1298" s="29">
        <f>IFERROR((G1298*H1298*I1298/1000000)*D1298,0)</f>
      </c>
    </row>
    <row r="1299" spans="1:13" x14ac:dyDescent="0.25">
      <c r="A1299" s="16"/>
      <c r="E1299" s="27"/>
      <c r="F1299" t="s">
        <v>26</v>
      </c>
      <c r="G1299" s="28">
        <f>IFERROR(VLOOKUP(F1299,CARTON_LOOKUP!$A:$E,3,0),"")</f>
      </c>
      <c r="H1299" s="28">
        <f>IFERROR(VLOOKUP(F1299,CARTON_LOOKUP!$A:$E,4,0),"")</f>
      </c>
      <c r="I1299" s="28">
        <f>IFERROR(VLOOKUP(F1299,CARTON_LOOKUP!$A:$E,5,0),"")</f>
      </c>
      <c r="J1299" s="29">
        <f>IFERROR(VLOOKUP(F1299,CARTON_LOOKUP!$A:$E,2,0),"")</f>
      </c>
      <c r="K1299" s="29">
        <f>IFERROR(J1299*D1299,0)</f>
      </c>
      <c r="L1299" s="29">
        <f>IFERROR(E1299*C1299,0)</f>
      </c>
      <c r="M1299" s="29">
        <f>IFERROR((G1299*H1299*I1299/1000000)*D1299,0)</f>
      </c>
    </row>
    <row r="1300" spans="1:13" x14ac:dyDescent="0.25">
      <c r="A1300" s="16"/>
      <c r="E1300" s="27"/>
      <c r="F1300" t="s">
        <v>26</v>
      </c>
      <c r="G1300" s="28">
        <f>IFERROR(VLOOKUP(F1300,CARTON_LOOKUP!$A:$E,3,0),"")</f>
      </c>
      <c r="H1300" s="28">
        <f>IFERROR(VLOOKUP(F1300,CARTON_LOOKUP!$A:$E,4,0),"")</f>
      </c>
      <c r="I1300" s="28">
        <f>IFERROR(VLOOKUP(F1300,CARTON_LOOKUP!$A:$E,5,0),"")</f>
      </c>
      <c r="J1300" s="29">
        <f>IFERROR(VLOOKUP(F1300,CARTON_LOOKUP!$A:$E,2,0),"")</f>
      </c>
      <c r="K1300" s="29">
        <f>IFERROR(J1300*D1300,0)</f>
      </c>
      <c r="L1300" s="29">
        <f>IFERROR(E1300*C1300,0)</f>
      </c>
      <c r="M1300" s="29">
        <f>IFERROR((G1300*H1300*I1300/1000000)*D1300,0)</f>
      </c>
    </row>
    <row r="1301" spans="1:13" x14ac:dyDescent="0.25">
      <c r="A1301" s="16"/>
      <c r="E1301" s="27"/>
      <c r="F1301" t="s">
        <v>26</v>
      </c>
      <c r="G1301" s="28">
        <f>IFERROR(VLOOKUP(F1301,CARTON_LOOKUP!$A:$E,3,0),"")</f>
      </c>
      <c r="H1301" s="28">
        <f>IFERROR(VLOOKUP(F1301,CARTON_LOOKUP!$A:$E,4,0),"")</f>
      </c>
      <c r="I1301" s="28">
        <f>IFERROR(VLOOKUP(F1301,CARTON_LOOKUP!$A:$E,5,0),"")</f>
      </c>
      <c r="J1301" s="29">
        <f>IFERROR(VLOOKUP(F1301,CARTON_LOOKUP!$A:$E,2,0),"")</f>
      </c>
      <c r="K1301" s="29">
        <f>IFERROR(J1301*D1301,0)</f>
      </c>
      <c r="L1301" s="29">
        <f>IFERROR(E1301*C1301,0)</f>
      </c>
      <c r="M1301" s="29">
        <f>IFERROR((G1301*H1301*I1301/1000000)*D1301,0)</f>
      </c>
    </row>
    <row r="1302" spans="1:13" x14ac:dyDescent="0.25">
      <c r="A1302" s="16"/>
      <c r="E1302" s="27"/>
      <c r="F1302" t="s">
        <v>26</v>
      </c>
      <c r="G1302" s="28">
        <f>IFERROR(VLOOKUP(F1302,CARTON_LOOKUP!$A:$E,3,0),"")</f>
      </c>
      <c r="H1302" s="28">
        <f>IFERROR(VLOOKUP(F1302,CARTON_LOOKUP!$A:$E,4,0),"")</f>
      </c>
      <c r="I1302" s="28">
        <f>IFERROR(VLOOKUP(F1302,CARTON_LOOKUP!$A:$E,5,0),"")</f>
      </c>
      <c r="J1302" s="29">
        <f>IFERROR(VLOOKUP(F1302,CARTON_LOOKUP!$A:$E,2,0),"")</f>
      </c>
      <c r="K1302" s="29">
        <f>IFERROR(J1302*D1302,0)</f>
      </c>
      <c r="L1302" s="29">
        <f>IFERROR(E1302*C1302,0)</f>
      </c>
      <c r="M1302" s="29">
        <f>IFERROR((G1302*H1302*I1302/1000000)*D1302,0)</f>
      </c>
    </row>
    <row r="1303" spans="1:13" x14ac:dyDescent="0.25">
      <c r="A1303" s="16"/>
      <c r="E1303" s="27"/>
      <c r="F1303" t="s">
        <v>26</v>
      </c>
      <c r="G1303" s="28">
        <f>IFERROR(VLOOKUP(F1303,CARTON_LOOKUP!$A:$E,3,0),"")</f>
      </c>
      <c r="H1303" s="28">
        <f>IFERROR(VLOOKUP(F1303,CARTON_LOOKUP!$A:$E,4,0),"")</f>
      </c>
      <c r="I1303" s="28">
        <f>IFERROR(VLOOKUP(F1303,CARTON_LOOKUP!$A:$E,5,0),"")</f>
      </c>
      <c r="J1303" s="29">
        <f>IFERROR(VLOOKUP(F1303,CARTON_LOOKUP!$A:$E,2,0),"")</f>
      </c>
      <c r="K1303" s="29">
        <f>IFERROR(J1303*D1303,0)</f>
      </c>
      <c r="L1303" s="29">
        <f>IFERROR(E1303*C1303,0)</f>
      </c>
      <c r="M1303" s="29">
        <f>IFERROR((G1303*H1303*I1303/1000000)*D1303,0)</f>
      </c>
    </row>
    <row r="1304" spans="1:13" x14ac:dyDescent="0.25">
      <c r="A1304" s="16"/>
      <c r="E1304" s="27"/>
      <c r="F1304" t="s">
        <v>26</v>
      </c>
      <c r="G1304" s="28">
        <f>IFERROR(VLOOKUP(F1304,CARTON_LOOKUP!$A:$E,3,0),"")</f>
      </c>
      <c r="H1304" s="28">
        <f>IFERROR(VLOOKUP(F1304,CARTON_LOOKUP!$A:$E,4,0),"")</f>
      </c>
      <c r="I1304" s="28">
        <f>IFERROR(VLOOKUP(F1304,CARTON_LOOKUP!$A:$E,5,0),"")</f>
      </c>
      <c r="J1304" s="29">
        <f>IFERROR(VLOOKUP(F1304,CARTON_LOOKUP!$A:$E,2,0),"")</f>
      </c>
      <c r="K1304" s="29">
        <f>IFERROR(J1304*D1304,0)</f>
      </c>
      <c r="L1304" s="29">
        <f>IFERROR(E1304*C1304,0)</f>
      </c>
      <c r="M1304" s="29">
        <f>IFERROR((G1304*H1304*I1304/1000000)*D1304,0)</f>
      </c>
    </row>
    <row r="1305" spans="1:13" x14ac:dyDescent="0.25">
      <c r="A1305" s="16"/>
      <c r="E1305" s="27"/>
      <c r="F1305" t="s">
        <v>26</v>
      </c>
      <c r="G1305" s="28">
        <f>IFERROR(VLOOKUP(F1305,CARTON_LOOKUP!$A:$E,3,0),"")</f>
      </c>
      <c r="H1305" s="28">
        <f>IFERROR(VLOOKUP(F1305,CARTON_LOOKUP!$A:$E,4,0),"")</f>
      </c>
      <c r="I1305" s="28">
        <f>IFERROR(VLOOKUP(F1305,CARTON_LOOKUP!$A:$E,5,0),"")</f>
      </c>
      <c r="J1305" s="29">
        <f>IFERROR(VLOOKUP(F1305,CARTON_LOOKUP!$A:$E,2,0),"")</f>
      </c>
      <c r="K1305" s="29">
        <f>IFERROR(J1305*D1305,0)</f>
      </c>
      <c r="L1305" s="29">
        <f>IFERROR(E1305*C1305,0)</f>
      </c>
      <c r="M1305" s="29">
        <f>IFERROR((G1305*H1305*I1305/1000000)*D1305,0)</f>
      </c>
    </row>
    <row r="1306" spans="1:13" x14ac:dyDescent="0.25">
      <c r="A1306" s="16"/>
      <c r="E1306" s="27"/>
      <c r="F1306" t="s">
        <v>26</v>
      </c>
      <c r="G1306" s="28">
        <f>IFERROR(VLOOKUP(F1306,CARTON_LOOKUP!$A:$E,3,0),"")</f>
      </c>
      <c r="H1306" s="28">
        <f>IFERROR(VLOOKUP(F1306,CARTON_LOOKUP!$A:$E,4,0),"")</f>
      </c>
      <c r="I1306" s="28">
        <f>IFERROR(VLOOKUP(F1306,CARTON_LOOKUP!$A:$E,5,0),"")</f>
      </c>
      <c r="J1306" s="29">
        <f>IFERROR(VLOOKUP(F1306,CARTON_LOOKUP!$A:$E,2,0),"")</f>
      </c>
      <c r="K1306" s="29">
        <f>IFERROR(J1306*D1306,0)</f>
      </c>
      <c r="L1306" s="29">
        <f>IFERROR(E1306*C1306,0)</f>
      </c>
      <c r="M1306" s="29">
        <f>IFERROR((G1306*H1306*I1306/1000000)*D1306,0)</f>
      </c>
    </row>
    <row r="1307" spans="1:13" x14ac:dyDescent="0.25">
      <c r="A1307" s="16"/>
      <c r="E1307" s="27"/>
      <c r="F1307" t="s">
        <v>26</v>
      </c>
      <c r="G1307" s="28">
        <f>IFERROR(VLOOKUP(F1307,CARTON_LOOKUP!$A:$E,3,0),"")</f>
      </c>
      <c r="H1307" s="28">
        <f>IFERROR(VLOOKUP(F1307,CARTON_LOOKUP!$A:$E,4,0),"")</f>
      </c>
      <c r="I1307" s="28">
        <f>IFERROR(VLOOKUP(F1307,CARTON_LOOKUP!$A:$E,5,0),"")</f>
      </c>
      <c r="J1307" s="29">
        <f>IFERROR(VLOOKUP(F1307,CARTON_LOOKUP!$A:$E,2,0),"")</f>
      </c>
      <c r="K1307" s="29">
        <f>IFERROR(J1307*D1307,0)</f>
      </c>
      <c r="L1307" s="29">
        <f>IFERROR(E1307*C1307,0)</f>
      </c>
      <c r="M1307" s="29">
        <f>IFERROR((G1307*H1307*I1307/1000000)*D1307,0)</f>
      </c>
    </row>
    <row r="1308" spans="1:13" x14ac:dyDescent="0.25">
      <c r="A1308" s="16"/>
      <c r="E1308" s="27"/>
      <c r="F1308" t="s">
        <v>26</v>
      </c>
      <c r="G1308" s="28">
        <f>IFERROR(VLOOKUP(F1308,CARTON_LOOKUP!$A:$E,3,0),"")</f>
      </c>
      <c r="H1308" s="28">
        <f>IFERROR(VLOOKUP(F1308,CARTON_LOOKUP!$A:$E,4,0),"")</f>
      </c>
      <c r="I1308" s="28">
        <f>IFERROR(VLOOKUP(F1308,CARTON_LOOKUP!$A:$E,5,0),"")</f>
      </c>
      <c r="J1308" s="29">
        <f>IFERROR(VLOOKUP(F1308,CARTON_LOOKUP!$A:$E,2,0),"")</f>
      </c>
      <c r="K1308" s="29">
        <f>IFERROR(J1308*D1308,0)</f>
      </c>
      <c r="L1308" s="29">
        <f>IFERROR(E1308*C1308,0)</f>
      </c>
      <c r="M1308" s="29">
        <f>IFERROR((G1308*H1308*I1308/1000000)*D1308,0)</f>
      </c>
    </row>
    <row r="1309" spans="1:13" x14ac:dyDescent="0.25">
      <c r="A1309" s="16"/>
      <c r="E1309" s="27"/>
      <c r="F1309" t="s">
        <v>26</v>
      </c>
      <c r="G1309" s="28">
        <f>IFERROR(VLOOKUP(F1309,CARTON_LOOKUP!$A:$E,3,0),"")</f>
      </c>
      <c r="H1309" s="28">
        <f>IFERROR(VLOOKUP(F1309,CARTON_LOOKUP!$A:$E,4,0),"")</f>
      </c>
      <c r="I1309" s="28">
        <f>IFERROR(VLOOKUP(F1309,CARTON_LOOKUP!$A:$E,5,0),"")</f>
      </c>
      <c r="J1309" s="29">
        <f>IFERROR(VLOOKUP(F1309,CARTON_LOOKUP!$A:$E,2,0),"")</f>
      </c>
      <c r="K1309" s="29">
        <f>IFERROR(J1309*D1309,0)</f>
      </c>
      <c r="L1309" s="29">
        <f>IFERROR(E1309*C1309,0)</f>
      </c>
      <c r="M1309" s="29">
        <f>IFERROR((G1309*H1309*I1309/1000000)*D1309,0)</f>
      </c>
    </row>
    <row r="1310" spans="1:13" x14ac:dyDescent="0.25">
      <c r="A1310" s="16"/>
      <c r="E1310" s="27"/>
      <c r="F1310" t="s">
        <v>26</v>
      </c>
      <c r="G1310" s="28">
        <f>IFERROR(VLOOKUP(F1310,CARTON_LOOKUP!$A:$E,3,0),"")</f>
      </c>
      <c r="H1310" s="28">
        <f>IFERROR(VLOOKUP(F1310,CARTON_LOOKUP!$A:$E,4,0),"")</f>
      </c>
      <c r="I1310" s="28">
        <f>IFERROR(VLOOKUP(F1310,CARTON_LOOKUP!$A:$E,5,0),"")</f>
      </c>
      <c r="J1310" s="29">
        <f>IFERROR(VLOOKUP(F1310,CARTON_LOOKUP!$A:$E,2,0),"")</f>
      </c>
      <c r="K1310" s="29">
        <f>IFERROR(J1310*D1310,0)</f>
      </c>
      <c r="L1310" s="29">
        <f>IFERROR(E1310*C1310,0)</f>
      </c>
      <c r="M1310" s="29">
        <f>IFERROR((G1310*H1310*I1310/1000000)*D1310,0)</f>
      </c>
    </row>
    <row r="1311" spans="1:13" x14ac:dyDescent="0.25">
      <c r="A1311" s="16"/>
      <c r="E1311" s="27"/>
      <c r="F1311" t="s">
        <v>26</v>
      </c>
      <c r="G1311" s="28">
        <f>IFERROR(VLOOKUP(F1311,CARTON_LOOKUP!$A:$E,3,0),"")</f>
      </c>
      <c r="H1311" s="28">
        <f>IFERROR(VLOOKUP(F1311,CARTON_LOOKUP!$A:$E,4,0),"")</f>
      </c>
      <c r="I1311" s="28">
        <f>IFERROR(VLOOKUP(F1311,CARTON_LOOKUP!$A:$E,5,0),"")</f>
      </c>
      <c r="J1311" s="29">
        <f>IFERROR(VLOOKUP(F1311,CARTON_LOOKUP!$A:$E,2,0),"")</f>
      </c>
      <c r="K1311" s="29">
        <f>IFERROR(J1311*D1311,0)</f>
      </c>
      <c r="L1311" s="29">
        <f>IFERROR(E1311*C1311,0)</f>
      </c>
      <c r="M1311" s="29">
        <f>IFERROR((G1311*H1311*I1311/1000000)*D1311,0)</f>
      </c>
    </row>
    <row r="1312" spans="1:13" x14ac:dyDescent="0.25">
      <c r="A1312" s="16"/>
      <c r="E1312" s="27"/>
      <c r="F1312" t="s">
        <v>26</v>
      </c>
      <c r="G1312" s="28">
        <f>IFERROR(VLOOKUP(F1312,CARTON_LOOKUP!$A:$E,3,0),"")</f>
      </c>
      <c r="H1312" s="28">
        <f>IFERROR(VLOOKUP(F1312,CARTON_LOOKUP!$A:$E,4,0),"")</f>
      </c>
      <c r="I1312" s="28">
        <f>IFERROR(VLOOKUP(F1312,CARTON_LOOKUP!$A:$E,5,0),"")</f>
      </c>
      <c r="J1312" s="29">
        <f>IFERROR(VLOOKUP(F1312,CARTON_LOOKUP!$A:$E,2,0),"")</f>
      </c>
      <c r="K1312" s="29">
        <f>IFERROR(J1312*D1312,0)</f>
      </c>
      <c r="L1312" s="29">
        <f>IFERROR(E1312*C1312,0)</f>
      </c>
      <c r="M1312" s="29">
        <f>IFERROR((G1312*H1312*I1312/1000000)*D1312,0)</f>
      </c>
    </row>
    <row r="1313" spans="1:13" x14ac:dyDescent="0.25">
      <c r="A1313" s="16"/>
      <c r="E1313" s="27"/>
      <c r="F1313" t="s">
        <v>26</v>
      </c>
      <c r="G1313" s="28">
        <f>IFERROR(VLOOKUP(F1313,CARTON_LOOKUP!$A:$E,3,0),"")</f>
      </c>
      <c r="H1313" s="28">
        <f>IFERROR(VLOOKUP(F1313,CARTON_LOOKUP!$A:$E,4,0),"")</f>
      </c>
      <c r="I1313" s="28">
        <f>IFERROR(VLOOKUP(F1313,CARTON_LOOKUP!$A:$E,5,0),"")</f>
      </c>
      <c r="J1313" s="29">
        <f>IFERROR(VLOOKUP(F1313,CARTON_LOOKUP!$A:$E,2,0),"")</f>
      </c>
      <c r="K1313" s="29">
        <f>IFERROR(J1313*D1313,0)</f>
      </c>
      <c r="L1313" s="29">
        <f>IFERROR(E1313*C1313,0)</f>
      </c>
      <c r="M1313" s="29">
        <f>IFERROR((G1313*H1313*I1313/1000000)*D1313,0)</f>
      </c>
    </row>
    <row r="1314" spans="1:13" x14ac:dyDescent="0.25">
      <c r="A1314" s="16"/>
      <c r="E1314" s="27"/>
      <c r="F1314" t="s">
        <v>26</v>
      </c>
      <c r="G1314" s="28">
        <f>IFERROR(VLOOKUP(F1314,CARTON_LOOKUP!$A:$E,3,0),"")</f>
      </c>
      <c r="H1314" s="28">
        <f>IFERROR(VLOOKUP(F1314,CARTON_LOOKUP!$A:$E,4,0),"")</f>
      </c>
      <c r="I1314" s="28">
        <f>IFERROR(VLOOKUP(F1314,CARTON_LOOKUP!$A:$E,5,0),"")</f>
      </c>
      <c r="J1314" s="29">
        <f>IFERROR(VLOOKUP(F1314,CARTON_LOOKUP!$A:$E,2,0),"")</f>
      </c>
      <c r="K1314" s="29">
        <f>IFERROR(J1314*D1314,0)</f>
      </c>
      <c r="L1314" s="29">
        <f>IFERROR(E1314*C1314,0)</f>
      </c>
      <c r="M1314" s="29">
        <f>IFERROR((G1314*H1314*I1314/1000000)*D1314,0)</f>
      </c>
    </row>
    <row r="1315" spans="1:13" x14ac:dyDescent="0.25">
      <c r="A1315" s="16"/>
      <c r="E1315" s="27"/>
      <c r="F1315" t="s">
        <v>26</v>
      </c>
      <c r="G1315" s="28">
        <f>IFERROR(VLOOKUP(F1315,CARTON_LOOKUP!$A:$E,3,0),"")</f>
      </c>
      <c r="H1315" s="28">
        <f>IFERROR(VLOOKUP(F1315,CARTON_LOOKUP!$A:$E,4,0),"")</f>
      </c>
      <c r="I1315" s="28">
        <f>IFERROR(VLOOKUP(F1315,CARTON_LOOKUP!$A:$E,5,0),"")</f>
      </c>
      <c r="J1315" s="29">
        <f>IFERROR(VLOOKUP(F1315,CARTON_LOOKUP!$A:$E,2,0),"")</f>
      </c>
      <c r="K1315" s="29">
        <f>IFERROR(J1315*D1315,0)</f>
      </c>
      <c r="L1315" s="29">
        <f>IFERROR(E1315*C1315,0)</f>
      </c>
      <c r="M1315" s="29">
        <f>IFERROR((G1315*H1315*I1315/1000000)*D1315,0)</f>
      </c>
    </row>
    <row r="1316" spans="1:13" x14ac:dyDescent="0.25">
      <c r="A1316" s="16"/>
      <c r="E1316" s="27"/>
      <c r="F1316" t="s">
        <v>26</v>
      </c>
      <c r="G1316" s="28">
        <f>IFERROR(VLOOKUP(F1316,CARTON_LOOKUP!$A:$E,3,0),"")</f>
      </c>
      <c r="H1316" s="28">
        <f>IFERROR(VLOOKUP(F1316,CARTON_LOOKUP!$A:$E,4,0),"")</f>
      </c>
      <c r="I1316" s="28">
        <f>IFERROR(VLOOKUP(F1316,CARTON_LOOKUP!$A:$E,5,0),"")</f>
      </c>
      <c r="J1316" s="29">
        <f>IFERROR(VLOOKUP(F1316,CARTON_LOOKUP!$A:$E,2,0),"")</f>
      </c>
      <c r="K1316" s="29">
        <f>IFERROR(J1316*D1316,0)</f>
      </c>
      <c r="L1316" s="29">
        <f>IFERROR(E1316*C1316,0)</f>
      </c>
      <c r="M1316" s="29">
        <f>IFERROR((G1316*H1316*I1316/1000000)*D1316,0)</f>
      </c>
    </row>
    <row r="1317" spans="1:13" x14ac:dyDescent="0.25">
      <c r="A1317" s="16"/>
      <c r="E1317" s="27"/>
      <c r="F1317" t="s">
        <v>26</v>
      </c>
      <c r="G1317" s="28">
        <f>IFERROR(VLOOKUP(F1317,CARTON_LOOKUP!$A:$E,3,0),"")</f>
      </c>
      <c r="H1317" s="28">
        <f>IFERROR(VLOOKUP(F1317,CARTON_LOOKUP!$A:$E,4,0),"")</f>
      </c>
      <c r="I1317" s="28">
        <f>IFERROR(VLOOKUP(F1317,CARTON_LOOKUP!$A:$E,5,0),"")</f>
      </c>
      <c r="J1317" s="29">
        <f>IFERROR(VLOOKUP(F1317,CARTON_LOOKUP!$A:$E,2,0),"")</f>
      </c>
      <c r="K1317" s="29">
        <f>IFERROR(J1317*D1317,0)</f>
      </c>
      <c r="L1317" s="29">
        <f>IFERROR(E1317*C1317,0)</f>
      </c>
      <c r="M1317" s="29">
        <f>IFERROR((G1317*H1317*I1317/1000000)*D1317,0)</f>
      </c>
    </row>
    <row r="1318" spans="1:13" x14ac:dyDescent="0.25">
      <c r="A1318" s="16"/>
      <c r="E1318" s="27"/>
      <c r="F1318" t="s">
        <v>26</v>
      </c>
      <c r="G1318" s="28">
        <f>IFERROR(VLOOKUP(F1318,CARTON_LOOKUP!$A:$E,3,0),"")</f>
      </c>
      <c r="H1318" s="28">
        <f>IFERROR(VLOOKUP(F1318,CARTON_LOOKUP!$A:$E,4,0),"")</f>
      </c>
      <c r="I1318" s="28">
        <f>IFERROR(VLOOKUP(F1318,CARTON_LOOKUP!$A:$E,5,0),"")</f>
      </c>
      <c r="J1318" s="29">
        <f>IFERROR(VLOOKUP(F1318,CARTON_LOOKUP!$A:$E,2,0),"")</f>
      </c>
      <c r="K1318" s="29">
        <f>IFERROR(J1318*D1318,0)</f>
      </c>
      <c r="L1318" s="29">
        <f>IFERROR(E1318*C1318,0)</f>
      </c>
      <c r="M1318" s="29">
        <f>IFERROR((G1318*H1318*I1318/1000000)*D1318,0)</f>
      </c>
    </row>
    <row r="1319" spans="1:13" x14ac:dyDescent="0.25">
      <c r="A1319" s="16"/>
      <c r="E1319" s="27"/>
      <c r="F1319" t="s">
        <v>26</v>
      </c>
      <c r="G1319" s="28">
        <f>IFERROR(VLOOKUP(F1319,CARTON_LOOKUP!$A:$E,3,0),"")</f>
      </c>
      <c r="H1319" s="28">
        <f>IFERROR(VLOOKUP(F1319,CARTON_LOOKUP!$A:$E,4,0),"")</f>
      </c>
      <c r="I1319" s="28">
        <f>IFERROR(VLOOKUP(F1319,CARTON_LOOKUP!$A:$E,5,0),"")</f>
      </c>
      <c r="J1319" s="29">
        <f>IFERROR(VLOOKUP(F1319,CARTON_LOOKUP!$A:$E,2,0),"")</f>
      </c>
      <c r="K1319" s="29">
        <f>IFERROR(J1319*D1319,0)</f>
      </c>
      <c r="L1319" s="29">
        <f>IFERROR(E1319*C1319,0)</f>
      </c>
      <c r="M1319" s="29">
        <f>IFERROR((G1319*H1319*I1319/1000000)*D1319,0)</f>
      </c>
    </row>
    <row r="1320" spans="1:13" x14ac:dyDescent="0.25">
      <c r="A1320" s="16"/>
      <c r="E1320" s="27"/>
      <c r="F1320" t="s">
        <v>26</v>
      </c>
      <c r="G1320" s="28">
        <f>IFERROR(VLOOKUP(F1320,CARTON_LOOKUP!$A:$E,3,0),"")</f>
      </c>
      <c r="H1320" s="28">
        <f>IFERROR(VLOOKUP(F1320,CARTON_LOOKUP!$A:$E,4,0),"")</f>
      </c>
      <c r="I1320" s="28">
        <f>IFERROR(VLOOKUP(F1320,CARTON_LOOKUP!$A:$E,5,0),"")</f>
      </c>
      <c r="J1320" s="29">
        <f>IFERROR(VLOOKUP(F1320,CARTON_LOOKUP!$A:$E,2,0),"")</f>
      </c>
      <c r="K1320" s="29">
        <f>IFERROR(J1320*D1320,0)</f>
      </c>
      <c r="L1320" s="29">
        <f>IFERROR(E1320*C1320,0)</f>
      </c>
      <c r="M1320" s="29">
        <f>IFERROR((G1320*H1320*I1320/1000000)*D1320,0)</f>
      </c>
    </row>
    <row r="1321" spans="1:13" x14ac:dyDescent="0.25">
      <c r="A1321" s="16"/>
      <c r="E1321" s="27"/>
      <c r="F1321" t="s">
        <v>26</v>
      </c>
      <c r="G1321" s="28">
        <f>IFERROR(VLOOKUP(F1321,CARTON_LOOKUP!$A:$E,3,0),"")</f>
      </c>
      <c r="H1321" s="28">
        <f>IFERROR(VLOOKUP(F1321,CARTON_LOOKUP!$A:$E,4,0),"")</f>
      </c>
      <c r="I1321" s="28">
        <f>IFERROR(VLOOKUP(F1321,CARTON_LOOKUP!$A:$E,5,0),"")</f>
      </c>
      <c r="J1321" s="29">
        <f>IFERROR(VLOOKUP(F1321,CARTON_LOOKUP!$A:$E,2,0),"")</f>
      </c>
      <c r="K1321" s="29">
        <f>IFERROR(J1321*D1321,0)</f>
      </c>
      <c r="L1321" s="29">
        <f>IFERROR(E1321*C1321,0)</f>
      </c>
      <c r="M1321" s="29">
        <f>IFERROR((G1321*H1321*I1321/1000000)*D1321,0)</f>
      </c>
    </row>
    <row r="1322" spans="1:13" x14ac:dyDescent="0.25">
      <c r="A1322" s="16"/>
      <c r="E1322" s="27"/>
      <c r="F1322" t="s">
        <v>26</v>
      </c>
      <c r="G1322" s="28">
        <f>IFERROR(VLOOKUP(F1322,CARTON_LOOKUP!$A:$E,3,0),"")</f>
      </c>
      <c r="H1322" s="28">
        <f>IFERROR(VLOOKUP(F1322,CARTON_LOOKUP!$A:$E,4,0),"")</f>
      </c>
      <c r="I1322" s="28">
        <f>IFERROR(VLOOKUP(F1322,CARTON_LOOKUP!$A:$E,5,0),"")</f>
      </c>
      <c r="J1322" s="29">
        <f>IFERROR(VLOOKUP(F1322,CARTON_LOOKUP!$A:$E,2,0),"")</f>
      </c>
      <c r="K1322" s="29">
        <f>IFERROR(J1322*D1322,0)</f>
      </c>
      <c r="L1322" s="29">
        <f>IFERROR(E1322*C1322,0)</f>
      </c>
      <c r="M1322" s="29">
        <f>IFERROR((G1322*H1322*I1322/1000000)*D1322,0)</f>
      </c>
    </row>
    <row r="1323" spans="1:13" x14ac:dyDescent="0.25">
      <c r="A1323" s="16"/>
      <c r="E1323" s="27"/>
      <c r="F1323" t="s">
        <v>26</v>
      </c>
      <c r="G1323" s="28">
        <f>IFERROR(VLOOKUP(F1323,CARTON_LOOKUP!$A:$E,3,0),"")</f>
      </c>
      <c r="H1323" s="28">
        <f>IFERROR(VLOOKUP(F1323,CARTON_LOOKUP!$A:$E,4,0),"")</f>
      </c>
      <c r="I1323" s="28">
        <f>IFERROR(VLOOKUP(F1323,CARTON_LOOKUP!$A:$E,5,0),"")</f>
      </c>
      <c r="J1323" s="29">
        <f>IFERROR(VLOOKUP(F1323,CARTON_LOOKUP!$A:$E,2,0),"")</f>
      </c>
      <c r="K1323" s="29">
        <f>IFERROR(J1323*D1323,0)</f>
      </c>
      <c r="L1323" s="29">
        <f>IFERROR(E1323*C1323,0)</f>
      </c>
      <c r="M1323" s="29">
        <f>IFERROR((G1323*H1323*I1323/1000000)*D1323,0)</f>
      </c>
    </row>
    <row r="1324" spans="1:13" x14ac:dyDescent="0.25">
      <c r="A1324" s="16"/>
      <c r="E1324" s="27"/>
      <c r="F1324" t="s">
        <v>26</v>
      </c>
      <c r="G1324" s="28">
        <f>IFERROR(VLOOKUP(F1324,CARTON_LOOKUP!$A:$E,3,0),"")</f>
      </c>
      <c r="H1324" s="28">
        <f>IFERROR(VLOOKUP(F1324,CARTON_LOOKUP!$A:$E,4,0),"")</f>
      </c>
      <c r="I1324" s="28">
        <f>IFERROR(VLOOKUP(F1324,CARTON_LOOKUP!$A:$E,5,0),"")</f>
      </c>
      <c r="J1324" s="29">
        <f>IFERROR(VLOOKUP(F1324,CARTON_LOOKUP!$A:$E,2,0),"")</f>
      </c>
      <c r="K1324" s="29">
        <f>IFERROR(J1324*D1324,0)</f>
      </c>
      <c r="L1324" s="29">
        <f>IFERROR(E1324*C1324,0)</f>
      </c>
      <c r="M1324" s="29">
        <f>IFERROR((G1324*H1324*I1324/1000000)*D1324,0)</f>
      </c>
    </row>
    <row r="1325" spans="1:13" x14ac:dyDescent="0.25">
      <c r="A1325" s="16"/>
      <c r="E1325" s="27"/>
      <c r="F1325" t="s">
        <v>26</v>
      </c>
      <c r="G1325" s="28">
        <f>IFERROR(VLOOKUP(F1325,CARTON_LOOKUP!$A:$E,3,0),"")</f>
      </c>
      <c r="H1325" s="28">
        <f>IFERROR(VLOOKUP(F1325,CARTON_LOOKUP!$A:$E,4,0),"")</f>
      </c>
      <c r="I1325" s="28">
        <f>IFERROR(VLOOKUP(F1325,CARTON_LOOKUP!$A:$E,5,0),"")</f>
      </c>
      <c r="J1325" s="29">
        <f>IFERROR(VLOOKUP(F1325,CARTON_LOOKUP!$A:$E,2,0),"")</f>
      </c>
      <c r="K1325" s="29">
        <f>IFERROR(J1325*D1325,0)</f>
      </c>
      <c r="L1325" s="29">
        <f>IFERROR(E1325*C1325,0)</f>
      </c>
      <c r="M1325" s="29">
        <f>IFERROR((G1325*H1325*I1325/1000000)*D1325,0)</f>
      </c>
    </row>
    <row r="1326" spans="1:13" x14ac:dyDescent="0.25">
      <c r="A1326" s="16"/>
      <c r="E1326" s="27"/>
      <c r="F1326" t="s">
        <v>26</v>
      </c>
      <c r="G1326" s="28">
        <f>IFERROR(VLOOKUP(F1326,CARTON_LOOKUP!$A:$E,3,0),"")</f>
      </c>
      <c r="H1326" s="28">
        <f>IFERROR(VLOOKUP(F1326,CARTON_LOOKUP!$A:$E,4,0),"")</f>
      </c>
      <c r="I1326" s="28">
        <f>IFERROR(VLOOKUP(F1326,CARTON_LOOKUP!$A:$E,5,0),"")</f>
      </c>
      <c r="J1326" s="29">
        <f>IFERROR(VLOOKUP(F1326,CARTON_LOOKUP!$A:$E,2,0),"")</f>
      </c>
      <c r="K1326" s="29">
        <f>IFERROR(J1326*D1326,0)</f>
      </c>
      <c r="L1326" s="29">
        <f>IFERROR(E1326*C1326,0)</f>
      </c>
      <c r="M1326" s="29">
        <f>IFERROR((G1326*H1326*I1326/1000000)*D1326,0)</f>
      </c>
    </row>
    <row r="1327" spans="1:13" x14ac:dyDescent="0.25">
      <c r="A1327" s="16"/>
      <c r="E1327" s="27"/>
      <c r="F1327" t="s">
        <v>26</v>
      </c>
      <c r="G1327" s="28">
        <f>IFERROR(VLOOKUP(F1327,CARTON_LOOKUP!$A:$E,3,0),"")</f>
      </c>
      <c r="H1327" s="28">
        <f>IFERROR(VLOOKUP(F1327,CARTON_LOOKUP!$A:$E,4,0),"")</f>
      </c>
      <c r="I1327" s="28">
        <f>IFERROR(VLOOKUP(F1327,CARTON_LOOKUP!$A:$E,5,0),"")</f>
      </c>
      <c r="J1327" s="29">
        <f>IFERROR(VLOOKUP(F1327,CARTON_LOOKUP!$A:$E,2,0),"")</f>
      </c>
      <c r="K1327" s="29">
        <f>IFERROR(J1327*D1327,0)</f>
      </c>
      <c r="L1327" s="29">
        <f>IFERROR(E1327*C1327,0)</f>
      </c>
      <c r="M1327" s="29">
        <f>IFERROR((G1327*H1327*I1327/1000000)*D1327,0)</f>
      </c>
    </row>
    <row r="1328" spans="1:13" x14ac:dyDescent="0.25">
      <c r="A1328" s="16"/>
      <c r="E1328" s="27"/>
      <c r="F1328" t="s">
        <v>26</v>
      </c>
      <c r="G1328" s="28">
        <f>IFERROR(VLOOKUP(F1328,CARTON_LOOKUP!$A:$E,3,0),"")</f>
      </c>
      <c r="H1328" s="28">
        <f>IFERROR(VLOOKUP(F1328,CARTON_LOOKUP!$A:$E,4,0),"")</f>
      </c>
      <c r="I1328" s="28">
        <f>IFERROR(VLOOKUP(F1328,CARTON_LOOKUP!$A:$E,5,0),"")</f>
      </c>
      <c r="J1328" s="29">
        <f>IFERROR(VLOOKUP(F1328,CARTON_LOOKUP!$A:$E,2,0),"")</f>
      </c>
      <c r="K1328" s="29">
        <f>IFERROR(J1328*D1328,0)</f>
      </c>
      <c r="L1328" s="29">
        <f>IFERROR(E1328*C1328,0)</f>
      </c>
      <c r="M1328" s="29">
        <f>IFERROR((G1328*H1328*I1328/1000000)*D1328,0)</f>
      </c>
    </row>
    <row r="1329" spans="1:13" x14ac:dyDescent="0.25">
      <c r="A1329" s="16"/>
      <c r="E1329" s="27"/>
      <c r="F1329" t="s">
        <v>26</v>
      </c>
      <c r="G1329" s="28">
        <f>IFERROR(VLOOKUP(F1329,CARTON_LOOKUP!$A:$E,3,0),"")</f>
      </c>
      <c r="H1329" s="28">
        <f>IFERROR(VLOOKUP(F1329,CARTON_LOOKUP!$A:$E,4,0),"")</f>
      </c>
      <c r="I1329" s="28">
        <f>IFERROR(VLOOKUP(F1329,CARTON_LOOKUP!$A:$E,5,0),"")</f>
      </c>
      <c r="J1329" s="29">
        <f>IFERROR(VLOOKUP(F1329,CARTON_LOOKUP!$A:$E,2,0),"")</f>
      </c>
      <c r="K1329" s="29">
        <f>IFERROR(J1329*D1329,0)</f>
      </c>
      <c r="L1329" s="29">
        <f>IFERROR(E1329*C1329,0)</f>
      </c>
      <c r="M1329" s="29">
        <f>IFERROR((G1329*H1329*I1329/1000000)*D1329,0)</f>
      </c>
    </row>
    <row r="1330" spans="1:13" x14ac:dyDescent="0.25">
      <c r="A1330" s="16"/>
      <c r="E1330" s="27"/>
      <c r="F1330" t="s">
        <v>26</v>
      </c>
      <c r="G1330" s="28">
        <f>IFERROR(VLOOKUP(F1330,CARTON_LOOKUP!$A:$E,3,0),"")</f>
      </c>
      <c r="H1330" s="28">
        <f>IFERROR(VLOOKUP(F1330,CARTON_LOOKUP!$A:$E,4,0),"")</f>
      </c>
      <c r="I1330" s="28">
        <f>IFERROR(VLOOKUP(F1330,CARTON_LOOKUP!$A:$E,5,0),"")</f>
      </c>
      <c r="J1330" s="29">
        <f>IFERROR(VLOOKUP(F1330,CARTON_LOOKUP!$A:$E,2,0),"")</f>
      </c>
      <c r="K1330" s="29">
        <f>IFERROR(J1330*D1330,0)</f>
      </c>
      <c r="L1330" s="29">
        <f>IFERROR(E1330*C1330,0)</f>
      </c>
      <c r="M1330" s="29">
        <f>IFERROR((G1330*H1330*I1330/1000000)*D1330,0)</f>
      </c>
    </row>
    <row r="1331" spans="1:13" x14ac:dyDescent="0.25">
      <c r="A1331" s="16"/>
      <c r="E1331" s="27"/>
      <c r="F1331" t="s">
        <v>26</v>
      </c>
      <c r="G1331" s="28">
        <f>IFERROR(VLOOKUP(F1331,CARTON_LOOKUP!$A:$E,3,0),"")</f>
      </c>
      <c r="H1331" s="28">
        <f>IFERROR(VLOOKUP(F1331,CARTON_LOOKUP!$A:$E,4,0),"")</f>
      </c>
      <c r="I1331" s="28">
        <f>IFERROR(VLOOKUP(F1331,CARTON_LOOKUP!$A:$E,5,0),"")</f>
      </c>
      <c r="J1331" s="29">
        <f>IFERROR(VLOOKUP(F1331,CARTON_LOOKUP!$A:$E,2,0),"")</f>
      </c>
      <c r="K1331" s="29">
        <f>IFERROR(J1331*D1331,0)</f>
      </c>
      <c r="L1331" s="29">
        <f>IFERROR(E1331*C1331,0)</f>
      </c>
      <c r="M1331" s="29">
        <f>IFERROR((G1331*H1331*I1331/1000000)*D1331,0)</f>
      </c>
    </row>
    <row r="1332" spans="1:13" x14ac:dyDescent="0.25">
      <c r="A1332" s="16"/>
      <c r="E1332" s="27"/>
      <c r="F1332" t="s">
        <v>26</v>
      </c>
      <c r="G1332" s="28">
        <f>IFERROR(VLOOKUP(F1332,CARTON_LOOKUP!$A:$E,3,0),"")</f>
      </c>
      <c r="H1332" s="28">
        <f>IFERROR(VLOOKUP(F1332,CARTON_LOOKUP!$A:$E,4,0),"")</f>
      </c>
      <c r="I1332" s="28">
        <f>IFERROR(VLOOKUP(F1332,CARTON_LOOKUP!$A:$E,5,0),"")</f>
      </c>
      <c r="J1332" s="29">
        <f>IFERROR(VLOOKUP(F1332,CARTON_LOOKUP!$A:$E,2,0),"")</f>
      </c>
      <c r="K1332" s="29">
        <f>IFERROR(J1332*D1332,0)</f>
      </c>
      <c r="L1332" s="29">
        <f>IFERROR(E1332*C1332,0)</f>
      </c>
      <c r="M1332" s="29">
        <f>IFERROR((G1332*H1332*I1332/1000000)*D1332,0)</f>
      </c>
    </row>
    <row r="1333" spans="1:13" x14ac:dyDescent="0.25">
      <c r="A1333" s="16"/>
      <c r="E1333" s="27"/>
      <c r="F1333" t="s">
        <v>26</v>
      </c>
      <c r="G1333" s="28">
        <f>IFERROR(VLOOKUP(F1333,CARTON_LOOKUP!$A:$E,3,0),"")</f>
      </c>
      <c r="H1333" s="28">
        <f>IFERROR(VLOOKUP(F1333,CARTON_LOOKUP!$A:$E,4,0),"")</f>
      </c>
      <c r="I1333" s="28">
        <f>IFERROR(VLOOKUP(F1333,CARTON_LOOKUP!$A:$E,5,0),"")</f>
      </c>
      <c r="J1333" s="29">
        <f>IFERROR(VLOOKUP(F1333,CARTON_LOOKUP!$A:$E,2,0),"")</f>
      </c>
      <c r="K1333" s="29">
        <f>IFERROR(J1333*D1333,0)</f>
      </c>
      <c r="L1333" s="29">
        <f>IFERROR(E1333*C1333,0)</f>
      </c>
      <c r="M1333" s="29">
        <f>IFERROR((G1333*H1333*I1333/1000000)*D1333,0)</f>
      </c>
    </row>
    <row r="1334" spans="1:13" x14ac:dyDescent="0.25">
      <c r="A1334" s="16"/>
      <c r="E1334" s="27"/>
      <c r="F1334" t="s">
        <v>26</v>
      </c>
      <c r="G1334" s="28">
        <f>IFERROR(VLOOKUP(F1334,CARTON_LOOKUP!$A:$E,3,0),"")</f>
      </c>
      <c r="H1334" s="28">
        <f>IFERROR(VLOOKUP(F1334,CARTON_LOOKUP!$A:$E,4,0),"")</f>
      </c>
      <c r="I1334" s="28">
        <f>IFERROR(VLOOKUP(F1334,CARTON_LOOKUP!$A:$E,5,0),"")</f>
      </c>
      <c r="J1334" s="29">
        <f>IFERROR(VLOOKUP(F1334,CARTON_LOOKUP!$A:$E,2,0),"")</f>
      </c>
      <c r="K1334" s="29">
        <f>IFERROR(J1334*D1334,0)</f>
      </c>
      <c r="L1334" s="29">
        <f>IFERROR(E1334*C1334,0)</f>
      </c>
      <c r="M1334" s="29">
        <f>IFERROR((G1334*H1334*I1334/1000000)*D1334,0)</f>
      </c>
    </row>
    <row r="1335" spans="1:13" x14ac:dyDescent="0.25">
      <c r="A1335" s="16"/>
      <c r="E1335" s="27"/>
      <c r="F1335" t="s">
        <v>26</v>
      </c>
      <c r="G1335" s="28">
        <f>IFERROR(VLOOKUP(F1335,CARTON_LOOKUP!$A:$E,3,0),"")</f>
      </c>
      <c r="H1335" s="28">
        <f>IFERROR(VLOOKUP(F1335,CARTON_LOOKUP!$A:$E,4,0),"")</f>
      </c>
      <c r="I1335" s="28">
        <f>IFERROR(VLOOKUP(F1335,CARTON_LOOKUP!$A:$E,5,0),"")</f>
      </c>
      <c r="J1335" s="29">
        <f>IFERROR(VLOOKUP(F1335,CARTON_LOOKUP!$A:$E,2,0),"")</f>
      </c>
      <c r="K1335" s="29">
        <f>IFERROR(J1335*D1335,0)</f>
      </c>
      <c r="L1335" s="29">
        <f>IFERROR(E1335*C1335,0)</f>
      </c>
      <c r="M1335" s="29">
        <f>IFERROR((G1335*H1335*I1335/1000000)*D1335,0)</f>
      </c>
    </row>
    <row r="1336" spans="1:13" x14ac:dyDescent="0.25">
      <c r="A1336" s="16"/>
      <c r="E1336" s="27"/>
      <c r="F1336" t="s">
        <v>26</v>
      </c>
      <c r="G1336" s="28">
        <f>IFERROR(VLOOKUP(F1336,CARTON_LOOKUP!$A:$E,3,0),"")</f>
      </c>
      <c r="H1336" s="28">
        <f>IFERROR(VLOOKUP(F1336,CARTON_LOOKUP!$A:$E,4,0),"")</f>
      </c>
      <c r="I1336" s="28">
        <f>IFERROR(VLOOKUP(F1336,CARTON_LOOKUP!$A:$E,5,0),"")</f>
      </c>
      <c r="J1336" s="29">
        <f>IFERROR(VLOOKUP(F1336,CARTON_LOOKUP!$A:$E,2,0),"")</f>
      </c>
      <c r="K1336" s="29">
        <f>IFERROR(J1336*D1336,0)</f>
      </c>
      <c r="L1336" s="29">
        <f>IFERROR(E1336*C1336,0)</f>
      </c>
      <c r="M1336" s="29">
        <f>IFERROR((G1336*H1336*I1336/1000000)*D1336,0)</f>
      </c>
    </row>
    <row r="1337" spans="1:13" x14ac:dyDescent="0.25">
      <c r="A1337" s="16"/>
      <c r="E1337" s="27"/>
      <c r="F1337" t="s">
        <v>26</v>
      </c>
      <c r="G1337" s="28">
        <f>IFERROR(VLOOKUP(F1337,CARTON_LOOKUP!$A:$E,3,0),"")</f>
      </c>
      <c r="H1337" s="28">
        <f>IFERROR(VLOOKUP(F1337,CARTON_LOOKUP!$A:$E,4,0),"")</f>
      </c>
      <c r="I1337" s="28">
        <f>IFERROR(VLOOKUP(F1337,CARTON_LOOKUP!$A:$E,5,0),"")</f>
      </c>
      <c r="J1337" s="29">
        <f>IFERROR(VLOOKUP(F1337,CARTON_LOOKUP!$A:$E,2,0),"")</f>
      </c>
      <c r="K1337" s="29">
        <f>IFERROR(J1337*D1337,0)</f>
      </c>
      <c r="L1337" s="29">
        <f>IFERROR(E1337*C1337,0)</f>
      </c>
      <c r="M1337" s="29">
        <f>IFERROR((G1337*H1337*I1337/1000000)*D1337,0)</f>
      </c>
    </row>
    <row r="1338" spans="1:13" x14ac:dyDescent="0.25">
      <c r="A1338" s="16"/>
      <c r="E1338" s="27"/>
      <c r="F1338" t="s">
        <v>26</v>
      </c>
      <c r="G1338" s="28">
        <f>IFERROR(VLOOKUP(F1338,CARTON_LOOKUP!$A:$E,3,0),"")</f>
      </c>
      <c r="H1338" s="28">
        <f>IFERROR(VLOOKUP(F1338,CARTON_LOOKUP!$A:$E,4,0),"")</f>
      </c>
      <c r="I1338" s="28">
        <f>IFERROR(VLOOKUP(F1338,CARTON_LOOKUP!$A:$E,5,0),"")</f>
      </c>
      <c r="J1338" s="29">
        <f>IFERROR(VLOOKUP(F1338,CARTON_LOOKUP!$A:$E,2,0),"")</f>
      </c>
      <c r="K1338" s="29">
        <f>IFERROR(J1338*D1338,0)</f>
      </c>
      <c r="L1338" s="29">
        <f>IFERROR(E1338*C1338,0)</f>
      </c>
      <c r="M1338" s="29">
        <f>IFERROR((G1338*H1338*I1338/1000000)*D1338,0)</f>
      </c>
    </row>
    <row r="1339" spans="1:13" x14ac:dyDescent="0.25">
      <c r="A1339" s="16"/>
      <c r="E1339" s="27"/>
      <c r="F1339" t="s">
        <v>26</v>
      </c>
      <c r="G1339" s="28">
        <f>IFERROR(VLOOKUP(F1339,CARTON_LOOKUP!$A:$E,3,0),"")</f>
      </c>
      <c r="H1339" s="28">
        <f>IFERROR(VLOOKUP(F1339,CARTON_LOOKUP!$A:$E,4,0),"")</f>
      </c>
      <c r="I1339" s="28">
        <f>IFERROR(VLOOKUP(F1339,CARTON_LOOKUP!$A:$E,5,0),"")</f>
      </c>
      <c r="J1339" s="29">
        <f>IFERROR(VLOOKUP(F1339,CARTON_LOOKUP!$A:$E,2,0),"")</f>
      </c>
      <c r="K1339" s="29">
        <f>IFERROR(J1339*D1339,0)</f>
      </c>
      <c r="L1339" s="29">
        <f>IFERROR(E1339*C1339,0)</f>
      </c>
      <c r="M1339" s="29">
        <f>IFERROR((G1339*H1339*I1339/1000000)*D1339,0)</f>
      </c>
    </row>
    <row r="1340" spans="1:13" x14ac:dyDescent="0.25">
      <c r="A1340" s="16"/>
      <c r="E1340" s="27"/>
      <c r="F1340" t="s">
        <v>26</v>
      </c>
      <c r="G1340" s="28">
        <f>IFERROR(VLOOKUP(F1340,CARTON_LOOKUP!$A:$E,3,0),"")</f>
      </c>
      <c r="H1340" s="28">
        <f>IFERROR(VLOOKUP(F1340,CARTON_LOOKUP!$A:$E,4,0),"")</f>
      </c>
      <c r="I1340" s="28">
        <f>IFERROR(VLOOKUP(F1340,CARTON_LOOKUP!$A:$E,5,0),"")</f>
      </c>
      <c r="J1340" s="29">
        <f>IFERROR(VLOOKUP(F1340,CARTON_LOOKUP!$A:$E,2,0),"")</f>
      </c>
      <c r="K1340" s="29">
        <f>IFERROR(J1340*D1340,0)</f>
      </c>
      <c r="L1340" s="29">
        <f>IFERROR(E1340*C1340,0)</f>
      </c>
      <c r="M1340" s="29">
        <f>IFERROR((G1340*H1340*I1340/1000000)*D1340,0)</f>
      </c>
    </row>
    <row r="1341" spans="1:13" x14ac:dyDescent="0.25">
      <c r="A1341" s="16"/>
      <c r="E1341" s="27"/>
      <c r="F1341" t="s">
        <v>26</v>
      </c>
      <c r="G1341" s="28">
        <f>IFERROR(VLOOKUP(F1341,CARTON_LOOKUP!$A:$E,3,0),"")</f>
      </c>
      <c r="H1341" s="28">
        <f>IFERROR(VLOOKUP(F1341,CARTON_LOOKUP!$A:$E,4,0),"")</f>
      </c>
      <c r="I1341" s="28">
        <f>IFERROR(VLOOKUP(F1341,CARTON_LOOKUP!$A:$E,5,0),"")</f>
      </c>
      <c r="J1341" s="29">
        <f>IFERROR(VLOOKUP(F1341,CARTON_LOOKUP!$A:$E,2,0),"")</f>
      </c>
      <c r="K1341" s="29">
        <f>IFERROR(J1341*D1341,0)</f>
      </c>
      <c r="L1341" s="29">
        <f>IFERROR(E1341*C1341,0)</f>
      </c>
      <c r="M1341" s="29">
        <f>IFERROR((G1341*H1341*I1341/1000000)*D1341,0)</f>
      </c>
    </row>
    <row r="1342" spans="1:13" x14ac:dyDescent="0.25">
      <c r="A1342" s="16"/>
      <c r="E1342" s="27"/>
      <c r="F1342" t="s">
        <v>26</v>
      </c>
      <c r="G1342" s="28">
        <f>IFERROR(VLOOKUP(F1342,CARTON_LOOKUP!$A:$E,3,0),"")</f>
      </c>
      <c r="H1342" s="28">
        <f>IFERROR(VLOOKUP(F1342,CARTON_LOOKUP!$A:$E,4,0),"")</f>
      </c>
      <c r="I1342" s="28">
        <f>IFERROR(VLOOKUP(F1342,CARTON_LOOKUP!$A:$E,5,0),"")</f>
      </c>
      <c r="J1342" s="29">
        <f>IFERROR(VLOOKUP(F1342,CARTON_LOOKUP!$A:$E,2,0),"")</f>
      </c>
      <c r="K1342" s="29">
        <f>IFERROR(J1342*D1342,0)</f>
      </c>
      <c r="L1342" s="29">
        <f>IFERROR(E1342*C1342,0)</f>
      </c>
      <c r="M1342" s="29">
        <f>IFERROR((G1342*H1342*I1342/1000000)*D1342,0)</f>
      </c>
    </row>
    <row r="1343" spans="1:13" x14ac:dyDescent="0.25">
      <c r="A1343" s="16"/>
      <c r="E1343" s="27"/>
      <c r="F1343" t="s">
        <v>26</v>
      </c>
      <c r="G1343" s="28">
        <f>IFERROR(VLOOKUP(F1343,CARTON_LOOKUP!$A:$E,3,0),"")</f>
      </c>
      <c r="H1343" s="28">
        <f>IFERROR(VLOOKUP(F1343,CARTON_LOOKUP!$A:$E,4,0),"")</f>
      </c>
      <c r="I1343" s="28">
        <f>IFERROR(VLOOKUP(F1343,CARTON_LOOKUP!$A:$E,5,0),"")</f>
      </c>
      <c r="J1343" s="29">
        <f>IFERROR(VLOOKUP(F1343,CARTON_LOOKUP!$A:$E,2,0),"")</f>
      </c>
      <c r="K1343" s="29">
        <f>IFERROR(J1343*D1343,0)</f>
      </c>
      <c r="L1343" s="29">
        <f>IFERROR(E1343*C1343,0)</f>
      </c>
      <c r="M1343" s="29">
        <f>IFERROR((G1343*H1343*I1343/1000000)*D1343,0)</f>
      </c>
    </row>
    <row r="1344" spans="1:13" x14ac:dyDescent="0.25">
      <c r="A1344" s="16"/>
      <c r="E1344" s="27"/>
      <c r="F1344" t="s">
        <v>26</v>
      </c>
      <c r="G1344" s="28">
        <f>IFERROR(VLOOKUP(F1344,CARTON_LOOKUP!$A:$E,3,0),"")</f>
      </c>
      <c r="H1344" s="28">
        <f>IFERROR(VLOOKUP(F1344,CARTON_LOOKUP!$A:$E,4,0),"")</f>
      </c>
      <c r="I1344" s="28">
        <f>IFERROR(VLOOKUP(F1344,CARTON_LOOKUP!$A:$E,5,0),"")</f>
      </c>
      <c r="J1344" s="29">
        <f>IFERROR(VLOOKUP(F1344,CARTON_LOOKUP!$A:$E,2,0),"")</f>
      </c>
      <c r="K1344" s="29">
        <f>IFERROR(J1344*D1344,0)</f>
      </c>
      <c r="L1344" s="29">
        <f>IFERROR(E1344*C1344,0)</f>
      </c>
      <c r="M1344" s="29">
        <f>IFERROR((G1344*H1344*I1344/1000000)*D1344,0)</f>
      </c>
    </row>
    <row r="1345" spans="1:13" x14ac:dyDescent="0.25">
      <c r="A1345" s="16"/>
      <c r="E1345" s="27"/>
      <c r="F1345" t="s">
        <v>26</v>
      </c>
      <c r="G1345" s="28">
        <f>IFERROR(VLOOKUP(F1345,CARTON_LOOKUP!$A:$E,3,0),"")</f>
      </c>
      <c r="H1345" s="28">
        <f>IFERROR(VLOOKUP(F1345,CARTON_LOOKUP!$A:$E,4,0),"")</f>
      </c>
      <c r="I1345" s="28">
        <f>IFERROR(VLOOKUP(F1345,CARTON_LOOKUP!$A:$E,5,0),"")</f>
      </c>
      <c r="J1345" s="29">
        <f>IFERROR(VLOOKUP(F1345,CARTON_LOOKUP!$A:$E,2,0),"")</f>
      </c>
      <c r="K1345" s="29">
        <f>IFERROR(J1345*D1345,0)</f>
      </c>
      <c r="L1345" s="29">
        <f>IFERROR(E1345*C1345,0)</f>
      </c>
      <c r="M1345" s="29">
        <f>IFERROR((G1345*H1345*I1345/1000000)*D1345,0)</f>
      </c>
    </row>
    <row r="1346" spans="1:13" x14ac:dyDescent="0.25">
      <c r="A1346" s="16"/>
      <c r="E1346" s="27"/>
      <c r="F1346" t="s">
        <v>26</v>
      </c>
      <c r="G1346" s="28">
        <f>IFERROR(VLOOKUP(F1346,CARTON_LOOKUP!$A:$E,3,0),"")</f>
      </c>
      <c r="H1346" s="28">
        <f>IFERROR(VLOOKUP(F1346,CARTON_LOOKUP!$A:$E,4,0),"")</f>
      </c>
      <c r="I1346" s="28">
        <f>IFERROR(VLOOKUP(F1346,CARTON_LOOKUP!$A:$E,5,0),"")</f>
      </c>
      <c r="J1346" s="29">
        <f>IFERROR(VLOOKUP(F1346,CARTON_LOOKUP!$A:$E,2,0),"")</f>
      </c>
      <c r="K1346" s="29">
        <f>IFERROR(J1346*D1346,0)</f>
      </c>
      <c r="L1346" s="29">
        <f>IFERROR(E1346*C1346,0)</f>
      </c>
      <c r="M1346" s="29">
        <f>IFERROR((G1346*H1346*I1346/1000000)*D1346,0)</f>
      </c>
    </row>
    <row r="1347" spans="1:13" x14ac:dyDescent="0.25">
      <c r="A1347" s="16"/>
      <c r="E1347" s="27"/>
      <c r="F1347" t="s">
        <v>26</v>
      </c>
      <c r="G1347" s="28">
        <f>IFERROR(VLOOKUP(F1347,CARTON_LOOKUP!$A:$E,3,0),"")</f>
      </c>
      <c r="H1347" s="28">
        <f>IFERROR(VLOOKUP(F1347,CARTON_LOOKUP!$A:$E,4,0),"")</f>
      </c>
      <c r="I1347" s="28">
        <f>IFERROR(VLOOKUP(F1347,CARTON_LOOKUP!$A:$E,5,0),"")</f>
      </c>
      <c r="J1347" s="29">
        <f>IFERROR(VLOOKUP(F1347,CARTON_LOOKUP!$A:$E,2,0),"")</f>
      </c>
      <c r="K1347" s="29">
        <f>IFERROR(J1347*D1347,0)</f>
      </c>
      <c r="L1347" s="29">
        <f>IFERROR(E1347*C1347,0)</f>
      </c>
      <c r="M1347" s="29">
        <f>IFERROR((G1347*H1347*I1347/1000000)*D1347,0)</f>
      </c>
    </row>
    <row r="1348" spans="1:13" x14ac:dyDescent="0.25">
      <c r="A1348" s="16"/>
      <c r="E1348" s="27"/>
      <c r="F1348" t="s">
        <v>26</v>
      </c>
      <c r="G1348" s="28">
        <f>IFERROR(VLOOKUP(F1348,CARTON_LOOKUP!$A:$E,3,0),"")</f>
      </c>
      <c r="H1348" s="28">
        <f>IFERROR(VLOOKUP(F1348,CARTON_LOOKUP!$A:$E,4,0),"")</f>
      </c>
      <c r="I1348" s="28">
        <f>IFERROR(VLOOKUP(F1348,CARTON_LOOKUP!$A:$E,5,0),"")</f>
      </c>
      <c r="J1348" s="29">
        <f>IFERROR(VLOOKUP(F1348,CARTON_LOOKUP!$A:$E,2,0),"")</f>
      </c>
      <c r="K1348" s="29">
        <f>IFERROR(J1348*D1348,0)</f>
      </c>
      <c r="L1348" s="29">
        <f>IFERROR(E1348*C1348,0)</f>
      </c>
      <c r="M1348" s="29">
        <f>IFERROR((G1348*H1348*I1348/1000000)*D1348,0)</f>
      </c>
    </row>
    <row r="1349" spans="1:13" x14ac:dyDescent="0.25">
      <c r="A1349" s="16"/>
      <c r="E1349" s="27"/>
      <c r="F1349" t="s">
        <v>26</v>
      </c>
      <c r="G1349" s="28">
        <f>IFERROR(VLOOKUP(F1349,CARTON_LOOKUP!$A:$E,3,0),"")</f>
      </c>
      <c r="H1349" s="28">
        <f>IFERROR(VLOOKUP(F1349,CARTON_LOOKUP!$A:$E,4,0),"")</f>
      </c>
      <c r="I1349" s="28">
        <f>IFERROR(VLOOKUP(F1349,CARTON_LOOKUP!$A:$E,5,0),"")</f>
      </c>
      <c r="J1349" s="29">
        <f>IFERROR(VLOOKUP(F1349,CARTON_LOOKUP!$A:$E,2,0),"")</f>
      </c>
      <c r="K1349" s="29">
        <f>IFERROR(J1349*D1349,0)</f>
      </c>
      <c r="L1349" s="29">
        <f>IFERROR(E1349*C1349,0)</f>
      </c>
      <c r="M1349" s="29">
        <f>IFERROR((G1349*H1349*I1349/1000000)*D1349,0)</f>
      </c>
    </row>
    <row r="1350" spans="1:13" x14ac:dyDescent="0.25">
      <c r="A1350" s="16"/>
      <c r="E1350" s="27"/>
      <c r="F1350" t="s">
        <v>26</v>
      </c>
      <c r="G1350" s="28">
        <f>IFERROR(VLOOKUP(F1350,CARTON_LOOKUP!$A:$E,3,0),"")</f>
      </c>
      <c r="H1350" s="28">
        <f>IFERROR(VLOOKUP(F1350,CARTON_LOOKUP!$A:$E,4,0),"")</f>
      </c>
      <c r="I1350" s="28">
        <f>IFERROR(VLOOKUP(F1350,CARTON_LOOKUP!$A:$E,5,0),"")</f>
      </c>
      <c r="J1350" s="29">
        <f>IFERROR(VLOOKUP(F1350,CARTON_LOOKUP!$A:$E,2,0),"")</f>
      </c>
      <c r="K1350" s="29">
        <f>IFERROR(J1350*D1350,0)</f>
      </c>
      <c r="L1350" s="29">
        <f>IFERROR(E1350*C1350,0)</f>
      </c>
      <c r="M1350" s="29">
        <f>IFERROR((G1350*H1350*I1350/1000000)*D1350,0)</f>
      </c>
    </row>
    <row r="1351" spans="1:13" x14ac:dyDescent="0.25">
      <c r="A1351" s="16"/>
      <c r="E1351" s="27"/>
      <c r="F1351" t="s">
        <v>26</v>
      </c>
      <c r="G1351" s="28">
        <f>IFERROR(VLOOKUP(F1351,CARTON_LOOKUP!$A:$E,3,0),"")</f>
      </c>
      <c r="H1351" s="28">
        <f>IFERROR(VLOOKUP(F1351,CARTON_LOOKUP!$A:$E,4,0),"")</f>
      </c>
      <c r="I1351" s="28">
        <f>IFERROR(VLOOKUP(F1351,CARTON_LOOKUP!$A:$E,5,0),"")</f>
      </c>
      <c r="J1351" s="29">
        <f>IFERROR(VLOOKUP(F1351,CARTON_LOOKUP!$A:$E,2,0),"")</f>
      </c>
      <c r="K1351" s="29">
        <f>IFERROR(J1351*D1351,0)</f>
      </c>
      <c r="L1351" s="29">
        <f>IFERROR(E1351*C1351,0)</f>
      </c>
      <c r="M1351" s="29">
        <f>IFERROR((G1351*H1351*I1351/1000000)*D1351,0)</f>
      </c>
    </row>
    <row r="1352" spans="1:13" x14ac:dyDescent="0.25">
      <c r="A1352" s="16"/>
      <c r="E1352" s="27"/>
      <c r="F1352" t="s">
        <v>26</v>
      </c>
      <c r="G1352" s="28">
        <f>IFERROR(VLOOKUP(F1352,CARTON_LOOKUP!$A:$E,3,0),"")</f>
      </c>
      <c r="H1352" s="28">
        <f>IFERROR(VLOOKUP(F1352,CARTON_LOOKUP!$A:$E,4,0),"")</f>
      </c>
      <c r="I1352" s="28">
        <f>IFERROR(VLOOKUP(F1352,CARTON_LOOKUP!$A:$E,5,0),"")</f>
      </c>
      <c r="J1352" s="29">
        <f>IFERROR(VLOOKUP(F1352,CARTON_LOOKUP!$A:$E,2,0),"")</f>
      </c>
      <c r="K1352" s="29">
        <f>IFERROR(J1352*D1352,0)</f>
      </c>
      <c r="L1352" s="29">
        <f>IFERROR(E1352*C1352,0)</f>
      </c>
      <c r="M1352" s="29">
        <f>IFERROR((G1352*H1352*I1352/1000000)*D1352,0)</f>
      </c>
    </row>
    <row r="1353" spans="1:13" x14ac:dyDescent="0.25">
      <c r="A1353" s="16"/>
      <c r="E1353" s="27"/>
      <c r="F1353" t="s">
        <v>26</v>
      </c>
      <c r="G1353" s="28">
        <f>IFERROR(VLOOKUP(F1353,CARTON_LOOKUP!$A:$E,3,0),"")</f>
      </c>
      <c r="H1353" s="28">
        <f>IFERROR(VLOOKUP(F1353,CARTON_LOOKUP!$A:$E,4,0),"")</f>
      </c>
      <c r="I1353" s="28">
        <f>IFERROR(VLOOKUP(F1353,CARTON_LOOKUP!$A:$E,5,0),"")</f>
      </c>
      <c r="J1353" s="29">
        <f>IFERROR(VLOOKUP(F1353,CARTON_LOOKUP!$A:$E,2,0),"")</f>
      </c>
      <c r="K1353" s="29">
        <f>IFERROR(J1353*D1353,0)</f>
      </c>
      <c r="L1353" s="29">
        <f>IFERROR(E1353*C1353,0)</f>
      </c>
      <c r="M1353" s="29">
        <f>IFERROR((G1353*H1353*I1353/1000000)*D1353,0)</f>
      </c>
    </row>
    <row r="1354" spans="1:13" x14ac:dyDescent="0.25">
      <c r="A1354" s="16"/>
      <c r="E1354" s="27"/>
      <c r="F1354" t="s">
        <v>26</v>
      </c>
      <c r="G1354" s="28">
        <f>IFERROR(VLOOKUP(F1354,CARTON_LOOKUP!$A:$E,3,0),"")</f>
      </c>
      <c r="H1354" s="28">
        <f>IFERROR(VLOOKUP(F1354,CARTON_LOOKUP!$A:$E,4,0),"")</f>
      </c>
      <c r="I1354" s="28">
        <f>IFERROR(VLOOKUP(F1354,CARTON_LOOKUP!$A:$E,5,0),"")</f>
      </c>
      <c r="J1354" s="29">
        <f>IFERROR(VLOOKUP(F1354,CARTON_LOOKUP!$A:$E,2,0),"")</f>
      </c>
      <c r="K1354" s="29">
        <f>IFERROR(J1354*D1354,0)</f>
      </c>
      <c r="L1354" s="29">
        <f>IFERROR(E1354*C1354,0)</f>
      </c>
      <c r="M1354" s="29">
        <f>IFERROR((G1354*H1354*I1354/1000000)*D1354,0)</f>
      </c>
    </row>
    <row r="1355" spans="1:13" x14ac:dyDescent="0.25">
      <c r="A1355" s="16"/>
      <c r="E1355" s="27"/>
      <c r="F1355" t="s">
        <v>26</v>
      </c>
      <c r="G1355" s="28">
        <f>IFERROR(VLOOKUP(F1355,CARTON_LOOKUP!$A:$E,3,0),"")</f>
      </c>
      <c r="H1355" s="28">
        <f>IFERROR(VLOOKUP(F1355,CARTON_LOOKUP!$A:$E,4,0),"")</f>
      </c>
      <c r="I1355" s="28">
        <f>IFERROR(VLOOKUP(F1355,CARTON_LOOKUP!$A:$E,5,0),"")</f>
      </c>
      <c r="J1355" s="29">
        <f>IFERROR(VLOOKUP(F1355,CARTON_LOOKUP!$A:$E,2,0),"")</f>
      </c>
      <c r="K1355" s="29">
        <f>IFERROR(J1355*D1355,0)</f>
      </c>
      <c r="L1355" s="29">
        <f>IFERROR(E1355*C1355,0)</f>
      </c>
      <c r="M1355" s="29">
        <f>IFERROR((G1355*H1355*I1355/1000000)*D1355,0)</f>
      </c>
    </row>
    <row r="1356" spans="1:13" x14ac:dyDescent="0.25">
      <c r="A1356" s="16"/>
      <c r="E1356" s="27"/>
      <c r="F1356" t="s">
        <v>26</v>
      </c>
      <c r="G1356" s="28">
        <f>IFERROR(VLOOKUP(F1356,CARTON_LOOKUP!$A:$E,3,0),"")</f>
      </c>
      <c r="H1356" s="28">
        <f>IFERROR(VLOOKUP(F1356,CARTON_LOOKUP!$A:$E,4,0),"")</f>
      </c>
      <c r="I1356" s="28">
        <f>IFERROR(VLOOKUP(F1356,CARTON_LOOKUP!$A:$E,5,0),"")</f>
      </c>
      <c r="J1356" s="29">
        <f>IFERROR(VLOOKUP(F1356,CARTON_LOOKUP!$A:$E,2,0),"")</f>
      </c>
      <c r="K1356" s="29">
        <f>IFERROR(J1356*D1356,0)</f>
      </c>
      <c r="L1356" s="29">
        <f>IFERROR(E1356*C1356,0)</f>
      </c>
      <c r="M1356" s="29">
        <f>IFERROR((G1356*H1356*I1356/1000000)*D1356,0)</f>
      </c>
    </row>
    <row r="1357" spans="1:13" x14ac:dyDescent="0.25">
      <c r="A1357" s="16"/>
      <c r="E1357" s="27"/>
      <c r="F1357" t="s">
        <v>26</v>
      </c>
      <c r="G1357" s="28">
        <f>IFERROR(VLOOKUP(F1357,CARTON_LOOKUP!$A:$E,3,0),"")</f>
      </c>
      <c r="H1357" s="28">
        <f>IFERROR(VLOOKUP(F1357,CARTON_LOOKUP!$A:$E,4,0),"")</f>
      </c>
      <c r="I1357" s="28">
        <f>IFERROR(VLOOKUP(F1357,CARTON_LOOKUP!$A:$E,5,0),"")</f>
      </c>
      <c r="J1357" s="29">
        <f>IFERROR(VLOOKUP(F1357,CARTON_LOOKUP!$A:$E,2,0),"")</f>
      </c>
      <c r="K1357" s="29">
        <f>IFERROR(J1357*D1357,0)</f>
      </c>
      <c r="L1357" s="29">
        <f>IFERROR(E1357*C1357,0)</f>
      </c>
      <c r="M1357" s="29">
        <f>IFERROR((G1357*H1357*I1357/1000000)*D1357,0)</f>
      </c>
    </row>
    <row r="1358" spans="1:13" x14ac:dyDescent="0.25">
      <c r="A1358" s="16"/>
      <c r="E1358" s="27"/>
      <c r="F1358" t="s">
        <v>26</v>
      </c>
      <c r="G1358" s="28">
        <f>IFERROR(VLOOKUP(F1358,CARTON_LOOKUP!$A:$E,3,0),"")</f>
      </c>
      <c r="H1358" s="28">
        <f>IFERROR(VLOOKUP(F1358,CARTON_LOOKUP!$A:$E,4,0),"")</f>
      </c>
      <c r="I1358" s="28">
        <f>IFERROR(VLOOKUP(F1358,CARTON_LOOKUP!$A:$E,5,0),"")</f>
      </c>
      <c r="J1358" s="29">
        <f>IFERROR(VLOOKUP(F1358,CARTON_LOOKUP!$A:$E,2,0),"")</f>
      </c>
      <c r="K1358" s="29">
        <f>IFERROR(J1358*D1358,0)</f>
      </c>
      <c r="L1358" s="29">
        <f>IFERROR(E1358*C1358,0)</f>
      </c>
      <c r="M1358" s="29">
        <f>IFERROR((G1358*H1358*I1358/1000000)*D1358,0)</f>
      </c>
    </row>
    <row r="1359" spans="1:13" x14ac:dyDescent="0.25">
      <c r="A1359" s="16"/>
      <c r="E1359" s="27"/>
      <c r="F1359" t="s">
        <v>26</v>
      </c>
      <c r="G1359" s="28">
        <f>IFERROR(VLOOKUP(F1359,CARTON_LOOKUP!$A:$E,3,0),"")</f>
      </c>
      <c r="H1359" s="28">
        <f>IFERROR(VLOOKUP(F1359,CARTON_LOOKUP!$A:$E,4,0),"")</f>
      </c>
      <c r="I1359" s="28">
        <f>IFERROR(VLOOKUP(F1359,CARTON_LOOKUP!$A:$E,5,0),"")</f>
      </c>
      <c r="J1359" s="29">
        <f>IFERROR(VLOOKUP(F1359,CARTON_LOOKUP!$A:$E,2,0),"")</f>
      </c>
      <c r="K1359" s="29">
        <f>IFERROR(J1359*D1359,0)</f>
      </c>
      <c r="L1359" s="29">
        <f>IFERROR(E1359*C1359,0)</f>
      </c>
      <c r="M1359" s="29">
        <f>IFERROR((G1359*H1359*I1359/1000000)*D1359,0)</f>
      </c>
    </row>
    <row r="1360" spans="1:13" x14ac:dyDescent="0.25">
      <c r="A1360" s="16"/>
      <c r="E1360" s="27"/>
      <c r="F1360" t="s">
        <v>26</v>
      </c>
      <c r="G1360" s="28">
        <f>IFERROR(VLOOKUP(F1360,CARTON_LOOKUP!$A:$E,3,0),"")</f>
      </c>
      <c r="H1360" s="28">
        <f>IFERROR(VLOOKUP(F1360,CARTON_LOOKUP!$A:$E,4,0),"")</f>
      </c>
      <c r="I1360" s="28">
        <f>IFERROR(VLOOKUP(F1360,CARTON_LOOKUP!$A:$E,5,0),"")</f>
      </c>
      <c r="J1360" s="29">
        <f>IFERROR(VLOOKUP(F1360,CARTON_LOOKUP!$A:$E,2,0),"")</f>
      </c>
      <c r="K1360" s="29">
        <f>IFERROR(J1360*D1360,0)</f>
      </c>
      <c r="L1360" s="29">
        <f>IFERROR(E1360*C1360,0)</f>
      </c>
      <c r="M1360" s="29">
        <f>IFERROR((G1360*H1360*I1360/1000000)*D1360,0)</f>
      </c>
    </row>
    <row r="1361" spans="1:13" x14ac:dyDescent="0.25">
      <c r="A1361" s="16"/>
      <c r="E1361" s="27"/>
      <c r="F1361" t="s">
        <v>26</v>
      </c>
      <c r="G1361" s="28">
        <f>IFERROR(VLOOKUP(F1361,CARTON_LOOKUP!$A:$E,3,0),"")</f>
      </c>
      <c r="H1361" s="28">
        <f>IFERROR(VLOOKUP(F1361,CARTON_LOOKUP!$A:$E,4,0),"")</f>
      </c>
      <c r="I1361" s="28">
        <f>IFERROR(VLOOKUP(F1361,CARTON_LOOKUP!$A:$E,5,0),"")</f>
      </c>
      <c r="J1361" s="29">
        <f>IFERROR(VLOOKUP(F1361,CARTON_LOOKUP!$A:$E,2,0),"")</f>
      </c>
      <c r="K1361" s="29">
        <f>IFERROR(J1361*D1361,0)</f>
      </c>
      <c r="L1361" s="29">
        <f>IFERROR(E1361*C1361,0)</f>
      </c>
      <c r="M1361" s="29">
        <f>IFERROR((G1361*H1361*I1361/1000000)*D1361,0)</f>
      </c>
    </row>
    <row r="1362" spans="1:13" x14ac:dyDescent="0.25">
      <c r="A1362" s="16"/>
      <c r="E1362" s="27"/>
      <c r="F1362" t="s">
        <v>26</v>
      </c>
      <c r="G1362" s="28">
        <f>IFERROR(VLOOKUP(F1362,CARTON_LOOKUP!$A:$E,3,0),"")</f>
      </c>
      <c r="H1362" s="28">
        <f>IFERROR(VLOOKUP(F1362,CARTON_LOOKUP!$A:$E,4,0),"")</f>
      </c>
      <c r="I1362" s="28">
        <f>IFERROR(VLOOKUP(F1362,CARTON_LOOKUP!$A:$E,5,0),"")</f>
      </c>
      <c r="J1362" s="29">
        <f>IFERROR(VLOOKUP(F1362,CARTON_LOOKUP!$A:$E,2,0),"")</f>
      </c>
      <c r="K1362" s="29">
        <f>IFERROR(J1362*D1362,0)</f>
      </c>
      <c r="L1362" s="29">
        <f>IFERROR(E1362*C1362,0)</f>
      </c>
      <c r="M1362" s="29">
        <f>IFERROR((G1362*H1362*I1362/1000000)*D1362,0)</f>
      </c>
    </row>
    <row r="1363" spans="1:13" x14ac:dyDescent="0.25">
      <c r="A1363" s="16"/>
      <c r="E1363" s="27"/>
      <c r="F1363" t="s">
        <v>26</v>
      </c>
      <c r="G1363" s="28">
        <f>IFERROR(VLOOKUP(F1363,CARTON_LOOKUP!$A:$E,3,0),"")</f>
      </c>
      <c r="H1363" s="28">
        <f>IFERROR(VLOOKUP(F1363,CARTON_LOOKUP!$A:$E,4,0),"")</f>
      </c>
      <c r="I1363" s="28">
        <f>IFERROR(VLOOKUP(F1363,CARTON_LOOKUP!$A:$E,5,0),"")</f>
      </c>
      <c r="J1363" s="29">
        <f>IFERROR(VLOOKUP(F1363,CARTON_LOOKUP!$A:$E,2,0),"")</f>
      </c>
      <c r="K1363" s="29">
        <f>IFERROR(J1363*D1363,0)</f>
      </c>
      <c r="L1363" s="29">
        <f>IFERROR(E1363*C1363,0)</f>
      </c>
      <c r="M1363" s="29">
        <f>IFERROR((G1363*H1363*I1363/1000000)*D1363,0)</f>
      </c>
    </row>
    <row r="1364" spans="1:13" x14ac:dyDescent="0.25">
      <c r="A1364" s="16"/>
      <c r="E1364" s="27"/>
      <c r="F1364" t="s">
        <v>26</v>
      </c>
      <c r="G1364" s="28">
        <f>IFERROR(VLOOKUP(F1364,CARTON_LOOKUP!$A:$E,3,0),"")</f>
      </c>
      <c r="H1364" s="28">
        <f>IFERROR(VLOOKUP(F1364,CARTON_LOOKUP!$A:$E,4,0),"")</f>
      </c>
      <c r="I1364" s="28">
        <f>IFERROR(VLOOKUP(F1364,CARTON_LOOKUP!$A:$E,5,0),"")</f>
      </c>
      <c r="J1364" s="29">
        <f>IFERROR(VLOOKUP(F1364,CARTON_LOOKUP!$A:$E,2,0),"")</f>
      </c>
      <c r="K1364" s="29">
        <f>IFERROR(J1364*D1364,0)</f>
      </c>
      <c r="L1364" s="29">
        <f>IFERROR(E1364*C1364,0)</f>
      </c>
      <c r="M1364" s="29">
        <f>IFERROR((G1364*H1364*I1364/1000000)*D1364,0)</f>
      </c>
    </row>
    <row r="1365" spans="1:13" x14ac:dyDescent="0.25">
      <c r="A1365" s="16"/>
      <c r="E1365" s="27"/>
      <c r="F1365" t="s">
        <v>26</v>
      </c>
      <c r="G1365" s="28">
        <f>IFERROR(VLOOKUP(F1365,CARTON_LOOKUP!$A:$E,3,0),"")</f>
      </c>
      <c r="H1365" s="28">
        <f>IFERROR(VLOOKUP(F1365,CARTON_LOOKUP!$A:$E,4,0),"")</f>
      </c>
      <c r="I1365" s="28">
        <f>IFERROR(VLOOKUP(F1365,CARTON_LOOKUP!$A:$E,5,0),"")</f>
      </c>
      <c r="J1365" s="29">
        <f>IFERROR(VLOOKUP(F1365,CARTON_LOOKUP!$A:$E,2,0),"")</f>
      </c>
      <c r="K1365" s="29">
        <f>IFERROR(J1365*D1365,0)</f>
      </c>
      <c r="L1365" s="29">
        <f>IFERROR(E1365*C1365,0)</f>
      </c>
      <c r="M1365" s="29">
        <f>IFERROR((G1365*H1365*I1365/1000000)*D1365,0)</f>
      </c>
    </row>
    <row r="1366" spans="1:13" x14ac:dyDescent="0.25">
      <c r="A1366" s="16"/>
      <c r="E1366" s="27"/>
      <c r="F1366" t="s">
        <v>26</v>
      </c>
      <c r="G1366" s="28">
        <f>IFERROR(VLOOKUP(F1366,CARTON_LOOKUP!$A:$E,3,0),"")</f>
      </c>
      <c r="H1366" s="28">
        <f>IFERROR(VLOOKUP(F1366,CARTON_LOOKUP!$A:$E,4,0),"")</f>
      </c>
      <c r="I1366" s="28">
        <f>IFERROR(VLOOKUP(F1366,CARTON_LOOKUP!$A:$E,5,0),"")</f>
      </c>
      <c r="J1366" s="29">
        <f>IFERROR(VLOOKUP(F1366,CARTON_LOOKUP!$A:$E,2,0),"")</f>
      </c>
      <c r="K1366" s="29">
        <f>IFERROR(J1366*D1366,0)</f>
      </c>
      <c r="L1366" s="29">
        <f>IFERROR(E1366*C1366,0)</f>
      </c>
      <c r="M1366" s="29">
        <f>IFERROR((G1366*H1366*I1366/1000000)*D1366,0)</f>
      </c>
    </row>
    <row r="1367" spans="1:13" x14ac:dyDescent="0.25">
      <c r="A1367" s="16"/>
      <c r="E1367" s="27"/>
      <c r="F1367" t="s">
        <v>26</v>
      </c>
      <c r="G1367" s="28">
        <f>IFERROR(VLOOKUP(F1367,CARTON_LOOKUP!$A:$E,3,0),"")</f>
      </c>
      <c r="H1367" s="28">
        <f>IFERROR(VLOOKUP(F1367,CARTON_LOOKUP!$A:$E,4,0),"")</f>
      </c>
      <c r="I1367" s="28">
        <f>IFERROR(VLOOKUP(F1367,CARTON_LOOKUP!$A:$E,5,0),"")</f>
      </c>
      <c r="J1367" s="29">
        <f>IFERROR(VLOOKUP(F1367,CARTON_LOOKUP!$A:$E,2,0),"")</f>
      </c>
      <c r="K1367" s="29">
        <f>IFERROR(J1367*D1367,0)</f>
      </c>
      <c r="L1367" s="29">
        <f>IFERROR(E1367*C1367,0)</f>
      </c>
      <c r="M1367" s="29">
        <f>IFERROR((G1367*H1367*I1367/1000000)*D1367,0)</f>
      </c>
    </row>
    <row r="1368" spans="1:13" x14ac:dyDescent="0.25">
      <c r="A1368" s="16"/>
      <c r="E1368" s="27"/>
      <c r="F1368" t="s">
        <v>26</v>
      </c>
      <c r="G1368" s="28">
        <f>IFERROR(VLOOKUP(F1368,CARTON_LOOKUP!$A:$E,3,0),"")</f>
      </c>
      <c r="H1368" s="28">
        <f>IFERROR(VLOOKUP(F1368,CARTON_LOOKUP!$A:$E,4,0),"")</f>
      </c>
      <c r="I1368" s="28">
        <f>IFERROR(VLOOKUP(F1368,CARTON_LOOKUP!$A:$E,5,0),"")</f>
      </c>
      <c r="J1368" s="29">
        <f>IFERROR(VLOOKUP(F1368,CARTON_LOOKUP!$A:$E,2,0),"")</f>
      </c>
      <c r="K1368" s="29">
        <f>IFERROR(J1368*D1368,0)</f>
      </c>
      <c r="L1368" s="29">
        <f>IFERROR(E1368*C1368,0)</f>
      </c>
      <c r="M1368" s="29">
        <f>IFERROR((G1368*H1368*I1368/1000000)*D1368,0)</f>
      </c>
    </row>
    <row r="1369" spans="1:13" x14ac:dyDescent="0.25">
      <c r="A1369" s="16"/>
      <c r="E1369" s="27"/>
      <c r="F1369" t="s">
        <v>26</v>
      </c>
      <c r="G1369" s="28">
        <f>IFERROR(VLOOKUP(F1369,CARTON_LOOKUP!$A:$E,3,0),"")</f>
      </c>
      <c r="H1369" s="28">
        <f>IFERROR(VLOOKUP(F1369,CARTON_LOOKUP!$A:$E,4,0),"")</f>
      </c>
      <c r="I1369" s="28">
        <f>IFERROR(VLOOKUP(F1369,CARTON_LOOKUP!$A:$E,5,0),"")</f>
      </c>
      <c r="J1369" s="29">
        <f>IFERROR(VLOOKUP(F1369,CARTON_LOOKUP!$A:$E,2,0),"")</f>
      </c>
      <c r="K1369" s="29">
        <f>IFERROR(J1369*D1369,0)</f>
      </c>
      <c r="L1369" s="29">
        <f>IFERROR(E1369*C1369,0)</f>
      </c>
      <c r="M1369" s="29">
        <f>IFERROR((G1369*H1369*I1369/1000000)*D1369,0)</f>
      </c>
    </row>
    <row r="1370" spans="1:13" x14ac:dyDescent="0.25">
      <c r="A1370" s="16"/>
      <c r="E1370" s="27"/>
      <c r="F1370" t="s">
        <v>26</v>
      </c>
      <c r="G1370" s="28">
        <f>IFERROR(VLOOKUP(F1370,CARTON_LOOKUP!$A:$E,3,0),"")</f>
      </c>
      <c r="H1370" s="28">
        <f>IFERROR(VLOOKUP(F1370,CARTON_LOOKUP!$A:$E,4,0),"")</f>
      </c>
      <c r="I1370" s="28">
        <f>IFERROR(VLOOKUP(F1370,CARTON_LOOKUP!$A:$E,5,0),"")</f>
      </c>
      <c r="J1370" s="29">
        <f>IFERROR(VLOOKUP(F1370,CARTON_LOOKUP!$A:$E,2,0),"")</f>
      </c>
      <c r="K1370" s="29">
        <f>IFERROR(J1370*D1370,0)</f>
      </c>
      <c r="L1370" s="29">
        <f>IFERROR(E1370*C1370,0)</f>
      </c>
      <c r="M1370" s="29">
        <f>IFERROR((G1370*H1370*I1370/1000000)*D1370,0)</f>
      </c>
    </row>
    <row r="1371" spans="1:13" x14ac:dyDescent="0.25">
      <c r="A1371" s="16"/>
      <c r="E1371" s="27"/>
      <c r="F1371" t="s">
        <v>26</v>
      </c>
      <c r="G1371" s="28">
        <f>IFERROR(VLOOKUP(F1371,CARTON_LOOKUP!$A:$E,3,0),"")</f>
      </c>
      <c r="H1371" s="28">
        <f>IFERROR(VLOOKUP(F1371,CARTON_LOOKUP!$A:$E,4,0),"")</f>
      </c>
      <c r="I1371" s="28">
        <f>IFERROR(VLOOKUP(F1371,CARTON_LOOKUP!$A:$E,5,0),"")</f>
      </c>
      <c r="J1371" s="29">
        <f>IFERROR(VLOOKUP(F1371,CARTON_LOOKUP!$A:$E,2,0),"")</f>
      </c>
      <c r="K1371" s="29">
        <f>IFERROR(J1371*D1371,0)</f>
      </c>
      <c r="L1371" s="29">
        <f>IFERROR(E1371*C1371,0)</f>
      </c>
      <c r="M1371" s="29">
        <f>IFERROR((G1371*H1371*I1371/1000000)*D1371,0)</f>
      </c>
    </row>
    <row r="1372" spans="1:13" x14ac:dyDescent="0.25">
      <c r="A1372" s="16"/>
      <c r="E1372" s="27"/>
      <c r="F1372" t="s">
        <v>26</v>
      </c>
      <c r="G1372" s="28">
        <f>IFERROR(VLOOKUP(F1372,CARTON_LOOKUP!$A:$E,3,0),"")</f>
      </c>
      <c r="H1372" s="28">
        <f>IFERROR(VLOOKUP(F1372,CARTON_LOOKUP!$A:$E,4,0),"")</f>
      </c>
      <c r="I1372" s="28">
        <f>IFERROR(VLOOKUP(F1372,CARTON_LOOKUP!$A:$E,5,0),"")</f>
      </c>
      <c r="J1372" s="29">
        <f>IFERROR(VLOOKUP(F1372,CARTON_LOOKUP!$A:$E,2,0),"")</f>
      </c>
      <c r="K1372" s="29">
        <f>IFERROR(J1372*D1372,0)</f>
      </c>
      <c r="L1372" s="29">
        <f>IFERROR(E1372*C1372,0)</f>
      </c>
      <c r="M1372" s="29">
        <f>IFERROR((G1372*H1372*I1372/1000000)*D1372,0)</f>
      </c>
    </row>
    <row r="1373" spans="1:13" x14ac:dyDescent="0.25">
      <c r="A1373" s="16"/>
      <c r="E1373" s="27"/>
      <c r="F1373" t="s">
        <v>26</v>
      </c>
      <c r="G1373" s="28">
        <f>IFERROR(VLOOKUP(F1373,CARTON_LOOKUP!$A:$E,3,0),"")</f>
      </c>
      <c r="H1373" s="28">
        <f>IFERROR(VLOOKUP(F1373,CARTON_LOOKUP!$A:$E,4,0),"")</f>
      </c>
      <c r="I1373" s="28">
        <f>IFERROR(VLOOKUP(F1373,CARTON_LOOKUP!$A:$E,5,0),"")</f>
      </c>
      <c r="J1373" s="29">
        <f>IFERROR(VLOOKUP(F1373,CARTON_LOOKUP!$A:$E,2,0),"")</f>
      </c>
      <c r="K1373" s="29">
        <f>IFERROR(J1373*D1373,0)</f>
      </c>
      <c r="L1373" s="29">
        <f>IFERROR(E1373*C1373,0)</f>
      </c>
      <c r="M1373" s="29">
        <f>IFERROR((G1373*H1373*I1373/1000000)*D1373,0)</f>
      </c>
    </row>
    <row r="1374" spans="1:13" x14ac:dyDescent="0.25">
      <c r="A1374" s="16"/>
      <c r="E1374" s="27"/>
      <c r="F1374" t="s">
        <v>26</v>
      </c>
      <c r="G1374" s="28">
        <f>IFERROR(VLOOKUP(F1374,CARTON_LOOKUP!$A:$E,3,0),"")</f>
      </c>
      <c r="H1374" s="28">
        <f>IFERROR(VLOOKUP(F1374,CARTON_LOOKUP!$A:$E,4,0),"")</f>
      </c>
      <c r="I1374" s="28">
        <f>IFERROR(VLOOKUP(F1374,CARTON_LOOKUP!$A:$E,5,0),"")</f>
      </c>
      <c r="J1374" s="29">
        <f>IFERROR(VLOOKUP(F1374,CARTON_LOOKUP!$A:$E,2,0),"")</f>
      </c>
      <c r="K1374" s="29">
        <f>IFERROR(J1374*D1374,0)</f>
      </c>
      <c r="L1374" s="29">
        <f>IFERROR(E1374*C1374,0)</f>
      </c>
      <c r="M1374" s="29">
        <f>IFERROR((G1374*H1374*I1374/1000000)*D1374,0)</f>
      </c>
    </row>
    <row r="1375" spans="1:13" x14ac:dyDescent="0.25">
      <c r="A1375" s="16"/>
      <c r="E1375" s="27"/>
      <c r="F1375" t="s">
        <v>26</v>
      </c>
      <c r="G1375" s="28">
        <f>IFERROR(VLOOKUP(F1375,CARTON_LOOKUP!$A:$E,3,0),"")</f>
      </c>
      <c r="H1375" s="28">
        <f>IFERROR(VLOOKUP(F1375,CARTON_LOOKUP!$A:$E,4,0),"")</f>
      </c>
      <c r="I1375" s="28">
        <f>IFERROR(VLOOKUP(F1375,CARTON_LOOKUP!$A:$E,5,0),"")</f>
      </c>
      <c r="J1375" s="29">
        <f>IFERROR(VLOOKUP(F1375,CARTON_LOOKUP!$A:$E,2,0),"")</f>
      </c>
      <c r="K1375" s="29">
        <f>IFERROR(J1375*D1375,0)</f>
      </c>
      <c r="L1375" s="29">
        <f>IFERROR(E1375*C1375,0)</f>
      </c>
      <c r="M1375" s="29">
        <f>IFERROR((G1375*H1375*I1375/1000000)*D1375,0)</f>
      </c>
    </row>
    <row r="1376" spans="1:13" x14ac:dyDescent="0.25">
      <c r="A1376" s="16"/>
      <c r="E1376" s="27"/>
      <c r="F1376" t="s">
        <v>26</v>
      </c>
      <c r="G1376" s="28">
        <f>IFERROR(VLOOKUP(F1376,CARTON_LOOKUP!$A:$E,3,0),"")</f>
      </c>
      <c r="H1376" s="28">
        <f>IFERROR(VLOOKUP(F1376,CARTON_LOOKUP!$A:$E,4,0),"")</f>
      </c>
      <c r="I1376" s="28">
        <f>IFERROR(VLOOKUP(F1376,CARTON_LOOKUP!$A:$E,5,0),"")</f>
      </c>
      <c r="J1376" s="29">
        <f>IFERROR(VLOOKUP(F1376,CARTON_LOOKUP!$A:$E,2,0),"")</f>
      </c>
      <c r="K1376" s="29">
        <f>IFERROR(J1376*D1376,0)</f>
      </c>
      <c r="L1376" s="29">
        <f>IFERROR(E1376*C1376,0)</f>
      </c>
      <c r="M1376" s="29">
        <f>IFERROR((G1376*H1376*I1376/1000000)*D1376,0)</f>
      </c>
    </row>
    <row r="1377" spans="1:13" x14ac:dyDescent="0.25">
      <c r="A1377" s="16"/>
      <c r="E1377" s="27"/>
      <c r="F1377" t="s">
        <v>26</v>
      </c>
      <c r="G1377" s="28">
        <f>IFERROR(VLOOKUP(F1377,CARTON_LOOKUP!$A:$E,3,0),"")</f>
      </c>
      <c r="H1377" s="28">
        <f>IFERROR(VLOOKUP(F1377,CARTON_LOOKUP!$A:$E,4,0),"")</f>
      </c>
      <c r="I1377" s="28">
        <f>IFERROR(VLOOKUP(F1377,CARTON_LOOKUP!$A:$E,5,0),"")</f>
      </c>
      <c r="J1377" s="29">
        <f>IFERROR(VLOOKUP(F1377,CARTON_LOOKUP!$A:$E,2,0),"")</f>
      </c>
      <c r="K1377" s="29">
        <f>IFERROR(J1377*D1377,0)</f>
      </c>
      <c r="L1377" s="29">
        <f>IFERROR(E1377*C1377,0)</f>
      </c>
      <c r="M1377" s="29">
        <f>IFERROR((G1377*H1377*I1377/1000000)*D1377,0)</f>
      </c>
    </row>
    <row r="1378" spans="1:13" x14ac:dyDescent="0.25">
      <c r="A1378" s="16"/>
      <c r="E1378" s="27"/>
      <c r="F1378" t="s">
        <v>26</v>
      </c>
      <c r="G1378" s="28">
        <f>IFERROR(VLOOKUP(F1378,CARTON_LOOKUP!$A:$E,3,0),"")</f>
      </c>
      <c r="H1378" s="28">
        <f>IFERROR(VLOOKUP(F1378,CARTON_LOOKUP!$A:$E,4,0),"")</f>
      </c>
      <c r="I1378" s="28">
        <f>IFERROR(VLOOKUP(F1378,CARTON_LOOKUP!$A:$E,5,0),"")</f>
      </c>
      <c r="J1378" s="29">
        <f>IFERROR(VLOOKUP(F1378,CARTON_LOOKUP!$A:$E,2,0),"")</f>
      </c>
      <c r="K1378" s="29">
        <f>IFERROR(J1378*D1378,0)</f>
      </c>
      <c r="L1378" s="29">
        <f>IFERROR(E1378*C1378,0)</f>
      </c>
      <c r="M1378" s="29">
        <f>IFERROR((G1378*H1378*I1378/1000000)*D1378,0)</f>
      </c>
    </row>
    <row r="1379" spans="1:13" x14ac:dyDescent="0.25">
      <c r="A1379" s="16"/>
      <c r="E1379" s="27"/>
      <c r="F1379" t="s">
        <v>26</v>
      </c>
      <c r="G1379" s="28">
        <f>IFERROR(VLOOKUP(F1379,CARTON_LOOKUP!$A:$E,3,0),"")</f>
      </c>
      <c r="H1379" s="28">
        <f>IFERROR(VLOOKUP(F1379,CARTON_LOOKUP!$A:$E,4,0),"")</f>
      </c>
      <c r="I1379" s="28">
        <f>IFERROR(VLOOKUP(F1379,CARTON_LOOKUP!$A:$E,5,0),"")</f>
      </c>
      <c r="J1379" s="29">
        <f>IFERROR(VLOOKUP(F1379,CARTON_LOOKUP!$A:$E,2,0),"")</f>
      </c>
      <c r="K1379" s="29">
        <f>IFERROR(J1379*D1379,0)</f>
      </c>
      <c r="L1379" s="29">
        <f>IFERROR(E1379*C1379,0)</f>
      </c>
      <c r="M1379" s="29">
        <f>IFERROR((G1379*H1379*I1379/1000000)*D1379,0)</f>
      </c>
    </row>
    <row r="1380" spans="1:13" x14ac:dyDescent="0.25">
      <c r="A1380" s="16"/>
      <c r="E1380" s="27"/>
      <c r="F1380" t="s">
        <v>26</v>
      </c>
      <c r="G1380" s="28">
        <f>IFERROR(VLOOKUP(F1380,CARTON_LOOKUP!$A:$E,3,0),"")</f>
      </c>
      <c r="H1380" s="28">
        <f>IFERROR(VLOOKUP(F1380,CARTON_LOOKUP!$A:$E,4,0),"")</f>
      </c>
      <c r="I1380" s="28">
        <f>IFERROR(VLOOKUP(F1380,CARTON_LOOKUP!$A:$E,5,0),"")</f>
      </c>
      <c r="J1380" s="29">
        <f>IFERROR(VLOOKUP(F1380,CARTON_LOOKUP!$A:$E,2,0),"")</f>
      </c>
      <c r="K1380" s="29">
        <f>IFERROR(J1380*D1380,0)</f>
      </c>
      <c r="L1380" s="29">
        <f>IFERROR(E1380*C1380,0)</f>
      </c>
      <c r="M1380" s="29">
        <f>IFERROR((G1380*H1380*I1380/1000000)*D1380,0)</f>
      </c>
    </row>
    <row r="1381" spans="1:13" x14ac:dyDescent="0.25">
      <c r="A1381" s="16"/>
      <c r="E1381" s="27"/>
      <c r="F1381" t="s">
        <v>26</v>
      </c>
      <c r="G1381" s="28">
        <f>IFERROR(VLOOKUP(F1381,CARTON_LOOKUP!$A:$E,3,0),"")</f>
      </c>
      <c r="H1381" s="28">
        <f>IFERROR(VLOOKUP(F1381,CARTON_LOOKUP!$A:$E,4,0),"")</f>
      </c>
      <c r="I1381" s="28">
        <f>IFERROR(VLOOKUP(F1381,CARTON_LOOKUP!$A:$E,5,0),"")</f>
      </c>
      <c r="J1381" s="29">
        <f>IFERROR(VLOOKUP(F1381,CARTON_LOOKUP!$A:$E,2,0),"")</f>
      </c>
      <c r="K1381" s="29">
        <f>IFERROR(J1381*D1381,0)</f>
      </c>
      <c r="L1381" s="29">
        <f>IFERROR(E1381*C1381,0)</f>
      </c>
      <c r="M1381" s="29">
        <f>IFERROR((G1381*H1381*I1381/1000000)*D1381,0)</f>
      </c>
    </row>
    <row r="1382" spans="1:13" x14ac:dyDescent="0.25">
      <c r="A1382" s="16"/>
      <c r="E1382" s="27"/>
      <c r="F1382" t="s">
        <v>26</v>
      </c>
      <c r="G1382" s="28">
        <f>IFERROR(VLOOKUP(F1382,CARTON_LOOKUP!$A:$E,3,0),"")</f>
      </c>
      <c r="H1382" s="28">
        <f>IFERROR(VLOOKUP(F1382,CARTON_LOOKUP!$A:$E,4,0),"")</f>
      </c>
      <c r="I1382" s="28">
        <f>IFERROR(VLOOKUP(F1382,CARTON_LOOKUP!$A:$E,5,0),"")</f>
      </c>
      <c r="J1382" s="29">
        <f>IFERROR(VLOOKUP(F1382,CARTON_LOOKUP!$A:$E,2,0),"")</f>
      </c>
      <c r="K1382" s="29">
        <f>IFERROR(J1382*D1382,0)</f>
      </c>
      <c r="L1382" s="29">
        <f>IFERROR(E1382*C1382,0)</f>
      </c>
      <c r="M1382" s="29">
        <f>IFERROR((G1382*H1382*I1382/1000000)*D1382,0)</f>
      </c>
    </row>
    <row r="1383" spans="1:13" x14ac:dyDescent="0.25">
      <c r="A1383" s="16"/>
      <c r="E1383" s="27"/>
      <c r="F1383" t="s">
        <v>26</v>
      </c>
      <c r="G1383" s="28">
        <f>IFERROR(VLOOKUP(F1383,CARTON_LOOKUP!$A:$E,3,0),"")</f>
      </c>
      <c r="H1383" s="28">
        <f>IFERROR(VLOOKUP(F1383,CARTON_LOOKUP!$A:$E,4,0),"")</f>
      </c>
      <c r="I1383" s="28">
        <f>IFERROR(VLOOKUP(F1383,CARTON_LOOKUP!$A:$E,5,0),"")</f>
      </c>
      <c r="J1383" s="29">
        <f>IFERROR(VLOOKUP(F1383,CARTON_LOOKUP!$A:$E,2,0),"")</f>
      </c>
      <c r="K1383" s="29">
        <f>IFERROR(J1383*D1383,0)</f>
      </c>
      <c r="L1383" s="29">
        <f>IFERROR(E1383*C1383,0)</f>
      </c>
      <c r="M1383" s="29">
        <f>IFERROR((G1383*H1383*I1383/1000000)*D1383,0)</f>
      </c>
    </row>
    <row r="1384" spans="1:13" x14ac:dyDescent="0.25">
      <c r="A1384" s="16"/>
      <c r="E1384" s="27"/>
      <c r="F1384" t="s">
        <v>26</v>
      </c>
      <c r="G1384" s="28">
        <f>IFERROR(VLOOKUP(F1384,CARTON_LOOKUP!$A:$E,3,0),"")</f>
      </c>
      <c r="H1384" s="28">
        <f>IFERROR(VLOOKUP(F1384,CARTON_LOOKUP!$A:$E,4,0),"")</f>
      </c>
      <c r="I1384" s="28">
        <f>IFERROR(VLOOKUP(F1384,CARTON_LOOKUP!$A:$E,5,0),"")</f>
      </c>
      <c r="J1384" s="29">
        <f>IFERROR(VLOOKUP(F1384,CARTON_LOOKUP!$A:$E,2,0),"")</f>
      </c>
      <c r="K1384" s="29">
        <f>IFERROR(J1384*D1384,0)</f>
      </c>
      <c r="L1384" s="29">
        <f>IFERROR(E1384*C1384,0)</f>
      </c>
      <c r="M1384" s="29">
        <f>IFERROR((G1384*H1384*I1384/1000000)*D1384,0)</f>
      </c>
    </row>
    <row r="1385" spans="1:13" x14ac:dyDescent="0.25">
      <c r="A1385" s="16"/>
      <c r="E1385" s="27"/>
      <c r="F1385" t="s">
        <v>26</v>
      </c>
      <c r="G1385" s="28">
        <f>IFERROR(VLOOKUP(F1385,CARTON_LOOKUP!$A:$E,3,0),"")</f>
      </c>
      <c r="H1385" s="28">
        <f>IFERROR(VLOOKUP(F1385,CARTON_LOOKUP!$A:$E,4,0),"")</f>
      </c>
      <c r="I1385" s="28">
        <f>IFERROR(VLOOKUP(F1385,CARTON_LOOKUP!$A:$E,5,0),"")</f>
      </c>
      <c r="J1385" s="29">
        <f>IFERROR(VLOOKUP(F1385,CARTON_LOOKUP!$A:$E,2,0),"")</f>
      </c>
      <c r="K1385" s="29">
        <f>IFERROR(J1385*D1385,0)</f>
      </c>
      <c r="L1385" s="29">
        <f>IFERROR(E1385*C1385,0)</f>
      </c>
      <c r="M1385" s="29">
        <f>IFERROR((G1385*H1385*I1385/1000000)*D1385,0)</f>
      </c>
    </row>
    <row r="1386" spans="1:13" x14ac:dyDescent="0.25">
      <c r="A1386" s="16"/>
      <c r="E1386" s="27"/>
      <c r="F1386" t="s">
        <v>26</v>
      </c>
      <c r="G1386" s="28">
        <f>IFERROR(VLOOKUP(F1386,CARTON_LOOKUP!$A:$E,3,0),"")</f>
      </c>
      <c r="H1386" s="28">
        <f>IFERROR(VLOOKUP(F1386,CARTON_LOOKUP!$A:$E,4,0),"")</f>
      </c>
      <c r="I1386" s="28">
        <f>IFERROR(VLOOKUP(F1386,CARTON_LOOKUP!$A:$E,5,0),"")</f>
      </c>
      <c r="J1386" s="29">
        <f>IFERROR(VLOOKUP(F1386,CARTON_LOOKUP!$A:$E,2,0),"")</f>
      </c>
      <c r="K1386" s="29">
        <f>IFERROR(J1386*D1386,0)</f>
      </c>
      <c r="L1386" s="29">
        <f>IFERROR(E1386*C1386,0)</f>
      </c>
      <c r="M1386" s="29">
        <f>IFERROR((G1386*H1386*I1386/1000000)*D1386,0)</f>
      </c>
    </row>
    <row r="1387" spans="1:13" x14ac:dyDescent="0.25">
      <c r="A1387" s="16"/>
      <c r="E1387" s="27"/>
      <c r="F1387" t="s">
        <v>26</v>
      </c>
      <c r="G1387" s="28">
        <f>IFERROR(VLOOKUP(F1387,CARTON_LOOKUP!$A:$E,3,0),"")</f>
      </c>
      <c r="H1387" s="28">
        <f>IFERROR(VLOOKUP(F1387,CARTON_LOOKUP!$A:$E,4,0),"")</f>
      </c>
      <c r="I1387" s="28">
        <f>IFERROR(VLOOKUP(F1387,CARTON_LOOKUP!$A:$E,5,0),"")</f>
      </c>
      <c r="J1387" s="29">
        <f>IFERROR(VLOOKUP(F1387,CARTON_LOOKUP!$A:$E,2,0),"")</f>
      </c>
      <c r="K1387" s="29">
        <f>IFERROR(J1387*D1387,0)</f>
      </c>
      <c r="L1387" s="29">
        <f>IFERROR(E1387*C1387,0)</f>
      </c>
      <c r="M1387" s="29">
        <f>IFERROR((G1387*H1387*I1387/1000000)*D1387,0)</f>
      </c>
    </row>
    <row r="1388" spans="1:13" x14ac:dyDescent="0.25">
      <c r="A1388" s="16"/>
      <c r="E1388" s="27"/>
      <c r="F1388" t="s">
        <v>26</v>
      </c>
      <c r="G1388" s="28">
        <f>IFERROR(VLOOKUP(F1388,CARTON_LOOKUP!$A:$E,3,0),"")</f>
      </c>
      <c r="H1388" s="28">
        <f>IFERROR(VLOOKUP(F1388,CARTON_LOOKUP!$A:$E,4,0),"")</f>
      </c>
      <c r="I1388" s="28">
        <f>IFERROR(VLOOKUP(F1388,CARTON_LOOKUP!$A:$E,5,0),"")</f>
      </c>
      <c r="J1388" s="29">
        <f>IFERROR(VLOOKUP(F1388,CARTON_LOOKUP!$A:$E,2,0),"")</f>
      </c>
      <c r="K1388" s="29">
        <f>IFERROR(J1388*D1388,0)</f>
      </c>
      <c r="L1388" s="29">
        <f>IFERROR(E1388*C1388,0)</f>
      </c>
      <c r="M1388" s="29">
        <f>IFERROR((G1388*H1388*I1388/1000000)*D1388,0)</f>
      </c>
    </row>
    <row r="1389" spans="1:13" x14ac:dyDescent="0.25">
      <c r="A1389" s="16"/>
      <c r="E1389" s="27"/>
      <c r="F1389" t="s">
        <v>26</v>
      </c>
      <c r="G1389" s="28">
        <f>IFERROR(VLOOKUP(F1389,CARTON_LOOKUP!$A:$E,3,0),"")</f>
      </c>
      <c r="H1389" s="28">
        <f>IFERROR(VLOOKUP(F1389,CARTON_LOOKUP!$A:$E,4,0),"")</f>
      </c>
      <c r="I1389" s="28">
        <f>IFERROR(VLOOKUP(F1389,CARTON_LOOKUP!$A:$E,5,0),"")</f>
      </c>
      <c r="J1389" s="29">
        <f>IFERROR(VLOOKUP(F1389,CARTON_LOOKUP!$A:$E,2,0),"")</f>
      </c>
      <c r="K1389" s="29">
        <f>IFERROR(J1389*D1389,0)</f>
      </c>
      <c r="L1389" s="29">
        <f>IFERROR(E1389*C1389,0)</f>
      </c>
      <c r="M1389" s="29">
        <f>IFERROR((G1389*H1389*I1389/1000000)*D1389,0)</f>
      </c>
    </row>
    <row r="1390" spans="1:13" x14ac:dyDescent="0.25">
      <c r="A1390" s="16"/>
      <c r="E1390" s="27"/>
      <c r="F1390" t="s">
        <v>26</v>
      </c>
      <c r="G1390" s="28">
        <f>IFERROR(VLOOKUP(F1390,CARTON_LOOKUP!$A:$E,3,0),"")</f>
      </c>
      <c r="H1390" s="28">
        <f>IFERROR(VLOOKUP(F1390,CARTON_LOOKUP!$A:$E,4,0),"")</f>
      </c>
      <c r="I1390" s="28">
        <f>IFERROR(VLOOKUP(F1390,CARTON_LOOKUP!$A:$E,5,0),"")</f>
      </c>
      <c r="J1390" s="29">
        <f>IFERROR(VLOOKUP(F1390,CARTON_LOOKUP!$A:$E,2,0),"")</f>
      </c>
      <c r="K1390" s="29">
        <f>IFERROR(J1390*D1390,0)</f>
      </c>
      <c r="L1390" s="29">
        <f>IFERROR(E1390*C1390,0)</f>
      </c>
      <c r="M1390" s="29">
        <f>IFERROR((G1390*H1390*I1390/1000000)*D1390,0)</f>
      </c>
    </row>
    <row r="1391" spans="1:13" x14ac:dyDescent="0.25">
      <c r="A1391" s="16"/>
      <c r="E1391" s="27"/>
      <c r="F1391" t="s">
        <v>26</v>
      </c>
      <c r="G1391" s="28">
        <f>IFERROR(VLOOKUP(F1391,CARTON_LOOKUP!$A:$E,3,0),"")</f>
      </c>
      <c r="H1391" s="28">
        <f>IFERROR(VLOOKUP(F1391,CARTON_LOOKUP!$A:$E,4,0),"")</f>
      </c>
      <c r="I1391" s="28">
        <f>IFERROR(VLOOKUP(F1391,CARTON_LOOKUP!$A:$E,5,0),"")</f>
      </c>
      <c r="J1391" s="29">
        <f>IFERROR(VLOOKUP(F1391,CARTON_LOOKUP!$A:$E,2,0),"")</f>
      </c>
      <c r="K1391" s="29">
        <f>IFERROR(J1391*D1391,0)</f>
      </c>
      <c r="L1391" s="29">
        <f>IFERROR(E1391*C1391,0)</f>
      </c>
      <c r="M1391" s="29">
        <f>IFERROR((G1391*H1391*I1391/1000000)*D1391,0)</f>
      </c>
    </row>
    <row r="1392" spans="1:13" x14ac:dyDescent="0.25">
      <c r="A1392" s="16"/>
      <c r="E1392" s="27"/>
      <c r="F1392" t="s">
        <v>26</v>
      </c>
      <c r="G1392" s="28">
        <f>IFERROR(VLOOKUP(F1392,CARTON_LOOKUP!$A:$E,3,0),"")</f>
      </c>
      <c r="H1392" s="28">
        <f>IFERROR(VLOOKUP(F1392,CARTON_LOOKUP!$A:$E,4,0),"")</f>
      </c>
      <c r="I1392" s="28">
        <f>IFERROR(VLOOKUP(F1392,CARTON_LOOKUP!$A:$E,5,0),"")</f>
      </c>
      <c r="J1392" s="29">
        <f>IFERROR(VLOOKUP(F1392,CARTON_LOOKUP!$A:$E,2,0),"")</f>
      </c>
      <c r="K1392" s="29">
        <f>IFERROR(J1392*D1392,0)</f>
      </c>
      <c r="L1392" s="29">
        <f>IFERROR(E1392*C1392,0)</f>
      </c>
      <c r="M1392" s="29">
        <f>IFERROR((G1392*H1392*I1392/1000000)*D1392,0)</f>
      </c>
    </row>
    <row r="1393" spans="1:13" x14ac:dyDescent="0.25">
      <c r="A1393" s="16"/>
      <c r="E1393" s="27"/>
      <c r="F1393" t="s">
        <v>26</v>
      </c>
      <c r="G1393" s="28">
        <f>IFERROR(VLOOKUP(F1393,CARTON_LOOKUP!$A:$E,3,0),"")</f>
      </c>
      <c r="H1393" s="28">
        <f>IFERROR(VLOOKUP(F1393,CARTON_LOOKUP!$A:$E,4,0),"")</f>
      </c>
      <c r="I1393" s="28">
        <f>IFERROR(VLOOKUP(F1393,CARTON_LOOKUP!$A:$E,5,0),"")</f>
      </c>
      <c r="J1393" s="29">
        <f>IFERROR(VLOOKUP(F1393,CARTON_LOOKUP!$A:$E,2,0),"")</f>
      </c>
      <c r="K1393" s="29">
        <f>IFERROR(J1393*D1393,0)</f>
      </c>
      <c r="L1393" s="29">
        <f>IFERROR(E1393*C1393,0)</f>
      </c>
      <c r="M1393" s="29">
        <f>IFERROR((G1393*H1393*I1393/1000000)*D1393,0)</f>
      </c>
    </row>
    <row r="1394" spans="1:13" x14ac:dyDescent="0.25">
      <c r="A1394" s="16"/>
      <c r="E1394" s="27"/>
      <c r="F1394" t="s">
        <v>26</v>
      </c>
      <c r="G1394" s="28">
        <f>IFERROR(VLOOKUP(F1394,CARTON_LOOKUP!$A:$E,3,0),"")</f>
      </c>
      <c r="H1394" s="28">
        <f>IFERROR(VLOOKUP(F1394,CARTON_LOOKUP!$A:$E,4,0),"")</f>
      </c>
      <c r="I1394" s="28">
        <f>IFERROR(VLOOKUP(F1394,CARTON_LOOKUP!$A:$E,5,0),"")</f>
      </c>
      <c r="J1394" s="29">
        <f>IFERROR(VLOOKUP(F1394,CARTON_LOOKUP!$A:$E,2,0),"")</f>
      </c>
      <c r="K1394" s="29">
        <f>IFERROR(J1394*D1394,0)</f>
      </c>
      <c r="L1394" s="29">
        <f>IFERROR(E1394*C1394,0)</f>
      </c>
      <c r="M1394" s="29">
        <f>IFERROR((G1394*H1394*I1394/1000000)*D1394,0)</f>
      </c>
    </row>
    <row r="1395" spans="1:13" x14ac:dyDescent="0.25">
      <c r="A1395" s="16"/>
      <c r="E1395" s="27"/>
      <c r="F1395" t="s">
        <v>26</v>
      </c>
      <c r="G1395" s="28">
        <f>IFERROR(VLOOKUP(F1395,CARTON_LOOKUP!$A:$E,3,0),"")</f>
      </c>
      <c r="H1395" s="28">
        <f>IFERROR(VLOOKUP(F1395,CARTON_LOOKUP!$A:$E,4,0),"")</f>
      </c>
      <c r="I1395" s="28">
        <f>IFERROR(VLOOKUP(F1395,CARTON_LOOKUP!$A:$E,5,0),"")</f>
      </c>
      <c r="J1395" s="29">
        <f>IFERROR(VLOOKUP(F1395,CARTON_LOOKUP!$A:$E,2,0),"")</f>
      </c>
      <c r="K1395" s="29">
        <f>IFERROR(J1395*D1395,0)</f>
      </c>
      <c r="L1395" s="29">
        <f>IFERROR(E1395*C1395,0)</f>
      </c>
      <c r="M1395" s="29">
        <f>IFERROR((G1395*H1395*I1395/1000000)*D1395,0)</f>
      </c>
    </row>
    <row r="1396" spans="1:13" x14ac:dyDescent="0.25">
      <c r="A1396" s="16"/>
      <c r="E1396" s="27"/>
      <c r="F1396" t="s">
        <v>26</v>
      </c>
      <c r="G1396" s="28">
        <f>IFERROR(VLOOKUP(F1396,CARTON_LOOKUP!$A:$E,3,0),"")</f>
      </c>
      <c r="H1396" s="28">
        <f>IFERROR(VLOOKUP(F1396,CARTON_LOOKUP!$A:$E,4,0),"")</f>
      </c>
      <c r="I1396" s="28">
        <f>IFERROR(VLOOKUP(F1396,CARTON_LOOKUP!$A:$E,5,0),"")</f>
      </c>
      <c r="J1396" s="29">
        <f>IFERROR(VLOOKUP(F1396,CARTON_LOOKUP!$A:$E,2,0),"")</f>
      </c>
      <c r="K1396" s="29">
        <f>IFERROR(J1396*D1396,0)</f>
      </c>
      <c r="L1396" s="29">
        <f>IFERROR(E1396*C1396,0)</f>
      </c>
      <c r="M1396" s="29">
        <f>IFERROR((G1396*H1396*I1396/1000000)*D1396,0)</f>
      </c>
    </row>
    <row r="1397" spans="1:13" x14ac:dyDescent="0.25">
      <c r="A1397" s="16"/>
      <c r="E1397" s="27"/>
      <c r="F1397" t="s">
        <v>26</v>
      </c>
      <c r="G1397" s="28">
        <f>IFERROR(VLOOKUP(F1397,CARTON_LOOKUP!$A:$E,3,0),"")</f>
      </c>
      <c r="H1397" s="28">
        <f>IFERROR(VLOOKUP(F1397,CARTON_LOOKUP!$A:$E,4,0),"")</f>
      </c>
      <c r="I1397" s="28">
        <f>IFERROR(VLOOKUP(F1397,CARTON_LOOKUP!$A:$E,5,0),"")</f>
      </c>
      <c r="J1397" s="29">
        <f>IFERROR(VLOOKUP(F1397,CARTON_LOOKUP!$A:$E,2,0),"")</f>
      </c>
      <c r="K1397" s="29">
        <f>IFERROR(J1397*D1397,0)</f>
      </c>
      <c r="L1397" s="29">
        <f>IFERROR(E1397*C1397,0)</f>
      </c>
      <c r="M1397" s="29">
        <f>IFERROR((G1397*H1397*I1397/1000000)*D1397,0)</f>
      </c>
    </row>
    <row r="1398" spans="1:13" x14ac:dyDescent="0.25">
      <c r="A1398" s="16"/>
      <c r="E1398" s="27"/>
      <c r="F1398" t="s">
        <v>26</v>
      </c>
      <c r="G1398" s="28">
        <f>IFERROR(VLOOKUP(F1398,CARTON_LOOKUP!$A:$E,3,0),"")</f>
      </c>
      <c r="H1398" s="28">
        <f>IFERROR(VLOOKUP(F1398,CARTON_LOOKUP!$A:$E,4,0),"")</f>
      </c>
      <c r="I1398" s="28">
        <f>IFERROR(VLOOKUP(F1398,CARTON_LOOKUP!$A:$E,5,0),"")</f>
      </c>
      <c r="J1398" s="29">
        <f>IFERROR(VLOOKUP(F1398,CARTON_LOOKUP!$A:$E,2,0),"")</f>
      </c>
      <c r="K1398" s="29">
        <f>IFERROR(J1398*D1398,0)</f>
      </c>
      <c r="L1398" s="29">
        <f>IFERROR(E1398*C1398,0)</f>
      </c>
      <c r="M1398" s="29">
        <f>IFERROR((G1398*H1398*I1398/1000000)*D1398,0)</f>
      </c>
    </row>
    <row r="1399" spans="1:13" x14ac:dyDescent="0.25">
      <c r="A1399" s="16"/>
      <c r="E1399" s="27"/>
      <c r="F1399" t="s">
        <v>26</v>
      </c>
      <c r="G1399" s="28">
        <f>IFERROR(VLOOKUP(F1399,CARTON_LOOKUP!$A:$E,3,0),"")</f>
      </c>
      <c r="H1399" s="28">
        <f>IFERROR(VLOOKUP(F1399,CARTON_LOOKUP!$A:$E,4,0),"")</f>
      </c>
      <c r="I1399" s="28">
        <f>IFERROR(VLOOKUP(F1399,CARTON_LOOKUP!$A:$E,5,0),"")</f>
      </c>
      <c r="J1399" s="29">
        <f>IFERROR(VLOOKUP(F1399,CARTON_LOOKUP!$A:$E,2,0),"")</f>
      </c>
      <c r="K1399" s="29">
        <f>IFERROR(J1399*D1399,0)</f>
      </c>
      <c r="L1399" s="29">
        <f>IFERROR(E1399*C1399,0)</f>
      </c>
      <c r="M1399" s="29">
        <f>IFERROR((G1399*H1399*I1399/1000000)*D1399,0)</f>
      </c>
    </row>
    <row r="1400" spans="1:13" x14ac:dyDescent="0.25">
      <c r="A1400" s="16"/>
      <c r="E1400" s="27"/>
      <c r="F1400" t="s">
        <v>26</v>
      </c>
      <c r="G1400" s="28">
        <f>IFERROR(VLOOKUP(F1400,CARTON_LOOKUP!$A:$E,3,0),"")</f>
      </c>
      <c r="H1400" s="28">
        <f>IFERROR(VLOOKUP(F1400,CARTON_LOOKUP!$A:$E,4,0),"")</f>
      </c>
      <c r="I1400" s="28">
        <f>IFERROR(VLOOKUP(F1400,CARTON_LOOKUP!$A:$E,5,0),"")</f>
      </c>
      <c r="J1400" s="29">
        <f>IFERROR(VLOOKUP(F1400,CARTON_LOOKUP!$A:$E,2,0),"")</f>
      </c>
      <c r="K1400" s="29">
        <f>IFERROR(J1400*D1400,0)</f>
      </c>
      <c r="L1400" s="29">
        <f>IFERROR(E1400*C1400,0)</f>
      </c>
      <c r="M1400" s="29">
        <f>IFERROR((G1400*H1400*I1400/1000000)*D1400,0)</f>
      </c>
    </row>
    <row r="1401" spans="1:13" x14ac:dyDescent="0.25">
      <c r="A1401" s="16"/>
      <c r="E1401" s="27"/>
      <c r="F1401" t="s">
        <v>26</v>
      </c>
      <c r="G1401" s="28">
        <f>IFERROR(VLOOKUP(F1401,CARTON_LOOKUP!$A:$E,3,0),"")</f>
      </c>
      <c r="H1401" s="28">
        <f>IFERROR(VLOOKUP(F1401,CARTON_LOOKUP!$A:$E,4,0),"")</f>
      </c>
      <c r="I1401" s="28">
        <f>IFERROR(VLOOKUP(F1401,CARTON_LOOKUP!$A:$E,5,0),"")</f>
      </c>
      <c r="J1401" s="29">
        <f>IFERROR(VLOOKUP(F1401,CARTON_LOOKUP!$A:$E,2,0),"")</f>
      </c>
      <c r="K1401" s="29">
        <f>IFERROR(J1401*D1401,0)</f>
      </c>
      <c r="L1401" s="29">
        <f>IFERROR(E1401*C1401,0)</f>
      </c>
      <c r="M1401" s="29">
        <f>IFERROR((G1401*H1401*I1401/1000000)*D1401,0)</f>
      </c>
    </row>
    <row r="1402" spans="1:13" x14ac:dyDescent="0.25">
      <c r="A1402" s="16"/>
      <c r="E1402" s="27"/>
      <c r="F1402" t="s">
        <v>26</v>
      </c>
      <c r="G1402" s="28">
        <f>IFERROR(VLOOKUP(F1402,CARTON_LOOKUP!$A:$E,3,0),"")</f>
      </c>
      <c r="H1402" s="28">
        <f>IFERROR(VLOOKUP(F1402,CARTON_LOOKUP!$A:$E,4,0),"")</f>
      </c>
      <c r="I1402" s="28">
        <f>IFERROR(VLOOKUP(F1402,CARTON_LOOKUP!$A:$E,5,0),"")</f>
      </c>
      <c r="J1402" s="29">
        <f>IFERROR(VLOOKUP(F1402,CARTON_LOOKUP!$A:$E,2,0),"")</f>
      </c>
      <c r="K1402" s="29">
        <f>IFERROR(J1402*D1402,0)</f>
      </c>
      <c r="L1402" s="29">
        <f>IFERROR(E1402*C1402,0)</f>
      </c>
      <c r="M1402" s="29">
        <f>IFERROR((G1402*H1402*I1402/1000000)*D1402,0)</f>
      </c>
    </row>
    <row r="1403" spans="1:13" x14ac:dyDescent="0.25">
      <c r="A1403" s="16"/>
      <c r="E1403" s="27"/>
      <c r="F1403" t="s">
        <v>26</v>
      </c>
      <c r="G1403" s="28">
        <f>IFERROR(VLOOKUP(F1403,CARTON_LOOKUP!$A:$E,3,0),"")</f>
      </c>
      <c r="H1403" s="28">
        <f>IFERROR(VLOOKUP(F1403,CARTON_LOOKUP!$A:$E,4,0),"")</f>
      </c>
      <c r="I1403" s="28">
        <f>IFERROR(VLOOKUP(F1403,CARTON_LOOKUP!$A:$E,5,0),"")</f>
      </c>
      <c r="J1403" s="29">
        <f>IFERROR(VLOOKUP(F1403,CARTON_LOOKUP!$A:$E,2,0),"")</f>
      </c>
      <c r="K1403" s="29">
        <f>IFERROR(J1403*D1403,0)</f>
      </c>
      <c r="L1403" s="29">
        <f>IFERROR(E1403*C1403,0)</f>
      </c>
      <c r="M1403" s="29">
        <f>IFERROR((G1403*H1403*I1403/1000000)*D1403,0)</f>
      </c>
    </row>
    <row r="1404" spans="1:13" x14ac:dyDescent="0.25">
      <c r="A1404" s="16"/>
      <c r="E1404" s="27"/>
      <c r="F1404" t="s">
        <v>26</v>
      </c>
      <c r="G1404" s="28">
        <f>IFERROR(VLOOKUP(F1404,CARTON_LOOKUP!$A:$E,3,0),"")</f>
      </c>
      <c r="H1404" s="28">
        <f>IFERROR(VLOOKUP(F1404,CARTON_LOOKUP!$A:$E,4,0),"")</f>
      </c>
      <c r="I1404" s="28">
        <f>IFERROR(VLOOKUP(F1404,CARTON_LOOKUP!$A:$E,5,0),"")</f>
      </c>
      <c r="J1404" s="29">
        <f>IFERROR(VLOOKUP(F1404,CARTON_LOOKUP!$A:$E,2,0),"")</f>
      </c>
      <c r="K1404" s="29">
        <f>IFERROR(J1404*D1404,0)</f>
      </c>
      <c r="L1404" s="29">
        <f>IFERROR(E1404*C1404,0)</f>
      </c>
      <c r="M1404" s="29">
        <f>IFERROR((G1404*H1404*I1404/1000000)*D1404,0)</f>
      </c>
    </row>
    <row r="1405" spans="1:13" x14ac:dyDescent="0.25">
      <c r="A1405" s="16"/>
      <c r="E1405" s="27"/>
      <c r="F1405" t="s">
        <v>26</v>
      </c>
      <c r="G1405" s="28">
        <f>IFERROR(VLOOKUP(F1405,CARTON_LOOKUP!$A:$E,3,0),"")</f>
      </c>
      <c r="H1405" s="28">
        <f>IFERROR(VLOOKUP(F1405,CARTON_LOOKUP!$A:$E,4,0),"")</f>
      </c>
      <c r="I1405" s="28">
        <f>IFERROR(VLOOKUP(F1405,CARTON_LOOKUP!$A:$E,5,0),"")</f>
      </c>
      <c r="J1405" s="29">
        <f>IFERROR(VLOOKUP(F1405,CARTON_LOOKUP!$A:$E,2,0),"")</f>
      </c>
      <c r="K1405" s="29">
        <f>IFERROR(J1405*D1405,0)</f>
      </c>
      <c r="L1405" s="29">
        <f>IFERROR(E1405*C1405,0)</f>
      </c>
      <c r="M1405" s="29">
        <f>IFERROR((G1405*H1405*I1405/1000000)*D1405,0)</f>
      </c>
    </row>
    <row r="1406" spans="1:13" x14ac:dyDescent="0.25">
      <c r="A1406" s="16"/>
      <c r="E1406" s="27"/>
      <c r="F1406" t="s">
        <v>26</v>
      </c>
      <c r="G1406" s="28">
        <f>IFERROR(VLOOKUP(F1406,CARTON_LOOKUP!$A:$E,3,0),"")</f>
      </c>
      <c r="H1406" s="28">
        <f>IFERROR(VLOOKUP(F1406,CARTON_LOOKUP!$A:$E,4,0),"")</f>
      </c>
      <c r="I1406" s="28">
        <f>IFERROR(VLOOKUP(F1406,CARTON_LOOKUP!$A:$E,5,0),"")</f>
      </c>
      <c r="J1406" s="29">
        <f>IFERROR(VLOOKUP(F1406,CARTON_LOOKUP!$A:$E,2,0),"")</f>
      </c>
      <c r="K1406" s="29">
        <f>IFERROR(J1406*D1406,0)</f>
      </c>
      <c r="L1406" s="29">
        <f>IFERROR(E1406*C1406,0)</f>
      </c>
      <c r="M1406" s="29">
        <f>IFERROR((G1406*H1406*I1406/1000000)*D1406,0)</f>
      </c>
    </row>
    <row r="1407" spans="1:13" x14ac:dyDescent="0.25">
      <c r="A1407" s="16"/>
      <c r="E1407" s="27"/>
      <c r="F1407" t="s">
        <v>26</v>
      </c>
      <c r="G1407" s="28">
        <f>IFERROR(VLOOKUP(F1407,CARTON_LOOKUP!$A:$E,3,0),"")</f>
      </c>
      <c r="H1407" s="28">
        <f>IFERROR(VLOOKUP(F1407,CARTON_LOOKUP!$A:$E,4,0),"")</f>
      </c>
      <c r="I1407" s="28">
        <f>IFERROR(VLOOKUP(F1407,CARTON_LOOKUP!$A:$E,5,0),"")</f>
      </c>
      <c r="J1407" s="29">
        <f>IFERROR(VLOOKUP(F1407,CARTON_LOOKUP!$A:$E,2,0),"")</f>
      </c>
      <c r="K1407" s="29">
        <f>IFERROR(J1407*D1407,0)</f>
      </c>
      <c r="L1407" s="29">
        <f>IFERROR(E1407*C1407,0)</f>
      </c>
      <c r="M1407" s="29">
        <f>IFERROR((G1407*H1407*I1407/1000000)*D1407,0)</f>
      </c>
    </row>
    <row r="1408" spans="1:13" x14ac:dyDescent="0.25">
      <c r="A1408" s="16"/>
      <c r="E1408" s="27"/>
      <c r="F1408" t="s">
        <v>26</v>
      </c>
      <c r="G1408" s="28">
        <f>IFERROR(VLOOKUP(F1408,CARTON_LOOKUP!$A:$E,3,0),"")</f>
      </c>
      <c r="H1408" s="28">
        <f>IFERROR(VLOOKUP(F1408,CARTON_LOOKUP!$A:$E,4,0),"")</f>
      </c>
      <c r="I1408" s="28">
        <f>IFERROR(VLOOKUP(F1408,CARTON_LOOKUP!$A:$E,5,0),"")</f>
      </c>
      <c r="J1408" s="29">
        <f>IFERROR(VLOOKUP(F1408,CARTON_LOOKUP!$A:$E,2,0),"")</f>
      </c>
      <c r="K1408" s="29">
        <f>IFERROR(J1408*D1408,0)</f>
      </c>
      <c r="L1408" s="29">
        <f>IFERROR(E1408*C1408,0)</f>
      </c>
      <c r="M1408" s="29">
        <f>IFERROR((G1408*H1408*I1408/1000000)*D1408,0)</f>
      </c>
    </row>
    <row r="1409" spans="1:13" x14ac:dyDescent="0.25">
      <c r="A1409" s="16"/>
      <c r="E1409" s="27"/>
      <c r="F1409" t="s">
        <v>26</v>
      </c>
      <c r="G1409" s="28">
        <f>IFERROR(VLOOKUP(F1409,CARTON_LOOKUP!$A:$E,3,0),"")</f>
      </c>
      <c r="H1409" s="28">
        <f>IFERROR(VLOOKUP(F1409,CARTON_LOOKUP!$A:$E,4,0),"")</f>
      </c>
      <c r="I1409" s="28">
        <f>IFERROR(VLOOKUP(F1409,CARTON_LOOKUP!$A:$E,5,0),"")</f>
      </c>
      <c r="J1409" s="29">
        <f>IFERROR(VLOOKUP(F1409,CARTON_LOOKUP!$A:$E,2,0),"")</f>
      </c>
      <c r="K1409" s="29">
        <f>IFERROR(J1409*D1409,0)</f>
      </c>
      <c r="L1409" s="29">
        <f>IFERROR(E1409*C1409,0)</f>
      </c>
      <c r="M1409" s="29">
        <f>IFERROR((G1409*H1409*I1409/1000000)*D1409,0)</f>
      </c>
    </row>
    <row r="1410" spans="1:13" x14ac:dyDescent="0.25">
      <c r="A1410" s="16"/>
      <c r="E1410" s="27"/>
      <c r="F1410" t="s">
        <v>26</v>
      </c>
      <c r="G1410" s="28">
        <f>IFERROR(VLOOKUP(F1410,CARTON_LOOKUP!$A:$E,3,0),"")</f>
      </c>
      <c r="H1410" s="28">
        <f>IFERROR(VLOOKUP(F1410,CARTON_LOOKUP!$A:$E,4,0),"")</f>
      </c>
      <c r="I1410" s="28">
        <f>IFERROR(VLOOKUP(F1410,CARTON_LOOKUP!$A:$E,5,0),"")</f>
      </c>
      <c r="J1410" s="29">
        <f>IFERROR(VLOOKUP(F1410,CARTON_LOOKUP!$A:$E,2,0),"")</f>
      </c>
      <c r="K1410" s="29">
        <f>IFERROR(J1410*D1410,0)</f>
      </c>
      <c r="L1410" s="29">
        <f>IFERROR(E1410*C1410,0)</f>
      </c>
      <c r="M1410" s="29">
        <f>IFERROR((G1410*H1410*I1410/1000000)*D1410,0)</f>
      </c>
    </row>
    <row r="1411" spans="1:13" x14ac:dyDescent="0.25">
      <c r="A1411" s="16"/>
      <c r="E1411" s="27"/>
      <c r="F1411" t="s">
        <v>26</v>
      </c>
      <c r="G1411" s="28">
        <f>IFERROR(VLOOKUP(F1411,CARTON_LOOKUP!$A:$E,3,0),"")</f>
      </c>
      <c r="H1411" s="28">
        <f>IFERROR(VLOOKUP(F1411,CARTON_LOOKUP!$A:$E,4,0),"")</f>
      </c>
      <c r="I1411" s="28">
        <f>IFERROR(VLOOKUP(F1411,CARTON_LOOKUP!$A:$E,5,0),"")</f>
      </c>
      <c r="J1411" s="29">
        <f>IFERROR(VLOOKUP(F1411,CARTON_LOOKUP!$A:$E,2,0),"")</f>
      </c>
      <c r="K1411" s="29">
        <f>IFERROR(J1411*D1411,0)</f>
      </c>
      <c r="L1411" s="29">
        <f>IFERROR(E1411*C1411,0)</f>
      </c>
      <c r="M1411" s="29">
        <f>IFERROR((G1411*H1411*I1411/1000000)*D1411,0)</f>
      </c>
    </row>
    <row r="1412" spans="1:13" x14ac:dyDescent="0.25">
      <c r="A1412" s="16"/>
      <c r="E1412" s="27"/>
      <c r="F1412" t="s">
        <v>26</v>
      </c>
      <c r="G1412" s="28">
        <f>IFERROR(VLOOKUP(F1412,CARTON_LOOKUP!$A:$E,3,0),"")</f>
      </c>
      <c r="H1412" s="28">
        <f>IFERROR(VLOOKUP(F1412,CARTON_LOOKUP!$A:$E,4,0),"")</f>
      </c>
      <c r="I1412" s="28">
        <f>IFERROR(VLOOKUP(F1412,CARTON_LOOKUP!$A:$E,5,0),"")</f>
      </c>
      <c r="J1412" s="29">
        <f>IFERROR(VLOOKUP(F1412,CARTON_LOOKUP!$A:$E,2,0),"")</f>
      </c>
      <c r="K1412" s="29">
        <f>IFERROR(J1412*D1412,0)</f>
      </c>
      <c r="L1412" s="29">
        <f>IFERROR(E1412*C1412,0)</f>
      </c>
      <c r="M1412" s="29">
        <f>IFERROR((G1412*H1412*I1412/1000000)*D1412,0)</f>
      </c>
    </row>
    <row r="1413" spans="1:13" x14ac:dyDescent="0.25">
      <c r="A1413" s="16"/>
      <c r="E1413" s="27"/>
      <c r="F1413" t="s">
        <v>26</v>
      </c>
      <c r="G1413" s="28">
        <f>IFERROR(VLOOKUP(F1413,CARTON_LOOKUP!$A:$E,3,0),"")</f>
      </c>
      <c r="H1413" s="28">
        <f>IFERROR(VLOOKUP(F1413,CARTON_LOOKUP!$A:$E,4,0),"")</f>
      </c>
      <c r="I1413" s="28">
        <f>IFERROR(VLOOKUP(F1413,CARTON_LOOKUP!$A:$E,5,0),"")</f>
      </c>
      <c r="J1413" s="29">
        <f>IFERROR(VLOOKUP(F1413,CARTON_LOOKUP!$A:$E,2,0),"")</f>
      </c>
      <c r="K1413" s="29">
        <f>IFERROR(J1413*D1413,0)</f>
      </c>
      <c r="L1413" s="29">
        <f>IFERROR(E1413*C1413,0)</f>
      </c>
      <c r="M1413" s="29">
        <f>IFERROR((G1413*H1413*I1413/1000000)*D1413,0)</f>
      </c>
    </row>
    <row r="1414" spans="1:13" x14ac:dyDescent="0.25">
      <c r="A1414" s="16"/>
      <c r="E1414" s="27"/>
      <c r="F1414" t="s">
        <v>26</v>
      </c>
      <c r="G1414" s="28">
        <f>IFERROR(VLOOKUP(F1414,CARTON_LOOKUP!$A:$E,3,0),"")</f>
      </c>
      <c r="H1414" s="28">
        <f>IFERROR(VLOOKUP(F1414,CARTON_LOOKUP!$A:$E,4,0),"")</f>
      </c>
      <c r="I1414" s="28">
        <f>IFERROR(VLOOKUP(F1414,CARTON_LOOKUP!$A:$E,5,0),"")</f>
      </c>
      <c r="J1414" s="29">
        <f>IFERROR(VLOOKUP(F1414,CARTON_LOOKUP!$A:$E,2,0),"")</f>
      </c>
      <c r="K1414" s="29">
        <f>IFERROR(J1414*D1414,0)</f>
      </c>
      <c r="L1414" s="29">
        <f>IFERROR(E1414*C1414,0)</f>
      </c>
      <c r="M1414" s="29">
        <f>IFERROR((G1414*H1414*I1414/1000000)*D1414,0)</f>
      </c>
    </row>
    <row r="1415" spans="1:13" x14ac:dyDescent="0.25">
      <c r="A1415" s="16"/>
      <c r="E1415" s="27"/>
      <c r="F1415" t="s">
        <v>26</v>
      </c>
      <c r="G1415" s="28">
        <f>IFERROR(VLOOKUP(F1415,CARTON_LOOKUP!$A:$E,3,0),"")</f>
      </c>
      <c r="H1415" s="28">
        <f>IFERROR(VLOOKUP(F1415,CARTON_LOOKUP!$A:$E,4,0),"")</f>
      </c>
      <c r="I1415" s="28">
        <f>IFERROR(VLOOKUP(F1415,CARTON_LOOKUP!$A:$E,5,0),"")</f>
      </c>
      <c r="J1415" s="29">
        <f>IFERROR(VLOOKUP(F1415,CARTON_LOOKUP!$A:$E,2,0),"")</f>
      </c>
      <c r="K1415" s="29">
        <f>IFERROR(J1415*D1415,0)</f>
      </c>
      <c r="L1415" s="29">
        <f>IFERROR(E1415*C1415,0)</f>
      </c>
      <c r="M1415" s="29">
        <f>IFERROR((G1415*H1415*I1415/1000000)*D1415,0)</f>
      </c>
    </row>
    <row r="1416" spans="1:13" x14ac:dyDescent="0.25">
      <c r="A1416" s="16"/>
      <c r="E1416" s="27"/>
      <c r="F1416" t="s">
        <v>26</v>
      </c>
      <c r="G1416" s="28">
        <f>IFERROR(VLOOKUP(F1416,CARTON_LOOKUP!$A:$E,3,0),"")</f>
      </c>
      <c r="H1416" s="28">
        <f>IFERROR(VLOOKUP(F1416,CARTON_LOOKUP!$A:$E,4,0),"")</f>
      </c>
      <c r="I1416" s="28">
        <f>IFERROR(VLOOKUP(F1416,CARTON_LOOKUP!$A:$E,5,0),"")</f>
      </c>
      <c r="J1416" s="29">
        <f>IFERROR(VLOOKUP(F1416,CARTON_LOOKUP!$A:$E,2,0),"")</f>
      </c>
      <c r="K1416" s="29">
        <f>IFERROR(J1416*D1416,0)</f>
      </c>
      <c r="L1416" s="29">
        <f>IFERROR(E1416*C1416,0)</f>
      </c>
      <c r="M1416" s="29">
        <f>IFERROR((G1416*H1416*I1416/1000000)*D1416,0)</f>
      </c>
    </row>
    <row r="1417" spans="1:13" x14ac:dyDescent="0.25">
      <c r="A1417" s="16"/>
      <c r="E1417" s="27"/>
      <c r="F1417" t="s">
        <v>26</v>
      </c>
      <c r="G1417" s="28">
        <f>IFERROR(VLOOKUP(F1417,CARTON_LOOKUP!$A:$E,3,0),"")</f>
      </c>
      <c r="H1417" s="28">
        <f>IFERROR(VLOOKUP(F1417,CARTON_LOOKUP!$A:$E,4,0),"")</f>
      </c>
      <c r="I1417" s="28">
        <f>IFERROR(VLOOKUP(F1417,CARTON_LOOKUP!$A:$E,5,0),"")</f>
      </c>
      <c r="J1417" s="29">
        <f>IFERROR(VLOOKUP(F1417,CARTON_LOOKUP!$A:$E,2,0),"")</f>
      </c>
      <c r="K1417" s="29">
        <f>IFERROR(J1417*D1417,0)</f>
      </c>
      <c r="L1417" s="29">
        <f>IFERROR(E1417*C1417,0)</f>
      </c>
      <c r="M1417" s="29">
        <f>IFERROR((G1417*H1417*I1417/1000000)*D1417,0)</f>
      </c>
    </row>
    <row r="1418" spans="1:13" x14ac:dyDescent="0.25">
      <c r="A1418" s="16"/>
      <c r="E1418" s="27"/>
      <c r="F1418" t="s">
        <v>26</v>
      </c>
      <c r="G1418" s="28">
        <f>IFERROR(VLOOKUP(F1418,CARTON_LOOKUP!$A:$E,3,0),"")</f>
      </c>
      <c r="H1418" s="28">
        <f>IFERROR(VLOOKUP(F1418,CARTON_LOOKUP!$A:$E,4,0),"")</f>
      </c>
      <c r="I1418" s="28">
        <f>IFERROR(VLOOKUP(F1418,CARTON_LOOKUP!$A:$E,5,0),"")</f>
      </c>
      <c r="J1418" s="29">
        <f>IFERROR(VLOOKUP(F1418,CARTON_LOOKUP!$A:$E,2,0),"")</f>
      </c>
      <c r="K1418" s="29">
        <f>IFERROR(J1418*D1418,0)</f>
      </c>
      <c r="L1418" s="29">
        <f>IFERROR(E1418*C1418,0)</f>
      </c>
      <c r="M1418" s="29">
        <f>IFERROR((G1418*H1418*I1418/1000000)*D1418,0)</f>
      </c>
    </row>
    <row r="1419" spans="1:13" x14ac:dyDescent="0.25">
      <c r="A1419" s="16"/>
      <c r="E1419" s="27"/>
      <c r="F1419" t="s">
        <v>26</v>
      </c>
      <c r="G1419" s="28">
        <f>IFERROR(VLOOKUP(F1419,CARTON_LOOKUP!$A:$E,3,0),"")</f>
      </c>
      <c r="H1419" s="28">
        <f>IFERROR(VLOOKUP(F1419,CARTON_LOOKUP!$A:$E,4,0),"")</f>
      </c>
      <c r="I1419" s="28">
        <f>IFERROR(VLOOKUP(F1419,CARTON_LOOKUP!$A:$E,5,0),"")</f>
      </c>
      <c r="J1419" s="29">
        <f>IFERROR(VLOOKUP(F1419,CARTON_LOOKUP!$A:$E,2,0),"")</f>
      </c>
      <c r="K1419" s="29">
        <f>IFERROR(J1419*D1419,0)</f>
      </c>
      <c r="L1419" s="29">
        <f>IFERROR(E1419*C1419,0)</f>
      </c>
      <c r="M1419" s="29">
        <f>IFERROR((G1419*H1419*I1419/1000000)*D1419,0)</f>
      </c>
    </row>
    <row r="1420" spans="1:13" x14ac:dyDescent="0.25">
      <c r="A1420" s="16"/>
      <c r="E1420" s="27"/>
      <c r="F1420" t="s">
        <v>26</v>
      </c>
      <c r="G1420" s="28">
        <f>IFERROR(VLOOKUP(F1420,CARTON_LOOKUP!$A:$E,3,0),"")</f>
      </c>
      <c r="H1420" s="28">
        <f>IFERROR(VLOOKUP(F1420,CARTON_LOOKUP!$A:$E,4,0),"")</f>
      </c>
      <c r="I1420" s="28">
        <f>IFERROR(VLOOKUP(F1420,CARTON_LOOKUP!$A:$E,5,0),"")</f>
      </c>
      <c r="J1420" s="29">
        <f>IFERROR(VLOOKUP(F1420,CARTON_LOOKUP!$A:$E,2,0),"")</f>
      </c>
      <c r="K1420" s="29">
        <f>IFERROR(J1420*D1420,0)</f>
      </c>
      <c r="L1420" s="29">
        <f>IFERROR(E1420*C1420,0)</f>
      </c>
      <c r="M1420" s="29">
        <f>IFERROR((G1420*H1420*I1420/1000000)*D1420,0)</f>
      </c>
    </row>
    <row r="1421" spans="1:13" x14ac:dyDescent="0.25">
      <c r="A1421" s="16"/>
      <c r="E1421" s="27"/>
      <c r="F1421" t="s">
        <v>26</v>
      </c>
      <c r="G1421" s="28">
        <f>IFERROR(VLOOKUP(F1421,CARTON_LOOKUP!$A:$E,3,0),"")</f>
      </c>
      <c r="H1421" s="28">
        <f>IFERROR(VLOOKUP(F1421,CARTON_LOOKUP!$A:$E,4,0),"")</f>
      </c>
      <c r="I1421" s="28">
        <f>IFERROR(VLOOKUP(F1421,CARTON_LOOKUP!$A:$E,5,0),"")</f>
      </c>
      <c r="J1421" s="29">
        <f>IFERROR(VLOOKUP(F1421,CARTON_LOOKUP!$A:$E,2,0),"")</f>
      </c>
      <c r="K1421" s="29">
        <f>IFERROR(J1421*D1421,0)</f>
      </c>
      <c r="L1421" s="29">
        <f>IFERROR(E1421*C1421,0)</f>
      </c>
      <c r="M1421" s="29">
        <f>IFERROR((G1421*H1421*I1421/1000000)*D1421,0)</f>
      </c>
    </row>
    <row r="1422" spans="1:13" x14ac:dyDescent="0.25">
      <c r="A1422" s="16"/>
      <c r="E1422" s="27"/>
      <c r="F1422" t="s">
        <v>26</v>
      </c>
      <c r="G1422" s="28">
        <f>IFERROR(VLOOKUP(F1422,CARTON_LOOKUP!$A:$E,3,0),"")</f>
      </c>
      <c r="H1422" s="28">
        <f>IFERROR(VLOOKUP(F1422,CARTON_LOOKUP!$A:$E,4,0),"")</f>
      </c>
      <c r="I1422" s="28">
        <f>IFERROR(VLOOKUP(F1422,CARTON_LOOKUP!$A:$E,5,0),"")</f>
      </c>
      <c r="J1422" s="29">
        <f>IFERROR(VLOOKUP(F1422,CARTON_LOOKUP!$A:$E,2,0),"")</f>
      </c>
      <c r="K1422" s="29">
        <f>IFERROR(J1422*D1422,0)</f>
      </c>
      <c r="L1422" s="29">
        <f>IFERROR(E1422*C1422,0)</f>
      </c>
      <c r="M1422" s="29">
        <f>IFERROR((G1422*H1422*I1422/1000000)*D1422,0)</f>
      </c>
    </row>
    <row r="1423" spans="1:13" x14ac:dyDescent="0.25">
      <c r="A1423" s="16"/>
      <c r="E1423" s="27"/>
      <c r="F1423" t="s">
        <v>26</v>
      </c>
      <c r="G1423" s="28">
        <f>IFERROR(VLOOKUP(F1423,CARTON_LOOKUP!$A:$E,3,0),"")</f>
      </c>
      <c r="H1423" s="28">
        <f>IFERROR(VLOOKUP(F1423,CARTON_LOOKUP!$A:$E,4,0),"")</f>
      </c>
      <c r="I1423" s="28">
        <f>IFERROR(VLOOKUP(F1423,CARTON_LOOKUP!$A:$E,5,0),"")</f>
      </c>
      <c r="J1423" s="29">
        <f>IFERROR(VLOOKUP(F1423,CARTON_LOOKUP!$A:$E,2,0),"")</f>
      </c>
      <c r="K1423" s="29">
        <f>IFERROR(J1423*D1423,0)</f>
      </c>
      <c r="L1423" s="29">
        <f>IFERROR(E1423*C1423,0)</f>
      </c>
      <c r="M1423" s="29">
        <f>IFERROR((G1423*H1423*I1423/1000000)*D1423,0)</f>
      </c>
    </row>
    <row r="1424" spans="1:13" x14ac:dyDescent="0.25">
      <c r="A1424" s="16"/>
      <c r="E1424" s="27"/>
      <c r="F1424" t="s">
        <v>26</v>
      </c>
      <c r="G1424" s="28">
        <f>IFERROR(VLOOKUP(F1424,CARTON_LOOKUP!$A:$E,3,0),"")</f>
      </c>
      <c r="H1424" s="28">
        <f>IFERROR(VLOOKUP(F1424,CARTON_LOOKUP!$A:$E,4,0),"")</f>
      </c>
      <c r="I1424" s="28">
        <f>IFERROR(VLOOKUP(F1424,CARTON_LOOKUP!$A:$E,5,0),"")</f>
      </c>
      <c r="J1424" s="29">
        <f>IFERROR(VLOOKUP(F1424,CARTON_LOOKUP!$A:$E,2,0),"")</f>
      </c>
      <c r="K1424" s="29">
        <f>IFERROR(J1424*D1424,0)</f>
      </c>
      <c r="L1424" s="29">
        <f>IFERROR(E1424*C1424,0)</f>
      </c>
      <c r="M1424" s="29">
        <f>IFERROR((G1424*H1424*I1424/1000000)*D1424,0)</f>
      </c>
    </row>
    <row r="1425" spans="1:13" x14ac:dyDescent="0.25">
      <c r="A1425" s="16"/>
      <c r="E1425" s="27"/>
      <c r="F1425" t="s">
        <v>26</v>
      </c>
      <c r="G1425" s="28">
        <f>IFERROR(VLOOKUP(F1425,CARTON_LOOKUP!$A:$E,3,0),"")</f>
      </c>
      <c r="H1425" s="28">
        <f>IFERROR(VLOOKUP(F1425,CARTON_LOOKUP!$A:$E,4,0),"")</f>
      </c>
      <c r="I1425" s="28">
        <f>IFERROR(VLOOKUP(F1425,CARTON_LOOKUP!$A:$E,5,0),"")</f>
      </c>
      <c r="J1425" s="29">
        <f>IFERROR(VLOOKUP(F1425,CARTON_LOOKUP!$A:$E,2,0),"")</f>
      </c>
      <c r="K1425" s="29">
        <f>IFERROR(J1425*D1425,0)</f>
      </c>
      <c r="L1425" s="29">
        <f>IFERROR(E1425*C1425,0)</f>
      </c>
      <c r="M1425" s="29">
        <f>IFERROR((G1425*H1425*I1425/1000000)*D1425,0)</f>
      </c>
    </row>
    <row r="1426" spans="1:13" x14ac:dyDescent="0.25">
      <c r="A1426" s="16"/>
      <c r="E1426" s="27"/>
      <c r="F1426" t="s">
        <v>26</v>
      </c>
      <c r="G1426" s="28">
        <f>IFERROR(VLOOKUP(F1426,CARTON_LOOKUP!$A:$E,3,0),"")</f>
      </c>
      <c r="H1426" s="28">
        <f>IFERROR(VLOOKUP(F1426,CARTON_LOOKUP!$A:$E,4,0),"")</f>
      </c>
      <c r="I1426" s="28">
        <f>IFERROR(VLOOKUP(F1426,CARTON_LOOKUP!$A:$E,5,0),"")</f>
      </c>
      <c r="J1426" s="29">
        <f>IFERROR(VLOOKUP(F1426,CARTON_LOOKUP!$A:$E,2,0),"")</f>
      </c>
      <c r="K1426" s="29">
        <f>IFERROR(J1426*D1426,0)</f>
      </c>
      <c r="L1426" s="29">
        <f>IFERROR(E1426*C1426,0)</f>
      </c>
      <c r="M1426" s="29">
        <f>IFERROR((G1426*H1426*I1426/1000000)*D1426,0)</f>
      </c>
    </row>
    <row r="1427" spans="1:13" x14ac:dyDescent="0.25">
      <c r="A1427" s="16"/>
      <c r="E1427" s="27"/>
      <c r="F1427" t="s">
        <v>26</v>
      </c>
      <c r="G1427" s="28">
        <f>IFERROR(VLOOKUP(F1427,CARTON_LOOKUP!$A:$E,3,0),"")</f>
      </c>
      <c r="H1427" s="28">
        <f>IFERROR(VLOOKUP(F1427,CARTON_LOOKUP!$A:$E,4,0),"")</f>
      </c>
      <c r="I1427" s="28">
        <f>IFERROR(VLOOKUP(F1427,CARTON_LOOKUP!$A:$E,5,0),"")</f>
      </c>
      <c r="J1427" s="29">
        <f>IFERROR(VLOOKUP(F1427,CARTON_LOOKUP!$A:$E,2,0),"")</f>
      </c>
      <c r="K1427" s="29">
        <f>IFERROR(J1427*D1427,0)</f>
      </c>
      <c r="L1427" s="29">
        <f>IFERROR(E1427*C1427,0)</f>
      </c>
      <c r="M1427" s="29">
        <f>IFERROR((G1427*H1427*I1427/1000000)*D1427,0)</f>
      </c>
    </row>
    <row r="1428" spans="1:13" x14ac:dyDescent="0.25">
      <c r="A1428" s="16"/>
      <c r="E1428" s="27"/>
      <c r="F1428" t="s">
        <v>26</v>
      </c>
      <c r="G1428" s="28">
        <f>IFERROR(VLOOKUP(F1428,CARTON_LOOKUP!$A:$E,3,0),"")</f>
      </c>
      <c r="H1428" s="28">
        <f>IFERROR(VLOOKUP(F1428,CARTON_LOOKUP!$A:$E,4,0),"")</f>
      </c>
      <c r="I1428" s="28">
        <f>IFERROR(VLOOKUP(F1428,CARTON_LOOKUP!$A:$E,5,0),"")</f>
      </c>
      <c r="J1428" s="29">
        <f>IFERROR(VLOOKUP(F1428,CARTON_LOOKUP!$A:$E,2,0),"")</f>
      </c>
      <c r="K1428" s="29">
        <f>IFERROR(J1428*D1428,0)</f>
      </c>
      <c r="L1428" s="29">
        <f>IFERROR(E1428*C1428,0)</f>
      </c>
      <c r="M1428" s="29">
        <f>IFERROR((G1428*H1428*I1428/1000000)*D1428,0)</f>
      </c>
    </row>
    <row r="1429" spans="1:13" x14ac:dyDescent="0.25">
      <c r="A1429" s="16"/>
      <c r="E1429" s="27"/>
      <c r="F1429" t="s">
        <v>26</v>
      </c>
      <c r="G1429" s="28">
        <f>IFERROR(VLOOKUP(F1429,CARTON_LOOKUP!$A:$E,3,0),"")</f>
      </c>
      <c r="H1429" s="28">
        <f>IFERROR(VLOOKUP(F1429,CARTON_LOOKUP!$A:$E,4,0),"")</f>
      </c>
      <c r="I1429" s="28">
        <f>IFERROR(VLOOKUP(F1429,CARTON_LOOKUP!$A:$E,5,0),"")</f>
      </c>
      <c r="J1429" s="29">
        <f>IFERROR(VLOOKUP(F1429,CARTON_LOOKUP!$A:$E,2,0),"")</f>
      </c>
      <c r="K1429" s="29">
        <f>IFERROR(J1429*D1429,0)</f>
      </c>
      <c r="L1429" s="29">
        <f>IFERROR(E1429*C1429,0)</f>
      </c>
      <c r="M1429" s="29">
        <f>IFERROR((G1429*H1429*I1429/1000000)*D1429,0)</f>
      </c>
    </row>
    <row r="1430" spans="1:13" x14ac:dyDescent="0.25">
      <c r="A1430" s="16"/>
      <c r="E1430" s="27"/>
      <c r="F1430" t="s">
        <v>26</v>
      </c>
      <c r="G1430" s="28">
        <f>IFERROR(VLOOKUP(F1430,CARTON_LOOKUP!$A:$E,3,0),"")</f>
      </c>
      <c r="H1430" s="28">
        <f>IFERROR(VLOOKUP(F1430,CARTON_LOOKUP!$A:$E,4,0),"")</f>
      </c>
      <c r="I1430" s="28">
        <f>IFERROR(VLOOKUP(F1430,CARTON_LOOKUP!$A:$E,5,0),"")</f>
      </c>
      <c r="J1430" s="29">
        <f>IFERROR(VLOOKUP(F1430,CARTON_LOOKUP!$A:$E,2,0),"")</f>
      </c>
      <c r="K1430" s="29">
        <f>IFERROR(J1430*D1430,0)</f>
      </c>
      <c r="L1430" s="29">
        <f>IFERROR(E1430*C1430,0)</f>
      </c>
      <c r="M1430" s="29">
        <f>IFERROR((G1430*H1430*I1430/1000000)*D1430,0)</f>
      </c>
    </row>
    <row r="1431" spans="1:13" x14ac:dyDescent="0.25">
      <c r="A1431" s="16"/>
      <c r="E1431" s="27"/>
      <c r="F1431" t="s">
        <v>26</v>
      </c>
      <c r="G1431" s="28">
        <f>IFERROR(VLOOKUP(F1431,CARTON_LOOKUP!$A:$E,3,0),"")</f>
      </c>
      <c r="H1431" s="28">
        <f>IFERROR(VLOOKUP(F1431,CARTON_LOOKUP!$A:$E,4,0),"")</f>
      </c>
      <c r="I1431" s="28">
        <f>IFERROR(VLOOKUP(F1431,CARTON_LOOKUP!$A:$E,5,0),"")</f>
      </c>
      <c r="J1431" s="29">
        <f>IFERROR(VLOOKUP(F1431,CARTON_LOOKUP!$A:$E,2,0),"")</f>
      </c>
      <c r="K1431" s="29">
        <f>IFERROR(J1431*D1431,0)</f>
      </c>
      <c r="L1431" s="29">
        <f>IFERROR(E1431*C1431,0)</f>
      </c>
      <c r="M1431" s="29">
        <f>IFERROR((G1431*H1431*I1431/1000000)*D1431,0)</f>
      </c>
    </row>
    <row r="1432" spans="1:13" x14ac:dyDescent="0.25">
      <c r="A1432" s="16"/>
      <c r="E1432" s="27"/>
      <c r="F1432" t="s">
        <v>26</v>
      </c>
      <c r="G1432" s="28">
        <f>IFERROR(VLOOKUP(F1432,CARTON_LOOKUP!$A:$E,3,0),"")</f>
      </c>
      <c r="H1432" s="28">
        <f>IFERROR(VLOOKUP(F1432,CARTON_LOOKUP!$A:$E,4,0),"")</f>
      </c>
      <c r="I1432" s="28">
        <f>IFERROR(VLOOKUP(F1432,CARTON_LOOKUP!$A:$E,5,0),"")</f>
      </c>
      <c r="J1432" s="29">
        <f>IFERROR(VLOOKUP(F1432,CARTON_LOOKUP!$A:$E,2,0),"")</f>
      </c>
      <c r="K1432" s="29">
        <f>IFERROR(J1432*D1432,0)</f>
      </c>
      <c r="L1432" s="29">
        <f>IFERROR(E1432*C1432,0)</f>
      </c>
      <c r="M1432" s="29">
        <f>IFERROR((G1432*H1432*I1432/1000000)*D1432,0)</f>
      </c>
    </row>
    <row r="1433" spans="1:13" x14ac:dyDescent="0.25">
      <c r="A1433" s="16"/>
      <c r="E1433" s="27"/>
      <c r="F1433" t="s">
        <v>26</v>
      </c>
      <c r="G1433" s="28">
        <f>IFERROR(VLOOKUP(F1433,CARTON_LOOKUP!$A:$E,3,0),"")</f>
      </c>
      <c r="H1433" s="28">
        <f>IFERROR(VLOOKUP(F1433,CARTON_LOOKUP!$A:$E,4,0),"")</f>
      </c>
      <c r="I1433" s="28">
        <f>IFERROR(VLOOKUP(F1433,CARTON_LOOKUP!$A:$E,5,0),"")</f>
      </c>
      <c r="J1433" s="29">
        <f>IFERROR(VLOOKUP(F1433,CARTON_LOOKUP!$A:$E,2,0),"")</f>
      </c>
      <c r="K1433" s="29">
        <f>IFERROR(J1433*D1433,0)</f>
      </c>
      <c r="L1433" s="29">
        <f>IFERROR(E1433*C1433,0)</f>
      </c>
      <c r="M1433" s="29">
        <f>IFERROR((G1433*H1433*I1433/1000000)*D1433,0)</f>
      </c>
    </row>
    <row r="1434" spans="1:13" x14ac:dyDescent="0.25">
      <c r="A1434" s="16"/>
      <c r="E1434" s="27"/>
      <c r="F1434" t="s">
        <v>26</v>
      </c>
      <c r="G1434" s="28">
        <f>IFERROR(VLOOKUP(F1434,CARTON_LOOKUP!$A:$E,3,0),"")</f>
      </c>
      <c r="H1434" s="28">
        <f>IFERROR(VLOOKUP(F1434,CARTON_LOOKUP!$A:$E,4,0),"")</f>
      </c>
      <c r="I1434" s="28">
        <f>IFERROR(VLOOKUP(F1434,CARTON_LOOKUP!$A:$E,5,0),"")</f>
      </c>
      <c r="J1434" s="29">
        <f>IFERROR(VLOOKUP(F1434,CARTON_LOOKUP!$A:$E,2,0),"")</f>
      </c>
      <c r="K1434" s="29">
        <f>IFERROR(J1434*D1434,0)</f>
      </c>
      <c r="L1434" s="29">
        <f>IFERROR(E1434*C1434,0)</f>
      </c>
      <c r="M1434" s="29">
        <f>IFERROR((G1434*H1434*I1434/1000000)*D1434,0)</f>
      </c>
    </row>
    <row r="1435" spans="1:13" x14ac:dyDescent="0.25">
      <c r="A1435" s="16"/>
      <c r="E1435" s="27"/>
      <c r="F1435" t="s">
        <v>26</v>
      </c>
      <c r="G1435" s="28">
        <f>IFERROR(VLOOKUP(F1435,CARTON_LOOKUP!$A:$E,3,0),"")</f>
      </c>
      <c r="H1435" s="28">
        <f>IFERROR(VLOOKUP(F1435,CARTON_LOOKUP!$A:$E,4,0),"")</f>
      </c>
      <c r="I1435" s="28">
        <f>IFERROR(VLOOKUP(F1435,CARTON_LOOKUP!$A:$E,5,0),"")</f>
      </c>
      <c r="J1435" s="29">
        <f>IFERROR(VLOOKUP(F1435,CARTON_LOOKUP!$A:$E,2,0),"")</f>
      </c>
      <c r="K1435" s="29">
        <f>IFERROR(J1435*D1435,0)</f>
      </c>
      <c r="L1435" s="29">
        <f>IFERROR(E1435*C1435,0)</f>
      </c>
      <c r="M1435" s="29">
        <f>IFERROR((G1435*H1435*I1435/1000000)*D1435,0)</f>
      </c>
    </row>
    <row r="1436" spans="1:13" x14ac:dyDescent="0.25">
      <c r="A1436" s="16"/>
      <c r="E1436" s="27"/>
      <c r="F1436" t="s">
        <v>26</v>
      </c>
      <c r="G1436" s="28">
        <f>IFERROR(VLOOKUP(F1436,CARTON_LOOKUP!$A:$E,3,0),"")</f>
      </c>
      <c r="H1436" s="28">
        <f>IFERROR(VLOOKUP(F1436,CARTON_LOOKUP!$A:$E,4,0),"")</f>
      </c>
      <c r="I1436" s="28">
        <f>IFERROR(VLOOKUP(F1436,CARTON_LOOKUP!$A:$E,5,0),"")</f>
      </c>
      <c r="J1436" s="29">
        <f>IFERROR(VLOOKUP(F1436,CARTON_LOOKUP!$A:$E,2,0),"")</f>
      </c>
      <c r="K1436" s="29">
        <f>IFERROR(J1436*D1436,0)</f>
      </c>
      <c r="L1436" s="29">
        <f>IFERROR(E1436*C1436,0)</f>
      </c>
      <c r="M1436" s="29">
        <f>IFERROR((G1436*H1436*I1436/1000000)*D1436,0)</f>
      </c>
    </row>
    <row r="1437" spans="1:13" x14ac:dyDescent="0.25">
      <c r="A1437" s="16"/>
      <c r="E1437" s="27"/>
      <c r="F1437" t="s">
        <v>26</v>
      </c>
      <c r="G1437" s="28">
        <f>IFERROR(VLOOKUP(F1437,CARTON_LOOKUP!$A:$E,3,0),"")</f>
      </c>
      <c r="H1437" s="28">
        <f>IFERROR(VLOOKUP(F1437,CARTON_LOOKUP!$A:$E,4,0),"")</f>
      </c>
      <c r="I1437" s="28">
        <f>IFERROR(VLOOKUP(F1437,CARTON_LOOKUP!$A:$E,5,0),"")</f>
      </c>
      <c r="J1437" s="29">
        <f>IFERROR(VLOOKUP(F1437,CARTON_LOOKUP!$A:$E,2,0),"")</f>
      </c>
      <c r="K1437" s="29">
        <f>IFERROR(J1437*D1437,0)</f>
      </c>
      <c r="L1437" s="29">
        <f>IFERROR(E1437*C1437,0)</f>
      </c>
      <c r="M1437" s="29">
        <f>IFERROR((G1437*H1437*I1437/1000000)*D1437,0)</f>
      </c>
    </row>
    <row r="1438" spans="1:13" x14ac:dyDescent="0.25">
      <c r="A1438" s="16"/>
      <c r="E1438" s="27"/>
      <c r="F1438" t="s">
        <v>26</v>
      </c>
      <c r="G1438" s="28">
        <f>IFERROR(VLOOKUP(F1438,CARTON_LOOKUP!$A:$E,3,0),"")</f>
      </c>
      <c r="H1438" s="28">
        <f>IFERROR(VLOOKUP(F1438,CARTON_LOOKUP!$A:$E,4,0),"")</f>
      </c>
      <c r="I1438" s="28">
        <f>IFERROR(VLOOKUP(F1438,CARTON_LOOKUP!$A:$E,5,0),"")</f>
      </c>
      <c r="J1438" s="29">
        <f>IFERROR(VLOOKUP(F1438,CARTON_LOOKUP!$A:$E,2,0),"")</f>
      </c>
      <c r="K1438" s="29">
        <f>IFERROR(J1438*D1438,0)</f>
      </c>
      <c r="L1438" s="29">
        <f>IFERROR(E1438*C1438,0)</f>
      </c>
      <c r="M1438" s="29">
        <f>IFERROR((G1438*H1438*I1438/1000000)*D1438,0)</f>
      </c>
    </row>
    <row r="1439" spans="1:13" x14ac:dyDescent="0.25">
      <c r="A1439" s="16"/>
      <c r="E1439" s="27"/>
      <c r="F1439" t="s">
        <v>26</v>
      </c>
      <c r="G1439" s="28">
        <f>IFERROR(VLOOKUP(F1439,CARTON_LOOKUP!$A:$E,3,0),"")</f>
      </c>
      <c r="H1439" s="28">
        <f>IFERROR(VLOOKUP(F1439,CARTON_LOOKUP!$A:$E,4,0),"")</f>
      </c>
      <c r="I1439" s="28">
        <f>IFERROR(VLOOKUP(F1439,CARTON_LOOKUP!$A:$E,5,0),"")</f>
      </c>
      <c r="J1439" s="29">
        <f>IFERROR(VLOOKUP(F1439,CARTON_LOOKUP!$A:$E,2,0),"")</f>
      </c>
      <c r="K1439" s="29">
        <f>IFERROR(J1439*D1439,0)</f>
      </c>
      <c r="L1439" s="29">
        <f>IFERROR(E1439*C1439,0)</f>
      </c>
      <c r="M1439" s="29">
        <f>IFERROR((G1439*H1439*I1439/1000000)*D1439,0)</f>
      </c>
    </row>
    <row r="1440" spans="1:13" x14ac:dyDescent="0.25">
      <c r="A1440" s="16"/>
      <c r="E1440" s="27"/>
      <c r="F1440" t="s">
        <v>26</v>
      </c>
      <c r="G1440" s="28">
        <f>IFERROR(VLOOKUP(F1440,CARTON_LOOKUP!$A:$E,3,0),"")</f>
      </c>
      <c r="H1440" s="28">
        <f>IFERROR(VLOOKUP(F1440,CARTON_LOOKUP!$A:$E,4,0),"")</f>
      </c>
      <c r="I1440" s="28">
        <f>IFERROR(VLOOKUP(F1440,CARTON_LOOKUP!$A:$E,5,0),"")</f>
      </c>
      <c r="J1440" s="29">
        <f>IFERROR(VLOOKUP(F1440,CARTON_LOOKUP!$A:$E,2,0),"")</f>
      </c>
      <c r="K1440" s="29">
        <f>IFERROR(J1440*D1440,0)</f>
      </c>
      <c r="L1440" s="29">
        <f>IFERROR(E1440*C1440,0)</f>
      </c>
      <c r="M1440" s="29">
        <f>IFERROR((G1440*H1440*I1440/1000000)*D1440,0)</f>
      </c>
    </row>
    <row r="1441" spans="1:13" x14ac:dyDescent="0.25">
      <c r="A1441" s="16"/>
      <c r="E1441" s="27"/>
      <c r="F1441" t="s">
        <v>26</v>
      </c>
      <c r="G1441" s="28">
        <f>IFERROR(VLOOKUP(F1441,CARTON_LOOKUP!$A:$E,3,0),"")</f>
      </c>
      <c r="H1441" s="28">
        <f>IFERROR(VLOOKUP(F1441,CARTON_LOOKUP!$A:$E,4,0),"")</f>
      </c>
      <c r="I1441" s="28">
        <f>IFERROR(VLOOKUP(F1441,CARTON_LOOKUP!$A:$E,5,0),"")</f>
      </c>
      <c r="J1441" s="29">
        <f>IFERROR(VLOOKUP(F1441,CARTON_LOOKUP!$A:$E,2,0),"")</f>
      </c>
      <c r="K1441" s="29">
        <f>IFERROR(J1441*D1441,0)</f>
      </c>
      <c r="L1441" s="29">
        <f>IFERROR(E1441*C1441,0)</f>
      </c>
      <c r="M1441" s="29">
        <f>IFERROR((G1441*H1441*I1441/1000000)*D1441,0)</f>
      </c>
    </row>
    <row r="1442" spans="1:13" x14ac:dyDescent="0.25">
      <c r="A1442" s="16"/>
      <c r="E1442" s="27"/>
      <c r="F1442" t="s">
        <v>26</v>
      </c>
      <c r="G1442" s="28">
        <f>IFERROR(VLOOKUP(F1442,CARTON_LOOKUP!$A:$E,3,0),"")</f>
      </c>
      <c r="H1442" s="28">
        <f>IFERROR(VLOOKUP(F1442,CARTON_LOOKUP!$A:$E,4,0),"")</f>
      </c>
      <c r="I1442" s="28">
        <f>IFERROR(VLOOKUP(F1442,CARTON_LOOKUP!$A:$E,5,0),"")</f>
      </c>
      <c r="J1442" s="29">
        <f>IFERROR(VLOOKUP(F1442,CARTON_LOOKUP!$A:$E,2,0),"")</f>
      </c>
      <c r="K1442" s="29">
        <f>IFERROR(J1442*D1442,0)</f>
      </c>
      <c r="L1442" s="29">
        <f>IFERROR(E1442*C1442,0)</f>
      </c>
      <c r="M1442" s="29">
        <f>IFERROR((G1442*H1442*I1442/1000000)*D1442,0)</f>
      </c>
    </row>
    <row r="1443" spans="1:13" x14ac:dyDescent="0.25">
      <c r="A1443" s="16"/>
      <c r="E1443" s="27"/>
      <c r="F1443" t="s">
        <v>26</v>
      </c>
      <c r="G1443" s="28">
        <f>IFERROR(VLOOKUP(F1443,CARTON_LOOKUP!$A:$E,3,0),"")</f>
      </c>
      <c r="H1443" s="28">
        <f>IFERROR(VLOOKUP(F1443,CARTON_LOOKUP!$A:$E,4,0),"")</f>
      </c>
      <c r="I1443" s="28">
        <f>IFERROR(VLOOKUP(F1443,CARTON_LOOKUP!$A:$E,5,0),"")</f>
      </c>
      <c r="J1443" s="29">
        <f>IFERROR(VLOOKUP(F1443,CARTON_LOOKUP!$A:$E,2,0),"")</f>
      </c>
      <c r="K1443" s="29">
        <f>IFERROR(J1443*D1443,0)</f>
      </c>
      <c r="L1443" s="29">
        <f>IFERROR(E1443*C1443,0)</f>
      </c>
      <c r="M1443" s="29">
        <f>IFERROR((G1443*H1443*I1443/1000000)*D1443,0)</f>
      </c>
    </row>
    <row r="1444" spans="1:13" x14ac:dyDescent="0.25">
      <c r="A1444" s="16"/>
      <c r="E1444" s="27"/>
      <c r="F1444" t="s">
        <v>26</v>
      </c>
      <c r="G1444" s="28">
        <f>IFERROR(VLOOKUP(F1444,CARTON_LOOKUP!$A:$E,3,0),"")</f>
      </c>
      <c r="H1444" s="28">
        <f>IFERROR(VLOOKUP(F1444,CARTON_LOOKUP!$A:$E,4,0),"")</f>
      </c>
      <c r="I1444" s="28">
        <f>IFERROR(VLOOKUP(F1444,CARTON_LOOKUP!$A:$E,5,0),"")</f>
      </c>
      <c r="J1444" s="29">
        <f>IFERROR(VLOOKUP(F1444,CARTON_LOOKUP!$A:$E,2,0),"")</f>
      </c>
      <c r="K1444" s="29">
        <f>IFERROR(J1444*D1444,0)</f>
      </c>
      <c r="L1444" s="29">
        <f>IFERROR(E1444*C1444,0)</f>
      </c>
      <c r="M1444" s="29">
        <f>IFERROR((G1444*H1444*I1444/1000000)*D1444,0)</f>
      </c>
    </row>
    <row r="1445" spans="1:13" x14ac:dyDescent="0.25">
      <c r="A1445" s="16"/>
      <c r="E1445" s="27"/>
      <c r="F1445" t="s">
        <v>26</v>
      </c>
      <c r="G1445" s="28">
        <f>IFERROR(VLOOKUP(F1445,CARTON_LOOKUP!$A:$E,3,0),"")</f>
      </c>
      <c r="H1445" s="28">
        <f>IFERROR(VLOOKUP(F1445,CARTON_LOOKUP!$A:$E,4,0),"")</f>
      </c>
      <c r="I1445" s="28">
        <f>IFERROR(VLOOKUP(F1445,CARTON_LOOKUP!$A:$E,5,0),"")</f>
      </c>
      <c r="J1445" s="29">
        <f>IFERROR(VLOOKUP(F1445,CARTON_LOOKUP!$A:$E,2,0),"")</f>
      </c>
      <c r="K1445" s="29">
        <f>IFERROR(J1445*D1445,0)</f>
      </c>
      <c r="L1445" s="29">
        <f>IFERROR(E1445*C1445,0)</f>
      </c>
      <c r="M1445" s="29">
        <f>IFERROR((G1445*H1445*I1445/1000000)*D1445,0)</f>
      </c>
    </row>
    <row r="1446" spans="1:13" x14ac:dyDescent="0.25">
      <c r="A1446" s="16"/>
      <c r="E1446" s="27"/>
      <c r="F1446" t="s">
        <v>26</v>
      </c>
      <c r="G1446" s="28">
        <f>IFERROR(VLOOKUP(F1446,CARTON_LOOKUP!$A:$E,3,0),"")</f>
      </c>
      <c r="H1446" s="28">
        <f>IFERROR(VLOOKUP(F1446,CARTON_LOOKUP!$A:$E,4,0),"")</f>
      </c>
      <c r="I1446" s="28">
        <f>IFERROR(VLOOKUP(F1446,CARTON_LOOKUP!$A:$E,5,0),"")</f>
      </c>
      <c r="J1446" s="29">
        <f>IFERROR(VLOOKUP(F1446,CARTON_LOOKUP!$A:$E,2,0),"")</f>
      </c>
      <c r="K1446" s="29">
        <f>IFERROR(J1446*D1446,0)</f>
      </c>
      <c r="L1446" s="29">
        <f>IFERROR(E1446*C1446,0)</f>
      </c>
      <c r="M1446" s="29">
        <f>IFERROR((G1446*H1446*I1446/1000000)*D1446,0)</f>
      </c>
    </row>
    <row r="1447" spans="1:13" x14ac:dyDescent="0.25">
      <c r="A1447" s="16"/>
      <c r="E1447" s="27"/>
      <c r="F1447" t="s">
        <v>26</v>
      </c>
      <c r="G1447" s="28">
        <f>IFERROR(VLOOKUP(F1447,CARTON_LOOKUP!$A:$E,3,0),"")</f>
      </c>
      <c r="H1447" s="28">
        <f>IFERROR(VLOOKUP(F1447,CARTON_LOOKUP!$A:$E,4,0),"")</f>
      </c>
      <c r="I1447" s="28">
        <f>IFERROR(VLOOKUP(F1447,CARTON_LOOKUP!$A:$E,5,0),"")</f>
      </c>
      <c r="J1447" s="29">
        <f>IFERROR(VLOOKUP(F1447,CARTON_LOOKUP!$A:$E,2,0),"")</f>
      </c>
      <c r="K1447" s="29">
        <f>IFERROR(J1447*D1447,0)</f>
      </c>
      <c r="L1447" s="29">
        <f>IFERROR(E1447*C1447,0)</f>
      </c>
      <c r="M1447" s="29">
        <f>IFERROR((G1447*H1447*I1447/1000000)*D1447,0)</f>
      </c>
    </row>
    <row r="1448" spans="1:13" x14ac:dyDescent="0.25">
      <c r="A1448" s="16"/>
      <c r="E1448" s="27"/>
      <c r="F1448" t="s">
        <v>26</v>
      </c>
      <c r="G1448" s="28">
        <f>IFERROR(VLOOKUP(F1448,CARTON_LOOKUP!$A:$E,3,0),"")</f>
      </c>
      <c r="H1448" s="28">
        <f>IFERROR(VLOOKUP(F1448,CARTON_LOOKUP!$A:$E,4,0),"")</f>
      </c>
      <c r="I1448" s="28">
        <f>IFERROR(VLOOKUP(F1448,CARTON_LOOKUP!$A:$E,5,0),"")</f>
      </c>
      <c r="J1448" s="29">
        <f>IFERROR(VLOOKUP(F1448,CARTON_LOOKUP!$A:$E,2,0),"")</f>
      </c>
      <c r="K1448" s="29">
        <f>IFERROR(J1448*D1448,0)</f>
      </c>
      <c r="L1448" s="29">
        <f>IFERROR(E1448*C1448,0)</f>
      </c>
      <c r="M1448" s="29">
        <f>IFERROR((G1448*H1448*I1448/1000000)*D1448,0)</f>
      </c>
    </row>
    <row r="1449" spans="1:13" x14ac:dyDescent="0.25">
      <c r="A1449" s="16"/>
      <c r="E1449" s="27"/>
      <c r="F1449" t="s">
        <v>26</v>
      </c>
      <c r="G1449" s="28">
        <f>IFERROR(VLOOKUP(F1449,CARTON_LOOKUP!$A:$E,3,0),"")</f>
      </c>
      <c r="H1449" s="28">
        <f>IFERROR(VLOOKUP(F1449,CARTON_LOOKUP!$A:$E,4,0),"")</f>
      </c>
      <c r="I1449" s="28">
        <f>IFERROR(VLOOKUP(F1449,CARTON_LOOKUP!$A:$E,5,0),"")</f>
      </c>
      <c r="J1449" s="29">
        <f>IFERROR(VLOOKUP(F1449,CARTON_LOOKUP!$A:$E,2,0),"")</f>
      </c>
      <c r="K1449" s="29">
        <f>IFERROR(J1449*D1449,0)</f>
      </c>
      <c r="L1449" s="29">
        <f>IFERROR(E1449*C1449,0)</f>
      </c>
      <c r="M1449" s="29">
        <f>IFERROR((G1449*H1449*I1449/1000000)*D1449,0)</f>
      </c>
    </row>
    <row r="1450" spans="1:13" x14ac:dyDescent="0.25">
      <c r="A1450" s="16"/>
      <c r="E1450" s="27"/>
      <c r="F1450" t="s">
        <v>26</v>
      </c>
      <c r="G1450" s="28">
        <f>IFERROR(VLOOKUP(F1450,CARTON_LOOKUP!$A:$E,3,0),"")</f>
      </c>
      <c r="H1450" s="28">
        <f>IFERROR(VLOOKUP(F1450,CARTON_LOOKUP!$A:$E,4,0),"")</f>
      </c>
      <c r="I1450" s="28">
        <f>IFERROR(VLOOKUP(F1450,CARTON_LOOKUP!$A:$E,5,0),"")</f>
      </c>
      <c r="J1450" s="29">
        <f>IFERROR(VLOOKUP(F1450,CARTON_LOOKUP!$A:$E,2,0),"")</f>
      </c>
      <c r="K1450" s="29">
        <f>IFERROR(J1450*D1450,0)</f>
      </c>
      <c r="L1450" s="29">
        <f>IFERROR(E1450*C1450,0)</f>
      </c>
      <c r="M1450" s="29">
        <f>IFERROR((G1450*H1450*I1450/1000000)*D1450,0)</f>
      </c>
    </row>
    <row r="1451" spans="1:13" x14ac:dyDescent="0.25">
      <c r="A1451" s="16"/>
      <c r="E1451" s="27"/>
      <c r="F1451" t="s">
        <v>26</v>
      </c>
      <c r="G1451" s="28">
        <f>IFERROR(VLOOKUP(F1451,CARTON_LOOKUP!$A:$E,3,0),"")</f>
      </c>
      <c r="H1451" s="28">
        <f>IFERROR(VLOOKUP(F1451,CARTON_LOOKUP!$A:$E,4,0),"")</f>
      </c>
      <c r="I1451" s="28">
        <f>IFERROR(VLOOKUP(F1451,CARTON_LOOKUP!$A:$E,5,0),"")</f>
      </c>
      <c r="J1451" s="29">
        <f>IFERROR(VLOOKUP(F1451,CARTON_LOOKUP!$A:$E,2,0),"")</f>
      </c>
      <c r="K1451" s="29">
        <f>IFERROR(J1451*D1451,0)</f>
      </c>
      <c r="L1451" s="29">
        <f>IFERROR(E1451*C1451,0)</f>
      </c>
      <c r="M1451" s="29">
        <f>IFERROR((G1451*H1451*I1451/1000000)*D1451,0)</f>
      </c>
    </row>
    <row r="1452" spans="1:13" x14ac:dyDescent="0.25">
      <c r="A1452" s="16"/>
      <c r="E1452" s="27"/>
      <c r="F1452" t="s">
        <v>26</v>
      </c>
      <c r="G1452" s="28">
        <f>IFERROR(VLOOKUP(F1452,CARTON_LOOKUP!$A:$E,3,0),"")</f>
      </c>
      <c r="H1452" s="28">
        <f>IFERROR(VLOOKUP(F1452,CARTON_LOOKUP!$A:$E,4,0),"")</f>
      </c>
      <c r="I1452" s="28">
        <f>IFERROR(VLOOKUP(F1452,CARTON_LOOKUP!$A:$E,5,0),"")</f>
      </c>
      <c r="J1452" s="29">
        <f>IFERROR(VLOOKUP(F1452,CARTON_LOOKUP!$A:$E,2,0),"")</f>
      </c>
      <c r="K1452" s="29">
        <f>IFERROR(J1452*D1452,0)</f>
      </c>
      <c r="L1452" s="29">
        <f>IFERROR(E1452*C1452,0)</f>
      </c>
      <c r="M1452" s="29">
        <f>IFERROR((G1452*H1452*I1452/1000000)*D1452,0)</f>
      </c>
    </row>
    <row r="1453" spans="1:13" x14ac:dyDescent="0.25">
      <c r="A1453" s="16"/>
      <c r="E1453" s="27"/>
      <c r="F1453" t="s">
        <v>26</v>
      </c>
      <c r="G1453" s="28">
        <f>IFERROR(VLOOKUP(F1453,CARTON_LOOKUP!$A:$E,3,0),"")</f>
      </c>
      <c r="H1453" s="28">
        <f>IFERROR(VLOOKUP(F1453,CARTON_LOOKUP!$A:$E,4,0),"")</f>
      </c>
      <c r="I1453" s="28">
        <f>IFERROR(VLOOKUP(F1453,CARTON_LOOKUP!$A:$E,5,0),"")</f>
      </c>
      <c r="J1453" s="29">
        <f>IFERROR(VLOOKUP(F1453,CARTON_LOOKUP!$A:$E,2,0),"")</f>
      </c>
      <c r="K1453" s="29">
        <f>IFERROR(J1453*D1453,0)</f>
      </c>
      <c r="L1453" s="29">
        <f>IFERROR(E1453*C1453,0)</f>
      </c>
      <c r="M1453" s="29">
        <f>IFERROR((G1453*H1453*I1453/1000000)*D1453,0)</f>
      </c>
    </row>
    <row r="1454" spans="1:13" x14ac:dyDescent="0.25">
      <c r="A1454" s="16"/>
      <c r="E1454" s="27"/>
      <c r="F1454" t="s">
        <v>26</v>
      </c>
      <c r="G1454" s="28">
        <f>IFERROR(VLOOKUP(F1454,CARTON_LOOKUP!$A:$E,3,0),"")</f>
      </c>
      <c r="H1454" s="28">
        <f>IFERROR(VLOOKUP(F1454,CARTON_LOOKUP!$A:$E,4,0),"")</f>
      </c>
      <c r="I1454" s="28">
        <f>IFERROR(VLOOKUP(F1454,CARTON_LOOKUP!$A:$E,5,0),"")</f>
      </c>
      <c r="J1454" s="29">
        <f>IFERROR(VLOOKUP(F1454,CARTON_LOOKUP!$A:$E,2,0),"")</f>
      </c>
      <c r="K1454" s="29">
        <f>IFERROR(J1454*D1454,0)</f>
      </c>
      <c r="L1454" s="29">
        <f>IFERROR(E1454*C1454,0)</f>
      </c>
      <c r="M1454" s="29">
        <f>IFERROR((G1454*H1454*I1454/1000000)*D1454,0)</f>
      </c>
    </row>
    <row r="1455" spans="1:13" x14ac:dyDescent="0.25">
      <c r="A1455" s="16"/>
      <c r="E1455" s="27"/>
      <c r="F1455" t="s">
        <v>26</v>
      </c>
      <c r="G1455" s="28">
        <f>IFERROR(VLOOKUP(F1455,CARTON_LOOKUP!$A:$E,3,0),"")</f>
      </c>
      <c r="H1455" s="28">
        <f>IFERROR(VLOOKUP(F1455,CARTON_LOOKUP!$A:$E,4,0),"")</f>
      </c>
      <c r="I1455" s="28">
        <f>IFERROR(VLOOKUP(F1455,CARTON_LOOKUP!$A:$E,5,0),"")</f>
      </c>
      <c r="J1455" s="29">
        <f>IFERROR(VLOOKUP(F1455,CARTON_LOOKUP!$A:$E,2,0),"")</f>
      </c>
      <c r="K1455" s="29">
        <f>IFERROR(J1455*D1455,0)</f>
      </c>
      <c r="L1455" s="29">
        <f>IFERROR(E1455*C1455,0)</f>
      </c>
      <c r="M1455" s="29">
        <f>IFERROR((G1455*H1455*I1455/1000000)*D1455,0)</f>
      </c>
    </row>
    <row r="1456" spans="1:13" x14ac:dyDescent="0.25">
      <c r="A1456" s="16"/>
      <c r="E1456" s="27"/>
      <c r="F1456" t="s">
        <v>26</v>
      </c>
      <c r="G1456" s="28">
        <f>IFERROR(VLOOKUP(F1456,CARTON_LOOKUP!$A:$E,3,0),"")</f>
      </c>
      <c r="H1456" s="28">
        <f>IFERROR(VLOOKUP(F1456,CARTON_LOOKUP!$A:$E,4,0),"")</f>
      </c>
      <c r="I1456" s="28">
        <f>IFERROR(VLOOKUP(F1456,CARTON_LOOKUP!$A:$E,5,0),"")</f>
      </c>
      <c r="J1456" s="29">
        <f>IFERROR(VLOOKUP(F1456,CARTON_LOOKUP!$A:$E,2,0),"")</f>
      </c>
      <c r="K1456" s="29">
        <f>IFERROR(J1456*D1456,0)</f>
      </c>
      <c r="L1456" s="29">
        <f>IFERROR(E1456*C1456,0)</f>
      </c>
      <c r="M1456" s="29">
        <f>IFERROR((G1456*H1456*I1456/1000000)*D1456,0)</f>
      </c>
    </row>
    <row r="1457" spans="1:13" x14ac:dyDescent="0.25">
      <c r="A1457" s="16"/>
      <c r="E1457" s="27"/>
      <c r="F1457" t="s">
        <v>26</v>
      </c>
      <c r="G1457" s="28">
        <f>IFERROR(VLOOKUP(F1457,CARTON_LOOKUP!$A:$E,3,0),"")</f>
      </c>
      <c r="H1457" s="28">
        <f>IFERROR(VLOOKUP(F1457,CARTON_LOOKUP!$A:$E,4,0),"")</f>
      </c>
      <c r="I1457" s="28">
        <f>IFERROR(VLOOKUP(F1457,CARTON_LOOKUP!$A:$E,5,0),"")</f>
      </c>
      <c r="J1457" s="29">
        <f>IFERROR(VLOOKUP(F1457,CARTON_LOOKUP!$A:$E,2,0),"")</f>
      </c>
      <c r="K1457" s="29">
        <f>IFERROR(J1457*D1457,0)</f>
      </c>
      <c r="L1457" s="29">
        <f>IFERROR(E1457*C1457,0)</f>
      </c>
      <c r="M1457" s="29">
        <f>IFERROR((G1457*H1457*I1457/1000000)*D1457,0)</f>
      </c>
    </row>
    <row r="1458" spans="1:13" x14ac:dyDescent="0.25">
      <c r="A1458" s="16"/>
      <c r="E1458" s="27"/>
      <c r="F1458" t="s">
        <v>26</v>
      </c>
      <c r="G1458" s="28">
        <f>IFERROR(VLOOKUP(F1458,CARTON_LOOKUP!$A:$E,3,0),"")</f>
      </c>
      <c r="H1458" s="28">
        <f>IFERROR(VLOOKUP(F1458,CARTON_LOOKUP!$A:$E,4,0),"")</f>
      </c>
      <c r="I1458" s="28">
        <f>IFERROR(VLOOKUP(F1458,CARTON_LOOKUP!$A:$E,5,0),"")</f>
      </c>
      <c r="J1458" s="29">
        <f>IFERROR(VLOOKUP(F1458,CARTON_LOOKUP!$A:$E,2,0),"")</f>
      </c>
      <c r="K1458" s="29">
        <f>IFERROR(J1458*D1458,0)</f>
      </c>
      <c r="L1458" s="29">
        <f>IFERROR(E1458*C1458,0)</f>
      </c>
      <c r="M1458" s="29">
        <f>IFERROR((G1458*H1458*I1458/1000000)*D1458,0)</f>
      </c>
    </row>
    <row r="1459" spans="1:13" x14ac:dyDescent="0.25">
      <c r="A1459" s="16"/>
      <c r="E1459" s="27"/>
      <c r="F1459" t="s">
        <v>26</v>
      </c>
      <c r="G1459" s="28">
        <f>IFERROR(VLOOKUP(F1459,CARTON_LOOKUP!$A:$E,3,0),"")</f>
      </c>
      <c r="H1459" s="28">
        <f>IFERROR(VLOOKUP(F1459,CARTON_LOOKUP!$A:$E,4,0),"")</f>
      </c>
      <c r="I1459" s="28">
        <f>IFERROR(VLOOKUP(F1459,CARTON_LOOKUP!$A:$E,5,0),"")</f>
      </c>
      <c r="J1459" s="29">
        <f>IFERROR(VLOOKUP(F1459,CARTON_LOOKUP!$A:$E,2,0),"")</f>
      </c>
      <c r="K1459" s="29">
        <f>IFERROR(J1459*D1459,0)</f>
      </c>
      <c r="L1459" s="29">
        <f>IFERROR(E1459*C1459,0)</f>
      </c>
      <c r="M1459" s="29">
        <f>IFERROR((G1459*H1459*I1459/1000000)*D1459,0)</f>
      </c>
    </row>
    <row r="1460" spans="1:13" x14ac:dyDescent="0.25">
      <c r="A1460" s="16"/>
      <c r="E1460" s="27"/>
      <c r="F1460" t="s">
        <v>26</v>
      </c>
      <c r="G1460" s="28">
        <f>IFERROR(VLOOKUP(F1460,CARTON_LOOKUP!$A:$E,3,0),"")</f>
      </c>
      <c r="H1460" s="28">
        <f>IFERROR(VLOOKUP(F1460,CARTON_LOOKUP!$A:$E,4,0),"")</f>
      </c>
      <c r="I1460" s="28">
        <f>IFERROR(VLOOKUP(F1460,CARTON_LOOKUP!$A:$E,5,0),"")</f>
      </c>
      <c r="J1460" s="29">
        <f>IFERROR(VLOOKUP(F1460,CARTON_LOOKUP!$A:$E,2,0),"")</f>
      </c>
      <c r="K1460" s="29">
        <f>IFERROR(J1460*D1460,0)</f>
      </c>
      <c r="L1460" s="29">
        <f>IFERROR(E1460*C1460,0)</f>
      </c>
      <c r="M1460" s="29">
        <f>IFERROR((G1460*H1460*I1460/1000000)*D1460,0)</f>
      </c>
    </row>
    <row r="1461" spans="1:13" x14ac:dyDescent="0.25">
      <c r="A1461" s="16"/>
      <c r="E1461" s="27"/>
      <c r="F1461" t="s">
        <v>26</v>
      </c>
      <c r="G1461" s="28">
        <f>IFERROR(VLOOKUP(F1461,CARTON_LOOKUP!$A:$E,3,0),"")</f>
      </c>
      <c r="H1461" s="28">
        <f>IFERROR(VLOOKUP(F1461,CARTON_LOOKUP!$A:$E,4,0),"")</f>
      </c>
      <c r="I1461" s="28">
        <f>IFERROR(VLOOKUP(F1461,CARTON_LOOKUP!$A:$E,5,0),"")</f>
      </c>
      <c r="J1461" s="29">
        <f>IFERROR(VLOOKUP(F1461,CARTON_LOOKUP!$A:$E,2,0),"")</f>
      </c>
      <c r="K1461" s="29">
        <f>IFERROR(J1461*D1461,0)</f>
      </c>
      <c r="L1461" s="29">
        <f>IFERROR(E1461*C1461,0)</f>
      </c>
      <c r="M1461" s="29">
        <f>IFERROR((G1461*H1461*I1461/1000000)*D1461,0)</f>
      </c>
    </row>
    <row r="1462" spans="1:13" x14ac:dyDescent="0.25">
      <c r="A1462" s="16"/>
      <c r="E1462" s="27"/>
      <c r="F1462" t="s">
        <v>26</v>
      </c>
      <c r="G1462" s="28">
        <f>IFERROR(VLOOKUP(F1462,CARTON_LOOKUP!$A:$E,3,0),"")</f>
      </c>
      <c r="H1462" s="28">
        <f>IFERROR(VLOOKUP(F1462,CARTON_LOOKUP!$A:$E,4,0),"")</f>
      </c>
      <c r="I1462" s="28">
        <f>IFERROR(VLOOKUP(F1462,CARTON_LOOKUP!$A:$E,5,0),"")</f>
      </c>
      <c r="J1462" s="29">
        <f>IFERROR(VLOOKUP(F1462,CARTON_LOOKUP!$A:$E,2,0),"")</f>
      </c>
      <c r="K1462" s="29">
        <f>IFERROR(J1462*D1462,0)</f>
      </c>
      <c r="L1462" s="29">
        <f>IFERROR(E1462*C1462,0)</f>
      </c>
      <c r="M1462" s="29">
        <f>IFERROR((G1462*H1462*I1462/1000000)*D1462,0)</f>
      </c>
    </row>
    <row r="1463" spans="1:13" x14ac:dyDescent="0.25">
      <c r="A1463" s="16"/>
      <c r="E1463" s="27"/>
      <c r="F1463" t="s">
        <v>26</v>
      </c>
      <c r="G1463" s="28">
        <f>IFERROR(VLOOKUP(F1463,CARTON_LOOKUP!$A:$E,3,0),"")</f>
      </c>
      <c r="H1463" s="28">
        <f>IFERROR(VLOOKUP(F1463,CARTON_LOOKUP!$A:$E,4,0),"")</f>
      </c>
      <c r="I1463" s="28">
        <f>IFERROR(VLOOKUP(F1463,CARTON_LOOKUP!$A:$E,5,0),"")</f>
      </c>
      <c r="J1463" s="29">
        <f>IFERROR(VLOOKUP(F1463,CARTON_LOOKUP!$A:$E,2,0),"")</f>
      </c>
      <c r="K1463" s="29">
        <f>IFERROR(J1463*D1463,0)</f>
      </c>
      <c r="L1463" s="29">
        <f>IFERROR(E1463*C1463,0)</f>
      </c>
      <c r="M1463" s="29">
        <f>IFERROR((G1463*H1463*I1463/1000000)*D1463,0)</f>
      </c>
    </row>
    <row r="1464" spans="1:13" x14ac:dyDescent="0.25">
      <c r="A1464" s="16"/>
      <c r="E1464" s="27"/>
      <c r="F1464" t="s">
        <v>26</v>
      </c>
      <c r="G1464" s="28">
        <f>IFERROR(VLOOKUP(F1464,CARTON_LOOKUP!$A:$E,3,0),"")</f>
      </c>
      <c r="H1464" s="28">
        <f>IFERROR(VLOOKUP(F1464,CARTON_LOOKUP!$A:$E,4,0),"")</f>
      </c>
      <c r="I1464" s="28">
        <f>IFERROR(VLOOKUP(F1464,CARTON_LOOKUP!$A:$E,5,0),"")</f>
      </c>
      <c r="J1464" s="29">
        <f>IFERROR(VLOOKUP(F1464,CARTON_LOOKUP!$A:$E,2,0),"")</f>
      </c>
      <c r="K1464" s="29">
        <f>IFERROR(J1464*D1464,0)</f>
      </c>
      <c r="L1464" s="29">
        <f>IFERROR(E1464*C1464,0)</f>
      </c>
      <c r="M1464" s="29">
        <f>IFERROR((G1464*H1464*I1464/1000000)*D1464,0)</f>
      </c>
    </row>
    <row r="1465" spans="1:13" x14ac:dyDescent="0.25">
      <c r="A1465" s="16"/>
      <c r="E1465" s="27"/>
      <c r="F1465" t="s">
        <v>26</v>
      </c>
      <c r="G1465" s="28">
        <f>IFERROR(VLOOKUP(F1465,CARTON_LOOKUP!$A:$E,3,0),"")</f>
      </c>
      <c r="H1465" s="28">
        <f>IFERROR(VLOOKUP(F1465,CARTON_LOOKUP!$A:$E,4,0),"")</f>
      </c>
      <c r="I1465" s="28">
        <f>IFERROR(VLOOKUP(F1465,CARTON_LOOKUP!$A:$E,5,0),"")</f>
      </c>
      <c r="J1465" s="29">
        <f>IFERROR(VLOOKUP(F1465,CARTON_LOOKUP!$A:$E,2,0),"")</f>
      </c>
      <c r="K1465" s="29">
        <f>IFERROR(J1465*D1465,0)</f>
      </c>
      <c r="L1465" s="29">
        <f>IFERROR(E1465*C1465,0)</f>
      </c>
      <c r="M1465" s="29">
        <f>IFERROR((G1465*H1465*I1465/1000000)*D1465,0)</f>
      </c>
    </row>
    <row r="1466" spans="1:13" x14ac:dyDescent="0.25">
      <c r="A1466" s="16"/>
      <c r="E1466" s="27"/>
      <c r="F1466" t="s">
        <v>26</v>
      </c>
      <c r="G1466" s="28">
        <f>IFERROR(VLOOKUP(F1466,CARTON_LOOKUP!$A:$E,3,0),"")</f>
      </c>
      <c r="H1466" s="28">
        <f>IFERROR(VLOOKUP(F1466,CARTON_LOOKUP!$A:$E,4,0),"")</f>
      </c>
      <c r="I1466" s="28">
        <f>IFERROR(VLOOKUP(F1466,CARTON_LOOKUP!$A:$E,5,0),"")</f>
      </c>
      <c r="J1466" s="29">
        <f>IFERROR(VLOOKUP(F1466,CARTON_LOOKUP!$A:$E,2,0),"")</f>
      </c>
      <c r="K1466" s="29">
        <f>IFERROR(J1466*D1466,0)</f>
      </c>
      <c r="L1466" s="29">
        <f>IFERROR(E1466*C1466,0)</f>
      </c>
      <c r="M1466" s="29">
        <f>IFERROR((G1466*H1466*I1466/1000000)*D1466,0)</f>
      </c>
    </row>
    <row r="1467" spans="1:13" x14ac:dyDescent="0.25">
      <c r="A1467" s="16"/>
      <c r="E1467" s="27"/>
      <c r="F1467" t="s">
        <v>26</v>
      </c>
      <c r="G1467" s="28">
        <f>IFERROR(VLOOKUP(F1467,CARTON_LOOKUP!$A:$E,3,0),"")</f>
      </c>
      <c r="H1467" s="28">
        <f>IFERROR(VLOOKUP(F1467,CARTON_LOOKUP!$A:$E,4,0),"")</f>
      </c>
      <c r="I1467" s="28">
        <f>IFERROR(VLOOKUP(F1467,CARTON_LOOKUP!$A:$E,5,0),"")</f>
      </c>
      <c r="J1467" s="29">
        <f>IFERROR(VLOOKUP(F1467,CARTON_LOOKUP!$A:$E,2,0),"")</f>
      </c>
      <c r="K1467" s="29">
        <f>IFERROR(J1467*D1467,0)</f>
      </c>
      <c r="L1467" s="29">
        <f>IFERROR(E1467*C1467,0)</f>
      </c>
      <c r="M1467" s="29">
        <f>IFERROR((G1467*H1467*I1467/1000000)*D1467,0)</f>
      </c>
    </row>
    <row r="1468" spans="1:13" x14ac:dyDescent="0.25">
      <c r="A1468" s="16"/>
      <c r="E1468" s="27"/>
      <c r="F1468" t="s">
        <v>26</v>
      </c>
      <c r="G1468" s="28">
        <f>IFERROR(VLOOKUP(F1468,CARTON_LOOKUP!$A:$E,3,0),"")</f>
      </c>
      <c r="H1468" s="28">
        <f>IFERROR(VLOOKUP(F1468,CARTON_LOOKUP!$A:$E,4,0),"")</f>
      </c>
      <c r="I1468" s="28">
        <f>IFERROR(VLOOKUP(F1468,CARTON_LOOKUP!$A:$E,5,0),"")</f>
      </c>
      <c r="J1468" s="29">
        <f>IFERROR(VLOOKUP(F1468,CARTON_LOOKUP!$A:$E,2,0),"")</f>
      </c>
      <c r="K1468" s="29">
        <f>IFERROR(J1468*D1468,0)</f>
      </c>
      <c r="L1468" s="29">
        <f>IFERROR(E1468*C1468,0)</f>
      </c>
      <c r="M1468" s="29">
        <f>IFERROR((G1468*H1468*I1468/1000000)*D1468,0)</f>
      </c>
    </row>
    <row r="1469" spans="1:13" x14ac:dyDescent="0.25">
      <c r="A1469" s="16"/>
      <c r="E1469" s="27"/>
      <c r="F1469" t="s">
        <v>26</v>
      </c>
      <c r="G1469" s="28">
        <f>IFERROR(VLOOKUP(F1469,CARTON_LOOKUP!$A:$E,3,0),"")</f>
      </c>
      <c r="H1469" s="28">
        <f>IFERROR(VLOOKUP(F1469,CARTON_LOOKUP!$A:$E,4,0),"")</f>
      </c>
      <c r="I1469" s="28">
        <f>IFERROR(VLOOKUP(F1469,CARTON_LOOKUP!$A:$E,5,0),"")</f>
      </c>
      <c r="J1469" s="29">
        <f>IFERROR(VLOOKUP(F1469,CARTON_LOOKUP!$A:$E,2,0),"")</f>
      </c>
      <c r="K1469" s="29">
        <f>IFERROR(J1469*D1469,0)</f>
      </c>
      <c r="L1469" s="29">
        <f>IFERROR(E1469*C1469,0)</f>
      </c>
      <c r="M1469" s="29">
        <f>IFERROR((G1469*H1469*I1469/1000000)*D1469,0)</f>
      </c>
    </row>
    <row r="1470" spans="1:13" x14ac:dyDescent="0.25">
      <c r="A1470" s="16"/>
      <c r="E1470" s="27"/>
      <c r="F1470" t="s">
        <v>26</v>
      </c>
      <c r="G1470" s="28">
        <f>IFERROR(VLOOKUP(F1470,CARTON_LOOKUP!$A:$E,3,0),"")</f>
      </c>
      <c r="H1470" s="28">
        <f>IFERROR(VLOOKUP(F1470,CARTON_LOOKUP!$A:$E,4,0),"")</f>
      </c>
      <c r="I1470" s="28">
        <f>IFERROR(VLOOKUP(F1470,CARTON_LOOKUP!$A:$E,5,0),"")</f>
      </c>
      <c r="J1470" s="29">
        <f>IFERROR(VLOOKUP(F1470,CARTON_LOOKUP!$A:$E,2,0),"")</f>
      </c>
      <c r="K1470" s="29">
        <f>IFERROR(J1470*D1470,0)</f>
      </c>
      <c r="L1470" s="29">
        <f>IFERROR(E1470*C1470,0)</f>
      </c>
      <c r="M1470" s="29">
        <f>IFERROR((G1470*H1470*I1470/1000000)*D1470,0)</f>
      </c>
    </row>
    <row r="1471" spans="1:13" x14ac:dyDescent="0.25">
      <c r="A1471" s="16"/>
      <c r="E1471" s="27"/>
      <c r="F1471" t="s">
        <v>26</v>
      </c>
      <c r="G1471" s="28">
        <f>IFERROR(VLOOKUP(F1471,CARTON_LOOKUP!$A:$E,3,0),"")</f>
      </c>
      <c r="H1471" s="28">
        <f>IFERROR(VLOOKUP(F1471,CARTON_LOOKUP!$A:$E,4,0),"")</f>
      </c>
      <c r="I1471" s="28">
        <f>IFERROR(VLOOKUP(F1471,CARTON_LOOKUP!$A:$E,5,0),"")</f>
      </c>
      <c r="J1471" s="29">
        <f>IFERROR(VLOOKUP(F1471,CARTON_LOOKUP!$A:$E,2,0),"")</f>
      </c>
      <c r="K1471" s="29">
        <f>IFERROR(J1471*D1471,0)</f>
      </c>
      <c r="L1471" s="29">
        <f>IFERROR(E1471*C1471,0)</f>
      </c>
      <c r="M1471" s="29">
        <f>IFERROR((G1471*H1471*I1471/1000000)*D1471,0)</f>
      </c>
    </row>
    <row r="1472" spans="1:13" x14ac:dyDescent="0.25">
      <c r="A1472" s="16"/>
      <c r="E1472" s="27"/>
      <c r="F1472" t="s">
        <v>26</v>
      </c>
      <c r="G1472" s="28">
        <f>IFERROR(VLOOKUP(F1472,CARTON_LOOKUP!$A:$E,3,0),"")</f>
      </c>
      <c r="H1472" s="28">
        <f>IFERROR(VLOOKUP(F1472,CARTON_LOOKUP!$A:$E,4,0),"")</f>
      </c>
      <c r="I1472" s="28">
        <f>IFERROR(VLOOKUP(F1472,CARTON_LOOKUP!$A:$E,5,0),"")</f>
      </c>
      <c r="J1472" s="29">
        <f>IFERROR(VLOOKUP(F1472,CARTON_LOOKUP!$A:$E,2,0),"")</f>
      </c>
      <c r="K1472" s="29">
        <f>IFERROR(J1472*D1472,0)</f>
      </c>
      <c r="L1472" s="29">
        <f>IFERROR(E1472*C1472,0)</f>
      </c>
      <c r="M1472" s="29">
        <f>IFERROR((G1472*H1472*I1472/1000000)*D1472,0)</f>
      </c>
    </row>
    <row r="1473" spans="1:13" x14ac:dyDescent="0.25">
      <c r="A1473" s="16"/>
      <c r="E1473" s="27"/>
      <c r="F1473" t="s">
        <v>26</v>
      </c>
      <c r="G1473" s="28">
        <f>IFERROR(VLOOKUP(F1473,CARTON_LOOKUP!$A:$E,3,0),"")</f>
      </c>
      <c r="H1473" s="28">
        <f>IFERROR(VLOOKUP(F1473,CARTON_LOOKUP!$A:$E,4,0),"")</f>
      </c>
      <c r="I1473" s="28">
        <f>IFERROR(VLOOKUP(F1473,CARTON_LOOKUP!$A:$E,5,0),"")</f>
      </c>
      <c r="J1473" s="29">
        <f>IFERROR(VLOOKUP(F1473,CARTON_LOOKUP!$A:$E,2,0),"")</f>
      </c>
      <c r="K1473" s="29">
        <f>IFERROR(J1473*D1473,0)</f>
      </c>
      <c r="L1473" s="29">
        <f>IFERROR(E1473*C1473,0)</f>
      </c>
      <c r="M1473" s="29">
        <f>IFERROR((G1473*H1473*I1473/1000000)*D1473,0)</f>
      </c>
    </row>
    <row r="1474" spans="1:13" x14ac:dyDescent="0.25">
      <c r="A1474" s="16"/>
      <c r="E1474" s="27"/>
      <c r="F1474" t="s">
        <v>26</v>
      </c>
      <c r="G1474" s="28">
        <f>IFERROR(VLOOKUP(F1474,CARTON_LOOKUP!$A:$E,3,0),"")</f>
      </c>
      <c r="H1474" s="28">
        <f>IFERROR(VLOOKUP(F1474,CARTON_LOOKUP!$A:$E,4,0),"")</f>
      </c>
      <c r="I1474" s="28">
        <f>IFERROR(VLOOKUP(F1474,CARTON_LOOKUP!$A:$E,5,0),"")</f>
      </c>
      <c r="J1474" s="29">
        <f>IFERROR(VLOOKUP(F1474,CARTON_LOOKUP!$A:$E,2,0),"")</f>
      </c>
      <c r="K1474" s="29">
        <f>IFERROR(J1474*D1474,0)</f>
      </c>
      <c r="L1474" s="29">
        <f>IFERROR(E1474*C1474,0)</f>
      </c>
      <c r="M1474" s="29">
        <f>IFERROR((G1474*H1474*I1474/1000000)*D1474,0)</f>
      </c>
    </row>
    <row r="1475" spans="1:13" x14ac:dyDescent="0.25">
      <c r="A1475" s="16"/>
      <c r="E1475" s="27"/>
      <c r="F1475" t="s">
        <v>26</v>
      </c>
      <c r="G1475" s="28">
        <f>IFERROR(VLOOKUP(F1475,CARTON_LOOKUP!$A:$E,3,0),"")</f>
      </c>
      <c r="H1475" s="28">
        <f>IFERROR(VLOOKUP(F1475,CARTON_LOOKUP!$A:$E,4,0),"")</f>
      </c>
      <c r="I1475" s="28">
        <f>IFERROR(VLOOKUP(F1475,CARTON_LOOKUP!$A:$E,5,0),"")</f>
      </c>
      <c r="J1475" s="29">
        <f>IFERROR(VLOOKUP(F1475,CARTON_LOOKUP!$A:$E,2,0),"")</f>
      </c>
      <c r="K1475" s="29">
        <f>IFERROR(J1475*D1475,0)</f>
      </c>
      <c r="L1475" s="29">
        <f>IFERROR(E1475*C1475,0)</f>
      </c>
      <c r="M1475" s="29">
        <f>IFERROR((G1475*H1475*I1475/1000000)*D1475,0)</f>
      </c>
    </row>
    <row r="1476" spans="1:13" x14ac:dyDescent="0.25">
      <c r="A1476" s="16"/>
      <c r="E1476" s="27"/>
      <c r="F1476" t="s">
        <v>26</v>
      </c>
      <c r="G1476" s="28">
        <f>IFERROR(VLOOKUP(F1476,CARTON_LOOKUP!$A:$E,3,0),"")</f>
      </c>
      <c r="H1476" s="28">
        <f>IFERROR(VLOOKUP(F1476,CARTON_LOOKUP!$A:$E,4,0),"")</f>
      </c>
      <c r="I1476" s="28">
        <f>IFERROR(VLOOKUP(F1476,CARTON_LOOKUP!$A:$E,5,0),"")</f>
      </c>
      <c r="J1476" s="29">
        <f>IFERROR(VLOOKUP(F1476,CARTON_LOOKUP!$A:$E,2,0),"")</f>
      </c>
      <c r="K1476" s="29">
        <f>IFERROR(J1476*D1476,0)</f>
      </c>
      <c r="L1476" s="29">
        <f>IFERROR(E1476*C1476,0)</f>
      </c>
      <c r="M1476" s="29">
        <f>IFERROR((G1476*H1476*I1476/1000000)*D1476,0)</f>
      </c>
    </row>
    <row r="1477" spans="1:13" x14ac:dyDescent="0.25">
      <c r="A1477" s="16"/>
      <c r="E1477" s="27"/>
      <c r="F1477" t="s">
        <v>26</v>
      </c>
      <c r="G1477" s="28">
        <f>IFERROR(VLOOKUP(F1477,CARTON_LOOKUP!$A:$E,3,0),"")</f>
      </c>
      <c r="H1477" s="28">
        <f>IFERROR(VLOOKUP(F1477,CARTON_LOOKUP!$A:$E,4,0),"")</f>
      </c>
      <c r="I1477" s="28">
        <f>IFERROR(VLOOKUP(F1477,CARTON_LOOKUP!$A:$E,5,0),"")</f>
      </c>
      <c r="J1477" s="29">
        <f>IFERROR(VLOOKUP(F1477,CARTON_LOOKUP!$A:$E,2,0),"")</f>
      </c>
      <c r="K1477" s="29">
        <f>IFERROR(J1477*D1477,0)</f>
      </c>
      <c r="L1477" s="29">
        <f>IFERROR(E1477*C1477,0)</f>
      </c>
      <c r="M1477" s="29">
        <f>IFERROR((G1477*H1477*I1477/1000000)*D1477,0)</f>
      </c>
    </row>
    <row r="1478" spans="1:13" x14ac:dyDescent="0.25">
      <c r="A1478" s="16"/>
      <c r="E1478" s="27"/>
      <c r="F1478" t="s">
        <v>26</v>
      </c>
      <c r="G1478" s="28">
        <f>IFERROR(VLOOKUP(F1478,CARTON_LOOKUP!$A:$E,3,0),"")</f>
      </c>
      <c r="H1478" s="28">
        <f>IFERROR(VLOOKUP(F1478,CARTON_LOOKUP!$A:$E,4,0),"")</f>
      </c>
      <c r="I1478" s="28">
        <f>IFERROR(VLOOKUP(F1478,CARTON_LOOKUP!$A:$E,5,0),"")</f>
      </c>
      <c r="J1478" s="29">
        <f>IFERROR(VLOOKUP(F1478,CARTON_LOOKUP!$A:$E,2,0),"")</f>
      </c>
      <c r="K1478" s="29">
        <f>IFERROR(J1478*D1478,0)</f>
      </c>
      <c r="L1478" s="29">
        <f>IFERROR(E1478*C1478,0)</f>
      </c>
      <c r="M1478" s="29">
        <f>IFERROR((G1478*H1478*I1478/1000000)*D1478,0)</f>
      </c>
    </row>
    <row r="1479" spans="1:13" x14ac:dyDescent="0.25">
      <c r="A1479" s="16"/>
      <c r="E1479" s="27"/>
      <c r="F1479" t="s">
        <v>26</v>
      </c>
      <c r="G1479" s="28">
        <f>IFERROR(VLOOKUP(F1479,CARTON_LOOKUP!$A:$E,3,0),"")</f>
      </c>
      <c r="H1479" s="28">
        <f>IFERROR(VLOOKUP(F1479,CARTON_LOOKUP!$A:$E,4,0),"")</f>
      </c>
      <c r="I1479" s="28">
        <f>IFERROR(VLOOKUP(F1479,CARTON_LOOKUP!$A:$E,5,0),"")</f>
      </c>
      <c r="J1479" s="29">
        <f>IFERROR(VLOOKUP(F1479,CARTON_LOOKUP!$A:$E,2,0),"")</f>
      </c>
      <c r="K1479" s="29">
        <f>IFERROR(J1479*D1479,0)</f>
      </c>
      <c r="L1479" s="29">
        <f>IFERROR(E1479*C1479,0)</f>
      </c>
      <c r="M1479" s="29">
        <f>IFERROR((G1479*H1479*I1479/1000000)*D1479,0)</f>
      </c>
    </row>
    <row r="1480" spans="1:13" x14ac:dyDescent="0.25">
      <c r="A1480" s="16"/>
      <c r="E1480" s="27"/>
      <c r="F1480" t="s">
        <v>26</v>
      </c>
      <c r="G1480" s="28">
        <f>IFERROR(VLOOKUP(F1480,CARTON_LOOKUP!$A:$E,3,0),"")</f>
      </c>
      <c r="H1480" s="28">
        <f>IFERROR(VLOOKUP(F1480,CARTON_LOOKUP!$A:$E,4,0),"")</f>
      </c>
      <c r="I1480" s="28">
        <f>IFERROR(VLOOKUP(F1480,CARTON_LOOKUP!$A:$E,5,0),"")</f>
      </c>
      <c r="J1480" s="29">
        <f>IFERROR(VLOOKUP(F1480,CARTON_LOOKUP!$A:$E,2,0),"")</f>
      </c>
      <c r="K1480" s="29">
        <f>IFERROR(J1480*D1480,0)</f>
      </c>
      <c r="L1480" s="29">
        <f>IFERROR(E1480*C1480,0)</f>
      </c>
      <c r="M1480" s="29">
        <f>IFERROR((G1480*H1480*I1480/1000000)*D1480,0)</f>
      </c>
    </row>
    <row r="1481" spans="1:13" x14ac:dyDescent="0.25">
      <c r="A1481" s="16"/>
      <c r="E1481" s="27"/>
      <c r="F1481" t="s">
        <v>26</v>
      </c>
      <c r="G1481" s="28">
        <f>IFERROR(VLOOKUP(F1481,CARTON_LOOKUP!$A:$E,3,0),"")</f>
      </c>
      <c r="H1481" s="28">
        <f>IFERROR(VLOOKUP(F1481,CARTON_LOOKUP!$A:$E,4,0),"")</f>
      </c>
      <c r="I1481" s="28">
        <f>IFERROR(VLOOKUP(F1481,CARTON_LOOKUP!$A:$E,5,0),"")</f>
      </c>
      <c r="J1481" s="29">
        <f>IFERROR(VLOOKUP(F1481,CARTON_LOOKUP!$A:$E,2,0),"")</f>
      </c>
      <c r="K1481" s="29">
        <f>IFERROR(J1481*D1481,0)</f>
      </c>
      <c r="L1481" s="29">
        <f>IFERROR(E1481*C1481,0)</f>
      </c>
      <c r="M1481" s="29">
        <f>IFERROR((G1481*H1481*I1481/1000000)*D1481,0)</f>
      </c>
    </row>
    <row r="1482" spans="1:13" x14ac:dyDescent="0.25">
      <c r="A1482" s="16"/>
      <c r="E1482" s="27"/>
      <c r="F1482" t="s">
        <v>26</v>
      </c>
      <c r="G1482" s="28">
        <f>IFERROR(VLOOKUP(F1482,CARTON_LOOKUP!$A:$E,3,0),"")</f>
      </c>
      <c r="H1482" s="28">
        <f>IFERROR(VLOOKUP(F1482,CARTON_LOOKUP!$A:$E,4,0),"")</f>
      </c>
      <c r="I1482" s="28">
        <f>IFERROR(VLOOKUP(F1482,CARTON_LOOKUP!$A:$E,5,0),"")</f>
      </c>
      <c r="J1482" s="29">
        <f>IFERROR(VLOOKUP(F1482,CARTON_LOOKUP!$A:$E,2,0),"")</f>
      </c>
      <c r="K1482" s="29">
        <f>IFERROR(J1482*D1482,0)</f>
      </c>
      <c r="L1482" s="29">
        <f>IFERROR(E1482*C1482,0)</f>
      </c>
      <c r="M1482" s="29">
        <f>IFERROR((G1482*H1482*I1482/1000000)*D1482,0)</f>
      </c>
    </row>
    <row r="1483" spans="1:13" x14ac:dyDescent="0.25">
      <c r="A1483" s="16"/>
      <c r="E1483" s="27"/>
      <c r="F1483" t="s">
        <v>26</v>
      </c>
      <c r="G1483" s="28">
        <f>IFERROR(VLOOKUP(F1483,CARTON_LOOKUP!$A:$E,3,0),"")</f>
      </c>
      <c r="H1483" s="28">
        <f>IFERROR(VLOOKUP(F1483,CARTON_LOOKUP!$A:$E,4,0),"")</f>
      </c>
      <c r="I1483" s="28">
        <f>IFERROR(VLOOKUP(F1483,CARTON_LOOKUP!$A:$E,5,0),"")</f>
      </c>
      <c r="J1483" s="29">
        <f>IFERROR(VLOOKUP(F1483,CARTON_LOOKUP!$A:$E,2,0),"")</f>
      </c>
      <c r="K1483" s="29">
        <f>IFERROR(J1483*D1483,0)</f>
      </c>
      <c r="L1483" s="29">
        <f>IFERROR(E1483*C1483,0)</f>
      </c>
      <c r="M1483" s="29">
        <f>IFERROR((G1483*H1483*I1483/1000000)*D1483,0)</f>
      </c>
    </row>
    <row r="1484" spans="1:13" x14ac:dyDescent="0.25">
      <c r="A1484" s="16"/>
      <c r="E1484" s="27"/>
      <c r="F1484" t="s">
        <v>26</v>
      </c>
      <c r="G1484" s="28">
        <f>IFERROR(VLOOKUP(F1484,CARTON_LOOKUP!$A:$E,3,0),"")</f>
      </c>
      <c r="H1484" s="28">
        <f>IFERROR(VLOOKUP(F1484,CARTON_LOOKUP!$A:$E,4,0),"")</f>
      </c>
      <c r="I1484" s="28">
        <f>IFERROR(VLOOKUP(F1484,CARTON_LOOKUP!$A:$E,5,0),"")</f>
      </c>
      <c r="J1484" s="29">
        <f>IFERROR(VLOOKUP(F1484,CARTON_LOOKUP!$A:$E,2,0),"")</f>
      </c>
      <c r="K1484" s="29">
        <f>IFERROR(J1484*D1484,0)</f>
      </c>
      <c r="L1484" s="29">
        <f>IFERROR(E1484*C1484,0)</f>
      </c>
      <c r="M1484" s="29">
        <f>IFERROR((G1484*H1484*I1484/1000000)*D1484,0)</f>
      </c>
    </row>
    <row r="1485" spans="1:13" x14ac:dyDescent="0.25">
      <c r="A1485" s="16"/>
      <c r="E1485" s="27"/>
      <c r="F1485" t="s">
        <v>26</v>
      </c>
      <c r="G1485" s="28">
        <f>IFERROR(VLOOKUP(F1485,CARTON_LOOKUP!$A:$E,3,0),"")</f>
      </c>
      <c r="H1485" s="28">
        <f>IFERROR(VLOOKUP(F1485,CARTON_LOOKUP!$A:$E,4,0),"")</f>
      </c>
      <c r="I1485" s="28">
        <f>IFERROR(VLOOKUP(F1485,CARTON_LOOKUP!$A:$E,5,0),"")</f>
      </c>
      <c r="J1485" s="29">
        <f>IFERROR(VLOOKUP(F1485,CARTON_LOOKUP!$A:$E,2,0),"")</f>
      </c>
      <c r="K1485" s="29">
        <f>IFERROR(J1485*D1485,0)</f>
      </c>
      <c r="L1485" s="29">
        <f>IFERROR(E1485*C1485,0)</f>
      </c>
      <c r="M1485" s="29">
        <f>IFERROR((G1485*H1485*I1485/1000000)*D1485,0)</f>
      </c>
    </row>
    <row r="1486" spans="1:13" x14ac:dyDescent="0.25">
      <c r="A1486" s="16"/>
      <c r="E1486" s="27"/>
      <c r="F1486" t="s">
        <v>26</v>
      </c>
      <c r="G1486" s="28">
        <f>IFERROR(VLOOKUP(F1486,CARTON_LOOKUP!$A:$E,3,0),"")</f>
      </c>
      <c r="H1486" s="28">
        <f>IFERROR(VLOOKUP(F1486,CARTON_LOOKUP!$A:$E,4,0),"")</f>
      </c>
      <c r="I1486" s="28">
        <f>IFERROR(VLOOKUP(F1486,CARTON_LOOKUP!$A:$E,5,0),"")</f>
      </c>
      <c r="J1486" s="29">
        <f>IFERROR(VLOOKUP(F1486,CARTON_LOOKUP!$A:$E,2,0),"")</f>
      </c>
      <c r="K1486" s="29">
        <f>IFERROR(J1486*D1486,0)</f>
      </c>
      <c r="L1486" s="29">
        <f>IFERROR(E1486*C1486,0)</f>
      </c>
      <c r="M1486" s="29">
        <f>IFERROR((G1486*H1486*I1486/1000000)*D1486,0)</f>
      </c>
    </row>
    <row r="1487" spans="1:13" x14ac:dyDescent="0.25">
      <c r="A1487" s="16"/>
      <c r="E1487" s="27"/>
      <c r="F1487" t="s">
        <v>26</v>
      </c>
      <c r="G1487" s="28">
        <f>IFERROR(VLOOKUP(F1487,CARTON_LOOKUP!$A:$E,3,0),"")</f>
      </c>
      <c r="H1487" s="28">
        <f>IFERROR(VLOOKUP(F1487,CARTON_LOOKUP!$A:$E,4,0),"")</f>
      </c>
      <c r="I1487" s="28">
        <f>IFERROR(VLOOKUP(F1487,CARTON_LOOKUP!$A:$E,5,0),"")</f>
      </c>
      <c r="J1487" s="29">
        <f>IFERROR(VLOOKUP(F1487,CARTON_LOOKUP!$A:$E,2,0),"")</f>
      </c>
      <c r="K1487" s="29">
        <f>IFERROR(J1487*D1487,0)</f>
      </c>
      <c r="L1487" s="29">
        <f>IFERROR(E1487*C1487,0)</f>
      </c>
      <c r="M1487" s="29">
        <f>IFERROR((G1487*H1487*I1487/1000000)*D1487,0)</f>
      </c>
    </row>
    <row r="1488" spans="1:13" x14ac:dyDescent="0.25">
      <c r="A1488" s="16"/>
      <c r="E1488" s="27"/>
      <c r="F1488" t="s">
        <v>26</v>
      </c>
      <c r="G1488" s="28">
        <f>IFERROR(VLOOKUP(F1488,CARTON_LOOKUP!$A:$E,3,0),"")</f>
      </c>
      <c r="H1488" s="28">
        <f>IFERROR(VLOOKUP(F1488,CARTON_LOOKUP!$A:$E,4,0),"")</f>
      </c>
      <c r="I1488" s="28">
        <f>IFERROR(VLOOKUP(F1488,CARTON_LOOKUP!$A:$E,5,0),"")</f>
      </c>
      <c r="J1488" s="29">
        <f>IFERROR(VLOOKUP(F1488,CARTON_LOOKUP!$A:$E,2,0),"")</f>
      </c>
      <c r="K1488" s="29">
        <f>IFERROR(J1488*D1488,0)</f>
      </c>
      <c r="L1488" s="29">
        <f>IFERROR(E1488*C1488,0)</f>
      </c>
      <c r="M1488" s="29">
        <f>IFERROR((G1488*H1488*I1488/1000000)*D1488,0)</f>
      </c>
    </row>
    <row r="1489" spans="1:13" x14ac:dyDescent="0.25">
      <c r="A1489" s="16"/>
      <c r="E1489" s="27"/>
      <c r="F1489" t="s">
        <v>26</v>
      </c>
      <c r="G1489" s="28">
        <f>IFERROR(VLOOKUP(F1489,CARTON_LOOKUP!$A:$E,3,0),"")</f>
      </c>
      <c r="H1489" s="28">
        <f>IFERROR(VLOOKUP(F1489,CARTON_LOOKUP!$A:$E,4,0),"")</f>
      </c>
      <c r="I1489" s="28">
        <f>IFERROR(VLOOKUP(F1489,CARTON_LOOKUP!$A:$E,5,0),"")</f>
      </c>
      <c r="J1489" s="29">
        <f>IFERROR(VLOOKUP(F1489,CARTON_LOOKUP!$A:$E,2,0),"")</f>
      </c>
      <c r="K1489" s="29">
        <f>IFERROR(J1489*D1489,0)</f>
      </c>
      <c r="L1489" s="29">
        <f>IFERROR(E1489*C1489,0)</f>
      </c>
      <c r="M1489" s="29">
        <f>IFERROR((G1489*H1489*I1489/1000000)*D1489,0)</f>
      </c>
    </row>
    <row r="1490" spans="1:13" x14ac:dyDescent="0.25">
      <c r="A1490" s="16"/>
      <c r="E1490" s="27"/>
      <c r="F1490" t="s">
        <v>26</v>
      </c>
      <c r="G1490" s="28">
        <f>IFERROR(VLOOKUP(F1490,CARTON_LOOKUP!$A:$E,3,0),"")</f>
      </c>
      <c r="H1490" s="28">
        <f>IFERROR(VLOOKUP(F1490,CARTON_LOOKUP!$A:$E,4,0),"")</f>
      </c>
      <c r="I1490" s="28">
        <f>IFERROR(VLOOKUP(F1490,CARTON_LOOKUP!$A:$E,5,0),"")</f>
      </c>
      <c r="J1490" s="29">
        <f>IFERROR(VLOOKUP(F1490,CARTON_LOOKUP!$A:$E,2,0),"")</f>
      </c>
      <c r="K1490" s="29">
        <f>IFERROR(J1490*D1490,0)</f>
      </c>
      <c r="L1490" s="29">
        <f>IFERROR(E1490*C1490,0)</f>
      </c>
      <c r="M1490" s="29">
        <f>IFERROR((G1490*H1490*I1490/1000000)*D1490,0)</f>
      </c>
    </row>
    <row r="1491" spans="1:13" x14ac:dyDescent="0.25">
      <c r="A1491" s="16"/>
      <c r="E1491" s="27"/>
      <c r="F1491" t="s">
        <v>26</v>
      </c>
      <c r="G1491" s="28">
        <f>IFERROR(VLOOKUP(F1491,CARTON_LOOKUP!$A:$E,3,0),"")</f>
      </c>
      <c r="H1491" s="28">
        <f>IFERROR(VLOOKUP(F1491,CARTON_LOOKUP!$A:$E,4,0),"")</f>
      </c>
      <c r="I1491" s="28">
        <f>IFERROR(VLOOKUP(F1491,CARTON_LOOKUP!$A:$E,5,0),"")</f>
      </c>
      <c r="J1491" s="29">
        <f>IFERROR(VLOOKUP(F1491,CARTON_LOOKUP!$A:$E,2,0),"")</f>
      </c>
      <c r="K1491" s="29">
        <f>IFERROR(J1491*D1491,0)</f>
      </c>
      <c r="L1491" s="29">
        <f>IFERROR(E1491*C1491,0)</f>
      </c>
      <c r="M1491" s="29">
        <f>IFERROR((G1491*H1491*I1491/1000000)*D1491,0)</f>
      </c>
    </row>
    <row r="1492" spans="1:13" x14ac:dyDescent="0.25">
      <c r="A1492" s="16"/>
      <c r="E1492" s="27"/>
      <c r="F1492" t="s">
        <v>26</v>
      </c>
      <c r="G1492" s="28">
        <f>IFERROR(VLOOKUP(F1492,CARTON_LOOKUP!$A:$E,3,0),"")</f>
      </c>
      <c r="H1492" s="28">
        <f>IFERROR(VLOOKUP(F1492,CARTON_LOOKUP!$A:$E,4,0),"")</f>
      </c>
      <c r="I1492" s="28">
        <f>IFERROR(VLOOKUP(F1492,CARTON_LOOKUP!$A:$E,5,0),"")</f>
      </c>
      <c r="J1492" s="29">
        <f>IFERROR(VLOOKUP(F1492,CARTON_LOOKUP!$A:$E,2,0),"")</f>
      </c>
      <c r="K1492" s="29">
        <f>IFERROR(J1492*D1492,0)</f>
      </c>
      <c r="L1492" s="29">
        <f>IFERROR(E1492*C1492,0)</f>
      </c>
      <c r="M1492" s="29">
        <f>IFERROR((G1492*H1492*I1492/1000000)*D1492,0)</f>
      </c>
    </row>
    <row r="1493" spans="1:13" x14ac:dyDescent="0.25">
      <c r="A1493" s="16"/>
      <c r="E1493" s="27"/>
      <c r="F1493" t="s">
        <v>26</v>
      </c>
      <c r="G1493" s="28">
        <f>IFERROR(VLOOKUP(F1493,CARTON_LOOKUP!$A:$E,3,0),"")</f>
      </c>
      <c r="H1493" s="28">
        <f>IFERROR(VLOOKUP(F1493,CARTON_LOOKUP!$A:$E,4,0),"")</f>
      </c>
      <c r="I1493" s="28">
        <f>IFERROR(VLOOKUP(F1493,CARTON_LOOKUP!$A:$E,5,0),"")</f>
      </c>
      <c r="J1493" s="29">
        <f>IFERROR(VLOOKUP(F1493,CARTON_LOOKUP!$A:$E,2,0),"")</f>
      </c>
      <c r="K1493" s="29">
        <f>IFERROR(J1493*D1493,0)</f>
      </c>
      <c r="L1493" s="29">
        <f>IFERROR(E1493*C1493,0)</f>
      </c>
      <c r="M1493" s="29">
        <f>IFERROR((G1493*H1493*I1493/1000000)*D1493,0)</f>
      </c>
    </row>
    <row r="1494" spans="1:13" x14ac:dyDescent="0.25">
      <c r="A1494" s="16"/>
      <c r="E1494" s="27"/>
      <c r="F1494" t="s">
        <v>26</v>
      </c>
      <c r="G1494" s="28">
        <f>IFERROR(VLOOKUP(F1494,CARTON_LOOKUP!$A:$E,3,0),"")</f>
      </c>
      <c r="H1494" s="28">
        <f>IFERROR(VLOOKUP(F1494,CARTON_LOOKUP!$A:$E,4,0),"")</f>
      </c>
      <c r="I1494" s="28">
        <f>IFERROR(VLOOKUP(F1494,CARTON_LOOKUP!$A:$E,5,0),"")</f>
      </c>
      <c r="J1494" s="29">
        <f>IFERROR(VLOOKUP(F1494,CARTON_LOOKUP!$A:$E,2,0),"")</f>
      </c>
      <c r="K1494" s="29">
        <f>IFERROR(J1494*D1494,0)</f>
      </c>
      <c r="L1494" s="29">
        <f>IFERROR(E1494*C1494,0)</f>
      </c>
      <c r="M1494" s="29">
        <f>IFERROR((G1494*H1494*I1494/1000000)*D1494,0)</f>
      </c>
    </row>
    <row r="1495" spans="1:13" x14ac:dyDescent="0.25">
      <c r="A1495" s="16"/>
      <c r="E1495" s="27"/>
      <c r="F1495" t="s">
        <v>26</v>
      </c>
      <c r="G1495" s="28">
        <f>IFERROR(VLOOKUP(F1495,CARTON_LOOKUP!$A:$E,3,0),"")</f>
      </c>
      <c r="H1495" s="28">
        <f>IFERROR(VLOOKUP(F1495,CARTON_LOOKUP!$A:$E,4,0),"")</f>
      </c>
      <c r="I1495" s="28">
        <f>IFERROR(VLOOKUP(F1495,CARTON_LOOKUP!$A:$E,5,0),"")</f>
      </c>
      <c r="J1495" s="29">
        <f>IFERROR(VLOOKUP(F1495,CARTON_LOOKUP!$A:$E,2,0),"")</f>
      </c>
      <c r="K1495" s="29">
        <f>IFERROR(J1495*D1495,0)</f>
      </c>
      <c r="L1495" s="29">
        <f>IFERROR(E1495*C1495,0)</f>
      </c>
      <c r="M1495" s="29">
        <f>IFERROR((G1495*H1495*I1495/1000000)*D1495,0)</f>
      </c>
    </row>
    <row r="1496" spans="1:13" x14ac:dyDescent="0.25">
      <c r="A1496" s="16"/>
      <c r="E1496" s="27"/>
      <c r="F1496" t="s">
        <v>26</v>
      </c>
      <c r="G1496" s="28">
        <f>IFERROR(VLOOKUP(F1496,CARTON_LOOKUP!$A:$E,3,0),"")</f>
      </c>
      <c r="H1496" s="28">
        <f>IFERROR(VLOOKUP(F1496,CARTON_LOOKUP!$A:$E,4,0),"")</f>
      </c>
      <c r="I1496" s="28">
        <f>IFERROR(VLOOKUP(F1496,CARTON_LOOKUP!$A:$E,5,0),"")</f>
      </c>
      <c r="J1496" s="29">
        <f>IFERROR(VLOOKUP(F1496,CARTON_LOOKUP!$A:$E,2,0),"")</f>
      </c>
      <c r="K1496" s="29">
        <f>IFERROR(J1496*D1496,0)</f>
      </c>
      <c r="L1496" s="29">
        <f>IFERROR(E1496*C1496,0)</f>
      </c>
      <c r="M1496" s="29">
        <f>IFERROR((G1496*H1496*I1496/1000000)*D1496,0)</f>
      </c>
    </row>
    <row r="1497" spans="1:13" x14ac:dyDescent="0.25">
      <c r="A1497" s="16"/>
      <c r="E1497" s="27"/>
      <c r="F1497" t="s">
        <v>26</v>
      </c>
      <c r="G1497" s="28">
        <f>IFERROR(VLOOKUP(F1497,CARTON_LOOKUP!$A:$E,3,0),"")</f>
      </c>
      <c r="H1497" s="28">
        <f>IFERROR(VLOOKUP(F1497,CARTON_LOOKUP!$A:$E,4,0),"")</f>
      </c>
      <c r="I1497" s="28">
        <f>IFERROR(VLOOKUP(F1497,CARTON_LOOKUP!$A:$E,5,0),"")</f>
      </c>
      <c r="J1497" s="29">
        <f>IFERROR(VLOOKUP(F1497,CARTON_LOOKUP!$A:$E,2,0),"")</f>
      </c>
      <c r="K1497" s="29">
        <f>IFERROR(J1497*D1497,0)</f>
      </c>
      <c r="L1497" s="29">
        <f>IFERROR(E1497*C1497,0)</f>
      </c>
      <c r="M1497" s="29">
        <f>IFERROR((G1497*H1497*I1497/1000000)*D1497,0)</f>
      </c>
    </row>
    <row r="1498" spans="1:13" x14ac:dyDescent="0.25">
      <c r="A1498" s="16"/>
      <c r="E1498" s="27"/>
      <c r="F1498" t="s">
        <v>26</v>
      </c>
      <c r="G1498" s="28">
        <f>IFERROR(VLOOKUP(F1498,CARTON_LOOKUP!$A:$E,3,0),"")</f>
      </c>
      <c r="H1498" s="28">
        <f>IFERROR(VLOOKUP(F1498,CARTON_LOOKUP!$A:$E,4,0),"")</f>
      </c>
      <c r="I1498" s="28">
        <f>IFERROR(VLOOKUP(F1498,CARTON_LOOKUP!$A:$E,5,0),"")</f>
      </c>
      <c r="J1498" s="29">
        <f>IFERROR(VLOOKUP(F1498,CARTON_LOOKUP!$A:$E,2,0),"")</f>
      </c>
      <c r="K1498" s="29">
        <f>IFERROR(J1498*D1498,0)</f>
      </c>
      <c r="L1498" s="29">
        <f>IFERROR(E1498*C1498,0)</f>
      </c>
      <c r="M1498" s="29">
        <f>IFERROR((G1498*H1498*I1498/1000000)*D1498,0)</f>
      </c>
    </row>
    <row r="1499" spans="1:13" x14ac:dyDescent="0.25">
      <c r="A1499" s="16"/>
      <c r="E1499" s="27"/>
      <c r="F1499" t="s">
        <v>26</v>
      </c>
      <c r="G1499" s="28">
        <f>IFERROR(VLOOKUP(F1499,CARTON_LOOKUP!$A:$E,3,0),"")</f>
      </c>
      <c r="H1499" s="28">
        <f>IFERROR(VLOOKUP(F1499,CARTON_LOOKUP!$A:$E,4,0),"")</f>
      </c>
      <c r="I1499" s="28">
        <f>IFERROR(VLOOKUP(F1499,CARTON_LOOKUP!$A:$E,5,0),"")</f>
      </c>
      <c r="J1499" s="29">
        <f>IFERROR(VLOOKUP(F1499,CARTON_LOOKUP!$A:$E,2,0),"")</f>
      </c>
      <c r="K1499" s="29">
        <f>IFERROR(J1499*D1499,0)</f>
      </c>
      <c r="L1499" s="29">
        <f>IFERROR(E1499*C1499,0)</f>
      </c>
      <c r="M1499" s="29">
        <f>IFERROR((G1499*H1499*I1499/1000000)*D1499,0)</f>
      </c>
    </row>
    <row r="1500" spans="1:13" x14ac:dyDescent="0.25">
      <c r="A1500" s="16"/>
      <c r="E1500" s="27"/>
      <c r="F1500" t="s">
        <v>26</v>
      </c>
      <c r="G1500" s="28">
        <f>IFERROR(VLOOKUP(F1500,CARTON_LOOKUP!$A:$E,3,0),"")</f>
      </c>
      <c r="H1500" s="28">
        <f>IFERROR(VLOOKUP(F1500,CARTON_LOOKUP!$A:$E,4,0),"")</f>
      </c>
      <c r="I1500" s="28">
        <f>IFERROR(VLOOKUP(F1500,CARTON_LOOKUP!$A:$E,5,0),"")</f>
      </c>
      <c r="J1500" s="29">
        <f>IFERROR(VLOOKUP(F1500,CARTON_LOOKUP!$A:$E,2,0),"")</f>
      </c>
      <c r="K1500" s="29">
        <f>IFERROR(J1500*D1500,0)</f>
      </c>
      <c r="L1500" s="29">
        <f>IFERROR(E1500*C1500,0)</f>
      </c>
      <c r="M1500" s="29">
        <f>IFERROR((G1500*H1500*I1500/1000000)*D1500,0)</f>
      </c>
    </row>
    <row r="1501" spans="1:13" x14ac:dyDescent="0.25">
      <c r="A1501" s="16"/>
      <c r="E1501" s="27"/>
      <c r="F1501" t="s">
        <v>26</v>
      </c>
      <c r="G1501" s="28">
        <f>IFERROR(VLOOKUP(F1501,CARTON_LOOKUP!$A:$E,3,0),"")</f>
      </c>
      <c r="H1501" s="28">
        <f>IFERROR(VLOOKUP(F1501,CARTON_LOOKUP!$A:$E,4,0),"")</f>
      </c>
      <c r="I1501" s="28">
        <f>IFERROR(VLOOKUP(F1501,CARTON_LOOKUP!$A:$E,5,0),"")</f>
      </c>
      <c r="J1501" s="29">
        <f>IFERROR(VLOOKUP(F1501,CARTON_LOOKUP!$A:$E,2,0),"")</f>
      </c>
      <c r="K1501" s="29">
        <f>IFERROR(J1501*D1501,0)</f>
      </c>
      <c r="L1501" s="29">
        <f>IFERROR(E1501*C1501,0)</f>
      </c>
      <c r="M1501" s="29">
        <f>IFERROR((G1501*H1501*I1501/1000000)*D1501,0)</f>
      </c>
    </row>
    <row r="1502" spans="1:13" x14ac:dyDescent="0.25">
      <c r="A1502" s="16"/>
      <c r="E1502" s="27"/>
      <c r="F1502" t="s">
        <v>26</v>
      </c>
      <c r="G1502" s="28">
        <f>IFERROR(VLOOKUP(F1502,CARTON_LOOKUP!$A:$E,3,0),"")</f>
      </c>
      <c r="H1502" s="28">
        <f>IFERROR(VLOOKUP(F1502,CARTON_LOOKUP!$A:$E,4,0),"")</f>
      </c>
      <c r="I1502" s="28">
        <f>IFERROR(VLOOKUP(F1502,CARTON_LOOKUP!$A:$E,5,0),"")</f>
      </c>
      <c r="J1502" s="29">
        <f>IFERROR(VLOOKUP(F1502,CARTON_LOOKUP!$A:$E,2,0),"")</f>
      </c>
      <c r="K1502" s="29">
        <f>IFERROR(J1502*D1502,0)</f>
      </c>
      <c r="L1502" s="29">
        <f>IFERROR(E1502*C1502,0)</f>
      </c>
      <c r="M1502" s="29">
        <f>IFERROR((G1502*H1502*I1502/1000000)*D1502,0)</f>
      </c>
    </row>
    <row r="1503" spans="1:13" x14ac:dyDescent="0.25">
      <c r="A1503" s="16"/>
      <c r="E1503" s="27"/>
      <c r="F1503" t="s">
        <v>26</v>
      </c>
      <c r="G1503" s="28">
        <f>IFERROR(VLOOKUP(F1503,CARTON_LOOKUP!$A:$E,3,0),"")</f>
      </c>
      <c r="H1503" s="28">
        <f>IFERROR(VLOOKUP(F1503,CARTON_LOOKUP!$A:$E,4,0),"")</f>
      </c>
      <c r="I1503" s="28">
        <f>IFERROR(VLOOKUP(F1503,CARTON_LOOKUP!$A:$E,5,0),"")</f>
      </c>
      <c r="J1503" s="29">
        <f>IFERROR(VLOOKUP(F1503,CARTON_LOOKUP!$A:$E,2,0),"")</f>
      </c>
      <c r="K1503" s="29">
        <f>IFERROR(J1503*D1503,0)</f>
      </c>
      <c r="L1503" s="29">
        <f>IFERROR(E1503*C1503,0)</f>
      </c>
      <c r="M1503" s="29">
        <f>IFERROR((G1503*H1503*I1503/1000000)*D1503,0)</f>
      </c>
    </row>
    <row r="1504" spans="1:13" x14ac:dyDescent="0.25">
      <c r="A1504" s="16"/>
      <c r="E1504" s="27"/>
      <c r="F1504" t="s">
        <v>26</v>
      </c>
      <c r="G1504" s="28">
        <f>IFERROR(VLOOKUP(F1504,CARTON_LOOKUP!$A:$E,3,0),"")</f>
      </c>
      <c r="H1504" s="28">
        <f>IFERROR(VLOOKUP(F1504,CARTON_LOOKUP!$A:$E,4,0),"")</f>
      </c>
      <c r="I1504" s="28">
        <f>IFERROR(VLOOKUP(F1504,CARTON_LOOKUP!$A:$E,5,0),"")</f>
      </c>
      <c r="J1504" s="29">
        <f>IFERROR(VLOOKUP(F1504,CARTON_LOOKUP!$A:$E,2,0),"")</f>
      </c>
      <c r="K1504" s="29">
        <f>IFERROR(J1504*D1504,0)</f>
      </c>
      <c r="L1504" s="29">
        <f>IFERROR(E1504*C1504,0)</f>
      </c>
      <c r="M1504" s="29">
        <f>IFERROR((G1504*H1504*I1504/1000000)*D1504,0)</f>
      </c>
    </row>
    <row r="1505" spans="1:13" x14ac:dyDescent="0.25">
      <c r="A1505" s="16"/>
      <c r="E1505" s="27"/>
      <c r="F1505" t="s">
        <v>26</v>
      </c>
      <c r="G1505" s="28">
        <f>IFERROR(VLOOKUP(F1505,CARTON_LOOKUP!$A:$E,3,0),"")</f>
      </c>
      <c r="H1505" s="28">
        <f>IFERROR(VLOOKUP(F1505,CARTON_LOOKUP!$A:$E,4,0),"")</f>
      </c>
      <c r="I1505" s="28">
        <f>IFERROR(VLOOKUP(F1505,CARTON_LOOKUP!$A:$E,5,0),"")</f>
      </c>
      <c r="J1505" s="29">
        <f>IFERROR(VLOOKUP(F1505,CARTON_LOOKUP!$A:$E,2,0),"")</f>
      </c>
      <c r="K1505" s="29">
        <f>IFERROR(J1505*D1505,0)</f>
      </c>
      <c r="L1505" s="29">
        <f>IFERROR(E1505*C1505,0)</f>
      </c>
      <c r="M1505" s="29">
        <f>IFERROR((G1505*H1505*I1505/1000000)*D1505,0)</f>
      </c>
    </row>
    <row r="1506" spans="1:13" x14ac:dyDescent="0.25">
      <c r="A1506" s="16"/>
      <c r="E1506" s="27"/>
      <c r="F1506" t="s">
        <v>26</v>
      </c>
      <c r="G1506" s="28">
        <f>IFERROR(VLOOKUP(F1506,CARTON_LOOKUP!$A:$E,3,0),"")</f>
      </c>
      <c r="H1506" s="28">
        <f>IFERROR(VLOOKUP(F1506,CARTON_LOOKUP!$A:$E,4,0),"")</f>
      </c>
      <c r="I1506" s="28">
        <f>IFERROR(VLOOKUP(F1506,CARTON_LOOKUP!$A:$E,5,0),"")</f>
      </c>
      <c r="J1506" s="29">
        <f>IFERROR(VLOOKUP(F1506,CARTON_LOOKUP!$A:$E,2,0),"")</f>
      </c>
      <c r="K1506" s="29">
        <f>IFERROR(J1506*D1506,0)</f>
      </c>
      <c r="L1506" s="29">
        <f>IFERROR(E1506*C1506,0)</f>
      </c>
      <c r="M1506" s="29">
        <f>IFERROR((G1506*H1506*I1506/1000000)*D1506,0)</f>
      </c>
    </row>
    <row r="1507" spans="1:13" x14ac:dyDescent="0.25">
      <c r="A1507" s="16"/>
      <c r="E1507" s="27"/>
      <c r="F1507" t="s">
        <v>26</v>
      </c>
      <c r="G1507" s="28">
        <f>IFERROR(VLOOKUP(F1507,CARTON_LOOKUP!$A:$E,3,0),"")</f>
      </c>
      <c r="H1507" s="28">
        <f>IFERROR(VLOOKUP(F1507,CARTON_LOOKUP!$A:$E,4,0),"")</f>
      </c>
      <c r="I1507" s="28">
        <f>IFERROR(VLOOKUP(F1507,CARTON_LOOKUP!$A:$E,5,0),"")</f>
      </c>
      <c r="J1507" s="29">
        <f>IFERROR(VLOOKUP(F1507,CARTON_LOOKUP!$A:$E,2,0),"")</f>
      </c>
      <c r="K1507" s="29">
        <f>IFERROR(J1507*D1507,0)</f>
      </c>
      <c r="L1507" s="29">
        <f>IFERROR(E1507*C1507,0)</f>
      </c>
      <c r="M1507" s="29">
        <f>IFERROR((G1507*H1507*I1507/1000000)*D1507,0)</f>
      </c>
    </row>
    <row r="1508" spans="1:13" x14ac:dyDescent="0.25">
      <c r="A1508" s="16"/>
      <c r="E1508" s="27"/>
      <c r="F1508" t="s">
        <v>26</v>
      </c>
      <c r="G1508" s="28">
        <f>IFERROR(VLOOKUP(F1508,CARTON_LOOKUP!$A:$E,3,0),"")</f>
      </c>
      <c r="H1508" s="28">
        <f>IFERROR(VLOOKUP(F1508,CARTON_LOOKUP!$A:$E,4,0),"")</f>
      </c>
      <c r="I1508" s="28">
        <f>IFERROR(VLOOKUP(F1508,CARTON_LOOKUP!$A:$E,5,0),"")</f>
      </c>
      <c r="J1508" s="29">
        <f>IFERROR(VLOOKUP(F1508,CARTON_LOOKUP!$A:$E,2,0),"")</f>
      </c>
      <c r="K1508" s="29">
        <f>IFERROR(J1508*D1508,0)</f>
      </c>
      <c r="L1508" s="29">
        <f>IFERROR(E1508*C1508,0)</f>
      </c>
      <c r="M1508" s="29">
        <f>IFERROR((G1508*H1508*I1508/1000000)*D1508,0)</f>
      </c>
    </row>
    <row r="1509" spans="1:13" x14ac:dyDescent="0.25">
      <c r="A1509" s="16"/>
      <c r="E1509" s="27"/>
      <c r="F1509" t="s">
        <v>26</v>
      </c>
      <c r="G1509" s="28">
        <f>IFERROR(VLOOKUP(F1509,CARTON_LOOKUP!$A:$E,3,0),"")</f>
      </c>
      <c r="H1509" s="28">
        <f>IFERROR(VLOOKUP(F1509,CARTON_LOOKUP!$A:$E,4,0),"")</f>
      </c>
      <c r="I1509" s="28">
        <f>IFERROR(VLOOKUP(F1509,CARTON_LOOKUP!$A:$E,5,0),"")</f>
      </c>
      <c r="J1509" s="29">
        <f>IFERROR(VLOOKUP(F1509,CARTON_LOOKUP!$A:$E,2,0),"")</f>
      </c>
      <c r="K1509" s="29">
        <f>IFERROR(J1509*D1509,0)</f>
      </c>
      <c r="L1509" s="29">
        <f>IFERROR(E1509*C1509,0)</f>
      </c>
      <c r="M1509" s="29">
        <f>IFERROR((G1509*H1509*I1509/1000000)*D1509,0)</f>
      </c>
    </row>
    <row r="1510" spans="1:13" x14ac:dyDescent="0.25">
      <c r="A1510" s="16"/>
      <c r="E1510" s="27"/>
      <c r="F1510" t="s">
        <v>26</v>
      </c>
      <c r="G1510" s="28">
        <f>IFERROR(VLOOKUP(F1510,CARTON_LOOKUP!$A:$E,3,0),"")</f>
      </c>
      <c r="H1510" s="28">
        <f>IFERROR(VLOOKUP(F1510,CARTON_LOOKUP!$A:$E,4,0),"")</f>
      </c>
      <c r="I1510" s="28">
        <f>IFERROR(VLOOKUP(F1510,CARTON_LOOKUP!$A:$E,5,0),"")</f>
      </c>
      <c r="J1510" s="29">
        <f>IFERROR(VLOOKUP(F1510,CARTON_LOOKUP!$A:$E,2,0),"")</f>
      </c>
      <c r="K1510" s="29">
        <f>IFERROR(J1510*D1510,0)</f>
      </c>
      <c r="L1510" s="29">
        <f>IFERROR(E1510*C1510,0)</f>
      </c>
      <c r="M1510" s="29">
        <f>IFERROR((G1510*H1510*I1510/1000000)*D1510,0)</f>
      </c>
    </row>
    <row r="1511" spans="1:13" x14ac:dyDescent="0.25">
      <c r="A1511" s="16"/>
      <c r="E1511" s="27"/>
      <c r="F1511" t="s">
        <v>26</v>
      </c>
      <c r="G1511" s="28">
        <f>IFERROR(VLOOKUP(F1511,CARTON_LOOKUP!$A:$E,3,0),"")</f>
      </c>
      <c r="H1511" s="28">
        <f>IFERROR(VLOOKUP(F1511,CARTON_LOOKUP!$A:$E,4,0),"")</f>
      </c>
      <c r="I1511" s="28">
        <f>IFERROR(VLOOKUP(F1511,CARTON_LOOKUP!$A:$E,5,0),"")</f>
      </c>
      <c r="J1511" s="29">
        <f>IFERROR(VLOOKUP(F1511,CARTON_LOOKUP!$A:$E,2,0),"")</f>
      </c>
      <c r="K1511" s="29">
        <f>IFERROR(J1511*D1511,0)</f>
      </c>
      <c r="L1511" s="29">
        <f>IFERROR(E1511*C1511,0)</f>
      </c>
      <c r="M1511" s="29">
        <f>IFERROR((G1511*H1511*I1511/1000000)*D1511,0)</f>
      </c>
    </row>
    <row r="1512" spans="1:13" x14ac:dyDescent="0.25">
      <c r="A1512" s="16"/>
      <c r="E1512" s="27"/>
      <c r="F1512" t="s">
        <v>26</v>
      </c>
      <c r="G1512" s="28">
        <f>IFERROR(VLOOKUP(F1512,CARTON_LOOKUP!$A:$E,3,0),"")</f>
      </c>
      <c r="H1512" s="28">
        <f>IFERROR(VLOOKUP(F1512,CARTON_LOOKUP!$A:$E,4,0),"")</f>
      </c>
      <c r="I1512" s="28">
        <f>IFERROR(VLOOKUP(F1512,CARTON_LOOKUP!$A:$E,5,0),"")</f>
      </c>
      <c r="J1512" s="29">
        <f>IFERROR(VLOOKUP(F1512,CARTON_LOOKUP!$A:$E,2,0),"")</f>
      </c>
      <c r="K1512" s="29">
        <f>IFERROR(J1512*D1512,0)</f>
      </c>
      <c r="L1512" s="29">
        <f>IFERROR(E1512*C1512,0)</f>
      </c>
      <c r="M1512" s="29">
        <f>IFERROR((G1512*H1512*I1512/1000000)*D1512,0)</f>
      </c>
    </row>
    <row r="1513" spans="1:13" x14ac:dyDescent="0.25">
      <c r="A1513" s="16"/>
      <c r="E1513" s="27"/>
      <c r="F1513" t="s">
        <v>26</v>
      </c>
      <c r="G1513" s="28">
        <f>IFERROR(VLOOKUP(F1513,CARTON_LOOKUP!$A:$E,3,0),"")</f>
      </c>
      <c r="H1513" s="28">
        <f>IFERROR(VLOOKUP(F1513,CARTON_LOOKUP!$A:$E,4,0),"")</f>
      </c>
      <c r="I1513" s="28">
        <f>IFERROR(VLOOKUP(F1513,CARTON_LOOKUP!$A:$E,5,0),"")</f>
      </c>
      <c r="J1513" s="29">
        <f>IFERROR(VLOOKUP(F1513,CARTON_LOOKUP!$A:$E,2,0),"")</f>
      </c>
      <c r="K1513" s="29">
        <f>IFERROR(J1513*D1513,0)</f>
      </c>
      <c r="L1513" s="29">
        <f>IFERROR(E1513*C1513,0)</f>
      </c>
      <c r="M1513" s="29">
        <f>IFERROR((G1513*H1513*I1513/1000000)*D1513,0)</f>
      </c>
    </row>
    <row r="1514" spans="1:13" x14ac:dyDescent="0.25">
      <c r="A1514" s="16"/>
      <c r="E1514" s="27"/>
      <c r="F1514" t="s">
        <v>26</v>
      </c>
      <c r="G1514" s="28">
        <f>IFERROR(VLOOKUP(F1514,CARTON_LOOKUP!$A:$E,3,0),"")</f>
      </c>
      <c r="H1514" s="28">
        <f>IFERROR(VLOOKUP(F1514,CARTON_LOOKUP!$A:$E,4,0),"")</f>
      </c>
      <c r="I1514" s="28">
        <f>IFERROR(VLOOKUP(F1514,CARTON_LOOKUP!$A:$E,5,0),"")</f>
      </c>
      <c r="J1514" s="29">
        <f>IFERROR(VLOOKUP(F1514,CARTON_LOOKUP!$A:$E,2,0),"")</f>
      </c>
      <c r="K1514" s="29">
        <f>IFERROR(J1514*D1514,0)</f>
      </c>
      <c r="L1514" s="29">
        <f>IFERROR(E1514*C1514,0)</f>
      </c>
      <c r="M1514" s="29">
        <f>IFERROR((G1514*H1514*I1514/1000000)*D1514,0)</f>
      </c>
    </row>
    <row r="1515" spans="1:13" x14ac:dyDescent="0.25">
      <c r="A1515" s="16"/>
      <c r="E1515" s="27"/>
      <c r="F1515" t="s">
        <v>26</v>
      </c>
      <c r="G1515" s="28">
        <f>IFERROR(VLOOKUP(F1515,CARTON_LOOKUP!$A:$E,3,0),"")</f>
      </c>
      <c r="H1515" s="28">
        <f>IFERROR(VLOOKUP(F1515,CARTON_LOOKUP!$A:$E,4,0),"")</f>
      </c>
      <c r="I1515" s="28">
        <f>IFERROR(VLOOKUP(F1515,CARTON_LOOKUP!$A:$E,5,0),"")</f>
      </c>
      <c r="J1515" s="29">
        <f>IFERROR(VLOOKUP(F1515,CARTON_LOOKUP!$A:$E,2,0),"")</f>
      </c>
      <c r="K1515" s="29">
        <f>IFERROR(J1515*D1515,0)</f>
      </c>
      <c r="L1515" s="29">
        <f>IFERROR(E1515*C1515,0)</f>
      </c>
      <c r="M1515" s="29">
        <f>IFERROR((G1515*H1515*I1515/1000000)*D1515,0)</f>
      </c>
    </row>
    <row r="1516" spans="1:13" x14ac:dyDescent="0.25">
      <c r="A1516" s="16"/>
      <c r="E1516" s="27"/>
      <c r="F1516" t="s">
        <v>26</v>
      </c>
      <c r="G1516" s="28">
        <f>IFERROR(VLOOKUP(F1516,CARTON_LOOKUP!$A:$E,3,0),"")</f>
      </c>
      <c r="H1516" s="28">
        <f>IFERROR(VLOOKUP(F1516,CARTON_LOOKUP!$A:$E,4,0),"")</f>
      </c>
      <c r="I1516" s="28">
        <f>IFERROR(VLOOKUP(F1516,CARTON_LOOKUP!$A:$E,5,0),"")</f>
      </c>
      <c r="J1516" s="29">
        <f>IFERROR(VLOOKUP(F1516,CARTON_LOOKUP!$A:$E,2,0),"")</f>
      </c>
      <c r="K1516" s="29">
        <f>IFERROR(J1516*D1516,0)</f>
      </c>
      <c r="L1516" s="29">
        <f>IFERROR(E1516*C1516,0)</f>
      </c>
      <c r="M1516" s="29">
        <f>IFERROR((G1516*H1516*I1516/1000000)*D1516,0)</f>
      </c>
    </row>
    <row r="1517" spans="1:13" x14ac:dyDescent="0.25">
      <c r="A1517" s="16"/>
      <c r="E1517" s="27"/>
      <c r="F1517" t="s">
        <v>26</v>
      </c>
      <c r="G1517" s="28">
        <f>IFERROR(VLOOKUP(F1517,CARTON_LOOKUP!$A:$E,3,0),"")</f>
      </c>
      <c r="H1517" s="28">
        <f>IFERROR(VLOOKUP(F1517,CARTON_LOOKUP!$A:$E,4,0),"")</f>
      </c>
      <c r="I1517" s="28">
        <f>IFERROR(VLOOKUP(F1517,CARTON_LOOKUP!$A:$E,5,0),"")</f>
      </c>
      <c r="J1517" s="29">
        <f>IFERROR(VLOOKUP(F1517,CARTON_LOOKUP!$A:$E,2,0),"")</f>
      </c>
      <c r="K1517" s="29">
        <f>IFERROR(J1517*D1517,0)</f>
      </c>
      <c r="L1517" s="29">
        <f>IFERROR(E1517*C1517,0)</f>
      </c>
      <c r="M1517" s="29">
        <f>IFERROR((G1517*H1517*I1517/1000000)*D1517,0)</f>
      </c>
    </row>
    <row r="1518" spans="1:13" x14ac:dyDescent="0.25">
      <c r="A1518" s="16"/>
      <c r="E1518" s="27"/>
      <c r="F1518" t="s">
        <v>26</v>
      </c>
      <c r="G1518" s="28">
        <f>IFERROR(VLOOKUP(F1518,CARTON_LOOKUP!$A:$E,3,0),"")</f>
      </c>
      <c r="H1518" s="28">
        <f>IFERROR(VLOOKUP(F1518,CARTON_LOOKUP!$A:$E,4,0),"")</f>
      </c>
      <c r="I1518" s="28">
        <f>IFERROR(VLOOKUP(F1518,CARTON_LOOKUP!$A:$E,5,0),"")</f>
      </c>
      <c r="J1518" s="29">
        <f>IFERROR(VLOOKUP(F1518,CARTON_LOOKUP!$A:$E,2,0),"")</f>
      </c>
      <c r="K1518" s="29">
        <f>IFERROR(J1518*D1518,0)</f>
      </c>
      <c r="L1518" s="29">
        <f>IFERROR(E1518*C1518,0)</f>
      </c>
      <c r="M1518" s="29">
        <f>IFERROR((G1518*H1518*I1518/1000000)*D1518,0)</f>
      </c>
    </row>
    <row r="1519" spans="1:13" x14ac:dyDescent="0.25">
      <c r="A1519" s="16"/>
      <c r="E1519" s="27"/>
      <c r="F1519" t="s">
        <v>26</v>
      </c>
      <c r="G1519" s="28">
        <f>IFERROR(VLOOKUP(F1519,CARTON_LOOKUP!$A:$E,3,0),"")</f>
      </c>
      <c r="H1519" s="28">
        <f>IFERROR(VLOOKUP(F1519,CARTON_LOOKUP!$A:$E,4,0),"")</f>
      </c>
      <c r="I1519" s="28">
        <f>IFERROR(VLOOKUP(F1519,CARTON_LOOKUP!$A:$E,5,0),"")</f>
      </c>
      <c r="J1519" s="29">
        <f>IFERROR(VLOOKUP(F1519,CARTON_LOOKUP!$A:$E,2,0),"")</f>
      </c>
      <c r="K1519" s="29">
        <f>IFERROR(J1519*D1519,0)</f>
      </c>
      <c r="L1519" s="29">
        <f>IFERROR(E1519*C1519,0)</f>
      </c>
      <c r="M1519" s="29">
        <f>IFERROR((G1519*H1519*I1519/1000000)*D1519,0)</f>
      </c>
    </row>
    <row r="1520" spans="1:13" x14ac:dyDescent="0.25">
      <c r="A1520" s="16"/>
      <c r="E1520" s="27"/>
      <c r="F1520" t="s">
        <v>26</v>
      </c>
      <c r="G1520" s="28">
        <f>IFERROR(VLOOKUP(F1520,CARTON_LOOKUP!$A:$E,3,0),"")</f>
      </c>
      <c r="H1520" s="28">
        <f>IFERROR(VLOOKUP(F1520,CARTON_LOOKUP!$A:$E,4,0),"")</f>
      </c>
      <c r="I1520" s="28">
        <f>IFERROR(VLOOKUP(F1520,CARTON_LOOKUP!$A:$E,5,0),"")</f>
      </c>
      <c r="J1520" s="29">
        <f>IFERROR(VLOOKUP(F1520,CARTON_LOOKUP!$A:$E,2,0),"")</f>
      </c>
      <c r="K1520" s="29">
        <f>IFERROR(J1520*D1520,0)</f>
      </c>
      <c r="L1520" s="29">
        <f>IFERROR(E1520*C1520,0)</f>
      </c>
      <c r="M1520" s="29">
        <f>IFERROR((G1520*H1520*I1520/1000000)*D1520,0)</f>
      </c>
    </row>
    <row r="1521" spans="1:13" x14ac:dyDescent="0.25">
      <c r="A1521" s="16"/>
      <c r="E1521" s="27"/>
      <c r="F1521" t="s">
        <v>26</v>
      </c>
      <c r="G1521" s="28">
        <f>IFERROR(VLOOKUP(F1521,CARTON_LOOKUP!$A:$E,3,0),"")</f>
      </c>
      <c r="H1521" s="28">
        <f>IFERROR(VLOOKUP(F1521,CARTON_LOOKUP!$A:$E,4,0),"")</f>
      </c>
      <c r="I1521" s="28">
        <f>IFERROR(VLOOKUP(F1521,CARTON_LOOKUP!$A:$E,5,0),"")</f>
      </c>
      <c r="J1521" s="29">
        <f>IFERROR(VLOOKUP(F1521,CARTON_LOOKUP!$A:$E,2,0),"")</f>
      </c>
      <c r="K1521" s="29">
        <f>IFERROR(J1521*D1521,0)</f>
      </c>
      <c r="L1521" s="29">
        <f>IFERROR(E1521*C1521,0)</f>
      </c>
      <c r="M1521" s="29">
        <f>IFERROR((G1521*H1521*I1521/1000000)*D1521,0)</f>
      </c>
    </row>
    <row r="1522" spans="1:13" x14ac:dyDescent="0.25">
      <c r="A1522" s="16"/>
      <c r="E1522" s="27"/>
      <c r="F1522" t="s">
        <v>26</v>
      </c>
      <c r="G1522" s="28">
        <f>IFERROR(VLOOKUP(F1522,CARTON_LOOKUP!$A:$E,3,0),"")</f>
      </c>
      <c r="H1522" s="28">
        <f>IFERROR(VLOOKUP(F1522,CARTON_LOOKUP!$A:$E,4,0),"")</f>
      </c>
      <c r="I1522" s="28">
        <f>IFERROR(VLOOKUP(F1522,CARTON_LOOKUP!$A:$E,5,0),"")</f>
      </c>
      <c r="J1522" s="29">
        <f>IFERROR(VLOOKUP(F1522,CARTON_LOOKUP!$A:$E,2,0),"")</f>
      </c>
      <c r="K1522" s="29">
        <f>IFERROR(J1522*D1522,0)</f>
      </c>
      <c r="L1522" s="29">
        <f>IFERROR(E1522*C1522,0)</f>
      </c>
      <c r="M1522" s="29">
        <f>IFERROR((G1522*H1522*I1522/1000000)*D1522,0)</f>
      </c>
    </row>
    <row r="1523" spans="1:13" x14ac:dyDescent="0.25">
      <c r="A1523" s="16"/>
      <c r="E1523" s="27"/>
      <c r="F1523" t="s">
        <v>26</v>
      </c>
      <c r="G1523" s="28">
        <f>IFERROR(VLOOKUP(F1523,CARTON_LOOKUP!$A:$E,3,0),"")</f>
      </c>
      <c r="H1523" s="28">
        <f>IFERROR(VLOOKUP(F1523,CARTON_LOOKUP!$A:$E,4,0),"")</f>
      </c>
      <c r="I1523" s="28">
        <f>IFERROR(VLOOKUP(F1523,CARTON_LOOKUP!$A:$E,5,0),"")</f>
      </c>
      <c r="J1523" s="29">
        <f>IFERROR(VLOOKUP(F1523,CARTON_LOOKUP!$A:$E,2,0),"")</f>
      </c>
      <c r="K1523" s="29">
        <f>IFERROR(J1523*D1523,0)</f>
      </c>
      <c r="L1523" s="29">
        <f>IFERROR(E1523*C1523,0)</f>
      </c>
      <c r="M1523" s="29">
        <f>IFERROR((G1523*H1523*I1523/1000000)*D1523,0)</f>
      </c>
    </row>
    <row r="1524" spans="1:13" x14ac:dyDescent="0.25">
      <c r="A1524" s="16"/>
      <c r="E1524" s="27"/>
      <c r="F1524" t="s">
        <v>26</v>
      </c>
      <c r="G1524" s="28">
        <f>IFERROR(VLOOKUP(F1524,CARTON_LOOKUP!$A:$E,3,0),"")</f>
      </c>
      <c r="H1524" s="28">
        <f>IFERROR(VLOOKUP(F1524,CARTON_LOOKUP!$A:$E,4,0),"")</f>
      </c>
      <c r="I1524" s="28">
        <f>IFERROR(VLOOKUP(F1524,CARTON_LOOKUP!$A:$E,5,0),"")</f>
      </c>
      <c r="J1524" s="29">
        <f>IFERROR(VLOOKUP(F1524,CARTON_LOOKUP!$A:$E,2,0),"")</f>
      </c>
      <c r="K1524" s="29">
        <f>IFERROR(J1524*D1524,0)</f>
      </c>
      <c r="L1524" s="29">
        <f>IFERROR(E1524*C1524,0)</f>
      </c>
      <c r="M1524" s="29">
        <f>IFERROR((G1524*H1524*I1524/1000000)*D1524,0)</f>
      </c>
    </row>
    <row r="1525" spans="1:13" x14ac:dyDescent="0.25">
      <c r="A1525" s="16"/>
      <c r="E1525" s="27"/>
      <c r="F1525" t="s">
        <v>26</v>
      </c>
      <c r="G1525" s="28">
        <f>IFERROR(VLOOKUP(F1525,CARTON_LOOKUP!$A:$E,3,0),"")</f>
      </c>
      <c r="H1525" s="28">
        <f>IFERROR(VLOOKUP(F1525,CARTON_LOOKUP!$A:$E,4,0),"")</f>
      </c>
      <c r="I1525" s="28">
        <f>IFERROR(VLOOKUP(F1525,CARTON_LOOKUP!$A:$E,5,0),"")</f>
      </c>
      <c r="J1525" s="29">
        <f>IFERROR(VLOOKUP(F1525,CARTON_LOOKUP!$A:$E,2,0),"")</f>
      </c>
      <c r="K1525" s="29">
        <f>IFERROR(J1525*D1525,0)</f>
      </c>
      <c r="L1525" s="29">
        <f>IFERROR(E1525*C1525,0)</f>
      </c>
      <c r="M1525" s="29">
        <f>IFERROR((G1525*H1525*I1525/1000000)*D1525,0)</f>
      </c>
    </row>
    <row r="1526" spans="1:13" x14ac:dyDescent="0.25">
      <c r="A1526" s="16"/>
      <c r="E1526" s="27"/>
      <c r="F1526" t="s">
        <v>26</v>
      </c>
      <c r="G1526" s="28">
        <f>IFERROR(VLOOKUP(F1526,CARTON_LOOKUP!$A:$E,3,0),"")</f>
      </c>
      <c r="H1526" s="28">
        <f>IFERROR(VLOOKUP(F1526,CARTON_LOOKUP!$A:$E,4,0),"")</f>
      </c>
      <c r="I1526" s="28">
        <f>IFERROR(VLOOKUP(F1526,CARTON_LOOKUP!$A:$E,5,0),"")</f>
      </c>
      <c r="J1526" s="29">
        <f>IFERROR(VLOOKUP(F1526,CARTON_LOOKUP!$A:$E,2,0),"")</f>
      </c>
      <c r="K1526" s="29">
        <f>IFERROR(J1526*D1526,0)</f>
      </c>
      <c r="L1526" s="29">
        <f>IFERROR(E1526*C1526,0)</f>
      </c>
      <c r="M1526" s="29">
        <f>IFERROR((G1526*H1526*I1526/1000000)*D1526,0)</f>
      </c>
    </row>
    <row r="1527" spans="1:13" x14ac:dyDescent="0.25">
      <c r="A1527" s="16"/>
      <c r="E1527" s="27"/>
      <c r="F1527" t="s">
        <v>26</v>
      </c>
      <c r="G1527" s="28">
        <f>IFERROR(VLOOKUP(F1527,CARTON_LOOKUP!$A:$E,3,0),"")</f>
      </c>
      <c r="H1527" s="28">
        <f>IFERROR(VLOOKUP(F1527,CARTON_LOOKUP!$A:$E,4,0),"")</f>
      </c>
      <c r="I1527" s="28">
        <f>IFERROR(VLOOKUP(F1527,CARTON_LOOKUP!$A:$E,5,0),"")</f>
      </c>
      <c r="J1527" s="29">
        <f>IFERROR(VLOOKUP(F1527,CARTON_LOOKUP!$A:$E,2,0),"")</f>
      </c>
      <c r="K1527" s="29">
        <f>IFERROR(J1527*D1527,0)</f>
      </c>
      <c r="L1527" s="29">
        <f>IFERROR(E1527*C1527,0)</f>
      </c>
      <c r="M1527" s="29">
        <f>IFERROR((G1527*H1527*I1527/1000000)*D1527,0)</f>
      </c>
    </row>
    <row r="1528" spans="1:13" x14ac:dyDescent="0.25">
      <c r="A1528" s="16"/>
      <c r="E1528" s="27"/>
      <c r="F1528" t="s">
        <v>26</v>
      </c>
      <c r="G1528" s="28">
        <f>IFERROR(VLOOKUP(F1528,CARTON_LOOKUP!$A:$E,3,0),"")</f>
      </c>
      <c r="H1528" s="28">
        <f>IFERROR(VLOOKUP(F1528,CARTON_LOOKUP!$A:$E,4,0),"")</f>
      </c>
      <c r="I1528" s="28">
        <f>IFERROR(VLOOKUP(F1528,CARTON_LOOKUP!$A:$E,5,0),"")</f>
      </c>
      <c r="J1528" s="29">
        <f>IFERROR(VLOOKUP(F1528,CARTON_LOOKUP!$A:$E,2,0),"")</f>
      </c>
      <c r="K1528" s="29">
        <f>IFERROR(J1528*D1528,0)</f>
      </c>
      <c r="L1528" s="29">
        <f>IFERROR(E1528*C1528,0)</f>
      </c>
      <c r="M1528" s="29">
        <f>IFERROR((G1528*H1528*I1528/1000000)*D1528,0)</f>
      </c>
    </row>
    <row r="1529" spans="1:13" x14ac:dyDescent="0.25">
      <c r="A1529" s="16"/>
      <c r="E1529" s="27"/>
      <c r="F1529" t="s">
        <v>26</v>
      </c>
      <c r="G1529" s="28">
        <f>IFERROR(VLOOKUP(F1529,CARTON_LOOKUP!$A:$E,3,0),"")</f>
      </c>
      <c r="H1529" s="28">
        <f>IFERROR(VLOOKUP(F1529,CARTON_LOOKUP!$A:$E,4,0),"")</f>
      </c>
      <c r="I1529" s="28">
        <f>IFERROR(VLOOKUP(F1529,CARTON_LOOKUP!$A:$E,5,0),"")</f>
      </c>
      <c r="J1529" s="29">
        <f>IFERROR(VLOOKUP(F1529,CARTON_LOOKUP!$A:$E,2,0),"")</f>
      </c>
      <c r="K1529" s="29">
        <f>IFERROR(J1529*D1529,0)</f>
      </c>
      <c r="L1529" s="29">
        <f>IFERROR(E1529*C1529,0)</f>
      </c>
      <c r="M1529" s="29">
        <f>IFERROR((G1529*H1529*I1529/1000000)*D1529,0)</f>
      </c>
    </row>
    <row r="1530" spans="1:13" x14ac:dyDescent="0.25">
      <c r="A1530" s="16"/>
      <c r="E1530" s="27"/>
      <c r="F1530" t="s">
        <v>26</v>
      </c>
      <c r="G1530" s="28">
        <f>IFERROR(VLOOKUP(F1530,CARTON_LOOKUP!$A:$E,3,0),"")</f>
      </c>
      <c r="H1530" s="28">
        <f>IFERROR(VLOOKUP(F1530,CARTON_LOOKUP!$A:$E,4,0),"")</f>
      </c>
      <c r="I1530" s="28">
        <f>IFERROR(VLOOKUP(F1530,CARTON_LOOKUP!$A:$E,5,0),"")</f>
      </c>
      <c r="J1530" s="29">
        <f>IFERROR(VLOOKUP(F1530,CARTON_LOOKUP!$A:$E,2,0),"")</f>
      </c>
      <c r="K1530" s="29">
        <f>IFERROR(J1530*D1530,0)</f>
      </c>
      <c r="L1530" s="29">
        <f>IFERROR(E1530*C1530,0)</f>
      </c>
      <c r="M1530" s="29">
        <f>IFERROR((G1530*H1530*I1530/1000000)*D1530,0)</f>
      </c>
    </row>
    <row r="1531" spans="1:13" x14ac:dyDescent="0.25">
      <c r="A1531" s="16"/>
      <c r="E1531" s="27"/>
      <c r="F1531" t="s">
        <v>26</v>
      </c>
      <c r="G1531" s="28">
        <f>IFERROR(VLOOKUP(F1531,CARTON_LOOKUP!$A:$E,3,0),"")</f>
      </c>
      <c r="H1531" s="28">
        <f>IFERROR(VLOOKUP(F1531,CARTON_LOOKUP!$A:$E,4,0),"")</f>
      </c>
      <c r="I1531" s="28">
        <f>IFERROR(VLOOKUP(F1531,CARTON_LOOKUP!$A:$E,5,0),"")</f>
      </c>
      <c r="J1531" s="29">
        <f>IFERROR(VLOOKUP(F1531,CARTON_LOOKUP!$A:$E,2,0),"")</f>
      </c>
      <c r="K1531" s="29">
        <f>IFERROR(J1531*D1531,0)</f>
      </c>
      <c r="L1531" s="29">
        <f>IFERROR(E1531*C1531,0)</f>
      </c>
      <c r="M1531" s="29">
        <f>IFERROR((G1531*H1531*I1531/1000000)*D1531,0)</f>
      </c>
    </row>
    <row r="1532" spans="1:13" x14ac:dyDescent="0.25">
      <c r="A1532" s="16"/>
      <c r="E1532" s="27"/>
      <c r="F1532" t="s">
        <v>26</v>
      </c>
      <c r="G1532" s="28">
        <f>IFERROR(VLOOKUP(F1532,CARTON_LOOKUP!$A:$E,3,0),"")</f>
      </c>
      <c r="H1532" s="28">
        <f>IFERROR(VLOOKUP(F1532,CARTON_LOOKUP!$A:$E,4,0),"")</f>
      </c>
      <c r="I1532" s="28">
        <f>IFERROR(VLOOKUP(F1532,CARTON_LOOKUP!$A:$E,5,0),"")</f>
      </c>
      <c r="J1532" s="29">
        <f>IFERROR(VLOOKUP(F1532,CARTON_LOOKUP!$A:$E,2,0),"")</f>
      </c>
      <c r="K1532" s="29">
        <f>IFERROR(J1532*D1532,0)</f>
      </c>
      <c r="L1532" s="29">
        <f>IFERROR(E1532*C1532,0)</f>
      </c>
      <c r="M1532" s="29">
        <f>IFERROR((G1532*H1532*I1532/1000000)*D1532,0)</f>
      </c>
    </row>
    <row r="1533" spans="1:13" x14ac:dyDescent="0.25">
      <c r="A1533" s="16"/>
      <c r="E1533" s="27"/>
      <c r="F1533" t="s">
        <v>26</v>
      </c>
      <c r="G1533" s="28">
        <f>IFERROR(VLOOKUP(F1533,CARTON_LOOKUP!$A:$E,3,0),"")</f>
      </c>
      <c r="H1533" s="28">
        <f>IFERROR(VLOOKUP(F1533,CARTON_LOOKUP!$A:$E,4,0),"")</f>
      </c>
      <c r="I1533" s="28">
        <f>IFERROR(VLOOKUP(F1533,CARTON_LOOKUP!$A:$E,5,0),"")</f>
      </c>
      <c r="J1533" s="29">
        <f>IFERROR(VLOOKUP(F1533,CARTON_LOOKUP!$A:$E,2,0),"")</f>
      </c>
      <c r="K1533" s="29">
        <f>IFERROR(J1533*D1533,0)</f>
      </c>
      <c r="L1533" s="29">
        <f>IFERROR(E1533*C1533,0)</f>
      </c>
      <c r="M1533" s="29">
        <f>IFERROR((G1533*H1533*I1533/1000000)*D1533,0)</f>
      </c>
    </row>
    <row r="1534" spans="1:13" x14ac:dyDescent="0.25">
      <c r="A1534" s="16"/>
      <c r="E1534" s="27"/>
      <c r="F1534" t="s">
        <v>26</v>
      </c>
      <c r="G1534" s="28">
        <f>IFERROR(VLOOKUP(F1534,CARTON_LOOKUP!$A:$E,3,0),"")</f>
      </c>
      <c r="H1534" s="28">
        <f>IFERROR(VLOOKUP(F1534,CARTON_LOOKUP!$A:$E,4,0),"")</f>
      </c>
      <c r="I1534" s="28">
        <f>IFERROR(VLOOKUP(F1534,CARTON_LOOKUP!$A:$E,5,0),"")</f>
      </c>
      <c r="J1534" s="29">
        <f>IFERROR(VLOOKUP(F1534,CARTON_LOOKUP!$A:$E,2,0),"")</f>
      </c>
      <c r="K1534" s="29">
        <f>IFERROR(J1534*D1534,0)</f>
      </c>
      <c r="L1534" s="29">
        <f>IFERROR(E1534*C1534,0)</f>
      </c>
      <c r="M1534" s="29">
        <f>IFERROR((G1534*H1534*I1534/1000000)*D1534,0)</f>
      </c>
    </row>
    <row r="1535" spans="1:13" x14ac:dyDescent="0.25">
      <c r="A1535" s="16"/>
      <c r="E1535" s="27"/>
      <c r="F1535" t="s">
        <v>26</v>
      </c>
      <c r="G1535" s="28">
        <f>IFERROR(VLOOKUP(F1535,CARTON_LOOKUP!$A:$E,3,0),"")</f>
      </c>
      <c r="H1535" s="28">
        <f>IFERROR(VLOOKUP(F1535,CARTON_LOOKUP!$A:$E,4,0),"")</f>
      </c>
      <c r="I1535" s="28">
        <f>IFERROR(VLOOKUP(F1535,CARTON_LOOKUP!$A:$E,5,0),"")</f>
      </c>
      <c r="J1535" s="29">
        <f>IFERROR(VLOOKUP(F1535,CARTON_LOOKUP!$A:$E,2,0),"")</f>
      </c>
      <c r="K1535" s="29">
        <f>IFERROR(J1535*D1535,0)</f>
      </c>
      <c r="L1535" s="29">
        <f>IFERROR(E1535*C1535,0)</f>
      </c>
      <c r="M1535" s="29">
        <f>IFERROR((G1535*H1535*I1535/1000000)*D1535,0)</f>
      </c>
    </row>
    <row r="1536" spans="1:13" x14ac:dyDescent="0.25">
      <c r="A1536" s="16"/>
      <c r="E1536" s="27"/>
      <c r="F1536" t="s">
        <v>26</v>
      </c>
      <c r="G1536" s="28">
        <f>IFERROR(VLOOKUP(F1536,CARTON_LOOKUP!$A:$E,3,0),"")</f>
      </c>
      <c r="H1536" s="28">
        <f>IFERROR(VLOOKUP(F1536,CARTON_LOOKUP!$A:$E,4,0),"")</f>
      </c>
      <c r="I1536" s="28">
        <f>IFERROR(VLOOKUP(F1536,CARTON_LOOKUP!$A:$E,5,0),"")</f>
      </c>
      <c r="J1536" s="29">
        <f>IFERROR(VLOOKUP(F1536,CARTON_LOOKUP!$A:$E,2,0),"")</f>
      </c>
      <c r="K1536" s="29">
        <f>IFERROR(J1536*D1536,0)</f>
      </c>
      <c r="L1536" s="29">
        <f>IFERROR(E1536*C1536,0)</f>
      </c>
      <c r="M1536" s="29">
        <f>IFERROR((G1536*H1536*I1536/1000000)*D1536,0)</f>
      </c>
    </row>
    <row r="1537" spans="1:13" x14ac:dyDescent="0.25">
      <c r="A1537" s="16"/>
      <c r="E1537" s="27"/>
      <c r="F1537" t="s">
        <v>26</v>
      </c>
      <c r="G1537" s="28">
        <f>IFERROR(VLOOKUP(F1537,CARTON_LOOKUP!$A:$E,3,0),"")</f>
      </c>
      <c r="H1537" s="28">
        <f>IFERROR(VLOOKUP(F1537,CARTON_LOOKUP!$A:$E,4,0),"")</f>
      </c>
      <c r="I1537" s="28">
        <f>IFERROR(VLOOKUP(F1537,CARTON_LOOKUP!$A:$E,5,0),"")</f>
      </c>
      <c r="J1537" s="29">
        <f>IFERROR(VLOOKUP(F1537,CARTON_LOOKUP!$A:$E,2,0),"")</f>
      </c>
      <c r="K1537" s="29">
        <f>IFERROR(J1537*D1537,0)</f>
      </c>
      <c r="L1537" s="29">
        <f>IFERROR(E1537*C1537,0)</f>
      </c>
      <c r="M1537" s="29">
        <f>IFERROR((G1537*H1537*I1537/1000000)*D1537,0)</f>
      </c>
    </row>
    <row r="1538" spans="1:13" x14ac:dyDescent="0.25">
      <c r="A1538" s="16"/>
      <c r="E1538" s="27"/>
      <c r="F1538" t="s">
        <v>26</v>
      </c>
      <c r="G1538" s="28">
        <f>IFERROR(VLOOKUP(F1538,CARTON_LOOKUP!$A:$E,3,0),"")</f>
      </c>
      <c r="H1538" s="28">
        <f>IFERROR(VLOOKUP(F1538,CARTON_LOOKUP!$A:$E,4,0),"")</f>
      </c>
      <c r="I1538" s="28">
        <f>IFERROR(VLOOKUP(F1538,CARTON_LOOKUP!$A:$E,5,0),"")</f>
      </c>
      <c r="J1538" s="29">
        <f>IFERROR(VLOOKUP(F1538,CARTON_LOOKUP!$A:$E,2,0),"")</f>
      </c>
      <c r="K1538" s="29">
        <f>IFERROR(J1538*D1538,0)</f>
      </c>
      <c r="L1538" s="29">
        <f>IFERROR(E1538*C1538,0)</f>
      </c>
      <c r="M1538" s="29">
        <f>IFERROR((G1538*H1538*I1538/1000000)*D1538,0)</f>
      </c>
    </row>
    <row r="1539" spans="1:13" x14ac:dyDescent="0.25">
      <c r="A1539" s="16"/>
      <c r="E1539" s="27"/>
      <c r="F1539" t="s">
        <v>26</v>
      </c>
      <c r="G1539" s="28">
        <f>IFERROR(VLOOKUP(F1539,CARTON_LOOKUP!$A:$E,3,0),"")</f>
      </c>
      <c r="H1539" s="28">
        <f>IFERROR(VLOOKUP(F1539,CARTON_LOOKUP!$A:$E,4,0),"")</f>
      </c>
      <c r="I1539" s="28">
        <f>IFERROR(VLOOKUP(F1539,CARTON_LOOKUP!$A:$E,5,0),"")</f>
      </c>
      <c r="J1539" s="29">
        <f>IFERROR(VLOOKUP(F1539,CARTON_LOOKUP!$A:$E,2,0),"")</f>
      </c>
      <c r="K1539" s="29">
        <f>IFERROR(J1539*D1539,0)</f>
      </c>
      <c r="L1539" s="29">
        <f>IFERROR(E1539*C1539,0)</f>
      </c>
      <c r="M1539" s="29">
        <f>IFERROR((G1539*H1539*I1539/1000000)*D1539,0)</f>
      </c>
    </row>
    <row r="1540" spans="1:13" x14ac:dyDescent="0.25">
      <c r="A1540" s="16"/>
      <c r="E1540" s="27"/>
      <c r="F1540" t="s">
        <v>26</v>
      </c>
      <c r="G1540" s="28">
        <f>IFERROR(VLOOKUP(F1540,CARTON_LOOKUP!$A:$E,3,0),"")</f>
      </c>
      <c r="H1540" s="28">
        <f>IFERROR(VLOOKUP(F1540,CARTON_LOOKUP!$A:$E,4,0),"")</f>
      </c>
      <c r="I1540" s="28">
        <f>IFERROR(VLOOKUP(F1540,CARTON_LOOKUP!$A:$E,5,0),"")</f>
      </c>
      <c r="J1540" s="29">
        <f>IFERROR(VLOOKUP(F1540,CARTON_LOOKUP!$A:$E,2,0),"")</f>
      </c>
      <c r="K1540" s="29">
        <f>IFERROR(J1540*D1540,0)</f>
      </c>
      <c r="L1540" s="29">
        <f>IFERROR(E1540*C1540,0)</f>
      </c>
      <c r="M1540" s="29">
        <f>IFERROR((G1540*H1540*I1540/1000000)*D1540,0)</f>
      </c>
    </row>
    <row r="1541" spans="1:13" x14ac:dyDescent="0.25">
      <c r="A1541" s="16"/>
      <c r="E1541" s="27"/>
      <c r="F1541" t="s">
        <v>26</v>
      </c>
      <c r="G1541" s="28">
        <f>IFERROR(VLOOKUP(F1541,CARTON_LOOKUP!$A:$E,3,0),"")</f>
      </c>
      <c r="H1541" s="28">
        <f>IFERROR(VLOOKUP(F1541,CARTON_LOOKUP!$A:$E,4,0),"")</f>
      </c>
      <c r="I1541" s="28">
        <f>IFERROR(VLOOKUP(F1541,CARTON_LOOKUP!$A:$E,5,0),"")</f>
      </c>
      <c r="J1541" s="29">
        <f>IFERROR(VLOOKUP(F1541,CARTON_LOOKUP!$A:$E,2,0),"")</f>
      </c>
      <c r="K1541" s="29">
        <f>IFERROR(J1541*D1541,0)</f>
      </c>
      <c r="L1541" s="29">
        <f>IFERROR(E1541*C1541,0)</f>
      </c>
      <c r="M1541" s="29">
        <f>IFERROR((G1541*H1541*I1541/1000000)*D1541,0)</f>
      </c>
    </row>
    <row r="1542" spans="1:13" x14ac:dyDescent="0.25">
      <c r="A1542" s="16"/>
      <c r="E1542" s="27"/>
      <c r="F1542" t="s">
        <v>26</v>
      </c>
      <c r="G1542" s="28">
        <f>IFERROR(VLOOKUP(F1542,CARTON_LOOKUP!$A:$E,3,0),"")</f>
      </c>
      <c r="H1542" s="28">
        <f>IFERROR(VLOOKUP(F1542,CARTON_LOOKUP!$A:$E,4,0),"")</f>
      </c>
      <c r="I1542" s="28">
        <f>IFERROR(VLOOKUP(F1542,CARTON_LOOKUP!$A:$E,5,0),"")</f>
      </c>
      <c r="J1542" s="29">
        <f>IFERROR(VLOOKUP(F1542,CARTON_LOOKUP!$A:$E,2,0),"")</f>
      </c>
      <c r="K1542" s="29">
        <f>IFERROR(J1542*D1542,0)</f>
      </c>
      <c r="L1542" s="29">
        <f>IFERROR(E1542*C1542,0)</f>
      </c>
      <c r="M1542" s="29">
        <f>IFERROR((G1542*H1542*I1542/1000000)*D1542,0)</f>
      </c>
    </row>
    <row r="1543" spans="1:13" x14ac:dyDescent="0.25">
      <c r="A1543" s="16"/>
      <c r="E1543" s="27"/>
      <c r="F1543" t="s">
        <v>26</v>
      </c>
      <c r="G1543" s="28">
        <f>IFERROR(VLOOKUP(F1543,CARTON_LOOKUP!$A:$E,3,0),"")</f>
      </c>
      <c r="H1543" s="28">
        <f>IFERROR(VLOOKUP(F1543,CARTON_LOOKUP!$A:$E,4,0),"")</f>
      </c>
      <c r="I1543" s="28">
        <f>IFERROR(VLOOKUP(F1543,CARTON_LOOKUP!$A:$E,5,0),"")</f>
      </c>
      <c r="J1543" s="29">
        <f>IFERROR(VLOOKUP(F1543,CARTON_LOOKUP!$A:$E,2,0),"")</f>
      </c>
      <c r="K1543" s="29">
        <f>IFERROR(J1543*D1543,0)</f>
      </c>
      <c r="L1543" s="29">
        <f>IFERROR(E1543*C1543,0)</f>
      </c>
      <c r="M1543" s="29">
        <f>IFERROR((G1543*H1543*I1543/1000000)*D1543,0)</f>
      </c>
    </row>
    <row r="1544" spans="1:13" x14ac:dyDescent="0.25">
      <c r="A1544" s="16"/>
      <c r="E1544" s="27"/>
      <c r="F1544" t="s">
        <v>26</v>
      </c>
      <c r="G1544" s="28">
        <f>IFERROR(VLOOKUP(F1544,CARTON_LOOKUP!$A:$E,3,0),"")</f>
      </c>
      <c r="H1544" s="28">
        <f>IFERROR(VLOOKUP(F1544,CARTON_LOOKUP!$A:$E,4,0),"")</f>
      </c>
      <c r="I1544" s="28">
        <f>IFERROR(VLOOKUP(F1544,CARTON_LOOKUP!$A:$E,5,0),"")</f>
      </c>
      <c r="J1544" s="29">
        <f>IFERROR(VLOOKUP(F1544,CARTON_LOOKUP!$A:$E,2,0),"")</f>
      </c>
      <c r="K1544" s="29">
        <f>IFERROR(J1544*D1544,0)</f>
      </c>
      <c r="L1544" s="29">
        <f>IFERROR(E1544*C1544,0)</f>
      </c>
      <c r="M1544" s="29">
        <f>IFERROR((G1544*H1544*I1544/1000000)*D1544,0)</f>
      </c>
    </row>
    <row r="1545" spans="1:13" x14ac:dyDescent="0.25">
      <c r="A1545" s="16"/>
      <c r="E1545" s="27"/>
      <c r="F1545" t="s">
        <v>26</v>
      </c>
      <c r="G1545" s="28">
        <f>IFERROR(VLOOKUP(F1545,CARTON_LOOKUP!$A:$E,3,0),"")</f>
      </c>
      <c r="H1545" s="28">
        <f>IFERROR(VLOOKUP(F1545,CARTON_LOOKUP!$A:$E,4,0),"")</f>
      </c>
      <c r="I1545" s="28">
        <f>IFERROR(VLOOKUP(F1545,CARTON_LOOKUP!$A:$E,5,0),"")</f>
      </c>
      <c r="J1545" s="29">
        <f>IFERROR(VLOOKUP(F1545,CARTON_LOOKUP!$A:$E,2,0),"")</f>
      </c>
      <c r="K1545" s="29">
        <f>IFERROR(J1545*D1545,0)</f>
      </c>
      <c r="L1545" s="29">
        <f>IFERROR(E1545*C1545,0)</f>
      </c>
      <c r="M1545" s="29">
        <f>IFERROR((G1545*H1545*I1545/1000000)*D1545,0)</f>
      </c>
    </row>
    <row r="1546" spans="1:13" x14ac:dyDescent="0.25">
      <c r="A1546" s="16"/>
      <c r="E1546" s="27"/>
      <c r="F1546" t="s">
        <v>26</v>
      </c>
      <c r="G1546" s="28">
        <f>IFERROR(VLOOKUP(F1546,CARTON_LOOKUP!$A:$E,3,0),"")</f>
      </c>
      <c r="H1546" s="28">
        <f>IFERROR(VLOOKUP(F1546,CARTON_LOOKUP!$A:$E,4,0),"")</f>
      </c>
      <c r="I1546" s="28">
        <f>IFERROR(VLOOKUP(F1546,CARTON_LOOKUP!$A:$E,5,0),"")</f>
      </c>
      <c r="J1546" s="29">
        <f>IFERROR(VLOOKUP(F1546,CARTON_LOOKUP!$A:$E,2,0),"")</f>
      </c>
      <c r="K1546" s="29">
        <f>IFERROR(J1546*D1546,0)</f>
      </c>
      <c r="L1546" s="29">
        <f>IFERROR(E1546*C1546,0)</f>
      </c>
      <c r="M1546" s="29">
        <f>IFERROR((G1546*H1546*I1546/1000000)*D1546,0)</f>
      </c>
    </row>
    <row r="1547" spans="1:13" x14ac:dyDescent="0.25">
      <c r="A1547" s="16"/>
      <c r="E1547" s="27"/>
      <c r="F1547" t="s">
        <v>26</v>
      </c>
      <c r="G1547" s="28">
        <f>IFERROR(VLOOKUP(F1547,CARTON_LOOKUP!$A:$E,3,0),"")</f>
      </c>
      <c r="H1547" s="28">
        <f>IFERROR(VLOOKUP(F1547,CARTON_LOOKUP!$A:$E,4,0),"")</f>
      </c>
      <c r="I1547" s="28">
        <f>IFERROR(VLOOKUP(F1547,CARTON_LOOKUP!$A:$E,5,0),"")</f>
      </c>
      <c r="J1547" s="29">
        <f>IFERROR(VLOOKUP(F1547,CARTON_LOOKUP!$A:$E,2,0),"")</f>
      </c>
      <c r="K1547" s="29">
        <f>IFERROR(J1547*D1547,0)</f>
      </c>
      <c r="L1547" s="29">
        <f>IFERROR(E1547*C1547,0)</f>
      </c>
      <c r="M1547" s="29">
        <f>IFERROR((G1547*H1547*I1547/1000000)*D1547,0)</f>
      </c>
    </row>
    <row r="1548" spans="1:13" x14ac:dyDescent="0.25">
      <c r="A1548" s="16"/>
      <c r="E1548" s="27"/>
      <c r="F1548" t="s">
        <v>26</v>
      </c>
      <c r="G1548" s="28">
        <f>IFERROR(VLOOKUP(F1548,CARTON_LOOKUP!$A:$E,3,0),"")</f>
      </c>
      <c r="H1548" s="28">
        <f>IFERROR(VLOOKUP(F1548,CARTON_LOOKUP!$A:$E,4,0),"")</f>
      </c>
      <c r="I1548" s="28">
        <f>IFERROR(VLOOKUP(F1548,CARTON_LOOKUP!$A:$E,5,0),"")</f>
      </c>
      <c r="J1548" s="29">
        <f>IFERROR(VLOOKUP(F1548,CARTON_LOOKUP!$A:$E,2,0),"")</f>
      </c>
      <c r="K1548" s="29">
        <f>IFERROR(J1548*D1548,0)</f>
      </c>
      <c r="L1548" s="29">
        <f>IFERROR(E1548*C1548,0)</f>
      </c>
      <c r="M1548" s="29">
        <f>IFERROR((G1548*H1548*I1548/1000000)*D1548,0)</f>
      </c>
    </row>
    <row r="1549" spans="1:13" x14ac:dyDescent="0.25">
      <c r="A1549" s="16"/>
      <c r="E1549" s="27"/>
      <c r="F1549" t="s">
        <v>26</v>
      </c>
      <c r="G1549" s="28">
        <f>IFERROR(VLOOKUP(F1549,CARTON_LOOKUP!$A:$E,3,0),"")</f>
      </c>
      <c r="H1549" s="28">
        <f>IFERROR(VLOOKUP(F1549,CARTON_LOOKUP!$A:$E,4,0),"")</f>
      </c>
      <c r="I1549" s="28">
        <f>IFERROR(VLOOKUP(F1549,CARTON_LOOKUP!$A:$E,5,0),"")</f>
      </c>
      <c r="J1549" s="29">
        <f>IFERROR(VLOOKUP(F1549,CARTON_LOOKUP!$A:$E,2,0),"")</f>
      </c>
      <c r="K1549" s="29">
        <f>IFERROR(J1549*D1549,0)</f>
      </c>
      <c r="L1549" s="29">
        <f>IFERROR(E1549*C1549,0)</f>
      </c>
      <c r="M1549" s="29">
        <f>IFERROR((G1549*H1549*I1549/1000000)*D1549,0)</f>
      </c>
    </row>
    <row r="1550" spans="1:13" x14ac:dyDescent="0.25">
      <c r="A1550" s="16"/>
      <c r="E1550" s="27"/>
      <c r="F1550" t="s">
        <v>26</v>
      </c>
      <c r="G1550" s="28">
        <f>IFERROR(VLOOKUP(F1550,CARTON_LOOKUP!$A:$E,3,0),"")</f>
      </c>
      <c r="H1550" s="28">
        <f>IFERROR(VLOOKUP(F1550,CARTON_LOOKUP!$A:$E,4,0),"")</f>
      </c>
      <c r="I1550" s="28">
        <f>IFERROR(VLOOKUP(F1550,CARTON_LOOKUP!$A:$E,5,0),"")</f>
      </c>
      <c r="J1550" s="29">
        <f>IFERROR(VLOOKUP(F1550,CARTON_LOOKUP!$A:$E,2,0),"")</f>
      </c>
      <c r="K1550" s="29">
        <f>IFERROR(J1550*D1550,0)</f>
      </c>
      <c r="L1550" s="29">
        <f>IFERROR(E1550*C1550,0)</f>
      </c>
      <c r="M1550" s="29">
        <f>IFERROR((G1550*H1550*I1550/1000000)*D1550,0)</f>
      </c>
    </row>
    <row r="1551" spans="1:13" x14ac:dyDescent="0.25">
      <c r="A1551" s="16"/>
      <c r="E1551" s="27"/>
      <c r="F1551" t="s">
        <v>26</v>
      </c>
      <c r="G1551" s="28">
        <f>IFERROR(VLOOKUP(F1551,CARTON_LOOKUP!$A:$E,3,0),"")</f>
      </c>
      <c r="H1551" s="28">
        <f>IFERROR(VLOOKUP(F1551,CARTON_LOOKUP!$A:$E,4,0),"")</f>
      </c>
      <c r="I1551" s="28">
        <f>IFERROR(VLOOKUP(F1551,CARTON_LOOKUP!$A:$E,5,0),"")</f>
      </c>
      <c r="J1551" s="29">
        <f>IFERROR(VLOOKUP(F1551,CARTON_LOOKUP!$A:$E,2,0),"")</f>
      </c>
      <c r="K1551" s="29">
        <f>IFERROR(J1551*D1551,0)</f>
      </c>
      <c r="L1551" s="29">
        <f>IFERROR(E1551*C1551,0)</f>
      </c>
      <c r="M1551" s="29">
        <f>IFERROR((G1551*H1551*I1551/1000000)*D1551,0)</f>
      </c>
    </row>
    <row r="1552" spans="1:13" x14ac:dyDescent="0.25">
      <c r="A1552" s="16"/>
      <c r="E1552" s="27"/>
      <c r="F1552" t="s">
        <v>26</v>
      </c>
      <c r="G1552" s="28">
        <f>IFERROR(VLOOKUP(F1552,CARTON_LOOKUP!$A:$E,3,0),"")</f>
      </c>
      <c r="H1552" s="28">
        <f>IFERROR(VLOOKUP(F1552,CARTON_LOOKUP!$A:$E,4,0),"")</f>
      </c>
      <c r="I1552" s="28">
        <f>IFERROR(VLOOKUP(F1552,CARTON_LOOKUP!$A:$E,5,0),"")</f>
      </c>
      <c r="J1552" s="29">
        <f>IFERROR(VLOOKUP(F1552,CARTON_LOOKUP!$A:$E,2,0),"")</f>
      </c>
      <c r="K1552" s="29">
        <f>IFERROR(J1552*D1552,0)</f>
      </c>
      <c r="L1552" s="29">
        <f>IFERROR(E1552*C1552,0)</f>
      </c>
      <c r="M1552" s="29">
        <f>IFERROR((G1552*H1552*I1552/1000000)*D1552,0)</f>
      </c>
    </row>
    <row r="1553" spans="1:13" x14ac:dyDescent="0.25">
      <c r="A1553" s="16"/>
      <c r="E1553" s="27"/>
      <c r="F1553" t="s">
        <v>26</v>
      </c>
      <c r="G1553" s="28">
        <f>IFERROR(VLOOKUP(F1553,CARTON_LOOKUP!$A:$E,3,0),"")</f>
      </c>
      <c r="H1553" s="28">
        <f>IFERROR(VLOOKUP(F1553,CARTON_LOOKUP!$A:$E,4,0),"")</f>
      </c>
      <c r="I1553" s="28">
        <f>IFERROR(VLOOKUP(F1553,CARTON_LOOKUP!$A:$E,5,0),"")</f>
      </c>
      <c r="J1553" s="29">
        <f>IFERROR(VLOOKUP(F1553,CARTON_LOOKUP!$A:$E,2,0),"")</f>
      </c>
      <c r="K1553" s="29">
        <f>IFERROR(J1553*D1553,0)</f>
      </c>
      <c r="L1553" s="29">
        <f>IFERROR(E1553*C1553,0)</f>
      </c>
      <c r="M1553" s="29">
        <f>IFERROR((G1553*H1553*I1553/1000000)*D1553,0)</f>
      </c>
    </row>
    <row r="1554" spans="1:13" x14ac:dyDescent="0.25">
      <c r="A1554" s="16"/>
      <c r="E1554" s="27"/>
      <c r="F1554" t="s">
        <v>26</v>
      </c>
      <c r="G1554" s="28">
        <f>IFERROR(VLOOKUP(F1554,CARTON_LOOKUP!$A:$E,3,0),"")</f>
      </c>
      <c r="H1554" s="28">
        <f>IFERROR(VLOOKUP(F1554,CARTON_LOOKUP!$A:$E,4,0),"")</f>
      </c>
      <c r="I1554" s="28">
        <f>IFERROR(VLOOKUP(F1554,CARTON_LOOKUP!$A:$E,5,0),"")</f>
      </c>
      <c r="J1554" s="29">
        <f>IFERROR(VLOOKUP(F1554,CARTON_LOOKUP!$A:$E,2,0),"")</f>
      </c>
      <c r="K1554" s="29">
        <f>IFERROR(J1554*D1554,0)</f>
      </c>
      <c r="L1554" s="29">
        <f>IFERROR(E1554*C1554,0)</f>
      </c>
      <c r="M1554" s="29">
        <f>IFERROR((G1554*H1554*I1554/1000000)*D1554,0)</f>
      </c>
    </row>
    <row r="1555" spans="1:13" x14ac:dyDescent="0.25">
      <c r="A1555" s="16"/>
      <c r="E1555" s="27"/>
      <c r="F1555" t="s">
        <v>26</v>
      </c>
      <c r="G1555" s="28">
        <f>IFERROR(VLOOKUP(F1555,CARTON_LOOKUP!$A:$E,3,0),"")</f>
      </c>
      <c r="H1555" s="28">
        <f>IFERROR(VLOOKUP(F1555,CARTON_LOOKUP!$A:$E,4,0),"")</f>
      </c>
      <c r="I1555" s="28">
        <f>IFERROR(VLOOKUP(F1555,CARTON_LOOKUP!$A:$E,5,0),"")</f>
      </c>
      <c r="J1555" s="29">
        <f>IFERROR(VLOOKUP(F1555,CARTON_LOOKUP!$A:$E,2,0),"")</f>
      </c>
      <c r="K1555" s="29">
        <f>IFERROR(J1555*D1555,0)</f>
      </c>
      <c r="L1555" s="29">
        <f>IFERROR(E1555*C1555,0)</f>
      </c>
      <c r="M1555" s="29">
        <f>IFERROR((G1555*H1555*I1555/1000000)*D1555,0)</f>
      </c>
    </row>
    <row r="1556" spans="1:13" x14ac:dyDescent="0.25">
      <c r="A1556" s="16"/>
      <c r="E1556" s="27"/>
      <c r="F1556" t="s">
        <v>26</v>
      </c>
      <c r="G1556" s="28">
        <f>IFERROR(VLOOKUP(F1556,CARTON_LOOKUP!$A:$E,3,0),"")</f>
      </c>
      <c r="H1556" s="28">
        <f>IFERROR(VLOOKUP(F1556,CARTON_LOOKUP!$A:$E,4,0),"")</f>
      </c>
      <c r="I1556" s="28">
        <f>IFERROR(VLOOKUP(F1556,CARTON_LOOKUP!$A:$E,5,0),"")</f>
      </c>
      <c r="J1556" s="29">
        <f>IFERROR(VLOOKUP(F1556,CARTON_LOOKUP!$A:$E,2,0),"")</f>
      </c>
      <c r="K1556" s="29">
        <f>IFERROR(J1556*D1556,0)</f>
      </c>
      <c r="L1556" s="29">
        <f>IFERROR(E1556*C1556,0)</f>
      </c>
      <c r="M1556" s="29">
        <f>IFERROR((G1556*H1556*I1556/1000000)*D1556,0)</f>
      </c>
    </row>
    <row r="1557" spans="1:13" x14ac:dyDescent="0.25">
      <c r="A1557" s="16"/>
      <c r="E1557" s="27"/>
      <c r="F1557" t="s">
        <v>26</v>
      </c>
      <c r="G1557" s="28">
        <f>IFERROR(VLOOKUP(F1557,CARTON_LOOKUP!$A:$E,3,0),"")</f>
      </c>
      <c r="H1557" s="28">
        <f>IFERROR(VLOOKUP(F1557,CARTON_LOOKUP!$A:$E,4,0),"")</f>
      </c>
      <c r="I1557" s="28">
        <f>IFERROR(VLOOKUP(F1557,CARTON_LOOKUP!$A:$E,5,0),"")</f>
      </c>
      <c r="J1557" s="29">
        <f>IFERROR(VLOOKUP(F1557,CARTON_LOOKUP!$A:$E,2,0),"")</f>
      </c>
      <c r="K1557" s="29">
        <f>IFERROR(J1557*D1557,0)</f>
      </c>
      <c r="L1557" s="29">
        <f>IFERROR(E1557*C1557,0)</f>
      </c>
      <c r="M1557" s="29">
        <f>IFERROR((G1557*H1557*I1557/1000000)*D1557,0)</f>
      </c>
    </row>
    <row r="1558" spans="1:13" x14ac:dyDescent="0.25">
      <c r="A1558" s="16"/>
      <c r="E1558" s="27"/>
      <c r="F1558" t="s">
        <v>26</v>
      </c>
      <c r="G1558" s="28">
        <f>IFERROR(VLOOKUP(F1558,CARTON_LOOKUP!$A:$E,3,0),"")</f>
      </c>
      <c r="H1558" s="28">
        <f>IFERROR(VLOOKUP(F1558,CARTON_LOOKUP!$A:$E,4,0),"")</f>
      </c>
      <c r="I1558" s="28">
        <f>IFERROR(VLOOKUP(F1558,CARTON_LOOKUP!$A:$E,5,0),"")</f>
      </c>
      <c r="J1558" s="29">
        <f>IFERROR(VLOOKUP(F1558,CARTON_LOOKUP!$A:$E,2,0),"")</f>
      </c>
      <c r="K1558" s="29">
        <f>IFERROR(J1558*D1558,0)</f>
      </c>
      <c r="L1558" s="29">
        <f>IFERROR(E1558*C1558,0)</f>
      </c>
      <c r="M1558" s="29">
        <f>IFERROR((G1558*H1558*I1558/1000000)*D1558,0)</f>
      </c>
    </row>
    <row r="1559" spans="1:13" x14ac:dyDescent="0.25">
      <c r="A1559" s="16"/>
      <c r="E1559" s="27"/>
      <c r="F1559" t="s">
        <v>26</v>
      </c>
      <c r="G1559" s="28">
        <f>IFERROR(VLOOKUP(F1559,CARTON_LOOKUP!$A:$E,3,0),"")</f>
      </c>
      <c r="H1559" s="28">
        <f>IFERROR(VLOOKUP(F1559,CARTON_LOOKUP!$A:$E,4,0),"")</f>
      </c>
      <c r="I1559" s="28">
        <f>IFERROR(VLOOKUP(F1559,CARTON_LOOKUP!$A:$E,5,0),"")</f>
      </c>
      <c r="J1559" s="29">
        <f>IFERROR(VLOOKUP(F1559,CARTON_LOOKUP!$A:$E,2,0),"")</f>
      </c>
      <c r="K1559" s="29">
        <f>IFERROR(J1559*D1559,0)</f>
      </c>
      <c r="L1559" s="29">
        <f>IFERROR(E1559*C1559,0)</f>
      </c>
      <c r="M1559" s="29">
        <f>IFERROR((G1559*H1559*I1559/1000000)*D1559,0)</f>
      </c>
    </row>
    <row r="1560" spans="1:13" x14ac:dyDescent="0.25">
      <c r="A1560" s="16"/>
      <c r="E1560" s="27"/>
      <c r="F1560" t="s">
        <v>26</v>
      </c>
      <c r="G1560" s="28">
        <f>IFERROR(VLOOKUP(F1560,CARTON_LOOKUP!$A:$E,3,0),"")</f>
      </c>
      <c r="H1560" s="28">
        <f>IFERROR(VLOOKUP(F1560,CARTON_LOOKUP!$A:$E,4,0),"")</f>
      </c>
      <c r="I1560" s="28">
        <f>IFERROR(VLOOKUP(F1560,CARTON_LOOKUP!$A:$E,5,0),"")</f>
      </c>
      <c r="J1560" s="29">
        <f>IFERROR(VLOOKUP(F1560,CARTON_LOOKUP!$A:$E,2,0),"")</f>
      </c>
      <c r="K1560" s="29">
        <f>IFERROR(J1560*D1560,0)</f>
      </c>
      <c r="L1560" s="29">
        <f>IFERROR(E1560*C1560,0)</f>
      </c>
      <c r="M1560" s="29">
        <f>IFERROR((G1560*H1560*I1560/1000000)*D1560,0)</f>
      </c>
    </row>
    <row r="1561" spans="1:13" x14ac:dyDescent="0.25">
      <c r="A1561" s="16"/>
      <c r="E1561" s="27"/>
      <c r="F1561" t="s">
        <v>26</v>
      </c>
      <c r="G1561" s="28">
        <f>IFERROR(VLOOKUP(F1561,CARTON_LOOKUP!$A:$E,3,0),"")</f>
      </c>
      <c r="H1561" s="28">
        <f>IFERROR(VLOOKUP(F1561,CARTON_LOOKUP!$A:$E,4,0),"")</f>
      </c>
      <c r="I1561" s="28">
        <f>IFERROR(VLOOKUP(F1561,CARTON_LOOKUP!$A:$E,5,0),"")</f>
      </c>
      <c r="J1561" s="29">
        <f>IFERROR(VLOOKUP(F1561,CARTON_LOOKUP!$A:$E,2,0),"")</f>
      </c>
      <c r="K1561" s="29">
        <f>IFERROR(J1561*D1561,0)</f>
      </c>
      <c r="L1561" s="29">
        <f>IFERROR(E1561*C1561,0)</f>
      </c>
      <c r="M1561" s="29">
        <f>IFERROR((G1561*H1561*I1561/1000000)*D1561,0)</f>
      </c>
    </row>
    <row r="1562" spans="1:13" x14ac:dyDescent="0.25">
      <c r="A1562" s="16"/>
      <c r="E1562" s="27"/>
      <c r="F1562" t="s">
        <v>26</v>
      </c>
      <c r="G1562" s="28">
        <f>IFERROR(VLOOKUP(F1562,CARTON_LOOKUP!$A:$E,3,0),"")</f>
      </c>
      <c r="H1562" s="28">
        <f>IFERROR(VLOOKUP(F1562,CARTON_LOOKUP!$A:$E,4,0),"")</f>
      </c>
      <c r="I1562" s="28">
        <f>IFERROR(VLOOKUP(F1562,CARTON_LOOKUP!$A:$E,5,0),"")</f>
      </c>
      <c r="J1562" s="29">
        <f>IFERROR(VLOOKUP(F1562,CARTON_LOOKUP!$A:$E,2,0),"")</f>
      </c>
      <c r="K1562" s="29">
        <f>IFERROR(J1562*D1562,0)</f>
      </c>
      <c r="L1562" s="29">
        <f>IFERROR(E1562*C1562,0)</f>
      </c>
      <c r="M1562" s="29">
        <f>IFERROR((G1562*H1562*I1562/1000000)*D1562,0)</f>
      </c>
    </row>
    <row r="1563" spans="1:13" x14ac:dyDescent="0.25">
      <c r="A1563" s="16"/>
      <c r="E1563" s="27"/>
      <c r="F1563" t="s">
        <v>26</v>
      </c>
      <c r="G1563" s="28">
        <f>IFERROR(VLOOKUP(F1563,CARTON_LOOKUP!$A:$E,3,0),"")</f>
      </c>
      <c r="H1563" s="28">
        <f>IFERROR(VLOOKUP(F1563,CARTON_LOOKUP!$A:$E,4,0),"")</f>
      </c>
      <c r="I1563" s="28">
        <f>IFERROR(VLOOKUP(F1563,CARTON_LOOKUP!$A:$E,5,0),"")</f>
      </c>
      <c r="J1563" s="29">
        <f>IFERROR(VLOOKUP(F1563,CARTON_LOOKUP!$A:$E,2,0),"")</f>
      </c>
      <c r="K1563" s="29">
        <f>IFERROR(J1563*D1563,0)</f>
      </c>
      <c r="L1563" s="29">
        <f>IFERROR(E1563*C1563,0)</f>
      </c>
      <c r="M1563" s="29">
        <f>IFERROR((G1563*H1563*I1563/1000000)*D1563,0)</f>
      </c>
    </row>
    <row r="1564" spans="1:13" x14ac:dyDescent="0.25">
      <c r="A1564" s="16"/>
      <c r="E1564" s="27"/>
      <c r="F1564" t="s">
        <v>26</v>
      </c>
      <c r="G1564" s="28">
        <f>IFERROR(VLOOKUP(F1564,CARTON_LOOKUP!$A:$E,3,0),"")</f>
      </c>
      <c r="H1564" s="28">
        <f>IFERROR(VLOOKUP(F1564,CARTON_LOOKUP!$A:$E,4,0),"")</f>
      </c>
      <c r="I1564" s="28">
        <f>IFERROR(VLOOKUP(F1564,CARTON_LOOKUP!$A:$E,5,0),"")</f>
      </c>
      <c r="J1564" s="29">
        <f>IFERROR(VLOOKUP(F1564,CARTON_LOOKUP!$A:$E,2,0),"")</f>
      </c>
      <c r="K1564" s="29">
        <f>IFERROR(J1564*D1564,0)</f>
      </c>
      <c r="L1564" s="29">
        <f>IFERROR(E1564*C1564,0)</f>
      </c>
      <c r="M1564" s="29">
        <f>IFERROR((G1564*H1564*I1564/1000000)*D1564,0)</f>
      </c>
    </row>
    <row r="1565" spans="1:13" x14ac:dyDescent="0.25">
      <c r="A1565" s="16"/>
      <c r="E1565" s="27"/>
      <c r="F1565" t="s">
        <v>26</v>
      </c>
      <c r="G1565" s="28">
        <f>IFERROR(VLOOKUP(F1565,CARTON_LOOKUP!$A:$E,3,0),"")</f>
      </c>
      <c r="H1565" s="28">
        <f>IFERROR(VLOOKUP(F1565,CARTON_LOOKUP!$A:$E,4,0),"")</f>
      </c>
      <c r="I1565" s="28">
        <f>IFERROR(VLOOKUP(F1565,CARTON_LOOKUP!$A:$E,5,0),"")</f>
      </c>
      <c r="J1565" s="29">
        <f>IFERROR(VLOOKUP(F1565,CARTON_LOOKUP!$A:$E,2,0),"")</f>
      </c>
      <c r="K1565" s="29">
        <f>IFERROR(J1565*D1565,0)</f>
      </c>
      <c r="L1565" s="29">
        <f>IFERROR(E1565*C1565,0)</f>
      </c>
      <c r="M1565" s="29">
        <f>IFERROR((G1565*H1565*I1565/1000000)*D1565,0)</f>
      </c>
    </row>
    <row r="1566" spans="1:13" x14ac:dyDescent="0.25">
      <c r="A1566" s="16"/>
      <c r="E1566" s="27"/>
      <c r="F1566" t="s">
        <v>26</v>
      </c>
      <c r="G1566" s="28">
        <f>IFERROR(VLOOKUP(F1566,CARTON_LOOKUP!$A:$E,3,0),"")</f>
      </c>
      <c r="H1566" s="28">
        <f>IFERROR(VLOOKUP(F1566,CARTON_LOOKUP!$A:$E,4,0),"")</f>
      </c>
      <c r="I1566" s="28">
        <f>IFERROR(VLOOKUP(F1566,CARTON_LOOKUP!$A:$E,5,0),"")</f>
      </c>
      <c r="J1566" s="29">
        <f>IFERROR(VLOOKUP(F1566,CARTON_LOOKUP!$A:$E,2,0),"")</f>
      </c>
      <c r="K1566" s="29">
        <f>IFERROR(J1566*D1566,0)</f>
      </c>
      <c r="L1566" s="29">
        <f>IFERROR(E1566*C1566,0)</f>
      </c>
      <c r="M1566" s="29">
        <f>IFERROR((G1566*H1566*I1566/1000000)*D1566,0)</f>
      </c>
    </row>
    <row r="1567" spans="1:13" x14ac:dyDescent="0.25">
      <c r="A1567" s="16"/>
      <c r="E1567" s="27"/>
      <c r="F1567" t="s">
        <v>26</v>
      </c>
      <c r="G1567" s="28">
        <f>IFERROR(VLOOKUP(F1567,CARTON_LOOKUP!$A:$E,3,0),"")</f>
      </c>
      <c r="H1567" s="28">
        <f>IFERROR(VLOOKUP(F1567,CARTON_LOOKUP!$A:$E,4,0),"")</f>
      </c>
      <c r="I1567" s="28">
        <f>IFERROR(VLOOKUP(F1567,CARTON_LOOKUP!$A:$E,5,0),"")</f>
      </c>
      <c r="J1567" s="29">
        <f>IFERROR(VLOOKUP(F1567,CARTON_LOOKUP!$A:$E,2,0),"")</f>
      </c>
      <c r="K1567" s="29">
        <f>IFERROR(J1567*D1567,0)</f>
      </c>
      <c r="L1567" s="29">
        <f>IFERROR(E1567*C1567,0)</f>
      </c>
      <c r="M1567" s="29">
        <f>IFERROR((G1567*H1567*I1567/1000000)*D1567,0)</f>
      </c>
    </row>
    <row r="1568" spans="1:13" x14ac:dyDescent="0.25">
      <c r="A1568" s="16"/>
      <c r="E1568" s="27"/>
      <c r="F1568" t="s">
        <v>26</v>
      </c>
      <c r="G1568" s="28">
        <f>IFERROR(VLOOKUP(F1568,CARTON_LOOKUP!$A:$E,3,0),"")</f>
      </c>
      <c r="H1568" s="28">
        <f>IFERROR(VLOOKUP(F1568,CARTON_LOOKUP!$A:$E,4,0),"")</f>
      </c>
      <c r="I1568" s="28">
        <f>IFERROR(VLOOKUP(F1568,CARTON_LOOKUP!$A:$E,5,0),"")</f>
      </c>
      <c r="J1568" s="29">
        <f>IFERROR(VLOOKUP(F1568,CARTON_LOOKUP!$A:$E,2,0),"")</f>
      </c>
      <c r="K1568" s="29">
        <f>IFERROR(J1568*D1568,0)</f>
      </c>
      <c r="L1568" s="29">
        <f>IFERROR(E1568*C1568,0)</f>
      </c>
      <c r="M1568" s="29">
        <f>IFERROR((G1568*H1568*I1568/1000000)*D1568,0)</f>
      </c>
    </row>
    <row r="1569" spans="1:13" x14ac:dyDescent="0.25">
      <c r="A1569" s="16"/>
      <c r="E1569" s="27"/>
      <c r="F1569" t="s">
        <v>26</v>
      </c>
      <c r="G1569" s="28">
        <f>IFERROR(VLOOKUP(F1569,CARTON_LOOKUP!$A:$E,3,0),"")</f>
      </c>
      <c r="H1569" s="28">
        <f>IFERROR(VLOOKUP(F1569,CARTON_LOOKUP!$A:$E,4,0),"")</f>
      </c>
      <c r="I1569" s="28">
        <f>IFERROR(VLOOKUP(F1569,CARTON_LOOKUP!$A:$E,5,0),"")</f>
      </c>
      <c r="J1569" s="29">
        <f>IFERROR(VLOOKUP(F1569,CARTON_LOOKUP!$A:$E,2,0),"")</f>
      </c>
      <c r="K1569" s="29">
        <f>IFERROR(J1569*D1569,0)</f>
      </c>
      <c r="L1569" s="29">
        <f>IFERROR(E1569*C1569,0)</f>
      </c>
      <c r="M1569" s="29">
        <f>IFERROR((G1569*H1569*I1569/1000000)*D1569,0)</f>
      </c>
    </row>
    <row r="1570" spans="1:13" x14ac:dyDescent="0.25">
      <c r="A1570" s="16"/>
      <c r="E1570" s="27"/>
      <c r="F1570" t="s">
        <v>26</v>
      </c>
      <c r="G1570" s="28">
        <f>IFERROR(VLOOKUP(F1570,CARTON_LOOKUP!$A:$E,3,0),"")</f>
      </c>
      <c r="H1570" s="28">
        <f>IFERROR(VLOOKUP(F1570,CARTON_LOOKUP!$A:$E,4,0),"")</f>
      </c>
      <c r="I1570" s="28">
        <f>IFERROR(VLOOKUP(F1570,CARTON_LOOKUP!$A:$E,5,0),"")</f>
      </c>
      <c r="J1570" s="29">
        <f>IFERROR(VLOOKUP(F1570,CARTON_LOOKUP!$A:$E,2,0),"")</f>
      </c>
      <c r="K1570" s="29">
        <f>IFERROR(J1570*D1570,0)</f>
      </c>
      <c r="L1570" s="29">
        <f>IFERROR(E1570*C1570,0)</f>
      </c>
      <c r="M1570" s="29">
        <f>IFERROR((G1570*H1570*I1570/1000000)*D1570,0)</f>
      </c>
    </row>
    <row r="1571" spans="1:13" x14ac:dyDescent="0.25">
      <c r="A1571" s="16"/>
      <c r="E1571" s="27"/>
      <c r="F1571" t="s">
        <v>26</v>
      </c>
      <c r="G1571" s="28">
        <f>IFERROR(VLOOKUP(F1571,CARTON_LOOKUP!$A:$E,3,0),"")</f>
      </c>
      <c r="H1571" s="28">
        <f>IFERROR(VLOOKUP(F1571,CARTON_LOOKUP!$A:$E,4,0),"")</f>
      </c>
      <c r="I1571" s="28">
        <f>IFERROR(VLOOKUP(F1571,CARTON_LOOKUP!$A:$E,5,0),"")</f>
      </c>
      <c r="J1571" s="29">
        <f>IFERROR(VLOOKUP(F1571,CARTON_LOOKUP!$A:$E,2,0),"")</f>
      </c>
      <c r="K1571" s="29">
        <f>IFERROR(J1571*D1571,0)</f>
      </c>
      <c r="L1571" s="29">
        <f>IFERROR(E1571*C1571,0)</f>
      </c>
      <c r="M1571" s="29">
        <f>IFERROR((G1571*H1571*I1571/1000000)*D1571,0)</f>
      </c>
    </row>
    <row r="1572" spans="1:13" x14ac:dyDescent="0.25">
      <c r="A1572" s="16"/>
      <c r="E1572" s="27"/>
      <c r="F1572" t="s">
        <v>26</v>
      </c>
      <c r="G1572" s="28">
        <f>IFERROR(VLOOKUP(F1572,CARTON_LOOKUP!$A:$E,3,0),"")</f>
      </c>
      <c r="H1572" s="28">
        <f>IFERROR(VLOOKUP(F1572,CARTON_LOOKUP!$A:$E,4,0),"")</f>
      </c>
      <c r="I1572" s="28">
        <f>IFERROR(VLOOKUP(F1572,CARTON_LOOKUP!$A:$E,5,0),"")</f>
      </c>
      <c r="J1572" s="29">
        <f>IFERROR(VLOOKUP(F1572,CARTON_LOOKUP!$A:$E,2,0),"")</f>
      </c>
      <c r="K1572" s="29">
        <f>IFERROR(J1572*D1572,0)</f>
      </c>
      <c r="L1572" s="29">
        <f>IFERROR(E1572*C1572,0)</f>
      </c>
      <c r="M1572" s="29">
        <f>IFERROR((G1572*H1572*I1572/1000000)*D1572,0)</f>
      </c>
    </row>
    <row r="1573" spans="1:13" x14ac:dyDescent="0.25">
      <c r="A1573" s="16"/>
      <c r="E1573" s="27"/>
      <c r="F1573" t="s">
        <v>26</v>
      </c>
      <c r="G1573" s="28">
        <f>IFERROR(VLOOKUP(F1573,CARTON_LOOKUP!$A:$E,3,0),"")</f>
      </c>
      <c r="H1573" s="28">
        <f>IFERROR(VLOOKUP(F1573,CARTON_LOOKUP!$A:$E,4,0),"")</f>
      </c>
      <c r="I1573" s="28">
        <f>IFERROR(VLOOKUP(F1573,CARTON_LOOKUP!$A:$E,5,0),"")</f>
      </c>
      <c r="J1573" s="29">
        <f>IFERROR(VLOOKUP(F1573,CARTON_LOOKUP!$A:$E,2,0),"")</f>
      </c>
      <c r="K1573" s="29">
        <f>IFERROR(J1573*D1573,0)</f>
      </c>
      <c r="L1573" s="29">
        <f>IFERROR(E1573*C1573,0)</f>
      </c>
      <c r="M1573" s="29">
        <f>IFERROR((G1573*H1573*I1573/1000000)*D1573,0)</f>
      </c>
    </row>
    <row r="1574" spans="1:13" x14ac:dyDescent="0.25">
      <c r="A1574" s="16"/>
      <c r="E1574" s="27"/>
      <c r="F1574" t="s">
        <v>26</v>
      </c>
      <c r="G1574" s="28">
        <f>IFERROR(VLOOKUP(F1574,CARTON_LOOKUP!$A:$E,3,0),"")</f>
      </c>
      <c r="H1574" s="28">
        <f>IFERROR(VLOOKUP(F1574,CARTON_LOOKUP!$A:$E,4,0),"")</f>
      </c>
      <c r="I1574" s="28">
        <f>IFERROR(VLOOKUP(F1574,CARTON_LOOKUP!$A:$E,5,0),"")</f>
      </c>
      <c r="J1574" s="29">
        <f>IFERROR(VLOOKUP(F1574,CARTON_LOOKUP!$A:$E,2,0),"")</f>
      </c>
      <c r="K1574" s="29">
        <f>IFERROR(J1574*D1574,0)</f>
      </c>
      <c r="L1574" s="29">
        <f>IFERROR(E1574*C1574,0)</f>
      </c>
      <c r="M1574" s="29">
        <f>IFERROR((G1574*H1574*I1574/1000000)*D1574,0)</f>
      </c>
    </row>
    <row r="1575" spans="1:13" x14ac:dyDescent="0.25">
      <c r="A1575" s="16"/>
      <c r="E1575" s="27"/>
      <c r="F1575" t="s">
        <v>26</v>
      </c>
      <c r="G1575" s="28">
        <f>IFERROR(VLOOKUP(F1575,CARTON_LOOKUP!$A:$E,3,0),"")</f>
      </c>
      <c r="H1575" s="28">
        <f>IFERROR(VLOOKUP(F1575,CARTON_LOOKUP!$A:$E,4,0),"")</f>
      </c>
      <c r="I1575" s="28">
        <f>IFERROR(VLOOKUP(F1575,CARTON_LOOKUP!$A:$E,5,0),"")</f>
      </c>
      <c r="J1575" s="29">
        <f>IFERROR(VLOOKUP(F1575,CARTON_LOOKUP!$A:$E,2,0),"")</f>
      </c>
      <c r="K1575" s="29">
        <f>IFERROR(J1575*D1575,0)</f>
      </c>
      <c r="L1575" s="29">
        <f>IFERROR(E1575*C1575,0)</f>
      </c>
      <c r="M1575" s="29">
        <f>IFERROR((G1575*H1575*I1575/1000000)*D1575,0)</f>
      </c>
    </row>
    <row r="1576" spans="1:13" x14ac:dyDescent="0.25">
      <c r="A1576" s="16"/>
      <c r="E1576" s="27"/>
      <c r="F1576" t="s">
        <v>26</v>
      </c>
      <c r="G1576" s="28">
        <f>IFERROR(VLOOKUP(F1576,CARTON_LOOKUP!$A:$E,3,0),"")</f>
      </c>
      <c r="H1576" s="28">
        <f>IFERROR(VLOOKUP(F1576,CARTON_LOOKUP!$A:$E,4,0),"")</f>
      </c>
      <c r="I1576" s="28">
        <f>IFERROR(VLOOKUP(F1576,CARTON_LOOKUP!$A:$E,5,0),"")</f>
      </c>
      <c r="J1576" s="29">
        <f>IFERROR(VLOOKUP(F1576,CARTON_LOOKUP!$A:$E,2,0),"")</f>
      </c>
      <c r="K1576" s="29">
        <f>IFERROR(J1576*D1576,0)</f>
      </c>
      <c r="L1576" s="29">
        <f>IFERROR(E1576*C1576,0)</f>
      </c>
      <c r="M1576" s="29">
        <f>IFERROR((G1576*H1576*I1576/1000000)*D1576,0)</f>
      </c>
    </row>
    <row r="1577" spans="1:13" x14ac:dyDescent="0.25">
      <c r="A1577" s="16"/>
      <c r="E1577" s="27"/>
      <c r="F1577" t="s">
        <v>26</v>
      </c>
      <c r="G1577" s="28">
        <f>IFERROR(VLOOKUP(F1577,CARTON_LOOKUP!$A:$E,3,0),"")</f>
      </c>
      <c r="H1577" s="28">
        <f>IFERROR(VLOOKUP(F1577,CARTON_LOOKUP!$A:$E,4,0),"")</f>
      </c>
      <c r="I1577" s="28">
        <f>IFERROR(VLOOKUP(F1577,CARTON_LOOKUP!$A:$E,5,0),"")</f>
      </c>
      <c r="J1577" s="29">
        <f>IFERROR(VLOOKUP(F1577,CARTON_LOOKUP!$A:$E,2,0),"")</f>
      </c>
      <c r="K1577" s="29">
        <f>IFERROR(J1577*D1577,0)</f>
      </c>
      <c r="L1577" s="29">
        <f>IFERROR(E1577*C1577,0)</f>
      </c>
      <c r="M1577" s="29">
        <f>IFERROR((G1577*H1577*I1577/1000000)*D1577,0)</f>
      </c>
    </row>
    <row r="1578" spans="1:13" x14ac:dyDescent="0.25">
      <c r="A1578" s="16"/>
      <c r="E1578" s="27"/>
      <c r="F1578" t="s">
        <v>26</v>
      </c>
      <c r="G1578" s="28">
        <f>IFERROR(VLOOKUP(F1578,CARTON_LOOKUP!$A:$E,3,0),"")</f>
      </c>
      <c r="H1578" s="28">
        <f>IFERROR(VLOOKUP(F1578,CARTON_LOOKUP!$A:$E,4,0),"")</f>
      </c>
      <c r="I1578" s="28">
        <f>IFERROR(VLOOKUP(F1578,CARTON_LOOKUP!$A:$E,5,0),"")</f>
      </c>
      <c r="J1578" s="29">
        <f>IFERROR(VLOOKUP(F1578,CARTON_LOOKUP!$A:$E,2,0),"")</f>
      </c>
      <c r="K1578" s="29">
        <f>IFERROR(J1578*D1578,0)</f>
      </c>
      <c r="L1578" s="29">
        <f>IFERROR(E1578*C1578,0)</f>
      </c>
      <c r="M1578" s="29">
        <f>IFERROR((G1578*H1578*I1578/1000000)*D1578,0)</f>
      </c>
    </row>
    <row r="1579" spans="1:13" x14ac:dyDescent="0.25">
      <c r="A1579" s="16"/>
      <c r="E1579" s="27"/>
      <c r="F1579" t="s">
        <v>26</v>
      </c>
      <c r="G1579" s="28">
        <f>IFERROR(VLOOKUP(F1579,CARTON_LOOKUP!$A:$E,3,0),"")</f>
      </c>
      <c r="H1579" s="28">
        <f>IFERROR(VLOOKUP(F1579,CARTON_LOOKUP!$A:$E,4,0),"")</f>
      </c>
      <c r="I1579" s="28">
        <f>IFERROR(VLOOKUP(F1579,CARTON_LOOKUP!$A:$E,5,0),"")</f>
      </c>
      <c r="J1579" s="29">
        <f>IFERROR(VLOOKUP(F1579,CARTON_LOOKUP!$A:$E,2,0),"")</f>
      </c>
      <c r="K1579" s="29">
        <f>IFERROR(J1579*D1579,0)</f>
      </c>
      <c r="L1579" s="29">
        <f>IFERROR(E1579*C1579,0)</f>
      </c>
      <c r="M1579" s="29">
        <f>IFERROR((G1579*H1579*I1579/1000000)*D1579,0)</f>
      </c>
    </row>
    <row r="1580" spans="1:13" x14ac:dyDescent="0.25">
      <c r="A1580" s="16"/>
      <c r="E1580" s="27"/>
      <c r="F1580" t="s">
        <v>26</v>
      </c>
      <c r="G1580" s="28">
        <f>IFERROR(VLOOKUP(F1580,CARTON_LOOKUP!$A:$E,3,0),"")</f>
      </c>
      <c r="H1580" s="28">
        <f>IFERROR(VLOOKUP(F1580,CARTON_LOOKUP!$A:$E,4,0),"")</f>
      </c>
      <c r="I1580" s="28">
        <f>IFERROR(VLOOKUP(F1580,CARTON_LOOKUP!$A:$E,5,0),"")</f>
      </c>
      <c r="J1580" s="29">
        <f>IFERROR(VLOOKUP(F1580,CARTON_LOOKUP!$A:$E,2,0),"")</f>
      </c>
      <c r="K1580" s="29">
        <f>IFERROR(J1580*D1580,0)</f>
      </c>
      <c r="L1580" s="29">
        <f>IFERROR(E1580*C1580,0)</f>
      </c>
      <c r="M1580" s="29">
        <f>IFERROR((G1580*H1580*I1580/1000000)*D1580,0)</f>
      </c>
    </row>
    <row r="1581" spans="1:13" x14ac:dyDescent="0.25">
      <c r="A1581" s="16"/>
      <c r="E1581" s="27"/>
      <c r="F1581" t="s">
        <v>26</v>
      </c>
      <c r="G1581" s="28">
        <f>IFERROR(VLOOKUP(F1581,CARTON_LOOKUP!$A:$E,3,0),"")</f>
      </c>
      <c r="H1581" s="28">
        <f>IFERROR(VLOOKUP(F1581,CARTON_LOOKUP!$A:$E,4,0),"")</f>
      </c>
      <c r="I1581" s="28">
        <f>IFERROR(VLOOKUP(F1581,CARTON_LOOKUP!$A:$E,5,0),"")</f>
      </c>
      <c r="J1581" s="29">
        <f>IFERROR(VLOOKUP(F1581,CARTON_LOOKUP!$A:$E,2,0),"")</f>
      </c>
      <c r="K1581" s="29">
        <f>IFERROR(J1581*D1581,0)</f>
      </c>
      <c r="L1581" s="29">
        <f>IFERROR(E1581*C1581,0)</f>
      </c>
      <c r="M1581" s="29">
        <f>IFERROR((G1581*H1581*I1581/1000000)*D1581,0)</f>
      </c>
    </row>
    <row r="1582" spans="1:13" x14ac:dyDescent="0.25">
      <c r="A1582" s="16"/>
      <c r="E1582" s="27"/>
      <c r="F1582" t="s">
        <v>26</v>
      </c>
      <c r="G1582" s="28">
        <f>IFERROR(VLOOKUP(F1582,CARTON_LOOKUP!$A:$E,3,0),"")</f>
      </c>
      <c r="H1582" s="28">
        <f>IFERROR(VLOOKUP(F1582,CARTON_LOOKUP!$A:$E,4,0),"")</f>
      </c>
      <c r="I1582" s="28">
        <f>IFERROR(VLOOKUP(F1582,CARTON_LOOKUP!$A:$E,5,0),"")</f>
      </c>
      <c r="J1582" s="29">
        <f>IFERROR(VLOOKUP(F1582,CARTON_LOOKUP!$A:$E,2,0),"")</f>
      </c>
      <c r="K1582" s="29">
        <f>IFERROR(J1582*D1582,0)</f>
      </c>
      <c r="L1582" s="29">
        <f>IFERROR(E1582*C1582,0)</f>
      </c>
      <c r="M1582" s="29">
        <f>IFERROR((G1582*H1582*I1582/1000000)*D1582,0)</f>
      </c>
    </row>
    <row r="1583" spans="1:13" x14ac:dyDescent="0.25">
      <c r="A1583" s="16"/>
      <c r="E1583" s="27"/>
      <c r="F1583" t="s">
        <v>26</v>
      </c>
      <c r="G1583" s="28">
        <f>IFERROR(VLOOKUP(F1583,CARTON_LOOKUP!$A:$E,3,0),"")</f>
      </c>
      <c r="H1583" s="28">
        <f>IFERROR(VLOOKUP(F1583,CARTON_LOOKUP!$A:$E,4,0),"")</f>
      </c>
      <c r="I1583" s="28">
        <f>IFERROR(VLOOKUP(F1583,CARTON_LOOKUP!$A:$E,5,0),"")</f>
      </c>
      <c r="J1583" s="29">
        <f>IFERROR(VLOOKUP(F1583,CARTON_LOOKUP!$A:$E,2,0),"")</f>
      </c>
      <c r="K1583" s="29">
        <f>IFERROR(J1583*D1583,0)</f>
      </c>
      <c r="L1583" s="29">
        <f>IFERROR(E1583*C1583,0)</f>
      </c>
      <c r="M1583" s="29">
        <f>IFERROR((G1583*H1583*I1583/1000000)*D1583,0)</f>
      </c>
    </row>
    <row r="1584" spans="1:13" x14ac:dyDescent="0.25">
      <c r="A1584" s="16"/>
      <c r="E1584" s="27"/>
      <c r="F1584" t="s">
        <v>26</v>
      </c>
      <c r="G1584" s="28">
        <f>IFERROR(VLOOKUP(F1584,CARTON_LOOKUP!$A:$E,3,0),"")</f>
      </c>
      <c r="H1584" s="28">
        <f>IFERROR(VLOOKUP(F1584,CARTON_LOOKUP!$A:$E,4,0),"")</f>
      </c>
      <c r="I1584" s="28">
        <f>IFERROR(VLOOKUP(F1584,CARTON_LOOKUP!$A:$E,5,0),"")</f>
      </c>
      <c r="J1584" s="29">
        <f>IFERROR(VLOOKUP(F1584,CARTON_LOOKUP!$A:$E,2,0),"")</f>
      </c>
      <c r="K1584" s="29">
        <f>IFERROR(J1584*D1584,0)</f>
      </c>
      <c r="L1584" s="29">
        <f>IFERROR(E1584*C1584,0)</f>
      </c>
      <c r="M1584" s="29">
        <f>IFERROR((G1584*H1584*I1584/1000000)*D1584,0)</f>
      </c>
    </row>
    <row r="1585" spans="1:13" x14ac:dyDescent="0.25">
      <c r="A1585" s="16"/>
      <c r="E1585" s="27"/>
      <c r="F1585" t="s">
        <v>26</v>
      </c>
      <c r="G1585" s="28">
        <f>IFERROR(VLOOKUP(F1585,CARTON_LOOKUP!$A:$E,3,0),"")</f>
      </c>
      <c r="H1585" s="28">
        <f>IFERROR(VLOOKUP(F1585,CARTON_LOOKUP!$A:$E,4,0),"")</f>
      </c>
      <c r="I1585" s="28">
        <f>IFERROR(VLOOKUP(F1585,CARTON_LOOKUP!$A:$E,5,0),"")</f>
      </c>
      <c r="J1585" s="29">
        <f>IFERROR(VLOOKUP(F1585,CARTON_LOOKUP!$A:$E,2,0),"")</f>
      </c>
      <c r="K1585" s="29">
        <f>IFERROR(J1585*D1585,0)</f>
      </c>
      <c r="L1585" s="29">
        <f>IFERROR(E1585*C1585,0)</f>
      </c>
      <c r="M1585" s="29">
        <f>IFERROR((G1585*H1585*I1585/1000000)*D1585,0)</f>
      </c>
    </row>
    <row r="1586" spans="1:13" x14ac:dyDescent="0.25">
      <c r="A1586" s="16"/>
      <c r="E1586" s="27"/>
      <c r="F1586" t="s">
        <v>26</v>
      </c>
      <c r="G1586" s="28">
        <f>IFERROR(VLOOKUP(F1586,CARTON_LOOKUP!$A:$E,3,0),"")</f>
      </c>
      <c r="H1586" s="28">
        <f>IFERROR(VLOOKUP(F1586,CARTON_LOOKUP!$A:$E,4,0),"")</f>
      </c>
      <c r="I1586" s="28">
        <f>IFERROR(VLOOKUP(F1586,CARTON_LOOKUP!$A:$E,5,0),"")</f>
      </c>
      <c r="J1586" s="29">
        <f>IFERROR(VLOOKUP(F1586,CARTON_LOOKUP!$A:$E,2,0),"")</f>
      </c>
      <c r="K1586" s="29">
        <f>IFERROR(J1586*D1586,0)</f>
      </c>
      <c r="L1586" s="29">
        <f>IFERROR(E1586*C1586,0)</f>
      </c>
      <c r="M1586" s="29">
        <f>IFERROR((G1586*H1586*I1586/1000000)*D1586,0)</f>
      </c>
    </row>
    <row r="1587" spans="1:13" x14ac:dyDescent="0.25">
      <c r="A1587" s="16"/>
      <c r="E1587" s="27"/>
      <c r="F1587" t="s">
        <v>26</v>
      </c>
      <c r="G1587" s="28">
        <f>IFERROR(VLOOKUP(F1587,CARTON_LOOKUP!$A:$E,3,0),"")</f>
      </c>
      <c r="H1587" s="28">
        <f>IFERROR(VLOOKUP(F1587,CARTON_LOOKUP!$A:$E,4,0),"")</f>
      </c>
      <c r="I1587" s="28">
        <f>IFERROR(VLOOKUP(F1587,CARTON_LOOKUP!$A:$E,5,0),"")</f>
      </c>
      <c r="J1587" s="29">
        <f>IFERROR(VLOOKUP(F1587,CARTON_LOOKUP!$A:$E,2,0),"")</f>
      </c>
      <c r="K1587" s="29">
        <f>IFERROR(J1587*D1587,0)</f>
      </c>
      <c r="L1587" s="29">
        <f>IFERROR(E1587*C1587,0)</f>
      </c>
      <c r="M1587" s="29">
        <f>IFERROR((G1587*H1587*I1587/1000000)*D1587,0)</f>
      </c>
    </row>
    <row r="1588" spans="1:13" x14ac:dyDescent="0.25">
      <c r="A1588" s="16"/>
      <c r="E1588" s="27"/>
      <c r="F1588" t="s">
        <v>26</v>
      </c>
      <c r="G1588" s="28">
        <f>IFERROR(VLOOKUP(F1588,CARTON_LOOKUP!$A:$E,3,0),"")</f>
      </c>
      <c r="H1588" s="28">
        <f>IFERROR(VLOOKUP(F1588,CARTON_LOOKUP!$A:$E,4,0),"")</f>
      </c>
      <c r="I1588" s="28">
        <f>IFERROR(VLOOKUP(F1588,CARTON_LOOKUP!$A:$E,5,0),"")</f>
      </c>
      <c r="J1588" s="29">
        <f>IFERROR(VLOOKUP(F1588,CARTON_LOOKUP!$A:$E,2,0),"")</f>
      </c>
      <c r="K1588" s="29">
        <f>IFERROR(J1588*D1588,0)</f>
      </c>
      <c r="L1588" s="29">
        <f>IFERROR(E1588*C1588,0)</f>
      </c>
      <c r="M1588" s="29">
        <f>IFERROR((G1588*H1588*I1588/1000000)*D1588,0)</f>
      </c>
    </row>
    <row r="1589" spans="1:13" x14ac:dyDescent="0.25">
      <c r="A1589" s="16"/>
      <c r="E1589" s="27"/>
      <c r="F1589" t="s">
        <v>26</v>
      </c>
      <c r="G1589" s="28">
        <f>IFERROR(VLOOKUP(F1589,CARTON_LOOKUP!$A:$E,3,0),"")</f>
      </c>
      <c r="H1589" s="28">
        <f>IFERROR(VLOOKUP(F1589,CARTON_LOOKUP!$A:$E,4,0),"")</f>
      </c>
      <c r="I1589" s="28">
        <f>IFERROR(VLOOKUP(F1589,CARTON_LOOKUP!$A:$E,5,0),"")</f>
      </c>
      <c r="J1589" s="29">
        <f>IFERROR(VLOOKUP(F1589,CARTON_LOOKUP!$A:$E,2,0),"")</f>
      </c>
      <c r="K1589" s="29">
        <f>IFERROR(J1589*D1589,0)</f>
      </c>
      <c r="L1589" s="29">
        <f>IFERROR(E1589*C1589,0)</f>
      </c>
      <c r="M1589" s="29">
        <f>IFERROR((G1589*H1589*I1589/1000000)*D1589,0)</f>
      </c>
    </row>
    <row r="1590" spans="1:13" x14ac:dyDescent="0.25">
      <c r="A1590" s="16"/>
      <c r="E1590" s="27"/>
      <c r="F1590" t="s">
        <v>26</v>
      </c>
      <c r="G1590" s="28">
        <f>IFERROR(VLOOKUP(F1590,CARTON_LOOKUP!$A:$E,3,0),"")</f>
      </c>
      <c r="H1590" s="28">
        <f>IFERROR(VLOOKUP(F1590,CARTON_LOOKUP!$A:$E,4,0),"")</f>
      </c>
      <c r="I1590" s="28">
        <f>IFERROR(VLOOKUP(F1590,CARTON_LOOKUP!$A:$E,5,0),"")</f>
      </c>
      <c r="J1590" s="29">
        <f>IFERROR(VLOOKUP(F1590,CARTON_LOOKUP!$A:$E,2,0),"")</f>
      </c>
      <c r="K1590" s="29">
        <f>IFERROR(J1590*D1590,0)</f>
      </c>
      <c r="L1590" s="29">
        <f>IFERROR(E1590*C1590,0)</f>
      </c>
      <c r="M1590" s="29">
        <f>IFERROR((G1590*H1590*I1590/1000000)*D1590,0)</f>
      </c>
    </row>
    <row r="1591" spans="1:13" x14ac:dyDescent="0.25">
      <c r="A1591" s="16"/>
      <c r="E1591" s="27"/>
      <c r="F1591" t="s">
        <v>26</v>
      </c>
      <c r="G1591" s="28">
        <f>IFERROR(VLOOKUP(F1591,CARTON_LOOKUP!$A:$E,3,0),"")</f>
      </c>
      <c r="H1591" s="28">
        <f>IFERROR(VLOOKUP(F1591,CARTON_LOOKUP!$A:$E,4,0),"")</f>
      </c>
      <c r="I1591" s="28">
        <f>IFERROR(VLOOKUP(F1591,CARTON_LOOKUP!$A:$E,5,0),"")</f>
      </c>
      <c r="J1591" s="29">
        <f>IFERROR(VLOOKUP(F1591,CARTON_LOOKUP!$A:$E,2,0),"")</f>
      </c>
      <c r="K1591" s="29">
        <f>IFERROR(J1591*D1591,0)</f>
      </c>
      <c r="L1591" s="29">
        <f>IFERROR(E1591*C1591,0)</f>
      </c>
      <c r="M1591" s="29">
        <f>IFERROR((G1591*H1591*I1591/1000000)*D1591,0)</f>
      </c>
    </row>
    <row r="1592" spans="1:13" x14ac:dyDescent="0.25">
      <c r="A1592" s="16"/>
      <c r="E1592" s="27"/>
      <c r="F1592" t="s">
        <v>26</v>
      </c>
      <c r="G1592" s="28">
        <f>IFERROR(VLOOKUP(F1592,CARTON_LOOKUP!$A:$E,3,0),"")</f>
      </c>
      <c r="H1592" s="28">
        <f>IFERROR(VLOOKUP(F1592,CARTON_LOOKUP!$A:$E,4,0),"")</f>
      </c>
      <c r="I1592" s="28">
        <f>IFERROR(VLOOKUP(F1592,CARTON_LOOKUP!$A:$E,5,0),"")</f>
      </c>
      <c r="J1592" s="29">
        <f>IFERROR(VLOOKUP(F1592,CARTON_LOOKUP!$A:$E,2,0),"")</f>
      </c>
      <c r="K1592" s="29">
        <f>IFERROR(J1592*D1592,0)</f>
      </c>
      <c r="L1592" s="29">
        <f>IFERROR(E1592*C1592,0)</f>
      </c>
      <c r="M1592" s="29">
        <f>IFERROR((G1592*H1592*I1592/1000000)*D1592,0)</f>
      </c>
    </row>
    <row r="1593" spans="1:13" x14ac:dyDescent="0.25">
      <c r="A1593" s="16"/>
      <c r="E1593" s="27"/>
      <c r="F1593" t="s">
        <v>26</v>
      </c>
      <c r="G1593" s="28">
        <f>IFERROR(VLOOKUP(F1593,CARTON_LOOKUP!$A:$E,3,0),"")</f>
      </c>
      <c r="H1593" s="28">
        <f>IFERROR(VLOOKUP(F1593,CARTON_LOOKUP!$A:$E,4,0),"")</f>
      </c>
      <c r="I1593" s="28">
        <f>IFERROR(VLOOKUP(F1593,CARTON_LOOKUP!$A:$E,5,0),"")</f>
      </c>
      <c r="J1593" s="29">
        <f>IFERROR(VLOOKUP(F1593,CARTON_LOOKUP!$A:$E,2,0),"")</f>
      </c>
      <c r="K1593" s="29">
        <f>IFERROR(J1593*D1593,0)</f>
      </c>
      <c r="L1593" s="29">
        <f>IFERROR(E1593*C1593,0)</f>
      </c>
      <c r="M1593" s="29">
        <f>IFERROR((G1593*H1593*I1593/1000000)*D1593,0)</f>
      </c>
    </row>
    <row r="1594" spans="1:13" x14ac:dyDescent="0.25">
      <c r="A1594" s="16"/>
      <c r="E1594" s="27"/>
      <c r="F1594" t="s">
        <v>26</v>
      </c>
      <c r="G1594" s="28">
        <f>IFERROR(VLOOKUP(F1594,CARTON_LOOKUP!$A:$E,3,0),"")</f>
      </c>
      <c r="H1594" s="28">
        <f>IFERROR(VLOOKUP(F1594,CARTON_LOOKUP!$A:$E,4,0),"")</f>
      </c>
      <c r="I1594" s="28">
        <f>IFERROR(VLOOKUP(F1594,CARTON_LOOKUP!$A:$E,5,0),"")</f>
      </c>
      <c r="J1594" s="29">
        <f>IFERROR(VLOOKUP(F1594,CARTON_LOOKUP!$A:$E,2,0),"")</f>
      </c>
      <c r="K1594" s="29">
        <f>IFERROR(J1594*D1594,0)</f>
      </c>
      <c r="L1594" s="29">
        <f>IFERROR(E1594*C1594,0)</f>
      </c>
      <c r="M1594" s="29">
        <f>IFERROR((G1594*H1594*I1594/1000000)*D1594,0)</f>
      </c>
    </row>
    <row r="1595" spans="1:13" x14ac:dyDescent="0.25">
      <c r="A1595" s="16"/>
      <c r="E1595" s="27"/>
      <c r="F1595" t="s">
        <v>26</v>
      </c>
      <c r="G1595" s="28">
        <f>IFERROR(VLOOKUP(F1595,CARTON_LOOKUP!$A:$E,3,0),"")</f>
      </c>
      <c r="H1595" s="28">
        <f>IFERROR(VLOOKUP(F1595,CARTON_LOOKUP!$A:$E,4,0),"")</f>
      </c>
      <c r="I1595" s="28">
        <f>IFERROR(VLOOKUP(F1595,CARTON_LOOKUP!$A:$E,5,0),"")</f>
      </c>
      <c r="J1595" s="29">
        <f>IFERROR(VLOOKUP(F1595,CARTON_LOOKUP!$A:$E,2,0),"")</f>
      </c>
      <c r="K1595" s="29">
        <f>IFERROR(J1595*D1595,0)</f>
      </c>
      <c r="L1595" s="29">
        <f>IFERROR(E1595*C1595,0)</f>
      </c>
      <c r="M1595" s="29">
        <f>IFERROR((G1595*H1595*I1595/1000000)*D1595,0)</f>
      </c>
    </row>
    <row r="1596" spans="1:13" x14ac:dyDescent="0.25">
      <c r="A1596" s="16"/>
      <c r="E1596" s="27"/>
      <c r="F1596" t="s">
        <v>26</v>
      </c>
      <c r="G1596" s="28">
        <f>IFERROR(VLOOKUP(F1596,CARTON_LOOKUP!$A:$E,3,0),"")</f>
      </c>
      <c r="H1596" s="28">
        <f>IFERROR(VLOOKUP(F1596,CARTON_LOOKUP!$A:$E,4,0),"")</f>
      </c>
      <c r="I1596" s="28">
        <f>IFERROR(VLOOKUP(F1596,CARTON_LOOKUP!$A:$E,5,0),"")</f>
      </c>
      <c r="J1596" s="29">
        <f>IFERROR(VLOOKUP(F1596,CARTON_LOOKUP!$A:$E,2,0),"")</f>
      </c>
      <c r="K1596" s="29">
        <f>IFERROR(J1596*D1596,0)</f>
      </c>
      <c r="L1596" s="29">
        <f>IFERROR(E1596*C1596,0)</f>
      </c>
      <c r="M1596" s="29">
        <f>IFERROR((G1596*H1596*I1596/1000000)*D1596,0)</f>
      </c>
    </row>
    <row r="1597" spans="1:13" x14ac:dyDescent="0.25">
      <c r="A1597" s="16"/>
      <c r="E1597" s="27"/>
      <c r="F1597" t="s">
        <v>26</v>
      </c>
      <c r="G1597" s="28">
        <f>IFERROR(VLOOKUP(F1597,CARTON_LOOKUP!$A:$E,3,0),"")</f>
      </c>
      <c r="H1597" s="28">
        <f>IFERROR(VLOOKUP(F1597,CARTON_LOOKUP!$A:$E,4,0),"")</f>
      </c>
      <c r="I1597" s="28">
        <f>IFERROR(VLOOKUP(F1597,CARTON_LOOKUP!$A:$E,5,0),"")</f>
      </c>
      <c r="J1597" s="29">
        <f>IFERROR(VLOOKUP(F1597,CARTON_LOOKUP!$A:$E,2,0),"")</f>
      </c>
      <c r="K1597" s="29">
        <f>IFERROR(J1597*D1597,0)</f>
      </c>
      <c r="L1597" s="29">
        <f>IFERROR(E1597*C1597,0)</f>
      </c>
      <c r="M1597" s="29">
        <f>IFERROR((G1597*H1597*I1597/1000000)*D1597,0)</f>
      </c>
    </row>
    <row r="1598" spans="1:13" x14ac:dyDescent="0.25">
      <c r="A1598" s="16"/>
      <c r="E1598" s="27"/>
      <c r="F1598" t="s">
        <v>26</v>
      </c>
      <c r="G1598" s="28">
        <f>IFERROR(VLOOKUP(F1598,CARTON_LOOKUP!$A:$E,3,0),"")</f>
      </c>
      <c r="H1598" s="28">
        <f>IFERROR(VLOOKUP(F1598,CARTON_LOOKUP!$A:$E,4,0),"")</f>
      </c>
      <c r="I1598" s="28">
        <f>IFERROR(VLOOKUP(F1598,CARTON_LOOKUP!$A:$E,5,0),"")</f>
      </c>
      <c r="J1598" s="29">
        <f>IFERROR(VLOOKUP(F1598,CARTON_LOOKUP!$A:$E,2,0),"")</f>
      </c>
      <c r="K1598" s="29">
        <f>IFERROR(J1598*D1598,0)</f>
      </c>
      <c r="L1598" s="29">
        <f>IFERROR(E1598*C1598,0)</f>
      </c>
      <c r="M1598" s="29">
        <f>IFERROR((G1598*H1598*I1598/1000000)*D1598,0)</f>
      </c>
    </row>
    <row r="1599" spans="1:13" x14ac:dyDescent="0.25">
      <c r="A1599" s="16"/>
      <c r="E1599" s="27"/>
      <c r="F1599" t="s">
        <v>26</v>
      </c>
      <c r="G1599" s="28">
        <f>IFERROR(VLOOKUP(F1599,CARTON_LOOKUP!$A:$E,3,0),"")</f>
      </c>
      <c r="H1599" s="28">
        <f>IFERROR(VLOOKUP(F1599,CARTON_LOOKUP!$A:$E,4,0),"")</f>
      </c>
      <c r="I1599" s="28">
        <f>IFERROR(VLOOKUP(F1599,CARTON_LOOKUP!$A:$E,5,0),"")</f>
      </c>
      <c r="J1599" s="29">
        <f>IFERROR(VLOOKUP(F1599,CARTON_LOOKUP!$A:$E,2,0),"")</f>
      </c>
      <c r="K1599" s="29">
        <f>IFERROR(J1599*D1599,0)</f>
      </c>
      <c r="L1599" s="29">
        <f>IFERROR(E1599*C1599,0)</f>
      </c>
      <c r="M1599" s="29">
        <f>IFERROR((G1599*H1599*I1599/1000000)*D1599,0)</f>
      </c>
    </row>
    <row r="1600" spans="1:13" x14ac:dyDescent="0.25">
      <c r="A1600" s="16"/>
      <c r="E1600" s="27"/>
      <c r="F1600" t="s">
        <v>26</v>
      </c>
      <c r="G1600" s="28">
        <f>IFERROR(VLOOKUP(F1600,CARTON_LOOKUP!$A:$E,3,0),"")</f>
      </c>
      <c r="H1600" s="28">
        <f>IFERROR(VLOOKUP(F1600,CARTON_LOOKUP!$A:$E,4,0),"")</f>
      </c>
      <c r="I1600" s="28">
        <f>IFERROR(VLOOKUP(F1600,CARTON_LOOKUP!$A:$E,5,0),"")</f>
      </c>
      <c r="J1600" s="29">
        <f>IFERROR(VLOOKUP(F1600,CARTON_LOOKUP!$A:$E,2,0),"")</f>
      </c>
      <c r="K1600" s="29">
        <f>IFERROR(J1600*D1600,0)</f>
      </c>
      <c r="L1600" s="29">
        <f>IFERROR(E1600*C1600,0)</f>
      </c>
      <c r="M1600" s="29">
        <f>IFERROR((G1600*H1600*I1600/1000000)*D1600,0)</f>
      </c>
    </row>
    <row r="1601" spans="1:13" x14ac:dyDescent="0.25">
      <c r="A1601" s="16"/>
      <c r="E1601" s="27"/>
      <c r="F1601" t="s">
        <v>26</v>
      </c>
      <c r="G1601" s="28">
        <f>IFERROR(VLOOKUP(F1601,CARTON_LOOKUP!$A:$E,3,0),"")</f>
      </c>
      <c r="H1601" s="28">
        <f>IFERROR(VLOOKUP(F1601,CARTON_LOOKUP!$A:$E,4,0),"")</f>
      </c>
      <c r="I1601" s="28">
        <f>IFERROR(VLOOKUP(F1601,CARTON_LOOKUP!$A:$E,5,0),"")</f>
      </c>
      <c r="J1601" s="29">
        <f>IFERROR(VLOOKUP(F1601,CARTON_LOOKUP!$A:$E,2,0),"")</f>
      </c>
      <c r="K1601" s="29">
        <f>IFERROR(J1601*D1601,0)</f>
      </c>
      <c r="L1601" s="29">
        <f>IFERROR(E1601*C1601,0)</f>
      </c>
      <c r="M1601" s="29">
        <f>IFERROR((G1601*H1601*I1601/1000000)*D1601,0)</f>
      </c>
    </row>
    <row r="1602" spans="1:13" x14ac:dyDescent="0.25">
      <c r="A1602" s="16"/>
      <c r="E1602" s="27"/>
      <c r="F1602" t="s">
        <v>26</v>
      </c>
      <c r="G1602" s="28">
        <f>IFERROR(VLOOKUP(F1602,CARTON_LOOKUP!$A:$E,3,0),"")</f>
      </c>
      <c r="H1602" s="28">
        <f>IFERROR(VLOOKUP(F1602,CARTON_LOOKUP!$A:$E,4,0),"")</f>
      </c>
      <c r="I1602" s="28">
        <f>IFERROR(VLOOKUP(F1602,CARTON_LOOKUP!$A:$E,5,0),"")</f>
      </c>
      <c r="J1602" s="29">
        <f>IFERROR(VLOOKUP(F1602,CARTON_LOOKUP!$A:$E,2,0),"")</f>
      </c>
      <c r="K1602" s="29">
        <f>IFERROR(J1602*D1602,0)</f>
      </c>
      <c r="L1602" s="29">
        <f>IFERROR(E1602*C1602,0)</f>
      </c>
      <c r="M1602" s="29">
        <f>IFERROR((G1602*H1602*I1602/1000000)*D1602,0)</f>
      </c>
    </row>
    <row r="1603" spans="1:13" x14ac:dyDescent="0.25">
      <c r="A1603" s="16"/>
      <c r="E1603" s="27"/>
      <c r="F1603" t="s">
        <v>26</v>
      </c>
      <c r="G1603" s="28">
        <f>IFERROR(VLOOKUP(F1603,CARTON_LOOKUP!$A:$E,3,0),"")</f>
      </c>
      <c r="H1603" s="28">
        <f>IFERROR(VLOOKUP(F1603,CARTON_LOOKUP!$A:$E,4,0),"")</f>
      </c>
      <c r="I1603" s="28">
        <f>IFERROR(VLOOKUP(F1603,CARTON_LOOKUP!$A:$E,5,0),"")</f>
      </c>
      <c r="J1603" s="29">
        <f>IFERROR(VLOOKUP(F1603,CARTON_LOOKUP!$A:$E,2,0),"")</f>
      </c>
      <c r="K1603" s="29">
        <f>IFERROR(J1603*D1603,0)</f>
      </c>
      <c r="L1603" s="29">
        <f>IFERROR(E1603*C1603,0)</f>
      </c>
      <c r="M1603" s="29">
        <f>IFERROR((G1603*H1603*I1603/1000000)*D1603,0)</f>
      </c>
    </row>
    <row r="1604" spans="1:13" x14ac:dyDescent="0.25">
      <c r="A1604" s="16"/>
      <c r="E1604" s="27"/>
      <c r="F1604" t="s">
        <v>26</v>
      </c>
      <c r="G1604" s="28">
        <f>IFERROR(VLOOKUP(F1604,CARTON_LOOKUP!$A:$E,3,0),"")</f>
      </c>
      <c r="H1604" s="28">
        <f>IFERROR(VLOOKUP(F1604,CARTON_LOOKUP!$A:$E,4,0),"")</f>
      </c>
      <c r="I1604" s="28">
        <f>IFERROR(VLOOKUP(F1604,CARTON_LOOKUP!$A:$E,5,0),"")</f>
      </c>
      <c r="J1604" s="29">
        <f>IFERROR(VLOOKUP(F1604,CARTON_LOOKUP!$A:$E,2,0),"")</f>
      </c>
      <c r="K1604" s="29">
        <f>IFERROR(J1604*D1604,0)</f>
      </c>
      <c r="L1604" s="29">
        <f>IFERROR(E1604*C1604,0)</f>
      </c>
      <c r="M1604" s="29">
        <f>IFERROR((G1604*H1604*I1604/1000000)*D1604,0)</f>
      </c>
    </row>
    <row r="1605" spans="1:13" x14ac:dyDescent="0.25">
      <c r="A1605" s="16"/>
      <c r="E1605" s="27"/>
      <c r="F1605" t="s">
        <v>26</v>
      </c>
      <c r="G1605" s="28">
        <f>IFERROR(VLOOKUP(F1605,CARTON_LOOKUP!$A:$E,3,0),"")</f>
      </c>
      <c r="H1605" s="28">
        <f>IFERROR(VLOOKUP(F1605,CARTON_LOOKUP!$A:$E,4,0),"")</f>
      </c>
      <c r="I1605" s="28">
        <f>IFERROR(VLOOKUP(F1605,CARTON_LOOKUP!$A:$E,5,0),"")</f>
      </c>
      <c r="J1605" s="29">
        <f>IFERROR(VLOOKUP(F1605,CARTON_LOOKUP!$A:$E,2,0),"")</f>
      </c>
      <c r="K1605" s="29">
        <f>IFERROR(J1605*D1605,0)</f>
      </c>
      <c r="L1605" s="29">
        <f>IFERROR(E1605*C1605,0)</f>
      </c>
      <c r="M1605" s="29">
        <f>IFERROR((G1605*H1605*I1605/1000000)*D1605,0)</f>
      </c>
    </row>
    <row r="1606" spans="1:13" x14ac:dyDescent="0.25">
      <c r="A1606" s="16"/>
      <c r="E1606" s="27"/>
      <c r="F1606" t="s">
        <v>26</v>
      </c>
      <c r="G1606" s="28">
        <f>IFERROR(VLOOKUP(F1606,CARTON_LOOKUP!$A:$E,3,0),"")</f>
      </c>
      <c r="H1606" s="28">
        <f>IFERROR(VLOOKUP(F1606,CARTON_LOOKUP!$A:$E,4,0),"")</f>
      </c>
      <c r="I1606" s="28">
        <f>IFERROR(VLOOKUP(F1606,CARTON_LOOKUP!$A:$E,5,0),"")</f>
      </c>
      <c r="J1606" s="29">
        <f>IFERROR(VLOOKUP(F1606,CARTON_LOOKUP!$A:$E,2,0),"")</f>
      </c>
      <c r="K1606" s="29">
        <f>IFERROR(J1606*D1606,0)</f>
      </c>
      <c r="L1606" s="29">
        <f>IFERROR(E1606*C1606,0)</f>
      </c>
      <c r="M1606" s="29">
        <f>IFERROR((G1606*H1606*I1606/1000000)*D1606,0)</f>
      </c>
    </row>
    <row r="1607" spans="1:13" x14ac:dyDescent="0.25">
      <c r="A1607" s="16"/>
      <c r="E1607" s="27"/>
      <c r="F1607" t="s">
        <v>26</v>
      </c>
      <c r="G1607" s="28">
        <f>IFERROR(VLOOKUP(F1607,CARTON_LOOKUP!$A:$E,3,0),"")</f>
      </c>
      <c r="H1607" s="28">
        <f>IFERROR(VLOOKUP(F1607,CARTON_LOOKUP!$A:$E,4,0),"")</f>
      </c>
      <c r="I1607" s="28">
        <f>IFERROR(VLOOKUP(F1607,CARTON_LOOKUP!$A:$E,5,0),"")</f>
      </c>
      <c r="J1607" s="29">
        <f>IFERROR(VLOOKUP(F1607,CARTON_LOOKUP!$A:$E,2,0),"")</f>
      </c>
      <c r="K1607" s="29">
        <f>IFERROR(J1607*D1607,0)</f>
      </c>
      <c r="L1607" s="29">
        <f>IFERROR(E1607*C1607,0)</f>
      </c>
      <c r="M1607" s="29">
        <f>IFERROR((G1607*H1607*I1607/1000000)*D1607,0)</f>
      </c>
    </row>
    <row r="1608" spans="1:13" x14ac:dyDescent="0.25">
      <c r="A1608" s="16"/>
      <c r="E1608" s="27"/>
      <c r="F1608" t="s">
        <v>26</v>
      </c>
      <c r="G1608" s="28">
        <f>IFERROR(VLOOKUP(F1608,CARTON_LOOKUP!$A:$E,3,0),"")</f>
      </c>
      <c r="H1608" s="28">
        <f>IFERROR(VLOOKUP(F1608,CARTON_LOOKUP!$A:$E,4,0),"")</f>
      </c>
      <c r="I1608" s="28">
        <f>IFERROR(VLOOKUP(F1608,CARTON_LOOKUP!$A:$E,5,0),"")</f>
      </c>
      <c r="J1608" s="29">
        <f>IFERROR(VLOOKUP(F1608,CARTON_LOOKUP!$A:$E,2,0),"")</f>
      </c>
      <c r="K1608" s="29">
        <f>IFERROR(J1608*D1608,0)</f>
      </c>
      <c r="L1608" s="29">
        <f>IFERROR(E1608*C1608,0)</f>
      </c>
      <c r="M1608" s="29">
        <f>IFERROR((G1608*H1608*I1608/1000000)*D1608,0)</f>
      </c>
    </row>
    <row r="1609" spans="1:13" x14ac:dyDescent="0.25">
      <c r="A1609" s="16"/>
      <c r="E1609" s="27"/>
      <c r="F1609" t="s">
        <v>26</v>
      </c>
      <c r="G1609" s="28">
        <f>IFERROR(VLOOKUP(F1609,CARTON_LOOKUP!$A:$E,3,0),"")</f>
      </c>
      <c r="H1609" s="28">
        <f>IFERROR(VLOOKUP(F1609,CARTON_LOOKUP!$A:$E,4,0),"")</f>
      </c>
      <c r="I1609" s="28">
        <f>IFERROR(VLOOKUP(F1609,CARTON_LOOKUP!$A:$E,5,0),"")</f>
      </c>
      <c r="J1609" s="29">
        <f>IFERROR(VLOOKUP(F1609,CARTON_LOOKUP!$A:$E,2,0),"")</f>
      </c>
      <c r="K1609" s="29">
        <f>IFERROR(J1609*D1609,0)</f>
      </c>
      <c r="L1609" s="29">
        <f>IFERROR(E1609*C1609,0)</f>
      </c>
      <c r="M1609" s="29">
        <f>IFERROR((G1609*H1609*I1609/1000000)*D1609,0)</f>
      </c>
    </row>
    <row r="1610" spans="1:13" x14ac:dyDescent="0.25">
      <c r="A1610" s="16"/>
      <c r="E1610" s="27"/>
      <c r="F1610" t="s">
        <v>26</v>
      </c>
      <c r="G1610" s="28">
        <f>IFERROR(VLOOKUP(F1610,CARTON_LOOKUP!$A:$E,3,0),"")</f>
      </c>
      <c r="H1610" s="28">
        <f>IFERROR(VLOOKUP(F1610,CARTON_LOOKUP!$A:$E,4,0),"")</f>
      </c>
      <c r="I1610" s="28">
        <f>IFERROR(VLOOKUP(F1610,CARTON_LOOKUP!$A:$E,5,0),"")</f>
      </c>
      <c r="J1610" s="29">
        <f>IFERROR(VLOOKUP(F1610,CARTON_LOOKUP!$A:$E,2,0),"")</f>
      </c>
      <c r="K1610" s="29">
        <f>IFERROR(J1610*D1610,0)</f>
      </c>
      <c r="L1610" s="29">
        <f>IFERROR(E1610*C1610,0)</f>
      </c>
      <c r="M1610" s="29">
        <f>IFERROR((G1610*H1610*I1610/1000000)*D1610,0)</f>
      </c>
    </row>
    <row r="1611" spans="1:13" x14ac:dyDescent="0.25">
      <c r="A1611" s="16"/>
      <c r="E1611" s="27"/>
      <c r="F1611" t="s">
        <v>26</v>
      </c>
      <c r="G1611" s="28">
        <f>IFERROR(VLOOKUP(F1611,CARTON_LOOKUP!$A:$E,3,0),"")</f>
      </c>
      <c r="H1611" s="28">
        <f>IFERROR(VLOOKUP(F1611,CARTON_LOOKUP!$A:$E,4,0),"")</f>
      </c>
      <c r="I1611" s="28">
        <f>IFERROR(VLOOKUP(F1611,CARTON_LOOKUP!$A:$E,5,0),"")</f>
      </c>
      <c r="J1611" s="29">
        <f>IFERROR(VLOOKUP(F1611,CARTON_LOOKUP!$A:$E,2,0),"")</f>
      </c>
      <c r="K1611" s="29">
        <f>IFERROR(J1611*D1611,0)</f>
      </c>
      <c r="L1611" s="29">
        <f>IFERROR(E1611*C1611,0)</f>
      </c>
      <c r="M1611" s="29">
        <f>IFERROR((G1611*H1611*I1611/1000000)*D1611,0)</f>
      </c>
    </row>
    <row r="1612" spans="1:13" x14ac:dyDescent="0.25">
      <c r="A1612" s="16"/>
      <c r="E1612" s="27"/>
      <c r="F1612" t="s">
        <v>26</v>
      </c>
      <c r="G1612" s="28">
        <f>IFERROR(VLOOKUP(F1612,CARTON_LOOKUP!$A:$E,3,0),"")</f>
      </c>
      <c r="H1612" s="28">
        <f>IFERROR(VLOOKUP(F1612,CARTON_LOOKUP!$A:$E,4,0),"")</f>
      </c>
      <c r="I1612" s="28">
        <f>IFERROR(VLOOKUP(F1612,CARTON_LOOKUP!$A:$E,5,0),"")</f>
      </c>
      <c r="J1612" s="29">
        <f>IFERROR(VLOOKUP(F1612,CARTON_LOOKUP!$A:$E,2,0),"")</f>
      </c>
      <c r="K1612" s="29">
        <f>IFERROR(J1612*D1612,0)</f>
      </c>
      <c r="L1612" s="29">
        <f>IFERROR(E1612*C1612,0)</f>
      </c>
      <c r="M1612" s="29">
        <f>IFERROR((G1612*H1612*I1612/1000000)*D1612,0)</f>
      </c>
    </row>
    <row r="1613" spans="1:13" x14ac:dyDescent="0.25">
      <c r="A1613" s="16"/>
      <c r="E1613" s="27"/>
      <c r="F1613" t="s">
        <v>26</v>
      </c>
      <c r="G1613" s="28">
        <f>IFERROR(VLOOKUP(F1613,CARTON_LOOKUP!$A:$E,3,0),"")</f>
      </c>
      <c r="H1613" s="28">
        <f>IFERROR(VLOOKUP(F1613,CARTON_LOOKUP!$A:$E,4,0),"")</f>
      </c>
      <c r="I1613" s="28">
        <f>IFERROR(VLOOKUP(F1613,CARTON_LOOKUP!$A:$E,5,0),"")</f>
      </c>
      <c r="J1613" s="29">
        <f>IFERROR(VLOOKUP(F1613,CARTON_LOOKUP!$A:$E,2,0),"")</f>
      </c>
      <c r="K1613" s="29">
        <f>IFERROR(J1613*D1613,0)</f>
      </c>
      <c r="L1613" s="29">
        <f>IFERROR(E1613*C1613,0)</f>
      </c>
      <c r="M1613" s="29">
        <f>IFERROR((G1613*H1613*I1613/1000000)*D1613,0)</f>
      </c>
    </row>
    <row r="1614" spans="1:13" x14ac:dyDescent="0.25">
      <c r="A1614" s="16"/>
      <c r="E1614" s="27"/>
      <c r="F1614" t="s">
        <v>26</v>
      </c>
      <c r="G1614" s="28">
        <f>IFERROR(VLOOKUP(F1614,CARTON_LOOKUP!$A:$E,3,0),"")</f>
      </c>
      <c r="H1614" s="28">
        <f>IFERROR(VLOOKUP(F1614,CARTON_LOOKUP!$A:$E,4,0),"")</f>
      </c>
      <c r="I1614" s="28">
        <f>IFERROR(VLOOKUP(F1614,CARTON_LOOKUP!$A:$E,5,0),"")</f>
      </c>
      <c r="J1614" s="29">
        <f>IFERROR(VLOOKUP(F1614,CARTON_LOOKUP!$A:$E,2,0),"")</f>
      </c>
      <c r="K1614" s="29">
        <f>IFERROR(J1614*D1614,0)</f>
      </c>
      <c r="L1614" s="29">
        <f>IFERROR(E1614*C1614,0)</f>
      </c>
      <c r="M1614" s="29">
        <f>IFERROR((G1614*H1614*I1614/1000000)*D1614,0)</f>
      </c>
    </row>
    <row r="1615" spans="1:13" x14ac:dyDescent="0.25">
      <c r="A1615" s="16"/>
      <c r="E1615" s="27"/>
      <c r="F1615" t="s">
        <v>26</v>
      </c>
      <c r="G1615" s="28">
        <f>IFERROR(VLOOKUP(F1615,CARTON_LOOKUP!$A:$E,3,0),"")</f>
      </c>
      <c r="H1615" s="28">
        <f>IFERROR(VLOOKUP(F1615,CARTON_LOOKUP!$A:$E,4,0),"")</f>
      </c>
      <c r="I1615" s="28">
        <f>IFERROR(VLOOKUP(F1615,CARTON_LOOKUP!$A:$E,5,0),"")</f>
      </c>
      <c r="J1615" s="29">
        <f>IFERROR(VLOOKUP(F1615,CARTON_LOOKUP!$A:$E,2,0),"")</f>
      </c>
      <c r="K1615" s="29">
        <f>IFERROR(J1615*D1615,0)</f>
      </c>
      <c r="L1615" s="29">
        <f>IFERROR(E1615*C1615,0)</f>
      </c>
      <c r="M1615" s="29">
        <f>IFERROR((G1615*H1615*I1615/1000000)*D1615,0)</f>
      </c>
    </row>
    <row r="1616" spans="1:13" x14ac:dyDescent="0.25">
      <c r="A1616" s="16"/>
      <c r="E1616" s="27"/>
      <c r="F1616" t="s">
        <v>26</v>
      </c>
      <c r="G1616" s="28">
        <f>IFERROR(VLOOKUP(F1616,CARTON_LOOKUP!$A:$E,3,0),"")</f>
      </c>
      <c r="H1616" s="28">
        <f>IFERROR(VLOOKUP(F1616,CARTON_LOOKUP!$A:$E,4,0),"")</f>
      </c>
      <c r="I1616" s="28">
        <f>IFERROR(VLOOKUP(F1616,CARTON_LOOKUP!$A:$E,5,0),"")</f>
      </c>
      <c r="J1616" s="29">
        <f>IFERROR(VLOOKUP(F1616,CARTON_LOOKUP!$A:$E,2,0),"")</f>
      </c>
      <c r="K1616" s="29">
        <f>IFERROR(J1616*D1616,0)</f>
      </c>
      <c r="L1616" s="29">
        <f>IFERROR(E1616*C1616,0)</f>
      </c>
      <c r="M1616" s="29">
        <f>IFERROR((G1616*H1616*I1616/1000000)*D1616,0)</f>
      </c>
    </row>
    <row r="1617" spans="1:13" x14ac:dyDescent="0.25">
      <c r="A1617" s="16"/>
      <c r="E1617" s="27"/>
      <c r="F1617" t="s">
        <v>26</v>
      </c>
      <c r="G1617" s="28">
        <f>IFERROR(VLOOKUP(F1617,CARTON_LOOKUP!$A:$E,3,0),"")</f>
      </c>
      <c r="H1617" s="28">
        <f>IFERROR(VLOOKUP(F1617,CARTON_LOOKUP!$A:$E,4,0),"")</f>
      </c>
      <c r="I1617" s="28">
        <f>IFERROR(VLOOKUP(F1617,CARTON_LOOKUP!$A:$E,5,0),"")</f>
      </c>
      <c r="J1617" s="29">
        <f>IFERROR(VLOOKUP(F1617,CARTON_LOOKUP!$A:$E,2,0),"")</f>
      </c>
      <c r="K1617" s="29">
        <f>IFERROR(J1617*D1617,0)</f>
      </c>
      <c r="L1617" s="29">
        <f>IFERROR(E1617*C1617,0)</f>
      </c>
      <c r="M1617" s="29">
        <f>IFERROR((G1617*H1617*I1617/1000000)*D1617,0)</f>
      </c>
    </row>
    <row r="1618" spans="1:13" x14ac:dyDescent="0.25">
      <c r="A1618" s="16"/>
      <c r="E1618" s="27"/>
      <c r="F1618" t="s">
        <v>26</v>
      </c>
      <c r="G1618" s="28">
        <f>IFERROR(VLOOKUP(F1618,CARTON_LOOKUP!$A:$E,3,0),"")</f>
      </c>
      <c r="H1618" s="28">
        <f>IFERROR(VLOOKUP(F1618,CARTON_LOOKUP!$A:$E,4,0),"")</f>
      </c>
      <c r="I1618" s="28">
        <f>IFERROR(VLOOKUP(F1618,CARTON_LOOKUP!$A:$E,5,0),"")</f>
      </c>
      <c r="J1618" s="29">
        <f>IFERROR(VLOOKUP(F1618,CARTON_LOOKUP!$A:$E,2,0),"")</f>
      </c>
      <c r="K1618" s="29">
        <f>IFERROR(J1618*D1618,0)</f>
      </c>
      <c r="L1618" s="29">
        <f>IFERROR(E1618*C1618,0)</f>
      </c>
      <c r="M1618" s="29">
        <f>IFERROR((G1618*H1618*I1618/1000000)*D1618,0)</f>
      </c>
    </row>
    <row r="1619" spans="1:13" x14ac:dyDescent="0.25">
      <c r="A1619" s="16"/>
      <c r="E1619" s="27"/>
      <c r="F1619" t="s">
        <v>26</v>
      </c>
      <c r="G1619" s="28">
        <f>IFERROR(VLOOKUP(F1619,CARTON_LOOKUP!$A:$E,3,0),"")</f>
      </c>
      <c r="H1619" s="28">
        <f>IFERROR(VLOOKUP(F1619,CARTON_LOOKUP!$A:$E,4,0),"")</f>
      </c>
      <c r="I1619" s="28">
        <f>IFERROR(VLOOKUP(F1619,CARTON_LOOKUP!$A:$E,5,0),"")</f>
      </c>
      <c r="J1619" s="29">
        <f>IFERROR(VLOOKUP(F1619,CARTON_LOOKUP!$A:$E,2,0),"")</f>
      </c>
      <c r="K1619" s="29">
        <f>IFERROR(J1619*D1619,0)</f>
      </c>
      <c r="L1619" s="29">
        <f>IFERROR(E1619*C1619,0)</f>
      </c>
      <c r="M1619" s="29">
        <f>IFERROR((G1619*H1619*I1619/1000000)*D1619,0)</f>
      </c>
    </row>
    <row r="1620" spans="1:13" x14ac:dyDescent="0.25">
      <c r="A1620" s="16"/>
      <c r="E1620" s="27"/>
      <c r="F1620" t="s">
        <v>26</v>
      </c>
      <c r="G1620" s="28">
        <f>IFERROR(VLOOKUP(F1620,CARTON_LOOKUP!$A:$E,3,0),"")</f>
      </c>
      <c r="H1620" s="28">
        <f>IFERROR(VLOOKUP(F1620,CARTON_LOOKUP!$A:$E,4,0),"")</f>
      </c>
      <c r="I1620" s="28">
        <f>IFERROR(VLOOKUP(F1620,CARTON_LOOKUP!$A:$E,5,0),"")</f>
      </c>
      <c r="J1620" s="29">
        <f>IFERROR(VLOOKUP(F1620,CARTON_LOOKUP!$A:$E,2,0),"")</f>
      </c>
      <c r="K1620" s="29">
        <f>IFERROR(J1620*D1620,0)</f>
      </c>
      <c r="L1620" s="29">
        <f>IFERROR(E1620*C1620,0)</f>
      </c>
      <c r="M1620" s="29">
        <f>IFERROR((G1620*H1620*I1620/1000000)*D1620,0)</f>
      </c>
    </row>
    <row r="1621" spans="1:13" x14ac:dyDescent="0.25">
      <c r="A1621" s="16"/>
      <c r="E1621" s="27"/>
      <c r="F1621" t="s">
        <v>26</v>
      </c>
      <c r="G1621" s="28">
        <f>IFERROR(VLOOKUP(F1621,CARTON_LOOKUP!$A:$E,3,0),"")</f>
      </c>
      <c r="H1621" s="28">
        <f>IFERROR(VLOOKUP(F1621,CARTON_LOOKUP!$A:$E,4,0),"")</f>
      </c>
      <c r="I1621" s="28">
        <f>IFERROR(VLOOKUP(F1621,CARTON_LOOKUP!$A:$E,5,0),"")</f>
      </c>
      <c r="J1621" s="29">
        <f>IFERROR(VLOOKUP(F1621,CARTON_LOOKUP!$A:$E,2,0),"")</f>
      </c>
      <c r="K1621" s="29">
        <f>IFERROR(J1621*D1621,0)</f>
      </c>
      <c r="L1621" s="29">
        <f>IFERROR(E1621*C1621,0)</f>
      </c>
      <c r="M1621" s="29">
        <f>IFERROR((G1621*H1621*I1621/1000000)*D1621,0)</f>
      </c>
    </row>
    <row r="1622" spans="1:13" x14ac:dyDescent="0.25">
      <c r="A1622" s="16"/>
      <c r="E1622" s="27"/>
      <c r="F1622" t="s">
        <v>26</v>
      </c>
      <c r="G1622" s="28">
        <f>IFERROR(VLOOKUP(F1622,CARTON_LOOKUP!$A:$E,3,0),"")</f>
      </c>
      <c r="H1622" s="28">
        <f>IFERROR(VLOOKUP(F1622,CARTON_LOOKUP!$A:$E,4,0),"")</f>
      </c>
      <c r="I1622" s="28">
        <f>IFERROR(VLOOKUP(F1622,CARTON_LOOKUP!$A:$E,5,0),"")</f>
      </c>
      <c r="J1622" s="29">
        <f>IFERROR(VLOOKUP(F1622,CARTON_LOOKUP!$A:$E,2,0),"")</f>
      </c>
      <c r="K1622" s="29">
        <f>IFERROR(J1622*D1622,0)</f>
      </c>
      <c r="L1622" s="29">
        <f>IFERROR(E1622*C1622,0)</f>
      </c>
      <c r="M1622" s="29">
        <f>IFERROR((G1622*H1622*I1622/1000000)*D1622,0)</f>
      </c>
    </row>
    <row r="1623" spans="1:13" x14ac:dyDescent="0.25">
      <c r="A1623" s="16"/>
      <c r="E1623" s="27"/>
      <c r="F1623" t="s">
        <v>26</v>
      </c>
      <c r="G1623" s="28">
        <f>IFERROR(VLOOKUP(F1623,CARTON_LOOKUP!$A:$E,3,0),"")</f>
      </c>
      <c r="H1623" s="28">
        <f>IFERROR(VLOOKUP(F1623,CARTON_LOOKUP!$A:$E,4,0),"")</f>
      </c>
      <c r="I1623" s="28">
        <f>IFERROR(VLOOKUP(F1623,CARTON_LOOKUP!$A:$E,5,0),"")</f>
      </c>
      <c r="J1623" s="29">
        <f>IFERROR(VLOOKUP(F1623,CARTON_LOOKUP!$A:$E,2,0),"")</f>
      </c>
      <c r="K1623" s="29">
        <f>IFERROR(J1623*D1623,0)</f>
      </c>
      <c r="L1623" s="29">
        <f>IFERROR(E1623*C1623,0)</f>
      </c>
      <c r="M1623" s="29">
        <f>IFERROR((G1623*H1623*I1623/1000000)*D1623,0)</f>
      </c>
    </row>
    <row r="1624" spans="1:13" x14ac:dyDescent="0.25">
      <c r="A1624" s="16"/>
      <c r="E1624" s="27"/>
      <c r="F1624" t="s">
        <v>26</v>
      </c>
      <c r="G1624" s="28">
        <f>IFERROR(VLOOKUP(F1624,CARTON_LOOKUP!$A:$E,3,0),"")</f>
      </c>
      <c r="H1624" s="28">
        <f>IFERROR(VLOOKUP(F1624,CARTON_LOOKUP!$A:$E,4,0),"")</f>
      </c>
      <c r="I1624" s="28">
        <f>IFERROR(VLOOKUP(F1624,CARTON_LOOKUP!$A:$E,5,0),"")</f>
      </c>
      <c r="J1624" s="29">
        <f>IFERROR(VLOOKUP(F1624,CARTON_LOOKUP!$A:$E,2,0),"")</f>
      </c>
      <c r="K1624" s="29">
        <f>IFERROR(J1624*D1624,0)</f>
      </c>
      <c r="L1624" s="29">
        <f>IFERROR(E1624*C1624,0)</f>
      </c>
      <c r="M1624" s="29">
        <f>IFERROR((G1624*H1624*I1624/1000000)*D1624,0)</f>
      </c>
    </row>
    <row r="1625" spans="1:13" x14ac:dyDescent="0.25">
      <c r="A1625" s="16"/>
      <c r="E1625" s="27"/>
      <c r="F1625" t="s">
        <v>26</v>
      </c>
      <c r="G1625" s="28">
        <f>IFERROR(VLOOKUP(F1625,CARTON_LOOKUP!$A:$E,3,0),"")</f>
      </c>
      <c r="H1625" s="28">
        <f>IFERROR(VLOOKUP(F1625,CARTON_LOOKUP!$A:$E,4,0),"")</f>
      </c>
      <c r="I1625" s="28">
        <f>IFERROR(VLOOKUP(F1625,CARTON_LOOKUP!$A:$E,5,0),"")</f>
      </c>
      <c r="J1625" s="29">
        <f>IFERROR(VLOOKUP(F1625,CARTON_LOOKUP!$A:$E,2,0),"")</f>
      </c>
      <c r="K1625" s="29">
        <f>IFERROR(J1625*D1625,0)</f>
      </c>
      <c r="L1625" s="29">
        <f>IFERROR(E1625*C1625,0)</f>
      </c>
      <c r="M1625" s="29">
        <f>IFERROR((G1625*H1625*I1625/1000000)*D1625,0)</f>
      </c>
    </row>
    <row r="1626" spans="1:13" x14ac:dyDescent="0.25">
      <c r="A1626" s="16"/>
      <c r="E1626" s="27"/>
      <c r="F1626" t="s">
        <v>26</v>
      </c>
      <c r="G1626" s="28">
        <f>IFERROR(VLOOKUP(F1626,CARTON_LOOKUP!$A:$E,3,0),"")</f>
      </c>
      <c r="H1626" s="28">
        <f>IFERROR(VLOOKUP(F1626,CARTON_LOOKUP!$A:$E,4,0),"")</f>
      </c>
      <c r="I1626" s="28">
        <f>IFERROR(VLOOKUP(F1626,CARTON_LOOKUP!$A:$E,5,0),"")</f>
      </c>
      <c r="J1626" s="29">
        <f>IFERROR(VLOOKUP(F1626,CARTON_LOOKUP!$A:$E,2,0),"")</f>
      </c>
      <c r="K1626" s="29">
        <f>IFERROR(J1626*D1626,0)</f>
      </c>
      <c r="L1626" s="29">
        <f>IFERROR(E1626*C1626,0)</f>
      </c>
      <c r="M1626" s="29">
        <f>IFERROR((G1626*H1626*I1626/1000000)*D1626,0)</f>
      </c>
    </row>
    <row r="1627" spans="1:13" x14ac:dyDescent="0.25">
      <c r="A1627" s="16"/>
      <c r="E1627" s="27"/>
      <c r="F1627" t="s">
        <v>26</v>
      </c>
      <c r="G1627" s="28">
        <f>IFERROR(VLOOKUP(F1627,CARTON_LOOKUP!$A:$E,3,0),"")</f>
      </c>
      <c r="H1627" s="28">
        <f>IFERROR(VLOOKUP(F1627,CARTON_LOOKUP!$A:$E,4,0),"")</f>
      </c>
      <c r="I1627" s="28">
        <f>IFERROR(VLOOKUP(F1627,CARTON_LOOKUP!$A:$E,5,0),"")</f>
      </c>
      <c r="J1627" s="29">
        <f>IFERROR(VLOOKUP(F1627,CARTON_LOOKUP!$A:$E,2,0),"")</f>
      </c>
      <c r="K1627" s="29">
        <f>IFERROR(J1627*D1627,0)</f>
      </c>
      <c r="L1627" s="29">
        <f>IFERROR(E1627*C1627,0)</f>
      </c>
      <c r="M1627" s="29">
        <f>IFERROR((G1627*H1627*I1627/1000000)*D1627,0)</f>
      </c>
    </row>
    <row r="1628" spans="1:13" x14ac:dyDescent="0.25">
      <c r="A1628" s="16"/>
      <c r="E1628" s="27"/>
      <c r="F1628" t="s">
        <v>26</v>
      </c>
      <c r="G1628" s="28">
        <f>IFERROR(VLOOKUP(F1628,CARTON_LOOKUP!$A:$E,3,0),"")</f>
      </c>
      <c r="H1628" s="28">
        <f>IFERROR(VLOOKUP(F1628,CARTON_LOOKUP!$A:$E,4,0),"")</f>
      </c>
      <c r="I1628" s="28">
        <f>IFERROR(VLOOKUP(F1628,CARTON_LOOKUP!$A:$E,5,0),"")</f>
      </c>
      <c r="J1628" s="29">
        <f>IFERROR(VLOOKUP(F1628,CARTON_LOOKUP!$A:$E,2,0),"")</f>
      </c>
      <c r="K1628" s="29">
        <f>IFERROR(J1628*D1628,0)</f>
      </c>
      <c r="L1628" s="29">
        <f>IFERROR(E1628*C1628,0)</f>
      </c>
      <c r="M1628" s="29">
        <f>IFERROR((G1628*H1628*I1628/1000000)*D1628,0)</f>
      </c>
    </row>
    <row r="1629" spans="1:13" x14ac:dyDescent="0.25">
      <c r="A1629" s="16"/>
      <c r="E1629" s="27"/>
      <c r="F1629" t="s">
        <v>26</v>
      </c>
      <c r="G1629" s="28">
        <f>IFERROR(VLOOKUP(F1629,CARTON_LOOKUP!$A:$E,3,0),"")</f>
      </c>
      <c r="H1629" s="28">
        <f>IFERROR(VLOOKUP(F1629,CARTON_LOOKUP!$A:$E,4,0),"")</f>
      </c>
      <c r="I1629" s="28">
        <f>IFERROR(VLOOKUP(F1629,CARTON_LOOKUP!$A:$E,5,0),"")</f>
      </c>
      <c r="J1629" s="29">
        <f>IFERROR(VLOOKUP(F1629,CARTON_LOOKUP!$A:$E,2,0),"")</f>
      </c>
      <c r="K1629" s="29">
        <f>IFERROR(J1629*D1629,0)</f>
      </c>
      <c r="L1629" s="29">
        <f>IFERROR(E1629*C1629,0)</f>
      </c>
      <c r="M1629" s="29">
        <f>IFERROR((G1629*H1629*I1629/1000000)*D1629,0)</f>
      </c>
    </row>
    <row r="1630" spans="1:13" x14ac:dyDescent="0.25">
      <c r="A1630" s="16"/>
      <c r="E1630" s="27"/>
      <c r="F1630" t="s">
        <v>26</v>
      </c>
      <c r="G1630" s="28">
        <f>IFERROR(VLOOKUP(F1630,CARTON_LOOKUP!$A:$E,3,0),"")</f>
      </c>
      <c r="H1630" s="28">
        <f>IFERROR(VLOOKUP(F1630,CARTON_LOOKUP!$A:$E,4,0),"")</f>
      </c>
      <c r="I1630" s="28">
        <f>IFERROR(VLOOKUP(F1630,CARTON_LOOKUP!$A:$E,5,0),"")</f>
      </c>
      <c r="J1630" s="29">
        <f>IFERROR(VLOOKUP(F1630,CARTON_LOOKUP!$A:$E,2,0),"")</f>
      </c>
      <c r="K1630" s="29">
        <f>IFERROR(J1630*D1630,0)</f>
      </c>
      <c r="L1630" s="29">
        <f>IFERROR(E1630*C1630,0)</f>
      </c>
      <c r="M1630" s="29">
        <f>IFERROR((G1630*H1630*I1630/1000000)*D1630,0)</f>
      </c>
    </row>
    <row r="1631" spans="1:13" x14ac:dyDescent="0.25">
      <c r="A1631" s="16"/>
      <c r="E1631" s="27"/>
      <c r="F1631" t="s">
        <v>26</v>
      </c>
      <c r="G1631" s="28">
        <f>IFERROR(VLOOKUP(F1631,CARTON_LOOKUP!$A:$E,3,0),"")</f>
      </c>
      <c r="H1631" s="28">
        <f>IFERROR(VLOOKUP(F1631,CARTON_LOOKUP!$A:$E,4,0),"")</f>
      </c>
      <c r="I1631" s="28">
        <f>IFERROR(VLOOKUP(F1631,CARTON_LOOKUP!$A:$E,5,0),"")</f>
      </c>
      <c r="J1631" s="29">
        <f>IFERROR(VLOOKUP(F1631,CARTON_LOOKUP!$A:$E,2,0),"")</f>
      </c>
      <c r="K1631" s="29">
        <f>IFERROR(J1631*D1631,0)</f>
      </c>
      <c r="L1631" s="29">
        <f>IFERROR(E1631*C1631,0)</f>
      </c>
      <c r="M1631" s="29">
        <f>IFERROR((G1631*H1631*I1631/1000000)*D1631,0)</f>
      </c>
    </row>
    <row r="1632" spans="1:13" x14ac:dyDescent="0.25">
      <c r="A1632" s="16"/>
      <c r="E1632" s="27"/>
      <c r="F1632" t="s">
        <v>26</v>
      </c>
      <c r="G1632" s="28">
        <f>IFERROR(VLOOKUP(F1632,CARTON_LOOKUP!$A:$E,3,0),"")</f>
      </c>
      <c r="H1632" s="28">
        <f>IFERROR(VLOOKUP(F1632,CARTON_LOOKUP!$A:$E,4,0),"")</f>
      </c>
      <c r="I1632" s="28">
        <f>IFERROR(VLOOKUP(F1632,CARTON_LOOKUP!$A:$E,5,0),"")</f>
      </c>
      <c r="J1632" s="29">
        <f>IFERROR(VLOOKUP(F1632,CARTON_LOOKUP!$A:$E,2,0),"")</f>
      </c>
      <c r="K1632" s="29">
        <f>IFERROR(J1632*D1632,0)</f>
      </c>
      <c r="L1632" s="29">
        <f>IFERROR(E1632*C1632,0)</f>
      </c>
      <c r="M1632" s="29">
        <f>IFERROR((G1632*H1632*I1632/1000000)*D1632,0)</f>
      </c>
    </row>
    <row r="1633" spans="1:13" x14ac:dyDescent="0.25">
      <c r="A1633" s="16"/>
      <c r="E1633" s="27"/>
      <c r="F1633" t="s">
        <v>26</v>
      </c>
      <c r="G1633" s="28">
        <f>IFERROR(VLOOKUP(F1633,CARTON_LOOKUP!$A:$E,3,0),"")</f>
      </c>
      <c r="H1633" s="28">
        <f>IFERROR(VLOOKUP(F1633,CARTON_LOOKUP!$A:$E,4,0),"")</f>
      </c>
      <c r="I1633" s="28">
        <f>IFERROR(VLOOKUP(F1633,CARTON_LOOKUP!$A:$E,5,0),"")</f>
      </c>
      <c r="J1633" s="29">
        <f>IFERROR(VLOOKUP(F1633,CARTON_LOOKUP!$A:$E,2,0),"")</f>
      </c>
      <c r="K1633" s="29">
        <f>IFERROR(J1633*D1633,0)</f>
      </c>
      <c r="L1633" s="29">
        <f>IFERROR(E1633*C1633,0)</f>
      </c>
      <c r="M1633" s="29">
        <f>IFERROR((G1633*H1633*I1633/1000000)*D1633,0)</f>
      </c>
    </row>
    <row r="1634" spans="1:13" x14ac:dyDescent="0.25">
      <c r="A1634" s="16"/>
      <c r="E1634" s="27"/>
      <c r="F1634" t="s">
        <v>26</v>
      </c>
      <c r="G1634" s="28">
        <f>IFERROR(VLOOKUP(F1634,CARTON_LOOKUP!$A:$E,3,0),"")</f>
      </c>
      <c r="H1634" s="28">
        <f>IFERROR(VLOOKUP(F1634,CARTON_LOOKUP!$A:$E,4,0),"")</f>
      </c>
      <c r="I1634" s="28">
        <f>IFERROR(VLOOKUP(F1634,CARTON_LOOKUP!$A:$E,5,0),"")</f>
      </c>
      <c r="J1634" s="29">
        <f>IFERROR(VLOOKUP(F1634,CARTON_LOOKUP!$A:$E,2,0),"")</f>
      </c>
      <c r="K1634" s="29">
        <f>IFERROR(J1634*D1634,0)</f>
      </c>
      <c r="L1634" s="29">
        <f>IFERROR(E1634*C1634,0)</f>
      </c>
      <c r="M1634" s="29">
        <f>IFERROR((G1634*H1634*I1634/1000000)*D1634,0)</f>
      </c>
    </row>
    <row r="1635" spans="1:13" x14ac:dyDescent="0.25">
      <c r="A1635" s="16"/>
      <c r="E1635" s="27"/>
      <c r="F1635" t="s">
        <v>26</v>
      </c>
      <c r="G1635" s="28">
        <f>IFERROR(VLOOKUP(F1635,CARTON_LOOKUP!$A:$E,3,0),"")</f>
      </c>
      <c r="H1635" s="28">
        <f>IFERROR(VLOOKUP(F1635,CARTON_LOOKUP!$A:$E,4,0),"")</f>
      </c>
      <c r="I1635" s="28">
        <f>IFERROR(VLOOKUP(F1635,CARTON_LOOKUP!$A:$E,5,0),"")</f>
      </c>
      <c r="J1635" s="29">
        <f>IFERROR(VLOOKUP(F1635,CARTON_LOOKUP!$A:$E,2,0),"")</f>
      </c>
      <c r="K1635" s="29">
        <f>IFERROR(J1635*D1635,0)</f>
      </c>
      <c r="L1635" s="29">
        <f>IFERROR(E1635*C1635,0)</f>
      </c>
      <c r="M1635" s="29">
        <f>IFERROR((G1635*H1635*I1635/1000000)*D1635,0)</f>
      </c>
    </row>
    <row r="1636" spans="1:13" x14ac:dyDescent="0.25">
      <c r="A1636" s="16"/>
      <c r="E1636" s="27"/>
      <c r="F1636" t="s">
        <v>26</v>
      </c>
      <c r="G1636" s="28">
        <f>IFERROR(VLOOKUP(F1636,CARTON_LOOKUP!$A:$E,3,0),"")</f>
      </c>
      <c r="H1636" s="28">
        <f>IFERROR(VLOOKUP(F1636,CARTON_LOOKUP!$A:$E,4,0),"")</f>
      </c>
      <c r="I1636" s="28">
        <f>IFERROR(VLOOKUP(F1636,CARTON_LOOKUP!$A:$E,5,0),"")</f>
      </c>
      <c r="J1636" s="29">
        <f>IFERROR(VLOOKUP(F1636,CARTON_LOOKUP!$A:$E,2,0),"")</f>
      </c>
      <c r="K1636" s="29">
        <f>IFERROR(J1636*D1636,0)</f>
      </c>
      <c r="L1636" s="29">
        <f>IFERROR(E1636*C1636,0)</f>
      </c>
      <c r="M1636" s="29">
        <f>IFERROR((G1636*H1636*I1636/1000000)*D1636,0)</f>
      </c>
    </row>
    <row r="1637" spans="1:13" x14ac:dyDescent="0.25">
      <c r="A1637" s="16"/>
      <c r="E1637" s="27"/>
      <c r="F1637" t="s">
        <v>26</v>
      </c>
      <c r="G1637" s="28">
        <f>IFERROR(VLOOKUP(F1637,CARTON_LOOKUP!$A:$E,3,0),"")</f>
      </c>
      <c r="H1637" s="28">
        <f>IFERROR(VLOOKUP(F1637,CARTON_LOOKUP!$A:$E,4,0),"")</f>
      </c>
      <c r="I1637" s="28">
        <f>IFERROR(VLOOKUP(F1637,CARTON_LOOKUP!$A:$E,5,0),"")</f>
      </c>
      <c r="J1637" s="29">
        <f>IFERROR(VLOOKUP(F1637,CARTON_LOOKUP!$A:$E,2,0),"")</f>
      </c>
      <c r="K1637" s="29">
        <f>IFERROR(J1637*D1637,0)</f>
      </c>
      <c r="L1637" s="29">
        <f>IFERROR(E1637*C1637,0)</f>
      </c>
      <c r="M1637" s="29">
        <f>IFERROR((G1637*H1637*I1637/1000000)*D1637,0)</f>
      </c>
    </row>
    <row r="1638" spans="1:13" x14ac:dyDescent="0.25">
      <c r="A1638" s="16"/>
      <c r="E1638" s="27"/>
      <c r="F1638" t="s">
        <v>26</v>
      </c>
      <c r="G1638" s="28">
        <f>IFERROR(VLOOKUP(F1638,CARTON_LOOKUP!$A:$E,3,0),"")</f>
      </c>
      <c r="H1638" s="28">
        <f>IFERROR(VLOOKUP(F1638,CARTON_LOOKUP!$A:$E,4,0),"")</f>
      </c>
      <c r="I1638" s="28">
        <f>IFERROR(VLOOKUP(F1638,CARTON_LOOKUP!$A:$E,5,0),"")</f>
      </c>
      <c r="J1638" s="29">
        <f>IFERROR(VLOOKUP(F1638,CARTON_LOOKUP!$A:$E,2,0),"")</f>
      </c>
      <c r="K1638" s="29">
        <f>IFERROR(J1638*D1638,0)</f>
      </c>
      <c r="L1638" s="29">
        <f>IFERROR(E1638*C1638,0)</f>
      </c>
      <c r="M1638" s="29">
        <f>IFERROR((G1638*H1638*I1638/1000000)*D1638,0)</f>
      </c>
    </row>
    <row r="1639" spans="1:13" x14ac:dyDescent="0.25">
      <c r="A1639" s="16"/>
      <c r="E1639" s="27"/>
      <c r="F1639" t="s">
        <v>26</v>
      </c>
      <c r="G1639" s="28">
        <f>IFERROR(VLOOKUP(F1639,CARTON_LOOKUP!$A:$E,3,0),"")</f>
      </c>
      <c r="H1639" s="28">
        <f>IFERROR(VLOOKUP(F1639,CARTON_LOOKUP!$A:$E,4,0),"")</f>
      </c>
      <c r="I1639" s="28">
        <f>IFERROR(VLOOKUP(F1639,CARTON_LOOKUP!$A:$E,5,0),"")</f>
      </c>
      <c r="J1639" s="29">
        <f>IFERROR(VLOOKUP(F1639,CARTON_LOOKUP!$A:$E,2,0),"")</f>
      </c>
      <c r="K1639" s="29">
        <f>IFERROR(J1639*D1639,0)</f>
      </c>
      <c r="L1639" s="29">
        <f>IFERROR(E1639*C1639,0)</f>
      </c>
      <c r="M1639" s="29">
        <f>IFERROR((G1639*H1639*I1639/1000000)*D1639,0)</f>
      </c>
    </row>
    <row r="1640" spans="1:13" x14ac:dyDescent="0.25">
      <c r="A1640" s="16"/>
      <c r="E1640" s="27"/>
      <c r="F1640" t="s">
        <v>26</v>
      </c>
      <c r="G1640" s="28">
        <f>IFERROR(VLOOKUP(F1640,CARTON_LOOKUP!$A:$E,3,0),"")</f>
      </c>
      <c r="H1640" s="28">
        <f>IFERROR(VLOOKUP(F1640,CARTON_LOOKUP!$A:$E,4,0),"")</f>
      </c>
      <c r="I1640" s="28">
        <f>IFERROR(VLOOKUP(F1640,CARTON_LOOKUP!$A:$E,5,0),"")</f>
      </c>
      <c r="J1640" s="29">
        <f>IFERROR(VLOOKUP(F1640,CARTON_LOOKUP!$A:$E,2,0),"")</f>
      </c>
      <c r="K1640" s="29">
        <f>IFERROR(J1640*D1640,0)</f>
      </c>
      <c r="L1640" s="29">
        <f>IFERROR(E1640*C1640,0)</f>
      </c>
      <c r="M1640" s="29">
        <f>IFERROR((G1640*H1640*I1640/1000000)*D1640,0)</f>
      </c>
    </row>
    <row r="1641" spans="1:13" x14ac:dyDescent="0.25">
      <c r="A1641" s="16"/>
      <c r="E1641" s="27"/>
      <c r="F1641" t="s">
        <v>26</v>
      </c>
      <c r="G1641" s="28">
        <f>IFERROR(VLOOKUP(F1641,CARTON_LOOKUP!$A:$E,3,0),"")</f>
      </c>
      <c r="H1641" s="28">
        <f>IFERROR(VLOOKUP(F1641,CARTON_LOOKUP!$A:$E,4,0),"")</f>
      </c>
      <c r="I1641" s="28">
        <f>IFERROR(VLOOKUP(F1641,CARTON_LOOKUP!$A:$E,5,0),"")</f>
      </c>
      <c r="J1641" s="29">
        <f>IFERROR(VLOOKUP(F1641,CARTON_LOOKUP!$A:$E,2,0),"")</f>
      </c>
      <c r="K1641" s="29">
        <f>IFERROR(J1641*D1641,0)</f>
      </c>
      <c r="L1641" s="29">
        <f>IFERROR(E1641*C1641,0)</f>
      </c>
      <c r="M1641" s="29">
        <f>IFERROR((G1641*H1641*I1641/1000000)*D1641,0)</f>
      </c>
    </row>
    <row r="1642" spans="1:13" x14ac:dyDescent="0.25">
      <c r="A1642" s="16"/>
      <c r="E1642" s="27"/>
      <c r="F1642" t="s">
        <v>26</v>
      </c>
      <c r="G1642" s="28">
        <f>IFERROR(VLOOKUP(F1642,CARTON_LOOKUP!$A:$E,3,0),"")</f>
      </c>
      <c r="H1642" s="28">
        <f>IFERROR(VLOOKUP(F1642,CARTON_LOOKUP!$A:$E,4,0),"")</f>
      </c>
      <c r="I1642" s="28">
        <f>IFERROR(VLOOKUP(F1642,CARTON_LOOKUP!$A:$E,5,0),"")</f>
      </c>
      <c r="J1642" s="29">
        <f>IFERROR(VLOOKUP(F1642,CARTON_LOOKUP!$A:$E,2,0),"")</f>
      </c>
      <c r="K1642" s="29">
        <f>IFERROR(J1642*D1642,0)</f>
      </c>
      <c r="L1642" s="29">
        <f>IFERROR(E1642*C1642,0)</f>
      </c>
      <c r="M1642" s="29">
        <f>IFERROR((G1642*H1642*I1642/1000000)*D1642,0)</f>
      </c>
    </row>
    <row r="1643" spans="1:13" x14ac:dyDescent="0.25">
      <c r="A1643" s="16"/>
      <c r="E1643" s="27"/>
      <c r="F1643" t="s">
        <v>26</v>
      </c>
      <c r="G1643" s="28">
        <f>IFERROR(VLOOKUP(F1643,CARTON_LOOKUP!$A:$E,3,0),"")</f>
      </c>
      <c r="H1643" s="28">
        <f>IFERROR(VLOOKUP(F1643,CARTON_LOOKUP!$A:$E,4,0),"")</f>
      </c>
      <c r="I1643" s="28">
        <f>IFERROR(VLOOKUP(F1643,CARTON_LOOKUP!$A:$E,5,0),"")</f>
      </c>
      <c r="J1643" s="29">
        <f>IFERROR(VLOOKUP(F1643,CARTON_LOOKUP!$A:$E,2,0),"")</f>
      </c>
      <c r="K1643" s="29">
        <f>IFERROR(J1643*D1643,0)</f>
      </c>
      <c r="L1643" s="29">
        <f>IFERROR(E1643*C1643,0)</f>
      </c>
      <c r="M1643" s="29">
        <f>IFERROR((G1643*H1643*I1643/1000000)*D1643,0)</f>
      </c>
    </row>
    <row r="1644" spans="1:13" x14ac:dyDescent="0.25">
      <c r="A1644" s="16"/>
      <c r="E1644" s="27"/>
      <c r="F1644" t="s">
        <v>26</v>
      </c>
      <c r="G1644" s="28">
        <f>IFERROR(VLOOKUP(F1644,CARTON_LOOKUP!$A:$E,3,0),"")</f>
      </c>
      <c r="H1644" s="28">
        <f>IFERROR(VLOOKUP(F1644,CARTON_LOOKUP!$A:$E,4,0),"")</f>
      </c>
      <c r="I1644" s="28">
        <f>IFERROR(VLOOKUP(F1644,CARTON_LOOKUP!$A:$E,5,0),"")</f>
      </c>
      <c r="J1644" s="29">
        <f>IFERROR(VLOOKUP(F1644,CARTON_LOOKUP!$A:$E,2,0),"")</f>
      </c>
      <c r="K1644" s="29">
        <f>IFERROR(J1644*D1644,0)</f>
      </c>
      <c r="L1644" s="29">
        <f>IFERROR(E1644*C1644,0)</f>
      </c>
      <c r="M1644" s="29">
        <f>IFERROR((G1644*H1644*I1644/1000000)*D1644,0)</f>
      </c>
    </row>
    <row r="1645" spans="1:13" x14ac:dyDescent="0.25">
      <c r="A1645" s="16"/>
      <c r="E1645" s="27"/>
      <c r="F1645" t="s">
        <v>26</v>
      </c>
      <c r="G1645" s="28">
        <f>IFERROR(VLOOKUP(F1645,CARTON_LOOKUP!$A:$E,3,0),"")</f>
      </c>
      <c r="H1645" s="28">
        <f>IFERROR(VLOOKUP(F1645,CARTON_LOOKUP!$A:$E,4,0),"")</f>
      </c>
      <c r="I1645" s="28">
        <f>IFERROR(VLOOKUP(F1645,CARTON_LOOKUP!$A:$E,5,0),"")</f>
      </c>
      <c r="J1645" s="29">
        <f>IFERROR(VLOOKUP(F1645,CARTON_LOOKUP!$A:$E,2,0),"")</f>
      </c>
      <c r="K1645" s="29">
        <f>IFERROR(J1645*D1645,0)</f>
      </c>
      <c r="L1645" s="29">
        <f>IFERROR(E1645*C1645,0)</f>
      </c>
      <c r="M1645" s="29">
        <f>IFERROR((G1645*H1645*I1645/1000000)*D1645,0)</f>
      </c>
    </row>
    <row r="1646" spans="1:13" x14ac:dyDescent="0.25">
      <c r="A1646" s="16"/>
      <c r="E1646" s="27"/>
      <c r="F1646" t="s">
        <v>26</v>
      </c>
      <c r="G1646" s="28">
        <f>IFERROR(VLOOKUP(F1646,CARTON_LOOKUP!$A:$E,3,0),"")</f>
      </c>
      <c r="H1646" s="28">
        <f>IFERROR(VLOOKUP(F1646,CARTON_LOOKUP!$A:$E,4,0),"")</f>
      </c>
      <c r="I1646" s="28">
        <f>IFERROR(VLOOKUP(F1646,CARTON_LOOKUP!$A:$E,5,0),"")</f>
      </c>
      <c r="J1646" s="29">
        <f>IFERROR(VLOOKUP(F1646,CARTON_LOOKUP!$A:$E,2,0),"")</f>
      </c>
      <c r="K1646" s="29">
        <f>IFERROR(J1646*D1646,0)</f>
      </c>
      <c r="L1646" s="29">
        <f>IFERROR(E1646*C1646,0)</f>
      </c>
      <c r="M1646" s="29">
        <f>IFERROR((G1646*H1646*I1646/1000000)*D1646,0)</f>
      </c>
    </row>
    <row r="1647" spans="1:13" x14ac:dyDescent="0.25">
      <c r="A1647" s="16"/>
      <c r="E1647" s="27"/>
      <c r="F1647" t="s">
        <v>26</v>
      </c>
      <c r="G1647" s="28">
        <f>IFERROR(VLOOKUP(F1647,CARTON_LOOKUP!$A:$E,3,0),"")</f>
      </c>
      <c r="H1647" s="28">
        <f>IFERROR(VLOOKUP(F1647,CARTON_LOOKUP!$A:$E,4,0),"")</f>
      </c>
      <c r="I1647" s="28">
        <f>IFERROR(VLOOKUP(F1647,CARTON_LOOKUP!$A:$E,5,0),"")</f>
      </c>
      <c r="J1647" s="29">
        <f>IFERROR(VLOOKUP(F1647,CARTON_LOOKUP!$A:$E,2,0),"")</f>
      </c>
      <c r="K1647" s="29">
        <f>IFERROR(J1647*D1647,0)</f>
      </c>
      <c r="L1647" s="29">
        <f>IFERROR(E1647*C1647,0)</f>
      </c>
      <c r="M1647" s="29">
        <f>IFERROR((G1647*H1647*I1647/1000000)*D1647,0)</f>
      </c>
    </row>
    <row r="1648" spans="1:13" x14ac:dyDescent="0.25">
      <c r="A1648" s="16"/>
      <c r="E1648" s="27"/>
      <c r="F1648" t="s">
        <v>26</v>
      </c>
      <c r="G1648" s="28">
        <f>IFERROR(VLOOKUP(F1648,CARTON_LOOKUP!$A:$E,3,0),"")</f>
      </c>
      <c r="H1648" s="28">
        <f>IFERROR(VLOOKUP(F1648,CARTON_LOOKUP!$A:$E,4,0),"")</f>
      </c>
      <c r="I1648" s="28">
        <f>IFERROR(VLOOKUP(F1648,CARTON_LOOKUP!$A:$E,5,0),"")</f>
      </c>
      <c r="J1648" s="29">
        <f>IFERROR(VLOOKUP(F1648,CARTON_LOOKUP!$A:$E,2,0),"")</f>
      </c>
      <c r="K1648" s="29">
        <f>IFERROR(J1648*D1648,0)</f>
      </c>
      <c r="L1648" s="29">
        <f>IFERROR(E1648*C1648,0)</f>
      </c>
      <c r="M1648" s="29">
        <f>IFERROR((G1648*H1648*I1648/1000000)*D1648,0)</f>
      </c>
    </row>
    <row r="1649" spans="1:13" x14ac:dyDescent="0.25">
      <c r="A1649" s="16"/>
      <c r="E1649" s="27"/>
      <c r="F1649" t="s">
        <v>26</v>
      </c>
      <c r="G1649" s="28">
        <f>IFERROR(VLOOKUP(F1649,CARTON_LOOKUP!$A:$E,3,0),"")</f>
      </c>
      <c r="H1649" s="28">
        <f>IFERROR(VLOOKUP(F1649,CARTON_LOOKUP!$A:$E,4,0),"")</f>
      </c>
      <c r="I1649" s="28">
        <f>IFERROR(VLOOKUP(F1649,CARTON_LOOKUP!$A:$E,5,0),"")</f>
      </c>
      <c r="J1649" s="29">
        <f>IFERROR(VLOOKUP(F1649,CARTON_LOOKUP!$A:$E,2,0),"")</f>
      </c>
      <c r="K1649" s="29">
        <f>IFERROR(J1649*D1649,0)</f>
      </c>
      <c r="L1649" s="29">
        <f>IFERROR(E1649*C1649,0)</f>
      </c>
      <c r="M1649" s="29">
        <f>IFERROR((G1649*H1649*I1649/1000000)*D1649,0)</f>
      </c>
    </row>
    <row r="1650" spans="1:13" x14ac:dyDescent="0.25">
      <c r="A1650" s="16"/>
      <c r="E1650" s="27"/>
      <c r="F1650" t="s">
        <v>26</v>
      </c>
      <c r="G1650" s="28">
        <f>IFERROR(VLOOKUP(F1650,CARTON_LOOKUP!$A:$E,3,0),"")</f>
      </c>
      <c r="H1650" s="28">
        <f>IFERROR(VLOOKUP(F1650,CARTON_LOOKUP!$A:$E,4,0),"")</f>
      </c>
      <c r="I1650" s="28">
        <f>IFERROR(VLOOKUP(F1650,CARTON_LOOKUP!$A:$E,5,0),"")</f>
      </c>
      <c r="J1650" s="29">
        <f>IFERROR(VLOOKUP(F1650,CARTON_LOOKUP!$A:$E,2,0),"")</f>
      </c>
      <c r="K1650" s="29">
        <f>IFERROR(J1650*D1650,0)</f>
      </c>
      <c r="L1650" s="29">
        <f>IFERROR(E1650*C1650,0)</f>
      </c>
      <c r="M1650" s="29">
        <f>IFERROR((G1650*H1650*I1650/1000000)*D1650,0)</f>
      </c>
    </row>
    <row r="1651" spans="1:13" x14ac:dyDescent="0.25">
      <c r="A1651" s="16"/>
      <c r="E1651" s="27"/>
      <c r="F1651" t="s">
        <v>26</v>
      </c>
      <c r="G1651" s="28">
        <f>IFERROR(VLOOKUP(F1651,CARTON_LOOKUP!$A:$E,3,0),"")</f>
      </c>
      <c r="H1651" s="28">
        <f>IFERROR(VLOOKUP(F1651,CARTON_LOOKUP!$A:$E,4,0),"")</f>
      </c>
      <c r="I1651" s="28">
        <f>IFERROR(VLOOKUP(F1651,CARTON_LOOKUP!$A:$E,5,0),"")</f>
      </c>
      <c r="J1651" s="29">
        <f>IFERROR(VLOOKUP(F1651,CARTON_LOOKUP!$A:$E,2,0),"")</f>
      </c>
      <c r="K1651" s="29">
        <f>IFERROR(J1651*D1651,0)</f>
      </c>
      <c r="L1651" s="29">
        <f>IFERROR(E1651*C1651,0)</f>
      </c>
      <c r="M1651" s="29">
        <f>IFERROR((G1651*H1651*I1651/1000000)*D1651,0)</f>
      </c>
    </row>
    <row r="1652" spans="1:13" x14ac:dyDescent="0.25">
      <c r="A1652" s="16"/>
      <c r="E1652" s="27"/>
      <c r="F1652" t="s">
        <v>26</v>
      </c>
      <c r="G1652" s="28">
        <f>IFERROR(VLOOKUP(F1652,CARTON_LOOKUP!$A:$E,3,0),"")</f>
      </c>
      <c r="H1652" s="28">
        <f>IFERROR(VLOOKUP(F1652,CARTON_LOOKUP!$A:$E,4,0),"")</f>
      </c>
      <c r="I1652" s="28">
        <f>IFERROR(VLOOKUP(F1652,CARTON_LOOKUP!$A:$E,5,0),"")</f>
      </c>
      <c r="J1652" s="29">
        <f>IFERROR(VLOOKUP(F1652,CARTON_LOOKUP!$A:$E,2,0),"")</f>
      </c>
      <c r="K1652" s="29">
        <f>IFERROR(J1652*D1652,0)</f>
      </c>
      <c r="L1652" s="29">
        <f>IFERROR(E1652*C1652,0)</f>
      </c>
      <c r="M1652" s="29">
        <f>IFERROR((G1652*H1652*I1652/1000000)*D1652,0)</f>
      </c>
    </row>
    <row r="1653" spans="1:13" x14ac:dyDescent="0.25">
      <c r="A1653" s="16"/>
      <c r="E1653" s="27"/>
      <c r="F1653" t="s">
        <v>26</v>
      </c>
      <c r="G1653" s="28">
        <f>IFERROR(VLOOKUP(F1653,CARTON_LOOKUP!$A:$E,3,0),"")</f>
      </c>
      <c r="H1653" s="28">
        <f>IFERROR(VLOOKUP(F1653,CARTON_LOOKUP!$A:$E,4,0),"")</f>
      </c>
      <c r="I1653" s="28">
        <f>IFERROR(VLOOKUP(F1653,CARTON_LOOKUP!$A:$E,5,0),"")</f>
      </c>
      <c r="J1653" s="29">
        <f>IFERROR(VLOOKUP(F1653,CARTON_LOOKUP!$A:$E,2,0),"")</f>
      </c>
      <c r="K1653" s="29">
        <f>IFERROR(J1653*D1653,0)</f>
      </c>
      <c r="L1653" s="29">
        <f>IFERROR(E1653*C1653,0)</f>
      </c>
      <c r="M1653" s="29">
        <f>IFERROR((G1653*H1653*I1653/1000000)*D1653,0)</f>
      </c>
    </row>
    <row r="1654" spans="1:13" x14ac:dyDescent="0.25">
      <c r="A1654" s="16"/>
      <c r="E1654" s="27"/>
      <c r="F1654" t="s">
        <v>26</v>
      </c>
      <c r="G1654" s="28">
        <f>IFERROR(VLOOKUP(F1654,CARTON_LOOKUP!$A:$E,3,0),"")</f>
      </c>
      <c r="H1654" s="28">
        <f>IFERROR(VLOOKUP(F1654,CARTON_LOOKUP!$A:$E,4,0),"")</f>
      </c>
      <c r="I1654" s="28">
        <f>IFERROR(VLOOKUP(F1654,CARTON_LOOKUP!$A:$E,5,0),"")</f>
      </c>
      <c r="J1654" s="29">
        <f>IFERROR(VLOOKUP(F1654,CARTON_LOOKUP!$A:$E,2,0),"")</f>
      </c>
      <c r="K1654" s="29">
        <f>IFERROR(J1654*D1654,0)</f>
      </c>
      <c r="L1654" s="29">
        <f>IFERROR(E1654*C1654,0)</f>
      </c>
      <c r="M1654" s="29">
        <f>IFERROR((G1654*H1654*I1654/1000000)*D1654,0)</f>
      </c>
    </row>
    <row r="1655" spans="1:13" x14ac:dyDescent="0.25">
      <c r="A1655" s="16"/>
      <c r="E1655" s="27"/>
      <c r="F1655" t="s">
        <v>26</v>
      </c>
      <c r="G1655" s="28">
        <f>IFERROR(VLOOKUP(F1655,CARTON_LOOKUP!$A:$E,3,0),"")</f>
      </c>
      <c r="H1655" s="28">
        <f>IFERROR(VLOOKUP(F1655,CARTON_LOOKUP!$A:$E,4,0),"")</f>
      </c>
      <c r="I1655" s="28">
        <f>IFERROR(VLOOKUP(F1655,CARTON_LOOKUP!$A:$E,5,0),"")</f>
      </c>
      <c r="J1655" s="29">
        <f>IFERROR(VLOOKUP(F1655,CARTON_LOOKUP!$A:$E,2,0),"")</f>
      </c>
      <c r="K1655" s="29">
        <f>IFERROR(J1655*D1655,0)</f>
      </c>
      <c r="L1655" s="29">
        <f>IFERROR(E1655*C1655,0)</f>
      </c>
      <c r="M1655" s="29">
        <f>IFERROR((G1655*H1655*I1655/1000000)*D1655,0)</f>
      </c>
    </row>
    <row r="1656" spans="1:13" x14ac:dyDescent="0.25">
      <c r="A1656" s="16"/>
      <c r="E1656" s="27"/>
      <c r="F1656" t="s">
        <v>26</v>
      </c>
      <c r="G1656" s="28">
        <f>IFERROR(VLOOKUP(F1656,CARTON_LOOKUP!$A:$E,3,0),"")</f>
      </c>
      <c r="H1656" s="28">
        <f>IFERROR(VLOOKUP(F1656,CARTON_LOOKUP!$A:$E,4,0),"")</f>
      </c>
      <c r="I1656" s="28">
        <f>IFERROR(VLOOKUP(F1656,CARTON_LOOKUP!$A:$E,5,0),"")</f>
      </c>
      <c r="J1656" s="29">
        <f>IFERROR(VLOOKUP(F1656,CARTON_LOOKUP!$A:$E,2,0),"")</f>
      </c>
      <c r="K1656" s="29">
        <f>IFERROR(J1656*D1656,0)</f>
      </c>
      <c r="L1656" s="29">
        <f>IFERROR(E1656*C1656,0)</f>
      </c>
      <c r="M1656" s="29">
        <f>IFERROR((G1656*H1656*I1656/1000000)*D1656,0)</f>
      </c>
    </row>
    <row r="1657" spans="1:13" x14ac:dyDescent="0.25">
      <c r="A1657" s="16"/>
      <c r="E1657" s="27"/>
      <c r="F1657" t="s">
        <v>26</v>
      </c>
      <c r="G1657" s="28">
        <f>IFERROR(VLOOKUP(F1657,CARTON_LOOKUP!$A:$E,3,0),"")</f>
      </c>
      <c r="H1657" s="28">
        <f>IFERROR(VLOOKUP(F1657,CARTON_LOOKUP!$A:$E,4,0),"")</f>
      </c>
      <c r="I1657" s="28">
        <f>IFERROR(VLOOKUP(F1657,CARTON_LOOKUP!$A:$E,5,0),"")</f>
      </c>
      <c r="J1657" s="29">
        <f>IFERROR(VLOOKUP(F1657,CARTON_LOOKUP!$A:$E,2,0),"")</f>
      </c>
      <c r="K1657" s="29">
        <f>IFERROR(J1657*D1657,0)</f>
      </c>
      <c r="L1657" s="29">
        <f>IFERROR(E1657*C1657,0)</f>
      </c>
      <c r="M1657" s="29">
        <f>IFERROR((G1657*H1657*I1657/1000000)*D1657,0)</f>
      </c>
    </row>
    <row r="1658" spans="1:13" x14ac:dyDescent="0.25">
      <c r="A1658" s="16"/>
      <c r="E1658" s="27"/>
      <c r="F1658" t="s">
        <v>26</v>
      </c>
      <c r="G1658" s="28">
        <f>IFERROR(VLOOKUP(F1658,CARTON_LOOKUP!$A:$E,3,0),"")</f>
      </c>
      <c r="H1658" s="28">
        <f>IFERROR(VLOOKUP(F1658,CARTON_LOOKUP!$A:$E,4,0),"")</f>
      </c>
      <c r="I1658" s="28">
        <f>IFERROR(VLOOKUP(F1658,CARTON_LOOKUP!$A:$E,5,0),"")</f>
      </c>
      <c r="J1658" s="29">
        <f>IFERROR(VLOOKUP(F1658,CARTON_LOOKUP!$A:$E,2,0),"")</f>
      </c>
      <c r="K1658" s="29">
        <f>IFERROR(J1658*D1658,0)</f>
      </c>
      <c r="L1658" s="29">
        <f>IFERROR(E1658*C1658,0)</f>
      </c>
      <c r="M1658" s="29">
        <f>IFERROR((G1658*H1658*I1658/1000000)*D1658,0)</f>
      </c>
    </row>
    <row r="1659" spans="1:13" x14ac:dyDescent="0.25">
      <c r="A1659" s="16"/>
      <c r="E1659" s="27"/>
      <c r="F1659" t="s">
        <v>26</v>
      </c>
      <c r="G1659" s="28">
        <f>IFERROR(VLOOKUP(F1659,CARTON_LOOKUP!$A:$E,3,0),"")</f>
      </c>
      <c r="H1659" s="28">
        <f>IFERROR(VLOOKUP(F1659,CARTON_LOOKUP!$A:$E,4,0),"")</f>
      </c>
      <c r="I1659" s="28">
        <f>IFERROR(VLOOKUP(F1659,CARTON_LOOKUP!$A:$E,5,0),"")</f>
      </c>
      <c r="J1659" s="29">
        <f>IFERROR(VLOOKUP(F1659,CARTON_LOOKUP!$A:$E,2,0),"")</f>
      </c>
      <c r="K1659" s="29">
        <f>IFERROR(J1659*D1659,0)</f>
      </c>
      <c r="L1659" s="29">
        <f>IFERROR(E1659*C1659,0)</f>
      </c>
      <c r="M1659" s="29">
        <f>IFERROR((G1659*H1659*I1659/1000000)*D1659,0)</f>
      </c>
    </row>
    <row r="1660" spans="1:13" x14ac:dyDescent="0.25">
      <c r="A1660" s="16"/>
      <c r="E1660" s="27"/>
      <c r="F1660" t="s">
        <v>26</v>
      </c>
      <c r="G1660" s="28">
        <f>IFERROR(VLOOKUP(F1660,CARTON_LOOKUP!$A:$E,3,0),"")</f>
      </c>
      <c r="H1660" s="28">
        <f>IFERROR(VLOOKUP(F1660,CARTON_LOOKUP!$A:$E,4,0),"")</f>
      </c>
      <c r="I1660" s="28">
        <f>IFERROR(VLOOKUP(F1660,CARTON_LOOKUP!$A:$E,5,0),"")</f>
      </c>
      <c r="J1660" s="29">
        <f>IFERROR(VLOOKUP(F1660,CARTON_LOOKUP!$A:$E,2,0),"")</f>
      </c>
      <c r="K1660" s="29">
        <f>IFERROR(J1660*D1660,0)</f>
      </c>
      <c r="L1660" s="29">
        <f>IFERROR(E1660*C1660,0)</f>
      </c>
      <c r="M1660" s="29">
        <f>IFERROR((G1660*H1660*I1660/1000000)*D1660,0)</f>
      </c>
    </row>
    <row r="1661" spans="1:13" x14ac:dyDescent="0.25">
      <c r="A1661" s="16"/>
      <c r="E1661" s="27"/>
      <c r="F1661" t="s">
        <v>26</v>
      </c>
      <c r="G1661" s="28">
        <f>IFERROR(VLOOKUP(F1661,CARTON_LOOKUP!$A:$E,3,0),"")</f>
      </c>
      <c r="H1661" s="28">
        <f>IFERROR(VLOOKUP(F1661,CARTON_LOOKUP!$A:$E,4,0),"")</f>
      </c>
      <c r="I1661" s="28">
        <f>IFERROR(VLOOKUP(F1661,CARTON_LOOKUP!$A:$E,5,0),"")</f>
      </c>
      <c r="J1661" s="29">
        <f>IFERROR(VLOOKUP(F1661,CARTON_LOOKUP!$A:$E,2,0),"")</f>
      </c>
      <c r="K1661" s="29">
        <f>IFERROR(J1661*D1661,0)</f>
      </c>
      <c r="L1661" s="29">
        <f>IFERROR(E1661*C1661,0)</f>
      </c>
      <c r="M1661" s="29">
        <f>IFERROR((G1661*H1661*I1661/1000000)*D1661,0)</f>
      </c>
    </row>
    <row r="1662" spans="1:13" x14ac:dyDescent="0.25">
      <c r="A1662" s="16"/>
      <c r="E1662" s="27"/>
      <c r="F1662" t="s">
        <v>26</v>
      </c>
      <c r="G1662" s="28">
        <f>IFERROR(VLOOKUP(F1662,CARTON_LOOKUP!$A:$E,3,0),"")</f>
      </c>
      <c r="H1662" s="28">
        <f>IFERROR(VLOOKUP(F1662,CARTON_LOOKUP!$A:$E,4,0),"")</f>
      </c>
      <c r="I1662" s="28">
        <f>IFERROR(VLOOKUP(F1662,CARTON_LOOKUP!$A:$E,5,0),"")</f>
      </c>
      <c r="J1662" s="29">
        <f>IFERROR(VLOOKUP(F1662,CARTON_LOOKUP!$A:$E,2,0),"")</f>
      </c>
      <c r="K1662" s="29">
        <f>IFERROR(J1662*D1662,0)</f>
      </c>
      <c r="L1662" s="29">
        <f>IFERROR(E1662*C1662,0)</f>
      </c>
      <c r="M1662" s="29">
        <f>IFERROR((G1662*H1662*I1662/1000000)*D1662,0)</f>
      </c>
    </row>
    <row r="1663" spans="1:13" x14ac:dyDescent="0.25">
      <c r="A1663" s="16"/>
      <c r="E1663" s="27"/>
      <c r="F1663" t="s">
        <v>26</v>
      </c>
      <c r="G1663" s="28">
        <f>IFERROR(VLOOKUP(F1663,CARTON_LOOKUP!$A:$E,3,0),"")</f>
      </c>
      <c r="H1663" s="28">
        <f>IFERROR(VLOOKUP(F1663,CARTON_LOOKUP!$A:$E,4,0),"")</f>
      </c>
      <c r="I1663" s="28">
        <f>IFERROR(VLOOKUP(F1663,CARTON_LOOKUP!$A:$E,5,0),"")</f>
      </c>
      <c r="J1663" s="29">
        <f>IFERROR(VLOOKUP(F1663,CARTON_LOOKUP!$A:$E,2,0),"")</f>
      </c>
      <c r="K1663" s="29">
        <f>IFERROR(J1663*D1663,0)</f>
      </c>
      <c r="L1663" s="29">
        <f>IFERROR(E1663*C1663,0)</f>
      </c>
      <c r="M1663" s="29">
        <f>IFERROR((G1663*H1663*I1663/1000000)*D1663,0)</f>
      </c>
    </row>
    <row r="1664" spans="1:13" x14ac:dyDescent="0.25">
      <c r="A1664" s="16"/>
      <c r="E1664" s="27"/>
      <c r="F1664" t="s">
        <v>26</v>
      </c>
      <c r="G1664" s="28">
        <f>IFERROR(VLOOKUP(F1664,CARTON_LOOKUP!$A:$E,3,0),"")</f>
      </c>
      <c r="H1664" s="28">
        <f>IFERROR(VLOOKUP(F1664,CARTON_LOOKUP!$A:$E,4,0),"")</f>
      </c>
      <c r="I1664" s="28">
        <f>IFERROR(VLOOKUP(F1664,CARTON_LOOKUP!$A:$E,5,0),"")</f>
      </c>
      <c r="J1664" s="29">
        <f>IFERROR(VLOOKUP(F1664,CARTON_LOOKUP!$A:$E,2,0),"")</f>
      </c>
      <c r="K1664" s="29">
        <f>IFERROR(J1664*D1664,0)</f>
      </c>
      <c r="L1664" s="29">
        <f>IFERROR(E1664*C1664,0)</f>
      </c>
      <c r="M1664" s="29">
        <f>IFERROR((G1664*H1664*I1664/1000000)*D1664,0)</f>
      </c>
    </row>
    <row r="1665" spans="1:13" x14ac:dyDescent="0.25">
      <c r="A1665" s="16"/>
      <c r="E1665" s="27"/>
      <c r="F1665" t="s">
        <v>26</v>
      </c>
      <c r="G1665" s="28">
        <f>IFERROR(VLOOKUP(F1665,CARTON_LOOKUP!$A:$E,3,0),"")</f>
      </c>
      <c r="H1665" s="28">
        <f>IFERROR(VLOOKUP(F1665,CARTON_LOOKUP!$A:$E,4,0),"")</f>
      </c>
      <c r="I1665" s="28">
        <f>IFERROR(VLOOKUP(F1665,CARTON_LOOKUP!$A:$E,5,0),"")</f>
      </c>
      <c r="J1665" s="29">
        <f>IFERROR(VLOOKUP(F1665,CARTON_LOOKUP!$A:$E,2,0),"")</f>
      </c>
      <c r="K1665" s="29">
        <f>IFERROR(J1665*D1665,0)</f>
      </c>
      <c r="L1665" s="29">
        <f>IFERROR(E1665*C1665,0)</f>
      </c>
      <c r="M1665" s="29">
        <f>IFERROR((G1665*H1665*I1665/1000000)*D1665,0)</f>
      </c>
    </row>
    <row r="1666" spans="1:13" x14ac:dyDescent="0.25">
      <c r="A1666" s="16"/>
      <c r="E1666" s="27"/>
      <c r="F1666" t="s">
        <v>26</v>
      </c>
      <c r="G1666" s="28">
        <f>IFERROR(VLOOKUP(F1666,CARTON_LOOKUP!$A:$E,3,0),"")</f>
      </c>
      <c r="H1666" s="28">
        <f>IFERROR(VLOOKUP(F1666,CARTON_LOOKUP!$A:$E,4,0),"")</f>
      </c>
      <c r="I1666" s="28">
        <f>IFERROR(VLOOKUP(F1666,CARTON_LOOKUP!$A:$E,5,0),"")</f>
      </c>
      <c r="J1666" s="29">
        <f>IFERROR(VLOOKUP(F1666,CARTON_LOOKUP!$A:$E,2,0),"")</f>
      </c>
      <c r="K1666" s="29">
        <f>IFERROR(J1666*D1666,0)</f>
      </c>
      <c r="L1666" s="29">
        <f>IFERROR(E1666*C1666,0)</f>
      </c>
      <c r="M1666" s="29">
        <f>IFERROR((G1666*H1666*I1666/1000000)*D1666,0)</f>
      </c>
    </row>
    <row r="1667" spans="1:13" x14ac:dyDescent="0.25">
      <c r="A1667" s="16"/>
      <c r="E1667" s="27"/>
      <c r="F1667" t="s">
        <v>26</v>
      </c>
      <c r="G1667" s="28">
        <f>IFERROR(VLOOKUP(F1667,CARTON_LOOKUP!$A:$E,3,0),"")</f>
      </c>
      <c r="H1667" s="28">
        <f>IFERROR(VLOOKUP(F1667,CARTON_LOOKUP!$A:$E,4,0),"")</f>
      </c>
      <c r="I1667" s="28">
        <f>IFERROR(VLOOKUP(F1667,CARTON_LOOKUP!$A:$E,5,0),"")</f>
      </c>
      <c r="J1667" s="29">
        <f>IFERROR(VLOOKUP(F1667,CARTON_LOOKUP!$A:$E,2,0),"")</f>
      </c>
      <c r="K1667" s="29">
        <f>IFERROR(J1667*D1667,0)</f>
      </c>
      <c r="L1667" s="29">
        <f>IFERROR(E1667*C1667,0)</f>
      </c>
      <c r="M1667" s="29">
        <f>IFERROR((G1667*H1667*I1667/1000000)*D1667,0)</f>
      </c>
    </row>
    <row r="1668" spans="1:13" x14ac:dyDescent="0.25">
      <c r="A1668" s="16"/>
      <c r="E1668" s="27"/>
      <c r="F1668" t="s">
        <v>26</v>
      </c>
      <c r="G1668" s="28">
        <f>IFERROR(VLOOKUP(F1668,CARTON_LOOKUP!$A:$E,3,0),"")</f>
      </c>
      <c r="H1668" s="28">
        <f>IFERROR(VLOOKUP(F1668,CARTON_LOOKUP!$A:$E,4,0),"")</f>
      </c>
      <c r="I1668" s="28">
        <f>IFERROR(VLOOKUP(F1668,CARTON_LOOKUP!$A:$E,5,0),"")</f>
      </c>
      <c r="J1668" s="29">
        <f>IFERROR(VLOOKUP(F1668,CARTON_LOOKUP!$A:$E,2,0),"")</f>
      </c>
      <c r="K1668" s="29">
        <f>IFERROR(J1668*D1668,0)</f>
      </c>
      <c r="L1668" s="29">
        <f>IFERROR(E1668*C1668,0)</f>
      </c>
      <c r="M1668" s="29">
        <f>IFERROR((G1668*H1668*I1668/1000000)*D1668,0)</f>
      </c>
    </row>
    <row r="1669" spans="1:13" x14ac:dyDescent="0.25">
      <c r="A1669" s="16"/>
      <c r="E1669" s="27"/>
      <c r="F1669" t="s">
        <v>26</v>
      </c>
      <c r="G1669" s="28">
        <f>IFERROR(VLOOKUP(F1669,CARTON_LOOKUP!$A:$E,3,0),"")</f>
      </c>
      <c r="H1669" s="28">
        <f>IFERROR(VLOOKUP(F1669,CARTON_LOOKUP!$A:$E,4,0),"")</f>
      </c>
      <c r="I1669" s="28">
        <f>IFERROR(VLOOKUP(F1669,CARTON_LOOKUP!$A:$E,5,0),"")</f>
      </c>
      <c r="J1669" s="29">
        <f>IFERROR(VLOOKUP(F1669,CARTON_LOOKUP!$A:$E,2,0),"")</f>
      </c>
      <c r="K1669" s="29">
        <f>IFERROR(J1669*D1669,0)</f>
      </c>
      <c r="L1669" s="29">
        <f>IFERROR(E1669*C1669,0)</f>
      </c>
      <c r="M1669" s="29">
        <f>IFERROR((G1669*H1669*I1669/1000000)*D1669,0)</f>
      </c>
    </row>
    <row r="1670" spans="1:13" x14ac:dyDescent="0.25">
      <c r="A1670" s="16"/>
      <c r="E1670" s="27"/>
      <c r="F1670" t="s">
        <v>26</v>
      </c>
      <c r="G1670" s="28">
        <f>IFERROR(VLOOKUP(F1670,CARTON_LOOKUP!$A:$E,3,0),"")</f>
      </c>
      <c r="H1670" s="28">
        <f>IFERROR(VLOOKUP(F1670,CARTON_LOOKUP!$A:$E,4,0),"")</f>
      </c>
      <c r="I1670" s="28">
        <f>IFERROR(VLOOKUP(F1670,CARTON_LOOKUP!$A:$E,5,0),"")</f>
      </c>
      <c r="J1670" s="29">
        <f>IFERROR(VLOOKUP(F1670,CARTON_LOOKUP!$A:$E,2,0),"")</f>
      </c>
      <c r="K1670" s="29">
        <f>IFERROR(J1670*D1670,0)</f>
      </c>
      <c r="L1670" s="29">
        <f>IFERROR(E1670*C1670,0)</f>
      </c>
      <c r="M1670" s="29">
        <f>IFERROR((G1670*H1670*I1670/1000000)*D1670,0)</f>
      </c>
    </row>
    <row r="1671" spans="1:13" x14ac:dyDescent="0.25">
      <c r="A1671" s="16"/>
      <c r="E1671" s="27"/>
      <c r="F1671" t="s">
        <v>26</v>
      </c>
      <c r="G1671" s="28">
        <f>IFERROR(VLOOKUP(F1671,CARTON_LOOKUP!$A:$E,3,0),"")</f>
      </c>
      <c r="H1671" s="28">
        <f>IFERROR(VLOOKUP(F1671,CARTON_LOOKUP!$A:$E,4,0),"")</f>
      </c>
      <c r="I1671" s="28">
        <f>IFERROR(VLOOKUP(F1671,CARTON_LOOKUP!$A:$E,5,0),"")</f>
      </c>
      <c r="J1671" s="29">
        <f>IFERROR(VLOOKUP(F1671,CARTON_LOOKUP!$A:$E,2,0),"")</f>
      </c>
      <c r="K1671" s="29">
        <f>IFERROR(J1671*D1671,0)</f>
      </c>
      <c r="L1671" s="29">
        <f>IFERROR(E1671*C1671,0)</f>
      </c>
      <c r="M1671" s="29">
        <f>IFERROR((G1671*H1671*I1671/1000000)*D1671,0)</f>
      </c>
    </row>
    <row r="1672" spans="1:13" x14ac:dyDescent="0.25">
      <c r="A1672" s="16"/>
      <c r="E1672" s="27"/>
      <c r="F1672" t="s">
        <v>26</v>
      </c>
      <c r="G1672" s="28">
        <f>IFERROR(VLOOKUP(F1672,CARTON_LOOKUP!$A:$E,3,0),"")</f>
      </c>
      <c r="H1672" s="28">
        <f>IFERROR(VLOOKUP(F1672,CARTON_LOOKUP!$A:$E,4,0),"")</f>
      </c>
      <c r="I1672" s="28">
        <f>IFERROR(VLOOKUP(F1672,CARTON_LOOKUP!$A:$E,5,0),"")</f>
      </c>
      <c r="J1672" s="29">
        <f>IFERROR(VLOOKUP(F1672,CARTON_LOOKUP!$A:$E,2,0),"")</f>
      </c>
      <c r="K1672" s="29">
        <f>IFERROR(J1672*D1672,0)</f>
      </c>
      <c r="L1672" s="29">
        <f>IFERROR(E1672*C1672,0)</f>
      </c>
      <c r="M1672" s="29">
        <f>IFERROR((G1672*H1672*I1672/1000000)*D1672,0)</f>
      </c>
    </row>
    <row r="1673" spans="1:13" x14ac:dyDescent="0.25">
      <c r="A1673" s="16"/>
      <c r="E1673" s="27"/>
      <c r="F1673" t="s">
        <v>26</v>
      </c>
      <c r="G1673" s="28">
        <f>IFERROR(VLOOKUP(F1673,CARTON_LOOKUP!$A:$E,3,0),"")</f>
      </c>
      <c r="H1673" s="28">
        <f>IFERROR(VLOOKUP(F1673,CARTON_LOOKUP!$A:$E,4,0),"")</f>
      </c>
      <c r="I1673" s="28">
        <f>IFERROR(VLOOKUP(F1673,CARTON_LOOKUP!$A:$E,5,0),"")</f>
      </c>
      <c r="J1673" s="29">
        <f>IFERROR(VLOOKUP(F1673,CARTON_LOOKUP!$A:$E,2,0),"")</f>
      </c>
      <c r="K1673" s="29">
        <f>IFERROR(J1673*D1673,0)</f>
      </c>
      <c r="L1673" s="29">
        <f>IFERROR(E1673*C1673,0)</f>
      </c>
      <c r="M1673" s="29">
        <f>IFERROR((G1673*H1673*I1673/1000000)*D1673,0)</f>
      </c>
    </row>
    <row r="1674" spans="1:13" x14ac:dyDescent="0.25">
      <c r="A1674" s="16"/>
      <c r="E1674" s="27"/>
      <c r="F1674" t="s">
        <v>26</v>
      </c>
      <c r="G1674" s="28">
        <f>IFERROR(VLOOKUP(F1674,CARTON_LOOKUP!$A:$E,3,0),"")</f>
      </c>
      <c r="H1674" s="28">
        <f>IFERROR(VLOOKUP(F1674,CARTON_LOOKUP!$A:$E,4,0),"")</f>
      </c>
      <c r="I1674" s="28">
        <f>IFERROR(VLOOKUP(F1674,CARTON_LOOKUP!$A:$E,5,0),"")</f>
      </c>
      <c r="J1674" s="29">
        <f>IFERROR(VLOOKUP(F1674,CARTON_LOOKUP!$A:$E,2,0),"")</f>
      </c>
      <c r="K1674" s="29">
        <f>IFERROR(J1674*D1674,0)</f>
      </c>
      <c r="L1674" s="29">
        <f>IFERROR(E1674*C1674,0)</f>
      </c>
      <c r="M1674" s="29">
        <f>IFERROR((G1674*H1674*I1674/1000000)*D1674,0)</f>
      </c>
    </row>
    <row r="1675" spans="1:13" x14ac:dyDescent="0.25">
      <c r="A1675" s="16"/>
      <c r="E1675" s="27"/>
      <c r="F1675" t="s">
        <v>26</v>
      </c>
      <c r="G1675" s="28">
        <f>IFERROR(VLOOKUP(F1675,CARTON_LOOKUP!$A:$E,3,0),"")</f>
      </c>
      <c r="H1675" s="28">
        <f>IFERROR(VLOOKUP(F1675,CARTON_LOOKUP!$A:$E,4,0),"")</f>
      </c>
      <c r="I1675" s="28">
        <f>IFERROR(VLOOKUP(F1675,CARTON_LOOKUP!$A:$E,5,0),"")</f>
      </c>
      <c r="J1675" s="29">
        <f>IFERROR(VLOOKUP(F1675,CARTON_LOOKUP!$A:$E,2,0),"")</f>
      </c>
      <c r="K1675" s="29">
        <f>IFERROR(J1675*D1675,0)</f>
      </c>
      <c r="L1675" s="29">
        <f>IFERROR(E1675*C1675,0)</f>
      </c>
      <c r="M1675" s="29">
        <f>IFERROR((G1675*H1675*I1675/1000000)*D1675,0)</f>
      </c>
    </row>
    <row r="1676" spans="1:13" x14ac:dyDescent="0.25">
      <c r="A1676" s="16"/>
      <c r="E1676" s="27"/>
      <c r="F1676" t="s">
        <v>26</v>
      </c>
      <c r="G1676" s="28">
        <f>IFERROR(VLOOKUP(F1676,CARTON_LOOKUP!$A:$E,3,0),"")</f>
      </c>
      <c r="H1676" s="28">
        <f>IFERROR(VLOOKUP(F1676,CARTON_LOOKUP!$A:$E,4,0),"")</f>
      </c>
      <c r="I1676" s="28">
        <f>IFERROR(VLOOKUP(F1676,CARTON_LOOKUP!$A:$E,5,0),"")</f>
      </c>
      <c r="J1676" s="29">
        <f>IFERROR(VLOOKUP(F1676,CARTON_LOOKUP!$A:$E,2,0),"")</f>
      </c>
      <c r="K1676" s="29">
        <f>IFERROR(J1676*D1676,0)</f>
      </c>
      <c r="L1676" s="29">
        <f>IFERROR(E1676*C1676,0)</f>
      </c>
      <c r="M1676" s="29">
        <f>IFERROR((G1676*H1676*I1676/1000000)*D1676,0)</f>
      </c>
    </row>
    <row r="1677" spans="1:13" x14ac:dyDescent="0.25">
      <c r="A1677" s="16"/>
      <c r="E1677" s="27"/>
      <c r="F1677" t="s">
        <v>26</v>
      </c>
      <c r="G1677" s="28">
        <f>IFERROR(VLOOKUP(F1677,CARTON_LOOKUP!$A:$E,3,0),"")</f>
      </c>
      <c r="H1677" s="28">
        <f>IFERROR(VLOOKUP(F1677,CARTON_LOOKUP!$A:$E,4,0),"")</f>
      </c>
      <c r="I1677" s="28">
        <f>IFERROR(VLOOKUP(F1677,CARTON_LOOKUP!$A:$E,5,0),"")</f>
      </c>
      <c r="J1677" s="29">
        <f>IFERROR(VLOOKUP(F1677,CARTON_LOOKUP!$A:$E,2,0),"")</f>
      </c>
      <c r="K1677" s="29">
        <f>IFERROR(J1677*D1677,0)</f>
      </c>
      <c r="L1677" s="29">
        <f>IFERROR(E1677*C1677,0)</f>
      </c>
      <c r="M1677" s="29">
        <f>IFERROR((G1677*H1677*I1677/1000000)*D1677,0)</f>
      </c>
    </row>
    <row r="1678" spans="1:13" x14ac:dyDescent="0.25">
      <c r="A1678" s="16"/>
      <c r="E1678" s="27"/>
      <c r="F1678" t="s">
        <v>26</v>
      </c>
      <c r="G1678" s="28">
        <f>IFERROR(VLOOKUP(F1678,CARTON_LOOKUP!$A:$E,3,0),"")</f>
      </c>
      <c r="H1678" s="28">
        <f>IFERROR(VLOOKUP(F1678,CARTON_LOOKUP!$A:$E,4,0),"")</f>
      </c>
      <c r="I1678" s="28">
        <f>IFERROR(VLOOKUP(F1678,CARTON_LOOKUP!$A:$E,5,0),"")</f>
      </c>
      <c r="J1678" s="29">
        <f>IFERROR(VLOOKUP(F1678,CARTON_LOOKUP!$A:$E,2,0),"")</f>
      </c>
      <c r="K1678" s="29">
        <f>IFERROR(J1678*D1678,0)</f>
      </c>
      <c r="L1678" s="29">
        <f>IFERROR(E1678*C1678,0)</f>
      </c>
      <c r="M1678" s="29">
        <f>IFERROR((G1678*H1678*I1678/1000000)*D1678,0)</f>
      </c>
    </row>
    <row r="1679" spans="1:13" x14ac:dyDescent="0.25">
      <c r="A1679" s="16"/>
      <c r="E1679" s="27"/>
      <c r="F1679" t="s">
        <v>26</v>
      </c>
      <c r="G1679" s="28">
        <f>IFERROR(VLOOKUP(F1679,CARTON_LOOKUP!$A:$E,3,0),"")</f>
      </c>
      <c r="H1679" s="28">
        <f>IFERROR(VLOOKUP(F1679,CARTON_LOOKUP!$A:$E,4,0),"")</f>
      </c>
      <c r="I1679" s="28">
        <f>IFERROR(VLOOKUP(F1679,CARTON_LOOKUP!$A:$E,5,0),"")</f>
      </c>
      <c r="J1679" s="29">
        <f>IFERROR(VLOOKUP(F1679,CARTON_LOOKUP!$A:$E,2,0),"")</f>
      </c>
      <c r="K1679" s="29">
        <f>IFERROR(J1679*D1679,0)</f>
      </c>
      <c r="L1679" s="29">
        <f>IFERROR(E1679*C1679,0)</f>
      </c>
      <c r="M1679" s="29">
        <f>IFERROR((G1679*H1679*I1679/1000000)*D1679,0)</f>
      </c>
    </row>
    <row r="1680" spans="1:13" x14ac:dyDescent="0.25">
      <c r="A1680" s="16"/>
      <c r="E1680" s="27"/>
      <c r="F1680" t="s">
        <v>26</v>
      </c>
      <c r="G1680" s="28">
        <f>IFERROR(VLOOKUP(F1680,CARTON_LOOKUP!$A:$E,3,0),"")</f>
      </c>
      <c r="H1680" s="28">
        <f>IFERROR(VLOOKUP(F1680,CARTON_LOOKUP!$A:$E,4,0),"")</f>
      </c>
      <c r="I1680" s="28">
        <f>IFERROR(VLOOKUP(F1680,CARTON_LOOKUP!$A:$E,5,0),"")</f>
      </c>
      <c r="J1680" s="29">
        <f>IFERROR(VLOOKUP(F1680,CARTON_LOOKUP!$A:$E,2,0),"")</f>
      </c>
      <c r="K1680" s="29">
        <f>IFERROR(J1680*D1680,0)</f>
      </c>
      <c r="L1680" s="29">
        <f>IFERROR(E1680*C1680,0)</f>
      </c>
      <c r="M1680" s="29">
        <f>IFERROR((G1680*H1680*I1680/1000000)*D1680,0)</f>
      </c>
    </row>
    <row r="1681" spans="1:13" x14ac:dyDescent="0.25">
      <c r="A1681" s="16"/>
      <c r="E1681" s="27"/>
      <c r="F1681" t="s">
        <v>26</v>
      </c>
      <c r="G1681" s="28">
        <f>IFERROR(VLOOKUP(F1681,CARTON_LOOKUP!$A:$E,3,0),"")</f>
      </c>
      <c r="H1681" s="28">
        <f>IFERROR(VLOOKUP(F1681,CARTON_LOOKUP!$A:$E,4,0),"")</f>
      </c>
      <c r="I1681" s="28">
        <f>IFERROR(VLOOKUP(F1681,CARTON_LOOKUP!$A:$E,5,0),"")</f>
      </c>
      <c r="J1681" s="29">
        <f>IFERROR(VLOOKUP(F1681,CARTON_LOOKUP!$A:$E,2,0),"")</f>
      </c>
      <c r="K1681" s="29">
        <f>IFERROR(J1681*D1681,0)</f>
      </c>
      <c r="L1681" s="29">
        <f>IFERROR(E1681*C1681,0)</f>
      </c>
      <c r="M1681" s="29">
        <f>IFERROR((G1681*H1681*I1681/1000000)*D1681,0)</f>
      </c>
    </row>
    <row r="1682" spans="1:13" x14ac:dyDescent="0.25">
      <c r="A1682" s="16"/>
      <c r="E1682" s="27"/>
      <c r="F1682" t="s">
        <v>26</v>
      </c>
      <c r="G1682" s="28">
        <f>IFERROR(VLOOKUP(F1682,CARTON_LOOKUP!$A:$E,3,0),"")</f>
      </c>
      <c r="H1682" s="28">
        <f>IFERROR(VLOOKUP(F1682,CARTON_LOOKUP!$A:$E,4,0),"")</f>
      </c>
      <c r="I1682" s="28">
        <f>IFERROR(VLOOKUP(F1682,CARTON_LOOKUP!$A:$E,5,0),"")</f>
      </c>
      <c r="J1682" s="29">
        <f>IFERROR(VLOOKUP(F1682,CARTON_LOOKUP!$A:$E,2,0),"")</f>
      </c>
      <c r="K1682" s="29">
        <f>IFERROR(J1682*D1682,0)</f>
      </c>
      <c r="L1682" s="29">
        <f>IFERROR(E1682*C1682,0)</f>
      </c>
      <c r="M1682" s="29">
        <f>IFERROR((G1682*H1682*I1682/1000000)*D1682,0)</f>
      </c>
    </row>
    <row r="1683" spans="1:13" x14ac:dyDescent="0.25">
      <c r="A1683" s="16"/>
      <c r="E1683" s="27"/>
      <c r="F1683" t="s">
        <v>26</v>
      </c>
      <c r="G1683" s="28">
        <f>IFERROR(VLOOKUP(F1683,CARTON_LOOKUP!$A:$E,3,0),"")</f>
      </c>
      <c r="H1683" s="28">
        <f>IFERROR(VLOOKUP(F1683,CARTON_LOOKUP!$A:$E,4,0),"")</f>
      </c>
      <c r="I1683" s="28">
        <f>IFERROR(VLOOKUP(F1683,CARTON_LOOKUP!$A:$E,5,0),"")</f>
      </c>
      <c r="J1683" s="29">
        <f>IFERROR(VLOOKUP(F1683,CARTON_LOOKUP!$A:$E,2,0),"")</f>
      </c>
      <c r="K1683" s="29">
        <f>IFERROR(J1683*D1683,0)</f>
      </c>
      <c r="L1683" s="29">
        <f>IFERROR(E1683*C1683,0)</f>
      </c>
      <c r="M1683" s="29">
        <f>IFERROR((G1683*H1683*I1683/1000000)*D1683,0)</f>
      </c>
    </row>
    <row r="1684" spans="1:13" x14ac:dyDescent="0.25">
      <c r="A1684" s="16"/>
      <c r="E1684" s="27"/>
      <c r="F1684" t="s">
        <v>26</v>
      </c>
      <c r="G1684" s="28">
        <f>IFERROR(VLOOKUP(F1684,CARTON_LOOKUP!$A:$E,3,0),"")</f>
      </c>
      <c r="H1684" s="28">
        <f>IFERROR(VLOOKUP(F1684,CARTON_LOOKUP!$A:$E,4,0),"")</f>
      </c>
      <c r="I1684" s="28">
        <f>IFERROR(VLOOKUP(F1684,CARTON_LOOKUP!$A:$E,5,0),"")</f>
      </c>
      <c r="J1684" s="29">
        <f>IFERROR(VLOOKUP(F1684,CARTON_LOOKUP!$A:$E,2,0),"")</f>
      </c>
      <c r="K1684" s="29">
        <f>IFERROR(J1684*D1684,0)</f>
      </c>
      <c r="L1684" s="29">
        <f>IFERROR(E1684*C1684,0)</f>
      </c>
      <c r="M1684" s="29">
        <f>IFERROR((G1684*H1684*I1684/1000000)*D1684,0)</f>
      </c>
    </row>
    <row r="1685" spans="1:13" x14ac:dyDescent="0.25">
      <c r="A1685" s="16"/>
      <c r="E1685" s="27"/>
      <c r="F1685" t="s">
        <v>26</v>
      </c>
      <c r="G1685" s="28">
        <f>IFERROR(VLOOKUP(F1685,CARTON_LOOKUP!$A:$E,3,0),"")</f>
      </c>
      <c r="H1685" s="28">
        <f>IFERROR(VLOOKUP(F1685,CARTON_LOOKUP!$A:$E,4,0),"")</f>
      </c>
      <c r="I1685" s="28">
        <f>IFERROR(VLOOKUP(F1685,CARTON_LOOKUP!$A:$E,5,0),"")</f>
      </c>
      <c r="J1685" s="29">
        <f>IFERROR(VLOOKUP(F1685,CARTON_LOOKUP!$A:$E,2,0),"")</f>
      </c>
      <c r="K1685" s="29">
        <f>IFERROR(J1685*D1685,0)</f>
      </c>
      <c r="L1685" s="29">
        <f>IFERROR(E1685*C1685,0)</f>
      </c>
      <c r="M1685" s="29">
        <f>IFERROR((G1685*H1685*I1685/1000000)*D1685,0)</f>
      </c>
    </row>
    <row r="1686" spans="1:13" x14ac:dyDescent="0.25">
      <c r="A1686" s="16"/>
      <c r="E1686" s="27"/>
      <c r="F1686" t="s">
        <v>26</v>
      </c>
      <c r="G1686" s="28">
        <f>IFERROR(VLOOKUP(F1686,CARTON_LOOKUP!$A:$E,3,0),"")</f>
      </c>
      <c r="H1686" s="28">
        <f>IFERROR(VLOOKUP(F1686,CARTON_LOOKUP!$A:$E,4,0),"")</f>
      </c>
      <c r="I1686" s="28">
        <f>IFERROR(VLOOKUP(F1686,CARTON_LOOKUP!$A:$E,5,0),"")</f>
      </c>
      <c r="J1686" s="29">
        <f>IFERROR(VLOOKUP(F1686,CARTON_LOOKUP!$A:$E,2,0),"")</f>
      </c>
      <c r="K1686" s="29">
        <f>IFERROR(J1686*D1686,0)</f>
      </c>
      <c r="L1686" s="29">
        <f>IFERROR(E1686*C1686,0)</f>
      </c>
      <c r="M1686" s="29">
        <f>IFERROR((G1686*H1686*I1686/1000000)*D1686,0)</f>
      </c>
    </row>
    <row r="1687" spans="1:13" x14ac:dyDescent="0.25">
      <c r="A1687" s="16"/>
      <c r="E1687" s="27"/>
      <c r="F1687" t="s">
        <v>26</v>
      </c>
      <c r="G1687" s="28">
        <f>IFERROR(VLOOKUP(F1687,CARTON_LOOKUP!$A:$E,3,0),"")</f>
      </c>
      <c r="H1687" s="28">
        <f>IFERROR(VLOOKUP(F1687,CARTON_LOOKUP!$A:$E,4,0),"")</f>
      </c>
      <c r="I1687" s="28">
        <f>IFERROR(VLOOKUP(F1687,CARTON_LOOKUP!$A:$E,5,0),"")</f>
      </c>
      <c r="J1687" s="29">
        <f>IFERROR(VLOOKUP(F1687,CARTON_LOOKUP!$A:$E,2,0),"")</f>
      </c>
      <c r="K1687" s="29">
        <f>IFERROR(J1687*D1687,0)</f>
      </c>
      <c r="L1687" s="29">
        <f>IFERROR(E1687*C1687,0)</f>
      </c>
      <c r="M1687" s="29">
        <f>IFERROR((G1687*H1687*I1687/1000000)*D1687,0)</f>
      </c>
    </row>
    <row r="1688" spans="1:13" x14ac:dyDescent="0.25">
      <c r="A1688" s="16"/>
      <c r="E1688" s="27"/>
      <c r="F1688" t="s">
        <v>26</v>
      </c>
      <c r="G1688" s="28">
        <f>IFERROR(VLOOKUP(F1688,CARTON_LOOKUP!$A:$E,3,0),"")</f>
      </c>
      <c r="H1688" s="28">
        <f>IFERROR(VLOOKUP(F1688,CARTON_LOOKUP!$A:$E,4,0),"")</f>
      </c>
      <c r="I1688" s="28">
        <f>IFERROR(VLOOKUP(F1688,CARTON_LOOKUP!$A:$E,5,0),"")</f>
      </c>
      <c r="J1688" s="29">
        <f>IFERROR(VLOOKUP(F1688,CARTON_LOOKUP!$A:$E,2,0),"")</f>
      </c>
      <c r="K1688" s="29">
        <f>IFERROR(J1688*D1688,0)</f>
      </c>
      <c r="L1688" s="29">
        <f>IFERROR(E1688*C1688,0)</f>
      </c>
      <c r="M1688" s="29">
        <f>IFERROR((G1688*H1688*I1688/1000000)*D1688,0)</f>
      </c>
    </row>
    <row r="1689" spans="1:13" x14ac:dyDescent="0.25">
      <c r="A1689" s="16"/>
      <c r="E1689" s="27"/>
      <c r="F1689" t="s">
        <v>26</v>
      </c>
      <c r="G1689" s="28">
        <f>IFERROR(VLOOKUP(F1689,CARTON_LOOKUP!$A:$E,3,0),"")</f>
      </c>
      <c r="H1689" s="28">
        <f>IFERROR(VLOOKUP(F1689,CARTON_LOOKUP!$A:$E,4,0),"")</f>
      </c>
      <c r="I1689" s="28">
        <f>IFERROR(VLOOKUP(F1689,CARTON_LOOKUP!$A:$E,5,0),"")</f>
      </c>
      <c r="J1689" s="29">
        <f>IFERROR(VLOOKUP(F1689,CARTON_LOOKUP!$A:$E,2,0),"")</f>
      </c>
      <c r="K1689" s="29">
        <f>IFERROR(J1689*D1689,0)</f>
      </c>
      <c r="L1689" s="29">
        <f>IFERROR(E1689*C1689,0)</f>
      </c>
      <c r="M1689" s="29">
        <f>IFERROR((G1689*H1689*I1689/1000000)*D1689,0)</f>
      </c>
    </row>
    <row r="1690" spans="1:13" x14ac:dyDescent="0.25">
      <c r="A1690" s="16"/>
      <c r="E1690" s="27"/>
      <c r="F1690" t="s">
        <v>26</v>
      </c>
      <c r="G1690" s="28">
        <f>IFERROR(VLOOKUP(F1690,CARTON_LOOKUP!$A:$E,3,0),"")</f>
      </c>
      <c r="H1690" s="28">
        <f>IFERROR(VLOOKUP(F1690,CARTON_LOOKUP!$A:$E,4,0),"")</f>
      </c>
      <c r="I1690" s="28">
        <f>IFERROR(VLOOKUP(F1690,CARTON_LOOKUP!$A:$E,5,0),"")</f>
      </c>
      <c r="J1690" s="29">
        <f>IFERROR(VLOOKUP(F1690,CARTON_LOOKUP!$A:$E,2,0),"")</f>
      </c>
      <c r="K1690" s="29">
        <f>IFERROR(J1690*D1690,0)</f>
      </c>
      <c r="L1690" s="29">
        <f>IFERROR(E1690*C1690,0)</f>
      </c>
      <c r="M1690" s="29">
        <f>IFERROR((G1690*H1690*I1690/1000000)*D1690,0)</f>
      </c>
    </row>
    <row r="1691" spans="1:13" x14ac:dyDescent="0.25">
      <c r="A1691" s="16"/>
      <c r="E1691" s="27"/>
      <c r="F1691" t="s">
        <v>26</v>
      </c>
      <c r="G1691" s="28">
        <f>IFERROR(VLOOKUP(F1691,CARTON_LOOKUP!$A:$E,3,0),"")</f>
      </c>
      <c r="H1691" s="28">
        <f>IFERROR(VLOOKUP(F1691,CARTON_LOOKUP!$A:$E,4,0),"")</f>
      </c>
      <c r="I1691" s="28">
        <f>IFERROR(VLOOKUP(F1691,CARTON_LOOKUP!$A:$E,5,0),"")</f>
      </c>
      <c r="J1691" s="29">
        <f>IFERROR(VLOOKUP(F1691,CARTON_LOOKUP!$A:$E,2,0),"")</f>
      </c>
      <c r="K1691" s="29">
        <f>IFERROR(J1691*D1691,0)</f>
      </c>
      <c r="L1691" s="29">
        <f>IFERROR(E1691*C1691,0)</f>
      </c>
      <c r="M1691" s="29">
        <f>IFERROR((G1691*H1691*I1691/1000000)*D1691,0)</f>
      </c>
    </row>
    <row r="1692" spans="1:13" x14ac:dyDescent="0.25">
      <c r="A1692" s="16"/>
      <c r="E1692" s="27"/>
      <c r="F1692" t="s">
        <v>26</v>
      </c>
      <c r="G1692" s="28">
        <f>IFERROR(VLOOKUP(F1692,CARTON_LOOKUP!$A:$E,3,0),"")</f>
      </c>
      <c r="H1692" s="28">
        <f>IFERROR(VLOOKUP(F1692,CARTON_LOOKUP!$A:$E,4,0),"")</f>
      </c>
      <c r="I1692" s="28">
        <f>IFERROR(VLOOKUP(F1692,CARTON_LOOKUP!$A:$E,5,0),"")</f>
      </c>
      <c r="J1692" s="29">
        <f>IFERROR(VLOOKUP(F1692,CARTON_LOOKUP!$A:$E,2,0),"")</f>
      </c>
      <c r="K1692" s="29">
        <f>IFERROR(J1692*D1692,0)</f>
      </c>
      <c r="L1692" s="29">
        <f>IFERROR(E1692*C1692,0)</f>
      </c>
      <c r="M1692" s="29">
        <f>IFERROR((G1692*H1692*I1692/1000000)*D1692,0)</f>
      </c>
    </row>
    <row r="1693" spans="1:13" x14ac:dyDescent="0.25">
      <c r="A1693" s="16"/>
      <c r="E1693" s="27"/>
      <c r="F1693" t="s">
        <v>26</v>
      </c>
      <c r="G1693" s="28">
        <f>IFERROR(VLOOKUP(F1693,CARTON_LOOKUP!$A:$E,3,0),"")</f>
      </c>
      <c r="H1693" s="28">
        <f>IFERROR(VLOOKUP(F1693,CARTON_LOOKUP!$A:$E,4,0),"")</f>
      </c>
      <c r="I1693" s="28">
        <f>IFERROR(VLOOKUP(F1693,CARTON_LOOKUP!$A:$E,5,0),"")</f>
      </c>
      <c r="J1693" s="29">
        <f>IFERROR(VLOOKUP(F1693,CARTON_LOOKUP!$A:$E,2,0),"")</f>
      </c>
      <c r="K1693" s="29">
        <f>IFERROR(J1693*D1693,0)</f>
      </c>
      <c r="L1693" s="29">
        <f>IFERROR(E1693*C1693,0)</f>
      </c>
      <c r="M1693" s="29">
        <f>IFERROR((G1693*H1693*I1693/1000000)*D1693,0)</f>
      </c>
    </row>
    <row r="1694" spans="1:13" x14ac:dyDescent="0.25">
      <c r="A1694" s="16"/>
      <c r="E1694" s="27"/>
      <c r="F1694" t="s">
        <v>26</v>
      </c>
      <c r="G1694" s="28">
        <f>IFERROR(VLOOKUP(F1694,CARTON_LOOKUP!$A:$E,3,0),"")</f>
      </c>
      <c r="H1694" s="28">
        <f>IFERROR(VLOOKUP(F1694,CARTON_LOOKUP!$A:$E,4,0),"")</f>
      </c>
      <c r="I1694" s="28">
        <f>IFERROR(VLOOKUP(F1694,CARTON_LOOKUP!$A:$E,5,0),"")</f>
      </c>
      <c r="J1694" s="29">
        <f>IFERROR(VLOOKUP(F1694,CARTON_LOOKUP!$A:$E,2,0),"")</f>
      </c>
      <c r="K1694" s="29">
        <f>IFERROR(J1694*D1694,0)</f>
      </c>
      <c r="L1694" s="29">
        <f>IFERROR(E1694*C1694,0)</f>
      </c>
      <c r="M1694" s="29">
        <f>IFERROR((G1694*H1694*I1694/1000000)*D1694,0)</f>
      </c>
    </row>
    <row r="1695" spans="1:13" x14ac:dyDescent="0.25">
      <c r="A1695" s="16"/>
      <c r="E1695" s="27"/>
      <c r="F1695" t="s">
        <v>26</v>
      </c>
      <c r="G1695" s="28">
        <f>IFERROR(VLOOKUP(F1695,CARTON_LOOKUP!$A:$E,3,0),"")</f>
      </c>
      <c r="H1695" s="28">
        <f>IFERROR(VLOOKUP(F1695,CARTON_LOOKUP!$A:$E,4,0),"")</f>
      </c>
      <c r="I1695" s="28">
        <f>IFERROR(VLOOKUP(F1695,CARTON_LOOKUP!$A:$E,5,0),"")</f>
      </c>
      <c r="J1695" s="29">
        <f>IFERROR(VLOOKUP(F1695,CARTON_LOOKUP!$A:$E,2,0),"")</f>
      </c>
      <c r="K1695" s="29">
        <f>IFERROR(J1695*D1695,0)</f>
      </c>
      <c r="L1695" s="29">
        <f>IFERROR(E1695*C1695,0)</f>
      </c>
      <c r="M1695" s="29">
        <f>IFERROR((G1695*H1695*I1695/1000000)*D1695,0)</f>
      </c>
    </row>
    <row r="1696" spans="1:13" x14ac:dyDescent="0.25">
      <c r="A1696" s="16"/>
      <c r="E1696" s="27"/>
      <c r="F1696" t="s">
        <v>26</v>
      </c>
      <c r="G1696" s="28">
        <f>IFERROR(VLOOKUP(F1696,CARTON_LOOKUP!$A:$E,3,0),"")</f>
      </c>
      <c r="H1696" s="28">
        <f>IFERROR(VLOOKUP(F1696,CARTON_LOOKUP!$A:$E,4,0),"")</f>
      </c>
      <c r="I1696" s="28">
        <f>IFERROR(VLOOKUP(F1696,CARTON_LOOKUP!$A:$E,5,0),"")</f>
      </c>
      <c r="J1696" s="29">
        <f>IFERROR(VLOOKUP(F1696,CARTON_LOOKUP!$A:$E,2,0),"")</f>
      </c>
      <c r="K1696" s="29">
        <f>IFERROR(J1696*D1696,0)</f>
      </c>
      <c r="L1696" s="29">
        <f>IFERROR(E1696*C1696,0)</f>
      </c>
      <c r="M1696" s="29">
        <f>IFERROR((G1696*H1696*I1696/1000000)*D1696,0)</f>
      </c>
    </row>
    <row r="1697" spans="1:13" x14ac:dyDescent="0.25">
      <c r="A1697" s="16"/>
      <c r="E1697" s="27"/>
      <c r="F1697" t="s">
        <v>26</v>
      </c>
      <c r="G1697" s="28">
        <f>IFERROR(VLOOKUP(F1697,CARTON_LOOKUP!$A:$E,3,0),"")</f>
      </c>
      <c r="H1697" s="28">
        <f>IFERROR(VLOOKUP(F1697,CARTON_LOOKUP!$A:$E,4,0),"")</f>
      </c>
      <c r="I1697" s="28">
        <f>IFERROR(VLOOKUP(F1697,CARTON_LOOKUP!$A:$E,5,0),"")</f>
      </c>
      <c r="J1697" s="29">
        <f>IFERROR(VLOOKUP(F1697,CARTON_LOOKUP!$A:$E,2,0),"")</f>
      </c>
      <c r="K1697" s="29">
        <f>IFERROR(J1697*D1697,0)</f>
      </c>
      <c r="L1697" s="29">
        <f>IFERROR(E1697*C1697,0)</f>
      </c>
      <c r="M1697" s="29">
        <f>IFERROR((G1697*H1697*I1697/1000000)*D1697,0)</f>
      </c>
    </row>
    <row r="1698" spans="1:13" x14ac:dyDescent="0.25">
      <c r="A1698" s="16"/>
      <c r="E1698" s="27"/>
      <c r="F1698" t="s">
        <v>26</v>
      </c>
      <c r="G1698" s="28">
        <f>IFERROR(VLOOKUP(F1698,CARTON_LOOKUP!$A:$E,3,0),"")</f>
      </c>
      <c r="H1698" s="28">
        <f>IFERROR(VLOOKUP(F1698,CARTON_LOOKUP!$A:$E,4,0),"")</f>
      </c>
      <c r="I1698" s="28">
        <f>IFERROR(VLOOKUP(F1698,CARTON_LOOKUP!$A:$E,5,0),"")</f>
      </c>
      <c r="J1698" s="29">
        <f>IFERROR(VLOOKUP(F1698,CARTON_LOOKUP!$A:$E,2,0),"")</f>
      </c>
      <c r="K1698" s="29">
        <f>IFERROR(J1698*D1698,0)</f>
      </c>
      <c r="L1698" s="29">
        <f>IFERROR(E1698*C1698,0)</f>
      </c>
      <c r="M1698" s="29">
        <f>IFERROR((G1698*H1698*I1698/1000000)*D1698,0)</f>
      </c>
    </row>
    <row r="1699" spans="1:13" x14ac:dyDescent="0.25">
      <c r="A1699" s="16"/>
      <c r="E1699" s="27"/>
      <c r="F1699" t="s">
        <v>26</v>
      </c>
      <c r="G1699" s="28">
        <f>IFERROR(VLOOKUP(F1699,CARTON_LOOKUP!$A:$E,3,0),"")</f>
      </c>
      <c r="H1699" s="28">
        <f>IFERROR(VLOOKUP(F1699,CARTON_LOOKUP!$A:$E,4,0),"")</f>
      </c>
      <c r="I1699" s="28">
        <f>IFERROR(VLOOKUP(F1699,CARTON_LOOKUP!$A:$E,5,0),"")</f>
      </c>
      <c r="J1699" s="29">
        <f>IFERROR(VLOOKUP(F1699,CARTON_LOOKUP!$A:$E,2,0),"")</f>
      </c>
      <c r="K1699" s="29">
        <f>IFERROR(J1699*D1699,0)</f>
      </c>
      <c r="L1699" s="29">
        <f>IFERROR(E1699*C1699,0)</f>
      </c>
      <c r="M1699" s="29">
        <f>IFERROR((G1699*H1699*I1699/1000000)*D1699,0)</f>
      </c>
    </row>
    <row r="1700" spans="1:13" x14ac:dyDescent="0.25">
      <c r="A1700" s="16"/>
      <c r="E1700" s="27"/>
      <c r="F1700" t="s">
        <v>26</v>
      </c>
      <c r="G1700" s="28">
        <f>IFERROR(VLOOKUP(F1700,CARTON_LOOKUP!$A:$E,3,0),"")</f>
      </c>
      <c r="H1700" s="28">
        <f>IFERROR(VLOOKUP(F1700,CARTON_LOOKUP!$A:$E,4,0),"")</f>
      </c>
      <c r="I1700" s="28">
        <f>IFERROR(VLOOKUP(F1700,CARTON_LOOKUP!$A:$E,5,0),"")</f>
      </c>
      <c r="J1700" s="29">
        <f>IFERROR(VLOOKUP(F1700,CARTON_LOOKUP!$A:$E,2,0),"")</f>
      </c>
      <c r="K1700" s="29">
        <f>IFERROR(J1700*D1700,0)</f>
      </c>
      <c r="L1700" s="29">
        <f>IFERROR(E1700*C1700,0)</f>
      </c>
      <c r="M1700" s="29">
        <f>IFERROR((G1700*H1700*I1700/1000000)*D1700,0)</f>
      </c>
    </row>
    <row r="1701" spans="1:13" x14ac:dyDescent="0.25">
      <c r="A1701" s="16"/>
      <c r="E1701" s="27"/>
      <c r="F1701" t="s">
        <v>26</v>
      </c>
      <c r="G1701" s="28">
        <f>IFERROR(VLOOKUP(F1701,CARTON_LOOKUP!$A:$E,3,0),"")</f>
      </c>
      <c r="H1701" s="28">
        <f>IFERROR(VLOOKUP(F1701,CARTON_LOOKUP!$A:$E,4,0),"")</f>
      </c>
      <c r="I1701" s="28">
        <f>IFERROR(VLOOKUP(F1701,CARTON_LOOKUP!$A:$E,5,0),"")</f>
      </c>
      <c r="J1701" s="29">
        <f>IFERROR(VLOOKUP(F1701,CARTON_LOOKUP!$A:$E,2,0),"")</f>
      </c>
      <c r="K1701" s="29">
        <f>IFERROR(J1701*D1701,0)</f>
      </c>
      <c r="L1701" s="29">
        <f>IFERROR(E1701*C1701,0)</f>
      </c>
      <c r="M1701" s="29">
        <f>IFERROR((G1701*H1701*I1701/1000000)*D1701,0)</f>
      </c>
    </row>
    <row r="1702" spans="1:13" x14ac:dyDescent="0.25">
      <c r="A1702" s="16"/>
      <c r="E1702" s="27"/>
      <c r="F1702" t="s">
        <v>26</v>
      </c>
      <c r="G1702" s="28">
        <f>IFERROR(VLOOKUP(F1702,CARTON_LOOKUP!$A:$E,3,0),"")</f>
      </c>
      <c r="H1702" s="28">
        <f>IFERROR(VLOOKUP(F1702,CARTON_LOOKUP!$A:$E,4,0),"")</f>
      </c>
      <c r="I1702" s="28">
        <f>IFERROR(VLOOKUP(F1702,CARTON_LOOKUP!$A:$E,5,0),"")</f>
      </c>
      <c r="J1702" s="29">
        <f>IFERROR(VLOOKUP(F1702,CARTON_LOOKUP!$A:$E,2,0),"")</f>
      </c>
      <c r="K1702" s="29">
        <f>IFERROR(J1702*D1702,0)</f>
      </c>
      <c r="L1702" s="29">
        <f>IFERROR(E1702*C1702,0)</f>
      </c>
      <c r="M1702" s="29">
        <f>IFERROR((G1702*H1702*I1702/1000000)*D1702,0)</f>
      </c>
    </row>
    <row r="1703" spans="1:13" x14ac:dyDescent="0.25">
      <c r="A1703" s="16"/>
      <c r="E1703" s="27"/>
      <c r="F1703" t="s">
        <v>26</v>
      </c>
      <c r="G1703" s="28">
        <f>IFERROR(VLOOKUP(F1703,CARTON_LOOKUP!$A:$E,3,0),"")</f>
      </c>
      <c r="H1703" s="28">
        <f>IFERROR(VLOOKUP(F1703,CARTON_LOOKUP!$A:$E,4,0),"")</f>
      </c>
      <c r="I1703" s="28">
        <f>IFERROR(VLOOKUP(F1703,CARTON_LOOKUP!$A:$E,5,0),"")</f>
      </c>
      <c r="J1703" s="29">
        <f>IFERROR(VLOOKUP(F1703,CARTON_LOOKUP!$A:$E,2,0),"")</f>
      </c>
      <c r="K1703" s="29">
        <f>IFERROR(J1703*D1703,0)</f>
      </c>
      <c r="L1703" s="29">
        <f>IFERROR(E1703*C1703,0)</f>
      </c>
      <c r="M1703" s="29">
        <f>IFERROR((G1703*H1703*I1703/1000000)*D1703,0)</f>
      </c>
    </row>
    <row r="1704" spans="1:13" x14ac:dyDescent="0.25">
      <c r="A1704" s="16"/>
      <c r="E1704" s="27"/>
      <c r="F1704" t="s">
        <v>26</v>
      </c>
      <c r="G1704" s="28">
        <f>IFERROR(VLOOKUP(F1704,CARTON_LOOKUP!$A:$E,3,0),"")</f>
      </c>
      <c r="H1704" s="28">
        <f>IFERROR(VLOOKUP(F1704,CARTON_LOOKUP!$A:$E,4,0),"")</f>
      </c>
      <c r="I1704" s="28">
        <f>IFERROR(VLOOKUP(F1704,CARTON_LOOKUP!$A:$E,5,0),"")</f>
      </c>
      <c r="J1704" s="29">
        <f>IFERROR(VLOOKUP(F1704,CARTON_LOOKUP!$A:$E,2,0),"")</f>
      </c>
      <c r="K1704" s="29">
        <f>IFERROR(J1704*D1704,0)</f>
      </c>
      <c r="L1704" s="29">
        <f>IFERROR(E1704*C1704,0)</f>
      </c>
      <c r="M1704" s="29">
        <f>IFERROR((G1704*H1704*I1704/1000000)*D1704,0)</f>
      </c>
    </row>
    <row r="1705" spans="1:13" x14ac:dyDescent="0.25">
      <c r="A1705" s="16"/>
      <c r="E1705" s="27"/>
      <c r="F1705" t="s">
        <v>26</v>
      </c>
      <c r="G1705" s="28">
        <f>IFERROR(VLOOKUP(F1705,CARTON_LOOKUP!$A:$E,3,0),"")</f>
      </c>
      <c r="H1705" s="28">
        <f>IFERROR(VLOOKUP(F1705,CARTON_LOOKUP!$A:$E,4,0),"")</f>
      </c>
      <c r="I1705" s="28">
        <f>IFERROR(VLOOKUP(F1705,CARTON_LOOKUP!$A:$E,5,0),"")</f>
      </c>
      <c r="J1705" s="29">
        <f>IFERROR(VLOOKUP(F1705,CARTON_LOOKUP!$A:$E,2,0),"")</f>
      </c>
      <c r="K1705" s="29">
        <f>IFERROR(J1705*D1705,0)</f>
      </c>
      <c r="L1705" s="29">
        <f>IFERROR(E1705*C1705,0)</f>
      </c>
      <c r="M1705" s="29">
        <f>IFERROR((G1705*H1705*I1705/1000000)*D1705,0)</f>
      </c>
    </row>
    <row r="1706" spans="1:13" x14ac:dyDescent="0.25">
      <c r="A1706" s="16"/>
      <c r="E1706" s="27"/>
      <c r="F1706" t="s">
        <v>26</v>
      </c>
      <c r="G1706" s="28">
        <f>IFERROR(VLOOKUP(F1706,CARTON_LOOKUP!$A:$E,3,0),"")</f>
      </c>
      <c r="H1706" s="28">
        <f>IFERROR(VLOOKUP(F1706,CARTON_LOOKUP!$A:$E,4,0),"")</f>
      </c>
      <c r="I1706" s="28">
        <f>IFERROR(VLOOKUP(F1706,CARTON_LOOKUP!$A:$E,5,0),"")</f>
      </c>
      <c r="J1706" s="29">
        <f>IFERROR(VLOOKUP(F1706,CARTON_LOOKUP!$A:$E,2,0),"")</f>
      </c>
      <c r="K1706" s="29">
        <f>IFERROR(J1706*D1706,0)</f>
      </c>
      <c r="L1706" s="29">
        <f>IFERROR(E1706*C1706,0)</f>
      </c>
      <c r="M1706" s="29">
        <f>IFERROR((G1706*H1706*I1706/1000000)*D1706,0)</f>
      </c>
    </row>
    <row r="1707" spans="1:13" x14ac:dyDescent="0.25">
      <c r="A1707" s="16"/>
      <c r="E1707" s="27"/>
      <c r="F1707" t="s">
        <v>26</v>
      </c>
      <c r="G1707" s="28">
        <f>IFERROR(VLOOKUP(F1707,CARTON_LOOKUP!$A:$E,3,0),"")</f>
      </c>
      <c r="H1707" s="28">
        <f>IFERROR(VLOOKUP(F1707,CARTON_LOOKUP!$A:$E,4,0),"")</f>
      </c>
      <c r="I1707" s="28">
        <f>IFERROR(VLOOKUP(F1707,CARTON_LOOKUP!$A:$E,5,0),"")</f>
      </c>
      <c r="J1707" s="29">
        <f>IFERROR(VLOOKUP(F1707,CARTON_LOOKUP!$A:$E,2,0),"")</f>
      </c>
      <c r="K1707" s="29">
        <f>IFERROR(J1707*D1707,0)</f>
      </c>
      <c r="L1707" s="29">
        <f>IFERROR(E1707*C1707,0)</f>
      </c>
      <c r="M1707" s="29">
        <f>IFERROR((G1707*H1707*I1707/1000000)*D1707,0)</f>
      </c>
    </row>
    <row r="1708" spans="1:13" x14ac:dyDescent="0.25">
      <c r="A1708" s="16"/>
      <c r="E1708" s="27"/>
      <c r="F1708" t="s">
        <v>26</v>
      </c>
      <c r="G1708" s="28">
        <f>IFERROR(VLOOKUP(F1708,CARTON_LOOKUP!$A:$E,3,0),"")</f>
      </c>
      <c r="H1708" s="28">
        <f>IFERROR(VLOOKUP(F1708,CARTON_LOOKUP!$A:$E,4,0),"")</f>
      </c>
      <c r="I1708" s="28">
        <f>IFERROR(VLOOKUP(F1708,CARTON_LOOKUP!$A:$E,5,0),"")</f>
      </c>
      <c r="J1708" s="29">
        <f>IFERROR(VLOOKUP(F1708,CARTON_LOOKUP!$A:$E,2,0),"")</f>
      </c>
      <c r="K1708" s="29">
        <f>IFERROR(J1708*D1708,0)</f>
      </c>
      <c r="L1708" s="29">
        <f>IFERROR(E1708*C1708,0)</f>
      </c>
      <c r="M1708" s="29">
        <f>IFERROR((G1708*H1708*I1708/1000000)*D1708,0)</f>
      </c>
    </row>
    <row r="1709" spans="1:13" x14ac:dyDescent="0.25">
      <c r="A1709" s="16"/>
      <c r="E1709" s="27"/>
      <c r="F1709" t="s">
        <v>26</v>
      </c>
      <c r="G1709" s="28">
        <f>IFERROR(VLOOKUP(F1709,CARTON_LOOKUP!$A:$E,3,0),"")</f>
      </c>
      <c r="H1709" s="28">
        <f>IFERROR(VLOOKUP(F1709,CARTON_LOOKUP!$A:$E,4,0),"")</f>
      </c>
      <c r="I1709" s="28">
        <f>IFERROR(VLOOKUP(F1709,CARTON_LOOKUP!$A:$E,5,0),"")</f>
      </c>
      <c r="J1709" s="29">
        <f>IFERROR(VLOOKUP(F1709,CARTON_LOOKUP!$A:$E,2,0),"")</f>
      </c>
      <c r="K1709" s="29">
        <f>IFERROR(J1709*D1709,0)</f>
      </c>
      <c r="L1709" s="29">
        <f>IFERROR(E1709*C1709,0)</f>
      </c>
      <c r="M1709" s="29">
        <f>IFERROR((G1709*H1709*I1709/1000000)*D1709,0)</f>
      </c>
    </row>
    <row r="1710" spans="1:13" x14ac:dyDescent="0.25">
      <c r="A1710" s="16"/>
      <c r="E1710" s="27"/>
      <c r="F1710" t="s">
        <v>26</v>
      </c>
      <c r="G1710" s="28">
        <f>IFERROR(VLOOKUP(F1710,CARTON_LOOKUP!$A:$E,3,0),"")</f>
      </c>
      <c r="H1710" s="28">
        <f>IFERROR(VLOOKUP(F1710,CARTON_LOOKUP!$A:$E,4,0),"")</f>
      </c>
      <c r="I1710" s="28">
        <f>IFERROR(VLOOKUP(F1710,CARTON_LOOKUP!$A:$E,5,0),"")</f>
      </c>
      <c r="J1710" s="29">
        <f>IFERROR(VLOOKUP(F1710,CARTON_LOOKUP!$A:$E,2,0),"")</f>
      </c>
      <c r="K1710" s="29">
        <f>IFERROR(J1710*D1710,0)</f>
      </c>
      <c r="L1710" s="29">
        <f>IFERROR(E1710*C1710,0)</f>
      </c>
      <c r="M1710" s="29">
        <f>IFERROR((G1710*H1710*I1710/1000000)*D1710,0)</f>
      </c>
    </row>
    <row r="1711" spans="1:13" x14ac:dyDescent="0.25">
      <c r="A1711" s="16"/>
      <c r="E1711" s="27"/>
      <c r="F1711" t="s">
        <v>26</v>
      </c>
      <c r="G1711" s="28">
        <f>IFERROR(VLOOKUP(F1711,CARTON_LOOKUP!$A:$E,3,0),"")</f>
      </c>
      <c r="H1711" s="28">
        <f>IFERROR(VLOOKUP(F1711,CARTON_LOOKUP!$A:$E,4,0),"")</f>
      </c>
      <c r="I1711" s="28">
        <f>IFERROR(VLOOKUP(F1711,CARTON_LOOKUP!$A:$E,5,0),"")</f>
      </c>
      <c r="J1711" s="29">
        <f>IFERROR(VLOOKUP(F1711,CARTON_LOOKUP!$A:$E,2,0),"")</f>
      </c>
      <c r="K1711" s="29">
        <f>IFERROR(J1711*D1711,0)</f>
      </c>
      <c r="L1711" s="29">
        <f>IFERROR(E1711*C1711,0)</f>
      </c>
      <c r="M1711" s="29">
        <f>IFERROR((G1711*H1711*I1711/1000000)*D1711,0)</f>
      </c>
    </row>
    <row r="1712" spans="1:13" x14ac:dyDescent="0.25">
      <c r="A1712" s="16"/>
      <c r="E1712" s="27"/>
      <c r="F1712" t="s">
        <v>26</v>
      </c>
      <c r="G1712" s="28">
        <f>IFERROR(VLOOKUP(F1712,CARTON_LOOKUP!$A:$E,3,0),"")</f>
      </c>
      <c r="H1712" s="28">
        <f>IFERROR(VLOOKUP(F1712,CARTON_LOOKUP!$A:$E,4,0),"")</f>
      </c>
      <c r="I1712" s="28">
        <f>IFERROR(VLOOKUP(F1712,CARTON_LOOKUP!$A:$E,5,0),"")</f>
      </c>
      <c r="J1712" s="29">
        <f>IFERROR(VLOOKUP(F1712,CARTON_LOOKUP!$A:$E,2,0),"")</f>
      </c>
      <c r="K1712" s="29">
        <f>IFERROR(J1712*D1712,0)</f>
      </c>
      <c r="L1712" s="29">
        <f>IFERROR(E1712*C1712,0)</f>
      </c>
      <c r="M1712" s="29">
        <f>IFERROR((G1712*H1712*I1712/1000000)*D1712,0)</f>
      </c>
    </row>
    <row r="1713" spans="1:13" x14ac:dyDescent="0.25">
      <c r="A1713" s="16"/>
      <c r="E1713" s="27"/>
      <c r="F1713" t="s">
        <v>26</v>
      </c>
      <c r="G1713" s="28">
        <f>IFERROR(VLOOKUP(F1713,CARTON_LOOKUP!$A:$E,3,0),"")</f>
      </c>
      <c r="H1713" s="28">
        <f>IFERROR(VLOOKUP(F1713,CARTON_LOOKUP!$A:$E,4,0),"")</f>
      </c>
      <c r="I1713" s="28">
        <f>IFERROR(VLOOKUP(F1713,CARTON_LOOKUP!$A:$E,5,0),"")</f>
      </c>
      <c r="J1713" s="29">
        <f>IFERROR(VLOOKUP(F1713,CARTON_LOOKUP!$A:$E,2,0),"")</f>
      </c>
      <c r="K1713" s="29">
        <f>IFERROR(J1713*D1713,0)</f>
      </c>
      <c r="L1713" s="29">
        <f>IFERROR(E1713*C1713,0)</f>
      </c>
      <c r="M1713" s="29">
        <f>IFERROR((G1713*H1713*I1713/1000000)*D1713,0)</f>
      </c>
    </row>
    <row r="1714" spans="1:13" x14ac:dyDescent="0.25">
      <c r="A1714" s="16"/>
      <c r="E1714" s="27"/>
      <c r="F1714" t="s">
        <v>26</v>
      </c>
      <c r="G1714" s="28">
        <f>IFERROR(VLOOKUP(F1714,CARTON_LOOKUP!$A:$E,3,0),"")</f>
      </c>
      <c r="H1714" s="28">
        <f>IFERROR(VLOOKUP(F1714,CARTON_LOOKUP!$A:$E,4,0),"")</f>
      </c>
      <c r="I1714" s="28">
        <f>IFERROR(VLOOKUP(F1714,CARTON_LOOKUP!$A:$E,5,0),"")</f>
      </c>
      <c r="J1714" s="29">
        <f>IFERROR(VLOOKUP(F1714,CARTON_LOOKUP!$A:$E,2,0),"")</f>
      </c>
      <c r="K1714" s="29">
        <f>IFERROR(J1714*D1714,0)</f>
      </c>
      <c r="L1714" s="29">
        <f>IFERROR(E1714*C1714,0)</f>
      </c>
      <c r="M1714" s="29">
        <f>IFERROR((G1714*H1714*I1714/1000000)*D1714,0)</f>
      </c>
    </row>
    <row r="1715" spans="1:13" x14ac:dyDescent="0.25">
      <c r="A1715" s="16"/>
      <c r="E1715" s="27"/>
      <c r="F1715" t="s">
        <v>26</v>
      </c>
      <c r="G1715" s="28">
        <f>IFERROR(VLOOKUP(F1715,CARTON_LOOKUP!$A:$E,3,0),"")</f>
      </c>
      <c r="H1715" s="28">
        <f>IFERROR(VLOOKUP(F1715,CARTON_LOOKUP!$A:$E,4,0),"")</f>
      </c>
      <c r="I1715" s="28">
        <f>IFERROR(VLOOKUP(F1715,CARTON_LOOKUP!$A:$E,5,0),"")</f>
      </c>
      <c r="J1715" s="29">
        <f>IFERROR(VLOOKUP(F1715,CARTON_LOOKUP!$A:$E,2,0),"")</f>
      </c>
      <c r="K1715" s="29">
        <f>IFERROR(J1715*D1715,0)</f>
      </c>
      <c r="L1715" s="29">
        <f>IFERROR(E1715*C1715,0)</f>
      </c>
      <c r="M1715" s="29">
        <f>IFERROR((G1715*H1715*I1715/1000000)*D1715,0)</f>
      </c>
    </row>
    <row r="1716" spans="1:13" x14ac:dyDescent="0.25">
      <c r="A1716" s="16"/>
      <c r="E1716" s="27"/>
      <c r="F1716" t="s">
        <v>26</v>
      </c>
      <c r="G1716" s="28">
        <f>IFERROR(VLOOKUP(F1716,CARTON_LOOKUP!$A:$E,3,0),"")</f>
      </c>
      <c r="H1716" s="28">
        <f>IFERROR(VLOOKUP(F1716,CARTON_LOOKUP!$A:$E,4,0),"")</f>
      </c>
      <c r="I1716" s="28">
        <f>IFERROR(VLOOKUP(F1716,CARTON_LOOKUP!$A:$E,5,0),"")</f>
      </c>
      <c r="J1716" s="29">
        <f>IFERROR(VLOOKUP(F1716,CARTON_LOOKUP!$A:$E,2,0),"")</f>
      </c>
      <c r="K1716" s="29">
        <f>IFERROR(J1716*D1716,0)</f>
      </c>
      <c r="L1716" s="29">
        <f>IFERROR(E1716*C1716,0)</f>
      </c>
      <c r="M1716" s="29">
        <f>IFERROR((G1716*H1716*I1716/1000000)*D1716,0)</f>
      </c>
    </row>
    <row r="1717" spans="1:13" x14ac:dyDescent="0.25">
      <c r="A1717" s="16"/>
      <c r="E1717" s="27"/>
      <c r="F1717" t="s">
        <v>26</v>
      </c>
      <c r="G1717" s="28">
        <f>IFERROR(VLOOKUP(F1717,CARTON_LOOKUP!$A:$E,3,0),"")</f>
      </c>
      <c r="H1717" s="28">
        <f>IFERROR(VLOOKUP(F1717,CARTON_LOOKUP!$A:$E,4,0),"")</f>
      </c>
      <c r="I1717" s="28">
        <f>IFERROR(VLOOKUP(F1717,CARTON_LOOKUP!$A:$E,5,0),"")</f>
      </c>
      <c r="J1717" s="29">
        <f>IFERROR(VLOOKUP(F1717,CARTON_LOOKUP!$A:$E,2,0),"")</f>
      </c>
      <c r="K1717" s="29">
        <f>IFERROR(J1717*D1717,0)</f>
      </c>
      <c r="L1717" s="29">
        <f>IFERROR(E1717*C1717,0)</f>
      </c>
      <c r="M1717" s="29">
        <f>IFERROR((G1717*H1717*I1717/1000000)*D1717,0)</f>
      </c>
    </row>
    <row r="1718" spans="1:13" x14ac:dyDescent="0.25">
      <c r="A1718" s="16"/>
      <c r="E1718" s="27"/>
      <c r="F1718" t="s">
        <v>26</v>
      </c>
      <c r="G1718" s="28">
        <f>IFERROR(VLOOKUP(F1718,CARTON_LOOKUP!$A:$E,3,0),"")</f>
      </c>
      <c r="H1718" s="28">
        <f>IFERROR(VLOOKUP(F1718,CARTON_LOOKUP!$A:$E,4,0),"")</f>
      </c>
      <c r="I1718" s="28">
        <f>IFERROR(VLOOKUP(F1718,CARTON_LOOKUP!$A:$E,5,0),"")</f>
      </c>
      <c r="J1718" s="29">
        <f>IFERROR(VLOOKUP(F1718,CARTON_LOOKUP!$A:$E,2,0),"")</f>
      </c>
      <c r="K1718" s="29">
        <f>IFERROR(J1718*D1718,0)</f>
      </c>
      <c r="L1718" s="29">
        <f>IFERROR(E1718*C1718,0)</f>
      </c>
      <c r="M1718" s="29">
        <f>IFERROR((G1718*H1718*I1718/1000000)*D1718,0)</f>
      </c>
    </row>
    <row r="1719" spans="1:13" x14ac:dyDescent="0.25">
      <c r="A1719" s="16"/>
      <c r="E1719" s="27"/>
      <c r="F1719" t="s">
        <v>26</v>
      </c>
      <c r="G1719" s="28">
        <f>IFERROR(VLOOKUP(F1719,CARTON_LOOKUP!$A:$E,3,0),"")</f>
      </c>
      <c r="H1719" s="28">
        <f>IFERROR(VLOOKUP(F1719,CARTON_LOOKUP!$A:$E,4,0),"")</f>
      </c>
      <c r="I1719" s="28">
        <f>IFERROR(VLOOKUP(F1719,CARTON_LOOKUP!$A:$E,5,0),"")</f>
      </c>
      <c r="J1719" s="29">
        <f>IFERROR(VLOOKUP(F1719,CARTON_LOOKUP!$A:$E,2,0),"")</f>
      </c>
      <c r="K1719" s="29">
        <f>IFERROR(J1719*D1719,0)</f>
      </c>
      <c r="L1719" s="29">
        <f>IFERROR(E1719*C1719,0)</f>
      </c>
      <c r="M1719" s="29">
        <f>IFERROR((G1719*H1719*I1719/1000000)*D1719,0)</f>
      </c>
    </row>
    <row r="1720" spans="1:13" x14ac:dyDescent="0.25">
      <c r="A1720" s="16"/>
      <c r="E1720" s="27"/>
      <c r="F1720" t="s">
        <v>26</v>
      </c>
      <c r="G1720" s="28">
        <f>IFERROR(VLOOKUP(F1720,CARTON_LOOKUP!$A:$E,3,0),"")</f>
      </c>
      <c r="H1720" s="28">
        <f>IFERROR(VLOOKUP(F1720,CARTON_LOOKUP!$A:$E,4,0),"")</f>
      </c>
      <c r="I1720" s="28">
        <f>IFERROR(VLOOKUP(F1720,CARTON_LOOKUP!$A:$E,5,0),"")</f>
      </c>
      <c r="J1720" s="29">
        <f>IFERROR(VLOOKUP(F1720,CARTON_LOOKUP!$A:$E,2,0),"")</f>
      </c>
      <c r="K1720" s="29">
        <f>IFERROR(J1720*D1720,0)</f>
      </c>
      <c r="L1720" s="29">
        <f>IFERROR(E1720*C1720,0)</f>
      </c>
      <c r="M1720" s="29">
        <f>IFERROR((G1720*H1720*I1720/1000000)*D1720,0)</f>
      </c>
    </row>
    <row r="1721" spans="1:13" x14ac:dyDescent="0.25">
      <c r="A1721" s="16"/>
      <c r="E1721" s="27"/>
      <c r="F1721" t="s">
        <v>26</v>
      </c>
      <c r="G1721" s="28">
        <f>IFERROR(VLOOKUP(F1721,CARTON_LOOKUP!$A:$E,3,0),"")</f>
      </c>
      <c r="H1721" s="28">
        <f>IFERROR(VLOOKUP(F1721,CARTON_LOOKUP!$A:$E,4,0),"")</f>
      </c>
      <c r="I1721" s="28">
        <f>IFERROR(VLOOKUP(F1721,CARTON_LOOKUP!$A:$E,5,0),"")</f>
      </c>
      <c r="J1721" s="29">
        <f>IFERROR(VLOOKUP(F1721,CARTON_LOOKUP!$A:$E,2,0),"")</f>
      </c>
      <c r="K1721" s="29">
        <f>IFERROR(J1721*D1721,0)</f>
      </c>
      <c r="L1721" s="29">
        <f>IFERROR(E1721*C1721,0)</f>
      </c>
      <c r="M1721" s="29">
        <f>IFERROR((G1721*H1721*I1721/1000000)*D1721,0)</f>
      </c>
    </row>
    <row r="1722" spans="1:13" x14ac:dyDescent="0.25">
      <c r="A1722" s="16"/>
      <c r="E1722" s="27"/>
      <c r="F1722" t="s">
        <v>26</v>
      </c>
      <c r="G1722" s="28">
        <f>IFERROR(VLOOKUP(F1722,CARTON_LOOKUP!$A:$E,3,0),"")</f>
      </c>
      <c r="H1722" s="28">
        <f>IFERROR(VLOOKUP(F1722,CARTON_LOOKUP!$A:$E,4,0),"")</f>
      </c>
      <c r="I1722" s="28">
        <f>IFERROR(VLOOKUP(F1722,CARTON_LOOKUP!$A:$E,5,0),"")</f>
      </c>
      <c r="J1722" s="29">
        <f>IFERROR(VLOOKUP(F1722,CARTON_LOOKUP!$A:$E,2,0),"")</f>
      </c>
      <c r="K1722" s="29">
        <f>IFERROR(J1722*D1722,0)</f>
      </c>
      <c r="L1722" s="29">
        <f>IFERROR(E1722*C1722,0)</f>
      </c>
      <c r="M1722" s="29">
        <f>IFERROR((G1722*H1722*I1722/1000000)*D1722,0)</f>
      </c>
    </row>
    <row r="1723" spans="1:13" x14ac:dyDescent="0.25">
      <c r="A1723" s="16"/>
      <c r="E1723" s="27"/>
      <c r="F1723" t="s">
        <v>26</v>
      </c>
      <c r="G1723" s="28">
        <f>IFERROR(VLOOKUP(F1723,CARTON_LOOKUP!$A:$E,3,0),"")</f>
      </c>
      <c r="H1723" s="28">
        <f>IFERROR(VLOOKUP(F1723,CARTON_LOOKUP!$A:$E,4,0),"")</f>
      </c>
      <c r="I1723" s="28">
        <f>IFERROR(VLOOKUP(F1723,CARTON_LOOKUP!$A:$E,5,0),"")</f>
      </c>
      <c r="J1723" s="29">
        <f>IFERROR(VLOOKUP(F1723,CARTON_LOOKUP!$A:$E,2,0),"")</f>
      </c>
      <c r="K1723" s="29">
        <f>IFERROR(J1723*D1723,0)</f>
      </c>
      <c r="L1723" s="29">
        <f>IFERROR(E1723*C1723,0)</f>
      </c>
      <c r="M1723" s="29">
        <f>IFERROR((G1723*H1723*I1723/1000000)*D1723,0)</f>
      </c>
    </row>
    <row r="1724" spans="1:13" x14ac:dyDescent="0.25">
      <c r="A1724" s="16"/>
      <c r="E1724" s="27"/>
      <c r="F1724" t="s">
        <v>26</v>
      </c>
      <c r="G1724" s="28">
        <f>IFERROR(VLOOKUP(F1724,CARTON_LOOKUP!$A:$E,3,0),"")</f>
      </c>
      <c r="H1724" s="28">
        <f>IFERROR(VLOOKUP(F1724,CARTON_LOOKUP!$A:$E,4,0),"")</f>
      </c>
      <c r="I1724" s="28">
        <f>IFERROR(VLOOKUP(F1724,CARTON_LOOKUP!$A:$E,5,0),"")</f>
      </c>
      <c r="J1724" s="29">
        <f>IFERROR(VLOOKUP(F1724,CARTON_LOOKUP!$A:$E,2,0),"")</f>
      </c>
      <c r="K1724" s="29">
        <f>IFERROR(J1724*D1724,0)</f>
      </c>
      <c r="L1724" s="29">
        <f>IFERROR(E1724*C1724,0)</f>
      </c>
      <c r="M1724" s="29">
        <f>IFERROR((G1724*H1724*I1724/1000000)*D1724,0)</f>
      </c>
    </row>
    <row r="1725" spans="1:13" x14ac:dyDescent="0.25">
      <c r="A1725" s="16"/>
      <c r="E1725" s="27"/>
      <c r="F1725" t="s">
        <v>26</v>
      </c>
      <c r="G1725" s="28">
        <f>IFERROR(VLOOKUP(F1725,CARTON_LOOKUP!$A:$E,3,0),"")</f>
      </c>
      <c r="H1725" s="28">
        <f>IFERROR(VLOOKUP(F1725,CARTON_LOOKUP!$A:$E,4,0),"")</f>
      </c>
      <c r="I1725" s="28">
        <f>IFERROR(VLOOKUP(F1725,CARTON_LOOKUP!$A:$E,5,0),"")</f>
      </c>
      <c r="J1725" s="29">
        <f>IFERROR(VLOOKUP(F1725,CARTON_LOOKUP!$A:$E,2,0),"")</f>
      </c>
      <c r="K1725" s="29">
        <f>IFERROR(J1725*D1725,0)</f>
      </c>
      <c r="L1725" s="29">
        <f>IFERROR(E1725*C1725,0)</f>
      </c>
      <c r="M1725" s="29">
        <f>IFERROR((G1725*H1725*I1725/1000000)*D1725,0)</f>
      </c>
    </row>
    <row r="1726" spans="1:13" x14ac:dyDescent="0.25">
      <c r="A1726" s="16"/>
      <c r="E1726" s="27"/>
      <c r="F1726" t="s">
        <v>26</v>
      </c>
      <c r="G1726" s="28">
        <f>IFERROR(VLOOKUP(F1726,CARTON_LOOKUP!$A:$E,3,0),"")</f>
      </c>
      <c r="H1726" s="28">
        <f>IFERROR(VLOOKUP(F1726,CARTON_LOOKUP!$A:$E,4,0),"")</f>
      </c>
      <c r="I1726" s="28">
        <f>IFERROR(VLOOKUP(F1726,CARTON_LOOKUP!$A:$E,5,0),"")</f>
      </c>
      <c r="J1726" s="29">
        <f>IFERROR(VLOOKUP(F1726,CARTON_LOOKUP!$A:$E,2,0),"")</f>
      </c>
      <c r="K1726" s="29">
        <f>IFERROR(J1726*D1726,0)</f>
      </c>
      <c r="L1726" s="29">
        <f>IFERROR(E1726*C1726,0)</f>
      </c>
      <c r="M1726" s="29">
        <f>IFERROR((G1726*H1726*I1726/1000000)*D1726,0)</f>
      </c>
    </row>
    <row r="1727" spans="1:13" x14ac:dyDescent="0.25">
      <c r="A1727" s="16"/>
      <c r="E1727" s="27"/>
      <c r="F1727" t="s">
        <v>26</v>
      </c>
      <c r="G1727" s="28">
        <f>IFERROR(VLOOKUP(F1727,CARTON_LOOKUP!$A:$E,3,0),"")</f>
      </c>
      <c r="H1727" s="28">
        <f>IFERROR(VLOOKUP(F1727,CARTON_LOOKUP!$A:$E,4,0),"")</f>
      </c>
      <c r="I1727" s="28">
        <f>IFERROR(VLOOKUP(F1727,CARTON_LOOKUP!$A:$E,5,0),"")</f>
      </c>
      <c r="J1727" s="29">
        <f>IFERROR(VLOOKUP(F1727,CARTON_LOOKUP!$A:$E,2,0),"")</f>
      </c>
      <c r="K1727" s="29">
        <f>IFERROR(J1727*D1727,0)</f>
      </c>
      <c r="L1727" s="29">
        <f>IFERROR(E1727*C1727,0)</f>
      </c>
      <c r="M1727" s="29">
        <f>IFERROR((G1727*H1727*I1727/1000000)*D1727,0)</f>
      </c>
    </row>
    <row r="1728" spans="1:13" x14ac:dyDescent="0.25">
      <c r="A1728" s="16"/>
      <c r="E1728" s="27"/>
      <c r="F1728" t="s">
        <v>26</v>
      </c>
      <c r="G1728" s="28">
        <f>IFERROR(VLOOKUP(F1728,CARTON_LOOKUP!$A:$E,3,0),"")</f>
      </c>
      <c r="H1728" s="28">
        <f>IFERROR(VLOOKUP(F1728,CARTON_LOOKUP!$A:$E,4,0),"")</f>
      </c>
      <c r="I1728" s="28">
        <f>IFERROR(VLOOKUP(F1728,CARTON_LOOKUP!$A:$E,5,0),"")</f>
      </c>
      <c r="J1728" s="29">
        <f>IFERROR(VLOOKUP(F1728,CARTON_LOOKUP!$A:$E,2,0),"")</f>
      </c>
      <c r="K1728" s="29">
        <f>IFERROR(J1728*D1728,0)</f>
      </c>
      <c r="L1728" s="29">
        <f>IFERROR(E1728*C1728,0)</f>
      </c>
      <c r="M1728" s="29">
        <f>IFERROR((G1728*H1728*I1728/1000000)*D1728,0)</f>
      </c>
    </row>
    <row r="1729" spans="1:13" x14ac:dyDescent="0.25">
      <c r="A1729" s="16"/>
      <c r="E1729" s="27"/>
      <c r="F1729" t="s">
        <v>26</v>
      </c>
      <c r="G1729" s="28">
        <f>IFERROR(VLOOKUP(F1729,CARTON_LOOKUP!$A:$E,3,0),"")</f>
      </c>
      <c r="H1729" s="28">
        <f>IFERROR(VLOOKUP(F1729,CARTON_LOOKUP!$A:$E,4,0),"")</f>
      </c>
      <c r="I1729" s="28">
        <f>IFERROR(VLOOKUP(F1729,CARTON_LOOKUP!$A:$E,5,0),"")</f>
      </c>
      <c r="J1729" s="29">
        <f>IFERROR(VLOOKUP(F1729,CARTON_LOOKUP!$A:$E,2,0),"")</f>
      </c>
      <c r="K1729" s="29">
        <f>IFERROR(J1729*D1729,0)</f>
      </c>
      <c r="L1729" s="29">
        <f>IFERROR(E1729*C1729,0)</f>
      </c>
      <c r="M1729" s="29">
        <f>IFERROR((G1729*H1729*I1729/1000000)*D1729,0)</f>
      </c>
    </row>
    <row r="1730" spans="1:13" x14ac:dyDescent="0.25">
      <c r="A1730" s="16"/>
      <c r="E1730" s="27"/>
      <c r="F1730" t="s">
        <v>26</v>
      </c>
      <c r="G1730" s="28">
        <f>IFERROR(VLOOKUP(F1730,CARTON_LOOKUP!$A:$E,3,0),"")</f>
      </c>
      <c r="H1730" s="28">
        <f>IFERROR(VLOOKUP(F1730,CARTON_LOOKUP!$A:$E,4,0),"")</f>
      </c>
      <c r="I1730" s="28">
        <f>IFERROR(VLOOKUP(F1730,CARTON_LOOKUP!$A:$E,5,0),"")</f>
      </c>
      <c r="J1730" s="29">
        <f>IFERROR(VLOOKUP(F1730,CARTON_LOOKUP!$A:$E,2,0),"")</f>
      </c>
      <c r="K1730" s="29">
        <f>IFERROR(J1730*D1730,0)</f>
      </c>
      <c r="L1730" s="29">
        <f>IFERROR(E1730*C1730,0)</f>
      </c>
      <c r="M1730" s="29">
        <f>IFERROR((G1730*H1730*I1730/1000000)*D1730,0)</f>
      </c>
    </row>
    <row r="1731" spans="1:13" x14ac:dyDescent="0.25">
      <c r="A1731" s="16"/>
      <c r="E1731" s="27"/>
      <c r="F1731" t="s">
        <v>26</v>
      </c>
      <c r="G1731" s="28">
        <f>IFERROR(VLOOKUP(F1731,CARTON_LOOKUP!$A:$E,3,0),"")</f>
      </c>
      <c r="H1731" s="28">
        <f>IFERROR(VLOOKUP(F1731,CARTON_LOOKUP!$A:$E,4,0),"")</f>
      </c>
      <c r="I1731" s="28">
        <f>IFERROR(VLOOKUP(F1731,CARTON_LOOKUP!$A:$E,5,0),"")</f>
      </c>
      <c r="J1731" s="29">
        <f>IFERROR(VLOOKUP(F1731,CARTON_LOOKUP!$A:$E,2,0),"")</f>
      </c>
      <c r="K1731" s="29">
        <f>IFERROR(J1731*D1731,0)</f>
      </c>
      <c r="L1731" s="29">
        <f>IFERROR(E1731*C1731,0)</f>
      </c>
      <c r="M1731" s="29">
        <f>IFERROR((G1731*H1731*I1731/1000000)*D1731,0)</f>
      </c>
    </row>
    <row r="1732" spans="1:13" x14ac:dyDescent="0.25">
      <c r="A1732" s="16"/>
      <c r="E1732" s="27"/>
      <c r="F1732" t="s">
        <v>26</v>
      </c>
      <c r="G1732" s="28">
        <f>IFERROR(VLOOKUP(F1732,CARTON_LOOKUP!$A:$E,3,0),"")</f>
      </c>
      <c r="H1732" s="28">
        <f>IFERROR(VLOOKUP(F1732,CARTON_LOOKUP!$A:$E,4,0),"")</f>
      </c>
      <c r="I1732" s="28">
        <f>IFERROR(VLOOKUP(F1732,CARTON_LOOKUP!$A:$E,5,0),"")</f>
      </c>
      <c r="J1732" s="29">
        <f>IFERROR(VLOOKUP(F1732,CARTON_LOOKUP!$A:$E,2,0),"")</f>
      </c>
      <c r="K1732" s="29">
        <f>IFERROR(J1732*D1732,0)</f>
      </c>
      <c r="L1732" s="29">
        <f>IFERROR(E1732*C1732,0)</f>
      </c>
      <c r="M1732" s="29">
        <f>IFERROR((G1732*H1732*I1732/1000000)*D1732,0)</f>
      </c>
    </row>
    <row r="1733" spans="1:13" x14ac:dyDescent="0.25">
      <c r="A1733" s="16"/>
      <c r="E1733" s="27"/>
      <c r="F1733" t="s">
        <v>26</v>
      </c>
      <c r="G1733" s="28">
        <f>IFERROR(VLOOKUP(F1733,CARTON_LOOKUP!$A:$E,3,0),"")</f>
      </c>
      <c r="H1733" s="28">
        <f>IFERROR(VLOOKUP(F1733,CARTON_LOOKUP!$A:$E,4,0),"")</f>
      </c>
      <c r="I1733" s="28">
        <f>IFERROR(VLOOKUP(F1733,CARTON_LOOKUP!$A:$E,5,0),"")</f>
      </c>
      <c r="J1733" s="29">
        <f>IFERROR(VLOOKUP(F1733,CARTON_LOOKUP!$A:$E,2,0),"")</f>
      </c>
      <c r="K1733" s="29">
        <f>IFERROR(J1733*D1733,0)</f>
      </c>
      <c r="L1733" s="29">
        <f>IFERROR(E1733*C1733,0)</f>
      </c>
      <c r="M1733" s="29">
        <f>IFERROR((G1733*H1733*I1733/1000000)*D1733,0)</f>
      </c>
    </row>
    <row r="1734" spans="1:13" x14ac:dyDescent="0.25">
      <c r="A1734" s="16"/>
      <c r="E1734" s="27"/>
      <c r="F1734" t="s">
        <v>26</v>
      </c>
      <c r="G1734" s="28">
        <f>IFERROR(VLOOKUP(F1734,CARTON_LOOKUP!$A:$E,3,0),"")</f>
      </c>
      <c r="H1734" s="28">
        <f>IFERROR(VLOOKUP(F1734,CARTON_LOOKUP!$A:$E,4,0),"")</f>
      </c>
      <c r="I1734" s="28">
        <f>IFERROR(VLOOKUP(F1734,CARTON_LOOKUP!$A:$E,5,0),"")</f>
      </c>
      <c r="J1734" s="29">
        <f>IFERROR(VLOOKUP(F1734,CARTON_LOOKUP!$A:$E,2,0),"")</f>
      </c>
      <c r="K1734" s="29">
        <f>IFERROR(J1734*D1734,0)</f>
      </c>
      <c r="L1734" s="29">
        <f>IFERROR(E1734*C1734,0)</f>
      </c>
      <c r="M1734" s="29">
        <f>IFERROR((G1734*H1734*I1734/1000000)*D1734,0)</f>
      </c>
    </row>
    <row r="1735" spans="1:13" x14ac:dyDescent="0.25">
      <c r="A1735" s="16"/>
      <c r="E1735" s="27"/>
      <c r="F1735" t="s">
        <v>26</v>
      </c>
      <c r="G1735" s="28">
        <f>IFERROR(VLOOKUP(F1735,CARTON_LOOKUP!$A:$E,3,0),"")</f>
      </c>
      <c r="H1735" s="28">
        <f>IFERROR(VLOOKUP(F1735,CARTON_LOOKUP!$A:$E,4,0),"")</f>
      </c>
      <c r="I1735" s="28">
        <f>IFERROR(VLOOKUP(F1735,CARTON_LOOKUP!$A:$E,5,0),"")</f>
      </c>
      <c r="J1735" s="29">
        <f>IFERROR(VLOOKUP(F1735,CARTON_LOOKUP!$A:$E,2,0),"")</f>
      </c>
      <c r="K1735" s="29">
        <f>IFERROR(J1735*D1735,0)</f>
      </c>
      <c r="L1735" s="29">
        <f>IFERROR(E1735*C1735,0)</f>
      </c>
      <c r="M1735" s="29">
        <f>IFERROR((G1735*H1735*I1735/1000000)*D1735,0)</f>
      </c>
    </row>
    <row r="1736" spans="1:13" x14ac:dyDescent="0.25">
      <c r="A1736" s="16"/>
      <c r="E1736" s="27"/>
      <c r="F1736" t="s">
        <v>26</v>
      </c>
      <c r="G1736" s="28">
        <f>IFERROR(VLOOKUP(F1736,CARTON_LOOKUP!$A:$E,3,0),"")</f>
      </c>
      <c r="H1736" s="28">
        <f>IFERROR(VLOOKUP(F1736,CARTON_LOOKUP!$A:$E,4,0),"")</f>
      </c>
      <c r="I1736" s="28">
        <f>IFERROR(VLOOKUP(F1736,CARTON_LOOKUP!$A:$E,5,0),"")</f>
      </c>
      <c r="J1736" s="29">
        <f>IFERROR(VLOOKUP(F1736,CARTON_LOOKUP!$A:$E,2,0),"")</f>
      </c>
      <c r="K1736" s="29">
        <f>IFERROR(J1736*D1736,0)</f>
      </c>
      <c r="L1736" s="29">
        <f>IFERROR(E1736*C1736,0)</f>
      </c>
      <c r="M1736" s="29">
        <f>IFERROR((G1736*H1736*I1736/1000000)*D1736,0)</f>
      </c>
    </row>
    <row r="1737" spans="1:13" x14ac:dyDescent="0.25">
      <c r="A1737" s="16"/>
      <c r="E1737" s="27"/>
      <c r="F1737" t="s">
        <v>26</v>
      </c>
      <c r="G1737" s="28">
        <f>IFERROR(VLOOKUP(F1737,CARTON_LOOKUP!$A:$E,3,0),"")</f>
      </c>
      <c r="H1737" s="28">
        <f>IFERROR(VLOOKUP(F1737,CARTON_LOOKUP!$A:$E,4,0),"")</f>
      </c>
      <c r="I1737" s="28">
        <f>IFERROR(VLOOKUP(F1737,CARTON_LOOKUP!$A:$E,5,0),"")</f>
      </c>
      <c r="J1737" s="29">
        <f>IFERROR(VLOOKUP(F1737,CARTON_LOOKUP!$A:$E,2,0),"")</f>
      </c>
      <c r="K1737" s="29">
        <f>IFERROR(J1737*D1737,0)</f>
      </c>
      <c r="L1737" s="29">
        <f>IFERROR(E1737*C1737,0)</f>
      </c>
      <c r="M1737" s="29">
        <f>IFERROR((G1737*H1737*I1737/1000000)*D1737,0)</f>
      </c>
    </row>
    <row r="1738" spans="1:13" x14ac:dyDescent="0.25">
      <c r="A1738" s="16"/>
      <c r="E1738" s="27"/>
      <c r="F1738" t="s">
        <v>26</v>
      </c>
      <c r="G1738" s="28">
        <f>IFERROR(VLOOKUP(F1738,CARTON_LOOKUP!$A:$E,3,0),"")</f>
      </c>
      <c r="H1738" s="28">
        <f>IFERROR(VLOOKUP(F1738,CARTON_LOOKUP!$A:$E,4,0),"")</f>
      </c>
      <c r="I1738" s="28">
        <f>IFERROR(VLOOKUP(F1738,CARTON_LOOKUP!$A:$E,5,0),"")</f>
      </c>
      <c r="J1738" s="29">
        <f>IFERROR(VLOOKUP(F1738,CARTON_LOOKUP!$A:$E,2,0),"")</f>
      </c>
      <c r="K1738" s="29">
        <f>IFERROR(J1738*D1738,0)</f>
      </c>
      <c r="L1738" s="29">
        <f>IFERROR(E1738*C1738,0)</f>
      </c>
      <c r="M1738" s="29">
        <f>IFERROR((G1738*H1738*I1738/1000000)*D1738,0)</f>
      </c>
    </row>
    <row r="1739" spans="1:13" x14ac:dyDescent="0.25">
      <c r="A1739" s="16"/>
      <c r="E1739" s="27"/>
      <c r="F1739" t="s">
        <v>26</v>
      </c>
      <c r="G1739" s="28">
        <f>IFERROR(VLOOKUP(F1739,CARTON_LOOKUP!$A:$E,3,0),"")</f>
      </c>
      <c r="H1739" s="28">
        <f>IFERROR(VLOOKUP(F1739,CARTON_LOOKUP!$A:$E,4,0),"")</f>
      </c>
      <c r="I1739" s="28">
        <f>IFERROR(VLOOKUP(F1739,CARTON_LOOKUP!$A:$E,5,0),"")</f>
      </c>
      <c r="J1739" s="29">
        <f>IFERROR(VLOOKUP(F1739,CARTON_LOOKUP!$A:$E,2,0),"")</f>
      </c>
      <c r="K1739" s="29">
        <f>IFERROR(J1739*D1739,0)</f>
      </c>
      <c r="L1739" s="29">
        <f>IFERROR(E1739*C1739,0)</f>
      </c>
      <c r="M1739" s="29">
        <f>IFERROR((G1739*H1739*I1739/1000000)*D1739,0)</f>
      </c>
    </row>
    <row r="1740" spans="1:13" x14ac:dyDescent="0.25">
      <c r="A1740" s="16"/>
      <c r="E1740" s="27"/>
      <c r="F1740" t="s">
        <v>26</v>
      </c>
      <c r="G1740" s="28">
        <f>IFERROR(VLOOKUP(F1740,CARTON_LOOKUP!$A:$E,3,0),"")</f>
      </c>
      <c r="H1740" s="28">
        <f>IFERROR(VLOOKUP(F1740,CARTON_LOOKUP!$A:$E,4,0),"")</f>
      </c>
      <c r="I1740" s="28">
        <f>IFERROR(VLOOKUP(F1740,CARTON_LOOKUP!$A:$E,5,0),"")</f>
      </c>
      <c r="J1740" s="29">
        <f>IFERROR(VLOOKUP(F1740,CARTON_LOOKUP!$A:$E,2,0),"")</f>
      </c>
      <c r="K1740" s="29">
        <f>IFERROR(J1740*D1740,0)</f>
      </c>
      <c r="L1740" s="29">
        <f>IFERROR(E1740*C1740,0)</f>
      </c>
      <c r="M1740" s="29">
        <f>IFERROR((G1740*H1740*I1740/1000000)*D1740,0)</f>
      </c>
    </row>
    <row r="1741" spans="1:13" x14ac:dyDescent="0.25">
      <c r="A1741" s="16"/>
      <c r="E1741" s="27"/>
      <c r="F1741" t="s">
        <v>26</v>
      </c>
      <c r="G1741" s="28">
        <f>IFERROR(VLOOKUP(F1741,CARTON_LOOKUP!$A:$E,3,0),"")</f>
      </c>
      <c r="H1741" s="28">
        <f>IFERROR(VLOOKUP(F1741,CARTON_LOOKUP!$A:$E,4,0),"")</f>
      </c>
      <c r="I1741" s="28">
        <f>IFERROR(VLOOKUP(F1741,CARTON_LOOKUP!$A:$E,5,0),"")</f>
      </c>
      <c r="J1741" s="29">
        <f>IFERROR(VLOOKUP(F1741,CARTON_LOOKUP!$A:$E,2,0),"")</f>
      </c>
      <c r="K1741" s="29">
        <f>IFERROR(J1741*D1741,0)</f>
      </c>
      <c r="L1741" s="29">
        <f>IFERROR(E1741*C1741,0)</f>
      </c>
      <c r="M1741" s="29">
        <f>IFERROR((G1741*H1741*I1741/1000000)*D1741,0)</f>
      </c>
    </row>
    <row r="1742" spans="1:13" x14ac:dyDescent="0.25">
      <c r="A1742" s="16"/>
      <c r="E1742" s="27"/>
      <c r="F1742" t="s">
        <v>26</v>
      </c>
      <c r="G1742" s="28">
        <f>IFERROR(VLOOKUP(F1742,CARTON_LOOKUP!$A:$E,3,0),"")</f>
      </c>
      <c r="H1742" s="28">
        <f>IFERROR(VLOOKUP(F1742,CARTON_LOOKUP!$A:$E,4,0),"")</f>
      </c>
      <c r="I1742" s="28">
        <f>IFERROR(VLOOKUP(F1742,CARTON_LOOKUP!$A:$E,5,0),"")</f>
      </c>
      <c r="J1742" s="29">
        <f>IFERROR(VLOOKUP(F1742,CARTON_LOOKUP!$A:$E,2,0),"")</f>
      </c>
      <c r="K1742" s="29">
        <f>IFERROR(J1742*D1742,0)</f>
      </c>
      <c r="L1742" s="29">
        <f>IFERROR(E1742*C1742,0)</f>
      </c>
      <c r="M1742" s="29">
        <f>IFERROR((G1742*H1742*I1742/1000000)*D1742,0)</f>
      </c>
    </row>
    <row r="1743" spans="1:13" x14ac:dyDescent="0.25">
      <c r="A1743" s="16"/>
      <c r="E1743" s="27"/>
      <c r="F1743" t="s">
        <v>26</v>
      </c>
      <c r="G1743" s="28">
        <f>IFERROR(VLOOKUP(F1743,CARTON_LOOKUP!$A:$E,3,0),"")</f>
      </c>
      <c r="H1743" s="28">
        <f>IFERROR(VLOOKUP(F1743,CARTON_LOOKUP!$A:$E,4,0),"")</f>
      </c>
      <c r="I1743" s="28">
        <f>IFERROR(VLOOKUP(F1743,CARTON_LOOKUP!$A:$E,5,0),"")</f>
      </c>
      <c r="J1743" s="29">
        <f>IFERROR(VLOOKUP(F1743,CARTON_LOOKUP!$A:$E,2,0),"")</f>
      </c>
      <c r="K1743" s="29">
        <f>IFERROR(J1743*D1743,0)</f>
      </c>
      <c r="L1743" s="29">
        <f>IFERROR(E1743*C1743,0)</f>
      </c>
      <c r="M1743" s="29">
        <f>IFERROR((G1743*H1743*I1743/1000000)*D1743,0)</f>
      </c>
    </row>
    <row r="1744" spans="1:13" x14ac:dyDescent="0.25">
      <c r="A1744" s="16"/>
      <c r="E1744" s="27"/>
      <c r="F1744" t="s">
        <v>26</v>
      </c>
      <c r="G1744" s="28">
        <f>IFERROR(VLOOKUP(F1744,CARTON_LOOKUP!$A:$E,3,0),"")</f>
      </c>
      <c r="H1744" s="28">
        <f>IFERROR(VLOOKUP(F1744,CARTON_LOOKUP!$A:$E,4,0),"")</f>
      </c>
      <c r="I1744" s="28">
        <f>IFERROR(VLOOKUP(F1744,CARTON_LOOKUP!$A:$E,5,0),"")</f>
      </c>
      <c r="J1744" s="29">
        <f>IFERROR(VLOOKUP(F1744,CARTON_LOOKUP!$A:$E,2,0),"")</f>
      </c>
      <c r="K1744" s="29">
        <f>IFERROR(J1744*D1744,0)</f>
      </c>
      <c r="L1744" s="29">
        <f>IFERROR(E1744*C1744,0)</f>
      </c>
      <c r="M1744" s="29">
        <f>IFERROR((G1744*H1744*I1744/1000000)*D1744,0)</f>
      </c>
    </row>
    <row r="1745" spans="1:13" x14ac:dyDescent="0.25">
      <c r="A1745" s="16"/>
      <c r="E1745" s="27"/>
      <c r="F1745" t="s">
        <v>26</v>
      </c>
      <c r="G1745" s="28">
        <f>IFERROR(VLOOKUP(F1745,CARTON_LOOKUP!$A:$E,3,0),"")</f>
      </c>
      <c r="H1745" s="28">
        <f>IFERROR(VLOOKUP(F1745,CARTON_LOOKUP!$A:$E,4,0),"")</f>
      </c>
      <c r="I1745" s="28">
        <f>IFERROR(VLOOKUP(F1745,CARTON_LOOKUP!$A:$E,5,0),"")</f>
      </c>
      <c r="J1745" s="29">
        <f>IFERROR(VLOOKUP(F1745,CARTON_LOOKUP!$A:$E,2,0),"")</f>
      </c>
      <c r="K1745" s="29">
        <f>IFERROR(J1745*D1745,0)</f>
      </c>
      <c r="L1745" s="29">
        <f>IFERROR(E1745*C1745,0)</f>
      </c>
      <c r="M1745" s="29">
        <f>IFERROR((G1745*H1745*I1745/1000000)*D1745,0)</f>
      </c>
    </row>
    <row r="1746" spans="1:13" x14ac:dyDescent="0.25">
      <c r="A1746" s="16"/>
      <c r="E1746" s="27"/>
      <c r="F1746" t="s">
        <v>26</v>
      </c>
      <c r="G1746" s="28">
        <f>IFERROR(VLOOKUP(F1746,CARTON_LOOKUP!$A:$E,3,0),"")</f>
      </c>
      <c r="H1746" s="28">
        <f>IFERROR(VLOOKUP(F1746,CARTON_LOOKUP!$A:$E,4,0),"")</f>
      </c>
      <c r="I1746" s="28">
        <f>IFERROR(VLOOKUP(F1746,CARTON_LOOKUP!$A:$E,5,0),"")</f>
      </c>
      <c r="J1746" s="29">
        <f>IFERROR(VLOOKUP(F1746,CARTON_LOOKUP!$A:$E,2,0),"")</f>
      </c>
      <c r="K1746" s="29">
        <f>IFERROR(J1746*D1746,0)</f>
      </c>
      <c r="L1746" s="29">
        <f>IFERROR(E1746*C1746,0)</f>
      </c>
      <c r="M1746" s="29">
        <f>IFERROR((G1746*H1746*I1746/1000000)*D1746,0)</f>
      </c>
    </row>
    <row r="1747" spans="1:13" x14ac:dyDescent="0.25">
      <c r="A1747" s="16"/>
      <c r="E1747" s="27"/>
      <c r="F1747" t="s">
        <v>26</v>
      </c>
      <c r="G1747" s="28">
        <f>IFERROR(VLOOKUP(F1747,CARTON_LOOKUP!$A:$E,3,0),"")</f>
      </c>
      <c r="H1747" s="28">
        <f>IFERROR(VLOOKUP(F1747,CARTON_LOOKUP!$A:$E,4,0),"")</f>
      </c>
      <c r="I1747" s="28">
        <f>IFERROR(VLOOKUP(F1747,CARTON_LOOKUP!$A:$E,5,0),"")</f>
      </c>
      <c r="J1747" s="29">
        <f>IFERROR(VLOOKUP(F1747,CARTON_LOOKUP!$A:$E,2,0),"")</f>
      </c>
      <c r="K1747" s="29">
        <f>IFERROR(J1747*D1747,0)</f>
      </c>
      <c r="L1747" s="29">
        <f>IFERROR(E1747*C1747,0)</f>
      </c>
      <c r="M1747" s="29">
        <f>IFERROR((G1747*H1747*I1747/1000000)*D1747,0)</f>
      </c>
    </row>
    <row r="1748" spans="1:13" x14ac:dyDescent="0.25">
      <c r="A1748" s="16"/>
      <c r="E1748" s="27"/>
      <c r="F1748" t="s">
        <v>26</v>
      </c>
      <c r="G1748" s="28">
        <f>IFERROR(VLOOKUP(F1748,CARTON_LOOKUP!$A:$E,3,0),"")</f>
      </c>
      <c r="H1748" s="28">
        <f>IFERROR(VLOOKUP(F1748,CARTON_LOOKUP!$A:$E,4,0),"")</f>
      </c>
      <c r="I1748" s="28">
        <f>IFERROR(VLOOKUP(F1748,CARTON_LOOKUP!$A:$E,5,0),"")</f>
      </c>
      <c r="J1748" s="29">
        <f>IFERROR(VLOOKUP(F1748,CARTON_LOOKUP!$A:$E,2,0),"")</f>
      </c>
      <c r="K1748" s="29">
        <f>IFERROR(J1748*D1748,0)</f>
      </c>
      <c r="L1748" s="29">
        <f>IFERROR(E1748*C1748,0)</f>
      </c>
      <c r="M1748" s="29">
        <f>IFERROR((G1748*H1748*I1748/1000000)*D1748,0)</f>
      </c>
    </row>
    <row r="1749" spans="1:13" x14ac:dyDescent="0.25">
      <c r="A1749" s="16"/>
      <c r="E1749" s="27"/>
      <c r="F1749" t="s">
        <v>26</v>
      </c>
      <c r="G1749" s="28">
        <f>IFERROR(VLOOKUP(F1749,CARTON_LOOKUP!$A:$E,3,0),"")</f>
      </c>
      <c r="H1749" s="28">
        <f>IFERROR(VLOOKUP(F1749,CARTON_LOOKUP!$A:$E,4,0),"")</f>
      </c>
      <c r="I1749" s="28">
        <f>IFERROR(VLOOKUP(F1749,CARTON_LOOKUP!$A:$E,5,0),"")</f>
      </c>
      <c r="J1749" s="29">
        <f>IFERROR(VLOOKUP(F1749,CARTON_LOOKUP!$A:$E,2,0),"")</f>
      </c>
      <c r="K1749" s="29">
        <f>IFERROR(J1749*D1749,0)</f>
      </c>
      <c r="L1749" s="29">
        <f>IFERROR(E1749*C1749,0)</f>
      </c>
      <c r="M1749" s="29">
        <f>IFERROR((G1749*H1749*I1749/1000000)*D1749,0)</f>
      </c>
    </row>
    <row r="1750" spans="1:13" x14ac:dyDescent="0.25">
      <c r="A1750" s="16"/>
      <c r="E1750" s="27"/>
      <c r="F1750" t="s">
        <v>26</v>
      </c>
      <c r="G1750" s="28">
        <f>IFERROR(VLOOKUP(F1750,CARTON_LOOKUP!$A:$E,3,0),"")</f>
      </c>
      <c r="H1750" s="28">
        <f>IFERROR(VLOOKUP(F1750,CARTON_LOOKUP!$A:$E,4,0),"")</f>
      </c>
      <c r="I1750" s="28">
        <f>IFERROR(VLOOKUP(F1750,CARTON_LOOKUP!$A:$E,5,0),"")</f>
      </c>
      <c r="J1750" s="29">
        <f>IFERROR(VLOOKUP(F1750,CARTON_LOOKUP!$A:$E,2,0),"")</f>
      </c>
      <c r="K1750" s="29">
        <f>IFERROR(J1750*D1750,0)</f>
      </c>
      <c r="L1750" s="29">
        <f>IFERROR(E1750*C1750,0)</f>
      </c>
      <c r="M1750" s="29">
        <f>IFERROR((G1750*H1750*I1750/1000000)*D1750,0)</f>
      </c>
    </row>
    <row r="1751" spans="1:13" x14ac:dyDescent="0.25">
      <c r="A1751" s="16"/>
      <c r="E1751" s="27"/>
      <c r="F1751" t="s">
        <v>26</v>
      </c>
      <c r="G1751" s="28">
        <f>IFERROR(VLOOKUP(F1751,CARTON_LOOKUP!$A:$E,3,0),"")</f>
      </c>
      <c r="H1751" s="28">
        <f>IFERROR(VLOOKUP(F1751,CARTON_LOOKUP!$A:$E,4,0),"")</f>
      </c>
      <c r="I1751" s="28">
        <f>IFERROR(VLOOKUP(F1751,CARTON_LOOKUP!$A:$E,5,0),"")</f>
      </c>
      <c r="J1751" s="29">
        <f>IFERROR(VLOOKUP(F1751,CARTON_LOOKUP!$A:$E,2,0),"")</f>
      </c>
      <c r="K1751" s="29">
        <f>IFERROR(J1751*D1751,0)</f>
      </c>
      <c r="L1751" s="29">
        <f>IFERROR(E1751*C1751,0)</f>
      </c>
      <c r="M1751" s="29">
        <f>IFERROR((G1751*H1751*I1751/1000000)*D1751,0)</f>
      </c>
    </row>
    <row r="1752" spans="1:13" x14ac:dyDescent="0.25">
      <c r="A1752" s="16"/>
      <c r="E1752" s="27"/>
      <c r="F1752" t="s">
        <v>26</v>
      </c>
      <c r="G1752" s="28">
        <f>IFERROR(VLOOKUP(F1752,CARTON_LOOKUP!$A:$E,3,0),"")</f>
      </c>
      <c r="H1752" s="28">
        <f>IFERROR(VLOOKUP(F1752,CARTON_LOOKUP!$A:$E,4,0),"")</f>
      </c>
      <c r="I1752" s="28">
        <f>IFERROR(VLOOKUP(F1752,CARTON_LOOKUP!$A:$E,5,0),"")</f>
      </c>
      <c r="J1752" s="29">
        <f>IFERROR(VLOOKUP(F1752,CARTON_LOOKUP!$A:$E,2,0),"")</f>
      </c>
      <c r="K1752" s="29">
        <f>IFERROR(J1752*D1752,0)</f>
      </c>
      <c r="L1752" s="29">
        <f>IFERROR(E1752*C1752,0)</f>
      </c>
      <c r="M1752" s="29">
        <f>IFERROR((G1752*H1752*I1752/1000000)*D1752,0)</f>
      </c>
    </row>
    <row r="1753" spans="1:13" x14ac:dyDescent="0.25">
      <c r="A1753" s="16"/>
      <c r="E1753" s="27"/>
      <c r="F1753" t="s">
        <v>26</v>
      </c>
      <c r="G1753" s="28">
        <f>IFERROR(VLOOKUP(F1753,CARTON_LOOKUP!$A:$E,3,0),"")</f>
      </c>
      <c r="H1753" s="28">
        <f>IFERROR(VLOOKUP(F1753,CARTON_LOOKUP!$A:$E,4,0),"")</f>
      </c>
      <c r="I1753" s="28">
        <f>IFERROR(VLOOKUP(F1753,CARTON_LOOKUP!$A:$E,5,0),"")</f>
      </c>
      <c r="J1753" s="29">
        <f>IFERROR(VLOOKUP(F1753,CARTON_LOOKUP!$A:$E,2,0),"")</f>
      </c>
      <c r="K1753" s="29">
        <f>IFERROR(J1753*D1753,0)</f>
      </c>
      <c r="L1753" s="29">
        <f>IFERROR(E1753*C1753,0)</f>
      </c>
      <c r="M1753" s="29">
        <f>IFERROR((G1753*H1753*I1753/1000000)*D1753,0)</f>
      </c>
    </row>
    <row r="1754" spans="1:13" x14ac:dyDescent="0.25">
      <c r="A1754" s="16"/>
      <c r="E1754" s="27"/>
      <c r="F1754" t="s">
        <v>26</v>
      </c>
      <c r="G1754" s="28">
        <f>IFERROR(VLOOKUP(F1754,CARTON_LOOKUP!$A:$E,3,0),"")</f>
      </c>
      <c r="H1754" s="28">
        <f>IFERROR(VLOOKUP(F1754,CARTON_LOOKUP!$A:$E,4,0),"")</f>
      </c>
      <c r="I1754" s="28">
        <f>IFERROR(VLOOKUP(F1754,CARTON_LOOKUP!$A:$E,5,0),"")</f>
      </c>
      <c r="J1754" s="29">
        <f>IFERROR(VLOOKUP(F1754,CARTON_LOOKUP!$A:$E,2,0),"")</f>
      </c>
      <c r="K1754" s="29">
        <f>IFERROR(J1754*D1754,0)</f>
      </c>
      <c r="L1754" s="29">
        <f>IFERROR(E1754*C1754,0)</f>
      </c>
      <c r="M1754" s="29">
        <f>IFERROR((G1754*H1754*I1754/1000000)*D1754,0)</f>
      </c>
    </row>
    <row r="1755" spans="1:13" x14ac:dyDescent="0.25">
      <c r="A1755" s="16"/>
      <c r="E1755" s="27"/>
      <c r="F1755" t="s">
        <v>26</v>
      </c>
      <c r="G1755" s="28">
        <f>IFERROR(VLOOKUP(F1755,CARTON_LOOKUP!$A:$E,3,0),"")</f>
      </c>
      <c r="H1755" s="28">
        <f>IFERROR(VLOOKUP(F1755,CARTON_LOOKUP!$A:$E,4,0),"")</f>
      </c>
      <c r="I1755" s="28">
        <f>IFERROR(VLOOKUP(F1755,CARTON_LOOKUP!$A:$E,5,0),"")</f>
      </c>
      <c r="J1755" s="29">
        <f>IFERROR(VLOOKUP(F1755,CARTON_LOOKUP!$A:$E,2,0),"")</f>
      </c>
      <c r="K1755" s="29">
        <f>IFERROR(J1755*D1755,0)</f>
      </c>
      <c r="L1755" s="29">
        <f>IFERROR(E1755*C1755,0)</f>
      </c>
      <c r="M1755" s="29">
        <f>IFERROR((G1755*H1755*I1755/1000000)*D1755,0)</f>
      </c>
    </row>
    <row r="1756" spans="1:13" x14ac:dyDescent="0.25">
      <c r="A1756" s="16"/>
      <c r="E1756" s="27"/>
      <c r="F1756" t="s">
        <v>26</v>
      </c>
      <c r="G1756" s="28">
        <f>IFERROR(VLOOKUP(F1756,CARTON_LOOKUP!$A:$E,3,0),"")</f>
      </c>
      <c r="H1756" s="28">
        <f>IFERROR(VLOOKUP(F1756,CARTON_LOOKUP!$A:$E,4,0),"")</f>
      </c>
      <c r="I1756" s="28">
        <f>IFERROR(VLOOKUP(F1756,CARTON_LOOKUP!$A:$E,5,0),"")</f>
      </c>
      <c r="J1756" s="29">
        <f>IFERROR(VLOOKUP(F1756,CARTON_LOOKUP!$A:$E,2,0),"")</f>
      </c>
      <c r="K1756" s="29">
        <f>IFERROR(J1756*D1756,0)</f>
      </c>
      <c r="L1756" s="29">
        <f>IFERROR(E1756*C1756,0)</f>
      </c>
      <c r="M1756" s="29">
        <f>IFERROR((G1756*H1756*I1756/1000000)*D1756,0)</f>
      </c>
    </row>
    <row r="1757" spans="1:13" x14ac:dyDescent="0.25">
      <c r="A1757" s="16"/>
      <c r="E1757" s="27"/>
      <c r="F1757" t="s">
        <v>26</v>
      </c>
      <c r="G1757" s="28">
        <f>IFERROR(VLOOKUP(F1757,CARTON_LOOKUP!$A:$E,3,0),"")</f>
      </c>
      <c r="H1757" s="28">
        <f>IFERROR(VLOOKUP(F1757,CARTON_LOOKUP!$A:$E,4,0),"")</f>
      </c>
      <c r="I1757" s="28">
        <f>IFERROR(VLOOKUP(F1757,CARTON_LOOKUP!$A:$E,5,0),"")</f>
      </c>
      <c r="J1757" s="29">
        <f>IFERROR(VLOOKUP(F1757,CARTON_LOOKUP!$A:$E,2,0),"")</f>
      </c>
      <c r="K1757" s="29">
        <f>IFERROR(J1757*D1757,0)</f>
      </c>
      <c r="L1757" s="29">
        <f>IFERROR(E1757*C1757,0)</f>
      </c>
      <c r="M1757" s="29">
        <f>IFERROR((G1757*H1757*I1757/1000000)*D1757,0)</f>
      </c>
    </row>
    <row r="1758" spans="1:13" x14ac:dyDescent="0.25">
      <c r="A1758" s="16"/>
      <c r="E1758" s="27"/>
      <c r="F1758" t="s">
        <v>26</v>
      </c>
      <c r="G1758" s="28">
        <f>IFERROR(VLOOKUP(F1758,CARTON_LOOKUP!$A:$E,3,0),"")</f>
      </c>
      <c r="H1758" s="28">
        <f>IFERROR(VLOOKUP(F1758,CARTON_LOOKUP!$A:$E,4,0),"")</f>
      </c>
      <c r="I1758" s="28">
        <f>IFERROR(VLOOKUP(F1758,CARTON_LOOKUP!$A:$E,5,0),"")</f>
      </c>
      <c r="J1758" s="29">
        <f>IFERROR(VLOOKUP(F1758,CARTON_LOOKUP!$A:$E,2,0),"")</f>
      </c>
      <c r="K1758" s="29">
        <f>IFERROR(J1758*D1758,0)</f>
      </c>
      <c r="L1758" s="29">
        <f>IFERROR(E1758*C1758,0)</f>
      </c>
      <c r="M1758" s="29">
        <f>IFERROR((G1758*H1758*I1758/1000000)*D1758,0)</f>
      </c>
    </row>
    <row r="1759" spans="1:13" x14ac:dyDescent="0.25">
      <c r="A1759" s="16"/>
      <c r="E1759" s="27"/>
      <c r="F1759" t="s">
        <v>26</v>
      </c>
      <c r="G1759" s="28">
        <f>IFERROR(VLOOKUP(F1759,CARTON_LOOKUP!$A:$E,3,0),"")</f>
      </c>
      <c r="H1759" s="28">
        <f>IFERROR(VLOOKUP(F1759,CARTON_LOOKUP!$A:$E,4,0),"")</f>
      </c>
      <c r="I1759" s="28">
        <f>IFERROR(VLOOKUP(F1759,CARTON_LOOKUP!$A:$E,5,0),"")</f>
      </c>
      <c r="J1759" s="29">
        <f>IFERROR(VLOOKUP(F1759,CARTON_LOOKUP!$A:$E,2,0),"")</f>
      </c>
      <c r="K1759" s="29">
        <f>IFERROR(J1759*D1759,0)</f>
      </c>
      <c r="L1759" s="29">
        <f>IFERROR(E1759*C1759,0)</f>
      </c>
      <c r="M1759" s="29">
        <f>IFERROR((G1759*H1759*I1759/1000000)*D1759,0)</f>
      </c>
    </row>
    <row r="1760" spans="1:13" x14ac:dyDescent="0.25">
      <c r="A1760" s="16"/>
      <c r="E1760" s="27"/>
      <c r="F1760" t="s">
        <v>26</v>
      </c>
      <c r="G1760" s="28">
        <f>IFERROR(VLOOKUP(F1760,CARTON_LOOKUP!$A:$E,3,0),"")</f>
      </c>
      <c r="H1760" s="28">
        <f>IFERROR(VLOOKUP(F1760,CARTON_LOOKUP!$A:$E,4,0),"")</f>
      </c>
      <c r="I1760" s="28">
        <f>IFERROR(VLOOKUP(F1760,CARTON_LOOKUP!$A:$E,5,0),"")</f>
      </c>
      <c r="J1760" s="29">
        <f>IFERROR(VLOOKUP(F1760,CARTON_LOOKUP!$A:$E,2,0),"")</f>
      </c>
      <c r="K1760" s="29">
        <f>IFERROR(J1760*D1760,0)</f>
      </c>
      <c r="L1760" s="29">
        <f>IFERROR(E1760*C1760,0)</f>
      </c>
      <c r="M1760" s="29">
        <f>IFERROR((G1760*H1760*I1760/1000000)*D1760,0)</f>
      </c>
    </row>
    <row r="1761" spans="1:13" x14ac:dyDescent="0.25">
      <c r="A1761" s="16"/>
      <c r="E1761" s="27"/>
      <c r="F1761" t="s">
        <v>26</v>
      </c>
      <c r="G1761" s="28">
        <f>IFERROR(VLOOKUP(F1761,CARTON_LOOKUP!$A:$E,3,0),"")</f>
      </c>
      <c r="H1761" s="28">
        <f>IFERROR(VLOOKUP(F1761,CARTON_LOOKUP!$A:$E,4,0),"")</f>
      </c>
      <c r="I1761" s="28">
        <f>IFERROR(VLOOKUP(F1761,CARTON_LOOKUP!$A:$E,5,0),"")</f>
      </c>
      <c r="J1761" s="29">
        <f>IFERROR(VLOOKUP(F1761,CARTON_LOOKUP!$A:$E,2,0),"")</f>
      </c>
      <c r="K1761" s="29">
        <f>IFERROR(J1761*D1761,0)</f>
      </c>
      <c r="L1761" s="29">
        <f>IFERROR(E1761*C1761,0)</f>
      </c>
      <c r="M1761" s="29">
        <f>IFERROR((G1761*H1761*I1761/1000000)*D1761,0)</f>
      </c>
    </row>
    <row r="1762" spans="1:13" x14ac:dyDescent="0.25">
      <c r="A1762" s="16"/>
      <c r="E1762" s="27"/>
      <c r="F1762" t="s">
        <v>26</v>
      </c>
      <c r="G1762" s="28">
        <f>IFERROR(VLOOKUP(F1762,CARTON_LOOKUP!$A:$E,3,0),"")</f>
      </c>
      <c r="H1762" s="28">
        <f>IFERROR(VLOOKUP(F1762,CARTON_LOOKUP!$A:$E,4,0),"")</f>
      </c>
      <c r="I1762" s="28">
        <f>IFERROR(VLOOKUP(F1762,CARTON_LOOKUP!$A:$E,5,0),"")</f>
      </c>
      <c r="J1762" s="29">
        <f>IFERROR(VLOOKUP(F1762,CARTON_LOOKUP!$A:$E,2,0),"")</f>
      </c>
      <c r="K1762" s="29">
        <f>IFERROR(J1762*D1762,0)</f>
      </c>
      <c r="L1762" s="29">
        <f>IFERROR(E1762*C1762,0)</f>
      </c>
      <c r="M1762" s="29">
        <f>IFERROR((G1762*H1762*I1762/1000000)*D1762,0)</f>
      </c>
    </row>
    <row r="1763" spans="1:13" x14ac:dyDescent="0.25">
      <c r="A1763" s="16"/>
      <c r="E1763" s="27"/>
      <c r="F1763" t="s">
        <v>26</v>
      </c>
      <c r="G1763" s="28">
        <f>IFERROR(VLOOKUP(F1763,CARTON_LOOKUP!$A:$E,3,0),"")</f>
      </c>
      <c r="H1763" s="28">
        <f>IFERROR(VLOOKUP(F1763,CARTON_LOOKUP!$A:$E,4,0),"")</f>
      </c>
      <c r="I1763" s="28">
        <f>IFERROR(VLOOKUP(F1763,CARTON_LOOKUP!$A:$E,5,0),"")</f>
      </c>
      <c r="J1763" s="29">
        <f>IFERROR(VLOOKUP(F1763,CARTON_LOOKUP!$A:$E,2,0),"")</f>
      </c>
      <c r="K1763" s="29">
        <f>IFERROR(J1763*D1763,0)</f>
      </c>
      <c r="L1763" s="29">
        <f>IFERROR(E1763*C1763,0)</f>
      </c>
      <c r="M1763" s="29">
        <f>IFERROR((G1763*H1763*I1763/1000000)*D1763,0)</f>
      </c>
    </row>
    <row r="1764" spans="1:13" x14ac:dyDescent="0.25">
      <c r="A1764" s="16"/>
      <c r="E1764" s="27"/>
      <c r="F1764" t="s">
        <v>26</v>
      </c>
      <c r="G1764" s="28">
        <f>IFERROR(VLOOKUP(F1764,CARTON_LOOKUP!$A:$E,3,0),"")</f>
      </c>
      <c r="H1764" s="28">
        <f>IFERROR(VLOOKUP(F1764,CARTON_LOOKUP!$A:$E,4,0),"")</f>
      </c>
      <c r="I1764" s="28">
        <f>IFERROR(VLOOKUP(F1764,CARTON_LOOKUP!$A:$E,5,0),"")</f>
      </c>
      <c r="J1764" s="29">
        <f>IFERROR(VLOOKUP(F1764,CARTON_LOOKUP!$A:$E,2,0),"")</f>
      </c>
      <c r="K1764" s="29">
        <f>IFERROR(J1764*D1764,0)</f>
      </c>
      <c r="L1764" s="29">
        <f>IFERROR(E1764*C1764,0)</f>
      </c>
      <c r="M1764" s="29">
        <f>IFERROR((G1764*H1764*I1764/1000000)*D1764,0)</f>
      </c>
    </row>
    <row r="1765" spans="1:13" x14ac:dyDescent="0.25">
      <c r="A1765" s="16"/>
      <c r="E1765" s="27"/>
      <c r="F1765" t="s">
        <v>26</v>
      </c>
      <c r="G1765" s="28">
        <f>IFERROR(VLOOKUP(F1765,CARTON_LOOKUP!$A:$E,3,0),"")</f>
      </c>
      <c r="H1765" s="28">
        <f>IFERROR(VLOOKUP(F1765,CARTON_LOOKUP!$A:$E,4,0),"")</f>
      </c>
      <c r="I1765" s="28">
        <f>IFERROR(VLOOKUP(F1765,CARTON_LOOKUP!$A:$E,5,0),"")</f>
      </c>
      <c r="J1765" s="29">
        <f>IFERROR(VLOOKUP(F1765,CARTON_LOOKUP!$A:$E,2,0),"")</f>
      </c>
      <c r="K1765" s="29">
        <f>IFERROR(J1765*D1765,0)</f>
      </c>
      <c r="L1765" s="29">
        <f>IFERROR(E1765*C1765,0)</f>
      </c>
      <c r="M1765" s="29">
        <f>IFERROR((G1765*H1765*I1765/1000000)*D1765,0)</f>
      </c>
    </row>
    <row r="1766" spans="1:13" x14ac:dyDescent="0.25">
      <c r="A1766" s="16"/>
      <c r="E1766" s="27"/>
      <c r="F1766" t="s">
        <v>26</v>
      </c>
      <c r="G1766" s="28">
        <f>IFERROR(VLOOKUP(F1766,CARTON_LOOKUP!$A:$E,3,0),"")</f>
      </c>
      <c r="H1766" s="28">
        <f>IFERROR(VLOOKUP(F1766,CARTON_LOOKUP!$A:$E,4,0),"")</f>
      </c>
      <c r="I1766" s="28">
        <f>IFERROR(VLOOKUP(F1766,CARTON_LOOKUP!$A:$E,5,0),"")</f>
      </c>
      <c r="J1766" s="29">
        <f>IFERROR(VLOOKUP(F1766,CARTON_LOOKUP!$A:$E,2,0),"")</f>
      </c>
      <c r="K1766" s="29">
        <f>IFERROR(J1766*D1766,0)</f>
      </c>
      <c r="L1766" s="29">
        <f>IFERROR(E1766*C1766,0)</f>
      </c>
      <c r="M1766" s="29">
        <f>IFERROR((G1766*H1766*I1766/1000000)*D1766,0)</f>
      </c>
    </row>
    <row r="1767" spans="1:13" x14ac:dyDescent="0.25">
      <c r="A1767" s="16"/>
      <c r="E1767" s="27"/>
      <c r="F1767" t="s">
        <v>26</v>
      </c>
      <c r="G1767" s="28">
        <f>IFERROR(VLOOKUP(F1767,CARTON_LOOKUP!$A:$E,3,0),"")</f>
      </c>
      <c r="H1767" s="28">
        <f>IFERROR(VLOOKUP(F1767,CARTON_LOOKUP!$A:$E,4,0),"")</f>
      </c>
      <c r="I1767" s="28">
        <f>IFERROR(VLOOKUP(F1767,CARTON_LOOKUP!$A:$E,5,0),"")</f>
      </c>
      <c r="J1767" s="29">
        <f>IFERROR(VLOOKUP(F1767,CARTON_LOOKUP!$A:$E,2,0),"")</f>
      </c>
      <c r="K1767" s="29">
        <f>IFERROR(J1767*D1767,0)</f>
      </c>
      <c r="L1767" s="29">
        <f>IFERROR(E1767*C1767,0)</f>
      </c>
      <c r="M1767" s="29">
        <f>IFERROR((G1767*H1767*I1767/1000000)*D1767,0)</f>
      </c>
    </row>
    <row r="1768" spans="1:13" x14ac:dyDescent="0.25">
      <c r="A1768" s="16"/>
      <c r="E1768" s="27"/>
      <c r="F1768" t="s">
        <v>26</v>
      </c>
      <c r="G1768" s="28">
        <f>IFERROR(VLOOKUP(F1768,CARTON_LOOKUP!$A:$E,3,0),"")</f>
      </c>
      <c r="H1768" s="28">
        <f>IFERROR(VLOOKUP(F1768,CARTON_LOOKUP!$A:$E,4,0),"")</f>
      </c>
      <c r="I1768" s="28">
        <f>IFERROR(VLOOKUP(F1768,CARTON_LOOKUP!$A:$E,5,0),"")</f>
      </c>
      <c r="J1768" s="29">
        <f>IFERROR(VLOOKUP(F1768,CARTON_LOOKUP!$A:$E,2,0),"")</f>
      </c>
      <c r="K1768" s="29">
        <f>IFERROR(J1768*D1768,0)</f>
      </c>
      <c r="L1768" s="29">
        <f>IFERROR(E1768*C1768,0)</f>
      </c>
      <c r="M1768" s="29">
        <f>IFERROR((G1768*H1768*I1768/1000000)*D1768,0)</f>
      </c>
    </row>
    <row r="1769" spans="1:13" x14ac:dyDescent="0.25">
      <c r="A1769" s="16"/>
      <c r="E1769" s="27"/>
      <c r="F1769" t="s">
        <v>26</v>
      </c>
      <c r="G1769" s="28">
        <f>IFERROR(VLOOKUP(F1769,CARTON_LOOKUP!$A:$E,3,0),"")</f>
      </c>
      <c r="H1769" s="28">
        <f>IFERROR(VLOOKUP(F1769,CARTON_LOOKUP!$A:$E,4,0),"")</f>
      </c>
      <c r="I1769" s="28">
        <f>IFERROR(VLOOKUP(F1769,CARTON_LOOKUP!$A:$E,5,0),"")</f>
      </c>
      <c r="J1769" s="29">
        <f>IFERROR(VLOOKUP(F1769,CARTON_LOOKUP!$A:$E,2,0),"")</f>
      </c>
      <c r="K1769" s="29">
        <f>IFERROR(J1769*D1769,0)</f>
      </c>
      <c r="L1769" s="29">
        <f>IFERROR(E1769*C1769,0)</f>
      </c>
      <c r="M1769" s="29">
        <f>IFERROR((G1769*H1769*I1769/1000000)*D1769,0)</f>
      </c>
    </row>
    <row r="1770" spans="1:13" x14ac:dyDescent="0.25">
      <c r="A1770" s="16"/>
      <c r="E1770" s="27"/>
      <c r="F1770" t="s">
        <v>26</v>
      </c>
      <c r="G1770" s="28">
        <f>IFERROR(VLOOKUP(F1770,CARTON_LOOKUP!$A:$E,3,0),"")</f>
      </c>
      <c r="H1770" s="28">
        <f>IFERROR(VLOOKUP(F1770,CARTON_LOOKUP!$A:$E,4,0),"")</f>
      </c>
      <c r="I1770" s="28">
        <f>IFERROR(VLOOKUP(F1770,CARTON_LOOKUP!$A:$E,5,0),"")</f>
      </c>
      <c r="J1770" s="29">
        <f>IFERROR(VLOOKUP(F1770,CARTON_LOOKUP!$A:$E,2,0),"")</f>
      </c>
      <c r="K1770" s="29">
        <f>IFERROR(J1770*D1770,0)</f>
      </c>
      <c r="L1770" s="29">
        <f>IFERROR(E1770*C1770,0)</f>
      </c>
      <c r="M1770" s="29">
        <f>IFERROR((G1770*H1770*I1770/1000000)*D1770,0)</f>
      </c>
    </row>
    <row r="1771" spans="1:13" x14ac:dyDescent="0.25">
      <c r="A1771" s="16"/>
      <c r="E1771" s="27"/>
      <c r="F1771" t="s">
        <v>26</v>
      </c>
      <c r="G1771" s="28">
        <f>IFERROR(VLOOKUP(F1771,CARTON_LOOKUP!$A:$E,3,0),"")</f>
      </c>
      <c r="H1771" s="28">
        <f>IFERROR(VLOOKUP(F1771,CARTON_LOOKUP!$A:$E,4,0),"")</f>
      </c>
      <c r="I1771" s="28">
        <f>IFERROR(VLOOKUP(F1771,CARTON_LOOKUP!$A:$E,5,0),"")</f>
      </c>
      <c r="J1771" s="29">
        <f>IFERROR(VLOOKUP(F1771,CARTON_LOOKUP!$A:$E,2,0),"")</f>
      </c>
      <c r="K1771" s="29">
        <f>IFERROR(J1771*D1771,0)</f>
      </c>
      <c r="L1771" s="29">
        <f>IFERROR(E1771*C1771,0)</f>
      </c>
      <c r="M1771" s="29">
        <f>IFERROR((G1771*H1771*I1771/1000000)*D1771,0)</f>
      </c>
    </row>
    <row r="1772" spans="1:13" x14ac:dyDescent="0.25">
      <c r="A1772" s="16"/>
      <c r="E1772" s="27"/>
      <c r="F1772" t="s">
        <v>26</v>
      </c>
      <c r="G1772" s="28">
        <f>IFERROR(VLOOKUP(F1772,CARTON_LOOKUP!$A:$E,3,0),"")</f>
      </c>
      <c r="H1772" s="28">
        <f>IFERROR(VLOOKUP(F1772,CARTON_LOOKUP!$A:$E,4,0),"")</f>
      </c>
      <c r="I1772" s="28">
        <f>IFERROR(VLOOKUP(F1772,CARTON_LOOKUP!$A:$E,5,0),"")</f>
      </c>
      <c r="J1772" s="29">
        <f>IFERROR(VLOOKUP(F1772,CARTON_LOOKUP!$A:$E,2,0),"")</f>
      </c>
      <c r="K1772" s="29">
        <f>IFERROR(J1772*D1772,0)</f>
      </c>
      <c r="L1772" s="29">
        <f>IFERROR(E1772*C1772,0)</f>
      </c>
      <c r="M1772" s="29">
        <f>IFERROR((G1772*H1772*I1772/1000000)*D1772,0)</f>
      </c>
    </row>
    <row r="1773" spans="1:13" x14ac:dyDescent="0.25">
      <c r="A1773" s="16"/>
      <c r="E1773" s="27"/>
      <c r="F1773" t="s">
        <v>26</v>
      </c>
      <c r="G1773" s="28">
        <f>IFERROR(VLOOKUP(F1773,CARTON_LOOKUP!$A:$E,3,0),"")</f>
      </c>
      <c r="H1773" s="28">
        <f>IFERROR(VLOOKUP(F1773,CARTON_LOOKUP!$A:$E,4,0),"")</f>
      </c>
      <c r="I1773" s="28">
        <f>IFERROR(VLOOKUP(F1773,CARTON_LOOKUP!$A:$E,5,0),"")</f>
      </c>
      <c r="J1773" s="29">
        <f>IFERROR(VLOOKUP(F1773,CARTON_LOOKUP!$A:$E,2,0),"")</f>
      </c>
      <c r="K1773" s="29">
        <f>IFERROR(J1773*D1773,0)</f>
      </c>
      <c r="L1773" s="29">
        <f>IFERROR(E1773*C1773,0)</f>
      </c>
      <c r="M1773" s="29">
        <f>IFERROR((G1773*H1773*I1773/1000000)*D1773,0)</f>
      </c>
    </row>
    <row r="1774" spans="1:13" x14ac:dyDescent="0.25">
      <c r="A1774" s="16"/>
      <c r="E1774" s="27"/>
      <c r="F1774" t="s">
        <v>26</v>
      </c>
      <c r="G1774" s="28">
        <f>IFERROR(VLOOKUP(F1774,CARTON_LOOKUP!$A:$E,3,0),"")</f>
      </c>
      <c r="H1774" s="28">
        <f>IFERROR(VLOOKUP(F1774,CARTON_LOOKUP!$A:$E,4,0),"")</f>
      </c>
      <c r="I1774" s="28">
        <f>IFERROR(VLOOKUP(F1774,CARTON_LOOKUP!$A:$E,5,0),"")</f>
      </c>
      <c r="J1774" s="29">
        <f>IFERROR(VLOOKUP(F1774,CARTON_LOOKUP!$A:$E,2,0),"")</f>
      </c>
      <c r="K1774" s="29">
        <f>IFERROR(J1774*D1774,0)</f>
      </c>
      <c r="L1774" s="29">
        <f>IFERROR(E1774*C1774,0)</f>
      </c>
      <c r="M1774" s="29">
        <f>IFERROR((G1774*H1774*I1774/1000000)*D1774,0)</f>
      </c>
    </row>
    <row r="1775" spans="1:13" x14ac:dyDescent="0.25">
      <c r="A1775" s="16"/>
      <c r="E1775" s="27"/>
      <c r="F1775" t="s">
        <v>26</v>
      </c>
      <c r="G1775" s="28">
        <f>IFERROR(VLOOKUP(F1775,CARTON_LOOKUP!$A:$E,3,0),"")</f>
      </c>
      <c r="H1775" s="28">
        <f>IFERROR(VLOOKUP(F1775,CARTON_LOOKUP!$A:$E,4,0),"")</f>
      </c>
      <c r="I1775" s="28">
        <f>IFERROR(VLOOKUP(F1775,CARTON_LOOKUP!$A:$E,5,0),"")</f>
      </c>
      <c r="J1775" s="29">
        <f>IFERROR(VLOOKUP(F1775,CARTON_LOOKUP!$A:$E,2,0),"")</f>
      </c>
      <c r="K1775" s="29">
        <f>IFERROR(J1775*D1775,0)</f>
      </c>
      <c r="L1775" s="29">
        <f>IFERROR(E1775*C1775,0)</f>
      </c>
      <c r="M1775" s="29">
        <f>IFERROR((G1775*H1775*I1775/1000000)*D1775,0)</f>
      </c>
    </row>
    <row r="1776" spans="1:13" x14ac:dyDescent="0.25">
      <c r="A1776" s="16"/>
      <c r="E1776" s="27"/>
      <c r="F1776" t="s">
        <v>26</v>
      </c>
      <c r="G1776" s="28">
        <f>IFERROR(VLOOKUP(F1776,CARTON_LOOKUP!$A:$E,3,0),"")</f>
      </c>
      <c r="H1776" s="28">
        <f>IFERROR(VLOOKUP(F1776,CARTON_LOOKUP!$A:$E,4,0),"")</f>
      </c>
      <c r="I1776" s="28">
        <f>IFERROR(VLOOKUP(F1776,CARTON_LOOKUP!$A:$E,5,0),"")</f>
      </c>
      <c r="J1776" s="29">
        <f>IFERROR(VLOOKUP(F1776,CARTON_LOOKUP!$A:$E,2,0),"")</f>
      </c>
      <c r="K1776" s="29">
        <f>IFERROR(J1776*D1776,0)</f>
      </c>
      <c r="L1776" s="29">
        <f>IFERROR(E1776*C1776,0)</f>
      </c>
      <c r="M1776" s="29">
        <f>IFERROR((G1776*H1776*I1776/1000000)*D1776,0)</f>
      </c>
    </row>
    <row r="1777" spans="1:13" x14ac:dyDescent="0.25">
      <c r="A1777" s="16"/>
      <c r="E1777" s="27"/>
      <c r="F1777" t="s">
        <v>26</v>
      </c>
      <c r="G1777" s="28">
        <f>IFERROR(VLOOKUP(F1777,CARTON_LOOKUP!$A:$E,3,0),"")</f>
      </c>
      <c r="H1777" s="28">
        <f>IFERROR(VLOOKUP(F1777,CARTON_LOOKUP!$A:$E,4,0),"")</f>
      </c>
      <c r="I1777" s="28">
        <f>IFERROR(VLOOKUP(F1777,CARTON_LOOKUP!$A:$E,5,0),"")</f>
      </c>
      <c r="J1777" s="29">
        <f>IFERROR(VLOOKUP(F1777,CARTON_LOOKUP!$A:$E,2,0),"")</f>
      </c>
      <c r="K1777" s="29">
        <f>IFERROR(J1777*D1777,0)</f>
      </c>
      <c r="L1777" s="29">
        <f>IFERROR(E1777*C1777,0)</f>
      </c>
      <c r="M1777" s="29">
        <f>IFERROR((G1777*H1777*I1777/1000000)*D1777,0)</f>
      </c>
    </row>
    <row r="1778" spans="1:13" x14ac:dyDescent="0.25">
      <c r="A1778" s="16"/>
      <c r="E1778" s="27"/>
      <c r="F1778" t="s">
        <v>26</v>
      </c>
      <c r="G1778" s="28">
        <f>IFERROR(VLOOKUP(F1778,CARTON_LOOKUP!$A:$E,3,0),"")</f>
      </c>
      <c r="H1778" s="28">
        <f>IFERROR(VLOOKUP(F1778,CARTON_LOOKUP!$A:$E,4,0),"")</f>
      </c>
      <c r="I1778" s="28">
        <f>IFERROR(VLOOKUP(F1778,CARTON_LOOKUP!$A:$E,5,0),"")</f>
      </c>
      <c r="J1778" s="29">
        <f>IFERROR(VLOOKUP(F1778,CARTON_LOOKUP!$A:$E,2,0),"")</f>
      </c>
      <c r="K1778" s="29">
        <f>IFERROR(J1778*D1778,0)</f>
      </c>
      <c r="L1778" s="29">
        <f>IFERROR(E1778*C1778,0)</f>
      </c>
      <c r="M1778" s="29">
        <f>IFERROR((G1778*H1778*I1778/1000000)*D1778,0)</f>
      </c>
    </row>
    <row r="1779" spans="1:13" x14ac:dyDescent="0.25">
      <c r="A1779" s="16"/>
      <c r="E1779" s="27"/>
      <c r="F1779" t="s">
        <v>26</v>
      </c>
      <c r="G1779" s="28">
        <f>IFERROR(VLOOKUP(F1779,CARTON_LOOKUP!$A:$E,3,0),"")</f>
      </c>
      <c r="H1779" s="28">
        <f>IFERROR(VLOOKUP(F1779,CARTON_LOOKUP!$A:$E,4,0),"")</f>
      </c>
      <c r="I1779" s="28">
        <f>IFERROR(VLOOKUP(F1779,CARTON_LOOKUP!$A:$E,5,0),"")</f>
      </c>
      <c r="J1779" s="29">
        <f>IFERROR(VLOOKUP(F1779,CARTON_LOOKUP!$A:$E,2,0),"")</f>
      </c>
      <c r="K1779" s="29">
        <f>IFERROR(J1779*D1779,0)</f>
      </c>
      <c r="L1779" s="29">
        <f>IFERROR(E1779*C1779,0)</f>
      </c>
      <c r="M1779" s="29">
        <f>IFERROR((G1779*H1779*I1779/1000000)*D1779,0)</f>
      </c>
    </row>
    <row r="1780" spans="1:13" x14ac:dyDescent="0.25">
      <c r="A1780" s="16"/>
      <c r="E1780" s="27"/>
      <c r="F1780" t="s">
        <v>26</v>
      </c>
      <c r="G1780" s="28">
        <f>IFERROR(VLOOKUP(F1780,CARTON_LOOKUP!$A:$E,3,0),"")</f>
      </c>
      <c r="H1780" s="28">
        <f>IFERROR(VLOOKUP(F1780,CARTON_LOOKUP!$A:$E,4,0),"")</f>
      </c>
      <c r="I1780" s="28">
        <f>IFERROR(VLOOKUP(F1780,CARTON_LOOKUP!$A:$E,5,0),"")</f>
      </c>
      <c r="J1780" s="29">
        <f>IFERROR(VLOOKUP(F1780,CARTON_LOOKUP!$A:$E,2,0),"")</f>
      </c>
      <c r="K1780" s="29">
        <f>IFERROR(J1780*D1780,0)</f>
      </c>
      <c r="L1780" s="29">
        <f>IFERROR(E1780*C1780,0)</f>
      </c>
      <c r="M1780" s="29">
        <f>IFERROR((G1780*H1780*I1780/1000000)*D1780,0)</f>
      </c>
    </row>
    <row r="1781" spans="1:13" x14ac:dyDescent="0.25">
      <c r="A1781" s="16"/>
      <c r="E1781" s="27"/>
      <c r="F1781" t="s">
        <v>26</v>
      </c>
      <c r="G1781" s="28">
        <f>IFERROR(VLOOKUP(F1781,CARTON_LOOKUP!$A:$E,3,0),"")</f>
      </c>
      <c r="H1781" s="28">
        <f>IFERROR(VLOOKUP(F1781,CARTON_LOOKUP!$A:$E,4,0),"")</f>
      </c>
      <c r="I1781" s="28">
        <f>IFERROR(VLOOKUP(F1781,CARTON_LOOKUP!$A:$E,5,0),"")</f>
      </c>
      <c r="J1781" s="29">
        <f>IFERROR(VLOOKUP(F1781,CARTON_LOOKUP!$A:$E,2,0),"")</f>
      </c>
      <c r="K1781" s="29">
        <f>IFERROR(J1781*D1781,0)</f>
      </c>
      <c r="L1781" s="29">
        <f>IFERROR(E1781*C1781,0)</f>
      </c>
      <c r="M1781" s="29">
        <f>IFERROR((G1781*H1781*I1781/1000000)*D1781,0)</f>
      </c>
    </row>
    <row r="1782" spans="1:13" x14ac:dyDescent="0.25">
      <c r="A1782" s="16"/>
      <c r="E1782" s="27"/>
      <c r="F1782" t="s">
        <v>26</v>
      </c>
      <c r="G1782" s="28">
        <f>IFERROR(VLOOKUP(F1782,CARTON_LOOKUP!$A:$E,3,0),"")</f>
      </c>
      <c r="H1782" s="28">
        <f>IFERROR(VLOOKUP(F1782,CARTON_LOOKUP!$A:$E,4,0),"")</f>
      </c>
      <c r="I1782" s="28">
        <f>IFERROR(VLOOKUP(F1782,CARTON_LOOKUP!$A:$E,5,0),"")</f>
      </c>
      <c r="J1782" s="29">
        <f>IFERROR(VLOOKUP(F1782,CARTON_LOOKUP!$A:$E,2,0),"")</f>
      </c>
      <c r="K1782" s="29">
        <f>IFERROR(J1782*D1782,0)</f>
      </c>
      <c r="L1782" s="29">
        <f>IFERROR(E1782*C1782,0)</f>
      </c>
      <c r="M1782" s="29">
        <f>IFERROR((G1782*H1782*I1782/1000000)*D1782,0)</f>
      </c>
    </row>
    <row r="1783" spans="1:13" x14ac:dyDescent="0.25">
      <c r="A1783" s="16"/>
      <c r="E1783" s="27"/>
      <c r="F1783" t="s">
        <v>26</v>
      </c>
      <c r="G1783" s="28">
        <f>IFERROR(VLOOKUP(F1783,CARTON_LOOKUP!$A:$E,3,0),"")</f>
      </c>
      <c r="H1783" s="28">
        <f>IFERROR(VLOOKUP(F1783,CARTON_LOOKUP!$A:$E,4,0),"")</f>
      </c>
      <c r="I1783" s="28">
        <f>IFERROR(VLOOKUP(F1783,CARTON_LOOKUP!$A:$E,5,0),"")</f>
      </c>
      <c r="J1783" s="29">
        <f>IFERROR(VLOOKUP(F1783,CARTON_LOOKUP!$A:$E,2,0),"")</f>
      </c>
      <c r="K1783" s="29">
        <f>IFERROR(J1783*D1783,0)</f>
      </c>
      <c r="L1783" s="29">
        <f>IFERROR(E1783*C1783,0)</f>
      </c>
      <c r="M1783" s="29">
        <f>IFERROR((G1783*H1783*I1783/1000000)*D1783,0)</f>
      </c>
    </row>
    <row r="1784" spans="1:13" x14ac:dyDescent="0.25">
      <c r="A1784" s="16"/>
      <c r="E1784" s="27"/>
      <c r="F1784" t="s">
        <v>26</v>
      </c>
      <c r="G1784" s="28">
        <f>IFERROR(VLOOKUP(F1784,CARTON_LOOKUP!$A:$E,3,0),"")</f>
      </c>
      <c r="H1784" s="28">
        <f>IFERROR(VLOOKUP(F1784,CARTON_LOOKUP!$A:$E,4,0),"")</f>
      </c>
      <c r="I1784" s="28">
        <f>IFERROR(VLOOKUP(F1784,CARTON_LOOKUP!$A:$E,5,0),"")</f>
      </c>
      <c r="J1784" s="29">
        <f>IFERROR(VLOOKUP(F1784,CARTON_LOOKUP!$A:$E,2,0),"")</f>
      </c>
      <c r="K1784" s="29">
        <f>IFERROR(J1784*D1784,0)</f>
      </c>
      <c r="L1784" s="29">
        <f>IFERROR(E1784*C1784,0)</f>
      </c>
      <c r="M1784" s="29">
        <f>IFERROR((G1784*H1784*I1784/1000000)*D1784,0)</f>
      </c>
    </row>
    <row r="1785" spans="1:13" x14ac:dyDescent="0.25">
      <c r="A1785" s="16"/>
      <c r="E1785" s="27"/>
      <c r="F1785" t="s">
        <v>26</v>
      </c>
      <c r="G1785" s="28">
        <f>IFERROR(VLOOKUP(F1785,CARTON_LOOKUP!$A:$E,3,0),"")</f>
      </c>
      <c r="H1785" s="28">
        <f>IFERROR(VLOOKUP(F1785,CARTON_LOOKUP!$A:$E,4,0),"")</f>
      </c>
      <c r="I1785" s="28">
        <f>IFERROR(VLOOKUP(F1785,CARTON_LOOKUP!$A:$E,5,0),"")</f>
      </c>
      <c r="J1785" s="29">
        <f>IFERROR(VLOOKUP(F1785,CARTON_LOOKUP!$A:$E,2,0),"")</f>
      </c>
      <c r="K1785" s="29">
        <f>IFERROR(J1785*D1785,0)</f>
      </c>
      <c r="L1785" s="29">
        <f>IFERROR(E1785*C1785,0)</f>
      </c>
      <c r="M1785" s="29">
        <f>IFERROR((G1785*H1785*I1785/1000000)*D1785,0)</f>
      </c>
    </row>
    <row r="1786" spans="1:13" x14ac:dyDescent="0.25">
      <c r="A1786" s="16"/>
      <c r="E1786" s="27"/>
      <c r="F1786" t="s">
        <v>26</v>
      </c>
      <c r="G1786" s="28">
        <f>IFERROR(VLOOKUP(F1786,CARTON_LOOKUP!$A:$E,3,0),"")</f>
      </c>
      <c r="H1786" s="28">
        <f>IFERROR(VLOOKUP(F1786,CARTON_LOOKUP!$A:$E,4,0),"")</f>
      </c>
      <c r="I1786" s="28">
        <f>IFERROR(VLOOKUP(F1786,CARTON_LOOKUP!$A:$E,5,0),"")</f>
      </c>
      <c r="J1786" s="29">
        <f>IFERROR(VLOOKUP(F1786,CARTON_LOOKUP!$A:$E,2,0),"")</f>
      </c>
      <c r="K1786" s="29">
        <f>IFERROR(J1786*D1786,0)</f>
      </c>
      <c r="L1786" s="29">
        <f>IFERROR(E1786*C1786,0)</f>
      </c>
      <c r="M1786" s="29">
        <f>IFERROR((G1786*H1786*I1786/1000000)*D1786,0)</f>
      </c>
    </row>
    <row r="1787" spans="1:13" x14ac:dyDescent="0.25">
      <c r="A1787" s="16"/>
      <c r="E1787" s="27"/>
      <c r="F1787" t="s">
        <v>26</v>
      </c>
      <c r="G1787" s="28">
        <f>IFERROR(VLOOKUP(F1787,CARTON_LOOKUP!$A:$E,3,0),"")</f>
      </c>
      <c r="H1787" s="28">
        <f>IFERROR(VLOOKUP(F1787,CARTON_LOOKUP!$A:$E,4,0),"")</f>
      </c>
      <c r="I1787" s="28">
        <f>IFERROR(VLOOKUP(F1787,CARTON_LOOKUP!$A:$E,5,0),"")</f>
      </c>
      <c r="J1787" s="29">
        <f>IFERROR(VLOOKUP(F1787,CARTON_LOOKUP!$A:$E,2,0),"")</f>
      </c>
      <c r="K1787" s="29">
        <f>IFERROR(J1787*D1787,0)</f>
      </c>
      <c r="L1787" s="29">
        <f>IFERROR(E1787*C1787,0)</f>
      </c>
      <c r="M1787" s="29">
        <f>IFERROR((G1787*H1787*I1787/1000000)*D1787,0)</f>
      </c>
    </row>
    <row r="1788" spans="1:13" x14ac:dyDescent="0.25">
      <c r="A1788" s="16"/>
      <c r="E1788" s="27"/>
      <c r="F1788" t="s">
        <v>26</v>
      </c>
      <c r="G1788" s="28">
        <f>IFERROR(VLOOKUP(F1788,CARTON_LOOKUP!$A:$E,3,0),"")</f>
      </c>
      <c r="H1788" s="28">
        <f>IFERROR(VLOOKUP(F1788,CARTON_LOOKUP!$A:$E,4,0),"")</f>
      </c>
      <c r="I1788" s="28">
        <f>IFERROR(VLOOKUP(F1788,CARTON_LOOKUP!$A:$E,5,0),"")</f>
      </c>
      <c r="J1788" s="29">
        <f>IFERROR(VLOOKUP(F1788,CARTON_LOOKUP!$A:$E,2,0),"")</f>
      </c>
      <c r="K1788" s="29">
        <f>IFERROR(J1788*D1788,0)</f>
      </c>
      <c r="L1788" s="29">
        <f>IFERROR(E1788*C1788,0)</f>
      </c>
      <c r="M1788" s="29">
        <f>IFERROR((G1788*H1788*I1788/1000000)*D1788,0)</f>
      </c>
    </row>
    <row r="1789" spans="1:13" x14ac:dyDescent="0.25">
      <c r="A1789" s="16"/>
      <c r="E1789" s="27"/>
      <c r="F1789" t="s">
        <v>26</v>
      </c>
      <c r="G1789" s="28">
        <f>IFERROR(VLOOKUP(F1789,CARTON_LOOKUP!$A:$E,3,0),"")</f>
      </c>
      <c r="H1789" s="28">
        <f>IFERROR(VLOOKUP(F1789,CARTON_LOOKUP!$A:$E,4,0),"")</f>
      </c>
      <c r="I1789" s="28">
        <f>IFERROR(VLOOKUP(F1789,CARTON_LOOKUP!$A:$E,5,0),"")</f>
      </c>
      <c r="J1789" s="29">
        <f>IFERROR(VLOOKUP(F1789,CARTON_LOOKUP!$A:$E,2,0),"")</f>
      </c>
      <c r="K1789" s="29">
        <f>IFERROR(J1789*D1789,0)</f>
      </c>
      <c r="L1789" s="29">
        <f>IFERROR(E1789*C1789,0)</f>
      </c>
      <c r="M1789" s="29">
        <f>IFERROR((G1789*H1789*I1789/1000000)*D1789,0)</f>
      </c>
    </row>
    <row r="1790" spans="1:13" x14ac:dyDescent="0.25">
      <c r="A1790" s="16"/>
      <c r="E1790" s="27"/>
      <c r="F1790" t="s">
        <v>26</v>
      </c>
      <c r="G1790" s="28">
        <f>IFERROR(VLOOKUP(F1790,CARTON_LOOKUP!$A:$E,3,0),"")</f>
      </c>
      <c r="H1790" s="28">
        <f>IFERROR(VLOOKUP(F1790,CARTON_LOOKUP!$A:$E,4,0),"")</f>
      </c>
      <c r="I1790" s="28">
        <f>IFERROR(VLOOKUP(F1790,CARTON_LOOKUP!$A:$E,5,0),"")</f>
      </c>
      <c r="J1790" s="29">
        <f>IFERROR(VLOOKUP(F1790,CARTON_LOOKUP!$A:$E,2,0),"")</f>
      </c>
      <c r="K1790" s="29">
        <f>IFERROR(J1790*D1790,0)</f>
      </c>
      <c r="L1790" s="29">
        <f>IFERROR(E1790*C1790,0)</f>
      </c>
      <c r="M1790" s="29">
        <f>IFERROR((G1790*H1790*I1790/1000000)*D1790,0)</f>
      </c>
    </row>
    <row r="1791" spans="1:13" x14ac:dyDescent="0.25">
      <c r="A1791" s="16"/>
      <c r="E1791" s="27"/>
      <c r="F1791" t="s">
        <v>26</v>
      </c>
      <c r="G1791" s="28">
        <f>IFERROR(VLOOKUP(F1791,CARTON_LOOKUP!$A:$E,3,0),"")</f>
      </c>
      <c r="H1791" s="28">
        <f>IFERROR(VLOOKUP(F1791,CARTON_LOOKUP!$A:$E,4,0),"")</f>
      </c>
      <c r="I1791" s="28">
        <f>IFERROR(VLOOKUP(F1791,CARTON_LOOKUP!$A:$E,5,0),"")</f>
      </c>
      <c r="J1791" s="29">
        <f>IFERROR(VLOOKUP(F1791,CARTON_LOOKUP!$A:$E,2,0),"")</f>
      </c>
      <c r="K1791" s="29">
        <f>IFERROR(J1791*D1791,0)</f>
      </c>
      <c r="L1791" s="29">
        <f>IFERROR(E1791*C1791,0)</f>
      </c>
      <c r="M1791" s="29">
        <f>IFERROR((G1791*H1791*I1791/1000000)*D1791,0)</f>
      </c>
    </row>
    <row r="1792" spans="1:13" x14ac:dyDescent="0.25">
      <c r="A1792" s="16"/>
      <c r="E1792" s="27"/>
      <c r="F1792" t="s">
        <v>26</v>
      </c>
      <c r="G1792" s="28">
        <f>IFERROR(VLOOKUP(F1792,CARTON_LOOKUP!$A:$E,3,0),"")</f>
      </c>
      <c r="H1792" s="28">
        <f>IFERROR(VLOOKUP(F1792,CARTON_LOOKUP!$A:$E,4,0),"")</f>
      </c>
      <c r="I1792" s="28">
        <f>IFERROR(VLOOKUP(F1792,CARTON_LOOKUP!$A:$E,5,0),"")</f>
      </c>
      <c r="J1792" s="29">
        <f>IFERROR(VLOOKUP(F1792,CARTON_LOOKUP!$A:$E,2,0),"")</f>
      </c>
      <c r="K1792" s="29">
        <f>IFERROR(J1792*D1792,0)</f>
      </c>
      <c r="L1792" s="29">
        <f>IFERROR(E1792*C1792,0)</f>
      </c>
      <c r="M1792" s="29">
        <f>IFERROR((G1792*H1792*I1792/1000000)*D1792,0)</f>
      </c>
    </row>
    <row r="1793" spans="1:13" x14ac:dyDescent="0.25">
      <c r="A1793" s="16"/>
      <c r="E1793" s="27"/>
      <c r="F1793" t="s">
        <v>26</v>
      </c>
      <c r="G1793" s="28">
        <f>IFERROR(VLOOKUP(F1793,CARTON_LOOKUP!$A:$E,3,0),"")</f>
      </c>
      <c r="H1793" s="28">
        <f>IFERROR(VLOOKUP(F1793,CARTON_LOOKUP!$A:$E,4,0),"")</f>
      </c>
      <c r="I1793" s="28">
        <f>IFERROR(VLOOKUP(F1793,CARTON_LOOKUP!$A:$E,5,0),"")</f>
      </c>
      <c r="J1793" s="29">
        <f>IFERROR(VLOOKUP(F1793,CARTON_LOOKUP!$A:$E,2,0),"")</f>
      </c>
      <c r="K1793" s="29">
        <f>IFERROR(J1793*D1793,0)</f>
      </c>
      <c r="L1793" s="29">
        <f>IFERROR(E1793*C1793,0)</f>
      </c>
      <c r="M1793" s="29">
        <f>IFERROR((G1793*H1793*I1793/1000000)*D1793,0)</f>
      </c>
    </row>
    <row r="1794" spans="1:13" x14ac:dyDescent="0.25">
      <c r="A1794" s="16"/>
      <c r="E1794" s="27"/>
      <c r="F1794" t="s">
        <v>26</v>
      </c>
      <c r="G1794" s="28">
        <f>IFERROR(VLOOKUP(F1794,CARTON_LOOKUP!$A:$E,3,0),"")</f>
      </c>
      <c r="H1794" s="28">
        <f>IFERROR(VLOOKUP(F1794,CARTON_LOOKUP!$A:$E,4,0),"")</f>
      </c>
      <c r="I1794" s="28">
        <f>IFERROR(VLOOKUP(F1794,CARTON_LOOKUP!$A:$E,5,0),"")</f>
      </c>
      <c r="J1794" s="29">
        <f>IFERROR(VLOOKUP(F1794,CARTON_LOOKUP!$A:$E,2,0),"")</f>
      </c>
      <c r="K1794" s="29">
        <f>IFERROR(J1794*D1794,0)</f>
      </c>
      <c r="L1794" s="29">
        <f>IFERROR(E1794*C1794,0)</f>
      </c>
      <c r="M1794" s="29">
        <f>IFERROR((G1794*H1794*I1794/1000000)*D1794,0)</f>
      </c>
    </row>
    <row r="1795" spans="1:13" x14ac:dyDescent="0.25">
      <c r="A1795" s="16"/>
      <c r="E1795" s="27"/>
      <c r="F1795" t="s">
        <v>26</v>
      </c>
      <c r="G1795" s="28">
        <f>IFERROR(VLOOKUP(F1795,CARTON_LOOKUP!$A:$E,3,0),"")</f>
      </c>
      <c r="H1795" s="28">
        <f>IFERROR(VLOOKUP(F1795,CARTON_LOOKUP!$A:$E,4,0),"")</f>
      </c>
      <c r="I1795" s="28">
        <f>IFERROR(VLOOKUP(F1795,CARTON_LOOKUP!$A:$E,5,0),"")</f>
      </c>
      <c r="J1795" s="29">
        <f>IFERROR(VLOOKUP(F1795,CARTON_LOOKUP!$A:$E,2,0),"")</f>
      </c>
      <c r="K1795" s="29">
        <f>IFERROR(J1795*D1795,0)</f>
      </c>
      <c r="L1795" s="29">
        <f>IFERROR(E1795*C1795,0)</f>
      </c>
      <c r="M1795" s="29">
        <f>IFERROR((G1795*H1795*I1795/1000000)*D1795,0)</f>
      </c>
    </row>
    <row r="1796" spans="1:13" x14ac:dyDescent="0.25">
      <c r="A1796" s="16"/>
      <c r="E1796" s="27"/>
      <c r="F1796" t="s">
        <v>26</v>
      </c>
      <c r="G1796" s="28">
        <f>IFERROR(VLOOKUP(F1796,CARTON_LOOKUP!$A:$E,3,0),"")</f>
      </c>
      <c r="H1796" s="28">
        <f>IFERROR(VLOOKUP(F1796,CARTON_LOOKUP!$A:$E,4,0),"")</f>
      </c>
      <c r="I1796" s="28">
        <f>IFERROR(VLOOKUP(F1796,CARTON_LOOKUP!$A:$E,5,0),"")</f>
      </c>
      <c r="J1796" s="29">
        <f>IFERROR(VLOOKUP(F1796,CARTON_LOOKUP!$A:$E,2,0),"")</f>
      </c>
      <c r="K1796" s="29">
        <f>IFERROR(J1796*D1796,0)</f>
      </c>
      <c r="L1796" s="29">
        <f>IFERROR(E1796*C1796,0)</f>
      </c>
      <c r="M1796" s="29">
        <f>IFERROR((G1796*H1796*I1796/1000000)*D1796,0)</f>
      </c>
    </row>
    <row r="1797" spans="1:13" x14ac:dyDescent="0.25">
      <c r="A1797" s="16"/>
      <c r="E1797" s="27"/>
      <c r="F1797" t="s">
        <v>26</v>
      </c>
      <c r="G1797" s="28">
        <f>IFERROR(VLOOKUP(F1797,CARTON_LOOKUP!$A:$E,3,0),"")</f>
      </c>
      <c r="H1797" s="28">
        <f>IFERROR(VLOOKUP(F1797,CARTON_LOOKUP!$A:$E,4,0),"")</f>
      </c>
      <c r="I1797" s="28">
        <f>IFERROR(VLOOKUP(F1797,CARTON_LOOKUP!$A:$E,5,0),"")</f>
      </c>
      <c r="J1797" s="29">
        <f>IFERROR(VLOOKUP(F1797,CARTON_LOOKUP!$A:$E,2,0),"")</f>
      </c>
      <c r="K1797" s="29">
        <f>IFERROR(J1797*D1797,0)</f>
      </c>
      <c r="L1797" s="29">
        <f>IFERROR(E1797*C1797,0)</f>
      </c>
      <c r="M1797" s="29">
        <f>IFERROR((G1797*H1797*I1797/1000000)*D1797,0)</f>
      </c>
    </row>
    <row r="1798" spans="1:13" x14ac:dyDescent="0.25">
      <c r="A1798" s="16"/>
      <c r="E1798" s="27"/>
      <c r="F1798" t="s">
        <v>26</v>
      </c>
      <c r="G1798" s="28">
        <f>IFERROR(VLOOKUP(F1798,CARTON_LOOKUP!$A:$E,3,0),"")</f>
      </c>
      <c r="H1798" s="28">
        <f>IFERROR(VLOOKUP(F1798,CARTON_LOOKUP!$A:$E,4,0),"")</f>
      </c>
      <c r="I1798" s="28">
        <f>IFERROR(VLOOKUP(F1798,CARTON_LOOKUP!$A:$E,5,0),"")</f>
      </c>
      <c r="J1798" s="29">
        <f>IFERROR(VLOOKUP(F1798,CARTON_LOOKUP!$A:$E,2,0),"")</f>
      </c>
      <c r="K1798" s="29">
        <f>IFERROR(J1798*D1798,0)</f>
      </c>
      <c r="L1798" s="29">
        <f>IFERROR(E1798*C1798,0)</f>
      </c>
      <c r="M1798" s="29">
        <f>IFERROR((G1798*H1798*I1798/1000000)*D1798,0)</f>
      </c>
    </row>
    <row r="1799" spans="1:13" x14ac:dyDescent="0.25">
      <c r="A1799" s="16"/>
      <c r="E1799" s="27"/>
      <c r="F1799" t="s">
        <v>26</v>
      </c>
      <c r="G1799" s="28">
        <f>IFERROR(VLOOKUP(F1799,CARTON_LOOKUP!$A:$E,3,0),"")</f>
      </c>
      <c r="H1799" s="28">
        <f>IFERROR(VLOOKUP(F1799,CARTON_LOOKUP!$A:$E,4,0),"")</f>
      </c>
      <c r="I1799" s="28">
        <f>IFERROR(VLOOKUP(F1799,CARTON_LOOKUP!$A:$E,5,0),"")</f>
      </c>
      <c r="J1799" s="29">
        <f>IFERROR(VLOOKUP(F1799,CARTON_LOOKUP!$A:$E,2,0),"")</f>
      </c>
      <c r="K1799" s="29">
        <f>IFERROR(J1799*D1799,0)</f>
      </c>
      <c r="L1799" s="29">
        <f>IFERROR(E1799*C1799,0)</f>
      </c>
      <c r="M1799" s="29">
        <f>IFERROR((G1799*H1799*I1799/1000000)*D1799,0)</f>
      </c>
    </row>
    <row r="1800" spans="1:13" x14ac:dyDescent="0.25">
      <c r="A1800" s="16"/>
      <c r="E1800" s="27"/>
      <c r="F1800" t="s">
        <v>26</v>
      </c>
      <c r="G1800" s="28">
        <f>IFERROR(VLOOKUP(F1800,CARTON_LOOKUP!$A:$E,3,0),"")</f>
      </c>
      <c r="H1800" s="28">
        <f>IFERROR(VLOOKUP(F1800,CARTON_LOOKUP!$A:$E,4,0),"")</f>
      </c>
      <c r="I1800" s="28">
        <f>IFERROR(VLOOKUP(F1800,CARTON_LOOKUP!$A:$E,5,0),"")</f>
      </c>
      <c r="J1800" s="29">
        <f>IFERROR(VLOOKUP(F1800,CARTON_LOOKUP!$A:$E,2,0),"")</f>
      </c>
      <c r="K1800" s="29">
        <f>IFERROR(J1800*D1800,0)</f>
      </c>
      <c r="L1800" s="29">
        <f>IFERROR(E1800*C1800,0)</f>
      </c>
      <c r="M1800" s="29">
        <f>IFERROR((G1800*H1800*I1800/1000000)*D1800,0)</f>
      </c>
    </row>
    <row r="1801" spans="1:13" x14ac:dyDescent="0.25">
      <c r="A1801" s="16"/>
      <c r="E1801" s="27"/>
      <c r="F1801" t="s">
        <v>26</v>
      </c>
      <c r="G1801" s="28">
        <f>IFERROR(VLOOKUP(F1801,CARTON_LOOKUP!$A:$E,3,0),"")</f>
      </c>
      <c r="H1801" s="28">
        <f>IFERROR(VLOOKUP(F1801,CARTON_LOOKUP!$A:$E,4,0),"")</f>
      </c>
      <c r="I1801" s="28">
        <f>IFERROR(VLOOKUP(F1801,CARTON_LOOKUP!$A:$E,5,0),"")</f>
      </c>
      <c r="J1801" s="29">
        <f>IFERROR(VLOOKUP(F1801,CARTON_LOOKUP!$A:$E,2,0),"")</f>
      </c>
      <c r="K1801" s="29">
        <f>IFERROR(J1801*D1801,0)</f>
      </c>
      <c r="L1801" s="29">
        <f>IFERROR(E1801*C1801,0)</f>
      </c>
      <c r="M1801" s="29">
        <f>IFERROR((G1801*H1801*I1801/1000000)*D1801,0)</f>
      </c>
    </row>
    <row r="1802" spans="1:13" x14ac:dyDescent="0.25">
      <c r="A1802" s="16"/>
      <c r="E1802" s="27"/>
      <c r="F1802" t="s">
        <v>26</v>
      </c>
      <c r="G1802" s="28">
        <f>IFERROR(VLOOKUP(F1802,CARTON_LOOKUP!$A:$E,3,0),"")</f>
      </c>
      <c r="H1802" s="28">
        <f>IFERROR(VLOOKUP(F1802,CARTON_LOOKUP!$A:$E,4,0),"")</f>
      </c>
      <c r="I1802" s="28">
        <f>IFERROR(VLOOKUP(F1802,CARTON_LOOKUP!$A:$E,5,0),"")</f>
      </c>
      <c r="J1802" s="29">
        <f>IFERROR(VLOOKUP(F1802,CARTON_LOOKUP!$A:$E,2,0),"")</f>
      </c>
      <c r="K1802" s="29">
        <f>IFERROR(J1802*D1802,0)</f>
      </c>
      <c r="L1802" s="29">
        <f>IFERROR(E1802*C1802,0)</f>
      </c>
      <c r="M1802" s="29">
        <f>IFERROR((G1802*H1802*I1802/1000000)*D1802,0)</f>
      </c>
    </row>
    <row r="1803" spans="1:13" x14ac:dyDescent="0.25">
      <c r="A1803" s="16"/>
      <c r="E1803" s="27"/>
      <c r="F1803" t="s">
        <v>26</v>
      </c>
      <c r="G1803" s="28">
        <f>IFERROR(VLOOKUP(F1803,CARTON_LOOKUP!$A:$E,3,0),"")</f>
      </c>
      <c r="H1803" s="28">
        <f>IFERROR(VLOOKUP(F1803,CARTON_LOOKUP!$A:$E,4,0),"")</f>
      </c>
      <c r="I1803" s="28">
        <f>IFERROR(VLOOKUP(F1803,CARTON_LOOKUP!$A:$E,5,0),"")</f>
      </c>
      <c r="J1803" s="29">
        <f>IFERROR(VLOOKUP(F1803,CARTON_LOOKUP!$A:$E,2,0),"")</f>
      </c>
      <c r="K1803" s="29">
        <f>IFERROR(J1803*D1803,0)</f>
      </c>
      <c r="L1803" s="29">
        <f>IFERROR(E1803*C1803,0)</f>
      </c>
      <c r="M1803" s="29">
        <f>IFERROR((G1803*H1803*I1803/1000000)*D1803,0)</f>
      </c>
    </row>
    <row r="1804" spans="1:13" x14ac:dyDescent="0.25">
      <c r="A1804" s="16"/>
      <c r="E1804" s="27"/>
      <c r="F1804" t="s">
        <v>26</v>
      </c>
      <c r="G1804" s="28">
        <f>IFERROR(VLOOKUP(F1804,CARTON_LOOKUP!$A:$E,3,0),"")</f>
      </c>
      <c r="H1804" s="28">
        <f>IFERROR(VLOOKUP(F1804,CARTON_LOOKUP!$A:$E,4,0),"")</f>
      </c>
      <c r="I1804" s="28">
        <f>IFERROR(VLOOKUP(F1804,CARTON_LOOKUP!$A:$E,5,0),"")</f>
      </c>
      <c r="J1804" s="29">
        <f>IFERROR(VLOOKUP(F1804,CARTON_LOOKUP!$A:$E,2,0),"")</f>
      </c>
      <c r="K1804" s="29">
        <f>IFERROR(J1804*D1804,0)</f>
      </c>
      <c r="L1804" s="29">
        <f>IFERROR(E1804*C1804,0)</f>
      </c>
      <c r="M1804" s="29">
        <f>IFERROR((G1804*H1804*I1804/1000000)*D1804,0)</f>
      </c>
    </row>
    <row r="1805" spans="1:13" x14ac:dyDescent="0.25">
      <c r="A1805" s="16"/>
      <c r="E1805" s="27"/>
      <c r="F1805" t="s">
        <v>26</v>
      </c>
      <c r="G1805" s="28">
        <f>IFERROR(VLOOKUP(F1805,CARTON_LOOKUP!$A:$E,3,0),"")</f>
      </c>
      <c r="H1805" s="28">
        <f>IFERROR(VLOOKUP(F1805,CARTON_LOOKUP!$A:$E,4,0),"")</f>
      </c>
      <c r="I1805" s="28">
        <f>IFERROR(VLOOKUP(F1805,CARTON_LOOKUP!$A:$E,5,0),"")</f>
      </c>
      <c r="J1805" s="29">
        <f>IFERROR(VLOOKUP(F1805,CARTON_LOOKUP!$A:$E,2,0),"")</f>
      </c>
      <c r="K1805" s="29">
        <f>IFERROR(J1805*D1805,0)</f>
      </c>
      <c r="L1805" s="29">
        <f>IFERROR(E1805*C1805,0)</f>
      </c>
      <c r="M1805" s="29">
        <f>IFERROR((G1805*H1805*I1805/1000000)*D1805,0)</f>
      </c>
    </row>
    <row r="1806" spans="1:13" x14ac:dyDescent="0.25">
      <c r="A1806" s="16"/>
      <c r="E1806" s="27"/>
      <c r="F1806" t="s">
        <v>26</v>
      </c>
      <c r="G1806" s="28">
        <f>IFERROR(VLOOKUP(F1806,CARTON_LOOKUP!$A:$E,3,0),"")</f>
      </c>
      <c r="H1806" s="28">
        <f>IFERROR(VLOOKUP(F1806,CARTON_LOOKUP!$A:$E,4,0),"")</f>
      </c>
      <c r="I1806" s="28">
        <f>IFERROR(VLOOKUP(F1806,CARTON_LOOKUP!$A:$E,5,0),"")</f>
      </c>
      <c r="J1806" s="29">
        <f>IFERROR(VLOOKUP(F1806,CARTON_LOOKUP!$A:$E,2,0),"")</f>
      </c>
      <c r="K1806" s="29">
        <f>IFERROR(J1806*D1806,0)</f>
      </c>
      <c r="L1806" s="29">
        <f>IFERROR(E1806*C1806,0)</f>
      </c>
      <c r="M1806" s="29">
        <f>IFERROR((G1806*H1806*I1806/1000000)*D1806,0)</f>
      </c>
    </row>
    <row r="1807" spans="1:13" x14ac:dyDescent="0.25">
      <c r="A1807" s="16"/>
      <c r="E1807" s="27"/>
      <c r="F1807" t="s">
        <v>26</v>
      </c>
      <c r="G1807" s="28">
        <f>IFERROR(VLOOKUP(F1807,CARTON_LOOKUP!$A:$E,3,0),"")</f>
      </c>
      <c r="H1807" s="28">
        <f>IFERROR(VLOOKUP(F1807,CARTON_LOOKUP!$A:$E,4,0),"")</f>
      </c>
      <c r="I1807" s="28">
        <f>IFERROR(VLOOKUP(F1807,CARTON_LOOKUP!$A:$E,5,0),"")</f>
      </c>
      <c r="J1807" s="29">
        <f>IFERROR(VLOOKUP(F1807,CARTON_LOOKUP!$A:$E,2,0),"")</f>
      </c>
      <c r="K1807" s="29">
        <f>IFERROR(J1807*D1807,0)</f>
      </c>
      <c r="L1807" s="29">
        <f>IFERROR(E1807*C1807,0)</f>
      </c>
      <c r="M1807" s="29">
        <f>IFERROR((G1807*H1807*I1807/1000000)*D1807,0)</f>
      </c>
    </row>
    <row r="1808" spans="1:13" x14ac:dyDescent="0.25">
      <c r="A1808" s="16"/>
      <c r="E1808" s="27"/>
      <c r="F1808" t="s">
        <v>26</v>
      </c>
      <c r="G1808" s="28">
        <f>IFERROR(VLOOKUP(F1808,CARTON_LOOKUP!$A:$E,3,0),"")</f>
      </c>
      <c r="H1808" s="28">
        <f>IFERROR(VLOOKUP(F1808,CARTON_LOOKUP!$A:$E,4,0),"")</f>
      </c>
      <c r="I1808" s="28">
        <f>IFERROR(VLOOKUP(F1808,CARTON_LOOKUP!$A:$E,5,0),"")</f>
      </c>
      <c r="J1808" s="29">
        <f>IFERROR(VLOOKUP(F1808,CARTON_LOOKUP!$A:$E,2,0),"")</f>
      </c>
      <c r="K1808" s="29">
        <f>IFERROR(J1808*D1808,0)</f>
      </c>
      <c r="L1808" s="29">
        <f>IFERROR(E1808*C1808,0)</f>
      </c>
      <c r="M1808" s="29">
        <f>IFERROR((G1808*H1808*I1808/1000000)*D1808,0)</f>
      </c>
    </row>
    <row r="1809" spans="1:13" x14ac:dyDescent="0.25">
      <c r="A1809" s="16"/>
      <c r="E1809" s="27"/>
      <c r="F1809" t="s">
        <v>26</v>
      </c>
      <c r="G1809" s="28">
        <f>IFERROR(VLOOKUP(F1809,CARTON_LOOKUP!$A:$E,3,0),"")</f>
      </c>
      <c r="H1809" s="28">
        <f>IFERROR(VLOOKUP(F1809,CARTON_LOOKUP!$A:$E,4,0),"")</f>
      </c>
      <c r="I1809" s="28">
        <f>IFERROR(VLOOKUP(F1809,CARTON_LOOKUP!$A:$E,5,0),"")</f>
      </c>
      <c r="J1809" s="29">
        <f>IFERROR(VLOOKUP(F1809,CARTON_LOOKUP!$A:$E,2,0),"")</f>
      </c>
      <c r="K1809" s="29">
        <f>IFERROR(J1809*D1809,0)</f>
      </c>
      <c r="L1809" s="29">
        <f>IFERROR(E1809*C1809,0)</f>
      </c>
      <c r="M1809" s="29">
        <f>IFERROR((G1809*H1809*I1809/1000000)*D1809,0)</f>
      </c>
    </row>
    <row r="1810" spans="1:13" x14ac:dyDescent="0.25">
      <c r="A1810" s="16"/>
      <c r="E1810" s="27"/>
      <c r="F1810" t="s">
        <v>26</v>
      </c>
      <c r="G1810" s="28">
        <f>IFERROR(VLOOKUP(F1810,CARTON_LOOKUP!$A:$E,3,0),"")</f>
      </c>
      <c r="H1810" s="28">
        <f>IFERROR(VLOOKUP(F1810,CARTON_LOOKUP!$A:$E,4,0),"")</f>
      </c>
      <c r="I1810" s="28">
        <f>IFERROR(VLOOKUP(F1810,CARTON_LOOKUP!$A:$E,5,0),"")</f>
      </c>
      <c r="J1810" s="29">
        <f>IFERROR(VLOOKUP(F1810,CARTON_LOOKUP!$A:$E,2,0),"")</f>
      </c>
      <c r="K1810" s="29">
        <f>IFERROR(J1810*D1810,0)</f>
      </c>
      <c r="L1810" s="29">
        <f>IFERROR(E1810*C1810,0)</f>
      </c>
      <c r="M1810" s="29">
        <f>IFERROR((G1810*H1810*I1810/1000000)*D1810,0)</f>
      </c>
    </row>
    <row r="1811" spans="1:13" x14ac:dyDescent="0.25">
      <c r="A1811" s="16"/>
      <c r="E1811" s="27"/>
      <c r="F1811" t="s">
        <v>26</v>
      </c>
      <c r="G1811" s="28">
        <f>IFERROR(VLOOKUP(F1811,CARTON_LOOKUP!$A:$E,3,0),"")</f>
      </c>
      <c r="H1811" s="28">
        <f>IFERROR(VLOOKUP(F1811,CARTON_LOOKUP!$A:$E,4,0),"")</f>
      </c>
      <c r="I1811" s="28">
        <f>IFERROR(VLOOKUP(F1811,CARTON_LOOKUP!$A:$E,5,0),"")</f>
      </c>
      <c r="J1811" s="29">
        <f>IFERROR(VLOOKUP(F1811,CARTON_LOOKUP!$A:$E,2,0),"")</f>
      </c>
      <c r="K1811" s="29">
        <f>IFERROR(J1811*D1811,0)</f>
      </c>
      <c r="L1811" s="29">
        <f>IFERROR(E1811*C1811,0)</f>
      </c>
      <c r="M1811" s="29">
        <f>IFERROR((G1811*H1811*I1811/1000000)*D1811,0)</f>
      </c>
    </row>
    <row r="1812" spans="1:13" x14ac:dyDescent="0.25">
      <c r="A1812" s="16"/>
      <c r="E1812" s="27"/>
      <c r="F1812" t="s">
        <v>26</v>
      </c>
      <c r="G1812" s="28">
        <f>IFERROR(VLOOKUP(F1812,CARTON_LOOKUP!$A:$E,3,0),"")</f>
      </c>
      <c r="H1812" s="28">
        <f>IFERROR(VLOOKUP(F1812,CARTON_LOOKUP!$A:$E,4,0),"")</f>
      </c>
      <c r="I1812" s="28">
        <f>IFERROR(VLOOKUP(F1812,CARTON_LOOKUP!$A:$E,5,0),"")</f>
      </c>
      <c r="J1812" s="29">
        <f>IFERROR(VLOOKUP(F1812,CARTON_LOOKUP!$A:$E,2,0),"")</f>
      </c>
      <c r="K1812" s="29">
        <f>IFERROR(J1812*D1812,0)</f>
      </c>
      <c r="L1812" s="29">
        <f>IFERROR(E1812*C1812,0)</f>
      </c>
      <c r="M1812" s="29">
        <f>IFERROR((G1812*H1812*I1812/1000000)*D1812,0)</f>
      </c>
    </row>
    <row r="1813" spans="1:13" x14ac:dyDescent="0.25">
      <c r="A1813" s="16"/>
      <c r="E1813" s="27"/>
      <c r="F1813" t="s">
        <v>26</v>
      </c>
      <c r="G1813" s="28">
        <f>IFERROR(VLOOKUP(F1813,CARTON_LOOKUP!$A:$E,3,0),"")</f>
      </c>
      <c r="H1813" s="28">
        <f>IFERROR(VLOOKUP(F1813,CARTON_LOOKUP!$A:$E,4,0),"")</f>
      </c>
      <c r="I1813" s="28">
        <f>IFERROR(VLOOKUP(F1813,CARTON_LOOKUP!$A:$E,5,0),"")</f>
      </c>
      <c r="J1813" s="29">
        <f>IFERROR(VLOOKUP(F1813,CARTON_LOOKUP!$A:$E,2,0),"")</f>
      </c>
      <c r="K1813" s="29">
        <f>IFERROR(J1813*D1813,0)</f>
      </c>
      <c r="L1813" s="29">
        <f>IFERROR(E1813*C1813,0)</f>
      </c>
      <c r="M1813" s="29">
        <f>IFERROR((G1813*H1813*I1813/1000000)*D1813,0)</f>
      </c>
    </row>
    <row r="1814" spans="1:13" x14ac:dyDescent="0.25">
      <c r="A1814" s="16"/>
      <c r="E1814" s="27"/>
      <c r="F1814" t="s">
        <v>26</v>
      </c>
      <c r="G1814" s="28">
        <f>IFERROR(VLOOKUP(F1814,CARTON_LOOKUP!$A:$E,3,0),"")</f>
      </c>
      <c r="H1814" s="28">
        <f>IFERROR(VLOOKUP(F1814,CARTON_LOOKUP!$A:$E,4,0),"")</f>
      </c>
      <c r="I1814" s="28">
        <f>IFERROR(VLOOKUP(F1814,CARTON_LOOKUP!$A:$E,5,0),"")</f>
      </c>
      <c r="J1814" s="29">
        <f>IFERROR(VLOOKUP(F1814,CARTON_LOOKUP!$A:$E,2,0),"")</f>
      </c>
      <c r="K1814" s="29">
        <f>IFERROR(J1814*D1814,0)</f>
      </c>
      <c r="L1814" s="29">
        <f>IFERROR(E1814*C1814,0)</f>
      </c>
      <c r="M1814" s="29">
        <f>IFERROR((G1814*H1814*I1814/1000000)*D1814,0)</f>
      </c>
    </row>
    <row r="1815" spans="1:13" x14ac:dyDescent="0.25">
      <c r="A1815" s="16"/>
      <c r="E1815" s="27"/>
      <c r="F1815" t="s">
        <v>26</v>
      </c>
      <c r="G1815" s="28">
        <f>IFERROR(VLOOKUP(F1815,CARTON_LOOKUP!$A:$E,3,0),"")</f>
      </c>
      <c r="H1815" s="28">
        <f>IFERROR(VLOOKUP(F1815,CARTON_LOOKUP!$A:$E,4,0),"")</f>
      </c>
      <c r="I1815" s="28">
        <f>IFERROR(VLOOKUP(F1815,CARTON_LOOKUP!$A:$E,5,0),"")</f>
      </c>
      <c r="J1815" s="29">
        <f>IFERROR(VLOOKUP(F1815,CARTON_LOOKUP!$A:$E,2,0),"")</f>
      </c>
      <c r="K1815" s="29">
        <f>IFERROR(J1815*D1815,0)</f>
      </c>
      <c r="L1815" s="29">
        <f>IFERROR(E1815*C1815,0)</f>
      </c>
      <c r="M1815" s="29">
        <f>IFERROR((G1815*H1815*I1815/1000000)*D1815,0)</f>
      </c>
    </row>
    <row r="1816" spans="1:13" x14ac:dyDescent="0.25">
      <c r="A1816" s="16"/>
      <c r="E1816" s="27"/>
      <c r="F1816" t="s">
        <v>26</v>
      </c>
      <c r="G1816" s="28">
        <f>IFERROR(VLOOKUP(F1816,CARTON_LOOKUP!$A:$E,3,0),"")</f>
      </c>
      <c r="H1816" s="28">
        <f>IFERROR(VLOOKUP(F1816,CARTON_LOOKUP!$A:$E,4,0),"")</f>
      </c>
      <c r="I1816" s="28">
        <f>IFERROR(VLOOKUP(F1816,CARTON_LOOKUP!$A:$E,5,0),"")</f>
      </c>
      <c r="J1816" s="29">
        <f>IFERROR(VLOOKUP(F1816,CARTON_LOOKUP!$A:$E,2,0),"")</f>
      </c>
      <c r="K1816" s="29">
        <f>IFERROR(J1816*D1816,0)</f>
      </c>
      <c r="L1816" s="29">
        <f>IFERROR(E1816*C1816,0)</f>
      </c>
      <c r="M1816" s="29">
        <f>IFERROR((G1816*H1816*I1816/1000000)*D1816,0)</f>
      </c>
    </row>
    <row r="1817" spans="1:13" x14ac:dyDescent="0.25">
      <c r="A1817" s="16"/>
      <c r="E1817" s="27"/>
      <c r="F1817" t="s">
        <v>26</v>
      </c>
      <c r="G1817" s="28">
        <f>IFERROR(VLOOKUP(F1817,CARTON_LOOKUP!$A:$E,3,0),"")</f>
      </c>
      <c r="H1817" s="28">
        <f>IFERROR(VLOOKUP(F1817,CARTON_LOOKUP!$A:$E,4,0),"")</f>
      </c>
      <c r="I1817" s="28">
        <f>IFERROR(VLOOKUP(F1817,CARTON_LOOKUP!$A:$E,5,0),"")</f>
      </c>
      <c r="J1817" s="29">
        <f>IFERROR(VLOOKUP(F1817,CARTON_LOOKUP!$A:$E,2,0),"")</f>
      </c>
      <c r="K1817" s="29">
        <f>IFERROR(J1817*D1817,0)</f>
      </c>
      <c r="L1817" s="29">
        <f>IFERROR(E1817*C1817,0)</f>
      </c>
      <c r="M1817" s="29">
        <f>IFERROR((G1817*H1817*I1817/1000000)*D1817,0)</f>
      </c>
    </row>
    <row r="1818" spans="1:13" x14ac:dyDescent="0.25">
      <c r="A1818" s="16"/>
      <c r="E1818" s="27"/>
      <c r="F1818" t="s">
        <v>26</v>
      </c>
      <c r="G1818" s="28">
        <f>IFERROR(VLOOKUP(F1818,CARTON_LOOKUP!$A:$E,3,0),"")</f>
      </c>
      <c r="H1818" s="28">
        <f>IFERROR(VLOOKUP(F1818,CARTON_LOOKUP!$A:$E,4,0),"")</f>
      </c>
      <c r="I1818" s="28">
        <f>IFERROR(VLOOKUP(F1818,CARTON_LOOKUP!$A:$E,5,0),"")</f>
      </c>
      <c r="J1818" s="29">
        <f>IFERROR(VLOOKUP(F1818,CARTON_LOOKUP!$A:$E,2,0),"")</f>
      </c>
      <c r="K1818" s="29">
        <f>IFERROR(J1818*D1818,0)</f>
      </c>
      <c r="L1818" s="29">
        <f>IFERROR(E1818*C1818,0)</f>
      </c>
      <c r="M1818" s="29">
        <f>IFERROR((G1818*H1818*I1818/1000000)*D1818,0)</f>
      </c>
    </row>
    <row r="1819" spans="1:13" x14ac:dyDescent="0.25">
      <c r="A1819" s="16"/>
      <c r="E1819" s="27"/>
      <c r="F1819" t="s">
        <v>26</v>
      </c>
      <c r="G1819" s="28">
        <f>IFERROR(VLOOKUP(F1819,CARTON_LOOKUP!$A:$E,3,0),"")</f>
      </c>
      <c r="H1819" s="28">
        <f>IFERROR(VLOOKUP(F1819,CARTON_LOOKUP!$A:$E,4,0),"")</f>
      </c>
      <c r="I1819" s="28">
        <f>IFERROR(VLOOKUP(F1819,CARTON_LOOKUP!$A:$E,5,0),"")</f>
      </c>
      <c r="J1819" s="29">
        <f>IFERROR(VLOOKUP(F1819,CARTON_LOOKUP!$A:$E,2,0),"")</f>
      </c>
      <c r="K1819" s="29">
        <f>IFERROR(J1819*D1819,0)</f>
      </c>
      <c r="L1819" s="29">
        <f>IFERROR(E1819*C1819,0)</f>
      </c>
      <c r="M1819" s="29">
        <f>IFERROR((G1819*H1819*I1819/1000000)*D1819,0)</f>
      </c>
    </row>
    <row r="1820" spans="1:13" x14ac:dyDescent="0.25">
      <c r="A1820" s="16"/>
      <c r="E1820" s="27"/>
      <c r="F1820" t="s">
        <v>26</v>
      </c>
      <c r="G1820" s="28">
        <f>IFERROR(VLOOKUP(F1820,CARTON_LOOKUP!$A:$E,3,0),"")</f>
      </c>
      <c r="H1820" s="28">
        <f>IFERROR(VLOOKUP(F1820,CARTON_LOOKUP!$A:$E,4,0),"")</f>
      </c>
      <c r="I1820" s="28">
        <f>IFERROR(VLOOKUP(F1820,CARTON_LOOKUP!$A:$E,5,0),"")</f>
      </c>
      <c r="J1820" s="29">
        <f>IFERROR(VLOOKUP(F1820,CARTON_LOOKUP!$A:$E,2,0),"")</f>
      </c>
      <c r="K1820" s="29">
        <f>IFERROR(J1820*D1820,0)</f>
      </c>
      <c r="L1820" s="29">
        <f>IFERROR(E1820*C1820,0)</f>
      </c>
      <c r="M1820" s="29">
        <f>IFERROR((G1820*H1820*I1820/1000000)*D1820,0)</f>
      </c>
    </row>
    <row r="1821" spans="1:13" x14ac:dyDescent="0.25">
      <c r="A1821" s="16"/>
      <c r="E1821" s="27"/>
      <c r="F1821" t="s">
        <v>26</v>
      </c>
      <c r="G1821" s="28">
        <f>IFERROR(VLOOKUP(F1821,CARTON_LOOKUP!$A:$E,3,0),"")</f>
      </c>
      <c r="H1821" s="28">
        <f>IFERROR(VLOOKUP(F1821,CARTON_LOOKUP!$A:$E,4,0),"")</f>
      </c>
      <c r="I1821" s="28">
        <f>IFERROR(VLOOKUP(F1821,CARTON_LOOKUP!$A:$E,5,0),"")</f>
      </c>
      <c r="J1821" s="29">
        <f>IFERROR(VLOOKUP(F1821,CARTON_LOOKUP!$A:$E,2,0),"")</f>
      </c>
      <c r="K1821" s="29">
        <f>IFERROR(J1821*D1821,0)</f>
      </c>
      <c r="L1821" s="29">
        <f>IFERROR(E1821*C1821,0)</f>
      </c>
      <c r="M1821" s="29">
        <f>IFERROR((G1821*H1821*I1821/1000000)*D1821,0)</f>
      </c>
    </row>
    <row r="1822" spans="1:13" x14ac:dyDescent="0.25">
      <c r="A1822" s="16"/>
      <c r="E1822" s="27"/>
      <c r="F1822" t="s">
        <v>26</v>
      </c>
      <c r="G1822" s="28">
        <f>IFERROR(VLOOKUP(F1822,CARTON_LOOKUP!$A:$E,3,0),"")</f>
      </c>
      <c r="H1822" s="28">
        <f>IFERROR(VLOOKUP(F1822,CARTON_LOOKUP!$A:$E,4,0),"")</f>
      </c>
      <c r="I1822" s="28">
        <f>IFERROR(VLOOKUP(F1822,CARTON_LOOKUP!$A:$E,5,0),"")</f>
      </c>
      <c r="J1822" s="29">
        <f>IFERROR(VLOOKUP(F1822,CARTON_LOOKUP!$A:$E,2,0),"")</f>
      </c>
      <c r="K1822" s="29">
        <f>IFERROR(J1822*D1822,0)</f>
      </c>
      <c r="L1822" s="29">
        <f>IFERROR(E1822*C1822,0)</f>
      </c>
      <c r="M1822" s="29">
        <f>IFERROR((G1822*H1822*I1822/1000000)*D1822,0)</f>
      </c>
    </row>
    <row r="1823" spans="1:13" x14ac:dyDescent="0.25">
      <c r="A1823" s="16"/>
      <c r="E1823" s="27"/>
      <c r="F1823" t="s">
        <v>26</v>
      </c>
      <c r="G1823" s="28">
        <f>IFERROR(VLOOKUP(F1823,CARTON_LOOKUP!$A:$E,3,0),"")</f>
      </c>
      <c r="H1823" s="28">
        <f>IFERROR(VLOOKUP(F1823,CARTON_LOOKUP!$A:$E,4,0),"")</f>
      </c>
      <c r="I1823" s="28">
        <f>IFERROR(VLOOKUP(F1823,CARTON_LOOKUP!$A:$E,5,0),"")</f>
      </c>
      <c r="J1823" s="29">
        <f>IFERROR(VLOOKUP(F1823,CARTON_LOOKUP!$A:$E,2,0),"")</f>
      </c>
      <c r="K1823" s="29">
        <f>IFERROR(J1823*D1823,0)</f>
      </c>
      <c r="L1823" s="29">
        <f>IFERROR(E1823*C1823,0)</f>
      </c>
      <c r="M1823" s="29">
        <f>IFERROR((G1823*H1823*I1823/1000000)*D1823,0)</f>
      </c>
    </row>
    <row r="1824" spans="1:13" x14ac:dyDescent="0.25">
      <c r="A1824" s="16"/>
      <c r="E1824" s="27"/>
      <c r="F1824" t="s">
        <v>26</v>
      </c>
      <c r="G1824" s="28">
        <f>IFERROR(VLOOKUP(F1824,CARTON_LOOKUP!$A:$E,3,0),"")</f>
      </c>
      <c r="H1824" s="28">
        <f>IFERROR(VLOOKUP(F1824,CARTON_LOOKUP!$A:$E,4,0),"")</f>
      </c>
      <c r="I1824" s="28">
        <f>IFERROR(VLOOKUP(F1824,CARTON_LOOKUP!$A:$E,5,0),"")</f>
      </c>
      <c r="J1824" s="29">
        <f>IFERROR(VLOOKUP(F1824,CARTON_LOOKUP!$A:$E,2,0),"")</f>
      </c>
      <c r="K1824" s="29">
        <f>IFERROR(J1824*D1824,0)</f>
      </c>
      <c r="L1824" s="29">
        <f>IFERROR(E1824*C1824,0)</f>
      </c>
      <c r="M1824" s="29">
        <f>IFERROR((G1824*H1824*I1824/1000000)*D1824,0)</f>
      </c>
    </row>
    <row r="1825" spans="1:13" x14ac:dyDescent="0.25">
      <c r="A1825" s="16"/>
      <c r="E1825" s="27"/>
      <c r="F1825" t="s">
        <v>26</v>
      </c>
      <c r="G1825" s="28">
        <f>IFERROR(VLOOKUP(F1825,CARTON_LOOKUP!$A:$E,3,0),"")</f>
      </c>
      <c r="H1825" s="28">
        <f>IFERROR(VLOOKUP(F1825,CARTON_LOOKUP!$A:$E,4,0),"")</f>
      </c>
      <c r="I1825" s="28">
        <f>IFERROR(VLOOKUP(F1825,CARTON_LOOKUP!$A:$E,5,0),"")</f>
      </c>
      <c r="J1825" s="29">
        <f>IFERROR(VLOOKUP(F1825,CARTON_LOOKUP!$A:$E,2,0),"")</f>
      </c>
      <c r="K1825" s="29">
        <f>IFERROR(J1825*D1825,0)</f>
      </c>
      <c r="L1825" s="29">
        <f>IFERROR(E1825*C1825,0)</f>
      </c>
      <c r="M1825" s="29">
        <f>IFERROR((G1825*H1825*I1825/1000000)*D1825,0)</f>
      </c>
    </row>
    <row r="1826" spans="1:13" x14ac:dyDescent="0.25">
      <c r="A1826" s="16"/>
      <c r="E1826" s="27"/>
      <c r="F1826" t="s">
        <v>26</v>
      </c>
      <c r="G1826" s="28">
        <f>IFERROR(VLOOKUP(F1826,CARTON_LOOKUP!$A:$E,3,0),"")</f>
      </c>
      <c r="H1826" s="28">
        <f>IFERROR(VLOOKUP(F1826,CARTON_LOOKUP!$A:$E,4,0),"")</f>
      </c>
      <c r="I1826" s="28">
        <f>IFERROR(VLOOKUP(F1826,CARTON_LOOKUP!$A:$E,5,0),"")</f>
      </c>
      <c r="J1826" s="29">
        <f>IFERROR(VLOOKUP(F1826,CARTON_LOOKUP!$A:$E,2,0),"")</f>
      </c>
      <c r="K1826" s="29">
        <f>IFERROR(J1826*D1826,0)</f>
      </c>
      <c r="L1826" s="29">
        <f>IFERROR(E1826*C1826,0)</f>
      </c>
      <c r="M1826" s="29">
        <f>IFERROR((G1826*H1826*I1826/1000000)*D1826,0)</f>
      </c>
    </row>
    <row r="1827" spans="1:13" x14ac:dyDescent="0.25">
      <c r="A1827" s="16"/>
      <c r="E1827" s="27"/>
      <c r="F1827" t="s">
        <v>26</v>
      </c>
      <c r="G1827" s="28">
        <f>IFERROR(VLOOKUP(F1827,CARTON_LOOKUP!$A:$E,3,0),"")</f>
      </c>
      <c r="H1827" s="28">
        <f>IFERROR(VLOOKUP(F1827,CARTON_LOOKUP!$A:$E,4,0),"")</f>
      </c>
      <c r="I1827" s="28">
        <f>IFERROR(VLOOKUP(F1827,CARTON_LOOKUP!$A:$E,5,0),"")</f>
      </c>
      <c r="J1827" s="29">
        <f>IFERROR(VLOOKUP(F1827,CARTON_LOOKUP!$A:$E,2,0),"")</f>
      </c>
      <c r="K1827" s="29">
        <f>IFERROR(J1827*D1827,0)</f>
      </c>
      <c r="L1827" s="29">
        <f>IFERROR(E1827*C1827,0)</f>
      </c>
      <c r="M1827" s="29">
        <f>IFERROR((G1827*H1827*I1827/1000000)*D1827,0)</f>
      </c>
    </row>
    <row r="1828" spans="1:13" x14ac:dyDescent="0.25">
      <c r="A1828" s="16"/>
      <c r="E1828" s="27"/>
      <c r="F1828" t="s">
        <v>26</v>
      </c>
      <c r="G1828" s="28">
        <f>IFERROR(VLOOKUP(F1828,CARTON_LOOKUP!$A:$E,3,0),"")</f>
      </c>
      <c r="H1828" s="28">
        <f>IFERROR(VLOOKUP(F1828,CARTON_LOOKUP!$A:$E,4,0),"")</f>
      </c>
      <c r="I1828" s="28">
        <f>IFERROR(VLOOKUP(F1828,CARTON_LOOKUP!$A:$E,5,0),"")</f>
      </c>
      <c r="J1828" s="29">
        <f>IFERROR(VLOOKUP(F1828,CARTON_LOOKUP!$A:$E,2,0),"")</f>
      </c>
      <c r="K1828" s="29">
        <f>IFERROR(J1828*D1828,0)</f>
      </c>
      <c r="L1828" s="29">
        <f>IFERROR(E1828*C1828,0)</f>
      </c>
      <c r="M1828" s="29">
        <f>IFERROR((G1828*H1828*I1828/1000000)*D1828,0)</f>
      </c>
    </row>
    <row r="1829" spans="1:13" x14ac:dyDescent="0.25">
      <c r="A1829" s="16"/>
      <c r="E1829" s="27"/>
      <c r="F1829" t="s">
        <v>26</v>
      </c>
      <c r="G1829" s="28">
        <f>IFERROR(VLOOKUP(F1829,CARTON_LOOKUP!$A:$E,3,0),"")</f>
      </c>
      <c r="H1829" s="28">
        <f>IFERROR(VLOOKUP(F1829,CARTON_LOOKUP!$A:$E,4,0),"")</f>
      </c>
      <c r="I1829" s="28">
        <f>IFERROR(VLOOKUP(F1829,CARTON_LOOKUP!$A:$E,5,0),"")</f>
      </c>
      <c r="J1829" s="29">
        <f>IFERROR(VLOOKUP(F1829,CARTON_LOOKUP!$A:$E,2,0),"")</f>
      </c>
      <c r="K1829" s="29">
        <f>IFERROR(J1829*D1829,0)</f>
      </c>
      <c r="L1829" s="29">
        <f>IFERROR(E1829*C1829,0)</f>
      </c>
      <c r="M1829" s="29">
        <f>IFERROR((G1829*H1829*I1829/1000000)*D1829,0)</f>
      </c>
    </row>
    <row r="1830" spans="1:13" x14ac:dyDescent="0.25">
      <c r="A1830" s="16"/>
      <c r="E1830" s="27"/>
      <c r="F1830" t="s">
        <v>26</v>
      </c>
      <c r="G1830" s="28">
        <f>IFERROR(VLOOKUP(F1830,CARTON_LOOKUP!$A:$E,3,0),"")</f>
      </c>
      <c r="H1830" s="28">
        <f>IFERROR(VLOOKUP(F1830,CARTON_LOOKUP!$A:$E,4,0),"")</f>
      </c>
      <c r="I1830" s="28">
        <f>IFERROR(VLOOKUP(F1830,CARTON_LOOKUP!$A:$E,5,0),"")</f>
      </c>
      <c r="J1830" s="29">
        <f>IFERROR(VLOOKUP(F1830,CARTON_LOOKUP!$A:$E,2,0),"")</f>
      </c>
      <c r="K1830" s="29">
        <f>IFERROR(J1830*D1830,0)</f>
      </c>
      <c r="L1830" s="29">
        <f>IFERROR(E1830*C1830,0)</f>
      </c>
      <c r="M1830" s="29">
        <f>IFERROR((G1830*H1830*I1830/1000000)*D1830,0)</f>
      </c>
    </row>
    <row r="1831" spans="1:13" x14ac:dyDescent="0.25">
      <c r="A1831" s="16"/>
      <c r="E1831" s="27"/>
      <c r="F1831" t="s">
        <v>26</v>
      </c>
      <c r="G1831" s="28">
        <f>IFERROR(VLOOKUP(F1831,CARTON_LOOKUP!$A:$E,3,0),"")</f>
      </c>
      <c r="H1831" s="28">
        <f>IFERROR(VLOOKUP(F1831,CARTON_LOOKUP!$A:$E,4,0),"")</f>
      </c>
      <c r="I1831" s="28">
        <f>IFERROR(VLOOKUP(F1831,CARTON_LOOKUP!$A:$E,5,0),"")</f>
      </c>
      <c r="J1831" s="29">
        <f>IFERROR(VLOOKUP(F1831,CARTON_LOOKUP!$A:$E,2,0),"")</f>
      </c>
      <c r="K1831" s="29">
        <f>IFERROR(J1831*D1831,0)</f>
      </c>
      <c r="L1831" s="29">
        <f>IFERROR(E1831*C1831,0)</f>
      </c>
      <c r="M1831" s="29">
        <f>IFERROR((G1831*H1831*I1831/1000000)*D1831,0)</f>
      </c>
    </row>
    <row r="1832" spans="1:13" x14ac:dyDescent="0.25">
      <c r="A1832" s="16"/>
      <c r="E1832" s="27"/>
      <c r="F1832" t="s">
        <v>26</v>
      </c>
      <c r="G1832" s="28">
        <f>IFERROR(VLOOKUP(F1832,CARTON_LOOKUP!$A:$E,3,0),"")</f>
      </c>
      <c r="H1832" s="28">
        <f>IFERROR(VLOOKUP(F1832,CARTON_LOOKUP!$A:$E,4,0),"")</f>
      </c>
      <c r="I1832" s="28">
        <f>IFERROR(VLOOKUP(F1832,CARTON_LOOKUP!$A:$E,5,0),"")</f>
      </c>
      <c r="J1832" s="29">
        <f>IFERROR(VLOOKUP(F1832,CARTON_LOOKUP!$A:$E,2,0),"")</f>
      </c>
      <c r="K1832" s="29">
        <f>IFERROR(J1832*D1832,0)</f>
      </c>
      <c r="L1832" s="29">
        <f>IFERROR(E1832*C1832,0)</f>
      </c>
      <c r="M1832" s="29">
        <f>IFERROR((G1832*H1832*I1832/1000000)*D1832,0)</f>
      </c>
    </row>
    <row r="1833" spans="1:13" x14ac:dyDescent="0.25">
      <c r="A1833" s="16"/>
      <c r="E1833" s="27"/>
      <c r="F1833" t="s">
        <v>26</v>
      </c>
      <c r="G1833" s="28">
        <f>IFERROR(VLOOKUP(F1833,CARTON_LOOKUP!$A:$E,3,0),"")</f>
      </c>
      <c r="H1833" s="28">
        <f>IFERROR(VLOOKUP(F1833,CARTON_LOOKUP!$A:$E,4,0),"")</f>
      </c>
      <c r="I1833" s="28">
        <f>IFERROR(VLOOKUP(F1833,CARTON_LOOKUP!$A:$E,5,0),"")</f>
      </c>
      <c r="J1833" s="29">
        <f>IFERROR(VLOOKUP(F1833,CARTON_LOOKUP!$A:$E,2,0),"")</f>
      </c>
      <c r="K1833" s="29">
        <f>IFERROR(J1833*D1833,0)</f>
      </c>
      <c r="L1833" s="29">
        <f>IFERROR(E1833*C1833,0)</f>
      </c>
      <c r="M1833" s="29">
        <f>IFERROR((G1833*H1833*I1833/1000000)*D1833,0)</f>
      </c>
    </row>
    <row r="1834" spans="1:13" x14ac:dyDescent="0.25">
      <c r="A1834" s="16"/>
      <c r="E1834" s="27"/>
      <c r="F1834" t="s">
        <v>26</v>
      </c>
      <c r="G1834" s="28">
        <f>IFERROR(VLOOKUP(F1834,CARTON_LOOKUP!$A:$E,3,0),"")</f>
      </c>
      <c r="H1834" s="28">
        <f>IFERROR(VLOOKUP(F1834,CARTON_LOOKUP!$A:$E,4,0),"")</f>
      </c>
      <c r="I1834" s="28">
        <f>IFERROR(VLOOKUP(F1834,CARTON_LOOKUP!$A:$E,5,0),"")</f>
      </c>
      <c r="J1834" s="29">
        <f>IFERROR(VLOOKUP(F1834,CARTON_LOOKUP!$A:$E,2,0),"")</f>
      </c>
      <c r="K1834" s="29">
        <f>IFERROR(J1834*D1834,0)</f>
      </c>
      <c r="L1834" s="29">
        <f>IFERROR(E1834*C1834,0)</f>
      </c>
      <c r="M1834" s="29">
        <f>IFERROR((G1834*H1834*I1834/1000000)*D1834,0)</f>
      </c>
    </row>
    <row r="1835" spans="1:13" x14ac:dyDescent="0.25">
      <c r="A1835" s="16"/>
      <c r="E1835" s="27"/>
      <c r="F1835" t="s">
        <v>26</v>
      </c>
      <c r="G1835" s="28">
        <f>IFERROR(VLOOKUP(F1835,CARTON_LOOKUP!$A:$E,3,0),"")</f>
      </c>
      <c r="H1835" s="28">
        <f>IFERROR(VLOOKUP(F1835,CARTON_LOOKUP!$A:$E,4,0),"")</f>
      </c>
      <c r="I1835" s="28">
        <f>IFERROR(VLOOKUP(F1835,CARTON_LOOKUP!$A:$E,5,0),"")</f>
      </c>
      <c r="J1835" s="29">
        <f>IFERROR(VLOOKUP(F1835,CARTON_LOOKUP!$A:$E,2,0),"")</f>
      </c>
      <c r="K1835" s="29">
        <f>IFERROR(J1835*D1835,0)</f>
      </c>
      <c r="L1835" s="29">
        <f>IFERROR(E1835*C1835,0)</f>
      </c>
      <c r="M1835" s="29">
        <f>IFERROR((G1835*H1835*I1835/1000000)*D1835,0)</f>
      </c>
    </row>
    <row r="1836" spans="1:13" x14ac:dyDescent="0.25">
      <c r="A1836" s="16"/>
      <c r="E1836" s="27"/>
      <c r="F1836" t="s">
        <v>26</v>
      </c>
      <c r="G1836" s="28">
        <f>IFERROR(VLOOKUP(F1836,CARTON_LOOKUP!$A:$E,3,0),"")</f>
      </c>
      <c r="H1836" s="28">
        <f>IFERROR(VLOOKUP(F1836,CARTON_LOOKUP!$A:$E,4,0),"")</f>
      </c>
      <c r="I1836" s="28">
        <f>IFERROR(VLOOKUP(F1836,CARTON_LOOKUP!$A:$E,5,0),"")</f>
      </c>
      <c r="J1836" s="29">
        <f>IFERROR(VLOOKUP(F1836,CARTON_LOOKUP!$A:$E,2,0),"")</f>
      </c>
      <c r="K1836" s="29">
        <f>IFERROR(J1836*D1836,0)</f>
      </c>
      <c r="L1836" s="29">
        <f>IFERROR(E1836*C1836,0)</f>
      </c>
      <c r="M1836" s="29">
        <f>IFERROR((G1836*H1836*I1836/1000000)*D1836,0)</f>
      </c>
    </row>
    <row r="1837" spans="1:13" x14ac:dyDescent="0.25">
      <c r="A1837" s="16"/>
      <c r="E1837" s="27"/>
      <c r="F1837" t="s">
        <v>26</v>
      </c>
      <c r="G1837" s="28">
        <f>IFERROR(VLOOKUP(F1837,CARTON_LOOKUP!$A:$E,3,0),"")</f>
      </c>
      <c r="H1837" s="28">
        <f>IFERROR(VLOOKUP(F1837,CARTON_LOOKUP!$A:$E,4,0),"")</f>
      </c>
      <c r="I1837" s="28">
        <f>IFERROR(VLOOKUP(F1837,CARTON_LOOKUP!$A:$E,5,0),"")</f>
      </c>
      <c r="J1837" s="29">
        <f>IFERROR(VLOOKUP(F1837,CARTON_LOOKUP!$A:$E,2,0),"")</f>
      </c>
      <c r="K1837" s="29">
        <f>IFERROR(J1837*D1837,0)</f>
      </c>
      <c r="L1837" s="29">
        <f>IFERROR(E1837*C1837,0)</f>
      </c>
      <c r="M1837" s="29">
        <f>IFERROR((G1837*H1837*I1837/1000000)*D1837,0)</f>
      </c>
    </row>
    <row r="1838" spans="1:13" x14ac:dyDescent="0.25">
      <c r="A1838" s="16"/>
      <c r="E1838" s="27"/>
      <c r="F1838" t="s">
        <v>26</v>
      </c>
      <c r="G1838" s="28">
        <f>IFERROR(VLOOKUP(F1838,CARTON_LOOKUP!$A:$E,3,0),"")</f>
      </c>
      <c r="H1838" s="28">
        <f>IFERROR(VLOOKUP(F1838,CARTON_LOOKUP!$A:$E,4,0),"")</f>
      </c>
      <c r="I1838" s="28">
        <f>IFERROR(VLOOKUP(F1838,CARTON_LOOKUP!$A:$E,5,0),"")</f>
      </c>
      <c r="J1838" s="29">
        <f>IFERROR(VLOOKUP(F1838,CARTON_LOOKUP!$A:$E,2,0),"")</f>
      </c>
      <c r="K1838" s="29">
        <f>IFERROR(J1838*D1838,0)</f>
      </c>
      <c r="L1838" s="29">
        <f>IFERROR(E1838*C1838,0)</f>
      </c>
      <c r="M1838" s="29">
        <f>IFERROR((G1838*H1838*I1838/1000000)*D1838,0)</f>
      </c>
    </row>
    <row r="1839" spans="1:13" x14ac:dyDescent="0.25">
      <c r="A1839" s="16"/>
      <c r="E1839" s="27"/>
      <c r="F1839" t="s">
        <v>26</v>
      </c>
      <c r="G1839" s="28">
        <f>IFERROR(VLOOKUP(F1839,CARTON_LOOKUP!$A:$E,3,0),"")</f>
      </c>
      <c r="H1839" s="28">
        <f>IFERROR(VLOOKUP(F1839,CARTON_LOOKUP!$A:$E,4,0),"")</f>
      </c>
      <c r="I1839" s="28">
        <f>IFERROR(VLOOKUP(F1839,CARTON_LOOKUP!$A:$E,5,0),"")</f>
      </c>
      <c r="J1839" s="29">
        <f>IFERROR(VLOOKUP(F1839,CARTON_LOOKUP!$A:$E,2,0),"")</f>
      </c>
      <c r="K1839" s="29">
        <f>IFERROR(J1839*D1839,0)</f>
      </c>
      <c r="L1839" s="29">
        <f>IFERROR(E1839*C1839,0)</f>
      </c>
      <c r="M1839" s="29">
        <f>IFERROR((G1839*H1839*I1839/1000000)*D1839,0)</f>
      </c>
    </row>
    <row r="1840" spans="1:13" x14ac:dyDescent="0.25">
      <c r="A1840" s="16"/>
      <c r="E1840" s="27"/>
      <c r="F1840" t="s">
        <v>26</v>
      </c>
      <c r="G1840" s="28">
        <f>IFERROR(VLOOKUP(F1840,CARTON_LOOKUP!$A:$E,3,0),"")</f>
      </c>
      <c r="H1840" s="28">
        <f>IFERROR(VLOOKUP(F1840,CARTON_LOOKUP!$A:$E,4,0),"")</f>
      </c>
      <c r="I1840" s="28">
        <f>IFERROR(VLOOKUP(F1840,CARTON_LOOKUP!$A:$E,5,0),"")</f>
      </c>
      <c r="J1840" s="29">
        <f>IFERROR(VLOOKUP(F1840,CARTON_LOOKUP!$A:$E,2,0),"")</f>
      </c>
      <c r="K1840" s="29">
        <f>IFERROR(J1840*D1840,0)</f>
      </c>
      <c r="L1840" s="29">
        <f>IFERROR(E1840*C1840,0)</f>
      </c>
      <c r="M1840" s="29">
        <f>IFERROR((G1840*H1840*I1840/1000000)*D1840,0)</f>
      </c>
    </row>
    <row r="1841" spans="1:13" x14ac:dyDescent="0.25">
      <c r="A1841" s="16"/>
      <c r="E1841" s="27"/>
      <c r="F1841" t="s">
        <v>26</v>
      </c>
      <c r="G1841" s="28">
        <f>IFERROR(VLOOKUP(F1841,CARTON_LOOKUP!$A:$E,3,0),"")</f>
      </c>
      <c r="H1841" s="28">
        <f>IFERROR(VLOOKUP(F1841,CARTON_LOOKUP!$A:$E,4,0),"")</f>
      </c>
      <c r="I1841" s="28">
        <f>IFERROR(VLOOKUP(F1841,CARTON_LOOKUP!$A:$E,5,0),"")</f>
      </c>
      <c r="J1841" s="29">
        <f>IFERROR(VLOOKUP(F1841,CARTON_LOOKUP!$A:$E,2,0),"")</f>
      </c>
      <c r="K1841" s="29">
        <f>IFERROR(J1841*D1841,0)</f>
      </c>
      <c r="L1841" s="29">
        <f>IFERROR(E1841*C1841,0)</f>
      </c>
      <c r="M1841" s="29">
        <f>IFERROR((G1841*H1841*I1841/1000000)*D1841,0)</f>
      </c>
    </row>
    <row r="1842" spans="1:13" x14ac:dyDescent="0.25">
      <c r="A1842" s="16"/>
      <c r="E1842" s="27"/>
      <c r="F1842" t="s">
        <v>26</v>
      </c>
      <c r="G1842" s="28">
        <f>IFERROR(VLOOKUP(F1842,CARTON_LOOKUP!$A:$E,3,0),"")</f>
      </c>
      <c r="H1842" s="28">
        <f>IFERROR(VLOOKUP(F1842,CARTON_LOOKUP!$A:$E,4,0),"")</f>
      </c>
      <c r="I1842" s="28">
        <f>IFERROR(VLOOKUP(F1842,CARTON_LOOKUP!$A:$E,5,0),"")</f>
      </c>
      <c r="J1842" s="29">
        <f>IFERROR(VLOOKUP(F1842,CARTON_LOOKUP!$A:$E,2,0),"")</f>
      </c>
      <c r="K1842" s="29">
        <f>IFERROR(J1842*D1842,0)</f>
      </c>
      <c r="L1842" s="29">
        <f>IFERROR(E1842*C1842,0)</f>
      </c>
      <c r="M1842" s="29">
        <f>IFERROR((G1842*H1842*I1842/1000000)*D1842,0)</f>
      </c>
    </row>
    <row r="1843" spans="1:13" x14ac:dyDescent="0.25">
      <c r="A1843" s="16"/>
      <c r="E1843" s="27"/>
      <c r="F1843" t="s">
        <v>26</v>
      </c>
      <c r="G1843" s="28">
        <f>IFERROR(VLOOKUP(F1843,CARTON_LOOKUP!$A:$E,3,0),"")</f>
      </c>
      <c r="H1843" s="28">
        <f>IFERROR(VLOOKUP(F1843,CARTON_LOOKUP!$A:$E,4,0),"")</f>
      </c>
      <c r="I1843" s="28">
        <f>IFERROR(VLOOKUP(F1843,CARTON_LOOKUP!$A:$E,5,0),"")</f>
      </c>
      <c r="J1843" s="29">
        <f>IFERROR(VLOOKUP(F1843,CARTON_LOOKUP!$A:$E,2,0),"")</f>
      </c>
      <c r="K1843" s="29">
        <f>IFERROR(J1843*D1843,0)</f>
      </c>
      <c r="L1843" s="29">
        <f>IFERROR(E1843*C1843,0)</f>
      </c>
      <c r="M1843" s="29">
        <f>IFERROR((G1843*H1843*I1843/1000000)*D1843,0)</f>
      </c>
    </row>
    <row r="1844" spans="1:13" x14ac:dyDescent="0.25">
      <c r="A1844" s="16"/>
      <c r="E1844" s="27"/>
      <c r="F1844" t="s">
        <v>26</v>
      </c>
      <c r="G1844" s="28">
        <f>IFERROR(VLOOKUP(F1844,CARTON_LOOKUP!$A:$E,3,0),"")</f>
      </c>
      <c r="H1844" s="28">
        <f>IFERROR(VLOOKUP(F1844,CARTON_LOOKUP!$A:$E,4,0),"")</f>
      </c>
      <c r="I1844" s="28">
        <f>IFERROR(VLOOKUP(F1844,CARTON_LOOKUP!$A:$E,5,0),"")</f>
      </c>
      <c r="J1844" s="29">
        <f>IFERROR(VLOOKUP(F1844,CARTON_LOOKUP!$A:$E,2,0),"")</f>
      </c>
      <c r="K1844" s="29">
        <f>IFERROR(J1844*D1844,0)</f>
      </c>
      <c r="L1844" s="29">
        <f>IFERROR(E1844*C1844,0)</f>
      </c>
      <c r="M1844" s="29">
        <f>IFERROR((G1844*H1844*I1844/1000000)*D1844,0)</f>
      </c>
    </row>
    <row r="1845" spans="1:13" x14ac:dyDescent="0.25">
      <c r="A1845" s="16"/>
      <c r="E1845" s="27"/>
      <c r="F1845" t="s">
        <v>26</v>
      </c>
      <c r="G1845" s="28">
        <f>IFERROR(VLOOKUP(F1845,CARTON_LOOKUP!$A:$E,3,0),"")</f>
      </c>
      <c r="H1845" s="28">
        <f>IFERROR(VLOOKUP(F1845,CARTON_LOOKUP!$A:$E,4,0),"")</f>
      </c>
      <c r="I1845" s="28">
        <f>IFERROR(VLOOKUP(F1845,CARTON_LOOKUP!$A:$E,5,0),"")</f>
      </c>
      <c r="J1845" s="29">
        <f>IFERROR(VLOOKUP(F1845,CARTON_LOOKUP!$A:$E,2,0),"")</f>
      </c>
      <c r="K1845" s="29">
        <f>IFERROR(J1845*D1845,0)</f>
      </c>
      <c r="L1845" s="29">
        <f>IFERROR(E1845*C1845,0)</f>
      </c>
      <c r="M1845" s="29">
        <f>IFERROR((G1845*H1845*I1845/1000000)*D1845,0)</f>
      </c>
    </row>
    <row r="1846" spans="1:13" x14ac:dyDescent="0.25">
      <c r="A1846" s="16"/>
      <c r="E1846" s="27"/>
      <c r="F1846" t="s">
        <v>26</v>
      </c>
      <c r="G1846" s="28">
        <f>IFERROR(VLOOKUP(F1846,CARTON_LOOKUP!$A:$E,3,0),"")</f>
      </c>
      <c r="H1846" s="28">
        <f>IFERROR(VLOOKUP(F1846,CARTON_LOOKUP!$A:$E,4,0),"")</f>
      </c>
      <c r="I1846" s="28">
        <f>IFERROR(VLOOKUP(F1846,CARTON_LOOKUP!$A:$E,5,0),"")</f>
      </c>
      <c r="J1846" s="29">
        <f>IFERROR(VLOOKUP(F1846,CARTON_LOOKUP!$A:$E,2,0),"")</f>
      </c>
      <c r="K1846" s="29">
        <f>IFERROR(J1846*D1846,0)</f>
      </c>
      <c r="L1846" s="29">
        <f>IFERROR(E1846*C1846,0)</f>
      </c>
      <c r="M1846" s="29">
        <f>IFERROR((G1846*H1846*I1846/1000000)*D1846,0)</f>
      </c>
    </row>
    <row r="1847" spans="1:13" x14ac:dyDescent="0.25">
      <c r="A1847" s="16"/>
      <c r="E1847" s="27"/>
      <c r="F1847" t="s">
        <v>26</v>
      </c>
      <c r="G1847" s="28">
        <f>IFERROR(VLOOKUP(F1847,CARTON_LOOKUP!$A:$E,3,0),"")</f>
      </c>
      <c r="H1847" s="28">
        <f>IFERROR(VLOOKUP(F1847,CARTON_LOOKUP!$A:$E,4,0),"")</f>
      </c>
      <c r="I1847" s="28">
        <f>IFERROR(VLOOKUP(F1847,CARTON_LOOKUP!$A:$E,5,0),"")</f>
      </c>
      <c r="J1847" s="29">
        <f>IFERROR(VLOOKUP(F1847,CARTON_LOOKUP!$A:$E,2,0),"")</f>
      </c>
      <c r="K1847" s="29">
        <f>IFERROR(J1847*D1847,0)</f>
      </c>
      <c r="L1847" s="29">
        <f>IFERROR(E1847*C1847,0)</f>
      </c>
      <c r="M1847" s="29">
        <f>IFERROR((G1847*H1847*I1847/1000000)*D1847,0)</f>
      </c>
    </row>
    <row r="1848" spans="1:13" x14ac:dyDescent="0.25">
      <c r="A1848" s="16"/>
      <c r="E1848" s="27"/>
      <c r="F1848" t="s">
        <v>26</v>
      </c>
      <c r="G1848" s="28">
        <f>IFERROR(VLOOKUP(F1848,CARTON_LOOKUP!$A:$E,3,0),"")</f>
      </c>
      <c r="H1848" s="28">
        <f>IFERROR(VLOOKUP(F1848,CARTON_LOOKUP!$A:$E,4,0),"")</f>
      </c>
      <c r="I1848" s="28">
        <f>IFERROR(VLOOKUP(F1848,CARTON_LOOKUP!$A:$E,5,0),"")</f>
      </c>
      <c r="J1848" s="29">
        <f>IFERROR(VLOOKUP(F1848,CARTON_LOOKUP!$A:$E,2,0),"")</f>
      </c>
      <c r="K1848" s="29">
        <f>IFERROR(J1848*D1848,0)</f>
      </c>
      <c r="L1848" s="29">
        <f>IFERROR(E1848*C1848,0)</f>
      </c>
      <c r="M1848" s="29">
        <f>IFERROR((G1848*H1848*I1848/1000000)*D1848,0)</f>
      </c>
    </row>
    <row r="1849" spans="1:13" x14ac:dyDescent="0.25">
      <c r="A1849" s="16"/>
      <c r="E1849" s="27"/>
      <c r="F1849" t="s">
        <v>26</v>
      </c>
      <c r="G1849" s="28">
        <f>IFERROR(VLOOKUP(F1849,CARTON_LOOKUP!$A:$E,3,0),"")</f>
      </c>
      <c r="H1849" s="28">
        <f>IFERROR(VLOOKUP(F1849,CARTON_LOOKUP!$A:$E,4,0),"")</f>
      </c>
      <c r="I1849" s="28">
        <f>IFERROR(VLOOKUP(F1849,CARTON_LOOKUP!$A:$E,5,0),"")</f>
      </c>
      <c r="J1849" s="29">
        <f>IFERROR(VLOOKUP(F1849,CARTON_LOOKUP!$A:$E,2,0),"")</f>
      </c>
      <c r="K1849" s="29">
        <f>IFERROR(J1849*D1849,0)</f>
      </c>
      <c r="L1849" s="29">
        <f>IFERROR(E1849*C1849,0)</f>
      </c>
      <c r="M1849" s="29">
        <f>IFERROR((G1849*H1849*I1849/1000000)*D1849,0)</f>
      </c>
    </row>
    <row r="1850" spans="1:13" x14ac:dyDescent="0.25">
      <c r="A1850" s="16"/>
      <c r="E1850" s="27"/>
      <c r="F1850" t="s">
        <v>26</v>
      </c>
      <c r="G1850" s="28">
        <f>IFERROR(VLOOKUP(F1850,CARTON_LOOKUP!$A:$E,3,0),"")</f>
      </c>
      <c r="H1850" s="28">
        <f>IFERROR(VLOOKUP(F1850,CARTON_LOOKUP!$A:$E,4,0),"")</f>
      </c>
      <c r="I1850" s="28">
        <f>IFERROR(VLOOKUP(F1850,CARTON_LOOKUP!$A:$E,5,0),"")</f>
      </c>
      <c r="J1850" s="29">
        <f>IFERROR(VLOOKUP(F1850,CARTON_LOOKUP!$A:$E,2,0),"")</f>
      </c>
      <c r="K1850" s="29">
        <f>IFERROR(J1850*D1850,0)</f>
      </c>
      <c r="L1850" s="29">
        <f>IFERROR(E1850*C1850,0)</f>
      </c>
      <c r="M1850" s="29">
        <f>IFERROR((G1850*H1850*I1850/1000000)*D1850,0)</f>
      </c>
    </row>
    <row r="1851" spans="1:13" x14ac:dyDescent="0.25">
      <c r="A1851" s="16"/>
      <c r="E1851" s="27"/>
      <c r="F1851" t="s">
        <v>26</v>
      </c>
      <c r="G1851" s="28">
        <f>IFERROR(VLOOKUP(F1851,CARTON_LOOKUP!$A:$E,3,0),"")</f>
      </c>
      <c r="H1851" s="28">
        <f>IFERROR(VLOOKUP(F1851,CARTON_LOOKUP!$A:$E,4,0),"")</f>
      </c>
      <c r="I1851" s="28">
        <f>IFERROR(VLOOKUP(F1851,CARTON_LOOKUP!$A:$E,5,0),"")</f>
      </c>
      <c r="J1851" s="29">
        <f>IFERROR(VLOOKUP(F1851,CARTON_LOOKUP!$A:$E,2,0),"")</f>
      </c>
      <c r="K1851" s="29">
        <f>IFERROR(J1851*D1851,0)</f>
      </c>
      <c r="L1851" s="29">
        <f>IFERROR(E1851*C1851,0)</f>
      </c>
      <c r="M1851" s="29">
        <f>IFERROR((G1851*H1851*I1851/1000000)*D1851,0)</f>
      </c>
    </row>
    <row r="1852" spans="1:13" x14ac:dyDescent="0.25">
      <c r="A1852" s="16"/>
      <c r="E1852" s="27"/>
      <c r="F1852" t="s">
        <v>26</v>
      </c>
      <c r="G1852" s="28">
        <f>IFERROR(VLOOKUP(F1852,CARTON_LOOKUP!$A:$E,3,0),"")</f>
      </c>
      <c r="H1852" s="28">
        <f>IFERROR(VLOOKUP(F1852,CARTON_LOOKUP!$A:$E,4,0),"")</f>
      </c>
      <c r="I1852" s="28">
        <f>IFERROR(VLOOKUP(F1852,CARTON_LOOKUP!$A:$E,5,0),"")</f>
      </c>
      <c r="J1852" s="29">
        <f>IFERROR(VLOOKUP(F1852,CARTON_LOOKUP!$A:$E,2,0),"")</f>
      </c>
      <c r="K1852" s="29">
        <f>IFERROR(J1852*D1852,0)</f>
      </c>
      <c r="L1852" s="29">
        <f>IFERROR(E1852*C1852,0)</f>
      </c>
      <c r="M1852" s="29">
        <f>IFERROR((G1852*H1852*I1852/1000000)*D1852,0)</f>
      </c>
    </row>
    <row r="1853" spans="1:13" x14ac:dyDescent="0.25">
      <c r="A1853" s="16"/>
      <c r="E1853" s="27"/>
      <c r="F1853" t="s">
        <v>26</v>
      </c>
      <c r="G1853" s="28">
        <f>IFERROR(VLOOKUP(F1853,CARTON_LOOKUP!$A:$E,3,0),"")</f>
      </c>
      <c r="H1853" s="28">
        <f>IFERROR(VLOOKUP(F1853,CARTON_LOOKUP!$A:$E,4,0),"")</f>
      </c>
      <c r="I1853" s="28">
        <f>IFERROR(VLOOKUP(F1853,CARTON_LOOKUP!$A:$E,5,0),"")</f>
      </c>
      <c r="J1853" s="29">
        <f>IFERROR(VLOOKUP(F1853,CARTON_LOOKUP!$A:$E,2,0),"")</f>
      </c>
      <c r="K1853" s="29">
        <f>IFERROR(J1853*D1853,0)</f>
      </c>
      <c r="L1853" s="29">
        <f>IFERROR(E1853*C1853,0)</f>
      </c>
      <c r="M1853" s="29">
        <f>IFERROR((G1853*H1853*I1853/1000000)*D1853,0)</f>
      </c>
    </row>
    <row r="1854" spans="1:13" x14ac:dyDescent="0.25">
      <c r="A1854" s="16"/>
      <c r="E1854" s="27"/>
      <c r="F1854" t="s">
        <v>26</v>
      </c>
      <c r="G1854" s="28">
        <f>IFERROR(VLOOKUP(F1854,CARTON_LOOKUP!$A:$E,3,0),"")</f>
      </c>
      <c r="H1854" s="28">
        <f>IFERROR(VLOOKUP(F1854,CARTON_LOOKUP!$A:$E,4,0),"")</f>
      </c>
      <c r="I1854" s="28">
        <f>IFERROR(VLOOKUP(F1854,CARTON_LOOKUP!$A:$E,5,0),"")</f>
      </c>
      <c r="J1854" s="29">
        <f>IFERROR(VLOOKUP(F1854,CARTON_LOOKUP!$A:$E,2,0),"")</f>
      </c>
      <c r="K1854" s="29">
        <f>IFERROR(J1854*D1854,0)</f>
      </c>
      <c r="L1854" s="29">
        <f>IFERROR(E1854*C1854,0)</f>
      </c>
      <c r="M1854" s="29">
        <f>IFERROR((G1854*H1854*I1854/1000000)*D1854,0)</f>
      </c>
    </row>
    <row r="1855" spans="1:13" x14ac:dyDescent="0.25">
      <c r="A1855" s="16"/>
      <c r="E1855" s="27"/>
      <c r="F1855" t="s">
        <v>26</v>
      </c>
      <c r="G1855" s="28">
        <f>IFERROR(VLOOKUP(F1855,CARTON_LOOKUP!$A:$E,3,0),"")</f>
      </c>
      <c r="H1855" s="28">
        <f>IFERROR(VLOOKUP(F1855,CARTON_LOOKUP!$A:$E,4,0),"")</f>
      </c>
      <c r="I1855" s="28">
        <f>IFERROR(VLOOKUP(F1855,CARTON_LOOKUP!$A:$E,5,0),"")</f>
      </c>
      <c r="J1855" s="29">
        <f>IFERROR(VLOOKUP(F1855,CARTON_LOOKUP!$A:$E,2,0),"")</f>
      </c>
      <c r="K1855" s="29">
        <f>IFERROR(J1855*D1855,0)</f>
      </c>
      <c r="L1855" s="29">
        <f>IFERROR(E1855*C1855,0)</f>
      </c>
      <c r="M1855" s="29">
        <f>IFERROR((G1855*H1855*I1855/1000000)*D1855,0)</f>
      </c>
    </row>
    <row r="1856" spans="1:13" x14ac:dyDescent="0.25">
      <c r="A1856" s="16"/>
      <c r="E1856" s="27"/>
      <c r="F1856" t="s">
        <v>26</v>
      </c>
      <c r="G1856" s="28">
        <f>IFERROR(VLOOKUP(F1856,CARTON_LOOKUP!$A:$E,3,0),"")</f>
      </c>
      <c r="H1856" s="28">
        <f>IFERROR(VLOOKUP(F1856,CARTON_LOOKUP!$A:$E,4,0),"")</f>
      </c>
      <c r="I1856" s="28">
        <f>IFERROR(VLOOKUP(F1856,CARTON_LOOKUP!$A:$E,5,0),"")</f>
      </c>
      <c r="J1856" s="29">
        <f>IFERROR(VLOOKUP(F1856,CARTON_LOOKUP!$A:$E,2,0),"")</f>
      </c>
      <c r="K1856" s="29">
        <f>IFERROR(J1856*D1856,0)</f>
      </c>
      <c r="L1856" s="29">
        <f>IFERROR(E1856*C1856,0)</f>
      </c>
      <c r="M1856" s="29">
        <f>IFERROR((G1856*H1856*I1856/1000000)*D1856,0)</f>
      </c>
    </row>
    <row r="1857" spans="1:13" x14ac:dyDescent="0.25">
      <c r="A1857" s="16"/>
      <c r="E1857" s="27"/>
      <c r="F1857" t="s">
        <v>26</v>
      </c>
      <c r="G1857" s="28">
        <f>IFERROR(VLOOKUP(F1857,CARTON_LOOKUP!$A:$E,3,0),"")</f>
      </c>
      <c r="H1857" s="28">
        <f>IFERROR(VLOOKUP(F1857,CARTON_LOOKUP!$A:$E,4,0),"")</f>
      </c>
      <c r="I1857" s="28">
        <f>IFERROR(VLOOKUP(F1857,CARTON_LOOKUP!$A:$E,5,0),"")</f>
      </c>
      <c r="J1857" s="29">
        <f>IFERROR(VLOOKUP(F1857,CARTON_LOOKUP!$A:$E,2,0),"")</f>
      </c>
      <c r="K1857" s="29">
        <f>IFERROR(J1857*D1857,0)</f>
      </c>
      <c r="L1857" s="29">
        <f>IFERROR(E1857*C1857,0)</f>
      </c>
      <c r="M1857" s="29">
        <f>IFERROR((G1857*H1857*I1857/1000000)*D1857,0)</f>
      </c>
    </row>
    <row r="1858" spans="1:13" x14ac:dyDescent="0.25">
      <c r="A1858" s="16"/>
      <c r="E1858" s="27"/>
      <c r="F1858" t="s">
        <v>26</v>
      </c>
      <c r="G1858" s="28">
        <f>IFERROR(VLOOKUP(F1858,CARTON_LOOKUP!$A:$E,3,0),"")</f>
      </c>
      <c r="H1858" s="28">
        <f>IFERROR(VLOOKUP(F1858,CARTON_LOOKUP!$A:$E,4,0),"")</f>
      </c>
      <c r="I1858" s="28">
        <f>IFERROR(VLOOKUP(F1858,CARTON_LOOKUP!$A:$E,5,0),"")</f>
      </c>
      <c r="J1858" s="29">
        <f>IFERROR(VLOOKUP(F1858,CARTON_LOOKUP!$A:$E,2,0),"")</f>
      </c>
      <c r="K1858" s="29">
        <f>IFERROR(J1858*D1858,0)</f>
      </c>
      <c r="L1858" s="29">
        <f>IFERROR(E1858*C1858,0)</f>
      </c>
      <c r="M1858" s="29">
        <f>IFERROR((G1858*H1858*I1858/1000000)*D1858,0)</f>
      </c>
    </row>
    <row r="1859" spans="1:13" x14ac:dyDescent="0.25">
      <c r="A1859" s="16"/>
      <c r="E1859" s="27"/>
      <c r="F1859" t="s">
        <v>26</v>
      </c>
      <c r="G1859" s="28">
        <f>IFERROR(VLOOKUP(F1859,CARTON_LOOKUP!$A:$E,3,0),"")</f>
      </c>
      <c r="H1859" s="28">
        <f>IFERROR(VLOOKUP(F1859,CARTON_LOOKUP!$A:$E,4,0),"")</f>
      </c>
      <c r="I1859" s="28">
        <f>IFERROR(VLOOKUP(F1859,CARTON_LOOKUP!$A:$E,5,0),"")</f>
      </c>
      <c r="J1859" s="29">
        <f>IFERROR(VLOOKUP(F1859,CARTON_LOOKUP!$A:$E,2,0),"")</f>
      </c>
      <c r="K1859" s="29">
        <f>IFERROR(J1859*D1859,0)</f>
      </c>
      <c r="L1859" s="29">
        <f>IFERROR(E1859*C1859,0)</f>
      </c>
      <c r="M1859" s="29">
        <f>IFERROR((G1859*H1859*I1859/1000000)*D1859,0)</f>
      </c>
    </row>
    <row r="1860" spans="1:13" x14ac:dyDescent="0.25">
      <c r="A1860" s="16"/>
      <c r="E1860" s="27"/>
      <c r="F1860" t="s">
        <v>26</v>
      </c>
      <c r="G1860" s="28">
        <f>IFERROR(VLOOKUP(F1860,CARTON_LOOKUP!$A:$E,3,0),"")</f>
      </c>
      <c r="H1860" s="28">
        <f>IFERROR(VLOOKUP(F1860,CARTON_LOOKUP!$A:$E,4,0),"")</f>
      </c>
      <c r="I1860" s="28">
        <f>IFERROR(VLOOKUP(F1860,CARTON_LOOKUP!$A:$E,5,0),"")</f>
      </c>
      <c r="J1860" s="29">
        <f>IFERROR(VLOOKUP(F1860,CARTON_LOOKUP!$A:$E,2,0),"")</f>
      </c>
      <c r="K1860" s="29">
        <f>IFERROR(J1860*D1860,0)</f>
      </c>
      <c r="L1860" s="29">
        <f>IFERROR(E1860*C1860,0)</f>
      </c>
      <c r="M1860" s="29">
        <f>IFERROR((G1860*H1860*I1860/1000000)*D1860,0)</f>
      </c>
    </row>
    <row r="1861" spans="1:13" x14ac:dyDescent="0.25">
      <c r="A1861" s="16"/>
      <c r="E1861" s="27"/>
      <c r="F1861" t="s">
        <v>26</v>
      </c>
      <c r="G1861" s="28">
        <f>IFERROR(VLOOKUP(F1861,CARTON_LOOKUP!$A:$E,3,0),"")</f>
      </c>
      <c r="H1861" s="28">
        <f>IFERROR(VLOOKUP(F1861,CARTON_LOOKUP!$A:$E,4,0),"")</f>
      </c>
      <c r="I1861" s="28">
        <f>IFERROR(VLOOKUP(F1861,CARTON_LOOKUP!$A:$E,5,0),"")</f>
      </c>
      <c r="J1861" s="29">
        <f>IFERROR(VLOOKUP(F1861,CARTON_LOOKUP!$A:$E,2,0),"")</f>
      </c>
      <c r="K1861" s="29">
        <f>IFERROR(J1861*D1861,0)</f>
      </c>
      <c r="L1861" s="29">
        <f>IFERROR(E1861*C1861,0)</f>
      </c>
      <c r="M1861" s="29">
        <f>IFERROR((G1861*H1861*I1861/1000000)*D1861,0)</f>
      </c>
    </row>
    <row r="1862" spans="1:13" x14ac:dyDescent="0.25">
      <c r="A1862" s="16"/>
      <c r="E1862" s="27"/>
      <c r="F1862" t="s">
        <v>26</v>
      </c>
      <c r="G1862" s="28">
        <f>IFERROR(VLOOKUP(F1862,CARTON_LOOKUP!$A:$E,3,0),"")</f>
      </c>
      <c r="H1862" s="28">
        <f>IFERROR(VLOOKUP(F1862,CARTON_LOOKUP!$A:$E,4,0),"")</f>
      </c>
      <c r="I1862" s="28">
        <f>IFERROR(VLOOKUP(F1862,CARTON_LOOKUP!$A:$E,5,0),"")</f>
      </c>
      <c r="J1862" s="29">
        <f>IFERROR(VLOOKUP(F1862,CARTON_LOOKUP!$A:$E,2,0),"")</f>
      </c>
      <c r="K1862" s="29">
        <f>IFERROR(J1862*D1862,0)</f>
      </c>
      <c r="L1862" s="29">
        <f>IFERROR(E1862*C1862,0)</f>
      </c>
      <c r="M1862" s="29">
        <f>IFERROR((G1862*H1862*I1862/1000000)*D1862,0)</f>
      </c>
    </row>
    <row r="1863" spans="1:13" x14ac:dyDescent="0.25">
      <c r="A1863" s="16"/>
      <c r="E1863" s="27"/>
      <c r="F1863" t="s">
        <v>26</v>
      </c>
      <c r="G1863" s="28">
        <f>IFERROR(VLOOKUP(F1863,CARTON_LOOKUP!$A:$E,3,0),"")</f>
      </c>
      <c r="H1863" s="28">
        <f>IFERROR(VLOOKUP(F1863,CARTON_LOOKUP!$A:$E,4,0),"")</f>
      </c>
      <c r="I1863" s="28">
        <f>IFERROR(VLOOKUP(F1863,CARTON_LOOKUP!$A:$E,5,0),"")</f>
      </c>
      <c r="J1863" s="29">
        <f>IFERROR(VLOOKUP(F1863,CARTON_LOOKUP!$A:$E,2,0),"")</f>
      </c>
      <c r="K1863" s="29">
        <f>IFERROR(J1863*D1863,0)</f>
      </c>
      <c r="L1863" s="29">
        <f>IFERROR(E1863*C1863,0)</f>
      </c>
      <c r="M1863" s="29">
        <f>IFERROR((G1863*H1863*I1863/1000000)*D1863,0)</f>
      </c>
    </row>
    <row r="1864" spans="1:13" x14ac:dyDescent="0.25">
      <c r="A1864" s="16"/>
      <c r="E1864" s="27"/>
      <c r="F1864" t="s">
        <v>26</v>
      </c>
      <c r="G1864" s="28">
        <f>IFERROR(VLOOKUP(F1864,CARTON_LOOKUP!$A:$E,3,0),"")</f>
      </c>
      <c r="H1864" s="28">
        <f>IFERROR(VLOOKUP(F1864,CARTON_LOOKUP!$A:$E,4,0),"")</f>
      </c>
      <c r="I1864" s="28">
        <f>IFERROR(VLOOKUP(F1864,CARTON_LOOKUP!$A:$E,5,0),"")</f>
      </c>
      <c r="J1864" s="29">
        <f>IFERROR(VLOOKUP(F1864,CARTON_LOOKUP!$A:$E,2,0),"")</f>
      </c>
      <c r="K1864" s="29">
        <f>IFERROR(J1864*D1864,0)</f>
      </c>
      <c r="L1864" s="29">
        <f>IFERROR(E1864*C1864,0)</f>
      </c>
      <c r="M1864" s="29">
        <f>IFERROR((G1864*H1864*I1864/1000000)*D1864,0)</f>
      </c>
    </row>
    <row r="1865" spans="1:13" x14ac:dyDescent="0.25">
      <c r="A1865" s="16"/>
      <c r="E1865" s="27"/>
      <c r="F1865" t="s">
        <v>26</v>
      </c>
      <c r="G1865" s="28">
        <f>IFERROR(VLOOKUP(F1865,CARTON_LOOKUP!$A:$E,3,0),"")</f>
      </c>
      <c r="H1865" s="28">
        <f>IFERROR(VLOOKUP(F1865,CARTON_LOOKUP!$A:$E,4,0),"")</f>
      </c>
      <c r="I1865" s="28">
        <f>IFERROR(VLOOKUP(F1865,CARTON_LOOKUP!$A:$E,5,0),"")</f>
      </c>
      <c r="J1865" s="29">
        <f>IFERROR(VLOOKUP(F1865,CARTON_LOOKUP!$A:$E,2,0),"")</f>
      </c>
      <c r="K1865" s="29">
        <f>IFERROR(J1865*D1865,0)</f>
      </c>
      <c r="L1865" s="29">
        <f>IFERROR(E1865*C1865,0)</f>
      </c>
      <c r="M1865" s="29">
        <f>IFERROR((G1865*H1865*I1865/1000000)*D1865,0)</f>
      </c>
    </row>
    <row r="1866" spans="1:13" x14ac:dyDescent="0.25">
      <c r="A1866" s="16"/>
      <c r="E1866" s="27"/>
      <c r="F1866" t="s">
        <v>26</v>
      </c>
      <c r="G1866" s="28">
        <f>IFERROR(VLOOKUP(F1866,CARTON_LOOKUP!$A:$E,3,0),"")</f>
      </c>
      <c r="H1866" s="28">
        <f>IFERROR(VLOOKUP(F1866,CARTON_LOOKUP!$A:$E,4,0),"")</f>
      </c>
      <c r="I1866" s="28">
        <f>IFERROR(VLOOKUP(F1866,CARTON_LOOKUP!$A:$E,5,0),"")</f>
      </c>
      <c r="J1866" s="29">
        <f>IFERROR(VLOOKUP(F1866,CARTON_LOOKUP!$A:$E,2,0),"")</f>
      </c>
      <c r="K1866" s="29">
        <f>IFERROR(J1866*D1866,0)</f>
      </c>
      <c r="L1866" s="29">
        <f>IFERROR(E1866*C1866,0)</f>
      </c>
      <c r="M1866" s="29">
        <f>IFERROR((G1866*H1866*I1866/1000000)*D1866,0)</f>
      </c>
    </row>
    <row r="1867" spans="1:13" x14ac:dyDescent="0.25">
      <c r="A1867" s="16"/>
      <c r="E1867" s="27"/>
      <c r="F1867" t="s">
        <v>26</v>
      </c>
      <c r="G1867" s="28">
        <f>IFERROR(VLOOKUP(F1867,CARTON_LOOKUP!$A:$E,3,0),"")</f>
      </c>
      <c r="H1867" s="28">
        <f>IFERROR(VLOOKUP(F1867,CARTON_LOOKUP!$A:$E,4,0),"")</f>
      </c>
      <c r="I1867" s="28">
        <f>IFERROR(VLOOKUP(F1867,CARTON_LOOKUP!$A:$E,5,0),"")</f>
      </c>
      <c r="J1867" s="29">
        <f>IFERROR(VLOOKUP(F1867,CARTON_LOOKUP!$A:$E,2,0),"")</f>
      </c>
      <c r="K1867" s="29">
        <f>IFERROR(J1867*D1867,0)</f>
      </c>
      <c r="L1867" s="29">
        <f>IFERROR(E1867*C1867,0)</f>
      </c>
      <c r="M1867" s="29">
        <f>IFERROR((G1867*H1867*I1867/1000000)*D1867,0)</f>
      </c>
    </row>
    <row r="1868" spans="1:13" x14ac:dyDescent="0.25">
      <c r="A1868" s="16"/>
      <c r="E1868" s="27"/>
      <c r="F1868" t="s">
        <v>26</v>
      </c>
      <c r="G1868" s="28">
        <f>IFERROR(VLOOKUP(F1868,CARTON_LOOKUP!$A:$E,3,0),"")</f>
      </c>
      <c r="H1868" s="28">
        <f>IFERROR(VLOOKUP(F1868,CARTON_LOOKUP!$A:$E,4,0),"")</f>
      </c>
      <c r="I1868" s="28">
        <f>IFERROR(VLOOKUP(F1868,CARTON_LOOKUP!$A:$E,5,0),"")</f>
      </c>
      <c r="J1868" s="29">
        <f>IFERROR(VLOOKUP(F1868,CARTON_LOOKUP!$A:$E,2,0),"")</f>
      </c>
      <c r="K1868" s="29">
        <f>IFERROR(J1868*D1868,0)</f>
      </c>
      <c r="L1868" s="29">
        <f>IFERROR(E1868*C1868,0)</f>
      </c>
      <c r="M1868" s="29">
        <f>IFERROR((G1868*H1868*I1868/1000000)*D1868,0)</f>
      </c>
    </row>
    <row r="1869" spans="1:13" x14ac:dyDescent="0.25">
      <c r="A1869" s="16"/>
      <c r="E1869" s="27"/>
      <c r="F1869" t="s">
        <v>26</v>
      </c>
      <c r="G1869" s="28">
        <f>IFERROR(VLOOKUP(F1869,CARTON_LOOKUP!$A:$E,3,0),"")</f>
      </c>
      <c r="H1869" s="28">
        <f>IFERROR(VLOOKUP(F1869,CARTON_LOOKUP!$A:$E,4,0),"")</f>
      </c>
      <c r="I1869" s="28">
        <f>IFERROR(VLOOKUP(F1869,CARTON_LOOKUP!$A:$E,5,0),"")</f>
      </c>
      <c r="J1869" s="29">
        <f>IFERROR(VLOOKUP(F1869,CARTON_LOOKUP!$A:$E,2,0),"")</f>
      </c>
      <c r="K1869" s="29">
        <f>IFERROR(J1869*D1869,0)</f>
      </c>
      <c r="L1869" s="29">
        <f>IFERROR(E1869*C1869,0)</f>
      </c>
      <c r="M1869" s="29">
        <f>IFERROR((G1869*H1869*I1869/1000000)*D1869,0)</f>
      </c>
    </row>
    <row r="1870" spans="1:13" x14ac:dyDescent="0.25">
      <c r="A1870" s="16"/>
      <c r="E1870" s="27"/>
      <c r="F1870" t="s">
        <v>26</v>
      </c>
      <c r="G1870" s="28">
        <f>IFERROR(VLOOKUP(F1870,CARTON_LOOKUP!$A:$E,3,0),"")</f>
      </c>
      <c r="H1870" s="28">
        <f>IFERROR(VLOOKUP(F1870,CARTON_LOOKUP!$A:$E,4,0),"")</f>
      </c>
      <c r="I1870" s="28">
        <f>IFERROR(VLOOKUP(F1870,CARTON_LOOKUP!$A:$E,5,0),"")</f>
      </c>
      <c r="J1870" s="29">
        <f>IFERROR(VLOOKUP(F1870,CARTON_LOOKUP!$A:$E,2,0),"")</f>
      </c>
      <c r="K1870" s="29">
        <f>IFERROR(J1870*D1870,0)</f>
      </c>
      <c r="L1870" s="29">
        <f>IFERROR(E1870*C1870,0)</f>
      </c>
      <c r="M1870" s="29">
        <f>IFERROR((G1870*H1870*I1870/1000000)*D1870,0)</f>
      </c>
    </row>
    <row r="1871" spans="1:13" x14ac:dyDescent="0.25">
      <c r="A1871" s="16"/>
      <c r="E1871" s="27"/>
      <c r="F1871" t="s">
        <v>26</v>
      </c>
      <c r="G1871" s="28">
        <f>IFERROR(VLOOKUP(F1871,CARTON_LOOKUP!$A:$E,3,0),"")</f>
      </c>
      <c r="H1871" s="28">
        <f>IFERROR(VLOOKUP(F1871,CARTON_LOOKUP!$A:$E,4,0),"")</f>
      </c>
      <c r="I1871" s="28">
        <f>IFERROR(VLOOKUP(F1871,CARTON_LOOKUP!$A:$E,5,0),"")</f>
      </c>
      <c r="J1871" s="29">
        <f>IFERROR(VLOOKUP(F1871,CARTON_LOOKUP!$A:$E,2,0),"")</f>
      </c>
      <c r="K1871" s="29">
        <f>IFERROR(J1871*D1871,0)</f>
      </c>
      <c r="L1871" s="29">
        <f>IFERROR(E1871*C1871,0)</f>
      </c>
      <c r="M1871" s="29">
        <f>IFERROR((G1871*H1871*I1871/1000000)*D1871,0)</f>
      </c>
    </row>
    <row r="1872" spans="1:13" x14ac:dyDescent="0.25">
      <c r="A1872" s="16"/>
      <c r="E1872" s="27"/>
      <c r="F1872" t="s">
        <v>26</v>
      </c>
      <c r="G1872" s="28">
        <f>IFERROR(VLOOKUP(F1872,CARTON_LOOKUP!$A:$E,3,0),"")</f>
      </c>
      <c r="H1872" s="28">
        <f>IFERROR(VLOOKUP(F1872,CARTON_LOOKUP!$A:$E,4,0),"")</f>
      </c>
      <c r="I1872" s="28">
        <f>IFERROR(VLOOKUP(F1872,CARTON_LOOKUP!$A:$E,5,0),"")</f>
      </c>
      <c r="J1872" s="29">
        <f>IFERROR(VLOOKUP(F1872,CARTON_LOOKUP!$A:$E,2,0),"")</f>
      </c>
      <c r="K1872" s="29">
        <f>IFERROR(J1872*D1872,0)</f>
      </c>
      <c r="L1872" s="29">
        <f>IFERROR(E1872*C1872,0)</f>
      </c>
      <c r="M1872" s="29">
        <f>IFERROR((G1872*H1872*I1872/1000000)*D1872,0)</f>
      </c>
    </row>
    <row r="1873" spans="1:13" x14ac:dyDescent="0.25">
      <c r="A1873" s="16"/>
      <c r="E1873" s="27"/>
      <c r="F1873" t="s">
        <v>26</v>
      </c>
      <c r="G1873" s="28">
        <f>IFERROR(VLOOKUP(F1873,CARTON_LOOKUP!$A:$E,3,0),"")</f>
      </c>
      <c r="H1873" s="28">
        <f>IFERROR(VLOOKUP(F1873,CARTON_LOOKUP!$A:$E,4,0),"")</f>
      </c>
      <c r="I1873" s="28">
        <f>IFERROR(VLOOKUP(F1873,CARTON_LOOKUP!$A:$E,5,0),"")</f>
      </c>
      <c r="J1873" s="29">
        <f>IFERROR(VLOOKUP(F1873,CARTON_LOOKUP!$A:$E,2,0),"")</f>
      </c>
      <c r="K1873" s="29">
        <f>IFERROR(J1873*D1873,0)</f>
      </c>
      <c r="L1873" s="29">
        <f>IFERROR(E1873*C1873,0)</f>
      </c>
      <c r="M1873" s="29">
        <f>IFERROR((G1873*H1873*I1873/1000000)*D1873,0)</f>
      </c>
    </row>
    <row r="1874" spans="1:13" x14ac:dyDescent="0.25">
      <c r="A1874" s="16"/>
      <c r="E1874" s="27"/>
      <c r="F1874" t="s">
        <v>26</v>
      </c>
      <c r="G1874" s="28">
        <f>IFERROR(VLOOKUP(F1874,CARTON_LOOKUP!$A:$E,3,0),"")</f>
      </c>
      <c r="H1874" s="28">
        <f>IFERROR(VLOOKUP(F1874,CARTON_LOOKUP!$A:$E,4,0),"")</f>
      </c>
      <c r="I1874" s="28">
        <f>IFERROR(VLOOKUP(F1874,CARTON_LOOKUP!$A:$E,5,0),"")</f>
      </c>
      <c r="J1874" s="29">
        <f>IFERROR(VLOOKUP(F1874,CARTON_LOOKUP!$A:$E,2,0),"")</f>
      </c>
      <c r="K1874" s="29">
        <f>IFERROR(J1874*D1874,0)</f>
      </c>
      <c r="L1874" s="29">
        <f>IFERROR(E1874*C1874,0)</f>
      </c>
      <c r="M1874" s="29">
        <f>IFERROR((G1874*H1874*I1874/1000000)*D1874,0)</f>
      </c>
    </row>
    <row r="1875" spans="1:13" x14ac:dyDescent="0.25">
      <c r="A1875" s="16"/>
      <c r="E1875" s="27"/>
      <c r="F1875" t="s">
        <v>26</v>
      </c>
      <c r="G1875" s="28">
        <f>IFERROR(VLOOKUP(F1875,CARTON_LOOKUP!$A:$E,3,0),"")</f>
      </c>
      <c r="H1875" s="28">
        <f>IFERROR(VLOOKUP(F1875,CARTON_LOOKUP!$A:$E,4,0),"")</f>
      </c>
      <c r="I1875" s="28">
        <f>IFERROR(VLOOKUP(F1875,CARTON_LOOKUP!$A:$E,5,0),"")</f>
      </c>
      <c r="J1875" s="29">
        <f>IFERROR(VLOOKUP(F1875,CARTON_LOOKUP!$A:$E,2,0),"")</f>
      </c>
      <c r="K1875" s="29">
        <f>IFERROR(J1875*D1875,0)</f>
      </c>
      <c r="L1875" s="29">
        <f>IFERROR(E1875*C1875,0)</f>
      </c>
      <c r="M1875" s="29">
        <f>IFERROR((G1875*H1875*I1875/1000000)*D1875,0)</f>
      </c>
    </row>
    <row r="1876" spans="1:13" x14ac:dyDescent="0.25">
      <c r="A1876" s="16"/>
      <c r="E1876" s="27"/>
      <c r="F1876" t="s">
        <v>26</v>
      </c>
      <c r="G1876" s="28">
        <f>IFERROR(VLOOKUP(F1876,CARTON_LOOKUP!$A:$E,3,0),"")</f>
      </c>
      <c r="H1876" s="28">
        <f>IFERROR(VLOOKUP(F1876,CARTON_LOOKUP!$A:$E,4,0),"")</f>
      </c>
      <c r="I1876" s="28">
        <f>IFERROR(VLOOKUP(F1876,CARTON_LOOKUP!$A:$E,5,0),"")</f>
      </c>
      <c r="J1876" s="29">
        <f>IFERROR(VLOOKUP(F1876,CARTON_LOOKUP!$A:$E,2,0),"")</f>
      </c>
      <c r="K1876" s="29">
        <f>IFERROR(J1876*D1876,0)</f>
      </c>
      <c r="L1876" s="29">
        <f>IFERROR(E1876*C1876,0)</f>
      </c>
      <c r="M1876" s="29">
        <f>IFERROR((G1876*H1876*I1876/1000000)*D1876,0)</f>
      </c>
    </row>
    <row r="1877" spans="1:13" x14ac:dyDescent="0.25">
      <c r="A1877" s="16"/>
      <c r="E1877" s="27"/>
      <c r="F1877" t="s">
        <v>26</v>
      </c>
      <c r="G1877" s="28">
        <f>IFERROR(VLOOKUP(F1877,CARTON_LOOKUP!$A:$E,3,0),"")</f>
      </c>
      <c r="H1877" s="28">
        <f>IFERROR(VLOOKUP(F1877,CARTON_LOOKUP!$A:$E,4,0),"")</f>
      </c>
      <c r="I1877" s="28">
        <f>IFERROR(VLOOKUP(F1877,CARTON_LOOKUP!$A:$E,5,0),"")</f>
      </c>
      <c r="J1877" s="29">
        <f>IFERROR(VLOOKUP(F1877,CARTON_LOOKUP!$A:$E,2,0),"")</f>
      </c>
      <c r="K1877" s="29">
        <f>IFERROR(J1877*D1877,0)</f>
      </c>
      <c r="L1877" s="29">
        <f>IFERROR(E1877*C1877,0)</f>
      </c>
      <c r="M1877" s="29">
        <f>IFERROR((G1877*H1877*I1877/1000000)*D1877,0)</f>
      </c>
    </row>
    <row r="1878" spans="1:13" x14ac:dyDescent="0.25">
      <c r="A1878" s="16"/>
      <c r="E1878" s="27"/>
      <c r="F1878" t="s">
        <v>26</v>
      </c>
      <c r="G1878" s="28">
        <f>IFERROR(VLOOKUP(F1878,CARTON_LOOKUP!$A:$E,3,0),"")</f>
      </c>
      <c r="H1878" s="28">
        <f>IFERROR(VLOOKUP(F1878,CARTON_LOOKUP!$A:$E,4,0),"")</f>
      </c>
      <c r="I1878" s="28">
        <f>IFERROR(VLOOKUP(F1878,CARTON_LOOKUP!$A:$E,5,0),"")</f>
      </c>
      <c r="J1878" s="29">
        <f>IFERROR(VLOOKUP(F1878,CARTON_LOOKUP!$A:$E,2,0),"")</f>
      </c>
      <c r="K1878" s="29">
        <f>IFERROR(J1878*D1878,0)</f>
      </c>
      <c r="L1878" s="29">
        <f>IFERROR(E1878*C1878,0)</f>
      </c>
      <c r="M1878" s="29">
        <f>IFERROR((G1878*H1878*I1878/1000000)*D1878,0)</f>
      </c>
    </row>
    <row r="1879" spans="1:13" x14ac:dyDescent="0.25">
      <c r="A1879" s="16"/>
      <c r="E1879" s="27"/>
      <c r="F1879" t="s">
        <v>26</v>
      </c>
      <c r="G1879" s="28">
        <f>IFERROR(VLOOKUP(F1879,CARTON_LOOKUP!$A:$E,3,0),"")</f>
      </c>
      <c r="H1879" s="28">
        <f>IFERROR(VLOOKUP(F1879,CARTON_LOOKUP!$A:$E,4,0),"")</f>
      </c>
      <c r="I1879" s="28">
        <f>IFERROR(VLOOKUP(F1879,CARTON_LOOKUP!$A:$E,5,0),"")</f>
      </c>
      <c r="J1879" s="29">
        <f>IFERROR(VLOOKUP(F1879,CARTON_LOOKUP!$A:$E,2,0),"")</f>
      </c>
      <c r="K1879" s="29">
        <f>IFERROR(J1879*D1879,0)</f>
      </c>
      <c r="L1879" s="29">
        <f>IFERROR(E1879*C1879,0)</f>
      </c>
      <c r="M1879" s="29">
        <f>IFERROR((G1879*H1879*I1879/1000000)*D1879,0)</f>
      </c>
    </row>
    <row r="1880" spans="1:13" x14ac:dyDescent="0.25">
      <c r="A1880" s="16"/>
      <c r="E1880" s="27"/>
      <c r="F1880" t="s">
        <v>26</v>
      </c>
      <c r="G1880" s="28">
        <f>IFERROR(VLOOKUP(F1880,CARTON_LOOKUP!$A:$E,3,0),"")</f>
      </c>
      <c r="H1880" s="28">
        <f>IFERROR(VLOOKUP(F1880,CARTON_LOOKUP!$A:$E,4,0),"")</f>
      </c>
      <c r="I1880" s="28">
        <f>IFERROR(VLOOKUP(F1880,CARTON_LOOKUP!$A:$E,5,0),"")</f>
      </c>
      <c r="J1880" s="29">
        <f>IFERROR(VLOOKUP(F1880,CARTON_LOOKUP!$A:$E,2,0),"")</f>
      </c>
      <c r="K1880" s="29">
        <f>IFERROR(J1880*D1880,0)</f>
      </c>
      <c r="L1880" s="29">
        <f>IFERROR(E1880*C1880,0)</f>
      </c>
      <c r="M1880" s="29">
        <f>IFERROR((G1880*H1880*I1880/1000000)*D1880,0)</f>
      </c>
    </row>
    <row r="1881" spans="1:13" x14ac:dyDescent="0.25">
      <c r="A1881" s="16"/>
      <c r="E1881" s="27"/>
      <c r="F1881" t="s">
        <v>26</v>
      </c>
      <c r="G1881" s="28">
        <f>IFERROR(VLOOKUP(F1881,CARTON_LOOKUP!$A:$E,3,0),"")</f>
      </c>
      <c r="H1881" s="28">
        <f>IFERROR(VLOOKUP(F1881,CARTON_LOOKUP!$A:$E,4,0),"")</f>
      </c>
      <c r="I1881" s="28">
        <f>IFERROR(VLOOKUP(F1881,CARTON_LOOKUP!$A:$E,5,0),"")</f>
      </c>
      <c r="J1881" s="29">
        <f>IFERROR(VLOOKUP(F1881,CARTON_LOOKUP!$A:$E,2,0),"")</f>
      </c>
      <c r="K1881" s="29">
        <f>IFERROR(J1881*D1881,0)</f>
      </c>
      <c r="L1881" s="29">
        <f>IFERROR(E1881*C1881,0)</f>
      </c>
      <c r="M1881" s="29">
        <f>IFERROR((G1881*H1881*I1881/1000000)*D1881,0)</f>
      </c>
    </row>
    <row r="1882" spans="1:13" x14ac:dyDescent="0.25">
      <c r="A1882" s="16"/>
      <c r="E1882" s="27"/>
      <c r="F1882" t="s">
        <v>26</v>
      </c>
      <c r="G1882" s="28">
        <f>IFERROR(VLOOKUP(F1882,CARTON_LOOKUP!$A:$E,3,0),"")</f>
      </c>
      <c r="H1882" s="28">
        <f>IFERROR(VLOOKUP(F1882,CARTON_LOOKUP!$A:$E,4,0),"")</f>
      </c>
      <c r="I1882" s="28">
        <f>IFERROR(VLOOKUP(F1882,CARTON_LOOKUP!$A:$E,5,0),"")</f>
      </c>
      <c r="J1882" s="29">
        <f>IFERROR(VLOOKUP(F1882,CARTON_LOOKUP!$A:$E,2,0),"")</f>
      </c>
      <c r="K1882" s="29">
        <f>IFERROR(J1882*D1882,0)</f>
      </c>
      <c r="L1882" s="29">
        <f>IFERROR(E1882*C1882,0)</f>
      </c>
      <c r="M1882" s="29">
        <f>IFERROR((G1882*H1882*I1882/1000000)*D1882,0)</f>
      </c>
    </row>
    <row r="1883" spans="1:13" x14ac:dyDescent="0.25">
      <c r="A1883" s="16"/>
      <c r="E1883" s="27"/>
      <c r="F1883" t="s">
        <v>26</v>
      </c>
      <c r="G1883" s="28">
        <f>IFERROR(VLOOKUP(F1883,CARTON_LOOKUP!$A:$E,3,0),"")</f>
      </c>
      <c r="H1883" s="28">
        <f>IFERROR(VLOOKUP(F1883,CARTON_LOOKUP!$A:$E,4,0),"")</f>
      </c>
      <c r="I1883" s="28">
        <f>IFERROR(VLOOKUP(F1883,CARTON_LOOKUP!$A:$E,5,0),"")</f>
      </c>
      <c r="J1883" s="29">
        <f>IFERROR(VLOOKUP(F1883,CARTON_LOOKUP!$A:$E,2,0),"")</f>
      </c>
      <c r="K1883" s="29">
        <f>IFERROR(J1883*D1883,0)</f>
      </c>
      <c r="L1883" s="29">
        <f>IFERROR(E1883*C1883,0)</f>
      </c>
      <c r="M1883" s="29">
        <f>IFERROR((G1883*H1883*I1883/1000000)*D1883,0)</f>
      </c>
    </row>
    <row r="1884" spans="1:13" x14ac:dyDescent="0.25">
      <c r="A1884" s="16"/>
      <c r="E1884" s="27"/>
      <c r="F1884" t="s">
        <v>26</v>
      </c>
      <c r="G1884" s="28">
        <f>IFERROR(VLOOKUP(F1884,CARTON_LOOKUP!$A:$E,3,0),"")</f>
      </c>
      <c r="H1884" s="28">
        <f>IFERROR(VLOOKUP(F1884,CARTON_LOOKUP!$A:$E,4,0),"")</f>
      </c>
      <c r="I1884" s="28">
        <f>IFERROR(VLOOKUP(F1884,CARTON_LOOKUP!$A:$E,5,0),"")</f>
      </c>
      <c r="J1884" s="29">
        <f>IFERROR(VLOOKUP(F1884,CARTON_LOOKUP!$A:$E,2,0),"")</f>
      </c>
      <c r="K1884" s="29">
        <f>IFERROR(J1884*D1884,0)</f>
      </c>
      <c r="L1884" s="29">
        <f>IFERROR(E1884*C1884,0)</f>
      </c>
      <c r="M1884" s="29">
        <f>IFERROR((G1884*H1884*I1884/1000000)*D1884,0)</f>
      </c>
    </row>
    <row r="1885" spans="1:13" x14ac:dyDescent="0.25">
      <c r="A1885" s="16"/>
      <c r="E1885" s="27"/>
      <c r="F1885" t="s">
        <v>26</v>
      </c>
      <c r="G1885" s="28">
        <f>IFERROR(VLOOKUP(F1885,CARTON_LOOKUP!$A:$E,3,0),"")</f>
      </c>
      <c r="H1885" s="28">
        <f>IFERROR(VLOOKUP(F1885,CARTON_LOOKUP!$A:$E,4,0),"")</f>
      </c>
      <c r="I1885" s="28">
        <f>IFERROR(VLOOKUP(F1885,CARTON_LOOKUP!$A:$E,5,0),"")</f>
      </c>
      <c r="J1885" s="29">
        <f>IFERROR(VLOOKUP(F1885,CARTON_LOOKUP!$A:$E,2,0),"")</f>
      </c>
      <c r="K1885" s="29">
        <f>IFERROR(J1885*D1885,0)</f>
      </c>
      <c r="L1885" s="29">
        <f>IFERROR(E1885*C1885,0)</f>
      </c>
      <c r="M1885" s="29">
        <f>IFERROR((G1885*H1885*I1885/1000000)*D1885,0)</f>
      </c>
    </row>
    <row r="1886" spans="1:13" x14ac:dyDescent="0.25">
      <c r="A1886" s="16"/>
      <c r="E1886" s="27"/>
      <c r="F1886" t="s">
        <v>26</v>
      </c>
      <c r="G1886" s="28">
        <f>IFERROR(VLOOKUP(F1886,CARTON_LOOKUP!$A:$E,3,0),"")</f>
      </c>
      <c r="H1886" s="28">
        <f>IFERROR(VLOOKUP(F1886,CARTON_LOOKUP!$A:$E,4,0),"")</f>
      </c>
      <c r="I1886" s="28">
        <f>IFERROR(VLOOKUP(F1886,CARTON_LOOKUP!$A:$E,5,0),"")</f>
      </c>
      <c r="J1886" s="29">
        <f>IFERROR(VLOOKUP(F1886,CARTON_LOOKUP!$A:$E,2,0),"")</f>
      </c>
      <c r="K1886" s="29">
        <f>IFERROR(J1886*D1886,0)</f>
      </c>
      <c r="L1886" s="29">
        <f>IFERROR(E1886*C1886,0)</f>
      </c>
      <c r="M1886" s="29">
        <f>IFERROR((G1886*H1886*I1886/1000000)*D1886,0)</f>
      </c>
    </row>
    <row r="1887" spans="1:13" x14ac:dyDescent="0.25">
      <c r="A1887" s="16"/>
      <c r="E1887" s="27"/>
      <c r="F1887" t="s">
        <v>26</v>
      </c>
      <c r="G1887" s="28">
        <f>IFERROR(VLOOKUP(F1887,CARTON_LOOKUP!$A:$E,3,0),"")</f>
      </c>
      <c r="H1887" s="28">
        <f>IFERROR(VLOOKUP(F1887,CARTON_LOOKUP!$A:$E,4,0),"")</f>
      </c>
      <c r="I1887" s="28">
        <f>IFERROR(VLOOKUP(F1887,CARTON_LOOKUP!$A:$E,5,0),"")</f>
      </c>
      <c r="J1887" s="29">
        <f>IFERROR(VLOOKUP(F1887,CARTON_LOOKUP!$A:$E,2,0),"")</f>
      </c>
      <c r="K1887" s="29">
        <f>IFERROR(J1887*D1887,0)</f>
      </c>
      <c r="L1887" s="29">
        <f>IFERROR(E1887*C1887,0)</f>
      </c>
      <c r="M1887" s="29">
        <f>IFERROR((G1887*H1887*I1887/1000000)*D1887,0)</f>
      </c>
    </row>
    <row r="1888" spans="1:13" x14ac:dyDescent="0.25">
      <c r="A1888" s="16"/>
      <c r="E1888" s="27"/>
      <c r="F1888" t="s">
        <v>26</v>
      </c>
      <c r="G1888" s="28">
        <f>IFERROR(VLOOKUP(F1888,CARTON_LOOKUP!$A:$E,3,0),"")</f>
      </c>
      <c r="H1888" s="28">
        <f>IFERROR(VLOOKUP(F1888,CARTON_LOOKUP!$A:$E,4,0),"")</f>
      </c>
      <c r="I1888" s="28">
        <f>IFERROR(VLOOKUP(F1888,CARTON_LOOKUP!$A:$E,5,0),"")</f>
      </c>
      <c r="J1888" s="29">
        <f>IFERROR(VLOOKUP(F1888,CARTON_LOOKUP!$A:$E,2,0),"")</f>
      </c>
      <c r="K1888" s="29">
        <f>IFERROR(J1888*D1888,0)</f>
      </c>
      <c r="L1888" s="29">
        <f>IFERROR(E1888*C1888,0)</f>
      </c>
      <c r="M1888" s="29">
        <f>IFERROR((G1888*H1888*I1888/1000000)*D1888,0)</f>
      </c>
    </row>
    <row r="1889" spans="1:13" x14ac:dyDescent="0.25">
      <c r="A1889" s="16"/>
      <c r="E1889" s="27"/>
      <c r="F1889" t="s">
        <v>26</v>
      </c>
      <c r="G1889" s="28">
        <f>IFERROR(VLOOKUP(F1889,CARTON_LOOKUP!$A:$E,3,0),"")</f>
      </c>
      <c r="H1889" s="28">
        <f>IFERROR(VLOOKUP(F1889,CARTON_LOOKUP!$A:$E,4,0),"")</f>
      </c>
      <c r="I1889" s="28">
        <f>IFERROR(VLOOKUP(F1889,CARTON_LOOKUP!$A:$E,5,0),"")</f>
      </c>
      <c r="J1889" s="29">
        <f>IFERROR(VLOOKUP(F1889,CARTON_LOOKUP!$A:$E,2,0),"")</f>
      </c>
      <c r="K1889" s="29">
        <f>IFERROR(J1889*D1889,0)</f>
      </c>
      <c r="L1889" s="29">
        <f>IFERROR(E1889*C1889,0)</f>
      </c>
      <c r="M1889" s="29">
        <f>IFERROR((G1889*H1889*I1889/1000000)*D1889,0)</f>
      </c>
    </row>
    <row r="1890" spans="1:13" x14ac:dyDescent="0.25">
      <c r="A1890" s="16"/>
      <c r="E1890" s="27"/>
      <c r="F1890" t="s">
        <v>26</v>
      </c>
      <c r="G1890" s="28">
        <f>IFERROR(VLOOKUP(F1890,CARTON_LOOKUP!$A:$E,3,0),"")</f>
      </c>
      <c r="H1890" s="28">
        <f>IFERROR(VLOOKUP(F1890,CARTON_LOOKUP!$A:$E,4,0),"")</f>
      </c>
      <c r="I1890" s="28">
        <f>IFERROR(VLOOKUP(F1890,CARTON_LOOKUP!$A:$E,5,0),"")</f>
      </c>
      <c r="J1890" s="29">
        <f>IFERROR(VLOOKUP(F1890,CARTON_LOOKUP!$A:$E,2,0),"")</f>
      </c>
      <c r="K1890" s="29">
        <f>IFERROR(J1890*D1890,0)</f>
      </c>
      <c r="L1890" s="29">
        <f>IFERROR(E1890*C1890,0)</f>
      </c>
      <c r="M1890" s="29">
        <f>IFERROR((G1890*H1890*I1890/1000000)*D1890,0)</f>
      </c>
    </row>
    <row r="1891" spans="1:13" x14ac:dyDescent="0.25">
      <c r="A1891" s="16"/>
      <c r="E1891" s="27"/>
      <c r="F1891" t="s">
        <v>26</v>
      </c>
      <c r="G1891" s="28">
        <f>IFERROR(VLOOKUP(F1891,CARTON_LOOKUP!$A:$E,3,0),"")</f>
      </c>
      <c r="H1891" s="28">
        <f>IFERROR(VLOOKUP(F1891,CARTON_LOOKUP!$A:$E,4,0),"")</f>
      </c>
      <c r="I1891" s="28">
        <f>IFERROR(VLOOKUP(F1891,CARTON_LOOKUP!$A:$E,5,0),"")</f>
      </c>
      <c r="J1891" s="29">
        <f>IFERROR(VLOOKUP(F1891,CARTON_LOOKUP!$A:$E,2,0),"")</f>
      </c>
      <c r="K1891" s="29">
        <f>IFERROR(J1891*D1891,0)</f>
      </c>
      <c r="L1891" s="29">
        <f>IFERROR(E1891*C1891,0)</f>
      </c>
      <c r="M1891" s="29">
        <f>IFERROR((G1891*H1891*I1891/1000000)*D1891,0)</f>
      </c>
    </row>
    <row r="1892" spans="1:13" x14ac:dyDescent="0.25">
      <c r="A1892" s="16"/>
      <c r="E1892" s="27"/>
      <c r="F1892" t="s">
        <v>26</v>
      </c>
      <c r="G1892" s="28">
        <f>IFERROR(VLOOKUP(F1892,CARTON_LOOKUP!$A:$E,3,0),"")</f>
      </c>
      <c r="H1892" s="28">
        <f>IFERROR(VLOOKUP(F1892,CARTON_LOOKUP!$A:$E,4,0),"")</f>
      </c>
      <c r="I1892" s="28">
        <f>IFERROR(VLOOKUP(F1892,CARTON_LOOKUP!$A:$E,5,0),"")</f>
      </c>
      <c r="J1892" s="29">
        <f>IFERROR(VLOOKUP(F1892,CARTON_LOOKUP!$A:$E,2,0),"")</f>
      </c>
      <c r="K1892" s="29">
        <f>IFERROR(J1892*D1892,0)</f>
      </c>
      <c r="L1892" s="29">
        <f>IFERROR(E1892*C1892,0)</f>
      </c>
      <c r="M1892" s="29">
        <f>IFERROR((G1892*H1892*I1892/1000000)*D1892,0)</f>
      </c>
    </row>
    <row r="1893" spans="1:13" x14ac:dyDescent="0.25">
      <c r="A1893" s="16"/>
      <c r="E1893" s="27"/>
      <c r="F1893" t="s">
        <v>26</v>
      </c>
      <c r="G1893" s="28">
        <f>IFERROR(VLOOKUP(F1893,CARTON_LOOKUP!$A:$E,3,0),"")</f>
      </c>
      <c r="H1893" s="28">
        <f>IFERROR(VLOOKUP(F1893,CARTON_LOOKUP!$A:$E,4,0),"")</f>
      </c>
      <c r="I1893" s="28">
        <f>IFERROR(VLOOKUP(F1893,CARTON_LOOKUP!$A:$E,5,0),"")</f>
      </c>
      <c r="J1893" s="29">
        <f>IFERROR(VLOOKUP(F1893,CARTON_LOOKUP!$A:$E,2,0),"")</f>
      </c>
      <c r="K1893" s="29">
        <f>IFERROR(J1893*D1893,0)</f>
      </c>
      <c r="L1893" s="29">
        <f>IFERROR(E1893*C1893,0)</f>
      </c>
      <c r="M1893" s="29">
        <f>IFERROR((G1893*H1893*I1893/1000000)*D1893,0)</f>
      </c>
    </row>
    <row r="1894" spans="1:13" x14ac:dyDescent="0.25">
      <c r="A1894" s="16"/>
      <c r="E1894" s="27"/>
      <c r="F1894" t="s">
        <v>26</v>
      </c>
      <c r="G1894" s="28">
        <f>IFERROR(VLOOKUP(F1894,CARTON_LOOKUP!$A:$E,3,0),"")</f>
      </c>
      <c r="H1894" s="28">
        <f>IFERROR(VLOOKUP(F1894,CARTON_LOOKUP!$A:$E,4,0),"")</f>
      </c>
      <c r="I1894" s="28">
        <f>IFERROR(VLOOKUP(F1894,CARTON_LOOKUP!$A:$E,5,0),"")</f>
      </c>
      <c r="J1894" s="29">
        <f>IFERROR(VLOOKUP(F1894,CARTON_LOOKUP!$A:$E,2,0),"")</f>
      </c>
      <c r="K1894" s="29">
        <f>IFERROR(J1894*D1894,0)</f>
      </c>
      <c r="L1894" s="29">
        <f>IFERROR(E1894*C1894,0)</f>
      </c>
      <c r="M1894" s="29">
        <f>IFERROR((G1894*H1894*I1894/1000000)*D1894,0)</f>
      </c>
    </row>
    <row r="1895" spans="1:13" x14ac:dyDescent="0.25">
      <c r="A1895" s="16"/>
      <c r="E1895" s="27"/>
      <c r="F1895" t="s">
        <v>26</v>
      </c>
      <c r="G1895" s="28">
        <f>IFERROR(VLOOKUP(F1895,CARTON_LOOKUP!$A:$E,3,0),"")</f>
      </c>
      <c r="H1895" s="28">
        <f>IFERROR(VLOOKUP(F1895,CARTON_LOOKUP!$A:$E,4,0),"")</f>
      </c>
      <c r="I1895" s="28">
        <f>IFERROR(VLOOKUP(F1895,CARTON_LOOKUP!$A:$E,5,0),"")</f>
      </c>
      <c r="J1895" s="29">
        <f>IFERROR(VLOOKUP(F1895,CARTON_LOOKUP!$A:$E,2,0),"")</f>
      </c>
      <c r="K1895" s="29">
        <f>IFERROR(J1895*D1895,0)</f>
      </c>
      <c r="L1895" s="29">
        <f>IFERROR(E1895*C1895,0)</f>
      </c>
      <c r="M1895" s="29">
        <f>IFERROR((G1895*H1895*I1895/1000000)*D1895,0)</f>
      </c>
    </row>
    <row r="1896" spans="1:13" x14ac:dyDescent="0.25">
      <c r="A1896" s="16"/>
      <c r="E1896" s="27"/>
      <c r="F1896" t="s">
        <v>26</v>
      </c>
      <c r="G1896" s="28">
        <f>IFERROR(VLOOKUP(F1896,CARTON_LOOKUP!$A:$E,3,0),"")</f>
      </c>
      <c r="H1896" s="28">
        <f>IFERROR(VLOOKUP(F1896,CARTON_LOOKUP!$A:$E,4,0),"")</f>
      </c>
      <c r="I1896" s="28">
        <f>IFERROR(VLOOKUP(F1896,CARTON_LOOKUP!$A:$E,5,0),"")</f>
      </c>
      <c r="J1896" s="29">
        <f>IFERROR(VLOOKUP(F1896,CARTON_LOOKUP!$A:$E,2,0),"")</f>
      </c>
      <c r="K1896" s="29">
        <f>IFERROR(J1896*D1896,0)</f>
      </c>
      <c r="L1896" s="29">
        <f>IFERROR(E1896*C1896,0)</f>
      </c>
      <c r="M1896" s="29">
        <f>IFERROR((G1896*H1896*I1896/1000000)*D1896,0)</f>
      </c>
    </row>
    <row r="1897" spans="1:13" x14ac:dyDescent="0.25">
      <c r="A1897" s="16"/>
      <c r="E1897" s="27"/>
      <c r="F1897" t="s">
        <v>26</v>
      </c>
      <c r="G1897" s="28">
        <f>IFERROR(VLOOKUP(F1897,CARTON_LOOKUP!$A:$E,3,0),"")</f>
      </c>
      <c r="H1897" s="28">
        <f>IFERROR(VLOOKUP(F1897,CARTON_LOOKUP!$A:$E,4,0),"")</f>
      </c>
      <c r="I1897" s="28">
        <f>IFERROR(VLOOKUP(F1897,CARTON_LOOKUP!$A:$E,5,0),"")</f>
      </c>
      <c r="J1897" s="29">
        <f>IFERROR(VLOOKUP(F1897,CARTON_LOOKUP!$A:$E,2,0),"")</f>
      </c>
      <c r="K1897" s="29">
        <f>IFERROR(J1897*D1897,0)</f>
      </c>
      <c r="L1897" s="29">
        <f>IFERROR(E1897*C1897,0)</f>
      </c>
      <c r="M1897" s="29">
        <f>IFERROR((G1897*H1897*I1897/1000000)*D1897,0)</f>
      </c>
    </row>
    <row r="1898" spans="1:13" x14ac:dyDescent="0.25">
      <c r="A1898" s="16"/>
      <c r="E1898" s="27"/>
      <c r="F1898" t="s">
        <v>26</v>
      </c>
      <c r="G1898" s="28">
        <f>IFERROR(VLOOKUP(F1898,CARTON_LOOKUP!$A:$E,3,0),"")</f>
      </c>
      <c r="H1898" s="28">
        <f>IFERROR(VLOOKUP(F1898,CARTON_LOOKUP!$A:$E,4,0),"")</f>
      </c>
      <c r="I1898" s="28">
        <f>IFERROR(VLOOKUP(F1898,CARTON_LOOKUP!$A:$E,5,0),"")</f>
      </c>
      <c r="J1898" s="29">
        <f>IFERROR(VLOOKUP(F1898,CARTON_LOOKUP!$A:$E,2,0),"")</f>
      </c>
      <c r="K1898" s="29">
        <f>IFERROR(J1898*D1898,0)</f>
      </c>
      <c r="L1898" s="29">
        <f>IFERROR(E1898*C1898,0)</f>
      </c>
      <c r="M1898" s="29">
        <f>IFERROR((G1898*H1898*I1898/1000000)*D1898,0)</f>
      </c>
    </row>
    <row r="1899" spans="1:13" x14ac:dyDescent="0.25">
      <c r="A1899" s="16"/>
      <c r="E1899" s="27"/>
      <c r="F1899" t="s">
        <v>26</v>
      </c>
      <c r="G1899" s="28">
        <f>IFERROR(VLOOKUP(F1899,CARTON_LOOKUP!$A:$E,3,0),"")</f>
      </c>
      <c r="H1899" s="28">
        <f>IFERROR(VLOOKUP(F1899,CARTON_LOOKUP!$A:$E,4,0),"")</f>
      </c>
      <c r="I1899" s="28">
        <f>IFERROR(VLOOKUP(F1899,CARTON_LOOKUP!$A:$E,5,0),"")</f>
      </c>
      <c r="J1899" s="29">
        <f>IFERROR(VLOOKUP(F1899,CARTON_LOOKUP!$A:$E,2,0),"")</f>
      </c>
      <c r="K1899" s="29">
        <f>IFERROR(J1899*D1899,0)</f>
      </c>
      <c r="L1899" s="29">
        <f>IFERROR(E1899*C1899,0)</f>
      </c>
      <c r="M1899" s="29">
        <f>IFERROR((G1899*H1899*I1899/1000000)*D1899,0)</f>
      </c>
    </row>
    <row r="1900" spans="1:13" x14ac:dyDescent="0.25">
      <c r="A1900" s="16"/>
      <c r="E1900" s="27"/>
      <c r="F1900" t="s">
        <v>26</v>
      </c>
      <c r="G1900" s="28">
        <f>IFERROR(VLOOKUP(F1900,CARTON_LOOKUP!$A:$E,3,0),"")</f>
      </c>
      <c r="H1900" s="28">
        <f>IFERROR(VLOOKUP(F1900,CARTON_LOOKUP!$A:$E,4,0),"")</f>
      </c>
      <c r="I1900" s="28">
        <f>IFERROR(VLOOKUP(F1900,CARTON_LOOKUP!$A:$E,5,0),"")</f>
      </c>
      <c r="J1900" s="29">
        <f>IFERROR(VLOOKUP(F1900,CARTON_LOOKUP!$A:$E,2,0),"")</f>
      </c>
      <c r="K1900" s="29">
        <f>IFERROR(J1900*D1900,0)</f>
      </c>
      <c r="L1900" s="29">
        <f>IFERROR(E1900*C1900,0)</f>
      </c>
      <c r="M1900" s="29">
        <f>IFERROR((G1900*H1900*I1900/1000000)*D1900,0)</f>
      </c>
    </row>
    <row r="1901" spans="1:13" x14ac:dyDescent="0.25">
      <c r="A1901" s="16"/>
      <c r="E1901" s="27"/>
      <c r="F1901" t="s">
        <v>26</v>
      </c>
      <c r="G1901" s="28">
        <f>IFERROR(VLOOKUP(F1901,CARTON_LOOKUP!$A:$E,3,0),"")</f>
      </c>
      <c r="H1901" s="28">
        <f>IFERROR(VLOOKUP(F1901,CARTON_LOOKUP!$A:$E,4,0),"")</f>
      </c>
      <c r="I1901" s="28">
        <f>IFERROR(VLOOKUP(F1901,CARTON_LOOKUP!$A:$E,5,0),"")</f>
      </c>
      <c r="J1901" s="29">
        <f>IFERROR(VLOOKUP(F1901,CARTON_LOOKUP!$A:$E,2,0),"")</f>
      </c>
      <c r="K1901" s="29">
        <f>IFERROR(J1901*D1901,0)</f>
      </c>
      <c r="L1901" s="29">
        <f>IFERROR(E1901*C1901,0)</f>
      </c>
      <c r="M1901" s="29">
        <f>IFERROR((G1901*H1901*I1901/1000000)*D1901,0)</f>
      </c>
    </row>
    <row r="1902" spans="1:13" x14ac:dyDescent="0.25">
      <c r="A1902" s="16"/>
      <c r="E1902" s="27"/>
      <c r="F1902" t="s">
        <v>26</v>
      </c>
      <c r="G1902" s="28">
        <f>IFERROR(VLOOKUP(F1902,CARTON_LOOKUP!$A:$E,3,0),"")</f>
      </c>
      <c r="H1902" s="28">
        <f>IFERROR(VLOOKUP(F1902,CARTON_LOOKUP!$A:$E,4,0),"")</f>
      </c>
      <c r="I1902" s="28">
        <f>IFERROR(VLOOKUP(F1902,CARTON_LOOKUP!$A:$E,5,0),"")</f>
      </c>
      <c r="J1902" s="29">
        <f>IFERROR(VLOOKUP(F1902,CARTON_LOOKUP!$A:$E,2,0),"")</f>
      </c>
      <c r="K1902" s="29">
        <f>IFERROR(J1902*D1902,0)</f>
      </c>
      <c r="L1902" s="29">
        <f>IFERROR(E1902*C1902,0)</f>
      </c>
      <c r="M1902" s="29">
        <f>IFERROR((G1902*H1902*I1902/1000000)*D1902,0)</f>
      </c>
    </row>
    <row r="1903" spans="1:13" x14ac:dyDescent="0.25">
      <c r="A1903" s="16"/>
      <c r="E1903" s="27"/>
      <c r="F1903" t="s">
        <v>26</v>
      </c>
      <c r="G1903" s="28">
        <f>IFERROR(VLOOKUP(F1903,CARTON_LOOKUP!$A:$E,3,0),"")</f>
      </c>
      <c r="H1903" s="28">
        <f>IFERROR(VLOOKUP(F1903,CARTON_LOOKUP!$A:$E,4,0),"")</f>
      </c>
      <c r="I1903" s="28">
        <f>IFERROR(VLOOKUP(F1903,CARTON_LOOKUP!$A:$E,5,0),"")</f>
      </c>
      <c r="J1903" s="29">
        <f>IFERROR(VLOOKUP(F1903,CARTON_LOOKUP!$A:$E,2,0),"")</f>
      </c>
      <c r="K1903" s="29">
        <f>IFERROR(J1903*D1903,0)</f>
      </c>
      <c r="L1903" s="29">
        <f>IFERROR(E1903*C1903,0)</f>
      </c>
      <c r="M1903" s="29">
        <f>IFERROR((G1903*H1903*I1903/1000000)*D1903,0)</f>
      </c>
    </row>
    <row r="1904" spans="1:13" x14ac:dyDescent="0.25">
      <c r="A1904" s="16"/>
      <c r="E1904" s="27"/>
      <c r="F1904" t="s">
        <v>26</v>
      </c>
      <c r="G1904" s="28">
        <f>IFERROR(VLOOKUP(F1904,CARTON_LOOKUP!$A:$E,3,0),"")</f>
      </c>
      <c r="H1904" s="28">
        <f>IFERROR(VLOOKUP(F1904,CARTON_LOOKUP!$A:$E,4,0),"")</f>
      </c>
      <c r="I1904" s="28">
        <f>IFERROR(VLOOKUP(F1904,CARTON_LOOKUP!$A:$E,5,0),"")</f>
      </c>
      <c r="J1904" s="29">
        <f>IFERROR(VLOOKUP(F1904,CARTON_LOOKUP!$A:$E,2,0),"")</f>
      </c>
      <c r="K1904" s="29">
        <f>IFERROR(J1904*D1904,0)</f>
      </c>
      <c r="L1904" s="29">
        <f>IFERROR(E1904*C1904,0)</f>
      </c>
      <c r="M1904" s="29">
        <f>IFERROR((G1904*H1904*I1904/1000000)*D1904,0)</f>
      </c>
    </row>
    <row r="1905" spans="1:13" x14ac:dyDescent="0.25">
      <c r="A1905" s="16"/>
      <c r="E1905" s="27"/>
      <c r="F1905" t="s">
        <v>26</v>
      </c>
      <c r="G1905" s="28">
        <f>IFERROR(VLOOKUP(F1905,CARTON_LOOKUP!$A:$E,3,0),"")</f>
      </c>
      <c r="H1905" s="28">
        <f>IFERROR(VLOOKUP(F1905,CARTON_LOOKUP!$A:$E,4,0),"")</f>
      </c>
      <c r="I1905" s="28">
        <f>IFERROR(VLOOKUP(F1905,CARTON_LOOKUP!$A:$E,5,0),"")</f>
      </c>
      <c r="J1905" s="29">
        <f>IFERROR(VLOOKUP(F1905,CARTON_LOOKUP!$A:$E,2,0),"")</f>
      </c>
      <c r="K1905" s="29">
        <f>IFERROR(J1905*D1905,0)</f>
      </c>
      <c r="L1905" s="29">
        <f>IFERROR(E1905*C1905,0)</f>
      </c>
      <c r="M1905" s="29">
        <f>IFERROR((G1905*H1905*I1905/1000000)*D1905,0)</f>
      </c>
    </row>
    <row r="1906" spans="1:13" x14ac:dyDescent="0.25">
      <c r="A1906" s="16"/>
      <c r="E1906" s="27"/>
      <c r="F1906" t="s">
        <v>26</v>
      </c>
      <c r="G1906" s="28">
        <f>IFERROR(VLOOKUP(F1906,CARTON_LOOKUP!$A:$E,3,0),"")</f>
      </c>
      <c r="H1906" s="28">
        <f>IFERROR(VLOOKUP(F1906,CARTON_LOOKUP!$A:$E,4,0),"")</f>
      </c>
      <c r="I1906" s="28">
        <f>IFERROR(VLOOKUP(F1906,CARTON_LOOKUP!$A:$E,5,0),"")</f>
      </c>
      <c r="J1906" s="29">
        <f>IFERROR(VLOOKUP(F1906,CARTON_LOOKUP!$A:$E,2,0),"")</f>
      </c>
      <c r="K1906" s="29">
        <f>IFERROR(J1906*D1906,0)</f>
      </c>
      <c r="L1906" s="29">
        <f>IFERROR(E1906*C1906,0)</f>
      </c>
      <c r="M1906" s="29">
        <f>IFERROR((G1906*H1906*I1906/1000000)*D1906,0)</f>
      </c>
    </row>
    <row r="1907" spans="1:13" x14ac:dyDescent="0.25">
      <c r="A1907" s="16"/>
      <c r="E1907" s="27"/>
      <c r="F1907" t="s">
        <v>26</v>
      </c>
      <c r="G1907" s="28">
        <f>IFERROR(VLOOKUP(F1907,CARTON_LOOKUP!$A:$E,3,0),"")</f>
      </c>
      <c r="H1907" s="28">
        <f>IFERROR(VLOOKUP(F1907,CARTON_LOOKUP!$A:$E,4,0),"")</f>
      </c>
      <c r="I1907" s="28">
        <f>IFERROR(VLOOKUP(F1907,CARTON_LOOKUP!$A:$E,5,0),"")</f>
      </c>
      <c r="J1907" s="29">
        <f>IFERROR(VLOOKUP(F1907,CARTON_LOOKUP!$A:$E,2,0),"")</f>
      </c>
      <c r="K1907" s="29">
        <f>IFERROR(J1907*D1907,0)</f>
      </c>
      <c r="L1907" s="29">
        <f>IFERROR(E1907*C1907,0)</f>
      </c>
      <c r="M1907" s="29">
        <f>IFERROR((G1907*H1907*I1907/1000000)*D1907,0)</f>
      </c>
    </row>
    <row r="1908" spans="1:13" x14ac:dyDescent="0.25">
      <c r="A1908" s="16"/>
      <c r="E1908" s="27"/>
      <c r="F1908" t="s">
        <v>26</v>
      </c>
      <c r="G1908" s="28">
        <f>IFERROR(VLOOKUP(F1908,CARTON_LOOKUP!$A:$E,3,0),"")</f>
      </c>
      <c r="H1908" s="28">
        <f>IFERROR(VLOOKUP(F1908,CARTON_LOOKUP!$A:$E,4,0),"")</f>
      </c>
      <c r="I1908" s="28">
        <f>IFERROR(VLOOKUP(F1908,CARTON_LOOKUP!$A:$E,5,0),"")</f>
      </c>
      <c r="J1908" s="29">
        <f>IFERROR(VLOOKUP(F1908,CARTON_LOOKUP!$A:$E,2,0),"")</f>
      </c>
      <c r="K1908" s="29">
        <f>IFERROR(J1908*D1908,0)</f>
      </c>
      <c r="L1908" s="29">
        <f>IFERROR(E1908*C1908,0)</f>
      </c>
      <c r="M1908" s="29">
        <f>IFERROR((G1908*H1908*I1908/1000000)*D1908,0)</f>
      </c>
    </row>
    <row r="1909" spans="1:13" x14ac:dyDescent="0.25">
      <c r="A1909" s="16"/>
      <c r="E1909" s="27"/>
      <c r="F1909" t="s">
        <v>26</v>
      </c>
      <c r="G1909" s="28">
        <f>IFERROR(VLOOKUP(F1909,CARTON_LOOKUP!$A:$E,3,0),"")</f>
      </c>
      <c r="H1909" s="28">
        <f>IFERROR(VLOOKUP(F1909,CARTON_LOOKUP!$A:$E,4,0),"")</f>
      </c>
      <c r="I1909" s="28">
        <f>IFERROR(VLOOKUP(F1909,CARTON_LOOKUP!$A:$E,5,0),"")</f>
      </c>
      <c r="J1909" s="29">
        <f>IFERROR(VLOOKUP(F1909,CARTON_LOOKUP!$A:$E,2,0),"")</f>
      </c>
      <c r="K1909" s="29">
        <f>IFERROR(J1909*D1909,0)</f>
      </c>
      <c r="L1909" s="29">
        <f>IFERROR(E1909*C1909,0)</f>
      </c>
      <c r="M1909" s="29">
        <f>IFERROR((G1909*H1909*I1909/1000000)*D1909,0)</f>
      </c>
    </row>
    <row r="1910" spans="1:13" x14ac:dyDescent="0.25">
      <c r="A1910" s="16"/>
      <c r="E1910" s="27"/>
      <c r="F1910" t="s">
        <v>26</v>
      </c>
      <c r="G1910" s="28">
        <f>IFERROR(VLOOKUP(F1910,CARTON_LOOKUP!$A:$E,3,0),"")</f>
      </c>
      <c r="H1910" s="28">
        <f>IFERROR(VLOOKUP(F1910,CARTON_LOOKUP!$A:$E,4,0),"")</f>
      </c>
      <c r="I1910" s="28">
        <f>IFERROR(VLOOKUP(F1910,CARTON_LOOKUP!$A:$E,5,0),"")</f>
      </c>
      <c r="J1910" s="29">
        <f>IFERROR(VLOOKUP(F1910,CARTON_LOOKUP!$A:$E,2,0),"")</f>
      </c>
      <c r="K1910" s="29">
        <f>IFERROR(J1910*D1910,0)</f>
      </c>
      <c r="L1910" s="29">
        <f>IFERROR(E1910*C1910,0)</f>
      </c>
      <c r="M1910" s="29">
        <f>IFERROR((G1910*H1910*I1910/1000000)*D1910,0)</f>
      </c>
    </row>
    <row r="1911" spans="1:13" x14ac:dyDescent="0.25">
      <c r="A1911" s="16"/>
      <c r="E1911" s="27"/>
      <c r="F1911" t="s">
        <v>26</v>
      </c>
      <c r="G1911" s="28">
        <f>IFERROR(VLOOKUP(F1911,CARTON_LOOKUP!$A:$E,3,0),"")</f>
      </c>
      <c r="H1911" s="28">
        <f>IFERROR(VLOOKUP(F1911,CARTON_LOOKUP!$A:$E,4,0),"")</f>
      </c>
      <c r="I1911" s="28">
        <f>IFERROR(VLOOKUP(F1911,CARTON_LOOKUP!$A:$E,5,0),"")</f>
      </c>
      <c r="J1911" s="29">
        <f>IFERROR(VLOOKUP(F1911,CARTON_LOOKUP!$A:$E,2,0),"")</f>
      </c>
      <c r="K1911" s="29">
        <f>IFERROR(J1911*D1911,0)</f>
      </c>
      <c r="L1911" s="29">
        <f>IFERROR(E1911*C1911,0)</f>
      </c>
      <c r="M1911" s="29">
        <f>IFERROR((G1911*H1911*I1911/1000000)*D1911,0)</f>
      </c>
    </row>
    <row r="1912" spans="1:13" x14ac:dyDescent="0.25">
      <c r="A1912" s="16"/>
      <c r="E1912" s="27"/>
      <c r="F1912" t="s">
        <v>26</v>
      </c>
      <c r="G1912" s="28">
        <f>IFERROR(VLOOKUP(F1912,CARTON_LOOKUP!$A:$E,3,0),"")</f>
      </c>
      <c r="H1912" s="28">
        <f>IFERROR(VLOOKUP(F1912,CARTON_LOOKUP!$A:$E,4,0),"")</f>
      </c>
      <c r="I1912" s="28">
        <f>IFERROR(VLOOKUP(F1912,CARTON_LOOKUP!$A:$E,5,0),"")</f>
      </c>
      <c r="J1912" s="29">
        <f>IFERROR(VLOOKUP(F1912,CARTON_LOOKUP!$A:$E,2,0),"")</f>
      </c>
      <c r="K1912" s="29">
        <f>IFERROR(J1912*D1912,0)</f>
      </c>
      <c r="L1912" s="29">
        <f>IFERROR(E1912*C1912,0)</f>
      </c>
      <c r="M1912" s="29">
        <f>IFERROR((G1912*H1912*I1912/1000000)*D1912,0)</f>
      </c>
    </row>
    <row r="1913" spans="1:13" x14ac:dyDescent="0.25">
      <c r="A1913" s="16"/>
      <c r="E1913" s="27"/>
      <c r="F1913" t="s">
        <v>26</v>
      </c>
      <c r="G1913" s="28">
        <f>IFERROR(VLOOKUP(F1913,CARTON_LOOKUP!$A:$E,3,0),"")</f>
      </c>
      <c r="H1913" s="28">
        <f>IFERROR(VLOOKUP(F1913,CARTON_LOOKUP!$A:$E,4,0),"")</f>
      </c>
      <c r="I1913" s="28">
        <f>IFERROR(VLOOKUP(F1913,CARTON_LOOKUP!$A:$E,5,0),"")</f>
      </c>
      <c r="J1913" s="29">
        <f>IFERROR(VLOOKUP(F1913,CARTON_LOOKUP!$A:$E,2,0),"")</f>
      </c>
      <c r="K1913" s="29">
        <f>IFERROR(J1913*D1913,0)</f>
      </c>
      <c r="L1913" s="29">
        <f>IFERROR(E1913*C1913,0)</f>
      </c>
      <c r="M1913" s="29">
        <f>IFERROR((G1913*H1913*I1913/1000000)*D1913,0)</f>
      </c>
    </row>
    <row r="1914" spans="1:13" x14ac:dyDescent="0.25">
      <c r="A1914" s="16"/>
      <c r="E1914" s="27"/>
      <c r="F1914" t="s">
        <v>26</v>
      </c>
      <c r="G1914" s="28">
        <f>IFERROR(VLOOKUP(F1914,CARTON_LOOKUP!$A:$E,3,0),"")</f>
      </c>
      <c r="H1914" s="28">
        <f>IFERROR(VLOOKUP(F1914,CARTON_LOOKUP!$A:$E,4,0),"")</f>
      </c>
      <c r="I1914" s="28">
        <f>IFERROR(VLOOKUP(F1914,CARTON_LOOKUP!$A:$E,5,0),"")</f>
      </c>
      <c r="J1914" s="29">
        <f>IFERROR(VLOOKUP(F1914,CARTON_LOOKUP!$A:$E,2,0),"")</f>
      </c>
      <c r="K1914" s="29">
        <f>IFERROR(J1914*D1914,0)</f>
      </c>
      <c r="L1914" s="29">
        <f>IFERROR(E1914*C1914,0)</f>
      </c>
      <c r="M1914" s="29">
        <f>IFERROR((G1914*H1914*I1914/1000000)*D1914,0)</f>
      </c>
    </row>
    <row r="1915" spans="1:13" x14ac:dyDescent="0.25">
      <c r="A1915" s="16"/>
      <c r="E1915" s="27"/>
      <c r="F1915" t="s">
        <v>26</v>
      </c>
      <c r="G1915" s="28">
        <f>IFERROR(VLOOKUP(F1915,CARTON_LOOKUP!$A:$E,3,0),"")</f>
      </c>
      <c r="H1915" s="28">
        <f>IFERROR(VLOOKUP(F1915,CARTON_LOOKUP!$A:$E,4,0),"")</f>
      </c>
      <c r="I1915" s="28">
        <f>IFERROR(VLOOKUP(F1915,CARTON_LOOKUP!$A:$E,5,0),"")</f>
      </c>
      <c r="J1915" s="29">
        <f>IFERROR(VLOOKUP(F1915,CARTON_LOOKUP!$A:$E,2,0),"")</f>
      </c>
      <c r="K1915" s="29">
        <f>IFERROR(J1915*D1915,0)</f>
      </c>
      <c r="L1915" s="29">
        <f>IFERROR(E1915*C1915,0)</f>
      </c>
      <c r="M1915" s="29">
        <f>IFERROR((G1915*H1915*I1915/1000000)*D1915,0)</f>
      </c>
    </row>
    <row r="1916" spans="1:13" x14ac:dyDescent="0.25">
      <c r="A1916" s="16"/>
      <c r="E1916" s="27"/>
      <c r="F1916" t="s">
        <v>26</v>
      </c>
      <c r="G1916" s="28">
        <f>IFERROR(VLOOKUP(F1916,CARTON_LOOKUP!$A:$E,3,0),"")</f>
      </c>
      <c r="H1916" s="28">
        <f>IFERROR(VLOOKUP(F1916,CARTON_LOOKUP!$A:$E,4,0),"")</f>
      </c>
      <c r="I1916" s="28">
        <f>IFERROR(VLOOKUP(F1916,CARTON_LOOKUP!$A:$E,5,0),"")</f>
      </c>
      <c r="J1916" s="29">
        <f>IFERROR(VLOOKUP(F1916,CARTON_LOOKUP!$A:$E,2,0),"")</f>
      </c>
      <c r="K1916" s="29">
        <f>IFERROR(J1916*D1916,0)</f>
      </c>
      <c r="L1916" s="29">
        <f>IFERROR(E1916*C1916,0)</f>
      </c>
      <c r="M1916" s="29">
        <f>IFERROR((G1916*H1916*I1916/1000000)*D1916,0)</f>
      </c>
    </row>
    <row r="1917" spans="1:13" x14ac:dyDescent="0.25">
      <c r="A1917" s="16"/>
      <c r="E1917" s="27"/>
      <c r="F1917" t="s">
        <v>26</v>
      </c>
      <c r="G1917" s="28">
        <f>IFERROR(VLOOKUP(F1917,CARTON_LOOKUP!$A:$E,3,0),"")</f>
      </c>
      <c r="H1917" s="28">
        <f>IFERROR(VLOOKUP(F1917,CARTON_LOOKUP!$A:$E,4,0),"")</f>
      </c>
      <c r="I1917" s="28">
        <f>IFERROR(VLOOKUP(F1917,CARTON_LOOKUP!$A:$E,5,0),"")</f>
      </c>
      <c r="J1917" s="29">
        <f>IFERROR(VLOOKUP(F1917,CARTON_LOOKUP!$A:$E,2,0),"")</f>
      </c>
      <c r="K1917" s="29">
        <f>IFERROR(J1917*D1917,0)</f>
      </c>
      <c r="L1917" s="29">
        <f>IFERROR(E1917*C1917,0)</f>
      </c>
      <c r="M1917" s="29">
        <f>IFERROR((G1917*H1917*I1917/1000000)*D1917,0)</f>
      </c>
    </row>
    <row r="1918" spans="1:13" x14ac:dyDescent="0.25">
      <c r="A1918" s="16"/>
      <c r="E1918" s="27"/>
      <c r="F1918" t="s">
        <v>26</v>
      </c>
      <c r="G1918" s="28">
        <f>IFERROR(VLOOKUP(F1918,CARTON_LOOKUP!$A:$E,3,0),"")</f>
      </c>
      <c r="H1918" s="28">
        <f>IFERROR(VLOOKUP(F1918,CARTON_LOOKUP!$A:$E,4,0),"")</f>
      </c>
      <c r="I1918" s="28">
        <f>IFERROR(VLOOKUP(F1918,CARTON_LOOKUP!$A:$E,5,0),"")</f>
      </c>
      <c r="J1918" s="29">
        <f>IFERROR(VLOOKUP(F1918,CARTON_LOOKUP!$A:$E,2,0),"")</f>
      </c>
      <c r="K1918" s="29">
        <f>IFERROR(J1918*D1918,0)</f>
      </c>
      <c r="L1918" s="29">
        <f>IFERROR(E1918*C1918,0)</f>
      </c>
      <c r="M1918" s="29">
        <f>IFERROR((G1918*H1918*I1918/1000000)*D1918,0)</f>
      </c>
    </row>
    <row r="1919" spans="1:13" x14ac:dyDescent="0.25">
      <c r="A1919" s="16"/>
      <c r="E1919" s="27"/>
      <c r="F1919" t="s">
        <v>26</v>
      </c>
      <c r="G1919" s="28">
        <f>IFERROR(VLOOKUP(F1919,CARTON_LOOKUP!$A:$E,3,0),"")</f>
      </c>
      <c r="H1919" s="28">
        <f>IFERROR(VLOOKUP(F1919,CARTON_LOOKUP!$A:$E,4,0),"")</f>
      </c>
      <c r="I1919" s="28">
        <f>IFERROR(VLOOKUP(F1919,CARTON_LOOKUP!$A:$E,5,0),"")</f>
      </c>
      <c r="J1919" s="29">
        <f>IFERROR(VLOOKUP(F1919,CARTON_LOOKUP!$A:$E,2,0),"")</f>
      </c>
      <c r="K1919" s="29">
        <f>IFERROR(J1919*D1919,0)</f>
      </c>
      <c r="L1919" s="29">
        <f>IFERROR(E1919*C1919,0)</f>
      </c>
      <c r="M1919" s="29">
        <f>IFERROR((G1919*H1919*I1919/1000000)*D1919,0)</f>
      </c>
    </row>
    <row r="1920" spans="1:13" x14ac:dyDescent="0.25">
      <c r="A1920" s="16"/>
      <c r="E1920" s="27"/>
      <c r="F1920" t="s">
        <v>26</v>
      </c>
      <c r="G1920" s="28">
        <f>IFERROR(VLOOKUP(F1920,CARTON_LOOKUP!$A:$E,3,0),"")</f>
      </c>
      <c r="H1920" s="28">
        <f>IFERROR(VLOOKUP(F1920,CARTON_LOOKUP!$A:$E,4,0),"")</f>
      </c>
      <c r="I1920" s="28">
        <f>IFERROR(VLOOKUP(F1920,CARTON_LOOKUP!$A:$E,5,0),"")</f>
      </c>
      <c r="J1920" s="29">
        <f>IFERROR(VLOOKUP(F1920,CARTON_LOOKUP!$A:$E,2,0),"")</f>
      </c>
      <c r="K1920" s="29">
        <f>IFERROR(J1920*D1920,0)</f>
      </c>
      <c r="L1920" s="29">
        <f>IFERROR(E1920*C1920,0)</f>
      </c>
      <c r="M1920" s="29">
        <f>IFERROR((G1920*H1920*I1920/1000000)*D1920,0)</f>
      </c>
    </row>
    <row r="1921" spans="1:13" x14ac:dyDescent="0.25">
      <c r="A1921" s="16"/>
      <c r="E1921" s="27"/>
      <c r="F1921" t="s">
        <v>26</v>
      </c>
      <c r="G1921" s="28">
        <f>IFERROR(VLOOKUP(F1921,CARTON_LOOKUP!$A:$E,3,0),"")</f>
      </c>
      <c r="H1921" s="28">
        <f>IFERROR(VLOOKUP(F1921,CARTON_LOOKUP!$A:$E,4,0),"")</f>
      </c>
      <c r="I1921" s="28">
        <f>IFERROR(VLOOKUP(F1921,CARTON_LOOKUP!$A:$E,5,0),"")</f>
      </c>
      <c r="J1921" s="29">
        <f>IFERROR(VLOOKUP(F1921,CARTON_LOOKUP!$A:$E,2,0),"")</f>
      </c>
      <c r="K1921" s="29">
        <f>IFERROR(J1921*D1921,0)</f>
      </c>
      <c r="L1921" s="29">
        <f>IFERROR(E1921*C1921,0)</f>
      </c>
      <c r="M1921" s="29">
        <f>IFERROR((G1921*H1921*I1921/1000000)*D1921,0)</f>
      </c>
    </row>
    <row r="1922" spans="1:13" x14ac:dyDescent="0.25">
      <c r="A1922" s="16"/>
      <c r="E1922" s="27"/>
      <c r="F1922" t="s">
        <v>26</v>
      </c>
      <c r="G1922" s="28">
        <f>IFERROR(VLOOKUP(F1922,CARTON_LOOKUP!$A:$E,3,0),"")</f>
      </c>
      <c r="H1922" s="28">
        <f>IFERROR(VLOOKUP(F1922,CARTON_LOOKUP!$A:$E,4,0),"")</f>
      </c>
      <c r="I1922" s="28">
        <f>IFERROR(VLOOKUP(F1922,CARTON_LOOKUP!$A:$E,5,0),"")</f>
      </c>
      <c r="J1922" s="29">
        <f>IFERROR(VLOOKUP(F1922,CARTON_LOOKUP!$A:$E,2,0),"")</f>
      </c>
      <c r="K1922" s="29">
        <f>IFERROR(J1922*D1922,0)</f>
      </c>
      <c r="L1922" s="29">
        <f>IFERROR(E1922*C1922,0)</f>
      </c>
      <c r="M1922" s="29">
        <f>IFERROR((G1922*H1922*I1922/1000000)*D1922,0)</f>
      </c>
    </row>
    <row r="1923" spans="1:13" x14ac:dyDescent="0.25">
      <c r="A1923" s="16"/>
      <c r="E1923" s="27"/>
      <c r="F1923" t="s">
        <v>26</v>
      </c>
      <c r="G1923" s="28">
        <f>IFERROR(VLOOKUP(F1923,CARTON_LOOKUP!$A:$E,3,0),"")</f>
      </c>
      <c r="H1923" s="28">
        <f>IFERROR(VLOOKUP(F1923,CARTON_LOOKUP!$A:$E,4,0),"")</f>
      </c>
      <c r="I1923" s="28">
        <f>IFERROR(VLOOKUP(F1923,CARTON_LOOKUP!$A:$E,5,0),"")</f>
      </c>
      <c r="J1923" s="29">
        <f>IFERROR(VLOOKUP(F1923,CARTON_LOOKUP!$A:$E,2,0),"")</f>
      </c>
      <c r="K1923" s="29">
        <f>IFERROR(J1923*D1923,0)</f>
      </c>
      <c r="L1923" s="29">
        <f>IFERROR(E1923*C1923,0)</f>
      </c>
      <c r="M1923" s="29">
        <f>IFERROR((G1923*H1923*I1923/1000000)*D1923,0)</f>
      </c>
    </row>
    <row r="1924" spans="1:13" x14ac:dyDescent="0.25">
      <c r="A1924" s="16"/>
      <c r="E1924" s="27"/>
      <c r="F1924" t="s">
        <v>26</v>
      </c>
      <c r="G1924" s="28">
        <f>IFERROR(VLOOKUP(F1924,CARTON_LOOKUP!$A:$E,3,0),"")</f>
      </c>
      <c r="H1924" s="28">
        <f>IFERROR(VLOOKUP(F1924,CARTON_LOOKUP!$A:$E,4,0),"")</f>
      </c>
      <c r="I1924" s="28">
        <f>IFERROR(VLOOKUP(F1924,CARTON_LOOKUP!$A:$E,5,0),"")</f>
      </c>
      <c r="J1924" s="29">
        <f>IFERROR(VLOOKUP(F1924,CARTON_LOOKUP!$A:$E,2,0),"")</f>
      </c>
      <c r="K1924" s="29">
        <f>IFERROR(J1924*D1924,0)</f>
      </c>
      <c r="L1924" s="29">
        <f>IFERROR(E1924*C1924,0)</f>
      </c>
      <c r="M1924" s="29">
        <f>IFERROR((G1924*H1924*I1924/1000000)*D1924,0)</f>
      </c>
    </row>
    <row r="1925" spans="1:13" x14ac:dyDescent="0.25">
      <c r="A1925" s="16"/>
      <c r="E1925" s="27"/>
      <c r="F1925" t="s">
        <v>26</v>
      </c>
      <c r="G1925" s="28">
        <f>IFERROR(VLOOKUP(F1925,CARTON_LOOKUP!$A:$E,3,0),"")</f>
      </c>
      <c r="H1925" s="28">
        <f>IFERROR(VLOOKUP(F1925,CARTON_LOOKUP!$A:$E,4,0),"")</f>
      </c>
      <c r="I1925" s="28">
        <f>IFERROR(VLOOKUP(F1925,CARTON_LOOKUP!$A:$E,5,0),"")</f>
      </c>
      <c r="J1925" s="29">
        <f>IFERROR(VLOOKUP(F1925,CARTON_LOOKUP!$A:$E,2,0),"")</f>
      </c>
      <c r="K1925" s="29">
        <f>IFERROR(J1925*D1925,0)</f>
      </c>
      <c r="L1925" s="29">
        <f>IFERROR(E1925*C1925,0)</f>
      </c>
      <c r="M1925" s="29">
        <f>IFERROR((G1925*H1925*I1925/1000000)*D1925,0)</f>
      </c>
    </row>
    <row r="1926" spans="1:13" x14ac:dyDescent="0.25">
      <c r="A1926" s="16"/>
      <c r="E1926" s="27"/>
      <c r="F1926" t="s">
        <v>26</v>
      </c>
      <c r="G1926" s="28">
        <f>IFERROR(VLOOKUP(F1926,CARTON_LOOKUP!$A:$E,3,0),"")</f>
      </c>
      <c r="H1926" s="28">
        <f>IFERROR(VLOOKUP(F1926,CARTON_LOOKUP!$A:$E,4,0),"")</f>
      </c>
      <c r="I1926" s="28">
        <f>IFERROR(VLOOKUP(F1926,CARTON_LOOKUP!$A:$E,5,0),"")</f>
      </c>
      <c r="J1926" s="29">
        <f>IFERROR(VLOOKUP(F1926,CARTON_LOOKUP!$A:$E,2,0),"")</f>
      </c>
      <c r="K1926" s="29">
        <f>IFERROR(J1926*D1926,0)</f>
      </c>
      <c r="L1926" s="29">
        <f>IFERROR(E1926*C1926,0)</f>
      </c>
      <c r="M1926" s="29">
        <f>IFERROR((G1926*H1926*I1926/1000000)*D1926,0)</f>
      </c>
    </row>
    <row r="1927" spans="1:13" x14ac:dyDescent="0.25">
      <c r="A1927" s="16"/>
      <c r="E1927" s="27"/>
      <c r="F1927" t="s">
        <v>26</v>
      </c>
      <c r="G1927" s="28">
        <f>IFERROR(VLOOKUP(F1927,CARTON_LOOKUP!$A:$E,3,0),"")</f>
      </c>
      <c r="H1927" s="28">
        <f>IFERROR(VLOOKUP(F1927,CARTON_LOOKUP!$A:$E,4,0),"")</f>
      </c>
      <c r="I1927" s="28">
        <f>IFERROR(VLOOKUP(F1927,CARTON_LOOKUP!$A:$E,5,0),"")</f>
      </c>
      <c r="J1927" s="29">
        <f>IFERROR(VLOOKUP(F1927,CARTON_LOOKUP!$A:$E,2,0),"")</f>
      </c>
      <c r="K1927" s="29">
        <f>IFERROR(J1927*D1927,0)</f>
      </c>
      <c r="L1927" s="29">
        <f>IFERROR(E1927*C1927,0)</f>
      </c>
      <c r="M1927" s="29">
        <f>IFERROR((G1927*H1927*I1927/1000000)*D1927,0)</f>
      </c>
    </row>
    <row r="1928" spans="1:13" x14ac:dyDescent="0.25">
      <c r="A1928" s="16"/>
      <c r="E1928" s="27"/>
      <c r="F1928" t="s">
        <v>26</v>
      </c>
      <c r="G1928" s="28">
        <f>IFERROR(VLOOKUP(F1928,CARTON_LOOKUP!$A:$E,3,0),"")</f>
      </c>
      <c r="H1928" s="28">
        <f>IFERROR(VLOOKUP(F1928,CARTON_LOOKUP!$A:$E,4,0),"")</f>
      </c>
      <c r="I1928" s="28">
        <f>IFERROR(VLOOKUP(F1928,CARTON_LOOKUP!$A:$E,5,0),"")</f>
      </c>
      <c r="J1928" s="29">
        <f>IFERROR(VLOOKUP(F1928,CARTON_LOOKUP!$A:$E,2,0),"")</f>
      </c>
      <c r="K1928" s="29">
        <f>IFERROR(J1928*D1928,0)</f>
      </c>
      <c r="L1928" s="29">
        <f>IFERROR(E1928*C1928,0)</f>
      </c>
      <c r="M1928" s="29">
        <f>IFERROR((G1928*H1928*I1928/1000000)*D1928,0)</f>
      </c>
    </row>
    <row r="1929" spans="1:13" x14ac:dyDescent="0.25">
      <c r="A1929" s="16"/>
      <c r="E1929" s="27"/>
      <c r="F1929" t="s">
        <v>26</v>
      </c>
      <c r="G1929" s="28">
        <f>IFERROR(VLOOKUP(F1929,CARTON_LOOKUP!$A:$E,3,0),"")</f>
      </c>
      <c r="H1929" s="28">
        <f>IFERROR(VLOOKUP(F1929,CARTON_LOOKUP!$A:$E,4,0),"")</f>
      </c>
      <c r="I1929" s="28">
        <f>IFERROR(VLOOKUP(F1929,CARTON_LOOKUP!$A:$E,5,0),"")</f>
      </c>
      <c r="J1929" s="29">
        <f>IFERROR(VLOOKUP(F1929,CARTON_LOOKUP!$A:$E,2,0),"")</f>
      </c>
      <c r="K1929" s="29">
        <f>IFERROR(J1929*D1929,0)</f>
      </c>
      <c r="L1929" s="29">
        <f>IFERROR(E1929*C1929,0)</f>
      </c>
      <c r="M1929" s="29">
        <f>IFERROR((G1929*H1929*I1929/1000000)*D1929,0)</f>
      </c>
    </row>
    <row r="1930" spans="1:13" x14ac:dyDescent="0.25">
      <c r="A1930" s="16"/>
      <c r="E1930" s="27"/>
      <c r="F1930" t="s">
        <v>26</v>
      </c>
      <c r="G1930" s="28">
        <f>IFERROR(VLOOKUP(F1930,CARTON_LOOKUP!$A:$E,3,0),"")</f>
      </c>
      <c r="H1930" s="28">
        <f>IFERROR(VLOOKUP(F1930,CARTON_LOOKUP!$A:$E,4,0),"")</f>
      </c>
      <c r="I1930" s="28">
        <f>IFERROR(VLOOKUP(F1930,CARTON_LOOKUP!$A:$E,5,0),"")</f>
      </c>
      <c r="J1930" s="29">
        <f>IFERROR(VLOOKUP(F1930,CARTON_LOOKUP!$A:$E,2,0),"")</f>
      </c>
      <c r="K1930" s="29">
        <f>IFERROR(J1930*D1930,0)</f>
      </c>
      <c r="L1930" s="29">
        <f>IFERROR(E1930*C1930,0)</f>
      </c>
      <c r="M1930" s="29">
        <f>IFERROR((G1930*H1930*I1930/1000000)*D1930,0)</f>
      </c>
    </row>
    <row r="1931" spans="1:13" x14ac:dyDescent="0.25">
      <c r="A1931" s="16"/>
      <c r="E1931" s="27"/>
      <c r="F1931" t="s">
        <v>26</v>
      </c>
      <c r="G1931" s="28">
        <f>IFERROR(VLOOKUP(F1931,CARTON_LOOKUP!$A:$E,3,0),"")</f>
      </c>
      <c r="H1931" s="28">
        <f>IFERROR(VLOOKUP(F1931,CARTON_LOOKUP!$A:$E,4,0),"")</f>
      </c>
      <c r="I1931" s="28">
        <f>IFERROR(VLOOKUP(F1931,CARTON_LOOKUP!$A:$E,5,0),"")</f>
      </c>
      <c r="J1931" s="29">
        <f>IFERROR(VLOOKUP(F1931,CARTON_LOOKUP!$A:$E,2,0),"")</f>
      </c>
      <c r="K1931" s="29">
        <f>IFERROR(J1931*D1931,0)</f>
      </c>
      <c r="L1931" s="29">
        <f>IFERROR(E1931*C1931,0)</f>
      </c>
      <c r="M1931" s="29">
        <f>IFERROR((G1931*H1931*I1931/1000000)*D1931,0)</f>
      </c>
    </row>
    <row r="1932" spans="1:13" x14ac:dyDescent="0.25">
      <c r="A1932" s="16"/>
      <c r="E1932" s="27"/>
      <c r="F1932" t="s">
        <v>26</v>
      </c>
      <c r="G1932" s="28">
        <f>IFERROR(VLOOKUP(F1932,CARTON_LOOKUP!$A:$E,3,0),"")</f>
      </c>
      <c r="H1932" s="28">
        <f>IFERROR(VLOOKUP(F1932,CARTON_LOOKUP!$A:$E,4,0),"")</f>
      </c>
      <c r="I1932" s="28">
        <f>IFERROR(VLOOKUP(F1932,CARTON_LOOKUP!$A:$E,5,0),"")</f>
      </c>
      <c r="J1932" s="29">
        <f>IFERROR(VLOOKUP(F1932,CARTON_LOOKUP!$A:$E,2,0),"")</f>
      </c>
      <c r="K1932" s="29">
        <f>IFERROR(J1932*D1932,0)</f>
      </c>
      <c r="L1932" s="29">
        <f>IFERROR(E1932*C1932,0)</f>
      </c>
      <c r="M1932" s="29">
        <f>IFERROR((G1932*H1932*I1932/1000000)*D1932,0)</f>
      </c>
    </row>
    <row r="1933" spans="1:13" x14ac:dyDescent="0.25">
      <c r="A1933" s="16"/>
      <c r="E1933" s="27"/>
      <c r="F1933" t="s">
        <v>26</v>
      </c>
      <c r="G1933" s="28">
        <f>IFERROR(VLOOKUP(F1933,CARTON_LOOKUP!$A:$E,3,0),"")</f>
      </c>
      <c r="H1933" s="28">
        <f>IFERROR(VLOOKUP(F1933,CARTON_LOOKUP!$A:$E,4,0),"")</f>
      </c>
      <c r="I1933" s="28">
        <f>IFERROR(VLOOKUP(F1933,CARTON_LOOKUP!$A:$E,5,0),"")</f>
      </c>
      <c r="J1933" s="29">
        <f>IFERROR(VLOOKUP(F1933,CARTON_LOOKUP!$A:$E,2,0),"")</f>
      </c>
      <c r="K1933" s="29">
        <f>IFERROR(J1933*D1933,0)</f>
      </c>
      <c r="L1933" s="29">
        <f>IFERROR(E1933*C1933,0)</f>
      </c>
      <c r="M1933" s="29">
        <f>IFERROR((G1933*H1933*I1933/1000000)*D1933,0)</f>
      </c>
    </row>
    <row r="1934" spans="1:13" x14ac:dyDescent="0.25">
      <c r="A1934" s="16"/>
      <c r="E1934" s="27"/>
      <c r="F1934" t="s">
        <v>26</v>
      </c>
      <c r="G1934" s="28">
        <f>IFERROR(VLOOKUP(F1934,CARTON_LOOKUP!$A:$E,3,0),"")</f>
      </c>
      <c r="H1934" s="28">
        <f>IFERROR(VLOOKUP(F1934,CARTON_LOOKUP!$A:$E,4,0),"")</f>
      </c>
      <c r="I1934" s="28">
        <f>IFERROR(VLOOKUP(F1934,CARTON_LOOKUP!$A:$E,5,0),"")</f>
      </c>
      <c r="J1934" s="29">
        <f>IFERROR(VLOOKUP(F1934,CARTON_LOOKUP!$A:$E,2,0),"")</f>
      </c>
      <c r="K1934" s="29">
        <f>IFERROR(J1934*D1934,0)</f>
      </c>
      <c r="L1934" s="29">
        <f>IFERROR(E1934*C1934,0)</f>
      </c>
      <c r="M1934" s="29">
        <f>IFERROR((G1934*H1934*I1934/1000000)*D1934,0)</f>
      </c>
    </row>
    <row r="1935" spans="1:13" x14ac:dyDescent="0.25">
      <c r="A1935" s="16"/>
      <c r="E1935" s="27"/>
      <c r="F1935" t="s">
        <v>26</v>
      </c>
      <c r="G1935" s="28">
        <f>IFERROR(VLOOKUP(F1935,CARTON_LOOKUP!$A:$E,3,0),"")</f>
      </c>
      <c r="H1935" s="28">
        <f>IFERROR(VLOOKUP(F1935,CARTON_LOOKUP!$A:$E,4,0),"")</f>
      </c>
      <c r="I1935" s="28">
        <f>IFERROR(VLOOKUP(F1935,CARTON_LOOKUP!$A:$E,5,0),"")</f>
      </c>
      <c r="J1935" s="29">
        <f>IFERROR(VLOOKUP(F1935,CARTON_LOOKUP!$A:$E,2,0),"")</f>
      </c>
      <c r="K1935" s="29">
        <f>IFERROR(J1935*D1935,0)</f>
      </c>
      <c r="L1935" s="29">
        <f>IFERROR(E1935*C1935,0)</f>
      </c>
      <c r="M1935" s="29">
        <f>IFERROR((G1935*H1935*I1935/1000000)*D1935,0)</f>
      </c>
    </row>
    <row r="1936" spans="1:13" x14ac:dyDescent="0.25">
      <c r="A1936" s="16"/>
      <c r="E1936" s="27"/>
      <c r="F1936" t="s">
        <v>26</v>
      </c>
      <c r="G1936" s="28">
        <f>IFERROR(VLOOKUP(F1936,CARTON_LOOKUP!$A:$E,3,0),"")</f>
      </c>
      <c r="H1936" s="28">
        <f>IFERROR(VLOOKUP(F1936,CARTON_LOOKUP!$A:$E,4,0),"")</f>
      </c>
      <c r="I1936" s="28">
        <f>IFERROR(VLOOKUP(F1936,CARTON_LOOKUP!$A:$E,5,0),"")</f>
      </c>
      <c r="J1936" s="29">
        <f>IFERROR(VLOOKUP(F1936,CARTON_LOOKUP!$A:$E,2,0),"")</f>
      </c>
      <c r="K1936" s="29">
        <f>IFERROR(J1936*D1936,0)</f>
      </c>
      <c r="L1936" s="29">
        <f>IFERROR(E1936*C1936,0)</f>
      </c>
      <c r="M1936" s="29">
        <f>IFERROR((G1936*H1936*I1936/1000000)*D1936,0)</f>
      </c>
    </row>
    <row r="1937" spans="1:13" x14ac:dyDescent="0.25">
      <c r="A1937" s="16"/>
      <c r="E1937" s="27"/>
      <c r="F1937" t="s">
        <v>26</v>
      </c>
      <c r="G1937" s="28">
        <f>IFERROR(VLOOKUP(F1937,CARTON_LOOKUP!$A:$E,3,0),"")</f>
      </c>
      <c r="H1937" s="28">
        <f>IFERROR(VLOOKUP(F1937,CARTON_LOOKUP!$A:$E,4,0),"")</f>
      </c>
      <c r="I1937" s="28">
        <f>IFERROR(VLOOKUP(F1937,CARTON_LOOKUP!$A:$E,5,0),"")</f>
      </c>
      <c r="J1937" s="29">
        <f>IFERROR(VLOOKUP(F1937,CARTON_LOOKUP!$A:$E,2,0),"")</f>
      </c>
      <c r="K1937" s="29">
        <f>IFERROR(J1937*D1937,0)</f>
      </c>
      <c r="L1937" s="29">
        <f>IFERROR(E1937*C1937,0)</f>
      </c>
      <c r="M1937" s="29">
        <f>IFERROR((G1937*H1937*I1937/1000000)*D1937,0)</f>
      </c>
    </row>
    <row r="1938" spans="1:13" x14ac:dyDescent="0.25">
      <c r="A1938" s="16"/>
      <c r="E1938" s="27"/>
      <c r="F1938" t="s">
        <v>26</v>
      </c>
      <c r="G1938" s="28">
        <f>IFERROR(VLOOKUP(F1938,CARTON_LOOKUP!$A:$E,3,0),"")</f>
      </c>
      <c r="H1938" s="28">
        <f>IFERROR(VLOOKUP(F1938,CARTON_LOOKUP!$A:$E,4,0),"")</f>
      </c>
      <c r="I1938" s="28">
        <f>IFERROR(VLOOKUP(F1938,CARTON_LOOKUP!$A:$E,5,0),"")</f>
      </c>
      <c r="J1938" s="29">
        <f>IFERROR(VLOOKUP(F1938,CARTON_LOOKUP!$A:$E,2,0),"")</f>
      </c>
      <c r="K1938" s="29">
        <f>IFERROR(J1938*D1938,0)</f>
      </c>
      <c r="L1938" s="29">
        <f>IFERROR(E1938*C1938,0)</f>
      </c>
      <c r="M1938" s="29">
        <f>IFERROR((G1938*H1938*I1938/1000000)*D1938,0)</f>
      </c>
    </row>
    <row r="1939" spans="1:13" x14ac:dyDescent="0.25">
      <c r="A1939" s="16"/>
      <c r="E1939" s="27"/>
      <c r="F1939" t="s">
        <v>26</v>
      </c>
      <c r="G1939" s="28">
        <f>IFERROR(VLOOKUP(F1939,CARTON_LOOKUP!$A:$E,3,0),"")</f>
      </c>
      <c r="H1939" s="28">
        <f>IFERROR(VLOOKUP(F1939,CARTON_LOOKUP!$A:$E,4,0),"")</f>
      </c>
      <c r="I1939" s="28">
        <f>IFERROR(VLOOKUP(F1939,CARTON_LOOKUP!$A:$E,5,0),"")</f>
      </c>
      <c r="J1939" s="29">
        <f>IFERROR(VLOOKUP(F1939,CARTON_LOOKUP!$A:$E,2,0),"")</f>
      </c>
      <c r="K1939" s="29">
        <f>IFERROR(J1939*D1939,0)</f>
      </c>
      <c r="L1939" s="29">
        <f>IFERROR(E1939*C1939,0)</f>
      </c>
      <c r="M1939" s="29">
        <f>IFERROR((G1939*H1939*I1939/1000000)*D1939,0)</f>
      </c>
    </row>
    <row r="1940" spans="1:13" x14ac:dyDescent="0.25">
      <c r="A1940" s="16"/>
      <c r="E1940" s="27"/>
      <c r="F1940" t="s">
        <v>26</v>
      </c>
      <c r="G1940" s="28">
        <f>IFERROR(VLOOKUP(F1940,CARTON_LOOKUP!$A:$E,3,0),"")</f>
      </c>
      <c r="H1940" s="28">
        <f>IFERROR(VLOOKUP(F1940,CARTON_LOOKUP!$A:$E,4,0),"")</f>
      </c>
      <c r="I1940" s="28">
        <f>IFERROR(VLOOKUP(F1940,CARTON_LOOKUP!$A:$E,5,0),"")</f>
      </c>
      <c r="J1940" s="29">
        <f>IFERROR(VLOOKUP(F1940,CARTON_LOOKUP!$A:$E,2,0),"")</f>
      </c>
      <c r="K1940" s="29">
        <f>IFERROR(J1940*D1940,0)</f>
      </c>
      <c r="L1940" s="29">
        <f>IFERROR(E1940*C1940,0)</f>
      </c>
      <c r="M1940" s="29">
        <f>IFERROR((G1940*H1940*I1940/1000000)*D1940,0)</f>
      </c>
    </row>
    <row r="1941" spans="1:13" x14ac:dyDescent="0.25">
      <c r="A1941" s="16"/>
      <c r="E1941" s="27"/>
      <c r="F1941" t="s">
        <v>26</v>
      </c>
      <c r="G1941" s="28">
        <f>IFERROR(VLOOKUP(F1941,CARTON_LOOKUP!$A:$E,3,0),"")</f>
      </c>
      <c r="H1941" s="28">
        <f>IFERROR(VLOOKUP(F1941,CARTON_LOOKUP!$A:$E,4,0),"")</f>
      </c>
      <c r="I1941" s="28">
        <f>IFERROR(VLOOKUP(F1941,CARTON_LOOKUP!$A:$E,5,0),"")</f>
      </c>
      <c r="J1941" s="29">
        <f>IFERROR(VLOOKUP(F1941,CARTON_LOOKUP!$A:$E,2,0),"")</f>
      </c>
      <c r="K1941" s="29">
        <f>IFERROR(J1941*D1941,0)</f>
      </c>
      <c r="L1941" s="29">
        <f>IFERROR(E1941*C1941,0)</f>
      </c>
      <c r="M1941" s="29">
        <f>IFERROR((G1941*H1941*I1941/1000000)*D1941,0)</f>
      </c>
    </row>
    <row r="1942" spans="1:13" x14ac:dyDescent="0.25">
      <c r="A1942" s="16"/>
      <c r="E1942" s="27"/>
      <c r="F1942" t="s">
        <v>26</v>
      </c>
      <c r="G1942" s="28">
        <f>IFERROR(VLOOKUP(F1942,CARTON_LOOKUP!$A:$E,3,0),"")</f>
      </c>
      <c r="H1942" s="28">
        <f>IFERROR(VLOOKUP(F1942,CARTON_LOOKUP!$A:$E,4,0),"")</f>
      </c>
      <c r="I1942" s="28">
        <f>IFERROR(VLOOKUP(F1942,CARTON_LOOKUP!$A:$E,5,0),"")</f>
      </c>
      <c r="J1942" s="29">
        <f>IFERROR(VLOOKUP(F1942,CARTON_LOOKUP!$A:$E,2,0),"")</f>
      </c>
      <c r="K1942" s="29">
        <f>IFERROR(J1942*D1942,0)</f>
      </c>
      <c r="L1942" s="29">
        <f>IFERROR(E1942*C1942,0)</f>
      </c>
      <c r="M1942" s="29">
        <f>IFERROR((G1942*H1942*I1942/1000000)*D1942,0)</f>
      </c>
    </row>
    <row r="1943" spans="1:13" x14ac:dyDescent="0.25">
      <c r="A1943" s="16"/>
      <c r="E1943" s="27"/>
      <c r="F1943" t="s">
        <v>26</v>
      </c>
      <c r="G1943" s="28">
        <f>IFERROR(VLOOKUP(F1943,CARTON_LOOKUP!$A:$E,3,0),"")</f>
      </c>
      <c r="H1943" s="28">
        <f>IFERROR(VLOOKUP(F1943,CARTON_LOOKUP!$A:$E,4,0),"")</f>
      </c>
      <c r="I1943" s="28">
        <f>IFERROR(VLOOKUP(F1943,CARTON_LOOKUP!$A:$E,5,0),"")</f>
      </c>
      <c r="J1943" s="29">
        <f>IFERROR(VLOOKUP(F1943,CARTON_LOOKUP!$A:$E,2,0),"")</f>
      </c>
      <c r="K1943" s="29">
        <f>IFERROR(J1943*D1943,0)</f>
      </c>
      <c r="L1943" s="29">
        <f>IFERROR(E1943*C1943,0)</f>
      </c>
      <c r="M1943" s="29">
        <f>IFERROR((G1943*H1943*I1943/1000000)*D1943,0)</f>
      </c>
    </row>
    <row r="1944" spans="1:13" x14ac:dyDescent="0.25">
      <c r="A1944" s="16"/>
      <c r="E1944" s="27"/>
      <c r="F1944" t="s">
        <v>26</v>
      </c>
      <c r="G1944" s="28">
        <f>IFERROR(VLOOKUP(F1944,CARTON_LOOKUP!$A:$E,3,0),"")</f>
      </c>
      <c r="H1944" s="28">
        <f>IFERROR(VLOOKUP(F1944,CARTON_LOOKUP!$A:$E,4,0),"")</f>
      </c>
      <c r="I1944" s="28">
        <f>IFERROR(VLOOKUP(F1944,CARTON_LOOKUP!$A:$E,5,0),"")</f>
      </c>
      <c r="J1944" s="29">
        <f>IFERROR(VLOOKUP(F1944,CARTON_LOOKUP!$A:$E,2,0),"")</f>
      </c>
      <c r="K1944" s="29">
        <f>IFERROR(J1944*D1944,0)</f>
      </c>
      <c r="L1944" s="29">
        <f>IFERROR(E1944*C1944,0)</f>
      </c>
      <c r="M1944" s="29">
        <f>IFERROR((G1944*H1944*I1944/1000000)*D1944,0)</f>
      </c>
    </row>
    <row r="1945" spans="1:13" x14ac:dyDescent="0.25">
      <c r="A1945" s="16"/>
      <c r="E1945" s="27"/>
      <c r="F1945" t="s">
        <v>26</v>
      </c>
      <c r="G1945" s="28">
        <f>IFERROR(VLOOKUP(F1945,CARTON_LOOKUP!$A:$E,3,0),"")</f>
      </c>
      <c r="H1945" s="28">
        <f>IFERROR(VLOOKUP(F1945,CARTON_LOOKUP!$A:$E,4,0),"")</f>
      </c>
      <c r="I1945" s="28">
        <f>IFERROR(VLOOKUP(F1945,CARTON_LOOKUP!$A:$E,5,0),"")</f>
      </c>
      <c r="J1945" s="29">
        <f>IFERROR(VLOOKUP(F1945,CARTON_LOOKUP!$A:$E,2,0),"")</f>
      </c>
      <c r="K1945" s="29">
        <f>IFERROR(J1945*D1945,0)</f>
      </c>
      <c r="L1945" s="29">
        <f>IFERROR(E1945*C1945,0)</f>
      </c>
      <c r="M1945" s="29">
        <f>IFERROR((G1945*H1945*I1945/1000000)*D1945,0)</f>
      </c>
    </row>
    <row r="1946" spans="1:13" x14ac:dyDescent="0.25">
      <c r="A1946" s="16"/>
      <c r="E1946" s="27"/>
      <c r="F1946" t="s">
        <v>26</v>
      </c>
      <c r="G1946" s="28">
        <f>IFERROR(VLOOKUP(F1946,CARTON_LOOKUP!$A:$E,3,0),"")</f>
      </c>
      <c r="H1946" s="28">
        <f>IFERROR(VLOOKUP(F1946,CARTON_LOOKUP!$A:$E,4,0),"")</f>
      </c>
      <c r="I1946" s="28">
        <f>IFERROR(VLOOKUP(F1946,CARTON_LOOKUP!$A:$E,5,0),"")</f>
      </c>
      <c r="J1946" s="29">
        <f>IFERROR(VLOOKUP(F1946,CARTON_LOOKUP!$A:$E,2,0),"")</f>
      </c>
      <c r="K1946" s="29">
        <f>IFERROR(J1946*D1946,0)</f>
      </c>
      <c r="L1946" s="29">
        <f>IFERROR(E1946*C1946,0)</f>
      </c>
      <c r="M1946" s="29">
        <f>IFERROR((G1946*H1946*I1946/1000000)*D1946,0)</f>
      </c>
    </row>
    <row r="1947" spans="1:13" x14ac:dyDescent="0.25">
      <c r="A1947" s="16"/>
      <c r="E1947" s="27"/>
      <c r="F1947" t="s">
        <v>26</v>
      </c>
      <c r="G1947" s="28">
        <f>IFERROR(VLOOKUP(F1947,CARTON_LOOKUP!$A:$E,3,0),"")</f>
      </c>
      <c r="H1947" s="28">
        <f>IFERROR(VLOOKUP(F1947,CARTON_LOOKUP!$A:$E,4,0),"")</f>
      </c>
      <c r="I1947" s="28">
        <f>IFERROR(VLOOKUP(F1947,CARTON_LOOKUP!$A:$E,5,0),"")</f>
      </c>
      <c r="J1947" s="29">
        <f>IFERROR(VLOOKUP(F1947,CARTON_LOOKUP!$A:$E,2,0),"")</f>
      </c>
      <c r="K1947" s="29">
        <f>IFERROR(J1947*D1947,0)</f>
      </c>
      <c r="L1947" s="29">
        <f>IFERROR(E1947*C1947,0)</f>
      </c>
      <c r="M1947" s="29">
        <f>IFERROR((G1947*H1947*I1947/1000000)*D1947,0)</f>
      </c>
    </row>
    <row r="1948" spans="1:13" x14ac:dyDescent="0.25">
      <c r="A1948" s="16"/>
      <c r="E1948" s="27"/>
      <c r="F1948" t="s">
        <v>26</v>
      </c>
      <c r="G1948" s="28">
        <f>IFERROR(VLOOKUP(F1948,CARTON_LOOKUP!$A:$E,3,0),"")</f>
      </c>
      <c r="H1948" s="28">
        <f>IFERROR(VLOOKUP(F1948,CARTON_LOOKUP!$A:$E,4,0),"")</f>
      </c>
      <c r="I1948" s="28">
        <f>IFERROR(VLOOKUP(F1948,CARTON_LOOKUP!$A:$E,5,0),"")</f>
      </c>
      <c r="J1948" s="29">
        <f>IFERROR(VLOOKUP(F1948,CARTON_LOOKUP!$A:$E,2,0),"")</f>
      </c>
      <c r="K1948" s="29">
        <f>IFERROR(J1948*D1948,0)</f>
      </c>
      <c r="L1948" s="29">
        <f>IFERROR(E1948*C1948,0)</f>
      </c>
      <c r="M1948" s="29">
        <f>IFERROR((G1948*H1948*I1948/1000000)*D1948,0)</f>
      </c>
    </row>
    <row r="1949" spans="1:13" x14ac:dyDescent="0.25">
      <c r="A1949" s="16"/>
      <c r="E1949" s="27"/>
      <c r="F1949" t="s">
        <v>26</v>
      </c>
      <c r="G1949" s="28">
        <f>IFERROR(VLOOKUP(F1949,CARTON_LOOKUP!$A:$E,3,0),"")</f>
      </c>
      <c r="H1949" s="28">
        <f>IFERROR(VLOOKUP(F1949,CARTON_LOOKUP!$A:$E,4,0),"")</f>
      </c>
      <c r="I1949" s="28">
        <f>IFERROR(VLOOKUP(F1949,CARTON_LOOKUP!$A:$E,5,0),"")</f>
      </c>
      <c r="J1949" s="29">
        <f>IFERROR(VLOOKUP(F1949,CARTON_LOOKUP!$A:$E,2,0),"")</f>
      </c>
      <c r="K1949" s="29">
        <f>IFERROR(J1949*D1949,0)</f>
      </c>
      <c r="L1949" s="29">
        <f>IFERROR(E1949*C1949,0)</f>
      </c>
      <c r="M1949" s="29">
        <f>IFERROR((G1949*H1949*I1949/1000000)*D1949,0)</f>
      </c>
    </row>
    <row r="1950" spans="1:13" x14ac:dyDescent="0.25">
      <c r="A1950" s="16"/>
      <c r="E1950" s="27"/>
      <c r="F1950" t="s">
        <v>26</v>
      </c>
      <c r="G1950" s="28">
        <f>IFERROR(VLOOKUP(F1950,CARTON_LOOKUP!$A:$E,3,0),"")</f>
      </c>
      <c r="H1950" s="28">
        <f>IFERROR(VLOOKUP(F1950,CARTON_LOOKUP!$A:$E,4,0),"")</f>
      </c>
      <c r="I1950" s="28">
        <f>IFERROR(VLOOKUP(F1950,CARTON_LOOKUP!$A:$E,5,0),"")</f>
      </c>
      <c r="J1950" s="29">
        <f>IFERROR(VLOOKUP(F1950,CARTON_LOOKUP!$A:$E,2,0),"")</f>
      </c>
      <c r="K1950" s="29">
        <f>IFERROR(J1950*D1950,0)</f>
      </c>
      <c r="L1950" s="29">
        <f>IFERROR(E1950*C1950,0)</f>
      </c>
      <c r="M1950" s="29">
        <f>IFERROR((G1950*H1950*I1950/1000000)*D1950,0)</f>
      </c>
    </row>
    <row r="1951" spans="1:13" x14ac:dyDescent="0.25">
      <c r="A1951" s="16"/>
      <c r="E1951" s="27"/>
      <c r="F1951" t="s">
        <v>26</v>
      </c>
      <c r="G1951" s="28">
        <f>IFERROR(VLOOKUP(F1951,CARTON_LOOKUP!$A:$E,3,0),"")</f>
      </c>
      <c r="H1951" s="28">
        <f>IFERROR(VLOOKUP(F1951,CARTON_LOOKUP!$A:$E,4,0),"")</f>
      </c>
      <c r="I1951" s="28">
        <f>IFERROR(VLOOKUP(F1951,CARTON_LOOKUP!$A:$E,5,0),"")</f>
      </c>
      <c r="J1951" s="29">
        <f>IFERROR(VLOOKUP(F1951,CARTON_LOOKUP!$A:$E,2,0),"")</f>
      </c>
      <c r="K1951" s="29">
        <f>IFERROR(J1951*D1951,0)</f>
      </c>
      <c r="L1951" s="29">
        <f>IFERROR(E1951*C1951,0)</f>
      </c>
      <c r="M1951" s="29">
        <f>IFERROR((G1951*H1951*I1951/1000000)*D1951,0)</f>
      </c>
    </row>
    <row r="1952" spans="1:13" x14ac:dyDescent="0.25">
      <c r="A1952" s="16"/>
      <c r="E1952" s="27"/>
      <c r="F1952" t="s">
        <v>26</v>
      </c>
      <c r="G1952" s="28">
        <f>IFERROR(VLOOKUP(F1952,CARTON_LOOKUP!$A:$E,3,0),"")</f>
      </c>
      <c r="H1952" s="28">
        <f>IFERROR(VLOOKUP(F1952,CARTON_LOOKUP!$A:$E,4,0),"")</f>
      </c>
      <c r="I1952" s="28">
        <f>IFERROR(VLOOKUP(F1952,CARTON_LOOKUP!$A:$E,5,0),"")</f>
      </c>
      <c r="J1952" s="29">
        <f>IFERROR(VLOOKUP(F1952,CARTON_LOOKUP!$A:$E,2,0),"")</f>
      </c>
      <c r="K1952" s="29">
        <f>IFERROR(J1952*D1952,0)</f>
      </c>
      <c r="L1952" s="29">
        <f>IFERROR(E1952*C1952,0)</f>
      </c>
      <c r="M1952" s="29">
        <f>IFERROR((G1952*H1952*I1952/1000000)*D1952,0)</f>
      </c>
    </row>
    <row r="1953" spans="1:13" x14ac:dyDescent="0.25">
      <c r="A1953" s="16"/>
      <c r="E1953" s="27"/>
      <c r="F1953" t="s">
        <v>26</v>
      </c>
      <c r="G1953" s="28">
        <f>IFERROR(VLOOKUP(F1953,CARTON_LOOKUP!$A:$E,3,0),"")</f>
      </c>
      <c r="H1953" s="28">
        <f>IFERROR(VLOOKUP(F1953,CARTON_LOOKUP!$A:$E,4,0),"")</f>
      </c>
      <c r="I1953" s="28">
        <f>IFERROR(VLOOKUP(F1953,CARTON_LOOKUP!$A:$E,5,0),"")</f>
      </c>
      <c r="J1953" s="29">
        <f>IFERROR(VLOOKUP(F1953,CARTON_LOOKUP!$A:$E,2,0),"")</f>
      </c>
      <c r="K1953" s="29">
        <f>IFERROR(J1953*D1953,0)</f>
      </c>
      <c r="L1953" s="29">
        <f>IFERROR(E1953*C1953,0)</f>
      </c>
      <c r="M1953" s="29">
        <f>IFERROR((G1953*H1953*I1953/1000000)*D1953,0)</f>
      </c>
    </row>
    <row r="1954" spans="1:13" x14ac:dyDescent="0.25">
      <c r="A1954" s="16"/>
      <c r="E1954" s="27"/>
      <c r="F1954" t="s">
        <v>26</v>
      </c>
      <c r="G1954" s="28">
        <f>IFERROR(VLOOKUP(F1954,CARTON_LOOKUP!$A:$E,3,0),"")</f>
      </c>
      <c r="H1954" s="28">
        <f>IFERROR(VLOOKUP(F1954,CARTON_LOOKUP!$A:$E,4,0),"")</f>
      </c>
      <c r="I1954" s="28">
        <f>IFERROR(VLOOKUP(F1954,CARTON_LOOKUP!$A:$E,5,0),"")</f>
      </c>
      <c r="J1954" s="29">
        <f>IFERROR(VLOOKUP(F1954,CARTON_LOOKUP!$A:$E,2,0),"")</f>
      </c>
      <c r="K1954" s="29">
        <f>IFERROR(J1954*D1954,0)</f>
      </c>
      <c r="L1954" s="29">
        <f>IFERROR(E1954*C1954,0)</f>
      </c>
      <c r="M1954" s="29">
        <f>IFERROR((G1954*H1954*I1954/1000000)*D1954,0)</f>
      </c>
    </row>
    <row r="1955" spans="1:13" x14ac:dyDescent="0.25">
      <c r="A1955" s="16"/>
      <c r="E1955" s="27"/>
      <c r="F1955" t="s">
        <v>26</v>
      </c>
      <c r="G1955" s="28">
        <f>IFERROR(VLOOKUP(F1955,CARTON_LOOKUP!$A:$E,3,0),"")</f>
      </c>
      <c r="H1955" s="28">
        <f>IFERROR(VLOOKUP(F1955,CARTON_LOOKUP!$A:$E,4,0),"")</f>
      </c>
      <c r="I1955" s="28">
        <f>IFERROR(VLOOKUP(F1955,CARTON_LOOKUP!$A:$E,5,0),"")</f>
      </c>
      <c r="J1955" s="29">
        <f>IFERROR(VLOOKUP(F1955,CARTON_LOOKUP!$A:$E,2,0),"")</f>
      </c>
      <c r="K1955" s="29">
        <f>IFERROR(J1955*D1955,0)</f>
      </c>
      <c r="L1955" s="29">
        <f>IFERROR(E1955*C1955,0)</f>
      </c>
      <c r="M1955" s="29">
        <f>IFERROR((G1955*H1955*I1955/1000000)*D1955,0)</f>
      </c>
    </row>
    <row r="1956" spans="1:13" x14ac:dyDescent="0.25">
      <c r="A1956" s="16"/>
      <c r="E1956" s="27"/>
      <c r="F1956" t="s">
        <v>26</v>
      </c>
      <c r="G1956" s="28">
        <f>IFERROR(VLOOKUP(F1956,CARTON_LOOKUP!$A:$E,3,0),"")</f>
      </c>
      <c r="H1956" s="28">
        <f>IFERROR(VLOOKUP(F1956,CARTON_LOOKUP!$A:$E,4,0),"")</f>
      </c>
      <c r="I1956" s="28">
        <f>IFERROR(VLOOKUP(F1956,CARTON_LOOKUP!$A:$E,5,0),"")</f>
      </c>
      <c r="J1956" s="29">
        <f>IFERROR(VLOOKUP(F1956,CARTON_LOOKUP!$A:$E,2,0),"")</f>
      </c>
      <c r="K1956" s="29">
        <f>IFERROR(J1956*D1956,0)</f>
      </c>
      <c r="L1956" s="29">
        <f>IFERROR(E1956*C1956,0)</f>
      </c>
      <c r="M1956" s="29">
        <f>IFERROR((G1956*H1956*I1956/1000000)*D1956,0)</f>
      </c>
    </row>
    <row r="1957" spans="1:13" x14ac:dyDescent="0.25">
      <c r="A1957" s="16"/>
      <c r="E1957" s="27"/>
      <c r="F1957" t="s">
        <v>26</v>
      </c>
      <c r="G1957" s="28">
        <f>IFERROR(VLOOKUP(F1957,CARTON_LOOKUP!$A:$E,3,0),"")</f>
      </c>
      <c r="H1957" s="28">
        <f>IFERROR(VLOOKUP(F1957,CARTON_LOOKUP!$A:$E,4,0),"")</f>
      </c>
      <c r="I1957" s="28">
        <f>IFERROR(VLOOKUP(F1957,CARTON_LOOKUP!$A:$E,5,0),"")</f>
      </c>
      <c r="J1957" s="29">
        <f>IFERROR(VLOOKUP(F1957,CARTON_LOOKUP!$A:$E,2,0),"")</f>
      </c>
      <c r="K1957" s="29">
        <f>IFERROR(J1957*D1957,0)</f>
      </c>
      <c r="L1957" s="29">
        <f>IFERROR(E1957*C1957,0)</f>
      </c>
      <c r="M1957" s="29">
        <f>IFERROR((G1957*H1957*I1957/1000000)*D1957,0)</f>
      </c>
    </row>
    <row r="1958" spans="1:13" x14ac:dyDescent="0.25">
      <c r="A1958" s="16"/>
      <c r="E1958" s="27"/>
      <c r="F1958" t="s">
        <v>26</v>
      </c>
      <c r="G1958" s="28">
        <f>IFERROR(VLOOKUP(F1958,CARTON_LOOKUP!$A:$E,3,0),"")</f>
      </c>
      <c r="H1958" s="28">
        <f>IFERROR(VLOOKUP(F1958,CARTON_LOOKUP!$A:$E,4,0),"")</f>
      </c>
      <c r="I1958" s="28">
        <f>IFERROR(VLOOKUP(F1958,CARTON_LOOKUP!$A:$E,5,0),"")</f>
      </c>
      <c r="J1958" s="29">
        <f>IFERROR(VLOOKUP(F1958,CARTON_LOOKUP!$A:$E,2,0),"")</f>
      </c>
      <c r="K1958" s="29">
        <f>IFERROR(J1958*D1958,0)</f>
      </c>
      <c r="L1958" s="29">
        <f>IFERROR(E1958*C1958,0)</f>
      </c>
      <c r="M1958" s="29">
        <f>IFERROR((G1958*H1958*I1958/1000000)*D1958,0)</f>
      </c>
    </row>
    <row r="1959" spans="1:13" x14ac:dyDescent="0.25">
      <c r="A1959" s="16"/>
      <c r="E1959" s="27"/>
      <c r="F1959" t="s">
        <v>26</v>
      </c>
      <c r="G1959" s="28">
        <f>IFERROR(VLOOKUP(F1959,CARTON_LOOKUP!$A:$E,3,0),"")</f>
      </c>
      <c r="H1959" s="28">
        <f>IFERROR(VLOOKUP(F1959,CARTON_LOOKUP!$A:$E,4,0),"")</f>
      </c>
      <c r="I1959" s="28">
        <f>IFERROR(VLOOKUP(F1959,CARTON_LOOKUP!$A:$E,5,0),"")</f>
      </c>
      <c r="J1959" s="29">
        <f>IFERROR(VLOOKUP(F1959,CARTON_LOOKUP!$A:$E,2,0),"")</f>
      </c>
      <c r="K1959" s="29">
        <f>IFERROR(J1959*D1959,0)</f>
      </c>
      <c r="L1959" s="29">
        <f>IFERROR(E1959*C1959,0)</f>
      </c>
      <c r="M1959" s="29">
        <f>IFERROR((G1959*H1959*I1959/1000000)*D1959,0)</f>
      </c>
    </row>
    <row r="1960" spans="1:13" x14ac:dyDescent="0.25">
      <c r="A1960" s="16"/>
      <c r="E1960" s="27"/>
      <c r="F1960" t="s">
        <v>26</v>
      </c>
      <c r="G1960" s="28">
        <f>IFERROR(VLOOKUP(F1960,CARTON_LOOKUP!$A:$E,3,0),"")</f>
      </c>
      <c r="H1960" s="28">
        <f>IFERROR(VLOOKUP(F1960,CARTON_LOOKUP!$A:$E,4,0),"")</f>
      </c>
      <c r="I1960" s="28">
        <f>IFERROR(VLOOKUP(F1960,CARTON_LOOKUP!$A:$E,5,0),"")</f>
      </c>
      <c r="J1960" s="29">
        <f>IFERROR(VLOOKUP(F1960,CARTON_LOOKUP!$A:$E,2,0),"")</f>
      </c>
      <c r="K1960" s="29">
        <f>IFERROR(J1960*D1960,0)</f>
      </c>
      <c r="L1960" s="29">
        <f>IFERROR(E1960*C1960,0)</f>
      </c>
      <c r="M1960" s="29">
        <f>IFERROR((G1960*H1960*I1960/1000000)*D1960,0)</f>
      </c>
    </row>
    <row r="1961" spans="1:13" x14ac:dyDescent="0.25">
      <c r="A1961" s="16"/>
      <c r="E1961" s="27"/>
      <c r="F1961" t="s">
        <v>26</v>
      </c>
      <c r="G1961" s="28">
        <f>IFERROR(VLOOKUP(F1961,CARTON_LOOKUP!$A:$E,3,0),"")</f>
      </c>
      <c r="H1961" s="28">
        <f>IFERROR(VLOOKUP(F1961,CARTON_LOOKUP!$A:$E,4,0),"")</f>
      </c>
      <c r="I1961" s="28">
        <f>IFERROR(VLOOKUP(F1961,CARTON_LOOKUP!$A:$E,5,0),"")</f>
      </c>
      <c r="J1961" s="29">
        <f>IFERROR(VLOOKUP(F1961,CARTON_LOOKUP!$A:$E,2,0),"")</f>
      </c>
      <c r="K1961" s="29">
        <f>IFERROR(J1961*D1961,0)</f>
      </c>
      <c r="L1961" s="29">
        <f>IFERROR(E1961*C1961,0)</f>
      </c>
      <c r="M1961" s="29">
        <f>IFERROR((G1961*H1961*I1961/1000000)*D1961,0)</f>
      </c>
    </row>
    <row r="1962" spans="1:13" x14ac:dyDescent="0.25">
      <c r="A1962" s="16"/>
      <c r="E1962" s="27"/>
      <c r="F1962" t="s">
        <v>26</v>
      </c>
      <c r="G1962" s="28">
        <f>IFERROR(VLOOKUP(F1962,CARTON_LOOKUP!$A:$E,3,0),"")</f>
      </c>
      <c r="H1962" s="28">
        <f>IFERROR(VLOOKUP(F1962,CARTON_LOOKUP!$A:$E,4,0),"")</f>
      </c>
      <c r="I1962" s="28">
        <f>IFERROR(VLOOKUP(F1962,CARTON_LOOKUP!$A:$E,5,0),"")</f>
      </c>
      <c r="J1962" s="29">
        <f>IFERROR(VLOOKUP(F1962,CARTON_LOOKUP!$A:$E,2,0),"")</f>
      </c>
      <c r="K1962" s="29">
        <f>IFERROR(J1962*D1962,0)</f>
      </c>
      <c r="L1962" s="29">
        <f>IFERROR(E1962*C1962,0)</f>
      </c>
      <c r="M1962" s="29">
        <f>IFERROR((G1962*H1962*I1962/1000000)*D1962,0)</f>
      </c>
    </row>
    <row r="1963" spans="1:13" x14ac:dyDescent="0.25">
      <c r="A1963" s="16"/>
      <c r="E1963" s="27"/>
      <c r="F1963" t="s">
        <v>26</v>
      </c>
      <c r="G1963" s="28">
        <f>IFERROR(VLOOKUP(F1963,CARTON_LOOKUP!$A:$E,3,0),"")</f>
      </c>
      <c r="H1963" s="28">
        <f>IFERROR(VLOOKUP(F1963,CARTON_LOOKUP!$A:$E,4,0),"")</f>
      </c>
      <c r="I1963" s="28">
        <f>IFERROR(VLOOKUP(F1963,CARTON_LOOKUP!$A:$E,5,0),"")</f>
      </c>
      <c r="J1963" s="29">
        <f>IFERROR(VLOOKUP(F1963,CARTON_LOOKUP!$A:$E,2,0),"")</f>
      </c>
      <c r="K1963" s="29">
        <f>IFERROR(J1963*D1963,0)</f>
      </c>
      <c r="L1963" s="29">
        <f>IFERROR(E1963*C1963,0)</f>
      </c>
      <c r="M1963" s="29">
        <f>IFERROR((G1963*H1963*I1963/1000000)*D1963,0)</f>
      </c>
    </row>
    <row r="1964" spans="1:13" x14ac:dyDescent="0.25">
      <c r="A1964" s="16"/>
      <c r="E1964" s="27"/>
      <c r="F1964" t="s">
        <v>26</v>
      </c>
      <c r="G1964" s="28">
        <f>IFERROR(VLOOKUP(F1964,CARTON_LOOKUP!$A:$E,3,0),"")</f>
      </c>
      <c r="H1964" s="28">
        <f>IFERROR(VLOOKUP(F1964,CARTON_LOOKUP!$A:$E,4,0),"")</f>
      </c>
      <c r="I1964" s="28">
        <f>IFERROR(VLOOKUP(F1964,CARTON_LOOKUP!$A:$E,5,0),"")</f>
      </c>
      <c r="J1964" s="29">
        <f>IFERROR(VLOOKUP(F1964,CARTON_LOOKUP!$A:$E,2,0),"")</f>
      </c>
      <c r="K1964" s="29">
        <f>IFERROR(J1964*D1964,0)</f>
      </c>
      <c r="L1964" s="29">
        <f>IFERROR(E1964*C1964,0)</f>
      </c>
      <c r="M1964" s="29">
        <f>IFERROR((G1964*H1964*I1964/1000000)*D1964,0)</f>
      </c>
    </row>
    <row r="1965" spans="1:13" x14ac:dyDescent="0.25">
      <c r="A1965" s="16"/>
      <c r="E1965" s="27"/>
      <c r="F1965" t="s">
        <v>26</v>
      </c>
      <c r="G1965" s="28">
        <f>IFERROR(VLOOKUP(F1965,CARTON_LOOKUP!$A:$E,3,0),"")</f>
      </c>
      <c r="H1965" s="28">
        <f>IFERROR(VLOOKUP(F1965,CARTON_LOOKUP!$A:$E,4,0),"")</f>
      </c>
      <c r="I1965" s="28">
        <f>IFERROR(VLOOKUP(F1965,CARTON_LOOKUP!$A:$E,5,0),"")</f>
      </c>
      <c r="J1965" s="29">
        <f>IFERROR(VLOOKUP(F1965,CARTON_LOOKUP!$A:$E,2,0),"")</f>
      </c>
      <c r="K1965" s="29">
        <f>IFERROR(J1965*D1965,0)</f>
      </c>
      <c r="L1965" s="29">
        <f>IFERROR(E1965*C1965,0)</f>
      </c>
      <c r="M1965" s="29">
        <f>IFERROR((G1965*H1965*I1965/1000000)*D1965,0)</f>
      </c>
    </row>
    <row r="1966" spans="1:13" x14ac:dyDescent="0.25">
      <c r="A1966" s="16"/>
      <c r="E1966" s="27"/>
      <c r="F1966" t="s">
        <v>26</v>
      </c>
      <c r="G1966" s="28">
        <f>IFERROR(VLOOKUP(F1966,CARTON_LOOKUP!$A:$E,3,0),"")</f>
      </c>
      <c r="H1966" s="28">
        <f>IFERROR(VLOOKUP(F1966,CARTON_LOOKUP!$A:$E,4,0),"")</f>
      </c>
      <c r="I1966" s="28">
        <f>IFERROR(VLOOKUP(F1966,CARTON_LOOKUP!$A:$E,5,0),"")</f>
      </c>
      <c r="J1966" s="29">
        <f>IFERROR(VLOOKUP(F1966,CARTON_LOOKUP!$A:$E,2,0),"")</f>
      </c>
      <c r="K1966" s="29">
        <f>IFERROR(J1966*D1966,0)</f>
      </c>
      <c r="L1966" s="29">
        <f>IFERROR(E1966*C1966,0)</f>
      </c>
      <c r="M1966" s="29">
        <f>IFERROR((G1966*H1966*I1966/1000000)*D1966,0)</f>
      </c>
    </row>
    <row r="1967" spans="1:13" x14ac:dyDescent="0.25">
      <c r="A1967" s="16"/>
      <c r="E1967" s="27"/>
      <c r="F1967" t="s">
        <v>26</v>
      </c>
      <c r="G1967" s="28">
        <f>IFERROR(VLOOKUP(F1967,CARTON_LOOKUP!$A:$E,3,0),"")</f>
      </c>
      <c r="H1967" s="28">
        <f>IFERROR(VLOOKUP(F1967,CARTON_LOOKUP!$A:$E,4,0),"")</f>
      </c>
      <c r="I1967" s="28">
        <f>IFERROR(VLOOKUP(F1967,CARTON_LOOKUP!$A:$E,5,0),"")</f>
      </c>
      <c r="J1967" s="29">
        <f>IFERROR(VLOOKUP(F1967,CARTON_LOOKUP!$A:$E,2,0),"")</f>
      </c>
      <c r="K1967" s="29">
        <f>IFERROR(J1967*D1967,0)</f>
      </c>
      <c r="L1967" s="29">
        <f>IFERROR(E1967*C1967,0)</f>
      </c>
      <c r="M1967" s="29">
        <f>IFERROR((G1967*H1967*I1967/1000000)*D1967,0)</f>
      </c>
    </row>
    <row r="1968" spans="1:13" x14ac:dyDescent="0.25">
      <c r="A1968" s="16"/>
      <c r="E1968" s="27"/>
      <c r="F1968" t="s">
        <v>26</v>
      </c>
      <c r="G1968" s="28">
        <f>IFERROR(VLOOKUP(F1968,CARTON_LOOKUP!$A:$E,3,0),"")</f>
      </c>
      <c r="H1968" s="28">
        <f>IFERROR(VLOOKUP(F1968,CARTON_LOOKUP!$A:$E,4,0),"")</f>
      </c>
      <c r="I1968" s="28">
        <f>IFERROR(VLOOKUP(F1968,CARTON_LOOKUP!$A:$E,5,0),"")</f>
      </c>
      <c r="J1968" s="29">
        <f>IFERROR(VLOOKUP(F1968,CARTON_LOOKUP!$A:$E,2,0),"")</f>
      </c>
      <c r="K1968" s="29">
        <f>IFERROR(J1968*D1968,0)</f>
      </c>
      <c r="L1968" s="29">
        <f>IFERROR(E1968*C1968,0)</f>
      </c>
      <c r="M1968" s="29">
        <f>IFERROR((G1968*H1968*I1968/1000000)*D1968,0)</f>
      </c>
    </row>
    <row r="1969" spans="1:13" x14ac:dyDescent="0.25">
      <c r="A1969" s="16"/>
      <c r="E1969" s="27"/>
      <c r="F1969" t="s">
        <v>26</v>
      </c>
      <c r="G1969" s="28">
        <f>IFERROR(VLOOKUP(F1969,CARTON_LOOKUP!$A:$E,3,0),"")</f>
      </c>
      <c r="H1969" s="28">
        <f>IFERROR(VLOOKUP(F1969,CARTON_LOOKUP!$A:$E,4,0),"")</f>
      </c>
      <c r="I1969" s="28">
        <f>IFERROR(VLOOKUP(F1969,CARTON_LOOKUP!$A:$E,5,0),"")</f>
      </c>
      <c r="J1969" s="29">
        <f>IFERROR(VLOOKUP(F1969,CARTON_LOOKUP!$A:$E,2,0),"")</f>
      </c>
      <c r="K1969" s="29">
        <f>IFERROR(J1969*D1969,0)</f>
      </c>
      <c r="L1969" s="29">
        <f>IFERROR(E1969*C1969,0)</f>
      </c>
      <c r="M1969" s="29">
        <f>IFERROR((G1969*H1969*I1969/1000000)*D1969,0)</f>
      </c>
    </row>
    <row r="1970" spans="1:13" x14ac:dyDescent="0.25">
      <c r="A1970" s="16"/>
      <c r="E1970" s="27"/>
      <c r="F1970" t="s">
        <v>26</v>
      </c>
      <c r="G1970" s="28">
        <f>IFERROR(VLOOKUP(F1970,CARTON_LOOKUP!$A:$E,3,0),"")</f>
      </c>
      <c r="H1970" s="28">
        <f>IFERROR(VLOOKUP(F1970,CARTON_LOOKUP!$A:$E,4,0),"")</f>
      </c>
      <c r="I1970" s="28">
        <f>IFERROR(VLOOKUP(F1970,CARTON_LOOKUP!$A:$E,5,0),"")</f>
      </c>
      <c r="J1970" s="29">
        <f>IFERROR(VLOOKUP(F1970,CARTON_LOOKUP!$A:$E,2,0),"")</f>
      </c>
      <c r="K1970" s="29">
        <f>IFERROR(J1970*D1970,0)</f>
      </c>
      <c r="L1970" s="29">
        <f>IFERROR(E1970*C1970,0)</f>
      </c>
      <c r="M1970" s="29">
        <f>IFERROR((G1970*H1970*I1970/1000000)*D1970,0)</f>
      </c>
    </row>
    <row r="1971" spans="1:13" x14ac:dyDescent="0.25">
      <c r="A1971" s="16"/>
      <c r="E1971" s="27"/>
      <c r="F1971" t="s">
        <v>26</v>
      </c>
      <c r="G1971" s="28">
        <f>IFERROR(VLOOKUP(F1971,CARTON_LOOKUP!$A:$E,3,0),"")</f>
      </c>
      <c r="H1971" s="28">
        <f>IFERROR(VLOOKUP(F1971,CARTON_LOOKUP!$A:$E,4,0),"")</f>
      </c>
      <c r="I1971" s="28">
        <f>IFERROR(VLOOKUP(F1971,CARTON_LOOKUP!$A:$E,5,0),"")</f>
      </c>
      <c r="J1971" s="29">
        <f>IFERROR(VLOOKUP(F1971,CARTON_LOOKUP!$A:$E,2,0),"")</f>
      </c>
      <c r="K1971" s="29">
        <f>IFERROR(J1971*D1971,0)</f>
      </c>
      <c r="L1971" s="29">
        <f>IFERROR(E1971*C1971,0)</f>
      </c>
      <c r="M1971" s="29">
        <f>IFERROR((G1971*H1971*I1971/1000000)*D1971,0)</f>
      </c>
    </row>
    <row r="1972" spans="1:13" x14ac:dyDescent="0.25">
      <c r="A1972" s="16"/>
      <c r="E1972" s="27"/>
      <c r="F1972" t="s">
        <v>26</v>
      </c>
      <c r="G1972" s="28">
        <f>IFERROR(VLOOKUP(F1972,CARTON_LOOKUP!$A:$E,3,0),"")</f>
      </c>
      <c r="H1972" s="28">
        <f>IFERROR(VLOOKUP(F1972,CARTON_LOOKUP!$A:$E,4,0),"")</f>
      </c>
      <c r="I1972" s="28">
        <f>IFERROR(VLOOKUP(F1972,CARTON_LOOKUP!$A:$E,5,0),"")</f>
      </c>
      <c r="J1972" s="29">
        <f>IFERROR(VLOOKUP(F1972,CARTON_LOOKUP!$A:$E,2,0),"")</f>
      </c>
      <c r="K1972" s="29">
        <f>IFERROR(J1972*D1972,0)</f>
      </c>
      <c r="L1972" s="29">
        <f>IFERROR(E1972*C1972,0)</f>
      </c>
      <c r="M1972" s="29">
        <f>IFERROR((G1972*H1972*I1972/1000000)*D1972,0)</f>
      </c>
    </row>
    <row r="1973" spans="1:13" x14ac:dyDescent="0.25">
      <c r="A1973" s="16"/>
      <c r="E1973" s="27"/>
      <c r="F1973" t="s">
        <v>26</v>
      </c>
      <c r="G1973" s="28">
        <f>IFERROR(VLOOKUP(F1973,CARTON_LOOKUP!$A:$E,3,0),"")</f>
      </c>
      <c r="H1973" s="28">
        <f>IFERROR(VLOOKUP(F1973,CARTON_LOOKUP!$A:$E,4,0),"")</f>
      </c>
      <c r="I1973" s="28">
        <f>IFERROR(VLOOKUP(F1973,CARTON_LOOKUP!$A:$E,5,0),"")</f>
      </c>
      <c r="J1973" s="29">
        <f>IFERROR(VLOOKUP(F1973,CARTON_LOOKUP!$A:$E,2,0),"")</f>
      </c>
      <c r="K1973" s="29">
        <f>IFERROR(J1973*D1973,0)</f>
      </c>
      <c r="L1973" s="29">
        <f>IFERROR(E1973*C1973,0)</f>
      </c>
      <c r="M1973" s="29">
        <f>IFERROR((G1973*H1973*I1973/1000000)*D1973,0)</f>
      </c>
    </row>
    <row r="1974" spans="1:13" x14ac:dyDescent="0.25">
      <c r="A1974" s="16"/>
      <c r="E1974" s="27"/>
      <c r="F1974" t="s">
        <v>26</v>
      </c>
      <c r="G1974" s="28">
        <f>IFERROR(VLOOKUP(F1974,CARTON_LOOKUP!$A:$E,3,0),"")</f>
      </c>
      <c r="H1974" s="28">
        <f>IFERROR(VLOOKUP(F1974,CARTON_LOOKUP!$A:$E,4,0),"")</f>
      </c>
      <c r="I1974" s="28">
        <f>IFERROR(VLOOKUP(F1974,CARTON_LOOKUP!$A:$E,5,0),"")</f>
      </c>
      <c r="J1974" s="29">
        <f>IFERROR(VLOOKUP(F1974,CARTON_LOOKUP!$A:$E,2,0),"")</f>
      </c>
      <c r="K1974" s="29">
        <f>IFERROR(J1974*D1974,0)</f>
      </c>
      <c r="L1974" s="29">
        <f>IFERROR(E1974*C1974,0)</f>
      </c>
      <c r="M1974" s="29">
        <f>IFERROR((G1974*H1974*I1974/1000000)*D1974,0)</f>
      </c>
    </row>
    <row r="1975" spans="1:13" x14ac:dyDescent="0.25">
      <c r="A1975" s="16"/>
      <c r="E1975" s="27"/>
      <c r="F1975" t="s">
        <v>26</v>
      </c>
      <c r="G1975" s="28">
        <f>IFERROR(VLOOKUP(F1975,CARTON_LOOKUP!$A:$E,3,0),"")</f>
      </c>
      <c r="H1975" s="28">
        <f>IFERROR(VLOOKUP(F1975,CARTON_LOOKUP!$A:$E,4,0),"")</f>
      </c>
      <c r="I1975" s="28">
        <f>IFERROR(VLOOKUP(F1975,CARTON_LOOKUP!$A:$E,5,0),"")</f>
      </c>
      <c r="J1975" s="29">
        <f>IFERROR(VLOOKUP(F1975,CARTON_LOOKUP!$A:$E,2,0),"")</f>
      </c>
      <c r="K1975" s="29">
        <f>IFERROR(J1975*D1975,0)</f>
      </c>
      <c r="L1975" s="29">
        <f>IFERROR(E1975*C1975,0)</f>
      </c>
      <c r="M1975" s="29">
        <f>IFERROR((G1975*H1975*I1975/1000000)*D1975,0)</f>
      </c>
    </row>
    <row r="1976" spans="1:13" x14ac:dyDescent="0.25">
      <c r="A1976" s="16"/>
      <c r="E1976" s="27"/>
      <c r="F1976" t="s">
        <v>26</v>
      </c>
      <c r="G1976" s="28">
        <f>IFERROR(VLOOKUP(F1976,CARTON_LOOKUP!$A:$E,3,0),"")</f>
      </c>
      <c r="H1976" s="28">
        <f>IFERROR(VLOOKUP(F1976,CARTON_LOOKUP!$A:$E,4,0),"")</f>
      </c>
      <c r="I1976" s="28">
        <f>IFERROR(VLOOKUP(F1976,CARTON_LOOKUP!$A:$E,5,0),"")</f>
      </c>
      <c r="J1976" s="29">
        <f>IFERROR(VLOOKUP(F1976,CARTON_LOOKUP!$A:$E,2,0),"")</f>
      </c>
      <c r="K1976" s="29">
        <f>IFERROR(J1976*D1976,0)</f>
      </c>
      <c r="L1976" s="29">
        <f>IFERROR(E1976*C1976,0)</f>
      </c>
      <c r="M1976" s="29">
        <f>IFERROR((G1976*H1976*I1976/1000000)*D1976,0)</f>
      </c>
    </row>
    <row r="1977" spans="1:13" x14ac:dyDescent="0.25">
      <c r="A1977" s="16"/>
      <c r="E1977" s="27"/>
      <c r="F1977" t="s">
        <v>26</v>
      </c>
      <c r="G1977" s="28">
        <f>IFERROR(VLOOKUP(F1977,CARTON_LOOKUP!$A:$E,3,0),"")</f>
      </c>
      <c r="H1977" s="28">
        <f>IFERROR(VLOOKUP(F1977,CARTON_LOOKUP!$A:$E,4,0),"")</f>
      </c>
      <c r="I1977" s="28">
        <f>IFERROR(VLOOKUP(F1977,CARTON_LOOKUP!$A:$E,5,0),"")</f>
      </c>
      <c r="J1977" s="29">
        <f>IFERROR(VLOOKUP(F1977,CARTON_LOOKUP!$A:$E,2,0),"")</f>
      </c>
      <c r="K1977" s="29">
        <f>IFERROR(J1977*D1977,0)</f>
      </c>
      <c r="L1977" s="29">
        <f>IFERROR(E1977*C1977,0)</f>
      </c>
      <c r="M1977" s="29">
        <f>IFERROR((G1977*H1977*I1977/1000000)*D1977,0)</f>
      </c>
    </row>
    <row r="1978" spans="1:13" x14ac:dyDescent="0.25">
      <c r="A1978" s="16"/>
      <c r="E1978" s="27"/>
      <c r="F1978" t="s">
        <v>26</v>
      </c>
      <c r="G1978" s="28">
        <f>IFERROR(VLOOKUP(F1978,CARTON_LOOKUP!$A:$E,3,0),"")</f>
      </c>
      <c r="H1978" s="28">
        <f>IFERROR(VLOOKUP(F1978,CARTON_LOOKUP!$A:$E,4,0),"")</f>
      </c>
      <c r="I1978" s="28">
        <f>IFERROR(VLOOKUP(F1978,CARTON_LOOKUP!$A:$E,5,0),"")</f>
      </c>
      <c r="J1978" s="29">
        <f>IFERROR(VLOOKUP(F1978,CARTON_LOOKUP!$A:$E,2,0),"")</f>
      </c>
      <c r="K1978" s="29">
        <f>IFERROR(J1978*D1978,0)</f>
      </c>
      <c r="L1978" s="29">
        <f>IFERROR(E1978*C1978,0)</f>
      </c>
      <c r="M1978" s="29">
        <f>IFERROR((G1978*H1978*I1978/1000000)*D1978,0)</f>
      </c>
    </row>
    <row r="1979" spans="1:13" x14ac:dyDescent="0.25">
      <c r="A1979" s="16"/>
      <c r="E1979" s="27"/>
      <c r="F1979" t="s">
        <v>26</v>
      </c>
      <c r="G1979" s="28">
        <f>IFERROR(VLOOKUP(F1979,CARTON_LOOKUP!$A:$E,3,0),"")</f>
      </c>
      <c r="H1979" s="28">
        <f>IFERROR(VLOOKUP(F1979,CARTON_LOOKUP!$A:$E,4,0),"")</f>
      </c>
      <c r="I1979" s="28">
        <f>IFERROR(VLOOKUP(F1979,CARTON_LOOKUP!$A:$E,5,0),"")</f>
      </c>
      <c r="J1979" s="29">
        <f>IFERROR(VLOOKUP(F1979,CARTON_LOOKUP!$A:$E,2,0),"")</f>
      </c>
      <c r="K1979" s="29">
        <f>IFERROR(J1979*D1979,0)</f>
      </c>
      <c r="L1979" s="29">
        <f>IFERROR(E1979*C1979,0)</f>
      </c>
      <c r="M1979" s="29">
        <f>IFERROR((G1979*H1979*I1979/1000000)*D1979,0)</f>
      </c>
    </row>
    <row r="1980" spans="1:13" x14ac:dyDescent="0.25">
      <c r="A1980" s="16"/>
      <c r="E1980" s="27"/>
      <c r="F1980" t="s">
        <v>26</v>
      </c>
      <c r="G1980" s="28">
        <f>IFERROR(VLOOKUP(F1980,CARTON_LOOKUP!$A:$E,3,0),"")</f>
      </c>
      <c r="H1980" s="28">
        <f>IFERROR(VLOOKUP(F1980,CARTON_LOOKUP!$A:$E,4,0),"")</f>
      </c>
      <c r="I1980" s="28">
        <f>IFERROR(VLOOKUP(F1980,CARTON_LOOKUP!$A:$E,5,0),"")</f>
      </c>
      <c r="J1980" s="29">
        <f>IFERROR(VLOOKUP(F1980,CARTON_LOOKUP!$A:$E,2,0),"")</f>
      </c>
      <c r="K1980" s="29">
        <f>IFERROR(J1980*D1980,0)</f>
      </c>
      <c r="L1980" s="29">
        <f>IFERROR(E1980*C1980,0)</f>
      </c>
      <c r="M1980" s="29">
        <f>IFERROR((G1980*H1980*I1980/1000000)*D1980,0)</f>
      </c>
    </row>
    <row r="1981" spans="1:13" x14ac:dyDescent="0.25">
      <c r="A1981" s="16"/>
      <c r="E1981" s="27"/>
      <c r="F1981" t="s">
        <v>26</v>
      </c>
      <c r="G1981" s="28">
        <f>IFERROR(VLOOKUP(F1981,CARTON_LOOKUP!$A:$E,3,0),"")</f>
      </c>
      <c r="H1981" s="28">
        <f>IFERROR(VLOOKUP(F1981,CARTON_LOOKUP!$A:$E,4,0),"")</f>
      </c>
      <c r="I1981" s="28">
        <f>IFERROR(VLOOKUP(F1981,CARTON_LOOKUP!$A:$E,5,0),"")</f>
      </c>
      <c r="J1981" s="29">
        <f>IFERROR(VLOOKUP(F1981,CARTON_LOOKUP!$A:$E,2,0),"")</f>
      </c>
      <c r="K1981" s="29">
        <f>IFERROR(J1981*D1981,0)</f>
      </c>
      <c r="L1981" s="29">
        <f>IFERROR(E1981*C1981,0)</f>
      </c>
      <c r="M1981" s="29">
        <f>IFERROR((G1981*H1981*I1981/1000000)*D1981,0)</f>
      </c>
    </row>
    <row r="1982" spans="1:13" x14ac:dyDescent="0.25">
      <c r="A1982" s="16"/>
      <c r="E1982" s="27"/>
      <c r="F1982" t="s">
        <v>26</v>
      </c>
      <c r="G1982" s="28">
        <f>IFERROR(VLOOKUP(F1982,CARTON_LOOKUP!$A:$E,3,0),"")</f>
      </c>
      <c r="H1982" s="28">
        <f>IFERROR(VLOOKUP(F1982,CARTON_LOOKUP!$A:$E,4,0),"")</f>
      </c>
      <c r="I1982" s="28">
        <f>IFERROR(VLOOKUP(F1982,CARTON_LOOKUP!$A:$E,5,0),"")</f>
      </c>
      <c r="J1982" s="29">
        <f>IFERROR(VLOOKUP(F1982,CARTON_LOOKUP!$A:$E,2,0),"")</f>
      </c>
      <c r="K1982" s="29">
        <f>IFERROR(J1982*D1982,0)</f>
      </c>
      <c r="L1982" s="29">
        <f>IFERROR(E1982*C1982,0)</f>
      </c>
      <c r="M1982" s="29">
        <f>IFERROR((G1982*H1982*I1982/1000000)*D1982,0)</f>
      </c>
    </row>
    <row r="1983" spans="1:13" x14ac:dyDescent="0.25">
      <c r="A1983" s="16"/>
      <c r="E1983" s="27"/>
      <c r="F1983" t="s">
        <v>26</v>
      </c>
      <c r="G1983" s="28">
        <f>IFERROR(VLOOKUP(F1983,CARTON_LOOKUP!$A:$E,3,0),"")</f>
      </c>
      <c r="H1983" s="28">
        <f>IFERROR(VLOOKUP(F1983,CARTON_LOOKUP!$A:$E,4,0),"")</f>
      </c>
      <c r="I1983" s="28">
        <f>IFERROR(VLOOKUP(F1983,CARTON_LOOKUP!$A:$E,5,0),"")</f>
      </c>
      <c r="J1983" s="29">
        <f>IFERROR(VLOOKUP(F1983,CARTON_LOOKUP!$A:$E,2,0),"")</f>
      </c>
      <c r="K1983" s="29">
        <f>IFERROR(J1983*D1983,0)</f>
      </c>
      <c r="L1983" s="29">
        <f>IFERROR(E1983*C1983,0)</f>
      </c>
      <c r="M1983" s="29">
        <f>IFERROR((G1983*H1983*I1983/1000000)*D1983,0)</f>
      </c>
    </row>
    <row r="1984" spans="1:13" x14ac:dyDescent="0.25">
      <c r="A1984" s="16"/>
      <c r="E1984" s="27"/>
      <c r="F1984" t="s">
        <v>26</v>
      </c>
      <c r="G1984" s="28">
        <f>IFERROR(VLOOKUP(F1984,CARTON_LOOKUP!$A:$E,3,0),"")</f>
      </c>
      <c r="H1984" s="28">
        <f>IFERROR(VLOOKUP(F1984,CARTON_LOOKUP!$A:$E,4,0),"")</f>
      </c>
      <c r="I1984" s="28">
        <f>IFERROR(VLOOKUP(F1984,CARTON_LOOKUP!$A:$E,5,0),"")</f>
      </c>
      <c r="J1984" s="29">
        <f>IFERROR(VLOOKUP(F1984,CARTON_LOOKUP!$A:$E,2,0),"")</f>
      </c>
      <c r="K1984" s="29">
        <f>IFERROR(J1984*D1984,0)</f>
      </c>
      <c r="L1984" s="29">
        <f>IFERROR(E1984*C1984,0)</f>
      </c>
      <c r="M1984" s="29">
        <f>IFERROR((G1984*H1984*I1984/1000000)*D1984,0)</f>
      </c>
    </row>
    <row r="1985" spans="1:13" x14ac:dyDescent="0.25">
      <c r="A1985" s="16"/>
      <c r="E1985" s="27"/>
      <c r="F1985" t="s">
        <v>26</v>
      </c>
      <c r="G1985" s="28">
        <f>IFERROR(VLOOKUP(F1985,CARTON_LOOKUP!$A:$E,3,0),"")</f>
      </c>
      <c r="H1985" s="28">
        <f>IFERROR(VLOOKUP(F1985,CARTON_LOOKUP!$A:$E,4,0),"")</f>
      </c>
      <c r="I1985" s="28">
        <f>IFERROR(VLOOKUP(F1985,CARTON_LOOKUP!$A:$E,5,0),"")</f>
      </c>
      <c r="J1985" s="29">
        <f>IFERROR(VLOOKUP(F1985,CARTON_LOOKUP!$A:$E,2,0),"")</f>
      </c>
      <c r="K1985" s="29">
        <f>IFERROR(J1985*D1985,0)</f>
      </c>
      <c r="L1985" s="29">
        <f>IFERROR(E1985*C1985,0)</f>
      </c>
      <c r="M1985" s="29">
        <f>IFERROR((G1985*H1985*I1985/1000000)*D1985,0)</f>
      </c>
    </row>
    <row r="1986" spans="1:13" x14ac:dyDescent="0.25">
      <c r="A1986" s="16"/>
      <c r="E1986" s="27"/>
      <c r="F1986" t="s">
        <v>26</v>
      </c>
      <c r="G1986" s="28">
        <f>IFERROR(VLOOKUP(F1986,CARTON_LOOKUP!$A:$E,3,0),"")</f>
      </c>
      <c r="H1986" s="28">
        <f>IFERROR(VLOOKUP(F1986,CARTON_LOOKUP!$A:$E,4,0),"")</f>
      </c>
      <c r="I1986" s="28">
        <f>IFERROR(VLOOKUP(F1986,CARTON_LOOKUP!$A:$E,5,0),"")</f>
      </c>
      <c r="J1986" s="29">
        <f>IFERROR(VLOOKUP(F1986,CARTON_LOOKUP!$A:$E,2,0),"")</f>
      </c>
      <c r="K1986" s="29">
        <f>IFERROR(J1986*D1986,0)</f>
      </c>
      <c r="L1986" s="29">
        <f>IFERROR(E1986*C1986,0)</f>
      </c>
      <c r="M1986" s="29">
        <f>IFERROR((G1986*H1986*I1986/1000000)*D1986,0)</f>
      </c>
    </row>
    <row r="1987" spans="1:13" x14ac:dyDescent="0.25">
      <c r="A1987" s="16"/>
      <c r="E1987" s="27"/>
      <c r="F1987" t="s">
        <v>26</v>
      </c>
      <c r="G1987" s="28">
        <f>IFERROR(VLOOKUP(F1987,CARTON_LOOKUP!$A:$E,3,0),"")</f>
      </c>
      <c r="H1987" s="28">
        <f>IFERROR(VLOOKUP(F1987,CARTON_LOOKUP!$A:$E,4,0),"")</f>
      </c>
      <c r="I1987" s="28">
        <f>IFERROR(VLOOKUP(F1987,CARTON_LOOKUP!$A:$E,5,0),"")</f>
      </c>
      <c r="J1987" s="29">
        <f>IFERROR(VLOOKUP(F1987,CARTON_LOOKUP!$A:$E,2,0),"")</f>
      </c>
      <c r="K1987" s="29">
        <f>IFERROR(J1987*D1987,0)</f>
      </c>
      <c r="L1987" s="29">
        <f>IFERROR(E1987*C1987,0)</f>
      </c>
      <c r="M1987" s="29">
        <f>IFERROR((G1987*H1987*I1987/1000000)*D1987,0)</f>
      </c>
    </row>
    <row r="1988" spans="1:13" x14ac:dyDescent="0.25">
      <c r="A1988" s="16"/>
      <c r="E1988" s="27"/>
      <c r="F1988" t="s">
        <v>26</v>
      </c>
      <c r="G1988" s="28">
        <f>IFERROR(VLOOKUP(F1988,CARTON_LOOKUP!$A:$E,3,0),"")</f>
      </c>
      <c r="H1988" s="28">
        <f>IFERROR(VLOOKUP(F1988,CARTON_LOOKUP!$A:$E,4,0),"")</f>
      </c>
      <c r="I1988" s="28">
        <f>IFERROR(VLOOKUP(F1988,CARTON_LOOKUP!$A:$E,5,0),"")</f>
      </c>
      <c r="J1988" s="29">
        <f>IFERROR(VLOOKUP(F1988,CARTON_LOOKUP!$A:$E,2,0),"")</f>
      </c>
      <c r="K1988" s="29">
        <f>IFERROR(J1988*D1988,0)</f>
      </c>
      <c r="L1988" s="29">
        <f>IFERROR(E1988*C1988,0)</f>
      </c>
      <c r="M1988" s="29">
        <f>IFERROR((G1988*H1988*I1988/1000000)*D1988,0)</f>
      </c>
    </row>
    <row r="1989" spans="1:13" x14ac:dyDescent="0.25">
      <c r="A1989" s="16"/>
      <c r="E1989" s="27"/>
      <c r="F1989" t="s">
        <v>26</v>
      </c>
      <c r="G1989" s="28">
        <f>IFERROR(VLOOKUP(F1989,CARTON_LOOKUP!$A:$E,3,0),"")</f>
      </c>
      <c r="H1989" s="28">
        <f>IFERROR(VLOOKUP(F1989,CARTON_LOOKUP!$A:$E,4,0),"")</f>
      </c>
      <c r="I1989" s="28">
        <f>IFERROR(VLOOKUP(F1989,CARTON_LOOKUP!$A:$E,5,0),"")</f>
      </c>
      <c r="J1989" s="29">
        <f>IFERROR(VLOOKUP(F1989,CARTON_LOOKUP!$A:$E,2,0),"")</f>
      </c>
      <c r="K1989" s="29">
        <f>IFERROR(J1989*D1989,0)</f>
      </c>
      <c r="L1989" s="29">
        <f>IFERROR(E1989*C1989,0)</f>
      </c>
      <c r="M1989" s="29">
        <f>IFERROR((G1989*H1989*I1989/1000000)*D1989,0)</f>
      </c>
    </row>
    <row r="1990" spans="1:13" x14ac:dyDescent="0.25">
      <c r="A1990" s="16"/>
      <c r="E1990" s="27"/>
      <c r="F1990" t="s">
        <v>26</v>
      </c>
      <c r="G1990" s="28">
        <f>IFERROR(VLOOKUP(F1990,CARTON_LOOKUP!$A:$E,3,0),"")</f>
      </c>
      <c r="H1990" s="28">
        <f>IFERROR(VLOOKUP(F1990,CARTON_LOOKUP!$A:$E,4,0),"")</f>
      </c>
      <c r="I1990" s="28">
        <f>IFERROR(VLOOKUP(F1990,CARTON_LOOKUP!$A:$E,5,0),"")</f>
      </c>
      <c r="J1990" s="29">
        <f>IFERROR(VLOOKUP(F1990,CARTON_LOOKUP!$A:$E,2,0),"")</f>
      </c>
      <c r="K1990" s="29">
        <f>IFERROR(J1990*D1990,0)</f>
      </c>
      <c r="L1990" s="29">
        <f>IFERROR(E1990*C1990,0)</f>
      </c>
      <c r="M1990" s="29">
        <f>IFERROR((G1990*H1990*I1990/1000000)*D1990,0)</f>
      </c>
    </row>
    <row r="1991" spans="1:13" x14ac:dyDescent="0.25">
      <c r="A1991" s="16"/>
      <c r="E1991" s="27"/>
      <c r="F1991" t="s">
        <v>26</v>
      </c>
      <c r="G1991" s="28">
        <f>IFERROR(VLOOKUP(F1991,CARTON_LOOKUP!$A:$E,3,0),"")</f>
      </c>
      <c r="H1991" s="28">
        <f>IFERROR(VLOOKUP(F1991,CARTON_LOOKUP!$A:$E,4,0),"")</f>
      </c>
      <c r="I1991" s="28">
        <f>IFERROR(VLOOKUP(F1991,CARTON_LOOKUP!$A:$E,5,0),"")</f>
      </c>
      <c r="J1991" s="29">
        <f>IFERROR(VLOOKUP(F1991,CARTON_LOOKUP!$A:$E,2,0),"")</f>
      </c>
      <c r="K1991" s="29">
        <f>IFERROR(J1991*D1991,0)</f>
      </c>
      <c r="L1991" s="29">
        <f>IFERROR(E1991*C1991,0)</f>
      </c>
      <c r="M1991" s="29">
        <f>IFERROR((G1991*H1991*I1991/1000000)*D1991,0)</f>
      </c>
    </row>
    <row r="1992" spans="1:13" x14ac:dyDescent="0.25">
      <c r="A1992" s="16"/>
      <c r="E1992" s="27"/>
      <c r="F1992" t="s">
        <v>26</v>
      </c>
      <c r="G1992" s="28">
        <f>IFERROR(VLOOKUP(F1992,CARTON_LOOKUP!$A:$E,3,0),"")</f>
      </c>
      <c r="H1992" s="28">
        <f>IFERROR(VLOOKUP(F1992,CARTON_LOOKUP!$A:$E,4,0),"")</f>
      </c>
      <c r="I1992" s="28">
        <f>IFERROR(VLOOKUP(F1992,CARTON_LOOKUP!$A:$E,5,0),"")</f>
      </c>
      <c r="J1992" s="29">
        <f>IFERROR(VLOOKUP(F1992,CARTON_LOOKUP!$A:$E,2,0),"")</f>
      </c>
      <c r="K1992" s="29">
        <f>IFERROR(J1992*D1992,0)</f>
      </c>
      <c r="L1992" s="29">
        <f>IFERROR(E1992*C1992,0)</f>
      </c>
      <c r="M1992" s="29">
        <f>IFERROR((G1992*H1992*I1992/1000000)*D1992,0)</f>
      </c>
    </row>
    <row r="1993" spans="1:13" x14ac:dyDescent="0.25">
      <c r="A1993" s="16"/>
      <c r="E1993" s="27"/>
      <c r="F1993" t="s">
        <v>26</v>
      </c>
      <c r="G1993" s="28">
        <f>IFERROR(VLOOKUP(F1993,CARTON_LOOKUP!$A:$E,3,0),"")</f>
      </c>
      <c r="H1993" s="28">
        <f>IFERROR(VLOOKUP(F1993,CARTON_LOOKUP!$A:$E,4,0),"")</f>
      </c>
      <c r="I1993" s="28">
        <f>IFERROR(VLOOKUP(F1993,CARTON_LOOKUP!$A:$E,5,0),"")</f>
      </c>
      <c r="J1993" s="29">
        <f>IFERROR(VLOOKUP(F1993,CARTON_LOOKUP!$A:$E,2,0),"")</f>
      </c>
      <c r="K1993" s="29">
        <f>IFERROR(J1993*D1993,0)</f>
      </c>
      <c r="L1993" s="29">
        <f>IFERROR(E1993*C1993,0)</f>
      </c>
      <c r="M1993" s="29">
        <f>IFERROR((G1993*H1993*I1993/1000000)*D1993,0)</f>
      </c>
    </row>
    <row r="1994" spans="1:13" x14ac:dyDescent="0.25">
      <c r="A1994" s="16"/>
      <c r="E1994" s="27"/>
      <c r="F1994" t="s">
        <v>26</v>
      </c>
      <c r="G1994" s="28">
        <f>IFERROR(VLOOKUP(F1994,CARTON_LOOKUP!$A:$E,3,0),"")</f>
      </c>
      <c r="H1994" s="28">
        <f>IFERROR(VLOOKUP(F1994,CARTON_LOOKUP!$A:$E,4,0),"")</f>
      </c>
      <c r="I1994" s="28">
        <f>IFERROR(VLOOKUP(F1994,CARTON_LOOKUP!$A:$E,5,0),"")</f>
      </c>
      <c r="J1994" s="29">
        <f>IFERROR(VLOOKUP(F1994,CARTON_LOOKUP!$A:$E,2,0),"")</f>
      </c>
      <c r="K1994" s="29">
        <f>IFERROR(J1994*D1994,0)</f>
      </c>
      <c r="L1994" s="29">
        <f>IFERROR(E1994*C1994,0)</f>
      </c>
      <c r="M1994" s="29">
        <f>IFERROR((G1994*H1994*I1994/1000000)*D1994,0)</f>
      </c>
    </row>
    <row r="1995" spans="1:13" x14ac:dyDescent="0.25">
      <c r="A1995" s="16"/>
      <c r="E1995" s="27"/>
      <c r="F1995" t="s">
        <v>26</v>
      </c>
      <c r="G1995" s="28">
        <f>IFERROR(VLOOKUP(F1995,CARTON_LOOKUP!$A:$E,3,0),"")</f>
      </c>
      <c r="H1995" s="28">
        <f>IFERROR(VLOOKUP(F1995,CARTON_LOOKUP!$A:$E,4,0),"")</f>
      </c>
      <c r="I1995" s="28">
        <f>IFERROR(VLOOKUP(F1995,CARTON_LOOKUP!$A:$E,5,0),"")</f>
      </c>
      <c r="J1995" s="29">
        <f>IFERROR(VLOOKUP(F1995,CARTON_LOOKUP!$A:$E,2,0),"")</f>
      </c>
      <c r="K1995" s="29">
        <f>IFERROR(J1995*D1995,0)</f>
      </c>
      <c r="L1995" s="29">
        <f>IFERROR(E1995*C1995,0)</f>
      </c>
      <c r="M1995" s="29">
        <f>IFERROR((G1995*H1995*I1995/1000000)*D1995,0)</f>
      </c>
    </row>
    <row r="1996" spans="1:13" x14ac:dyDescent="0.25">
      <c r="A1996" s="16"/>
      <c r="E1996" s="27"/>
      <c r="F1996" t="s">
        <v>26</v>
      </c>
      <c r="G1996" s="28">
        <f>IFERROR(VLOOKUP(F1996,CARTON_LOOKUP!$A:$E,3,0),"")</f>
      </c>
      <c r="H1996" s="28">
        <f>IFERROR(VLOOKUP(F1996,CARTON_LOOKUP!$A:$E,4,0),"")</f>
      </c>
      <c r="I1996" s="28">
        <f>IFERROR(VLOOKUP(F1996,CARTON_LOOKUP!$A:$E,5,0),"")</f>
      </c>
      <c r="J1996" s="29">
        <f>IFERROR(VLOOKUP(F1996,CARTON_LOOKUP!$A:$E,2,0),"")</f>
      </c>
      <c r="K1996" s="29">
        <f>IFERROR(J1996*D1996,0)</f>
      </c>
      <c r="L1996" s="29">
        <f>IFERROR(E1996*C1996,0)</f>
      </c>
      <c r="M1996" s="29">
        <f>IFERROR((G1996*H1996*I1996/1000000)*D1996,0)</f>
      </c>
    </row>
    <row r="1997" spans="1:13" x14ac:dyDescent="0.25">
      <c r="A1997" s="16"/>
      <c r="E1997" s="27"/>
      <c r="F1997" t="s">
        <v>26</v>
      </c>
      <c r="G1997" s="28">
        <f>IFERROR(VLOOKUP(F1997,CARTON_LOOKUP!$A:$E,3,0),"")</f>
      </c>
      <c r="H1997" s="28">
        <f>IFERROR(VLOOKUP(F1997,CARTON_LOOKUP!$A:$E,4,0),"")</f>
      </c>
      <c r="I1997" s="28">
        <f>IFERROR(VLOOKUP(F1997,CARTON_LOOKUP!$A:$E,5,0),"")</f>
      </c>
      <c r="J1997" s="29">
        <f>IFERROR(VLOOKUP(F1997,CARTON_LOOKUP!$A:$E,2,0),"")</f>
      </c>
      <c r="K1997" s="29">
        <f>IFERROR(J1997*D1997,0)</f>
      </c>
      <c r="L1997" s="29">
        <f>IFERROR(E1997*C1997,0)</f>
      </c>
      <c r="M1997" s="29">
        <f>IFERROR((G1997*H1997*I1997/1000000)*D1997,0)</f>
      </c>
    </row>
    <row r="1998" spans="1:13" x14ac:dyDescent="0.25">
      <c r="A1998" s="16"/>
      <c r="E1998" s="27"/>
      <c r="F1998" t="s">
        <v>26</v>
      </c>
      <c r="G1998" s="28">
        <f>IFERROR(VLOOKUP(F1998,CARTON_LOOKUP!$A:$E,3,0),"")</f>
      </c>
      <c r="H1998" s="28">
        <f>IFERROR(VLOOKUP(F1998,CARTON_LOOKUP!$A:$E,4,0),"")</f>
      </c>
      <c r="I1998" s="28">
        <f>IFERROR(VLOOKUP(F1998,CARTON_LOOKUP!$A:$E,5,0),"")</f>
      </c>
      <c r="J1998" s="29">
        <f>IFERROR(VLOOKUP(F1998,CARTON_LOOKUP!$A:$E,2,0),"")</f>
      </c>
      <c r="K1998" s="29">
        <f>IFERROR(J1998*D1998,0)</f>
      </c>
      <c r="L1998" s="29">
        <f>IFERROR(E1998*C1998,0)</f>
      </c>
      <c r="M1998" s="29">
        <f>IFERROR((G1998*H1998*I1998/1000000)*D1998,0)</f>
      </c>
    </row>
    <row r="1999" spans="1:13" x14ac:dyDescent="0.25">
      <c r="A1999" s="16"/>
      <c r="E1999" s="27"/>
      <c r="F1999" t="s">
        <v>26</v>
      </c>
      <c r="G1999" s="28">
        <f>IFERROR(VLOOKUP(F1999,CARTON_LOOKUP!$A:$E,3,0),"")</f>
      </c>
      <c r="H1999" s="28">
        <f>IFERROR(VLOOKUP(F1999,CARTON_LOOKUP!$A:$E,4,0),"")</f>
      </c>
      <c r="I1999" s="28">
        <f>IFERROR(VLOOKUP(F1999,CARTON_LOOKUP!$A:$E,5,0),"")</f>
      </c>
      <c r="J1999" s="29">
        <f>IFERROR(VLOOKUP(F1999,CARTON_LOOKUP!$A:$E,2,0),"")</f>
      </c>
      <c r="K1999" s="29">
        <f>IFERROR(J1999*D1999,0)</f>
      </c>
      <c r="L1999" s="29">
        <f>IFERROR(E1999*C1999,0)</f>
      </c>
      <c r="M1999" s="29">
        <f>IFERROR((G1999*H1999*I1999/1000000)*D1999,0)</f>
      </c>
    </row>
    <row r="2000" spans="1:13" x14ac:dyDescent="0.25">
      <c r="A2000" s="16"/>
      <c r="E2000" s="27"/>
      <c r="F2000" t="s">
        <v>26</v>
      </c>
      <c r="G2000" s="28">
        <f>IFERROR(VLOOKUP(F2000,CARTON_LOOKUP!$A:$E,3,0),"")</f>
      </c>
      <c r="H2000" s="28">
        <f>IFERROR(VLOOKUP(F2000,CARTON_LOOKUP!$A:$E,4,0),"")</f>
      </c>
      <c r="I2000" s="28">
        <f>IFERROR(VLOOKUP(F2000,CARTON_LOOKUP!$A:$E,5,0),"")</f>
      </c>
      <c r="J2000" s="29">
        <f>IFERROR(VLOOKUP(F2000,CARTON_LOOKUP!$A:$E,2,0),"")</f>
      </c>
      <c r="K2000" s="29">
        <f>IFERROR(J2000*D2000,0)</f>
      </c>
      <c r="L2000" s="29">
        <f>IFERROR(E2000*C2000,0)</f>
      </c>
      <c r="M2000" s="29">
        <f>IFERROR((G2000*H2000*I2000/1000000)*D2000,0)</f>
      </c>
    </row>
    <row r="2001" spans="1:13" x14ac:dyDescent="0.25">
      <c r="A2001" s="16"/>
      <c r="E2001" s="27"/>
      <c r="F2001" t="s">
        <v>26</v>
      </c>
      <c r="G2001" s="28">
        <f>IFERROR(VLOOKUP(F2001,CARTON_LOOKUP!$A:$E,3,0),"")</f>
      </c>
      <c r="H2001" s="28">
        <f>IFERROR(VLOOKUP(F2001,CARTON_LOOKUP!$A:$E,4,0),"")</f>
      </c>
      <c r="I2001" s="28">
        <f>IFERROR(VLOOKUP(F2001,CARTON_LOOKUP!$A:$E,5,0),"")</f>
      </c>
      <c r="J2001" s="29">
        <f>IFERROR(VLOOKUP(F2001,CARTON_LOOKUP!$A:$E,2,0),"")</f>
      </c>
      <c r="K2001" s="29">
        <f>IFERROR(J2001*D2001,0)</f>
      </c>
      <c r="L2001" s="29">
        <f>IFERROR(E2001*C2001,0)</f>
      </c>
      <c r="M2001" s="29">
        <f>IFERROR((G2001*H2001*I2001/1000000)*D2001,0)</f>
      </c>
    </row>
    <row r="2002" spans="1:13" x14ac:dyDescent="0.25">
      <c r="A2002" s="16"/>
      <c r="E2002" s="27"/>
      <c r="F2002" t="s">
        <v>26</v>
      </c>
      <c r="G2002" s="28">
        <f>IFERROR(VLOOKUP(F2002,CARTON_LOOKUP!$A:$E,3,0),"")</f>
      </c>
      <c r="H2002" s="28">
        <f>IFERROR(VLOOKUP(F2002,CARTON_LOOKUP!$A:$E,4,0),"")</f>
      </c>
      <c r="I2002" s="28">
        <f>IFERROR(VLOOKUP(F2002,CARTON_LOOKUP!$A:$E,5,0),"")</f>
      </c>
      <c r="J2002" s="29">
        <f>IFERROR(VLOOKUP(F2002,CARTON_LOOKUP!$A:$E,2,0),"")</f>
      </c>
      <c r="K2002" s="29">
        <f>IFERROR(J2002*D2002,0)</f>
      </c>
      <c r="L2002" s="29">
        <f>IFERROR(E2002*C2002,0)</f>
      </c>
      <c r="M2002" s="29">
        <f>IFERROR((G2002*H2002*I2002/1000000)*D2002,0)</f>
      </c>
    </row>
    <row r="2003" spans="1:13" x14ac:dyDescent="0.25">
      <c r="A2003" s="16"/>
      <c r="E2003" s="27"/>
      <c r="F2003" t="s">
        <v>26</v>
      </c>
      <c r="G2003" s="28">
        <f>IFERROR(VLOOKUP(F2003,CARTON_LOOKUP!$A:$E,3,0),"")</f>
      </c>
      <c r="H2003" s="28">
        <f>IFERROR(VLOOKUP(F2003,CARTON_LOOKUP!$A:$E,4,0),"")</f>
      </c>
      <c r="I2003" s="28">
        <f>IFERROR(VLOOKUP(F2003,CARTON_LOOKUP!$A:$E,5,0),"")</f>
      </c>
      <c r="J2003" s="29">
        <f>IFERROR(VLOOKUP(F2003,CARTON_LOOKUP!$A:$E,2,0),"")</f>
      </c>
      <c r="K2003" s="29">
        <f>IFERROR(J2003*D2003,0)</f>
      </c>
      <c r="L2003" s="29">
        <f>IFERROR(E2003*C2003,0)</f>
      </c>
      <c r="M2003" s="29">
        <f>IFERROR((G2003*H2003*I2003/1000000)*D2003,0)</f>
      </c>
    </row>
    <row r="2004" spans="1:13" x14ac:dyDescent="0.25">
      <c r="A2004" s="16"/>
      <c r="E2004" s="27"/>
      <c r="F2004" t="s">
        <v>26</v>
      </c>
      <c r="G2004" s="28">
        <f>IFERROR(VLOOKUP(F2004,CARTON_LOOKUP!$A:$E,3,0),"")</f>
      </c>
      <c r="H2004" s="28">
        <f>IFERROR(VLOOKUP(F2004,CARTON_LOOKUP!$A:$E,4,0),"")</f>
      </c>
      <c r="I2004" s="28">
        <f>IFERROR(VLOOKUP(F2004,CARTON_LOOKUP!$A:$E,5,0),"")</f>
      </c>
      <c r="J2004" s="29">
        <f>IFERROR(VLOOKUP(F2004,CARTON_LOOKUP!$A:$E,2,0),"")</f>
      </c>
      <c r="K2004" s="29">
        <f>IFERROR(J2004*D2004,0)</f>
      </c>
      <c r="L2004" s="29">
        <f>IFERROR(E2004*C2004,0)</f>
      </c>
      <c r="M2004" s="29">
        <f>IFERROR((G2004*H2004*I2004/1000000)*D2004,0)</f>
      </c>
    </row>
    <row r="2005" spans="1:13" x14ac:dyDescent="0.25">
      <c r="A2005" s="16"/>
      <c r="E2005" s="27"/>
      <c r="F2005" t="s">
        <v>26</v>
      </c>
      <c r="G2005" s="28">
        <f>IFERROR(VLOOKUP(F2005,CARTON_LOOKUP!$A:$E,3,0),"")</f>
      </c>
      <c r="H2005" s="28">
        <f>IFERROR(VLOOKUP(F2005,CARTON_LOOKUP!$A:$E,4,0),"")</f>
      </c>
      <c r="I2005" s="28">
        <f>IFERROR(VLOOKUP(F2005,CARTON_LOOKUP!$A:$E,5,0),"")</f>
      </c>
      <c r="J2005" s="29">
        <f>IFERROR(VLOOKUP(F2005,CARTON_LOOKUP!$A:$E,2,0),"")</f>
      </c>
      <c r="K2005" s="29">
        <f>IFERROR(J2005*D2005,0)</f>
      </c>
      <c r="L2005" s="29">
        <f>IFERROR(E2005*C2005,0)</f>
      </c>
      <c r="M2005" s="29">
        <f>IFERROR((G2005*H2005*I2005/1000000)*D2005,0)</f>
      </c>
    </row>
    <row r="2006" spans="1:13" x14ac:dyDescent="0.25">
      <c r="A2006" s="16"/>
      <c r="E2006" s="27"/>
      <c r="F2006" t="s">
        <v>26</v>
      </c>
      <c r="G2006" s="28">
        <f>IFERROR(VLOOKUP(F2006,CARTON_LOOKUP!$A:$E,3,0),"")</f>
      </c>
      <c r="H2006" s="28">
        <f>IFERROR(VLOOKUP(F2006,CARTON_LOOKUP!$A:$E,4,0),"")</f>
      </c>
      <c r="I2006" s="28">
        <f>IFERROR(VLOOKUP(F2006,CARTON_LOOKUP!$A:$E,5,0),"")</f>
      </c>
      <c r="J2006" s="29">
        <f>IFERROR(VLOOKUP(F2006,CARTON_LOOKUP!$A:$E,2,0),"")</f>
      </c>
      <c r="K2006" s="29">
        <f>IFERROR(J2006*D2006,0)</f>
      </c>
      <c r="L2006" s="29">
        <f>IFERROR(E2006*C2006,0)</f>
      </c>
      <c r="M2006" s="29">
        <f>IFERROR((G2006*H2006*I2006/1000000)*D2006,0)</f>
      </c>
    </row>
    <row r="2007" spans="1:13" x14ac:dyDescent="0.25">
      <c r="A2007" s="16"/>
      <c r="E2007" s="27"/>
      <c r="F2007" t="s">
        <v>26</v>
      </c>
      <c r="G2007" s="28">
        <f>IFERROR(VLOOKUP(F2007,CARTON_LOOKUP!$A:$E,3,0),"")</f>
      </c>
      <c r="H2007" s="28">
        <f>IFERROR(VLOOKUP(F2007,CARTON_LOOKUP!$A:$E,4,0),"")</f>
      </c>
      <c r="I2007" s="28">
        <f>IFERROR(VLOOKUP(F2007,CARTON_LOOKUP!$A:$E,5,0),"")</f>
      </c>
      <c r="J2007" s="29">
        <f>IFERROR(VLOOKUP(F2007,CARTON_LOOKUP!$A:$E,2,0),"")</f>
      </c>
      <c r="K2007" s="29">
        <f>IFERROR(J2007*D2007,0)</f>
      </c>
      <c r="L2007" s="29">
        <f>IFERROR(E2007*C2007,0)</f>
      </c>
      <c r="M2007" s="29">
        <f>IFERROR((G2007*H2007*I2007/1000000)*D2007,0)</f>
      </c>
    </row>
    <row r="2008" spans="1:13" x14ac:dyDescent="0.25">
      <c r="A2008" s="16"/>
      <c r="E2008" s="27"/>
      <c r="F2008" t="s">
        <v>26</v>
      </c>
      <c r="G2008" s="28">
        <f>IFERROR(VLOOKUP(F2008,CARTON_LOOKUP!$A:$E,3,0),"")</f>
      </c>
      <c r="H2008" s="28">
        <f>IFERROR(VLOOKUP(F2008,CARTON_LOOKUP!$A:$E,4,0),"")</f>
      </c>
      <c r="I2008" s="28">
        <f>IFERROR(VLOOKUP(F2008,CARTON_LOOKUP!$A:$E,5,0),"")</f>
      </c>
      <c r="J2008" s="29">
        <f>IFERROR(VLOOKUP(F2008,CARTON_LOOKUP!$A:$E,2,0),"")</f>
      </c>
      <c r="K2008" s="29">
        <f>IFERROR(J2008*D2008,0)</f>
      </c>
      <c r="L2008" s="29">
        <f>IFERROR(E2008*C2008,0)</f>
      </c>
      <c r="M2008" s="29">
        <f>IFERROR((G2008*H2008*I2008/1000000)*D2008,0)</f>
      </c>
    </row>
    <row r="2009" spans="1:13" x14ac:dyDescent="0.25">
      <c r="A2009" s="16"/>
      <c r="E2009" s="27"/>
      <c r="F2009" t="s">
        <v>26</v>
      </c>
      <c r="G2009" s="28">
        <f>IFERROR(VLOOKUP(F2009,CARTON_LOOKUP!$A:$E,3,0),"")</f>
      </c>
      <c r="H2009" s="28">
        <f>IFERROR(VLOOKUP(F2009,CARTON_LOOKUP!$A:$E,4,0),"")</f>
      </c>
      <c r="I2009" s="28">
        <f>IFERROR(VLOOKUP(F2009,CARTON_LOOKUP!$A:$E,5,0),"")</f>
      </c>
      <c r="J2009" s="29">
        <f>IFERROR(VLOOKUP(F2009,CARTON_LOOKUP!$A:$E,2,0),"")</f>
      </c>
      <c r="K2009" s="29">
        <f>IFERROR(J2009*D2009,0)</f>
      </c>
      <c r="L2009" s="29">
        <f>IFERROR(E2009*C2009,0)</f>
      </c>
      <c r="M2009" s="29">
        <f>IFERROR((G2009*H2009*I2009/1000000)*D2009,0)</f>
      </c>
    </row>
    <row r="2010" spans="1:13" x14ac:dyDescent="0.25">
      <c r="A2010" s="16"/>
      <c r="E2010" s="27"/>
      <c r="F2010" t="s">
        <v>26</v>
      </c>
      <c r="G2010" s="28">
        <f>IFERROR(VLOOKUP(F2010,CARTON_LOOKUP!$A:$E,3,0),"")</f>
      </c>
      <c r="H2010" s="28">
        <f>IFERROR(VLOOKUP(F2010,CARTON_LOOKUP!$A:$E,4,0),"")</f>
      </c>
      <c r="I2010" s="28">
        <f>IFERROR(VLOOKUP(F2010,CARTON_LOOKUP!$A:$E,5,0),"")</f>
      </c>
      <c r="J2010" s="29">
        <f>IFERROR(VLOOKUP(F2010,CARTON_LOOKUP!$A:$E,2,0),"")</f>
      </c>
      <c r="K2010" s="29">
        <f>IFERROR(J2010*D2010,0)</f>
      </c>
      <c r="L2010" s="29">
        <f>IFERROR(E2010*C2010,0)</f>
      </c>
      <c r="M2010" s="29">
        <f>IFERROR((G2010*H2010*I2010/1000000)*D2010,0)</f>
      </c>
    </row>
    <row r="2011" spans="1:13" x14ac:dyDescent="0.25">
      <c r="A2011" s="16"/>
      <c r="E2011" s="27"/>
      <c r="F2011" t="s">
        <v>26</v>
      </c>
      <c r="G2011" s="28">
        <f>IFERROR(VLOOKUP(F2011,CARTON_LOOKUP!$A:$E,3,0),"")</f>
      </c>
      <c r="H2011" s="28">
        <f>IFERROR(VLOOKUP(F2011,CARTON_LOOKUP!$A:$E,4,0),"")</f>
      </c>
      <c r="I2011" s="28">
        <f>IFERROR(VLOOKUP(F2011,CARTON_LOOKUP!$A:$E,5,0),"")</f>
      </c>
      <c r="J2011" s="29">
        <f>IFERROR(VLOOKUP(F2011,CARTON_LOOKUP!$A:$E,2,0),"")</f>
      </c>
      <c r="K2011" s="29">
        <f>IFERROR(J2011*D2011,0)</f>
      </c>
      <c r="L2011" s="29">
        <f>IFERROR(E2011*C2011,0)</f>
      </c>
      <c r="M2011" s="29">
        <f>IFERROR((G2011*H2011*I2011/1000000)*D2011,0)</f>
      </c>
    </row>
    <row r="2012" spans="1:13" x14ac:dyDescent="0.25">
      <c r="A2012" s="16"/>
      <c r="E2012" s="27"/>
      <c r="F2012" t="s">
        <v>26</v>
      </c>
      <c r="G2012" s="28">
        <f>IFERROR(VLOOKUP(F2012,CARTON_LOOKUP!$A:$E,3,0),"")</f>
      </c>
      <c r="H2012" s="28">
        <f>IFERROR(VLOOKUP(F2012,CARTON_LOOKUP!$A:$E,4,0),"")</f>
      </c>
      <c r="I2012" s="28">
        <f>IFERROR(VLOOKUP(F2012,CARTON_LOOKUP!$A:$E,5,0),"")</f>
      </c>
      <c r="J2012" s="29">
        <f>IFERROR(VLOOKUP(F2012,CARTON_LOOKUP!$A:$E,2,0),"")</f>
      </c>
      <c r="K2012" s="29">
        <f>IFERROR(J2012*D2012,0)</f>
      </c>
      <c r="L2012" s="29">
        <f>IFERROR(E2012*C2012,0)</f>
      </c>
      <c r="M2012" s="29">
        <f>IFERROR((G2012*H2012*I2012/1000000)*D2012,0)</f>
      </c>
    </row>
    <row r="2013" spans="1:13" x14ac:dyDescent="0.25">
      <c r="A2013" s="16"/>
      <c r="E2013" s="27"/>
      <c r="F2013" t="s">
        <v>26</v>
      </c>
      <c r="G2013" s="28">
        <f>IFERROR(VLOOKUP(F2013,CARTON_LOOKUP!$A:$E,3,0),"")</f>
      </c>
      <c r="H2013" s="28">
        <f>IFERROR(VLOOKUP(F2013,CARTON_LOOKUP!$A:$E,4,0),"")</f>
      </c>
      <c r="I2013" s="28">
        <f>IFERROR(VLOOKUP(F2013,CARTON_LOOKUP!$A:$E,5,0),"")</f>
      </c>
      <c r="J2013" s="29">
        <f>IFERROR(VLOOKUP(F2013,CARTON_LOOKUP!$A:$E,2,0),"")</f>
      </c>
      <c r="K2013" s="29">
        <f>IFERROR(J2013*D2013,0)</f>
      </c>
      <c r="L2013" s="29">
        <f>IFERROR(E2013*C2013,0)</f>
      </c>
      <c r="M2013" s="29">
        <f>IFERROR((G2013*H2013*I2013/1000000)*D2013,0)</f>
      </c>
    </row>
    <row r="2014" spans="1:13" x14ac:dyDescent="0.25">
      <c r="A2014" s="16"/>
      <c r="E2014" s="27"/>
      <c r="F2014" t="s">
        <v>26</v>
      </c>
      <c r="G2014" s="28">
        <f>IFERROR(VLOOKUP(F2014,CARTON_LOOKUP!$A:$E,3,0),"")</f>
      </c>
      <c r="H2014" s="28">
        <f>IFERROR(VLOOKUP(F2014,CARTON_LOOKUP!$A:$E,4,0),"")</f>
      </c>
      <c r="I2014" s="28">
        <f>IFERROR(VLOOKUP(F2014,CARTON_LOOKUP!$A:$E,5,0),"")</f>
      </c>
      <c r="J2014" s="29">
        <f>IFERROR(VLOOKUP(F2014,CARTON_LOOKUP!$A:$E,2,0),"")</f>
      </c>
      <c r="K2014" s="29">
        <f>IFERROR(J2014*D2014,0)</f>
      </c>
      <c r="L2014" s="29">
        <f>IFERROR(E2014*C2014,0)</f>
      </c>
      <c r="M2014" s="29">
        <f>IFERROR((G2014*H2014*I2014/1000000)*D2014,0)</f>
      </c>
    </row>
    <row r="2015" spans="1:13" x14ac:dyDescent="0.25">
      <c r="A2015" s="16"/>
      <c r="E2015" s="27"/>
      <c r="F2015" t="s">
        <v>26</v>
      </c>
      <c r="G2015" s="28">
        <f>IFERROR(VLOOKUP(F2015,CARTON_LOOKUP!$A:$E,3,0),"")</f>
      </c>
      <c r="H2015" s="28">
        <f>IFERROR(VLOOKUP(F2015,CARTON_LOOKUP!$A:$E,4,0),"")</f>
      </c>
      <c r="I2015" s="28">
        <f>IFERROR(VLOOKUP(F2015,CARTON_LOOKUP!$A:$E,5,0),"")</f>
      </c>
      <c r="J2015" s="29">
        <f>IFERROR(VLOOKUP(F2015,CARTON_LOOKUP!$A:$E,2,0),"")</f>
      </c>
      <c r="K2015" s="29">
        <f>IFERROR(J2015*D2015,0)</f>
      </c>
      <c r="L2015" s="29">
        <f>IFERROR(E2015*C2015,0)</f>
      </c>
      <c r="M2015" s="29">
        <f>IFERROR((G2015*H2015*I2015/1000000)*D2015,0)</f>
      </c>
    </row>
    <row r="2016" spans="1:13" x14ac:dyDescent="0.25">
      <c r="A2016" s="16"/>
      <c r="E2016" s="27"/>
      <c r="F2016" t="s">
        <v>26</v>
      </c>
      <c r="G2016" s="28">
        <f>IFERROR(VLOOKUP(F2016,CARTON_LOOKUP!$A:$E,3,0),"")</f>
      </c>
      <c r="H2016" s="28">
        <f>IFERROR(VLOOKUP(F2016,CARTON_LOOKUP!$A:$E,4,0),"")</f>
      </c>
      <c r="I2016" s="28">
        <f>IFERROR(VLOOKUP(F2016,CARTON_LOOKUP!$A:$E,5,0),"")</f>
      </c>
      <c r="J2016" s="29">
        <f>IFERROR(VLOOKUP(F2016,CARTON_LOOKUP!$A:$E,2,0),"")</f>
      </c>
      <c r="K2016" s="29">
        <f>IFERROR(J2016*D2016,0)</f>
      </c>
      <c r="L2016" s="29">
        <f>IFERROR(E2016*C2016,0)</f>
      </c>
      <c r="M2016" s="29">
        <f>IFERROR((G2016*H2016*I2016/1000000)*D2016,0)</f>
      </c>
    </row>
    <row r="2017" spans="1:13" x14ac:dyDescent="0.25">
      <c r="A2017" s="16"/>
      <c r="E2017" s="27"/>
      <c r="F2017" t="s">
        <v>26</v>
      </c>
      <c r="G2017" s="28">
        <f>IFERROR(VLOOKUP(F2017,CARTON_LOOKUP!$A:$E,3,0),"")</f>
      </c>
      <c r="H2017" s="28">
        <f>IFERROR(VLOOKUP(F2017,CARTON_LOOKUP!$A:$E,4,0),"")</f>
      </c>
      <c r="I2017" s="28">
        <f>IFERROR(VLOOKUP(F2017,CARTON_LOOKUP!$A:$E,5,0),"")</f>
      </c>
      <c r="J2017" s="29">
        <f>IFERROR(VLOOKUP(F2017,CARTON_LOOKUP!$A:$E,2,0),"")</f>
      </c>
      <c r="K2017" s="29">
        <f>IFERROR(J2017*D2017,0)</f>
      </c>
      <c r="L2017" s="29">
        <f>IFERROR(E2017*C2017,0)</f>
      </c>
      <c r="M2017" s="29">
        <f>IFERROR((G2017*H2017*I2017/1000000)*D2017,0)</f>
      </c>
    </row>
    <row r="2018" spans="1:13" x14ac:dyDescent="0.25">
      <c r="A2018" s="16"/>
      <c r="E2018" s="27"/>
      <c r="F2018" t="s">
        <v>26</v>
      </c>
      <c r="G2018" s="28">
        <f>IFERROR(VLOOKUP(F2018,CARTON_LOOKUP!$A:$E,3,0),"")</f>
      </c>
      <c r="H2018" s="28">
        <f>IFERROR(VLOOKUP(F2018,CARTON_LOOKUP!$A:$E,4,0),"")</f>
      </c>
      <c r="I2018" s="28">
        <f>IFERROR(VLOOKUP(F2018,CARTON_LOOKUP!$A:$E,5,0),"")</f>
      </c>
      <c r="J2018" s="29">
        <f>IFERROR(VLOOKUP(F2018,CARTON_LOOKUP!$A:$E,2,0),"")</f>
      </c>
      <c r="K2018" s="29">
        <f>IFERROR(J2018*D2018,0)</f>
      </c>
      <c r="L2018" s="29">
        <f>IFERROR(E2018*C2018,0)</f>
      </c>
      <c r="M2018" s="29">
        <f>IFERROR((G2018*H2018*I2018/1000000)*D2018,0)</f>
      </c>
    </row>
    <row r="2019" spans="1:13" x14ac:dyDescent="0.25">
      <c r="A2019" s="16"/>
      <c r="E2019" s="27"/>
      <c r="F2019" t="s">
        <v>26</v>
      </c>
      <c r="G2019" s="28">
        <f>IFERROR(VLOOKUP(F2019,CARTON_LOOKUP!$A:$E,3,0),"")</f>
      </c>
      <c r="H2019" s="28">
        <f>IFERROR(VLOOKUP(F2019,CARTON_LOOKUP!$A:$E,4,0),"")</f>
      </c>
      <c r="I2019" s="28">
        <f>IFERROR(VLOOKUP(F2019,CARTON_LOOKUP!$A:$E,5,0),"")</f>
      </c>
      <c r="J2019" s="29">
        <f>IFERROR(VLOOKUP(F2019,CARTON_LOOKUP!$A:$E,2,0),"")</f>
      </c>
      <c r="K2019" s="29">
        <f>IFERROR(J2019*D2019,0)</f>
      </c>
      <c r="L2019" s="29">
        <f>IFERROR(E2019*C2019,0)</f>
      </c>
      <c r="M2019" s="29">
        <f>IFERROR((G2019*H2019*I2019/1000000)*D2019,0)</f>
      </c>
    </row>
    <row r="2020" spans="1:13" x14ac:dyDescent="0.25">
      <c r="A2020" s="16"/>
      <c r="E2020" s="27"/>
      <c r="F2020" t="s">
        <v>26</v>
      </c>
      <c r="G2020" s="28">
        <f>IFERROR(VLOOKUP(F2020,CARTON_LOOKUP!$A:$E,3,0),"")</f>
      </c>
      <c r="H2020" s="28">
        <f>IFERROR(VLOOKUP(F2020,CARTON_LOOKUP!$A:$E,4,0),"")</f>
      </c>
      <c r="I2020" s="28">
        <f>IFERROR(VLOOKUP(F2020,CARTON_LOOKUP!$A:$E,5,0),"")</f>
      </c>
      <c r="J2020" s="29">
        <f>IFERROR(VLOOKUP(F2020,CARTON_LOOKUP!$A:$E,2,0),"")</f>
      </c>
      <c r="K2020" s="29">
        <f>IFERROR(J2020*D2020,0)</f>
      </c>
      <c r="L2020" s="29">
        <f>IFERROR(E2020*C2020,0)</f>
      </c>
      <c r="M2020" s="29">
        <f>IFERROR((G2020*H2020*I2020/1000000)*D2020,0)</f>
      </c>
    </row>
    <row r="2021" spans="1:13" x14ac:dyDescent="0.25">
      <c r="A2021" s="16"/>
      <c r="E2021" s="27"/>
      <c r="F2021" t="s">
        <v>26</v>
      </c>
      <c r="G2021" s="28">
        <f>IFERROR(VLOOKUP(F2021,CARTON_LOOKUP!$A:$E,3,0),"")</f>
      </c>
      <c r="H2021" s="28">
        <f>IFERROR(VLOOKUP(F2021,CARTON_LOOKUP!$A:$E,4,0),"")</f>
      </c>
      <c r="I2021" s="28">
        <f>IFERROR(VLOOKUP(F2021,CARTON_LOOKUP!$A:$E,5,0),"")</f>
      </c>
      <c r="J2021" s="29">
        <f>IFERROR(VLOOKUP(F2021,CARTON_LOOKUP!$A:$E,2,0),"")</f>
      </c>
      <c r="K2021" s="29">
        <f>IFERROR(J2021*D2021,0)</f>
      </c>
      <c r="L2021" s="29">
        <f>IFERROR(E2021*C2021,0)</f>
      </c>
      <c r="M2021" s="29">
        <f>IFERROR((G2021*H2021*I2021/1000000)*D2021,0)</f>
      </c>
    </row>
    <row r="2022" spans="1:13" x14ac:dyDescent="0.25">
      <c r="A2022" s="16"/>
      <c r="E2022" s="27"/>
      <c r="F2022" t="s">
        <v>26</v>
      </c>
      <c r="G2022" s="28">
        <f>IFERROR(VLOOKUP(F2022,CARTON_LOOKUP!$A:$E,3,0),"")</f>
      </c>
      <c r="H2022" s="28">
        <f>IFERROR(VLOOKUP(F2022,CARTON_LOOKUP!$A:$E,4,0),"")</f>
      </c>
      <c r="I2022" s="28">
        <f>IFERROR(VLOOKUP(F2022,CARTON_LOOKUP!$A:$E,5,0),"")</f>
      </c>
      <c r="J2022" s="29">
        <f>IFERROR(VLOOKUP(F2022,CARTON_LOOKUP!$A:$E,2,0),"")</f>
      </c>
      <c r="K2022" s="29">
        <f>IFERROR(J2022*D2022,0)</f>
      </c>
      <c r="L2022" s="29">
        <f>IFERROR(E2022*C2022,0)</f>
      </c>
      <c r="M2022" s="29">
        <f>IFERROR((G2022*H2022*I2022/1000000)*D2022,0)</f>
      </c>
    </row>
    <row r="2023" spans="1:13" x14ac:dyDescent="0.25">
      <c r="A2023" s="16"/>
      <c r="E2023" s="27"/>
      <c r="F2023" t="s">
        <v>26</v>
      </c>
      <c r="G2023" s="28">
        <f>IFERROR(VLOOKUP(F2023,CARTON_LOOKUP!$A:$E,3,0),"")</f>
      </c>
      <c r="H2023" s="28">
        <f>IFERROR(VLOOKUP(F2023,CARTON_LOOKUP!$A:$E,4,0),"")</f>
      </c>
      <c r="I2023" s="28">
        <f>IFERROR(VLOOKUP(F2023,CARTON_LOOKUP!$A:$E,5,0),"")</f>
      </c>
      <c r="J2023" s="29">
        <f>IFERROR(VLOOKUP(F2023,CARTON_LOOKUP!$A:$E,2,0),"")</f>
      </c>
      <c r="K2023" s="29">
        <f>IFERROR(J2023*D2023,0)</f>
      </c>
      <c r="L2023" s="29">
        <f>IFERROR(E2023*C2023,0)</f>
      </c>
      <c r="M2023" s="29">
        <f>IFERROR((G2023*H2023*I2023/1000000)*D2023,0)</f>
      </c>
    </row>
    <row r="2024" spans="1:13" x14ac:dyDescent="0.25">
      <c r="A2024" s="16"/>
      <c r="E2024" s="27"/>
      <c r="F2024" t="s">
        <v>26</v>
      </c>
      <c r="G2024" s="28">
        <f>IFERROR(VLOOKUP(F2024,CARTON_LOOKUP!$A:$E,3,0),"")</f>
      </c>
      <c r="H2024" s="28">
        <f>IFERROR(VLOOKUP(F2024,CARTON_LOOKUP!$A:$E,4,0),"")</f>
      </c>
      <c r="I2024" s="28">
        <f>IFERROR(VLOOKUP(F2024,CARTON_LOOKUP!$A:$E,5,0),"")</f>
      </c>
      <c r="J2024" s="29">
        <f>IFERROR(VLOOKUP(F2024,CARTON_LOOKUP!$A:$E,2,0),"")</f>
      </c>
      <c r="K2024" s="29">
        <f>IFERROR(J2024*D2024,0)</f>
      </c>
      <c r="L2024" s="29">
        <f>IFERROR(E2024*C2024,0)</f>
      </c>
      <c r="M2024" s="29">
        <f>IFERROR((G2024*H2024*I2024/1000000)*D2024,0)</f>
      </c>
    </row>
    <row r="2025" spans="1:13" x14ac:dyDescent="0.25">
      <c r="A2025" s="16"/>
      <c r="E2025" s="27"/>
      <c r="F2025" t="s">
        <v>26</v>
      </c>
      <c r="G2025" s="28">
        <f>IFERROR(VLOOKUP(F2025,CARTON_LOOKUP!$A:$E,3,0),"")</f>
      </c>
      <c r="H2025" s="28">
        <f>IFERROR(VLOOKUP(F2025,CARTON_LOOKUP!$A:$E,4,0),"")</f>
      </c>
      <c r="I2025" s="28">
        <f>IFERROR(VLOOKUP(F2025,CARTON_LOOKUP!$A:$E,5,0),"")</f>
      </c>
      <c r="J2025" s="29">
        <f>IFERROR(VLOOKUP(F2025,CARTON_LOOKUP!$A:$E,2,0),"")</f>
      </c>
      <c r="K2025" s="29">
        <f>IFERROR(J2025*D2025,0)</f>
      </c>
      <c r="L2025" s="29">
        <f>IFERROR(E2025*C2025,0)</f>
      </c>
      <c r="M2025" s="29">
        <f>IFERROR((G2025*H2025*I2025/1000000)*D2025,0)</f>
      </c>
    </row>
    <row r="2026" spans="1:13" x14ac:dyDescent="0.25">
      <c r="A2026" s="16"/>
      <c r="E2026" s="27"/>
      <c r="F2026" t="s">
        <v>26</v>
      </c>
      <c r="G2026" s="28">
        <f>IFERROR(VLOOKUP(F2026,CARTON_LOOKUP!$A:$E,3,0),"")</f>
      </c>
      <c r="H2026" s="28">
        <f>IFERROR(VLOOKUP(F2026,CARTON_LOOKUP!$A:$E,4,0),"")</f>
      </c>
      <c r="I2026" s="28">
        <f>IFERROR(VLOOKUP(F2026,CARTON_LOOKUP!$A:$E,5,0),"")</f>
      </c>
      <c r="J2026" s="29">
        <f>IFERROR(VLOOKUP(F2026,CARTON_LOOKUP!$A:$E,2,0),"")</f>
      </c>
      <c r="K2026" s="29">
        <f>IFERROR(J2026*D2026,0)</f>
      </c>
      <c r="L2026" s="29">
        <f>IFERROR(E2026*C2026,0)</f>
      </c>
      <c r="M2026" s="29">
        <f>IFERROR((G2026*H2026*I2026/1000000)*D2026,0)</f>
      </c>
    </row>
    <row r="2027" spans="1:13" x14ac:dyDescent="0.25">
      <c r="A2027" s="16"/>
      <c r="E2027" s="27"/>
      <c r="F2027" t="s">
        <v>26</v>
      </c>
      <c r="G2027" s="28">
        <f>IFERROR(VLOOKUP(F2027,CARTON_LOOKUP!$A:$E,3,0),"")</f>
      </c>
      <c r="H2027" s="28">
        <f>IFERROR(VLOOKUP(F2027,CARTON_LOOKUP!$A:$E,4,0),"")</f>
      </c>
      <c r="I2027" s="28">
        <f>IFERROR(VLOOKUP(F2027,CARTON_LOOKUP!$A:$E,5,0),"")</f>
      </c>
      <c r="J2027" s="29">
        <f>IFERROR(VLOOKUP(F2027,CARTON_LOOKUP!$A:$E,2,0),"")</f>
      </c>
      <c r="K2027" s="29">
        <f>IFERROR(J2027*D2027,0)</f>
      </c>
      <c r="L2027" s="29">
        <f>IFERROR(E2027*C2027,0)</f>
      </c>
      <c r="M2027" s="29">
        <f>IFERROR((G2027*H2027*I2027/1000000)*D2027,0)</f>
      </c>
    </row>
    <row r="2028" spans="1:13" x14ac:dyDescent="0.25">
      <c r="A2028" s="16"/>
      <c r="E2028" s="27"/>
      <c r="F2028" t="s">
        <v>26</v>
      </c>
      <c r="G2028" s="28">
        <f>IFERROR(VLOOKUP(F2028,CARTON_LOOKUP!$A:$E,3,0),"")</f>
      </c>
      <c r="H2028" s="28">
        <f>IFERROR(VLOOKUP(F2028,CARTON_LOOKUP!$A:$E,4,0),"")</f>
      </c>
      <c r="I2028" s="28">
        <f>IFERROR(VLOOKUP(F2028,CARTON_LOOKUP!$A:$E,5,0),"")</f>
      </c>
      <c r="J2028" s="29">
        <f>IFERROR(VLOOKUP(F2028,CARTON_LOOKUP!$A:$E,2,0),"")</f>
      </c>
      <c r="K2028" s="29">
        <f>IFERROR(J2028*D2028,0)</f>
      </c>
      <c r="L2028" s="29">
        <f>IFERROR(E2028*C2028,0)</f>
      </c>
      <c r="M2028" s="29">
        <f>IFERROR((G2028*H2028*I2028/1000000)*D2028,0)</f>
      </c>
    </row>
    <row r="2029" spans="1:13" x14ac:dyDescent="0.25">
      <c r="A2029" s="16"/>
      <c r="E2029" s="27"/>
      <c r="F2029" t="s">
        <v>26</v>
      </c>
      <c r="G2029" s="28">
        <f>IFERROR(VLOOKUP(F2029,CARTON_LOOKUP!$A:$E,3,0),"")</f>
      </c>
      <c r="H2029" s="28">
        <f>IFERROR(VLOOKUP(F2029,CARTON_LOOKUP!$A:$E,4,0),"")</f>
      </c>
      <c r="I2029" s="28">
        <f>IFERROR(VLOOKUP(F2029,CARTON_LOOKUP!$A:$E,5,0),"")</f>
      </c>
      <c r="J2029" s="29">
        <f>IFERROR(VLOOKUP(F2029,CARTON_LOOKUP!$A:$E,2,0),"")</f>
      </c>
      <c r="K2029" s="29">
        <f>IFERROR(J2029*D2029,0)</f>
      </c>
      <c r="L2029" s="29">
        <f>IFERROR(E2029*C2029,0)</f>
      </c>
      <c r="M2029" s="29">
        <f>IFERROR((G2029*H2029*I2029/1000000)*D2029,0)</f>
      </c>
    </row>
    <row r="2030" spans="1:13" x14ac:dyDescent="0.25">
      <c r="A2030" s="16"/>
      <c r="E2030" s="27"/>
      <c r="F2030" t="s">
        <v>26</v>
      </c>
      <c r="G2030" s="28">
        <f>IFERROR(VLOOKUP(F2030,CARTON_LOOKUP!$A:$E,3,0),"")</f>
      </c>
      <c r="H2030" s="28">
        <f>IFERROR(VLOOKUP(F2030,CARTON_LOOKUP!$A:$E,4,0),"")</f>
      </c>
      <c r="I2030" s="28">
        <f>IFERROR(VLOOKUP(F2030,CARTON_LOOKUP!$A:$E,5,0),"")</f>
      </c>
      <c r="J2030" s="29">
        <f>IFERROR(VLOOKUP(F2030,CARTON_LOOKUP!$A:$E,2,0),"")</f>
      </c>
      <c r="K2030" s="29">
        <f>IFERROR(J2030*D2030,0)</f>
      </c>
      <c r="L2030" s="29">
        <f>IFERROR(E2030*C2030,0)</f>
      </c>
      <c r="M2030" s="29">
        <f>IFERROR((G2030*H2030*I2030/1000000)*D2030,0)</f>
      </c>
    </row>
    <row r="2031" spans="1:13" x14ac:dyDescent="0.25">
      <c r="A2031" s="16"/>
      <c r="E2031" s="27"/>
      <c r="F2031" t="s">
        <v>26</v>
      </c>
      <c r="G2031" s="28">
        <f>IFERROR(VLOOKUP(F2031,CARTON_LOOKUP!$A:$E,3,0),"")</f>
      </c>
      <c r="H2031" s="28">
        <f>IFERROR(VLOOKUP(F2031,CARTON_LOOKUP!$A:$E,4,0),"")</f>
      </c>
      <c r="I2031" s="28">
        <f>IFERROR(VLOOKUP(F2031,CARTON_LOOKUP!$A:$E,5,0),"")</f>
      </c>
      <c r="J2031" s="29">
        <f>IFERROR(VLOOKUP(F2031,CARTON_LOOKUP!$A:$E,2,0),"")</f>
      </c>
      <c r="K2031" s="29">
        <f>IFERROR(J2031*D2031,0)</f>
      </c>
      <c r="L2031" s="29">
        <f>IFERROR(E2031*C2031,0)</f>
      </c>
      <c r="M2031" s="29">
        <f>IFERROR((G2031*H2031*I2031/1000000)*D2031,0)</f>
      </c>
    </row>
    <row r="2032" spans="1:13" x14ac:dyDescent="0.25">
      <c r="A2032" s="16"/>
      <c r="E2032" s="27"/>
      <c r="F2032" t="s">
        <v>26</v>
      </c>
      <c r="G2032" s="28">
        <f>IFERROR(VLOOKUP(F2032,CARTON_LOOKUP!$A:$E,3,0),"")</f>
      </c>
      <c r="H2032" s="28">
        <f>IFERROR(VLOOKUP(F2032,CARTON_LOOKUP!$A:$E,4,0),"")</f>
      </c>
      <c r="I2032" s="28">
        <f>IFERROR(VLOOKUP(F2032,CARTON_LOOKUP!$A:$E,5,0),"")</f>
      </c>
      <c r="J2032" s="29">
        <f>IFERROR(VLOOKUP(F2032,CARTON_LOOKUP!$A:$E,2,0),"")</f>
      </c>
      <c r="K2032" s="29">
        <f>IFERROR(J2032*D2032,0)</f>
      </c>
      <c r="L2032" s="29">
        <f>IFERROR(E2032*C2032,0)</f>
      </c>
      <c r="M2032" s="29">
        <f>IFERROR((G2032*H2032*I2032/1000000)*D2032,0)</f>
      </c>
    </row>
    <row r="2033" spans="1:13" x14ac:dyDescent="0.25">
      <c r="A2033" s="16"/>
      <c r="E2033" s="27"/>
      <c r="F2033" t="s">
        <v>26</v>
      </c>
      <c r="G2033" s="28">
        <f>IFERROR(VLOOKUP(F2033,CARTON_LOOKUP!$A:$E,3,0),"")</f>
      </c>
      <c r="H2033" s="28">
        <f>IFERROR(VLOOKUP(F2033,CARTON_LOOKUP!$A:$E,4,0),"")</f>
      </c>
      <c r="I2033" s="28">
        <f>IFERROR(VLOOKUP(F2033,CARTON_LOOKUP!$A:$E,5,0),"")</f>
      </c>
      <c r="J2033" s="29">
        <f>IFERROR(VLOOKUP(F2033,CARTON_LOOKUP!$A:$E,2,0),"")</f>
      </c>
      <c r="K2033" s="29">
        <f>IFERROR(J2033*D2033,0)</f>
      </c>
      <c r="L2033" s="29">
        <f>IFERROR(E2033*C2033,0)</f>
      </c>
      <c r="M2033" s="29">
        <f>IFERROR((G2033*H2033*I2033/1000000)*D2033,0)</f>
      </c>
    </row>
    <row r="2034" spans="1:13" x14ac:dyDescent="0.25">
      <c r="A2034" s="16"/>
      <c r="E2034" s="27"/>
      <c r="F2034" t="s">
        <v>26</v>
      </c>
      <c r="G2034" s="28">
        <f>IFERROR(VLOOKUP(F2034,CARTON_LOOKUP!$A:$E,3,0),"")</f>
      </c>
      <c r="H2034" s="28">
        <f>IFERROR(VLOOKUP(F2034,CARTON_LOOKUP!$A:$E,4,0),"")</f>
      </c>
      <c r="I2034" s="28">
        <f>IFERROR(VLOOKUP(F2034,CARTON_LOOKUP!$A:$E,5,0),"")</f>
      </c>
      <c r="J2034" s="29">
        <f>IFERROR(VLOOKUP(F2034,CARTON_LOOKUP!$A:$E,2,0),"")</f>
      </c>
      <c r="K2034" s="29">
        <f>IFERROR(J2034*D2034,0)</f>
      </c>
      <c r="L2034" s="29">
        <f>IFERROR(E2034*C2034,0)</f>
      </c>
      <c r="M2034" s="29">
        <f>IFERROR((G2034*H2034*I2034/1000000)*D2034,0)</f>
      </c>
    </row>
    <row r="2035" spans="1:13" x14ac:dyDescent="0.25">
      <c r="A2035" s="16"/>
      <c r="E2035" s="27"/>
      <c r="F2035" t="s">
        <v>26</v>
      </c>
      <c r="G2035" s="28">
        <f>IFERROR(VLOOKUP(F2035,CARTON_LOOKUP!$A:$E,3,0),"")</f>
      </c>
      <c r="H2035" s="28">
        <f>IFERROR(VLOOKUP(F2035,CARTON_LOOKUP!$A:$E,4,0),"")</f>
      </c>
      <c r="I2035" s="28">
        <f>IFERROR(VLOOKUP(F2035,CARTON_LOOKUP!$A:$E,5,0),"")</f>
      </c>
      <c r="J2035" s="29">
        <f>IFERROR(VLOOKUP(F2035,CARTON_LOOKUP!$A:$E,2,0),"")</f>
      </c>
      <c r="K2035" s="29">
        <f>IFERROR(J2035*D2035,0)</f>
      </c>
      <c r="L2035" s="29">
        <f>IFERROR(E2035*C2035,0)</f>
      </c>
      <c r="M2035" s="29">
        <f>IFERROR((G2035*H2035*I2035/1000000)*D2035,0)</f>
      </c>
    </row>
    <row r="2036" spans="1:13" x14ac:dyDescent="0.25">
      <c r="A2036" s="16"/>
      <c r="E2036" s="27"/>
      <c r="F2036" t="s">
        <v>26</v>
      </c>
      <c r="G2036" s="28">
        <f>IFERROR(VLOOKUP(F2036,CARTON_LOOKUP!$A:$E,3,0),"")</f>
      </c>
      <c r="H2036" s="28">
        <f>IFERROR(VLOOKUP(F2036,CARTON_LOOKUP!$A:$E,4,0),"")</f>
      </c>
      <c r="I2036" s="28">
        <f>IFERROR(VLOOKUP(F2036,CARTON_LOOKUP!$A:$E,5,0),"")</f>
      </c>
      <c r="J2036" s="29">
        <f>IFERROR(VLOOKUP(F2036,CARTON_LOOKUP!$A:$E,2,0),"")</f>
      </c>
      <c r="K2036" s="29">
        <f>IFERROR(J2036*D2036,0)</f>
      </c>
      <c r="L2036" s="29">
        <f>IFERROR(E2036*C2036,0)</f>
      </c>
      <c r="M2036" s="29">
        <f>IFERROR((G2036*H2036*I2036/1000000)*D2036,0)</f>
      </c>
    </row>
    <row r="2037" spans="1:13" x14ac:dyDescent="0.25">
      <c r="A2037" s="16"/>
      <c r="E2037" s="27"/>
      <c r="F2037" t="s">
        <v>26</v>
      </c>
      <c r="G2037" s="28">
        <f>IFERROR(VLOOKUP(F2037,CARTON_LOOKUP!$A:$E,3,0),"")</f>
      </c>
      <c r="H2037" s="28">
        <f>IFERROR(VLOOKUP(F2037,CARTON_LOOKUP!$A:$E,4,0),"")</f>
      </c>
      <c r="I2037" s="28">
        <f>IFERROR(VLOOKUP(F2037,CARTON_LOOKUP!$A:$E,5,0),"")</f>
      </c>
      <c r="J2037" s="29">
        <f>IFERROR(VLOOKUP(F2037,CARTON_LOOKUP!$A:$E,2,0),"")</f>
      </c>
      <c r="K2037" s="29">
        <f>IFERROR(J2037*D2037,0)</f>
      </c>
      <c r="L2037" s="29">
        <f>IFERROR(E2037*C2037,0)</f>
      </c>
      <c r="M2037" s="29">
        <f>IFERROR((G2037*H2037*I2037/1000000)*D2037,0)</f>
      </c>
    </row>
    <row r="2038" spans="1:13" x14ac:dyDescent="0.25">
      <c r="A2038" s="16"/>
      <c r="E2038" s="27"/>
      <c r="F2038" t="s">
        <v>26</v>
      </c>
      <c r="G2038" s="28">
        <f>IFERROR(VLOOKUP(F2038,CARTON_LOOKUP!$A:$E,3,0),"")</f>
      </c>
      <c r="H2038" s="28">
        <f>IFERROR(VLOOKUP(F2038,CARTON_LOOKUP!$A:$E,4,0),"")</f>
      </c>
      <c r="I2038" s="28">
        <f>IFERROR(VLOOKUP(F2038,CARTON_LOOKUP!$A:$E,5,0),"")</f>
      </c>
      <c r="J2038" s="29">
        <f>IFERROR(VLOOKUP(F2038,CARTON_LOOKUP!$A:$E,2,0),"")</f>
      </c>
      <c r="K2038" s="29">
        <f>IFERROR(J2038*D2038,0)</f>
      </c>
      <c r="L2038" s="29">
        <f>IFERROR(E2038*C2038,0)</f>
      </c>
      <c r="M2038" s="29">
        <f>IFERROR((G2038*H2038*I2038/1000000)*D2038,0)</f>
      </c>
    </row>
    <row r="2039" spans="1:13" x14ac:dyDescent="0.25">
      <c r="A2039" s="16"/>
      <c r="E2039" s="27"/>
      <c r="F2039" t="s">
        <v>26</v>
      </c>
      <c r="G2039" s="28">
        <f>IFERROR(VLOOKUP(F2039,CARTON_LOOKUP!$A:$E,3,0),"")</f>
      </c>
      <c r="H2039" s="28">
        <f>IFERROR(VLOOKUP(F2039,CARTON_LOOKUP!$A:$E,4,0),"")</f>
      </c>
      <c r="I2039" s="28">
        <f>IFERROR(VLOOKUP(F2039,CARTON_LOOKUP!$A:$E,5,0),"")</f>
      </c>
      <c r="J2039" s="29">
        <f>IFERROR(VLOOKUP(F2039,CARTON_LOOKUP!$A:$E,2,0),"")</f>
      </c>
      <c r="K2039" s="29">
        <f>IFERROR(J2039*D2039,0)</f>
      </c>
      <c r="L2039" s="29">
        <f>IFERROR(E2039*C2039,0)</f>
      </c>
      <c r="M2039" s="29">
        <f>IFERROR((G2039*H2039*I2039/1000000)*D2039,0)</f>
      </c>
    </row>
    <row r="2040" spans="1:13" x14ac:dyDescent="0.25">
      <c r="A2040" s="16"/>
      <c r="E2040" s="27"/>
      <c r="F2040" t="s">
        <v>26</v>
      </c>
      <c r="G2040" s="28">
        <f>IFERROR(VLOOKUP(F2040,CARTON_LOOKUP!$A:$E,3,0),"")</f>
      </c>
      <c r="H2040" s="28">
        <f>IFERROR(VLOOKUP(F2040,CARTON_LOOKUP!$A:$E,4,0),"")</f>
      </c>
      <c r="I2040" s="28">
        <f>IFERROR(VLOOKUP(F2040,CARTON_LOOKUP!$A:$E,5,0),"")</f>
      </c>
      <c r="J2040" s="29">
        <f>IFERROR(VLOOKUP(F2040,CARTON_LOOKUP!$A:$E,2,0),"")</f>
      </c>
      <c r="K2040" s="29">
        <f>IFERROR(J2040*D2040,0)</f>
      </c>
      <c r="L2040" s="29">
        <f>IFERROR(E2040*C2040,0)</f>
      </c>
      <c r="M2040" s="29">
        <f>IFERROR((G2040*H2040*I2040/1000000)*D2040,0)</f>
      </c>
    </row>
    <row r="2041" spans="1:13" x14ac:dyDescent="0.25">
      <c r="A2041" s="16"/>
      <c r="E2041" s="27"/>
      <c r="F2041" t="s">
        <v>26</v>
      </c>
      <c r="G2041" s="28">
        <f>IFERROR(VLOOKUP(F2041,CARTON_LOOKUP!$A:$E,3,0),"")</f>
      </c>
      <c r="H2041" s="28">
        <f>IFERROR(VLOOKUP(F2041,CARTON_LOOKUP!$A:$E,4,0),"")</f>
      </c>
      <c r="I2041" s="28">
        <f>IFERROR(VLOOKUP(F2041,CARTON_LOOKUP!$A:$E,5,0),"")</f>
      </c>
      <c r="J2041" s="29">
        <f>IFERROR(VLOOKUP(F2041,CARTON_LOOKUP!$A:$E,2,0),"")</f>
      </c>
      <c r="K2041" s="29">
        <f>IFERROR(J2041*D2041,0)</f>
      </c>
      <c r="L2041" s="29">
        <f>IFERROR(E2041*C2041,0)</f>
      </c>
      <c r="M2041" s="29">
        <f>IFERROR((G2041*H2041*I2041/1000000)*D2041,0)</f>
      </c>
    </row>
    <row r="2042" spans="1:13" x14ac:dyDescent="0.25">
      <c r="A2042" s="16"/>
      <c r="E2042" s="27"/>
      <c r="F2042" t="s">
        <v>26</v>
      </c>
      <c r="G2042" s="28">
        <f>IFERROR(VLOOKUP(F2042,CARTON_LOOKUP!$A:$E,3,0),"")</f>
      </c>
      <c r="H2042" s="28">
        <f>IFERROR(VLOOKUP(F2042,CARTON_LOOKUP!$A:$E,4,0),"")</f>
      </c>
      <c r="I2042" s="28">
        <f>IFERROR(VLOOKUP(F2042,CARTON_LOOKUP!$A:$E,5,0),"")</f>
      </c>
      <c r="J2042" s="29">
        <f>IFERROR(VLOOKUP(F2042,CARTON_LOOKUP!$A:$E,2,0),"")</f>
      </c>
      <c r="K2042" s="29">
        <f>IFERROR(J2042*D2042,0)</f>
      </c>
      <c r="L2042" s="29">
        <f>IFERROR(E2042*C2042,0)</f>
      </c>
      <c r="M2042" s="29">
        <f>IFERROR((G2042*H2042*I2042/1000000)*D2042,0)</f>
      </c>
    </row>
    <row r="2043" spans="1:13" x14ac:dyDescent="0.25">
      <c r="A2043" s="16"/>
      <c r="E2043" s="27"/>
      <c r="F2043" t="s">
        <v>26</v>
      </c>
      <c r="G2043" s="28">
        <f>IFERROR(VLOOKUP(F2043,CARTON_LOOKUP!$A:$E,3,0),"")</f>
      </c>
      <c r="H2043" s="28">
        <f>IFERROR(VLOOKUP(F2043,CARTON_LOOKUP!$A:$E,4,0),"")</f>
      </c>
      <c r="I2043" s="28">
        <f>IFERROR(VLOOKUP(F2043,CARTON_LOOKUP!$A:$E,5,0),"")</f>
      </c>
      <c r="J2043" s="29">
        <f>IFERROR(VLOOKUP(F2043,CARTON_LOOKUP!$A:$E,2,0),"")</f>
      </c>
      <c r="K2043" s="29">
        <f>IFERROR(J2043*D2043,0)</f>
      </c>
      <c r="L2043" s="29">
        <f>IFERROR(E2043*C2043,0)</f>
      </c>
      <c r="M2043" s="29">
        <f>IFERROR((G2043*H2043*I2043/1000000)*D2043,0)</f>
      </c>
    </row>
    <row r="2044" spans="1:13" x14ac:dyDescent="0.25">
      <c r="A2044" s="16"/>
      <c r="E2044" s="27"/>
      <c r="F2044" t="s">
        <v>26</v>
      </c>
      <c r="G2044" s="28">
        <f>IFERROR(VLOOKUP(F2044,CARTON_LOOKUP!$A:$E,3,0),"")</f>
      </c>
      <c r="H2044" s="28">
        <f>IFERROR(VLOOKUP(F2044,CARTON_LOOKUP!$A:$E,4,0),"")</f>
      </c>
      <c r="I2044" s="28">
        <f>IFERROR(VLOOKUP(F2044,CARTON_LOOKUP!$A:$E,5,0),"")</f>
      </c>
      <c r="J2044" s="29">
        <f>IFERROR(VLOOKUP(F2044,CARTON_LOOKUP!$A:$E,2,0),"")</f>
      </c>
      <c r="K2044" s="29">
        <f>IFERROR(J2044*D2044,0)</f>
      </c>
      <c r="L2044" s="29">
        <f>IFERROR(E2044*C2044,0)</f>
      </c>
      <c r="M2044" s="29">
        <f>IFERROR((G2044*H2044*I2044/1000000)*D2044,0)</f>
      </c>
    </row>
    <row r="2045" spans="1:13" x14ac:dyDescent="0.25">
      <c r="A2045" s="16"/>
      <c r="E2045" s="27"/>
      <c r="F2045" t="s">
        <v>26</v>
      </c>
      <c r="G2045" s="28">
        <f>IFERROR(VLOOKUP(F2045,CARTON_LOOKUP!$A:$E,3,0),"")</f>
      </c>
      <c r="H2045" s="28">
        <f>IFERROR(VLOOKUP(F2045,CARTON_LOOKUP!$A:$E,4,0),"")</f>
      </c>
      <c r="I2045" s="28">
        <f>IFERROR(VLOOKUP(F2045,CARTON_LOOKUP!$A:$E,5,0),"")</f>
      </c>
      <c r="J2045" s="29">
        <f>IFERROR(VLOOKUP(F2045,CARTON_LOOKUP!$A:$E,2,0),"")</f>
      </c>
      <c r="K2045" s="29">
        <f>IFERROR(J2045*D2045,0)</f>
      </c>
      <c r="L2045" s="29">
        <f>IFERROR(E2045*C2045,0)</f>
      </c>
      <c r="M2045" s="29">
        <f>IFERROR((G2045*H2045*I2045/1000000)*D2045,0)</f>
      </c>
    </row>
    <row r="2046" spans="1:13" x14ac:dyDescent="0.25">
      <c r="A2046" s="16"/>
      <c r="E2046" s="27"/>
      <c r="F2046" t="s">
        <v>26</v>
      </c>
      <c r="G2046" s="28">
        <f>IFERROR(VLOOKUP(F2046,CARTON_LOOKUP!$A:$E,3,0),"")</f>
      </c>
      <c r="H2046" s="28">
        <f>IFERROR(VLOOKUP(F2046,CARTON_LOOKUP!$A:$E,4,0),"")</f>
      </c>
      <c r="I2046" s="28">
        <f>IFERROR(VLOOKUP(F2046,CARTON_LOOKUP!$A:$E,5,0),"")</f>
      </c>
      <c r="J2046" s="29">
        <f>IFERROR(VLOOKUP(F2046,CARTON_LOOKUP!$A:$E,2,0),"")</f>
      </c>
      <c r="K2046" s="29">
        <f>IFERROR(J2046*D2046,0)</f>
      </c>
      <c r="L2046" s="29">
        <f>IFERROR(E2046*C2046,0)</f>
      </c>
      <c r="M2046" s="29">
        <f>IFERROR((G2046*H2046*I2046/1000000)*D2046,0)</f>
      </c>
    </row>
    <row r="2047" spans="1:13" x14ac:dyDescent="0.25">
      <c r="A2047" s="16"/>
      <c r="E2047" s="27"/>
      <c r="F2047" t="s">
        <v>26</v>
      </c>
      <c r="G2047" s="28">
        <f>IFERROR(VLOOKUP(F2047,CARTON_LOOKUP!$A:$E,3,0),"")</f>
      </c>
      <c r="H2047" s="28">
        <f>IFERROR(VLOOKUP(F2047,CARTON_LOOKUP!$A:$E,4,0),"")</f>
      </c>
      <c r="I2047" s="28">
        <f>IFERROR(VLOOKUP(F2047,CARTON_LOOKUP!$A:$E,5,0),"")</f>
      </c>
      <c r="J2047" s="29">
        <f>IFERROR(VLOOKUP(F2047,CARTON_LOOKUP!$A:$E,2,0),"")</f>
      </c>
      <c r="K2047" s="29">
        <f>IFERROR(J2047*D2047,0)</f>
      </c>
      <c r="L2047" s="29">
        <f>IFERROR(E2047*C2047,0)</f>
      </c>
      <c r="M2047" s="29">
        <f>IFERROR((G2047*H2047*I2047/1000000)*D2047,0)</f>
      </c>
    </row>
    <row r="2048" spans="1:13" x14ac:dyDescent="0.25">
      <c r="A2048" s="16"/>
      <c r="E2048" s="27"/>
      <c r="F2048" t="s">
        <v>26</v>
      </c>
      <c r="G2048" s="28">
        <f>IFERROR(VLOOKUP(F2048,CARTON_LOOKUP!$A:$E,3,0),"")</f>
      </c>
      <c r="H2048" s="28">
        <f>IFERROR(VLOOKUP(F2048,CARTON_LOOKUP!$A:$E,4,0),"")</f>
      </c>
      <c r="I2048" s="28">
        <f>IFERROR(VLOOKUP(F2048,CARTON_LOOKUP!$A:$E,5,0),"")</f>
      </c>
      <c r="J2048" s="29">
        <f>IFERROR(VLOOKUP(F2048,CARTON_LOOKUP!$A:$E,2,0),"")</f>
      </c>
      <c r="K2048" s="29">
        <f>IFERROR(J2048*D2048,0)</f>
      </c>
      <c r="L2048" s="29">
        <f>IFERROR(E2048*C2048,0)</f>
      </c>
      <c r="M2048" s="29">
        <f>IFERROR((G2048*H2048*I2048/1000000)*D2048,0)</f>
      </c>
    </row>
    <row r="2049" spans="1:13" x14ac:dyDescent="0.25">
      <c r="A2049" s="16"/>
      <c r="E2049" s="27"/>
      <c r="F2049" t="s">
        <v>26</v>
      </c>
      <c r="G2049" s="28">
        <f>IFERROR(VLOOKUP(F2049,CARTON_LOOKUP!$A:$E,3,0),"")</f>
      </c>
      <c r="H2049" s="28">
        <f>IFERROR(VLOOKUP(F2049,CARTON_LOOKUP!$A:$E,4,0),"")</f>
      </c>
      <c r="I2049" s="28">
        <f>IFERROR(VLOOKUP(F2049,CARTON_LOOKUP!$A:$E,5,0),"")</f>
      </c>
      <c r="J2049" s="29">
        <f>IFERROR(VLOOKUP(F2049,CARTON_LOOKUP!$A:$E,2,0),"")</f>
      </c>
      <c r="K2049" s="29">
        <f>IFERROR(J2049*D2049,0)</f>
      </c>
      <c r="L2049" s="29">
        <f>IFERROR(E2049*C2049,0)</f>
      </c>
      <c r="M2049" s="29">
        <f>IFERROR((G2049*H2049*I2049/1000000)*D2049,0)</f>
      </c>
    </row>
    <row r="2050" spans="1:13" x14ac:dyDescent="0.25">
      <c r="A2050" s="16"/>
      <c r="E2050" s="27"/>
      <c r="F2050" t="s">
        <v>26</v>
      </c>
      <c r="G2050" s="28">
        <f>IFERROR(VLOOKUP(F2050,CARTON_LOOKUP!$A:$E,3,0),"")</f>
      </c>
      <c r="H2050" s="28">
        <f>IFERROR(VLOOKUP(F2050,CARTON_LOOKUP!$A:$E,4,0),"")</f>
      </c>
      <c r="I2050" s="28">
        <f>IFERROR(VLOOKUP(F2050,CARTON_LOOKUP!$A:$E,5,0),"")</f>
      </c>
      <c r="J2050" s="29">
        <f>IFERROR(VLOOKUP(F2050,CARTON_LOOKUP!$A:$E,2,0),"")</f>
      </c>
      <c r="K2050" s="29">
        <f>IFERROR(J2050*D2050,0)</f>
      </c>
      <c r="L2050" s="29">
        <f>IFERROR(E2050*C2050,0)</f>
      </c>
      <c r="M2050" s="29">
        <f>IFERROR((G2050*H2050*I2050/1000000)*D2050,0)</f>
      </c>
    </row>
    <row r="2051" spans="1:13" x14ac:dyDescent="0.25">
      <c r="A2051" s="16"/>
      <c r="E2051" s="27"/>
      <c r="F2051" t="s">
        <v>26</v>
      </c>
      <c r="G2051" s="28">
        <f>IFERROR(VLOOKUP(F2051,CARTON_LOOKUP!$A:$E,3,0),"")</f>
      </c>
      <c r="H2051" s="28">
        <f>IFERROR(VLOOKUP(F2051,CARTON_LOOKUP!$A:$E,4,0),"")</f>
      </c>
      <c r="I2051" s="28">
        <f>IFERROR(VLOOKUP(F2051,CARTON_LOOKUP!$A:$E,5,0),"")</f>
      </c>
      <c r="J2051" s="29">
        <f>IFERROR(VLOOKUP(F2051,CARTON_LOOKUP!$A:$E,2,0),"")</f>
      </c>
      <c r="K2051" s="29">
        <f>IFERROR(J2051*D2051,0)</f>
      </c>
      <c r="L2051" s="29">
        <f>IFERROR(E2051*C2051,0)</f>
      </c>
      <c r="M2051" s="29">
        <f>IFERROR((G2051*H2051*I2051/1000000)*D2051,0)</f>
      </c>
    </row>
    <row r="2052" spans="1:13" x14ac:dyDescent="0.25">
      <c r="A2052" s="16"/>
      <c r="E2052" s="27"/>
      <c r="F2052" t="s">
        <v>26</v>
      </c>
      <c r="G2052" s="28">
        <f>IFERROR(VLOOKUP(F2052,CARTON_LOOKUP!$A:$E,3,0),"")</f>
      </c>
      <c r="H2052" s="28">
        <f>IFERROR(VLOOKUP(F2052,CARTON_LOOKUP!$A:$E,4,0),"")</f>
      </c>
      <c r="I2052" s="28">
        <f>IFERROR(VLOOKUP(F2052,CARTON_LOOKUP!$A:$E,5,0),"")</f>
      </c>
      <c r="J2052" s="29">
        <f>IFERROR(VLOOKUP(F2052,CARTON_LOOKUP!$A:$E,2,0),"")</f>
      </c>
      <c r="K2052" s="29">
        <f>IFERROR(J2052*D2052,0)</f>
      </c>
      <c r="L2052" s="29">
        <f>IFERROR(E2052*C2052,0)</f>
      </c>
      <c r="M2052" s="29">
        <f>IFERROR((G2052*H2052*I2052/1000000)*D2052,0)</f>
      </c>
    </row>
    <row r="2053" spans="1:13" x14ac:dyDescent="0.25">
      <c r="A2053" s="16"/>
      <c r="E2053" s="27"/>
      <c r="F2053" t="s">
        <v>26</v>
      </c>
      <c r="G2053" s="28">
        <f>IFERROR(VLOOKUP(F2053,CARTON_LOOKUP!$A:$E,3,0),"")</f>
      </c>
      <c r="H2053" s="28">
        <f>IFERROR(VLOOKUP(F2053,CARTON_LOOKUP!$A:$E,4,0),"")</f>
      </c>
      <c r="I2053" s="28">
        <f>IFERROR(VLOOKUP(F2053,CARTON_LOOKUP!$A:$E,5,0),"")</f>
      </c>
      <c r="J2053" s="29">
        <f>IFERROR(VLOOKUP(F2053,CARTON_LOOKUP!$A:$E,2,0),"")</f>
      </c>
      <c r="K2053" s="29">
        <f>IFERROR(J2053*D2053,0)</f>
      </c>
      <c r="L2053" s="29">
        <f>IFERROR(E2053*C2053,0)</f>
      </c>
      <c r="M2053" s="29">
        <f>IFERROR((G2053*H2053*I2053/1000000)*D2053,0)</f>
      </c>
    </row>
    <row r="2054" spans="1:13" x14ac:dyDescent="0.25">
      <c r="A2054" s="16"/>
      <c r="E2054" s="27"/>
      <c r="F2054" t="s">
        <v>26</v>
      </c>
      <c r="G2054" s="28">
        <f>IFERROR(VLOOKUP(F2054,CARTON_LOOKUP!$A:$E,3,0),"")</f>
      </c>
      <c r="H2054" s="28">
        <f>IFERROR(VLOOKUP(F2054,CARTON_LOOKUP!$A:$E,4,0),"")</f>
      </c>
      <c r="I2054" s="28">
        <f>IFERROR(VLOOKUP(F2054,CARTON_LOOKUP!$A:$E,5,0),"")</f>
      </c>
      <c r="J2054" s="29">
        <f>IFERROR(VLOOKUP(F2054,CARTON_LOOKUP!$A:$E,2,0),"")</f>
      </c>
      <c r="K2054" s="29">
        <f>IFERROR(J2054*D2054,0)</f>
      </c>
      <c r="L2054" s="29">
        <f>IFERROR(E2054*C2054,0)</f>
      </c>
      <c r="M2054" s="29">
        <f>IFERROR((G2054*H2054*I2054/1000000)*D2054,0)</f>
      </c>
    </row>
    <row r="2055" spans="1:13" x14ac:dyDescent="0.25">
      <c r="A2055" s="16"/>
      <c r="E2055" s="27"/>
      <c r="F2055" t="s">
        <v>26</v>
      </c>
      <c r="G2055" s="28">
        <f>IFERROR(VLOOKUP(F2055,CARTON_LOOKUP!$A:$E,3,0),"")</f>
      </c>
      <c r="H2055" s="28">
        <f>IFERROR(VLOOKUP(F2055,CARTON_LOOKUP!$A:$E,4,0),"")</f>
      </c>
      <c r="I2055" s="28">
        <f>IFERROR(VLOOKUP(F2055,CARTON_LOOKUP!$A:$E,5,0),"")</f>
      </c>
      <c r="J2055" s="29">
        <f>IFERROR(VLOOKUP(F2055,CARTON_LOOKUP!$A:$E,2,0),"")</f>
      </c>
      <c r="K2055" s="29">
        <f>IFERROR(J2055*D2055,0)</f>
      </c>
      <c r="L2055" s="29">
        <f>IFERROR(E2055*C2055,0)</f>
      </c>
      <c r="M2055" s="29">
        <f>IFERROR((G2055*H2055*I2055/1000000)*D2055,0)</f>
      </c>
    </row>
    <row r="2056" spans="1:13" x14ac:dyDescent="0.25">
      <c r="A2056" s="16"/>
      <c r="E2056" s="27"/>
      <c r="F2056" t="s">
        <v>26</v>
      </c>
      <c r="G2056" s="28">
        <f>IFERROR(VLOOKUP(F2056,CARTON_LOOKUP!$A:$E,3,0),"")</f>
      </c>
      <c r="H2056" s="28">
        <f>IFERROR(VLOOKUP(F2056,CARTON_LOOKUP!$A:$E,4,0),"")</f>
      </c>
      <c r="I2056" s="28">
        <f>IFERROR(VLOOKUP(F2056,CARTON_LOOKUP!$A:$E,5,0),"")</f>
      </c>
      <c r="J2056" s="29">
        <f>IFERROR(VLOOKUP(F2056,CARTON_LOOKUP!$A:$E,2,0),"")</f>
      </c>
      <c r="K2056" s="29">
        <f>IFERROR(J2056*D2056,0)</f>
      </c>
      <c r="L2056" s="29">
        <f>IFERROR(E2056*C2056,0)</f>
      </c>
      <c r="M2056" s="29">
        <f>IFERROR((G2056*H2056*I2056/1000000)*D2056,0)</f>
      </c>
    </row>
    <row r="2057" spans="1:13" x14ac:dyDescent="0.25">
      <c r="A2057" s="16"/>
      <c r="E2057" s="27"/>
      <c r="F2057" t="s">
        <v>26</v>
      </c>
      <c r="G2057" s="28">
        <f>IFERROR(VLOOKUP(F2057,CARTON_LOOKUP!$A:$E,3,0),"")</f>
      </c>
      <c r="H2057" s="28">
        <f>IFERROR(VLOOKUP(F2057,CARTON_LOOKUP!$A:$E,4,0),"")</f>
      </c>
      <c r="I2057" s="28">
        <f>IFERROR(VLOOKUP(F2057,CARTON_LOOKUP!$A:$E,5,0),"")</f>
      </c>
      <c r="J2057" s="29">
        <f>IFERROR(VLOOKUP(F2057,CARTON_LOOKUP!$A:$E,2,0),"")</f>
      </c>
      <c r="K2057" s="29">
        <f>IFERROR(J2057*D2057,0)</f>
      </c>
      <c r="L2057" s="29">
        <f>IFERROR(E2057*C2057,0)</f>
      </c>
      <c r="M2057" s="29">
        <f>IFERROR((G2057*H2057*I2057/1000000)*D2057,0)</f>
      </c>
    </row>
    <row r="2058" spans="1:13" x14ac:dyDescent="0.25">
      <c r="A2058" s="16"/>
      <c r="E2058" s="27"/>
      <c r="F2058" t="s">
        <v>26</v>
      </c>
      <c r="G2058" s="28">
        <f>IFERROR(VLOOKUP(F2058,CARTON_LOOKUP!$A:$E,3,0),"")</f>
      </c>
      <c r="H2058" s="28">
        <f>IFERROR(VLOOKUP(F2058,CARTON_LOOKUP!$A:$E,4,0),"")</f>
      </c>
      <c r="I2058" s="28">
        <f>IFERROR(VLOOKUP(F2058,CARTON_LOOKUP!$A:$E,5,0),"")</f>
      </c>
      <c r="J2058" s="29">
        <f>IFERROR(VLOOKUP(F2058,CARTON_LOOKUP!$A:$E,2,0),"")</f>
      </c>
      <c r="K2058" s="29">
        <f>IFERROR(J2058*D2058,0)</f>
      </c>
      <c r="L2058" s="29">
        <f>IFERROR(E2058*C2058,0)</f>
      </c>
      <c r="M2058" s="29">
        <f>IFERROR((G2058*H2058*I2058/1000000)*D2058,0)</f>
      </c>
    </row>
    <row r="2059" spans="1:13" x14ac:dyDescent="0.25">
      <c r="A2059" s="16"/>
      <c r="E2059" s="27"/>
      <c r="F2059" t="s">
        <v>26</v>
      </c>
      <c r="G2059" s="28">
        <f>IFERROR(VLOOKUP(F2059,CARTON_LOOKUP!$A:$E,3,0),"")</f>
      </c>
      <c r="H2059" s="28">
        <f>IFERROR(VLOOKUP(F2059,CARTON_LOOKUP!$A:$E,4,0),"")</f>
      </c>
      <c r="I2059" s="28">
        <f>IFERROR(VLOOKUP(F2059,CARTON_LOOKUP!$A:$E,5,0),"")</f>
      </c>
      <c r="J2059" s="29">
        <f>IFERROR(VLOOKUP(F2059,CARTON_LOOKUP!$A:$E,2,0),"")</f>
      </c>
      <c r="K2059" s="29">
        <f>IFERROR(J2059*D2059,0)</f>
      </c>
      <c r="L2059" s="29">
        <f>IFERROR(E2059*C2059,0)</f>
      </c>
      <c r="M2059" s="29">
        <f>IFERROR((G2059*H2059*I2059/1000000)*D2059,0)</f>
      </c>
    </row>
    <row r="2060" spans="1:13" x14ac:dyDescent="0.25">
      <c r="A2060" s="16"/>
      <c r="E2060" s="27"/>
      <c r="F2060" t="s">
        <v>26</v>
      </c>
      <c r="G2060" s="28">
        <f>IFERROR(VLOOKUP(F2060,CARTON_LOOKUP!$A:$E,3,0),"")</f>
      </c>
      <c r="H2060" s="28">
        <f>IFERROR(VLOOKUP(F2060,CARTON_LOOKUP!$A:$E,4,0),"")</f>
      </c>
      <c r="I2060" s="28">
        <f>IFERROR(VLOOKUP(F2060,CARTON_LOOKUP!$A:$E,5,0),"")</f>
      </c>
      <c r="J2060" s="29">
        <f>IFERROR(VLOOKUP(F2060,CARTON_LOOKUP!$A:$E,2,0),"")</f>
      </c>
      <c r="K2060" s="29">
        <f>IFERROR(J2060*D2060,0)</f>
      </c>
      <c r="L2060" s="29">
        <f>IFERROR(E2060*C2060,0)</f>
      </c>
      <c r="M2060" s="29">
        <f>IFERROR((G2060*H2060*I2060/1000000)*D2060,0)</f>
      </c>
    </row>
    <row r="2061" spans="1:13" x14ac:dyDescent="0.25">
      <c r="A2061" s="16"/>
      <c r="E2061" s="27"/>
      <c r="F2061" t="s">
        <v>26</v>
      </c>
      <c r="G2061" s="28">
        <f>IFERROR(VLOOKUP(F2061,CARTON_LOOKUP!$A:$E,3,0),"")</f>
      </c>
      <c r="H2061" s="28">
        <f>IFERROR(VLOOKUP(F2061,CARTON_LOOKUP!$A:$E,4,0),"")</f>
      </c>
      <c r="I2061" s="28">
        <f>IFERROR(VLOOKUP(F2061,CARTON_LOOKUP!$A:$E,5,0),"")</f>
      </c>
      <c r="J2061" s="29">
        <f>IFERROR(VLOOKUP(F2061,CARTON_LOOKUP!$A:$E,2,0),"")</f>
      </c>
      <c r="K2061" s="29">
        <f>IFERROR(J2061*D2061,0)</f>
      </c>
      <c r="L2061" s="29">
        <f>IFERROR(E2061*C2061,0)</f>
      </c>
      <c r="M2061" s="29">
        <f>IFERROR((G2061*H2061*I2061/1000000)*D2061,0)</f>
      </c>
    </row>
    <row r="2062" spans="1:13" x14ac:dyDescent="0.25">
      <c r="A2062" s="16"/>
      <c r="E2062" s="27"/>
      <c r="F2062" t="s">
        <v>26</v>
      </c>
      <c r="G2062" s="28">
        <f>IFERROR(VLOOKUP(F2062,CARTON_LOOKUP!$A:$E,3,0),"")</f>
      </c>
      <c r="H2062" s="28">
        <f>IFERROR(VLOOKUP(F2062,CARTON_LOOKUP!$A:$E,4,0),"")</f>
      </c>
      <c r="I2062" s="28">
        <f>IFERROR(VLOOKUP(F2062,CARTON_LOOKUP!$A:$E,5,0),"")</f>
      </c>
      <c r="J2062" s="29">
        <f>IFERROR(VLOOKUP(F2062,CARTON_LOOKUP!$A:$E,2,0),"")</f>
      </c>
      <c r="K2062" s="29">
        <f>IFERROR(J2062*D2062,0)</f>
      </c>
      <c r="L2062" s="29">
        <f>IFERROR(E2062*C2062,0)</f>
      </c>
      <c r="M2062" s="29">
        <f>IFERROR((G2062*H2062*I2062/1000000)*D2062,0)</f>
      </c>
    </row>
    <row r="2063" spans="1:13" x14ac:dyDescent="0.25">
      <c r="A2063" s="16"/>
      <c r="E2063" s="27"/>
      <c r="F2063" t="s">
        <v>26</v>
      </c>
      <c r="G2063" s="28">
        <f>IFERROR(VLOOKUP(F2063,CARTON_LOOKUP!$A:$E,3,0),"")</f>
      </c>
      <c r="H2063" s="28">
        <f>IFERROR(VLOOKUP(F2063,CARTON_LOOKUP!$A:$E,4,0),"")</f>
      </c>
      <c r="I2063" s="28">
        <f>IFERROR(VLOOKUP(F2063,CARTON_LOOKUP!$A:$E,5,0),"")</f>
      </c>
      <c r="J2063" s="29">
        <f>IFERROR(VLOOKUP(F2063,CARTON_LOOKUP!$A:$E,2,0),"")</f>
      </c>
      <c r="K2063" s="29">
        <f>IFERROR(J2063*D2063,0)</f>
      </c>
      <c r="L2063" s="29">
        <f>IFERROR(E2063*C2063,0)</f>
      </c>
      <c r="M2063" s="29">
        <f>IFERROR((G2063*H2063*I2063/1000000)*D2063,0)</f>
      </c>
    </row>
    <row r="2064" spans="1:13" x14ac:dyDescent="0.25">
      <c r="A2064" s="16"/>
      <c r="E2064" s="27"/>
      <c r="F2064" t="s">
        <v>26</v>
      </c>
      <c r="G2064" s="28">
        <f>IFERROR(VLOOKUP(F2064,CARTON_LOOKUP!$A:$E,3,0),"")</f>
      </c>
      <c r="H2064" s="28">
        <f>IFERROR(VLOOKUP(F2064,CARTON_LOOKUP!$A:$E,4,0),"")</f>
      </c>
      <c r="I2064" s="28">
        <f>IFERROR(VLOOKUP(F2064,CARTON_LOOKUP!$A:$E,5,0),"")</f>
      </c>
      <c r="J2064" s="29">
        <f>IFERROR(VLOOKUP(F2064,CARTON_LOOKUP!$A:$E,2,0),"")</f>
      </c>
      <c r="K2064" s="29">
        <f>IFERROR(J2064*D2064,0)</f>
      </c>
      <c r="L2064" s="29">
        <f>IFERROR(E2064*C2064,0)</f>
      </c>
      <c r="M2064" s="29">
        <f>IFERROR((G2064*H2064*I2064/1000000)*D2064,0)</f>
      </c>
    </row>
    <row r="2065" spans="1:13" x14ac:dyDescent="0.25">
      <c r="A2065" s="16"/>
      <c r="E2065" s="27"/>
      <c r="F2065" t="s">
        <v>26</v>
      </c>
      <c r="G2065" s="28">
        <f>IFERROR(VLOOKUP(F2065,CARTON_LOOKUP!$A:$E,3,0),"")</f>
      </c>
      <c r="H2065" s="28">
        <f>IFERROR(VLOOKUP(F2065,CARTON_LOOKUP!$A:$E,4,0),"")</f>
      </c>
      <c r="I2065" s="28">
        <f>IFERROR(VLOOKUP(F2065,CARTON_LOOKUP!$A:$E,5,0),"")</f>
      </c>
      <c r="J2065" s="29">
        <f>IFERROR(VLOOKUP(F2065,CARTON_LOOKUP!$A:$E,2,0),"")</f>
      </c>
      <c r="K2065" s="29">
        <f>IFERROR(J2065*D2065,0)</f>
      </c>
      <c r="L2065" s="29">
        <f>IFERROR(E2065*C2065,0)</f>
      </c>
      <c r="M2065" s="29">
        <f>IFERROR((G2065*H2065*I2065/1000000)*D2065,0)</f>
      </c>
    </row>
    <row r="2066" spans="1:13" x14ac:dyDescent="0.25">
      <c r="A2066" s="16"/>
      <c r="E2066" s="27"/>
      <c r="F2066" t="s">
        <v>26</v>
      </c>
      <c r="G2066" s="28">
        <f>IFERROR(VLOOKUP(F2066,CARTON_LOOKUP!$A:$E,3,0),"")</f>
      </c>
      <c r="H2066" s="28">
        <f>IFERROR(VLOOKUP(F2066,CARTON_LOOKUP!$A:$E,4,0),"")</f>
      </c>
      <c r="I2066" s="28">
        <f>IFERROR(VLOOKUP(F2066,CARTON_LOOKUP!$A:$E,5,0),"")</f>
      </c>
      <c r="J2066" s="29">
        <f>IFERROR(VLOOKUP(F2066,CARTON_LOOKUP!$A:$E,2,0),"")</f>
      </c>
      <c r="K2066" s="29">
        <f>IFERROR(J2066*D2066,0)</f>
      </c>
      <c r="L2066" s="29">
        <f>IFERROR(E2066*C2066,0)</f>
      </c>
      <c r="M2066" s="29">
        <f>IFERROR((G2066*H2066*I2066/1000000)*D2066,0)</f>
      </c>
    </row>
    <row r="2067" spans="1:13" x14ac:dyDescent="0.25">
      <c r="A2067" s="16"/>
      <c r="E2067" s="27"/>
      <c r="F2067" t="s">
        <v>26</v>
      </c>
      <c r="G2067" s="28">
        <f>IFERROR(VLOOKUP(F2067,CARTON_LOOKUP!$A:$E,3,0),"")</f>
      </c>
      <c r="H2067" s="28">
        <f>IFERROR(VLOOKUP(F2067,CARTON_LOOKUP!$A:$E,4,0),"")</f>
      </c>
      <c r="I2067" s="28">
        <f>IFERROR(VLOOKUP(F2067,CARTON_LOOKUP!$A:$E,5,0),"")</f>
      </c>
      <c r="J2067" s="29">
        <f>IFERROR(VLOOKUP(F2067,CARTON_LOOKUP!$A:$E,2,0),"")</f>
      </c>
      <c r="K2067" s="29">
        <f>IFERROR(J2067*D2067,0)</f>
      </c>
      <c r="L2067" s="29">
        <f>IFERROR(E2067*C2067,0)</f>
      </c>
      <c r="M2067" s="29">
        <f>IFERROR((G2067*H2067*I2067/1000000)*D2067,0)</f>
      </c>
    </row>
    <row r="2068" spans="1:13" x14ac:dyDescent="0.25">
      <c r="A2068" s="16"/>
      <c r="E2068" s="27"/>
      <c r="F2068" t="s">
        <v>26</v>
      </c>
      <c r="G2068" s="28">
        <f>IFERROR(VLOOKUP(F2068,CARTON_LOOKUP!$A:$E,3,0),"")</f>
      </c>
      <c r="H2068" s="28">
        <f>IFERROR(VLOOKUP(F2068,CARTON_LOOKUP!$A:$E,4,0),"")</f>
      </c>
      <c r="I2068" s="28">
        <f>IFERROR(VLOOKUP(F2068,CARTON_LOOKUP!$A:$E,5,0),"")</f>
      </c>
      <c r="J2068" s="29">
        <f>IFERROR(VLOOKUP(F2068,CARTON_LOOKUP!$A:$E,2,0),"")</f>
      </c>
      <c r="K2068" s="29">
        <f>IFERROR(J2068*D2068,0)</f>
      </c>
      <c r="L2068" s="29">
        <f>IFERROR(E2068*C2068,0)</f>
      </c>
      <c r="M2068" s="29">
        <f>IFERROR((G2068*H2068*I2068/1000000)*D2068,0)</f>
      </c>
    </row>
    <row r="2069" spans="1:13" x14ac:dyDescent="0.25">
      <c r="A2069" s="16"/>
      <c r="E2069" s="27"/>
      <c r="F2069" t="s">
        <v>26</v>
      </c>
      <c r="G2069" s="28">
        <f>IFERROR(VLOOKUP(F2069,CARTON_LOOKUP!$A:$E,3,0),"")</f>
      </c>
      <c r="H2069" s="28">
        <f>IFERROR(VLOOKUP(F2069,CARTON_LOOKUP!$A:$E,4,0),"")</f>
      </c>
      <c r="I2069" s="28">
        <f>IFERROR(VLOOKUP(F2069,CARTON_LOOKUP!$A:$E,5,0),"")</f>
      </c>
      <c r="J2069" s="29">
        <f>IFERROR(VLOOKUP(F2069,CARTON_LOOKUP!$A:$E,2,0),"")</f>
      </c>
      <c r="K2069" s="29">
        <f>IFERROR(J2069*D2069,0)</f>
      </c>
      <c r="L2069" s="29">
        <f>IFERROR(E2069*C2069,0)</f>
      </c>
      <c r="M2069" s="29">
        <f>IFERROR((G2069*H2069*I2069/1000000)*D2069,0)</f>
      </c>
    </row>
    <row r="2070" spans="1:13" x14ac:dyDescent="0.25">
      <c r="A2070" s="16"/>
      <c r="E2070" s="27"/>
      <c r="F2070" t="s">
        <v>26</v>
      </c>
      <c r="G2070" s="28">
        <f>IFERROR(VLOOKUP(F2070,CARTON_LOOKUP!$A:$E,3,0),"")</f>
      </c>
      <c r="H2070" s="28">
        <f>IFERROR(VLOOKUP(F2070,CARTON_LOOKUP!$A:$E,4,0),"")</f>
      </c>
      <c r="I2070" s="28">
        <f>IFERROR(VLOOKUP(F2070,CARTON_LOOKUP!$A:$E,5,0),"")</f>
      </c>
      <c r="J2070" s="29">
        <f>IFERROR(VLOOKUP(F2070,CARTON_LOOKUP!$A:$E,2,0),"")</f>
      </c>
      <c r="K2070" s="29">
        <f>IFERROR(J2070*D2070,0)</f>
      </c>
      <c r="L2070" s="29">
        <f>IFERROR(E2070*C2070,0)</f>
      </c>
      <c r="M2070" s="29">
        <f>IFERROR((G2070*H2070*I2070/1000000)*D2070,0)</f>
      </c>
    </row>
    <row r="2071" spans="1:13" x14ac:dyDescent="0.25">
      <c r="A2071" s="16"/>
      <c r="E2071" s="27"/>
      <c r="F2071" t="s">
        <v>26</v>
      </c>
      <c r="G2071" s="28">
        <f>IFERROR(VLOOKUP(F2071,CARTON_LOOKUP!$A:$E,3,0),"")</f>
      </c>
      <c r="H2071" s="28">
        <f>IFERROR(VLOOKUP(F2071,CARTON_LOOKUP!$A:$E,4,0),"")</f>
      </c>
      <c r="I2071" s="28">
        <f>IFERROR(VLOOKUP(F2071,CARTON_LOOKUP!$A:$E,5,0),"")</f>
      </c>
      <c r="J2071" s="29">
        <f>IFERROR(VLOOKUP(F2071,CARTON_LOOKUP!$A:$E,2,0),"")</f>
      </c>
      <c r="K2071" s="29">
        <f>IFERROR(J2071*D2071,0)</f>
      </c>
      <c r="L2071" s="29">
        <f>IFERROR(E2071*C2071,0)</f>
      </c>
      <c r="M2071" s="29">
        <f>IFERROR((G2071*H2071*I2071/1000000)*D2071,0)</f>
      </c>
    </row>
    <row r="2072" spans="1:13" x14ac:dyDescent="0.25">
      <c r="A2072" s="16"/>
      <c r="E2072" s="27"/>
      <c r="F2072" t="s">
        <v>26</v>
      </c>
      <c r="G2072" s="28">
        <f>IFERROR(VLOOKUP(F2072,CARTON_LOOKUP!$A:$E,3,0),"")</f>
      </c>
      <c r="H2072" s="28">
        <f>IFERROR(VLOOKUP(F2072,CARTON_LOOKUP!$A:$E,4,0),"")</f>
      </c>
      <c r="I2072" s="28">
        <f>IFERROR(VLOOKUP(F2072,CARTON_LOOKUP!$A:$E,5,0),"")</f>
      </c>
      <c r="J2072" s="29">
        <f>IFERROR(VLOOKUP(F2072,CARTON_LOOKUP!$A:$E,2,0),"")</f>
      </c>
      <c r="K2072" s="29">
        <f>IFERROR(J2072*D2072,0)</f>
      </c>
      <c r="L2072" s="29">
        <f>IFERROR(E2072*C2072,0)</f>
      </c>
      <c r="M2072" s="29">
        <f>IFERROR((G2072*H2072*I2072/1000000)*D2072,0)</f>
      </c>
    </row>
    <row r="2073" spans="1:13" x14ac:dyDescent="0.25">
      <c r="A2073" s="16"/>
      <c r="E2073" s="27"/>
      <c r="F2073" t="s">
        <v>26</v>
      </c>
      <c r="G2073" s="28">
        <f>IFERROR(VLOOKUP(F2073,CARTON_LOOKUP!$A:$E,3,0),"")</f>
      </c>
      <c r="H2073" s="28">
        <f>IFERROR(VLOOKUP(F2073,CARTON_LOOKUP!$A:$E,4,0),"")</f>
      </c>
      <c r="I2073" s="28">
        <f>IFERROR(VLOOKUP(F2073,CARTON_LOOKUP!$A:$E,5,0),"")</f>
      </c>
      <c r="J2073" s="29">
        <f>IFERROR(VLOOKUP(F2073,CARTON_LOOKUP!$A:$E,2,0),"")</f>
      </c>
      <c r="K2073" s="29">
        <f>IFERROR(J2073*D2073,0)</f>
      </c>
      <c r="L2073" s="29">
        <f>IFERROR(E2073*C2073,0)</f>
      </c>
      <c r="M2073" s="29">
        <f>IFERROR((G2073*H2073*I2073/1000000)*D2073,0)</f>
      </c>
    </row>
    <row r="2074" spans="1:13" x14ac:dyDescent="0.25">
      <c r="A2074" s="16"/>
      <c r="E2074" s="27"/>
      <c r="F2074" t="s">
        <v>26</v>
      </c>
      <c r="G2074" s="28">
        <f>IFERROR(VLOOKUP(F2074,CARTON_LOOKUP!$A:$E,3,0),"")</f>
      </c>
      <c r="H2074" s="28">
        <f>IFERROR(VLOOKUP(F2074,CARTON_LOOKUP!$A:$E,4,0),"")</f>
      </c>
      <c r="I2074" s="28">
        <f>IFERROR(VLOOKUP(F2074,CARTON_LOOKUP!$A:$E,5,0),"")</f>
      </c>
      <c r="J2074" s="29">
        <f>IFERROR(VLOOKUP(F2074,CARTON_LOOKUP!$A:$E,2,0),"")</f>
      </c>
      <c r="K2074" s="29">
        <f>IFERROR(J2074*D2074,0)</f>
      </c>
      <c r="L2074" s="29">
        <f>IFERROR(E2074*C2074,0)</f>
      </c>
      <c r="M2074" s="29">
        <f>IFERROR((G2074*H2074*I2074/1000000)*D2074,0)</f>
      </c>
    </row>
    <row r="2075" spans="1:13" x14ac:dyDescent="0.25">
      <c r="A2075" s="16"/>
      <c r="E2075" s="27"/>
      <c r="F2075" t="s">
        <v>26</v>
      </c>
      <c r="G2075" s="28">
        <f>IFERROR(VLOOKUP(F2075,CARTON_LOOKUP!$A:$E,3,0),"")</f>
      </c>
      <c r="H2075" s="28">
        <f>IFERROR(VLOOKUP(F2075,CARTON_LOOKUP!$A:$E,4,0),"")</f>
      </c>
      <c r="I2075" s="28">
        <f>IFERROR(VLOOKUP(F2075,CARTON_LOOKUP!$A:$E,5,0),"")</f>
      </c>
      <c r="J2075" s="29">
        <f>IFERROR(VLOOKUP(F2075,CARTON_LOOKUP!$A:$E,2,0),"")</f>
      </c>
      <c r="K2075" s="29">
        <f>IFERROR(J2075*D2075,0)</f>
      </c>
      <c r="L2075" s="29">
        <f>IFERROR(E2075*C2075,0)</f>
      </c>
      <c r="M2075" s="29">
        <f>IFERROR((G2075*H2075*I2075/1000000)*D2075,0)</f>
      </c>
    </row>
    <row r="2076" spans="1:13" x14ac:dyDescent="0.25">
      <c r="A2076" s="16"/>
      <c r="E2076" s="27"/>
      <c r="F2076" t="s">
        <v>26</v>
      </c>
      <c r="G2076" s="28">
        <f>IFERROR(VLOOKUP(F2076,CARTON_LOOKUP!$A:$E,3,0),"")</f>
      </c>
      <c r="H2076" s="28">
        <f>IFERROR(VLOOKUP(F2076,CARTON_LOOKUP!$A:$E,4,0),"")</f>
      </c>
      <c r="I2076" s="28">
        <f>IFERROR(VLOOKUP(F2076,CARTON_LOOKUP!$A:$E,5,0),"")</f>
      </c>
      <c r="J2076" s="29">
        <f>IFERROR(VLOOKUP(F2076,CARTON_LOOKUP!$A:$E,2,0),"")</f>
      </c>
      <c r="K2076" s="29">
        <f>IFERROR(J2076*D2076,0)</f>
      </c>
      <c r="L2076" s="29">
        <f>IFERROR(E2076*C2076,0)</f>
      </c>
      <c r="M2076" s="29">
        <f>IFERROR((G2076*H2076*I2076/1000000)*D2076,0)</f>
      </c>
    </row>
    <row r="2077" spans="1:13" x14ac:dyDescent="0.25">
      <c r="A2077" s="16"/>
      <c r="E2077" s="27"/>
      <c r="F2077" t="s">
        <v>26</v>
      </c>
      <c r="G2077" s="28">
        <f>IFERROR(VLOOKUP(F2077,CARTON_LOOKUP!$A:$E,3,0),"")</f>
      </c>
      <c r="H2077" s="28">
        <f>IFERROR(VLOOKUP(F2077,CARTON_LOOKUP!$A:$E,4,0),"")</f>
      </c>
      <c r="I2077" s="28">
        <f>IFERROR(VLOOKUP(F2077,CARTON_LOOKUP!$A:$E,5,0),"")</f>
      </c>
      <c r="J2077" s="29">
        <f>IFERROR(VLOOKUP(F2077,CARTON_LOOKUP!$A:$E,2,0),"")</f>
      </c>
      <c r="K2077" s="29">
        <f>IFERROR(J2077*D2077,0)</f>
      </c>
      <c r="L2077" s="29">
        <f>IFERROR(E2077*C2077,0)</f>
      </c>
      <c r="M2077" s="29">
        <f>IFERROR((G2077*H2077*I2077/1000000)*D2077,0)</f>
      </c>
    </row>
    <row r="2078" spans="1:13" x14ac:dyDescent="0.25">
      <c r="A2078" s="16"/>
      <c r="E2078" s="27"/>
      <c r="F2078" t="s">
        <v>26</v>
      </c>
      <c r="G2078" s="28">
        <f>IFERROR(VLOOKUP(F2078,CARTON_LOOKUP!$A:$E,3,0),"")</f>
      </c>
      <c r="H2078" s="28">
        <f>IFERROR(VLOOKUP(F2078,CARTON_LOOKUP!$A:$E,4,0),"")</f>
      </c>
      <c r="I2078" s="28">
        <f>IFERROR(VLOOKUP(F2078,CARTON_LOOKUP!$A:$E,5,0),"")</f>
      </c>
      <c r="J2078" s="29">
        <f>IFERROR(VLOOKUP(F2078,CARTON_LOOKUP!$A:$E,2,0),"")</f>
      </c>
      <c r="K2078" s="29">
        <f>IFERROR(J2078*D2078,0)</f>
      </c>
      <c r="L2078" s="29">
        <f>IFERROR(E2078*C2078,0)</f>
      </c>
      <c r="M2078" s="29">
        <f>IFERROR((G2078*H2078*I2078/1000000)*D2078,0)</f>
      </c>
    </row>
    <row r="2079" spans="1:13" x14ac:dyDescent="0.25">
      <c r="A2079" s="16"/>
      <c r="E2079" s="27"/>
      <c r="F2079" t="s">
        <v>26</v>
      </c>
      <c r="G2079" s="28">
        <f>IFERROR(VLOOKUP(F2079,CARTON_LOOKUP!$A:$E,3,0),"")</f>
      </c>
      <c r="H2079" s="28">
        <f>IFERROR(VLOOKUP(F2079,CARTON_LOOKUP!$A:$E,4,0),"")</f>
      </c>
      <c r="I2079" s="28">
        <f>IFERROR(VLOOKUP(F2079,CARTON_LOOKUP!$A:$E,5,0),"")</f>
      </c>
      <c r="J2079" s="29">
        <f>IFERROR(VLOOKUP(F2079,CARTON_LOOKUP!$A:$E,2,0),"")</f>
      </c>
      <c r="K2079" s="29">
        <f>IFERROR(J2079*D2079,0)</f>
      </c>
      <c r="L2079" s="29">
        <f>IFERROR(E2079*C2079,0)</f>
      </c>
      <c r="M2079" s="29">
        <f>IFERROR((G2079*H2079*I2079/1000000)*D2079,0)</f>
      </c>
    </row>
    <row r="2080" spans="1:13" x14ac:dyDescent="0.25">
      <c r="A2080" s="16"/>
      <c r="E2080" s="27"/>
      <c r="F2080" t="s">
        <v>26</v>
      </c>
      <c r="G2080" s="28">
        <f>IFERROR(VLOOKUP(F2080,CARTON_LOOKUP!$A:$E,3,0),"")</f>
      </c>
      <c r="H2080" s="28">
        <f>IFERROR(VLOOKUP(F2080,CARTON_LOOKUP!$A:$E,4,0),"")</f>
      </c>
      <c r="I2080" s="28">
        <f>IFERROR(VLOOKUP(F2080,CARTON_LOOKUP!$A:$E,5,0),"")</f>
      </c>
      <c r="J2080" s="29">
        <f>IFERROR(VLOOKUP(F2080,CARTON_LOOKUP!$A:$E,2,0),"")</f>
      </c>
      <c r="K2080" s="29">
        <f>IFERROR(J2080*D2080,0)</f>
      </c>
      <c r="L2080" s="29">
        <f>IFERROR(E2080*C2080,0)</f>
      </c>
      <c r="M2080" s="29">
        <f>IFERROR((G2080*H2080*I2080/1000000)*D2080,0)</f>
      </c>
    </row>
    <row r="2081" spans="1:13" x14ac:dyDescent="0.25">
      <c r="A2081" s="16"/>
      <c r="E2081" s="27"/>
      <c r="F2081" t="s">
        <v>26</v>
      </c>
      <c r="G2081" s="28">
        <f>IFERROR(VLOOKUP(F2081,CARTON_LOOKUP!$A:$E,3,0),"")</f>
      </c>
      <c r="H2081" s="28">
        <f>IFERROR(VLOOKUP(F2081,CARTON_LOOKUP!$A:$E,4,0),"")</f>
      </c>
      <c r="I2081" s="28">
        <f>IFERROR(VLOOKUP(F2081,CARTON_LOOKUP!$A:$E,5,0),"")</f>
      </c>
      <c r="J2081" s="29">
        <f>IFERROR(VLOOKUP(F2081,CARTON_LOOKUP!$A:$E,2,0),"")</f>
      </c>
      <c r="K2081" s="29">
        <f>IFERROR(J2081*D2081,0)</f>
      </c>
      <c r="L2081" s="29">
        <f>IFERROR(E2081*C2081,0)</f>
      </c>
      <c r="M2081" s="29">
        <f>IFERROR((G2081*H2081*I2081/1000000)*D2081,0)</f>
      </c>
    </row>
    <row r="2082" spans="1:13" x14ac:dyDescent="0.25">
      <c r="A2082" s="16"/>
      <c r="E2082" s="27"/>
      <c r="F2082" t="s">
        <v>26</v>
      </c>
      <c r="G2082" s="28">
        <f>IFERROR(VLOOKUP(F2082,CARTON_LOOKUP!$A:$E,3,0),"")</f>
      </c>
      <c r="H2082" s="28">
        <f>IFERROR(VLOOKUP(F2082,CARTON_LOOKUP!$A:$E,4,0),"")</f>
      </c>
      <c r="I2082" s="28">
        <f>IFERROR(VLOOKUP(F2082,CARTON_LOOKUP!$A:$E,5,0),"")</f>
      </c>
      <c r="J2082" s="29">
        <f>IFERROR(VLOOKUP(F2082,CARTON_LOOKUP!$A:$E,2,0),"")</f>
      </c>
      <c r="K2082" s="29">
        <f>IFERROR(J2082*D2082,0)</f>
      </c>
      <c r="L2082" s="29">
        <f>IFERROR(E2082*C2082,0)</f>
      </c>
      <c r="M2082" s="29">
        <f>IFERROR((G2082*H2082*I2082/1000000)*D2082,0)</f>
      </c>
    </row>
    <row r="2083" spans="1:13" x14ac:dyDescent="0.25">
      <c r="A2083" s="16"/>
      <c r="E2083" s="27"/>
      <c r="F2083" t="s">
        <v>26</v>
      </c>
      <c r="G2083" s="28">
        <f>IFERROR(VLOOKUP(F2083,CARTON_LOOKUP!$A:$E,3,0),"")</f>
      </c>
      <c r="H2083" s="28">
        <f>IFERROR(VLOOKUP(F2083,CARTON_LOOKUP!$A:$E,4,0),"")</f>
      </c>
      <c r="I2083" s="28">
        <f>IFERROR(VLOOKUP(F2083,CARTON_LOOKUP!$A:$E,5,0),"")</f>
      </c>
      <c r="J2083" s="29">
        <f>IFERROR(VLOOKUP(F2083,CARTON_LOOKUP!$A:$E,2,0),"")</f>
      </c>
      <c r="K2083" s="29">
        <f>IFERROR(J2083*D2083,0)</f>
      </c>
      <c r="L2083" s="29">
        <f>IFERROR(E2083*C2083,0)</f>
      </c>
      <c r="M2083" s="29">
        <f>IFERROR((G2083*H2083*I2083/1000000)*D2083,0)</f>
      </c>
    </row>
    <row r="2084" spans="1:13" x14ac:dyDescent="0.25">
      <c r="A2084" s="16"/>
      <c r="E2084" s="27"/>
      <c r="F2084" t="s">
        <v>26</v>
      </c>
      <c r="G2084" s="28">
        <f>IFERROR(VLOOKUP(F2084,CARTON_LOOKUP!$A:$E,3,0),"")</f>
      </c>
      <c r="H2084" s="28">
        <f>IFERROR(VLOOKUP(F2084,CARTON_LOOKUP!$A:$E,4,0),"")</f>
      </c>
      <c r="I2084" s="28">
        <f>IFERROR(VLOOKUP(F2084,CARTON_LOOKUP!$A:$E,5,0),"")</f>
      </c>
      <c r="J2084" s="29">
        <f>IFERROR(VLOOKUP(F2084,CARTON_LOOKUP!$A:$E,2,0),"")</f>
      </c>
      <c r="K2084" s="29">
        <f>IFERROR(J2084*D2084,0)</f>
      </c>
      <c r="L2084" s="29">
        <f>IFERROR(E2084*C2084,0)</f>
      </c>
      <c r="M2084" s="29">
        <f>IFERROR((G2084*H2084*I2084/1000000)*D2084,0)</f>
      </c>
    </row>
    <row r="2085" spans="1:13" x14ac:dyDescent="0.25">
      <c r="A2085" s="16"/>
      <c r="E2085" s="27"/>
      <c r="F2085" t="s">
        <v>26</v>
      </c>
      <c r="G2085" s="28">
        <f>IFERROR(VLOOKUP(F2085,CARTON_LOOKUP!$A:$E,3,0),"")</f>
      </c>
      <c r="H2085" s="28">
        <f>IFERROR(VLOOKUP(F2085,CARTON_LOOKUP!$A:$E,4,0),"")</f>
      </c>
      <c r="I2085" s="28">
        <f>IFERROR(VLOOKUP(F2085,CARTON_LOOKUP!$A:$E,5,0),"")</f>
      </c>
      <c r="J2085" s="29">
        <f>IFERROR(VLOOKUP(F2085,CARTON_LOOKUP!$A:$E,2,0),"")</f>
      </c>
      <c r="K2085" s="29">
        <f>IFERROR(J2085*D2085,0)</f>
      </c>
      <c r="L2085" s="29">
        <f>IFERROR(E2085*C2085,0)</f>
      </c>
      <c r="M2085" s="29">
        <f>IFERROR((G2085*H2085*I2085/1000000)*D2085,0)</f>
      </c>
    </row>
    <row r="2086" spans="1:13" x14ac:dyDescent="0.25">
      <c r="A2086" s="16"/>
      <c r="E2086" s="27"/>
      <c r="F2086" t="s">
        <v>26</v>
      </c>
      <c r="G2086" s="28">
        <f>IFERROR(VLOOKUP(F2086,CARTON_LOOKUP!$A:$E,3,0),"")</f>
      </c>
      <c r="H2086" s="28">
        <f>IFERROR(VLOOKUP(F2086,CARTON_LOOKUP!$A:$E,4,0),"")</f>
      </c>
      <c r="I2086" s="28">
        <f>IFERROR(VLOOKUP(F2086,CARTON_LOOKUP!$A:$E,5,0),"")</f>
      </c>
      <c r="J2086" s="29">
        <f>IFERROR(VLOOKUP(F2086,CARTON_LOOKUP!$A:$E,2,0),"")</f>
      </c>
      <c r="K2086" s="29">
        <f>IFERROR(J2086*D2086,0)</f>
      </c>
      <c r="L2086" s="29">
        <f>IFERROR(E2086*C2086,0)</f>
      </c>
      <c r="M2086" s="29">
        <f>IFERROR((G2086*H2086*I2086/1000000)*D2086,0)</f>
      </c>
    </row>
    <row r="2087" spans="1:13" x14ac:dyDescent="0.25">
      <c r="A2087" s="16"/>
      <c r="E2087" s="27"/>
      <c r="F2087" t="s">
        <v>26</v>
      </c>
      <c r="G2087" s="28">
        <f>IFERROR(VLOOKUP(F2087,CARTON_LOOKUP!$A:$E,3,0),"")</f>
      </c>
      <c r="H2087" s="28">
        <f>IFERROR(VLOOKUP(F2087,CARTON_LOOKUP!$A:$E,4,0),"")</f>
      </c>
      <c r="I2087" s="28">
        <f>IFERROR(VLOOKUP(F2087,CARTON_LOOKUP!$A:$E,5,0),"")</f>
      </c>
      <c r="J2087" s="29">
        <f>IFERROR(VLOOKUP(F2087,CARTON_LOOKUP!$A:$E,2,0),"")</f>
      </c>
      <c r="K2087" s="29">
        <f>IFERROR(J2087*D2087,0)</f>
      </c>
      <c r="L2087" s="29">
        <f>IFERROR(E2087*C2087,0)</f>
      </c>
      <c r="M2087" s="29">
        <f>IFERROR((G2087*H2087*I2087/1000000)*D2087,0)</f>
      </c>
    </row>
    <row r="2088" spans="1:13" x14ac:dyDescent="0.25">
      <c r="A2088" s="16"/>
      <c r="E2088" s="27"/>
      <c r="F2088" t="s">
        <v>26</v>
      </c>
      <c r="G2088" s="28">
        <f>IFERROR(VLOOKUP(F2088,CARTON_LOOKUP!$A:$E,3,0),"")</f>
      </c>
      <c r="H2088" s="28">
        <f>IFERROR(VLOOKUP(F2088,CARTON_LOOKUP!$A:$E,4,0),"")</f>
      </c>
      <c r="I2088" s="28">
        <f>IFERROR(VLOOKUP(F2088,CARTON_LOOKUP!$A:$E,5,0),"")</f>
      </c>
      <c r="J2088" s="29">
        <f>IFERROR(VLOOKUP(F2088,CARTON_LOOKUP!$A:$E,2,0),"")</f>
      </c>
      <c r="K2088" s="29">
        <f>IFERROR(J2088*D2088,0)</f>
      </c>
      <c r="L2088" s="29">
        <f>IFERROR(E2088*C2088,0)</f>
      </c>
      <c r="M2088" s="29">
        <f>IFERROR((G2088*H2088*I2088/1000000)*D2088,0)</f>
      </c>
    </row>
    <row r="2089" spans="1:13" x14ac:dyDescent="0.25">
      <c r="A2089" s="16"/>
      <c r="E2089" s="27"/>
      <c r="F2089" t="s">
        <v>26</v>
      </c>
      <c r="G2089" s="28">
        <f>IFERROR(VLOOKUP(F2089,CARTON_LOOKUP!$A:$E,3,0),"")</f>
      </c>
      <c r="H2089" s="28">
        <f>IFERROR(VLOOKUP(F2089,CARTON_LOOKUP!$A:$E,4,0),"")</f>
      </c>
      <c r="I2089" s="28">
        <f>IFERROR(VLOOKUP(F2089,CARTON_LOOKUP!$A:$E,5,0),"")</f>
      </c>
      <c r="J2089" s="29">
        <f>IFERROR(VLOOKUP(F2089,CARTON_LOOKUP!$A:$E,2,0),"")</f>
      </c>
      <c r="K2089" s="29">
        <f>IFERROR(J2089*D2089,0)</f>
      </c>
      <c r="L2089" s="29">
        <f>IFERROR(E2089*C2089,0)</f>
      </c>
      <c r="M2089" s="29">
        <f>IFERROR((G2089*H2089*I2089/1000000)*D2089,0)</f>
      </c>
    </row>
    <row r="2090" spans="1:13" x14ac:dyDescent="0.25">
      <c r="A2090" s="16"/>
      <c r="E2090" s="27"/>
      <c r="F2090" t="s">
        <v>26</v>
      </c>
      <c r="G2090" s="28">
        <f>IFERROR(VLOOKUP(F2090,CARTON_LOOKUP!$A:$E,3,0),"")</f>
      </c>
      <c r="H2090" s="28">
        <f>IFERROR(VLOOKUP(F2090,CARTON_LOOKUP!$A:$E,4,0),"")</f>
      </c>
      <c r="I2090" s="28">
        <f>IFERROR(VLOOKUP(F2090,CARTON_LOOKUP!$A:$E,5,0),"")</f>
      </c>
      <c r="J2090" s="29">
        <f>IFERROR(VLOOKUP(F2090,CARTON_LOOKUP!$A:$E,2,0),"")</f>
      </c>
      <c r="K2090" s="29">
        <f>IFERROR(J2090*D2090,0)</f>
      </c>
      <c r="L2090" s="29">
        <f>IFERROR(E2090*C2090,0)</f>
      </c>
      <c r="M2090" s="29">
        <f>IFERROR((G2090*H2090*I2090/1000000)*D2090,0)</f>
      </c>
    </row>
    <row r="2091" spans="1:13" x14ac:dyDescent="0.25">
      <c r="A2091" s="16"/>
      <c r="E2091" s="27"/>
      <c r="F2091" t="s">
        <v>26</v>
      </c>
      <c r="G2091" s="28">
        <f>IFERROR(VLOOKUP(F2091,CARTON_LOOKUP!$A:$E,3,0),"")</f>
      </c>
      <c r="H2091" s="28">
        <f>IFERROR(VLOOKUP(F2091,CARTON_LOOKUP!$A:$E,4,0),"")</f>
      </c>
      <c r="I2091" s="28">
        <f>IFERROR(VLOOKUP(F2091,CARTON_LOOKUP!$A:$E,5,0),"")</f>
      </c>
      <c r="J2091" s="29">
        <f>IFERROR(VLOOKUP(F2091,CARTON_LOOKUP!$A:$E,2,0),"")</f>
      </c>
      <c r="K2091" s="29">
        <f>IFERROR(J2091*D2091,0)</f>
      </c>
      <c r="L2091" s="29">
        <f>IFERROR(E2091*C2091,0)</f>
      </c>
      <c r="M2091" s="29">
        <f>IFERROR((G2091*H2091*I2091/1000000)*D2091,0)</f>
      </c>
    </row>
    <row r="2092" spans="1:13" x14ac:dyDescent="0.25">
      <c r="A2092" s="16"/>
      <c r="E2092" s="27"/>
      <c r="F2092" t="s">
        <v>26</v>
      </c>
      <c r="G2092" s="28">
        <f>IFERROR(VLOOKUP(F2092,CARTON_LOOKUP!$A:$E,3,0),"")</f>
      </c>
      <c r="H2092" s="28">
        <f>IFERROR(VLOOKUP(F2092,CARTON_LOOKUP!$A:$E,4,0),"")</f>
      </c>
      <c r="I2092" s="28">
        <f>IFERROR(VLOOKUP(F2092,CARTON_LOOKUP!$A:$E,5,0),"")</f>
      </c>
      <c r="J2092" s="29">
        <f>IFERROR(VLOOKUP(F2092,CARTON_LOOKUP!$A:$E,2,0),"")</f>
      </c>
      <c r="K2092" s="29">
        <f>IFERROR(J2092*D2092,0)</f>
      </c>
      <c r="L2092" s="29">
        <f>IFERROR(E2092*C2092,0)</f>
      </c>
      <c r="M2092" s="29">
        <f>IFERROR((G2092*H2092*I2092/1000000)*D2092,0)</f>
      </c>
    </row>
    <row r="2093" spans="1:13" x14ac:dyDescent="0.25">
      <c r="A2093" s="16"/>
      <c r="E2093" s="27"/>
      <c r="F2093" t="s">
        <v>26</v>
      </c>
      <c r="G2093" s="28">
        <f>IFERROR(VLOOKUP(F2093,CARTON_LOOKUP!$A:$E,3,0),"")</f>
      </c>
      <c r="H2093" s="28">
        <f>IFERROR(VLOOKUP(F2093,CARTON_LOOKUP!$A:$E,4,0),"")</f>
      </c>
      <c r="I2093" s="28">
        <f>IFERROR(VLOOKUP(F2093,CARTON_LOOKUP!$A:$E,5,0),"")</f>
      </c>
      <c r="J2093" s="29">
        <f>IFERROR(VLOOKUP(F2093,CARTON_LOOKUP!$A:$E,2,0),"")</f>
      </c>
      <c r="K2093" s="29">
        <f>IFERROR(J2093*D2093,0)</f>
      </c>
      <c r="L2093" s="29">
        <f>IFERROR(E2093*C2093,0)</f>
      </c>
      <c r="M2093" s="29">
        <f>IFERROR((G2093*H2093*I2093/1000000)*D2093,0)</f>
      </c>
    </row>
    <row r="2094" spans="1:13" x14ac:dyDescent="0.25">
      <c r="A2094" s="16"/>
      <c r="E2094" s="27"/>
      <c r="F2094" t="s">
        <v>26</v>
      </c>
      <c r="G2094" s="28">
        <f>IFERROR(VLOOKUP(F2094,CARTON_LOOKUP!$A:$E,3,0),"")</f>
      </c>
      <c r="H2094" s="28">
        <f>IFERROR(VLOOKUP(F2094,CARTON_LOOKUP!$A:$E,4,0),"")</f>
      </c>
      <c r="I2094" s="28">
        <f>IFERROR(VLOOKUP(F2094,CARTON_LOOKUP!$A:$E,5,0),"")</f>
      </c>
      <c r="J2094" s="29">
        <f>IFERROR(VLOOKUP(F2094,CARTON_LOOKUP!$A:$E,2,0),"")</f>
      </c>
      <c r="K2094" s="29">
        <f>IFERROR(J2094*D2094,0)</f>
      </c>
      <c r="L2094" s="29">
        <f>IFERROR(E2094*C2094,0)</f>
      </c>
      <c r="M2094" s="29">
        <f>IFERROR((G2094*H2094*I2094/1000000)*D2094,0)</f>
      </c>
    </row>
    <row r="2095" spans="1:13" x14ac:dyDescent="0.25">
      <c r="A2095" s="16"/>
      <c r="E2095" s="27"/>
      <c r="F2095" t="s">
        <v>26</v>
      </c>
      <c r="G2095" s="28">
        <f>IFERROR(VLOOKUP(F2095,CARTON_LOOKUP!$A:$E,3,0),"")</f>
      </c>
      <c r="H2095" s="28">
        <f>IFERROR(VLOOKUP(F2095,CARTON_LOOKUP!$A:$E,4,0),"")</f>
      </c>
      <c r="I2095" s="28">
        <f>IFERROR(VLOOKUP(F2095,CARTON_LOOKUP!$A:$E,5,0),"")</f>
      </c>
      <c r="J2095" s="29">
        <f>IFERROR(VLOOKUP(F2095,CARTON_LOOKUP!$A:$E,2,0),"")</f>
      </c>
      <c r="K2095" s="29">
        <f>IFERROR(J2095*D2095,0)</f>
      </c>
      <c r="L2095" s="29">
        <f>IFERROR(E2095*C2095,0)</f>
      </c>
      <c r="M2095" s="29">
        <f>IFERROR((G2095*H2095*I2095/1000000)*D2095,0)</f>
      </c>
    </row>
    <row r="2096" spans="1:13" x14ac:dyDescent="0.25">
      <c r="A2096" s="16"/>
      <c r="E2096" s="27"/>
      <c r="F2096" t="s">
        <v>26</v>
      </c>
      <c r="G2096" s="28">
        <f>IFERROR(VLOOKUP(F2096,CARTON_LOOKUP!$A:$E,3,0),"")</f>
      </c>
      <c r="H2096" s="28">
        <f>IFERROR(VLOOKUP(F2096,CARTON_LOOKUP!$A:$E,4,0),"")</f>
      </c>
      <c r="I2096" s="28">
        <f>IFERROR(VLOOKUP(F2096,CARTON_LOOKUP!$A:$E,5,0),"")</f>
      </c>
      <c r="J2096" s="29">
        <f>IFERROR(VLOOKUP(F2096,CARTON_LOOKUP!$A:$E,2,0),"")</f>
      </c>
      <c r="K2096" s="29">
        <f>IFERROR(J2096*D2096,0)</f>
      </c>
      <c r="L2096" s="29">
        <f>IFERROR(E2096*C2096,0)</f>
      </c>
      <c r="M2096" s="29">
        <f>IFERROR((G2096*H2096*I2096/1000000)*D2096,0)</f>
      </c>
    </row>
    <row r="2097" spans="1:13" x14ac:dyDescent="0.25">
      <c r="A2097" s="16"/>
      <c r="E2097" s="27"/>
      <c r="F2097" t="s">
        <v>26</v>
      </c>
      <c r="G2097" s="28">
        <f>IFERROR(VLOOKUP(F2097,CARTON_LOOKUP!$A:$E,3,0),"")</f>
      </c>
      <c r="H2097" s="28">
        <f>IFERROR(VLOOKUP(F2097,CARTON_LOOKUP!$A:$E,4,0),"")</f>
      </c>
      <c r="I2097" s="28">
        <f>IFERROR(VLOOKUP(F2097,CARTON_LOOKUP!$A:$E,5,0),"")</f>
      </c>
      <c r="J2097" s="29">
        <f>IFERROR(VLOOKUP(F2097,CARTON_LOOKUP!$A:$E,2,0),"")</f>
      </c>
      <c r="K2097" s="29">
        <f>IFERROR(J2097*D2097,0)</f>
      </c>
      <c r="L2097" s="29">
        <f>IFERROR(E2097*C2097,0)</f>
      </c>
      <c r="M2097" s="29">
        <f>IFERROR((G2097*H2097*I2097/1000000)*D2097,0)</f>
      </c>
    </row>
    <row r="2098" spans="1:13" x14ac:dyDescent="0.25">
      <c r="A2098" s="16"/>
      <c r="E2098" s="27"/>
      <c r="F2098" t="s">
        <v>26</v>
      </c>
      <c r="G2098" s="28">
        <f>IFERROR(VLOOKUP(F2098,CARTON_LOOKUP!$A:$E,3,0),"")</f>
      </c>
      <c r="H2098" s="28">
        <f>IFERROR(VLOOKUP(F2098,CARTON_LOOKUP!$A:$E,4,0),"")</f>
      </c>
      <c r="I2098" s="28">
        <f>IFERROR(VLOOKUP(F2098,CARTON_LOOKUP!$A:$E,5,0),"")</f>
      </c>
      <c r="J2098" s="29">
        <f>IFERROR(VLOOKUP(F2098,CARTON_LOOKUP!$A:$E,2,0),"")</f>
      </c>
      <c r="K2098" s="29">
        <f>IFERROR(J2098*D2098,0)</f>
      </c>
      <c r="L2098" s="29">
        <f>IFERROR(E2098*C2098,0)</f>
      </c>
      <c r="M2098" s="29">
        <f>IFERROR((G2098*H2098*I2098/1000000)*D2098,0)</f>
      </c>
    </row>
    <row r="2099" spans="1:13" x14ac:dyDescent="0.25">
      <c r="A2099" s="16"/>
      <c r="E2099" s="27"/>
      <c r="F2099" t="s">
        <v>26</v>
      </c>
      <c r="G2099" s="28">
        <f>IFERROR(VLOOKUP(F2099,CARTON_LOOKUP!$A:$E,3,0),"")</f>
      </c>
      <c r="H2099" s="28">
        <f>IFERROR(VLOOKUP(F2099,CARTON_LOOKUP!$A:$E,4,0),"")</f>
      </c>
      <c r="I2099" s="28">
        <f>IFERROR(VLOOKUP(F2099,CARTON_LOOKUP!$A:$E,5,0),"")</f>
      </c>
      <c r="J2099" s="29">
        <f>IFERROR(VLOOKUP(F2099,CARTON_LOOKUP!$A:$E,2,0),"")</f>
      </c>
      <c r="K2099" s="29">
        <f>IFERROR(J2099*D2099,0)</f>
      </c>
      <c r="L2099" s="29">
        <f>IFERROR(E2099*C2099,0)</f>
      </c>
      <c r="M2099" s="29">
        <f>IFERROR((G2099*H2099*I2099/1000000)*D2099,0)</f>
      </c>
    </row>
    <row r="2100" spans="1:13" x14ac:dyDescent="0.25">
      <c r="A2100" s="16"/>
      <c r="E2100" s="27"/>
      <c r="F2100" t="s">
        <v>26</v>
      </c>
      <c r="G2100" s="28">
        <f>IFERROR(VLOOKUP(F2100,CARTON_LOOKUP!$A:$E,3,0),"")</f>
      </c>
      <c r="H2100" s="28">
        <f>IFERROR(VLOOKUP(F2100,CARTON_LOOKUP!$A:$E,4,0),"")</f>
      </c>
      <c r="I2100" s="28">
        <f>IFERROR(VLOOKUP(F2100,CARTON_LOOKUP!$A:$E,5,0),"")</f>
      </c>
      <c r="J2100" s="29">
        <f>IFERROR(VLOOKUP(F2100,CARTON_LOOKUP!$A:$E,2,0),"")</f>
      </c>
      <c r="K2100" s="29">
        <f>IFERROR(J2100*D2100,0)</f>
      </c>
      <c r="L2100" s="29">
        <f>IFERROR(E2100*C2100,0)</f>
      </c>
      <c r="M2100" s="29">
        <f>IFERROR((G2100*H2100*I2100/1000000)*D2100,0)</f>
      </c>
    </row>
    <row r="2101" spans="1:13" x14ac:dyDescent="0.25">
      <c r="A2101" s="16"/>
      <c r="E2101" s="27"/>
      <c r="F2101" t="s">
        <v>26</v>
      </c>
      <c r="G2101" s="28">
        <f>IFERROR(VLOOKUP(F2101,CARTON_LOOKUP!$A:$E,3,0),"")</f>
      </c>
      <c r="H2101" s="28">
        <f>IFERROR(VLOOKUP(F2101,CARTON_LOOKUP!$A:$E,4,0),"")</f>
      </c>
      <c r="I2101" s="28">
        <f>IFERROR(VLOOKUP(F2101,CARTON_LOOKUP!$A:$E,5,0),"")</f>
      </c>
      <c r="J2101" s="29">
        <f>IFERROR(VLOOKUP(F2101,CARTON_LOOKUP!$A:$E,2,0),"")</f>
      </c>
      <c r="K2101" s="29">
        <f>IFERROR(J2101*D2101,0)</f>
      </c>
      <c r="L2101" s="29">
        <f>IFERROR(E2101*C2101,0)</f>
      </c>
      <c r="M2101" s="29">
        <f>IFERROR((G2101*H2101*I2101/1000000)*D2101,0)</f>
      </c>
    </row>
    <row r="2102" spans="1:13" x14ac:dyDescent="0.25">
      <c r="A2102" s="16"/>
      <c r="E2102" s="27"/>
      <c r="F2102" t="s">
        <v>26</v>
      </c>
      <c r="G2102" s="28">
        <f>IFERROR(VLOOKUP(F2102,CARTON_LOOKUP!$A:$E,3,0),"")</f>
      </c>
      <c r="H2102" s="28">
        <f>IFERROR(VLOOKUP(F2102,CARTON_LOOKUP!$A:$E,4,0),"")</f>
      </c>
      <c r="I2102" s="28">
        <f>IFERROR(VLOOKUP(F2102,CARTON_LOOKUP!$A:$E,5,0),"")</f>
      </c>
      <c r="J2102" s="29">
        <f>IFERROR(VLOOKUP(F2102,CARTON_LOOKUP!$A:$E,2,0),"")</f>
      </c>
      <c r="K2102" s="29">
        <f>IFERROR(J2102*D2102,0)</f>
      </c>
      <c r="L2102" s="29">
        <f>IFERROR(E2102*C2102,0)</f>
      </c>
      <c r="M2102" s="29">
        <f>IFERROR((G2102*H2102*I2102/1000000)*D2102,0)</f>
      </c>
    </row>
    <row r="2103" spans="1:13" x14ac:dyDescent="0.25">
      <c r="A2103" s="16"/>
      <c r="E2103" s="27"/>
      <c r="F2103" t="s">
        <v>26</v>
      </c>
      <c r="G2103" s="28">
        <f>IFERROR(VLOOKUP(F2103,CARTON_LOOKUP!$A:$E,3,0),"")</f>
      </c>
      <c r="H2103" s="28">
        <f>IFERROR(VLOOKUP(F2103,CARTON_LOOKUP!$A:$E,4,0),"")</f>
      </c>
      <c r="I2103" s="28">
        <f>IFERROR(VLOOKUP(F2103,CARTON_LOOKUP!$A:$E,5,0),"")</f>
      </c>
      <c r="J2103" s="29">
        <f>IFERROR(VLOOKUP(F2103,CARTON_LOOKUP!$A:$E,2,0),"")</f>
      </c>
      <c r="K2103" s="29">
        <f>IFERROR(J2103*D2103,0)</f>
      </c>
      <c r="L2103" s="29">
        <f>IFERROR(E2103*C2103,0)</f>
      </c>
      <c r="M2103" s="29">
        <f>IFERROR((G2103*H2103*I2103/1000000)*D2103,0)</f>
      </c>
    </row>
    <row r="2104" spans="1:13" x14ac:dyDescent="0.25">
      <c r="A2104" s="16"/>
      <c r="E2104" s="27"/>
      <c r="F2104" t="s">
        <v>26</v>
      </c>
      <c r="G2104" s="28">
        <f>IFERROR(VLOOKUP(F2104,CARTON_LOOKUP!$A:$E,3,0),"")</f>
      </c>
      <c r="H2104" s="28">
        <f>IFERROR(VLOOKUP(F2104,CARTON_LOOKUP!$A:$E,4,0),"")</f>
      </c>
      <c r="I2104" s="28">
        <f>IFERROR(VLOOKUP(F2104,CARTON_LOOKUP!$A:$E,5,0),"")</f>
      </c>
      <c r="J2104" s="29">
        <f>IFERROR(VLOOKUP(F2104,CARTON_LOOKUP!$A:$E,2,0),"")</f>
      </c>
      <c r="K2104" s="29">
        <f>IFERROR(J2104*D2104,0)</f>
      </c>
      <c r="L2104" s="29">
        <f>IFERROR(E2104*C2104,0)</f>
      </c>
      <c r="M2104" s="29">
        <f>IFERROR((G2104*H2104*I2104/1000000)*D2104,0)</f>
      </c>
    </row>
    <row r="2105" spans="1:13" x14ac:dyDescent="0.25">
      <c r="A2105" s="16"/>
      <c r="E2105" s="27"/>
      <c r="F2105" t="s">
        <v>26</v>
      </c>
      <c r="G2105" s="28">
        <f>IFERROR(VLOOKUP(F2105,CARTON_LOOKUP!$A:$E,3,0),"")</f>
      </c>
      <c r="H2105" s="28">
        <f>IFERROR(VLOOKUP(F2105,CARTON_LOOKUP!$A:$E,4,0),"")</f>
      </c>
      <c r="I2105" s="28">
        <f>IFERROR(VLOOKUP(F2105,CARTON_LOOKUP!$A:$E,5,0),"")</f>
      </c>
      <c r="J2105" s="29">
        <f>IFERROR(VLOOKUP(F2105,CARTON_LOOKUP!$A:$E,2,0),"")</f>
      </c>
      <c r="K2105" s="29">
        <f>IFERROR(J2105*D2105,0)</f>
      </c>
      <c r="L2105" s="29">
        <f>IFERROR(E2105*C2105,0)</f>
      </c>
      <c r="M2105" s="29">
        <f>IFERROR((G2105*H2105*I2105/1000000)*D2105,0)</f>
      </c>
    </row>
    <row r="2106" spans="1:13" x14ac:dyDescent="0.25">
      <c r="A2106" s="16"/>
      <c r="E2106" s="27"/>
      <c r="F2106" t="s">
        <v>26</v>
      </c>
      <c r="G2106" s="28">
        <f>IFERROR(VLOOKUP(F2106,CARTON_LOOKUP!$A:$E,3,0),"")</f>
      </c>
      <c r="H2106" s="28">
        <f>IFERROR(VLOOKUP(F2106,CARTON_LOOKUP!$A:$E,4,0),"")</f>
      </c>
      <c r="I2106" s="28">
        <f>IFERROR(VLOOKUP(F2106,CARTON_LOOKUP!$A:$E,5,0),"")</f>
      </c>
      <c r="J2106" s="29">
        <f>IFERROR(VLOOKUP(F2106,CARTON_LOOKUP!$A:$E,2,0),"")</f>
      </c>
      <c r="K2106" s="29">
        <f>IFERROR(J2106*D2106,0)</f>
      </c>
      <c r="L2106" s="29">
        <f>IFERROR(E2106*C2106,0)</f>
      </c>
      <c r="M2106" s="29">
        <f>IFERROR((G2106*H2106*I2106/1000000)*D2106,0)</f>
      </c>
    </row>
    <row r="2107" spans="1:13" x14ac:dyDescent="0.25">
      <c r="A2107" s="16"/>
      <c r="E2107" s="27"/>
      <c r="F2107" t="s">
        <v>26</v>
      </c>
      <c r="G2107" s="28">
        <f>IFERROR(VLOOKUP(F2107,CARTON_LOOKUP!$A:$E,3,0),"")</f>
      </c>
      <c r="H2107" s="28">
        <f>IFERROR(VLOOKUP(F2107,CARTON_LOOKUP!$A:$E,4,0),"")</f>
      </c>
      <c r="I2107" s="28">
        <f>IFERROR(VLOOKUP(F2107,CARTON_LOOKUP!$A:$E,5,0),"")</f>
      </c>
      <c r="J2107" s="29">
        <f>IFERROR(VLOOKUP(F2107,CARTON_LOOKUP!$A:$E,2,0),"")</f>
      </c>
      <c r="K2107" s="29">
        <f>IFERROR(J2107*D2107,0)</f>
      </c>
      <c r="L2107" s="29">
        <f>IFERROR(E2107*C2107,0)</f>
      </c>
      <c r="M2107" s="29">
        <f>IFERROR((G2107*H2107*I2107/1000000)*D2107,0)</f>
      </c>
    </row>
    <row r="2108" spans="1:13" x14ac:dyDescent="0.25">
      <c r="A2108" s="16"/>
      <c r="E2108" s="27"/>
      <c r="F2108" t="s">
        <v>26</v>
      </c>
      <c r="G2108" s="28">
        <f>IFERROR(VLOOKUP(F2108,CARTON_LOOKUP!$A:$E,3,0),"")</f>
      </c>
      <c r="H2108" s="28">
        <f>IFERROR(VLOOKUP(F2108,CARTON_LOOKUP!$A:$E,4,0),"")</f>
      </c>
      <c r="I2108" s="28">
        <f>IFERROR(VLOOKUP(F2108,CARTON_LOOKUP!$A:$E,5,0),"")</f>
      </c>
      <c r="J2108" s="29">
        <f>IFERROR(VLOOKUP(F2108,CARTON_LOOKUP!$A:$E,2,0),"")</f>
      </c>
      <c r="K2108" s="29">
        <f>IFERROR(J2108*D2108,0)</f>
      </c>
      <c r="L2108" s="29">
        <f>IFERROR(E2108*C2108,0)</f>
      </c>
      <c r="M2108" s="29">
        <f>IFERROR((G2108*H2108*I2108/1000000)*D2108,0)</f>
      </c>
    </row>
    <row r="2109" spans="1:13" x14ac:dyDescent="0.25">
      <c r="A2109" s="16"/>
      <c r="E2109" s="27"/>
      <c r="F2109" t="s">
        <v>26</v>
      </c>
      <c r="G2109" s="28">
        <f>IFERROR(VLOOKUP(F2109,CARTON_LOOKUP!$A:$E,3,0),"")</f>
      </c>
      <c r="H2109" s="28">
        <f>IFERROR(VLOOKUP(F2109,CARTON_LOOKUP!$A:$E,4,0),"")</f>
      </c>
      <c r="I2109" s="28">
        <f>IFERROR(VLOOKUP(F2109,CARTON_LOOKUP!$A:$E,5,0),"")</f>
      </c>
      <c r="J2109" s="29">
        <f>IFERROR(VLOOKUP(F2109,CARTON_LOOKUP!$A:$E,2,0),"")</f>
      </c>
      <c r="K2109" s="29">
        <f>IFERROR(J2109*D2109,0)</f>
      </c>
      <c r="L2109" s="29">
        <f>IFERROR(E2109*C2109,0)</f>
      </c>
      <c r="M2109" s="29">
        <f>IFERROR((G2109*H2109*I2109/1000000)*D2109,0)</f>
      </c>
    </row>
    <row r="2110" spans="1:13" x14ac:dyDescent="0.25">
      <c r="A2110" s="16"/>
      <c r="E2110" s="27"/>
      <c r="F2110" t="s">
        <v>26</v>
      </c>
      <c r="G2110" s="28">
        <f>IFERROR(VLOOKUP(F2110,CARTON_LOOKUP!$A:$E,3,0),"")</f>
      </c>
      <c r="H2110" s="28">
        <f>IFERROR(VLOOKUP(F2110,CARTON_LOOKUP!$A:$E,4,0),"")</f>
      </c>
      <c r="I2110" s="28">
        <f>IFERROR(VLOOKUP(F2110,CARTON_LOOKUP!$A:$E,5,0),"")</f>
      </c>
      <c r="J2110" s="29">
        <f>IFERROR(VLOOKUP(F2110,CARTON_LOOKUP!$A:$E,2,0),"")</f>
      </c>
      <c r="K2110" s="29">
        <f>IFERROR(J2110*D2110,0)</f>
      </c>
      <c r="L2110" s="29">
        <f>IFERROR(E2110*C2110,0)</f>
      </c>
      <c r="M2110" s="29">
        <f>IFERROR((G2110*H2110*I2110/1000000)*D2110,0)</f>
      </c>
    </row>
    <row r="2111" spans="1:13" x14ac:dyDescent="0.25">
      <c r="A2111" s="16"/>
      <c r="E2111" s="27"/>
      <c r="F2111" t="s">
        <v>26</v>
      </c>
      <c r="G2111" s="28">
        <f>IFERROR(VLOOKUP(F2111,CARTON_LOOKUP!$A:$E,3,0),"")</f>
      </c>
      <c r="H2111" s="28">
        <f>IFERROR(VLOOKUP(F2111,CARTON_LOOKUP!$A:$E,4,0),"")</f>
      </c>
      <c r="I2111" s="28">
        <f>IFERROR(VLOOKUP(F2111,CARTON_LOOKUP!$A:$E,5,0),"")</f>
      </c>
      <c r="J2111" s="29">
        <f>IFERROR(VLOOKUP(F2111,CARTON_LOOKUP!$A:$E,2,0),"")</f>
      </c>
      <c r="K2111" s="29">
        <f>IFERROR(J2111*D2111,0)</f>
      </c>
      <c r="L2111" s="29">
        <f>IFERROR(E2111*C2111,0)</f>
      </c>
      <c r="M2111" s="29">
        <f>IFERROR((G2111*H2111*I2111/1000000)*D2111,0)</f>
      </c>
    </row>
    <row r="2112" spans="1:13" x14ac:dyDescent="0.25">
      <c r="A2112" s="16"/>
      <c r="E2112" s="27"/>
      <c r="F2112" t="s">
        <v>26</v>
      </c>
      <c r="G2112" s="28">
        <f>IFERROR(VLOOKUP(F2112,CARTON_LOOKUP!$A:$E,3,0),"")</f>
      </c>
      <c r="H2112" s="28">
        <f>IFERROR(VLOOKUP(F2112,CARTON_LOOKUP!$A:$E,4,0),"")</f>
      </c>
      <c r="I2112" s="28">
        <f>IFERROR(VLOOKUP(F2112,CARTON_LOOKUP!$A:$E,5,0),"")</f>
      </c>
      <c r="J2112" s="29">
        <f>IFERROR(VLOOKUP(F2112,CARTON_LOOKUP!$A:$E,2,0),"")</f>
      </c>
      <c r="K2112" s="29">
        <f>IFERROR(J2112*D2112,0)</f>
      </c>
      <c r="L2112" s="29">
        <f>IFERROR(E2112*C2112,0)</f>
      </c>
      <c r="M2112" s="29">
        <f>IFERROR((G2112*H2112*I2112/1000000)*D2112,0)</f>
      </c>
    </row>
    <row r="2113" spans="1:13" x14ac:dyDescent="0.25">
      <c r="A2113" s="16"/>
      <c r="E2113" s="27"/>
      <c r="F2113" t="s">
        <v>26</v>
      </c>
      <c r="G2113" s="28">
        <f>IFERROR(VLOOKUP(F2113,CARTON_LOOKUP!$A:$E,3,0),"")</f>
      </c>
      <c r="H2113" s="28">
        <f>IFERROR(VLOOKUP(F2113,CARTON_LOOKUP!$A:$E,4,0),"")</f>
      </c>
      <c r="I2113" s="28">
        <f>IFERROR(VLOOKUP(F2113,CARTON_LOOKUP!$A:$E,5,0),"")</f>
      </c>
      <c r="J2113" s="29">
        <f>IFERROR(VLOOKUP(F2113,CARTON_LOOKUP!$A:$E,2,0),"")</f>
      </c>
      <c r="K2113" s="29">
        <f>IFERROR(J2113*D2113,0)</f>
      </c>
      <c r="L2113" s="29">
        <f>IFERROR(E2113*C2113,0)</f>
      </c>
      <c r="M2113" s="29">
        <f>IFERROR((G2113*H2113*I2113/1000000)*D2113,0)</f>
      </c>
    </row>
    <row r="2114" spans="1:13" x14ac:dyDescent="0.25">
      <c r="A2114" s="16"/>
      <c r="E2114" s="27"/>
      <c r="F2114" t="s">
        <v>26</v>
      </c>
      <c r="G2114" s="28">
        <f>IFERROR(VLOOKUP(F2114,CARTON_LOOKUP!$A:$E,3,0),"")</f>
      </c>
      <c r="H2114" s="28">
        <f>IFERROR(VLOOKUP(F2114,CARTON_LOOKUP!$A:$E,4,0),"")</f>
      </c>
      <c r="I2114" s="28">
        <f>IFERROR(VLOOKUP(F2114,CARTON_LOOKUP!$A:$E,5,0),"")</f>
      </c>
      <c r="J2114" s="29">
        <f>IFERROR(VLOOKUP(F2114,CARTON_LOOKUP!$A:$E,2,0),"")</f>
      </c>
      <c r="K2114" s="29">
        <f>IFERROR(J2114*D2114,0)</f>
      </c>
      <c r="L2114" s="29">
        <f>IFERROR(E2114*C2114,0)</f>
      </c>
      <c r="M2114" s="29">
        <f>IFERROR((G2114*H2114*I2114/1000000)*D2114,0)</f>
      </c>
    </row>
    <row r="2115" spans="1:13" x14ac:dyDescent="0.25">
      <c r="A2115" s="16"/>
      <c r="E2115" s="27"/>
      <c r="F2115" t="s">
        <v>26</v>
      </c>
      <c r="G2115" s="28">
        <f>IFERROR(VLOOKUP(F2115,CARTON_LOOKUP!$A:$E,3,0),"")</f>
      </c>
      <c r="H2115" s="28">
        <f>IFERROR(VLOOKUP(F2115,CARTON_LOOKUP!$A:$E,4,0),"")</f>
      </c>
      <c r="I2115" s="28">
        <f>IFERROR(VLOOKUP(F2115,CARTON_LOOKUP!$A:$E,5,0),"")</f>
      </c>
      <c r="J2115" s="29">
        <f>IFERROR(VLOOKUP(F2115,CARTON_LOOKUP!$A:$E,2,0),"")</f>
      </c>
      <c r="K2115" s="29">
        <f>IFERROR(J2115*D2115,0)</f>
      </c>
      <c r="L2115" s="29">
        <f>IFERROR(E2115*C2115,0)</f>
      </c>
      <c r="M2115" s="29">
        <f>IFERROR((G2115*H2115*I2115/1000000)*D2115,0)</f>
      </c>
    </row>
    <row r="2116" spans="1:13" x14ac:dyDescent="0.25">
      <c r="A2116" s="16"/>
      <c r="E2116" s="27"/>
      <c r="F2116" t="s">
        <v>26</v>
      </c>
      <c r="G2116" s="28">
        <f>IFERROR(VLOOKUP(F2116,CARTON_LOOKUP!$A:$E,3,0),"")</f>
      </c>
      <c r="H2116" s="28">
        <f>IFERROR(VLOOKUP(F2116,CARTON_LOOKUP!$A:$E,4,0),"")</f>
      </c>
      <c r="I2116" s="28">
        <f>IFERROR(VLOOKUP(F2116,CARTON_LOOKUP!$A:$E,5,0),"")</f>
      </c>
      <c r="J2116" s="29">
        <f>IFERROR(VLOOKUP(F2116,CARTON_LOOKUP!$A:$E,2,0),"")</f>
      </c>
      <c r="K2116" s="29">
        <f>IFERROR(J2116*D2116,0)</f>
      </c>
      <c r="L2116" s="29">
        <f>IFERROR(E2116*C2116,0)</f>
      </c>
      <c r="M2116" s="29">
        <f>IFERROR((G2116*H2116*I2116/1000000)*D2116,0)</f>
      </c>
    </row>
    <row r="2117" spans="1:13" x14ac:dyDescent="0.25">
      <c r="A2117" s="16"/>
      <c r="E2117" s="27"/>
      <c r="F2117" t="s">
        <v>26</v>
      </c>
      <c r="G2117" s="28">
        <f>IFERROR(VLOOKUP(F2117,CARTON_LOOKUP!$A:$E,3,0),"")</f>
      </c>
      <c r="H2117" s="28">
        <f>IFERROR(VLOOKUP(F2117,CARTON_LOOKUP!$A:$E,4,0),"")</f>
      </c>
      <c r="I2117" s="28">
        <f>IFERROR(VLOOKUP(F2117,CARTON_LOOKUP!$A:$E,5,0),"")</f>
      </c>
      <c r="J2117" s="29">
        <f>IFERROR(VLOOKUP(F2117,CARTON_LOOKUP!$A:$E,2,0),"")</f>
      </c>
      <c r="K2117" s="29">
        <f>IFERROR(J2117*D2117,0)</f>
      </c>
      <c r="L2117" s="29">
        <f>IFERROR(E2117*C2117,0)</f>
      </c>
      <c r="M2117" s="29">
        <f>IFERROR((G2117*H2117*I2117/1000000)*D2117,0)</f>
      </c>
    </row>
    <row r="2118" spans="1:13" x14ac:dyDescent="0.25">
      <c r="A2118" s="16"/>
      <c r="E2118" s="27"/>
      <c r="F2118" t="s">
        <v>26</v>
      </c>
      <c r="G2118" s="28">
        <f>IFERROR(VLOOKUP(F2118,CARTON_LOOKUP!$A:$E,3,0),"")</f>
      </c>
      <c r="H2118" s="28">
        <f>IFERROR(VLOOKUP(F2118,CARTON_LOOKUP!$A:$E,4,0),"")</f>
      </c>
      <c r="I2118" s="28">
        <f>IFERROR(VLOOKUP(F2118,CARTON_LOOKUP!$A:$E,5,0),"")</f>
      </c>
      <c r="J2118" s="29">
        <f>IFERROR(VLOOKUP(F2118,CARTON_LOOKUP!$A:$E,2,0),"")</f>
      </c>
      <c r="K2118" s="29">
        <f>IFERROR(J2118*D2118,0)</f>
      </c>
      <c r="L2118" s="29">
        <f>IFERROR(E2118*C2118,0)</f>
      </c>
      <c r="M2118" s="29">
        <f>IFERROR((G2118*H2118*I2118/1000000)*D2118,0)</f>
      </c>
    </row>
    <row r="2119" spans="1:13" x14ac:dyDescent="0.25">
      <c r="A2119" s="16"/>
      <c r="E2119" s="27"/>
      <c r="F2119" t="s">
        <v>26</v>
      </c>
      <c r="G2119" s="28">
        <f>IFERROR(VLOOKUP(F2119,CARTON_LOOKUP!$A:$E,3,0),"")</f>
      </c>
      <c r="H2119" s="28">
        <f>IFERROR(VLOOKUP(F2119,CARTON_LOOKUP!$A:$E,4,0),"")</f>
      </c>
      <c r="I2119" s="28">
        <f>IFERROR(VLOOKUP(F2119,CARTON_LOOKUP!$A:$E,5,0),"")</f>
      </c>
      <c r="J2119" s="29">
        <f>IFERROR(VLOOKUP(F2119,CARTON_LOOKUP!$A:$E,2,0),"")</f>
      </c>
      <c r="K2119" s="29">
        <f>IFERROR(J2119*D2119,0)</f>
      </c>
      <c r="L2119" s="29">
        <f>IFERROR(E2119*C2119,0)</f>
      </c>
      <c r="M2119" s="29">
        <f>IFERROR((G2119*H2119*I2119/1000000)*D2119,0)</f>
      </c>
    </row>
    <row r="2120" spans="1:13" x14ac:dyDescent="0.25">
      <c r="A2120" s="16"/>
      <c r="E2120" s="27"/>
      <c r="F2120" t="s">
        <v>26</v>
      </c>
      <c r="G2120" s="28">
        <f>IFERROR(VLOOKUP(F2120,CARTON_LOOKUP!$A:$E,3,0),"")</f>
      </c>
      <c r="H2120" s="28">
        <f>IFERROR(VLOOKUP(F2120,CARTON_LOOKUP!$A:$E,4,0),"")</f>
      </c>
      <c r="I2120" s="28">
        <f>IFERROR(VLOOKUP(F2120,CARTON_LOOKUP!$A:$E,5,0),"")</f>
      </c>
      <c r="J2120" s="29">
        <f>IFERROR(VLOOKUP(F2120,CARTON_LOOKUP!$A:$E,2,0),"")</f>
      </c>
      <c r="K2120" s="29">
        <f>IFERROR(J2120*D2120,0)</f>
      </c>
      <c r="L2120" s="29">
        <f>IFERROR(E2120*C2120,0)</f>
      </c>
      <c r="M2120" s="29">
        <f>IFERROR((G2120*H2120*I2120/1000000)*D2120,0)</f>
      </c>
    </row>
    <row r="2121" spans="1:13" x14ac:dyDescent="0.25">
      <c r="A2121" s="16"/>
      <c r="E2121" s="27"/>
      <c r="F2121" t="s">
        <v>26</v>
      </c>
      <c r="G2121" s="28">
        <f>IFERROR(VLOOKUP(F2121,CARTON_LOOKUP!$A:$E,3,0),"")</f>
      </c>
      <c r="H2121" s="28">
        <f>IFERROR(VLOOKUP(F2121,CARTON_LOOKUP!$A:$E,4,0),"")</f>
      </c>
      <c r="I2121" s="28">
        <f>IFERROR(VLOOKUP(F2121,CARTON_LOOKUP!$A:$E,5,0),"")</f>
      </c>
      <c r="J2121" s="29">
        <f>IFERROR(VLOOKUP(F2121,CARTON_LOOKUP!$A:$E,2,0),"")</f>
      </c>
      <c r="K2121" s="29">
        <f>IFERROR(J2121*D2121,0)</f>
      </c>
      <c r="L2121" s="29">
        <f>IFERROR(E2121*C2121,0)</f>
      </c>
      <c r="M2121" s="29">
        <f>IFERROR((G2121*H2121*I2121/1000000)*D2121,0)</f>
      </c>
    </row>
    <row r="2122" spans="1:13" x14ac:dyDescent="0.25">
      <c r="A2122" s="16"/>
      <c r="E2122" s="27"/>
      <c r="F2122" t="s">
        <v>26</v>
      </c>
      <c r="G2122" s="28">
        <f>IFERROR(VLOOKUP(F2122,CARTON_LOOKUP!$A:$E,3,0),"")</f>
      </c>
      <c r="H2122" s="28">
        <f>IFERROR(VLOOKUP(F2122,CARTON_LOOKUP!$A:$E,4,0),"")</f>
      </c>
      <c r="I2122" s="28">
        <f>IFERROR(VLOOKUP(F2122,CARTON_LOOKUP!$A:$E,5,0),"")</f>
      </c>
      <c r="J2122" s="29">
        <f>IFERROR(VLOOKUP(F2122,CARTON_LOOKUP!$A:$E,2,0),"")</f>
      </c>
      <c r="K2122" s="29">
        <f>IFERROR(J2122*D2122,0)</f>
      </c>
      <c r="L2122" s="29">
        <f>IFERROR(E2122*C2122,0)</f>
      </c>
      <c r="M2122" s="29">
        <f>IFERROR((G2122*H2122*I2122/1000000)*D2122,0)</f>
      </c>
    </row>
    <row r="2123" spans="1:13" x14ac:dyDescent="0.25">
      <c r="A2123" s="16"/>
      <c r="E2123" s="27"/>
      <c r="F2123" t="s">
        <v>26</v>
      </c>
      <c r="G2123" s="28">
        <f>IFERROR(VLOOKUP(F2123,CARTON_LOOKUP!$A:$E,3,0),"")</f>
      </c>
      <c r="H2123" s="28">
        <f>IFERROR(VLOOKUP(F2123,CARTON_LOOKUP!$A:$E,4,0),"")</f>
      </c>
      <c r="I2123" s="28">
        <f>IFERROR(VLOOKUP(F2123,CARTON_LOOKUP!$A:$E,5,0),"")</f>
      </c>
      <c r="J2123" s="29">
        <f>IFERROR(VLOOKUP(F2123,CARTON_LOOKUP!$A:$E,2,0),"")</f>
      </c>
      <c r="K2123" s="29">
        <f>IFERROR(J2123*D2123,0)</f>
      </c>
      <c r="L2123" s="29">
        <f>IFERROR(E2123*C2123,0)</f>
      </c>
      <c r="M2123" s="29">
        <f>IFERROR((G2123*H2123*I2123/1000000)*D2123,0)</f>
      </c>
    </row>
    <row r="2124" spans="1:13" x14ac:dyDescent="0.25">
      <c r="A2124" s="16"/>
      <c r="E2124" s="27"/>
      <c r="F2124" t="s">
        <v>26</v>
      </c>
      <c r="G2124" s="28">
        <f>IFERROR(VLOOKUP(F2124,CARTON_LOOKUP!$A:$E,3,0),"")</f>
      </c>
      <c r="H2124" s="28">
        <f>IFERROR(VLOOKUP(F2124,CARTON_LOOKUP!$A:$E,4,0),"")</f>
      </c>
      <c r="I2124" s="28">
        <f>IFERROR(VLOOKUP(F2124,CARTON_LOOKUP!$A:$E,5,0),"")</f>
      </c>
      <c r="J2124" s="29">
        <f>IFERROR(VLOOKUP(F2124,CARTON_LOOKUP!$A:$E,2,0),"")</f>
      </c>
      <c r="K2124" s="29">
        <f>IFERROR(J2124*D2124,0)</f>
      </c>
      <c r="L2124" s="29">
        <f>IFERROR(E2124*C2124,0)</f>
      </c>
      <c r="M2124" s="29">
        <f>IFERROR((G2124*H2124*I2124/1000000)*D2124,0)</f>
      </c>
    </row>
    <row r="2125" spans="1:13" x14ac:dyDescent="0.25">
      <c r="A2125" s="16"/>
      <c r="E2125" s="27"/>
      <c r="F2125" t="s">
        <v>26</v>
      </c>
      <c r="G2125" s="28">
        <f>IFERROR(VLOOKUP(F2125,CARTON_LOOKUP!$A:$E,3,0),"")</f>
      </c>
      <c r="H2125" s="28">
        <f>IFERROR(VLOOKUP(F2125,CARTON_LOOKUP!$A:$E,4,0),"")</f>
      </c>
      <c r="I2125" s="28">
        <f>IFERROR(VLOOKUP(F2125,CARTON_LOOKUP!$A:$E,5,0),"")</f>
      </c>
      <c r="J2125" s="29">
        <f>IFERROR(VLOOKUP(F2125,CARTON_LOOKUP!$A:$E,2,0),"")</f>
      </c>
      <c r="K2125" s="29">
        <f>IFERROR(J2125*D2125,0)</f>
      </c>
      <c r="L2125" s="29">
        <f>IFERROR(E2125*C2125,0)</f>
      </c>
      <c r="M2125" s="29">
        <f>IFERROR((G2125*H2125*I2125/1000000)*D2125,0)</f>
      </c>
    </row>
    <row r="2126" spans="1:13" x14ac:dyDescent="0.25">
      <c r="A2126" s="16"/>
      <c r="E2126" s="27"/>
      <c r="F2126" t="s">
        <v>26</v>
      </c>
      <c r="G2126" s="28">
        <f>IFERROR(VLOOKUP(F2126,CARTON_LOOKUP!$A:$E,3,0),"")</f>
      </c>
      <c r="H2126" s="28">
        <f>IFERROR(VLOOKUP(F2126,CARTON_LOOKUP!$A:$E,4,0),"")</f>
      </c>
      <c r="I2126" s="28">
        <f>IFERROR(VLOOKUP(F2126,CARTON_LOOKUP!$A:$E,5,0),"")</f>
      </c>
      <c r="J2126" s="29">
        <f>IFERROR(VLOOKUP(F2126,CARTON_LOOKUP!$A:$E,2,0),"")</f>
      </c>
      <c r="K2126" s="29">
        <f>IFERROR(J2126*D2126,0)</f>
      </c>
      <c r="L2126" s="29">
        <f>IFERROR(E2126*C2126,0)</f>
      </c>
      <c r="M2126" s="29">
        <f>IFERROR((G2126*H2126*I2126/1000000)*D2126,0)</f>
      </c>
    </row>
    <row r="2127" spans="1:13" x14ac:dyDescent="0.25">
      <c r="A2127" s="16"/>
      <c r="E2127" s="27"/>
      <c r="F2127" t="s">
        <v>26</v>
      </c>
      <c r="G2127" s="28">
        <f>IFERROR(VLOOKUP(F2127,CARTON_LOOKUP!$A:$E,3,0),"")</f>
      </c>
      <c r="H2127" s="28">
        <f>IFERROR(VLOOKUP(F2127,CARTON_LOOKUP!$A:$E,4,0),"")</f>
      </c>
      <c r="I2127" s="28">
        <f>IFERROR(VLOOKUP(F2127,CARTON_LOOKUP!$A:$E,5,0),"")</f>
      </c>
      <c r="J2127" s="29">
        <f>IFERROR(VLOOKUP(F2127,CARTON_LOOKUP!$A:$E,2,0),"")</f>
      </c>
      <c r="K2127" s="29">
        <f>IFERROR(J2127*D2127,0)</f>
      </c>
      <c r="L2127" s="29">
        <f>IFERROR(E2127*C2127,0)</f>
      </c>
      <c r="M2127" s="29">
        <f>IFERROR((G2127*H2127*I2127/1000000)*D2127,0)</f>
      </c>
    </row>
    <row r="2128" spans="1:13" x14ac:dyDescent="0.25">
      <c r="A2128" s="16"/>
      <c r="E2128" s="27"/>
      <c r="F2128" t="s">
        <v>26</v>
      </c>
      <c r="G2128" s="28">
        <f>IFERROR(VLOOKUP(F2128,CARTON_LOOKUP!$A:$E,3,0),"")</f>
      </c>
      <c r="H2128" s="28">
        <f>IFERROR(VLOOKUP(F2128,CARTON_LOOKUP!$A:$E,4,0),"")</f>
      </c>
      <c r="I2128" s="28">
        <f>IFERROR(VLOOKUP(F2128,CARTON_LOOKUP!$A:$E,5,0),"")</f>
      </c>
      <c r="J2128" s="29">
        <f>IFERROR(VLOOKUP(F2128,CARTON_LOOKUP!$A:$E,2,0),"")</f>
      </c>
      <c r="K2128" s="29">
        <f>IFERROR(J2128*D2128,0)</f>
      </c>
      <c r="L2128" s="29">
        <f>IFERROR(E2128*C2128,0)</f>
      </c>
      <c r="M2128" s="29">
        <f>IFERROR((G2128*H2128*I2128/1000000)*D2128,0)</f>
      </c>
    </row>
    <row r="2129" spans="1:13" x14ac:dyDescent="0.25">
      <c r="A2129" s="16"/>
      <c r="E2129" s="27"/>
      <c r="F2129" t="s">
        <v>26</v>
      </c>
      <c r="G2129" s="28">
        <f>IFERROR(VLOOKUP(F2129,CARTON_LOOKUP!$A:$E,3,0),"")</f>
      </c>
      <c r="H2129" s="28">
        <f>IFERROR(VLOOKUP(F2129,CARTON_LOOKUP!$A:$E,4,0),"")</f>
      </c>
      <c r="I2129" s="28">
        <f>IFERROR(VLOOKUP(F2129,CARTON_LOOKUP!$A:$E,5,0),"")</f>
      </c>
      <c r="J2129" s="29">
        <f>IFERROR(VLOOKUP(F2129,CARTON_LOOKUP!$A:$E,2,0),"")</f>
      </c>
      <c r="K2129" s="29">
        <f>IFERROR(J2129*D2129,0)</f>
      </c>
      <c r="L2129" s="29">
        <f>IFERROR(E2129*C2129,0)</f>
      </c>
      <c r="M2129" s="29">
        <f>IFERROR((G2129*H2129*I2129/1000000)*D2129,0)</f>
      </c>
    </row>
    <row r="2130" spans="1:13" x14ac:dyDescent="0.25">
      <c r="A2130" s="16"/>
      <c r="E2130" s="27"/>
      <c r="F2130" t="s">
        <v>26</v>
      </c>
      <c r="G2130" s="28">
        <f>IFERROR(VLOOKUP(F2130,CARTON_LOOKUP!$A:$E,3,0),"")</f>
      </c>
      <c r="H2130" s="28">
        <f>IFERROR(VLOOKUP(F2130,CARTON_LOOKUP!$A:$E,4,0),"")</f>
      </c>
      <c r="I2130" s="28">
        <f>IFERROR(VLOOKUP(F2130,CARTON_LOOKUP!$A:$E,5,0),"")</f>
      </c>
      <c r="J2130" s="29">
        <f>IFERROR(VLOOKUP(F2130,CARTON_LOOKUP!$A:$E,2,0),"")</f>
      </c>
      <c r="K2130" s="29">
        <f>IFERROR(J2130*D2130,0)</f>
      </c>
      <c r="L2130" s="29">
        <f>IFERROR(E2130*C2130,0)</f>
      </c>
      <c r="M2130" s="29">
        <f>IFERROR((G2130*H2130*I2130/1000000)*D2130,0)</f>
      </c>
    </row>
    <row r="2131" spans="1:13" x14ac:dyDescent="0.25">
      <c r="A2131" s="16"/>
      <c r="E2131" s="27"/>
      <c r="F2131" t="s">
        <v>26</v>
      </c>
      <c r="G2131" s="28">
        <f>IFERROR(VLOOKUP(F2131,CARTON_LOOKUP!$A:$E,3,0),"")</f>
      </c>
      <c r="H2131" s="28">
        <f>IFERROR(VLOOKUP(F2131,CARTON_LOOKUP!$A:$E,4,0),"")</f>
      </c>
      <c r="I2131" s="28">
        <f>IFERROR(VLOOKUP(F2131,CARTON_LOOKUP!$A:$E,5,0),"")</f>
      </c>
      <c r="J2131" s="29">
        <f>IFERROR(VLOOKUP(F2131,CARTON_LOOKUP!$A:$E,2,0),"")</f>
      </c>
      <c r="K2131" s="29">
        <f>IFERROR(J2131*D2131,0)</f>
      </c>
      <c r="L2131" s="29">
        <f>IFERROR(E2131*C2131,0)</f>
      </c>
      <c r="M2131" s="29">
        <f>IFERROR((G2131*H2131*I2131/1000000)*D2131,0)</f>
      </c>
    </row>
    <row r="2132" spans="1:13" x14ac:dyDescent="0.25">
      <c r="A2132" s="16"/>
      <c r="E2132" s="27"/>
      <c r="F2132" t="s">
        <v>26</v>
      </c>
      <c r="G2132" s="28">
        <f>IFERROR(VLOOKUP(F2132,CARTON_LOOKUP!$A:$E,3,0),"")</f>
      </c>
      <c r="H2132" s="28">
        <f>IFERROR(VLOOKUP(F2132,CARTON_LOOKUP!$A:$E,4,0),"")</f>
      </c>
      <c r="I2132" s="28">
        <f>IFERROR(VLOOKUP(F2132,CARTON_LOOKUP!$A:$E,5,0),"")</f>
      </c>
      <c r="J2132" s="29">
        <f>IFERROR(VLOOKUP(F2132,CARTON_LOOKUP!$A:$E,2,0),"")</f>
      </c>
      <c r="K2132" s="29">
        <f>IFERROR(J2132*D2132,0)</f>
      </c>
      <c r="L2132" s="29">
        <f>IFERROR(E2132*C2132,0)</f>
      </c>
      <c r="M2132" s="29">
        <f>IFERROR((G2132*H2132*I2132/1000000)*D2132,0)</f>
      </c>
    </row>
    <row r="2133" spans="1:13" x14ac:dyDescent="0.25">
      <c r="A2133" s="16"/>
      <c r="E2133" s="27"/>
      <c r="F2133" t="s">
        <v>26</v>
      </c>
      <c r="G2133" s="28">
        <f>IFERROR(VLOOKUP(F2133,CARTON_LOOKUP!$A:$E,3,0),"")</f>
      </c>
      <c r="H2133" s="28">
        <f>IFERROR(VLOOKUP(F2133,CARTON_LOOKUP!$A:$E,4,0),"")</f>
      </c>
      <c r="I2133" s="28">
        <f>IFERROR(VLOOKUP(F2133,CARTON_LOOKUP!$A:$E,5,0),"")</f>
      </c>
      <c r="J2133" s="29">
        <f>IFERROR(VLOOKUP(F2133,CARTON_LOOKUP!$A:$E,2,0),"")</f>
      </c>
      <c r="K2133" s="29">
        <f>IFERROR(J2133*D2133,0)</f>
      </c>
      <c r="L2133" s="29">
        <f>IFERROR(E2133*C2133,0)</f>
      </c>
      <c r="M2133" s="29">
        <f>IFERROR((G2133*H2133*I2133/1000000)*D2133,0)</f>
      </c>
    </row>
    <row r="2134" spans="1:13" x14ac:dyDescent="0.25">
      <c r="A2134" s="16"/>
      <c r="E2134" s="27"/>
      <c r="F2134" t="s">
        <v>26</v>
      </c>
      <c r="G2134" s="28">
        <f>IFERROR(VLOOKUP(F2134,CARTON_LOOKUP!$A:$E,3,0),"")</f>
      </c>
      <c r="H2134" s="28">
        <f>IFERROR(VLOOKUP(F2134,CARTON_LOOKUP!$A:$E,4,0),"")</f>
      </c>
      <c r="I2134" s="28">
        <f>IFERROR(VLOOKUP(F2134,CARTON_LOOKUP!$A:$E,5,0),"")</f>
      </c>
      <c r="J2134" s="29">
        <f>IFERROR(VLOOKUP(F2134,CARTON_LOOKUP!$A:$E,2,0),"")</f>
      </c>
      <c r="K2134" s="29">
        <f>IFERROR(J2134*D2134,0)</f>
      </c>
      <c r="L2134" s="29">
        <f>IFERROR(E2134*C2134,0)</f>
      </c>
      <c r="M2134" s="29">
        <f>IFERROR((G2134*H2134*I2134/1000000)*D2134,0)</f>
      </c>
    </row>
    <row r="2135" spans="1:13" x14ac:dyDescent="0.25">
      <c r="A2135" s="16"/>
      <c r="E2135" s="27"/>
      <c r="F2135" t="s">
        <v>26</v>
      </c>
      <c r="G2135" s="28">
        <f>IFERROR(VLOOKUP(F2135,CARTON_LOOKUP!$A:$E,3,0),"")</f>
      </c>
      <c r="H2135" s="28">
        <f>IFERROR(VLOOKUP(F2135,CARTON_LOOKUP!$A:$E,4,0),"")</f>
      </c>
      <c r="I2135" s="28">
        <f>IFERROR(VLOOKUP(F2135,CARTON_LOOKUP!$A:$E,5,0),"")</f>
      </c>
      <c r="J2135" s="29">
        <f>IFERROR(VLOOKUP(F2135,CARTON_LOOKUP!$A:$E,2,0),"")</f>
      </c>
      <c r="K2135" s="29">
        <f>IFERROR(J2135*D2135,0)</f>
      </c>
      <c r="L2135" s="29">
        <f>IFERROR(E2135*C2135,0)</f>
      </c>
      <c r="M2135" s="29">
        <f>IFERROR((G2135*H2135*I2135/1000000)*D2135,0)</f>
      </c>
    </row>
    <row r="2136" spans="1:13" x14ac:dyDescent="0.25">
      <c r="A2136" s="16"/>
      <c r="E2136" s="27"/>
      <c r="F2136" t="s">
        <v>26</v>
      </c>
      <c r="G2136" s="28">
        <f>IFERROR(VLOOKUP(F2136,CARTON_LOOKUP!$A:$E,3,0),"")</f>
      </c>
      <c r="H2136" s="28">
        <f>IFERROR(VLOOKUP(F2136,CARTON_LOOKUP!$A:$E,4,0),"")</f>
      </c>
      <c r="I2136" s="28">
        <f>IFERROR(VLOOKUP(F2136,CARTON_LOOKUP!$A:$E,5,0),"")</f>
      </c>
      <c r="J2136" s="29">
        <f>IFERROR(VLOOKUP(F2136,CARTON_LOOKUP!$A:$E,2,0),"")</f>
      </c>
      <c r="K2136" s="29">
        <f>IFERROR(J2136*D2136,0)</f>
      </c>
      <c r="L2136" s="29">
        <f>IFERROR(E2136*C2136,0)</f>
      </c>
      <c r="M2136" s="29">
        <f>IFERROR((G2136*H2136*I2136/1000000)*D2136,0)</f>
      </c>
    </row>
    <row r="2137" spans="1:13" x14ac:dyDescent="0.25">
      <c r="A2137" s="16"/>
      <c r="E2137" s="27"/>
      <c r="F2137" t="s">
        <v>26</v>
      </c>
      <c r="G2137" s="28">
        <f>IFERROR(VLOOKUP(F2137,CARTON_LOOKUP!$A:$E,3,0),"")</f>
      </c>
      <c r="H2137" s="28">
        <f>IFERROR(VLOOKUP(F2137,CARTON_LOOKUP!$A:$E,4,0),"")</f>
      </c>
      <c r="I2137" s="28">
        <f>IFERROR(VLOOKUP(F2137,CARTON_LOOKUP!$A:$E,5,0),"")</f>
      </c>
      <c r="J2137" s="29">
        <f>IFERROR(VLOOKUP(F2137,CARTON_LOOKUP!$A:$E,2,0),"")</f>
      </c>
      <c r="K2137" s="29">
        <f>IFERROR(J2137*D2137,0)</f>
      </c>
      <c r="L2137" s="29">
        <f>IFERROR(E2137*C2137,0)</f>
      </c>
      <c r="M2137" s="29">
        <f>IFERROR((G2137*H2137*I2137/1000000)*D2137,0)</f>
      </c>
    </row>
    <row r="2138" spans="1:13" x14ac:dyDescent="0.25">
      <c r="A2138" s="16"/>
      <c r="E2138" s="27"/>
      <c r="F2138" t="s">
        <v>26</v>
      </c>
      <c r="G2138" s="28">
        <f>IFERROR(VLOOKUP(F2138,CARTON_LOOKUP!$A:$E,3,0),"")</f>
      </c>
      <c r="H2138" s="28">
        <f>IFERROR(VLOOKUP(F2138,CARTON_LOOKUP!$A:$E,4,0),"")</f>
      </c>
      <c r="I2138" s="28">
        <f>IFERROR(VLOOKUP(F2138,CARTON_LOOKUP!$A:$E,5,0),"")</f>
      </c>
      <c r="J2138" s="29">
        <f>IFERROR(VLOOKUP(F2138,CARTON_LOOKUP!$A:$E,2,0),"")</f>
      </c>
      <c r="K2138" s="29">
        <f>IFERROR(J2138*D2138,0)</f>
      </c>
      <c r="L2138" s="29">
        <f>IFERROR(E2138*C2138,0)</f>
      </c>
      <c r="M2138" s="29">
        <f>IFERROR((G2138*H2138*I2138/1000000)*D2138,0)</f>
      </c>
    </row>
    <row r="2139" spans="1:13" x14ac:dyDescent="0.25">
      <c r="A2139" s="16"/>
      <c r="E2139" s="27"/>
      <c r="F2139" t="s">
        <v>26</v>
      </c>
      <c r="G2139" s="28">
        <f>IFERROR(VLOOKUP(F2139,CARTON_LOOKUP!$A:$E,3,0),"")</f>
      </c>
      <c r="H2139" s="28">
        <f>IFERROR(VLOOKUP(F2139,CARTON_LOOKUP!$A:$E,4,0),"")</f>
      </c>
      <c r="I2139" s="28">
        <f>IFERROR(VLOOKUP(F2139,CARTON_LOOKUP!$A:$E,5,0),"")</f>
      </c>
      <c r="J2139" s="29">
        <f>IFERROR(VLOOKUP(F2139,CARTON_LOOKUP!$A:$E,2,0),"")</f>
      </c>
      <c r="K2139" s="29">
        <f>IFERROR(J2139*D2139,0)</f>
      </c>
      <c r="L2139" s="29">
        <f>IFERROR(E2139*C2139,0)</f>
      </c>
      <c r="M2139" s="29">
        <f>IFERROR((G2139*H2139*I2139/1000000)*D2139,0)</f>
      </c>
    </row>
    <row r="2140" spans="1:13" x14ac:dyDescent="0.25">
      <c r="A2140" s="16"/>
      <c r="E2140" s="27"/>
      <c r="F2140" t="s">
        <v>26</v>
      </c>
      <c r="G2140" s="28">
        <f>IFERROR(VLOOKUP(F2140,CARTON_LOOKUP!$A:$E,3,0),"")</f>
      </c>
      <c r="H2140" s="28">
        <f>IFERROR(VLOOKUP(F2140,CARTON_LOOKUP!$A:$E,4,0),"")</f>
      </c>
      <c r="I2140" s="28">
        <f>IFERROR(VLOOKUP(F2140,CARTON_LOOKUP!$A:$E,5,0),"")</f>
      </c>
      <c r="J2140" s="29">
        <f>IFERROR(VLOOKUP(F2140,CARTON_LOOKUP!$A:$E,2,0),"")</f>
      </c>
      <c r="K2140" s="29">
        <f>IFERROR(J2140*D2140,0)</f>
      </c>
      <c r="L2140" s="29">
        <f>IFERROR(E2140*C2140,0)</f>
      </c>
      <c r="M2140" s="29">
        <f>IFERROR((G2140*H2140*I2140/1000000)*D2140,0)</f>
      </c>
    </row>
    <row r="2141" spans="1:13" x14ac:dyDescent="0.25">
      <c r="A2141" s="16"/>
      <c r="E2141" s="27"/>
      <c r="F2141" t="s">
        <v>26</v>
      </c>
      <c r="G2141" s="28">
        <f>IFERROR(VLOOKUP(F2141,CARTON_LOOKUP!$A:$E,3,0),"")</f>
      </c>
      <c r="H2141" s="28">
        <f>IFERROR(VLOOKUP(F2141,CARTON_LOOKUP!$A:$E,4,0),"")</f>
      </c>
      <c r="I2141" s="28">
        <f>IFERROR(VLOOKUP(F2141,CARTON_LOOKUP!$A:$E,5,0),"")</f>
      </c>
      <c r="J2141" s="29">
        <f>IFERROR(VLOOKUP(F2141,CARTON_LOOKUP!$A:$E,2,0),"")</f>
      </c>
      <c r="K2141" s="29">
        <f>IFERROR(J2141*D2141,0)</f>
      </c>
      <c r="L2141" s="29">
        <f>IFERROR(E2141*C2141,0)</f>
      </c>
      <c r="M2141" s="29">
        <f>IFERROR((G2141*H2141*I2141/1000000)*D2141,0)</f>
      </c>
    </row>
    <row r="2142" spans="1:13" x14ac:dyDescent="0.25">
      <c r="A2142" s="16"/>
      <c r="E2142" s="27"/>
      <c r="F2142" t="s">
        <v>26</v>
      </c>
      <c r="G2142" s="28">
        <f>IFERROR(VLOOKUP(F2142,CARTON_LOOKUP!$A:$E,3,0),"")</f>
      </c>
      <c r="H2142" s="28">
        <f>IFERROR(VLOOKUP(F2142,CARTON_LOOKUP!$A:$E,4,0),"")</f>
      </c>
      <c r="I2142" s="28">
        <f>IFERROR(VLOOKUP(F2142,CARTON_LOOKUP!$A:$E,5,0),"")</f>
      </c>
      <c r="J2142" s="29">
        <f>IFERROR(VLOOKUP(F2142,CARTON_LOOKUP!$A:$E,2,0),"")</f>
      </c>
      <c r="K2142" s="29">
        <f>IFERROR(J2142*D2142,0)</f>
      </c>
      <c r="L2142" s="29">
        <f>IFERROR(E2142*C2142,0)</f>
      </c>
      <c r="M2142" s="29">
        <f>IFERROR((G2142*H2142*I2142/1000000)*D2142,0)</f>
      </c>
    </row>
    <row r="2143" spans="1:13" x14ac:dyDescent="0.25">
      <c r="A2143" s="16"/>
      <c r="E2143" s="27"/>
      <c r="F2143" t="s">
        <v>26</v>
      </c>
      <c r="G2143" s="28">
        <f>IFERROR(VLOOKUP(F2143,CARTON_LOOKUP!$A:$E,3,0),"")</f>
      </c>
      <c r="H2143" s="28">
        <f>IFERROR(VLOOKUP(F2143,CARTON_LOOKUP!$A:$E,4,0),"")</f>
      </c>
      <c r="I2143" s="28">
        <f>IFERROR(VLOOKUP(F2143,CARTON_LOOKUP!$A:$E,5,0),"")</f>
      </c>
      <c r="J2143" s="29">
        <f>IFERROR(VLOOKUP(F2143,CARTON_LOOKUP!$A:$E,2,0),"")</f>
      </c>
      <c r="K2143" s="29">
        <f>IFERROR(J2143*D2143,0)</f>
      </c>
      <c r="L2143" s="29">
        <f>IFERROR(E2143*C2143,0)</f>
      </c>
      <c r="M2143" s="29">
        <f>IFERROR((G2143*H2143*I2143/1000000)*D2143,0)</f>
      </c>
    </row>
    <row r="2144" spans="1:13" x14ac:dyDescent="0.25">
      <c r="A2144" s="16"/>
      <c r="E2144" s="27"/>
      <c r="F2144" t="s">
        <v>26</v>
      </c>
      <c r="G2144" s="28">
        <f>IFERROR(VLOOKUP(F2144,CARTON_LOOKUP!$A:$E,3,0),"")</f>
      </c>
      <c r="H2144" s="28">
        <f>IFERROR(VLOOKUP(F2144,CARTON_LOOKUP!$A:$E,4,0),"")</f>
      </c>
      <c r="I2144" s="28">
        <f>IFERROR(VLOOKUP(F2144,CARTON_LOOKUP!$A:$E,5,0),"")</f>
      </c>
      <c r="J2144" s="29">
        <f>IFERROR(VLOOKUP(F2144,CARTON_LOOKUP!$A:$E,2,0),"")</f>
      </c>
      <c r="K2144" s="29">
        <f>IFERROR(J2144*D2144,0)</f>
      </c>
      <c r="L2144" s="29">
        <f>IFERROR(E2144*C2144,0)</f>
      </c>
      <c r="M2144" s="29">
        <f>IFERROR((G2144*H2144*I2144/1000000)*D2144,0)</f>
      </c>
    </row>
    <row r="2145" spans="1:13" x14ac:dyDescent="0.25">
      <c r="A2145" s="16"/>
      <c r="E2145" s="27"/>
      <c r="F2145" t="s">
        <v>26</v>
      </c>
      <c r="G2145" s="28">
        <f>IFERROR(VLOOKUP(F2145,CARTON_LOOKUP!$A:$E,3,0),"")</f>
      </c>
      <c r="H2145" s="28">
        <f>IFERROR(VLOOKUP(F2145,CARTON_LOOKUP!$A:$E,4,0),"")</f>
      </c>
      <c r="I2145" s="28">
        <f>IFERROR(VLOOKUP(F2145,CARTON_LOOKUP!$A:$E,5,0),"")</f>
      </c>
      <c r="J2145" s="29">
        <f>IFERROR(VLOOKUP(F2145,CARTON_LOOKUP!$A:$E,2,0),"")</f>
      </c>
      <c r="K2145" s="29">
        <f>IFERROR(J2145*D2145,0)</f>
      </c>
      <c r="L2145" s="29">
        <f>IFERROR(E2145*C2145,0)</f>
      </c>
      <c r="M2145" s="29">
        <f>IFERROR((G2145*H2145*I2145/1000000)*D2145,0)</f>
      </c>
    </row>
    <row r="2146" spans="1:13" x14ac:dyDescent="0.25">
      <c r="A2146" s="16"/>
      <c r="E2146" s="27"/>
      <c r="F2146" t="s">
        <v>26</v>
      </c>
      <c r="G2146" s="28">
        <f>IFERROR(VLOOKUP(F2146,CARTON_LOOKUP!$A:$E,3,0),"")</f>
      </c>
      <c r="H2146" s="28">
        <f>IFERROR(VLOOKUP(F2146,CARTON_LOOKUP!$A:$E,4,0),"")</f>
      </c>
      <c r="I2146" s="28">
        <f>IFERROR(VLOOKUP(F2146,CARTON_LOOKUP!$A:$E,5,0),"")</f>
      </c>
      <c r="J2146" s="29">
        <f>IFERROR(VLOOKUP(F2146,CARTON_LOOKUP!$A:$E,2,0),"")</f>
      </c>
      <c r="K2146" s="29">
        <f>IFERROR(J2146*D2146,0)</f>
      </c>
      <c r="L2146" s="29">
        <f>IFERROR(E2146*C2146,0)</f>
      </c>
      <c r="M2146" s="29">
        <f>IFERROR((G2146*H2146*I2146/1000000)*D2146,0)</f>
      </c>
    </row>
    <row r="2147" spans="1:13" x14ac:dyDescent="0.25">
      <c r="A2147" s="16"/>
      <c r="E2147" s="27"/>
      <c r="F2147" t="s">
        <v>26</v>
      </c>
      <c r="G2147" s="28">
        <f>IFERROR(VLOOKUP(F2147,CARTON_LOOKUP!$A:$E,3,0),"")</f>
      </c>
      <c r="H2147" s="28">
        <f>IFERROR(VLOOKUP(F2147,CARTON_LOOKUP!$A:$E,4,0),"")</f>
      </c>
      <c r="I2147" s="28">
        <f>IFERROR(VLOOKUP(F2147,CARTON_LOOKUP!$A:$E,5,0),"")</f>
      </c>
      <c r="J2147" s="29">
        <f>IFERROR(VLOOKUP(F2147,CARTON_LOOKUP!$A:$E,2,0),"")</f>
      </c>
      <c r="K2147" s="29">
        <f>IFERROR(J2147*D2147,0)</f>
      </c>
      <c r="L2147" s="29">
        <f>IFERROR(E2147*C2147,0)</f>
      </c>
      <c r="M2147" s="29">
        <f>IFERROR((G2147*H2147*I2147/1000000)*D2147,0)</f>
      </c>
    </row>
    <row r="2148" spans="1:13" x14ac:dyDescent="0.25">
      <c r="A2148" s="16"/>
      <c r="E2148" s="27"/>
      <c r="F2148" t="s">
        <v>26</v>
      </c>
      <c r="G2148" s="28">
        <f>IFERROR(VLOOKUP(F2148,CARTON_LOOKUP!$A:$E,3,0),"")</f>
      </c>
      <c r="H2148" s="28">
        <f>IFERROR(VLOOKUP(F2148,CARTON_LOOKUP!$A:$E,4,0),"")</f>
      </c>
      <c r="I2148" s="28">
        <f>IFERROR(VLOOKUP(F2148,CARTON_LOOKUP!$A:$E,5,0),"")</f>
      </c>
      <c r="J2148" s="29">
        <f>IFERROR(VLOOKUP(F2148,CARTON_LOOKUP!$A:$E,2,0),"")</f>
      </c>
      <c r="K2148" s="29">
        <f>IFERROR(J2148*D2148,0)</f>
      </c>
      <c r="L2148" s="29">
        <f>IFERROR(E2148*C2148,0)</f>
      </c>
      <c r="M2148" s="29">
        <f>IFERROR((G2148*H2148*I2148/1000000)*D2148,0)</f>
      </c>
    </row>
    <row r="2149" spans="1:13" x14ac:dyDescent="0.25">
      <c r="A2149" s="16"/>
      <c r="E2149" s="27"/>
      <c r="F2149" t="s">
        <v>26</v>
      </c>
      <c r="G2149" s="28">
        <f>IFERROR(VLOOKUP(F2149,CARTON_LOOKUP!$A:$E,3,0),"")</f>
      </c>
      <c r="H2149" s="28">
        <f>IFERROR(VLOOKUP(F2149,CARTON_LOOKUP!$A:$E,4,0),"")</f>
      </c>
      <c r="I2149" s="28">
        <f>IFERROR(VLOOKUP(F2149,CARTON_LOOKUP!$A:$E,5,0),"")</f>
      </c>
      <c r="J2149" s="29">
        <f>IFERROR(VLOOKUP(F2149,CARTON_LOOKUP!$A:$E,2,0),"")</f>
      </c>
      <c r="K2149" s="29">
        <f>IFERROR(J2149*D2149,0)</f>
      </c>
      <c r="L2149" s="29">
        <f>IFERROR(E2149*C2149,0)</f>
      </c>
      <c r="M2149" s="29">
        <f>IFERROR((G2149*H2149*I2149/1000000)*D2149,0)</f>
      </c>
    </row>
    <row r="2150" spans="1:13" x14ac:dyDescent="0.25">
      <c r="A2150" s="16"/>
      <c r="E2150" s="27"/>
      <c r="F2150" t="s">
        <v>26</v>
      </c>
      <c r="G2150" s="28">
        <f>IFERROR(VLOOKUP(F2150,CARTON_LOOKUP!$A:$E,3,0),"")</f>
      </c>
      <c r="H2150" s="28">
        <f>IFERROR(VLOOKUP(F2150,CARTON_LOOKUP!$A:$E,4,0),"")</f>
      </c>
      <c r="I2150" s="28">
        <f>IFERROR(VLOOKUP(F2150,CARTON_LOOKUP!$A:$E,5,0),"")</f>
      </c>
      <c r="J2150" s="29">
        <f>IFERROR(VLOOKUP(F2150,CARTON_LOOKUP!$A:$E,2,0),"")</f>
      </c>
      <c r="K2150" s="29">
        <f>IFERROR(J2150*D2150,0)</f>
      </c>
      <c r="L2150" s="29">
        <f>IFERROR(E2150*C2150,0)</f>
      </c>
      <c r="M2150" s="29">
        <f>IFERROR((G2150*H2150*I2150/1000000)*D2150,0)</f>
      </c>
    </row>
    <row r="2151" spans="1:13" x14ac:dyDescent="0.25">
      <c r="A2151" s="16"/>
      <c r="E2151" s="27"/>
      <c r="F2151" t="s">
        <v>26</v>
      </c>
      <c r="G2151" s="28">
        <f>IFERROR(VLOOKUP(F2151,CARTON_LOOKUP!$A:$E,3,0),"")</f>
      </c>
      <c r="H2151" s="28">
        <f>IFERROR(VLOOKUP(F2151,CARTON_LOOKUP!$A:$E,4,0),"")</f>
      </c>
      <c r="I2151" s="28">
        <f>IFERROR(VLOOKUP(F2151,CARTON_LOOKUP!$A:$E,5,0),"")</f>
      </c>
      <c r="J2151" s="29">
        <f>IFERROR(VLOOKUP(F2151,CARTON_LOOKUP!$A:$E,2,0),"")</f>
      </c>
      <c r="K2151" s="29">
        <f>IFERROR(J2151*D2151,0)</f>
      </c>
      <c r="L2151" s="29">
        <f>IFERROR(E2151*C2151,0)</f>
      </c>
      <c r="M2151" s="29">
        <f>IFERROR((G2151*H2151*I2151/1000000)*D2151,0)</f>
      </c>
    </row>
    <row r="2152" spans="1:13" x14ac:dyDescent="0.25">
      <c r="A2152" s="16"/>
      <c r="E2152" s="27"/>
      <c r="F2152" t="s">
        <v>26</v>
      </c>
      <c r="G2152" s="28">
        <f>IFERROR(VLOOKUP(F2152,CARTON_LOOKUP!$A:$E,3,0),"")</f>
      </c>
      <c r="H2152" s="28">
        <f>IFERROR(VLOOKUP(F2152,CARTON_LOOKUP!$A:$E,4,0),"")</f>
      </c>
      <c r="I2152" s="28">
        <f>IFERROR(VLOOKUP(F2152,CARTON_LOOKUP!$A:$E,5,0),"")</f>
      </c>
      <c r="J2152" s="29">
        <f>IFERROR(VLOOKUP(F2152,CARTON_LOOKUP!$A:$E,2,0),"")</f>
      </c>
      <c r="K2152" s="29">
        <f>IFERROR(J2152*D2152,0)</f>
      </c>
      <c r="L2152" s="29">
        <f>IFERROR(E2152*C2152,0)</f>
      </c>
      <c r="M2152" s="29">
        <f>IFERROR((G2152*H2152*I2152/1000000)*D2152,0)</f>
      </c>
    </row>
    <row r="2153" spans="1:13" x14ac:dyDescent="0.25">
      <c r="A2153" s="16"/>
      <c r="E2153" s="27"/>
      <c r="F2153" t="s">
        <v>26</v>
      </c>
      <c r="G2153" s="28">
        <f>IFERROR(VLOOKUP(F2153,CARTON_LOOKUP!$A:$E,3,0),"")</f>
      </c>
      <c r="H2153" s="28">
        <f>IFERROR(VLOOKUP(F2153,CARTON_LOOKUP!$A:$E,4,0),"")</f>
      </c>
      <c r="I2153" s="28">
        <f>IFERROR(VLOOKUP(F2153,CARTON_LOOKUP!$A:$E,5,0),"")</f>
      </c>
      <c r="J2153" s="29">
        <f>IFERROR(VLOOKUP(F2153,CARTON_LOOKUP!$A:$E,2,0),"")</f>
      </c>
      <c r="K2153" s="29">
        <f>IFERROR(J2153*D2153,0)</f>
      </c>
      <c r="L2153" s="29">
        <f>IFERROR(E2153*C2153,0)</f>
      </c>
      <c r="M2153" s="29">
        <f>IFERROR((G2153*H2153*I2153/1000000)*D2153,0)</f>
      </c>
    </row>
    <row r="2154" spans="1:13" x14ac:dyDescent="0.25">
      <c r="A2154" s="16"/>
      <c r="E2154" s="27"/>
      <c r="F2154" t="s">
        <v>26</v>
      </c>
      <c r="G2154" s="28">
        <f>IFERROR(VLOOKUP(F2154,CARTON_LOOKUP!$A:$E,3,0),"")</f>
      </c>
      <c r="H2154" s="28">
        <f>IFERROR(VLOOKUP(F2154,CARTON_LOOKUP!$A:$E,4,0),"")</f>
      </c>
      <c r="I2154" s="28">
        <f>IFERROR(VLOOKUP(F2154,CARTON_LOOKUP!$A:$E,5,0),"")</f>
      </c>
      <c r="J2154" s="29">
        <f>IFERROR(VLOOKUP(F2154,CARTON_LOOKUP!$A:$E,2,0),"")</f>
      </c>
      <c r="K2154" s="29">
        <f>IFERROR(J2154*D2154,0)</f>
      </c>
      <c r="L2154" s="29">
        <f>IFERROR(E2154*C2154,0)</f>
      </c>
      <c r="M2154" s="29">
        <f>IFERROR((G2154*H2154*I2154/1000000)*D2154,0)</f>
      </c>
    </row>
    <row r="2155" spans="1:13" x14ac:dyDescent="0.25">
      <c r="A2155" s="16"/>
      <c r="E2155" s="27"/>
      <c r="F2155" t="s">
        <v>26</v>
      </c>
      <c r="G2155" s="28">
        <f>IFERROR(VLOOKUP(F2155,CARTON_LOOKUP!$A:$E,3,0),"")</f>
      </c>
      <c r="H2155" s="28">
        <f>IFERROR(VLOOKUP(F2155,CARTON_LOOKUP!$A:$E,4,0),"")</f>
      </c>
      <c r="I2155" s="28">
        <f>IFERROR(VLOOKUP(F2155,CARTON_LOOKUP!$A:$E,5,0),"")</f>
      </c>
      <c r="J2155" s="29">
        <f>IFERROR(VLOOKUP(F2155,CARTON_LOOKUP!$A:$E,2,0),"")</f>
      </c>
      <c r="K2155" s="29">
        <f>IFERROR(J2155*D2155,0)</f>
      </c>
      <c r="L2155" s="29">
        <f>IFERROR(E2155*C2155,0)</f>
      </c>
      <c r="M2155" s="29">
        <f>IFERROR((G2155*H2155*I2155/1000000)*D2155,0)</f>
      </c>
    </row>
    <row r="2156" spans="1:13" x14ac:dyDescent="0.25">
      <c r="A2156" s="16"/>
      <c r="E2156" s="27"/>
      <c r="F2156" t="s">
        <v>26</v>
      </c>
      <c r="G2156" s="28">
        <f>IFERROR(VLOOKUP(F2156,CARTON_LOOKUP!$A:$E,3,0),"")</f>
      </c>
      <c r="H2156" s="28">
        <f>IFERROR(VLOOKUP(F2156,CARTON_LOOKUP!$A:$E,4,0),"")</f>
      </c>
      <c r="I2156" s="28">
        <f>IFERROR(VLOOKUP(F2156,CARTON_LOOKUP!$A:$E,5,0),"")</f>
      </c>
      <c r="J2156" s="29">
        <f>IFERROR(VLOOKUP(F2156,CARTON_LOOKUP!$A:$E,2,0),"")</f>
      </c>
      <c r="K2156" s="29">
        <f>IFERROR(J2156*D2156,0)</f>
      </c>
      <c r="L2156" s="29">
        <f>IFERROR(E2156*C2156,0)</f>
      </c>
      <c r="M2156" s="29">
        <f>IFERROR((G2156*H2156*I2156/1000000)*D2156,0)</f>
      </c>
    </row>
    <row r="2157" spans="1:13" x14ac:dyDescent="0.25">
      <c r="A2157" s="16"/>
      <c r="E2157" s="27"/>
      <c r="F2157" t="s">
        <v>26</v>
      </c>
      <c r="G2157" s="28">
        <f>IFERROR(VLOOKUP(F2157,CARTON_LOOKUP!$A:$E,3,0),"")</f>
      </c>
      <c r="H2157" s="28">
        <f>IFERROR(VLOOKUP(F2157,CARTON_LOOKUP!$A:$E,4,0),"")</f>
      </c>
      <c r="I2157" s="28">
        <f>IFERROR(VLOOKUP(F2157,CARTON_LOOKUP!$A:$E,5,0),"")</f>
      </c>
      <c r="J2157" s="29">
        <f>IFERROR(VLOOKUP(F2157,CARTON_LOOKUP!$A:$E,2,0),"")</f>
      </c>
      <c r="K2157" s="29">
        <f>IFERROR(J2157*D2157,0)</f>
      </c>
      <c r="L2157" s="29">
        <f>IFERROR(E2157*C2157,0)</f>
      </c>
      <c r="M2157" s="29">
        <f>IFERROR((G2157*H2157*I2157/1000000)*D2157,0)</f>
      </c>
    </row>
    <row r="2158" spans="1:13" x14ac:dyDescent="0.25">
      <c r="A2158" s="16"/>
      <c r="E2158" s="27"/>
      <c r="F2158" t="s">
        <v>26</v>
      </c>
      <c r="G2158" s="28">
        <f>IFERROR(VLOOKUP(F2158,CARTON_LOOKUP!$A:$E,3,0),"")</f>
      </c>
      <c r="H2158" s="28">
        <f>IFERROR(VLOOKUP(F2158,CARTON_LOOKUP!$A:$E,4,0),"")</f>
      </c>
      <c r="I2158" s="28">
        <f>IFERROR(VLOOKUP(F2158,CARTON_LOOKUP!$A:$E,5,0),"")</f>
      </c>
      <c r="J2158" s="29">
        <f>IFERROR(VLOOKUP(F2158,CARTON_LOOKUP!$A:$E,2,0),"")</f>
      </c>
      <c r="K2158" s="29">
        <f>IFERROR(J2158*D2158,0)</f>
      </c>
      <c r="L2158" s="29">
        <f>IFERROR(E2158*C2158,0)</f>
      </c>
      <c r="M2158" s="29">
        <f>IFERROR((G2158*H2158*I2158/1000000)*D2158,0)</f>
      </c>
    </row>
    <row r="2159" spans="1:13" x14ac:dyDescent="0.25">
      <c r="A2159" s="16"/>
      <c r="E2159" s="27"/>
      <c r="F2159" t="s">
        <v>26</v>
      </c>
      <c r="G2159" s="28">
        <f>IFERROR(VLOOKUP(F2159,CARTON_LOOKUP!$A:$E,3,0),"")</f>
      </c>
      <c r="H2159" s="28">
        <f>IFERROR(VLOOKUP(F2159,CARTON_LOOKUP!$A:$E,4,0),"")</f>
      </c>
      <c r="I2159" s="28">
        <f>IFERROR(VLOOKUP(F2159,CARTON_LOOKUP!$A:$E,5,0),"")</f>
      </c>
      <c r="J2159" s="29">
        <f>IFERROR(VLOOKUP(F2159,CARTON_LOOKUP!$A:$E,2,0),"")</f>
      </c>
      <c r="K2159" s="29">
        <f>IFERROR(J2159*D2159,0)</f>
      </c>
      <c r="L2159" s="29">
        <f>IFERROR(E2159*C2159,0)</f>
      </c>
      <c r="M2159" s="29">
        <f>IFERROR((G2159*H2159*I2159/1000000)*D2159,0)</f>
      </c>
    </row>
    <row r="2160" spans="1:13" x14ac:dyDescent="0.25">
      <c r="A2160" s="16"/>
      <c r="E2160" s="27"/>
      <c r="F2160" t="s">
        <v>26</v>
      </c>
      <c r="G2160" s="28">
        <f>IFERROR(VLOOKUP(F2160,CARTON_LOOKUP!$A:$E,3,0),"")</f>
      </c>
      <c r="H2160" s="28">
        <f>IFERROR(VLOOKUP(F2160,CARTON_LOOKUP!$A:$E,4,0),"")</f>
      </c>
      <c r="I2160" s="28">
        <f>IFERROR(VLOOKUP(F2160,CARTON_LOOKUP!$A:$E,5,0),"")</f>
      </c>
      <c r="J2160" s="29">
        <f>IFERROR(VLOOKUP(F2160,CARTON_LOOKUP!$A:$E,2,0),"")</f>
      </c>
      <c r="K2160" s="29">
        <f>IFERROR(J2160*D2160,0)</f>
      </c>
      <c r="L2160" s="29">
        <f>IFERROR(E2160*C2160,0)</f>
      </c>
      <c r="M2160" s="29">
        <f>IFERROR((G2160*H2160*I2160/1000000)*D2160,0)</f>
      </c>
    </row>
    <row r="2161" spans="1:13" x14ac:dyDescent="0.25">
      <c r="A2161" s="16"/>
      <c r="E2161" s="27"/>
      <c r="F2161" t="s">
        <v>26</v>
      </c>
      <c r="G2161" s="28">
        <f>IFERROR(VLOOKUP(F2161,CARTON_LOOKUP!$A:$E,3,0),"")</f>
      </c>
      <c r="H2161" s="28">
        <f>IFERROR(VLOOKUP(F2161,CARTON_LOOKUP!$A:$E,4,0),"")</f>
      </c>
      <c r="I2161" s="28">
        <f>IFERROR(VLOOKUP(F2161,CARTON_LOOKUP!$A:$E,5,0),"")</f>
      </c>
      <c r="J2161" s="29">
        <f>IFERROR(VLOOKUP(F2161,CARTON_LOOKUP!$A:$E,2,0),"")</f>
      </c>
      <c r="K2161" s="29">
        <f>IFERROR(J2161*D2161,0)</f>
      </c>
      <c r="L2161" s="29">
        <f>IFERROR(E2161*C2161,0)</f>
      </c>
      <c r="M2161" s="29">
        <f>IFERROR((G2161*H2161*I2161/1000000)*D2161,0)</f>
      </c>
    </row>
    <row r="2162" spans="1:13" x14ac:dyDescent="0.25">
      <c r="A2162" s="16"/>
      <c r="E2162" s="27"/>
      <c r="F2162" t="s">
        <v>26</v>
      </c>
      <c r="G2162" s="28">
        <f>IFERROR(VLOOKUP(F2162,CARTON_LOOKUP!$A:$E,3,0),"")</f>
      </c>
      <c r="H2162" s="28">
        <f>IFERROR(VLOOKUP(F2162,CARTON_LOOKUP!$A:$E,4,0),"")</f>
      </c>
      <c r="I2162" s="28">
        <f>IFERROR(VLOOKUP(F2162,CARTON_LOOKUP!$A:$E,5,0),"")</f>
      </c>
      <c r="J2162" s="29">
        <f>IFERROR(VLOOKUP(F2162,CARTON_LOOKUP!$A:$E,2,0),"")</f>
      </c>
      <c r="K2162" s="29">
        <f>IFERROR(J2162*D2162,0)</f>
      </c>
      <c r="L2162" s="29">
        <f>IFERROR(E2162*C2162,0)</f>
      </c>
      <c r="M2162" s="29">
        <f>IFERROR((G2162*H2162*I2162/1000000)*D2162,0)</f>
      </c>
    </row>
    <row r="2163" spans="1:13" x14ac:dyDescent="0.25">
      <c r="A2163" s="16"/>
      <c r="E2163" s="27"/>
      <c r="F2163" t="s">
        <v>26</v>
      </c>
      <c r="G2163" s="28">
        <f>IFERROR(VLOOKUP(F2163,CARTON_LOOKUP!$A:$E,3,0),"")</f>
      </c>
      <c r="H2163" s="28">
        <f>IFERROR(VLOOKUP(F2163,CARTON_LOOKUP!$A:$E,4,0),"")</f>
      </c>
      <c r="I2163" s="28">
        <f>IFERROR(VLOOKUP(F2163,CARTON_LOOKUP!$A:$E,5,0),"")</f>
      </c>
      <c r="J2163" s="29">
        <f>IFERROR(VLOOKUP(F2163,CARTON_LOOKUP!$A:$E,2,0),"")</f>
      </c>
      <c r="K2163" s="29">
        <f>IFERROR(J2163*D2163,0)</f>
      </c>
      <c r="L2163" s="29">
        <f>IFERROR(E2163*C2163,0)</f>
      </c>
      <c r="M2163" s="29">
        <f>IFERROR((G2163*H2163*I2163/1000000)*D2163,0)</f>
      </c>
    </row>
    <row r="2164" spans="1:13" x14ac:dyDescent="0.25">
      <c r="A2164" s="16"/>
      <c r="E2164" s="27"/>
      <c r="F2164" t="s">
        <v>26</v>
      </c>
      <c r="G2164" s="28">
        <f>IFERROR(VLOOKUP(F2164,CARTON_LOOKUP!$A:$E,3,0),"")</f>
      </c>
      <c r="H2164" s="28">
        <f>IFERROR(VLOOKUP(F2164,CARTON_LOOKUP!$A:$E,4,0),"")</f>
      </c>
      <c r="I2164" s="28">
        <f>IFERROR(VLOOKUP(F2164,CARTON_LOOKUP!$A:$E,5,0),"")</f>
      </c>
      <c r="J2164" s="29">
        <f>IFERROR(VLOOKUP(F2164,CARTON_LOOKUP!$A:$E,2,0),"")</f>
      </c>
      <c r="K2164" s="29">
        <f>IFERROR(J2164*D2164,0)</f>
      </c>
      <c r="L2164" s="29">
        <f>IFERROR(E2164*C2164,0)</f>
      </c>
      <c r="M2164" s="29">
        <f>IFERROR((G2164*H2164*I2164/1000000)*D2164,0)</f>
      </c>
    </row>
    <row r="2165" spans="1:13" x14ac:dyDescent="0.25">
      <c r="A2165" s="16"/>
      <c r="E2165" s="27"/>
      <c r="F2165" t="s">
        <v>26</v>
      </c>
      <c r="G2165" s="28">
        <f>IFERROR(VLOOKUP(F2165,CARTON_LOOKUP!$A:$E,3,0),"")</f>
      </c>
      <c r="H2165" s="28">
        <f>IFERROR(VLOOKUP(F2165,CARTON_LOOKUP!$A:$E,4,0),"")</f>
      </c>
      <c r="I2165" s="28">
        <f>IFERROR(VLOOKUP(F2165,CARTON_LOOKUP!$A:$E,5,0),"")</f>
      </c>
      <c r="J2165" s="29">
        <f>IFERROR(VLOOKUP(F2165,CARTON_LOOKUP!$A:$E,2,0),"")</f>
      </c>
      <c r="K2165" s="29">
        <f>IFERROR(J2165*D2165,0)</f>
      </c>
      <c r="L2165" s="29">
        <f>IFERROR(E2165*C2165,0)</f>
      </c>
      <c r="M2165" s="29">
        <f>IFERROR((G2165*H2165*I2165/1000000)*D2165,0)</f>
      </c>
    </row>
    <row r="2166" spans="1:13" x14ac:dyDescent="0.25">
      <c r="A2166" s="16"/>
      <c r="E2166" s="27"/>
      <c r="F2166" t="s">
        <v>26</v>
      </c>
      <c r="G2166" s="28">
        <f>IFERROR(VLOOKUP(F2166,CARTON_LOOKUP!$A:$E,3,0),"")</f>
      </c>
      <c r="H2166" s="28">
        <f>IFERROR(VLOOKUP(F2166,CARTON_LOOKUP!$A:$E,4,0),"")</f>
      </c>
      <c r="I2166" s="28">
        <f>IFERROR(VLOOKUP(F2166,CARTON_LOOKUP!$A:$E,5,0),"")</f>
      </c>
      <c r="J2166" s="29">
        <f>IFERROR(VLOOKUP(F2166,CARTON_LOOKUP!$A:$E,2,0),"")</f>
      </c>
      <c r="K2166" s="29">
        <f>IFERROR(J2166*D2166,0)</f>
      </c>
      <c r="L2166" s="29">
        <f>IFERROR(E2166*C2166,0)</f>
      </c>
      <c r="M2166" s="29">
        <f>IFERROR((G2166*H2166*I2166/1000000)*D2166,0)</f>
      </c>
    </row>
    <row r="2167" spans="1:13" x14ac:dyDescent="0.25">
      <c r="A2167" s="16"/>
      <c r="E2167" s="27"/>
      <c r="F2167" t="s">
        <v>26</v>
      </c>
      <c r="G2167" s="28">
        <f>IFERROR(VLOOKUP(F2167,CARTON_LOOKUP!$A:$E,3,0),"")</f>
      </c>
      <c r="H2167" s="28">
        <f>IFERROR(VLOOKUP(F2167,CARTON_LOOKUP!$A:$E,4,0),"")</f>
      </c>
      <c r="I2167" s="28">
        <f>IFERROR(VLOOKUP(F2167,CARTON_LOOKUP!$A:$E,5,0),"")</f>
      </c>
      <c r="J2167" s="29">
        <f>IFERROR(VLOOKUP(F2167,CARTON_LOOKUP!$A:$E,2,0),"")</f>
      </c>
      <c r="K2167" s="29">
        <f>IFERROR(J2167*D2167,0)</f>
      </c>
      <c r="L2167" s="29">
        <f>IFERROR(E2167*C2167,0)</f>
      </c>
      <c r="M2167" s="29">
        <f>IFERROR((G2167*H2167*I2167/1000000)*D2167,0)</f>
      </c>
    </row>
    <row r="2168" spans="1:13" x14ac:dyDescent="0.25">
      <c r="A2168" s="16"/>
      <c r="E2168" s="27"/>
      <c r="F2168" t="s">
        <v>26</v>
      </c>
      <c r="G2168" s="28">
        <f>IFERROR(VLOOKUP(F2168,CARTON_LOOKUP!$A:$E,3,0),"")</f>
      </c>
      <c r="H2168" s="28">
        <f>IFERROR(VLOOKUP(F2168,CARTON_LOOKUP!$A:$E,4,0),"")</f>
      </c>
      <c r="I2168" s="28">
        <f>IFERROR(VLOOKUP(F2168,CARTON_LOOKUP!$A:$E,5,0),"")</f>
      </c>
      <c r="J2168" s="29">
        <f>IFERROR(VLOOKUP(F2168,CARTON_LOOKUP!$A:$E,2,0),"")</f>
      </c>
      <c r="K2168" s="29">
        <f>IFERROR(J2168*D2168,0)</f>
      </c>
      <c r="L2168" s="29">
        <f>IFERROR(E2168*C2168,0)</f>
      </c>
      <c r="M2168" s="29">
        <f>IFERROR((G2168*H2168*I2168/1000000)*D2168,0)</f>
      </c>
    </row>
    <row r="2169" spans="1:13" x14ac:dyDescent="0.25">
      <c r="A2169" s="16"/>
      <c r="E2169" s="27"/>
      <c r="F2169" t="s">
        <v>26</v>
      </c>
      <c r="G2169" s="28">
        <f>IFERROR(VLOOKUP(F2169,CARTON_LOOKUP!$A:$E,3,0),"")</f>
      </c>
      <c r="H2169" s="28">
        <f>IFERROR(VLOOKUP(F2169,CARTON_LOOKUP!$A:$E,4,0),"")</f>
      </c>
      <c r="I2169" s="28">
        <f>IFERROR(VLOOKUP(F2169,CARTON_LOOKUP!$A:$E,5,0),"")</f>
      </c>
      <c r="J2169" s="29">
        <f>IFERROR(VLOOKUP(F2169,CARTON_LOOKUP!$A:$E,2,0),"")</f>
      </c>
      <c r="K2169" s="29">
        <f>IFERROR(J2169*D2169,0)</f>
      </c>
      <c r="L2169" s="29">
        <f>IFERROR(E2169*C2169,0)</f>
      </c>
      <c r="M2169" s="29">
        <f>IFERROR((G2169*H2169*I2169/1000000)*D2169,0)</f>
      </c>
    </row>
    <row r="2170" spans="1:13" x14ac:dyDescent="0.25">
      <c r="A2170" s="16"/>
      <c r="E2170" s="27"/>
      <c r="F2170" t="s">
        <v>26</v>
      </c>
      <c r="G2170" s="28">
        <f>IFERROR(VLOOKUP(F2170,CARTON_LOOKUP!$A:$E,3,0),"")</f>
      </c>
      <c r="H2170" s="28">
        <f>IFERROR(VLOOKUP(F2170,CARTON_LOOKUP!$A:$E,4,0),"")</f>
      </c>
      <c r="I2170" s="28">
        <f>IFERROR(VLOOKUP(F2170,CARTON_LOOKUP!$A:$E,5,0),"")</f>
      </c>
      <c r="J2170" s="29">
        <f>IFERROR(VLOOKUP(F2170,CARTON_LOOKUP!$A:$E,2,0),"")</f>
      </c>
      <c r="K2170" s="29">
        <f>IFERROR(J2170*D2170,0)</f>
      </c>
      <c r="L2170" s="29">
        <f>IFERROR(E2170*C2170,0)</f>
      </c>
      <c r="M2170" s="29">
        <f>IFERROR((G2170*H2170*I2170/1000000)*D2170,0)</f>
      </c>
    </row>
    <row r="2171" spans="1:13" x14ac:dyDescent="0.25">
      <c r="A2171" s="16"/>
      <c r="E2171" s="27"/>
      <c r="F2171" t="s">
        <v>26</v>
      </c>
      <c r="G2171" s="28">
        <f>IFERROR(VLOOKUP(F2171,CARTON_LOOKUP!$A:$E,3,0),"")</f>
      </c>
      <c r="H2171" s="28">
        <f>IFERROR(VLOOKUP(F2171,CARTON_LOOKUP!$A:$E,4,0),"")</f>
      </c>
      <c r="I2171" s="28">
        <f>IFERROR(VLOOKUP(F2171,CARTON_LOOKUP!$A:$E,5,0),"")</f>
      </c>
      <c r="J2171" s="29">
        <f>IFERROR(VLOOKUP(F2171,CARTON_LOOKUP!$A:$E,2,0),"")</f>
      </c>
      <c r="K2171" s="29">
        <f>IFERROR(J2171*D2171,0)</f>
      </c>
      <c r="L2171" s="29">
        <f>IFERROR(E2171*C2171,0)</f>
      </c>
      <c r="M2171" s="29">
        <f>IFERROR((G2171*H2171*I2171/1000000)*D2171,0)</f>
      </c>
    </row>
    <row r="2172" spans="1:13" x14ac:dyDescent="0.25">
      <c r="A2172" s="16"/>
      <c r="E2172" s="27"/>
      <c r="F2172" t="s">
        <v>26</v>
      </c>
      <c r="G2172" s="28">
        <f>IFERROR(VLOOKUP(F2172,CARTON_LOOKUP!$A:$E,3,0),"")</f>
      </c>
      <c r="H2172" s="28">
        <f>IFERROR(VLOOKUP(F2172,CARTON_LOOKUP!$A:$E,4,0),"")</f>
      </c>
      <c r="I2172" s="28">
        <f>IFERROR(VLOOKUP(F2172,CARTON_LOOKUP!$A:$E,5,0),"")</f>
      </c>
      <c r="J2172" s="29">
        <f>IFERROR(VLOOKUP(F2172,CARTON_LOOKUP!$A:$E,2,0),"")</f>
      </c>
      <c r="K2172" s="29">
        <f>IFERROR(J2172*D2172,0)</f>
      </c>
      <c r="L2172" s="29">
        <f>IFERROR(E2172*C2172,0)</f>
      </c>
      <c r="M2172" s="29">
        <f>IFERROR((G2172*H2172*I2172/1000000)*D2172,0)</f>
      </c>
    </row>
    <row r="2173" spans="1:13" x14ac:dyDescent="0.25">
      <c r="A2173" s="16"/>
      <c r="E2173" s="27"/>
      <c r="F2173" t="s">
        <v>26</v>
      </c>
      <c r="G2173" s="28">
        <f>IFERROR(VLOOKUP(F2173,CARTON_LOOKUP!$A:$E,3,0),"")</f>
      </c>
      <c r="H2173" s="28">
        <f>IFERROR(VLOOKUP(F2173,CARTON_LOOKUP!$A:$E,4,0),"")</f>
      </c>
      <c r="I2173" s="28">
        <f>IFERROR(VLOOKUP(F2173,CARTON_LOOKUP!$A:$E,5,0),"")</f>
      </c>
      <c r="J2173" s="29">
        <f>IFERROR(VLOOKUP(F2173,CARTON_LOOKUP!$A:$E,2,0),"")</f>
      </c>
      <c r="K2173" s="29">
        <f>IFERROR(J2173*D2173,0)</f>
      </c>
      <c r="L2173" s="29">
        <f>IFERROR(E2173*C2173,0)</f>
      </c>
      <c r="M2173" s="29">
        <f>IFERROR((G2173*H2173*I2173/1000000)*D2173,0)</f>
      </c>
    </row>
    <row r="2174" spans="1:13" x14ac:dyDescent="0.25">
      <c r="A2174" s="16"/>
      <c r="E2174" s="27"/>
      <c r="F2174" t="s">
        <v>26</v>
      </c>
      <c r="G2174" s="28">
        <f>IFERROR(VLOOKUP(F2174,CARTON_LOOKUP!$A:$E,3,0),"")</f>
      </c>
      <c r="H2174" s="28">
        <f>IFERROR(VLOOKUP(F2174,CARTON_LOOKUP!$A:$E,4,0),"")</f>
      </c>
      <c r="I2174" s="28">
        <f>IFERROR(VLOOKUP(F2174,CARTON_LOOKUP!$A:$E,5,0),"")</f>
      </c>
      <c r="J2174" s="29">
        <f>IFERROR(VLOOKUP(F2174,CARTON_LOOKUP!$A:$E,2,0),"")</f>
      </c>
      <c r="K2174" s="29">
        <f>IFERROR(J2174*D2174,0)</f>
      </c>
      <c r="L2174" s="29">
        <f>IFERROR(E2174*C2174,0)</f>
      </c>
      <c r="M2174" s="29">
        <f>IFERROR((G2174*H2174*I2174/1000000)*D2174,0)</f>
      </c>
    </row>
    <row r="2175" spans="1:13" x14ac:dyDescent="0.25">
      <c r="A2175" s="16"/>
      <c r="E2175" s="27"/>
      <c r="F2175" t="s">
        <v>26</v>
      </c>
      <c r="G2175" s="28">
        <f>IFERROR(VLOOKUP(F2175,CARTON_LOOKUP!$A:$E,3,0),"")</f>
      </c>
      <c r="H2175" s="28">
        <f>IFERROR(VLOOKUP(F2175,CARTON_LOOKUP!$A:$E,4,0),"")</f>
      </c>
      <c r="I2175" s="28">
        <f>IFERROR(VLOOKUP(F2175,CARTON_LOOKUP!$A:$E,5,0),"")</f>
      </c>
      <c r="J2175" s="29">
        <f>IFERROR(VLOOKUP(F2175,CARTON_LOOKUP!$A:$E,2,0),"")</f>
      </c>
      <c r="K2175" s="29">
        <f>IFERROR(J2175*D2175,0)</f>
      </c>
      <c r="L2175" s="29">
        <f>IFERROR(E2175*C2175,0)</f>
      </c>
      <c r="M2175" s="29">
        <f>IFERROR((G2175*H2175*I2175/1000000)*D2175,0)</f>
      </c>
    </row>
    <row r="2176" spans="1:13" x14ac:dyDescent="0.25">
      <c r="A2176" s="16"/>
      <c r="E2176" s="27"/>
      <c r="F2176" t="s">
        <v>26</v>
      </c>
      <c r="G2176" s="28">
        <f>IFERROR(VLOOKUP(F2176,CARTON_LOOKUP!$A:$E,3,0),"")</f>
      </c>
      <c r="H2176" s="28">
        <f>IFERROR(VLOOKUP(F2176,CARTON_LOOKUP!$A:$E,4,0),"")</f>
      </c>
      <c r="I2176" s="28">
        <f>IFERROR(VLOOKUP(F2176,CARTON_LOOKUP!$A:$E,5,0),"")</f>
      </c>
      <c r="J2176" s="29">
        <f>IFERROR(VLOOKUP(F2176,CARTON_LOOKUP!$A:$E,2,0),"")</f>
      </c>
      <c r="K2176" s="29">
        <f>IFERROR(J2176*D2176,0)</f>
      </c>
      <c r="L2176" s="29">
        <f>IFERROR(E2176*C2176,0)</f>
      </c>
      <c r="M2176" s="29">
        <f>IFERROR((G2176*H2176*I2176/1000000)*D2176,0)</f>
      </c>
    </row>
    <row r="2177" spans="1:13" x14ac:dyDescent="0.25">
      <c r="A2177" s="16"/>
      <c r="E2177" s="27"/>
      <c r="F2177" t="s">
        <v>26</v>
      </c>
      <c r="G2177" s="28">
        <f>IFERROR(VLOOKUP(F2177,CARTON_LOOKUP!$A:$E,3,0),"")</f>
      </c>
      <c r="H2177" s="28">
        <f>IFERROR(VLOOKUP(F2177,CARTON_LOOKUP!$A:$E,4,0),"")</f>
      </c>
      <c r="I2177" s="28">
        <f>IFERROR(VLOOKUP(F2177,CARTON_LOOKUP!$A:$E,5,0),"")</f>
      </c>
      <c r="J2177" s="29">
        <f>IFERROR(VLOOKUP(F2177,CARTON_LOOKUP!$A:$E,2,0),"")</f>
      </c>
      <c r="K2177" s="29">
        <f>IFERROR(J2177*D2177,0)</f>
      </c>
      <c r="L2177" s="29">
        <f>IFERROR(E2177*C2177,0)</f>
      </c>
      <c r="M2177" s="29">
        <f>IFERROR((G2177*H2177*I2177/1000000)*D2177,0)</f>
      </c>
    </row>
    <row r="2178" spans="1:13" x14ac:dyDescent="0.25">
      <c r="A2178" s="16"/>
      <c r="E2178" s="27"/>
      <c r="F2178" t="s">
        <v>26</v>
      </c>
      <c r="G2178" s="28">
        <f>IFERROR(VLOOKUP(F2178,CARTON_LOOKUP!$A:$E,3,0),"")</f>
      </c>
      <c r="H2178" s="28">
        <f>IFERROR(VLOOKUP(F2178,CARTON_LOOKUP!$A:$E,4,0),"")</f>
      </c>
      <c r="I2178" s="28">
        <f>IFERROR(VLOOKUP(F2178,CARTON_LOOKUP!$A:$E,5,0),"")</f>
      </c>
      <c r="J2178" s="29">
        <f>IFERROR(VLOOKUP(F2178,CARTON_LOOKUP!$A:$E,2,0),"")</f>
      </c>
      <c r="K2178" s="29">
        <f>IFERROR(J2178*D2178,0)</f>
      </c>
      <c r="L2178" s="29">
        <f>IFERROR(E2178*C2178,0)</f>
      </c>
      <c r="M2178" s="29">
        <f>IFERROR((G2178*H2178*I2178/1000000)*D2178,0)</f>
      </c>
    </row>
    <row r="2179" spans="1:13" x14ac:dyDescent="0.25">
      <c r="A2179" s="16"/>
      <c r="E2179" s="27"/>
      <c r="F2179" t="s">
        <v>26</v>
      </c>
      <c r="G2179" s="28">
        <f>IFERROR(VLOOKUP(F2179,CARTON_LOOKUP!$A:$E,3,0),"")</f>
      </c>
      <c r="H2179" s="28">
        <f>IFERROR(VLOOKUP(F2179,CARTON_LOOKUP!$A:$E,4,0),"")</f>
      </c>
      <c r="I2179" s="28">
        <f>IFERROR(VLOOKUP(F2179,CARTON_LOOKUP!$A:$E,5,0),"")</f>
      </c>
      <c r="J2179" s="29">
        <f>IFERROR(VLOOKUP(F2179,CARTON_LOOKUP!$A:$E,2,0),"")</f>
      </c>
      <c r="K2179" s="29">
        <f>IFERROR(J2179*D2179,0)</f>
      </c>
      <c r="L2179" s="29">
        <f>IFERROR(E2179*C2179,0)</f>
      </c>
      <c r="M2179" s="29">
        <f>IFERROR((G2179*H2179*I2179/1000000)*D2179,0)</f>
      </c>
    </row>
    <row r="2180" spans="1:13" x14ac:dyDescent="0.25">
      <c r="A2180" s="16"/>
      <c r="E2180" s="27"/>
      <c r="F2180" t="s">
        <v>26</v>
      </c>
      <c r="G2180" s="28">
        <f>IFERROR(VLOOKUP(F2180,CARTON_LOOKUP!$A:$E,3,0),"")</f>
      </c>
      <c r="H2180" s="28">
        <f>IFERROR(VLOOKUP(F2180,CARTON_LOOKUP!$A:$E,4,0),"")</f>
      </c>
      <c r="I2180" s="28">
        <f>IFERROR(VLOOKUP(F2180,CARTON_LOOKUP!$A:$E,5,0),"")</f>
      </c>
      <c r="J2180" s="29">
        <f>IFERROR(VLOOKUP(F2180,CARTON_LOOKUP!$A:$E,2,0),"")</f>
      </c>
      <c r="K2180" s="29">
        <f>IFERROR(J2180*D2180,0)</f>
      </c>
      <c r="L2180" s="29">
        <f>IFERROR(E2180*C2180,0)</f>
      </c>
      <c r="M2180" s="29">
        <f>IFERROR((G2180*H2180*I2180/1000000)*D2180,0)</f>
      </c>
    </row>
    <row r="2181" spans="1:13" x14ac:dyDescent="0.25">
      <c r="A2181" s="16"/>
      <c r="E2181" s="27"/>
      <c r="F2181" t="s">
        <v>26</v>
      </c>
      <c r="G2181" s="28">
        <f>IFERROR(VLOOKUP(F2181,CARTON_LOOKUP!$A:$E,3,0),"")</f>
      </c>
      <c r="H2181" s="28">
        <f>IFERROR(VLOOKUP(F2181,CARTON_LOOKUP!$A:$E,4,0),"")</f>
      </c>
      <c r="I2181" s="28">
        <f>IFERROR(VLOOKUP(F2181,CARTON_LOOKUP!$A:$E,5,0),"")</f>
      </c>
      <c r="J2181" s="29">
        <f>IFERROR(VLOOKUP(F2181,CARTON_LOOKUP!$A:$E,2,0),"")</f>
      </c>
      <c r="K2181" s="29">
        <f>IFERROR(J2181*D2181,0)</f>
      </c>
      <c r="L2181" s="29">
        <f>IFERROR(E2181*C2181,0)</f>
      </c>
      <c r="M2181" s="29">
        <f>IFERROR((G2181*H2181*I2181/1000000)*D2181,0)</f>
      </c>
    </row>
    <row r="2182" spans="1:13" x14ac:dyDescent="0.25">
      <c r="A2182" s="16"/>
      <c r="E2182" s="27"/>
      <c r="F2182" t="s">
        <v>26</v>
      </c>
      <c r="G2182" s="28">
        <f>IFERROR(VLOOKUP(F2182,CARTON_LOOKUP!$A:$E,3,0),"")</f>
      </c>
      <c r="H2182" s="28">
        <f>IFERROR(VLOOKUP(F2182,CARTON_LOOKUP!$A:$E,4,0),"")</f>
      </c>
      <c r="I2182" s="28">
        <f>IFERROR(VLOOKUP(F2182,CARTON_LOOKUP!$A:$E,5,0),"")</f>
      </c>
      <c r="J2182" s="29">
        <f>IFERROR(VLOOKUP(F2182,CARTON_LOOKUP!$A:$E,2,0),"")</f>
      </c>
      <c r="K2182" s="29">
        <f>IFERROR(J2182*D2182,0)</f>
      </c>
      <c r="L2182" s="29">
        <f>IFERROR(E2182*C2182,0)</f>
      </c>
      <c r="M2182" s="29">
        <f>IFERROR((G2182*H2182*I2182/1000000)*D2182,0)</f>
      </c>
    </row>
    <row r="2183" spans="1:13" x14ac:dyDescent="0.25">
      <c r="A2183" s="16"/>
      <c r="E2183" s="27"/>
      <c r="F2183" t="s">
        <v>26</v>
      </c>
      <c r="G2183" s="28">
        <f>IFERROR(VLOOKUP(F2183,CARTON_LOOKUP!$A:$E,3,0),"")</f>
      </c>
      <c r="H2183" s="28">
        <f>IFERROR(VLOOKUP(F2183,CARTON_LOOKUP!$A:$E,4,0),"")</f>
      </c>
      <c r="I2183" s="28">
        <f>IFERROR(VLOOKUP(F2183,CARTON_LOOKUP!$A:$E,5,0),"")</f>
      </c>
      <c r="J2183" s="29">
        <f>IFERROR(VLOOKUP(F2183,CARTON_LOOKUP!$A:$E,2,0),"")</f>
      </c>
      <c r="K2183" s="29">
        <f>IFERROR(J2183*D2183,0)</f>
      </c>
      <c r="L2183" s="29">
        <f>IFERROR(E2183*C2183,0)</f>
      </c>
      <c r="M2183" s="29">
        <f>IFERROR((G2183*H2183*I2183/1000000)*D2183,0)</f>
      </c>
    </row>
    <row r="2184" spans="1:13" x14ac:dyDescent="0.25">
      <c r="A2184" s="16"/>
      <c r="E2184" s="27"/>
      <c r="F2184" t="s">
        <v>26</v>
      </c>
      <c r="G2184" s="28">
        <f>IFERROR(VLOOKUP(F2184,CARTON_LOOKUP!$A:$E,3,0),"")</f>
      </c>
      <c r="H2184" s="28">
        <f>IFERROR(VLOOKUP(F2184,CARTON_LOOKUP!$A:$E,4,0),"")</f>
      </c>
      <c r="I2184" s="28">
        <f>IFERROR(VLOOKUP(F2184,CARTON_LOOKUP!$A:$E,5,0),"")</f>
      </c>
      <c r="J2184" s="29">
        <f>IFERROR(VLOOKUP(F2184,CARTON_LOOKUP!$A:$E,2,0),"")</f>
      </c>
      <c r="K2184" s="29">
        <f>IFERROR(J2184*D2184,0)</f>
      </c>
      <c r="L2184" s="29">
        <f>IFERROR(E2184*C2184,0)</f>
      </c>
      <c r="M2184" s="29">
        <f>IFERROR((G2184*H2184*I2184/1000000)*D2184,0)</f>
      </c>
    </row>
    <row r="2185" spans="1:13" x14ac:dyDescent="0.25">
      <c r="A2185" s="16"/>
      <c r="E2185" s="27"/>
      <c r="F2185" t="s">
        <v>26</v>
      </c>
      <c r="G2185" s="28">
        <f>IFERROR(VLOOKUP(F2185,CARTON_LOOKUP!$A:$E,3,0),"")</f>
      </c>
      <c r="H2185" s="28">
        <f>IFERROR(VLOOKUP(F2185,CARTON_LOOKUP!$A:$E,4,0),"")</f>
      </c>
      <c r="I2185" s="28">
        <f>IFERROR(VLOOKUP(F2185,CARTON_LOOKUP!$A:$E,5,0),"")</f>
      </c>
      <c r="J2185" s="29">
        <f>IFERROR(VLOOKUP(F2185,CARTON_LOOKUP!$A:$E,2,0),"")</f>
      </c>
      <c r="K2185" s="29">
        <f>IFERROR(J2185*D2185,0)</f>
      </c>
      <c r="L2185" s="29">
        <f>IFERROR(E2185*C2185,0)</f>
      </c>
      <c r="M2185" s="29">
        <f>IFERROR((G2185*H2185*I2185/1000000)*D2185,0)</f>
      </c>
    </row>
    <row r="2186" spans="1:13" x14ac:dyDescent="0.25">
      <c r="A2186" s="16"/>
      <c r="E2186" s="27"/>
      <c r="F2186" t="s">
        <v>26</v>
      </c>
      <c r="G2186" s="28">
        <f>IFERROR(VLOOKUP(F2186,CARTON_LOOKUP!$A:$E,3,0),"")</f>
      </c>
      <c r="H2186" s="28">
        <f>IFERROR(VLOOKUP(F2186,CARTON_LOOKUP!$A:$E,4,0),"")</f>
      </c>
      <c r="I2186" s="28">
        <f>IFERROR(VLOOKUP(F2186,CARTON_LOOKUP!$A:$E,5,0),"")</f>
      </c>
      <c r="J2186" s="29">
        <f>IFERROR(VLOOKUP(F2186,CARTON_LOOKUP!$A:$E,2,0),"")</f>
      </c>
      <c r="K2186" s="29">
        <f>IFERROR(J2186*D2186,0)</f>
      </c>
      <c r="L2186" s="29">
        <f>IFERROR(E2186*C2186,0)</f>
      </c>
      <c r="M2186" s="29">
        <f>IFERROR((G2186*H2186*I2186/1000000)*D2186,0)</f>
      </c>
    </row>
    <row r="2187" spans="1:13" x14ac:dyDescent="0.25">
      <c r="A2187" s="16"/>
      <c r="E2187" s="27"/>
      <c r="F2187" t="s">
        <v>26</v>
      </c>
      <c r="G2187" s="28">
        <f>IFERROR(VLOOKUP(F2187,CARTON_LOOKUP!$A:$E,3,0),"")</f>
      </c>
      <c r="H2187" s="28">
        <f>IFERROR(VLOOKUP(F2187,CARTON_LOOKUP!$A:$E,4,0),"")</f>
      </c>
      <c r="I2187" s="28">
        <f>IFERROR(VLOOKUP(F2187,CARTON_LOOKUP!$A:$E,5,0),"")</f>
      </c>
      <c r="J2187" s="29">
        <f>IFERROR(VLOOKUP(F2187,CARTON_LOOKUP!$A:$E,2,0),"")</f>
      </c>
      <c r="K2187" s="29">
        <f>IFERROR(J2187*D2187,0)</f>
      </c>
      <c r="L2187" s="29">
        <f>IFERROR(E2187*C2187,0)</f>
      </c>
      <c r="M2187" s="29">
        <f>IFERROR((G2187*H2187*I2187/1000000)*D2187,0)</f>
      </c>
    </row>
    <row r="2188" spans="1:13" x14ac:dyDescent="0.25">
      <c r="A2188" s="16"/>
      <c r="E2188" s="27"/>
      <c r="F2188" t="s">
        <v>26</v>
      </c>
      <c r="G2188" s="28">
        <f>IFERROR(VLOOKUP(F2188,CARTON_LOOKUP!$A:$E,3,0),"")</f>
      </c>
      <c r="H2188" s="28">
        <f>IFERROR(VLOOKUP(F2188,CARTON_LOOKUP!$A:$E,4,0),"")</f>
      </c>
      <c r="I2188" s="28">
        <f>IFERROR(VLOOKUP(F2188,CARTON_LOOKUP!$A:$E,5,0),"")</f>
      </c>
      <c r="J2188" s="29">
        <f>IFERROR(VLOOKUP(F2188,CARTON_LOOKUP!$A:$E,2,0),"")</f>
      </c>
      <c r="K2188" s="29">
        <f>IFERROR(J2188*D2188,0)</f>
      </c>
      <c r="L2188" s="29">
        <f>IFERROR(E2188*C2188,0)</f>
      </c>
      <c r="M2188" s="29">
        <f>IFERROR((G2188*H2188*I2188/1000000)*D2188,0)</f>
      </c>
    </row>
    <row r="2189" spans="1:13" x14ac:dyDescent="0.25">
      <c r="A2189" s="16"/>
      <c r="E2189" s="27"/>
      <c r="F2189" t="s">
        <v>26</v>
      </c>
      <c r="G2189" s="28">
        <f>IFERROR(VLOOKUP(F2189,CARTON_LOOKUP!$A:$E,3,0),"")</f>
      </c>
      <c r="H2189" s="28">
        <f>IFERROR(VLOOKUP(F2189,CARTON_LOOKUP!$A:$E,4,0),"")</f>
      </c>
      <c r="I2189" s="28">
        <f>IFERROR(VLOOKUP(F2189,CARTON_LOOKUP!$A:$E,5,0),"")</f>
      </c>
      <c r="J2189" s="29">
        <f>IFERROR(VLOOKUP(F2189,CARTON_LOOKUP!$A:$E,2,0),"")</f>
      </c>
      <c r="K2189" s="29">
        <f>IFERROR(J2189*D2189,0)</f>
      </c>
      <c r="L2189" s="29">
        <f>IFERROR(E2189*C2189,0)</f>
      </c>
      <c r="M2189" s="29">
        <f>IFERROR((G2189*H2189*I2189/1000000)*D2189,0)</f>
      </c>
    </row>
    <row r="2190" spans="1:13" x14ac:dyDescent="0.25">
      <c r="A2190" s="16"/>
      <c r="E2190" s="27"/>
      <c r="F2190" t="s">
        <v>26</v>
      </c>
      <c r="G2190" s="28">
        <f>IFERROR(VLOOKUP(F2190,CARTON_LOOKUP!$A:$E,3,0),"")</f>
      </c>
      <c r="H2190" s="28">
        <f>IFERROR(VLOOKUP(F2190,CARTON_LOOKUP!$A:$E,4,0),"")</f>
      </c>
      <c r="I2190" s="28">
        <f>IFERROR(VLOOKUP(F2190,CARTON_LOOKUP!$A:$E,5,0),"")</f>
      </c>
      <c r="J2190" s="29">
        <f>IFERROR(VLOOKUP(F2190,CARTON_LOOKUP!$A:$E,2,0),"")</f>
      </c>
      <c r="K2190" s="29">
        <f>IFERROR(J2190*D2190,0)</f>
      </c>
      <c r="L2190" s="29">
        <f>IFERROR(E2190*C2190,0)</f>
      </c>
      <c r="M2190" s="29">
        <f>IFERROR((G2190*H2190*I2190/1000000)*D2190,0)</f>
      </c>
    </row>
    <row r="2191" spans="1:13" x14ac:dyDescent="0.25">
      <c r="A2191" s="16"/>
      <c r="E2191" s="27"/>
      <c r="F2191" t="s">
        <v>26</v>
      </c>
      <c r="G2191" s="28">
        <f>IFERROR(VLOOKUP(F2191,CARTON_LOOKUP!$A:$E,3,0),"")</f>
      </c>
      <c r="H2191" s="28">
        <f>IFERROR(VLOOKUP(F2191,CARTON_LOOKUP!$A:$E,4,0),"")</f>
      </c>
      <c r="I2191" s="28">
        <f>IFERROR(VLOOKUP(F2191,CARTON_LOOKUP!$A:$E,5,0),"")</f>
      </c>
      <c r="J2191" s="29">
        <f>IFERROR(VLOOKUP(F2191,CARTON_LOOKUP!$A:$E,2,0),"")</f>
      </c>
      <c r="K2191" s="29">
        <f>IFERROR(J2191*D2191,0)</f>
      </c>
      <c r="L2191" s="29">
        <f>IFERROR(E2191*C2191,0)</f>
      </c>
      <c r="M2191" s="29">
        <f>IFERROR((G2191*H2191*I2191/1000000)*D2191,0)</f>
      </c>
    </row>
    <row r="2192" spans="1:13" x14ac:dyDescent="0.25">
      <c r="A2192" s="16"/>
      <c r="E2192" s="27"/>
      <c r="F2192" t="s">
        <v>26</v>
      </c>
      <c r="G2192" s="28">
        <f>IFERROR(VLOOKUP(F2192,CARTON_LOOKUP!$A:$E,3,0),"")</f>
      </c>
      <c r="H2192" s="28">
        <f>IFERROR(VLOOKUP(F2192,CARTON_LOOKUP!$A:$E,4,0),"")</f>
      </c>
      <c r="I2192" s="28">
        <f>IFERROR(VLOOKUP(F2192,CARTON_LOOKUP!$A:$E,5,0),"")</f>
      </c>
      <c r="J2192" s="29">
        <f>IFERROR(VLOOKUP(F2192,CARTON_LOOKUP!$A:$E,2,0),"")</f>
      </c>
      <c r="K2192" s="29">
        <f>IFERROR(J2192*D2192,0)</f>
      </c>
      <c r="L2192" s="29">
        <f>IFERROR(E2192*C2192,0)</f>
      </c>
      <c r="M2192" s="29">
        <f>IFERROR((G2192*H2192*I2192/1000000)*D2192,0)</f>
      </c>
    </row>
    <row r="2193" spans="1:13" x14ac:dyDescent="0.25">
      <c r="A2193" s="16"/>
      <c r="E2193" s="27"/>
      <c r="F2193" t="s">
        <v>26</v>
      </c>
      <c r="G2193" s="28">
        <f>IFERROR(VLOOKUP(F2193,CARTON_LOOKUP!$A:$E,3,0),"")</f>
      </c>
      <c r="H2193" s="28">
        <f>IFERROR(VLOOKUP(F2193,CARTON_LOOKUP!$A:$E,4,0),"")</f>
      </c>
      <c r="I2193" s="28">
        <f>IFERROR(VLOOKUP(F2193,CARTON_LOOKUP!$A:$E,5,0),"")</f>
      </c>
      <c r="J2193" s="29">
        <f>IFERROR(VLOOKUP(F2193,CARTON_LOOKUP!$A:$E,2,0),"")</f>
      </c>
      <c r="K2193" s="29">
        <f>IFERROR(J2193*D2193,0)</f>
      </c>
      <c r="L2193" s="29">
        <f>IFERROR(E2193*C2193,0)</f>
      </c>
      <c r="M2193" s="29">
        <f>IFERROR((G2193*H2193*I2193/1000000)*D2193,0)</f>
      </c>
    </row>
    <row r="2194" spans="1:13" x14ac:dyDescent="0.25">
      <c r="A2194" s="16"/>
      <c r="E2194" s="27"/>
      <c r="F2194" t="s">
        <v>26</v>
      </c>
      <c r="G2194" s="28">
        <f>IFERROR(VLOOKUP(F2194,CARTON_LOOKUP!$A:$E,3,0),"")</f>
      </c>
      <c r="H2194" s="28">
        <f>IFERROR(VLOOKUP(F2194,CARTON_LOOKUP!$A:$E,4,0),"")</f>
      </c>
      <c r="I2194" s="28">
        <f>IFERROR(VLOOKUP(F2194,CARTON_LOOKUP!$A:$E,5,0),"")</f>
      </c>
      <c r="J2194" s="29">
        <f>IFERROR(VLOOKUP(F2194,CARTON_LOOKUP!$A:$E,2,0),"")</f>
      </c>
      <c r="K2194" s="29">
        <f>IFERROR(J2194*D2194,0)</f>
      </c>
      <c r="L2194" s="29">
        <f>IFERROR(E2194*C2194,0)</f>
      </c>
      <c r="M2194" s="29">
        <f>IFERROR((G2194*H2194*I2194/1000000)*D2194,0)</f>
      </c>
    </row>
    <row r="2195" spans="1:13" x14ac:dyDescent="0.25">
      <c r="A2195" s="16"/>
      <c r="E2195" s="27"/>
      <c r="F2195" t="s">
        <v>26</v>
      </c>
      <c r="G2195" s="28">
        <f>IFERROR(VLOOKUP(F2195,CARTON_LOOKUP!$A:$E,3,0),"")</f>
      </c>
      <c r="H2195" s="28">
        <f>IFERROR(VLOOKUP(F2195,CARTON_LOOKUP!$A:$E,4,0),"")</f>
      </c>
      <c r="I2195" s="28">
        <f>IFERROR(VLOOKUP(F2195,CARTON_LOOKUP!$A:$E,5,0),"")</f>
      </c>
      <c r="J2195" s="29">
        <f>IFERROR(VLOOKUP(F2195,CARTON_LOOKUP!$A:$E,2,0),"")</f>
      </c>
      <c r="K2195" s="29">
        <f>IFERROR(J2195*D2195,0)</f>
      </c>
      <c r="L2195" s="29">
        <f>IFERROR(E2195*C2195,0)</f>
      </c>
      <c r="M2195" s="29">
        <f>IFERROR((G2195*H2195*I2195/1000000)*D2195,0)</f>
      </c>
    </row>
    <row r="2196" spans="1:13" x14ac:dyDescent="0.25">
      <c r="A2196" s="16"/>
      <c r="E2196" s="27"/>
      <c r="F2196" t="s">
        <v>26</v>
      </c>
      <c r="G2196" s="28">
        <f>IFERROR(VLOOKUP(F2196,CARTON_LOOKUP!$A:$E,3,0),"")</f>
      </c>
      <c r="H2196" s="28">
        <f>IFERROR(VLOOKUP(F2196,CARTON_LOOKUP!$A:$E,4,0),"")</f>
      </c>
      <c r="I2196" s="28">
        <f>IFERROR(VLOOKUP(F2196,CARTON_LOOKUP!$A:$E,5,0),"")</f>
      </c>
      <c r="J2196" s="29">
        <f>IFERROR(VLOOKUP(F2196,CARTON_LOOKUP!$A:$E,2,0),"")</f>
      </c>
      <c r="K2196" s="29">
        <f>IFERROR(J2196*D2196,0)</f>
      </c>
      <c r="L2196" s="29">
        <f>IFERROR(E2196*C2196,0)</f>
      </c>
      <c r="M2196" s="29">
        <f>IFERROR((G2196*H2196*I2196/1000000)*D2196,0)</f>
      </c>
    </row>
    <row r="2197" spans="1:13" x14ac:dyDescent="0.25">
      <c r="A2197" s="16"/>
      <c r="E2197" s="27"/>
      <c r="F2197" t="s">
        <v>26</v>
      </c>
      <c r="G2197" s="28">
        <f>IFERROR(VLOOKUP(F2197,CARTON_LOOKUP!$A:$E,3,0),"")</f>
      </c>
      <c r="H2197" s="28">
        <f>IFERROR(VLOOKUP(F2197,CARTON_LOOKUP!$A:$E,4,0),"")</f>
      </c>
      <c r="I2197" s="28">
        <f>IFERROR(VLOOKUP(F2197,CARTON_LOOKUP!$A:$E,5,0),"")</f>
      </c>
      <c r="J2197" s="29">
        <f>IFERROR(VLOOKUP(F2197,CARTON_LOOKUP!$A:$E,2,0),"")</f>
      </c>
      <c r="K2197" s="29">
        <f>IFERROR(J2197*D2197,0)</f>
      </c>
      <c r="L2197" s="29">
        <f>IFERROR(E2197*C2197,0)</f>
      </c>
      <c r="M2197" s="29">
        <f>IFERROR((G2197*H2197*I2197/1000000)*D2197,0)</f>
      </c>
    </row>
    <row r="2198" spans="1:13" x14ac:dyDescent="0.25">
      <c r="A2198" s="16"/>
      <c r="E2198" s="27"/>
      <c r="F2198" t="s">
        <v>26</v>
      </c>
      <c r="G2198" s="28">
        <f>IFERROR(VLOOKUP(F2198,CARTON_LOOKUP!$A:$E,3,0),"")</f>
      </c>
      <c r="H2198" s="28">
        <f>IFERROR(VLOOKUP(F2198,CARTON_LOOKUP!$A:$E,4,0),"")</f>
      </c>
      <c r="I2198" s="28">
        <f>IFERROR(VLOOKUP(F2198,CARTON_LOOKUP!$A:$E,5,0),"")</f>
      </c>
      <c r="J2198" s="29">
        <f>IFERROR(VLOOKUP(F2198,CARTON_LOOKUP!$A:$E,2,0),"")</f>
      </c>
      <c r="K2198" s="29">
        <f>IFERROR(J2198*D2198,0)</f>
      </c>
      <c r="L2198" s="29">
        <f>IFERROR(E2198*C2198,0)</f>
      </c>
      <c r="M2198" s="29">
        <f>IFERROR((G2198*H2198*I2198/1000000)*D2198,0)</f>
      </c>
    </row>
    <row r="2199" spans="1:13" x14ac:dyDescent="0.25">
      <c r="A2199" s="16"/>
      <c r="E2199" s="27"/>
      <c r="F2199" t="s">
        <v>26</v>
      </c>
      <c r="G2199" s="28">
        <f>IFERROR(VLOOKUP(F2199,CARTON_LOOKUP!$A:$E,3,0),"")</f>
      </c>
      <c r="H2199" s="28">
        <f>IFERROR(VLOOKUP(F2199,CARTON_LOOKUP!$A:$E,4,0),"")</f>
      </c>
      <c r="I2199" s="28">
        <f>IFERROR(VLOOKUP(F2199,CARTON_LOOKUP!$A:$E,5,0),"")</f>
      </c>
      <c r="J2199" s="29">
        <f>IFERROR(VLOOKUP(F2199,CARTON_LOOKUP!$A:$E,2,0),"")</f>
      </c>
      <c r="K2199" s="29">
        <f>IFERROR(J2199*D2199,0)</f>
      </c>
      <c r="L2199" s="29">
        <f>IFERROR(E2199*C2199,0)</f>
      </c>
      <c r="M2199" s="29">
        <f>IFERROR((G2199*H2199*I2199/1000000)*D2199,0)</f>
      </c>
    </row>
    <row r="2200" spans="1:13" x14ac:dyDescent="0.25">
      <c r="A2200" s="16"/>
      <c r="E2200" s="27"/>
      <c r="F2200" t="s">
        <v>26</v>
      </c>
      <c r="G2200" s="28">
        <f>IFERROR(VLOOKUP(F2200,CARTON_LOOKUP!$A:$E,3,0),"")</f>
      </c>
      <c r="H2200" s="28">
        <f>IFERROR(VLOOKUP(F2200,CARTON_LOOKUP!$A:$E,4,0),"")</f>
      </c>
      <c r="I2200" s="28">
        <f>IFERROR(VLOOKUP(F2200,CARTON_LOOKUP!$A:$E,5,0),"")</f>
      </c>
      <c r="J2200" s="29">
        <f>IFERROR(VLOOKUP(F2200,CARTON_LOOKUP!$A:$E,2,0),"")</f>
      </c>
      <c r="K2200" s="29">
        <f>IFERROR(J2200*D2200,0)</f>
      </c>
      <c r="L2200" s="29">
        <f>IFERROR(E2200*C2200,0)</f>
      </c>
      <c r="M2200" s="29">
        <f>IFERROR((G2200*H2200*I2200/1000000)*D2200,0)</f>
      </c>
    </row>
    <row r="2201" spans="1:13" x14ac:dyDescent="0.25">
      <c r="A2201" s="16"/>
      <c r="E2201" s="27"/>
      <c r="F2201" t="s">
        <v>26</v>
      </c>
      <c r="G2201" s="28">
        <f>IFERROR(VLOOKUP(F2201,CARTON_LOOKUP!$A:$E,3,0),"")</f>
      </c>
      <c r="H2201" s="28">
        <f>IFERROR(VLOOKUP(F2201,CARTON_LOOKUP!$A:$E,4,0),"")</f>
      </c>
      <c r="I2201" s="28">
        <f>IFERROR(VLOOKUP(F2201,CARTON_LOOKUP!$A:$E,5,0),"")</f>
      </c>
      <c r="J2201" s="29">
        <f>IFERROR(VLOOKUP(F2201,CARTON_LOOKUP!$A:$E,2,0),"")</f>
      </c>
      <c r="K2201" s="29">
        <f>IFERROR(J2201*D2201,0)</f>
      </c>
      <c r="L2201" s="29">
        <f>IFERROR(E2201*C2201,0)</f>
      </c>
      <c r="M2201" s="29">
        <f>IFERROR((G2201*H2201*I2201/1000000)*D2201,0)</f>
      </c>
    </row>
    <row r="2202" spans="1:13" x14ac:dyDescent="0.25">
      <c r="A2202" s="16"/>
      <c r="E2202" s="27"/>
      <c r="F2202" t="s">
        <v>26</v>
      </c>
      <c r="G2202" s="28">
        <f>IFERROR(VLOOKUP(F2202,CARTON_LOOKUP!$A:$E,3,0),"")</f>
      </c>
      <c r="H2202" s="28">
        <f>IFERROR(VLOOKUP(F2202,CARTON_LOOKUP!$A:$E,4,0),"")</f>
      </c>
      <c r="I2202" s="28">
        <f>IFERROR(VLOOKUP(F2202,CARTON_LOOKUP!$A:$E,5,0),"")</f>
      </c>
      <c r="J2202" s="29">
        <f>IFERROR(VLOOKUP(F2202,CARTON_LOOKUP!$A:$E,2,0),"")</f>
      </c>
      <c r="K2202" s="29">
        <f>IFERROR(J2202*D2202,0)</f>
      </c>
      <c r="L2202" s="29">
        <f>IFERROR(E2202*C2202,0)</f>
      </c>
      <c r="M2202" s="29">
        <f>IFERROR((G2202*H2202*I2202/1000000)*D2202,0)</f>
      </c>
    </row>
    <row r="2203" spans="1:13" x14ac:dyDescent="0.25">
      <c r="A2203" s="16"/>
      <c r="E2203" s="27"/>
      <c r="F2203" t="s">
        <v>26</v>
      </c>
      <c r="G2203" s="28">
        <f>IFERROR(VLOOKUP(F2203,CARTON_LOOKUP!$A:$E,3,0),"")</f>
      </c>
      <c r="H2203" s="28">
        <f>IFERROR(VLOOKUP(F2203,CARTON_LOOKUP!$A:$E,4,0),"")</f>
      </c>
      <c r="I2203" s="28">
        <f>IFERROR(VLOOKUP(F2203,CARTON_LOOKUP!$A:$E,5,0),"")</f>
      </c>
      <c r="J2203" s="29">
        <f>IFERROR(VLOOKUP(F2203,CARTON_LOOKUP!$A:$E,2,0),"")</f>
      </c>
      <c r="K2203" s="29">
        <f>IFERROR(J2203*D2203,0)</f>
      </c>
      <c r="L2203" s="29">
        <f>IFERROR(E2203*C2203,0)</f>
      </c>
      <c r="M2203" s="29">
        <f>IFERROR((G2203*H2203*I2203/1000000)*D2203,0)</f>
      </c>
    </row>
    <row r="2204" spans="1:13" x14ac:dyDescent="0.25">
      <c r="A2204" s="16"/>
      <c r="E2204" s="27"/>
      <c r="F2204" t="s">
        <v>26</v>
      </c>
      <c r="G2204" s="28">
        <f>IFERROR(VLOOKUP(F2204,CARTON_LOOKUP!$A:$E,3,0),"")</f>
      </c>
      <c r="H2204" s="28">
        <f>IFERROR(VLOOKUP(F2204,CARTON_LOOKUP!$A:$E,4,0),"")</f>
      </c>
      <c r="I2204" s="28">
        <f>IFERROR(VLOOKUP(F2204,CARTON_LOOKUP!$A:$E,5,0),"")</f>
      </c>
      <c r="J2204" s="29">
        <f>IFERROR(VLOOKUP(F2204,CARTON_LOOKUP!$A:$E,2,0),"")</f>
      </c>
      <c r="K2204" s="29">
        <f>IFERROR(J2204*D2204,0)</f>
      </c>
      <c r="L2204" s="29">
        <f>IFERROR(E2204*C2204,0)</f>
      </c>
      <c r="M2204" s="29">
        <f>IFERROR((G2204*H2204*I2204/1000000)*D2204,0)</f>
      </c>
    </row>
    <row r="2205" spans="1:13" x14ac:dyDescent="0.25">
      <c r="A2205" s="16"/>
      <c r="E2205" s="27"/>
      <c r="F2205" t="s">
        <v>26</v>
      </c>
      <c r="G2205" s="28">
        <f>IFERROR(VLOOKUP(F2205,CARTON_LOOKUP!$A:$E,3,0),"")</f>
      </c>
      <c r="H2205" s="28">
        <f>IFERROR(VLOOKUP(F2205,CARTON_LOOKUP!$A:$E,4,0),"")</f>
      </c>
      <c r="I2205" s="28">
        <f>IFERROR(VLOOKUP(F2205,CARTON_LOOKUP!$A:$E,5,0),"")</f>
      </c>
      <c r="J2205" s="29">
        <f>IFERROR(VLOOKUP(F2205,CARTON_LOOKUP!$A:$E,2,0),"")</f>
      </c>
      <c r="K2205" s="29">
        <f>IFERROR(J2205*D2205,0)</f>
      </c>
      <c r="L2205" s="29">
        <f>IFERROR(E2205*C2205,0)</f>
      </c>
      <c r="M2205" s="29">
        <f>IFERROR((G2205*H2205*I2205/1000000)*D2205,0)</f>
      </c>
    </row>
    <row r="2206" spans="1:13" x14ac:dyDescent="0.25">
      <c r="A2206" s="16"/>
      <c r="E2206" s="27"/>
      <c r="F2206" t="s">
        <v>26</v>
      </c>
      <c r="G2206" s="28">
        <f>IFERROR(VLOOKUP(F2206,CARTON_LOOKUP!$A:$E,3,0),"")</f>
      </c>
      <c r="H2206" s="28">
        <f>IFERROR(VLOOKUP(F2206,CARTON_LOOKUP!$A:$E,4,0),"")</f>
      </c>
      <c r="I2206" s="28">
        <f>IFERROR(VLOOKUP(F2206,CARTON_LOOKUP!$A:$E,5,0),"")</f>
      </c>
      <c r="J2206" s="29">
        <f>IFERROR(VLOOKUP(F2206,CARTON_LOOKUP!$A:$E,2,0),"")</f>
      </c>
      <c r="K2206" s="29">
        <f>IFERROR(J2206*D2206,0)</f>
      </c>
      <c r="L2206" s="29">
        <f>IFERROR(E2206*C2206,0)</f>
      </c>
      <c r="M2206" s="29">
        <f>IFERROR((G2206*H2206*I2206/1000000)*D2206,0)</f>
      </c>
    </row>
    <row r="2207" spans="1:13" x14ac:dyDescent="0.25">
      <c r="A2207" s="16"/>
      <c r="E2207" s="27"/>
      <c r="F2207" t="s">
        <v>26</v>
      </c>
      <c r="G2207" s="28">
        <f>IFERROR(VLOOKUP(F2207,CARTON_LOOKUP!$A:$E,3,0),"")</f>
      </c>
      <c r="H2207" s="28">
        <f>IFERROR(VLOOKUP(F2207,CARTON_LOOKUP!$A:$E,4,0),"")</f>
      </c>
      <c r="I2207" s="28">
        <f>IFERROR(VLOOKUP(F2207,CARTON_LOOKUP!$A:$E,5,0),"")</f>
      </c>
      <c r="J2207" s="29">
        <f>IFERROR(VLOOKUP(F2207,CARTON_LOOKUP!$A:$E,2,0),"")</f>
      </c>
      <c r="K2207" s="29">
        <f>IFERROR(J2207*D2207,0)</f>
      </c>
      <c r="L2207" s="29">
        <f>IFERROR(E2207*C2207,0)</f>
      </c>
      <c r="M2207" s="29">
        <f>IFERROR((G2207*H2207*I2207/1000000)*D2207,0)</f>
      </c>
    </row>
    <row r="2208" spans="1:13" x14ac:dyDescent="0.25">
      <c r="A2208" s="16"/>
      <c r="E2208" s="27"/>
      <c r="F2208" t="s">
        <v>26</v>
      </c>
      <c r="G2208" s="28">
        <f>IFERROR(VLOOKUP(F2208,CARTON_LOOKUP!$A:$E,3,0),"")</f>
      </c>
      <c r="H2208" s="28">
        <f>IFERROR(VLOOKUP(F2208,CARTON_LOOKUP!$A:$E,4,0),"")</f>
      </c>
      <c r="I2208" s="28">
        <f>IFERROR(VLOOKUP(F2208,CARTON_LOOKUP!$A:$E,5,0),"")</f>
      </c>
      <c r="J2208" s="29">
        <f>IFERROR(VLOOKUP(F2208,CARTON_LOOKUP!$A:$E,2,0),"")</f>
      </c>
      <c r="K2208" s="29">
        <f>IFERROR(J2208*D2208,0)</f>
      </c>
      <c r="L2208" s="29">
        <f>IFERROR(E2208*C2208,0)</f>
      </c>
      <c r="M2208" s="29">
        <f>IFERROR((G2208*H2208*I2208/1000000)*D2208,0)</f>
      </c>
    </row>
    <row r="2209" spans="1:13" x14ac:dyDescent="0.25">
      <c r="A2209" s="16"/>
      <c r="E2209" s="27"/>
      <c r="F2209" t="s">
        <v>26</v>
      </c>
      <c r="G2209" s="28">
        <f>IFERROR(VLOOKUP(F2209,CARTON_LOOKUP!$A:$E,3,0),"")</f>
      </c>
      <c r="H2209" s="28">
        <f>IFERROR(VLOOKUP(F2209,CARTON_LOOKUP!$A:$E,4,0),"")</f>
      </c>
      <c r="I2209" s="28">
        <f>IFERROR(VLOOKUP(F2209,CARTON_LOOKUP!$A:$E,5,0),"")</f>
      </c>
      <c r="J2209" s="29">
        <f>IFERROR(VLOOKUP(F2209,CARTON_LOOKUP!$A:$E,2,0),"")</f>
      </c>
      <c r="K2209" s="29">
        <f>IFERROR(J2209*D2209,0)</f>
      </c>
      <c r="L2209" s="29">
        <f>IFERROR(E2209*C2209,0)</f>
      </c>
      <c r="M2209" s="29">
        <f>IFERROR((G2209*H2209*I2209/1000000)*D2209,0)</f>
      </c>
    </row>
    <row r="2210" spans="1:13" x14ac:dyDescent="0.25">
      <c r="A2210" s="16"/>
      <c r="E2210" s="27"/>
      <c r="F2210" t="s">
        <v>26</v>
      </c>
      <c r="G2210" s="28">
        <f>IFERROR(VLOOKUP(F2210,CARTON_LOOKUP!$A:$E,3,0),"")</f>
      </c>
      <c r="H2210" s="28">
        <f>IFERROR(VLOOKUP(F2210,CARTON_LOOKUP!$A:$E,4,0),"")</f>
      </c>
      <c r="I2210" s="28">
        <f>IFERROR(VLOOKUP(F2210,CARTON_LOOKUP!$A:$E,5,0),"")</f>
      </c>
      <c r="J2210" s="29">
        <f>IFERROR(VLOOKUP(F2210,CARTON_LOOKUP!$A:$E,2,0),"")</f>
      </c>
      <c r="K2210" s="29">
        <f>IFERROR(J2210*D2210,0)</f>
      </c>
      <c r="L2210" s="29">
        <f>IFERROR(E2210*C2210,0)</f>
      </c>
      <c r="M2210" s="29">
        <f>IFERROR((G2210*H2210*I2210/1000000)*D2210,0)</f>
      </c>
    </row>
    <row r="2211" spans="1:13" x14ac:dyDescent="0.25">
      <c r="A2211" s="16"/>
      <c r="E2211" s="27"/>
      <c r="F2211" t="s">
        <v>26</v>
      </c>
      <c r="G2211" s="28">
        <f>IFERROR(VLOOKUP(F2211,CARTON_LOOKUP!$A:$E,3,0),"")</f>
      </c>
      <c r="H2211" s="28">
        <f>IFERROR(VLOOKUP(F2211,CARTON_LOOKUP!$A:$E,4,0),"")</f>
      </c>
      <c r="I2211" s="28">
        <f>IFERROR(VLOOKUP(F2211,CARTON_LOOKUP!$A:$E,5,0),"")</f>
      </c>
      <c r="J2211" s="29">
        <f>IFERROR(VLOOKUP(F2211,CARTON_LOOKUP!$A:$E,2,0),"")</f>
      </c>
      <c r="K2211" s="29">
        <f>IFERROR(J2211*D2211,0)</f>
      </c>
      <c r="L2211" s="29">
        <f>IFERROR(E2211*C2211,0)</f>
      </c>
      <c r="M2211" s="29">
        <f>IFERROR((G2211*H2211*I2211/1000000)*D2211,0)</f>
      </c>
    </row>
    <row r="2212" spans="1:13" x14ac:dyDescent="0.25">
      <c r="A2212" s="16"/>
      <c r="E2212" s="27"/>
      <c r="F2212" t="s">
        <v>26</v>
      </c>
      <c r="G2212" s="28">
        <f>IFERROR(VLOOKUP(F2212,CARTON_LOOKUP!$A:$E,3,0),"")</f>
      </c>
      <c r="H2212" s="28">
        <f>IFERROR(VLOOKUP(F2212,CARTON_LOOKUP!$A:$E,4,0),"")</f>
      </c>
      <c r="I2212" s="28">
        <f>IFERROR(VLOOKUP(F2212,CARTON_LOOKUP!$A:$E,5,0),"")</f>
      </c>
      <c r="J2212" s="29">
        <f>IFERROR(VLOOKUP(F2212,CARTON_LOOKUP!$A:$E,2,0),"")</f>
      </c>
      <c r="K2212" s="29">
        <f>IFERROR(J2212*D2212,0)</f>
      </c>
      <c r="L2212" s="29">
        <f>IFERROR(E2212*C2212,0)</f>
      </c>
      <c r="M2212" s="29">
        <f>IFERROR((G2212*H2212*I2212/1000000)*D2212,0)</f>
      </c>
    </row>
    <row r="2213" spans="1:13" x14ac:dyDescent="0.25">
      <c r="A2213" s="16"/>
      <c r="E2213" s="27"/>
      <c r="F2213" t="s">
        <v>26</v>
      </c>
      <c r="G2213" s="28">
        <f>IFERROR(VLOOKUP(F2213,CARTON_LOOKUP!$A:$E,3,0),"")</f>
      </c>
      <c r="H2213" s="28">
        <f>IFERROR(VLOOKUP(F2213,CARTON_LOOKUP!$A:$E,4,0),"")</f>
      </c>
      <c r="I2213" s="28">
        <f>IFERROR(VLOOKUP(F2213,CARTON_LOOKUP!$A:$E,5,0),"")</f>
      </c>
      <c r="J2213" s="29">
        <f>IFERROR(VLOOKUP(F2213,CARTON_LOOKUP!$A:$E,2,0),"")</f>
      </c>
      <c r="K2213" s="29">
        <f>IFERROR(J2213*D2213,0)</f>
      </c>
      <c r="L2213" s="29">
        <f>IFERROR(E2213*C2213,0)</f>
      </c>
      <c r="M2213" s="29">
        <f>IFERROR((G2213*H2213*I2213/1000000)*D2213,0)</f>
      </c>
    </row>
    <row r="2214" spans="1:13" x14ac:dyDescent="0.25">
      <c r="A2214" s="16"/>
      <c r="E2214" s="27"/>
      <c r="F2214" t="s">
        <v>26</v>
      </c>
      <c r="G2214" s="28">
        <f>IFERROR(VLOOKUP(F2214,CARTON_LOOKUP!$A:$E,3,0),"")</f>
      </c>
      <c r="H2214" s="28">
        <f>IFERROR(VLOOKUP(F2214,CARTON_LOOKUP!$A:$E,4,0),"")</f>
      </c>
      <c r="I2214" s="28">
        <f>IFERROR(VLOOKUP(F2214,CARTON_LOOKUP!$A:$E,5,0),"")</f>
      </c>
      <c r="J2214" s="29">
        <f>IFERROR(VLOOKUP(F2214,CARTON_LOOKUP!$A:$E,2,0),"")</f>
      </c>
      <c r="K2214" s="29">
        <f>IFERROR(J2214*D2214,0)</f>
      </c>
      <c r="L2214" s="29">
        <f>IFERROR(E2214*C2214,0)</f>
      </c>
      <c r="M2214" s="29">
        <f>IFERROR((G2214*H2214*I2214/1000000)*D2214,0)</f>
      </c>
    </row>
    <row r="2215" spans="1:13" x14ac:dyDescent="0.25">
      <c r="A2215" s="16"/>
      <c r="E2215" s="27"/>
      <c r="F2215" t="s">
        <v>26</v>
      </c>
      <c r="G2215" s="28">
        <f>IFERROR(VLOOKUP(F2215,CARTON_LOOKUP!$A:$E,3,0),"")</f>
      </c>
      <c r="H2215" s="28">
        <f>IFERROR(VLOOKUP(F2215,CARTON_LOOKUP!$A:$E,4,0),"")</f>
      </c>
      <c r="I2215" s="28">
        <f>IFERROR(VLOOKUP(F2215,CARTON_LOOKUP!$A:$E,5,0),"")</f>
      </c>
      <c r="J2215" s="29">
        <f>IFERROR(VLOOKUP(F2215,CARTON_LOOKUP!$A:$E,2,0),"")</f>
      </c>
      <c r="K2215" s="29">
        <f>IFERROR(J2215*D2215,0)</f>
      </c>
      <c r="L2215" s="29">
        <f>IFERROR(E2215*C2215,0)</f>
      </c>
      <c r="M2215" s="29">
        <f>IFERROR((G2215*H2215*I2215/1000000)*D2215,0)</f>
      </c>
    </row>
    <row r="2216" spans="1:13" x14ac:dyDescent="0.25">
      <c r="A2216" s="16"/>
      <c r="E2216" s="27"/>
      <c r="F2216" t="s">
        <v>26</v>
      </c>
      <c r="G2216" s="28">
        <f>IFERROR(VLOOKUP(F2216,CARTON_LOOKUP!$A:$E,3,0),"")</f>
      </c>
      <c r="H2216" s="28">
        <f>IFERROR(VLOOKUP(F2216,CARTON_LOOKUP!$A:$E,4,0),"")</f>
      </c>
      <c r="I2216" s="28">
        <f>IFERROR(VLOOKUP(F2216,CARTON_LOOKUP!$A:$E,5,0),"")</f>
      </c>
      <c r="J2216" s="29">
        <f>IFERROR(VLOOKUP(F2216,CARTON_LOOKUP!$A:$E,2,0),"")</f>
      </c>
      <c r="K2216" s="29">
        <f>IFERROR(J2216*D2216,0)</f>
      </c>
      <c r="L2216" s="29">
        <f>IFERROR(E2216*C2216,0)</f>
      </c>
      <c r="M2216" s="29">
        <f>IFERROR((G2216*H2216*I2216/1000000)*D2216,0)</f>
      </c>
    </row>
    <row r="2217" spans="1:13" x14ac:dyDescent="0.25">
      <c r="A2217" s="16"/>
      <c r="E2217" s="27"/>
      <c r="F2217" t="s">
        <v>26</v>
      </c>
      <c r="G2217" s="28">
        <f>IFERROR(VLOOKUP(F2217,CARTON_LOOKUP!$A:$E,3,0),"")</f>
      </c>
      <c r="H2217" s="28">
        <f>IFERROR(VLOOKUP(F2217,CARTON_LOOKUP!$A:$E,4,0),"")</f>
      </c>
      <c r="I2217" s="28">
        <f>IFERROR(VLOOKUP(F2217,CARTON_LOOKUP!$A:$E,5,0),"")</f>
      </c>
      <c r="J2217" s="29">
        <f>IFERROR(VLOOKUP(F2217,CARTON_LOOKUP!$A:$E,2,0),"")</f>
      </c>
      <c r="K2217" s="29">
        <f>IFERROR(J2217*D2217,0)</f>
      </c>
      <c r="L2217" s="29">
        <f>IFERROR(E2217*C2217,0)</f>
      </c>
      <c r="M2217" s="29">
        <f>IFERROR((G2217*H2217*I2217/1000000)*D2217,0)</f>
      </c>
    </row>
    <row r="2218" spans="1:13" x14ac:dyDescent="0.25">
      <c r="A2218" s="16"/>
      <c r="E2218" s="27"/>
      <c r="F2218" t="s">
        <v>26</v>
      </c>
      <c r="G2218" s="28">
        <f>IFERROR(VLOOKUP(F2218,CARTON_LOOKUP!$A:$E,3,0),"")</f>
      </c>
      <c r="H2218" s="28">
        <f>IFERROR(VLOOKUP(F2218,CARTON_LOOKUP!$A:$E,4,0),"")</f>
      </c>
      <c r="I2218" s="28">
        <f>IFERROR(VLOOKUP(F2218,CARTON_LOOKUP!$A:$E,5,0),"")</f>
      </c>
      <c r="J2218" s="29">
        <f>IFERROR(VLOOKUP(F2218,CARTON_LOOKUP!$A:$E,2,0),"")</f>
      </c>
      <c r="K2218" s="29">
        <f>IFERROR(J2218*D2218,0)</f>
      </c>
      <c r="L2218" s="29">
        <f>IFERROR(E2218*C2218,0)</f>
      </c>
      <c r="M2218" s="29">
        <f>IFERROR((G2218*H2218*I2218/1000000)*D2218,0)</f>
      </c>
    </row>
    <row r="2219" spans="1:13" x14ac:dyDescent="0.25">
      <c r="A2219" s="16"/>
      <c r="E2219" s="27"/>
      <c r="F2219" t="s">
        <v>26</v>
      </c>
      <c r="G2219" s="28">
        <f>IFERROR(VLOOKUP(F2219,CARTON_LOOKUP!$A:$E,3,0),"")</f>
      </c>
      <c r="H2219" s="28">
        <f>IFERROR(VLOOKUP(F2219,CARTON_LOOKUP!$A:$E,4,0),"")</f>
      </c>
      <c r="I2219" s="28">
        <f>IFERROR(VLOOKUP(F2219,CARTON_LOOKUP!$A:$E,5,0),"")</f>
      </c>
      <c r="J2219" s="29">
        <f>IFERROR(VLOOKUP(F2219,CARTON_LOOKUP!$A:$E,2,0),"")</f>
      </c>
      <c r="K2219" s="29">
        <f>IFERROR(J2219*D2219,0)</f>
      </c>
      <c r="L2219" s="29">
        <f>IFERROR(E2219*C2219,0)</f>
      </c>
      <c r="M2219" s="29">
        <f>IFERROR((G2219*H2219*I2219/1000000)*D2219,0)</f>
      </c>
    </row>
    <row r="2220" spans="1:13" x14ac:dyDescent="0.25">
      <c r="A2220" s="16"/>
      <c r="E2220" s="27"/>
      <c r="F2220" t="s">
        <v>26</v>
      </c>
      <c r="G2220" s="28">
        <f>IFERROR(VLOOKUP(F2220,CARTON_LOOKUP!$A:$E,3,0),"")</f>
      </c>
      <c r="H2220" s="28">
        <f>IFERROR(VLOOKUP(F2220,CARTON_LOOKUP!$A:$E,4,0),"")</f>
      </c>
      <c r="I2220" s="28">
        <f>IFERROR(VLOOKUP(F2220,CARTON_LOOKUP!$A:$E,5,0),"")</f>
      </c>
      <c r="J2220" s="29">
        <f>IFERROR(VLOOKUP(F2220,CARTON_LOOKUP!$A:$E,2,0),"")</f>
      </c>
      <c r="K2220" s="29">
        <f>IFERROR(J2220*D2220,0)</f>
      </c>
      <c r="L2220" s="29">
        <f>IFERROR(E2220*C2220,0)</f>
      </c>
      <c r="M2220" s="29">
        <f>IFERROR((G2220*H2220*I2220/1000000)*D2220,0)</f>
      </c>
    </row>
    <row r="2221" spans="1:13" x14ac:dyDescent="0.25">
      <c r="A2221" s="16"/>
      <c r="E2221" s="27"/>
      <c r="F2221" t="s">
        <v>26</v>
      </c>
      <c r="G2221" s="28">
        <f>IFERROR(VLOOKUP(F2221,CARTON_LOOKUP!$A:$E,3,0),"")</f>
      </c>
      <c r="H2221" s="28">
        <f>IFERROR(VLOOKUP(F2221,CARTON_LOOKUP!$A:$E,4,0),"")</f>
      </c>
      <c r="I2221" s="28">
        <f>IFERROR(VLOOKUP(F2221,CARTON_LOOKUP!$A:$E,5,0),"")</f>
      </c>
      <c r="J2221" s="29">
        <f>IFERROR(VLOOKUP(F2221,CARTON_LOOKUP!$A:$E,2,0),"")</f>
      </c>
      <c r="K2221" s="29">
        <f>IFERROR(J2221*D2221,0)</f>
      </c>
      <c r="L2221" s="29">
        <f>IFERROR(E2221*C2221,0)</f>
      </c>
      <c r="M2221" s="29">
        <f>IFERROR((G2221*H2221*I2221/1000000)*D2221,0)</f>
      </c>
    </row>
    <row r="2222" spans="1:13" x14ac:dyDescent="0.25">
      <c r="A2222" s="16"/>
      <c r="E2222" s="27"/>
      <c r="F2222" t="s">
        <v>26</v>
      </c>
      <c r="G2222" s="28">
        <f>IFERROR(VLOOKUP(F2222,CARTON_LOOKUP!$A:$E,3,0),"")</f>
      </c>
      <c r="H2222" s="28">
        <f>IFERROR(VLOOKUP(F2222,CARTON_LOOKUP!$A:$E,4,0),"")</f>
      </c>
      <c r="I2222" s="28">
        <f>IFERROR(VLOOKUP(F2222,CARTON_LOOKUP!$A:$E,5,0),"")</f>
      </c>
      <c r="J2222" s="29">
        <f>IFERROR(VLOOKUP(F2222,CARTON_LOOKUP!$A:$E,2,0),"")</f>
      </c>
      <c r="K2222" s="29">
        <f>IFERROR(J2222*D2222,0)</f>
      </c>
      <c r="L2222" s="29">
        <f>IFERROR(E2222*C2222,0)</f>
      </c>
      <c r="M2222" s="29">
        <f>IFERROR((G2222*H2222*I2222/1000000)*D2222,0)</f>
      </c>
    </row>
    <row r="2223" spans="1:13" x14ac:dyDescent="0.25">
      <c r="A2223" s="16"/>
      <c r="E2223" s="27"/>
      <c r="F2223" t="s">
        <v>26</v>
      </c>
      <c r="G2223" s="28">
        <f>IFERROR(VLOOKUP(F2223,CARTON_LOOKUP!$A:$E,3,0),"")</f>
      </c>
      <c r="H2223" s="28">
        <f>IFERROR(VLOOKUP(F2223,CARTON_LOOKUP!$A:$E,4,0),"")</f>
      </c>
      <c r="I2223" s="28">
        <f>IFERROR(VLOOKUP(F2223,CARTON_LOOKUP!$A:$E,5,0),"")</f>
      </c>
      <c r="J2223" s="29">
        <f>IFERROR(VLOOKUP(F2223,CARTON_LOOKUP!$A:$E,2,0),"")</f>
      </c>
      <c r="K2223" s="29">
        <f>IFERROR(J2223*D2223,0)</f>
      </c>
      <c r="L2223" s="29">
        <f>IFERROR(E2223*C2223,0)</f>
      </c>
      <c r="M2223" s="29">
        <f>IFERROR((G2223*H2223*I2223/1000000)*D2223,0)</f>
      </c>
    </row>
    <row r="2224" spans="1:13" x14ac:dyDescent="0.25">
      <c r="A2224" s="16"/>
      <c r="E2224" s="27"/>
      <c r="F2224" t="s">
        <v>26</v>
      </c>
      <c r="G2224" s="28">
        <f>IFERROR(VLOOKUP(F2224,CARTON_LOOKUP!$A:$E,3,0),"")</f>
      </c>
      <c r="H2224" s="28">
        <f>IFERROR(VLOOKUP(F2224,CARTON_LOOKUP!$A:$E,4,0),"")</f>
      </c>
      <c r="I2224" s="28">
        <f>IFERROR(VLOOKUP(F2224,CARTON_LOOKUP!$A:$E,5,0),"")</f>
      </c>
      <c r="J2224" s="29">
        <f>IFERROR(VLOOKUP(F2224,CARTON_LOOKUP!$A:$E,2,0),"")</f>
      </c>
      <c r="K2224" s="29">
        <f>IFERROR(J2224*D2224,0)</f>
      </c>
      <c r="L2224" s="29">
        <f>IFERROR(E2224*C2224,0)</f>
      </c>
      <c r="M2224" s="29">
        <f>IFERROR((G2224*H2224*I2224/1000000)*D2224,0)</f>
      </c>
    </row>
    <row r="2225" spans="1:13" x14ac:dyDescent="0.25">
      <c r="A2225" s="16"/>
      <c r="E2225" s="27"/>
      <c r="F2225" t="s">
        <v>26</v>
      </c>
      <c r="G2225" s="28">
        <f>IFERROR(VLOOKUP(F2225,CARTON_LOOKUP!$A:$E,3,0),"")</f>
      </c>
      <c r="H2225" s="28">
        <f>IFERROR(VLOOKUP(F2225,CARTON_LOOKUP!$A:$E,4,0),"")</f>
      </c>
      <c r="I2225" s="28">
        <f>IFERROR(VLOOKUP(F2225,CARTON_LOOKUP!$A:$E,5,0),"")</f>
      </c>
      <c r="J2225" s="29">
        <f>IFERROR(VLOOKUP(F2225,CARTON_LOOKUP!$A:$E,2,0),"")</f>
      </c>
      <c r="K2225" s="29">
        <f>IFERROR(J2225*D2225,0)</f>
      </c>
      <c r="L2225" s="29">
        <f>IFERROR(E2225*C2225,0)</f>
      </c>
      <c r="M2225" s="29">
        <f>IFERROR((G2225*H2225*I2225/1000000)*D2225,0)</f>
      </c>
    </row>
    <row r="2226" spans="1:13" x14ac:dyDescent="0.25">
      <c r="A2226" s="16"/>
      <c r="E2226" s="27"/>
      <c r="F2226" t="s">
        <v>26</v>
      </c>
      <c r="G2226" s="28">
        <f>IFERROR(VLOOKUP(F2226,CARTON_LOOKUP!$A:$E,3,0),"")</f>
      </c>
      <c r="H2226" s="28">
        <f>IFERROR(VLOOKUP(F2226,CARTON_LOOKUP!$A:$E,4,0),"")</f>
      </c>
      <c r="I2226" s="28">
        <f>IFERROR(VLOOKUP(F2226,CARTON_LOOKUP!$A:$E,5,0),"")</f>
      </c>
      <c r="J2226" s="29">
        <f>IFERROR(VLOOKUP(F2226,CARTON_LOOKUP!$A:$E,2,0),"")</f>
      </c>
      <c r="K2226" s="29">
        <f>IFERROR(J2226*D2226,0)</f>
      </c>
      <c r="L2226" s="29">
        <f>IFERROR(E2226*C2226,0)</f>
      </c>
      <c r="M2226" s="29">
        <f>IFERROR((G2226*H2226*I2226/1000000)*D2226,0)</f>
      </c>
    </row>
    <row r="2227" spans="1:13" x14ac:dyDescent="0.25">
      <c r="A2227" s="16"/>
      <c r="E2227" s="27"/>
      <c r="F2227" t="s">
        <v>26</v>
      </c>
      <c r="G2227" s="28">
        <f>IFERROR(VLOOKUP(F2227,CARTON_LOOKUP!$A:$E,3,0),"")</f>
      </c>
      <c r="H2227" s="28">
        <f>IFERROR(VLOOKUP(F2227,CARTON_LOOKUP!$A:$E,4,0),"")</f>
      </c>
      <c r="I2227" s="28">
        <f>IFERROR(VLOOKUP(F2227,CARTON_LOOKUP!$A:$E,5,0),"")</f>
      </c>
      <c r="J2227" s="29">
        <f>IFERROR(VLOOKUP(F2227,CARTON_LOOKUP!$A:$E,2,0),"")</f>
      </c>
      <c r="K2227" s="29">
        <f>IFERROR(J2227*D2227,0)</f>
      </c>
      <c r="L2227" s="29">
        <f>IFERROR(E2227*C2227,0)</f>
      </c>
      <c r="M2227" s="29">
        <f>IFERROR((G2227*H2227*I2227/1000000)*D2227,0)</f>
      </c>
    </row>
    <row r="2228" spans="1:13" x14ac:dyDescent="0.25">
      <c r="A2228" s="16"/>
      <c r="E2228" s="27"/>
      <c r="F2228" t="s">
        <v>26</v>
      </c>
      <c r="G2228" s="28">
        <f>IFERROR(VLOOKUP(F2228,CARTON_LOOKUP!$A:$E,3,0),"")</f>
      </c>
      <c r="H2228" s="28">
        <f>IFERROR(VLOOKUP(F2228,CARTON_LOOKUP!$A:$E,4,0),"")</f>
      </c>
      <c r="I2228" s="28">
        <f>IFERROR(VLOOKUP(F2228,CARTON_LOOKUP!$A:$E,5,0),"")</f>
      </c>
      <c r="J2228" s="29">
        <f>IFERROR(VLOOKUP(F2228,CARTON_LOOKUP!$A:$E,2,0),"")</f>
      </c>
      <c r="K2228" s="29">
        <f>IFERROR(J2228*D2228,0)</f>
      </c>
      <c r="L2228" s="29">
        <f>IFERROR(E2228*C2228,0)</f>
      </c>
      <c r="M2228" s="29">
        <f>IFERROR((G2228*H2228*I2228/1000000)*D2228,0)</f>
      </c>
    </row>
    <row r="2229" spans="1:13" x14ac:dyDescent="0.25">
      <c r="A2229" s="16"/>
      <c r="E2229" s="27"/>
      <c r="F2229" t="s">
        <v>26</v>
      </c>
      <c r="G2229" s="28">
        <f>IFERROR(VLOOKUP(F2229,CARTON_LOOKUP!$A:$E,3,0),"")</f>
      </c>
      <c r="H2229" s="28">
        <f>IFERROR(VLOOKUP(F2229,CARTON_LOOKUP!$A:$E,4,0),"")</f>
      </c>
      <c r="I2229" s="28">
        <f>IFERROR(VLOOKUP(F2229,CARTON_LOOKUP!$A:$E,5,0),"")</f>
      </c>
      <c r="J2229" s="29">
        <f>IFERROR(VLOOKUP(F2229,CARTON_LOOKUP!$A:$E,2,0),"")</f>
      </c>
      <c r="K2229" s="29">
        <f>IFERROR(J2229*D2229,0)</f>
      </c>
      <c r="L2229" s="29">
        <f>IFERROR(E2229*C2229,0)</f>
      </c>
      <c r="M2229" s="29">
        <f>IFERROR((G2229*H2229*I2229/1000000)*D2229,0)</f>
      </c>
    </row>
    <row r="2230" spans="1:13" x14ac:dyDescent="0.25">
      <c r="A2230" s="16"/>
      <c r="E2230" s="27"/>
      <c r="F2230" t="s">
        <v>26</v>
      </c>
      <c r="G2230" s="28">
        <f>IFERROR(VLOOKUP(F2230,CARTON_LOOKUP!$A:$E,3,0),"")</f>
      </c>
      <c r="H2230" s="28">
        <f>IFERROR(VLOOKUP(F2230,CARTON_LOOKUP!$A:$E,4,0),"")</f>
      </c>
      <c r="I2230" s="28">
        <f>IFERROR(VLOOKUP(F2230,CARTON_LOOKUP!$A:$E,5,0),"")</f>
      </c>
      <c r="J2230" s="29">
        <f>IFERROR(VLOOKUP(F2230,CARTON_LOOKUP!$A:$E,2,0),"")</f>
      </c>
      <c r="K2230" s="29">
        <f>IFERROR(J2230*D2230,0)</f>
      </c>
      <c r="L2230" s="29">
        <f>IFERROR(E2230*C2230,0)</f>
      </c>
      <c r="M2230" s="29">
        <f>IFERROR((G2230*H2230*I2230/1000000)*D2230,0)</f>
      </c>
    </row>
    <row r="2231" spans="1:13" x14ac:dyDescent="0.25">
      <c r="A2231" s="16"/>
      <c r="E2231" s="27"/>
      <c r="F2231" t="s">
        <v>26</v>
      </c>
      <c r="G2231" s="28">
        <f>IFERROR(VLOOKUP(F2231,CARTON_LOOKUP!$A:$E,3,0),"")</f>
      </c>
      <c r="H2231" s="28">
        <f>IFERROR(VLOOKUP(F2231,CARTON_LOOKUP!$A:$E,4,0),"")</f>
      </c>
      <c r="I2231" s="28">
        <f>IFERROR(VLOOKUP(F2231,CARTON_LOOKUP!$A:$E,5,0),"")</f>
      </c>
      <c r="J2231" s="29">
        <f>IFERROR(VLOOKUP(F2231,CARTON_LOOKUP!$A:$E,2,0),"")</f>
      </c>
      <c r="K2231" s="29">
        <f>IFERROR(J2231*D2231,0)</f>
      </c>
      <c r="L2231" s="29">
        <f>IFERROR(E2231*C2231,0)</f>
      </c>
      <c r="M2231" s="29">
        <f>IFERROR((G2231*H2231*I2231/1000000)*D2231,0)</f>
      </c>
    </row>
    <row r="2232" spans="1:13" x14ac:dyDescent="0.25">
      <c r="A2232" s="16"/>
      <c r="E2232" s="27"/>
      <c r="F2232" t="s">
        <v>26</v>
      </c>
      <c r="G2232" s="28">
        <f>IFERROR(VLOOKUP(F2232,CARTON_LOOKUP!$A:$E,3,0),"")</f>
      </c>
      <c r="H2232" s="28">
        <f>IFERROR(VLOOKUP(F2232,CARTON_LOOKUP!$A:$E,4,0),"")</f>
      </c>
      <c r="I2232" s="28">
        <f>IFERROR(VLOOKUP(F2232,CARTON_LOOKUP!$A:$E,5,0),"")</f>
      </c>
      <c r="J2232" s="29">
        <f>IFERROR(VLOOKUP(F2232,CARTON_LOOKUP!$A:$E,2,0),"")</f>
      </c>
      <c r="K2232" s="29">
        <f>IFERROR(J2232*D2232,0)</f>
      </c>
      <c r="L2232" s="29">
        <f>IFERROR(E2232*C2232,0)</f>
      </c>
      <c r="M2232" s="29">
        <f>IFERROR((G2232*H2232*I2232/1000000)*D2232,0)</f>
      </c>
    </row>
    <row r="2233" spans="1:13" x14ac:dyDescent="0.25">
      <c r="A2233" s="16"/>
      <c r="E2233" s="27"/>
      <c r="F2233" t="s">
        <v>26</v>
      </c>
      <c r="G2233" s="28">
        <f>IFERROR(VLOOKUP(F2233,CARTON_LOOKUP!$A:$E,3,0),"")</f>
      </c>
      <c r="H2233" s="28">
        <f>IFERROR(VLOOKUP(F2233,CARTON_LOOKUP!$A:$E,4,0),"")</f>
      </c>
      <c r="I2233" s="28">
        <f>IFERROR(VLOOKUP(F2233,CARTON_LOOKUP!$A:$E,5,0),"")</f>
      </c>
      <c r="J2233" s="29">
        <f>IFERROR(VLOOKUP(F2233,CARTON_LOOKUP!$A:$E,2,0),"")</f>
      </c>
      <c r="K2233" s="29">
        <f>IFERROR(J2233*D2233,0)</f>
      </c>
      <c r="L2233" s="29">
        <f>IFERROR(E2233*C2233,0)</f>
      </c>
      <c r="M2233" s="29">
        <f>IFERROR((G2233*H2233*I2233/1000000)*D2233,0)</f>
      </c>
    </row>
    <row r="2234" spans="1:13" x14ac:dyDescent="0.25">
      <c r="A2234" s="16"/>
      <c r="E2234" s="27"/>
      <c r="F2234" t="s">
        <v>26</v>
      </c>
      <c r="G2234" s="28">
        <f>IFERROR(VLOOKUP(F2234,CARTON_LOOKUP!$A:$E,3,0),"")</f>
      </c>
      <c r="H2234" s="28">
        <f>IFERROR(VLOOKUP(F2234,CARTON_LOOKUP!$A:$E,4,0),"")</f>
      </c>
      <c r="I2234" s="28">
        <f>IFERROR(VLOOKUP(F2234,CARTON_LOOKUP!$A:$E,5,0),"")</f>
      </c>
      <c r="J2234" s="29">
        <f>IFERROR(VLOOKUP(F2234,CARTON_LOOKUP!$A:$E,2,0),"")</f>
      </c>
      <c r="K2234" s="29">
        <f>IFERROR(J2234*D2234,0)</f>
      </c>
      <c r="L2234" s="29">
        <f>IFERROR(E2234*C2234,0)</f>
      </c>
      <c r="M2234" s="29">
        <f>IFERROR((G2234*H2234*I2234/1000000)*D2234,0)</f>
      </c>
    </row>
    <row r="2235" spans="1:13" x14ac:dyDescent="0.25">
      <c r="A2235" s="16"/>
      <c r="E2235" s="27"/>
      <c r="F2235" t="s">
        <v>26</v>
      </c>
      <c r="G2235" s="28">
        <f>IFERROR(VLOOKUP(F2235,CARTON_LOOKUP!$A:$E,3,0),"")</f>
      </c>
      <c r="H2235" s="28">
        <f>IFERROR(VLOOKUP(F2235,CARTON_LOOKUP!$A:$E,4,0),"")</f>
      </c>
      <c r="I2235" s="28">
        <f>IFERROR(VLOOKUP(F2235,CARTON_LOOKUP!$A:$E,5,0),"")</f>
      </c>
      <c r="J2235" s="29">
        <f>IFERROR(VLOOKUP(F2235,CARTON_LOOKUP!$A:$E,2,0),"")</f>
      </c>
      <c r="K2235" s="29">
        <f>IFERROR(J2235*D2235,0)</f>
      </c>
      <c r="L2235" s="29">
        <f>IFERROR(E2235*C2235,0)</f>
      </c>
      <c r="M2235" s="29">
        <f>IFERROR((G2235*H2235*I2235/1000000)*D2235,0)</f>
      </c>
    </row>
    <row r="2236" spans="1:13" x14ac:dyDescent="0.25">
      <c r="A2236" s="16"/>
      <c r="E2236" s="27"/>
      <c r="F2236" t="s">
        <v>26</v>
      </c>
      <c r="G2236" s="28">
        <f>IFERROR(VLOOKUP(F2236,CARTON_LOOKUP!$A:$E,3,0),"")</f>
      </c>
      <c r="H2236" s="28">
        <f>IFERROR(VLOOKUP(F2236,CARTON_LOOKUP!$A:$E,4,0),"")</f>
      </c>
      <c r="I2236" s="28">
        <f>IFERROR(VLOOKUP(F2236,CARTON_LOOKUP!$A:$E,5,0),"")</f>
      </c>
      <c r="J2236" s="29">
        <f>IFERROR(VLOOKUP(F2236,CARTON_LOOKUP!$A:$E,2,0),"")</f>
      </c>
      <c r="K2236" s="29">
        <f>IFERROR(J2236*D2236,0)</f>
      </c>
      <c r="L2236" s="29">
        <f>IFERROR(E2236*C2236,0)</f>
      </c>
      <c r="M2236" s="29">
        <f>IFERROR((G2236*H2236*I2236/1000000)*D2236,0)</f>
      </c>
    </row>
    <row r="2237" spans="1:13" x14ac:dyDescent="0.25">
      <c r="A2237" s="16"/>
      <c r="E2237" s="27"/>
      <c r="F2237" t="s">
        <v>26</v>
      </c>
      <c r="G2237" s="28">
        <f>IFERROR(VLOOKUP(F2237,CARTON_LOOKUP!$A:$E,3,0),"")</f>
      </c>
      <c r="H2237" s="28">
        <f>IFERROR(VLOOKUP(F2237,CARTON_LOOKUP!$A:$E,4,0),"")</f>
      </c>
      <c r="I2237" s="28">
        <f>IFERROR(VLOOKUP(F2237,CARTON_LOOKUP!$A:$E,5,0),"")</f>
      </c>
      <c r="J2237" s="29">
        <f>IFERROR(VLOOKUP(F2237,CARTON_LOOKUP!$A:$E,2,0),"")</f>
      </c>
      <c r="K2237" s="29">
        <f>IFERROR(J2237*D2237,0)</f>
      </c>
      <c r="L2237" s="29">
        <f>IFERROR(E2237*C2237,0)</f>
      </c>
      <c r="M2237" s="29">
        <f>IFERROR((G2237*H2237*I2237/1000000)*D2237,0)</f>
      </c>
    </row>
    <row r="2238" spans="1:13" x14ac:dyDescent="0.25">
      <c r="A2238" s="16"/>
      <c r="E2238" s="27"/>
      <c r="F2238" t="s">
        <v>26</v>
      </c>
      <c r="G2238" s="28">
        <f>IFERROR(VLOOKUP(F2238,CARTON_LOOKUP!$A:$E,3,0),"")</f>
      </c>
      <c r="H2238" s="28">
        <f>IFERROR(VLOOKUP(F2238,CARTON_LOOKUP!$A:$E,4,0),"")</f>
      </c>
      <c r="I2238" s="28">
        <f>IFERROR(VLOOKUP(F2238,CARTON_LOOKUP!$A:$E,5,0),"")</f>
      </c>
      <c r="J2238" s="29">
        <f>IFERROR(VLOOKUP(F2238,CARTON_LOOKUP!$A:$E,2,0),"")</f>
      </c>
      <c r="K2238" s="29">
        <f>IFERROR(J2238*D2238,0)</f>
      </c>
      <c r="L2238" s="29">
        <f>IFERROR(E2238*C2238,0)</f>
      </c>
      <c r="M2238" s="29">
        <f>IFERROR((G2238*H2238*I2238/1000000)*D2238,0)</f>
      </c>
    </row>
    <row r="2239" spans="1:13" x14ac:dyDescent="0.25">
      <c r="A2239" s="16"/>
      <c r="E2239" s="27"/>
      <c r="F2239" t="s">
        <v>26</v>
      </c>
      <c r="G2239" s="28">
        <f>IFERROR(VLOOKUP(F2239,CARTON_LOOKUP!$A:$E,3,0),"")</f>
      </c>
      <c r="H2239" s="28">
        <f>IFERROR(VLOOKUP(F2239,CARTON_LOOKUP!$A:$E,4,0),"")</f>
      </c>
      <c r="I2239" s="28">
        <f>IFERROR(VLOOKUP(F2239,CARTON_LOOKUP!$A:$E,5,0),"")</f>
      </c>
      <c r="J2239" s="29">
        <f>IFERROR(VLOOKUP(F2239,CARTON_LOOKUP!$A:$E,2,0),"")</f>
      </c>
      <c r="K2239" s="29">
        <f>IFERROR(J2239*D2239,0)</f>
      </c>
      <c r="L2239" s="29">
        <f>IFERROR(E2239*C2239,0)</f>
      </c>
      <c r="M2239" s="29">
        <f>IFERROR((G2239*H2239*I2239/1000000)*D2239,0)</f>
      </c>
    </row>
    <row r="2240" spans="1:13" x14ac:dyDescent="0.25">
      <c r="A2240" s="16"/>
      <c r="E2240" s="27"/>
      <c r="F2240" t="s">
        <v>26</v>
      </c>
      <c r="G2240" s="28">
        <f>IFERROR(VLOOKUP(F2240,CARTON_LOOKUP!$A:$E,3,0),"")</f>
      </c>
      <c r="H2240" s="28">
        <f>IFERROR(VLOOKUP(F2240,CARTON_LOOKUP!$A:$E,4,0),"")</f>
      </c>
      <c r="I2240" s="28">
        <f>IFERROR(VLOOKUP(F2240,CARTON_LOOKUP!$A:$E,5,0),"")</f>
      </c>
      <c r="J2240" s="29">
        <f>IFERROR(VLOOKUP(F2240,CARTON_LOOKUP!$A:$E,2,0),"")</f>
      </c>
      <c r="K2240" s="29">
        <f>IFERROR(J2240*D2240,0)</f>
      </c>
      <c r="L2240" s="29">
        <f>IFERROR(E2240*C2240,0)</f>
      </c>
      <c r="M2240" s="29">
        <f>IFERROR((G2240*H2240*I2240/1000000)*D2240,0)</f>
      </c>
    </row>
    <row r="2241" spans="1:13" x14ac:dyDescent="0.25">
      <c r="A2241" s="16"/>
      <c r="E2241" s="27"/>
      <c r="F2241" t="s">
        <v>26</v>
      </c>
      <c r="G2241" s="28">
        <f>IFERROR(VLOOKUP(F2241,CARTON_LOOKUP!$A:$E,3,0),"")</f>
      </c>
      <c r="H2241" s="28">
        <f>IFERROR(VLOOKUP(F2241,CARTON_LOOKUP!$A:$E,4,0),"")</f>
      </c>
      <c r="I2241" s="28">
        <f>IFERROR(VLOOKUP(F2241,CARTON_LOOKUP!$A:$E,5,0),"")</f>
      </c>
      <c r="J2241" s="29">
        <f>IFERROR(VLOOKUP(F2241,CARTON_LOOKUP!$A:$E,2,0),"")</f>
      </c>
      <c r="K2241" s="29">
        <f>IFERROR(J2241*D2241,0)</f>
      </c>
      <c r="L2241" s="29">
        <f>IFERROR(E2241*C2241,0)</f>
      </c>
      <c r="M2241" s="29">
        <f>IFERROR((G2241*H2241*I2241/1000000)*D2241,0)</f>
      </c>
    </row>
    <row r="2242" spans="1:13" x14ac:dyDescent="0.25">
      <c r="A2242" s="16"/>
      <c r="E2242" s="27"/>
      <c r="F2242" t="s">
        <v>26</v>
      </c>
      <c r="G2242" s="28">
        <f>IFERROR(VLOOKUP(F2242,CARTON_LOOKUP!$A:$E,3,0),"")</f>
      </c>
      <c r="H2242" s="28">
        <f>IFERROR(VLOOKUP(F2242,CARTON_LOOKUP!$A:$E,4,0),"")</f>
      </c>
      <c r="I2242" s="28">
        <f>IFERROR(VLOOKUP(F2242,CARTON_LOOKUP!$A:$E,5,0),"")</f>
      </c>
      <c r="J2242" s="29">
        <f>IFERROR(VLOOKUP(F2242,CARTON_LOOKUP!$A:$E,2,0),"")</f>
      </c>
      <c r="K2242" s="29">
        <f>IFERROR(J2242*D2242,0)</f>
      </c>
      <c r="L2242" s="29">
        <f>IFERROR(E2242*C2242,0)</f>
      </c>
      <c r="M2242" s="29">
        <f>IFERROR((G2242*H2242*I2242/1000000)*D2242,0)</f>
      </c>
    </row>
    <row r="2243" spans="1:13" x14ac:dyDescent="0.25">
      <c r="A2243" s="16"/>
      <c r="E2243" s="27"/>
      <c r="F2243" t="s">
        <v>26</v>
      </c>
      <c r="G2243" s="28">
        <f>IFERROR(VLOOKUP(F2243,CARTON_LOOKUP!$A:$E,3,0),"")</f>
      </c>
      <c r="H2243" s="28">
        <f>IFERROR(VLOOKUP(F2243,CARTON_LOOKUP!$A:$E,4,0),"")</f>
      </c>
      <c r="I2243" s="28">
        <f>IFERROR(VLOOKUP(F2243,CARTON_LOOKUP!$A:$E,5,0),"")</f>
      </c>
      <c r="J2243" s="29">
        <f>IFERROR(VLOOKUP(F2243,CARTON_LOOKUP!$A:$E,2,0),"")</f>
      </c>
      <c r="K2243" s="29">
        <f>IFERROR(J2243*D2243,0)</f>
      </c>
      <c r="L2243" s="29">
        <f>IFERROR(E2243*C2243,0)</f>
      </c>
      <c r="M2243" s="29">
        <f>IFERROR((G2243*H2243*I2243/1000000)*D2243,0)</f>
      </c>
    </row>
    <row r="2244" spans="1:13" x14ac:dyDescent="0.25">
      <c r="A2244" s="16"/>
      <c r="E2244" s="27"/>
      <c r="F2244" t="s">
        <v>26</v>
      </c>
      <c r="G2244" s="28">
        <f>IFERROR(VLOOKUP(F2244,CARTON_LOOKUP!$A:$E,3,0),"")</f>
      </c>
      <c r="H2244" s="28">
        <f>IFERROR(VLOOKUP(F2244,CARTON_LOOKUP!$A:$E,4,0),"")</f>
      </c>
      <c r="I2244" s="28">
        <f>IFERROR(VLOOKUP(F2244,CARTON_LOOKUP!$A:$E,5,0),"")</f>
      </c>
      <c r="J2244" s="29">
        <f>IFERROR(VLOOKUP(F2244,CARTON_LOOKUP!$A:$E,2,0),"")</f>
      </c>
      <c r="K2244" s="29">
        <f>IFERROR(J2244*D2244,0)</f>
      </c>
      <c r="L2244" s="29">
        <f>IFERROR(E2244*C2244,0)</f>
      </c>
      <c r="M2244" s="29">
        <f>IFERROR((G2244*H2244*I2244/1000000)*D2244,0)</f>
      </c>
    </row>
    <row r="2245" spans="1:13" x14ac:dyDescent="0.25">
      <c r="A2245" s="16"/>
      <c r="E2245" s="27"/>
      <c r="F2245" t="s">
        <v>26</v>
      </c>
      <c r="G2245" s="28">
        <f>IFERROR(VLOOKUP(F2245,CARTON_LOOKUP!$A:$E,3,0),"")</f>
      </c>
      <c r="H2245" s="28">
        <f>IFERROR(VLOOKUP(F2245,CARTON_LOOKUP!$A:$E,4,0),"")</f>
      </c>
      <c r="I2245" s="28">
        <f>IFERROR(VLOOKUP(F2245,CARTON_LOOKUP!$A:$E,5,0),"")</f>
      </c>
      <c r="J2245" s="29">
        <f>IFERROR(VLOOKUP(F2245,CARTON_LOOKUP!$A:$E,2,0),"")</f>
      </c>
      <c r="K2245" s="29">
        <f>IFERROR(J2245*D2245,0)</f>
      </c>
      <c r="L2245" s="29">
        <f>IFERROR(E2245*C2245,0)</f>
      </c>
      <c r="M2245" s="29">
        <f>IFERROR((G2245*H2245*I2245/1000000)*D2245,0)</f>
      </c>
    </row>
    <row r="2246" spans="1:13" x14ac:dyDescent="0.25">
      <c r="A2246" s="16"/>
      <c r="E2246" s="27"/>
      <c r="F2246" t="s">
        <v>26</v>
      </c>
      <c r="G2246" s="28">
        <f>IFERROR(VLOOKUP(F2246,CARTON_LOOKUP!$A:$E,3,0),"")</f>
      </c>
      <c r="H2246" s="28">
        <f>IFERROR(VLOOKUP(F2246,CARTON_LOOKUP!$A:$E,4,0),"")</f>
      </c>
      <c r="I2246" s="28">
        <f>IFERROR(VLOOKUP(F2246,CARTON_LOOKUP!$A:$E,5,0),"")</f>
      </c>
      <c r="J2246" s="29">
        <f>IFERROR(VLOOKUP(F2246,CARTON_LOOKUP!$A:$E,2,0),"")</f>
      </c>
      <c r="K2246" s="29">
        <f>IFERROR(J2246*D2246,0)</f>
      </c>
      <c r="L2246" s="29">
        <f>IFERROR(E2246*C2246,0)</f>
      </c>
      <c r="M2246" s="29">
        <f>IFERROR((G2246*H2246*I2246/1000000)*D2246,0)</f>
      </c>
    </row>
    <row r="2247" spans="1:13" x14ac:dyDescent="0.25">
      <c r="A2247" s="16"/>
      <c r="E2247" s="27"/>
      <c r="F2247" t="s">
        <v>26</v>
      </c>
      <c r="G2247" s="28">
        <f>IFERROR(VLOOKUP(F2247,CARTON_LOOKUP!$A:$E,3,0),"")</f>
      </c>
      <c r="H2247" s="28">
        <f>IFERROR(VLOOKUP(F2247,CARTON_LOOKUP!$A:$E,4,0),"")</f>
      </c>
      <c r="I2247" s="28">
        <f>IFERROR(VLOOKUP(F2247,CARTON_LOOKUP!$A:$E,5,0),"")</f>
      </c>
      <c r="J2247" s="29">
        <f>IFERROR(VLOOKUP(F2247,CARTON_LOOKUP!$A:$E,2,0),"")</f>
      </c>
      <c r="K2247" s="29">
        <f>IFERROR(J2247*D2247,0)</f>
      </c>
      <c r="L2247" s="29">
        <f>IFERROR(E2247*C2247,0)</f>
      </c>
      <c r="M2247" s="29">
        <f>IFERROR((G2247*H2247*I2247/1000000)*D2247,0)</f>
      </c>
    </row>
    <row r="2248" spans="1:13" x14ac:dyDescent="0.25">
      <c r="A2248" s="16"/>
      <c r="E2248" s="27"/>
      <c r="F2248" t="s">
        <v>26</v>
      </c>
      <c r="G2248" s="28">
        <f>IFERROR(VLOOKUP(F2248,CARTON_LOOKUP!$A:$E,3,0),"")</f>
      </c>
      <c r="H2248" s="28">
        <f>IFERROR(VLOOKUP(F2248,CARTON_LOOKUP!$A:$E,4,0),"")</f>
      </c>
      <c r="I2248" s="28">
        <f>IFERROR(VLOOKUP(F2248,CARTON_LOOKUP!$A:$E,5,0),"")</f>
      </c>
      <c r="J2248" s="29">
        <f>IFERROR(VLOOKUP(F2248,CARTON_LOOKUP!$A:$E,2,0),"")</f>
      </c>
      <c r="K2248" s="29">
        <f>IFERROR(J2248*D2248,0)</f>
      </c>
      <c r="L2248" s="29">
        <f>IFERROR(E2248*C2248,0)</f>
      </c>
      <c r="M2248" s="29">
        <f>IFERROR((G2248*H2248*I2248/1000000)*D2248,0)</f>
      </c>
    </row>
    <row r="2249" spans="1:13" x14ac:dyDescent="0.25">
      <c r="A2249" s="16"/>
      <c r="E2249" s="27"/>
      <c r="F2249" t="s">
        <v>26</v>
      </c>
      <c r="G2249" s="28">
        <f>IFERROR(VLOOKUP(F2249,CARTON_LOOKUP!$A:$E,3,0),"")</f>
      </c>
      <c r="H2249" s="28">
        <f>IFERROR(VLOOKUP(F2249,CARTON_LOOKUP!$A:$E,4,0),"")</f>
      </c>
      <c r="I2249" s="28">
        <f>IFERROR(VLOOKUP(F2249,CARTON_LOOKUP!$A:$E,5,0),"")</f>
      </c>
      <c r="J2249" s="29">
        <f>IFERROR(VLOOKUP(F2249,CARTON_LOOKUP!$A:$E,2,0),"")</f>
      </c>
      <c r="K2249" s="29">
        <f>IFERROR(J2249*D2249,0)</f>
      </c>
      <c r="L2249" s="29">
        <f>IFERROR(E2249*C2249,0)</f>
      </c>
      <c r="M2249" s="29">
        <f>IFERROR((G2249*H2249*I2249/1000000)*D2249,0)</f>
      </c>
    </row>
    <row r="2250" spans="1:13" x14ac:dyDescent="0.25">
      <c r="A2250" s="16"/>
      <c r="E2250" s="27"/>
      <c r="F2250" t="s">
        <v>26</v>
      </c>
      <c r="G2250" s="28">
        <f>IFERROR(VLOOKUP(F2250,CARTON_LOOKUP!$A:$E,3,0),"")</f>
      </c>
      <c r="H2250" s="28">
        <f>IFERROR(VLOOKUP(F2250,CARTON_LOOKUP!$A:$E,4,0),"")</f>
      </c>
      <c r="I2250" s="28">
        <f>IFERROR(VLOOKUP(F2250,CARTON_LOOKUP!$A:$E,5,0),"")</f>
      </c>
      <c r="J2250" s="29">
        <f>IFERROR(VLOOKUP(F2250,CARTON_LOOKUP!$A:$E,2,0),"")</f>
      </c>
      <c r="K2250" s="29">
        <f>IFERROR(J2250*D2250,0)</f>
      </c>
      <c r="L2250" s="29">
        <f>IFERROR(E2250*C2250,0)</f>
      </c>
      <c r="M2250" s="29">
        <f>IFERROR((G2250*H2250*I2250/1000000)*D2250,0)</f>
      </c>
    </row>
    <row r="2251" spans="1:13" x14ac:dyDescent="0.25">
      <c r="A2251" s="16"/>
      <c r="E2251" s="27"/>
      <c r="F2251" t="s">
        <v>26</v>
      </c>
      <c r="G2251" s="28">
        <f>IFERROR(VLOOKUP(F2251,CARTON_LOOKUP!$A:$E,3,0),"")</f>
      </c>
      <c r="H2251" s="28">
        <f>IFERROR(VLOOKUP(F2251,CARTON_LOOKUP!$A:$E,4,0),"")</f>
      </c>
      <c r="I2251" s="28">
        <f>IFERROR(VLOOKUP(F2251,CARTON_LOOKUP!$A:$E,5,0),"")</f>
      </c>
      <c r="J2251" s="29">
        <f>IFERROR(VLOOKUP(F2251,CARTON_LOOKUP!$A:$E,2,0),"")</f>
      </c>
      <c r="K2251" s="29">
        <f>IFERROR(J2251*D2251,0)</f>
      </c>
      <c r="L2251" s="29">
        <f>IFERROR(E2251*C2251,0)</f>
      </c>
      <c r="M2251" s="29">
        <f>IFERROR((G2251*H2251*I2251/1000000)*D2251,0)</f>
      </c>
    </row>
    <row r="2252" spans="1:13" x14ac:dyDescent="0.25">
      <c r="A2252" s="16"/>
      <c r="E2252" s="27"/>
      <c r="F2252" t="s">
        <v>26</v>
      </c>
      <c r="G2252" s="28">
        <f>IFERROR(VLOOKUP(F2252,CARTON_LOOKUP!$A:$E,3,0),"")</f>
      </c>
      <c r="H2252" s="28">
        <f>IFERROR(VLOOKUP(F2252,CARTON_LOOKUP!$A:$E,4,0),"")</f>
      </c>
      <c r="I2252" s="28">
        <f>IFERROR(VLOOKUP(F2252,CARTON_LOOKUP!$A:$E,5,0),"")</f>
      </c>
      <c r="J2252" s="29">
        <f>IFERROR(VLOOKUP(F2252,CARTON_LOOKUP!$A:$E,2,0),"")</f>
      </c>
      <c r="K2252" s="29">
        <f>IFERROR(J2252*D2252,0)</f>
      </c>
      <c r="L2252" s="29">
        <f>IFERROR(E2252*C2252,0)</f>
      </c>
      <c r="M2252" s="29">
        <f>IFERROR((G2252*H2252*I2252/1000000)*D2252,0)</f>
      </c>
    </row>
    <row r="2253" spans="1:13" x14ac:dyDescent="0.25">
      <c r="A2253" s="16"/>
      <c r="E2253" s="27"/>
      <c r="F2253" t="s">
        <v>26</v>
      </c>
      <c r="G2253" s="28">
        <f>IFERROR(VLOOKUP(F2253,CARTON_LOOKUP!$A:$E,3,0),"")</f>
      </c>
      <c r="H2253" s="28">
        <f>IFERROR(VLOOKUP(F2253,CARTON_LOOKUP!$A:$E,4,0),"")</f>
      </c>
      <c r="I2253" s="28">
        <f>IFERROR(VLOOKUP(F2253,CARTON_LOOKUP!$A:$E,5,0),"")</f>
      </c>
      <c r="J2253" s="29">
        <f>IFERROR(VLOOKUP(F2253,CARTON_LOOKUP!$A:$E,2,0),"")</f>
      </c>
      <c r="K2253" s="29">
        <f>IFERROR(J2253*D2253,0)</f>
      </c>
      <c r="L2253" s="29">
        <f>IFERROR(E2253*C2253,0)</f>
      </c>
      <c r="M2253" s="29">
        <f>IFERROR((G2253*H2253*I2253/1000000)*D2253,0)</f>
      </c>
    </row>
    <row r="2254" spans="1:13" x14ac:dyDescent="0.25">
      <c r="A2254" s="16"/>
      <c r="E2254" s="27"/>
      <c r="F2254" t="s">
        <v>26</v>
      </c>
      <c r="G2254" s="28">
        <f>IFERROR(VLOOKUP(F2254,CARTON_LOOKUP!$A:$E,3,0),"")</f>
      </c>
      <c r="H2254" s="28">
        <f>IFERROR(VLOOKUP(F2254,CARTON_LOOKUP!$A:$E,4,0),"")</f>
      </c>
      <c r="I2254" s="28">
        <f>IFERROR(VLOOKUP(F2254,CARTON_LOOKUP!$A:$E,5,0),"")</f>
      </c>
      <c r="J2254" s="29">
        <f>IFERROR(VLOOKUP(F2254,CARTON_LOOKUP!$A:$E,2,0),"")</f>
      </c>
      <c r="K2254" s="29">
        <f>IFERROR(J2254*D2254,0)</f>
      </c>
      <c r="L2254" s="29">
        <f>IFERROR(E2254*C2254,0)</f>
      </c>
      <c r="M2254" s="29">
        <f>IFERROR((G2254*H2254*I2254/1000000)*D2254,0)</f>
      </c>
    </row>
    <row r="2255" spans="1:13" x14ac:dyDescent="0.25">
      <c r="A2255" s="16"/>
      <c r="E2255" s="27"/>
      <c r="F2255" t="s">
        <v>26</v>
      </c>
      <c r="G2255" s="28">
        <f>IFERROR(VLOOKUP(F2255,CARTON_LOOKUP!$A:$E,3,0),"")</f>
      </c>
      <c r="H2255" s="28">
        <f>IFERROR(VLOOKUP(F2255,CARTON_LOOKUP!$A:$E,4,0),"")</f>
      </c>
      <c r="I2255" s="28">
        <f>IFERROR(VLOOKUP(F2255,CARTON_LOOKUP!$A:$E,5,0),"")</f>
      </c>
      <c r="J2255" s="29">
        <f>IFERROR(VLOOKUP(F2255,CARTON_LOOKUP!$A:$E,2,0),"")</f>
      </c>
      <c r="K2255" s="29">
        <f>IFERROR(J2255*D2255,0)</f>
      </c>
      <c r="L2255" s="29">
        <f>IFERROR(E2255*C2255,0)</f>
      </c>
      <c r="M2255" s="29">
        <f>IFERROR((G2255*H2255*I2255/1000000)*D2255,0)</f>
      </c>
    </row>
    <row r="2256" spans="1:13" x14ac:dyDescent="0.25">
      <c r="A2256" s="16"/>
      <c r="E2256" s="27"/>
      <c r="F2256" t="s">
        <v>26</v>
      </c>
      <c r="G2256" s="28">
        <f>IFERROR(VLOOKUP(F2256,CARTON_LOOKUP!$A:$E,3,0),"")</f>
      </c>
      <c r="H2256" s="28">
        <f>IFERROR(VLOOKUP(F2256,CARTON_LOOKUP!$A:$E,4,0),"")</f>
      </c>
      <c r="I2256" s="28">
        <f>IFERROR(VLOOKUP(F2256,CARTON_LOOKUP!$A:$E,5,0),"")</f>
      </c>
      <c r="J2256" s="29">
        <f>IFERROR(VLOOKUP(F2256,CARTON_LOOKUP!$A:$E,2,0),"")</f>
      </c>
      <c r="K2256" s="29">
        <f>IFERROR(J2256*D2256,0)</f>
      </c>
      <c r="L2256" s="29">
        <f>IFERROR(E2256*C2256,0)</f>
      </c>
      <c r="M2256" s="29">
        <f>IFERROR((G2256*H2256*I2256/1000000)*D2256,0)</f>
      </c>
    </row>
    <row r="2257" spans="1:13" x14ac:dyDescent="0.25">
      <c r="A2257" s="16"/>
      <c r="E2257" s="27"/>
      <c r="F2257" t="s">
        <v>26</v>
      </c>
      <c r="G2257" s="28">
        <f>IFERROR(VLOOKUP(F2257,CARTON_LOOKUP!$A:$E,3,0),"")</f>
      </c>
      <c r="H2257" s="28">
        <f>IFERROR(VLOOKUP(F2257,CARTON_LOOKUP!$A:$E,4,0),"")</f>
      </c>
      <c r="I2257" s="28">
        <f>IFERROR(VLOOKUP(F2257,CARTON_LOOKUP!$A:$E,5,0),"")</f>
      </c>
      <c r="J2257" s="29">
        <f>IFERROR(VLOOKUP(F2257,CARTON_LOOKUP!$A:$E,2,0),"")</f>
      </c>
      <c r="K2257" s="29">
        <f>IFERROR(J2257*D2257,0)</f>
      </c>
      <c r="L2257" s="29">
        <f>IFERROR(E2257*C2257,0)</f>
      </c>
      <c r="M2257" s="29">
        <f>IFERROR((G2257*H2257*I2257/1000000)*D2257,0)</f>
      </c>
    </row>
    <row r="2258" spans="1:13" x14ac:dyDescent="0.25">
      <c r="A2258" s="16"/>
      <c r="E2258" s="27"/>
      <c r="F2258" t="s">
        <v>26</v>
      </c>
      <c r="G2258" s="28">
        <f>IFERROR(VLOOKUP(F2258,CARTON_LOOKUP!$A:$E,3,0),"")</f>
      </c>
      <c r="H2258" s="28">
        <f>IFERROR(VLOOKUP(F2258,CARTON_LOOKUP!$A:$E,4,0),"")</f>
      </c>
      <c r="I2258" s="28">
        <f>IFERROR(VLOOKUP(F2258,CARTON_LOOKUP!$A:$E,5,0),"")</f>
      </c>
      <c r="J2258" s="29">
        <f>IFERROR(VLOOKUP(F2258,CARTON_LOOKUP!$A:$E,2,0),"")</f>
      </c>
      <c r="K2258" s="29">
        <f>IFERROR(J2258*D2258,0)</f>
      </c>
      <c r="L2258" s="29">
        <f>IFERROR(E2258*C2258,0)</f>
      </c>
      <c r="M2258" s="29">
        <f>IFERROR((G2258*H2258*I2258/1000000)*D2258,0)</f>
      </c>
    </row>
    <row r="2259" spans="1:13" x14ac:dyDescent="0.25">
      <c r="A2259" s="16"/>
      <c r="E2259" s="27"/>
      <c r="F2259" t="s">
        <v>26</v>
      </c>
      <c r="G2259" s="28">
        <f>IFERROR(VLOOKUP(F2259,CARTON_LOOKUP!$A:$E,3,0),"")</f>
      </c>
      <c r="H2259" s="28">
        <f>IFERROR(VLOOKUP(F2259,CARTON_LOOKUP!$A:$E,4,0),"")</f>
      </c>
      <c r="I2259" s="28">
        <f>IFERROR(VLOOKUP(F2259,CARTON_LOOKUP!$A:$E,5,0),"")</f>
      </c>
      <c r="J2259" s="29">
        <f>IFERROR(VLOOKUP(F2259,CARTON_LOOKUP!$A:$E,2,0),"")</f>
      </c>
      <c r="K2259" s="29">
        <f>IFERROR(J2259*D2259,0)</f>
      </c>
      <c r="L2259" s="29">
        <f>IFERROR(E2259*C2259,0)</f>
      </c>
      <c r="M2259" s="29">
        <f>IFERROR((G2259*H2259*I2259/1000000)*D2259,0)</f>
      </c>
    </row>
    <row r="2260" spans="1:13" x14ac:dyDescent="0.25">
      <c r="A2260" s="16"/>
      <c r="E2260" s="27"/>
      <c r="F2260" t="s">
        <v>26</v>
      </c>
      <c r="G2260" s="28">
        <f>IFERROR(VLOOKUP(F2260,CARTON_LOOKUP!$A:$E,3,0),"")</f>
      </c>
      <c r="H2260" s="28">
        <f>IFERROR(VLOOKUP(F2260,CARTON_LOOKUP!$A:$E,4,0),"")</f>
      </c>
      <c r="I2260" s="28">
        <f>IFERROR(VLOOKUP(F2260,CARTON_LOOKUP!$A:$E,5,0),"")</f>
      </c>
      <c r="J2260" s="29">
        <f>IFERROR(VLOOKUP(F2260,CARTON_LOOKUP!$A:$E,2,0),"")</f>
      </c>
      <c r="K2260" s="29">
        <f>IFERROR(J2260*D2260,0)</f>
      </c>
      <c r="L2260" s="29">
        <f>IFERROR(E2260*C2260,0)</f>
      </c>
      <c r="M2260" s="29">
        <f>IFERROR((G2260*H2260*I2260/1000000)*D2260,0)</f>
      </c>
    </row>
    <row r="2261" spans="1:13" x14ac:dyDescent="0.25">
      <c r="A2261" s="16"/>
      <c r="E2261" s="27"/>
      <c r="F2261" t="s">
        <v>26</v>
      </c>
      <c r="G2261" s="28">
        <f>IFERROR(VLOOKUP(F2261,CARTON_LOOKUP!$A:$E,3,0),"")</f>
      </c>
      <c r="H2261" s="28">
        <f>IFERROR(VLOOKUP(F2261,CARTON_LOOKUP!$A:$E,4,0),"")</f>
      </c>
      <c r="I2261" s="28">
        <f>IFERROR(VLOOKUP(F2261,CARTON_LOOKUP!$A:$E,5,0),"")</f>
      </c>
      <c r="J2261" s="29">
        <f>IFERROR(VLOOKUP(F2261,CARTON_LOOKUP!$A:$E,2,0),"")</f>
      </c>
      <c r="K2261" s="29">
        <f>IFERROR(J2261*D2261,0)</f>
      </c>
      <c r="L2261" s="29">
        <f>IFERROR(E2261*C2261,0)</f>
      </c>
      <c r="M2261" s="29">
        <f>IFERROR((G2261*H2261*I2261/1000000)*D2261,0)</f>
      </c>
    </row>
    <row r="2262" spans="1:13" x14ac:dyDescent="0.25">
      <c r="A2262" s="16"/>
      <c r="E2262" s="27"/>
      <c r="F2262" t="s">
        <v>26</v>
      </c>
      <c r="G2262" s="28">
        <f>IFERROR(VLOOKUP(F2262,CARTON_LOOKUP!$A:$E,3,0),"")</f>
      </c>
      <c r="H2262" s="28">
        <f>IFERROR(VLOOKUP(F2262,CARTON_LOOKUP!$A:$E,4,0),"")</f>
      </c>
      <c r="I2262" s="28">
        <f>IFERROR(VLOOKUP(F2262,CARTON_LOOKUP!$A:$E,5,0),"")</f>
      </c>
      <c r="J2262" s="29">
        <f>IFERROR(VLOOKUP(F2262,CARTON_LOOKUP!$A:$E,2,0),"")</f>
      </c>
      <c r="K2262" s="29">
        <f>IFERROR(J2262*D2262,0)</f>
      </c>
      <c r="L2262" s="29">
        <f>IFERROR(E2262*C2262,0)</f>
      </c>
      <c r="M2262" s="29">
        <f>IFERROR((G2262*H2262*I2262/1000000)*D2262,0)</f>
      </c>
    </row>
    <row r="2263" spans="1:13" x14ac:dyDescent="0.25">
      <c r="A2263" s="16"/>
      <c r="E2263" s="27"/>
      <c r="F2263" t="s">
        <v>26</v>
      </c>
      <c r="G2263" s="28">
        <f>IFERROR(VLOOKUP(F2263,CARTON_LOOKUP!$A:$E,3,0),"")</f>
      </c>
      <c r="H2263" s="28">
        <f>IFERROR(VLOOKUP(F2263,CARTON_LOOKUP!$A:$E,4,0),"")</f>
      </c>
      <c r="I2263" s="28">
        <f>IFERROR(VLOOKUP(F2263,CARTON_LOOKUP!$A:$E,5,0),"")</f>
      </c>
      <c r="J2263" s="29">
        <f>IFERROR(VLOOKUP(F2263,CARTON_LOOKUP!$A:$E,2,0),"")</f>
      </c>
      <c r="K2263" s="29">
        <f>IFERROR(J2263*D2263,0)</f>
      </c>
      <c r="L2263" s="29">
        <f>IFERROR(E2263*C2263,0)</f>
      </c>
      <c r="M2263" s="29">
        <f>IFERROR((G2263*H2263*I2263/1000000)*D2263,0)</f>
      </c>
    </row>
    <row r="2264" spans="1:13" x14ac:dyDescent="0.25">
      <c r="A2264" s="16"/>
      <c r="E2264" s="27"/>
      <c r="F2264" t="s">
        <v>26</v>
      </c>
      <c r="G2264" s="28">
        <f>IFERROR(VLOOKUP(F2264,CARTON_LOOKUP!$A:$E,3,0),"")</f>
      </c>
      <c r="H2264" s="28">
        <f>IFERROR(VLOOKUP(F2264,CARTON_LOOKUP!$A:$E,4,0),"")</f>
      </c>
      <c r="I2264" s="28">
        <f>IFERROR(VLOOKUP(F2264,CARTON_LOOKUP!$A:$E,5,0),"")</f>
      </c>
      <c r="J2264" s="29">
        <f>IFERROR(VLOOKUP(F2264,CARTON_LOOKUP!$A:$E,2,0),"")</f>
      </c>
      <c r="K2264" s="29">
        <f>IFERROR(J2264*D2264,0)</f>
      </c>
      <c r="L2264" s="29">
        <f>IFERROR(E2264*C2264,0)</f>
      </c>
      <c r="M2264" s="29">
        <f>IFERROR((G2264*H2264*I2264/1000000)*D2264,0)</f>
      </c>
    </row>
    <row r="2265" spans="1:13" x14ac:dyDescent="0.25">
      <c r="A2265" s="16"/>
      <c r="E2265" s="27"/>
      <c r="F2265" t="s">
        <v>26</v>
      </c>
      <c r="G2265" s="28">
        <f>IFERROR(VLOOKUP(F2265,CARTON_LOOKUP!$A:$E,3,0),"")</f>
      </c>
      <c r="H2265" s="28">
        <f>IFERROR(VLOOKUP(F2265,CARTON_LOOKUP!$A:$E,4,0),"")</f>
      </c>
      <c r="I2265" s="28">
        <f>IFERROR(VLOOKUP(F2265,CARTON_LOOKUP!$A:$E,5,0),"")</f>
      </c>
      <c r="J2265" s="29">
        <f>IFERROR(VLOOKUP(F2265,CARTON_LOOKUP!$A:$E,2,0),"")</f>
      </c>
      <c r="K2265" s="29">
        <f>IFERROR(J2265*D2265,0)</f>
      </c>
      <c r="L2265" s="29">
        <f>IFERROR(E2265*C2265,0)</f>
      </c>
      <c r="M2265" s="29">
        <f>IFERROR((G2265*H2265*I2265/1000000)*D2265,0)</f>
      </c>
    </row>
    <row r="2266" spans="1:13" x14ac:dyDescent="0.25">
      <c r="A2266" s="16"/>
      <c r="E2266" s="27"/>
      <c r="F2266" t="s">
        <v>26</v>
      </c>
      <c r="G2266" s="28">
        <f>IFERROR(VLOOKUP(F2266,CARTON_LOOKUP!$A:$E,3,0),"")</f>
      </c>
      <c r="H2266" s="28">
        <f>IFERROR(VLOOKUP(F2266,CARTON_LOOKUP!$A:$E,4,0),"")</f>
      </c>
      <c r="I2266" s="28">
        <f>IFERROR(VLOOKUP(F2266,CARTON_LOOKUP!$A:$E,5,0),"")</f>
      </c>
      <c r="J2266" s="29">
        <f>IFERROR(VLOOKUP(F2266,CARTON_LOOKUP!$A:$E,2,0),"")</f>
      </c>
      <c r="K2266" s="29">
        <f>IFERROR(J2266*D2266,0)</f>
      </c>
      <c r="L2266" s="29">
        <f>IFERROR(E2266*C2266,0)</f>
      </c>
      <c r="M2266" s="29">
        <f>IFERROR((G2266*H2266*I2266/1000000)*D2266,0)</f>
      </c>
    </row>
    <row r="2267" spans="1:13" x14ac:dyDescent="0.25">
      <c r="A2267" s="16"/>
      <c r="E2267" s="27"/>
      <c r="F2267" t="s">
        <v>26</v>
      </c>
      <c r="G2267" s="28">
        <f>IFERROR(VLOOKUP(F2267,CARTON_LOOKUP!$A:$E,3,0),"")</f>
      </c>
      <c r="H2267" s="28">
        <f>IFERROR(VLOOKUP(F2267,CARTON_LOOKUP!$A:$E,4,0),"")</f>
      </c>
      <c r="I2267" s="28">
        <f>IFERROR(VLOOKUP(F2267,CARTON_LOOKUP!$A:$E,5,0),"")</f>
      </c>
      <c r="J2267" s="29">
        <f>IFERROR(VLOOKUP(F2267,CARTON_LOOKUP!$A:$E,2,0),"")</f>
      </c>
      <c r="K2267" s="29">
        <f>IFERROR(J2267*D2267,0)</f>
      </c>
      <c r="L2267" s="29">
        <f>IFERROR(E2267*C2267,0)</f>
      </c>
      <c r="M2267" s="29">
        <f>IFERROR((G2267*H2267*I2267/1000000)*D2267,0)</f>
      </c>
    </row>
    <row r="2268" spans="1:13" x14ac:dyDescent="0.25">
      <c r="A2268" s="16"/>
      <c r="E2268" s="27"/>
      <c r="F2268" t="s">
        <v>26</v>
      </c>
      <c r="G2268" s="28">
        <f>IFERROR(VLOOKUP(F2268,CARTON_LOOKUP!$A:$E,3,0),"")</f>
      </c>
      <c r="H2268" s="28">
        <f>IFERROR(VLOOKUP(F2268,CARTON_LOOKUP!$A:$E,4,0),"")</f>
      </c>
      <c r="I2268" s="28">
        <f>IFERROR(VLOOKUP(F2268,CARTON_LOOKUP!$A:$E,5,0),"")</f>
      </c>
      <c r="J2268" s="29">
        <f>IFERROR(VLOOKUP(F2268,CARTON_LOOKUP!$A:$E,2,0),"")</f>
      </c>
      <c r="K2268" s="29">
        <f>IFERROR(J2268*D2268,0)</f>
      </c>
      <c r="L2268" s="29">
        <f>IFERROR(E2268*C2268,0)</f>
      </c>
      <c r="M2268" s="29">
        <f>IFERROR((G2268*H2268*I2268/1000000)*D2268,0)</f>
      </c>
    </row>
    <row r="2269" spans="1:13" x14ac:dyDescent="0.25">
      <c r="A2269" s="16"/>
      <c r="E2269" s="27"/>
      <c r="F2269" t="s">
        <v>26</v>
      </c>
      <c r="G2269" s="28">
        <f>IFERROR(VLOOKUP(F2269,CARTON_LOOKUP!$A:$E,3,0),"")</f>
      </c>
      <c r="H2269" s="28">
        <f>IFERROR(VLOOKUP(F2269,CARTON_LOOKUP!$A:$E,4,0),"")</f>
      </c>
      <c r="I2269" s="28">
        <f>IFERROR(VLOOKUP(F2269,CARTON_LOOKUP!$A:$E,5,0),"")</f>
      </c>
      <c r="J2269" s="29">
        <f>IFERROR(VLOOKUP(F2269,CARTON_LOOKUP!$A:$E,2,0),"")</f>
      </c>
      <c r="K2269" s="29">
        <f>IFERROR(J2269*D2269,0)</f>
      </c>
      <c r="L2269" s="29">
        <f>IFERROR(E2269*C2269,0)</f>
      </c>
      <c r="M2269" s="29">
        <f>IFERROR((G2269*H2269*I2269/1000000)*D2269,0)</f>
      </c>
    </row>
    <row r="2270" spans="1:13" x14ac:dyDescent="0.25">
      <c r="A2270" s="16"/>
      <c r="E2270" s="27"/>
      <c r="F2270" t="s">
        <v>26</v>
      </c>
      <c r="G2270" s="28">
        <f>IFERROR(VLOOKUP(F2270,CARTON_LOOKUP!$A:$E,3,0),"")</f>
      </c>
      <c r="H2270" s="28">
        <f>IFERROR(VLOOKUP(F2270,CARTON_LOOKUP!$A:$E,4,0),"")</f>
      </c>
      <c r="I2270" s="28">
        <f>IFERROR(VLOOKUP(F2270,CARTON_LOOKUP!$A:$E,5,0),"")</f>
      </c>
      <c r="J2270" s="29">
        <f>IFERROR(VLOOKUP(F2270,CARTON_LOOKUP!$A:$E,2,0),"")</f>
      </c>
      <c r="K2270" s="29">
        <f>IFERROR(J2270*D2270,0)</f>
      </c>
      <c r="L2270" s="29">
        <f>IFERROR(E2270*C2270,0)</f>
      </c>
      <c r="M2270" s="29">
        <f>IFERROR((G2270*H2270*I2270/1000000)*D2270,0)</f>
      </c>
    </row>
    <row r="2271" spans="1:13" x14ac:dyDescent="0.25">
      <c r="A2271" s="16"/>
      <c r="E2271" s="27"/>
      <c r="F2271" t="s">
        <v>26</v>
      </c>
      <c r="G2271" s="28">
        <f>IFERROR(VLOOKUP(F2271,CARTON_LOOKUP!$A:$E,3,0),"")</f>
      </c>
      <c r="H2271" s="28">
        <f>IFERROR(VLOOKUP(F2271,CARTON_LOOKUP!$A:$E,4,0),"")</f>
      </c>
      <c r="I2271" s="28">
        <f>IFERROR(VLOOKUP(F2271,CARTON_LOOKUP!$A:$E,5,0),"")</f>
      </c>
      <c r="J2271" s="29">
        <f>IFERROR(VLOOKUP(F2271,CARTON_LOOKUP!$A:$E,2,0),"")</f>
      </c>
      <c r="K2271" s="29">
        <f>IFERROR(J2271*D2271,0)</f>
      </c>
      <c r="L2271" s="29">
        <f>IFERROR(E2271*C2271,0)</f>
      </c>
      <c r="M2271" s="29">
        <f>IFERROR((G2271*H2271*I2271/1000000)*D2271,0)</f>
      </c>
    </row>
    <row r="2272" spans="1:13" x14ac:dyDescent="0.25">
      <c r="A2272" s="16"/>
      <c r="E2272" s="27"/>
      <c r="F2272" t="s">
        <v>26</v>
      </c>
      <c r="G2272" s="28">
        <f>IFERROR(VLOOKUP(F2272,CARTON_LOOKUP!$A:$E,3,0),"")</f>
      </c>
      <c r="H2272" s="28">
        <f>IFERROR(VLOOKUP(F2272,CARTON_LOOKUP!$A:$E,4,0),"")</f>
      </c>
      <c r="I2272" s="28">
        <f>IFERROR(VLOOKUP(F2272,CARTON_LOOKUP!$A:$E,5,0),"")</f>
      </c>
      <c r="J2272" s="29">
        <f>IFERROR(VLOOKUP(F2272,CARTON_LOOKUP!$A:$E,2,0),"")</f>
      </c>
      <c r="K2272" s="29">
        <f>IFERROR(J2272*D2272,0)</f>
      </c>
      <c r="L2272" s="29">
        <f>IFERROR(E2272*C2272,0)</f>
      </c>
      <c r="M2272" s="29">
        <f>IFERROR((G2272*H2272*I2272/1000000)*D2272,0)</f>
      </c>
    </row>
    <row r="2273" spans="1:13" x14ac:dyDescent="0.25">
      <c r="A2273" s="16"/>
      <c r="E2273" s="27"/>
      <c r="F2273" t="s">
        <v>26</v>
      </c>
      <c r="G2273" s="28">
        <f>IFERROR(VLOOKUP(F2273,CARTON_LOOKUP!$A:$E,3,0),"")</f>
      </c>
      <c r="H2273" s="28">
        <f>IFERROR(VLOOKUP(F2273,CARTON_LOOKUP!$A:$E,4,0),"")</f>
      </c>
      <c r="I2273" s="28">
        <f>IFERROR(VLOOKUP(F2273,CARTON_LOOKUP!$A:$E,5,0),"")</f>
      </c>
      <c r="J2273" s="29">
        <f>IFERROR(VLOOKUP(F2273,CARTON_LOOKUP!$A:$E,2,0),"")</f>
      </c>
      <c r="K2273" s="29">
        <f>IFERROR(J2273*D2273,0)</f>
      </c>
      <c r="L2273" s="29">
        <f>IFERROR(E2273*C2273,0)</f>
      </c>
      <c r="M2273" s="29">
        <f>IFERROR((G2273*H2273*I2273/1000000)*D2273,0)</f>
      </c>
    </row>
    <row r="2274" spans="1:13" x14ac:dyDescent="0.25">
      <c r="A2274" s="16"/>
      <c r="E2274" s="27"/>
      <c r="F2274" t="s">
        <v>26</v>
      </c>
      <c r="G2274" s="28">
        <f>IFERROR(VLOOKUP(F2274,CARTON_LOOKUP!$A:$E,3,0),"")</f>
      </c>
      <c r="H2274" s="28">
        <f>IFERROR(VLOOKUP(F2274,CARTON_LOOKUP!$A:$E,4,0),"")</f>
      </c>
      <c r="I2274" s="28">
        <f>IFERROR(VLOOKUP(F2274,CARTON_LOOKUP!$A:$E,5,0),"")</f>
      </c>
      <c r="J2274" s="29">
        <f>IFERROR(VLOOKUP(F2274,CARTON_LOOKUP!$A:$E,2,0),"")</f>
      </c>
      <c r="K2274" s="29">
        <f>IFERROR(J2274*D2274,0)</f>
      </c>
      <c r="L2274" s="29">
        <f>IFERROR(E2274*C2274,0)</f>
      </c>
      <c r="M2274" s="29">
        <f>IFERROR((G2274*H2274*I2274/1000000)*D2274,0)</f>
      </c>
    </row>
    <row r="2275" spans="1:13" x14ac:dyDescent="0.25">
      <c r="A2275" s="16"/>
      <c r="E2275" s="27"/>
      <c r="F2275" t="s">
        <v>26</v>
      </c>
      <c r="G2275" s="28">
        <f>IFERROR(VLOOKUP(F2275,CARTON_LOOKUP!$A:$E,3,0),"")</f>
      </c>
      <c r="H2275" s="28">
        <f>IFERROR(VLOOKUP(F2275,CARTON_LOOKUP!$A:$E,4,0),"")</f>
      </c>
      <c r="I2275" s="28">
        <f>IFERROR(VLOOKUP(F2275,CARTON_LOOKUP!$A:$E,5,0),"")</f>
      </c>
      <c r="J2275" s="29">
        <f>IFERROR(VLOOKUP(F2275,CARTON_LOOKUP!$A:$E,2,0),"")</f>
      </c>
      <c r="K2275" s="29">
        <f>IFERROR(J2275*D2275,0)</f>
      </c>
      <c r="L2275" s="29">
        <f>IFERROR(E2275*C2275,0)</f>
      </c>
      <c r="M2275" s="29">
        <f>IFERROR((G2275*H2275*I2275/1000000)*D2275,0)</f>
      </c>
    </row>
    <row r="2276" spans="1:13" x14ac:dyDescent="0.25">
      <c r="A2276" s="16"/>
      <c r="E2276" s="27"/>
      <c r="F2276" t="s">
        <v>26</v>
      </c>
      <c r="G2276" s="28">
        <f>IFERROR(VLOOKUP(F2276,CARTON_LOOKUP!$A:$E,3,0),"")</f>
      </c>
      <c r="H2276" s="28">
        <f>IFERROR(VLOOKUP(F2276,CARTON_LOOKUP!$A:$E,4,0),"")</f>
      </c>
      <c r="I2276" s="28">
        <f>IFERROR(VLOOKUP(F2276,CARTON_LOOKUP!$A:$E,5,0),"")</f>
      </c>
      <c r="J2276" s="29">
        <f>IFERROR(VLOOKUP(F2276,CARTON_LOOKUP!$A:$E,2,0),"")</f>
      </c>
      <c r="K2276" s="29">
        <f>IFERROR(J2276*D2276,0)</f>
      </c>
      <c r="L2276" s="29">
        <f>IFERROR(E2276*C2276,0)</f>
      </c>
      <c r="M2276" s="29">
        <f>IFERROR((G2276*H2276*I2276/1000000)*D2276,0)</f>
      </c>
    </row>
    <row r="2277" spans="1:13" x14ac:dyDescent="0.25">
      <c r="A2277" s="16"/>
      <c r="E2277" s="27"/>
      <c r="F2277" t="s">
        <v>26</v>
      </c>
      <c r="G2277" s="28">
        <f>IFERROR(VLOOKUP(F2277,CARTON_LOOKUP!$A:$E,3,0),"")</f>
      </c>
      <c r="H2277" s="28">
        <f>IFERROR(VLOOKUP(F2277,CARTON_LOOKUP!$A:$E,4,0),"")</f>
      </c>
      <c r="I2277" s="28">
        <f>IFERROR(VLOOKUP(F2277,CARTON_LOOKUP!$A:$E,5,0),"")</f>
      </c>
      <c r="J2277" s="29">
        <f>IFERROR(VLOOKUP(F2277,CARTON_LOOKUP!$A:$E,2,0),"")</f>
      </c>
      <c r="K2277" s="29">
        <f>IFERROR(J2277*D2277,0)</f>
      </c>
      <c r="L2277" s="29">
        <f>IFERROR(E2277*C2277,0)</f>
      </c>
      <c r="M2277" s="29">
        <f>IFERROR((G2277*H2277*I2277/1000000)*D2277,0)</f>
      </c>
    </row>
    <row r="2278" spans="1:13" x14ac:dyDescent="0.25">
      <c r="A2278" s="16"/>
      <c r="E2278" s="27"/>
      <c r="F2278" t="s">
        <v>26</v>
      </c>
      <c r="G2278" s="28">
        <f>IFERROR(VLOOKUP(F2278,CARTON_LOOKUP!$A:$E,3,0),"")</f>
      </c>
      <c r="H2278" s="28">
        <f>IFERROR(VLOOKUP(F2278,CARTON_LOOKUP!$A:$E,4,0),"")</f>
      </c>
      <c r="I2278" s="28">
        <f>IFERROR(VLOOKUP(F2278,CARTON_LOOKUP!$A:$E,5,0),"")</f>
      </c>
      <c r="J2278" s="29">
        <f>IFERROR(VLOOKUP(F2278,CARTON_LOOKUP!$A:$E,2,0),"")</f>
      </c>
      <c r="K2278" s="29">
        <f>IFERROR(J2278*D2278,0)</f>
      </c>
      <c r="L2278" s="29">
        <f>IFERROR(E2278*C2278,0)</f>
      </c>
      <c r="M2278" s="29">
        <f>IFERROR((G2278*H2278*I2278/1000000)*D2278,0)</f>
      </c>
    </row>
    <row r="2279" spans="1:13" x14ac:dyDescent="0.25">
      <c r="A2279" s="16"/>
      <c r="E2279" s="27"/>
      <c r="F2279" t="s">
        <v>26</v>
      </c>
      <c r="G2279" s="28">
        <f>IFERROR(VLOOKUP(F2279,CARTON_LOOKUP!$A:$E,3,0),"")</f>
      </c>
      <c r="H2279" s="28">
        <f>IFERROR(VLOOKUP(F2279,CARTON_LOOKUP!$A:$E,4,0),"")</f>
      </c>
      <c r="I2279" s="28">
        <f>IFERROR(VLOOKUP(F2279,CARTON_LOOKUP!$A:$E,5,0),"")</f>
      </c>
      <c r="J2279" s="29">
        <f>IFERROR(VLOOKUP(F2279,CARTON_LOOKUP!$A:$E,2,0),"")</f>
      </c>
      <c r="K2279" s="29">
        <f>IFERROR(J2279*D2279,0)</f>
      </c>
      <c r="L2279" s="29">
        <f>IFERROR(E2279*C2279,0)</f>
      </c>
      <c r="M2279" s="29">
        <f>IFERROR((G2279*H2279*I2279/1000000)*D2279,0)</f>
      </c>
    </row>
    <row r="2280" spans="1:13" x14ac:dyDescent="0.25">
      <c r="A2280" s="16"/>
      <c r="E2280" s="27"/>
      <c r="F2280" t="s">
        <v>26</v>
      </c>
      <c r="G2280" s="28">
        <f>IFERROR(VLOOKUP(F2280,CARTON_LOOKUP!$A:$E,3,0),"")</f>
      </c>
      <c r="H2280" s="28">
        <f>IFERROR(VLOOKUP(F2280,CARTON_LOOKUP!$A:$E,4,0),"")</f>
      </c>
      <c r="I2280" s="28">
        <f>IFERROR(VLOOKUP(F2280,CARTON_LOOKUP!$A:$E,5,0),"")</f>
      </c>
      <c r="J2280" s="29">
        <f>IFERROR(VLOOKUP(F2280,CARTON_LOOKUP!$A:$E,2,0),"")</f>
      </c>
      <c r="K2280" s="29">
        <f>IFERROR(J2280*D2280,0)</f>
      </c>
      <c r="L2280" s="29">
        <f>IFERROR(E2280*C2280,0)</f>
      </c>
      <c r="M2280" s="29">
        <f>IFERROR((G2280*H2280*I2280/1000000)*D2280,0)</f>
      </c>
    </row>
    <row r="2281" spans="1:13" x14ac:dyDescent="0.25">
      <c r="A2281" s="16"/>
      <c r="E2281" s="27"/>
      <c r="F2281" t="s">
        <v>26</v>
      </c>
      <c r="G2281" s="28">
        <f>IFERROR(VLOOKUP(F2281,CARTON_LOOKUP!$A:$E,3,0),"")</f>
      </c>
      <c r="H2281" s="28">
        <f>IFERROR(VLOOKUP(F2281,CARTON_LOOKUP!$A:$E,4,0),"")</f>
      </c>
      <c r="I2281" s="28">
        <f>IFERROR(VLOOKUP(F2281,CARTON_LOOKUP!$A:$E,5,0),"")</f>
      </c>
      <c r="J2281" s="29">
        <f>IFERROR(VLOOKUP(F2281,CARTON_LOOKUP!$A:$E,2,0),"")</f>
      </c>
      <c r="K2281" s="29">
        <f>IFERROR(J2281*D2281,0)</f>
      </c>
      <c r="L2281" s="29">
        <f>IFERROR(E2281*C2281,0)</f>
      </c>
      <c r="M2281" s="29">
        <f>IFERROR((G2281*H2281*I2281/1000000)*D2281,0)</f>
      </c>
    </row>
    <row r="2282" spans="1:13" x14ac:dyDescent="0.25">
      <c r="A2282" s="16"/>
      <c r="E2282" s="27"/>
      <c r="F2282" t="s">
        <v>26</v>
      </c>
      <c r="G2282" s="28">
        <f>IFERROR(VLOOKUP(F2282,CARTON_LOOKUP!$A:$E,3,0),"")</f>
      </c>
      <c r="H2282" s="28">
        <f>IFERROR(VLOOKUP(F2282,CARTON_LOOKUP!$A:$E,4,0),"")</f>
      </c>
      <c r="I2282" s="28">
        <f>IFERROR(VLOOKUP(F2282,CARTON_LOOKUP!$A:$E,5,0),"")</f>
      </c>
      <c r="J2282" s="29">
        <f>IFERROR(VLOOKUP(F2282,CARTON_LOOKUP!$A:$E,2,0),"")</f>
      </c>
      <c r="K2282" s="29">
        <f>IFERROR(J2282*D2282,0)</f>
      </c>
      <c r="L2282" s="29">
        <f>IFERROR(E2282*C2282,0)</f>
      </c>
      <c r="M2282" s="29">
        <f>IFERROR((G2282*H2282*I2282/1000000)*D2282,0)</f>
      </c>
    </row>
    <row r="2283" spans="1:13" x14ac:dyDescent="0.25">
      <c r="A2283" s="16"/>
      <c r="E2283" s="27"/>
      <c r="F2283" t="s">
        <v>26</v>
      </c>
      <c r="G2283" s="28">
        <f>IFERROR(VLOOKUP(F2283,CARTON_LOOKUP!$A:$E,3,0),"")</f>
      </c>
      <c r="H2283" s="28">
        <f>IFERROR(VLOOKUP(F2283,CARTON_LOOKUP!$A:$E,4,0),"")</f>
      </c>
      <c r="I2283" s="28">
        <f>IFERROR(VLOOKUP(F2283,CARTON_LOOKUP!$A:$E,5,0),"")</f>
      </c>
      <c r="J2283" s="29">
        <f>IFERROR(VLOOKUP(F2283,CARTON_LOOKUP!$A:$E,2,0),"")</f>
      </c>
      <c r="K2283" s="29">
        <f>IFERROR(J2283*D2283,0)</f>
      </c>
      <c r="L2283" s="29">
        <f>IFERROR(E2283*C2283,0)</f>
      </c>
      <c r="M2283" s="29">
        <f>IFERROR((G2283*H2283*I2283/1000000)*D2283,0)</f>
      </c>
    </row>
    <row r="2284" spans="1:13" x14ac:dyDescent="0.25">
      <c r="A2284" s="16"/>
      <c r="E2284" s="27"/>
      <c r="F2284" t="s">
        <v>26</v>
      </c>
      <c r="G2284" s="28">
        <f>IFERROR(VLOOKUP(F2284,CARTON_LOOKUP!$A:$E,3,0),"")</f>
      </c>
      <c r="H2284" s="28">
        <f>IFERROR(VLOOKUP(F2284,CARTON_LOOKUP!$A:$E,4,0),"")</f>
      </c>
      <c r="I2284" s="28">
        <f>IFERROR(VLOOKUP(F2284,CARTON_LOOKUP!$A:$E,5,0),"")</f>
      </c>
      <c r="J2284" s="29">
        <f>IFERROR(VLOOKUP(F2284,CARTON_LOOKUP!$A:$E,2,0),"")</f>
      </c>
      <c r="K2284" s="29">
        <f>IFERROR(J2284*D2284,0)</f>
      </c>
      <c r="L2284" s="29">
        <f>IFERROR(E2284*C2284,0)</f>
      </c>
      <c r="M2284" s="29">
        <f>IFERROR((G2284*H2284*I2284/1000000)*D2284,0)</f>
      </c>
    </row>
    <row r="2285" spans="1:13" x14ac:dyDescent="0.25">
      <c r="A2285" s="16"/>
      <c r="E2285" s="27"/>
      <c r="F2285" t="s">
        <v>26</v>
      </c>
      <c r="G2285" s="28">
        <f>IFERROR(VLOOKUP(F2285,CARTON_LOOKUP!$A:$E,3,0),"")</f>
      </c>
      <c r="H2285" s="28">
        <f>IFERROR(VLOOKUP(F2285,CARTON_LOOKUP!$A:$E,4,0),"")</f>
      </c>
      <c r="I2285" s="28">
        <f>IFERROR(VLOOKUP(F2285,CARTON_LOOKUP!$A:$E,5,0),"")</f>
      </c>
      <c r="J2285" s="29">
        <f>IFERROR(VLOOKUP(F2285,CARTON_LOOKUP!$A:$E,2,0),"")</f>
      </c>
      <c r="K2285" s="29">
        <f>IFERROR(J2285*D2285,0)</f>
      </c>
      <c r="L2285" s="29">
        <f>IFERROR(E2285*C2285,0)</f>
      </c>
      <c r="M2285" s="29">
        <f>IFERROR((G2285*H2285*I2285/1000000)*D2285,0)</f>
      </c>
    </row>
    <row r="2286" spans="1:13" x14ac:dyDescent="0.25">
      <c r="A2286" s="16"/>
      <c r="E2286" s="27"/>
      <c r="F2286" t="s">
        <v>26</v>
      </c>
      <c r="G2286" s="28">
        <f>IFERROR(VLOOKUP(F2286,CARTON_LOOKUP!$A:$E,3,0),"")</f>
      </c>
      <c r="H2286" s="28">
        <f>IFERROR(VLOOKUP(F2286,CARTON_LOOKUP!$A:$E,4,0),"")</f>
      </c>
      <c r="I2286" s="28">
        <f>IFERROR(VLOOKUP(F2286,CARTON_LOOKUP!$A:$E,5,0),"")</f>
      </c>
      <c r="J2286" s="29">
        <f>IFERROR(VLOOKUP(F2286,CARTON_LOOKUP!$A:$E,2,0),"")</f>
      </c>
      <c r="K2286" s="29">
        <f>IFERROR(J2286*D2286,0)</f>
      </c>
      <c r="L2286" s="29">
        <f>IFERROR(E2286*C2286,0)</f>
      </c>
      <c r="M2286" s="29">
        <f>IFERROR((G2286*H2286*I2286/1000000)*D2286,0)</f>
      </c>
    </row>
    <row r="2287" spans="1:13" x14ac:dyDescent="0.25">
      <c r="A2287" s="16"/>
      <c r="E2287" s="27"/>
      <c r="F2287" t="s">
        <v>26</v>
      </c>
      <c r="G2287" s="28">
        <f>IFERROR(VLOOKUP(F2287,CARTON_LOOKUP!$A:$E,3,0),"")</f>
      </c>
      <c r="H2287" s="28">
        <f>IFERROR(VLOOKUP(F2287,CARTON_LOOKUP!$A:$E,4,0),"")</f>
      </c>
      <c r="I2287" s="28">
        <f>IFERROR(VLOOKUP(F2287,CARTON_LOOKUP!$A:$E,5,0),"")</f>
      </c>
      <c r="J2287" s="29">
        <f>IFERROR(VLOOKUP(F2287,CARTON_LOOKUP!$A:$E,2,0),"")</f>
      </c>
      <c r="K2287" s="29">
        <f>IFERROR(J2287*D2287,0)</f>
      </c>
      <c r="L2287" s="29">
        <f>IFERROR(E2287*C2287,0)</f>
      </c>
      <c r="M2287" s="29">
        <f>IFERROR((G2287*H2287*I2287/1000000)*D2287,0)</f>
      </c>
    </row>
    <row r="2288" spans="1:13" x14ac:dyDescent="0.25">
      <c r="A2288" s="16"/>
      <c r="E2288" s="27"/>
      <c r="F2288" t="s">
        <v>26</v>
      </c>
      <c r="G2288" s="28">
        <f>IFERROR(VLOOKUP(F2288,CARTON_LOOKUP!$A:$E,3,0),"")</f>
      </c>
      <c r="H2288" s="28">
        <f>IFERROR(VLOOKUP(F2288,CARTON_LOOKUP!$A:$E,4,0),"")</f>
      </c>
      <c r="I2288" s="28">
        <f>IFERROR(VLOOKUP(F2288,CARTON_LOOKUP!$A:$E,5,0),"")</f>
      </c>
      <c r="J2288" s="29">
        <f>IFERROR(VLOOKUP(F2288,CARTON_LOOKUP!$A:$E,2,0),"")</f>
      </c>
      <c r="K2288" s="29">
        <f>IFERROR(J2288*D2288,0)</f>
      </c>
      <c r="L2288" s="29">
        <f>IFERROR(E2288*C2288,0)</f>
      </c>
      <c r="M2288" s="29">
        <f>IFERROR((G2288*H2288*I2288/1000000)*D2288,0)</f>
      </c>
    </row>
    <row r="2289" spans="1:13" x14ac:dyDescent="0.25">
      <c r="A2289" s="16"/>
      <c r="E2289" s="27"/>
      <c r="F2289" t="s">
        <v>26</v>
      </c>
      <c r="G2289" s="28">
        <f>IFERROR(VLOOKUP(F2289,CARTON_LOOKUP!$A:$E,3,0),"")</f>
      </c>
      <c r="H2289" s="28">
        <f>IFERROR(VLOOKUP(F2289,CARTON_LOOKUP!$A:$E,4,0),"")</f>
      </c>
      <c r="I2289" s="28">
        <f>IFERROR(VLOOKUP(F2289,CARTON_LOOKUP!$A:$E,5,0),"")</f>
      </c>
      <c r="J2289" s="29">
        <f>IFERROR(VLOOKUP(F2289,CARTON_LOOKUP!$A:$E,2,0),"")</f>
      </c>
      <c r="K2289" s="29">
        <f>IFERROR(J2289*D2289,0)</f>
      </c>
      <c r="L2289" s="29">
        <f>IFERROR(E2289*C2289,0)</f>
      </c>
      <c r="M2289" s="29">
        <f>IFERROR((G2289*H2289*I2289/1000000)*D2289,0)</f>
      </c>
    </row>
    <row r="2290" spans="1:13" x14ac:dyDescent="0.25">
      <c r="A2290" s="16"/>
      <c r="E2290" s="27"/>
      <c r="F2290" t="s">
        <v>26</v>
      </c>
      <c r="G2290" s="28">
        <f>IFERROR(VLOOKUP(F2290,CARTON_LOOKUP!$A:$E,3,0),"")</f>
      </c>
      <c r="H2290" s="28">
        <f>IFERROR(VLOOKUP(F2290,CARTON_LOOKUP!$A:$E,4,0),"")</f>
      </c>
      <c r="I2290" s="28">
        <f>IFERROR(VLOOKUP(F2290,CARTON_LOOKUP!$A:$E,5,0),"")</f>
      </c>
      <c r="J2290" s="29">
        <f>IFERROR(VLOOKUP(F2290,CARTON_LOOKUP!$A:$E,2,0),"")</f>
      </c>
      <c r="K2290" s="29">
        <f>IFERROR(J2290*D2290,0)</f>
      </c>
      <c r="L2290" s="29">
        <f>IFERROR(E2290*C2290,0)</f>
      </c>
      <c r="M2290" s="29">
        <f>IFERROR((G2290*H2290*I2290/1000000)*D2290,0)</f>
      </c>
    </row>
    <row r="2291" spans="1:13" x14ac:dyDescent="0.25">
      <c r="A2291" s="16"/>
      <c r="E2291" s="27"/>
      <c r="F2291" t="s">
        <v>26</v>
      </c>
      <c r="G2291" s="28">
        <f>IFERROR(VLOOKUP(F2291,CARTON_LOOKUP!$A:$E,3,0),"")</f>
      </c>
      <c r="H2291" s="28">
        <f>IFERROR(VLOOKUP(F2291,CARTON_LOOKUP!$A:$E,4,0),"")</f>
      </c>
      <c r="I2291" s="28">
        <f>IFERROR(VLOOKUP(F2291,CARTON_LOOKUP!$A:$E,5,0),"")</f>
      </c>
      <c r="J2291" s="29">
        <f>IFERROR(VLOOKUP(F2291,CARTON_LOOKUP!$A:$E,2,0),"")</f>
      </c>
      <c r="K2291" s="29">
        <f>IFERROR(J2291*D2291,0)</f>
      </c>
      <c r="L2291" s="29">
        <f>IFERROR(E2291*C2291,0)</f>
      </c>
      <c r="M2291" s="29">
        <f>IFERROR((G2291*H2291*I2291/1000000)*D2291,0)</f>
      </c>
    </row>
    <row r="2292" spans="1:13" x14ac:dyDescent="0.25">
      <c r="A2292" s="16"/>
      <c r="E2292" s="27"/>
      <c r="F2292" t="s">
        <v>26</v>
      </c>
      <c r="G2292" s="28">
        <f>IFERROR(VLOOKUP(F2292,CARTON_LOOKUP!$A:$E,3,0),"")</f>
      </c>
      <c r="H2292" s="28">
        <f>IFERROR(VLOOKUP(F2292,CARTON_LOOKUP!$A:$E,4,0),"")</f>
      </c>
      <c r="I2292" s="28">
        <f>IFERROR(VLOOKUP(F2292,CARTON_LOOKUP!$A:$E,5,0),"")</f>
      </c>
      <c r="J2292" s="29">
        <f>IFERROR(VLOOKUP(F2292,CARTON_LOOKUP!$A:$E,2,0),"")</f>
      </c>
      <c r="K2292" s="29">
        <f>IFERROR(J2292*D2292,0)</f>
      </c>
      <c r="L2292" s="29">
        <f>IFERROR(E2292*C2292,0)</f>
      </c>
      <c r="M2292" s="29">
        <f>IFERROR((G2292*H2292*I2292/1000000)*D2292,0)</f>
      </c>
    </row>
    <row r="2293" spans="1:13" x14ac:dyDescent="0.25">
      <c r="A2293" s="16"/>
      <c r="E2293" s="27"/>
      <c r="F2293" t="s">
        <v>26</v>
      </c>
      <c r="G2293" s="28">
        <f>IFERROR(VLOOKUP(F2293,CARTON_LOOKUP!$A:$E,3,0),"")</f>
      </c>
      <c r="H2293" s="28">
        <f>IFERROR(VLOOKUP(F2293,CARTON_LOOKUP!$A:$E,4,0),"")</f>
      </c>
      <c r="I2293" s="28">
        <f>IFERROR(VLOOKUP(F2293,CARTON_LOOKUP!$A:$E,5,0),"")</f>
      </c>
      <c r="J2293" s="29">
        <f>IFERROR(VLOOKUP(F2293,CARTON_LOOKUP!$A:$E,2,0),"")</f>
      </c>
      <c r="K2293" s="29">
        <f>IFERROR(J2293*D2293,0)</f>
      </c>
      <c r="L2293" s="29">
        <f>IFERROR(E2293*C2293,0)</f>
      </c>
      <c r="M2293" s="29">
        <f>IFERROR((G2293*H2293*I2293/1000000)*D2293,0)</f>
      </c>
    </row>
    <row r="2294" spans="1:13" x14ac:dyDescent="0.25">
      <c r="A2294" s="16"/>
      <c r="E2294" s="27"/>
      <c r="F2294" t="s">
        <v>26</v>
      </c>
      <c r="G2294" s="28">
        <f>IFERROR(VLOOKUP(F2294,CARTON_LOOKUP!$A:$E,3,0),"")</f>
      </c>
      <c r="H2294" s="28">
        <f>IFERROR(VLOOKUP(F2294,CARTON_LOOKUP!$A:$E,4,0),"")</f>
      </c>
      <c r="I2294" s="28">
        <f>IFERROR(VLOOKUP(F2294,CARTON_LOOKUP!$A:$E,5,0),"")</f>
      </c>
      <c r="J2294" s="29">
        <f>IFERROR(VLOOKUP(F2294,CARTON_LOOKUP!$A:$E,2,0),"")</f>
      </c>
      <c r="K2294" s="29">
        <f>IFERROR(J2294*D2294,0)</f>
      </c>
      <c r="L2294" s="29">
        <f>IFERROR(E2294*C2294,0)</f>
      </c>
      <c r="M2294" s="29">
        <f>IFERROR((G2294*H2294*I2294/1000000)*D2294,0)</f>
      </c>
    </row>
    <row r="2295" spans="1:13" x14ac:dyDescent="0.25">
      <c r="A2295" s="16"/>
      <c r="E2295" s="27"/>
      <c r="F2295" t="s">
        <v>26</v>
      </c>
      <c r="G2295" s="28">
        <f>IFERROR(VLOOKUP(F2295,CARTON_LOOKUP!$A:$E,3,0),"")</f>
      </c>
      <c r="H2295" s="28">
        <f>IFERROR(VLOOKUP(F2295,CARTON_LOOKUP!$A:$E,4,0),"")</f>
      </c>
      <c r="I2295" s="28">
        <f>IFERROR(VLOOKUP(F2295,CARTON_LOOKUP!$A:$E,5,0),"")</f>
      </c>
      <c r="J2295" s="29">
        <f>IFERROR(VLOOKUP(F2295,CARTON_LOOKUP!$A:$E,2,0),"")</f>
      </c>
      <c r="K2295" s="29">
        <f>IFERROR(J2295*D2295,0)</f>
      </c>
      <c r="L2295" s="29">
        <f>IFERROR(E2295*C2295,0)</f>
      </c>
      <c r="M2295" s="29">
        <f>IFERROR((G2295*H2295*I2295/1000000)*D2295,0)</f>
      </c>
    </row>
    <row r="2296" spans="1:13" x14ac:dyDescent="0.25">
      <c r="A2296" s="16"/>
      <c r="E2296" s="27"/>
      <c r="F2296" t="s">
        <v>26</v>
      </c>
      <c r="G2296" s="28">
        <f>IFERROR(VLOOKUP(F2296,CARTON_LOOKUP!$A:$E,3,0),"")</f>
      </c>
      <c r="H2296" s="28">
        <f>IFERROR(VLOOKUP(F2296,CARTON_LOOKUP!$A:$E,4,0),"")</f>
      </c>
      <c r="I2296" s="28">
        <f>IFERROR(VLOOKUP(F2296,CARTON_LOOKUP!$A:$E,5,0),"")</f>
      </c>
      <c r="J2296" s="29">
        <f>IFERROR(VLOOKUP(F2296,CARTON_LOOKUP!$A:$E,2,0),"")</f>
      </c>
      <c r="K2296" s="29">
        <f>IFERROR(J2296*D2296,0)</f>
      </c>
      <c r="L2296" s="29">
        <f>IFERROR(E2296*C2296,0)</f>
      </c>
      <c r="M2296" s="29">
        <f>IFERROR((G2296*H2296*I2296/1000000)*D2296,0)</f>
      </c>
    </row>
    <row r="2297" spans="1:13" x14ac:dyDescent="0.25">
      <c r="A2297" s="16"/>
      <c r="E2297" s="27"/>
      <c r="F2297" t="s">
        <v>26</v>
      </c>
      <c r="G2297" s="28">
        <f>IFERROR(VLOOKUP(F2297,CARTON_LOOKUP!$A:$E,3,0),"")</f>
      </c>
      <c r="H2297" s="28">
        <f>IFERROR(VLOOKUP(F2297,CARTON_LOOKUP!$A:$E,4,0),"")</f>
      </c>
      <c r="I2297" s="28">
        <f>IFERROR(VLOOKUP(F2297,CARTON_LOOKUP!$A:$E,5,0),"")</f>
      </c>
      <c r="J2297" s="29">
        <f>IFERROR(VLOOKUP(F2297,CARTON_LOOKUP!$A:$E,2,0),"")</f>
      </c>
      <c r="K2297" s="29">
        <f>IFERROR(J2297*D2297,0)</f>
      </c>
      <c r="L2297" s="29">
        <f>IFERROR(E2297*C2297,0)</f>
      </c>
      <c r="M2297" s="29">
        <f>IFERROR((G2297*H2297*I2297/1000000)*D2297,0)</f>
      </c>
    </row>
    <row r="2298" spans="1:13" x14ac:dyDescent="0.25">
      <c r="A2298" s="16"/>
      <c r="E2298" s="27"/>
      <c r="F2298" t="s">
        <v>26</v>
      </c>
      <c r="G2298" s="28">
        <f>IFERROR(VLOOKUP(F2298,CARTON_LOOKUP!$A:$E,3,0),"")</f>
      </c>
      <c r="H2298" s="28">
        <f>IFERROR(VLOOKUP(F2298,CARTON_LOOKUP!$A:$E,4,0),"")</f>
      </c>
      <c r="I2298" s="28">
        <f>IFERROR(VLOOKUP(F2298,CARTON_LOOKUP!$A:$E,5,0),"")</f>
      </c>
      <c r="J2298" s="29">
        <f>IFERROR(VLOOKUP(F2298,CARTON_LOOKUP!$A:$E,2,0),"")</f>
      </c>
      <c r="K2298" s="29">
        <f>IFERROR(J2298*D2298,0)</f>
      </c>
      <c r="L2298" s="29">
        <f>IFERROR(E2298*C2298,0)</f>
      </c>
      <c r="M2298" s="29">
        <f>IFERROR((G2298*H2298*I2298/1000000)*D2298,0)</f>
      </c>
    </row>
    <row r="2299" spans="1:13" x14ac:dyDescent="0.25">
      <c r="A2299" s="16"/>
      <c r="E2299" s="27"/>
      <c r="F2299" t="s">
        <v>26</v>
      </c>
      <c r="G2299" s="28">
        <f>IFERROR(VLOOKUP(F2299,CARTON_LOOKUP!$A:$E,3,0),"")</f>
      </c>
      <c r="H2299" s="28">
        <f>IFERROR(VLOOKUP(F2299,CARTON_LOOKUP!$A:$E,4,0),"")</f>
      </c>
      <c r="I2299" s="28">
        <f>IFERROR(VLOOKUP(F2299,CARTON_LOOKUP!$A:$E,5,0),"")</f>
      </c>
      <c r="J2299" s="29">
        <f>IFERROR(VLOOKUP(F2299,CARTON_LOOKUP!$A:$E,2,0),"")</f>
      </c>
      <c r="K2299" s="29">
        <f>IFERROR(J2299*D2299,0)</f>
      </c>
      <c r="L2299" s="29">
        <f>IFERROR(E2299*C2299,0)</f>
      </c>
      <c r="M2299" s="29">
        <f>IFERROR((G2299*H2299*I2299/1000000)*D2299,0)</f>
      </c>
    </row>
    <row r="2300" spans="1:13" x14ac:dyDescent="0.25">
      <c r="A2300" s="16"/>
      <c r="E2300" s="27"/>
      <c r="F2300" t="s">
        <v>26</v>
      </c>
      <c r="G2300" s="28">
        <f>IFERROR(VLOOKUP(F2300,CARTON_LOOKUP!$A:$E,3,0),"")</f>
      </c>
      <c r="H2300" s="28">
        <f>IFERROR(VLOOKUP(F2300,CARTON_LOOKUP!$A:$E,4,0),"")</f>
      </c>
      <c r="I2300" s="28">
        <f>IFERROR(VLOOKUP(F2300,CARTON_LOOKUP!$A:$E,5,0),"")</f>
      </c>
      <c r="J2300" s="29">
        <f>IFERROR(VLOOKUP(F2300,CARTON_LOOKUP!$A:$E,2,0),"")</f>
      </c>
      <c r="K2300" s="29">
        <f>IFERROR(J2300*D2300,0)</f>
      </c>
      <c r="L2300" s="29">
        <f>IFERROR(E2300*C2300,0)</f>
      </c>
      <c r="M2300" s="29">
        <f>IFERROR((G2300*H2300*I2300/1000000)*D2300,0)</f>
      </c>
    </row>
    <row r="2301" spans="1:13" x14ac:dyDescent="0.25">
      <c r="A2301" s="16"/>
      <c r="E2301" s="27"/>
      <c r="F2301" t="s">
        <v>26</v>
      </c>
      <c r="G2301" s="28">
        <f>IFERROR(VLOOKUP(F2301,CARTON_LOOKUP!$A:$E,3,0),"")</f>
      </c>
      <c r="H2301" s="28">
        <f>IFERROR(VLOOKUP(F2301,CARTON_LOOKUP!$A:$E,4,0),"")</f>
      </c>
      <c r="I2301" s="28">
        <f>IFERROR(VLOOKUP(F2301,CARTON_LOOKUP!$A:$E,5,0),"")</f>
      </c>
      <c r="J2301" s="29">
        <f>IFERROR(VLOOKUP(F2301,CARTON_LOOKUP!$A:$E,2,0),"")</f>
      </c>
      <c r="K2301" s="29">
        <f>IFERROR(J2301*D2301,0)</f>
      </c>
      <c r="L2301" s="29">
        <f>IFERROR(E2301*C2301,0)</f>
      </c>
      <c r="M2301" s="29">
        <f>IFERROR((G2301*H2301*I2301/1000000)*D2301,0)</f>
      </c>
    </row>
    <row r="2302" spans="1:13" x14ac:dyDescent="0.25">
      <c r="A2302" s="16"/>
      <c r="E2302" s="27"/>
      <c r="F2302" t="s">
        <v>26</v>
      </c>
      <c r="G2302" s="28">
        <f>IFERROR(VLOOKUP(F2302,CARTON_LOOKUP!$A:$E,3,0),"")</f>
      </c>
      <c r="H2302" s="28">
        <f>IFERROR(VLOOKUP(F2302,CARTON_LOOKUP!$A:$E,4,0),"")</f>
      </c>
      <c r="I2302" s="28">
        <f>IFERROR(VLOOKUP(F2302,CARTON_LOOKUP!$A:$E,5,0),"")</f>
      </c>
      <c r="J2302" s="29">
        <f>IFERROR(VLOOKUP(F2302,CARTON_LOOKUP!$A:$E,2,0),"")</f>
      </c>
      <c r="K2302" s="29">
        <f>IFERROR(J2302*D2302,0)</f>
      </c>
      <c r="L2302" s="29">
        <f>IFERROR(E2302*C2302,0)</f>
      </c>
      <c r="M2302" s="29">
        <f>IFERROR((G2302*H2302*I2302/1000000)*D2302,0)</f>
      </c>
    </row>
    <row r="2303" spans="1:13" x14ac:dyDescent="0.25">
      <c r="A2303" s="16"/>
      <c r="E2303" s="27"/>
      <c r="F2303" t="s">
        <v>26</v>
      </c>
      <c r="G2303" s="28">
        <f>IFERROR(VLOOKUP(F2303,CARTON_LOOKUP!$A:$E,3,0),"")</f>
      </c>
      <c r="H2303" s="28">
        <f>IFERROR(VLOOKUP(F2303,CARTON_LOOKUP!$A:$E,4,0),"")</f>
      </c>
      <c r="I2303" s="28">
        <f>IFERROR(VLOOKUP(F2303,CARTON_LOOKUP!$A:$E,5,0),"")</f>
      </c>
      <c r="J2303" s="29">
        <f>IFERROR(VLOOKUP(F2303,CARTON_LOOKUP!$A:$E,2,0),"")</f>
      </c>
      <c r="K2303" s="29">
        <f>IFERROR(J2303*D2303,0)</f>
      </c>
      <c r="L2303" s="29">
        <f>IFERROR(E2303*C2303,0)</f>
      </c>
      <c r="M2303" s="29">
        <f>IFERROR((G2303*H2303*I2303/1000000)*D2303,0)</f>
      </c>
    </row>
    <row r="2304" spans="1:13" x14ac:dyDescent="0.25">
      <c r="A2304" s="16"/>
      <c r="E2304" s="27"/>
      <c r="F2304" t="s">
        <v>26</v>
      </c>
      <c r="G2304" s="28">
        <f>IFERROR(VLOOKUP(F2304,CARTON_LOOKUP!$A:$E,3,0),"")</f>
      </c>
      <c r="H2304" s="28">
        <f>IFERROR(VLOOKUP(F2304,CARTON_LOOKUP!$A:$E,4,0),"")</f>
      </c>
      <c r="I2304" s="28">
        <f>IFERROR(VLOOKUP(F2304,CARTON_LOOKUP!$A:$E,5,0),"")</f>
      </c>
      <c r="J2304" s="29">
        <f>IFERROR(VLOOKUP(F2304,CARTON_LOOKUP!$A:$E,2,0),"")</f>
      </c>
      <c r="K2304" s="29">
        <f>IFERROR(J2304*D2304,0)</f>
      </c>
      <c r="L2304" s="29">
        <f>IFERROR(E2304*C2304,0)</f>
      </c>
      <c r="M2304" s="29">
        <f>IFERROR((G2304*H2304*I2304/1000000)*D2304,0)</f>
      </c>
    </row>
    <row r="2305" spans="1:13" x14ac:dyDescent="0.25">
      <c r="A2305" s="16"/>
      <c r="E2305" s="27"/>
      <c r="F2305" t="s">
        <v>26</v>
      </c>
      <c r="G2305" s="28">
        <f>IFERROR(VLOOKUP(F2305,CARTON_LOOKUP!$A:$E,3,0),"")</f>
      </c>
      <c r="H2305" s="28">
        <f>IFERROR(VLOOKUP(F2305,CARTON_LOOKUP!$A:$E,4,0),"")</f>
      </c>
      <c r="I2305" s="28">
        <f>IFERROR(VLOOKUP(F2305,CARTON_LOOKUP!$A:$E,5,0),"")</f>
      </c>
      <c r="J2305" s="29">
        <f>IFERROR(VLOOKUP(F2305,CARTON_LOOKUP!$A:$E,2,0),"")</f>
      </c>
      <c r="K2305" s="29">
        <f>IFERROR(J2305*D2305,0)</f>
      </c>
      <c r="L2305" s="29">
        <f>IFERROR(E2305*C2305,0)</f>
      </c>
      <c r="M2305" s="29">
        <f>IFERROR((G2305*H2305*I2305/1000000)*D2305,0)</f>
      </c>
    </row>
    <row r="2306" spans="1:13" x14ac:dyDescent="0.25">
      <c r="A2306" s="16"/>
      <c r="E2306" s="27"/>
      <c r="F2306" t="s">
        <v>26</v>
      </c>
      <c r="G2306" s="28">
        <f>IFERROR(VLOOKUP(F2306,CARTON_LOOKUP!$A:$E,3,0),"")</f>
      </c>
      <c r="H2306" s="28">
        <f>IFERROR(VLOOKUP(F2306,CARTON_LOOKUP!$A:$E,4,0),"")</f>
      </c>
      <c r="I2306" s="28">
        <f>IFERROR(VLOOKUP(F2306,CARTON_LOOKUP!$A:$E,5,0),"")</f>
      </c>
      <c r="J2306" s="29">
        <f>IFERROR(VLOOKUP(F2306,CARTON_LOOKUP!$A:$E,2,0),"")</f>
      </c>
      <c r="K2306" s="29">
        <f>IFERROR(J2306*D2306,0)</f>
      </c>
      <c r="L2306" s="29">
        <f>IFERROR(E2306*C2306,0)</f>
      </c>
      <c r="M2306" s="29">
        <f>IFERROR((G2306*H2306*I2306/1000000)*D2306,0)</f>
      </c>
    </row>
    <row r="2307" spans="1:13" x14ac:dyDescent="0.25">
      <c r="A2307" s="16"/>
      <c r="E2307" s="27"/>
      <c r="F2307" t="s">
        <v>26</v>
      </c>
      <c r="G2307" s="28">
        <f>IFERROR(VLOOKUP(F2307,CARTON_LOOKUP!$A:$E,3,0),"")</f>
      </c>
      <c r="H2307" s="28">
        <f>IFERROR(VLOOKUP(F2307,CARTON_LOOKUP!$A:$E,4,0),"")</f>
      </c>
      <c r="I2307" s="28">
        <f>IFERROR(VLOOKUP(F2307,CARTON_LOOKUP!$A:$E,5,0),"")</f>
      </c>
      <c r="J2307" s="29">
        <f>IFERROR(VLOOKUP(F2307,CARTON_LOOKUP!$A:$E,2,0),"")</f>
      </c>
      <c r="K2307" s="29">
        <f>IFERROR(J2307*D2307,0)</f>
      </c>
      <c r="L2307" s="29">
        <f>IFERROR(E2307*C2307,0)</f>
      </c>
      <c r="M2307" s="29">
        <f>IFERROR((G2307*H2307*I2307/1000000)*D2307,0)</f>
      </c>
    </row>
    <row r="2308" spans="1:13" x14ac:dyDescent="0.25">
      <c r="A2308" s="16"/>
      <c r="E2308" s="27"/>
      <c r="F2308" t="s">
        <v>26</v>
      </c>
      <c r="G2308" s="28">
        <f>IFERROR(VLOOKUP(F2308,CARTON_LOOKUP!$A:$E,3,0),"")</f>
      </c>
      <c r="H2308" s="28">
        <f>IFERROR(VLOOKUP(F2308,CARTON_LOOKUP!$A:$E,4,0),"")</f>
      </c>
      <c r="I2308" s="28">
        <f>IFERROR(VLOOKUP(F2308,CARTON_LOOKUP!$A:$E,5,0),"")</f>
      </c>
      <c r="J2308" s="29">
        <f>IFERROR(VLOOKUP(F2308,CARTON_LOOKUP!$A:$E,2,0),"")</f>
      </c>
      <c r="K2308" s="29">
        <f>IFERROR(J2308*D2308,0)</f>
      </c>
      <c r="L2308" s="29">
        <f>IFERROR(E2308*C2308,0)</f>
      </c>
      <c r="M2308" s="29">
        <f>IFERROR((G2308*H2308*I2308/1000000)*D2308,0)</f>
      </c>
    </row>
    <row r="2309" spans="1:13" x14ac:dyDescent="0.25">
      <c r="A2309" s="16"/>
      <c r="E2309" s="27"/>
      <c r="F2309" t="s">
        <v>26</v>
      </c>
      <c r="G2309" s="28">
        <f>IFERROR(VLOOKUP(F2309,CARTON_LOOKUP!$A:$E,3,0),"")</f>
      </c>
      <c r="H2309" s="28">
        <f>IFERROR(VLOOKUP(F2309,CARTON_LOOKUP!$A:$E,4,0),"")</f>
      </c>
      <c r="I2309" s="28">
        <f>IFERROR(VLOOKUP(F2309,CARTON_LOOKUP!$A:$E,5,0),"")</f>
      </c>
      <c r="J2309" s="29">
        <f>IFERROR(VLOOKUP(F2309,CARTON_LOOKUP!$A:$E,2,0),"")</f>
      </c>
      <c r="K2309" s="29">
        <f>IFERROR(J2309*D2309,0)</f>
      </c>
      <c r="L2309" s="29">
        <f>IFERROR(E2309*C2309,0)</f>
      </c>
      <c r="M2309" s="29">
        <f>IFERROR((G2309*H2309*I2309/1000000)*D2309,0)</f>
      </c>
    </row>
    <row r="2310" spans="1:13" x14ac:dyDescent="0.25">
      <c r="A2310" s="16"/>
      <c r="E2310" s="27"/>
      <c r="F2310" t="s">
        <v>26</v>
      </c>
      <c r="G2310" s="28">
        <f>IFERROR(VLOOKUP(F2310,CARTON_LOOKUP!$A:$E,3,0),"")</f>
      </c>
      <c r="H2310" s="28">
        <f>IFERROR(VLOOKUP(F2310,CARTON_LOOKUP!$A:$E,4,0),"")</f>
      </c>
      <c r="I2310" s="28">
        <f>IFERROR(VLOOKUP(F2310,CARTON_LOOKUP!$A:$E,5,0),"")</f>
      </c>
      <c r="J2310" s="29">
        <f>IFERROR(VLOOKUP(F2310,CARTON_LOOKUP!$A:$E,2,0),"")</f>
      </c>
      <c r="K2310" s="29">
        <f>IFERROR(J2310*D2310,0)</f>
      </c>
      <c r="L2310" s="29">
        <f>IFERROR(E2310*C2310,0)</f>
      </c>
      <c r="M2310" s="29">
        <f>IFERROR((G2310*H2310*I2310/1000000)*D2310,0)</f>
      </c>
    </row>
    <row r="2311" spans="1:13" x14ac:dyDescent="0.25">
      <c r="A2311" s="16"/>
      <c r="E2311" s="27"/>
      <c r="F2311" t="s">
        <v>26</v>
      </c>
      <c r="G2311" s="28">
        <f>IFERROR(VLOOKUP(F2311,CARTON_LOOKUP!$A:$E,3,0),"")</f>
      </c>
      <c r="H2311" s="28">
        <f>IFERROR(VLOOKUP(F2311,CARTON_LOOKUP!$A:$E,4,0),"")</f>
      </c>
      <c r="I2311" s="28">
        <f>IFERROR(VLOOKUP(F2311,CARTON_LOOKUP!$A:$E,5,0),"")</f>
      </c>
      <c r="J2311" s="29">
        <f>IFERROR(VLOOKUP(F2311,CARTON_LOOKUP!$A:$E,2,0),"")</f>
      </c>
      <c r="K2311" s="29">
        <f>IFERROR(J2311*D2311,0)</f>
      </c>
      <c r="L2311" s="29">
        <f>IFERROR(E2311*C2311,0)</f>
      </c>
      <c r="M2311" s="29">
        <f>IFERROR((G2311*H2311*I2311/1000000)*D2311,0)</f>
      </c>
    </row>
    <row r="2312" spans="1:13" x14ac:dyDescent="0.25">
      <c r="A2312" s="16"/>
      <c r="E2312" s="27"/>
      <c r="F2312" t="s">
        <v>26</v>
      </c>
      <c r="G2312" s="28">
        <f>IFERROR(VLOOKUP(F2312,CARTON_LOOKUP!$A:$E,3,0),"")</f>
      </c>
      <c r="H2312" s="28">
        <f>IFERROR(VLOOKUP(F2312,CARTON_LOOKUP!$A:$E,4,0),"")</f>
      </c>
      <c r="I2312" s="28">
        <f>IFERROR(VLOOKUP(F2312,CARTON_LOOKUP!$A:$E,5,0),"")</f>
      </c>
      <c r="J2312" s="29">
        <f>IFERROR(VLOOKUP(F2312,CARTON_LOOKUP!$A:$E,2,0),"")</f>
      </c>
      <c r="K2312" s="29">
        <f>IFERROR(J2312*D2312,0)</f>
      </c>
      <c r="L2312" s="29">
        <f>IFERROR(E2312*C2312,0)</f>
      </c>
      <c r="M2312" s="29">
        <f>IFERROR((G2312*H2312*I2312/1000000)*D2312,0)</f>
      </c>
    </row>
    <row r="2313" spans="1:13" x14ac:dyDescent="0.25">
      <c r="A2313" s="16"/>
      <c r="E2313" s="27"/>
      <c r="F2313" t="s">
        <v>26</v>
      </c>
      <c r="G2313" s="28">
        <f>IFERROR(VLOOKUP(F2313,CARTON_LOOKUP!$A:$E,3,0),"")</f>
      </c>
      <c r="H2313" s="28">
        <f>IFERROR(VLOOKUP(F2313,CARTON_LOOKUP!$A:$E,4,0),"")</f>
      </c>
      <c r="I2313" s="28">
        <f>IFERROR(VLOOKUP(F2313,CARTON_LOOKUP!$A:$E,5,0),"")</f>
      </c>
      <c r="J2313" s="29">
        <f>IFERROR(VLOOKUP(F2313,CARTON_LOOKUP!$A:$E,2,0),"")</f>
      </c>
      <c r="K2313" s="29">
        <f>IFERROR(J2313*D2313,0)</f>
      </c>
      <c r="L2313" s="29">
        <f>IFERROR(E2313*C2313,0)</f>
      </c>
      <c r="M2313" s="29">
        <f>IFERROR((G2313*H2313*I2313/1000000)*D2313,0)</f>
      </c>
    </row>
    <row r="2314" spans="1:13" x14ac:dyDescent="0.25">
      <c r="A2314" s="16"/>
      <c r="E2314" s="27"/>
      <c r="F2314" t="s">
        <v>26</v>
      </c>
      <c r="G2314" s="28">
        <f>IFERROR(VLOOKUP(F2314,CARTON_LOOKUP!$A:$E,3,0),"")</f>
      </c>
      <c r="H2314" s="28">
        <f>IFERROR(VLOOKUP(F2314,CARTON_LOOKUP!$A:$E,4,0),"")</f>
      </c>
      <c r="I2314" s="28">
        <f>IFERROR(VLOOKUP(F2314,CARTON_LOOKUP!$A:$E,5,0),"")</f>
      </c>
      <c r="J2314" s="29">
        <f>IFERROR(VLOOKUP(F2314,CARTON_LOOKUP!$A:$E,2,0),"")</f>
      </c>
      <c r="K2314" s="29">
        <f>IFERROR(J2314*D2314,0)</f>
      </c>
      <c r="L2314" s="29">
        <f>IFERROR(E2314*C2314,0)</f>
      </c>
      <c r="M2314" s="29">
        <f>IFERROR((G2314*H2314*I2314/1000000)*D2314,0)</f>
      </c>
    </row>
    <row r="2315" spans="1:13" x14ac:dyDescent="0.25">
      <c r="A2315" s="16"/>
      <c r="E2315" s="27"/>
      <c r="F2315" t="s">
        <v>26</v>
      </c>
      <c r="G2315" s="28">
        <f>IFERROR(VLOOKUP(F2315,CARTON_LOOKUP!$A:$E,3,0),"")</f>
      </c>
      <c r="H2315" s="28">
        <f>IFERROR(VLOOKUP(F2315,CARTON_LOOKUP!$A:$E,4,0),"")</f>
      </c>
      <c r="I2315" s="28">
        <f>IFERROR(VLOOKUP(F2315,CARTON_LOOKUP!$A:$E,5,0),"")</f>
      </c>
      <c r="J2315" s="29">
        <f>IFERROR(VLOOKUP(F2315,CARTON_LOOKUP!$A:$E,2,0),"")</f>
      </c>
      <c r="K2315" s="29">
        <f>IFERROR(J2315*D2315,0)</f>
      </c>
      <c r="L2315" s="29">
        <f>IFERROR(E2315*C2315,0)</f>
      </c>
      <c r="M2315" s="29">
        <f>IFERROR((G2315*H2315*I2315/1000000)*D2315,0)</f>
      </c>
    </row>
    <row r="2316" spans="1:13" x14ac:dyDescent="0.25">
      <c r="A2316" s="16"/>
      <c r="E2316" s="27"/>
      <c r="F2316" t="s">
        <v>26</v>
      </c>
      <c r="G2316" s="28">
        <f>IFERROR(VLOOKUP(F2316,CARTON_LOOKUP!$A:$E,3,0),"")</f>
      </c>
      <c r="H2316" s="28">
        <f>IFERROR(VLOOKUP(F2316,CARTON_LOOKUP!$A:$E,4,0),"")</f>
      </c>
      <c r="I2316" s="28">
        <f>IFERROR(VLOOKUP(F2316,CARTON_LOOKUP!$A:$E,5,0),"")</f>
      </c>
      <c r="J2316" s="29">
        <f>IFERROR(VLOOKUP(F2316,CARTON_LOOKUP!$A:$E,2,0),"")</f>
      </c>
      <c r="K2316" s="29">
        <f>IFERROR(J2316*D2316,0)</f>
      </c>
      <c r="L2316" s="29">
        <f>IFERROR(E2316*C2316,0)</f>
      </c>
      <c r="M2316" s="29">
        <f>IFERROR((G2316*H2316*I2316/1000000)*D2316,0)</f>
      </c>
    </row>
    <row r="2317" spans="1:13" x14ac:dyDescent="0.25">
      <c r="A2317" s="16"/>
      <c r="E2317" s="27"/>
      <c r="F2317" t="s">
        <v>26</v>
      </c>
      <c r="G2317" s="28">
        <f>IFERROR(VLOOKUP(F2317,CARTON_LOOKUP!$A:$E,3,0),"")</f>
      </c>
      <c r="H2317" s="28">
        <f>IFERROR(VLOOKUP(F2317,CARTON_LOOKUP!$A:$E,4,0),"")</f>
      </c>
      <c r="I2317" s="28">
        <f>IFERROR(VLOOKUP(F2317,CARTON_LOOKUP!$A:$E,5,0),"")</f>
      </c>
      <c r="J2317" s="29">
        <f>IFERROR(VLOOKUP(F2317,CARTON_LOOKUP!$A:$E,2,0),"")</f>
      </c>
      <c r="K2317" s="29">
        <f>IFERROR(J2317*D2317,0)</f>
      </c>
      <c r="L2317" s="29">
        <f>IFERROR(E2317*C2317,0)</f>
      </c>
      <c r="M2317" s="29">
        <f>IFERROR((G2317*H2317*I2317/1000000)*D2317,0)</f>
      </c>
    </row>
    <row r="2318" spans="1:13" x14ac:dyDescent="0.25">
      <c r="A2318" s="16"/>
      <c r="E2318" s="27"/>
      <c r="F2318" t="s">
        <v>26</v>
      </c>
      <c r="G2318" s="28">
        <f>IFERROR(VLOOKUP(F2318,CARTON_LOOKUP!$A:$E,3,0),"")</f>
      </c>
      <c r="H2318" s="28">
        <f>IFERROR(VLOOKUP(F2318,CARTON_LOOKUP!$A:$E,4,0),"")</f>
      </c>
      <c r="I2318" s="28">
        <f>IFERROR(VLOOKUP(F2318,CARTON_LOOKUP!$A:$E,5,0),"")</f>
      </c>
      <c r="J2318" s="29">
        <f>IFERROR(VLOOKUP(F2318,CARTON_LOOKUP!$A:$E,2,0),"")</f>
      </c>
      <c r="K2318" s="29">
        <f>IFERROR(J2318*D2318,0)</f>
      </c>
      <c r="L2318" s="29">
        <f>IFERROR(E2318*C2318,0)</f>
      </c>
      <c r="M2318" s="29">
        <f>IFERROR((G2318*H2318*I2318/1000000)*D2318,0)</f>
      </c>
    </row>
    <row r="2319" spans="1:13" x14ac:dyDescent="0.25">
      <c r="A2319" s="16"/>
      <c r="E2319" s="27"/>
      <c r="F2319" t="s">
        <v>26</v>
      </c>
      <c r="G2319" s="28">
        <f>IFERROR(VLOOKUP(F2319,CARTON_LOOKUP!$A:$E,3,0),"")</f>
      </c>
      <c r="H2319" s="28">
        <f>IFERROR(VLOOKUP(F2319,CARTON_LOOKUP!$A:$E,4,0),"")</f>
      </c>
      <c r="I2319" s="28">
        <f>IFERROR(VLOOKUP(F2319,CARTON_LOOKUP!$A:$E,5,0),"")</f>
      </c>
      <c r="J2319" s="29">
        <f>IFERROR(VLOOKUP(F2319,CARTON_LOOKUP!$A:$E,2,0),"")</f>
      </c>
      <c r="K2319" s="29">
        <f>IFERROR(J2319*D2319,0)</f>
      </c>
      <c r="L2319" s="29">
        <f>IFERROR(E2319*C2319,0)</f>
      </c>
      <c r="M2319" s="29">
        <f>IFERROR((G2319*H2319*I2319/1000000)*D2319,0)</f>
      </c>
    </row>
    <row r="2320" spans="1:13" x14ac:dyDescent="0.25">
      <c r="A2320" s="16"/>
      <c r="E2320" s="27"/>
      <c r="F2320" t="s">
        <v>26</v>
      </c>
      <c r="G2320" s="28">
        <f>IFERROR(VLOOKUP(F2320,CARTON_LOOKUP!$A:$E,3,0),"")</f>
      </c>
      <c r="H2320" s="28">
        <f>IFERROR(VLOOKUP(F2320,CARTON_LOOKUP!$A:$E,4,0),"")</f>
      </c>
      <c r="I2320" s="28">
        <f>IFERROR(VLOOKUP(F2320,CARTON_LOOKUP!$A:$E,5,0),"")</f>
      </c>
      <c r="J2320" s="29">
        <f>IFERROR(VLOOKUP(F2320,CARTON_LOOKUP!$A:$E,2,0),"")</f>
      </c>
      <c r="K2320" s="29">
        <f>IFERROR(J2320*D2320,0)</f>
      </c>
      <c r="L2320" s="29">
        <f>IFERROR(E2320*C2320,0)</f>
      </c>
      <c r="M2320" s="29">
        <f>IFERROR((G2320*H2320*I2320/1000000)*D2320,0)</f>
      </c>
    </row>
    <row r="2321" spans="1:13" x14ac:dyDescent="0.25">
      <c r="A2321" s="16"/>
      <c r="E2321" s="27"/>
      <c r="F2321" t="s">
        <v>26</v>
      </c>
      <c r="G2321" s="28">
        <f>IFERROR(VLOOKUP(F2321,CARTON_LOOKUP!$A:$E,3,0),"")</f>
      </c>
      <c r="H2321" s="28">
        <f>IFERROR(VLOOKUP(F2321,CARTON_LOOKUP!$A:$E,4,0),"")</f>
      </c>
      <c r="I2321" s="28">
        <f>IFERROR(VLOOKUP(F2321,CARTON_LOOKUP!$A:$E,5,0),"")</f>
      </c>
      <c r="J2321" s="29">
        <f>IFERROR(VLOOKUP(F2321,CARTON_LOOKUP!$A:$E,2,0),"")</f>
      </c>
      <c r="K2321" s="29">
        <f>IFERROR(J2321*D2321,0)</f>
      </c>
      <c r="L2321" s="29">
        <f>IFERROR(E2321*C2321,0)</f>
      </c>
      <c r="M2321" s="29">
        <f>IFERROR((G2321*H2321*I2321/1000000)*D2321,0)</f>
      </c>
    </row>
    <row r="2322" spans="1:13" x14ac:dyDescent="0.25">
      <c r="A2322" s="16"/>
      <c r="E2322" s="27"/>
      <c r="F2322" t="s">
        <v>26</v>
      </c>
      <c r="G2322" s="28">
        <f>IFERROR(VLOOKUP(F2322,CARTON_LOOKUP!$A:$E,3,0),"")</f>
      </c>
      <c r="H2322" s="28">
        <f>IFERROR(VLOOKUP(F2322,CARTON_LOOKUP!$A:$E,4,0),"")</f>
      </c>
      <c r="I2322" s="28">
        <f>IFERROR(VLOOKUP(F2322,CARTON_LOOKUP!$A:$E,5,0),"")</f>
      </c>
      <c r="J2322" s="29">
        <f>IFERROR(VLOOKUP(F2322,CARTON_LOOKUP!$A:$E,2,0),"")</f>
      </c>
      <c r="K2322" s="29">
        <f>IFERROR(J2322*D2322,0)</f>
      </c>
      <c r="L2322" s="29">
        <f>IFERROR(E2322*C2322,0)</f>
      </c>
      <c r="M2322" s="29">
        <f>IFERROR((G2322*H2322*I2322/1000000)*D2322,0)</f>
      </c>
    </row>
    <row r="2323" spans="1:13" x14ac:dyDescent="0.25">
      <c r="A2323" s="16"/>
      <c r="E2323" s="27"/>
      <c r="F2323" t="s">
        <v>26</v>
      </c>
      <c r="G2323" s="28">
        <f>IFERROR(VLOOKUP(F2323,CARTON_LOOKUP!$A:$E,3,0),"")</f>
      </c>
      <c r="H2323" s="28">
        <f>IFERROR(VLOOKUP(F2323,CARTON_LOOKUP!$A:$E,4,0),"")</f>
      </c>
      <c r="I2323" s="28">
        <f>IFERROR(VLOOKUP(F2323,CARTON_LOOKUP!$A:$E,5,0),"")</f>
      </c>
      <c r="J2323" s="29">
        <f>IFERROR(VLOOKUP(F2323,CARTON_LOOKUP!$A:$E,2,0),"")</f>
      </c>
      <c r="K2323" s="29">
        <f>IFERROR(J2323*D2323,0)</f>
      </c>
      <c r="L2323" s="29">
        <f>IFERROR(E2323*C2323,0)</f>
      </c>
      <c r="M2323" s="29">
        <f>IFERROR((G2323*H2323*I2323/1000000)*D2323,0)</f>
      </c>
    </row>
    <row r="2324" spans="1:13" x14ac:dyDescent="0.25">
      <c r="A2324" s="16"/>
      <c r="E2324" s="27"/>
      <c r="F2324" t="s">
        <v>26</v>
      </c>
      <c r="G2324" s="28">
        <f>IFERROR(VLOOKUP(F2324,CARTON_LOOKUP!$A:$E,3,0),"")</f>
      </c>
      <c r="H2324" s="28">
        <f>IFERROR(VLOOKUP(F2324,CARTON_LOOKUP!$A:$E,4,0),"")</f>
      </c>
      <c r="I2324" s="28">
        <f>IFERROR(VLOOKUP(F2324,CARTON_LOOKUP!$A:$E,5,0),"")</f>
      </c>
      <c r="J2324" s="29">
        <f>IFERROR(VLOOKUP(F2324,CARTON_LOOKUP!$A:$E,2,0),"")</f>
      </c>
      <c r="K2324" s="29">
        <f>IFERROR(J2324*D2324,0)</f>
      </c>
      <c r="L2324" s="29">
        <f>IFERROR(E2324*C2324,0)</f>
      </c>
      <c r="M2324" s="29">
        <f>IFERROR((G2324*H2324*I2324/1000000)*D2324,0)</f>
      </c>
    </row>
    <row r="2325" spans="1:13" x14ac:dyDescent="0.25">
      <c r="A2325" s="16"/>
      <c r="E2325" s="27"/>
      <c r="F2325" t="s">
        <v>26</v>
      </c>
      <c r="G2325" s="28">
        <f>IFERROR(VLOOKUP(F2325,CARTON_LOOKUP!$A:$E,3,0),"")</f>
      </c>
      <c r="H2325" s="28">
        <f>IFERROR(VLOOKUP(F2325,CARTON_LOOKUP!$A:$E,4,0),"")</f>
      </c>
      <c r="I2325" s="28">
        <f>IFERROR(VLOOKUP(F2325,CARTON_LOOKUP!$A:$E,5,0),"")</f>
      </c>
      <c r="J2325" s="29">
        <f>IFERROR(VLOOKUP(F2325,CARTON_LOOKUP!$A:$E,2,0),"")</f>
      </c>
      <c r="K2325" s="29">
        <f>IFERROR(J2325*D2325,0)</f>
      </c>
      <c r="L2325" s="29">
        <f>IFERROR(E2325*C2325,0)</f>
      </c>
      <c r="M2325" s="29">
        <f>IFERROR((G2325*H2325*I2325/1000000)*D2325,0)</f>
      </c>
    </row>
    <row r="2326" spans="1:13" x14ac:dyDescent="0.25">
      <c r="A2326" s="16"/>
      <c r="E2326" s="27"/>
      <c r="F2326" t="s">
        <v>26</v>
      </c>
      <c r="G2326" s="28">
        <f>IFERROR(VLOOKUP(F2326,CARTON_LOOKUP!$A:$E,3,0),"")</f>
      </c>
      <c r="H2326" s="28">
        <f>IFERROR(VLOOKUP(F2326,CARTON_LOOKUP!$A:$E,4,0),"")</f>
      </c>
      <c r="I2326" s="28">
        <f>IFERROR(VLOOKUP(F2326,CARTON_LOOKUP!$A:$E,5,0),"")</f>
      </c>
      <c r="J2326" s="29">
        <f>IFERROR(VLOOKUP(F2326,CARTON_LOOKUP!$A:$E,2,0),"")</f>
      </c>
      <c r="K2326" s="29">
        <f>IFERROR(J2326*D2326,0)</f>
      </c>
      <c r="L2326" s="29">
        <f>IFERROR(E2326*C2326,0)</f>
      </c>
      <c r="M2326" s="29">
        <f>IFERROR((G2326*H2326*I2326/1000000)*D2326,0)</f>
      </c>
    </row>
    <row r="2327" spans="1:13" x14ac:dyDescent="0.25">
      <c r="A2327" s="16"/>
      <c r="E2327" s="27"/>
      <c r="F2327" t="s">
        <v>26</v>
      </c>
      <c r="G2327" s="28">
        <f>IFERROR(VLOOKUP(F2327,CARTON_LOOKUP!$A:$E,3,0),"")</f>
      </c>
      <c r="H2327" s="28">
        <f>IFERROR(VLOOKUP(F2327,CARTON_LOOKUP!$A:$E,4,0),"")</f>
      </c>
      <c r="I2327" s="28">
        <f>IFERROR(VLOOKUP(F2327,CARTON_LOOKUP!$A:$E,5,0),"")</f>
      </c>
      <c r="J2327" s="29">
        <f>IFERROR(VLOOKUP(F2327,CARTON_LOOKUP!$A:$E,2,0),"")</f>
      </c>
      <c r="K2327" s="29">
        <f>IFERROR(J2327*D2327,0)</f>
      </c>
      <c r="L2327" s="29">
        <f>IFERROR(E2327*C2327,0)</f>
      </c>
      <c r="M2327" s="29">
        <f>IFERROR((G2327*H2327*I2327/1000000)*D2327,0)</f>
      </c>
    </row>
    <row r="2328" spans="1:13" x14ac:dyDescent="0.25">
      <c r="A2328" s="16"/>
      <c r="E2328" s="27"/>
      <c r="F2328" t="s">
        <v>26</v>
      </c>
      <c r="G2328" s="28">
        <f>IFERROR(VLOOKUP(F2328,CARTON_LOOKUP!$A:$E,3,0),"")</f>
      </c>
      <c r="H2328" s="28">
        <f>IFERROR(VLOOKUP(F2328,CARTON_LOOKUP!$A:$E,4,0),"")</f>
      </c>
      <c r="I2328" s="28">
        <f>IFERROR(VLOOKUP(F2328,CARTON_LOOKUP!$A:$E,5,0),"")</f>
      </c>
      <c r="J2328" s="29">
        <f>IFERROR(VLOOKUP(F2328,CARTON_LOOKUP!$A:$E,2,0),"")</f>
      </c>
      <c r="K2328" s="29">
        <f>IFERROR(J2328*D2328,0)</f>
      </c>
      <c r="L2328" s="29">
        <f>IFERROR(E2328*C2328,0)</f>
      </c>
      <c r="M2328" s="29">
        <f>IFERROR((G2328*H2328*I2328/1000000)*D2328,0)</f>
      </c>
    </row>
    <row r="2329" spans="1:13" x14ac:dyDescent="0.25">
      <c r="A2329" s="16"/>
      <c r="E2329" s="27"/>
      <c r="F2329" t="s">
        <v>26</v>
      </c>
      <c r="G2329" s="28">
        <f>IFERROR(VLOOKUP(F2329,CARTON_LOOKUP!$A:$E,3,0),"")</f>
      </c>
      <c r="H2329" s="28">
        <f>IFERROR(VLOOKUP(F2329,CARTON_LOOKUP!$A:$E,4,0),"")</f>
      </c>
      <c r="I2329" s="28">
        <f>IFERROR(VLOOKUP(F2329,CARTON_LOOKUP!$A:$E,5,0),"")</f>
      </c>
      <c r="J2329" s="29">
        <f>IFERROR(VLOOKUP(F2329,CARTON_LOOKUP!$A:$E,2,0),"")</f>
      </c>
      <c r="K2329" s="29">
        <f>IFERROR(J2329*D2329,0)</f>
      </c>
      <c r="L2329" s="29">
        <f>IFERROR(E2329*C2329,0)</f>
      </c>
      <c r="M2329" s="29">
        <f>IFERROR((G2329*H2329*I2329/1000000)*D2329,0)</f>
      </c>
    </row>
    <row r="2330" spans="1:13" x14ac:dyDescent="0.25">
      <c r="A2330" s="16"/>
      <c r="E2330" s="27"/>
      <c r="F2330" t="s">
        <v>26</v>
      </c>
      <c r="G2330" s="28">
        <f>IFERROR(VLOOKUP(F2330,CARTON_LOOKUP!$A:$E,3,0),"")</f>
      </c>
      <c r="H2330" s="28">
        <f>IFERROR(VLOOKUP(F2330,CARTON_LOOKUP!$A:$E,4,0),"")</f>
      </c>
      <c r="I2330" s="28">
        <f>IFERROR(VLOOKUP(F2330,CARTON_LOOKUP!$A:$E,5,0),"")</f>
      </c>
      <c r="J2330" s="29">
        <f>IFERROR(VLOOKUP(F2330,CARTON_LOOKUP!$A:$E,2,0),"")</f>
      </c>
      <c r="K2330" s="29">
        <f>IFERROR(J2330*D2330,0)</f>
      </c>
      <c r="L2330" s="29">
        <f>IFERROR(E2330*C2330,0)</f>
      </c>
      <c r="M2330" s="29">
        <f>IFERROR((G2330*H2330*I2330/1000000)*D2330,0)</f>
      </c>
    </row>
    <row r="2331" spans="1:13" x14ac:dyDescent="0.25">
      <c r="A2331" s="16"/>
      <c r="E2331" s="27"/>
      <c r="F2331" t="s">
        <v>26</v>
      </c>
      <c r="G2331" s="28">
        <f>IFERROR(VLOOKUP(F2331,CARTON_LOOKUP!$A:$E,3,0),"")</f>
      </c>
      <c r="H2331" s="28">
        <f>IFERROR(VLOOKUP(F2331,CARTON_LOOKUP!$A:$E,4,0),"")</f>
      </c>
      <c r="I2331" s="28">
        <f>IFERROR(VLOOKUP(F2331,CARTON_LOOKUP!$A:$E,5,0),"")</f>
      </c>
      <c r="J2331" s="29">
        <f>IFERROR(VLOOKUP(F2331,CARTON_LOOKUP!$A:$E,2,0),"")</f>
      </c>
      <c r="K2331" s="29">
        <f>IFERROR(J2331*D2331,0)</f>
      </c>
      <c r="L2331" s="29">
        <f>IFERROR(E2331*C2331,0)</f>
      </c>
      <c r="M2331" s="29">
        <f>IFERROR((G2331*H2331*I2331/1000000)*D2331,0)</f>
      </c>
    </row>
    <row r="2332" spans="1:13" x14ac:dyDescent="0.25">
      <c r="A2332" s="16"/>
      <c r="E2332" s="27"/>
      <c r="F2332" t="s">
        <v>26</v>
      </c>
      <c r="G2332" s="28">
        <f>IFERROR(VLOOKUP(F2332,CARTON_LOOKUP!$A:$E,3,0),"")</f>
      </c>
      <c r="H2332" s="28">
        <f>IFERROR(VLOOKUP(F2332,CARTON_LOOKUP!$A:$E,4,0),"")</f>
      </c>
      <c r="I2332" s="28">
        <f>IFERROR(VLOOKUP(F2332,CARTON_LOOKUP!$A:$E,5,0),"")</f>
      </c>
      <c r="J2332" s="29">
        <f>IFERROR(VLOOKUP(F2332,CARTON_LOOKUP!$A:$E,2,0),"")</f>
      </c>
      <c r="K2332" s="29">
        <f>IFERROR(J2332*D2332,0)</f>
      </c>
      <c r="L2332" s="29">
        <f>IFERROR(E2332*C2332,0)</f>
      </c>
      <c r="M2332" s="29">
        <f>IFERROR((G2332*H2332*I2332/1000000)*D2332,0)</f>
      </c>
    </row>
    <row r="2333" spans="1:13" x14ac:dyDescent="0.25">
      <c r="A2333" s="16"/>
      <c r="E2333" s="27"/>
      <c r="F2333" t="s">
        <v>26</v>
      </c>
      <c r="G2333" s="28">
        <f>IFERROR(VLOOKUP(F2333,CARTON_LOOKUP!$A:$E,3,0),"")</f>
      </c>
      <c r="H2333" s="28">
        <f>IFERROR(VLOOKUP(F2333,CARTON_LOOKUP!$A:$E,4,0),"")</f>
      </c>
      <c r="I2333" s="28">
        <f>IFERROR(VLOOKUP(F2333,CARTON_LOOKUP!$A:$E,5,0),"")</f>
      </c>
      <c r="J2333" s="29">
        <f>IFERROR(VLOOKUP(F2333,CARTON_LOOKUP!$A:$E,2,0),"")</f>
      </c>
      <c r="K2333" s="29">
        <f>IFERROR(J2333*D2333,0)</f>
      </c>
      <c r="L2333" s="29">
        <f>IFERROR(E2333*C2333,0)</f>
      </c>
      <c r="M2333" s="29">
        <f>IFERROR((G2333*H2333*I2333/1000000)*D2333,0)</f>
      </c>
    </row>
    <row r="2334" spans="1:13" x14ac:dyDescent="0.25">
      <c r="A2334" s="16"/>
      <c r="E2334" s="27"/>
      <c r="F2334" t="s">
        <v>26</v>
      </c>
      <c r="G2334" s="28">
        <f>IFERROR(VLOOKUP(F2334,CARTON_LOOKUP!$A:$E,3,0),"")</f>
      </c>
      <c r="H2334" s="28">
        <f>IFERROR(VLOOKUP(F2334,CARTON_LOOKUP!$A:$E,4,0),"")</f>
      </c>
      <c r="I2334" s="28">
        <f>IFERROR(VLOOKUP(F2334,CARTON_LOOKUP!$A:$E,5,0),"")</f>
      </c>
      <c r="J2334" s="29">
        <f>IFERROR(VLOOKUP(F2334,CARTON_LOOKUP!$A:$E,2,0),"")</f>
      </c>
      <c r="K2334" s="29">
        <f>IFERROR(J2334*D2334,0)</f>
      </c>
      <c r="L2334" s="29">
        <f>IFERROR(E2334*C2334,0)</f>
      </c>
      <c r="M2334" s="29">
        <f>IFERROR((G2334*H2334*I2334/1000000)*D2334,0)</f>
      </c>
    </row>
    <row r="2335" spans="1:13" x14ac:dyDescent="0.25">
      <c r="A2335" s="16"/>
      <c r="E2335" s="27"/>
      <c r="F2335" t="s">
        <v>26</v>
      </c>
      <c r="G2335" s="28">
        <f>IFERROR(VLOOKUP(F2335,CARTON_LOOKUP!$A:$E,3,0),"")</f>
      </c>
      <c r="H2335" s="28">
        <f>IFERROR(VLOOKUP(F2335,CARTON_LOOKUP!$A:$E,4,0),"")</f>
      </c>
      <c r="I2335" s="28">
        <f>IFERROR(VLOOKUP(F2335,CARTON_LOOKUP!$A:$E,5,0),"")</f>
      </c>
      <c r="J2335" s="29">
        <f>IFERROR(VLOOKUP(F2335,CARTON_LOOKUP!$A:$E,2,0),"")</f>
      </c>
      <c r="K2335" s="29">
        <f>IFERROR(J2335*D2335,0)</f>
      </c>
      <c r="L2335" s="29">
        <f>IFERROR(E2335*C2335,0)</f>
      </c>
      <c r="M2335" s="29">
        <f>IFERROR((G2335*H2335*I2335/1000000)*D2335,0)</f>
      </c>
    </row>
    <row r="2336" spans="1:13" x14ac:dyDescent="0.25">
      <c r="A2336" s="16"/>
      <c r="E2336" s="27"/>
      <c r="F2336" t="s">
        <v>26</v>
      </c>
      <c r="G2336" s="28">
        <f>IFERROR(VLOOKUP(F2336,CARTON_LOOKUP!$A:$E,3,0),"")</f>
      </c>
      <c r="H2336" s="28">
        <f>IFERROR(VLOOKUP(F2336,CARTON_LOOKUP!$A:$E,4,0),"")</f>
      </c>
      <c r="I2336" s="28">
        <f>IFERROR(VLOOKUP(F2336,CARTON_LOOKUP!$A:$E,5,0),"")</f>
      </c>
      <c r="J2336" s="29">
        <f>IFERROR(VLOOKUP(F2336,CARTON_LOOKUP!$A:$E,2,0),"")</f>
      </c>
      <c r="K2336" s="29">
        <f>IFERROR(J2336*D2336,0)</f>
      </c>
      <c r="L2336" s="29">
        <f>IFERROR(E2336*C2336,0)</f>
      </c>
      <c r="M2336" s="29">
        <f>IFERROR((G2336*H2336*I2336/1000000)*D2336,0)</f>
      </c>
    </row>
    <row r="2337" spans="1:13" x14ac:dyDescent="0.25">
      <c r="A2337" s="16"/>
      <c r="E2337" s="27"/>
      <c r="F2337" t="s">
        <v>26</v>
      </c>
      <c r="G2337" s="28">
        <f>IFERROR(VLOOKUP(F2337,CARTON_LOOKUP!$A:$E,3,0),"")</f>
      </c>
      <c r="H2337" s="28">
        <f>IFERROR(VLOOKUP(F2337,CARTON_LOOKUP!$A:$E,4,0),"")</f>
      </c>
      <c r="I2337" s="28">
        <f>IFERROR(VLOOKUP(F2337,CARTON_LOOKUP!$A:$E,5,0),"")</f>
      </c>
      <c r="J2337" s="29">
        <f>IFERROR(VLOOKUP(F2337,CARTON_LOOKUP!$A:$E,2,0),"")</f>
      </c>
      <c r="K2337" s="29">
        <f>IFERROR(J2337*D2337,0)</f>
      </c>
      <c r="L2337" s="29">
        <f>IFERROR(E2337*C2337,0)</f>
      </c>
      <c r="M2337" s="29">
        <f>IFERROR((G2337*H2337*I2337/1000000)*D2337,0)</f>
      </c>
    </row>
    <row r="2338" spans="1:13" x14ac:dyDescent="0.25">
      <c r="A2338" s="16"/>
      <c r="E2338" s="27"/>
      <c r="F2338" t="s">
        <v>26</v>
      </c>
      <c r="G2338" s="28">
        <f>IFERROR(VLOOKUP(F2338,CARTON_LOOKUP!$A:$E,3,0),"")</f>
      </c>
      <c r="H2338" s="28">
        <f>IFERROR(VLOOKUP(F2338,CARTON_LOOKUP!$A:$E,4,0),"")</f>
      </c>
      <c r="I2338" s="28">
        <f>IFERROR(VLOOKUP(F2338,CARTON_LOOKUP!$A:$E,5,0),"")</f>
      </c>
      <c r="J2338" s="29">
        <f>IFERROR(VLOOKUP(F2338,CARTON_LOOKUP!$A:$E,2,0),"")</f>
      </c>
      <c r="K2338" s="29">
        <f>IFERROR(J2338*D2338,0)</f>
      </c>
      <c r="L2338" s="29">
        <f>IFERROR(E2338*C2338,0)</f>
      </c>
      <c r="M2338" s="29">
        <f>IFERROR((G2338*H2338*I2338/1000000)*D2338,0)</f>
      </c>
    </row>
    <row r="2339" spans="1:13" x14ac:dyDescent="0.25">
      <c r="A2339" s="16"/>
      <c r="E2339" s="27"/>
      <c r="F2339" t="s">
        <v>26</v>
      </c>
      <c r="G2339" s="28">
        <f>IFERROR(VLOOKUP(F2339,CARTON_LOOKUP!$A:$E,3,0),"")</f>
      </c>
      <c r="H2339" s="28">
        <f>IFERROR(VLOOKUP(F2339,CARTON_LOOKUP!$A:$E,4,0),"")</f>
      </c>
      <c r="I2339" s="28">
        <f>IFERROR(VLOOKUP(F2339,CARTON_LOOKUP!$A:$E,5,0),"")</f>
      </c>
      <c r="J2339" s="29">
        <f>IFERROR(VLOOKUP(F2339,CARTON_LOOKUP!$A:$E,2,0),"")</f>
      </c>
      <c r="K2339" s="29">
        <f>IFERROR(J2339*D2339,0)</f>
      </c>
      <c r="L2339" s="29">
        <f>IFERROR(E2339*C2339,0)</f>
      </c>
      <c r="M2339" s="29">
        <f>IFERROR((G2339*H2339*I2339/1000000)*D2339,0)</f>
      </c>
    </row>
    <row r="2340" spans="1:13" x14ac:dyDescent="0.25">
      <c r="A2340" s="16"/>
      <c r="E2340" s="27"/>
      <c r="F2340" t="s">
        <v>26</v>
      </c>
      <c r="G2340" s="28">
        <f>IFERROR(VLOOKUP(F2340,CARTON_LOOKUP!$A:$E,3,0),"")</f>
      </c>
      <c r="H2340" s="28">
        <f>IFERROR(VLOOKUP(F2340,CARTON_LOOKUP!$A:$E,4,0),"")</f>
      </c>
      <c r="I2340" s="28">
        <f>IFERROR(VLOOKUP(F2340,CARTON_LOOKUP!$A:$E,5,0),"")</f>
      </c>
      <c r="J2340" s="29">
        <f>IFERROR(VLOOKUP(F2340,CARTON_LOOKUP!$A:$E,2,0),"")</f>
      </c>
      <c r="K2340" s="29">
        <f>IFERROR(J2340*D2340,0)</f>
      </c>
      <c r="L2340" s="29">
        <f>IFERROR(E2340*C2340,0)</f>
      </c>
      <c r="M2340" s="29">
        <f>IFERROR((G2340*H2340*I2340/1000000)*D2340,0)</f>
      </c>
    </row>
    <row r="2341" spans="1:13" x14ac:dyDescent="0.25">
      <c r="A2341" s="16"/>
      <c r="E2341" s="27"/>
      <c r="F2341" t="s">
        <v>26</v>
      </c>
      <c r="G2341" s="28">
        <f>IFERROR(VLOOKUP(F2341,CARTON_LOOKUP!$A:$E,3,0),"")</f>
      </c>
      <c r="H2341" s="28">
        <f>IFERROR(VLOOKUP(F2341,CARTON_LOOKUP!$A:$E,4,0),"")</f>
      </c>
      <c r="I2341" s="28">
        <f>IFERROR(VLOOKUP(F2341,CARTON_LOOKUP!$A:$E,5,0),"")</f>
      </c>
      <c r="J2341" s="29">
        <f>IFERROR(VLOOKUP(F2341,CARTON_LOOKUP!$A:$E,2,0),"")</f>
      </c>
      <c r="K2341" s="29">
        <f>IFERROR(J2341*D2341,0)</f>
      </c>
      <c r="L2341" s="29">
        <f>IFERROR(E2341*C2341,0)</f>
      </c>
      <c r="M2341" s="29">
        <f>IFERROR((G2341*H2341*I2341/1000000)*D2341,0)</f>
      </c>
    </row>
    <row r="2342" spans="1:13" x14ac:dyDescent="0.25">
      <c r="A2342" s="16"/>
      <c r="E2342" s="27"/>
      <c r="F2342" t="s">
        <v>26</v>
      </c>
      <c r="G2342" s="28">
        <f>IFERROR(VLOOKUP(F2342,CARTON_LOOKUP!$A:$E,3,0),"")</f>
      </c>
      <c r="H2342" s="28">
        <f>IFERROR(VLOOKUP(F2342,CARTON_LOOKUP!$A:$E,4,0),"")</f>
      </c>
      <c r="I2342" s="28">
        <f>IFERROR(VLOOKUP(F2342,CARTON_LOOKUP!$A:$E,5,0),"")</f>
      </c>
      <c r="J2342" s="29">
        <f>IFERROR(VLOOKUP(F2342,CARTON_LOOKUP!$A:$E,2,0),"")</f>
      </c>
      <c r="K2342" s="29">
        <f>IFERROR(J2342*D2342,0)</f>
      </c>
      <c r="L2342" s="29">
        <f>IFERROR(E2342*C2342,0)</f>
      </c>
      <c r="M2342" s="29">
        <f>IFERROR((G2342*H2342*I2342/1000000)*D2342,0)</f>
      </c>
    </row>
    <row r="2343" spans="1:13" x14ac:dyDescent="0.25">
      <c r="A2343" s="16"/>
      <c r="E2343" s="27"/>
      <c r="F2343" t="s">
        <v>26</v>
      </c>
      <c r="G2343" s="28">
        <f>IFERROR(VLOOKUP(F2343,CARTON_LOOKUP!$A:$E,3,0),"")</f>
      </c>
      <c r="H2343" s="28">
        <f>IFERROR(VLOOKUP(F2343,CARTON_LOOKUP!$A:$E,4,0),"")</f>
      </c>
      <c r="I2343" s="28">
        <f>IFERROR(VLOOKUP(F2343,CARTON_LOOKUP!$A:$E,5,0),"")</f>
      </c>
      <c r="J2343" s="29">
        <f>IFERROR(VLOOKUP(F2343,CARTON_LOOKUP!$A:$E,2,0),"")</f>
      </c>
      <c r="K2343" s="29">
        <f>IFERROR(J2343*D2343,0)</f>
      </c>
      <c r="L2343" s="29">
        <f>IFERROR(E2343*C2343,0)</f>
      </c>
      <c r="M2343" s="29">
        <f>IFERROR((G2343*H2343*I2343/1000000)*D2343,0)</f>
      </c>
    </row>
    <row r="2344" spans="1:13" x14ac:dyDescent="0.25">
      <c r="A2344" s="16"/>
      <c r="E2344" s="27"/>
      <c r="F2344" t="s">
        <v>26</v>
      </c>
      <c r="G2344" s="28">
        <f>IFERROR(VLOOKUP(F2344,CARTON_LOOKUP!$A:$E,3,0),"")</f>
      </c>
      <c r="H2344" s="28">
        <f>IFERROR(VLOOKUP(F2344,CARTON_LOOKUP!$A:$E,4,0),"")</f>
      </c>
      <c r="I2344" s="28">
        <f>IFERROR(VLOOKUP(F2344,CARTON_LOOKUP!$A:$E,5,0),"")</f>
      </c>
      <c r="J2344" s="29">
        <f>IFERROR(VLOOKUP(F2344,CARTON_LOOKUP!$A:$E,2,0),"")</f>
      </c>
      <c r="K2344" s="29">
        <f>IFERROR(J2344*D2344,0)</f>
      </c>
      <c r="L2344" s="29">
        <f>IFERROR(E2344*C2344,0)</f>
      </c>
      <c r="M2344" s="29">
        <f>IFERROR((G2344*H2344*I2344/1000000)*D2344,0)</f>
      </c>
    </row>
    <row r="2345" spans="1:13" x14ac:dyDescent="0.25">
      <c r="A2345" s="16"/>
      <c r="E2345" s="27"/>
      <c r="F2345" t="s">
        <v>26</v>
      </c>
      <c r="G2345" s="28">
        <f>IFERROR(VLOOKUP(F2345,CARTON_LOOKUP!$A:$E,3,0),"")</f>
      </c>
      <c r="H2345" s="28">
        <f>IFERROR(VLOOKUP(F2345,CARTON_LOOKUP!$A:$E,4,0),"")</f>
      </c>
      <c r="I2345" s="28">
        <f>IFERROR(VLOOKUP(F2345,CARTON_LOOKUP!$A:$E,5,0),"")</f>
      </c>
      <c r="J2345" s="29">
        <f>IFERROR(VLOOKUP(F2345,CARTON_LOOKUP!$A:$E,2,0),"")</f>
      </c>
      <c r="K2345" s="29">
        <f>IFERROR(J2345*D2345,0)</f>
      </c>
      <c r="L2345" s="29">
        <f>IFERROR(E2345*C2345,0)</f>
      </c>
      <c r="M2345" s="29">
        <f>IFERROR((G2345*H2345*I2345/1000000)*D2345,0)</f>
      </c>
    </row>
    <row r="2346" spans="1:13" x14ac:dyDescent="0.25">
      <c r="A2346" s="16"/>
      <c r="E2346" s="27"/>
      <c r="F2346" t="s">
        <v>26</v>
      </c>
      <c r="G2346" s="28">
        <f>IFERROR(VLOOKUP(F2346,CARTON_LOOKUP!$A:$E,3,0),"")</f>
      </c>
      <c r="H2346" s="28">
        <f>IFERROR(VLOOKUP(F2346,CARTON_LOOKUP!$A:$E,4,0),"")</f>
      </c>
      <c r="I2346" s="28">
        <f>IFERROR(VLOOKUP(F2346,CARTON_LOOKUP!$A:$E,5,0),"")</f>
      </c>
      <c r="J2346" s="29">
        <f>IFERROR(VLOOKUP(F2346,CARTON_LOOKUP!$A:$E,2,0),"")</f>
      </c>
      <c r="K2346" s="29">
        <f>IFERROR(J2346*D2346,0)</f>
      </c>
      <c r="L2346" s="29">
        <f>IFERROR(E2346*C2346,0)</f>
      </c>
      <c r="M2346" s="29">
        <f>IFERROR((G2346*H2346*I2346/1000000)*D2346,0)</f>
      </c>
    </row>
    <row r="2347" spans="1:13" x14ac:dyDescent="0.25">
      <c r="A2347" s="16"/>
      <c r="E2347" s="27"/>
      <c r="F2347" t="s">
        <v>26</v>
      </c>
      <c r="G2347" s="28">
        <f>IFERROR(VLOOKUP(F2347,CARTON_LOOKUP!$A:$E,3,0),"")</f>
      </c>
      <c r="H2347" s="28">
        <f>IFERROR(VLOOKUP(F2347,CARTON_LOOKUP!$A:$E,4,0),"")</f>
      </c>
      <c r="I2347" s="28">
        <f>IFERROR(VLOOKUP(F2347,CARTON_LOOKUP!$A:$E,5,0),"")</f>
      </c>
      <c r="J2347" s="29">
        <f>IFERROR(VLOOKUP(F2347,CARTON_LOOKUP!$A:$E,2,0),"")</f>
      </c>
      <c r="K2347" s="29">
        <f>IFERROR(J2347*D2347,0)</f>
      </c>
      <c r="L2347" s="29">
        <f>IFERROR(E2347*C2347,0)</f>
      </c>
      <c r="M2347" s="29">
        <f>IFERROR((G2347*H2347*I2347/1000000)*D2347,0)</f>
      </c>
    </row>
    <row r="2348" spans="1:13" x14ac:dyDescent="0.25">
      <c r="A2348" s="16"/>
      <c r="E2348" s="27"/>
      <c r="F2348" t="s">
        <v>26</v>
      </c>
      <c r="G2348" s="28">
        <f>IFERROR(VLOOKUP(F2348,CARTON_LOOKUP!$A:$E,3,0),"")</f>
      </c>
      <c r="H2348" s="28">
        <f>IFERROR(VLOOKUP(F2348,CARTON_LOOKUP!$A:$E,4,0),"")</f>
      </c>
      <c r="I2348" s="28">
        <f>IFERROR(VLOOKUP(F2348,CARTON_LOOKUP!$A:$E,5,0),"")</f>
      </c>
      <c r="J2348" s="29">
        <f>IFERROR(VLOOKUP(F2348,CARTON_LOOKUP!$A:$E,2,0),"")</f>
      </c>
      <c r="K2348" s="29">
        <f>IFERROR(J2348*D2348,0)</f>
      </c>
      <c r="L2348" s="29">
        <f>IFERROR(E2348*C2348,0)</f>
      </c>
      <c r="M2348" s="29">
        <f>IFERROR((G2348*H2348*I2348/1000000)*D2348,0)</f>
      </c>
    </row>
    <row r="2349" spans="1:13" x14ac:dyDescent="0.25">
      <c r="A2349" s="16"/>
      <c r="E2349" s="27"/>
      <c r="F2349" t="s">
        <v>26</v>
      </c>
      <c r="G2349" s="28">
        <f>IFERROR(VLOOKUP(F2349,CARTON_LOOKUP!$A:$E,3,0),"")</f>
      </c>
      <c r="H2349" s="28">
        <f>IFERROR(VLOOKUP(F2349,CARTON_LOOKUP!$A:$E,4,0),"")</f>
      </c>
      <c r="I2349" s="28">
        <f>IFERROR(VLOOKUP(F2349,CARTON_LOOKUP!$A:$E,5,0),"")</f>
      </c>
      <c r="J2349" s="29">
        <f>IFERROR(VLOOKUP(F2349,CARTON_LOOKUP!$A:$E,2,0),"")</f>
      </c>
      <c r="K2349" s="29">
        <f>IFERROR(J2349*D2349,0)</f>
      </c>
      <c r="L2349" s="29">
        <f>IFERROR(E2349*C2349,0)</f>
      </c>
      <c r="M2349" s="29">
        <f>IFERROR((G2349*H2349*I2349/1000000)*D2349,0)</f>
      </c>
    </row>
    <row r="2350" spans="1:13" x14ac:dyDescent="0.25">
      <c r="A2350" s="16"/>
      <c r="E2350" s="27"/>
      <c r="F2350" t="s">
        <v>26</v>
      </c>
      <c r="G2350" s="28">
        <f>IFERROR(VLOOKUP(F2350,CARTON_LOOKUP!$A:$E,3,0),"")</f>
      </c>
      <c r="H2350" s="28">
        <f>IFERROR(VLOOKUP(F2350,CARTON_LOOKUP!$A:$E,4,0),"")</f>
      </c>
      <c r="I2350" s="28">
        <f>IFERROR(VLOOKUP(F2350,CARTON_LOOKUP!$A:$E,5,0),"")</f>
      </c>
      <c r="J2350" s="29">
        <f>IFERROR(VLOOKUP(F2350,CARTON_LOOKUP!$A:$E,2,0),"")</f>
      </c>
      <c r="K2350" s="29">
        <f>IFERROR(J2350*D2350,0)</f>
      </c>
      <c r="L2350" s="29">
        <f>IFERROR(E2350*C2350,0)</f>
      </c>
      <c r="M2350" s="29">
        <f>IFERROR((G2350*H2350*I2350/1000000)*D2350,0)</f>
      </c>
    </row>
    <row r="2351" spans="1:13" x14ac:dyDescent="0.25">
      <c r="A2351" s="16"/>
      <c r="E2351" s="27"/>
      <c r="F2351" t="s">
        <v>26</v>
      </c>
      <c r="G2351" s="28">
        <f>IFERROR(VLOOKUP(F2351,CARTON_LOOKUP!$A:$E,3,0),"")</f>
      </c>
      <c r="H2351" s="28">
        <f>IFERROR(VLOOKUP(F2351,CARTON_LOOKUP!$A:$E,4,0),"")</f>
      </c>
      <c r="I2351" s="28">
        <f>IFERROR(VLOOKUP(F2351,CARTON_LOOKUP!$A:$E,5,0),"")</f>
      </c>
      <c r="J2351" s="29">
        <f>IFERROR(VLOOKUP(F2351,CARTON_LOOKUP!$A:$E,2,0),"")</f>
      </c>
      <c r="K2351" s="29">
        <f>IFERROR(J2351*D2351,0)</f>
      </c>
      <c r="L2351" s="29">
        <f>IFERROR(E2351*C2351,0)</f>
      </c>
      <c r="M2351" s="29">
        <f>IFERROR((G2351*H2351*I2351/1000000)*D2351,0)</f>
      </c>
    </row>
    <row r="2352" spans="1:13" x14ac:dyDescent="0.25">
      <c r="A2352" s="16"/>
      <c r="E2352" s="27"/>
      <c r="F2352" t="s">
        <v>26</v>
      </c>
      <c r="G2352" s="28">
        <f>IFERROR(VLOOKUP(F2352,CARTON_LOOKUP!$A:$E,3,0),"")</f>
      </c>
      <c r="H2352" s="28">
        <f>IFERROR(VLOOKUP(F2352,CARTON_LOOKUP!$A:$E,4,0),"")</f>
      </c>
      <c r="I2352" s="28">
        <f>IFERROR(VLOOKUP(F2352,CARTON_LOOKUP!$A:$E,5,0),"")</f>
      </c>
      <c r="J2352" s="29">
        <f>IFERROR(VLOOKUP(F2352,CARTON_LOOKUP!$A:$E,2,0),"")</f>
      </c>
      <c r="K2352" s="29">
        <f>IFERROR(J2352*D2352,0)</f>
      </c>
      <c r="L2352" s="29">
        <f>IFERROR(E2352*C2352,0)</f>
      </c>
      <c r="M2352" s="29">
        <f>IFERROR((G2352*H2352*I2352/1000000)*D2352,0)</f>
      </c>
    </row>
    <row r="2353" spans="1:13" x14ac:dyDescent="0.25">
      <c r="A2353" s="16"/>
      <c r="E2353" s="27"/>
      <c r="F2353" t="s">
        <v>26</v>
      </c>
      <c r="G2353" s="28">
        <f>IFERROR(VLOOKUP(F2353,CARTON_LOOKUP!$A:$E,3,0),"")</f>
      </c>
      <c r="H2353" s="28">
        <f>IFERROR(VLOOKUP(F2353,CARTON_LOOKUP!$A:$E,4,0),"")</f>
      </c>
      <c r="I2353" s="28">
        <f>IFERROR(VLOOKUP(F2353,CARTON_LOOKUP!$A:$E,5,0),"")</f>
      </c>
      <c r="J2353" s="29">
        <f>IFERROR(VLOOKUP(F2353,CARTON_LOOKUP!$A:$E,2,0),"")</f>
      </c>
      <c r="K2353" s="29">
        <f>IFERROR(J2353*D2353,0)</f>
      </c>
      <c r="L2353" s="29">
        <f>IFERROR(E2353*C2353,0)</f>
      </c>
      <c r="M2353" s="29">
        <f>IFERROR((G2353*H2353*I2353/1000000)*D2353,0)</f>
      </c>
    </row>
    <row r="2354" spans="1:13" x14ac:dyDescent="0.25">
      <c r="A2354" s="16"/>
      <c r="E2354" s="27"/>
      <c r="F2354" t="s">
        <v>26</v>
      </c>
      <c r="G2354" s="28">
        <f>IFERROR(VLOOKUP(F2354,CARTON_LOOKUP!$A:$E,3,0),"")</f>
      </c>
      <c r="H2354" s="28">
        <f>IFERROR(VLOOKUP(F2354,CARTON_LOOKUP!$A:$E,4,0),"")</f>
      </c>
      <c r="I2354" s="28">
        <f>IFERROR(VLOOKUP(F2354,CARTON_LOOKUP!$A:$E,5,0),"")</f>
      </c>
      <c r="J2354" s="29">
        <f>IFERROR(VLOOKUP(F2354,CARTON_LOOKUP!$A:$E,2,0),"")</f>
      </c>
      <c r="K2354" s="29">
        <f>IFERROR(J2354*D2354,0)</f>
      </c>
      <c r="L2354" s="29">
        <f>IFERROR(E2354*C2354,0)</f>
      </c>
      <c r="M2354" s="29">
        <f>IFERROR((G2354*H2354*I2354/1000000)*D2354,0)</f>
      </c>
    </row>
    <row r="2355" spans="1:13" x14ac:dyDescent="0.25">
      <c r="A2355" s="16"/>
      <c r="E2355" s="27"/>
      <c r="F2355" t="s">
        <v>26</v>
      </c>
      <c r="G2355" s="28">
        <f>IFERROR(VLOOKUP(F2355,CARTON_LOOKUP!$A:$E,3,0),"")</f>
      </c>
      <c r="H2355" s="28">
        <f>IFERROR(VLOOKUP(F2355,CARTON_LOOKUP!$A:$E,4,0),"")</f>
      </c>
      <c r="I2355" s="28">
        <f>IFERROR(VLOOKUP(F2355,CARTON_LOOKUP!$A:$E,5,0),"")</f>
      </c>
      <c r="J2355" s="29">
        <f>IFERROR(VLOOKUP(F2355,CARTON_LOOKUP!$A:$E,2,0),"")</f>
      </c>
      <c r="K2355" s="29">
        <f>IFERROR(J2355*D2355,0)</f>
      </c>
      <c r="L2355" s="29">
        <f>IFERROR(E2355*C2355,0)</f>
      </c>
      <c r="M2355" s="29">
        <f>IFERROR((G2355*H2355*I2355/1000000)*D2355,0)</f>
      </c>
    </row>
    <row r="2356" spans="1:13" x14ac:dyDescent="0.25">
      <c r="A2356" s="16"/>
      <c r="E2356" s="27"/>
      <c r="F2356" t="s">
        <v>26</v>
      </c>
      <c r="G2356" s="28">
        <f>IFERROR(VLOOKUP(F2356,CARTON_LOOKUP!$A:$E,3,0),"")</f>
      </c>
      <c r="H2356" s="28">
        <f>IFERROR(VLOOKUP(F2356,CARTON_LOOKUP!$A:$E,4,0),"")</f>
      </c>
      <c r="I2356" s="28">
        <f>IFERROR(VLOOKUP(F2356,CARTON_LOOKUP!$A:$E,5,0),"")</f>
      </c>
      <c r="J2356" s="29">
        <f>IFERROR(VLOOKUP(F2356,CARTON_LOOKUP!$A:$E,2,0),"")</f>
      </c>
      <c r="K2356" s="29">
        <f>IFERROR(J2356*D2356,0)</f>
      </c>
      <c r="L2356" s="29">
        <f>IFERROR(E2356*C2356,0)</f>
      </c>
      <c r="M2356" s="29">
        <f>IFERROR((G2356*H2356*I2356/1000000)*D2356,0)</f>
      </c>
    </row>
    <row r="2357" spans="1:13" x14ac:dyDescent="0.25">
      <c r="A2357" s="16"/>
      <c r="E2357" s="27"/>
      <c r="F2357" t="s">
        <v>26</v>
      </c>
      <c r="G2357" s="28">
        <f>IFERROR(VLOOKUP(F2357,CARTON_LOOKUP!$A:$E,3,0),"")</f>
      </c>
      <c r="H2357" s="28">
        <f>IFERROR(VLOOKUP(F2357,CARTON_LOOKUP!$A:$E,4,0),"")</f>
      </c>
      <c r="I2357" s="28">
        <f>IFERROR(VLOOKUP(F2357,CARTON_LOOKUP!$A:$E,5,0),"")</f>
      </c>
      <c r="J2357" s="29">
        <f>IFERROR(VLOOKUP(F2357,CARTON_LOOKUP!$A:$E,2,0),"")</f>
      </c>
      <c r="K2357" s="29">
        <f>IFERROR(J2357*D2357,0)</f>
      </c>
      <c r="L2357" s="29">
        <f>IFERROR(E2357*C2357,0)</f>
      </c>
      <c r="M2357" s="29">
        <f>IFERROR((G2357*H2357*I2357/1000000)*D2357,0)</f>
      </c>
    </row>
    <row r="2358" spans="1:13" x14ac:dyDescent="0.25">
      <c r="A2358" s="16"/>
      <c r="E2358" s="27"/>
      <c r="F2358" t="s">
        <v>26</v>
      </c>
      <c r="G2358" s="28">
        <f>IFERROR(VLOOKUP(F2358,CARTON_LOOKUP!$A:$E,3,0),"")</f>
      </c>
      <c r="H2358" s="28">
        <f>IFERROR(VLOOKUP(F2358,CARTON_LOOKUP!$A:$E,4,0),"")</f>
      </c>
      <c r="I2358" s="28">
        <f>IFERROR(VLOOKUP(F2358,CARTON_LOOKUP!$A:$E,5,0),"")</f>
      </c>
      <c r="J2358" s="29">
        <f>IFERROR(VLOOKUP(F2358,CARTON_LOOKUP!$A:$E,2,0),"")</f>
      </c>
      <c r="K2358" s="29">
        <f>IFERROR(J2358*D2358,0)</f>
      </c>
      <c r="L2358" s="29">
        <f>IFERROR(E2358*C2358,0)</f>
      </c>
      <c r="M2358" s="29">
        <f>IFERROR((G2358*H2358*I2358/1000000)*D2358,0)</f>
      </c>
    </row>
    <row r="2359" spans="1:13" x14ac:dyDescent="0.25">
      <c r="A2359" s="16"/>
      <c r="E2359" s="27"/>
      <c r="F2359" t="s">
        <v>26</v>
      </c>
      <c r="G2359" s="28">
        <f>IFERROR(VLOOKUP(F2359,CARTON_LOOKUP!$A:$E,3,0),"")</f>
      </c>
      <c r="H2359" s="28">
        <f>IFERROR(VLOOKUP(F2359,CARTON_LOOKUP!$A:$E,4,0),"")</f>
      </c>
      <c r="I2359" s="28">
        <f>IFERROR(VLOOKUP(F2359,CARTON_LOOKUP!$A:$E,5,0),"")</f>
      </c>
      <c r="J2359" s="29">
        <f>IFERROR(VLOOKUP(F2359,CARTON_LOOKUP!$A:$E,2,0),"")</f>
      </c>
      <c r="K2359" s="29">
        <f>IFERROR(J2359*D2359,0)</f>
      </c>
      <c r="L2359" s="29">
        <f>IFERROR(E2359*C2359,0)</f>
      </c>
      <c r="M2359" s="29">
        <f>IFERROR((G2359*H2359*I2359/1000000)*D2359,0)</f>
      </c>
    </row>
    <row r="2360" spans="1:13" x14ac:dyDescent="0.25">
      <c r="A2360" s="16"/>
      <c r="E2360" s="27"/>
      <c r="F2360" t="s">
        <v>26</v>
      </c>
      <c r="G2360" s="28">
        <f>IFERROR(VLOOKUP(F2360,CARTON_LOOKUP!$A:$E,3,0),"")</f>
      </c>
      <c r="H2360" s="28">
        <f>IFERROR(VLOOKUP(F2360,CARTON_LOOKUP!$A:$E,4,0),"")</f>
      </c>
      <c r="I2360" s="28">
        <f>IFERROR(VLOOKUP(F2360,CARTON_LOOKUP!$A:$E,5,0),"")</f>
      </c>
      <c r="J2360" s="29">
        <f>IFERROR(VLOOKUP(F2360,CARTON_LOOKUP!$A:$E,2,0),"")</f>
      </c>
      <c r="K2360" s="29">
        <f>IFERROR(J2360*D2360,0)</f>
      </c>
      <c r="L2360" s="29">
        <f>IFERROR(E2360*C2360,0)</f>
      </c>
      <c r="M2360" s="29">
        <f>IFERROR((G2360*H2360*I2360/1000000)*D2360,0)</f>
      </c>
    </row>
    <row r="2361" spans="1:13" x14ac:dyDescent="0.25">
      <c r="A2361" s="16"/>
      <c r="E2361" s="27"/>
      <c r="F2361" t="s">
        <v>26</v>
      </c>
      <c r="G2361" s="28">
        <f>IFERROR(VLOOKUP(F2361,CARTON_LOOKUP!$A:$E,3,0),"")</f>
      </c>
      <c r="H2361" s="28">
        <f>IFERROR(VLOOKUP(F2361,CARTON_LOOKUP!$A:$E,4,0),"")</f>
      </c>
      <c r="I2361" s="28">
        <f>IFERROR(VLOOKUP(F2361,CARTON_LOOKUP!$A:$E,5,0),"")</f>
      </c>
      <c r="J2361" s="29">
        <f>IFERROR(VLOOKUP(F2361,CARTON_LOOKUP!$A:$E,2,0),"")</f>
      </c>
      <c r="K2361" s="29">
        <f>IFERROR(J2361*D2361,0)</f>
      </c>
      <c r="L2361" s="29">
        <f>IFERROR(E2361*C2361,0)</f>
      </c>
      <c r="M2361" s="29">
        <f>IFERROR((G2361*H2361*I2361/1000000)*D2361,0)</f>
      </c>
    </row>
    <row r="2362" spans="1:13" x14ac:dyDescent="0.25">
      <c r="A2362" s="16"/>
      <c r="E2362" s="27"/>
      <c r="F2362" t="s">
        <v>26</v>
      </c>
      <c r="G2362" s="28">
        <f>IFERROR(VLOOKUP(F2362,CARTON_LOOKUP!$A:$E,3,0),"")</f>
      </c>
      <c r="H2362" s="28">
        <f>IFERROR(VLOOKUP(F2362,CARTON_LOOKUP!$A:$E,4,0),"")</f>
      </c>
      <c r="I2362" s="28">
        <f>IFERROR(VLOOKUP(F2362,CARTON_LOOKUP!$A:$E,5,0),"")</f>
      </c>
      <c r="J2362" s="29">
        <f>IFERROR(VLOOKUP(F2362,CARTON_LOOKUP!$A:$E,2,0),"")</f>
      </c>
      <c r="K2362" s="29">
        <f>IFERROR(J2362*D2362,0)</f>
      </c>
      <c r="L2362" s="29">
        <f>IFERROR(E2362*C2362,0)</f>
      </c>
      <c r="M2362" s="29">
        <f>IFERROR((G2362*H2362*I2362/1000000)*D2362,0)</f>
      </c>
    </row>
    <row r="2363" spans="1:13" x14ac:dyDescent="0.25">
      <c r="A2363" s="16"/>
      <c r="E2363" s="27"/>
      <c r="F2363" t="s">
        <v>26</v>
      </c>
      <c r="G2363" s="28">
        <f>IFERROR(VLOOKUP(F2363,CARTON_LOOKUP!$A:$E,3,0),"")</f>
      </c>
      <c r="H2363" s="28">
        <f>IFERROR(VLOOKUP(F2363,CARTON_LOOKUP!$A:$E,4,0),"")</f>
      </c>
      <c r="I2363" s="28">
        <f>IFERROR(VLOOKUP(F2363,CARTON_LOOKUP!$A:$E,5,0),"")</f>
      </c>
      <c r="J2363" s="29">
        <f>IFERROR(VLOOKUP(F2363,CARTON_LOOKUP!$A:$E,2,0),"")</f>
      </c>
      <c r="K2363" s="29">
        <f>IFERROR(J2363*D2363,0)</f>
      </c>
      <c r="L2363" s="29">
        <f>IFERROR(E2363*C2363,0)</f>
      </c>
      <c r="M2363" s="29">
        <f>IFERROR((G2363*H2363*I2363/1000000)*D2363,0)</f>
      </c>
    </row>
    <row r="2364" spans="1:13" x14ac:dyDescent="0.25">
      <c r="A2364" s="16"/>
      <c r="E2364" s="27"/>
      <c r="F2364" t="s">
        <v>26</v>
      </c>
      <c r="G2364" s="28">
        <f>IFERROR(VLOOKUP(F2364,CARTON_LOOKUP!$A:$E,3,0),"")</f>
      </c>
      <c r="H2364" s="28">
        <f>IFERROR(VLOOKUP(F2364,CARTON_LOOKUP!$A:$E,4,0),"")</f>
      </c>
      <c r="I2364" s="28">
        <f>IFERROR(VLOOKUP(F2364,CARTON_LOOKUP!$A:$E,5,0),"")</f>
      </c>
      <c r="J2364" s="29">
        <f>IFERROR(VLOOKUP(F2364,CARTON_LOOKUP!$A:$E,2,0),"")</f>
      </c>
      <c r="K2364" s="29">
        <f>IFERROR(J2364*D2364,0)</f>
      </c>
      <c r="L2364" s="29">
        <f>IFERROR(E2364*C2364,0)</f>
      </c>
      <c r="M2364" s="29">
        <f>IFERROR((G2364*H2364*I2364/1000000)*D2364,0)</f>
      </c>
    </row>
    <row r="2365" spans="1:13" x14ac:dyDescent="0.25">
      <c r="A2365" s="16"/>
      <c r="E2365" s="27"/>
      <c r="F2365" t="s">
        <v>26</v>
      </c>
      <c r="G2365" s="28">
        <f>IFERROR(VLOOKUP(F2365,CARTON_LOOKUP!$A:$E,3,0),"")</f>
      </c>
      <c r="H2365" s="28">
        <f>IFERROR(VLOOKUP(F2365,CARTON_LOOKUP!$A:$E,4,0),"")</f>
      </c>
      <c r="I2365" s="28">
        <f>IFERROR(VLOOKUP(F2365,CARTON_LOOKUP!$A:$E,5,0),"")</f>
      </c>
      <c r="J2365" s="29">
        <f>IFERROR(VLOOKUP(F2365,CARTON_LOOKUP!$A:$E,2,0),"")</f>
      </c>
      <c r="K2365" s="29">
        <f>IFERROR(J2365*D2365,0)</f>
      </c>
      <c r="L2365" s="29">
        <f>IFERROR(E2365*C2365,0)</f>
      </c>
      <c r="M2365" s="29">
        <f>IFERROR((G2365*H2365*I2365/1000000)*D2365,0)</f>
      </c>
    </row>
    <row r="2366" spans="1:13" x14ac:dyDescent="0.25">
      <c r="A2366" s="16"/>
      <c r="E2366" s="27"/>
      <c r="F2366" t="s">
        <v>26</v>
      </c>
      <c r="G2366" s="28">
        <f>IFERROR(VLOOKUP(F2366,CARTON_LOOKUP!$A:$E,3,0),"")</f>
      </c>
      <c r="H2366" s="28">
        <f>IFERROR(VLOOKUP(F2366,CARTON_LOOKUP!$A:$E,4,0),"")</f>
      </c>
      <c r="I2366" s="28">
        <f>IFERROR(VLOOKUP(F2366,CARTON_LOOKUP!$A:$E,5,0),"")</f>
      </c>
      <c r="J2366" s="29">
        <f>IFERROR(VLOOKUP(F2366,CARTON_LOOKUP!$A:$E,2,0),"")</f>
      </c>
      <c r="K2366" s="29">
        <f>IFERROR(J2366*D2366,0)</f>
      </c>
      <c r="L2366" s="29">
        <f>IFERROR(E2366*C2366,0)</f>
      </c>
      <c r="M2366" s="29">
        <f>IFERROR((G2366*H2366*I2366/1000000)*D2366,0)</f>
      </c>
    </row>
    <row r="2367" spans="1:13" x14ac:dyDescent="0.25">
      <c r="A2367" s="16"/>
      <c r="E2367" s="27"/>
      <c r="F2367" t="s">
        <v>26</v>
      </c>
      <c r="G2367" s="28">
        <f>IFERROR(VLOOKUP(F2367,CARTON_LOOKUP!$A:$E,3,0),"")</f>
      </c>
      <c r="H2367" s="28">
        <f>IFERROR(VLOOKUP(F2367,CARTON_LOOKUP!$A:$E,4,0),"")</f>
      </c>
      <c r="I2367" s="28">
        <f>IFERROR(VLOOKUP(F2367,CARTON_LOOKUP!$A:$E,5,0),"")</f>
      </c>
      <c r="J2367" s="29">
        <f>IFERROR(VLOOKUP(F2367,CARTON_LOOKUP!$A:$E,2,0),"")</f>
      </c>
      <c r="K2367" s="29">
        <f>IFERROR(J2367*D2367,0)</f>
      </c>
      <c r="L2367" s="29">
        <f>IFERROR(E2367*C2367,0)</f>
      </c>
      <c r="M2367" s="29">
        <f>IFERROR((G2367*H2367*I2367/1000000)*D2367,0)</f>
      </c>
    </row>
    <row r="2368" spans="1:13" x14ac:dyDescent="0.25">
      <c r="A2368" s="16"/>
      <c r="E2368" s="27"/>
      <c r="F2368" t="s">
        <v>26</v>
      </c>
      <c r="G2368" s="28">
        <f>IFERROR(VLOOKUP(F2368,CARTON_LOOKUP!$A:$E,3,0),"")</f>
      </c>
      <c r="H2368" s="28">
        <f>IFERROR(VLOOKUP(F2368,CARTON_LOOKUP!$A:$E,4,0),"")</f>
      </c>
      <c r="I2368" s="28">
        <f>IFERROR(VLOOKUP(F2368,CARTON_LOOKUP!$A:$E,5,0),"")</f>
      </c>
      <c r="J2368" s="29">
        <f>IFERROR(VLOOKUP(F2368,CARTON_LOOKUP!$A:$E,2,0),"")</f>
      </c>
      <c r="K2368" s="29">
        <f>IFERROR(J2368*D2368,0)</f>
      </c>
      <c r="L2368" s="29">
        <f>IFERROR(E2368*C2368,0)</f>
      </c>
      <c r="M2368" s="29">
        <f>IFERROR((G2368*H2368*I2368/1000000)*D2368,0)</f>
      </c>
    </row>
    <row r="2369" spans="1:13" x14ac:dyDescent="0.25">
      <c r="A2369" s="16"/>
      <c r="E2369" s="27"/>
      <c r="F2369" t="s">
        <v>26</v>
      </c>
      <c r="G2369" s="28">
        <f>IFERROR(VLOOKUP(F2369,CARTON_LOOKUP!$A:$E,3,0),"")</f>
      </c>
      <c r="H2369" s="28">
        <f>IFERROR(VLOOKUP(F2369,CARTON_LOOKUP!$A:$E,4,0),"")</f>
      </c>
      <c r="I2369" s="28">
        <f>IFERROR(VLOOKUP(F2369,CARTON_LOOKUP!$A:$E,5,0),"")</f>
      </c>
      <c r="J2369" s="29">
        <f>IFERROR(VLOOKUP(F2369,CARTON_LOOKUP!$A:$E,2,0),"")</f>
      </c>
      <c r="K2369" s="29">
        <f>IFERROR(J2369*D2369,0)</f>
      </c>
      <c r="L2369" s="29">
        <f>IFERROR(E2369*C2369,0)</f>
      </c>
      <c r="M2369" s="29">
        <f>IFERROR((G2369*H2369*I2369/1000000)*D2369,0)</f>
      </c>
    </row>
    <row r="2370" spans="1:13" x14ac:dyDescent="0.25">
      <c r="A2370" s="16"/>
      <c r="E2370" s="27"/>
      <c r="F2370" t="s">
        <v>26</v>
      </c>
      <c r="G2370" s="28">
        <f>IFERROR(VLOOKUP(F2370,CARTON_LOOKUP!$A:$E,3,0),"")</f>
      </c>
      <c r="H2370" s="28">
        <f>IFERROR(VLOOKUP(F2370,CARTON_LOOKUP!$A:$E,4,0),"")</f>
      </c>
      <c r="I2370" s="28">
        <f>IFERROR(VLOOKUP(F2370,CARTON_LOOKUP!$A:$E,5,0),"")</f>
      </c>
      <c r="J2370" s="29">
        <f>IFERROR(VLOOKUP(F2370,CARTON_LOOKUP!$A:$E,2,0),"")</f>
      </c>
      <c r="K2370" s="29">
        <f>IFERROR(J2370*D2370,0)</f>
      </c>
      <c r="L2370" s="29">
        <f>IFERROR(E2370*C2370,0)</f>
      </c>
      <c r="M2370" s="29">
        <f>IFERROR((G2370*H2370*I2370/1000000)*D2370,0)</f>
      </c>
    </row>
    <row r="2371" spans="1:13" x14ac:dyDescent="0.25">
      <c r="A2371" s="16"/>
      <c r="E2371" s="27"/>
      <c r="F2371" t="s">
        <v>26</v>
      </c>
      <c r="G2371" s="28">
        <f>IFERROR(VLOOKUP(F2371,CARTON_LOOKUP!$A:$E,3,0),"")</f>
      </c>
      <c r="H2371" s="28">
        <f>IFERROR(VLOOKUP(F2371,CARTON_LOOKUP!$A:$E,4,0),"")</f>
      </c>
      <c r="I2371" s="28">
        <f>IFERROR(VLOOKUP(F2371,CARTON_LOOKUP!$A:$E,5,0),"")</f>
      </c>
      <c r="J2371" s="29">
        <f>IFERROR(VLOOKUP(F2371,CARTON_LOOKUP!$A:$E,2,0),"")</f>
      </c>
      <c r="K2371" s="29">
        <f>IFERROR(J2371*D2371,0)</f>
      </c>
      <c r="L2371" s="29">
        <f>IFERROR(E2371*C2371,0)</f>
      </c>
      <c r="M2371" s="29">
        <f>IFERROR((G2371*H2371*I2371/1000000)*D2371,0)</f>
      </c>
    </row>
    <row r="2372" spans="1:13" x14ac:dyDescent="0.25">
      <c r="A2372" s="16"/>
      <c r="E2372" s="27"/>
      <c r="F2372" t="s">
        <v>26</v>
      </c>
      <c r="G2372" s="28">
        <f>IFERROR(VLOOKUP(F2372,CARTON_LOOKUP!$A:$E,3,0),"")</f>
      </c>
      <c r="H2372" s="28">
        <f>IFERROR(VLOOKUP(F2372,CARTON_LOOKUP!$A:$E,4,0),"")</f>
      </c>
      <c r="I2372" s="28">
        <f>IFERROR(VLOOKUP(F2372,CARTON_LOOKUP!$A:$E,5,0),"")</f>
      </c>
      <c r="J2372" s="29">
        <f>IFERROR(VLOOKUP(F2372,CARTON_LOOKUP!$A:$E,2,0),"")</f>
      </c>
      <c r="K2372" s="29">
        <f>IFERROR(J2372*D2372,0)</f>
      </c>
      <c r="L2372" s="29">
        <f>IFERROR(E2372*C2372,0)</f>
      </c>
      <c r="M2372" s="29">
        <f>IFERROR((G2372*H2372*I2372/1000000)*D2372,0)</f>
      </c>
    </row>
    <row r="2373" spans="1:13" x14ac:dyDescent="0.25">
      <c r="A2373" s="16"/>
      <c r="E2373" s="27"/>
      <c r="F2373" t="s">
        <v>26</v>
      </c>
      <c r="G2373" s="28">
        <f>IFERROR(VLOOKUP(F2373,CARTON_LOOKUP!$A:$E,3,0),"")</f>
      </c>
      <c r="H2373" s="28">
        <f>IFERROR(VLOOKUP(F2373,CARTON_LOOKUP!$A:$E,4,0),"")</f>
      </c>
      <c r="I2373" s="28">
        <f>IFERROR(VLOOKUP(F2373,CARTON_LOOKUP!$A:$E,5,0),"")</f>
      </c>
      <c r="J2373" s="29">
        <f>IFERROR(VLOOKUP(F2373,CARTON_LOOKUP!$A:$E,2,0),"")</f>
      </c>
      <c r="K2373" s="29">
        <f>IFERROR(J2373*D2373,0)</f>
      </c>
      <c r="L2373" s="29">
        <f>IFERROR(E2373*C2373,0)</f>
      </c>
      <c r="M2373" s="29">
        <f>IFERROR((G2373*H2373*I2373/1000000)*D2373,0)</f>
      </c>
    </row>
    <row r="2374" spans="1:13" x14ac:dyDescent="0.25">
      <c r="A2374" s="16"/>
      <c r="E2374" s="27"/>
      <c r="F2374" t="s">
        <v>26</v>
      </c>
      <c r="G2374" s="28">
        <f>IFERROR(VLOOKUP(F2374,CARTON_LOOKUP!$A:$E,3,0),"")</f>
      </c>
      <c r="H2374" s="28">
        <f>IFERROR(VLOOKUP(F2374,CARTON_LOOKUP!$A:$E,4,0),"")</f>
      </c>
      <c r="I2374" s="28">
        <f>IFERROR(VLOOKUP(F2374,CARTON_LOOKUP!$A:$E,5,0),"")</f>
      </c>
      <c r="J2374" s="29">
        <f>IFERROR(VLOOKUP(F2374,CARTON_LOOKUP!$A:$E,2,0),"")</f>
      </c>
      <c r="K2374" s="29">
        <f>IFERROR(J2374*D2374,0)</f>
      </c>
      <c r="L2374" s="29">
        <f>IFERROR(E2374*C2374,0)</f>
      </c>
      <c r="M2374" s="29">
        <f>IFERROR((G2374*H2374*I2374/1000000)*D2374,0)</f>
      </c>
    </row>
    <row r="2375" spans="1:13" x14ac:dyDescent="0.25">
      <c r="A2375" s="16"/>
      <c r="E2375" s="27"/>
      <c r="F2375" t="s">
        <v>26</v>
      </c>
      <c r="G2375" s="28">
        <f>IFERROR(VLOOKUP(F2375,CARTON_LOOKUP!$A:$E,3,0),"")</f>
      </c>
      <c r="H2375" s="28">
        <f>IFERROR(VLOOKUP(F2375,CARTON_LOOKUP!$A:$E,4,0),"")</f>
      </c>
      <c r="I2375" s="28">
        <f>IFERROR(VLOOKUP(F2375,CARTON_LOOKUP!$A:$E,5,0),"")</f>
      </c>
      <c r="J2375" s="29">
        <f>IFERROR(VLOOKUP(F2375,CARTON_LOOKUP!$A:$E,2,0),"")</f>
      </c>
      <c r="K2375" s="29">
        <f>IFERROR(J2375*D2375,0)</f>
      </c>
      <c r="L2375" s="29">
        <f>IFERROR(E2375*C2375,0)</f>
      </c>
      <c r="M2375" s="29">
        <f>IFERROR((G2375*H2375*I2375/1000000)*D2375,0)</f>
      </c>
    </row>
    <row r="2376" spans="1:13" x14ac:dyDescent="0.25">
      <c r="A2376" s="16"/>
      <c r="E2376" s="27"/>
      <c r="F2376" t="s">
        <v>26</v>
      </c>
      <c r="G2376" s="28">
        <f>IFERROR(VLOOKUP(F2376,CARTON_LOOKUP!$A:$E,3,0),"")</f>
      </c>
      <c r="H2376" s="28">
        <f>IFERROR(VLOOKUP(F2376,CARTON_LOOKUP!$A:$E,4,0),"")</f>
      </c>
      <c r="I2376" s="28">
        <f>IFERROR(VLOOKUP(F2376,CARTON_LOOKUP!$A:$E,5,0),"")</f>
      </c>
      <c r="J2376" s="29">
        <f>IFERROR(VLOOKUP(F2376,CARTON_LOOKUP!$A:$E,2,0),"")</f>
      </c>
      <c r="K2376" s="29">
        <f>IFERROR(J2376*D2376,0)</f>
      </c>
      <c r="L2376" s="29">
        <f>IFERROR(E2376*C2376,0)</f>
      </c>
      <c r="M2376" s="29">
        <f>IFERROR((G2376*H2376*I2376/1000000)*D2376,0)</f>
      </c>
    </row>
    <row r="2377" spans="1:13" x14ac:dyDescent="0.25">
      <c r="A2377" s="16"/>
      <c r="E2377" s="27"/>
      <c r="F2377" t="s">
        <v>26</v>
      </c>
      <c r="G2377" s="28">
        <f>IFERROR(VLOOKUP(F2377,CARTON_LOOKUP!$A:$E,3,0),"")</f>
      </c>
      <c r="H2377" s="28">
        <f>IFERROR(VLOOKUP(F2377,CARTON_LOOKUP!$A:$E,4,0),"")</f>
      </c>
      <c r="I2377" s="28">
        <f>IFERROR(VLOOKUP(F2377,CARTON_LOOKUP!$A:$E,5,0),"")</f>
      </c>
      <c r="J2377" s="29">
        <f>IFERROR(VLOOKUP(F2377,CARTON_LOOKUP!$A:$E,2,0),"")</f>
      </c>
      <c r="K2377" s="29">
        <f>IFERROR(J2377*D2377,0)</f>
      </c>
      <c r="L2377" s="29">
        <f>IFERROR(E2377*C2377,0)</f>
      </c>
      <c r="M2377" s="29">
        <f>IFERROR((G2377*H2377*I2377/1000000)*D2377,0)</f>
      </c>
    </row>
    <row r="2378" spans="1:13" x14ac:dyDescent="0.25">
      <c r="A2378" s="16"/>
      <c r="E2378" s="27"/>
      <c r="F2378" t="s">
        <v>26</v>
      </c>
      <c r="G2378" s="28">
        <f>IFERROR(VLOOKUP(F2378,CARTON_LOOKUP!$A:$E,3,0),"")</f>
      </c>
      <c r="H2378" s="28">
        <f>IFERROR(VLOOKUP(F2378,CARTON_LOOKUP!$A:$E,4,0),"")</f>
      </c>
      <c r="I2378" s="28">
        <f>IFERROR(VLOOKUP(F2378,CARTON_LOOKUP!$A:$E,5,0),"")</f>
      </c>
      <c r="J2378" s="29">
        <f>IFERROR(VLOOKUP(F2378,CARTON_LOOKUP!$A:$E,2,0),"")</f>
      </c>
      <c r="K2378" s="29">
        <f>IFERROR(J2378*D2378,0)</f>
      </c>
      <c r="L2378" s="29">
        <f>IFERROR(E2378*C2378,0)</f>
      </c>
      <c r="M2378" s="29">
        <f>IFERROR((G2378*H2378*I2378/1000000)*D2378,0)</f>
      </c>
    </row>
    <row r="2379" spans="1:13" x14ac:dyDescent="0.25">
      <c r="A2379" s="16"/>
      <c r="E2379" s="27"/>
      <c r="F2379" t="s">
        <v>26</v>
      </c>
      <c r="G2379" s="28">
        <f>IFERROR(VLOOKUP(F2379,CARTON_LOOKUP!$A:$E,3,0),"")</f>
      </c>
      <c r="H2379" s="28">
        <f>IFERROR(VLOOKUP(F2379,CARTON_LOOKUP!$A:$E,4,0),"")</f>
      </c>
      <c r="I2379" s="28">
        <f>IFERROR(VLOOKUP(F2379,CARTON_LOOKUP!$A:$E,5,0),"")</f>
      </c>
      <c r="J2379" s="29">
        <f>IFERROR(VLOOKUP(F2379,CARTON_LOOKUP!$A:$E,2,0),"")</f>
      </c>
      <c r="K2379" s="29">
        <f>IFERROR(J2379*D2379,0)</f>
      </c>
      <c r="L2379" s="29">
        <f>IFERROR(E2379*C2379,0)</f>
      </c>
      <c r="M2379" s="29">
        <f>IFERROR((G2379*H2379*I2379/1000000)*D2379,0)</f>
      </c>
    </row>
    <row r="2380" spans="1:13" x14ac:dyDescent="0.25">
      <c r="A2380" s="16"/>
      <c r="E2380" s="27"/>
      <c r="F2380" t="s">
        <v>26</v>
      </c>
      <c r="G2380" s="28">
        <f>IFERROR(VLOOKUP(F2380,CARTON_LOOKUP!$A:$E,3,0),"")</f>
      </c>
      <c r="H2380" s="28">
        <f>IFERROR(VLOOKUP(F2380,CARTON_LOOKUP!$A:$E,4,0),"")</f>
      </c>
      <c r="I2380" s="28">
        <f>IFERROR(VLOOKUP(F2380,CARTON_LOOKUP!$A:$E,5,0),"")</f>
      </c>
      <c r="J2380" s="29">
        <f>IFERROR(VLOOKUP(F2380,CARTON_LOOKUP!$A:$E,2,0),"")</f>
      </c>
      <c r="K2380" s="29">
        <f>IFERROR(J2380*D2380,0)</f>
      </c>
      <c r="L2380" s="29">
        <f>IFERROR(E2380*C2380,0)</f>
      </c>
      <c r="M2380" s="29">
        <f>IFERROR((G2380*H2380*I2380/1000000)*D2380,0)</f>
      </c>
    </row>
    <row r="2381" spans="1:13" x14ac:dyDescent="0.25">
      <c r="A2381" s="16"/>
      <c r="E2381" s="27"/>
      <c r="F2381" t="s">
        <v>26</v>
      </c>
      <c r="G2381" s="28">
        <f>IFERROR(VLOOKUP(F2381,CARTON_LOOKUP!$A:$E,3,0),"")</f>
      </c>
      <c r="H2381" s="28">
        <f>IFERROR(VLOOKUP(F2381,CARTON_LOOKUP!$A:$E,4,0),"")</f>
      </c>
      <c r="I2381" s="28">
        <f>IFERROR(VLOOKUP(F2381,CARTON_LOOKUP!$A:$E,5,0),"")</f>
      </c>
      <c r="J2381" s="29">
        <f>IFERROR(VLOOKUP(F2381,CARTON_LOOKUP!$A:$E,2,0),"")</f>
      </c>
      <c r="K2381" s="29">
        <f>IFERROR(J2381*D2381,0)</f>
      </c>
      <c r="L2381" s="29">
        <f>IFERROR(E2381*C2381,0)</f>
      </c>
      <c r="M2381" s="29">
        <f>IFERROR((G2381*H2381*I2381/1000000)*D2381,0)</f>
      </c>
    </row>
    <row r="2382" spans="1:13" x14ac:dyDescent="0.25">
      <c r="A2382" s="16"/>
      <c r="E2382" s="27"/>
      <c r="F2382" t="s">
        <v>26</v>
      </c>
      <c r="G2382" s="28">
        <f>IFERROR(VLOOKUP(F2382,CARTON_LOOKUP!$A:$E,3,0),"")</f>
      </c>
      <c r="H2382" s="28">
        <f>IFERROR(VLOOKUP(F2382,CARTON_LOOKUP!$A:$E,4,0),"")</f>
      </c>
      <c r="I2382" s="28">
        <f>IFERROR(VLOOKUP(F2382,CARTON_LOOKUP!$A:$E,5,0),"")</f>
      </c>
      <c r="J2382" s="29">
        <f>IFERROR(VLOOKUP(F2382,CARTON_LOOKUP!$A:$E,2,0),"")</f>
      </c>
      <c r="K2382" s="29">
        <f>IFERROR(J2382*D2382,0)</f>
      </c>
      <c r="L2382" s="29">
        <f>IFERROR(E2382*C2382,0)</f>
      </c>
      <c r="M2382" s="29">
        <f>IFERROR((G2382*H2382*I2382/1000000)*D2382,0)</f>
      </c>
    </row>
    <row r="2383" spans="1:13" x14ac:dyDescent="0.25">
      <c r="A2383" s="16"/>
      <c r="E2383" s="27"/>
      <c r="F2383" t="s">
        <v>26</v>
      </c>
      <c r="G2383" s="28">
        <f>IFERROR(VLOOKUP(F2383,CARTON_LOOKUP!$A:$E,3,0),"")</f>
      </c>
      <c r="H2383" s="28">
        <f>IFERROR(VLOOKUP(F2383,CARTON_LOOKUP!$A:$E,4,0),"")</f>
      </c>
      <c r="I2383" s="28">
        <f>IFERROR(VLOOKUP(F2383,CARTON_LOOKUP!$A:$E,5,0),"")</f>
      </c>
      <c r="J2383" s="29">
        <f>IFERROR(VLOOKUP(F2383,CARTON_LOOKUP!$A:$E,2,0),"")</f>
      </c>
      <c r="K2383" s="29">
        <f>IFERROR(J2383*D2383,0)</f>
      </c>
      <c r="L2383" s="29">
        <f>IFERROR(E2383*C2383,0)</f>
      </c>
      <c r="M2383" s="29">
        <f>IFERROR((G2383*H2383*I2383/1000000)*D2383,0)</f>
      </c>
    </row>
    <row r="2384" spans="1:13" x14ac:dyDescent="0.25">
      <c r="A2384" s="16"/>
      <c r="E2384" s="27"/>
      <c r="F2384" t="s">
        <v>26</v>
      </c>
      <c r="G2384" s="28">
        <f>IFERROR(VLOOKUP(F2384,CARTON_LOOKUP!$A:$E,3,0),"")</f>
      </c>
      <c r="H2384" s="28">
        <f>IFERROR(VLOOKUP(F2384,CARTON_LOOKUP!$A:$E,4,0),"")</f>
      </c>
      <c r="I2384" s="28">
        <f>IFERROR(VLOOKUP(F2384,CARTON_LOOKUP!$A:$E,5,0),"")</f>
      </c>
      <c r="J2384" s="29">
        <f>IFERROR(VLOOKUP(F2384,CARTON_LOOKUP!$A:$E,2,0),"")</f>
      </c>
      <c r="K2384" s="29">
        <f>IFERROR(J2384*D2384,0)</f>
      </c>
      <c r="L2384" s="29">
        <f>IFERROR(E2384*C2384,0)</f>
      </c>
      <c r="M2384" s="29">
        <f>IFERROR((G2384*H2384*I2384/1000000)*D2384,0)</f>
      </c>
    </row>
    <row r="2385" spans="1:13" x14ac:dyDescent="0.25">
      <c r="A2385" s="16"/>
      <c r="E2385" s="27"/>
      <c r="F2385" t="s">
        <v>26</v>
      </c>
      <c r="G2385" s="28">
        <f>IFERROR(VLOOKUP(F2385,CARTON_LOOKUP!$A:$E,3,0),"")</f>
      </c>
      <c r="H2385" s="28">
        <f>IFERROR(VLOOKUP(F2385,CARTON_LOOKUP!$A:$E,4,0),"")</f>
      </c>
      <c r="I2385" s="28">
        <f>IFERROR(VLOOKUP(F2385,CARTON_LOOKUP!$A:$E,5,0),"")</f>
      </c>
      <c r="J2385" s="29">
        <f>IFERROR(VLOOKUP(F2385,CARTON_LOOKUP!$A:$E,2,0),"")</f>
      </c>
      <c r="K2385" s="29">
        <f>IFERROR(J2385*D2385,0)</f>
      </c>
      <c r="L2385" s="29">
        <f>IFERROR(E2385*C2385,0)</f>
      </c>
      <c r="M2385" s="29">
        <f>IFERROR((G2385*H2385*I2385/1000000)*D2385,0)</f>
      </c>
    </row>
    <row r="2386" spans="1:13" x14ac:dyDescent="0.25">
      <c r="A2386" s="16"/>
      <c r="E2386" s="27"/>
      <c r="F2386" t="s">
        <v>26</v>
      </c>
      <c r="G2386" s="28">
        <f>IFERROR(VLOOKUP(F2386,CARTON_LOOKUP!$A:$E,3,0),"")</f>
      </c>
      <c r="H2386" s="28">
        <f>IFERROR(VLOOKUP(F2386,CARTON_LOOKUP!$A:$E,4,0),"")</f>
      </c>
      <c r="I2386" s="28">
        <f>IFERROR(VLOOKUP(F2386,CARTON_LOOKUP!$A:$E,5,0),"")</f>
      </c>
      <c r="J2386" s="29">
        <f>IFERROR(VLOOKUP(F2386,CARTON_LOOKUP!$A:$E,2,0),"")</f>
      </c>
      <c r="K2386" s="29">
        <f>IFERROR(J2386*D2386,0)</f>
      </c>
      <c r="L2386" s="29">
        <f>IFERROR(E2386*C2386,0)</f>
      </c>
      <c r="M2386" s="29">
        <f>IFERROR((G2386*H2386*I2386/1000000)*D2386,0)</f>
      </c>
    </row>
    <row r="2387" spans="1:13" x14ac:dyDescent="0.25">
      <c r="A2387" s="16"/>
      <c r="E2387" s="27"/>
      <c r="F2387" t="s">
        <v>26</v>
      </c>
      <c r="G2387" s="28">
        <f>IFERROR(VLOOKUP(F2387,CARTON_LOOKUP!$A:$E,3,0),"")</f>
      </c>
      <c r="H2387" s="28">
        <f>IFERROR(VLOOKUP(F2387,CARTON_LOOKUP!$A:$E,4,0),"")</f>
      </c>
      <c r="I2387" s="28">
        <f>IFERROR(VLOOKUP(F2387,CARTON_LOOKUP!$A:$E,5,0),"")</f>
      </c>
      <c r="J2387" s="29">
        <f>IFERROR(VLOOKUP(F2387,CARTON_LOOKUP!$A:$E,2,0),"")</f>
      </c>
      <c r="K2387" s="29">
        <f>IFERROR(J2387*D2387,0)</f>
      </c>
      <c r="L2387" s="29">
        <f>IFERROR(E2387*C2387,0)</f>
      </c>
      <c r="M2387" s="29">
        <f>IFERROR((G2387*H2387*I2387/1000000)*D2387,0)</f>
      </c>
    </row>
    <row r="2388" spans="1:13" x14ac:dyDescent="0.25">
      <c r="A2388" s="16"/>
      <c r="E2388" s="27"/>
      <c r="F2388" t="s">
        <v>26</v>
      </c>
      <c r="G2388" s="28">
        <f>IFERROR(VLOOKUP(F2388,CARTON_LOOKUP!$A:$E,3,0),"")</f>
      </c>
      <c r="H2388" s="28">
        <f>IFERROR(VLOOKUP(F2388,CARTON_LOOKUP!$A:$E,4,0),"")</f>
      </c>
      <c r="I2388" s="28">
        <f>IFERROR(VLOOKUP(F2388,CARTON_LOOKUP!$A:$E,5,0),"")</f>
      </c>
      <c r="J2388" s="29">
        <f>IFERROR(VLOOKUP(F2388,CARTON_LOOKUP!$A:$E,2,0),"")</f>
      </c>
      <c r="K2388" s="29">
        <f>IFERROR(J2388*D2388,0)</f>
      </c>
      <c r="L2388" s="29">
        <f>IFERROR(E2388*C2388,0)</f>
      </c>
      <c r="M2388" s="29">
        <f>IFERROR((G2388*H2388*I2388/1000000)*D2388,0)</f>
      </c>
    </row>
    <row r="2389" spans="1:13" x14ac:dyDescent="0.25">
      <c r="A2389" s="16"/>
      <c r="E2389" s="27"/>
      <c r="F2389" t="s">
        <v>26</v>
      </c>
      <c r="G2389" s="28">
        <f>IFERROR(VLOOKUP(F2389,CARTON_LOOKUP!$A:$E,3,0),"")</f>
      </c>
      <c r="H2389" s="28">
        <f>IFERROR(VLOOKUP(F2389,CARTON_LOOKUP!$A:$E,4,0),"")</f>
      </c>
      <c r="I2389" s="28">
        <f>IFERROR(VLOOKUP(F2389,CARTON_LOOKUP!$A:$E,5,0),"")</f>
      </c>
      <c r="J2389" s="29">
        <f>IFERROR(VLOOKUP(F2389,CARTON_LOOKUP!$A:$E,2,0),"")</f>
      </c>
      <c r="K2389" s="29">
        <f>IFERROR(J2389*D2389,0)</f>
      </c>
      <c r="L2389" s="29">
        <f>IFERROR(E2389*C2389,0)</f>
      </c>
      <c r="M2389" s="29">
        <f>IFERROR((G2389*H2389*I2389/1000000)*D2389,0)</f>
      </c>
    </row>
    <row r="2390" spans="1:13" x14ac:dyDescent="0.25">
      <c r="A2390" s="16"/>
      <c r="E2390" s="27"/>
      <c r="F2390" t="s">
        <v>26</v>
      </c>
      <c r="G2390" s="28">
        <f>IFERROR(VLOOKUP(F2390,CARTON_LOOKUP!$A:$E,3,0),"")</f>
      </c>
      <c r="H2390" s="28">
        <f>IFERROR(VLOOKUP(F2390,CARTON_LOOKUP!$A:$E,4,0),"")</f>
      </c>
      <c r="I2390" s="28">
        <f>IFERROR(VLOOKUP(F2390,CARTON_LOOKUP!$A:$E,5,0),"")</f>
      </c>
      <c r="J2390" s="29">
        <f>IFERROR(VLOOKUP(F2390,CARTON_LOOKUP!$A:$E,2,0),"")</f>
      </c>
      <c r="K2390" s="29">
        <f>IFERROR(J2390*D2390,0)</f>
      </c>
      <c r="L2390" s="29">
        <f>IFERROR(E2390*C2390,0)</f>
      </c>
      <c r="M2390" s="29">
        <f>IFERROR((G2390*H2390*I2390/1000000)*D2390,0)</f>
      </c>
    </row>
    <row r="2391" spans="1:13" x14ac:dyDescent="0.25">
      <c r="A2391" s="16"/>
      <c r="E2391" s="27"/>
      <c r="F2391" t="s">
        <v>26</v>
      </c>
      <c r="G2391" s="28">
        <f>IFERROR(VLOOKUP(F2391,CARTON_LOOKUP!$A:$E,3,0),"")</f>
      </c>
      <c r="H2391" s="28">
        <f>IFERROR(VLOOKUP(F2391,CARTON_LOOKUP!$A:$E,4,0),"")</f>
      </c>
      <c r="I2391" s="28">
        <f>IFERROR(VLOOKUP(F2391,CARTON_LOOKUP!$A:$E,5,0),"")</f>
      </c>
      <c r="J2391" s="29">
        <f>IFERROR(VLOOKUP(F2391,CARTON_LOOKUP!$A:$E,2,0),"")</f>
      </c>
      <c r="K2391" s="29">
        <f>IFERROR(J2391*D2391,0)</f>
      </c>
      <c r="L2391" s="29">
        <f>IFERROR(E2391*C2391,0)</f>
      </c>
      <c r="M2391" s="29">
        <f>IFERROR((G2391*H2391*I2391/1000000)*D2391,0)</f>
      </c>
    </row>
    <row r="2392" spans="1:13" x14ac:dyDescent="0.25">
      <c r="A2392" s="16"/>
      <c r="E2392" s="27"/>
      <c r="F2392" t="s">
        <v>26</v>
      </c>
      <c r="G2392" s="28">
        <f>IFERROR(VLOOKUP(F2392,CARTON_LOOKUP!$A:$E,3,0),"")</f>
      </c>
      <c r="H2392" s="28">
        <f>IFERROR(VLOOKUP(F2392,CARTON_LOOKUP!$A:$E,4,0),"")</f>
      </c>
      <c r="I2392" s="28">
        <f>IFERROR(VLOOKUP(F2392,CARTON_LOOKUP!$A:$E,5,0),"")</f>
      </c>
      <c r="J2392" s="29">
        <f>IFERROR(VLOOKUP(F2392,CARTON_LOOKUP!$A:$E,2,0),"")</f>
      </c>
      <c r="K2392" s="29">
        <f>IFERROR(J2392*D2392,0)</f>
      </c>
      <c r="L2392" s="29">
        <f>IFERROR(E2392*C2392,0)</f>
      </c>
      <c r="M2392" s="29">
        <f>IFERROR((G2392*H2392*I2392/1000000)*D2392,0)</f>
      </c>
    </row>
    <row r="2393" spans="1:13" x14ac:dyDescent="0.25">
      <c r="A2393" s="16"/>
      <c r="E2393" s="27"/>
      <c r="F2393" t="s">
        <v>26</v>
      </c>
      <c r="G2393" s="28">
        <f>IFERROR(VLOOKUP(F2393,CARTON_LOOKUP!$A:$E,3,0),"")</f>
      </c>
      <c r="H2393" s="28">
        <f>IFERROR(VLOOKUP(F2393,CARTON_LOOKUP!$A:$E,4,0),"")</f>
      </c>
      <c r="I2393" s="28">
        <f>IFERROR(VLOOKUP(F2393,CARTON_LOOKUP!$A:$E,5,0),"")</f>
      </c>
      <c r="J2393" s="29">
        <f>IFERROR(VLOOKUP(F2393,CARTON_LOOKUP!$A:$E,2,0),"")</f>
      </c>
      <c r="K2393" s="29">
        <f>IFERROR(J2393*D2393,0)</f>
      </c>
      <c r="L2393" s="29">
        <f>IFERROR(E2393*C2393,0)</f>
      </c>
      <c r="M2393" s="29">
        <f>IFERROR((G2393*H2393*I2393/1000000)*D2393,0)</f>
      </c>
    </row>
    <row r="2394" spans="1:13" x14ac:dyDescent="0.25">
      <c r="A2394" s="16"/>
      <c r="E2394" s="27"/>
      <c r="F2394" t="s">
        <v>26</v>
      </c>
      <c r="G2394" s="28">
        <f>IFERROR(VLOOKUP(F2394,CARTON_LOOKUP!$A:$E,3,0),"")</f>
      </c>
      <c r="H2394" s="28">
        <f>IFERROR(VLOOKUP(F2394,CARTON_LOOKUP!$A:$E,4,0),"")</f>
      </c>
      <c r="I2394" s="28">
        <f>IFERROR(VLOOKUP(F2394,CARTON_LOOKUP!$A:$E,5,0),"")</f>
      </c>
      <c r="J2394" s="29">
        <f>IFERROR(VLOOKUP(F2394,CARTON_LOOKUP!$A:$E,2,0),"")</f>
      </c>
      <c r="K2394" s="29">
        <f>IFERROR(J2394*D2394,0)</f>
      </c>
      <c r="L2394" s="29">
        <f>IFERROR(E2394*C2394,0)</f>
      </c>
      <c r="M2394" s="29">
        <f>IFERROR((G2394*H2394*I2394/1000000)*D2394,0)</f>
      </c>
    </row>
    <row r="2395" spans="1:13" x14ac:dyDescent="0.25">
      <c r="A2395" s="16"/>
      <c r="E2395" s="27"/>
      <c r="F2395" t="s">
        <v>26</v>
      </c>
      <c r="G2395" s="28">
        <f>IFERROR(VLOOKUP(F2395,CARTON_LOOKUP!$A:$E,3,0),"")</f>
      </c>
      <c r="H2395" s="28">
        <f>IFERROR(VLOOKUP(F2395,CARTON_LOOKUP!$A:$E,4,0),"")</f>
      </c>
      <c r="I2395" s="28">
        <f>IFERROR(VLOOKUP(F2395,CARTON_LOOKUP!$A:$E,5,0),"")</f>
      </c>
      <c r="J2395" s="29">
        <f>IFERROR(VLOOKUP(F2395,CARTON_LOOKUP!$A:$E,2,0),"")</f>
      </c>
      <c r="K2395" s="29">
        <f>IFERROR(J2395*D2395,0)</f>
      </c>
      <c r="L2395" s="29">
        <f>IFERROR(E2395*C2395,0)</f>
      </c>
      <c r="M2395" s="29">
        <f>IFERROR((G2395*H2395*I2395/1000000)*D2395,0)</f>
      </c>
    </row>
    <row r="2396" spans="1:13" x14ac:dyDescent="0.25">
      <c r="A2396" s="16"/>
      <c r="E2396" s="27"/>
      <c r="F2396" t="s">
        <v>26</v>
      </c>
      <c r="G2396" s="28">
        <f>IFERROR(VLOOKUP(F2396,CARTON_LOOKUP!$A:$E,3,0),"")</f>
      </c>
      <c r="H2396" s="28">
        <f>IFERROR(VLOOKUP(F2396,CARTON_LOOKUP!$A:$E,4,0),"")</f>
      </c>
      <c r="I2396" s="28">
        <f>IFERROR(VLOOKUP(F2396,CARTON_LOOKUP!$A:$E,5,0),"")</f>
      </c>
      <c r="J2396" s="29">
        <f>IFERROR(VLOOKUP(F2396,CARTON_LOOKUP!$A:$E,2,0),"")</f>
      </c>
      <c r="K2396" s="29">
        <f>IFERROR(J2396*D2396,0)</f>
      </c>
      <c r="L2396" s="29">
        <f>IFERROR(E2396*C2396,0)</f>
      </c>
      <c r="M2396" s="29">
        <f>IFERROR((G2396*H2396*I2396/1000000)*D2396,0)</f>
      </c>
    </row>
    <row r="2397" spans="1:13" x14ac:dyDescent="0.25">
      <c r="A2397" s="16"/>
      <c r="E2397" s="27"/>
      <c r="F2397" t="s">
        <v>26</v>
      </c>
      <c r="G2397" s="28">
        <f>IFERROR(VLOOKUP(F2397,CARTON_LOOKUP!$A:$E,3,0),"")</f>
      </c>
      <c r="H2397" s="28">
        <f>IFERROR(VLOOKUP(F2397,CARTON_LOOKUP!$A:$E,4,0),"")</f>
      </c>
      <c r="I2397" s="28">
        <f>IFERROR(VLOOKUP(F2397,CARTON_LOOKUP!$A:$E,5,0),"")</f>
      </c>
      <c r="J2397" s="29">
        <f>IFERROR(VLOOKUP(F2397,CARTON_LOOKUP!$A:$E,2,0),"")</f>
      </c>
      <c r="K2397" s="29">
        <f>IFERROR(J2397*D2397,0)</f>
      </c>
      <c r="L2397" s="29">
        <f>IFERROR(E2397*C2397,0)</f>
      </c>
      <c r="M2397" s="29">
        <f>IFERROR((G2397*H2397*I2397/1000000)*D2397,0)</f>
      </c>
    </row>
    <row r="2398" spans="1:13" x14ac:dyDescent="0.25">
      <c r="A2398" s="16"/>
      <c r="E2398" s="27"/>
      <c r="F2398" t="s">
        <v>26</v>
      </c>
      <c r="G2398" s="28">
        <f>IFERROR(VLOOKUP(F2398,CARTON_LOOKUP!$A:$E,3,0),"")</f>
      </c>
      <c r="H2398" s="28">
        <f>IFERROR(VLOOKUP(F2398,CARTON_LOOKUP!$A:$E,4,0),"")</f>
      </c>
      <c r="I2398" s="28">
        <f>IFERROR(VLOOKUP(F2398,CARTON_LOOKUP!$A:$E,5,0),"")</f>
      </c>
      <c r="J2398" s="29">
        <f>IFERROR(VLOOKUP(F2398,CARTON_LOOKUP!$A:$E,2,0),"")</f>
      </c>
      <c r="K2398" s="29">
        <f>IFERROR(J2398*D2398,0)</f>
      </c>
      <c r="L2398" s="29">
        <f>IFERROR(E2398*C2398,0)</f>
      </c>
      <c r="M2398" s="29">
        <f>IFERROR((G2398*H2398*I2398/1000000)*D2398,0)</f>
      </c>
    </row>
    <row r="2399" spans="1:13" x14ac:dyDescent="0.25">
      <c r="A2399" s="16"/>
      <c r="E2399" s="27"/>
      <c r="F2399" t="s">
        <v>26</v>
      </c>
      <c r="G2399" s="28">
        <f>IFERROR(VLOOKUP(F2399,CARTON_LOOKUP!$A:$E,3,0),"")</f>
      </c>
      <c r="H2399" s="28">
        <f>IFERROR(VLOOKUP(F2399,CARTON_LOOKUP!$A:$E,4,0),"")</f>
      </c>
      <c r="I2399" s="28">
        <f>IFERROR(VLOOKUP(F2399,CARTON_LOOKUP!$A:$E,5,0),"")</f>
      </c>
      <c r="J2399" s="29">
        <f>IFERROR(VLOOKUP(F2399,CARTON_LOOKUP!$A:$E,2,0),"")</f>
      </c>
      <c r="K2399" s="29">
        <f>IFERROR(J2399*D2399,0)</f>
      </c>
      <c r="L2399" s="29">
        <f>IFERROR(E2399*C2399,0)</f>
      </c>
      <c r="M2399" s="29">
        <f>IFERROR((G2399*H2399*I2399/1000000)*D2399,0)</f>
      </c>
    </row>
    <row r="2400" spans="1:13" x14ac:dyDescent="0.25">
      <c r="A2400" s="16"/>
      <c r="E2400" s="27"/>
      <c r="F2400" t="s">
        <v>26</v>
      </c>
      <c r="G2400" s="28">
        <f>IFERROR(VLOOKUP(F2400,CARTON_LOOKUP!$A:$E,3,0),"")</f>
      </c>
      <c r="H2400" s="28">
        <f>IFERROR(VLOOKUP(F2400,CARTON_LOOKUP!$A:$E,4,0),"")</f>
      </c>
      <c r="I2400" s="28">
        <f>IFERROR(VLOOKUP(F2400,CARTON_LOOKUP!$A:$E,5,0),"")</f>
      </c>
      <c r="J2400" s="29">
        <f>IFERROR(VLOOKUP(F2400,CARTON_LOOKUP!$A:$E,2,0),"")</f>
      </c>
      <c r="K2400" s="29">
        <f>IFERROR(J2400*D2400,0)</f>
      </c>
      <c r="L2400" s="29">
        <f>IFERROR(E2400*C2400,0)</f>
      </c>
      <c r="M2400" s="29">
        <f>IFERROR((G2400*H2400*I2400/1000000)*D2400,0)</f>
      </c>
    </row>
    <row r="2401" spans="1:13" x14ac:dyDescent="0.25">
      <c r="A2401" s="16"/>
      <c r="E2401" s="27"/>
      <c r="F2401" t="s">
        <v>26</v>
      </c>
      <c r="G2401" s="28">
        <f>IFERROR(VLOOKUP(F2401,CARTON_LOOKUP!$A:$E,3,0),"")</f>
      </c>
      <c r="H2401" s="28">
        <f>IFERROR(VLOOKUP(F2401,CARTON_LOOKUP!$A:$E,4,0),"")</f>
      </c>
      <c r="I2401" s="28">
        <f>IFERROR(VLOOKUP(F2401,CARTON_LOOKUP!$A:$E,5,0),"")</f>
      </c>
      <c r="J2401" s="29">
        <f>IFERROR(VLOOKUP(F2401,CARTON_LOOKUP!$A:$E,2,0),"")</f>
      </c>
      <c r="K2401" s="29">
        <f>IFERROR(J2401*D2401,0)</f>
      </c>
      <c r="L2401" s="29">
        <f>IFERROR(E2401*C2401,0)</f>
      </c>
      <c r="M2401" s="29">
        <f>IFERROR((G2401*H2401*I2401/1000000)*D2401,0)</f>
      </c>
    </row>
    <row r="2402" spans="1:13" x14ac:dyDescent="0.25">
      <c r="A2402" s="16"/>
      <c r="E2402" s="27"/>
      <c r="F2402" t="s">
        <v>26</v>
      </c>
      <c r="G2402" s="28">
        <f>IFERROR(VLOOKUP(F2402,CARTON_LOOKUP!$A:$E,3,0),"")</f>
      </c>
      <c r="H2402" s="28">
        <f>IFERROR(VLOOKUP(F2402,CARTON_LOOKUP!$A:$E,4,0),"")</f>
      </c>
      <c r="I2402" s="28">
        <f>IFERROR(VLOOKUP(F2402,CARTON_LOOKUP!$A:$E,5,0),"")</f>
      </c>
      <c r="J2402" s="29">
        <f>IFERROR(VLOOKUP(F2402,CARTON_LOOKUP!$A:$E,2,0),"")</f>
      </c>
      <c r="K2402" s="29">
        <f>IFERROR(J2402*D2402,0)</f>
      </c>
      <c r="L2402" s="29">
        <f>IFERROR(E2402*C2402,0)</f>
      </c>
      <c r="M2402" s="29">
        <f>IFERROR((G2402*H2402*I2402/1000000)*D2402,0)</f>
      </c>
    </row>
    <row r="2403" spans="1:13" x14ac:dyDescent="0.25">
      <c r="A2403" s="16"/>
      <c r="E2403" s="27"/>
      <c r="F2403" t="s">
        <v>26</v>
      </c>
      <c r="G2403" s="28">
        <f>IFERROR(VLOOKUP(F2403,CARTON_LOOKUP!$A:$E,3,0),"")</f>
      </c>
      <c r="H2403" s="28">
        <f>IFERROR(VLOOKUP(F2403,CARTON_LOOKUP!$A:$E,4,0),"")</f>
      </c>
      <c r="I2403" s="28">
        <f>IFERROR(VLOOKUP(F2403,CARTON_LOOKUP!$A:$E,5,0),"")</f>
      </c>
      <c r="J2403" s="29">
        <f>IFERROR(VLOOKUP(F2403,CARTON_LOOKUP!$A:$E,2,0),"")</f>
      </c>
      <c r="K2403" s="29">
        <f>IFERROR(J2403*D2403,0)</f>
      </c>
      <c r="L2403" s="29">
        <f>IFERROR(E2403*C2403,0)</f>
      </c>
      <c r="M2403" s="29">
        <f>IFERROR((G2403*H2403*I2403/1000000)*D2403,0)</f>
      </c>
    </row>
    <row r="2404" spans="1:13" x14ac:dyDescent="0.25">
      <c r="A2404" s="16"/>
      <c r="E2404" s="27"/>
      <c r="F2404" t="s">
        <v>26</v>
      </c>
      <c r="G2404" s="28">
        <f>IFERROR(VLOOKUP(F2404,CARTON_LOOKUP!$A:$E,3,0),"")</f>
      </c>
      <c r="H2404" s="28">
        <f>IFERROR(VLOOKUP(F2404,CARTON_LOOKUP!$A:$E,4,0),"")</f>
      </c>
      <c r="I2404" s="28">
        <f>IFERROR(VLOOKUP(F2404,CARTON_LOOKUP!$A:$E,5,0),"")</f>
      </c>
      <c r="J2404" s="29">
        <f>IFERROR(VLOOKUP(F2404,CARTON_LOOKUP!$A:$E,2,0),"")</f>
      </c>
      <c r="K2404" s="29">
        <f>IFERROR(J2404*D2404,0)</f>
      </c>
      <c r="L2404" s="29">
        <f>IFERROR(E2404*C2404,0)</f>
      </c>
      <c r="M2404" s="29">
        <f>IFERROR((G2404*H2404*I2404/1000000)*D2404,0)</f>
      </c>
    </row>
    <row r="2405" spans="1:13" x14ac:dyDescent="0.25">
      <c r="A2405" s="16"/>
      <c r="E2405" s="27"/>
      <c r="F2405" t="s">
        <v>26</v>
      </c>
      <c r="G2405" s="28">
        <f>IFERROR(VLOOKUP(F2405,CARTON_LOOKUP!$A:$E,3,0),"")</f>
      </c>
      <c r="H2405" s="28">
        <f>IFERROR(VLOOKUP(F2405,CARTON_LOOKUP!$A:$E,4,0),"")</f>
      </c>
      <c r="I2405" s="28">
        <f>IFERROR(VLOOKUP(F2405,CARTON_LOOKUP!$A:$E,5,0),"")</f>
      </c>
      <c r="J2405" s="29">
        <f>IFERROR(VLOOKUP(F2405,CARTON_LOOKUP!$A:$E,2,0),"")</f>
      </c>
      <c r="K2405" s="29">
        <f>IFERROR(J2405*D2405,0)</f>
      </c>
      <c r="L2405" s="29">
        <f>IFERROR(E2405*C2405,0)</f>
      </c>
      <c r="M2405" s="29">
        <f>IFERROR((G2405*H2405*I2405/1000000)*D2405,0)</f>
      </c>
    </row>
    <row r="2406" spans="1:13" x14ac:dyDescent="0.25">
      <c r="A2406" s="16"/>
      <c r="E2406" s="27"/>
      <c r="F2406" t="s">
        <v>26</v>
      </c>
      <c r="G2406" s="28">
        <f>IFERROR(VLOOKUP(F2406,CARTON_LOOKUP!$A:$E,3,0),"")</f>
      </c>
      <c r="H2406" s="28">
        <f>IFERROR(VLOOKUP(F2406,CARTON_LOOKUP!$A:$E,4,0),"")</f>
      </c>
      <c r="I2406" s="28">
        <f>IFERROR(VLOOKUP(F2406,CARTON_LOOKUP!$A:$E,5,0),"")</f>
      </c>
      <c r="J2406" s="29">
        <f>IFERROR(VLOOKUP(F2406,CARTON_LOOKUP!$A:$E,2,0),"")</f>
      </c>
      <c r="K2406" s="29">
        <f>IFERROR(J2406*D2406,0)</f>
      </c>
      <c r="L2406" s="29">
        <f>IFERROR(E2406*C2406,0)</f>
      </c>
      <c r="M2406" s="29">
        <f>IFERROR((G2406*H2406*I2406/1000000)*D2406,0)</f>
      </c>
    </row>
    <row r="2407" spans="1:13" x14ac:dyDescent="0.25">
      <c r="A2407" s="16"/>
      <c r="E2407" s="27"/>
      <c r="F2407" t="s">
        <v>26</v>
      </c>
      <c r="G2407" s="28">
        <f>IFERROR(VLOOKUP(F2407,CARTON_LOOKUP!$A:$E,3,0),"")</f>
      </c>
      <c r="H2407" s="28">
        <f>IFERROR(VLOOKUP(F2407,CARTON_LOOKUP!$A:$E,4,0),"")</f>
      </c>
      <c r="I2407" s="28">
        <f>IFERROR(VLOOKUP(F2407,CARTON_LOOKUP!$A:$E,5,0),"")</f>
      </c>
      <c r="J2407" s="29">
        <f>IFERROR(VLOOKUP(F2407,CARTON_LOOKUP!$A:$E,2,0),"")</f>
      </c>
      <c r="K2407" s="29">
        <f>IFERROR(J2407*D2407,0)</f>
      </c>
      <c r="L2407" s="29">
        <f>IFERROR(E2407*C2407,0)</f>
      </c>
      <c r="M2407" s="29">
        <f>IFERROR((G2407*H2407*I2407/1000000)*D2407,0)</f>
      </c>
    </row>
    <row r="2408" spans="1:13" x14ac:dyDescent="0.25">
      <c r="A2408" s="16"/>
      <c r="E2408" s="27"/>
      <c r="F2408" t="s">
        <v>26</v>
      </c>
      <c r="G2408" s="28">
        <f>IFERROR(VLOOKUP(F2408,CARTON_LOOKUP!$A:$E,3,0),"")</f>
      </c>
      <c r="H2408" s="28">
        <f>IFERROR(VLOOKUP(F2408,CARTON_LOOKUP!$A:$E,4,0),"")</f>
      </c>
      <c r="I2408" s="28">
        <f>IFERROR(VLOOKUP(F2408,CARTON_LOOKUP!$A:$E,5,0),"")</f>
      </c>
      <c r="J2408" s="29">
        <f>IFERROR(VLOOKUP(F2408,CARTON_LOOKUP!$A:$E,2,0),"")</f>
      </c>
      <c r="K2408" s="29">
        <f>IFERROR(J2408*D2408,0)</f>
      </c>
      <c r="L2408" s="29">
        <f>IFERROR(E2408*C2408,0)</f>
      </c>
      <c r="M2408" s="29">
        <f>IFERROR((G2408*H2408*I2408/1000000)*D2408,0)</f>
      </c>
    </row>
    <row r="2409" spans="1:13" x14ac:dyDescent="0.25">
      <c r="A2409" s="16"/>
      <c r="E2409" s="27"/>
      <c r="F2409" t="s">
        <v>26</v>
      </c>
      <c r="G2409" s="28">
        <f>IFERROR(VLOOKUP(F2409,CARTON_LOOKUP!$A:$E,3,0),"")</f>
      </c>
      <c r="H2409" s="28">
        <f>IFERROR(VLOOKUP(F2409,CARTON_LOOKUP!$A:$E,4,0),"")</f>
      </c>
      <c r="I2409" s="28">
        <f>IFERROR(VLOOKUP(F2409,CARTON_LOOKUP!$A:$E,5,0),"")</f>
      </c>
      <c r="J2409" s="29">
        <f>IFERROR(VLOOKUP(F2409,CARTON_LOOKUP!$A:$E,2,0),"")</f>
      </c>
      <c r="K2409" s="29">
        <f>IFERROR(J2409*D2409,0)</f>
      </c>
      <c r="L2409" s="29">
        <f>IFERROR(E2409*C2409,0)</f>
      </c>
      <c r="M2409" s="29">
        <f>IFERROR((G2409*H2409*I2409/1000000)*D2409,0)</f>
      </c>
    </row>
    <row r="2410" spans="1:13" x14ac:dyDescent="0.25">
      <c r="A2410" s="16"/>
      <c r="E2410" s="27"/>
      <c r="F2410" t="s">
        <v>26</v>
      </c>
      <c r="G2410" s="28">
        <f>IFERROR(VLOOKUP(F2410,CARTON_LOOKUP!$A:$E,3,0),"")</f>
      </c>
      <c r="H2410" s="28">
        <f>IFERROR(VLOOKUP(F2410,CARTON_LOOKUP!$A:$E,4,0),"")</f>
      </c>
      <c r="I2410" s="28">
        <f>IFERROR(VLOOKUP(F2410,CARTON_LOOKUP!$A:$E,5,0),"")</f>
      </c>
      <c r="J2410" s="29">
        <f>IFERROR(VLOOKUP(F2410,CARTON_LOOKUP!$A:$E,2,0),"")</f>
      </c>
      <c r="K2410" s="29">
        <f>IFERROR(J2410*D2410,0)</f>
      </c>
      <c r="L2410" s="29">
        <f>IFERROR(E2410*C2410,0)</f>
      </c>
      <c r="M2410" s="29">
        <f>IFERROR((G2410*H2410*I2410/1000000)*D2410,0)</f>
      </c>
    </row>
    <row r="2411" spans="1:13" x14ac:dyDescent="0.25">
      <c r="A2411" s="16"/>
      <c r="E2411" s="27"/>
      <c r="F2411" t="s">
        <v>26</v>
      </c>
      <c r="G2411" s="28">
        <f>IFERROR(VLOOKUP(F2411,CARTON_LOOKUP!$A:$E,3,0),"")</f>
      </c>
      <c r="H2411" s="28">
        <f>IFERROR(VLOOKUP(F2411,CARTON_LOOKUP!$A:$E,4,0),"")</f>
      </c>
      <c r="I2411" s="28">
        <f>IFERROR(VLOOKUP(F2411,CARTON_LOOKUP!$A:$E,5,0),"")</f>
      </c>
      <c r="J2411" s="29">
        <f>IFERROR(VLOOKUP(F2411,CARTON_LOOKUP!$A:$E,2,0),"")</f>
      </c>
      <c r="K2411" s="29">
        <f>IFERROR(J2411*D2411,0)</f>
      </c>
      <c r="L2411" s="29">
        <f>IFERROR(E2411*C2411,0)</f>
      </c>
      <c r="M2411" s="29">
        <f>IFERROR((G2411*H2411*I2411/1000000)*D2411,0)</f>
      </c>
    </row>
    <row r="2412" spans="1:13" x14ac:dyDescent="0.25">
      <c r="A2412" s="16"/>
      <c r="E2412" s="27"/>
      <c r="F2412" t="s">
        <v>26</v>
      </c>
      <c r="G2412" s="28">
        <f>IFERROR(VLOOKUP(F2412,CARTON_LOOKUP!$A:$E,3,0),"")</f>
      </c>
      <c r="H2412" s="28">
        <f>IFERROR(VLOOKUP(F2412,CARTON_LOOKUP!$A:$E,4,0),"")</f>
      </c>
      <c r="I2412" s="28">
        <f>IFERROR(VLOOKUP(F2412,CARTON_LOOKUP!$A:$E,5,0),"")</f>
      </c>
      <c r="J2412" s="29">
        <f>IFERROR(VLOOKUP(F2412,CARTON_LOOKUP!$A:$E,2,0),"")</f>
      </c>
      <c r="K2412" s="29">
        <f>IFERROR(J2412*D2412,0)</f>
      </c>
      <c r="L2412" s="29">
        <f>IFERROR(E2412*C2412,0)</f>
      </c>
      <c r="M2412" s="29">
        <f>IFERROR((G2412*H2412*I2412/1000000)*D2412,0)</f>
      </c>
    </row>
    <row r="2413" spans="1:13" x14ac:dyDescent="0.25">
      <c r="A2413" s="16"/>
      <c r="E2413" s="27"/>
      <c r="F2413" t="s">
        <v>26</v>
      </c>
      <c r="G2413" s="28">
        <f>IFERROR(VLOOKUP(F2413,CARTON_LOOKUP!$A:$E,3,0),"")</f>
      </c>
      <c r="H2413" s="28">
        <f>IFERROR(VLOOKUP(F2413,CARTON_LOOKUP!$A:$E,4,0),"")</f>
      </c>
      <c r="I2413" s="28">
        <f>IFERROR(VLOOKUP(F2413,CARTON_LOOKUP!$A:$E,5,0),"")</f>
      </c>
      <c r="J2413" s="29">
        <f>IFERROR(VLOOKUP(F2413,CARTON_LOOKUP!$A:$E,2,0),"")</f>
      </c>
      <c r="K2413" s="29">
        <f>IFERROR(J2413*D2413,0)</f>
      </c>
      <c r="L2413" s="29">
        <f>IFERROR(E2413*C2413,0)</f>
      </c>
      <c r="M2413" s="29">
        <f>IFERROR((G2413*H2413*I2413/1000000)*D2413,0)</f>
      </c>
    </row>
    <row r="2414" spans="1:13" x14ac:dyDescent="0.25">
      <c r="A2414" s="16"/>
      <c r="E2414" s="27"/>
      <c r="F2414" t="s">
        <v>26</v>
      </c>
      <c r="G2414" s="28">
        <f>IFERROR(VLOOKUP(F2414,CARTON_LOOKUP!$A:$E,3,0),"")</f>
      </c>
      <c r="H2414" s="28">
        <f>IFERROR(VLOOKUP(F2414,CARTON_LOOKUP!$A:$E,4,0),"")</f>
      </c>
      <c r="I2414" s="28">
        <f>IFERROR(VLOOKUP(F2414,CARTON_LOOKUP!$A:$E,5,0),"")</f>
      </c>
      <c r="J2414" s="29">
        <f>IFERROR(VLOOKUP(F2414,CARTON_LOOKUP!$A:$E,2,0),"")</f>
      </c>
      <c r="K2414" s="29">
        <f>IFERROR(J2414*D2414,0)</f>
      </c>
      <c r="L2414" s="29">
        <f>IFERROR(E2414*C2414,0)</f>
      </c>
      <c r="M2414" s="29">
        <f>IFERROR((G2414*H2414*I2414/1000000)*D2414,0)</f>
      </c>
    </row>
    <row r="2415" spans="1:13" x14ac:dyDescent="0.25">
      <c r="A2415" s="16"/>
      <c r="E2415" s="27"/>
      <c r="F2415" t="s">
        <v>26</v>
      </c>
      <c r="G2415" s="28">
        <f>IFERROR(VLOOKUP(F2415,CARTON_LOOKUP!$A:$E,3,0),"")</f>
      </c>
      <c r="H2415" s="28">
        <f>IFERROR(VLOOKUP(F2415,CARTON_LOOKUP!$A:$E,4,0),"")</f>
      </c>
      <c r="I2415" s="28">
        <f>IFERROR(VLOOKUP(F2415,CARTON_LOOKUP!$A:$E,5,0),"")</f>
      </c>
      <c r="J2415" s="29">
        <f>IFERROR(VLOOKUP(F2415,CARTON_LOOKUP!$A:$E,2,0),"")</f>
      </c>
      <c r="K2415" s="29">
        <f>IFERROR(J2415*D2415,0)</f>
      </c>
      <c r="L2415" s="29">
        <f>IFERROR(E2415*C2415,0)</f>
      </c>
      <c r="M2415" s="29">
        <f>IFERROR((G2415*H2415*I2415/1000000)*D2415,0)</f>
      </c>
    </row>
    <row r="2416" spans="1:13" x14ac:dyDescent="0.25">
      <c r="A2416" s="16"/>
      <c r="E2416" s="27"/>
      <c r="F2416" t="s">
        <v>26</v>
      </c>
      <c r="G2416" s="28">
        <f>IFERROR(VLOOKUP(F2416,CARTON_LOOKUP!$A:$E,3,0),"")</f>
      </c>
      <c r="H2416" s="28">
        <f>IFERROR(VLOOKUP(F2416,CARTON_LOOKUP!$A:$E,4,0),"")</f>
      </c>
      <c r="I2416" s="28">
        <f>IFERROR(VLOOKUP(F2416,CARTON_LOOKUP!$A:$E,5,0),"")</f>
      </c>
      <c r="J2416" s="29">
        <f>IFERROR(VLOOKUP(F2416,CARTON_LOOKUP!$A:$E,2,0),"")</f>
      </c>
      <c r="K2416" s="29">
        <f>IFERROR(J2416*D2416,0)</f>
      </c>
      <c r="L2416" s="29">
        <f>IFERROR(E2416*C2416,0)</f>
      </c>
      <c r="M2416" s="29">
        <f>IFERROR((G2416*H2416*I2416/1000000)*D2416,0)</f>
      </c>
    </row>
    <row r="2417" spans="1:13" x14ac:dyDescent="0.25">
      <c r="A2417" s="16"/>
      <c r="E2417" s="27"/>
      <c r="F2417" t="s">
        <v>26</v>
      </c>
      <c r="G2417" s="28">
        <f>IFERROR(VLOOKUP(F2417,CARTON_LOOKUP!$A:$E,3,0),"")</f>
      </c>
      <c r="H2417" s="28">
        <f>IFERROR(VLOOKUP(F2417,CARTON_LOOKUP!$A:$E,4,0),"")</f>
      </c>
      <c r="I2417" s="28">
        <f>IFERROR(VLOOKUP(F2417,CARTON_LOOKUP!$A:$E,5,0),"")</f>
      </c>
      <c r="J2417" s="29">
        <f>IFERROR(VLOOKUP(F2417,CARTON_LOOKUP!$A:$E,2,0),"")</f>
      </c>
      <c r="K2417" s="29">
        <f>IFERROR(J2417*D2417,0)</f>
      </c>
      <c r="L2417" s="29">
        <f>IFERROR(E2417*C2417,0)</f>
      </c>
      <c r="M2417" s="29">
        <f>IFERROR((G2417*H2417*I2417/1000000)*D2417,0)</f>
      </c>
    </row>
    <row r="2418" spans="1:13" x14ac:dyDescent="0.25">
      <c r="A2418" s="16"/>
      <c r="E2418" s="27"/>
      <c r="F2418" t="s">
        <v>26</v>
      </c>
      <c r="G2418" s="28">
        <f>IFERROR(VLOOKUP(F2418,CARTON_LOOKUP!$A:$E,3,0),"")</f>
      </c>
      <c r="H2418" s="28">
        <f>IFERROR(VLOOKUP(F2418,CARTON_LOOKUP!$A:$E,4,0),"")</f>
      </c>
      <c r="I2418" s="28">
        <f>IFERROR(VLOOKUP(F2418,CARTON_LOOKUP!$A:$E,5,0),"")</f>
      </c>
      <c r="J2418" s="29">
        <f>IFERROR(VLOOKUP(F2418,CARTON_LOOKUP!$A:$E,2,0),"")</f>
      </c>
      <c r="K2418" s="29">
        <f>IFERROR(J2418*D2418,0)</f>
      </c>
      <c r="L2418" s="29">
        <f>IFERROR(E2418*C2418,0)</f>
      </c>
      <c r="M2418" s="29">
        <f>IFERROR((G2418*H2418*I2418/1000000)*D2418,0)</f>
      </c>
    </row>
    <row r="2419" spans="1:13" x14ac:dyDescent="0.25">
      <c r="A2419" s="16"/>
      <c r="E2419" s="27"/>
      <c r="F2419" t="s">
        <v>26</v>
      </c>
      <c r="G2419" s="28">
        <f>IFERROR(VLOOKUP(F2419,CARTON_LOOKUP!$A:$E,3,0),"")</f>
      </c>
      <c r="H2419" s="28">
        <f>IFERROR(VLOOKUP(F2419,CARTON_LOOKUP!$A:$E,4,0),"")</f>
      </c>
      <c r="I2419" s="28">
        <f>IFERROR(VLOOKUP(F2419,CARTON_LOOKUP!$A:$E,5,0),"")</f>
      </c>
      <c r="J2419" s="29">
        <f>IFERROR(VLOOKUP(F2419,CARTON_LOOKUP!$A:$E,2,0),"")</f>
      </c>
      <c r="K2419" s="29">
        <f>IFERROR(J2419*D2419,0)</f>
      </c>
      <c r="L2419" s="29">
        <f>IFERROR(E2419*C2419,0)</f>
      </c>
      <c r="M2419" s="29">
        <f>IFERROR((G2419*H2419*I2419/1000000)*D2419,0)</f>
      </c>
    </row>
    <row r="2420" spans="1:13" x14ac:dyDescent="0.25">
      <c r="A2420" s="16"/>
      <c r="E2420" s="27"/>
      <c r="F2420" t="s">
        <v>26</v>
      </c>
      <c r="G2420" s="28">
        <f>IFERROR(VLOOKUP(F2420,CARTON_LOOKUP!$A:$E,3,0),"")</f>
      </c>
      <c r="H2420" s="28">
        <f>IFERROR(VLOOKUP(F2420,CARTON_LOOKUP!$A:$E,4,0),"")</f>
      </c>
      <c r="I2420" s="28">
        <f>IFERROR(VLOOKUP(F2420,CARTON_LOOKUP!$A:$E,5,0),"")</f>
      </c>
      <c r="J2420" s="29">
        <f>IFERROR(VLOOKUP(F2420,CARTON_LOOKUP!$A:$E,2,0),"")</f>
      </c>
      <c r="K2420" s="29">
        <f>IFERROR(J2420*D2420,0)</f>
      </c>
      <c r="L2420" s="29">
        <f>IFERROR(E2420*C2420,0)</f>
      </c>
      <c r="M2420" s="29">
        <f>IFERROR((G2420*H2420*I2420/1000000)*D2420,0)</f>
      </c>
    </row>
    <row r="2421" spans="1:13" x14ac:dyDescent="0.25">
      <c r="A2421" s="16"/>
      <c r="E2421" s="27"/>
      <c r="F2421" t="s">
        <v>26</v>
      </c>
      <c r="G2421" s="28">
        <f>IFERROR(VLOOKUP(F2421,CARTON_LOOKUP!$A:$E,3,0),"")</f>
      </c>
      <c r="H2421" s="28">
        <f>IFERROR(VLOOKUP(F2421,CARTON_LOOKUP!$A:$E,4,0),"")</f>
      </c>
      <c r="I2421" s="28">
        <f>IFERROR(VLOOKUP(F2421,CARTON_LOOKUP!$A:$E,5,0),"")</f>
      </c>
      <c r="J2421" s="29">
        <f>IFERROR(VLOOKUP(F2421,CARTON_LOOKUP!$A:$E,2,0),"")</f>
      </c>
      <c r="K2421" s="29">
        <f>IFERROR(J2421*D2421,0)</f>
      </c>
      <c r="L2421" s="29">
        <f>IFERROR(E2421*C2421,0)</f>
      </c>
      <c r="M2421" s="29">
        <f>IFERROR((G2421*H2421*I2421/1000000)*D2421,0)</f>
      </c>
    </row>
    <row r="2422" spans="1:13" x14ac:dyDescent="0.25">
      <c r="A2422" s="16"/>
      <c r="E2422" s="27"/>
      <c r="F2422" t="s">
        <v>26</v>
      </c>
      <c r="G2422" s="28">
        <f>IFERROR(VLOOKUP(F2422,CARTON_LOOKUP!$A:$E,3,0),"")</f>
      </c>
      <c r="H2422" s="28">
        <f>IFERROR(VLOOKUP(F2422,CARTON_LOOKUP!$A:$E,4,0),"")</f>
      </c>
      <c r="I2422" s="28">
        <f>IFERROR(VLOOKUP(F2422,CARTON_LOOKUP!$A:$E,5,0),"")</f>
      </c>
      <c r="J2422" s="29">
        <f>IFERROR(VLOOKUP(F2422,CARTON_LOOKUP!$A:$E,2,0),"")</f>
      </c>
      <c r="K2422" s="29">
        <f>IFERROR(J2422*D2422,0)</f>
      </c>
      <c r="L2422" s="29">
        <f>IFERROR(E2422*C2422,0)</f>
      </c>
      <c r="M2422" s="29">
        <f>IFERROR((G2422*H2422*I2422/1000000)*D2422,0)</f>
      </c>
    </row>
    <row r="2423" spans="1:13" x14ac:dyDescent="0.25">
      <c r="A2423" s="16"/>
      <c r="E2423" s="27"/>
      <c r="F2423" t="s">
        <v>26</v>
      </c>
      <c r="G2423" s="28">
        <f>IFERROR(VLOOKUP(F2423,CARTON_LOOKUP!$A:$E,3,0),"")</f>
      </c>
      <c r="H2423" s="28">
        <f>IFERROR(VLOOKUP(F2423,CARTON_LOOKUP!$A:$E,4,0),"")</f>
      </c>
      <c r="I2423" s="28">
        <f>IFERROR(VLOOKUP(F2423,CARTON_LOOKUP!$A:$E,5,0),"")</f>
      </c>
      <c r="J2423" s="29">
        <f>IFERROR(VLOOKUP(F2423,CARTON_LOOKUP!$A:$E,2,0),"")</f>
      </c>
      <c r="K2423" s="29">
        <f>IFERROR(J2423*D2423,0)</f>
      </c>
      <c r="L2423" s="29">
        <f>IFERROR(E2423*C2423,0)</f>
      </c>
      <c r="M2423" s="29">
        <f>IFERROR((G2423*H2423*I2423/1000000)*D2423,0)</f>
      </c>
    </row>
    <row r="2424" spans="1:13" x14ac:dyDescent="0.25">
      <c r="A2424" s="16"/>
      <c r="E2424" s="27"/>
      <c r="F2424" t="s">
        <v>26</v>
      </c>
      <c r="G2424" s="28">
        <f>IFERROR(VLOOKUP(F2424,CARTON_LOOKUP!$A:$E,3,0),"")</f>
      </c>
      <c r="H2424" s="28">
        <f>IFERROR(VLOOKUP(F2424,CARTON_LOOKUP!$A:$E,4,0),"")</f>
      </c>
      <c r="I2424" s="28">
        <f>IFERROR(VLOOKUP(F2424,CARTON_LOOKUP!$A:$E,5,0),"")</f>
      </c>
      <c r="J2424" s="29">
        <f>IFERROR(VLOOKUP(F2424,CARTON_LOOKUP!$A:$E,2,0),"")</f>
      </c>
      <c r="K2424" s="29">
        <f>IFERROR(J2424*D2424,0)</f>
      </c>
      <c r="L2424" s="29">
        <f>IFERROR(E2424*C2424,0)</f>
      </c>
      <c r="M2424" s="29">
        <f>IFERROR((G2424*H2424*I2424/1000000)*D2424,0)</f>
      </c>
    </row>
    <row r="2425" spans="1:13" x14ac:dyDescent="0.25">
      <c r="A2425" s="16"/>
      <c r="E2425" s="27"/>
      <c r="F2425" t="s">
        <v>26</v>
      </c>
      <c r="G2425" s="28">
        <f>IFERROR(VLOOKUP(F2425,CARTON_LOOKUP!$A:$E,3,0),"")</f>
      </c>
      <c r="H2425" s="28">
        <f>IFERROR(VLOOKUP(F2425,CARTON_LOOKUP!$A:$E,4,0),"")</f>
      </c>
      <c r="I2425" s="28">
        <f>IFERROR(VLOOKUP(F2425,CARTON_LOOKUP!$A:$E,5,0),"")</f>
      </c>
      <c r="J2425" s="29">
        <f>IFERROR(VLOOKUP(F2425,CARTON_LOOKUP!$A:$E,2,0),"")</f>
      </c>
      <c r="K2425" s="29">
        <f>IFERROR(J2425*D2425,0)</f>
      </c>
      <c r="L2425" s="29">
        <f>IFERROR(E2425*C2425,0)</f>
      </c>
      <c r="M2425" s="29">
        <f>IFERROR((G2425*H2425*I2425/1000000)*D2425,0)</f>
      </c>
    </row>
    <row r="2426" spans="1:13" x14ac:dyDescent="0.25">
      <c r="A2426" s="16"/>
      <c r="E2426" s="27"/>
      <c r="F2426" t="s">
        <v>26</v>
      </c>
      <c r="G2426" s="28">
        <f>IFERROR(VLOOKUP(F2426,CARTON_LOOKUP!$A:$E,3,0),"")</f>
      </c>
      <c r="H2426" s="28">
        <f>IFERROR(VLOOKUP(F2426,CARTON_LOOKUP!$A:$E,4,0),"")</f>
      </c>
      <c r="I2426" s="28">
        <f>IFERROR(VLOOKUP(F2426,CARTON_LOOKUP!$A:$E,5,0),"")</f>
      </c>
      <c r="J2426" s="29">
        <f>IFERROR(VLOOKUP(F2426,CARTON_LOOKUP!$A:$E,2,0),"")</f>
      </c>
      <c r="K2426" s="29">
        <f>IFERROR(J2426*D2426,0)</f>
      </c>
      <c r="L2426" s="29">
        <f>IFERROR(E2426*C2426,0)</f>
      </c>
      <c r="M2426" s="29">
        <f>IFERROR((G2426*H2426*I2426/1000000)*D2426,0)</f>
      </c>
    </row>
    <row r="2427" spans="1:13" x14ac:dyDescent="0.25">
      <c r="A2427" s="16"/>
      <c r="E2427" s="27"/>
      <c r="F2427" t="s">
        <v>26</v>
      </c>
      <c r="G2427" s="28">
        <f>IFERROR(VLOOKUP(F2427,CARTON_LOOKUP!$A:$E,3,0),"")</f>
      </c>
      <c r="H2427" s="28">
        <f>IFERROR(VLOOKUP(F2427,CARTON_LOOKUP!$A:$E,4,0),"")</f>
      </c>
      <c r="I2427" s="28">
        <f>IFERROR(VLOOKUP(F2427,CARTON_LOOKUP!$A:$E,5,0),"")</f>
      </c>
      <c r="J2427" s="29">
        <f>IFERROR(VLOOKUP(F2427,CARTON_LOOKUP!$A:$E,2,0),"")</f>
      </c>
      <c r="K2427" s="29">
        <f>IFERROR(J2427*D2427,0)</f>
      </c>
      <c r="L2427" s="29">
        <f>IFERROR(E2427*C2427,0)</f>
      </c>
      <c r="M2427" s="29">
        <f>IFERROR((G2427*H2427*I2427/1000000)*D2427,0)</f>
      </c>
    </row>
    <row r="2428" spans="1:13" x14ac:dyDescent="0.25">
      <c r="A2428" s="16"/>
      <c r="E2428" s="27"/>
      <c r="F2428" t="s">
        <v>26</v>
      </c>
      <c r="G2428" s="28">
        <f>IFERROR(VLOOKUP(F2428,CARTON_LOOKUP!$A:$E,3,0),"")</f>
      </c>
      <c r="H2428" s="28">
        <f>IFERROR(VLOOKUP(F2428,CARTON_LOOKUP!$A:$E,4,0),"")</f>
      </c>
      <c r="I2428" s="28">
        <f>IFERROR(VLOOKUP(F2428,CARTON_LOOKUP!$A:$E,5,0),"")</f>
      </c>
      <c r="J2428" s="29">
        <f>IFERROR(VLOOKUP(F2428,CARTON_LOOKUP!$A:$E,2,0),"")</f>
      </c>
      <c r="K2428" s="29">
        <f>IFERROR(J2428*D2428,0)</f>
      </c>
      <c r="L2428" s="29">
        <f>IFERROR(E2428*C2428,0)</f>
      </c>
      <c r="M2428" s="29">
        <f>IFERROR((G2428*H2428*I2428/1000000)*D2428,0)</f>
      </c>
    </row>
    <row r="2429" spans="1:13" x14ac:dyDescent="0.25">
      <c r="A2429" s="16"/>
      <c r="E2429" s="27"/>
      <c r="F2429" t="s">
        <v>26</v>
      </c>
      <c r="G2429" s="28">
        <f>IFERROR(VLOOKUP(F2429,CARTON_LOOKUP!$A:$E,3,0),"")</f>
      </c>
      <c r="H2429" s="28">
        <f>IFERROR(VLOOKUP(F2429,CARTON_LOOKUP!$A:$E,4,0),"")</f>
      </c>
      <c r="I2429" s="28">
        <f>IFERROR(VLOOKUP(F2429,CARTON_LOOKUP!$A:$E,5,0),"")</f>
      </c>
      <c r="J2429" s="29">
        <f>IFERROR(VLOOKUP(F2429,CARTON_LOOKUP!$A:$E,2,0),"")</f>
      </c>
      <c r="K2429" s="29">
        <f>IFERROR(J2429*D2429,0)</f>
      </c>
      <c r="L2429" s="29">
        <f>IFERROR(E2429*C2429,0)</f>
      </c>
      <c r="M2429" s="29">
        <f>IFERROR((G2429*H2429*I2429/1000000)*D2429,0)</f>
      </c>
    </row>
    <row r="2430" spans="1:13" x14ac:dyDescent="0.25">
      <c r="A2430" s="16"/>
      <c r="E2430" s="27"/>
      <c r="F2430" t="s">
        <v>26</v>
      </c>
      <c r="G2430" s="28">
        <f>IFERROR(VLOOKUP(F2430,CARTON_LOOKUP!$A:$E,3,0),"")</f>
      </c>
      <c r="H2430" s="28">
        <f>IFERROR(VLOOKUP(F2430,CARTON_LOOKUP!$A:$E,4,0),"")</f>
      </c>
      <c r="I2430" s="28">
        <f>IFERROR(VLOOKUP(F2430,CARTON_LOOKUP!$A:$E,5,0),"")</f>
      </c>
      <c r="J2430" s="29">
        <f>IFERROR(VLOOKUP(F2430,CARTON_LOOKUP!$A:$E,2,0),"")</f>
      </c>
      <c r="K2430" s="29">
        <f>IFERROR(J2430*D2430,0)</f>
      </c>
      <c r="L2430" s="29">
        <f>IFERROR(E2430*C2430,0)</f>
      </c>
      <c r="M2430" s="29">
        <f>IFERROR((G2430*H2430*I2430/1000000)*D2430,0)</f>
      </c>
    </row>
    <row r="2431" spans="1:13" x14ac:dyDescent="0.25">
      <c r="A2431" s="16"/>
      <c r="E2431" s="27"/>
      <c r="F2431" t="s">
        <v>26</v>
      </c>
      <c r="G2431" s="28">
        <f>IFERROR(VLOOKUP(F2431,CARTON_LOOKUP!$A:$E,3,0),"")</f>
      </c>
      <c r="H2431" s="28">
        <f>IFERROR(VLOOKUP(F2431,CARTON_LOOKUP!$A:$E,4,0),"")</f>
      </c>
      <c r="I2431" s="28">
        <f>IFERROR(VLOOKUP(F2431,CARTON_LOOKUP!$A:$E,5,0),"")</f>
      </c>
      <c r="J2431" s="29">
        <f>IFERROR(VLOOKUP(F2431,CARTON_LOOKUP!$A:$E,2,0),"")</f>
      </c>
      <c r="K2431" s="29">
        <f>IFERROR(J2431*D2431,0)</f>
      </c>
      <c r="L2431" s="29">
        <f>IFERROR(E2431*C2431,0)</f>
      </c>
      <c r="M2431" s="29">
        <f>IFERROR((G2431*H2431*I2431/1000000)*D2431,0)</f>
      </c>
    </row>
    <row r="2432" spans="1:13" x14ac:dyDescent="0.25">
      <c r="A2432" s="16"/>
      <c r="E2432" s="27"/>
      <c r="F2432" t="s">
        <v>26</v>
      </c>
      <c r="G2432" s="28">
        <f>IFERROR(VLOOKUP(F2432,CARTON_LOOKUP!$A:$E,3,0),"")</f>
      </c>
      <c r="H2432" s="28">
        <f>IFERROR(VLOOKUP(F2432,CARTON_LOOKUP!$A:$E,4,0),"")</f>
      </c>
      <c r="I2432" s="28">
        <f>IFERROR(VLOOKUP(F2432,CARTON_LOOKUP!$A:$E,5,0),"")</f>
      </c>
      <c r="J2432" s="29">
        <f>IFERROR(VLOOKUP(F2432,CARTON_LOOKUP!$A:$E,2,0),"")</f>
      </c>
      <c r="K2432" s="29">
        <f>IFERROR(J2432*D2432,0)</f>
      </c>
      <c r="L2432" s="29">
        <f>IFERROR(E2432*C2432,0)</f>
      </c>
      <c r="M2432" s="29">
        <f>IFERROR((G2432*H2432*I2432/1000000)*D2432,0)</f>
      </c>
    </row>
    <row r="2433" spans="1:13" x14ac:dyDescent="0.25">
      <c r="A2433" s="16"/>
      <c r="E2433" s="27"/>
      <c r="F2433" t="s">
        <v>26</v>
      </c>
      <c r="G2433" s="28">
        <f>IFERROR(VLOOKUP(F2433,CARTON_LOOKUP!$A:$E,3,0),"")</f>
      </c>
      <c r="H2433" s="28">
        <f>IFERROR(VLOOKUP(F2433,CARTON_LOOKUP!$A:$E,4,0),"")</f>
      </c>
      <c r="I2433" s="28">
        <f>IFERROR(VLOOKUP(F2433,CARTON_LOOKUP!$A:$E,5,0),"")</f>
      </c>
      <c r="J2433" s="29">
        <f>IFERROR(VLOOKUP(F2433,CARTON_LOOKUP!$A:$E,2,0),"")</f>
      </c>
      <c r="K2433" s="29">
        <f>IFERROR(J2433*D2433,0)</f>
      </c>
      <c r="L2433" s="29">
        <f>IFERROR(E2433*C2433,0)</f>
      </c>
      <c r="M2433" s="29">
        <f>IFERROR((G2433*H2433*I2433/1000000)*D2433,0)</f>
      </c>
    </row>
    <row r="2434" spans="1:13" x14ac:dyDescent="0.25">
      <c r="A2434" s="16"/>
      <c r="E2434" s="27"/>
      <c r="F2434" t="s">
        <v>26</v>
      </c>
      <c r="G2434" s="28">
        <f>IFERROR(VLOOKUP(F2434,CARTON_LOOKUP!$A:$E,3,0),"")</f>
      </c>
      <c r="H2434" s="28">
        <f>IFERROR(VLOOKUP(F2434,CARTON_LOOKUP!$A:$E,4,0),"")</f>
      </c>
      <c r="I2434" s="28">
        <f>IFERROR(VLOOKUP(F2434,CARTON_LOOKUP!$A:$E,5,0),"")</f>
      </c>
      <c r="J2434" s="29">
        <f>IFERROR(VLOOKUP(F2434,CARTON_LOOKUP!$A:$E,2,0),"")</f>
      </c>
      <c r="K2434" s="29">
        <f>IFERROR(J2434*D2434,0)</f>
      </c>
      <c r="L2434" s="29">
        <f>IFERROR(E2434*C2434,0)</f>
      </c>
      <c r="M2434" s="29">
        <f>IFERROR((G2434*H2434*I2434/1000000)*D2434,0)</f>
      </c>
    </row>
    <row r="2435" spans="1:13" x14ac:dyDescent="0.25">
      <c r="A2435" s="16"/>
      <c r="E2435" s="27"/>
      <c r="F2435" t="s">
        <v>26</v>
      </c>
      <c r="G2435" s="28">
        <f>IFERROR(VLOOKUP(F2435,CARTON_LOOKUP!$A:$E,3,0),"")</f>
      </c>
      <c r="H2435" s="28">
        <f>IFERROR(VLOOKUP(F2435,CARTON_LOOKUP!$A:$E,4,0),"")</f>
      </c>
      <c r="I2435" s="28">
        <f>IFERROR(VLOOKUP(F2435,CARTON_LOOKUP!$A:$E,5,0),"")</f>
      </c>
      <c r="J2435" s="29">
        <f>IFERROR(VLOOKUP(F2435,CARTON_LOOKUP!$A:$E,2,0),"")</f>
      </c>
      <c r="K2435" s="29">
        <f>IFERROR(J2435*D2435,0)</f>
      </c>
      <c r="L2435" s="29">
        <f>IFERROR(E2435*C2435,0)</f>
      </c>
      <c r="M2435" s="29">
        <f>IFERROR((G2435*H2435*I2435/1000000)*D2435,0)</f>
      </c>
    </row>
    <row r="2436" spans="1:13" x14ac:dyDescent="0.25">
      <c r="A2436" s="16"/>
      <c r="E2436" s="27"/>
      <c r="F2436" t="s">
        <v>26</v>
      </c>
      <c r="G2436" s="28">
        <f>IFERROR(VLOOKUP(F2436,CARTON_LOOKUP!$A:$E,3,0),"")</f>
      </c>
      <c r="H2436" s="28">
        <f>IFERROR(VLOOKUP(F2436,CARTON_LOOKUP!$A:$E,4,0),"")</f>
      </c>
      <c r="I2436" s="28">
        <f>IFERROR(VLOOKUP(F2436,CARTON_LOOKUP!$A:$E,5,0),"")</f>
      </c>
      <c r="J2436" s="29">
        <f>IFERROR(VLOOKUP(F2436,CARTON_LOOKUP!$A:$E,2,0),"")</f>
      </c>
      <c r="K2436" s="29">
        <f>IFERROR(J2436*D2436,0)</f>
      </c>
      <c r="L2436" s="29">
        <f>IFERROR(E2436*C2436,0)</f>
      </c>
      <c r="M2436" s="29">
        <f>IFERROR((G2436*H2436*I2436/1000000)*D2436,0)</f>
      </c>
    </row>
    <row r="2437" spans="1:13" x14ac:dyDescent="0.25">
      <c r="A2437" s="16"/>
      <c r="E2437" s="27"/>
      <c r="F2437" t="s">
        <v>26</v>
      </c>
      <c r="G2437" s="28">
        <f>IFERROR(VLOOKUP(F2437,CARTON_LOOKUP!$A:$E,3,0),"")</f>
      </c>
      <c r="H2437" s="28">
        <f>IFERROR(VLOOKUP(F2437,CARTON_LOOKUP!$A:$E,4,0),"")</f>
      </c>
      <c r="I2437" s="28">
        <f>IFERROR(VLOOKUP(F2437,CARTON_LOOKUP!$A:$E,5,0),"")</f>
      </c>
      <c r="J2437" s="29">
        <f>IFERROR(VLOOKUP(F2437,CARTON_LOOKUP!$A:$E,2,0),"")</f>
      </c>
      <c r="K2437" s="29">
        <f>IFERROR(J2437*D2437,0)</f>
      </c>
      <c r="L2437" s="29">
        <f>IFERROR(E2437*C2437,0)</f>
      </c>
      <c r="M2437" s="29">
        <f>IFERROR((G2437*H2437*I2437/1000000)*D2437,0)</f>
      </c>
    </row>
    <row r="2438" spans="1:13" x14ac:dyDescent="0.25">
      <c r="A2438" s="16"/>
      <c r="E2438" s="27"/>
      <c r="F2438" t="s">
        <v>26</v>
      </c>
      <c r="G2438" s="28">
        <f>IFERROR(VLOOKUP(F2438,CARTON_LOOKUP!$A:$E,3,0),"")</f>
      </c>
      <c r="H2438" s="28">
        <f>IFERROR(VLOOKUP(F2438,CARTON_LOOKUP!$A:$E,4,0),"")</f>
      </c>
      <c r="I2438" s="28">
        <f>IFERROR(VLOOKUP(F2438,CARTON_LOOKUP!$A:$E,5,0),"")</f>
      </c>
      <c r="J2438" s="29">
        <f>IFERROR(VLOOKUP(F2438,CARTON_LOOKUP!$A:$E,2,0),"")</f>
      </c>
      <c r="K2438" s="29">
        <f>IFERROR(J2438*D2438,0)</f>
      </c>
      <c r="L2438" s="29">
        <f>IFERROR(E2438*C2438,0)</f>
      </c>
      <c r="M2438" s="29">
        <f>IFERROR((G2438*H2438*I2438/1000000)*D2438,0)</f>
      </c>
    </row>
    <row r="2439" spans="1:13" x14ac:dyDescent="0.25">
      <c r="A2439" s="16"/>
      <c r="E2439" s="27"/>
      <c r="F2439" t="s">
        <v>26</v>
      </c>
      <c r="G2439" s="28">
        <f>IFERROR(VLOOKUP(F2439,CARTON_LOOKUP!$A:$E,3,0),"")</f>
      </c>
      <c r="H2439" s="28">
        <f>IFERROR(VLOOKUP(F2439,CARTON_LOOKUP!$A:$E,4,0),"")</f>
      </c>
      <c r="I2439" s="28">
        <f>IFERROR(VLOOKUP(F2439,CARTON_LOOKUP!$A:$E,5,0),"")</f>
      </c>
      <c r="J2439" s="29">
        <f>IFERROR(VLOOKUP(F2439,CARTON_LOOKUP!$A:$E,2,0),"")</f>
      </c>
      <c r="K2439" s="29">
        <f>IFERROR(J2439*D2439,0)</f>
      </c>
      <c r="L2439" s="29">
        <f>IFERROR(E2439*C2439,0)</f>
      </c>
      <c r="M2439" s="29">
        <f>IFERROR((G2439*H2439*I2439/1000000)*D2439,0)</f>
      </c>
    </row>
    <row r="2440" spans="1:13" x14ac:dyDescent="0.25">
      <c r="A2440" s="16"/>
      <c r="E2440" s="27"/>
      <c r="F2440" t="s">
        <v>26</v>
      </c>
      <c r="G2440" s="28">
        <f>IFERROR(VLOOKUP(F2440,CARTON_LOOKUP!$A:$E,3,0),"")</f>
      </c>
      <c r="H2440" s="28">
        <f>IFERROR(VLOOKUP(F2440,CARTON_LOOKUP!$A:$E,4,0),"")</f>
      </c>
      <c r="I2440" s="28">
        <f>IFERROR(VLOOKUP(F2440,CARTON_LOOKUP!$A:$E,5,0),"")</f>
      </c>
      <c r="J2440" s="29">
        <f>IFERROR(VLOOKUP(F2440,CARTON_LOOKUP!$A:$E,2,0),"")</f>
      </c>
      <c r="K2440" s="29">
        <f>IFERROR(J2440*D2440,0)</f>
      </c>
      <c r="L2440" s="29">
        <f>IFERROR(E2440*C2440,0)</f>
      </c>
      <c r="M2440" s="29">
        <f>IFERROR((G2440*H2440*I2440/1000000)*D2440,0)</f>
      </c>
    </row>
    <row r="2441" spans="1:13" x14ac:dyDescent="0.25">
      <c r="A2441" s="16"/>
      <c r="E2441" s="27"/>
      <c r="F2441" t="s">
        <v>26</v>
      </c>
      <c r="G2441" s="28">
        <f>IFERROR(VLOOKUP(F2441,CARTON_LOOKUP!$A:$E,3,0),"")</f>
      </c>
      <c r="H2441" s="28">
        <f>IFERROR(VLOOKUP(F2441,CARTON_LOOKUP!$A:$E,4,0),"")</f>
      </c>
      <c r="I2441" s="28">
        <f>IFERROR(VLOOKUP(F2441,CARTON_LOOKUP!$A:$E,5,0),"")</f>
      </c>
      <c r="J2441" s="29">
        <f>IFERROR(VLOOKUP(F2441,CARTON_LOOKUP!$A:$E,2,0),"")</f>
      </c>
      <c r="K2441" s="29">
        <f>IFERROR(J2441*D2441,0)</f>
      </c>
      <c r="L2441" s="29">
        <f>IFERROR(E2441*C2441,0)</f>
      </c>
      <c r="M2441" s="29">
        <f>IFERROR((G2441*H2441*I2441/1000000)*D2441,0)</f>
      </c>
    </row>
    <row r="2442" spans="1:13" x14ac:dyDescent="0.25">
      <c r="A2442" s="16"/>
      <c r="E2442" s="27"/>
      <c r="F2442" t="s">
        <v>26</v>
      </c>
      <c r="G2442" s="28">
        <f>IFERROR(VLOOKUP(F2442,CARTON_LOOKUP!$A:$E,3,0),"")</f>
      </c>
      <c r="H2442" s="28">
        <f>IFERROR(VLOOKUP(F2442,CARTON_LOOKUP!$A:$E,4,0),"")</f>
      </c>
      <c r="I2442" s="28">
        <f>IFERROR(VLOOKUP(F2442,CARTON_LOOKUP!$A:$E,5,0),"")</f>
      </c>
      <c r="J2442" s="29">
        <f>IFERROR(VLOOKUP(F2442,CARTON_LOOKUP!$A:$E,2,0),"")</f>
      </c>
      <c r="K2442" s="29">
        <f>IFERROR(J2442*D2442,0)</f>
      </c>
      <c r="L2442" s="29">
        <f>IFERROR(E2442*C2442,0)</f>
      </c>
      <c r="M2442" s="29">
        <f>IFERROR((G2442*H2442*I2442/1000000)*D2442,0)</f>
      </c>
    </row>
    <row r="2443" spans="1:13" x14ac:dyDescent="0.25">
      <c r="A2443" s="16"/>
      <c r="E2443" s="27"/>
      <c r="F2443" t="s">
        <v>26</v>
      </c>
      <c r="G2443" s="28">
        <f>IFERROR(VLOOKUP(F2443,CARTON_LOOKUP!$A:$E,3,0),"")</f>
      </c>
      <c r="H2443" s="28">
        <f>IFERROR(VLOOKUP(F2443,CARTON_LOOKUP!$A:$E,4,0),"")</f>
      </c>
      <c r="I2443" s="28">
        <f>IFERROR(VLOOKUP(F2443,CARTON_LOOKUP!$A:$E,5,0),"")</f>
      </c>
      <c r="J2443" s="29">
        <f>IFERROR(VLOOKUP(F2443,CARTON_LOOKUP!$A:$E,2,0),"")</f>
      </c>
      <c r="K2443" s="29">
        <f>IFERROR(J2443*D2443,0)</f>
      </c>
      <c r="L2443" s="29">
        <f>IFERROR(E2443*C2443,0)</f>
      </c>
      <c r="M2443" s="29">
        <f>IFERROR((G2443*H2443*I2443/1000000)*D2443,0)</f>
      </c>
    </row>
    <row r="2444" spans="1:13" x14ac:dyDescent="0.25">
      <c r="A2444" s="16"/>
      <c r="E2444" s="27"/>
      <c r="F2444" t="s">
        <v>26</v>
      </c>
      <c r="G2444" s="28">
        <f>IFERROR(VLOOKUP(F2444,CARTON_LOOKUP!$A:$E,3,0),"")</f>
      </c>
      <c r="H2444" s="28">
        <f>IFERROR(VLOOKUP(F2444,CARTON_LOOKUP!$A:$E,4,0),"")</f>
      </c>
      <c r="I2444" s="28">
        <f>IFERROR(VLOOKUP(F2444,CARTON_LOOKUP!$A:$E,5,0),"")</f>
      </c>
      <c r="J2444" s="29">
        <f>IFERROR(VLOOKUP(F2444,CARTON_LOOKUP!$A:$E,2,0),"")</f>
      </c>
      <c r="K2444" s="29">
        <f>IFERROR(J2444*D2444,0)</f>
      </c>
      <c r="L2444" s="29">
        <f>IFERROR(E2444*C2444,0)</f>
      </c>
      <c r="M2444" s="29">
        <f>IFERROR((G2444*H2444*I2444/1000000)*D2444,0)</f>
      </c>
    </row>
    <row r="2445" spans="1:13" x14ac:dyDescent="0.25">
      <c r="A2445" s="16"/>
      <c r="E2445" s="27"/>
      <c r="F2445" t="s">
        <v>26</v>
      </c>
      <c r="G2445" s="28">
        <f>IFERROR(VLOOKUP(F2445,CARTON_LOOKUP!$A:$E,3,0),"")</f>
      </c>
      <c r="H2445" s="28">
        <f>IFERROR(VLOOKUP(F2445,CARTON_LOOKUP!$A:$E,4,0),"")</f>
      </c>
      <c r="I2445" s="28">
        <f>IFERROR(VLOOKUP(F2445,CARTON_LOOKUP!$A:$E,5,0),"")</f>
      </c>
      <c r="J2445" s="29">
        <f>IFERROR(VLOOKUP(F2445,CARTON_LOOKUP!$A:$E,2,0),"")</f>
      </c>
      <c r="K2445" s="29">
        <f>IFERROR(J2445*D2445,0)</f>
      </c>
      <c r="L2445" s="29">
        <f>IFERROR(E2445*C2445,0)</f>
      </c>
      <c r="M2445" s="29">
        <f>IFERROR((G2445*H2445*I2445/1000000)*D2445,0)</f>
      </c>
    </row>
    <row r="2446" spans="1:13" x14ac:dyDescent="0.25">
      <c r="A2446" s="16"/>
      <c r="E2446" s="27"/>
      <c r="F2446" t="s">
        <v>26</v>
      </c>
      <c r="G2446" s="28">
        <f>IFERROR(VLOOKUP(F2446,CARTON_LOOKUP!$A:$E,3,0),"")</f>
      </c>
      <c r="H2446" s="28">
        <f>IFERROR(VLOOKUP(F2446,CARTON_LOOKUP!$A:$E,4,0),"")</f>
      </c>
      <c r="I2446" s="28">
        <f>IFERROR(VLOOKUP(F2446,CARTON_LOOKUP!$A:$E,5,0),"")</f>
      </c>
      <c r="J2446" s="29">
        <f>IFERROR(VLOOKUP(F2446,CARTON_LOOKUP!$A:$E,2,0),"")</f>
      </c>
      <c r="K2446" s="29">
        <f>IFERROR(J2446*D2446,0)</f>
      </c>
      <c r="L2446" s="29">
        <f>IFERROR(E2446*C2446,0)</f>
      </c>
      <c r="M2446" s="29">
        <f>IFERROR((G2446*H2446*I2446/1000000)*D2446,0)</f>
      </c>
    </row>
    <row r="2447" spans="1:13" x14ac:dyDescent="0.25">
      <c r="A2447" s="16"/>
      <c r="E2447" s="27"/>
      <c r="F2447" t="s">
        <v>26</v>
      </c>
      <c r="G2447" s="28">
        <f>IFERROR(VLOOKUP(F2447,CARTON_LOOKUP!$A:$E,3,0),"")</f>
      </c>
      <c r="H2447" s="28">
        <f>IFERROR(VLOOKUP(F2447,CARTON_LOOKUP!$A:$E,4,0),"")</f>
      </c>
      <c r="I2447" s="28">
        <f>IFERROR(VLOOKUP(F2447,CARTON_LOOKUP!$A:$E,5,0),"")</f>
      </c>
      <c r="J2447" s="29">
        <f>IFERROR(VLOOKUP(F2447,CARTON_LOOKUP!$A:$E,2,0),"")</f>
      </c>
      <c r="K2447" s="29">
        <f>IFERROR(J2447*D2447,0)</f>
      </c>
      <c r="L2447" s="29">
        <f>IFERROR(E2447*C2447,0)</f>
      </c>
      <c r="M2447" s="29">
        <f>IFERROR((G2447*H2447*I2447/1000000)*D2447,0)</f>
      </c>
    </row>
    <row r="2448" spans="1:13" x14ac:dyDescent="0.25">
      <c r="A2448" s="16"/>
      <c r="E2448" s="27"/>
      <c r="F2448" t="s">
        <v>26</v>
      </c>
      <c r="G2448" s="28">
        <f>IFERROR(VLOOKUP(F2448,CARTON_LOOKUP!$A:$E,3,0),"")</f>
      </c>
      <c r="H2448" s="28">
        <f>IFERROR(VLOOKUP(F2448,CARTON_LOOKUP!$A:$E,4,0),"")</f>
      </c>
      <c r="I2448" s="28">
        <f>IFERROR(VLOOKUP(F2448,CARTON_LOOKUP!$A:$E,5,0),"")</f>
      </c>
      <c r="J2448" s="29">
        <f>IFERROR(VLOOKUP(F2448,CARTON_LOOKUP!$A:$E,2,0),"")</f>
      </c>
      <c r="K2448" s="29">
        <f>IFERROR(J2448*D2448,0)</f>
      </c>
      <c r="L2448" s="29">
        <f>IFERROR(E2448*C2448,0)</f>
      </c>
      <c r="M2448" s="29">
        <f>IFERROR((G2448*H2448*I2448/1000000)*D2448,0)</f>
      </c>
    </row>
    <row r="2449" spans="1:13" x14ac:dyDescent="0.25">
      <c r="A2449" s="16"/>
      <c r="E2449" s="27"/>
      <c r="F2449" t="s">
        <v>26</v>
      </c>
      <c r="G2449" s="28">
        <f>IFERROR(VLOOKUP(F2449,CARTON_LOOKUP!$A:$E,3,0),"")</f>
      </c>
      <c r="H2449" s="28">
        <f>IFERROR(VLOOKUP(F2449,CARTON_LOOKUP!$A:$E,4,0),"")</f>
      </c>
      <c r="I2449" s="28">
        <f>IFERROR(VLOOKUP(F2449,CARTON_LOOKUP!$A:$E,5,0),"")</f>
      </c>
      <c r="J2449" s="29">
        <f>IFERROR(VLOOKUP(F2449,CARTON_LOOKUP!$A:$E,2,0),"")</f>
      </c>
      <c r="K2449" s="29">
        <f>IFERROR(J2449*D2449,0)</f>
      </c>
      <c r="L2449" s="29">
        <f>IFERROR(E2449*C2449,0)</f>
      </c>
      <c r="M2449" s="29">
        <f>IFERROR((G2449*H2449*I2449/1000000)*D2449,0)</f>
      </c>
    </row>
    <row r="2450" spans="1:13" x14ac:dyDescent="0.25">
      <c r="A2450" s="16"/>
      <c r="E2450" s="27"/>
      <c r="F2450" t="s">
        <v>26</v>
      </c>
      <c r="G2450" s="28">
        <f>IFERROR(VLOOKUP(F2450,CARTON_LOOKUP!$A:$E,3,0),"")</f>
      </c>
      <c r="H2450" s="28">
        <f>IFERROR(VLOOKUP(F2450,CARTON_LOOKUP!$A:$E,4,0),"")</f>
      </c>
      <c r="I2450" s="28">
        <f>IFERROR(VLOOKUP(F2450,CARTON_LOOKUP!$A:$E,5,0),"")</f>
      </c>
      <c r="J2450" s="29">
        <f>IFERROR(VLOOKUP(F2450,CARTON_LOOKUP!$A:$E,2,0),"")</f>
      </c>
      <c r="K2450" s="29">
        <f>IFERROR(J2450*D2450,0)</f>
      </c>
      <c r="L2450" s="29">
        <f>IFERROR(E2450*C2450,0)</f>
      </c>
      <c r="M2450" s="29">
        <f>IFERROR((G2450*H2450*I2450/1000000)*D2450,0)</f>
      </c>
    </row>
    <row r="2451" spans="1:13" x14ac:dyDescent="0.25">
      <c r="A2451" s="16"/>
      <c r="E2451" s="27"/>
      <c r="F2451" t="s">
        <v>26</v>
      </c>
      <c r="G2451" s="28">
        <f>IFERROR(VLOOKUP(F2451,CARTON_LOOKUP!$A:$E,3,0),"")</f>
      </c>
      <c r="H2451" s="28">
        <f>IFERROR(VLOOKUP(F2451,CARTON_LOOKUP!$A:$E,4,0),"")</f>
      </c>
      <c r="I2451" s="28">
        <f>IFERROR(VLOOKUP(F2451,CARTON_LOOKUP!$A:$E,5,0),"")</f>
      </c>
      <c r="J2451" s="29">
        <f>IFERROR(VLOOKUP(F2451,CARTON_LOOKUP!$A:$E,2,0),"")</f>
      </c>
      <c r="K2451" s="29">
        <f>IFERROR(J2451*D2451,0)</f>
      </c>
      <c r="L2451" s="29">
        <f>IFERROR(E2451*C2451,0)</f>
      </c>
      <c r="M2451" s="29">
        <f>IFERROR((G2451*H2451*I2451/1000000)*D2451,0)</f>
      </c>
    </row>
    <row r="2452" spans="1:13" x14ac:dyDescent="0.25">
      <c r="A2452" s="16"/>
      <c r="E2452" s="27"/>
      <c r="F2452" t="s">
        <v>26</v>
      </c>
      <c r="G2452" s="28">
        <f>IFERROR(VLOOKUP(F2452,CARTON_LOOKUP!$A:$E,3,0),"")</f>
      </c>
      <c r="H2452" s="28">
        <f>IFERROR(VLOOKUP(F2452,CARTON_LOOKUP!$A:$E,4,0),"")</f>
      </c>
      <c r="I2452" s="28">
        <f>IFERROR(VLOOKUP(F2452,CARTON_LOOKUP!$A:$E,5,0),"")</f>
      </c>
      <c r="J2452" s="29">
        <f>IFERROR(VLOOKUP(F2452,CARTON_LOOKUP!$A:$E,2,0),"")</f>
      </c>
      <c r="K2452" s="29">
        <f>IFERROR(J2452*D2452,0)</f>
      </c>
      <c r="L2452" s="29">
        <f>IFERROR(E2452*C2452,0)</f>
      </c>
      <c r="M2452" s="29">
        <f>IFERROR((G2452*H2452*I2452/1000000)*D2452,0)</f>
      </c>
    </row>
    <row r="2453" spans="1:13" x14ac:dyDescent="0.25">
      <c r="A2453" s="16"/>
      <c r="E2453" s="27"/>
      <c r="F2453" t="s">
        <v>26</v>
      </c>
      <c r="G2453" s="28">
        <f>IFERROR(VLOOKUP(F2453,CARTON_LOOKUP!$A:$E,3,0),"")</f>
      </c>
      <c r="H2453" s="28">
        <f>IFERROR(VLOOKUP(F2453,CARTON_LOOKUP!$A:$E,4,0),"")</f>
      </c>
      <c r="I2453" s="28">
        <f>IFERROR(VLOOKUP(F2453,CARTON_LOOKUP!$A:$E,5,0),"")</f>
      </c>
      <c r="J2453" s="29">
        <f>IFERROR(VLOOKUP(F2453,CARTON_LOOKUP!$A:$E,2,0),"")</f>
      </c>
      <c r="K2453" s="29">
        <f>IFERROR(J2453*D2453,0)</f>
      </c>
      <c r="L2453" s="29">
        <f>IFERROR(E2453*C2453,0)</f>
      </c>
      <c r="M2453" s="29">
        <f>IFERROR((G2453*H2453*I2453/1000000)*D2453,0)</f>
      </c>
    </row>
    <row r="2454" spans="1:13" x14ac:dyDescent="0.25">
      <c r="A2454" s="16"/>
      <c r="E2454" s="27"/>
      <c r="F2454" t="s">
        <v>26</v>
      </c>
      <c r="G2454" s="28">
        <f>IFERROR(VLOOKUP(F2454,CARTON_LOOKUP!$A:$E,3,0),"")</f>
      </c>
      <c r="H2454" s="28">
        <f>IFERROR(VLOOKUP(F2454,CARTON_LOOKUP!$A:$E,4,0),"")</f>
      </c>
      <c r="I2454" s="28">
        <f>IFERROR(VLOOKUP(F2454,CARTON_LOOKUP!$A:$E,5,0),"")</f>
      </c>
      <c r="J2454" s="29">
        <f>IFERROR(VLOOKUP(F2454,CARTON_LOOKUP!$A:$E,2,0),"")</f>
      </c>
      <c r="K2454" s="29">
        <f>IFERROR(J2454*D2454,0)</f>
      </c>
      <c r="L2454" s="29">
        <f>IFERROR(E2454*C2454,0)</f>
      </c>
      <c r="M2454" s="29">
        <f>IFERROR((G2454*H2454*I2454/1000000)*D2454,0)</f>
      </c>
    </row>
    <row r="2455" spans="1:13" x14ac:dyDescent="0.25">
      <c r="A2455" s="16"/>
      <c r="E2455" s="27"/>
      <c r="F2455" t="s">
        <v>26</v>
      </c>
      <c r="G2455" s="28">
        <f>IFERROR(VLOOKUP(F2455,CARTON_LOOKUP!$A:$E,3,0),"")</f>
      </c>
      <c r="H2455" s="28">
        <f>IFERROR(VLOOKUP(F2455,CARTON_LOOKUP!$A:$E,4,0),"")</f>
      </c>
      <c r="I2455" s="28">
        <f>IFERROR(VLOOKUP(F2455,CARTON_LOOKUP!$A:$E,5,0),"")</f>
      </c>
      <c r="J2455" s="29">
        <f>IFERROR(VLOOKUP(F2455,CARTON_LOOKUP!$A:$E,2,0),"")</f>
      </c>
      <c r="K2455" s="29">
        <f>IFERROR(J2455*D2455,0)</f>
      </c>
      <c r="L2455" s="29">
        <f>IFERROR(E2455*C2455,0)</f>
      </c>
      <c r="M2455" s="29">
        <f>IFERROR((G2455*H2455*I2455/1000000)*D2455,0)</f>
      </c>
    </row>
    <row r="2456" spans="1:13" x14ac:dyDescent="0.25">
      <c r="A2456" s="16"/>
      <c r="E2456" s="27"/>
      <c r="F2456" t="s">
        <v>26</v>
      </c>
      <c r="G2456" s="28">
        <f>IFERROR(VLOOKUP(F2456,CARTON_LOOKUP!$A:$E,3,0),"")</f>
      </c>
      <c r="H2456" s="28">
        <f>IFERROR(VLOOKUP(F2456,CARTON_LOOKUP!$A:$E,4,0),"")</f>
      </c>
      <c r="I2456" s="28">
        <f>IFERROR(VLOOKUP(F2456,CARTON_LOOKUP!$A:$E,5,0),"")</f>
      </c>
      <c r="J2456" s="29">
        <f>IFERROR(VLOOKUP(F2456,CARTON_LOOKUP!$A:$E,2,0),"")</f>
      </c>
      <c r="K2456" s="29">
        <f>IFERROR(J2456*D2456,0)</f>
      </c>
      <c r="L2456" s="29">
        <f>IFERROR(E2456*C2456,0)</f>
      </c>
      <c r="M2456" s="29">
        <f>IFERROR((G2456*H2456*I2456/1000000)*D2456,0)</f>
      </c>
    </row>
    <row r="2457" spans="1:13" x14ac:dyDescent="0.25">
      <c r="A2457" s="16"/>
      <c r="E2457" s="27"/>
      <c r="F2457" t="s">
        <v>26</v>
      </c>
      <c r="G2457" s="28">
        <f>IFERROR(VLOOKUP(F2457,CARTON_LOOKUP!$A:$E,3,0),"")</f>
      </c>
      <c r="H2457" s="28">
        <f>IFERROR(VLOOKUP(F2457,CARTON_LOOKUP!$A:$E,4,0),"")</f>
      </c>
      <c r="I2457" s="28">
        <f>IFERROR(VLOOKUP(F2457,CARTON_LOOKUP!$A:$E,5,0),"")</f>
      </c>
      <c r="J2457" s="29">
        <f>IFERROR(VLOOKUP(F2457,CARTON_LOOKUP!$A:$E,2,0),"")</f>
      </c>
      <c r="K2457" s="29">
        <f>IFERROR(J2457*D2457,0)</f>
      </c>
      <c r="L2457" s="29">
        <f>IFERROR(E2457*C2457,0)</f>
      </c>
      <c r="M2457" s="29">
        <f>IFERROR((G2457*H2457*I2457/1000000)*D2457,0)</f>
      </c>
    </row>
    <row r="2458" spans="1:13" x14ac:dyDescent="0.25">
      <c r="A2458" s="16"/>
      <c r="E2458" s="27"/>
      <c r="F2458" t="s">
        <v>26</v>
      </c>
      <c r="G2458" s="28">
        <f>IFERROR(VLOOKUP(F2458,CARTON_LOOKUP!$A:$E,3,0),"")</f>
      </c>
      <c r="H2458" s="28">
        <f>IFERROR(VLOOKUP(F2458,CARTON_LOOKUP!$A:$E,4,0),"")</f>
      </c>
      <c r="I2458" s="28">
        <f>IFERROR(VLOOKUP(F2458,CARTON_LOOKUP!$A:$E,5,0),"")</f>
      </c>
      <c r="J2458" s="29">
        <f>IFERROR(VLOOKUP(F2458,CARTON_LOOKUP!$A:$E,2,0),"")</f>
      </c>
      <c r="K2458" s="29">
        <f>IFERROR(J2458*D2458,0)</f>
      </c>
      <c r="L2458" s="29">
        <f>IFERROR(E2458*C2458,0)</f>
      </c>
      <c r="M2458" s="29">
        <f>IFERROR((G2458*H2458*I2458/1000000)*D2458,0)</f>
      </c>
    </row>
    <row r="2459" spans="1:13" x14ac:dyDescent="0.25">
      <c r="A2459" s="16"/>
      <c r="E2459" s="27"/>
      <c r="F2459" t="s">
        <v>26</v>
      </c>
      <c r="G2459" s="28">
        <f>IFERROR(VLOOKUP(F2459,CARTON_LOOKUP!$A:$E,3,0),"")</f>
      </c>
      <c r="H2459" s="28">
        <f>IFERROR(VLOOKUP(F2459,CARTON_LOOKUP!$A:$E,4,0),"")</f>
      </c>
      <c r="I2459" s="28">
        <f>IFERROR(VLOOKUP(F2459,CARTON_LOOKUP!$A:$E,5,0),"")</f>
      </c>
      <c r="J2459" s="29">
        <f>IFERROR(VLOOKUP(F2459,CARTON_LOOKUP!$A:$E,2,0),"")</f>
      </c>
      <c r="K2459" s="29">
        <f>IFERROR(J2459*D2459,0)</f>
      </c>
      <c r="L2459" s="29">
        <f>IFERROR(E2459*C2459,0)</f>
      </c>
      <c r="M2459" s="29">
        <f>IFERROR((G2459*H2459*I2459/1000000)*D2459,0)</f>
      </c>
    </row>
    <row r="2460" spans="1:13" x14ac:dyDescent="0.25">
      <c r="A2460" s="16"/>
      <c r="E2460" s="27"/>
      <c r="F2460" t="s">
        <v>26</v>
      </c>
      <c r="G2460" s="28">
        <f>IFERROR(VLOOKUP(F2460,CARTON_LOOKUP!$A:$E,3,0),"")</f>
      </c>
      <c r="H2460" s="28">
        <f>IFERROR(VLOOKUP(F2460,CARTON_LOOKUP!$A:$E,4,0),"")</f>
      </c>
      <c r="I2460" s="28">
        <f>IFERROR(VLOOKUP(F2460,CARTON_LOOKUP!$A:$E,5,0),"")</f>
      </c>
      <c r="J2460" s="29">
        <f>IFERROR(VLOOKUP(F2460,CARTON_LOOKUP!$A:$E,2,0),"")</f>
      </c>
      <c r="K2460" s="29">
        <f>IFERROR(J2460*D2460,0)</f>
      </c>
      <c r="L2460" s="29">
        <f>IFERROR(E2460*C2460,0)</f>
      </c>
      <c r="M2460" s="29">
        <f>IFERROR((G2460*H2460*I2460/1000000)*D2460,0)</f>
      </c>
    </row>
    <row r="2461" spans="1:13" x14ac:dyDescent="0.25">
      <c r="A2461" s="16"/>
      <c r="E2461" s="27"/>
      <c r="F2461" t="s">
        <v>26</v>
      </c>
      <c r="G2461" s="28">
        <f>IFERROR(VLOOKUP(F2461,CARTON_LOOKUP!$A:$E,3,0),"")</f>
      </c>
      <c r="H2461" s="28">
        <f>IFERROR(VLOOKUP(F2461,CARTON_LOOKUP!$A:$E,4,0),"")</f>
      </c>
      <c r="I2461" s="28">
        <f>IFERROR(VLOOKUP(F2461,CARTON_LOOKUP!$A:$E,5,0),"")</f>
      </c>
      <c r="J2461" s="29">
        <f>IFERROR(VLOOKUP(F2461,CARTON_LOOKUP!$A:$E,2,0),"")</f>
      </c>
      <c r="K2461" s="29">
        <f>IFERROR(J2461*D2461,0)</f>
      </c>
      <c r="L2461" s="29">
        <f>IFERROR(E2461*C2461,0)</f>
      </c>
      <c r="M2461" s="29">
        <f>IFERROR((G2461*H2461*I2461/1000000)*D2461,0)</f>
      </c>
    </row>
    <row r="2462" spans="1:13" x14ac:dyDescent="0.25">
      <c r="A2462" s="16"/>
      <c r="E2462" s="27"/>
      <c r="F2462" t="s">
        <v>26</v>
      </c>
      <c r="G2462" s="28">
        <f>IFERROR(VLOOKUP(F2462,CARTON_LOOKUP!$A:$E,3,0),"")</f>
      </c>
      <c r="H2462" s="28">
        <f>IFERROR(VLOOKUP(F2462,CARTON_LOOKUP!$A:$E,4,0),"")</f>
      </c>
      <c r="I2462" s="28">
        <f>IFERROR(VLOOKUP(F2462,CARTON_LOOKUP!$A:$E,5,0),"")</f>
      </c>
      <c r="J2462" s="29">
        <f>IFERROR(VLOOKUP(F2462,CARTON_LOOKUP!$A:$E,2,0),"")</f>
      </c>
      <c r="K2462" s="29">
        <f>IFERROR(J2462*D2462,0)</f>
      </c>
      <c r="L2462" s="29">
        <f>IFERROR(E2462*C2462,0)</f>
      </c>
      <c r="M2462" s="29">
        <f>IFERROR((G2462*H2462*I2462/1000000)*D2462,0)</f>
      </c>
    </row>
    <row r="2463" spans="1:13" x14ac:dyDescent="0.25">
      <c r="A2463" s="16"/>
      <c r="E2463" s="27"/>
      <c r="F2463" t="s">
        <v>26</v>
      </c>
      <c r="G2463" s="28">
        <f>IFERROR(VLOOKUP(F2463,CARTON_LOOKUP!$A:$E,3,0),"")</f>
      </c>
      <c r="H2463" s="28">
        <f>IFERROR(VLOOKUP(F2463,CARTON_LOOKUP!$A:$E,4,0),"")</f>
      </c>
      <c r="I2463" s="28">
        <f>IFERROR(VLOOKUP(F2463,CARTON_LOOKUP!$A:$E,5,0),"")</f>
      </c>
      <c r="J2463" s="29">
        <f>IFERROR(VLOOKUP(F2463,CARTON_LOOKUP!$A:$E,2,0),"")</f>
      </c>
      <c r="K2463" s="29">
        <f>IFERROR(J2463*D2463,0)</f>
      </c>
      <c r="L2463" s="29">
        <f>IFERROR(E2463*C2463,0)</f>
      </c>
      <c r="M2463" s="29">
        <f>IFERROR((G2463*H2463*I2463/1000000)*D2463,0)</f>
      </c>
    </row>
    <row r="2464" spans="1:13" x14ac:dyDescent="0.25">
      <c r="A2464" s="16"/>
      <c r="E2464" s="27"/>
      <c r="F2464" t="s">
        <v>26</v>
      </c>
      <c r="G2464" s="28">
        <f>IFERROR(VLOOKUP(F2464,CARTON_LOOKUP!$A:$E,3,0),"")</f>
      </c>
      <c r="H2464" s="28">
        <f>IFERROR(VLOOKUP(F2464,CARTON_LOOKUP!$A:$E,4,0),"")</f>
      </c>
      <c r="I2464" s="28">
        <f>IFERROR(VLOOKUP(F2464,CARTON_LOOKUP!$A:$E,5,0),"")</f>
      </c>
      <c r="J2464" s="29">
        <f>IFERROR(VLOOKUP(F2464,CARTON_LOOKUP!$A:$E,2,0),"")</f>
      </c>
      <c r="K2464" s="29">
        <f>IFERROR(J2464*D2464,0)</f>
      </c>
      <c r="L2464" s="29">
        <f>IFERROR(E2464*C2464,0)</f>
      </c>
      <c r="M2464" s="29">
        <f>IFERROR((G2464*H2464*I2464/1000000)*D2464,0)</f>
      </c>
    </row>
    <row r="2465" spans="1:13" x14ac:dyDescent="0.25">
      <c r="A2465" s="16"/>
      <c r="E2465" s="27"/>
      <c r="F2465" t="s">
        <v>26</v>
      </c>
      <c r="G2465" s="28">
        <f>IFERROR(VLOOKUP(F2465,CARTON_LOOKUP!$A:$E,3,0),"")</f>
      </c>
      <c r="H2465" s="28">
        <f>IFERROR(VLOOKUP(F2465,CARTON_LOOKUP!$A:$E,4,0),"")</f>
      </c>
      <c r="I2465" s="28">
        <f>IFERROR(VLOOKUP(F2465,CARTON_LOOKUP!$A:$E,5,0),"")</f>
      </c>
      <c r="J2465" s="29">
        <f>IFERROR(VLOOKUP(F2465,CARTON_LOOKUP!$A:$E,2,0),"")</f>
      </c>
      <c r="K2465" s="29">
        <f>IFERROR(J2465*D2465,0)</f>
      </c>
      <c r="L2465" s="29">
        <f>IFERROR(E2465*C2465,0)</f>
      </c>
      <c r="M2465" s="29">
        <f>IFERROR((G2465*H2465*I2465/1000000)*D2465,0)</f>
      </c>
    </row>
    <row r="2466" spans="1:13" x14ac:dyDescent="0.25">
      <c r="A2466" s="16"/>
      <c r="E2466" s="27"/>
      <c r="F2466" t="s">
        <v>26</v>
      </c>
      <c r="G2466" s="28">
        <f>IFERROR(VLOOKUP(F2466,CARTON_LOOKUP!$A:$E,3,0),"")</f>
      </c>
      <c r="H2466" s="28">
        <f>IFERROR(VLOOKUP(F2466,CARTON_LOOKUP!$A:$E,4,0),"")</f>
      </c>
      <c r="I2466" s="28">
        <f>IFERROR(VLOOKUP(F2466,CARTON_LOOKUP!$A:$E,5,0),"")</f>
      </c>
      <c r="J2466" s="29">
        <f>IFERROR(VLOOKUP(F2466,CARTON_LOOKUP!$A:$E,2,0),"")</f>
      </c>
      <c r="K2466" s="29">
        <f>IFERROR(J2466*D2466,0)</f>
      </c>
      <c r="L2466" s="29">
        <f>IFERROR(E2466*C2466,0)</f>
      </c>
      <c r="M2466" s="29">
        <f>IFERROR((G2466*H2466*I2466/1000000)*D2466,0)</f>
      </c>
    </row>
    <row r="2467" spans="1:13" x14ac:dyDescent="0.25">
      <c r="A2467" s="16"/>
      <c r="E2467" s="27"/>
      <c r="F2467" t="s">
        <v>26</v>
      </c>
      <c r="G2467" s="28">
        <f>IFERROR(VLOOKUP(F2467,CARTON_LOOKUP!$A:$E,3,0),"")</f>
      </c>
      <c r="H2467" s="28">
        <f>IFERROR(VLOOKUP(F2467,CARTON_LOOKUP!$A:$E,4,0),"")</f>
      </c>
      <c r="I2467" s="28">
        <f>IFERROR(VLOOKUP(F2467,CARTON_LOOKUP!$A:$E,5,0),"")</f>
      </c>
      <c r="J2467" s="29">
        <f>IFERROR(VLOOKUP(F2467,CARTON_LOOKUP!$A:$E,2,0),"")</f>
      </c>
      <c r="K2467" s="29">
        <f>IFERROR(J2467*D2467,0)</f>
      </c>
      <c r="L2467" s="29">
        <f>IFERROR(E2467*C2467,0)</f>
      </c>
      <c r="M2467" s="29">
        <f>IFERROR((G2467*H2467*I2467/1000000)*D2467,0)</f>
      </c>
    </row>
    <row r="2468" spans="1:13" x14ac:dyDescent="0.25">
      <c r="A2468" s="16"/>
      <c r="E2468" s="27"/>
      <c r="F2468" t="s">
        <v>26</v>
      </c>
      <c r="G2468" s="28">
        <f>IFERROR(VLOOKUP(F2468,CARTON_LOOKUP!$A:$E,3,0),"")</f>
      </c>
      <c r="H2468" s="28">
        <f>IFERROR(VLOOKUP(F2468,CARTON_LOOKUP!$A:$E,4,0),"")</f>
      </c>
      <c r="I2468" s="28">
        <f>IFERROR(VLOOKUP(F2468,CARTON_LOOKUP!$A:$E,5,0),"")</f>
      </c>
      <c r="J2468" s="29">
        <f>IFERROR(VLOOKUP(F2468,CARTON_LOOKUP!$A:$E,2,0),"")</f>
      </c>
      <c r="K2468" s="29">
        <f>IFERROR(J2468*D2468,0)</f>
      </c>
      <c r="L2468" s="29">
        <f>IFERROR(E2468*C2468,0)</f>
      </c>
      <c r="M2468" s="29">
        <f>IFERROR((G2468*H2468*I2468/1000000)*D2468,0)</f>
      </c>
    </row>
    <row r="2469" spans="1:13" x14ac:dyDescent="0.25">
      <c r="A2469" s="16"/>
      <c r="E2469" s="27"/>
      <c r="F2469" t="s">
        <v>26</v>
      </c>
      <c r="G2469" s="28">
        <f>IFERROR(VLOOKUP(F2469,CARTON_LOOKUP!$A:$E,3,0),"")</f>
      </c>
      <c r="H2469" s="28">
        <f>IFERROR(VLOOKUP(F2469,CARTON_LOOKUP!$A:$E,4,0),"")</f>
      </c>
      <c r="I2469" s="28">
        <f>IFERROR(VLOOKUP(F2469,CARTON_LOOKUP!$A:$E,5,0),"")</f>
      </c>
      <c r="J2469" s="29">
        <f>IFERROR(VLOOKUP(F2469,CARTON_LOOKUP!$A:$E,2,0),"")</f>
      </c>
      <c r="K2469" s="29">
        <f>IFERROR(J2469*D2469,0)</f>
      </c>
      <c r="L2469" s="29">
        <f>IFERROR(E2469*C2469,0)</f>
      </c>
      <c r="M2469" s="29">
        <f>IFERROR((G2469*H2469*I2469/1000000)*D2469,0)</f>
      </c>
    </row>
    <row r="2470" spans="1:13" x14ac:dyDescent="0.25">
      <c r="A2470" s="16"/>
      <c r="E2470" s="27"/>
      <c r="F2470" t="s">
        <v>26</v>
      </c>
      <c r="G2470" s="28">
        <f>IFERROR(VLOOKUP(F2470,CARTON_LOOKUP!$A:$E,3,0),"")</f>
      </c>
      <c r="H2470" s="28">
        <f>IFERROR(VLOOKUP(F2470,CARTON_LOOKUP!$A:$E,4,0),"")</f>
      </c>
      <c r="I2470" s="28">
        <f>IFERROR(VLOOKUP(F2470,CARTON_LOOKUP!$A:$E,5,0),"")</f>
      </c>
      <c r="J2470" s="29">
        <f>IFERROR(VLOOKUP(F2470,CARTON_LOOKUP!$A:$E,2,0),"")</f>
      </c>
      <c r="K2470" s="29">
        <f>IFERROR(J2470*D2470,0)</f>
      </c>
      <c r="L2470" s="29">
        <f>IFERROR(E2470*C2470,0)</f>
      </c>
      <c r="M2470" s="29">
        <f>IFERROR((G2470*H2470*I2470/1000000)*D2470,0)</f>
      </c>
    </row>
    <row r="2471" spans="1:13" x14ac:dyDescent="0.25">
      <c r="A2471" s="16"/>
      <c r="E2471" s="27"/>
      <c r="F2471" t="s">
        <v>26</v>
      </c>
      <c r="G2471" s="28">
        <f>IFERROR(VLOOKUP(F2471,CARTON_LOOKUP!$A:$E,3,0),"")</f>
      </c>
      <c r="H2471" s="28">
        <f>IFERROR(VLOOKUP(F2471,CARTON_LOOKUP!$A:$E,4,0),"")</f>
      </c>
      <c r="I2471" s="28">
        <f>IFERROR(VLOOKUP(F2471,CARTON_LOOKUP!$A:$E,5,0),"")</f>
      </c>
      <c r="J2471" s="29">
        <f>IFERROR(VLOOKUP(F2471,CARTON_LOOKUP!$A:$E,2,0),"")</f>
      </c>
      <c r="K2471" s="29">
        <f>IFERROR(J2471*D2471,0)</f>
      </c>
      <c r="L2471" s="29">
        <f>IFERROR(E2471*C2471,0)</f>
      </c>
      <c r="M2471" s="29">
        <f>IFERROR((G2471*H2471*I2471/1000000)*D2471,0)</f>
      </c>
    </row>
    <row r="2472" spans="1:13" x14ac:dyDescent="0.25">
      <c r="A2472" s="16"/>
      <c r="E2472" s="27"/>
      <c r="F2472" t="s">
        <v>26</v>
      </c>
      <c r="G2472" s="28">
        <f>IFERROR(VLOOKUP(F2472,CARTON_LOOKUP!$A:$E,3,0),"")</f>
      </c>
      <c r="H2472" s="28">
        <f>IFERROR(VLOOKUP(F2472,CARTON_LOOKUP!$A:$E,4,0),"")</f>
      </c>
      <c r="I2472" s="28">
        <f>IFERROR(VLOOKUP(F2472,CARTON_LOOKUP!$A:$E,5,0),"")</f>
      </c>
      <c r="J2472" s="29">
        <f>IFERROR(VLOOKUP(F2472,CARTON_LOOKUP!$A:$E,2,0),"")</f>
      </c>
      <c r="K2472" s="29">
        <f>IFERROR(J2472*D2472,0)</f>
      </c>
      <c r="L2472" s="29">
        <f>IFERROR(E2472*C2472,0)</f>
      </c>
      <c r="M2472" s="29">
        <f>IFERROR((G2472*H2472*I2472/1000000)*D2472,0)</f>
      </c>
    </row>
    <row r="2473" spans="1:13" x14ac:dyDescent="0.25">
      <c r="A2473" s="16"/>
      <c r="E2473" s="27"/>
      <c r="F2473" t="s">
        <v>26</v>
      </c>
      <c r="G2473" s="28">
        <f>IFERROR(VLOOKUP(F2473,CARTON_LOOKUP!$A:$E,3,0),"")</f>
      </c>
      <c r="H2473" s="28">
        <f>IFERROR(VLOOKUP(F2473,CARTON_LOOKUP!$A:$E,4,0),"")</f>
      </c>
      <c r="I2473" s="28">
        <f>IFERROR(VLOOKUP(F2473,CARTON_LOOKUP!$A:$E,5,0),"")</f>
      </c>
      <c r="J2473" s="29">
        <f>IFERROR(VLOOKUP(F2473,CARTON_LOOKUP!$A:$E,2,0),"")</f>
      </c>
      <c r="K2473" s="29">
        <f>IFERROR(J2473*D2473,0)</f>
      </c>
      <c r="L2473" s="29">
        <f>IFERROR(E2473*C2473,0)</f>
      </c>
      <c r="M2473" s="29">
        <f>IFERROR((G2473*H2473*I2473/1000000)*D2473,0)</f>
      </c>
    </row>
    <row r="2474" spans="1:13" x14ac:dyDescent="0.25">
      <c r="A2474" s="16"/>
      <c r="E2474" s="27"/>
      <c r="F2474" t="s">
        <v>26</v>
      </c>
      <c r="G2474" s="28">
        <f>IFERROR(VLOOKUP(F2474,CARTON_LOOKUP!$A:$E,3,0),"")</f>
      </c>
      <c r="H2474" s="28">
        <f>IFERROR(VLOOKUP(F2474,CARTON_LOOKUP!$A:$E,4,0),"")</f>
      </c>
      <c r="I2474" s="28">
        <f>IFERROR(VLOOKUP(F2474,CARTON_LOOKUP!$A:$E,5,0),"")</f>
      </c>
      <c r="J2474" s="29">
        <f>IFERROR(VLOOKUP(F2474,CARTON_LOOKUP!$A:$E,2,0),"")</f>
      </c>
      <c r="K2474" s="29">
        <f>IFERROR(J2474*D2474,0)</f>
      </c>
      <c r="L2474" s="29">
        <f>IFERROR(E2474*C2474,0)</f>
      </c>
      <c r="M2474" s="29">
        <f>IFERROR((G2474*H2474*I2474/1000000)*D2474,0)</f>
      </c>
    </row>
    <row r="2475" spans="1:13" x14ac:dyDescent="0.25">
      <c r="A2475" s="16"/>
      <c r="E2475" s="27"/>
      <c r="F2475" t="s">
        <v>26</v>
      </c>
      <c r="G2475" s="28">
        <f>IFERROR(VLOOKUP(F2475,CARTON_LOOKUP!$A:$E,3,0),"")</f>
      </c>
      <c r="H2475" s="28">
        <f>IFERROR(VLOOKUP(F2475,CARTON_LOOKUP!$A:$E,4,0),"")</f>
      </c>
      <c r="I2475" s="28">
        <f>IFERROR(VLOOKUP(F2475,CARTON_LOOKUP!$A:$E,5,0),"")</f>
      </c>
      <c r="J2475" s="29">
        <f>IFERROR(VLOOKUP(F2475,CARTON_LOOKUP!$A:$E,2,0),"")</f>
      </c>
      <c r="K2475" s="29">
        <f>IFERROR(J2475*D2475,0)</f>
      </c>
      <c r="L2475" s="29">
        <f>IFERROR(E2475*C2475,0)</f>
      </c>
      <c r="M2475" s="29">
        <f>IFERROR((G2475*H2475*I2475/1000000)*D2475,0)</f>
      </c>
    </row>
    <row r="2476" spans="1:13" x14ac:dyDescent="0.25">
      <c r="A2476" s="16"/>
      <c r="E2476" s="27"/>
      <c r="F2476" t="s">
        <v>26</v>
      </c>
      <c r="G2476" s="28">
        <f>IFERROR(VLOOKUP(F2476,CARTON_LOOKUP!$A:$E,3,0),"")</f>
      </c>
      <c r="H2476" s="28">
        <f>IFERROR(VLOOKUP(F2476,CARTON_LOOKUP!$A:$E,4,0),"")</f>
      </c>
      <c r="I2476" s="28">
        <f>IFERROR(VLOOKUP(F2476,CARTON_LOOKUP!$A:$E,5,0),"")</f>
      </c>
      <c r="J2476" s="29">
        <f>IFERROR(VLOOKUP(F2476,CARTON_LOOKUP!$A:$E,2,0),"")</f>
      </c>
      <c r="K2476" s="29">
        <f>IFERROR(J2476*D2476,0)</f>
      </c>
      <c r="L2476" s="29">
        <f>IFERROR(E2476*C2476,0)</f>
      </c>
      <c r="M2476" s="29">
        <f>IFERROR((G2476*H2476*I2476/1000000)*D2476,0)</f>
      </c>
    </row>
    <row r="2477" spans="1:13" x14ac:dyDescent="0.25">
      <c r="A2477" s="16"/>
      <c r="E2477" s="27"/>
      <c r="F2477" t="s">
        <v>26</v>
      </c>
      <c r="G2477" s="28">
        <f>IFERROR(VLOOKUP(F2477,CARTON_LOOKUP!$A:$E,3,0),"")</f>
      </c>
      <c r="H2477" s="28">
        <f>IFERROR(VLOOKUP(F2477,CARTON_LOOKUP!$A:$E,4,0),"")</f>
      </c>
      <c r="I2477" s="28">
        <f>IFERROR(VLOOKUP(F2477,CARTON_LOOKUP!$A:$E,5,0),"")</f>
      </c>
      <c r="J2477" s="29">
        <f>IFERROR(VLOOKUP(F2477,CARTON_LOOKUP!$A:$E,2,0),"")</f>
      </c>
      <c r="K2477" s="29">
        <f>IFERROR(J2477*D2477,0)</f>
      </c>
      <c r="L2477" s="29">
        <f>IFERROR(E2477*C2477,0)</f>
      </c>
      <c r="M2477" s="29">
        <f>IFERROR((G2477*H2477*I2477/1000000)*D2477,0)</f>
      </c>
    </row>
    <row r="2478" spans="1:13" x14ac:dyDescent="0.25">
      <c r="A2478" s="16"/>
      <c r="E2478" s="27"/>
      <c r="F2478" t="s">
        <v>26</v>
      </c>
      <c r="G2478" s="28">
        <f>IFERROR(VLOOKUP(F2478,CARTON_LOOKUP!$A:$E,3,0),"")</f>
      </c>
      <c r="H2478" s="28">
        <f>IFERROR(VLOOKUP(F2478,CARTON_LOOKUP!$A:$E,4,0),"")</f>
      </c>
      <c r="I2478" s="28">
        <f>IFERROR(VLOOKUP(F2478,CARTON_LOOKUP!$A:$E,5,0),"")</f>
      </c>
      <c r="J2478" s="29">
        <f>IFERROR(VLOOKUP(F2478,CARTON_LOOKUP!$A:$E,2,0),"")</f>
      </c>
      <c r="K2478" s="29">
        <f>IFERROR(J2478*D2478,0)</f>
      </c>
      <c r="L2478" s="29">
        <f>IFERROR(E2478*C2478,0)</f>
      </c>
      <c r="M2478" s="29">
        <f>IFERROR((G2478*H2478*I2478/1000000)*D2478,0)</f>
      </c>
    </row>
    <row r="2479" spans="1:13" x14ac:dyDescent="0.25">
      <c r="A2479" s="16"/>
      <c r="E2479" s="27"/>
      <c r="F2479" t="s">
        <v>26</v>
      </c>
      <c r="G2479" s="28">
        <f>IFERROR(VLOOKUP(F2479,CARTON_LOOKUP!$A:$E,3,0),"")</f>
      </c>
      <c r="H2479" s="28">
        <f>IFERROR(VLOOKUP(F2479,CARTON_LOOKUP!$A:$E,4,0),"")</f>
      </c>
      <c r="I2479" s="28">
        <f>IFERROR(VLOOKUP(F2479,CARTON_LOOKUP!$A:$E,5,0),"")</f>
      </c>
      <c r="J2479" s="29">
        <f>IFERROR(VLOOKUP(F2479,CARTON_LOOKUP!$A:$E,2,0),"")</f>
      </c>
      <c r="K2479" s="29">
        <f>IFERROR(J2479*D2479,0)</f>
      </c>
      <c r="L2479" s="29">
        <f>IFERROR(E2479*C2479,0)</f>
      </c>
      <c r="M2479" s="29">
        <f>IFERROR((G2479*H2479*I2479/1000000)*D2479,0)</f>
      </c>
    </row>
    <row r="2480" spans="1:13" x14ac:dyDescent="0.25">
      <c r="A2480" s="16"/>
      <c r="E2480" s="27"/>
      <c r="F2480" t="s">
        <v>26</v>
      </c>
      <c r="G2480" s="28">
        <f>IFERROR(VLOOKUP(F2480,CARTON_LOOKUP!$A:$E,3,0),"")</f>
      </c>
      <c r="H2480" s="28">
        <f>IFERROR(VLOOKUP(F2480,CARTON_LOOKUP!$A:$E,4,0),"")</f>
      </c>
      <c r="I2480" s="28">
        <f>IFERROR(VLOOKUP(F2480,CARTON_LOOKUP!$A:$E,5,0),"")</f>
      </c>
      <c r="J2480" s="29">
        <f>IFERROR(VLOOKUP(F2480,CARTON_LOOKUP!$A:$E,2,0),"")</f>
      </c>
      <c r="K2480" s="29">
        <f>IFERROR(J2480*D2480,0)</f>
      </c>
      <c r="L2480" s="29">
        <f>IFERROR(E2480*C2480,0)</f>
      </c>
      <c r="M2480" s="29">
        <f>IFERROR((G2480*H2480*I2480/1000000)*D2480,0)</f>
      </c>
    </row>
    <row r="2481" spans="1:13" x14ac:dyDescent="0.25">
      <c r="A2481" s="16"/>
      <c r="E2481" s="27"/>
      <c r="F2481" t="s">
        <v>26</v>
      </c>
      <c r="G2481" s="28">
        <f>IFERROR(VLOOKUP(F2481,CARTON_LOOKUP!$A:$E,3,0),"")</f>
      </c>
      <c r="H2481" s="28">
        <f>IFERROR(VLOOKUP(F2481,CARTON_LOOKUP!$A:$E,4,0),"")</f>
      </c>
      <c r="I2481" s="28">
        <f>IFERROR(VLOOKUP(F2481,CARTON_LOOKUP!$A:$E,5,0),"")</f>
      </c>
      <c r="J2481" s="29">
        <f>IFERROR(VLOOKUP(F2481,CARTON_LOOKUP!$A:$E,2,0),"")</f>
      </c>
      <c r="K2481" s="29">
        <f>IFERROR(J2481*D2481,0)</f>
      </c>
      <c r="L2481" s="29">
        <f>IFERROR(E2481*C2481,0)</f>
      </c>
      <c r="M2481" s="29">
        <f>IFERROR((G2481*H2481*I2481/1000000)*D2481,0)</f>
      </c>
    </row>
    <row r="2482" spans="1:13" x14ac:dyDescent="0.25">
      <c r="A2482" s="16"/>
      <c r="E2482" s="27"/>
      <c r="F2482" t="s">
        <v>26</v>
      </c>
      <c r="G2482" s="28">
        <f>IFERROR(VLOOKUP(F2482,CARTON_LOOKUP!$A:$E,3,0),"")</f>
      </c>
      <c r="H2482" s="28">
        <f>IFERROR(VLOOKUP(F2482,CARTON_LOOKUP!$A:$E,4,0),"")</f>
      </c>
      <c r="I2482" s="28">
        <f>IFERROR(VLOOKUP(F2482,CARTON_LOOKUP!$A:$E,5,0),"")</f>
      </c>
      <c r="J2482" s="29">
        <f>IFERROR(VLOOKUP(F2482,CARTON_LOOKUP!$A:$E,2,0),"")</f>
      </c>
      <c r="K2482" s="29">
        <f>IFERROR(J2482*D2482,0)</f>
      </c>
      <c r="L2482" s="29">
        <f>IFERROR(E2482*C2482,0)</f>
      </c>
      <c r="M2482" s="29">
        <f>IFERROR((G2482*H2482*I2482/1000000)*D2482,0)</f>
      </c>
    </row>
    <row r="2483" spans="1:13" x14ac:dyDescent="0.25">
      <c r="A2483" s="16"/>
      <c r="E2483" s="27"/>
      <c r="F2483" t="s">
        <v>26</v>
      </c>
      <c r="G2483" s="28">
        <f>IFERROR(VLOOKUP(F2483,CARTON_LOOKUP!$A:$E,3,0),"")</f>
      </c>
      <c r="H2483" s="28">
        <f>IFERROR(VLOOKUP(F2483,CARTON_LOOKUP!$A:$E,4,0),"")</f>
      </c>
      <c r="I2483" s="28">
        <f>IFERROR(VLOOKUP(F2483,CARTON_LOOKUP!$A:$E,5,0),"")</f>
      </c>
      <c r="J2483" s="29">
        <f>IFERROR(VLOOKUP(F2483,CARTON_LOOKUP!$A:$E,2,0),"")</f>
      </c>
      <c r="K2483" s="29">
        <f>IFERROR(J2483*D2483,0)</f>
      </c>
      <c r="L2483" s="29">
        <f>IFERROR(E2483*C2483,0)</f>
      </c>
      <c r="M2483" s="29">
        <f>IFERROR((G2483*H2483*I2483/1000000)*D2483,0)</f>
      </c>
    </row>
    <row r="2484" spans="1:13" x14ac:dyDescent="0.25">
      <c r="A2484" s="16"/>
      <c r="E2484" s="27"/>
      <c r="F2484" t="s">
        <v>26</v>
      </c>
      <c r="G2484" s="28">
        <f>IFERROR(VLOOKUP(F2484,CARTON_LOOKUP!$A:$E,3,0),"")</f>
      </c>
      <c r="H2484" s="28">
        <f>IFERROR(VLOOKUP(F2484,CARTON_LOOKUP!$A:$E,4,0),"")</f>
      </c>
      <c r="I2484" s="28">
        <f>IFERROR(VLOOKUP(F2484,CARTON_LOOKUP!$A:$E,5,0),"")</f>
      </c>
      <c r="J2484" s="29">
        <f>IFERROR(VLOOKUP(F2484,CARTON_LOOKUP!$A:$E,2,0),"")</f>
      </c>
      <c r="K2484" s="29">
        <f>IFERROR(J2484*D2484,0)</f>
      </c>
      <c r="L2484" s="29">
        <f>IFERROR(E2484*C2484,0)</f>
      </c>
      <c r="M2484" s="29">
        <f>IFERROR((G2484*H2484*I2484/1000000)*D2484,0)</f>
      </c>
    </row>
    <row r="2485" spans="1:13" x14ac:dyDescent="0.25">
      <c r="A2485" s="16"/>
      <c r="E2485" s="27"/>
      <c r="F2485" t="s">
        <v>26</v>
      </c>
      <c r="G2485" s="28">
        <f>IFERROR(VLOOKUP(F2485,CARTON_LOOKUP!$A:$E,3,0),"")</f>
      </c>
      <c r="H2485" s="28">
        <f>IFERROR(VLOOKUP(F2485,CARTON_LOOKUP!$A:$E,4,0),"")</f>
      </c>
      <c r="I2485" s="28">
        <f>IFERROR(VLOOKUP(F2485,CARTON_LOOKUP!$A:$E,5,0),"")</f>
      </c>
      <c r="J2485" s="29">
        <f>IFERROR(VLOOKUP(F2485,CARTON_LOOKUP!$A:$E,2,0),"")</f>
      </c>
      <c r="K2485" s="29">
        <f>IFERROR(J2485*D2485,0)</f>
      </c>
      <c r="L2485" s="29">
        <f>IFERROR(E2485*C2485,0)</f>
      </c>
      <c r="M2485" s="29">
        <f>IFERROR((G2485*H2485*I2485/1000000)*D2485,0)</f>
      </c>
    </row>
    <row r="2486" spans="1:13" x14ac:dyDescent="0.25">
      <c r="A2486" s="16"/>
      <c r="E2486" s="27"/>
      <c r="F2486" t="s">
        <v>26</v>
      </c>
      <c r="G2486" s="28">
        <f>IFERROR(VLOOKUP(F2486,CARTON_LOOKUP!$A:$E,3,0),"")</f>
      </c>
      <c r="H2486" s="28">
        <f>IFERROR(VLOOKUP(F2486,CARTON_LOOKUP!$A:$E,4,0),"")</f>
      </c>
      <c r="I2486" s="28">
        <f>IFERROR(VLOOKUP(F2486,CARTON_LOOKUP!$A:$E,5,0),"")</f>
      </c>
      <c r="J2486" s="29">
        <f>IFERROR(VLOOKUP(F2486,CARTON_LOOKUP!$A:$E,2,0),"")</f>
      </c>
      <c r="K2486" s="29">
        <f>IFERROR(J2486*D2486,0)</f>
      </c>
      <c r="L2486" s="29">
        <f>IFERROR(E2486*C2486,0)</f>
      </c>
      <c r="M2486" s="29">
        <f>IFERROR((G2486*H2486*I2486/1000000)*D2486,0)</f>
      </c>
    </row>
    <row r="2487" spans="1:13" x14ac:dyDescent="0.25">
      <c r="A2487" s="16"/>
      <c r="E2487" s="27"/>
      <c r="F2487" t="s">
        <v>26</v>
      </c>
      <c r="G2487" s="28">
        <f>IFERROR(VLOOKUP(F2487,CARTON_LOOKUP!$A:$E,3,0),"")</f>
      </c>
      <c r="H2487" s="28">
        <f>IFERROR(VLOOKUP(F2487,CARTON_LOOKUP!$A:$E,4,0),"")</f>
      </c>
      <c r="I2487" s="28">
        <f>IFERROR(VLOOKUP(F2487,CARTON_LOOKUP!$A:$E,5,0),"")</f>
      </c>
      <c r="J2487" s="29">
        <f>IFERROR(VLOOKUP(F2487,CARTON_LOOKUP!$A:$E,2,0),"")</f>
      </c>
      <c r="K2487" s="29">
        <f>IFERROR(J2487*D2487,0)</f>
      </c>
      <c r="L2487" s="29">
        <f>IFERROR(E2487*C2487,0)</f>
      </c>
      <c r="M2487" s="29">
        <f>IFERROR((G2487*H2487*I2487/1000000)*D2487,0)</f>
      </c>
    </row>
    <row r="2488" spans="1:13" x14ac:dyDescent="0.25">
      <c r="A2488" s="16"/>
      <c r="E2488" s="27"/>
      <c r="F2488" t="s">
        <v>26</v>
      </c>
      <c r="G2488" s="28">
        <f>IFERROR(VLOOKUP(F2488,CARTON_LOOKUP!$A:$E,3,0),"")</f>
      </c>
      <c r="H2488" s="28">
        <f>IFERROR(VLOOKUP(F2488,CARTON_LOOKUP!$A:$E,4,0),"")</f>
      </c>
      <c r="I2488" s="28">
        <f>IFERROR(VLOOKUP(F2488,CARTON_LOOKUP!$A:$E,5,0),"")</f>
      </c>
      <c r="J2488" s="29">
        <f>IFERROR(VLOOKUP(F2488,CARTON_LOOKUP!$A:$E,2,0),"")</f>
      </c>
      <c r="K2488" s="29">
        <f>IFERROR(J2488*D2488,0)</f>
      </c>
      <c r="L2488" s="29">
        <f>IFERROR(E2488*C2488,0)</f>
      </c>
      <c r="M2488" s="29">
        <f>IFERROR((G2488*H2488*I2488/1000000)*D2488,0)</f>
      </c>
    </row>
    <row r="2489" spans="1:13" x14ac:dyDescent="0.25">
      <c r="A2489" s="16"/>
      <c r="E2489" s="27"/>
      <c r="F2489" t="s">
        <v>26</v>
      </c>
      <c r="G2489" s="28">
        <f>IFERROR(VLOOKUP(F2489,CARTON_LOOKUP!$A:$E,3,0),"")</f>
      </c>
      <c r="H2489" s="28">
        <f>IFERROR(VLOOKUP(F2489,CARTON_LOOKUP!$A:$E,4,0),"")</f>
      </c>
      <c r="I2489" s="28">
        <f>IFERROR(VLOOKUP(F2489,CARTON_LOOKUP!$A:$E,5,0),"")</f>
      </c>
      <c r="J2489" s="29">
        <f>IFERROR(VLOOKUP(F2489,CARTON_LOOKUP!$A:$E,2,0),"")</f>
      </c>
      <c r="K2489" s="29">
        <f>IFERROR(J2489*D2489,0)</f>
      </c>
      <c r="L2489" s="29">
        <f>IFERROR(E2489*C2489,0)</f>
      </c>
      <c r="M2489" s="29">
        <f>IFERROR((G2489*H2489*I2489/1000000)*D2489,0)</f>
      </c>
    </row>
    <row r="2490" spans="1:13" x14ac:dyDescent="0.25">
      <c r="A2490" s="16"/>
      <c r="E2490" s="27"/>
      <c r="F2490" t="s">
        <v>26</v>
      </c>
      <c r="G2490" s="28">
        <f>IFERROR(VLOOKUP(F2490,CARTON_LOOKUP!$A:$E,3,0),"")</f>
      </c>
      <c r="H2490" s="28">
        <f>IFERROR(VLOOKUP(F2490,CARTON_LOOKUP!$A:$E,4,0),"")</f>
      </c>
      <c r="I2490" s="28">
        <f>IFERROR(VLOOKUP(F2490,CARTON_LOOKUP!$A:$E,5,0),"")</f>
      </c>
      <c r="J2490" s="29">
        <f>IFERROR(VLOOKUP(F2490,CARTON_LOOKUP!$A:$E,2,0),"")</f>
      </c>
      <c r="K2490" s="29">
        <f>IFERROR(J2490*D2490,0)</f>
      </c>
      <c r="L2490" s="29">
        <f>IFERROR(E2490*C2490,0)</f>
      </c>
      <c r="M2490" s="29">
        <f>IFERROR((G2490*H2490*I2490/1000000)*D2490,0)</f>
      </c>
    </row>
    <row r="2491" spans="1:13" x14ac:dyDescent="0.25">
      <c r="A2491" s="16"/>
      <c r="E2491" s="27"/>
      <c r="F2491" t="s">
        <v>26</v>
      </c>
      <c r="G2491" s="28">
        <f>IFERROR(VLOOKUP(F2491,CARTON_LOOKUP!$A:$E,3,0),"")</f>
      </c>
      <c r="H2491" s="28">
        <f>IFERROR(VLOOKUP(F2491,CARTON_LOOKUP!$A:$E,4,0),"")</f>
      </c>
      <c r="I2491" s="28">
        <f>IFERROR(VLOOKUP(F2491,CARTON_LOOKUP!$A:$E,5,0),"")</f>
      </c>
      <c r="J2491" s="29">
        <f>IFERROR(VLOOKUP(F2491,CARTON_LOOKUP!$A:$E,2,0),"")</f>
      </c>
      <c r="K2491" s="29">
        <f>IFERROR(J2491*D2491,0)</f>
      </c>
      <c r="L2491" s="29">
        <f>IFERROR(E2491*C2491,0)</f>
      </c>
      <c r="M2491" s="29">
        <f>IFERROR((G2491*H2491*I2491/1000000)*D2491,0)</f>
      </c>
    </row>
    <row r="2492" spans="1:13" x14ac:dyDescent="0.25">
      <c r="A2492" s="16"/>
      <c r="E2492" s="27"/>
      <c r="F2492" t="s">
        <v>26</v>
      </c>
      <c r="G2492" s="28">
        <f>IFERROR(VLOOKUP(F2492,CARTON_LOOKUP!$A:$E,3,0),"")</f>
      </c>
      <c r="H2492" s="28">
        <f>IFERROR(VLOOKUP(F2492,CARTON_LOOKUP!$A:$E,4,0),"")</f>
      </c>
      <c r="I2492" s="28">
        <f>IFERROR(VLOOKUP(F2492,CARTON_LOOKUP!$A:$E,5,0),"")</f>
      </c>
      <c r="J2492" s="29">
        <f>IFERROR(VLOOKUP(F2492,CARTON_LOOKUP!$A:$E,2,0),"")</f>
      </c>
      <c r="K2492" s="29">
        <f>IFERROR(J2492*D2492,0)</f>
      </c>
      <c r="L2492" s="29">
        <f>IFERROR(E2492*C2492,0)</f>
      </c>
      <c r="M2492" s="29">
        <f>IFERROR((G2492*H2492*I2492/1000000)*D2492,0)</f>
      </c>
    </row>
    <row r="2493" spans="1:13" x14ac:dyDescent="0.25">
      <c r="A2493" s="16"/>
      <c r="E2493" s="27"/>
      <c r="F2493" t="s">
        <v>26</v>
      </c>
      <c r="G2493" s="28">
        <f>IFERROR(VLOOKUP(F2493,CARTON_LOOKUP!$A:$E,3,0),"")</f>
      </c>
      <c r="H2493" s="28">
        <f>IFERROR(VLOOKUP(F2493,CARTON_LOOKUP!$A:$E,4,0),"")</f>
      </c>
      <c r="I2493" s="28">
        <f>IFERROR(VLOOKUP(F2493,CARTON_LOOKUP!$A:$E,5,0),"")</f>
      </c>
      <c r="J2493" s="29">
        <f>IFERROR(VLOOKUP(F2493,CARTON_LOOKUP!$A:$E,2,0),"")</f>
      </c>
      <c r="K2493" s="29">
        <f>IFERROR(J2493*D2493,0)</f>
      </c>
      <c r="L2493" s="29">
        <f>IFERROR(E2493*C2493,0)</f>
      </c>
      <c r="M2493" s="29">
        <f>IFERROR((G2493*H2493*I2493/1000000)*D2493,0)</f>
      </c>
    </row>
    <row r="2494" spans="1:13" x14ac:dyDescent="0.25">
      <c r="A2494" s="16"/>
      <c r="E2494" s="27"/>
      <c r="F2494" t="s">
        <v>26</v>
      </c>
      <c r="G2494" s="28">
        <f>IFERROR(VLOOKUP(F2494,CARTON_LOOKUP!$A:$E,3,0),"")</f>
      </c>
      <c r="H2494" s="28">
        <f>IFERROR(VLOOKUP(F2494,CARTON_LOOKUP!$A:$E,4,0),"")</f>
      </c>
      <c r="I2494" s="28">
        <f>IFERROR(VLOOKUP(F2494,CARTON_LOOKUP!$A:$E,5,0),"")</f>
      </c>
      <c r="J2494" s="29">
        <f>IFERROR(VLOOKUP(F2494,CARTON_LOOKUP!$A:$E,2,0),"")</f>
      </c>
      <c r="K2494" s="29">
        <f>IFERROR(J2494*D2494,0)</f>
      </c>
      <c r="L2494" s="29">
        <f>IFERROR(E2494*C2494,0)</f>
      </c>
      <c r="M2494" s="29">
        <f>IFERROR((G2494*H2494*I2494/1000000)*D2494,0)</f>
      </c>
    </row>
    <row r="2495" spans="1:13" x14ac:dyDescent="0.25">
      <c r="A2495" s="16"/>
      <c r="E2495" s="27"/>
      <c r="F2495" t="s">
        <v>26</v>
      </c>
      <c r="G2495" s="28">
        <f>IFERROR(VLOOKUP(F2495,CARTON_LOOKUP!$A:$E,3,0),"")</f>
      </c>
      <c r="H2495" s="28">
        <f>IFERROR(VLOOKUP(F2495,CARTON_LOOKUP!$A:$E,4,0),"")</f>
      </c>
      <c r="I2495" s="28">
        <f>IFERROR(VLOOKUP(F2495,CARTON_LOOKUP!$A:$E,5,0),"")</f>
      </c>
      <c r="J2495" s="29">
        <f>IFERROR(VLOOKUP(F2495,CARTON_LOOKUP!$A:$E,2,0),"")</f>
      </c>
      <c r="K2495" s="29">
        <f>IFERROR(J2495*D2495,0)</f>
      </c>
      <c r="L2495" s="29">
        <f>IFERROR(E2495*C2495,0)</f>
      </c>
      <c r="M2495" s="29">
        <f>IFERROR((G2495*H2495*I2495/1000000)*D2495,0)</f>
      </c>
    </row>
    <row r="2496" spans="1:13" x14ac:dyDescent="0.25">
      <c r="A2496" s="16"/>
      <c r="E2496" s="27"/>
      <c r="F2496" t="s">
        <v>26</v>
      </c>
      <c r="G2496" s="28">
        <f>IFERROR(VLOOKUP(F2496,CARTON_LOOKUP!$A:$E,3,0),"")</f>
      </c>
      <c r="H2496" s="28">
        <f>IFERROR(VLOOKUP(F2496,CARTON_LOOKUP!$A:$E,4,0),"")</f>
      </c>
      <c r="I2496" s="28">
        <f>IFERROR(VLOOKUP(F2496,CARTON_LOOKUP!$A:$E,5,0),"")</f>
      </c>
      <c r="J2496" s="29">
        <f>IFERROR(VLOOKUP(F2496,CARTON_LOOKUP!$A:$E,2,0),"")</f>
      </c>
      <c r="K2496" s="29">
        <f>IFERROR(J2496*D2496,0)</f>
      </c>
      <c r="L2496" s="29">
        <f>IFERROR(E2496*C2496,0)</f>
      </c>
      <c r="M2496" s="29">
        <f>IFERROR((G2496*H2496*I2496/1000000)*D2496,0)</f>
      </c>
    </row>
    <row r="2497" spans="1:13" x14ac:dyDescent="0.25">
      <c r="A2497" s="16"/>
      <c r="E2497" s="27"/>
      <c r="F2497" t="s">
        <v>26</v>
      </c>
      <c r="G2497" s="28">
        <f>IFERROR(VLOOKUP(F2497,CARTON_LOOKUP!$A:$E,3,0),"")</f>
      </c>
      <c r="H2497" s="28">
        <f>IFERROR(VLOOKUP(F2497,CARTON_LOOKUP!$A:$E,4,0),"")</f>
      </c>
      <c r="I2497" s="28">
        <f>IFERROR(VLOOKUP(F2497,CARTON_LOOKUP!$A:$E,5,0),"")</f>
      </c>
      <c r="J2497" s="29">
        <f>IFERROR(VLOOKUP(F2497,CARTON_LOOKUP!$A:$E,2,0),"")</f>
      </c>
      <c r="K2497" s="29">
        <f>IFERROR(J2497*D2497,0)</f>
      </c>
      <c r="L2497" s="29">
        <f>IFERROR(E2497*C2497,0)</f>
      </c>
      <c r="M2497" s="29">
        <f>IFERROR((G2497*H2497*I2497/1000000)*D2497,0)</f>
      </c>
    </row>
    <row r="2498" spans="1:13" x14ac:dyDescent="0.25">
      <c r="A2498" s="16"/>
      <c r="E2498" s="27"/>
      <c r="F2498" t="s">
        <v>26</v>
      </c>
      <c r="G2498" s="28">
        <f>IFERROR(VLOOKUP(F2498,CARTON_LOOKUP!$A:$E,3,0),"")</f>
      </c>
      <c r="H2498" s="28">
        <f>IFERROR(VLOOKUP(F2498,CARTON_LOOKUP!$A:$E,4,0),"")</f>
      </c>
      <c r="I2498" s="28">
        <f>IFERROR(VLOOKUP(F2498,CARTON_LOOKUP!$A:$E,5,0),"")</f>
      </c>
      <c r="J2498" s="29">
        <f>IFERROR(VLOOKUP(F2498,CARTON_LOOKUP!$A:$E,2,0),"")</f>
      </c>
      <c r="K2498" s="29">
        <f>IFERROR(J2498*D2498,0)</f>
      </c>
      <c r="L2498" s="29">
        <f>IFERROR(E2498*C2498,0)</f>
      </c>
      <c r="M2498" s="29">
        <f>IFERROR((G2498*H2498*I2498/1000000)*D2498,0)</f>
      </c>
    </row>
    <row r="2499" spans="1:13" x14ac:dyDescent="0.25">
      <c r="A2499" s="16"/>
      <c r="E2499" s="27"/>
      <c r="F2499" t="s">
        <v>26</v>
      </c>
      <c r="G2499" s="28">
        <f>IFERROR(VLOOKUP(F2499,CARTON_LOOKUP!$A:$E,3,0),"")</f>
      </c>
      <c r="H2499" s="28">
        <f>IFERROR(VLOOKUP(F2499,CARTON_LOOKUP!$A:$E,4,0),"")</f>
      </c>
      <c r="I2499" s="28">
        <f>IFERROR(VLOOKUP(F2499,CARTON_LOOKUP!$A:$E,5,0),"")</f>
      </c>
      <c r="J2499" s="29">
        <f>IFERROR(VLOOKUP(F2499,CARTON_LOOKUP!$A:$E,2,0),"")</f>
      </c>
      <c r="K2499" s="29">
        <f>IFERROR(J2499*D2499,0)</f>
      </c>
      <c r="L2499" s="29">
        <f>IFERROR(E2499*C2499,0)</f>
      </c>
      <c r="M2499" s="29">
        <f>IFERROR((G2499*H2499*I2499/1000000)*D2499,0)</f>
      </c>
    </row>
    <row r="2500" spans="1:13" x14ac:dyDescent="0.25">
      <c r="A2500" s="16"/>
      <c r="E2500" s="27"/>
      <c r="F2500" t="s">
        <v>26</v>
      </c>
      <c r="G2500" s="28">
        <f>IFERROR(VLOOKUP(F2500,CARTON_LOOKUP!$A:$E,3,0),"")</f>
      </c>
      <c r="H2500" s="28">
        <f>IFERROR(VLOOKUP(F2500,CARTON_LOOKUP!$A:$E,4,0),"")</f>
      </c>
      <c r="I2500" s="28">
        <f>IFERROR(VLOOKUP(F2500,CARTON_LOOKUP!$A:$E,5,0),"")</f>
      </c>
      <c r="J2500" s="29">
        <f>IFERROR(VLOOKUP(F2500,CARTON_LOOKUP!$A:$E,2,0),"")</f>
      </c>
      <c r="K2500" s="29">
        <f>IFERROR(J2500*D2500,0)</f>
      </c>
      <c r="L2500" s="29">
        <f>IFERROR(E2500*C2500,0)</f>
      </c>
      <c r="M2500" s="29">
        <f>IFERROR((G2500*H2500*I2500/1000000)*D2500,0)</f>
      </c>
    </row>
    <row r="2501" spans="1:13" x14ac:dyDescent="0.25">
      <c r="A2501" s="16"/>
      <c r="E2501" s="27"/>
      <c r="F2501" t="s">
        <v>26</v>
      </c>
      <c r="G2501" s="28">
        <f>IFERROR(VLOOKUP(F2501,CARTON_LOOKUP!$A:$E,3,0),"")</f>
      </c>
      <c r="H2501" s="28">
        <f>IFERROR(VLOOKUP(F2501,CARTON_LOOKUP!$A:$E,4,0),"")</f>
      </c>
      <c r="I2501" s="28">
        <f>IFERROR(VLOOKUP(F2501,CARTON_LOOKUP!$A:$E,5,0),"")</f>
      </c>
      <c r="J2501" s="29">
        <f>IFERROR(VLOOKUP(F2501,CARTON_LOOKUP!$A:$E,2,0),"")</f>
      </c>
      <c r="K2501" s="29">
        <f>IFERROR(J2501*D2501,0)</f>
      </c>
      <c r="L2501" s="29">
        <f>IFERROR(E2501*C2501,0)</f>
      </c>
      <c r="M2501" s="29">
        <f>IFERROR((G2501*H2501*I2501/1000000)*D2501,0)</f>
      </c>
    </row>
    <row r="2502" spans="1:13" x14ac:dyDescent="0.25">
      <c r="A2502" s="16"/>
      <c r="E2502" s="27"/>
      <c r="F2502" t="s">
        <v>26</v>
      </c>
      <c r="G2502" s="28">
        <f>IFERROR(VLOOKUP(F2502,CARTON_LOOKUP!$A:$E,3,0),"")</f>
      </c>
      <c r="H2502" s="28">
        <f>IFERROR(VLOOKUP(F2502,CARTON_LOOKUP!$A:$E,4,0),"")</f>
      </c>
      <c r="I2502" s="28">
        <f>IFERROR(VLOOKUP(F2502,CARTON_LOOKUP!$A:$E,5,0),"")</f>
      </c>
      <c r="J2502" s="29">
        <f>IFERROR(VLOOKUP(F2502,CARTON_LOOKUP!$A:$E,2,0),"")</f>
      </c>
      <c r="K2502" s="29">
        <f>IFERROR(J2502*D2502,0)</f>
      </c>
      <c r="L2502" s="29">
        <f>IFERROR(E2502*C2502,0)</f>
      </c>
      <c r="M2502" s="29">
        <f>IFERROR((G2502*H2502*I2502/1000000)*D2502,0)</f>
      </c>
    </row>
    <row r="2503" spans="1:13" x14ac:dyDescent="0.25">
      <c r="A2503" s="16"/>
      <c r="E2503" s="27"/>
      <c r="F2503" t="s">
        <v>26</v>
      </c>
      <c r="G2503" s="28">
        <f>IFERROR(VLOOKUP(F2503,CARTON_LOOKUP!$A:$E,3,0),"")</f>
      </c>
      <c r="H2503" s="28">
        <f>IFERROR(VLOOKUP(F2503,CARTON_LOOKUP!$A:$E,4,0),"")</f>
      </c>
      <c r="I2503" s="28">
        <f>IFERROR(VLOOKUP(F2503,CARTON_LOOKUP!$A:$E,5,0),"")</f>
      </c>
      <c r="J2503" s="29">
        <f>IFERROR(VLOOKUP(F2503,CARTON_LOOKUP!$A:$E,2,0),"")</f>
      </c>
      <c r="K2503" s="29">
        <f>IFERROR(J2503*D2503,0)</f>
      </c>
      <c r="L2503" s="29">
        <f>IFERROR(E2503*C2503,0)</f>
      </c>
      <c r="M2503" s="29">
        <f>IFERROR((G2503*H2503*I2503/1000000)*D2503,0)</f>
      </c>
    </row>
    <row r="2504" spans="1:13" x14ac:dyDescent="0.25">
      <c r="A2504" s="16"/>
      <c r="E2504" s="27"/>
      <c r="F2504" t="s">
        <v>26</v>
      </c>
      <c r="G2504" s="28">
        <f>IFERROR(VLOOKUP(F2504,CARTON_LOOKUP!$A:$E,3,0),"")</f>
      </c>
      <c r="H2504" s="28">
        <f>IFERROR(VLOOKUP(F2504,CARTON_LOOKUP!$A:$E,4,0),"")</f>
      </c>
      <c r="I2504" s="28">
        <f>IFERROR(VLOOKUP(F2504,CARTON_LOOKUP!$A:$E,5,0),"")</f>
      </c>
      <c r="J2504" s="29">
        <f>IFERROR(VLOOKUP(F2504,CARTON_LOOKUP!$A:$E,2,0),"")</f>
      </c>
      <c r="K2504" s="29">
        <f>IFERROR(J2504*D2504,0)</f>
      </c>
      <c r="L2504" s="29">
        <f>IFERROR(E2504*C2504,0)</f>
      </c>
      <c r="M2504" s="29">
        <f>IFERROR((G2504*H2504*I2504/1000000)*D2504,0)</f>
      </c>
    </row>
    <row r="2505" spans="1:13" x14ac:dyDescent="0.25">
      <c r="A2505" s="16"/>
      <c r="E2505" s="27"/>
      <c r="F2505" t="s">
        <v>26</v>
      </c>
      <c r="G2505" s="28">
        <f>IFERROR(VLOOKUP(F2505,CARTON_LOOKUP!$A:$E,3,0),"")</f>
      </c>
      <c r="H2505" s="28">
        <f>IFERROR(VLOOKUP(F2505,CARTON_LOOKUP!$A:$E,4,0),"")</f>
      </c>
      <c r="I2505" s="28">
        <f>IFERROR(VLOOKUP(F2505,CARTON_LOOKUP!$A:$E,5,0),"")</f>
      </c>
      <c r="J2505" s="29">
        <f>IFERROR(VLOOKUP(F2505,CARTON_LOOKUP!$A:$E,2,0),"")</f>
      </c>
      <c r="K2505" s="29">
        <f>IFERROR(J2505*D2505,0)</f>
      </c>
      <c r="L2505" s="29">
        <f>IFERROR(E2505*C2505,0)</f>
      </c>
      <c r="M2505" s="29">
        <f>IFERROR((G2505*H2505*I2505/1000000)*D2505,0)</f>
      </c>
    </row>
    <row r="2506" spans="1:13" x14ac:dyDescent="0.25">
      <c r="A2506" s="16"/>
      <c r="E2506" s="27"/>
      <c r="F2506" t="s">
        <v>26</v>
      </c>
      <c r="G2506" s="28">
        <f>IFERROR(VLOOKUP(F2506,CARTON_LOOKUP!$A:$E,3,0),"")</f>
      </c>
      <c r="H2506" s="28">
        <f>IFERROR(VLOOKUP(F2506,CARTON_LOOKUP!$A:$E,4,0),"")</f>
      </c>
      <c r="I2506" s="28">
        <f>IFERROR(VLOOKUP(F2506,CARTON_LOOKUP!$A:$E,5,0),"")</f>
      </c>
      <c r="J2506" s="29">
        <f>IFERROR(VLOOKUP(F2506,CARTON_LOOKUP!$A:$E,2,0),"")</f>
      </c>
      <c r="K2506" s="29">
        <f>IFERROR(J2506*D2506,0)</f>
      </c>
      <c r="L2506" s="29">
        <f>IFERROR(E2506*C2506,0)</f>
      </c>
      <c r="M2506" s="29">
        <f>IFERROR((G2506*H2506*I2506/1000000)*D2506,0)</f>
      </c>
    </row>
    <row r="2507" spans="1:13" x14ac:dyDescent="0.25">
      <c r="A2507" s="16"/>
      <c r="E2507" s="27"/>
      <c r="F2507" t="s">
        <v>26</v>
      </c>
      <c r="G2507" s="28">
        <f>IFERROR(VLOOKUP(F2507,CARTON_LOOKUP!$A:$E,3,0),"")</f>
      </c>
      <c r="H2507" s="28">
        <f>IFERROR(VLOOKUP(F2507,CARTON_LOOKUP!$A:$E,4,0),"")</f>
      </c>
      <c r="I2507" s="28">
        <f>IFERROR(VLOOKUP(F2507,CARTON_LOOKUP!$A:$E,5,0),"")</f>
      </c>
      <c r="J2507" s="29">
        <f>IFERROR(VLOOKUP(F2507,CARTON_LOOKUP!$A:$E,2,0),"")</f>
      </c>
      <c r="K2507" s="29">
        <f>IFERROR(J2507*D2507,0)</f>
      </c>
      <c r="L2507" s="29">
        <f>IFERROR(E2507*C2507,0)</f>
      </c>
      <c r="M2507" s="29">
        <f>IFERROR((G2507*H2507*I2507/1000000)*D2507,0)</f>
      </c>
    </row>
    <row r="2508" spans="1:13" x14ac:dyDescent="0.25">
      <c r="A2508" s="16"/>
      <c r="E2508" s="27"/>
      <c r="F2508" t="s">
        <v>26</v>
      </c>
      <c r="G2508" s="28">
        <f>IFERROR(VLOOKUP(F2508,CARTON_LOOKUP!$A:$E,3,0),"")</f>
      </c>
      <c r="H2508" s="28">
        <f>IFERROR(VLOOKUP(F2508,CARTON_LOOKUP!$A:$E,4,0),"")</f>
      </c>
      <c r="I2508" s="28">
        <f>IFERROR(VLOOKUP(F2508,CARTON_LOOKUP!$A:$E,5,0),"")</f>
      </c>
      <c r="J2508" s="29">
        <f>IFERROR(VLOOKUP(F2508,CARTON_LOOKUP!$A:$E,2,0),"")</f>
      </c>
      <c r="K2508" s="29">
        <f>IFERROR(J2508*D2508,0)</f>
      </c>
      <c r="L2508" s="29">
        <f>IFERROR(E2508*C2508,0)</f>
      </c>
      <c r="M2508" s="29">
        <f>IFERROR((G2508*H2508*I2508/1000000)*D2508,0)</f>
      </c>
    </row>
    <row r="2509" spans="1:13" x14ac:dyDescent="0.25">
      <c r="A2509" s="16"/>
      <c r="E2509" s="27"/>
      <c r="F2509" t="s">
        <v>26</v>
      </c>
      <c r="G2509" s="28">
        <f>IFERROR(VLOOKUP(F2509,CARTON_LOOKUP!$A:$E,3,0),"")</f>
      </c>
      <c r="H2509" s="28">
        <f>IFERROR(VLOOKUP(F2509,CARTON_LOOKUP!$A:$E,4,0),"")</f>
      </c>
      <c r="I2509" s="28">
        <f>IFERROR(VLOOKUP(F2509,CARTON_LOOKUP!$A:$E,5,0),"")</f>
      </c>
      <c r="J2509" s="29">
        <f>IFERROR(VLOOKUP(F2509,CARTON_LOOKUP!$A:$E,2,0),"")</f>
      </c>
      <c r="K2509" s="29">
        <f>IFERROR(J2509*D2509,0)</f>
      </c>
      <c r="L2509" s="29">
        <f>IFERROR(E2509*C2509,0)</f>
      </c>
      <c r="M2509" s="29">
        <f>IFERROR((G2509*H2509*I2509/1000000)*D2509,0)</f>
      </c>
    </row>
    <row r="2510" spans="1:13" x14ac:dyDescent="0.25">
      <c r="A2510" s="16"/>
      <c r="E2510" s="27"/>
      <c r="F2510" t="s">
        <v>26</v>
      </c>
      <c r="G2510" s="28">
        <f>IFERROR(VLOOKUP(F2510,CARTON_LOOKUP!$A:$E,3,0),"")</f>
      </c>
      <c r="H2510" s="28">
        <f>IFERROR(VLOOKUP(F2510,CARTON_LOOKUP!$A:$E,4,0),"")</f>
      </c>
      <c r="I2510" s="28">
        <f>IFERROR(VLOOKUP(F2510,CARTON_LOOKUP!$A:$E,5,0),"")</f>
      </c>
      <c r="J2510" s="29">
        <f>IFERROR(VLOOKUP(F2510,CARTON_LOOKUP!$A:$E,2,0),"")</f>
      </c>
      <c r="K2510" s="29">
        <f>IFERROR(J2510*D2510,0)</f>
      </c>
      <c r="L2510" s="29">
        <f>IFERROR(E2510*C2510,0)</f>
      </c>
      <c r="M2510" s="29">
        <f>IFERROR((G2510*H2510*I2510/1000000)*D2510,0)</f>
      </c>
    </row>
    <row r="2511" spans="1:13" x14ac:dyDescent="0.25">
      <c r="A2511" s="16"/>
      <c r="E2511" s="27"/>
      <c r="F2511" t="s">
        <v>26</v>
      </c>
      <c r="G2511" s="28">
        <f>IFERROR(VLOOKUP(F2511,CARTON_LOOKUP!$A:$E,3,0),"")</f>
      </c>
      <c r="H2511" s="28">
        <f>IFERROR(VLOOKUP(F2511,CARTON_LOOKUP!$A:$E,4,0),"")</f>
      </c>
      <c r="I2511" s="28">
        <f>IFERROR(VLOOKUP(F2511,CARTON_LOOKUP!$A:$E,5,0),"")</f>
      </c>
      <c r="J2511" s="29">
        <f>IFERROR(VLOOKUP(F2511,CARTON_LOOKUP!$A:$E,2,0),"")</f>
      </c>
      <c r="K2511" s="29">
        <f>IFERROR(J2511*D2511,0)</f>
      </c>
      <c r="L2511" s="29">
        <f>IFERROR(E2511*C2511,0)</f>
      </c>
      <c r="M2511" s="29">
        <f>IFERROR((G2511*H2511*I2511/1000000)*D2511,0)</f>
      </c>
    </row>
    <row r="2512" spans="1:13" x14ac:dyDescent="0.25">
      <c r="A2512" s="16"/>
      <c r="E2512" s="27"/>
      <c r="F2512" t="s">
        <v>26</v>
      </c>
      <c r="G2512" s="28">
        <f>IFERROR(VLOOKUP(F2512,CARTON_LOOKUP!$A:$E,3,0),"")</f>
      </c>
      <c r="H2512" s="28">
        <f>IFERROR(VLOOKUP(F2512,CARTON_LOOKUP!$A:$E,4,0),"")</f>
      </c>
      <c r="I2512" s="28">
        <f>IFERROR(VLOOKUP(F2512,CARTON_LOOKUP!$A:$E,5,0),"")</f>
      </c>
      <c r="J2512" s="29">
        <f>IFERROR(VLOOKUP(F2512,CARTON_LOOKUP!$A:$E,2,0),"")</f>
      </c>
      <c r="K2512" s="29">
        <f>IFERROR(J2512*D2512,0)</f>
      </c>
      <c r="L2512" s="29">
        <f>IFERROR(E2512*C2512,0)</f>
      </c>
      <c r="M2512" s="29">
        <f>IFERROR((G2512*H2512*I2512/1000000)*D2512,0)</f>
      </c>
    </row>
    <row r="2513" spans="1:13" x14ac:dyDescent="0.25">
      <c r="A2513" s="16"/>
      <c r="E2513" s="27"/>
      <c r="F2513" t="s">
        <v>26</v>
      </c>
      <c r="G2513" s="28">
        <f>IFERROR(VLOOKUP(F2513,CARTON_LOOKUP!$A:$E,3,0),"")</f>
      </c>
      <c r="H2513" s="28">
        <f>IFERROR(VLOOKUP(F2513,CARTON_LOOKUP!$A:$E,4,0),"")</f>
      </c>
      <c r="I2513" s="28">
        <f>IFERROR(VLOOKUP(F2513,CARTON_LOOKUP!$A:$E,5,0),"")</f>
      </c>
      <c r="J2513" s="29">
        <f>IFERROR(VLOOKUP(F2513,CARTON_LOOKUP!$A:$E,2,0),"")</f>
      </c>
      <c r="K2513" s="29">
        <f>IFERROR(J2513*D2513,0)</f>
      </c>
      <c r="L2513" s="29">
        <f>IFERROR(E2513*C2513,0)</f>
      </c>
      <c r="M2513" s="29">
        <f>IFERROR((G2513*H2513*I2513/1000000)*D2513,0)</f>
      </c>
    </row>
    <row r="2514" spans="1:13" x14ac:dyDescent="0.25">
      <c r="A2514" s="16"/>
      <c r="E2514" s="27"/>
      <c r="F2514" t="s">
        <v>26</v>
      </c>
      <c r="G2514" s="28">
        <f>IFERROR(VLOOKUP(F2514,CARTON_LOOKUP!$A:$E,3,0),"")</f>
      </c>
      <c r="H2514" s="28">
        <f>IFERROR(VLOOKUP(F2514,CARTON_LOOKUP!$A:$E,4,0),"")</f>
      </c>
      <c r="I2514" s="28">
        <f>IFERROR(VLOOKUP(F2514,CARTON_LOOKUP!$A:$E,5,0),"")</f>
      </c>
      <c r="J2514" s="29">
        <f>IFERROR(VLOOKUP(F2514,CARTON_LOOKUP!$A:$E,2,0),"")</f>
      </c>
      <c r="K2514" s="29">
        <f>IFERROR(J2514*D2514,0)</f>
      </c>
      <c r="L2514" s="29">
        <f>IFERROR(E2514*C2514,0)</f>
      </c>
      <c r="M2514" s="29">
        <f>IFERROR((G2514*H2514*I2514/1000000)*D2514,0)</f>
      </c>
    </row>
    <row r="2515" spans="1:13" x14ac:dyDescent="0.25">
      <c r="A2515" s="16"/>
      <c r="E2515" s="27"/>
      <c r="F2515" t="s">
        <v>26</v>
      </c>
      <c r="G2515" s="28">
        <f>IFERROR(VLOOKUP(F2515,CARTON_LOOKUP!$A:$E,3,0),"")</f>
      </c>
      <c r="H2515" s="28">
        <f>IFERROR(VLOOKUP(F2515,CARTON_LOOKUP!$A:$E,4,0),"")</f>
      </c>
      <c r="I2515" s="28">
        <f>IFERROR(VLOOKUP(F2515,CARTON_LOOKUP!$A:$E,5,0),"")</f>
      </c>
      <c r="J2515" s="29">
        <f>IFERROR(VLOOKUP(F2515,CARTON_LOOKUP!$A:$E,2,0),"")</f>
      </c>
      <c r="K2515" s="29">
        <f>IFERROR(J2515*D2515,0)</f>
      </c>
      <c r="L2515" s="29">
        <f>IFERROR(E2515*C2515,0)</f>
      </c>
      <c r="M2515" s="29">
        <f>IFERROR((G2515*H2515*I2515/1000000)*D2515,0)</f>
      </c>
    </row>
    <row r="2516" spans="1:13" x14ac:dyDescent="0.25">
      <c r="A2516" s="16"/>
      <c r="E2516" s="27"/>
      <c r="F2516" t="s">
        <v>26</v>
      </c>
      <c r="G2516" s="28">
        <f>IFERROR(VLOOKUP(F2516,CARTON_LOOKUP!$A:$E,3,0),"")</f>
      </c>
      <c r="H2516" s="28">
        <f>IFERROR(VLOOKUP(F2516,CARTON_LOOKUP!$A:$E,4,0),"")</f>
      </c>
      <c r="I2516" s="28">
        <f>IFERROR(VLOOKUP(F2516,CARTON_LOOKUP!$A:$E,5,0),"")</f>
      </c>
      <c r="J2516" s="29">
        <f>IFERROR(VLOOKUP(F2516,CARTON_LOOKUP!$A:$E,2,0),"")</f>
      </c>
      <c r="K2516" s="29">
        <f>IFERROR(J2516*D2516,0)</f>
      </c>
      <c r="L2516" s="29">
        <f>IFERROR(E2516*C2516,0)</f>
      </c>
      <c r="M2516" s="29">
        <f>IFERROR((G2516*H2516*I2516/1000000)*D2516,0)</f>
      </c>
    </row>
    <row r="2517" spans="1:13" x14ac:dyDescent="0.25">
      <c r="A2517" s="16"/>
      <c r="E2517" s="27"/>
      <c r="F2517" t="s">
        <v>26</v>
      </c>
      <c r="G2517" s="28">
        <f>IFERROR(VLOOKUP(F2517,CARTON_LOOKUP!$A:$E,3,0),"")</f>
      </c>
      <c r="H2517" s="28">
        <f>IFERROR(VLOOKUP(F2517,CARTON_LOOKUP!$A:$E,4,0),"")</f>
      </c>
      <c r="I2517" s="28">
        <f>IFERROR(VLOOKUP(F2517,CARTON_LOOKUP!$A:$E,5,0),"")</f>
      </c>
      <c r="J2517" s="29">
        <f>IFERROR(VLOOKUP(F2517,CARTON_LOOKUP!$A:$E,2,0),"")</f>
      </c>
      <c r="K2517" s="29">
        <f>IFERROR(J2517*D2517,0)</f>
      </c>
      <c r="L2517" s="29">
        <f>IFERROR(E2517*C2517,0)</f>
      </c>
      <c r="M2517" s="29">
        <f>IFERROR((G2517*H2517*I2517/1000000)*D2517,0)</f>
      </c>
    </row>
    <row r="2518" spans="1:13" x14ac:dyDescent="0.25">
      <c r="A2518" s="16"/>
      <c r="E2518" s="27"/>
      <c r="F2518" t="s">
        <v>26</v>
      </c>
      <c r="G2518" s="28">
        <f>IFERROR(VLOOKUP(F2518,CARTON_LOOKUP!$A:$E,3,0),"")</f>
      </c>
      <c r="H2518" s="28">
        <f>IFERROR(VLOOKUP(F2518,CARTON_LOOKUP!$A:$E,4,0),"")</f>
      </c>
      <c r="I2518" s="28">
        <f>IFERROR(VLOOKUP(F2518,CARTON_LOOKUP!$A:$E,5,0),"")</f>
      </c>
      <c r="J2518" s="29">
        <f>IFERROR(VLOOKUP(F2518,CARTON_LOOKUP!$A:$E,2,0),"")</f>
      </c>
      <c r="K2518" s="29">
        <f>IFERROR(J2518*D2518,0)</f>
      </c>
      <c r="L2518" s="29">
        <f>IFERROR(E2518*C2518,0)</f>
      </c>
      <c r="M2518" s="29">
        <f>IFERROR((G2518*H2518*I2518/1000000)*D2518,0)</f>
      </c>
    </row>
    <row r="2519" spans="1:13" x14ac:dyDescent="0.25">
      <c r="A2519" s="16"/>
      <c r="E2519" s="27"/>
      <c r="F2519" t="s">
        <v>26</v>
      </c>
      <c r="G2519" s="28">
        <f>IFERROR(VLOOKUP(F2519,CARTON_LOOKUP!$A:$E,3,0),"")</f>
      </c>
      <c r="H2519" s="28">
        <f>IFERROR(VLOOKUP(F2519,CARTON_LOOKUP!$A:$E,4,0),"")</f>
      </c>
      <c r="I2519" s="28">
        <f>IFERROR(VLOOKUP(F2519,CARTON_LOOKUP!$A:$E,5,0),"")</f>
      </c>
      <c r="J2519" s="29">
        <f>IFERROR(VLOOKUP(F2519,CARTON_LOOKUP!$A:$E,2,0),"")</f>
      </c>
      <c r="K2519" s="29">
        <f>IFERROR(J2519*D2519,0)</f>
      </c>
      <c r="L2519" s="29">
        <f>IFERROR(E2519*C2519,0)</f>
      </c>
      <c r="M2519" s="29">
        <f>IFERROR((G2519*H2519*I2519/1000000)*D2519,0)</f>
      </c>
    </row>
    <row r="2520" spans="1:13" x14ac:dyDescent="0.25">
      <c r="A2520" s="16"/>
      <c r="E2520" s="27"/>
      <c r="F2520" t="s">
        <v>26</v>
      </c>
      <c r="G2520" s="28">
        <f>IFERROR(VLOOKUP(F2520,CARTON_LOOKUP!$A:$E,3,0),"")</f>
      </c>
      <c r="H2520" s="28">
        <f>IFERROR(VLOOKUP(F2520,CARTON_LOOKUP!$A:$E,4,0),"")</f>
      </c>
      <c r="I2520" s="28">
        <f>IFERROR(VLOOKUP(F2520,CARTON_LOOKUP!$A:$E,5,0),"")</f>
      </c>
      <c r="J2520" s="29">
        <f>IFERROR(VLOOKUP(F2520,CARTON_LOOKUP!$A:$E,2,0),"")</f>
      </c>
      <c r="K2520" s="29">
        <f>IFERROR(J2520*D2520,0)</f>
      </c>
      <c r="L2520" s="29">
        <f>IFERROR(E2520*C2520,0)</f>
      </c>
      <c r="M2520" s="29">
        <f>IFERROR((G2520*H2520*I2520/1000000)*D2520,0)</f>
      </c>
    </row>
    <row r="2521" spans="1:13" x14ac:dyDescent="0.25">
      <c r="A2521" s="16"/>
      <c r="E2521" s="27"/>
      <c r="F2521" t="s">
        <v>26</v>
      </c>
      <c r="G2521" s="28">
        <f>IFERROR(VLOOKUP(F2521,CARTON_LOOKUP!$A:$E,3,0),"")</f>
      </c>
      <c r="H2521" s="28">
        <f>IFERROR(VLOOKUP(F2521,CARTON_LOOKUP!$A:$E,4,0),"")</f>
      </c>
      <c r="I2521" s="28">
        <f>IFERROR(VLOOKUP(F2521,CARTON_LOOKUP!$A:$E,5,0),"")</f>
      </c>
      <c r="J2521" s="29">
        <f>IFERROR(VLOOKUP(F2521,CARTON_LOOKUP!$A:$E,2,0),"")</f>
      </c>
      <c r="K2521" s="29">
        <f>IFERROR(J2521*D2521,0)</f>
      </c>
      <c r="L2521" s="29">
        <f>IFERROR(E2521*C2521,0)</f>
      </c>
      <c r="M2521" s="29">
        <f>IFERROR((G2521*H2521*I2521/1000000)*D2521,0)</f>
      </c>
    </row>
    <row r="2522" spans="1:13" x14ac:dyDescent="0.25">
      <c r="A2522" s="16"/>
      <c r="E2522" s="27"/>
      <c r="F2522" t="s">
        <v>26</v>
      </c>
      <c r="G2522" s="28">
        <f>IFERROR(VLOOKUP(F2522,CARTON_LOOKUP!$A:$E,3,0),"")</f>
      </c>
      <c r="H2522" s="28">
        <f>IFERROR(VLOOKUP(F2522,CARTON_LOOKUP!$A:$E,4,0),"")</f>
      </c>
      <c r="I2522" s="28">
        <f>IFERROR(VLOOKUP(F2522,CARTON_LOOKUP!$A:$E,5,0),"")</f>
      </c>
      <c r="J2522" s="29">
        <f>IFERROR(VLOOKUP(F2522,CARTON_LOOKUP!$A:$E,2,0),"")</f>
      </c>
      <c r="K2522" s="29">
        <f>IFERROR(J2522*D2522,0)</f>
      </c>
      <c r="L2522" s="29">
        <f>IFERROR(E2522*C2522,0)</f>
      </c>
      <c r="M2522" s="29">
        <f>IFERROR((G2522*H2522*I2522/1000000)*D2522,0)</f>
      </c>
    </row>
    <row r="2523" spans="1:13" x14ac:dyDescent="0.25">
      <c r="A2523" s="16"/>
      <c r="E2523" s="27"/>
      <c r="F2523" t="s">
        <v>26</v>
      </c>
      <c r="G2523" s="28">
        <f>IFERROR(VLOOKUP(F2523,CARTON_LOOKUP!$A:$E,3,0),"")</f>
      </c>
      <c r="H2523" s="28">
        <f>IFERROR(VLOOKUP(F2523,CARTON_LOOKUP!$A:$E,4,0),"")</f>
      </c>
      <c r="I2523" s="28">
        <f>IFERROR(VLOOKUP(F2523,CARTON_LOOKUP!$A:$E,5,0),"")</f>
      </c>
      <c r="J2523" s="29">
        <f>IFERROR(VLOOKUP(F2523,CARTON_LOOKUP!$A:$E,2,0),"")</f>
      </c>
      <c r="K2523" s="29">
        <f>IFERROR(J2523*D2523,0)</f>
      </c>
      <c r="L2523" s="29">
        <f>IFERROR(E2523*C2523,0)</f>
      </c>
      <c r="M2523" s="29">
        <f>IFERROR((G2523*H2523*I2523/1000000)*D2523,0)</f>
      </c>
    </row>
    <row r="2524" spans="1:13" x14ac:dyDescent="0.25">
      <c r="A2524" s="16"/>
      <c r="E2524" s="27"/>
      <c r="F2524" t="s">
        <v>26</v>
      </c>
      <c r="G2524" s="28">
        <f>IFERROR(VLOOKUP(F2524,CARTON_LOOKUP!$A:$E,3,0),"")</f>
      </c>
      <c r="H2524" s="28">
        <f>IFERROR(VLOOKUP(F2524,CARTON_LOOKUP!$A:$E,4,0),"")</f>
      </c>
      <c r="I2524" s="28">
        <f>IFERROR(VLOOKUP(F2524,CARTON_LOOKUP!$A:$E,5,0),"")</f>
      </c>
      <c r="J2524" s="29">
        <f>IFERROR(VLOOKUP(F2524,CARTON_LOOKUP!$A:$E,2,0),"")</f>
      </c>
      <c r="K2524" s="29">
        <f>IFERROR(J2524*D2524,0)</f>
      </c>
      <c r="L2524" s="29">
        <f>IFERROR(E2524*C2524,0)</f>
      </c>
      <c r="M2524" s="29">
        <f>IFERROR((G2524*H2524*I2524/1000000)*D2524,0)</f>
      </c>
    </row>
    <row r="2525" spans="1:13" x14ac:dyDescent="0.25">
      <c r="A2525" s="16"/>
      <c r="E2525" s="27"/>
      <c r="F2525" t="s">
        <v>26</v>
      </c>
      <c r="G2525" s="28">
        <f>IFERROR(VLOOKUP(F2525,CARTON_LOOKUP!$A:$E,3,0),"")</f>
      </c>
      <c r="H2525" s="28">
        <f>IFERROR(VLOOKUP(F2525,CARTON_LOOKUP!$A:$E,4,0),"")</f>
      </c>
      <c r="I2525" s="28">
        <f>IFERROR(VLOOKUP(F2525,CARTON_LOOKUP!$A:$E,5,0),"")</f>
      </c>
      <c r="J2525" s="29">
        <f>IFERROR(VLOOKUP(F2525,CARTON_LOOKUP!$A:$E,2,0),"")</f>
      </c>
      <c r="K2525" s="29">
        <f>IFERROR(J2525*D2525,0)</f>
      </c>
      <c r="L2525" s="29">
        <f>IFERROR(E2525*C2525,0)</f>
      </c>
      <c r="M2525" s="29">
        <f>IFERROR((G2525*H2525*I2525/1000000)*D2525,0)</f>
      </c>
    </row>
    <row r="2526" spans="1:13" x14ac:dyDescent="0.25">
      <c r="A2526" s="16"/>
      <c r="E2526" s="27"/>
      <c r="F2526" t="s">
        <v>26</v>
      </c>
      <c r="G2526" s="28">
        <f>IFERROR(VLOOKUP(F2526,CARTON_LOOKUP!$A:$E,3,0),"")</f>
      </c>
      <c r="H2526" s="28">
        <f>IFERROR(VLOOKUP(F2526,CARTON_LOOKUP!$A:$E,4,0),"")</f>
      </c>
      <c r="I2526" s="28">
        <f>IFERROR(VLOOKUP(F2526,CARTON_LOOKUP!$A:$E,5,0),"")</f>
      </c>
      <c r="J2526" s="29">
        <f>IFERROR(VLOOKUP(F2526,CARTON_LOOKUP!$A:$E,2,0),"")</f>
      </c>
      <c r="K2526" s="29">
        <f>IFERROR(J2526*D2526,0)</f>
      </c>
      <c r="L2526" s="29">
        <f>IFERROR(E2526*C2526,0)</f>
      </c>
      <c r="M2526" s="29">
        <f>IFERROR((G2526*H2526*I2526/1000000)*D2526,0)</f>
      </c>
    </row>
    <row r="2527" spans="1:13" x14ac:dyDescent="0.25">
      <c r="A2527" s="16"/>
      <c r="E2527" s="27"/>
      <c r="F2527" t="s">
        <v>26</v>
      </c>
      <c r="G2527" s="28">
        <f>IFERROR(VLOOKUP(F2527,CARTON_LOOKUP!$A:$E,3,0),"")</f>
      </c>
      <c r="H2527" s="28">
        <f>IFERROR(VLOOKUP(F2527,CARTON_LOOKUP!$A:$E,4,0),"")</f>
      </c>
      <c r="I2527" s="28">
        <f>IFERROR(VLOOKUP(F2527,CARTON_LOOKUP!$A:$E,5,0),"")</f>
      </c>
      <c r="J2527" s="29">
        <f>IFERROR(VLOOKUP(F2527,CARTON_LOOKUP!$A:$E,2,0),"")</f>
      </c>
      <c r="K2527" s="29">
        <f>IFERROR(J2527*D2527,0)</f>
      </c>
      <c r="L2527" s="29">
        <f>IFERROR(E2527*C2527,0)</f>
      </c>
      <c r="M2527" s="29">
        <f>IFERROR((G2527*H2527*I2527/1000000)*D2527,0)</f>
      </c>
    </row>
    <row r="2528" spans="1:13" x14ac:dyDescent="0.25">
      <c r="A2528" s="16"/>
      <c r="E2528" s="27"/>
      <c r="F2528" t="s">
        <v>26</v>
      </c>
      <c r="G2528" s="28">
        <f>IFERROR(VLOOKUP(F2528,CARTON_LOOKUP!$A:$E,3,0),"")</f>
      </c>
      <c r="H2528" s="28">
        <f>IFERROR(VLOOKUP(F2528,CARTON_LOOKUP!$A:$E,4,0),"")</f>
      </c>
      <c r="I2528" s="28">
        <f>IFERROR(VLOOKUP(F2528,CARTON_LOOKUP!$A:$E,5,0),"")</f>
      </c>
      <c r="J2528" s="29">
        <f>IFERROR(VLOOKUP(F2528,CARTON_LOOKUP!$A:$E,2,0),"")</f>
      </c>
      <c r="K2528" s="29">
        <f>IFERROR(J2528*D2528,0)</f>
      </c>
      <c r="L2528" s="29">
        <f>IFERROR(E2528*C2528,0)</f>
      </c>
      <c r="M2528" s="29">
        <f>IFERROR((G2528*H2528*I2528/1000000)*D2528,0)</f>
      </c>
    </row>
    <row r="2529" spans="1:13" x14ac:dyDescent="0.25">
      <c r="A2529" s="16"/>
      <c r="E2529" s="27"/>
      <c r="F2529" t="s">
        <v>26</v>
      </c>
      <c r="G2529" s="28">
        <f>IFERROR(VLOOKUP(F2529,CARTON_LOOKUP!$A:$E,3,0),"")</f>
      </c>
      <c r="H2529" s="28">
        <f>IFERROR(VLOOKUP(F2529,CARTON_LOOKUP!$A:$E,4,0),"")</f>
      </c>
      <c r="I2529" s="28">
        <f>IFERROR(VLOOKUP(F2529,CARTON_LOOKUP!$A:$E,5,0),"")</f>
      </c>
      <c r="J2529" s="29">
        <f>IFERROR(VLOOKUP(F2529,CARTON_LOOKUP!$A:$E,2,0),"")</f>
      </c>
      <c r="K2529" s="29">
        <f>IFERROR(J2529*D2529,0)</f>
      </c>
      <c r="L2529" s="29">
        <f>IFERROR(E2529*C2529,0)</f>
      </c>
      <c r="M2529" s="29">
        <f>IFERROR((G2529*H2529*I2529/1000000)*D2529,0)</f>
      </c>
    </row>
    <row r="2530" spans="1:13" x14ac:dyDescent="0.25">
      <c r="A2530" s="16"/>
      <c r="E2530" s="27"/>
      <c r="F2530" t="s">
        <v>26</v>
      </c>
      <c r="G2530" s="28">
        <f>IFERROR(VLOOKUP(F2530,CARTON_LOOKUP!$A:$E,3,0),"")</f>
      </c>
      <c r="H2530" s="28">
        <f>IFERROR(VLOOKUP(F2530,CARTON_LOOKUP!$A:$E,4,0),"")</f>
      </c>
      <c r="I2530" s="28">
        <f>IFERROR(VLOOKUP(F2530,CARTON_LOOKUP!$A:$E,5,0),"")</f>
      </c>
      <c r="J2530" s="29">
        <f>IFERROR(VLOOKUP(F2530,CARTON_LOOKUP!$A:$E,2,0),"")</f>
      </c>
      <c r="K2530" s="29">
        <f>IFERROR(J2530*D2530,0)</f>
      </c>
      <c r="L2530" s="29">
        <f>IFERROR(E2530*C2530,0)</f>
      </c>
      <c r="M2530" s="29">
        <f>IFERROR((G2530*H2530*I2530/1000000)*D2530,0)</f>
      </c>
    </row>
    <row r="2531" spans="1:13" x14ac:dyDescent="0.25">
      <c r="A2531" s="16"/>
      <c r="E2531" s="27"/>
      <c r="F2531" t="s">
        <v>26</v>
      </c>
      <c r="G2531" s="28">
        <f>IFERROR(VLOOKUP(F2531,CARTON_LOOKUP!$A:$E,3,0),"")</f>
      </c>
      <c r="H2531" s="28">
        <f>IFERROR(VLOOKUP(F2531,CARTON_LOOKUP!$A:$E,4,0),"")</f>
      </c>
      <c r="I2531" s="28">
        <f>IFERROR(VLOOKUP(F2531,CARTON_LOOKUP!$A:$E,5,0),"")</f>
      </c>
      <c r="J2531" s="29">
        <f>IFERROR(VLOOKUP(F2531,CARTON_LOOKUP!$A:$E,2,0),"")</f>
      </c>
      <c r="K2531" s="29">
        <f>IFERROR(J2531*D2531,0)</f>
      </c>
      <c r="L2531" s="29">
        <f>IFERROR(E2531*C2531,0)</f>
      </c>
      <c r="M2531" s="29">
        <f>IFERROR((G2531*H2531*I2531/1000000)*D2531,0)</f>
      </c>
    </row>
    <row r="2532" spans="1:13" x14ac:dyDescent="0.25">
      <c r="A2532" s="16"/>
      <c r="E2532" s="27"/>
      <c r="F2532" t="s">
        <v>26</v>
      </c>
      <c r="G2532" s="28">
        <f>IFERROR(VLOOKUP(F2532,CARTON_LOOKUP!$A:$E,3,0),"")</f>
      </c>
      <c r="H2532" s="28">
        <f>IFERROR(VLOOKUP(F2532,CARTON_LOOKUP!$A:$E,4,0),"")</f>
      </c>
      <c r="I2532" s="28">
        <f>IFERROR(VLOOKUP(F2532,CARTON_LOOKUP!$A:$E,5,0),"")</f>
      </c>
      <c r="J2532" s="29">
        <f>IFERROR(VLOOKUP(F2532,CARTON_LOOKUP!$A:$E,2,0),"")</f>
      </c>
      <c r="K2532" s="29">
        <f>IFERROR(J2532*D2532,0)</f>
      </c>
      <c r="L2532" s="29">
        <f>IFERROR(E2532*C2532,0)</f>
      </c>
      <c r="M2532" s="29">
        <f>IFERROR((G2532*H2532*I2532/1000000)*D2532,0)</f>
      </c>
    </row>
    <row r="2533" spans="1:13" x14ac:dyDescent="0.25">
      <c r="A2533" s="16"/>
      <c r="E2533" s="27"/>
      <c r="F2533" t="s">
        <v>26</v>
      </c>
      <c r="G2533" s="28">
        <f>IFERROR(VLOOKUP(F2533,CARTON_LOOKUP!$A:$E,3,0),"")</f>
      </c>
      <c r="H2533" s="28">
        <f>IFERROR(VLOOKUP(F2533,CARTON_LOOKUP!$A:$E,4,0),"")</f>
      </c>
      <c r="I2533" s="28">
        <f>IFERROR(VLOOKUP(F2533,CARTON_LOOKUP!$A:$E,5,0),"")</f>
      </c>
      <c r="J2533" s="29">
        <f>IFERROR(VLOOKUP(F2533,CARTON_LOOKUP!$A:$E,2,0),"")</f>
      </c>
      <c r="K2533" s="29">
        <f>IFERROR(J2533*D2533,0)</f>
      </c>
      <c r="L2533" s="29">
        <f>IFERROR(E2533*C2533,0)</f>
      </c>
      <c r="M2533" s="29">
        <f>IFERROR((G2533*H2533*I2533/1000000)*D2533,0)</f>
      </c>
    </row>
    <row r="2534" spans="1:13" x14ac:dyDescent="0.25">
      <c r="A2534" s="16"/>
      <c r="E2534" s="27"/>
      <c r="F2534" t="s">
        <v>26</v>
      </c>
      <c r="G2534" s="28">
        <f>IFERROR(VLOOKUP(F2534,CARTON_LOOKUP!$A:$E,3,0),"")</f>
      </c>
      <c r="H2534" s="28">
        <f>IFERROR(VLOOKUP(F2534,CARTON_LOOKUP!$A:$E,4,0),"")</f>
      </c>
      <c r="I2534" s="28">
        <f>IFERROR(VLOOKUP(F2534,CARTON_LOOKUP!$A:$E,5,0),"")</f>
      </c>
      <c r="J2534" s="29">
        <f>IFERROR(VLOOKUP(F2534,CARTON_LOOKUP!$A:$E,2,0),"")</f>
      </c>
      <c r="K2534" s="29">
        <f>IFERROR(J2534*D2534,0)</f>
      </c>
      <c r="L2534" s="29">
        <f>IFERROR(E2534*C2534,0)</f>
      </c>
      <c r="M2534" s="29">
        <f>IFERROR((G2534*H2534*I2534/1000000)*D2534,0)</f>
      </c>
    </row>
    <row r="2535" spans="1:13" x14ac:dyDescent="0.25">
      <c r="A2535" s="16"/>
      <c r="E2535" s="27"/>
      <c r="F2535" t="s">
        <v>26</v>
      </c>
      <c r="G2535" s="28">
        <f>IFERROR(VLOOKUP(F2535,CARTON_LOOKUP!$A:$E,3,0),"")</f>
      </c>
      <c r="H2535" s="28">
        <f>IFERROR(VLOOKUP(F2535,CARTON_LOOKUP!$A:$E,4,0),"")</f>
      </c>
      <c r="I2535" s="28">
        <f>IFERROR(VLOOKUP(F2535,CARTON_LOOKUP!$A:$E,5,0),"")</f>
      </c>
      <c r="J2535" s="29">
        <f>IFERROR(VLOOKUP(F2535,CARTON_LOOKUP!$A:$E,2,0),"")</f>
      </c>
      <c r="K2535" s="29">
        <f>IFERROR(J2535*D2535,0)</f>
      </c>
      <c r="L2535" s="29">
        <f>IFERROR(E2535*C2535,0)</f>
      </c>
      <c r="M2535" s="29">
        <f>IFERROR((G2535*H2535*I2535/1000000)*D2535,0)</f>
      </c>
    </row>
    <row r="2536" spans="1:13" x14ac:dyDescent="0.25">
      <c r="A2536" s="16"/>
      <c r="E2536" s="27"/>
      <c r="F2536" t="s">
        <v>26</v>
      </c>
      <c r="G2536" s="28">
        <f>IFERROR(VLOOKUP(F2536,CARTON_LOOKUP!$A:$E,3,0),"")</f>
      </c>
      <c r="H2536" s="28">
        <f>IFERROR(VLOOKUP(F2536,CARTON_LOOKUP!$A:$E,4,0),"")</f>
      </c>
      <c r="I2536" s="28">
        <f>IFERROR(VLOOKUP(F2536,CARTON_LOOKUP!$A:$E,5,0),"")</f>
      </c>
      <c r="J2536" s="29">
        <f>IFERROR(VLOOKUP(F2536,CARTON_LOOKUP!$A:$E,2,0),"")</f>
      </c>
      <c r="K2536" s="29">
        <f>IFERROR(J2536*D2536,0)</f>
      </c>
      <c r="L2536" s="29">
        <f>IFERROR(E2536*C2536,0)</f>
      </c>
      <c r="M2536" s="29">
        <f>IFERROR((G2536*H2536*I2536/1000000)*D2536,0)</f>
      </c>
    </row>
    <row r="2537" spans="1:13" x14ac:dyDescent="0.25">
      <c r="A2537" s="16"/>
      <c r="E2537" s="27"/>
      <c r="F2537" t="s">
        <v>26</v>
      </c>
      <c r="G2537" s="28">
        <f>IFERROR(VLOOKUP(F2537,CARTON_LOOKUP!$A:$E,3,0),"")</f>
      </c>
      <c r="H2537" s="28">
        <f>IFERROR(VLOOKUP(F2537,CARTON_LOOKUP!$A:$E,4,0),"")</f>
      </c>
      <c r="I2537" s="28">
        <f>IFERROR(VLOOKUP(F2537,CARTON_LOOKUP!$A:$E,5,0),"")</f>
      </c>
      <c r="J2537" s="29">
        <f>IFERROR(VLOOKUP(F2537,CARTON_LOOKUP!$A:$E,2,0),"")</f>
      </c>
      <c r="K2537" s="29">
        <f>IFERROR(J2537*D2537,0)</f>
      </c>
      <c r="L2537" s="29">
        <f>IFERROR(E2537*C2537,0)</f>
      </c>
      <c r="M2537" s="29">
        <f>IFERROR((G2537*H2537*I2537/1000000)*D2537,0)</f>
      </c>
    </row>
    <row r="2538" spans="1:13" x14ac:dyDescent="0.25">
      <c r="A2538" s="16"/>
      <c r="E2538" s="27"/>
      <c r="F2538" t="s">
        <v>26</v>
      </c>
      <c r="G2538" s="28">
        <f>IFERROR(VLOOKUP(F2538,CARTON_LOOKUP!$A:$E,3,0),"")</f>
      </c>
      <c r="H2538" s="28">
        <f>IFERROR(VLOOKUP(F2538,CARTON_LOOKUP!$A:$E,4,0),"")</f>
      </c>
      <c r="I2538" s="28">
        <f>IFERROR(VLOOKUP(F2538,CARTON_LOOKUP!$A:$E,5,0),"")</f>
      </c>
      <c r="J2538" s="29">
        <f>IFERROR(VLOOKUP(F2538,CARTON_LOOKUP!$A:$E,2,0),"")</f>
      </c>
      <c r="K2538" s="29">
        <f>IFERROR(J2538*D2538,0)</f>
      </c>
      <c r="L2538" s="29">
        <f>IFERROR(E2538*C2538,0)</f>
      </c>
      <c r="M2538" s="29">
        <f>IFERROR((G2538*H2538*I2538/1000000)*D2538,0)</f>
      </c>
    </row>
    <row r="2539" spans="1:13" x14ac:dyDescent="0.25">
      <c r="A2539" s="16"/>
      <c r="E2539" s="27"/>
      <c r="F2539" t="s">
        <v>26</v>
      </c>
      <c r="G2539" s="28">
        <f>IFERROR(VLOOKUP(F2539,CARTON_LOOKUP!$A:$E,3,0),"")</f>
      </c>
      <c r="H2539" s="28">
        <f>IFERROR(VLOOKUP(F2539,CARTON_LOOKUP!$A:$E,4,0),"")</f>
      </c>
      <c r="I2539" s="28">
        <f>IFERROR(VLOOKUP(F2539,CARTON_LOOKUP!$A:$E,5,0),"")</f>
      </c>
      <c r="J2539" s="29">
        <f>IFERROR(VLOOKUP(F2539,CARTON_LOOKUP!$A:$E,2,0),"")</f>
      </c>
      <c r="K2539" s="29">
        <f>IFERROR(J2539*D2539,0)</f>
      </c>
      <c r="L2539" s="29">
        <f>IFERROR(E2539*C2539,0)</f>
      </c>
      <c r="M2539" s="29">
        <f>IFERROR((G2539*H2539*I2539/1000000)*D2539,0)</f>
      </c>
    </row>
    <row r="2540" spans="1:13" x14ac:dyDescent="0.25">
      <c r="A2540" s="16"/>
      <c r="E2540" s="27"/>
      <c r="F2540" t="s">
        <v>26</v>
      </c>
      <c r="G2540" s="28">
        <f>IFERROR(VLOOKUP(F2540,CARTON_LOOKUP!$A:$E,3,0),"")</f>
      </c>
      <c r="H2540" s="28">
        <f>IFERROR(VLOOKUP(F2540,CARTON_LOOKUP!$A:$E,4,0),"")</f>
      </c>
      <c r="I2540" s="28">
        <f>IFERROR(VLOOKUP(F2540,CARTON_LOOKUP!$A:$E,5,0),"")</f>
      </c>
      <c r="J2540" s="29">
        <f>IFERROR(VLOOKUP(F2540,CARTON_LOOKUP!$A:$E,2,0),"")</f>
      </c>
      <c r="K2540" s="29">
        <f>IFERROR(J2540*D2540,0)</f>
      </c>
      <c r="L2540" s="29">
        <f>IFERROR(E2540*C2540,0)</f>
      </c>
      <c r="M2540" s="29">
        <f>IFERROR((G2540*H2540*I2540/1000000)*D2540,0)</f>
      </c>
    </row>
    <row r="2541" spans="1:13" x14ac:dyDescent="0.25">
      <c r="A2541" s="16"/>
      <c r="E2541" s="27"/>
      <c r="F2541" t="s">
        <v>26</v>
      </c>
      <c r="G2541" s="28">
        <f>IFERROR(VLOOKUP(F2541,CARTON_LOOKUP!$A:$E,3,0),"")</f>
      </c>
      <c r="H2541" s="28">
        <f>IFERROR(VLOOKUP(F2541,CARTON_LOOKUP!$A:$E,4,0),"")</f>
      </c>
      <c r="I2541" s="28">
        <f>IFERROR(VLOOKUP(F2541,CARTON_LOOKUP!$A:$E,5,0),"")</f>
      </c>
      <c r="J2541" s="29">
        <f>IFERROR(VLOOKUP(F2541,CARTON_LOOKUP!$A:$E,2,0),"")</f>
      </c>
      <c r="K2541" s="29">
        <f>IFERROR(J2541*D2541,0)</f>
      </c>
      <c r="L2541" s="29">
        <f>IFERROR(E2541*C2541,0)</f>
      </c>
      <c r="M2541" s="29">
        <f>IFERROR((G2541*H2541*I2541/1000000)*D2541,0)</f>
      </c>
    </row>
    <row r="2542" spans="1:13" x14ac:dyDescent="0.25">
      <c r="A2542" s="16"/>
      <c r="E2542" s="27"/>
      <c r="F2542" t="s">
        <v>26</v>
      </c>
      <c r="G2542" s="28">
        <f>IFERROR(VLOOKUP(F2542,CARTON_LOOKUP!$A:$E,3,0),"")</f>
      </c>
      <c r="H2542" s="28">
        <f>IFERROR(VLOOKUP(F2542,CARTON_LOOKUP!$A:$E,4,0),"")</f>
      </c>
      <c r="I2542" s="28">
        <f>IFERROR(VLOOKUP(F2542,CARTON_LOOKUP!$A:$E,5,0),"")</f>
      </c>
      <c r="J2542" s="29">
        <f>IFERROR(VLOOKUP(F2542,CARTON_LOOKUP!$A:$E,2,0),"")</f>
      </c>
      <c r="K2542" s="29">
        <f>IFERROR(J2542*D2542,0)</f>
      </c>
      <c r="L2542" s="29">
        <f>IFERROR(E2542*C2542,0)</f>
      </c>
      <c r="M2542" s="29">
        <f>IFERROR((G2542*H2542*I2542/1000000)*D2542,0)</f>
      </c>
    </row>
    <row r="2543" spans="1:13" x14ac:dyDescent="0.25">
      <c r="A2543" s="16"/>
      <c r="E2543" s="27"/>
      <c r="F2543" t="s">
        <v>26</v>
      </c>
      <c r="G2543" s="28">
        <f>IFERROR(VLOOKUP(F2543,CARTON_LOOKUP!$A:$E,3,0),"")</f>
      </c>
      <c r="H2543" s="28">
        <f>IFERROR(VLOOKUP(F2543,CARTON_LOOKUP!$A:$E,4,0),"")</f>
      </c>
      <c r="I2543" s="28">
        <f>IFERROR(VLOOKUP(F2543,CARTON_LOOKUP!$A:$E,5,0),"")</f>
      </c>
      <c r="J2543" s="29">
        <f>IFERROR(VLOOKUP(F2543,CARTON_LOOKUP!$A:$E,2,0),"")</f>
      </c>
      <c r="K2543" s="29">
        <f>IFERROR(J2543*D2543,0)</f>
      </c>
      <c r="L2543" s="29">
        <f>IFERROR(E2543*C2543,0)</f>
      </c>
      <c r="M2543" s="29">
        <f>IFERROR((G2543*H2543*I2543/1000000)*D2543,0)</f>
      </c>
    </row>
    <row r="2544" spans="1:13" x14ac:dyDescent="0.25">
      <c r="A2544" s="16"/>
      <c r="E2544" s="27"/>
      <c r="F2544" t="s">
        <v>26</v>
      </c>
      <c r="G2544" s="28">
        <f>IFERROR(VLOOKUP(F2544,CARTON_LOOKUP!$A:$E,3,0),"")</f>
      </c>
      <c r="H2544" s="28">
        <f>IFERROR(VLOOKUP(F2544,CARTON_LOOKUP!$A:$E,4,0),"")</f>
      </c>
      <c r="I2544" s="28">
        <f>IFERROR(VLOOKUP(F2544,CARTON_LOOKUP!$A:$E,5,0),"")</f>
      </c>
      <c r="J2544" s="29">
        <f>IFERROR(VLOOKUP(F2544,CARTON_LOOKUP!$A:$E,2,0),"")</f>
      </c>
      <c r="K2544" s="29">
        <f>IFERROR(J2544*D2544,0)</f>
      </c>
      <c r="L2544" s="29">
        <f>IFERROR(E2544*C2544,0)</f>
      </c>
      <c r="M2544" s="29">
        <f>IFERROR((G2544*H2544*I2544/1000000)*D2544,0)</f>
      </c>
    </row>
    <row r="2545" spans="1:13" x14ac:dyDescent="0.25">
      <c r="A2545" s="16"/>
      <c r="E2545" s="27"/>
      <c r="F2545" t="s">
        <v>26</v>
      </c>
      <c r="G2545" s="28">
        <f>IFERROR(VLOOKUP(F2545,CARTON_LOOKUP!$A:$E,3,0),"")</f>
      </c>
      <c r="H2545" s="28">
        <f>IFERROR(VLOOKUP(F2545,CARTON_LOOKUP!$A:$E,4,0),"")</f>
      </c>
      <c r="I2545" s="28">
        <f>IFERROR(VLOOKUP(F2545,CARTON_LOOKUP!$A:$E,5,0),"")</f>
      </c>
      <c r="J2545" s="29">
        <f>IFERROR(VLOOKUP(F2545,CARTON_LOOKUP!$A:$E,2,0),"")</f>
      </c>
      <c r="K2545" s="29">
        <f>IFERROR(J2545*D2545,0)</f>
      </c>
      <c r="L2545" s="29">
        <f>IFERROR(E2545*C2545,0)</f>
      </c>
      <c r="M2545" s="29">
        <f>IFERROR((G2545*H2545*I2545/1000000)*D2545,0)</f>
      </c>
    </row>
    <row r="2546" spans="1:13" x14ac:dyDescent="0.25">
      <c r="A2546" s="16"/>
      <c r="E2546" s="27"/>
      <c r="F2546" t="s">
        <v>26</v>
      </c>
      <c r="G2546" s="28">
        <f>IFERROR(VLOOKUP(F2546,CARTON_LOOKUP!$A:$E,3,0),"")</f>
      </c>
      <c r="H2546" s="28">
        <f>IFERROR(VLOOKUP(F2546,CARTON_LOOKUP!$A:$E,4,0),"")</f>
      </c>
      <c r="I2546" s="28">
        <f>IFERROR(VLOOKUP(F2546,CARTON_LOOKUP!$A:$E,5,0),"")</f>
      </c>
      <c r="J2546" s="29">
        <f>IFERROR(VLOOKUP(F2546,CARTON_LOOKUP!$A:$E,2,0),"")</f>
      </c>
      <c r="K2546" s="29">
        <f>IFERROR(J2546*D2546,0)</f>
      </c>
      <c r="L2546" s="29">
        <f>IFERROR(E2546*C2546,0)</f>
      </c>
      <c r="M2546" s="29">
        <f>IFERROR((G2546*H2546*I2546/1000000)*D2546,0)</f>
      </c>
    </row>
    <row r="2547" spans="1:13" x14ac:dyDescent="0.25">
      <c r="A2547" s="16"/>
      <c r="E2547" s="27"/>
      <c r="F2547" t="s">
        <v>26</v>
      </c>
      <c r="G2547" s="28">
        <f>IFERROR(VLOOKUP(F2547,CARTON_LOOKUP!$A:$E,3,0),"")</f>
      </c>
      <c r="H2547" s="28">
        <f>IFERROR(VLOOKUP(F2547,CARTON_LOOKUP!$A:$E,4,0),"")</f>
      </c>
      <c r="I2547" s="28">
        <f>IFERROR(VLOOKUP(F2547,CARTON_LOOKUP!$A:$E,5,0),"")</f>
      </c>
      <c r="J2547" s="29">
        <f>IFERROR(VLOOKUP(F2547,CARTON_LOOKUP!$A:$E,2,0),"")</f>
      </c>
      <c r="K2547" s="29">
        <f>IFERROR(J2547*D2547,0)</f>
      </c>
      <c r="L2547" s="29">
        <f>IFERROR(E2547*C2547,0)</f>
      </c>
      <c r="M2547" s="29">
        <f>IFERROR((G2547*H2547*I2547/1000000)*D2547,0)</f>
      </c>
    </row>
    <row r="2548" spans="1:13" x14ac:dyDescent="0.25">
      <c r="A2548" s="16"/>
      <c r="E2548" s="27"/>
      <c r="F2548" t="s">
        <v>26</v>
      </c>
      <c r="G2548" s="28">
        <f>IFERROR(VLOOKUP(F2548,CARTON_LOOKUP!$A:$E,3,0),"")</f>
      </c>
      <c r="H2548" s="28">
        <f>IFERROR(VLOOKUP(F2548,CARTON_LOOKUP!$A:$E,4,0),"")</f>
      </c>
      <c r="I2548" s="28">
        <f>IFERROR(VLOOKUP(F2548,CARTON_LOOKUP!$A:$E,5,0),"")</f>
      </c>
      <c r="J2548" s="29">
        <f>IFERROR(VLOOKUP(F2548,CARTON_LOOKUP!$A:$E,2,0),"")</f>
      </c>
      <c r="K2548" s="29">
        <f>IFERROR(J2548*D2548,0)</f>
      </c>
      <c r="L2548" s="29">
        <f>IFERROR(E2548*C2548,0)</f>
      </c>
      <c r="M2548" s="29">
        <f>IFERROR((G2548*H2548*I2548/1000000)*D2548,0)</f>
      </c>
    </row>
    <row r="2549" spans="1:13" x14ac:dyDescent="0.25">
      <c r="A2549" s="16"/>
      <c r="E2549" s="27"/>
      <c r="F2549" t="s">
        <v>26</v>
      </c>
      <c r="G2549" s="28">
        <f>IFERROR(VLOOKUP(F2549,CARTON_LOOKUP!$A:$E,3,0),"")</f>
      </c>
      <c r="H2549" s="28">
        <f>IFERROR(VLOOKUP(F2549,CARTON_LOOKUP!$A:$E,4,0),"")</f>
      </c>
      <c r="I2549" s="28">
        <f>IFERROR(VLOOKUP(F2549,CARTON_LOOKUP!$A:$E,5,0),"")</f>
      </c>
      <c r="J2549" s="29">
        <f>IFERROR(VLOOKUP(F2549,CARTON_LOOKUP!$A:$E,2,0),"")</f>
      </c>
      <c r="K2549" s="29">
        <f>IFERROR(J2549*D2549,0)</f>
      </c>
      <c r="L2549" s="29">
        <f>IFERROR(E2549*C2549,0)</f>
      </c>
      <c r="M2549" s="29">
        <f>IFERROR((G2549*H2549*I2549/1000000)*D2549,0)</f>
      </c>
    </row>
    <row r="2550" spans="1:13" x14ac:dyDescent="0.25">
      <c r="A2550" s="16"/>
      <c r="E2550" s="27"/>
      <c r="F2550" t="s">
        <v>26</v>
      </c>
      <c r="G2550" s="28">
        <f>IFERROR(VLOOKUP(F2550,CARTON_LOOKUP!$A:$E,3,0),"")</f>
      </c>
      <c r="H2550" s="28">
        <f>IFERROR(VLOOKUP(F2550,CARTON_LOOKUP!$A:$E,4,0),"")</f>
      </c>
      <c r="I2550" s="28">
        <f>IFERROR(VLOOKUP(F2550,CARTON_LOOKUP!$A:$E,5,0),"")</f>
      </c>
      <c r="J2550" s="29">
        <f>IFERROR(VLOOKUP(F2550,CARTON_LOOKUP!$A:$E,2,0),"")</f>
      </c>
      <c r="K2550" s="29">
        <f>IFERROR(J2550*D2550,0)</f>
      </c>
      <c r="L2550" s="29">
        <f>IFERROR(E2550*C2550,0)</f>
      </c>
      <c r="M2550" s="29">
        <f>IFERROR((G2550*H2550*I2550/1000000)*D2550,0)</f>
      </c>
    </row>
    <row r="2551" spans="1:13" x14ac:dyDescent="0.25">
      <c r="A2551" s="16"/>
      <c r="E2551" s="27"/>
      <c r="F2551" t="s">
        <v>26</v>
      </c>
      <c r="G2551" s="28">
        <f>IFERROR(VLOOKUP(F2551,CARTON_LOOKUP!$A:$E,3,0),"")</f>
      </c>
      <c r="H2551" s="28">
        <f>IFERROR(VLOOKUP(F2551,CARTON_LOOKUP!$A:$E,4,0),"")</f>
      </c>
      <c r="I2551" s="28">
        <f>IFERROR(VLOOKUP(F2551,CARTON_LOOKUP!$A:$E,5,0),"")</f>
      </c>
      <c r="J2551" s="29">
        <f>IFERROR(VLOOKUP(F2551,CARTON_LOOKUP!$A:$E,2,0),"")</f>
      </c>
      <c r="K2551" s="29">
        <f>IFERROR(J2551*D2551,0)</f>
      </c>
      <c r="L2551" s="29">
        <f>IFERROR(E2551*C2551,0)</f>
      </c>
      <c r="M2551" s="29">
        <f>IFERROR((G2551*H2551*I2551/1000000)*D2551,0)</f>
      </c>
    </row>
    <row r="2552" spans="1:13" x14ac:dyDescent="0.25">
      <c r="A2552" s="16"/>
      <c r="E2552" s="27"/>
      <c r="F2552" t="s">
        <v>26</v>
      </c>
      <c r="G2552" s="28">
        <f>IFERROR(VLOOKUP(F2552,CARTON_LOOKUP!$A:$E,3,0),"")</f>
      </c>
      <c r="H2552" s="28">
        <f>IFERROR(VLOOKUP(F2552,CARTON_LOOKUP!$A:$E,4,0),"")</f>
      </c>
      <c r="I2552" s="28">
        <f>IFERROR(VLOOKUP(F2552,CARTON_LOOKUP!$A:$E,5,0),"")</f>
      </c>
      <c r="J2552" s="29">
        <f>IFERROR(VLOOKUP(F2552,CARTON_LOOKUP!$A:$E,2,0),"")</f>
      </c>
      <c r="K2552" s="29">
        <f>IFERROR(J2552*D2552,0)</f>
      </c>
      <c r="L2552" s="29">
        <f>IFERROR(E2552*C2552,0)</f>
      </c>
      <c r="M2552" s="29">
        <f>IFERROR((G2552*H2552*I2552/1000000)*D2552,0)</f>
      </c>
    </row>
    <row r="2553" spans="1:13" x14ac:dyDescent="0.25">
      <c r="A2553" s="16"/>
      <c r="E2553" s="27"/>
      <c r="F2553" t="s">
        <v>26</v>
      </c>
      <c r="G2553" s="28">
        <f>IFERROR(VLOOKUP(F2553,CARTON_LOOKUP!$A:$E,3,0),"")</f>
      </c>
      <c r="H2553" s="28">
        <f>IFERROR(VLOOKUP(F2553,CARTON_LOOKUP!$A:$E,4,0),"")</f>
      </c>
      <c r="I2553" s="28">
        <f>IFERROR(VLOOKUP(F2553,CARTON_LOOKUP!$A:$E,5,0),"")</f>
      </c>
      <c r="J2553" s="29">
        <f>IFERROR(VLOOKUP(F2553,CARTON_LOOKUP!$A:$E,2,0),"")</f>
      </c>
      <c r="K2553" s="29">
        <f>IFERROR(J2553*D2553,0)</f>
      </c>
      <c r="L2553" s="29">
        <f>IFERROR(E2553*C2553,0)</f>
      </c>
      <c r="M2553" s="29">
        <f>IFERROR((G2553*H2553*I2553/1000000)*D2553,0)</f>
      </c>
    </row>
    <row r="2554" spans="1:13" x14ac:dyDescent="0.25">
      <c r="A2554" s="16"/>
      <c r="E2554" s="27"/>
      <c r="F2554" t="s">
        <v>26</v>
      </c>
      <c r="G2554" s="28">
        <f>IFERROR(VLOOKUP(F2554,CARTON_LOOKUP!$A:$E,3,0),"")</f>
      </c>
      <c r="H2554" s="28">
        <f>IFERROR(VLOOKUP(F2554,CARTON_LOOKUP!$A:$E,4,0),"")</f>
      </c>
      <c r="I2554" s="28">
        <f>IFERROR(VLOOKUP(F2554,CARTON_LOOKUP!$A:$E,5,0),"")</f>
      </c>
      <c r="J2554" s="29">
        <f>IFERROR(VLOOKUP(F2554,CARTON_LOOKUP!$A:$E,2,0),"")</f>
      </c>
      <c r="K2554" s="29">
        <f>IFERROR(J2554*D2554,0)</f>
      </c>
      <c r="L2554" s="29">
        <f>IFERROR(E2554*C2554,0)</f>
      </c>
      <c r="M2554" s="29">
        <f>IFERROR((G2554*H2554*I2554/1000000)*D2554,0)</f>
      </c>
    </row>
    <row r="2555" spans="1:13" x14ac:dyDescent="0.25">
      <c r="A2555" s="16"/>
      <c r="E2555" s="27"/>
      <c r="F2555" t="s">
        <v>26</v>
      </c>
      <c r="G2555" s="28">
        <f>IFERROR(VLOOKUP(F2555,CARTON_LOOKUP!$A:$E,3,0),"")</f>
      </c>
      <c r="H2555" s="28">
        <f>IFERROR(VLOOKUP(F2555,CARTON_LOOKUP!$A:$E,4,0),"")</f>
      </c>
      <c r="I2555" s="28">
        <f>IFERROR(VLOOKUP(F2555,CARTON_LOOKUP!$A:$E,5,0),"")</f>
      </c>
      <c r="J2555" s="29">
        <f>IFERROR(VLOOKUP(F2555,CARTON_LOOKUP!$A:$E,2,0),"")</f>
      </c>
      <c r="K2555" s="29">
        <f>IFERROR(J2555*D2555,0)</f>
      </c>
      <c r="L2555" s="29">
        <f>IFERROR(E2555*C2555,0)</f>
      </c>
      <c r="M2555" s="29">
        <f>IFERROR((G2555*H2555*I2555/1000000)*D2555,0)</f>
      </c>
    </row>
    <row r="2556" spans="1:13" x14ac:dyDescent="0.25">
      <c r="A2556" s="16"/>
      <c r="E2556" s="27"/>
      <c r="F2556" t="s">
        <v>26</v>
      </c>
      <c r="G2556" s="28">
        <f>IFERROR(VLOOKUP(F2556,CARTON_LOOKUP!$A:$E,3,0),"")</f>
      </c>
      <c r="H2556" s="28">
        <f>IFERROR(VLOOKUP(F2556,CARTON_LOOKUP!$A:$E,4,0),"")</f>
      </c>
      <c r="I2556" s="28">
        <f>IFERROR(VLOOKUP(F2556,CARTON_LOOKUP!$A:$E,5,0),"")</f>
      </c>
      <c r="J2556" s="29">
        <f>IFERROR(VLOOKUP(F2556,CARTON_LOOKUP!$A:$E,2,0),"")</f>
      </c>
      <c r="K2556" s="29">
        <f>IFERROR(J2556*D2556,0)</f>
      </c>
      <c r="L2556" s="29">
        <f>IFERROR(E2556*C2556,0)</f>
      </c>
      <c r="M2556" s="29">
        <f>IFERROR((G2556*H2556*I2556/1000000)*D2556,0)</f>
      </c>
    </row>
    <row r="2557" spans="1:13" x14ac:dyDescent="0.25">
      <c r="A2557" s="16"/>
      <c r="E2557" s="27"/>
      <c r="F2557" t="s">
        <v>26</v>
      </c>
      <c r="G2557" s="28">
        <f>IFERROR(VLOOKUP(F2557,CARTON_LOOKUP!$A:$E,3,0),"")</f>
      </c>
      <c r="H2557" s="28">
        <f>IFERROR(VLOOKUP(F2557,CARTON_LOOKUP!$A:$E,4,0),"")</f>
      </c>
      <c r="I2557" s="28">
        <f>IFERROR(VLOOKUP(F2557,CARTON_LOOKUP!$A:$E,5,0),"")</f>
      </c>
      <c r="J2557" s="29">
        <f>IFERROR(VLOOKUP(F2557,CARTON_LOOKUP!$A:$E,2,0),"")</f>
      </c>
      <c r="K2557" s="29">
        <f>IFERROR(J2557*D2557,0)</f>
      </c>
      <c r="L2557" s="29">
        <f>IFERROR(E2557*C2557,0)</f>
      </c>
      <c r="M2557" s="29">
        <f>IFERROR((G2557*H2557*I2557/1000000)*D2557,0)</f>
      </c>
    </row>
    <row r="2558" spans="1:13" x14ac:dyDescent="0.25">
      <c r="A2558" s="16"/>
      <c r="E2558" s="27"/>
      <c r="F2558" t="s">
        <v>26</v>
      </c>
      <c r="G2558" s="28">
        <f>IFERROR(VLOOKUP(F2558,CARTON_LOOKUP!$A:$E,3,0),"")</f>
      </c>
      <c r="H2558" s="28">
        <f>IFERROR(VLOOKUP(F2558,CARTON_LOOKUP!$A:$E,4,0),"")</f>
      </c>
      <c r="I2558" s="28">
        <f>IFERROR(VLOOKUP(F2558,CARTON_LOOKUP!$A:$E,5,0),"")</f>
      </c>
      <c r="J2558" s="29">
        <f>IFERROR(VLOOKUP(F2558,CARTON_LOOKUP!$A:$E,2,0),"")</f>
      </c>
      <c r="K2558" s="29">
        <f>IFERROR(J2558*D2558,0)</f>
      </c>
      <c r="L2558" s="29">
        <f>IFERROR(E2558*C2558,0)</f>
      </c>
      <c r="M2558" s="29">
        <f>IFERROR((G2558*H2558*I2558/1000000)*D2558,0)</f>
      </c>
    </row>
    <row r="2559" spans="1:13" x14ac:dyDescent="0.25">
      <c r="A2559" s="16"/>
      <c r="E2559" s="27"/>
      <c r="F2559" t="s">
        <v>26</v>
      </c>
      <c r="G2559" s="28">
        <f>IFERROR(VLOOKUP(F2559,CARTON_LOOKUP!$A:$E,3,0),"")</f>
      </c>
      <c r="H2559" s="28">
        <f>IFERROR(VLOOKUP(F2559,CARTON_LOOKUP!$A:$E,4,0),"")</f>
      </c>
      <c r="I2559" s="28">
        <f>IFERROR(VLOOKUP(F2559,CARTON_LOOKUP!$A:$E,5,0),"")</f>
      </c>
      <c r="J2559" s="29">
        <f>IFERROR(VLOOKUP(F2559,CARTON_LOOKUP!$A:$E,2,0),"")</f>
      </c>
      <c r="K2559" s="29">
        <f>IFERROR(J2559*D2559,0)</f>
      </c>
      <c r="L2559" s="29">
        <f>IFERROR(E2559*C2559,0)</f>
      </c>
      <c r="M2559" s="29">
        <f>IFERROR((G2559*H2559*I2559/1000000)*D2559,0)</f>
      </c>
    </row>
    <row r="2560" spans="1:13" x14ac:dyDescent="0.25">
      <c r="A2560" s="16"/>
      <c r="E2560" s="27"/>
      <c r="F2560" t="s">
        <v>26</v>
      </c>
      <c r="G2560" s="28">
        <f>IFERROR(VLOOKUP(F2560,CARTON_LOOKUP!$A:$E,3,0),"")</f>
      </c>
      <c r="H2560" s="28">
        <f>IFERROR(VLOOKUP(F2560,CARTON_LOOKUP!$A:$E,4,0),"")</f>
      </c>
      <c r="I2560" s="28">
        <f>IFERROR(VLOOKUP(F2560,CARTON_LOOKUP!$A:$E,5,0),"")</f>
      </c>
      <c r="J2560" s="29">
        <f>IFERROR(VLOOKUP(F2560,CARTON_LOOKUP!$A:$E,2,0),"")</f>
      </c>
      <c r="K2560" s="29">
        <f>IFERROR(J2560*D2560,0)</f>
      </c>
      <c r="L2560" s="29">
        <f>IFERROR(E2560*C2560,0)</f>
      </c>
      <c r="M2560" s="29">
        <f>IFERROR((G2560*H2560*I2560/1000000)*D2560,0)</f>
      </c>
    </row>
    <row r="2561" spans="1:13" x14ac:dyDescent="0.25">
      <c r="A2561" s="16"/>
      <c r="E2561" s="27"/>
      <c r="F2561" t="s">
        <v>26</v>
      </c>
      <c r="G2561" s="28">
        <f>IFERROR(VLOOKUP(F2561,CARTON_LOOKUP!$A:$E,3,0),"")</f>
      </c>
      <c r="H2561" s="28">
        <f>IFERROR(VLOOKUP(F2561,CARTON_LOOKUP!$A:$E,4,0),"")</f>
      </c>
      <c r="I2561" s="28">
        <f>IFERROR(VLOOKUP(F2561,CARTON_LOOKUP!$A:$E,5,0),"")</f>
      </c>
      <c r="J2561" s="29">
        <f>IFERROR(VLOOKUP(F2561,CARTON_LOOKUP!$A:$E,2,0),"")</f>
      </c>
      <c r="K2561" s="29">
        <f>IFERROR(J2561*D2561,0)</f>
      </c>
      <c r="L2561" s="29">
        <f>IFERROR(E2561*C2561,0)</f>
      </c>
      <c r="M2561" s="29">
        <f>IFERROR((G2561*H2561*I2561/1000000)*D2561,0)</f>
      </c>
    </row>
    <row r="2562" spans="1:13" x14ac:dyDescent="0.25">
      <c r="A2562" s="16"/>
      <c r="E2562" s="27"/>
      <c r="F2562" t="s">
        <v>26</v>
      </c>
      <c r="G2562" s="28">
        <f>IFERROR(VLOOKUP(F2562,CARTON_LOOKUP!$A:$E,3,0),"")</f>
      </c>
      <c r="H2562" s="28">
        <f>IFERROR(VLOOKUP(F2562,CARTON_LOOKUP!$A:$E,4,0),"")</f>
      </c>
      <c r="I2562" s="28">
        <f>IFERROR(VLOOKUP(F2562,CARTON_LOOKUP!$A:$E,5,0),"")</f>
      </c>
      <c r="J2562" s="29">
        <f>IFERROR(VLOOKUP(F2562,CARTON_LOOKUP!$A:$E,2,0),"")</f>
      </c>
      <c r="K2562" s="29">
        <f>IFERROR(J2562*D2562,0)</f>
      </c>
      <c r="L2562" s="29">
        <f>IFERROR(E2562*C2562,0)</f>
      </c>
      <c r="M2562" s="29">
        <f>IFERROR((G2562*H2562*I2562/1000000)*D2562,0)</f>
      </c>
    </row>
    <row r="2563" spans="1:13" x14ac:dyDescent="0.25">
      <c r="A2563" s="16"/>
      <c r="E2563" s="27"/>
      <c r="F2563" t="s">
        <v>26</v>
      </c>
      <c r="G2563" s="28">
        <f>IFERROR(VLOOKUP(F2563,CARTON_LOOKUP!$A:$E,3,0),"")</f>
      </c>
      <c r="H2563" s="28">
        <f>IFERROR(VLOOKUP(F2563,CARTON_LOOKUP!$A:$E,4,0),"")</f>
      </c>
      <c r="I2563" s="28">
        <f>IFERROR(VLOOKUP(F2563,CARTON_LOOKUP!$A:$E,5,0),"")</f>
      </c>
      <c r="J2563" s="29">
        <f>IFERROR(VLOOKUP(F2563,CARTON_LOOKUP!$A:$E,2,0),"")</f>
      </c>
      <c r="K2563" s="29">
        <f>IFERROR(J2563*D2563,0)</f>
      </c>
      <c r="L2563" s="29">
        <f>IFERROR(E2563*C2563,0)</f>
      </c>
      <c r="M2563" s="29">
        <f>IFERROR((G2563*H2563*I2563/1000000)*D2563,0)</f>
      </c>
    </row>
    <row r="2564" spans="1:13" x14ac:dyDescent="0.25">
      <c r="A2564" s="16"/>
      <c r="E2564" s="27"/>
      <c r="F2564" t="s">
        <v>26</v>
      </c>
      <c r="G2564" s="28">
        <f>IFERROR(VLOOKUP(F2564,CARTON_LOOKUP!$A:$E,3,0),"")</f>
      </c>
      <c r="H2564" s="28">
        <f>IFERROR(VLOOKUP(F2564,CARTON_LOOKUP!$A:$E,4,0),"")</f>
      </c>
      <c r="I2564" s="28">
        <f>IFERROR(VLOOKUP(F2564,CARTON_LOOKUP!$A:$E,5,0),"")</f>
      </c>
      <c r="J2564" s="29">
        <f>IFERROR(VLOOKUP(F2564,CARTON_LOOKUP!$A:$E,2,0),"")</f>
      </c>
      <c r="K2564" s="29">
        <f>IFERROR(J2564*D2564,0)</f>
      </c>
      <c r="L2564" s="29">
        <f>IFERROR(E2564*C2564,0)</f>
      </c>
      <c r="M2564" s="29">
        <f>IFERROR((G2564*H2564*I2564/1000000)*D2564,0)</f>
      </c>
    </row>
    <row r="2565" spans="1:13" x14ac:dyDescent="0.25">
      <c r="A2565" s="16"/>
      <c r="E2565" s="27"/>
      <c r="F2565" t="s">
        <v>26</v>
      </c>
      <c r="G2565" s="28">
        <f>IFERROR(VLOOKUP(F2565,CARTON_LOOKUP!$A:$E,3,0),"")</f>
      </c>
      <c r="H2565" s="28">
        <f>IFERROR(VLOOKUP(F2565,CARTON_LOOKUP!$A:$E,4,0),"")</f>
      </c>
      <c r="I2565" s="28">
        <f>IFERROR(VLOOKUP(F2565,CARTON_LOOKUP!$A:$E,5,0),"")</f>
      </c>
      <c r="J2565" s="29">
        <f>IFERROR(VLOOKUP(F2565,CARTON_LOOKUP!$A:$E,2,0),"")</f>
      </c>
      <c r="K2565" s="29">
        <f>IFERROR(J2565*D2565,0)</f>
      </c>
      <c r="L2565" s="29">
        <f>IFERROR(E2565*C2565,0)</f>
      </c>
      <c r="M2565" s="29">
        <f>IFERROR((G2565*H2565*I2565/1000000)*D2565,0)</f>
      </c>
    </row>
    <row r="2566" spans="1:13" x14ac:dyDescent="0.25">
      <c r="A2566" s="16"/>
      <c r="E2566" s="27"/>
      <c r="F2566" t="s">
        <v>26</v>
      </c>
      <c r="G2566" s="28">
        <f>IFERROR(VLOOKUP(F2566,CARTON_LOOKUP!$A:$E,3,0),"")</f>
      </c>
      <c r="H2566" s="28">
        <f>IFERROR(VLOOKUP(F2566,CARTON_LOOKUP!$A:$E,4,0),"")</f>
      </c>
      <c r="I2566" s="28">
        <f>IFERROR(VLOOKUP(F2566,CARTON_LOOKUP!$A:$E,5,0),"")</f>
      </c>
      <c r="J2566" s="29">
        <f>IFERROR(VLOOKUP(F2566,CARTON_LOOKUP!$A:$E,2,0),"")</f>
      </c>
      <c r="K2566" s="29">
        <f>IFERROR(J2566*D2566,0)</f>
      </c>
      <c r="L2566" s="29">
        <f>IFERROR(E2566*C2566,0)</f>
      </c>
      <c r="M2566" s="29">
        <f>IFERROR((G2566*H2566*I2566/1000000)*D2566,0)</f>
      </c>
    </row>
    <row r="2567" spans="1:13" x14ac:dyDescent="0.25">
      <c r="A2567" s="16"/>
      <c r="E2567" s="27"/>
      <c r="F2567" t="s">
        <v>26</v>
      </c>
      <c r="G2567" s="28">
        <f>IFERROR(VLOOKUP(F2567,CARTON_LOOKUP!$A:$E,3,0),"")</f>
      </c>
      <c r="H2567" s="28">
        <f>IFERROR(VLOOKUP(F2567,CARTON_LOOKUP!$A:$E,4,0),"")</f>
      </c>
      <c r="I2567" s="28">
        <f>IFERROR(VLOOKUP(F2567,CARTON_LOOKUP!$A:$E,5,0),"")</f>
      </c>
      <c r="J2567" s="29">
        <f>IFERROR(VLOOKUP(F2567,CARTON_LOOKUP!$A:$E,2,0),"")</f>
      </c>
      <c r="K2567" s="29">
        <f>IFERROR(J2567*D2567,0)</f>
      </c>
      <c r="L2567" s="29">
        <f>IFERROR(E2567*C2567,0)</f>
      </c>
      <c r="M2567" s="29">
        <f>IFERROR((G2567*H2567*I2567/1000000)*D2567,0)</f>
      </c>
    </row>
    <row r="2568" spans="1:13" x14ac:dyDescent="0.25">
      <c r="A2568" s="16"/>
      <c r="E2568" s="27"/>
      <c r="F2568" t="s">
        <v>26</v>
      </c>
      <c r="G2568" s="28">
        <f>IFERROR(VLOOKUP(F2568,CARTON_LOOKUP!$A:$E,3,0),"")</f>
      </c>
      <c r="H2568" s="28">
        <f>IFERROR(VLOOKUP(F2568,CARTON_LOOKUP!$A:$E,4,0),"")</f>
      </c>
      <c r="I2568" s="28">
        <f>IFERROR(VLOOKUP(F2568,CARTON_LOOKUP!$A:$E,5,0),"")</f>
      </c>
      <c r="J2568" s="29">
        <f>IFERROR(VLOOKUP(F2568,CARTON_LOOKUP!$A:$E,2,0),"")</f>
      </c>
      <c r="K2568" s="29">
        <f>IFERROR(J2568*D2568,0)</f>
      </c>
      <c r="L2568" s="29">
        <f>IFERROR(E2568*C2568,0)</f>
      </c>
      <c r="M2568" s="29">
        <f>IFERROR((G2568*H2568*I2568/1000000)*D2568,0)</f>
      </c>
    </row>
    <row r="2569" spans="1:13" x14ac:dyDescent="0.25">
      <c r="A2569" s="16"/>
      <c r="E2569" s="27"/>
      <c r="F2569" t="s">
        <v>26</v>
      </c>
      <c r="G2569" s="28">
        <f>IFERROR(VLOOKUP(F2569,CARTON_LOOKUP!$A:$E,3,0),"")</f>
      </c>
      <c r="H2569" s="28">
        <f>IFERROR(VLOOKUP(F2569,CARTON_LOOKUP!$A:$E,4,0),"")</f>
      </c>
      <c r="I2569" s="28">
        <f>IFERROR(VLOOKUP(F2569,CARTON_LOOKUP!$A:$E,5,0),"")</f>
      </c>
      <c r="J2569" s="29">
        <f>IFERROR(VLOOKUP(F2569,CARTON_LOOKUP!$A:$E,2,0),"")</f>
      </c>
      <c r="K2569" s="29">
        <f>IFERROR(J2569*D2569,0)</f>
      </c>
      <c r="L2569" s="29">
        <f>IFERROR(E2569*C2569,0)</f>
      </c>
      <c r="M2569" s="29">
        <f>IFERROR((G2569*H2569*I2569/1000000)*D2569,0)</f>
      </c>
    </row>
    <row r="2570" spans="1:13" x14ac:dyDescent="0.25">
      <c r="A2570" s="16"/>
      <c r="E2570" s="27"/>
      <c r="F2570" t="s">
        <v>26</v>
      </c>
      <c r="G2570" s="28">
        <f>IFERROR(VLOOKUP(F2570,CARTON_LOOKUP!$A:$E,3,0),"")</f>
      </c>
      <c r="H2570" s="28">
        <f>IFERROR(VLOOKUP(F2570,CARTON_LOOKUP!$A:$E,4,0),"")</f>
      </c>
      <c r="I2570" s="28">
        <f>IFERROR(VLOOKUP(F2570,CARTON_LOOKUP!$A:$E,5,0),"")</f>
      </c>
      <c r="J2570" s="29">
        <f>IFERROR(VLOOKUP(F2570,CARTON_LOOKUP!$A:$E,2,0),"")</f>
      </c>
      <c r="K2570" s="29">
        <f>IFERROR(J2570*D2570,0)</f>
      </c>
      <c r="L2570" s="29">
        <f>IFERROR(E2570*C2570,0)</f>
      </c>
      <c r="M2570" s="29">
        <f>IFERROR((G2570*H2570*I2570/1000000)*D2570,0)</f>
      </c>
    </row>
    <row r="2571" spans="1:13" x14ac:dyDescent="0.25">
      <c r="A2571" s="16"/>
      <c r="E2571" s="27"/>
      <c r="F2571" t="s">
        <v>26</v>
      </c>
      <c r="G2571" s="28">
        <f>IFERROR(VLOOKUP(F2571,CARTON_LOOKUP!$A:$E,3,0),"")</f>
      </c>
      <c r="H2571" s="28">
        <f>IFERROR(VLOOKUP(F2571,CARTON_LOOKUP!$A:$E,4,0),"")</f>
      </c>
      <c r="I2571" s="28">
        <f>IFERROR(VLOOKUP(F2571,CARTON_LOOKUP!$A:$E,5,0),"")</f>
      </c>
      <c r="J2571" s="29">
        <f>IFERROR(VLOOKUP(F2571,CARTON_LOOKUP!$A:$E,2,0),"")</f>
      </c>
      <c r="K2571" s="29">
        <f>IFERROR(J2571*D2571,0)</f>
      </c>
      <c r="L2571" s="29">
        <f>IFERROR(E2571*C2571,0)</f>
      </c>
      <c r="M2571" s="29">
        <f>IFERROR((G2571*H2571*I2571/1000000)*D2571,0)</f>
      </c>
    </row>
    <row r="2572" spans="1:13" x14ac:dyDescent="0.25">
      <c r="A2572" s="16"/>
      <c r="E2572" s="27"/>
      <c r="F2572" t="s">
        <v>26</v>
      </c>
      <c r="G2572" s="28">
        <f>IFERROR(VLOOKUP(F2572,CARTON_LOOKUP!$A:$E,3,0),"")</f>
      </c>
      <c r="H2572" s="28">
        <f>IFERROR(VLOOKUP(F2572,CARTON_LOOKUP!$A:$E,4,0),"")</f>
      </c>
      <c r="I2572" s="28">
        <f>IFERROR(VLOOKUP(F2572,CARTON_LOOKUP!$A:$E,5,0),"")</f>
      </c>
      <c r="J2572" s="29">
        <f>IFERROR(VLOOKUP(F2572,CARTON_LOOKUP!$A:$E,2,0),"")</f>
      </c>
      <c r="K2572" s="29">
        <f>IFERROR(J2572*D2572,0)</f>
      </c>
      <c r="L2572" s="29">
        <f>IFERROR(E2572*C2572,0)</f>
      </c>
      <c r="M2572" s="29">
        <f>IFERROR((G2572*H2572*I2572/1000000)*D2572,0)</f>
      </c>
    </row>
    <row r="2573" spans="1:13" x14ac:dyDescent="0.25">
      <c r="A2573" s="16"/>
      <c r="E2573" s="27"/>
      <c r="F2573" t="s">
        <v>26</v>
      </c>
      <c r="G2573" s="28">
        <f>IFERROR(VLOOKUP(F2573,CARTON_LOOKUP!$A:$E,3,0),"")</f>
      </c>
      <c r="H2573" s="28">
        <f>IFERROR(VLOOKUP(F2573,CARTON_LOOKUP!$A:$E,4,0),"")</f>
      </c>
      <c r="I2573" s="28">
        <f>IFERROR(VLOOKUP(F2573,CARTON_LOOKUP!$A:$E,5,0),"")</f>
      </c>
      <c r="J2573" s="29">
        <f>IFERROR(VLOOKUP(F2573,CARTON_LOOKUP!$A:$E,2,0),"")</f>
      </c>
      <c r="K2573" s="29">
        <f>IFERROR(J2573*D2573,0)</f>
      </c>
      <c r="L2573" s="29">
        <f>IFERROR(E2573*C2573,0)</f>
      </c>
      <c r="M2573" s="29">
        <f>IFERROR((G2573*H2573*I2573/1000000)*D2573,0)</f>
      </c>
    </row>
    <row r="2574" spans="1:13" x14ac:dyDescent="0.25">
      <c r="A2574" s="16"/>
      <c r="E2574" s="27"/>
      <c r="F2574" t="s">
        <v>26</v>
      </c>
      <c r="G2574" s="28">
        <f>IFERROR(VLOOKUP(F2574,CARTON_LOOKUP!$A:$E,3,0),"")</f>
      </c>
      <c r="H2574" s="28">
        <f>IFERROR(VLOOKUP(F2574,CARTON_LOOKUP!$A:$E,4,0),"")</f>
      </c>
      <c r="I2574" s="28">
        <f>IFERROR(VLOOKUP(F2574,CARTON_LOOKUP!$A:$E,5,0),"")</f>
      </c>
      <c r="J2574" s="29">
        <f>IFERROR(VLOOKUP(F2574,CARTON_LOOKUP!$A:$E,2,0),"")</f>
      </c>
      <c r="K2574" s="29">
        <f>IFERROR(J2574*D2574,0)</f>
      </c>
      <c r="L2574" s="29">
        <f>IFERROR(E2574*C2574,0)</f>
      </c>
      <c r="M2574" s="29">
        <f>IFERROR((G2574*H2574*I2574/1000000)*D2574,0)</f>
      </c>
    </row>
    <row r="2575" spans="1:13" x14ac:dyDescent="0.25">
      <c r="A2575" s="16"/>
      <c r="E2575" s="27"/>
      <c r="F2575" t="s">
        <v>26</v>
      </c>
      <c r="G2575" s="28">
        <f>IFERROR(VLOOKUP(F2575,CARTON_LOOKUP!$A:$E,3,0),"")</f>
      </c>
      <c r="H2575" s="28">
        <f>IFERROR(VLOOKUP(F2575,CARTON_LOOKUP!$A:$E,4,0),"")</f>
      </c>
      <c r="I2575" s="28">
        <f>IFERROR(VLOOKUP(F2575,CARTON_LOOKUP!$A:$E,5,0),"")</f>
      </c>
      <c r="J2575" s="29">
        <f>IFERROR(VLOOKUP(F2575,CARTON_LOOKUP!$A:$E,2,0),"")</f>
      </c>
      <c r="K2575" s="29">
        <f>IFERROR(J2575*D2575,0)</f>
      </c>
      <c r="L2575" s="29">
        <f>IFERROR(E2575*C2575,0)</f>
      </c>
      <c r="M2575" s="29">
        <f>IFERROR((G2575*H2575*I2575/1000000)*D2575,0)</f>
      </c>
    </row>
    <row r="2576" spans="1:13" x14ac:dyDescent="0.25">
      <c r="A2576" s="16"/>
      <c r="E2576" s="27"/>
      <c r="F2576" t="s">
        <v>26</v>
      </c>
      <c r="G2576" s="28">
        <f>IFERROR(VLOOKUP(F2576,CARTON_LOOKUP!$A:$E,3,0),"")</f>
      </c>
      <c r="H2576" s="28">
        <f>IFERROR(VLOOKUP(F2576,CARTON_LOOKUP!$A:$E,4,0),"")</f>
      </c>
      <c r="I2576" s="28">
        <f>IFERROR(VLOOKUP(F2576,CARTON_LOOKUP!$A:$E,5,0),"")</f>
      </c>
      <c r="J2576" s="29">
        <f>IFERROR(VLOOKUP(F2576,CARTON_LOOKUP!$A:$E,2,0),"")</f>
      </c>
      <c r="K2576" s="29">
        <f>IFERROR(J2576*D2576,0)</f>
      </c>
      <c r="L2576" s="29">
        <f>IFERROR(E2576*C2576,0)</f>
      </c>
      <c r="M2576" s="29">
        <f>IFERROR((G2576*H2576*I2576/1000000)*D2576,0)</f>
      </c>
    </row>
    <row r="2577" spans="1:13" x14ac:dyDescent="0.25">
      <c r="A2577" s="16"/>
      <c r="E2577" s="27"/>
      <c r="F2577" t="s">
        <v>26</v>
      </c>
      <c r="G2577" s="28">
        <f>IFERROR(VLOOKUP(F2577,CARTON_LOOKUP!$A:$E,3,0),"")</f>
      </c>
      <c r="H2577" s="28">
        <f>IFERROR(VLOOKUP(F2577,CARTON_LOOKUP!$A:$E,4,0),"")</f>
      </c>
      <c r="I2577" s="28">
        <f>IFERROR(VLOOKUP(F2577,CARTON_LOOKUP!$A:$E,5,0),"")</f>
      </c>
      <c r="J2577" s="29">
        <f>IFERROR(VLOOKUP(F2577,CARTON_LOOKUP!$A:$E,2,0),"")</f>
      </c>
      <c r="K2577" s="29">
        <f>IFERROR(J2577*D2577,0)</f>
      </c>
      <c r="L2577" s="29">
        <f>IFERROR(E2577*C2577,0)</f>
      </c>
      <c r="M2577" s="29">
        <f>IFERROR((G2577*H2577*I2577/1000000)*D2577,0)</f>
      </c>
    </row>
    <row r="2578" spans="1:13" x14ac:dyDescent="0.25">
      <c r="A2578" s="16"/>
      <c r="E2578" s="27"/>
      <c r="F2578" t="s">
        <v>26</v>
      </c>
      <c r="G2578" s="28">
        <f>IFERROR(VLOOKUP(F2578,CARTON_LOOKUP!$A:$E,3,0),"")</f>
      </c>
      <c r="H2578" s="28">
        <f>IFERROR(VLOOKUP(F2578,CARTON_LOOKUP!$A:$E,4,0),"")</f>
      </c>
      <c r="I2578" s="28">
        <f>IFERROR(VLOOKUP(F2578,CARTON_LOOKUP!$A:$E,5,0),"")</f>
      </c>
      <c r="J2578" s="29">
        <f>IFERROR(VLOOKUP(F2578,CARTON_LOOKUP!$A:$E,2,0),"")</f>
      </c>
      <c r="K2578" s="29">
        <f>IFERROR(J2578*D2578,0)</f>
      </c>
      <c r="L2578" s="29">
        <f>IFERROR(E2578*C2578,0)</f>
      </c>
      <c r="M2578" s="29">
        <f>IFERROR((G2578*H2578*I2578/1000000)*D2578,0)</f>
      </c>
    </row>
    <row r="2579" spans="1:13" x14ac:dyDescent="0.25">
      <c r="A2579" s="16"/>
      <c r="E2579" s="27"/>
      <c r="F2579" t="s">
        <v>26</v>
      </c>
      <c r="G2579" s="28">
        <f>IFERROR(VLOOKUP(F2579,CARTON_LOOKUP!$A:$E,3,0),"")</f>
      </c>
      <c r="H2579" s="28">
        <f>IFERROR(VLOOKUP(F2579,CARTON_LOOKUP!$A:$E,4,0),"")</f>
      </c>
      <c r="I2579" s="28">
        <f>IFERROR(VLOOKUP(F2579,CARTON_LOOKUP!$A:$E,5,0),"")</f>
      </c>
      <c r="J2579" s="29">
        <f>IFERROR(VLOOKUP(F2579,CARTON_LOOKUP!$A:$E,2,0),"")</f>
      </c>
      <c r="K2579" s="29">
        <f>IFERROR(J2579*D2579,0)</f>
      </c>
      <c r="L2579" s="29">
        <f>IFERROR(E2579*C2579,0)</f>
      </c>
      <c r="M2579" s="29">
        <f>IFERROR((G2579*H2579*I2579/1000000)*D2579,0)</f>
      </c>
    </row>
    <row r="2580" spans="1:13" x14ac:dyDescent="0.25">
      <c r="A2580" s="16"/>
      <c r="E2580" s="27"/>
      <c r="F2580" t="s">
        <v>26</v>
      </c>
      <c r="G2580" s="28">
        <f>IFERROR(VLOOKUP(F2580,CARTON_LOOKUP!$A:$E,3,0),"")</f>
      </c>
      <c r="H2580" s="28">
        <f>IFERROR(VLOOKUP(F2580,CARTON_LOOKUP!$A:$E,4,0),"")</f>
      </c>
      <c r="I2580" s="28">
        <f>IFERROR(VLOOKUP(F2580,CARTON_LOOKUP!$A:$E,5,0),"")</f>
      </c>
      <c r="J2580" s="29">
        <f>IFERROR(VLOOKUP(F2580,CARTON_LOOKUP!$A:$E,2,0),"")</f>
      </c>
      <c r="K2580" s="29">
        <f>IFERROR(J2580*D2580,0)</f>
      </c>
      <c r="L2580" s="29">
        <f>IFERROR(E2580*C2580,0)</f>
      </c>
      <c r="M2580" s="29">
        <f>IFERROR((G2580*H2580*I2580/1000000)*D2580,0)</f>
      </c>
    </row>
    <row r="2581" spans="1:13" x14ac:dyDescent="0.25">
      <c r="A2581" s="16"/>
      <c r="E2581" s="27"/>
      <c r="F2581" t="s">
        <v>26</v>
      </c>
      <c r="G2581" s="28">
        <f>IFERROR(VLOOKUP(F2581,CARTON_LOOKUP!$A:$E,3,0),"")</f>
      </c>
      <c r="H2581" s="28">
        <f>IFERROR(VLOOKUP(F2581,CARTON_LOOKUP!$A:$E,4,0),"")</f>
      </c>
      <c r="I2581" s="28">
        <f>IFERROR(VLOOKUP(F2581,CARTON_LOOKUP!$A:$E,5,0),"")</f>
      </c>
      <c r="J2581" s="29">
        <f>IFERROR(VLOOKUP(F2581,CARTON_LOOKUP!$A:$E,2,0),"")</f>
      </c>
      <c r="K2581" s="29">
        <f>IFERROR(J2581*D2581,0)</f>
      </c>
      <c r="L2581" s="29">
        <f>IFERROR(E2581*C2581,0)</f>
      </c>
      <c r="M2581" s="29">
        <f>IFERROR((G2581*H2581*I2581/1000000)*D2581,0)</f>
      </c>
    </row>
    <row r="2582" spans="1:13" x14ac:dyDescent="0.25">
      <c r="A2582" s="16"/>
      <c r="E2582" s="27"/>
      <c r="F2582" t="s">
        <v>26</v>
      </c>
      <c r="G2582" s="28">
        <f>IFERROR(VLOOKUP(F2582,CARTON_LOOKUP!$A:$E,3,0),"")</f>
      </c>
      <c r="H2582" s="28">
        <f>IFERROR(VLOOKUP(F2582,CARTON_LOOKUP!$A:$E,4,0),"")</f>
      </c>
      <c r="I2582" s="28">
        <f>IFERROR(VLOOKUP(F2582,CARTON_LOOKUP!$A:$E,5,0),"")</f>
      </c>
      <c r="J2582" s="29">
        <f>IFERROR(VLOOKUP(F2582,CARTON_LOOKUP!$A:$E,2,0),"")</f>
      </c>
      <c r="K2582" s="29">
        <f>IFERROR(J2582*D2582,0)</f>
      </c>
      <c r="L2582" s="29">
        <f>IFERROR(E2582*C2582,0)</f>
      </c>
      <c r="M2582" s="29">
        <f>IFERROR((G2582*H2582*I2582/1000000)*D2582,0)</f>
      </c>
    </row>
    <row r="2583" spans="1:13" x14ac:dyDescent="0.25">
      <c r="A2583" s="16"/>
      <c r="E2583" s="27"/>
      <c r="F2583" t="s">
        <v>26</v>
      </c>
      <c r="G2583" s="28">
        <f>IFERROR(VLOOKUP(F2583,CARTON_LOOKUP!$A:$E,3,0),"")</f>
      </c>
      <c r="H2583" s="28">
        <f>IFERROR(VLOOKUP(F2583,CARTON_LOOKUP!$A:$E,4,0),"")</f>
      </c>
      <c r="I2583" s="28">
        <f>IFERROR(VLOOKUP(F2583,CARTON_LOOKUP!$A:$E,5,0),"")</f>
      </c>
      <c r="J2583" s="29">
        <f>IFERROR(VLOOKUP(F2583,CARTON_LOOKUP!$A:$E,2,0),"")</f>
      </c>
      <c r="K2583" s="29">
        <f>IFERROR(J2583*D2583,0)</f>
      </c>
      <c r="L2583" s="29">
        <f>IFERROR(E2583*C2583,0)</f>
      </c>
      <c r="M2583" s="29">
        <f>IFERROR((G2583*H2583*I2583/1000000)*D2583,0)</f>
      </c>
    </row>
    <row r="2584" spans="1:13" x14ac:dyDescent="0.25">
      <c r="A2584" s="16"/>
      <c r="E2584" s="27"/>
      <c r="F2584" t="s">
        <v>26</v>
      </c>
      <c r="G2584" s="28">
        <f>IFERROR(VLOOKUP(F2584,CARTON_LOOKUP!$A:$E,3,0),"")</f>
      </c>
      <c r="H2584" s="28">
        <f>IFERROR(VLOOKUP(F2584,CARTON_LOOKUP!$A:$E,4,0),"")</f>
      </c>
      <c r="I2584" s="28">
        <f>IFERROR(VLOOKUP(F2584,CARTON_LOOKUP!$A:$E,5,0),"")</f>
      </c>
      <c r="J2584" s="29">
        <f>IFERROR(VLOOKUP(F2584,CARTON_LOOKUP!$A:$E,2,0),"")</f>
      </c>
      <c r="K2584" s="29">
        <f>IFERROR(J2584*D2584,0)</f>
      </c>
      <c r="L2584" s="29">
        <f>IFERROR(E2584*C2584,0)</f>
      </c>
      <c r="M2584" s="29">
        <f>IFERROR((G2584*H2584*I2584/1000000)*D2584,0)</f>
      </c>
    </row>
    <row r="2585" spans="1:13" x14ac:dyDescent="0.25">
      <c r="A2585" s="16"/>
      <c r="E2585" s="27"/>
      <c r="F2585" t="s">
        <v>26</v>
      </c>
      <c r="G2585" s="28">
        <f>IFERROR(VLOOKUP(F2585,CARTON_LOOKUP!$A:$E,3,0),"")</f>
      </c>
      <c r="H2585" s="28">
        <f>IFERROR(VLOOKUP(F2585,CARTON_LOOKUP!$A:$E,4,0),"")</f>
      </c>
      <c r="I2585" s="28">
        <f>IFERROR(VLOOKUP(F2585,CARTON_LOOKUP!$A:$E,5,0),"")</f>
      </c>
      <c r="J2585" s="29">
        <f>IFERROR(VLOOKUP(F2585,CARTON_LOOKUP!$A:$E,2,0),"")</f>
      </c>
      <c r="K2585" s="29">
        <f>IFERROR(J2585*D2585,0)</f>
      </c>
      <c r="L2585" s="29">
        <f>IFERROR(E2585*C2585,0)</f>
      </c>
      <c r="M2585" s="29">
        <f>IFERROR((G2585*H2585*I2585/1000000)*D2585,0)</f>
      </c>
    </row>
    <row r="2586" spans="1:13" x14ac:dyDescent="0.25">
      <c r="A2586" s="16"/>
      <c r="E2586" s="27"/>
      <c r="F2586" t="s">
        <v>26</v>
      </c>
      <c r="G2586" s="28">
        <f>IFERROR(VLOOKUP(F2586,CARTON_LOOKUP!$A:$E,3,0),"")</f>
      </c>
      <c r="H2586" s="28">
        <f>IFERROR(VLOOKUP(F2586,CARTON_LOOKUP!$A:$E,4,0),"")</f>
      </c>
      <c r="I2586" s="28">
        <f>IFERROR(VLOOKUP(F2586,CARTON_LOOKUP!$A:$E,5,0),"")</f>
      </c>
      <c r="J2586" s="29">
        <f>IFERROR(VLOOKUP(F2586,CARTON_LOOKUP!$A:$E,2,0),"")</f>
      </c>
      <c r="K2586" s="29">
        <f>IFERROR(J2586*D2586,0)</f>
      </c>
      <c r="L2586" s="29">
        <f>IFERROR(E2586*C2586,0)</f>
      </c>
      <c r="M2586" s="29">
        <f>IFERROR((G2586*H2586*I2586/1000000)*D2586,0)</f>
      </c>
    </row>
    <row r="2587" spans="1:13" x14ac:dyDescent="0.25">
      <c r="A2587" s="16"/>
      <c r="E2587" s="27"/>
      <c r="F2587" t="s">
        <v>26</v>
      </c>
      <c r="G2587" s="28">
        <f>IFERROR(VLOOKUP(F2587,CARTON_LOOKUP!$A:$E,3,0),"")</f>
      </c>
      <c r="H2587" s="28">
        <f>IFERROR(VLOOKUP(F2587,CARTON_LOOKUP!$A:$E,4,0),"")</f>
      </c>
      <c r="I2587" s="28">
        <f>IFERROR(VLOOKUP(F2587,CARTON_LOOKUP!$A:$E,5,0),"")</f>
      </c>
      <c r="J2587" s="29">
        <f>IFERROR(VLOOKUP(F2587,CARTON_LOOKUP!$A:$E,2,0),"")</f>
      </c>
      <c r="K2587" s="29">
        <f>IFERROR(J2587*D2587,0)</f>
      </c>
      <c r="L2587" s="29">
        <f>IFERROR(E2587*C2587,0)</f>
      </c>
      <c r="M2587" s="29">
        <f>IFERROR((G2587*H2587*I2587/1000000)*D2587,0)</f>
      </c>
    </row>
    <row r="2588" spans="1:13" x14ac:dyDescent="0.25">
      <c r="A2588" s="16"/>
      <c r="E2588" s="27"/>
      <c r="F2588" t="s">
        <v>26</v>
      </c>
      <c r="G2588" s="28">
        <f>IFERROR(VLOOKUP(F2588,CARTON_LOOKUP!$A:$E,3,0),"")</f>
      </c>
      <c r="H2588" s="28">
        <f>IFERROR(VLOOKUP(F2588,CARTON_LOOKUP!$A:$E,4,0),"")</f>
      </c>
      <c r="I2588" s="28">
        <f>IFERROR(VLOOKUP(F2588,CARTON_LOOKUP!$A:$E,5,0),"")</f>
      </c>
      <c r="J2588" s="29">
        <f>IFERROR(VLOOKUP(F2588,CARTON_LOOKUP!$A:$E,2,0),"")</f>
      </c>
      <c r="K2588" s="29">
        <f>IFERROR(J2588*D2588,0)</f>
      </c>
      <c r="L2588" s="29">
        <f>IFERROR(E2588*C2588,0)</f>
      </c>
      <c r="M2588" s="29">
        <f>IFERROR((G2588*H2588*I2588/1000000)*D2588,0)</f>
      </c>
    </row>
    <row r="2589" spans="1:13" x14ac:dyDescent="0.25">
      <c r="A2589" s="16"/>
      <c r="E2589" s="27"/>
      <c r="F2589" t="s">
        <v>26</v>
      </c>
      <c r="G2589" s="28">
        <f>IFERROR(VLOOKUP(F2589,CARTON_LOOKUP!$A:$E,3,0),"")</f>
      </c>
      <c r="H2589" s="28">
        <f>IFERROR(VLOOKUP(F2589,CARTON_LOOKUP!$A:$E,4,0),"")</f>
      </c>
      <c r="I2589" s="28">
        <f>IFERROR(VLOOKUP(F2589,CARTON_LOOKUP!$A:$E,5,0),"")</f>
      </c>
      <c r="J2589" s="29">
        <f>IFERROR(VLOOKUP(F2589,CARTON_LOOKUP!$A:$E,2,0),"")</f>
      </c>
      <c r="K2589" s="29">
        <f>IFERROR(J2589*D2589,0)</f>
      </c>
      <c r="L2589" s="29">
        <f>IFERROR(E2589*C2589,0)</f>
      </c>
      <c r="M2589" s="29">
        <f>IFERROR((G2589*H2589*I2589/1000000)*D2589,0)</f>
      </c>
    </row>
    <row r="2590" spans="1:13" x14ac:dyDescent="0.25">
      <c r="A2590" s="16"/>
      <c r="E2590" s="27"/>
      <c r="F2590" t="s">
        <v>26</v>
      </c>
      <c r="G2590" s="28">
        <f>IFERROR(VLOOKUP(F2590,CARTON_LOOKUP!$A:$E,3,0),"")</f>
      </c>
      <c r="H2590" s="28">
        <f>IFERROR(VLOOKUP(F2590,CARTON_LOOKUP!$A:$E,4,0),"")</f>
      </c>
      <c r="I2590" s="28">
        <f>IFERROR(VLOOKUP(F2590,CARTON_LOOKUP!$A:$E,5,0),"")</f>
      </c>
      <c r="J2590" s="29">
        <f>IFERROR(VLOOKUP(F2590,CARTON_LOOKUP!$A:$E,2,0),"")</f>
      </c>
      <c r="K2590" s="29">
        <f>IFERROR(J2590*D2590,0)</f>
      </c>
      <c r="L2590" s="29">
        <f>IFERROR(E2590*C2590,0)</f>
      </c>
      <c r="M2590" s="29">
        <f>IFERROR((G2590*H2590*I2590/1000000)*D2590,0)</f>
      </c>
    </row>
    <row r="2591" spans="1:13" x14ac:dyDescent="0.25">
      <c r="A2591" s="16"/>
      <c r="E2591" s="27"/>
      <c r="F2591" t="s">
        <v>26</v>
      </c>
      <c r="G2591" s="28">
        <f>IFERROR(VLOOKUP(F2591,CARTON_LOOKUP!$A:$E,3,0),"")</f>
      </c>
      <c r="H2591" s="28">
        <f>IFERROR(VLOOKUP(F2591,CARTON_LOOKUP!$A:$E,4,0),"")</f>
      </c>
      <c r="I2591" s="28">
        <f>IFERROR(VLOOKUP(F2591,CARTON_LOOKUP!$A:$E,5,0),"")</f>
      </c>
      <c r="J2591" s="29">
        <f>IFERROR(VLOOKUP(F2591,CARTON_LOOKUP!$A:$E,2,0),"")</f>
      </c>
      <c r="K2591" s="29">
        <f>IFERROR(J2591*D2591,0)</f>
      </c>
      <c r="L2591" s="29">
        <f>IFERROR(E2591*C2591,0)</f>
      </c>
      <c r="M2591" s="29">
        <f>IFERROR((G2591*H2591*I2591/1000000)*D2591,0)</f>
      </c>
    </row>
    <row r="2592" spans="1:13" x14ac:dyDescent="0.25">
      <c r="A2592" s="16"/>
      <c r="E2592" s="27"/>
      <c r="F2592" t="s">
        <v>26</v>
      </c>
      <c r="G2592" s="28">
        <f>IFERROR(VLOOKUP(F2592,CARTON_LOOKUP!$A:$E,3,0),"")</f>
      </c>
      <c r="H2592" s="28">
        <f>IFERROR(VLOOKUP(F2592,CARTON_LOOKUP!$A:$E,4,0),"")</f>
      </c>
      <c r="I2592" s="28">
        <f>IFERROR(VLOOKUP(F2592,CARTON_LOOKUP!$A:$E,5,0),"")</f>
      </c>
      <c r="J2592" s="29">
        <f>IFERROR(VLOOKUP(F2592,CARTON_LOOKUP!$A:$E,2,0),"")</f>
      </c>
      <c r="K2592" s="29">
        <f>IFERROR(J2592*D2592,0)</f>
      </c>
      <c r="L2592" s="29">
        <f>IFERROR(E2592*C2592,0)</f>
      </c>
      <c r="M2592" s="29">
        <f>IFERROR((G2592*H2592*I2592/1000000)*D2592,0)</f>
      </c>
    </row>
    <row r="2593" spans="1:13" x14ac:dyDescent="0.25">
      <c r="A2593" s="16"/>
      <c r="E2593" s="27"/>
      <c r="F2593" t="s">
        <v>26</v>
      </c>
      <c r="G2593" s="28">
        <f>IFERROR(VLOOKUP(F2593,CARTON_LOOKUP!$A:$E,3,0),"")</f>
      </c>
      <c r="H2593" s="28">
        <f>IFERROR(VLOOKUP(F2593,CARTON_LOOKUP!$A:$E,4,0),"")</f>
      </c>
      <c r="I2593" s="28">
        <f>IFERROR(VLOOKUP(F2593,CARTON_LOOKUP!$A:$E,5,0),"")</f>
      </c>
      <c r="J2593" s="29">
        <f>IFERROR(VLOOKUP(F2593,CARTON_LOOKUP!$A:$E,2,0),"")</f>
      </c>
      <c r="K2593" s="29">
        <f>IFERROR(J2593*D2593,0)</f>
      </c>
      <c r="L2593" s="29">
        <f>IFERROR(E2593*C2593,0)</f>
      </c>
      <c r="M2593" s="29">
        <f>IFERROR((G2593*H2593*I2593/1000000)*D2593,0)</f>
      </c>
    </row>
    <row r="2594" spans="1:13" x14ac:dyDescent="0.25">
      <c r="A2594" s="16"/>
      <c r="E2594" s="27"/>
      <c r="F2594" t="s">
        <v>26</v>
      </c>
      <c r="G2594" s="28">
        <f>IFERROR(VLOOKUP(F2594,CARTON_LOOKUP!$A:$E,3,0),"")</f>
      </c>
      <c r="H2594" s="28">
        <f>IFERROR(VLOOKUP(F2594,CARTON_LOOKUP!$A:$E,4,0),"")</f>
      </c>
      <c r="I2594" s="28">
        <f>IFERROR(VLOOKUP(F2594,CARTON_LOOKUP!$A:$E,5,0),"")</f>
      </c>
      <c r="J2594" s="29">
        <f>IFERROR(VLOOKUP(F2594,CARTON_LOOKUP!$A:$E,2,0),"")</f>
      </c>
      <c r="K2594" s="29">
        <f>IFERROR(J2594*D2594,0)</f>
      </c>
      <c r="L2594" s="29">
        <f>IFERROR(E2594*C2594,0)</f>
      </c>
      <c r="M2594" s="29">
        <f>IFERROR((G2594*H2594*I2594/1000000)*D2594,0)</f>
      </c>
    </row>
    <row r="2595" spans="1:13" x14ac:dyDescent="0.25">
      <c r="A2595" s="16"/>
      <c r="E2595" s="27"/>
      <c r="F2595" t="s">
        <v>26</v>
      </c>
      <c r="G2595" s="28">
        <f>IFERROR(VLOOKUP(F2595,CARTON_LOOKUP!$A:$E,3,0),"")</f>
      </c>
      <c r="H2595" s="28">
        <f>IFERROR(VLOOKUP(F2595,CARTON_LOOKUP!$A:$E,4,0),"")</f>
      </c>
      <c r="I2595" s="28">
        <f>IFERROR(VLOOKUP(F2595,CARTON_LOOKUP!$A:$E,5,0),"")</f>
      </c>
      <c r="J2595" s="29">
        <f>IFERROR(VLOOKUP(F2595,CARTON_LOOKUP!$A:$E,2,0),"")</f>
      </c>
      <c r="K2595" s="29">
        <f>IFERROR(J2595*D2595,0)</f>
      </c>
      <c r="L2595" s="29">
        <f>IFERROR(E2595*C2595,0)</f>
      </c>
      <c r="M2595" s="29">
        <f>IFERROR((G2595*H2595*I2595/1000000)*D2595,0)</f>
      </c>
    </row>
    <row r="2596" spans="1:13" x14ac:dyDescent="0.25">
      <c r="A2596" s="16"/>
      <c r="E2596" s="27"/>
      <c r="F2596" t="s">
        <v>26</v>
      </c>
      <c r="G2596" s="28">
        <f>IFERROR(VLOOKUP(F2596,CARTON_LOOKUP!$A:$E,3,0),"")</f>
      </c>
      <c r="H2596" s="28">
        <f>IFERROR(VLOOKUP(F2596,CARTON_LOOKUP!$A:$E,4,0),"")</f>
      </c>
      <c r="I2596" s="28">
        <f>IFERROR(VLOOKUP(F2596,CARTON_LOOKUP!$A:$E,5,0),"")</f>
      </c>
      <c r="J2596" s="29">
        <f>IFERROR(VLOOKUP(F2596,CARTON_LOOKUP!$A:$E,2,0),"")</f>
      </c>
      <c r="K2596" s="29">
        <f>IFERROR(J2596*D2596,0)</f>
      </c>
      <c r="L2596" s="29">
        <f>IFERROR(E2596*C2596,0)</f>
      </c>
      <c r="M2596" s="29">
        <f>IFERROR((G2596*H2596*I2596/1000000)*D2596,0)</f>
      </c>
    </row>
    <row r="2597" spans="1:13" x14ac:dyDescent="0.25">
      <c r="A2597" s="16"/>
      <c r="E2597" s="27"/>
      <c r="F2597" t="s">
        <v>26</v>
      </c>
      <c r="G2597" s="28">
        <f>IFERROR(VLOOKUP(F2597,CARTON_LOOKUP!$A:$E,3,0),"")</f>
      </c>
      <c r="H2597" s="28">
        <f>IFERROR(VLOOKUP(F2597,CARTON_LOOKUP!$A:$E,4,0),"")</f>
      </c>
      <c r="I2597" s="28">
        <f>IFERROR(VLOOKUP(F2597,CARTON_LOOKUP!$A:$E,5,0),"")</f>
      </c>
      <c r="J2597" s="29">
        <f>IFERROR(VLOOKUP(F2597,CARTON_LOOKUP!$A:$E,2,0),"")</f>
      </c>
      <c r="K2597" s="29">
        <f>IFERROR(J2597*D2597,0)</f>
      </c>
      <c r="L2597" s="29">
        <f>IFERROR(E2597*C2597,0)</f>
      </c>
      <c r="M2597" s="29">
        <f>IFERROR((G2597*H2597*I2597/1000000)*D2597,0)</f>
      </c>
    </row>
    <row r="2598" spans="1:13" x14ac:dyDescent="0.25">
      <c r="A2598" s="16"/>
      <c r="E2598" s="27"/>
      <c r="F2598" t="s">
        <v>26</v>
      </c>
      <c r="G2598" s="28">
        <f>IFERROR(VLOOKUP(F2598,CARTON_LOOKUP!$A:$E,3,0),"")</f>
      </c>
      <c r="H2598" s="28">
        <f>IFERROR(VLOOKUP(F2598,CARTON_LOOKUP!$A:$E,4,0),"")</f>
      </c>
      <c r="I2598" s="28">
        <f>IFERROR(VLOOKUP(F2598,CARTON_LOOKUP!$A:$E,5,0),"")</f>
      </c>
      <c r="J2598" s="29">
        <f>IFERROR(VLOOKUP(F2598,CARTON_LOOKUP!$A:$E,2,0),"")</f>
      </c>
      <c r="K2598" s="29">
        <f>IFERROR(J2598*D2598,0)</f>
      </c>
      <c r="L2598" s="29">
        <f>IFERROR(E2598*C2598,0)</f>
      </c>
      <c r="M2598" s="29">
        <f>IFERROR((G2598*H2598*I2598/1000000)*D2598,0)</f>
      </c>
    </row>
    <row r="2599" spans="1:13" x14ac:dyDescent="0.25">
      <c r="A2599" s="16"/>
      <c r="E2599" s="27"/>
      <c r="F2599" t="s">
        <v>26</v>
      </c>
      <c r="G2599" s="28">
        <f>IFERROR(VLOOKUP(F2599,CARTON_LOOKUP!$A:$E,3,0),"")</f>
      </c>
      <c r="H2599" s="28">
        <f>IFERROR(VLOOKUP(F2599,CARTON_LOOKUP!$A:$E,4,0),"")</f>
      </c>
      <c r="I2599" s="28">
        <f>IFERROR(VLOOKUP(F2599,CARTON_LOOKUP!$A:$E,5,0),"")</f>
      </c>
      <c r="J2599" s="29">
        <f>IFERROR(VLOOKUP(F2599,CARTON_LOOKUP!$A:$E,2,0),"")</f>
      </c>
      <c r="K2599" s="29">
        <f>IFERROR(J2599*D2599,0)</f>
      </c>
      <c r="L2599" s="29">
        <f>IFERROR(E2599*C2599,0)</f>
      </c>
      <c r="M2599" s="29">
        <f>IFERROR((G2599*H2599*I2599/1000000)*D2599,0)</f>
      </c>
    </row>
    <row r="2600" spans="1:13" x14ac:dyDescent="0.25">
      <c r="A2600" s="16"/>
      <c r="E2600" s="27"/>
      <c r="F2600" t="s">
        <v>26</v>
      </c>
      <c r="G2600" s="28">
        <f>IFERROR(VLOOKUP(F2600,CARTON_LOOKUP!$A:$E,3,0),"")</f>
      </c>
      <c r="H2600" s="28">
        <f>IFERROR(VLOOKUP(F2600,CARTON_LOOKUP!$A:$E,4,0),"")</f>
      </c>
      <c r="I2600" s="28">
        <f>IFERROR(VLOOKUP(F2600,CARTON_LOOKUP!$A:$E,5,0),"")</f>
      </c>
      <c r="J2600" s="29">
        <f>IFERROR(VLOOKUP(F2600,CARTON_LOOKUP!$A:$E,2,0),"")</f>
      </c>
      <c r="K2600" s="29">
        <f>IFERROR(J2600*D2600,0)</f>
      </c>
      <c r="L2600" s="29">
        <f>IFERROR(E2600*C2600,0)</f>
      </c>
      <c r="M2600" s="29">
        <f>IFERROR((G2600*H2600*I2600/1000000)*D2600,0)</f>
      </c>
    </row>
    <row r="2601" spans="1:13" x14ac:dyDescent="0.25">
      <c r="A2601" s="16"/>
      <c r="E2601" s="27"/>
      <c r="F2601" t="s">
        <v>26</v>
      </c>
      <c r="G2601" s="28">
        <f>IFERROR(VLOOKUP(F2601,CARTON_LOOKUP!$A:$E,3,0),"")</f>
      </c>
      <c r="H2601" s="28">
        <f>IFERROR(VLOOKUP(F2601,CARTON_LOOKUP!$A:$E,4,0),"")</f>
      </c>
      <c r="I2601" s="28">
        <f>IFERROR(VLOOKUP(F2601,CARTON_LOOKUP!$A:$E,5,0),"")</f>
      </c>
      <c r="J2601" s="29">
        <f>IFERROR(VLOOKUP(F2601,CARTON_LOOKUP!$A:$E,2,0),"")</f>
      </c>
      <c r="K2601" s="29">
        <f>IFERROR(J2601*D2601,0)</f>
      </c>
      <c r="L2601" s="29">
        <f>IFERROR(E2601*C2601,0)</f>
      </c>
      <c r="M2601" s="29">
        <f>IFERROR((G2601*H2601*I2601/1000000)*D2601,0)</f>
      </c>
    </row>
    <row r="2602" spans="1:13" x14ac:dyDescent="0.25">
      <c r="A2602" s="16"/>
      <c r="E2602" s="27"/>
      <c r="F2602" t="s">
        <v>26</v>
      </c>
      <c r="G2602" s="28">
        <f>IFERROR(VLOOKUP(F2602,CARTON_LOOKUP!$A:$E,3,0),"")</f>
      </c>
      <c r="H2602" s="28">
        <f>IFERROR(VLOOKUP(F2602,CARTON_LOOKUP!$A:$E,4,0),"")</f>
      </c>
      <c r="I2602" s="28">
        <f>IFERROR(VLOOKUP(F2602,CARTON_LOOKUP!$A:$E,5,0),"")</f>
      </c>
      <c r="J2602" s="29">
        <f>IFERROR(VLOOKUP(F2602,CARTON_LOOKUP!$A:$E,2,0),"")</f>
      </c>
      <c r="K2602" s="29">
        <f>IFERROR(J2602*D2602,0)</f>
      </c>
      <c r="L2602" s="29">
        <f>IFERROR(E2602*C2602,0)</f>
      </c>
      <c r="M2602" s="29">
        <f>IFERROR((G2602*H2602*I2602/1000000)*D2602,0)</f>
      </c>
    </row>
    <row r="2603" spans="1:13" x14ac:dyDescent="0.25">
      <c r="A2603" s="16"/>
      <c r="E2603" s="27"/>
      <c r="F2603" t="s">
        <v>26</v>
      </c>
      <c r="G2603" s="28">
        <f>IFERROR(VLOOKUP(F2603,CARTON_LOOKUP!$A:$E,3,0),"")</f>
      </c>
      <c r="H2603" s="28">
        <f>IFERROR(VLOOKUP(F2603,CARTON_LOOKUP!$A:$E,4,0),"")</f>
      </c>
      <c r="I2603" s="28">
        <f>IFERROR(VLOOKUP(F2603,CARTON_LOOKUP!$A:$E,5,0),"")</f>
      </c>
      <c r="J2603" s="29">
        <f>IFERROR(VLOOKUP(F2603,CARTON_LOOKUP!$A:$E,2,0),"")</f>
      </c>
      <c r="K2603" s="29">
        <f>IFERROR(J2603*D2603,0)</f>
      </c>
      <c r="L2603" s="29">
        <f>IFERROR(E2603*C2603,0)</f>
      </c>
      <c r="M2603" s="29">
        <f>IFERROR((G2603*H2603*I2603/1000000)*D2603,0)</f>
      </c>
    </row>
    <row r="2604" spans="1:13" x14ac:dyDescent="0.25">
      <c r="A2604" s="16"/>
      <c r="E2604" s="27"/>
      <c r="F2604" t="s">
        <v>26</v>
      </c>
      <c r="G2604" s="28">
        <f>IFERROR(VLOOKUP(F2604,CARTON_LOOKUP!$A:$E,3,0),"")</f>
      </c>
      <c r="H2604" s="28">
        <f>IFERROR(VLOOKUP(F2604,CARTON_LOOKUP!$A:$E,4,0),"")</f>
      </c>
      <c r="I2604" s="28">
        <f>IFERROR(VLOOKUP(F2604,CARTON_LOOKUP!$A:$E,5,0),"")</f>
      </c>
      <c r="J2604" s="29">
        <f>IFERROR(VLOOKUP(F2604,CARTON_LOOKUP!$A:$E,2,0),"")</f>
      </c>
      <c r="K2604" s="29">
        <f>IFERROR(J2604*D2604,0)</f>
      </c>
      <c r="L2604" s="29">
        <f>IFERROR(E2604*C2604,0)</f>
      </c>
      <c r="M2604" s="29">
        <f>IFERROR((G2604*H2604*I2604/1000000)*D2604,0)</f>
      </c>
    </row>
    <row r="2605" spans="1:13" x14ac:dyDescent="0.25">
      <c r="A2605" s="16"/>
      <c r="E2605" s="27"/>
      <c r="F2605" t="s">
        <v>26</v>
      </c>
      <c r="G2605" s="28">
        <f>IFERROR(VLOOKUP(F2605,CARTON_LOOKUP!$A:$E,3,0),"")</f>
      </c>
      <c r="H2605" s="28">
        <f>IFERROR(VLOOKUP(F2605,CARTON_LOOKUP!$A:$E,4,0),"")</f>
      </c>
      <c r="I2605" s="28">
        <f>IFERROR(VLOOKUP(F2605,CARTON_LOOKUP!$A:$E,5,0),"")</f>
      </c>
      <c r="J2605" s="29">
        <f>IFERROR(VLOOKUP(F2605,CARTON_LOOKUP!$A:$E,2,0),"")</f>
      </c>
      <c r="K2605" s="29">
        <f>IFERROR(J2605*D2605,0)</f>
      </c>
      <c r="L2605" s="29">
        <f>IFERROR(E2605*C2605,0)</f>
      </c>
      <c r="M2605" s="29">
        <f>IFERROR((G2605*H2605*I2605/1000000)*D2605,0)</f>
      </c>
    </row>
    <row r="2606" spans="1:13" x14ac:dyDescent="0.25">
      <c r="A2606" s="16"/>
      <c r="E2606" s="27"/>
      <c r="F2606" t="s">
        <v>26</v>
      </c>
      <c r="G2606" s="28">
        <f>IFERROR(VLOOKUP(F2606,CARTON_LOOKUP!$A:$E,3,0),"")</f>
      </c>
      <c r="H2606" s="28">
        <f>IFERROR(VLOOKUP(F2606,CARTON_LOOKUP!$A:$E,4,0),"")</f>
      </c>
      <c r="I2606" s="28">
        <f>IFERROR(VLOOKUP(F2606,CARTON_LOOKUP!$A:$E,5,0),"")</f>
      </c>
      <c r="J2606" s="29">
        <f>IFERROR(VLOOKUP(F2606,CARTON_LOOKUP!$A:$E,2,0),"")</f>
      </c>
      <c r="K2606" s="29">
        <f>IFERROR(J2606*D2606,0)</f>
      </c>
      <c r="L2606" s="29">
        <f>IFERROR(E2606*C2606,0)</f>
      </c>
      <c r="M2606" s="29">
        <f>IFERROR((G2606*H2606*I2606/1000000)*D2606,0)</f>
      </c>
    </row>
    <row r="2607" spans="1:13" x14ac:dyDescent="0.25">
      <c r="A2607" s="16"/>
      <c r="E2607" s="27"/>
      <c r="F2607" t="s">
        <v>26</v>
      </c>
      <c r="G2607" s="28">
        <f>IFERROR(VLOOKUP(F2607,CARTON_LOOKUP!$A:$E,3,0),"")</f>
      </c>
      <c r="H2607" s="28">
        <f>IFERROR(VLOOKUP(F2607,CARTON_LOOKUP!$A:$E,4,0),"")</f>
      </c>
      <c r="I2607" s="28">
        <f>IFERROR(VLOOKUP(F2607,CARTON_LOOKUP!$A:$E,5,0),"")</f>
      </c>
      <c r="J2607" s="29">
        <f>IFERROR(VLOOKUP(F2607,CARTON_LOOKUP!$A:$E,2,0),"")</f>
      </c>
      <c r="K2607" s="29">
        <f>IFERROR(J2607*D2607,0)</f>
      </c>
      <c r="L2607" s="29">
        <f>IFERROR(E2607*C2607,0)</f>
      </c>
      <c r="M2607" s="29">
        <f>IFERROR((G2607*H2607*I2607/1000000)*D2607,0)</f>
      </c>
    </row>
    <row r="2608" spans="1:13" x14ac:dyDescent="0.25">
      <c r="A2608" s="16"/>
      <c r="E2608" s="27"/>
      <c r="F2608" t="s">
        <v>26</v>
      </c>
      <c r="G2608" s="28">
        <f>IFERROR(VLOOKUP(F2608,CARTON_LOOKUP!$A:$E,3,0),"")</f>
      </c>
      <c r="H2608" s="28">
        <f>IFERROR(VLOOKUP(F2608,CARTON_LOOKUP!$A:$E,4,0),"")</f>
      </c>
      <c r="I2608" s="28">
        <f>IFERROR(VLOOKUP(F2608,CARTON_LOOKUP!$A:$E,5,0),"")</f>
      </c>
      <c r="J2608" s="29">
        <f>IFERROR(VLOOKUP(F2608,CARTON_LOOKUP!$A:$E,2,0),"")</f>
      </c>
      <c r="K2608" s="29">
        <f>IFERROR(J2608*D2608,0)</f>
      </c>
      <c r="L2608" s="29">
        <f>IFERROR(E2608*C2608,0)</f>
      </c>
      <c r="M2608" s="29">
        <f>IFERROR((G2608*H2608*I2608/1000000)*D2608,0)</f>
      </c>
    </row>
    <row r="2609" spans="1:13" x14ac:dyDescent="0.25">
      <c r="A2609" s="16"/>
      <c r="E2609" s="27"/>
      <c r="F2609" t="s">
        <v>26</v>
      </c>
      <c r="G2609" s="28">
        <f>IFERROR(VLOOKUP(F2609,CARTON_LOOKUP!$A:$E,3,0),"")</f>
      </c>
      <c r="H2609" s="28">
        <f>IFERROR(VLOOKUP(F2609,CARTON_LOOKUP!$A:$E,4,0),"")</f>
      </c>
      <c r="I2609" s="28">
        <f>IFERROR(VLOOKUP(F2609,CARTON_LOOKUP!$A:$E,5,0),"")</f>
      </c>
      <c r="J2609" s="29">
        <f>IFERROR(VLOOKUP(F2609,CARTON_LOOKUP!$A:$E,2,0),"")</f>
      </c>
      <c r="K2609" s="29">
        <f>IFERROR(J2609*D2609,0)</f>
      </c>
      <c r="L2609" s="29">
        <f>IFERROR(E2609*C2609,0)</f>
      </c>
      <c r="M2609" s="29">
        <f>IFERROR((G2609*H2609*I2609/1000000)*D2609,0)</f>
      </c>
    </row>
    <row r="2610" spans="1:13" x14ac:dyDescent="0.25">
      <c r="A2610" s="16"/>
      <c r="E2610" s="27"/>
      <c r="F2610" t="s">
        <v>26</v>
      </c>
      <c r="G2610" s="28">
        <f>IFERROR(VLOOKUP(F2610,CARTON_LOOKUP!$A:$E,3,0),"")</f>
      </c>
      <c r="H2610" s="28">
        <f>IFERROR(VLOOKUP(F2610,CARTON_LOOKUP!$A:$E,4,0),"")</f>
      </c>
      <c r="I2610" s="28">
        <f>IFERROR(VLOOKUP(F2610,CARTON_LOOKUP!$A:$E,5,0),"")</f>
      </c>
      <c r="J2610" s="29">
        <f>IFERROR(VLOOKUP(F2610,CARTON_LOOKUP!$A:$E,2,0),"")</f>
      </c>
      <c r="K2610" s="29">
        <f>IFERROR(J2610*D2610,0)</f>
      </c>
      <c r="L2610" s="29">
        <f>IFERROR(E2610*C2610,0)</f>
      </c>
      <c r="M2610" s="29">
        <f>IFERROR((G2610*H2610*I2610/1000000)*D2610,0)</f>
      </c>
    </row>
    <row r="2611" spans="1:13" x14ac:dyDescent="0.25">
      <c r="A2611" s="16"/>
      <c r="E2611" s="27"/>
      <c r="F2611" t="s">
        <v>26</v>
      </c>
      <c r="G2611" s="28">
        <f>IFERROR(VLOOKUP(F2611,CARTON_LOOKUP!$A:$E,3,0),"")</f>
      </c>
      <c r="H2611" s="28">
        <f>IFERROR(VLOOKUP(F2611,CARTON_LOOKUP!$A:$E,4,0),"")</f>
      </c>
      <c r="I2611" s="28">
        <f>IFERROR(VLOOKUP(F2611,CARTON_LOOKUP!$A:$E,5,0),"")</f>
      </c>
      <c r="J2611" s="29">
        <f>IFERROR(VLOOKUP(F2611,CARTON_LOOKUP!$A:$E,2,0),"")</f>
      </c>
      <c r="K2611" s="29">
        <f>IFERROR(J2611*D2611,0)</f>
      </c>
      <c r="L2611" s="29">
        <f>IFERROR(E2611*C2611,0)</f>
      </c>
      <c r="M2611" s="29">
        <f>IFERROR((G2611*H2611*I2611/1000000)*D2611,0)</f>
      </c>
    </row>
    <row r="2612" spans="1:13" x14ac:dyDescent="0.25">
      <c r="A2612" s="16"/>
      <c r="E2612" s="27"/>
      <c r="F2612" t="s">
        <v>26</v>
      </c>
      <c r="G2612" s="28">
        <f>IFERROR(VLOOKUP(F2612,CARTON_LOOKUP!$A:$E,3,0),"")</f>
      </c>
      <c r="H2612" s="28">
        <f>IFERROR(VLOOKUP(F2612,CARTON_LOOKUP!$A:$E,4,0),"")</f>
      </c>
      <c r="I2612" s="28">
        <f>IFERROR(VLOOKUP(F2612,CARTON_LOOKUP!$A:$E,5,0),"")</f>
      </c>
      <c r="J2612" s="29">
        <f>IFERROR(VLOOKUP(F2612,CARTON_LOOKUP!$A:$E,2,0),"")</f>
      </c>
      <c r="K2612" s="29">
        <f>IFERROR(J2612*D2612,0)</f>
      </c>
      <c r="L2612" s="29">
        <f>IFERROR(E2612*C2612,0)</f>
      </c>
      <c r="M2612" s="29">
        <f>IFERROR((G2612*H2612*I2612/1000000)*D2612,0)</f>
      </c>
    </row>
    <row r="2613" spans="1:13" x14ac:dyDescent="0.25">
      <c r="A2613" s="16"/>
      <c r="E2613" s="27"/>
      <c r="F2613" t="s">
        <v>26</v>
      </c>
      <c r="G2613" s="28">
        <f>IFERROR(VLOOKUP(F2613,CARTON_LOOKUP!$A:$E,3,0),"")</f>
      </c>
      <c r="H2613" s="28">
        <f>IFERROR(VLOOKUP(F2613,CARTON_LOOKUP!$A:$E,4,0),"")</f>
      </c>
      <c r="I2613" s="28">
        <f>IFERROR(VLOOKUP(F2613,CARTON_LOOKUP!$A:$E,5,0),"")</f>
      </c>
      <c r="J2613" s="29">
        <f>IFERROR(VLOOKUP(F2613,CARTON_LOOKUP!$A:$E,2,0),"")</f>
      </c>
      <c r="K2613" s="29">
        <f>IFERROR(J2613*D2613,0)</f>
      </c>
      <c r="L2613" s="29">
        <f>IFERROR(E2613*C2613,0)</f>
      </c>
      <c r="M2613" s="29">
        <f>IFERROR((G2613*H2613*I2613/1000000)*D2613,0)</f>
      </c>
    </row>
    <row r="2614" spans="1:13" x14ac:dyDescent="0.25">
      <c r="A2614" s="16"/>
      <c r="E2614" s="27"/>
      <c r="F2614" t="s">
        <v>26</v>
      </c>
      <c r="G2614" s="28">
        <f>IFERROR(VLOOKUP(F2614,CARTON_LOOKUP!$A:$E,3,0),"")</f>
      </c>
      <c r="H2614" s="28">
        <f>IFERROR(VLOOKUP(F2614,CARTON_LOOKUP!$A:$E,4,0),"")</f>
      </c>
      <c r="I2614" s="28">
        <f>IFERROR(VLOOKUP(F2614,CARTON_LOOKUP!$A:$E,5,0),"")</f>
      </c>
      <c r="J2614" s="29">
        <f>IFERROR(VLOOKUP(F2614,CARTON_LOOKUP!$A:$E,2,0),"")</f>
      </c>
      <c r="K2614" s="29">
        <f>IFERROR(J2614*D2614,0)</f>
      </c>
      <c r="L2614" s="29">
        <f>IFERROR(E2614*C2614,0)</f>
      </c>
      <c r="M2614" s="29">
        <f>IFERROR((G2614*H2614*I2614/1000000)*D2614,0)</f>
      </c>
    </row>
    <row r="2615" spans="1:13" x14ac:dyDescent="0.25">
      <c r="A2615" s="16"/>
      <c r="E2615" s="27"/>
      <c r="F2615" t="s">
        <v>26</v>
      </c>
      <c r="G2615" s="28">
        <f>IFERROR(VLOOKUP(F2615,CARTON_LOOKUP!$A:$E,3,0),"")</f>
      </c>
      <c r="H2615" s="28">
        <f>IFERROR(VLOOKUP(F2615,CARTON_LOOKUP!$A:$E,4,0),"")</f>
      </c>
      <c r="I2615" s="28">
        <f>IFERROR(VLOOKUP(F2615,CARTON_LOOKUP!$A:$E,5,0),"")</f>
      </c>
      <c r="J2615" s="29">
        <f>IFERROR(VLOOKUP(F2615,CARTON_LOOKUP!$A:$E,2,0),"")</f>
      </c>
      <c r="K2615" s="29">
        <f>IFERROR(J2615*D2615,0)</f>
      </c>
      <c r="L2615" s="29">
        <f>IFERROR(E2615*C2615,0)</f>
      </c>
      <c r="M2615" s="29">
        <f>IFERROR((G2615*H2615*I2615/1000000)*D2615,0)</f>
      </c>
    </row>
    <row r="2616" spans="1:13" x14ac:dyDescent="0.25">
      <c r="A2616" s="16"/>
      <c r="E2616" s="27"/>
      <c r="F2616" t="s">
        <v>26</v>
      </c>
      <c r="G2616" s="28">
        <f>IFERROR(VLOOKUP(F2616,CARTON_LOOKUP!$A:$E,3,0),"")</f>
      </c>
      <c r="H2616" s="28">
        <f>IFERROR(VLOOKUP(F2616,CARTON_LOOKUP!$A:$E,4,0),"")</f>
      </c>
      <c r="I2616" s="28">
        <f>IFERROR(VLOOKUP(F2616,CARTON_LOOKUP!$A:$E,5,0),"")</f>
      </c>
      <c r="J2616" s="29">
        <f>IFERROR(VLOOKUP(F2616,CARTON_LOOKUP!$A:$E,2,0),"")</f>
      </c>
      <c r="K2616" s="29">
        <f>IFERROR(J2616*D2616,0)</f>
      </c>
      <c r="L2616" s="29">
        <f>IFERROR(E2616*C2616,0)</f>
      </c>
      <c r="M2616" s="29">
        <f>IFERROR((G2616*H2616*I2616/1000000)*D2616,0)</f>
      </c>
    </row>
    <row r="2617" spans="1:13" x14ac:dyDescent="0.25">
      <c r="A2617" s="16"/>
      <c r="E2617" s="27"/>
      <c r="F2617" t="s">
        <v>26</v>
      </c>
      <c r="G2617" s="28">
        <f>IFERROR(VLOOKUP(F2617,CARTON_LOOKUP!$A:$E,3,0),"")</f>
      </c>
      <c r="H2617" s="28">
        <f>IFERROR(VLOOKUP(F2617,CARTON_LOOKUP!$A:$E,4,0),"")</f>
      </c>
      <c r="I2617" s="28">
        <f>IFERROR(VLOOKUP(F2617,CARTON_LOOKUP!$A:$E,5,0),"")</f>
      </c>
      <c r="J2617" s="29">
        <f>IFERROR(VLOOKUP(F2617,CARTON_LOOKUP!$A:$E,2,0),"")</f>
      </c>
      <c r="K2617" s="29">
        <f>IFERROR(J2617*D2617,0)</f>
      </c>
      <c r="L2617" s="29">
        <f>IFERROR(E2617*C2617,0)</f>
      </c>
      <c r="M2617" s="29">
        <f>IFERROR((G2617*H2617*I2617/1000000)*D2617,0)</f>
      </c>
    </row>
    <row r="2618" spans="1:13" x14ac:dyDescent="0.25">
      <c r="A2618" s="16"/>
      <c r="E2618" s="27"/>
      <c r="F2618" t="s">
        <v>26</v>
      </c>
      <c r="G2618" s="28">
        <f>IFERROR(VLOOKUP(F2618,CARTON_LOOKUP!$A:$E,3,0),"")</f>
      </c>
      <c r="H2618" s="28">
        <f>IFERROR(VLOOKUP(F2618,CARTON_LOOKUP!$A:$E,4,0),"")</f>
      </c>
      <c r="I2618" s="28">
        <f>IFERROR(VLOOKUP(F2618,CARTON_LOOKUP!$A:$E,5,0),"")</f>
      </c>
      <c r="J2618" s="29">
        <f>IFERROR(VLOOKUP(F2618,CARTON_LOOKUP!$A:$E,2,0),"")</f>
      </c>
      <c r="K2618" s="29">
        <f>IFERROR(J2618*D2618,0)</f>
      </c>
      <c r="L2618" s="29">
        <f>IFERROR(E2618*C2618,0)</f>
      </c>
      <c r="M2618" s="29">
        <f>IFERROR((G2618*H2618*I2618/1000000)*D2618,0)</f>
      </c>
    </row>
    <row r="2619" spans="1:13" x14ac:dyDescent="0.25">
      <c r="A2619" s="16"/>
      <c r="E2619" s="27"/>
      <c r="F2619" t="s">
        <v>26</v>
      </c>
      <c r="G2619" s="28">
        <f>IFERROR(VLOOKUP(F2619,CARTON_LOOKUP!$A:$E,3,0),"")</f>
      </c>
      <c r="H2619" s="28">
        <f>IFERROR(VLOOKUP(F2619,CARTON_LOOKUP!$A:$E,4,0),"")</f>
      </c>
      <c r="I2619" s="28">
        <f>IFERROR(VLOOKUP(F2619,CARTON_LOOKUP!$A:$E,5,0),"")</f>
      </c>
      <c r="J2619" s="29">
        <f>IFERROR(VLOOKUP(F2619,CARTON_LOOKUP!$A:$E,2,0),"")</f>
      </c>
      <c r="K2619" s="29">
        <f>IFERROR(J2619*D2619,0)</f>
      </c>
      <c r="L2619" s="29">
        <f>IFERROR(E2619*C2619,0)</f>
      </c>
      <c r="M2619" s="29">
        <f>IFERROR((G2619*H2619*I2619/1000000)*D2619,0)</f>
      </c>
    </row>
    <row r="2620" spans="1:13" x14ac:dyDescent="0.25">
      <c r="A2620" s="16"/>
      <c r="E2620" s="27"/>
      <c r="F2620" t="s">
        <v>26</v>
      </c>
      <c r="G2620" s="28">
        <f>IFERROR(VLOOKUP(F2620,CARTON_LOOKUP!$A:$E,3,0),"")</f>
      </c>
      <c r="H2620" s="28">
        <f>IFERROR(VLOOKUP(F2620,CARTON_LOOKUP!$A:$E,4,0),"")</f>
      </c>
      <c r="I2620" s="28">
        <f>IFERROR(VLOOKUP(F2620,CARTON_LOOKUP!$A:$E,5,0),"")</f>
      </c>
      <c r="J2620" s="29">
        <f>IFERROR(VLOOKUP(F2620,CARTON_LOOKUP!$A:$E,2,0),"")</f>
      </c>
      <c r="K2620" s="29">
        <f>IFERROR(J2620*D2620,0)</f>
      </c>
      <c r="L2620" s="29">
        <f>IFERROR(E2620*C2620,0)</f>
      </c>
      <c r="M2620" s="29">
        <f>IFERROR((G2620*H2620*I2620/1000000)*D2620,0)</f>
      </c>
    </row>
    <row r="2621" spans="1:13" x14ac:dyDescent="0.25">
      <c r="A2621" s="16"/>
      <c r="E2621" s="27"/>
      <c r="F2621" t="s">
        <v>26</v>
      </c>
      <c r="G2621" s="28">
        <f>IFERROR(VLOOKUP(F2621,CARTON_LOOKUP!$A:$E,3,0),"")</f>
      </c>
      <c r="H2621" s="28">
        <f>IFERROR(VLOOKUP(F2621,CARTON_LOOKUP!$A:$E,4,0),"")</f>
      </c>
      <c r="I2621" s="28">
        <f>IFERROR(VLOOKUP(F2621,CARTON_LOOKUP!$A:$E,5,0),"")</f>
      </c>
      <c r="J2621" s="29">
        <f>IFERROR(VLOOKUP(F2621,CARTON_LOOKUP!$A:$E,2,0),"")</f>
      </c>
      <c r="K2621" s="29">
        <f>IFERROR(J2621*D2621,0)</f>
      </c>
      <c r="L2621" s="29">
        <f>IFERROR(E2621*C2621,0)</f>
      </c>
      <c r="M2621" s="29">
        <f>IFERROR((G2621*H2621*I2621/1000000)*D2621,0)</f>
      </c>
    </row>
    <row r="2622" spans="1:13" x14ac:dyDescent="0.25">
      <c r="A2622" s="16"/>
      <c r="E2622" s="27"/>
      <c r="F2622" t="s">
        <v>26</v>
      </c>
      <c r="G2622" s="28">
        <f>IFERROR(VLOOKUP(F2622,CARTON_LOOKUP!$A:$E,3,0),"")</f>
      </c>
      <c r="H2622" s="28">
        <f>IFERROR(VLOOKUP(F2622,CARTON_LOOKUP!$A:$E,4,0),"")</f>
      </c>
      <c r="I2622" s="28">
        <f>IFERROR(VLOOKUP(F2622,CARTON_LOOKUP!$A:$E,5,0),"")</f>
      </c>
      <c r="J2622" s="29">
        <f>IFERROR(VLOOKUP(F2622,CARTON_LOOKUP!$A:$E,2,0),"")</f>
      </c>
      <c r="K2622" s="29">
        <f>IFERROR(J2622*D2622,0)</f>
      </c>
      <c r="L2622" s="29">
        <f>IFERROR(E2622*C2622,0)</f>
      </c>
      <c r="M2622" s="29">
        <f>IFERROR((G2622*H2622*I2622/1000000)*D2622,0)</f>
      </c>
    </row>
    <row r="2623" spans="1:13" x14ac:dyDescent="0.25">
      <c r="A2623" s="16"/>
      <c r="E2623" s="27"/>
      <c r="F2623" t="s">
        <v>26</v>
      </c>
      <c r="G2623" s="28">
        <f>IFERROR(VLOOKUP(F2623,CARTON_LOOKUP!$A:$E,3,0),"")</f>
      </c>
      <c r="H2623" s="28">
        <f>IFERROR(VLOOKUP(F2623,CARTON_LOOKUP!$A:$E,4,0),"")</f>
      </c>
      <c r="I2623" s="28">
        <f>IFERROR(VLOOKUP(F2623,CARTON_LOOKUP!$A:$E,5,0),"")</f>
      </c>
      <c r="J2623" s="29">
        <f>IFERROR(VLOOKUP(F2623,CARTON_LOOKUP!$A:$E,2,0),"")</f>
      </c>
      <c r="K2623" s="29">
        <f>IFERROR(J2623*D2623,0)</f>
      </c>
      <c r="L2623" s="29">
        <f>IFERROR(E2623*C2623,0)</f>
      </c>
      <c r="M2623" s="29">
        <f>IFERROR((G2623*H2623*I2623/1000000)*D2623,0)</f>
      </c>
    </row>
    <row r="2624" spans="1:13" x14ac:dyDescent="0.25">
      <c r="A2624" s="16"/>
      <c r="E2624" s="27"/>
      <c r="F2624" t="s">
        <v>26</v>
      </c>
      <c r="G2624" s="28">
        <f>IFERROR(VLOOKUP(F2624,CARTON_LOOKUP!$A:$E,3,0),"")</f>
      </c>
      <c r="H2624" s="28">
        <f>IFERROR(VLOOKUP(F2624,CARTON_LOOKUP!$A:$E,4,0),"")</f>
      </c>
      <c r="I2624" s="28">
        <f>IFERROR(VLOOKUP(F2624,CARTON_LOOKUP!$A:$E,5,0),"")</f>
      </c>
      <c r="J2624" s="29">
        <f>IFERROR(VLOOKUP(F2624,CARTON_LOOKUP!$A:$E,2,0),"")</f>
      </c>
      <c r="K2624" s="29">
        <f>IFERROR(J2624*D2624,0)</f>
      </c>
      <c r="L2624" s="29">
        <f>IFERROR(E2624*C2624,0)</f>
      </c>
      <c r="M2624" s="29">
        <f>IFERROR((G2624*H2624*I2624/1000000)*D2624,0)</f>
      </c>
    </row>
    <row r="2625" spans="1:13" x14ac:dyDescent="0.25">
      <c r="A2625" s="16"/>
      <c r="E2625" s="27"/>
      <c r="F2625" t="s">
        <v>26</v>
      </c>
      <c r="G2625" s="28">
        <f>IFERROR(VLOOKUP(F2625,CARTON_LOOKUP!$A:$E,3,0),"")</f>
      </c>
      <c r="H2625" s="28">
        <f>IFERROR(VLOOKUP(F2625,CARTON_LOOKUP!$A:$E,4,0),"")</f>
      </c>
      <c r="I2625" s="28">
        <f>IFERROR(VLOOKUP(F2625,CARTON_LOOKUP!$A:$E,5,0),"")</f>
      </c>
      <c r="J2625" s="29">
        <f>IFERROR(VLOOKUP(F2625,CARTON_LOOKUP!$A:$E,2,0),"")</f>
      </c>
      <c r="K2625" s="29">
        <f>IFERROR(J2625*D2625,0)</f>
      </c>
      <c r="L2625" s="29">
        <f>IFERROR(E2625*C2625,0)</f>
      </c>
      <c r="M2625" s="29">
        <f>IFERROR((G2625*H2625*I2625/1000000)*D2625,0)</f>
      </c>
    </row>
    <row r="2626" spans="1:13" x14ac:dyDescent="0.25">
      <c r="A2626" s="16"/>
      <c r="E2626" s="27"/>
      <c r="F2626" t="s">
        <v>26</v>
      </c>
      <c r="G2626" s="28">
        <f>IFERROR(VLOOKUP(F2626,CARTON_LOOKUP!$A:$E,3,0),"")</f>
      </c>
      <c r="H2626" s="28">
        <f>IFERROR(VLOOKUP(F2626,CARTON_LOOKUP!$A:$E,4,0),"")</f>
      </c>
      <c r="I2626" s="28">
        <f>IFERROR(VLOOKUP(F2626,CARTON_LOOKUP!$A:$E,5,0),"")</f>
      </c>
      <c r="J2626" s="29">
        <f>IFERROR(VLOOKUP(F2626,CARTON_LOOKUP!$A:$E,2,0),"")</f>
      </c>
      <c r="K2626" s="29">
        <f>IFERROR(J2626*D2626,0)</f>
      </c>
      <c r="L2626" s="29">
        <f>IFERROR(E2626*C2626,0)</f>
      </c>
      <c r="M2626" s="29">
        <f>IFERROR((G2626*H2626*I2626/1000000)*D2626,0)</f>
      </c>
    </row>
    <row r="2627" spans="1:13" x14ac:dyDescent="0.25">
      <c r="A2627" s="16"/>
      <c r="E2627" s="27"/>
      <c r="F2627" t="s">
        <v>26</v>
      </c>
      <c r="G2627" s="28">
        <f>IFERROR(VLOOKUP(F2627,CARTON_LOOKUP!$A:$E,3,0),"")</f>
      </c>
      <c r="H2627" s="28">
        <f>IFERROR(VLOOKUP(F2627,CARTON_LOOKUP!$A:$E,4,0),"")</f>
      </c>
      <c r="I2627" s="28">
        <f>IFERROR(VLOOKUP(F2627,CARTON_LOOKUP!$A:$E,5,0),"")</f>
      </c>
      <c r="J2627" s="29">
        <f>IFERROR(VLOOKUP(F2627,CARTON_LOOKUP!$A:$E,2,0),"")</f>
      </c>
      <c r="K2627" s="29">
        <f>IFERROR(J2627*D2627,0)</f>
      </c>
      <c r="L2627" s="29">
        <f>IFERROR(E2627*C2627,0)</f>
      </c>
      <c r="M2627" s="29">
        <f>IFERROR((G2627*H2627*I2627/1000000)*D2627,0)</f>
      </c>
    </row>
    <row r="2628" spans="1:13" x14ac:dyDescent="0.25">
      <c r="A2628" s="16"/>
      <c r="E2628" s="27"/>
      <c r="F2628" t="s">
        <v>26</v>
      </c>
      <c r="G2628" s="28">
        <f>IFERROR(VLOOKUP(F2628,CARTON_LOOKUP!$A:$E,3,0),"")</f>
      </c>
      <c r="H2628" s="28">
        <f>IFERROR(VLOOKUP(F2628,CARTON_LOOKUP!$A:$E,4,0),"")</f>
      </c>
      <c r="I2628" s="28">
        <f>IFERROR(VLOOKUP(F2628,CARTON_LOOKUP!$A:$E,5,0),"")</f>
      </c>
      <c r="J2628" s="29">
        <f>IFERROR(VLOOKUP(F2628,CARTON_LOOKUP!$A:$E,2,0),"")</f>
      </c>
      <c r="K2628" s="29">
        <f>IFERROR(J2628*D2628,0)</f>
      </c>
      <c r="L2628" s="29">
        <f>IFERROR(E2628*C2628,0)</f>
      </c>
      <c r="M2628" s="29">
        <f>IFERROR((G2628*H2628*I2628/1000000)*D2628,0)</f>
      </c>
    </row>
    <row r="2629" spans="1:13" x14ac:dyDescent="0.25">
      <c r="A2629" s="16"/>
      <c r="E2629" s="27"/>
      <c r="F2629" t="s">
        <v>26</v>
      </c>
      <c r="G2629" s="28">
        <f>IFERROR(VLOOKUP(F2629,CARTON_LOOKUP!$A:$E,3,0),"")</f>
      </c>
      <c r="H2629" s="28">
        <f>IFERROR(VLOOKUP(F2629,CARTON_LOOKUP!$A:$E,4,0),"")</f>
      </c>
      <c r="I2629" s="28">
        <f>IFERROR(VLOOKUP(F2629,CARTON_LOOKUP!$A:$E,5,0),"")</f>
      </c>
      <c r="J2629" s="29">
        <f>IFERROR(VLOOKUP(F2629,CARTON_LOOKUP!$A:$E,2,0),"")</f>
      </c>
      <c r="K2629" s="29">
        <f>IFERROR(J2629*D2629,0)</f>
      </c>
      <c r="L2629" s="29">
        <f>IFERROR(E2629*C2629,0)</f>
      </c>
      <c r="M2629" s="29">
        <f>IFERROR((G2629*H2629*I2629/1000000)*D2629,0)</f>
      </c>
    </row>
    <row r="2630" spans="1:13" x14ac:dyDescent="0.25">
      <c r="A2630" s="16"/>
      <c r="E2630" s="27"/>
      <c r="F2630" t="s">
        <v>26</v>
      </c>
      <c r="G2630" s="28">
        <f>IFERROR(VLOOKUP(F2630,CARTON_LOOKUP!$A:$E,3,0),"")</f>
      </c>
      <c r="H2630" s="28">
        <f>IFERROR(VLOOKUP(F2630,CARTON_LOOKUP!$A:$E,4,0),"")</f>
      </c>
      <c r="I2630" s="28">
        <f>IFERROR(VLOOKUP(F2630,CARTON_LOOKUP!$A:$E,5,0),"")</f>
      </c>
      <c r="J2630" s="29">
        <f>IFERROR(VLOOKUP(F2630,CARTON_LOOKUP!$A:$E,2,0),"")</f>
      </c>
      <c r="K2630" s="29">
        <f>IFERROR(J2630*D2630,0)</f>
      </c>
      <c r="L2630" s="29">
        <f>IFERROR(E2630*C2630,0)</f>
      </c>
      <c r="M2630" s="29">
        <f>IFERROR((G2630*H2630*I2630/1000000)*D2630,0)</f>
      </c>
    </row>
    <row r="2631" spans="1:13" x14ac:dyDescent="0.25">
      <c r="A2631" s="16"/>
      <c r="E2631" s="27"/>
      <c r="F2631" t="s">
        <v>26</v>
      </c>
      <c r="G2631" s="28">
        <f>IFERROR(VLOOKUP(F2631,CARTON_LOOKUP!$A:$E,3,0),"")</f>
      </c>
      <c r="H2631" s="28">
        <f>IFERROR(VLOOKUP(F2631,CARTON_LOOKUP!$A:$E,4,0),"")</f>
      </c>
      <c r="I2631" s="28">
        <f>IFERROR(VLOOKUP(F2631,CARTON_LOOKUP!$A:$E,5,0),"")</f>
      </c>
      <c r="J2631" s="29">
        <f>IFERROR(VLOOKUP(F2631,CARTON_LOOKUP!$A:$E,2,0),"")</f>
      </c>
      <c r="K2631" s="29">
        <f>IFERROR(J2631*D2631,0)</f>
      </c>
      <c r="L2631" s="29">
        <f>IFERROR(E2631*C2631,0)</f>
      </c>
      <c r="M2631" s="29">
        <f>IFERROR((G2631*H2631*I2631/1000000)*D2631,0)</f>
      </c>
    </row>
    <row r="2632" spans="1:13" x14ac:dyDescent="0.25">
      <c r="A2632" s="16"/>
      <c r="E2632" s="27"/>
      <c r="F2632" t="s">
        <v>26</v>
      </c>
      <c r="G2632" s="28">
        <f>IFERROR(VLOOKUP(F2632,CARTON_LOOKUP!$A:$E,3,0),"")</f>
      </c>
      <c r="H2632" s="28">
        <f>IFERROR(VLOOKUP(F2632,CARTON_LOOKUP!$A:$E,4,0),"")</f>
      </c>
      <c r="I2632" s="28">
        <f>IFERROR(VLOOKUP(F2632,CARTON_LOOKUP!$A:$E,5,0),"")</f>
      </c>
      <c r="J2632" s="29">
        <f>IFERROR(VLOOKUP(F2632,CARTON_LOOKUP!$A:$E,2,0),"")</f>
      </c>
      <c r="K2632" s="29">
        <f>IFERROR(J2632*D2632,0)</f>
      </c>
      <c r="L2632" s="29">
        <f>IFERROR(E2632*C2632,0)</f>
      </c>
      <c r="M2632" s="29">
        <f>IFERROR((G2632*H2632*I2632/1000000)*D2632,0)</f>
      </c>
    </row>
    <row r="2633" spans="1:13" x14ac:dyDescent="0.25">
      <c r="A2633" s="16"/>
      <c r="E2633" s="27"/>
      <c r="F2633" t="s">
        <v>26</v>
      </c>
      <c r="G2633" s="28">
        <f>IFERROR(VLOOKUP(F2633,CARTON_LOOKUP!$A:$E,3,0),"")</f>
      </c>
      <c r="H2633" s="28">
        <f>IFERROR(VLOOKUP(F2633,CARTON_LOOKUP!$A:$E,4,0),"")</f>
      </c>
      <c r="I2633" s="28">
        <f>IFERROR(VLOOKUP(F2633,CARTON_LOOKUP!$A:$E,5,0),"")</f>
      </c>
      <c r="J2633" s="29">
        <f>IFERROR(VLOOKUP(F2633,CARTON_LOOKUP!$A:$E,2,0),"")</f>
      </c>
      <c r="K2633" s="29">
        <f>IFERROR(J2633*D2633,0)</f>
      </c>
      <c r="L2633" s="29">
        <f>IFERROR(E2633*C2633,0)</f>
      </c>
      <c r="M2633" s="29">
        <f>IFERROR((G2633*H2633*I2633/1000000)*D2633,0)</f>
      </c>
    </row>
    <row r="2634" spans="1:13" x14ac:dyDescent="0.25">
      <c r="A2634" s="16"/>
      <c r="E2634" s="27"/>
      <c r="F2634" t="s">
        <v>26</v>
      </c>
      <c r="G2634" s="28">
        <f>IFERROR(VLOOKUP(F2634,CARTON_LOOKUP!$A:$E,3,0),"")</f>
      </c>
      <c r="H2634" s="28">
        <f>IFERROR(VLOOKUP(F2634,CARTON_LOOKUP!$A:$E,4,0),"")</f>
      </c>
      <c r="I2634" s="28">
        <f>IFERROR(VLOOKUP(F2634,CARTON_LOOKUP!$A:$E,5,0),"")</f>
      </c>
      <c r="J2634" s="29">
        <f>IFERROR(VLOOKUP(F2634,CARTON_LOOKUP!$A:$E,2,0),"")</f>
      </c>
      <c r="K2634" s="29">
        <f>IFERROR(J2634*D2634,0)</f>
      </c>
      <c r="L2634" s="29">
        <f>IFERROR(E2634*C2634,0)</f>
      </c>
      <c r="M2634" s="29">
        <f>IFERROR((G2634*H2634*I2634/1000000)*D2634,0)</f>
      </c>
    </row>
    <row r="2635" spans="1:13" x14ac:dyDescent="0.25">
      <c r="A2635" s="16"/>
      <c r="E2635" s="27"/>
      <c r="F2635" t="s">
        <v>26</v>
      </c>
      <c r="G2635" s="28">
        <f>IFERROR(VLOOKUP(F2635,CARTON_LOOKUP!$A:$E,3,0),"")</f>
      </c>
      <c r="H2635" s="28">
        <f>IFERROR(VLOOKUP(F2635,CARTON_LOOKUP!$A:$E,4,0),"")</f>
      </c>
      <c r="I2635" s="28">
        <f>IFERROR(VLOOKUP(F2635,CARTON_LOOKUP!$A:$E,5,0),"")</f>
      </c>
      <c r="J2635" s="29">
        <f>IFERROR(VLOOKUP(F2635,CARTON_LOOKUP!$A:$E,2,0),"")</f>
      </c>
      <c r="K2635" s="29">
        <f>IFERROR(J2635*D2635,0)</f>
      </c>
      <c r="L2635" s="29">
        <f>IFERROR(E2635*C2635,0)</f>
      </c>
      <c r="M2635" s="29">
        <f>IFERROR((G2635*H2635*I2635/1000000)*D2635,0)</f>
      </c>
    </row>
    <row r="2636" spans="1:13" x14ac:dyDescent="0.25">
      <c r="A2636" s="16"/>
      <c r="E2636" s="27"/>
      <c r="F2636" t="s">
        <v>26</v>
      </c>
      <c r="G2636" s="28">
        <f>IFERROR(VLOOKUP(F2636,CARTON_LOOKUP!$A:$E,3,0),"")</f>
      </c>
      <c r="H2636" s="28">
        <f>IFERROR(VLOOKUP(F2636,CARTON_LOOKUP!$A:$E,4,0),"")</f>
      </c>
      <c r="I2636" s="28">
        <f>IFERROR(VLOOKUP(F2636,CARTON_LOOKUP!$A:$E,5,0),"")</f>
      </c>
      <c r="J2636" s="29">
        <f>IFERROR(VLOOKUP(F2636,CARTON_LOOKUP!$A:$E,2,0),"")</f>
      </c>
      <c r="K2636" s="29">
        <f>IFERROR(J2636*D2636,0)</f>
      </c>
      <c r="L2636" s="29">
        <f>IFERROR(E2636*C2636,0)</f>
      </c>
      <c r="M2636" s="29">
        <f>IFERROR((G2636*H2636*I2636/1000000)*D2636,0)</f>
      </c>
    </row>
    <row r="2637" spans="1:13" x14ac:dyDescent="0.25">
      <c r="A2637" s="16"/>
      <c r="E2637" s="27"/>
      <c r="F2637" t="s">
        <v>26</v>
      </c>
      <c r="G2637" s="28">
        <f>IFERROR(VLOOKUP(F2637,CARTON_LOOKUP!$A:$E,3,0),"")</f>
      </c>
      <c r="H2637" s="28">
        <f>IFERROR(VLOOKUP(F2637,CARTON_LOOKUP!$A:$E,4,0),"")</f>
      </c>
      <c r="I2637" s="28">
        <f>IFERROR(VLOOKUP(F2637,CARTON_LOOKUP!$A:$E,5,0),"")</f>
      </c>
      <c r="J2637" s="29">
        <f>IFERROR(VLOOKUP(F2637,CARTON_LOOKUP!$A:$E,2,0),"")</f>
      </c>
      <c r="K2637" s="29">
        <f>IFERROR(J2637*D2637,0)</f>
      </c>
      <c r="L2637" s="29">
        <f>IFERROR(E2637*C2637,0)</f>
      </c>
      <c r="M2637" s="29">
        <f>IFERROR((G2637*H2637*I2637/1000000)*D2637,0)</f>
      </c>
    </row>
    <row r="2638" spans="1:13" x14ac:dyDescent="0.25">
      <c r="A2638" s="16"/>
      <c r="E2638" s="27"/>
      <c r="F2638" t="s">
        <v>26</v>
      </c>
      <c r="G2638" s="28">
        <f>IFERROR(VLOOKUP(F2638,CARTON_LOOKUP!$A:$E,3,0),"")</f>
      </c>
      <c r="H2638" s="28">
        <f>IFERROR(VLOOKUP(F2638,CARTON_LOOKUP!$A:$E,4,0),"")</f>
      </c>
      <c r="I2638" s="28">
        <f>IFERROR(VLOOKUP(F2638,CARTON_LOOKUP!$A:$E,5,0),"")</f>
      </c>
      <c r="J2638" s="29">
        <f>IFERROR(VLOOKUP(F2638,CARTON_LOOKUP!$A:$E,2,0),"")</f>
      </c>
      <c r="K2638" s="29">
        <f>IFERROR(J2638*D2638,0)</f>
      </c>
      <c r="L2638" s="29">
        <f>IFERROR(E2638*C2638,0)</f>
      </c>
      <c r="M2638" s="29">
        <f>IFERROR((G2638*H2638*I2638/1000000)*D2638,0)</f>
      </c>
    </row>
    <row r="2639" spans="1:13" x14ac:dyDescent="0.25">
      <c r="A2639" s="16"/>
      <c r="E2639" s="27"/>
      <c r="F2639" t="s">
        <v>26</v>
      </c>
      <c r="G2639" s="28">
        <f>IFERROR(VLOOKUP(F2639,CARTON_LOOKUP!$A:$E,3,0),"")</f>
      </c>
      <c r="H2639" s="28">
        <f>IFERROR(VLOOKUP(F2639,CARTON_LOOKUP!$A:$E,4,0),"")</f>
      </c>
      <c r="I2639" s="28">
        <f>IFERROR(VLOOKUP(F2639,CARTON_LOOKUP!$A:$E,5,0),"")</f>
      </c>
      <c r="J2639" s="29">
        <f>IFERROR(VLOOKUP(F2639,CARTON_LOOKUP!$A:$E,2,0),"")</f>
      </c>
      <c r="K2639" s="29">
        <f>IFERROR(J2639*D2639,0)</f>
      </c>
      <c r="L2639" s="29">
        <f>IFERROR(E2639*C2639,0)</f>
      </c>
      <c r="M2639" s="29">
        <f>IFERROR((G2639*H2639*I2639/1000000)*D2639,0)</f>
      </c>
    </row>
    <row r="2640" spans="1:13" x14ac:dyDescent="0.25">
      <c r="A2640" s="16"/>
      <c r="E2640" s="27"/>
      <c r="F2640" t="s">
        <v>26</v>
      </c>
      <c r="G2640" s="28">
        <f>IFERROR(VLOOKUP(F2640,CARTON_LOOKUP!$A:$E,3,0),"")</f>
      </c>
      <c r="H2640" s="28">
        <f>IFERROR(VLOOKUP(F2640,CARTON_LOOKUP!$A:$E,4,0),"")</f>
      </c>
      <c r="I2640" s="28">
        <f>IFERROR(VLOOKUP(F2640,CARTON_LOOKUP!$A:$E,5,0),"")</f>
      </c>
      <c r="J2640" s="29">
        <f>IFERROR(VLOOKUP(F2640,CARTON_LOOKUP!$A:$E,2,0),"")</f>
      </c>
      <c r="K2640" s="29">
        <f>IFERROR(J2640*D2640,0)</f>
      </c>
      <c r="L2640" s="29">
        <f>IFERROR(E2640*C2640,0)</f>
      </c>
      <c r="M2640" s="29">
        <f>IFERROR((G2640*H2640*I2640/1000000)*D2640,0)</f>
      </c>
    </row>
    <row r="2641" spans="1:13" x14ac:dyDescent="0.25">
      <c r="A2641" s="16"/>
      <c r="E2641" s="27"/>
      <c r="F2641" t="s">
        <v>26</v>
      </c>
      <c r="G2641" s="28">
        <f>IFERROR(VLOOKUP(F2641,CARTON_LOOKUP!$A:$E,3,0),"")</f>
      </c>
      <c r="H2641" s="28">
        <f>IFERROR(VLOOKUP(F2641,CARTON_LOOKUP!$A:$E,4,0),"")</f>
      </c>
      <c r="I2641" s="28">
        <f>IFERROR(VLOOKUP(F2641,CARTON_LOOKUP!$A:$E,5,0),"")</f>
      </c>
      <c r="J2641" s="29">
        <f>IFERROR(VLOOKUP(F2641,CARTON_LOOKUP!$A:$E,2,0),"")</f>
      </c>
      <c r="K2641" s="29">
        <f>IFERROR(J2641*D2641,0)</f>
      </c>
      <c r="L2641" s="29">
        <f>IFERROR(E2641*C2641,0)</f>
      </c>
      <c r="M2641" s="29">
        <f>IFERROR((G2641*H2641*I2641/1000000)*D2641,0)</f>
      </c>
    </row>
    <row r="2642" spans="1:13" x14ac:dyDescent="0.25">
      <c r="A2642" s="16"/>
      <c r="E2642" s="27"/>
      <c r="F2642" t="s">
        <v>26</v>
      </c>
      <c r="G2642" s="28">
        <f>IFERROR(VLOOKUP(F2642,CARTON_LOOKUP!$A:$E,3,0),"")</f>
      </c>
      <c r="H2642" s="28">
        <f>IFERROR(VLOOKUP(F2642,CARTON_LOOKUP!$A:$E,4,0),"")</f>
      </c>
      <c r="I2642" s="28">
        <f>IFERROR(VLOOKUP(F2642,CARTON_LOOKUP!$A:$E,5,0),"")</f>
      </c>
      <c r="J2642" s="29">
        <f>IFERROR(VLOOKUP(F2642,CARTON_LOOKUP!$A:$E,2,0),"")</f>
      </c>
      <c r="K2642" s="29">
        <f>IFERROR(J2642*D2642,0)</f>
      </c>
      <c r="L2642" s="29">
        <f>IFERROR(E2642*C2642,0)</f>
      </c>
      <c r="M2642" s="29">
        <f>IFERROR((G2642*H2642*I2642/1000000)*D2642,0)</f>
      </c>
    </row>
    <row r="2643" spans="1:13" x14ac:dyDescent="0.25">
      <c r="A2643" s="16"/>
      <c r="E2643" s="27"/>
      <c r="F2643" t="s">
        <v>26</v>
      </c>
      <c r="G2643" s="28">
        <f>IFERROR(VLOOKUP(F2643,CARTON_LOOKUP!$A:$E,3,0),"")</f>
      </c>
      <c r="H2643" s="28">
        <f>IFERROR(VLOOKUP(F2643,CARTON_LOOKUP!$A:$E,4,0),"")</f>
      </c>
      <c r="I2643" s="28">
        <f>IFERROR(VLOOKUP(F2643,CARTON_LOOKUP!$A:$E,5,0),"")</f>
      </c>
      <c r="J2643" s="29">
        <f>IFERROR(VLOOKUP(F2643,CARTON_LOOKUP!$A:$E,2,0),"")</f>
      </c>
      <c r="K2643" s="29">
        <f>IFERROR(J2643*D2643,0)</f>
      </c>
      <c r="L2643" s="29">
        <f>IFERROR(E2643*C2643,0)</f>
      </c>
      <c r="M2643" s="29">
        <f>IFERROR((G2643*H2643*I2643/1000000)*D2643,0)</f>
      </c>
    </row>
    <row r="2644" spans="1:13" x14ac:dyDescent="0.25">
      <c r="A2644" s="16"/>
      <c r="E2644" s="27"/>
      <c r="F2644" t="s">
        <v>26</v>
      </c>
      <c r="G2644" s="28">
        <f>IFERROR(VLOOKUP(F2644,CARTON_LOOKUP!$A:$E,3,0),"")</f>
      </c>
      <c r="H2644" s="28">
        <f>IFERROR(VLOOKUP(F2644,CARTON_LOOKUP!$A:$E,4,0),"")</f>
      </c>
      <c r="I2644" s="28">
        <f>IFERROR(VLOOKUP(F2644,CARTON_LOOKUP!$A:$E,5,0),"")</f>
      </c>
      <c r="J2644" s="29">
        <f>IFERROR(VLOOKUP(F2644,CARTON_LOOKUP!$A:$E,2,0),"")</f>
      </c>
      <c r="K2644" s="29">
        <f>IFERROR(J2644*D2644,0)</f>
      </c>
      <c r="L2644" s="29">
        <f>IFERROR(E2644*C2644,0)</f>
      </c>
      <c r="M2644" s="29">
        <f>IFERROR((G2644*H2644*I2644/1000000)*D2644,0)</f>
      </c>
    </row>
    <row r="2645" spans="1:13" x14ac:dyDescent="0.25">
      <c r="A2645" s="16"/>
      <c r="E2645" s="27"/>
      <c r="F2645" t="s">
        <v>26</v>
      </c>
      <c r="G2645" s="28">
        <f>IFERROR(VLOOKUP(F2645,CARTON_LOOKUP!$A:$E,3,0),"")</f>
      </c>
      <c r="H2645" s="28">
        <f>IFERROR(VLOOKUP(F2645,CARTON_LOOKUP!$A:$E,4,0),"")</f>
      </c>
      <c r="I2645" s="28">
        <f>IFERROR(VLOOKUP(F2645,CARTON_LOOKUP!$A:$E,5,0),"")</f>
      </c>
      <c r="J2645" s="29">
        <f>IFERROR(VLOOKUP(F2645,CARTON_LOOKUP!$A:$E,2,0),"")</f>
      </c>
      <c r="K2645" s="29">
        <f>IFERROR(J2645*D2645,0)</f>
      </c>
      <c r="L2645" s="29">
        <f>IFERROR(E2645*C2645,0)</f>
      </c>
      <c r="M2645" s="29">
        <f>IFERROR((G2645*H2645*I2645/1000000)*D2645,0)</f>
      </c>
    </row>
    <row r="2646" spans="1:13" x14ac:dyDescent="0.25">
      <c r="A2646" s="16"/>
      <c r="E2646" s="27"/>
      <c r="F2646" t="s">
        <v>26</v>
      </c>
      <c r="G2646" s="28">
        <f>IFERROR(VLOOKUP(F2646,CARTON_LOOKUP!$A:$E,3,0),"")</f>
      </c>
      <c r="H2646" s="28">
        <f>IFERROR(VLOOKUP(F2646,CARTON_LOOKUP!$A:$E,4,0),"")</f>
      </c>
      <c r="I2646" s="28">
        <f>IFERROR(VLOOKUP(F2646,CARTON_LOOKUP!$A:$E,5,0),"")</f>
      </c>
      <c r="J2646" s="29">
        <f>IFERROR(VLOOKUP(F2646,CARTON_LOOKUP!$A:$E,2,0),"")</f>
      </c>
      <c r="K2646" s="29">
        <f>IFERROR(J2646*D2646,0)</f>
      </c>
      <c r="L2646" s="29">
        <f>IFERROR(E2646*C2646,0)</f>
      </c>
      <c r="M2646" s="29">
        <f>IFERROR((G2646*H2646*I2646/1000000)*D2646,0)</f>
      </c>
    </row>
    <row r="2647" spans="1:13" x14ac:dyDescent="0.25">
      <c r="A2647" s="16"/>
      <c r="E2647" s="27"/>
      <c r="F2647" t="s">
        <v>26</v>
      </c>
      <c r="G2647" s="28">
        <f>IFERROR(VLOOKUP(F2647,CARTON_LOOKUP!$A:$E,3,0),"")</f>
      </c>
      <c r="H2647" s="28">
        <f>IFERROR(VLOOKUP(F2647,CARTON_LOOKUP!$A:$E,4,0),"")</f>
      </c>
      <c r="I2647" s="28">
        <f>IFERROR(VLOOKUP(F2647,CARTON_LOOKUP!$A:$E,5,0),"")</f>
      </c>
      <c r="J2647" s="29">
        <f>IFERROR(VLOOKUP(F2647,CARTON_LOOKUP!$A:$E,2,0),"")</f>
      </c>
      <c r="K2647" s="29">
        <f>IFERROR(J2647*D2647,0)</f>
      </c>
      <c r="L2647" s="29">
        <f>IFERROR(E2647*C2647,0)</f>
      </c>
      <c r="M2647" s="29">
        <f>IFERROR((G2647*H2647*I2647/1000000)*D2647,0)</f>
      </c>
    </row>
    <row r="2648" spans="1:13" x14ac:dyDescent="0.25">
      <c r="A2648" s="16"/>
      <c r="E2648" s="27"/>
      <c r="F2648" t="s">
        <v>26</v>
      </c>
      <c r="G2648" s="28">
        <f>IFERROR(VLOOKUP(F2648,CARTON_LOOKUP!$A:$E,3,0),"")</f>
      </c>
      <c r="H2648" s="28">
        <f>IFERROR(VLOOKUP(F2648,CARTON_LOOKUP!$A:$E,4,0),"")</f>
      </c>
      <c r="I2648" s="28">
        <f>IFERROR(VLOOKUP(F2648,CARTON_LOOKUP!$A:$E,5,0),"")</f>
      </c>
      <c r="J2648" s="29">
        <f>IFERROR(VLOOKUP(F2648,CARTON_LOOKUP!$A:$E,2,0),"")</f>
      </c>
      <c r="K2648" s="29">
        <f>IFERROR(J2648*D2648,0)</f>
      </c>
      <c r="L2648" s="29">
        <f>IFERROR(E2648*C2648,0)</f>
      </c>
      <c r="M2648" s="29">
        <f>IFERROR((G2648*H2648*I2648/1000000)*D2648,0)</f>
      </c>
    </row>
    <row r="2649" spans="1:13" x14ac:dyDescent="0.25">
      <c r="A2649" s="16"/>
      <c r="E2649" s="27"/>
      <c r="F2649" t="s">
        <v>26</v>
      </c>
      <c r="G2649" s="28">
        <f>IFERROR(VLOOKUP(F2649,CARTON_LOOKUP!$A:$E,3,0),"")</f>
      </c>
      <c r="H2649" s="28">
        <f>IFERROR(VLOOKUP(F2649,CARTON_LOOKUP!$A:$E,4,0),"")</f>
      </c>
      <c r="I2649" s="28">
        <f>IFERROR(VLOOKUP(F2649,CARTON_LOOKUP!$A:$E,5,0),"")</f>
      </c>
      <c r="J2649" s="29">
        <f>IFERROR(VLOOKUP(F2649,CARTON_LOOKUP!$A:$E,2,0),"")</f>
      </c>
      <c r="K2649" s="29">
        <f>IFERROR(J2649*D2649,0)</f>
      </c>
      <c r="L2649" s="29">
        <f>IFERROR(E2649*C2649,0)</f>
      </c>
      <c r="M2649" s="29">
        <f>IFERROR((G2649*H2649*I2649/1000000)*D2649,0)</f>
      </c>
    </row>
    <row r="2650" spans="1:13" x14ac:dyDescent="0.25">
      <c r="A2650" s="16"/>
      <c r="E2650" s="27"/>
      <c r="F2650" t="s">
        <v>26</v>
      </c>
      <c r="G2650" s="28">
        <f>IFERROR(VLOOKUP(F2650,CARTON_LOOKUP!$A:$E,3,0),"")</f>
      </c>
      <c r="H2650" s="28">
        <f>IFERROR(VLOOKUP(F2650,CARTON_LOOKUP!$A:$E,4,0),"")</f>
      </c>
      <c r="I2650" s="28">
        <f>IFERROR(VLOOKUP(F2650,CARTON_LOOKUP!$A:$E,5,0),"")</f>
      </c>
      <c r="J2650" s="29">
        <f>IFERROR(VLOOKUP(F2650,CARTON_LOOKUP!$A:$E,2,0),"")</f>
      </c>
      <c r="K2650" s="29">
        <f>IFERROR(J2650*D2650,0)</f>
      </c>
      <c r="L2650" s="29">
        <f>IFERROR(E2650*C2650,0)</f>
      </c>
      <c r="M2650" s="29">
        <f>IFERROR((G2650*H2650*I2650/1000000)*D2650,0)</f>
      </c>
    </row>
    <row r="2651" spans="1:13" x14ac:dyDescent="0.25">
      <c r="A2651" s="16"/>
      <c r="E2651" s="27"/>
      <c r="F2651" t="s">
        <v>26</v>
      </c>
      <c r="G2651" s="28">
        <f>IFERROR(VLOOKUP(F2651,CARTON_LOOKUP!$A:$E,3,0),"")</f>
      </c>
      <c r="H2651" s="28">
        <f>IFERROR(VLOOKUP(F2651,CARTON_LOOKUP!$A:$E,4,0),"")</f>
      </c>
      <c r="I2651" s="28">
        <f>IFERROR(VLOOKUP(F2651,CARTON_LOOKUP!$A:$E,5,0),"")</f>
      </c>
      <c r="J2651" s="29">
        <f>IFERROR(VLOOKUP(F2651,CARTON_LOOKUP!$A:$E,2,0),"")</f>
      </c>
      <c r="K2651" s="29">
        <f>IFERROR(J2651*D2651,0)</f>
      </c>
      <c r="L2651" s="29">
        <f>IFERROR(E2651*C2651,0)</f>
      </c>
      <c r="M2651" s="29">
        <f>IFERROR((G2651*H2651*I2651/1000000)*D2651,0)</f>
      </c>
    </row>
    <row r="2652" spans="1:13" x14ac:dyDescent="0.25">
      <c r="A2652" s="16"/>
      <c r="E2652" s="27"/>
      <c r="F2652" t="s">
        <v>26</v>
      </c>
      <c r="G2652" s="28">
        <f>IFERROR(VLOOKUP(F2652,CARTON_LOOKUP!$A:$E,3,0),"")</f>
      </c>
      <c r="H2652" s="28">
        <f>IFERROR(VLOOKUP(F2652,CARTON_LOOKUP!$A:$E,4,0),"")</f>
      </c>
      <c r="I2652" s="28">
        <f>IFERROR(VLOOKUP(F2652,CARTON_LOOKUP!$A:$E,5,0),"")</f>
      </c>
      <c r="J2652" s="29">
        <f>IFERROR(VLOOKUP(F2652,CARTON_LOOKUP!$A:$E,2,0),"")</f>
      </c>
      <c r="K2652" s="29">
        <f>IFERROR(J2652*D2652,0)</f>
      </c>
      <c r="L2652" s="29">
        <f>IFERROR(E2652*C2652,0)</f>
      </c>
      <c r="M2652" s="29">
        <f>IFERROR((G2652*H2652*I2652/1000000)*D2652,0)</f>
      </c>
    </row>
    <row r="2653" spans="1:13" x14ac:dyDescent="0.25">
      <c r="A2653" s="16"/>
      <c r="E2653" s="27"/>
      <c r="F2653" t="s">
        <v>26</v>
      </c>
      <c r="G2653" s="28">
        <f>IFERROR(VLOOKUP(F2653,CARTON_LOOKUP!$A:$E,3,0),"")</f>
      </c>
      <c r="H2653" s="28">
        <f>IFERROR(VLOOKUP(F2653,CARTON_LOOKUP!$A:$E,4,0),"")</f>
      </c>
      <c r="I2653" s="28">
        <f>IFERROR(VLOOKUP(F2653,CARTON_LOOKUP!$A:$E,5,0),"")</f>
      </c>
      <c r="J2653" s="29">
        <f>IFERROR(VLOOKUP(F2653,CARTON_LOOKUP!$A:$E,2,0),"")</f>
      </c>
      <c r="K2653" s="29">
        <f>IFERROR(J2653*D2653,0)</f>
      </c>
      <c r="L2653" s="29">
        <f>IFERROR(E2653*C2653,0)</f>
      </c>
      <c r="M2653" s="29">
        <f>IFERROR((G2653*H2653*I2653/1000000)*D2653,0)</f>
      </c>
    </row>
    <row r="2654" spans="1:13" x14ac:dyDescent="0.25">
      <c r="A2654" s="16"/>
      <c r="E2654" s="27"/>
      <c r="F2654" t="s">
        <v>26</v>
      </c>
      <c r="G2654" s="28">
        <f>IFERROR(VLOOKUP(F2654,CARTON_LOOKUP!$A:$E,3,0),"")</f>
      </c>
      <c r="H2654" s="28">
        <f>IFERROR(VLOOKUP(F2654,CARTON_LOOKUP!$A:$E,4,0),"")</f>
      </c>
      <c r="I2654" s="28">
        <f>IFERROR(VLOOKUP(F2654,CARTON_LOOKUP!$A:$E,5,0),"")</f>
      </c>
      <c r="J2654" s="29">
        <f>IFERROR(VLOOKUP(F2654,CARTON_LOOKUP!$A:$E,2,0),"")</f>
      </c>
      <c r="K2654" s="29">
        <f>IFERROR(J2654*D2654,0)</f>
      </c>
      <c r="L2654" s="29">
        <f>IFERROR(E2654*C2654,0)</f>
      </c>
      <c r="M2654" s="29">
        <f>IFERROR((G2654*H2654*I2654/1000000)*D2654,0)</f>
      </c>
    </row>
    <row r="2655" spans="1:13" x14ac:dyDescent="0.25">
      <c r="A2655" s="16"/>
      <c r="E2655" s="27"/>
      <c r="F2655" t="s">
        <v>26</v>
      </c>
      <c r="G2655" s="28">
        <f>IFERROR(VLOOKUP(F2655,CARTON_LOOKUP!$A:$E,3,0),"")</f>
      </c>
      <c r="H2655" s="28">
        <f>IFERROR(VLOOKUP(F2655,CARTON_LOOKUP!$A:$E,4,0),"")</f>
      </c>
      <c r="I2655" s="28">
        <f>IFERROR(VLOOKUP(F2655,CARTON_LOOKUP!$A:$E,5,0),"")</f>
      </c>
      <c r="J2655" s="29">
        <f>IFERROR(VLOOKUP(F2655,CARTON_LOOKUP!$A:$E,2,0),"")</f>
      </c>
      <c r="K2655" s="29">
        <f>IFERROR(J2655*D2655,0)</f>
      </c>
      <c r="L2655" s="29">
        <f>IFERROR(E2655*C2655,0)</f>
      </c>
      <c r="M2655" s="29">
        <f>IFERROR((G2655*H2655*I2655/1000000)*D2655,0)</f>
      </c>
    </row>
    <row r="2656" spans="1:13" x14ac:dyDescent="0.25">
      <c r="A2656" s="16"/>
      <c r="E2656" s="27"/>
      <c r="F2656" t="s">
        <v>26</v>
      </c>
      <c r="G2656" s="28">
        <f>IFERROR(VLOOKUP(F2656,CARTON_LOOKUP!$A:$E,3,0),"")</f>
      </c>
      <c r="H2656" s="28">
        <f>IFERROR(VLOOKUP(F2656,CARTON_LOOKUP!$A:$E,4,0),"")</f>
      </c>
      <c r="I2656" s="28">
        <f>IFERROR(VLOOKUP(F2656,CARTON_LOOKUP!$A:$E,5,0),"")</f>
      </c>
      <c r="J2656" s="29">
        <f>IFERROR(VLOOKUP(F2656,CARTON_LOOKUP!$A:$E,2,0),"")</f>
      </c>
      <c r="K2656" s="29">
        <f>IFERROR(J2656*D2656,0)</f>
      </c>
      <c r="L2656" s="29">
        <f>IFERROR(E2656*C2656,0)</f>
      </c>
      <c r="M2656" s="29">
        <f>IFERROR((G2656*H2656*I2656/1000000)*D2656,0)</f>
      </c>
    </row>
    <row r="2657" spans="1:13" x14ac:dyDescent="0.25">
      <c r="A2657" s="16"/>
      <c r="E2657" s="27"/>
      <c r="F2657" t="s">
        <v>26</v>
      </c>
      <c r="G2657" s="28">
        <f>IFERROR(VLOOKUP(F2657,CARTON_LOOKUP!$A:$E,3,0),"")</f>
      </c>
      <c r="H2657" s="28">
        <f>IFERROR(VLOOKUP(F2657,CARTON_LOOKUP!$A:$E,4,0),"")</f>
      </c>
      <c r="I2657" s="28">
        <f>IFERROR(VLOOKUP(F2657,CARTON_LOOKUP!$A:$E,5,0),"")</f>
      </c>
      <c r="J2657" s="29">
        <f>IFERROR(VLOOKUP(F2657,CARTON_LOOKUP!$A:$E,2,0),"")</f>
      </c>
      <c r="K2657" s="29">
        <f>IFERROR(J2657*D2657,0)</f>
      </c>
      <c r="L2657" s="29">
        <f>IFERROR(E2657*C2657,0)</f>
      </c>
      <c r="M2657" s="29">
        <f>IFERROR((G2657*H2657*I2657/1000000)*D2657,0)</f>
      </c>
    </row>
    <row r="2658" spans="1:13" x14ac:dyDescent="0.25">
      <c r="A2658" s="16"/>
      <c r="E2658" s="27"/>
      <c r="F2658" t="s">
        <v>26</v>
      </c>
      <c r="G2658" s="28">
        <f>IFERROR(VLOOKUP(F2658,CARTON_LOOKUP!$A:$E,3,0),"")</f>
      </c>
      <c r="H2658" s="28">
        <f>IFERROR(VLOOKUP(F2658,CARTON_LOOKUP!$A:$E,4,0),"")</f>
      </c>
      <c r="I2658" s="28">
        <f>IFERROR(VLOOKUP(F2658,CARTON_LOOKUP!$A:$E,5,0),"")</f>
      </c>
      <c r="J2658" s="29">
        <f>IFERROR(VLOOKUP(F2658,CARTON_LOOKUP!$A:$E,2,0),"")</f>
      </c>
      <c r="K2658" s="29">
        <f>IFERROR(J2658*D2658,0)</f>
      </c>
      <c r="L2658" s="29">
        <f>IFERROR(E2658*C2658,0)</f>
      </c>
      <c r="M2658" s="29">
        <f>IFERROR((G2658*H2658*I2658/1000000)*D2658,0)</f>
      </c>
    </row>
    <row r="2659" spans="1:13" x14ac:dyDescent="0.25">
      <c r="A2659" s="16"/>
      <c r="E2659" s="27"/>
      <c r="F2659" t="s">
        <v>26</v>
      </c>
      <c r="G2659" s="28">
        <f>IFERROR(VLOOKUP(F2659,CARTON_LOOKUP!$A:$E,3,0),"")</f>
      </c>
      <c r="H2659" s="28">
        <f>IFERROR(VLOOKUP(F2659,CARTON_LOOKUP!$A:$E,4,0),"")</f>
      </c>
      <c r="I2659" s="28">
        <f>IFERROR(VLOOKUP(F2659,CARTON_LOOKUP!$A:$E,5,0),"")</f>
      </c>
      <c r="J2659" s="29">
        <f>IFERROR(VLOOKUP(F2659,CARTON_LOOKUP!$A:$E,2,0),"")</f>
      </c>
      <c r="K2659" s="29">
        <f>IFERROR(J2659*D2659,0)</f>
      </c>
      <c r="L2659" s="29">
        <f>IFERROR(E2659*C2659,0)</f>
      </c>
      <c r="M2659" s="29">
        <f>IFERROR((G2659*H2659*I2659/1000000)*D2659,0)</f>
      </c>
    </row>
    <row r="2660" spans="1:13" x14ac:dyDescent="0.25">
      <c r="A2660" s="16"/>
      <c r="E2660" s="27"/>
      <c r="F2660" t="s">
        <v>26</v>
      </c>
      <c r="G2660" s="28">
        <f>IFERROR(VLOOKUP(F2660,CARTON_LOOKUP!$A:$E,3,0),"")</f>
      </c>
      <c r="H2660" s="28">
        <f>IFERROR(VLOOKUP(F2660,CARTON_LOOKUP!$A:$E,4,0),"")</f>
      </c>
      <c r="I2660" s="28">
        <f>IFERROR(VLOOKUP(F2660,CARTON_LOOKUP!$A:$E,5,0),"")</f>
      </c>
      <c r="J2660" s="29">
        <f>IFERROR(VLOOKUP(F2660,CARTON_LOOKUP!$A:$E,2,0),"")</f>
      </c>
      <c r="K2660" s="29">
        <f>IFERROR(J2660*D2660,0)</f>
      </c>
      <c r="L2660" s="29">
        <f>IFERROR(E2660*C2660,0)</f>
      </c>
      <c r="M2660" s="29">
        <f>IFERROR((G2660*H2660*I2660/1000000)*D2660,0)</f>
      </c>
    </row>
    <row r="2661" spans="1:13" x14ac:dyDescent="0.25">
      <c r="A2661" s="16"/>
      <c r="E2661" s="27"/>
      <c r="F2661" t="s">
        <v>26</v>
      </c>
      <c r="G2661" s="28">
        <f>IFERROR(VLOOKUP(F2661,CARTON_LOOKUP!$A:$E,3,0),"")</f>
      </c>
      <c r="H2661" s="28">
        <f>IFERROR(VLOOKUP(F2661,CARTON_LOOKUP!$A:$E,4,0),"")</f>
      </c>
      <c r="I2661" s="28">
        <f>IFERROR(VLOOKUP(F2661,CARTON_LOOKUP!$A:$E,5,0),"")</f>
      </c>
      <c r="J2661" s="29">
        <f>IFERROR(VLOOKUP(F2661,CARTON_LOOKUP!$A:$E,2,0),"")</f>
      </c>
      <c r="K2661" s="29">
        <f>IFERROR(J2661*D2661,0)</f>
      </c>
      <c r="L2661" s="29">
        <f>IFERROR(E2661*C2661,0)</f>
      </c>
      <c r="M2661" s="29">
        <f>IFERROR((G2661*H2661*I2661/1000000)*D2661,0)</f>
      </c>
    </row>
    <row r="2662" spans="1:13" x14ac:dyDescent="0.25">
      <c r="A2662" s="16"/>
      <c r="E2662" s="27"/>
      <c r="F2662" t="s">
        <v>26</v>
      </c>
      <c r="G2662" s="28">
        <f>IFERROR(VLOOKUP(F2662,CARTON_LOOKUP!$A:$E,3,0),"")</f>
      </c>
      <c r="H2662" s="28">
        <f>IFERROR(VLOOKUP(F2662,CARTON_LOOKUP!$A:$E,4,0),"")</f>
      </c>
      <c r="I2662" s="28">
        <f>IFERROR(VLOOKUP(F2662,CARTON_LOOKUP!$A:$E,5,0),"")</f>
      </c>
      <c r="J2662" s="29">
        <f>IFERROR(VLOOKUP(F2662,CARTON_LOOKUP!$A:$E,2,0),"")</f>
      </c>
      <c r="K2662" s="29">
        <f>IFERROR(J2662*D2662,0)</f>
      </c>
      <c r="L2662" s="29">
        <f>IFERROR(E2662*C2662,0)</f>
      </c>
      <c r="M2662" s="29">
        <f>IFERROR((G2662*H2662*I2662/1000000)*D2662,0)</f>
      </c>
    </row>
    <row r="2663" spans="1:13" x14ac:dyDescent="0.25">
      <c r="A2663" s="16"/>
      <c r="E2663" s="27"/>
      <c r="F2663" t="s">
        <v>26</v>
      </c>
      <c r="G2663" s="28">
        <f>IFERROR(VLOOKUP(F2663,CARTON_LOOKUP!$A:$E,3,0),"")</f>
      </c>
      <c r="H2663" s="28">
        <f>IFERROR(VLOOKUP(F2663,CARTON_LOOKUP!$A:$E,4,0),"")</f>
      </c>
      <c r="I2663" s="28">
        <f>IFERROR(VLOOKUP(F2663,CARTON_LOOKUP!$A:$E,5,0),"")</f>
      </c>
      <c r="J2663" s="29">
        <f>IFERROR(VLOOKUP(F2663,CARTON_LOOKUP!$A:$E,2,0),"")</f>
      </c>
      <c r="K2663" s="29">
        <f>IFERROR(J2663*D2663,0)</f>
      </c>
      <c r="L2663" s="29">
        <f>IFERROR(E2663*C2663,0)</f>
      </c>
      <c r="M2663" s="29">
        <f>IFERROR((G2663*H2663*I2663/1000000)*D2663,0)</f>
      </c>
    </row>
    <row r="2664" spans="1:13" x14ac:dyDescent="0.25">
      <c r="A2664" s="16"/>
      <c r="E2664" s="27"/>
      <c r="F2664" t="s">
        <v>26</v>
      </c>
      <c r="G2664" s="28">
        <f>IFERROR(VLOOKUP(F2664,CARTON_LOOKUP!$A:$E,3,0),"")</f>
      </c>
      <c r="H2664" s="28">
        <f>IFERROR(VLOOKUP(F2664,CARTON_LOOKUP!$A:$E,4,0),"")</f>
      </c>
      <c r="I2664" s="28">
        <f>IFERROR(VLOOKUP(F2664,CARTON_LOOKUP!$A:$E,5,0),"")</f>
      </c>
      <c r="J2664" s="29">
        <f>IFERROR(VLOOKUP(F2664,CARTON_LOOKUP!$A:$E,2,0),"")</f>
      </c>
      <c r="K2664" s="29">
        <f>IFERROR(J2664*D2664,0)</f>
      </c>
      <c r="L2664" s="29">
        <f>IFERROR(E2664*C2664,0)</f>
      </c>
      <c r="M2664" s="29">
        <f>IFERROR((G2664*H2664*I2664/1000000)*D2664,0)</f>
      </c>
    </row>
    <row r="2665" spans="1:13" x14ac:dyDescent="0.25">
      <c r="A2665" s="16"/>
      <c r="E2665" s="27"/>
      <c r="F2665" t="s">
        <v>26</v>
      </c>
      <c r="G2665" s="28">
        <f>IFERROR(VLOOKUP(F2665,CARTON_LOOKUP!$A:$E,3,0),"")</f>
      </c>
      <c r="H2665" s="28">
        <f>IFERROR(VLOOKUP(F2665,CARTON_LOOKUP!$A:$E,4,0),"")</f>
      </c>
      <c r="I2665" s="28">
        <f>IFERROR(VLOOKUP(F2665,CARTON_LOOKUP!$A:$E,5,0),"")</f>
      </c>
      <c r="J2665" s="29">
        <f>IFERROR(VLOOKUP(F2665,CARTON_LOOKUP!$A:$E,2,0),"")</f>
      </c>
      <c r="K2665" s="29">
        <f>IFERROR(J2665*D2665,0)</f>
      </c>
      <c r="L2665" s="29">
        <f>IFERROR(E2665*C2665,0)</f>
      </c>
      <c r="M2665" s="29">
        <f>IFERROR((G2665*H2665*I2665/1000000)*D2665,0)</f>
      </c>
    </row>
    <row r="2666" spans="1:13" x14ac:dyDescent="0.25">
      <c r="A2666" s="16"/>
      <c r="E2666" s="27"/>
      <c r="F2666" t="s">
        <v>26</v>
      </c>
      <c r="G2666" s="28">
        <f>IFERROR(VLOOKUP(F2666,CARTON_LOOKUP!$A:$E,3,0),"")</f>
      </c>
      <c r="H2666" s="28">
        <f>IFERROR(VLOOKUP(F2666,CARTON_LOOKUP!$A:$E,4,0),"")</f>
      </c>
      <c r="I2666" s="28">
        <f>IFERROR(VLOOKUP(F2666,CARTON_LOOKUP!$A:$E,5,0),"")</f>
      </c>
      <c r="J2666" s="29">
        <f>IFERROR(VLOOKUP(F2666,CARTON_LOOKUP!$A:$E,2,0),"")</f>
      </c>
      <c r="K2666" s="29">
        <f>IFERROR(J2666*D2666,0)</f>
      </c>
      <c r="L2666" s="29">
        <f>IFERROR(E2666*C2666,0)</f>
      </c>
      <c r="M2666" s="29">
        <f>IFERROR((G2666*H2666*I2666/1000000)*D2666,0)</f>
      </c>
    </row>
    <row r="2667" spans="1:13" x14ac:dyDescent="0.25">
      <c r="A2667" s="16"/>
      <c r="E2667" s="27"/>
      <c r="F2667" t="s">
        <v>26</v>
      </c>
      <c r="G2667" s="28">
        <f>IFERROR(VLOOKUP(F2667,CARTON_LOOKUP!$A:$E,3,0),"")</f>
      </c>
      <c r="H2667" s="28">
        <f>IFERROR(VLOOKUP(F2667,CARTON_LOOKUP!$A:$E,4,0),"")</f>
      </c>
      <c r="I2667" s="28">
        <f>IFERROR(VLOOKUP(F2667,CARTON_LOOKUP!$A:$E,5,0),"")</f>
      </c>
      <c r="J2667" s="29">
        <f>IFERROR(VLOOKUP(F2667,CARTON_LOOKUP!$A:$E,2,0),"")</f>
      </c>
      <c r="K2667" s="29">
        <f>IFERROR(J2667*D2667,0)</f>
      </c>
      <c r="L2667" s="29">
        <f>IFERROR(E2667*C2667,0)</f>
      </c>
      <c r="M2667" s="29">
        <f>IFERROR((G2667*H2667*I2667/1000000)*D2667,0)</f>
      </c>
    </row>
    <row r="2668" spans="1:13" x14ac:dyDescent="0.25">
      <c r="A2668" s="16"/>
      <c r="E2668" s="27"/>
      <c r="F2668" t="s">
        <v>26</v>
      </c>
      <c r="G2668" s="28">
        <f>IFERROR(VLOOKUP(F2668,CARTON_LOOKUP!$A:$E,3,0),"")</f>
      </c>
      <c r="H2668" s="28">
        <f>IFERROR(VLOOKUP(F2668,CARTON_LOOKUP!$A:$E,4,0),"")</f>
      </c>
      <c r="I2668" s="28">
        <f>IFERROR(VLOOKUP(F2668,CARTON_LOOKUP!$A:$E,5,0),"")</f>
      </c>
      <c r="J2668" s="29">
        <f>IFERROR(VLOOKUP(F2668,CARTON_LOOKUP!$A:$E,2,0),"")</f>
      </c>
      <c r="K2668" s="29">
        <f>IFERROR(J2668*D2668,0)</f>
      </c>
      <c r="L2668" s="29">
        <f>IFERROR(E2668*C2668,0)</f>
      </c>
      <c r="M2668" s="29">
        <f>IFERROR((G2668*H2668*I2668/1000000)*D2668,0)</f>
      </c>
    </row>
    <row r="2669" spans="1:13" x14ac:dyDescent="0.25">
      <c r="A2669" s="16"/>
      <c r="E2669" s="27"/>
      <c r="F2669" t="s">
        <v>26</v>
      </c>
      <c r="G2669" s="28">
        <f>IFERROR(VLOOKUP(F2669,CARTON_LOOKUP!$A:$E,3,0),"")</f>
      </c>
      <c r="H2669" s="28">
        <f>IFERROR(VLOOKUP(F2669,CARTON_LOOKUP!$A:$E,4,0),"")</f>
      </c>
      <c r="I2669" s="28">
        <f>IFERROR(VLOOKUP(F2669,CARTON_LOOKUP!$A:$E,5,0),"")</f>
      </c>
      <c r="J2669" s="29">
        <f>IFERROR(VLOOKUP(F2669,CARTON_LOOKUP!$A:$E,2,0),"")</f>
      </c>
      <c r="K2669" s="29">
        <f>IFERROR(J2669*D2669,0)</f>
      </c>
      <c r="L2669" s="29">
        <f>IFERROR(E2669*C2669,0)</f>
      </c>
      <c r="M2669" s="29">
        <f>IFERROR((G2669*H2669*I2669/1000000)*D2669,0)</f>
      </c>
    </row>
    <row r="2670" spans="1:13" x14ac:dyDescent="0.25">
      <c r="A2670" s="16"/>
      <c r="E2670" s="27"/>
      <c r="F2670" t="s">
        <v>26</v>
      </c>
      <c r="G2670" s="28">
        <f>IFERROR(VLOOKUP(F2670,CARTON_LOOKUP!$A:$E,3,0),"")</f>
      </c>
      <c r="H2670" s="28">
        <f>IFERROR(VLOOKUP(F2670,CARTON_LOOKUP!$A:$E,4,0),"")</f>
      </c>
      <c r="I2670" s="28">
        <f>IFERROR(VLOOKUP(F2670,CARTON_LOOKUP!$A:$E,5,0),"")</f>
      </c>
      <c r="J2670" s="29">
        <f>IFERROR(VLOOKUP(F2670,CARTON_LOOKUP!$A:$E,2,0),"")</f>
      </c>
      <c r="K2670" s="29">
        <f>IFERROR(J2670*D2670,0)</f>
      </c>
      <c r="L2670" s="29">
        <f>IFERROR(E2670*C2670,0)</f>
      </c>
      <c r="M2670" s="29">
        <f>IFERROR((G2670*H2670*I2670/1000000)*D2670,0)</f>
      </c>
    </row>
    <row r="2671" spans="1:13" x14ac:dyDescent="0.25">
      <c r="A2671" s="16"/>
      <c r="E2671" s="27"/>
      <c r="F2671" t="s">
        <v>26</v>
      </c>
      <c r="G2671" s="28">
        <f>IFERROR(VLOOKUP(F2671,CARTON_LOOKUP!$A:$E,3,0),"")</f>
      </c>
      <c r="H2671" s="28">
        <f>IFERROR(VLOOKUP(F2671,CARTON_LOOKUP!$A:$E,4,0),"")</f>
      </c>
      <c r="I2671" s="28">
        <f>IFERROR(VLOOKUP(F2671,CARTON_LOOKUP!$A:$E,5,0),"")</f>
      </c>
      <c r="J2671" s="29">
        <f>IFERROR(VLOOKUP(F2671,CARTON_LOOKUP!$A:$E,2,0),"")</f>
      </c>
      <c r="K2671" s="29">
        <f>IFERROR(J2671*D2671,0)</f>
      </c>
      <c r="L2671" s="29">
        <f>IFERROR(E2671*C2671,0)</f>
      </c>
      <c r="M2671" s="29">
        <f>IFERROR((G2671*H2671*I2671/1000000)*D2671,0)</f>
      </c>
    </row>
    <row r="2672" spans="1:13" x14ac:dyDescent="0.25">
      <c r="A2672" s="16"/>
      <c r="E2672" s="27"/>
      <c r="F2672" t="s">
        <v>26</v>
      </c>
      <c r="G2672" s="28">
        <f>IFERROR(VLOOKUP(F2672,CARTON_LOOKUP!$A:$E,3,0),"")</f>
      </c>
      <c r="H2672" s="28">
        <f>IFERROR(VLOOKUP(F2672,CARTON_LOOKUP!$A:$E,4,0),"")</f>
      </c>
      <c r="I2672" s="28">
        <f>IFERROR(VLOOKUP(F2672,CARTON_LOOKUP!$A:$E,5,0),"")</f>
      </c>
      <c r="J2672" s="29">
        <f>IFERROR(VLOOKUP(F2672,CARTON_LOOKUP!$A:$E,2,0),"")</f>
      </c>
      <c r="K2672" s="29">
        <f>IFERROR(J2672*D2672,0)</f>
      </c>
      <c r="L2672" s="29">
        <f>IFERROR(E2672*C2672,0)</f>
      </c>
      <c r="M2672" s="29">
        <f>IFERROR((G2672*H2672*I2672/1000000)*D2672,0)</f>
      </c>
    </row>
    <row r="2673" spans="1:13" x14ac:dyDescent="0.25">
      <c r="A2673" s="16"/>
      <c r="E2673" s="27"/>
      <c r="F2673" t="s">
        <v>26</v>
      </c>
      <c r="G2673" s="28">
        <f>IFERROR(VLOOKUP(F2673,CARTON_LOOKUP!$A:$E,3,0),"")</f>
      </c>
      <c r="H2673" s="28">
        <f>IFERROR(VLOOKUP(F2673,CARTON_LOOKUP!$A:$E,4,0),"")</f>
      </c>
      <c r="I2673" s="28">
        <f>IFERROR(VLOOKUP(F2673,CARTON_LOOKUP!$A:$E,5,0),"")</f>
      </c>
      <c r="J2673" s="29">
        <f>IFERROR(VLOOKUP(F2673,CARTON_LOOKUP!$A:$E,2,0),"")</f>
      </c>
      <c r="K2673" s="29">
        <f>IFERROR(J2673*D2673,0)</f>
      </c>
      <c r="L2673" s="29">
        <f>IFERROR(E2673*C2673,0)</f>
      </c>
      <c r="M2673" s="29">
        <f>IFERROR((G2673*H2673*I2673/1000000)*D2673,0)</f>
      </c>
    </row>
    <row r="2674" spans="1:13" x14ac:dyDescent="0.25">
      <c r="A2674" s="16"/>
      <c r="E2674" s="27"/>
      <c r="F2674" t="s">
        <v>26</v>
      </c>
      <c r="G2674" s="28">
        <f>IFERROR(VLOOKUP(F2674,CARTON_LOOKUP!$A:$E,3,0),"")</f>
      </c>
      <c r="H2674" s="28">
        <f>IFERROR(VLOOKUP(F2674,CARTON_LOOKUP!$A:$E,4,0),"")</f>
      </c>
      <c r="I2674" s="28">
        <f>IFERROR(VLOOKUP(F2674,CARTON_LOOKUP!$A:$E,5,0),"")</f>
      </c>
      <c r="J2674" s="29">
        <f>IFERROR(VLOOKUP(F2674,CARTON_LOOKUP!$A:$E,2,0),"")</f>
      </c>
      <c r="K2674" s="29">
        <f>IFERROR(J2674*D2674,0)</f>
      </c>
      <c r="L2674" s="29">
        <f>IFERROR(E2674*C2674,0)</f>
      </c>
      <c r="M2674" s="29">
        <f>IFERROR((G2674*H2674*I2674/1000000)*D2674,0)</f>
      </c>
    </row>
    <row r="2675" spans="1:13" x14ac:dyDescent="0.25">
      <c r="A2675" s="16"/>
      <c r="E2675" s="27"/>
      <c r="F2675" t="s">
        <v>26</v>
      </c>
      <c r="G2675" s="28">
        <f>IFERROR(VLOOKUP(F2675,CARTON_LOOKUP!$A:$E,3,0),"")</f>
      </c>
      <c r="H2675" s="28">
        <f>IFERROR(VLOOKUP(F2675,CARTON_LOOKUP!$A:$E,4,0),"")</f>
      </c>
      <c r="I2675" s="28">
        <f>IFERROR(VLOOKUP(F2675,CARTON_LOOKUP!$A:$E,5,0),"")</f>
      </c>
      <c r="J2675" s="29">
        <f>IFERROR(VLOOKUP(F2675,CARTON_LOOKUP!$A:$E,2,0),"")</f>
      </c>
      <c r="K2675" s="29">
        <f>IFERROR(J2675*D2675,0)</f>
      </c>
      <c r="L2675" s="29">
        <f>IFERROR(E2675*C2675,0)</f>
      </c>
      <c r="M2675" s="29">
        <f>IFERROR((G2675*H2675*I2675/1000000)*D2675,0)</f>
      </c>
    </row>
    <row r="2676" spans="1:13" x14ac:dyDescent="0.25">
      <c r="A2676" s="16"/>
      <c r="E2676" s="27"/>
      <c r="F2676" t="s">
        <v>26</v>
      </c>
      <c r="G2676" s="28">
        <f>IFERROR(VLOOKUP(F2676,CARTON_LOOKUP!$A:$E,3,0),"")</f>
      </c>
      <c r="H2676" s="28">
        <f>IFERROR(VLOOKUP(F2676,CARTON_LOOKUP!$A:$E,4,0),"")</f>
      </c>
      <c r="I2676" s="28">
        <f>IFERROR(VLOOKUP(F2676,CARTON_LOOKUP!$A:$E,5,0),"")</f>
      </c>
      <c r="J2676" s="29">
        <f>IFERROR(VLOOKUP(F2676,CARTON_LOOKUP!$A:$E,2,0),"")</f>
      </c>
      <c r="K2676" s="29">
        <f>IFERROR(J2676*D2676,0)</f>
      </c>
      <c r="L2676" s="29">
        <f>IFERROR(E2676*C2676,0)</f>
      </c>
      <c r="M2676" s="29">
        <f>IFERROR((G2676*H2676*I2676/1000000)*D2676,0)</f>
      </c>
    </row>
    <row r="2677" spans="1:13" x14ac:dyDescent="0.25">
      <c r="A2677" s="16"/>
      <c r="E2677" s="27"/>
      <c r="F2677" t="s">
        <v>26</v>
      </c>
      <c r="G2677" s="28">
        <f>IFERROR(VLOOKUP(F2677,CARTON_LOOKUP!$A:$E,3,0),"")</f>
      </c>
      <c r="H2677" s="28">
        <f>IFERROR(VLOOKUP(F2677,CARTON_LOOKUP!$A:$E,4,0),"")</f>
      </c>
      <c r="I2677" s="28">
        <f>IFERROR(VLOOKUP(F2677,CARTON_LOOKUP!$A:$E,5,0),"")</f>
      </c>
      <c r="J2677" s="29">
        <f>IFERROR(VLOOKUP(F2677,CARTON_LOOKUP!$A:$E,2,0),"")</f>
      </c>
      <c r="K2677" s="29">
        <f>IFERROR(J2677*D2677,0)</f>
      </c>
      <c r="L2677" s="29">
        <f>IFERROR(E2677*C2677,0)</f>
      </c>
      <c r="M2677" s="29">
        <f>IFERROR((G2677*H2677*I2677/1000000)*D2677,0)</f>
      </c>
    </row>
    <row r="2678" spans="1:13" x14ac:dyDescent="0.25">
      <c r="A2678" s="16"/>
      <c r="E2678" s="27"/>
      <c r="F2678" t="s">
        <v>26</v>
      </c>
      <c r="G2678" s="28">
        <f>IFERROR(VLOOKUP(F2678,CARTON_LOOKUP!$A:$E,3,0),"")</f>
      </c>
      <c r="H2678" s="28">
        <f>IFERROR(VLOOKUP(F2678,CARTON_LOOKUP!$A:$E,4,0),"")</f>
      </c>
      <c r="I2678" s="28">
        <f>IFERROR(VLOOKUP(F2678,CARTON_LOOKUP!$A:$E,5,0),"")</f>
      </c>
      <c r="J2678" s="29">
        <f>IFERROR(VLOOKUP(F2678,CARTON_LOOKUP!$A:$E,2,0),"")</f>
      </c>
      <c r="K2678" s="29">
        <f>IFERROR(J2678*D2678,0)</f>
      </c>
      <c r="L2678" s="29">
        <f>IFERROR(E2678*C2678,0)</f>
      </c>
      <c r="M2678" s="29">
        <f>IFERROR((G2678*H2678*I2678/1000000)*D2678,0)</f>
      </c>
    </row>
    <row r="2679" spans="1:13" x14ac:dyDescent="0.25">
      <c r="A2679" s="16"/>
      <c r="E2679" s="27"/>
      <c r="F2679" t="s">
        <v>26</v>
      </c>
      <c r="G2679" s="28">
        <f>IFERROR(VLOOKUP(F2679,CARTON_LOOKUP!$A:$E,3,0),"")</f>
      </c>
      <c r="H2679" s="28">
        <f>IFERROR(VLOOKUP(F2679,CARTON_LOOKUP!$A:$E,4,0),"")</f>
      </c>
      <c r="I2679" s="28">
        <f>IFERROR(VLOOKUP(F2679,CARTON_LOOKUP!$A:$E,5,0),"")</f>
      </c>
      <c r="J2679" s="29">
        <f>IFERROR(VLOOKUP(F2679,CARTON_LOOKUP!$A:$E,2,0),"")</f>
      </c>
      <c r="K2679" s="29">
        <f>IFERROR(J2679*D2679,0)</f>
      </c>
      <c r="L2679" s="29">
        <f>IFERROR(E2679*C2679,0)</f>
      </c>
      <c r="M2679" s="29">
        <f>IFERROR((G2679*H2679*I2679/1000000)*D2679,0)</f>
      </c>
    </row>
    <row r="2680" spans="1:13" x14ac:dyDescent="0.25">
      <c r="A2680" s="16"/>
      <c r="E2680" s="27"/>
      <c r="F2680" t="s">
        <v>26</v>
      </c>
      <c r="G2680" s="28">
        <f>IFERROR(VLOOKUP(F2680,CARTON_LOOKUP!$A:$E,3,0),"")</f>
      </c>
      <c r="H2680" s="28">
        <f>IFERROR(VLOOKUP(F2680,CARTON_LOOKUP!$A:$E,4,0),"")</f>
      </c>
      <c r="I2680" s="28">
        <f>IFERROR(VLOOKUP(F2680,CARTON_LOOKUP!$A:$E,5,0),"")</f>
      </c>
      <c r="J2680" s="29">
        <f>IFERROR(VLOOKUP(F2680,CARTON_LOOKUP!$A:$E,2,0),"")</f>
      </c>
      <c r="K2680" s="29">
        <f>IFERROR(J2680*D2680,0)</f>
      </c>
      <c r="L2680" s="29">
        <f>IFERROR(E2680*C2680,0)</f>
      </c>
      <c r="M2680" s="29">
        <f>IFERROR((G2680*H2680*I2680/1000000)*D2680,0)</f>
      </c>
    </row>
    <row r="2681" spans="1:13" x14ac:dyDescent="0.25">
      <c r="A2681" s="16"/>
      <c r="E2681" s="27"/>
      <c r="F2681" t="s">
        <v>26</v>
      </c>
      <c r="G2681" s="28">
        <f>IFERROR(VLOOKUP(F2681,CARTON_LOOKUP!$A:$E,3,0),"")</f>
      </c>
      <c r="H2681" s="28">
        <f>IFERROR(VLOOKUP(F2681,CARTON_LOOKUP!$A:$E,4,0),"")</f>
      </c>
      <c r="I2681" s="28">
        <f>IFERROR(VLOOKUP(F2681,CARTON_LOOKUP!$A:$E,5,0),"")</f>
      </c>
      <c r="J2681" s="29">
        <f>IFERROR(VLOOKUP(F2681,CARTON_LOOKUP!$A:$E,2,0),"")</f>
      </c>
      <c r="K2681" s="29">
        <f>IFERROR(J2681*D2681,0)</f>
      </c>
      <c r="L2681" s="29">
        <f>IFERROR(E2681*C2681,0)</f>
      </c>
      <c r="M2681" s="29">
        <f>IFERROR((G2681*H2681*I2681/1000000)*D2681,0)</f>
      </c>
    </row>
    <row r="2682" spans="1:13" x14ac:dyDescent="0.25">
      <c r="A2682" s="16"/>
      <c r="E2682" s="27"/>
      <c r="F2682" t="s">
        <v>26</v>
      </c>
      <c r="G2682" s="28">
        <f>IFERROR(VLOOKUP(F2682,CARTON_LOOKUP!$A:$E,3,0),"")</f>
      </c>
      <c r="H2682" s="28">
        <f>IFERROR(VLOOKUP(F2682,CARTON_LOOKUP!$A:$E,4,0),"")</f>
      </c>
      <c r="I2682" s="28">
        <f>IFERROR(VLOOKUP(F2682,CARTON_LOOKUP!$A:$E,5,0),"")</f>
      </c>
      <c r="J2682" s="29">
        <f>IFERROR(VLOOKUP(F2682,CARTON_LOOKUP!$A:$E,2,0),"")</f>
      </c>
      <c r="K2682" s="29">
        <f>IFERROR(J2682*D2682,0)</f>
      </c>
      <c r="L2682" s="29">
        <f>IFERROR(E2682*C2682,0)</f>
      </c>
      <c r="M2682" s="29">
        <f>IFERROR((G2682*H2682*I2682/1000000)*D2682,0)</f>
      </c>
    </row>
    <row r="2683" spans="1:13" x14ac:dyDescent="0.25">
      <c r="A2683" s="16"/>
      <c r="E2683" s="27"/>
      <c r="F2683" t="s">
        <v>26</v>
      </c>
      <c r="G2683" s="28">
        <f>IFERROR(VLOOKUP(F2683,CARTON_LOOKUP!$A:$E,3,0),"")</f>
      </c>
      <c r="H2683" s="28">
        <f>IFERROR(VLOOKUP(F2683,CARTON_LOOKUP!$A:$E,4,0),"")</f>
      </c>
      <c r="I2683" s="28">
        <f>IFERROR(VLOOKUP(F2683,CARTON_LOOKUP!$A:$E,5,0),"")</f>
      </c>
      <c r="J2683" s="29">
        <f>IFERROR(VLOOKUP(F2683,CARTON_LOOKUP!$A:$E,2,0),"")</f>
      </c>
      <c r="K2683" s="29">
        <f>IFERROR(J2683*D2683,0)</f>
      </c>
      <c r="L2683" s="29">
        <f>IFERROR(E2683*C2683,0)</f>
      </c>
      <c r="M2683" s="29">
        <f>IFERROR((G2683*H2683*I2683/1000000)*D2683,0)</f>
      </c>
    </row>
    <row r="2684" spans="1:13" x14ac:dyDescent="0.25">
      <c r="A2684" s="16"/>
      <c r="E2684" s="27"/>
      <c r="F2684" t="s">
        <v>26</v>
      </c>
      <c r="G2684" s="28">
        <f>IFERROR(VLOOKUP(F2684,CARTON_LOOKUP!$A:$E,3,0),"")</f>
      </c>
      <c r="H2684" s="28">
        <f>IFERROR(VLOOKUP(F2684,CARTON_LOOKUP!$A:$E,4,0),"")</f>
      </c>
      <c r="I2684" s="28">
        <f>IFERROR(VLOOKUP(F2684,CARTON_LOOKUP!$A:$E,5,0),"")</f>
      </c>
      <c r="J2684" s="29">
        <f>IFERROR(VLOOKUP(F2684,CARTON_LOOKUP!$A:$E,2,0),"")</f>
      </c>
      <c r="K2684" s="29">
        <f>IFERROR(J2684*D2684,0)</f>
      </c>
      <c r="L2684" s="29">
        <f>IFERROR(E2684*C2684,0)</f>
      </c>
      <c r="M2684" s="29">
        <f>IFERROR((G2684*H2684*I2684/1000000)*D2684,0)</f>
      </c>
    </row>
    <row r="2685" spans="1:13" x14ac:dyDescent="0.25">
      <c r="A2685" s="16"/>
      <c r="E2685" s="27"/>
      <c r="F2685" t="s">
        <v>26</v>
      </c>
      <c r="G2685" s="28">
        <f>IFERROR(VLOOKUP(F2685,CARTON_LOOKUP!$A:$E,3,0),"")</f>
      </c>
      <c r="H2685" s="28">
        <f>IFERROR(VLOOKUP(F2685,CARTON_LOOKUP!$A:$E,4,0),"")</f>
      </c>
      <c r="I2685" s="28">
        <f>IFERROR(VLOOKUP(F2685,CARTON_LOOKUP!$A:$E,5,0),"")</f>
      </c>
      <c r="J2685" s="29">
        <f>IFERROR(VLOOKUP(F2685,CARTON_LOOKUP!$A:$E,2,0),"")</f>
      </c>
      <c r="K2685" s="29">
        <f>IFERROR(J2685*D2685,0)</f>
      </c>
      <c r="L2685" s="29">
        <f>IFERROR(E2685*C2685,0)</f>
      </c>
      <c r="M2685" s="29">
        <f>IFERROR((G2685*H2685*I2685/1000000)*D2685,0)</f>
      </c>
    </row>
    <row r="2686" spans="1:13" x14ac:dyDescent="0.25">
      <c r="A2686" s="16"/>
      <c r="E2686" s="27"/>
      <c r="F2686" t="s">
        <v>26</v>
      </c>
      <c r="G2686" s="28">
        <f>IFERROR(VLOOKUP(F2686,CARTON_LOOKUP!$A:$E,3,0),"")</f>
      </c>
      <c r="H2686" s="28">
        <f>IFERROR(VLOOKUP(F2686,CARTON_LOOKUP!$A:$E,4,0),"")</f>
      </c>
      <c r="I2686" s="28">
        <f>IFERROR(VLOOKUP(F2686,CARTON_LOOKUP!$A:$E,5,0),"")</f>
      </c>
      <c r="J2686" s="29">
        <f>IFERROR(VLOOKUP(F2686,CARTON_LOOKUP!$A:$E,2,0),"")</f>
      </c>
      <c r="K2686" s="29">
        <f>IFERROR(J2686*D2686,0)</f>
      </c>
      <c r="L2686" s="29">
        <f>IFERROR(E2686*C2686,0)</f>
      </c>
      <c r="M2686" s="29">
        <f>IFERROR((G2686*H2686*I2686/1000000)*D2686,0)</f>
      </c>
    </row>
    <row r="2687" spans="1:13" x14ac:dyDescent="0.25">
      <c r="A2687" s="16"/>
      <c r="E2687" s="27"/>
      <c r="F2687" t="s">
        <v>26</v>
      </c>
      <c r="G2687" s="28">
        <f>IFERROR(VLOOKUP(F2687,CARTON_LOOKUP!$A:$E,3,0),"")</f>
      </c>
      <c r="H2687" s="28">
        <f>IFERROR(VLOOKUP(F2687,CARTON_LOOKUP!$A:$E,4,0),"")</f>
      </c>
      <c r="I2687" s="28">
        <f>IFERROR(VLOOKUP(F2687,CARTON_LOOKUP!$A:$E,5,0),"")</f>
      </c>
      <c r="J2687" s="29">
        <f>IFERROR(VLOOKUP(F2687,CARTON_LOOKUP!$A:$E,2,0),"")</f>
      </c>
      <c r="K2687" s="29">
        <f>IFERROR(J2687*D2687,0)</f>
      </c>
      <c r="L2687" s="29">
        <f>IFERROR(E2687*C2687,0)</f>
      </c>
      <c r="M2687" s="29">
        <f>IFERROR((G2687*H2687*I2687/1000000)*D2687,0)</f>
      </c>
    </row>
    <row r="2688" spans="1:13" x14ac:dyDescent="0.25">
      <c r="A2688" s="16"/>
      <c r="E2688" s="27"/>
      <c r="F2688" t="s">
        <v>26</v>
      </c>
      <c r="G2688" s="28">
        <f>IFERROR(VLOOKUP(F2688,CARTON_LOOKUP!$A:$E,3,0),"")</f>
      </c>
      <c r="H2688" s="28">
        <f>IFERROR(VLOOKUP(F2688,CARTON_LOOKUP!$A:$E,4,0),"")</f>
      </c>
      <c r="I2688" s="28">
        <f>IFERROR(VLOOKUP(F2688,CARTON_LOOKUP!$A:$E,5,0),"")</f>
      </c>
      <c r="J2688" s="29">
        <f>IFERROR(VLOOKUP(F2688,CARTON_LOOKUP!$A:$E,2,0),"")</f>
      </c>
      <c r="K2688" s="29">
        <f>IFERROR(J2688*D2688,0)</f>
      </c>
      <c r="L2688" s="29">
        <f>IFERROR(E2688*C2688,0)</f>
      </c>
      <c r="M2688" s="29">
        <f>IFERROR((G2688*H2688*I2688/1000000)*D2688,0)</f>
      </c>
    </row>
    <row r="2689" spans="1:13" x14ac:dyDescent="0.25">
      <c r="A2689" s="16"/>
      <c r="E2689" s="27"/>
      <c r="F2689" t="s">
        <v>26</v>
      </c>
      <c r="G2689" s="28">
        <f>IFERROR(VLOOKUP(F2689,CARTON_LOOKUP!$A:$E,3,0),"")</f>
      </c>
      <c r="H2689" s="28">
        <f>IFERROR(VLOOKUP(F2689,CARTON_LOOKUP!$A:$E,4,0),"")</f>
      </c>
      <c r="I2689" s="28">
        <f>IFERROR(VLOOKUP(F2689,CARTON_LOOKUP!$A:$E,5,0),"")</f>
      </c>
      <c r="J2689" s="29">
        <f>IFERROR(VLOOKUP(F2689,CARTON_LOOKUP!$A:$E,2,0),"")</f>
      </c>
      <c r="K2689" s="29">
        <f>IFERROR(J2689*D2689,0)</f>
      </c>
      <c r="L2689" s="29">
        <f>IFERROR(E2689*C2689,0)</f>
      </c>
      <c r="M2689" s="29">
        <f>IFERROR((G2689*H2689*I2689/1000000)*D2689,0)</f>
      </c>
    </row>
    <row r="2690" spans="1:13" x14ac:dyDescent="0.25">
      <c r="A2690" s="16"/>
      <c r="E2690" s="27"/>
      <c r="F2690" t="s">
        <v>26</v>
      </c>
      <c r="G2690" s="28">
        <f>IFERROR(VLOOKUP(F2690,CARTON_LOOKUP!$A:$E,3,0),"")</f>
      </c>
      <c r="H2690" s="28">
        <f>IFERROR(VLOOKUP(F2690,CARTON_LOOKUP!$A:$E,4,0),"")</f>
      </c>
      <c r="I2690" s="28">
        <f>IFERROR(VLOOKUP(F2690,CARTON_LOOKUP!$A:$E,5,0),"")</f>
      </c>
      <c r="J2690" s="29">
        <f>IFERROR(VLOOKUP(F2690,CARTON_LOOKUP!$A:$E,2,0),"")</f>
      </c>
      <c r="K2690" s="29">
        <f>IFERROR(J2690*D2690,0)</f>
      </c>
      <c r="L2690" s="29">
        <f>IFERROR(E2690*C2690,0)</f>
      </c>
      <c r="M2690" s="29">
        <f>IFERROR((G2690*H2690*I2690/1000000)*D2690,0)</f>
      </c>
    </row>
    <row r="2691" spans="1:13" x14ac:dyDescent="0.25">
      <c r="A2691" s="16"/>
      <c r="E2691" s="27"/>
      <c r="F2691" t="s">
        <v>26</v>
      </c>
      <c r="G2691" s="28">
        <f>IFERROR(VLOOKUP(F2691,CARTON_LOOKUP!$A:$E,3,0),"")</f>
      </c>
      <c r="H2691" s="28">
        <f>IFERROR(VLOOKUP(F2691,CARTON_LOOKUP!$A:$E,4,0),"")</f>
      </c>
      <c r="I2691" s="28">
        <f>IFERROR(VLOOKUP(F2691,CARTON_LOOKUP!$A:$E,5,0),"")</f>
      </c>
      <c r="J2691" s="29">
        <f>IFERROR(VLOOKUP(F2691,CARTON_LOOKUP!$A:$E,2,0),"")</f>
      </c>
      <c r="K2691" s="29">
        <f>IFERROR(J2691*D2691,0)</f>
      </c>
      <c r="L2691" s="29">
        <f>IFERROR(E2691*C2691,0)</f>
      </c>
      <c r="M2691" s="29">
        <f>IFERROR((G2691*H2691*I2691/1000000)*D2691,0)</f>
      </c>
    </row>
    <row r="2692" spans="1:13" x14ac:dyDescent="0.25">
      <c r="A2692" s="16"/>
      <c r="E2692" s="27"/>
      <c r="F2692" t="s">
        <v>26</v>
      </c>
      <c r="G2692" s="28">
        <f>IFERROR(VLOOKUP(F2692,CARTON_LOOKUP!$A:$E,3,0),"")</f>
      </c>
      <c r="H2692" s="28">
        <f>IFERROR(VLOOKUP(F2692,CARTON_LOOKUP!$A:$E,4,0),"")</f>
      </c>
      <c r="I2692" s="28">
        <f>IFERROR(VLOOKUP(F2692,CARTON_LOOKUP!$A:$E,5,0),"")</f>
      </c>
      <c r="J2692" s="29">
        <f>IFERROR(VLOOKUP(F2692,CARTON_LOOKUP!$A:$E,2,0),"")</f>
      </c>
      <c r="K2692" s="29">
        <f>IFERROR(J2692*D2692,0)</f>
      </c>
      <c r="L2692" s="29">
        <f>IFERROR(E2692*C2692,0)</f>
      </c>
      <c r="M2692" s="29">
        <f>IFERROR((G2692*H2692*I2692/1000000)*D2692,0)</f>
      </c>
    </row>
    <row r="2693" spans="1:13" x14ac:dyDescent="0.25">
      <c r="A2693" s="16"/>
      <c r="E2693" s="27"/>
      <c r="F2693" t="s">
        <v>26</v>
      </c>
      <c r="G2693" s="28">
        <f>IFERROR(VLOOKUP(F2693,CARTON_LOOKUP!$A:$E,3,0),"")</f>
      </c>
      <c r="H2693" s="28">
        <f>IFERROR(VLOOKUP(F2693,CARTON_LOOKUP!$A:$E,4,0),"")</f>
      </c>
      <c r="I2693" s="28">
        <f>IFERROR(VLOOKUP(F2693,CARTON_LOOKUP!$A:$E,5,0),"")</f>
      </c>
      <c r="J2693" s="29">
        <f>IFERROR(VLOOKUP(F2693,CARTON_LOOKUP!$A:$E,2,0),"")</f>
      </c>
      <c r="K2693" s="29">
        <f>IFERROR(J2693*D2693,0)</f>
      </c>
      <c r="L2693" s="29">
        <f>IFERROR(E2693*C2693,0)</f>
      </c>
      <c r="M2693" s="29">
        <f>IFERROR((G2693*H2693*I2693/1000000)*D2693,0)</f>
      </c>
    </row>
    <row r="2694" spans="1:13" x14ac:dyDescent="0.25">
      <c r="A2694" s="16"/>
      <c r="E2694" s="27"/>
      <c r="F2694" t="s">
        <v>26</v>
      </c>
      <c r="G2694" s="28">
        <f>IFERROR(VLOOKUP(F2694,CARTON_LOOKUP!$A:$E,3,0),"")</f>
      </c>
      <c r="H2694" s="28">
        <f>IFERROR(VLOOKUP(F2694,CARTON_LOOKUP!$A:$E,4,0),"")</f>
      </c>
      <c r="I2694" s="28">
        <f>IFERROR(VLOOKUP(F2694,CARTON_LOOKUP!$A:$E,5,0),"")</f>
      </c>
      <c r="J2694" s="29">
        <f>IFERROR(VLOOKUP(F2694,CARTON_LOOKUP!$A:$E,2,0),"")</f>
      </c>
      <c r="K2694" s="29">
        <f>IFERROR(J2694*D2694,0)</f>
      </c>
      <c r="L2694" s="29">
        <f>IFERROR(E2694*C2694,0)</f>
      </c>
      <c r="M2694" s="29">
        <f>IFERROR((G2694*H2694*I2694/1000000)*D2694,0)</f>
      </c>
    </row>
    <row r="2695" spans="1:13" x14ac:dyDescent="0.25">
      <c r="A2695" s="16"/>
      <c r="E2695" s="27"/>
      <c r="F2695" t="s">
        <v>26</v>
      </c>
      <c r="G2695" s="28">
        <f>IFERROR(VLOOKUP(F2695,CARTON_LOOKUP!$A:$E,3,0),"")</f>
      </c>
      <c r="H2695" s="28">
        <f>IFERROR(VLOOKUP(F2695,CARTON_LOOKUP!$A:$E,4,0),"")</f>
      </c>
      <c r="I2695" s="28">
        <f>IFERROR(VLOOKUP(F2695,CARTON_LOOKUP!$A:$E,5,0),"")</f>
      </c>
      <c r="J2695" s="29">
        <f>IFERROR(VLOOKUP(F2695,CARTON_LOOKUP!$A:$E,2,0),"")</f>
      </c>
      <c r="K2695" s="29">
        <f>IFERROR(J2695*D2695,0)</f>
      </c>
      <c r="L2695" s="29">
        <f>IFERROR(E2695*C2695,0)</f>
      </c>
      <c r="M2695" s="29">
        <f>IFERROR((G2695*H2695*I2695/1000000)*D2695,0)</f>
      </c>
    </row>
    <row r="2696" spans="1:13" x14ac:dyDescent="0.25">
      <c r="A2696" s="16"/>
      <c r="E2696" s="27"/>
      <c r="F2696" t="s">
        <v>26</v>
      </c>
      <c r="G2696" s="28">
        <f>IFERROR(VLOOKUP(F2696,CARTON_LOOKUP!$A:$E,3,0),"")</f>
      </c>
      <c r="H2696" s="28">
        <f>IFERROR(VLOOKUP(F2696,CARTON_LOOKUP!$A:$E,4,0),"")</f>
      </c>
      <c r="I2696" s="28">
        <f>IFERROR(VLOOKUP(F2696,CARTON_LOOKUP!$A:$E,5,0),"")</f>
      </c>
      <c r="J2696" s="29">
        <f>IFERROR(VLOOKUP(F2696,CARTON_LOOKUP!$A:$E,2,0),"")</f>
      </c>
      <c r="K2696" s="29">
        <f>IFERROR(J2696*D2696,0)</f>
      </c>
      <c r="L2696" s="29">
        <f>IFERROR(E2696*C2696,0)</f>
      </c>
      <c r="M2696" s="29">
        <f>IFERROR((G2696*H2696*I2696/1000000)*D2696,0)</f>
      </c>
    </row>
    <row r="2697" spans="1:13" x14ac:dyDescent="0.25">
      <c r="A2697" s="16"/>
      <c r="E2697" s="27"/>
      <c r="F2697" t="s">
        <v>26</v>
      </c>
      <c r="G2697" s="28">
        <f>IFERROR(VLOOKUP(F2697,CARTON_LOOKUP!$A:$E,3,0),"")</f>
      </c>
      <c r="H2697" s="28">
        <f>IFERROR(VLOOKUP(F2697,CARTON_LOOKUP!$A:$E,4,0),"")</f>
      </c>
      <c r="I2697" s="28">
        <f>IFERROR(VLOOKUP(F2697,CARTON_LOOKUP!$A:$E,5,0),"")</f>
      </c>
      <c r="J2697" s="29">
        <f>IFERROR(VLOOKUP(F2697,CARTON_LOOKUP!$A:$E,2,0),"")</f>
      </c>
      <c r="K2697" s="29">
        <f>IFERROR(J2697*D2697,0)</f>
      </c>
      <c r="L2697" s="29">
        <f>IFERROR(E2697*C2697,0)</f>
      </c>
      <c r="M2697" s="29">
        <f>IFERROR((G2697*H2697*I2697/1000000)*D2697,0)</f>
      </c>
    </row>
    <row r="2698" spans="1:13" x14ac:dyDescent="0.25">
      <c r="A2698" s="16"/>
      <c r="E2698" s="27"/>
      <c r="F2698" t="s">
        <v>26</v>
      </c>
      <c r="G2698" s="28">
        <f>IFERROR(VLOOKUP(F2698,CARTON_LOOKUP!$A:$E,3,0),"")</f>
      </c>
      <c r="H2698" s="28">
        <f>IFERROR(VLOOKUP(F2698,CARTON_LOOKUP!$A:$E,4,0),"")</f>
      </c>
      <c r="I2698" s="28">
        <f>IFERROR(VLOOKUP(F2698,CARTON_LOOKUP!$A:$E,5,0),"")</f>
      </c>
      <c r="J2698" s="29">
        <f>IFERROR(VLOOKUP(F2698,CARTON_LOOKUP!$A:$E,2,0),"")</f>
      </c>
      <c r="K2698" s="29">
        <f>IFERROR(J2698*D2698,0)</f>
      </c>
      <c r="L2698" s="29">
        <f>IFERROR(E2698*C2698,0)</f>
      </c>
      <c r="M2698" s="29">
        <f>IFERROR((G2698*H2698*I2698/1000000)*D2698,0)</f>
      </c>
    </row>
    <row r="2699" spans="1:13" x14ac:dyDescent="0.25">
      <c r="A2699" s="16"/>
      <c r="E2699" s="27"/>
      <c r="F2699" t="s">
        <v>26</v>
      </c>
      <c r="G2699" s="28">
        <f>IFERROR(VLOOKUP(F2699,CARTON_LOOKUP!$A:$E,3,0),"")</f>
      </c>
      <c r="H2699" s="28">
        <f>IFERROR(VLOOKUP(F2699,CARTON_LOOKUP!$A:$E,4,0),"")</f>
      </c>
      <c r="I2699" s="28">
        <f>IFERROR(VLOOKUP(F2699,CARTON_LOOKUP!$A:$E,5,0),"")</f>
      </c>
      <c r="J2699" s="29">
        <f>IFERROR(VLOOKUP(F2699,CARTON_LOOKUP!$A:$E,2,0),"")</f>
      </c>
      <c r="K2699" s="29">
        <f>IFERROR(J2699*D2699,0)</f>
      </c>
      <c r="L2699" s="29">
        <f>IFERROR(E2699*C2699,0)</f>
      </c>
      <c r="M2699" s="29">
        <f>IFERROR((G2699*H2699*I2699/1000000)*D2699,0)</f>
      </c>
    </row>
    <row r="2700" spans="1:13" x14ac:dyDescent="0.25">
      <c r="A2700" s="16"/>
      <c r="E2700" s="27"/>
      <c r="F2700" t="s">
        <v>26</v>
      </c>
      <c r="G2700" s="28">
        <f>IFERROR(VLOOKUP(F2700,CARTON_LOOKUP!$A:$E,3,0),"")</f>
      </c>
      <c r="H2700" s="28">
        <f>IFERROR(VLOOKUP(F2700,CARTON_LOOKUP!$A:$E,4,0),"")</f>
      </c>
      <c r="I2700" s="28">
        <f>IFERROR(VLOOKUP(F2700,CARTON_LOOKUP!$A:$E,5,0),"")</f>
      </c>
      <c r="J2700" s="29">
        <f>IFERROR(VLOOKUP(F2700,CARTON_LOOKUP!$A:$E,2,0),"")</f>
      </c>
      <c r="K2700" s="29">
        <f>IFERROR(J2700*D2700,0)</f>
      </c>
      <c r="L2700" s="29">
        <f>IFERROR(E2700*C2700,0)</f>
      </c>
      <c r="M2700" s="29">
        <f>IFERROR((G2700*H2700*I2700/1000000)*D2700,0)</f>
      </c>
    </row>
    <row r="2701" spans="1:13" x14ac:dyDescent="0.25">
      <c r="A2701" s="16"/>
      <c r="E2701" s="27"/>
      <c r="F2701" t="s">
        <v>26</v>
      </c>
      <c r="G2701" s="28">
        <f>IFERROR(VLOOKUP(F2701,CARTON_LOOKUP!$A:$E,3,0),"")</f>
      </c>
      <c r="H2701" s="28">
        <f>IFERROR(VLOOKUP(F2701,CARTON_LOOKUP!$A:$E,4,0),"")</f>
      </c>
      <c r="I2701" s="28">
        <f>IFERROR(VLOOKUP(F2701,CARTON_LOOKUP!$A:$E,5,0),"")</f>
      </c>
      <c r="J2701" s="29">
        <f>IFERROR(VLOOKUP(F2701,CARTON_LOOKUP!$A:$E,2,0),"")</f>
      </c>
      <c r="K2701" s="29">
        <f>IFERROR(J2701*D2701,0)</f>
      </c>
      <c r="L2701" s="29">
        <f>IFERROR(E2701*C2701,0)</f>
      </c>
      <c r="M2701" s="29">
        <f>IFERROR((G2701*H2701*I2701/1000000)*D2701,0)</f>
      </c>
    </row>
    <row r="2702" spans="1:13" x14ac:dyDescent="0.25">
      <c r="A2702" s="16"/>
      <c r="E2702" s="27"/>
      <c r="F2702" t="s">
        <v>26</v>
      </c>
      <c r="G2702" s="28">
        <f>IFERROR(VLOOKUP(F2702,CARTON_LOOKUP!$A:$E,3,0),"")</f>
      </c>
      <c r="H2702" s="28">
        <f>IFERROR(VLOOKUP(F2702,CARTON_LOOKUP!$A:$E,4,0),"")</f>
      </c>
      <c r="I2702" s="28">
        <f>IFERROR(VLOOKUP(F2702,CARTON_LOOKUP!$A:$E,5,0),"")</f>
      </c>
      <c r="J2702" s="29">
        <f>IFERROR(VLOOKUP(F2702,CARTON_LOOKUP!$A:$E,2,0),"")</f>
      </c>
      <c r="K2702" s="29">
        <f>IFERROR(J2702*D2702,0)</f>
      </c>
      <c r="L2702" s="29">
        <f>IFERROR(E2702*C2702,0)</f>
      </c>
      <c r="M2702" s="29">
        <f>IFERROR((G2702*H2702*I2702/1000000)*D2702,0)</f>
      </c>
    </row>
    <row r="2703" spans="1:13" x14ac:dyDescent="0.25">
      <c r="A2703" s="16"/>
      <c r="E2703" s="27"/>
      <c r="F2703" t="s">
        <v>26</v>
      </c>
      <c r="G2703" s="28">
        <f>IFERROR(VLOOKUP(F2703,CARTON_LOOKUP!$A:$E,3,0),"")</f>
      </c>
      <c r="H2703" s="28">
        <f>IFERROR(VLOOKUP(F2703,CARTON_LOOKUP!$A:$E,4,0),"")</f>
      </c>
      <c r="I2703" s="28">
        <f>IFERROR(VLOOKUP(F2703,CARTON_LOOKUP!$A:$E,5,0),"")</f>
      </c>
      <c r="J2703" s="29">
        <f>IFERROR(VLOOKUP(F2703,CARTON_LOOKUP!$A:$E,2,0),"")</f>
      </c>
      <c r="K2703" s="29">
        <f>IFERROR(J2703*D2703,0)</f>
      </c>
      <c r="L2703" s="29">
        <f>IFERROR(E2703*C2703,0)</f>
      </c>
      <c r="M2703" s="29">
        <f>IFERROR((G2703*H2703*I2703/1000000)*D2703,0)</f>
      </c>
    </row>
    <row r="2704" spans="1:13" x14ac:dyDescent="0.25">
      <c r="A2704" s="16"/>
      <c r="E2704" s="27"/>
      <c r="F2704" t="s">
        <v>26</v>
      </c>
      <c r="G2704" s="28">
        <f>IFERROR(VLOOKUP(F2704,CARTON_LOOKUP!$A:$E,3,0),"")</f>
      </c>
      <c r="H2704" s="28">
        <f>IFERROR(VLOOKUP(F2704,CARTON_LOOKUP!$A:$E,4,0),"")</f>
      </c>
      <c r="I2704" s="28">
        <f>IFERROR(VLOOKUP(F2704,CARTON_LOOKUP!$A:$E,5,0),"")</f>
      </c>
      <c r="J2704" s="29">
        <f>IFERROR(VLOOKUP(F2704,CARTON_LOOKUP!$A:$E,2,0),"")</f>
      </c>
      <c r="K2704" s="29">
        <f>IFERROR(J2704*D2704,0)</f>
      </c>
      <c r="L2704" s="29">
        <f>IFERROR(E2704*C2704,0)</f>
      </c>
      <c r="M2704" s="29">
        <f>IFERROR((G2704*H2704*I2704/1000000)*D2704,0)</f>
      </c>
    </row>
    <row r="2705" spans="1:13" x14ac:dyDescent="0.25">
      <c r="A2705" s="16"/>
      <c r="E2705" s="27"/>
      <c r="F2705" t="s">
        <v>26</v>
      </c>
      <c r="G2705" s="28">
        <f>IFERROR(VLOOKUP(F2705,CARTON_LOOKUP!$A:$E,3,0),"")</f>
      </c>
      <c r="H2705" s="28">
        <f>IFERROR(VLOOKUP(F2705,CARTON_LOOKUP!$A:$E,4,0),"")</f>
      </c>
      <c r="I2705" s="28">
        <f>IFERROR(VLOOKUP(F2705,CARTON_LOOKUP!$A:$E,5,0),"")</f>
      </c>
      <c r="J2705" s="29">
        <f>IFERROR(VLOOKUP(F2705,CARTON_LOOKUP!$A:$E,2,0),"")</f>
      </c>
      <c r="K2705" s="29">
        <f>IFERROR(J2705*D2705,0)</f>
      </c>
      <c r="L2705" s="29">
        <f>IFERROR(E2705*C2705,0)</f>
      </c>
      <c r="M2705" s="29">
        <f>IFERROR((G2705*H2705*I2705/1000000)*D2705,0)</f>
      </c>
    </row>
    <row r="2706" spans="1:13" x14ac:dyDescent="0.25">
      <c r="A2706" s="16"/>
      <c r="E2706" s="27"/>
      <c r="F2706" t="s">
        <v>26</v>
      </c>
      <c r="G2706" s="28">
        <f>IFERROR(VLOOKUP(F2706,CARTON_LOOKUP!$A:$E,3,0),"")</f>
      </c>
      <c r="H2706" s="28">
        <f>IFERROR(VLOOKUP(F2706,CARTON_LOOKUP!$A:$E,4,0),"")</f>
      </c>
      <c r="I2706" s="28">
        <f>IFERROR(VLOOKUP(F2706,CARTON_LOOKUP!$A:$E,5,0),"")</f>
      </c>
      <c r="J2706" s="29">
        <f>IFERROR(VLOOKUP(F2706,CARTON_LOOKUP!$A:$E,2,0),"")</f>
      </c>
      <c r="K2706" s="29">
        <f>IFERROR(J2706*D2706,0)</f>
      </c>
      <c r="L2706" s="29">
        <f>IFERROR(E2706*C2706,0)</f>
      </c>
      <c r="M2706" s="29">
        <f>IFERROR((G2706*H2706*I2706/1000000)*D2706,0)</f>
      </c>
    </row>
    <row r="2707" spans="1:13" x14ac:dyDescent="0.25">
      <c r="A2707" s="16"/>
      <c r="E2707" s="27"/>
      <c r="F2707" t="s">
        <v>26</v>
      </c>
      <c r="G2707" s="28">
        <f>IFERROR(VLOOKUP(F2707,CARTON_LOOKUP!$A:$E,3,0),"")</f>
      </c>
      <c r="H2707" s="28">
        <f>IFERROR(VLOOKUP(F2707,CARTON_LOOKUP!$A:$E,4,0),"")</f>
      </c>
      <c r="I2707" s="28">
        <f>IFERROR(VLOOKUP(F2707,CARTON_LOOKUP!$A:$E,5,0),"")</f>
      </c>
      <c r="J2707" s="29">
        <f>IFERROR(VLOOKUP(F2707,CARTON_LOOKUP!$A:$E,2,0),"")</f>
      </c>
      <c r="K2707" s="29">
        <f>IFERROR(J2707*D2707,0)</f>
      </c>
      <c r="L2707" s="29">
        <f>IFERROR(E2707*C2707,0)</f>
      </c>
      <c r="M2707" s="29">
        <f>IFERROR((G2707*H2707*I2707/1000000)*D2707,0)</f>
      </c>
    </row>
    <row r="2708" spans="1:13" x14ac:dyDescent="0.25">
      <c r="A2708" s="16"/>
      <c r="E2708" s="27"/>
      <c r="F2708" t="s">
        <v>26</v>
      </c>
      <c r="G2708" s="28">
        <f>IFERROR(VLOOKUP(F2708,CARTON_LOOKUP!$A:$E,3,0),"")</f>
      </c>
      <c r="H2708" s="28">
        <f>IFERROR(VLOOKUP(F2708,CARTON_LOOKUP!$A:$E,4,0),"")</f>
      </c>
      <c r="I2708" s="28">
        <f>IFERROR(VLOOKUP(F2708,CARTON_LOOKUP!$A:$E,5,0),"")</f>
      </c>
      <c r="J2708" s="29">
        <f>IFERROR(VLOOKUP(F2708,CARTON_LOOKUP!$A:$E,2,0),"")</f>
      </c>
      <c r="K2708" s="29">
        <f>IFERROR(J2708*D2708,0)</f>
      </c>
      <c r="L2708" s="29">
        <f>IFERROR(E2708*C2708,0)</f>
      </c>
      <c r="M2708" s="29">
        <f>IFERROR((G2708*H2708*I2708/1000000)*D2708,0)</f>
      </c>
    </row>
    <row r="2709" spans="1:13" x14ac:dyDescent="0.25">
      <c r="A2709" s="16"/>
      <c r="E2709" s="27"/>
      <c r="F2709" t="s">
        <v>26</v>
      </c>
      <c r="G2709" s="28">
        <f>IFERROR(VLOOKUP(F2709,CARTON_LOOKUP!$A:$E,3,0),"")</f>
      </c>
      <c r="H2709" s="28">
        <f>IFERROR(VLOOKUP(F2709,CARTON_LOOKUP!$A:$E,4,0),"")</f>
      </c>
      <c r="I2709" s="28">
        <f>IFERROR(VLOOKUP(F2709,CARTON_LOOKUP!$A:$E,5,0),"")</f>
      </c>
      <c r="J2709" s="29">
        <f>IFERROR(VLOOKUP(F2709,CARTON_LOOKUP!$A:$E,2,0),"")</f>
      </c>
      <c r="K2709" s="29">
        <f>IFERROR(J2709*D2709,0)</f>
      </c>
      <c r="L2709" s="29">
        <f>IFERROR(E2709*C2709,0)</f>
      </c>
      <c r="M2709" s="29">
        <f>IFERROR((G2709*H2709*I2709/1000000)*D2709,0)</f>
      </c>
    </row>
    <row r="2710" spans="1:13" x14ac:dyDescent="0.25">
      <c r="A2710" s="16"/>
      <c r="E2710" s="27"/>
      <c r="F2710" t="s">
        <v>26</v>
      </c>
      <c r="G2710" s="28">
        <f>IFERROR(VLOOKUP(F2710,CARTON_LOOKUP!$A:$E,3,0),"")</f>
      </c>
      <c r="H2710" s="28">
        <f>IFERROR(VLOOKUP(F2710,CARTON_LOOKUP!$A:$E,4,0),"")</f>
      </c>
      <c r="I2710" s="28">
        <f>IFERROR(VLOOKUP(F2710,CARTON_LOOKUP!$A:$E,5,0),"")</f>
      </c>
      <c r="J2710" s="29">
        <f>IFERROR(VLOOKUP(F2710,CARTON_LOOKUP!$A:$E,2,0),"")</f>
      </c>
      <c r="K2710" s="29">
        <f>IFERROR(J2710*D2710,0)</f>
      </c>
      <c r="L2710" s="29">
        <f>IFERROR(E2710*C2710,0)</f>
      </c>
      <c r="M2710" s="29">
        <f>IFERROR((G2710*H2710*I2710/1000000)*D2710,0)</f>
      </c>
    </row>
    <row r="2711" spans="1:13" x14ac:dyDescent="0.25">
      <c r="A2711" s="16"/>
      <c r="E2711" s="27"/>
      <c r="F2711" t="s">
        <v>26</v>
      </c>
      <c r="G2711" s="28">
        <f>IFERROR(VLOOKUP(F2711,CARTON_LOOKUP!$A:$E,3,0),"")</f>
      </c>
      <c r="H2711" s="28">
        <f>IFERROR(VLOOKUP(F2711,CARTON_LOOKUP!$A:$E,4,0),"")</f>
      </c>
      <c r="I2711" s="28">
        <f>IFERROR(VLOOKUP(F2711,CARTON_LOOKUP!$A:$E,5,0),"")</f>
      </c>
      <c r="J2711" s="29">
        <f>IFERROR(VLOOKUP(F2711,CARTON_LOOKUP!$A:$E,2,0),"")</f>
      </c>
      <c r="K2711" s="29">
        <f>IFERROR(J2711*D2711,0)</f>
      </c>
      <c r="L2711" s="29">
        <f>IFERROR(E2711*C2711,0)</f>
      </c>
      <c r="M2711" s="29">
        <f>IFERROR((G2711*H2711*I2711/1000000)*D2711,0)</f>
      </c>
    </row>
    <row r="2712" spans="1:13" x14ac:dyDescent="0.25">
      <c r="A2712" s="16"/>
      <c r="E2712" s="27"/>
      <c r="F2712" t="s">
        <v>26</v>
      </c>
      <c r="G2712" s="28">
        <f>IFERROR(VLOOKUP(F2712,CARTON_LOOKUP!$A:$E,3,0),"")</f>
      </c>
      <c r="H2712" s="28">
        <f>IFERROR(VLOOKUP(F2712,CARTON_LOOKUP!$A:$E,4,0),"")</f>
      </c>
      <c r="I2712" s="28">
        <f>IFERROR(VLOOKUP(F2712,CARTON_LOOKUP!$A:$E,5,0),"")</f>
      </c>
      <c r="J2712" s="29">
        <f>IFERROR(VLOOKUP(F2712,CARTON_LOOKUP!$A:$E,2,0),"")</f>
      </c>
      <c r="K2712" s="29">
        <f>IFERROR(J2712*D2712,0)</f>
      </c>
      <c r="L2712" s="29">
        <f>IFERROR(E2712*C2712,0)</f>
      </c>
      <c r="M2712" s="29">
        <f>IFERROR((G2712*H2712*I2712/1000000)*D2712,0)</f>
      </c>
    </row>
    <row r="2713" spans="1:13" x14ac:dyDescent="0.25">
      <c r="A2713" s="16"/>
      <c r="E2713" s="27"/>
      <c r="F2713" t="s">
        <v>26</v>
      </c>
      <c r="G2713" s="28">
        <f>IFERROR(VLOOKUP(F2713,CARTON_LOOKUP!$A:$E,3,0),"")</f>
      </c>
      <c r="H2713" s="28">
        <f>IFERROR(VLOOKUP(F2713,CARTON_LOOKUP!$A:$E,4,0),"")</f>
      </c>
      <c r="I2713" s="28">
        <f>IFERROR(VLOOKUP(F2713,CARTON_LOOKUP!$A:$E,5,0),"")</f>
      </c>
      <c r="J2713" s="29">
        <f>IFERROR(VLOOKUP(F2713,CARTON_LOOKUP!$A:$E,2,0),"")</f>
      </c>
      <c r="K2713" s="29">
        <f>IFERROR(J2713*D2713,0)</f>
      </c>
      <c r="L2713" s="29">
        <f>IFERROR(E2713*C2713,0)</f>
      </c>
      <c r="M2713" s="29">
        <f>IFERROR((G2713*H2713*I2713/1000000)*D2713,0)</f>
      </c>
    </row>
    <row r="2714" spans="1:13" x14ac:dyDescent="0.25">
      <c r="A2714" s="16"/>
      <c r="E2714" s="27"/>
      <c r="F2714" t="s">
        <v>26</v>
      </c>
      <c r="G2714" s="28">
        <f>IFERROR(VLOOKUP(F2714,CARTON_LOOKUP!$A:$E,3,0),"")</f>
      </c>
      <c r="H2714" s="28">
        <f>IFERROR(VLOOKUP(F2714,CARTON_LOOKUP!$A:$E,4,0),"")</f>
      </c>
      <c r="I2714" s="28">
        <f>IFERROR(VLOOKUP(F2714,CARTON_LOOKUP!$A:$E,5,0),"")</f>
      </c>
      <c r="J2714" s="29">
        <f>IFERROR(VLOOKUP(F2714,CARTON_LOOKUP!$A:$E,2,0),"")</f>
      </c>
      <c r="K2714" s="29">
        <f>IFERROR(J2714*D2714,0)</f>
      </c>
      <c r="L2714" s="29">
        <f>IFERROR(E2714*C2714,0)</f>
      </c>
      <c r="M2714" s="29">
        <f>IFERROR((G2714*H2714*I2714/1000000)*D2714,0)</f>
      </c>
    </row>
    <row r="2715" spans="1:13" x14ac:dyDescent="0.25">
      <c r="A2715" s="16"/>
      <c r="E2715" s="27"/>
      <c r="F2715" t="s">
        <v>26</v>
      </c>
      <c r="G2715" s="28">
        <f>IFERROR(VLOOKUP(F2715,CARTON_LOOKUP!$A:$E,3,0),"")</f>
      </c>
      <c r="H2715" s="28">
        <f>IFERROR(VLOOKUP(F2715,CARTON_LOOKUP!$A:$E,4,0),"")</f>
      </c>
      <c r="I2715" s="28">
        <f>IFERROR(VLOOKUP(F2715,CARTON_LOOKUP!$A:$E,5,0),"")</f>
      </c>
      <c r="J2715" s="29">
        <f>IFERROR(VLOOKUP(F2715,CARTON_LOOKUP!$A:$E,2,0),"")</f>
      </c>
      <c r="K2715" s="29">
        <f>IFERROR(J2715*D2715,0)</f>
      </c>
      <c r="L2715" s="29">
        <f>IFERROR(E2715*C2715,0)</f>
      </c>
      <c r="M2715" s="29">
        <f>IFERROR((G2715*H2715*I2715/1000000)*D2715,0)</f>
      </c>
    </row>
    <row r="2716" spans="1:13" x14ac:dyDescent="0.25">
      <c r="A2716" s="16"/>
      <c r="E2716" s="27"/>
      <c r="F2716" t="s">
        <v>26</v>
      </c>
      <c r="G2716" s="28">
        <f>IFERROR(VLOOKUP(F2716,CARTON_LOOKUP!$A:$E,3,0),"")</f>
      </c>
      <c r="H2716" s="28">
        <f>IFERROR(VLOOKUP(F2716,CARTON_LOOKUP!$A:$E,4,0),"")</f>
      </c>
      <c r="I2716" s="28">
        <f>IFERROR(VLOOKUP(F2716,CARTON_LOOKUP!$A:$E,5,0),"")</f>
      </c>
      <c r="J2716" s="29">
        <f>IFERROR(VLOOKUP(F2716,CARTON_LOOKUP!$A:$E,2,0),"")</f>
      </c>
      <c r="K2716" s="29">
        <f>IFERROR(J2716*D2716,0)</f>
      </c>
      <c r="L2716" s="29">
        <f>IFERROR(E2716*C2716,0)</f>
      </c>
      <c r="M2716" s="29">
        <f>IFERROR((G2716*H2716*I2716/1000000)*D2716,0)</f>
      </c>
    </row>
    <row r="2717" spans="1:13" x14ac:dyDescent="0.25">
      <c r="A2717" s="16"/>
      <c r="E2717" s="27"/>
      <c r="F2717" t="s">
        <v>26</v>
      </c>
      <c r="G2717" s="28">
        <f>IFERROR(VLOOKUP(F2717,CARTON_LOOKUP!$A:$E,3,0),"")</f>
      </c>
      <c r="H2717" s="28">
        <f>IFERROR(VLOOKUP(F2717,CARTON_LOOKUP!$A:$E,4,0),"")</f>
      </c>
      <c r="I2717" s="28">
        <f>IFERROR(VLOOKUP(F2717,CARTON_LOOKUP!$A:$E,5,0),"")</f>
      </c>
      <c r="J2717" s="29">
        <f>IFERROR(VLOOKUP(F2717,CARTON_LOOKUP!$A:$E,2,0),"")</f>
      </c>
      <c r="K2717" s="29">
        <f>IFERROR(J2717*D2717,0)</f>
      </c>
      <c r="L2717" s="29">
        <f>IFERROR(E2717*C2717,0)</f>
      </c>
      <c r="M2717" s="29">
        <f>IFERROR((G2717*H2717*I2717/1000000)*D2717,0)</f>
      </c>
    </row>
    <row r="2718" spans="1:13" x14ac:dyDescent="0.25">
      <c r="A2718" s="16"/>
      <c r="E2718" s="27"/>
      <c r="F2718" t="s">
        <v>26</v>
      </c>
      <c r="G2718" s="28">
        <f>IFERROR(VLOOKUP(F2718,CARTON_LOOKUP!$A:$E,3,0),"")</f>
      </c>
      <c r="H2718" s="28">
        <f>IFERROR(VLOOKUP(F2718,CARTON_LOOKUP!$A:$E,4,0),"")</f>
      </c>
      <c r="I2718" s="28">
        <f>IFERROR(VLOOKUP(F2718,CARTON_LOOKUP!$A:$E,5,0),"")</f>
      </c>
      <c r="J2718" s="29">
        <f>IFERROR(VLOOKUP(F2718,CARTON_LOOKUP!$A:$E,2,0),"")</f>
      </c>
      <c r="K2718" s="29">
        <f>IFERROR(J2718*D2718,0)</f>
      </c>
      <c r="L2718" s="29">
        <f>IFERROR(E2718*C2718,0)</f>
      </c>
      <c r="M2718" s="29">
        <f>IFERROR((G2718*H2718*I2718/1000000)*D2718,0)</f>
      </c>
    </row>
    <row r="2719" spans="1:13" x14ac:dyDescent="0.25">
      <c r="A2719" s="16"/>
      <c r="E2719" s="27"/>
      <c r="F2719" t="s">
        <v>26</v>
      </c>
      <c r="G2719" s="28">
        <f>IFERROR(VLOOKUP(F2719,CARTON_LOOKUP!$A:$E,3,0),"")</f>
      </c>
      <c r="H2719" s="28">
        <f>IFERROR(VLOOKUP(F2719,CARTON_LOOKUP!$A:$E,4,0),"")</f>
      </c>
      <c r="I2719" s="28">
        <f>IFERROR(VLOOKUP(F2719,CARTON_LOOKUP!$A:$E,5,0),"")</f>
      </c>
      <c r="J2719" s="29">
        <f>IFERROR(VLOOKUP(F2719,CARTON_LOOKUP!$A:$E,2,0),"")</f>
      </c>
      <c r="K2719" s="29">
        <f>IFERROR(J2719*D2719,0)</f>
      </c>
      <c r="L2719" s="29">
        <f>IFERROR(E2719*C2719,0)</f>
      </c>
      <c r="M2719" s="29">
        <f>IFERROR((G2719*H2719*I2719/1000000)*D2719,0)</f>
      </c>
    </row>
    <row r="2720" spans="1:13" x14ac:dyDescent="0.25">
      <c r="A2720" s="16"/>
      <c r="E2720" s="27"/>
      <c r="F2720" t="s">
        <v>26</v>
      </c>
      <c r="G2720" s="28">
        <f>IFERROR(VLOOKUP(F2720,CARTON_LOOKUP!$A:$E,3,0),"")</f>
      </c>
      <c r="H2720" s="28">
        <f>IFERROR(VLOOKUP(F2720,CARTON_LOOKUP!$A:$E,4,0),"")</f>
      </c>
      <c r="I2720" s="28">
        <f>IFERROR(VLOOKUP(F2720,CARTON_LOOKUP!$A:$E,5,0),"")</f>
      </c>
      <c r="J2720" s="29">
        <f>IFERROR(VLOOKUP(F2720,CARTON_LOOKUP!$A:$E,2,0),"")</f>
      </c>
      <c r="K2720" s="29">
        <f>IFERROR(J2720*D2720,0)</f>
      </c>
      <c r="L2720" s="29">
        <f>IFERROR(E2720*C2720,0)</f>
      </c>
      <c r="M2720" s="29">
        <f>IFERROR((G2720*H2720*I2720/1000000)*D2720,0)</f>
      </c>
    </row>
    <row r="2721" spans="1:13" x14ac:dyDescent="0.25">
      <c r="A2721" s="16"/>
      <c r="E2721" s="27"/>
      <c r="F2721" t="s">
        <v>26</v>
      </c>
      <c r="G2721" s="28">
        <f>IFERROR(VLOOKUP(F2721,CARTON_LOOKUP!$A:$E,3,0),"")</f>
      </c>
      <c r="H2721" s="28">
        <f>IFERROR(VLOOKUP(F2721,CARTON_LOOKUP!$A:$E,4,0),"")</f>
      </c>
      <c r="I2721" s="28">
        <f>IFERROR(VLOOKUP(F2721,CARTON_LOOKUP!$A:$E,5,0),"")</f>
      </c>
      <c r="J2721" s="29">
        <f>IFERROR(VLOOKUP(F2721,CARTON_LOOKUP!$A:$E,2,0),"")</f>
      </c>
      <c r="K2721" s="29">
        <f>IFERROR(J2721*D2721,0)</f>
      </c>
      <c r="L2721" s="29">
        <f>IFERROR(E2721*C2721,0)</f>
      </c>
      <c r="M2721" s="29">
        <f>IFERROR((G2721*H2721*I2721/1000000)*D2721,0)</f>
      </c>
    </row>
    <row r="2722" spans="1:13" x14ac:dyDescent="0.25">
      <c r="A2722" s="16"/>
      <c r="E2722" s="27"/>
      <c r="F2722" t="s">
        <v>26</v>
      </c>
      <c r="G2722" s="28">
        <f>IFERROR(VLOOKUP(F2722,CARTON_LOOKUP!$A:$E,3,0),"")</f>
      </c>
      <c r="H2722" s="28">
        <f>IFERROR(VLOOKUP(F2722,CARTON_LOOKUP!$A:$E,4,0),"")</f>
      </c>
      <c r="I2722" s="28">
        <f>IFERROR(VLOOKUP(F2722,CARTON_LOOKUP!$A:$E,5,0),"")</f>
      </c>
      <c r="J2722" s="29">
        <f>IFERROR(VLOOKUP(F2722,CARTON_LOOKUP!$A:$E,2,0),"")</f>
      </c>
      <c r="K2722" s="29">
        <f>IFERROR(J2722*D2722,0)</f>
      </c>
      <c r="L2722" s="29">
        <f>IFERROR(E2722*C2722,0)</f>
      </c>
      <c r="M2722" s="29">
        <f>IFERROR((G2722*H2722*I2722/1000000)*D2722,0)</f>
      </c>
    </row>
    <row r="2723" spans="1:13" x14ac:dyDescent="0.25">
      <c r="A2723" s="16"/>
      <c r="E2723" s="27"/>
      <c r="F2723" t="s">
        <v>26</v>
      </c>
      <c r="G2723" s="28">
        <f>IFERROR(VLOOKUP(F2723,CARTON_LOOKUP!$A:$E,3,0),"")</f>
      </c>
      <c r="H2723" s="28">
        <f>IFERROR(VLOOKUP(F2723,CARTON_LOOKUP!$A:$E,4,0),"")</f>
      </c>
      <c r="I2723" s="28">
        <f>IFERROR(VLOOKUP(F2723,CARTON_LOOKUP!$A:$E,5,0),"")</f>
      </c>
      <c r="J2723" s="29">
        <f>IFERROR(VLOOKUP(F2723,CARTON_LOOKUP!$A:$E,2,0),"")</f>
      </c>
      <c r="K2723" s="29">
        <f>IFERROR(J2723*D2723,0)</f>
      </c>
      <c r="L2723" s="29">
        <f>IFERROR(E2723*C2723,0)</f>
      </c>
      <c r="M2723" s="29">
        <f>IFERROR((G2723*H2723*I2723/1000000)*D2723,0)</f>
      </c>
    </row>
    <row r="2724" spans="1:13" x14ac:dyDescent="0.25">
      <c r="A2724" s="16"/>
      <c r="E2724" s="27"/>
      <c r="F2724" t="s">
        <v>26</v>
      </c>
      <c r="G2724" s="28">
        <f>IFERROR(VLOOKUP(F2724,CARTON_LOOKUP!$A:$E,3,0),"")</f>
      </c>
      <c r="H2724" s="28">
        <f>IFERROR(VLOOKUP(F2724,CARTON_LOOKUP!$A:$E,4,0),"")</f>
      </c>
      <c r="I2724" s="28">
        <f>IFERROR(VLOOKUP(F2724,CARTON_LOOKUP!$A:$E,5,0),"")</f>
      </c>
      <c r="J2724" s="29">
        <f>IFERROR(VLOOKUP(F2724,CARTON_LOOKUP!$A:$E,2,0),"")</f>
      </c>
      <c r="K2724" s="29">
        <f>IFERROR(J2724*D2724,0)</f>
      </c>
      <c r="L2724" s="29">
        <f>IFERROR(E2724*C2724,0)</f>
      </c>
      <c r="M2724" s="29">
        <f>IFERROR((G2724*H2724*I2724/1000000)*D2724,0)</f>
      </c>
    </row>
    <row r="2725" spans="1:13" x14ac:dyDescent="0.25">
      <c r="A2725" s="16"/>
      <c r="E2725" s="27"/>
      <c r="F2725" t="s">
        <v>26</v>
      </c>
      <c r="G2725" s="28">
        <f>IFERROR(VLOOKUP(F2725,CARTON_LOOKUP!$A:$E,3,0),"")</f>
      </c>
      <c r="H2725" s="28">
        <f>IFERROR(VLOOKUP(F2725,CARTON_LOOKUP!$A:$E,4,0),"")</f>
      </c>
      <c r="I2725" s="28">
        <f>IFERROR(VLOOKUP(F2725,CARTON_LOOKUP!$A:$E,5,0),"")</f>
      </c>
      <c r="J2725" s="29">
        <f>IFERROR(VLOOKUP(F2725,CARTON_LOOKUP!$A:$E,2,0),"")</f>
      </c>
      <c r="K2725" s="29">
        <f>IFERROR(J2725*D2725,0)</f>
      </c>
      <c r="L2725" s="29">
        <f>IFERROR(E2725*C2725,0)</f>
      </c>
      <c r="M2725" s="29">
        <f>IFERROR((G2725*H2725*I2725/1000000)*D2725,0)</f>
      </c>
    </row>
    <row r="2726" spans="1:13" x14ac:dyDescent="0.25">
      <c r="A2726" s="16"/>
      <c r="E2726" s="27"/>
      <c r="F2726" t="s">
        <v>26</v>
      </c>
      <c r="G2726" s="28">
        <f>IFERROR(VLOOKUP(F2726,CARTON_LOOKUP!$A:$E,3,0),"")</f>
      </c>
      <c r="H2726" s="28">
        <f>IFERROR(VLOOKUP(F2726,CARTON_LOOKUP!$A:$E,4,0),"")</f>
      </c>
      <c r="I2726" s="28">
        <f>IFERROR(VLOOKUP(F2726,CARTON_LOOKUP!$A:$E,5,0),"")</f>
      </c>
      <c r="J2726" s="29">
        <f>IFERROR(VLOOKUP(F2726,CARTON_LOOKUP!$A:$E,2,0),"")</f>
      </c>
      <c r="K2726" s="29">
        <f>IFERROR(J2726*D2726,0)</f>
      </c>
      <c r="L2726" s="29">
        <f>IFERROR(E2726*C2726,0)</f>
      </c>
      <c r="M2726" s="29">
        <f>IFERROR((G2726*H2726*I2726/1000000)*D2726,0)</f>
      </c>
    </row>
    <row r="2727" spans="1:13" x14ac:dyDescent="0.25">
      <c r="A2727" s="16"/>
      <c r="E2727" s="27"/>
      <c r="F2727" t="s">
        <v>26</v>
      </c>
      <c r="G2727" s="28">
        <f>IFERROR(VLOOKUP(F2727,CARTON_LOOKUP!$A:$E,3,0),"")</f>
      </c>
      <c r="H2727" s="28">
        <f>IFERROR(VLOOKUP(F2727,CARTON_LOOKUP!$A:$E,4,0),"")</f>
      </c>
      <c r="I2727" s="28">
        <f>IFERROR(VLOOKUP(F2727,CARTON_LOOKUP!$A:$E,5,0),"")</f>
      </c>
      <c r="J2727" s="29">
        <f>IFERROR(VLOOKUP(F2727,CARTON_LOOKUP!$A:$E,2,0),"")</f>
      </c>
      <c r="K2727" s="29">
        <f>IFERROR(J2727*D2727,0)</f>
      </c>
      <c r="L2727" s="29">
        <f>IFERROR(E2727*C2727,0)</f>
      </c>
      <c r="M2727" s="29">
        <f>IFERROR((G2727*H2727*I2727/1000000)*D2727,0)</f>
      </c>
    </row>
    <row r="2728" spans="1:13" x14ac:dyDescent="0.25">
      <c r="A2728" s="16"/>
      <c r="E2728" s="27"/>
      <c r="F2728" t="s">
        <v>26</v>
      </c>
      <c r="G2728" s="28">
        <f>IFERROR(VLOOKUP(F2728,CARTON_LOOKUP!$A:$E,3,0),"")</f>
      </c>
      <c r="H2728" s="28">
        <f>IFERROR(VLOOKUP(F2728,CARTON_LOOKUP!$A:$E,4,0),"")</f>
      </c>
      <c r="I2728" s="28">
        <f>IFERROR(VLOOKUP(F2728,CARTON_LOOKUP!$A:$E,5,0),"")</f>
      </c>
      <c r="J2728" s="29">
        <f>IFERROR(VLOOKUP(F2728,CARTON_LOOKUP!$A:$E,2,0),"")</f>
      </c>
      <c r="K2728" s="29">
        <f>IFERROR(J2728*D2728,0)</f>
      </c>
      <c r="L2728" s="29">
        <f>IFERROR(E2728*C2728,0)</f>
      </c>
      <c r="M2728" s="29">
        <f>IFERROR((G2728*H2728*I2728/1000000)*D2728,0)</f>
      </c>
    </row>
    <row r="2729" spans="1:13" x14ac:dyDescent="0.25">
      <c r="A2729" s="16"/>
      <c r="E2729" s="27"/>
      <c r="F2729" t="s">
        <v>26</v>
      </c>
      <c r="G2729" s="28">
        <f>IFERROR(VLOOKUP(F2729,CARTON_LOOKUP!$A:$E,3,0),"")</f>
      </c>
      <c r="H2729" s="28">
        <f>IFERROR(VLOOKUP(F2729,CARTON_LOOKUP!$A:$E,4,0),"")</f>
      </c>
      <c r="I2729" s="28">
        <f>IFERROR(VLOOKUP(F2729,CARTON_LOOKUP!$A:$E,5,0),"")</f>
      </c>
      <c r="J2729" s="29">
        <f>IFERROR(VLOOKUP(F2729,CARTON_LOOKUP!$A:$E,2,0),"")</f>
      </c>
      <c r="K2729" s="29">
        <f>IFERROR(J2729*D2729,0)</f>
      </c>
      <c r="L2729" s="29">
        <f>IFERROR(E2729*C2729,0)</f>
      </c>
      <c r="M2729" s="29">
        <f>IFERROR((G2729*H2729*I2729/1000000)*D2729,0)</f>
      </c>
    </row>
    <row r="2730" spans="1:13" x14ac:dyDescent="0.25">
      <c r="A2730" s="16"/>
      <c r="E2730" s="27"/>
      <c r="F2730" t="s">
        <v>26</v>
      </c>
      <c r="G2730" s="28">
        <f>IFERROR(VLOOKUP(F2730,CARTON_LOOKUP!$A:$E,3,0),"")</f>
      </c>
      <c r="H2730" s="28">
        <f>IFERROR(VLOOKUP(F2730,CARTON_LOOKUP!$A:$E,4,0),"")</f>
      </c>
      <c r="I2730" s="28">
        <f>IFERROR(VLOOKUP(F2730,CARTON_LOOKUP!$A:$E,5,0),"")</f>
      </c>
      <c r="J2730" s="29">
        <f>IFERROR(VLOOKUP(F2730,CARTON_LOOKUP!$A:$E,2,0),"")</f>
      </c>
      <c r="K2730" s="29">
        <f>IFERROR(J2730*D2730,0)</f>
      </c>
      <c r="L2730" s="29">
        <f>IFERROR(E2730*C2730,0)</f>
      </c>
      <c r="M2730" s="29">
        <f>IFERROR((G2730*H2730*I2730/1000000)*D2730,0)</f>
      </c>
    </row>
    <row r="2731" spans="1:13" x14ac:dyDescent="0.25">
      <c r="A2731" s="16"/>
      <c r="E2731" s="27"/>
      <c r="F2731" t="s">
        <v>26</v>
      </c>
      <c r="G2731" s="28">
        <f>IFERROR(VLOOKUP(F2731,CARTON_LOOKUP!$A:$E,3,0),"")</f>
      </c>
      <c r="H2731" s="28">
        <f>IFERROR(VLOOKUP(F2731,CARTON_LOOKUP!$A:$E,4,0),"")</f>
      </c>
      <c r="I2731" s="28">
        <f>IFERROR(VLOOKUP(F2731,CARTON_LOOKUP!$A:$E,5,0),"")</f>
      </c>
      <c r="J2731" s="29">
        <f>IFERROR(VLOOKUP(F2731,CARTON_LOOKUP!$A:$E,2,0),"")</f>
      </c>
      <c r="K2731" s="29">
        <f>IFERROR(J2731*D2731,0)</f>
      </c>
      <c r="L2731" s="29">
        <f>IFERROR(E2731*C2731,0)</f>
      </c>
      <c r="M2731" s="29">
        <f>IFERROR((G2731*H2731*I2731/1000000)*D2731,0)</f>
      </c>
    </row>
    <row r="2732" spans="1:13" x14ac:dyDescent="0.25">
      <c r="A2732" s="16"/>
      <c r="E2732" s="27"/>
      <c r="F2732" t="s">
        <v>26</v>
      </c>
      <c r="G2732" s="28">
        <f>IFERROR(VLOOKUP(F2732,CARTON_LOOKUP!$A:$E,3,0),"")</f>
      </c>
      <c r="H2732" s="28">
        <f>IFERROR(VLOOKUP(F2732,CARTON_LOOKUP!$A:$E,4,0),"")</f>
      </c>
      <c r="I2732" s="28">
        <f>IFERROR(VLOOKUP(F2732,CARTON_LOOKUP!$A:$E,5,0),"")</f>
      </c>
      <c r="J2732" s="29">
        <f>IFERROR(VLOOKUP(F2732,CARTON_LOOKUP!$A:$E,2,0),"")</f>
      </c>
      <c r="K2732" s="29">
        <f>IFERROR(J2732*D2732,0)</f>
      </c>
      <c r="L2732" s="29">
        <f>IFERROR(E2732*C2732,0)</f>
      </c>
      <c r="M2732" s="29">
        <f>IFERROR((G2732*H2732*I2732/1000000)*D2732,0)</f>
      </c>
    </row>
    <row r="2733" spans="1:13" x14ac:dyDescent="0.25">
      <c r="A2733" s="16"/>
      <c r="E2733" s="27"/>
      <c r="F2733" t="s">
        <v>26</v>
      </c>
      <c r="G2733" s="28">
        <f>IFERROR(VLOOKUP(F2733,CARTON_LOOKUP!$A:$E,3,0),"")</f>
      </c>
      <c r="H2733" s="28">
        <f>IFERROR(VLOOKUP(F2733,CARTON_LOOKUP!$A:$E,4,0),"")</f>
      </c>
      <c r="I2733" s="28">
        <f>IFERROR(VLOOKUP(F2733,CARTON_LOOKUP!$A:$E,5,0),"")</f>
      </c>
      <c r="J2733" s="29">
        <f>IFERROR(VLOOKUP(F2733,CARTON_LOOKUP!$A:$E,2,0),"")</f>
      </c>
      <c r="K2733" s="29">
        <f>IFERROR(J2733*D2733,0)</f>
      </c>
      <c r="L2733" s="29">
        <f>IFERROR(E2733*C2733,0)</f>
      </c>
      <c r="M2733" s="29">
        <f>IFERROR((G2733*H2733*I2733/1000000)*D2733,0)</f>
      </c>
    </row>
    <row r="2734" spans="1:13" x14ac:dyDescent="0.25">
      <c r="A2734" s="16"/>
      <c r="E2734" s="27"/>
      <c r="F2734" t="s">
        <v>26</v>
      </c>
      <c r="G2734" s="28">
        <f>IFERROR(VLOOKUP(F2734,CARTON_LOOKUP!$A:$E,3,0),"")</f>
      </c>
      <c r="H2734" s="28">
        <f>IFERROR(VLOOKUP(F2734,CARTON_LOOKUP!$A:$E,4,0),"")</f>
      </c>
      <c r="I2734" s="28">
        <f>IFERROR(VLOOKUP(F2734,CARTON_LOOKUP!$A:$E,5,0),"")</f>
      </c>
      <c r="J2734" s="29">
        <f>IFERROR(VLOOKUP(F2734,CARTON_LOOKUP!$A:$E,2,0),"")</f>
      </c>
      <c r="K2734" s="29">
        <f>IFERROR(J2734*D2734,0)</f>
      </c>
      <c r="L2734" s="29">
        <f>IFERROR(E2734*C2734,0)</f>
      </c>
      <c r="M2734" s="29">
        <f>IFERROR((G2734*H2734*I2734/1000000)*D2734,0)</f>
      </c>
    </row>
    <row r="2735" spans="1:13" x14ac:dyDescent="0.25">
      <c r="A2735" s="16"/>
      <c r="E2735" s="27"/>
      <c r="F2735" t="s">
        <v>26</v>
      </c>
      <c r="G2735" s="28">
        <f>IFERROR(VLOOKUP(F2735,CARTON_LOOKUP!$A:$E,3,0),"")</f>
      </c>
      <c r="H2735" s="28">
        <f>IFERROR(VLOOKUP(F2735,CARTON_LOOKUP!$A:$E,4,0),"")</f>
      </c>
      <c r="I2735" s="28">
        <f>IFERROR(VLOOKUP(F2735,CARTON_LOOKUP!$A:$E,5,0),"")</f>
      </c>
      <c r="J2735" s="29">
        <f>IFERROR(VLOOKUP(F2735,CARTON_LOOKUP!$A:$E,2,0),"")</f>
      </c>
      <c r="K2735" s="29">
        <f>IFERROR(J2735*D2735,0)</f>
      </c>
      <c r="L2735" s="29">
        <f>IFERROR(E2735*C2735,0)</f>
      </c>
      <c r="M2735" s="29">
        <f>IFERROR((G2735*H2735*I2735/1000000)*D2735,0)</f>
      </c>
    </row>
    <row r="2736" spans="1:13" x14ac:dyDescent="0.25">
      <c r="A2736" s="16"/>
      <c r="E2736" s="27"/>
      <c r="F2736" t="s">
        <v>26</v>
      </c>
      <c r="G2736" s="28">
        <f>IFERROR(VLOOKUP(F2736,CARTON_LOOKUP!$A:$E,3,0),"")</f>
      </c>
      <c r="H2736" s="28">
        <f>IFERROR(VLOOKUP(F2736,CARTON_LOOKUP!$A:$E,4,0),"")</f>
      </c>
      <c r="I2736" s="28">
        <f>IFERROR(VLOOKUP(F2736,CARTON_LOOKUP!$A:$E,5,0),"")</f>
      </c>
      <c r="J2736" s="29">
        <f>IFERROR(VLOOKUP(F2736,CARTON_LOOKUP!$A:$E,2,0),"")</f>
      </c>
      <c r="K2736" s="29">
        <f>IFERROR(J2736*D2736,0)</f>
      </c>
      <c r="L2736" s="29">
        <f>IFERROR(E2736*C2736,0)</f>
      </c>
      <c r="M2736" s="29">
        <f>IFERROR((G2736*H2736*I2736/1000000)*D2736,0)</f>
      </c>
    </row>
    <row r="2737" spans="1:13" x14ac:dyDescent="0.25">
      <c r="A2737" s="16"/>
      <c r="E2737" s="27"/>
      <c r="F2737" t="s">
        <v>26</v>
      </c>
      <c r="G2737" s="28">
        <f>IFERROR(VLOOKUP(F2737,CARTON_LOOKUP!$A:$E,3,0),"")</f>
      </c>
      <c r="H2737" s="28">
        <f>IFERROR(VLOOKUP(F2737,CARTON_LOOKUP!$A:$E,4,0),"")</f>
      </c>
      <c r="I2737" s="28">
        <f>IFERROR(VLOOKUP(F2737,CARTON_LOOKUP!$A:$E,5,0),"")</f>
      </c>
      <c r="J2737" s="29">
        <f>IFERROR(VLOOKUP(F2737,CARTON_LOOKUP!$A:$E,2,0),"")</f>
      </c>
      <c r="K2737" s="29">
        <f>IFERROR(J2737*D2737,0)</f>
      </c>
      <c r="L2737" s="29">
        <f>IFERROR(E2737*C2737,0)</f>
      </c>
      <c r="M2737" s="29">
        <f>IFERROR((G2737*H2737*I2737/1000000)*D2737,0)</f>
      </c>
    </row>
    <row r="2738" spans="1:13" x14ac:dyDescent="0.25">
      <c r="A2738" s="16"/>
      <c r="E2738" s="27"/>
      <c r="F2738" t="s">
        <v>26</v>
      </c>
      <c r="G2738" s="28">
        <f>IFERROR(VLOOKUP(F2738,CARTON_LOOKUP!$A:$E,3,0),"")</f>
      </c>
      <c r="H2738" s="28">
        <f>IFERROR(VLOOKUP(F2738,CARTON_LOOKUP!$A:$E,4,0),"")</f>
      </c>
      <c r="I2738" s="28">
        <f>IFERROR(VLOOKUP(F2738,CARTON_LOOKUP!$A:$E,5,0),"")</f>
      </c>
      <c r="J2738" s="29">
        <f>IFERROR(VLOOKUP(F2738,CARTON_LOOKUP!$A:$E,2,0),"")</f>
      </c>
      <c r="K2738" s="29">
        <f>IFERROR(J2738*D2738,0)</f>
      </c>
      <c r="L2738" s="29">
        <f>IFERROR(E2738*C2738,0)</f>
      </c>
      <c r="M2738" s="29">
        <f>IFERROR((G2738*H2738*I2738/1000000)*D2738,0)</f>
      </c>
    </row>
    <row r="2739" spans="1:13" x14ac:dyDescent="0.25">
      <c r="A2739" s="16"/>
      <c r="E2739" s="27"/>
      <c r="F2739" t="s">
        <v>26</v>
      </c>
      <c r="G2739" s="28">
        <f>IFERROR(VLOOKUP(F2739,CARTON_LOOKUP!$A:$E,3,0),"")</f>
      </c>
      <c r="H2739" s="28">
        <f>IFERROR(VLOOKUP(F2739,CARTON_LOOKUP!$A:$E,4,0),"")</f>
      </c>
      <c r="I2739" s="28">
        <f>IFERROR(VLOOKUP(F2739,CARTON_LOOKUP!$A:$E,5,0),"")</f>
      </c>
      <c r="J2739" s="29">
        <f>IFERROR(VLOOKUP(F2739,CARTON_LOOKUP!$A:$E,2,0),"")</f>
      </c>
      <c r="K2739" s="29">
        <f>IFERROR(J2739*D2739,0)</f>
      </c>
      <c r="L2739" s="29">
        <f>IFERROR(E2739*C2739,0)</f>
      </c>
      <c r="M2739" s="29">
        <f>IFERROR((G2739*H2739*I2739/1000000)*D2739,0)</f>
      </c>
    </row>
    <row r="2740" spans="1:13" x14ac:dyDescent="0.25">
      <c r="A2740" s="16"/>
      <c r="E2740" s="27"/>
      <c r="F2740" t="s">
        <v>26</v>
      </c>
      <c r="G2740" s="28">
        <f>IFERROR(VLOOKUP(F2740,CARTON_LOOKUP!$A:$E,3,0),"")</f>
      </c>
      <c r="H2740" s="28">
        <f>IFERROR(VLOOKUP(F2740,CARTON_LOOKUP!$A:$E,4,0),"")</f>
      </c>
      <c r="I2740" s="28">
        <f>IFERROR(VLOOKUP(F2740,CARTON_LOOKUP!$A:$E,5,0),"")</f>
      </c>
      <c r="J2740" s="29">
        <f>IFERROR(VLOOKUP(F2740,CARTON_LOOKUP!$A:$E,2,0),"")</f>
      </c>
      <c r="K2740" s="29">
        <f>IFERROR(J2740*D2740,0)</f>
      </c>
      <c r="L2740" s="29">
        <f>IFERROR(E2740*C2740,0)</f>
      </c>
      <c r="M2740" s="29">
        <f>IFERROR((G2740*H2740*I2740/1000000)*D2740,0)</f>
      </c>
    </row>
    <row r="2741" spans="1:13" x14ac:dyDescent="0.25">
      <c r="A2741" s="16"/>
      <c r="E2741" s="27"/>
      <c r="F2741" t="s">
        <v>26</v>
      </c>
      <c r="G2741" s="28">
        <f>IFERROR(VLOOKUP(F2741,CARTON_LOOKUP!$A:$E,3,0),"")</f>
      </c>
      <c r="H2741" s="28">
        <f>IFERROR(VLOOKUP(F2741,CARTON_LOOKUP!$A:$E,4,0),"")</f>
      </c>
      <c r="I2741" s="28">
        <f>IFERROR(VLOOKUP(F2741,CARTON_LOOKUP!$A:$E,5,0),"")</f>
      </c>
      <c r="J2741" s="29">
        <f>IFERROR(VLOOKUP(F2741,CARTON_LOOKUP!$A:$E,2,0),"")</f>
      </c>
      <c r="K2741" s="29">
        <f>IFERROR(J2741*D2741,0)</f>
      </c>
      <c r="L2741" s="29">
        <f>IFERROR(E2741*C2741,0)</f>
      </c>
      <c r="M2741" s="29">
        <f>IFERROR((G2741*H2741*I2741/1000000)*D2741,0)</f>
      </c>
    </row>
    <row r="2742" spans="1:13" x14ac:dyDescent="0.25">
      <c r="A2742" s="16"/>
      <c r="E2742" s="27"/>
      <c r="F2742" t="s">
        <v>26</v>
      </c>
      <c r="G2742" s="28">
        <f>IFERROR(VLOOKUP(F2742,CARTON_LOOKUP!$A:$E,3,0),"")</f>
      </c>
      <c r="H2742" s="28">
        <f>IFERROR(VLOOKUP(F2742,CARTON_LOOKUP!$A:$E,4,0),"")</f>
      </c>
      <c r="I2742" s="28">
        <f>IFERROR(VLOOKUP(F2742,CARTON_LOOKUP!$A:$E,5,0),"")</f>
      </c>
      <c r="J2742" s="29">
        <f>IFERROR(VLOOKUP(F2742,CARTON_LOOKUP!$A:$E,2,0),"")</f>
      </c>
      <c r="K2742" s="29">
        <f>IFERROR(J2742*D2742,0)</f>
      </c>
      <c r="L2742" s="29">
        <f>IFERROR(E2742*C2742,0)</f>
      </c>
      <c r="M2742" s="29">
        <f>IFERROR((G2742*H2742*I2742/1000000)*D2742,0)</f>
      </c>
    </row>
    <row r="2743" spans="1:13" x14ac:dyDescent="0.25">
      <c r="A2743" s="16"/>
      <c r="E2743" s="27"/>
      <c r="F2743" t="s">
        <v>26</v>
      </c>
      <c r="G2743" s="28">
        <f>IFERROR(VLOOKUP(F2743,CARTON_LOOKUP!$A:$E,3,0),"")</f>
      </c>
      <c r="H2743" s="28">
        <f>IFERROR(VLOOKUP(F2743,CARTON_LOOKUP!$A:$E,4,0),"")</f>
      </c>
      <c r="I2743" s="28">
        <f>IFERROR(VLOOKUP(F2743,CARTON_LOOKUP!$A:$E,5,0),"")</f>
      </c>
      <c r="J2743" s="29">
        <f>IFERROR(VLOOKUP(F2743,CARTON_LOOKUP!$A:$E,2,0),"")</f>
      </c>
      <c r="K2743" s="29">
        <f>IFERROR(J2743*D2743,0)</f>
      </c>
      <c r="L2743" s="29">
        <f>IFERROR(E2743*C2743,0)</f>
      </c>
      <c r="M2743" s="29">
        <f>IFERROR((G2743*H2743*I2743/1000000)*D2743,0)</f>
      </c>
    </row>
    <row r="2744" spans="1:13" x14ac:dyDescent="0.25">
      <c r="A2744" s="16"/>
      <c r="E2744" s="27"/>
      <c r="F2744" t="s">
        <v>26</v>
      </c>
      <c r="G2744" s="28">
        <f>IFERROR(VLOOKUP(F2744,CARTON_LOOKUP!$A:$E,3,0),"")</f>
      </c>
      <c r="H2744" s="28">
        <f>IFERROR(VLOOKUP(F2744,CARTON_LOOKUP!$A:$E,4,0),"")</f>
      </c>
      <c r="I2744" s="28">
        <f>IFERROR(VLOOKUP(F2744,CARTON_LOOKUP!$A:$E,5,0),"")</f>
      </c>
      <c r="J2744" s="29">
        <f>IFERROR(VLOOKUP(F2744,CARTON_LOOKUP!$A:$E,2,0),"")</f>
      </c>
      <c r="K2744" s="29">
        <f>IFERROR(J2744*D2744,0)</f>
      </c>
      <c r="L2744" s="29">
        <f>IFERROR(E2744*C2744,0)</f>
      </c>
      <c r="M2744" s="29">
        <f>IFERROR((G2744*H2744*I2744/1000000)*D2744,0)</f>
      </c>
    </row>
    <row r="2745" spans="1:13" x14ac:dyDescent="0.25">
      <c r="A2745" s="16"/>
      <c r="E2745" s="27"/>
      <c r="F2745" t="s">
        <v>26</v>
      </c>
      <c r="G2745" s="28">
        <f>IFERROR(VLOOKUP(F2745,CARTON_LOOKUP!$A:$E,3,0),"")</f>
      </c>
      <c r="H2745" s="28">
        <f>IFERROR(VLOOKUP(F2745,CARTON_LOOKUP!$A:$E,4,0),"")</f>
      </c>
      <c r="I2745" s="28">
        <f>IFERROR(VLOOKUP(F2745,CARTON_LOOKUP!$A:$E,5,0),"")</f>
      </c>
      <c r="J2745" s="29">
        <f>IFERROR(VLOOKUP(F2745,CARTON_LOOKUP!$A:$E,2,0),"")</f>
      </c>
      <c r="K2745" s="29">
        <f>IFERROR(J2745*D2745,0)</f>
      </c>
      <c r="L2745" s="29">
        <f>IFERROR(E2745*C2745,0)</f>
      </c>
      <c r="M2745" s="29">
        <f>IFERROR((G2745*H2745*I2745/1000000)*D2745,0)</f>
      </c>
    </row>
    <row r="2746" spans="1:13" x14ac:dyDescent="0.25">
      <c r="A2746" s="16"/>
      <c r="E2746" s="27"/>
      <c r="F2746" t="s">
        <v>26</v>
      </c>
      <c r="G2746" s="28">
        <f>IFERROR(VLOOKUP(F2746,CARTON_LOOKUP!$A:$E,3,0),"")</f>
      </c>
      <c r="H2746" s="28">
        <f>IFERROR(VLOOKUP(F2746,CARTON_LOOKUP!$A:$E,4,0),"")</f>
      </c>
      <c r="I2746" s="28">
        <f>IFERROR(VLOOKUP(F2746,CARTON_LOOKUP!$A:$E,5,0),"")</f>
      </c>
      <c r="J2746" s="29">
        <f>IFERROR(VLOOKUP(F2746,CARTON_LOOKUP!$A:$E,2,0),"")</f>
      </c>
      <c r="K2746" s="29">
        <f>IFERROR(J2746*D2746,0)</f>
      </c>
      <c r="L2746" s="29">
        <f>IFERROR(E2746*C2746,0)</f>
      </c>
      <c r="M2746" s="29">
        <f>IFERROR((G2746*H2746*I2746/1000000)*D2746,0)</f>
      </c>
    </row>
    <row r="2747" spans="1:13" x14ac:dyDescent="0.25">
      <c r="A2747" s="16"/>
      <c r="E2747" s="27"/>
      <c r="F2747" t="s">
        <v>26</v>
      </c>
      <c r="G2747" s="28">
        <f>IFERROR(VLOOKUP(F2747,CARTON_LOOKUP!$A:$E,3,0),"")</f>
      </c>
      <c r="H2747" s="28">
        <f>IFERROR(VLOOKUP(F2747,CARTON_LOOKUP!$A:$E,4,0),"")</f>
      </c>
      <c r="I2747" s="28">
        <f>IFERROR(VLOOKUP(F2747,CARTON_LOOKUP!$A:$E,5,0),"")</f>
      </c>
      <c r="J2747" s="29">
        <f>IFERROR(VLOOKUP(F2747,CARTON_LOOKUP!$A:$E,2,0),"")</f>
      </c>
      <c r="K2747" s="29">
        <f>IFERROR(J2747*D2747,0)</f>
      </c>
      <c r="L2747" s="29">
        <f>IFERROR(E2747*C2747,0)</f>
      </c>
      <c r="M2747" s="29">
        <f>IFERROR((G2747*H2747*I2747/1000000)*D2747,0)</f>
      </c>
    </row>
    <row r="2748" spans="1:13" x14ac:dyDescent="0.25">
      <c r="A2748" s="16"/>
      <c r="E2748" s="27"/>
      <c r="F2748" t="s">
        <v>26</v>
      </c>
      <c r="G2748" s="28">
        <f>IFERROR(VLOOKUP(F2748,CARTON_LOOKUP!$A:$E,3,0),"")</f>
      </c>
      <c r="H2748" s="28">
        <f>IFERROR(VLOOKUP(F2748,CARTON_LOOKUP!$A:$E,4,0),"")</f>
      </c>
      <c r="I2748" s="28">
        <f>IFERROR(VLOOKUP(F2748,CARTON_LOOKUP!$A:$E,5,0),"")</f>
      </c>
      <c r="J2748" s="29">
        <f>IFERROR(VLOOKUP(F2748,CARTON_LOOKUP!$A:$E,2,0),"")</f>
      </c>
      <c r="K2748" s="29">
        <f>IFERROR(J2748*D2748,0)</f>
      </c>
      <c r="L2748" s="29">
        <f>IFERROR(E2748*C2748,0)</f>
      </c>
      <c r="M2748" s="29">
        <f>IFERROR((G2748*H2748*I2748/1000000)*D2748,0)</f>
      </c>
    </row>
    <row r="2749" spans="1:13" x14ac:dyDescent="0.25">
      <c r="A2749" s="16"/>
      <c r="E2749" s="27"/>
      <c r="F2749" t="s">
        <v>26</v>
      </c>
      <c r="G2749" s="28">
        <f>IFERROR(VLOOKUP(F2749,CARTON_LOOKUP!$A:$E,3,0),"")</f>
      </c>
      <c r="H2749" s="28">
        <f>IFERROR(VLOOKUP(F2749,CARTON_LOOKUP!$A:$E,4,0),"")</f>
      </c>
      <c r="I2749" s="28">
        <f>IFERROR(VLOOKUP(F2749,CARTON_LOOKUP!$A:$E,5,0),"")</f>
      </c>
      <c r="J2749" s="29">
        <f>IFERROR(VLOOKUP(F2749,CARTON_LOOKUP!$A:$E,2,0),"")</f>
      </c>
      <c r="K2749" s="29">
        <f>IFERROR(J2749*D2749,0)</f>
      </c>
      <c r="L2749" s="29">
        <f>IFERROR(E2749*C2749,0)</f>
      </c>
      <c r="M2749" s="29">
        <f>IFERROR((G2749*H2749*I2749/1000000)*D2749,0)</f>
      </c>
    </row>
    <row r="2750" spans="1:13" x14ac:dyDescent="0.25">
      <c r="A2750" s="16"/>
      <c r="E2750" s="27"/>
      <c r="F2750" t="s">
        <v>26</v>
      </c>
      <c r="G2750" s="28">
        <f>IFERROR(VLOOKUP(F2750,CARTON_LOOKUP!$A:$E,3,0),"")</f>
      </c>
      <c r="H2750" s="28">
        <f>IFERROR(VLOOKUP(F2750,CARTON_LOOKUP!$A:$E,4,0),"")</f>
      </c>
      <c r="I2750" s="28">
        <f>IFERROR(VLOOKUP(F2750,CARTON_LOOKUP!$A:$E,5,0),"")</f>
      </c>
      <c r="J2750" s="29">
        <f>IFERROR(VLOOKUP(F2750,CARTON_LOOKUP!$A:$E,2,0),"")</f>
      </c>
      <c r="K2750" s="29">
        <f>IFERROR(J2750*D2750,0)</f>
      </c>
      <c r="L2750" s="29">
        <f>IFERROR(E2750*C2750,0)</f>
      </c>
      <c r="M2750" s="29">
        <f>IFERROR((G2750*H2750*I2750/1000000)*D2750,0)</f>
      </c>
    </row>
    <row r="2751" spans="1:13" x14ac:dyDescent="0.25">
      <c r="A2751" s="16"/>
      <c r="E2751" s="27"/>
      <c r="F2751" t="s">
        <v>26</v>
      </c>
      <c r="G2751" s="28">
        <f>IFERROR(VLOOKUP(F2751,CARTON_LOOKUP!$A:$E,3,0),"")</f>
      </c>
      <c r="H2751" s="28">
        <f>IFERROR(VLOOKUP(F2751,CARTON_LOOKUP!$A:$E,4,0),"")</f>
      </c>
      <c r="I2751" s="28">
        <f>IFERROR(VLOOKUP(F2751,CARTON_LOOKUP!$A:$E,5,0),"")</f>
      </c>
      <c r="J2751" s="29">
        <f>IFERROR(VLOOKUP(F2751,CARTON_LOOKUP!$A:$E,2,0),"")</f>
      </c>
      <c r="K2751" s="29">
        <f>IFERROR(J2751*D2751,0)</f>
      </c>
      <c r="L2751" s="29">
        <f>IFERROR(E2751*C2751,0)</f>
      </c>
      <c r="M2751" s="29">
        <f>IFERROR((G2751*H2751*I2751/1000000)*D2751,0)</f>
      </c>
    </row>
    <row r="2752" spans="1:13" x14ac:dyDescent="0.25">
      <c r="A2752" s="16"/>
      <c r="E2752" s="27"/>
      <c r="F2752" t="s">
        <v>26</v>
      </c>
      <c r="G2752" s="28">
        <f>IFERROR(VLOOKUP(F2752,CARTON_LOOKUP!$A:$E,3,0),"")</f>
      </c>
      <c r="H2752" s="28">
        <f>IFERROR(VLOOKUP(F2752,CARTON_LOOKUP!$A:$E,4,0),"")</f>
      </c>
      <c r="I2752" s="28">
        <f>IFERROR(VLOOKUP(F2752,CARTON_LOOKUP!$A:$E,5,0),"")</f>
      </c>
      <c r="J2752" s="29">
        <f>IFERROR(VLOOKUP(F2752,CARTON_LOOKUP!$A:$E,2,0),"")</f>
      </c>
      <c r="K2752" s="29">
        <f>IFERROR(J2752*D2752,0)</f>
      </c>
      <c r="L2752" s="29">
        <f>IFERROR(E2752*C2752,0)</f>
      </c>
      <c r="M2752" s="29">
        <f>IFERROR((G2752*H2752*I2752/1000000)*D2752,0)</f>
      </c>
    </row>
    <row r="2753" spans="1:13" x14ac:dyDescent="0.25">
      <c r="A2753" s="16"/>
      <c r="E2753" s="27"/>
      <c r="F2753" t="s">
        <v>26</v>
      </c>
      <c r="G2753" s="28">
        <f>IFERROR(VLOOKUP(F2753,CARTON_LOOKUP!$A:$E,3,0),"")</f>
      </c>
      <c r="H2753" s="28">
        <f>IFERROR(VLOOKUP(F2753,CARTON_LOOKUP!$A:$E,4,0),"")</f>
      </c>
      <c r="I2753" s="28">
        <f>IFERROR(VLOOKUP(F2753,CARTON_LOOKUP!$A:$E,5,0),"")</f>
      </c>
      <c r="J2753" s="29">
        <f>IFERROR(VLOOKUP(F2753,CARTON_LOOKUP!$A:$E,2,0),"")</f>
      </c>
      <c r="K2753" s="29">
        <f>IFERROR(J2753*D2753,0)</f>
      </c>
      <c r="L2753" s="29">
        <f>IFERROR(E2753*C2753,0)</f>
      </c>
      <c r="M2753" s="29">
        <f>IFERROR((G2753*H2753*I2753/1000000)*D2753,0)</f>
      </c>
    </row>
    <row r="2754" spans="1:13" x14ac:dyDescent="0.25">
      <c r="A2754" s="16"/>
      <c r="E2754" s="27"/>
      <c r="F2754" t="s">
        <v>26</v>
      </c>
      <c r="G2754" s="28">
        <f>IFERROR(VLOOKUP(F2754,CARTON_LOOKUP!$A:$E,3,0),"")</f>
      </c>
      <c r="H2754" s="28">
        <f>IFERROR(VLOOKUP(F2754,CARTON_LOOKUP!$A:$E,4,0),"")</f>
      </c>
      <c r="I2754" s="28">
        <f>IFERROR(VLOOKUP(F2754,CARTON_LOOKUP!$A:$E,5,0),"")</f>
      </c>
      <c r="J2754" s="29">
        <f>IFERROR(VLOOKUP(F2754,CARTON_LOOKUP!$A:$E,2,0),"")</f>
      </c>
      <c r="K2754" s="29">
        <f>IFERROR(J2754*D2754,0)</f>
      </c>
      <c r="L2754" s="29">
        <f>IFERROR(E2754*C2754,0)</f>
      </c>
      <c r="M2754" s="29">
        <f>IFERROR((G2754*H2754*I2754/1000000)*D2754,0)</f>
      </c>
    </row>
    <row r="2755" spans="1:13" x14ac:dyDescent="0.25">
      <c r="A2755" s="16"/>
      <c r="E2755" s="27"/>
      <c r="F2755" t="s">
        <v>26</v>
      </c>
      <c r="G2755" s="28">
        <f>IFERROR(VLOOKUP(F2755,CARTON_LOOKUP!$A:$E,3,0),"")</f>
      </c>
      <c r="H2755" s="28">
        <f>IFERROR(VLOOKUP(F2755,CARTON_LOOKUP!$A:$E,4,0),"")</f>
      </c>
      <c r="I2755" s="28">
        <f>IFERROR(VLOOKUP(F2755,CARTON_LOOKUP!$A:$E,5,0),"")</f>
      </c>
      <c r="J2755" s="29">
        <f>IFERROR(VLOOKUP(F2755,CARTON_LOOKUP!$A:$E,2,0),"")</f>
      </c>
      <c r="K2755" s="29">
        <f>IFERROR(J2755*D2755,0)</f>
      </c>
      <c r="L2755" s="29">
        <f>IFERROR(E2755*C2755,0)</f>
      </c>
      <c r="M2755" s="29">
        <f>IFERROR((G2755*H2755*I2755/1000000)*D2755,0)</f>
      </c>
    </row>
    <row r="2756" spans="1:13" x14ac:dyDescent="0.25">
      <c r="A2756" s="16"/>
      <c r="E2756" s="27"/>
      <c r="F2756" t="s">
        <v>26</v>
      </c>
      <c r="G2756" s="28">
        <f>IFERROR(VLOOKUP(F2756,CARTON_LOOKUP!$A:$E,3,0),"")</f>
      </c>
      <c r="H2756" s="28">
        <f>IFERROR(VLOOKUP(F2756,CARTON_LOOKUP!$A:$E,4,0),"")</f>
      </c>
      <c r="I2756" s="28">
        <f>IFERROR(VLOOKUP(F2756,CARTON_LOOKUP!$A:$E,5,0),"")</f>
      </c>
      <c r="J2756" s="29">
        <f>IFERROR(VLOOKUP(F2756,CARTON_LOOKUP!$A:$E,2,0),"")</f>
      </c>
      <c r="K2756" s="29">
        <f>IFERROR(J2756*D2756,0)</f>
      </c>
      <c r="L2756" s="29">
        <f>IFERROR(E2756*C2756,0)</f>
      </c>
      <c r="M2756" s="29">
        <f>IFERROR((G2756*H2756*I2756/1000000)*D2756,0)</f>
      </c>
    </row>
    <row r="2757" spans="1:13" x14ac:dyDescent="0.25">
      <c r="A2757" s="16"/>
      <c r="E2757" s="27"/>
      <c r="F2757" t="s">
        <v>26</v>
      </c>
      <c r="G2757" s="28">
        <f>IFERROR(VLOOKUP(F2757,CARTON_LOOKUP!$A:$E,3,0),"")</f>
      </c>
      <c r="H2757" s="28">
        <f>IFERROR(VLOOKUP(F2757,CARTON_LOOKUP!$A:$E,4,0),"")</f>
      </c>
      <c r="I2757" s="28">
        <f>IFERROR(VLOOKUP(F2757,CARTON_LOOKUP!$A:$E,5,0),"")</f>
      </c>
      <c r="J2757" s="29">
        <f>IFERROR(VLOOKUP(F2757,CARTON_LOOKUP!$A:$E,2,0),"")</f>
      </c>
      <c r="K2757" s="29">
        <f>IFERROR(J2757*D2757,0)</f>
      </c>
      <c r="L2757" s="29">
        <f>IFERROR(E2757*C2757,0)</f>
      </c>
      <c r="M2757" s="29">
        <f>IFERROR((G2757*H2757*I2757/1000000)*D2757,0)</f>
      </c>
    </row>
    <row r="2758" spans="1:13" x14ac:dyDescent="0.25">
      <c r="A2758" s="16"/>
      <c r="E2758" s="27"/>
      <c r="F2758" t="s">
        <v>26</v>
      </c>
      <c r="G2758" s="28">
        <f>IFERROR(VLOOKUP(F2758,CARTON_LOOKUP!$A:$E,3,0),"")</f>
      </c>
      <c r="H2758" s="28">
        <f>IFERROR(VLOOKUP(F2758,CARTON_LOOKUP!$A:$E,4,0),"")</f>
      </c>
      <c r="I2758" s="28">
        <f>IFERROR(VLOOKUP(F2758,CARTON_LOOKUP!$A:$E,5,0),"")</f>
      </c>
      <c r="J2758" s="29">
        <f>IFERROR(VLOOKUP(F2758,CARTON_LOOKUP!$A:$E,2,0),"")</f>
      </c>
      <c r="K2758" s="29">
        <f>IFERROR(J2758*D2758,0)</f>
      </c>
      <c r="L2758" s="29">
        <f>IFERROR(E2758*C2758,0)</f>
      </c>
      <c r="M2758" s="29">
        <f>IFERROR((G2758*H2758*I2758/1000000)*D2758,0)</f>
      </c>
    </row>
    <row r="2759" spans="1:13" x14ac:dyDescent="0.25">
      <c r="A2759" s="16"/>
      <c r="E2759" s="27"/>
      <c r="F2759" t="s">
        <v>26</v>
      </c>
      <c r="G2759" s="28">
        <f>IFERROR(VLOOKUP(F2759,CARTON_LOOKUP!$A:$E,3,0),"")</f>
      </c>
      <c r="H2759" s="28">
        <f>IFERROR(VLOOKUP(F2759,CARTON_LOOKUP!$A:$E,4,0),"")</f>
      </c>
      <c r="I2759" s="28">
        <f>IFERROR(VLOOKUP(F2759,CARTON_LOOKUP!$A:$E,5,0),"")</f>
      </c>
      <c r="J2759" s="29">
        <f>IFERROR(VLOOKUP(F2759,CARTON_LOOKUP!$A:$E,2,0),"")</f>
      </c>
      <c r="K2759" s="29">
        <f>IFERROR(J2759*D2759,0)</f>
      </c>
      <c r="L2759" s="29">
        <f>IFERROR(E2759*C2759,0)</f>
      </c>
      <c r="M2759" s="29">
        <f>IFERROR((G2759*H2759*I2759/1000000)*D2759,0)</f>
      </c>
    </row>
    <row r="2760" spans="1:13" x14ac:dyDescent="0.25">
      <c r="A2760" s="16"/>
      <c r="E2760" s="27"/>
      <c r="F2760" t="s">
        <v>26</v>
      </c>
      <c r="G2760" s="28">
        <f>IFERROR(VLOOKUP(F2760,CARTON_LOOKUP!$A:$E,3,0),"")</f>
      </c>
      <c r="H2760" s="28">
        <f>IFERROR(VLOOKUP(F2760,CARTON_LOOKUP!$A:$E,4,0),"")</f>
      </c>
      <c r="I2760" s="28">
        <f>IFERROR(VLOOKUP(F2760,CARTON_LOOKUP!$A:$E,5,0),"")</f>
      </c>
      <c r="J2760" s="29">
        <f>IFERROR(VLOOKUP(F2760,CARTON_LOOKUP!$A:$E,2,0),"")</f>
      </c>
      <c r="K2760" s="29">
        <f>IFERROR(J2760*D2760,0)</f>
      </c>
      <c r="L2760" s="29">
        <f>IFERROR(E2760*C2760,0)</f>
      </c>
      <c r="M2760" s="29">
        <f>IFERROR((G2760*H2760*I2760/1000000)*D2760,0)</f>
      </c>
    </row>
    <row r="2761" spans="1:13" x14ac:dyDescent="0.25">
      <c r="A2761" s="16"/>
      <c r="E2761" s="27"/>
      <c r="F2761" t="s">
        <v>26</v>
      </c>
      <c r="G2761" s="28">
        <f>IFERROR(VLOOKUP(F2761,CARTON_LOOKUP!$A:$E,3,0),"")</f>
      </c>
      <c r="H2761" s="28">
        <f>IFERROR(VLOOKUP(F2761,CARTON_LOOKUP!$A:$E,4,0),"")</f>
      </c>
      <c r="I2761" s="28">
        <f>IFERROR(VLOOKUP(F2761,CARTON_LOOKUP!$A:$E,5,0),"")</f>
      </c>
      <c r="J2761" s="29">
        <f>IFERROR(VLOOKUP(F2761,CARTON_LOOKUP!$A:$E,2,0),"")</f>
      </c>
      <c r="K2761" s="29">
        <f>IFERROR(J2761*D2761,0)</f>
      </c>
      <c r="L2761" s="29">
        <f>IFERROR(E2761*C2761,0)</f>
      </c>
      <c r="M2761" s="29">
        <f>IFERROR((G2761*H2761*I2761/1000000)*D2761,0)</f>
      </c>
    </row>
    <row r="2762" spans="1:13" x14ac:dyDescent="0.25">
      <c r="A2762" s="16"/>
      <c r="E2762" s="27"/>
      <c r="F2762" t="s">
        <v>26</v>
      </c>
      <c r="G2762" s="28">
        <f>IFERROR(VLOOKUP(F2762,CARTON_LOOKUP!$A:$E,3,0),"")</f>
      </c>
      <c r="H2762" s="28">
        <f>IFERROR(VLOOKUP(F2762,CARTON_LOOKUP!$A:$E,4,0),"")</f>
      </c>
      <c r="I2762" s="28">
        <f>IFERROR(VLOOKUP(F2762,CARTON_LOOKUP!$A:$E,5,0),"")</f>
      </c>
      <c r="J2762" s="29">
        <f>IFERROR(VLOOKUP(F2762,CARTON_LOOKUP!$A:$E,2,0),"")</f>
      </c>
      <c r="K2762" s="29">
        <f>IFERROR(J2762*D2762,0)</f>
      </c>
      <c r="L2762" s="29">
        <f>IFERROR(E2762*C2762,0)</f>
      </c>
      <c r="M2762" s="29">
        <f>IFERROR((G2762*H2762*I2762/1000000)*D2762,0)</f>
      </c>
    </row>
    <row r="2763" spans="1:13" x14ac:dyDescent="0.25">
      <c r="A2763" s="16"/>
      <c r="E2763" s="27"/>
      <c r="F2763" t="s">
        <v>26</v>
      </c>
      <c r="G2763" s="28">
        <f>IFERROR(VLOOKUP(F2763,CARTON_LOOKUP!$A:$E,3,0),"")</f>
      </c>
      <c r="H2763" s="28">
        <f>IFERROR(VLOOKUP(F2763,CARTON_LOOKUP!$A:$E,4,0),"")</f>
      </c>
      <c r="I2763" s="28">
        <f>IFERROR(VLOOKUP(F2763,CARTON_LOOKUP!$A:$E,5,0),"")</f>
      </c>
      <c r="J2763" s="29">
        <f>IFERROR(VLOOKUP(F2763,CARTON_LOOKUP!$A:$E,2,0),"")</f>
      </c>
      <c r="K2763" s="29">
        <f>IFERROR(J2763*D2763,0)</f>
      </c>
      <c r="L2763" s="29">
        <f>IFERROR(E2763*C2763,0)</f>
      </c>
      <c r="M2763" s="29">
        <f>IFERROR((G2763*H2763*I2763/1000000)*D2763,0)</f>
      </c>
    </row>
    <row r="2764" spans="1:13" x14ac:dyDescent="0.25">
      <c r="A2764" s="16"/>
      <c r="E2764" s="27"/>
      <c r="F2764" t="s">
        <v>26</v>
      </c>
      <c r="G2764" s="28">
        <f>IFERROR(VLOOKUP(F2764,CARTON_LOOKUP!$A:$E,3,0),"")</f>
      </c>
      <c r="H2764" s="28">
        <f>IFERROR(VLOOKUP(F2764,CARTON_LOOKUP!$A:$E,4,0),"")</f>
      </c>
      <c r="I2764" s="28">
        <f>IFERROR(VLOOKUP(F2764,CARTON_LOOKUP!$A:$E,5,0),"")</f>
      </c>
      <c r="J2764" s="29">
        <f>IFERROR(VLOOKUP(F2764,CARTON_LOOKUP!$A:$E,2,0),"")</f>
      </c>
      <c r="K2764" s="29">
        <f>IFERROR(J2764*D2764,0)</f>
      </c>
      <c r="L2764" s="29">
        <f>IFERROR(E2764*C2764,0)</f>
      </c>
      <c r="M2764" s="29">
        <f>IFERROR((G2764*H2764*I2764/1000000)*D2764,0)</f>
      </c>
    </row>
    <row r="2765" spans="1:13" x14ac:dyDescent="0.25">
      <c r="A2765" s="16"/>
      <c r="E2765" s="27"/>
      <c r="F2765" t="s">
        <v>26</v>
      </c>
      <c r="G2765" s="28">
        <f>IFERROR(VLOOKUP(F2765,CARTON_LOOKUP!$A:$E,3,0),"")</f>
      </c>
      <c r="H2765" s="28">
        <f>IFERROR(VLOOKUP(F2765,CARTON_LOOKUP!$A:$E,4,0),"")</f>
      </c>
      <c r="I2765" s="28">
        <f>IFERROR(VLOOKUP(F2765,CARTON_LOOKUP!$A:$E,5,0),"")</f>
      </c>
      <c r="J2765" s="29">
        <f>IFERROR(VLOOKUP(F2765,CARTON_LOOKUP!$A:$E,2,0),"")</f>
      </c>
      <c r="K2765" s="29">
        <f>IFERROR(J2765*D2765,0)</f>
      </c>
      <c r="L2765" s="29">
        <f>IFERROR(E2765*C2765,0)</f>
      </c>
      <c r="M2765" s="29">
        <f>IFERROR((G2765*H2765*I2765/1000000)*D2765,0)</f>
      </c>
    </row>
    <row r="2766" spans="1:13" x14ac:dyDescent="0.25">
      <c r="A2766" s="16"/>
      <c r="E2766" s="27"/>
      <c r="F2766" t="s">
        <v>26</v>
      </c>
      <c r="G2766" s="28">
        <f>IFERROR(VLOOKUP(F2766,CARTON_LOOKUP!$A:$E,3,0),"")</f>
      </c>
      <c r="H2766" s="28">
        <f>IFERROR(VLOOKUP(F2766,CARTON_LOOKUP!$A:$E,4,0),"")</f>
      </c>
      <c r="I2766" s="28">
        <f>IFERROR(VLOOKUP(F2766,CARTON_LOOKUP!$A:$E,5,0),"")</f>
      </c>
      <c r="J2766" s="29">
        <f>IFERROR(VLOOKUP(F2766,CARTON_LOOKUP!$A:$E,2,0),"")</f>
      </c>
      <c r="K2766" s="29">
        <f>IFERROR(J2766*D2766,0)</f>
      </c>
      <c r="L2766" s="29">
        <f>IFERROR(E2766*C2766,0)</f>
      </c>
      <c r="M2766" s="29">
        <f>IFERROR((G2766*H2766*I2766/1000000)*D2766,0)</f>
      </c>
    </row>
    <row r="2767" spans="1:13" x14ac:dyDescent="0.25">
      <c r="A2767" s="16"/>
      <c r="E2767" s="27"/>
      <c r="F2767" t="s">
        <v>26</v>
      </c>
      <c r="G2767" s="28">
        <f>IFERROR(VLOOKUP(F2767,CARTON_LOOKUP!$A:$E,3,0),"")</f>
      </c>
      <c r="H2767" s="28">
        <f>IFERROR(VLOOKUP(F2767,CARTON_LOOKUP!$A:$E,4,0),"")</f>
      </c>
      <c r="I2767" s="28">
        <f>IFERROR(VLOOKUP(F2767,CARTON_LOOKUP!$A:$E,5,0),"")</f>
      </c>
      <c r="J2767" s="29">
        <f>IFERROR(VLOOKUP(F2767,CARTON_LOOKUP!$A:$E,2,0),"")</f>
      </c>
      <c r="K2767" s="29">
        <f>IFERROR(J2767*D2767,0)</f>
      </c>
      <c r="L2767" s="29">
        <f>IFERROR(E2767*C2767,0)</f>
      </c>
      <c r="M2767" s="29">
        <f>IFERROR((G2767*H2767*I2767/1000000)*D2767,0)</f>
      </c>
    </row>
    <row r="2768" spans="1:13" x14ac:dyDescent="0.25">
      <c r="A2768" s="16"/>
      <c r="E2768" s="27"/>
      <c r="F2768" t="s">
        <v>26</v>
      </c>
      <c r="G2768" s="28">
        <f>IFERROR(VLOOKUP(F2768,CARTON_LOOKUP!$A:$E,3,0),"")</f>
      </c>
      <c r="H2768" s="28">
        <f>IFERROR(VLOOKUP(F2768,CARTON_LOOKUP!$A:$E,4,0),"")</f>
      </c>
      <c r="I2768" s="28">
        <f>IFERROR(VLOOKUP(F2768,CARTON_LOOKUP!$A:$E,5,0),"")</f>
      </c>
      <c r="J2768" s="29">
        <f>IFERROR(VLOOKUP(F2768,CARTON_LOOKUP!$A:$E,2,0),"")</f>
      </c>
      <c r="K2768" s="29">
        <f>IFERROR(J2768*D2768,0)</f>
      </c>
      <c r="L2768" s="29">
        <f>IFERROR(E2768*C2768,0)</f>
      </c>
      <c r="M2768" s="29">
        <f>IFERROR((G2768*H2768*I2768/1000000)*D2768,0)</f>
      </c>
    </row>
    <row r="2769" spans="1:13" x14ac:dyDescent="0.25">
      <c r="A2769" s="16"/>
      <c r="E2769" s="27"/>
      <c r="F2769" t="s">
        <v>26</v>
      </c>
      <c r="G2769" s="28">
        <f>IFERROR(VLOOKUP(F2769,CARTON_LOOKUP!$A:$E,3,0),"")</f>
      </c>
      <c r="H2769" s="28">
        <f>IFERROR(VLOOKUP(F2769,CARTON_LOOKUP!$A:$E,4,0),"")</f>
      </c>
      <c r="I2769" s="28">
        <f>IFERROR(VLOOKUP(F2769,CARTON_LOOKUP!$A:$E,5,0),"")</f>
      </c>
      <c r="J2769" s="29">
        <f>IFERROR(VLOOKUP(F2769,CARTON_LOOKUP!$A:$E,2,0),"")</f>
      </c>
      <c r="K2769" s="29">
        <f>IFERROR(J2769*D2769,0)</f>
      </c>
      <c r="L2769" s="29">
        <f>IFERROR(E2769*C2769,0)</f>
      </c>
      <c r="M2769" s="29">
        <f>IFERROR((G2769*H2769*I2769/1000000)*D2769,0)</f>
      </c>
    </row>
    <row r="2770" spans="1:13" x14ac:dyDescent="0.25">
      <c r="A2770" s="16"/>
      <c r="E2770" s="27"/>
      <c r="F2770" t="s">
        <v>26</v>
      </c>
      <c r="G2770" s="28">
        <f>IFERROR(VLOOKUP(F2770,CARTON_LOOKUP!$A:$E,3,0),"")</f>
      </c>
      <c r="H2770" s="28">
        <f>IFERROR(VLOOKUP(F2770,CARTON_LOOKUP!$A:$E,4,0),"")</f>
      </c>
      <c r="I2770" s="28">
        <f>IFERROR(VLOOKUP(F2770,CARTON_LOOKUP!$A:$E,5,0),"")</f>
      </c>
      <c r="J2770" s="29">
        <f>IFERROR(VLOOKUP(F2770,CARTON_LOOKUP!$A:$E,2,0),"")</f>
      </c>
      <c r="K2770" s="29">
        <f>IFERROR(J2770*D2770,0)</f>
      </c>
      <c r="L2770" s="29">
        <f>IFERROR(E2770*C2770,0)</f>
      </c>
      <c r="M2770" s="29">
        <f>IFERROR((G2770*H2770*I2770/1000000)*D2770,0)</f>
      </c>
    </row>
    <row r="2771" spans="1:13" x14ac:dyDescent="0.25">
      <c r="A2771" s="16"/>
      <c r="E2771" s="27"/>
      <c r="F2771" t="s">
        <v>26</v>
      </c>
      <c r="G2771" s="28">
        <f>IFERROR(VLOOKUP(F2771,CARTON_LOOKUP!$A:$E,3,0),"")</f>
      </c>
      <c r="H2771" s="28">
        <f>IFERROR(VLOOKUP(F2771,CARTON_LOOKUP!$A:$E,4,0),"")</f>
      </c>
      <c r="I2771" s="28">
        <f>IFERROR(VLOOKUP(F2771,CARTON_LOOKUP!$A:$E,5,0),"")</f>
      </c>
      <c r="J2771" s="29">
        <f>IFERROR(VLOOKUP(F2771,CARTON_LOOKUP!$A:$E,2,0),"")</f>
      </c>
      <c r="K2771" s="29">
        <f>IFERROR(J2771*D2771,0)</f>
      </c>
      <c r="L2771" s="29">
        <f>IFERROR(E2771*C2771,0)</f>
      </c>
      <c r="M2771" s="29">
        <f>IFERROR((G2771*H2771*I2771/1000000)*D2771,0)</f>
      </c>
    </row>
    <row r="2772" spans="1:13" x14ac:dyDescent="0.25">
      <c r="A2772" s="16"/>
      <c r="E2772" s="27"/>
      <c r="F2772" t="s">
        <v>26</v>
      </c>
      <c r="G2772" s="28">
        <f>IFERROR(VLOOKUP(F2772,CARTON_LOOKUP!$A:$E,3,0),"")</f>
      </c>
      <c r="H2772" s="28">
        <f>IFERROR(VLOOKUP(F2772,CARTON_LOOKUP!$A:$E,4,0),"")</f>
      </c>
      <c r="I2772" s="28">
        <f>IFERROR(VLOOKUP(F2772,CARTON_LOOKUP!$A:$E,5,0),"")</f>
      </c>
      <c r="J2772" s="29">
        <f>IFERROR(VLOOKUP(F2772,CARTON_LOOKUP!$A:$E,2,0),"")</f>
      </c>
      <c r="K2772" s="29">
        <f>IFERROR(J2772*D2772,0)</f>
      </c>
      <c r="L2772" s="29">
        <f>IFERROR(E2772*C2772,0)</f>
      </c>
      <c r="M2772" s="29">
        <f>IFERROR((G2772*H2772*I2772/1000000)*D2772,0)</f>
      </c>
    </row>
    <row r="2773" spans="1:13" x14ac:dyDescent="0.25">
      <c r="A2773" s="16"/>
      <c r="E2773" s="27"/>
      <c r="F2773" t="s">
        <v>26</v>
      </c>
      <c r="G2773" s="28">
        <f>IFERROR(VLOOKUP(F2773,CARTON_LOOKUP!$A:$E,3,0),"")</f>
      </c>
      <c r="H2773" s="28">
        <f>IFERROR(VLOOKUP(F2773,CARTON_LOOKUP!$A:$E,4,0),"")</f>
      </c>
      <c r="I2773" s="28">
        <f>IFERROR(VLOOKUP(F2773,CARTON_LOOKUP!$A:$E,5,0),"")</f>
      </c>
      <c r="J2773" s="29">
        <f>IFERROR(VLOOKUP(F2773,CARTON_LOOKUP!$A:$E,2,0),"")</f>
      </c>
      <c r="K2773" s="29">
        <f>IFERROR(J2773*D2773,0)</f>
      </c>
      <c r="L2773" s="29">
        <f>IFERROR(E2773*C2773,0)</f>
      </c>
      <c r="M2773" s="29">
        <f>IFERROR((G2773*H2773*I2773/1000000)*D2773,0)</f>
      </c>
    </row>
    <row r="2774" spans="1:13" x14ac:dyDescent="0.25">
      <c r="A2774" s="16"/>
      <c r="E2774" s="27"/>
      <c r="F2774" t="s">
        <v>26</v>
      </c>
      <c r="G2774" s="28">
        <f>IFERROR(VLOOKUP(F2774,CARTON_LOOKUP!$A:$E,3,0),"")</f>
      </c>
      <c r="H2774" s="28">
        <f>IFERROR(VLOOKUP(F2774,CARTON_LOOKUP!$A:$E,4,0),"")</f>
      </c>
      <c r="I2774" s="28">
        <f>IFERROR(VLOOKUP(F2774,CARTON_LOOKUP!$A:$E,5,0),"")</f>
      </c>
      <c r="J2774" s="29">
        <f>IFERROR(VLOOKUP(F2774,CARTON_LOOKUP!$A:$E,2,0),"")</f>
      </c>
      <c r="K2774" s="29">
        <f>IFERROR(J2774*D2774,0)</f>
      </c>
      <c r="L2774" s="29">
        <f>IFERROR(E2774*C2774,0)</f>
      </c>
      <c r="M2774" s="29">
        <f>IFERROR((G2774*H2774*I2774/1000000)*D2774,0)</f>
      </c>
    </row>
    <row r="2775" spans="1:13" x14ac:dyDescent="0.25">
      <c r="A2775" s="16"/>
      <c r="E2775" s="27"/>
      <c r="F2775" t="s">
        <v>26</v>
      </c>
      <c r="G2775" s="28">
        <f>IFERROR(VLOOKUP(F2775,CARTON_LOOKUP!$A:$E,3,0),"")</f>
      </c>
      <c r="H2775" s="28">
        <f>IFERROR(VLOOKUP(F2775,CARTON_LOOKUP!$A:$E,4,0),"")</f>
      </c>
      <c r="I2775" s="28">
        <f>IFERROR(VLOOKUP(F2775,CARTON_LOOKUP!$A:$E,5,0),"")</f>
      </c>
      <c r="J2775" s="29">
        <f>IFERROR(VLOOKUP(F2775,CARTON_LOOKUP!$A:$E,2,0),"")</f>
      </c>
      <c r="K2775" s="29">
        <f>IFERROR(J2775*D2775,0)</f>
      </c>
      <c r="L2775" s="29">
        <f>IFERROR(E2775*C2775,0)</f>
      </c>
      <c r="M2775" s="29">
        <f>IFERROR((G2775*H2775*I2775/1000000)*D2775,0)</f>
      </c>
    </row>
    <row r="2776" spans="1:13" x14ac:dyDescent="0.25">
      <c r="A2776" s="16"/>
      <c r="E2776" s="27"/>
      <c r="F2776" t="s">
        <v>26</v>
      </c>
      <c r="G2776" s="28">
        <f>IFERROR(VLOOKUP(F2776,CARTON_LOOKUP!$A:$E,3,0),"")</f>
      </c>
      <c r="H2776" s="28">
        <f>IFERROR(VLOOKUP(F2776,CARTON_LOOKUP!$A:$E,4,0),"")</f>
      </c>
      <c r="I2776" s="28">
        <f>IFERROR(VLOOKUP(F2776,CARTON_LOOKUP!$A:$E,5,0),"")</f>
      </c>
      <c r="J2776" s="29">
        <f>IFERROR(VLOOKUP(F2776,CARTON_LOOKUP!$A:$E,2,0),"")</f>
      </c>
      <c r="K2776" s="29">
        <f>IFERROR(J2776*D2776,0)</f>
      </c>
      <c r="L2776" s="29">
        <f>IFERROR(E2776*C2776,0)</f>
      </c>
      <c r="M2776" s="29">
        <f>IFERROR((G2776*H2776*I2776/1000000)*D2776,0)</f>
      </c>
    </row>
    <row r="2777" spans="1:13" x14ac:dyDescent="0.25">
      <c r="A2777" s="16"/>
      <c r="E2777" s="27"/>
      <c r="F2777" t="s">
        <v>26</v>
      </c>
      <c r="G2777" s="28">
        <f>IFERROR(VLOOKUP(F2777,CARTON_LOOKUP!$A:$E,3,0),"")</f>
      </c>
      <c r="H2777" s="28">
        <f>IFERROR(VLOOKUP(F2777,CARTON_LOOKUP!$A:$E,4,0),"")</f>
      </c>
      <c r="I2777" s="28">
        <f>IFERROR(VLOOKUP(F2777,CARTON_LOOKUP!$A:$E,5,0),"")</f>
      </c>
      <c r="J2777" s="29">
        <f>IFERROR(VLOOKUP(F2777,CARTON_LOOKUP!$A:$E,2,0),"")</f>
      </c>
      <c r="K2777" s="29">
        <f>IFERROR(J2777*D2777,0)</f>
      </c>
      <c r="L2777" s="29">
        <f>IFERROR(E2777*C2777,0)</f>
      </c>
      <c r="M2777" s="29">
        <f>IFERROR((G2777*H2777*I2777/1000000)*D2777,0)</f>
      </c>
    </row>
    <row r="2778" spans="1:13" x14ac:dyDescent="0.25">
      <c r="A2778" s="16"/>
      <c r="E2778" s="27"/>
      <c r="F2778" t="s">
        <v>26</v>
      </c>
      <c r="G2778" s="28">
        <f>IFERROR(VLOOKUP(F2778,CARTON_LOOKUP!$A:$E,3,0),"")</f>
      </c>
      <c r="H2778" s="28">
        <f>IFERROR(VLOOKUP(F2778,CARTON_LOOKUP!$A:$E,4,0),"")</f>
      </c>
      <c r="I2778" s="28">
        <f>IFERROR(VLOOKUP(F2778,CARTON_LOOKUP!$A:$E,5,0),"")</f>
      </c>
      <c r="J2778" s="29">
        <f>IFERROR(VLOOKUP(F2778,CARTON_LOOKUP!$A:$E,2,0),"")</f>
      </c>
      <c r="K2778" s="29">
        <f>IFERROR(J2778*D2778,0)</f>
      </c>
      <c r="L2778" s="29">
        <f>IFERROR(E2778*C2778,0)</f>
      </c>
      <c r="M2778" s="29">
        <f>IFERROR((G2778*H2778*I2778/1000000)*D2778,0)</f>
      </c>
    </row>
    <row r="2779" spans="1:13" x14ac:dyDescent="0.25">
      <c r="A2779" s="16"/>
      <c r="E2779" s="27"/>
      <c r="F2779" t="s">
        <v>26</v>
      </c>
      <c r="G2779" s="28">
        <f>IFERROR(VLOOKUP(F2779,CARTON_LOOKUP!$A:$E,3,0),"")</f>
      </c>
      <c r="H2779" s="28">
        <f>IFERROR(VLOOKUP(F2779,CARTON_LOOKUP!$A:$E,4,0),"")</f>
      </c>
      <c r="I2779" s="28">
        <f>IFERROR(VLOOKUP(F2779,CARTON_LOOKUP!$A:$E,5,0),"")</f>
      </c>
      <c r="J2779" s="29">
        <f>IFERROR(VLOOKUP(F2779,CARTON_LOOKUP!$A:$E,2,0),"")</f>
      </c>
      <c r="K2779" s="29">
        <f>IFERROR(J2779*D2779,0)</f>
      </c>
      <c r="L2779" s="29">
        <f>IFERROR(E2779*C2779,0)</f>
      </c>
      <c r="M2779" s="29">
        <f>IFERROR((G2779*H2779*I2779/1000000)*D2779,0)</f>
      </c>
    </row>
    <row r="2780" spans="1:13" x14ac:dyDescent="0.25">
      <c r="A2780" s="16"/>
      <c r="E2780" s="27"/>
      <c r="F2780" t="s">
        <v>26</v>
      </c>
      <c r="G2780" s="28">
        <f>IFERROR(VLOOKUP(F2780,CARTON_LOOKUP!$A:$E,3,0),"")</f>
      </c>
      <c r="H2780" s="28">
        <f>IFERROR(VLOOKUP(F2780,CARTON_LOOKUP!$A:$E,4,0),"")</f>
      </c>
      <c r="I2780" s="28">
        <f>IFERROR(VLOOKUP(F2780,CARTON_LOOKUP!$A:$E,5,0),"")</f>
      </c>
      <c r="J2780" s="29">
        <f>IFERROR(VLOOKUP(F2780,CARTON_LOOKUP!$A:$E,2,0),"")</f>
      </c>
      <c r="K2780" s="29">
        <f>IFERROR(J2780*D2780,0)</f>
      </c>
      <c r="L2780" s="29">
        <f>IFERROR(E2780*C2780,0)</f>
      </c>
      <c r="M2780" s="29">
        <f>IFERROR((G2780*H2780*I2780/1000000)*D2780,0)</f>
      </c>
    </row>
    <row r="2781" spans="1:13" x14ac:dyDescent="0.25">
      <c r="A2781" s="16"/>
      <c r="E2781" s="27"/>
      <c r="F2781" t="s">
        <v>26</v>
      </c>
      <c r="G2781" s="28">
        <f>IFERROR(VLOOKUP(F2781,CARTON_LOOKUP!$A:$E,3,0),"")</f>
      </c>
      <c r="H2781" s="28">
        <f>IFERROR(VLOOKUP(F2781,CARTON_LOOKUP!$A:$E,4,0),"")</f>
      </c>
      <c r="I2781" s="28">
        <f>IFERROR(VLOOKUP(F2781,CARTON_LOOKUP!$A:$E,5,0),"")</f>
      </c>
      <c r="J2781" s="29">
        <f>IFERROR(VLOOKUP(F2781,CARTON_LOOKUP!$A:$E,2,0),"")</f>
      </c>
      <c r="K2781" s="29">
        <f>IFERROR(J2781*D2781,0)</f>
      </c>
      <c r="L2781" s="29">
        <f>IFERROR(E2781*C2781,0)</f>
      </c>
      <c r="M2781" s="29">
        <f>IFERROR((G2781*H2781*I2781/1000000)*D2781,0)</f>
      </c>
    </row>
    <row r="2782" spans="1:13" x14ac:dyDescent="0.25">
      <c r="A2782" s="16"/>
      <c r="E2782" s="27"/>
      <c r="F2782" t="s">
        <v>26</v>
      </c>
      <c r="G2782" s="28">
        <f>IFERROR(VLOOKUP(F2782,CARTON_LOOKUP!$A:$E,3,0),"")</f>
      </c>
      <c r="H2782" s="28">
        <f>IFERROR(VLOOKUP(F2782,CARTON_LOOKUP!$A:$E,4,0),"")</f>
      </c>
      <c r="I2782" s="28">
        <f>IFERROR(VLOOKUP(F2782,CARTON_LOOKUP!$A:$E,5,0),"")</f>
      </c>
      <c r="J2782" s="29">
        <f>IFERROR(VLOOKUP(F2782,CARTON_LOOKUP!$A:$E,2,0),"")</f>
      </c>
      <c r="K2782" s="29">
        <f>IFERROR(J2782*D2782,0)</f>
      </c>
      <c r="L2782" s="29">
        <f>IFERROR(E2782*C2782,0)</f>
      </c>
      <c r="M2782" s="29">
        <f>IFERROR((G2782*H2782*I2782/1000000)*D2782,0)</f>
      </c>
    </row>
    <row r="2783" spans="1:13" x14ac:dyDescent="0.25">
      <c r="A2783" s="16"/>
      <c r="E2783" s="27"/>
      <c r="F2783" t="s">
        <v>26</v>
      </c>
      <c r="G2783" s="28">
        <f>IFERROR(VLOOKUP(F2783,CARTON_LOOKUP!$A:$E,3,0),"")</f>
      </c>
      <c r="H2783" s="28">
        <f>IFERROR(VLOOKUP(F2783,CARTON_LOOKUP!$A:$E,4,0),"")</f>
      </c>
      <c r="I2783" s="28">
        <f>IFERROR(VLOOKUP(F2783,CARTON_LOOKUP!$A:$E,5,0),"")</f>
      </c>
      <c r="J2783" s="29">
        <f>IFERROR(VLOOKUP(F2783,CARTON_LOOKUP!$A:$E,2,0),"")</f>
      </c>
      <c r="K2783" s="29">
        <f>IFERROR(J2783*D2783,0)</f>
      </c>
      <c r="L2783" s="29">
        <f>IFERROR(E2783*C2783,0)</f>
      </c>
      <c r="M2783" s="29">
        <f>IFERROR((G2783*H2783*I2783/1000000)*D2783,0)</f>
      </c>
    </row>
    <row r="2784" spans="1:13" x14ac:dyDescent="0.25">
      <c r="A2784" s="16"/>
      <c r="E2784" s="27"/>
      <c r="F2784" t="s">
        <v>26</v>
      </c>
      <c r="G2784" s="28">
        <f>IFERROR(VLOOKUP(F2784,CARTON_LOOKUP!$A:$E,3,0),"")</f>
      </c>
      <c r="H2784" s="28">
        <f>IFERROR(VLOOKUP(F2784,CARTON_LOOKUP!$A:$E,4,0),"")</f>
      </c>
      <c r="I2784" s="28">
        <f>IFERROR(VLOOKUP(F2784,CARTON_LOOKUP!$A:$E,5,0),"")</f>
      </c>
      <c r="J2784" s="29">
        <f>IFERROR(VLOOKUP(F2784,CARTON_LOOKUP!$A:$E,2,0),"")</f>
      </c>
      <c r="K2784" s="29">
        <f>IFERROR(J2784*D2784,0)</f>
      </c>
      <c r="L2784" s="29">
        <f>IFERROR(E2784*C2784,0)</f>
      </c>
      <c r="M2784" s="29">
        <f>IFERROR((G2784*H2784*I2784/1000000)*D2784,0)</f>
      </c>
    </row>
    <row r="2785" spans="1:13" x14ac:dyDescent="0.25">
      <c r="A2785" s="16"/>
      <c r="E2785" s="27"/>
      <c r="F2785" t="s">
        <v>26</v>
      </c>
      <c r="G2785" s="28">
        <f>IFERROR(VLOOKUP(F2785,CARTON_LOOKUP!$A:$E,3,0),"")</f>
      </c>
      <c r="H2785" s="28">
        <f>IFERROR(VLOOKUP(F2785,CARTON_LOOKUP!$A:$E,4,0),"")</f>
      </c>
      <c r="I2785" s="28">
        <f>IFERROR(VLOOKUP(F2785,CARTON_LOOKUP!$A:$E,5,0),"")</f>
      </c>
      <c r="J2785" s="29">
        <f>IFERROR(VLOOKUP(F2785,CARTON_LOOKUP!$A:$E,2,0),"")</f>
      </c>
      <c r="K2785" s="29">
        <f>IFERROR(J2785*D2785,0)</f>
      </c>
      <c r="L2785" s="29">
        <f>IFERROR(E2785*C2785,0)</f>
      </c>
      <c r="M2785" s="29">
        <f>IFERROR((G2785*H2785*I2785/1000000)*D2785,0)</f>
      </c>
    </row>
    <row r="2786" spans="1:13" x14ac:dyDescent="0.25">
      <c r="A2786" s="16"/>
      <c r="E2786" s="27"/>
      <c r="F2786" t="s">
        <v>26</v>
      </c>
      <c r="G2786" s="28">
        <f>IFERROR(VLOOKUP(F2786,CARTON_LOOKUP!$A:$E,3,0),"")</f>
      </c>
      <c r="H2786" s="28">
        <f>IFERROR(VLOOKUP(F2786,CARTON_LOOKUP!$A:$E,4,0),"")</f>
      </c>
      <c r="I2786" s="28">
        <f>IFERROR(VLOOKUP(F2786,CARTON_LOOKUP!$A:$E,5,0),"")</f>
      </c>
      <c r="J2786" s="29">
        <f>IFERROR(VLOOKUP(F2786,CARTON_LOOKUP!$A:$E,2,0),"")</f>
      </c>
      <c r="K2786" s="29">
        <f>IFERROR(J2786*D2786,0)</f>
      </c>
      <c r="L2786" s="29">
        <f>IFERROR(E2786*C2786,0)</f>
      </c>
      <c r="M2786" s="29">
        <f>IFERROR((G2786*H2786*I2786/1000000)*D2786,0)</f>
      </c>
    </row>
    <row r="2787" spans="1:13" x14ac:dyDescent="0.25">
      <c r="A2787" s="16"/>
      <c r="E2787" s="27"/>
      <c r="F2787" t="s">
        <v>26</v>
      </c>
      <c r="G2787" s="28">
        <f>IFERROR(VLOOKUP(F2787,CARTON_LOOKUP!$A:$E,3,0),"")</f>
      </c>
      <c r="H2787" s="28">
        <f>IFERROR(VLOOKUP(F2787,CARTON_LOOKUP!$A:$E,4,0),"")</f>
      </c>
      <c r="I2787" s="28">
        <f>IFERROR(VLOOKUP(F2787,CARTON_LOOKUP!$A:$E,5,0),"")</f>
      </c>
      <c r="J2787" s="29">
        <f>IFERROR(VLOOKUP(F2787,CARTON_LOOKUP!$A:$E,2,0),"")</f>
      </c>
      <c r="K2787" s="29">
        <f>IFERROR(J2787*D2787,0)</f>
      </c>
      <c r="L2787" s="29">
        <f>IFERROR(E2787*C2787,0)</f>
      </c>
      <c r="M2787" s="29">
        <f>IFERROR((G2787*H2787*I2787/1000000)*D2787,0)</f>
      </c>
    </row>
    <row r="2788" spans="1:13" x14ac:dyDescent="0.25">
      <c r="A2788" s="16"/>
      <c r="E2788" s="27"/>
      <c r="F2788" t="s">
        <v>26</v>
      </c>
      <c r="G2788" s="28">
        <f>IFERROR(VLOOKUP(F2788,CARTON_LOOKUP!$A:$E,3,0),"")</f>
      </c>
      <c r="H2788" s="28">
        <f>IFERROR(VLOOKUP(F2788,CARTON_LOOKUP!$A:$E,4,0),"")</f>
      </c>
      <c r="I2788" s="28">
        <f>IFERROR(VLOOKUP(F2788,CARTON_LOOKUP!$A:$E,5,0),"")</f>
      </c>
      <c r="J2788" s="29">
        <f>IFERROR(VLOOKUP(F2788,CARTON_LOOKUP!$A:$E,2,0),"")</f>
      </c>
      <c r="K2788" s="29">
        <f>IFERROR(J2788*D2788,0)</f>
      </c>
      <c r="L2788" s="29">
        <f>IFERROR(E2788*C2788,0)</f>
      </c>
      <c r="M2788" s="29">
        <f>IFERROR((G2788*H2788*I2788/1000000)*D2788,0)</f>
      </c>
    </row>
    <row r="2789" spans="1:13" x14ac:dyDescent="0.25">
      <c r="A2789" s="16"/>
      <c r="E2789" s="27"/>
      <c r="F2789" t="s">
        <v>26</v>
      </c>
      <c r="G2789" s="28">
        <f>IFERROR(VLOOKUP(F2789,CARTON_LOOKUP!$A:$E,3,0),"")</f>
      </c>
      <c r="H2789" s="28">
        <f>IFERROR(VLOOKUP(F2789,CARTON_LOOKUP!$A:$E,4,0),"")</f>
      </c>
      <c r="I2789" s="28">
        <f>IFERROR(VLOOKUP(F2789,CARTON_LOOKUP!$A:$E,5,0),"")</f>
      </c>
      <c r="J2789" s="29">
        <f>IFERROR(VLOOKUP(F2789,CARTON_LOOKUP!$A:$E,2,0),"")</f>
      </c>
      <c r="K2789" s="29">
        <f>IFERROR(J2789*D2789,0)</f>
      </c>
      <c r="L2789" s="29">
        <f>IFERROR(E2789*C2789,0)</f>
      </c>
      <c r="M2789" s="29">
        <f>IFERROR((G2789*H2789*I2789/1000000)*D2789,0)</f>
      </c>
    </row>
    <row r="2790" spans="1:13" x14ac:dyDescent="0.25">
      <c r="A2790" s="16"/>
      <c r="E2790" s="27"/>
      <c r="F2790" t="s">
        <v>26</v>
      </c>
      <c r="G2790" s="28">
        <f>IFERROR(VLOOKUP(F2790,CARTON_LOOKUP!$A:$E,3,0),"")</f>
      </c>
      <c r="H2790" s="28">
        <f>IFERROR(VLOOKUP(F2790,CARTON_LOOKUP!$A:$E,4,0),"")</f>
      </c>
      <c r="I2790" s="28">
        <f>IFERROR(VLOOKUP(F2790,CARTON_LOOKUP!$A:$E,5,0),"")</f>
      </c>
      <c r="J2790" s="29">
        <f>IFERROR(VLOOKUP(F2790,CARTON_LOOKUP!$A:$E,2,0),"")</f>
      </c>
      <c r="K2790" s="29">
        <f>IFERROR(J2790*D2790,0)</f>
      </c>
      <c r="L2790" s="29">
        <f>IFERROR(E2790*C2790,0)</f>
      </c>
      <c r="M2790" s="29">
        <f>IFERROR((G2790*H2790*I2790/1000000)*D2790,0)</f>
      </c>
    </row>
    <row r="2791" spans="1:13" x14ac:dyDescent="0.25">
      <c r="A2791" s="16"/>
      <c r="E2791" s="27"/>
      <c r="F2791" t="s">
        <v>26</v>
      </c>
      <c r="G2791" s="28">
        <f>IFERROR(VLOOKUP(F2791,CARTON_LOOKUP!$A:$E,3,0),"")</f>
      </c>
      <c r="H2791" s="28">
        <f>IFERROR(VLOOKUP(F2791,CARTON_LOOKUP!$A:$E,4,0),"")</f>
      </c>
      <c r="I2791" s="28">
        <f>IFERROR(VLOOKUP(F2791,CARTON_LOOKUP!$A:$E,5,0),"")</f>
      </c>
      <c r="J2791" s="29">
        <f>IFERROR(VLOOKUP(F2791,CARTON_LOOKUP!$A:$E,2,0),"")</f>
      </c>
      <c r="K2791" s="29">
        <f>IFERROR(J2791*D2791,0)</f>
      </c>
      <c r="L2791" s="29">
        <f>IFERROR(E2791*C2791,0)</f>
      </c>
      <c r="M2791" s="29">
        <f>IFERROR((G2791*H2791*I2791/1000000)*D2791,0)</f>
      </c>
    </row>
    <row r="2792" spans="1:13" x14ac:dyDescent="0.25">
      <c r="A2792" s="16"/>
      <c r="E2792" s="27"/>
      <c r="F2792" t="s">
        <v>26</v>
      </c>
      <c r="G2792" s="28">
        <f>IFERROR(VLOOKUP(F2792,CARTON_LOOKUP!$A:$E,3,0),"")</f>
      </c>
      <c r="H2792" s="28">
        <f>IFERROR(VLOOKUP(F2792,CARTON_LOOKUP!$A:$E,4,0),"")</f>
      </c>
      <c r="I2792" s="28">
        <f>IFERROR(VLOOKUP(F2792,CARTON_LOOKUP!$A:$E,5,0),"")</f>
      </c>
      <c r="J2792" s="29">
        <f>IFERROR(VLOOKUP(F2792,CARTON_LOOKUP!$A:$E,2,0),"")</f>
      </c>
      <c r="K2792" s="29">
        <f>IFERROR(J2792*D2792,0)</f>
      </c>
      <c r="L2792" s="29">
        <f>IFERROR(E2792*C2792,0)</f>
      </c>
      <c r="M2792" s="29">
        <f>IFERROR((G2792*H2792*I2792/1000000)*D2792,0)</f>
      </c>
    </row>
    <row r="2793" spans="1:13" x14ac:dyDescent="0.25">
      <c r="A2793" s="16"/>
      <c r="E2793" s="27"/>
      <c r="F2793" t="s">
        <v>26</v>
      </c>
      <c r="G2793" s="28">
        <f>IFERROR(VLOOKUP(F2793,CARTON_LOOKUP!$A:$E,3,0),"")</f>
      </c>
      <c r="H2793" s="28">
        <f>IFERROR(VLOOKUP(F2793,CARTON_LOOKUP!$A:$E,4,0),"")</f>
      </c>
      <c r="I2793" s="28">
        <f>IFERROR(VLOOKUP(F2793,CARTON_LOOKUP!$A:$E,5,0),"")</f>
      </c>
      <c r="J2793" s="29">
        <f>IFERROR(VLOOKUP(F2793,CARTON_LOOKUP!$A:$E,2,0),"")</f>
      </c>
      <c r="K2793" s="29">
        <f>IFERROR(J2793*D2793,0)</f>
      </c>
      <c r="L2793" s="29">
        <f>IFERROR(E2793*C2793,0)</f>
      </c>
      <c r="M2793" s="29">
        <f>IFERROR((G2793*H2793*I2793/1000000)*D2793,0)</f>
      </c>
    </row>
    <row r="2794" spans="1:13" x14ac:dyDescent="0.25">
      <c r="A2794" s="16"/>
      <c r="E2794" s="27"/>
      <c r="F2794" t="s">
        <v>26</v>
      </c>
      <c r="G2794" s="28">
        <f>IFERROR(VLOOKUP(F2794,CARTON_LOOKUP!$A:$E,3,0),"")</f>
      </c>
      <c r="H2794" s="28">
        <f>IFERROR(VLOOKUP(F2794,CARTON_LOOKUP!$A:$E,4,0),"")</f>
      </c>
      <c r="I2794" s="28">
        <f>IFERROR(VLOOKUP(F2794,CARTON_LOOKUP!$A:$E,5,0),"")</f>
      </c>
      <c r="J2794" s="29">
        <f>IFERROR(VLOOKUP(F2794,CARTON_LOOKUP!$A:$E,2,0),"")</f>
      </c>
      <c r="K2794" s="29">
        <f>IFERROR(J2794*D2794,0)</f>
      </c>
      <c r="L2794" s="29">
        <f>IFERROR(E2794*C2794,0)</f>
      </c>
      <c r="M2794" s="29">
        <f>IFERROR((G2794*H2794*I2794/1000000)*D2794,0)</f>
      </c>
    </row>
    <row r="2795" spans="1:13" x14ac:dyDescent="0.25">
      <c r="A2795" s="16"/>
      <c r="E2795" s="27"/>
      <c r="F2795" t="s">
        <v>26</v>
      </c>
      <c r="G2795" s="28">
        <f>IFERROR(VLOOKUP(F2795,CARTON_LOOKUP!$A:$E,3,0),"")</f>
      </c>
      <c r="H2795" s="28">
        <f>IFERROR(VLOOKUP(F2795,CARTON_LOOKUP!$A:$E,4,0),"")</f>
      </c>
      <c r="I2795" s="28">
        <f>IFERROR(VLOOKUP(F2795,CARTON_LOOKUP!$A:$E,5,0),"")</f>
      </c>
      <c r="J2795" s="29">
        <f>IFERROR(VLOOKUP(F2795,CARTON_LOOKUP!$A:$E,2,0),"")</f>
      </c>
      <c r="K2795" s="29">
        <f>IFERROR(J2795*D2795,0)</f>
      </c>
      <c r="L2795" s="29">
        <f>IFERROR(E2795*C2795,0)</f>
      </c>
      <c r="M2795" s="29">
        <f>IFERROR((G2795*H2795*I2795/1000000)*D2795,0)</f>
      </c>
    </row>
    <row r="2796" spans="1:13" x14ac:dyDescent="0.25">
      <c r="A2796" s="16"/>
      <c r="E2796" s="27"/>
      <c r="F2796" t="s">
        <v>26</v>
      </c>
      <c r="G2796" s="28">
        <f>IFERROR(VLOOKUP(F2796,CARTON_LOOKUP!$A:$E,3,0),"")</f>
      </c>
      <c r="H2796" s="28">
        <f>IFERROR(VLOOKUP(F2796,CARTON_LOOKUP!$A:$E,4,0),"")</f>
      </c>
      <c r="I2796" s="28">
        <f>IFERROR(VLOOKUP(F2796,CARTON_LOOKUP!$A:$E,5,0),"")</f>
      </c>
      <c r="J2796" s="29">
        <f>IFERROR(VLOOKUP(F2796,CARTON_LOOKUP!$A:$E,2,0),"")</f>
      </c>
      <c r="K2796" s="29">
        <f>IFERROR(J2796*D2796,0)</f>
      </c>
      <c r="L2796" s="29">
        <f>IFERROR(E2796*C2796,0)</f>
      </c>
      <c r="M2796" s="29">
        <f>IFERROR((G2796*H2796*I2796/1000000)*D2796,0)</f>
      </c>
    </row>
    <row r="2797" spans="1:13" x14ac:dyDescent="0.25">
      <c r="A2797" s="16"/>
      <c r="E2797" s="27"/>
      <c r="F2797" t="s">
        <v>26</v>
      </c>
      <c r="G2797" s="28">
        <f>IFERROR(VLOOKUP(F2797,CARTON_LOOKUP!$A:$E,3,0),"")</f>
      </c>
      <c r="H2797" s="28">
        <f>IFERROR(VLOOKUP(F2797,CARTON_LOOKUP!$A:$E,4,0),"")</f>
      </c>
      <c r="I2797" s="28">
        <f>IFERROR(VLOOKUP(F2797,CARTON_LOOKUP!$A:$E,5,0),"")</f>
      </c>
      <c r="J2797" s="29">
        <f>IFERROR(VLOOKUP(F2797,CARTON_LOOKUP!$A:$E,2,0),"")</f>
      </c>
      <c r="K2797" s="29">
        <f>IFERROR(J2797*D2797,0)</f>
      </c>
      <c r="L2797" s="29">
        <f>IFERROR(E2797*C2797,0)</f>
      </c>
      <c r="M2797" s="29">
        <f>IFERROR((G2797*H2797*I2797/1000000)*D2797,0)</f>
      </c>
    </row>
    <row r="2798" spans="1:13" x14ac:dyDescent="0.25">
      <c r="A2798" s="16"/>
      <c r="E2798" s="27"/>
      <c r="F2798" t="s">
        <v>26</v>
      </c>
      <c r="G2798" s="28">
        <f>IFERROR(VLOOKUP(F2798,CARTON_LOOKUP!$A:$E,3,0),"")</f>
      </c>
      <c r="H2798" s="28">
        <f>IFERROR(VLOOKUP(F2798,CARTON_LOOKUP!$A:$E,4,0),"")</f>
      </c>
      <c r="I2798" s="28">
        <f>IFERROR(VLOOKUP(F2798,CARTON_LOOKUP!$A:$E,5,0),"")</f>
      </c>
      <c r="J2798" s="29">
        <f>IFERROR(VLOOKUP(F2798,CARTON_LOOKUP!$A:$E,2,0),"")</f>
      </c>
      <c r="K2798" s="29">
        <f>IFERROR(J2798*D2798,0)</f>
      </c>
      <c r="L2798" s="29">
        <f>IFERROR(E2798*C2798,0)</f>
      </c>
      <c r="M2798" s="29">
        <f>IFERROR((G2798*H2798*I2798/1000000)*D2798,0)</f>
      </c>
    </row>
    <row r="2799" spans="1:13" x14ac:dyDescent="0.25">
      <c r="A2799" s="16"/>
      <c r="E2799" s="27"/>
      <c r="F2799" t="s">
        <v>26</v>
      </c>
      <c r="G2799" s="28">
        <f>IFERROR(VLOOKUP(F2799,CARTON_LOOKUP!$A:$E,3,0),"")</f>
      </c>
      <c r="H2799" s="28">
        <f>IFERROR(VLOOKUP(F2799,CARTON_LOOKUP!$A:$E,4,0),"")</f>
      </c>
      <c r="I2799" s="28">
        <f>IFERROR(VLOOKUP(F2799,CARTON_LOOKUP!$A:$E,5,0),"")</f>
      </c>
      <c r="J2799" s="29">
        <f>IFERROR(VLOOKUP(F2799,CARTON_LOOKUP!$A:$E,2,0),"")</f>
      </c>
      <c r="K2799" s="29">
        <f>IFERROR(J2799*D2799,0)</f>
      </c>
      <c r="L2799" s="29">
        <f>IFERROR(E2799*C2799,0)</f>
      </c>
      <c r="M2799" s="29">
        <f>IFERROR((G2799*H2799*I2799/1000000)*D2799,0)</f>
      </c>
    </row>
    <row r="2800" spans="1:13" x14ac:dyDescent="0.25">
      <c r="A2800" s="16"/>
      <c r="E2800" s="27"/>
      <c r="F2800" t="s">
        <v>26</v>
      </c>
      <c r="G2800" s="28">
        <f>IFERROR(VLOOKUP(F2800,CARTON_LOOKUP!$A:$E,3,0),"")</f>
      </c>
      <c r="H2800" s="28">
        <f>IFERROR(VLOOKUP(F2800,CARTON_LOOKUP!$A:$E,4,0),"")</f>
      </c>
      <c r="I2800" s="28">
        <f>IFERROR(VLOOKUP(F2800,CARTON_LOOKUP!$A:$E,5,0),"")</f>
      </c>
      <c r="J2800" s="29">
        <f>IFERROR(VLOOKUP(F2800,CARTON_LOOKUP!$A:$E,2,0),"")</f>
      </c>
      <c r="K2800" s="29">
        <f>IFERROR(J2800*D2800,0)</f>
      </c>
      <c r="L2800" s="29">
        <f>IFERROR(E2800*C2800,0)</f>
      </c>
      <c r="M2800" s="29">
        <f>IFERROR((G2800*H2800*I2800/1000000)*D2800,0)</f>
      </c>
    </row>
    <row r="2801" spans="1:13" x14ac:dyDescent="0.25">
      <c r="A2801" s="16"/>
      <c r="E2801" s="27"/>
      <c r="F2801" t="s">
        <v>26</v>
      </c>
      <c r="G2801" s="28">
        <f>IFERROR(VLOOKUP(F2801,CARTON_LOOKUP!$A:$E,3,0),"")</f>
      </c>
      <c r="H2801" s="28">
        <f>IFERROR(VLOOKUP(F2801,CARTON_LOOKUP!$A:$E,4,0),"")</f>
      </c>
      <c r="I2801" s="28">
        <f>IFERROR(VLOOKUP(F2801,CARTON_LOOKUP!$A:$E,5,0),"")</f>
      </c>
      <c r="J2801" s="29">
        <f>IFERROR(VLOOKUP(F2801,CARTON_LOOKUP!$A:$E,2,0),"")</f>
      </c>
      <c r="K2801" s="29">
        <f>IFERROR(J2801*D2801,0)</f>
      </c>
      <c r="L2801" s="29">
        <f>IFERROR(E2801*C2801,0)</f>
      </c>
      <c r="M2801" s="29">
        <f>IFERROR((G2801*H2801*I2801/1000000)*D2801,0)</f>
      </c>
    </row>
    <row r="2802" spans="1:13" x14ac:dyDescent="0.25">
      <c r="A2802" s="16"/>
      <c r="E2802" s="27"/>
      <c r="F2802" t="s">
        <v>26</v>
      </c>
      <c r="G2802" s="28">
        <f>IFERROR(VLOOKUP(F2802,CARTON_LOOKUP!$A:$E,3,0),"")</f>
      </c>
      <c r="H2802" s="28">
        <f>IFERROR(VLOOKUP(F2802,CARTON_LOOKUP!$A:$E,4,0),"")</f>
      </c>
      <c r="I2802" s="28">
        <f>IFERROR(VLOOKUP(F2802,CARTON_LOOKUP!$A:$E,5,0),"")</f>
      </c>
      <c r="J2802" s="29">
        <f>IFERROR(VLOOKUP(F2802,CARTON_LOOKUP!$A:$E,2,0),"")</f>
      </c>
      <c r="K2802" s="29">
        <f>IFERROR(J2802*D2802,0)</f>
      </c>
      <c r="L2802" s="29">
        <f>IFERROR(E2802*C2802,0)</f>
      </c>
      <c r="M2802" s="29">
        <f>IFERROR((G2802*H2802*I2802/1000000)*D2802,0)</f>
      </c>
    </row>
    <row r="2803" spans="1:13" x14ac:dyDescent="0.25">
      <c r="A2803" s="16"/>
      <c r="E2803" s="27"/>
      <c r="F2803" t="s">
        <v>26</v>
      </c>
      <c r="G2803" s="28">
        <f>IFERROR(VLOOKUP(F2803,CARTON_LOOKUP!$A:$E,3,0),"")</f>
      </c>
      <c r="H2803" s="28">
        <f>IFERROR(VLOOKUP(F2803,CARTON_LOOKUP!$A:$E,4,0),"")</f>
      </c>
      <c r="I2803" s="28">
        <f>IFERROR(VLOOKUP(F2803,CARTON_LOOKUP!$A:$E,5,0),"")</f>
      </c>
      <c r="J2803" s="29">
        <f>IFERROR(VLOOKUP(F2803,CARTON_LOOKUP!$A:$E,2,0),"")</f>
      </c>
      <c r="K2803" s="29">
        <f>IFERROR(J2803*D2803,0)</f>
      </c>
      <c r="L2803" s="29">
        <f>IFERROR(E2803*C2803,0)</f>
      </c>
      <c r="M2803" s="29">
        <f>IFERROR((G2803*H2803*I2803/1000000)*D2803,0)</f>
      </c>
    </row>
    <row r="2804" spans="1:13" x14ac:dyDescent="0.25">
      <c r="A2804" s="16"/>
      <c r="E2804" s="27"/>
      <c r="F2804" t="s">
        <v>26</v>
      </c>
      <c r="G2804" s="28">
        <f>IFERROR(VLOOKUP(F2804,CARTON_LOOKUP!$A:$E,3,0),"")</f>
      </c>
      <c r="H2804" s="28">
        <f>IFERROR(VLOOKUP(F2804,CARTON_LOOKUP!$A:$E,4,0),"")</f>
      </c>
      <c r="I2804" s="28">
        <f>IFERROR(VLOOKUP(F2804,CARTON_LOOKUP!$A:$E,5,0),"")</f>
      </c>
      <c r="J2804" s="29">
        <f>IFERROR(VLOOKUP(F2804,CARTON_LOOKUP!$A:$E,2,0),"")</f>
      </c>
      <c r="K2804" s="29">
        <f>IFERROR(J2804*D2804,0)</f>
      </c>
      <c r="L2804" s="29">
        <f>IFERROR(E2804*C2804,0)</f>
      </c>
      <c r="M2804" s="29">
        <f>IFERROR((G2804*H2804*I2804/1000000)*D2804,0)</f>
      </c>
    </row>
    <row r="2805" spans="1:13" x14ac:dyDescent="0.25">
      <c r="A2805" s="16"/>
      <c r="E2805" s="27"/>
      <c r="F2805" t="s">
        <v>26</v>
      </c>
      <c r="G2805" s="28">
        <f>IFERROR(VLOOKUP(F2805,CARTON_LOOKUP!$A:$E,3,0),"")</f>
      </c>
      <c r="H2805" s="28">
        <f>IFERROR(VLOOKUP(F2805,CARTON_LOOKUP!$A:$E,4,0),"")</f>
      </c>
      <c r="I2805" s="28">
        <f>IFERROR(VLOOKUP(F2805,CARTON_LOOKUP!$A:$E,5,0),"")</f>
      </c>
      <c r="J2805" s="29">
        <f>IFERROR(VLOOKUP(F2805,CARTON_LOOKUP!$A:$E,2,0),"")</f>
      </c>
      <c r="K2805" s="29">
        <f>IFERROR(J2805*D2805,0)</f>
      </c>
      <c r="L2805" s="29">
        <f>IFERROR(E2805*C2805,0)</f>
      </c>
      <c r="M2805" s="29">
        <f>IFERROR((G2805*H2805*I2805/1000000)*D2805,0)</f>
      </c>
    </row>
    <row r="2806" spans="1:13" x14ac:dyDescent="0.25">
      <c r="A2806" s="16"/>
      <c r="E2806" s="27"/>
      <c r="F2806" t="s">
        <v>26</v>
      </c>
      <c r="G2806" s="28">
        <f>IFERROR(VLOOKUP(F2806,CARTON_LOOKUP!$A:$E,3,0),"")</f>
      </c>
      <c r="H2806" s="28">
        <f>IFERROR(VLOOKUP(F2806,CARTON_LOOKUP!$A:$E,4,0),"")</f>
      </c>
      <c r="I2806" s="28">
        <f>IFERROR(VLOOKUP(F2806,CARTON_LOOKUP!$A:$E,5,0),"")</f>
      </c>
      <c r="J2806" s="29">
        <f>IFERROR(VLOOKUP(F2806,CARTON_LOOKUP!$A:$E,2,0),"")</f>
      </c>
      <c r="K2806" s="29">
        <f>IFERROR(J2806*D2806,0)</f>
      </c>
      <c r="L2806" s="29">
        <f>IFERROR(E2806*C2806,0)</f>
      </c>
      <c r="M2806" s="29">
        <f>IFERROR((G2806*H2806*I2806/1000000)*D2806,0)</f>
      </c>
    </row>
    <row r="2807" spans="1:13" x14ac:dyDescent="0.25">
      <c r="A2807" s="16"/>
      <c r="E2807" s="27"/>
      <c r="F2807" t="s">
        <v>26</v>
      </c>
      <c r="G2807" s="28">
        <f>IFERROR(VLOOKUP(F2807,CARTON_LOOKUP!$A:$E,3,0),"")</f>
      </c>
      <c r="H2807" s="28">
        <f>IFERROR(VLOOKUP(F2807,CARTON_LOOKUP!$A:$E,4,0),"")</f>
      </c>
      <c r="I2807" s="28">
        <f>IFERROR(VLOOKUP(F2807,CARTON_LOOKUP!$A:$E,5,0),"")</f>
      </c>
      <c r="J2807" s="29">
        <f>IFERROR(VLOOKUP(F2807,CARTON_LOOKUP!$A:$E,2,0),"")</f>
      </c>
      <c r="K2807" s="29">
        <f>IFERROR(J2807*D2807,0)</f>
      </c>
      <c r="L2807" s="29">
        <f>IFERROR(E2807*C2807,0)</f>
      </c>
      <c r="M2807" s="29">
        <f>IFERROR((G2807*H2807*I2807/1000000)*D2807,0)</f>
      </c>
    </row>
    <row r="2808" spans="1:13" x14ac:dyDescent="0.25">
      <c r="A2808" s="16"/>
      <c r="E2808" s="27"/>
      <c r="F2808" t="s">
        <v>26</v>
      </c>
      <c r="G2808" s="28">
        <f>IFERROR(VLOOKUP(F2808,CARTON_LOOKUP!$A:$E,3,0),"")</f>
      </c>
      <c r="H2808" s="28">
        <f>IFERROR(VLOOKUP(F2808,CARTON_LOOKUP!$A:$E,4,0),"")</f>
      </c>
      <c r="I2808" s="28">
        <f>IFERROR(VLOOKUP(F2808,CARTON_LOOKUP!$A:$E,5,0),"")</f>
      </c>
      <c r="J2808" s="29">
        <f>IFERROR(VLOOKUP(F2808,CARTON_LOOKUP!$A:$E,2,0),"")</f>
      </c>
      <c r="K2808" s="29">
        <f>IFERROR(J2808*D2808,0)</f>
      </c>
      <c r="L2808" s="29">
        <f>IFERROR(E2808*C2808,0)</f>
      </c>
      <c r="M2808" s="29">
        <f>IFERROR((G2808*H2808*I2808/1000000)*D2808,0)</f>
      </c>
    </row>
    <row r="2809" spans="1:13" x14ac:dyDescent="0.25">
      <c r="A2809" s="16"/>
      <c r="E2809" s="27"/>
      <c r="F2809" t="s">
        <v>26</v>
      </c>
      <c r="G2809" s="28">
        <f>IFERROR(VLOOKUP(F2809,CARTON_LOOKUP!$A:$E,3,0),"")</f>
      </c>
      <c r="H2809" s="28">
        <f>IFERROR(VLOOKUP(F2809,CARTON_LOOKUP!$A:$E,4,0),"")</f>
      </c>
      <c r="I2809" s="28">
        <f>IFERROR(VLOOKUP(F2809,CARTON_LOOKUP!$A:$E,5,0),"")</f>
      </c>
      <c r="J2809" s="29">
        <f>IFERROR(VLOOKUP(F2809,CARTON_LOOKUP!$A:$E,2,0),"")</f>
      </c>
      <c r="K2809" s="29">
        <f>IFERROR(J2809*D2809,0)</f>
      </c>
      <c r="L2809" s="29">
        <f>IFERROR(E2809*C2809,0)</f>
      </c>
      <c r="M2809" s="29">
        <f>IFERROR((G2809*H2809*I2809/1000000)*D2809,0)</f>
      </c>
    </row>
    <row r="2810" spans="1:13" x14ac:dyDescent="0.25">
      <c r="A2810" s="16"/>
      <c r="E2810" s="27"/>
      <c r="F2810" t="s">
        <v>26</v>
      </c>
      <c r="G2810" s="28">
        <f>IFERROR(VLOOKUP(F2810,CARTON_LOOKUP!$A:$E,3,0),"")</f>
      </c>
      <c r="H2810" s="28">
        <f>IFERROR(VLOOKUP(F2810,CARTON_LOOKUP!$A:$E,4,0),"")</f>
      </c>
      <c r="I2810" s="28">
        <f>IFERROR(VLOOKUP(F2810,CARTON_LOOKUP!$A:$E,5,0),"")</f>
      </c>
      <c r="J2810" s="29">
        <f>IFERROR(VLOOKUP(F2810,CARTON_LOOKUP!$A:$E,2,0),"")</f>
      </c>
      <c r="K2810" s="29">
        <f>IFERROR(J2810*D2810,0)</f>
      </c>
      <c r="L2810" s="29">
        <f>IFERROR(E2810*C2810,0)</f>
      </c>
      <c r="M2810" s="29">
        <f>IFERROR((G2810*H2810*I2810/1000000)*D2810,0)</f>
      </c>
    </row>
    <row r="2811" spans="1:13" x14ac:dyDescent="0.25">
      <c r="A2811" s="16"/>
      <c r="E2811" s="27"/>
      <c r="F2811" t="s">
        <v>26</v>
      </c>
      <c r="G2811" s="28">
        <f>IFERROR(VLOOKUP(F2811,CARTON_LOOKUP!$A:$E,3,0),"")</f>
      </c>
      <c r="H2811" s="28">
        <f>IFERROR(VLOOKUP(F2811,CARTON_LOOKUP!$A:$E,4,0),"")</f>
      </c>
      <c r="I2811" s="28">
        <f>IFERROR(VLOOKUP(F2811,CARTON_LOOKUP!$A:$E,5,0),"")</f>
      </c>
      <c r="J2811" s="29">
        <f>IFERROR(VLOOKUP(F2811,CARTON_LOOKUP!$A:$E,2,0),"")</f>
      </c>
      <c r="K2811" s="29">
        <f>IFERROR(J2811*D2811,0)</f>
      </c>
      <c r="L2811" s="29">
        <f>IFERROR(E2811*C2811,0)</f>
      </c>
      <c r="M2811" s="29">
        <f>IFERROR((G2811*H2811*I2811/1000000)*D2811,0)</f>
      </c>
    </row>
    <row r="2812" spans="1:13" x14ac:dyDescent="0.25">
      <c r="A2812" s="16"/>
      <c r="E2812" s="27"/>
      <c r="F2812" t="s">
        <v>26</v>
      </c>
      <c r="G2812" s="28">
        <f>IFERROR(VLOOKUP(F2812,CARTON_LOOKUP!$A:$E,3,0),"")</f>
      </c>
      <c r="H2812" s="28">
        <f>IFERROR(VLOOKUP(F2812,CARTON_LOOKUP!$A:$E,4,0),"")</f>
      </c>
      <c r="I2812" s="28">
        <f>IFERROR(VLOOKUP(F2812,CARTON_LOOKUP!$A:$E,5,0),"")</f>
      </c>
      <c r="J2812" s="29">
        <f>IFERROR(VLOOKUP(F2812,CARTON_LOOKUP!$A:$E,2,0),"")</f>
      </c>
      <c r="K2812" s="29">
        <f>IFERROR(J2812*D2812,0)</f>
      </c>
      <c r="L2812" s="29">
        <f>IFERROR(E2812*C2812,0)</f>
      </c>
      <c r="M2812" s="29">
        <f>IFERROR((G2812*H2812*I2812/1000000)*D2812,0)</f>
      </c>
    </row>
    <row r="2813" spans="1:13" x14ac:dyDescent="0.25">
      <c r="A2813" s="16"/>
      <c r="E2813" s="27"/>
      <c r="F2813" t="s">
        <v>26</v>
      </c>
      <c r="G2813" s="28">
        <f>IFERROR(VLOOKUP(F2813,CARTON_LOOKUP!$A:$E,3,0),"")</f>
      </c>
      <c r="H2813" s="28">
        <f>IFERROR(VLOOKUP(F2813,CARTON_LOOKUP!$A:$E,4,0),"")</f>
      </c>
      <c r="I2813" s="28">
        <f>IFERROR(VLOOKUP(F2813,CARTON_LOOKUP!$A:$E,5,0),"")</f>
      </c>
      <c r="J2813" s="29">
        <f>IFERROR(VLOOKUP(F2813,CARTON_LOOKUP!$A:$E,2,0),"")</f>
      </c>
      <c r="K2813" s="29">
        <f>IFERROR(J2813*D2813,0)</f>
      </c>
      <c r="L2813" s="29">
        <f>IFERROR(E2813*C2813,0)</f>
      </c>
      <c r="M2813" s="29">
        <f>IFERROR((G2813*H2813*I2813/1000000)*D2813,0)</f>
      </c>
    </row>
    <row r="2814" spans="1:13" x14ac:dyDescent="0.25">
      <c r="A2814" s="16"/>
      <c r="E2814" s="27"/>
      <c r="F2814" t="s">
        <v>26</v>
      </c>
      <c r="G2814" s="28">
        <f>IFERROR(VLOOKUP(F2814,CARTON_LOOKUP!$A:$E,3,0),"")</f>
      </c>
      <c r="H2814" s="28">
        <f>IFERROR(VLOOKUP(F2814,CARTON_LOOKUP!$A:$E,4,0),"")</f>
      </c>
      <c r="I2814" s="28">
        <f>IFERROR(VLOOKUP(F2814,CARTON_LOOKUP!$A:$E,5,0),"")</f>
      </c>
      <c r="J2814" s="29">
        <f>IFERROR(VLOOKUP(F2814,CARTON_LOOKUP!$A:$E,2,0),"")</f>
      </c>
      <c r="K2814" s="29">
        <f>IFERROR(J2814*D2814,0)</f>
      </c>
      <c r="L2814" s="29">
        <f>IFERROR(E2814*C2814,0)</f>
      </c>
      <c r="M2814" s="29">
        <f>IFERROR((G2814*H2814*I2814/1000000)*D2814,0)</f>
      </c>
    </row>
    <row r="2815" spans="1:13" x14ac:dyDescent="0.25">
      <c r="A2815" s="16"/>
      <c r="E2815" s="27"/>
      <c r="F2815" t="s">
        <v>26</v>
      </c>
      <c r="G2815" s="28">
        <f>IFERROR(VLOOKUP(F2815,CARTON_LOOKUP!$A:$E,3,0),"")</f>
      </c>
      <c r="H2815" s="28">
        <f>IFERROR(VLOOKUP(F2815,CARTON_LOOKUP!$A:$E,4,0),"")</f>
      </c>
      <c r="I2815" s="28">
        <f>IFERROR(VLOOKUP(F2815,CARTON_LOOKUP!$A:$E,5,0),"")</f>
      </c>
      <c r="J2815" s="29">
        <f>IFERROR(VLOOKUP(F2815,CARTON_LOOKUP!$A:$E,2,0),"")</f>
      </c>
      <c r="K2815" s="29">
        <f>IFERROR(J2815*D2815,0)</f>
      </c>
      <c r="L2815" s="29">
        <f>IFERROR(E2815*C2815,0)</f>
      </c>
      <c r="M2815" s="29">
        <f>IFERROR((G2815*H2815*I2815/1000000)*D2815,0)</f>
      </c>
    </row>
    <row r="2816" spans="1:13" x14ac:dyDescent="0.25">
      <c r="A2816" s="16"/>
      <c r="E2816" s="27"/>
      <c r="F2816" t="s">
        <v>26</v>
      </c>
      <c r="G2816" s="28">
        <f>IFERROR(VLOOKUP(F2816,CARTON_LOOKUP!$A:$E,3,0),"")</f>
      </c>
      <c r="H2816" s="28">
        <f>IFERROR(VLOOKUP(F2816,CARTON_LOOKUP!$A:$E,4,0),"")</f>
      </c>
      <c r="I2816" s="28">
        <f>IFERROR(VLOOKUP(F2816,CARTON_LOOKUP!$A:$E,5,0),"")</f>
      </c>
      <c r="J2816" s="29">
        <f>IFERROR(VLOOKUP(F2816,CARTON_LOOKUP!$A:$E,2,0),"")</f>
      </c>
      <c r="K2816" s="29">
        <f>IFERROR(J2816*D2816,0)</f>
      </c>
      <c r="L2816" s="29">
        <f>IFERROR(E2816*C2816,0)</f>
      </c>
      <c r="M2816" s="29">
        <f>IFERROR((G2816*H2816*I2816/1000000)*D2816,0)</f>
      </c>
    </row>
    <row r="2817" spans="1:13" x14ac:dyDescent="0.25">
      <c r="A2817" s="16"/>
      <c r="E2817" s="27"/>
      <c r="F2817" t="s">
        <v>26</v>
      </c>
      <c r="G2817" s="28">
        <f>IFERROR(VLOOKUP(F2817,CARTON_LOOKUP!$A:$E,3,0),"")</f>
      </c>
      <c r="H2817" s="28">
        <f>IFERROR(VLOOKUP(F2817,CARTON_LOOKUP!$A:$E,4,0),"")</f>
      </c>
      <c r="I2817" s="28">
        <f>IFERROR(VLOOKUP(F2817,CARTON_LOOKUP!$A:$E,5,0),"")</f>
      </c>
      <c r="J2817" s="29">
        <f>IFERROR(VLOOKUP(F2817,CARTON_LOOKUP!$A:$E,2,0),"")</f>
      </c>
      <c r="K2817" s="29">
        <f>IFERROR(J2817*D2817,0)</f>
      </c>
      <c r="L2817" s="29">
        <f>IFERROR(E2817*C2817,0)</f>
      </c>
      <c r="M2817" s="29">
        <f>IFERROR((G2817*H2817*I2817/1000000)*D2817,0)</f>
      </c>
    </row>
    <row r="2818" spans="1:13" x14ac:dyDescent="0.25">
      <c r="A2818" s="16"/>
      <c r="E2818" s="27"/>
      <c r="F2818" t="s">
        <v>26</v>
      </c>
      <c r="G2818" s="28">
        <f>IFERROR(VLOOKUP(F2818,CARTON_LOOKUP!$A:$E,3,0),"")</f>
      </c>
      <c r="H2818" s="28">
        <f>IFERROR(VLOOKUP(F2818,CARTON_LOOKUP!$A:$E,4,0),"")</f>
      </c>
      <c r="I2818" s="28">
        <f>IFERROR(VLOOKUP(F2818,CARTON_LOOKUP!$A:$E,5,0),"")</f>
      </c>
      <c r="J2818" s="29">
        <f>IFERROR(VLOOKUP(F2818,CARTON_LOOKUP!$A:$E,2,0),"")</f>
      </c>
      <c r="K2818" s="29">
        <f>IFERROR(J2818*D2818,0)</f>
      </c>
      <c r="L2818" s="29">
        <f>IFERROR(E2818*C2818,0)</f>
      </c>
      <c r="M2818" s="29">
        <f>IFERROR((G2818*H2818*I2818/1000000)*D2818,0)</f>
      </c>
    </row>
    <row r="2819" spans="1:13" x14ac:dyDescent="0.25">
      <c r="A2819" s="16"/>
      <c r="E2819" s="27"/>
      <c r="F2819" t="s">
        <v>26</v>
      </c>
      <c r="G2819" s="28">
        <f>IFERROR(VLOOKUP(F2819,CARTON_LOOKUP!$A:$E,3,0),"")</f>
      </c>
      <c r="H2819" s="28">
        <f>IFERROR(VLOOKUP(F2819,CARTON_LOOKUP!$A:$E,4,0),"")</f>
      </c>
      <c r="I2819" s="28">
        <f>IFERROR(VLOOKUP(F2819,CARTON_LOOKUP!$A:$E,5,0),"")</f>
      </c>
      <c r="J2819" s="29">
        <f>IFERROR(VLOOKUP(F2819,CARTON_LOOKUP!$A:$E,2,0),"")</f>
      </c>
      <c r="K2819" s="29">
        <f>IFERROR(J2819*D2819,0)</f>
      </c>
      <c r="L2819" s="29">
        <f>IFERROR(E2819*C2819,0)</f>
      </c>
      <c r="M2819" s="29">
        <f>IFERROR((G2819*H2819*I2819/1000000)*D2819,0)</f>
      </c>
    </row>
    <row r="2820" spans="1:13" x14ac:dyDescent="0.25">
      <c r="A2820" s="16"/>
      <c r="E2820" s="27"/>
      <c r="F2820" t="s">
        <v>26</v>
      </c>
      <c r="G2820" s="28">
        <f>IFERROR(VLOOKUP(F2820,CARTON_LOOKUP!$A:$E,3,0),"")</f>
      </c>
      <c r="H2820" s="28">
        <f>IFERROR(VLOOKUP(F2820,CARTON_LOOKUP!$A:$E,4,0),"")</f>
      </c>
      <c r="I2820" s="28">
        <f>IFERROR(VLOOKUP(F2820,CARTON_LOOKUP!$A:$E,5,0),"")</f>
      </c>
      <c r="J2820" s="29">
        <f>IFERROR(VLOOKUP(F2820,CARTON_LOOKUP!$A:$E,2,0),"")</f>
      </c>
      <c r="K2820" s="29">
        <f>IFERROR(J2820*D2820,0)</f>
      </c>
      <c r="L2820" s="29">
        <f>IFERROR(E2820*C2820,0)</f>
      </c>
      <c r="M2820" s="29">
        <f>IFERROR((G2820*H2820*I2820/1000000)*D2820,0)</f>
      </c>
    </row>
    <row r="2821" spans="1:13" x14ac:dyDescent="0.25">
      <c r="A2821" s="16"/>
      <c r="E2821" s="27"/>
      <c r="F2821" t="s">
        <v>26</v>
      </c>
      <c r="G2821" s="28">
        <f>IFERROR(VLOOKUP(F2821,CARTON_LOOKUP!$A:$E,3,0),"")</f>
      </c>
      <c r="H2821" s="28">
        <f>IFERROR(VLOOKUP(F2821,CARTON_LOOKUP!$A:$E,4,0),"")</f>
      </c>
      <c r="I2821" s="28">
        <f>IFERROR(VLOOKUP(F2821,CARTON_LOOKUP!$A:$E,5,0),"")</f>
      </c>
      <c r="J2821" s="29">
        <f>IFERROR(VLOOKUP(F2821,CARTON_LOOKUP!$A:$E,2,0),"")</f>
      </c>
      <c r="K2821" s="29">
        <f>IFERROR(J2821*D2821,0)</f>
      </c>
      <c r="L2821" s="29">
        <f>IFERROR(E2821*C2821,0)</f>
      </c>
      <c r="M2821" s="29">
        <f>IFERROR((G2821*H2821*I2821/1000000)*D2821,0)</f>
      </c>
    </row>
    <row r="2822" spans="1:13" x14ac:dyDescent="0.25">
      <c r="A2822" s="16"/>
      <c r="E2822" s="27"/>
      <c r="F2822" t="s">
        <v>26</v>
      </c>
      <c r="G2822" s="28">
        <f>IFERROR(VLOOKUP(F2822,CARTON_LOOKUP!$A:$E,3,0),"")</f>
      </c>
      <c r="H2822" s="28">
        <f>IFERROR(VLOOKUP(F2822,CARTON_LOOKUP!$A:$E,4,0),"")</f>
      </c>
      <c r="I2822" s="28">
        <f>IFERROR(VLOOKUP(F2822,CARTON_LOOKUP!$A:$E,5,0),"")</f>
      </c>
      <c r="J2822" s="29">
        <f>IFERROR(VLOOKUP(F2822,CARTON_LOOKUP!$A:$E,2,0),"")</f>
      </c>
      <c r="K2822" s="29">
        <f>IFERROR(J2822*D2822,0)</f>
      </c>
      <c r="L2822" s="29">
        <f>IFERROR(E2822*C2822,0)</f>
      </c>
      <c r="M2822" s="29">
        <f>IFERROR((G2822*H2822*I2822/1000000)*D2822,0)</f>
      </c>
    </row>
    <row r="2823" spans="1:13" x14ac:dyDescent="0.25">
      <c r="A2823" s="16"/>
      <c r="E2823" s="27"/>
      <c r="F2823" t="s">
        <v>26</v>
      </c>
      <c r="G2823" s="28">
        <f>IFERROR(VLOOKUP(F2823,CARTON_LOOKUP!$A:$E,3,0),"")</f>
      </c>
      <c r="H2823" s="28">
        <f>IFERROR(VLOOKUP(F2823,CARTON_LOOKUP!$A:$E,4,0),"")</f>
      </c>
      <c r="I2823" s="28">
        <f>IFERROR(VLOOKUP(F2823,CARTON_LOOKUP!$A:$E,5,0),"")</f>
      </c>
      <c r="J2823" s="29">
        <f>IFERROR(VLOOKUP(F2823,CARTON_LOOKUP!$A:$E,2,0),"")</f>
      </c>
      <c r="K2823" s="29">
        <f>IFERROR(J2823*D2823,0)</f>
      </c>
      <c r="L2823" s="29">
        <f>IFERROR(E2823*C2823,0)</f>
      </c>
      <c r="M2823" s="29">
        <f>IFERROR((G2823*H2823*I2823/1000000)*D2823,0)</f>
      </c>
    </row>
    <row r="2824" spans="1:13" x14ac:dyDescent="0.25">
      <c r="A2824" s="16"/>
      <c r="E2824" s="27"/>
      <c r="F2824" t="s">
        <v>26</v>
      </c>
      <c r="G2824" s="28">
        <f>IFERROR(VLOOKUP(F2824,CARTON_LOOKUP!$A:$E,3,0),"")</f>
      </c>
      <c r="H2824" s="28">
        <f>IFERROR(VLOOKUP(F2824,CARTON_LOOKUP!$A:$E,4,0),"")</f>
      </c>
      <c r="I2824" s="28">
        <f>IFERROR(VLOOKUP(F2824,CARTON_LOOKUP!$A:$E,5,0),"")</f>
      </c>
      <c r="J2824" s="29">
        <f>IFERROR(VLOOKUP(F2824,CARTON_LOOKUP!$A:$E,2,0),"")</f>
      </c>
      <c r="K2824" s="29">
        <f>IFERROR(J2824*D2824,0)</f>
      </c>
      <c r="L2824" s="29">
        <f>IFERROR(E2824*C2824,0)</f>
      </c>
      <c r="M2824" s="29">
        <f>IFERROR((G2824*H2824*I2824/1000000)*D2824,0)</f>
      </c>
    </row>
    <row r="2825" spans="1:13" x14ac:dyDescent="0.25">
      <c r="A2825" s="16"/>
      <c r="E2825" s="27"/>
      <c r="F2825" t="s">
        <v>26</v>
      </c>
      <c r="G2825" s="28">
        <f>IFERROR(VLOOKUP(F2825,CARTON_LOOKUP!$A:$E,3,0),"")</f>
      </c>
      <c r="H2825" s="28">
        <f>IFERROR(VLOOKUP(F2825,CARTON_LOOKUP!$A:$E,4,0),"")</f>
      </c>
      <c r="I2825" s="28">
        <f>IFERROR(VLOOKUP(F2825,CARTON_LOOKUP!$A:$E,5,0),"")</f>
      </c>
      <c r="J2825" s="29">
        <f>IFERROR(VLOOKUP(F2825,CARTON_LOOKUP!$A:$E,2,0),"")</f>
      </c>
      <c r="K2825" s="29">
        <f>IFERROR(J2825*D2825,0)</f>
      </c>
      <c r="L2825" s="29">
        <f>IFERROR(E2825*C2825,0)</f>
      </c>
      <c r="M2825" s="29">
        <f>IFERROR((G2825*H2825*I2825/1000000)*D2825,0)</f>
      </c>
    </row>
    <row r="2826" spans="1:13" x14ac:dyDescent="0.25">
      <c r="A2826" s="16"/>
      <c r="E2826" s="27"/>
      <c r="F2826" t="s">
        <v>26</v>
      </c>
      <c r="G2826" s="28">
        <f>IFERROR(VLOOKUP(F2826,CARTON_LOOKUP!$A:$E,3,0),"")</f>
      </c>
      <c r="H2826" s="28">
        <f>IFERROR(VLOOKUP(F2826,CARTON_LOOKUP!$A:$E,4,0),"")</f>
      </c>
      <c r="I2826" s="28">
        <f>IFERROR(VLOOKUP(F2826,CARTON_LOOKUP!$A:$E,5,0),"")</f>
      </c>
      <c r="J2826" s="29">
        <f>IFERROR(VLOOKUP(F2826,CARTON_LOOKUP!$A:$E,2,0),"")</f>
      </c>
      <c r="K2826" s="29">
        <f>IFERROR(J2826*D2826,0)</f>
      </c>
      <c r="L2826" s="29">
        <f>IFERROR(E2826*C2826,0)</f>
      </c>
      <c r="M2826" s="29">
        <f>IFERROR((G2826*H2826*I2826/1000000)*D2826,0)</f>
      </c>
    </row>
    <row r="2827" spans="1:13" x14ac:dyDescent="0.25">
      <c r="A2827" s="16"/>
      <c r="E2827" s="27"/>
      <c r="F2827" t="s">
        <v>26</v>
      </c>
      <c r="G2827" s="28">
        <f>IFERROR(VLOOKUP(F2827,CARTON_LOOKUP!$A:$E,3,0),"")</f>
      </c>
      <c r="H2827" s="28">
        <f>IFERROR(VLOOKUP(F2827,CARTON_LOOKUP!$A:$E,4,0),"")</f>
      </c>
      <c r="I2827" s="28">
        <f>IFERROR(VLOOKUP(F2827,CARTON_LOOKUP!$A:$E,5,0),"")</f>
      </c>
      <c r="J2827" s="29">
        <f>IFERROR(VLOOKUP(F2827,CARTON_LOOKUP!$A:$E,2,0),"")</f>
      </c>
      <c r="K2827" s="29">
        <f>IFERROR(J2827*D2827,0)</f>
      </c>
      <c r="L2827" s="29">
        <f>IFERROR(E2827*C2827,0)</f>
      </c>
      <c r="M2827" s="29">
        <f>IFERROR((G2827*H2827*I2827/1000000)*D2827,0)</f>
      </c>
    </row>
    <row r="2828" spans="1:13" x14ac:dyDescent="0.25">
      <c r="A2828" s="16"/>
      <c r="E2828" s="27"/>
      <c r="F2828" t="s">
        <v>26</v>
      </c>
      <c r="G2828" s="28">
        <f>IFERROR(VLOOKUP(F2828,CARTON_LOOKUP!$A:$E,3,0),"")</f>
      </c>
      <c r="H2828" s="28">
        <f>IFERROR(VLOOKUP(F2828,CARTON_LOOKUP!$A:$E,4,0),"")</f>
      </c>
      <c r="I2828" s="28">
        <f>IFERROR(VLOOKUP(F2828,CARTON_LOOKUP!$A:$E,5,0),"")</f>
      </c>
      <c r="J2828" s="29">
        <f>IFERROR(VLOOKUP(F2828,CARTON_LOOKUP!$A:$E,2,0),"")</f>
      </c>
      <c r="K2828" s="29">
        <f>IFERROR(J2828*D2828,0)</f>
      </c>
      <c r="L2828" s="29">
        <f>IFERROR(E2828*C2828,0)</f>
      </c>
      <c r="M2828" s="29">
        <f>IFERROR((G2828*H2828*I2828/1000000)*D2828,0)</f>
      </c>
    </row>
    <row r="2829" spans="1:13" x14ac:dyDescent="0.25">
      <c r="A2829" s="16"/>
      <c r="E2829" s="27"/>
      <c r="F2829" t="s">
        <v>26</v>
      </c>
      <c r="G2829" s="28">
        <f>IFERROR(VLOOKUP(F2829,CARTON_LOOKUP!$A:$E,3,0),"")</f>
      </c>
      <c r="H2829" s="28">
        <f>IFERROR(VLOOKUP(F2829,CARTON_LOOKUP!$A:$E,4,0),"")</f>
      </c>
      <c r="I2829" s="28">
        <f>IFERROR(VLOOKUP(F2829,CARTON_LOOKUP!$A:$E,5,0),"")</f>
      </c>
      <c r="J2829" s="29">
        <f>IFERROR(VLOOKUP(F2829,CARTON_LOOKUP!$A:$E,2,0),"")</f>
      </c>
      <c r="K2829" s="29">
        <f>IFERROR(J2829*D2829,0)</f>
      </c>
      <c r="L2829" s="29">
        <f>IFERROR(E2829*C2829,0)</f>
      </c>
      <c r="M2829" s="29">
        <f>IFERROR((G2829*H2829*I2829/1000000)*D2829,0)</f>
      </c>
    </row>
    <row r="2830" spans="1:13" x14ac:dyDescent="0.25">
      <c r="A2830" s="16"/>
      <c r="E2830" s="27"/>
      <c r="F2830" t="s">
        <v>26</v>
      </c>
      <c r="G2830" s="28">
        <f>IFERROR(VLOOKUP(F2830,CARTON_LOOKUP!$A:$E,3,0),"")</f>
      </c>
      <c r="H2830" s="28">
        <f>IFERROR(VLOOKUP(F2830,CARTON_LOOKUP!$A:$E,4,0),"")</f>
      </c>
      <c r="I2830" s="28">
        <f>IFERROR(VLOOKUP(F2830,CARTON_LOOKUP!$A:$E,5,0),"")</f>
      </c>
      <c r="J2830" s="29">
        <f>IFERROR(VLOOKUP(F2830,CARTON_LOOKUP!$A:$E,2,0),"")</f>
      </c>
      <c r="K2830" s="29">
        <f>IFERROR(J2830*D2830,0)</f>
      </c>
      <c r="L2830" s="29">
        <f>IFERROR(E2830*C2830,0)</f>
      </c>
      <c r="M2830" s="29">
        <f>IFERROR((G2830*H2830*I2830/1000000)*D2830,0)</f>
      </c>
    </row>
    <row r="2831" spans="1:13" x14ac:dyDescent="0.25">
      <c r="A2831" s="16"/>
      <c r="E2831" s="27"/>
      <c r="F2831" t="s">
        <v>26</v>
      </c>
      <c r="G2831" s="28">
        <f>IFERROR(VLOOKUP(F2831,CARTON_LOOKUP!$A:$E,3,0),"")</f>
      </c>
      <c r="H2831" s="28">
        <f>IFERROR(VLOOKUP(F2831,CARTON_LOOKUP!$A:$E,4,0),"")</f>
      </c>
      <c r="I2831" s="28">
        <f>IFERROR(VLOOKUP(F2831,CARTON_LOOKUP!$A:$E,5,0),"")</f>
      </c>
      <c r="J2831" s="29">
        <f>IFERROR(VLOOKUP(F2831,CARTON_LOOKUP!$A:$E,2,0),"")</f>
      </c>
      <c r="K2831" s="29">
        <f>IFERROR(J2831*D2831,0)</f>
      </c>
      <c r="L2831" s="29">
        <f>IFERROR(E2831*C2831,0)</f>
      </c>
      <c r="M2831" s="29">
        <f>IFERROR((G2831*H2831*I2831/1000000)*D2831,0)</f>
      </c>
    </row>
    <row r="2832" spans="1:13" x14ac:dyDescent="0.25">
      <c r="A2832" s="16"/>
      <c r="E2832" s="27"/>
      <c r="F2832" t="s">
        <v>26</v>
      </c>
      <c r="G2832" s="28">
        <f>IFERROR(VLOOKUP(F2832,CARTON_LOOKUP!$A:$E,3,0),"")</f>
      </c>
      <c r="H2832" s="28">
        <f>IFERROR(VLOOKUP(F2832,CARTON_LOOKUP!$A:$E,4,0),"")</f>
      </c>
      <c r="I2832" s="28">
        <f>IFERROR(VLOOKUP(F2832,CARTON_LOOKUP!$A:$E,5,0),"")</f>
      </c>
      <c r="J2832" s="29">
        <f>IFERROR(VLOOKUP(F2832,CARTON_LOOKUP!$A:$E,2,0),"")</f>
      </c>
      <c r="K2832" s="29">
        <f>IFERROR(J2832*D2832,0)</f>
      </c>
      <c r="L2832" s="29">
        <f>IFERROR(E2832*C2832,0)</f>
      </c>
      <c r="M2832" s="29">
        <f>IFERROR((G2832*H2832*I2832/1000000)*D2832,0)</f>
      </c>
    </row>
    <row r="2833" spans="1:13" x14ac:dyDescent="0.25">
      <c r="A2833" s="16"/>
      <c r="E2833" s="27"/>
      <c r="F2833" t="s">
        <v>26</v>
      </c>
      <c r="G2833" s="28">
        <f>IFERROR(VLOOKUP(F2833,CARTON_LOOKUP!$A:$E,3,0),"")</f>
      </c>
      <c r="H2833" s="28">
        <f>IFERROR(VLOOKUP(F2833,CARTON_LOOKUP!$A:$E,4,0),"")</f>
      </c>
      <c r="I2833" s="28">
        <f>IFERROR(VLOOKUP(F2833,CARTON_LOOKUP!$A:$E,5,0),"")</f>
      </c>
      <c r="J2833" s="29">
        <f>IFERROR(VLOOKUP(F2833,CARTON_LOOKUP!$A:$E,2,0),"")</f>
      </c>
      <c r="K2833" s="29">
        <f>IFERROR(J2833*D2833,0)</f>
      </c>
      <c r="L2833" s="29">
        <f>IFERROR(E2833*C2833,0)</f>
      </c>
      <c r="M2833" s="29">
        <f>IFERROR((G2833*H2833*I2833/1000000)*D2833,0)</f>
      </c>
    </row>
    <row r="2834" spans="1:13" x14ac:dyDescent="0.25">
      <c r="A2834" s="16"/>
      <c r="E2834" s="27"/>
      <c r="F2834" t="s">
        <v>26</v>
      </c>
      <c r="G2834" s="28">
        <f>IFERROR(VLOOKUP(F2834,CARTON_LOOKUP!$A:$E,3,0),"")</f>
      </c>
      <c r="H2834" s="28">
        <f>IFERROR(VLOOKUP(F2834,CARTON_LOOKUP!$A:$E,4,0),"")</f>
      </c>
      <c r="I2834" s="28">
        <f>IFERROR(VLOOKUP(F2834,CARTON_LOOKUP!$A:$E,5,0),"")</f>
      </c>
      <c r="J2834" s="29">
        <f>IFERROR(VLOOKUP(F2834,CARTON_LOOKUP!$A:$E,2,0),"")</f>
      </c>
      <c r="K2834" s="29">
        <f>IFERROR(J2834*D2834,0)</f>
      </c>
      <c r="L2834" s="29">
        <f>IFERROR(E2834*C2834,0)</f>
      </c>
      <c r="M2834" s="29">
        <f>IFERROR((G2834*H2834*I2834/1000000)*D2834,0)</f>
      </c>
    </row>
    <row r="2835" spans="1:13" x14ac:dyDescent="0.25">
      <c r="A2835" s="16"/>
      <c r="E2835" s="27"/>
      <c r="F2835" t="s">
        <v>26</v>
      </c>
      <c r="G2835" s="28">
        <f>IFERROR(VLOOKUP(F2835,CARTON_LOOKUP!$A:$E,3,0),"")</f>
      </c>
      <c r="H2835" s="28">
        <f>IFERROR(VLOOKUP(F2835,CARTON_LOOKUP!$A:$E,4,0),"")</f>
      </c>
      <c r="I2835" s="28">
        <f>IFERROR(VLOOKUP(F2835,CARTON_LOOKUP!$A:$E,5,0),"")</f>
      </c>
      <c r="J2835" s="29">
        <f>IFERROR(VLOOKUP(F2835,CARTON_LOOKUP!$A:$E,2,0),"")</f>
      </c>
      <c r="K2835" s="29">
        <f>IFERROR(J2835*D2835,0)</f>
      </c>
      <c r="L2835" s="29">
        <f>IFERROR(E2835*C2835,0)</f>
      </c>
      <c r="M2835" s="29">
        <f>IFERROR((G2835*H2835*I2835/1000000)*D2835,0)</f>
      </c>
    </row>
    <row r="2836" spans="1:13" x14ac:dyDescent="0.25">
      <c r="A2836" s="16"/>
      <c r="E2836" s="27"/>
      <c r="F2836" t="s">
        <v>26</v>
      </c>
      <c r="G2836" s="28">
        <f>IFERROR(VLOOKUP(F2836,CARTON_LOOKUP!$A:$E,3,0),"")</f>
      </c>
      <c r="H2836" s="28">
        <f>IFERROR(VLOOKUP(F2836,CARTON_LOOKUP!$A:$E,4,0),"")</f>
      </c>
      <c r="I2836" s="28">
        <f>IFERROR(VLOOKUP(F2836,CARTON_LOOKUP!$A:$E,5,0),"")</f>
      </c>
      <c r="J2836" s="29">
        <f>IFERROR(VLOOKUP(F2836,CARTON_LOOKUP!$A:$E,2,0),"")</f>
      </c>
      <c r="K2836" s="29">
        <f>IFERROR(J2836*D2836,0)</f>
      </c>
      <c r="L2836" s="29">
        <f>IFERROR(E2836*C2836,0)</f>
      </c>
      <c r="M2836" s="29">
        <f>IFERROR((G2836*H2836*I2836/1000000)*D2836,0)</f>
      </c>
    </row>
    <row r="2837" spans="1:13" x14ac:dyDescent="0.25">
      <c r="A2837" s="16"/>
      <c r="E2837" s="27"/>
      <c r="F2837" t="s">
        <v>26</v>
      </c>
      <c r="G2837" s="28">
        <f>IFERROR(VLOOKUP(F2837,CARTON_LOOKUP!$A:$E,3,0),"")</f>
      </c>
      <c r="H2837" s="28">
        <f>IFERROR(VLOOKUP(F2837,CARTON_LOOKUP!$A:$E,4,0),"")</f>
      </c>
      <c r="I2837" s="28">
        <f>IFERROR(VLOOKUP(F2837,CARTON_LOOKUP!$A:$E,5,0),"")</f>
      </c>
      <c r="J2837" s="29">
        <f>IFERROR(VLOOKUP(F2837,CARTON_LOOKUP!$A:$E,2,0),"")</f>
      </c>
      <c r="K2837" s="29">
        <f>IFERROR(J2837*D2837,0)</f>
      </c>
      <c r="L2837" s="29">
        <f>IFERROR(E2837*C2837,0)</f>
      </c>
      <c r="M2837" s="29">
        <f>IFERROR((G2837*H2837*I2837/1000000)*D2837,0)</f>
      </c>
    </row>
    <row r="2838" spans="1:13" x14ac:dyDescent="0.25">
      <c r="A2838" s="16"/>
      <c r="E2838" s="27"/>
      <c r="F2838" t="s">
        <v>26</v>
      </c>
      <c r="G2838" s="28">
        <f>IFERROR(VLOOKUP(F2838,CARTON_LOOKUP!$A:$E,3,0),"")</f>
      </c>
      <c r="H2838" s="28">
        <f>IFERROR(VLOOKUP(F2838,CARTON_LOOKUP!$A:$E,4,0),"")</f>
      </c>
      <c r="I2838" s="28">
        <f>IFERROR(VLOOKUP(F2838,CARTON_LOOKUP!$A:$E,5,0),"")</f>
      </c>
      <c r="J2838" s="29">
        <f>IFERROR(VLOOKUP(F2838,CARTON_LOOKUP!$A:$E,2,0),"")</f>
      </c>
      <c r="K2838" s="29">
        <f>IFERROR(J2838*D2838,0)</f>
      </c>
      <c r="L2838" s="29">
        <f>IFERROR(E2838*C2838,0)</f>
      </c>
      <c r="M2838" s="29">
        <f>IFERROR((G2838*H2838*I2838/1000000)*D2838,0)</f>
      </c>
    </row>
    <row r="2839" spans="1:13" x14ac:dyDescent="0.25">
      <c r="A2839" s="16"/>
      <c r="E2839" s="27"/>
      <c r="F2839" t="s">
        <v>26</v>
      </c>
      <c r="G2839" s="28">
        <f>IFERROR(VLOOKUP(F2839,CARTON_LOOKUP!$A:$E,3,0),"")</f>
      </c>
      <c r="H2839" s="28">
        <f>IFERROR(VLOOKUP(F2839,CARTON_LOOKUP!$A:$E,4,0),"")</f>
      </c>
      <c r="I2839" s="28">
        <f>IFERROR(VLOOKUP(F2839,CARTON_LOOKUP!$A:$E,5,0),"")</f>
      </c>
      <c r="J2839" s="29">
        <f>IFERROR(VLOOKUP(F2839,CARTON_LOOKUP!$A:$E,2,0),"")</f>
      </c>
      <c r="K2839" s="29">
        <f>IFERROR(J2839*D2839,0)</f>
      </c>
      <c r="L2839" s="29">
        <f>IFERROR(E2839*C2839,0)</f>
      </c>
      <c r="M2839" s="29">
        <f>IFERROR((G2839*H2839*I2839/1000000)*D2839,0)</f>
      </c>
    </row>
    <row r="2840" spans="1:13" x14ac:dyDescent="0.25">
      <c r="A2840" s="16"/>
      <c r="E2840" s="27"/>
      <c r="F2840" t="s">
        <v>26</v>
      </c>
      <c r="G2840" s="28">
        <f>IFERROR(VLOOKUP(F2840,CARTON_LOOKUP!$A:$E,3,0),"")</f>
      </c>
      <c r="H2840" s="28">
        <f>IFERROR(VLOOKUP(F2840,CARTON_LOOKUP!$A:$E,4,0),"")</f>
      </c>
      <c r="I2840" s="28">
        <f>IFERROR(VLOOKUP(F2840,CARTON_LOOKUP!$A:$E,5,0),"")</f>
      </c>
      <c r="J2840" s="29">
        <f>IFERROR(VLOOKUP(F2840,CARTON_LOOKUP!$A:$E,2,0),"")</f>
      </c>
      <c r="K2840" s="29">
        <f>IFERROR(J2840*D2840,0)</f>
      </c>
      <c r="L2840" s="29">
        <f>IFERROR(E2840*C2840,0)</f>
      </c>
      <c r="M2840" s="29">
        <f>IFERROR((G2840*H2840*I2840/1000000)*D2840,0)</f>
      </c>
    </row>
    <row r="2841" spans="1:13" x14ac:dyDescent="0.25">
      <c r="A2841" s="16"/>
      <c r="E2841" s="27"/>
      <c r="F2841" t="s">
        <v>26</v>
      </c>
      <c r="G2841" s="28">
        <f>IFERROR(VLOOKUP(F2841,CARTON_LOOKUP!$A:$E,3,0),"")</f>
      </c>
      <c r="H2841" s="28">
        <f>IFERROR(VLOOKUP(F2841,CARTON_LOOKUP!$A:$E,4,0),"")</f>
      </c>
      <c r="I2841" s="28">
        <f>IFERROR(VLOOKUP(F2841,CARTON_LOOKUP!$A:$E,5,0),"")</f>
      </c>
      <c r="J2841" s="29">
        <f>IFERROR(VLOOKUP(F2841,CARTON_LOOKUP!$A:$E,2,0),"")</f>
      </c>
      <c r="K2841" s="29">
        <f>IFERROR(J2841*D2841,0)</f>
      </c>
      <c r="L2841" s="29">
        <f>IFERROR(E2841*C2841,0)</f>
      </c>
      <c r="M2841" s="29">
        <f>IFERROR((G2841*H2841*I2841/1000000)*D2841,0)</f>
      </c>
    </row>
    <row r="2842" spans="1:13" x14ac:dyDescent="0.25">
      <c r="A2842" s="16"/>
      <c r="E2842" s="27"/>
      <c r="F2842" t="s">
        <v>26</v>
      </c>
      <c r="G2842" s="28">
        <f>IFERROR(VLOOKUP(F2842,CARTON_LOOKUP!$A:$E,3,0),"")</f>
      </c>
      <c r="H2842" s="28">
        <f>IFERROR(VLOOKUP(F2842,CARTON_LOOKUP!$A:$E,4,0),"")</f>
      </c>
      <c r="I2842" s="28">
        <f>IFERROR(VLOOKUP(F2842,CARTON_LOOKUP!$A:$E,5,0),"")</f>
      </c>
      <c r="J2842" s="29">
        <f>IFERROR(VLOOKUP(F2842,CARTON_LOOKUP!$A:$E,2,0),"")</f>
      </c>
      <c r="K2842" s="29">
        <f>IFERROR(J2842*D2842,0)</f>
      </c>
      <c r="L2842" s="29">
        <f>IFERROR(E2842*C2842,0)</f>
      </c>
      <c r="M2842" s="29">
        <f>IFERROR((G2842*H2842*I2842/1000000)*D2842,0)</f>
      </c>
    </row>
    <row r="2843" spans="1:13" x14ac:dyDescent="0.25">
      <c r="A2843" s="16"/>
      <c r="E2843" s="27"/>
      <c r="F2843" t="s">
        <v>26</v>
      </c>
      <c r="G2843" s="28">
        <f>IFERROR(VLOOKUP(F2843,CARTON_LOOKUP!$A:$E,3,0),"")</f>
      </c>
      <c r="H2843" s="28">
        <f>IFERROR(VLOOKUP(F2843,CARTON_LOOKUP!$A:$E,4,0),"")</f>
      </c>
      <c r="I2843" s="28">
        <f>IFERROR(VLOOKUP(F2843,CARTON_LOOKUP!$A:$E,5,0),"")</f>
      </c>
      <c r="J2843" s="29">
        <f>IFERROR(VLOOKUP(F2843,CARTON_LOOKUP!$A:$E,2,0),"")</f>
      </c>
      <c r="K2843" s="29">
        <f>IFERROR(J2843*D2843,0)</f>
      </c>
      <c r="L2843" s="29">
        <f>IFERROR(E2843*C2843,0)</f>
      </c>
      <c r="M2843" s="29">
        <f>IFERROR((G2843*H2843*I2843/1000000)*D2843,0)</f>
      </c>
    </row>
    <row r="2844" spans="1:13" x14ac:dyDescent="0.25">
      <c r="A2844" s="16"/>
      <c r="E2844" s="27"/>
      <c r="F2844" t="s">
        <v>26</v>
      </c>
      <c r="G2844" s="28">
        <f>IFERROR(VLOOKUP(F2844,CARTON_LOOKUP!$A:$E,3,0),"")</f>
      </c>
      <c r="H2844" s="28">
        <f>IFERROR(VLOOKUP(F2844,CARTON_LOOKUP!$A:$E,4,0),"")</f>
      </c>
      <c r="I2844" s="28">
        <f>IFERROR(VLOOKUP(F2844,CARTON_LOOKUP!$A:$E,5,0),"")</f>
      </c>
      <c r="J2844" s="29">
        <f>IFERROR(VLOOKUP(F2844,CARTON_LOOKUP!$A:$E,2,0),"")</f>
      </c>
      <c r="K2844" s="29">
        <f>IFERROR(J2844*D2844,0)</f>
      </c>
      <c r="L2844" s="29">
        <f>IFERROR(E2844*C2844,0)</f>
      </c>
      <c r="M2844" s="29">
        <f>IFERROR((G2844*H2844*I2844/1000000)*D2844,0)</f>
      </c>
    </row>
    <row r="2845" spans="1:13" x14ac:dyDescent="0.25">
      <c r="A2845" s="16"/>
      <c r="E2845" s="27"/>
      <c r="F2845" t="s">
        <v>26</v>
      </c>
      <c r="G2845" s="28">
        <f>IFERROR(VLOOKUP(F2845,CARTON_LOOKUP!$A:$E,3,0),"")</f>
      </c>
      <c r="H2845" s="28">
        <f>IFERROR(VLOOKUP(F2845,CARTON_LOOKUP!$A:$E,4,0),"")</f>
      </c>
      <c r="I2845" s="28">
        <f>IFERROR(VLOOKUP(F2845,CARTON_LOOKUP!$A:$E,5,0),"")</f>
      </c>
      <c r="J2845" s="29">
        <f>IFERROR(VLOOKUP(F2845,CARTON_LOOKUP!$A:$E,2,0),"")</f>
      </c>
      <c r="K2845" s="29">
        <f>IFERROR(J2845*D2845,0)</f>
      </c>
      <c r="L2845" s="29">
        <f>IFERROR(E2845*C2845,0)</f>
      </c>
      <c r="M2845" s="29">
        <f>IFERROR((G2845*H2845*I2845/1000000)*D2845,0)</f>
      </c>
    </row>
    <row r="2846" spans="1:13" x14ac:dyDescent="0.25">
      <c r="A2846" s="16"/>
      <c r="E2846" s="27"/>
      <c r="F2846" t="s">
        <v>26</v>
      </c>
      <c r="G2846" s="28">
        <f>IFERROR(VLOOKUP(F2846,CARTON_LOOKUP!$A:$E,3,0),"")</f>
      </c>
      <c r="H2846" s="28">
        <f>IFERROR(VLOOKUP(F2846,CARTON_LOOKUP!$A:$E,4,0),"")</f>
      </c>
      <c r="I2846" s="28">
        <f>IFERROR(VLOOKUP(F2846,CARTON_LOOKUP!$A:$E,5,0),"")</f>
      </c>
      <c r="J2846" s="29">
        <f>IFERROR(VLOOKUP(F2846,CARTON_LOOKUP!$A:$E,2,0),"")</f>
      </c>
      <c r="K2846" s="29">
        <f>IFERROR(J2846*D2846,0)</f>
      </c>
      <c r="L2846" s="29">
        <f>IFERROR(E2846*C2846,0)</f>
      </c>
      <c r="M2846" s="29">
        <f>IFERROR((G2846*H2846*I2846/1000000)*D2846,0)</f>
      </c>
    </row>
    <row r="2847" spans="1:13" x14ac:dyDescent="0.25">
      <c r="A2847" s="16"/>
      <c r="E2847" s="27"/>
      <c r="F2847" t="s">
        <v>26</v>
      </c>
      <c r="G2847" s="28">
        <f>IFERROR(VLOOKUP(F2847,CARTON_LOOKUP!$A:$E,3,0),"")</f>
      </c>
      <c r="H2847" s="28">
        <f>IFERROR(VLOOKUP(F2847,CARTON_LOOKUP!$A:$E,4,0),"")</f>
      </c>
      <c r="I2847" s="28">
        <f>IFERROR(VLOOKUP(F2847,CARTON_LOOKUP!$A:$E,5,0),"")</f>
      </c>
      <c r="J2847" s="29">
        <f>IFERROR(VLOOKUP(F2847,CARTON_LOOKUP!$A:$E,2,0),"")</f>
      </c>
      <c r="K2847" s="29">
        <f>IFERROR(J2847*D2847,0)</f>
      </c>
      <c r="L2847" s="29">
        <f>IFERROR(E2847*C2847,0)</f>
      </c>
      <c r="M2847" s="29">
        <f>IFERROR((G2847*H2847*I2847/1000000)*D2847,0)</f>
      </c>
    </row>
    <row r="2848" spans="1:13" x14ac:dyDescent="0.25">
      <c r="A2848" s="16"/>
      <c r="E2848" s="27"/>
      <c r="F2848" t="s">
        <v>26</v>
      </c>
      <c r="G2848" s="28">
        <f>IFERROR(VLOOKUP(F2848,CARTON_LOOKUP!$A:$E,3,0),"")</f>
      </c>
      <c r="H2848" s="28">
        <f>IFERROR(VLOOKUP(F2848,CARTON_LOOKUP!$A:$E,4,0),"")</f>
      </c>
      <c r="I2848" s="28">
        <f>IFERROR(VLOOKUP(F2848,CARTON_LOOKUP!$A:$E,5,0),"")</f>
      </c>
      <c r="J2848" s="29">
        <f>IFERROR(VLOOKUP(F2848,CARTON_LOOKUP!$A:$E,2,0),"")</f>
      </c>
      <c r="K2848" s="29">
        <f>IFERROR(J2848*D2848,0)</f>
      </c>
      <c r="L2848" s="29">
        <f>IFERROR(E2848*C2848,0)</f>
      </c>
      <c r="M2848" s="29">
        <f>IFERROR((G2848*H2848*I2848/1000000)*D2848,0)</f>
      </c>
    </row>
    <row r="2849" spans="1:13" x14ac:dyDescent="0.25">
      <c r="A2849" s="16"/>
      <c r="E2849" s="27"/>
      <c r="F2849" t="s">
        <v>26</v>
      </c>
      <c r="G2849" s="28">
        <f>IFERROR(VLOOKUP(F2849,CARTON_LOOKUP!$A:$E,3,0),"")</f>
      </c>
      <c r="H2849" s="28">
        <f>IFERROR(VLOOKUP(F2849,CARTON_LOOKUP!$A:$E,4,0),"")</f>
      </c>
      <c r="I2849" s="28">
        <f>IFERROR(VLOOKUP(F2849,CARTON_LOOKUP!$A:$E,5,0),"")</f>
      </c>
      <c r="J2849" s="29">
        <f>IFERROR(VLOOKUP(F2849,CARTON_LOOKUP!$A:$E,2,0),"")</f>
      </c>
      <c r="K2849" s="29">
        <f>IFERROR(J2849*D2849,0)</f>
      </c>
      <c r="L2849" s="29">
        <f>IFERROR(E2849*C2849,0)</f>
      </c>
      <c r="M2849" s="29">
        <f>IFERROR((G2849*H2849*I2849/1000000)*D2849,0)</f>
      </c>
    </row>
    <row r="2850" spans="1:13" x14ac:dyDescent="0.25">
      <c r="A2850" s="16"/>
      <c r="E2850" s="27"/>
      <c r="F2850" t="s">
        <v>26</v>
      </c>
      <c r="G2850" s="28">
        <f>IFERROR(VLOOKUP(F2850,CARTON_LOOKUP!$A:$E,3,0),"")</f>
      </c>
      <c r="H2850" s="28">
        <f>IFERROR(VLOOKUP(F2850,CARTON_LOOKUP!$A:$E,4,0),"")</f>
      </c>
      <c r="I2850" s="28">
        <f>IFERROR(VLOOKUP(F2850,CARTON_LOOKUP!$A:$E,5,0),"")</f>
      </c>
      <c r="J2850" s="29">
        <f>IFERROR(VLOOKUP(F2850,CARTON_LOOKUP!$A:$E,2,0),"")</f>
      </c>
      <c r="K2850" s="29">
        <f>IFERROR(J2850*D2850,0)</f>
      </c>
      <c r="L2850" s="29">
        <f>IFERROR(E2850*C2850,0)</f>
      </c>
      <c r="M2850" s="29">
        <f>IFERROR((G2850*H2850*I2850/1000000)*D2850,0)</f>
      </c>
    </row>
    <row r="2851" spans="1:13" x14ac:dyDescent="0.25">
      <c r="A2851" s="16"/>
      <c r="E2851" s="27"/>
      <c r="F2851" t="s">
        <v>26</v>
      </c>
      <c r="G2851" s="28">
        <f>IFERROR(VLOOKUP(F2851,CARTON_LOOKUP!$A:$E,3,0),"")</f>
      </c>
      <c r="H2851" s="28">
        <f>IFERROR(VLOOKUP(F2851,CARTON_LOOKUP!$A:$E,4,0),"")</f>
      </c>
      <c r="I2851" s="28">
        <f>IFERROR(VLOOKUP(F2851,CARTON_LOOKUP!$A:$E,5,0),"")</f>
      </c>
      <c r="J2851" s="29">
        <f>IFERROR(VLOOKUP(F2851,CARTON_LOOKUP!$A:$E,2,0),"")</f>
      </c>
      <c r="K2851" s="29">
        <f>IFERROR(J2851*D2851,0)</f>
      </c>
      <c r="L2851" s="29">
        <f>IFERROR(E2851*C2851,0)</f>
      </c>
      <c r="M2851" s="29">
        <f>IFERROR((G2851*H2851*I2851/1000000)*D2851,0)</f>
      </c>
    </row>
    <row r="2852" spans="1:13" x14ac:dyDescent="0.25">
      <c r="A2852" s="16"/>
      <c r="E2852" s="27"/>
      <c r="F2852" t="s">
        <v>26</v>
      </c>
      <c r="G2852" s="28">
        <f>IFERROR(VLOOKUP(F2852,CARTON_LOOKUP!$A:$E,3,0),"")</f>
      </c>
      <c r="H2852" s="28">
        <f>IFERROR(VLOOKUP(F2852,CARTON_LOOKUP!$A:$E,4,0),"")</f>
      </c>
      <c r="I2852" s="28">
        <f>IFERROR(VLOOKUP(F2852,CARTON_LOOKUP!$A:$E,5,0),"")</f>
      </c>
      <c r="J2852" s="29">
        <f>IFERROR(VLOOKUP(F2852,CARTON_LOOKUP!$A:$E,2,0),"")</f>
      </c>
      <c r="K2852" s="29">
        <f>IFERROR(J2852*D2852,0)</f>
      </c>
      <c r="L2852" s="29">
        <f>IFERROR(E2852*C2852,0)</f>
      </c>
      <c r="M2852" s="29">
        <f>IFERROR((G2852*H2852*I2852/1000000)*D2852,0)</f>
      </c>
    </row>
    <row r="2853" spans="1:13" x14ac:dyDescent="0.25">
      <c r="A2853" s="16"/>
      <c r="E2853" s="27"/>
      <c r="F2853" t="s">
        <v>26</v>
      </c>
      <c r="G2853" s="28">
        <f>IFERROR(VLOOKUP(F2853,CARTON_LOOKUP!$A:$E,3,0),"")</f>
      </c>
      <c r="H2853" s="28">
        <f>IFERROR(VLOOKUP(F2853,CARTON_LOOKUP!$A:$E,4,0),"")</f>
      </c>
      <c r="I2853" s="28">
        <f>IFERROR(VLOOKUP(F2853,CARTON_LOOKUP!$A:$E,5,0),"")</f>
      </c>
      <c r="J2853" s="29">
        <f>IFERROR(VLOOKUP(F2853,CARTON_LOOKUP!$A:$E,2,0),"")</f>
      </c>
      <c r="K2853" s="29">
        <f>IFERROR(J2853*D2853,0)</f>
      </c>
      <c r="L2853" s="29">
        <f>IFERROR(E2853*C2853,0)</f>
      </c>
      <c r="M2853" s="29">
        <f>IFERROR((G2853*H2853*I2853/1000000)*D2853,0)</f>
      </c>
    </row>
    <row r="2854" spans="1:13" x14ac:dyDescent="0.25">
      <c r="A2854" s="16"/>
      <c r="E2854" s="27"/>
      <c r="F2854" t="s">
        <v>26</v>
      </c>
      <c r="G2854" s="28">
        <f>IFERROR(VLOOKUP(F2854,CARTON_LOOKUP!$A:$E,3,0),"")</f>
      </c>
      <c r="H2854" s="28">
        <f>IFERROR(VLOOKUP(F2854,CARTON_LOOKUP!$A:$E,4,0),"")</f>
      </c>
      <c r="I2854" s="28">
        <f>IFERROR(VLOOKUP(F2854,CARTON_LOOKUP!$A:$E,5,0),"")</f>
      </c>
      <c r="J2854" s="29">
        <f>IFERROR(VLOOKUP(F2854,CARTON_LOOKUP!$A:$E,2,0),"")</f>
      </c>
      <c r="K2854" s="29">
        <f>IFERROR(J2854*D2854,0)</f>
      </c>
      <c r="L2854" s="29">
        <f>IFERROR(E2854*C2854,0)</f>
      </c>
      <c r="M2854" s="29">
        <f>IFERROR((G2854*H2854*I2854/1000000)*D2854,0)</f>
      </c>
    </row>
    <row r="2855" spans="1:13" x14ac:dyDescent="0.25">
      <c r="A2855" s="16"/>
      <c r="E2855" s="27"/>
      <c r="F2855" t="s">
        <v>26</v>
      </c>
      <c r="G2855" s="28">
        <f>IFERROR(VLOOKUP(F2855,CARTON_LOOKUP!$A:$E,3,0),"")</f>
      </c>
      <c r="H2855" s="28">
        <f>IFERROR(VLOOKUP(F2855,CARTON_LOOKUP!$A:$E,4,0),"")</f>
      </c>
      <c r="I2855" s="28">
        <f>IFERROR(VLOOKUP(F2855,CARTON_LOOKUP!$A:$E,5,0),"")</f>
      </c>
      <c r="J2855" s="29">
        <f>IFERROR(VLOOKUP(F2855,CARTON_LOOKUP!$A:$E,2,0),"")</f>
      </c>
      <c r="K2855" s="29">
        <f>IFERROR(J2855*D2855,0)</f>
      </c>
      <c r="L2855" s="29">
        <f>IFERROR(E2855*C2855,0)</f>
      </c>
      <c r="M2855" s="29">
        <f>IFERROR((G2855*H2855*I2855/1000000)*D2855,0)</f>
      </c>
    </row>
    <row r="2856" spans="1:13" x14ac:dyDescent="0.25">
      <c r="A2856" s="16"/>
      <c r="E2856" s="27"/>
      <c r="F2856" t="s">
        <v>26</v>
      </c>
      <c r="G2856" s="28">
        <f>IFERROR(VLOOKUP(F2856,CARTON_LOOKUP!$A:$E,3,0),"")</f>
      </c>
      <c r="H2856" s="28">
        <f>IFERROR(VLOOKUP(F2856,CARTON_LOOKUP!$A:$E,4,0),"")</f>
      </c>
      <c r="I2856" s="28">
        <f>IFERROR(VLOOKUP(F2856,CARTON_LOOKUP!$A:$E,5,0),"")</f>
      </c>
      <c r="J2856" s="29">
        <f>IFERROR(VLOOKUP(F2856,CARTON_LOOKUP!$A:$E,2,0),"")</f>
      </c>
      <c r="K2856" s="29">
        <f>IFERROR(J2856*D2856,0)</f>
      </c>
      <c r="L2856" s="29">
        <f>IFERROR(E2856*C2856,0)</f>
      </c>
      <c r="M2856" s="29">
        <f>IFERROR((G2856*H2856*I2856/1000000)*D2856,0)</f>
      </c>
    </row>
    <row r="2857" spans="1:13" x14ac:dyDescent="0.25">
      <c r="A2857" s="16"/>
      <c r="E2857" s="27"/>
      <c r="F2857" t="s">
        <v>26</v>
      </c>
      <c r="G2857" s="28">
        <f>IFERROR(VLOOKUP(F2857,CARTON_LOOKUP!$A:$E,3,0),"")</f>
      </c>
      <c r="H2857" s="28">
        <f>IFERROR(VLOOKUP(F2857,CARTON_LOOKUP!$A:$E,4,0),"")</f>
      </c>
      <c r="I2857" s="28">
        <f>IFERROR(VLOOKUP(F2857,CARTON_LOOKUP!$A:$E,5,0),"")</f>
      </c>
      <c r="J2857" s="29">
        <f>IFERROR(VLOOKUP(F2857,CARTON_LOOKUP!$A:$E,2,0),"")</f>
      </c>
      <c r="K2857" s="29">
        <f>IFERROR(J2857*D2857,0)</f>
      </c>
      <c r="L2857" s="29">
        <f>IFERROR(E2857*C2857,0)</f>
      </c>
      <c r="M2857" s="29">
        <f>IFERROR((G2857*H2857*I2857/1000000)*D2857,0)</f>
      </c>
    </row>
    <row r="2858" spans="1:13" x14ac:dyDescent="0.25">
      <c r="A2858" s="16"/>
      <c r="E2858" s="27"/>
      <c r="F2858" t="s">
        <v>26</v>
      </c>
      <c r="G2858" s="28">
        <f>IFERROR(VLOOKUP(F2858,CARTON_LOOKUP!$A:$E,3,0),"")</f>
      </c>
      <c r="H2858" s="28">
        <f>IFERROR(VLOOKUP(F2858,CARTON_LOOKUP!$A:$E,4,0),"")</f>
      </c>
      <c r="I2858" s="28">
        <f>IFERROR(VLOOKUP(F2858,CARTON_LOOKUP!$A:$E,5,0),"")</f>
      </c>
      <c r="J2858" s="29">
        <f>IFERROR(VLOOKUP(F2858,CARTON_LOOKUP!$A:$E,2,0),"")</f>
      </c>
      <c r="K2858" s="29">
        <f>IFERROR(J2858*D2858,0)</f>
      </c>
      <c r="L2858" s="29">
        <f>IFERROR(E2858*C2858,0)</f>
      </c>
      <c r="M2858" s="29">
        <f>IFERROR((G2858*H2858*I2858/1000000)*D2858,0)</f>
      </c>
    </row>
    <row r="2859" spans="1:13" x14ac:dyDescent="0.25">
      <c r="A2859" s="16"/>
      <c r="E2859" s="27"/>
      <c r="F2859" t="s">
        <v>26</v>
      </c>
      <c r="G2859" s="28">
        <f>IFERROR(VLOOKUP(F2859,CARTON_LOOKUP!$A:$E,3,0),"")</f>
      </c>
      <c r="H2859" s="28">
        <f>IFERROR(VLOOKUP(F2859,CARTON_LOOKUP!$A:$E,4,0),"")</f>
      </c>
      <c r="I2859" s="28">
        <f>IFERROR(VLOOKUP(F2859,CARTON_LOOKUP!$A:$E,5,0),"")</f>
      </c>
      <c r="J2859" s="29">
        <f>IFERROR(VLOOKUP(F2859,CARTON_LOOKUP!$A:$E,2,0),"")</f>
      </c>
      <c r="K2859" s="29">
        <f>IFERROR(J2859*D2859,0)</f>
      </c>
      <c r="L2859" s="29">
        <f>IFERROR(E2859*C2859,0)</f>
      </c>
      <c r="M2859" s="29">
        <f>IFERROR((G2859*H2859*I2859/1000000)*D2859,0)</f>
      </c>
    </row>
    <row r="2860" spans="1:13" x14ac:dyDescent="0.25">
      <c r="A2860" s="16"/>
      <c r="E2860" s="27"/>
      <c r="F2860" t="s">
        <v>26</v>
      </c>
      <c r="G2860" s="28">
        <f>IFERROR(VLOOKUP(F2860,CARTON_LOOKUP!$A:$E,3,0),"")</f>
      </c>
      <c r="H2860" s="28">
        <f>IFERROR(VLOOKUP(F2860,CARTON_LOOKUP!$A:$E,4,0),"")</f>
      </c>
      <c r="I2860" s="28">
        <f>IFERROR(VLOOKUP(F2860,CARTON_LOOKUP!$A:$E,5,0),"")</f>
      </c>
      <c r="J2860" s="29">
        <f>IFERROR(VLOOKUP(F2860,CARTON_LOOKUP!$A:$E,2,0),"")</f>
      </c>
      <c r="K2860" s="29">
        <f>IFERROR(J2860*D2860,0)</f>
      </c>
      <c r="L2860" s="29">
        <f>IFERROR(E2860*C2860,0)</f>
      </c>
      <c r="M2860" s="29">
        <f>IFERROR((G2860*H2860*I2860/1000000)*D2860,0)</f>
      </c>
    </row>
    <row r="2861" spans="1:13" x14ac:dyDescent="0.25">
      <c r="A2861" s="16"/>
      <c r="E2861" s="27"/>
      <c r="F2861" t="s">
        <v>26</v>
      </c>
      <c r="G2861" s="28">
        <f>IFERROR(VLOOKUP(F2861,CARTON_LOOKUP!$A:$E,3,0),"")</f>
      </c>
      <c r="H2861" s="28">
        <f>IFERROR(VLOOKUP(F2861,CARTON_LOOKUP!$A:$E,4,0),"")</f>
      </c>
      <c r="I2861" s="28">
        <f>IFERROR(VLOOKUP(F2861,CARTON_LOOKUP!$A:$E,5,0),"")</f>
      </c>
      <c r="J2861" s="29">
        <f>IFERROR(VLOOKUP(F2861,CARTON_LOOKUP!$A:$E,2,0),"")</f>
      </c>
      <c r="K2861" s="29">
        <f>IFERROR(J2861*D2861,0)</f>
      </c>
      <c r="L2861" s="29">
        <f>IFERROR(E2861*C2861,0)</f>
      </c>
      <c r="M2861" s="29">
        <f>IFERROR((G2861*H2861*I2861/1000000)*D2861,0)</f>
      </c>
    </row>
    <row r="2862" spans="1:13" x14ac:dyDescent="0.25">
      <c r="A2862" s="16"/>
      <c r="E2862" s="27"/>
      <c r="F2862" t="s">
        <v>26</v>
      </c>
      <c r="G2862" s="28">
        <f>IFERROR(VLOOKUP(F2862,CARTON_LOOKUP!$A:$E,3,0),"")</f>
      </c>
      <c r="H2862" s="28">
        <f>IFERROR(VLOOKUP(F2862,CARTON_LOOKUP!$A:$E,4,0),"")</f>
      </c>
      <c r="I2862" s="28">
        <f>IFERROR(VLOOKUP(F2862,CARTON_LOOKUP!$A:$E,5,0),"")</f>
      </c>
      <c r="J2862" s="29">
        <f>IFERROR(VLOOKUP(F2862,CARTON_LOOKUP!$A:$E,2,0),"")</f>
      </c>
      <c r="K2862" s="29">
        <f>IFERROR(J2862*D2862,0)</f>
      </c>
      <c r="L2862" s="29">
        <f>IFERROR(E2862*C2862,0)</f>
      </c>
      <c r="M2862" s="29">
        <f>IFERROR((G2862*H2862*I2862/1000000)*D2862,0)</f>
      </c>
    </row>
    <row r="2863" spans="1:13" x14ac:dyDescent="0.25">
      <c r="A2863" s="16"/>
      <c r="E2863" s="27"/>
      <c r="F2863" t="s">
        <v>26</v>
      </c>
      <c r="G2863" s="28">
        <f>IFERROR(VLOOKUP(F2863,CARTON_LOOKUP!$A:$E,3,0),"")</f>
      </c>
      <c r="H2863" s="28">
        <f>IFERROR(VLOOKUP(F2863,CARTON_LOOKUP!$A:$E,4,0),"")</f>
      </c>
      <c r="I2863" s="28">
        <f>IFERROR(VLOOKUP(F2863,CARTON_LOOKUP!$A:$E,5,0),"")</f>
      </c>
      <c r="J2863" s="29">
        <f>IFERROR(VLOOKUP(F2863,CARTON_LOOKUP!$A:$E,2,0),"")</f>
      </c>
      <c r="K2863" s="29">
        <f>IFERROR(J2863*D2863,0)</f>
      </c>
      <c r="L2863" s="29">
        <f>IFERROR(E2863*C2863,0)</f>
      </c>
      <c r="M2863" s="29">
        <f>IFERROR((G2863*H2863*I2863/1000000)*D2863,0)</f>
      </c>
    </row>
    <row r="2864" spans="1:13" x14ac:dyDescent="0.25">
      <c r="A2864" s="16"/>
      <c r="E2864" s="27"/>
      <c r="F2864" t="s">
        <v>26</v>
      </c>
      <c r="G2864" s="28">
        <f>IFERROR(VLOOKUP(F2864,CARTON_LOOKUP!$A:$E,3,0),"")</f>
      </c>
      <c r="H2864" s="28">
        <f>IFERROR(VLOOKUP(F2864,CARTON_LOOKUP!$A:$E,4,0),"")</f>
      </c>
      <c r="I2864" s="28">
        <f>IFERROR(VLOOKUP(F2864,CARTON_LOOKUP!$A:$E,5,0),"")</f>
      </c>
      <c r="J2864" s="29">
        <f>IFERROR(VLOOKUP(F2864,CARTON_LOOKUP!$A:$E,2,0),"")</f>
      </c>
      <c r="K2864" s="29">
        <f>IFERROR(J2864*D2864,0)</f>
      </c>
      <c r="L2864" s="29">
        <f>IFERROR(E2864*C2864,0)</f>
      </c>
      <c r="M2864" s="29">
        <f>IFERROR((G2864*H2864*I2864/1000000)*D2864,0)</f>
      </c>
    </row>
    <row r="2865" spans="1:13" x14ac:dyDescent="0.25">
      <c r="A2865" s="16"/>
      <c r="E2865" s="27"/>
      <c r="F2865" t="s">
        <v>26</v>
      </c>
      <c r="G2865" s="28">
        <f>IFERROR(VLOOKUP(F2865,CARTON_LOOKUP!$A:$E,3,0),"")</f>
      </c>
      <c r="H2865" s="28">
        <f>IFERROR(VLOOKUP(F2865,CARTON_LOOKUP!$A:$E,4,0),"")</f>
      </c>
      <c r="I2865" s="28">
        <f>IFERROR(VLOOKUP(F2865,CARTON_LOOKUP!$A:$E,5,0),"")</f>
      </c>
      <c r="J2865" s="29">
        <f>IFERROR(VLOOKUP(F2865,CARTON_LOOKUP!$A:$E,2,0),"")</f>
      </c>
      <c r="K2865" s="29">
        <f>IFERROR(J2865*D2865,0)</f>
      </c>
      <c r="L2865" s="29">
        <f>IFERROR(E2865*C2865,0)</f>
      </c>
      <c r="M2865" s="29">
        <f>IFERROR((G2865*H2865*I2865/1000000)*D2865,0)</f>
      </c>
    </row>
    <row r="2866" spans="1:13" x14ac:dyDescent="0.25">
      <c r="A2866" s="16"/>
      <c r="E2866" s="27"/>
      <c r="F2866" t="s">
        <v>26</v>
      </c>
      <c r="G2866" s="28">
        <f>IFERROR(VLOOKUP(F2866,CARTON_LOOKUP!$A:$E,3,0),"")</f>
      </c>
      <c r="H2866" s="28">
        <f>IFERROR(VLOOKUP(F2866,CARTON_LOOKUP!$A:$E,4,0),"")</f>
      </c>
      <c r="I2866" s="28">
        <f>IFERROR(VLOOKUP(F2866,CARTON_LOOKUP!$A:$E,5,0),"")</f>
      </c>
      <c r="J2866" s="29">
        <f>IFERROR(VLOOKUP(F2866,CARTON_LOOKUP!$A:$E,2,0),"")</f>
      </c>
      <c r="K2866" s="29">
        <f>IFERROR(J2866*D2866,0)</f>
      </c>
      <c r="L2866" s="29">
        <f>IFERROR(E2866*C2866,0)</f>
      </c>
      <c r="M2866" s="29">
        <f>IFERROR((G2866*H2866*I2866/1000000)*D2866,0)</f>
      </c>
    </row>
    <row r="2867" spans="1:13" x14ac:dyDescent="0.25">
      <c r="A2867" s="16"/>
      <c r="E2867" s="27"/>
      <c r="F2867" t="s">
        <v>26</v>
      </c>
      <c r="G2867" s="28">
        <f>IFERROR(VLOOKUP(F2867,CARTON_LOOKUP!$A:$E,3,0),"")</f>
      </c>
      <c r="H2867" s="28">
        <f>IFERROR(VLOOKUP(F2867,CARTON_LOOKUP!$A:$E,4,0),"")</f>
      </c>
      <c r="I2867" s="28">
        <f>IFERROR(VLOOKUP(F2867,CARTON_LOOKUP!$A:$E,5,0),"")</f>
      </c>
      <c r="J2867" s="29">
        <f>IFERROR(VLOOKUP(F2867,CARTON_LOOKUP!$A:$E,2,0),"")</f>
      </c>
      <c r="K2867" s="29">
        <f>IFERROR(J2867*D2867,0)</f>
      </c>
      <c r="L2867" s="29">
        <f>IFERROR(E2867*C2867,0)</f>
      </c>
      <c r="M2867" s="29">
        <f>IFERROR((G2867*H2867*I2867/1000000)*D2867,0)</f>
      </c>
    </row>
    <row r="2868" spans="1:13" x14ac:dyDescent="0.25">
      <c r="A2868" s="16"/>
      <c r="E2868" s="27"/>
      <c r="F2868" t="s">
        <v>26</v>
      </c>
      <c r="G2868" s="28">
        <f>IFERROR(VLOOKUP(F2868,CARTON_LOOKUP!$A:$E,3,0),"")</f>
      </c>
      <c r="H2868" s="28">
        <f>IFERROR(VLOOKUP(F2868,CARTON_LOOKUP!$A:$E,4,0),"")</f>
      </c>
      <c r="I2868" s="28">
        <f>IFERROR(VLOOKUP(F2868,CARTON_LOOKUP!$A:$E,5,0),"")</f>
      </c>
      <c r="J2868" s="29">
        <f>IFERROR(VLOOKUP(F2868,CARTON_LOOKUP!$A:$E,2,0),"")</f>
      </c>
      <c r="K2868" s="29">
        <f>IFERROR(J2868*D2868,0)</f>
      </c>
      <c r="L2868" s="29">
        <f>IFERROR(E2868*C2868,0)</f>
      </c>
      <c r="M2868" s="29">
        <f>IFERROR((G2868*H2868*I2868/1000000)*D2868,0)</f>
      </c>
    </row>
    <row r="2869" spans="1:13" x14ac:dyDescent="0.25">
      <c r="A2869" s="16"/>
      <c r="E2869" s="27"/>
      <c r="F2869" t="s">
        <v>26</v>
      </c>
      <c r="G2869" s="28">
        <f>IFERROR(VLOOKUP(F2869,CARTON_LOOKUP!$A:$E,3,0),"")</f>
      </c>
      <c r="H2869" s="28">
        <f>IFERROR(VLOOKUP(F2869,CARTON_LOOKUP!$A:$E,4,0),"")</f>
      </c>
      <c r="I2869" s="28">
        <f>IFERROR(VLOOKUP(F2869,CARTON_LOOKUP!$A:$E,5,0),"")</f>
      </c>
      <c r="J2869" s="29">
        <f>IFERROR(VLOOKUP(F2869,CARTON_LOOKUP!$A:$E,2,0),"")</f>
      </c>
      <c r="K2869" s="29">
        <f>IFERROR(J2869*D2869,0)</f>
      </c>
      <c r="L2869" s="29">
        <f>IFERROR(E2869*C2869,0)</f>
      </c>
      <c r="M2869" s="29">
        <f>IFERROR((G2869*H2869*I2869/1000000)*D2869,0)</f>
      </c>
    </row>
    <row r="2870" spans="1:13" x14ac:dyDescent="0.25">
      <c r="A2870" s="16"/>
      <c r="E2870" s="27"/>
      <c r="F2870" t="s">
        <v>26</v>
      </c>
      <c r="G2870" s="28">
        <f>IFERROR(VLOOKUP(F2870,CARTON_LOOKUP!$A:$E,3,0),"")</f>
      </c>
      <c r="H2870" s="28">
        <f>IFERROR(VLOOKUP(F2870,CARTON_LOOKUP!$A:$E,4,0),"")</f>
      </c>
      <c r="I2870" s="28">
        <f>IFERROR(VLOOKUP(F2870,CARTON_LOOKUP!$A:$E,5,0),"")</f>
      </c>
      <c r="J2870" s="29">
        <f>IFERROR(VLOOKUP(F2870,CARTON_LOOKUP!$A:$E,2,0),"")</f>
      </c>
      <c r="K2870" s="29">
        <f>IFERROR(J2870*D2870,0)</f>
      </c>
      <c r="L2870" s="29">
        <f>IFERROR(E2870*C2870,0)</f>
      </c>
      <c r="M2870" s="29">
        <f>IFERROR((G2870*H2870*I2870/1000000)*D2870,0)</f>
      </c>
    </row>
    <row r="2871" spans="1:13" x14ac:dyDescent="0.25">
      <c r="A2871" s="16"/>
      <c r="E2871" s="27"/>
      <c r="F2871" t="s">
        <v>26</v>
      </c>
      <c r="G2871" s="28">
        <f>IFERROR(VLOOKUP(F2871,CARTON_LOOKUP!$A:$E,3,0),"")</f>
      </c>
      <c r="H2871" s="28">
        <f>IFERROR(VLOOKUP(F2871,CARTON_LOOKUP!$A:$E,4,0),"")</f>
      </c>
      <c r="I2871" s="28">
        <f>IFERROR(VLOOKUP(F2871,CARTON_LOOKUP!$A:$E,5,0),"")</f>
      </c>
      <c r="J2871" s="29">
        <f>IFERROR(VLOOKUP(F2871,CARTON_LOOKUP!$A:$E,2,0),"")</f>
      </c>
      <c r="K2871" s="29">
        <f>IFERROR(J2871*D2871,0)</f>
      </c>
      <c r="L2871" s="29">
        <f>IFERROR(E2871*C2871,0)</f>
      </c>
      <c r="M2871" s="29">
        <f>IFERROR((G2871*H2871*I2871/1000000)*D2871,0)</f>
      </c>
    </row>
    <row r="2872" spans="1:13" x14ac:dyDescent="0.25">
      <c r="A2872" s="16"/>
      <c r="E2872" s="27"/>
      <c r="F2872" t="s">
        <v>26</v>
      </c>
      <c r="G2872" s="28">
        <f>IFERROR(VLOOKUP(F2872,CARTON_LOOKUP!$A:$E,3,0),"")</f>
      </c>
      <c r="H2872" s="28">
        <f>IFERROR(VLOOKUP(F2872,CARTON_LOOKUP!$A:$E,4,0),"")</f>
      </c>
      <c r="I2872" s="28">
        <f>IFERROR(VLOOKUP(F2872,CARTON_LOOKUP!$A:$E,5,0),"")</f>
      </c>
      <c r="J2872" s="29">
        <f>IFERROR(VLOOKUP(F2872,CARTON_LOOKUP!$A:$E,2,0),"")</f>
      </c>
      <c r="K2872" s="29">
        <f>IFERROR(J2872*D2872,0)</f>
      </c>
      <c r="L2872" s="29">
        <f>IFERROR(E2872*C2872,0)</f>
      </c>
      <c r="M2872" s="29">
        <f>IFERROR((G2872*H2872*I2872/1000000)*D2872,0)</f>
      </c>
    </row>
    <row r="2873" spans="1:13" x14ac:dyDescent="0.25">
      <c r="A2873" s="16"/>
      <c r="E2873" s="27"/>
      <c r="F2873" t="s">
        <v>26</v>
      </c>
      <c r="G2873" s="28">
        <f>IFERROR(VLOOKUP(F2873,CARTON_LOOKUP!$A:$E,3,0),"")</f>
      </c>
      <c r="H2873" s="28">
        <f>IFERROR(VLOOKUP(F2873,CARTON_LOOKUP!$A:$E,4,0),"")</f>
      </c>
      <c r="I2873" s="28">
        <f>IFERROR(VLOOKUP(F2873,CARTON_LOOKUP!$A:$E,5,0),"")</f>
      </c>
      <c r="J2873" s="29">
        <f>IFERROR(VLOOKUP(F2873,CARTON_LOOKUP!$A:$E,2,0),"")</f>
      </c>
      <c r="K2873" s="29">
        <f>IFERROR(J2873*D2873,0)</f>
      </c>
      <c r="L2873" s="29">
        <f>IFERROR(E2873*C2873,0)</f>
      </c>
      <c r="M2873" s="29">
        <f>IFERROR((G2873*H2873*I2873/1000000)*D2873,0)</f>
      </c>
    </row>
    <row r="2874" spans="1:13" x14ac:dyDescent="0.25">
      <c r="A2874" s="16"/>
      <c r="E2874" s="27"/>
      <c r="F2874" t="s">
        <v>26</v>
      </c>
      <c r="G2874" s="28">
        <f>IFERROR(VLOOKUP(F2874,CARTON_LOOKUP!$A:$E,3,0),"")</f>
      </c>
      <c r="H2874" s="28">
        <f>IFERROR(VLOOKUP(F2874,CARTON_LOOKUP!$A:$E,4,0),"")</f>
      </c>
      <c r="I2874" s="28">
        <f>IFERROR(VLOOKUP(F2874,CARTON_LOOKUP!$A:$E,5,0),"")</f>
      </c>
      <c r="J2874" s="29">
        <f>IFERROR(VLOOKUP(F2874,CARTON_LOOKUP!$A:$E,2,0),"")</f>
      </c>
      <c r="K2874" s="29">
        <f>IFERROR(J2874*D2874,0)</f>
      </c>
      <c r="L2874" s="29">
        <f>IFERROR(E2874*C2874,0)</f>
      </c>
      <c r="M2874" s="29">
        <f>IFERROR((G2874*H2874*I2874/1000000)*D2874,0)</f>
      </c>
    </row>
    <row r="2875" spans="1:13" x14ac:dyDescent="0.25">
      <c r="A2875" s="16"/>
      <c r="E2875" s="27"/>
      <c r="F2875" t="s">
        <v>26</v>
      </c>
      <c r="G2875" s="28">
        <f>IFERROR(VLOOKUP(F2875,CARTON_LOOKUP!$A:$E,3,0),"")</f>
      </c>
      <c r="H2875" s="28">
        <f>IFERROR(VLOOKUP(F2875,CARTON_LOOKUP!$A:$E,4,0),"")</f>
      </c>
      <c r="I2875" s="28">
        <f>IFERROR(VLOOKUP(F2875,CARTON_LOOKUP!$A:$E,5,0),"")</f>
      </c>
      <c r="J2875" s="29">
        <f>IFERROR(VLOOKUP(F2875,CARTON_LOOKUP!$A:$E,2,0),"")</f>
      </c>
      <c r="K2875" s="29">
        <f>IFERROR(J2875*D2875,0)</f>
      </c>
      <c r="L2875" s="29">
        <f>IFERROR(E2875*C2875,0)</f>
      </c>
      <c r="M2875" s="29">
        <f>IFERROR((G2875*H2875*I2875/1000000)*D2875,0)</f>
      </c>
    </row>
    <row r="2876" spans="1:13" x14ac:dyDescent="0.25">
      <c r="A2876" s="16"/>
      <c r="E2876" s="27"/>
      <c r="F2876" t="s">
        <v>26</v>
      </c>
      <c r="G2876" s="28">
        <f>IFERROR(VLOOKUP(F2876,CARTON_LOOKUP!$A:$E,3,0),"")</f>
      </c>
      <c r="H2876" s="28">
        <f>IFERROR(VLOOKUP(F2876,CARTON_LOOKUP!$A:$E,4,0),"")</f>
      </c>
      <c r="I2876" s="28">
        <f>IFERROR(VLOOKUP(F2876,CARTON_LOOKUP!$A:$E,5,0),"")</f>
      </c>
      <c r="J2876" s="29">
        <f>IFERROR(VLOOKUP(F2876,CARTON_LOOKUP!$A:$E,2,0),"")</f>
      </c>
      <c r="K2876" s="29">
        <f>IFERROR(J2876*D2876,0)</f>
      </c>
      <c r="L2876" s="29">
        <f>IFERROR(E2876*C2876,0)</f>
      </c>
      <c r="M2876" s="29">
        <f>IFERROR((G2876*H2876*I2876/1000000)*D2876,0)</f>
      </c>
    </row>
    <row r="2877" spans="1:13" x14ac:dyDescent="0.25">
      <c r="A2877" s="16"/>
      <c r="E2877" s="27"/>
      <c r="F2877" t="s">
        <v>26</v>
      </c>
      <c r="G2877" s="28">
        <f>IFERROR(VLOOKUP(F2877,CARTON_LOOKUP!$A:$E,3,0),"")</f>
      </c>
      <c r="H2877" s="28">
        <f>IFERROR(VLOOKUP(F2877,CARTON_LOOKUP!$A:$E,4,0),"")</f>
      </c>
      <c r="I2877" s="28">
        <f>IFERROR(VLOOKUP(F2877,CARTON_LOOKUP!$A:$E,5,0),"")</f>
      </c>
      <c r="J2877" s="29">
        <f>IFERROR(VLOOKUP(F2877,CARTON_LOOKUP!$A:$E,2,0),"")</f>
      </c>
      <c r="K2877" s="29">
        <f>IFERROR(J2877*D2877,0)</f>
      </c>
      <c r="L2877" s="29">
        <f>IFERROR(E2877*C2877,0)</f>
      </c>
      <c r="M2877" s="29">
        <f>IFERROR((G2877*H2877*I2877/1000000)*D2877,0)</f>
      </c>
    </row>
    <row r="2878" spans="1:13" x14ac:dyDescent="0.25">
      <c r="A2878" s="16"/>
      <c r="E2878" s="27"/>
      <c r="F2878" t="s">
        <v>26</v>
      </c>
      <c r="G2878" s="28">
        <f>IFERROR(VLOOKUP(F2878,CARTON_LOOKUP!$A:$E,3,0),"")</f>
      </c>
      <c r="H2878" s="28">
        <f>IFERROR(VLOOKUP(F2878,CARTON_LOOKUP!$A:$E,4,0),"")</f>
      </c>
      <c r="I2878" s="28">
        <f>IFERROR(VLOOKUP(F2878,CARTON_LOOKUP!$A:$E,5,0),"")</f>
      </c>
      <c r="J2878" s="29">
        <f>IFERROR(VLOOKUP(F2878,CARTON_LOOKUP!$A:$E,2,0),"")</f>
      </c>
      <c r="K2878" s="29">
        <f>IFERROR(J2878*D2878,0)</f>
      </c>
      <c r="L2878" s="29">
        <f>IFERROR(E2878*C2878,0)</f>
      </c>
      <c r="M2878" s="29">
        <f>IFERROR((G2878*H2878*I2878/1000000)*D2878,0)</f>
      </c>
    </row>
    <row r="2879" spans="1:13" x14ac:dyDescent="0.25">
      <c r="A2879" s="16"/>
      <c r="E2879" s="27"/>
      <c r="F2879" t="s">
        <v>26</v>
      </c>
      <c r="G2879" s="28">
        <f>IFERROR(VLOOKUP(F2879,CARTON_LOOKUP!$A:$E,3,0),"")</f>
      </c>
      <c r="H2879" s="28">
        <f>IFERROR(VLOOKUP(F2879,CARTON_LOOKUP!$A:$E,4,0),"")</f>
      </c>
      <c r="I2879" s="28">
        <f>IFERROR(VLOOKUP(F2879,CARTON_LOOKUP!$A:$E,5,0),"")</f>
      </c>
      <c r="J2879" s="29">
        <f>IFERROR(VLOOKUP(F2879,CARTON_LOOKUP!$A:$E,2,0),"")</f>
      </c>
      <c r="K2879" s="29">
        <f>IFERROR(J2879*D2879,0)</f>
      </c>
      <c r="L2879" s="29">
        <f>IFERROR(E2879*C2879,0)</f>
      </c>
      <c r="M2879" s="29">
        <f>IFERROR((G2879*H2879*I2879/1000000)*D2879,0)</f>
      </c>
    </row>
    <row r="2880" spans="1:13" x14ac:dyDescent="0.25">
      <c r="A2880" s="16"/>
      <c r="E2880" s="27"/>
      <c r="F2880" t="s">
        <v>26</v>
      </c>
      <c r="G2880" s="28">
        <f>IFERROR(VLOOKUP(F2880,CARTON_LOOKUP!$A:$E,3,0),"")</f>
      </c>
      <c r="H2880" s="28">
        <f>IFERROR(VLOOKUP(F2880,CARTON_LOOKUP!$A:$E,4,0),"")</f>
      </c>
      <c r="I2880" s="28">
        <f>IFERROR(VLOOKUP(F2880,CARTON_LOOKUP!$A:$E,5,0),"")</f>
      </c>
      <c r="J2880" s="29">
        <f>IFERROR(VLOOKUP(F2880,CARTON_LOOKUP!$A:$E,2,0),"")</f>
      </c>
      <c r="K2880" s="29">
        <f>IFERROR(J2880*D2880,0)</f>
      </c>
      <c r="L2880" s="29">
        <f>IFERROR(E2880*C2880,0)</f>
      </c>
      <c r="M2880" s="29">
        <f>IFERROR((G2880*H2880*I2880/1000000)*D2880,0)</f>
      </c>
    </row>
    <row r="2881" spans="1:13" x14ac:dyDescent="0.25">
      <c r="A2881" s="16"/>
      <c r="E2881" s="27"/>
      <c r="F2881" t="s">
        <v>26</v>
      </c>
      <c r="G2881" s="28">
        <f>IFERROR(VLOOKUP(F2881,CARTON_LOOKUP!$A:$E,3,0),"")</f>
      </c>
      <c r="H2881" s="28">
        <f>IFERROR(VLOOKUP(F2881,CARTON_LOOKUP!$A:$E,4,0),"")</f>
      </c>
      <c r="I2881" s="28">
        <f>IFERROR(VLOOKUP(F2881,CARTON_LOOKUP!$A:$E,5,0),"")</f>
      </c>
      <c r="J2881" s="29">
        <f>IFERROR(VLOOKUP(F2881,CARTON_LOOKUP!$A:$E,2,0),"")</f>
      </c>
      <c r="K2881" s="29">
        <f>IFERROR(J2881*D2881,0)</f>
      </c>
      <c r="L2881" s="29">
        <f>IFERROR(E2881*C2881,0)</f>
      </c>
      <c r="M2881" s="29">
        <f>IFERROR((G2881*H2881*I2881/1000000)*D2881,0)</f>
      </c>
    </row>
    <row r="2882" spans="1:13" x14ac:dyDescent="0.25">
      <c r="A2882" s="16"/>
      <c r="E2882" s="27"/>
      <c r="F2882" t="s">
        <v>26</v>
      </c>
      <c r="G2882" s="28">
        <f>IFERROR(VLOOKUP(F2882,CARTON_LOOKUP!$A:$E,3,0),"")</f>
      </c>
      <c r="H2882" s="28">
        <f>IFERROR(VLOOKUP(F2882,CARTON_LOOKUP!$A:$E,4,0),"")</f>
      </c>
      <c r="I2882" s="28">
        <f>IFERROR(VLOOKUP(F2882,CARTON_LOOKUP!$A:$E,5,0),"")</f>
      </c>
      <c r="J2882" s="29">
        <f>IFERROR(VLOOKUP(F2882,CARTON_LOOKUP!$A:$E,2,0),"")</f>
      </c>
      <c r="K2882" s="29">
        <f>IFERROR(J2882*D2882,0)</f>
      </c>
      <c r="L2882" s="29">
        <f>IFERROR(E2882*C2882,0)</f>
      </c>
      <c r="M2882" s="29">
        <f>IFERROR((G2882*H2882*I2882/1000000)*D2882,0)</f>
      </c>
    </row>
    <row r="2883" spans="1:13" x14ac:dyDescent="0.25">
      <c r="A2883" s="16"/>
      <c r="E2883" s="27"/>
      <c r="F2883" t="s">
        <v>26</v>
      </c>
      <c r="G2883" s="28">
        <f>IFERROR(VLOOKUP(F2883,CARTON_LOOKUP!$A:$E,3,0),"")</f>
      </c>
      <c r="H2883" s="28">
        <f>IFERROR(VLOOKUP(F2883,CARTON_LOOKUP!$A:$E,4,0),"")</f>
      </c>
      <c r="I2883" s="28">
        <f>IFERROR(VLOOKUP(F2883,CARTON_LOOKUP!$A:$E,5,0),"")</f>
      </c>
      <c r="J2883" s="29">
        <f>IFERROR(VLOOKUP(F2883,CARTON_LOOKUP!$A:$E,2,0),"")</f>
      </c>
      <c r="K2883" s="29">
        <f>IFERROR(J2883*D2883,0)</f>
      </c>
      <c r="L2883" s="29">
        <f>IFERROR(E2883*C2883,0)</f>
      </c>
      <c r="M2883" s="29">
        <f>IFERROR((G2883*H2883*I2883/1000000)*D2883,0)</f>
      </c>
    </row>
    <row r="2884" spans="1:13" x14ac:dyDescent="0.25">
      <c r="A2884" s="16"/>
      <c r="E2884" s="27"/>
      <c r="F2884" t="s">
        <v>26</v>
      </c>
      <c r="G2884" s="28">
        <f>IFERROR(VLOOKUP(F2884,CARTON_LOOKUP!$A:$E,3,0),"")</f>
      </c>
      <c r="H2884" s="28">
        <f>IFERROR(VLOOKUP(F2884,CARTON_LOOKUP!$A:$E,4,0),"")</f>
      </c>
      <c r="I2884" s="28">
        <f>IFERROR(VLOOKUP(F2884,CARTON_LOOKUP!$A:$E,5,0),"")</f>
      </c>
      <c r="J2884" s="29">
        <f>IFERROR(VLOOKUP(F2884,CARTON_LOOKUP!$A:$E,2,0),"")</f>
      </c>
      <c r="K2884" s="29">
        <f>IFERROR(J2884*D2884,0)</f>
      </c>
      <c r="L2884" s="29">
        <f>IFERROR(E2884*C2884,0)</f>
      </c>
      <c r="M2884" s="29">
        <f>IFERROR((G2884*H2884*I2884/1000000)*D2884,0)</f>
      </c>
    </row>
    <row r="2885" spans="1:13" x14ac:dyDescent="0.25">
      <c r="A2885" s="16"/>
      <c r="E2885" s="27"/>
      <c r="F2885" t="s">
        <v>26</v>
      </c>
      <c r="G2885" s="28">
        <f>IFERROR(VLOOKUP(F2885,CARTON_LOOKUP!$A:$E,3,0),"")</f>
      </c>
      <c r="H2885" s="28">
        <f>IFERROR(VLOOKUP(F2885,CARTON_LOOKUP!$A:$E,4,0),"")</f>
      </c>
      <c r="I2885" s="28">
        <f>IFERROR(VLOOKUP(F2885,CARTON_LOOKUP!$A:$E,5,0),"")</f>
      </c>
      <c r="J2885" s="29">
        <f>IFERROR(VLOOKUP(F2885,CARTON_LOOKUP!$A:$E,2,0),"")</f>
      </c>
      <c r="K2885" s="29">
        <f>IFERROR(J2885*D2885,0)</f>
      </c>
      <c r="L2885" s="29">
        <f>IFERROR(E2885*C2885,0)</f>
      </c>
      <c r="M2885" s="29">
        <f>IFERROR((G2885*H2885*I2885/1000000)*D2885,0)</f>
      </c>
    </row>
    <row r="2886" spans="1:13" x14ac:dyDescent="0.25">
      <c r="A2886" s="16"/>
      <c r="E2886" s="27"/>
      <c r="F2886" t="s">
        <v>26</v>
      </c>
      <c r="G2886" s="28">
        <f>IFERROR(VLOOKUP(F2886,CARTON_LOOKUP!$A:$E,3,0),"")</f>
      </c>
      <c r="H2886" s="28">
        <f>IFERROR(VLOOKUP(F2886,CARTON_LOOKUP!$A:$E,4,0),"")</f>
      </c>
      <c r="I2886" s="28">
        <f>IFERROR(VLOOKUP(F2886,CARTON_LOOKUP!$A:$E,5,0),"")</f>
      </c>
      <c r="J2886" s="29">
        <f>IFERROR(VLOOKUP(F2886,CARTON_LOOKUP!$A:$E,2,0),"")</f>
      </c>
      <c r="K2886" s="29">
        <f>IFERROR(J2886*D2886,0)</f>
      </c>
      <c r="L2886" s="29">
        <f>IFERROR(E2886*C2886,0)</f>
      </c>
      <c r="M2886" s="29">
        <f>IFERROR((G2886*H2886*I2886/1000000)*D2886,0)</f>
      </c>
    </row>
    <row r="2887" spans="1:13" x14ac:dyDescent="0.25">
      <c r="A2887" s="16"/>
      <c r="E2887" s="27"/>
      <c r="F2887" t="s">
        <v>26</v>
      </c>
      <c r="G2887" s="28">
        <f>IFERROR(VLOOKUP(F2887,CARTON_LOOKUP!$A:$E,3,0),"")</f>
      </c>
      <c r="H2887" s="28">
        <f>IFERROR(VLOOKUP(F2887,CARTON_LOOKUP!$A:$E,4,0),"")</f>
      </c>
      <c r="I2887" s="28">
        <f>IFERROR(VLOOKUP(F2887,CARTON_LOOKUP!$A:$E,5,0),"")</f>
      </c>
      <c r="J2887" s="29">
        <f>IFERROR(VLOOKUP(F2887,CARTON_LOOKUP!$A:$E,2,0),"")</f>
      </c>
      <c r="K2887" s="29">
        <f>IFERROR(J2887*D2887,0)</f>
      </c>
      <c r="L2887" s="29">
        <f>IFERROR(E2887*C2887,0)</f>
      </c>
      <c r="M2887" s="29">
        <f>IFERROR((G2887*H2887*I2887/1000000)*D2887,0)</f>
      </c>
    </row>
    <row r="2888" spans="1:13" x14ac:dyDescent="0.25">
      <c r="A2888" s="16"/>
      <c r="E2888" s="27"/>
      <c r="F2888" t="s">
        <v>26</v>
      </c>
      <c r="G2888" s="28">
        <f>IFERROR(VLOOKUP(F2888,CARTON_LOOKUP!$A:$E,3,0),"")</f>
      </c>
      <c r="H2888" s="28">
        <f>IFERROR(VLOOKUP(F2888,CARTON_LOOKUP!$A:$E,4,0),"")</f>
      </c>
      <c r="I2888" s="28">
        <f>IFERROR(VLOOKUP(F2888,CARTON_LOOKUP!$A:$E,5,0),"")</f>
      </c>
      <c r="J2888" s="29">
        <f>IFERROR(VLOOKUP(F2888,CARTON_LOOKUP!$A:$E,2,0),"")</f>
      </c>
      <c r="K2888" s="29">
        <f>IFERROR(J2888*D2888,0)</f>
      </c>
      <c r="L2888" s="29">
        <f>IFERROR(E2888*C2888,0)</f>
      </c>
      <c r="M2888" s="29">
        <f>IFERROR((G2888*H2888*I2888/1000000)*D2888,0)</f>
      </c>
    </row>
    <row r="2889" spans="1:13" x14ac:dyDescent="0.25">
      <c r="A2889" s="16"/>
      <c r="E2889" s="27"/>
      <c r="F2889" t="s">
        <v>26</v>
      </c>
      <c r="G2889" s="28">
        <f>IFERROR(VLOOKUP(F2889,CARTON_LOOKUP!$A:$E,3,0),"")</f>
      </c>
      <c r="H2889" s="28">
        <f>IFERROR(VLOOKUP(F2889,CARTON_LOOKUP!$A:$E,4,0),"")</f>
      </c>
      <c r="I2889" s="28">
        <f>IFERROR(VLOOKUP(F2889,CARTON_LOOKUP!$A:$E,5,0),"")</f>
      </c>
      <c r="J2889" s="29">
        <f>IFERROR(VLOOKUP(F2889,CARTON_LOOKUP!$A:$E,2,0),"")</f>
      </c>
      <c r="K2889" s="29">
        <f>IFERROR(J2889*D2889,0)</f>
      </c>
      <c r="L2889" s="29">
        <f>IFERROR(E2889*C2889,0)</f>
      </c>
      <c r="M2889" s="29">
        <f>IFERROR((G2889*H2889*I2889/1000000)*D2889,0)</f>
      </c>
    </row>
    <row r="2890" spans="1:13" x14ac:dyDescent="0.25">
      <c r="A2890" s="16"/>
      <c r="E2890" s="27"/>
      <c r="F2890" t="s">
        <v>26</v>
      </c>
      <c r="G2890" s="28">
        <f>IFERROR(VLOOKUP(F2890,CARTON_LOOKUP!$A:$E,3,0),"")</f>
      </c>
      <c r="H2890" s="28">
        <f>IFERROR(VLOOKUP(F2890,CARTON_LOOKUP!$A:$E,4,0),"")</f>
      </c>
      <c r="I2890" s="28">
        <f>IFERROR(VLOOKUP(F2890,CARTON_LOOKUP!$A:$E,5,0),"")</f>
      </c>
      <c r="J2890" s="29">
        <f>IFERROR(VLOOKUP(F2890,CARTON_LOOKUP!$A:$E,2,0),"")</f>
      </c>
      <c r="K2890" s="29">
        <f>IFERROR(J2890*D2890,0)</f>
      </c>
      <c r="L2890" s="29">
        <f>IFERROR(E2890*C2890,0)</f>
      </c>
      <c r="M2890" s="29">
        <f>IFERROR((G2890*H2890*I2890/1000000)*D2890,0)</f>
      </c>
    </row>
    <row r="2891" spans="1:13" x14ac:dyDescent="0.25">
      <c r="A2891" s="16"/>
      <c r="E2891" s="27"/>
      <c r="F2891" t="s">
        <v>26</v>
      </c>
      <c r="G2891" s="28">
        <f>IFERROR(VLOOKUP(F2891,CARTON_LOOKUP!$A:$E,3,0),"")</f>
      </c>
      <c r="H2891" s="28">
        <f>IFERROR(VLOOKUP(F2891,CARTON_LOOKUP!$A:$E,4,0),"")</f>
      </c>
      <c r="I2891" s="28">
        <f>IFERROR(VLOOKUP(F2891,CARTON_LOOKUP!$A:$E,5,0),"")</f>
      </c>
      <c r="J2891" s="29">
        <f>IFERROR(VLOOKUP(F2891,CARTON_LOOKUP!$A:$E,2,0),"")</f>
      </c>
      <c r="K2891" s="29">
        <f>IFERROR(J2891*D2891,0)</f>
      </c>
      <c r="L2891" s="29">
        <f>IFERROR(E2891*C2891,0)</f>
      </c>
      <c r="M2891" s="29">
        <f>IFERROR((G2891*H2891*I2891/1000000)*D2891,0)</f>
      </c>
    </row>
    <row r="2892" spans="1:13" x14ac:dyDescent="0.25">
      <c r="A2892" s="16"/>
      <c r="E2892" s="27"/>
      <c r="F2892" t="s">
        <v>26</v>
      </c>
      <c r="G2892" s="28">
        <f>IFERROR(VLOOKUP(F2892,CARTON_LOOKUP!$A:$E,3,0),"")</f>
      </c>
      <c r="H2892" s="28">
        <f>IFERROR(VLOOKUP(F2892,CARTON_LOOKUP!$A:$E,4,0),"")</f>
      </c>
      <c r="I2892" s="28">
        <f>IFERROR(VLOOKUP(F2892,CARTON_LOOKUP!$A:$E,5,0),"")</f>
      </c>
      <c r="J2892" s="29">
        <f>IFERROR(VLOOKUP(F2892,CARTON_LOOKUP!$A:$E,2,0),"")</f>
      </c>
      <c r="K2892" s="29">
        <f>IFERROR(J2892*D2892,0)</f>
      </c>
      <c r="L2892" s="29">
        <f>IFERROR(E2892*C2892,0)</f>
      </c>
      <c r="M2892" s="29">
        <f>IFERROR((G2892*H2892*I2892/1000000)*D2892,0)</f>
      </c>
    </row>
    <row r="2893" spans="1:13" x14ac:dyDescent="0.25">
      <c r="A2893" s="16"/>
      <c r="E2893" s="27"/>
      <c r="F2893" t="s">
        <v>26</v>
      </c>
      <c r="G2893" s="28">
        <f>IFERROR(VLOOKUP(F2893,CARTON_LOOKUP!$A:$E,3,0),"")</f>
      </c>
      <c r="H2893" s="28">
        <f>IFERROR(VLOOKUP(F2893,CARTON_LOOKUP!$A:$E,4,0),"")</f>
      </c>
      <c r="I2893" s="28">
        <f>IFERROR(VLOOKUP(F2893,CARTON_LOOKUP!$A:$E,5,0),"")</f>
      </c>
      <c r="J2893" s="29">
        <f>IFERROR(VLOOKUP(F2893,CARTON_LOOKUP!$A:$E,2,0),"")</f>
      </c>
      <c r="K2893" s="29">
        <f>IFERROR(J2893*D2893,0)</f>
      </c>
      <c r="L2893" s="29">
        <f>IFERROR(E2893*C2893,0)</f>
      </c>
      <c r="M2893" s="29">
        <f>IFERROR((G2893*H2893*I2893/1000000)*D2893,0)</f>
      </c>
    </row>
    <row r="2894" spans="1:13" x14ac:dyDescent="0.25">
      <c r="A2894" s="16"/>
      <c r="E2894" s="27"/>
      <c r="F2894" t="s">
        <v>26</v>
      </c>
      <c r="G2894" s="28">
        <f>IFERROR(VLOOKUP(F2894,CARTON_LOOKUP!$A:$E,3,0),"")</f>
      </c>
      <c r="H2894" s="28">
        <f>IFERROR(VLOOKUP(F2894,CARTON_LOOKUP!$A:$E,4,0),"")</f>
      </c>
      <c r="I2894" s="28">
        <f>IFERROR(VLOOKUP(F2894,CARTON_LOOKUP!$A:$E,5,0),"")</f>
      </c>
      <c r="J2894" s="29">
        <f>IFERROR(VLOOKUP(F2894,CARTON_LOOKUP!$A:$E,2,0),"")</f>
      </c>
      <c r="K2894" s="29">
        <f>IFERROR(J2894*D2894,0)</f>
      </c>
      <c r="L2894" s="29">
        <f>IFERROR(E2894*C2894,0)</f>
      </c>
      <c r="M2894" s="29">
        <f>IFERROR((G2894*H2894*I2894/1000000)*D2894,0)</f>
      </c>
    </row>
    <row r="2895" spans="1:13" x14ac:dyDescent="0.25">
      <c r="A2895" s="16"/>
      <c r="E2895" s="27"/>
      <c r="F2895" t="s">
        <v>26</v>
      </c>
      <c r="G2895" s="28">
        <f>IFERROR(VLOOKUP(F2895,CARTON_LOOKUP!$A:$E,3,0),"")</f>
      </c>
      <c r="H2895" s="28">
        <f>IFERROR(VLOOKUP(F2895,CARTON_LOOKUP!$A:$E,4,0),"")</f>
      </c>
      <c r="I2895" s="28">
        <f>IFERROR(VLOOKUP(F2895,CARTON_LOOKUP!$A:$E,5,0),"")</f>
      </c>
      <c r="J2895" s="29">
        <f>IFERROR(VLOOKUP(F2895,CARTON_LOOKUP!$A:$E,2,0),"")</f>
      </c>
      <c r="K2895" s="29">
        <f>IFERROR(J2895*D2895,0)</f>
      </c>
      <c r="L2895" s="29">
        <f>IFERROR(E2895*C2895,0)</f>
      </c>
      <c r="M2895" s="29">
        <f>IFERROR((G2895*H2895*I2895/1000000)*D2895,0)</f>
      </c>
    </row>
    <row r="2896" spans="1:13" x14ac:dyDescent="0.25">
      <c r="A2896" s="16"/>
      <c r="E2896" s="27"/>
      <c r="F2896" t="s">
        <v>26</v>
      </c>
      <c r="G2896" s="28">
        <f>IFERROR(VLOOKUP(F2896,CARTON_LOOKUP!$A:$E,3,0),"")</f>
      </c>
      <c r="H2896" s="28">
        <f>IFERROR(VLOOKUP(F2896,CARTON_LOOKUP!$A:$E,4,0),"")</f>
      </c>
      <c r="I2896" s="28">
        <f>IFERROR(VLOOKUP(F2896,CARTON_LOOKUP!$A:$E,5,0),"")</f>
      </c>
      <c r="J2896" s="29">
        <f>IFERROR(VLOOKUP(F2896,CARTON_LOOKUP!$A:$E,2,0),"")</f>
      </c>
      <c r="K2896" s="29">
        <f>IFERROR(J2896*D2896,0)</f>
      </c>
      <c r="L2896" s="29">
        <f>IFERROR(E2896*C2896,0)</f>
      </c>
      <c r="M2896" s="29">
        <f>IFERROR((G2896*H2896*I2896/1000000)*D2896,0)</f>
      </c>
    </row>
    <row r="2897" spans="1:13" x14ac:dyDescent="0.25">
      <c r="A2897" s="16"/>
      <c r="E2897" s="27"/>
      <c r="F2897" t="s">
        <v>26</v>
      </c>
      <c r="G2897" s="28">
        <f>IFERROR(VLOOKUP(F2897,CARTON_LOOKUP!$A:$E,3,0),"")</f>
      </c>
      <c r="H2897" s="28">
        <f>IFERROR(VLOOKUP(F2897,CARTON_LOOKUP!$A:$E,4,0),"")</f>
      </c>
      <c r="I2897" s="28">
        <f>IFERROR(VLOOKUP(F2897,CARTON_LOOKUP!$A:$E,5,0),"")</f>
      </c>
      <c r="J2897" s="29">
        <f>IFERROR(VLOOKUP(F2897,CARTON_LOOKUP!$A:$E,2,0),"")</f>
      </c>
      <c r="K2897" s="29">
        <f>IFERROR(J2897*D2897,0)</f>
      </c>
      <c r="L2897" s="29">
        <f>IFERROR(E2897*C2897,0)</f>
      </c>
      <c r="M2897" s="29">
        <f>IFERROR((G2897*H2897*I2897/1000000)*D2897,0)</f>
      </c>
    </row>
    <row r="2898" spans="1:13" x14ac:dyDescent="0.25">
      <c r="A2898" s="16"/>
      <c r="E2898" s="27"/>
      <c r="F2898" t="s">
        <v>26</v>
      </c>
      <c r="G2898" s="28">
        <f>IFERROR(VLOOKUP(F2898,CARTON_LOOKUP!$A:$E,3,0),"")</f>
      </c>
      <c r="H2898" s="28">
        <f>IFERROR(VLOOKUP(F2898,CARTON_LOOKUP!$A:$E,4,0),"")</f>
      </c>
      <c r="I2898" s="28">
        <f>IFERROR(VLOOKUP(F2898,CARTON_LOOKUP!$A:$E,5,0),"")</f>
      </c>
      <c r="J2898" s="29">
        <f>IFERROR(VLOOKUP(F2898,CARTON_LOOKUP!$A:$E,2,0),"")</f>
      </c>
      <c r="K2898" s="29">
        <f>IFERROR(J2898*D2898,0)</f>
      </c>
      <c r="L2898" s="29">
        <f>IFERROR(E2898*C2898,0)</f>
      </c>
      <c r="M2898" s="29">
        <f>IFERROR((G2898*H2898*I2898/1000000)*D2898,0)</f>
      </c>
    </row>
    <row r="2899" spans="1:13" x14ac:dyDescent="0.25">
      <c r="A2899" s="16"/>
      <c r="E2899" s="27"/>
      <c r="F2899" t="s">
        <v>26</v>
      </c>
      <c r="G2899" s="28">
        <f>IFERROR(VLOOKUP(F2899,CARTON_LOOKUP!$A:$E,3,0),"")</f>
      </c>
      <c r="H2899" s="28">
        <f>IFERROR(VLOOKUP(F2899,CARTON_LOOKUP!$A:$E,4,0),"")</f>
      </c>
      <c r="I2899" s="28">
        <f>IFERROR(VLOOKUP(F2899,CARTON_LOOKUP!$A:$E,5,0),"")</f>
      </c>
      <c r="J2899" s="29">
        <f>IFERROR(VLOOKUP(F2899,CARTON_LOOKUP!$A:$E,2,0),"")</f>
      </c>
      <c r="K2899" s="29">
        <f>IFERROR(J2899*D2899,0)</f>
      </c>
      <c r="L2899" s="29">
        <f>IFERROR(E2899*C2899,0)</f>
      </c>
      <c r="M2899" s="29">
        <f>IFERROR((G2899*H2899*I2899/1000000)*D2899,0)</f>
      </c>
    </row>
    <row r="2900" spans="1:13" x14ac:dyDescent="0.25">
      <c r="A2900" s="16"/>
      <c r="E2900" s="27"/>
      <c r="F2900" t="s">
        <v>26</v>
      </c>
      <c r="G2900" s="28">
        <f>IFERROR(VLOOKUP(F2900,CARTON_LOOKUP!$A:$E,3,0),"")</f>
      </c>
      <c r="H2900" s="28">
        <f>IFERROR(VLOOKUP(F2900,CARTON_LOOKUP!$A:$E,4,0),"")</f>
      </c>
      <c r="I2900" s="28">
        <f>IFERROR(VLOOKUP(F2900,CARTON_LOOKUP!$A:$E,5,0),"")</f>
      </c>
      <c r="J2900" s="29">
        <f>IFERROR(VLOOKUP(F2900,CARTON_LOOKUP!$A:$E,2,0),"")</f>
      </c>
      <c r="K2900" s="29">
        <f>IFERROR(J2900*D2900,0)</f>
      </c>
      <c r="L2900" s="29">
        <f>IFERROR(E2900*C2900,0)</f>
      </c>
      <c r="M2900" s="29">
        <f>IFERROR((G2900*H2900*I2900/1000000)*D2900,0)</f>
      </c>
    </row>
    <row r="2901" spans="1:13" x14ac:dyDescent="0.25">
      <c r="A2901" s="16"/>
      <c r="E2901" s="27"/>
      <c r="F2901" t="s">
        <v>26</v>
      </c>
      <c r="G2901" s="28">
        <f>IFERROR(VLOOKUP(F2901,CARTON_LOOKUP!$A:$E,3,0),"")</f>
      </c>
      <c r="H2901" s="28">
        <f>IFERROR(VLOOKUP(F2901,CARTON_LOOKUP!$A:$E,4,0),"")</f>
      </c>
      <c r="I2901" s="28">
        <f>IFERROR(VLOOKUP(F2901,CARTON_LOOKUP!$A:$E,5,0),"")</f>
      </c>
      <c r="J2901" s="29">
        <f>IFERROR(VLOOKUP(F2901,CARTON_LOOKUP!$A:$E,2,0),"")</f>
      </c>
      <c r="K2901" s="29">
        <f>IFERROR(J2901*D2901,0)</f>
      </c>
      <c r="L2901" s="29">
        <f>IFERROR(E2901*C2901,0)</f>
      </c>
      <c r="M2901" s="29">
        <f>IFERROR((G2901*H2901*I2901/1000000)*D2901,0)</f>
      </c>
    </row>
    <row r="2902" spans="1:13" x14ac:dyDescent="0.25">
      <c r="A2902" s="16"/>
      <c r="E2902" s="27"/>
      <c r="F2902" t="s">
        <v>26</v>
      </c>
      <c r="G2902" s="28">
        <f>IFERROR(VLOOKUP(F2902,CARTON_LOOKUP!$A:$E,3,0),"")</f>
      </c>
      <c r="H2902" s="28">
        <f>IFERROR(VLOOKUP(F2902,CARTON_LOOKUP!$A:$E,4,0),"")</f>
      </c>
      <c r="I2902" s="28">
        <f>IFERROR(VLOOKUP(F2902,CARTON_LOOKUP!$A:$E,5,0),"")</f>
      </c>
      <c r="J2902" s="29">
        <f>IFERROR(VLOOKUP(F2902,CARTON_LOOKUP!$A:$E,2,0),"")</f>
      </c>
      <c r="K2902" s="29">
        <f>IFERROR(J2902*D2902,0)</f>
      </c>
      <c r="L2902" s="29">
        <f>IFERROR(E2902*C2902,0)</f>
      </c>
      <c r="M2902" s="29">
        <f>IFERROR((G2902*H2902*I2902/1000000)*D2902,0)</f>
      </c>
    </row>
    <row r="2903" spans="1:13" x14ac:dyDescent="0.25">
      <c r="A2903" s="16"/>
      <c r="E2903" s="27"/>
      <c r="F2903" t="s">
        <v>26</v>
      </c>
      <c r="G2903" s="28">
        <f>IFERROR(VLOOKUP(F2903,CARTON_LOOKUP!$A:$E,3,0),"")</f>
      </c>
      <c r="H2903" s="28">
        <f>IFERROR(VLOOKUP(F2903,CARTON_LOOKUP!$A:$E,4,0),"")</f>
      </c>
      <c r="I2903" s="28">
        <f>IFERROR(VLOOKUP(F2903,CARTON_LOOKUP!$A:$E,5,0),"")</f>
      </c>
      <c r="J2903" s="29">
        <f>IFERROR(VLOOKUP(F2903,CARTON_LOOKUP!$A:$E,2,0),"")</f>
      </c>
      <c r="K2903" s="29">
        <f>IFERROR(J2903*D2903,0)</f>
      </c>
      <c r="L2903" s="29">
        <f>IFERROR(E2903*C2903,0)</f>
      </c>
      <c r="M2903" s="29">
        <f>IFERROR((G2903*H2903*I2903/1000000)*D2903,0)</f>
      </c>
    </row>
    <row r="2904" spans="1:13" x14ac:dyDescent="0.25">
      <c r="A2904" s="16"/>
      <c r="E2904" s="27"/>
      <c r="F2904" t="s">
        <v>26</v>
      </c>
      <c r="G2904" s="28">
        <f>IFERROR(VLOOKUP(F2904,CARTON_LOOKUP!$A:$E,3,0),"")</f>
      </c>
      <c r="H2904" s="28">
        <f>IFERROR(VLOOKUP(F2904,CARTON_LOOKUP!$A:$E,4,0),"")</f>
      </c>
      <c r="I2904" s="28">
        <f>IFERROR(VLOOKUP(F2904,CARTON_LOOKUP!$A:$E,5,0),"")</f>
      </c>
      <c r="J2904" s="29">
        <f>IFERROR(VLOOKUP(F2904,CARTON_LOOKUP!$A:$E,2,0),"")</f>
      </c>
      <c r="K2904" s="29">
        <f>IFERROR(J2904*D2904,0)</f>
      </c>
      <c r="L2904" s="29">
        <f>IFERROR(E2904*C2904,0)</f>
      </c>
      <c r="M2904" s="29">
        <f>IFERROR((G2904*H2904*I2904/1000000)*D2904,0)</f>
      </c>
    </row>
    <row r="2905" spans="1:13" x14ac:dyDescent="0.25">
      <c r="A2905" s="16"/>
      <c r="E2905" s="27"/>
      <c r="F2905" t="s">
        <v>26</v>
      </c>
      <c r="G2905" s="28">
        <f>IFERROR(VLOOKUP(F2905,CARTON_LOOKUP!$A:$E,3,0),"")</f>
      </c>
      <c r="H2905" s="28">
        <f>IFERROR(VLOOKUP(F2905,CARTON_LOOKUP!$A:$E,4,0),"")</f>
      </c>
      <c r="I2905" s="28">
        <f>IFERROR(VLOOKUP(F2905,CARTON_LOOKUP!$A:$E,5,0),"")</f>
      </c>
      <c r="J2905" s="29">
        <f>IFERROR(VLOOKUP(F2905,CARTON_LOOKUP!$A:$E,2,0),"")</f>
      </c>
      <c r="K2905" s="29">
        <f>IFERROR(J2905*D2905,0)</f>
      </c>
      <c r="L2905" s="29">
        <f>IFERROR(E2905*C2905,0)</f>
      </c>
      <c r="M2905" s="29">
        <f>IFERROR((G2905*H2905*I2905/1000000)*D2905,0)</f>
      </c>
    </row>
    <row r="2906" spans="1:13" x14ac:dyDescent="0.25">
      <c r="A2906" s="16"/>
      <c r="E2906" s="27"/>
      <c r="F2906" t="s">
        <v>26</v>
      </c>
      <c r="G2906" s="28">
        <f>IFERROR(VLOOKUP(F2906,CARTON_LOOKUP!$A:$E,3,0),"")</f>
      </c>
      <c r="H2906" s="28">
        <f>IFERROR(VLOOKUP(F2906,CARTON_LOOKUP!$A:$E,4,0),"")</f>
      </c>
      <c r="I2906" s="28">
        <f>IFERROR(VLOOKUP(F2906,CARTON_LOOKUP!$A:$E,5,0),"")</f>
      </c>
      <c r="J2906" s="29">
        <f>IFERROR(VLOOKUP(F2906,CARTON_LOOKUP!$A:$E,2,0),"")</f>
      </c>
      <c r="K2906" s="29">
        <f>IFERROR(J2906*D2906,0)</f>
      </c>
      <c r="L2906" s="29">
        <f>IFERROR(E2906*C2906,0)</f>
      </c>
      <c r="M2906" s="29">
        <f>IFERROR((G2906*H2906*I2906/1000000)*D2906,0)</f>
      </c>
    </row>
    <row r="2907" spans="1:13" x14ac:dyDescent="0.25">
      <c r="A2907" s="16"/>
      <c r="E2907" s="27"/>
      <c r="F2907" t="s">
        <v>26</v>
      </c>
      <c r="G2907" s="28">
        <f>IFERROR(VLOOKUP(F2907,CARTON_LOOKUP!$A:$E,3,0),"")</f>
      </c>
      <c r="H2907" s="28">
        <f>IFERROR(VLOOKUP(F2907,CARTON_LOOKUP!$A:$E,4,0),"")</f>
      </c>
      <c r="I2907" s="28">
        <f>IFERROR(VLOOKUP(F2907,CARTON_LOOKUP!$A:$E,5,0),"")</f>
      </c>
      <c r="J2907" s="29">
        <f>IFERROR(VLOOKUP(F2907,CARTON_LOOKUP!$A:$E,2,0),"")</f>
      </c>
      <c r="K2907" s="29">
        <f>IFERROR(J2907*D2907,0)</f>
      </c>
      <c r="L2907" s="29">
        <f>IFERROR(E2907*C2907,0)</f>
      </c>
      <c r="M2907" s="29">
        <f>IFERROR((G2907*H2907*I2907/1000000)*D2907,0)</f>
      </c>
    </row>
    <row r="2908" spans="1:13" x14ac:dyDescent="0.25">
      <c r="A2908" s="16"/>
      <c r="E2908" s="27"/>
      <c r="F2908" t="s">
        <v>26</v>
      </c>
      <c r="G2908" s="28">
        <f>IFERROR(VLOOKUP(F2908,CARTON_LOOKUP!$A:$E,3,0),"")</f>
      </c>
      <c r="H2908" s="28">
        <f>IFERROR(VLOOKUP(F2908,CARTON_LOOKUP!$A:$E,4,0),"")</f>
      </c>
      <c r="I2908" s="28">
        <f>IFERROR(VLOOKUP(F2908,CARTON_LOOKUP!$A:$E,5,0),"")</f>
      </c>
      <c r="J2908" s="29">
        <f>IFERROR(VLOOKUP(F2908,CARTON_LOOKUP!$A:$E,2,0),"")</f>
      </c>
      <c r="K2908" s="29">
        <f>IFERROR(J2908*D2908,0)</f>
      </c>
      <c r="L2908" s="29">
        <f>IFERROR(E2908*C2908,0)</f>
      </c>
      <c r="M2908" s="29">
        <f>IFERROR((G2908*H2908*I2908/1000000)*D2908,0)</f>
      </c>
    </row>
    <row r="2909" spans="1:13" x14ac:dyDescent="0.25">
      <c r="A2909" s="16"/>
      <c r="E2909" s="27"/>
      <c r="F2909" t="s">
        <v>26</v>
      </c>
      <c r="G2909" s="28">
        <f>IFERROR(VLOOKUP(F2909,CARTON_LOOKUP!$A:$E,3,0),"")</f>
      </c>
      <c r="H2909" s="28">
        <f>IFERROR(VLOOKUP(F2909,CARTON_LOOKUP!$A:$E,4,0),"")</f>
      </c>
      <c r="I2909" s="28">
        <f>IFERROR(VLOOKUP(F2909,CARTON_LOOKUP!$A:$E,5,0),"")</f>
      </c>
      <c r="J2909" s="29">
        <f>IFERROR(VLOOKUP(F2909,CARTON_LOOKUP!$A:$E,2,0),"")</f>
      </c>
      <c r="K2909" s="29">
        <f>IFERROR(J2909*D2909,0)</f>
      </c>
      <c r="L2909" s="29">
        <f>IFERROR(E2909*C2909,0)</f>
      </c>
      <c r="M2909" s="29">
        <f>IFERROR((G2909*H2909*I2909/1000000)*D2909,0)</f>
      </c>
    </row>
    <row r="2910" spans="1:13" x14ac:dyDescent="0.25">
      <c r="A2910" s="16"/>
      <c r="E2910" s="27"/>
      <c r="F2910" t="s">
        <v>26</v>
      </c>
      <c r="G2910" s="28">
        <f>IFERROR(VLOOKUP(F2910,CARTON_LOOKUP!$A:$E,3,0),"")</f>
      </c>
      <c r="H2910" s="28">
        <f>IFERROR(VLOOKUP(F2910,CARTON_LOOKUP!$A:$E,4,0),"")</f>
      </c>
      <c r="I2910" s="28">
        <f>IFERROR(VLOOKUP(F2910,CARTON_LOOKUP!$A:$E,5,0),"")</f>
      </c>
      <c r="J2910" s="29">
        <f>IFERROR(VLOOKUP(F2910,CARTON_LOOKUP!$A:$E,2,0),"")</f>
      </c>
      <c r="K2910" s="29">
        <f>IFERROR(J2910*D2910,0)</f>
      </c>
      <c r="L2910" s="29">
        <f>IFERROR(E2910*C2910,0)</f>
      </c>
      <c r="M2910" s="29">
        <f>IFERROR((G2910*H2910*I2910/1000000)*D2910,0)</f>
      </c>
    </row>
    <row r="2911" spans="1:13" x14ac:dyDescent="0.25">
      <c r="A2911" s="16"/>
      <c r="E2911" s="27"/>
      <c r="F2911" t="s">
        <v>26</v>
      </c>
      <c r="G2911" s="28">
        <f>IFERROR(VLOOKUP(F2911,CARTON_LOOKUP!$A:$E,3,0),"")</f>
      </c>
      <c r="H2911" s="28">
        <f>IFERROR(VLOOKUP(F2911,CARTON_LOOKUP!$A:$E,4,0),"")</f>
      </c>
      <c r="I2911" s="28">
        <f>IFERROR(VLOOKUP(F2911,CARTON_LOOKUP!$A:$E,5,0),"")</f>
      </c>
      <c r="J2911" s="29">
        <f>IFERROR(VLOOKUP(F2911,CARTON_LOOKUP!$A:$E,2,0),"")</f>
      </c>
      <c r="K2911" s="29">
        <f>IFERROR(J2911*D2911,0)</f>
      </c>
      <c r="L2911" s="29">
        <f>IFERROR(E2911*C2911,0)</f>
      </c>
      <c r="M2911" s="29">
        <f>IFERROR((G2911*H2911*I2911/1000000)*D2911,0)</f>
      </c>
    </row>
    <row r="2912" spans="1:13" x14ac:dyDescent="0.25">
      <c r="A2912" s="16"/>
      <c r="E2912" s="27"/>
      <c r="F2912" t="s">
        <v>26</v>
      </c>
      <c r="G2912" s="28">
        <f>IFERROR(VLOOKUP(F2912,CARTON_LOOKUP!$A:$E,3,0),"")</f>
      </c>
      <c r="H2912" s="28">
        <f>IFERROR(VLOOKUP(F2912,CARTON_LOOKUP!$A:$E,4,0),"")</f>
      </c>
      <c r="I2912" s="28">
        <f>IFERROR(VLOOKUP(F2912,CARTON_LOOKUP!$A:$E,5,0),"")</f>
      </c>
      <c r="J2912" s="29">
        <f>IFERROR(VLOOKUP(F2912,CARTON_LOOKUP!$A:$E,2,0),"")</f>
      </c>
      <c r="K2912" s="29">
        <f>IFERROR(J2912*D2912,0)</f>
      </c>
      <c r="L2912" s="29">
        <f>IFERROR(E2912*C2912,0)</f>
      </c>
      <c r="M2912" s="29">
        <f>IFERROR((G2912*H2912*I2912/1000000)*D2912,0)</f>
      </c>
    </row>
    <row r="2913" spans="1:13" x14ac:dyDescent="0.25">
      <c r="A2913" s="16"/>
      <c r="E2913" s="27"/>
      <c r="F2913" t="s">
        <v>26</v>
      </c>
      <c r="G2913" s="28">
        <f>IFERROR(VLOOKUP(F2913,CARTON_LOOKUP!$A:$E,3,0),"")</f>
      </c>
      <c r="H2913" s="28">
        <f>IFERROR(VLOOKUP(F2913,CARTON_LOOKUP!$A:$E,4,0),"")</f>
      </c>
      <c r="I2913" s="28">
        <f>IFERROR(VLOOKUP(F2913,CARTON_LOOKUP!$A:$E,5,0),"")</f>
      </c>
      <c r="J2913" s="29">
        <f>IFERROR(VLOOKUP(F2913,CARTON_LOOKUP!$A:$E,2,0),"")</f>
      </c>
      <c r="K2913" s="29">
        <f>IFERROR(J2913*D2913,0)</f>
      </c>
      <c r="L2913" s="29">
        <f>IFERROR(E2913*C2913,0)</f>
      </c>
      <c r="M2913" s="29">
        <f>IFERROR((G2913*H2913*I2913/1000000)*D2913,0)</f>
      </c>
    </row>
    <row r="2914" spans="1:13" x14ac:dyDescent="0.25">
      <c r="A2914" s="16"/>
      <c r="E2914" s="27"/>
      <c r="F2914" t="s">
        <v>26</v>
      </c>
      <c r="G2914" s="28">
        <f>IFERROR(VLOOKUP(F2914,CARTON_LOOKUP!$A:$E,3,0),"")</f>
      </c>
      <c r="H2914" s="28">
        <f>IFERROR(VLOOKUP(F2914,CARTON_LOOKUP!$A:$E,4,0),"")</f>
      </c>
      <c r="I2914" s="28">
        <f>IFERROR(VLOOKUP(F2914,CARTON_LOOKUP!$A:$E,5,0),"")</f>
      </c>
      <c r="J2914" s="29">
        <f>IFERROR(VLOOKUP(F2914,CARTON_LOOKUP!$A:$E,2,0),"")</f>
      </c>
      <c r="K2914" s="29">
        <f>IFERROR(J2914*D2914,0)</f>
      </c>
      <c r="L2914" s="29">
        <f>IFERROR(E2914*C2914,0)</f>
      </c>
      <c r="M2914" s="29">
        <f>IFERROR((G2914*H2914*I2914/1000000)*D2914,0)</f>
      </c>
    </row>
    <row r="2915" spans="1:13" x14ac:dyDescent="0.25">
      <c r="A2915" s="16"/>
      <c r="E2915" s="27"/>
      <c r="F2915" t="s">
        <v>26</v>
      </c>
      <c r="G2915" s="28">
        <f>IFERROR(VLOOKUP(F2915,CARTON_LOOKUP!$A:$E,3,0),"")</f>
      </c>
      <c r="H2915" s="28">
        <f>IFERROR(VLOOKUP(F2915,CARTON_LOOKUP!$A:$E,4,0),"")</f>
      </c>
      <c r="I2915" s="28">
        <f>IFERROR(VLOOKUP(F2915,CARTON_LOOKUP!$A:$E,5,0),"")</f>
      </c>
      <c r="J2915" s="29">
        <f>IFERROR(VLOOKUP(F2915,CARTON_LOOKUP!$A:$E,2,0),"")</f>
      </c>
      <c r="K2915" s="29">
        <f>IFERROR(J2915*D2915,0)</f>
      </c>
      <c r="L2915" s="29">
        <f>IFERROR(E2915*C2915,0)</f>
      </c>
      <c r="M2915" s="29">
        <f>IFERROR((G2915*H2915*I2915/1000000)*D2915,0)</f>
      </c>
    </row>
    <row r="2916" spans="1:13" x14ac:dyDescent="0.25">
      <c r="A2916" s="16"/>
      <c r="E2916" s="27"/>
      <c r="F2916" t="s">
        <v>26</v>
      </c>
      <c r="G2916" s="28">
        <f>IFERROR(VLOOKUP(F2916,CARTON_LOOKUP!$A:$E,3,0),"")</f>
      </c>
      <c r="H2916" s="28">
        <f>IFERROR(VLOOKUP(F2916,CARTON_LOOKUP!$A:$E,4,0),"")</f>
      </c>
      <c r="I2916" s="28">
        <f>IFERROR(VLOOKUP(F2916,CARTON_LOOKUP!$A:$E,5,0),"")</f>
      </c>
      <c r="J2916" s="29">
        <f>IFERROR(VLOOKUP(F2916,CARTON_LOOKUP!$A:$E,2,0),"")</f>
      </c>
      <c r="K2916" s="29">
        <f>IFERROR(J2916*D2916,0)</f>
      </c>
      <c r="L2916" s="29">
        <f>IFERROR(E2916*C2916,0)</f>
      </c>
      <c r="M2916" s="29">
        <f>IFERROR((G2916*H2916*I2916/1000000)*D2916,0)</f>
      </c>
    </row>
    <row r="2917" spans="1:13" x14ac:dyDescent="0.25">
      <c r="A2917" s="16"/>
      <c r="E2917" s="27"/>
      <c r="F2917" t="s">
        <v>26</v>
      </c>
      <c r="G2917" s="28">
        <f>IFERROR(VLOOKUP(F2917,CARTON_LOOKUP!$A:$E,3,0),"")</f>
      </c>
      <c r="H2917" s="28">
        <f>IFERROR(VLOOKUP(F2917,CARTON_LOOKUP!$A:$E,4,0),"")</f>
      </c>
      <c r="I2917" s="28">
        <f>IFERROR(VLOOKUP(F2917,CARTON_LOOKUP!$A:$E,5,0),"")</f>
      </c>
      <c r="J2917" s="29">
        <f>IFERROR(VLOOKUP(F2917,CARTON_LOOKUP!$A:$E,2,0),"")</f>
      </c>
      <c r="K2917" s="29">
        <f>IFERROR(J2917*D2917,0)</f>
      </c>
      <c r="L2917" s="29">
        <f>IFERROR(E2917*C2917,0)</f>
      </c>
      <c r="M2917" s="29">
        <f>IFERROR((G2917*H2917*I2917/1000000)*D2917,0)</f>
      </c>
    </row>
    <row r="2918" spans="1:13" x14ac:dyDescent="0.25">
      <c r="A2918" s="16"/>
      <c r="E2918" s="27"/>
      <c r="F2918" t="s">
        <v>26</v>
      </c>
      <c r="G2918" s="28">
        <f>IFERROR(VLOOKUP(F2918,CARTON_LOOKUP!$A:$E,3,0),"")</f>
      </c>
      <c r="H2918" s="28">
        <f>IFERROR(VLOOKUP(F2918,CARTON_LOOKUP!$A:$E,4,0),"")</f>
      </c>
      <c r="I2918" s="28">
        <f>IFERROR(VLOOKUP(F2918,CARTON_LOOKUP!$A:$E,5,0),"")</f>
      </c>
      <c r="J2918" s="29">
        <f>IFERROR(VLOOKUP(F2918,CARTON_LOOKUP!$A:$E,2,0),"")</f>
      </c>
      <c r="K2918" s="29">
        <f>IFERROR(J2918*D2918,0)</f>
      </c>
      <c r="L2918" s="29">
        <f>IFERROR(E2918*C2918,0)</f>
      </c>
      <c r="M2918" s="29">
        <f>IFERROR((G2918*H2918*I2918/1000000)*D2918,0)</f>
      </c>
    </row>
    <row r="2919" spans="1:13" x14ac:dyDescent="0.25">
      <c r="A2919" s="16"/>
      <c r="E2919" s="27"/>
      <c r="F2919" t="s">
        <v>26</v>
      </c>
      <c r="G2919" s="28">
        <f>IFERROR(VLOOKUP(F2919,CARTON_LOOKUP!$A:$E,3,0),"")</f>
      </c>
      <c r="H2919" s="28">
        <f>IFERROR(VLOOKUP(F2919,CARTON_LOOKUP!$A:$E,4,0),"")</f>
      </c>
      <c r="I2919" s="28">
        <f>IFERROR(VLOOKUP(F2919,CARTON_LOOKUP!$A:$E,5,0),"")</f>
      </c>
      <c r="J2919" s="29">
        <f>IFERROR(VLOOKUP(F2919,CARTON_LOOKUP!$A:$E,2,0),"")</f>
      </c>
      <c r="K2919" s="29">
        <f>IFERROR(J2919*D2919,0)</f>
      </c>
      <c r="L2919" s="29">
        <f>IFERROR(E2919*C2919,0)</f>
      </c>
      <c r="M2919" s="29">
        <f>IFERROR((G2919*H2919*I2919/1000000)*D2919,0)</f>
      </c>
    </row>
    <row r="2920" spans="1:13" x14ac:dyDescent="0.25">
      <c r="A2920" s="16"/>
      <c r="E2920" s="27"/>
      <c r="F2920" t="s">
        <v>26</v>
      </c>
      <c r="G2920" s="28">
        <f>IFERROR(VLOOKUP(F2920,CARTON_LOOKUP!$A:$E,3,0),"")</f>
      </c>
      <c r="H2920" s="28">
        <f>IFERROR(VLOOKUP(F2920,CARTON_LOOKUP!$A:$E,4,0),"")</f>
      </c>
      <c r="I2920" s="28">
        <f>IFERROR(VLOOKUP(F2920,CARTON_LOOKUP!$A:$E,5,0),"")</f>
      </c>
      <c r="J2920" s="29">
        <f>IFERROR(VLOOKUP(F2920,CARTON_LOOKUP!$A:$E,2,0),"")</f>
      </c>
      <c r="K2920" s="29">
        <f>IFERROR(J2920*D2920,0)</f>
      </c>
      <c r="L2920" s="29">
        <f>IFERROR(E2920*C2920,0)</f>
      </c>
      <c r="M2920" s="29">
        <f>IFERROR((G2920*H2920*I2920/1000000)*D2920,0)</f>
      </c>
    </row>
    <row r="2921" spans="1:13" x14ac:dyDescent="0.25">
      <c r="A2921" s="16"/>
      <c r="E2921" s="27"/>
      <c r="F2921" t="s">
        <v>26</v>
      </c>
      <c r="G2921" s="28">
        <f>IFERROR(VLOOKUP(F2921,CARTON_LOOKUP!$A:$E,3,0),"")</f>
      </c>
      <c r="H2921" s="28">
        <f>IFERROR(VLOOKUP(F2921,CARTON_LOOKUP!$A:$E,4,0),"")</f>
      </c>
      <c r="I2921" s="28">
        <f>IFERROR(VLOOKUP(F2921,CARTON_LOOKUP!$A:$E,5,0),"")</f>
      </c>
      <c r="J2921" s="29">
        <f>IFERROR(VLOOKUP(F2921,CARTON_LOOKUP!$A:$E,2,0),"")</f>
      </c>
      <c r="K2921" s="29">
        <f>IFERROR(J2921*D2921,0)</f>
      </c>
      <c r="L2921" s="29">
        <f>IFERROR(E2921*C2921,0)</f>
      </c>
      <c r="M2921" s="29">
        <f>IFERROR((G2921*H2921*I2921/1000000)*D2921,0)</f>
      </c>
    </row>
    <row r="2922" spans="1:13" x14ac:dyDescent="0.25">
      <c r="A2922" s="16"/>
      <c r="E2922" s="27"/>
      <c r="F2922" t="s">
        <v>26</v>
      </c>
      <c r="G2922" s="28">
        <f>IFERROR(VLOOKUP(F2922,CARTON_LOOKUP!$A:$E,3,0),"")</f>
      </c>
      <c r="H2922" s="28">
        <f>IFERROR(VLOOKUP(F2922,CARTON_LOOKUP!$A:$E,4,0),"")</f>
      </c>
      <c r="I2922" s="28">
        <f>IFERROR(VLOOKUP(F2922,CARTON_LOOKUP!$A:$E,5,0),"")</f>
      </c>
      <c r="J2922" s="29">
        <f>IFERROR(VLOOKUP(F2922,CARTON_LOOKUP!$A:$E,2,0),"")</f>
      </c>
      <c r="K2922" s="29">
        <f>IFERROR(J2922*D2922,0)</f>
      </c>
      <c r="L2922" s="29">
        <f>IFERROR(E2922*C2922,0)</f>
      </c>
      <c r="M2922" s="29">
        <f>IFERROR((G2922*H2922*I2922/1000000)*D2922,0)</f>
      </c>
    </row>
    <row r="2923" spans="1:13" x14ac:dyDescent="0.25">
      <c r="A2923" s="16"/>
      <c r="E2923" s="27"/>
      <c r="F2923" t="s">
        <v>26</v>
      </c>
      <c r="G2923" s="28">
        <f>IFERROR(VLOOKUP(F2923,CARTON_LOOKUP!$A:$E,3,0),"")</f>
      </c>
      <c r="H2923" s="28">
        <f>IFERROR(VLOOKUP(F2923,CARTON_LOOKUP!$A:$E,4,0),"")</f>
      </c>
      <c r="I2923" s="28">
        <f>IFERROR(VLOOKUP(F2923,CARTON_LOOKUP!$A:$E,5,0),"")</f>
      </c>
      <c r="J2923" s="29">
        <f>IFERROR(VLOOKUP(F2923,CARTON_LOOKUP!$A:$E,2,0),"")</f>
      </c>
      <c r="K2923" s="29">
        <f>IFERROR(J2923*D2923,0)</f>
      </c>
      <c r="L2923" s="29">
        <f>IFERROR(E2923*C2923,0)</f>
      </c>
      <c r="M2923" s="29">
        <f>IFERROR((G2923*H2923*I2923/1000000)*D2923,0)</f>
      </c>
    </row>
    <row r="2924" spans="1:13" x14ac:dyDescent="0.25">
      <c r="A2924" s="16"/>
      <c r="E2924" s="27"/>
      <c r="F2924" t="s">
        <v>26</v>
      </c>
      <c r="G2924" s="28">
        <f>IFERROR(VLOOKUP(F2924,CARTON_LOOKUP!$A:$E,3,0),"")</f>
      </c>
      <c r="H2924" s="28">
        <f>IFERROR(VLOOKUP(F2924,CARTON_LOOKUP!$A:$E,4,0),"")</f>
      </c>
      <c r="I2924" s="28">
        <f>IFERROR(VLOOKUP(F2924,CARTON_LOOKUP!$A:$E,5,0),"")</f>
      </c>
      <c r="J2924" s="29">
        <f>IFERROR(VLOOKUP(F2924,CARTON_LOOKUP!$A:$E,2,0),"")</f>
      </c>
      <c r="K2924" s="29">
        <f>IFERROR(J2924*D2924,0)</f>
      </c>
      <c r="L2924" s="29">
        <f>IFERROR(E2924*C2924,0)</f>
      </c>
      <c r="M2924" s="29">
        <f>IFERROR((G2924*H2924*I2924/1000000)*D2924,0)</f>
      </c>
    </row>
    <row r="2925" spans="1:13" x14ac:dyDescent="0.25">
      <c r="A2925" s="16"/>
      <c r="E2925" s="27"/>
      <c r="F2925" t="s">
        <v>26</v>
      </c>
      <c r="G2925" s="28">
        <f>IFERROR(VLOOKUP(F2925,CARTON_LOOKUP!$A:$E,3,0),"")</f>
      </c>
      <c r="H2925" s="28">
        <f>IFERROR(VLOOKUP(F2925,CARTON_LOOKUP!$A:$E,4,0),"")</f>
      </c>
      <c r="I2925" s="28">
        <f>IFERROR(VLOOKUP(F2925,CARTON_LOOKUP!$A:$E,5,0),"")</f>
      </c>
      <c r="J2925" s="29">
        <f>IFERROR(VLOOKUP(F2925,CARTON_LOOKUP!$A:$E,2,0),"")</f>
      </c>
      <c r="K2925" s="29">
        <f>IFERROR(J2925*D2925,0)</f>
      </c>
      <c r="L2925" s="29">
        <f>IFERROR(E2925*C2925,0)</f>
      </c>
      <c r="M2925" s="29">
        <f>IFERROR((G2925*H2925*I2925/1000000)*D2925,0)</f>
      </c>
    </row>
    <row r="2926" spans="1:13" x14ac:dyDescent="0.25">
      <c r="A2926" s="16"/>
      <c r="E2926" s="27"/>
      <c r="F2926" t="s">
        <v>26</v>
      </c>
      <c r="G2926" s="28">
        <f>IFERROR(VLOOKUP(F2926,CARTON_LOOKUP!$A:$E,3,0),"")</f>
      </c>
      <c r="H2926" s="28">
        <f>IFERROR(VLOOKUP(F2926,CARTON_LOOKUP!$A:$E,4,0),"")</f>
      </c>
      <c r="I2926" s="28">
        <f>IFERROR(VLOOKUP(F2926,CARTON_LOOKUP!$A:$E,5,0),"")</f>
      </c>
      <c r="J2926" s="29">
        <f>IFERROR(VLOOKUP(F2926,CARTON_LOOKUP!$A:$E,2,0),"")</f>
      </c>
      <c r="K2926" s="29">
        <f>IFERROR(J2926*D2926,0)</f>
      </c>
      <c r="L2926" s="29">
        <f>IFERROR(E2926*C2926,0)</f>
      </c>
      <c r="M2926" s="29">
        <f>IFERROR((G2926*H2926*I2926/1000000)*D2926,0)</f>
      </c>
    </row>
    <row r="2927" spans="1:13" x14ac:dyDescent="0.25">
      <c r="A2927" s="16"/>
      <c r="E2927" s="27"/>
      <c r="F2927" t="s">
        <v>26</v>
      </c>
      <c r="G2927" s="28">
        <f>IFERROR(VLOOKUP(F2927,CARTON_LOOKUP!$A:$E,3,0),"")</f>
      </c>
      <c r="H2927" s="28">
        <f>IFERROR(VLOOKUP(F2927,CARTON_LOOKUP!$A:$E,4,0),"")</f>
      </c>
      <c r="I2927" s="28">
        <f>IFERROR(VLOOKUP(F2927,CARTON_LOOKUP!$A:$E,5,0),"")</f>
      </c>
      <c r="J2927" s="29">
        <f>IFERROR(VLOOKUP(F2927,CARTON_LOOKUP!$A:$E,2,0),"")</f>
      </c>
      <c r="K2927" s="29">
        <f>IFERROR(J2927*D2927,0)</f>
      </c>
      <c r="L2927" s="29">
        <f>IFERROR(E2927*C2927,0)</f>
      </c>
      <c r="M2927" s="29">
        <f>IFERROR((G2927*H2927*I2927/1000000)*D2927,0)</f>
      </c>
    </row>
    <row r="2928" spans="1:13" x14ac:dyDescent="0.25">
      <c r="A2928" s="16"/>
      <c r="E2928" s="27"/>
      <c r="F2928" t="s">
        <v>26</v>
      </c>
      <c r="G2928" s="28">
        <f>IFERROR(VLOOKUP(F2928,CARTON_LOOKUP!$A:$E,3,0),"")</f>
      </c>
      <c r="H2928" s="28">
        <f>IFERROR(VLOOKUP(F2928,CARTON_LOOKUP!$A:$E,4,0),"")</f>
      </c>
      <c r="I2928" s="28">
        <f>IFERROR(VLOOKUP(F2928,CARTON_LOOKUP!$A:$E,5,0),"")</f>
      </c>
      <c r="J2928" s="29">
        <f>IFERROR(VLOOKUP(F2928,CARTON_LOOKUP!$A:$E,2,0),"")</f>
      </c>
      <c r="K2928" s="29">
        <f>IFERROR(J2928*D2928,0)</f>
      </c>
      <c r="L2928" s="29">
        <f>IFERROR(E2928*C2928,0)</f>
      </c>
      <c r="M2928" s="29">
        <f>IFERROR((G2928*H2928*I2928/1000000)*D2928,0)</f>
      </c>
    </row>
    <row r="2929" spans="1:13" x14ac:dyDescent="0.25">
      <c r="A2929" s="16"/>
      <c r="E2929" s="27"/>
      <c r="F2929" t="s">
        <v>26</v>
      </c>
      <c r="G2929" s="28">
        <f>IFERROR(VLOOKUP(F2929,CARTON_LOOKUP!$A:$E,3,0),"")</f>
      </c>
      <c r="H2929" s="28">
        <f>IFERROR(VLOOKUP(F2929,CARTON_LOOKUP!$A:$E,4,0),"")</f>
      </c>
      <c r="I2929" s="28">
        <f>IFERROR(VLOOKUP(F2929,CARTON_LOOKUP!$A:$E,5,0),"")</f>
      </c>
      <c r="J2929" s="29">
        <f>IFERROR(VLOOKUP(F2929,CARTON_LOOKUP!$A:$E,2,0),"")</f>
      </c>
      <c r="K2929" s="29">
        <f>IFERROR(J2929*D2929,0)</f>
      </c>
      <c r="L2929" s="29">
        <f>IFERROR(E2929*C2929,0)</f>
      </c>
      <c r="M2929" s="29">
        <f>IFERROR((G2929*H2929*I2929/1000000)*D2929,0)</f>
      </c>
    </row>
    <row r="2930" spans="1:13" x14ac:dyDescent="0.25">
      <c r="A2930" s="16"/>
      <c r="E2930" s="27"/>
      <c r="F2930" t="s">
        <v>26</v>
      </c>
      <c r="G2930" s="28">
        <f>IFERROR(VLOOKUP(F2930,CARTON_LOOKUP!$A:$E,3,0),"")</f>
      </c>
      <c r="H2930" s="28">
        <f>IFERROR(VLOOKUP(F2930,CARTON_LOOKUP!$A:$E,4,0),"")</f>
      </c>
      <c r="I2930" s="28">
        <f>IFERROR(VLOOKUP(F2930,CARTON_LOOKUP!$A:$E,5,0),"")</f>
      </c>
      <c r="J2930" s="29">
        <f>IFERROR(VLOOKUP(F2930,CARTON_LOOKUP!$A:$E,2,0),"")</f>
      </c>
      <c r="K2930" s="29">
        <f>IFERROR(J2930*D2930,0)</f>
      </c>
      <c r="L2930" s="29">
        <f>IFERROR(E2930*C2930,0)</f>
      </c>
      <c r="M2930" s="29">
        <f>IFERROR((G2930*H2930*I2930/1000000)*D2930,0)</f>
      </c>
    </row>
    <row r="2931" spans="1:13" x14ac:dyDescent="0.25">
      <c r="A2931" s="16"/>
      <c r="E2931" s="27"/>
      <c r="F2931" t="s">
        <v>26</v>
      </c>
      <c r="G2931" s="28">
        <f>IFERROR(VLOOKUP(F2931,CARTON_LOOKUP!$A:$E,3,0),"")</f>
      </c>
      <c r="H2931" s="28">
        <f>IFERROR(VLOOKUP(F2931,CARTON_LOOKUP!$A:$E,4,0),"")</f>
      </c>
      <c r="I2931" s="28">
        <f>IFERROR(VLOOKUP(F2931,CARTON_LOOKUP!$A:$E,5,0),"")</f>
      </c>
      <c r="J2931" s="29">
        <f>IFERROR(VLOOKUP(F2931,CARTON_LOOKUP!$A:$E,2,0),"")</f>
      </c>
      <c r="K2931" s="29">
        <f>IFERROR(J2931*D2931,0)</f>
      </c>
      <c r="L2931" s="29">
        <f>IFERROR(E2931*C2931,0)</f>
      </c>
      <c r="M2931" s="29">
        <f>IFERROR((G2931*H2931*I2931/1000000)*D2931,0)</f>
      </c>
    </row>
    <row r="2932" spans="1:13" x14ac:dyDescent="0.25">
      <c r="A2932" s="16"/>
      <c r="E2932" s="27"/>
      <c r="F2932" t="s">
        <v>26</v>
      </c>
      <c r="G2932" s="28">
        <f>IFERROR(VLOOKUP(F2932,CARTON_LOOKUP!$A:$E,3,0),"")</f>
      </c>
      <c r="H2932" s="28">
        <f>IFERROR(VLOOKUP(F2932,CARTON_LOOKUP!$A:$E,4,0),"")</f>
      </c>
      <c r="I2932" s="28">
        <f>IFERROR(VLOOKUP(F2932,CARTON_LOOKUP!$A:$E,5,0),"")</f>
      </c>
      <c r="J2932" s="29">
        <f>IFERROR(VLOOKUP(F2932,CARTON_LOOKUP!$A:$E,2,0),"")</f>
      </c>
      <c r="K2932" s="29">
        <f>IFERROR(J2932*D2932,0)</f>
      </c>
      <c r="L2932" s="29">
        <f>IFERROR(E2932*C2932,0)</f>
      </c>
      <c r="M2932" s="29">
        <f>IFERROR((G2932*H2932*I2932/1000000)*D2932,0)</f>
      </c>
    </row>
    <row r="2933" spans="1:13" x14ac:dyDescent="0.25">
      <c r="A2933" s="16"/>
      <c r="E2933" s="27"/>
      <c r="F2933" t="s">
        <v>26</v>
      </c>
      <c r="G2933" s="28">
        <f>IFERROR(VLOOKUP(F2933,CARTON_LOOKUP!$A:$E,3,0),"")</f>
      </c>
      <c r="H2933" s="28">
        <f>IFERROR(VLOOKUP(F2933,CARTON_LOOKUP!$A:$E,4,0),"")</f>
      </c>
      <c r="I2933" s="28">
        <f>IFERROR(VLOOKUP(F2933,CARTON_LOOKUP!$A:$E,5,0),"")</f>
      </c>
      <c r="J2933" s="29">
        <f>IFERROR(VLOOKUP(F2933,CARTON_LOOKUP!$A:$E,2,0),"")</f>
      </c>
      <c r="K2933" s="29">
        <f>IFERROR(J2933*D2933,0)</f>
      </c>
      <c r="L2933" s="29">
        <f>IFERROR(E2933*C2933,0)</f>
      </c>
      <c r="M2933" s="29">
        <f>IFERROR((G2933*H2933*I2933/1000000)*D2933,0)</f>
      </c>
    </row>
    <row r="2934" spans="1:13" x14ac:dyDescent="0.25">
      <c r="A2934" s="16"/>
      <c r="E2934" s="27"/>
      <c r="F2934" t="s">
        <v>26</v>
      </c>
      <c r="G2934" s="28">
        <f>IFERROR(VLOOKUP(F2934,CARTON_LOOKUP!$A:$E,3,0),"")</f>
      </c>
      <c r="H2934" s="28">
        <f>IFERROR(VLOOKUP(F2934,CARTON_LOOKUP!$A:$E,4,0),"")</f>
      </c>
      <c r="I2934" s="28">
        <f>IFERROR(VLOOKUP(F2934,CARTON_LOOKUP!$A:$E,5,0),"")</f>
      </c>
      <c r="J2934" s="29">
        <f>IFERROR(VLOOKUP(F2934,CARTON_LOOKUP!$A:$E,2,0),"")</f>
      </c>
      <c r="K2934" s="29">
        <f>IFERROR(J2934*D2934,0)</f>
      </c>
      <c r="L2934" s="29">
        <f>IFERROR(E2934*C2934,0)</f>
      </c>
      <c r="M2934" s="29">
        <f>IFERROR((G2934*H2934*I2934/1000000)*D2934,0)</f>
      </c>
    </row>
    <row r="2935" spans="1:13" x14ac:dyDescent="0.25">
      <c r="A2935" s="16"/>
      <c r="E2935" s="27"/>
      <c r="F2935" t="s">
        <v>26</v>
      </c>
      <c r="G2935" s="28">
        <f>IFERROR(VLOOKUP(F2935,CARTON_LOOKUP!$A:$E,3,0),"")</f>
      </c>
      <c r="H2935" s="28">
        <f>IFERROR(VLOOKUP(F2935,CARTON_LOOKUP!$A:$E,4,0),"")</f>
      </c>
      <c r="I2935" s="28">
        <f>IFERROR(VLOOKUP(F2935,CARTON_LOOKUP!$A:$E,5,0),"")</f>
      </c>
      <c r="J2935" s="29">
        <f>IFERROR(VLOOKUP(F2935,CARTON_LOOKUP!$A:$E,2,0),"")</f>
      </c>
      <c r="K2935" s="29">
        <f>IFERROR(J2935*D2935,0)</f>
      </c>
      <c r="L2935" s="29">
        <f>IFERROR(E2935*C2935,0)</f>
      </c>
      <c r="M2935" s="29">
        <f>IFERROR((G2935*H2935*I2935/1000000)*D2935,0)</f>
      </c>
    </row>
    <row r="2936" spans="1:13" x14ac:dyDescent="0.25">
      <c r="A2936" s="16"/>
      <c r="E2936" s="27"/>
      <c r="F2936" t="s">
        <v>26</v>
      </c>
      <c r="G2936" s="28">
        <f>IFERROR(VLOOKUP(F2936,CARTON_LOOKUP!$A:$E,3,0),"")</f>
      </c>
      <c r="H2936" s="28">
        <f>IFERROR(VLOOKUP(F2936,CARTON_LOOKUP!$A:$E,4,0),"")</f>
      </c>
      <c r="I2936" s="28">
        <f>IFERROR(VLOOKUP(F2936,CARTON_LOOKUP!$A:$E,5,0),"")</f>
      </c>
      <c r="J2936" s="29">
        <f>IFERROR(VLOOKUP(F2936,CARTON_LOOKUP!$A:$E,2,0),"")</f>
      </c>
      <c r="K2936" s="29">
        <f>IFERROR(J2936*D2936,0)</f>
      </c>
      <c r="L2936" s="29">
        <f>IFERROR(E2936*C2936,0)</f>
      </c>
      <c r="M2936" s="29">
        <f>IFERROR((G2936*H2936*I2936/1000000)*D2936,0)</f>
      </c>
    </row>
    <row r="2937" spans="1:13" x14ac:dyDescent="0.25">
      <c r="A2937" s="16"/>
      <c r="E2937" s="27"/>
      <c r="F2937" t="s">
        <v>26</v>
      </c>
      <c r="G2937" s="28">
        <f>IFERROR(VLOOKUP(F2937,CARTON_LOOKUP!$A:$E,3,0),"")</f>
      </c>
      <c r="H2937" s="28">
        <f>IFERROR(VLOOKUP(F2937,CARTON_LOOKUP!$A:$E,4,0),"")</f>
      </c>
      <c r="I2937" s="28">
        <f>IFERROR(VLOOKUP(F2937,CARTON_LOOKUP!$A:$E,5,0),"")</f>
      </c>
      <c r="J2937" s="29">
        <f>IFERROR(VLOOKUP(F2937,CARTON_LOOKUP!$A:$E,2,0),"")</f>
      </c>
      <c r="K2937" s="29">
        <f>IFERROR(J2937*D2937,0)</f>
      </c>
      <c r="L2937" s="29">
        <f>IFERROR(E2937*C2937,0)</f>
      </c>
      <c r="M2937" s="29">
        <f>IFERROR((G2937*H2937*I2937/1000000)*D2937,0)</f>
      </c>
    </row>
    <row r="2938" spans="1:13" x14ac:dyDescent="0.25">
      <c r="A2938" s="16"/>
      <c r="E2938" s="27"/>
      <c r="F2938" t="s">
        <v>26</v>
      </c>
      <c r="G2938" s="28">
        <f>IFERROR(VLOOKUP(F2938,CARTON_LOOKUP!$A:$E,3,0),"")</f>
      </c>
      <c r="H2938" s="28">
        <f>IFERROR(VLOOKUP(F2938,CARTON_LOOKUP!$A:$E,4,0),"")</f>
      </c>
      <c r="I2938" s="28">
        <f>IFERROR(VLOOKUP(F2938,CARTON_LOOKUP!$A:$E,5,0),"")</f>
      </c>
      <c r="J2938" s="29">
        <f>IFERROR(VLOOKUP(F2938,CARTON_LOOKUP!$A:$E,2,0),"")</f>
      </c>
      <c r="K2938" s="29">
        <f>IFERROR(J2938*D2938,0)</f>
      </c>
      <c r="L2938" s="29">
        <f>IFERROR(E2938*C2938,0)</f>
      </c>
      <c r="M2938" s="29">
        <f>IFERROR((G2938*H2938*I2938/1000000)*D2938,0)</f>
      </c>
    </row>
    <row r="2939" spans="1:13" x14ac:dyDescent="0.25">
      <c r="A2939" s="16"/>
      <c r="E2939" s="27"/>
      <c r="F2939" t="s">
        <v>26</v>
      </c>
      <c r="G2939" s="28">
        <f>IFERROR(VLOOKUP(F2939,CARTON_LOOKUP!$A:$E,3,0),"")</f>
      </c>
      <c r="H2939" s="28">
        <f>IFERROR(VLOOKUP(F2939,CARTON_LOOKUP!$A:$E,4,0),"")</f>
      </c>
      <c r="I2939" s="28">
        <f>IFERROR(VLOOKUP(F2939,CARTON_LOOKUP!$A:$E,5,0),"")</f>
      </c>
      <c r="J2939" s="29">
        <f>IFERROR(VLOOKUP(F2939,CARTON_LOOKUP!$A:$E,2,0),"")</f>
      </c>
      <c r="K2939" s="29">
        <f>IFERROR(J2939*D2939,0)</f>
      </c>
      <c r="L2939" s="29">
        <f>IFERROR(E2939*C2939,0)</f>
      </c>
      <c r="M2939" s="29">
        <f>IFERROR((G2939*H2939*I2939/1000000)*D2939,0)</f>
      </c>
    </row>
    <row r="2940" spans="1:13" x14ac:dyDescent="0.25">
      <c r="A2940" s="16"/>
      <c r="E2940" s="27"/>
      <c r="F2940" t="s">
        <v>26</v>
      </c>
      <c r="G2940" s="28">
        <f>IFERROR(VLOOKUP(F2940,CARTON_LOOKUP!$A:$E,3,0),"")</f>
      </c>
      <c r="H2940" s="28">
        <f>IFERROR(VLOOKUP(F2940,CARTON_LOOKUP!$A:$E,4,0),"")</f>
      </c>
      <c r="I2940" s="28">
        <f>IFERROR(VLOOKUP(F2940,CARTON_LOOKUP!$A:$E,5,0),"")</f>
      </c>
      <c r="J2940" s="29">
        <f>IFERROR(VLOOKUP(F2940,CARTON_LOOKUP!$A:$E,2,0),"")</f>
      </c>
      <c r="K2940" s="29">
        <f>IFERROR(J2940*D2940,0)</f>
      </c>
      <c r="L2940" s="29">
        <f>IFERROR(E2940*C2940,0)</f>
      </c>
      <c r="M2940" s="29">
        <f>IFERROR((G2940*H2940*I2940/1000000)*D2940,0)</f>
      </c>
    </row>
    <row r="2941" spans="1:13" x14ac:dyDescent="0.25">
      <c r="A2941" s="16"/>
      <c r="E2941" s="27"/>
      <c r="F2941" t="s">
        <v>26</v>
      </c>
      <c r="G2941" s="28">
        <f>IFERROR(VLOOKUP(F2941,CARTON_LOOKUP!$A:$E,3,0),"")</f>
      </c>
      <c r="H2941" s="28">
        <f>IFERROR(VLOOKUP(F2941,CARTON_LOOKUP!$A:$E,4,0),"")</f>
      </c>
      <c r="I2941" s="28">
        <f>IFERROR(VLOOKUP(F2941,CARTON_LOOKUP!$A:$E,5,0),"")</f>
      </c>
      <c r="J2941" s="29">
        <f>IFERROR(VLOOKUP(F2941,CARTON_LOOKUP!$A:$E,2,0),"")</f>
      </c>
      <c r="K2941" s="29">
        <f>IFERROR(J2941*D2941,0)</f>
      </c>
      <c r="L2941" s="29">
        <f>IFERROR(E2941*C2941,0)</f>
      </c>
      <c r="M2941" s="29">
        <f>IFERROR((G2941*H2941*I2941/1000000)*D2941,0)</f>
      </c>
    </row>
    <row r="2942" spans="1:13" x14ac:dyDescent="0.25">
      <c r="A2942" s="16"/>
      <c r="E2942" s="27"/>
      <c r="F2942" t="s">
        <v>26</v>
      </c>
      <c r="G2942" s="28">
        <f>IFERROR(VLOOKUP(F2942,CARTON_LOOKUP!$A:$E,3,0),"")</f>
      </c>
      <c r="H2942" s="28">
        <f>IFERROR(VLOOKUP(F2942,CARTON_LOOKUP!$A:$E,4,0),"")</f>
      </c>
      <c r="I2942" s="28">
        <f>IFERROR(VLOOKUP(F2942,CARTON_LOOKUP!$A:$E,5,0),"")</f>
      </c>
      <c r="J2942" s="29">
        <f>IFERROR(VLOOKUP(F2942,CARTON_LOOKUP!$A:$E,2,0),"")</f>
      </c>
      <c r="K2942" s="29">
        <f>IFERROR(J2942*D2942,0)</f>
      </c>
      <c r="L2942" s="29">
        <f>IFERROR(E2942*C2942,0)</f>
      </c>
      <c r="M2942" s="29">
        <f>IFERROR((G2942*H2942*I2942/1000000)*D2942,0)</f>
      </c>
    </row>
    <row r="2943" spans="1:13" x14ac:dyDescent="0.25">
      <c r="A2943" s="16"/>
      <c r="E2943" s="27"/>
      <c r="F2943" t="s">
        <v>26</v>
      </c>
      <c r="G2943" s="28">
        <f>IFERROR(VLOOKUP(F2943,CARTON_LOOKUP!$A:$E,3,0),"")</f>
      </c>
      <c r="H2943" s="28">
        <f>IFERROR(VLOOKUP(F2943,CARTON_LOOKUP!$A:$E,4,0),"")</f>
      </c>
      <c r="I2943" s="28">
        <f>IFERROR(VLOOKUP(F2943,CARTON_LOOKUP!$A:$E,5,0),"")</f>
      </c>
      <c r="J2943" s="29">
        <f>IFERROR(VLOOKUP(F2943,CARTON_LOOKUP!$A:$E,2,0),"")</f>
      </c>
      <c r="K2943" s="29">
        <f>IFERROR(J2943*D2943,0)</f>
      </c>
      <c r="L2943" s="29">
        <f>IFERROR(E2943*C2943,0)</f>
      </c>
      <c r="M2943" s="29">
        <f>IFERROR((G2943*H2943*I2943/1000000)*D2943,0)</f>
      </c>
    </row>
    <row r="2944" spans="1:13" x14ac:dyDescent="0.25">
      <c r="A2944" s="16"/>
      <c r="E2944" s="27"/>
      <c r="F2944" t="s">
        <v>26</v>
      </c>
      <c r="G2944" s="28">
        <f>IFERROR(VLOOKUP(F2944,CARTON_LOOKUP!$A:$E,3,0),"")</f>
      </c>
      <c r="H2944" s="28">
        <f>IFERROR(VLOOKUP(F2944,CARTON_LOOKUP!$A:$E,4,0),"")</f>
      </c>
      <c r="I2944" s="28">
        <f>IFERROR(VLOOKUP(F2944,CARTON_LOOKUP!$A:$E,5,0),"")</f>
      </c>
      <c r="J2944" s="29">
        <f>IFERROR(VLOOKUP(F2944,CARTON_LOOKUP!$A:$E,2,0),"")</f>
      </c>
      <c r="K2944" s="29">
        <f>IFERROR(J2944*D2944,0)</f>
      </c>
      <c r="L2944" s="29">
        <f>IFERROR(E2944*C2944,0)</f>
      </c>
      <c r="M2944" s="29">
        <f>IFERROR((G2944*H2944*I2944/1000000)*D2944,0)</f>
      </c>
    </row>
    <row r="2945" spans="1:13" x14ac:dyDescent="0.25">
      <c r="A2945" s="16"/>
      <c r="E2945" s="27"/>
      <c r="F2945" t="s">
        <v>26</v>
      </c>
      <c r="G2945" s="28">
        <f>IFERROR(VLOOKUP(F2945,CARTON_LOOKUP!$A:$E,3,0),"")</f>
      </c>
      <c r="H2945" s="28">
        <f>IFERROR(VLOOKUP(F2945,CARTON_LOOKUP!$A:$E,4,0),"")</f>
      </c>
      <c r="I2945" s="28">
        <f>IFERROR(VLOOKUP(F2945,CARTON_LOOKUP!$A:$E,5,0),"")</f>
      </c>
      <c r="J2945" s="29">
        <f>IFERROR(VLOOKUP(F2945,CARTON_LOOKUP!$A:$E,2,0),"")</f>
      </c>
      <c r="K2945" s="29">
        <f>IFERROR(J2945*D2945,0)</f>
      </c>
      <c r="L2945" s="29">
        <f>IFERROR(E2945*C2945,0)</f>
      </c>
      <c r="M2945" s="29">
        <f>IFERROR((G2945*H2945*I2945/1000000)*D2945,0)</f>
      </c>
    </row>
    <row r="2946" spans="1:13" x14ac:dyDescent="0.25">
      <c r="A2946" s="16"/>
      <c r="E2946" s="27"/>
      <c r="F2946" t="s">
        <v>26</v>
      </c>
      <c r="G2946" s="28">
        <f>IFERROR(VLOOKUP(F2946,CARTON_LOOKUP!$A:$E,3,0),"")</f>
      </c>
      <c r="H2946" s="28">
        <f>IFERROR(VLOOKUP(F2946,CARTON_LOOKUP!$A:$E,4,0),"")</f>
      </c>
      <c r="I2946" s="28">
        <f>IFERROR(VLOOKUP(F2946,CARTON_LOOKUP!$A:$E,5,0),"")</f>
      </c>
      <c r="J2946" s="29">
        <f>IFERROR(VLOOKUP(F2946,CARTON_LOOKUP!$A:$E,2,0),"")</f>
      </c>
      <c r="K2946" s="29">
        <f>IFERROR(J2946*D2946,0)</f>
      </c>
      <c r="L2946" s="29">
        <f>IFERROR(E2946*C2946,0)</f>
      </c>
      <c r="M2946" s="29">
        <f>IFERROR((G2946*H2946*I2946/1000000)*D2946,0)</f>
      </c>
    </row>
    <row r="2947" spans="1:13" x14ac:dyDescent="0.25">
      <c r="A2947" s="16"/>
      <c r="E2947" s="27"/>
      <c r="F2947" t="s">
        <v>26</v>
      </c>
      <c r="G2947" s="28">
        <f>IFERROR(VLOOKUP(F2947,CARTON_LOOKUP!$A:$E,3,0),"")</f>
      </c>
      <c r="H2947" s="28">
        <f>IFERROR(VLOOKUP(F2947,CARTON_LOOKUP!$A:$E,4,0),"")</f>
      </c>
      <c r="I2947" s="28">
        <f>IFERROR(VLOOKUP(F2947,CARTON_LOOKUP!$A:$E,5,0),"")</f>
      </c>
      <c r="J2947" s="29">
        <f>IFERROR(VLOOKUP(F2947,CARTON_LOOKUP!$A:$E,2,0),"")</f>
      </c>
      <c r="K2947" s="29">
        <f>IFERROR(J2947*D2947,0)</f>
      </c>
      <c r="L2947" s="29">
        <f>IFERROR(E2947*C2947,0)</f>
      </c>
      <c r="M2947" s="29">
        <f>IFERROR((G2947*H2947*I2947/1000000)*D2947,0)</f>
      </c>
    </row>
    <row r="2948" spans="1:13" x14ac:dyDescent="0.25">
      <c r="A2948" s="16"/>
      <c r="E2948" s="27"/>
      <c r="F2948" t="s">
        <v>26</v>
      </c>
      <c r="G2948" s="28">
        <f>IFERROR(VLOOKUP(F2948,CARTON_LOOKUP!$A:$E,3,0),"")</f>
      </c>
      <c r="H2948" s="28">
        <f>IFERROR(VLOOKUP(F2948,CARTON_LOOKUP!$A:$E,4,0),"")</f>
      </c>
      <c r="I2948" s="28">
        <f>IFERROR(VLOOKUP(F2948,CARTON_LOOKUP!$A:$E,5,0),"")</f>
      </c>
      <c r="J2948" s="29">
        <f>IFERROR(VLOOKUP(F2948,CARTON_LOOKUP!$A:$E,2,0),"")</f>
      </c>
      <c r="K2948" s="29">
        <f>IFERROR(J2948*D2948,0)</f>
      </c>
      <c r="L2948" s="29">
        <f>IFERROR(E2948*C2948,0)</f>
      </c>
      <c r="M2948" s="29">
        <f>IFERROR((G2948*H2948*I2948/1000000)*D2948,0)</f>
      </c>
    </row>
    <row r="2949" spans="1:13" x14ac:dyDescent="0.25">
      <c r="A2949" s="16"/>
      <c r="E2949" s="27"/>
      <c r="F2949" t="s">
        <v>26</v>
      </c>
      <c r="G2949" s="28">
        <f>IFERROR(VLOOKUP(F2949,CARTON_LOOKUP!$A:$E,3,0),"")</f>
      </c>
      <c r="H2949" s="28">
        <f>IFERROR(VLOOKUP(F2949,CARTON_LOOKUP!$A:$E,4,0),"")</f>
      </c>
      <c r="I2949" s="28">
        <f>IFERROR(VLOOKUP(F2949,CARTON_LOOKUP!$A:$E,5,0),"")</f>
      </c>
      <c r="J2949" s="29">
        <f>IFERROR(VLOOKUP(F2949,CARTON_LOOKUP!$A:$E,2,0),"")</f>
      </c>
      <c r="K2949" s="29">
        <f>IFERROR(J2949*D2949,0)</f>
      </c>
      <c r="L2949" s="29">
        <f>IFERROR(E2949*C2949,0)</f>
      </c>
      <c r="M2949" s="29">
        <f>IFERROR((G2949*H2949*I2949/1000000)*D2949,0)</f>
      </c>
    </row>
    <row r="2950" spans="1:13" x14ac:dyDescent="0.25">
      <c r="A2950" s="16"/>
      <c r="E2950" s="27"/>
      <c r="F2950" t="s">
        <v>26</v>
      </c>
      <c r="G2950" s="28">
        <f>IFERROR(VLOOKUP(F2950,CARTON_LOOKUP!$A:$E,3,0),"")</f>
      </c>
      <c r="H2950" s="28">
        <f>IFERROR(VLOOKUP(F2950,CARTON_LOOKUP!$A:$E,4,0),"")</f>
      </c>
      <c r="I2950" s="28">
        <f>IFERROR(VLOOKUP(F2950,CARTON_LOOKUP!$A:$E,5,0),"")</f>
      </c>
      <c r="J2950" s="29">
        <f>IFERROR(VLOOKUP(F2950,CARTON_LOOKUP!$A:$E,2,0),"")</f>
      </c>
      <c r="K2950" s="29">
        <f>IFERROR(J2950*D2950,0)</f>
      </c>
      <c r="L2950" s="29">
        <f>IFERROR(E2950*C2950,0)</f>
      </c>
      <c r="M2950" s="29">
        <f>IFERROR((G2950*H2950*I2950/1000000)*D2950,0)</f>
      </c>
    </row>
    <row r="2951" spans="1:13" x14ac:dyDescent="0.25">
      <c r="A2951" s="16"/>
      <c r="E2951" s="27"/>
      <c r="F2951" t="s">
        <v>26</v>
      </c>
      <c r="G2951" s="28">
        <f>IFERROR(VLOOKUP(F2951,CARTON_LOOKUP!$A:$E,3,0),"")</f>
      </c>
      <c r="H2951" s="28">
        <f>IFERROR(VLOOKUP(F2951,CARTON_LOOKUP!$A:$E,4,0),"")</f>
      </c>
      <c r="I2951" s="28">
        <f>IFERROR(VLOOKUP(F2951,CARTON_LOOKUP!$A:$E,5,0),"")</f>
      </c>
      <c r="J2951" s="29">
        <f>IFERROR(VLOOKUP(F2951,CARTON_LOOKUP!$A:$E,2,0),"")</f>
      </c>
      <c r="K2951" s="29">
        <f>IFERROR(J2951*D2951,0)</f>
      </c>
      <c r="L2951" s="29">
        <f>IFERROR(E2951*C2951,0)</f>
      </c>
      <c r="M2951" s="29">
        <f>IFERROR((G2951*H2951*I2951/1000000)*D2951,0)</f>
      </c>
    </row>
    <row r="2952" spans="1:13" x14ac:dyDescent="0.25">
      <c r="A2952" s="16"/>
      <c r="E2952" s="27"/>
      <c r="F2952" t="s">
        <v>26</v>
      </c>
      <c r="G2952" s="28">
        <f>IFERROR(VLOOKUP(F2952,CARTON_LOOKUP!$A:$E,3,0),"")</f>
      </c>
      <c r="H2952" s="28">
        <f>IFERROR(VLOOKUP(F2952,CARTON_LOOKUP!$A:$E,4,0),"")</f>
      </c>
      <c r="I2952" s="28">
        <f>IFERROR(VLOOKUP(F2952,CARTON_LOOKUP!$A:$E,5,0),"")</f>
      </c>
      <c r="J2952" s="29">
        <f>IFERROR(VLOOKUP(F2952,CARTON_LOOKUP!$A:$E,2,0),"")</f>
      </c>
      <c r="K2952" s="29">
        <f>IFERROR(J2952*D2952,0)</f>
      </c>
      <c r="L2952" s="29">
        <f>IFERROR(E2952*C2952,0)</f>
      </c>
      <c r="M2952" s="29">
        <f>IFERROR((G2952*H2952*I2952/1000000)*D2952,0)</f>
      </c>
    </row>
    <row r="2953" spans="1:13" x14ac:dyDescent="0.25">
      <c r="A2953" s="16"/>
      <c r="E2953" s="27"/>
      <c r="F2953" t="s">
        <v>26</v>
      </c>
      <c r="G2953" s="28">
        <f>IFERROR(VLOOKUP(F2953,CARTON_LOOKUP!$A:$E,3,0),"")</f>
      </c>
      <c r="H2953" s="28">
        <f>IFERROR(VLOOKUP(F2953,CARTON_LOOKUP!$A:$E,4,0),"")</f>
      </c>
      <c r="I2953" s="28">
        <f>IFERROR(VLOOKUP(F2953,CARTON_LOOKUP!$A:$E,5,0),"")</f>
      </c>
      <c r="J2953" s="29">
        <f>IFERROR(VLOOKUP(F2953,CARTON_LOOKUP!$A:$E,2,0),"")</f>
      </c>
      <c r="K2953" s="29">
        <f>IFERROR(J2953*D2953,0)</f>
      </c>
      <c r="L2953" s="29">
        <f>IFERROR(E2953*C2953,0)</f>
      </c>
      <c r="M2953" s="29">
        <f>IFERROR((G2953*H2953*I2953/1000000)*D2953,0)</f>
      </c>
    </row>
    <row r="2954" spans="1:13" x14ac:dyDescent="0.25">
      <c r="A2954" s="16"/>
      <c r="E2954" s="27"/>
      <c r="F2954" t="s">
        <v>26</v>
      </c>
      <c r="G2954" s="28">
        <f>IFERROR(VLOOKUP(F2954,CARTON_LOOKUP!$A:$E,3,0),"")</f>
      </c>
      <c r="H2954" s="28">
        <f>IFERROR(VLOOKUP(F2954,CARTON_LOOKUP!$A:$E,4,0),"")</f>
      </c>
      <c r="I2954" s="28">
        <f>IFERROR(VLOOKUP(F2954,CARTON_LOOKUP!$A:$E,5,0),"")</f>
      </c>
      <c r="J2954" s="29">
        <f>IFERROR(VLOOKUP(F2954,CARTON_LOOKUP!$A:$E,2,0),"")</f>
      </c>
      <c r="K2954" s="29">
        <f>IFERROR(J2954*D2954,0)</f>
      </c>
      <c r="L2954" s="29">
        <f>IFERROR(E2954*C2954,0)</f>
      </c>
      <c r="M2954" s="29">
        <f>IFERROR((G2954*H2954*I2954/1000000)*D2954,0)</f>
      </c>
    </row>
    <row r="2955" spans="1:13" x14ac:dyDescent="0.25">
      <c r="A2955" s="16"/>
      <c r="E2955" s="27"/>
      <c r="F2955" t="s">
        <v>26</v>
      </c>
      <c r="G2955" s="28">
        <f>IFERROR(VLOOKUP(F2955,CARTON_LOOKUP!$A:$E,3,0),"")</f>
      </c>
      <c r="H2955" s="28">
        <f>IFERROR(VLOOKUP(F2955,CARTON_LOOKUP!$A:$E,4,0),"")</f>
      </c>
      <c r="I2955" s="28">
        <f>IFERROR(VLOOKUP(F2955,CARTON_LOOKUP!$A:$E,5,0),"")</f>
      </c>
      <c r="J2955" s="29">
        <f>IFERROR(VLOOKUP(F2955,CARTON_LOOKUP!$A:$E,2,0),"")</f>
      </c>
      <c r="K2955" s="29">
        <f>IFERROR(J2955*D2955,0)</f>
      </c>
      <c r="L2955" s="29">
        <f>IFERROR(E2955*C2955,0)</f>
      </c>
      <c r="M2955" s="29">
        <f>IFERROR((G2955*H2955*I2955/1000000)*D2955,0)</f>
      </c>
    </row>
    <row r="2956" spans="1:13" x14ac:dyDescent="0.25">
      <c r="A2956" s="16"/>
      <c r="E2956" s="27"/>
      <c r="F2956" t="s">
        <v>26</v>
      </c>
      <c r="G2956" s="28">
        <f>IFERROR(VLOOKUP(F2956,CARTON_LOOKUP!$A:$E,3,0),"")</f>
      </c>
      <c r="H2956" s="28">
        <f>IFERROR(VLOOKUP(F2956,CARTON_LOOKUP!$A:$E,4,0),"")</f>
      </c>
      <c r="I2956" s="28">
        <f>IFERROR(VLOOKUP(F2956,CARTON_LOOKUP!$A:$E,5,0),"")</f>
      </c>
      <c r="J2956" s="29">
        <f>IFERROR(VLOOKUP(F2956,CARTON_LOOKUP!$A:$E,2,0),"")</f>
      </c>
      <c r="K2956" s="29">
        <f>IFERROR(J2956*D2956,0)</f>
      </c>
      <c r="L2956" s="29">
        <f>IFERROR(E2956*C2956,0)</f>
      </c>
      <c r="M2956" s="29">
        <f>IFERROR((G2956*H2956*I2956/1000000)*D2956,0)</f>
      </c>
    </row>
    <row r="2957" spans="1:13" x14ac:dyDescent="0.25">
      <c r="A2957" s="16"/>
      <c r="E2957" s="27"/>
      <c r="F2957" t="s">
        <v>26</v>
      </c>
      <c r="G2957" s="28">
        <f>IFERROR(VLOOKUP(F2957,CARTON_LOOKUP!$A:$E,3,0),"")</f>
      </c>
      <c r="H2957" s="28">
        <f>IFERROR(VLOOKUP(F2957,CARTON_LOOKUP!$A:$E,4,0),"")</f>
      </c>
      <c r="I2957" s="28">
        <f>IFERROR(VLOOKUP(F2957,CARTON_LOOKUP!$A:$E,5,0),"")</f>
      </c>
      <c r="J2957" s="29">
        <f>IFERROR(VLOOKUP(F2957,CARTON_LOOKUP!$A:$E,2,0),"")</f>
      </c>
      <c r="K2957" s="29">
        <f>IFERROR(J2957*D2957,0)</f>
      </c>
      <c r="L2957" s="29">
        <f>IFERROR(E2957*C2957,0)</f>
      </c>
      <c r="M2957" s="29">
        <f>IFERROR((G2957*H2957*I2957/1000000)*D2957,0)</f>
      </c>
    </row>
    <row r="2958" spans="1:13" x14ac:dyDescent="0.25">
      <c r="A2958" s="16"/>
      <c r="E2958" s="27"/>
      <c r="F2958" t="s">
        <v>26</v>
      </c>
      <c r="G2958" s="28">
        <f>IFERROR(VLOOKUP(F2958,CARTON_LOOKUP!$A:$E,3,0),"")</f>
      </c>
      <c r="H2958" s="28">
        <f>IFERROR(VLOOKUP(F2958,CARTON_LOOKUP!$A:$E,4,0),"")</f>
      </c>
      <c r="I2958" s="28">
        <f>IFERROR(VLOOKUP(F2958,CARTON_LOOKUP!$A:$E,5,0),"")</f>
      </c>
      <c r="J2958" s="29">
        <f>IFERROR(VLOOKUP(F2958,CARTON_LOOKUP!$A:$E,2,0),"")</f>
      </c>
      <c r="K2958" s="29">
        <f>IFERROR(J2958*D2958,0)</f>
      </c>
      <c r="L2958" s="29">
        <f>IFERROR(E2958*C2958,0)</f>
      </c>
      <c r="M2958" s="29">
        <f>IFERROR((G2958*H2958*I2958/1000000)*D2958,0)</f>
      </c>
    </row>
    <row r="2959" spans="1:13" x14ac:dyDescent="0.25">
      <c r="A2959" s="16"/>
      <c r="E2959" s="27"/>
      <c r="F2959" t="s">
        <v>26</v>
      </c>
      <c r="G2959" s="28">
        <f>IFERROR(VLOOKUP(F2959,CARTON_LOOKUP!$A:$E,3,0),"")</f>
      </c>
      <c r="H2959" s="28">
        <f>IFERROR(VLOOKUP(F2959,CARTON_LOOKUP!$A:$E,4,0),"")</f>
      </c>
      <c r="I2959" s="28">
        <f>IFERROR(VLOOKUP(F2959,CARTON_LOOKUP!$A:$E,5,0),"")</f>
      </c>
      <c r="J2959" s="29">
        <f>IFERROR(VLOOKUP(F2959,CARTON_LOOKUP!$A:$E,2,0),"")</f>
      </c>
      <c r="K2959" s="29">
        <f>IFERROR(J2959*D2959,0)</f>
      </c>
      <c r="L2959" s="29">
        <f>IFERROR(E2959*C2959,0)</f>
      </c>
      <c r="M2959" s="29">
        <f>IFERROR((G2959*H2959*I2959/1000000)*D2959,0)</f>
      </c>
    </row>
    <row r="2960" spans="1:13" x14ac:dyDescent="0.25">
      <c r="A2960" s="16"/>
      <c r="E2960" s="27"/>
      <c r="F2960" t="s">
        <v>26</v>
      </c>
      <c r="G2960" s="28">
        <f>IFERROR(VLOOKUP(F2960,CARTON_LOOKUP!$A:$E,3,0),"")</f>
      </c>
      <c r="H2960" s="28">
        <f>IFERROR(VLOOKUP(F2960,CARTON_LOOKUP!$A:$E,4,0),"")</f>
      </c>
      <c r="I2960" s="28">
        <f>IFERROR(VLOOKUP(F2960,CARTON_LOOKUP!$A:$E,5,0),"")</f>
      </c>
      <c r="J2960" s="29">
        <f>IFERROR(VLOOKUP(F2960,CARTON_LOOKUP!$A:$E,2,0),"")</f>
      </c>
      <c r="K2960" s="29">
        <f>IFERROR(J2960*D2960,0)</f>
      </c>
      <c r="L2960" s="29">
        <f>IFERROR(E2960*C2960,0)</f>
      </c>
      <c r="M2960" s="29">
        <f>IFERROR((G2960*H2960*I2960/1000000)*D2960,0)</f>
      </c>
    </row>
    <row r="2961" spans="1:13" x14ac:dyDescent="0.25">
      <c r="A2961" s="16"/>
      <c r="E2961" s="27"/>
      <c r="F2961" t="s">
        <v>26</v>
      </c>
      <c r="G2961" s="28">
        <f>IFERROR(VLOOKUP(F2961,CARTON_LOOKUP!$A:$E,3,0),"")</f>
      </c>
      <c r="H2961" s="28">
        <f>IFERROR(VLOOKUP(F2961,CARTON_LOOKUP!$A:$E,4,0),"")</f>
      </c>
      <c r="I2961" s="28">
        <f>IFERROR(VLOOKUP(F2961,CARTON_LOOKUP!$A:$E,5,0),"")</f>
      </c>
      <c r="J2961" s="29">
        <f>IFERROR(VLOOKUP(F2961,CARTON_LOOKUP!$A:$E,2,0),"")</f>
      </c>
      <c r="K2961" s="29">
        <f>IFERROR(J2961*D2961,0)</f>
      </c>
      <c r="L2961" s="29">
        <f>IFERROR(E2961*C2961,0)</f>
      </c>
      <c r="M2961" s="29">
        <f>IFERROR((G2961*H2961*I2961/1000000)*D2961,0)</f>
      </c>
    </row>
    <row r="2962" spans="1:13" x14ac:dyDescent="0.25">
      <c r="A2962" s="16"/>
      <c r="E2962" s="27"/>
      <c r="F2962" t="s">
        <v>26</v>
      </c>
      <c r="G2962" s="28">
        <f>IFERROR(VLOOKUP(F2962,CARTON_LOOKUP!$A:$E,3,0),"")</f>
      </c>
      <c r="H2962" s="28">
        <f>IFERROR(VLOOKUP(F2962,CARTON_LOOKUP!$A:$E,4,0),"")</f>
      </c>
      <c r="I2962" s="28">
        <f>IFERROR(VLOOKUP(F2962,CARTON_LOOKUP!$A:$E,5,0),"")</f>
      </c>
      <c r="J2962" s="29">
        <f>IFERROR(VLOOKUP(F2962,CARTON_LOOKUP!$A:$E,2,0),"")</f>
      </c>
      <c r="K2962" s="29">
        <f>IFERROR(J2962*D2962,0)</f>
      </c>
      <c r="L2962" s="29">
        <f>IFERROR(E2962*C2962,0)</f>
      </c>
      <c r="M2962" s="29">
        <f>IFERROR((G2962*H2962*I2962/1000000)*D2962,0)</f>
      </c>
    </row>
    <row r="2963" spans="1:13" x14ac:dyDescent="0.25">
      <c r="A2963" s="16"/>
      <c r="E2963" s="27"/>
      <c r="F2963" t="s">
        <v>26</v>
      </c>
      <c r="G2963" s="28">
        <f>IFERROR(VLOOKUP(F2963,CARTON_LOOKUP!$A:$E,3,0),"")</f>
      </c>
      <c r="H2963" s="28">
        <f>IFERROR(VLOOKUP(F2963,CARTON_LOOKUP!$A:$E,4,0),"")</f>
      </c>
      <c r="I2963" s="28">
        <f>IFERROR(VLOOKUP(F2963,CARTON_LOOKUP!$A:$E,5,0),"")</f>
      </c>
      <c r="J2963" s="29">
        <f>IFERROR(VLOOKUP(F2963,CARTON_LOOKUP!$A:$E,2,0),"")</f>
      </c>
      <c r="K2963" s="29">
        <f>IFERROR(J2963*D2963,0)</f>
      </c>
      <c r="L2963" s="29">
        <f>IFERROR(E2963*C2963,0)</f>
      </c>
      <c r="M2963" s="29">
        <f>IFERROR((G2963*H2963*I2963/1000000)*D2963,0)</f>
      </c>
    </row>
    <row r="2964" spans="1:13" x14ac:dyDescent="0.25">
      <c r="A2964" s="16"/>
      <c r="E2964" s="27"/>
      <c r="F2964" t="s">
        <v>26</v>
      </c>
      <c r="G2964" s="28">
        <f>IFERROR(VLOOKUP(F2964,CARTON_LOOKUP!$A:$E,3,0),"")</f>
      </c>
      <c r="H2964" s="28">
        <f>IFERROR(VLOOKUP(F2964,CARTON_LOOKUP!$A:$E,4,0),"")</f>
      </c>
      <c r="I2964" s="28">
        <f>IFERROR(VLOOKUP(F2964,CARTON_LOOKUP!$A:$E,5,0),"")</f>
      </c>
      <c r="J2964" s="29">
        <f>IFERROR(VLOOKUP(F2964,CARTON_LOOKUP!$A:$E,2,0),"")</f>
      </c>
      <c r="K2964" s="29">
        <f>IFERROR(J2964*D2964,0)</f>
      </c>
      <c r="L2964" s="29">
        <f>IFERROR(E2964*C2964,0)</f>
      </c>
      <c r="M2964" s="29">
        <f>IFERROR((G2964*H2964*I2964/1000000)*D2964,0)</f>
      </c>
    </row>
    <row r="2965" spans="1:13" x14ac:dyDescent="0.25">
      <c r="A2965" s="16"/>
      <c r="E2965" s="27"/>
      <c r="F2965" t="s">
        <v>26</v>
      </c>
      <c r="G2965" s="28">
        <f>IFERROR(VLOOKUP(F2965,CARTON_LOOKUP!$A:$E,3,0),"")</f>
      </c>
      <c r="H2965" s="28">
        <f>IFERROR(VLOOKUP(F2965,CARTON_LOOKUP!$A:$E,4,0),"")</f>
      </c>
      <c r="I2965" s="28">
        <f>IFERROR(VLOOKUP(F2965,CARTON_LOOKUP!$A:$E,5,0),"")</f>
      </c>
      <c r="J2965" s="29">
        <f>IFERROR(VLOOKUP(F2965,CARTON_LOOKUP!$A:$E,2,0),"")</f>
      </c>
      <c r="K2965" s="29">
        <f>IFERROR(J2965*D2965,0)</f>
      </c>
      <c r="L2965" s="29">
        <f>IFERROR(E2965*C2965,0)</f>
      </c>
      <c r="M2965" s="29">
        <f>IFERROR((G2965*H2965*I2965/1000000)*D2965,0)</f>
      </c>
    </row>
    <row r="2966" spans="1:13" x14ac:dyDescent="0.25">
      <c r="A2966" s="16"/>
      <c r="E2966" s="27"/>
      <c r="F2966" t="s">
        <v>26</v>
      </c>
      <c r="G2966" s="28">
        <f>IFERROR(VLOOKUP(F2966,CARTON_LOOKUP!$A:$E,3,0),"")</f>
      </c>
      <c r="H2966" s="28">
        <f>IFERROR(VLOOKUP(F2966,CARTON_LOOKUP!$A:$E,4,0),"")</f>
      </c>
      <c r="I2966" s="28">
        <f>IFERROR(VLOOKUP(F2966,CARTON_LOOKUP!$A:$E,5,0),"")</f>
      </c>
      <c r="J2966" s="29">
        <f>IFERROR(VLOOKUP(F2966,CARTON_LOOKUP!$A:$E,2,0),"")</f>
      </c>
      <c r="K2966" s="29">
        <f>IFERROR(J2966*D2966,0)</f>
      </c>
      <c r="L2966" s="29">
        <f>IFERROR(E2966*C2966,0)</f>
      </c>
      <c r="M2966" s="29">
        <f>IFERROR((G2966*H2966*I2966/1000000)*D2966,0)</f>
      </c>
    </row>
    <row r="2967" spans="1:13" x14ac:dyDescent="0.25">
      <c r="A2967" s="16"/>
      <c r="E2967" s="27"/>
      <c r="F2967" t="s">
        <v>26</v>
      </c>
      <c r="G2967" s="28">
        <f>IFERROR(VLOOKUP(F2967,CARTON_LOOKUP!$A:$E,3,0),"")</f>
      </c>
      <c r="H2967" s="28">
        <f>IFERROR(VLOOKUP(F2967,CARTON_LOOKUP!$A:$E,4,0),"")</f>
      </c>
      <c r="I2967" s="28">
        <f>IFERROR(VLOOKUP(F2967,CARTON_LOOKUP!$A:$E,5,0),"")</f>
      </c>
      <c r="J2967" s="29">
        <f>IFERROR(VLOOKUP(F2967,CARTON_LOOKUP!$A:$E,2,0),"")</f>
      </c>
      <c r="K2967" s="29">
        <f>IFERROR(J2967*D2967,0)</f>
      </c>
      <c r="L2967" s="29">
        <f>IFERROR(E2967*C2967,0)</f>
      </c>
      <c r="M2967" s="29">
        <f>IFERROR((G2967*H2967*I2967/1000000)*D2967,0)</f>
      </c>
    </row>
    <row r="2968" spans="1:13" x14ac:dyDescent="0.25">
      <c r="A2968" s="16"/>
      <c r="E2968" s="27"/>
      <c r="F2968" t="s">
        <v>26</v>
      </c>
      <c r="G2968" s="28">
        <f>IFERROR(VLOOKUP(F2968,CARTON_LOOKUP!$A:$E,3,0),"")</f>
      </c>
      <c r="H2968" s="28">
        <f>IFERROR(VLOOKUP(F2968,CARTON_LOOKUP!$A:$E,4,0),"")</f>
      </c>
      <c r="I2968" s="28">
        <f>IFERROR(VLOOKUP(F2968,CARTON_LOOKUP!$A:$E,5,0),"")</f>
      </c>
      <c r="J2968" s="29">
        <f>IFERROR(VLOOKUP(F2968,CARTON_LOOKUP!$A:$E,2,0),"")</f>
      </c>
      <c r="K2968" s="29">
        <f>IFERROR(J2968*D2968,0)</f>
      </c>
      <c r="L2968" s="29">
        <f>IFERROR(E2968*C2968,0)</f>
      </c>
      <c r="M2968" s="29">
        <f>IFERROR((G2968*H2968*I2968/1000000)*D2968,0)</f>
      </c>
    </row>
    <row r="2969" spans="1:13" x14ac:dyDescent="0.25">
      <c r="A2969" s="16"/>
      <c r="E2969" s="27"/>
      <c r="F2969" t="s">
        <v>26</v>
      </c>
      <c r="G2969" s="28">
        <f>IFERROR(VLOOKUP(F2969,CARTON_LOOKUP!$A:$E,3,0),"")</f>
      </c>
      <c r="H2969" s="28">
        <f>IFERROR(VLOOKUP(F2969,CARTON_LOOKUP!$A:$E,4,0),"")</f>
      </c>
      <c r="I2969" s="28">
        <f>IFERROR(VLOOKUP(F2969,CARTON_LOOKUP!$A:$E,5,0),"")</f>
      </c>
      <c r="J2969" s="29">
        <f>IFERROR(VLOOKUP(F2969,CARTON_LOOKUP!$A:$E,2,0),"")</f>
      </c>
      <c r="K2969" s="29">
        <f>IFERROR(J2969*D2969,0)</f>
      </c>
      <c r="L2969" s="29">
        <f>IFERROR(E2969*C2969,0)</f>
      </c>
      <c r="M2969" s="29">
        <f>IFERROR((G2969*H2969*I2969/1000000)*D2969,0)</f>
      </c>
    </row>
    <row r="2970" spans="1:13" x14ac:dyDescent="0.25">
      <c r="A2970" s="16"/>
      <c r="E2970" s="27"/>
      <c r="F2970" t="s">
        <v>26</v>
      </c>
      <c r="G2970" s="28">
        <f>IFERROR(VLOOKUP(F2970,CARTON_LOOKUP!$A:$E,3,0),"")</f>
      </c>
      <c r="H2970" s="28">
        <f>IFERROR(VLOOKUP(F2970,CARTON_LOOKUP!$A:$E,4,0),"")</f>
      </c>
      <c r="I2970" s="28">
        <f>IFERROR(VLOOKUP(F2970,CARTON_LOOKUP!$A:$E,5,0),"")</f>
      </c>
      <c r="J2970" s="29">
        <f>IFERROR(VLOOKUP(F2970,CARTON_LOOKUP!$A:$E,2,0),"")</f>
      </c>
      <c r="K2970" s="29">
        <f>IFERROR(J2970*D2970,0)</f>
      </c>
      <c r="L2970" s="29">
        <f>IFERROR(E2970*C2970,0)</f>
      </c>
      <c r="M2970" s="29">
        <f>IFERROR((G2970*H2970*I2970/1000000)*D2970,0)</f>
      </c>
    </row>
    <row r="2971" spans="1:13" x14ac:dyDescent="0.25">
      <c r="A2971" s="16"/>
      <c r="E2971" s="27"/>
      <c r="F2971" t="s">
        <v>26</v>
      </c>
      <c r="G2971" s="28">
        <f>IFERROR(VLOOKUP(F2971,CARTON_LOOKUP!$A:$E,3,0),"")</f>
      </c>
      <c r="H2971" s="28">
        <f>IFERROR(VLOOKUP(F2971,CARTON_LOOKUP!$A:$E,4,0),"")</f>
      </c>
      <c r="I2971" s="28">
        <f>IFERROR(VLOOKUP(F2971,CARTON_LOOKUP!$A:$E,5,0),"")</f>
      </c>
      <c r="J2971" s="29">
        <f>IFERROR(VLOOKUP(F2971,CARTON_LOOKUP!$A:$E,2,0),"")</f>
      </c>
      <c r="K2971" s="29">
        <f>IFERROR(J2971*D2971,0)</f>
      </c>
      <c r="L2971" s="29">
        <f>IFERROR(E2971*C2971,0)</f>
      </c>
      <c r="M2971" s="29">
        <f>IFERROR((G2971*H2971*I2971/1000000)*D2971,0)</f>
      </c>
    </row>
    <row r="2972" spans="1:13" x14ac:dyDescent="0.25">
      <c r="A2972" s="16"/>
      <c r="E2972" s="27"/>
      <c r="F2972" t="s">
        <v>26</v>
      </c>
      <c r="G2972" s="28">
        <f>IFERROR(VLOOKUP(F2972,CARTON_LOOKUP!$A:$E,3,0),"")</f>
      </c>
      <c r="H2972" s="28">
        <f>IFERROR(VLOOKUP(F2972,CARTON_LOOKUP!$A:$E,4,0),"")</f>
      </c>
      <c r="I2972" s="28">
        <f>IFERROR(VLOOKUP(F2972,CARTON_LOOKUP!$A:$E,5,0),"")</f>
      </c>
      <c r="J2972" s="29">
        <f>IFERROR(VLOOKUP(F2972,CARTON_LOOKUP!$A:$E,2,0),"")</f>
      </c>
      <c r="K2972" s="29">
        <f>IFERROR(J2972*D2972,0)</f>
      </c>
      <c r="L2972" s="29">
        <f>IFERROR(E2972*C2972,0)</f>
      </c>
      <c r="M2972" s="29">
        <f>IFERROR((G2972*H2972*I2972/1000000)*D2972,0)</f>
      </c>
    </row>
    <row r="2973" spans="1:13" x14ac:dyDescent="0.25">
      <c r="A2973" s="16"/>
      <c r="E2973" s="27"/>
      <c r="F2973" t="s">
        <v>26</v>
      </c>
      <c r="G2973" s="28">
        <f>IFERROR(VLOOKUP(F2973,CARTON_LOOKUP!$A:$E,3,0),"")</f>
      </c>
      <c r="H2973" s="28">
        <f>IFERROR(VLOOKUP(F2973,CARTON_LOOKUP!$A:$E,4,0),"")</f>
      </c>
      <c r="I2973" s="28">
        <f>IFERROR(VLOOKUP(F2973,CARTON_LOOKUP!$A:$E,5,0),"")</f>
      </c>
      <c r="J2973" s="29">
        <f>IFERROR(VLOOKUP(F2973,CARTON_LOOKUP!$A:$E,2,0),"")</f>
      </c>
      <c r="K2973" s="29">
        <f>IFERROR(J2973*D2973,0)</f>
      </c>
      <c r="L2973" s="29">
        <f>IFERROR(E2973*C2973,0)</f>
      </c>
      <c r="M2973" s="29">
        <f>IFERROR((G2973*H2973*I2973/1000000)*D2973,0)</f>
      </c>
    </row>
    <row r="2974" spans="1:13" x14ac:dyDescent="0.25">
      <c r="A2974" s="16"/>
      <c r="E2974" s="27"/>
      <c r="F2974" t="s">
        <v>26</v>
      </c>
      <c r="G2974" s="28">
        <f>IFERROR(VLOOKUP(F2974,CARTON_LOOKUP!$A:$E,3,0),"")</f>
      </c>
      <c r="H2974" s="28">
        <f>IFERROR(VLOOKUP(F2974,CARTON_LOOKUP!$A:$E,4,0),"")</f>
      </c>
      <c r="I2974" s="28">
        <f>IFERROR(VLOOKUP(F2974,CARTON_LOOKUP!$A:$E,5,0),"")</f>
      </c>
      <c r="J2974" s="29">
        <f>IFERROR(VLOOKUP(F2974,CARTON_LOOKUP!$A:$E,2,0),"")</f>
      </c>
      <c r="K2974" s="29">
        <f>IFERROR(J2974*D2974,0)</f>
      </c>
      <c r="L2974" s="29">
        <f>IFERROR(E2974*C2974,0)</f>
      </c>
      <c r="M2974" s="29">
        <f>IFERROR((G2974*H2974*I2974/1000000)*D2974,0)</f>
      </c>
    </row>
    <row r="2975" spans="1:13" x14ac:dyDescent="0.25">
      <c r="A2975" s="16"/>
      <c r="E2975" s="27"/>
      <c r="F2975" t="s">
        <v>26</v>
      </c>
      <c r="G2975" s="28">
        <f>IFERROR(VLOOKUP(F2975,CARTON_LOOKUP!$A:$E,3,0),"")</f>
      </c>
      <c r="H2975" s="28">
        <f>IFERROR(VLOOKUP(F2975,CARTON_LOOKUP!$A:$E,4,0),"")</f>
      </c>
      <c r="I2975" s="28">
        <f>IFERROR(VLOOKUP(F2975,CARTON_LOOKUP!$A:$E,5,0),"")</f>
      </c>
      <c r="J2975" s="29">
        <f>IFERROR(VLOOKUP(F2975,CARTON_LOOKUP!$A:$E,2,0),"")</f>
      </c>
      <c r="K2975" s="29">
        <f>IFERROR(J2975*D2975,0)</f>
      </c>
      <c r="L2975" s="29">
        <f>IFERROR(E2975*C2975,0)</f>
      </c>
      <c r="M2975" s="29">
        <f>IFERROR((G2975*H2975*I2975/1000000)*D2975,0)</f>
      </c>
    </row>
    <row r="2976" spans="1:13" x14ac:dyDescent="0.25">
      <c r="A2976" s="16"/>
      <c r="E2976" s="27"/>
      <c r="F2976" t="s">
        <v>26</v>
      </c>
      <c r="G2976" s="28">
        <f>IFERROR(VLOOKUP(F2976,CARTON_LOOKUP!$A:$E,3,0),"")</f>
      </c>
      <c r="H2976" s="28">
        <f>IFERROR(VLOOKUP(F2976,CARTON_LOOKUP!$A:$E,4,0),"")</f>
      </c>
      <c r="I2976" s="28">
        <f>IFERROR(VLOOKUP(F2976,CARTON_LOOKUP!$A:$E,5,0),"")</f>
      </c>
      <c r="J2976" s="29">
        <f>IFERROR(VLOOKUP(F2976,CARTON_LOOKUP!$A:$E,2,0),"")</f>
      </c>
      <c r="K2976" s="29">
        <f>IFERROR(J2976*D2976,0)</f>
      </c>
      <c r="L2976" s="29">
        <f>IFERROR(E2976*C2976,0)</f>
      </c>
      <c r="M2976" s="29">
        <f>IFERROR((G2976*H2976*I2976/1000000)*D2976,0)</f>
      </c>
    </row>
    <row r="2977" spans="1:13" x14ac:dyDescent="0.25">
      <c r="A2977" s="16"/>
      <c r="E2977" s="27"/>
      <c r="F2977" t="s">
        <v>26</v>
      </c>
      <c r="G2977" s="28">
        <f>IFERROR(VLOOKUP(F2977,CARTON_LOOKUP!$A:$E,3,0),"")</f>
      </c>
      <c r="H2977" s="28">
        <f>IFERROR(VLOOKUP(F2977,CARTON_LOOKUP!$A:$E,4,0),"")</f>
      </c>
      <c r="I2977" s="28">
        <f>IFERROR(VLOOKUP(F2977,CARTON_LOOKUP!$A:$E,5,0),"")</f>
      </c>
      <c r="J2977" s="29">
        <f>IFERROR(VLOOKUP(F2977,CARTON_LOOKUP!$A:$E,2,0),"")</f>
      </c>
      <c r="K2977" s="29">
        <f>IFERROR(J2977*D2977,0)</f>
      </c>
      <c r="L2977" s="29">
        <f>IFERROR(E2977*C2977,0)</f>
      </c>
      <c r="M2977" s="29">
        <f>IFERROR((G2977*H2977*I2977/1000000)*D2977,0)</f>
      </c>
    </row>
    <row r="2978" spans="1:13" x14ac:dyDescent="0.25">
      <c r="A2978" s="16"/>
      <c r="E2978" s="27"/>
      <c r="F2978" t="s">
        <v>26</v>
      </c>
      <c r="G2978" s="28">
        <f>IFERROR(VLOOKUP(F2978,CARTON_LOOKUP!$A:$E,3,0),"")</f>
      </c>
      <c r="H2978" s="28">
        <f>IFERROR(VLOOKUP(F2978,CARTON_LOOKUP!$A:$E,4,0),"")</f>
      </c>
      <c r="I2978" s="28">
        <f>IFERROR(VLOOKUP(F2978,CARTON_LOOKUP!$A:$E,5,0),"")</f>
      </c>
      <c r="J2978" s="29">
        <f>IFERROR(VLOOKUP(F2978,CARTON_LOOKUP!$A:$E,2,0),"")</f>
      </c>
      <c r="K2978" s="29">
        <f>IFERROR(J2978*D2978,0)</f>
      </c>
      <c r="L2978" s="29">
        <f>IFERROR(E2978*C2978,0)</f>
      </c>
      <c r="M2978" s="29">
        <f>IFERROR((G2978*H2978*I2978/1000000)*D2978,0)</f>
      </c>
    </row>
    <row r="2979" spans="1:13" x14ac:dyDescent="0.25">
      <c r="A2979" s="16"/>
      <c r="E2979" s="27"/>
      <c r="F2979" t="s">
        <v>26</v>
      </c>
      <c r="G2979" s="28">
        <f>IFERROR(VLOOKUP(F2979,CARTON_LOOKUP!$A:$E,3,0),"")</f>
      </c>
      <c r="H2979" s="28">
        <f>IFERROR(VLOOKUP(F2979,CARTON_LOOKUP!$A:$E,4,0),"")</f>
      </c>
      <c r="I2979" s="28">
        <f>IFERROR(VLOOKUP(F2979,CARTON_LOOKUP!$A:$E,5,0),"")</f>
      </c>
      <c r="J2979" s="29">
        <f>IFERROR(VLOOKUP(F2979,CARTON_LOOKUP!$A:$E,2,0),"")</f>
      </c>
      <c r="K2979" s="29">
        <f>IFERROR(J2979*D2979,0)</f>
      </c>
      <c r="L2979" s="29">
        <f>IFERROR(E2979*C2979,0)</f>
      </c>
      <c r="M2979" s="29">
        <f>IFERROR((G2979*H2979*I2979/1000000)*D2979,0)</f>
      </c>
    </row>
    <row r="2980" spans="1:13" x14ac:dyDescent="0.25">
      <c r="A2980" s="16"/>
      <c r="E2980" s="27"/>
      <c r="F2980" t="s">
        <v>26</v>
      </c>
      <c r="G2980" s="28">
        <f>IFERROR(VLOOKUP(F2980,CARTON_LOOKUP!$A:$E,3,0),"")</f>
      </c>
      <c r="H2980" s="28">
        <f>IFERROR(VLOOKUP(F2980,CARTON_LOOKUP!$A:$E,4,0),"")</f>
      </c>
      <c r="I2980" s="28">
        <f>IFERROR(VLOOKUP(F2980,CARTON_LOOKUP!$A:$E,5,0),"")</f>
      </c>
      <c r="J2980" s="29">
        <f>IFERROR(VLOOKUP(F2980,CARTON_LOOKUP!$A:$E,2,0),"")</f>
      </c>
      <c r="K2980" s="29">
        <f>IFERROR(J2980*D2980,0)</f>
      </c>
      <c r="L2980" s="29">
        <f>IFERROR(E2980*C2980,0)</f>
      </c>
      <c r="M2980" s="29">
        <f>IFERROR((G2980*H2980*I2980/1000000)*D2980,0)</f>
      </c>
    </row>
    <row r="2981" spans="1:13" x14ac:dyDescent="0.25">
      <c r="A2981" s="16"/>
      <c r="E2981" s="27"/>
      <c r="F2981" t="s">
        <v>26</v>
      </c>
      <c r="G2981" s="28">
        <f>IFERROR(VLOOKUP(F2981,CARTON_LOOKUP!$A:$E,3,0),"")</f>
      </c>
      <c r="H2981" s="28">
        <f>IFERROR(VLOOKUP(F2981,CARTON_LOOKUP!$A:$E,4,0),"")</f>
      </c>
      <c r="I2981" s="28">
        <f>IFERROR(VLOOKUP(F2981,CARTON_LOOKUP!$A:$E,5,0),"")</f>
      </c>
      <c r="J2981" s="29">
        <f>IFERROR(VLOOKUP(F2981,CARTON_LOOKUP!$A:$E,2,0),"")</f>
      </c>
      <c r="K2981" s="29">
        <f>IFERROR(J2981*D2981,0)</f>
      </c>
      <c r="L2981" s="29">
        <f>IFERROR(E2981*C2981,0)</f>
      </c>
      <c r="M2981" s="29">
        <f>IFERROR((G2981*H2981*I2981/1000000)*D2981,0)</f>
      </c>
    </row>
    <row r="2982" spans="1:13" x14ac:dyDescent="0.25">
      <c r="A2982" s="16"/>
      <c r="E2982" s="27"/>
      <c r="F2982" t="s">
        <v>26</v>
      </c>
      <c r="G2982" s="28">
        <f>IFERROR(VLOOKUP(F2982,CARTON_LOOKUP!$A:$E,3,0),"")</f>
      </c>
      <c r="H2982" s="28">
        <f>IFERROR(VLOOKUP(F2982,CARTON_LOOKUP!$A:$E,4,0),"")</f>
      </c>
      <c r="I2982" s="28">
        <f>IFERROR(VLOOKUP(F2982,CARTON_LOOKUP!$A:$E,5,0),"")</f>
      </c>
      <c r="J2982" s="29">
        <f>IFERROR(VLOOKUP(F2982,CARTON_LOOKUP!$A:$E,2,0),"")</f>
      </c>
      <c r="K2982" s="29">
        <f>IFERROR(J2982*D2982,0)</f>
      </c>
      <c r="L2982" s="29">
        <f>IFERROR(E2982*C2982,0)</f>
      </c>
      <c r="M2982" s="29">
        <f>IFERROR((G2982*H2982*I2982/1000000)*D2982,0)</f>
      </c>
    </row>
    <row r="2983" spans="1:13" x14ac:dyDescent="0.25">
      <c r="A2983" s="16"/>
      <c r="E2983" s="27"/>
      <c r="F2983" t="s">
        <v>26</v>
      </c>
      <c r="G2983" s="28">
        <f>IFERROR(VLOOKUP(F2983,CARTON_LOOKUP!$A:$E,3,0),"")</f>
      </c>
      <c r="H2983" s="28">
        <f>IFERROR(VLOOKUP(F2983,CARTON_LOOKUP!$A:$E,4,0),"")</f>
      </c>
      <c r="I2983" s="28">
        <f>IFERROR(VLOOKUP(F2983,CARTON_LOOKUP!$A:$E,5,0),"")</f>
      </c>
      <c r="J2983" s="29">
        <f>IFERROR(VLOOKUP(F2983,CARTON_LOOKUP!$A:$E,2,0),"")</f>
      </c>
      <c r="K2983" s="29">
        <f>IFERROR(J2983*D2983,0)</f>
      </c>
      <c r="L2983" s="29">
        <f>IFERROR(E2983*C2983,0)</f>
      </c>
      <c r="M2983" s="29">
        <f>IFERROR((G2983*H2983*I2983/1000000)*D2983,0)</f>
      </c>
    </row>
    <row r="2984" spans="1:13" x14ac:dyDescent="0.25">
      <c r="A2984" s="16"/>
      <c r="E2984" s="27"/>
      <c r="F2984" t="s">
        <v>26</v>
      </c>
      <c r="G2984" s="28">
        <f>IFERROR(VLOOKUP(F2984,CARTON_LOOKUP!$A:$E,3,0),"")</f>
      </c>
      <c r="H2984" s="28">
        <f>IFERROR(VLOOKUP(F2984,CARTON_LOOKUP!$A:$E,4,0),"")</f>
      </c>
      <c r="I2984" s="28">
        <f>IFERROR(VLOOKUP(F2984,CARTON_LOOKUP!$A:$E,5,0),"")</f>
      </c>
      <c r="J2984" s="29">
        <f>IFERROR(VLOOKUP(F2984,CARTON_LOOKUP!$A:$E,2,0),"")</f>
      </c>
      <c r="K2984" s="29">
        <f>IFERROR(J2984*D2984,0)</f>
      </c>
      <c r="L2984" s="29">
        <f>IFERROR(E2984*C2984,0)</f>
      </c>
      <c r="M2984" s="29">
        <f>IFERROR((G2984*H2984*I2984/1000000)*D2984,0)</f>
      </c>
    </row>
    <row r="2985" spans="1:13" x14ac:dyDescent="0.25">
      <c r="A2985" s="16"/>
      <c r="E2985" s="27"/>
      <c r="F2985" t="s">
        <v>26</v>
      </c>
      <c r="G2985" s="28">
        <f>IFERROR(VLOOKUP(F2985,CARTON_LOOKUP!$A:$E,3,0),"")</f>
      </c>
      <c r="H2985" s="28">
        <f>IFERROR(VLOOKUP(F2985,CARTON_LOOKUP!$A:$E,4,0),"")</f>
      </c>
      <c r="I2985" s="28">
        <f>IFERROR(VLOOKUP(F2985,CARTON_LOOKUP!$A:$E,5,0),"")</f>
      </c>
      <c r="J2985" s="29">
        <f>IFERROR(VLOOKUP(F2985,CARTON_LOOKUP!$A:$E,2,0),"")</f>
      </c>
      <c r="K2985" s="29">
        <f>IFERROR(J2985*D2985,0)</f>
      </c>
      <c r="L2985" s="29">
        <f>IFERROR(E2985*C2985,0)</f>
      </c>
      <c r="M2985" s="29">
        <f>IFERROR((G2985*H2985*I2985/1000000)*D2985,0)</f>
      </c>
    </row>
    <row r="2986" spans="1:13" x14ac:dyDescent="0.25">
      <c r="A2986" s="16"/>
      <c r="E2986" s="27"/>
      <c r="F2986" t="s">
        <v>26</v>
      </c>
      <c r="G2986" s="28">
        <f>IFERROR(VLOOKUP(F2986,CARTON_LOOKUP!$A:$E,3,0),"")</f>
      </c>
      <c r="H2986" s="28">
        <f>IFERROR(VLOOKUP(F2986,CARTON_LOOKUP!$A:$E,4,0),"")</f>
      </c>
      <c r="I2986" s="28">
        <f>IFERROR(VLOOKUP(F2986,CARTON_LOOKUP!$A:$E,5,0),"")</f>
      </c>
      <c r="J2986" s="29">
        <f>IFERROR(VLOOKUP(F2986,CARTON_LOOKUP!$A:$E,2,0),"")</f>
      </c>
      <c r="K2986" s="29">
        <f>IFERROR(J2986*D2986,0)</f>
      </c>
      <c r="L2986" s="29">
        <f>IFERROR(E2986*C2986,0)</f>
      </c>
      <c r="M2986" s="29">
        <f>IFERROR((G2986*H2986*I2986/1000000)*D2986,0)</f>
      </c>
    </row>
    <row r="2987" spans="1:13" x14ac:dyDescent="0.25">
      <c r="A2987" s="16"/>
      <c r="E2987" s="27"/>
      <c r="F2987" t="s">
        <v>26</v>
      </c>
      <c r="G2987" s="28">
        <f>IFERROR(VLOOKUP(F2987,CARTON_LOOKUP!$A:$E,3,0),"")</f>
      </c>
      <c r="H2987" s="28">
        <f>IFERROR(VLOOKUP(F2987,CARTON_LOOKUP!$A:$E,4,0),"")</f>
      </c>
      <c r="I2987" s="28">
        <f>IFERROR(VLOOKUP(F2987,CARTON_LOOKUP!$A:$E,5,0),"")</f>
      </c>
      <c r="J2987" s="29">
        <f>IFERROR(VLOOKUP(F2987,CARTON_LOOKUP!$A:$E,2,0),"")</f>
      </c>
      <c r="K2987" s="29">
        <f>IFERROR(J2987*D2987,0)</f>
      </c>
      <c r="L2987" s="29">
        <f>IFERROR(E2987*C2987,0)</f>
      </c>
      <c r="M2987" s="29">
        <f>IFERROR((G2987*H2987*I2987/1000000)*D2987,0)</f>
      </c>
    </row>
    <row r="2988" spans="1:13" x14ac:dyDescent="0.25">
      <c r="A2988" s="16"/>
      <c r="E2988" s="27"/>
      <c r="F2988" t="s">
        <v>26</v>
      </c>
      <c r="G2988" s="28">
        <f>IFERROR(VLOOKUP(F2988,CARTON_LOOKUP!$A:$E,3,0),"")</f>
      </c>
      <c r="H2988" s="28">
        <f>IFERROR(VLOOKUP(F2988,CARTON_LOOKUP!$A:$E,4,0),"")</f>
      </c>
      <c r="I2988" s="28">
        <f>IFERROR(VLOOKUP(F2988,CARTON_LOOKUP!$A:$E,5,0),"")</f>
      </c>
      <c r="J2988" s="29">
        <f>IFERROR(VLOOKUP(F2988,CARTON_LOOKUP!$A:$E,2,0),"")</f>
      </c>
      <c r="K2988" s="29">
        <f>IFERROR(J2988*D2988,0)</f>
      </c>
      <c r="L2988" s="29">
        <f>IFERROR(E2988*C2988,0)</f>
      </c>
      <c r="M2988" s="29">
        <f>IFERROR((G2988*H2988*I2988/1000000)*D2988,0)</f>
      </c>
    </row>
    <row r="2989" spans="1:13" x14ac:dyDescent="0.25">
      <c r="A2989" s="16"/>
      <c r="E2989" s="27"/>
      <c r="F2989" t="s">
        <v>26</v>
      </c>
      <c r="G2989" s="28">
        <f>IFERROR(VLOOKUP(F2989,CARTON_LOOKUP!$A:$E,3,0),"")</f>
      </c>
      <c r="H2989" s="28">
        <f>IFERROR(VLOOKUP(F2989,CARTON_LOOKUP!$A:$E,4,0),"")</f>
      </c>
      <c r="I2989" s="28">
        <f>IFERROR(VLOOKUP(F2989,CARTON_LOOKUP!$A:$E,5,0),"")</f>
      </c>
      <c r="J2989" s="29">
        <f>IFERROR(VLOOKUP(F2989,CARTON_LOOKUP!$A:$E,2,0),"")</f>
      </c>
      <c r="K2989" s="29">
        <f>IFERROR(J2989*D2989,0)</f>
      </c>
      <c r="L2989" s="29">
        <f>IFERROR(E2989*C2989,0)</f>
      </c>
      <c r="M2989" s="29">
        <f>IFERROR((G2989*H2989*I2989/1000000)*D2989,0)</f>
      </c>
    </row>
    <row r="2990" spans="1:13" x14ac:dyDescent="0.25">
      <c r="A2990" s="16"/>
      <c r="E2990" s="27"/>
      <c r="F2990" t="s">
        <v>26</v>
      </c>
      <c r="G2990" s="28">
        <f>IFERROR(VLOOKUP(F2990,CARTON_LOOKUP!$A:$E,3,0),"")</f>
      </c>
      <c r="H2990" s="28">
        <f>IFERROR(VLOOKUP(F2990,CARTON_LOOKUP!$A:$E,4,0),"")</f>
      </c>
      <c r="I2990" s="28">
        <f>IFERROR(VLOOKUP(F2990,CARTON_LOOKUP!$A:$E,5,0),"")</f>
      </c>
      <c r="J2990" s="29">
        <f>IFERROR(VLOOKUP(F2990,CARTON_LOOKUP!$A:$E,2,0),"")</f>
      </c>
      <c r="K2990" s="29">
        <f>IFERROR(J2990*D2990,0)</f>
      </c>
      <c r="L2990" s="29">
        <f>IFERROR(E2990*C2990,0)</f>
      </c>
      <c r="M2990" s="29">
        <f>IFERROR((G2990*H2990*I2990/1000000)*D2990,0)</f>
      </c>
    </row>
    <row r="2991" spans="1:13" x14ac:dyDescent="0.25">
      <c r="A2991" s="16"/>
      <c r="E2991" s="27"/>
      <c r="F2991" t="s">
        <v>26</v>
      </c>
      <c r="G2991" s="28">
        <f>IFERROR(VLOOKUP(F2991,CARTON_LOOKUP!$A:$E,3,0),"")</f>
      </c>
      <c r="H2991" s="28">
        <f>IFERROR(VLOOKUP(F2991,CARTON_LOOKUP!$A:$E,4,0),"")</f>
      </c>
      <c r="I2991" s="28">
        <f>IFERROR(VLOOKUP(F2991,CARTON_LOOKUP!$A:$E,5,0),"")</f>
      </c>
      <c r="J2991" s="29">
        <f>IFERROR(VLOOKUP(F2991,CARTON_LOOKUP!$A:$E,2,0),"")</f>
      </c>
      <c r="K2991" s="29">
        <f>IFERROR(J2991*D2991,0)</f>
      </c>
      <c r="L2991" s="29">
        <f>IFERROR(E2991*C2991,0)</f>
      </c>
      <c r="M2991" s="29">
        <f>IFERROR((G2991*H2991*I2991/1000000)*D2991,0)</f>
      </c>
    </row>
    <row r="2992" spans="1:13" x14ac:dyDescent="0.25">
      <c r="A2992" s="16"/>
      <c r="E2992" s="27"/>
      <c r="F2992" t="s">
        <v>26</v>
      </c>
      <c r="G2992" s="28">
        <f>IFERROR(VLOOKUP(F2992,CARTON_LOOKUP!$A:$E,3,0),"")</f>
      </c>
      <c r="H2992" s="28">
        <f>IFERROR(VLOOKUP(F2992,CARTON_LOOKUP!$A:$E,4,0),"")</f>
      </c>
      <c r="I2992" s="28">
        <f>IFERROR(VLOOKUP(F2992,CARTON_LOOKUP!$A:$E,5,0),"")</f>
      </c>
      <c r="J2992" s="29">
        <f>IFERROR(VLOOKUP(F2992,CARTON_LOOKUP!$A:$E,2,0),"")</f>
      </c>
      <c r="K2992" s="29">
        <f>IFERROR(J2992*D2992,0)</f>
      </c>
      <c r="L2992" s="29">
        <f>IFERROR(E2992*C2992,0)</f>
      </c>
      <c r="M2992" s="29">
        <f>IFERROR((G2992*H2992*I2992/1000000)*D2992,0)</f>
      </c>
    </row>
    <row r="2993" spans="1:13" x14ac:dyDescent="0.25">
      <c r="A2993" s="16"/>
      <c r="E2993" s="27"/>
      <c r="F2993" t="s">
        <v>26</v>
      </c>
      <c r="G2993" s="28">
        <f>IFERROR(VLOOKUP(F2993,CARTON_LOOKUP!$A:$E,3,0),"")</f>
      </c>
      <c r="H2993" s="28">
        <f>IFERROR(VLOOKUP(F2993,CARTON_LOOKUP!$A:$E,4,0),"")</f>
      </c>
      <c r="I2993" s="28">
        <f>IFERROR(VLOOKUP(F2993,CARTON_LOOKUP!$A:$E,5,0),"")</f>
      </c>
      <c r="J2993" s="29">
        <f>IFERROR(VLOOKUP(F2993,CARTON_LOOKUP!$A:$E,2,0),"")</f>
      </c>
      <c r="K2993" s="29">
        <f>IFERROR(J2993*D2993,0)</f>
      </c>
      <c r="L2993" s="29">
        <f>IFERROR(E2993*C2993,0)</f>
      </c>
      <c r="M2993" s="29">
        <f>IFERROR((G2993*H2993*I2993/1000000)*D2993,0)</f>
      </c>
    </row>
    <row r="2994" spans="1:13" x14ac:dyDescent="0.25">
      <c r="A2994" s="16"/>
      <c r="E2994" s="27"/>
      <c r="F2994" t="s">
        <v>26</v>
      </c>
      <c r="G2994" s="28">
        <f>IFERROR(VLOOKUP(F2994,CARTON_LOOKUP!$A:$E,3,0),"")</f>
      </c>
      <c r="H2994" s="28">
        <f>IFERROR(VLOOKUP(F2994,CARTON_LOOKUP!$A:$E,4,0),"")</f>
      </c>
      <c r="I2994" s="28">
        <f>IFERROR(VLOOKUP(F2994,CARTON_LOOKUP!$A:$E,5,0),"")</f>
      </c>
      <c r="J2994" s="29">
        <f>IFERROR(VLOOKUP(F2994,CARTON_LOOKUP!$A:$E,2,0),"")</f>
      </c>
      <c r="K2994" s="29">
        <f>IFERROR(J2994*D2994,0)</f>
      </c>
      <c r="L2994" s="29">
        <f>IFERROR(E2994*C2994,0)</f>
      </c>
      <c r="M2994" s="29">
        <f>IFERROR((G2994*H2994*I2994/1000000)*D2994,0)</f>
      </c>
    </row>
    <row r="2995" spans="1:13" x14ac:dyDescent="0.25">
      <c r="A2995" s="16"/>
      <c r="E2995" s="27"/>
      <c r="F2995" t="s">
        <v>26</v>
      </c>
      <c r="G2995" s="28">
        <f>IFERROR(VLOOKUP(F2995,CARTON_LOOKUP!$A:$E,3,0),"")</f>
      </c>
      <c r="H2995" s="28">
        <f>IFERROR(VLOOKUP(F2995,CARTON_LOOKUP!$A:$E,4,0),"")</f>
      </c>
      <c r="I2995" s="28">
        <f>IFERROR(VLOOKUP(F2995,CARTON_LOOKUP!$A:$E,5,0),"")</f>
      </c>
      <c r="J2995" s="29">
        <f>IFERROR(VLOOKUP(F2995,CARTON_LOOKUP!$A:$E,2,0),"")</f>
      </c>
      <c r="K2995" s="29">
        <f>IFERROR(J2995*D2995,0)</f>
      </c>
      <c r="L2995" s="29">
        <f>IFERROR(E2995*C2995,0)</f>
      </c>
      <c r="M2995" s="29">
        <f>IFERROR((G2995*H2995*I2995/1000000)*D2995,0)</f>
      </c>
    </row>
    <row r="2996" spans="1:13" x14ac:dyDescent="0.25">
      <c r="A2996" s="16"/>
      <c r="E2996" s="27"/>
      <c r="F2996" t="s">
        <v>26</v>
      </c>
      <c r="G2996" s="28">
        <f>IFERROR(VLOOKUP(F2996,CARTON_LOOKUP!$A:$E,3,0),"")</f>
      </c>
      <c r="H2996" s="28">
        <f>IFERROR(VLOOKUP(F2996,CARTON_LOOKUP!$A:$E,4,0),"")</f>
      </c>
      <c r="I2996" s="28">
        <f>IFERROR(VLOOKUP(F2996,CARTON_LOOKUP!$A:$E,5,0),"")</f>
      </c>
      <c r="J2996" s="29">
        <f>IFERROR(VLOOKUP(F2996,CARTON_LOOKUP!$A:$E,2,0),"")</f>
      </c>
      <c r="K2996" s="29">
        <f>IFERROR(J2996*D2996,0)</f>
      </c>
      <c r="L2996" s="29">
        <f>IFERROR(E2996*C2996,0)</f>
      </c>
      <c r="M2996" s="29">
        <f>IFERROR((G2996*H2996*I2996/1000000)*D2996,0)</f>
      </c>
    </row>
    <row r="2997" spans="1:13" x14ac:dyDescent="0.25">
      <c r="A2997" s="16"/>
      <c r="E2997" s="27"/>
      <c r="F2997" t="s">
        <v>26</v>
      </c>
      <c r="G2997" s="28">
        <f>IFERROR(VLOOKUP(F2997,CARTON_LOOKUP!$A:$E,3,0),"")</f>
      </c>
      <c r="H2997" s="28">
        <f>IFERROR(VLOOKUP(F2997,CARTON_LOOKUP!$A:$E,4,0),"")</f>
      </c>
      <c r="I2997" s="28">
        <f>IFERROR(VLOOKUP(F2997,CARTON_LOOKUP!$A:$E,5,0),"")</f>
      </c>
      <c r="J2997" s="29">
        <f>IFERROR(VLOOKUP(F2997,CARTON_LOOKUP!$A:$E,2,0),"")</f>
      </c>
      <c r="K2997" s="29">
        <f>IFERROR(J2997*D2997,0)</f>
      </c>
      <c r="L2997" s="29">
        <f>IFERROR(E2997*C2997,0)</f>
      </c>
      <c r="M2997" s="29">
        <f>IFERROR((G2997*H2997*I2997/1000000)*D2997,0)</f>
      </c>
    </row>
    <row r="2998" spans="1:13" x14ac:dyDescent="0.25">
      <c r="A2998" s="16"/>
      <c r="E2998" s="27"/>
      <c r="F2998" t="s">
        <v>26</v>
      </c>
      <c r="G2998" s="28">
        <f>IFERROR(VLOOKUP(F2998,CARTON_LOOKUP!$A:$E,3,0),"")</f>
      </c>
      <c r="H2998" s="28">
        <f>IFERROR(VLOOKUP(F2998,CARTON_LOOKUP!$A:$E,4,0),"")</f>
      </c>
      <c r="I2998" s="28">
        <f>IFERROR(VLOOKUP(F2998,CARTON_LOOKUP!$A:$E,5,0),"")</f>
      </c>
      <c r="J2998" s="29">
        <f>IFERROR(VLOOKUP(F2998,CARTON_LOOKUP!$A:$E,2,0),"")</f>
      </c>
      <c r="K2998" s="29">
        <f>IFERROR(J2998*D2998,0)</f>
      </c>
      <c r="L2998" s="29">
        <f>IFERROR(E2998*C2998,0)</f>
      </c>
      <c r="M2998" s="29">
        <f>IFERROR((G2998*H2998*I2998/1000000)*D2998,0)</f>
      </c>
    </row>
    <row r="2999" spans="1:13" x14ac:dyDescent="0.25">
      <c r="A2999" s="16"/>
      <c r="E2999" s="27"/>
      <c r="F2999" t="s">
        <v>26</v>
      </c>
      <c r="G2999" s="28">
        <f>IFERROR(VLOOKUP(F2999,CARTON_LOOKUP!$A:$E,3,0),"")</f>
      </c>
      <c r="H2999" s="28">
        <f>IFERROR(VLOOKUP(F2999,CARTON_LOOKUP!$A:$E,4,0),"")</f>
      </c>
      <c r="I2999" s="28">
        <f>IFERROR(VLOOKUP(F2999,CARTON_LOOKUP!$A:$E,5,0),"")</f>
      </c>
      <c r="J2999" s="29">
        <f>IFERROR(VLOOKUP(F2999,CARTON_LOOKUP!$A:$E,2,0),"")</f>
      </c>
      <c r="K2999" s="29">
        <f>IFERROR(J2999*D2999,0)</f>
      </c>
      <c r="L2999" s="29">
        <f>IFERROR(E2999*C2999,0)</f>
      </c>
      <c r="M2999" s="29">
        <f>IFERROR((G2999*H2999*I2999/1000000)*D2999,0)</f>
      </c>
    </row>
    <row r="3000" spans="1:13" x14ac:dyDescent="0.25">
      <c r="A3000" s="16"/>
      <c r="E3000" s="27"/>
      <c r="F3000" t="s">
        <v>26</v>
      </c>
      <c r="G3000" s="28">
        <f>IFERROR(VLOOKUP(F3000,CARTON_LOOKUP!$A:$E,3,0),"")</f>
      </c>
      <c r="H3000" s="28">
        <f>IFERROR(VLOOKUP(F3000,CARTON_LOOKUP!$A:$E,4,0),"")</f>
      </c>
      <c r="I3000" s="28">
        <f>IFERROR(VLOOKUP(F3000,CARTON_LOOKUP!$A:$E,5,0),"")</f>
      </c>
      <c r="J3000" s="29">
        <f>IFERROR(VLOOKUP(F3000,CARTON_LOOKUP!$A:$E,2,0),"")</f>
      </c>
      <c r="K3000" s="29">
        <f>IFERROR(J3000*D3000,0)</f>
      </c>
      <c r="L3000" s="29">
        <f>IFERROR(E3000*C3000,0)</f>
      </c>
      <c r="M3000" s="29">
        <f>IFERROR((G3000*H3000*I3000/1000000)*D3000,0)</f>
      </c>
    </row>
    <row r="3001" spans="1:13" x14ac:dyDescent="0.25">
      <c r="A3001" s="16"/>
      <c r="E3001" s="27"/>
      <c r="F3001" t="s">
        <v>26</v>
      </c>
      <c r="G3001" s="28">
        <f>IFERROR(VLOOKUP(F3001,CARTON_LOOKUP!$A:$E,3,0),"")</f>
      </c>
      <c r="H3001" s="28">
        <f>IFERROR(VLOOKUP(F3001,CARTON_LOOKUP!$A:$E,4,0),"")</f>
      </c>
      <c r="I3001" s="28">
        <f>IFERROR(VLOOKUP(F3001,CARTON_LOOKUP!$A:$E,5,0),"")</f>
      </c>
      <c r="J3001" s="29">
        <f>IFERROR(VLOOKUP(F3001,CARTON_LOOKUP!$A:$E,2,0),"")</f>
      </c>
      <c r="K3001" s="29">
        <f>IFERROR(J3001*D3001,0)</f>
      </c>
      <c r="L3001" s="29">
        <f>IFERROR(E3001*C3001,0)</f>
      </c>
      <c r="M3001" s="29">
        <f>IFERROR((G3001*H3001*I3001/1000000)*D3001,0)</f>
      </c>
    </row>
    <row r="3002" spans="1:13" x14ac:dyDescent="0.25">
      <c r="A3002" s="16"/>
      <c r="E3002" s="27"/>
      <c r="F3002" t="s">
        <v>26</v>
      </c>
      <c r="G3002" s="28">
        <f>IFERROR(VLOOKUP(F3002,CARTON_LOOKUP!$A:$E,3,0),"")</f>
      </c>
      <c r="H3002" s="28">
        <f>IFERROR(VLOOKUP(F3002,CARTON_LOOKUP!$A:$E,4,0),"")</f>
      </c>
      <c r="I3002" s="28">
        <f>IFERROR(VLOOKUP(F3002,CARTON_LOOKUP!$A:$E,5,0),"")</f>
      </c>
      <c r="J3002" s="29">
        <f>IFERROR(VLOOKUP(F3002,CARTON_LOOKUP!$A:$E,2,0),"")</f>
      </c>
      <c r="K3002" s="29">
        <f>IFERROR(J3002*D3002,0)</f>
      </c>
      <c r="L3002" s="29">
        <f>IFERROR(E3002*C3002,0)</f>
      </c>
      <c r="M3002" s="29">
        <f>IFERROR((G3002*H3002*I3002/1000000)*D3002,0)</f>
      </c>
    </row>
    <row r="3003" spans="1:13" x14ac:dyDescent="0.25">
      <c r="A3003" s="16"/>
      <c r="E3003" s="27"/>
      <c r="F3003" t="s">
        <v>26</v>
      </c>
      <c r="G3003" s="28">
        <f>IFERROR(VLOOKUP(F3003,CARTON_LOOKUP!$A:$E,3,0),"")</f>
      </c>
      <c r="H3003" s="28">
        <f>IFERROR(VLOOKUP(F3003,CARTON_LOOKUP!$A:$E,4,0),"")</f>
      </c>
      <c r="I3003" s="28">
        <f>IFERROR(VLOOKUP(F3003,CARTON_LOOKUP!$A:$E,5,0),"")</f>
      </c>
      <c r="J3003" s="29">
        <f>IFERROR(VLOOKUP(F3003,CARTON_LOOKUP!$A:$E,2,0),"")</f>
      </c>
      <c r="K3003" s="29">
        <f>IFERROR(J3003*D3003,0)</f>
      </c>
      <c r="L3003" s="29">
        <f>IFERROR(E3003*C3003,0)</f>
      </c>
      <c r="M3003" s="29">
        <f>IFERROR((G3003*H3003*I3003/1000000)*D3003,0)</f>
      </c>
    </row>
    <row r="3004" spans="1:13" x14ac:dyDescent="0.25">
      <c r="A3004" s="16"/>
      <c r="E3004" s="27"/>
      <c r="F3004" t="s">
        <v>26</v>
      </c>
      <c r="G3004" s="28">
        <f>IFERROR(VLOOKUP(F3004,CARTON_LOOKUP!$A:$E,3,0),"")</f>
      </c>
      <c r="H3004" s="28">
        <f>IFERROR(VLOOKUP(F3004,CARTON_LOOKUP!$A:$E,4,0),"")</f>
      </c>
      <c r="I3004" s="28">
        <f>IFERROR(VLOOKUP(F3004,CARTON_LOOKUP!$A:$E,5,0),"")</f>
      </c>
      <c r="J3004" s="29">
        <f>IFERROR(VLOOKUP(F3004,CARTON_LOOKUP!$A:$E,2,0),"")</f>
      </c>
      <c r="K3004" s="29">
        <f>IFERROR(J3004*D3004,0)</f>
      </c>
      <c r="L3004" s="29">
        <f>IFERROR(E3004*C3004,0)</f>
      </c>
      <c r="M3004" s="29">
        <f>IFERROR((G3004*H3004*I3004/1000000)*D3004,0)</f>
      </c>
    </row>
    <row r="3005" spans="1:13" x14ac:dyDescent="0.25">
      <c r="A3005" s="16"/>
      <c r="E3005" s="27"/>
      <c r="F3005" t="s">
        <v>26</v>
      </c>
      <c r="G3005" s="28">
        <f>IFERROR(VLOOKUP(F3005,CARTON_LOOKUP!$A:$E,3,0),"")</f>
      </c>
      <c r="H3005" s="28">
        <f>IFERROR(VLOOKUP(F3005,CARTON_LOOKUP!$A:$E,4,0),"")</f>
      </c>
      <c r="I3005" s="28">
        <f>IFERROR(VLOOKUP(F3005,CARTON_LOOKUP!$A:$E,5,0),"")</f>
      </c>
      <c r="J3005" s="29">
        <f>IFERROR(VLOOKUP(F3005,CARTON_LOOKUP!$A:$E,2,0),"")</f>
      </c>
      <c r="K3005" s="29">
        <f>IFERROR(J3005*D3005,0)</f>
      </c>
      <c r="L3005" s="29">
        <f>IFERROR(E3005*C3005,0)</f>
      </c>
      <c r="M3005" s="29">
        <f>IFERROR((G3005*H3005*I3005/1000000)*D3005,0)</f>
      </c>
    </row>
    <row r="3006" spans="1:13" x14ac:dyDescent="0.25">
      <c r="A3006" s="16"/>
      <c r="E3006" s="27"/>
      <c r="F3006" t="s">
        <v>26</v>
      </c>
      <c r="G3006" s="28">
        <f>IFERROR(VLOOKUP(F3006,CARTON_LOOKUP!$A:$E,3,0),"")</f>
      </c>
      <c r="H3006" s="28">
        <f>IFERROR(VLOOKUP(F3006,CARTON_LOOKUP!$A:$E,4,0),"")</f>
      </c>
      <c r="I3006" s="28">
        <f>IFERROR(VLOOKUP(F3006,CARTON_LOOKUP!$A:$E,5,0),"")</f>
      </c>
      <c r="J3006" s="29">
        <f>IFERROR(VLOOKUP(F3006,CARTON_LOOKUP!$A:$E,2,0),"")</f>
      </c>
      <c r="K3006" s="29">
        <f>IFERROR(J3006*D3006,0)</f>
      </c>
      <c r="L3006" s="29">
        <f>IFERROR(E3006*C3006,0)</f>
      </c>
      <c r="M3006" s="29">
        <f>IFERROR((G3006*H3006*I3006/1000000)*D3006,0)</f>
      </c>
    </row>
    <row r="3007" spans="1:13" x14ac:dyDescent="0.25">
      <c r="A3007" s="16"/>
      <c r="E3007" s="27"/>
      <c r="F3007" t="s">
        <v>26</v>
      </c>
      <c r="G3007" s="28">
        <f>IFERROR(VLOOKUP(F3007,CARTON_LOOKUP!$A:$E,3,0),"")</f>
      </c>
      <c r="H3007" s="28">
        <f>IFERROR(VLOOKUP(F3007,CARTON_LOOKUP!$A:$E,4,0),"")</f>
      </c>
      <c r="I3007" s="28">
        <f>IFERROR(VLOOKUP(F3007,CARTON_LOOKUP!$A:$E,5,0),"")</f>
      </c>
      <c r="J3007" s="29">
        <f>IFERROR(VLOOKUP(F3007,CARTON_LOOKUP!$A:$E,2,0),"")</f>
      </c>
      <c r="K3007" s="29">
        <f>IFERROR(J3007*D3007,0)</f>
      </c>
      <c r="L3007" s="29">
        <f>IFERROR(E3007*C3007,0)</f>
      </c>
      <c r="M3007" s="29">
        <f>IFERROR((G3007*H3007*I3007/1000000)*D3007,0)</f>
      </c>
    </row>
    <row r="3008" spans="1:13" x14ac:dyDescent="0.25">
      <c r="A3008" s="16"/>
      <c r="E3008" s="27"/>
      <c r="F3008" t="s">
        <v>26</v>
      </c>
      <c r="G3008" s="28">
        <f>IFERROR(VLOOKUP(F3008,CARTON_LOOKUP!$A:$E,3,0),"")</f>
      </c>
      <c r="H3008" s="28">
        <f>IFERROR(VLOOKUP(F3008,CARTON_LOOKUP!$A:$E,4,0),"")</f>
      </c>
      <c r="I3008" s="28">
        <f>IFERROR(VLOOKUP(F3008,CARTON_LOOKUP!$A:$E,5,0),"")</f>
      </c>
      <c r="J3008" s="29">
        <f>IFERROR(VLOOKUP(F3008,CARTON_LOOKUP!$A:$E,2,0),"")</f>
      </c>
      <c r="K3008" s="29">
        <f>IFERROR(J3008*D3008,0)</f>
      </c>
      <c r="L3008" s="29">
        <f>IFERROR(E3008*C3008,0)</f>
      </c>
      <c r="M3008" s="29">
        <f>IFERROR((G3008*H3008*I3008/1000000)*D3008,0)</f>
      </c>
    </row>
    <row r="3009" spans="1:13" x14ac:dyDescent="0.25">
      <c r="A3009" s="16"/>
      <c r="E3009" s="27"/>
      <c r="F3009" t="s">
        <v>26</v>
      </c>
      <c r="G3009" s="28">
        <f>IFERROR(VLOOKUP(F3009,CARTON_LOOKUP!$A:$E,3,0),"")</f>
      </c>
      <c r="H3009" s="28">
        <f>IFERROR(VLOOKUP(F3009,CARTON_LOOKUP!$A:$E,4,0),"")</f>
      </c>
      <c r="I3009" s="28">
        <f>IFERROR(VLOOKUP(F3009,CARTON_LOOKUP!$A:$E,5,0),"")</f>
      </c>
      <c r="J3009" s="29">
        <f>IFERROR(VLOOKUP(F3009,CARTON_LOOKUP!$A:$E,2,0),"")</f>
      </c>
      <c r="K3009" s="29">
        <f>IFERROR(J3009*D3009,0)</f>
      </c>
      <c r="L3009" s="29">
        <f>IFERROR(E3009*C3009,0)</f>
      </c>
      <c r="M3009" s="29">
        <f>IFERROR((G3009*H3009*I3009/1000000)*D3009,0)</f>
      </c>
    </row>
    <row r="3010" spans="1:13" x14ac:dyDescent="0.25">
      <c r="A3010" s="16"/>
      <c r="E3010" s="27"/>
      <c r="F3010" t="s">
        <v>26</v>
      </c>
      <c r="G3010" s="28">
        <f>IFERROR(VLOOKUP(F3010,CARTON_LOOKUP!$A:$E,3,0),"")</f>
      </c>
      <c r="H3010" s="28">
        <f>IFERROR(VLOOKUP(F3010,CARTON_LOOKUP!$A:$E,4,0),"")</f>
      </c>
      <c r="I3010" s="28">
        <f>IFERROR(VLOOKUP(F3010,CARTON_LOOKUP!$A:$E,5,0),"")</f>
      </c>
      <c r="J3010" s="29">
        <f>IFERROR(VLOOKUP(F3010,CARTON_LOOKUP!$A:$E,2,0),"")</f>
      </c>
      <c r="K3010" s="29">
        <f>IFERROR(J3010*D3010,0)</f>
      </c>
      <c r="L3010" s="29">
        <f>IFERROR(E3010*C3010,0)</f>
      </c>
      <c r="M3010" s="29">
        <f>IFERROR((G3010*H3010*I3010/1000000)*D3010,0)</f>
      </c>
    </row>
    <row r="3011" spans="1:13" x14ac:dyDescent="0.25">
      <c r="A3011" s="16"/>
      <c r="E3011" s="27"/>
      <c r="F3011" t="s">
        <v>26</v>
      </c>
      <c r="G3011" s="28">
        <f>IFERROR(VLOOKUP(F3011,CARTON_LOOKUP!$A:$E,3,0),"")</f>
      </c>
      <c r="H3011" s="28">
        <f>IFERROR(VLOOKUP(F3011,CARTON_LOOKUP!$A:$E,4,0),"")</f>
      </c>
      <c r="I3011" s="28">
        <f>IFERROR(VLOOKUP(F3011,CARTON_LOOKUP!$A:$E,5,0),"")</f>
      </c>
      <c r="J3011" s="29">
        <f>IFERROR(VLOOKUP(F3011,CARTON_LOOKUP!$A:$E,2,0),"")</f>
      </c>
      <c r="K3011" s="29">
        <f>IFERROR(J3011*D3011,0)</f>
      </c>
      <c r="L3011" s="29">
        <f>IFERROR(E3011*C3011,0)</f>
      </c>
      <c r="M3011" s="29">
        <f>IFERROR((G3011*H3011*I3011/1000000)*D3011,0)</f>
      </c>
    </row>
    <row r="3012" spans="1:13" x14ac:dyDescent="0.25">
      <c r="A3012" s="16"/>
      <c r="E3012" s="27"/>
      <c r="F3012" t="s">
        <v>26</v>
      </c>
      <c r="G3012" s="28">
        <f>IFERROR(VLOOKUP(F3012,CARTON_LOOKUP!$A:$E,3,0),"")</f>
      </c>
      <c r="H3012" s="28">
        <f>IFERROR(VLOOKUP(F3012,CARTON_LOOKUP!$A:$E,4,0),"")</f>
      </c>
      <c r="I3012" s="28">
        <f>IFERROR(VLOOKUP(F3012,CARTON_LOOKUP!$A:$E,5,0),"")</f>
      </c>
      <c r="J3012" s="29">
        <f>IFERROR(VLOOKUP(F3012,CARTON_LOOKUP!$A:$E,2,0),"")</f>
      </c>
      <c r="K3012" s="29">
        <f>IFERROR(J3012*D3012,0)</f>
      </c>
      <c r="L3012" s="29">
        <f>IFERROR(E3012*C3012,0)</f>
      </c>
      <c r="M3012" s="29">
        <f>IFERROR((G3012*H3012*I3012/1000000)*D3012,0)</f>
      </c>
    </row>
    <row r="3013" spans="1:13" x14ac:dyDescent="0.25">
      <c r="A3013" s="16"/>
      <c r="E3013" s="27"/>
      <c r="F3013" t="s">
        <v>26</v>
      </c>
      <c r="G3013" s="28">
        <f>IFERROR(VLOOKUP(F3013,CARTON_LOOKUP!$A:$E,3,0),"")</f>
      </c>
      <c r="H3013" s="28">
        <f>IFERROR(VLOOKUP(F3013,CARTON_LOOKUP!$A:$E,4,0),"")</f>
      </c>
      <c r="I3013" s="28">
        <f>IFERROR(VLOOKUP(F3013,CARTON_LOOKUP!$A:$E,5,0),"")</f>
      </c>
      <c r="J3013" s="29">
        <f>IFERROR(VLOOKUP(F3013,CARTON_LOOKUP!$A:$E,2,0),"")</f>
      </c>
      <c r="K3013" s="29">
        <f>IFERROR(J3013*D3013,0)</f>
      </c>
      <c r="L3013" s="29">
        <f>IFERROR(E3013*C3013,0)</f>
      </c>
      <c r="M3013" s="29">
        <f>IFERROR((G3013*H3013*I3013/1000000)*D3013,0)</f>
      </c>
    </row>
    <row r="3014" spans="1:13" x14ac:dyDescent="0.25">
      <c r="A3014" s="16"/>
      <c r="E3014" s="27"/>
      <c r="F3014" t="s">
        <v>26</v>
      </c>
      <c r="G3014" s="28">
        <f>IFERROR(VLOOKUP(F3014,CARTON_LOOKUP!$A:$E,3,0),"")</f>
      </c>
      <c r="H3014" s="28">
        <f>IFERROR(VLOOKUP(F3014,CARTON_LOOKUP!$A:$E,4,0),"")</f>
      </c>
      <c r="I3014" s="28">
        <f>IFERROR(VLOOKUP(F3014,CARTON_LOOKUP!$A:$E,5,0),"")</f>
      </c>
      <c r="J3014" s="29">
        <f>IFERROR(VLOOKUP(F3014,CARTON_LOOKUP!$A:$E,2,0),"")</f>
      </c>
      <c r="K3014" s="29">
        <f>IFERROR(J3014*D3014,0)</f>
      </c>
      <c r="L3014" s="29">
        <f>IFERROR(E3014*C3014,0)</f>
      </c>
      <c r="M3014" s="29">
        <f>IFERROR((G3014*H3014*I3014/1000000)*D3014,0)</f>
      </c>
    </row>
    <row r="3015" spans="1:13" x14ac:dyDescent="0.25">
      <c r="A3015" s="16"/>
      <c r="E3015" s="27"/>
      <c r="F3015" t="s">
        <v>26</v>
      </c>
      <c r="G3015" s="28">
        <f>IFERROR(VLOOKUP(F3015,CARTON_LOOKUP!$A:$E,3,0),"")</f>
      </c>
      <c r="H3015" s="28">
        <f>IFERROR(VLOOKUP(F3015,CARTON_LOOKUP!$A:$E,4,0),"")</f>
      </c>
      <c r="I3015" s="28">
        <f>IFERROR(VLOOKUP(F3015,CARTON_LOOKUP!$A:$E,5,0),"")</f>
      </c>
      <c r="J3015" s="29">
        <f>IFERROR(VLOOKUP(F3015,CARTON_LOOKUP!$A:$E,2,0),"")</f>
      </c>
      <c r="K3015" s="29">
        <f>IFERROR(J3015*D3015,0)</f>
      </c>
      <c r="L3015" s="29">
        <f>IFERROR(E3015*C3015,0)</f>
      </c>
      <c r="M3015" s="29">
        <f>IFERROR((G3015*H3015*I3015/1000000)*D3015,0)</f>
      </c>
    </row>
    <row r="3016" spans="1:13" x14ac:dyDescent="0.25">
      <c r="A3016" s="16"/>
      <c r="E3016" s="27"/>
      <c r="F3016" t="s">
        <v>26</v>
      </c>
      <c r="G3016" s="28">
        <f>IFERROR(VLOOKUP(F3016,CARTON_LOOKUP!$A:$E,3,0),"")</f>
      </c>
      <c r="H3016" s="28">
        <f>IFERROR(VLOOKUP(F3016,CARTON_LOOKUP!$A:$E,4,0),"")</f>
      </c>
      <c r="I3016" s="28">
        <f>IFERROR(VLOOKUP(F3016,CARTON_LOOKUP!$A:$E,5,0),"")</f>
      </c>
      <c r="J3016" s="29">
        <f>IFERROR(VLOOKUP(F3016,CARTON_LOOKUP!$A:$E,2,0),"")</f>
      </c>
      <c r="K3016" s="29">
        <f>IFERROR(J3016*D3016,0)</f>
      </c>
      <c r="L3016" s="29">
        <f>IFERROR(E3016*C3016,0)</f>
      </c>
      <c r="M3016" s="29">
        <f>IFERROR((G3016*H3016*I3016/1000000)*D3016,0)</f>
      </c>
    </row>
    <row r="3017" spans="1:13" x14ac:dyDescent="0.25">
      <c r="A3017" s="16"/>
      <c r="E3017" s="27"/>
      <c r="F3017" t="s">
        <v>26</v>
      </c>
      <c r="G3017" s="28">
        <f>IFERROR(VLOOKUP(F3017,CARTON_LOOKUP!$A:$E,3,0),"")</f>
      </c>
      <c r="H3017" s="28">
        <f>IFERROR(VLOOKUP(F3017,CARTON_LOOKUP!$A:$E,4,0),"")</f>
      </c>
      <c r="I3017" s="28">
        <f>IFERROR(VLOOKUP(F3017,CARTON_LOOKUP!$A:$E,5,0),"")</f>
      </c>
      <c r="J3017" s="29">
        <f>IFERROR(VLOOKUP(F3017,CARTON_LOOKUP!$A:$E,2,0),"")</f>
      </c>
      <c r="K3017" s="29">
        <f>IFERROR(J3017*D3017,0)</f>
      </c>
      <c r="L3017" s="29">
        <f>IFERROR(E3017*C3017,0)</f>
      </c>
      <c r="M3017" s="29">
        <f>IFERROR((G3017*H3017*I3017/1000000)*D3017,0)</f>
      </c>
    </row>
    <row r="3018" spans="1:13" x14ac:dyDescent="0.25">
      <c r="A3018" s="16"/>
      <c r="E3018" s="27"/>
      <c r="F3018" t="s">
        <v>26</v>
      </c>
      <c r="G3018" s="28">
        <f>IFERROR(VLOOKUP(F3018,CARTON_LOOKUP!$A:$E,3,0),"")</f>
      </c>
      <c r="H3018" s="28">
        <f>IFERROR(VLOOKUP(F3018,CARTON_LOOKUP!$A:$E,4,0),"")</f>
      </c>
      <c r="I3018" s="28">
        <f>IFERROR(VLOOKUP(F3018,CARTON_LOOKUP!$A:$E,5,0),"")</f>
      </c>
      <c r="J3018" s="29">
        <f>IFERROR(VLOOKUP(F3018,CARTON_LOOKUP!$A:$E,2,0),"")</f>
      </c>
      <c r="K3018" s="29">
        <f>IFERROR(J3018*D3018,0)</f>
      </c>
      <c r="L3018" s="29">
        <f>IFERROR(E3018*C3018,0)</f>
      </c>
      <c r="M3018" s="29">
        <f>IFERROR((G3018*H3018*I3018/1000000)*D3018,0)</f>
      </c>
    </row>
    <row r="3019" spans="1:13" x14ac:dyDescent="0.25">
      <c r="A3019" s="16"/>
      <c r="E3019" s="27"/>
      <c r="F3019" t="s">
        <v>26</v>
      </c>
      <c r="G3019" s="28">
        <f>IFERROR(VLOOKUP(F3019,CARTON_LOOKUP!$A:$E,3,0),"")</f>
      </c>
      <c r="H3019" s="28">
        <f>IFERROR(VLOOKUP(F3019,CARTON_LOOKUP!$A:$E,4,0),"")</f>
      </c>
      <c r="I3019" s="28">
        <f>IFERROR(VLOOKUP(F3019,CARTON_LOOKUP!$A:$E,5,0),"")</f>
      </c>
      <c r="J3019" s="29">
        <f>IFERROR(VLOOKUP(F3019,CARTON_LOOKUP!$A:$E,2,0),"")</f>
      </c>
      <c r="K3019" s="29">
        <f>IFERROR(J3019*D3019,0)</f>
      </c>
      <c r="L3019" s="29">
        <f>IFERROR(E3019*C3019,0)</f>
      </c>
      <c r="M3019" s="29">
        <f>IFERROR((G3019*H3019*I3019/1000000)*D3019,0)</f>
      </c>
    </row>
    <row r="3020" spans="1:13" x14ac:dyDescent="0.25">
      <c r="A3020" s="16"/>
      <c r="E3020" s="27"/>
      <c r="F3020" t="s">
        <v>26</v>
      </c>
      <c r="G3020" s="28">
        <f>IFERROR(VLOOKUP(F3020,CARTON_LOOKUP!$A:$E,3,0),"")</f>
      </c>
      <c r="H3020" s="28">
        <f>IFERROR(VLOOKUP(F3020,CARTON_LOOKUP!$A:$E,4,0),"")</f>
      </c>
      <c r="I3020" s="28">
        <f>IFERROR(VLOOKUP(F3020,CARTON_LOOKUP!$A:$E,5,0),"")</f>
      </c>
      <c r="J3020" s="29">
        <f>IFERROR(VLOOKUP(F3020,CARTON_LOOKUP!$A:$E,2,0),"")</f>
      </c>
      <c r="K3020" s="29">
        <f>IFERROR(J3020*D3020,0)</f>
      </c>
      <c r="L3020" s="29">
        <f>IFERROR(E3020*C3020,0)</f>
      </c>
      <c r="M3020" s="29">
        <f>IFERROR((G3020*H3020*I3020/1000000)*D3020,0)</f>
      </c>
    </row>
    <row r="3021" spans="1:13" x14ac:dyDescent="0.25">
      <c r="A3021" s="16"/>
      <c r="E3021" s="27"/>
      <c r="F3021" t="s">
        <v>26</v>
      </c>
      <c r="G3021" s="28">
        <f>IFERROR(VLOOKUP(F3021,CARTON_LOOKUP!$A:$E,3,0),"")</f>
      </c>
      <c r="H3021" s="28">
        <f>IFERROR(VLOOKUP(F3021,CARTON_LOOKUP!$A:$E,4,0),"")</f>
      </c>
      <c r="I3021" s="28">
        <f>IFERROR(VLOOKUP(F3021,CARTON_LOOKUP!$A:$E,5,0),"")</f>
      </c>
      <c r="J3021" s="29">
        <f>IFERROR(VLOOKUP(F3021,CARTON_LOOKUP!$A:$E,2,0),"")</f>
      </c>
      <c r="K3021" s="29">
        <f>IFERROR(J3021*D3021,0)</f>
      </c>
      <c r="L3021" s="29">
        <f>IFERROR(E3021*C3021,0)</f>
      </c>
      <c r="M3021" s="29">
        <f>IFERROR((G3021*H3021*I3021/1000000)*D3021,0)</f>
      </c>
    </row>
    <row r="3022" spans="1:13" x14ac:dyDescent="0.25">
      <c r="A3022" s="16"/>
      <c r="E3022" s="27"/>
      <c r="F3022" t="s">
        <v>26</v>
      </c>
      <c r="G3022" s="28">
        <f>IFERROR(VLOOKUP(F3022,CARTON_LOOKUP!$A:$E,3,0),"")</f>
      </c>
      <c r="H3022" s="28">
        <f>IFERROR(VLOOKUP(F3022,CARTON_LOOKUP!$A:$E,4,0),"")</f>
      </c>
      <c r="I3022" s="28">
        <f>IFERROR(VLOOKUP(F3022,CARTON_LOOKUP!$A:$E,5,0),"")</f>
      </c>
      <c r="J3022" s="29">
        <f>IFERROR(VLOOKUP(F3022,CARTON_LOOKUP!$A:$E,2,0),"")</f>
      </c>
      <c r="K3022" s="29">
        <f>IFERROR(J3022*D3022,0)</f>
      </c>
      <c r="L3022" s="29">
        <f>IFERROR(E3022*C3022,0)</f>
      </c>
      <c r="M3022" s="29">
        <f>IFERROR((G3022*H3022*I3022/1000000)*D3022,0)</f>
      </c>
    </row>
    <row r="3023" spans="1:13" x14ac:dyDescent="0.25">
      <c r="A3023" s="16"/>
      <c r="E3023" s="27"/>
      <c r="F3023" t="s">
        <v>26</v>
      </c>
      <c r="G3023" s="28">
        <f>IFERROR(VLOOKUP(F3023,CARTON_LOOKUP!$A:$E,3,0),"")</f>
      </c>
      <c r="H3023" s="28">
        <f>IFERROR(VLOOKUP(F3023,CARTON_LOOKUP!$A:$E,4,0),"")</f>
      </c>
      <c r="I3023" s="28">
        <f>IFERROR(VLOOKUP(F3023,CARTON_LOOKUP!$A:$E,5,0),"")</f>
      </c>
      <c r="J3023" s="29">
        <f>IFERROR(VLOOKUP(F3023,CARTON_LOOKUP!$A:$E,2,0),"")</f>
      </c>
      <c r="K3023" s="29">
        <f>IFERROR(J3023*D3023,0)</f>
      </c>
      <c r="L3023" s="29">
        <f>IFERROR(E3023*C3023,0)</f>
      </c>
      <c r="M3023" s="29">
        <f>IFERROR((G3023*H3023*I3023/1000000)*D3023,0)</f>
      </c>
    </row>
    <row r="3024" spans="1:13" x14ac:dyDescent="0.25">
      <c r="A3024" s="16"/>
      <c r="E3024" s="27"/>
      <c r="F3024" t="s">
        <v>26</v>
      </c>
      <c r="G3024" s="28">
        <f>IFERROR(VLOOKUP(F3024,CARTON_LOOKUP!$A:$E,3,0),"")</f>
      </c>
      <c r="H3024" s="28">
        <f>IFERROR(VLOOKUP(F3024,CARTON_LOOKUP!$A:$E,4,0),"")</f>
      </c>
      <c r="I3024" s="28">
        <f>IFERROR(VLOOKUP(F3024,CARTON_LOOKUP!$A:$E,5,0),"")</f>
      </c>
      <c r="J3024" s="29">
        <f>IFERROR(VLOOKUP(F3024,CARTON_LOOKUP!$A:$E,2,0),"")</f>
      </c>
      <c r="K3024" s="29">
        <f>IFERROR(J3024*D3024,0)</f>
      </c>
      <c r="L3024" s="29">
        <f>IFERROR(E3024*C3024,0)</f>
      </c>
      <c r="M3024" s="29">
        <f>IFERROR((G3024*H3024*I3024/1000000)*D3024,0)</f>
      </c>
    </row>
    <row r="3025" spans="1:13" x14ac:dyDescent="0.25">
      <c r="A3025" s="16"/>
      <c r="E3025" s="27"/>
      <c r="F3025" t="s">
        <v>26</v>
      </c>
      <c r="G3025" s="28">
        <f>IFERROR(VLOOKUP(F3025,CARTON_LOOKUP!$A:$E,3,0),"")</f>
      </c>
      <c r="H3025" s="28">
        <f>IFERROR(VLOOKUP(F3025,CARTON_LOOKUP!$A:$E,4,0),"")</f>
      </c>
      <c r="I3025" s="28">
        <f>IFERROR(VLOOKUP(F3025,CARTON_LOOKUP!$A:$E,5,0),"")</f>
      </c>
      <c r="J3025" s="29">
        <f>IFERROR(VLOOKUP(F3025,CARTON_LOOKUP!$A:$E,2,0),"")</f>
      </c>
      <c r="K3025" s="29">
        <f>IFERROR(J3025*D3025,0)</f>
      </c>
      <c r="L3025" s="29">
        <f>IFERROR(E3025*C3025,0)</f>
      </c>
      <c r="M3025" s="29">
        <f>IFERROR((G3025*H3025*I3025/1000000)*D3025,0)</f>
      </c>
    </row>
    <row r="3026" spans="1:13" x14ac:dyDescent="0.25">
      <c r="A3026" s="16"/>
      <c r="E3026" s="27"/>
      <c r="F3026" t="s">
        <v>26</v>
      </c>
      <c r="G3026" s="28">
        <f>IFERROR(VLOOKUP(F3026,CARTON_LOOKUP!$A:$E,3,0),"")</f>
      </c>
      <c r="H3026" s="28">
        <f>IFERROR(VLOOKUP(F3026,CARTON_LOOKUP!$A:$E,4,0),"")</f>
      </c>
      <c r="I3026" s="28">
        <f>IFERROR(VLOOKUP(F3026,CARTON_LOOKUP!$A:$E,5,0),"")</f>
      </c>
      <c r="J3026" s="29">
        <f>IFERROR(VLOOKUP(F3026,CARTON_LOOKUP!$A:$E,2,0),"")</f>
      </c>
      <c r="K3026" s="29">
        <f>IFERROR(J3026*D3026,0)</f>
      </c>
      <c r="L3026" s="29">
        <f>IFERROR(E3026*C3026,0)</f>
      </c>
      <c r="M3026" s="29">
        <f>IFERROR((G3026*H3026*I3026/1000000)*D3026,0)</f>
      </c>
    </row>
    <row r="3027" spans="1:13" x14ac:dyDescent="0.25">
      <c r="A3027" s="16"/>
      <c r="E3027" s="27"/>
      <c r="F3027" t="s">
        <v>26</v>
      </c>
      <c r="G3027" s="28">
        <f>IFERROR(VLOOKUP(F3027,CARTON_LOOKUP!$A:$E,3,0),"")</f>
      </c>
      <c r="H3027" s="28">
        <f>IFERROR(VLOOKUP(F3027,CARTON_LOOKUP!$A:$E,4,0),"")</f>
      </c>
      <c r="I3027" s="28">
        <f>IFERROR(VLOOKUP(F3027,CARTON_LOOKUP!$A:$E,5,0),"")</f>
      </c>
      <c r="J3027" s="29">
        <f>IFERROR(VLOOKUP(F3027,CARTON_LOOKUP!$A:$E,2,0),"")</f>
      </c>
      <c r="K3027" s="29">
        <f>IFERROR(J3027*D3027,0)</f>
      </c>
      <c r="L3027" s="29">
        <f>IFERROR(E3027*C3027,0)</f>
      </c>
      <c r="M3027" s="29">
        <f>IFERROR((G3027*H3027*I3027/1000000)*D3027,0)</f>
      </c>
    </row>
    <row r="3028" spans="1:13" x14ac:dyDescent="0.25">
      <c r="A3028" s="16"/>
      <c r="E3028" s="27"/>
      <c r="F3028" t="s">
        <v>26</v>
      </c>
      <c r="G3028" s="28">
        <f>IFERROR(VLOOKUP(F3028,CARTON_LOOKUP!$A:$E,3,0),"")</f>
      </c>
      <c r="H3028" s="28">
        <f>IFERROR(VLOOKUP(F3028,CARTON_LOOKUP!$A:$E,4,0),"")</f>
      </c>
      <c r="I3028" s="28">
        <f>IFERROR(VLOOKUP(F3028,CARTON_LOOKUP!$A:$E,5,0),"")</f>
      </c>
      <c r="J3028" s="29">
        <f>IFERROR(VLOOKUP(F3028,CARTON_LOOKUP!$A:$E,2,0),"")</f>
      </c>
      <c r="K3028" s="29">
        <f>IFERROR(J3028*D3028,0)</f>
      </c>
      <c r="L3028" s="29">
        <f>IFERROR(E3028*C3028,0)</f>
      </c>
      <c r="M3028" s="29">
        <f>IFERROR((G3028*H3028*I3028/1000000)*D3028,0)</f>
      </c>
    </row>
    <row r="3029" spans="1:13" x14ac:dyDescent="0.25">
      <c r="A3029" s="16"/>
      <c r="E3029" s="27"/>
      <c r="F3029" t="s">
        <v>26</v>
      </c>
      <c r="G3029" s="28">
        <f>IFERROR(VLOOKUP(F3029,CARTON_LOOKUP!$A:$E,3,0),"")</f>
      </c>
      <c r="H3029" s="28">
        <f>IFERROR(VLOOKUP(F3029,CARTON_LOOKUP!$A:$E,4,0),"")</f>
      </c>
      <c r="I3029" s="28">
        <f>IFERROR(VLOOKUP(F3029,CARTON_LOOKUP!$A:$E,5,0),"")</f>
      </c>
      <c r="J3029" s="29">
        <f>IFERROR(VLOOKUP(F3029,CARTON_LOOKUP!$A:$E,2,0),"")</f>
      </c>
      <c r="K3029" s="29">
        <f>IFERROR(J3029*D3029,0)</f>
      </c>
      <c r="L3029" s="29">
        <f>IFERROR(E3029*C3029,0)</f>
      </c>
      <c r="M3029" s="29">
        <f>IFERROR((G3029*H3029*I3029/1000000)*D3029,0)</f>
      </c>
    </row>
    <row r="3030" spans="1:13" x14ac:dyDescent="0.25">
      <c r="A3030" s="16"/>
      <c r="E3030" s="27"/>
      <c r="F3030" t="s">
        <v>26</v>
      </c>
      <c r="G3030" s="28">
        <f>IFERROR(VLOOKUP(F3030,CARTON_LOOKUP!$A:$E,3,0),"")</f>
      </c>
      <c r="H3030" s="28">
        <f>IFERROR(VLOOKUP(F3030,CARTON_LOOKUP!$A:$E,4,0),"")</f>
      </c>
      <c r="I3030" s="28">
        <f>IFERROR(VLOOKUP(F3030,CARTON_LOOKUP!$A:$E,5,0),"")</f>
      </c>
      <c r="J3030" s="29">
        <f>IFERROR(VLOOKUP(F3030,CARTON_LOOKUP!$A:$E,2,0),"")</f>
      </c>
      <c r="K3030" s="29">
        <f>IFERROR(J3030*D3030,0)</f>
      </c>
      <c r="L3030" s="29">
        <f>IFERROR(E3030*C3030,0)</f>
      </c>
      <c r="M3030" s="29">
        <f>IFERROR((G3030*H3030*I3030/1000000)*D3030,0)</f>
      </c>
    </row>
    <row r="3031" spans="1:13" x14ac:dyDescent="0.25">
      <c r="A3031" s="16"/>
      <c r="E3031" s="27"/>
      <c r="F3031" t="s">
        <v>26</v>
      </c>
      <c r="G3031" s="28">
        <f>IFERROR(VLOOKUP(F3031,CARTON_LOOKUP!$A:$E,3,0),"")</f>
      </c>
      <c r="H3031" s="28">
        <f>IFERROR(VLOOKUP(F3031,CARTON_LOOKUP!$A:$E,4,0),"")</f>
      </c>
      <c r="I3031" s="28">
        <f>IFERROR(VLOOKUP(F3031,CARTON_LOOKUP!$A:$E,5,0),"")</f>
      </c>
      <c r="J3031" s="29">
        <f>IFERROR(VLOOKUP(F3031,CARTON_LOOKUP!$A:$E,2,0),"")</f>
      </c>
      <c r="K3031" s="29">
        <f>IFERROR(J3031*D3031,0)</f>
      </c>
      <c r="L3031" s="29">
        <f>IFERROR(E3031*C3031,0)</f>
      </c>
      <c r="M3031" s="29">
        <f>IFERROR((G3031*H3031*I3031/1000000)*D3031,0)</f>
      </c>
    </row>
    <row r="3032" spans="1:13" x14ac:dyDescent="0.25">
      <c r="A3032" s="16"/>
      <c r="E3032" s="27"/>
      <c r="F3032" t="s">
        <v>26</v>
      </c>
      <c r="G3032" s="28">
        <f>IFERROR(VLOOKUP(F3032,CARTON_LOOKUP!$A:$E,3,0),"")</f>
      </c>
      <c r="H3032" s="28">
        <f>IFERROR(VLOOKUP(F3032,CARTON_LOOKUP!$A:$E,4,0),"")</f>
      </c>
      <c r="I3032" s="28">
        <f>IFERROR(VLOOKUP(F3032,CARTON_LOOKUP!$A:$E,5,0),"")</f>
      </c>
      <c r="J3032" s="29">
        <f>IFERROR(VLOOKUP(F3032,CARTON_LOOKUP!$A:$E,2,0),"")</f>
      </c>
      <c r="K3032" s="29">
        <f>IFERROR(J3032*D3032,0)</f>
      </c>
      <c r="L3032" s="29">
        <f>IFERROR(E3032*C3032,0)</f>
      </c>
      <c r="M3032" s="29">
        <f>IFERROR((G3032*H3032*I3032/1000000)*D3032,0)</f>
      </c>
    </row>
    <row r="3033" spans="1:13" x14ac:dyDescent="0.25">
      <c r="A3033" s="16"/>
      <c r="E3033" s="27"/>
      <c r="F3033" t="s">
        <v>26</v>
      </c>
      <c r="G3033" s="28">
        <f>IFERROR(VLOOKUP(F3033,CARTON_LOOKUP!$A:$E,3,0),"")</f>
      </c>
      <c r="H3033" s="28">
        <f>IFERROR(VLOOKUP(F3033,CARTON_LOOKUP!$A:$E,4,0),"")</f>
      </c>
      <c r="I3033" s="28">
        <f>IFERROR(VLOOKUP(F3033,CARTON_LOOKUP!$A:$E,5,0),"")</f>
      </c>
      <c r="J3033" s="29">
        <f>IFERROR(VLOOKUP(F3033,CARTON_LOOKUP!$A:$E,2,0),"")</f>
      </c>
      <c r="K3033" s="29">
        <f>IFERROR(J3033*D3033,0)</f>
      </c>
      <c r="L3033" s="29">
        <f>IFERROR(E3033*C3033,0)</f>
      </c>
      <c r="M3033" s="29">
        <f>IFERROR((G3033*H3033*I3033/1000000)*D3033,0)</f>
      </c>
    </row>
    <row r="3034" spans="1:13" x14ac:dyDescent="0.25">
      <c r="A3034" s="16"/>
      <c r="E3034" s="27"/>
      <c r="F3034" t="s">
        <v>26</v>
      </c>
      <c r="G3034" s="28">
        <f>IFERROR(VLOOKUP(F3034,CARTON_LOOKUP!$A:$E,3,0),"")</f>
      </c>
      <c r="H3034" s="28">
        <f>IFERROR(VLOOKUP(F3034,CARTON_LOOKUP!$A:$E,4,0),"")</f>
      </c>
      <c r="I3034" s="28">
        <f>IFERROR(VLOOKUP(F3034,CARTON_LOOKUP!$A:$E,5,0),"")</f>
      </c>
      <c r="J3034" s="29">
        <f>IFERROR(VLOOKUP(F3034,CARTON_LOOKUP!$A:$E,2,0),"")</f>
      </c>
      <c r="K3034" s="29">
        <f>IFERROR(J3034*D3034,0)</f>
      </c>
      <c r="L3034" s="29">
        <f>IFERROR(E3034*C3034,0)</f>
      </c>
      <c r="M3034" s="29">
        <f>IFERROR((G3034*H3034*I3034/1000000)*D3034,0)</f>
      </c>
    </row>
    <row r="3035" spans="1:13" x14ac:dyDescent="0.25">
      <c r="A3035" s="16"/>
      <c r="E3035" s="27"/>
      <c r="F3035" t="s">
        <v>26</v>
      </c>
      <c r="G3035" s="28">
        <f>IFERROR(VLOOKUP(F3035,CARTON_LOOKUP!$A:$E,3,0),"")</f>
      </c>
      <c r="H3035" s="28">
        <f>IFERROR(VLOOKUP(F3035,CARTON_LOOKUP!$A:$E,4,0),"")</f>
      </c>
      <c r="I3035" s="28">
        <f>IFERROR(VLOOKUP(F3035,CARTON_LOOKUP!$A:$E,5,0),"")</f>
      </c>
      <c r="J3035" s="29">
        <f>IFERROR(VLOOKUP(F3035,CARTON_LOOKUP!$A:$E,2,0),"")</f>
      </c>
      <c r="K3035" s="29">
        <f>IFERROR(J3035*D3035,0)</f>
      </c>
      <c r="L3035" s="29">
        <f>IFERROR(E3035*C3035,0)</f>
      </c>
      <c r="M3035" s="29">
        <f>IFERROR((G3035*H3035*I3035/1000000)*D3035,0)</f>
      </c>
    </row>
    <row r="3036" spans="1:13" x14ac:dyDescent="0.25">
      <c r="A3036" s="16"/>
      <c r="E3036" s="27"/>
      <c r="F3036" t="s">
        <v>26</v>
      </c>
      <c r="G3036" s="28">
        <f>IFERROR(VLOOKUP(F3036,CARTON_LOOKUP!$A:$E,3,0),"")</f>
      </c>
      <c r="H3036" s="28">
        <f>IFERROR(VLOOKUP(F3036,CARTON_LOOKUP!$A:$E,4,0),"")</f>
      </c>
      <c r="I3036" s="28">
        <f>IFERROR(VLOOKUP(F3036,CARTON_LOOKUP!$A:$E,5,0),"")</f>
      </c>
      <c r="J3036" s="29">
        <f>IFERROR(VLOOKUP(F3036,CARTON_LOOKUP!$A:$E,2,0),"")</f>
      </c>
      <c r="K3036" s="29">
        <f>IFERROR(J3036*D3036,0)</f>
      </c>
      <c r="L3036" s="29">
        <f>IFERROR(E3036*C3036,0)</f>
      </c>
      <c r="M3036" s="29">
        <f>IFERROR((G3036*H3036*I3036/1000000)*D3036,0)</f>
      </c>
    </row>
    <row r="3037" spans="1:13" x14ac:dyDescent="0.25">
      <c r="A3037" s="16"/>
      <c r="E3037" s="27"/>
      <c r="F3037" t="s">
        <v>26</v>
      </c>
      <c r="G3037" s="28">
        <f>IFERROR(VLOOKUP(F3037,CARTON_LOOKUP!$A:$E,3,0),"")</f>
      </c>
      <c r="H3037" s="28">
        <f>IFERROR(VLOOKUP(F3037,CARTON_LOOKUP!$A:$E,4,0),"")</f>
      </c>
      <c r="I3037" s="28">
        <f>IFERROR(VLOOKUP(F3037,CARTON_LOOKUP!$A:$E,5,0),"")</f>
      </c>
      <c r="J3037" s="29">
        <f>IFERROR(VLOOKUP(F3037,CARTON_LOOKUP!$A:$E,2,0),"")</f>
      </c>
      <c r="K3037" s="29">
        <f>IFERROR(J3037*D3037,0)</f>
      </c>
      <c r="L3037" s="29">
        <f>IFERROR(E3037*C3037,0)</f>
      </c>
      <c r="M3037" s="29">
        <f>IFERROR((G3037*H3037*I3037/1000000)*D3037,0)</f>
      </c>
    </row>
    <row r="3038" spans="1:13" x14ac:dyDescent="0.25">
      <c r="A3038" s="16"/>
      <c r="E3038" s="27"/>
      <c r="F3038" t="s">
        <v>26</v>
      </c>
      <c r="G3038" s="28">
        <f>IFERROR(VLOOKUP(F3038,CARTON_LOOKUP!$A:$E,3,0),"")</f>
      </c>
      <c r="H3038" s="28">
        <f>IFERROR(VLOOKUP(F3038,CARTON_LOOKUP!$A:$E,4,0),"")</f>
      </c>
      <c r="I3038" s="28">
        <f>IFERROR(VLOOKUP(F3038,CARTON_LOOKUP!$A:$E,5,0),"")</f>
      </c>
      <c r="J3038" s="29">
        <f>IFERROR(VLOOKUP(F3038,CARTON_LOOKUP!$A:$E,2,0),"")</f>
      </c>
      <c r="K3038" s="29">
        <f>IFERROR(J3038*D3038,0)</f>
      </c>
      <c r="L3038" s="29">
        <f>IFERROR(E3038*C3038,0)</f>
      </c>
      <c r="M3038" s="29">
        <f>IFERROR((G3038*H3038*I3038/1000000)*D3038,0)</f>
      </c>
    </row>
    <row r="3039" spans="1:13" x14ac:dyDescent="0.25">
      <c r="A3039" s="16"/>
      <c r="E3039" s="27"/>
      <c r="F3039" t="s">
        <v>26</v>
      </c>
      <c r="G3039" s="28">
        <f>IFERROR(VLOOKUP(F3039,CARTON_LOOKUP!$A:$E,3,0),"")</f>
      </c>
      <c r="H3039" s="28">
        <f>IFERROR(VLOOKUP(F3039,CARTON_LOOKUP!$A:$E,4,0),"")</f>
      </c>
      <c r="I3039" s="28">
        <f>IFERROR(VLOOKUP(F3039,CARTON_LOOKUP!$A:$E,5,0),"")</f>
      </c>
      <c r="J3039" s="29">
        <f>IFERROR(VLOOKUP(F3039,CARTON_LOOKUP!$A:$E,2,0),"")</f>
      </c>
      <c r="K3039" s="29">
        <f>IFERROR(J3039*D3039,0)</f>
      </c>
      <c r="L3039" s="29">
        <f>IFERROR(E3039*C3039,0)</f>
      </c>
      <c r="M3039" s="29">
        <f>IFERROR((G3039*H3039*I3039/1000000)*D3039,0)</f>
      </c>
    </row>
    <row r="3040" spans="1:13" x14ac:dyDescent="0.25">
      <c r="A3040" s="16"/>
      <c r="E3040" s="27"/>
      <c r="F3040" t="s">
        <v>26</v>
      </c>
      <c r="G3040" s="28">
        <f>IFERROR(VLOOKUP(F3040,CARTON_LOOKUP!$A:$E,3,0),"")</f>
      </c>
      <c r="H3040" s="28">
        <f>IFERROR(VLOOKUP(F3040,CARTON_LOOKUP!$A:$E,4,0),"")</f>
      </c>
      <c r="I3040" s="28">
        <f>IFERROR(VLOOKUP(F3040,CARTON_LOOKUP!$A:$E,5,0),"")</f>
      </c>
      <c r="J3040" s="29">
        <f>IFERROR(VLOOKUP(F3040,CARTON_LOOKUP!$A:$E,2,0),"")</f>
      </c>
      <c r="K3040" s="29">
        <f>IFERROR(J3040*D3040,0)</f>
      </c>
      <c r="L3040" s="29">
        <f>IFERROR(E3040*C3040,0)</f>
      </c>
      <c r="M3040" s="29">
        <f>IFERROR((G3040*H3040*I3040/1000000)*D3040,0)</f>
      </c>
    </row>
    <row r="3041" spans="1:13" x14ac:dyDescent="0.25">
      <c r="A3041" s="16"/>
      <c r="E3041" s="27"/>
      <c r="F3041" t="s">
        <v>26</v>
      </c>
      <c r="G3041" s="28">
        <f>IFERROR(VLOOKUP(F3041,CARTON_LOOKUP!$A:$E,3,0),"")</f>
      </c>
      <c r="H3041" s="28">
        <f>IFERROR(VLOOKUP(F3041,CARTON_LOOKUP!$A:$E,4,0),"")</f>
      </c>
      <c r="I3041" s="28">
        <f>IFERROR(VLOOKUP(F3041,CARTON_LOOKUP!$A:$E,5,0),"")</f>
      </c>
      <c r="J3041" s="29">
        <f>IFERROR(VLOOKUP(F3041,CARTON_LOOKUP!$A:$E,2,0),"")</f>
      </c>
      <c r="K3041" s="29">
        <f>IFERROR(J3041*D3041,0)</f>
      </c>
      <c r="L3041" s="29">
        <f>IFERROR(E3041*C3041,0)</f>
      </c>
      <c r="M3041" s="29">
        <f>IFERROR((G3041*H3041*I3041/1000000)*D3041,0)</f>
      </c>
    </row>
    <row r="3042" spans="1:13" x14ac:dyDescent="0.25">
      <c r="A3042" s="16"/>
      <c r="E3042" s="27"/>
      <c r="F3042" t="s">
        <v>26</v>
      </c>
      <c r="G3042" s="28">
        <f>IFERROR(VLOOKUP(F3042,CARTON_LOOKUP!$A:$E,3,0),"")</f>
      </c>
      <c r="H3042" s="28">
        <f>IFERROR(VLOOKUP(F3042,CARTON_LOOKUP!$A:$E,4,0),"")</f>
      </c>
      <c r="I3042" s="28">
        <f>IFERROR(VLOOKUP(F3042,CARTON_LOOKUP!$A:$E,5,0),"")</f>
      </c>
      <c r="J3042" s="29">
        <f>IFERROR(VLOOKUP(F3042,CARTON_LOOKUP!$A:$E,2,0),"")</f>
      </c>
      <c r="K3042" s="29">
        <f>IFERROR(J3042*D3042,0)</f>
      </c>
      <c r="L3042" s="29">
        <f>IFERROR(E3042*C3042,0)</f>
      </c>
      <c r="M3042" s="29">
        <f>IFERROR((G3042*H3042*I3042/1000000)*D3042,0)</f>
      </c>
    </row>
    <row r="3043" spans="1:13" x14ac:dyDescent="0.25">
      <c r="A3043" s="16"/>
      <c r="E3043" s="27"/>
      <c r="F3043" t="s">
        <v>26</v>
      </c>
      <c r="G3043" s="28">
        <f>IFERROR(VLOOKUP(F3043,CARTON_LOOKUP!$A:$E,3,0),"")</f>
      </c>
      <c r="H3043" s="28">
        <f>IFERROR(VLOOKUP(F3043,CARTON_LOOKUP!$A:$E,4,0),"")</f>
      </c>
      <c r="I3043" s="28">
        <f>IFERROR(VLOOKUP(F3043,CARTON_LOOKUP!$A:$E,5,0),"")</f>
      </c>
      <c r="J3043" s="29">
        <f>IFERROR(VLOOKUP(F3043,CARTON_LOOKUP!$A:$E,2,0),"")</f>
      </c>
      <c r="K3043" s="29">
        <f>IFERROR(J3043*D3043,0)</f>
      </c>
      <c r="L3043" s="29">
        <f>IFERROR(E3043*C3043,0)</f>
      </c>
      <c r="M3043" s="29">
        <f>IFERROR((G3043*H3043*I3043/1000000)*D3043,0)</f>
      </c>
    </row>
    <row r="3044" spans="1:13" x14ac:dyDescent="0.25">
      <c r="A3044" s="16"/>
      <c r="E3044" s="27"/>
      <c r="F3044" t="s">
        <v>26</v>
      </c>
      <c r="G3044" s="28">
        <f>IFERROR(VLOOKUP(F3044,CARTON_LOOKUP!$A:$E,3,0),"")</f>
      </c>
      <c r="H3044" s="28">
        <f>IFERROR(VLOOKUP(F3044,CARTON_LOOKUP!$A:$E,4,0),"")</f>
      </c>
      <c r="I3044" s="28">
        <f>IFERROR(VLOOKUP(F3044,CARTON_LOOKUP!$A:$E,5,0),"")</f>
      </c>
      <c r="J3044" s="29">
        <f>IFERROR(VLOOKUP(F3044,CARTON_LOOKUP!$A:$E,2,0),"")</f>
      </c>
      <c r="K3044" s="29">
        <f>IFERROR(J3044*D3044,0)</f>
      </c>
      <c r="L3044" s="29">
        <f>IFERROR(E3044*C3044,0)</f>
      </c>
      <c r="M3044" s="29">
        <f>IFERROR((G3044*H3044*I3044/1000000)*D3044,0)</f>
      </c>
    </row>
    <row r="3045" spans="1:13" x14ac:dyDescent="0.25">
      <c r="A3045" s="16"/>
      <c r="E3045" s="27"/>
      <c r="F3045" t="s">
        <v>26</v>
      </c>
      <c r="G3045" s="28">
        <f>IFERROR(VLOOKUP(F3045,CARTON_LOOKUP!$A:$E,3,0),"")</f>
      </c>
      <c r="H3045" s="28">
        <f>IFERROR(VLOOKUP(F3045,CARTON_LOOKUP!$A:$E,4,0),"")</f>
      </c>
      <c r="I3045" s="28">
        <f>IFERROR(VLOOKUP(F3045,CARTON_LOOKUP!$A:$E,5,0),"")</f>
      </c>
      <c r="J3045" s="29">
        <f>IFERROR(VLOOKUP(F3045,CARTON_LOOKUP!$A:$E,2,0),"")</f>
      </c>
      <c r="K3045" s="29">
        <f>IFERROR(J3045*D3045,0)</f>
      </c>
      <c r="L3045" s="29">
        <f>IFERROR(E3045*C3045,0)</f>
      </c>
      <c r="M3045" s="29">
        <f>IFERROR((G3045*H3045*I3045/1000000)*D3045,0)</f>
      </c>
    </row>
    <row r="3046" spans="1:13" x14ac:dyDescent="0.25">
      <c r="A3046" s="16"/>
      <c r="E3046" s="27"/>
      <c r="F3046" t="s">
        <v>26</v>
      </c>
      <c r="G3046" s="28">
        <f>IFERROR(VLOOKUP(F3046,CARTON_LOOKUP!$A:$E,3,0),"")</f>
      </c>
      <c r="H3046" s="28">
        <f>IFERROR(VLOOKUP(F3046,CARTON_LOOKUP!$A:$E,4,0),"")</f>
      </c>
      <c r="I3046" s="28">
        <f>IFERROR(VLOOKUP(F3046,CARTON_LOOKUP!$A:$E,5,0),"")</f>
      </c>
      <c r="J3046" s="29">
        <f>IFERROR(VLOOKUP(F3046,CARTON_LOOKUP!$A:$E,2,0),"")</f>
      </c>
      <c r="K3046" s="29">
        <f>IFERROR(J3046*D3046,0)</f>
      </c>
      <c r="L3046" s="29">
        <f>IFERROR(E3046*C3046,0)</f>
      </c>
      <c r="M3046" s="29">
        <f>IFERROR((G3046*H3046*I3046/1000000)*D3046,0)</f>
      </c>
    </row>
    <row r="3047" spans="1:13" x14ac:dyDescent="0.25">
      <c r="A3047" s="16"/>
      <c r="E3047" s="27"/>
      <c r="F3047" t="s">
        <v>26</v>
      </c>
      <c r="G3047" s="28">
        <f>IFERROR(VLOOKUP(F3047,CARTON_LOOKUP!$A:$E,3,0),"")</f>
      </c>
      <c r="H3047" s="28">
        <f>IFERROR(VLOOKUP(F3047,CARTON_LOOKUP!$A:$E,4,0),"")</f>
      </c>
      <c r="I3047" s="28">
        <f>IFERROR(VLOOKUP(F3047,CARTON_LOOKUP!$A:$E,5,0),"")</f>
      </c>
      <c r="J3047" s="29">
        <f>IFERROR(VLOOKUP(F3047,CARTON_LOOKUP!$A:$E,2,0),"")</f>
      </c>
      <c r="K3047" s="29">
        <f>IFERROR(J3047*D3047,0)</f>
      </c>
      <c r="L3047" s="29">
        <f>IFERROR(E3047*C3047,0)</f>
      </c>
      <c r="M3047" s="29">
        <f>IFERROR((G3047*H3047*I3047/1000000)*D3047,0)</f>
      </c>
    </row>
    <row r="3048" spans="1:13" x14ac:dyDescent="0.25">
      <c r="A3048" s="16"/>
      <c r="E3048" s="27"/>
      <c r="F3048" t="s">
        <v>26</v>
      </c>
      <c r="G3048" s="28">
        <f>IFERROR(VLOOKUP(F3048,CARTON_LOOKUP!$A:$E,3,0),"")</f>
      </c>
      <c r="H3048" s="28">
        <f>IFERROR(VLOOKUP(F3048,CARTON_LOOKUP!$A:$E,4,0),"")</f>
      </c>
      <c r="I3048" s="28">
        <f>IFERROR(VLOOKUP(F3048,CARTON_LOOKUP!$A:$E,5,0),"")</f>
      </c>
      <c r="J3048" s="29">
        <f>IFERROR(VLOOKUP(F3048,CARTON_LOOKUP!$A:$E,2,0),"")</f>
      </c>
      <c r="K3048" s="29">
        <f>IFERROR(J3048*D3048,0)</f>
      </c>
      <c r="L3048" s="29">
        <f>IFERROR(E3048*C3048,0)</f>
      </c>
      <c r="M3048" s="29">
        <f>IFERROR((G3048*H3048*I3048/1000000)*D3048,0)</f>
      </c>
    </row>
    <row r="3049" spans="1:13" x14ac:dyDescent="0.25">
      <c r="A3049" s="16"/>
      <c r="E3049" s="27"/>
      <c r="F3049" t="s">
        <v>26</v>
      </c>
      <c r="G3049" s="28">
        <f>IFERROR(VLOOKUP(F3049,CARTON_LOOKUP!$A:$E,3,0),"")</f>
      </c>
      <c r="H3049" s="28">
        <f>IFERROR(VLOOKUP(F3049,CARTON_LOOKUP!$A:$E,4,0),"")</f>
      </c>
      <c r="I3049" s="28">
        <f>IFERROR(VLOOKUP(F3049,CARTON_LOOKUP!$A:$E,5,0),"")</f>
      </c>
      <c r="J3049" s="29">
        <f>IFERROR(VLOOKUP(F3049,CARTON_LOOKUP!$A:$E,2,0),"")</f>
      </c>
      <c r="K3049" s="29">
        <f>IFERROR(J3049*D3049,0)</f>
      </c>
      <c r="L3049" s="29">
        <f>IFERROR(E3049*C3049,0)</f>
      </c>
      <c r="M3049" s="29">
        <f>IFERROR((G3049*H3049*I3049/1000000)*D3049,0)</f>
      </c>
    </row>
    <row r="3050" spans="1:13" x14ac:dyDescent="0.25">
      <c r="A3050" s="16"/>
      <c r="E3050" s="27"/>
      <c r="F3050" t="s">
        <v>26</v>
      </c>
      <c r="G3050" s="28">
        <f>IFERROR(VLOOKUP(F3050,CARTON_LOOKUP!$A:$E,3,0),"")</f>
      </c>
      <c r="H3050" s="28">
        <f>IFERROR(VLOOKUP(F3050,CARTON_LOOKUP!$A:$E,4,0),"")</f>
      </c>
      <c r="I3050" s="28">
        <f>IFERROR(VLOOKUP(F3050,CARTON_LOOKUP!$A:$E,5,0),"")</f>
      </c>
      <c r="J3050" s="29">
        <f>IFERROR(VLOOKUP(F3050,CARTON_LOOKUP!$A:$E,2,0),"")</f>
      </c>
      <c r="K3050" s="29">
        <f>IFERROR(J3050*D3050,0)</f>
      </c>
      <c r="L3050" s="29">
        <f>IFERROR(E3050*C3050,0)</f>
      </c>
      <c r="M3050" s="29">
        <f>IFERROR((G3050*H3050*I3050/1000000)*D3050,0)</f>
      </c>
    </row>
    <row r="3051" spans="1:13" x14ac:dyDescent="0.25">
      <c r="A3051" s="16"/>
      <c r="E3051" s="27"/>
      <c r="F3051" t="s">
        <v>26</v>
      </c>
      <c r="G3051" s="28">
        <f>IFERROR(VLOOKUP(F3051,CARTON_LOOKUP!$A:$E,3,0),"")</f>
      </c>
      <c r="H3051" s="28">
        <f>IFERROR(VLOOKUP(F3051,CARTON_LOOKUP!$A:$E,4,0),"")</f>
      </c>
      <c r="I3051" s="28">
        <f>IFERROR(VLOOKUP(F3051,CARTON_LOOKUP!$A:$E,5,0),"")</f>
      </c>
      <c r="J3051" s="29">
        <f>IFERROR(VLOOKUP(F3051,CARTON_LOOKUP!$A:$E,2,0),"")</f>
      </c>
      <c r="K3051" s="29">
        <f>IFERROR(J3051*D3051,0)</f>
      </c>
      <c r="L3051" s="29">
        <f>IFERROR(E3051*C3051,0)</f>
      </c>
      <c r="M3051" s="29">
        <f>IFERROR((G3051*H3051*I3051/1000000)*D3051,0)</f>
      </c>
    </row>
    <row r="3052" spans="1:13" x14ac:dyDescent="0.25">
      <c r="A3052" s="16"/>
      <c r="E3052" s="27"/>
      <c r="F3052" t="s">
        <v>26</v>
      </c>
      <c r="G3052" s="28">
        <f>IFERROR(VLOOKUP(F3052,CARTON_LOOKUP!$A:$E,3,0),"")</f>
      </c>
      <c r="H3052" s="28">
        <f>IFERROR(VLOOKUP(F3052,CARTON_LOOKUP!$A:$E,4,0),"")</f>
      </c>
      <c r="I3052" s="28">
        <f>IFERROR(VLOOKUP(F3052,CARTON_LOOKUP!$A:$E,5,0),"")</f>
      </c>
      <c r="J3052" s="29">
        <f>IFERROR(VLOOKUP(F3052,CARTON_LOOKUP!$A:$E,2,0),"")</f>
      </c>
      <c r="K3052" s="29">
        <f>IFERROR(J3052*D3052,0)</f>
      </c>
      <c r="L3052" s="29">
        <f>IFERROR(E3052*C3052,0)</f>
      </c>
      <c r="M3052" s="29">
        <f>IFERROR((G3052*H3052*I3052/1000000)*D3052,0)</f>
      </c>
    </row>
    <row r="3053" spans="1:13" x14ac:dyDescent="0.25">
      <c r="A3053" s="16"/>
      <c r="E3053" s="27"/>
      <c r="F3053" t="s">
        <v>26</v>
      </c>
      <c r="G3053" s="28">
        <f>IFERROR(VLOOKUP(F3053,CARTON_LOOKUP!$A:$E,3,0),"")</f>
      </c>
      <c r="H3053" s="28">
        <f>IFERROR(VLOOKUP(F3053,CARTON_LOOKUP!$A:$E,4,0),"")</f>
      </c>
      <c r="I3053" s="28">
        <f>IFERROR(VLOOKUP(F3053,CARTON_LOOKUP!$A:$E,5,0),"")</f>
      </c>
      <c r="J3053" s="29">
        <f>IFERROR(VLOOKUP(F3053,CARTON_LOOKUP!$A:$E,2,0),"")</f>
      </c>
      <c r="K3053" s="29">
        <f>IFERROR(J3053*D3053,0)</f>
      </c>
      <c r="L3053" s="29">
        <f>IFERROR(E3053*C3053,0)</f>
      </c>
      <c r="M3053" s="29">
        <f>IFERROR((G3053*H3053*I3053/1000000)*D3053,0)</f>
      </c>
    </row>
    <row r="3054" spans="1:13" x14ac:dyDescent="0.25">
      <c r="A3054" s="16"/>
      <c r="E3054" s="27"/>
      <c r="F3054" t="s">
        <v>26</v>
      </c>
      <c r="G3054" s="28">
        <f>IFERROR(VLOOKUP(F3054,CARTON_LOOKUP!$A:$E,3,0),"")</f>
      </c>
      <c r="H3054" s="28">
        <f>IFERROR(VLOOKUP(F3054,CARTON_LOOKUP!$A:$E,4,0),"")</f>
      </c>
      <c r="I3054" s="28">
        <f>IFERROR(VLOOKUP(F3054,CARTON_LOOKUP!$A:$E,5,0),"")</f>
      </c>
      <c r="J3054" s="29">
        <f>IFERROR(VLOOKUP(F3054,CARTON_LOOKUP!$A:$E,2,0),"")</f>
      </c>
      <c r="K3054" s="29">
        <f>IFERROR(J3054*D3054,0)</f>
      </c>
      <c r="L3054" s="29">
        <f>IFERROR(E3054*C3054,0)</f>
      </c>
      <c r="M3054" s="29">
        <f>IFERROR((G3054*H3054*I3054/1000000)*D3054,0)</f>
      </c>
    </row>
    <row r="3055" spans="1:13" x14ac:dyDescent="0.25">
      <c r="A3055" s="16"/>
      <c r="E3055" s="27"/>
      <c r="F3055" t="s">
        <v>26</v>
      </c>
      <c r="G3055" s="28">
        <f>IFERROR(VLOOKUP(F3055,CARTON_LOOKUP!$A:$E,3,0),"")</f>
      </c>
      <c r="H3055" s="28">
        <f>IFERROR(VLOOKUP(F3055,CARTON_LOOKUP!$A:$E,4,0),"")</f>
      </c>
      <c r="I3055" s="28">
        <f>IFERROR(VLOOKUP(F3055,CARTON_LOOKUP!$A:$E,5,0),"")</f>
      </c>
      <c r="J3055" s="29">
        <f>IFERROR(VLOOKUP(F3055,CARTON_LOOKUP!$A:$E,2,0),"")</f>
      </c>
      <c r="K3055" s="29">
        <f>IFERROR(J3055*D3055,0)</f>
      </c>
      <c r="L3055" s="29">
        <f>IFERROR(E3055*C3055,0)</f>
      </c>
      <c r="M3055" s="29">
        <f>IFERROR((G3055*H3055*I3055/1000000)*D3055,0)</f>
      </c>
    </row>
    <row r="3056" spans="1:13" x14ac:dyDescent="0.25">
      <c r="A3056" s="16"/>
      <c r="E3056" s="27"/>
      <c r="F3056" t="s">
        <v>26</v>
      </c>
      <c r="G3056" s="28">
        <f>IFERROR(VLOOKUP(F3056,CARTON_LOOKUP!$A:$E,3,0),"")</f>
      </c>
      <c r="H3056" s="28">
        <f>IFERROR(VLOOKUP(F3056,CARTON_LOOKUP!$A:$E,4,0),"")</f>
      </c>
      <c r="I3056" s="28">
        <f>IFERROR(VLOOKUP(F3056,CARTON_LOOKUP!$A:$E,5,0),"")</f>
      </c>
      <c r="J3056" s="29">
        <f>IFERROR(VLOOKUP(F3056,CARTON_LOOKUP!$A:$E,2,0),"")</f>
      </c>
      <c r="K3056" s="29">
        <f>IFERROR(J3056*D3056,0)</f>
      </c>
      <c r="L3056" s="29">
        <f>IFERROR(E3056*C3056,0)</f>
      </c>
      <c r="M3056" s="29">
        <f>IFERROR((G3056*H3056*I3056/1000000)*D3056,0)</f>
      </c>
    </row>
    <row r="3057" spans="1:13" x14ac:dyDescent="0.25">
      <c r="A3057" s="16"/>
      <c r="E3057" s="27"/>
      <c r="F3057" t="s">
        <v>26</v>
      </c>
      <c r="G3057" s="28">
        <f>IFERROR(VLOOKUP(F3057,CARTON_LOOKUP!$A:$E,3,0),"")</f>
      </c>
      <c r="H3057" s="28">
        <f>IFERROR(VLOOKUP(F3057,CARTON_LOOKUP!$A:$E,4,0),"")</f>
      </c>
      <c r="I3057" s="28">
        <f>IFERROR(VLOOKUP(F3057,CARTON_LOOKUP!$A:$E,5,0),"")</f>
      </c>
      <c r="J3057" s="29">
        <f>IFERROR(VLOOKUP(F3057,CARTON_LOOKUP!$A:$E,2,0),"")</f>
      </c>
      <c r="K3057" s="29">
        <f>IFERROR(J3057*D3057,0)</f>
      </c>
      <c r="L3057" s="29">
        <f>IFERROR(E3057*C3057,0)</f>
      </c>
      <c r="M3057" s="29">
        <f>IFERROR((G3057*H3057*I3057/1000000)*D3057,0)</f>
      </c>
    </row>
    <row r="3058" spans="1:13" x14ac:dyDescent="0.25">
      <c r="A3058" s="16"/>
      <c r="E3058" s="27"/>
      <c r="F3058" t="s">
        <v>26</v>
      </c>
      <c r="G3058" s="28">
        <f>IFERROR(VLOOKUP(F3058,CARTON_LOOKUP!$A:$E,3,0),"")</f>
      </c>
      <c r="H3058" s="28">
        <f>IFERROR(VLOOKUP(F3058,CARTON_LOOKUP!$A:$E,4,0),"")</f>
      </c>
      <c r="I3058" s="28">
        <f>IFERROR(VLOOKUP(F3058,CARTON_LOOKUP!$A:$E,5,0),"")</f>
      </c>
      <c r="J3058" s="29">
        <f>IFERROR(VLOOKUP(F3058,CARTON_LOOKUP!$A:$E,2,0),"")</f>
      </c>
      <c r="K3058" s="29">
        <f>IFERROR(J3058*D3058,0)</f>
      </c>
      <c r="L3058" s="29">
        <f>IFERROR(E3058*C3058,0)</f>
      </c>
      <c r="M3058" s="29">
        <f>IFERROR((G3058*H3058*I3058/1000000)*D3058,0)</f>
      </c>
    </row>
    <row r="3059" spans="1:13" x14ac:dyDescent="0.25">
      <c r="A3059" s="16"/>
      <c r="E3059" s="27"/>
      <c r="F3059" t="s">
        <v>26</v>
      </c>
      <c r="G3059" s="28">
        <f>IFERROR(VLOOKUP(F3059,CARTON_LOOKUP!$A:$E,3,0),"")</f>
      </c>
      <c r="H3059" s="28">
        <f>IFERROR(VLOOKUP(F3059,CARTON_LOOKUP!$A:$E,4,0),"")</f>
      </c>
      <c r="I3059" s="28">
        <f>IFERROR(VLOOKUP(F3059,CARTON_LOOKUP!$A:$E,5,0),"")</f>
      </c>
      <c r="J3059" s="29">
        <f>IFERROR(VLOOKUP(F3059,CARTON_LOOKUP!$A:$E,2,0),"")</f>
      </c>
      <c r="K3059" s="29">
        <f>IFERROR(J3059*D3059,0)</f>
      </c>
      <c r="L3059" s="29">
        <f>IFERROR(E3059*C3059,0)</f>
      </c>
      <c r="M3059" s="29">
        <f>IFERROR((G3059*H3059*I3059/1000000)*D3059,0)</f>
      </c>
    </row>
    <row r="3060" spans="1:13" x14ac:dyDescent="0.25">
      <c r="A3060" s="16"/>
      <c r="E3060" s="27"/>
      <c r="F3060" t="s">
        <v>26</v>
      </c>
      <c r="G3060" s="28">
        <f>IFERROR(VLOOKUP(F3060,CARTON_LOOKUP!$A:$E,3,0),"")</f>
      </c>
      <c r="H3060" s="28">
        <f>IFERROR(VLOOKUP(F3060,CARTON_LOOKUP!$A:$E,4,0),"")</f>
      </c>
      <c r="I3060" s="28">
        <f>IFERROR(VLOOKUP(F3060,CARTON_LOOKUP!$A:$E,5,0),"")</f>
      </c>
      <c r="J3060" s="29">
        <f>IFERROR(VLOOKUP(F3060,CARTON_LOOKUP!$A:$E,2,0),"")</f>
      </c>
      <c r="K3060" s="29">
        <f>IFERROR(J3060*D3060,0)</f>
      </c>
      <c r="L3060" s="29">
        <f>IFERROR(E3060*C3060,0)</f>
      </c>
      <c r="M3060" s="29">
        <f>IFERROR((G3060*H3060*I3060/1000000)*D3060,0)</f>
      </c>
    </row>
    <row r="3061" spans="1:13" x14ac:dyDescent="0.25">
      <c r="A3061" s="16"/>
      <c r="E3061" s="27"/>
      <c r="F3061" t="s">
        <v>26</v>
      </c>
      <c r="G3061" s="28">
        <f>IFERROR(VLOOKUP(F3061,CARTON_LOOKUP!$A:$E,3,0),"")</f>
      </c>
      <c r="H3061" s="28">
        <f>IFERROR(VLOOKUP(F3061,CARTON_LOOKUP!$A:$E,4,0),"")</f>
      </c>
      <c r="I3061" s="28">
        <f>IFERROR(VLOOKUP(F3061,CARTON_LOOKUP!$A:$E,5,0),"")</f>
      </c>
      <c r="J3061" s="29">
        <f>IFERROR(VLOOKUP(F3061,CARTON_LOOKUP!$A:$E,2,0),"")</f>
      </c>
      <c r="K3061" s="29">
        <f>IFERROR(J3061*D3061,0)</f>
      </c>
      <c r="L3061" s="29">
        <f>IFERROR(E3061*C3061,0)</f>
      </c>
      <c r="M3061" s="29">
        <f>IFERROR((G3061*H3061*I3061/1000000)*D3061,0)</f>
      </c>
    </row>
    <row r="3062" spans="1:13" x14ac:dyDescent="0.25">
      <c r="A3062" s="16"/>
      <c r="E3062" s="27"/>
      <c r="F3062" t="s">
        <v>26</v>
      </c>
      <c r="G3062" s="28">
        <f>IFERROR(VLOOKUP(F3062,CARTON_LOOKUP!$A:$E,3,0),"")</f>
      </c>
      <c r="H3062" s="28">
        <f>IFERROR(VLOOKUP(F3062,CARTON_LOOKUP!$A:$E,4,0),"")</f>
      </c>
      <c r="I3062" s="28">
        <f>IFERROR(VLOOKUP(F3062,CARTON_LOOKUP!$A:$E,5,0),"")</f>
      </c>
      <c r="J3062" s="29">
        <f>IFERROR(VLOOKUP(F3062,CARTON_LOOKUP!$A:$E,2,0),"")</f>
      </c>
      <c r="K3062" s="29">
        <f>IFERROR(J3062*D3062,0)</f>
      </c>
      <c r="L3062" s="29">
        <f>IFERROR(E3062*C3062,0)</f>
      </c>
      <c r="M3062" s="29">
        <f>IFERROR((G3062*H3062*I3062/1000000)*D3062,0)</f>
      </c>
    </row>
    <row r="3063" spans="1:13" x14ac:dyDescent="0.25">
      <c r="A3063" s="16"/>
      <c r="E3063" s="27"/>
      <c r="F3063" t="s">
        <v>26</v>
      </c>
      <c r="G3063" s="28">
        <f>IFERROR(VLOOKUP(F3063,CARTON_LOOKUP!$A:$E,3,0),"")</f>
      </c>
      <c r="H3063" s="28">
        <f>IFERROR(VLOOKUP(F3063,CARTON_LOOKUP!$A:$E,4,0),"")</f>
      </c>
      <c r="I3063" s="28">
        <f>IFERROR(VLOOKUP(F3063,CARTON_LOOKUP!$A:$E,5,0),"")</f>
      </c>
      <c r="J3063" s="29">
        <f>IFERROR(VLOOKUP(F3063,CARTON_LOOKUP!$A:$E,2,0),"")</f>
      </c>
      <c r="K3063" s="29">
        <f>IFERROR(J3063*D3063,0)</f>
      </c>
      <c r="L3063" s="29">
        <f>IFERROR(E3063*C3063,0)</f>
      </c>
      <c r="M3063" s="29">
        <f>IFERROR((G3063*H3063*I3063/1000000)*D3063,0)</f>
      </c>
    </row>
    <row r="3064" spans="1:13" x14ac:dyDescent="0.25">
      <c r="A3064" s="16"/>
      <c r="E3064" s="27"/>
      <c r="F3064" t="s">
        <v>26</v>
      </c>
      <c r="G3064" s="28">
        <f>IFERROR(VLOOKUP(F3064,CARTON_LOOKUP!$A:$E,3,0),"")</f>
      </c>
      <c r="H3064" s="28">
        <f>IFERROR(VLOOKUP(F3064,CARTON_LOOKUP!$A:$E,4,0),"")</f>
      </c>
      <c r="I3064" s="28">
        <f>IFERROR(VLOOKUP(F3064,CARTON_LOOKUP!$A:$E,5,0),"")</f>
      </c>
      <c r="J3064" s="29">
        <f>IFERROR(VLOOKUP(F3064,CARTON_LOOKUP!$A:$E,2,0),"")</f>
      </c>
      <c r="K3064" s="29">
        <f>IFERROR(J3064*D3064,0)</f>
      </c>
      <c r="L3064" s="29">
        <f>IFERROR(E3064*C3064,0)</f>
      </c>
      <c r="M3064" s="29">
        <f>IFERROR((G3064*H3064*I3064/1000000)*D3064,0)</f>
      </c>
    </row>
    <row r="3065" spans="1:13" x14ac:dyDescent="0.25">
      <c r="A3065" s="16"/>
      <c r="E3065" s="27"/>
      <c r="F3065" t="s">
        <v>26</v>
      </c>
      <c r="G3065" s="28">
        <f>IFERROR(VLOOKUP(F3065,CARTON_LOOKUP!$A:$E,3,0),"")</f>
      </c>
      <c r="H3065" s="28">
        <f>IFERROR(VLOOKUP(F3065,CARTON_LOOKUP!$A:$E,4,0),"")</f>
      </c>
      <c r="I3065" s="28">
        <f>IFERROR(VLOOKUP(F3065,CARTON_LOOKUP!$A:$E,5,0),"")</f>
      </c>
      <c r="J3065" s="29">
        <f>IFERROR(VLOOKUP(F3065,CARTON_LOOKUP!$A:$E,2,0),"")</f>
      </c>
      <c r="K3065" s="29">
        <f>IFERROR(J3065*D3065,0)</f>
      </c>
      <c r="L3065" s="29">
        <f>IFERROR(E3065*C3065,0)</f>
      </c>
      <c r="M3065" s="29">
        <f>IFERROR((G3065*H3065*I3065/1000000)*D3065,0)</f>
      </c>
    </row>
    <row r="3066" spans="1:13" x14ac:dyDescent="0.25">
      <c r="A3066" s="16"/>
      <c r="E3066" s="27"/>
      <c r="F3066" t="s">
        <v>26</v>
      </c>
      <c r="G3066" s="28">
        <f>IFERROR(VLOOKUP(F3066,CARTON_LOOKUP!$A:$E,3,0),"")</f>
      </c>
      <c r="H3066" s="28">
        <f>IFERROR(VLOOKUP(F3066,CARTON_LOOKUP!$A:$E,4,0),"")</f>
      </c>
      <c r="I3066" s="28">
        <f>IFERROR(VLOOKUP(F3066,CARTON_LOOKUP!$A:$E,5,0),"")</f>
      </c>
      <c r="J3066" s="29">
        <f>IFERROR(VLOOKUP(F3066,CARTON_LOOKUP!$A:$E,2,0),"")</f>
      </c>
      <c r="K3066" s="29">
        <f>IFERROR(J3066*D3066,0)</f>
      </c>
      <c r="L3066" s="29">
        <f>IFERROR(E3066*C3066,0)</f>
      </c>
      <c r="M3066" s="29">
        <f>IFERROR((G3066*H3066*I3066/1000000)*D3066,0)</f>
      </c>
    </row>
    <row r="3067" spans="1:13" x14ac:dyDescent="0.25">
      <c r="A3067" s="16"/>
      <c r="E3067" s="27"/>
      <c r="F3067" t="s">
        <v>26</v>
      </c>
      <c r="G3067" s="28">
        <f>IFERROR(VLOOKUP(F3067,CARTON_LOOKUP!$A:$E,3,0),"")</f>
      </c>
      <c r="H3067" s="28">
        <f>IFERROR(VLOOKUP(F3067,CARTON_LOOKUP!$A:$E,4,0),"")</f>
      </c>
      <c r="I3067" s="28">
        <f>IFERROR(VLOOKUP(F3067,CARTON_LOOKUP!$A:$E,5,0),"")</f>
      </c>
      <c r="J3067" s="29">
        <f>IFERROR(VLOOKUP(F3067,CARTON_LOOKUP!$A:$E,2,0),"")</f>
      </c>
      <c r="K3067" s="29">
        <f>IFERROR(J3067*D3067,0)</f>
      </c>
      <c r="L3067" s="29">
        <f>IFERROR(E3067*C3067,0)</f>
      </c>
      <c r="M3067" s="29">
        <f>IFERROR((G3067*H3067*I3067/1000000)*D3067,0)</f>
      </c>
    </row>
    <row r="3068" spans="1:13" x14ac:dyDescent="0.25">
      <c r="A3068" s="16"/>
      <c r="E3068" s="27"/>
      <c r="F3068" t="s">
        <v>26</v>
      </c>
      <c r="G3068" s="28">
        <f>IFERROR(VLOOKUP(F3068,CARTON_LOOKUP!$A:$E,3,0),"")</f>
      </c>
      <c r="H3068" s="28">
        <f>IFERROR(VLOOKUP(F3068,CARTON_LOOKUP!$A:$E,4,0),"")</f>
      </c>
      <c r="I3068" s="28">
        <f>IFERROR(VLOOKUP(F3068,CARTON_LOOKUP!$A:$E,5,0),"")</f>
      </c>
      <c r="J3068" s="29">
        <f>IFERROR(VLOOKUP(F3068,CARTON_LOOKUP!$A:$E,2,0),"")</f>
      </c>
      <c r="K3068" s="29">
        <f>IFERROR(J3068*D3068,0)</f>
      </c>
      <c r="L3068" s="29">
        <f>IFERROR(E3068*C3068,0)</f>
      </c>
      <c r="M3068" s="29">
        <f>IFERROR((G3068*H3068*I3068/1000000)*D3068,0)</f>
      </c>
    </row>
    <row r="3069" spans="1:13" x14ac:dyDescent="0.25">
      <c r="A3069" s="16"/>
      <c r="E3069" s="27"/>
      <c r="F3069" t="s">
        <v>26</v>
      </c>
      <c r="G3069" s="28">
        <f>IFERROR(VLOOKUP(F3069,CARTON_LOOKUP!$A:$E,3,0),"")</f>
      </c>
      <c r="H3069" s="28">
        <f>IFERROR(VLOOKUP(F3069,CARTON_LOOKUP!$A:$E,4,0),"")</f>
      </c>
      <c r="I3069" s="28">
        <f>IFERROR(VLOOKUP(F3069,CARTON_LOOKUP!$A:$E,5,0),"")</f>
      </c>
      <c r="J3069" s="29">
        <f>IFERROR(VLOOKUP(F3069,CARTON_LOOKUP!$A:$E,2,0),"")</f>
      </c>
      <c r="K3069" s="29">
        <f>IFERROR(J3069*D3069,0)</f>
      </c>
      <c r="L3069" s="29">
        <f>IFERROR(E3069*C3069,0)</f>
      </c>
      <c r="M3069" s="29">
        <f>IFERROR((G3069*H3069*I3069/1000000)*D3069,0)</f>
      </c>
    </row>
    <row r="3070" spans="1:13" x14ac:dyDescent="0.25">
      <c r="A3070" s="16"/>
      <c r="E3070" s="27"/>
      <c r="F3070" t="s">
        <v>26</v>
      </c>
      <c r="G3070" s="28">
        <f>IFERROR(VLOOKUP(F3070,CARTON_LOOKUP!$A:$E,3,0),"")</f>
      </c>
      <c r="H3070" s="28">
        <f>IFERROR(VLOOKUP(F3070,CARTON_LOOKUP!$A:$E,4,0),"")</f>
      </c>
      <c r="I3070" s="28">
        <f>IFERROR(VLOOKUP(F3070,CARTON_LOOKUP!$A:$E,5,0),"")</f>
      </c>
      <c r="J3070" s="29">
        <f>IFERROR(VLOOKUP(F3070,CARTON_LOOKUP!$A:$E,2,0),"")</f>
      </c>
      <c r="K3070" s="29">
        <f>IFERROR(J3070*D3070,0)</f>
      </c>
      <c r="L3070" s="29">
        <f>IFERROR(E3070*C3070,0)</f>
      </c>
      <c r="M3070" s="29">
        <f>IFERROR((G3070*H3070*I3070/1000000)*D3070,0)</f>
      </c>
    </row>
    <row r="3071" spans="1:13" x14ac:dyDescent="0.25">
      <c r="A3071" s="16"/>
      <c r="E3071" s="27"/>
      <c r="F3071" t="s">
        <v>26</v>
      </c>
      <c r="G3071" s="28">
        <f>IFERROR(VLOOKUP(F3071,CARTON_LOOKUP!$A:$E,3,0),"")</f>
      </c>
      <c r="H3071" s="28">
        <f>IFERROR(VLOOKUP(F3071,CARTON_LOOKUP!$A:$E,4,0),"")</f>
      </c>
      <c r="I3071" s="28">
        <f>IFERROR(VLOOKUP(F3071,CARTON_LOOKUP!$A:$E,5,0),"")</f>
      </c>
      <c r="J3071" s="29">
        <f>IFERROR(VLOOKUP(F3071,CARTON_LOOKUP!$A:$E,2,0),"")</f>
      </c>
      <c r="K3071" s="29">
        <f>IFERROR(J3071*D3071,0)</f>
      </c>
      <c r="L3071" s="29">
        <f>IFERROR(E3071*C3071,0)</f>
      </c>
      <c r="M3071" s="29">
        <f>IFERROR((G3071*H3071*I3071/1000000)*D3071,0)</f>
      </c>
    </row>
    <row r="3072" spans="1:13" x14ac:dyDescent="0.25">
      <c r="A3072" s="16"/>
      <c r="E3072" s="27"/>
      <c r="F3072" t="s">
        <v>26</v>
      </c>
      <c r="G3072" s="28">
        <f>IFERROR(VLOOKUP(F3072,CARTON_LOOKUP!$A:$E,3,0),"")</f>
      </c>
      <c r="H3072" s="28">
        <f>IFERROR(VLOOKUP(F3072,CARTON_LOOKUP!$A:$E,4,0),"")</f>
      </c>
      <c r="I3072" s="28">
        <f>IFERROR(VLOOKUP(F3072,CARTON_LOOKUP!$A:$E,5,0),"")</f>
      </c>
      <c r="J3072" s="29">
        <f>IFERROR(VLOOKUP(F3072,CARTON_LOOKUP!$A:$E,2,0),"")</f>
      </c>
      <c r="K3072" s="29">
        <f>IFERROR(J3072*D3072,0)</f>
      </c>
      <c r="L3072" s="29">
        <f>IFERROR(E3072*C3072,0)</f>
      </c>
      <c r="M3072" s="29">
        <f>IFERROR((G3072*H3072*I3072/1000000)*D3072,0)</f>
      </c>
    </row>
    <row r="3073" spans="1:13" x14ac:dyDescent="0.25">
      <c r="A3073" s="16"/>
      <c r="E3073" s="27"/>
      <c r="F3073" t="s">
        <v>26</v>
      </c>
      <c r="G3073" s="28">
        <f>IFERROR(VLOOKUP(F3073,CARTON_LOOKUP!$A:$E,3,0),"")</f>
      </c>
      <c r="H3073" s="28">
        <f>IFERROR(VLOOKUP(F3073,CARTON_LOOKUP!$A:$E,4,0),"")</f>
      </c>
      <c r="I3073" s="28">
        <f>IFERROR(VLOOKUP(F3073,CARTON_LOOKUP!$A:$E,5,0),"")</f>
      </c>
      <c r="J3073" s="29">
        <f>IFERROR(VLOOKUP(F3073,CARTON_LOOKUP!$A:$E,2,0),"")</f>
      </c>
      <c r="K3073" s="29">
        <f>IFERROR(J3073*D3073,0)</f>
      </c>
      <c r="L3073" s="29">
        <f>IFERROR(E3073*C3073,0)</f>
      </c>
      <c r="M3073" s="29">
        <f>IFERROR((G3073*H3073*I3073/1000000)*D3073,0)</f>
      </c>
    </row>
    <row r="3074" spans="1:13" x14ac:dyDescent="0.25">
      <c r="A3074" s="16"/>
      <c r="E3074" s="27"/>
      <c r="F3074" t="s">
        <v>26</v>
      </c>
      <c r="G3074" s="28">
        <f>IFERROR(VLOOKUP(F3074,CARTON_LOOKUP!$A:$E,3,0),"")</f>
      </c>
      <c r="H3074" s="28">
        <f>IFERROR(VLOOKUP(F3074,CARTON_LOOKUP!$A:$E,4,0),"")</f>
      </c>
      <c r="I3074" s="28">
        <f>IFERROR(VLOOKUP(F3074,CARTON_LOOKUP!$A:$E,5,0),"")</f>
      </c>
      <c r="J3074" s="29">
        <f>IFERROR(VLOOKUP(F3074,CARTON_LOOKUP!$A:$E,2,0),"")</f>
      </c>
      <c r="K3074" s="29">
        <f>IFERROR(J3074*D3074,0)</f>
      </c>
      <c r="L3074" s="29">
        <f>IFERROR(E3074*C3074,0)</f>
      </c>
      <c r="M3074" s="29">
        <f>IFERROR((G3074*H3074*I3074/1000000)*D3074,0)</f>
      </c>
    </row>
    <row r="3075" spans="1:13" x14ac:dyDescent="0.25">
      <c r="A3075" s="16"/>
      <c r="E3075" s="27"/>
      <c r="F3075" t="s">
        <v>26</v>
      </c>
      <c r="G3075" s="28">
        <f>IFERROR(VLOOKUP(F3075,CARTON_LOOKUP!$A:$E,3,0),"")</f>
      </c>
      <c r="H3075" s="28">
        <f>IFERROR(VLOOKUP(F3075,CARTON_LOOKUP!$A:$E,4,0),"")</f>
      </c>
      <c r="I3075" s="28">
        <f>IFERROR(VLOOKUP(F3075,CARTON_LOOKUP!$A:$E,5,0),"")</f>
      </c>
      <c r="J3075" s="29">
        <f>IFERROR(VLOOKUP(F3075,CARTON_LOOKUP!$A:$E,2,0),"")</f>
      </c>
      <c r="K3075" s="29">
        <f>IFERROR(J3075*D3075,0)</f>
      </c>
      <c r="L3075" s="29">
        <f>IFERROR(E3075*C3075,0)</f>
      </c>
      <c r="M3075" s="29">
        <f>IFERROR((G3075*H3075*I3075/1000000)*D3075,0)</f>
      </c>
    </row>
    <row r="3076" spans="1:13" x14ac:dyDescent="0.25">
      <c r="A3076" s="16"/>
      <c r="E3076" s="27"/>
      <c r="F3076" t="s">
        <v>26</v>
      </c>
      <c r="G3076" s="28">
        <f>IFERROR(VLOOKUP(F3076,CARTON_LOOKUP!$A:$E,3,0),"")</f>
      </c>
      <c r="H3076" s="28">
        <f>IFERROR(VLOOKUP(F3076,CARTON_LOOKUP!$A:$E,4,0),"")</f>
      </c>
      <c r="I3076" s="28">
        <f>IFERROR(VLOOKUP(F3076,CARTON_LOOKUP!$A:$E,5,0),"")</f>
      </c>
      <c r="J3076" s="29">
        <f>IFERROR(VLOOKUP(F3076,CARTON_LOOKUP!$A:$E,2,0),"")</f>
      </c>
      <c r="K3076" s="29">
        <f>IFERROR(J3076*D3076,0)</f>
      </c>
      <c r="L3076" s="29">
        <f>IFERROR(E3076*C3076,0)</f>
      </c>
      <c r="M3076" s="29">
        <f>IFERROR((G3076*H3076*I3076/1000000)*D3076,0)</f>
      </c>
    </row>
    <row r="3077" spans="1:13" x14ac:dyDescent="0.25">
      <c r="A3077" s="16"/>
      <c r="E3077" s="27"/>
      <c r="F3077" t="s">
        <v>26</v>
      </c>
      <c r="G3077" s="28">
        <f>IFERROR(VLOOKUP(F3077,CARTON_LOOKUP!$A:$E,3,0),"")</f>
      </c>
      <c r="H3077" s="28">
        <f>IFERROR(VLOOKUP(F3077,CARTON_LOOKUP!$A:$E,4,0),"")</f>
      </c>
      <c r="I3077" s="28">
        <f>IFERROR(VLOOKUP(F3077,CARTON_LOOKUP!$A:$E,5,0),"")</f>
      </c>
      <c r="J3077" s="29">
        <f>IFERROR(VLOOKUP(F3077,CARTON_LOOKUP!$A:$E,2,0),"")</f>
      </c>
      <c r="K3077" s="29">
        <f>IFERROR(J3077*D3077,0)</f>
      </c>
      <c r="L3077" s="29">
        <f>IFERROR(E3077*C3077,0)</f>
      </c>
      <c r="M3077" s="29">
        <f>IFERROR((G3077*H3077*I3077/1000000)*D3077,0)</f>
      </c>
    </row>
    <row r="3078" spans="1:13" x14ac:dyDescent="0.25">
      <c r="A3078" s="16"/>
      <c r="E3078" s="27"/>
      <c r="F3078" t="s">
        <v>26</v>
      </c>
      <c r="G3078" s="28">
        <f>IFERROR(VLOOKUP(F3078,CARTON_LOOKUP!$A:$E,3,0),"")</f>
      </c>
      <c r="H3078" s="28">
        <f>IFERROR(VLOOKUP(F3078,CARTON_LOOKUP!$A:$E,4,0),"")</f>
      </c>
      <c r="I3078" s="28">
        <f>IFERROR(VLOOKUP(F3078,CARTON_LOOKUP!$A:$E,5,0),"")</f>
      </c>
      <c r="J3078" s="29">
        <f>IFERROR(VLOOKUP(F3078,CARTON_LOOKUP!$A:$E,2,0),"")</f>
      </c>
      <c r="K3078" s="29">
        <f>IFERROR(J3078*D3078,0)</f>
      </c>
      <c r="L3078" s="29">
        <f>IFERROR(E3078*C3078,0)</f>
      </c>
      <c r="M3078" s="29">
        <f>IFERROR((G3078*H3078*I3078/1000000)*D3078,0)</f>
      </c>
    </row>
    <row r="3079" spans="1:13" x14ac:dyDescent="0.25">
      <c r="A3079" s="16"/>
      <c r="E3079" s="27"/>
      <c r="F3079" t="s">
        <v>26</v>
      </c>
      <c r="G3079" s="28">
        <f>IFERROR(VLOOKUP(F3079,CARTON_LOOKUP!$A:$E,3,0),"")</f>
      </c>
      <c r="H3079" s="28">
        <f>IFERROR(VLOOKUP(F3079,CARTON_LOOKUP!$A:$E,4,0),"")</f>
      </c>
      <c r="I3079" s="28">
        <f>IFERROR(VLOOKUP(F3079,CARTON_LOOKUP!$A:$E,5,0),"")</f>
      </c>
      <c r="J3079" s="29">
        <f>IFERROR(VLOOKUP(F3079,CARTON_LOOKUP!$A:$E,2,0),"")</f>
      </c>
      <c r="K3079" s="29">
        <f>IFERROR(J3079*D3079,0)</f>
      </c>
      <c r="L3079" s="29">
        <f>IFERROR(E3079*C3079,0)</f>
      </c>
      <c r="M3079" s="29">
        <f>IFERROR((G3079*H3079*I3079/1000000)*D3079,0)</f>
      </c>
    </row>
    <row r="3080" spans="1:13" x14ac:dyDescent="0.25">
      <c r="A3080" s="16"/>
      <c r="E3080" s="27"/>
      <c r="F3080" t="s">
        <v>26</v>
      </c>
      <c r="G3080" s="28">
        <f>IFERROR(VLOOKUP(F3080,CARTON_LOOKUP!$A:$E,3,0),"")</f>
      </c>
      <c r="H3080" s="28">
        <f>IFERROR(VLOOKUP(F3080,CARTON_LOOKUP!$A:$E,4,0),"")</f>
      </c>
      <c r="I3080" s="28">
        <f>IFERROR(VLOOKUP(F3080,CARTON_LOOKUP!$A:$E,5,0),"")</f>
      </c>
      <c r="J3080" s="29">
        <f>IFERROR(VLOOKUP(F3080,CARTON_LOOKUP!$A:$E,2,0),"")</f>
      </c>
      <c r="K3080" s="29">
        <f>IFERROR(J3080*D3080,0)</f>
      </c>
      <c r="L3080" s="29">
        <f>IFERROR(E3080*C3080,0)</f>
      </c>
      <c r="M3080" s="29">
        <f>IFERROR((G3080*H3080*I3080/1000000)*D3080,0)</f>
      </c>
    </row>
    <row r="3081" spans="1:13" x14ac:dyDescent="0.25">
      <c r="A3081" s="16"/>
      <c r="E3081" s="27"/>
      <c r="F3081" t="s">
        <v>26</v>
      </c>
      <c r="G3081" s="28">
        <f>IFERROR(VLOOKUP(F3081,CARTON_LOOKUP!$A:$E,3,0),"")</f>
      </c>
      <c r="H3081" s="28">
        <f>IFERROR(VLOOKUP(F3081,CARTON_LOOKUP!$A:$E,4,0),"")</f>
      </c>
      <c r="I3081" s="28">
        <f>IFERROR(VLOOKUP(F3081,CARTON_LOOKUP!$A:$E,5,0),"")</f>
      </c>
      <c r="J3081" s="29">
        <f>IFERROR(VLOOKUP(F3081,CARTON_LOOKUP!$A:$E,2,0),"")</f>
      </c>
      <c r="K3081" s="29">
        <f>IFERROR(J3081*D3081,0)</f>
      </c>
      <c r="L3081" s="29">
        <f>IFERROR(E3081*C3081,0)</f>
      </c>
      <c r="M3081" s="29">
        <f>IFERROR((G3081*H3081*I3081/1000000)*D3081,0)</f>
      </c>
    </row>
    <row r="3082" spans="1:13" x14ac:dyDescent="0.25">
      <c r="A3082" s="16"/>
      <c r="E3082" s="27"/>
      <c r="F3082" t="s">
        <v>26</v>
      </c>
      <c r="G3082" s="28">
        <f>IFERROR(VLOOKUP(F3082,CARTON_LOOKUP!$A:$E,3,0),"")</f>
      </c>
      <c r="H3082" s="28">
        <f>IFERROR(VLOOKUP(F3082,CARTON_LOOKUP!$A:$E,4,0),"")</f>
      </c>
      <c r="I3082" s="28">
        <f>IFERROR(VLOOKUP(F3082,CARTON_LOOKUP!$A:$E,5,0),"")</f>
      </c>
      <c r="J3082" s="29">
        <f>IFERROR(VLOOKUP(F3082,CARTON_LOOKUP!$A:$E,2,0),"")</f>
      </c>
      <c r="K3082" s="29">
        <f>IFERROR(J3082*D3082,0)</f>
      </c>
      <c r="L3082" s="29">
        <f>IFERROR(E3082*C3082,0)</f>
      </c>
      <c r="M3082" s="29">
        <f>IFERROR((G3082*H3082*I3082/1000000)*D3082,0)</f>
      </c>
    </row>
    <row r="3083" spans="1:13" x14ac:dyDescent="0.25">
      <c r="A3083" s="16"/>
      <c r="E3083" s="27"/>
      <c r="F3083" t="s">
        <v>26</v>
      </c>
      <c r="G3083" s="28">
        <f>IFERROR(VLOOKUP(F3083,CARTON_LOOKUP!$A:$E,3,0),"")</f>
      </c>
      <c r="H3083" s="28">
        <f>IFERROR(VLOOKUP(F3083,CARTON_LOOKUP!$A:$E,4,0),"")</f>
      </c>
      <c r="I3083" s="28">
        <f>IFERROR(VLOOKUP(F3083,CARTON_LOOKUP!$A:$E,5,0),"")</f>
      </c>
      <c r="J3083" s="29">
        <f>IFERROR(VLOOKUP(F3083,CARTON_LOOKUP!$A:$E,2,0),"")</f>
      </c>
      <c r="K3083" s="29">
        <f>IFERROR(J3083*D3083,0)</f>
      </c>
      <c r="L3083" s="29">
        <f>IFERROR(E3083*C3083,0)</f>
      </c>
      <c r="M3083" s="29">
        <f>IFERROR((G3083*H3083*I3083/1000000)*D3083,0)</f>
      </c>
    </row>
    <row r="3084" spans="1:13" x14ac:dyDescent="0.25">
      <c r="A3084" s="16"/>
      <c r="E3084" s="27"/>
      <c r="F3084" t="s">
        <v>26</v>
      </c>
      <c r="G3084" s="28">
        <f>IFERROR(VLOOKUP(F3084,CARTON_LOOKUP!$A:$E,3,0),"")</f>
      </c>
      <c r="H3084" s="28">
        <f>IFERROR(VLOOKUP(F3084,CARTON_LOOKUP!$A:$E,4,0),"")</f>
      </c>
      <c r="I3084" s="28">
        <f>IFERROR(VLOOKUP(F3084,CARTON_LOOKUP!$A:$E,5,0),"")</f>
      </c>
      <c r="J3084" s="29">
        <f>IFERROR(VLOOKUP(F3084,CARTON_LOOKUP!$A:$E,2,0),"")</f>
      </c>
      <c r="K3084" s="29">
        <f>IFERROR(J3084*D3084,0)</f>
      </c>
      <c r="L3084" s="29">
        <f>IFERROR(E3084*C3084,0)</f>
      </c>
      <c r="M3084" s="29">
        <f>IFERROR((G3084*H3084*I3084/1000000)*D3084,0)</f>
      </c>
    </row>
    <row r="3085" spans="1:13" x14ac:dyDescent="0.25">
      <c r="A3085" s="16"/>
      <c r="E3085" s="27"/>
      <c r="F3085" t="s">
        <v>26</v>
      </c>
      <c r="G3085" s="28">
        <f>IFERROR(VLOOKUP(F3085,CARTON_LOOKUP!$A:$E,3,0),"")</f>
      </c>
      <c r="H3085" s="28">
        <f>IFERROR(VLOOKUP(F3085,CARTON_LOOKUP!$A:$E,4,0),"")</f>
      </c>
      <c r="I3085" s="28">
        <f>IFERROR(VLOOKUP(F3085,CARTON_LOOKUP!$A:$E,5,0),"")</f>
      </c>
      <c r="J3085" s="29">
        <f>IFERROR(VLOOKUP(F3085,CARTON_LOOKUP!$A:$E,2,0),"")</f>
      </c>
      <c r="K3085" s="29">
        <f>IFERROR(J3085*D3085,0)</f>
      </c>
      <c r="L3085" s="29">
        <f>IFERROR(E3085*C3085,0)</f>
      </c>
      <c r="M3085" s="29">
        <f>IFERROR((G3085*H3085*I3085/1000000)*D3085,0)</f>
      </c>
    </row>
    <row r="3086" spans="1:13" x14ac:dyDescent="0.25">
      <c r="A3086" s="16"/>
      <c r="E3086" s="27"/>
      <c r="F3086" t="s">
        <v>26</v>
      </c>
      <c r="G3086" s="28">
        <f>IFERROR(VLOOKUP(F3086,CARTON_LOOKUP!$A:$E,3,0),"")</f>
      </c>
      <c r="H3086" s="28">
        <f>IFERROR(VLOOKUP(F3086,CARTON_LOOKUP!$A:$E,4,0),"")</f>
      </c>
      <c r="I3086" s="28">
        <f>IFERROR(VLOOKUP(F3086,CARTON_LOOKUP!$A:$E,5,0),"")</f>
      </c>
      <c r="J3086" s="29">
        <f>IFERROR(VLOOKUP(F3086,CARTON_LOOKUP!$A:$E,2,0),"")</f>
      </c>
      <c r="K3086" s="29">
        <f>IFERROR(J3086*D3086,0)</f>
      </c>
      <c r="L3086" s="29">
        <f>IFERROR(E3086*C3086,0)</f>
      </c>
      <c r="M3086" s="29">
        <f>IFERROR((G3086*H3086*I3086/1000000)*D3086,0)</f>
      </c>
    </row>
    <row r="3087" spans="1:13" x14ac:dyDescent="0.25">
      <c r="A3087" s="16"/>
      <c r="E3087" s="27"/>
      <c r="F3087" t="s">
        <v>26</v>
      </c>
      <c r="G3087" s="28">
        <f>IFERROR(VLOOKUP(F3087,CARTON_LOOKUP!$A:$E,3,0),"")</f>
      </c>
      <c r="H3087" s="28">
        <f>IFERROR(VLOOKUP(F3087,CARTON_LOOKUP!$A:$E,4,0),"")</f>
      </c>
      <c r="I3087" s="28">
        <f>IFERROR(VLOOKUP(F3087,CARTON_LOOKUP!$A:$E,5,0),"")</f>
      </c>
      <c r="J3087" s="29">
        <f>IFERROR(VLOOKUP(F3087,CARTON_LOOKUP!$A:$E,2,0),"")</f>
      </c>
      <c r="K3087" s="29">
        <f>IFERROR(J3087*D3087,0)</f>
      </c>
      <c r="L3087" s="29">
        <f>IFERROR(E3087*C3087,0)</f>
      </c>
      <c r="M3087" s="29">
        <f>IFERROR((G3087*H3087*I3087/1000000)*D3087,0)</f>
      </c>
    </row>
    <row r="3088" spans="1:13" x14ac:dyDescent="0.25">
      <c r="A3088" s="16"/>
      <c r="E3088" s="27"/>
      <c r="F3088" t="s">
        <v>26</v>
      </c>
      <c r="G3088" s="28">
        <f>IFERROR(VLOOKUP(F3088,CARTON_LOOKUP!$A:$E,3,0),"")</f>
      </c>
      <c r="H3088" s="28">
        <f>IFERROR(VLOOKUP(F3088,CARTON_LOOKUP!$A:$E,4,0),"")</f>
      </c>
      <c r="I3088" s="28">
        <f>IFERROR(VLOOKUP(F3088,CARTON_LOOKUP!$A:$E,5,0),"")</f>
      </c>
      <c r="J3088" s="29">
        <f>IFERROR(VLOOKUP(F3088,CARTON_LOOKUP!$A:$E,2,0),"")</f>
      </c>
      <c r="K3088" s="29">
        <f>IFERROR(J3088*D3088,0)</f>
      </c>
      <c r="L3088" s="29">
        <f>IFERROR(E3088*C3088,0)</f>
      </c>
      <c r="M3088" s="29">
        <f>IFERROR((G3088*H3088*I3088/1000000)*D3088,0)</f>
      </c>
    </row>
    <row r="3089" spans="1:13" x14ac:dyDescent="0.25">
      <c r="A3089" s="16"/>
      <c r="E3089" s="27"/>
      <c r="F3089" t="s">
        <v>26</v>
      </c>
      <c r="G3089" s="28">
        <f>IFERROR(VLOOKUP(F3089,CARTON_LOOKUP!$A:$E,3,0),"")</f>
      </c>
      <c r="H3089" s="28">
        <f>IFERROR(VLOOKUP(F3089,CARTON_LOOKUP!$A:$E,4,0),"")</f>
      </c>
      <c r="I3089" s="28">
        <f>IFERROR(VLOOKUP(F3089,CARTON_LOOKUP!$A:$E,5,0),"")</f>
      </c>
      <c r="J3089" s="29">
        <f>IFERROR(VLOOKUP(F3089,CARTON_LOOKUP!$A:$E,2,0),"")</f>
      </c>
      <c r="K3089" s="29">
        <f>IFERROR(J3089*D3089,0)</f>
      </c>
      <c r="L3089" s="29">
        <f>IFERROR(E3089*C3089,0)</f>
      </c>
      <c r="M3089" s="29">
        <f>IFERROR((G3089*H3089*I3089/1000000)*D3089,0)</f>
      </c>
    </row>
    <row r="3090" spans="1:13" x14ac:dyDescent="0.25">
      <c r="A3090" s="16"/>
      <c r="E3090" s="27"/>
      <c r="F3090" t="s">
        <v>26</v>
      </c>
      <c r="G3090" s="28">
        <f>IFERROR(VLOOKUP(F3090,CARTON_LOOKUP!$A:$E,3,0),"")</f>
      </c>
      <c r="H3090" s="28">
        <f>IFERROR(VLOOKUP(F3090,CARTON_LOOKUP!$A:$E,4,0),"")</f>
      </c>
      <c r="I3090" s="28">
        <f>IFERROR(VLOOKUP(F3090,CARTON_LOOKUP!$A:$E,5,0),"")</f>
      </c>
      <c r="J3090" s="29">
        <f>IFERROR(VLOOKUP(F3090,CARTON_LOOKUP!$A:$E,2,0),"")</f>
      </c>
      <c r="K3090" s="29">
        <f>IFERROR(J3090*D3090,0)</f>
      </c>
      <c r="L3090" s="29">
        <f>IFERROR(E3090*C3090,0)</f>
      </c>
      <c r="M3090" s="29">
        <f>IFERROR((G3090*H3090*I3090/1000000)*D3090,0)</f>
      </c>
    </row>
    <row r="3091" spans="1:13" x14ac:dyDescent="0.25">
      <c r="A3091" s="16"/>
      <c r="E3091" s="27"/>
      <c r="F3091" t="s">
        <v>26</v>
      </c>
      <c r="G3091" s="28">
        <f>IFERROR(VLOOKUP(F3091,CARTON_LOOKUP!$A:$E,3,0),"")</f>
      </c>
      <c r="H3091" s="28">
        <f>IFERROR(VLOOKUP(F3091,CARTON_LOOKUP!$A:$E,4,0),"")</f>
      </c>
      <c r="I3091" s="28">
        <f>IFERROR(VLOOKUP(F3091,CARTON_LOOKUP!$A:$E,5,0),"")</f>
      </c>
      <c r="J3091" s="29">
        <f>IFERROR(VLOOKUP(F3091,CARTON_LOOKUP!$A:$E,2,0),"")</f>
      </c>
      <c r="K3091" s="29">
        <f>IFERROR(J3091*D3091,0)</f>
      </c>
      <c r="L3091" s="29">
        <f>IFERROR(E3091*C3091,0)</f>
      </c>
      <c r="M3091" s="29">
        <f>IFERROR((G3091*H3091*I3091/1000000)*D3091,0)</f>
      </c>
    </row>
    <row r="3092" spans="1:13" x14ac:dyDescent="0.25">
      <c r="A3092" s="16"/>
      <c r="E3092" s="27"/>
      <c r="F3092" t="s">
        <v>26</v>
      </c>
      <c r="G3092" s="28">
        <f>IFERROR(VLOOKUP(F3092,CARTON_LOOKUP!$A:$E,3,0),"")</f>
      </c>
      <c r="H3092" s="28">
        <f>IFERROR(VLOOKUP(F3092,CARTON_LOOKUP!$A:$E,4,0),"")</f>
      </c>
      <c r="I3092" s="28">
        <f>IFERROR(VLOOKUP(F3092,CARTON_LOOKUP!$A:$E,5,0),"")</f>
      </c>
      <c r="J3092" s="29">
        <f>IFERROR(VLOOKUP(F3092,CARTON_LOOKUP!$A:$E,2,0),"")</f>
      </c>
      <c r="K3092" s="29">
        <f>IFERROR(J3092*D3092,0)</f>
      </c>
      <c r="L3092" s="29">
        <f>IFERROR(E3092*C3092,0)</f>
      </c>
      <c r="M3092" s="29">
        <f>IFERROR((G3092*H3092*I3092/1000000)*D3092,0)</f>
      </c>
    </row>
    <row r="3093" spans="1:13" x14ac:dyDescent="0.25">
      <c r="A3093" s="16"/>
      <c r="E3093" s="27"/>
      <c r="F3093" t="s">
        <v>26</v>
      </c>
      <c r="G3093" s="28">
        <f>IFERROR(VLOOKUP(F3093,CARTON_LOOKUP!$A:$E,3,0),"")</f>
      </c>
      <c r="H3093" s="28">
        <f>IFERROR(VLOOKUP(F3093,CARTON_LOOKUP!$A:$E,4,0),"")</f>
      </c>
      <c r="I3093" s="28">
        <f>IFERROR(VLOOKUP(F3093,CARTON_LOOKUP!$A:$E,5,0),"")</f>
      </c>
      <c r="J3093" s="29">
        <f>IFERROR(VLOOKUP(F3093,CARTON_LOOKUP!$A:$E,2,0),"")</f>
      </c>
      <c r="K3093" s="29">
        <f>IFERROR(J3093*D3093,0)</f>
      </c>
      <c r="L3093" s="29">
        <f>IFERROR(E3093*C3093,0)</f>
      </c>
      <c r="M3093" s="29">
        <f>IFERROR((G3093*H3093*I3093/1000000)*D3093,0)</f>
      </c>
    </row>
    <row r="3094" spans="1:13" x14ac:dyDescent="0.25">
      <c r="A3094" s="16"/>
      <c r="E3094" s="27"/>
      <c r="F3094" t="s">
        <v>26</v>
      </c>
      <c r="G3094" s="28">
        <f>IFERROR(VLOOKUP(F3094,CARTON_LOOKUP!$A:$E,3,0),"")</f>
      </c>
      <c r="H3094" s="28">
        <f>IFERROR(VLOOKUP(F3094,CARTON_LOOKUP!$A:$E,4,0),"")</f>
      </c>
      <c r="I3094" s="28">
        <f>IFERROR(VLOOKUP(F3094,CARTON_LOOKUP!$A:$E,5,0),"")</f>
      </c>
      <c r="J3094" s="29">
        <f>IFERROR(VLOOKUP(F3094,CARTON_LOOKUP!$A:$E,2,0),"")</f>
      </c>
      <c r="K3094" s="29">
        <f>IFERROR(J3094*D3094,0)</f>
      </c>
      <c r="L3094" s="29">
        <f>IFERROR(E3094*C3094,0)</f>
      </c>
      <c r="M3094" s="29">
        <f>IFERROR((G3094*H3094*I3094/1000000)*D3094,0)</f>
      </c>
    </row>
    <row r="3095" spans="1:13" x14ac:dyDescent="0.25">
      <c r="A3095" s="16"/>
      <c r="E3095" s="27"/>
      <c r="F3095" t="s">
        <v>26</v>
      </c>
      <c r="G3095" s="28">
        <f>IFERROR(VLOOKUP(F3095,CARTON_LOOKUP!$A:$E,3,0),"")</f>
      </c>
      <c r="H3095" s="28">
        <f>IFERROR(VLOOKUP(F3095,CARTON_LOOKUP!$A:$E,4,0),"")</f>
      </c>
      <c r="I3095" s="28">
        <f>IFERROR(VLOOKUP(F3095,CARTON_LOOKUP!$A:$E,5,0),"")</f>
      </c>
      <c r="J3095" s="29">
        <f>IFERROR(VLOOKUP(F3095,CARTON_LOOKUP!$A:$E,2,0),"")</f>
      </c>
      <c r="K3095" s="29">
        <f>IFERROR(J3095*D3095,0)</f>
      </c>
      <c r="L3095" s="29">
        <f>IFERROR(E3095*C3095,0)</f>
      </c>
      <c r="M3095" s="29">
        <f>IFERROR((G3095*H3095*I3095/1000000)*D3095,0)</f>
      </c>
    </row>
    <row r="3096" spans="1:13" x14ac:dyDescent="0.25">
      <c r="A3096" s="16"/>
      <c r="E3096" s="27"/>
      <c r="F3096" t="s">
        <v>26</v>
      </c>
      <c r="G3096" s="28">
        <f>IFERROR(VLOOKUP(F3096,CARTON_LOOKUP!$A:$E,3,0),"")</f>
      </c>
      <c r="H3096" s="28">
        <f>IFERROR(VLOOKUP(F3096,CARTON_LOOKUP!$A:$E,4,0),"")</f>
      </c>
      <c r="I3096" s="28">
        <f>IFERROR(VLOOKUP(F3096,CARTON_LOOKUP!$A:$E,5,0),"")</f>
      </c>
      <c r="J3096" s="29">
        <f>IFERROR(VLOOKUP(F3096,CARTON_LOOKUP!$A:$E,2,0),"")</f>
      </c>
      <c r="K3096" s="29">
        <f>IFERROR(J3096*D3096,0)</f>
      </c>
      <c r="L3096" s="29">
        <f>IFERROR(E3096*C3096,0)</f>
      </c>
      <c r="M3096" s="29">
        <f>IFERROR((G3096*H3096*I3096/1000000)*D3096,0)</f>
      </c>
    </row>
    <row r="3097" spans="1:13" x14ac:dyDescent="0.25">
      <c r="A3097" s="16"/>
      <c r="E3097" s="27"/>
      <c r="F3097" t="s">
        <v>26</v>
      </c>
      <c r="G3097" s="28">
        <f>IFERROR(VLOOKUP(F3097,CARTON_LOOKUP!$A:$E,3,0),"")</f>
      </c>
      <c r="H3097" s="28">
        <f>IFERROR(VLOOKUP(F3097,CARTON_LOOKUP!$A:$E,4,0),"")</f>
      </c>
      <c r="I3097" s="28">
        <f>IFERROR(VLOOKUP(F3097,CARTON_LOOKUP!$A:$E,5,0),"")</f>
      </c>
      <c r="J3097" s="29">
        <f>IFERROR(VLOOKUP(F3097,CARTON_LOOKUP!$A:$E,2,0),"")</f>
      </c>
      <c r="K3097" s="29">
        <f>IFERROR(J3097*D3097,0)</f>
      </c>
      <c r="L3097" s="29">
        <f>IFERROR(E3097*C3097,0)</f>
      </c>
      <c r="M3097" s="29">
        <f>IFERROR((G3097*H3097*I3097/1000000)*D3097,0)</f>
      </c>
    </row>
    <row r="3098" spans="1:13" x14ac:dyDescent="0.25">
      <c r="A3098" s="16"/>
      <c r="E3098" s="27"/>
      <c r="F3098" t="s">
        <v>26</v>
      </c>
      <c r="G3098" s="28">
        <f>IFERROR(VLOOKUP(F3098,CARTON_LOOKUP!$A:$E,3,0),"")</f>
      </c>
      <c r="H3098" s="28">
        <f>IFERROR(VLOOKUP(F3098,CARTON_LOOKUP!$A:$E,4,0),"")</f>
      </c>
      <c r="I3098" s="28">
        <f>IFERROR(VLOOKUP(F3098,CARTON_LOOKUP!$A:$E,5,0),"")</f>
      </c>
      <c r="J3098" s="29">
        <f>IFERROR(VLOOKUP(F3098,CARTON_LOOKUP!$A:$E,2,0),"")</f>
      </c>
      <c r="K3098" s="29">
        <f>IFERROR(J3098*D3098,0)</f>
      </c>
      <c r="L3098" s="29">
        <f>IFERROR(E3098*C3098,0)</f>
      </c>
      <c r="M3098" s="29">
        <f>IFERROR((G3098*H3098*I3098/1000000)*D3098,0)</f>
      </c>
    </row>
    <row r="3099" spans="1:13" x14ac:dyDescent="0.25">
      <c r="A3099" s="16"/>
      <c r="E3099" s="27"/>
      <c r="F3099" t="s">
        <v>26</v>
      </c>
      <c r="G3099" s="28">
        <f>IFERROR(VLOOKUP(F3099,CARTON_LOOKUP!$A:$E,3,0),"")</f>
      </c>
      <c r="H3099" s="28">
        <f>IFERROR(VLOOKUP(F3099,CARTON_LOOKUP!$A:$E,4,0),"")</f>
      </c>
      <c r="I3099" s="28">
        <f>IFERROR(VLOOKUP(F3099,CARTON_LOOKUP!$A:$E,5,0),"")</f>
      </c>
      <c r="J3099" s="29">
        <f>IFERROR(VLOOKUP(F3099,CARTON_LOOKUP!$A:$E,2,0),"")</f>
      </c>
      <c r="K3099" s="29">
        <f>IFERROR(J3099*D3099,0)</f>
      </c>
      <c r="L3099" s="29">
        <f>IFERROR(E3099*C3099,0)</f>
      </c>
      <c r="M3099" s="29">
        <f>IFERROR((G3099*H3099*I3099/1000000)*D3099,0)</f>
      </c>
    </row>
    <row r="3100" spans="1:13" x14ac:dyDescent="0.25">
      <c r="A3100" s="16"/>
      <c r="E3100" s="27"/>
      <c r="F3100" t="s">
        <v>26</v>
      </c>
      <c r="G3100" s="28">
        <f>IFERROR(VLOOKUP(F3100,CARTON_LOOKUP!$A:$E,3,0),"")</f>
      </c>
      <c r="H3100" s="28">
        <f>IFERROR(VLOOKUP(F3100,CARTON_LOOKUP!$A:$E,4,0),"")</f>
      </c>
      <c r="I3100" s="28">
        <f>IFERROR(VLOOKUP(F3100,CARTON_LOOKUP!$A:$E,5,0),"")</f>
      </c>
      <c r="J3100" s="29">
        <f>IFERROR(VLOOKUP(F3100,CARTON_LOOKUP!$A:$E,2,0),"")</f>
      </c>
      <c r="K3100" s="29">
        <f>IFERROR(J3100*D3100,0)</f>
      </c>
      <c r="L3100" s="29">
        <f>IFERROR(E3100*C3100,0)</f>
      </c>
      <c r="M3100" s="29">
        <f>IFERROR((G3100*H3100*I3100/1000000)*D3100,0)</f>
      </c>
    </row>
    <row r="3101" spans="1:13" x14ac:dyDescent="0.25">
      <c r="A3101" s="16"/>
      <c r="E3101" s="27"/>
      <c r="F3101" t="s">
        <v>26</v>
      </c>
      <c r="G3101" s="28">
        <f>IFERROR(VLOOKUP(F3101,CARTON_LOOKUP!$A:$E,3,0),"")</f>
      </c>
      <c r="H3101" s="28">
        <f>IFERROR(VLOOKUP(F3101,CARTON_LOOKUP!$A:$E,4,0),"")</f>
      </c>
      <c r="I3101" s="28">
        <f>IFERROR(VLOOKUP(F3101,CARTON_LOOKUP!$A:$E,5,0),"")</f>
      </c>
      <c r="J3101" s="29">
        <f>IFERROR(VLOOKUP(F3101,CARTON_LOOKUP!$A:$E,2,0),"")</f>
      </c>
      <c r="K3101" s="29">
        <f>IFERROR(J3101*D3101,0)</f>
      </c>
      <c r="L3101" s="29">
        <f>IFERROR(E3101*C3101,0)</f>
      </c>
      <c r="M3101" s="29">
        <f>IFERROR((G3101*H3101*I3101/1000000)*D3101,0)</f>
      </c>
    </row>
    <row r="3102" spans="1:13" x14ac:dyDescent="0.25">
      <c r="A3102" s="16"/>
      <c r="E3102" s="27"/>
      <c r="F3102" t="s">
        <v>26</v>
      </c>
      <c r="G3102" s="28">
        <f>IFERROR(VLOOKUP(F3102,CARTON_LOOKUP!$A:$E,3,0),"")</f>
      </c>
      <c r="H3102" s="28">
        <f>IFERROR(VLOOKUP(F3102,CARTON_LOOKUP!$A:$E,4,0),"")</f>
      </c>
      <c r="I3102" s="28">
        <f>IFERROR(VLOOKUP(F3102,CARTON_LOOKUP!$A:$E,5,0),"")</f>
      </c>
      <c r="J3102" s="29">
        <f>IFERROR(VLOOKUP(F3102,CARTON_LOOKUP!$A:$E,2,0),"")</f>
      </c>
      <c r="K3102" s="29">
        <f>IFERROR(J3102*D3102,0)</f>
      </c>
      <c r="L3102" s="29">
        <f>IFERROR(E3102*C3102,0)</f>
      </c>
      <c r="M3102" s="29">
        <f>IFERROR((G3102*H3102*I3102/1000000)*D3102,0)</f>
      </c>
    </row>
    <row r="3103" spans="1:13" x14ac:dyDescent="0.25">
      <c r="A3103" s="16"/>
      <c r="E3103" s="27"/>
      <c r="F3103" t="s">
        <v>26</v>
      </c>
      <c r="G3103" s="28">
        <f>IFERROR(VLOOKUP(F3103,CARTON_LOOKUP!$A:$E,3,0),"")</f>
      </c>
      <c r="H3103" s="28">
        <f>IFERROR(VLOOKUP(F3103,CARTON_LOOKUP!$A:$E,4,0),"")</f>
      </c>
      <c r="I3103" s="28">
        <f>IFERROR(VLOOKUP(F3103,CARTON_LOOKUP!$A:$E,5,0),"")</f>
      </c>
      <c r="J3103" s="29">
        <f>IFERROR(VLOOKUP(F3103,CARTON_LOOKUP!$A:$E,2,0),"")</f>
      </c>
      <c r="K3103" s="29">
        <f>IFERROR(J3103*D3103,0)</f>
      </c>
      <c r="L3103" s="29">
        <f>IFERROR(E3103*C3103,0)</f>
      </c>
      <c r="M3103" s="29">
        <f>IFERROR((G3103*H3103*I3103/1000000)*D3103,0)</f>
      </c>
    </row>
    <row r="3104" spans="1:13" x14ac:dyDescent="0.25">
      <c r="A3104" s="16"/>
      <c r="E3104" s="27"/>
      <c r="F3104" t="s">
        <v>26</v>
      </c>
      <c r="G3104" s="28">
        <f>IFERROR(VLOOKUP(F3104,CARTON_LOOKUP!$A:$E,3,0),"")</f>
      </c>
      <c r="H3104" s="28">
        <f>IFERROR(VLOOKUP(F3104,CARTON_LOOKUP!$A:$E,4,0),"")</f>
      </c>
      <c r="I3104" s="28">
        <f>IFERROR(VLOOKUP(F3104,CARTON_LOOKUP!$A:$E,5,0),"")</f>
      </c>
      <c r="J3104" s="29">
        <f>IFERROR(VLOOKUP(F3104,CARTON_LOOKUP!$A:$E,2,0),"")</f>
      </c>
      <c r="K3104" s="29">
        <f>IFERROR(J3104*D3104,0)</f>
      </c>
      <c r="L3104" s="29">
        <f>IFERROR(E3104*C3104,0)</f>
      </c>
      <c r="M3104" s="29">
        <f>IFERROR((G3104*H3104*I3104/1000000)*D3104,0)</f>
      </c>
    </row>
    <row r="3105" spans="1:13" x14ac:dyDescent="0.25">
      <c r="A3105" s="16"/>
      <c r="E3105" s="27"/>
      <c r="F3105" t="s">
        <v>26</v>
      </c>
      <c r="G3105" s="28">
        <f>IFERROR(VLOOKUP(F3105,CARTON_LOOKUP!$A:$E,3,0),"")</f>
      </c>
      <c r="H3105" s="28">
        <f>IFERROR(VLOOKUP(F3105,CARTON_LOOKUP!$A:$E,4,0),"")</f>
      </c>
      <c r="I3105" s="28">
        <f>IFERROR(VLOOKUP(F3105,CARTON_LOOKUP!$A:$E,5,0),"")</f>
      </c>
      <c r="J3105" s="29">
        <f>IFERROR(VLOOKUP(F3105,CARTON_LOOKUP!$A:$E,2,0),"")</f>
      </c>
      <c r="K3105" s="29">
        <f>IFERROR(J3105*D3105,0)</f>
      </c>
      <c r="L3105" s="29">
        <f>IFERROR(E3105*C3105,0)</f>
      </c>
      <c r="M3105" s="29">
        <f>IFERROR((G3105*H3105*I3105/1000000)*D3105,0)</f>
      </c>
    </row>
    <row r="3106" spans="1:13" x14ac:dyDescent="0.25">
      <c r="A3106" s="16"/>
      <c r="E3106" s="27"/>
      <c r="F3106" t="s">
        <v>26</v>
      </c>
      <c r="G3106" s="28">
        <f>IFERROR(VLOOKUP(F3106,CARTON_LOOKUP!$A:$E,3,0),"")</f>
      </c>
      <c r="H3106" s="28">
        <f>IFERROR(VLOOKUP(F3106,CARTON_LOOKUP!$A:$E,4,0),"")</f>
      </c>
      <c r="I3106" s="28">
        <f>IFERROR(VLOOKUP(F3106,CARTON_LOOKUP!$A:$E,5,0),"")</f>
      </c>
      <c r="J3106" s="29">
        <f>IFERROR(VLOOKUP(F3106,CARTON_LOOKUP!$A:$E,2,0),"")</f>
      </c>
      <c r="K3106" s="29">
        <f>IFERROR(J3106*D3106,0)</f>
      </c>
      <c r="L3106" s="29">
        <f>IFERROR(E3106*C3106,0)</f>
      </c>
      <c r="M3106" s="29">
        <f>IFERROR((G3106*H3106*I3106/1000000)*D3106,0)</f>
      </c>
    </row>
    <row r="3107" spans="1:13" x14ac:dyDescent="0.25">
      <c r="A3107" s="16"/>
      <c r="E3107" s="27"/>
      <c r="F3107" t="s">
        <v>26</v>
      </c>
      <c r="G3107" s="28">
        <f>IFERROR(VLOOKUP(F3107,CARTON_LOOKUP!$A:$E,3,0),"")</f>
      </c>
      <c r="H3107" s="28">
        <f>IFERROR(VLOOKUP(F3107,CARTON_LOOKUP!$A:$E,4,0),"")</f>
      </c>
      <c r="I3107" s="28">
        <f>IFERROR(VLOOKUP(F3107,CARTON_LOOKUP!$A:$E,5,0),"")</f>
      </c>
      <c r="J3107" s="29">
        <f>IFERROR(VLOOKUP(F3107,CARTON_LOOKUP!$A:$E,2,0),"")</f>
      </c>
      <c r="K3107" s="29">
        <f>IFERROR(J3107*D3107,0)</f>
      </c>
      <c r="L3107" s="29">
        <f>IFERROR(E3107*C3107,0)</f>
      </c>
      <c r="M3107" s="29">
        <f>IFERROR((G3107*H3107*I3107/1000000)*D3107,0)</f>
      </c>
    </row>
    <row r="3108" spans="1:13" x14ac:dyDescent="0.25">
      <c r="A3108" s="16"/>
      <c r="E3108" s="27"/>
      <c r="F3108" t="s">
        <v>26</v>
      </c>
      <c r="G3108" s="28">
        <f>IFERROR(VLOOKUP(F3108,CARTON_LOOKUP!$A:$E,3,0),"")</f>
      </c>
      <c r="H3108" s="28">
        <f>IFERROR(VLOOKUP(F3108,CARTON_LOOKUP!$A:$E,4,0),"")</f>
      </c>
      <c r="I3108" s="28">
        <f>IFERROR(VLOOKUP(F3108,CARTON_LOOKUP!$A:$E,5,0),"")</f>
      </c>
      <c r="J3108" s="29">
        <f>IFERROR(VLOOKUP(F3108,CARTON_LOOKUP!$A:$E,2,0),"")</f>
      </c>
      <c r="K3108" s="29">
        <f>IFERROR(J3108*D3108,0)</f>
      </c>
      <c r="L3108" s="29">
        <f>IFERROR(E3108*C3108,0)</f>
      </c>
      <c r="M3108" s="29">
        <f>IFERROR((G3108*H3108*I3108/1000000)*D3108,0)</f>
      </c>
    </row>
    <row r="3109" spans="1:13" x14ac:dyDescent="0.25">
      <c r="A3109" s="16"/>
      <c r="E3109" s="27"/>
      <c r="F3109" t="s">
        <v>26</v>
      </c>
      <c r="G3109" s="28">
        <f>IFERROR(VLOOKUP(F3109,CARTON_LOOKUP!$A:$E,3,0),"")</f>
      </c>
      <c r="H3109" s="28">
        <f>IFERROR(VLOOKUP(F3109,CARTON_LOOKUP!$A:$E,4,0),"")</f>
      </c>
      <c r="I3109" s="28">
        <f>IFERROR(VLOOKUP(F3109,CARTON_LOOKUP!$A:$E,5,0),"")</f>
      </c>
      <c r="J3109" s="29">
        <f>IFERROR(VLOOKUP(F3109,CARTON_LOOKUP!$A:$E,2,0),"")</f>
      </c>
      <c r="K3109" s="29">
        <f>IFERROR(J3109*D3109,0)</f>
      </c>
      <c r="L3109" s="29">
        <f>IFERROR(E3109*C3109,0)</f>
      </c>
      <c r="M3109" s="29">
        <f>IFERROR((G3109*H3109*I3109/1000000)*D3109,0)</f>
      </c>
    </row>
    <row r="3110" spans="1:13" x14ac:dyDescent="0.25">
      <c r="A3110" s="16"/>
      <c r="E3110" s="27"/>
      <c r="F3110" t="s">
        <v>26</v>
      </c>
      <c r="G3110" s="28">
        <f>IFERROR(VLOOKUP(F3110,CARTON_LOOKUP!$A:$E,3,0),"")</f>
      </c>
      <c r="H3110" s="28">
        <f>IFERROR(VLOOKUP(F3110,CARTON_LOOKUP!$A:$E,4,0),"")</f>
      </c>
      <c r="I3110" s="28">
        <f>IFERROR(VLOOKUP(F3110,CARTON_LOOKUP!$A:$E,5,0),"")</f>
      </c>
      <c r="J3110" s="29">
        <f>IFERROR(VLOOKUP(F3110,CARTON_LOOKUP!$A:$E,2,0),"")</f>
      </c>
      <c r="K3110" s="29">
        <f>IFERROR(J3110*D3110,0)</f>
      </c>
      <c r="L3110" s="29">
        <f>IFERROR(E3110*C3110,0)</f>
      </c>
      <c r="M3110" s="29">
        <f>IFERROR((G3110*H3110*I3110/1000000)*D3110,0)</f>
      </c>
    </row>
    <row r="3111" spans="1:13" x14ac:dyDescent="0.25">
      <c r="A3111" s="16"/>
      <c r="E3111" s="27"/>
      <c r="F3111" t="s">
        <v>26</v>
      </c>
      <c r="G3111" s="28">
        <f>IFERROR(VLOOKUP(F3111,CARTON_LOOKUP!$A:$E,3,0),"")</f>
      </c>
      <c r="H3111" s="28">
        <f>IFERROR(VLOOKUP(F3111,CARTON_LOOKUP!$A:$E,4,0),"")</f>
      </c>
      <c r="I3111" s="28">
        <f>IFERROR(VLOOKUP(F3111,CARTON_LOOKUP!$A:$E,5,0),"")</f>
      </c>
      <c r="J3111" s="29">
        <f>IFERROR(VLOOKUP(F3111,CARTON_LOOKUP!$A:$E,2,0),"")</f>
      </c>
      <c r="K3111" s="29">
        <f>IFERROR(J3111*D3111,0)</f>
      </c>
      <c r="L3111" s="29">
        <f>IFERROR(E3111*C3111,0)</f>
      </c>
      <c r="M3111" s="29">
        <f>IFERROR((G3111*H3111*I3111/1000000)*D3111,0)</f>
      </c>
    </row>
    <row r="3112" spans="1:13" x14ac:dyDescent="0.25">
      <c r="A3112" s="16"/>
      <c r="E3112" s="27"/>
      <c r="F3112" t="s">
        <v>26</v>
      </c>
      <c r="G3112" s="28">
        <f>IFERROR(VLOOKUP(F3112,CARTON_LOOKUP!$A:$E,3,0),"")</f>
      </c>
      <c r="H3112" s="28">
        <f>IFERROR(VLOOKUP(F3112,CARTON_LOOKUP!$A:$E,4,0),"")</f>
      </c>
      <c r="I3112" s="28">
        <f>IFERROR(VLOOKUP(F3112,CARTON_LOOKUP!$A:$E,5,0),"")</f>
      </c>
      <c r="J3112" s="29">
        <f>IFERROR(VLOOKUP(F3112,CARTON_LOOKUP!$A:$E,2,0),"")</f>
      </c>
      <c r="K3112" s="29">
        <f>IFERROR(J3112*D3112,0)</f>
      </c>
      <c r="L3112" s="29">
        <f>IFERROR(E3112*C3112,0)</f>
      </c>
      <c r="M3112" s="29">
        <f>IFERROR((G3112*H3112*I3112/1000000)*D3112,0)</f>
      </c>
    </row>
    <row r="3113" spans="1:13" x14ac:dyDescent="0.25">
      <c r="A3113" s="16"/>
      <c r="E3113" s="27"/>
      <c r="F3113" t="s">
        <v>26</v>
      </c>
      <c r="G3113" s="28">
        <f>IFERROR(VLOOKUP(F3113,CARTON_LOOKUP!$A:$E,3,0),"")</f>
      </c>
      <c r="H3113" s="28">
        <f>IFERROR(VLOOKUP(F3113,CARTON_LOOKUP!$A:$E,4,0),"")</f>
      </c>
      <c r="I3113" s="28">
        <f>IFERROR(VLOOKUP(F3113,CARTON_LOOKUP!$A:$E,5,0),"")</f>
      </c>
      <c r="J3113" s="29">
        <f>IFERROR(VLOOKUP(F3113,CARTON_LOOKUP!$A:$E,2,0),"")</f>
      </c>
      <c r="K3113" s="29">
        <f>IFERROR(J3113*D3113,0)</f>
      </c>
      <c r="L3113" s="29">
        <f>IFERROR(E3113*C3113,0)</f>
      </c>
      <c r="M3113" s="29">
        <f>IFERROR((G3113*H3113*I3113/1000000)*D3113,0)</f>
      </c>
    </row>
    <row r="3114" spans="1:13" x14ac:dyDescent="0.25">
      <c r="A3114" s="16"/>
      <c r="E3114" s="27"/>
      <c r="F3114" t="s">
        <v>26</v>
      </c>
      <c r="G3114" s="28">
        <f>IFERROR(VLOOKUP(F3114,CARTON_LOOKUP!$A:$E,3,0),"")</f>
      </c>
      <c r="H3114" s="28">
        <f>IFERROR(VLOOKUP(F3114,CARTON_LOOKUP!$A:$E,4,0),"")</f>
      </c>
      <c r="I3114" s="28">
        <f>IFERROR(VLOOKUP(F3114,CARTON_LOOKUP!$A:$E,5,0),"")</f>
      </c>
      <c r="J3114" s="29">
        <f>IFERROR(VLOOKUP(F3114,CARTON_LOOKUP!$A:$E,2,0),"")</f>
      </c>
      <c r="K3114" s="29">
        <f>IFERROR(J3114*D3114,0)</f>
      </c>
      <c r="L3114" s="29">
        <f>IFERROR(E3114*C3114,0)</f>
      </c>
      <c r="M3114" s="29">
        <f>IFERROR((G3114*H3114*I3114/1000000)*D3114,0)</f>
      </c>
    </row>
    <row r="3115" spans="1:13" x14ac:dyDescent="0.25">
      <c r="A3115" s="16"/>
      <c r="E3115" s="27"/>
      <c r="F3115" t="s">
        <v>26</v>
      </c>
      <c r="G3115" s="28">
        <f>IFERROR(VLOOKUP(F3115,CARTON_LOOKUP!$A:$E,3,0),"")</f>
      </c>
      <c r="H3115" s="28">
        <f>IFERROR(VLOOKUP(F3115,CARTON_LOOKUP!$A:$E,4,0),"")</f>
      </c>
      <c r="I3115" s="28">
        <f>IFERROR(VLOOKUP(F3115,CARTON_LOOKUP!$A:$E,5,0),"")</f>
      </c>
      <c r="J3115" s="29">
        <f>IFERROR(VLOOKUP(F3115,CARTON_LOOKUP!$A:$E,2,0),"")</f>
      </c>
      <c r="K3115" s="29">
        <f>IFERROR(J3115*D3115,0)</f>
      </c>
      <c r="L3115" s="29">
        <f>IFERROR(E3115*C3115,0)</f>
      </c>
      <c r="M3115" s="29">
        <f>IFERROR((G3115*H3115*I3115/1000000)*D3115,0)</f>
      </c>
    </row>
    <row r="3116" spans="1:13" x14ac:dyDescent="0.25">
      <c r="A3116" s="16"/>
      <c r="E3116" s="27"/>
      <c r="F3116" t="s">
        <v>26</v>
      </c>
      <c r="G3116" s="28">
        <f>IFERROR(VLOOKUP(F3116,CARTON_LOOKUP!$A:$E,3,0),"")</f>
      </c>
      <c r="H3116" s="28">
        <f>IFERROR(VLOOKUP(F3116,CARTON_LOOKUP!$A:$E,4,0),"")</f>
      </c>
      <c r="I3116" s="28">
        <f>IFERROR(VLOOKUP(F3116,CARTON_LOOKUP!$A:$E,5,0),"")</f>
      </c>
      <c r="J3116" s="29">
        <f>IFERROR(VLOOKUP(F3116,CARTON_LOOKUP!$A:$E,2,0),"")</f>
      </c>
      <c r="K3116" s="29">
        <f>IFERROR(J3116*D3116,0)</f>
      </c>
      <c r="L3116" s="29">
        <f>IFERROR(E3116*C3116,0)</f>
      </c>
      <c r="M3116" s="29">
        <f>IFERROR((G3116*H3116*I3116/1000000)*D3116,0)</f>
      </c>
    </row>
    <row r="3117" spans="1:13" x14ac:dyDescent="0.25">
      <c r="A3117" s="16"/>
      <c r="E3117" s="27"/>
      <c r="F3117" t="s">
        <v>26</v>
      </c>
      <c r="G3117" s="28">
        <f>IFERROR(VLOOKUP(F3117,CARTON_LOOKUP!$A:$E,3,0),"")</f>
      </c>
      <c r="H3117" s="28">
        <f>IFERROR(VLOOKUP(F3117,CARTON_LOOKUP!$A:$E,4,0),"")</f>
      </c>
      <c r="I3117" s="28">
        <f>IFERROR(VLOOKUP(F3117,CARTON_LOOKUP!$A:$E,5,0),"")</f>
      </c>
      <c r="J3117" s="29">
        <f>IFERROR(VLOOKUP(F3117,CARTON_LOOKUP!$A:$E,2,0),"")</f>
      </c>
      <c r="K3117" s="29">
        <f>IFERROR(J3117*D3117,0)</f>
      </c>
      <c r="L3117" s="29">
        <f>IFERROR(E3117*C3117,0)</f>
      </c>
      <c r="M3117" s="29">
        <f>IFERROR((G3117*H3117*I3117/1000000)*D3117,0)</f>
      </c>
    </row>
    <row r="3118" spans="1:13" x14ac:dyDescent="0.25">
      <c r="A3118" s="16"/>
      <c r="E3118" s="27"/>
      <c r="F3118" t="s">
        <v>26</v>
      </c>
      <c r="G3118" s="28">
        <f>IFERROR(VLOOKUP(F3118,CARTON_LOOKUP!$A:$E,3,0),"")</f>
      </c>
      <c r="H3118" s="28">
        <f>IFERROR(VLOOKUP(F3118,CARTON_LOOKUP!$A:$E,4,0),"")</f>
      </c>
      <c r="I3118" s="28">
        <f>IFERROR(VLOOKUP(F3118,CARTON_LOOKUP!$A:$E,5,0),"")</f>
      </c>
      <c r="J3118" s="29">
        <f>IFERROR(VLOOKUP(F3118,CARTON_LOOKUP!$A:$E,2,0),"")</f>
      </c>
      <c r="K3118" s="29">
        <f>IFERROR(J3118*D3118,0)</f>
      </c>
      <c r="L3118" s="29">
        <f>IFERROR(E3118*C3118,0)</f>
      </c>
      <c r="M3118" s="29">
        <f>IFERROR((G3118*H3118*I3118/1000000)*D3118,0)</f>
      </c>
    </row>
    <row r="3119" spans="1:13" x14ac:dyDescent="0.25">
      <c r="A3119" s="16"/>
      <c r="E3119" s="27"/>
      <c r="F3119" t="s">
        <v>26</v>
      </c>
      <c r="G3119" s="28">
        <f>IFERROR(VLOOKUP(F3119,CARTON_LOOKUP!$A:$E,3,0),"")</f>
      </c>
      <c r="H3119" s="28">
        <f>IFERROR(VLOOKUP(F3119,CARTON_LOOKUP!$A:$E,4,0),"")</f>
      </c>
      <c r="I3119" s="28">
        <f>IFERROR(VLOOKUP(F3119,CARTON_LOOKUP!$A:$E,5,0),"")</f>
      </c>
      <c r="J3119" s="29">
        <f>IFERROR(VLOOKUP(F3119,CARTON_LOOKUP!$A:$E,2,0),"")</f>
      </c>
      <c r="K3119" s="29">
        <f>IFERROR(J3119*D3119,0)</f>
      </c>
      <c r="L3119" s="29">
        <f>IFERROR(E3119*C3119,0)</f>
      </c>
      <c r="M3119" s="29">
        <f>IFERROR((G3119*H3119*I3119/1000000)*D3119,0)</f>
      </c>
    </row>
    <row r="3120" spans="1:13" x14ac:dyDescent="0.25">
      <c r="A3120" s="16"/>
      <c r="E3120" s="27"/>
      <c r="F3120" t="s">
        <v>26</v>
      </c>
      <c r="G3120" s="28">
        <f>IFERROR(VLOOKUP(F3120,CARTON_LOOKUP!$A:$E,3,0),"")</f>
      </c>
      <c r="H3120" s="28">
        <f>IFERROR(VLOOKUP(F3120,CARTON_LOOKUP!$A:$E,4,0),"")</f>
      </c>
      <c r="I3120" s="28">
        <f>IFERROR(VLOOKUP(F3120,CARTON_LOOKUP!$A:$E,5,0),"")</f>
      </c>
      <c r="J3120" s="29">
        <f>IFERROR(VLOOKUP(F3120,CARTON_LOOKUP!$A:$E,2,0),"")</f>
      </c>
      <c r="K3120" s="29">
        <f>IFERROR(J3120*D3120,0)</f>
      </c>
      <c r="L3120" s="29">
        <f>IFERROR(E3120*C3120,0)</f>
      </c>
      <c r="M3120" s="29">
        <f>IFERROR((G3120*H3120*I3120/1000000)*D3120,0)</f>
      </c>
    </row>
    <row r="3121" spans="1:13" x14ac:dyDescent="0.25">
      <c r="A3121" s="16"/>
      <c r="E3121" s="27"/>
      <c r="F3121" t="s">
        <v>26</v>
      </c>
      <c r="G3121" s="28">
        <f>IFERROR(VLOOKUP(F3121,CARTON_LOOKUP!$A:$E,3,0),"")</f>
      </c>
      <c r="H3121" s="28">
        <f>IFERROR(VLOOKUP(F3121,CARTON_LOOKUP!$A:$E,4,0),"")</f>
      </c>
      <c r="I3121" s="28">
        <f>IFERROR(VLOOKUP(F3121,CARTON_LOOKUP!$A:$E,5,0),"")</f>
      </c>
      <c r="J3121" s="29">
        <f>IFERROR(VLOOKUP(F3121,CARTON_LOOKUP!$A:$E,2,0),"")</f>
      </c>
      <c r="K3121" s="29">
        <f>IFERROR(J3121*D3121,0)</f>
      </c>
      <c r="L3121" s="29">
        <f>IFERROR(E3121*C3121,0)</f>
      </c>
      <c r="M3121" s="29">
        <f>IFERROR((G3121*H3121*I3121/1000000)*D3121,0)</f>
      </c>
    </row>
    <row r="3122" spans="1:13" x14ac:dyDescent="0.25">
      <c r="A3122" s="16"/>
      <c r="E3122" s="27"/>
      <c r="F3122" t="s">
        <v>26</v>
      </c>
      <c r="G3122" s="28">
        <f>IFERROR(VLOOKUP(F3122,CARTON_LOOKUP!$A:$E,3,0),"")</f>
      </c>
      <c r="H3122" s="28">
        <f>IFERROR(VLOOKUP(F3122,CARTON_LOOKUP!$A:$E,4,0),"")</f>
      </c>
      <c r="I3122" s="28">
        <f>IFERROR(VLOOKUP(F3122,CARTON_LOOKUP!$A:$E,5,0),"")</f>
      </c>
      <c r="J3122" s="29">
        <f>IFERROR(VLOOKUP(F3122,CARTON_LOOKUP!$A:$E,2,0),"")</f>
      </c>
      <c r="K3122" s="29">
        <f>IFERROR(J3122*D3122,0)</f>
      </c>
      <c r="L3122" s="29">
        <f>IFERROR(E3122*C3122,0)</f>
      </c>
      <c r="M3122" s="29">
        <f>IFERROR((G3122*H3122*I3122/1000000)*D3122,0)</f>
      </c>
    </row>
    <row r="3123" spans="1:13" x14ac:dyDescent="0.25">
      <c r="A3123" s="16"/>
      <c r="E3123" s="27"/>
      <c r="F3123" t="s">
        <v>26</v>
      </c>
      <c r="G3123" s="28">
        <f>IFERROR(VLOOKUP(F3123,CARTON_LOOKUP!$A:$E,3,0),"")</f>
      </c>
      <c r="H3123" s="28">
        <f>IFERROR(VLOOKUP(F3123,CARTON_LOOKUP!$A:$E,4,0),"")</f>
      </c>
      <c r="I3123" s="28">
        <f>IFERROR(VLOOKUP(F3123,CARTON_LOOKUP!$A:$E,5,0),"")</f>
      </c>
      <c r="J3123" s="29">
        <f>IFERROR(VLOOKUP(F3123,CARTON_LOOKUP!$A:$E,2,0),"")</f>
      </c>
      <c r="K3123" s="29">
        <f>IFERROR(J3123*D3123,0)</f>
      </c>
      <c r="L3123" s="29">
        <f>IFERROR(E3123*C3123,0)</f>
      </c>
      <c r="M3123" s="29">
        <f>IFERROR((G3123*H3123*I3123/1000000)*D3123,0)</f>
      </c>
    </row>
    <row r="3124" spans="1:13" x14ac:dyDescent="0.25">
      <c r="A3124" s="16"/>
      <c r="E3124" s="27"/>
      <c r="F3124" t="s">
        <v>26</v>
      </c>
      <c r="G3124" s="28">
        <f>IFERROR(VLOOKUP(F3124,CARTON_LOOKUP!$A:$E,3,0),"")</f>
      </c>
      <c r="H3124" s="28">
        <f>IFERROR(VLOOKUP(F3124,CARTON_LOOKUP!$A:$E,4,0),"")</f>
      </c>
      <c r="I3124" s="28">
        <f>IFERROR(VLOOKUP(F3124,CARTON_LOOKUP!$A:$E,5,0),"")</f>
      </c>
      <c r="J3124" s="29">
        <f>IFERROR(VLOOKUP(F3124,CARTON_LOOKUP!$A:$E,2,0),"")</f>
      </c>
      <c r="K3124" s="29">
        <f>IFERROR(J3124*D3124,0)</f>
      </c>
      <c r="L3124" s="29">
        <f>IFERROR(E3124*C3124,0)</f>
      </c>
      <c r="M3124" s="29">
        <f>IFERROR((G3124*H3124*I3124/1000000)*D3124,0)</f>
      </c>
    </row>
    <row r="3125" spans="1:13" x14ac:dyDescent="0.25">
      <c r="A3125" s="16"/>
      <c r="E3125" s="27"/>
      <c r="F3125" t="s">
        <v>26</v>
      </c>
      <c r="G3125" s="28">
        <f>IFERROR(VLOOKUP(F3125,CARTON_LOOKUP!$A:$E,3,0),"")</f>
      </c>
      <c r="H3125" s="28">
        <f>IFERROR(VLOOKUP(F3125,CARTON_LOOKUP!$A:$E,4,0),"")</f>
      </c>
      <c r="I3125" s="28">
        <f>IFERROR(VLOOKUP(F3125,CARTON_LOOKUP!$A:$E,5,0),"")</f>
      </c>
      <c r="J3125" s="29">
        <f>IFERROR(VLOOKUP(F3125,CARTON_LOOKUP!$A:$E,2,0),"")</f>
      </c>
      <c r="K3125" s="29">
        <f>IFERROR(J3125*D3125,0)</f>
      </c>
      <c r="L3125" s="29">
        <f>IFERROR(E3125*C3125,0)</f>
      </c>
      <c r="M3125" s="29">
        <f>IFERROR((G3125*H3125*I3125/1000000)*D3125,0)</f>
      </c>
    </row>
    <row r="3126" spans="1:13" x14ac:dyDescent="0.25">
      <c r="A3126" s="16"/>
      <c r="E3126" s="27"/>
      <c r="F3126" t="s">
        <v>26</v>
      </c>
      <c r="G3126" s="28">
        <f>IFERROR(VLOOKUP(F3126,CARTON_LOOKUP!$A:$E,3,0),"")</f>
      </c>
      <c r="H3126" s="28">
        <f>IFERROR(VLOOKUP(F3126,CARTON_LOOKUP!$A:$E,4,0),"")</f>
      </c>
      <c r="I3126" s="28">
        <f>IFERROR(VLOOKUP(F3126,CARTON_LOOKUP!$A:$E,5,0),"")</f>
      </c>
      <c r="J3126" s="29">
        <f>IFERROR(VLOOKUP(F3126,CARTON_LOOKUP!$A:$E,2,0),"")</f>
      </c>
      <c r="K3126" s="29">
        <f>IFERROR(J3126*D3126,0)</f>
      </c>
      <c r="L3126" s="29">
        <f>IFERROR(E3126*C3126,0)</f>
      </c>
      <c r="M3126" s="29">
        <f>IFERROR((G3126*H3126*I3126/1000000)*D3126,0)</f>
      </c>
    </row>
    <row r="3127" spans="1:13" x14ac:dyDescent="0.25">
      <c r="A3127" s="16"/>
      <c r="E3127" s="27"/>
      <c r="F3127" t="s">
        <v>26</v>
      </c>
      <c r="G3127" s="28">
        <f>IFERROR(VLOOKUP(F3127,CARTON_LOOKUP!$A:$E,3,0),"")</f>
      </c>
      <c r="H3127" s="28">
        <f>IFERROR(VLOOKUP(F3127,CARTON_LOOKUP!$A:$E,4,0),"")</f>
      </c>
      <c r="I3127" s="28">
        <f>IFERROR(VLOOKUP(F3127,CARTON_LOOKUP!$A:$E,5,0),"")</f>
      </c>
      <c r="J3127" s="29">
        <f>IFERROR(VLOOKUP(F3127,CARTON_LOOKUP!$A:$E,2,0),"")</f>
      </c>
      <c r="K3127" s="29">
        <f>IFERROR(J3127*D3127,0)</f>
      </c>
      <c r="L3127" s="29">
        <f>IFERROR(E3127*C3127,0)</f>
      </c>
      <c r="M3127" s="29">
        <f>IFERROR((G3127*H3127*I3127/1000000)*D3127,0)</f>
      </c>
    </row>
    <row r="3128" spans="1:13" x14ac:dyDescent="0.25">
      <c r="A3128" s="16"/>
      <c r="E3128" s="27"/>
      <c r="F3128" t="s">
        <v>26</v>
      </c>
      <c r="G3128" s="28">
        <f>IFERROR(VLOOKUP(F3128,CARTON_LOOKUP!$A:$E,3,0),"")</f>
      </c>
      <c r="H3128" s="28">
        <f>IFERROR(VLOOKUP(F3128,CARTON_LOOKUP!$A:$E,4,0),"")</f>
      </c>
      <c r="I3128" s="28">
        <f>IFERROR(VLOOKUP(F3128,CARTON_LOOKUP!$A:$E,5,0),"")</f>
      </c>
      <c r="J3128" s="29">
        <f>IFERROR(VLOOKUP(F3128,CARTON_LOOKUP!$A:$E,2,0),"")</f>
      </c>
      <c r="K3128" s="29">
        <f>IFERROR(J3128*D3128,0)</f>
      </c>
      <c r="L3128" s="29">
        <f>IFERROR(E3128*C3128,0)</f>
      </c>
      <c r="M3128" s="29">
        <f>IFERROR((G3128*H3128*I3128/1000000)*D3128,0)</f>
      </c>
    </row>
    <row r="3129" spans="1:13" x14ac:dyDescent="0.25">
      <c r="A3129" s="16"/>
      <c r="E3129" s="27"/>
      <c r="F3129" t="s">
        <v>26</v>
      </c>
      <c r="G3129" s="28">
        <f>IFERROR(VLOOKUP(F3129,CARTON_LOOKUP!$A:$E,3,0),"")</f>
      </c>
      <c r="H3129" s="28">
        <f>IFERROR(VLOOKUP(F3129,CARTON_LOOKUP!$A:$E,4,0),"")</f>
      </c>
      <c r="I3129" s="28">
        <f>IFERROR(VLOOKUP(F3129,CARTON_LOOKUP!$A:$E,5,0),"")</f>
      </c>
      <c r="J3129" s="29">
        <f>IFERROR(VLOOKUP(F3129,CARTON_LOOKUP!$A:$E,2,0),"")</f>
      </c>
      <c r="K3129" s="29">
        <f>IFERROR(J3129*D3129,0)</f>
      </c>
      <c r="L3129" s="29">
        <f>IFERROR(E3129*C3129,0)</f>
      </c>
      <c r="M3129" s="29">
        <f>IFERROR((G3129*H3129*I3129/1000000)*D3129,0)</f>
      </c>
    </row>
    <row r="3130" spans="1:13" x14ac:dyDescent="0.25">
      <c r="A3130" s="16"/>
      <c r="E3130" s="27"/>
      <c r="F3130" t="s">
        <v>26</v>
      </c>
      <c r="G3130" s="28">
        <f>IFERROR(VLOOKUP(F3130,CARTON_LOOKUP!$A:$E,3,0),"")</f>
      </c>
      <c r="H3130" s="28">
        <f>IFERROR(VLOOKUP(F3130,CARTON_LOOKUP!$A:$E,4,0),"")</f>
      </c>
      <c r="I3130" s="28">
        <f>IFERROR(VLOOKUP(F3130,CARTON_LOOKUP!$A:$E,5,0),"")</f>
      </c>
      <c r="J3130" s="29">
        <f>IFERROR(VLOOKUP(F3130,CARTON_LOOKUP!$A:$E,2,0),"")</f>
      </c>
      <c r="K3130" s="29">
        <f>IFERROR(J3130*D3130,0)</f>
      </c>
      <c r="L3130" s="29">
        <f>IFERROR(E3130*C3130,0)</f>
      </c>
      <c r="M3130" s="29">
        <f>IFERROR((G3130*H3130*I3130/1000000)*D3130,0)</f>
      </c>
    </row>
    <row r="3131" spans="1:13" x14ac:dyDescent="0.25">
      <c r="A3131" s="16"/>
      <c r="E3131" s="27"/>
      <c r="F3131" t="s">
        <v>26</v>
      </c>
      <c r="G3131" s="28">
        <f>IFERROR(VLOOKUP(F3131,CARTON_LOOKUP!$A:$E,3,0),"")</f>
      </c>
      <c r="H3131" s="28">
        <f>IFERROR(VLOOKUP(F3131,CARTON_LOOKUP!$A:$E,4,0),"")</f>
      </c>
      <c r="I3131" s="28">
        <f>IFERROR(VLOOKUP(F3131,CARTON_LOOKUP!$A:$E,5,0),"")</f>
      </c>
      <c r="J3131" s="29">
        <f>IFERROR(VLOOKUP(F3131,CARTON_LOOKUP!$A:$E,2,0),"")</f>
      </c>
      <c r="K3131" s="29">
        <f>IFERROR(J3131*D3131,0)</f>
      </c>
      <c r="L3131" s="29">
        <f>IFERROR(E3131*C3131,0)</f>
      </c>
      <c r="M3131" s="29">
        <f>IFERROR((G3131*H3131*I3131/1000000)*D3131,0)</f>
      </c>
    </row>
    <row r="3132" spans="1:13" x14ac:dyDescent="0.25">
      <c r="A3132" s="16"/>
      <c r="E3132" s="27"/>
      <c r="F3132" t="s">
        <v>26</v>
      </c>
      <c r="G3132" s="28">
        <f>IFERROR(VLOOKUP(F3132,CARTON_LOOKUP!$A:$E,3,0),"")</f>
      </c>
      <c r="H3132" s="28">
        <f>IFERROR(VLOOKUP(F3132,CARTON_LOOKUP!$A:$E,4,0),"")</f>
      </c>
      <c r="I3132" s="28">
        <f>IFERROR(VLOOKUP(F3132,CARTON_LOOKUP!$A:$E,5,0),"")</f>
      </c>
      <c r="J3132" s="29">
        <f>IFERROR(VLOOKUP(F3132,CARTON_LOOKUP!$A:$E,2,0),"")</f>
      </c>
      <c r="K3132" s="29">
        <f>IFERROR(J3132*D3132,0)</f>
      </c>
      <c r="L3132" s="29">
        <f>IFERROR(E3132*C3132,0)</f>
      </c>
      <c r="M3132" s="29">
        <f>IFERROR((G3132*H3132*I3132/1000000)*D3132,0)</f>
      </c>
    </row>
    <row r="3133" spans="1:13" x14ac:dyDescent="0.25">
      <c r="A3133" s="16"/>
      <c r="E3133" s="27"/>
      <c r="F3133" t="s">
        <v>26</v>
      </c>
      <c r="G3133" s="28">
        <f>IFERROR(VLOOKUP(F3133,CARTON_LOOKUP!$A:$E,3,0),"")</f>
      </c>
      <c r="H3133" s="28">
        <f>IFERROR(VLOOKUP(F3133,CARTON_LOOKUP!$A:$E,4,0),"")</f>
      </c>
      <c r="I3133" s="28">
        <f>IFERROR(VLOOKUP(F3133,CARTON_LOOKUP!$A:$E,5,0),"")</f>
      </c>
      <c r="J3133" s="29">
        <f>IFERROR(VLOOKUP(F3133,CARTON_LOOKUP!$A:$E,2,0),"")</f>
      </c>
      <c r="K3133" s="29">
        <f>IFERROR(J3133*D3133,0)</f>
      </c>
      <c r="L3133" s="29">
        <f>IFERROR(E3133*C3133,0)</f>
      </c>
      <c r="M3133" s="29">
        <f>IFERROR((G3133*H3133*I3133/1000000)*D3133,0)</f>
      </c>
    </row>
    <row r="3134" spans="1:13" x14ac:dyDescent="0.25">
      <c r="A3134" s="16"/>
      <c r="E3134" s="27"/>
      <c r="F3134" t="s">
        <v>26</v>
      </c>
      <c r="G3134" s="28">
        <f>IFERROR(VLOOKUP(F3134,CARTON_LOOKUP!$A:$E,3,0),"")</f>
      </c>
      <c r="H3134" s="28">
        <f>IFERROR(VLOOKUP(F3134,CARTON_LOOKUP!$A:$E,4,0),"")</f>
      </c>
      <c r="I3134" s="28">
        <f>IFERROR(VLOOKUP(F3134,CARTON_LOOKUP!$A:$E,5,0),"")</f>
      </c>
      <c r="J3134" s="29">
        <f>IFERROR(VLOOKUP(F3134,CARTON_LOOKUP!$A:$E,2,0),"")</f>
      </c>
      <c r="K3134" s="29">
        <f>IFERROR(J3134*D3134,0)</f>
      </c>
      <c r="L3134" s="29">
        <f>IFERROR(E3134*C3134,0)</f>
      </c>
      <c r="M3134" s="29">
        <f>IFERROR((G3134*H3134*I3134/1000000)*D3134,0)</f>
      </c>
    </row>
    <row r="3135" spans="1:13" x14ac:dyDescent="0.25">
      <c r="A3135" s="16"/>
      <c r="E3135" s="27"/>
      <c r="F3135" t="s">
        <v>26</v>
      </c>
      <c r="G3135" s="28">
        <f>IFERROR(VLOOKUP(F3135,CARTON_LOOKUP!$A:$E,3,0),"")</f>
      </c>
      <c r="H3135" s="28">
        <f>IFERROR(VLOOKUP(F3135,CARTON_LOOKUP!$A:$E,4,0),"")</f>
      </c>
      <c r="I3135" s="28">
        <f>IFERROR(VLOOKUP(F3135,CARTON_LOOKUP!$A:$E,5,0),"")</f>
      </c>
      <c r="J3135" s="29">
        <f>IFERROR(VLOOKUP(F3135,CARTON_LOOKUP!$A:$E,2,0),"")</f>
      </c>
      <c r="K3135" s="29">
        <f>IFERROR(J3135*D3135,0)</f>
      </c>
      <c r="L3135" s="29">
        <f>IFERROR(E3135*C3135,0)</f>
      </c>
      <c r="M3135" s="29">
        <f>IFERROR((G3135*H3135*I3135/1000000)*D3135,0)</f>
      </c>
    </row>
    <row r="3136" spans="1:13" x14ac:dyDescent="0.25">
      <c r="A3136" s="16"/>
      <c r="E3136" s="27"/>
      <c r="F3136" t="s">
        <v>26</v>
      </c>
      <c r="G3136" s="28">
        <f>IFERROR(VLOOKUP(F3136,CARTON_LOOKUP!$A:$E,3,0),"")</f>
      </c>
      <c r="H3136" s="28">
        <f>IFERROR(VLOOKUP(F3136,CARTON_LOOKUP!$A:$E,4,0),"")</f>
      </c>
      <c r="I3136" s="28">
        <f>IFERROR(VLOOKUP(F3136,CARTON_LOOKUP!$A:$E,5,0),"")</f>
      </c>
      <c r="J3136" s="29">
        <f>IFERROR(VLOOKUP(F3136,CARTON_LOOKUP!$A:$E,2,0),"")</f>
      </c>
      <c r="K3136" s="29">
        <f>IFERROR(J3136*D3136,0)</f>
      </c>
      <c r="L3136" s="29">
        <f>IFERROR(E3136*C3136,0)</f>
      </c>
      <c r="M3136" s="29">
        <f>IFERROR((G3136*H3136*I3136/1000000)*D3136,0)</f>
      </c>
    </row>
    <row r="3137" spans="1:13" x14ac:dyDescent="0.25">
      <c r="A3137" s="16"/>
      <c r="E3137" s="27"/>
      <c r="F3137" t="s">
        <v>26</v>
      </c>
      <c r="G3137" s="28">
        <f>IFERROR(VLOOKUP(F3137,CARTON_LOOKUP!$A:$E,3,0),"")</f>
      </c>
      <c r="H3137" s="28">
        <f>IFERROR(VLOOKUP(F3137,CARTON_LOOKUP!$A:$E,4,0),"")</f>
      </c>
      <c r="I3137" s="28">
        <f>IFERROR(VLOOKUP(F3137,CARTON_LOOKUP!$A:$E,5,0),"")</f>
      </c>
      <c r="J3137" s="29">
        <f>IFERROR(VLOOKUP(F3137,CARTON_LOOKUP!$A:$E,2,0),"")</f>
      </c>
      <c r="K3137" s="29">
        <f>IFERROR(J3137*D3137,0)</f>
      </c>
      <c r="L3137" s="29">
        <f>IFERROR(E3137*C3137,0)</f>
      </c>
      <c r="M3137" s="29">
        <f>IFERROR((G3137*H3137*I3137/1000000)*D3137,0)</f>
      </c>
    </row>
    <row r="3138" spans="1:13" x14ac:dyDescent="0.25">
      <c r="A3138" s="16"/>
      <c r="E3138" s="27"/>
      <c r="F3138" t="s">
        <v>26</v>
      </c>
      <c r="G3138" s="28">
        <f>IFERROR(VLOOKUP(F3138,CARTON_LOOKUP!$A:$E,3,0),"")</f>
      </c>
      <c r="H3138" s="28">
        <f>IFERROR(VLOOKUP(F3138,CARTON_LOOKUP!$A:$E,4,0),"")</f>
      </c>
      <c r="I3138" s="28">
        <f>IFERROR(VLOOKUP(F3138,CARTON_LOOKUP!$A:$E,5,0),"")</f>
      </c>
      <c r="J3138" s="29">
        <f>IFERROR(VLOOKUP(F3138,CARTON_LOOKUP!$A:$E,2,0),"")</f>
      </c>
      <c r="K3138" s="29">
        <f>IFERROR(J3138*D3138,0)</f>
      </c>
      <c r="L3138" s="29">
        <f>IFERROR(E3138*C3138,0)</f>
      </c>
      <c r="M3138" s="29">
        <f>IFERROR((G3138*H3138*I3138/1000000)*D3138,0)</f>
      </c>
    </row>
    <row r="3139" spans="1:13" x14ac:dyDescent="0.25">
      <c r="A3139" s="16"/>
      <c r="E3139" s="27"/>
      <c r="F3139" t="s">
        <v>26</v>
      </c>
      <c r="G3139" s="28">
        <f>IFERROR(VLOOKUP(F3139,CARTON_LOOKUP!$A:$E,3,0),"")</f>
      </c>
      <c r="H3139" s="28">
        <f>IFERROR(VLOOKUP(F3139,CARTON_LOOKUP!$A:$E,4,0),"")</f>
      </c>
      <c r="I3139" s="28">
        <f>IFERROR(VLOOKUP(F3139,CARTON_LOOKUP!$A:$E,5,0),"")</f>
      </c>
      <c r="J3139" s="29">
        <f>IFERROR(VLOOKUP(F3139,CARTON_LOOKUP!$A:$E,2,0),"")</f>
      </c>
      <c r="K3139" s="29">
        <f>IFERROR(J3139*D3139,0)</f>
      </c>
      <c r="L3139" s="29">
        <f>IFERROR(E3139*C3139,0)</f>
      </c>
      <c r="M3139" s="29">
        <f>IFERROR((G3139*H3139*I3139/1000000)*D3139,0)</f>
      </c>
    </row>
    <row r="3140" spans="1:13" x14ac:dyDescent="0.25">
      <c r="A3140" s="16"/>
      <c r="E3140" s="27"/>
      <c r="F3140" t="s">
        <v>26</v>
      </c>
      <c r="G3140" s="28">
        <f>IFERROR(VLOOKUP(F3140,CARTON_LOOKUP!$A:$E,3,0),"")</f>
      </c>
      <c r="H3140" s="28">
        <f>IFERROR(VLOOKUP(F3140,CARTON_LOOKUP!$A:$E,4,0),"")</f>
      </c>
      <c r="I3140" s="28">
        <f>IFERROR(VLOOKUP(F3140,CARTON_LOOKUP!$A:$E,5,0),"")</f>
      </c>
      <c r="J3140" s="29">
        <f>IFERROR(VLOOKUP(F3140,CARTON_LOOKUP!$A:$E,2,0),"")</f>
      </c>
      <c r="K3140" s="29">
        <f>IFERROR(J3140*D3140,0)</f>
      </c>
      <c r="L3140" s="29">
        <f>IFERROR(E3140*C3140,0)</f>
      </c>
      <c r="M3140" s="29">
        <f>IFERROR((G3140*H3140*I3140/1000000)*D3140,0)</f>
      </c>
    </row>
    <row r="3141" spans="1:13" x14ac:dyDescent="0.25">
      <c r="A3141" s="16"/>
      <c r="E3141" s="27"/>
      <c r="F3141" t="s">
        <v>26</v>
      </c>
      <c r="G3141" s="28">
        <f>IFERROR(VLOOKUP(F3141,CARTON_LOOKUP!$A:$E,3,0),"")</f>
      </c>
      <c r="H3141" s="28">
        <f>IFERROR(VLOOKUP(F3141,CARTON_LOOKUP!$A:$E,4,0),"")</f>
      </c>
      <c r="I3141" s="28">
        <f>IFERROR(VLOOKUP(F3141,CARTON_LOOKUP!$A:$E,5,0),"")</f>
      </c>
      <c r="J3141" s="29">
        <f>IFERROR(VLOOKUP(F3141,CARTON_LOOKUP!$A:$E,2,0),"")</f>
      </c>
      <c r="K3141" s="29">
        <f>IFERROR(J3141*D3141,0)</f>
      </c>
      <c r="L3141" s="29">
        <f>IFERROR(E3141*C3141,0)</f>
      </c>
      <c r="M3141" s="29">
        <f>IFERROR((G3141*H3141*I3141/1000000)*D3141,0)</f>
      </c>
    </row>
    <row r="3142" spans="1:13" x14ac:dyDescent="0.25">
      <c r="A3142" s="16"/>
      <c r="E3142" s="27"/>
      <c r="F3142" t="s">
        <v>26</v>
      </c>
      <c r="G3142" s="28">
        <f>IFERROR(VLOOKUP(F3142,CARTON_LOOKUP!$A:$E,3,0),"")</f>
      </c>
      <c r="H3142" s="28">
        <f>IFERROR(VLOOKUP(F3142,CARTON_LOOKUP!$A:$E,4,0),"")</f>
      </c>
      <c r="I3142" s="28">
        <f>IFERROR(VLOOKUP(F3142,CARTON_LOOKUP!$A:$E,5,0),"")</f>
      </c>
      <c r="J3142" s="29">
        <f>IFERROR(VLOOKUP(F3142,CARTON_LOOKUP!$A:$E,2,0),"")</f>
      </c>
      <c r="K3142" s="29">
        <f>IFERROR(J3142*D3142,0)</f>
      </c>
      <c r="L3142" s="29">
        <f>IFERROR(E3142*C3142,0)</f>
      </c>
      <c r="M3142" s="29">
        <f>IFERROR((G3142*H3142*I3142/1000000)*D3142,0)</f>
      </c>
    </row>
    <row r="3143" spans="1:13" x14ac:dyDescent="0.25">
      <c r="A3143" s="16"/>
      <c r="E3143" s="27"/>
      <c r="F3143" t="s">
        <v>26</v>
      </c>
      <c r="G3143" s="28">
        <f>IFERROR(VLOOKUP(F3143,CARTON_LOOKUP!$A:$E,3,0),"")</f>
      </c>
      <c r="H3143" s="28">
        <f>IFERROR(VLOOKUP(F3143,CARTON_LOOKUP!$A:$E,4,0),"")</f>
      </c>
      <c r="I3143" s="28">
        <f>IFERROR(VLOOKUP(F3143,CARTON_LOOKUP!$A:$E,5,0),"")</f>
      </c>
      <c r="J3143" s="29">
        <f>IFERROR(VLOOKUP(F3143,CARTON_LOOKUP!$A:$E,2,0),"")</f>
      </c>
      <c r="K3143" s="29">
        <f>IFERROR(J3143*D3143,0)</f>
      </c>
      <c r="L3143" s="29">
        <f>IFERROR(E3143*C3143,0)</f>
      </c>
      <c r="M3143" s="29">
        <f>IFERROR((G3143*H3143*I3143/1000000)*D3143,0)</f>
      </c>
    </row>
    <row r="3144" spans="1:13" x14ac:dyDescent="0.25">
      <c r="A3144" s="16"/>
      <c r="E3144" s="27"/>
      <c r="F3144" t="s">
        <v>26</v>
      </c>
      <c r="G3144" s="28">
        <f>IFERROR(VLOOKUP(F3144,CARTON_LOOKUP!$A:$E,3,0),"")</f>
      </c>
      <c r="H3144" s="28">
        <f>IFERROR(VLOOKUP(F3144,CARTON_LOOKUP!$A:$E,4,0),"")</f>
      </c>
      <c r="I3144" s="28">
        <f>IFERROR(VLOOKUP(F3144,CARTON_LOOKUP!$A:$E,5,0),"")</f>
      </c>
      <c r="J3144" s="29">
        <f>IFERROR(VLOOKUP(F3144,CARTON_LOOKUP!$A:$E,2,0),"")</f>
      </c>
      <c r="K3144" s="29">
        <f>IFERROR(J3144*D3144,0)</f>
      </c>
      <c r="L3144" s="29">
        <f>IFERROR(E3144*C3144,0)</f>
      </c>
      <c r="M3144" s="29">
        <f>IFERROR((G3144*H3144*I3144/1000000)*D3144,0)</f>
      </c>
    </row>
    <row r="3145" spans="1:13" x14ac:dyDescent="0.25">
      <c r="A3145" s="16"/>
      <c r="E3145" s="27"/>
      <c r="F3145" t="s">
        <v>26</v>
      </c>
      <c r="G3145" s="28">
        <f>IFERROR(VLOOKUP(F3145,CARTON_LOOKUP!$A:$E,3,0),"")</f>
      </c>
      <c r="H3145" s="28">
        <f>IFERROR(VLOOKUP(F3145,CARTON_LOOKUP!$A:$E,4,0),"")</f>
      </c>
      <c r="I3145" s="28">
        <f>IFERROR(VLOOKUP(F3145,CARTON_LOOKUP!$A:$E,5,0),"")</f>
      </c>
      <c r="J3145" s="29">
        <f>IFERROR(VLOOKUP(F3145,CARTON_LOOKUP!$A:$E,2,0),"")</f>
      </c>
      <c r="K3145" s="29">
        <f>IFERROR(J3145*D3145,0)</f>
      </c>
      <c r="L3145" s="29">
        <f>IFERROR(E3145*C3145,0)</f>
      </c>
      <c r="M3145" s="29">
        <f>IFERROR((G3145*H3145*I3145/1000000)*D3145,0)</f>
      </c>
    </row>
    <row r="3146" spans="1:13" x14ac:dyDescent="0.25">
      <c r="A3146" s="16"/>
      <c r="E3146" s="27"/>
      <c r="F3146" t="s">
        <v>26</v>
      </c>
      <c r="G3146" s="28">
        <f>IFERROR(VLOOKUP(F3146,CARTON_LOOKUP!$A:$E,3,0),"")</f>
      </c>
      <c r="H3146" s="28">
        <f>IFERROR(VLOOKUP(F3146,CARTON_LOOKUP!$A:$E,4,0),"")</f>
      </c>
      <c r="I3146" s="28">
        <f>IFERROR(VLOOKUP(F3146,CARTON_LOOKUP!$A:$E,5,0),"")</f>
      </c>
      <c r="J3146" s="29">
        <f>IFERROR(VLOOKUP(F3146,CARTON_LOOKUP!$A:$E,2,0),"")</f>
      </c>
      <c r="K3146" s="29">
        <f>IFERROR(J3146*D3146,0)</f>
      </c>
      <c r="L3146" s="29">
        <f>IFERROR(E3146*C3146,0)</f>
      </c>
      <c r="M3146" s="29">
        <f>IFERROR((G3146*H3146*I3146/1000000)*D3146,0)</f>
      </c>
    </row>
    <row r="3147" spans="1:13" x14ac:dyDescent="0.25">
      <c r="A3147" s="16"/>
      <c r="E3147" s="27"/>
      <c r="F3147" t="s">
        <v>26</v>
      </c>
      <c r="G3147" s="28">
        <f>IFERROR(VLOOKUP(F3147,CARTON_LOOKUP!$A:$E,3,0),"")</f>
      </c>
      <c r="H3147" s="28">
        <f>IFERROR(VLOOKUP(F3147,CARTON_LOOKUP!$A:$E,4,0),"")</f>
      </c>
      <c r="I3147" s="28">
        <f>IFERROR(VLOOKUP(F3147,CARTON_LOOKUP!$A:$E,5,0),"")</f>
      </c>
      <c r="J3147" s="29">
        <f>IFERROR(VLOOKUP(F3147,CARTON_LOOKUP!$A:$E,2,0),"")</f>
      </c>
      <c r="K3147" s="29">
        <f>IFERROR(J3147*D3147,0)</f>
      </c>
      <c r="L3147" s="29">
        <f>IFERROR(E3147*C3147,0)</f>
      </c>
      <c r="M3147" s="29">
        <f>IFERROR((G3147*H3147*I3147/1000000)*D3147,0)</f>
      </c>
    </row>
    <row r="3148" spans="1:13" x14ac:dyDescent="0.25">
      <c r="A3148" s="16"/>
      <c r="E3148" s="27"/>
      <c r="F3148" t="s">
        <v>26</v>
      </c>
      <c r="G3148" s="28">
        <f>IFERROR(VLOOKUP(F3148,CARTON_LOOKUP!$A:$E,3,0),"")</f>
      </c>
      <c r="H3148" s="28">
        <f>IFERROR(VLOOKUP(F3148,CARTON_LOOKUP!$A:$E,4,0),"")</f>
      </c>
      <c r="I3148" s="28">
        <f>IFERROR(VLOOKUP(F3148,CARTON_LOOKUP!$A:$E,5,0),"")</f>
      </c>
      <c r="J3148" s="29">
        <f>IFERROR(VLOOKUP(F3148,CARTON_LOOKUP!$A:$E,2,0),"")</f>
      </c>
      <c r="K3148" s="29">
        <f>IFERROR(J3148*D3148,0)</f>
      </c>
      <c r="L3148" s="29">
        <f>IFERROR(E3148*C3148,0)</f>
      </c>
      <c r="M3148" s="29">
        <f>IFERROR((G3148*H3148*I3148/1000000)*D3148,0)</f>
      </c>
    </row>
    <row r="3149" spans="1:13" x14ac:dyDescent="0.25">
      <c r="A3149" s="16"/>
      <c r="E3149" s="27"/>
      <c r="F3149" t="s">
        <v>26</v>
      </c>
      <c r="G3149" s="28">
        <f>IFERROR(VLOOKUP(F3149,CARTON_LOOKUP!$A:$E,3,0),"")</f>
      </c>
      <c r="H3149" s="28">
        <f>IFERROR(VLOOKUP(F3149,CARTON_LOOKUP!$A:$E,4,0),"")</f>
      </c>
      <c r="I3149" s="28">
        <f>IFERROR(VLOOKUP(F3149,CARTON_LOOKUP!$A:$E,5,0),"")</f>
      </c>
      <c r="J3149" s="29">
        <f>IFERROR(VLOOKUP(F3149,CARTON_LOOKUP!$A:$E,2,0),"")</f>
      </c>
      <c r="K3149" s="29">
        <f>IFERROR(J3149*D3149,0)</f>
      </c>
      <c r="L3149" s="29">
        <f>IFERROR(E3149*C3149,0)</f>
      </c>
      <c r="M3149" s="29">
        <f>IFERROR((G3149*H3149*I3149/1000000)*D3149,0)</f>
      </c>
    </row>
    <row r="3150" spans="1:13" x14ac:dyDescent="0.25">
      <c r="A3150" s="16"/>
      <c r="E3150" s="27"/>
      <c r="F3150" t="s">
        <v>26</v>
      </c>
      <c r="G3150" s="28">
        <f>IFERROR(VLOOKUP(F3150,CARTON_LOOKUP!$A:$E,3,0),"")</f>
      </c>
      <c r="H3150" s="28">
        <f>IFERROR(VLOOKUP(F3150,CARTON_LOOKUP!$A:$E,4,0),"")</f>
      </c>
      <c r="I3150" s="28">
        <f>IFERROR(VLOOKUP(F3150,CARTON_LOOKUP!$A:$E,5,0),"")</f>
      </c>
      <c r="J3150" s="29">
        <f>IFERROR(VLOOKUP(F3150,CARTON_LOOKUP!$A:$E,2,0),"")</f>
      </c>
      <c r="K3150" s="29">
        <f>IFERROR(J3150*D3150,0)</f>
      </c>
      <c r="L3150" s="29">
        <f>IFERROR(E3150*C3150,0)</f>
      </c>
      <c r="M3150" s="29">
        <f>IFERROR((G3150*H3150*I3150/1000000)*D3150,0)</f>
      </c>
    </row>
    <row r="3151" spans="1:13" x14ac:dyDescent="0.25">
      <c r="A3151" s="16"/>
      <c r="E3151" s="27"/>
      <c r="F3151" t="s">
        <v>26</v>
      </c>
      <c r="G3151" s="28">
        <f>IFERROR(VLOOKUP(F3151,CARTON_LOOKUP!$A:$E,3,0),"")</f>
      </c>
      <c r="H3151" s="28">
        <f>IFERROR(VLOOKUP(F3151,CARTON_LOOKUP!$A:$E,4,0),"")</f>
      </c>
      <c r="I3151" s="28">
        <f>IFERROR(VLOOKUP(F3151,CARTON_LOOKUP!$A:$E,5,0),"")</f>
      </c>
      <c r="J3151" s="29">
        <f>IFERROR(VLOOKUP(F3151,CARTON_LOOKUP!$A:$E,2,0),"")</f>
      </c>
      <c r="K3151" s="29">
        <f>IFERROR(J3151*D3151,0)</f>
      </c>
      <c r="L3151" s="29">
        <f>IFERROR(E3151*C3151,0)</f>
      </c>
      <c r="M3151" s="29">
        <f>IFERROR((G3151*H3151*I3151/1000000)*D3151,0)</f>
      </c>
    </row>
    <row r="3152" spans="1:13" x14ac:dyDescent="0.25">
      <c r="A3152" s="16"/>
      <c r="E3152" s="27"/>
      <c r="F3152" t="s">
        <v>26</v>
      </c>
      <c r="G3152" s="28">
        <f>IFERROR(VLOOKUP(F3152,CARTON_LOOKUP!$A:$E,3,0),"")</f>
      </c>
      <c r="H3152" s="28">
        <f>IFERROR(VLOOKUP(F3152,CARTON_LOOKUP!$A:$E,4,0),"")</f>
      </c>
      <c r="I3152" s="28">
        <f>IFERROR(VLOOKUP(F3152,CARTON_LOOKUP!$A:$E,5,0),"")</f>
      </c>
      <c r="J3152" s="29">
        <f>IFERROR(VLOOKUP(F3152,CARTON_LOOKUP!$A:$E,2,0),"")</f>
      </c>
      <c r="K3152" s="29">
        <f>IFERROR(J3152*D3152,0)</f>
      </c>
      <c r="L3152" s="29">
        <f>IFERROR(E3152*C3152,0)</f>
      </c>
      <c r="M3152" s="29">
        <f>IFERROR((G3152*H3152*I3152/1000000)*D3152,0)</f>
      </c>
    </row>
    <row r="3153" spans="1:13" x14ac:dyDescent="0.25">
      <c r="A3153" s="16"/>
      <c r="E3153" s="27"/>
      <c r="F3153" t="s">
        <v>26</v>
      </c>
      <c r="G3153" s="28">
        <f>IFERROR(VLOOKUP(F3153,CARTON_LOOKUP!$A:$E,3,0),"")</f>
      </c>
      <c r="H3153" s="28">
        <f>IFERROR(VLOOKUP(F3153,CARTON_LOOKUP!$A:$E,4,0),"")</f>
      </c>
      <c r="I3153" s="28">
        <f>IFERROR(VLOOKUP(F3153,CARTON_LOOKUP!$A:$E,5,0),"")</f>
      </c>
      <c r="J3153" s="29">
        <f>IFERROR(VLOOKUP(F3153,CARTON_LOOKUP!$A:$E,2,0),"")</f>
      </c>
      <c r="K3153" s="29">
        <f>IFERROR(J3153*D3153,0)</f>
      </c>
      <c r="L3153" s="29">
        <f>IFERROR(E3153*C3153,0)</f>
      </c>
      <c r="M3153" s="29">
        <f>IFERROR((G3153*H3153*I3153/1000000)*D3153,0)</f>
      </c>
    </row>
    <row r="3154" spans="1:13" x14ac:dyDescent="0.25">
      <c r="A3154" s="16"/>
      <c r="E3154" s="27"/>
      <c r="F3154" t="s">
        <v>26</v>
      </c>
      <c r="G3154" s="28">
        <f>IFERROR(VLOOKUP(F3154,CARTON_LOOKUP!$A:$E,3,0),"")</f>
      </c>
      <c r="H3154" s="28">
        <f>IFERROR(VLOOKUP(F3154,CARTON_LOOKUP!$A:$E,4,0),"")</f>
      </c>
      <c r="I3154" s="28">
        <f>IFERROR(VLOOKUP(F3154,CARTON_LOOKUP!$A:$E,5,0),"")</f>
      </c>
      <c r="J3154" s="29">
        <f>IFERROR(VLOOKUP(F3154,CARTON_LOOKUP!$A:$E,2,0),"")</f>
      </c>
      <c r="K3154" s="29">
        <f>IFERROR(J3154*D3154,0)</f>
      </c>
      <c r="L3154" s="29">
        <f>IFERROR(E3154*C3154,0)</f>
      </c>
      <c r="M3154" s="29">
        <f>IFERROR((G3154*H3154*I3154/1000000)*D3154,0)</f>
      </c>
    </row>
    <row r="3155" spans="1:13" x14ac:dyDescent="0.25">
      <c r="A3155" s="16"/>
      <c r="E3155" s="27"/>
      <c r="F3155" t="s">
        <v>26</v>
      </c>
      <c r="G3155" s="28">
        <f>IFERROR(VLOOKUP(F3155,CARTON_LOOKUP!$A:$E,3,0),"")</f>
      </c>
      <c r="H3155" s="28">
        <f>IFERROR(VLOOKUP(F3155,CARTON_LOOKUP!$A:$E,4,0),"")</f>
      </c>
      <c r="I3155" s="28">
        <f>IFERROR(VLOOKUP(F3155,CARTON_LOOKUP!$A:$E,5,0),"")</f>
      </c>
      <c r="J3155" s="29">
        <f>IFERROR(VLOOKUP(F3155,CARTON_LOOKUP!$A:$E,2,0),"")</f>
      </c>
      <c r="K3155" s="29">
        <f>IFERROR(J3155*D3155,0)</f>
      </c>
      <c r="L3155" s="29">
        <f>IFERROR(E3155*C3155,0)</f>
      </c>
      <c r="M3155" s="29">
        <f>IFERROR((G3155*H3155*I3155/1000000)*D3155,0)</f>
      </c>
    </row>
    <row r="3156" spans="1:13" x14ac:dyDescent="0.25">
      <c r="A3156" s="16"/>
      <c r="E3156" s="27"/>
      <c r="F3156" t="s">
        <v>26</v>
      </c>
      <c r="G3156" s="28">
        <f>IFERROR(VLOOKUP(F3156,CARTON_LOOKUP!$A:$E,3,0),"")</f>
      </c>
      <c r="H3156" s="28">
        <f>IFERROR(VLOOKUP(F3156,CARTON_LOOKUP!$A:$E,4,0),"")</f>
      </c>
      <c r="I3156" s="28">
        <f>IFERROR(VLOOKUP(F3156,CARTON_LOOKUP!$A:$E,5,0),"")</f>
      </c>
      <c r="J3156" s="29">
        <f>IFERROR(VLOOKUP(F3156,CARTON_LOOKUP!$A:$E,2,0),"")</f>
      </c>
      <c r="K3156" s="29">
        <f>IFERROR(J3156*D3156,0)</f>
      </c>
      <c r="L3156" s="29">
        <f>IFERROR(E3156*C3156,0)</f>
      </c>
      <c r="M3156" s="29">
        <f>IFERROR((G3156*H3156*I3156/1000000)*D3156,0)</f>
      </c>
    </row>
    <row r="3157" spans="1:13" x14ac:dyDescent="0.25">
      <c r="A3157" s="16"/>
      <c r="E3157" s="27"/>
      <c r="F3157" t="s">
        <v>26</v>
      </c>
      <c r="G3157" s="28">
        <f>IFERROR(VLOOKUP(F3157,CARTON_LOOKUP!$A:$E,3,0),"")</f>
      </c>
      <c r="H3157" s="28">
        <f>IFERROR(VLOOKUP(F3157,CARTON_LOOKUP!$A:$E,4,0),"")</f>
      </c>
      <c r="I3157" s="28">
        <f>IFERROR(VLOOKUP(F3157,CARTON_LOOKUP!$A:$E,5,0),"")</f>
      </c>
      <c r="J3157" s="29">
        <f>IFERROR(VLOOKUP(F3157,CARTON_LOOKUP!$A:$E,2,0),"")</f>
      </c>
      <c r="K3157" s="29">
        <f>IFERROR(J3157*D3157,0)</f>
      </c>
      <c r="L3157" s="29">
        <f>IFERROR(E3157*C3157,0)</f>
      </c>
      <c r="M3157" s="29">
        <f>IFERROR((G3157*H3157*I3157/1000000)*D3157,0)</f>
      </c>
    </row>
    <row r="3158" spans="1:13" x14ac:dyDescent="0.25">
      <c r="A3158" s="16"/>
      <c r="E3158" s="27"/>
      <c r="F3158" t="s">
        <v>26</v>
      </c>
      <c r="G3158" s="28">
        <f>IFERROR(VLOOKUP(F3158,CARTON_LOOKUP!$A:$E,3,0),"")</f>
      </c>
      <c r="H3158" s="28">
        <f>IFERROR(VLOOKUP(F3158,CARTON_LOOKUP!$A:$E,4,0),"")</f>
      </c>
      <c r="I3158" s="28">
        <f>IFERROR(VLOOKUP(F3158,CARTON_LOOKUP!$A:$E,5,0),"")</f>
      </c>
      <c r="J3158" s="29">
        <f>IFERROR(VLOOKUP(F3158,CARTON_LOOKUP!$A:$E,2,0),"")</f>
      </c>
      <c r="K3158" s="29">
        <f>IFERROR(J3158*D3158,0)</f>
      </c>
      <c r="L3158" s="29">
        <f>IFERROR(E3158*C3158,0)</f>
      </c>
      <c r="M3158" s="29">
        <f>IFERROR((G3158*H3158*I3158/1000000)*D3158,0)</f>
      </c>
    </row>
    <row r="3159" spans="1:13" x14ac:dyDescent="0.25">
      <c r="A3159" s="16"/>
      <c r="E3159" s="27"/>
      <c r="F3159" t="s">
        <v>26</v>
      </c>
      <c r="G3159" s="28">
        <f>IFERROR(VLOOKUP(F3159,CARTON_LOOKUP!$A:$E,3,0),"")</f>
      </c>
      <c r="H3159" s="28">
        <f>IFERROR(VLOOKUP(F3159,CARTON_LOOKUP!$A:$E,4,0),"")</f>
      </c>
      <c r="I3159" s="28">
        <f>IFERROR(VLOOKUP(F3159,CARTON_LOOKUP!$A:$E,5,0),"")</f>
      </c>
      <c r="J3159" s="29">
        <f>IFERROR(VLOOKUP(F3159,CARTON_LOOKUP!$A:$E,2,0),"")</f>
      </c>
      <c r="K3159" s="29">
        <f>IFERROR(J3159*D3159,0)</f>
      </c>
      <c r="L3159" s="29">
        <f>IFERROR(E3159*C3159,0)</f>
      </c>
      <c r="M3159" s="29">
        <f>IFERROR((G3159*H3159*I3159/1000000)*D3159,0)</f>
      </c>
    </row>
    <row r="3160" spans="1:13" x14ac:dyDescent="0.25">
      <c r="A3160" s="16"/>
      <c r="E3160" s="27"/>
      <c r="F3160" t="s">
        <v>26</v>
      </c>
      <c r="G3160" s="28">
        <f>IFERROR(VLOOKUP(F3160,CARTON_LOOKUP!$A:$E,3,0),"")</f>
      </c>
      <c r="H3160" s="28">
        <f>IFERROR(VLOOKUP(F3160,CARTON_LOOKUP!$A:$E,4,0),"")</f>
      </c>
      <c r="I3160" s="28">
        <f>IFERROR(VLOOKUP(F3160,CARTON_LOOKUP!$A:$E,5,0),"")</f>
      </c>
      <c r="J3160" s="29">
        <f>IFERROR(VLOOKUP(F3160,CARTON_LOOKUP!$A:$E,2,0),"")</f>
      </c>
      <c r="K3160" s="29">
        <f>IFERROR(J3160*D3160,0)</f>
      </c>
      <c r="L3160" s="29">
        <f>IFERROR(E3160*C3160,0)</f>
      </c>
      <c r="M3160" s="29">
        <f>IFERROR((G3160*H3160*I3160/1000000)*D3160,0)</f>
      </c>
    </row>
    <row r="3161" spans="1:13" x14ac:dyDescent="0.25">
      <c r="A3161" s="16"/>
      <c r="E3161" s="27"/>
      <c r="F3161" t="s">
        <v>26</v>
      </c>
      <c r="G3161" s="28">
        <f>IFERROR(VLOOKUP(F3161,CARTON_LOOKUP!$A:$E,3,0),"")</f>
      </c>
      <c r="H3161" s="28">
        <f>IFERROR(VLOOKUP(F3161,CARTON_LOOKUP!$A:$E,4,0),"")</f>
      </c>
      <c r="I3161" s="28">
        <f>IFERROR(VLOOKUP(F3161,CARTON_LOOKUP!$A:$E,5,0),"")</f>
      </c>
      <c r="J3161" s="29">
        <f>IFERROR(VLOOKUP(F3161,CARTON_LOOKUP!$A:$E,2,0),"")</f>
      </c>
      <c r="K3161" s="29">
        <f>IFERROR(J3161*D3161,0)</f>
      </c>
      <c r="L3161" s="29">
        <f>IFERROR(E3161*C3161,0)</f>
      </c>
      <c r="M3161" s="29">
        <f>IFERROR((G3161*H3161*I3161/1000000)*D3161,0)</f>
      </c>
    </row>
    <row r="3162" spans="1:13" x14ac:dyDescent="0.25">
      <c r="A3162" s="16"/>
      <c r="E3162" s="27"/>
      <c r="F3162" t="s">
        <v>26</v>
      </c>
      <c r="G3162" s="28">
        <f>IFERROR(VLOOKUP(F3162,CARTON_LOOKUP!$A:$E,3,0),"")</f>
      </c>
      <c r="H3162" s="28">
        <f>IFERROR(VLOOKUP(F3162,CARTON_LOOKUP!$A:$E,4,0),"")</f>
      </c>
      <c r="I3162" s="28">
        <f>IFERROR(VLOOKUP(F3162,CARTON_LOOKUP!$A:$E,5,0),"")</f>
      </c>
      <c r="J3162" s="29">
        <f>IFERROR(VLOOKUP(F3162,CARTON_LOOKUP!$A:$E,2,0),"")</f>
      </c>
      <c r="K3162" s="29">
        <f>IFERROR(J3162*D3162,0)</f>
      </c>
      <c r="L3162" s="29">
        <f>IFERROR(E3162*C3162,0)</f>
      </c>
      <c r="M3162" s="29">
        <f>IFERROR((G3162*H3162*I3162/1000000)*D3162,0)</f>
      </c>
    </row>
    <row r="3163" spans="1:13" x14ac:dyDescent="0.25">
      <c r="A3163" s="16"/>
      <c r="E3163" s="27"/>
      <c r="F3163" t="s">
        <v>26</v>
      </c>
      <c r="G3163" s="28">
        <f>IFERROR(VLOOKUP(F3163,CARTON_LOOKUP!$A:$E,3,0),"")</f>
      </c>
      <c r="H3163" s="28">
        <f>IFERROR(VLOOKUP(F3163,CARTON_LOOKUP!$A:$E,4,0),"")</f>
      </c>
      <c r="I3163" s="28">
        <f>IFERROR(VLOOKUP(F3163,CARTON_LOOKUP!$A:$E,5,0),"")</f>
      </c>
      <c r="J3163" s="29">
        <f>IFERROR(VLOOKUP(F3163,CARTON_LOOKUP!$A:$E,2,0),"")</f>
      </c>
      <c r="K3163" s="29">
        <f>IFERROR(J3163*D3163,0)</f>
      </c>
      <c r="L3163" s="29">
        <f>IFERROR(E3163*C3163,0)</f>
      </c>
      <c r="M3163" s="29">
        <f>IFERROR((G3163*H3163*I3163/1000000)*D3163,0)</f>
      </c>
    </row>
    <row r="3164" spans="1:13" x14ac:dyDescent="0.25">
      <c r="A3164" s="16"/>
      <c r="E3164" s="27"/>
      <c r="F3164" t="s">
        <v>26</v>
      </c>
      <c r="G3164" s="28">
        <f>IFERROR(VLOOKUP(F3164,CARTON_LOOKUP!$A:$E,3,0),"")</f>
      </c>
      <c r="H3164" s="28">
        <f>IFERROR(VLOOKUP(F3164,CARTON_LOOKUP!$A:$E,4,0),"")</f>
      </c>
      <c r="I3164" s="28">
        <f>IFERROR(VLOOKUP(F3164,CARTON_LOOKUP!$A:$E,5,0),"")</f>
      </c>
      <c r="J3164" s="29">
        <f>IFERROR(VLOOKUP(F3164,CARTON_LOOKUP!$A:$E,2,0),"")</f>
      </c>
      <c r="K3164" s="29">
        <f>IFERROR(J3164*D3164,0)</f>
      </c>
      <c r="L3164" s="29">
        <f>IFERROR(E3164*C3164,0)</f>
      </c>
      <c r="M3164" s="29">
        <f>IFERROR((G3164*H3164*I3164/1000000)*D3164,0)</f>
      </c>
    </row>
    <row r="3165" spans="1:13" x14ac:dyDescent="0.25">
      <c r="A3165" s="16"/>
      <c r="E3165" s="27"/>
      <c r="F3165" t="s">
        <v>26</v>
      </c>
      <c r="G3165" s="28">
        <f>IFERROR(VLOOKUP(F3165,CARTON_LOOKUP!$A:$E,3,0),"")</f>
      </c>
      <c r="H3165" s="28">
        <f>IFERROR(VLOOKUP(F3165,CARTON_LOOKUP!$A:$E,4,0),"")</f>
      </c>
      <c r="I3165" s="28">
        <f>IFERROR(VLOOKUP(F3165,CARTON_LOOKUP!$A:$E,5,0),"")</f>
      </c>
      <c r="J3165" s="29">
        <f>IFERROR(VLOOKUP(F3165,CARTON_LOOKUP!$A:$E,2,0),"")</f>
      </c>
      <c r="K3165" s="29">
        <f>IFERROR(J3165*D3165,0)</f>
      </c>
      <c r="L3165" s="29">
        <f>IFERROR(E3165*C3165,0)</f>
      </c>
      <c r="M3165" s="29">
        <f>IFERROR((G3165*H3165*I3165/1000000)*D3165,0)</f>
      </c>
    </row>
    <row r="3166" spans="1:13" x14ac:dyDescent="0.25">
      <c r="A3166" s="16"/>
      <c r="E3166" s="27"/>
      <c r="F3166" t="s">
        <v>26</v>
      </c>
      <c r="G3166" s="28">
        <f>IFERROR(VLOOKUP(F3166,CARTON_LOOKUP!$A:$E,3,0),"")</f>
      </c>
      <c r="H3166" s="28">
        <f>IFERROR(VLOOKUP(F3166,CARTON_LOOKUP!$A:$E,4,0),"")</f>
      </c>
      <c r="I3166" s="28">
        <f>IFERROR(VLOOKUP(F3166,CARTON_LOOKUP!$A:$E,5,0),"")</f>
      </c>
      <c r="J3166" s="29">
        <f>IFERROR(VLOOKUP(F3166,CARTON_LOOKUP!$A:$E,2,0),"")</f>
      </c>
      <c r="K3166" s="29">
        <f>IFERROR(J3166*D3166,0)</f>
      </c>
      <c r="L3166" s="29">
        <f>IFERROR(E3166*C3166,0)</f>
      </c>
      <c r="M3166" s="29">
        <f>IFERROR((G3166*H3166*I3166/1000000)*D3166,0)</f>
      </c>
    </row>
    <row r="3167" spans="1:13" x14ac:dyDescent="0.25">
      <c r="A3167" s="16"/>
      <c r="E3167" s="27"/>
      <c r="F3167" t="s">
        <v>26</v>
      </c>
      <c r="G3167" s="28">
        <f>IFERROR(VLOOKUP(F3167,CARTON_LOOKUP!$A:$E,3,0),"")</f>
      </c>
      <c r="H3167" s="28">
        <f>IFERROR(VLOOKUP(F3167,CARTON_LOOKUP!$A:$E,4,0),"")</f>
      </c>
      <c r="I3167" s="28">
        <f>IFERROR(VLOOKUP(F3167,CARTON_LOOKUP!$A:$E,5,0),"")</f>
      </c>
      <c r="J3167" s="29">
        <f>IFERROR(VLOOKUP(F3167,CARTON_LOOKUP!$A:$E,2,0),"")</f>
      </c>
      <c r="K3167" s="29">
        <f>IFERROR(J3167*D3167,0)</f>
      </c>
      <c r="L3167" s="29">
        <f>IFERROR(E3167*C3167,0)</f>
      </c>
      <c r="M3167" s="29">
        <f>IFERROR((G3167*H3167*I3167/1000000)*D3167,0)</f>
      </c>
    </row>
    <row r="3168" spans="1:13" x14ac:dyDescent="0.25">
      <c r="A3168" s="16"/>
      <c r="E3168" s="27"/>
      <c r="F3168" t="s">
        <v>26</v>
      </c>
      <c r="G3168" s="28">
        <f>IFERROR(VLOOKUP(F3168,CARTON_LOOKUP!$A:$E,3,0),"")</f>
      </c>
      <c r="H3168" s="28">
        <f>IFERROR(VLOOKUP(F3168,CARTON_LOOKUP!$A:$E,4,0),"")</f>
      </c>
      <c r="I3168" s="28">
        <f>IFERROR(VLOOKUP(F3168,CARTON_LOOKUP!$A:$E,5,0),"")</f>
      </c>
      <c r="J3168" s="29">
        <f>IFERROR(VLOOKUP(F3168,CARTON_LOOKUP!$A:$E,2,0),"")</f>
      </c>
      <c r="K3168" s="29">
        <f>IFERROR(J3168*D3168,0)</f>
      </c>
      <c r="L3168" s="29">
        <f>IFERROR(E3168*C3168,0)</f>
      </c>
      <c r="M3168" s="29">
        <f>IFERROR((G3168*H3168*I3168/1000000)*D3168,0)</f>
      </c>
    </row>
    <row r="3169" spans="1:13" x14ac:dyDescent="0.25">
      <c r="A3169" s="16"/>
      <c r="E3169" s="27"/>
      <c r="F3169" t="s">
        <v>26</v>
      </c>
      <c r="G3169" s="28">
        <f>IFERROR(VLOOKUP(F3169,CARTON_LOOKUP!$A:$E,3,0),"")</f>
      </c>
      <c r="H3169" s="28">
        <f>IFERROR(VLOOKUP(F3169,CARTON_LOOKUP!$A:$E,4,0),"")</f>
      </c>
      <c r="I3169" s="28">
        <f>IFERROR(VLOOKUP(F3169,CARTON_LOOKUP!$A:$E,5,0),"")</f>
      </c>
      <c r="J3169" s="29">
        <f>IFERROR(VLOOKUP(F3169,CARTON_LOOKUP!$A:$E,2,0),"")</f>
      </c>
      <c r="K3169" s="29">
        <f>IFERROR(J3169*D3169,0)</f>
      </c>
      <c r="L3169" s="29">
        <f>IFERROR(E3169*C3169,0)</f>
      </c>
      <c r="M3169" s="29">
        <f>IFERROR((G3169*H3169*I3169/1000000)*D3169,0)</f>
      </c>
    </row>
    <row r="3170" spans="1:13" x14ac:dyDescent="0.25">
      <c r="A3170" s="16"/>
      <c r="E3170" s="27"/>
      <c r="F3170" t="s">
        <v>26</v>
      </c>
      <c r="G3170" s="28">
        <f>IFERROR(VLOOKUP(F3170,CARTON_LOOKUP!$A:$E,3,0),"")</f>
      </c>
      <c r="H3170" s="28">
        <f>IFERROR(VLOOKUP(F3170,CARTON_LOOKUP!$A:$E,4,0),"")</f>
      </c>
      <c r="I3170" s="28">
        <f>IFERROR(VLOOKUP(F3170,CARTON_LOOKUP!$A:$E,5,0),"")</f>
      </c>
      <c r="J3170" s="29">
        <f>IFERROR(VLOOKUP(F3170,CARTON_LOOKUP!$A:$E,2,0),"")</f>
      </c>
      <c r="K3170" s="29">
        <f>IFERROR(J3170*D3170,0)</f>
      </c>
      <c r="L3170" s="29">
        <f>IFERROR(E3170*C3170,0)</f>
      </c>
      <c r="M3170" s="29">
        <f>IFERROR((G3170*H3170*I3170/1000000)*D3170,0)</f>
      </c>
    </row>
    <row r="3171" spans="1:13" x14ac:dyDescent="0.25">
      <c r="A3171" s="16"/>
      <c r="E3171" s="27"/>
      <c r="F3171" t="s">
        <v>26</v>
      </c>
      <c r="G3171" s="28">
        <f>IFERROR(VLOOKUP(F3171,CARTON_LOOKUP!$A:$E,3,0),"")</f>
      </c>
      <c r="H3171" s="28">
        <f>IFERROR(VLOOKUP(F3171,CARTON_LOOKUP!$A:$E,4,0),"")</f>
      </c>
      <c r="I3171" s="28">
        <f>IFERROR(VLOOKUP(F3171,CARTON_LOOKUP!$A:$E,5,0),"")</f>
      </c>
      <c r="J3171" s="29">
        <f>IFERROR(VLOOKUP(F3171,CARTON_LOOKUP!$A:$E,2,0),"")</f>
      </c>
      <c r="K3171" s="29">
        <f>IFERROR(J3171*D3171,0)</f>
      </c>
      <c r="L3171" s="29">
        <f>IFERROR(E3171*C3171,0)</f>
      </c>
      <c r="M3171" s="29">
        <f>IFERROR((G3171*H3171*I3171/1000000)*D3171,0)</f>
      </c>
    </row>
    <row r="3172" spans="1:13" x14ac:dyDescent="0.25">
      <c r="A3172" s="16"/>
      <c r="E3172" s="27"/>
      <c r="F3172" t="s">
        <v>26</v>
      </c>
      <c r="G3172" s="28">
        <f>IFERROR(VLOOKUP(F3172,CARTON_LOOKUP!$A:$E,3,0),"")</f>
      </c>
      <c r="H3172" s="28">
        <f>IFERROR(VLOOKUP(F3172,CARTON_LOOKUP!$A:$E,4,0),"")</f>
      </c>
      <c r="I3172" s="28">
        <f>IFERROR(VLOOKUP(F3172,CARTON_LOOKUP!$A:$E,5,0),"")</f>
      </c>
      <c r="J3172" s="29">
        <f>IFERROR(VLOOKUP(F3172,CARTON_LOOKUP!$A:$E,2,0),"")</f>
      </c>
      <c r="K3172" s="29">
        <f>IFERROR(J3172*D3172,0)</f>
      </c>
      <c r="L3172" s="29">
        <f>IFERROR(E3172*C3172,0)</f>
      </c>
      <c r="M3172" s="29">
        <f>IFERROR((G3172*H3172*I3172/1000000)*D3172,0)</f>
      </c>
    </row>
    <row r="3173" spans="1:13" x14ac:dyDescent="0.25">
      <c r="A3173" s="16"/>
      <c r="E3173" s="27"/>
      <c r="F3173" t="s">
        <v>26</v>
      </c>
      <c r="G3173" s="28">
        <f>IFERROR(VLOOKUP(F3173,CARTON_LOOKUP!$A:$E,3,0),"")</f>
      </c>
      <c r="H3173" s="28">
        <f>IFERROR(VLOOKUP(F3173,CARTON_LOOKUP!$A:$E,4,0),"")</f>
      </c>
      <c r="I3173" s="28">
        <f>IFERROR(VLOOKUP(F3173,CARTON_LOOKUP!$A:$E,5,0),"")</f>
      </c>
      <c r="J3173" s="29">
        <f>IFERROR(VLOOKUP(F3173,CARTON_LOOKUP!$A:$E,2,0),"")</f>
      </c>
      <c r="K3173" s="29">
        <f>IFERROR(J3173*D3173,0)</f>
      </c>
      <c r="L3173" s="29">
        <f>IFERROR(E3173*C3173,0)</f>
      </c>
      <c r="M3173" s="29">
        <f>IFERROR((G3173*H3173*I3173/1000000)*D3173,0)</f>
      </c>
    </row>
    <row r="3174" spans="1:13" x14ac:dyDescent="0.25">
      <c r="A3174" s="16"/>
      <c r="E3174" s="27"/>
      <c r="F3174" t="s">
        <v>26</v>
      </c>
      <c r="G3174" s="28">
        <f>IFERROR(VLOOKUP(F3174,CARTON_LOOKUP!$A:$E,3,0),"")</f>
      </c>
      <c r="H3174" s="28">
        <f>IFERROR(VLOOKUP(F3174,CARTON_LOOKUP!$A:$E,4,0),"")</f>
      </c>
      <c r="I3174" s="28">
        <f>IFERROR(VLOOKUP(F3174,CARTON_LOOKUP!$A:$E,5,0),"")</f>
      </c>
      <c r="J3174" s="29">
        <f>IFERROR(VLOOKUP(F3174,CARTON_LOOKUP!$A:$E,2,0),"")</f>
      </c>
      <c r="K3174" s="29">
        <f>IFERROR(J3174*D3174,0)</f>
      </c>
      <c r="L3174" s="29">
        <f>IFERROR(E3174*C3174,0)</f>
      </c>
      <c r="M3174" s="29">
        <f>IFERROR((G3174*H3174*I3174/1000000)*D3174,0)</f>
      </c>
    </row>
    <row r="3175" spans="1:13" x14ac:dyDescent="0.25">
      <c r="A3175" s="16"/>
      <c r="E3175" s="27"/>
      <c r="F3175" t="s">
        <v>26</v>
      </c>
      <c r="G3175" s="28">
        <f>IFERROR(VLOOKUP(F3175,CARTON_LOOKUP!$A:$E,3,0),"")</f>
      </c>
      <c r="H3175" s="28">
        <f>IFERROR(VLOOKUP(F3175,CARTON_LOOKUP!$A:$E,4,0),"")</f>
      </c>
      <c r="I3175" s="28">
        <f>IFERROR(VLOOKUP(F3175,CARTON_LOOKUP!$A:$E,5,0),"")</f>
      </c>
      <c r="J3175" s="29">
        <f>IFERROR(VLOOKUP(F3175,CARTON_LOOKUP!$A:$E,2,0),"")</f>
      </c>
      <c r="K3175" s="29">
        <f>IFERROR(J3175*D3175,0)</f>
      </c>
      <c r="L3175" s="29">
        <f>IFERROR(E3175*C3175,0)</f>
      </c>
      <c r="M3175" s="29">
        <f>IFERROR((G3175*H3175*I3175/1000000)*D3175,0)</f>
      </c>
    </row>
    <row r="3176" spans="1:13" x14ac:dyDescent="0.25">
      <c r="A3176" s="16"/>
      <c r="E3176" s="27"/>
      <c r="F3176" t="s">
        <v>26</v>
      </c>
      <c r="G3176" s="28">
        <f>IFERROR(VLOOKUP(F3176,CARTON_LOOKUP!$A:$E,3,0),"")</f>
      </c>
      <c r="H3176" s="28">
        <f>IFERROR(VLOOKUP(F3176,CARTON_LOOKUP!$A:$E,4,0),"")</f>
      </c>
      <c r="I3176" s="28">
        <f>IFERROR(VLOOKUP(F3176,CARTON_LOOKUP!$A:$E,5,0),"")</f>
      </c>
      <c r="J3176" s="29">
        <f>IFERROR(VLOOKUP(F3176,CARTON_LOOKUP!$A:$E,2,0),"")</f>
      </c>
      <c r="K3176" s="29">
        <f>IFERROR(J3176*D3176,0)</f>
      </c>
      <c r="L3176" s="29">
        <f>IFERROR(E3176*C3176,0)</f>
      </c>
      <c r="M3176" s="29">
        <f>IFERROR((G3176*H3176*I3176/1000000)*D3176,0)</f>
      </c>
    </row>
    <row r="3177" spans="1:13" x14ac:dyDescent="0.25">
      <c r="A3177" s="16"/>
      <c r="E3177" s="27"/>
      <c r="F3177" t="s">
        <v>26</v>
      </c>
      <c r="G3177" s="28">
        <f>IFERROR(VLOOKUP(F3177,CARTON_LOOKUP!$A:$E,3,0),"")</f>
      </c>
      <c r="H3177" s="28">
        <f>IFERROR(VLOOKUP(F3177,CARTON_LOOKUP!$A:$E,4,0),"")</f>
      </c>
      <c r="I3177" s="28">
        <f>IFERROR(VLOOKUP(F3177,CARTON_LOOKUP!$A:$E,5,0),"")</f>
      </c>
      <c r="J3177" s="29">
        <f>IFERROR(VLOOKUP(F3177,CARTON_LOOKUP!$A:$E,2,0),"")</f>
      </c>
      <c r="K3177" s="29">
        <f>IFERROR(J3177*D3177,0)</f>
      </c>
      <c r="L3177" s="29">
        <f>IFERROR(E3177*C3177,0)</f>
      </c>
      <c r="M3177" s="29">
        <f>IFERROR((G3177*H3177*I3177/1000000)*D3177,0)</f>
      </c>
    </row>
    <row r="3178" spans="1:13" x14ac:dyDescent="0.25">
      <c r="A3178" s="16"/>
      <c r="E3178" s="27"/>
      <c r="F3178" t="s">
        <v>26</v>
      </c>
      <c r="G3178" s="28">
        <f>IFERROR(VLOOKUP(F3178,CARTON_LOOKUP!$A:$E,3,0),"")</f>
      </c>
      <c r="H3178" s="28">
        <f>IFERROR(VLOOKUP(F3178,CARTON_LOOKUP!$A:$E,4,0),"")</f>
      </c>
      <c r="I3178" s="28">
        <f>IFERROR(VLOOKUP(F3178,CARTON_LOOKUP!$A:$E,5,0),"")</f>
      </c>
      <c r="J3178" s="29">
        <f>IFERROR(VLOOKUP(F3178,CARTON_LOOKUP!$A:$E,2,0),"")</f>
      </c>
      <c r="K3178" s="29">
        <f>IFERROR(J3178*D3178,0)</f>
      </c>
      <c r="L3178" s="29">
        <f>IFERROR(E3178*C3178,0)</f>
      </c>
      <c r="M3178" s="29">
        <f>IFERROR((G3178*H3178*I3178/1000000)*D3178,0)</f>
      </c>
    </row>
    <row r="3179" spans="1:13" x14ac:dyDescent="0.25">
      <c r="A3179" s="16"/>
      <c r="E3179" s="27"/>
      <c r="F3179" t="s">
        <v>26</v>
      </c>
      <c r="G3179" s="28">
        <f>IFERROR(VLOOKUP(F3179,CARTON_LOOKUP!$A:$E,3,0),"")</f>
      </c>
      <c r="H3179" s="28">
        <f>IFERROR(VLOOKUP(F3179,CARTON_LOOKUP!$A:$E,4,0),"")</f>
      </c>
      <c r="I3179" s="28">
        <f>IFERROR(VLOOKUP(F3179,CARTON_LOOKUP!$A:$E,5,0),"")</f>
      </c>
      <c r="J3179" s="29">
        <f>IFERROR(VLOOKUP(F3179,CARTON_LOOKUP!$A:$E,2,0),"")</f>
      </c>
      <c r="K3179" s="29">
        <f>IFERROR(J3179*D3179,0)</f>
      </c>
      <c r="L3179" s="29">
        <f>IFERROR(E3179*C3179,0)</f>
      </c>
      <c r="M3179" s="29">
        <f>IFERROR((G3179*H3179*I3179/1000000)*D3179,0)</f>
      </c>
    </row>
    <row r="3180" spans="1:13" x14ac:dyDescent="0.25">
      <c r="A3180" s="16"/>
      <c r="E3180" s="27"/>
      <c r="F3180" t="s">
        <v>26</v>
      </c>
      <c r="G3180" s="28">
        <f>IFERROR(VLOOKUP(F3180,CARTON_LOOKUP!$A:$E,3,0),"")</f>
      </c>
      <c r="H3180" s="28">
        <f>IFERROR(VLOOKUP(F3180,CARTON_LOOKUP!$A:$E,4,0),"")</f>
      </c>
      <c r="I3180" s="28">
        <f>IFERROR(VLOOKUP(F3180,CARTON_LOOKUP!$A:$E,5,0),"")</f>
      </c>
      <c r="J3180" s="29">
        <f>IFERROR(VLOOKUP(F3180,CARTON_LOOKUP!$A:$E,2,0),"")</f>
      </c>
      <c r="K3180" s="29">
        <f>IFERROR(J3180*D3180,0)</f>
      </c>
      <c r="L3180" s="29">
        <f>IFERROR(E3180*C3180,0)</f>
      </c>
      <c r="M3180" s="29">
        <f>IFERROR((G3180*H3180*I3180/1000000)*D3180,0)</f>
      </c>
    </row>
    <row r="3181" spans="1:13" x14ac:dyDescent="0.25">
      <c r="A3181" s="16"/>
      <c r="E3181" s="27"/>
      <c r="F3181" t="s">
        <v>26</v>
      </c>
      <c r="G3181" s="28">
        <f>IFERROR(VLOOKUP(F3181,CARTON_LOOKUP!$A:$E,3,0),"")</f>
      </c>
      <c r="H3181" s="28">
        <f>IFERROR(VLOOKUP(F3181,CARTON_LOOKUP!$A:$E,4,0),"")</f>
      </c>
      <c r="I3181" s="28">
        <f>IFERROR(VLOOKUP(F3181,CARTON_LOOKUP!$A:$E,5,0),"")</f>
      </c>
      <c r="J3181" s="29">
        <f>IFERROR(VLOOKUP(F3181,CARTON_LOOKUP!$A:$E,2,0),"")</f>
      </c>
      <c r="K3181" s="29">
        <f>IFERROR(J3181*D3181,0)</f>
      </c>
      <c r="L3181" s="29">
        <f>IFERROR(E3181*C3181,0)</f>
      </c>
      <c r="M3181" s="29">
        <f>IFERROR((G3181*H3181*I3181/1000000)*D3181,0)</f>
      </c>
    </row>
    <row r="3182" spans="1:13" x14ac:dyDescent="0.25">
      <c r="A3182" s="16"/>
      <c r="E3182" s="27"/>
      <c r="F3182" t="s">
        <v>26</v>
      </c>
      <c r="G3182" s="28">
        <f>IFERROR(VLOOKUP(F3182,CARTON_LOOKUP!$A:$E,3,0),"")</f>
      </c>
      <c r="H3182" s="28">
        <f>IFERROR(VLOOKUP(F3182,CARTON_LOOKUP!$A:$E,4,0),"")</f>
      </c>
      <c r="I3182" s="28">
        <f>IFERROR(VLOOKUP(F3182,CARTON_LOOKUP!$A:$E,5,0),"")</f>
      </c>
      <c r="J3182" s="29">
        <f>IFERROR(VLOOKUP(F3182,CARTON_LOOKUP!$A:$E,2,0),"")</f>
      </c>
      <c r="K3182" s="29">
        <f>IFERROR(J3182*D3182,0)</f>
      </c>
      <c r="L3182" s="29">
        <f>IFERROR(E3182*C3182,0)</f>
      </c>
      <c r="M3182" s="29">
        <f>IFERROR((G3182*H3182*I3182/1000000)*D3182,0)</f>
      </c>
    </row>
    <row r="3183" spans="1:13" x14ac:dyDescent="0.25">
      <c r="A3183" s="16"/>
      <c r="E3183" s="27"/>
      <c r="F3183" t="s">
        <v>26</v>
      </c>
      <c r="G3183" s="28">
        <f>IFERROR(VLOOKUP(F3183,CARTON_LOOKUP!$A:$E,3,0),"")</f>
      </c>
      <c r="H3183" s="28">
        <f>IFERROR(VLOOKUP(F3183,CARTON_LOOKUP!$A:$E,4,0),"")</f>
      </c>
      <c r="I3183" s="28">
        <f>IFERROR(VLOOKUP(F3183,CARTON_LOOKUP!$A:$E,5,0),"")</f>
      </c>
      <c r="J3183" s="29">
        <f>IFERROR(VLOOKUP(F3183,CARTON_LOOKUP!$A:$E,2,0),"")</f>
      </c>
      <c r="K3183" s="29">
        <f>IFERROR(J3183*D3183,0)</f>
      </c>
      <c r="L3183" s="29">
        <f>IFERROR(E3183*C3183,0)</f>
      </c>
      <c r="M3183" s="29">
        <f>IFERROR((G3183*H3183*I3183/1000000)*D3183,0)</f>
      </c>
    </row>
    <row r="3184" spans="1:13" x14ac:dyDescent="0.25">
      <c r="A3184" s="16"/>
      <c r="E3184" s="27"/>
      <c r="F3184" t="s">
        <v>26</v>
      </c>
      <c r="G3184" s="28">
        <f>IFERROR(VLOOKUP(F3184,CARTON_LOOKUP!$A:$E,3,0),"")</f>
      </c>
      <c r="H3184" s="28">
        <f>IFERROR(VLOOKUP(F3184,CARTON_LOOKUP!$A:$E,4,0),"")</f>
      </c>
      <c r="I3184" s="28">
        <f>IFERROR(VLOOKUP(F3184,CARTON_LOOKUP!$A:$E,5,0),"")</f>
      </c>
      <c r="J3184" s="29">
        <f>IFERROR(VLOOKUP(F3184,CARTON_LOOKUP!$A:$E,2,0),"")</f>
      </c>
      <c r="K3184" s="29">
        <f>IFERROR(J3184*D3184,0)</f>
      </c>
      <c r="L3184" s="29">
        <f>IFERROR(E3184*C3184,0)</f>
      </c>
      <c r="M3184" s="29">
        <f>IFERROR((G3184*H3184*I3184/1000000)*D3184,0)</f>
      </c>
    </row>
    <row r="3185" spans="1:13" x14ac:dyDescent="0.25">
      <c r="A3185" s="16"/>
      <c r="E3185" s="27"/>
      <c r="F3185" t="s">
        <v>26</v>
      </c>
      <c r="G3185" s="28">
        <f>IFERROR(VLOOKUP(F3185,CARTON_LOOKUP!$A:$E,3,0),"")</f>
      </c>
      <c r="H3185" s="28">
        <f>IFERROR(VLOOKUP(F3185,CARTON_LOOKUP!$A:$E,4,0),"")</f>
      </c>
      <c r="I3185" s="28">
        <f>IFERROR(VLOOKUP(F3185,CARTON_LOOKUP!$A:$E,5,0),"")</f>
      </c>
      <c r="J3185" s="29">
        <f>IFERROR(VLOOKUP(F3185,CARTON_LOOKUP!$A:$E,2,0),"")</f>
      </c>
      <c r="K3185" s="29">
        <f>IFERROR(J3185*D3185,0)</f>
      </c>
      <c r="L3185" s="29">
        <f>IFERROR(E3185*C3185,0)</f>
      </c>
      <c r="M3185" s="29">
        <f>IFERROR((G3185*H3185*I3185/1000000)*D3185,0)</f>
      </c>
    </row>
    <row r="3186" spans="1:13" x14ac:dyDescent="0.25">
      <c r="A3186" s="16"/>
      <c r="E3186" s="27"/>
      <c r="F3186" t="s">
        <v>26</v>
      </c>
      <c r="G3186" s="28">
        <f>IFERROR(VLOOKUP(F3186,CARTON_LOOKUP!$A:$E,3,0),"")</f>
      </c>
      <c r="H3186" s="28">
        <f>IFERROR(VLOOKUP(F3186,CARTON_LOOKUP!$A:$E,4,0),"")</f>
      </c>
      <c r="I3186" s="28">
        <f>IFERROR(VLOOKUP(F3186,CARTON_LOOKUP!$A:$E,5,0),"")</f>
      </c>
      <c r="J3186" s="29">
        <f>IFERROR(VLOOKUP(F3186,CARTON_LOOKUP!$A:$E,2,0),"")</f>
      </c>
      <c r="K3186" s="29">
        <f>IFERROR(J3186*D3186,0)</f>
      </c>
      <c r="L3186" s="29">
        <f>IFERROR(E3186*C3186,0)</f>
      </c>
      <c r="M3186" s="29">
        <f>IFERROR((G3186*H3186*I3186/1000000)*D3186,0)</f>
      </c>
    </row>
    <row r="3187" spans="1:13" x14ac:dyDescent="0.25">
      <c r="A3187" s="16"/>
      <c r="E3187" s="27"/>
      <c r="F3187" t="s">
        <v>26</v>
      </c>
      <c r="G3187" s="28">
        <f>IFERROR(VLOOKUP(F3187,CARTON_LOOKUP!$A:$E,3,0),"")</f>
      </c>
      <c r="H3187" s="28">
        <f>IFERROR(VLOOKUP(F3187,CARTON_LOOKUP!$A:$E,4,0),"")</f>
      </c>
      <c r="I3187" s="28">
        <f>IFERROR(VLOOKUP(F3187,CARTON_LOOKUP!$A:$E,5,0),"")</f>
      </c>
      <c r="J3187" s="29">
        <f>IFERROR(VLOOKUP(F3187,CARTON_LOOKUP!$A:$E,2,0),"")</f>
      </c>
      <c r="K3187" s="29">
        <f>IFERROR(J3187*D3187,0)</f>
      </c>
      <c r="L3187" s="29">
        <f>IFERROR(E3187*C3187,0)</f>
      </c>
      <c r="M3187" s="29">
        <f>IFERROR((G3187*H3187*I3187/1000000)*D3187,0)</f>
      </c>
    </row>
    <row r="3188" spans="1:13" x14ac:dyDescent="0.25">
      <c r="A3188" s="16"/>
      <c r="E3188" s="27"/>
      <c r="F3188" t="s">
        <v>26</v>
      </c>
      <c r="G3188" s="28">
        <f>IFERROR(VLOOKUP(F3188,CARTON_LOOKUP!$A:$E,3,0),"")</f>
      </c>
      <c r="H3188" s="28">
        <f>IFERROR(VLOOKUP(F3188,CARTON_LOOKUP!$A:$E,4,0),"")</f>
      </c>
      <c r="I3188" s="28">
        <f>IFERROR(VLOOKUP(F3188,CARTON_LOOKUP!$A:$E,5,0),"")</f>
      </c>
      <c r="J3188" s="29">
        <f>IFERROR(VLOOKUP(F3188,CARTON_LOOKUP!$A:$E,2,0),"")</f>
      </c>
      <c r="K3188" s="29">
        <f>IFERROR(J3188*D3188,0)</f>
      </c>
      <c r="L3188" s="29">
        <f>IFERROR(E3188*C3188,0)</f>
      </c>
      <c r="M3188" s="29">
        <f>IFERROR((G3188*H3188*I3188/1000000)*D3188,0)</f>
      </c>
    </row>
    <row r="3189" spans="1:13" x14ac:dyDescent="0.25">
      <c r="A3189" s="16"/>
      <c r="E3189" s="27"/>
      <c r="F3189" t="s">
        <v>26</v>
      </c>
      <c r="G3189" s="28">
        <f>IFERROR(VLOOKUP(F3189,CARTON_LOOKUP!$A:$E,3,0),"")</f>
      </c>
      <c r="H3189" s="28">
        <f>IFERROR(VLOOKUP(F3189,CARTON_LOOKUP!$A:$E,4,0),"")</f>
      </c>
      <c r="I3189" s="28">
        <f>IFERROR(VLOOKUP(F3189,CARTON_LOOKUP!$A:$E,5,0),"")</f>
      </c>
      <c r="J3189" s="29">
        <f>IFERROR(VLOOKUP(F3189,CARTON_LOOKUP!$A:$E,2,0),"")</f>
      </c>
      <c r="K3189" s="29">
        <f>IFERROR(J3189*D3189,0)</f>
      </c>
      <c r="L3189" s="29">
        <f>IFERROR(E3189*C3189,0)</f>
      </c>
      <c r="M3189" s="29">
        <f>IFERROR((G3189*H3189*I3189/1000000)*D3189,0)</f>
      </c>
    </row>
    <row r="3190" spans="1:13" x14ac:dyDescent="0.25">
      <c r="A3190" s="16"/>
      <c r="E3190" s="27"/>
      <c r="F3190" t="s">
        <v>26</v>
      </c>
      <c r="G3190" s="28">
        <f>IFERROR(VLOOKUP(F3190,CARTON_LOOKUP!$A:$E,3,0),"")</f>
      </c>
      <c r="H3190" s="28">
        <f>IFERROR(VLOOKUP(F3190,CARTON_LOOKUP!$A:$E,4,0),"")</f>
      </c>
      <c r="I3190" s="28">
        <f>IFERROR(VLOOKUP(F3190,CARTON_LOOKUP!$A:$E,5,0),"")</f>
      </c>
      <c r="J3190" s="29">
        <f>IFERROR(VLOOKUP(F3190,CARTON_LOOKUP!$A:$E,2,0),"")</f>
      </c>
      <c r="K3190" s="29">
        <f>IFERROR(J3190*D3190,0)</f>
      </c>
      <c r="L3190" s="29">
        <f>IFERROR(E3190*C3190,0)</f>
      </c>
      <c r="M3190" s="29">
        <f>IFERROR((G3190*H3190*I3190/1000000)*D3190,0)</f>
      </c>
    </row>
    <row r="3191" spans="1:13" x14ac:dyDescent="0.25">
      <c r="A3191" s="16"/>
      <c r="E3191" s="27"/>
      <c r="F3191" t="s">
        <v>26</v>
      </c>
      <c r="G3191" s="28">
        <f>IFERROR(VLOOKUP(F3191,CARTON_LOOKUP!$A:$E,3,0),"")</f>
      </c>
      <c r="H3191" s="28">
        <f>IFERROR(VLOOKUP(F3191,CARTON_LOOKUP!$A:$E,4,0),"")</f>
      </c>
      <c r="I3191" s="28">
        <f>IFERROR(VLOOKUP(F3191,CARTON_LOOKUP!$A:$E,5,0),"")</f>
      </c>
      <c r="J3191" s="29">
        <f>IFERROR(VLOOKUP(F3191,CARTON_LOOKUP!$A:$E,2,0),"")</f>
      </c>
      <c r="K3191" s="29">
        <f>IFERROR(J3191*D3191,0)</f>
      </c>
      <c r="L3191" s="29">
        <f>IFERROR(E3191*C3191,0)</f>
      </c>
      <c r="M3191" s="29">
        <f>IFERROR((G3191*H3191*I3191/1000000)*D3191,0)</f>
      </c>
    </row>
    <row r="3192" spans="1:13" x14ac:dyDescent="0.25">
      <c r="A3192" s="16"/>
      <c r="E3192" s="27"/>
      <c r="F3192" t="s">
        <v>26</v>
      </c>
      <c r="G3192" s="28">
        <f>IFERROR(VLOOKUP(F3192,CARTON_LOOKUP!$A:$E,3,0),"")</f>
      </c>
      <c r="H3192" s="28">
        <f>IFERROR(VLOOKUP(F3192,CARTON_LOOKUP!$A:$E,4,0),"")</f>
      </c>
      <c r="I3192" s="28">
        <f>IFERROR(VLOOKUP(F3192,CARTON_LOOKUP!$A:$E,5,0),"")</f>
      </c>
      <c r="J3192" s="29">
        <f>IFERROR(VLOOKUP(F3192,CARTON_LOOKUP!$A:$E,2,0),"")</f>
      </c>
      <c r="K3192" s="29">
        <f>IFERROR(J3192*D3192,0)</f>
      </c>
      <c r="L3192" s="29">
        <f>IFERROR(E3192*C3192,0)</f>
      </c>
      <c r="M3192" s="29">
        <f>IFERROR((G3192*H3192*I3192/1000000)*D3192,0)</f>
      </c>
    </row>
    <row r="3193" spans="1:13" x14ac:dyDescent="0.25">
      <c r="A3193" s="16"/>
      <c r="E3193" s="27"/>
      <c r="F3193" t="s">
        <v>26</v>
      </c>
      <c r="G3193" s="28">
        <f>IFERROR(VLOOKUP(F3193,CARTON_LOOKUP!$A:$E,3,0),"")</f>
      </c>
      <c r="H3193" s="28">
        <f>IFERROR(VLOOKUP(F3193,CARTON_LOOKUP!$A:$E,4,0),"")</f>
      </c>
      <c r="I3193" s="28">
        <f>IFERROR(VLOOKUP(F3193,CARTON_LOOKUP!$A:$E,5,0),"")</f>
      </c>
      <c r="J3193" s="29">
        <f>IFERROR(VLOOKUP(F3193,CARTON_LOOKUP!$A:$E,2,0),"")</f>
      </c>
      <c r="K3193" s="29">
        <f>IFERROR(J3193*D3193,0)</f>
      </c>
      <c r="L3193" s="29">
        <f>IFERROR(E3193*C3193,0)</f>
      </c>
      <c r="M3193" s="29">
        <f>IFERROR((G3193*H3193*I3193/1000000)*D3193,0)</f>
      </c>
    </row>
    <row r="3194" spans="1:13" x14ac:dyDescent="0.25">
      <c r="A3194" s="16"/>
      <c r="E3194" s="27"/>
      <c r="F3194" t="s">
        <v>26</v>
      </c>
      <c r="G3194" s="28">
        <f>IFERROR(VLOOKUP(F3194,CARTON_LOOKUP!$A:$E,3,0),"")</f>
      </c>
      <c r="H3194" s="28">
        <f>IFERROR(VLOOKUP(F3194,CARTON_LOOKUP!$A:$E,4,0),"")</f>
      </c>
      <c r="I3194" s="28">
        <f>IFERROR(VLOOKUP(F3194,CARTON_LOOKUP!$A:$E,5,0),"")</f>
      </c>
      <c r="J3194" s="29">
        <f>IFERROR(VLOOKUP(F3194,CARTON_LOOKUP!$A:$E,2,0),"")</f>
      </c>
      <c r="K3194" s="29">
        <f>IFERROR(J3194*D3194,0)</f>
      </c>
      <c r="L3194" s="29">
        <f>IFERROR(E3194*C3194,0)</f>
      </c>
      <c r="M3194" s="29">
        <f>IFERROR((G3194*H3194*I3194/1000000)*D3194,0)</f>
      </c>
    </row>
    <row r="3195" spans="1:13" x14ac:dyDescent="0.25">
      <c r="A3195" s="16"/>
      <c r="E3195" s="27"/>
      <c r="F3195" t="s">
        <v>26</v>
      </c>
      <c r="G3195" s="28">
        <f>IFERROR(VLOOKUP(F3195,CARTON_LOOKUP!$A:$E,3,0),"")</f>
      </c>
      <c r="H3195" s="28">
        <f>IFERROR(VLOOKUP(F3195,CARTON_LOOKUP!$A:$E,4,0),"")</f>
      </c>
      <c r="I3195" s="28">
        <f>IFERROR(VLOOKUP(F3195,CARTON_LOOKUP!$A:$E,5,0),"")</f>
      </c>
      <c r="J3195" s="29">
        <f>IFERROR(VLOOKUP(F3195,CARTON_LOOKUP!$A:$E,2,0),"")</f>
      </c>
      <c r="K3195" s="29">
        <f>IFERROR(J3195*D3195,0)</f>
      </c>
      <c r="L3195" s="29">
        <f>IFERROR(E3195*C3195,0)</f>
      </c>
      <c r="M3195" s="29">
        <f>IFERROR((G3195*H3195*I3195/1000000)*D3195,0)</f>
      </c>
    </row>
    <row r="3196" spans="1:13" x14ac:dyDescent="0.25">
      <c r="A3196" s="16"/>
      <c r="E3196" s="27"/>
      <c r="F3196" t="s">
        <v>26</v>
      </c>
      <c r="G3196" s="28">
        <f>IFERROR(VLOOKUP(F3196,CARTON_LOOKUP!$A:$E,3,0),"")</f>
      </c>
      <c r="H3196" s="28">
        <f>IFERROR(VLOOKUP(F3196,CARTON_LOOKUP!$A:$E,4,0),"")</f>
      </c>
      <c r="I3196" s="28">
        <f>IFERROR(VLOOKUP(F3196,CARTON_LOOKUP!$A:$E,5,0),"")</f>
      </c>
      <c r="J3196" s="29">
        <f>IFERROR(VLOOKUP(F3196,CARTON_LOOKUP!$A:$E,2,0),"")</f>
      </c>
      <c r="K3196" s="29">
        <f>IFERROR(J3196*D3196,0)</f>
      </c>
      <c r="L3196" s="29">
        <f>IFERROR(E3196*C3196,0)</f>
      </c>
      <c r="M3196" s="29">
        <f>IFERROR((G3196*H3196*I3196/1000000)*D3196,0)</f>
      </c>
    </row>
    <row r="3197" spans="1:13" x14ac:dyDescent="0.25">
      <c r="A3197" s="16"/>
      <c r="E3197" s="27"/>
      <c r="F3197" t="s">
        <v>26</v>
      </c>
      <c r="G3197" s="28">
        <f>IFERROR(VLOOKUP(F3197,CARTON_LOOKUP!$A:$E,3,0),"")</f>
      </c>
      <c r="H3197" s="28">
        <f>IFERROR(VLOOKUP(F3197,CARTON_LOOKUP!$A:$E,4,0),"")</f>
      </c>
      <c r="I3197" s="28">
        <f>IFERROR(VLOOKUP(F3197,CARTON_LOOKUP!$A:$E,5,0),"")</f>
      </c>
      <c r="J3197" s="29">
        <f>IFERROR(VLOOKUP(F3197,CARTON_LOOKUP!$A:$E,2,0),"")</f>
      </c>
      <c r="K3197" s="29">
        <f>IFERROR(J3197*D3197,0)</f>
      </c>
      <c r="L3197" s="29">
        <f>IFERROR(E3197*C3197,0)</f>
      </c>
      <c r="M3197" s="29">
        <f>IFERROR((G3197*H3197*I3197/1000000)*D3197,0)</f>
      </c>
    </row>
    <row r="3198" spans="1:13" x14ac:dyDescent="0.25">
      <c r="A3198" s="16"/>
      <c r="E3198" s="27"/>
      <c r="F3198" t="s">
        <v>26</v>
      </c>
      <c r="G3198" s="28">
        <f>IFERROR(VLOOKUP(F3198,CARTON_LOOKUP!$A:$E,3,0),"")</f>
      </c>
      <c r="H3198" s="28">
        <f>IFERROR(VLOOKUP(F3198,CARTON_LOOKUP!$A:$E,4,0),"")</f>
      </c>
      <c r="I3198" s="28">
        <f>IFERROR(VLOOKUP(F3198,CARTON_LOOKUP!$A:$E,5,0),"")</f>
      </c>
      <c r="J3198" s="29">
        <f>IFERROR(VLOOKUP(F3198,CARTON_LOOKUP!$A:$E,2,0),"")</f>
      </c>
      <c r="K3198" s="29">
        <f>IFERROR(J3198*D3198,0)</f>
      </c>
      <c r="L3198" s="29">
        <f>IFERROR(E3198*C3198,0)</f>
      </c>
      <c r="M3198" s="29">
        <f>IFERROR((G3198*H3198*I3198/1000000)*D3198,0)</f>
      </c>
    </row>
    <row r="3199" spans="1:13" x14ac:dyDescent="0.25">
      <c r="A3199" s="16"/>
      <c r="E3199" s="27"/>
      <c r="F3199" t="s">
        <v>26</v>
      </c>
      <c r="G3199" s="28">
        <f>IFERROR(VLOOKUP(F3199,CARTON_LOOKUP!$A:$E,3,0),"")</f>
      </c>
      <c r="H3199" s="28">
        <f>IFERROR(VLOOKUP(F3199,CARTON_LOOKUP!$A:$E,4,0),"")</f>
      </c>
      <c r="I3199" s="28">
        <f>IFERROR(VLOOKUP(F3199,CARTON_LOOKUP!$A:$E,5,0),"")</f>
      </c>
      <c r="J3199" s="29">
        <f>IFERROR(VLOOKUP(F3199,CARTON_LOOKUP!$A:$E,2,0),"")</f>
      </c>
      <c r="K3199" s="29">
        <f>IFERROR(J3199*D3199,0)</f>
      </c>
      <c r="L3199" s="29">
        <f>IFERROR(E3199*C3199,0)</f>
      </c>
      <c r="M3199" s="29">
        <f>IFERROR((G3199*H3199*I3199/1000000)*D3199,0)</f>
      </c>
    </row>
    <row r="3200" spans="1:13" x14ac:dyDescent="0.25">
      <c r="A3200" s="16"/>
      <c r="E3200" s="27"/>
      <c r="F3200" t="s">
        <v>26</v>
      </c>
      <c r="G3200" s="28">
        <f>IFERROR(VLOOKUP(F3200,CARTON_LOOKUP!$A:$E,3,0),"")</f>
      </c>
      <c r="H3200" s="28">
        <f>IFERROR(VLOOKUP(F3200,CARTON_LOOKUP!$A:$E,4,0),"")</f>
      </c>
      <c r="I3200" s="28">
        <f>IFERROR(VLOOKUP(F3200,CARTON_LOOKUP!$A:$E,5,0),"")</f>
      </c>
      <c r="J3200" s="29">
        <f>IFERROR(VLOOKUP(F3200,CARTON_LOOKUP!$A:$E,2,0),"")</f>
      </c>
      <c r="K3200" s="29">
        <f>IFERROR(J3200*D3200,0)</f>
      </c>
      <c r="L3200" s="29">
        <f>IFERROR(E3200*C3200,0)</f>
      </c>
      <c r="M3200" s="29">
        <f>IFERROR((G3200*H3200*I3200/1000000)*D3200,0)</f>
      </c>
    </row>
    <row r="3201" spans="1:13" x14ac:dyDescent="0.25">
      <c r="A3201" s="16"/>
      <c r="E3201" s="27"/>
      <c r="F3201" t="s">
        <v>26</v>
      </c>
      <c r="G3201" s="28">
        <f>IFERROR(VLOOKUP(F3201,CARTON_LOOKUP!$A:$E,3,0),"")</f>
      </c>
      <c r="H3201" s="28">
        <f>IFERROR(VLOOKUP(F3201,CARTON_LOOKUP!$A:$E,4,0),"")</f>
      </c>
      <c r="I3201" s="28">
        <f>IFERROR(VLOOKUP(F3201,CARTON_LOOKUP!$A:$E,5,0),"")</f>
      </c>
      <c r="J3201" s="29">
        <f>IFERROR(VLOOKUP(F3201,CARTON_LOOKUP!$A:$E,2,0),"")</f>
      </c>
      <c r="K3201" s="29">
        <f>IFERROR(J3201*D3201,0)</f>
      </c>
      <c r="L3201" s="29">
        <f>IFERROR(E3201*C3201,0)</f>
      </c>
      <c r="M3201" s="29">
        <f>IFERROR((G3201*H3201*I3201/1000000)*D3201,0)</f>
      </c>
    </row>
    <row r="3202" spans="1:13" x14ac:dyDescent="0.25">
      <c r="A3202" s="16"/>
      <c r="E3202" s="27"/>
      <c r="F3202" t="s">
        <v>26</v>
      </c>
      <c r="G3202" s="28">
        <f>IFERROR(VLOOKUP(F3202,CARTON_LOOKUP!$A:$E,3,0),"")</f>
      </c>
      <c r="H3202" s="28">
        <f>IFERROR(VLOOKUP(F3202,CARTON_LOOKUP!$A:$E,4,0),"")</f>
      </c>
      <c r="I3202" s="28">
        <f>IFERROR(VLOOKUP(F3202,CARTON_LOOKUP!$A:$E,5,0),"")</f>
      </c>
      <c r="J3202" s="29">
        <f>IFERROR(VLOOKUP(F3202,CARTON_LOOKUP!$A:$E,2,0),"")</f>
      </c>
      <c r="K3202" s="29">
        <f>IFERROR(J3202*D3202,0)</f>
      </c>
      <c r="L3202" s="29">
        <f>IFERROR(E3202*C3202,0)</f>
      </c>
      <c r="M3202" s="29">
        <f>IFERROR((G3202*H3202*I3202/1000000)*D3202,0)</f>
      </c>
    </row>
    <row r="3203" spans="1:13" x14ac:dyDescent="0.25">
      <c r="A3203" s="16"/>
      <c r="E3203" s="27"/>
      <c r="F3203" t="s">
        <v>26</v>
      </c>
      <c r="G3203" s="28">
        <f>IFERROR(VLOOKUP(F3203,CARTON_LOOKUP!$A:$E,3,0),"")</f>
      </c>
      <c r="H3203" s="28">
        <f>IFERROR(VLOOKUP(F3203,CARTON_LOOKUP!$A:$E,4,0),"")</f>
      </c>
      <c r="I3203" s="28">
        <f>IFERROR(VLOOKUP(F3203,CARTON_LOOKUP!$A:$E,5,0),"")</f>
      </c>
      <c r="J3203" s="29">
        <f>IFERROR(VLOOKUP(F3203,CARTON_LOOKUP!$A:$E,2,0),"")</f>
      </c>
      <c r="K3203" s="29">
        <f>IFERROR(J3203*D3203,0)</f>
      </c>
      <c r="L3203" s="29">
        <f>IFERROR(E3203*C3203,0)</f>
      </c>
      <c r="M3203" s="29">
        <f>IFERROR((G3203*H3203*I3203/1000000)*D3203,0)</f>
      </c>
    </row>
    <row r="3204" spans="1:13" x14ac:dyDescent="0.25">
      <c r="A3204" s="16"/>
      <c r="E3204" s="27"/>
      <c r="F3204" t="s">
        <v>26</v>
      </c>
      <c r="G3204" s="28">
        <f>IFERROR(VLOOKUP(F3204,CARTON_LOOKUP!$A:$E,3,0),"")</f>
      </c>
      <c r="H3204" s="28">
        <f>IFERROR(VLOOKUP(F3204,CARTON_LOOKUP!$A:$E,4,0),"")</f>
      </c>
      <c r="I3204" s="28">
        <f>IFERROR(VLOOKUP(F3204,CARTON_LOOKUP!$A:$E,5,0),"")</f>
      </c>
      <c r="J3204" s="29">
        <f>IFERROR(VLOOKUP(F3204,CARTON_LOOKUP!$A:$E,2,0),"")</f>
      </c>
      <c r="K3204" s="29">
        <f>IFERROR(J3204*D3204,0)</f>
      </c>
      <c r="L3204" s="29">
        <f>IFERROR(E3204*C3204,0)</f>
      </c>
      <c r="M3204" s="29">
        <f>IFERROR((G3204*H3204*I3204/1000000)*D3204,0)</f>
      </c>
    </row>
    <row r="3205" spans="1:13" x14ac:dyDescent="0.25">
      <c r="A3205" s="16"/>
      <c r="E3205" s="27"/>
      <c r="F3205" t="s">
        <v>26</v>
      </c>
      <c r="G3205" s="28">
        <f>IFERROR(VLOOKUP(F3205,CARTON_LOOKUP!$A:$E,3,0),"")</f>
      </c>
      <c r="H3205" s="28">
        <f>IFERROR(VLOOKUP(F3205,CARTON_LOOKUP!$A:$E,4,0),"")</f>
      </c>
      <c r="I3205" s="28">
        <f>IFERROR(VLOOKUP(F3205,CARTON_LOOKUP!$A:$E,5,0),"")</f>
      </c>
      <c r="J3205" s="29">
        <f>IFERROR(VLOOKUP(F3205,CARTON_LOOKUP!$A:$E,2,0),"")</f>
      </c>
      <c r="K3205" s="29">
        <f>IFERROR(J3205*D3205,0)</f>
      </c>
      <c r="L3205" s="29">
        <f>IFERROR(E3205*C3205,0)</f>
      </c>
      <c r="M3205" s="29">
        <f>IFERROR((G3205*H3205*I3205/1000000)*D3205,0)</f>
      </c>
    </row>
    <row r="3206" spans="1:13" x14ac:dyDescent="0.25">
      <c r="A3206" s="16"/>
      <c r="E3206" s="27"/>
      <c r="F3206" t="s">
        <v>26</v>
      </c>
      <c r="G3206" s="28">
        <f>IFERROR(VLOOKUP(F3206,CARTON_LOOKUP!$A:$E,3,0),"")</f>
      </c>
      <c r="H3206" s="28">
        <f>IFERROR(VLOOKUP(F3206,CARTON_LOOKUP!$A:$E,4,0),"")</f>
      </c>
      <c r="I3206" s="28">
        <f>IFERROR(VLOOKUP(F3206,CARTON_LOOKUP!$A:$E,5,0),"")</f>
      </c>
      <c r="J3206" s="29">
        <f>IFERROR(VLOOKUP(F3206,CARTON_LOOKUP!$A:$E,2,0),"")</f>
      </c>
      <c r="K3206" s="29">
        <f>IFERROR(J3206*D3206,0)</f>
      </c>
      <c r="L3206" s="29">
        <f>IFERROR(E3206*C3206,0)</f>
      </c>
      <c r="M3206" s="29">
        <f>IFERROR((G3206*H3206*I3206/1000000)*D3206,0)</f>
      </c>
    </row>
    <row r="3207" spans="1:13" x14ac:dyDescent="0.25">
      <c r="A3207" s="16"/>
      <c r="E3207" s="27"/>
      <c r="F3207" t="s">
        <v>26</v>
      </c>
      <c r="G3207" s="28">
        <f>IFERROR(VLOOKUP(F3207,CARTON_LOOKUP!$A:$E,3,0),"")</f>
      </c>
      <c r="H3207" s="28">
        <f>IFERROR(VLOOKUP(F3207,CARTON_LOOKUP!$A:$E,4,0),"")</f>
      </c>
      <c r="I3207" s="28">
        <f>IFERROR(VLOOKUP(F3207,CARTON_LOOKUP!$A:$E,5,0),"")</f>
      </c>
      <c r="J3207" s="29">
        <f>IFERROR(VLOOKUP(F3207,CARTON_LOOKUP!$A:$E,2,0),"")</f>
      </c>
      <c r="K3207" s="29">
        <f>IFERROR(J3207*D3207,0)</f>
      </c>
      <c r="L3207" s="29">
        <f>IFERROR(E3207*C3207,0)</f>
      </c>
      <c r="M3207" s="29">
        <f>IFERROR((G3207*H3207*I3207/1000000)*D3207,0)</f>
      </c>
    </row>
    <row r="3208" spans="1:13" x14ac:dyDescent="0.25">
      <c r="A3208" s="16"/>
      <c r="E3208" s="27"/>
      <c r="F3208" t="s">
        <v>26</v>
      </c>
      <c r="G3208" s="28">
        <f>IFERROR(VLOOKUP(F3208,CARTON_LOOKUP!$A:$E,3,0),"")</f>
      </c>
      <c r="H3208" s="28">
        <f>IFERROR(VLOOKUP(F3208,CARTON_LOOKUP!$A:$E,4,0),"")</f>
      </c>
      <c r="I3208" s="28">
        <f>IFERROR(VLOOKUP(F3208,CARTON_LOOKUP!$A:$E,5,0),"")</f>
      </c>
      <c r="J3208" s="29">
        <f>IFERROR(VLOOKUP(F3208,CARTON_LOOKUP!$A:$E,2,0),"")</f>
      </c>
      <c r="K3208" s="29">
        <f>IFERROR(J3208*D3208,0)</f>
      </c>
      <c r="L3208" s="29">
        <f>IFERROR(E3208*C3208,0)</f>
      </c>
      <c r="M3208" s="29">
        <f>IFERROR((G3208*H3208*I3208/1000000)*D3208,0)</f>
      </c>
    </row>
    <row r="3209" spans="1:13" x14ac:dyDescent="0.25">
      <c r="A3209" s="16"/>
      <c r="E3209" s="27"/>
      <c r="F3209" t="s">
        <v>26</v>
      </c>
      <c r="G3209" s="28">
        <f>IFERROR(VLOOKUP(F3209,CARTON_LOOKUP!$A:$E,3,0),"")</f>
      </c>
      <c r="H3209" s="28">
        <f>IFERROR(VLOOKUP(F3209,CARTON_LOOKUP!$A:$E,4,0),"")</f>
      </c>
      <c r="I3209" s="28">
        <f>IFERROR(VLOOKUP(F3209,CARTON_LOOKUP!$A:$E,5,0),"")</f>
      </c>
      <c r="J3209" s="29">
        <f>IFERROR(VLOOKUP(F3209,CARTON_LOOKUP!$A:$E,2,0),"")</f>
      </c>
      <c r="K3209" s="29">
        <f>IFERROR(J3209*D3209,0)</f>
      </c>
      <c r="L3209" s="29">
        <f>IFERROR(E3209*C3209,0)</f>
      </c>
      <c r="M3209" s="29">
        <f>IFERROR((G3209*H3209*I3209/1000000)*D3209,0)</f>
      </c>
    </row>
    <row r="3210" spans="1:13" x14ac:dyDescent="0.25">
      <c r="A3210" s="16"/>
      <c r="E3210" s="27"/>
      <c r="F3210" t="s">
        <v>26</v>
      </c>
      <c r="G3210" s="28">
        <f>IFERROR(VLOOKUP(F3210,CARTON_LOOKUP!$A:$E,3,0),"")</f>
      </c>
      <c r="H3210" s="28">
        <f>IFERROR(VLOOKUP(F3210,CARTON_LOOKUP!$A:$E,4,0),"")</f>
      </c>
      <c r="I3210" s="28">
        <f>IFERROR(VLOOKUP(F3210,CARTON_LOOKUP!$A:$E,5,0),"")</f>
      </c>
      <c r="J3210" s="29">
        <f>IFERROR(VLOOKUP(F3210,CARTON_LOOKUP!$A:$E,2,0),"")</f>
      </c>
      <c r="K3210" s="29">
        <f>IFERROR(J3210*D3210,0)</f>
      </c>
      <c r="L3210" s="29">
        <f>IFERROR(E3210*C3210,0)</f>
      </c>
      <c r="M3210" s="29">
        <f>IFERROR((G3210*H3210*I3210/1000000)*D3210,0)</f>
      </c>
    </row>
    <row r="3211" spans="1:13" x14ac:dyDescent="0.25">
      <c r="A3211" s="16"/>
      <c r="E3211" s="27"/>
      <c r="F3211" t="s">
        <v>26</v>
      </c>
      <c r="G3211" s="28">
        <f>IFERROR(VLOOKUP(F3211,CARTON_LOOKUP!$A:$E,3,0),"")</f>
      </c>
      <c r="H3211" s="28">
        <f>IFERROR(VLOOKUP(F3211,CARTON_LOOKUP!$A:$E,4,0),"")</f>
      </c>
      <c r="I3211" s="28">
        <f>IFERROR(VLOOKUP(F3211,CARTON_LOOKUP!$A:$E,5,0),"")</f>
      </c>
      <c r="J3211" s="29">
        <f>IFERROR(VLOOKUP(F3211,CARTON_LOOKUP!$A:$E,2,0),"")</f>
      </c>
      <c r="K3211" s="29">
        <f>IFERROR(J3211*D3211,0)</f>
      </c>
      <c r="L3211" s="29">
        <f>IFERROR(E3211*C3211,0)</f>
      </c>
      <c r="M3211" s="29">
        <f>IFERROR((G3211*H3211*I3211/1000000)*D3211,0)</f>
      </c>
    </row>
    <row r="3212" spans="1:13" x14ac:dyDescent="0.25">
      <c r="A3212" s="16"/>
      <c r="E3212" s="27"/>
      <c r="F3212" t="s">
        <v>26</v>
      </c>
      <c r="G3212" s="28">
        <f>IFERROR(VLOOKUP(F3212,CARTON_LOOKUP!$A:$E,3,0),"")</f>
      </c>
      <c r="H3212" s="28">
        <f>IFERROR(VLOOKUP(F3212,CARTON_LOOKUP!$A:$E,4,0),"")</f>
      </c>
      <c r="I3212" s="28">
        <f>IFERROR(VLOOKUP(F3212,CARTON_LOOKUP!$A:$E,5,0),"")</f>
      </c>
      <c r="J3212" s="29">
        <f>IFERROR(VLOOKUP(F3212,CARTON_LOOKUP!$A:$E,2,0),"")</f>
      </c>
      <c r="K3212" s="29">
        <f>IFERROR(J3212*D3212,0)</f>
      </c>
      <c r="L3212" s="29">
        <f>IFERROR(E3212*C3212,0)</f>
      </c>
      <c r="M3212" s="29">
        <f>IFERROR((G3212*H3212*I3212/1000000)*D3212,0)</f>
      </c>
    </row>
    <row r="3213" spans="1:13" x14ac:dyDescent="0.25">
      <c r="A3213" s="16"/>
      <c r="E3213" s="27"/>
      <c r="F3213" t="s">
        <v>26</v>
      </c>
      <c r="G3213" s="28">
        <f>IFERROR(VLOOKUP(F3213,CARTON_LOOKUP!$A:$E,3,0),"")</f>
      </c>
      <c r="H3213" s="28">
        <f>IFERROR(VLOOKUP(F3213,CARTON_LOOKUP!$A:$E,4,0),"")</f>
      </c>
      <c r="I3213" s="28">
        <f>IFERROR(VLOOKUP(F3213,CARTON_LOOKUP!$A:$E,5,0),"")</f>
      </c>
      <c r="J3213" s="29">
        <f>IFERROR(VLOOKUP(F3213,CARTON_LOOKUP!$A:$E,2,0),"")</f>
      </c>
      <c r="K3213" s="29">
        <f>IFERROR(J3213*D3213,0)</f>
      </c>
      <c r="L3213" s="29">
        <f>IFERROR(E3213*C3213,0)</f>
      </c>
      <c r="M3213" s="29">
        <f>IFERROR((G3213*H3213*I3213/1000000)*D3213,0)</f>
      </c>
    </row>
    <row r="3214" spans="1:13" x14ac:dyDescent="0.25">
      <c r="A3214" s="16"/>
      <c r="E3214" s="27"/>
      <c r="F3214" t="s">
        <v>26</v>
      </c>
      <c r="G3214" s="28">
        <f>IFERROR(VLOOKUP(F3214,CARTON_LOOKUP!$A:$E,3,0),"")</f>
      </c>
      <c r="H3214" s="28">
        <f>IFERROR(VLOOKUP(F3214,CARTON_LOOKUP!$A:$E,4,0),"")</f>
      </c>
      <c r="I3214" s="28">
        <f>IFERROR(VLOOKUP(F3214,CARTON_LOOKUP!$A:$E,5,0),"")</f>
      </c>
      <c r="J3214" s="29">
        <f>IFERROR(VLOOKUP(F3214,CARTON_LOOKUP!$A:$E,2,0),"")</f>
      </c>
      <c r="K3214" s="29">
        <f>IFERROR(J3214*D3214,0)</f>
      </c>
      <c r="L3214" s="29">
        <f>IFERROR(E3214*C3214,0)</f>
      </c>
      <c r="M3214" s="29">
        <f>IFERROR((G3214*H3214*I3214/1000000)*D3214,0)</f>
      </c>
    </row>
    <row r="3215" spans="1:13" x14ac:dyDescent="0.25">
      <c r="A3215" s="16"/>
      <c r="E3215" s="27"/>
      <c r="F3215" t="s">
        <v>26</v>
      </c>
      <c r="G3215" s="28">
        <f>IFERROR(VLOOKUP(F3215,CARTON_LOOKUP!$A:$E,3,0),"")</f>
      </c>
      <c r="H3215" s="28">
        <f>IFERROR(VLOOKUP(F3215,CARTON_LOOKUP!$A:$E,4,0),"")</f>
      </c>
      <c r="I3215" s="28">
        <f>IFERROR(VLOOKUP(F3215,CARTON_LOOKUP!$A:$E,5,0),"")</f>
      </c>
      <c r="J3215" s="29">
        <f>IFERROR(VLOOKUP(F3215,CARTON_LOOKUP!$A:$E,2,0),"")</f>
      </c>
      <c r="K3215" s="29">
        <f>IFERROR(J3215*D3215,0)</f>
      </c>
      <c r="L3215" s="29">
        <f>IFERROR(E3215*C3215,0)</f>
      </c>
      <c r="M3215" s="29">
        <f>IFERROR((G3215*H3215*I3215/1000000)*D3215,0)</f>
      </c>
    </row>
    <row r="3216" spans="1:13" x14ac:dyDescent="0.25">
      <c r="A3216" s="16"/>
      <c r="E3216" s="27"/>
      <c r="F3216" t="s">
        <v>26</v>
      </c>
      <c r="G3216" s="28">
        <f>IFERROR(VLOOKUP(F3216,CARTON_LOOKUP!$A:$E,3,0),"")</f>
      </c>
      <c r="H3216" s="28">
        <f>IFERROR(VLOOKUP(F3216,CARTON_LOOKUP!$A:$E,4,0),"")</f>
      </c>
      <c r="I3216" s="28">
        <f>IFERROR(VLOOKUP(F3216,CARTON_LOOKUP!$A:$E,5,0),"")</f>
      </c>
      <c r="J3216" s="29">
        <f>IFERROR(VLOOKUP(F3216,CARTON_LOOKUP!$A:$E,2,0),"")</f>
      </c>
      <c r="K3216" s="29">
        <f>IFERROR(J3216*D3216,0)</f>
      </c>
      <c r="L3216" s="29">
        <f>IFERROR(E3216*C3216,0)</f>
      </c>
      <c r="M3216" s="29">
        <f>IFERROR((G3216*H3216*I3216/1000000)*D3216,0)</f>
      </c>
    </row>
    <row r="3217" spans="1:13" x14ac:dyDescent="0.25">
      <c r="A3217" s="16"/>
      <c r="E3217" s="27"/>
      <c r="F3217" t="s">
        <v>26</v>
      </c>
      <c r="G3217" s="28">
        <f>IFERROR(VLOOKUP(F3217,CARTON_LOOKUP!$A:$E,3,0),"")</f>
      </c>
      <c r="H3217" s="28">
        <f>IFERROR(VLOOKUP(F3217,CARTON_LOOKUP!$A:$E,4,0),"")</f>
      </c>
      <c r="I3217" s="28">
        <f>IFERROR(VLOOKUP(F3217,CARTON_LOOKUP!$A:$E,5,0),"")</f>
      </c>
      <c r="J3217" s="29">
        <f>IFERROR(VLOOKUP(F3217,CARTON_LOOKUP!$A:$E,2,0),"")</f>
      </c>
      <c r="K3217" s="29">
        <f>IFERROR(J3217*D3217,0)</f>
      </c>
      <c r="L3217" s="29">
        <f>IFERROR(E3217*C3217,0)</f>
      </c>
      <c r="M3217" s="29">
        <f>IFERROR((G3217*H3217*I3217/1000000)*D3217,0)</f>
      </c>
    </row>
    <row r="3218" spans="1:13" x14ac:dyDescent="0.25">
      <c r="A3218" s="16"/>
      <c r="E3218" s="27"/>
      <c r="F3218" t="s">
        <v>26</v>
      </c>
      <c r="G3218" s="28">
        <f>IFERROR(VLOOKUP(F3218,CARTON_LOOKUP!$A:$E,3,0),"")</f>
      </c>
      <c r="H3218" s="28">
        <f>IFERROR(VLOOKUP(F3218,CARTON_LOOKUP!$A:$E,4,0),"")</f>
      </c>
      <c r="I3218" s="28">
        <f>IFERROR(VLOOKUP(F3218,CARTON_LOOKUP!$A:$E,5,0),"")</f>
      </c>
      <c r="J3218" s="29">
        <f>IFERROR(VLOOKUP(F3218,CARTON_LOOKUP!$A:$E,2,0),"")</f>
      </c>
      <c r="K3218" s="29">
        <f>IFERROR(J3218*D3218,0)</f>
      </c>
      <c r="L3218" s="29">
        <f>IFERROR(E3218*C3218,0)</f>
      </c>
      <c r="M3218" s="29">
        <f>IFERROR((G3218*H3218*I3218/1000000)*D3218,0)</f>
      </c>
    </row>
    <row r="3219" spans="1:13" x14ac:dyDescent="0.25">
      <c r="A3219" s="16"/>
      <c r="E3219" s="27"/>
      <c r="F3219" t="s">
        <v>26</v>
      </c>
      <c r="G3219" s="28">
        <f>IFERROR(VLOOKUP(F3219,CARTON_LOOKUP!$A:$E,3,0),"")</f>
      </c>
      <c r="H3219" s="28">
        <f>IFERROR(VLOOKUP(F3219,CARTON_LOOKUP!$A:$E,4,0),"")</f>
      </c>
      <c r="I3219" s="28">
        <f>IFERROR(VLOOKUP(F3219,CARTON_LOOKUP!$A:$E,5,0),"")</f>
      </c>
      <c r="J3219" s="29">
        <f>IFERROR(VLOOKUP(F3219,CARTON_LOOKUP!$A:$E,2,0),"")</f>
      </c>
      <c r="K3219" s="29">
        <f>IFERROR(J3219*D3219,0)</f>
      </c>
      <c r="L3219" s="29">
        <f>IFERROR(E3219*C3219,0)</f>
      </c>
      <c r="M3219" s="29">
        <f>IFERROR((G3219*H3219*I3219/1000000)*D3219,0)</f>
      </c>
    </row>
    <row r="3220" spans="1:13" x14ac:dyDescent="0.25">
      <c r="A3220" s="16"/>
      <c r="E3220" s="27"/>
      <c r="F3220" t="s">
        <v>26</v>
      </c>
      <c r="G3220" s="28">
        <f>IFERROR(VLOOKUP(F3220,CARTON_LOOKUP!$A:$E,3,0),"")</f>
      </c>
      <c r="H3220" s="28">
        <f>IFERROR(VLOOKUP(F3220,CARTON_LOOKUP!$A:$E,4,0),"")</f>
      </c>
      <c r="I3220" s="28">
        <f>IFERROR(VLOOKUP(F3220,CARTON_LOOKUP!$A:$E,5,0),"")</f>
      </c>
      <c r="J3220" s="29">
        <f>IFERROR(VLOOKUP(F3220,CARTON_LOOKUP!$A:$E,2,0),"")</f>
      </c>
      <c r="K3220" s="29">
        <f>IFERROR(J3220*D3220,0)</f>
      </c>
      <c r="L3220" s="29">
        <f>IFERROR(E3220*C3220,0)</f>
      </c>
      <c r="M3220" s="29">
        <f>IFERROR((G3220*H3220*I3220/1000000)*D3220,0)</f>
      </c>
    </row>
    <row r="3221" spans="1:13" x14ac:dyDescent="0.25">
      <c r="A3221" s="16"/>
      <c r="E3221" s="27"/>
      <c r="F3221" t="s">
        <v>26</v>
      </c>
      <c r="G3221" s="28">
        <f>IFERROR(VLOOKUP(F3221,CARTON_LOOKUP!$A:$E,3,0),"")</f>
      </c>
      <c r="H3221" s="28">
        <f>IFERROR(VLOOKUP(F3221,CARTON_LOOKUP!$A:$E,4,0),"")</f>
      </c>
      <c r="I3221" s="28">
        <f>IFERROR(VLOOKUP(F3221,CARTON_LOOKUP!$A:$E,5,0),"")</f>
      </c>
      <c r="J3221" s="29">
        <f>IFERROR(VLOOKUP(F3221,CARTON_LOOKUP!$A:$E,2,0),"")</f>
      </c>
      <c r="K3221" s="29">
        <f>IFERROR(J3221*D3221,0)</f>
      </c>
      <c r="L3221" s="29">
        <f>IFERROR(E3221*C3221,0)</f>
      </c>
      <c r="M3221" s="29">
        <f>IFERROR((G3221*H3221*I3221/1000000)*D3221,0)</f>
      </c>
    </row>
    <row r="3222" spans="1:13" x14ac:dyDescent="0.25">
      <c r="A3222" s="16"/>
      <c r="E3222" s="27"/>
      <c r="F3222" t="s">
        <v>26</v>
      </c>
      <c r="G3222" s="28">
        <f>IFERROR(VLOOKUP(F3222,CARTON_LOOKUP!$A:$E,3,0),"")</f>
      </c>
      <c r="H3222" s="28">
        <f>IFERROR(VLOOKUP(F3222,CARTON_LOOKUP!$A:$E,4,0),"")</f>
      </c>
      <c r="I3222" s="28">
        <f>IFERROR(VLOOKUP(F3222,CARTON_LOOKUP!$A:$E,5,0),"")</f>
      </c>
      <c r="J3222" s="29">
        <f>IFERROR(VLOOKUP(F3222,CARTON_LOOKUP!$A:$E,2,0),"")</f>
      </c>
      <c r="K3222" s="29">
        <f>IFERROR(J3222*D3222,0)</f>
      </c>
      <c r="L3222" s="29">
        <f>IFERROR(E3222*C3222,0)</f>
      </c>
      <c r="M3222" s="29">
        <f>IFERROR((G3222*H3222*I3222/1000000)*D3222,0)</f>
      </c>
    </row>
    <row r="3223" spans="1:13" x14ac:dyDescent="0.25">
      <c r="A3223" s="16"/>
      <c r="E3223" s="27"/>
      <c r="F3223" t="s">
        <v>26</v>
      </c>
      <c r="G3223" s="28">
        <f>IFERROR(VLOOKUP(F3223,CARTON_LOOKUP!$A:$E,3,0),"")</f>
      </c>
      <c r="H3223" s="28">
        <f>IFERROR(VLOOKUP(F3223,CARTON_LOOKUP!$A:$E,4,0),"")</f>
      </c>
      <c r="I3223" s="28">
        <f>IFERROR(VLOOKUP(F3223,CARTON_LOOKUP!$A:$E,5,0),"")</f>
      </c>
      <c r="J3223" s="29">
        <f>IFERROR(VLOOKUP(F3223,CARTON_LOOKUP!$A:$E,2,0),"")</f>
      </c>
      <c r="K3223" s="29">
        <f>IFERROR(J3223*D3223,0)</f>
      </c>
      <c r="L3223" s="29">
        <f>IFERROR(E3223*C3223,0)</f>
      </c>
      <c r="M3223" s="29">
        <f>IFERROR((G3223*H3223*I3223/1000000)*D3223,0)</f>
      </c>
    </row>
    <row r="3224" spans="1:13" x14ac:dyDescent="0.25">
      <c r="A3224" s="16"/>
      <c r="E3224" s="27"/>
      <c r="F3224" t="s">
        <v>26</v>
      </c>
      <c r="G3224" s="28">
        <f>IFERROR(VLOOKUP(F3224,CARTON_LOOKUP!$A:$E,3,0),"")</f>
      </c>
      <c r="H3224" s="28">
        <f>IFERROR(VLOOKUP(F3224,CARTON_LOOKUP!$A:$E,4,0),"")</f>
      </c>
      <c r="I3224" s="28">
        <f>IFERROR(VLOOKUP(F3224,CARTON_LOOKUP!$A:$E,5,0),"")</f>
      </c>
      <c r="J3224" s="29">
        <f>IFERROR(VLOOKUP(F3224,CARTON_LOOKUP!$A:$E,2,0),"")</f>
      </c>
      <c r="K3224" s="29">
        <f>IFERROR(J3224*D3224,0)</f>
      </c>
      <c r="L3224" s="29">
        <f>IFERROR(E3224*C3224,0)</f>
      </c>
      <c r="M3224" s="29">
        <f>IFERROR((G3224*H3224*I3224/1000000)*D3224,0)</f>
      </c>
    </row>
    <row r="3225" spans="1:13" x14ac:dyDescent="0.25">
      <c r="A3225" s="16"/>
      <c r="E3225" s="27"/>
      <c r="F3225" t="s">
        <v>26</v>
      </c>
      <c r="G3225" s="28">
        <f>IFERROR(VLOOKUP(F3225,CARTON_LOOKUP!$A:$E,3,0),"")</f>
      </c>
      <c r="H3225" s="28">
        <f>IFERROR(VLOOKUP(F3225,CARTON_LOOKUP!$A:$E,4,0),"")</f>
      </c>
      <c r="I3225" s="28">
        <f>IFERROR(VLOOKUP(F3225,CARTON_LOOKUP!$A:$E,5,0),"")</f>
      </c>
      <c r="J3225" s="29">
        <f>IFERROR(VLOOKUP(F3225,CARTON_LOOKUP!$A:$E,2,0),"")</f>
      </c>
      <c r="K3225" s="29">
        <f>IFERROR(J3225*D3225,0)</f>
      </c>
      <c r="L3225" s="29">
        <f>IFERROR(E3225*C3225,0)</f>
      </c>
      <c r="M3225" s="29">
        <f>IFERROR((G3225*H3225*I3225/1000000)*D3225,0)</f>
      </c>
    </row>
    <row r="3226" spans="1:13" x14ac:dyDescent="0.25">
      <c r="A3226" s="16"/>
      <c r="E3226" s="27"/>
      <c r="F3226" t="s">
        <v>26</v>
      </c>
      <c r="G3226" s="28">
        <f>IFERROR(VLOOKUP(F3226,CARTON_LOOKUP!$A:$E,3,0),"")</f>
      </c>
      <c r="H3226" s="28">
        <f>IFERROR(VLOOKUP(F3226,CARTON_LOOKUP!$A:$E,4,0),"")</f>
      </c>
      <c r="I3226" s="28">
        <f>IFERROR(VLOOKUP(F3226,CARTON_LOOKUP!$A:$E,5,0),"")</f>
      </c>
      <c r="J3226" s="29">
        <f>IFERROR(VLOOKUP(F3226,CARTON_LOOKUP!$A:$E,2,0),"")</f>
      </c>
      <c r="K3226" s="29">
        <f>IFERROR(J3226*D3226,0)</f>
      </c>
      <c r="L3226" s="29">
        <f>IFERROR(E3226*C3226,0)</f>
      </c>
      <c r="M3226" s="29">
        <f>IFERROR((G3226*H3226*I3226/1000000)*D3226,0)</f>
      </c>
    </row>
    <row r="3227" spans="1:13" x14ac:dyDescent="0.25">
      <c r="A3227" s="16"/>
      <c r="E3227" s="27"/>
      <c r="F3227" t="s">
        <v>26</v>
      </c>
      <c r="G3227" s="28">
        <f>IFERROR(VLOOKUP(F3227,CARTON_LOOKUP!$A:$E,3,0),"")</f>
      </c>
      <c r="H3227" s="28">
        <f>IFERROR(VLOOKUP(F3227,CARTON_LOOKUP!$A:$E,4,0),"")</f>
      </c>
      <c r="I3227" s="28">
        <f>IFERROR(VLOOKUP(F3227,CARTON_LOOKUP!$A:$E,5,0),"")</f>
      </c>
      <c r="J3227" s="29">
        <f>IFERROR(VLOOKUP(F3227,CARTON_LOOKUP!$A:$E,2,0),"")</f>
      </c>
      <c r="K3227" s="29">
        <f>IFERROR(J3227*D3227,0)</f>
      </c>
      <c r="L3227" s="29">
        <f>IFERROR(E3227*C3227,0)</f>
      </c>
      <c r="M3227" s="29">
        <f>IFERROR((G3227*H3227*I3227/1000000)*D3227,0)</f>
      </c>
    </row>
    <row r="3228" spans="1:13" x14ac:dyDescent="0.25">
      <c r="A3228" s="16"/>
      <c r="E3228" s="27"/>
      <c r="F3228" t="s">
        <v>26</v>
      </c>
      <c r="G3228" s="28">
        <f>IFERROR(VLOOKUP(F3228,CARTON_LOOKUP!$A:$E,3,0),"")</f>
      </c>
      <c r="H3228" s="28">
        <f>IFERROR(VLOOKUP(F3228,CARTON_LOOKUP!$A:$E,4,0),"")</f>
      </c>
      <c r="I3228" s="28">
        <f>IFERROR(VLOOKUP(F3228,CARTON_LOOKUP!$A:$E,5,0),"")</f>
      </c>
      <c r="J3228" s="29">
        <f>IFERROR(VLOOKUP(F3228,CARTON_LOOKUP!$A:$E,2,0),"")</f>
      </c>
      <c r="K3228" s="29">
        <f>IFERROR(J3228*D3228,0)</f>
      </c>
      <c r="L3228" s="29">
        <f>IFERROR(E3228*C3228,0)</f>
      </c>
      <c r="M3228" s="29">
        <f>IFERROR((G3228*H3228*I3228/1000000)*D3228,0)</f>
      </c>
    </row>
    <row r="3229" spans="1:13" x14ac:dyDescent="0.25">
      <c r="A3229" s="16"/>
      <c r="E3229" s="27"/>
      <c r="F3229" t="s">
        <v>26</v>
      </c>
      <c r="G3229" s="28">
        <f>IFERROR(VLOOKUP(F3229,CARTON_LOOKUP!$A:$E,3,0),"")</f>
      </c>
      <c r="H3229" s="28">
        <f>IFERROR(VLOOKUP(F3229,CARTON_LOOKUP!$A:$E,4,0),"")</f>
      </c>
      <c r="I3229" s="28">
        <f>IFERROR(VLOOKUP(F3229,CARTON_LOOKUP!$A:$E,5,0),"")</f>
      </c>
      <c r="J3229" s="29">
        <f>IFERROR(VLOOKUP(F3229,CARTON_LOOKUP!$A:$E,2,0),"")</f>
      </c>
      <c r="K3229" s="29">
        <f>IFERROR(J3229*D3229,0)</f>
      </c>
      <c r="L3229" s="29">
        <f>IFERROR(E3229*C3229,0)</f>
      </c>
      <c r="M3229" s="29">
        <f>IFERROR((G3229*H3229*I3229/1000000)*D3229,0)</f>
      </c>
    </row>
    <row r="3230" spans="1:13" x14ac:dyDescent="0.25">
      <c r="A3230" s="16"/>
      <c r="E3230" s="27"/>
      <c r="F3230" t="s">
        <v>26</v>
      </c>
      <c r="G3230" s="28">
        <f>IFERROR(VLOOKUP(F3230,CARTON_LOOKUP!$A:$E,3,0),"")</f>
      </c>
      <c r="H3230" s="28">
        <f>IFERROR(VLOOKUP(F3230,CARTON_LOOKUP!$A:$E,4,0),"")</f>
      </c>
      <c r="I3230" s="28">
        <f>IFERROR(VLOOKUP(F3230,CARTON_LOOKUP!$A:$E,5,0),"")</f>
      </c>
      <c r="J3230" s="29">
        <f>IFERROR(VLOOKUP(F3230,CARTON_LOOKUP!$A:$E,2,0),"")</f>
      </c>
      <c r="K3230" s="29">
        <f>IFERROR(J3230*D3230,0)</f>
      </c>
      <c r="L3230" s="29">
        <f>IFERROR(E3230*C3230,0)</f>
      </c>
      <c r="M3230" s="29">
        <f>IFERROR((G3230*H3230*I3230/1000000)*D3230,0)</f>
      </c>
    </row>
    <row r="3231" spans="1:13" x14ac:dyDescent="0.25">
      <c r="A3231" s="16"/>
      <c r="E3231" s="27"/>
      <c r="F3231" t="s">
        <v>26</v>
      </c>
      <c r="G3231" s="28">
        <f>IFERROR(VLOOKUP(F3231,CARTON_LOOKUP!$A:$E,3,0),"")</f>
      </c>
      <c r="H3231" s="28">
        <f>IFERROR(VLOOKUP(F3231,CARTON_LOOKUP!$A:$E,4,0),"")</f>
      </c>
      <c r="I3231" s="28">
        <f>IFERROR(VLOOKUP(F3231,CARTON_LOOKUP!$A:$E,5,0),"")</f>
      </c>
      <c r="J3231" s="29">
        <f>IFERROR(VLOOKUP(F3231,CARTON_LOOKUP!$A:$E,2,0),"")</f>
      </c>
      <c r="K3231" s="29">
        <f>IFERROR(J3231*D3231,0)</f>
      </c>
      <c r="L3231" s="29">
        <f>IFERROR(E3231*C3231,0)</f>
      </c>
      <c r="M3231" s="29">
        <f>IFERROR((G3231*H3231*I3231/1000000)*D3231,0)</f>
      </c>
    </row>
    <row r="3232" spans="1:13" x14ac:dyDescent="0.25">
      <c r="A3232" s="16"/>
      <c r="E3232" s="27"/>
      <c r="F3232" t="s">
        <v>26</v>
      </c>
      <c r="G3232" s="28">
        <f>IFERROR(VLOOKUP(F3232,CARTON_LOOKUP!$A:$E,3,0),"")</f>
      </c>
      <c r="H3232" s="28">
        <f>IFERROR(VLOOKUP(F3232,CARTON_LOOKUP!$A:$E,4,0),"")</f>
      </c>
      <c r="I3232" s="28">
        <f>IFERROR(VLOOKUP(F3232,CARTON_LOOKUP!$A:$E,5,0),"")</f>
      </c>
      <c r="J3232" s="29">
        <f>IFERROR(VLOOKUP(F3232,CARTON_LOOKUP!$A:$E,2,0),"")</f>
      </c>
      <c r="K3232" s="29">
        <f>IFERROR(J3232*D3232,0)</f>
      </c>
      <c r="L3232" s="29">
        <f>IFERROR(E3232*C3232,0)</f>
      </c>
      <c r="M3232" s="29">
        <f>IFERROR((G3232*H3232*I3232/1000000)*D3232,0)</f>
      </c>
    </row>
    <row r="3233" spans="1:13" x14ac:dyDescent="0.25">
      <c r="A3233" s="16"/>
      <c r="E3233" s="27"/>
      <c r="F3233" t="s">
        <v>26</v>
      </c>
      <c r="G3233" s="28">
        <f>IFERROR(VLOOKUP(F3233,CARTON_LOOKUP!$A:$E,3,0),"")</f>
      </c>
      <c r="H3233" s="28">
        <f>IFERROR(VLOOKUP(F3233,CARTON_LOOKUP!$A:$E,4,0),"")</f>
      </c>
      <c r="I3233" s="28">
        <f>IFERROR(VLOOKUP(F3233,CARTON_LOOKUP!$A:$E,5,0),"")</f>
      </c>
      <c r="J3233" s="29">
        <f>IFERROR(VLOOKUP(F3233,CARTON_LOOKUP!$A:$E,2,0),"")</f>
      </c>
      <c r="K3233" s="29">
        <f>IFERROR(J3233*D3233,0)</f>
      </c>
      <c r="L3233" s="29">
        <f>IFERROR(E3233*C3233,0)</f>
      </c>
      <c r="M3233" s="29">
        <f>IFERROR((G3233*H3233*I3233/1000000)*D3233,0)</f>
      </c>
    </row>
    <row r="3234" spans="1:13" x14ac:dyDescent="0.25">
      <c r="A3234" s="16"/>
      <c r="E3234" s="27"/>
      <c r="F3234" t="s">
        <v>26</v>
      </c>
      <c r="G3234" s="28">
        <f>IFERROR(VLOOKUP(F3234,CARTON_LOOKUP!$A:$E,3,0),"")</f>
      </c>
      <c r="H3234" s="28">
        <f>IFERROR(VLOOKUP(F3234,CARTON_LOOKUP!$A:$E,4,0),"")</f>
      </c>
      <c r="I3234" s="28">
        <f>IFERROR(VLOOKUP(F3234,CARTON_LOOKUP!$A:$E,5,0),"")</f>
      </c>
      <c r="J3234" s="29">
        <f>IFERROR(VLOOKUP(F3234,CARTON_LOOKUP!$A:$E,2,0),"")</f>
      </c>
      <c r="K3234" s="29">
        <f>IFERROR(J3234*D3234,0)</f>
      </c>
      <c r="L3234" s="29">
        <f>IFERROR(E3234*C3234,0)</f>
      </c>
      <c r="M3234" s="29">
        <f>IFERROR((G3234*H3234*I3234/1000000)*D3234,0)</f>
      </c>
    </row>
    <row r="3235" spans="1:13" x14ac:dyDescent="0.25">
      <c r="A3235" s="16"/>
      <c r="E3235" s="27"/>
      <c r="F3235" t="s">
        <v>26</v>
      </c>
      <c r="G3235" s="28">
        <f>IFERROR(VLOOKUP(F3235,CARTON_LOOKUP!$A:$E,3,0),"")</f>
      </c>
      <c r="H3235" s="28">
        <f>IFERROR(VLOOKUP(F3235,CARTON_LOOKUP!$A:$E,4,0),"")</f>
      </c>
      <c r="I3235" s="28">
        <f>IFERROR(VLOOKUP(F3235,CARTON_LOOKUP!$A:$E,5,0),"")</f>
      </c>
      <c r="J3235" s="29">
        <f>IFERROR(VLOOKUP(F3235,CARTON_LOOKUP!$A:$E,2,0),"")</f>
      </c>
      <c r="K3235" s="29">
        <f>IFERROR(J3235*D3235,0)</f>
      </c>
      <c r="L3235" s="29">
        <f>IFERROR(E3235*C3235,0)</f>
      </c>
      <c r="M3235" s="29">
        <f>IFERROR((G3235*H3235*I3235/1000000)*D3235,0)</f>
      </c>
    </row>
    <row r="3236" spans="1:13" x14ac:dyDescent="0.25">
      <c r="A3236" s="16"/>
      <c r="E3236" s="27"/>
      <c r="F3236" t="s">
        <v>26</v>
      </c>
      <c r="G3236" s="28">
        <f>IFERROR(VLOOKUP(F3236,CARTON_LOOKUP!$A:$E,3,0),"")</f>
      </c>
      <c r="H3236" s="28">
        <f>IFERROR(VLOOKUP(F3236,CARTON_LOOKUP!$A:$E,4,0),"")</f>
      </c>
      <c r="I3236" s="28">
        <f>IFERROR(VLOOKUP(F3236,CARTON_LOOKUP!$A:$E,5,0),"")</f>
      </c>
      <c r="J3236" s="29">
        <f>IFERROR(VLOOKUP(F3236,CARTON_LOOKUP!$A:$E,2,0),"")</f>
      </c>
      <c r="K3236" s="29">
        <f>IFERROR(J3236*D3236,0)</f>
      </c>
      <c r="L3236" s="29">
        <f>IFERROR(E3236*C3236,0)</f>
      </c>
      <c r="M3236" s="29">
        <f>IFERROR((G3236*H3236*I3236/1000000)*D3236,0)</f>
      </c>
    </row>
    <row r="3237" spans="1:13" x14ac:dyDescent="0.25">
      <c r="A3237" s="16"/>
      <c r="E3237" s="27"/>
      <c r="F3237" t="s">
        <v>26</v>
      </c>
      <c r="G3237" s="28">
        <f>IFERROR(VLOOKUP(F3237,CARTON_LOOKUP!$A:$E,3,0),"")</f>
      </c>
      <c r="H3237" s="28">
        <f>IFERROR(VLOOKUP(F3237,CARTON_LOOKUP!$A:$E,4,0),"")</f>
      </c>
      <c r="I3237" s="28">
        <f>IFERROR(VLOOKUP(F3237,CARTON_LOOKUP!$A:$E,5,0),"")</f>
      </c>
      <c r="J3237" s="29">
        <f>IFERROR(VLOOKUP(F3237,CARTON_LOOKUP!$A:$E,2,0),"")</f>
      </c>
      <c r="K3237" s="29">
        <f>IFERROR(J3237*D3237,0)</f>
      </c>
      <c r="L3237" s="29">
        <f>IFERROR(E3237*C3237,0)</f>
      </c>
      <c r="M3237" s="29">
        <f>IFERROR((G3237*H3237*I3237/1000000)*D3237,0)</f>
      </c>
    </row>
    <row r="3238" spans="1:13" x14ac:dyDescent="0.25">
      <c r="A3238" s="16"/>
      <c r="E3238" s="27"/>
      <c r="F3238" t="s">
        <v>26</v>
      </c>
      <c r="G3238" s="28">
        <f>IFERROR(VLOOKUP(F3238,CARTON_LOOKUP!$A:$E,3,0),"")</f>
      </c>
      <c r="H3238" s="28">
        <f>IFERROR(VLOOKUP(F3238,CARTON_LOOKUP!$A:$E,4,0),"")</f>
      </c>
      <c r="I3238" s="28">
        <f>IFERROR(VLOOKUP(F3238,CARTON_LOOKUP!$A:$E,5,0),"")</f>
      </c>
      <c r="J3238" s="29">
        <f>IFERROR(VLOOKUP(F3238,CARTON_LOOKUP!$A:$E,2,0),"")</f>
      </c>
      <c r="K3238" s="29">
        <f>IFERROR(J3238*D3238,0)</f>
      </c>
      <c r="L3238" s="29">
        <f>IFERROR(E3238*C3238,0)</f>
      </c>
      <c r="M3238" s="29">
        <f>IFERROR((G3238*H3238*I3238/1000000)*D3238,0)</f>
      </c>
    </row>
    <row r="3239" spans="1:13" x14ac:dyDescent="0.25">
      <c r="A3239" s="16"/>
      <c r="E3239" s="27"/>
      <c r="F3239" t="s">
        <v>26</v>
      </c>
      <c r="G3239" s="28">
        <f>IFERROR(VLOOKUP(F3239,CARTON_LOOKUP!$A:$E,3,0),"")</f>
      </c>
      <c r="H3239" s="28">
        <f>IFERROR(VLOOKUP(F3239,CARTON_LOOKUP!$A:$E,4,0),"")</f>
      </c>
      <c r="I3239" s="28">
        <f>IFERROR(VLOOKUP(F3239,CARTON_LOOKUP!$A:$E,5,0),"")</f>
      </c>
      <c r="J3239" s="29">
        <f>IFERROR(VLOOKUP(F3239,CARTON_LOOKUP!$A:$E,2,0),"")</f>
      </c>
      <c r="K3239" s="29">
        <f>IFERROR(J3239*D3239,0)</f>
      </c>
      <c r="L3239" s="29">
        <f>IFERROR(E3239*C3239,0)</f>
      </c>
      <c r="M3239" s="29">
        <f>IFERROR((G3239*H3239*I3239/1000000)*D3239,0)</f>
      </c>
    </row>
    <row r="3240" spans="1:13" x14ac:dyDescent="0.25">
      <c r="A3240" s="16"/>
      <c r="E3240" s="27"/>
      <c r="F3240" t="s">
        <v>26</v>
      </c>
      <c r="G3240" s="28">
        <f>IFERROR(VLOOKUP(F3240,CARTON_LOOKUP!$A:$E,3,0),"")</f>
      </c>
      <c r="H3240" s="28">
        <f>IFERROR(VLOOKUP(F3240,CARTON_LOOKUP!$A:$E,4,0),"")</f>
      </c>
      <c r="I3240" s="28">
        <f>IFERROR(VLOOKUP(F3240,CARTON_LOOKUP!$A:$E,5,0),"")</f>
      </c>
      <c r="J3240" s="29">
        <f>IFERROR(VLOOKUP(F3240,CARTON_LOOKUP!$A:$E,2,0),"")</f>
      </c>
      <c r="K3240" s="29">
        <f>IFERROR(J3240*D3240,0)</f>
      </c>
      <c r="L3240" s="29">
        <f>IFERROR(E3240*C3240,0)</f>
      </c>
      <c r="M3240" s="29">
        <f>IFERROR((G3240*H3240*I3240/1000000)*D3240,0)</f>
      </c>
    </row>
    <row r="3241" spans="1:13" x14ac:dyDescent="0.25">
      <c r="A3241" s="16"/>
      <c r="E3241" s="27"/>
      <c r="F3241" t="s">
        <v>26</v>
      </c>
      <c r="G3241" s="28">
        <f>IFERROR(VLOOKUP(F3241,CARTON_LOOKUP!$A:$E,3,0),"")</f>
      </c>
      <c r="H3241" s="28">
        <f>IFERROR(VLOOKUP(F3241,CARTON_LOOKUP!$A:$E,4,0),"")</f>
      </c>
      <c r="I3241" s="28">
        <f>IFERROR(VLOOKUP(F3241,CARTON_LOOKUP!$A:$E,5,0),"")</f>
      </c>
      <c r="J3241" s="29">
        <f>IFERROR(VLOOKUP(F3241,CARTON_LOOKUP!$A:$E,2,0),"")</f>
      </c>
      <c r="K3241" s="29">
        <f>IFERROR(J3241*D3241,0)</f>
      </c>
      <c r="L3241" s="29">
        <f>IFERROR(E3241*C3241,0)</f>
      </c>
      <c r="M3241" s="29">
        <f>IFERROR((G3241*H3241*I3241/1000000)*D3241,0)</f>
      </c>
    </row>
    <row r="3242" spans="1:13" x14ac:dyDescent="0.25">
      <c r="A3242" s="16"/>
      <c r="E3242" s="27"/>
      <c r="F3242" t="s">
        <v>26</v>
      </c>
      <c r="G3242" s="28">
        <f>IFERROR(VLOOKUP(F3242,CARTON_LOOKUP!$A:$E,3,0),"")</f>
      </c>
      <c r="H3242" s="28">
        <f>IFERROR(VLOOKUP(F3242,CARTON_LOOKUP!$A:$E,4,0),"")</f>
      </c>
      <c r="I3242" s="28">
        <f>IFERROR(VLOOKUP(F3242,CARTON_LOOKUP!$A:$E,5,0),"")</f>
      </c>
      <c r="J3242" s="29">
        <f>IFERROR(VLOOKUP(F3242,CARTON_LOOKUP!$A:$E,2,0),"")</f>
      </c>
      <c r="K3242" s="29">
        <f>IFERROR(J3242*D3242,0)</f>
      </c>
      <c r="L3242" s="29">
        <f>IFERROR(E3242*C3242,0)</f>
      </c>
      <c r="M3242" s="29">
        <f>IFERROR((G3242*H3242*I3242/1000000)*D3242,0)</f>
      </c>
    </row>
    <row r="3243" spans="1:13" x14ac:dyDescent="0.25">
      <c r="A3243" s="16"/>
      <c r="E3243" s="27"/>
      <c r="F3243" t="s">
        <v>26</v>
      </c>
      <c r="G3243" s="28">
        <f>IFERROR(VLOOKUP(F3243,CARTON_LOOKUP!$A:$E,3,0),"")</f>
      </c>
      <c r="H3243" s="28">
        <f>IFERROR(VLOOKUP(F3243,CARTON_LOOKUP!$A:$E,4,0),"")</f>
      </c>
      <c r="I3243" s="28">
        <f>IFERROR(VLOOKUP(F3243,CARTON_LOOKUP!$A:$E,5,0),"")</f>
      </c>
      <c r="J3243" s="29">
        <f>IFERROR(VLOOKUP(F3243,CARTON_LOOKUP!$A:$E,2,0),"")</f>
      </c>
      <c r="K3243" s="29">
        <f>IFERROR(J3243*D3243,0)</f>
      </c>
      <c r="L3243" s="29">
        <f>IFERROR(E3243*C3243,0)</f>
      </c>
      <c r="M3243" s="29">
        <f>IFERROR((G3243*H3243*I3243/1000000)*D3243,0)</f>
      </c>
    </row>
    <row r="3244" spans="1:13" x14ac:dyDescent="0.25">
      <c r="A3244" s="16"/>
      <c r="E3244" s="27"/>
      <c r="F3244" t="s">
        <v>26</v>
      </c>
      <c r="G3244" s="28">
        <f>IFERROR(VLOOKUP(F3244,CARTON_LOOKUP!$A:$E,3,0),"")</f>
      </c>
      <c r="H3244" s="28">
        <f>IFERROR(VLOOKUP(F3244,CARTON_LOOKUP!$A:$E,4,0),"")</f>
      </c>
      <c r="I3244" s="28">
        <f>IFERROR(VLOOKUP(F3244,CARTON_LOOKUP!$A:$E,5,0),"")</f>
      </c>
      <c r="J3244" s="29">
        <f>IFERROR(VLOOKUP(F3244,CARTON_LOOKUP!$A:$E,2,0),"")</f>
      </c>
      <c r="K3244" s="29">
        <f>IFERROR(J3244*D3244,0)</f>
      </c>
      <c r="L3244" s="29">
        <f>IFERROR(E3244*C3244,0)</f>
      </c>
      <c r="M3244" s="29">
        <f>IFERROR((G3244*H3244*I3244/1000000)*D3244,0)</f>
      </c>
    </row>
    <row r="3245" spans="1:13" x14ac:dyDescent="0.25">
      <c r="A3245" s="16"/>
      <c r="E3245" s="27"/>
      <c r="F3245" t="s">
        <v>26</v>
      </c>
      <c r="G3245" s="28">
        <f>IFERROR(VLOOKUP(F3245,CARTON_LOOKUP!$A:$E,3,0),"")</f>
      </c>
      <c r="H3245" s="28">
        <f>IFERROR(VLOOKUP(F3245,CARTON_LOOKUP!$A:$E,4,0),"")</f>
      </c>
      <c r="I3245" s="28">
        <f>IFERROR(VLOOKUP(F3245,CARTON_LOOKUP!$A:$E,5,0),"")</f>
      </c>
      <c r="J3245" s="29">
        <f>IFERROR(VLOOKUP(F3245,CARTON_LOOKUP!$A:$E,2,0),"")</f>
      </c>
      <c r="K3245" s="29">
        <f>IFERROR(J3245*D3245,0)</f>
      </c>
      <c r="L3245" s="29">
        <f>IFERROR(E3245*C3245,0)</f>
      </c>
      <c r="M3245" s="29">
        <f>IFERROR((G3245*H3245*I3245/1000000)*D3245,0)</f>
      </c>
    </row>
    <row r="3246" spans="1:13" x14ac:dyDescent="0.25">
      <c r="A3246" s="16"/>
      <c r="E3246" s="27"/>
      <c r="F3246" t="s">
        <v>26</v>
      </c>
      <c r="G3246" s="28">
        <f>IFERROR(VLOOKUP(F3246,CARTON_LOOKUP!$A:$E,3,0),"")</f>
      </c>
      <c r="H3246" s="28">
        <f>IFERROR(VLOOKUP(F3246,CARTON_LOOKUP!$A:$E,4,0),"")</f>
      </c>
      <c r="I3246" s="28">
        <f>IFERROR(VLOOKUP(F3246,CARTON_LOOKUP!$A:$E,5,0),"")</f>
      </c>
      <c r="J3246" s="29">
        <f>IFERROR(VLOOKUP(F3246,CARTON_LOOKUP!$A:$E,2,0),"")</f>
      </c>
      <c r="K3246" s="29">
        <f>IFERROR(J3246*D3246,0)</f>
      </c>
      <c r="L3246" s="29">
        <f>IFERROR(E3246*C3246,0)</f>
      </c>
      <c r="M3246" s="29">
        <f>IFERROR((G3246*H3246*I3246/1000000)*D3246,0)</f>
      </c>
    </row>
    <row r="3247" spans="1:13" x14ac:dyDescent="0.25">
      <c r="A3247" s="16"/>
      <c r="E3247" s="27"/>
      <c r="F3247" t="s">
        <v>26</v>
      </c>
      <c r="G3247" s="28">
        <f>IFERROR(VLOOKUP(F3247,CARTON_LOOKUP!$A:$E,3,0),"")</f>
      </c>
      <c r="H3247" s="28">
        <f>IFERROR(VLOOKUP(F3247,CARTON_LOOKUP!$A:$E,4,0),"")</f>
      </c>
      <c r="I3247" s="28">
        <f>IFERROR(VLOOKUP(F3247,CARTON_LOOKUP!$A:$E,5,0),"")</f>
      </c>
      <c r="J3247" s="29">
        <f>IFERROR(VLOOKUP(F3247,CARTON_LOOKUP!$A:$E,2,0),"")</f>
      </c>
      <c r="K3247" s="29">
        <f>IFERROR(J3247*D3247,0)</f>
      </c>
      <c r="L3247" s="29">
        <f>IFERROR(E3247*C3247,0)</f>
      </c>
      <c r="M3247" s="29">
        <f>IFERROR((G3247*H3247*I3247/1000000)*D3247,0)</f>
      </c>
    </row>
    <row r="3248" spans="1:13" x14ac:dyDescent="0.25">
      <c r="A3248" s="16"/>
      <c r="E3248" s="27"/>
      <c r="F3248" t="s">
        <v>26</v>
      </c>
      <c r="G3248" s="28">
        <f>IFERROR(VLOOKUP(F3248,CARTON_LOOKUP!$A:$E,3,0),"")</f>
      </c>
      <c r="H3248" s="28">
        <f>IFERROR(VLOOKUP(F3248,CARTON_LOOKUP!$A:$E,4,0),"")</f>
      </c>
      <c r="I3248" s="28">
        <f>IFERROR(VLOOKUP(F3248,CARTON_LOOKUP!$A:$E,5,0),"")</f>
      </c>
      <c r="J3248" s="29">
        <f>IFERROR(VLOOKUP(F3248,CARTON_LOOKUP!$A:$E,2,0),"")</f>
      </c>
      <c r="K3248" s="29">
        <f>IFERROR(J3248*D3248,0)</f>
      </c>
      <c r="L3248" s="29">
        <f>IFERROR(E3248*C3248,0)</f>
      </c>
      <c r="M3248" s="29">
        <f>IFERROR((G3248*H3248*I3248/1000000)*D3248,0)</f>
      </c>
    </row>
    <row r="3249" spans="1:13" x14ac:dyDescent="0.25">
      <c r="A3249" s="16"/>
      <c r="E3249" s="27"/>
      <c r="F3249" t="s">
        <v>26</v>
      </c>
      <c r="G3249" s="28">
        <f>IFERROR(VLOOKUP(F3249,CARTON_LOOKUP!$A:$E,3,0),"")</f>
      </c>
      <c r="H3249" s="28">
        <f>IFERROR(VLOOKUP(F3249,CARTON_LOOKUP!$A:$E,4,0),"")</f>
      </c>
      <c r="I3249" s="28">
        <f>IFERROR(VLOOKUP(F3249,CARTON_LOOKUP!$A:$E,5,0),"")</f>
      </c>
      <c r="J3249" s="29">
        <f>IFERROR(VLOOKUP(F3249,CARTON_LOOKUP!$A:$E,2,0),"")</f>
      </c>
      <c r="K3249" s="29">
        <f>IFERROR(J3249*D3249,0)</f>
      </c>
      <c r="L3249" s="29">
        <f>IFERROR(E3249*C3249,0)</f>
      </c>
      <c r="M3249" s="29">
        <f>IFERROR((G3249*H3249*I3249/1000000)*D3249,0)</f>
      </c>
    </row>
    <row r="3250" spans="1:13" x14ac:dyDescent="0.25">
      <c r="A3250" s="16"/>
      <c r="E3250" s="27"/>
      <c r="F3250" t="s">
        <v>26</v>
      </c>
      <c r="G3250" s="28">
        <f>IFERROR(VLOOKUP(F3250,CARTON_LOOKUP!$A:$E,3,0),"")</f>
      </c>
      <c r="H3250" s="28">
        <f>IFERROR(VLOOKUP(F3250,CARTON_LOOKUP!$A:$E,4,0),"")</f>
      </c>
      <c r="I3250" s="28">
        <f>IFERROR(VLOOKUP(F3250,CARTON_LOOKUP!$A:$E,5,0),"")</f>
      </c>
      <c r="J3250" s="29">
        <f>IFERROR(VLOOKUP(F3250,CARTON_LOOKUP!$A:$E,2,0),"")</f>
      </c>
      <c r="K3250" s="29">
        <f>IFERROR(J3250*D3250,0)</f>
      </c>
      <c r="L3250" s="29">
        <f>IFERROR(E3250*C3250,0)</f>
      </c>
      <c r="M3250" s="29">
        <f>IFERROR((G3250*H3250*I3250/1000000)*D3250,0)</f>
      </c>
    </row>
    <row r="3251" spans="1:13" x14ac:dyDescent="0.25">
      <c r="A3251" s="16"/>
      <c r="E3251" s="27"/>
      <c r="F3251" t="s">
        <v>26</v>
      </c>
      <c r="G3251" s="28">
        <f>IFERROR(VLOOKUP(F3251,CARTON_LOOKUP!$A:$E,3,0),"")</f>
      </c>
      <c r="H3251" s="28">
        <f>IFERROR(VLOOKUP(F3251,CARTON_LOOKUP!$A:$E,4,0),"")</f>
      </c>
      <c r="I3251" s="28">
        <f>IFERROR(VLOOKUP(F3251,CARTON_LOOKUP!$A:$E,5,0),"")</f>
      </c>
      <c r="J3251" s="29">
        <f>IFERROR(VLOOKUP(F3251,CARTON_LOOKUP!$A:$E,2,0),"")</f>
      </c>
      <c r="K3251" s="29">
        <f>IFERROR(J3251*D3251,0)</f>
      </c>
      <c r="L3251" s="29">
        <f>IFERROR(E3251*C3251,0)</f>
      </c>
      <c r="M3251" s="29">
        <f>IFERROR((G3251*H3251*I3251/1000000)*D3251,0)</f>
      </c>
    </row>
    <row r="3252" spans="1:13" x14ac:dyDescent="0.25">
      <c r="A3252" s="16"/>
      <c r="E3252" s="27"/>
      <c r="F3252" t="s">
        <v>26</v>
      </c>
      <c r="G3252" s="28">
        <f>IFERROR(VLOOKUP(F3252,CARTON_LOOKUP!$A:$E,3,0),"")</f>
      </c>
      <c r="H3252" s="28">
        <f>IFERROR(VLOOKUP(F3252,CARTON_LOOKUP!$A:$E,4,0),"")</f>
      </c>
      <c r="I3252" s="28">
        <f>IFERROR(VLOOKUP(F3252,CARTON_LOOKUP!$A:$E,5,0),"")</f>
      </c>
      <c r="J3252" s="29">
        <f>IFERROR(VLOOKUP(F3252,CARTON_LOOKUP!$A:$E,2,0),"")</f>
      </c>
      <c r="K3252" s="29">
        <f>IFERROR(J3252*D3252,0)</f>
      </c>
      <c r="L3252" s="29">
        <f>IFERROR(E3252*C3252,0)</f>
      </c>
      <c r="M3252" s="29">
        <f>IFERROR((G3252*H3252*I3252/1000000)*D3252,0)</f>
      </c>
    </row>
    <row r="3253" spans="1:13" x14ac:dyDescent="0.25">
      <c r="A3253" s="16"/>
      <c r="E3253" s="27"/>
      <c r="F3253" t="s">
        <v>26</v>
      </c>
      <c r="G3253" s="28">
        <f>IFERROR(VLOOKUP(F3253,CARTON_LOOKUP!$A:$E,3,0),"")</f>
      </c>
      <c r="H3253" s="28">
        <f>IFERROR(VLOOKUP(F3253,CARTON_LOOKUP!$A:$E,4,0),"")</f>
      </c>
      <c r="I3253" s="28">
        <f>IFERROR(VLOOKUP(F3253,CARTON_LOOKUP!$A:$E,5,0),"")</f>
      </c>
      <c r="J3253" s="29">
        <f>IFERROR(VLOOKUP(F3253,CARTON_LOOKUP!$A:$E,2,0),"")</f>
      </c>
      <c r="K3253" s="29">
        <f>IFERROR(J3253*D3253,0)</f>
      </c>
      <c r="L3253" s="29">
        <f>IFERROR(E3253*C3253,0)</f>
      </c>
      <c r="M3253" s="29">
        <f>IFERROR((G3253*H3253*I3253/1000000)*D3253,0)</f>
      </c>
    </row>
    <row r="3254" spans="1:13" x14ac:dyDescent="0.25">
      <c r="A3254" s="16"/>
      <c r="E3254" s="27"/>
      <c r="F3254" t="s">
        <v>26</v>
      </c>
      <c r="G3254" s="28">
        <f>IFERROR(VLOOKUP(F3254,CARTON_LOOKUP!$A:$E,3,0),"")</f>
      </c>
      <c r="H3254" s="28">
        <f>IFERROR(VLOOKUP(F3254,CARTON_LOOKUP!$A:$E,4,0),"")</f>
      </c>
      <c r="I3254" s="28">
        <f>IFERROR(VLOOKUP(F3254,CARTON_LOOKUP!$A:$E,5,0),"")</f>
      </c>
      <c r="J3254" s="29">
        <f>IFERROR(VLOOKUP(F3254,CARTON_LOOKUP!$A:$E,2,0),"")</f>
      </c>
      <c r="K3254" s="29">
        <f>IFERROR(J3254*D3254,0)</f>
      </c>
      <c r="L3254" s="29">
        <f>IFERROR(E3254*C3254,0)</f>
      </c>
      <c r="M3254" s="29">
        <f>IFERROR((G3254*H3254*I3254/1000000)*D3254,0)</f>
      </c>
    </row>
    <row r="3255" spans="1:13" x14ac:dyDescent="0.25">
      <c r="A3255" s="16"/>
      <c r="E3255" s="27"/>
      <c r="F3255" t="s">
        <v>26</v>
      </c>
      <c r="G3255" s="28">
        <f>IFERROR(VLOOKUP(F3255,CARTON_LOOKUP!$A:$E,3,0),"")</f>
      </c>
      <c r="H3255" s="28">
        <f>IFERROR(VLOOKUP(F3255,CARTON_LOOKUP!$A:$E,4,0),"")</f>
      </c>
      <c r="I3255" s="28">
        <f>IFERROR(VLOOKUP(F3255,CARTON_LOOKUP!$A:$E,5,0),"")</f>
      </c>
      <c r="J3255" s="29">
        <f>IFERROR(VLOOKUP(F3255,CARTON_LOOKUP!$A:$E,2,0),"")</f>
      </c>
      <c r="K3255" s="29">
        <f>IFERROR(J3255*D3255,0)</f>
      </c>
      <c r="L3255" s="29">
        <f>IFERROR(E3255*C3255,0)</f>
      </c>
      <c r="M3255" s="29">
        <f>IFERROR((G3255*H3255*I3255/1000000)*D3255,0)</f>
      </c>
    </row>
    <row r="3256" spans="1:13" x14ac:dyDescent="0.25">
      <c r="A3256" s="16"/>
      <c r="E3256" s="27"/>
      <c r="F3256" t="s">
        <v>26</v>
      </c>
      <c r="G3256" s="28">
        <f>IFERROR(VLOOKUP(F3256,CARTON_LOOKUP!$A:$E,3,0),"")</f>
      </c>
      <c r="H3256" s="28">
        <f>IFERROR(VLOOKUP(F3256,CARTON_LOOKUP!$A:$E,4,0),"")</f>
      </c>
      <c r="I3256" s="28">
        <f>IFERROR(VLOOKUP(F3256,CARTON_LOOKUP!$A:$E,5,0),"")</f>
      </c>
      <c r="J3256" s="29">
        <f>IFERROR(VLOOKUP(F3256,CARTON_LOOKUP!$A:$E,2,0),"")</f>
      </c>
      <c r="K3256" s="29">
        <f>IFERROR(J3256*D3256,0)</f>
      </c>
      <c r="L3256" s="29">
        <f>IFERROR(E3256*C3256,0)</f>
      </c>
      <c r="M3256" s="29">
        <f>IFERROR((G3256*H3256*I3256/1000000)*D3256,0)</f>
      </c>
    </row>
    <row r="3257" spans="1:13" x14ac:dyDescent="0.25">
      <c r="A3257" s="16"/>
      <c r="E3257" s="27"/>
      <c r="F3257" t="s">
        <v>26</v>
      </c>
      <c r="G3257" s="28">
        <f>IFERROR(VLOOKUP(F3257,CARTON_LOOKUP!$A:$E,3,0),"")</f>
      </c>
      <c r="H3257" s="28">
        <f>IFERROR(VLOOKUP(F3257,CARTON_LOOKUP!$A:$E,4,0),"")</f>
      </c>
      <c r="I3257" s="28">
        <f>IFERROR(VLOOKUP(F3257,CARTON_LOOKUP!$A:$E,5,0),"")</f>
      </c>
      <c r="J3257" s="29">
        <f>IFERROR(VLOOKUP(F3257,CARTON_LOOKUP!$A:$E,2,0),"")</f>
      </c>
      <c r="K3257" s="29">
        <f>IFERROR(J3257*D3257,0)</f>
      </c>
      <c r="L3257" s="29">
        <f>IFERROR(E3257*C3257,0)</f>
      </c>
      <c r="M3257" s="29">
        <f>IFERROR((G3257*H3257*I3257/1000000)*D3257,0)</f>
      </c>
    </row>
    <row r="3258" spans="1:13" x14ac:dyDescent="0.25">
      <c r="A3258" s="16"/>
      <c r="E3258" s="27"/>
      <c r="F3258" t="s">
        <v>26</v>
      </c>
      <c r="G3258" s="28">
        <f>IFERROR(VLOOKUP(F3258,CARTON_LOOKUP!$A:$E,3,0),"")</f>
      </c>
      <c r="H3258" s="28">
        <f>IFERROR(VLOOKUP(F3258,CARTON_LOOKUP!$A:$E,4,0),"")</f>
      </c>
      <c r="I3258" s="28">
        <f>IFERROR(VLOOKUP(F3258,CARTON_LOOKUP!$A:$E,5,0),"")</f>
      </c>
      <c r="J3258" s="29">
        <f>IFERROR(VLOOKUP(F3258,CARTON_LOOKUP!$A:$E,2,0),"")</f>
      </c>
      <c r="K3258" s="29">
        <f>IFERROR(J3258*D3258,0)</f>
      </c>
      <c r="L3258" s="29">
        <f>IFERROR(E3258*C3258,0)</f>
      </c>
      <c r="M3258" s="29">
        <f>IFERROR((G3258*H3258*I3258/1000000)*D3258,0)</f>
      </c>
    </row>
    <row r="3259" spans="1:13" x14ac:dyDescent="0.25">
      <c r="A3259" s="16"/>
      <c r="E3259" s="27"/>
      <c r="F3259" t="s">
        <v>26</v>
      </c>
      <c r="G3259" s="28">
        <f>IFERROR(VLOOKUP(F3259,CARTON_LOOKUP!$A:$E,3,0),"")</f>
      </c>
      <c r="H3259" s="28">
        <f>IFERROR(VLOOKUP(F3259,CARTON_LOOKUP!$A:$E,4,0),"")</f>
      </c>
      <c r="I3259" s="28">
        <f>IFERROR(VLOOKUP(F3259,CARTON_LOOKUP!$A:$E,5,0),"")</f>
      </c>
      <c r="J3259" s="29">
        <f>IFERROR(VLOOKUP(F3259,CARTON_LOOKUP!$A:$E,2,0),"")</f>
      </c>
      <c r="K3259" s="29">
        <f>IFERROR(J3259*D3259,0)</f>
      </c>
      <c r="L3259" s="29">
        <f>IFERROR(E3259*C3259,0)</f>
      </c>
      <c r="M3259" s="29">
        <f>IFERROR((G3259*H3259*I3259/1000000)*D3259,0)</f>
      </c>
    </row>
    <row r="3260" spans="1:13" x14ac:dyDescent="0.25">
      <c r="A3260" s="16"/>
      <c r="E3260" s="27"/>
      <c r="F3260" t="s">
        <v>26</v>
      </c>
      <c r="G3260" s="28">
        <f>IFERROR(VLOOKUP(F3260,CARTON_LOOKUP!$A:$E,3,0),"")</f>
      </c>
      <c r="H3260" s="28">
        <f>IFERROR(VLOOKUP(F3260,CARTON_LOOKUP!$A:$E,4,0),"")</f>
      </c>
      <c r="I3260" s="28">
        <f>IFERROR(VLOOKUP(F3260,CARTON_LOOKUP!$A:$E,5,0),"")</f>
      </c>
      <c r="J3260" s="29">
        <f>IFERROR(VLOOKUP(F3260,CARTON_LOOKUP!$A:$E,2,0),"")</f>
      </c>
      <c r="K3260" s="29">
        <f>IFERROR(J3260*D3260,0)</f>
      </c>
      <c r="L3260" s="29">
        <f>IFERROR(E3260*C3260,0)</f>
      </c>
      <c r="M3260" s="29">
        <f>IFERROR((G3260*H3260*I3260/1000000)*D3260,0)</f>
      </c>
    </row>
    <row r="3261" spans="1:13" x14ac:dyDescent="0.25">
      <c r="A3261" s="16"/>
      <c r="E3261" s="27"/>
      <c r="F3261" t="s">
        <v>26</v>
      </c>
      <c r="G3261" s="28">
        <f>IFERROR(VLOOKUP(F3261,CARTON_LOOKUP!$A:$E,3,0),"")</f>
      </c>
      <c r="H3261" s="28">
        <f>IFERROR(VLOOKUP(F3261,CARTON_LOOKUP!$A:$E,4,0),"")</f>
      </c>
      <c r="I3261" s="28">
        <f>IFERROR(VLOOKUP(F3261,CARTON_LOOKUP!$A:$E,5,0),"")</f>
      </c>
      <c r="J3261" s="29">
        <f>IFERROR(VLOOKUP(F3261,CARTON_LOOKUP!$A:$E,2,0),"")</f>
      </c>
      <c r="K3261" s="29">
        <f>IFERROR(J3261*D3261,0)</f>
      </c>
      <c r="L3261" s="29">
        <f>IFERROR(E3261*C3261,0)</f>
      </c>
      <c r="M3261" s="29">
        <f>IFERROR((G3261*H3261*I3261/1000000)*D3261,0)</f>
      </c>
    </row>
    <row r="3262" spans="1:13" x14ac:dyDescent="0.25">
      <c r="A3262" s="16"/>
      <c r="E3262" s="27"/>
      <c r="F3262" t="s">
        <v>26</v>
      </c>
      <c r="G3262" s="28">
        <f>IFERROR(VLOOKUP(F3262,CARTON_LOOKUP!$A:$E,3,0),"")</f>
      </c>
      <c r="H3262" s="28">
        <f>IFERROR(VLOOKUP(F3262,CARTON_LOOKUP!$A:$E,4,0),"")</f>
      </c>
      <c r="I3262" s="28">
        <f>IFERROR(VLOOKUP(F3262,CARTON_LOOKUP!$A:$E,5,0),"")</f>
      </c>
      <c r="J3262" s="29">
        <f>IFERROR(VLOOKUP(F3262,CARTON_LOOKUP!$A:$E,2,0),"")</f>
      </c>
      <c r="K3262" s="29">
        <f>IFERROR(J3262*D3262,0)</f>
      </c>
      <c r="L3262" s="29">
        <f>IFERROR(E3262*C3262,0)</f>
      </c>
      <c r="M3262" s="29">
        <f>IFERROR((G3262*H3262*I3262/1000000)*D3262,0)</f>
      </c>
    </row>
    <row r="3263" spans="1:13" x14ac:dyDescent="0.25">
      <c r="A3263" s="16"/>
      <c r="E3263" s="27"/>
      <c r="F3263" t="s">
        <v>26</v>
      </c>
      <c r="G3263" s="28">
        <f>IFERROR(VLOOKUP(F3263,CARTON_LOOKUP!$A:$E,3,0),"")</f>
      </c>
      <c r="H3263" s="28">
        <f>IFERROR(VLOOKUP(F3263,CARTON_LOOKUP!$A:$E,4,0),"")</f>
      </c>
      <c r="I3263" s="28">
        <f>IFERROR(VLOOKUP(F3263,CARTON_LOOKUP!$A:$E,5,0),"")</f>
      </c>
      <c r="J3263" s="29">
        <f>IFERROR(VLOOKUP(F3263,CARTON_LOOKUP!$A:$E,2,0),"")</f>
      </c>
      <c r="K3263" s="29">
        <f>IFERROR(J3263*D3263,0)</f>
      </c>
      <c r="L3263" s="29">
        <f>IFERROR(E3263*C3263,0)</f>
      </c>
      <c r="M3263" s="29">
        <f>IFERROR((G3263*H3263*I3263/1000000)*D3263,0)</f>
      </c>
    </row>
    <row r="3264" spans="1:13" x14ac:dyDescent="0.25">
      <c r="A3264" s="16"/>
      <c r="E3264" s="27"/>
      <c r="F3264" t="s">
        <v>26</v>
      </c>
      <c r="G3264" s="28">
        <f>IFERROR(VLOOKUP(F3264,CARTON_LOOKUP!$A:$E,3,0),"")</f>
      </c>
      <c r="H3264" s="28">
        <f>IFERROR(VLOOKUP(F3264,CARTON_LOOKUP!$A:$E,4,0),"")</f>
      </c>
      <c r="I3264" s="28">
        <f>IFERROR(VLOOKUP(F3264,CARTON_LOOKUP!$A:$E,5,0),"")</f>
      </c>
      <c r="J3264" s="29">
        <f>IFERROR(VLOOKUP(F3264,CARTON_LOOKUP!$A:$E,2,0),"")</f>
      </c>
      <c r="K3264" s="29">
        <f>IFERROR(J3264*D3264,0)</f>
      </c>
      <c r="L3264" s="29">
        <f>IFERROR(E3264*C3264,0)</f>
      </c>
      <c r="M3264" s="29">
        <f>IFERROR((G3264*H3264*I3264/1000000)*D3264,0)</f>
      </c>
    </row>
    <row r="3265" spans="1:13" x14ac:dyDescent="0.25">
      <c r="A3265" s="16"/>
      <c r="E3265" s="27"/>
      <c r="F3265" t="s">
        <v>26</v>
      </c>
      <c r="G3265" s="28">
        <f>IFERROR(VLOOKUP(F3265,CARTON_LOOKUP!$A:$E,3,0),"")</f>
      </c>
      <c r="H3265" s="28">
        <f>IFERROR(VLOOKUP(F3265,CARTON_LOOKUP!$A:$E,4,0),"")</f>
      </c>
      <c r="I3265" s="28">
        <f>IFERROR(VLOOKUP(F3265,CARTON_LOOKUP!$A:$E,5,0),"")</f>
      </c>
      <c r="J3265" s="29">
        <f>IFERROR(VLOOKUP(F3265,CARTON_LOOKUP!$A:$E,2,0),"")</f>
      </c>
      <c r="K3265" s="29">
        <f>IFERROR(J3265*D3265,0)</f>
      </c>
      <c r="L3265" s="29">
        <f>IFERROR(E3265*C3265,0)</f>
      </c>
      <c r="M3265" s="29">
        <f>IFERROR((G3265*H3265*I3265/1000000)*D3265,0)</f>
      </c>
    </row>
    <row r="3266" spans="1:13" x14ac:dyDescent="0.25">
      <c r="A3266" s="16"/>
      <c r="E3266" s="27"/>
      <c r="F3266" t="s">
        <v>26</v>
      </c>
      <c r="G3266" s="28">
        <f>IFERROR(VLOOKUP(F3266,CARTON_LOOKUP!$A:$E,3,0),"")</f>
      </c>
      <c r="H3266" s="28">
        <f>IFERROR(VLOOKUP(F3266,CARTON_LOOKUP!$A:$E,4,0),"")</f>
      </c>
      <c r="I3266" s="28">
        <f>IFERROR(VLOOKUP(F3266,CARTON_LOOKUP!$A:$E,5,0),"")</f>
      </c>
      <c r="J3266" s="29">
        <f>IFERROR(VLOOKUP(F3266,CARTON_LOOKUP!$A:$E,2,0),"")</f>
      </c>
      <c r="K3266" s="29">
        <f>IFERROR(J3266*D3266,0)</f>
      </c>
      <c r="L3266" s="29">
        <f>IFERROR(E3266*C3266,0)</f>
      </c>
      <c r="M3266" s="29">
        <f>IFERROR((G3266*H3266*I3266/1000000)*D3266,0)</f>
      </c>
    </row>
    <row r="3267" spans="1:13" x14ac:dyDescent="0.25">
      <c r="A3267" s="16"/>
      <c r="E3267" s="27"/>
      <c r="F3267" t="s">
        <v>26</v>
      </c>
      <c r="G3267" s="28">
        <f>IFERROR(VLOOKUP(F3267,CARTON_LOOKUP!$A:$E,3,0),"")</f>
      </c>
      <c r="H3267" s="28">
        <f>IFERROR(VLOOKUP(F3267,CARTON_LOOKUP!$A:$E,4,0),"")</f>
      </c>
      <c r="I3267" s="28">
        <f>IFERROR(VLOOKUP(F3267,CARTON_LOOKUP!$A:$E,5,0),"")</f>
      </c>
      <c r="J3267" s="29">
        <f>IFERROR(VLOOKUP(F3267,CARTON_LOOKUP!$A:$E,2,0),"")</f>
      </c>
      <c r="K3267" s="29">
        <f>IFERROR(J3267*D3267,0)</f>
      </c>
      <c r="L3267" s="29">
        <f>IFERROR(E3267*C3267,0)</f>
      </c>
      <c r="M3267" s="29">
        <f>IFERROR((G3267*H3267*I3267/1000000)*D3267,0)</f>
      </c>
    </row>
    <row r="3268" spans="1:13" x14ac:dyDescent="0.25">
      <c r="A3268" s="16"/>
      <c r="E3268" s="27"/>
      <c r="F3268" t="s">
        <v>26</v>
      </c>
      <c r="G3268" s="28">
        <f>IFERROR(VLOOKUP(F3268,CARTON_LOOKUP!$A:$E,3,0),"")</f>
      </c>
      <c r="H3268" s="28">
        <f>IFERROR(VLOOKUP(F3268,CARTON_LOOKUP!$A:$E,4,0),"")</f>
      </c>
      <c r="I3268" s="28">
        <f>IFERROR(VLOOKUP(F3268,CARTON_LOOKUP!$A:$E,5,0),"")</f>
      </c>
      <c r="J3268" s="29">
        <f>IFERROR(VLOOKUP(F3268,CARTON_LOOKUP!$A:$E,2,0),"")</f>
      </c>
      <c r="K3268" s="29">
        <f>IFERROR(J3268*D3268,0)</f>
      </c>
      <c r="L3268" s="29">
        <f>IFERROR(E3268*C3268,0)</f>
      </c>
      <c r="M3268" s="29">
        <f>IFERROR((G3268*H3268*I3268/1000000)*D3268,0)</f>
      </c>
    </row>
    <row r="3269" spans="1:13" x14ac:dyDescent="0.25">
      <c r="A3269" s="16"/>
      <c r="E3269" s="27"/>
      <c r="F3269" t="s">
        <v>26</v>
      </c>
      <c r="G3269" s="28">
        <f>IFERROR(VLOOKUP(F3269,CARTON_LOOKUP!$A:$E,3,0),"")</f>
      </c>
      <c r="H3269" s="28">
        <f>IFERROR(VLOOKUP(F3269,CARTON_LOOKUP!$A:$E,4,0),"")</f>
      </c>
      <c r="I3269" s="28">
        <f>IFERROR(VLOOKUP(F3269,CARTON_LOOKUP!$A:$E,5,0),"")</f>
      </c>
      <c r="J3269" s="29">
        <f>IFERROR(VLOOKUP(F3269,CARTON_LOOKUP!$A:$E,2,0),"")</f>
      </c>
      <c r="K3269" s="29">
        <f>IFERROR(J3269*D3269,0)</f>
      </c>
      <c r="L3269" s="29">
        <f>IFERROR(E3269*C3269,0)</f>
      </c>
      <c r="M3269" s="29">
        <f>IFERROR((G3269*H3269*I3269/1000000)*D3269,0)</f>
      </c>
    </row>
    <row r="3270" spans="1:13" x14ac:dyDescent="0.25">
      <c r="A3270" s="16"/>
      <c r="E3270" s="27"/>
      <c r="F3270" t="s">
        <v>26</v>
      </c>
      <c r="G3270" s="28">
        <f>IFERROR(VLOOKUP(F3270,CARTON_LOOKUP!$A:$E,3,0),"")</f>
      </c>
      <c r="H3270" s="28">
        <f>IFERROR(VLOOKUP(F3270,CARTON_LOOKUP!$A:$E,4,0),"")</f>
      </c>
      <c r="I3270" s="28">
        <f>IFERROR(VLOOKUP(F3270,CARTON_LOOKUP!$A:$E,5,0),"")</f>
      </c>
      <c r="J3270" s="29">
        <f>IFERROR(VLOOKUP(F3270,CARTON_LOOKUP!$A:$E,2,0),"")</f>
      </c>
      <c r="K3270" s="29">
        <f>IFERROR(J3270*D3270,0)</f>
      </c>
      <c r="L3270" s="29">
        <f>IFERROR(E3270*C3270,0)</f>
      </c>
      <c r="M3270" s="29">
        <f>IFERROR((G3270*H3270*I3270/1000000)*D3270,0)</f>
      </c>
    </row>
    <row r="3271" spans="1:13" x14ac:dyDescent="0.25">
      <c r="A3271" s="16"/>
      <c r="E3271" s="27"/>
      <c r="F3271" t="s">
        <v>26</v>
      </c>
      <c r="G3271" s="28">
        <f>IFERROR(VLOOKUP(F3271,CARTON_LOOKUP!$A:$E,3,0),"")</f>
      </c>
      <c r="H3271" s="28">
        <f>IFERROR(VLOOKUP(F3271,CARTON_LOOKUP!$A:$E,4,0),"")</f>
      </c>
      <c r="I3271" s="28">
        <f>IFERROR(VLOOKUP(F3271,CARTON_LOOKUP!$A:$E,5,0),"")</f>
      </c>
      <c r="J3271" s="29">
        <f>IFERROR(VLOOKUP(F3271,CARTON_LOOKUP!$A:$E,2,0),"")</f>
      </c>
      <c r="K3271" s="29">
        <f>IFERROR(J3271*D3271,0)</f>
      </c>
      <c r="L3271" s="29">
        <f>IFERROR(E3271*C3271,0)</f>
      </c>
      <c r="M3271" s="29">
        <f>IFERROR((G3271*H3271*I3271/1000000)*D3271,0)</f>
      </c>
    </row>
    <row r="3272" spans="1:13" x14ac:dyDescent="0.25">
      <c r="A3272" s="16"/>
      <c r="E3272" s="27"/>
      <c r="F3272" t="s">
        <v>26</v>
      </c>
      <c r="G3272" s="28">
        <f>IFERROR(VLOOKUP(F3272,CARTON_LOOKUP!$A:$E,3,0),"")</f>
      </c>
      <c r="H3272" s="28">
        <f>IFERROR(VLOOKUP(F3272,CARTON_LOOKUP!$A:$E,4,0),"")</f>
      </c>
      <c r="I3272" s="28">
        <f>IFERROR(VLOOKUP(F3272,CARTON_LOOKUP!$A:$E,5,0),"")</f>
      </c>
      <c r="J3272" s="29">
        <f>IFERROR(VLOOKUP(F3272,CARTON_LOOKUP!$A:$E,2,0),"")</f>
      </c>
      <c r="K3272" s="29">
        <f>IFERROR(J3272*D3272,0)</f>
      </c>
      <c r="L3272" s="29">
        <f>IFERROR(E3272*C3272,0)</f>
      </c>
      <c r="M3272" s="29">
        <f>IFERROR((G3272*H3272*I3272/1000000)*D3272,0)</f>
      </c>
    </row>
    <row r="3273" spans="1:13" x14ac:dyDescent="0.25">
      <c r="A3273" s="16"/>
      <c r="E3273" s="27"/>
      <c r="F3273" t="s">
        <v>26</v>
      </c>
      <c r="G3273" s="28">
        <f>IFERROR(VLOOKUP(F3273,CARTON_LOOKUP!$A:$E,3,0),"")</f>
      </c>
      <c r="H3273" s="28">
        <f>IFERROR(VLOOKUP(F3273,CARTON_LOOKUP!$A:$E,4,0),"")</f>
      </c>
      <c r="I3273" s="28">
        <f>IFERROR(VLOOKUP(F3273,CARTON_LOOKUP!$A:$E,5,0),"")</f>
      </c>
      <c r="J3273" s="29">
        <f>IFERROR(VLOOKUP(F3273,CARTON_LOOKUP!$A:$E,2,0),"")</f>
      </c>
      <c r="K3273" s="29">
        <f>IFERROR(J3273*D3273,0)</f>
      </c>
      <c r="L3273" s="29">
        <f>IFERROR(E3273*C3273,0)</f>
      </c>
      <c r="M3273" s="29">
        <f>IFERROR((G3273*H3273*I3273/1000000)*D3273,0)</f>
      </c>
    </row>
    <row r="3274" spans="1:13" x14ac:dyDescent="0.25">
      <c r="A3274" s="16"/>
      <c r="E3274" s="27"/>
      <c r="F3274" t="s">
        <v>26</v>
      </c>
      <c r="G3274" s="28">
        <f>IFERROR(VLOOKUP(F3274,CARTON_LOOKUP!$A:$E,3,0),"")</f>
      </c>
      <c r="H3274" s="28">
        <f>IFERROR(VLOOKUP(F3274,CARTON_LOOKUP!$A:$E,4,0),"")</f>
      </c>
      <c r="I3274" s="28">
        <f>IFERROR(VLOOKUP(F3274,CARTON_LOOKUP!$A:$E,5,0),"")</f>
      </c>
      <c r="J3274" s="29">
        <f>IFERROR(VLOOKUP(F3274,CARTON_LOOKUP!$A:$E,2,0),"")</f>
      </c>
      <c r="K3274" s="29">
        <f>IFERROR(J3274*D3274,0)</f>
      </c>
      <c r="L3274" s="29">
        <f>IFERROR(E3274*C3274,0)</f>
      </c>
      <c r="M3274" s="29">
        <f>IFERROR((G3274*H3274*I3274/1000000)*D3274,0)</f>
      </c>
    </row>
    <row r="3275" spans="1:13" x14ac:dyDescent="0.25">
      <c r="A3275" s="16"/>
      <c r="E3275" s="27"/>
      <c r="F3275" t="s">
        <v>26</v>
      </c>
      <c r="G3275" s="28">
        <f>IFERROR(VLOOKUP(F3275,CARTON_LOOKUP!$A:$E,3,0),"")</f>
      </c>
      <c r="H3275" s="28">
        <f>IFERROR(VLOOKUP(F3275,CARTON_LOOKUP!$A:$E,4,0),"")</f>
      </c>
      <c r="I3275" s="28">
        <f>IFERROR(VLOOKUP(F3275,CARTON_LOOKUP!$A:$E,5,0),"")</f>
      </c>
      <c r="J3275" s="29">
        <f>IFERROR(VLOOKUP(F3275,CARTON_LOOKUP!$A:$E,2,0),"")</f>
      </c>
      <c r="K3275" s="29">
        <f>IFERROR(J3275*D3275,0)</f>
      </c>
      <c r="L3275" s="29">
        <f>IFERROR(E3275*C3275,0)</f>
      </c>
      <c r="M3275" s="29">
        <f>IFERROR((G3275*H3275*I3275/1000000)*D3275,0)</f>
      </c>
    </row>
    <row r="3276" spans="1:13" x14ac:dyDescent="0.25">
      <c r="A3276" s="16"/>
      <c r="E3276" s="27"/>
      <c r="F3276" t="s">
        <v>26</v>
      </c>
      <c r="G3276" s="28">
        <f>IFERROR(VLOOKUP(F3276,CARTON_LOOKUP!$A:$E,3,0),"")</f>
      </c>
      <c r="H3276" s="28">
        <f>IFERROR(VLOOKUP(F3276,CARTON_LOOKUP!$A:$E,4,0),"")</f>
      </c>
      <c r="I3276" s="28">
        <f>IFERROR(VLOOKUP(F3276,CARTON_LOOKUP!$A:$E,5,0),"")</f>
      </c>
      <c r="J3276" s="29">
        <f>IFERROR(VLOOKUP(F3276,CARTON_LOOKUP!$A:$E,2,0),"")</f>
      </c>
      <c r="K3276" s="29">
        <f>IFERROR(J3276*D3276,0)</f>
      </c>
      <c r="L3276" s="29">
        <f>IFERROR(E3276*C3276,0)</f>
      </c>
      <c r="M3276" s="29">
        <f>IFERROR((G3276*H3276*I3276/1000000)*D3276,0)</f>
      </c>
    </row>
    <row r="3277" spans="1:13" x14ac:dyDescent="0.25">
      <c r="A3277" s="16"/>
      <c r="E3277" s="27"/>
      <c r="F3277" t="s">
        <v>26</v>
      </c>
      <c r="G3277" s="28">
        <f>IFERROR(VLOOKUP(F3277,CARTON_LOOKUP!$A:$E,3,0),"")</f>
      </c>
      <c r="H3277" s="28">
        <f>IFERROR(VLOOKUP(F3277,CARTON_LOOKUP!$A:$E,4,0),"")</f>
      </c>
      <c r="I3277" s="28">
        <f>IFERROR(VLOOKUP(F3277,CARTON_LOOKUP!$A:$E,5,0),"")</f>
      </c>
      <c r="J3277" s="29">
        <f>IFERROR(VLOOKUP(F3277,CARTON_LOOKUP!$A:$E,2,0),"")</f>
      </c>
      <c r="K3277" s="29">
        <f>IFERROR(J3277*D3277,0)</f>
      </c>
      <c r="L3277" s="29">
        <f>IFERROR(E3277*C3277,0)</f>
      </c>
      <c r="M3277" s="29">
        <f>IFERROR((G3277*H3277*I3277/1000000)*D3277,0)</f>
      </c>
    </row>
    <row r="3278" spans="1:13" x14ac:dyDescent="0.25">
      <c r="A3278" s="16"/>
      <c r="E3278" s="27"/>
      <c r="F3278" t="s">
        <v>26</v>
      </c>
      <c r="G3278" s="28">
        <f>IFERROR(VLOOKUP(F3278,CARTON_LOOKUP!$A:$E,3,0),"")</f>
      </c>
      <c r="H3278" s="28">
        <f>IFERROR(VLOOKUP(F3278,CARTON_LOOKUP!$A:$E,4,0),"")</f>
      </c>
      <c r="I3278" s="28">
        <f>IFERROR(VLOOKUP(F3278,CARTON_LOOKUP!$A:$E,5,0),"")</f>
      </c>
      <c r="J3278" s="29">
        <f>IFERROR(VLOOKUP(F3278,CARTON_LOOKUP!$A:$E,2,0),"")</f>
      </c>
      <c r="K3278" s="29">
        <f>IFERROR(J3278*D3278,0)</f>
      </c>
      <c r="L3278" s="29">
        <f>IFERROR(E3278*C3278,0)</f>
      </c>
      <c r="M3278" s="29">
        <f>IFERROR((G3278*H3278*I3278/1000000)*D3278,0)</f>
      </c>
    </row>
    <row r="3279" spans="1:13" x14ac:dyDescent="0.25">
      <c r="A3279" s="16"/>
      <c r="E3279" s="27"/>
      <c r="F3279" t="s">
        <v>26</v>
      </c>
      <c r="G3279" s="28">
        <f>IFERROR(VLOOKUP(F3279,CARTON_LOOKUP!$A:$E,3,0),"")</f>
      </c>
      <c r="H3279" s="28">
        <f>IFERROR(VLOOKUP(F3279,CARTON_LOOKUP!$A:$E,4,0),"")</f>
      </c>
      <c r="I3279" s="28">
        <f>IFERROR(VLOOKUP(F3279,CARTON_LOOKUP!$A:$E,5,0),"")</f>
      </c>
      <c r="J3279" s="29">
        <f>IFERROR(VLOOKUP(F3279,CARTON_LOOKUP!$A:$E,2,0),"")</f>
      </c>
      <c r="K3279" s="29">
        <f>IFERROR(J3279*D3279,0)</f>
      </c>
      <c r="L3279" s="29">
        <f>IFERROR(E3279*C3279,0)</f>
      </c>
      <c r="M3279" s="29">
        <f>IFERROR((G3279*H3279*I3279/1000000)*D3279,0)</f>
      </c>
    </row>
    <row r="3280" spans="1:13" x14ac:dyDescent="0.25">
      <c r="A3280" s="16"/>
      <c r="E3280" s="27"/>
      <c r="F3280" t="s">
        <v>26</v>
      </c>
      <c r="G3280" s="28">
        <f>IFERROR(VLOOKUP(F3280,CARTON_LOOKUP!$A:$E,3,0),"")</f>
      </c>
      <c r="H3280" s="28">
        <f>IFERROR(VLOOKUP(F3280,CARTON_LOOKUP!$A:$E,4,0),"")</f>
      </c>
      <c r="I3280" s="28">
        <f>IFERROR(VLOOKUP(F3280,CARTON_LOOKUP!$A:$E,5,0),"")</f>
      </c>
      <c r="J3280" s="29">
        <f>IFERROR(VLOOKUP(F3280,CARTON_LOOKUP!$A:$E,2,0),"")</f>
      </c>
      <c r="K3280" s="29">
        <f>IFERROR(J3280*D3280,0)</f>
      </c>
      <c r="L3280" s="29">
        <f>IFERROR(E3280*C3280,0)</f>
      </c>
      <c r="M3280" s="29">
        <f>IFERROR((G3280*H3280*I3280/1000000)*D3280,0)</f>
      </c>
    </row>
    <row r="3281" spans="1:13" x14ac:dyDescent="0.25">
      <c r="A3281" s="16"/>
      <c r="E3281" s="27"/>
      <c r="F3281" t="s">
        <v>26</v>
      </c>
      <c r="G3281" s="28">
        <f>IFERROR(VLOOKUP(F3281,CARTON_LOOKUP!$A:$E,3,0),"")</f>
      </c>
      <c r="H3281" s="28">
        <f>IFERROR(VLOOKUP(F3281,CARTON_LOOKUP!$A:$E,4,0),"")</f>
      </c>
      <c r="I3281" s="28">
        <f>IFERROR(VLOOKUP(F3281,CARTON_LOOKUP!$A:$E,5,0),"")</f>
      </c>
      <c r="J3281" s="29">
        <f>IFERROR(VLOOKUP(F3281,CARTON_LOOKUP!$A:$E,2,0),"")</f>
      </c>
      <c r="K3281" s="29">
        <f>IFERROR(J3281*D3281,0)</f>
      </c>
      <c r="L3281" s="29">
        <f>IFERROR(E3281*C3281,0)</f>
      </c>
      <c r="M3281" s="29">
        <f>IFERROR((G3281*H3281*I3281/1000000)*D3281,0)</f>
      </c>
    </row>
    <row r="3282" spans="1:13" x14ac:dyDescent="0.25">
      <c r="A3282" s="16"/>
      <c r="E3282" s="27"/>
      <c r="F3282" t="s">
        <v>26</v>
      </c>
      <c r="G3282" s="28">
        <f>IFERROR(VLOOKUP(F3282,CARTON_LOOKUP!$A:$E,3,0),"")</f>
      </c>
      <c r="H3282" s="28">
        <f>IFERROR(VLOOKUP(F3282,CARTON_LOOKUP!$A:$E,4,0),"")</f>
      </c>
      <c r="I3282" s="28">
        <f>IFERROR(VLOOKUP(F3282,CARTON_LOOKUP!$A:$E,5,0),"")</f>
      </c>
      <c r="J3282" s="29">
        <f>IFERROR(VLOOKUP(F3282,CARTON_LOOKUP!$A:$E,2,0),"")</f>
      </c>
      <c r="K3282" s="29">
        <f>IFERROR(J3282*D3282,0)</f>
      </c>
      <c r="L3282" s="29">
        <f>IFERROR(E3282*C3282,0)</f>
      </c>
      <c r="M3282" s="29">
        <f>IFERROR((G3282*H3282*I3282/1000000)*D3282,0)</f>
      </c>
    </row>
    <row r="3283" spans="1:13" x14ac:dyDescent="0.25">
      <c r="A3283" s="16"/>
      <c r="E3283" s="27"/>
      <c r="F3283" t="s">
        <v>26</v>
      </c>
      <c r="G3283" s="28">
        <f>IFERROR(VLOOKUP(F3283,CARTON_LOOKUP!$A:$E,3,0),"")</f>
      </c>
      <c r="H3283" s="28">
        <f>IFERROR(VLOOKUP(F3283,CARTON_LOOKUP!$A:$E,4,0),"")</f>
      </c>
      <c r="I3283" s="28">
        <f>IFERROR(VLOOKUP(F3283,CARTON_LOOKUP!$A:$E,5,0),"")</f>
      </c>
      <c r="J3283" s="29">
        <f>IFERROR(VLOOKUP(F3283,CARTON_LOOKUP!$A:$E,2,0),"")</f>
      </c>
      <c r="K3283" s="29">
        <f>IFERROR(J3283*D3283,0)</f>
      </c>
      <c r="L3283" s="29">
        <f>IFERROR(E3283*C3283,0)</f>
      </c>
      <c r="M3283" s="29">
        <f>IFERROR((G3283*H3283*I3283/1000000)*D3283,0)</f>
      </c>
    </row>
    <row r="3284" spans="1:13" x14ac:dyDescent="0.25">
      <c r="A3284" s="16"/>
      <c r="E3284" s="27"/>
      <c r="F3284" t="s">
        <v>26</v>
      </c>
      <c r="G3284" s="28">
        <f>IFERROR(VLOOKUP(F3284,CARTON_LOOKUP!$A:$E,3,0),"")</f>
      </c>
      <c r="H3284" s="28">
        <f>IFERROR(VLOOKUP(F3284,CARTON_LOOKUP!$A:$E,4,0),"")</f>
      </c>
      <c r="I3284" s="28">
        <f>IFERROR(VLOOKUP(F3284,CARTON_LOOKUP!$A:$E,5,0),"")</f>
      </c>
      <c r="J3284" s="29">
        <f>IFERROR(VLOOKUP(F3284,CARTON_LOOKUP!$A:$E,2,0),"")</f>
      </c>
      <c r="K3284" s="29">
        <f>IFERROR(J3284*D3284,0)</f>
      </c>
      <c r="L3284" s="29">
        <f>IFERROR(E3284*C3284,0)</f>
      </c>
      <c r="M3284" s="29">
        <f>IFERROR((G3284*H3284*I3284/1000000)*D3284,0)</f>
      </c>
    </row>
    <row r="3285" spans="1:13" x14ac:dyDescent="0.25">
      <c r="A3285" s="16"/>
      <c r="E3285" s="27"/>
      <c r="F3285" t="s">
        <v>26</v>
      </c>
      <c r="G3285" s="28">
        <f>IFERROR(VLOOKUP(F3285,CARTON_LOOKUP!$A:$E,3,0),"")</f>
      </c>
      <c r="H3285" s="28">
        <f>IFERROR(VLOOKUP(F3285,CARTON_LOOKUP!$A:$E,4,0),"")</f>
      </c>
      <c r="I3285" s="28">
        <f>IFERROR(VLOOKUP(F3285,CARTON_LOOKUP!$A:$E,5,0),"")</f>
      </c>
      <c r="J3285" s="29">
        <f>IFERROR(VLOOKUP(F3285,CARTON_LOOKUP!$A:$E,2,0),"")</f>
      </c>
      <c r="K3285" s="29">
        <f>IFERROR(J3285*D3285,0)</f>
      </c>
      <c r="L3285" s="29">
        <f>IFERROR(E3285*C3285,0)</f>
      </c>
      <c r="M3285" s="29">
        <f>IFERROR((G3285*H3285*I3285/1000000)*D3285,0)</f>
      </c>
    </row>
    <row r="3286" spans="1:13" x14ac:dyDescent="0.25">
      <c r="A3286" s="16"/>
      <c r="E3286" s="27"/>
      <c r="F3286" t="s">
        <v>26</v>
      </c>
      <c r="G3286" s="28">
        <f>IFERROR(VLOOKUP(F3286,CARTON_LOOKUP!$A:$E,3,0),"")</f>
      </c>
      <c r="H3286" s="28">
        <f>IFERROR(VLOOKUP(F3286,CARTON_LOOKUP!$A:$E,4,0),"")</f>
      </c>
      <c r="I3286" s="28">
        <f>IFERROR(VLOOKUP(F3286,CARTON_LOOKUP!$A:$E,5,0),"")</f>
      </c>
      <c r="J3286" s="29">
        <f>IFERROR(VLOOKUP(F3286,CARTON_LOOKUP!$A:$E,2,0),"")</f>
      </c>
      <c r="K3286" s="29">
        <f>IFERROR(J3286*D3286,0)</f>
      </c>
      <c r="L3286" s="29">
        <f>IFERROR(E3286*C3286,0)</f>
      </c>
      <c r="M3286" s="29">
        <f>IFERROR((G3286*H3286*I3286/1000000)*D3286,0)</f>
      </c>
    </row>
    <row r="3287" spans="1:13" x14ac:dyDescent="0.25">
      <c r="A3287" s="16"/>
      <c r="E3287" s="27"/>
      <c r="F3287" t="s">
        <v>26</v>
      </c>
      <c r="G3287" s="28">
        <f>IFERROR(VLOOKUP(F3287,CARTON_LOOKUP!$A:$E,3,0),"")</f>
      </c>
      <c r="H3287" s="28">
        <f>IFERROR(VLOOKUP(F3287,CARTON_LOOKUP!$A:$E,4,0),"")</f>
      </c>
      <c r="I3287" s="28">
        <f>IFERROR(VLOOKUP(F3287,CARTON_LOOKUP!$A:$E,5,0),"")</f>
      </c>
      <c r="J3287" s="29">
        <f>IFERROR(VLOOKUP(F3287,CARTON_LOOKUP!$A:$E,2,0),"")</f>
      </c>
      <c r="K3287" s="29">
        <f>IFERROR(J3287*D3287,0)</f>
      </c>
      <c r="L3287" s="29">
        <f>IFERROR(E3287*C3287,0)</f>
      </c>
      <c r="M3287" s="29">
        <f>IFERROR((G3287*H3287*I3287/1000000)*D3287,0)</f>
      </c>
    </row>
    <row r="3288" spans="1:13" x14ac:dyDescent="0.25">
      <c r="A3288" s="16"/>
      <c r="E3288" s="27"/>
      <c r="F3288" t="s">
        <v>26</v>
      </c>
      <c r="G3288" s="28">
        <f>IFERROR(VLOOKUP(F3288,CARTON_LOOKUP!$A:$E,3,0),"")</f>
      </c>
      <c r="H3288" s="28">
        <f>IFERROR(VLOOKUP(F3288,CARTON_LOOKUP!$A:$E,4,0),"")</f>
      </c>
      <c r="I3288" s="28">
        <f>IFERROR(VLOOKUP(F3288,CARTON_LOOKUP!$A:$E,5,0),"")</f>
      </c>
      <c r="J3288" s="29">
        <f>IFERROR(VLOOKUP(F3288,CARTON_LOOKUP!$A:$E,2,0),"")</f>
      </c>
      <c r="K3288" s="29">
        <f>IFERROR(J3288*D3288,0)</f>
      </c>
      <c r="L3288" s="29">
        <f>IFERROR(E3288*C3288,0)</f>
      </c>
      <c r="M3288" s="29">
        <f>IFERROR((G3288*H3288*I3288/1000000)*D3288,0)</f>
      </c>
    </row>
    <row r="3289" spans="1:13" x14ac:dyDescent="0.25">
      <c r="A3289" s="16"/>
      <c r="E3289" s="27"/>
      <c r="F3289" t="s">
        <v>26</v>
      </c>
      <c r="G3289" s="28">
        <f>IFERROR(VLOOKUP(F3289,CARTON_LOOKUP!$A:$E,3,0),"")</f>
      </c>
      <c r="H3289" s="28">
        <f>IFERROR(VLOOKUP(F3289,CARTON_LOOKUP!$A:$E,4,0),"")</f>
      </c>
      <c r="I3289" s="28">
        <f>IFERROR(VLOOKUP(F3289,CARTON_LOOKUP!$A:$E,5,0),"")</f>
      </c>
      <c r="J3289" s="29">
        <f>IFERROR(VLOOKUP(F3289,CARTON_LOOKUP!$A:$E,2,0),"")</f>
      </c>
      <c r="K3289" s="29">
        <f>IFERROR(J3289*D3289,0)</f>
      </c>
      <c r="L3289" s="29">
        <f>IFERROR(E3289*C3289,0)</f>
      </c>
      <c r="M3289" s="29">
        <f>IFERROR((G3289*H3289*I3289/1000000)*D3289,0)</f>
      </c>
    </row>
    <row r="3290" spans="1:13" x14ac:dyDescent="0.25">
      <c r="A3290" s="16"/>
      <c r="E3290" s="27"/>
      <c r="F3290" t="s">
        <v>26</v>
      </c>
      <c r="G3290" s="28">
        <f>IFERROR(VLOOKUP(F3290,CARTON_LOOKUP!$A:$E,3,0),"")</f>
      </c>
      <c r="H3290" s="28">
        <f>IFERROR(VLOOKUP(F3290,CARTON_LOOKUP!$A:$E,4,0),"")</f>
      </c>
      <c r="I3290" s="28">
        <f>IFERROR(VLOOKUP(F3290,CARTON_LOOKUP!$A:$E,5,0),"")</f>
      </c>
      <c r="J3290" s="29">
        <f>IFERROR(VLOOKUP(F3290,CARTON_LOOKUP!$A:$E,2,0),"")</f>
      </c>
      <c r="K3290" s="29">
        <f>IFERROR(J3290*D3290,0)</f>
      </c>
      <c r="L3290" s="29">
        <f>IFERROR(E3290*C3290,0)</f>
      </c>
      <c r="M3290" s="29">
        <f>IFERROR((G3290*H3290*I3290/1000000)*D3290,0)</f>
      </c>
    </row>
    <row r="3291" spans="1:13" x14ac:dyDescent="0.25">
      <c r="A3291" s="16"/>
      <c r="E3291" s="27"/>
      <c r="F3291" t="s">
        <v>26</v>
      </c>
      <c r="G3291" s="28">
        <f>IFERROR(VLOOKUP(F3291,CARTON_LOOKUP!$A:$E,3,0),"")</f>
      </c>
      <c r="H3291" s="28">
        <f>IFERROR(VLOOKUP(F3291,CARTON_LOOKUP!$A:$E,4,0),"")</f>
      </c>
      <c r="I3291" s="28">
        <f>IFERROR(VLOOKUP(F3291,CARTON_LOOKUP!$A:$E,5,0),"")</f>
      </c>
      <c r="J3291" s="29">
        <f>IFERROR(VLOOKUP(F3291,CARTON_LOOKUP!$A:$E,2,0),"")</f>
      </c>
      <c r="K3291" s="29">
        <f>IFERROR(J3291*D3291,0)</f>
      </c>
      <c r="L3291" s="29">
        <f>IFERROR(E3291*C3291,0)</f>
      </c>
      <c r="M3291" s="29">
        <f>IFERROR((G3291*H3291*I3291/1000000)*D3291,0)</f>
      </c>
    </row>
    <row r="3292" spans="1:13" x14ac:dyDescent="0.25">
      <c r="A3292" s="16"/>
      <c r="E3292" s="27"/>
      <c r="F3292" t="s">
        <v>26</v>
      </c>
      <c r="G3292" s="28">
        <f>IFERROR(VLOOKUP(F3292,CARTON_LOOKUP!$A:$E,3,0),"")</f>
      </c>
      <c r="H3292" s="28">
        <f>IFERROR(VLOOKUP(F3292,CARTON_LOOKUP!$A:$E,4,0),"")</f>
      </c>
      <c r="I3292" s="28">
        <f>IFERROR(VLOOKUP(F3292,CARTON_LOOKUP!$A:$E,5,0),"")</f>
      </c>
      <c r="J3292" s="29">
        <f>IFERROR(VLOOKUP(F3292,CARTON_LOOKUP!$A:$E,2,0),"")</f>
      </c>
      <c r="K3292" s="29">
        <f>IFERROR(J3292*D3292,0)</f>
      </c>
      <c r="L3292" s="29">
        <f>IFERROR(E3292*C3292,0)</f>
      </c>
      <c r="M3292" s="29">
        <f>IFERROR((G3292*H3292*I3292/1000000)*D3292,0)</f>
      </c>
    </row>
    <row r="3293" spans="1:13" x14ac:dyDescent="0.25">
      <c r="A3293" s="16"/>
      <c r="E3293" s="27"/>
      <c r="F3293" t="s">
        <v>26</v>
      </c>
      <c r="G3293" s="28">
        <f>IFERROR(VLOOKUP(F3293,CARTON_LOOKUP!$A:$E,3,0),"")</f>
      </c>
      <c r="H3293" s="28">
        <f>IFERROR(VLOOKUP(F3293,CARTON_LOOKUP!$A:$E,4,0),"")</f>
      </c>
      <c r="I3293" s="28">
        <f>IFERROR(VLOOKUP(F3293,CARTON_LOOKUP!$A:$E,5,0),"")</f>
      </c>
      <c r="J3293" s="29">
        <f>IFERROR(VLOOKUP(F3293,CARTON_LOOKUP!$A:$E,2,0),"")</f>
      </c>
      <c r="K3293" s="29">
        <f>IFERROR(J3293*D3293,0)</f>
      </c>
      <c r="L3293" s="29">
        <f>IFERROR(E3293*C3293,0)</f>
      </c>
      <c r="M3293" s="29">
        <f>IFERROR((G3293*H3293*I3293/1000000)*D3293,0)</f>
      </c>
    </row>
    <row r="3294" spans="1:13" x14ac:dyDescent="0.25">
      <c r="A3294" s="16"/>
      <c r="E3294" s="27"/>
      <c r="F3294" t="s">
        <v>26</v>
      </c>
      <c r="G3294" s="28">
        <f>IFERROR(VLOOKUP(F3294,CARTON_LOOKUP!$A:$E,3,0),"")</f>
      </c>
      <c r="H3294" s="28">
        <f>IFERROR(VLOOKUP(F3294,CARTON_LOOKUP!$A:$E,4,0),"")</f>
      </c>
      <c r="I3294" s="28">
        <f>IFERROR(VLOOKUP(F3294,CARTON_LOOKUP!$A:$E,5,0),"")</f>
      </c>
      <c r="J3294" s="29">
        <f>IFERROR(VLOOKUP(F3294,CARTON_LOOKUP!$A:$E,2,0),"")</f>
      </c>
      <c r="K3294" s="29">
        <f>IFERROR(J3294*D3294,0)</f>
      </c>
      <c r="L3294" s="29">
        <f>IFERROR(E3294*C3294,0)</f>
      </c>
      <c r="M3294" s="29">
        <f>IFERROR((G3294*H3294*I3294/1000000)*D3294,0)</f>
      </c>
    </row>
    <row r="3295" spans="1:13" x14ac:dyDescent="0.25">
      <c r="A3295" s="16"/>
      <c r="E3295" s="27"/>
      <c r="F3295" t="s">
        <v>26</v>
      </c>
      <c r="G3295" s="28">
        <f>IFERROR(VLOOKUP(F3295,CARTON_LOOKUP!$A:$E,3,0),"")</f>
      </c>
      <c r="H3295" s="28">
        <f>IFERROR(VLOOKUP(F3295,CARTON_LOOKUP!$A:$E,4,0),"")</f>
      </c>
      <c r="I3295" s="28">
        <f>IFERROR(VLOOKUP(F3295,CARTON_LOOKUP!$A:$E,5,0),"")</f>
      </c>
      <c r="J3295" s="29">
        <f>IFERROR(VLOOKUP(F3295,CARTON_LOOKUP!$A:$E,2,0),"")</f>
      </c>
      <c r="K3295" s="29">
        <f>IFERROR(J3295*D3295,0)</f>
      </c>
      <c r="L3295" s="29">
        <f>IFERROR(E3295*C3295,0)</f>
      </c>
      <c r="M3295" s="29">
        <f>IFERROR((G3295*H3295*I3295/1000000)*D3295,0)</f>
      </c>
    </row>
    <row r="3296" spans="1:13" x14ac:dyDescent="0.25">
      <c r="A3296" s="16"/>
      <c r="E3296" s="27"/>
      <c r="F3296" t="s">
        <v>26</v>
      </c>
      <c r="G3296" s="28">
        <f>IFERROR(VLOOKUP(F3296,CARTON_LOOKUP!$A:$E,3,0),"")</f>
      </c>
      <c r="H3296" s="28">
        <f>IFERROR(VLOOKUP(F3296,CARTON_LOOKUP!$A:$E,4,0),"")</f>
      </c>
      <c r="I3296" s="28">
        <f>IFERROR(VLOOKUP(F3296,CARTON_LOOKUP!$A:$E,5,0),"")</f>
      </c>
      <c r="J3296" s="29">
        <f>IFERROR(VLOOKUP(F3296,CARTON_LOOKUP!$A:$E,2,0),"")</f>
      </c>
      <c r="K3296" s="29">
        <f>IFERROR(J3296*D3296,0)</f>
      </c>
      <c r="L3296" s="29">
        <f>IFERROR(E3296*C3296,0)</f>
      </c>
      <c r="M3296" s="29">
        <f>IFERROR((G3296*H3296*I3296/1000000)*D3296,0)</f>
      </c>
    </row>
    <row r="3297" spans="1:13" x14ac:dyDescent="0.25">
      <c r="A3297" s="16"/>
      <c r="E3297" s="27"/>
      <c r="F3297" t="s">
        <v>26</v>
      </c>
      <c r="G3297" s="28">
        <f>IFERROR(VLOOKUP(F3297,CARTON_LOOKUP!$A:$E,3,0),"")</f>
      </c>
      <c r="H3297" s="28">
        <f>IFERROR(VLOOKUP(F3297,CARTON_LOOKUP!$A:$E,4,0),"")</f>
      </c>
      <c r="I3297" s="28">
        <f>IFERROR(VLOOKUP(F3297,CARTON_LOOKUP!$A:$E,5,0),"")</f>
      </c>
      <c r="J3297" s="29">
        <f>IFERROR(VLOOKUP(F3297,CARTON_LOOKUP!$A:$E,2,0),"")</f>
      </c>
      <c r="K3297" s="29">
        <f>IFERROR(J3297*D3297,0)</f>
      </c>
      <c r="L3297" s="29">
        <f>IFERROR(E3297*C3297,0)</f>
      </c>
      <c r="M3297" s="29">
        <f>IFERROR((G3297*H3297*I3297/1000000)*D3297,0)</f>
      </c>
    </row>
    <row r="3298" spans="1:13" x14ac:dyDescent="0.25">
      <c r="A3298" s="16"/>
      <c r="E3298" s="27"/>
      <c r="F3298" t="s">
        <v>26</v>
      </c>
      <c r="G3298" s="28">
        <f>IFERROR(VLOOKUP(F3298,CARTON_LOOKUP!$A:$E,3,0),"")</f>
      </c>
      <c r="H3298" s="28">
        <f>IFERROR(VLOOKUP(F3298,CARTON_LOOKUP!$A:$E,4,0),"")</f>
      </c>
      <c r="I3298" s="28">
        <f>IFERROR(VLOOKUP(F3298,CARTON_LOOKUP!$A:$E,5,0),"")</f>
      </c>
      <c r="J3298" s="29">
        <f>IFERROR(VLOOKUP(F3298,CARTON_LOOKUP!$A:$E,2,0),"")</f>
      </c>
      <c r="K3298" s="29">
        <f>IFERROR(J3298*D3298,0)</f>
      </c>
      <c r="L3298" s="29">
        <f>IFERROR(E3298*C3298,0)</f>
      </c>
      <c r="M3298" s="29">
        <f>IFERROR((G3298*H3298*I3298/1000000)*D3298,0)</f>
      </c>
    </row>
    <row r="3299" spans="1:13" x14ac:dyDescent="0.25">
      <c r="A3299" s="16"/>
      <c r="E3299" s="27"/>
      <c r="F3299" t="s">
        <v>26</v>
      </c>
      <c r="G3299" s="28">
        <f>IFERROR(VLOOKUP(F3299,CARTON_LOOKUP!$A:$E,3,0),"")</f>
      </c>
      <c r="H3299" s="28">
        <f>IFERROR(VLOOKUP(F3299,CARTON_LOOKUP!$A:$E,4,0),"")</f>
      </c>
      <c r="I3299" s="28">
        <f>IFERROR(VLOOKUP(F3299,CARTON_LOOKUP!$A:$E,5,0),"")</f>
      </c>
      <c r="J3299" s="29">
        <f>IFERROR(VLOOKUP(F3299,CARTON_LOOKUP!$A:$E,2,0),"")</f>
      </c>
      <c r="K3299" s="29">
        <f>IFERROR(J3299*D3299,0)</f>
      </c>
      <c r="L3299" s="29">
        <f>IFERROR(E3299*C3299,0)</f>
      </c>
      <c r="M3299" s="29">
        <f>IFERROR((G3299*H3299*I3299/1000000)*D3299,0)</f>
      </c>
    </row>
    <row r="3300" spans="1:13" x14ac:dyDescent="0.25">
      <c r="A3300" s="16"/>
      <c r="E3300" s="27"/>
      <c r="F3300" t="s">
        <v>26</v>
      </c>
      <c r="G3300" s="28">
        <f>IFERROR(VLOOKUP(F3300,CARTON_LOOKUP!$A:$E,3,0),"")</f>
      </c>
      <c r="H3300" s="28">
        <f>IFERROR(VLOOKUP(F3300,CARTON_LOOKUP!$A:$E,4,0),"")</f>
      </c>
      <c r="I3300" s="28">
        <f>IFERROR(VLOOKUP(F3300,CARTON_LOOKUP!$A:$E,5,0),"")</f>
      </c>
      <c r="J3300" s="29">
        <f>IFERROR(VLOOKUP(F3300,CARTON_LOOKUP!$A:$E,2,0),"")</f>
      </c>
      <c r="K3300" s="29">
        <f>IFERROR(J3300*D3300,0)</f>
      </c>
      <c r="L3300" s="29">
        <f>IFERROR(E3300*C3300,0)</f>
      </c>
      <c r="M3300" s="29">
        <f>IFERROR((G3300*H3300*I3300/1000000)*D3300,0)</f>
      </c>
    </row>
    <row r="3301" spans="1:13" x14ac:dyDescent="0.25">
      <c r="A3301" s="16"/>
      <c r="E3301" s="27"/>
      <c r="F3301" t="s">
        <v>26</v>
      </c>
      <c r="G3301" s="28">
        <f>IFERROR(VLOOKUP(F3301,CARTON_LOOKUP!$A:$E,3,0),"")</f>
      </c>
      <c r="H3301" s="28">
        <f>IFERROR(VLOOKUP(F3301,CARTON_LOOKUP!$A:$E,4,0),"")</f>
      </c>
      <c r="I3301" s="28">
        <f>IFERROR(VLOOKUP(F3301,CARTON_LOOKUP!$A:$E,5,0),"")</f>
      </c>
      <c r="J3301" s="29">
        <f>IFERROR(VLOOKUP(F3301,CARTON_LOOKUP!$A:$E,2,0),"")</f>
      </c>
      <c r="K3301" s="29">
        <f>IFERROR(J3301*D3301,0)</f>
      </c>
      <c r="L3301" s="29">
        <f>IFERROR(E3301*C3301,0)</f>
      </c>
      <c r="M3301" s="29">
        <f>IFERROR((G3301*H3301*I3301/1000000)*D3301,0)</f>
      </c>
    </row>
    <row r="3302" spans="1:13" x14ac:dyDescent="0.25">
      <c r="A3302" s="16"/>
      <c r="E3302" s="27"/>
      <c r="F3302" t="s">
        <v>26</v>
      </c>
      <c r="G3302" s="28">
        <f>IFERROR(VLOOKUP(F3302,CARTON_LOOKUP!$A:$E,3,0),"")</f>
      </c>
      <c r="H3302" s="28">
        <f>IFERROR(VLOOKUP(F3302,CARTON_LOOKUP!$A:$E,4,0),"")</f>
      </c>
      <c r="I3302" s="28">
        <f>IFERROR(VLOOKUP(F3302,CARTON_LOOKUP!$A:$E,5,0),"")</f>
      </c>
      <c r="J3302" s="29">
        <f>IFERROR(VLOOKUP(F3302,CARTON_LOOKUP!$A:$E,2,0),"")</f>
      </c>
      <c r="K3302" s="29">
        <f>IFERROR(J3302*D3302,0)</f>
      </c>
      <c r="L3302" s="29">
        <f>IFERROR(E3302*C3302,0)</f>
      </c>
      <c r="M3302" s="29">
        <f>IFERROR((G3302*H3302*I3302/1000000)*D3302,0)</f>
      </c>
    </row>
    <row r="3303" spans="1:13" x14ac:dyDescent="0.25">
      <c r="A3303" s="16"/>
      <c r="E3303" s="27"/>
      <c r="F3303" t="s">
        <v>26</v>
      </c>
      <c r="G3303" s="28">
        <f>IFERROR(VLOOKUP(F3303,CARTON_LOOKUP!$A:$E,3,0),"")</f>
      </c>
      <c r="H3303" s="28">
        <f>IFERROR(VLOOKUP(F3303,CARTON_LOOKUP!$A:$E,4,0),"")</f>
      </c>
      <c r="I3303" s="28">
        <f>IFERROR(VLOOKUP(F3303,CARTON_LOOKUP!$A:$E,5,0),"")</f>
      </c>
      <c r="J3303" s="29">
        <f>IFERROR(VLOOKUP(F3303,CARTON_LOOKUP!$A:$E,2,0),"")</f>
      </c>
      <c r="K3303" s="29">
        <f>IFERROR(J3303*D3303,0)</f>
      </c>
      <c r="L3303" s="29">
        <f>IFERROR(E3303*C3303,0)</f>
      </c>
      <c r="M3303" s="29">
        <f>IFERROR((G3303*H3303*I3303/1000000)*D3303,0)</f>
      </c>
    </row>
    <row r="3304" spans="1:13" x14ac:dyDescent="0.25">
      <c r="A3304" s="16"/>
      <c r="E3304" s="27"/>
      <c r="F3304" t="s">
        <v>26</v>
      </c>
      <c r="G3304" s="28">
        <f>IFERROR(VLOOKUP(F3304,CARTON_LOOKUP!$A:$E,3,0),"")</f>
      </c>
      <c r="H3304" s="28">
        <f>IFERROR(VLOOKUP(F3304,CARTON_LOOKUP!$A:$E,4,0),"")</f>
      </c>
      <c r="I3304" s="28">
        <f>IFERROR(VLOOKUP(F3304,CARTON_LOOKUP!$A:$E,5,0),"")</f>
      </c>
      <c r="J3304" s="29">
        <f>IFERROR(VLOOKUP(F3304,CARTON_LOOKUP!$A:$E,2,0),"")</f>
      </c>
      <c r="K3304" s="29">
        <f>IFERROR(J3304*D3304,0)</f>
      </c>
      <c r="L3304" s="29">
        <f>IFERROR(E3304*C3304,0)</f>
      </c>
      <c r="M3304" s="29">
        <f>IFERROR((G3304*H3304*I3304/1000000)*D3304,0)</f>
      </c>
    </row>
    <row r="3305" spans="1:13" x14ac:dyDescent="0.25">
      <c r="A3305" s="16"/>
      <c r="E3305" s="27"/>
      <c r="F3305" t="s">
        <v>26</v>
      </c>
      <c r="G3305" s="28">
        <f>IFERROR(VLOOKUP(F3305,CARTON_LOOKUP!$A:$E,3,0),"")</f>
      </c>
      <c r="H3305" s="28">
        <f>IFERROR(VLOOKUP(F3305,CARTON_LOOKUP!$A:$E,4,0),"")</f>
      </c>
      <c r="I3305" s="28">
        <f>IFERROR(VLOOKUP(F3305,CARTON_LOOKUP!$A:$E,5,0),"")</f>
      </c>
      <c r="J3305" s="29">
        <f>IFERROR(VLOOKUP(F3305,CARTON_LOOKUP!$A:$E,2,0),"")</f>
      </c>
      <c r="K3305" s="29">
        <f>IFERROR(J3305*D3305,0)</f>
      </c>
      <c r="L3305" s="29">
        <f>IFERROR(E3305*C3305,0)</f>
      </c>
      <c r="M3305" s="29">
        <f>IFERROR((G3305*H3305*I3305/1000000)*D3305,0)</f>
      </c>
    </row>
    <row r="3306" spans="1:13" x14ac:dyDescent="0.25">
      <c r="A3306" s="16"/>
      <c r="E3306" s="27"/>
      <c r="F3306" t="s">
        <v>26</v>
      </c>
      <c r="G3306" s="28">
        <f>IFERROR(VLOOKUP(F3306,CARTON_LOOKUP!$A:$E,3,0),"")</f>
      </c>
      <c r="H3306" s="28">
        <f>IFERROR(VLOOKUP(F3306,CARTON_LOOKUP!$A:$E,4,0),"")</f>
      </c>
      <c r="I3306" s="28">
        <f>IFERROR(VLOOKUP(F3306,CARTON_LOOKUP!$A:$E,5,0),"")</f>
      </c>
      <c r="J3306" s="29">
        <f>IFERROR(VLOOKUP(F3306,CARTON_LOOKUP!$A:$E,2,0),"")</f>
      </c>
      <c r="K3306" s="29">
        <f>IFERROR(J3306*D3306,0)</f>
      </c>
      <c r="L3306" s="29">
        <f>IFERROR(E3306*C3306,0)</f>
      </c>
      <c r="M3306" s="29">
        <f>IFERROR((G3306*H3306*I3306/1000000)*D3306,0)</f>
      </c>
    </row>
    <row r="3307" spans="1:13" x14ac:dyDescent="0.25">
      <c r="A3307" s="16"/>
      <c r="E3307" s="27"/>
      <c r="F3307" t="s">
        <v>26</v>
      </c>
      <c r="G3307" s="28">
        <f>IFERROR(VLOOKUP(F3307,CARTON_LOOKUP!$A:$E,3,0),"")</f>
      </c>
      <c r="H3307" s="28">
        <f>IFERROR(VLOOKUP(F3307,CARTON_LOOKUP!$A:$E,4,0),"")</f>
      </c>
      <c r="I3307" s="28">
        <f>IFERROR(VLOOKUP(F3307,CARTON_LOOKUP!$A:$E,5,0),"")</f>
      </c>
      <c r="J3307" s="29">
        <f>IFERROR(VLOOKUP(F3307,CARTON_LOOKUP!$A:$E,2,0),"")</f>
      </c>
      <c r="K3307" s="29">
        <f>IFERROR(J3307*D3307,0)</f>
      </c>
      <c r="L3307" s="29">
        <f>IFERROR(E3307*C3307,0)</f>
      </c>
      <c r="M3307" s="29">
        <f>IFERROR((G3307*H3307*I3307/1000000)*D3307,0)</f>
      </c>
    </row>
    <row r="3308" spans="1:13" x14ac:dyDescent="0.25">
      <c r="A3308" s="16"/>
      <c r="E3308" s="27"/>
      <c r="F3308" t="s">
        <v>26</v>
      </c>
      <c r="G3308" s="28">
        <f>IFERROR(VLOOKUP(F3308,CARTON_LOOKUP!$A:$E,3,0),"")</f>
      </c>
      <c r="H3308" s="28">
        <f>IFERROR(VLOOKUP(F3308,CARTON_LOOKUP!$A:$E,4,0),"")</f>
      </c>
      <c r="I3308" s="28">
        <f>IFERROR(VLOOKUP(F3308,CARTON_LOOKUP!$A:$E,5,0),"")</f>
      </c>
      <c r="J3308" s="29">
        <f>IFERROR(VLOOKUP(F3308,CARTON_LOOKUP!$A:$E,2,0),"")</f>
      </c>
      <c r="K3308" s="29">
        <f>IFERROR(J3308*D3308,0)</f>
      </c>
      <c r="L3308" s="29">
        <f>IFERROR(E3308*C3308,0)</f>
      </c>
      <c r="M3308" s="29">
        <f>IFERROR((G3308*H3308*I3308/1000000)*D3308,0)</f>
      </c>
    </row>
    <row r="3309" spans="1:13" x14ac:dyDescent="0.25">
      <c r="A3309" s="16"/>
      <c r="E3309" s="27"/>
      <c r="F3309" t="s">
        <v>26</v>
      </c>
      <c r="G3309" s="28">
        <f>IFERROR(VLOOKUP(F3309,CARTON_LOOKUP!$A:$E,3,0),"")</f>
      </c>
      <c r="H3309" s="28">
        <f>IFERROR(VLOOKUP(F3309,CARTON_LOOKUP!$A:$E,4,0),"")</f>
      </c>
      <c r="I3309" s="28">
        <f>IFERROR(VLOOKUP(F3309,CARTON_LOOKUP!$A:$E,5,0),"")</f>
      </c>
      <c r="J3309" s="29">
        <f>IFERROR(VLOOKUP(F3309,CARTON_LOOKUP!$A:$E,2,0),"")</f>
      </c>
      <c r="K3309" s="29">
        <f>IFERROR(J3309*D3309,0)</f>
      </c>
      <c r="L3309" s="29">
        <f>IFERROR(E3309*C3309,0)</f>
      </c>
      <c r="M3309" s="29">
        <f>IFERROR((G3309*H3309*I3309/1000000)*D3309,0)</f>
      </c>
    </row>
    <row r="3310" spans="1:13" x14ac:dyDescent="0.25">
      <c r="A3310" s="16"/>
      <c r="E3310" s="27"/>
      <c r="F3310" t="s">
        <v>26</v>
      </c>
      <c r="G3310" s="28">
        <f>IFERROR(VLOOKUP(F3310,CARTON_LOOKUP!$A:$E,3,0),"")</f>
      </c>
      <c r="H3310" s="28">
        <f>IFERROR(VLOOKUP(F3310,CARTON_LOOKUP!$A:$E,4,0),"")</f>
      </c>
      <c r="I3310" s="28">
        <f>IFERROR(VLOOKUP(F3310,CARTON_LOOKUP!$A:$E,5,0),"")</f>
      </c>
      <c r="J3310" s="29">
        <f>IFERROR(VLOOKUP(F3310,CARTON_LOOKUP!$A:$E,2,0),"")</f>
      </c>
      <c r="K3310" s="29">
        <f>IFERROR(J3310*D3310,0)</f>
      </c>
      <c r="L3310" s="29">
        <f>IFERROR(E3310*C3310,0)</f>
      </c>
      <c r="M3310" s="29">
        <f>IFERROR((G3310*H3310*I3310/1000000)*D3310,0)</f>
      </c>
    </row>
    <row r="3311" spans="1:13" x14ac:dyDescent="0.25">
      <c r="A3311" s="16"/>
      <c r="E3311" s="27"/>
      <c r="F3311" t="s">
        <v>26</v>
      </c>
      <c r="G3311" s="28">
        <f>IFERROR(VLOOKUP(F3311,CARTON_LOOKUP!$A:$E,3,0),"")</f>
      </c>
      <c r="H3311" s="28">
        <f>IFERROR(VLOOKUP(F3311,CARTON_LOOKUP!$A:$E,4,0),"")</f>
      </c>
      <c r="I3311" s="28">
        <f>IFERROR(VLOOKUP(F3311,CARTON_LOOKUP!$A:$E,5,0),"")</f>
      </c>
      <c r="J3311" s="29">
        <f>IFERROR(VLOOKUP(F3311,CARTON_LOOKUP!$A:$E,2,0),"")</f>
      </c>
      <c r="K3311" s="29">
        <f>IFERROR(J3311*D3311,0)</f>
      </c>
      <c r="L3311" s="29">
        <f>IFERROR(E3311*C3311,0)</f>
      </c>
      <c r="M3311" s="29">
        <f>IFERROR((G3311*H3311*I3311/1000000)*D3311,0)</f>
      </c>
    </row>
    <row r="3312" spans="1:13" x14ac:dyDescent="0.25">
      <c r="A3312" s="16"/>
      <c r="E3312" s="27"/>
      <c r="F3312" t="s">
        <v>26</v>
      </c>
      <c r="G3312" s="28">
        <f>IFERROR(VLOOKUP(F3312,CARTON_LOOKUP!$A:$E,3,0),"")</f>
      </c>
      <c r="H3312" s="28">
        <f>IFERROR(VLOOKUP(F3312,CARTON_LOOKUP!$A:$E,4,0),"")</f>
      </c>
      <c r="I3312" s="28">
        <f>IFERROR(VLOOKUP(F3312,CARTON_LOOKUP!$A:$E,5,0),"")</f>
      </c>
      <c r="J3312" s="29">
        <f>IFERROR(VLOOKUP(F3312,CARTON_LOOKUP!$A:$E,2,0),"")</f>
      </c>
      <c r="K3312" s="29">
        <f>IFERROR(J3312*D3312,0)</f>
      </c>
      <c r="L3312" s="29">
        <f>IFERROR(E3312*C3312,0)</f>
      </c>
      <c r="M3312" s="29">
        <f>IFERROR((G3312*H3312*I3312/1000000)*D3312,0)</f>
      </c>
    </row>
    <row r="3313" spans="1:13" x14ac:dyDescent="0.25">
      <c r="A3313" s="16"/>
      <c r="E3313" s="27"/>
      <c r="F3313" t="s">
        <v>26</v>
      </c>
      <c r="G3313" s="28">
        <f>IFERROR(VLOOKUP(F3313,CARTON_LOOKUP!$A:$E,3,0),"")</f>
      </c>
      <c r="H3313" s="28">
        <f>IFERROR(VLOOKUP(F3313,CARTON_LOOKUP!$A:$E,4,0),"")</f>
      </c>
      <c r="I3313" s="28">
        <f>IFERROR(VLOOKUP(F3313,CARTON_LOOKUP!$A:$E,5,0),"")</f>
      </c>
      <c r="J3313" s="29">
        <f>IFERROR(VLOOKUP(F3313,CARTON_LOOKUP!$A:$E,2,0),"")</f>
      </c>
      <c r="K3313" s="29">
        <f>IFERROR(J3313*D3313,0)</f>
      </c>
      <c r="L3313" s="29">
        <f>IFERROR(E3313*C3313,0)</f>
      </c>
      <c r="M3313" s="29">
        <f>IFERROR((G3313*H3313*I3313/1000000)*D3313,0)</f>
      </c>
    </row>
    <row r="3314" spans="1:13" x14ac:dyDescent="0.25">
      <c r="A3314" s="16"/>
      <c r="E3314" s="27"/>
      <c r="F3314" t="s">
        <v>26</v>
      </c>
      <c r="G3314" s="28">
        <f>IFERROR(VLOOKUP(F3314,CARTON_LOOKUP!$A:$E,3,0),"")</f>
      </c>
      <c r="H3314" s="28">
        <f>IFERROR(VLOOKUP(F3314,CARTON_LOOKUP!$A:$E,4,0),"")</f>
      </c>
      <c r="I3314" s="28">
        <f>IFERROR(VLOOKUP(F3314,CARTON_LOOKUP!$A:$E,5,0),"")</f>
      </c>
      <c r="J3314" s="29">
        <f>IFERROR(VLOOKUP(F3314,CARTON_LOOKUP!$A:$E,2,0),"")</f>
      </c>
      <c r="K3314" s="29">
        <f>IFERROR(J3314*D3314,0)</f>
      </c>
      <c r="L3314" s="29">
        <f>IFERROR(E3314*C3314,0)</f>
      </c>
      <c r="M3314" s="29">
        <f>IFERROR((G3314*H3314*I3314/1000000)*D3314,0)</f>
      </c>
    </row>
    <row r="3315" spans="1:13" x14ac:dyDescent="0.25">
      <c r="A3315" s="16"/>
      <c r="E3315" s="27"/>
      <c r="F3315" t="s">
        <v>26</v>
      </c>
      <c r="G3315" s="28">
        <f>IFERROR(VLOOKUP(F3315,CARTON_LOOKUP!$A:$E,3,0),"")</f>
      </c>
      <c r="H3315" s="28">
        <f>IFERROR(VLOOKUP(F3315,CARTON_LOOKUP!$A:$E,4,0),"")</f>
      </c>
      <c r="I3315" s="28">
        <f>IFERROR(VLOOKUP(F3315,CARTON_LOOKUP!$A:$E,5,0),"")</f>
      </c>
      <c r="J3315" s="29">
        <f>IFERROR(VLOOKUP(F3315,CARTON_LOOKUP!$A:$E,2,0),"")</f>
      </c>
      <c r="K3315" s="29">
        <f>IFERROR(J3315*D3315,0)</f>
      </c>
      <c r="L3315" s="29">
        <f>IFERROR(E3315*C3315,0)</f>
      </c>
      <c r="M3315" s="29">
        <f>IFERROR((G3315*H3315*I3315/1000000)*D3315,0)</f>
      </c>
    </row>
    <row r="3316" spans="1:13" x14ac:dyDescent="0.25">
      <c r="A3316" s="16"/>
      <c r="E3316" s="27"/>
      <c r="F3316" t="s">
        <v>26</v>
      </c>
      <c r="G3316" s="28">
        <f>IFERROR(VLOOKUP(F3316,CARTON_LOOKUP!$A:$E,3,0),"")</f>
      </c>
      <c r="H3316" s="28">
        <f>IFERROR(VLOOKUP(F3316,CARTON_LOOKUP!$A:$E,4,0),"")</f>
      </c>
      <c r="I3316" s="28">
        <f>IFERROR(VLOOKUP(F3316,CARTON_LOOKUP!$A:$E,5,0),"")</f>
      </c>
      <c r="J3316" s="29">
        <f>IFERROR(VLOOKUP(F3316,CARTON_LOOKUP!$A:$E,2,0),"")</f>
      </c>
      <c r="K3316" s="29">
        <f>IFERROR(J3316*D3316,0)</f>
      </c>
      <c r="L3316" s="29">
        <f>IFERROR(E3316*C3316,0)</f>
      </c>
      <c r="M3316" s="29">
        <f>IFERROR((G3316*H3316*I3316/1000000)*D3316,0)</f>
      </c>
    </row>
    <row r="3317" spans="1:13" x14ac:dyDescent="0.25">
      <c r="A3317" s="16"/>
      <c r="E3317" s="27"/>
      <c r="F3317" t="s">
        <v>26</v>
      </c>
      <c r="G3317" s="28">
        <f>IFERROR(VLOOKUP(F3317,CARTON_LOOKUP!$A:$E,3,0),"")</f>
      </c>
      <c r="H3317" s="28">
        <f>IFERROR(VLOOKUP(F3317,CARTON_LOOKUP!$A:$E,4,0),"")</f>
      </c>
      <c r="I3317" s="28">
        <f>IFERROR(VLOOKUP(F3317,CARTON_LOOKUP!$A:$E,5,0),"")</f>
      </c>
      <c r="J3317" s="29">
        <f>IFERROR(VLOOKUP(F3317,CARTON_LOOKUP!$A:$E,2,0),"")</f>
      </c>
      <c r="K3317" s="29">
        <f>IFERROR(J3317*D3317,0)</f>
      </c>
      <c r="L3317" s="29">
        <f>IFERROR(E3317*C3317,0)</f>
      </c>
      <c r="M3317" s="29">
        <f>IFERROR((G3317*H3317*I3317/1000000)*D3317,0)</f>
      </c>
    </row>
    <row r="3318" spans="1:13" x14ac:dyDescent="0.25">
      <c r="A3318" s="16"/>
      <c r="E3318" s="27"/>
      <c r="F3318" t="s">
        <v>26</v>
      </c>
      <c r="G3318" s="28">
        <f>IFERROR(VLOOKUP(F3318,CARTON_LOOKUP!$A:$E,3,0),"")</f>
      </c>
      <c r="H3318" s="28">
        <f>IFERROR(VLOOKUP(F3318,CARTON_LOOKUP!$A:$E,4,0),"")</f>
      </c>
      <c r="I3318" s="28">
        <f>IFERROR(VLOOKUP(F3318,CARTON_LOOKUP!$A:$E,5,0),"")</f>
      </c>
      <c r="J3318" s="29">
        <f>IFERROR(VLOOKUP(F3318,CARTON_LOOKUP!$A:$E,2,0),"")</f>
      </c>
      <c r="K3318" s="29">
        <f>IFERROR(J3318*D3318,0)</f>
      </c>
      <c r="L3318" s="29">
        <f>IFERROR(E3318*C3318,0)</f>
      </c>
      <c r="M3318" s="29">
        <f>IFERROR((G3318*H3318*I3318/1000000)*D3318,0)</f>
      </c>
    </row>
    <row r="3319" spans="1:13" x14ac:dyDescent="0.25">
      <c r="A3319" s="16"/>
      <c r="E3319" s="27"/>
      <c r="F3319" t="s">
        <v>26</v>
      </c>
      <c r="G3319" s="28">
        <f>IFERROR(VLOOKUP(F3319,CARTON_LOOKUP!$A:$E,3,0),"")</f>
      </c>
      <c r="H3319" s="28">
        <f>IFERROR(VLOOKUP(F3319,CARTON_LOOKUP!$A:$E,4,0),"")</f>
      </c>
      <c r="I3319" s="28">
        <f>IFERROR(VLOOKUP(F3319,CARTON_LOOKUP!$A:$E,5,0),"")</f>
      </c>
      <c r="J3319" s="29">
        <f>IFERROR(VLOOKUP(F3319,CARTON_LOOKUP!$A:$E,2,0),"")</f>
      </c>
      <c r="K3319" s="29">
        <f>IFERROR(J3319*D3319,0)</f>
      </c>
      <c r="L3319" s="29">
        <f>IFERROR(E3319*C3319,0)</f>
      </c>
      <c r="M3319" s="29">
        <f>IFERROR((G3319*H3319*I3319/1000000)*D3319,0)</f>
      </c>
    </row>
    <row r="3320" spans="1:13" x14ac:dyDescent="0.25">
      <c r="A3320" s="16"/>
      <c r="E3320" s="27"/>
      <c r="F3320" t="s">
        <v>26</v>
      </c>
      <c r="G3320" s="28">
        <f>IFERROR(VLOOKUP(F3320,CARTON_LOOKUP!$A:$E,3,0),"")</f>
      </c>
      <c r="H3320" s="28">
        <f>IFERROR(VLOOKUP(F3320,CARTON_LOOKUP!$A:$E,4,0),"")</f>
      </c>
      <c r="I3320" s="28">
        <f>IFERROR(VLOOKUP(F3320,CARTON_LOOKUP!$A:$E,5,0),"")</f>
      </c>
      <c r="J3320" s="29">
        <f>IFERROR(VLOOKUP(F3320,CARTON_LOOKUP!$A:$E,2,0),"")</f>
      </c>
      <c r="K3320" s="29">
        <f>IFERROR(J3320*D3320,0)</f>
      </c>
      <c r="L3320" s="29">
        <f>IFERROR(E3320*C3320,0)</f>
      </c>
      <c r="M3320" s="29">
        <f>IFERROR((G3320*H3320*I3320/1000000)*D3320,0)</f>
      </c>
    </row>
    <row r="3321" spans="1:13" x14ac:dyDescent="0.25">
      <c r="A3321" s="16"/>
      <c r="E3321" s="27"/>
      <c r="F3321" t="s">
        <v>26</v>
      </c>
      <c r="G3321" s="28">
        <f>IFERROR(VLOOKUP(F3321,CARTON_LOOKUP!$A:$E,3,0),"")</f>
      </c>
      <c r="H3321" s="28">
        <f>IFERROR(VLOOKUP(F3321,CARTON_LOOKUP!$A:$E,4,0),"")</f>
      </c>
      <c r="I3321" s="28">
        <f>IFERROR(VLOOKUP(F3321,CARTON_LOOKUP!$A:$E,5,0),"")</f>
      </c>
      <c r="J3321" s="29">
        <f>IFERROR(VLOOKUP(F3321,CARTON_LOOKUP!$A:$E,2,0),"")</f>
      </c>
      <c r="K3321" s="29">
        <f>IFERROR(J3321*D3321,0)</f>
      </c>
      <c r="L3321" s="29">
        <f>IFERROR(E3321*C3321,0)</f>
      </c>
      <c r="M3321" s="29">
        <f>IFERROR((G3321*H3321*I3321/1000000)*D3321,0)</f>
      </c>
    </row>
    <row r="3322" spans="1:13" x14ac:dyDescent="0.25">
      <c r="A3322" s="16"/>
      <c r="E3322" s="27"/>
      <c r="F3322" t="s">
        <v>26</v>
      </c>
      <c r="G3322" s="28">
        <f>IFERROR(VLOOKUP(F3322,CARTON_LOOKUP!$A:$E,3,0),"")</f>
      </c>
      <c r="H3322" s="28">
        <f>IFERROR(VLOOKUP(F3322,CARTON_LOOKUP!$A:$E,4,0),"")</f>
      </c>
      <c r="I3322" s="28">
        <f>IFERROR(VLOOKUP(F3322,CARTON_LOOKUP!$A:$E,5,0),"")</f>
      </c>
      <c r="J3322" s="29">
        <f>IFERROR(VLOOKUP(F3322,CARTON_LOOKUP!$A:$E,2,0),"")</f>
      </c>
      <c r="K3322" s="29">
        <f>IFERROR(J3322*D3322,0)</f>
      </c>
      <c r="L3322" s="29">
        <f>IFERROR(E3322*C3322,0)</f>
      </c>
      <c r="M3322" s="29">
        <f>IFERROR((G3322*H3322*I3322/1000000)*D3322,0)</f>
      </c>
    </row>
    <row r="3323" spans="1:13" x14ac:dyDescent="0.25">
      <c r="A3323" s="16"/>
      <c r="E3323" s="27"/>
      <c r="F3323" t="s">
        <v>26</v>
      </c>
      <c r="G3323" s="28">
        <f>IFERROR(VLOOKUP(F3323,CARTON_LOOKUP!$A:$E,3,0),"")</f>
      </c>
      <c r="H3323" s="28">
        <f>IFERROR(VLOOKUP(F3323,CARTON_LOOKUP!$A:$E,4,0),"")</f>
      </c>
      <c r="I3323" s="28">
        <f>IFERROR(VLOOKUP(F3323,CARTON_LOOKUP!$A:$E,5,0),"")</f>
      </c>
      <c r="J3323" s="29">
        <f>IFERROR(VLOOKUP(F3323,CARTON_LOOKUP!$A:$E,2,0),"")</f>
      </c>
      <c r="K3323" s="29">
        <f>IFERROR(J3323*D3323,0)</f>
      </c>
      <c r="L3323" s="29">
        <f>IFERROR(E3323*C3323,0)</f>
      </c>
      <c r="M3323" s="29">
        <f>IFERROR((G3323*H3323*I3323/1000000)*D3323,0)</f>
      </c>
    </row>
    <row r="3324" spans="1:13" x14ac:dyDescent="0.25">
      <c r="A3324" s="16"/>
      <c r="E3324" s="27"/>
      <c r="F3324" t="s">
        <v>26</v>
      </c>
      <c r="G3324" s="28">
        <f>IFERROR(VLOOKUP(F3324,CARTON_LOOKUP!$A:$E,3,0),"")</f>
      </c>
      <c r="H3324" s="28">
        <f>IFERROR(VLOOKUP(F3324,CARTON_LOOKUP!$A:$E,4,0),"")</f>
      </c>
      <c r="I3324" s="28">
        <f>IFERROR(VLOOKUP(F3324,CARTON_LOOKUP!$A:$E,5,0),"")</f>
      </c>
      <c r="J3324" s="29">
        <f>IFERROR(VLOOKUP(F3324,CARTON_LOOKUP!$A:$E,2,0),"")</f>
      </c>
      <c r="K3324" s="29">
        <f>IFERROR(J3324*D3324,0)</f>
      </c>
      <c r="L3324" s="29">
        <f>IFERROR(E3324*C3324,0)</f>
      </c>
      <c r="M3324" s="29">
        <f>IFERROR((G3324*H3324*I3324/1000000)*D3324,0)</f>
      </c>
    </row>
    <row r="3325" spans="1:13" x14ac:dyDescent="0.25">
      <c r="A3325" s="16"/>
      <c r="E3325" s="27"/>
      <c r="F3325" t="s">
        <v>26</v>
      </c>
      <c r="G3325" s="28">
        <f>IFERROR(VLOOKUP(F3325,CARTON_LOOKUP!$A:$E,3,0),"")</f>
      </c>
      <c r="H3325" s="28">
        <f>IFERROR(VLOOKUP(F3325,CARTON_LOOKUP!$A:$E,4,0),"")</f>
      </c>
      <c r="I3325" s="28">
        <f>IFERROR(VLOOKUP(F3325,CARTON_LOOKUP!$A:$E,5,0),"")</f>
      </c>
      <c r="J3325" s="29">
        <f>IFERROR(VLOOKUP(F3325,CARTON_LOOKUP!$A:$E,2,0),"")</f>
      </c>
      <c r="K3325" s="29">
        <f>IFERROR(J3325*D3325,0)</f>
      </c>
      <c r="L3325" s="29">
        <f>IFERROR(E3325*C3325,0)</f>
      </c>
      <c r="M3325" s="29">
        <f>IFERROR((G3325*H3325*I3325/1000000)*D3325,0)</f>
      </c>
    </row>
    <row r="3326" spans="1:13" x14ac:dyDescent="0.25">
      <c r="A3326" s="16"/>
      <c r="E3326" s="27"/>
      <c r="F3326" t="s">
        <v>26</v>
      </c>
      <c r="G3326" s="28">
        <f>IFERROR(VLOOKUP(F3326,CARTON_LOOKUP!$A:$E,3,0),"")</f>
      </c>
      <c r="H3326" s="28">
        <f>IFERROR(VLOOKUP(F3326,CARTON_LOOKUP!$A:$E,4,0),"")</f>
      </c>
      <c r="I3326" s="28">
        <f>IFERROR(VLOOKUP(F3326,CARTON_LOOKUP!$A:$E,5,0),"")</f>
      </c>
      <c r="J3326" s="29">
        <f>IFERROR(VLOOKUP(F3326,CARTON_LOOKUP!$A:$E,2,0),"")</f>
      </c>
      <c r="K3326" s="29">
        <f>IFERROR(J3326*D3326,0)</f>
      </c>
      <c r="L3326" s="29">
        <f>IFERROR(E3326*C3326,0)</f>
      </c>
      <c r="M3326" s="29">
        <f>IFERROR((G3326*H3326*I3326/1000000)*D3326,0)</f>
      </c>
    </row>
    <row r="3327" spans="1:13" x14ac:dyDescent="0.25">
      <c r="A3327" s="16"/>
      <c r="E3327" s="27"/>
      <c r="F3327" t="s">
        <v>26</v>
      </c>
      <c r="G3327" s="28">
        <f>IFERROR(VLOOKUP(F3327,CARTON_LOOKUP!$A:$E,3,0),"")</f>
      </c>
      <c r="H3327" s="28">
        <f>IFERROR(VLOOKUP(F3327,CARTON_LOOKUP!$A:$E,4,0),"")</f>
      </c>
      <c r="I3327" s="28">
        <f>IFERROR(VLOOKUP(F3327,CARTON_LOOKUP!$A:$E,5,0),"")</f>
      </c>
      <c r="J3327" s="29">
        <f>IFERROR(VLOOKUP(F3327,CARTON_LOOKUP!$A:$E,2,0),"")</f>
      </c>
      <c r="K3327" s="29">
        <f>IFERROR(J3327*D3327,0)</f>
      </c>
      <c r="L3327" s="29">
        <f>IFERROR(E3327*C3327,0)</f>
      </c>
      <c r="M3327" s="29">
        <f>IFERROR((G3327*H3327*I3327/1000000)*D3327,0)</f>
      </c>
    </row>
    <row r="3328" spans="1:13" x14ac:dyDescent="0.25">
      <c r="A3328" s="16"/>
      <c r="E3328" s="27"/>
      <c r="F3328" t="s">
        <v>26</v>
      </c>
      <c r="G3328" s="28">
        <f>IFERROR(VLOOKUP(F3328,CARTON_LOOKUP!$A:$E,3,0),"")</f>
      </c>
      <c r="H3328" s="28">
        <f>IFERROR(VLOOKUP(F3328,CARTON_LOOKUP!$A:$E,4,0),"")</f>
      </c>
      <c r="I3328" s="28">
        <f>IFERROR(VLOOKUP(F3328,CARTON_LOOKUP!$A:$E,5,0),"")</f>
      </c>
      <c r="J3328" s="29">
        <f>IFERROR(VLOOKUP(F3328,CARTON_LOOKUP!$A:$E,2,0),"")</f>
      </c>
      <c r="K3328" s="29">
        <f>IFERROR(J3328*D3328,0)</f>
      </c>
      <c r="L3328" s="29">
        <f>IFERROR(E3328*C3328,0)</f>
      </c>
      <c r="M3328" s="29">
        <f>IFERROR((G3328*H3328*I3328/1000000)*D3328,0)</f>
      </c>
    </row>
    <row r="3329" spans="1:13" x14ac:dyDescent="0.25">
      <c r="A3329" s="16"/>
      <c r="E3329" s="27"/>
      <c r="F3329" t="s">
        <v>26</v>
      </c>
      <c r="G3329" s="28">
        <f>IFERROR(VLOOKUP(F3329,CARTON_LOOKUP!$A:$E,3,0),"")</f>
      </c>
      <c r="H3329" s="28">
        <f>IFERROR(VLOOKUP(F3329,CARTON_LOOKUP!$A:$E,4,0),"")</f>
      </c>
      <c r="I3329" s="28">
        <f>IFERROR(VLOOKUP(F3329,CARTON_LOOKUP!$A:$E,5,0),"")</f>
      </c>
      <c r="J3329" s="29">
        <f>IFERROR(VLOOKUP(F3329,CARTON_LOOKUP!$A:$E,2,0),"")</f>
      </c>
      <c r="K3329" s="29">
        <f>IFERROR(J3329*D3329,0)</f>
      </c>
      <c r="L3329" s="29">
        <f>IFERROR(E3329*C3329,0)</f>
      </c>
      <c r="M3329" s="29">
        <f>IFERROR((G3329*H3329*I3329/1000000)*D3329,0)</f>
      </c>
    </row>
    <row r="3330" spans="1:13" x14ac:dyDescent="0.25">
      <c r="A3330" s="16"/>
      <c r="E3330" s="27"/>
      <c r="F3330" t="s">
        <v>26</v>
      </c>
      <c r="G3330" s="28">
        <f>IFERROR(VLOOKUP(F3330,CARTON_LOOKUP!$A:$E,3,0),"")</f>
      </c>
      <c r="H3330" s="28">
        <f>IFERROR(VLOOKUP(F3330,CARTON_LOOKUP!$A:$E,4,0),"")</f>
      </c>
      <c r="I3330" s="28">
        <f>IFERROR(VLOOKUP(F3330,CARTON_LOOKUP!$A:$E,5,0),"")</f>
      </c>
      <c r="J3330" s="29">
        <f>IFERROR(VLOOKUP(F3330,CARTON_LOOKUP!$A:$E,2,0),"")</f>
      </c>
      <c r="K3330" s="29">
        <f>IFERROR(J3330*D3330,0)</f>
      </c>
      <c r="L3330" s="29">
        <f>IFERROR(E3330*C3330,0)</f>
      </c>
      <c r="M3330" s="29">
        <f>IFERROR((G3330*H3330*I3330/1000000)*D3330,0)</f>
      </c>
    </row>
    <row r="3331" spans="1:13" x14ac:dyDescent="0.25">
      <c r="A3331" s="16"/>
      <c r="E3331" s="27"/>
      <c r="F3331" t="s">
        <v>26</v>
      </c>
      <c r="G3331" s="28">
        <f>IFERROR(VLOOKUP(F3331,CARTON_LOOKUP!$A:$E,3,0),"")</f>
      </c>
      <c r="H3331" s="28">
        <f>IFERROR(VLOOKUP(F3331,CARTON_LOOKUP!$A:$E,4,0),"")</f>
      </c>
      <c r="I3331" s="28">
        <f>IFERROR(VLOOKUP(F3331,CARTON_LOOKUP!$A:$E,5,0),"")</f>
      </c>
      <c r="J3331" s="29">
        <f>IFERROR(VLOOKUP(F3331,CARTON_LOOKUP!$A:$E,2,0),"")</f>
      </c>
      <c r="K3331" s="29">
        <f>IFERROR(J3331*D3331,0)</f>
      </c>
      <c r="L3331" s="29">
        <f>IFERROR(E3331*C3331,0)</f>
      </c>
      <c r="M3331" s="29">
        <f>IFERROR((G3331*H3331*I3331/1000000)*D3331,0)</f>
      </c>
    </row>
    <row r="3332" spans="1:13" x14ac:dyDescent="0.25">
      <c r="A3332" s="16"/>
      <c r="E3332" s="27"/>
      <c r="F3332" t="s">
        <v>26</v>
      </c>
      <c r="G3332" s="28">
        <f>IFERROR(VLOOKUP(F3332,CARTON_LOOKUP!$A:$E,3,0),"")</f>
      </c>
      <c r="H3332" s="28">
        <f>IFERROR(VLOOKUP(F3332,CARTON_LOOKUP!$A:$E,4,0),"")</f>
      </c>
      <c r="I3332" s="28">
        <f>IFERROR(VLOOKUP(F3332,CARTON_LOOKUP!$A:$E,5,0),"")</f>
      </c>
      <c r="J3332" s="29">
        <f>IFERROR(VLOOKUP(F3332,CARTON_LOOKUP!$A:$E,2,0),"")</f>
      </c>
      <c r="K3332" s="29">
        <f>IFERROR(J3332*D3332,0)</f>
      </c>
      <c r="L3332" s="29">
        <f>IFERROR(E3332*C3332,0)</f>
      </c>
      <c r="M3332" s="29">
        <f>IFERROR((G3332*H3332*I3332/1000000)*D3332,0)</f>
      </c>
    </row>
    <row r="3333" spans="1:13" x14ac:dyDescent="0.25">
      <c r="A3333" s="16"/>
      <c r="E3333" s="27"/>
      <c r="F3333" t="s">
        <v>26</v>
      </c>
      <c r="G3333" s="28">
        <f>IFERROR(VLOOKUP(F3333,CARTON_LOOKUP!$A:$E,3,0),"")</f>
      </c>
      <c r="H3333" s="28">
        <f>IFERROR(VLOOKUP(F3333,CARTON_LOOKUP!$A:$E,4,0),"")</f>
      </c>
      <c r="I3333" s="28">
        <f>IFERROR(VLOOKUP(F3333,CARTON_LOOKUP!$A:$E,5,0),"")</f>
      </c>
      <c r="J3333" s="29">
        <f>IFERROR(VLOOKUP(F3333,CARTON_LOOKUP!$A:$E,2,0),"")</f>
      </c>
      <c r="K3333" s="29">
        <f>IFERROR(J3333*D3333,0)</f>
      </c>
      <c r="L3333" s="29">
        <f>IFERROR(E3333*C3333,0)</f>
      </c>
      <c r="M3333" s="29">
        <f>IFERROR((G3333*H3333*I3333/1000000)*D3333,0)</f>
      </c>
    </row>
    <row r="3334" spans="1:13" x14ac:dyDescent="0.25">
      <c r="A3334" s="16"/>
      <c r="E3334" s="27"/>
      <c r="F3334" t="s">
        <v>26</v>
      </c>
      <c r="G3334" s="28">
        <f>IFERROR(VLOOKUP(F3334,CARTON_LOOKUP!$A:$E,3,0),"")</f>
      </c>
      <c r="H3334" s="28">
        <f>IFERROR(VLOOKUP(F3334,CARTON_LOOKUP!$A:$E,4,0),"")</f>
      </c>
      <c r="I3334" s="28">
        <f>IFERROR(VLOOKUP(F3334,CARTON_LOOKUP!$A:$E,5,0),"")</f>
      </c>
      <c r="J3334" s="29">
        <f>IFERROR(VLOOKUP(F3334,CARTON_LOOKUP!$A:$E,2,0),"")</f>
      </c>
      <c r="K3334" s="29">
        <f>IFERROR(J3334*D3334,0)</f>
      </c>
      <c r="L3334" s="29">
        <f>IFERROR(E3334*C3334,0)</f>
      </c>
      <c r="M3334" s="29">
        <f>IFERROR((G3334*H3334*I3334/1000000)*D3334,0)</f>
      </c>
    </row>
    <row r="3335" spans="1:13" x14ac:dyDescent="0.25">
      <c r="A3335" s="16"/>
      <c r="E3335" s="27"/>
      <c r="F3335" t="s">
        <v>26</v>
      </c>
      <c r="G3335" s="28">
        <f>IFERROR(VLOOKUP(F3335,CARTON_LOOKUP!$A:$E,3,0),"")</f>
      </c>
      <c r="H3335" s="28">
        <f>IFERROR(VLOOKUP(F3335,CARTON_LOOKUP!$A:$E,4,0),"")</f>
      </c>
      <c r="I3335" s="28">
        <f>IFERROR(VLOOKUP(F3335,CARTON_LOOKUP!$A:$E,5,0),"")</f>
      </c>
      <c r="J3335" s="29">
        <f>IFERROR(VLOOKUP(F3335,CARTON_LOOKUP!$A:$E,2,0),"")</f>
      </c>
      <c r="K3335" s="29">
        <f>IFERROR(J3335*D3335,0)</f>
      </c>
      <c r="L3335" s="29">
        <f>IFERROR(E3335*C3335,0)</f>
      </c>
      <c r="M3335" s="29">
        <f>IFERROR((G3335*H3335*I3335/1000000)*D3335,0)</f>
      </c>
    </row>
    <row r="3336" spans="1:13" x14ac:dyDescent="0.25">
      <c r="A3336" s="16"/>
      <c r="E3336" s="27"/>
      <c r="F3336" t="s">
        <v>26</v>
      </c>
      <c r="G3336" s="28">
        <f>IFERROR(VLOOKUP(F3336,CARTON_LOOKUP!$A:$E,3,0),"")</f>
      </c>
      <c r="H3336" s="28">
        <f>IFERROR(VLOOKUP(F3336,CARTON_LOOKUP!$A:$E,4,0),"")</f>
      </c>
      <c r="I3336" s="28">
        <f>IFERROR(VLOOKUP(F3336,CARTON_LOOKUP!$A:$E,5,0),"")</f>
      </c>
      <c r="J3336" s="29">
        <f>IFERROR(VLOOKUP(F3336,CARTON_LOOKUP!$A:$E,2,0),"")</f>
      </c>
      <c r="K3336" s="29">
        <f>IFERROR(J3336*D3336,0)</f>
      </c>
      <c r="L3336" s="29">
        <f>IFERROR(E3336*C3336,0)</f>
      </c>
      <c r="M3336" s="29">
        <f>IFERROR((G3336*H3336*I3336/1000000)*D3336,0)</f>
      </c>
    </row>
    <row r="3337" spans="1:13" x14ac:dyDescent="0.25">
      <c r="A3337" s="16"/>
      <c r="E3337" s="27"/>
      <c r="F3337" t="s">
        <v>26</v>
      </c>
      <c r="G3337" s="28">
        <f>IFERROR(VLOOKUP(F3337,CARTON_LOOKUP!$A:$E,3,0),"")</f>
      </c>
      <c r="H3337" s="28">
        <f>IFERROR(VLOOKUP(F3337,CARTON_LOOKUP!$A:$E,4,0),"")</f>
      </c>
      <c r="I3337" s="28">
        <f>IFERROR(VLOOKUP(F3337,CARTON_LOOKUP!$A:$E,5,0),"")</f>
      </c>
      <c r="J3337" s="29">
        <f>IFERROR(VLOOKUP(F3337,CARTON_LOOKUP!$A:$E,2,0),"")</f>
      </c>
      <c r="K3337" s="29">
        <f>IFERROR(J3337*D3337,0)</f>
      </c>
      <c r="L3337" s="29">
        <f>IFERROR(E3337*C3337,0)</f>
      </c>
      <c r="M3337" s="29">
        <f>IFERROR((G3337*H3337*I3337/1000000)*D3337,0)</f>
      </c>
    </row>
    <row r="3338" spans="1:13" x14ac:dyDescent="0.25">
      <c r="A3338" s="16"/>
      <c r="E3338" s="27"/>
      <c r="F3338" t="s">
        <v>26</v>
      </c>
      <c r="G3338" s="28">
        <f>IFERROR(VLOOKUP(F3338,CARTON_LOOKUP!$A:$E,3,0),"")</f>
      </c>
      <c r="H3338" s="28">
        <f>IFERROR(VLOOKUP(F3338,CARTON_LOOKUP!$A:$E,4,0),"")</f>
      </c>
      <c r="I3338" s="28">
        <f>IFERROR(VLOOKUP(F3338,CARTON_LOOKUP!$A:$E,5,0),"")</f>
      </c>
      <c r="J3338" s="29">
        <f>IFERROR(VLOOKUP(F3338,CARTON_LOOKUP!$A:$E,2,0),"")</f>
      </c>
      <c r="K3338" s="29">
        <f>IFERROR(J3338*D3338,0)</f>
      </c>
      <c r="L3338" s="29">
        <f>IFERROR(E3338*C3338,0)</f>
      </c>
      <c r="M3338" s="29">
        <f>IFERROR((G3338*H3338*I3338/1000000)*D3338,0)</f>
      </c>
    </row>
    <row r="3339" spans="1:13" x14ac:dyDescent="0.25">
      <c r="A3339" s="16"/>
      <c r="E3339" s="27"/>
      <c r="F3339" t="s">
        <v>26</v>
      </c>
      <c r="G3339" s="28">
        <f>IFERROR(VLOOKUP(F3339,CARTON_LOOKUP!$A:$E,3,0),"")</f>
      </c>
      <c r="H3339" s="28">
        <f>IFERROR(VLOOKUP(F3339,CARTON_LOOKUP!$A:$E,4,0),"")</f>
      </c>
      <c r="I3339" s="28">
        <f>IFERROR(VLOOKUP(F3339,CARTON_LOOKUP!$A:$E,5,0),"")</f>
      </c>
      <c r="J3339" s="29">
        <f>IFERROR(VLOOKUP(F3339,CARTON_LOOKUP!$A:$E,2,0),"")</f>
      </c>
      <c r="K3339" s="29">
        <f>IFERROR(J3339*D3339,0)</f>
      </c>
      <c r="L3339" s="29">
        <f>IFERROR(E3339*C3339,0)</f>
      </c>
      <c r="M3339" s="29">
        <f>IFERROR((G3339*H3339*I3339/1000000)*D3339,0)</f>
      </c>
    </row>
    <row r="3340" spans="1:13" x14ac:dyDescent="0.25">
      <c r="A3340" s="16"/>
      <c r="E3340" s="27"/>
      <c r="F3340" t="s">
        <v>26</v>
      </c>
      <c r="G3340" s="28">
        <f>IFERROR(VLOOKUP(F3340,CARTON_LOOKUP!$A:$E,3,0),"")</f>
      </c>
      <c r="H3340" s="28">
        <f>IFERROR(VLOOKUP(F3340,CARTON_LOOKUP!$A:$E,4,0),"")</f>
      </c>
      <c r="I3340" s="28">
        <f>IFERROR(VLOOKUP(F3340,CARTON_LOOKUP!$A:$E,5,0),"")</f>
      </c>
      <c r="J3340" s="29">
        <f>IFERROR(VLOOKUP(F3340,CARTON_LOOKUP!$A:$E,2,0),"")</f>
      </c>
      <c r="K3340" s="29">
        <f>IFERROR(J3340*D3340,0)</f>
      </c>
      <c r="L3340" s="29">
        <f>IFERROR(E3340*C3340,0)</f>
      </c>
      <c r="M3340" s="29">
        <f>IFERROR((G3340*H3340*I3340/1000000)*D3340,0)</f>
      </c>
    </row>
    <row r="3341" spans="1:13" x14ac:dyDescent="0.25">
      <c r="A3341" s="16"/>
      <c r="E3341" s="27"/>
      <c r="F3341" t="s">
        <v>26</v>
      </c>
      <c r="G3341" s="28">
        <f>IFERROR(VLOOKUP(F3341,CARTON_LOOKUP!$A:$E,3,0),"")</f>
      </c>
      <c r="H3341" s="28">
        <f>IFERROR(VLOOKUP(F3341,CARTON_LOOKUP!$A:$E,4,0),"")</f>
      </c>
      <c r="I3341" s="28">
        <f>IFERROR(VLOOKUP(F3341,CARTON_LOOKUP!$A:$E,5,0),"")</f>
      </c>
      <c r="J3341" s="29">
        <f>IFERROR(VLOOKUP(F3341,CARTON_LOOKUP!$A:$E,2,0),"")</f>
      </c>
      <c r="K3341" s="29">
        <f>IFERROR(J3341*D3341,0)</f>
      </c>
      <c r="L3341" s="29">
        <f>IFERROR(E3341*C3341,0)</f>
      </c>
      <c r="M3341" s="29">
        <f>IFERROR((G3341*H3341*I3341/1000000)*D3341,0)</f>
      </c>
    </row>
    <row r="3342" spans="1:13" x14ac:dyDescent="0.25">
      <c r="A3342" s="16"/>
      <c r="E3342" s="27"/>
      <c r="F3342" t="s">
        <v>26</v>
      </c>
      <c r="G3342" s="28">
        <f>IFERROR(VLOOKUP(F3342,CARTON_LOOKUP!$A:$E,3,0),"")</f>
      </c>
      <c r="H3342" s="28">
        <f>IFERROR(VLOOKUP(F3342,CARTON_LOOKUP!$A:$E,4,0),"")</f>
      </c>
      <c r="I3342" s="28">
        <f>IFERROR(VLOOKUP(F3342,CARTON_LOOKUP!$A:$E,5,0),"")</f>
      </c>
      <c r="J3342" s="29">
        <f>IFERROR(VLOOKUP(F3342,CARTON_LOOKUP!$A:$E,2,0),"")</f>
      </c>
      <c r="K3342" s="29">
        <f>IFERROR(J3342*D3342,0)</f>
      </c>
      <c r="L3342" s="29">
        <f>IFERROR(E3342*C3342,0)</f>
      </c>
      <c r="M3342" s="29">
        <f>IFERROR((G3342*H3342*I3342/1000000)*D3342,0)</f>
      </c>
    </row>
    <row r="3343" spans="1:13" x14ac:dyDescent="0.25">
      <c r="A3343" s="16"/>
      <c r="E3343" s="27"/>
      <c r="F3343" t="s">
        <v>26</v>
      </c>
      <c r="G3343" s="28">
        <f>IFERROR(VLOOKUP(F3343,CARTON_LOOKUP!$A:$E,3,0),"")</f>
      </c>
      <c r="H3343" s="28">
        <f>IFERROR(VLOOKUP(F3343,CARTON_LOOKUP!$A:$E,4,0),"")</f>
      </c>
      <c r="I3343" s="28">
        <f>IFERROR(VLOOKUP(F3343,CARTON_LOOKUP!$A:$E,5,0),"")</f>
      </c>
      <c r="J3343" s="29">
        <f>IFERROR(VLOOKUP(F3343,CARTON_LOOKUP!$A:$E,2,0),"")</f>
      </c>
      <c r="K3343" s="29">
        <f>IFERROR(J3343*D3343,0)</f>
      </c>
      <c r="L3343" s="29">
        <f>IFERROR(E3343*C3343,0)</f>
      </c>
      <c r="M3343" s="29">
        <f>IFERROR((G3343*H3343*I3343/1000000)*D3343,0)</f>
      </c>
    </row>
    <row r="3344" spans="1:13" x14ac:dyDescent="0.25">
      <c r="A3344" s="16"/>
      <c r="E3344" s="27"/>
      <c r="F3344" t="s">
        <v>26</v>
      </c>
      <c r="G3344" s="28">
        <f>IFERROR(VLOOKUP(F3344,CARTON_LOOKUP!$A:$E,3,0),"")</f>
      </c>
      <c r="H3344" s="28">
        <f>IFERROR(VLOOKUP(F3344,CARTON_LOOKUP!$A:$E,4,0),"")</f>
      </c>
      <c r="I3344" s="28">
        <f>IFERROR(VLOOKUP(F3344,CARTON_LOOKUP!$A:$E,5,0),"")</f>
      </c>
      <c r="J3344" s="29">
        <f>IFERROR(VLOOKUP(F3344,CARTON_LOOKUP!$A:$E,2,0),"")</f>
      </c>
      <c r="K3344" s="29">
        <f>IFERROR(J3344*D3344,0)</f>
      </c>
      <c r="L3344" s="29">
        <f>IFERROR(E3344*C3344,0)</f>
      </c>
      <c r="M3344" s="29">
        <f>IFERROR((G3344*H3344*I3344/1000000)*D3344,0)</f>
      </c>
    </row>
    <row r="3345" spans="1:13" x14ac:dyDescent="0.25">
      <c r="A3345" s="16"/>
      <c r="E3345" s="27"/>
      <c r="F3345" t="s">
        <v>26</v>
      </c>
      <c r="G3345" s="28">
        <f>IFERROR(VLOOKUP(F3345,CARTON_LOOKUP!$A:$E,3,0),"")</f>
      </c>
      <c r="H3345" s="28">
        <f>IFERROR(VLOOKUP(F3345,CARTON_LOOKUP!$A:$E,4,0),"")</f>
      </c>
      <c r="I3345" s="28">
        <f>IFERROR(VLOOKUP(F3345,CARTON_LOOKUP!$A:$E,5,0),"")</f>
      </c>
      <c r="J3345" s="29">
        <f>IFERROR(VLOOKUP(F3345,CARTON_LOOKUP!$A:$E,2,0),"")</f>
      </c>
      <c r="K3345" s="29">
        <f>IFERROR(J3345*D3345,0)</f>
      </c>
      <c r="L3345" s="29">
        <f>IFERROR(E3345*C3345,0)</f>
      </c>
      <c r="M3345" s="29">
        <f>IFERROR((G3345*H3345*I3345/1000000)*D3345,0)</f>
      </c>
    </row>
    <row r="3346" spans="1:13" x14ac:dyDescent="0.25">
      <c r="A3346" s="16"/>
      <c r="E3346" s="27"/>
      <c r="F3346" t="s">
        <v>26</v>
      </c>
      <c r="G3346" s="28">
        <f>IFERROR(VLOOKUP(F3346,CARTON_LOOKUP!$A:$E,3,0),"")</f>
      </c>
      <c r="H3346" s="28">
        <f>IFERROR(VLOOKUP(F3346,CARTON_LOOKUP!$A:$E,4,0),"")</f>
      </c>
      <c r="I3346" s="28">
        <f>IFERROR(VLOOKUP(F3346,CARTON_LOOKUP!$A:$E,5,0),"")</f>
      </c>
      <c r="J3346" s="29">
        <f>IFERROR(VLOOKUP(F3346,CARTON_LOOKUP!$A:$E,2,0),"")</f>
      </c>
      <c r="K3346" s="29">
        <f>IFERROR(J3346*D3346,0)</f>
      </c>
      <c r="L3346" s="29">
        <f>IFERROR(E3346*C3346,0)</f>
      </c>
      <c r="M3346" s="29">
        <f>IFERROR((G3346*H3346*I3346/1000000)*D3346,0)</f>
      </c>
    </row>
    <row r="3347" spans="1:13" x14ac:dyDescent="0.25">
      <c r="A3347" s="16"/>
      <c r="E3347" s="27"/>
      <c r="F3347" t="s">
        <v>26</v>
      </c>
      <c r="G3347" s="28">
        <f>IFERROR(VLOOKUP(F3347,CARTON_LOOKUP!$A:$E,3,0),"")</f>
      </c>
      <c r="H3347" s="28">
        <f>IFERROR(VLOOKUP(F3347,CARTON_LOOKUP!$A:$E,4,0),"")</f>
      </c>
      <c r="I3347" s="28">
        <f>IFERROR(VLOOKUP(F3347,CARTON_LOOKUP!$A:$E,5,0),"")</f>
      </c>
      <c r="J3347" s="29">
        <f>IFERROR(VLOOKUP(F3347,CARTON_LOOKUP!$A:$E,2,0),"")</f>
      </c>
      <c r="K3347" s="29">
        <f>IFERROR(J3347*D3347,0)</f>
      </c>
      <c r="L3347" s="29">
        <f>IFERROR(E3347*C3347,0)</f>
      </c>
      <c r="M3347" s="29">
        <f>IFERROR((G3347*H3347*I3347/1000000)*D3347,0)</f>
      </c>
    </row>
    <row r="3348" spans="1:13" x14ac:dyDescent="0.25">
      <c r="A3348" s="16"/>
      <c r="E3348" s="27"/>
      <c r="F3348" t="s">
        <v>26</v>
      </c>
      <c r="G3348" s="28">
        <f>IFERROR(VLOOKUP(F3348,CARTON_LOOKUP!$A:$E,3,0),"")</f>
      </c>
      <c r="H3348" s="28">
        <f>IFERROR(VLOOKUP(F3348,CARTON_LOOKUP!$A:$E,4,0),"")</f>
      </c>
      <c r="I3348" s="28">
        <f>IFERROR(VLOOKUP(F3348,CARTON_LOOKUP!$A:$E,5,0),"")</f>
      </c>
      <c r="J3348" s="29">
        <f>IFERROR(VLOOKUP(F3348,CARTON_LOOKUP!$A:$E,2,0),"")</f>
      </c>
      <c r="K3348" s="29">
        <f>IFERROR(J3348*D3348,0)</f>
      </c>
      <c r="L3348" s="29">
        <f>IFERROR(E3348*C3348,0)</f>
      </c>
      <c r="M3348" s="29">
        <f>IFERROR((G3348*H3348*I3348/1000000)*D3348,0)</f>
      </c>
    </row>
    <row r="3349" spans="1:13" x14ac:dyDescent="0.25">
      <c r="A3349" s="16"/>
      <c r="E3349" s="27"/>
      <c r="F3349" t="s">
        <v>26</v>
      </c>
      <c r="G3349" s="28">
        <f>IFERROR(VLOOKUP(F3349,CARTON_LOOKUP!$A:$E,3,0),"")</f>
      </c>
      <c r="H3349" s="28">
        <f>IFERROR(VLOOKUP(F3349,CARTON_LOOKUP!$A:$E,4,0),"")</f>
      </c>
      <c r="I3349" s="28">
        <f>IFERROR(VLOOKUP(F3349,CARTON_LOOKUP!$A:$E,5,0),"")</f>
      </c>
      <c r="J3349" s="29">
        <f>IFERROR(VLOOKUP(F3349,CARTON_LOOKUP!$A:$E,2,0),"")</f>
      </c>
      <c r="K3349" s="29">
        <f>IFERROR(J3349*D3349,0)</f>
      </c>
      <c r="L3349" s="29">
        <f>IFERROR(E3349*C3349,0)</f>
      </c>
      <c r="M3349" s="29">
        <f>IFERROR((G3349*H3349*I3349/1000000)*D3349,0)</f>
      </c>
    </row>
    <row r="3350" spans="1:13" x14ac:dyDescent="0.25">
      <c r="A3350" s="16"/>
      <c r="E3350" s="27"/>
      <c r="F3350" t="s">
        <v>26</v>
      </c>
      <c r="G3350" s="28">
        <f>IFERROR(VLOOKUP(F3350,CARTON_LOOKUP!$A:$E,3,0),"")</f>
      </c>
      <c r="H3350" s="28">
        <f>IFERROR(VLOOKUP(F3350,CARTON_LOOKUP!$A:$E,4,0),"")</f>
      </c>
      <c r="I3350" s="28">
        <f>IFERROR(VLOOKUP(F3350,CARTON_LOOKUP!$A:$E,5,0),"")</f>
      </c>
      <c r="J3350" s="29">
        <f>IFERROR(VLOOKUP(F3350,CARTON_LOOKUP!$A:$E,2,0),"")</f>
      </c>
      <c r="K3350" s="29">
        <f>IFERROR(J3350*D3350,0)</f>
      </c>
      <c r="L3350" s="29">
        <f>IFERROR(E3350*C3350,0)</f>
      </c>
      <c r="M3350" s="29">
        <f>IFERROR((G3350*H3350*I3350/1000000)*D3350,0)</f>
      </c>
    </row>
    <row r="3351" spans="1:13" x14ac:dyDescent="0.25">
      <c r="A3351" s="16"/>
      <c r="E3351" s="27"/>
      <c r="F3351" t="s">
        <v>26</v>
      </c>
      <c r="G3351" s="28">
        <f>IFERROR(VLOOKUP(F3351,CARTON_LOOKUP!$A:$E,3,0),"")</f>
      </c>
      <c r="H3351" s="28">
        <f>IFERROR(VLOOKUP(F3351,CARTON_LOOKUP!$A:$E,4,0),"")</f>
      </c>
      <c r="I3351" s="28">
        <f>IFERROR(VLOOKUP(F3351,CARTON_LOOKUP!$A:$E,5,0),"")</f>
      </c>
      <c r="J3351" s="29">
        <f>IFERROR(VLOOKUP(F3351,CARTON_LOOKUP!$A:$E,2,0),"")</f>
      </c>
      <c r="K3351" s="29">
        <f>IFERROR(J3351*D3351,0)</f>
      </c>
      <c r="L3351" s="29">
        <f>IFERROR(E3351*C3351,0)</f>
      </c>
      <c r="M3351" s="29">
        <f>IFERROR((G3351*H3351*I3351/1000000)*D3351,0)</f>
      </c>
    </row>
    <row r="3352" spans="1:13" x14ac:dyDescent="0.25">
      <c r="A3352" s="16"/>
      <c r="E3352" s="27"/>
      <c r="F3352" t="s">
        <v>26</v>
      </c>
      <c r="G3352" s="28">
        <f>IFERROR(VLOOKUP(F3352,CARTON_LOOKUP!$A:$E,3,0),"")</f>
      </c>
      <c r="H3352" s="28">
        <f>IFERROR(VLOOKUP(F3352,CARTON_LOOKUP!$A:$E,4,0),"")</f>
      </c>
      <c r="I3352" s="28">
        <f>IFERROR(VLOOKUP(F3352,CARTON_LOOKUP!$A:$E,5,0),"")</f>
      </c>
      <c r="J3352" s="29">
        <f>IFERROR(VLOOKUP(F3352,CARTON_LOOKUP!$A:$E,2,0),"")</f>
      </c>
      <c r="K3352" s="29">
        <f>IFERROR(J3352*D3352,0)</f>
      </c>
      <c r="L3352" s="29">
        <f>IFERROR(E3352*C3352,0)</f>
      </c>
      <c r="M3352" s="29">
        <f>IFERROR((G3352*H3352*I3352/1000000)*D3352,0)</f>
      </c>
    </row>
    <row r="3353" spans="1:13" x14ac:dyDescent="0.25">
      <c r="A3353" s="16"/>
      <c r="E3353" s="27"/>
      <c r="F3353" t="s">
        <v>26</v>
      </c>
      <c r="G3353" s="28">
        <f>IFERROR(VLOOKUP(F3353,CARTON_LOOKUP!$A:$E,3,0),"")</f>
      </c>
      <c r="H3353" s="28">
        <f>IFERROR(VLOOKUP(F3353,CARTON_LOOKUP!$A:$E,4,0),"")</f>
      </c>
      <c r="I3353" s="28">
        <f>IFERROR(VLOOKUP(F3353,CARTON_LOOKUP!$A:$E,5,0),"")</f>
      </c>
      <c r="J3353" s="29">
        <f>IFERROR(VLOOKUP(F3353,CARTON_LOOKUP!$A:$E,2,0),"")</f>
      </c>
      <c r="K3353" s="29">
        <f>IFERROR(J3353*D3353,0)</f>
      </c>
      <c r="L3353" s="29">
        <f>IFERROR(E3353*C3353,0)</f>
      </c>
      <c r="M3353" s="29">
        <f>IFERROR((G3353*H3353*I3353/1000000)*D3353,0)</f>
      </c>
    </row>
    <row r="3354" spans="1:13" x14ac:dyDescent="0.25">
      <c r="A3354" s="16"/>
      <c r="E3354" s="27"/>
      <c r="F3354" t="s">
        <v>26</v>
      </c>
      <c r="G3354" s="28">
        <f>IFERROR(VLOOKUP(F3354,CARTON_LOOKUP!$A:$E,3,0),"")</f>
      </c>
      <c r="H3354" s="28">
        <f>IFERROR(VLOOKUP(F3354,CARTON_LOOKUP!$A:$E,4,0),"")</f>
      </c>
      <c r="I3354" s="28">
        <f>IFERROR(VLOOKUP(F3354,CARTON_LOOKUP!$A:$E,5,0),"")</f>
      </c>
      <c r="J3354" s="29">
        <f>IFERROR(VLOOKUP(F3354,CARTON_LOOKUP!$A:$E,2,0),"")</f>
      </c>
      <c r="K3354" s="29">
        <f>IFERROR(J3354*D3354,0)</f>
      </c>
      <c r="L3354" s="29">
        <f>IFERROR(E3354*C3354,0)</f>
      </c>
      <c r="M3354" s="29">
        <f>IFERROR((G3354*H3354*I3354/1000000)*D3354,0)</f>
      </c>
    </row>
    <row r="3355" spans="1:13" x14ac:dyDescent="0.25">
      <c r="A3355" s="16"/>
      <c r="E3355" s="27"/>
      <c r="F3355" t="s">
        <v>26</v>
      </c>
      <c r="G3355" s="28">
        <f>IFERROR(VLOOKUP(F3355,CARTON_LOOKUP!$A:$E,3,0),"")</f>
      </c>
      <c r="H3355" s="28">
        <f>IFERROR(VLOOKUP(F3355,CARTON_LOOKUP!$A:$E,4,0),"")</f>
      </c>
      <c r="I3355" s="28">
        <f>IFERROR(VLOOKUP(F3355,CARTON_LOOKUP!$A:$E,5,0),"")</f>
      </c>
      <c r="J3355" s="29">
        <f>IFERROR(VLOOKUP(F3355,CARTON_LOOKUP!$A:$E,2,0),"")</f>
      </c>
      <c r="K3355" s="29">
        <f>IFERROR(J3355*D3355,0)</f>
      </c>
      <c r="L3355" s="29">
        <f>IFERROR(E3355*C3355,0)</f>
      </c>
      <c r="M3355" s="29">
        <f>IFERROR((G3355*H3355*I3355/1000000)*D3355,0)</f>
      </c>
    </row>
    <row r="3356" spans="1:13" x14ac:dyDescent="0.25">
      <c r="A3356" s="16"/>
      <c r="E3356" s="27"/>
      <c r="F3356" t="s">
        <v>26</v>
      </c>
      <c r="G3356" s="28">
        <f>IFERROR(VLOOKUP(F3356,CARTON_LOOKUP!$A:$E,3,0),"")</f>
      </c>
      <c r="H3356" s="28">
        <f>IFERROR(VLOOKUP(F3356,CARTON_LOOKUP!$A:$E,4,0),"")</f>
      </c>
      <c r="I3356" s="28">
        <f>IFERROR(VLOOKUP(F3356,CARTON_LOOKUP!$A:$E,5,0),"")</f>
      </c>
      <c r="J3356" s="29">
        <f>IFERROR(VLOOKUP(F3356,CARTON_LOOKUP!$A:$E,2,0),"")</f>
      </c>
      <c r="K3356" s="29">
        <f>IFERROR(J3356*D3356,0)</f>
      </c>
      <c r="L3356" s="29">
        <f>IFERROR(E3356*C3356,0)</f>
      </c>
      <c r="M3356" s="29">
        <f>IFERROR((G3356*H3356*I3356/1000000)*D3356,0)</f>
      </c>
    </row>
    <row r="3357" spans="1:13" x14ac:dyDescent="0.25">
      <c r="A3357" s="16"/>
      <c r="E3357" s="27"/>
      <c r="F3357" t="s">
        <v>26</v>
      </c>
      <c r="G3357" s="28">
        <f>IFERROR(VLOOKUP(F3357,CARTON_LOOKUP!$A:$E,3,0),"")</f>
      </c>
      <c r="H3357" s="28">
        <f>IFERROR(VLOOKUP(F3357,CARTON_LOOKUP!$A:$E,4,0),"")</f>
      </c>
      <c r="I3357" s="28">
        <f>IFERROR(VLOOKUP(F3357,CARTON_LOOKUP!$A:$E,5,0),"")</f>
      </c>
      <c r="J3357" s="29">
        <f>IFERROR(VLOOKUP(F3357,CARTON_LOOKUP!$A:$E,2,0),"")</f>
      </c>
      <c r="K3357" s="29">
        <f>IFERROR(J3357*D3357,0)</f>
      </c>
      <c r="L3357" s="29">
        <f>IFERROR(E3357*C3357,0)</f>
      </c>
      <c r="M3357" s="29">
        <f>IFERROR((G3357*H3357*I3357/1000000)*D3357,0)</f>
      </c>
    </row>
    <row r="3358" spans="1:13" x14ac:dyDescent="0.25">
      <c r="A3358" s="16"/>
      <c r="E3358" s="27"/>
      <c r="F3358" t="s">
        <v>26</v>
      </c>
      <c r="G3358" s="28">
        <f>IFERROR(VLOOKUP(F3358,CARTON_LOOKUP!$A:$E,3,0),"")</f>
      </c>
      <c r="H3358" s="28">
        <f>IFERROR(VLOOKUP(F3358,CARTON_LOOKUP!$A:$E,4,0),"")</f>
      </c>
      <c r="I3358" s="28">
        <f>IFERROR(VLOOKUP(F3358,CARTON_LOOKUP!$A:$E,5,0),"")</f>
      </c>
      <c r="J3358" s="29">
        <f>IFERROR(VLOOKUP(F3358,CARTON_LOOKUP!$A:$E,2,0),"")</f>
      </c>
      <c r="K3358" s="29">
        <f>IFERROR(J3358*D3358,0)</f>
      </c>
      <c r="L3358" s="29">
        <f>IFERROR(E3358*C3358,0)</f>
      </c>
      <c r="M3358" s="29">
        <f>IFERROR((G3358*H3358*I3358/1000000)*D3358,0)</f>
      </c>
    </row>
    <row r="3359" spans="1:13" x14ac:dyDescent="0.25">
      <c r="A3359" s="16"/>
      <c r="E3359" s="27"/>
      <c r="F3359" t="s">
        <v>26</v>
      </c>
      <c r="G3359" s="28">
        <f>IFERROR(VLOOKUP(F3359,CARTON_LOOKUP!$A:$E,3,0),"")</f>
      </c>
      <c r="H3359" s="28">
        <f>IFERROR(VLOOKUP(F3359,CARTON_LOOKUP!$A:$E,4,0),"")</f>
      </c>
      <c r="I3359" s="28">
        <f>IFERROR(VLOOKUP(F3359,CARTON_LOOKUP!$A:$E,5,0),"")</f>
      </c>
      <c r="J3359" s="29">
        <f>IFERROR(VLOOKUP(F3359,CARTON_LOOKUP!$A:$E,2,0),"")</f>
      </c>
      <c r="K3359" s="29">
        <f>IFERROR(J3359*D3359,0)</f>
      </c>
      <c r="L3359" s="29">
        <f>IFERROR(E3359*C3359,0)</f>
      </c>
      <c r="M3359" s="29">
        <f>IFERROR((G3359*H3359*I3359/1000000)*D3359,0)</f>
      </c>
    </row>
    <row r="3360" spans="1:13" x14ac:dyDescent="0.25">
      <c r="A3360" s="16"/>
      <c r="E3360" s="27"/>
      <c r="F3360" t="s">
        <v>26</v>
      </c>
      <c r="G3360" s="28">
        <f>IFERROR(VLOOKUP(F3360,CARTON_LOOKUP!$A:$E,3,0),"")</f>
      </c>
      <c r="H3360" s="28">
        <f>IFERROR(VLOOKUP(F3360,CARTON_LOOKUP!$A:$E,4,0),"")</f>
      </c>
      <c r="I3360" s="28">
        <f>IFERROR(VLOOKUP(F3360,CARTON_LOOKUP!$A:$E,5,0),"")</f>
      </c>
      <c r="J3360" s="29">
        <f>IFERROR(VLOOKUP(F3360,CARTON_LOOKUP!$A:$E,2,0),"")</f>
      </c>
      <c r="K3360" s="29">
        <f>IFERROR(J3360*D3360,0)</f>
      </c>
      <c r="L3360" s="29">
        <f>IFERROR(E3360*C3360,0)</f>
      </c>
      <c r="M3360" s="29">
        <f>IFERROR((G3360*H3360*I3360/1000000)*D3360,0)</f>
      </c>
    </row>
    <row r="3361" spans="1:13" x14ac:dyDescent="0.25">
      <c r="A3361" s="16"/>
      <c r="E3361" s="27"/>
      <c r="F3361" t="s">
        <v>26</v>
      </c>
      <c r="G3361" s="28">
        <f>IFERROR(VLOOKUP(F3361,CARTON_LOOKUP!$A:$E,3,0),"")</f>
      </c>
      <c r="H3361" s="28">
        <f>IFERROR(VLOOKUP(F3361,CARTON_LOOKUP!$A:$E,4,0),"")</f>
      </c>
      <c r="I3361" s="28">
        <f>IFERROR(VLOOKUP(F3361,CARTON_LOOKUP!$A:$E,5,0),"")</f>
      </c>
      <c r="J3361" s="29">
        <f>IFERROR(VLOOKUP(F3361,CARTON_LOOKUP!$A:$E,2,0),"")</f>
      </c>
      <c r="K3361" s="29">
        <f>IFERROR(J3361*D3361,0)</f>
      </c>
      <c r="L3361" s="29">
        <f>IFERROR(E3361*C3361,0)</f>
      </c>
      <c r="M3361" s="29">
        <f>IFERROR((G3361*H3361*I3361/1000000)*D3361,0)</f>
      </c>
    </row>
    <row r="3362" spans="1:13" x14ac:dyDescent="0.25">
      <c r="A3362" s="16"/>
      <c r="E3362" s="27"/>
      <c r="F3362" t="s">
        <v>26</v>
      </c>
      <c r="G3362" s="28">
        <f>IFERROR(VLOOKUP(F3362,CARTON_LOOKUP!$A:$E,3,0),"")</f>
      </c>
      <c r="H3362" s="28">
        <f>IFERROR(VLOOKUP(F3362,CARTON_LOOKUP!$A:$E,4,0),"")</f>
      </c>
      <c r="I3362" s="28">
        <f>IFERROR(VLOOKUP(F3362,CARTON_LOOKUP!$A:$E,5,0),"")</f>
      </c>
      <c r="J3362" s="29">
        <f>IFERROR(VLOOKUP(F3362,CARTON_LOOKUP!$A:$E,2,0),"")</f>
      </c>
      <c r="K3362" s="29">
        <f>IFERROR(J3362*D3362,0)</f>
      </c>
      <c r="L3362" s="29">
        <f>IFERROR(E3362*C3362,0)</f>
      </c>
      <c r="M3362" s="29">
        <f>IFERROR((G3362*H3362*I3362/1000000)*D3362,0)</f>
      </c>
    </row>
    <row r="3363" spans="1:13" x14ac:dyDescent="0.25">
      <c r="A3363" s="16"/>
      <c r="E3363" s="27"/>
      <c r="F3363" t="s">
        <v>26</v>
      </c>
      <c r="G3363" s="28">
        <f>IFERROR(VLOOKUP(F3363,CARTON_LOOKUP!$A:$E,3,0),"")</f>
      </c>
      <c r="H3363" s="28">
        <f>IFERROR(VLOOKUP(F3363,CARTON_LOOKUP!$A:$E,4,0),"")</f>
      </c>
      <c r="I3363" s="28">
        <f>IFERROR(VLOOKUP(F3363,CARTON_LOOKUP!$A:$E,5,0),"")</f>
      </c>
      <c r="J3363" s="29">
        <f>IFERROR(VLOOKUP(F3363,CARTON_LOOKUP!$A:$E,2,0),"")</f>
      </c>
      <c r="K3363" s="29">
        <f>IFERROR(J3363*D3363,0)</f>
      </c>
      <c r="L3363" s="29">
        <f>IFERROR(E3363*C3363,0)</f>
      </c>
      <c r="M3363" s="29">
        <f>IFERROR((G3363*H3363*I3363/1000000)*D3363,0)</f>
      </c>
    </row>
    <row r="3364" spans="1:13" x14ac:dyDescent="0.25">
      <c r="A3364" s="16"/>
      <c r="E3364" s="27"/>
      <c r="F3364" t="s">
        <v>26</v>
      </c>
      <c r="G3364" s="28">
        <f>IFERROR(VLOOKUP(F3364,CARTON_LOOKUP!$A:$E,3,0),"")</f>
      </c>
      <c r="H3364" s="28">
        <f>IFERROR(VLOOKUP(F3364,CARTON_LOOKUP!$A:$E,4,0),"")</f>
      </c>
      <c r="I3364" s="28">
        <f>IFERROR(VLOOKUP(F3364,CARTON_LOOKUP!$A:$E,5,0),"")</f>
      </c>
      <c r="J3364" s="29">
        <f>IFERROR(VLOOKUP(F3364,CARTON_LOOKUP!$A:$E,2,0),"")</f>
      </c>
      <c r="K3364" s="29">
        <f>IFERROR(J3364*D3364,0)</f>
      </c>
      <c r="L3364" s="29">
        <f>IFERROR(E3364*C3364,0)</f>
      </c>
      <c r="M3364" s="29">
        <f>IFERROR((G3364*H3364*I3364/1000000)*D3364,0)</f>
      </c>
    </row>
    <row r="3365" spans="1:13" x14ac:dyDescent="0.25">
      <c r="A3365" s="16"/>
      <c r="E3365" s="27"/>
      <c r="F3365" t="s">
        <v>26</v>
      </c>
      <c r="G3365" s="28">
        <f>IFERROR(VLOOKUP(F3365,CARTON_LOOKUP!$A:$E,3,0),"")</f>
      </c>
      <c r="H3365" s="28">
        <f>IFERROR(VLOOKUP(F3365,CARTON_LOOKUP!$A:$E,4,0),"")</f>
      </c>
      <c r="I3365" s="28">
        <f>IFERROR(VLOOKUP(F3365,CARTON_LOOKUP!$A:$E,5,0),"")</f>
      </c>
      <c r="J3365" s="29">
        <f>IFERROR(VLOOKUP(F3365,CARTON_LOOKUP!$A:$E,2,0),"")</f>
      </c>
      <c r="K3365" s="29">
        <f>IFERROR(J3365*D3365,0)</f>
      </c>
      <c r="L3365" s="29">
        <f>IFERROR(E3365*C3365,0)</f>
      </c>
      <c r="M3365" s="29">
        <f>IFERROR((G3365*H3365*I3365/1000000)*D3365,0)</f>
      </c>
    </row>
    <row r="3366" spans="1:13" x14ac:dyDescent="0.25">
      <c r="A3366" s="16"/>
      <c r="E3366" s="27"/>
      <c r="F3366" t="s">
        <v>26</v>
      </c>
      <c r="G3366" s="28">
        <f>IFERROR(VLOOKUP(F3366,CARTON_LOOKUP!$A:$E,3,0),"")</f>
      </c>
      <c r="H3366" s="28">
        <f>IFERROR(VLOOKUP(F3366,CARTON_LOOKUP!$A:$E,4,0),"")</f>
      </c>
      <c r="I3366" s="28">
        <f>IFERROR(VLOOKUP(F3366,CARTON_LOOKUP!$A:$E,5,0),"")</f>
      </c>
      <c r="J3366" s="29">
        <f>IFERROR(VLOOKUP(F3366,CARTON_LOOKUP!$A:$E,2,0),"")</f>
      </c>
      <c r="K3366" s="29">
        <f>IFERROR(J3366*D3366,0)</f>
      </c>
      <c r="L3366" s="29">
        <f>IFERROR(E3366*C3366,0)</f>
      </c>
      <c r="M3366" s="29">
        <f>IFERROR((G3366*H3366*I3366/1000000)*D3366,0)</f>
      </c>
    </row>
    <row r="3367" spans="1:13" x14ac:dyDescent="0.25">
      <c r="A3367" s="16"/>
      <c r="E3367" s="27"/>
      <c r="F3367" t="s">
        <v>26</v>
      </c>
      <c r="G3367" s="28">
        <f>IFERROR(VLOOKUP(F3367,CARTON_LOOKUP!$A:$E,3,0),"")</f>
      </c>
      <c r="H3367" s="28">
        <f>IFERROR(VLOOKUP(F3367,CARTON_LOOKUP!$A:$E,4,0),"")</f>
      </c>
      <c r="I3367" s="28">
        <f>IFERROR(VLOOKUP(F3367,CARTON_LOOKUP!$A:$E,5,0),"")</f>
      </c>
      <c r="J3367" s="29">
        <f>IFERROR(VLOOKUP(F3367,CARTON_LOOKUP!$A:$E,2,0),"")</f>
      </c>
      <c r="K3367" s="29">
        <f>IFERROR(J3367*D3367,0)</f>
      </c>
      <c r="L3367" s="29">
        <f>IFERROR(E3367*C3367,0)</f>
      </c>
      <c r="M3367" s="29">
        <f>IFERROR((G3367*H3367*I3367/1000000)*D3367,0)</f>
      </c>
    </row>
    <row r="3368" spans="1:13" x14ac:dyDescent="0.25">
      <c r="A3368" s="16"/>
      <c r="E3368" s="27"/>
      <c r="F3368" t="s">
        <v>26</v>
      </c>
      <c r="G3368" s="28">
        <f>IFERROR(VLOOKUP(F3368,CARTON_LOOKUP!$A:$E,3,0),"")</f>
      </c>
      <c r="H3368" s="28">
        <f>IFERROR(VLOOKUP(F3368,CARTON_LOOKUP!$A:$E,4,0),"")</f>
      </c>
      <c r="I3368" s="28">
        <f>IFERROR(VLOOKUP(F3368,CARTON_LOOKUP!$A:$E,5,0),"")</f>
      </c>
      <c r="J3368" s="29">
        <f>IFERROR(VLOOKUP(F3368,CARTON_LOOKUP!$A:$E,2,0),"")</f>
      </c>
      <c r="K3368" s="29">
        <f>IFERROR(J3368*D3368,0)</f>
      </c>
      <c r="L3368" s="29">
        <f>IFERROR(E3368*C3368,0)</f>
      </c>
      <c r="M3368" s="29">
        <f>IFERROR((G3368*H3368*I3368/1000000)*D3368,0)</f>
      </c>
    </row>
    <row r="3369" spans="1:13" x14ac:dyDescent="0.25">
      <c r="A3369" s="16"/>
      <c r="E3369" s="27"/>
      <c r="F3369" t="s">
        <v>26</v>
      </c>
      <c r="G3369" s="28">
        <f>IFERROR(VLOOKUP(F3369,CARTON_LOOKUP!$A:$E,3,0),"")</f>
      </c>
      <c r="H3369" s="28">
        <f>IFERROR(VLOOKUP(F3369,CARTON_LOOKUP!$A:$E,4,0),"")</f>
      </c>
      <c r="I3369" s="28">
        <f>IFERROR(VLOOKUP(F3369,CARTON_LOOKUP!$A:$E,5,0),"")</f>
      </c>
      <c r="J3369" s="29">
        <f>IFERROR(VLOOKUP(F3369,CARTON_LOOKUP!$A:$E,2,0),"")</f>
      </c>
      <c r="K3369" s="29">
        <f>IFERROR(J3369*D3369,0)</f>
      </c>
      <c r="L3369" s="29">
        <f>IFERROR(E3369*C3369,0)</f>
      </c>
      <c r="M3369" s="29">
        <f>IFERROR((G3369*H3369*I3369/1000000)*D3369,0)</f>
      </c>
    </row>
    <row r="3370" spans="1:13" x14ac:dyDescent="0.25">
      <c r="A3370" s="16"/>
      <c r="E3370" s="27"/>
      <c r="F3370" t="s">
        <v>26</v>
      </c>
      <c r="G3370" s="28">
        <f>IFERROR(VLOOKUP(F3370,CARTON_LOOKUP!$A:$E,3,0),"")</f>
      </c>
      <c r="H3370" s="28">
        <f>IFERROR(VLOOKUP(F3370,CARTON_LOOKUP!$A:$E,4,0),"")</f>
      </c>
      <c r="I3370" s="28">
        <f>IFERROR(VLOOKUP(F3370,CARTON_LOOKUP!$A:$E,5,0),"")</f>
      </c>
      <c r="J3370" s="29">
        <f>IFERROR(VLOOKUP(F3370,CARTON_LOOKUP!$A:$E,2,0),"")</f>
      </c>
      <c r="K3370" s="29">
        <f>IFERROR(J3370*D3370,0)</f>
      </c>
      <c r="L3370" s="29">
        <f>IFERROR(E3370*C3370,0)</f>
      </c>
      <c r="M3370" s="29">
        <f>IFERROR((G3370*H3370*I3370/1000000)*D3370,0)</f>
      </c>
    </row>
    <row r="3371" spans="1:13" x14ac:dyDescent="0.25">
      <c r="A3371" s="16"/>
      <c r="E3371" s="27"/>
      <c r="F3371" t="s">
        <v>26</v>
      </c>
      <c r="G3371" s="28">
        <f>IFERROR(VLOOKUP(F3371,CARTON_LOOKUP!$A:$E,3,0),"")</f>
      </c>
      <c r="H3371" s="28">
        <f>IFERROR(VLOOKUP(F3371,CARTON_LOOKUP!$A:$E,4,0),"")</f>
      </c>
      <c r="I3371" s="28">
        <f>IFERROR(VLOOKUP(F3371,CARTON_LOOKUP!$A:$E,5,0),"")</f>
      </c>
      <c r="J3371" s="29">
        <f>IFERROR(VLOOKUP(F3371,CARTON_LOOKUP!$A:$E,2,0),"")</f>
      </c>
      <c r="K3371" s="29">
        <f>IFERROR(J3371*D3371,0)</f>
      </c>
      <c r="L3371" s="29">
        <f>IFERROR(E3371*C3371,0)</f>
      </c>
      <c r="M3371" s="29">
        <f>IFERROR((G3371*H3371*I3371/1000000)*D3371,0)</f>
      </c>
    </row>
    <row r="3372" spans="1:13" x14ac:dyDescent="0.25">
      <c r="A3372" s="16"/>
      <c r="E3372" s="27"/>
      <c r="F3372" t="s">
        <v>26</v>
      </c>
      <c r="G3372" s="28">
        <f>IFERROR(VLOOKUP(F3372,CARTON_LOOKUP!$A:$E,3,0),"")</f>
      </c>
      <c r="H3372" s="28">
        <f>IFERROR(VLOOKUP(F3372,CARTON_LOOKUP!$A:$E,4,0),"")</f>
      </c>
      <c r="I3372" s="28">
        <f>IFERROR(VLOOKUP(F3372,CARTON_LOOKUP!$A:$E,5,0),"")</f>
      </c>
      <c r="J3372" s="29">
        <f>IFERROR(VLOOKUP(F3372,CARTON_LOOKUP!$A:$E,2,0),"")</f>
      </c>
      <c r="K3372" s="29">
        <f>IFERROR(J3372*D3372,0)</f>
      </c>
      <c r="L3372" s="29">
        <f>IFERROR(E3372*C3372,0)</f>
      </c>
      <c r="M3372" s="29">
        <f>IFERROR((G3372*H3372*I3372/1000000)*D3372,0)</f>
      </c>
    </row>
    <row r="3373" spans="1:13" x14ac:dyDescent="0.25">
      <c r="A3373" s="16"/>
      <c r="E3373" s="27"/>
      <c r="F3373" t="s">
        <v>26</v>
      </c>
      <c r="G3373" s="28">
        <f>IFERROR(VLOOKUP(F3373,CARTON_LOOKUP!$A:$E,3,0),"")</f>
      </c>
      <c r="H3373" s="28">
        <f>IFERROR(VLOOKUP(F3373,CARTON_LOOKUP!$A:$E,4,0),"")</f>
      </c>
      <c r="I3373" s="28">
        <f>IFERROR(VLOOKUP(F3373,CARTON_LOOKUP!$A:$E,5,0),"")</f>
      </c>
      <c r="J3373" s="29">
        <f>IFERROR(VLOOKUP(F3373,CARTON_LOOKUP!$A:$E,2,0),"")</f>
      </c>
      <c r="K3373" s="29">
        <f>IFERROR(J3373*D3373,0)</f>
      </c>
      <c r="L3373" s="29">
        <f>IFERROR(E3373*C3373,0)</f>
      </c>
      <c r="M3373" s="29">
        <f>IFERROR((G3373*H3373*I3373/1000000)*D3373,0)</f>
      </c>
    </row>
    <row r="3374" spans="1:13" x14ac:dyDescent="0.25">
      <c r="A3374" s="16"/>
      <c r="E3374" s="27"/>
      <c r="F3374" t="s">
        <v>26</v>
      </c>
      <c r="G3374" s="28">
        <f>IFERROR(VLOOKUP(F3374,CARTON_LOOKUP!$A:$E,3,0),"")</f>
      </c>
      <c r="H3374" s="28">
        <f>IFERROR(VLOOKUP(F3374,CARTON_LOOKUP!$A:$E,4,0),"")</f>
      </c>
      <c r="I3374" s="28">
        <f>IFERROR(VLOOKUP(F3374,CARTON_LOOKUP!$A:$E,5,0),"")</f>
      </c>
      <c r="J3374" s="29">
        <f>IFERROR(VLOOKUP(F3374,CARTON_LOOKUP!$A:$E,2,0),"")</f>
      </c>
      <c r="K3374" s="29">
        <f>IFERROR(J3374*D3374,0)</f>
      </c>
      <c r="L3374" s="29">
        <f>IFERROR(E3374*C3374,0)</f>
      </c>
      <c r="M3374" s="29">
        <f>IFERROR((G3374*H3374*I3374/1000000)*D3374,0)</f>
      </c>
    </row>
    <row r="3375" spans="1:13" x14ac:dyDescent="0.25">
      <c r="A3375" s="16"/>
      <c r="E3375" s="27"/>
      <c r="F3375" t="s">
        <v>26</v>
      </c>
      <c r="G3375" s="28">
        <f>IFERROR(VLOOKUP(F3375,CARTON_LOOKUP!$A:$E,3,0),"")</f>
      </c>
      <c r="H3375" s="28">
        <f>IFERROR(VLOOKUP(F3375,CARTON_LOOKUP!$A:$E,4,0),"")</f>
      </c>
      <c r="I3375" s="28">
        <f>IFERROR(VLOOKUP(F3375,CARTON_LOOKUP!$A:$E,5,0),"")</f>
      </c>
      <c r="J3375" s="29">
        <f>IFERROR(VLOOKUP(F3375,CARTON_LOOKUP!$A:$E,2,0),"")</f>
      </c>
      <c r="K3375" s="29">
        <f>IFERROR(J3375*D3375,0)</f>
      </c>
      <c r="L3375" s="29">
        <f>IFERROR(E3375*C3375,0)</f>
      </c>
      <c r="M3375" s="29">
        <f>IFERROR((G3375*H3375*I3375/1000000)*D3375,0)</f>
      </c>
    </row>
    <row r="3376" spans="1:13" x14ac:dyDescent="0.25">
      <c r="A3376" s="16"/>
      <c r="E3376" s="27"/>
      <c r="F3376" t="s">
        <v>26</v>
      </c>
      <c r="G3376" s="28">
        <f>IFERROR(VLOOKUP(F3376,CARTON_LOOKUP!$A:$E,3,0),"")</f>
      </c>
      <c r="H3376" s="28">
        <f>IFERROR(VLOOKUP(F3376,CARTON_LOOKUP!$A:$E,4,0),"")</f>
      </c>
      <c r="I3376" s="28">
        <f>IFERROR(VLOOKUP(F3376,CARTON_LOOKUP!$A:$E,5,0),"")</f>
      </c>
      <c r="J3376" s="29">
        <f>IFERROR(VLOOKUP(F3376,CARTON_LOOKUP!$A:$E,2,0),"")</f>
      </c>
      <c r="K3376" s="29">
        <f>IFERROR(J3376*D3376,0)</f>
      </c>
      <c r="L3376" s="29">
        <f>IFERROR(E3376*C3376,0)</f>
      </c>
      <c r="M3376" s="29">
        <f>IFERROR((G3376*H3376*I3376/1000000)*D3376,0)</f>
      </c>
    </row>
    <row r="3377" spans="1:13" x14ac:dyDescent="0.25">
      <c r="A3377" s="16"/>
      <c r="E3377" s="27"/>
      <c r="F3377" t="s">
        <v>26</v>
      </c>
      <c r="G3377" s="28">
        <f>IFERROR(VLOOKUP(F3377,CARTON_LOOKUP!$A:$E,3,0),"")</f>
      </c>
      <c r="H3377" s="28">
        <f>IFERROR(VLOOKUP(F3377,CARTON_LOOKUP!$A:$E,4,0),"")</f>
      </c>
      <c r="I3377" s="28">
        <f>IFERROR(VLOOKUP(F3377,CARTON_LOOKUP!$A:$E,5,0),"")</f>
      </c>
      <c r="J3377" s="29">
        <f>IFERROR(VLOOKUP(F3377,CARTON_LOOKUP!$A:$E,2,0),"")</f>
      </c>
      <c r="K3377" s="29">
        <f>IFERROR(J3377*D3377,0)</f>
      </c>
      <c r="L3377" s="29">
        <f>IFERROR(E3377*C3377,0)</f>
      </c>
      <c r="M3377" s="29">
        <f>IFERROR((G3377*H3377*I3377/1000000)*D3377,0)</f>
      </c>
    </row>
    <row r="3378" spans="1:13" x14ac:dyDescent="0.25">
      <c r="A3378" s="16"/>
      <c r="E3378" s="27"/>
      <c r="F3378" t="s">
        <v>26</v>
      </c>
      <c r="G3378" s="28">
        <f>IFERROR(VLOOKUP(F3378,CARTON_LOOKUP!$A:$E,3,0),"")</f>
      </c>
      <c r="H3378" s="28">
        <f>IFERROR(VLOOKUP(F3378,CARTON_LOOKUP!$A:$E,4,0),"")</f>
      </c>
      <c r="I3378" s="28">
        <f>IFERROR(VLOOKUP(F3378,CARTON_LOOKUP!$A:$E,5,0),"")</f>
      </c>
      <c r="J3378" s="29">
        <f>IFERROR(VLOOKUP(F3378,CARTON_LOOKUP!$A:$E,2,0),"")</f>
      </c>
      <c r="K3378" s="29">
        <f>IFERROR(J3378*D3378,0)</f>
      </c>
      <c r="L3378" s="29">
        <f>IFERROR(E3378*C3378,0)</f>
      </c>
      <c r="M3378" s="29">
        <f>IFERROR((G3378*H3378*I3378/1000000)*D3378,0)</f>
      </c>
    </row>
    <row r="3379" spans="1:13" x14ac:dyDescent="0.25">
      <c r="A3379" s="16"/>
      <c r="E3379" s="27"/>
      <c r="F3379" t="s">
        <v>26</v>
      </c>
      <c r="G3379" s="28">
        <f>IFERROR(VLOOKUP(F3379,CARTON_LOOKUP!$A:$E,3,0),"")</f>
      </c>
      <c r="H3379" s="28">
        <f>IFERROR(VLOOKUP(F3379,CARTON_LOOKUP!$A:$E,4,0),"")</f>
      </c>
      <c r="I3379" s="28">
        <f>IFERROR(VLOOKUP(F3379,CARTON_LOOKUP!$A:$E,5,0),"")</f>
      </c>
      <c r="J3379" s="29">
        <f>IFERROR(VLOOKUP(F3379,CARTON_LOOKUP!$A:$E,2,0),"")</f>
      </c>
      <c r="K3379" s="29">
        <f>IFERROR(J3379*D3379,0)</f>
      </c>
      <c r="L3379" s="29">
        <f>IFERROR(E3379*C3379,0)</f>
      </c>
      <c r="M3379" s="29">
        <f>IFERROR((G3379*H3379*I3379/1000000)*D3379,0)</f>
      </c>
    </row>
    <row r="3380" spans="1:13" x14ac:dyDescent="0.25">
      <c r="A3380" s="16"/>
      <c r="E3380" s="27"/>
      <c r="F3380" t="s">
        <v>26</v>
      </c>
      <c r="G3380" s="28">
        <f>IFERROR(VLOOKUP(F3380,CARTON_LOOKUP!$A:$E,3,0),"")</f>
      </c>
      <c r="H3380" s="28">
        <f>IFERROR(VLOOKUP(F3380,CARTON_LOOKUP!$A:$E,4,0),"")</f>
      </c>
      <c r="I3380" s="28">
        <f>IFERROR(VLOOKUP(F3380,CARTON_LOOKUP!$A:$E,5,0),"")</f>
      </c>
      <c r="J3380" s="29">
        <f>IFERROR(VLOOKUP(F3380,CARTON_LOOKUP!$A:$E,2,0),"")</f>
      </c>
      <c r="K3380" s="29">
        <f>IFERROR(J3380*D3380,0)</f>
      </c>
      <c r="L3380" s="29">
        <f>IFERROR(E3380*C3380,0)</f>
      </c>
      <c r="M3380" s="29">
        <f>IFERROR((G3380*H3380*I3380/1000000)*D3380,0)</f>
      </c>
    </row>
    <row r="3381" spans="1:13" x14ac:dyDescent="0.25">
      <c r="A3381" s="16"/>
      <c r="E3381" s="27"/>
      <c r="F3381" t="s">
        <v>26</v>
      </c>
      <c r="G3381" s="28">
        <f>IFERROR(VLOOKUP(F3381,CARTON_LOOKUP!$A:$E,3,0),"")</f>
      </c>
      <c r="H3381" s="28">
        <f>IFERROR(VLOOKUP(F3381,CARTON_LOOKUP!$A:$E,4,0),"")</f>
      </c>
      <c r="I3381" s="28">
        <f>IFERROR(VLOOKUP(F3381,CARTON_LOOKUP!$A:$E,5,0),"")</f>
      </c>
      <c r="J3381" s="29">
        <f>IFERROR(VLOOKUP(F3381,CARTON_LOOKUP!$A:$E,2,0),"")</f>
      </c>
      <c r="K3381" s="29">
        <f>IFERROR(J3381*D3381,0)</f>
      </c>
      <c r="L3381" s="29">
        <f>IFERROR(E3381*C3381,0)</f>
      </c>
      <c r="M3381" s="29">
        <f>IFERROR((G3381*H3381*I3381/1000000)*D3381,0)</f>
      </c>
    </row>
    <row r="3382" spans="1:13" x14ac:dyDescent="0.25">
      <c r="A3382" s="16"/>
      <c r="E3382" s="27"/>
      <c r="F3382" t="s">
        <v>26</v>
      </c>
      <c r="G3382" s="28">
        <f>IFERROR(VLOOKUP(F3382,CARTON_LOOKUP!$A:$E,3,0),"")</f>
      </c>
      <c r="H3382" s="28">
        <f>IFERROR(VLOOKUP(F3382,CARTON_LOOKUP!$A:$E,4,0),"")</f>
      </c>
      <c r="I3382" s="28">
        <f>IFERROR(VLOOKUP(F3382,CARTON_LOOKUP!$A:$E,5,0),"")</f>
      </c>
      <c r="J3382" s="29">
        <f>IFERROR(VLOOKUP(F3382,CARTON_LOOKUP!$A:$E,2,0),"")</f>
      </c>
      <c r="K3382" s="29">
        <f>IFERROR(J3382*D3382,0)</f>
      </c>
      <c r="L3382" s="29">
        <f>IFERROR(E3382*C3382,0)</f>
      </c>
      <c r="M3382" s="29">
        <f>IFERROR((G3382*H3382*I3382/1000000)*D3382,0)</f>
      </c>
    </row>
    <row r="3383" spans="1:13" x14ac:dyDescent="0.25">
      <c r="A3383" s="16"/>
      <c r="E3383" s="27"/>
      <c r="F3383" t="s">
        <v>26</v>
      </c>
      <c r="G3383" s="28">
        <f>IFERROR(VLOOKUP(F3383,CARTON_LOOKUP!$A:$E,3,0),"")</f>
      </c>
      <c r="H3383" s="28">
        <f>IFERROR(VLOOKUP(F3383,CARTON_LOOKUP!$A:$E,4,0),"")</f>
      </c>
      <c r="I3383" s="28">
        <f>IFERROR(VLOOKUP(F3383,CARTON_LOOKUP!$A:$E,5,0),"")</f>
      </c>
      <c r="J3383" s="29">
        <f>IFERROR(VLOOKUP(F3383,CARTON_LOOKUP!$A:$E,2,0),"")</f>
      </c>
      <c r="K3383" s="29">
        <f>IFERROR(J3383*D3383,0)</f>
      </c>
      <c r="L3383" s="29">
        <f>IFERROR(E3383*C3383,0)</f>
      </c>
      <c r="M3383" s="29">
        <f>IFERROR((G3383*H3383*I3383/1000000)*D3383,0)</f>
      </c>
    </row>
    <row r="3384" spans="1:13" x14ac:dyDescent="0.25">
      <c r="A3384" s="16"/>
      <c r="E3384" s="27"/>
      <c r="F3384" t="s">
        <v>26</v>
      </c>
      <c r="G3384" s="28">
        <f>IFERROR(VLOOKUP(F3384,CARTON_LOOKUP!$A:$E,3,0),"")</f>
      </c>
      <c r="H3384" s="28">
        <f>IFERROR(VLOOKUP(F3384,CARTON_LOOKUP!$A:$E,4,0),"")</f>
      </c>
      <c r="I3384" s="28">
        <f>IFERROR(VLOOKUP(F3384,CARTON_LOOKUP!$A:$E,5,0),"")</f>
      </c>
      <c r="J3384" s="29">
        <f>IFERROR(VLOOKUP(F3384,CARTON_LOOKUP!$A:$E,2,0),"")</f>
      </c>
      <c r="K3384" s="29">
        <f>IFERROR(J3384*D3384,0)</f>
      </c>
      <c r="L3384" s="29">
        <f>IFERROR(E3384*C3384,0)</f>
      </c>
      <c r="M3384" s="29">
        <f>IFERROR((G3384*H3384*I3384/1000000)*D3384,0)</f>
      </c>
    </row>
    <row r="3385" spans="1:13" x14ac:dyDescent="0.25">
      <c r="A3385" s="16"/>
      <c r="E3385" s="27"/>
      <c r="F3385" t="s">
        <v>26</v>
      </c>
      <c r="G3385" s="28">
        <f>IFERROR(VLOOKUP(F3385,CARTON_LOOKUP!$A:$E,3,0),"")</f>
      </c>
      <c r="H3385" s="28">
        <f>IFERROR(VLOOKUP(F3385,CARTON_LOOKUP!$A:$E,4,0),"")</f>
      </c>
      <c r="I3385" s="28">
        <f>IFERROR(VLOOKUP(F3385,CARTON_LOOKUP!$A:$E,5,0),"")</f>
      </c>
      <c r="J3385" s="29">
        <f>IFERROR(VLOOKUP(F3385,CARTON_LOOKUP!$A:$E,2,0),"")</f>
      </c>
      <c r="K3385" s="29">
        <f>IFERROR(J3385*D3385,0)</f>
      </c>
      <c r="L3385" s="29">
        <f>IFERROR(E3385*C3385,0)</f>
      </c>
      <c r="M3385" s="29">
        <f>IFERROR((G3385*H3385*I3385/1000000)*D3385,0)</f>
      </c>
    </row>
    <row r="3386" spans="1:13" x14ac:dyDescent="0.25">
      <c r="A3386" s="16"/>
      <c r="E3386" s="27"/>
      <c r="F3386" t="s">
        <v>26</v>
      </c>
      <c r="G3386" s="28">
        <f>IFERROR(VLOOKUP(F3386,CARTON_LOOKUP!$A:$E,3,0),"")</f>
      </c>
      <c r="H3386" s="28">
        <f>IFERROR(VLOOKUP(F3386,CARTON_LOOKUP!$A:$E,4,0),"")</f>
      </c>
      <c r="I3386" s="28">
        <f>IFERROR(VLOOKUP(F3386,CARTON_LOOKUP!$A:$E,5,0),"")</f>
      </c>
      <c r="J3386" s="29">
        <f>IFERROR(VLOOKUP(F3386,CARTON_LOOKUP!$A:$E,2,0),"")</f>
      </c>
      <c r="K3386" s="29">
        <f>IFERROR(J3386*D3386,0)</f>
      </c>
      <c r="L3386" s="29">
        <f>IFERROR(E3386*C3386,0)</f>
      </c>
      <c r="M3386" s="29">
        <f>IFERROR((G3386*H3386*I3386/1000000)*D3386,0)</f>
      </c>
    </row>
    <row r="3387" spans="1:13" x14ac:dyDescent="0.25">
      <c r="A3387" s="16"/>
      <c r="E3387" s="27"/>
      <c r="F3387" t="s">
        <v>26</v>
      </c>
      <c r="G3387" s="28">
        <f>IFERROR(VLOOKUP(F3387,CARTON_LOOKUP!$A:$E,3,0),"")</f>
      </c>
      <c r="H3387" s="28">
        <f>IFERROR(VLOOKUP(F3387,CARTON_LOOKUP!$A:$E,4,0),"")</f>
      </c>
      <c r="I3387" s="28">
        <f>IFERROR(VLOOKUP(F3387,CARTON_LOOKUP!$A:$E,5,0),"")</f>
      </c>
      <c r="J3387" s="29">
        <f>IFERROR(VLOOKUP(F3387,CARTON_LOOKUP!$A:$E,2,0),"")</f>
      </c>
      <c r="K3387" s="29">
        <f>IFERROR(J3387*D3387,0)</f>
      </c>
      <c r="L3387" s="29">
        <f>IFERROR(E3387*C3387,0)</f>
      </c>
      <c r="M3387" s="29">
        <f>IFERROR((G3387*H3387*I3387/1000000)*D3387,0)</f>
      </c>
    </row>
    <row r="3388" spans="1:13" x14ac:dyDescent="0.25">
      <c r="A3388" s="16"/>
      <c r="E3388" s="27"/>
      <c r="F3388" t="s">
        <v>26</v>
      </c>
      <c r="G3388" s="28">
        <f>IFERROR(VLOOKUP(F3388,CARTON_LOOKUP!$A:$E,3,0),"")</f>
      </c>
      <c r="H3388" s="28">
        <f>IFERROR(VLOOKUP(F3388,CARTON_LOOKUP!$A:$E,4,0),"")</f>
      </c>
      <c r="I3388" s="28">
        <f>IFERROR(VLOOKUP(F3388,CARTON_LOOKUP!$A:$E,5,0),"")</f>
      </c>
      <c r="J3388" s="29">
        <f>IFERROR(VLOOKUP(F3388,CARTON_LOOKUP!$A:$E,2,0),"")</f>
      </c>
      <c r="K3388" s="29">
        <f>IFERROR(J3388*D3388,0)</f>
      </c>
      <c r="L3388" s="29">
        <f>IFERROR(E3388*C3388,0)</f>
      </c>
      <c r="M3388" s="29">
        <f>IFERROR((G3388*H3388*I3388/1000000)*D3388,0)</f>
      </c>
    </row>
    <row r="3389" spans="1:13" x14ac:dyDescent="0.25">
      <c r="A3389" s="16"/>
      <c r="E3389" s="27"/>
      <c r="F3389" t="s">
        <v>26</v>
      </c>
      <c r="G3389" s="28">
        <f>IFERROR(VLOOKUP(F3389,CARTON_LOOKUP!$A:$E,3,0),"")</f>
      </c>
      <c r="H3389" s="28">
        <f>IFERROR(VLOOKUP(F3389,CARTON_LOOKUP!$A:$E,4,0),"")</f>
      </c>
      <c r="I3389" s="28">
        <f>IFERROR(VLOOKUP(F3389,CARTON_LOOKUP!$A:$E,5,0),"")</f>
      </c>
      <c r="J3389" s="29">
        <f>IFERROR(VLOOKUP(F3389,CARTON_LOOKUP!$A:$E,2,0),"")</f>
      </c>
      <c r="K3389" s="29">
        <f>IFERROR(J3389*D3389,0)</f>
      </c>
      <c r="L3389" s="29">
        <f>IFERROR(E3389*C3389,0)</f>
      </c>
      <c r="M3389" s="29">
        <f>IFERROR((G3389*H3389*I3389/1000000)*D3389,0)</f>
      </c>
    </row>
    <row r="3390" spans="1:13" x14ac:dyDescent="0.25">
      <c r="A3390" s="16"/>
      <c r="E3390" s="27"/>
      <c r="F3390" t="s">
        <v>26</v>
      </c>
      <c r="G3390" s="28">
        <f>IFERROR(VLOOKUP(F3390,CARTON_LOOKUP!$A:$E,3,0),"")</f>
      </c>
      <c r="H3390" s="28">
        <f>IFERROR(VLOOKUP(F3390,CARTON_LOOKUP!$A:$E,4,0),"")</f>
      </c>
      <c r="I3390" s="28">
        <f>IFERROR(VLOOKUP(F3390,CARTON_LOOKUP!$A:$E,5,0),"")</f>
      </c>
      <c r="J3390" s="29">
        <f>IFERROR(VLOOKUP(F3390,CARTON_LOOKUP!$A:$E,2,0),"")</f>
      </c>
      <c r="K3390" s="29">
        <f>IFERROR(J3390*D3390,0)</f>
      </c>
      <c r="L3390" s="29">
        <f>IFERROR(E3390*C3390,0)</f>
      </c>
      <c r="M3390" s="29">
        <f>IFERROR((G3390*H3390*I3390/1000000)*D3390,0)</f>
      </c>
    </row>
    <row r="3391" spans="1:13" x14ac:dyDescent="0.25">
      <c r="A3391" s="16"/>
      <c r="E3391" s="27"/>
      <c r="F3391" t="s">
        <v>26</v>
      </c>
      <c r="G3391" s="28">
        <f>IFERROR(VLOOKUP(F3391,CARTON_LOOKUP!$A:$E,3,0),"")</f>
      </c>
      <c r="H3391" s="28">
        <f>IFERROR(VLOOKUP(F3391,CARTON_LOOKUP!$A:$E,4,0),"")</f>
      </c>
      <c r="I3391" s="28">
        <f>IFERROR(VLOOKUP(F3391,CARTON_LOOKUP!$A:$E,5,0),"")</f>
      </c>
      <c r="J3391" s="29">
        <f>IFERROR(VLOOKUP(F3391,CARTON_LOOKUP!$A:$E,2,0),"")</f>
      </c>
      <c r="K3391" s="29">
        <f>IFERROR(J3391*D3391,0)</f>
      </c>
      <c r="L3391" s="29">
        <f>IFERROR(E3391*C3391,0)</f>
      </c>
      <c r="M3391" s="29">
        <f>IFERROR((G3391*H3391*I3391/1000000)*D3391,0)</f>
      </c>
    </row>
    <row r="3392" spans="1:13" x14ac:dyDescent="0.25">
      <c r="A3392" s="16"/>
      <c r="E3392" s="27"/>
      <c r="F3392" t="s">
        <v>26</v>
      </c>
      <c r="G3392" s="28">
        <f>IFERROR(VLOOKUP(F3392,CARTON_LOOKUP!$A:$E,3,0),"")</f>
      </c>
      <c r="H3392" s="28">
        <f>IFERROR(VLOOKUP(F3392,CARTON_LOOKUP!$A:$E,4,0),"")</f>
      </c>
      <c r="I3392" s="28">
        <f>IFERROR(VLOOKUP(F3392,CARTON_LOOKUP!$A:$E,5,0),"")</f>
      </c>
      <c r="J3392" s="29">
        <f>IFERROR(VLOOKUP(F3392,CARTON_LOOKUP!$A:$E,2,0),"")</f>
      </c>
      <c r="K3392" s="29">
        <f>IFERROR(J3392*D3392,0)</f>
      </c>
      <c r="L3392" s="29">
        <f>IFERROR(E3392*C3392,0)</f>
      </c>
      <c r="M3392" s="29">
        <f>IFERROR((G3392*H3392*I3392/1000000)*D3392,0)</f>
      </c>
    </row>
    <row r="3393" spans="1:13" x14ac:dyDescent="0.25">
      <c r="A3393" s="16"/>
      <c r="E3393" s="27"/>
      <c r="F3393" t="s">
        <v>26</v>
      </c>
      <c r="G3393" s="28">
        <f>IFERROR(VLOOKUP(F3393,CARTON_LOOKUP!$A:$E,3,0),"")</f>
      </c>
      <c r="H3393" s="28">
        <f>IFERROR(VLOOKUP(F3393,CARTON_LOOKUP!$A:$E,4,0),"")</f>
      </c>
      <c r="I3393" s="28">
        <f>IFERROR(VLOOKUP(F3393,CARTON_LOOKUP!$A:$E,5,0),"")</f>
      </c>
      <c r="J3393" s="29">
        <f>IFERROR(VLOOKUP(F3393,CARTON_LOOKUP!$A:$E,2,0),"")</f>
      </c>
      <c r="K3393" s="29">
        <f>IFERROR(J3393*D3393,0)</f>
      </c>
      <c r="L3393" s="29">
        <f>IFERROR(E3393*C3393,0)</f>
      </c>
      <c r="M3393" s="29">
        <f>IFERROR((G3393*H3393*I3393/1000000)*D3393,0)</f>
      </c>
    </row>
    <row r="3394" spans="1:13" x14ac:dyDescent="0.25">
      <c r="A3394" s="16"/>
      <c r="E3394" s="27"/>
      <c r="F3394" t="s">
        <v>26</v>
      </c>
      <c r="G3394" s="28">
        <f>IFERROR(VLOOKUP(F3394,CARTON_LOOKUP!$A:$E,3,0),"")</f>
      </c>
      <c r="H3394" s="28">
        <f>IFERROR(VLOOKUP(F3394,CARTON_LOOKUP!$A:$E,4,0),"")</f>
      </c>
      <c r="I3394" s="28">
        <f>IFERROR(VLOOKUP(F3394,CARTON_LOOKUP!$A:$E,5,0),"")</f>
      </c>
      <c r="J3394" s="29">
        <f>IFERROR(VLOOKUP(F3394,CARTON_LOOKUP!$A:$E,2,0),"")</f>
      </c>
      <c r="K3394" s="29">
        <f>IFERROR(J3394*D3394,0)</f>
      </c>
      <c r="L3394" s="29">
        <f>IFERROR(E3394*C3394,0)</f>
      </c>
      <c r="M3394" s="29">
        <f>IFERROR((G3394*H3394*I3394/1000000)*D3394,0)</f>
      </c>
    </row>
    <row r="3395" spans="1:13" x14ac:dyDescent="0.25">
      <c r="A3395" s="16"/>
      <c r="E3395" s="27"/>
      <c r="F3395" t="s">
        <v>26</v>
      </c>
      <c r="G3395" s="28">
        <f>IFERROR(VLOOKUP(F3395,CARTON_LOOKUP!$A:$E,3,0),"")</f>
      </c>
      <c r="H3395" s="28">
        <f>IFERROR(VLOOKUP(F3395,CARTON_LOOKUP!$A:$E,4,0),"")</f>
      </c>
      <c r="I3395" s="28">
        <f>IFERROR(VLOOKUP(F3395,CARTON_LOOKUP!$A:$E,5,0),"")</f>
      </c>
      <c r="J3395" s="29">
        <f>IFERROR(VLOOKUP(F3395,CARTON_LOOKUP!$A:$E,2,0),"")</f>
      </c>
      <c r="K3395" s="29">
        <f>IFERROR(J3395*D3395,0)</f>
      </c>
      <c r="L3395" s="29">
        <f>IFERROR(E3395*C3395,0)</f>
      </c>
      <c r="M3395" s="29">
        <f>IFERROR((G3395*H3395*I3395/1000000)*D3395,0)</f>
      </c>
    </row>
    <row r="3396" spans="1:13" x14ac:dyDescent="0.25">
      <c r="A3396" s="16"/>
      <c r="E3396" s="27"/>
      <c r="F3396" t="s">
        <v>26</v>
      </c>
      <c r="G3396" s="28">
        <f>IFERROR(VLOOKUP(F3396,CARTON_LOOKUP!$A:$E,3,0),"")</f>
      </c>
      <c r="H3396" s="28">
        <f>IFERROR(VLOOKUP(F3396,CARTON_LOOKUP!$A:$E,4,0),"")</f>
      </c>
      <c r="I3396" s="28">
        <f>IFERROR(VLOOKUP(F3396,CARTON_LOOKUP!$A:$E,5,0),"")</f>
      </c>
      <c r="J3396" s="29">
        <f>IFERROR(VLOOKUP(F3396,CARTON_LOOKUP!$A:$E,2,0),"")</f>
      </c>
      <c r="K3396" s="29">
        <f>IFERROR(J3396*D3396,0)</f>
      </c>
      <c r="L3396" s="29">
        <f>IFERROR(E3396*C3396,0)</f>
      </c>
      <c r="M3396" s="29">
        <f>IFERROR((G3396*H3396*I3396/1000000)*D3396,0)</f>
      </c>
    </row>
    <row r="3397" spans="1:13" x14ac:dyDescent="0.25">
      <c r="A3397" s="16"/>
      <c r="E3397" s="27"/>
      <c r="F3397" t="s">
        <v>26</v>
      </c>
      <c r="G3397" s="28">
        <f>IFERROR(VLOOKUP(F3397,CARTON_LOOKUP!$A:$E,3,0),"")</f>
      </c>
      <c r="H3397" s="28">
        <f>IFERROR(VLOOKUP(F3397,CARTON_LOOKUP!$A:$E,4,0),"")</f>
      </c>
      <c r="I3397" s="28">
        <f>IFERROR(VLOOKUP(F3397,CARTON_LOOKUP!$A:$E,5,0),"")</f>
      </c>
      <c r="J3397" s="29">
        <f>IFERROR(VLOOKUP(F3397,CARTON_LOOKUP!$A:$E,2,0),"")</f>
      </c>
      <c r="K3397" s="29">
        <f>IFERROR(J3397*D3397,0)</f>
      </c>
      <c r="L3397" s="29">
        <f>IFERROR(E3397*C3397,0)</f>
      </c>
      <c r="M3397" s="29">
        <f>IFERROR((G3397*H3397*I3397/1000000)*D3397,0)</f>
      </c>
    </row>
    <row r="3398" spans="1:13" x14ac:dyDescent="0.25">
      <c r="A3398" s="16"/>
      <c r="E3398" s="27"/>
      <c r="F3398" t="s">
        <v>26</v>
      </c>
      <c r="G3398" s="28">
        <f>IFERROR(VLOOKUP(F3398,CARTON_LOOKUP!$A:$E,3,0),"")</f>
      </c>
      <c r="H3398" s="28">
        <f>IFERROR(VLOOKUP(F3398,CARTON_LOOKUP!$A:$E,4,0),"")</f>
      </c>
      <c r="I3398" s="28">
        <f>IFERROR(VLOOKUP(F3398,CARTON_LOOKUP!$A:$E,5,0),"")</f>
      </c>
      <c r="J3398" s="29">
        <f>IFERROR(VLOOKUP(F3398,CARTON_LOOKUP!$A:$E,2,0),"")</f>
      </c>
      <c r="K3398" s="29">
        <f>IFERROR(J3398*D3398,0)</f>
      </c>
      <c r="L3398" s="29">
        <f>IFERROR(E3398*C3398,0)</f>
      </c>
      <c r="M3398" s="29">
        <f>IFERROR((G3398*H3398*I3398/1000000)*D3398,0)</f>
      </c>
    </row>
    <row r="3399" spans="1:13" x14ac:dyDescent="0.25">
      <c r="A3399" s="16"/>
      <c r="E3399" s="27"/>
      <c r="F3399" t="s">
        <v>26</v>
      </c>
      <c r="G3399" s="28">
        <f>IFERROR(VLOOKUP(F3399,CARTON_LOOKUP!$A:$E,3,0),"")</f>
      </c>
      <c r="H3399" s="28">
        <f>IFERROR(VLOOKUP(F3399,CARTON_LOOKUP!$A:$E,4,0),"")</f>
      </c>
      <c r="I3399" s="28">
        <f>IFERROR(VLOOKUP(F3399,CARTON_LOOKUP!$A:$E,5,0),"")</f>
      </c>
      <c r="J3399" s="29">
        <f>IFERROR(VLOOKUP(F3399,CARTON_LOOKUP!$A:$E,2,0),"")</f>
      </c>
      <c r="K3399" s="29">
        <f>IFERROR(J3399*D3399,0)</f>
      </c>
      <c r="L3399" s="29">
        <f>IFERROR(E3399*C3399,0)</f>
      </c>
      <c r="M3399" s="29">
        <f>IFERROR((G3399*H3399*I3399/1000000)*D3399,0)</f>
      </c>
    </row>
    <row r="3400" spans="1:13" x14ac:dyDescent="0.25">
      <c r="A3400" s="16"/>
      <c r="E3400" s="27"/>
      <c r="F3400" t="s">
        <v>26</v>
      </c>
      <c r="G3400" s="28">
        <f>IFERROR(VLOOKUP(F3400,CARTON_LOOKUP!$A:$E,3,0),"")</f>
      </c>
      <c r="H3400" s="28">
        <f>IFERROR(VLOOKUP(F3400,CARTON_LOOKUP!$A:$E,4,0),"")</f>
      </c>
      <c r="I3400" s="28">
        <f>IFERROR(VLOOKUP(F3400,CARTON_LOOKUP!$A:$E,5,0),"")</f>
      </c>
      <c r="J3400" s="29">
        <f>IFERROR(VLOOKUP(F3400,CARTON_LOOKUP!$A:$E,2,0),"")</f>
      </c>
      <c r="K3400" s="29">
        <f>IFERROR(J3400*D3400,0)</f>
      </c>
      <c r="L3400" s="29">
        <f>IFERROR(E3400*C3400,0)</f>
      </c>
      <c r="M3400" s="29">
        <f>IFERROR((G3400*H3400*I3400/1000000)*D3400,0)</f>
      </c>
    </row>
    <row r="3401" spans="1:13" x14ac:dyDescent="0.25">
      <c r="A3401" s="16"/>
      <c r="E3401" s="27"/>
      <c r="F3401" t="s">
        <v>26</v>
      </c>
      <c r="G3401" s="28">
        <f>IFERROR(VLOOKUP(F3401,CARTON_LOOKUP!$A:$E,3,0),"")</f>
      </c>
      <c r="H3401" s="28">
        <f>IFERROR(VLOOKUP(F3401,CARTON_LOOKUP!$A:$E,4,0),"")</f>
      </c>
      <c r="I3401" s="28">
        <f>IFERROR(VLOOKUP(F3401,CARTON_LOOKUP!$A:$E,5,0),"")</f>
      </c>
      <c r="J3401" s="29">
        <f>IFERROR(VLOOKUP(F3401,CARTON_LOOKUP!$A:$E,2,0),"")</f>
      </c>
      <c r="K3401" s="29">
        <f>IFERROR(J3401*D3401,0)</f>
      </c>
      <c r="L3401" s="29">
        <f>IFERROR(E3401*C3401,0)</f>
      </c>
      <c r="M3401" s="29">
        <f>IFERROR((G3401*H3401*I3401/1000000)*D3401,0)</f>
      </c>
    </row>
    <row r="3402" spans="1:13" x14ac:dyDescent="0.25">
      <c r="A3402" s="16"/>
      <c r="E3402" s="27"/>
      <c r="F3402" t="s">
        <v>26</v>
      </c>
      <c r="G3402" s="28">
        <f>IFERROR(VLOOKUP(F3402,CARTON_LOOKUP!$A:$E,3,0),"")</f>
      </c>
      <c r="H3402" s="28">
        <f>IFERROR(VLOOKUP(F3402,CARTON_LOOKUP!$A:$E,4,0),"")</f>
      </c>
      <c r="I3402" s="28">
        <f>IFERROR(VLOOKUP(F3402,CARTON_LOOKUP!$A:$E,5,0),"")</f>
      </c>
      <c r="J3402" s="29">
        <f>IFERROR(VLOOKUP(F3402,CARTON_LOOKUP!$A:$E,2,0),"")</f>
      </c>
      <c r="K3402" s="29">
        <f>IFERROR(J3402*D3402,0)</f>
      </c>
      <c r="L3402" s="29">
        <f>IFERROR(E3402*C3402,0)</f>
      </c>
      <c r="M3402" s="29">
        <f>IFERROR((G3402*H3402*I3402/1000000)*D3402,0)</f>
      </c>
    </row>
    <row r="3403" spans="1:13" x14ac:dyDescent="0.25">
      <c r="A3403" s="16"/>
      <c r="E3403" s="27"/>
      <c r="F3403" t="s">
        <v>26</v>
      </c>
      <c r="G3403" s="28">
        <f>IFERROR(VLOOKUP(F3403,CARTON_LOOKUP!$A:$E,3,0),"")</f>
      </c>
      <c r="H3403" s="28">
        <f>IFERROR(VLOOKUP(F3403,CARTON_LOOKUP!$A:$E,4,0),"")</f>
      </c>
      <c r="I3403" s="28">
        <f>IFERROR(VLOOKUP(F3403,CARTON_LOOKUP!$A:$E,5,0),"")</f>
      </c>
      <c r="J3403" s="29">
        <f>IFERROR(VLOOKUP(F3403,CARTON_LOOKUP!$A:$E,2,0),"")</f>
      </c>
      <c r="K3403" s="29">
        <f>IFERROR(J3403*D3403,0)</f>
      </c>
      <c r="L3403" s="29">
        <f>IFERROR(E3403*C3403,0)</f>
      </c>
      <c r="M3403" s="29">
        <f>IFERROR((G3403*H3403*I3403/1000000)*D3403,0)</f>
      </c>
    </row>
    <row r="3404" spans="1:13" x14ac:dyDescent="0.25">
      <c r="A3404" s="16"/>
      <c r="E3404" s="27"/>
      <c r="F3404" t="s">
        <v>26</v>
      </c>
      <c r="G3404" s="28">
        <f>IFERROR(VLOOKUP(F3404,CARTON_LOOKUP!$A:$E,3,0),"")</f>
      </c>
      <c r="H3404" s="28">
        <f>IFERROR(VLOOKUP(F3404,CARTON_LOOKUP!$A:$E,4,0),"")</f>
      </c>
      <c r="I3404" s="28">
        <f>IFERROR(VLOOKUP(F3404,CARTON_LOOKUP!$A:$E,5,0),"")</f>
      </c>
      <c r="J3404" s="29">
        <f>IFERROR(VLOOKUP(F3404,CARTON_LOOKUP!$A:$E,2,0),"")</f>
      </c>
      <c r="K3404" s="29">
        <f>IFERROR(J3404*D3404,0)</f>
      </c>
      <c r="L3404" s="29">
        <f>IFERROR(E3404*C3404,0)</f>
      </c>
      <c r="M3404" s="29">
        <f>IFERROR((G3404*H3404*I3404/1000000)*D3404,0)</f>
      </c>
    </row>
    <row r="3405" spans="1:13" x14ac:dyDescent="0.25">
      <c r="A3405" s="16"/>
      <c r="E3405" s="27"/>
      <c r="F3405" t="s">
        <v>26</v>
      </c>
      <c r="G3405" s="28">
        <f>IFERROR(VLOOKUP(F3405,CARTON_LOOKUP!$A:$E,3,0),"")</f>
      </c>
      <c r="H3405" s="28">
        <f>IFERROR(VLOOKUP(F3405,CARTON_LOOKUP!$A:$E,4,0),"")</f>
      </c>
      <c r="I3405" s="28">
        <f>IFERROR(VLOOKUP(F3405,CARTON_LOOKUP!$A:$E,5,0),"")</f>
      </c>
      <c r="J3405" s="29">
        <f>IFERROR(VLOOKUP(F3405,CARTON_LOOKUP!$A:$E,2,0),"")</f>
      </c>
      <c r="K3405" s="29">
        <f>IFERROR(J3405*D3405,0)</f>
      </c>
      <c r="L3405" s="29">
        <f>IFERROR(E3405*C3405,0)</f>
      </c>
      <c r="M3405" s="29">
        <f>IFERROR((G3405*H3405*I3405/1000000)*D3405,0)</f>
      </c>
    </row>
    <row r="3406" spans="1:13" x14ac:dyDescent="0.25">
      <c r="A3406" s="16"/>
      <c r="E3406" s="27"/>
      <c r="F3406" t="s">
        <v>26</v>
      </c>
      <c r="G3406" s="28">
        <f>IFERROR(VLOOKUP(F3406,CARTON_LOOKUP!$A:$E,3,0),"")</f>
      </c>
      <c r="H3406" s="28">
        <f>IFERROR(VLOOKUP(F3406,CARTON_LOOKUP!$A:$E,4,0),"")</f>
      </c>
      <c r="I3406" s="28">
        <f>IFERROR(VLOOKUP(F3406,CARTON_LOOKUP!$A:$E,5,0),"")</f>
      </c>
      <c r="J3406" s="29">
        <f>IFERROR(VLOOKUP(F3406,CARTON_LOOKUP!$A:$E,2,0),"")</f>
      </c>
      <c r="K3406" s="29">
        <f>IFERROR(J3406*D3406,0)</f>
      </c>
      <c r="L3406" s="29">
        <f>IFERROR(E3406*C3406,0)</f>
      </c>
      <c r="M3406" s="29">
        <f>IFERROR((G3406*H3406*I3406/1000000)*D3406,0)</f>
      </c>
    </row>
    <row r="3407" spans="1:13" x14ac:dyDescent="0.25">
      <c r="A3407" s="16"/>
      <c r="E3407" s="27"/>
      <c r="F3407" t="s">
        <v>26</v>
      </c>
      <c r="G3407" s="28">
        <f>IFERROR(VLOOKUP(F3407,CARTON_LOOKUP!$A:$E,3,0),"")</f>
      </c>
      <c r="H3407" s="28">
        <f>IFERROR(VLOOKUP(F3407,CARTON_LOOKUP!$A:$E,4,0),"")</f>
      </c>
      <c r="I3407" s="28">
        <f>IFERROR(VLOOKUP(F3407,CARTON_LOOKUP!$A:$E,5,0),"")</f>
      </c>
      <c r="J3407" s="29">
        <f>IFERROR(VLOOKUP(F3407,CARTON_LOOKUP!$A:$E,2,0),"")</f>
      </c>
      <c r="K3407" s="29">
        <f>IFERROR(J3407*D3407,0)</f>
      </c>
      <c r="L3407" s="29">
        <f>IFERROR(E3407*C3407,0)</f>
      </c>
      <c r="M3407" s="29">
        <f>IFERROR((G3407*H3407*I3407/1000000)*D3407,0)</f>
      </c>
    </row>
    <row r="3408" spans="1:13" x14ac:dyDescent="0.25">
      <c r="A3408" s="16"/>
      <c r="E3408" s="27"/>
      <c r="F3408" t="s">
        <v>26</v>
      </c>
      <c r="G3408" s="28">
        <f>IFERROR(VLOOKUP(F3408,CARTON_LOOKUP!$A:$E,3,0),"")</f>
      </c>
      <c r="H3408" s="28">
        <f>IFERROR(VLOOKUP(F3408,CARTON_LOOKUP!$A:$E,4,0),"")</f>
      </c>
      <c r="I3408" s="28">
        <f>IFERROR(VLOOKUP(F3408,CARTON_LOOKUP!$A:$E,5,0),"")</f>
      </c>
      <c r="J3408" s="29">
        <f>IFERROR(VLOOKUP(F3408,CARTON_LOOKUP!$A:$E,2,0),"")</f>
      </c>
      <c r="K3408" s="29">
        <f>IFERROR(J3408*D3408,0)</f>
      </c>
      <c r="L3408" s="29">
        <f>IFERROR(E3408*C3408,0)</f>
      </c>
      <c r="M3408" s="29">
        <f>IFERROR((G3408*H3408*I3408/1000000)*D3408,0)</f>
      </c>
    </row>
    <row r="3409" spans="1:13" x14ac:dyDescent="0.25">
      <c r="A3409" s="16"/>
      <c r="E3409" s="27"/>
      <c r="F3409" t="s">
        <v>26</v>
      </c>
      <c r="G3409" s="28">
        <f>IFERROR(VLOOKUP(F3409,CARTON_LOOKUP!$A:$E,3,0),"")</f>
      </c>
      <c r="H3409" s="28">
        <f>IFERROR(VLOOKUP(F3409,CARTON_LOOKUP!$A:$E,4,0),"")</f>
      </c>
      <c r="I3409" s="28">
        <f>IFERROR(VLOOKUP(F3409,CARTON_LOOKUP!$A:$E,5,0),"")</f>
      </c>
      <c r="J3409" s="29">
        <f>IFERROR(VLOOKUP(F3409,CARTON_LOOKUP!$A:$E,2,0),"")</f>
      </c>
      <c r="K3409" s="29">
        <f>IFERROR(J3409*D3409,0)</f>
      </c>
      <c r="L3409" s="29">
        <f>IFERROR(E3409*C3409,0)</f>
      </c>
      <c r="M3409" s="29">
        <f>IFERROR((G3409*H3409*I3409/1000000)*D3409,0)</f>
      </c>
    </row>
    <row r="3410" spans="1:13" x14ac:dyDescent="0.25">
      <c r="A3410" s="16"/>
      <c r="E3410" s="27"/>
      <c r="F3410" t="s">
        <v>26</v>
      </c>
      <c r="G3410" s="28">
        <f>IFERROR(VLOOKUP(F3410,CARTON_LOOKUP!$A:$E,3,0),"")</f>
      </c>
      <c r="H3410" s="28">
        <f>IFERROR(VLOOKUP(F3410,CARTON_LOOKUP!$A:$E,4,0),"")</f>
      </c>
      <c r="I3410" s="28">
        <f>IFERROR(VLOOKUP(F3410,CARTON_LOOKUP!$A:$E,5,0),"")</f>
      </c>
      <c r="J3410" s="29">
        <f>IFERROR(VLOOKUP(F3410,CARTON_LOOKUP!$A:$E,2,0),"")</f>
      </c>
      <c r="K3410" s="29">
        <f>IFERROR(J3410*D3410,0)</f>
      </c>
      <c r="L3410" s="29">
        <f>IFERROR(E3410*C3410,0)</f>
      </c>
      <c r="M3410" s="29">
        <f>IFERROR((G3410*H3410*I3410/1000000)*D3410,0)</f>
      </c>
    </row>
    <row r="3411" spans="1:13" x14ac:dyDescent="0.25">
      <c r="A3411" s="16"/>
      <c r="E3411" s="27"/>
      <c r="F3411" t="s">
        <v>26</v>
      </c>
      <c r="G3411" s="28">
        <f>IFERROR(VLOOKUP(F3411,CARTON_LOOKUP!$A:$E,3,0),"")</f>
      </c>
      <c r="H3411" s="28">
        <f>IFERROR(VLOOKUP(F3411,CARTON_LOOKUP!$A:$E,4,0),"")</f>
      </c>
      <c r="I3411" s="28">
        <f>IFERROR(VLOOKUP(F3411,CARTON_LOOKUP!$A:$E,5,0),"")</f>
      </c>
      <c r="J3411" s="29">
        <f>IFERROR(VLOOKUP(F3411,CARTON_LOOKUP!$A:$E,2,0),"")</f>
      </c>
      <c r="K3411" s="29">
        <f>IFERROR(J3411*D3411,0)</f>
      </c>
      <c r="L3411" s="29">
        <f>IFERROR(E3411*C3411,0)</f>
      </c>
      <c r="M3411" s="29">
        <f>IFERROR((G3411*H3411*I3411/1000000)*D3411,0)</f>
      </c>
    </row>
    <row r="3412" spans="1:13" x14ac:dyDescent="0.25">
      <c r="A3412" s="16"/>
      <c r="E3412" s="27"/>
      <c r="F3412" t="s">
        <v>26</v>
      </c>
      <c r="G3412" s="28">
        <f>IFERROR(VLOOKUP(F3412,CARTON_LOOKUP!$A:$E,3,0),"")</f>
      </c>
      <c r="H3412" s="28">
        <f>IFERROR(VLOOKUP(F3412,CARTON_LOOKUP!$A:$E,4,0),"")</f>
      </c>
      <c r="I3412" s="28">
        <f>IFERROR(VLOOKUP(F3412,CARTON_LOOKUP!$A:$E,5,0),"")</f>
      </c>
      <c r="J3412" s="29">
        <f>IFERROR(VLOOKUP(F3412,CARTON_LOOKUP!$A:$E,2,0),"")</f>
      </c>
      <c r="K3412" s="29">
        <f>IFERROR(J3412*D3412,0)</f>
      </c>
      <c r="L3412" s="29">
        <f>IFERROR(E3412*C3412,0)</f>
      </c>
      <c r="M3412" s="29">
        <f>IFERROR((G3412*H3412*I3412/1000000)*D3412,0)</f>
      </c>
    </row>
    <row r="3413" spans="1:13" x14ac:dyDescent="0.25">
      <c r="A3413" s="16"/>
      <c r="E3413" s="27"/>
      <c r="F3413" t="s">
        <v>26</v>
      </c>
      <c r="G3413" s="28">
        <f>IFERROR(VLOOKUP(F3413,CARTON_LOOKUP!$A:$E,3,0),"")</f>
      </c>
      <c r="H3413" s="28">
        <f>IFERROR(VLOOKUP(F3413,CARTON_LOOKUP!$A:$E,4,0),"")</f>
      </c>
      <c r="I3413" s="28">
        <f>IFERROR(VLOOKUP(F3413,CARTON_LOOKUP!$A:$E,5,0),"")</f>
      </c>
      <c r="J3413" s="29">
        <f>IFERROR(VLOOKUP(F3413,CARTON_LOOKUP!$A:$E,2,0),"")</f>
      </c>
      <c r="K3413" s="29">
        <f>IFERROR(J3413*D3413,0)</f>
      </c>
      <c r="L3413" s="29">
        <f>IFERROR(E3413*C3413,0)</f>
      </c>
      <c r="M3413" s="29">
        <f>IFERROR((G3413*H3413*I3413/1000000)*D3413,0)</f>
      </c>
    </row>
    <row r="3414" spans="1:13" x14ac:dyDescent="0.25">
      <c r="A3414" s="16"/>
      <c r="E3414" s="27"/>
      <c r="F3414" t="s">
        <v>26</v>
      </c>
      <c r="G3414" s="28">
        <f>IFERROR(VLOOKUP(F3414,CARTON_LOOKUP!$A:$E,3,0),"")</f>
      </c>
      <c r="H3414" s="28">
        <f>IFERROR(VLOOKUP(F3414,CARTON_LOOKUP!$A:$E,4,0),"")</f>
      </c>
      <c r="I3414" s="28">
        <f>IFERROR(VLOOKUP(F3414,CARTON_LOOKUP!$A:$E,5,0),"")</f>
      </c>
      <c r="J3414" s="29">
        <f>IFERROR(VLOOKUP(F3414,CARTON_LOOKUP!$A:$E,2,0),"")</f>
      </c>
      <c r="K3414" s="29">
        <f>IFERROR(J3414*D3414,0)</f>
      </c>
      <c r="L3414" s="29">
        <f>IFERROR(E3414*C3414,0)</f>
      </c>
      <c r="M3414" s="29">
        <f>IFERROR((G3414*H3414*I3414/1000000)*D3414,0)</f>
      </c>
    </row>
    <row r="3415" spans="1:13" x14ac:dyDescent="0.25">
      <c r="A3415" s="16"/>
      <c r="E3415" s="27"/>
      <c r="F3415" t="s">
        <v>26</v>
      </c>
      <c r="G3415" s="28">
        <f>IFERROR(VLOOKUP(F3415,CARTON_LOOKUP!$A:$E,3,0),"")</f>
      </c>
      <c r="H3415" s="28">
        <f>IFERROR(VLOOKUP(F3415,CARTON_LOOKUP!$A:$E,4,0),"")</f>
      </c>
      <c r="I3415" s="28">
        <f>IFERROR(VLOOKUP(F3415,CARTON_LOOKUP!$A:$E,5,0),"")</f>
      </c>
      <c r="J3415" s="29">
        <f>IFERROR(VLOOKUP(F3415,CARTON_LOOKUP!$A:$E,2,0),"")</f>
      </c>
      <c r="K3415" s="29">
        <f>IFERROR(J3415*D3415,0)</f>
      </c>
      <c r="L3415" s="29">
        <f>IFERROR(E3415*C3415,0)</f>
      </c>
      <c r="M3415" s="29">
        <f>IFERROR((G3415*H3415*I3415/1000000)*D3415,0)</f>
      </c>
    </row>
    <row r="3416" spans="1:13" x14ac:dyDescent="0.25">
      <c r="A3416" s="16"/>
      <c r="E3416" s="27"/>
      <c r="F3416" t="s">
        <v>26</v>
      </c>
      <c r="G3416" s="28">
        <f>IFERROR(VLOOKUP(F3416,CARTON_LOOKUP!$A:$E,3,0),"")</f>
      </c>
      <c r="H3416" s="28">
        <f>IFERROR(VLOOKUP(F3416,CARTON_LOOKUP!$A:$E,4,0),"")</f>
      </c>
      <c r="I3416" s="28">
        <f>IFERROR(VLOOKUP(F3416,CARTON_LOOKUP!$A:$E,5,0),"")</f>
      </c>
      <c r="J3416" s="29">
        <f>IFERROR(VLOOKUP(F3416,CARTON_LOOKUP!$A:$E,2,0),"")</f>
      </c>
      <c r="K3416" s="29">
        <f>IFERROR(J3416*D3416,0)</f>
      </c>
      <c r="L3416" s="29">
        <f>IFERROR(E3416*C3416,0)</f>
      </c>
      <c r="M3416" s="29">
        <f>IFERROR((G3416*H3416*I3416/1000000)*D3416,0)</f>
      </c>
    </row>
    <row r="3417" spans="1:13" x14ac:dyDescent="0.25">
      <c r="A3417" s="16"/>
      <c r="E3417" s="27"/>
      <c r="F3417" t="s">
        <v>26</v>
      </c>
      <c r="G3417" s="28">
        <f>IFERROR(VLOOKUP(F3417,CARTON_LOOKUP!$A:$E,3,0),"")</f>
      </c>
      <c r="H3417" s="28">
        <f>IFERROR(VLOOKUP(F3417,CARTON_LOOKUP!$A:$E,4,0),"")</f>
      </c>
      <c r="I3417" s="28">
        <f>IFERROR(VLOOKUP(F3417,CARTON_LOOKUP!$A:$E,5,0),"")</f>
      </c>
      <c r="J3417" s="29">
        <f>IFERROR(VLOOKUP(F3417,CARTON_LOOKUP!$A:$E,2,0),"")</f>
      </c>
      <c r="K3417" s="29">
        <f>IFERROR(J3417*D3417,0)</f>
      </c>
      <c r="L3417" s="29">
        <f>IFERROR(E3417*C3417,0)</f>
      </c>
      <c r="M3417" s="29">
        <f>IFERROR((G3417*H3417*I3417/1000000)*D3417,0)</f>
      </c>
    </row>
    <row r="3418" spans="1:13" x14ac:dyDescent="0.25">
      <c r="A3418" s="16"/>
      <c r="E3418" s="27"/>
      <c r="F3418" t="s">
        <v>26</v>
      </c>
      <c r="G3418" s="28">
        <f>IFERROR(VLOOKUP(F3418,CARTON_LOOKUP!$A:$E,3,0),"")</f>
      </c>
      <c r="H3418" s="28">
        <f>IFERROR(VLOOKUP(F3418,CARTON_LOOKUP!$A:$E,4,0),"")</f>
      </c>
      <c r="I3418" s="28">
        <f>IFERROR(VLOOKUP(F3418,CARTON_LOOKUP!$A:$E,5,0),"")</f>
      </c>
      <c r="J3418" s="29">
        <f>IFERROR(VLOOKUP(F3418,CARTON_LOOKUP!$A:$E,2,0),"")</f>
      </c>
      <c r="K3418" s="29">
        <f>IFERROR(J3418*D3418,0)</f>
      </c>
      <c r="L3418" s="29">
        <f>IFERROR(E3418*C3418,0)</f>
      </c>
      <c r="M3418" s="29">
        <f>IFERROR((G3418*H3418*I3418/1000000)*D3418,0)</f>
      </c>
    </row>
    <row r="3419" spans="1:13" x14ac:dyDescent="0.25">
      <c r="A3419" s="16"/>
      <c r="E3419" s="27"/>
      <c r="F3419" t="s">
        <v>26</v>
      </c>
      <c r="G3419" s="28">
        <f>IFERROR(VLOOKUP(F3419,CARTON_LOOKUP!$A:$E,3,0),"")</f>
      </c>
      <c r="H3419" s="28">
        <f>IFERROR(VLOOKUP(F3419,CARTON_LOOKUP!$A:$E,4,0),"")</f>
      </c>
      <c r="I3419" s="28">
        <f>IFERROR(VLOOKUP(F3419,CARTON_LOOKUP!$A:$E,5,0),"")</f>
      </c>
      <c r="J3419" s="29">
        <f>IFERROR(VLOOKUP(F3419,CARTON_LOOKUP!$A:$E,2,0),"")</f>
      </c>
      <c r="K3419" s="29">
        <f>IFERROR(J3419*D3419,0)</f>
      </c>
      <c r="L3419" s="29">
        <f>IFERROR(E3419*C3419,0)</f>
      </c>
      <c r="M3419" s="29">
        <f>IFERROR((G3419*H3419*I3419/1000000)*D3419,0)</f>
      </c>
    </row>
    <row r="3420" spans="1:13" x14ac:dyDescent="0.25">
      <c r="A3420" s="16"/>
      <c r="E3420" s="27"/>
      <c r="F3420" t="s">
        <v>26</v>
      </c>
      <c r="G3420" s="28">
        <f>IFERROR(VLOOKUP(F3420,CARTON_LOOKUP!$A:$E,3,0),"")</f>
      </c>
      <c r="H3420" s="28">
        <f>IFERROR(VLOOKUP(F3420,CARTON_LOOKUP!$A:$E,4,0),"")</f>
      </c>
      <c r="I3420" s="28">
        <f>IFERROR(VLOOKUP(F3420,CARTON_LOOKUP!$A:$E,5,0),"")</f>
      </c>
      <c r="J3420" s="29">
        <f>IFERROR(VLOOKUP(F3420,CARTON_LOOKUP!$A:$E,2,0),"")</f>
      </c>
      <c r="K3420" s="29">
        <f>IFERROR(J3420*D3420,0)</f>
      </c>
      <c r="L3420" s="29">
        <f>IFERROR(E3420*C3420,0)</f>
      </c>
      <c r="M3420" s="29">
        <f>IFERROR((G3420*H3420*I3420/1000000)*D3420,0)</f>
      </c>
    </row>
    <row r="3421" spans="1:13" x14ac:dyDescent="0.25">
      <c r="A3421" s="16"/>
      <c r="E3421" s="27"/>
      <c r="F3421" t="s">
        <v>26</v>
      </c>
      <c r="G3421" s="28">
        <f>IFERROR(VLOOKUP(F3421,CARTON_LOOKUP!$A:$E,3,0),"")</f>
      </c>
      <c r="H3421" s="28">
        <f>IFERROR(VLOOKUP(F3421,CARTON_LOOKUP!$A:$E,4,0),"")</f>
      </c>
      <c r="I3421" s="28">
        <f>IFERROR(VLOOKUP(F3421,CARTON_LOOKUP!$A:$E,5,0),"")</f>
      </c>
      <c r="J3421" s="29">
        <f>IFERROR(VLOOKUP(F3421,CARTON_LOOKUP!$A:$E,2,0),"")</f>
      </c>
      <c r="K3421" s="29">
        <f>IFERROR(J3421*D3421,0)</f>
      </c>
      <c r="L3421" s="29">
        <f>IFERROR(E3421*C3421,0)</f>
      </c>
      <c r="M3421" s="29">
        <f>IFERROR((G3421*H3421*I3421/1000000)*D3421,0)</f>
      </c>
    </row>
    <row r="3422" spans="1:13" x14ac:dyDescent="0.25">
      <c r="A3422" s="16"/>
      <c r="E3422" s="27"/>
      <c r="F3422" t="s">
        <v>26</v>
      </c>
      <c r="G3422" s="28">
        <f>IFERROR(VLOOKUP(F3422,CARTON_LOOKUP!$A:$E,3,0),"")</f>
      </c>
      <c r="H3422" s="28">
        <f>IFERROR(VLOOKUP(F3422,CARTON_LOOKUP!$A:$E,4,0),"")</f>
      </c>
      <c r="I3422" s="28">
        <f>IFERROR(VLOOKUP(F3422,CARTON_LOOKUP!$A:$E,5,0),"")</f>
      </c>
      <c r="J3422" s="29">
        <f>IFERROR(VLOOKUP(F3422,CARTON_LOOKUP!$A:$E,2,0),"")</f>
      </c>
      <c r="K3422" s="29">
        <f>IFERROR(J3422*D3422,0)</f>
      </c>
      <c r="L3422" s="29">
        <f>IFERROR(E3422*C3422,0)</f>
      </c>
      <c r="M3422" s="29">
        <f>IFERROR((G3422*H3422*I3422/1000000)*D3422,0)</f>
      </c>
    </row>
    <row r="3423" spans="1:13" x14ac:dyDescent="0.25">
      <c r="A3423" s="16"/>
      <c r="E3423" s="27"/>
      <c r="F3423" t="s">
        <v>26</v>
      </c>
      <c r="G3423" s="28">
        <f>IFERROR(VLOOKUP(F3423,CARTON_LOOKUP!$A:$E,3,0),"")</f>
      </c>
      <c r="H3423" s="28">
        <f>IFERROR(VLOOKUP(F3423,CARTON_LOOKUP!$A:$E,4,0),"")</f>
      </c>
      <c r="I3423" s="28">
        <f>IFERROR(VLOOKUP(F3423,CARTON_LOOKUP!$A:$E,5,0),"")</f>
      </c>
      <c r="J3423" s="29">
        <f>IFERROR(VLOOKUP(F3423,CARTON_LOOKUP!$A:$E,2,0),"")</f>
      </c>
      <c r="K3423" s="29">
        <f>IFERROR(J3423*D3423,0)</f>
      </c>
      <c r="L3423" s="29">
        <f>IFERROR(E3423*C3423,0)</f>
      </c>
      <c r="M3423" s="29">
        <f>IFERROR((G3423*H3423*I3423/1000000)*D3423,0)</f>
      </c>
    </row>
    <row r="3424" spans="1:13" x14ac:dyDescent="0.25">
      <c r="A3424" s="16"/>
      <c r="E3424" s="27"/>
      <c r="F3424" t="s">
        <v>26</v>
      </c>
      <c r="G3424" s="28">
        <f>IFERROR(VLOOKUP(F3424,CARTON_LOOKUP!$A:$E,3,0),"")</f>
      </c>
      <c r="H3424" s="28">
        <f>IFERROR(VLOOKUP(F3424,CARTON_LOOKUP!$A:$E,4,0),"")</f>
      </c>
      <c r="I3424" s="28">
        <f>IFERROR(VLOOKUP(F3424,CARTON_LOOKUP!$A:$E,5,0),"")</f>
      </c>
      <c r="J3424" s="29">
        <f>IFERROR(VLOOKUP(F3424,CARTON_LOOKUP!$A:$E,2,0),"")</f>
      </c>
      <c r="K3424" s="29">
        <f>IFERROR(J3424*D3424,0)</f>
      </c>
      <c r="L3424" s="29">
        <f>IFERROR(E3424*C3424,0)</f>
      </c>
      <c r="M3424" s="29">
        <f>IFERROR((G3424*H3424*I3424/1000000)*D3424,0)</f>
      </c>
    </row>
    <row r="3425" spans="1:13" x14ac:dyDescent="0.25">
      <c r="A3425" s="16"/>
      <c r="E3425" s="27"/>
      <c r="F3425" t="s">
        <v>26</v>
      </c>
      <c r="G3425" s="28">
        <f>IFERROR(VLOOKUP(F3425,CARTON_LOOKUP!$A:$E,3,0),"")</f>
      </c>
      <c r="H3425" s="28">
        <f>IFERROR(VLOOKUP(F3425,CARTON_LOOKUP!$A:$E,4,0),"")</f>
      </c>
      <c r="I3425" s="28">
        <f>IFERROR(VLOOKUP(F3425,CARTON_LOOKUP!$A:$E,5,0),"")</f>
      </c>
      <c r="J3425" s="29">
        <f>IFERROR(VLOOKUP(F3425,CARTON_LOOKUP!$A:$E,2,0),"")</f>
      </c>
      <c r="K3425" s="29">
        <f>IFERROR(J3425*D3425,0)</f>
      </c>
      <c r="L3425" s="29">
        <f>IFERROR(E3425*C3425,0)</f>
      </c>
      <c r="M3425" s="29">
        <f>IFERROR((G3425*H3425*I3425/1000000)*D3425,0)</f>
      </c>
    </row>
    <row r="3426" spans="1:13" x14ac:dyDescent="0.25">
      <c r="A3426" s="16"/>
      <c r="E3426" s="27"/>
      <c r="F3426" t="s">
        <v>26</v>
      </c>
      <c r="G3426" s="28">
        <f>IFERROR(VLOOKUP(F3426,CARTON_LOOKUP!$A:$E,3,0),"")</f>
      </c>
      <c r="H3426" s="28">
        <f>IFERROR(VLOOKUP(F3426,CARTON_LOOKUP!$A:$E,4,0),"")</f>
      </c>
      <c r="I3426" s="28">
        <f>IFERROR(VLOOKUP(F3426,CARTON_LOOKUP!$A:$E,5,0),"")</f>
      </c>
      <c r="J3426" s="29">
        <f>IFERROR(VLOOKUP(F3426,CARTON_LOOKUP!$A:$E,2,0),"")</f>
      </c>
      <c r="K3426" s="29">
        <f>IFERROR(J3426*D3426,0)</f>
      </c>
      <c r="L3426" s="29">
        <f>IFERROR(E3426*C3426,0)</f>
      </c>
      <c r="M3426" s="29">
        <f>IFERROR((G3426*H3426*I3426/1000000)*D3426,0)</f>
      </c>
    </row>
    <row r="3427" spans="1:13" x14ac:dyDescent="0.25">
      <c r="A3427" s="16"/>
      <c r="E3427" s="27"/>
      <c r="F3427" t="s">
        <v>26</v>
      </c>
      <c r="G3427" s="28">
        <f>IFERROR(VLOOKUP(F3427,CARTON_LOOKUP!$A:$E,3,0),"")</f>
      </c>
      <c r="H3427" s="28">
        <f>IFERROR(VLOOKUP(F3427,CARTON_LOOKUP!$A:$E,4,0),"")</f>
      </c>
      <c r="I3427" s="28">
        <f>IFERROR(VLOOKUP(F3427,CARTON_LOOKUP!$A:$E,5,0),"")</f>
      </c>
      <c r="J3427" s="29">
        <f>IFERROR(VLOOKUP(F3427,CARTON_LOOKUP!$A:$E,2,0),"")</f>
      </c>
      <c r="K3427" s="29">
        <f>IFERROR(J3427*D3427,0)</f>
      </c>
      <c r="L3427" s="29">
        <f>IFERROR(E3427*C3427,0)</f>
      </c>
      <c r="M3427" s="29">
        <f>IFERROR((G3427*H3427*I3427/1000000)*D3427,0)</f>
      </c>
    </row>
    <row r="3428" spans="1:13" x14ac:dyDescent="0.25">
      <c r="A3428" s="16"/>
      <c r="E3428" s="27"/>
      <c r="F3428" t="s">
        <v>26</v>
      </c>
      <c r="G3428" s="28">
        <f>IFERROR(VLOOKUP(F3428,CARTON_LOOKUP!$A:$E,3,0),"")</f>
      </c>
      <c r="H3428" s="28">
        <f>IFERROR(VLOOKUP(F3428,CARTON_LOOKUP!$A:$E,4,0),"")</f>
      </c>
      <c r="I3428" s="28">
        <f>IFERROR(VLOOKUP(F3428,CARTON_LOOKUP!$A:$E,5,0),"")</f>
      </c>
      <c r="J3428" s="29">
        <f>IFERROR(VLOOKUP(F3428,CARTON_LOOKUP!$A:$E,2,0),"")</f>
      </c>
      <c r="K3428" s="29">
        <f>IFERROR(J3428*D3428,0)</f>
      </c>
      <c r="L3428" s="29">
        <f>IFERROR(E3428*C3428,0)</f>
      </c>
      <c r="M3428" s="29">
        <f>IFERROR((G3428*H3428*I3428/1000000)*D3428,0)</f>
      </c>
    </row>
    <row r="3429" spans="1:13" x14ac:dyDescent="0.25">
      <c r="A3429" s="16"/>
      <c r="E3429" s="27"/>
      <c r="F3429" t="s">
        <v>26</v>
      </c>
      <c r="G3429" s="28">
        <f>IFERROR(VLOOKUP(F3429,CARTON_LOOKUP!$A:$E,3,0),"")</f>
      </c>
      <c r="H3429" s="28">
        <f>IFERROR(VLOOKUP(F3429,CARTON_LOOKUP!$A:$E,4,0),"")</f>
      </c>
      <c r="I3429" s="28">
        <f>IFERROR(VLOOKUP(F3429,CARTON_LOOKUP!$A:$E,5,0),"")</f>
      </c>
      <c r="J3429" s="29">
        <f>IFERROR(VLOOKUP(F3429,CARTON_LOOKUP!$A:$E,2,0),"")</f>
      </c>
      <c r="K3429" s="29">
        <f>IFERROR(J3429*D3429,0)</f>
      </c>
      <c r="L3429" s="29">
        <f>IFERROR(E3429*C3429,0)</f>
      </c>
      <c r="M3429" s="29">
        <f>IFERROR((G3429*H3429*I3429/1000000)*D3429,0)</f>
      </c>
    </row>
    <row r="3430" spans="1:13" x14ac:dyDescent="0.25">
      <c r="A3430" s="16"/>
      <c r="E3430" s="27"/>
      <c r="F3430" t="s">
        <v>26</v>
      </c>
      <c r="G3430" s="28">
        <f>IFERROR(VLOOKUP(F3430,CARTON_LOOKUP!$A:$E,3,0),"")</f>
      </c>
      <c r="H3430" s="28">
        <f>IFERROR(VLOOKUP(F3430,CARTON_LOOKUP!$A:$E,4,0),"")</f>
      </c>
      <c r="I3430" s="28">
        <f>IFERROR(VLOOKUP(F3430,CARTON_LOOKUP!$A:$E,5,0),"")</f>
      </c>
      <c r="J3430" s="29">
        <f>IFERROR(VLOOKUP(F3430,CARTON_LOOKUP!$A:$E,2,0),"")</f>
      </c>
      <c r="K3430" s="29">
        <f>IFERROR(J3430*D3430,0)</f>
      </c>
      <c r="L3430" s="29">
        <f>IFERROR(E3430*C3430,0)</f>
      </c>
      <c r="M3430" s="29">
        <f>IFERROR((G3430*H3430*I3430/1000000)*D3430,0)</f>
      </c>
    </row>
    <row r="3431" spans="1:13" x14ac:dyDescent="0.25">
      <c r="A3431" s="16"/>
      <c r="E3431" s="27"/>
      <c r="F3431" t="s">
        <v>26</v>
      </c>
      <c r="G3431" s="28">
        <f>IFERROR(VLOOKUP(F3431,CARTON_LOOKUP!$A:$E,3,0),"")</f>
      </c>
      <c r="H3431" s="28">
        <f>IFERROR(VLOOKUP(F3431,CARTON_LOOKUP!$A:$E,4,0),"")</f>
      </c>
      <c r="I3431" s="28">
        <f>IFERROR(VLOOKUP(F3431,CARTON_LOOKUP!$A:$E,5,0),"")</f>
      </c>
      <c r="J3431" s="29">
        <f>IFERROR(VLOOKUP(F3431,CARTON_LOOKUP!$A:$E,2,0),"")</f>
      </c>
      <c r="K3431" s="29">
        <f>IFERROR(J3431*D3431,0)</f>
      </c>
      <c r="L3431" s="29">
        <f>IFERROR(E3431*C3431,0)</f>
      </c>
      <c r="M3431" s="29">
        <f>IFERROR((G3431*H3431*I3431/1000000)*D3431,0)</f>
      </c>
    </row>
    <row r="3432" spans="1:13" x14ac:dyDescent="0.25">
      <c r="A3432" s="16"/>
      <c r="E3432" s="27"/>
      <c r="F3432" t="s">
        <v>26</v>
      </c>
      <c r="G3432" s="28">
        <f>IFERROR(VLOOKUP(F3432,CARTON_LOOKUP!$A:$E,3,0),"")</f>
      </c>
      <c r="H3432" s="28">
        <f>IFERROR(VLOOKUP(F3432,CARTON_LOOKUP!$A:$E,4,0),"")</f>
      </c>
      <c r="I3432" s="28">
        <f>IFERROR(VLOOKUP(F3432,CARTON_LOOKUP!$A:$E,5,0),"")</f>
      </c>
      <c r="J3432" s="29">
        <f>IFERROR(VLOOKUP(F3432,CARTON_LOOKUP!$A:$E,2,0),"")</f>
      </c>
      <c r="K3432" s="29">
        <f>IFERROR(J3432*D3432,0)</f>
      </c>
      <c r="L3432" s="29">
        <f>IFERROR(E3432*C3432,0)</f>
      </c>
      <c r="M3432" s="29">
        <f>IFERROR((G3432*H3432*I3432/1000000)*D3432,0)</f>
      </c>
    </row>
    <row r="3433" spans="1:13" x14ac:dyDescent="0.25">
      <c r="A3433" s="16"/>
      <c r="E3433" s="27"/>
      <c r="F3433" t="s">
        <v>26</v>
      </c>
      <c r="G3433" s="28">
        <f>IFERROR(VLOOKUP(F3433,CARTON_LOOKUP!$A:$E,3,0),"")</f>
      </c>
      <c r="H3433" s="28">
        <f>IFERROR(VLOOKUP(F3433,CARTON_LOOKUP!$A:$E,4,0),"")</f>
      </c>
      <c r="I3433" s="28">
        <f>IFERROR(VLOOKUP(F3433,CARTON_LOOKUP!$A:$E,5,0),"")</f>
      </c>
      <c r="J3433" s="29">
        <f>IFERROR(VLOOKUP(F3433,CARTON_LOOKUP!$A:$E,2,0),"")</f>
      </c>
      <c r="K3433" s="29">
        <f>IFERROR(J3433*D3433,0)</f>
      </c>
      <c r="L3433" s="29">
        <f>IFERROR(E3433*C3433,0)</f>
      </c>
      <c r="M3433" s="29">
        <f>IFERROR((G3433*H3433*I3433/1000000)*D3433,0)</f>
      </c>
    </row>
    <row r="3434" spans="1:13" x14ac:dyDescent="0.25">
      <c r="A3434" s="16"/>
      <c r="E3434" s="27"/>
      <c r="F3434" t="s">
        <v>26</v>
      </c>
      <c r="G3434" s="28">
        <f>IFERROR(VLOOKUP(F3434,CARTON_LOOKUP!$A:$E,3,0),"")</f>
      </c>
      <c r="H3434" s="28">
        <f>IFERROR(VLOOKUP(F3434,CARTON_LOOKUP!$A:$E,4,0),"")</f>
      </c>
      <c r="I3434" s="28">
        <f>IFERROR(VLOOKUP(F3434,CARTON_LOOKUP!$A:$E,5,0),"")</f>
      </c>
      <c r="J3434" s="29">
        <f>IFERROR(VLOOKUP(F3434,CARTON_LOOKUP!$A:$E,2,0),"")</f>
      </c>
      <c r="K3434" s="29">
        <f>IFERROR(J3434*D3434,0)</f>
      </c>
      <c r="L3434" s="29">
        <f>IFERROR(E3434*C3434,0)</f>
      </c>
      <c r="M3434" s="29">
        <f>IFERROR((G3434*H3434*I3434/1000000)*D3434,0)</f>
      </c>
    </row>
    <row r="3435" spans="1:13" x14ac:dyDescent="0.25">
      <c r="A3435" s="16"/>
      <c r="E3435" s="27"/>
      <c r="F3435" t="s">
        <v>26</v>
      </c>
      <c r="G3435" s="28">
        <f>IFERROR(VLOOKUP(F3435,CARTON_LOOKUP!$A:$E,3,0),"")</f>
      </c>
      <c r="H3435" s="28">
        <f>IFERROR(VLOOKUP(F3435,CARTON_LOOKUP!$A:$E,4,0),"")</f>
      </c>
      <c r="I3435" s="28">
        <f>IFERROR(VLOOKUP(F3435,CARTON_LOOKUP!$A:$E,5,0),"")</f>
      </c>
      <c r="J3435" s="29">
        <f>IFERROR(VLOOKUP(F3435,CARTON_LOOKUP!$A:$E,2,0),"")</f>
      </c>
      <c r="K3435" s="29">
        <f>IFERROR(J3435*D3435,0)</f>
      </c>
      <c r="L3435" s="29">
        <f>IFERROR(E3435*C3435,0)</f>
      </c>
      <c r="M3435" s="29">
        <f>IFERROR((G3435*H3435*I3435/1000000)*D3435,0)</f>
      </c>
    </row>
    <row r="3436" spans="1:13" x14ac:dyDescent="0.25">
      <c r="A3436" s="16"/>
      <c r="E3436" s="27"/>
      <c r="F3436" t="s">
        <v>26</v>
      </c>
      <c r="G3436" s="28">
        <f>IFERROR(VLOOKUP(F3436,CARTON_LOOKUP!$A:$E,3,0),"")</f>
      </c>
      <c r="H3436" s="28">
        <f>IFERROR(VLOOKUP(F3436,CARTON_LOOKUP!$A:$E,4,0),"")</f>
      </c>
      <c r="I3436" s="28">
        <f>IFERROR(VLOOKUP(F3436,CARTON_LOOKUP!$A:$E,5,0),"")</f>
      </c>
      <c r="J3436" s="29">
        <f>IFERROR(VLOOKUP(F3436,CARTON_LOOKUP!$A:$E,2,0),"")</f>
      </c>
      <c r="K3436" s="29">
        <f>IFERROR(J3436*D3436,0)</f>
      </c>
      <c r="L3436" s="29">
        <f>IFERROR(E3436*C3436,0)</f>
      </c>
      <c r="M3436" s="29">
        <f>IFERROR((G3436*H3436*I3436/1000000)*D3436,0)</f>
      </c>
    </row>
    <row r="3437" spans="1:13" x14ac:dyDescent="0.25">
      <c r="A3437" s="16"/>
      <c r="E3437" s="27"/>
      <c r="F3437" t="s">
        <v>26</v>
      </c>
      <c r="G3437" s="28">
        <f>IFERROR(VLOOKUP(F3437,CARTON_LOOKUP!$A:$E,3,0),"")</f>
      </c>
      <c r="H3437" s="28">
        <f>IFERROR(VLOOKUP(F3437,CARTON_LOOKUP!$A:$E,4,0),"")</f>
      </c>
      <c r="I3437" s="28">
        <f>IFERROR(VLOOKUP(F3437,CARTON_LOOKUP!$A:$E,5,0),"")</f>
      </c>
      <c r="J3437" s="29">
        <f>IFERROR(VLOOKUP(F3437,CARTON_LOOKUP!$A:$E,2,0),"")</f>
      </c>
      <c r="K3437" s="29">
        <f>IFERROR(J3437*D3437,0)</f>
      </c>
      <c r="L3437" s="29">
        <f>IFERROR(E3437*C3437,0)</f>
      </c>
      <c r="M3437" s="29">
        <f>IFERROR((G3437*H3437*I3437/1000000)*D3437,0)</f>
      </c>
    </row>
    <row r="3438" spans="1:13" x14ac:dyDescent="0.25">
      <c r="A3438" s="16"/>
      <c r="E3438" s="27"/>
      <c r="F3438" t="s">
        <v>26</v>
      </c>
      <c r="G3438" s="28">
        <f>IFERROR(VLOOKUP(F3438,CARTON_LOOKUP!$A:$E,3,0),"")</f>
      </c>
      <c r="H3438" s="28">
        <f>IFERROR(VLOOKUP(F3438,CARTON_LOOKUP!$A:$E,4,0),"")</f>
      </c>
      <c r="I3438" s="28">
        <f>IFERROR(VLOOKUP(F3438,CARTON_LOOKUP!$A:$E,5,0),"")</f>
      </c>
      <c r="J3438" s="29">
        <f>IFERROR(VLOOKUP(F3438,CARTON_LOOKUP!$A:$E,2,0),"")</f>
      </c>
      <c r="K3438" s="29">
        <f>IFERROR(J3438*D3438,0)</f>
      </c>
      <c r="L3438" s="29">
        <f>IFERROR(E3438*C3438,0)</f>
      </c>
      <c r="M3438" s="29">
        <f>IFERROR((G3438*H3438*I3438/1000000)*D3438,0)</f>
      </c>
    </row>
    <row r="3439" spans="1:13" x14ac:dyDescent="0.25">
      <c r="A3439" s="16"/>
      <c r="E3439" s="27"/>
      <c r="F3439" t="s">
        <v>26</v>
      </c>
      <c r="G3439" s="28">
        <f>IFERROR(VLOOKUP(F3439,CARTON_LOOKUP!$A:$E,3,0),"")</f>
      </c>
      <c r="H3439" s="28">
        <f>IFERROR(VLOOKUP(F3439,CARTON_LOOKUP!$A:$E,4,0),"")</f>
      </c>
      <c r="I3439" s="28">
        <f>IFERROR(VLOOKUP(F3439,CARTON_LOOKUP!$A:$E,5,0),"")</f>
      </c>
      <c r="J3439" s="29">
        <f>IFERROR(VLOOKUP(F3439,CARTON_LOOKUP!$A:$E,2,0),"")</f>
      </c>
      <c r="K3439" s="29">
        <f>IFERROR(J3439*D3439,0)</f>
      </c>
      <c r="L3439" s="29">
        <f>IFERROR(E3439*C3439,0)</f>
      </c>
      <c r="M3439" s="29">
        <f>IFERROR((G3439*H3439*I3439/1000000)*D3439,0)</f>
      </c>
    </row>
    <row r="3440" spans="1:13" x14ac:dyDescent="0.25">
      <c r="A3440" s="16"/>
      <c r="E3440" s="27"/>
      <c r="F3440" t="s">
        <v>26</v>
      </c>
      <c r="G3440" s="28">
        <f>IFERROR(VLOOKUP(F3440,CARTON_LOOKUP!$A:$E,3,0),"")</f>
      </c>
      <c r="H3440" s="28">
        <f>IFERROR(VLOOKUP(F3440,CARTON_LOOKUP!$A:$E,4,0),"")</f>
      </c>
      <c r="I3440" s="28">
        <f>IFERROR(VLOOKUP(F3440,CARTON_LOOKUP!$A:$E,5,0),"")</f>
      </c>
      <c r="J3440" s="29">
        <f>IFERROR(VLOOKUP(F3440,CARTON_LOOKUP!$A:$E,2,0),"")</f>
      </c>
      <c r="K3440" s="29">
        <f>IFERROR(J3440*D3440,0)</f>
      </c>
      <c r="L3440" s="29">
        <f>IFERROR(E3440*C3440,0)</f>
      </c>
      <c r="M3440" s="29">
        <f>IFERROR((G3440*H3440*I3440/1000000)*D3440,0)</f>
      </c>
    </row>
    <row r="3441" spans="1:13" x14ac:dyDescent="0.25">
      <c r="A3441" s="16"/>
      <c r="E3441" s="27"/>
      <c r="F3441" t="s">
        <v>26</v>
      </c>
      <c r="G3441" s="28">
        <f>IFERROR(VLOOKUP(F3441,CARTON_LOOKUP!$A:$E,3,0),"")</f>
      </c>
      <c r="H3441" s="28">
        <f>IFERROR(VLOOKUP(F3441,CARTON_LOOKUP!$A:$E,4,0),"")</f>
      </c>
      <c r="I3441" s="28">
        <f>IFERROR(VLOOKUP(F3441,CARTON_LOOKUP!$A:$E,5,0),"")</f>
      </c>
      <c r="J3441" s="29">
        <f>IFERROR(VLOOKUP(F3441,CARTON_LOOKUP!$A:$E,2,0),"")</f>
      </c>
      <c r="K3441" s="29">
        <f>IFERROR(J3441*D3441,0)</f>
      </c>
      <c r="L3441" s="29">
        <f>IFERROR(E3441*C3441,0)</f>
      </c>
      <c r="M3441" s="29">
        <f>IFERROR((G3441*H3441*I3441/1000000)*D3441,0)</f>
      </c>
    </row>
    <row r="3442" spans="1:13" x14ac:dyDescent="0.25">
      <c r="A3442" s="16"/>
      <c r="E3442" s="27"/>
      <c r="F3442" t="s">
        <v>26</v>
      </c>
      <c r="G3442" s="28">
        <f>IFERROR(VLOOKUP(F3442,CARTON_LOOKUP!$A:$E,3,0),"")</f>
      </c>
      <c r="H3442" s="28">
        <f>IFERROR(VLOOKUP(F3442,CARTON_LOOKUP!$A:$E,4,0),"")</f>
      </c>
      <c r="I3442" s="28">
        <f>IFERROR(VLOOKUP(F3442,CARTON_LOOKUP!$A:$E,5,0),"")</f>
      </c>
      <c r="J3442" s="29">
        <f>IFERROR(VLOOKUP(F3442,CARTON_LOOKUP!$A:$E,2,0),"")</f>
      </c>
      <c r="K3442" s="29">
        <f>IFERROR(J3442*D3442,0)</f>
      </c>
      <c r="L3442" s="29">
        <f>IFERROR(E3442*C3442,0)</f>
      </c>
      <c r="M3442" s="29">
        <f>IFERROR((G3442*H3442*I3442/1000000)*D3442,0)</f>
      </c>
    </row>
    <row r="3443" spans="1:13" x14ac:dyDescent="0.25">
      <c r="A3443" s="16"/>
      <c r="E3443" s="27"/>
      <c r="F3443" t="s">
        <v>26</v>
      </c>
      <c r="G3443" s="28">
        <f>IFERROR(VLOOKUP(F3443,CARTON_LOOKUP!$A:$E,3,0),"")</f>
      </c>
      <c r="H3443" s="28">
        <f>IFERROR(VLOOKUP(F3443,CARTON_LOOKUP!$A:$E,4,0),"")</f>
      </c>
      <c r="I3443" s="28">
        <f>IFERROR(VLOOKUP(F3443,CARTON_LOOKUP!$A:$E,5,0),"")</f>
      </c>
      <c r="J3443" s="29">
        <f>IFERROR(VLOOKUP(F3443,CARTON_LOOKUP!$A:$E,2,0),"")</f>
      </c>
      <c r="K3443" s="29">
        <f>IFERROR(J3443*D3443,0)</f>
      </c>
      <c r="L3443" s="29">
        <f>IFERROR(E3443*C3443,0)</f>
      </c>
      <c r="M3443" s="29">
        <f>IFERROR((G3443*H3443*I3443/1000000)*D3443,0)</f>
      </c>
    </row>
    <row r="3444" spans="1:13" x14ac:dyDescent="0.25">
      <c r="A3444" s="16"/>
      <c r="E3444" s="27"/>
      <c r="F3444" t="s">
        <v>26</v>
      </c>
      <c r="G3444" s="28">
        <f>IFERROR(VLOOKUP(F3444,CARTON_LOOKUP!$A:$E,3,0),"")</f>
      </c>
      <c r="H3444" s="28">
        <f>IFERROR(VLOOKUP(F3444,CARTON_LOOKUP!$A:$E,4,0),"")</f>
      </c>
      <c r="I3444" s="28">
        <f>IFERROR(VLOOKUP(F3444,CARTON_LOOKUP!$A:$E,5,0),"")</f>
      </c>
      <c r="J3444" s="29">
        <f>IFERROR(VLOOKUP(F3444,CARTON_LOOKUP!$A:$E,2,0),"")</f>
      </c>
      <c r="K3444" s="29">
        <f>IFERROR(J3444*D3444,0)</f>
      </c>
      <c r="L3444" s="29">
        <f>IFERROR(E3444*C3444,0)</f>
      </c>
      <c r="M3444" s="29">
        <f>IFERROR((G3444*H3444*I3444/1000000)*D3444,0)</f>
      </c>
    </row>
    <row r="3445" spans="1:13" x14ac:dyDescent="0.25">
      <c r="A3445" s="16"/>
      <c r="E3445" s="27"/>
      <c r="F3445" t="s">
        <v>26</v>
      </c>
      <c r="G3445" s="28">
        <f>IFERROR(VLOOKUP(F3445,CARTON_LOOKUP!$A:$E,3,0),"")</f>
      </c>
      <c r="H3445" s="28">
        <f>IFERROR(VLOOKUP(F3445,CARTON_LOOKUP!$A:$E,4,0),"")</f>
      </c>
      <c r="I3445" s="28">
        <f>IFERROR(VLOOKUP(F3445,CARTON_LOOKUP!$A:$E,5,0),"")</f>
      </c>
      <c r="J3445" s="29">
        <f>IFERROR(VLOOKUP(F3445,CARTON_LOOKUP!$A:$E,2,0),"")</f>
      </c>
      <c r="K3445" s="29">
        <f>IFERROR(J3445*D3445,0)</f>
      </c>
      <c r="L3445" s="29">
        <f>IFERROR(E3445*C3445,0)</f>
      </c>
      <c r="M3445" s="29">
        <f>IFERROR((G3445*H3445*I3445/1000000)*D3445,0)</f>
      </c>
    </row>
    <row r="3446" spans="1:13" x14ac:dyDescent="0.25">
      <c r="A3446" s="16"/>
      <c r="E3446" s="27"/>
      <c r="F3446" t="s">
        <v>26</v>
      </c>
      <c r="G3446" s="28">
        <f>IFERROR(VLOOKUP(F3446,CARTON_LOOKUP!$A:$E,3,0),"")</f>
      </c>
      <c r="H3446" s="28">
        <f>IFERROR(VLOOKUP(F3446,CARTON_LOOKUP!$A:$E,4,0),"")</f>
      </c>
      <c r="I3446" s="28">
        <f>IFERROR(VLOOKUP(F3446,CARTON_LOOKUP!$A:$E,5,0),"")</f>
      </c>
      <c r="J3446" s="29">
        <f>IFERROR(VLOOKUP(F3446,CARTON_LOOKUP!$A:$E,2,0),"")</f>
      </c>
      <c r="K3446" s="29">
        <f>IFERROR(J3446*D3446,0)</f>
      </c>
      <c r="L3446" s="29">
        <f>IFERROR(E3446*C3446,0)</f>
      </c>
      <c r="M3446" s="29">
        <f>IFERROR((G3446*H3446*I3446/1000000)*D3446,0)</f>
      </c>
    </row>
    <row r="3447" spans="1:13" x14ac:dyDescent="0.25">
      <c r="A3447" s="16"/>
      <c r="E3447" s="27"/>
      <c r="F3447" t="s">
        <v>26</v>
      </c>
      <c r="G3447" s="28">
        <f>IFERROR(VLOOKUP(F3447,CARTON_LOOKUP!$A:$E,3,0),"")</f>
      </c>
      <c r="H3447" s="28">
        <f>IFERROR(VLOOKUP(F3447,CARTON_LOOKUP!$A:$E,4,0),"")</f>
      </c>
      <c r="I3447" s="28">
        <f>IFERROR(VLOOKUP(F3447,CARTON_LOOKUP!$A:$E,5,0),"")</f>
      </c>
      <c r="J3447" s="29">
        <f>IFERROR(VLOOKUP(F3447,CARTON_LOOKUP!$A:$E,2,0),"")</f>
      </c>
      <c r="K3447" s="29">
        <f>IFERROR(J3447*D3447,0)</f>
      </c>
      <c r="L3447" s="29">
        <f>IFERROR(E3447*C3447,0)</f>
      </c>
      <c r="M3447" s="29">
        <f>IFERROR((G3447*H3447*I3447/1000000)*D3447,0)</f>
      </c>
    </row>
    <row r="3448" spans="1:13" x14ac:dyDescent="0.25">
      <c r="A3448" s="16"/>
      <c r="E3448" s="27"/>
      <c r="F3448" t="s">
        <v>26</v>
      </c>
      <c r="G3448" s="28">
        <f>IFERROR(VLOOKUP(F3448,CARTON_LOOKUP!$A:$E,3,0),"")</f>
      </c>
      <c r="H3448" s="28">
        <f>IFERROR(VLOOKUP(F3448,CARTON_LOOKUP!$A:$E,4,0),"")</f>
      </c>
      <c r="I3448" s="28">
        <f>IFERROR(VLOOKUP(F3448,CARTON_LOOKUP!$A:$E,5,0),"")</f>
      </c>
      <c r="J3448" s="29">
        <f>IFERROR(VLOOKUP(F3448,CARTON_LOOKUP!$A:$E,2,0),"")</f>
      </c>
      <c r="K3448" s="29">
        <f>IFERROR(J3448*D3448,0)</f>
      </c>
      <c r="L3448" s="29">
        <f>IFERROR(E3448*C3448,0)</f>
      </c>
      <c r="M3448" s="29">
        <f>IFERROR((G3448*H3448*I3448/1000000)*D3448,0)</f>
      </c>
    </row>
    <row r="3449" spans="1:13" x14ac:dyDescent="0.25">
      <c r="A3449" s="16"/>
      <c r="E3449" s="27"/>
      <c r="F3449" t="s">
        <v>26</v>
      </c>
      <c r="G3449" s="28">
        <f>IFERROR(VLOOKUP(F3449,CARTON_LOOKUP!$A:$E,3,0),"")</f>
      </c>
      <c r="H3449" s="28">
        <f>IFERROR(VLOOKUP(F3449,CARTON_LOOKUP!$A:$E,4,0),"")</f>
      </c>
      <c r="I3449" s="28">
        <f>IFERROR(VLOOKUP(F3449,CARTON_LOOKUP!$A:$E,5,0),"")</f>
      </c>
      <c r="J3449" s="29">
        <f>IFERROR(VLOOKUP(F3449,CARTON_LOOKUP!$A:$E,2,0),"")</f>
      </c>
      <c r="K3449" s="29">
        <f>IFERROR(J3449*D3449,0)</f>
      </c>
      <c r="L3449" s="29">
        <f>IFERROR(E3449*C3449,0)</f>
      </c>
      <c r="M3449" s="29">
        <f>IFERROR((G3449*H3449*I3449/1000000)*D3449,0)</f>
      </c>
    </row>
    <row r="3450" spans="1:13" x14ac:dyDescent="0.25">
      <c r="A3450" s="16"/>
      <c r="E3450" s="27"/>
      <c r="F3450" t="s">
        <v>26</v>
      </c>
      <c r="G3450" s="28">
        <f>IFERROR(VLOOKUP(F3450,CARTON_LOOKUP!$A:$E,3,0),"")</f>
      </c>
      <c r="H3450" s="28">
        <f>IFERROR(VLOOKUP(F3450,CARTON_LOOKUP!$A:$E,4,0),"")</f>
      </c>
      <c r="I3450" s="28">
        <f>IFERROR(VLOOKUP(F3450,CARTON_LOOKUP!$A:$E,5,0),"")</f>
      </c>
      <c r="J3450" s="29">
        <f>IFERROR(VLOOKUP(F3450,CARTON_LOOKUP!$A:$E,2,0),"")</f>
      </c>
      <c r="K3450" s="29">
        <f>IFERROR(J3450*D3450,0)</f>
      </c>
      <c r="L3450" s="29">
        <f>IFERROR(E3450*C3450,0)</f>
      </c>
      <c r="M3450" s="29">
        <f>IFERROR((G3450*H3450*I3450/1000000)*D3450,0)</f>
      </c>
    </row>
    <row r="3451" spans="1:13" x14ac:dyDescent="0.25">
      <c r="A3451" s="16"/>
      <c r="E3451" s="27"/>
      <c r="F3451" t="s">
        <v>26</v>
      </c>
      <c r="G3451" s="28">
        <f>IFERROR(VLOOKUP(F3451,CARTON_LOOKUP!$A:$E,3,0),"")</f>
      </c>
      <c r="H3451" s="28">
        <f>IFERROR(VLOOKUP(F3451,CARTON_LOOKUP!$A:$E,4,0),"")</f>
      </c>
      <c r="I3451" s="28">
        <f>IFERROR(VLOOKUP(F3451,CARTON_LOOKUP!$A:$E,5,0),"")</f>
      </c>
      <c r="J3451" s="29">
        <f>IFERROR(VLOOKUP(F3451,CARTON_LOOKUP!$A:$E,2,0),"")</f>
      </c>
      <c r="K3451" s="29">
        <f>IFERROR(J3451*D3451,0)</f>
      </c>
      <c r="L3451" s="29">
        <f>IFERROR(E3451*C3451,0)</f>
      </c>
      <c r="M3451" s="29">
        <f>IFERROR((G3451*H3451*I3451/1000000)*D3451,0)</f>
      </c>
    </row>
    <row r="3452" spans="1:13" x14ac:dyDescent="0.25">
      <c r="A3452" s="16"/>
      <c r="E3452" s="27"/>
      <c r="F3452" t="s">
        <v>26</v>
      </c>
      <c r="G3452" s="28">
        <f>IFERROR(VLOOKUP(F3452,CARTON_LOOKUP!$A:$E,3,0),"")</f>
      </c>
      <c r="H3452" s="28">
        <f>IFERROR(VLOOKUP(F3452,CARTON_LOOKUP!$A:$E,4,0),"")</f>
      </c>
      <c r="I3452" s="28">
        <f>IFERROR(VLOOKUP(F3452,CARTON_LOOKUP!$A:$E,5,0),"")</f>
      </c>
      <c r="J3452" s="29">
        <f>IFERROR(VLOOKUP(F3452,CARTON_LOOKUP!$A:$E,2,0),"")</f>
      </c>
      <c r="K3452" s="29">
        <f>IFERROR(J3452*D3452,0)</f>
      </c>
      <c r="L3452" s="29">
        <f>IFERROR(E3452*C3452,0)</f>
      </c>
      <c r="M3452" s="29">
        <f>IFERROR((G3452*H3452*I3452/1000000)*D3452,0)</f>
      </c>
    </row>
    <row r="3453" spans="1:13" x14ac:dyDescent="0.25">
      <c r="A3453" s="16"/>
      <c r="E3453" s="27"/>
      <c r="F3453" t="s">
        <v>26</v>
      </c>
      <c r="G3453" s="28">
        <f>IFERROR(VLOOKUP(F3453,CARTON_LOOKUP!$A:$E,3,0),"")</f>
      </c>
      <c r="H3453" s="28">
        <f>IFERROR(VLOOKUP(F3453,CARTON_LOOKUP!$A:$E,4,0),"")</f>
      </c>
      <c r="I3453" s="28">
        <f>IFERROR(VLOOKUP(F3453,CARTON_LOOKUP!$A:$E,5,0),"")</f>
      </c>
      <c r="J3453" s="29">
        <f>IFERROR(VLOOKUP(F3453,CARTON_LOOKUP!$A:$E,2,0),"")</f>
      </c>
      <c r="K3453" s="29">
        <f>IFERROR(J3453*D3453,0)</f>
      </c>
      <c r="L3453" s="29">
        <f>IFERROR(E3453*C3453,0)</f>
      </c>
      <c r="M3453" s="29">
        <f>IFERROR((G3453*H3453*I3453/1000000)*D3453,0)</f>
      </c>
    </row>
    <row r="3454" spans="1:13" x14ac:dyDescent="0.25">
      <c r="A3454" s="16"/>
      <c r="E3454" s="27"/>
      <c r="F3454" t="s">
        <v>26</v>
      </c>
      <c r="G3454" s="28">
        <f>IFERROR(VLOOKUP(F3454,CARTON_LOOKUP!$A:$E,3,0),"")</f>
      </c>
      <c r="H3454" s="28">
        <f>IFERROR(VLOOKUP(F3454,CARTON_LOOKUP!$A:$E,4,0),"")</f>
      </c>
      <c r="I3454" s="28">
        <f>IFERROR(VLOOKUP(F3454,CARTON_LOOKUP!$A:$E,5,0),"")</f>
      </c>
      <c r="J3454" s="29">
        <f>IFERROR(VLOOKUP(F3454,CARTON_LOOKUP!$A:$E,2,0),"")</f>
      </c>
      <c r="K3454" s="29">
        <f>IFERROR(J3454*D3454,0)</f>
      </c>
      <c r="L3454" s="29">
        <f>IFERROR(E3454*C3454,0)</f>
      </c>
      <c r="M3454" s="29">
        <f>IFERROR((G3454*H3454*I3454/1000000)*D3454,0)</f>
      </c>
    </row>
    <row r="3455" spans="1:13" x14ac:dyDescent="0.25">
      <c r="A3455" s="16"/>
      <c r="E3455" s="27"/>
      <c r="F3455" t="s">
        <v>26</v>
      </c>
      <c r="G3455" s="28">
        <f>IFERROR(VLOOKUP(F3455,CARTON_LOOKUP!$A:$E,3,0),"")</f>
      </c>
      <c r="H3455" s="28">
        <f>IFERROR(VLOOKUP(F3455,CARTON_LOOKUP!$A:$E,4,0),"")</f>
      </c>
      <c r="I3455" s="28">
        <f>IFERROR(VLOOKUP(F3455,CARTON_LOOKUP!$A:$E,5,0),"")</f>
      </c>
      <c r="J3455" s="29">
        <f>IFERROR(VLOOKUP(F3455,CARTON_LOOKUP!$A:$E,2,0),"")</f>
      </c>
      <c r="K3455" s="29">
        <f>IFERROR(J3455*D3455,0)</f>
      </c>
      <c r="L3455" s="29">
        <f>IFERROR(E3455*C3455,0)</f>
      </c>
      <c r="M3455" s="29">
        <f>IFERROR((G3455*H3455*I3455/1000000)*D3455,0)</f>
      </c>
    </row>
    <row r="3456" spans="1:13" x14ac:dyDescent="0.25">
      <c r="A3456" s="16"/>
      <c r="E3456" s="27"/>
      <c r="F3456" t="s">
        <v>26</v>
      </c>
      <c r="G3456" s="28">
        <f>IFERROR(VLOOKUP(F3456,CARTON_LOOKUP!$A:$E,3,0),"")</f>
      </c>
      <c r="H3456" s="28">
        <f>IFERROR(VLOOKUP(F3456,CARTON_LOOKUP!$A:$E,4,0),"")</f>
      </c>
      <c r="I3456" s="28">
        <f>IFERROR(VLOOKUP(F3456,CARTON_LOOKUP!$A:$E,5,0),"")</f>
      </c>
      <c r="J3456" s="29">
        <f>IFERROR(VLOOKUP(F3456,CARTON_LOOKUP!$A:$E,2,0),"")</f>
      </c>
      <c r="K3456" s="29">
        <f>IFERROR(J3456*D3456,0)</f>
      </c>
      <c r="L3456" s="29">
        <f>IFERROR(E3456*C3456,0)</f>
      </c>
      <c r="M3456" s="29">
        <f>IFERROR((G3456*H3456*I3456/1000000)*D3456,0)</f>
      </c>
    </row>
    <row r="3457" spans="1:13" x14ac:dyDescent="0.25">
      <c r="A3457" s="16"/>
      <c r="E3457" s="27"/>
      <c r="F3457" t="s">
        <v>26</v>
      </c>
      <c r="G3457" s="28">
        <f>IFERROR(VLOOKUP(F3457,CARTON_LOOKUP!$A:$E,3,0),"")</f>
      </c>
      <c r="H3457" s="28">
        <f>IFERROR(VLOOKUP(F3457,CARTON_LOOKUP!$A:$E,4,0),"")</f>
      </c>
      <c r="I3457" s="28">
        <f>IFERROR(VLOOKUP(F3457,CARTON_LOOKUP!$A:$E,5,0),"")</f>
      </c>
      <c r="J3457" s="29">
        <f>IFERROR(VLOOKUP(F3457,CARTON_LOOKUP!$A:$E,2,0),"")</f>
      </c>
      <c r="K3457" s="29">
        <f>IFERROR(J3457*D3457,0)</f>
      </c>
      <c r="L3457" s="29">
        <f>IFERROR(E3457*C3457,0)</f>
      </c>
      <c r="M3457" s="29">
        <f>IFERROR((G3457*H3457*I3457/1000000)*D3457,0)</f>
      </c>
    </row>
    <row r="3458" spans="1:13" x14ac:dyDescent="0.25">
      <c r="A3458" s="16"/>
      <c r="E3458" s="27"/>
      <c r="F3458" t="s">
        <v>26</v>
      </c>
      <c r="G3458" s="28">
        <f>IFERROR(VLOOKUP(F3458,CARTON_LOOKUP!$A:$E,3,0),"")</f>
      </c>
      <c r="H3458" s="28">
        <f>IFERROR(VLOOKUP(F3458,CARTON_LOOKUP!$A:$E,4,0),"")</f>
      </c>
      <c r="I3458" s="28">
        <f>IFERROR(VLOOKUP(F3458,CARTON_LOOKUP!$A:$E,5,0),"")</f>
      </c>
      <c r="J3458" s="29">
        <f>IFERROR(VLOOKUP(F3458,CARTON_LOOKUP!$A:$E,2,0),"")</f>
      </c>
      <c r="K3458" s="29">
        <f>IFERROR(J3458*D3458,0)</f>
      </c>
      <c r="L3458" s="29">
        <f>IFERROR(E3458*C3458,0)</f>
      </c>
      <c r="M3458" s="29">
        <f>IFERROR((G3458*H3458*I3458/1000000)*D3458,0)</f>
      </c>
    </row>
    <row r="3459" spans="1:13" x14ac:dyDescent="0.25">
      <c r="A3459" s="16"/>
      <c r="E3459" s="27"/>
      <c r="F3459" t="s">
        <v>26</v>
      </c>
      <c r="G3459" s="28">
        <f>IFERROR(VLOOKUP(F3459,CARTON_LOOKUP!$A:$E,3,0),"")</f>
      </c>
      <c r="H3459" s="28">
        <f>IFERROR(VLOOKUP(F3459,CARTON_LOOKUP!$A:$E,4,0),"")</f>
      </c>
      <c r="I3459" s="28">
        <f>IFERROR(VLOOKUP(F3459,CARTON_LOOKUP!$A:$E,5,0),"")</f>
      </c>
      <c r="J3459" s="29">
        <f>IFERROR(VLOOKUP(F3459,CARTON_LOOKUP!$A:$E,2,0),"")</f>
      </c>
      <c r="K3459" s="29">
        <f>IFERROR(J3459*D3459,0)</f>
      </c>
      <c r="L3459" s="29">
        <f>IFERROR(E3459*C3459,0)</f>
      </c>
      <c r="M3459" s="29">
        <f>IFERROR((G3459*H3459*I3459/1000000)*D3459,0)</f>
      </c>
    </row>
    <row r="3460" spans="1:13" x14ac:dyDescent="0.25">
      <c r="A3460" s="16"/>
      <c r="E3460" s="27"/>
      <c r="F3460" t="s">
        <v>26</v>
      </c>
      <c r="G3460" s="28">
        <f>IFERROR(VLOOKUP(F3460,CARTON_LOOKUP!$A:$E,3,0),"")</f>
      </c>
      <c r="H3460" s="28">
        <f>IFERROR(VLOOKUP(F3460,CARTON_LOOKUP!$A:$E,4,0),"")</f>
      </c>
      <c r="I3460" s="28">
        <f>IFERROR(VLOOKUP(F3460,CARTON_LOOKUP!$A:$E,5,0),"")</f>
      </c>
      <c r="J3460" s="29">
        <f>IFERROR(VLOOKUP(F3460,CARTON_LOOKUP!$A:$E,2,0),"")</f>
      </c>
      <c r="K3460" s="29">
        <f>IFERROR(J3460*D3460,0)</f>
      </c>
      <c r="L3460" s="29">
        <f>IFERROR(E3460*C3460,0)</f>
      </c>
      <c r="M3460" s="29">
        <f>IFERROR((G3460*H3460*I3460/1000000)*D3460,0)</f>
      </c>
    </row>
    <row r="3461" spans="1:13" x14ac:dyDescent="0.25">
      <c r="A3461" s="16"/>
      <c r="E3461" s="27"/>
      <c r="F3461" t="s">
        <v>26</v>
      </c>
      <c r="G3461" s="28">
        <f>IFERROR(VLOOKUP(F3461,CARTON_LOOKUP!$A:$E,3,0),"")</f>
      </c>
      <c r="H3461" s="28">
        <f>IFERROR(VLOOKUP(F3461,CARTON_LOOKUP!$A:$E,4,0),"")</f>
      </c>
      <c r="I3461" s="28">
        <f>IFERROR(VLOOKUP(F3461,CARTON_LOOKUP!$A:$E,5,0),"")</f>
      </c>
      <c r="J3461" s="29">
        <f>IFERROR(VLOOKUP(F3461,CARTON_LOOKUP!$A:$E,2,0),"")</f>
      </c>
      <c r="K3461" s="29">
        <f>IFERROR(J3461*D3461,0)</f>
      </c>
      <c r="L3461" s="29">
        <f>IFERROR(E3461*C3461,0)</f>
      </c>
      <c r="M3461" s="29">
        <f>IFERROR((G3461*H3461*I3461/1000000)*D3461,0)</f>
      </c>
    </row>
    <row r="3462" spans="1:13" x14ac:dyDescent="0.25">
      <c r="A3462" s="16"/>
      <c r="E3462" s="27"/>
      <c r="F3462" t="s">
        <v>26</v>
      </c>
      <c r="G3462" s="28">
        <f>IFERROR(VLOOKUP(F3462,CARTON_LOOKUP!$A:$E,3,0),"")</f>
      </c>
      <c r="H3462" s="28">
        <f>IFERROR(VLOOKUP(F3462,CARTON_LOOKUP!$A:$E,4,0),"")</f>
      </c>
      <c r="I3462" s="28">
        <f>IFERROR(VLOOKUP(F3462,CARTON_LOOKUP!$A:$E,5,0),"")</f>
      </c>
      <c r="J3462" s="29">
        <f>IFERROR(VLOOKUP(F3462,CARTON_LOOKUP!$A:$E,2,0),"")</f>
      </c>
      <c r="K3462" s="29">
        <f>IFERROR(J3462*D3462,0)</f>
      </c>
      <c r="L3462" s="29">
        <f>IFERROR(E3462*C3462,0)</f>
      </c>
      <c r="M3462" s="29">
        <f>IFERROR((G3462*H3462*I3462/1000000)*D3462,0)</f>
      </c>
    </row>
    <row r="3463" spans="1:13" x14ac:dyDescent="0.25">
      <c r="A3463" s="16"/>
      <c r="E3463" s="27"/>
      <c r="F3463" t="s">
        <v>26</v>
      </c>
      <c r="G3463" s="28">
        <f>IFERROR(VLOOKUP(F3463,CARTON_LOOKUP!$A:$E,3,0),"")</f>
      </c>
      <c r="H3463" s="28">
        <f>IFERROR(VLOOKUP(F3463,CARTON_LOOKUP!$A:$E,4,0),"")</f>
      </c>
      <c r="I3463" s="28">
        <f>IFERROR(VLOOKUP(F3463,CARTON_LOOKUP!$A:$E,5,0),"")</f>
      </c>
      <c r="J3463" s="29">
        <f>IFERROR(VLOOKUP(F3463,CARTON_LOOKUP!$A:$E,2,0),"")</f>
      </c>
      <c r="K3463" s="29">
        <f>IFERROR(J3463*D3463,0)</f>
      </c>
      <c r="L3463" s="29">
        <f>IFERROR(E3463*C3463,0)</f>
      </c>
      <c r="M3463" s="29">
        <f>IFERROR((G3463*H3463*I3463/1000000)*D3463,0)</f>
      </c>
    </row>
    <row r="3464" spans="1:13" x14ac:dyDescent="0.25">
      <c r="A3464" s="16"/>
      <c r="E3464" s="27"/>
      <c r="F3464" t="s">
        <v>26</v>
      </c>
      <c r="G3464" s="28">
        <f>IFERROR(VLOOKUP(F3464,CARTON_LOOKUP!$A:$E,3,0),"")</f>
      </c>
      <c r="H3464" s="28">
        <f>IFERROR(VLOOKUP(F3464,CARTON_LOOKUP!$A:$E,4,0),"")</f>
      </c>
      <c r="I3464" s="28">
        <f>IFERROR(VLOOKUP(F3464,CARTON_LOOKUP!$A:$E,5,0),"")</f>
      </c>
      <c r="J3464" s="29">
        <f>IFERROR(VLOOKUP(F3464,CARTON_LOOKUP!$A:$E,2,0),"")</f>
      </c>
      <c r="K3464" s="29">
        <f>IFERROR(J3464*D3464,0)</f>
      </c>
      <c r="L3464" s="29">
        <f>IFERROR(E3464*C3464,0)</f>
      </c>
      <c r="M3464" s="29">
        <f>IFERROR((G3464*H3464*I3464/1000000)*D3464,0)</f>
      </c>
    </row>
    <row r="3465" spans="1:13" x14ac:dyDescent="0.25">
      <c r="A3465" s="16"/>
      <c r="E3465" s="27"/>
      <c r="F3465" t="s">
        <v>26</v>
      </c>
      <c r="G3465" s="28">
        <f>IFERROR(VLOOKUP(F3465,CARTON_LOOKUP!$A:$E,3,0),"")</f>
      </c>
      <c r="H3465" s="28">
        <f>IFERROR(VLOOKUP(F3465,CARTON_LOOKUP!$A:$E,4,0),"")</f>
      </c>
      <c r="I3465" s="28">
        <f>IFERROR(VLOOKUP(F3465,CARTON_LOOKUP!$A:$E,5,0),"")</f>
      </c>
      <c r="J3465" s="29">
        <f>IFERROR(VLOOKUP(F3465,CARTON_LOOKUP!$A:$E,2,0),"")</f>
      </c>
      <c r="K3465" s="29">
        <f>IFERROR(J3465*D3465,0)</f>
      </c>
      <c r="L3465" s="29">
        <f>IFERROR(E3465*C3465,0)</f>
      </c>
      <c r="M3465" s="29">
        <f>IFERROR((G3465*H3465*I3465/1000000)*D3465,0)</f>
      </c>
    </row>
    <row r="3466" spans="1:13" x14ac:dyDescent="0.25">
      <c r="A3466" s="16"/>
      <c r="E3466" s="27"/>
      <c r="F3466" t="s">
        <v>26</v>
      </c>
      <c r="G3466" s="28">
        <f>IFERROR(VLOOKUP(F3466,CARTON_LOOKUP!$A:$E,3,0),"")</f>
      </c>
      <c r="H3466" s="28">
        <f>IFERROR(VLOOKUP(F3466,CARTON_LOOKUP!$A:$E,4,0),"")</f>
      </c>
      <c r="I3466" s="28">
        <f>IFERROR(VLOOKUP(F3466,CARTON_LOOKUP!$A:$E,5,0),"")</f>
      </c>
      <c r="J3466" s="29">
        <f>IFERROR(VLOOKUP(F3466,CARTON_LOOKUP!$A:$E,2,0),"")</f>
      </c>
      <c r="K3466" s="29">
        <f>IFERROR(J3466*D3466,0)</f>
      </c>
      <c r="L3466" s="29">
        <f>IFERROR(E3466*C3466,0)</f>
      </c>
      <c r="M3466" s="29">
        <f>IFERROR((G3466*H3466*I3466/1000000)*D3466,0)</f>
      </c>
    </row>
    <row r="3467" spans="1:13" x14ac:dyDescent="0.25">
      <c r="A3467" s="16"/>
      <c r="E3467" s="27"/>
      <c r="F3467" t="s">
        <v>26</v>
      </c>
      <c r="G3467" s="28">
        <f>IFERROR(VLOOKUP(F3467,CARTON_LOOKUP!$A:$E,3,0),"")</f>
      </c>
      <c r="H3467" s="28">
        <f>IFERROR(VLOOKUP(F3467,CARTON_LOOKUP!$A:$E,4,0),"")</f>
      </c>
      <c r="I3467" s="28">
        <f>IFERROR(VLOOKUP(F3467,CARTON_LOOKUP!$A:$E,5,0),"")</f>
      </c>
      <c r="J3467" s="29">
        <f>IFERROR(VLOOKUP(F3467,CARTON_LOOKUP!$A:$E,2,0),"")</f>
      </c>
      <c r="K3467" s="29">
        <f>IFERROR(J3467*D3467,0)</f>
      </c>
      <c r="L3467" s="29">
        <f>IFERROR(E3467*C3467,0)</f>
      </c>
      <c r="M3467" s="29">
        <f>IFERROR((G3467*H3467*I3467/1000000)*D3467,0)</f>
      </c>
    </row>
    <row r="3468" spans="1:13" x14ac:dyDescent="0.25">
      <c r="A3468" s="16"/>
      <c r="E3468" s="27"/>
      <c r="F3468" t="s">
        <v>26</v>
      </c>
      <c r="G3468" s="28">
        <f>IFERROR(VLOOKUP(F3468,CARTON_LOOKUP!$A:$E,3,0),"")</f>
      </c>
      <c r="H3468" s="28">
        <f>IFERROR(VLOOKUP(F3468,CARTON_LOOKUP!$A:$E,4,0),"")</f>
      </c>
      <c r="I3468" s="28">
        <f>IFERROR(VLOOKUP(F3468,CARTON_LOOKUP!$A:$E,5,0),"")</f>
      </c>
      <c r="J3468" s="29">
        <f>IFERROR(VLOOKUP(F3468,CARTON_LOOKUP!$A:$E,2,0),"")</f>
      </c>
      <c r="K3468" s="29">
        <f>IFERROR(J3468*D3468,0)</f>
      </c>
      <c r="L3468" s="29">
        <f>IFERROR(E3468*C3468,0)</f>
      </c>
      <c r="M3468" s="29">
        <f>IFERROR((G3468*H3468*I3468/1000000)*D3468,0)</f>
      </c>
    </row>
    <row r="3469" spans="1:13" x14ac:dyDescent="0.25">
      <c r="A3469" s="16"/>
      <c r="E3469" s="27"/>
      <c r="F3469" t="s">
        <v>26</v>
      </c>
      <c r="G3469" s="28">
        <f>IFERROR(VLOOKUP(F3469,CARTON_LOOKUP!$A:$E,3,0),"")</f>
      </c>
      <c r="H3469" s="28">
        <f>IFERROR(VLOOKUP(F3469,CARTON_LOOKUP!$A:$E,4,0),"")</f>
      </c>
      <c r="I3469" s="28">
        <f>IFERROR(VLOOKUP(F3469,CARTON_LOOKUP!$A:$E,5,0),"")</f>
      </c>
      <c r="J3469" s="29">
        <f>IFERROR(VLOOKUP(F3469,CARTON_LOOKUP!$A:$E,2,0),"")</f>
      </c>
      <c r="K3469" s="29">
        <f>IFERROR(J3469*D3469,0)</f>
      </c>
      <c r="L3469" s="29">
        <f>IFERROR(E3469*C3469,0)</f>
      </c>
      <c r="M3469" s="29">
        <f>IFERROR((G3469*H3469*I3469/1000000)*D3469,0)</f>
      </c>
    </row>
    <row r="3470" spans="1:13" x14ac:dyDescent="0.25">
      <c r="A3470" s="16"/>
      <c r="E3470" s="27"/>
      <c r="F3470" t="s">
        <v>26</v>
      </c>
      <c r="G3470" s="28">
        <f>IFERROR(VLOOKUP(F3470,CARTON_LOOKUP!$A:$E,3,0),"")</f>
      </c>
      <c r="H3470" s="28">
        <f>IFERROR(VLOOKUP(F3470,CARTON_LOOKUP!$A:$E,4,0),"")</f>
      </c>
      <c r="I3470" s="28">
        <f>IFERROR(VLOOKUP(F3470,CARTON_LOOKUP!$A:$E,5,0),"")</f>
      </c>
      <c r="J3470" s="29">
        <f>IFERROR(VLOOKUP(F3470,CARTON_LOOKUP!$A:$E,2,0),"")</f>
      </c>
      <c r="K3470" s="29">
        <f>IFERROR(J3470*D3470,0)</f>
      </c>
      <c r="L3470" s="29">
        <f>IFERROR(E3470*C3470,0)</f>
      </c>
      <c r="M3470" s="29">
        <f>IFERROR((G3470*H3470*I3470/1000000)*D3470,0)</f>
      </c>
    </row>
    <row r="3471" spans="1:13" x14ac:dyDescent="0.25">
      <c r="A3471" s="16"/>
      <c r="E3471" s="27"/>
      <c r="F3471" t="s">
        <v>26</v>
      </c>
      <c r="G3471" s="28">
        <f>IFERROR(VLOOKUP(F3471,CARTON_LOOKUP!$A:$E,3,0),"")</f>
      </c>
      <c r="H3471" s="28">
        <f>IFERROR(VLOOKUP(F3471,CARTON_LOOKUP!$A:$E,4,0),"")</f>
      </c>
      <c r="I3471" s="28">
        <f>IFERROR(VLOOKUP(F3471,CARTON_LOOKUP!$A:$E,5,0),"")</f>
      </c>
      <c r="J3471" s="29">
        <f>IFERROR(VLOOKUP(F3471,CARTON_LOOKUP!$A:$E,2,0),"")</f>
      </c>
      <c r="K3471" s="29">
        <f>IFERROR(J3471*D3471,0)</f>
      </c>
      <c r="L3471" s="29">
        <f>IFERROR(E3471*C3471,0)</f>
      </c>
      <c r="M3471" s="29">
        <f>IFERROR((G3471*H3471*I3471/1000000)*D3471,0)</f>
      </c>
    </row>
    <row r="3472" spans="1:13" x14ac:dyDescent="0.25">
      <c r="A3472" s="16"/>
      <c r="E3472" s="27"/>
      <c r="F3472" t="s">
        <v>26</v>
      </c>
      <c r="G3472" s="28">
        <f>IFERROR(VLOOKUP(F3472,CARTON_LOOKUP!$A:$E,3,0),"")</f>
      </c>
      <c r="H3472" s="28">
        <f>IFERROR(VLOOKUP(F3472,CARTON_LOOKUP!$A:$E,4,0),"")</f>
      </c>
      <c r="I3472" s="28">
        <f>IFERROR(VLOOKUP(F3472,CARTON_LOOKUP!$A:$E,5,0),"")</f>
      </c>
      <c r="J3472" s="29">
        <f>IFERROR(VLOOKUP(F3472,CARTON_LOOKUP!$A:$E,2,0),"")</f>
      </c>
      <c r="K3472" s="29">
        <f>IFERROR(J3472*D3472,0)</f>
      </c>
      <c r="L3472" s="29">
        <f>IFERROR(E3472*C3472,0)</f>
      </c>
      <c r="M3472" s="29">
        <f>IFERROR((G3472*H3472*I3472/1000000)*D3472,0)</f>
      </c>
    </row>
    <row r="3473" spans="1:13" x14ac:dyDescent="0.25">
      <c r="A3473" s="16"/>
      <c r="E3473" s="27"/>
      <c r="F3473" t="s">
        <v>26</v>
      </c>
      <c r="G3473" s="28">
        <f>IFERROR(VLOOKUP(F3473,CARTON_LOOKUP!$A:$E,3,0),"")</f>
      </c>
      <c r="H3473" s="28">
        <f>IFERROR(VLOOKUP(F3473,CARTON_LOOKUP!$A:$E,4,0),"")</f>
      </c>
      <c r="I3473" s="28">
        <f>IFERROR(VLOOKUP(F3473,CARTON_LOOKUP!$A:$E,5,0),"")</f>
      </c>
      <c r="J3473" s="29">
        <f>IFERROR(VLOOKUP(F3473,CARTON_LOOKUP!$A:$E,2,0),"")</f>
      </c>
      <c r="K3473" s="29">
        <f>IFERROR(J3473*D3473,0)</f>
      </c>
      <c r="L3473" s="29">
        <f>IFERROR(E3473*C3473,0)</f>
      </c>
      <c r="M3473" s="29">
        <f>IFERROR((G3473*H3473*I3473/1000000)*D3473,0)</f>
      </c>
    </row>
    <row r="3474" spans="1:13" x14ac:dyDescent="0.25">
      <c r="A3474" s="16"/>
      <c r="E3474" s="27"/>
      <c r="F3474" t="s">
        <v>26</v>
      </c>
      <c r="G3474" s="28">
        <f>IFERROR(VLOOKUP(F3474,CARTON_LOOKUP!$A:$E,3,0),"")</f>
      </c>
      <c r="H3474" s="28">
        <f>IFERROR(VLOOKUP(F3474,CARTON_LOOKUP!$A:$E,4,0),"")</f>
      </c>
      <c r="I3474" s="28">
        <f>IFERROR(VLOOKUP(F3474,CARTON_LOOKUP!$A:$E,5,0),"")</f>
      </c>
      <c r="J3474" s="29">
        <f>IFERROR(VLOOKUP(F3474,CARTON_LOOKUP!$A:$E,2,0),"")</f>
      </c>
      <c r="K3474" s="29">
        <f>IFERROR(J3474*D3474,0)</f>
      </c>
      <c r="L3474" s="29">
        <f>IFERROR(E3474*C3474,0)</f>
      </c>
      <c r="M3474" s="29">
        <f>IFERROR((G3474*H3474*I3474/1000000)*D3474,0)</f>
      </c>
    </row>
    <row r="3475" spans="1:13" x14ac:dyDescent="0.25">
      <c r="A3475" s="16"/>
      <c r="E3475" s="27"/>
      <c r="F3475" t="s">
        <v>26</v>
      </c>
      <c r="G3475" s="28">
        <f>IFERROR(VLOOKUP(F3475,CARTON_LOOKUP!$A:$E,3,0),"")</f>
      </c>
      <c r="H3475" s="28">
        <f>IFERROR(VLOOKUP(F3475,CARTON_LOOKUP!$A:$E,4,0),"")</f>
      </c>
      <c r="I3475" s="28">
        <f>IFERROR(VLOOKUP(F3475,CARTON_LOOKUP!$A:$E,5,0),"")</f>
      </c>
      <c r="J3475" s="29">
        <f>IFERROR(VLOOKUP(F3475,CARTON_LOOKUP!$A:$E,2,0),"")</f>
      </c>
      <c r="K3475" s="29">
        <f>IFERROR(J3475*D3475,0)</f>
      </c>
      <c r="L3475" s="29">
        <f>IFERROR(E3475*C3475,0)</f>
      </c>
      <c r="M3475" s="29">
        <f>IFERROR((G3475*H3475*I3475/1000000)*D3475,0)</f>
      </c>
    </row>
    <row r="3476" spans="1:13" x14ac:dyDescent="0.25">
      <c r="A3476" s="16"/>
      <c r="E3476" s="27"/>
      <c r="F3476" t="s">
        <v>26</v>
      </c>
      <c r="G3476" s="28">
        <f>IFERROR(VLOOKUP(F3476,CARTON_LOOKUP!$A:$E,3,0),"")</f>
      </c>
      <c r="H3476" s="28">
        <f>IFERROR(VLOOKUP(F3476,CARTON_LOOKUP!$A:$E,4,0),"")</f>
      </c>
      <c r="I3476" s="28">
        <f>IFERROR(VLOOKUP(F3476,CARTON_LOOKUP!$A:$E,5,0),"")</f>
      </c>
      <c r="J3476" s="29">
        <f>IFERROR(VLOOKUP(F3476,CARTON_LOOKUP!$A:$E,2,0),"")</f>
      </c>
      <c r="K3476" s="29">
        <f>IFERROR(J3476*D3476,0)</f>
      </c>
      <c r="L3476" s="29">
        <f>IFERROR(E3476*C3476,0)</f>
      </c>
      <c r="M3476" s="29">
        <f>IFERROR((G3476*H3476*I3476/1000000)*D3476,0)</f>
      </c>
    </row>
    <row r="3477" spans="1:13" x14ac:dyDescent="0.25">
      <c r="A3477" s="16"/>
      <c r="E3477" s="27"/>
      <c r="F3477" t="s">
        <v>26</v>
      </c>
      <c r="G3477" s="28">
        <f>IFERROR(VLOOKUP(F3477,CARTON_LOOKUP!$A:$E,3,0),"")</f>
      </c>
      <c r="H3477" s="28">
        <f>IFERROR(VLOOKUP(F3477,CARTON_LOOKUP!$A:$E,4,0),"")</f>
      </c>
      <c r="I3477" s="28">
        <f>IFERROR(VLOOKUP(F3477,CARTON_LOOKUP!$A:$E,5,0),"")</f>
      </c>
      <c r="J3477" s="29">
        <f>IFERROR(VLOOKUP(F3477,CARTON_LOOKUP!$A:$E,2,0),"")</f>
      </c>
      <c r="K3477" s="29">
        <f>IFERROR(J3477*D3477,0)</f>
      </c>
      <c r="L3477" s="29">
        <f>IFERROR(E3477*C3477,0)</f>
      </c>
      <c r="M3477" s="29">
        <f>IFERROR((G3477*H3477*I3477/1000000)*D3477,0)</f>
      </c>
    </row>
    <row r="3478" spans="1:13" x14ac:dyDescent="0.25">
      <c r="A3478" s="16"/>
      <c r="E3478" s="27"/>
      <c r="F3478" t="s">
        <v>26</v>
      </c>
      <c r="G3478" s="28">
        <f>IFERROR(VLOOKUP(F3478,CARTON_LOOKUP!$A:$E,3,0),"")</f>
      </c>
      <c r="H3478" s="28">
        <f>IFERROR(VLOOKUP(F3478,CARTON_LOOKUP!$A:$E,4,0),"")</f>
      </c>
      <c r="I3478" s="28">
        <f>IFERROR(VLOOKUP(F3478,CARTON_LOOKUP!$A:$E,5,0),"")</f>
      </c>
      <c r="J3478" s="29">
        <f>IFERROR(VLOOKUP(F3478,CARTON_LOOKUP!$A:$E,2,0),"")</f>
      </c>
      <c r="K3478" s="29">
        <f>IFERROR(J3478*D3478,0)</f>
      </c>
      <c r="L3478" s="29">
        <f>IFERROR(E3478*C3478,0)</f>
      </c>
      <c r="M3478" s="29">
        <f>IFERROR((G3478*H3478*I3478/1000000)*D3478,0)</f>
      </c>
    </row>
    <row r="3479" spans="1:13" x14ac:dyDescent="0.25">
      <c r="A3479" s="16"/>
      <c r="E3479" s="27"/>
      <c r="F3479" t="s">
        <v>26</v>
      </c>
      <c r="G3479" s="28">
        <f>IFERROR(VLOOKUP(F3479,CARTON_LOOKUP!$A:$E,3,0),"")</f>
      </c>
      <c r="H3479" s="28">
        <f>IFERROR(VLOOKUP(F3479,CARTON_LOOKUP!$A:$E,4,0),"")</f>
      </c>
      <c r="I3479" s="28">
        <f>IFERROR(VLOOKUP(F3479,CARTON_LOOKUP!$A:$E,5,0),"")</f>
      </c>
      <c r="J3479" s="29">
        <f>IFERROR(VLOOKUP(F3479,CARTON_LOOKUP!$A:$E,2,0),"")</f>
      </c>
      <c r="K3479" s="29">
        <f>IFERROR(J3479*D3479,0)</f>
      </c>
      <c r="L3479" s="29">
        <f>IFERROR(E3479*C3479,0)</f>
      </c>
      <c r="M3479" s="29">
        <f>IFERROR((G3479*H3479*I3479/1000000)*D3479,0)</f>
      </c>
    </row>
    <row r="3480" spans="1:13" x14ac:dyDescent="0.25">
      <c r="A3480" s="16"/>
      <c r="E3480" s="27"/>
      <c r="F3480" t="s">
        <v>26</v>
      </c>
      <c r="G3480" s="28">
        <f>IFERROR(VLOOKUP(F3480,CARTON_LOOKUP!$A:$E,3,0),"")</f>
      </c>
      <c r="H3480" s="28">
        <f>IFERROR(VLOOKUP(F3480,CARTON_LOOKUP!$A:$E,4,0),"")</f>
      </c>
      <c r="I3480" s="28">
        <f>IFERROR(VLOOKUP(F3480,CARTON_LOOKUP!$A:$E,5,0),"")</f>
      </c>
      <c r="J3480" s="29">
        <f>IFERROR(VLOOKUP(F3480,CARTON_LOOKUP!$A:$E,2,0),"")</f>
      </c>
      <c r="K3480" s="29">
        <f>IFERROR(J3480*D3480,0)</f>
      </c>
      <c r="L3480" s="29">
        <f>IFERROR(E3480*C3480,0)</f>
      </c>
      <c r="M3480" s="29">
        <f>IFERROR((G3480*H3480*I3480/1000000)*D3480,0)</f>
      </c>
    </row>
    <row r="3481" spans="1:13" x14ac:dyDescent="0.25">
      <c r="A3481" s="16"/>
      <c r="E3481" s="27"/>
      <c r="F3481" t="s">
        <v>26</v>
      </c>
      <c r="G3481" s="28">
        <f>IFERROR(VLOOKUP(F3481,CARTON_LOOKUP!$A:$E,3,0),"")</f>
      </c>
      <c r="H3481" s="28">
        <f>IFERROR(VLOOKUP(F3481,CARTON_LOOKUP!$A:$E,4,0),"")</f>
      </c>
      <c r="I3481" s="28">
        <f>IFERROR(VLOOKUP(F3481,CARTON_LOOKUP!$A:$E,5,0),"")</f>
      </c>
      <c r="J3481" s="29">
        <f>IFERROR(VLOOKUP(F3481,CARTON_LOOKUP!$A:$E,2,0),"")</f>
      </c>
      <c r="K3481" s="29">
        <f>IFERROR(J3481*D3481,0)</f>
      </c>
      <c r="L3481" s="29">
        <f>IFERROR(E3481*C3481,0)</f>
      </c>
      <c r="M3481" s="29">
        <f>IFERROR((G3481*H3481*I3481/1000000)*D3481,0)</f>
      </c>
    </row>
    <row r="3482" spans="1:13" x14ac:dyDescent="0.25">
      <c r="A3482" s="16"/>
      <c r="E3482" s="27"/>
      <c r="F3482" t="s">
        <v>26</v>
      </c>
      <c r="G3482" s="28">
        <f>IFERROR(VLOOKUP(F3482,CARTON_LOOKUP!$A:$E,3,0),"")</f>
      </c>
      <c r="H3482" s="28">
        <f>IFERROR(VLOOKUP(F3482,CARTON_LOOKUP!$A:$E,4,0),"")</f>
      </c>
      <c r="I3482" s="28">
        <f>IFERROR(VLOOKUP(F3482,CARTON_LOOKUP!$A:$E,5,0),"")</f>
      </c>
      <c r="J3482" s="29">
        <f>IFERROR(VLOOKUP(F3482,CARTON_LOOKUP!$A:$E,2,0),"")</f>
      </c>
      <c r="K3482" s="29">
        <f>IFERROR(J3482*D3482,0)</f>
      </c>
      <c r="L3482" s="29">
        <f>IFERROR(E3482*C3482,0)</f>
      </c>
      <c r="M3482" s="29">
        <f>IFERROR((G3482*H3482*I3482/1000000)*D3482,0)</f>
      </c>
    </row>
    <row r="3483" spans="1:13" x14ac:dyDescent="0.25">
      <c r="A3483" s="16"/>
      <c r="E3483" s="27"/>
      <c r="F3483" t="s">
        <v>26</v>
      </c>
      <c r="G3483" s="28">
        <f>IFERROR(VLOOKUP(F3483,CARTON_LOOKUP!$A:$E,3,0),"")</f>
      </c>
      <c r="H3483" s="28">
        <f>IFERROR(VLOOKUP(F3483,CARTON_LOOKUP!$A:$E,4,0),"")</f>
      </c>
      <c r="I3483" s="28">
        <f>IFERROR(VLOOKUP(F3483,CARTON_LOOKUP!$A:$E,5,0),"")</f>
      </c>
      <c r="J3483" s="29">
        <f>IFERROR(VLOOKUP(F3483,CARTON_LOOKUP!$A:$E,2,0),"")</f>
      </c>
      <c r="K3483" s="29">
        <f>IFERROR(J3483*D3483,0)</f>
      </c>
      <c r="L3483" s="29">
        <f>IFERROR(E3483*C3483,0)</f>
      </c>
      <c r="M3483" s="29">
        <f>IFERROR((G3483*H3483*I3483/1000000)*D3483,0)</f>
      </c>
    </row>
    <row r="3484" spans="1:13" x14ac:dyDescent="0.25">
      <c r="A3484" s="16"/>
      <c r="E3484" s="27"/>
      <c r="F3484" t="s">
        <v>26</v>
      </c>
      <c r="G3484" s="28">
        <f>IFERROR(VLOOKUP(F3484,CARTON_LOOKUP!$A:$E,3,0),"")</f>
      </c>
      <c r="H3484" s="28">
        <f>IFERROR(VLOOKUP(F3484,CARTON_LOOKUP!$A:$E,4,0),"")</f>
      </c>
      <c r="I3484" s="28">
        <f>IFERROR(VLOOKUP(F3484,CARTON_LOOKUP!$A:$E,5,0),"")</f>
      </c>
      <c r="J3484" s="29">
        <f>IFERROR(VLOOKUP(F3484,CARTON_LOOKUP!$A:$E,2,0),"")</f>
      </c>
      <c r="K3484" s="29">
        <f>IFERROR(J3484*D3484,0)</f>
      </c>
      <c r="L3484" s="29">
        <f>IFERROR(E3484*C3484,0)</f>
      </c>
      <c r="M3484" s="29">
        <f>IFERROR((G3484*H3484*I3484/1000000)*D3484,0)</f>
      </c>
    </row>
    <row r="3485" spans="1:13" x14ac:dyDescent="0.25">
      <c r="A3485" s="16"/>
      <c r="E3485" s="27"/>
      <c r="F3485" t="s">
        <v>26</v>
      </c>
      <c r="G3485" s="28">
        <f>IFERROR(VLOOKUP(F3485,CARTON_LOOKUP!$A:$E,3,0),"")</f>
      </c>
      <c r="H3485" s="28">
        <f>IFERROR(VLOOKUP(F3485,CARTON_LOOKUP!$A:$E,4,0),"")</f>
      </c>
      <c r="I3485" s="28">
        <f>IFERROR(VLOOKUP(F3485,CARTON_LOOKUP!$A:$E,5,0),"")</f>
      </c>
      <c r="J3485" s="29">
        <f>IFERROR(VLOOKUP(F3485,CARTON_LOOKUP!$A:$E,2,0),"")</f>
      </c>
      <c r="K3485" s="29">
        <f>IFERROR(J3485*D3485,0)</f>
      </c>
      <c r="L3485" s="29">
        <f>IFERROR(E3485*C3485,0)</f>
      </c>
      <c r="M3485" s="29">
        <f>IFERROR((G3485*H3485*I3485/1000000)*D3485,0)</f>
      </c>
    </row>
    <row r="3486" spans="1:13" x14ac:dyDescent="0.25">
      <c r="A3486" s="16"/>
      <c r="E3486" s="27"/>
      <c r="F3486" t="s">
        <v>26</v>
      </c>
      <c r="G3486" s="28">
        <f>IFERROR(VLOOKUP(F3486,CARTON_LOOKUP!$A:$E,3,0),"")</f>
      </c>
      <c r="H3486" s="28">
        <f>IFERROR(VLOOKUP(F3486,CARTON_LOOKUP!$A:$E,4,0),"")</f>
      </c>
      <c r="I3486" s="28">
        <f>IFERROR(VLOOKUP(F3486,CARTON_LOOKUP!$A:$E,5,0),"")</f>
      </c>
      <c r="J3486" s="29">
        <f>IFERROR(VLOOKUP(F3486,CARTON_LOOKUP!$A:$E,2,0),"")</f>
      </c>
      <c r="K3486" s="29">
        <f>IFERROR(J3486*D3486,0)</f>
      </c>
      <c r="L3486" s="29">
        <f>IFERROR(E3486*C3486,0)</f>
      </c>
      <c r="M3486" s="29">
        <f>IFERROR((G3486*H3486*I3486/1000000)*D3486,0)</f>
      </c>
    </row>
    <row r="3487" spans="1:13" x14ac:dyDescent="0.25">
      <c r="A3487" s="16"/>
      <c r="E3487" s="27"/>
      <c r="F3487" t="s">
        <v>26</v>
      </c>
      <c r="G3487" s="28">
        <f>IFERROR(VLOOKUP(F3487,CARTON_LOOKUP!$A:$E,3,0),"")</f>
      </c>
      <c r="H3487" s="28">
        <f>IFERROR(VLOOKUP(F3487,CARTON_LOOKUP!$A:$E,4,0),"")</f>
      </c>
      <c r="I3487" s="28">
        <f>IFERROR(VLOOKUP(F3487,CARTON_LOOKUP!$A:$E,5,0),"")</f>
      </c>
      <c r="J3487" s="29">
        <f>IFERROR(VLOOKUP(F3487,CARTON_LOOKUP!$A:$E,2,0),"")</f>
      </c>
      <c r="K3487" s="29">
        <f>IFERROR(J3487*D3487,0)</f>
      </c>
      <c r="L3487" s="29">
        <f>IFERROR(E3487*C3487,0)</f>
      </c>
      <c r="M3487" s="29">
        <f>IFERROR((G3487*H3487*I3487/1000000)*D3487,0)</f>
      </c>
    </row>
    <row r="3488" spans="1:13" x14ac:dyDescent="0.25">
      <c r="A3488" s="16"/>
      <c r="E3488" s="27"/>
      <c r="F3488" t="s">
        <v>26</v>
      </c>
      <c r="G3488" s="28">
        <f>IFERROR(VLOOKUP(F3488,CARTON_LOOKUP!$A:$E,3,0),"")</f>
      </c>
      <c r="H3488" s="28">
        <f>IFERROR(VLOOKUP(F3488,CARTON_LOOKUP!$A:$E,4,0),"")</f>
      </c>
      <c r="I3488" s="28">
        <f>IFERROR(VLOOKUP(F3488,CARTON_LOOKUP!$A:$E,5,0),"")</f>
      </c>
      <c r="J3488" s="29">
        <f>IFERROR(VLOOKUP(F3488,CARTON_LOOKUP!$A:$E,2,0),"")</f>
      </c>
      <c r="K3488" s="29">
        <f>IFERROR(J3488*D3488,0)</f>
      </c>
      <c r="L3488" s="29">
        <f>IFERROR(E3488*C3488,0)</f>
      </c>
      <c r="M3488" s="29">
        <f>IFERROR((G3488*H3488*I3488/1000000)*D3488,0)</f>
      </c>
    </row>
    <row r="3489" spans="1:13" x14ac:dyDescent="0.25">
      <c r="A3489" s="16"/>
      <c r="E3489" s="27"/>
      <c r="F3489" t="s">
        <v>26</v>
      </c>
      <c r="G3489" s="28">
        <f>IFERROR(VLOOKUP(F3489,CARTON_LOOKUP!$A:$E,3,0),"")</f>
      </c>
      <c r="H3489" s="28">
        <f>IFERROR(VLOOKUP(F3489,CARTON_LOOKUP!$A:$E,4,0),"")</f>
      </c>
      <c r="I3489" s="28">
        <f>IFERROR(VLOOKUP(F3489,CARTON_LOOKUP!$A:$E,5,0),"")</f>
      </c>
      <c r="J3489" s="29">
        <f>IFERROR(VLOOKUP(F3489,CARTON_LOOKUP!$A:$E,2,0),"")</f>
      </c>
      <c r="K3489" s="29">
        <f>IFERROR(J3489*D3489,0)</f>
      </c>
      <c r="L3489" s="29">
        <f>IFERROR(E3489*C3489,0)</f>
      </c>
      <c r="M3489" s="29">
        <f>IFERROR((G3489*H3489*I3489/1000000)*D3489,0)</f>
      </c>
    </row>
    <row r="3490" spans="1:13" x14ac:dyDescent="0.25">
      <c r="A3490" s="16"/>
      <c r="E3490" s="27"/>
      <c r="F3490" t="s">
        <v>26</v>
      </c>
      <c r="G3490" s="28">
        <f>IFERROR(VLOOKUP(F3490,CARTON_LOOKUP!$A:$E,3,0),"")</f>
      </c>
      <c r="H3490" s="28">
        <f>IFERROR(VLOOKUP(F3490,CARTON_LOOKUP!$A:$E,4,0),"")</f>
      </c>
      <c r="I3490" s="28">
        <f>IFERROR(VLOOKUP(F3490,CARTON_LOOKUP!$A:$E,5,0),"")</f>
      </c>
      <c r="J3490" s="29">
        <f>IFERROR(VLOOKUP(F3490,CARTON_LOOKUP!$A:$E,2,0),"")</f>
      </c>
      <c r="K3490" s="29">
        <f>IFERROR(J3490*D3490,0)</f>
      </c>
      <c r="L3490" s="29">
        <f>IFERROR(E3490*C3490,0)</f>
      </c>
      <c r="M3490" s="29">
        <f>IFERROR((G3490*H3490*I3490/1000000)*D3490,0)</f>
      </c>
    </row>
    <row r="3491" spans="1:13" x14ac:dyDescent="0.25">
      <c r="A3491" s="16"/>
      <c r="E3491" s="27"/>
      <c r="F3491" t="s">
        <v>26</v>
      </c>
      <c r="G3491" s="28">
        <f>IFERROR(VLOOKUP(F3491,CARTON_LOOKUP!$A:$E,3,0),"")</f>
      </c>
      <c r="H3491" s="28">
        <f>IFERROR(VLOOKUP(F3491,CARTON_LOOKUP!$A:$E,4,0),"")</f>
      </c>
      <c r="I3491" s="28">
        <f>IFERROR(VLOOKUP(F3491,CARTON_LOOKUP!$A:$E,5,0),"")</f>
      </c>
      <c r="J3491" s="29">
        <f>IFERROR(VLOOKUP(F3491,CARTON_LOOKUP!$A:$E,2,0),"")</f>
      </c>
      <c r="K3491" s="29">
        <f>IFERROR(J3491*D3491,0)</f>
      </c>
      <c r="L3491" s="29">
        <f>IFERROR(E3491*C3491,0)</f>
      </c>
      <c r="M3491" s="29">
        <f>IFERROR((G3491*H3491*I3491/1000000)*D3491,0)</f>
      </c>
    </row>
    <row r="3492" spans="1:13" x14ac:dyDescent="0.25">
      <c r="A3492" s="16"/>
      <c r="E3492" s="27"/>
      <c r="F3492" t="s">
        <v>26</v>
      </c>
      <c r="G3492" s="28">
        <f>IFERROR(VLOOKUP(F3492,CARTON_LOOKUP!$A:$E,3,0),"")</f>
      </c>
      <c r="H3492" s="28">
        <f>IFERROR(VLOOKUP(F3492,CARTON_LOOKUP!$A:$E,4,0),"")</f>
      </c>
      <c r="I3492" s="28">
        <f>IFERROR(VLOOKUP(F3492,CARTON_LOOKUP!$A:$E,5,0),"")</f>
      </c>
      <c r="J3492" s="29">
        <f>IFERROR(VLOOKUP(F3492,CARTON_LOOKUP!$A:$E,2,0),"")</f>
      </c>
      <c r="K3492" s="29">
        <f>IFERROR(J3492*D3492,0)</f>
      </c>
      <c r="L3492" s="29">
        <f>IFERROR(E3492*C3492,0)</f>
      </c>
      <c r="M3492" s="29">
        <f>IFERROR((G3492*H3492*I3492/1000000)*D3492,0)</f>
      </c>
    </row>
    <row r="3493" spans="1:13" x14ac:dyDescent="0.25">
      <c r="A3493" s="16"/>
      <c r="E3493" s="27"/>
      <c r="F3493" t="s">
        <v>26</v>
      </c>
      <c r="G3493" s="28">
        <f>IFERROR(VLOOKUP(F3493,CARTON_LOOKUP!$A:$E,3,0),"")</f>
      </c>
      <c r="H3493" s="28">
        <f>IFERROR(VLOOKUP(F3493,CARTON_LOOKUP!$A:$E,4,0),"")</f>
      </c>
      <c r="I3493" s="28">
        <f>IFERROR(VLOOKUP(F3493,CARTON_LOOKUP!$A:$E,5,0),"")</f>
      </c>
      <c r="J3493" s="29">
        <f>IFERROR(VLOOKUP(F3493,CARTON_LOOKUP!$A:$E,2,0),"")</f>
      </c>
      <c r="K3493" s="29">
        <f>IFERROR(J3493*D3493,0)</f>
      </c>
      <c r="L3493" s="29">
        <f>IFERROR(E3493*C3493,0)</f>
      </c>
      <c r="M3493" s="29">
        <f>IFERROR((G3493*H3493*I3493/1000000)*D3493,0)</f>
      </c>
    </row>
    <row r="3494" spans="1:13" x14ac:dyDescent="0.25">
      <c r="A3494" s="16"/>
      <c r="E3494" s="27"/>
      <c r="F3494" t="s">
        <v>26</v>
      </c>
      <c r="G3494" s="28">
        <f>IFERROR(VLOOKUP(F3494,CARTON_LOOKUP!$A:$E,3,0),"")</f>
      </c>
      <c r="H3494" s="28">
        <f>IFERROR(VLOOKUP(F3494,CARTON_LOOKUP!$A:$E,4,0),"")</f>
      </c>
      <c r="I3494" s="28">
        <f>IFERROR(VLOOKUP(F3494,CARTON_LOOKUP!$A:$E,5,0),"")</f>
      </c>
      <c r="J3494" s="29">
        <f>IFERROR(VLOOKUP(F3494,CARTON_LOOKUP!$A:$E,2,0),"")</f>
      </c>
      <c r="K3494" s="29">
        <f>IFERROR(J3494*D3494,0)</f>
      </c>
      <c r="L3494" s="29">
        <f>IFERROR(E3494*C3494,0)</f>
      </c>
      <c r="M3494" s="29">
        <f>IFERROR((G3494*H3494*I3494/1000000)*D3494,0)</f>
      </c>
    </row>
    <row r="3495" spans="1:13" x14ac:dyDescent="0.25">
      <c r="A3495" s="16"/>
      <c r="E3495" s="27"/>
      <c r="F3495" t="s">
        <v>26</v>
      </c>
      <c r="G3495" s="28">
        <f>IFERROR(VLOOKUP(F3495,CARTON_LOOKUP!$A:$E,3,0),"")</f>
      </c>
      <c r="H3495" s="28">
        <f>IFERROR(VLOOKUP(F3495,CARTON_LOOKUP!$A:$E,4,0),"")</f>
      </c>
      <c r="I3495" s="28">
        <f>IFERROR(VLOOKUP(F3495,CARTON_LOOKUP!$A:$E,5,0),"")</f>
      </c>
      <c r="J3495" s="29">
        <f>IFERROR(VLOOKUP(F3495,CARTON_LOOKUP!$A:$E,2,0),"")</f>
      </c>
      <c r="K3495" s="29">
        <f>IFERROR(J3495*D3495,0)</f>
      </c>
      <c r="L3495" s="29">
        <f>IFERROR(E3495*C3495,0)</f>
      </c>
      <c r="M3495" s="29">
        <f>IFERROR((G3495*H3495*I3495/1000000)*D3495,0)</f>
      </c>
    </row>
    <row r="3496" spans="1:13" x14ac:dyDescent="0.25">
      <c r="A3496" s="16"/>
      <c r="E3496" s="27"/>
      <c r="F3496" t="s">
        <v>26</v>
      </c>
      <c r="G3496" s="28">
        <f>IFERROR(VLOOKUP(F3496,CARTON_LOOKUP!$A:$E,3,0),"")</f>
      </c>
      <c r="H3496" s="28">
        <f>IFERROR(VLOOKUP(F3496,CARTON_LOOKUP!$A:$E,4,0),"")</f>
      </c>
      <c r="I3496" s="28">
        <f>IFERROR(VLOOKUP(F3496,CARTON_LOOKUP!$A:$E,5,0),"")</f>
      </c>
      <c r="J3496" s="29">
        <f>IFERROR(VLOOKUP(F3496,CARTON_LOOKUP!$A:$E,2,0),"")</f>
      </c>
      <c r="K3496" s="29">
        <f>IFERROR(J3496*D3496,0)</f>
      </c>
      <c r="L3496" s="29">
        <f>IFERROR(E3496*C3496,0)</f>
      </c>
      <c r="M3496" s="29">
        <f>IFERROR((G3496*H3496*I3496/1000000)*D3496,0)</f>
      </c>
    </row>
    <row r="3497" spans="1:13" x14ac:dyDescent="0.25">
      <c r="A3497" s="16"/>
      <c r="E3497" s="27"/>
      <c r="F3497" t="s">
        <v>26</v>
      </c>
      <c r="G3497" s="28">
        <f>IFERROR(VLOOKUP(F3497,CARTON_LOOKUP!$A:$E,3,0),"")</f>
      </c>
      <c r="H3497" s="28">
        <f>IFERROR(VLOOKUP(F3497,CARTON_LOOKUP!$A:$E,4,0),"")</f>
      </c>
      <c r="I3497" s="28">
        <f>IFERROR(VLOOKUP(F3497,CARTON_LOOKUP!$A:$E,5,0),"")</f>
      </c>
      <c r="J3497" s="29">
        <f>IFERROR(VLOOKUP(F3497,CARTON_LOOKUP!$A:$E,2,0),"")</f>
      </c>
      <c r="K3497" s="29">
        <f>IFERROR(J3497*D3497,0)</f>
      </c>
      <c r="L3497" s="29">
        <f>IFERROR(E3497*C3497,0)</f>
      </c>
      <c r="M3497" s="29">
        <f>IFERROR((G3497*H3497*I3497/1000000)*D3497,0)</f>
      </c>
    </row>
    <row r="3498" spans="1:13" x14ac:dyDescent="0.25">
      <c r="A3498" s="16"/>
      <c r="E3498" s="27"/>
      <c r="F3498" t="s">
        <v>26</v>
      </c>
      <c r="G3498" s="28">
        <f>IFERROR(VLOOKUP(F3498,CARTON_LOOKUP!$A:$E,3,0),"")</f>
      </c>
      <c r="H3498" s="28">
        <f>IFERROR(VLOOKUP(F3498,CARTON_LOOKUP!$A:$E,4,0),"")</f>
      </c>
      <c r="I3498" s="28">
        <f>IFERROR(VLOOKUP(F3498,CARTON_LOOKUP!$A:$E,5,0),"")</f>
      </c>
      <c r="J3498" s="29">
        <f>IFERROR(VLOOKUP(F3498,CARTON_LOOKUP!$A:$E,2,0),"")</f>
      </c>
      <c r="K3498" s="29">
        <f>IFERROR(J3498*D3498,0)</f>
      </c>
      <c r="L3498" s="29">
        <f>IFERROR(E3498*C3498,0)</f>
      </c>
      <c r="M3498" s="29">
        <f>IFERROR((G3498*H3498*I3498/1000000)*D3498,0)</f>
      </c>
    </row>
    <row r="3499" spans="1:13" x14ac:dyDescent="0.25">
      <c r="A3499" s="16"/>
      <c r="E3499" s="27"/>
      <c r="F3499" t="s">
        <v>26</v>
      </c>
      <c r="G3499" s="28">
        <f>IFERROR(VLOOKUP(F3499,CARTON_LOOKUP!$A:$E,3,0),"")</f>
      </c>
      <c r="H3499" s="28">
        <f>IFERROR(VLOOKUP(F3499,CARTON_LOOKUP!$A:$E,4,0),"")</f>
      </c>
      <c r="I3499" s="28">
        <f>IFERROR(VLOOKUP(F3499,CARTON_LOOKUP!$A:$E,5,0),"")</f>
      </c>
      <c r="J3499" s="29">
        <f>IFERROR(VLOOKUP(F3499,CARTON_LOOKUP!$A:$E,2,0),"")</f>
      </c>
      <c r="K3499" s="29">
        <f>IFERROR(J3499*D3499,0)</f>
      </c>
      <c r="L3499" s="29">
        <f>IFERROR(E3499*C3499,0)</f>
      </c>
      <c r="M3499" s="29">
        <f>IFERROR((G3499*H3499*I3499/1000000)*D3499,0)</f>
      </c>
    </row>
    <row r="3500" spans="1:13" x14ac:dyDescent="0.25">
      <c r="A3500" s="16"/>
      <c r="E3500" s="27"/>
      <c r="F3500" t="s">
        <v>26</v>
      </c>
      <c r="G3500" s="28">
        <f>IFERROR(VLOOKUP(F3500,CARTON_LOOKUP!$A:$E,3,0),"")</f>
      </c>
      <c r="H3500" s="28">
        <f>IFERROR(VLOOKUP(F3500,CARTON_LOOKUP!$A:$E,4,0),"")</f>
      </c>
      <c r="I3500" s="28">
        <f>IFERROR(VLOOKUP(F3500,CARTON_LOOKUP!$A:$E,5,0),"")</f>
      </c>
      <c r="J3500" s="29">
        <f>IFERROR(VLOOKUP(F3500,CARTON_LOOKUP!$A:$E,2,0),"")</f>
      </c>
      <c r="K3500" s="29">
        <f>IFERROR(J3500*D3500,0)</f>
      </c>
      <c r="L3500" s="29">
        <f>IFERROR(E3500*C3500,0)</f>
      </c>
      <c r="M3500" s="29">
        <f>IFERROR((G3500*H3500*I3500/1000000)*D3500,0)</f>
      </c>
    </row>
    <row r="3501" spans="1:13" x14ac:dyDescent="0.25">
      <c r="A3501" s="16"/>
      <c r="E3501" s="27"/>
      <c r="F3501" t="s">
        <v>26</v>
      </c>
      <c r="G3501" s="28">
        <f>IFERROR(VLOOKUP(F3501,CARTON_LOOKUP!$A:$E,3,0),"")</f>
      </c>
      <c r="H3501" s="28">
        <f>IFERROR(VLOOKUP(F3501,CARTON_LOOKUP!$A:$E,4,0),"")</f>
      </c>
      <c r="I3501" s="28">
        <f>IFERROR(VLOOKUP(F3501,CARTON_LOOKUP!$A:$E,5,0),"")</f>
      </c>
      <c r="J3501" s="29">
        <f>IFERROR(VLOOKUP(F3501,CARTON_LOOKUP!$A:$E,2,0),"")</f>
      </c>
      <c r="K3501" s="29">
        <f>IFERROR(J3501*D3501,0)</f>
      </c>
      <c r="L3501" s="29">
        <f>IFERROR(E3501*C3501,0)</f>
      </c>
      <c r="M3501" s="29">
        <f>IFERROR((G3501*H3501*I3501/1000000)*D3501,0)</f>
      </c>
    </row>
    <row r="3502" spans="1:13" x14ac:dyDescent="0.25">
      <c r="A3502" s="16"/>
      <c r="E3502" s="27"/>
      <c r="F3502" t="s">
        <v>26</v>
      </c>
      <c r="G3502" s="28">
        <f>IFERROR(VLOOKUP(F3502,CARTON_LOOKUP!$A:$E,3,0),"")</f>
      </c>
      <c r="H3502" s="28">
        <f>IFERROR(VLOOKUP(F3502,CARTON_LOOKUP!$A:$E,4,0),"")</f>
      </c>
      <c r="I3502" s="28">
        <f>IFERROR(VLOOKUP(F3502,CARTON_LOOKUP!$A:$E,5,0),"")</f>
      </c>
      <c r="J3502" s="29">
        <f>IFERROR(VLOOKUP(F3502,CARTON_LOOKUP!$A:$E,2,0),"")</f>
      </c>
      <c r="K3502" s="29">
        <f>IFERROR(J3502*D3502,0)</f>
      </c>
      <c r="L3502" s="29">
        <f>IFERROR(E3502*C3502,0)</f>
      </c>
      <c r="M3502" s="29">
        <f>IFERROR((G3502*H3502*I3502/1000000)*D3502,0)</f>
      </c>
    </row>
    <row r="3503" spans="1:13" x14ac:dyDescent="0.25">
      <c r="A3503" s="16"/>
      <c r="E3503" s="27"/>
      <c r="F3503" t="s">
        <v>26</v>
      </c>
      <c r="G3503" s="28">
        <f>IFERROR(VLOOKUP(F3503,CARTON_LOOKUP!$A:$E,3,0),"")</f>
      </c>
      <c r="H3503" s="28">
        <f>IFERROR(VLOOKUP(F3503,CARTON_LOOKUP!$A:$E,4,0),"")</f>
      </c>
      <c r="I3503" s="28">
        <f>IFERROR(VLOOKUP(F3503,CARTON_LOOKUP!$A:$E,5,0),"")</f>
      </c>
      <c r="J3503" s="29">
        <f>IFERROR(VLOOKUP(F3503,CARTON_LOOKUP!$A:$E,2,0),"")</f>
      </c>
      <c r="K3503" s="29">
        <f>IFERROR(J3503*D3503,0)</f>
      </c>
      <c r="L3503" s="29">
        <f>IFERROR(E3503*C3503,0)</f>
      </c>
      <c r="M3503" s="29">
        <f>IFERROR((G3503*H3503*I3503/1000000)*D3503,0)</f>
      </c>
    </row>
    <row r="3504" spans="1:13" x14ac:dyDescent="0.25">
      <c r="A3504" s="16"/>
      <c r="E3504" s="27"/>
      <c r="F3504" t="s">
        <v>26</v>
      </c>
      <c r="G3504" s="28">
        <f>IFERROR(VLOOKUP(F3504,CARTON_LOOKUP!$A:$E,3,0),"")</f>
      </c>
      <c r="H3504" s="28">
        <f>IFERROR(VLOOKUP(F3504,CARTON_LOOKUP!$A:$E,4,0),"")</f>
      </c>
      <c r="I3504" s="28">
        <f>IFERROR(VLOOKUP(F3504,CARTON_LOOKUP!$A:$E,5,0),"")</f>
      </c>
      <c r="J3504" s="29">
        <f>IFERROR(VLOOKUP(F3504,CARTON_LOOKUP!$A:$E,2,0),"")</f>
      </c>
      <c r="K3504" s="29">
        <f>IFERROR(J3504*D3504,0)</f>
      </c>
      <c r="L3504" s="29">
        <f>IFERROR(E3504*C3504,0)</f>
      </c>
      <c r="M3504" s="29">
        <f>IFERROR((G3504*H3504*I3504/1000000)*D3504,0)</f>
      </c>
    </row>
    <row r="3505" spans="1:13" x14ac:dyDescent="0.25">
      <c r="A3505" s="16"/>
      <c r="E3505" s="27"/>
      <c r="F3505" t="s">
        <v>26</v>
      </c>
      <c r="G3505" s="28">
        <f>IFERROR(VLOOKUP(F3505,CARTON_LOOKUP!$A:$E,3,0),"")</f>
      </c>
      <c r="H3505" s="28">
        <f>IFERROR(VLOOKUP(F3505,CARTON_LOOKUP!$A:$E,4,0),"")</f>
      </c>
      <c r="I3505" s="28">
        <f>IFERROR(VLOOKUP(F3505,CARTON_LOOKUP!$A:$E,5,0),"")</f>
      </c>
      <c r="J3505" s="29">
        <f>IFERROR(VLOOKUP(F3505,CARTON_LOOKUP!$A:$E,2,0),"")</f>
      </c>
      <c r="K3505" s="29">
        <f>IFERROR(J3505*D3505,0)</f>
      </c>
      <c r="L3505" s="29">
        <f>IFERROR(E3505*C3505,0)</f>
      </c>
      <c r="M3505" s="29">
        <f>IFERROR((G3505*H3505*I3505/1000000)*D3505,0)</f>
      </c>
    </row>
    <row r="3506" spans="1:13" x14ac:dyDescent="0.25">
      <c r="A3506" s="16"/>
      <c r="E3506" s="27"/>
      <c r="F3506" t="s">
        <v>26</v>
      </c>
      <c r="G3506" s="28">
        <f>IFERROR(VLOOKUP(F3506,CARTON_LOOKUP!$A:$E,3,0),"")</f>
      </c>
      <c r="H3506" s="28">
        <f>IFERROR(VLOOKUP(F3506,CARTON_LOOKUP!$A:$E,4,0),"")</f>
      </c>
      <c r="I3506" s="28">
        <f>IFERROR(VLOOKUP(F3506,CARTON_LOOKUP!$A:$E,5,0),"")</f>
      </c>
      <c r="J3506" s="29">
        <f>IFERROR(VLOOKUP(F3506,CARTON_LOOKUP!$A:$E,2,0),"")</f>
      </c>
      <c r="K3506" s="29">
        <f>IFERROR(J3506*D3506,0)</f>
      </c>
      <c r="L3506" s="29">
        <f>IFERROR(E3506*C3506,0)</f>
      </c>
      <c r="M3506" s="29">
        <f>IFERROR((G3506*H3506*I3506/1000000)*D3506,0)</f>
      </c>
    </row>
    <row r="3507" spans="1:13" x14ac:dyDescent="0.25">
      <c r="A3507" s="16"/>
      <c r="E3507" s="27"/>
      <c r="F3507" t="s">
        <v>26</v>
      </c>
      <c r="G3507" s="28">
        <f>IFERROR(VLOOKUP(F3507,CARTON_LOOKUP!$A:$E,3,0),"")</f>
      </c>
      <c r="H3507" s="28">
        <f>IFERROR(VLOOKUP(F3507,CARTON_LOOKUP!$A:$E,4,0),"")</f>
      </c>
      <c r="I3507" s="28">
        <f>IFERROR(VLOOKUP(F3507,CARTON_LOOKUP!$A:$E,5,0),"")</f>
      </c>
      <c r="J3507" s="29">
        <f>IFERROR(VLOOKUP(F3507,CARTON_LOOKUP!$A:$E,2,0),"")</f>
      </c>
      <c r="K3507" s="29">
        <f>IFERROR(J3507*D3507,0)</f>
      </c>
      <c r="L3507" s="29">
        <f>IFERROR(E3507*C3507,0)</f>
      </c>
      <c r="M3507" s="29">
        <f>IFERROR((G3507*H3507*I3507/1000000)*D3507,0)</f>
      </c>
    </row>
    <row r="3508" spans="1:13" x14ac:dyDescent="0.25">
      <c r="A3508" s="16"/>
      <c r="E3508" s="27"/>
      <c r="F3508" t="s">
        <v>26</v>
      </c>
      <c r="G3508" s="28">
        <f>IFERROR(VLOOKUP(F3508,CARTON_LOOKUP!$A:$E,3,0),"")</f>
      </c>
      <c r="H3508" s="28">
        <f>IFERROR(VLOOKUP(F3508,CARTON_LOOKUP!$A:$E,4,0),"")</f>
      </c>
      <c r="I3508" s="28">
        <f>IFERROR(VLOOKUP(F3508,CARTON_LOOKUP!$A:$E,5,0),"")</f>
      </c>
      <c r="J3508" s="29">
        <f>IFERROR(VLOOKUP(F3508,CARTON_LOOKUP!$A:$E,2,0),"")</f>
      </c>
      <c r="K3508" s="29">
        <f>IFERROR(J3508*D3508,0)</f>
      </c>
      <c r="L3508" s="29">
        <f>IFERROR(E3508*C3508,0)</f>
      </c>
      <c r="M3508" s="29">
        <f>IFERROR((G3508*H3508*I3508/1000000)*D3508,0)</f>
      </c>
    </row>
    <row r="3509" spans="1:13" x14ac:dyDescent="0.25">
      <c r="A3509" s="16"/>
      <c r="E3509" s="27"/>
      <c r="F3509" t="s">
        <v>26</v>
      </c>
      <c r="G3509" s="28">
        <f>IFERROR(VLOOKUP(F3509,CARTON_LOOKUP!$A:$E,3,0),"")</f>
      </c>
      <c r="H3509" s="28">
        <f>IFERROR(VLOOKUP(F3509,CARTON_LOOKUP!$A:$E,4,0),"")</f>
      </c>
      <c r="I3509" s="28">
        <f>IFERROR(VLOOKUP(F3509,CARTON_LOOKUP!$A:$E,5,0),"")</f>
      </c>
      <c r="J3509" s="29">
        <f>IFERROR(VLOOKUP(F3509,CARTON_LOOKUP!$A:$E,2,0),"")</f>
      </c>
      <c r="K3509" s="29">
        <f>IFERROR(J3509*D3509,0)</f>
      </c>
      <c r="L3509" s="29">
        <f>IFERROR(E3509*C3509,0)</f>
      </c>
      <c r="M3509" s="29">
        <f>IFERROR((G3509*H3509*I3509/1000000)*D3509,0)</f>
      </c>
    </row>
    <row r="3510" spans="1:13" x14ac:dyDescent="0.25">
      <c r="A3510" s="16"/>
      <c r="E3510" s="27"/>
      <c r="F3510" t="s">
        <v>26</v>
      </c>
      <c r="G3510" s="28">
        <f>IFERROR(VLOOKUP(F3510,CARTON_LOOKUP!$A:$E,3,0),"")</f>
      </c>
      <c r="H3510" s="28">
        <f>IFERROR(VLOOKUP(F3510,CARTON_LOOKUP!$A:$E,4,0),"")</f>
      </c>
      <c r="I3510" s="28">
        <f>IFERROR(VLOOKUP(F3510,CARTON_LOOKUP!$A:$E,5,0),"")</f>
      </c>
      <c r="J3510" s="29">
        <f>IFERROR(VLOOKUP(F3510,CARTON_LOOKUP!$A:$E,2,0),"")</f>
      </c>
      <c r="K3510" s="29">
        <f>IFERROR(J3510*D3510,0)</f>
      </c>
      <c r="L3510" s="29">
        <f>IFERROR(E3510*C3510,0)</f>
      </c>
      <c r="M3510" s="29">
        <f>IFERROR((G3510*H3510*I3510/1000000)*D3510,0)</f>
      </c>
    </row>
    <row r="3511" spans="1:13" x14ac:dyDescent="0.25">
      <c r="A3511" s="16"/>
      <c r="E3511" s="27"/>
      <c r="F3511" t="s">
        <v>26</v>
      </c>
      <c r="G3511" s="28">
        <f>IFERROR(VLOOKUP(F3511,CARTON_LOOKUP!$A:$E,3,0),"")</f>
      </c>
      <c r="H3511" s="28">
        <f>IFERROR(VLOOKUP(F3511,CARTON_LOOKUP!$A:$E,4,0),"")</f>
      </c>
      <c r="I3511" s="28">
        <f>IFERROR(VLOOKUP(F3511,CARTON_LOOKUP!$A:$E,5,0),"")</f>
      </c>
      <c r="J3511" s="29">
        <f>IFERROR(VLOOKUP(F3511,CARTON_LOOKUP!$A:$E,2,0),"")</f>
      </c>
      <c r="K3511" s="29">
        <f>IFERROR(J3511*D3511,0)</f>
      </c>
      <c r="L3511" s="29">
        <f>IFERROR(E3511*C3511,0)</f>
      </c>
      <c r="M3511" s="29">
        <f>IFERROR((G3511*H3511*I3511/1000000)*D3511,0)</f>
      </c>
    </row>
    <row r="3512" spans="1:13" x14ac:dyDescent="0.25">
      <c r="A3512" s="16"/>
      <c r="E3512" s="27"/>
      <c r="F3512" t="s">
        <v>26</v>
      </c>
      <c r="G3512" s="28">
        <f>IFERROR(VLOOKUP(F3512,CARTON_LOOKUP!$A:$E,3,0),"")</f>
      </c>
      <c r="H3512" s="28">
        <f>IFERROR(VLOOKUP(F3512,CARTON_LOOKUP!$A:$E,4,0),"")</f>
      </c>
      <c r="I3512" s="28">
        <f>IFERROR(VLOOKUP(F3512,CARTON_LOOKUP!$A:$E,5,0),"")</f>
      </c>
      <c r="J3512" s="29">
        <f>IFERROR(VLOOKUP(F3512,CARTON_LOOKUP!$A:$E,2,0),"")</f>
      </c>
      <c r="K3512" s="29">
        <f>IFERROR(J3512*D3512,0)</f>
      </c>
      <c r="L3512" s="29">
        <f>IFERROR(E3512*C3512,0)</f>
      </c>
      <c r="M3512" s="29">
        <f>IFERROR((G3512*H3512*I3512/1000000)*D3512,0)</f>
      </c>
    </row>
    <row r="3513" spans="1:13" x14ac:dyDescent="0.25">
      <c r="A3513" s="16"/>
      <c r="E3513" s="27"/>
      <c r="F3513" t="s">
        <v>26</v>
      </c>
      <c r="G3513" s="28">
        <f>IFERROR(VLOOKUP(F3513,CARTON_LOOKUP!$A:$E,3,0),"")</f>
      </c>
      <c r="H3513" s="28">
        <f>IFERROR(VLOOKUP(F3513,CARTON_LOOKUP!$A:$E,4,0),"")</f>
      </c>
      <c r="I3513" s="28">
        <f>IFERROR(VLOOKUP(F3513,CARTON_LOOKUP!$A:$E,5,0),"")</f>
      </c>
      <c r="J3513" s="29">
        <f>IFERROR(VLOOKUP(F3513,CARTON_LOOKUP!$A:$E,2,0),"")</f>
      </c>
      <c r="K3513" s="29">
        <f>IFERROR(J3513*D3513,0)</f>
      </c>
      <c r="L3513" s="29">
        <f>IFERROR(E3513*C3513,0)</f>
      </c>
      <c r="M3513" s="29">
        <f>IFERROR((G3513*H3513*I3513/1000000)*D3513,0)</f>
      </c>
    </row>
    <row r="3514" spans="1:13" x14ac:dyDescent="0.25">
      <c r="A3514" s="16"/>
      <c r="E3514" s="27"/>
      <c r="F3514" t="s">
        <v>26</v>
      </c>
      <c r="G3514" s="28">
        <f>IFERROR(VLOOKUP(F3514,CARTON_LOOKUP!$A:$E,3,0),"")</f>
      </c>
      <c r="H3514" s="28">
        <f>IFERROR(VLOOKUP(F3514,CARTON_LOOKUP!$A:$E,4,0),"")</f>
      </c>
      <c r="I3514" s="28">
        <f>IFERROR(VLOOKUP(F3514,CARTON_LOOKUP!$A:$E,5,0),"")</f>
      </c>
      <c r="J3514" s="29">
        <f>IFERROR(VLOOKUP(F3514,CARTON_LOOKUP!$A:$E,2,0),"")</f>
      </c>
      <c r="K3514" s="29">
        <f>IFERROR(J3514*D3514,0)</f>
      </c>
      <c r="L3514" s="29">
        <f>IFERROR(E3514*C3514,0)</f>
      </c>
      <c r="M3514" s="29">
        <f>IFERROR((G3514*H3514*I3514/1000000)*D3514,0)</f>
      </c>
    </row>
    <row r="3515" spans="1:13" x14ac:dyDescent="0.25">
      <c r="A3515" s="16"/>
      <c r="E3515" s="27"/>
      <c r="F3515" t="s">
        <v>26</v>
      </c>
      <c r="G3515" s="28">
        <f>IFERROR(VLOOKUP(F3515,CARTON_LOOKUP!$A:$E,3,0),"")</f>
      </c>
      <c r="H3515" s="28">
        <f>IFERROR(VLOOKUP(F3515,CARTON_LOOKUP!$A:$E,4,0),"")</f>
      </c>
      <c r="I3515" s="28">
        <f>IFERROR(VLOOKUP(F3515,CARTON_LOOKUP!$A:$E,5,0),"")</f>
      </c>
      <c r="J3515" s="29">
        <f>IFERROR(VLOOKUP(F3515,CARTON_LOOKUP!$A:$E,2,0),"")</f>
      </c>
      <c r="K3515" s="29">
        <f>IFERROR(J3515*D3515,0)</f>
      </c>
      <c r="L3515" s="29">
        <f>IFERROR(E3515*C3515,0)</f>
      </c>
      <c r="M3515" s="29">
        <f>IFERROR((G3515*H3515*I3515/1000000)*D3515,0)</f>
      </c>
    </row>
    <row r="3516" spans="1:13" x14ac:dyDescent="0.25">
      <c r="A3516" s="16"/>
      <c r="E3516" s="27"/>
      <c r="F3516" t="s">
        <v>26</v>
      </c>
      <c r="G3516" s="28">
        <f>IFERROR(VLOOKUP(F3516,CARTON_LOOKUP!$A:$E,3,0),"")</f>
      </c>
      <c r="H3516" s="28">
        <f>IFERROR(VLOOKUP(F3516,CARTON_LOOKUP!$A:$E,4,0),"")</f>
      </c>
      <c r="I3516" s="28">
        <f>IFERROR(VLOOKUP(F3516,CARTON_LOOKUP!$A:$E,5,0),"")</f>
      </c>
      <c r="J3516" s="29">
        <f>IFERROR(VLOOKUP(F3516,CARTON_LOOKUP!$A:$E,2,0),"")</f>
      </c>
      <c r="K3516" s="29">
        <f>IFERROR(J3516*D3516,0)</f>
      </c>
      <c r="L3516" s="29">
        <f>IFERROR(E3516*C3516,0)</f>
      </c>
      <c r="M3516" s="29">
        <f>IFERROR((G3516*H3516*I3516/1000000)*D3516,0)</f>
      </c>
    </row>
    <row r="3517" spans="1:13" x14ac:dyDescent="0.25">
      <c r="A3517" s="16"/>
      <c r="E3517" s="27"/>
      <c r="F3517" t="s">
        <v>26</v>
      </c>
      <c r="G3517" s="28">
        <f>IFERROR(VLOOKUP(F3517,CARTON_LOOKUP!$A:$E,3,0),"")</f>
      </c>
      <c r="H3517" s="28">
        <f>IFERROR(VLOOKUP(F3517,CARTON_LOOKUP!$A:$E,4,0),"")</f>
      </c>
      <c r="I3517" s="28">
        <f>IFERROR(VLOOKUP(F3517,CARTON_LOOKUP!$A:$E,5,0),"")</f>
      </c>
      <c r="J3517" s="29">
        <f>IFERROR(VLOOKUP(F3517,CARTON_LOOKUP!$A:$E,2,0),"")</f>
      </c>
      <c r="K3517" s="29">
        <f>IFERROR(J3517*D3517,0)</f>
      </c>
      <c r="L3517" s="29">
        <f>IFERROR(E3517*C3517,0)</f>
      </c>
      <c r="M3517" s="29">
        <f>IFERROR((G3517*H3517*I3517/1000000)*D3517,0)</f>
      </c>
    </row>
    <row r="3518" spans="1:13" x14ac:dyDescent="0.25">
      <c r="A3518" s="16"/>
      <c r="E3518" s="27"/>
      <c r="F3518" t="s">
        <v>26</v>
      </c>
      <c r="G3518" s="28">
        <f>IFERROR(VLOOKUP(F3518,CARTON_LOOKUP!$A:$E,3,0),"")</f>
      </c>
      <c r="H3518" s="28">
        <f>IFERROR(VLOOKUP(F3518,CARTON_LOOKUP!$A:$E,4,0),"")</f>
      </c>
      <c r="I3518" s="28">
        <f>IFERROR(VLOOKUP(F3518,CARTON_LOOKUP!$A:$E,5,0),"")</f>
      </c>
      <c r="J3518" s="29">
        <f>IFERROR(VLOOKUP(F3518,CARTON_LOOKUP!$A:$E,2,0),"")</f>
      </c>
      <c r="K3518" s="29">
        <f>IFERROR(J3518*D3518,0)</f>
      </c>
      <c r="L3518" s="29">
        <f>IFERROR(E3518*C3518,0)</f>
      </c>
      <c r="M3518" s="29">
        <f>IFERROR((G3518*H3518*I3518/1000000)*D3518,0)</f>
      </c>
    </row>
    <row r="3519" spans="1:13" x14ac:dyDescent="0.25">
      <c r="A3519" s="16"/>
      <c r="E3519" s="27"/>
      <c r="F3519" t="s">
        <v>26</v>
      </c>
      <c r="G3519" s="28">
        <f>IFERROR(VLOOKUP(F3519,CARTON_LOOKUP!$A:$E,3,0),"")</f>
      </c>
      <c r="H3519" s="28">
        <f>IFERROR(VLOOKUP(F3519,CARTON_LOOKUP!$A:$E,4,0),"")</f>
      </c>
      <c r="I3519" s="28">
        <f>IFERROR(VLOOKUP(F3519,CARTON_LOOKUP!$A:$E,5,0),"")</f>
      </c>
      <c r="J3519" s="29">
        <f>IFERROR(VLOOKUP(F3519,CARTON_LOOKUP!$A:$E,2,0),"")</f>
      </c>
      <c r="K3519" s="29">
        <f>IFERROR(J3519*D3519,0)</f>
      </c>
      <c r="L3519" s="29">
        <f>IFERROR(E3519*C3519,0)</f>
      </c>
      <c r="M3519" s="29">
        <f>IFERROR((G3519*H3519*I3519/1000000)*D3519,0)</f>
      </c>
    </row>
    <row r="3520" spans="1:13" x14ac:dyDescent="0.25">
      <c r="A3520" s="16"/>
      <c r="E3520" s="27"/>
      <c r="F3520" t="s">
        <v>26</v>
      </c>
      <c r="G3520" s="28">
        <f>IFERROR(VLOOKUP(F3520,CARTON_LOOKUP!$A:$E,3,0),"")</f>
      </c>
      <c r="H3520" s="28">
        <f>IFERROR(VLOOKUP(F3520,CARTON_LOOKUP!$A:$E,4,0),"")</f>
      </c>
      <c r="I3520" s="28">
        <f>IFERROR(VLOOKUP(F3520,CARTON_LOOKUP!$A:$E,5,0),"")</f>
      </c>
      <c r="J3520" s="29">
        <f>IFERROR(VLOOKUP(F3520,CARTON_LOOKUP!$A:$E,2,0),"")</f>
      </c>
      <c r="K3520" s="29">
        <f>IFERROR(J3520*D3520,0)</f>
      </c>
      <c r="L3520" s="29">
        <f>IFERROR(E3520*C3520,0)</f>
      </c>
      <c r="M3520" s="29">
        <f>IFERROR((G3520*H3520*I3520/1000000)*D3520,0)</f>
      </c>
    </row>
    <row r="3521" spans="1:13" x14ac:dyDescent="0.25">
      <c r="A3521" s="16"/>
      <c r="E3521" s="27"/>
      <c r="F3521" t="s">
        <v>26</v>
      </c>
      <c r="G3521" s="28">
        <f>IFERROR(VLOOKUP(F3521,CARTON_LOOKUP!$A:$E,3,0),"")</f>
      </c>
      <c r="H3521" s="28">
        <f>IFERROR(VLOOKUP(F3521,CARTON_LOOKUP!$A:$E,4,0),"")</f>
      </c>
      <c r="I3521" s="28">
        <f>IFERROR(VLOOKUP(F3521,CARTON_LOOKUP!$A:$E,5,0),"")</f>
      </c>
      <c r="J3521" s="29">
        <f>IFERROR(VLOOKUP(F3521,CARTON_LOOKUP!$A:$E,2,0),"")</f>
      </c>
      <c r="K3521" s="29">
        <f>IFERROR(J3521*D3521,0)</f>
      </c>
      <c r="L3521" s="29">
        <f>IFERROR(E3521*C3521,0)</f>
      </c>
      <c r="M3521" s="29">
        <f>IFERROR((G3521*H3521*I3521/1000000)*D3521,0)</f>
      </c>
    </row>
    <row r="3522" spans="1:13" x14ac:dyDescent="0.25">
      <c r="A3522" s="16"/>
      <c r="E3522" s="27"/>
      <c r="F3522" t="s">
        <v>26</v>
      </c>
      <c r="G3522" s="28">
        <f>IFERROR(VLOOKUP(F3522,CARTON_LOOKUP!$A:$E,3,0),"")</f>
      </c>
      <c r="H3522" s="28">
        <f>IFERROR(VLOOKUP(F3522,CARTON_LOOKUP!$A:$E,4,0),"")</f>
      </c>
      <c r="I3522" s="28">
        <f>IFERROR(VLOOKUP(F3522,CARTON_LOOKUP!$A:$E,5,0),"")</f>
      </c>
      <c r="J3522" s="29">
        <f>IFERROR(VLOOKUP(F3522,CARTON_LOOKUP!$A:$E,2,0),"")</f>
      </c>
      <c r="K3522" s="29">
        <f>IFERROR(J3522*D3522,0)</f>
      </c>
      <c r="L3522" s="29">
        <f>IFERROR(E3522*C3522,0)</f>
      </c>
      <c r="M3522" s="29">
        <f>IFERROR((G3522*H3522*I3522/1000000)*D3522,0)</f>
      </c>
    </row>
    <row r="3523" spans="1:13" x14ac:dyDescent="0.25">
      <c r="A3523" s="16"/>
      <c r="E3523" s="27"/>
      <c r="F3523" t="s">
        <v>26</v>
      </c>
      <c r="G3523" s="28">
        <f>IFERROR(VLOOKUP(F3523,CARTON_LOOKUP!$A:$E,3,0),"")</f>
      </c>
      <c r="H3523" s="28">
        <f>IFERROR(VLOOKUP(F3523,CARTON_LOOKUP!$A:$E,4,0),"")</f>
      </c>
      <c r="I3523" s="28">
        <f>IFERROR(VLOOKUP(F3523,CARTON_LOOKUP!$A:$E,5,0),"")</f>
      </c>
      <c r="J3523" s="29">
        <f>IFERROR(VLOOKUP(F3523,CARTON_LOOKUP!$A:$E,2,0),"")</f>
      </c>
      <c r="K3523" s="29">
        <f>IFERROR(J3523*D3523,0)</f>
      </c>
      <c r="L3523" s="29">
        <f>IFERROR(E3523*C3523,0)</f>
      </c>
      <c r="M3523" s="29">
        <f>IFERROR((G3523*H3523*I3523/1000000)*D3523,0)</f>
      </c>
    </row>
    <row r="3524" spans="1:13" x14ac:dyDescent="0.25">
      <c r="A3524" s="16"/>
      <c r="E3524" s="27"/>
      <c r="F3524" t="s">
        <v>26</v>
      </c>
      <c r="G3524" s="28">
        <f>IFERROR(VLOOKUP(F3524,CARTON_LOOKUP!$A:$E,3,0),"")</f>
      </c>
      <c r="H3524" s="28">
        <f>IFERROR(VLOOKUP(F3524,CARTON_LOOKUP!$A:$E,4,0),"")</f>
      </c>
      <c r="I3524" s="28">
        <f>IFERROR(VLOOKUP(F3524,CARTON_LOOKUP!$A:$E,5,0),"")</f>
      </c>
      <c r="J3524" s="29">
        <f>IFERROR(VLOOKUP(F3524,CARTON_LOOKUP!$A:$E,2,0),"")</f>
      </c>
      <c r="K3524" s="29">
        <f>IFERROR(J3524*D3524,0)</f>
      </c>
      <c r="L3524" s="29">
        <f>IFERROR(E3524*C3524,0)</f>
      </c>
      <c r="M3524" s="29">
        <f>IFERROR((G3524*H3524*I3524/1000000)*D3524,0)</f>
      </c>
    </row>
    <row r="3525" spans="1:13" x14ac:dyDescent="0.25">
      <c r="A3525" s="16"/>
      <c r="E3525" s="27"/>
      <c r="F3525" t="s">
        <v>26</v>
      </c>
      <c r="G3525" s="28">
        <f>IFERROR(VLOOKUP(F3525,CARTON_LOOKUP!$A:$E,3,0),"")</f>
      </c>
      <c r="H3525" s="28">
        <f>IFERROR(VLOOKUP(F3525,CARTON_LOOKUP!$A:$E,4,0),"")</f>
      </c>
      <c r="I3525" s="28">
        <f>IFERROR(VLOOKUP(F3525,CARTON_LOOKUP!$A:$E,5,0),"")</f>
      </c>
      <c r="J3525" s="29">
        <f>IFERROR(VLOOKUP(F3525,CARTON_LOOKUP!$A:$E,2,0),"")</f>
      </c>
      <c r="K3525" s="29">
        <f>IFERROR(J3525*D3525,0)</f>
      </c>
      <c r="L3525" s="29">
        <f>IFERROR(E3525*C3525,0)</f>
      </c>
      <c r="M3525" s="29">
        <f>IFERROR((G3525*H3525*I3525/1000000)*D3525,0)</f>
      </c>
    </row>
    <row r="3526" spans="1:13" x14ac:dyDescent="0.25">
      <c r="A3526" s="16"/>
      <c r="E3526" s="27"/>
      <c r="F3526" t="s">
        <v>26</v>
      </c>
      <c r="G3526" s="28">
        <f>IFERROR(VLOOKUP(F3526,CARTON_LOOKUP!$A:$E,3,0),"")</f>
      </c>
      <c r="H3526" s="28">
        <f>IFERROR(VLOOKUP(F3526,CARTON_LOOKUP!$A:$E,4,0),"")</f>
      </c>
      <c r="I3526" s="28">
        <f>IFERROR(VLOOKUP(F3526,CARTON_LOOKUP!$A:$E,5,0),"")</f>
      </c>
      <c r="J3526" s="29">
        <f>IFERROR(VLOOKUP(F3526,CARTON_LOOKUP!$A:$E,2,0),"")</f>
      </c>
      <c r="K3526" s="29">
        <f>IFERROR(J3526*D3526,0)</f>
      </c>
      <c r="L3526" s="29">
        <f>IFERROR(E3526*C3526,0)</f>
      </c>
      <c r="M3526" s="29">
        <f>IFERROR((G3526*H3526*I3526/1000000)*D3526,0)</f>
      </c>
    </row>
    <row r="3527" spans="1:13" x14ac:dyDescent="0.25">
      <c r="A3527" s="16"/>
      <c r="E3527" s="27"/>
      <c r="F3527" t="s">
        <v>26</v>
      </c>
      <c r="G3527" s="28">
        <f>IFERROR(VLOOKUP(F3527,CARTON_LOOKUP!$A:$E,3,0),"")</f>
      </c>
      <c r="H3527" s="28">
        <f>IFERROR(VLOOKUP(F3527,CARTON_LOOKUP!$A:$E,4,0),"")</f>
      </c>
      <c r="I3527" s="28">
        <f>IFERROR(VLOOKUP(F3527,CARTON_LOOKUP!$A:$E,5,0),"")</f>
      </c>
      <c r="J3527" s="29">
        <f>IFERROR(VLOOKUP(F3527,CARTON_LOOKUP!$A:$E,2,0),"")</f>
      </c>
      <c r="K3527" s="29">
        <f>IFERROR(J3527*D3527,0)</f>
      </c>
      <c r="L3527" s="29">
        <f>IFERROR(E3527*C3527,0)</f>
      </c>
      <c r="M3527" s="29">
        <f>IFERROR((G3527*H3527*I3527/1000000)*D3527,0)</f>
      </c>
    </row>
    <row r="3528" spans="1:13" x14ac:dyDescent="0.25">
      <c r="A3528" s="16"/>
      <c r="E3528" s="27"/>
      <c r="F3528" t="s">
        <v>26</v>
      </c>
      <c r="G3528" s="28">
        <f>IFERROR(VLOOKUP(F3528,CARTON_LOOKUP!$A:$E,3,0),"")</f>
      </c>
      <c r="H3528" s="28">
        <f>IFERROR(VLOOKUP(F3528,CARTON_LOOKUP!$A:$E,4,0),"")</f>
      </c>
      <c r="I3528" s="28">
        <f>IFERROR(VLOOKUP(F3528,CARTON_LOOKUP!$A:$E,5,0),"")</f>
      </c>
      <c r="J3528" s="29">
        <f>IFERROR(VLOOKUP(F3528,CARTON_LOOKUP!$A:$E,2,0),"")</f>
      </c>
      <c r="K3528" s="29">
        <f>IFERROR(J3528*D3528,0)</f>
      </c>
      <c r="L3528" s="29">
        <f>IFERROR(E3528*C3528,0)</f>
      </c>
      <c r="M3528" s="29">
        <f>IFERROR((G3528*H3528*I3528/1000000)*D3528,0)</f>
      </c>
    </row>
    <row r="3529" spans="1:13" x14ac:dyDescent="0.25">
      <c r="A3529" s="16"/>
      <c r="E3529" s="27"/>
      <c r="F3529" t="s">
        <v>26</v>
      </c>
      <c r="G3529" s="28">
        <f>IFERROR(VLOOKUP(F3529,CARTON_LOOKUP!$A:$E,3,0),"")</f>
      </c>
      <c r="H3529" s="28">
        <f>IFERROR(VLOOKUP(F3529,CARTON_LOOKUP!$A:$E,4,0),"")</f>
      </c>
      <c r="I3529" s="28">
        <f>IFERROR(VLOOKUP(F3529,CARTON_LOOKUP!$A:$E,5,0),"")</f>
      </c>
      <c r="J3529" s="29">
        <f>IFERROR(VLOOKUP(F3529,CARTON_LOOKUP!$A:$E,2,0),"")</f>
      </c>
      <c r="K3529" s="29">
        <f>IFERROR(J3529*D3529,0)</f>
      </c>
      <c r="L3529" s="29">
        <f>IFERROR(E3529*C3529,0)</f>
      </c>
      <c r="M3529" s="29">
        <f>IFERROR((G3529*H3529*I3529/1000000)*D3529,0)</f>
      </c>
    </row>
    <row r="3530" spans="1:13" x14ac:dyDescent="0.25">
      <c r="A3530" s="16"/>
      <c r="E3530" s="27"/>
      <c r="F3530" t="s">
        <v>26</v>
      </c>
      <c r="G3530" s="28">
        <f>IFERROR(VLOOKUP(F3530,CARTON_LOOKUP!$A:$E,3,0),"")</f>
      </c>
      <c r="H3530" s="28">
        <f>IFERROR(VLOOKUP(F3530,CARTON_LOOKUP!$A:$E,4,0),"")</f>
      </c>
      <c r="I3530" s="28">
        <f>IFERROR(VLOOKUP(F3530,CARTON_LOOKUP!$A:$E,5,0),"")</f>
      </c>
      <c r="J3530" s="29">
        <f>IFERROR(VLOOKUP(F3530,CARTON_LOOKUP!$A:$E,2,0),"")</f>
      </c>
      <c r="K3530" s="29">
        <f>IFERROR(J3530*D3530,0)</f>
      </c>
      <c r="L3530" s="29">
        <f>IFERROR(E3530*C3530,0)</f>
      </c>
      <c r="M3530" s="29">
        <f>IFERROR((G3530*H3530*I3530/1000000)*D3530,0)</f>
      </c>
    </row>
    <row r="3531" spans="1:13" x14ac:dyDescent="0.25">
      <c r="A3531" s="16"/>
      <c r="E3531" s="27"/>
      <c r="F3531" t="s">
        <v>26</v>
      </c>
      <c r="G3531" s="28">
        <f>IFERROR(VLOOKUP(F3531,CARTON_LOOKUP!$A:$E,3,0),"")</f>
      </c>
      <c r="H3531" s="28">
        <f>IFERROR(VLOOKUP(F3531,CARTON_LOOKUP!$A:$E,4,0),"")</f>
      </c>
      <c r="I3531" s="28">
        <f>IFERROR(VLOOKUP(F3531,CARTON_LOOKUP!$A:$E,5,0),"")</f>
      </c>
      <c r="J3531" s="29">
        <f>IFERROR(VLOOKUP(F3531,CARTON_LOOKUP!$A:$E,2,0),"")</f>
      </c>
      <c r="K3531" s="29">
        <f>IFERROR(J3531*D3531,0)</f>
      </c>
      <c r="L3531" s="29">
        <f>IFERROR(E3531*C3531,0)</f>
      </c>
      <c r="M3531" s="29">
        <f>IFERROR((G3531*H3531*I3531/1000000)*D3531,0)</f>
      </c>
    </row>
    <row r="3532" spans="1:13" x14ac:dyDescent="0.25">
      <c r="A3532" s="16"/>
      <c r="E3532" s="27"/>
      <c r="F3532" t="s">
        <v>26</v>
      </c>
      <c r="G3532" s="28">
        <f>IFERROR(VLOOKUP(F3532,CARTON_LOOKUP!$A:$E,3,0),"")</f>
      </c>
      <c r="H3532" s="28">
        <f>IFERROR(VLOOKUP(F3532,CARTON_LOOKUP!$A:$E,4,0),"")</f>
      </c>
      <c r="I3532" s="28">
        <f>IFERROR(VLOOKUP(F3532,CARTON_LOOKUP!$A:$E,5,0),"")</f>
      </c>
      <c r="J3532" s="29">
        <f>IFERROR(VLOOKUP(F3532,CARTON_LOOKUP!$A:$E,2,0),"")</f>
      </c>
      <c r="K3532" s="29">
        <f>IFERROR(J3532*D3532,0)</f>
      </c>
      <c r="L3532" s="29">
        <f>IFERROR(E3532*C3532,0)</f>
      </c>
      <c r="M3532" s="29">
        <f>IFERROR((G3532*H3532*I3532/1000000)*D3532,0)</f>
      </c>
    </row>
    <row r="3533" spans="1:13" x14ac:dyDescent="0.25">
      <c r="A3533" s="16"/>
      <c r="E3533" s="27"/>
      <c r="F3533" t="s">
        <v>26</v>
      </c>
      <c r="G3533" s="28">
        <f>IFERROR(VLOOKUP(F3533,CARTON_LOOKUP!$A:$E,3,0),"")</f>
      </c>
      <c r="H3533" s="28">
        <f>IFERROR(VLOOKUP(F3533,CARTON_LOOKUP!$A:$E,4,0),"")</f>
      </c>
      <c r="I3533" s="28">
        <f>IFERROR(VLOOKUP(F3533,CARTON_LOOKUP!$A:$E,5,0),"")</f>
      </c>
      <c r="J3533" s="29">
        <f>IFERROR(VLOOKUP(F3533,CARTON_LOOKUP!$A:$E,2,0),"")</f>
      </c>
      <c r="K3533" s="29">
        <f>IFERROR(J3533*D3533,0)</f>
      </c>
      <c r="L3533" s="29">
        <f>IFERROR(E3533*C3533,0)</f>
      </c>
      <c r="M3533" s="29">
        <f>IFERROR((G3533*H3533*I3533/1000000)*D3533,0)</f>
      </c>
    </row>
    <row r="3534" spans="1:13" x14ac:dyDescent="0.25">
      <c r="A3534" s="16"/>
      <c r="E3534" s="27"/>
      <c r="F3534" t="s">
        <v>26</v>
      </c>
      <c r="G3534" s="28">
        <f>IFERROR(VLOOKUP(F3534,CARTON_LOOKUP!$A:$E,3,0),"")</f>
      </c>
      <c r="H3534" s="28">
        <f>IFERROR(VLOOKUP(F3534,CARTON_LOOKUP!$A:$E,4,0),"")</f>
      </c>
      <c r="I3534" s="28">
        <f>IFERROR(VLOOKUP(F3534,CARTON_LOOKUP!$A:$E,5,0),"")</f>
      </c>
      <c r="J3534" s="29">
        <f>IFERROR(VLOOKUP(F3534,CARTON_LOOKUP!$A:$E,2,0),"")</f>
      </c>
      <c r="K3534" s="29">
        <f>IFERROR(J3534*D3534,0)</f>
      </c>
      <c r="L3534" s="29">
        <f>IFERROR(E3534*C3534,0)</f>
      </c>
      <c r="M3534" s="29">
        <f>IFERROR((G3534*H3534*I3534/1000000)*D3534,0)</f>
      </c>
    </row>
    <row r="3535" spans="1:13" x14ac:dyDescent="0.25">
      <c r="A3535" s="16"/>
      <c r="E3535" s="27"/>
      <c r="F3535" t="s">
        <v>26</v>
      </c>
      <c r="G3535" s="28">
        <f>IFERROR(VLOOKUP(F3535,CARTON_LOOKUP!$A:$E,3,0),"")</f>
      </c>
      <c r="H3535" s="28">
        <f>IFERROR(VLOOKUP(F3535,CARTON_LOOKUP!$A:$E,4,0),"")</f>
      </c>
      <c r="I3535" s="28">
        <f>IFERROR(VLOOKUP(F3535,CARTON_LOOKUP!$A:$E,5,0),"")</f>
      </c>
      <c r="J3535" s="29">
        <f>IFERROR(VLOOKUP(F3535,CARTON_LOOKUP!$A:$E,2,0),"")</f>
      </c>
      <c r="K3535" s="29">
        <f>IFERROR(J3535*D3535,0)</f>
      </c>
      <c r="L3535" s="29">
        <f>IFERROR(E3535*C3535,0)</f>
      </c>
      <c r="M3535" s="29">
        <f>IFERROR((G3535*H3535*I3535/1000000)*D3535,0)</f>
      </c>
    </row>
    <row r="3536" spans="1:13" x14ac:dyDescent="0.25">
      <c r="A3536" s="16"/>
      <c r="E3536" s="27"/>
      <c r="F3536" t="s">
        <v>26</v>
      </c>
      <c r="G3536" s="28">
        <f>IFERROR(VLOOKUP(F3536,CARTON_LOOKUP!$A:$E,3,0),"")</f>
      </c>
      <c r="H3536" s="28">
        <f>IFERROR(VLOOKUP(F3536,CARTON_LOOKUP!$A:$E,4,0),"")</f>
      </c>
      <c r="I3536" s="28">
        <f>IFERROR(VLOOKUP(F3536,CARTON_LOOKUP!$A:$E,5,0),"")</f>
      </c>
      <c r="J3536" s="29">
        <f>IFERROR(VLOOKUP(F3536,CARTON_LOOKUP!$A:$E,2,0),"")</f>
      </c>
      <c r="K3536" s="29">
        <f>IFERROR(J3536*D3536,0)</f>
      </c>
      <c r="L3536" s="29">
        <f>IFERROR(E3536*C3536,0)</f>
      </c>
      <c r="M3536" s="29">
        <f>IFERROR((G3536*H3536*I3536/1000000)*D3536,0)</f>
      </c>
    </row>
    <row r="3537" spans="1:13" x14ac:dyDescent="0.25">
      <c r="A3537" s="16"/>
      <c r="E3537" s="27"/>
      <c r="F3537" t="s">
        <v>26</v>
      </c>
      <c r="G3537" s="28">
        <f>IFERROR(VLOOKUP(F3537,CARTON_LOOKUP!$A:$E,3,0),"")</f>
      </c>
      <c r="H3537" s="28">
        <f>IFERROR(VLOOKUP(F3537,CARTON_LOOKUP!$A:$E,4,0),"")</f>
      </c>
      <c r="I3537" s="28">
        <f>IFERROR(VLOOKUP(F3537,CARTON_LOOKUP!$A:$E,5,0),"")</f>
      </c>
      <c r="J3537" s="29">
        <f>IFERROR(VLOOKUP(F3537,CARTON_LOOKUP!$A:$E,2,0),"")</f>
      </c>
      <c r="K3537" s="29">
        <f>IFERROR(J3537*D3537,0)</f>
      </c>
      <c r="L3537" s="29">
        <f>IFERROR(E3537*C3537,0)</f>
      </c>
      <c r="M3537" s="29">
        <f>IFERROR((G3537*H3537*I3537/1000000)*D3537,0)</f>
      </c>
    </row>
    <row r="3538" spans="1:13" x14ac:dyDescent="0.25">
      <c r="A3538" s="16"/>
      <c r="E3538" s="27"/>
      <c r="F3538" t="s">
        <v>26</v>
      </c>
      <c r="G3538" s="28">
        <f>IFERROR(VLOOKUP(F3538,CARTON_LOOKUP!$A:$E,3,0),"")</f>
      </c>
      <c r="H3538" s="28">
        <f>IFERROR(VLOOKUP(F3538,CARTON_LOOKUP!$A:$E,4,0),"")</f>
      </c>
      <c r="I3538" s="28">
        <f>IFERROR(VLOOKUP(F3538,CARTON_LOOKUP!$A:$E,5,0),"")</f>
      </c>
      <c r="J3538" s="29">
        <f>IFERROR(VLOOKUP(F3538,CARTON_LOOKUP!$A:$E,2,0),"")</f>
      </c>
      <c r="K3538" s="29">
        <f>IFERROR(J3538*D3538,0)</f>
      </c>
      <c r="L3538" s="29">
        <f>IFERROR(E3538*C3538,0)</f>
      </c>
      <c r="M3538" s="29">
        <f>IFERROR((G3538*H3538*I3538/1000000)*D3538,0)</f>
      </c>
    </row>
    <row r="3539" spans="1:13" x14ac:dyDescent="0.25">
      <c r="A3539" s="16"/>
      <c r="E3539" s="27"/>
      <c r="F3539" t="s">
        <v>26</v>
      </c>
      <c r="G3539" s="28">
        <f>IFERROR(VLOOKUP(F3539,CARTON_LOOKUP!$A:$E,3,0),"")</f>
      </c>
      <c r="H3539" s="28">
        <f>IFERROR(VLOOKUP(F3539,CARTON_LOOKUP!$A:$E,4,0),"")</f>
      </c>
      <c r="I3539" s="28">
        <f>IFERROR(VLOOKUP(F3539,CARTON_LOOKUP!$A:$E,5,0),"")</f>
      </c>
      <c r="J3539" s="29">
        <f>IFERROR(VLOOKUP(F3539,CARTON_LOOKUP!$A:$E,2,0),"")</f>
      </c>
      <c r="K3539" s="29">
        <f>IFERROR(J3539*D3539,0)</f>
      </c>
      <c r="L3539" s="29">
        <f>IFERROR(E3539*C3539,0)</f>
      </c>
      <c r="M3539" s="29">
        <f>IFERROR((G3539*H3539*I3539/1000000)*D3539,0)</f>
      </c>
    </row>
    <row r="3540" spans="1:13" x14ac:dyDescent="0.25">
      <c r="A3540" s="16"/>
      <c r="E3540" s="27"/>
      <c r="F3540" t="s">
        <v>26</v>
      </c>
      <c r="G3540" s="28">
        <f>IFERROR(VLOOKUP(F3540,CARTON_LOOKUP!$A:$E,3,0),"")</f>
      </c>
      <c r="H3540" s="28">
        <f>IFERROR(VLOOKUP(F3540,CARTON_LOOKUP!$A:$E,4,0),"")</f>
      </c>
      <c r="I3540" s="28">
        <f>IFERROR(VLOOKUP(F3540,CARTON_LOOKUP!$A:$E,5,0),"")</f>
      </c>
      <c r="J3540" s="29">
        <f>IFERROR(VLOOKUP(F3540,CARTON_LOOKUP!$A:$E,2,0),"")</f>
      </c>
      <c r="K3540" s="29">
        <f>IFERROR(J3540*D3540,0)</f>
      </c>
      <c r="L3540" s="29">
        <f>IFERROR(E3540*C3540,0)</f>
      </c>
      <c r="M3540" s="29">
        <f>IFERROR((G3540*H3540*I3540/1000000)*D3540,0)</f>
      </c>
    </row>
    <row r="3541" spans="1:13" x14ac:dyDescent="0.25">
      <c r="A3541" s="16"/>
      <c r="E3541" s="27"/>
      <c r="F3541" t="s">
        <v>26</v>
      </c>
      <c r="G3541" s="28">
        <f>IFERROR(VLOOKUP(F3541,CARTON_LOOKUP!$A:$E,3,0),"")</f>
      </c>
      <c r="H3541" s="28">
        <f>IFERROR(VLOOKUP(F3541,CARTON_LOOKUP!$A:$E,4,0),"")</f>
      </c>
      <c r="I3541" s="28">
        <f>IFERROR(VLOOKUP(F3541,CARTON_LOOKUP!$A:$E,5,0),"")</f>
      </c>
      <c r="J3541" s="29">
        <f>IFERROR(VLOOKUP(F3541,CARTON_LOOKUP!$A:$E,2,0),"")</f>
      </c>
      <c r="K3541" s="29">
        <f>IFERROR(J3541*D3541,0)</f>
      </c>
      <c r="L3541" s="29">
        <f>IFERROR(E3541*C3541,0)</f>
      </c>
      <c r="M3541" s="29">
        <f>IFERROR((G3541*H3541*I3541/1000000)*D3541,0)</f>
      </c>
    </row>
    <row r="3542" spans="1:13" x14ac:dyDescent="0.25">
      <c r="A3542" s="16"/>
      <c r="E3542" s="27"/>
      <c r="F3542" t="s">
        <v>26</v>
      </c>
      <c r="G3542" s="28">
        <f>IFERROR(VLOOKUP(F3542,CARTON_LOOKUP!$A:$E,3,0),"")</f>
      </c>
      <c r="H3542" s="28">
        <f>IFERROR(VLOOKUP(F3542,CARTON_LOOKUP!$A:$E,4,0),"")</f>
      </c>
      <c r="I3542" s="28">
        <f>IFERROR(VLOOKUP(F3542,CARTON_LOOKUP!$A:$E,5,0),"")</f>
      </c>
      <c r="J3542" s="29">
        <f>IFERROR(VLOOKUP(F3542,CARTON_LOOKUP!$A:$E,2,0),"")</f>
      </c>
      <c r="K3542" s="29">
        <f>IFERROR(J3542*D3542,0)</f>
      </c>
      <c r="L3542" s="29">
        <f>IFERROR(E3542*C3542,0)</f>
      </c>
      <c r="M3542" s="29">
        <f>IFERROR((G3542*H3542*I3542/1000000)*D3542,0)</f>
      </c>
    </row>
    <row r="3543" spans="1:13" x14ac:dyDescent="0.25">
      <c r="A3543" s="16"/>
      <c r="E3543" s="27"/>
      <c r="F3543" t="s">
        <v>26</v>
      </c>
      <c r="G3543" s="28">
        <f>IFERROR(VLOOKUP(F3543,CARTON_LOOKUP!$A:$E,3,0),"")</f>
      </c>
      <c r="H3543" s="28">
        <f>IFERROR(VLOOKUP(F3543,CARTON_LOOKUP!$A:$E,4,0),"")</f>
      </c>
      <c r="I3543" s="28">
        <f>IFERROR(VLOOKUP(F3543,CARTON_LOOKUP!$A:$E,5,0),"")</f>
      </c>
      <c r="J3543" s="29">
        <f>IFERROR(VLOOKUP(F3543,CARTON_LOOKUP!$A:$E,2,0),"")</f>
      </c>
      <c r="K3543" s="29">
        <f>IFERROR(J3543*D3543,0)</f>
      </c>
      <c r="L3543" s="29">
        <f>IFERROR(E3543*C3543,0)</f>
      </c>
      <c r="M3543" s="29">
        <f>IFERROR((G3543*H3543*I3543/1000000)*D3543,0)</f>
      </c>
    </row>
    <row r="3544" spans="1:13" x14ac:dyDescent="0.25">
      <c r="A3544" s="16"/>
      <c r="E3544" s="27"/>
      <c r="F3544" t="s">
        <v>26</v>
      </c>
      <c r="G3544" s="28">
        <f>IFERROR(VLOOKUP(F3544,CARTON_LOOKUP!$A:$E,3,0),"")</f>
      </c>
      <c r="H3544" s="28">
        <f>IFERROR(VLOOKUP(F3544,CARTON_LOOKUP!$A:$E,4,0),"")</f>
      </c>
      <c r="I3544" s="28">
        <f>IFERROR(VLOOKUP(F3544,CARTON_LOOKUP!$A:$E,5,0),"")</f>
      </c>
      <c r="J3544" s="29">
        <f>IFERROR(VLOOKUP(F3544,CARTON_LOOKUP!$A:$E,2,0),"")</f>
      </c>
      <c r="K3544" s="29">
        <f>IFERROR(J3544*D3544,0)</f>
      </c>
      <c r="L3544" s="29">
        <f>IFERROR(E3544*C3544,0)</f>
      </c>
      <c r="M3544" s="29">
        <f>IFERROR((G3544*H3544*I3544/1000000)*D3544,0)</f>
      </c>
    </row>
    <row r="3545" spans="1:13" x14ac:dyDescent="0.25">
      <c r="A3545" s="16"/>
      <c r="E3545" s="27"/>
      <c r="F3545" t="s">
        <v>26</v>
      </c>
      <c r="G3545" s="28">
        <f>IFERROR(VLOOKUP(F3545,CARTON_LOOKUP!$A:$E,3,0),"")</f>
      </c>
      <c r="H3545" s="28">
        <f>IFERROR(VLOOKUP(F3545,CARTON_LOOKUP!$A:$E,4,0),"")</f>
      </c>
      <c r="I3545" s="28">
        <f>IFERROR(VLOOKUP(F3545,CARTON_LOOKUP!$A:$E,5,0),"")</f>
      </c>
      <c r="J3545" s="29">
        <f>IFERROR(VLOOKUP(F3545,CARTON_LOOKUP!$A:$E,2,0),"")</f>
      </c>
      <c r="K3545" s="29">
        <f>IFERROR(J3545*D3545,0)</f>
      </c>
      <c r="L3545" s="29">
        <f>IFERROR(E3545*C3545,0)</f>
      </c>
      <c r="M3545" s="29">
        <f>IFERROR((G3545*H3545*I3545/1000000)*D3545,0)</f>
      </c>
    </row>
    <row r="3546" spans="1:13" x14ac:dyDescent="0.25">
      <c r="A3546" s="16"/>
      <c r="E3546" s="27"/>
      <c r="F3546" t="s">
        <v>26</v>
      </c>
      <c r="G3546" s="28">
        <f>IFERROR(VLOOKUP(F3546,CARTON_LOOKUP!$A:$E,3,0),"")</f>
      </c>
      <c r="H3546" s="28">
        <f>IFERROR(VLOOKUP(F3546,CARTON_LOOKUP!$A:$E,4,0),"")</f>
      </c>
      <c r="I3546" s="28">
        <f>IFERROR(VLOOKUP(F3546,CARTON_LOOKUP!$A:$E,5,0),"")</f>
      </c>
      <c r="J3546" s="29">
        <f>IFERROR(VLOOKUP(F3546,CARTON_LOOKUP!$A:$E,2,0),"")</f>
      </c>
      <c r="K3546" s="29">
        <f>IFERROR(J3546*D3546,0)</f>
      </c>
      <c r="L3546" s="29">
        <f>IFERROR(E3546*C3546,0)</f>
      </c>
      <c r="M3546" s="29">
        <f>IFERROR((G3546*H3546*I3546/1000000)*D3546,0)</f>
      </c>
    </row>
    <row r="3547" spans="1:13" x14ac:dyDescent="0.25">
      <c r="A3547" s="16"/>
      <c r="E3547" s="27"/>
      <c r="F3547" t="s">
        <v>26</v>
      </c>
      <c r="G3547" s="28">
        <f>IFERROR(VLOOKUP(F3547,CARTON_LOOKUP!$A:$E,3,0),"")</f>
      </c>
      <c r="H3547" s="28">
        <f>IFERROR(VLOOKUP(F3547,CARTON_LOOKUP!$A:$E,4,0),"")</f>
      </c>
      <c r="I3547" s="28">
        <f>IFERROR(VLOOKUP(F3547,CARTON_LOOKUP!$A:$E,5,0),"")</f>
      </c>
      <c r="J3547" s="29">
        <f>IFERROR(VLOOKUP(F3547,CARTON_LOOKUP!$A:$E,2,0),"")</f>
      </c>
      <c r="K3547" s="29">
        <f>IFERROR(J3547*D3547,0)</f>
      </c>
      <c r="L3547" s="29">
        <f>IFERROR(E3547*C3547,0)</f>
      </c>
      <c r="M3547" s="29">
        <f>IFERROR((G3547*H3547*I3547/1000000)*D3547,0)</f>
      </c>
    </row>
    <row r="3548" spans="1:13" x14ac:dyDescent="0.25">
      <c r="A3548" s="16"/>
      <c r="E3548" s="27"/>
      <c r="F3548" t="s">
        <v>26</v>
      </c>
      <c r="G3548" s="28">
        <f>IFERROR(VLOOKUP(F3548,CARTON_LOOKUP!$A:$E,3,0),"")</f>
      </c>
      <c r="H3548" s="28">
        <f>IFERROR(VLOOKUP(F3548,CARTON_LOOKUP!$A:$E,4,0),"")</f>
      </c>
      <c r="I3548" s="28">
        <f>IFERROR(VLOOKUP(F3548,CARTON_LOOKUP!$A:$E,5,0),"")</f>
      </c>
      <c r="J3548" s="29">
        <f>IFERROR(VLOOKUP(F3548,CARTON_LOOKUP!$A:$E,2,0),"")</f>
      </c>
      <c r="K3548" s="29">
        <f>IFERROR(J3548*D3548,0)</f>
      </c>
      <c r="L3548" s="29">
        <f>IFERROR(E3548*C3548,0)</f>
      </c>
      <c r="M3548" s="29">
        <f>IFERROR((G3548*H3548*I3548/1000000)*D3548,0)</f>
      </c>
    </row>
    <row r="3549" spans="1:13" x14ac:dyDescent="0.25">
      <c r="A3549" s="16"/>
      <c r="E3549" s="27"/>
      <c r="F3549" t="s">
        <v>26</v>
      </c>
      <c r="G3549" s="28">
        <f>IFERROR(VLOOKUP(F3549,CARTON_LOOKUP!$A:$E,3,0),"")</f>
      </c>
      <c r="H3549" s="28">
        <f>IFERROR(VLOOKUP(F3549,CARTON_LOOKUP!$A:$E,4,0),"")</f>
      </c>
      <c r="I3549" s="28">
        <f>IFERROR(VLOOKUP(F3549,CARTON_LOOKUP!$A:$E,5,0),"")</f>
      </c>
      <c r="J3549" s="29">
        <f>IFERROR(VLOOKUP(F3549,CARTON_LOOKUP!$A:$E,2,0),"")</f>
      </c>
      <c r="K3549" s="29">
        <f>IFERROR(J3549*D3549,0)</f>
      </c>
      <c r="L3549" s="29">
        <f>IFERROR(E3549*C3549,0)</f>
      </c>
      <c r="M3549" s="29">
        <f>IFERROR((G3549*H3549*I3549/1000000)*D3549,0)</f>
      </c>
    </row>
    <row r="3550" spans="1:13" x14ac:dyDescent="0.25">
      <c r="A3550" s="16"/>
      <c r="E3550" s="27"/>
      <c r="F3550" t="s">
        <v>26</v>
      </c>
      <c r="G3550" s="28">
        <f>IFERROR(VLOOKUP(F3550,CARTON_LOOKUP!$A:$E,3,0),"")</f>
      </c>
      <c r="H3550" s="28">
        <f>IFERROR(VLOOKUP(F3550,CARTON_LOOKUP!$A:$E,4,0),"")</f>
      </c>
      <c r="I3550" s="28">
        <f>IFERROR(VLOOKUP(F3550,CARTON_LOOKUP!$A:$E,5,0),"")</f>
      </c>
      <c r="J3550" s="29">
        <f>IFERROR(VLOOKUP(F3550,CARTON_LOOKUP!$A:$E,2,0),"")</f>
      </c>
      <c r="K3550" s="29">
        <f>IFERROR(J3550*D3550,0)</f>
      </c>
      <c r="L3550" s="29">
        <f>IFERROR(E3550*C3550,0)</f>
      </c>
      <c r="M3550" s="29">
        <f>IFERROR((G3550*H3550*I3550/1000000)*D3550,0)</f>
      </c>
    </row>
    <row r="3551" spans="1:13" x14ac:dyDescent="0.25">
      <c r="A3551" s="16"/>
      <c r="E3551" s="27"/>
      <c r="F3551" t="s">
        <v>26</v>
      </c>
      <c r="G3551" s="28">
        <f>IFERROR(VLOOKUP(F3551,CARTON_LOOKUP!$A:$E,3,0),"")</f>
      </c>
      <c r="H3551" s="28">
        <f>IFERROR(VLOOKUP(F3551,CARTON_LOOKUP!$A:$E,4,0),"")</f>
      </c>
      <c r="I3551" s="28">
        <f>IFERROR(VLOOKUP(F3551,CARTON_LOOKUP!$A:$E,5,0),"")</f>
      </c>
      <c r="J3551" s="29">
        <f>IFERROR(VLOOKUP(F3551,CARTON_LOOKUP!$A:$E,2,0),"")</f>
      </c>
      <c r="K3551" s="29">
        <f>IFERROR(J3551*D3551,0)</f>
      </c>
      <c r="L3551" s="29">
        <f>IFERROR(E3551*C3551,0)</f>
      </c>
      <c r="M3551" s="29">
        <f>IFERROR((G3551*H3551*I3551/1000000)*D3551,0)</f>
      </c>
    </row>
    <row r="3552" spans="1:13" x14ac:dyDescent="0.25">
      <c r="A3552" s="16"/>
      <c r="E3552" s="27"/>
      <c r="F3552" t="s">
        <v>26</v>
      </c>
      <c r="G3552" s="28">
        <f>IFERROR(VLOOKUP(F3552,CARTON_LOOKUP!$A:$E,3,0),"")</f>
      </c>
      <c r="H3552" s="28">
        <f>IFERROR(VLOOKUP(F3552,CARTON_LOOKUP!$A:$E,4,0),"")</f>
      </c>
      <c r="I3552" s="28">
        <f>IFERROR(VLOOKUP(F3552,CARTON_LOOKUP!$A:$E,5,0),"")</f>
      </c>
      <c r="J3552" s="29">
        <f>IFERROR(VLOOKUP(F3552,CARTON_LOOKUP!$A:$E,2,0),"")</f>
      </c>
      <c r="K3552" s="29">
        <f>IFERROR(J3552*D3552,0)</f>
      </c>
      <c r="L3552" s="29">
        <f>IFERROR(E3552*C3552,0)</f>
      </c>
      <c r="M3552" s="29">
        <f>IFERROR((G3552*H3552*I3552/1000000)*D3552,0)</f>
      </c>
    </row>
    <row r="3553" spans="1:13" x14ac:dyDescent="0.25">
      <c r="A3553" s="16"/>
      <c r="E3553" s="27"/>
      <c r="F3553" t="s">
        <v>26</v>
      </c>
      <c r="G3553" s="28">
        <f>IFERROR(VLOOKUP(F3553,CARTON_LOOKUP!$A:$E,3,0),"")</f>
      </c>
      <c r="H3553" s="28">
        <f>IFERROR(VLOOKUP(F3553,CARTON_LOOKUP!$A:$E,4,0),"")</f>
      </c>
      <c r="I3553" s="28">
        <f>IFERROR(VLOOKUP(F3553,CARTON_LOOKUP!$A:$E,5,0),"")</f>
      </c>
      <c r="J3553" s="29">
        <f>IFERROR(VLOOKUP(F3553,CARTON_LOOKUP!$A:$E,2,0),"")</f>
      </c>
      <c r="K3553" s="29">
        <f>IFERROR(J3553*D3553,0)</f>
      </c>
      <c r="L3553" s="29">
        <f>IFERROR(E3553*C3553,0)</f>
      </c>
      <c r="M3553" s="29">
        <f>IFERROR((G3553*H3553*I3553/1000000)*D3553,0)</f>
      </c>
    </row>
    <row r="3554" spans="1:13" x14ac:dyDescent="0.25">
      <c r="A3554" s="16"/>
      <c r="E3554" s="27"/>
      <c r="F3554" t="s">
        <v>26</v>
      </c>
      <c r="G3554" s="28">
        <f>IFERROR(VLOOKUP(F3554,CARTON_LOOKUP!$A:$E,3,0),"")</f>
      </c>
      <c r="H3554" s="28">
        <f>IFERROR(VLOOKUP(F3554,CARTON_LOOKUP!$A:$E,4,0),"")</f>
      </c>
      <c r="I3554" s="28">
        <f>IFERROR(VLOOKUP(F3554,CARTON_LOOKUP!$A:$E,5,0),"")</f>
      </c>
      <c r="J3554" s="29">
        <f>IFERROR(VLOOKUP(F3554,CARTON_LOOKUP!$A:$E,2,0),"")</f>
      </c>
      <c r="K3554" s="29">
        <f>IFERROR(J3554*D3554,0)</f>
      </c>
      <c r="L3554" s="29">
        <f>IFERROR(E3554*C3554,0)</f>
      </c>
      <c r="M3554" s="29">
        <f>IFERROR((G3554*H3554*I3554/1000000)*D3554,0)</f>
      </c>
    </row>
    <row r="3555" spans="1:13" x14ac:dyDescent="0.25">
      <c r="A3555" s="16"/>
      <c r="E3555" s="27"/>
      <c r="F3555" t="s">
        <v>26</v>
      </c>
      <c r="G3555" s="28">
        <f>IFERROR(VLOOKUP(F3555,CARTON_LOOKUP!$A:$E,3,0),"")</f>
      </c>
      <c r="H3555" s="28">
        <f>IFERROR(VLOOKUP(F3555,CARTON_LOOKUP!$A:$E,4,0),"")</f>
      </c>
      <c r="I3555" s="28">
        <f>IFERROR(VLOOKUP(F3555,CARTON_LOOKUP!$A:$E,5,0),"")</f>
      </c>
      <c r="J3555" s="29">
        <f>IFERROR(VLOOKUP(F3555,CARTON_LOOKUP!$A:$E,2,0),"")</f>
      </c>
      <c r="K3555" s="29">
        <f>IFERROR(J3555*D3555,0)</f>
      </c>
      <c r="L3555" s="29">
        <f>IFERROR(E3555*C3555,0)</f>
      </c>
      <c r="M3555" s="29">
        <f>IFERROR((G3555*H3555*I3555/1000000)*D3555,0)</f>
      </c>
    </row>
    <row r="3556" spans="1:13" x14ac:dyDescent="0.25">
      <c r="A3556" s="16"/>
      <c r="E3556" s="27"/>
      <c r="F3556" t="s">
        <v>26</v>
      </c>
      <c r="G3556" s="28">
        <f>IFERROR(VLOOKUP(F3556,CARTON_LOOKUP!$A:$E,3,0),"")</f>
      </c>
      <c r="H3556" s="28">
        <f>IFERROR(VLOOKUP(F3556,CARTON_LOOKUP!$A:$E,4,0),"")</f>
      </c>
      <c r="I3556" s="28">
        <f>IFERROR(VLOOKUP(F3556,CARTON_LOOKUP!$A:$E,5,0),"")</f>
      </c>
      <c r="J3556" s="29">
        <f>IFERROR(VLOOKUP(F3556,CARTON_LOOKUP!$A:$E,2,0),"")</f>
      </c>
      <c r="K3556" s="29">
        <f>IFERROR(J3556*D3556,0)</f>
      </c>
      <c r="L3556" s="29">
        <f>IFERROR(E3556*C3556,0)</f>
      </c>
      <c r="M3556" s="29">
        <f>IFERROR((G3556*H3556*I3556/1000000)*D3556,0)</f>
      </c>
    </row>
    <row r="3557" spans="1:13" x14ac:dyDescent="0.25">
      <c r="A3557" s="16"/>
      <c r="E3557" s="27"/>
      <c r="F3557" t="s">
        <v>26</v>
      </c>
      <c r="G3557" s="28">
        <f>IFERROR(VLOOKUP(F3557,CARTON_LOOKUP!$A:$E,3,0),"")</f>
      </c>
      <c r="H3557" s="28">
        <f>IFERROR(VLOOKUP(F3557,CARTON_LOOKUP!$A:$E,4,0),"")</f>
      </c>
      <c r="I3557" s="28">
        <f>IFERROR(VLOOKUP(F3557,CARTON_LOOKUP!$A:$E,5,0),"")</f>
      </c>
      <c r="J3557" s="29">
        <f>IFERROR(VLOOKUP(F3557,CARTON_LOOKUP!$A:$E,2,0),"")</f>
      </c>
      <c r="K3557" s="29">
        <f>IFERROR(J3557*D3557,0)</f>
      </c>
      <c r="L3557" s="29">
        <f>IFERROR(E3557*C3557,0)</f>
      </c>
      <c r="M3557" s="29">
        <f>IFERROR((G3557*H3557*I3557/1000000)*D3557,0)</f>
      </c>
    </row>
    <row r="3558" spans="1:13" x14ac:dyDescent="0.25">
      <c r="A3558" s="16"/>
      <c r="E3558" s="27"/>
      <c r="F3558" t="s">
        <v>26</v>
      </c>
      <c r="G3558" s="28">
        <f>IFERROR(VLOOKUP(F3558,CARTON_LOOKUP!$A:$E,3,0),"")</f>
      </c>
      <c r="H3558" s="28">
        <f>IFERROR(VLOOKUP(F3558,CARTON_LOOKUP!$A:$E,4,0),"")</f>
      </c>
      <c r="I3558" s="28">
        <f>IFERROR(VLOOKUP(F3558,CARTON_LOOKUP!$A:$E,5,0),"")</f>
      </c>
      <c r="J3558" s="29">
        <f>IFERROR(VLOOKUP(F3558,CARTON_LOOKUP!$A:$E,2,0),"")</f>
      </c>
      <c r="K3558" s="29">
        <f>IFERROR(J3558*D3558,0)</f>
      </c>
      <c r="L3558" s="29">
        <f>IFERROR(E3558*C3558,0)</f>
      </c>
      <c r="M3558" s="29">
        <f>IFERROR((G3558*H3558*I3558/1000000)*D3558,0)</f>
      </c>
    </row>
    <row r="3559" spans="1:13" x14ac:dyDescent="0.25">
      <c r="A3559" s="16"/>
      <c r="E3559" s="27"/>
      <c r="F3559" t="s">
        <v>26</v>
      </c>
      <c r="G3559" s="28">
        <f>IFERROR(VLOOKUP(F3559,CARTON_LOOKUP!$A:$E,3,0),"")</f>
      </c>
      <c r="H3559" s="28">
        <f>IFERROR(VLOOKUP(F3559,CARTON_LOOKUP!$A:$E,4,0),"")</f>
      </c>
      <c r="I3559" s="28">
        <f>IFERROR(VLOOKUP(F3559,CARTON_LOOKUP!$A:$E,5,0),"")</f>
      </c>
      <c r="J3559" s="29">
        <f>IFERROR(VLOOKUP(F3559,CARTON_LOOKUP!$A:$E,2,0),"")</f>
      </c>
      <c r="K3559" s="29">
        <f>IFERROR(J3559*D3559,0)</f>
      </c>
      <c r="L3559" s="29">
        <f>IFERROR(E3559*C3559,0)</f>
      </c>
      <c r="M3559" s="29">
        <f>IFERROR((G3559*H3559*I3559/1000000)*D3559,0)</f>
      </c>
    </row>
    <row r="3560" spans="1:13" x14ac:dyDescent="0.25">
      <c r="A3560" s="16"/>
      <c r="E3560" s="27"/>
      <c r="F3560" t="s">
        <v>26</v>
      </c>
      <c r="G3560" s="28">
        <f>IFERROR(VLOOKUP(F3560,CARTON_LOOKUP!$A:$E,3,0),"")</f>
      </c>
      <c r="H3560" s="28">
        <f>IFERROR(VLOOKUP(F3560,CARTON_LOOKUP!$A:$E,4,0),"")</f>
      </c>
      <c r="I3560" s="28">
        <f>IFERROR(VLOOKUP(F3560,CARTON_LOOKUP!$A:$E,5,0),"")</f>
      </c>
      <c r="J3560" s="29">
        <f>IFERROR(VLOOKUP(F3560,CARTON_LOOKUP!$A:$E,2,0),"")</f>
      </c>
      <c r="K3560" s="29">
        <f>IFERROR(J3560*D3560,0)</f>
      </c>
      <c r="L3560" s="29">
        <f>IFERROR(E3560*C3560,0)</f>
      </c>
      <c r="M3560" s="29">
        <f>IFERROR((G3560*H3560*I3560/1000000)*D3560,0)</f>
      </c>
    </row>
    <row r="3561" spans="1:13" x14ac:dyDescent="0.25">
      <c r="A3561" s="16"/>
      <c r="E3561" s="27"/>
      <c r="F3561" t="s">
        <v>26</v>
      </c>
      <c r="G3561" s="28">
        <f>IFERROR(VLOOKUP(F3561,CARTON_LOOKUP!$A:$E,3,0),"")</f>
      </c>
      <c r="H3561" s="28">
        <f>IFERROR(VLOOKUP(F3561,CARTON_LOOKUP!$A:$E,4,0),"")</f>
      </c>
      <c r="I3561" s="28">
        <f>IFERROR(VLOOKUP(F3561,CARTON_LOOKUP!$A:$E,5,0),"")</f>
      </c>
      <c r="J3561" s="29">
        <f>IFERROR(VLOOKUP(F3561,CARTON_LOOKUP!$A:$E,2,0),"")</f>
      </c>
      <c r="K3561" s="29">
        <f>IFERROR(J3561*D3561,0)</f>
      </c>
      <c r="L3561" s="29">
        <f>IFERROR(E3561*C3561,0)</f>
      </c>
      <c r="M3561" s="29">
        <f>IFERROR((G3561*H3561*I3561/1000000)*D3561,0)</f>
      </c>
    </row>
    <row r="3562" spans="1:13" x14ac:dyDescent="0.25">
      <c r="A3562" s="16"/>
      <c r="E3562" s="27"/>
      <c r="F3562" t="s">
        <v>26</v>
      </c>
      <c r="G3562" s="28">
        <f>IFERROR(VLOOKUP(F3562,CARTON_LOOKUP!$A:$E,3,0),"")</f>
      </c>
      <c r="H3562" s="28">
        <f>IFERROR(VLOOKUP(F3562,CARTON_LOOKUP!$A:$E,4,0),"")</f>
      </c>
      <c r="I3562" s="28">
        <f>IFERROR(VLOOKUP(F3562,CARTON_LOOKUP!$A:$E,5,0),"")</f>
      </c>
      <c r="J3562" s="29">
        <f>IFERROR(VLOOKUP(F3562,CARTON_LOOKUP!$A:$E,2,0),"")</f>
      </c>
      <c r="K3562" s="29">
        <f>IFERROR(J3562*D3562,0)</f>
      </c>
      <c r="L3562" s="29">
        <f>IFERROR(E3562*C3562,0)</f>
      </c>
      <c r="M3562" s="29">
        <f>IFERROR((G3562*H3562*I3562/1000000)*D3562,0)</f>
      </c>
    </row>
    <row r="3563" spans="1:13" x14ac:dyDescent="0.25">
      <c r="A3563" s="16"/>
      <c r="E3563" s="27"/>
      <c r="F3563" t="s">
        <v>26</v>
      </c>
      <c r="G3563" s="28">
        <f>IFERROR(VLOOKUP(F3563,CARTON_LOOKUP!$A:$E,3,0),"")</f>
      </c>
      <c r="H3563" s="28">
        <f>IFERROR(VLOOKUP(F3563,CARTON_LOOKUP!$A:$E,4,0),"")</f>
      </c>
      <c r="I3563" s="28">
        <f>IFERROR(VLOOKUP(F3563,CARTON_LOOKUP!$A:$E,5,0),"")</f>
      </c>
      <c r="J3563" s="29">
        <f>IFERROR(VLOOKUP(F3563,CARTON_LOOKUP!$A:$E,2,0),"")</f>
      </c>
      <c r="K3563" s="29">
        <f>IFERROR(J3563*D3563,0)</f>
      </c>
      <c r="L3563" s="29">
        <f>IFERROR(E3563*C3563,0)</f>
      </c>
      <c r="M3563" s="29">
        <f>IFERROR((G3563*H3563*I3563/1000000)*D3563,0)</f>
      </c>
    </row>
    <row r="3564" spans="1:13" x14ac:dyDescent="0.25">
      <c r="A3564" s="16"/>
      <c r="E3564" s="27"/>
      <c r="F3564" t="s">
        <v>26</v>
      </c>
      <c r="G3564" s="28">
        <f>IFERROR(VLOOKUP(F3564,CARTON_LOOKUP!$A:$E,3,0),"")</f>
      </c>
      <c r="H3564" s="28">
        <f>IFERROR(VLOOKUP(F3564,CARTON_LOOKUP!$A:$E,4,0),"")</f>
      </c>
      <c r="I3564" s="28">
        <f>IFERROR(VLOOKUP(F3564,CARTON_LOOKUP!$A:$E,5,0),"")</f>
      </c>
      <c r="J3564" s="29">
        <f>IFERROR(VLOOKUP(F3564,CARTON_LOOKUP!$A:$E,2,0),"")</f>
      </c>
      <c r="K3564" s="29">
        <f>IFERROR(J3564*D3564,0)</f>
      </c>
      <c r="L3564" s="29">
        <f>IFERROR(E3564*C3564,0)</f>
      </c>
      <c r="M3564" s="29">
        <f>IFERROR((G3564*H3564*I3564/1000000)*D3564,0)</f>
      </c>
    </row>
    <row r="3565" spans="1:13" x14ac:dyDescent="0.25">
      <c r="A3565" s="16"/>
      <c r="E3565" s="27"/>
      <c r="F3565" t="s">
        <v>26</v>
      </c>
      <c r="G3565" s="28">
        <f>IFERROR(VLOOKUP(F3565,CARTON_LOOKUP!$A:$E,3,0),"")</f>
      </c>
      <c r="H3565" s="28">
        <f>IFERROR(VLOOKUP(F3565,CARTON_LOOKUP!$A:$E,4,0),"")</f>
      </c>
      <c r="I3565" s="28">
        <f>IFERROR(VLOOKUP(F3565,CARTON_LOOKUP!$A:$E,5,0),"")</f>
      </c>
      <c r="J3565" s="29">
        <f>IFERROR(VLOOKUP(F3565,CARTON_LOOKUP!$A:$E,2,0),"")</f>
      </c>
      <c r="K3565" s="29">
        <f>IFERROR(J3565*D3565,0)</f>
      </c>
      <c r="L3565" s="29">
        <f>IFERROR(E3565*C3565,0)</f>
      </c>
      <c r="M3565" s="29">
        <f>IFERROR((G3565*H3565*I3565/1000000)*D3565,0)</f>
      </c>
    </row>
    <row r="3566" spans="1:13" x14ac:dyDescent="0.25">
      <c r="A3566" s="16"/>
      <c r="E3566" s="27"/>
      <c r="F3566" t="s">
        <v>26</v>
      </c>
      <c r="G3566" s="28">
        <f>IFERROR(VLOOKUP(F3566,CARTON_LOOKUP!$A:$E,3,0),"")</f>
      </c>
      <c r="H3566" s="28">
        <f>IFERROR(VLOOKUP(F3566,CARTON_LOOKUP!$A:$E,4,0),"")</f>
      </c>
      <c r="I3566" s="28">
        <f>IFERROR(VLOOKUP(F3566,CARTON_LOOKUP!$A:$E,5,0),"")</f>
      </c>
      <c r="J3566" s="29">
        <f>IFERROR(VLOOKUP(F3566,CARTON_LOOKUP!$A:$E,2,0),"")</f>
      </c>
      <c r="K3566" s="29">
        <f>IFERROR(J3566*D3566,0)</f>
      </c>
      <c r="L3566" s="29">
        <f>IFERROR(E3566*C3566,0)</f>
      </c>
      <c r="M3566" s="29">
        <f>IFERROR((G3566*H3566*I3566/1000000)*D3566,0)</f>
      </c>
    </row>
    <row r="3567" spans="1:13" x14ac:dyDescent="0.25">
      <c r="A3567" s="16"/>
      <c r="E3567" s="27"/>
      <c r="F3567" t="s">
        <v>26</v>
      </c>
      <c r="G3567" s="28">
        <f>IFERROR(VLOOKUP(F3567,CARTON_LOOKUP!$A:$E,3,0),"")</f>
      </c>
      <c r="H3567" s="28">
        <f>IFERROR(VLOOKUP(F3567,CARTON_LOOKUP!$A:$E,4,0),"")</f>
      </c>
      <c r="I3567" s="28">
        <f>IFERROR(VLOOKUP(F3567,CARTON_LOOKUP!$A:$E,5,0),"")</f>
      </c>
      <c r="J3567" s="29">
        <f>IFERROR(VLOOKUP(F3567,CARTON_LOOKUP!$A:$E,2,0),"")</f>
      </c>
      <c r="K3567" s="29">
        <f>IFERROR(J3567*D3567,0)</f>
      </c>
      <c r="L3567" s="29">
        <f>IFERROR(E3567*C3567,0)</f>
      </c>
      <c r="M3567" s="29">
        <f>IFERROR((G3567*H3567*I3567/1000000)*D3567,0)</f>
      </c>
    </row>
    <row r="3568" spans="1:13" x14ac:dyDescent="0.25">
      <c r="A3568" s="16"/>
      <c r="E3568" s="27"/>
      <c r="F3568" t="s">
        <v>26</v>
      </c>
      <c r="G3568" s="28">
        <f>IFERROR(VLOOKUP(F3568,CARTON_LOOKUP!$A:$E,3,0),"")</f>
      </c>
      <c r="H3568" s="28">
        <f>IFERROR(VLOOKUP(F3568,CARTON_LOOKUP!$A:$E,4,0),"")</f>
      </c>
      <c r="I3568" s="28">
        <f>IFERROR(VLOOKUP(F3568,CARTON_LOOKUP!$A:$E,5,0),"")</f>
      </c>
      <c r="J3568" s="29">
        <f>IFERROR(VLOOKUP(F3568,CARTON_LOOKUP!$A:$E,2,0),"")</f>
      </c>
      <c r="K3568" s="29">
        <f>IFERROR(J3568*D3568,0)</f>
      </c>
      <c r="L3568" s="29">
        <f>IFERROR(E3568*C3568,0)</f>
      </c>
      <c r="M3568" s="29">
        <f>IFERROR((G3568*H3568*I3568/1000000)*D3568,0)</f>
      </c>
    </row>
    <row r="3569" spans="1:13" x14ac:dyDescent="0.25">
      <c r="A3569" s="16"/>
      <c r="E3569" s="27"/>
      <c r="F3569" t="s">
        <v>26</v>
      </c>
      <c r="G3569" s="28">
        <f>IFERROR(VLOOKUP(F3569,CARTON_LOOKUP!$A:$E,3,0),"")</f>
      </c>
      <c r="H3569" s="28">
        <f>IFERROR(VLOOKUP(F3569,CARTON_LOOKUP!$A:$E,4,0),"")</f>
      </c>
      <c r="I3569" s="28">
        <f>IFERROR(VLOOKUP(F3569,CARTON_LOOKUP!$A:$E,5,0),"")</f>
      </c>
      <c r="J3569" s="29">
        <f>IFERROR(VLOOKUP(F3569,CARTON_LOOKUP!$A:$E,2,0),"")</f>
      </c>
      <c r="K3569" s="29">
        <f>IFERROR(J3569*D3569,0)</f>
      </c>
      <c r="L3569" s="29">
        <f>IFERROR(E3569*C3569,0)</f>
      </c>
      <c r="M3569" s="29">
        <f>IFERROR((G3569*H3569*I3569/1000000)*D3569,0)</f>
      </c>
    </row>
    <row r="3570" spans="1:13" x14ac:dyDescent="0.25">
      <c r="A3570" s="16"/>
      <c r="E3570" s="27"/>
      <c r="F3570" t="s">
        <v>26</v>
      </c>
      <c r="G3570" s="28">
        <f>IFERROR(VLOOKUP(F3570,CARTON_LOOKUP!$A:$E,3,0),"")</f>
      </c>
      <c r="H3570" s="28">
        <f>IFERROR(VLOOKUP(F3570,CARTON_LOOKUP!$A:$E,4,0),"")</f>
      </c>
      <c r="I3570" s="28">
        <f>IFERROR(VLOOKUP(F3570,CARTON_LOOKUP!$A:$E,5,0),"")</f>
      </c>
      <c r="J3570" s="29">
        <f>IFERROR(VLOOKUP(F3570,CARTON_LOOKUP!$A:$E,2,0),"")</f>
      </c>
      <c r="K3570" s="29">
        <f>IFERROR(J3570*D3570,0)</f>
      </c>
      <c r="L3570" s="29">
        <f>IFERROR(E3570*C3570,0)</f>
      </c>
      <c r="M3570" s="29">
        <f>IFERROR((G3570*H3570*I3570/1000000)*D3570,0)</f>
      </c>
    </row>
    <row r="3571" spans="1:13" x14ac:dyDescent="0.25">
      <c r="A3571" s="16"/>
      <c r="E3571" s="27"/>
      <c r="F3571" t="s">
        <v>26</v>
      </c>
      <c r="G3571" s="28">
        <f>IFERROR(VLOOKUP(F3571,CARTON_LOOKUP!$A:$E,3,0),"")</f>
      </c>
      <c r="H3571" s="28">
        <f>IFERROR(VLOOKUP(F3571,CARTON_LOOKUP!$A:$E,4,0),"")</f>
      </c>
      <c r="I3571" s="28">
        <f>IFERROR(VLOOKUP(F3571,CARTON_LOOKUP!$A:$E,5,0),"")</f>
      </c>
      <c r="J3571" s="29">
        <f>IFERROR(VLOOKUP(F3571,CARTON_LOOKUP!$A:$E,2,0),"")</f>
      </c>
      <c r="K3571" s="29">
        <f>IFERROR(J3571*D3571,0)</f>
      </c>
      <c r="L3571" s="29">
        <f>IFERROR(E3571*C3571,0)</f>
      </c>
      <c r="M3571" s="29">
        <f>IFERROR((G3571*H3571*I3571/1000000)*D3571,0)</f>
      </c>
    </row>
    <row r="3572" spans="1:13" x14ac:dyDescent="0.25">
      <c r="A3572" s="16"/>
      <c r="E3572" s="27"/>
      <c r="F3572" t="s">
        <v>26</v>
      </c>
      <c r="G3572" s="28">
        <f>IFERROR(VLOOKUP(F3572,CARTON_LOOKUP!$A:$E,3,0),"")</f>
      </c>
      <c r="H3572" s="28">
        <f>IFERROR(VLOOKUP(F3572,CARTON_LOOKUP!$A:$E,4,0),"")</f>
      </c>
      <c r="I3572" s="28">
        <f>IFERROR(VLOOKUP(F3572,CARTON_LOOKUP!$A:$E,5,0),"")</f>
      </c>
      <c r="J3572" s="29">
        <f>IFERROR(VLOOKUP(F3572,CARTON_LOOKUP!$A:$E,2,0),"")</f>
      </c>
      <c r="K3572" s="29">
        <f>IFERROR(J3572*D3572,0)</f>
      </c>
      <c r="L3572" s="29">
        <f>IFERROR(E3572*C3572,0)</f>
      </c>
      <c r="M3572" s="29">
        <f>IFERROR((G3572*H3572*I3572/1000000)*D3572,0)</f>
      </c>
    </row>
    <row r="3573" spans="1:13" x14ac:dyDescent="0.25">
      <c r="A3573" s="16"/>
      <c r="E3573" s="27"/>
      <c r="F3573" t="s">
        <v>26</v>
      </c>
      <c r="G3573" s="28">
        <f>IFERROR(VLOOKUP(F3573,CARTON_LOOKUP!$A:$E,3,0),"")</f>
      </c>
      <c r="H3573" s="28">
        <f>IFERROR(VLOOKUP(F3573,CARTON_LOOKUP!$A:$E,4,0),"")</f>
      </c>
      <c r="I3573" s="28">
        <f>IFERROR(VLOOKUP(F3573,CARTON_LOOKUP!$A:$E,5,0),"")</f>
      </c>
      <c r="J3573" s="29">
        <f>IFERROR(VLOOKUP(F3573,CARTON_LOOKUP!$A:$E,2,0),"")</f>
      </c>
      <c r="K3573" s="29">
        <f>IFERROR(J3573*D3573,0)</f>
      </c>
      <c r="L3573" s="29">
        <f>IFERROR(E3573*C3573,0)</f>
      </c>
      <c r="M3573" s="29">
        <f>IFERROR((G3573*H3573*I3573/1000000)*D3573,0)</f>
      </c>
    </row>
    <row r="3574" spans="1:13" x14ac:dyDescent="0.25">
      <c r="A3574" s="16"/>
      <c r="E3574" s="27"/>
      <c r="F3574" t="s">
        <v>26</v>
      </c>
      <c r="G3574" s="28">
        <f>IFERROR(VLOOKUP(F3574,CARTON_LOOKUP!$A:$E,3,0),"")</f>
      </c>
      <c r="H3574" s="28">
        <f>IFERROR(VLOOKUP(F3574,CARTON_LOOKUP!$A:$E,4,0),"")</f>
      </c>
      <c r="I3574" s="28">
        <f>IFERROR(VLOOKUP(F3574,CARTON_LOOKUP!$A:$E,5,0),"")</f>
      </c>
      <c r="J3574" s="29">
        <f>IFERROR(VLOOKUP(F3574,CARTON_LOOKUP!$A:$E,2,0),"")</f>
      </c>
      <c r="K3574" s="29">
        <f>IFERROR(J3574*D3574,0)</f>
      </c>
      <c r="L3574" s="29">
        <f>IFERROR(E3574*C3574,0)</f>
      </c>
      <c r="M3574" s="29">
        <f>IFERROR((G3574*H3574*I3574/1000000)*D3574,0)</f>
      </c>
    </row>
    <row r="3575" spans="1:13" x14ac:dyDescent="0.25">
      <c r="A3575" s="16"/>
      <c r="E3575" s="27"/>
      <c r="F3575" t="s">
        <v>26</v>
      </c>
      <c r="G3575" s="28">
        <f>IFERROR(VLOOKUP(F3575,CARTON_LOOKUP!$A:$E,3,0),"")</f>
      </c>
      <c r="H3575" s="28">
        <f>IFERROR(VLOOKUP(F3575,CARTON_LOOKUP!$A:$E,4,0),"")</f>
      </c>
      <c r="I3575" s="28">
        <f>IFERROR(VLOOKUP(F3575,CARTON_LOOKUP!$A:$E,5,0),"")</f>
      </c>
      <c r="J3575" s="29">
        <f>IFERROR(VLOOKUP(F3575,CARTON_LOOKUP!$A:$E,2,0),"")</f>
      </c>
      <c r="K3575" s="29">
        <f>IFERROR(J3575*D3575,0)</f>
      </c>
      <c r="L3575" s="29">
        <f>IFERROR(E3575*C3575,0)</f>
      </c>
      <c r="M3575" s="29">
        <f>IFERROR((G3575*H3575*I3575/1000000)*D3575,0)</f>
      </c>
    </row>
    <row r="3576" spans="1:13" x14ac:dyDescent="0.25">
      <c r="A3576" s="16"/>
      <c r="E3576" s="27"/>
      <c r="F3576" t="s">
        <v>26</v>
      </c>
      <c r="G3576" s="28">
        <f>IFERROR(VLOOKUP(F3576,CARTON_LOOKUP!$A:$E,3,0),"")</f>
      </c>
      <c r="H3576" s="28">
        <f>IFERROR(VLOOKUP(F3576,CARTON_LOOKUP!$A:$E,4,0),"")</f>
      </c>
      <c r="I3576" s="28">
        <f>IFERROR(VLOOKUP(F3576,CARTON_LOOKUP!$A:$E,5,0),"")</f>
      </c>
      <c r="J3576" s="29">
        <f>IFERROR(VLOOKUP(F3576,CARTON_LOOKUP!$A:$E,2,0),"")</f>
      </c>
      <c r="K3576" s="29">
        <f>IFERROR(J3576*D3576,0)</f>
      </c>
      <c r="L3576" s="29">
        <f>IFERROR(E3576*C3576,0)</f>
      </c>
      <c r="M3576" s="29">
        <f>IFERROR((G3576*H3576*I3576/1000000)*D3576,0)</f>
      </c>
    </row>
    <row r="3577" spans="1:13" x14ac:dyDescent="0.25">
      <c r="A3577" s="16"/>
      <c r="E3577" s="27"/>
      <c r="F3577" t="s">
        <v>26</v>
      </c>
      <c r="G3577" s="28">
        <f>IFERROR(VLOOKUP(F3577,CARTON_LOOKUP!$A:$E,3,0),"")</f>
      </c>
      <c r="H3577" s="28">
        <f>IFERROR(VLOOKUP(F3577,CARTON_LOOKUP!$A:$E,4,0),"")</f>
      </c>
      <c r="I3577" s="28">
        <f>IFERROR(VLOOKUP(F3577,CARTON_LOOKUP!$A:$E,5,0),"")</f>
      </c>
      <c r="J3577" s="29">
        <f>IFERROR(VLOOKUP(F3577,CARTON_LOOKUP!$A:$E,2,0),"")</f>
      </c>
      <c r="K3577" s="29">
        <f>IFERROR(J3577*D3577,0)</f>
      </c>
      <c r="L3577" s="29">
        <f>IFERROR(E3577*C3577,0)</f>
      </c>
      <c r="M3577" s="29">
        <f>IFERROR((G3577*H3577*I3577/1000000)*D3577,0)</f>
      </c>
    </row>
    <row r="3578" spans="1:13" x14ac:dyDescent="0.25">
      <c r="A3578" s="16"/>
      <c r="E3578" s="27"/>
      <c r="F3578" t="s">
        <v>26</v>
      </c>
      <c r="G3578" s="28">
        <f>IFERROR(VLOOKUP(F3578,CARTON_LOOKUP!$A:$E,3,0),"")</f>
      </c>
      <c r="H3578" s="28">
        <f>IFERROR(VLOOKUP(F3578,CARTON_LOOKUP!$A:$E,4,0),"")</f>
      </c>
      <c r="I3578" s="28">
        <f>IFERROR(VLOOKUP(F3578,CARTON_LOOKUP!$A:$E,5,0),"")</f>
      </c>
      <c r="J3578" s="29">
        <f>IFERROR(VLOOKUP(F3578,CARTON_LOOKUP!$A:$E,2,0),"")</f>
      </c>
      <c r="K3578" s="29">
        <f>IFERROR(J3578*D3578,0)</f>
      </c>
      <c r="L3578" s="29">
        <f>IFERROR(E3578*C3578,0)</f>
      </c>
      <c r="M3578" s="29">
        <f>IFERROR((G3578*H3578*I3578/1000000)*D3578,0)</f>
      </c>
    </row>
    <row r="3579" spans="1:13" x14ac:dyDescent="0.25">
      <c r="A3579" s="16"/>
      <c r="E3579" s="27"/>
      <c r="F3579" t="s">
        <v>26</v>
      </c>
      <c r="G3579" s="28">
        <f>IFERROR(VLOOKUP(F3579,CARTON_LOOKUP!$A:$E,3,0),"")</f>
      </c>
      <c r="H3579" s="28">
        <f>IFERROR(VLOOKUP(F3579,CARTON_LOOKUP!$A:$E,4,0),"")</f>
      </c>
      <c r="I3579" s="28">
        <f>IFERROR(VLOOKUP(F3579,CARTON_LOOKUP!$A:$E,5,0),"")</f>
      </c>
      <c r="J3579" s="29">
        <f>IFERROR(VLOOKUP(F3579,CARTON_LOOKUP!$A:$E,2,0),"")</f>
      </c>
      <c r="K3579" s="29">
        <f>IFERROR(J3579*D3579,0)</f>
      </c>
      <c r="L3579" s="29">
        <f>IFERROR(E3579*C3579,0)</f>
      </c>
      <c r="M3579" s="29">
        <f>IFERROR((G3579*H3579*I3579/1000000)*D3579,0)</f>
      </c>
    </row>
    <row r="3580" spans="1:13" x14ac:dyDescent="0.25">
      <c r="A3580" s="16"/>
      <c r="E3580" s="27"/>
      <c r="F3580" t="s">
        <v>26</v>
      </c>
      <c r="G3580" s="28">
        <f>IFERROR(VLOOKUP(F3580,CARTON_LOOKUP!$A:$E,3,0),"")</f>
      </c>
      <c r="H3580" s="28">
        <f>IFERROR(VLOOKUP(F3580,CARTON_LOOKUP!$A:$E,4,0),"")</f>
      </c>
      <c r="I3580" s="28">
        <f>IFERROR(VLOOKUP(F3580,CARTON_LOOKUP!$A:$E,5,0),"")</f>
      </c>
      <c r="J3580" s="29">
        <f>IFERROR(VLOOKUP(F3580,CARTON_LOOKUP!$A:$E,2,0),"")</f>
      </c>
      <c r="K3580" s="29">
        <f>IFERROR(J3580*D3580,0)</f>
      </c>
      <c r="L3580" s="29">
        <f>IFERROR(E3580*C3580,0)</f>
      </c>
      <c r="M3580" s="29">
        <f>IFERROR((G3580*H3580*I3580/1000000)*D3580,0)</f>
      </c>
    </row>
    <row r="3581" spans="1:13" x14ac:dyDescent="0.25">
      <c r="A3581" s="16"/>
      <c r="E3581" s="27"/>
      <c r="F3581" t="s">
        <v>26</v>
      </c>
      <c r="G3581" s="28">
        <f>IFERROR(VLOOKUP(F3581,CARTON_LOOKUP!$A:$E,3,0),"")</f>
      </c>
      <c r="H3581" s="28">
        <f>IFERROR(VLOOKUP(F3581,CARTON_LOOKUP!$A:$E,4,0),"")</f>
      </c>
      <c r="I3581" s="28">
        <f>IFERROR(VLOOKUP(F3581,CARTON_LOOKUP!$A:$E,5,0),"")</f>
      </c>
      <c r="J3581" s="29">
        <f>IFERROR(VLOOKUP(F3581,CARTON_LOOKUP!$A:$E,2,0),"")</f>
      </c>
      <c r="K3581" s="29">
        <f>IFERROR(J3581*D3581,0)</f>
      </c>
      <c r="L3581" s="29">
        <f>IFERROR(E3581*C3581,0)</f>
      </c>
      <c r="M3581" s="29">
        <f>IFERROR((G3581*H3581*I3581/1000000)*D3581,0)</f>
      </c>
    </row>
    <row r="3582" spans="1:13" x14ac:dyDescent="0.25">
      <c r="A3582" s="16"/>
      <c r="E3582" s="27"/>
      <c r="F3582" t="s">
        <v>26</v>
      </c>
      <c r="G3582" s="28">
        <f>IFERROR(VLOOKUP(F3582,CARTON_LOOKUP!$A:$E,3,0),"")</f>
      </c>
      <c r="H3582" s="28">
        <f>IFERROR(VLOOKUP(F3582,CARTON_LOOKUP!$A:$E,4,0),"")</f>
      </c>
      <c r="I3582" s="28">
        <f>IFERROR(VLOOKUP(F3582,CARTON_LOOKUP!$A:$E,5,0),"")</f>
      </c>
      <c r="J3582" s="29">
        <f>IFERROR(VLOOKUP(F3582,CARTON_LOOKUP!$A:$E,2,0),"")</f>
      </c>
      <c r="K3582" s="29">
        <f>IFERROR(J3582*D3582,0)</f>
      </c>
      <c r="L3582" s="29">
        <f>IFERROR(E3582*C3582,0)</f>
      </c>
      <c r="M3582" s="29">
        <f>IFERROR((G3582*H3582*I3582/1000000)*D3582,0)</f>
      </c>
    </row>
    <row r="3583" spans="1:13" x14ac:dyDescent="0.25">
      <c r="A3583" s="16"/>
      <c r="E3583" s="27"/>
      <c r="F3583" t="s">
        <v>26</v>
      </c>
      <c r="G3583" s="28">
        <f>IFERROR(VLOOKUP(F3583,CARTON_LOOKUP!$A:$E,3,0),"")</f>
      </c>
      <c r="H3583" s="28">
        <f>IFERROR(VLOOKUP(F3583,CARTON_LOOKUP!$A:$E,4,0),"")</f>
      </c>
      <c r="I3583" s="28">
        <f>IFERROR(VLOOKUP(F3583,CARTON_LOOKUP!$A:$E,5,0),"")</f>
      </c>
      <c r="J3583" s="29">
        <f>IFERROR(VLOOKUP(F3583,CARTON_LOOKUP!$A:$E,2,0),"")</f>
      </c>
      <c r="K3583" s="29">
        <f>IFERROR(J3583*D3583,0)</f>
      </c>
      <c r="L3583" s="29">
        <f>IFERROR(E3583*C3583,0)</f>
      </c>
      <c r="M3583" s="29">
        <f>IFERROR((G3583*H3583*I3583/1000000)*D3583,0)</f>
      </c>
    </row>
    <row r="3584" spans="1:13" x14ac:dyDescent="0.25">
      <c r="A3584" s="16"/>
      <c r="E3584" s="27"/>
      <c r="F3584" t="s">
        <v>26</v>
      </c>
      <c r="G3584" s="28">
        <f>IFERROR(VLOOKUP(F3584,CARTON_LOOKUP!$A:$E,3,0),"")</f>
      </c>
      <c r="H3584" s="28">
        <f>IFERROR(VLOOKUP(F3584,CARTON_LOOKUP!$A:$E,4,0),"")</f>
      </c>
      <c r="I3584" s="28">
        <f>IFERROR(VLOOKUP(F3584,CARTON_LOOKUP!$A:$E,5,0),"")</f>
      </c>
      <c r="J3584" s="29">
        <f>IFERROR(VLOOKUP(F3584,CARTON_LOOKUP!$A:$E,2,0),"")</f>
      </c>
      <c r="K3584" s="29">
        <f>IFERROR(J3584*D3584,0)</f>
      </c>
      <c r="L3584" s="29">
        <f>IFERROR(E3584*C3584,0)</f>
      </c>
      <c r="M3584" s="29">
        <f>IFERROR((G3584*H3584*I3584/1000000)*D3584,0)</f>
      </c>
    </row>
    <row r="3585" spans="1:13" x14ac:dyDescent="0.25">
      <c r="A3585" s="16"/>
      <c r="E3585" s="27"/>
      <c r="F3585" t="s">
        <v>26</v>
      </c>
      <c r="G3585" s="28">
        <f>IFERROR(VLOOKUP(F3585,CARTON_LOOKUP!$A:$E,3,0),"")</f>
      </c>
      <c r="H3585" s="28">
        <f>IFERROR(VLOOKUP(F3585,CARTON_LOOKUP!$A:$E,4,0),"")</f>
      </c>
      <c r="I3585" s="28">
        <f>IFERROR(VLOOKUP(F3585,CARTON_LOOKUP!$A:$E,5,0),"")</f>
      </c>
      <c r="J3585" s="29">
        <f>IFERROR(VLOOKUP(F3585,CARTON_LOOKUP!$A:$E,2,0),"")</f>
      </c>
      <c r="K3585" s="29">
        <f>IFERROR(J3585*D3585,0)</f>
      </c>
      <c r="L3585" s="29">
        <f>IFERROR(E3585*C3585,0)</f>
      </c>
      <c r="M3585" s="29">
        <f>IFERROR((G3585*H3585*I3585/1000000)*D3585,0)</f>
      </c>
    </row>
    <row r="3586" spans="1:13" x14ac:dyDescent="0.25">
      <c r="A3586" s="16"/>
      <c r="E3586" s="27"/>
      <c r="F3586" t="s">
        <v>26</v>
      </c>
      <c r="G3586" s="28">
        <f>IFERROR(VLOOKUP(F3586,CARTON_LOOKUP!$A:$E,3,0),"")</f>
      </c>
      <c r="H3586" s="28">
        <f>IFERROR(VLOOKUP(F3586,CARTON_LOOKUP!$A:$E,4,0),"")</f>
      </c>
      <c r="I3586" s="28">
        <f>IFERROR(VLOOKUP(F3586,CARTON_LOOKUP!$A:$E,5,0),"")</f>
      </c>
      <c r="J3586" s="29">
        <f>IFERROR(VLOOKUP(F3586,CARTON_LOOKUP!$A:$E,2,0),"")</f>
      </c>
      <c r="K3586" s="29">
        <f>IFERROR(J3586*D3586,0)</f>
      </c>
      <c r="L3586" s="29">
        <f>IFERROR(E3586*C3586,0)</f>
      </c>
      <c r="M3586" s="29">
        <f>IFERROR((G3586*H3586*I3586/1000000)*D3586,0)</f>
      </c>
    </row>
    <row r="3587" spans="1:13" x14ac:dyDescent="0.25">
      <c r="A3587" s="16"/>
      <c r="E3587" s="27"/>
      <c r="F3587" t="s">
        <v>26</v>
      </c>
      <c r="G3587" s="28">
        <f>IFERROR(VLOOKUP(F3587,CARTON_LOOKUP!$A:$E,3,0),"")</f>
      </c>
      <c r="H3587" s="28">
        <f>IFERROR(VLOOKUP(F3587,CARTON_LOOKUP!$A:$E,4,0),"")</f>
      </c>
      <c r="I3587" s="28">
        <f>IFERROR(VLOOKUP(F3587,CARTON_LOOKUP!$A:$E,5,0),"")</f>
      </c>
      <c r="J3587" s="29">
        <f>IFERROR(VLOOKUP(F3587,CARTON_LOOKUP!$A:$E,2,0),"")</f>
      </c>
      <c r="K3587" s="29">
        <f>IFERROR(J3587*D3587,0)</f>
      </c>
      <c r="L3587" s="29">
        <f>IFERROR(E3587*C3587,0)</f>
      </c>
      <c r="M3587" s="29">
        <f>IFERROR((G3587*H3587*I3587/1000000)*D3587,0)</f>
      </c>
    </row>
    <row r="3588" spans="1:13" x14ac:dyDescent="0.25">
      <c r="A3588" s="16"/>
      <c r="E3588" s="27"/>
      <c r="F3588" t="s">
        <v>26</v>
      </c>
      <c r="G3588" s="28">
        <f>IFERROR(VLOOKUP(F3588,CARTON_LOOKUP!$A:$E,3,0),"")</f>
      </c>
      <c r="H3588" s="28">
        <f>IFERROR(VLOOKUP(F3588,CARTON_LOOKUP!$A:$E,4,0),"")</f>
      </c>
      <c r="I3588" s="28">
        <f>IFERROR(VLOOKUP(F3588,CARTON_LOOKUP!$A:$E,5,0),"")</f>
      </c>
      <c r="J3588" s="29">
        <f>IFERROR(VLOOKUP(F3588,CARTON_LOOKUP!$A:$E,2,0),"")</f>
      </c>
      <c r="K3588" s="29">
        <f>IFERROR(J3588*D3588,0)</f>
      </c>
      <c r="L3588" s="29">
        <f>IFERROR(E3588*C3588,0)</f>
      </c>
      <c r="M3588" s="29">
        <f>IFERROR((G3588*H3588*I3588/1000000)*D3588,0)</f>
      </c>
    </row>
    <row r="3589" spans="1:13" x14ac:dyDescent="0.25">
      <c r="A3589" s="16"/>
      <c r="E3589" s="27"/>
      <c r="F3589" t="s">
        <v>26</v>
      </c>
      <c r="G3589" s="28">
        <f>IFERROR(VLOOKUP(F3589,CARTON_LOOKUP!$A:$E,3,0),"")</f>
      </c>
      <c r="H3589" s="28">
        <f>IFERROR(VLOOKUP(F3589,CARTON_LOOKUP!$A:$E,4,0),"")</f>
      </c>
      <c r="I3589" s="28">
        <f>IFERROR(VLOOKUP(F3589,CARTON_LOOKUP!$A:$E,5,0),"")</f>
      </c>
      <c r="J3589" s="29">
        <f>IFERROR(VLOOKUP(F3589,CARTON_LOOKUP!$A:$E,2,0),"")</f>
      </c>
      <c r="K3589" s="29">
        <f>IFERROR(J3589*D3589,0)</f>
      </c>
      <c r="L3589" s="29">
        <f>IFERROR(E3589*C3589,0)</f>
      </c>
      <c r="M3589" s="29">
        <f>IFERROR((G3589*H3589*I3589/1000000)*D3589,0)</f>
      </c>
    </row>
    <row r="3590" spans="1:13" x14ac:dyDescent="0.25">
      <c r="A3590" s="16"/>
      <c r="E3590" s="27"/>
      <c r="F3590" t="s">
        <v>26</v>
      </c>
      <c r="G3590" s="28">
        <f>IFERROR(VLOOKUP(F3590,CARTON_LOOKUP!$A:$E,3,0),"")</f>
      </c>
      <c r="H3590" s="28">
        <f>IFERROR(VLOOKUP(F3590,CARTON_LOOKUP!$A:$E,4,0),"")</f>
      </c>
      <c r="I3590" s="28">
        <f>IFERROR(VLOOKUP(F3590,CARTON_LOOKUP!$A:$E,5,0),"")</f>
      </c>
      <c r="J3590" s="29">
        <f>IFERROR(VLOOKUP(F3590,CARTON_LOOKUP!$A:$E,2,0),"")</f>
      </c>
      <c r="K3590" s="29">
        <f>IFERROR(J3590*D3590,0)</f>
      </c>
      <c r="L3590" s="29">
        <f>IFERROR(E3590*C3590,0)</f>
      </c>
      <c r="M3590" s="29">
        <f>IFERROR((G3590*H3590*I3590/1000000)*D3590,0)</f>
      </c>
    </row>
    <row r="3591" spans="1:13" x14ac:dyDescent="0.25">
      <c r="A3591" s="16"/>
      <c r="E3591" s="27"/>
      <c r="F3591" t="s">
        <v>26</v>
      </c>
      <c r="G3591" s="28">
        <f>IFERROR(VLOOKUP(F3591,CARTON_LOOKUP!$A:$E,3,0),"")</f>
      </c>
      <c r="H3591" s="28">
        <f>IFERROR(VLOOKUP(F3591,CARTON_LOOKUP!$A:$E,4,0),"")</f>
      </c>
      <c r="I3591" s="28">
        <f>IFERROR(VLOOKUP(F3591,CARTON_LOOKUP!$A:$E,5,0),"")</f>
      </c>
      <c r="J3591" s="29">
        <f>IFERROR(VLOOKUP(F3591,CARTON_LOOKUP!$A:$E,2,0),"")</f>
      </c>
      <c r="K3591" s="29">
        <f>IFERROR(J3591*D3591,0)</f>
      </c>
      <c r="L3591" s="29">
        <f>IFERROR(E3591*C3591,0)</f>
      </c>
      <c r="M3591" s="29">
        <f>IFERROR((G3591*H3591*I3591/1000000)*D3591,0)</f>
      </c>
    </row>
    <row r="3592" spans="1:13" x14ac:dyDescent="0.25">
      <c r="A3592" s="16"/>
      <c r="E3592" s="27"/>
      <c r="F3592" t="s">
        <v>26</v>
      </c>
      <c r="G3592" s="28">
        <f>IFERROR(VLOOKUP(F3592,CARTON_LOOKUP!$A:$E,3,0),"")</f>
      </c>
      <c r="H3592" s="28">
        <f>IFERROR(VLOOKUP(F3592,CARTON_LOOKUP!$A:$E,4,0),"")</f>
      </c>
      <c r="I3592" s="28">
        <f>IFERROR(VLOOKUP(F3592,CARTON_LOOKUP!$A:$E,5,0),"")</f>
      </c>
      <c r="J3592" s="29">
        <f>IFERROR(VLOOKUP(F3592,CARTON_LOOKUP!$A:$E,2,0),"")</f>
      </c>
      <c r="K3592" s="29">
        <f>IFERROR(J3592*D3592,0)</f>
      </c>
      <c r="L3592" s="29">
        <f>IFERROR(E3592*C3592,0)</f>
      </c>
      <c r="M3592" s="29">
        <f>IFERROR((G3592*H3592*I3592/1000000)*D3592,0)</f>
      </c>
    </row>
    <row r="3593" spans="1:13" x14ac:dyDescent="0.25">
      <c r="A3593" s="16"/>
      <c r="E3593" s="27"/>
      <c r="F3593" t="s">
        <v>26</v>
      </c>
      <c r="G3593" s="28">
        <f>IFERROR(VLOOKUP(F3593,CARTON_LOOKUP!$A:$E,3,0),"")</f>
      </c>
      <c r="H3593" s="28">
        <f>IFERROR(VLOOKUP(F3593,CARTON_LOOKUP!$A:$E,4,0),"")</f>
      </c>
      <c r="I3593" s="28">
        <f>IFERROR(VLOOKUP(F3593,CARTON_LOOKUP!$A:$E,5,0),"")</f>
      </c>
      <c r="J3593" s="29">
        <f>IFERROR(VLOOKUP(F3593,CARTON_LOOKUP!$A:$E,2,0),"")</f>
      </c>
      <c r="K3593" s="29">
        <f>IFERROR(J3593*D3593,0)</f>
      </c>
      <c r="L3593" s="29">
        <f>IFERROR(E3593*C3593,0)</f>
      </c>
      <c r="M3593" s="29">
        <f>IFERROR((G3593*H3593*I3593/1000000)*D3593,0)</f>
      </c>
    </row>
    <row r="3594" spans="1:13" x14ac:dyDescent="0.25">
      <c r="A3594" s="16"/>
      <c r="E3594" s="27"/>
      <c r="F3594" t="s">
        <v>26</v>
      </c>
      <c r="G3594" s="28">
        <f>IFERROR(VLOOKUP(F3594,CARTON_LOOKUP!$A:$E,3,0),"")</f>
      </c>
      <c r="H3594" s="28">
        <f>IFERROR(VLOOKUP(F3594,CARTON_LOOKUP!$A:$E,4,0),"")</f>
      </c>
      <c r="I3594" s="28">
        <f>IFERROR(VLOOKUP(F3594,CARTON_LOOKUP!$A:$E,5,0),"")</f>
      </c>
      <c r="J3594" s="29">
        <f>IFERROR(VLOOKUP(F3594,CARTON_LOOKUP!$A:$E,2,0),"")</f>
      </c>
      <c r="K3594" s="29">
        <f>IFERROR(J3594*D3594,0)</f>
      </c>
      <c r="L3594" s="29">
        <f>IFERROR(E3594*C3594,0)</f>
      </c>
      <c r="M3594" s="29">
        <f>IFERROR((G3594*H3594*I3594/1000000)*D3594,0)</f>
      </c>
    </row>
    <row r="3595" spans="1:13" x14ac:dyDescent="0.25">
      <c r="A3595" s="16"/>
      <c r="E3595" s="27"/>
      <c r="F3595" t="s">
        <v>26</v>
      </c>
      <c r="G3595" s="28">
        <f>IFERROR(VLOOKUP(F3595,CARTON_LOOKUP!$A:$E,3,0),"")</f>
      </c>
      <c r="H3595" s="28">
        <f>IFERROR(VLOOKUP(F3595,CARTON_LOOKUP!$A:$E,4,0),"")</f>
      </c>
      <c r="I3595" s="28">
        <f>IFERROR(VLOOKUP(F3595,CARTON_LOOKUP!$A:$E,5,0),"")</f>
      </c>
      <c r="J3595" s="29">
        <f>IFERROR(VLOOKUP(F3595,CARTON_LOOKUP!$A:$E,2,0),"")</f>
      </c>
      <c r="K3595" s="29">
        <f>IFERROR(J3595*D3595,0)</f>
      </c>
      <c r="L3595" s="29">
        <f>IFERROR(E3595*C3595,0)</f>
      </c>
      <c r="M3595" s="29">
        <f>IFERROR((G3595*H3595*I3595/1000000)*D3595,0)</f>
      </c>
    </row>
    <row r="3596" spans="1:13" x14ac:dyDescent="0.25">
      <c r="A3596" s="16"/>
      <c r="E3596" s="27"/>
      <c r="F3596" t="s">
        <v>26</v>
      </c>
      <c r="G3596" s="28">
        <f>IFERROR(VLOOKUP(F3596,CARTON_LOOKUP!$A:$E,3,0),"")</f>
      </c>
      <c r="H3596" s="28">
        <f>IFERROR(VLOOKUP(F3596,CARTON_LOOKUP!$A:$E,4,0),"")</f>
      </c>
      <c r="I3596" s="28">
        <f>IFERROR(VLOOKUP(F3596,CARTON_LOOKUP!$A:$E,5,0),"")</f>
      </c>
      <c r="J3596" s="29">
        <f>IFERROR(VLOOKUP(F3596,CARTON_LOOKUP!$A:$E,2,0),"")</f>
      </c>
      <c r="K3596" s="29">
        <f>IFERROR(J3596*D3596,0)</f>
      </c>
      <c r="L3596" s="29">
        <f>IFERROR(E3596*C3596,0)</f>
      </c>
      <c r="M3596" s="29">
        <f>IFERROR((G3596*H3596*I3596/1000000)*D3596,0)</f>
      </c>
    </row>
    <row r="3597" spans="1:13" x14ac:dyDescent="0.25">
      <c r="A3597" s="16"/>
      <c r="E3597" s="27"/>
      <c r="F3597" t="s">
        <v>26</v>
      </c>
      <c r="G3597" s="28">
        <f>IFERROR(VLOOKUP(F3597,CARTON_LOOKUP!$A:$E,3,0),"")</f>
      </c>
      <c r="H3597" s="28">
        <f>IFERROR(VLOOKUP(F3597,CARTON_LOOKUP!$A:$E,4,0),"")</f>
      </c>
      <c r="I3597" s="28">
        <f>IFERROR(VLOOKUP(F3597,CARTON_LOOKUP!$A:$E,5,0),"")</f>
      </c>
      <c r="J3597" s="29">
        <f>IFERROR(VLOOKUP(F3597,CARTON_LOOKUP!$A:$E,2,0),"")</f>
      </c>
      <c r="K3597" s="29">
        <f>IFERROR(J3597*D3597,0)</f>
      </c>
      <c r="L3597" s="29">
        <f>IFERROR(E3597*C3597,0)</f>
      </c>
      <c r="M3597" s="29">
        <f>IFERROR((G3597*H3597*I3597/1000000)*D3597,0)</f>
      </c>
    </row>
    <row r="3598" spans="1:13" x14ac:dyDescent="0.25">
      <c r="A3598" s="16"/>
      <c r="E3598" s="27"/>
      <c r="F3598" t="s">
        <v>26</v>
      </c>
      <c r="G3598" s="28">
        <f>IFERROR(VLOOKUP(F3598,CARTON_LOOKUP!$A:$E,3,0),"")</f>
      </c>
      <c r="H3598" s="28">
        <f>IFERROR(VLOOKUP(F3598,CARTON_LOOKUP!$A:$E,4,0),"")</f>
      </c>
      <c r="I3598" s="28">
        <f>IFERROR(VLOOKUP(F3598,CARTON_LOOKUP!$A:$E,5,0),"")</f>
      </c>
      <c r="J3598" s="29">
        <f>IFERROR(VLOOKUP(F3598,CARTON_LOOKUP!$A:$E,2,0),"")</f>
      </c>
      <c r="K3598" s="29">
        <f>IFERROR(J3598*D3598,0)</f>
      </c>
      <c r="L3598" s="29">
        <f>IFERROR(E3598*C3598,0)</f>
      </c>
      <c r="M3598" s="29">
        <f>IFERROR((G3598*H3598*I3598/1000000)*D3598,0)</f>
      </c>
    </row>
    <row r="3599" spans="1:13" x14ac:dyDescent="0.25">
      <c r="A3599" s="16"/>
      <c r="E3599" s="27"/>
      <c r="F3599" t="s">
        <v>26</v>
      </c>
      <c r="G3599" s="28">
        <f>IFERROR(VLOOKUP(F3599,CARTON_LOOKUP!$A:$E,3,0),"")</f>
      </c>
      <c r="H3599" s="28">
        <f>IFERROR(VLOOKUP(F3599,CARTON_LOOKUP!$A:$E,4,0),"")</f>
      </c>
      <c r="I3599" s="28">
        <f>IFERROR(VLOOKUP(F3599,CARTON_LOOKUP!$A:$E,5,0),"")</f>
      </c>
      <c r="J3599" s="29">
        <f>IFERROR(VLOOKUP(F3599,CARTON_LOOKUP!$A:$E,2,0),"")</f>
      </c>
      <c r="K3599" s="29">
        <f>IFERROR(J3599*D3599,0)</f>
      </c>
      <c r="L3599" s="29">
        <f>IFERROR(E3599*C3599,0)</f>
      </c>
      <c r="M3599" s="29">
        <f>IFERROR((G3599*H3599*I3599/1000000)*D3599,0)</f>
      </c>
    </row>
    <row r="3600" spans="1:13" x14ac:dyDescent="0.25">
      <c r="A3600" s="16"/>
      <c r="E3600" s="27"/>
      <c r="F3600" t="s">
        <v>26</v>
      </c>
      <c r="G3600" s="28">
        <f>IFERROR(VLOOKUP(F3600,CARTON_LOOKUP!$A:$E,3,0),"")</f>
      </c>
      <c r="H3600" s="28">
        <f>IFERROR(VLOOKUP(F3600,CARTON_LOOKUP!$A:$E,4,0),"")</f>
      </c>
      <c r="I3600" s="28">
        <f>IFERROR(VLOOKUP(F3600,CARTON_LOOKUP!$A:$E,5,0),"")</f>
      </c>
      <c r="J3600" s="29">
        <f>IFERROR(VLOOKUP(F3600,CARTON_LOOKUP!$A:$E,2,0),"")</f>
      </c>
      <c r="K3600" s="29">
        <f>IFERROR(J3600*D3600,0)</f>
      </c>
      <c r="L3600" s="29">
        <f>IFERROR(E3600*C3600,0)</f>
      </c>
      <c r="M3600" s="29">
        <f>IFERROR((G3600*H3600*I3600/1000000)*D3600,0)</f>
      </c>
    </row>
    <row r="3601" spans="1:13" x14ac:dyDescent="0.25">
      <c r="A3601" s="16"/>
      <c r="E3601" s="27"/>
      <c r="F3601" t="s">
        <v>26</v>
      </c>
      <c r="G3601" s="28">
        <f>IFERROR(VLOOKUP(F3601,CARTON_LOOKUP!$A:$E,3,0),"")</f>
      </c>
      <c r="H3601" s="28">
        <f>IFERROR(VLOOKUP(F3601,CARTON_LOOKUP!$A:$E,4,0),"")</f>
      </c>
      <c r="I3601" s="28">
        <f>IFERROR(VLOOKUP(F3601,CARTON_LOOKUP!$A:$E,5,0),"")</f>
      </c>
      <c r="J3601" s="29">
        <f>IFERROR(VLOOKUP(F3601,CARTON_LOOKUP!$A:$E,2,0),"")</f>
      </c>
      <c r="K3601" s="29">
        <f>IFERROR(J3601*D3601,0)</f>
      </c>
      <c r="L3601" s="29">
        <f>IFERROR(E3601*C3601,0)</f>
      </c>
      <c r="M3601" s="29">
        <f>IFERROR((G3601*H3601*I3601/1000000)*D3601,0)</f>
      </c>
    </row>
    <row r="3602" spans="1:13" x14ac:dyDescent="0.25">
      <c r="A3602" s="16"/>
      <c r="E3602" s="27"/>
      <c r="F3602" t="s">
        <v>26</v>
      </c>
      <c r="G3602" s="28">
        <f>IFERROR(VLOOKUP(F3602,CARTON_LOOKUP!$A:$E,3,0),"")</f>
      </c>
      <c r="H3602" s="28">
        <f>IFERROR(VLOOKUP(F3602,CARTON_LOOKUP!$A:$E,4,0),"")</f>
      </c>
      <c r="I3602" s="28">
        <f>IFERROR(VLOOKUP(F3602,CARTON_LOOKUP!$A:$E,5,0),"")</f>
      </c>
      <c r="J3602" s="29">
        <f>IFERROR(VLOOKUP(F3602,CARTON_LOOKUP!$A:$E,2,0),"")</f>
      </c>
      <c r="K3602" s="29">
        <f>IFERROR(J3602*D3602,0)</f>
      </c>
      <c r="L3602" s="29">
        <f>IFERROR(E3602*C3602,0)</f>
      </c>
      <c r="M3602" s="29">
        <f>IFERROR((G3602*H3602*I3602/1000000)*D3602,0)</f>
      </c>
    </row>
    <row r="3603" spans="1:13" x14ac:dyDescent="0.25">
      <c r="A3603" s="16"/>
      <c r="E3603" s="27"/>
      <c r="F3603" t="s">
        <v>26</v>
      </c>
      <c r="G3603" s="28">
        <f>IFERROR(VLOOKUP(F3603,CARTON_LOOKUP!$A:$E,3,0),"")</f>
      </c>
      <c r="H3603" s="28">
        <f>IFERROR(VLOOKUP(F3603,CARTON_LOOKUP!$A:$E,4,0),"")</f>
      </c>
      <c r="I3603" s="28">
        <f>IFERROR(VLOOKUP(F3603,CARTON_LOOKUP!$A:$E,5,0),"")</f>
      </c>
      <c r="J3603" s="29">
        <f>IFERROR(VLOOKUP(F3603,CARTON_LOOKUP!$A:$E,2,0),"")</f>
      </c>
      <c r="K3603" s="29">
        <f>IFERROR(J3603*D3603,0)</f>
      </c>
      <c r="L3603" s="29">
        <f>IFERROR(E3603*C3603,0)</f>
      </c>
      <c r="M3603" s="29">
        <f>IFERROR((G3603*H3603*I3603/1000000)*D3603,0)</f>
      </c>
    </row>
    <row r="3604" spans="1:13" x14ac:dyDescent="0.25">
      <c r="A3604" s="16"/>
      <c r="E3604" s="27"/>
      <c r="F3604" t="s">
        <v>26</v>
      </c>
      <c r="G3604" s="28">
        <f>IFERROR(VLOOKUP(F3604,CARTON_LOOKUP!$A:$E,3,0),"")</f>
      </c>
      <c r="H3604" s="28">
        <f>IFERROR(VLOOKUP(F3604,CARTON_LOOKUP!$A:$E,4,0),"")</f>
      </c>
      <c r="I3604" s="28">
        <f>IFERROR(VLOOKUP(F3604,CARTON_LOOKUP!$A:$E,5,0),"")</f>
      </c>
      <c r="J3604" s="29">
        <f>IFERROR(VLOOKUP(F3604,CARTON_LOOKUP!$A:$E,2,0),"")</f>
      </c>
      <c r="K3604" s="29">
        <f>IFERROR(J3604*D3604,0)</f>
      </c>
      <c r="L3604" s="29">
        <f>IFERROR(E3604*C3604,0)</f>
      </c>
      <c r="M3604" s="29">
        <f>IFERROR((G3604*H3604*I3604/1000000)*D3604,0)</f>
      </c>
    </row>
    <row r="3605" spans="1:13" x14ac:dyDescent="0.25">
      <c r="A3605" s="16"/>
      <c r="E3605" s="27"/>
      <c r="F3605" t="s">
        <v>26</v>
      </c>
      <c r="G3605" s="28">
        <f>IFERROR(VLOOKUP(F3605,CARTON_LOOKUP!$A:$E,3,0),"")</f>
      </c>
      <c r="H3605" s="28">
        <f>IFERROR(VLOOKUP(F3605,CARTON_LOOKUP!$A:$E,4,0),"")</f>
      </c>
      <c r="I3605" s="28">
        <f>IFERROR(VLOOKUP(F3605,CARTON_LOOKUP!$A:$E,5,0),"")</f>
      </c>
      <c r="J3605" s="29">
        <f>IFERROR(VLOOKUP(F3605,CARTON_LOOKUP!$A:$E,2,0),"")</f>
      </c>
      <c r="K3605" s="29">
        <f>IFERROR(J3605*D3605,0)</f>
      </c>
      <c r="L3605" s="29">
        <f>IFERROR(E3605*C3605,0)</f>
      </c>
      <c r="M3605" s="29">
        <f>IFERROR((G3605*H3605*I3605/1000000)*D3605,0)</f>
      </c>
    </row>
    <row r="3606" spans="1:13" x14ac:dyDescent="0.25">
      <c r="A3606" s="16"/>
      <c r="E3606" s="27"/>
      <c r="F3606" t="s">
        <v>26</v>
      </c>
      <c r="G3606" s="28">
        <f>IFERROR(VLOOKUP(F3606,CARTON_LOOKUP!$A:$E,3,0),"")</f>
      </c>
      <c r="H3606" s="28">
        <f>IFERROR(VLOOKUP(F3606,CARTON_LOOKUP!$A:$E,4,0),"")</f>
      </c>
      <c r="I3606" s="28">
        <f>IFERROR(VLOOKUP(F3606,CARTON_LOOKUP!$A:$E,5,0),"")</f>
      </c>
      <c r="J3606" s="29">
        <f>IFERROR(VLOOKUP(F3606,CARTON_LOOKUP!$A:$E,2,0),"")</f>
      </c>
      <c r="K3606" s="29">
        <f>IFERROR(J3606*D3606,0)</f>
      </c>
      <c r="L3606" s="29">
        <f>IFERROR(E3606*C3606,0)</f>
      </c>
      <c r="M3606" s="29">
        <f>IFERROR((G3606*H3606*I3606/1000000)*D3606,0)</f>
      </c>
    </row>
    <row r="3607" spans="1:13" x14ac:dyDescent="0.25">
      <c r="A3607" s="16"/>
      <c r="E3607" s="27"/>
      <c r="F3607" t="s">
        <v>26</v>
      </c>
      <c r="G3607" s="28">
        <f>IFERROR(VLOOKUP(F3607,CARTON_LOOKUP!$A:$E,3,0),"")</f>
      </c>
      <c r="H3607" s="28">
        <f>IFERROR(VLOOKUP(F3607,CARTON_LOOKUP!$A:$E,4,0),"")</f>
      </c>
      <c r="I3607" s="28">
        <f>IFERROR(VLOOKUP(F3607,CARTON_LOOKUP!$A:$E,5,0),"")</f>
      </c>
      <c r="J3607" s="29">
        <f>IFERROR(VLOOKUP(F3607,CARTON_LOOKUP!$A:$E,2,0),"")</f>
      </c>
      <c r="K3607" s="29">
        <f>IFERROR(J3607*D3607,0)</f>
      </c>
      <c r="L3607" s="29">
        <f>IFERROR(E3607*C3607,0)</f>
      </c>
      <c r="M3607" s="29">
        <f>IFERROR((G3607*H3607*I3607/1000000)*D3607,0)</f>
      </c>
    </row>
    <row r="3608" spans="1:13" x14ac:dyDescent="0.25">
      <c r="A3608" s="16"/>
      <c r="E3608" s="27"/>
      <c r="F3608" t="s">
        <v>26</v>
      </c>
      <c r="G3608" s="28">
        <f>IFERROR(VLOOKUP(F3608,CARTON_LOOKUP!$A:$E,3,0),"")</f>
      </c>
      <c r="H3608" s="28">
        <f>IFERROR(VLOOKUP(F3608,CARTON_LOOKUP!$A:$E,4,0),"")</f>
      </c>
      <c r="I3608" s="28">
        <f>IFERROR(VLOOKUP(F3608,CARTON_LOOKUP!$A:$E,5,0),"")</f>
      </c>
      <c r="J3608" s="29">
        <f>IFERROR(VLOOKUP(F3608,CARTON_LOOKUP!$A:$E,2,0),"")</f>
      </c>
      <c r="K3608" s="29">
        <f>IFERROR(J3608*D3608,0)</f>
      </c>
      <c r="L3608" s="29">
        <f>IFERROR(E3608*C3608,0)</f>
      </c>
      <c r="M3608" s="29">
        <f>IFERROR((G3608*H3608*I3608/1000000)*D3608,0)</f>
      </c>
    </row>
    <row r="3609" spans="1:13" x14ac:dyDescent="0.25">
      <c r="A3609" s="16"/>
      <c r="E3609" s="27"/>
      <c r="F3609" t="s">
        <v>26</v>
      </c>
      <c r="G3609" s="28">
        <f>IFERROR(VLOOKUP(F3609,CARTON_LOOKUP!$A:$E,3,0),"")</f>
      </c>
      <c r="H3609" s="28">
        <f>IFERROR(VLOOKUP(F3609,CARTON_LOOKUP!$A:$E,4,0),"")</f>
      </c>
      <c r="I3609" s="28">
        <f>IFERROR(VLOOKUP(F3609,CARTON_LOOKUP!$A:$E,5,0),"")</f>
      </c>
      <c r="J3609" s="29">
        <f>IFERROR(VLOOKUP(F3609,CARTON_LOOKUP!$A:$E,2,0),"")</f>
      </c>
      <c r="K3609" s="29">
        <f>IFERROR(J3609*D3609,0)</f>
      </c>
      <c r="L3609" s="29">
        <f>IFERROR(E3609*C3609,0)</f>
      </c>
      <c r="M3609" s="29">
        <f>IFERROR((G3609*H3609*I3609/1000000)*D3609,0)</f>
      </c>
    </row>
    <row r="3610" spans="1:13" x14ac:dyDescent="0.25">
      <c r="A3610" s="16"/>
      <c r="E3610" s="27"/>
      <c r="F3610" t="s">
        <v>26</v>
      </c>
      <c r="G3610" s="28">
        <f>IFERROR(VLOOKUP(F3610,CARTON_LOOKUP!$A:$E,3,0),"")</f>
      </c>
      <c r="H3610" s="28">
        <f>IFERROR(VLOOKUP(F3610,CARTON_LOOKUP!$A:$E,4,0),"")</f>
      </c>
      <c r="I3610" s="28">
        <f>IFERROR(VLOOKUP(F3610,CARTON_LOOKUP!$A:$E,5,0),"")</f>
      </c>
      <c r="J3610" s="29">
        <f>IFERROR(VLOOKUP(F3610,CARTON_LOOKUP!$A:$E,2,0),"")</f>
      </c>
      <c r="K3610" s="29">
        <f>IFERROR(J3610*D3610,0)</f>
      </c>
      <c r="L3610" s="29">
        <f>IFERROR(E3610*C3610,0)</f>
      </c>
      <c r="M3610" s="29">
        <f>IFERROR((G3610*H3610*I3610/1000000)*D3610,0)</f>
      </c>
    </row>
    <row r="3611" spans="1:13" x14ac:dyDescent="0.25">
      <c r="A3611" s="16"/>
      <c r="E3611" s="27"/>
      <c r="F3611" t="s">
        <v>26</v>
      </c>
      <c r="G3611" s="28">
        <f>IFERROR(VLOOKUP(F3611,CARTON_LOOKUP!$A:$E,3,0),"")</f>
      </c>
      <c r="H3611" s="28">
        <f>IFERROR(VLOOKUP(F3611,CARTON_LOOKUP!$A:$E,4,0),"")</f>
      </c>
      <c r="I3611" s="28">
        <f>IFERROR(VLOOKUP(F3611,CARTON_LOOKUP!$A:$E,5,0),"")</f>
      </c>
      <c r="J3611" s="29">
        <f>IFERROR(VLOOKUP(F3611,CARTON_LOOKUP!$A:$E,2,0),"")</f>
      </c>
      <c r="K3611" s="29">
        <f>IFERROR(J3611*D3611,0)</f>
      </c>
      <c r="L3611" s="29">
        <f>IFERROR(E3611*C3611,0)</f>
      </c>
      <c r="M3611" s="29">
        <f>IFERROR((G3611*H3611*I3611/1000000)*D3611,0)</f>
      </c>
    </row>
    <row r="3612" spans="1:13" x14ac:dyDescent="0.25">
      <c r="A3612" s="16"/>
      <c r="E3612" s="27"/>
      <c r="F3612" t="s">
        <v>26</v>
      </c>
      <c r="G3612" s="28">
        <f>IFERROR(VLOOKUP(F3612,CARTON_LOOKUP!$A:$E,3,0),"")</f>
      </c>
      <c r="H3612" s="28">
        <f>IFERROR(VLOOKUP(F3612,CARTON_LOOKUP!$A:$E,4,0),"")</f>
      </c>
      <c r="I3612" s="28">
        <f>IFERROR(VLOOKUP(F3612,CARTON_LOOKUP!$A:$E,5,0),"")</f>
      </c>
      <c r="J3612" s="29">
        <f>IFERROR(VLOOKUP(F3612,CARTON_LOOKUP!$A:$E,2,0),"")</f>
      </c>
      <c r="K3612" s="29">
        <f>IFERROR(J3612*D3612,0)</f>
      </c>
      <c r="L3612" s="29">
        <f>IFERROR(E3612*C3612,0)</f>
      </c>
      <c r="M3612" s="29">
        <f>IFERROR((G3612*H3612*I3612/1000000)*D3612,0)</f>
      </c>
    </row>
    <row r="3613" spans="1:13" x14ac:dyDescent="0.25">
      <c r="A3613" s="16"/>
      <c r="E3613" s="27"/>
      <c r="F3613" t="s">
        <v>26</v>
      </c>
      <c r="G3613" s="28">
        <f>IFERROR(VLOOKUP(F3613,CARTON_LOOKUP!$A:$E,3,0),"")</f>
      </c>
      <c r="H3613" s="28">
        <f>IFERROR(VLOOKUP(F3613,CARTON_LOOKUP!$A:$E,4,0),"")</f>
      </c>
      <c r="I3613" s="28">
        <f>IFERROR(VLOOKUP(F3613,CARTON_LOOKUP!$A:$E,5,0),"")</f>
      </c>
      <c r="J3613" s="29">
        <f>IFERROR(VLOOKUP(F3613,CARTON_LOOKUP!$A:$E,2,0),"")</f>
      </c>
      <c r="K3613" s="29">
        <f>IFERROR(J3613*D3613,0)</f>
      </c>
      <c r="L3613" s="29">
        <f>IFERROR(E3613*C3613,0)</f>
      </c>
      <c r="M3613" s="29">
        <f>IFERROR((G3613*H3613*I3613/1000000)*D3613,0)</f>
      </c>
    </row>
    <row r="3614" spans="1:13" x14ac:dyDescent="0.25">
      <c r="A3614" s="16"/>
      <c r="E3614" s="27"/>
      <c r="F3614" t="s">
        <v>26</v>
      </c>
      <c r="G3614" s="28">
        <f>IFERROR(VLOOKUP(F3614,CARTON_LOOKUP!$A:$E,3,0),"")</f>
      </c>
      <c r="H3614" s="28">
        <f>IFERROR(VLOOKUP(F3614,CARTON_LOOKUP!$A:$E,4,0),"")</f>
      </c>
      <c r="I3614" s="28">
        <f>IFERROR(VLOOKUP(F3614,CARTON_LOOKUP!$A:$E,5,0),"")</f>
      </c>
      <c r="J3614" s="29">
        <f>IFERROR(VLOOKUP(F3614,CARTON_LOOKUP!$A:$E,2,0),"")</f>
      </c>
      <c r="K3614" s="29">
        <f>IFERROR(J3614*D3614,0)</f>
      </c>
      <c r="L3614" s="29">
        <f>IFERROR(E3614*C3614,0)</f>
      </c>
      <c r="M3614" s="29">
        <f>IFERROR((G3614*H3614*I3614/1000000)*D3614,0)</f>
      </c>
    </row>
    <row r="3615" spans="1:13" x14ac:dyDescent="0.25">
      <c r="A3615" s="16"/>
      <c r="E3615" s="27"/>
      <c r="F3615" t="s">
        <v>26</v>
      </c>
      <c r="G3615" s="28">
        <f>IFERROR(VLOOKUP(F3615,CARTON_LOOKUP!$A:$E,3,0),"")</f>
      </c>
      <c r="H3615" s="28">
        <f>IFERROR(VLOOKUP(F3615,CARTON_LOOKUP!$A:$E,4,0),"")</f>
      </c>
      <c r="I3615" s="28">
        <f>IFERROR(VLOOKUP(F3615,CARTON_LOOKUP!$A:$E,5,0),"")</f>
      </c>
      <c r="J3615" s="29">
        <f>IFERROR(VLOOKUP(F3615,CARTON_LOOKUP!$A:$E,2,0),"")</f>
      </c>
      <c r="K3615" s="29">
        <f>IFERROR(J3615*D3615,0)</f>
      </c>
      <c r="L3615" s="29">
        <f>IFERROR(E3615*C3615,0)</f>
      </c>
      <c r="M3615" s="29">
        <f>IFERROR((G3615*H3615*I3615/1000000)*D3615,0)</f>
      </c>
    </row>
    <row r="3616" spans="1:13" x14ac:dyDescent="0.25">
      <c r="A3616" s="16"/>
      <c r="E3616" s="27"/>
      <c r="F3616" t="s">
        <v>26</v>
      </c>
      <c r="G3616" s="28">
        <f>IFERROR(VLOOKUP(F3616,CARTON_LOOKUP!$A:$E,3,0),"")</f>
      </c>
      <c r="H3616" s="28">
        <f>IFERROR(VLOOKUP(F3616,CARTON_LOOKUP!$A:$E,4,0),"")</f>
      </c>
      <c r="I3616" s="28">
        <f>IFERROR(VLOOKUP(F3616,CARTON_LOOKUP!$A:$E,5,0),"")</f>
      </c>
      <c r="J3616" s="29">
        <f>IFERROR(VLOOKUP(F3616,CARTON_LOOKUP!$A:$E,2,0),"")</f>
      </c>
      <c r="K3616" s="29">
        <f>IFERROR(J3616*D3616,0)</f>
      </c>
      <c r="L3616" s="29">
        <f>IFERROR(E3616*C3616,0)</f>
      </c>
      <c r="M3616" s="29">
        <f>IFERROR((G3616*H3616*I3616/1000000)*D3616,0)</f>
      </c>
    </row>
    <row r="3617" spans="1:13" x14ac:dyDescent="0.25">
      <c r="A3617" s="16"/>
      <c r="E3617" s="27"/>
      <c r="F3617" t="s">
        <v>26</v>
      </c>
      <c r="G3617" s="28">
        <f>IFERROR(VLOOKUP(F3617,CARTON_LOOKUP!$A:$E,3,0),"")</f>
      </c>
      <c r="H3617" s="28">
        <f>IFERROR(VLOOKUP(F3617,CARTON_LOOKUP!$A:$E,4,0),"")</f>
      </c>
      <c r="I3617" s="28">
        <f>IFERROR(VLOOKUP(F3617,CARTON_LOOKUP!$A:$E,5,0),"")</f>
      </c>
      <c r="J3617" s="29">
        <f>IFERROR(VLOOKUP(F3617,CARTON_LOOKUP!$A:$E,2,0),"")</f>
      </c>
      <c r="K3617" s="29">
        <f>IFERROR(J3617*D3617,0)</f>
      </c>
      <c r="L3617" s="29">
        <f>IFERROR(E3617*C3617,0)</f>
      </c>
      <c r="M3617" s="29">
        <f>IFERROR((G3617*H3617*I3617/1000000)*D3617,0)</f>
      </c>
    </row>
    <row r="3618" spans="1:13" x14ac:dyDescent="0.25">
      <c r="A3618" s="16"/>
      <c r="E3618" s="27"/>
      <c r="F3618" t="s">
        <v>26</v>
      </c>
      <c r="G3618" s="28">
        <f>IFERROR(VLOOKUP(F3618,CARTON_LOOKUP!$A:$E,3,0),"")</f>
      </c>
      <c r="H3618" s="28">
        <f>IFERROR(VLOOKUP(F3618,CARTON_LOOKUP!$A:$E,4,0),"")</f>
      </c>
      <c r="I3618" s="28">
        <f>IFERROR(VLOOKUP(F3618,CARTON_LOOKUP!$A:$E,5,0),"")</f>
      </c>
      <c r="J3618" s="29">
        <f>IFERROR(VLOOKUP(F3618,CARTON_LOOKUP!$A:$E,2,0),"")</f>
      </c>
      <c r="K3618" s="29">
        <f>IFERROR(J3618*D3618,0)</f>
      </c>
      <c r="L3618" s="29">
        <f>IFERROR(E3618*C3618,0)</f>
      </c>
      <c r="M3618" s="29">
        <f>IFERROR((G3618*H3618*I3618/1000000)*D3618,0)</f>
      </c>
    </row>
    <row r="3619" spans="1:13" x14ac:dyDescent="0.25">
      <c r="A3619" s="16"/>
      <c r="E3619" s="27"/>
      <c r="F3619" t="s">
        <v>26</v>
      </c>
      <c r="G3619" s="28">
        <f>IFERROR(VLOOKUP(F3619,CARTON_LOOKUP!$A:$E,3,0),"")</f>
      </c>
      <c r="H3619" s="28">
        <f>IFERROR(VLOOKUP(F3619,CARTON_LOOKUP!$A:$E,4,0),"")</f>
      </c>
      <c r="I3619" s="28">
        <f>IFERROR(VLOOKUP(F3619,CARTON_LOOKUP!$A:$E,5,0),"")</f>
      </c>
      <c r="J3619" s="29">
        <f>IFERROR(VLOOKUP(F3619,CARTON_LOOKUP!$A:$E,2,0),"")</f>
      </c>
      <c r="K3619" s="29">
        <f>IFERROR(J3619*D3619,0)</f>
      </c>
      <c r="L3619" s="29">
        <f>IFERROR(E3619*C3619,0)</f>
      </c>
      <c r="M3619" s="29">
        <f>IFERROR((G3619*H3619*I3619/1000000)*D3619,0)</f>
      </c>
    </row>
    <row r="3620" spans="1:13" x14ac:dyDescent="0.25">
      <c r="A3620" s="16"/>
      <c r="E3620" s="27"/>
      <c r="F3620" t="s">
        <v>26</v>
      </c>
      <c r="G3620" s="28">
        <f>IFERROR(VLOOKUP(F3620,CARTON_LOOKUP!$A:$E,3,0),"")</f>
      </c>
      <c r="H3620" s="28">
        <f>IFERROR(VLOOKUP(F3620,CARTON_LOOKUP!$A:$E,4,0),"")</f>
      </c>
      <c r="I3620" s="28">
        <f>IFERROR(VLOOKUP(F3620,CARTON_LOOKUP!$A:$E,5,0),"")</f>
      </c>
      <c r="J3620" s="29">
        <f>IFERROR(VLOOKUP(F3620,CARTON_LOOKUP!$A:$E,2,0),"")</f>
      </c>
      <c r="K3620" s="29">
        <f>IFERROR(J3620*D3620,0)</f>
      </c>
      <c r="L3620" s="29">
        <f>IFERROR(E3620*C3620,0)</f>
      </c>
      <c r="M3620" s="29">
        <f>IFERROR((G3620*H3620*I3620/1000000)*D3620,0)</f>
      </c>
    </row>
    <row r="3621" spans="1:13" x14ac:dyDescent="0.25">
      <c r="A3621" s="16"/>
      <c r="E3621" s="27"/>
      <c r="F3621" t="s">
        <v>26</v>
      </c>
      <c r="G3621" s="28">
        <f>IFERROR(VLOOKUP(F3621,CARTON_LOOKUP!$A:$E,3,0),"")</f>
      </c>
      <c r="H3621" s="28">
        <f>IFERROR(VLOOKUP(F3621,CARTON_LOOKUP!$A:$E,4,0),"")</f>
      </c>
      <c r="I3621" s="28">
        <f>IFERROR(VLOOKUP(F3621,CARTON_LOOKUP!$A:$E,5,0),"")</f>
      </c>
      <c r="J3621" s="29">
        <f>IFERROR(VLOOKUP(F3621,CARTON_LOOKUP!$A:$E,2,0),"")</f>
      </c>
      <c r="K3621" s="29">
        <f>IFERROR(J3621*D3621,0)</f>
      </c>
      <c r="L3621" s="29">
        <f>IFERROR(E3621*C3621,0)</f>
      </c>
      <c r="M3621" s="29">
        <f>IFERROR((G3621*H3621*I3621/1000000)*D3621,0)</f>
      </c>
    </row>
    <row r="3622" spans="1:13" x14ac:dyDescent="0.25">
      <c r="A3622" s="16"/>
      <c r="E3622" s="27"/>
      <c r="F3622" t="s">
        <v>26</v>
      </c>
      <c r="G3622" s="28">
        <f>IFERROR(VLOOKUP(F3622,CARTON_LOOKUP!$A:$E,3,0),"")</f>
      </c>
      <c r="H3622" s="28">
        <f>IFERROR(VLOOKUP(F3622,CARTON_LOOKUP!$A:$E,4,0),"")</f>
      </c>
      <c r="I3622" s="28">
        <f>IFERROR(VLOOKUP(F3622,CARTON_LOOKUP!$A:$E,5,0),"")</f>
      </c>
      <c r="J3622" s="29">
        <f>IFERROR(VLOOKUP(F3622,CARTON_LOOKUP!$A:$E,2,0),"")</f>
      </c>
      <c r="K3622" s="29">
        <f>IFERROR(J3622*D3622,0)</f>
      </c>
      <c r="L3622" s="29">
        <f>IFERROR(E3622*C3622,0)</f>
      </c>
      <c r="M3622" s="29">
        <f>IFERROR((G3622*H3622*I3622/1000000)*D3622,0)</f>
      </c>
    </row>
    <row r="3623" spans="1:13" x14ac:dyDescent="0.25">
      <c r="A3623" s="16"/>
      <c r="E3623" s="27"/>
      <c r="F3623" t="s">
        <v>26</v>
      </c>
      <c r="G3623" s="28">
        <f>IFERROR(VLOOKUP(F3623,CARTON_LOOKUP!$A:$E,3,0),"")</f>
      </c>
      <c r="H3623" s="28">
        <f>IFERROR(VLOOKUP(F3623,CARTON_LOOKUP!$A:$E,4,0),"")</f>
      </c>
      <c r="I3623" s="28">
        <f>IFERROR(VLOOKUP(F3623,CARTON_LOOKUP!$A:$E,5,0),"")</f>
      </c>
      <c r="J3623" s="29">
        <f>IFERROR(VLOOKUP(F3623,CARTON_LOOKUP!$A:$E,2,0),"")</f>
      </c>
      <c r="K3623" s="29">
        <f>IFERROR(J3623*D3623,0)</f>
      </c>
      <c r="L3623" s="29">
        <f>IFERROR(E3623*C3623,0)</f>
      </c>
      <c r="M3623" s="29">
        <f>IFERROR((G3623*H3623*I3623/1000000)*D3623,0)</f>
      </c>
    </row>
    <row r="3624" spans="1:13" x14ac:dyDescent="0.25">
      <c r="A3624" s="16"/>
      <c r="E3624" s="27"/>
      <c r="F3624" t="s">
        <v>26</v>
      </c>
      <c r="G3624" s="28">
        <f>IFERROR(VLOOKUP(F3624,CARTON_LOOKUP!$A:$E,3,0),"")</f>
      </c>
      <c r="H3624" s="28">
        <f>IFERROR(VLOOKUP(F3624,CARTON_LOOKUP!$A:$E,4,0),"")</f>
      </c>
      <c r="I3624" s="28">
        <f>IFERROR(VLOOKUP(F3624,CARTON_LOOKUP!$A:$E,5,0),"")</f>
      </c>
      <c r="J3624" s="29">
        <f>IFERROR(VLOOKUP(F3624,CARTON_LOOKUP!$A:$E,2,0),"")</f>
      </c>
      <c r="K3624" s="29">
        <f>IFERROR(J3624*D3624,0)</f>
      </c>
      <c r="L3624" s="29">
        <f>IFERROR(E3624*C3624,0)</f>
      </c>
      <c r="M3624" s="29">
        <f>IFERROR((G3624*H3624*I3624/1000000)*D3624,0)</f>
      </c>
    </row>
    <row r="3625" spans="1:13" x14ac:dyDescent="0.25">
      <c r="A3625" s="16"/>
      <c r="E3625" s="27"/>
      <c r="F3625" t="s">
        <v>26</v>
      </c>
      <c r="G3625" s="28">
        <f>IFERROR(VLOOKUP(F3625,CARTON_LOOKUP!$A:$E,3,0),"")</f>
      </c>
      <c r="H3625" s="28">
        <f>IFERROR(VLOOKUP(F3625,CARTON_LOOKUP!$A:$E,4,0),"")</f>
      </c>
      <c r="I3625" s="28">
        <f>IFERROR(VLOOKUP(F3625,CARTON_LOOKUP!$A:$E,5,0),"")</f>
      </c>
      <c r="J3625" s="29">
        <f>IFERROR(VLOOKUP(F3625,CARTON_LOOKUP!$A:$E,2,0),"")</f>
      </c>
      <c r="K3625" s="29">
        <f>IFERROR(J3625*D3625,0)</f>
      </c>
      <c r="L3625" s="29">
        <f>IFERROR(E3625*C3625,0)</f>
      </c>
      <c r="M3625" s="29">
        <f>IFERROR((G3625*H3625*I3625/1000000)*D3625,0)</f>
      </c>
    </row>
    <row r="3626" spans="1:13" x14ac:dyDescent="0.25">
      <c r="A3626" s="16"/>
      <c r="E3626" s="27"/>
      <c r="F3626" t="s">
        <v>26</v>
      </c>
      <c r="G3626" s="28">
        <f>IFERROR(VLOOKUP(F3626,CARTON_LOOKUP!$A:$E,3,0),"")</f>
      </c>
      <c r="H3626" s="28">
        <f>IFERROR(VLOOKUP(F3626,CARTON_LOOKUP!$A:$E,4,0),"")</f>
      </c>
      <c r="I3626" s="28">
        <f>IFERROR(VLOOKUP(F3626,CARTON_LOOKUP!$A:$E,5,0),"")</f>
      </c>
      <c r="J3626" s="29">
        <f>IFERROR(VLOOKUP(F3626,CARTON_LOOKUP!$A:$E,2,0),"")</f>
      </c>
      <c r="K3626" s="29">
        <f>IFERROR(J3626*D3626,0)</f>
      </c>
      <c r="L3626" s="29">
        <f>IFERROR(E3626*C3626,0)</f>
      </c>
      <c r="M3626" s="29">
        <f>IFERROR((G3626*H3626*I3626/1000000)*D3626,0)</f>
      </c>
    </row>
    <row r="3627" spans="1:13" x14ac:dyDescent="0.25">
      <c r="A3627" s="16"/>
      <c r="E3627" s="27"/>
      <c r="F3627" t="s">
        <v>26</v>
      </c>
      <c r="G3627" s="28">
        <f>IFERROR(VLOOKUP(F3627,CARTON_LOOKUP!$A:$E,3,0),"")</f>
      </c>
      <c r="H3627" s="28">
        <f>IFERROR(VLOOKUP(F3627,CARTON_LOOKUP!$A:$E,4,0),"")</f>
      </c>
      <c r="I3627" s="28">
        <f>IFERROR(VLOOKUP(F3627,CARTON_LOOKUP!$A:$E,5,0),"")</f>
      </c>
      <c r="J3627" s="29">
        <f>IFERROR(VLOOKUP(F3627,CARTON_LOOKUP!$A:$E,2,0),"")</f>
      </c>
      <c r="K3627" s="29">
        <f>IFERROR(J3627*D3627,0)</f>
      </c>
      <c r="L3627" s="29">
        <f>IFERROR(E3627*C3627,0)</f>
      </c>
      <c r="M3627" s="29">
        <f>IFERROR((G3627*H3627*I3627/1000000)*D3627,0)</f>
      </c>
    </row>
    <row r="3628" spans="1:13" x14ac:dyDescent="0.25">
      <c r="A3628" s="16"/>
      <c r="E3628" s="27"/>
      <c r="F3628" t="s">
        <v>26</v>
      </c>
      <c r="G3628" s="28">
        <f>IFERROR(VLOOKUP(F3628,CARTON_LOOKUP!$A:$E,3,0),"")</f>
      </c>
      <c r="H3628" s="28">
        <f>IFERROR(VLOOKUP(F3628,CARTON_LOOKUP!$A:$E,4,0),"")</f>
      </c>
      <c r="I3628" s="28">
        <f>IFERROR(VLOOKUP(F3628,CARTON_LOOKUP!$A:$E,5,0),"")</f>
      </c>
      <c r="J3628" s="29">
        <f>IFERROR(VLOOKUP(F3628,CARTON_LOOKUP!$A:$E,2,0),"")</f>
      </c>
      <c r="K3628" s="29">
        <f>IFERROR(J3628*D3628,0)</f>
      </c>
      <c r="L3628" s="29">
        <f>IFERROR(E3628*C3628,0)</f>
      </c>
      <c r="M3628" s="29">
        <f>IFERROR((G3628*H3628*I3628/1000000)*D3628,0)</f>
      </c>
    </row>
    <row r="3629" spans="1:13" x14ac:dyDescent="0.25">
      <c r="A3629" s="16"/>
      <c r="E3629" s="27"/>
      <c r="F3629" t="s">
        <v>26</v>
      </c>
      <c r="G3629" s="28">
        <f>IFERROR(VLOOKUP(F3629,CARTON_LOOKUP!$A:$E,3,0),"")</f>
      </c>
      <c r="H3629" s="28">
        <f>IFERROR(VLOOKUP(F3629,CARTON_LOOKUP!$A:$E,4,0),"")</f>
      </c>
      <c r="I3629" s="28">
        <f>IFERROR(VLOOKUP(F3629,CARTON_LOOKUP!$A:$E,5,0),"")</f>
      </c>
      <c r="J3629" s="29">
        <f>IFERROR(VLOOKUP(F3629,CARTON_LOOKUP!$A:$E,2,0),"")</f>
      </c>
      <c r="K3629" s="29">
        <f>IFERROR(J3629*D3629,0)</f>
      </c>
      <c r="L3629" s="29">
        <f>IFERROR(E3629*C3629,0)</f>
      </c>
      <c r="M3629" s="29">
        <f>IFERROR((G3629*H3629*I3629/1000000)*D3629,0)</f>
      </c>
    </row>
    <row r="3630" spans="1:13" x14ac:dyDescent="0.25">
      <c r="A3630" s="16"/>
      <c r="E3630" s="27"/>
      <c r="F3630" t="s">
        <v>26</v>
      </c>
      <c r="G3630" s="28">
        <f>IFERROR(VLOOKUP(F3630,CARTON_LOOKUP!$A:$E,3,0),"")</f>
      </c>
      <c r="H3630" s="28">
        <f>IFERROR(VLOOKUP(F3630,CARTON_LOOKUP!$A:$E,4,0),"")</f>
      </c>
      <c r="I3630" s="28">
        <f>IFERROR(VLOOKUP(F3630,CARTON_LOOKUP!$A:$E,5,0),"")</f>
      </c>
      <c r="J3630" s="29">
        <f>IFERROR(VLOOKUP(F3630,CARTON_LOOKUP!$A:$E,2,0),"")</f>
      </c>
      <c r="K3630" s="29">
        <f>IFERROR(J3630*D3630,0)</f>
      </c>
      <c r="L3630" s="29">
        <f>IFERROR(E3630*C3630,0)</f>
      </c>
      <c r="M3630" s="29">
        <f>IFERROR((G3630*H3630*I3630/1000000)*D3630,0)</f>
      </c>
    </row>
    <row r="3631" spans="1:13" x14ac:dyDescent="0.25">
      <c r="A3631" s="16"/>
      <c r="E3631" s="27"/>
      <c r="F3631" t="s">
        <v>26</v>
      </c>
      <c r="G3631" s="28">
        <f>IFERROR(VLOOKUP(F3631,CARTON_LOOKUP!$A:$E,3,0),"")</f>
      </c>
      <c r="H3631" s="28">
        <f>IFERROR(VLOOKUP(F3631,CARTON_LOOKUP!$A:$E,4,0),"")</f>
      </c>
      <c r="I3631" s="28">
        <f>IFERROR(VLOOKUP(F3631,CARTON_LOOKUP!$A:$E,5,0),"")</f>
      </c>
      <c r="J3631" s="29">
        <f>IFERROR(VLOOKUP(F3631,CARTON_LOOKUP!$A:$E,2,0),"")</f>
      </c>
      <c r="K3631" s="29">
        <f>IFERROR(J3631*D3631,0)</f>
      </c>
      <c r="L3631" s="29">
        <f>IFERROR(E3631*C3631,0)</f>
      </c>
      <c r="M3631" s="29">
        <f>IFERROR((G3631*H3631*I3631/1000000)*D3631,0)</f>
      </c>
    </row>
    <row r="3632" spans="1:13" x14ac:dyDescent="0.25">
      <c r="A3632" s="16"/>
      <c r="E3632" s="27"/>
      <c r="F3632" t="s">
        <v>26</v>
      </c>
      <c r="G3632" s="28">
        <f>IFERROR(VLOOKUP(F3632,CARTON_LOOKUP!$A:$E,3,0),"")</f>
      </c>
      <c r="H3632" s="28">
        <f>IFERROR(VLOOKUP(F3632,CARTON_LOOKUP!$A:$E,4,0),"")</f>
      </c>
      <c r="I3632" s="28">
        <f>IFERROR(VLOOKUP(F3632,CARTON_LOOKUP!$A:$E,5,0),"")</f>
      </c>
      <c r="J3632" s="29">
        <f>IFERROR(VLOOKUP(F3632,CARTON_LOOKUP!$A:$E,2,0),"")</f>
      </c>
      <c r="K3632" s="29">
        <f>IFERROR(J3632*D3632,0)</f>
      </c>
      <c r="L3632" s="29">
        <f>IFERROR(E3632*C3632,0)</f>
      </c>
      <c r="M3632" s="29">
        <f>IFERROR((G3632*H3632*I3632/1000000)*D3632,0)</f>
      </c>
    </row>
    <row r="3633" spans="1:13" x14ac:dyDescent="0.25">
      <c r="A3633" s="16"/>
      <c r="E3633" s="27"/>
      <c r="F3633" t="s">
        <v>26</v>
      </c>
      <c r="G3633" s="28">
        <f>IFERROR(VLOOKUP(F3633,CARTON_LOOKUP!$A:$E,3,0),"")</f>
      </c>
      <c r="H3633" s="28">
        <f>IFERROR(VLOOKUP(F3633,CARTON_LOOKUP!$A:$E,4,0),"")</f>
      </c>
      <c r="I3633" s="28">
        <f>IFERROR(VLOOKUP(F3633,CARTON_LOOKUP!$A:$E,5,0),"")</f>
      </c>
      <c r="J3633" s="29">
        <f>IFERROR(VLOOKUP(F3633,CARTON_LOOKUP!$A:$E,2,0),"")</f>
      </c>
      <c r="K3633" s="29">
        <f>IFERROR(J3633*D3633,0)</f>
      </c>
      <c r="L3633" s="29">
        <f>IFERROR(E3633*C3633,0)</f>
      </c>
      <c r="M3633" s="29">
        <f>IFERROR((G3633*H3633*I3633/1000000)*D3633,0)</f>
      </c>
    </row>
    <row r="3634" spans="1:13" x14ac:dyDescent="0.25">
      <c r="A3634" s="16"/>
      <c r="E3634" s="27"/>
      <c r="F3634" t="s">
        <v>26</v>
      </c>
      <c r="G3634" s="28">
        <f>IFERROR(VLOOKUP(F3634,CARTON_LOOKUP!$A:$E,3,0),"")</f>
      </c>
      <c r="H3634" s="28">
        <f>IFERROR(VLOOKUP(F3634,CARTON_LOOKUP!$A:$E,4,0),"")</f>
      </c>
      <c r="I3634" s="28">
        <f>IFERROR(VLOOKUP(F3634,CARTON_LOOKUP!$A:$E,5,0),"")</f>
      </c>
      <c r="J3634" s="29">
        <f>IFERROR(VLOOKUP(F3634,CARTON_LOOKUP!$A:$E,2,0),"")</f>
      </c>
      <c r="K3634" s="29">
        <f>IFERROR(J3634*D3634,0)</f>
      </c>
      <c r="L3634" s="29">
        <f>IFERROR(E3634*C3634,0)</f>
      </c>
      <c r="M3634" s="29">
        <f>IFERROR((G3634*H3634*I3634/1000000)*D3634,0)</f>
      </c>
    </row>
    <row r="3635" spans="1:13" x14ac:dyDescent="0.25">
      <c r="A3635" s="16"/>
      <c r="E3635" s="27"/>
      <c r="F3635" t="s">
        <v>26</v>
      </c>
      <c r="G3635" s="28">
        <f>IFERROR(VLOOKUP(F3635,CARTON_LOOKUP!$A:$E,3,0),"")</f>
      </c>
      <c r="H3635" s="28">
        <f>IFERROR(VLOOKUP(F3635,CARTON_LOOKUP!$A:$E,4,0),"")</f>
      </c>
      <c r="I3635" s="28">
        <f>IFERROR(VLOOKUP(F3635,CARTON_LOOKUP!$A:$E,5,0),"")</f>
      </c>
      <c r="J3635" s="29">
        <f>IFERROR(VLOOKUP(F3635,CARTON_LOOKUP!$A:$E,2,0),"")</f>
      </c>
      <c r="K3635" s="29">
        <f>IFERROR(J3635*D3635,0)</f>
      </c>
      <c r="L3635" s="29">
        <f>IFERROR(E3635*C3635,0)</f>
      </c>
      <c r="M3635" s="29">
        <f>IFERROR((G3635*H3635*I3635/1000000)*D3635,0)</f>
      </c>
    </row>
    <row r="3636" spans="1:13" x14ac:dyDescent="0.25">
      <c r="A3636" s="16"/>
      <c r="E3636" s="27"/>
      <c r="F3636" t="s">
        <v>26</v>
      </c>
      <c r="G3636" s="28">
        <f>IFERROR(VLOOKUP(F3636,CARTON_LOOKUP!$A:$E,3,0),"")</f>
      </c>
      <c r="H3636" s="28">
        <f>IFERROR(VLOOKUP(F3636,CARTON_LOOKUP!$A:$E,4,0),"")</f>
      </c>
      <c r="I3636" s="28">
        <f>IFERROR(VLOOKUP(F3636,CARTON_LOOKUP!$A:$E,5,0),"")</f>
      </c>
      <c r="J3636" s="29">
        <f>IFERROR(VLOOKUP(F3636,CARTON_LOOKUP!$A:$E,2,0),"")</f>
      </c>
      <c r="K3636" s="29">
        <f>IFERROR(J3636*D3636,0)</f>
      </c>
      <c r="L3636" s="29">
        <f>IFERROR(E3636*C3636,0)</f>
      </c>
      <c r="M3636" s="29">
        <f>IFERROR((G3636*H3636*I3636/1000000)*D3636,0)</f>
      </c>
    </row>
    <row r="3637" spans="1:13" x14ac:dyDescent="0.25">
      <c r="A3637" s="16"/>
      <c r="E3637" s="27"/>
      <c r="F3637" t="s">
        <v>26</v>
      </c>
      <c r="G3637" s="28">
        <f>IFERROR(VLOOKUP(F3637,CARTON_LOOKUP!$A:$E,3,0),"")</f>
      </c>
      <c r="H3637" s="28">
        <f>IFERROR(VLOOKUP(F3637,CARTON_LOOKUP!$A:$E,4,0),"")</f>
      </c>
      <c r="I3637" s="28">
        <f>IFERROR(VLOOKUP(F3637,CARTON_LOOKUP!$A:$E,5,0),"")</f>
      </c>
      <c r="J3637" s="29">
        <f>IFERROR(VLOOKUP(F3637,CARTON_LOOKUP!$A:$E,2,0),"")</f>
      </c>
      <c r="K3637" s="29">
        <f>IFERROR(J3637*D3637,0)</f>
      </c>
      <c r="L3637" s="29">
        <f>IFERROR(E3637*C3637,0)</f>
      </c>
      <c r="M3637" s="29">
        <f>IFERROR((G3637*H3637*I3637/1000000)*D3637,0)</f>
      </c>
    </row>
    <row r="3638" spans="1:13" x14ac:dyDescent="0.25">
      <c r="A3638" s="16"/>
      <c r="E3638" s="27"/>
      <c r="F3638" t="s">
        <v>26</v>
      </c>
      <c r="G3638" s="28">
        <f>IFERROR(VLOOKUP(F3638,CARTON_LOOKUP!$A:$E,3,0),"")</f>
      </c>
      <c r="H3638" s="28">
        <f>IFERROR(VLOOKUP(F3638,CARTON_LOOKUP!$A:$E,4,0),"")</f>
      </c>
      <c r="I3638" s="28">
        <f>IFERROR(VLOOKUP(F3638,CARTON_LOOKUP!$A:$E,5,0),"")</f>
      </c>
      <c r="J3638" s="29">
        <f>IFERROR(VLOOKUP(F3638,CARTON_LOOKUP!$A:$E,2,0),"")</f>
      </c>
      <c r="K3638" s="29">
        <f>IFERROR(J3638*D3638,0)</f>
      </c>
      <c r="L3638" s="29">
        <f>IFERROR(E3638*C3638,0)</f>
      </c>
      <c r="M3638" s="29">
        <f>IFERROR((G3638*H3638*I3638/1000000)*D3638,0)</f>
      </c>
    </row>
    <row r="3639" spans="1:13" x14ac:dyDescent="0.25">
      <c r="A3639" s="16"/>
      <c r="E3639" s="27"/>
      <c r="F3639" t="s">
        <v>26</v>
      </c>
      <c r="G3639" s="28">
        <f>IFERROR(VLOOKUP(F3639,CARTON_LOOKUP!$A:$E,3,0),"")</f>
      </c>
      <c r="H3639" s="28">
        <f>IFERROR(VLOOKUP(F3639,CARTON_LOOKUP!$A:$E,4,0),"")</f>
      </c>
      <c r="I3639" s="28">
        <f>IFERROR(VLOOKUP(F3639,CARTON_LOOKUP!$A:$E,5,0),"")</f>
      </c>
      <c r="J3639" s="29">
        <f>IFERROR(VLOOKUP(F3639,CARTON_LOOKUP!$A:$E,2,0),"")</f>
      </c>
      <c r="K3639" s="29">
        <f>IFERROR(J3639*D3639,0)</f>
      </c>
      <c r="L3639" s="29">
        <f>IFERROR(E3639*C3639,0)</f>
      </c>
      <c r="M3639" s="29">
        <f>IFERROR((G3639*H3639*I3639/1000000)*D3639,0)</f>
      </c>
    </row>
    <row r="3640" spans="1:13" x14ac:dyDescent="0.25">
      <c r="A3640" s="16"/>
      <c r="E3640" s="27"/>
      <c r="F3640" t="s">
        <v>26</v>
      </c>
      <c r="G3640" s="28">
        <f>IFERROR(VLOOKUP(F3640,CARTON_LOOKUP!$A:$E,3,0),"")</f>
      </c>
      <c r="H3640" s="28">
        <f>IFERROR(VLOOKUP(F3640,CARTON_LOOKUP!$A:$E,4,0),"")</f>
      </c>
      <c r="I3640" s="28">
        <f>IFERROR(VLOOKUP(F3640,CARTON_LOOKUP!$A:$E,5,0),"")</f>
      </c>
      <c r="J3640" s="29">
        <f>IFERROR(VLOOKUP(F3640,CARTON_LOOKUP!$A:$E,2,0),"")</f>
      </c>
      <c r="K3640" s="29">
        <f>IFERROR(J3640*D3640,0)</f>
      </c>
      <c r="L3640" s="29">
        <f>IFERROR(E3640*C3640,0)</f>
      </c>
      <c r="M3640" s="29">
        <f>IFERROR((G3640*H3640*I3640/1000000)*D3640,0)</f>
      </c>
    </row>
    <row r="3641" spans="1:13" x14ac:dyDescent="0.25">
      <c r="A3641" s="16"/>
      <c r="E3641" s="27"/>
      <c r="F3641" t="s">
        <v>26</v>
      </c>
      <c r="G3641" s="28">
        <f>IFERROR(VLOOKUP(F3641,CARTON_LOOKUP!$A:$E,3,0),"")</f>
      </c>
      <c r="H3641" s="28">
        <f>IFERROR(VLOOKUP(F3641,CARTON_LOOKUP!$A:$E,4,0),"")</f>
      </c>
      <c r="I3641" s="28">
        <f>IFERROR(VLOOKUP(F3641,CARTON_LOOKUP!$A:$E,5,0),"")</f>
      </c>
      <c r="J3641" s="29">
        <f>IFERROR(VLOOKUP(F3641,CARTON_LOOKUP!$A:$E,2,0),"")</f>
      </c>
      <c r="K3641" s="29">
        <f>IFERROR(J3641*D3641,0)</f>
      </c>
      <c r="L3641" s="29">
        <f>IFERROR(E3641*C3641,0)</f>
      </c>
      <c r="M3641" s="29">
        <f>IFERROR((G3641*H3641*I3641/1000000)*D3641,0)</f>
      </c>
    </row>
    <row r="3642" spans="1:13" x14ac:dyDescent="0.25">
      <c r="A3642" s="16"/>
      <c r="E3642" s="27"/>
      <c r="F3642" t="s">
        <v>26</v>
      </c>
      <c r="G3642" s="28">
        <f>IFERROR(VLOOKUP(F3642,CARTON_LOOKUP!$A:$E,3,0),"")</f>
      </c>
      <c r="H3642" s="28">
        <f>IFERROR(VLOOKUP(F3642,CARTON_LOOKUP!$A:$E,4,0),"")</f>
      </c>
      <c r="I3642" s="28">
        <f>IFERROR(VLOOKUP(F3642,CARTON_LOOKUP!$A:$E,5,0),"")</f>
      </c>
      <c r="J3642" s="29">
        <f>IFERROR(VLOOKUP(F3642,CARTON_LOOKUP!$A:$E,2,0),"")</f>
      </c>
      <c r="K3642" s="29">
        <f>IFERROR(J3642*D3642,0)</f>
      </c>
      <c r="L3642" s="29">
        <f>IFERROR(E3642*C3642,0)</f>
      </c>
      <c r="M3642" s="29">
        <f>IFERROR((G3642*H3642*I3642/1000000)*D3642,0)</f>
      </c>
    </row>
    <row r="3643" spans="1:13" x14ac:dyDescent="0.25">
      <c r="A3643" s="16"/>
      <c r="E3643" s="27"/>
      <c r="F3643" t="s">
        <v>26</v>
      </c>
      <c r="G3643" s="28">
        <f>IFERROR(VLOOKUP(F3643,CARTON_LOOKUP!$A:$E,3,0),"")</f>
      </c>
      <c r="H3643" s="28">
        <f>IFERROR(VLOOKUP(F3643,CARTON_LOOKUP!$A:$E,4,0),"")</f>
      </c>
      <c r="I3643" s="28">
        <f>IFERROR(VLOOKUP(F3643,CARTON_LOOKUP!$A:$E,5,0),"")</f>
      </c>
      <c r="J3643" s="29">
        <f>IFERROR(VLOOKUP(F3643,CARTON_LOOKUP!$A:$E,2,0),"")</f>
      </c>
      <c r="K3643" s="29">
        <f>IFERROR(J3643*D3643,0)</f>
      </c>
      <c r="L3643" s="29">
        <f>IFERROR(E3643*C3643,0)</f>
      </c>
      <c r="M3643" s="29">
        <f>IFERROR((G3643*H3643*I3643/1000000)*D3643,0)</f>
      </c>
    </row>
    <row r="3644" spans="1:13" x14ac:dyDescent="0.25">
      <c r="A3644" s="16"/>
      <c r="E3644" s="27"/>
      <c r="F3644" t="s">
        <v>26</v>
      </c>
      <c r="G3644" s="28">
        <f>IFERROR(VLOOKUP(F3644,CARTON_LOOKUP!$A:$E,3,0),"")</f>
      </c>
      <c r="H3644" s="28">
        <f>IFERROR(VLOOKUP(F3644,CARTON_LOOKUP!$A:$E,4,0),"")</f>
      </c>
      <c r="I3644" s="28">
        <f>IFERROR(VLOOKUP(F3644,CARTON_LOOKUP!$A:$E,5,0),"")</f>
      </c>
      <c r="J3644" s="29">
        <f>IFERROR(VLOOKUP(F3644,CARTON_LOOKUP!$A:$E,2,0),"")</f>
      </c>
      <c r="K3644" s="29">
        <f>IFERROR(J3644*D3644,0)</f>
      </c>
      <c r="L3644" s="29">
        <f>IFERROR(E3644*C3644,0)</f>
      </c>
      <c r="M3644" s="29">
        <f>IFERROR((G3644*H3644*I3644/1000000)*D3644,0)</f>
      </c>
    </row>
    <row r="3645" spans="1:13" x14ac:dyDescent="0.25">
      <c r="A3645" s="16"/>
      <c r="E3645" s="27"/>
      <c r="F3645" t="s">
        <v>26</v>
      </c>
      <c r="G3645" s="28">
        <f>IFERROR(VLOOKUP(F3645,CARTON_LOOKUP!$A:$E,3,0),"")</f>
      </c>
      <c r="H3645" s="28">
        <f>IFERROR(VLOOKUP(F3645,CARTON_LOOKUP!$A:$E,4,0),"")</f>
      </c>
      <c r="I3645" s="28">
        <f>IFERROR(VLOOKUP(F3645,CARTON_LOOKUP!$A:$E,5,0),"")</f>
      </c>
      <c r="J3645" s="29">
        <f>IFERROR(VLOOKUP(F3645,CARTON_LOOKUP!$A:$E,2,0),"")</f>
      </c>
      <c r="K3645" s="29">
        <f>IFERROR(J3645*D3645,0)</f>
      </c>
      <c r="L3645" s="29">
        <f>IFERROR(E3645*C3645,0)</f>
      </c>
      <c r="M3645" s="29">
        <f>IFERROR((G3645*H3645*I3645/1000000)*D3645,0)</f>
      </c>
    </row>
    <row r="3646" spans="1:13" x14ac:dyDescent="0.25">
      <c r="A3646" s="16"/>
      <c r="E3646" s="27"/>
      <c r="F3646" t="s">
        <v>26</v>
      </c>
      <c r="G3646" s="28">
        <f>IFERROR(VLOOKUP(F3646,CARTON_LOOKUP!$A:$E,3,0),"")</f>
      </c>
      <c r="H3646" s="28">
        <f>IFERROR(VLOOKUP(F3646,CARTON_LOOKUP!$A:$E,4,0),"")</f>
      </c>
      <c r="I3646" s="28">
        <f>IFERROR(VLOOKUP(F3646,CARTON_LOOKUP!$A:$E,5,0),"")</f>
      </c>
      <c r="J3646" s="29">
        <f>IFERROR(VLOOKUP(F3646,CARTON_LOOKUP!$A:$E,2,0),"")</f>
      </c>
      <c r="K3646" s="29">
        <f>IFERROR(J3646*D3646,0)</f>
      </c>
      <c r="L3646" s="29">
        <f>IFERROR(E3646*C3646,0)</f>
      </c>
      <c r="M3646" s="29">
        <f>IFERROR((G3646*H3646*I3646/1000000)*D3646,0)</f>
      </c>
    </row>
    <row r="3647" spans="1:13" x14ac:dyDescent="0.25">
      <c r="A3647" s="16"/>
      <c r="E3647" s="27"/>
      <c r="F3647" t="s">
        <v>26</v>
      </c>
      <c r="G3647" s="28">
        <f>IFERROR(VLOOKUP(F3647,CARTON_LOOKUP!$A:$E,3,0),"")</f>
      </c>
      <c r="H3647" s="28">
        <f>IFERROR(VLOOKUP(F3647,CARTON_LOOKUP!$A:$E,4,0),"")</f>
      </c>
      <c r="I3647" s="28">
        <f>IFERROR(VLOOKUP(F3647,CARTON_LOOKUP!$A:$E,5,0),"")</f>
      </c>
      <c r="J3647" s="29">
        <f>IFERROR(VLOOKUP(F3647,CARTON_LOOKUP!$A:$E,2,0),"")</f>
      </c>
      <c r="K3647" s="29">
        <f>IFERROR(J3647*D3647,0)</f>
      </c>
      <c r="L3647" s="29">
        <f>IFERROR(E3647*C3647,0)</f>
      </c>
      <c r="M3647" s="29">
        <f>IFERROR((G3647*H3647*I3647/1000000)*D3647,0)</f>
      </c>
    </row>
    <row r="3648" spans="1:13" x14ac:dyDescent="0.25">
      <c r="A3648" s="16"/>
      <c r="E3648" s="27"/>
      <c r="F3648" t="s">
        <v>26</v>
      </c>
      <c r="G3648" s="28">
        <f>IFERROR(VLOOKUP(F3648,CARTON_LOOKUP!$A:$E,3,0),"")</f>
      </c>
      <c r="H3648" s="28">
        <f>IFERROR(VLOOKUP(F3648,CARTON_LOOKUP!$A:$E,4,0),"")</f>
      </c>
      <c r="I3648" s="28">
        <f>IFERROR(VLOOKUP(F3648,CARTON_LOOKUP!$A:$E,5,0),"")</f>
      </c>
      <c r="J3648" s="29">
        <f>IFERROR(VLOOKUP(F3648,CARTON_LOOKUP!$A:$E,2,0),"")</f>
      </c>
      <c r="K3648" s="29">
        <f>IFERROR(J3648*D3648,0)</f>
      </c>
      <c r="L3648" s="29">
        <f>IFERROR(E3648*C3648,0)</f>
      </c>
      <c r="M3648" s="29">
        <f>IFERROR((G3648*H3648*I3648/1000000)*D3648,0)</f>
      </c>
    </row>
    <row r="3649" spans="1:13" x14ac:dyDescent="0.25">
      <c r="A3649" s="16"/>
      <c r="E3649" s="27"/>
      <c r="F3649" t="s">
        <v>26</v>
      </c>
      <c r="G3649" s="28">
        <f>IFERROR(VLOOKUP(F3649,CARTON_LOOKUP!$A:$E,3,0),"")</f>
      </c>
      <c r="H3649" s="28">
        <f>IFERROR(VLOOKUP(F3649,CARTON_LOOKUP!$A:$E,4,0),"")</f>
      </c>
      <c r="I3649" s="28">
        <f>IFERROR(VLOOKUP(F3649,CARTON_LOOKUP!$A:$E,5,0),"")</f>
      </c>
      <c r="J3649" s="29">
        <f>IFERROR(VLOOKUP(F3649,CARTON_LOOKUP!$A:$E,2,0),"")</f>
      </c>
      <c r="K3649" s="29">
        <f>IFERROR(J3649*D3649,0)</f>
      </c>
      <c r="L3649" s="29">
        <f>IFERROR(E3649*C3649,0)</f>
      </c>
      <c r="M3649" s="29">
        <f>IFERROR((G3649*H3649*I3649/1000000)*D3649,0)</f>
      </c>
    </row>
    <row r="3650" spans="1:13" x14ac:dyDescent="0.25">
      <c r="A3650" s="16"/>
      <c r="E3650" s="27"/>
      <c r="F3650" t="s">
        <v>26</v>
      </c>
      <c r="G3650" s="28">
        <f>IFERROR(VLOOKUP(F3650,CARTON_LOOKUP!$A:$E,3,0),"")</f>
      </c>
      <c r="H3650" s="28">
        <f>IFERROR(VLOOKUP(F3650,CARTON_LOOKUP!$A:$E,4,0),"")</f>
      </c>
      <c r="I3650" s="28">
        <f>IFERROR(VLOOKUP(F3650,CARTON_LOOKUP!$A:$E,5,0),"")</f>
      </c>
      <c r="J3650" s="29">
        <f>IFERROR(VLOOKUP(F3650,CARTON_LOOKUP!$A:$E,2,0),"")</f>
      </c>
      <c r="K3650" s="29">
        <f>IFERROR(J3650*D3650,0)</f>
      </c>
      <c r="L3650" s="29">
        <f>IFERROR(E3650*C3650,0)</f>
      </c>
      <c r="M3650" s="29">
        <f>IFERROR((G3650*H3650*I3650/1000000)*D3650,0)</f>
      </c>
    </row>
    <row r="3651" spans="1:13" x14ac:dyDescent="0.25">
      <c r="A3651" s="16"/>
      <c r="E3651" s="27"/>
      <c r="F3651" t="s">
        <v>26</v>
      </c>
      <c r="G3651" s="28">
        <f>IFERROR(VLOOKUP(F3651,CARTON_LOOKUP!$A:$E,3,0),"")</f>
      </c>
      <c r="H3651" s="28">
        <f>IFERROR(VLOOKUP(F3651,CARTON_LOOKUP!$A:$E,4,0),"")</f>
      </c>
      <c r="I3651" s="28">
        <f>IFERROR(VLOOKUP(F3651,CARTON_LOOKUP!$A:$E,5,0),"")</f>
      </c>
      <c r="J3651" s="29">
        <f>IFERROR(VLOOKUP(F3651,CARTON_LOOKUP!$A:$E,2,0),"")</f>
      </c>
      <c r="K3651" s="29">
        <f>IFERROR(J3651*D3651,0)</f>
      </c>
      <c r="L3651" s="29">
        <f>IFERROR(E3651*C3651,0)</f>
      </c>
      <c r="M3651" s="29">
        <f>IFERROR((G3651*H3651*I3651/1000000)*D3651,0)</f>
      </c>
    </row>
    <row r="3652" spans="1:13" x14ac:dyDescent="0.25">
      <c r="A3652" s="16"/>
      <c r="E3652" s="27"/>
      <c r="F3652" t="s">
        <v>26</v>
      </c>
      <c r="G3652" s="28">
        <f>IFERROR(VLOOKUP(F3652,CARTON_LOOKUP!$A:$E,3,0),"")</f>
      </c>
      <c r="H3652" s="28">
        <f>IFERROR(VLOOKUP(F3652,CARTON_LOOKUP!$A:$E,4,0),"")</f>
      </c>
      <c r="I3652" s="28">
        <f>IFERROR(VLOOKUP(F3652,CARTON_LOOKUP!$A:$E,5,0),"")</f>
      </c>
      <c r="J3652" s="29">
        <f>IFERROR(VLOOKUP(F3652,CARTON_LOOKUP!$A:$E,2,0),"")</f>
      </c>
      <c r="K3652" s="29">
        <f>IFERROR(J3652*D3652,0)</f>
      </c>
      <c r="L3652" s="29">
        <f>IFERROR(E3652*C3652,0)</f>
      </c>
      <c r="M3652" s="29">
        <f>IFERROR((G3652*H3652*I3652/1000000)*D3652,0)</f>
      </c>
    </row>
    <row r="3653" spans="1:13" x14ac:dyDescent="0.25">
      <c r="A3653" s="16"/>
      <c r="E3653" s="27"/>
      <c r="F3653" t="s">
        <v>26</v>
      </c>
      <c r="G3653" s="28">
        <f>IFERROR(VLOOKUP(F3653,CARTON_LOOKUP!$A:$E,3,0),"")</f>
      </c>
      <c r="H3653" s="28">
        <f>IFERROR(VLOOKUP(F3653,CARTON_LOOKUP!$A:$E,4,0),"")</f>
      </c>
      <c r="I3653" s="28">
        <f>IFERROR(VLOOKUP(F3653,CARTON_LOOKUP!$A:$E,5,0),"")</f>
      </c>
      <c r="J3653" s="29">
        <f>IFERROR(VLOOKUP(F3653,CARTON_LOOKUP!$A:$E,2,0),"")</f>
      </c>
      <c r="K3653" s="29">
        <f>IFERROR(J3653*D3653,0)</f>
      </c>
      <c r="L3653" s="29">
        <f>IFERROR(E3653*C3653,0)</f>
      </c>
      <c r="M3653" s="29">
        <f>IFERROR((G3653*H3653*I3653/1000000)*D3653,0)</f>
      </c>
    </row>
    <row r="3654" spans="1:13" x14ac:dyDescent="0.25">
      <c r="A3654" s="16"/>
      <c r="E3654" s="27"/>
      <c r="F3654" t="s">
        <v>26</v>
      </c>
      <c r="G3654" s="28">
        <f>IFERROR(VLOOKUP(F3654,CARTON_LOOKUP!$A:$E,3,0),"")</f>
      </c>
      <c r="H3654" s="28">
        <f>IFERROR(VLOOKUP(F3654,CARTON_LOOKUP!$A:$E,4,0),"")</f>
      </c>
      <c r="I3654" s="28">
        <f>IFERROR(VLOOKUP(F3654,CARTON_LOOKUP!$A:$E,5,0),"")</f>
      </c>
      <c r="J3654" s="29">
        <f>IFERROR(VLOOKUP(F3654,CARTON_LOOKUP!$A:$E,2,0),"")</f>
      </c>
      <c r="K3654" s="29">
        <f>IFERROR(J3654*D3654,0)</f>
      </c>
      <c r="L3654" s="29">
        <f>IFERROR(E3654*C3654,0)</f>
      </c>
      <c r="M3654" s="29">
        <f>IFERROR((G3654*H3654*I3654/1000000)*D3654,0)</f>
      </c>
    </row>
    <row r="3655" spans="1:13" x14ac:dyDescent="0.25">
      <c r="A3655" s="16"/>
      <c r="E3655" s="27"/>
      <c r="F3655" t="s">
        <v>26</v>
      </c>
      <c r="G3655" s="28">
        <f>IFERROR(VLOOKUP(F3655,CARTON_LOOKUP!$A:$E,3,0),"")</f>
      </c>
      <c r="H3655" s="28">
        <f>IFERROR(VLOOKUP(F3655,CARTON_LOOKUP!$A:$E,4,0),"")</f>
      </c>
      <c r="I3655" s="28">
        <f>IFERROR(VLOOKUP(F3655,CARTON_LOOKUP!$A:$E,5,0),"")</f>
      </c>
      <c r="J3655" s="29">
        <f>IFERROR(VLOOKUP(F3655,CARTON_LOOKUP!$A:$E,2,0),"")</f>
      </c>
      <c r="K3655" s="29">
        <f>IFERROR(J3655*D3655,0)</f>
      </c>
      <c r="L3655" s="29">
        <f>IFERROR(E3655*C3655,0)</f>
      </c>
      <c r="M3655" s="29">
        <f>IFERROR((G3655*H3655*I3655/1000000)*D3655,0)</f>
      </c>
    </row>
    <row r="3656" spans="1:13" x14ac:dyDescent="0.25">
      <c r="A3656" s="16"/>
      <c r="E3656" s="27"/>
      <c r="F3656" t="s">
        <v>26</v>
      </c>
      <c r="G3656" s="28">
        <f>IFERROR(VLOOKUP(F3656,CARTON_LOOKUP!$A:$E,3,0),"")</f>
      </c>
      <c r="H3656" s="28">
        <f>IFERROR(VLOOKUP(F3656,CARTON_LOOKUP!$A:$E,4,0),"")</f>
      </c>
      <c r="I3656" s="28">
        <f>IFERROR(VLOOKUP(F3656,CARTON_LOOKUP!$A:$E,5,0),"")</f>
      </c>
      <c r="J3656" s="29">
        <f>IFERROR(VLOOKUP(F3656,CARTON_LOOKUP!$A:$E,2,0),"")</f>
      </c>
      <c r="K3656" s="29">
        <f>IFERROR(J3656*D3656,0)</f>
      </c>
      <c r="L3656" s="29">
        <f>IFERROR(E3656*C3656,0)</f>
      </c>
      <c r="M3656" s="29">
        <f>IFERROR((G3656*H3656*I3656/1000000)*D3656,0)</f>
      </c>
    </row>
    <row r="3657" spans="1:13" x14ac:dyDescent="0.25">
      <c r="A3657" s="16"/>
      <c r="E3657" s="27"/>
      <c r="F3657" t="s">
        <v>26</v>
      </c>
      <c r="G3657" s="28">
        <f>IFERROR(VLOOKUP(F3657,CARTON_LOOKUP!$A:$E,3,0),"")</f>
      </c>
      <c r="H3657" s="28">
        <f>IFERROR(VLOOKUP(F3657,CARTON_LOOKUP!$A:$E,4,0),"")</f>
      </c>
      <c r="I3657" s="28">
        <f>IFERROR(VLOOKUP(F3657,CARTON_LOOKUP!$A:$E,5,0),"")</f>
      </c>
      <c r="J3657" s="29">
        <f>IFERROR(VLOOKUP(F3657,CARTON_LOOKUP!$A:$E,2,0),"")</f>
      </c>
      <c r="K3657" s="29">
        <f>IFERROR(J3657*D3657,0)</f>
      </c>
      <c r="L3657" s="29">
        <f>IFERROR(E3657*C3657,0)</f>
      </c>
      <c r="M3657" s="29">
        <f>IFERROR((G3657*H3657*I3657/1000000)*D3657,0)</f>
      </c>
    </row>
    <row r="3658" spans="1:13" x14ac:dyDescent="0.25">
      <c r="A3658" s="16"/>
      <c r="E3658" s="27"/>
      <c r="F3658" t="s">
        <v>26</v>
      </c>
      <c r="G3658" s="28">
        <f>IFERROR(VLOOKUP(F3658,CARTON_LOOKUP!$A:$E,3,0),"")</f>
      </c>
      <c r="H3658" s="28">
        <f>IFERROR(VLOOKUP(F3658,CARTON_LOOKUP!$A:$E,4,0),"")</f>
      </c>
      <c r="I3658" s="28">
        <f>IFERROR(VLOOKUP(F3658,CARTON_LOOKUP!$A:$E,5,0),"")</f>
      </c>
      <c r="J3658" s="29">
        <f>IFERROR(VLOOKUP(F3658,CARTON_LOOKUP!$A:$E,2,0),"")</f>
      </c>
      <c r="K3658" s="29">
        <f>IFERROR(J3658*D3658,0)</f>
      </c>
      <c r="L3658" s="29">
        <f>IFERROR(E3658*C3658,0)</f>
      </c>
      <c r="M3658" s="29">
        <f>IFERROR((G3658*H3658*I3658/1000000)*D3658,0)</f>
      </c>
    </row>
    <row r="3659" spans="1:13" x14ac:dyDescent="0.25">
      <c r="A3659" s="16"/>
      <c r="E3659" s="27"/>
      <c r="F3659" t="s">
        <v>26</v>
      </c>
      <c r="G3659" s="28">
        <f>IFERROR(VLOOKUP(F3659,CARTON_LOOKUP!$A:$E,3,0),"")</f>
      </c>
      <c r="H3659" s="28">
        <f>IFERROR(VLOOKUP(F3659,CARTON_LOOKUP!$A:$E,4,0),"")</f>
      </c>
      <c r="I3659" s="28">
        <f>IFERROR(VLOOKUP(F3659,CARTON_LOOKUP!$A:$E,5,0),"")</f>
      </c>
      <c r="J3659" s="29">
        <f>IFERROR(VLOOKUP(F3659,CARTON_LOOKUP!$A:$E,2,0),"")</f>
      </c>
      <c r="K3659" s="29">
        <f>IFERROR(J3659*D3659,0)</f>
      </c>
      <c r="L3659" s="29">
        <f>IFERROR(E3659*C3659,0)</f>
      </c>
      <c r="M3659" s="29">
        <f>IFERROR((G3659*H3659*I3659/1000000)*D3659,0)</f>
      </c>
    </row>
    <row r="3660" spans="1:13" x14ac:dyDescent="0.25">
      <c r="A3660" s="16"/>
      <c r="E3660" s="27"/>
      <c r="F3660" t="s">
        <v>26</v>
      </c>
      <c r="G3660" s="28">
        <f>IFERROR(VLOOKUP(F3660,CARTON_LOOKUP!$A:$E,3,0),"")</f>
      </c>
      <c r="H3660" s="28">
        <f>IFERROR(VLOOKUP(F3660,CARTON_LOOKUP!$A:$E,4,0),"")</f>
      </c>
      <c r="I3660" s="28">
        <f>IFERROR(VLOOKUP(F3660,CARTON_LOOKUP!$A:$E,5,0),"")</f>
      </c>
      <c r="J3660" s="29">
        <f>IFERROR(VLOOKUP(F3660,CARTON_LOOKUP!$A:$E,2,0),"")</f>
      </c>
      <c r="K3660" s="29">
        <f>IFERROR(J3660*D3660,0)</f>
      </c>
      <c r="L3660" s="29">
        <f>IFERROR(E3660*C3660,0)</f>
      </c>
      <c r="M3660" s="29">
        <f>IFERROR((G3660*H3660*I3660/1000000)*D3660,0)</f>
      </c>
    </row>
    <row r="3661" spans="1:13" x14ac:dyDescent="0.25">
      <c r="A3661" s="16"/>
      <c r="E3661" s="27"/>
      <c r="F3661" t="s">
        <v>26</v>
      </c>
      <c r="G3661" s="28">
        <f>IFERROR(VLOOKUP(F3661,CARTON_LOOKUP!$A:$E,3,0),"")</f>
      </c>
      <c r="H3661" s="28">
        <f>IFERROR(VLOOKUP(F3661,CARTON_LOOKUP!$A:$E,4,0),"")</f>
      </c>
      <c r="I3661" s="28">
        <f>IFERROR(VLOOKUP(F3661,CARTON_LOOKUP!$A:$E,5,0),"")</f>
      </c>
      <c r="J3661" s="29">
        <f>IFERROR(VLOOKUP(F3661,CARTON_LOOKUP!$A:$E,2,0),"")</f>
      </c>
      <c r="K3661" s="29">
        <f>IFERROR(J3661*D3661,0)</f>
      </c>
      <c r="L3661" s="29">
        <f>IFERROR(E3661*C3661,0)</f>
      </c>
      <c r="M3661" s="29">
        <f>IFERROR((G3661*H3661*I3661/1000000)*D3661,0)</f>
      </c>
    </row>
    <row r="3662" spans="1:13" x14ac:dyDescent="0.25">
      <c r="A3662" s="16"/>
      <c r="E3662" s="27"/>
      <c r="F3662" t="s">
        <v>26</v>
      </c>
      <c r="G3662" s="28">
        <f>IFERROR(VLOOKUP(F3662,CARTON_LOOKUP!$A:$E,3,0),"")</f>
      </c>
      <c r="H3662" s="28">
        <f>IFERROR(VLOOKUP(F3662,CARTON_LOOKUP!$A:$E,4,0),"")</f>
      </c>
      <c r="I3662" s="28">
        <f>IFERROR(VLOOKUP(F3662,CARTON_LOOKUP!$A:$E,5,0),"")</f>
      </c>
      <c r="J3662" s="29">
        <f>IFERROR(VLOOKUP(F3662,CARTON_LOOKUP!$A:$E,2,0),"")</f>
      </c>
      <c r="K3662" s="29">
        <f>IFERROR(J3662*D3662,0)</f>
      </c>
      <c r="L3662" s="29">
        <f>IFERROR(E3662*C3662,0)</f>
      </c>
      <c r="M3662" s="29">
        <f>IFERROR((G3662*H3662*I3662/1000000)*D3662,0)</f>
      </c>
    </row>
    <row r="3663" spans="1:13" x14ac:dyDescent="0.25">
      <c r="A3663" s="16"/>
      <c r="E3663" s="27"/>
      <c r="F3663" t="s">
        <v>26</v>
      </c>
      <c r="G3663" s="28">
        <f>IFERROR(VLOOKUP(F3663,CARTON_LOOKUP!$A:$E,3,0),"")</f>
      </c>
      <c r="H3663" s="28">
        <f>IFERROR(VLOOKUP(F3663,CARTON_LOOKUP!$A:$E,4,0),"")</f>
      </c>
      <c r="I3663" s="28">
        <f>IFERROR(VLOOKUP(F3663,CARTON_LOOKUP!$A:$E,5,0),"")</f>
      </c>
      <c r="J3663" s="29">
        <f>IFERROR(VLOOKUP(F3663,CARTON_LOOKUP!$A:$E,2,0),"")</f>
      </c>
      <c r="K3663" s="29">
        <f>IFERROR(J3663*D3663,0)</f>
      </c>
      <c r="L3663" s="29">
        <f>IFERROR(E3663*C3663,0)</f>
      </c>
      <c r="M3663" s="29">
        <f>IFERROR((G3663*H3663*I3663/1000000)*D3663,0)</f>
      </c>
    </row>
    <row r="3664" spans="1:13" x14ac:dyDescent="0.25">
      <c r="A3664" s="16"/>
      <c r="E3664" s="27"/>
      <c r="F3664" t="s">
        <v>26</v>
      </c>
      <c r="G3664" s="28">
        <f>IFERROR(VLOOKUP(F3664,CARTON_LOOKUP!$A:$E,3,0),"")</f>
      </c>
      <c r="H3664" s="28">
        <f>IFERROR(VLOOKUP(F3664,CARTON_LOOKUP!$A:$E,4,0),"")</f>
      </c>
      <c r="I3664" s="28">
        <f>IFERROR(VLOOKUP(F3664,CARTON_LOOKUP!$A:$E,5,0),"")</f>
      </c>
      <c r="J3664" s="29">
        <f>IFERROR(VLOOKUP(F3664,CARTON_LOOKUP!$A:$E,2,0),"")</f>
      </c>
      <c r="K3664" s="29">
        <f>IFERROR(J3664*D3664,0)</f>
      </c>
      <c r="L3664" s="29">
        <f>IFERROR(E3664*C3664,0)</f>
      </c>
      <c r="M3664" s="29">
        <f>IFERROR((G3664*H3664*I3664/1000000)*D3664,0)</f>
      </c>
    </row>
    <row r="3665" spans="1:13" x14ac:dyDescent="0.25">
      <c r="A3665" s="16"/>
      <c r="E3665" s="27"/>
      <c r="F3665" t="s">
        <v>26</v>
      </c>
      <c r="G3665" s="28">
        <f>IFERROR(VLOOKUP(F3665,CARTON_LOOKUP!$A:$E,3,0),"")</f>
      </c>
      <c r="H3665" s="28">
        <f>IFERROR(VLOOKUP(F3665,CARTON_LOOKUP!$A:$E,4,0),"")</f>
      </c>
      <c r="I3665" s="28">
        <f>IFERROR(VLOOKUP(F3665,CARTON_LOOKUP!$A:$E,5,0),"")</f>
      </c>
      <c r="J3665" s="29">
        <f>IFERROR(VLOOKUP(F3665,CARTON_LOOKUP!$A:$E,2,0),"")</f>
      </c>
      <c r="K3665" s="29">
        <f>IFERROR(J3665*D3665,0)</f>
      </c>
      <c r="L3665" s="29">
        <f>IFERROR(E3665*C3665,0)</f>
      </c>
      <c r="M3665" s="29">
        <f>IFERROR((G3665*H3665*I3665/1000000)*D3665,0)</f>
      </c>
    </row>
    <row r="3666" spans="1:13" x14ac:dyDescent="0.25">
      <c r="A3666" s="16"/>
      <c r="E3666" s="27"/>
      <c r="F3666" t="s">
        <v>26</v>
      </c>
      <c r="G3666" s="28">
        <f>IFERROR(VLOOKUP(F3666,CARTON_LOOKUP!$A:$E,3,0),"")</f>
      </c>
      <c r="H3666" s="28">
        <f>IFERROR(VLOOKUP(F3666,CARTON_LOOKUP!$A:$E,4,0),"")</f>
      </c>
      <c r="I3666" s="28">
        <f>IFERROR(VLOOKUP(F3666,CARTON_LOOKUP!$A:$E,5,0),"")</f>
      </c>
      <c r="J3666" s="29">
        <f>IFERROR(VLOOKUP(F3666,CARTON_LOOKUP!$A:$E,2,0),"")</f>
      </c>
      <c r="K3666" s="29">
        <f>IFERROR(J3666*D3666,0)</f>
      </c>
      <c r="L3666" s="29">
        <f>IFERROR(E3666*C3666,0)</f>
      </c>
      <c r="M3666" s="29">
        <f>IFERROR((G3666*H3666*I3666/1000000)*D3666,0)</f>
      </c>
    </row>
    <row r="3667" spans="1:13" x14ac:dyDescent="0.25">
      <c r="A3667" s="16"/>
      <c r="E3667" s="27"/>
      <c r="F3667" t="s">
        <v>26</v>
      </c>
      <c r="G3667" s="28">
        <f>IFERROR(VLOOKUP(F3667,CARTON_LOOKUP!$A:$E,3,0),"")</f>
      </c>
      <c r="H3667" s="28">
        <f>IFERROR(VLOOKUP(F3667,CARTON_LOOKUP!$A:$E,4,0),"")</f>
      </c>
      <c r="I3667" s="28">
        <f>IFERROR(VLOOKUP(F3667,CARTON_LOOKUP!$A:$E,5,0),"")</f>
      </c>
      <c r="J3667" s="29">
        <f>IFERROR(VLOOKUP(F3667,CARTON_LOOKUP!$A:$E,2,0),"")</f>
      </c>
      <c r="K3667" s="29">
        <f>IFERROR(J3667*D3667,0)</f>
      </c>
      <c r="L3667" s="29">
        <f>IFERROR(E3667*C3667,0)</f>
      </c>
      <c r="M3667" s="29">
        <f>IFERROR((G3667*H3667*I3667/1000000)*D3667,0)</f>
      </c>
    </row>
    <row r="3668" spans="1:13" x14ac:dyDescent="0.25">
      <c r="A3668" s="16"/>
      <c r="E3668" s="27"/>
      <c r="F3668" t="s">
        <v>26</v>
      </c>
      <c r="G3668" s="28">
        <f>IFERROR(VLOOKUP(F3668,CARTON_LOOKUP!$A:$E,3,0),"")</f>
      </c>
      <c r="H3668" s="28">
        <f>IFERROR(VLOOKUP(F3668,CARTON_LOOKUP!$A:$E,4,0),"")</f>
      </c>
      <c r="I3668" s="28">
        <f>IFERROR(VLOOKUP(F3668,CARTON_LOOKUP!$A:$E,5,0),"")</f>
      </c>
      <c r="J3668" s="29">
        <f>IFERROR(VLOOKUP(F3668,CARTON_LOOKUP!$A:$E,2,0),"")</f>
      </c>
      <c r="K3668" s="29">
        <f>IFERROR(J3668*D3668,0)</f>
      </c>
      <c r="L3668" s="29">
        <f>IFERROR(E3668*C3668,0)</f>
      </c>
      <c r="M3668" s="29">
        <f>IFERROR((G3668*H3668*I3668/1000000)*D3668,0)</f>
      </c>
    </row>
    <row r="3669" spans="1:13" x14ac:dyDescent="0.25">
      <c r="A3669" s="16"/>
      <c r="E3669" s="27"/>
      <c r="F3669" t="s">
        <v>26</v>
      </c>
      <c r="G3669" s="28">
        <f>IFERROR(VLOOKUP(F3669,CARTON_LOOKUP!$A:$E,3,0),"")</f>
      </c>
      <c r="H3669" s="28">
        <f>IFERROR(VLOOKUP(F3669,CARTON_LOOKUP!$A:$E,4,0),"")</f>
      </c>
      <c r="I3669" s="28">
        <f>IFERROR(VLOOKUP(F3669,CARTON_LOOKUP!$A:$E,5,0),"")</f>
      </c>
      <c r="J3669" s="29">
        <f>IFERROR(VLOOKUP(F3669,CARTON_LOOKUP!$A:$E,2,0),"")</f>
      </c>
      <c r="K3669" s="29">
        <f>IFERROR(J3669*D3669,0)</f>
      </c>
      <c r="L3669" s="29">
        <f>IFERROR(E3669*C3669,0)</f>
      </c>
      <c r="M3669" s="29">
        <f>IFERROR((G3669*H3669*I3669/1000000)*D3669,0)</f>
      </c>
    </row>
    <row r="3670" spans="1:13" x14ac:dyDescent="0.25">
      <c r="A3670" s="16"/>
      <c r="E3670" s="27"/>
      <c r="F3670" t="s">
        <v>26</v>
      </c>
      <c r="G3670" s="28">
        <f>IFERROR(VLOOKUP(F3670,CARTON_LOOKUP!$A:$E,3,0),"")</f>
      </c>
      <c r="H3670" s="28">
        <f>IFERROR(VLOOKUP(F3670,CARTON_LOOKUP!$A:$E,4,0),"")</f>
      </c>
      <c r="I3670" s="28">
        <f>IFERROR(VLOOKUP(F3670,CARTON_LOOKUP!$A:$E,5,0),"")</f>
      </c>
      <c r="J3670" s="29">
        <f>IFERROR(VLOOKUP(F3670,CARTON_LOOKUP!$A:$E,2,0),"")</f>
      </c>
      <c r="K3670" s="29">
        <f>IFERROR(J3670*D3670,0)</f>
      </c>
      <c r="L3670" s="29">
        <f>IFERROR(E3670*C3670,0)</f>
      </c>
      <c r="M3670" s="29">
        <f>IFERROR((G3670*H3670*I3670/1000000)*D3670,0)</f>
      </c>
    </row>
    <row r="3671" spans="1:13" x14ac:dyDescent="0.25">
      <c r="A3671" s="16"/>
      <c r="E3671" s="27"/>
      <c r="F3671" t="s">
        <v>26</v>
      </c>
      <c r="G3671" s="28">
        <f>IFERROR(VLOOKUP(F3671,CARTON_LOOKUP!$A:$E,3,0),"")</f>
      </c>
      <c r="H3671" s="28">
        <f>IFERROR(VLOOKUP(F3671,CARTON_LOOKUP!$A:$E,4,0),"")</f>
      </c>
      <c r="I3671" s="28">
        <f>IFERROR(VLOOKUP(F3671,CARTON_LOOKUP!$A:$E,5,0),"")</f>
      </c>
      <c r="J3671" s="29">
        <f>IFERROR(VLOOKUP(F3671,CARTON_LOOKUP!$A:$E,2,0),"")</f>
      </c>
      <c r="K3671" s="29">
        <f>IFERROR(J3671*D3671,0)</f>
      </c>
      <c r="L3671" s="29">
        <f>IFERROR(E3671*C3671,0)</f>
      </c>
      <c r="M3671" s="29">
        <f>IFERROR((G3671*H3671*I3671/1000000)*D3671,0)</f>
      </c>
    </row>
    <row r="3672" spans="1:13" x14ac:dyDescent="0.25">
      <c r="A3672" s="16"/>
      <c r="E3672" s="27"/>
      <c r="F3672" t="s">
        <v>26</v>
      </c>
      <c r="G3672" s="28">
        <f>IFERROR(VLOOKUP(F3672,CARTON_LOOKUP!$A:$E,3,0),"")</f>
      </c>
      <c r="H3672" s="28">
        <f>IFERROR(VLOOKUP(F3672,CARTON_LOOKUP!$A:$E,4,0),"")</f>
      </c>
      <c r="I3672" s="28">
        <f>IFERROR(VLOOKUP(F3672,CARTON_LOOKUP!$A:$E,5,0),"")</f>
      </c>
      <c r="J3672" s="29">
        <f>IFERROR(VLOOKUP(F3672,CARTON_LOOKUP!$A:$E,2,0),"")</f>
      </c>
      <c r="K3672" s="29">
        <f>IFERROR(J3672*D3672,0)</f>
      </c>
      <c r="L3672" s="29">
        <f>IFERROR(E3672*C3672,0)</f>
      </c>
      <c r="M3672" s="29">
        <f>IFERROR((G3672*H3672*I3672/1000000)*D3672,0)</f>
      </c>
    </row>
    <row r="3673" spans="1:13" x14ac:dyDescent="0.25">
      <c r="A3673" s="16"/>
      <c r="E3673" s="27"/>
      <c r="F3673" t="s">
        <v>26</v>
      </c>
      <c r="G3673" s="28">
        <f>IFERROR(VLOOKUP(F3673,CARTON_LOOKUP!$A:$E,3,0),"")</f>
      </c>
      <c r="H3673" s="28">
        <f>IFERROR(VLOOKUP(F3673,CARTON_LOOKUP!$A:$E,4,0),"")</f>
      </c>
      <c r="I3673" s="28">
        <f>IFERROR(VLOOKUP(F3673,CARTON_LOOKUP!$A:$E,5,0),"")</f>
      </c>
      <c r="J3673" s="29">
        <f>IFERROR(VLOOKUP(F3673,CARTON_LOOKUP!$A:$E,2,0),"")</f>
      </c>
      <c r="K3673" s="29">
        <f>IFERROR(J3673*D3673,0)</f>
      </c>
      <c r="L3673" s="29">
        <f>IFERROR(E3673*C3673,0)</f>
      </c>
      <c r="M3673" s="29">
        <f>IFERROR((G3673*H3673*I3673/1000000)*D3673,0)</f>
      </c>
    </row>
    <row r="3674" spans="1:13" x14ac:dyDescent="0.25">
      <c r="A3674" s="16"/>
      <c r="E3674" s="27"/>
      <c r="F3674" t="s">
        <v>26</v>
      </c>
      <c r="G3674" s="28">
        <f>IFERROR(VLOOKUP(F3674,CARTON_LOOKUP!$A:$E,3,0),"")</f>
      </c>
      <c r="H3674" s="28">
        <f>IFERROR(VLOOKUP(F3674,CARTON_LOOKUP!$A:$E,4,0),"")</f>
      </c>
      <c r="I3674" s="28">
        <f>IFERROR(VLOOKUP(F3674,CARTON_LOOKUP!$A:$E,5,0),"")</f>
      </c>
      <c r="J3674" s="29">
        <f>IFERROR(VLOOKUP(F3674,CARTON_LOOKUP!$A:$E,2,0),"")</f>
      </c>
      <c r="K3674" s="29">
        <f>IFERROR(J3674*D3674,0)</f>
      </c>
      <c r="L3674" s="29">
        <f>IFERROR(E3674*C3674,0)</f>
      </c>
      <c r="M3674" s="29">
        <f>IFERROR((G3674*H3674*I3674/1000000)*D3674,0)</f>
      </c>
    </row>
    <row r="3675" spans="1:13" x14ac:dyDescent="0.25">
      <c r="A3675" s="16"/>
      <c r="E3675" s="27"/>
      <c r="F3675" t="s">
        <v>26</v>
      </c>
      <c r="G3675" s="28">
        <f>IFERROR(VLOOKUP(F3675,CARTON_LOOKUP!$A:$E,3,0),"")</f>
      </c>
      <c r="H3675" s="28">
        <f>IFERROR(VLOOKUP(F3675,CARTON_LOOKUP!$A:$E,4,0),"")</f>
      </c>
      <c r="I3675" s="28">
        <f>IFERROR(VLOOKUP(F3675,CARTON_LOOKUP!$A:$E,5,0),"")</f>
      </c>
      <c r="J3675" s="29">
        <f>IFERROR(VLOOKUP(F3675,CARTON_LOOKUP!$A:$E,2,0),"")</f>
      </c>
      <c r="K3675" s="29">
        <f>IFERROR(J3675*D3675,0)</f>
      </c>
      <c r="L3675" s="29">
        <f>IFERROR(E3675*C3675,0)</f>
      </c>
      <c r="M3675" s="29">
        <f>IFERROR((G3675*H3675*I3675/1000000)*D3675,0)</f>
      </c>
    </row>
    <row r="3676" spans="1:13" x14ac:dyDescent="0.25">
      <c r="A3676" s="16"/>
      <c r="E3676" s="27"/>
      <c r="F3676" t="s">
        <v>26</v>
      </c>
      <c r="G3676" s="28">
        <f>IFERROR(VLOOKUP(F3676,CARTON_LOOKUP!$A:$E,3,0),"")</f>
      </c>
      <c r="H3676" s="28">
        <f>IFERROR(VLOOKUP(F3676,CARTON_LOOKUP!$A:$E,4,0),"")</f>
      </c>
      <c r="I3676" s="28">
        <f>IFERROR(VLOOKUP(F3676,CARTON_LOOKUP!$A:$E,5,0),"")</f>
      </c>
      <c r="J3676" s="29">
        <f>IFERROR(VLOOKUP(F3676,CARTON_LOOKUP!$A:$E,2,0),"")</f>
      </c>
      <c r="K3676" s="29">
        <f>IFERROR(J3676*D3676,0)</f>
      </c>
      <c r="L3676" s="29">
        <f>IFERROR(E3676*C3676,0)</f>
      </c>
      <c r="M3676" s="29">
        <f>IFERROR((G3676*H3676*I3676/1000000)*D3676,0)</f>
      </c>
    </row>
    <row r="3677" spans="1:13" x14ac:dyDescent="0.25">
      <c r="A3677" s="16"/>
      <c r="E3677" s="27"/>
      <c r="F3677" t="s">
        <v>26</v>
      </c>
      <c r="G3677" s="28">
        <f>IFERROR(VLOOKUP(F3677,CARTON_LOOKUP!$A:$E,3,0),"")</f>
      </c>
      <c r="H3677" s="28">
        <f>IFERROR(VLOOKUP(F3677,CARTON_LOOKUP!$A:$E,4,0),"")</f>
      </c>
      <c r="I3677" s="28">
        <f>IFERROR(VLOOKUP(F3677,CARTON_LOOKUP!$A:$E,5,0),"")</f>
      </c>
      <c r="J3677" s="29">
        <f>IFERROR(VLOOKUP(F3677,CARTON_LOOKUP!$A:$E,2,0),"")</f>
      </c>
      <c r="K3677" s="29">
        <f>IFERROR(J3677*D3677,0)</f>
      </c>
      <c r="L3677" s="29">
        <f>IFERROR(E3677*C3677,0)</f>
      </c>
      <c r="M3677" s="29">
        <f>IFERROR((G3677*H3677*I3677/1000000)*D3677,0)</f>
      </c>
    </row>
    <row r="3678" spans="1:13" x14ac:dyDescent="0.25">
      <c r="A3678" s="16"/>
      <c r="E3678" s="27"/>
      <c r="F3678" t="s">
        <v>26</v>
      </c>
      <c r="G3678" s="28">
        <f>IFERROR(VLOOKUP(F3678,CARTON_LOOKUP!$A:$E,3,0),"")</f>
      </c>
      <c r="H3678" s="28">
        <f>IFERROR(VLOOKUP(F3678,CARTON_LOOKUP!$A:$E,4,0),"")</f>
      </c>
      <c r="I3678" s="28">
        <f>IFERROR(VLOOKUP(F3678,CARTON_LOOKUP!$A:$E,5,0),"")</f>
      </c>
      <c r="J3678" s="29">
        <f>IFERROR(VLOOKUP(F3678,CARTON_LOOKUP!$A:$E,2,0),"")</f>
      </c>
      <c r="K3678" s="29">
        <f>IFERROR(J3678*D3678,0)</f>
      </c>
      <c r="L3678" s="29">
        <f>IFERROR(E3678*C3678,0)</f>
      </c>
      <c r="M3678" s="29">
        <f>IFERROR((G3678*H3678*I3678/1000000)*D3678,0)</f>
      </c>
    </row>
    <row r="3679" spans="1:13" x14ac:dyDescent="0.25">
      <c r="A3679" s="16"/>
      <c r="E3679" s="27"/>
      <c r="F3679" t="s">
        <v>26</v>
      </c>
      <c r="G3679" s="28">
        <f>IFERROR(VLOOKUP(F3679,CARTON_LOOKUP!$A:$E,3,0),"")</f>
      </c>
      <c r="H3679" s="28">
        <f>IFERROR(VLOOKUP(F3679,CARTON_LOOKUP!$A:$E,4,0),"")</f>
      </c>
      <c r="I3679" s="28">
        <f>IFERROR(VLOOKUP(F3679,CARTON_LOOKUP!$A:$E,5,0),"")</f>
      </c>
      <c r="J3679" s="29">
        <f>IFERROR(VLOOKUP(F3679,CARTON_LOOKUP!$A:$E,2,0),"")</f>
      </c>
      <c r="K3679" s="29">
        <f>IFERROR(J3679*D3679,0)</f>
      </c>
      <c r="L3679" s="29">
        <f>IFERROR(E3679*C3679,0)</f>
      </c>
      <c r="M3679" s="29">
        <f>IFERROR((G3679*H3679*I3679/1000000)*D3679,0)</f>
      </c>
    </row>
    <row r="3680" spans="1:13" x14ac:dyDescent="0.25">
      <c r="A3680" s="16"/>
      <c r="E3680" s="27"/>
      <c r="F3680" t="s">
        <v>26</v>
      </c>
      <c r="G3680" s="28">
        <f>IFERROR(VLOOKUP(F3680,CARTON_LOOKUP!$A:$E,3,0),"")</f>
      </c>
      <c r="H3680" s="28">
        <f>IFERROR(VLOOKUP(F3680,CARTON_LOOKUP!$A:$E,4,0),"")</f>
      </c>
      <c r="I3680" s="28">
        <f>IFERROR(VLOOKUP(F3680,CARTON_LOOKUP!$A:$E,5,0),"")</f>
      </c>
      <c r="J3680" s="29">
        <f>IFERROR(VLOOKUP(F3680,CARTON_LOOKUP!$A:$E,2,0),"")</f>
      </c>
      <c r="K3680" s="29">
        <f>IFERROR(J3680*D3680,0)</f>
      </c>
      <c r="L3680" s="29">
        <f>IFERROR(E3680*C3680,0)</f>
      </c>
      <c r="M3680" s="29">
        <f>IFERROR((G3680*H3680*I3680/1000000)*D3680,0)</f>
      </c>
    </row>
    <row r="3681" spans="1:13" x14ac:dyDescent="0.25">
      <c r="A3681" s="16"/>
      <c r="E3681" s="27"/>
      <c r="F3681" t="s">
        <v>26</v>
      </c>
      <c r="G3681" s="28">
        <f>IFERROR(VLOOKUP(F3681,CARTON_LOOKUP!$A:$E,3,0),"")</f>
      </c>
      <c r="H3681" s="28">
        <f>IFERROR(VLOOKUP(F3681,CARTON_LOOKUP!$A:$E,4,0),"")</f>
      </c>
      <c r="I3681" s="28">
        <f>IFERROR(VLOOKUP(F3681,CARTON_LOOKUP!$A:$E,5,0),"")</f>
      </c>
      <c r="J3681" s="29">
        <f>IFERROR(VLOOKUP(F3681,CARTON_LOOKUP!$A:$E,2,0),"")</f>
      </c>
      <c r="K3681" s="29">
        <f>IFERROR(J3681*D3681,0)</f>
      </c>
      <c r="L3681" s="29">
        <f>IFERROR(E3681*C3681,0)</f>
      </c>
      <c r="M3681" s="29">
        <f>IFERROR((G3681*H3681*I3681/1000000)*D3681,0)</f>
      </c>
    </row>
    <row r="3682" spans="1:13" x14ac:dyDescent="0.25">
      <c r="A3682" s="16"/>
      <c r="E3682" s="27"/>
      <c r="F3682" t="s">
        <v>26</v>
      </c>
      <c r="G3682" s="28">
        <f>IFERROR(VLOOKUP(F3682,CARTON_LOOKUP!$A:$E,3,0),"")</f>
      </c>
      <c r="H3682" s="28">
        <f>IFERROR(VLOOKUP(F3682,CARTON_LOOKUP!$A:$E,4,0),"")</f>
      </c>
      <c r="I3682" s="28">
        <f>IFERROR(VLOOKUP(F3682,CARTON_LOOKUP!$A:$E,5,0),"")</f>
      </c>
      <c r="J3682" s="29">
        <f>IFERROR(VLOOKUP(F3682,CARTON_LOOKUP!$A:$E,2,0),"")</f>
      </c>
      <c r="K3682" s="29">
        <f>IFERROR(J3682*D3682,0)</f>
      </c>
      <c r="L3682" s="29">
        <f>IFERROR(E3682*C3682,0)</f>
      </c>
      <c r="M3682" s="29">
        <f>IFERROR((G3682*H3682*I3682/1000000)*D3682,0)</f>
      </c>
    </row>
    <row r="3683" spans="1:13" x14ac:dyDescent="0.25">
      <c r="A3683" s="16"/>
      <c r="E3683" s="27"/>
      <c r="F3683" t="s">
        <v>26</v>
      </c>
      <c r="G3683" s="28">
        <f>IFERROR(VLOOKUP(F3683,CARTON_LOOKUP!$A:$E,3,0),"")</f>
      </c>
      <c r="H3683" s="28">
        <f>IFERROR(VLOOKUP(F3683,CARTON_LOOKUP!$A:$E,4,0),"")</f>
      </c>
      <c r="I3683" s="28">
        <f>IFERROR(VLOOKUP(F3683,CARTON_LOOKUP!$A:$E,5,0),"")</f>
      </c>
      <c r="J3683" s="29">
        <f>IFERROR(VLOOKUP(F3683,CARTON_LOOKUP!$A:$E,2,0),"")</f>
      </c>
      <c r="K3683" s="29">
        <f>IFERROR(J3683*D3683,0)</f>
      </c>
      <c r="L3683" s="29">
        <f>IFERROR(E3683*C3683,0)</f>
      </c>
      <c r="M3683" s="29">
        <f>IFERROR((G3683*H3683*I3683/1000000)*D3683,0)</f>
      </c>
    </row>
    <row r="3684" spans="1:13" x14ac:dyDescent="0.25">
      <c r="A3684" s="16"/>
      <c r="E3684" s="27"/>
      <c r="F3684" t="s">
        <v>26</v>
      </c>
      <c r="G3684" s="28">
        <f>IFERROR(VLOOKUP(F3684,CARTON_LOOKUP!$A:$E,3,0),"")</f>
      </c>
      <c r="H3684" s="28">
        <f>IFERROR(VLOOKUP(F3684,CARTON_LOOKUP!$A:$E,4,0),"")</f>
      </c>
      <c r="I3684" s="28">
        <f>IFERROR(VLOOKUP(F3684,CARTON_LOOKUP!$A:$E,5,0),"")</f>
      </c>
      <c r="J3684" s="29">
        <f>IFERROR(VLOOKUP(F3684,CARTON_LOOKUP!$A:$E,2,0),"")</f>
      </c>
      <c r="K3684" s="29">
        <f>IFERROR(J3684*D3684,0)</f>
      </c>
      <c r="L3684" s="29">
        <f>IFERROR(E3684*C3684,0)</f>
      </c>
      <c r="M3684" s="29">
        <f>IFERROR((G3684*H3684*I3684/1000000)*D3684,0)</f>
      </c>
    </row>
    <row r="3685" spans="1:13" x14ac:dyDescent="0.25">
      <c r="A3685" s="16"/>
      <c r="E3685" s="27"/>
      <c r="F3685" t="s">
        <v>26</v>
      </c>
      <c r="G3685" s="28">
        <f>IFERROR(VLOOKUP(F3685,CARTON_LOOKUP!$A:$E,3,0),"")</f>
      </c>
      <c r="H3685" s="28">
        <f>IFERROR(VLOOKUP(F3685,CARTON_LOOKUP!$A:$E,4,0),"")</f>
      </c>
      <c r="I3685" s="28">
        <f>IFERROR(VLOOKUP(F3685,CARTON_LOOKUP!$A:$E,5,0),"")</f>
      </c>
      <c r="J3685" s="29">
        <f>IFERROR(VLOOKUP(F3685,CARTON_LOOKUP!$A:$E,2,0),"")</f>
      </c>
      <c r="K3685" s="29">
        <f>IFERROR(J3685*D3685,0)</f>
      </c>
      <c r="L3685" s="29">
        <f>IFERROR(E3685*C3685,0)</f>
      </c>
      <c r="M3685" s="29">
        <f>IFERROR((G3685*H3685*I3685/1000000)*D3685,0)</f>
      </c>
    </row>
    <row r="3686" spans="1:13" x14ac:dyDescent="0.25">
      <c r="A3686" s="16"/>
      <c r="E3686" s="27"/>
      <c r="F3686" t="s">
        <v>26</v>
      </c>
      <c r="G3686" s="28">
        <f>IFERROR(VLOOKUP(F3686,CARTON_LOOKUP!$A:$E,3,0),"")</f>
      </c>
      <c r="H3686" s="28">
        <f>IFERROR(VLOOKUP(F3686,CARTON_LOOKUP!$A:$E,4,0),"")</f>
      </c>
      <c r="I3686" s="28">
        <f>IFERROR(VLOOKUP(F3686,CARTON_LOOKUP!$A:$E,5,0),"")</f>
      </c>
      <c r="J3686" s="29">
        <f>IFERROR(VLOOKUP(F3686,CARTON_LOOKUP!$A:$E,2,0),"")</f>
      </c>
      <c r="K3686" s="29">
        <f>IFERROR(J3686*D3686,0)</f>
      </c>
      <c r="L3686" s="29">
        <f>IFERROR(E3686*C3686,0)</f>
      </c>
      <c r="M3686" s="29">
        <f>IFERROR((G3686*H3686*I3686/1000000)*D3686,0)</f>
      </c>
    </row>
    <row r="3687" spans="1:13" x14ac:dyDescent="0.25">
      <c r="A3687" s="16"/>
      <c r="E3687" s="27"/>
      <c r="F3687" t="s">
        <v>26</v>
      </c>
      <c r="G3687" s="28">
        <f>IFERROR(VLOOKUP(F3687,CARTON_LOOKUP!$A:$E,3,0),"")</f>
      </c>
      <c r="H3687" s="28">
        <f>IFERROR(VLOOKUP(F3687,CARTON_LOOKUP!$A:$E,4,0),"")</f>
      </c>
      <c r="I3687" s="28">
        <f>IFERROR(VLOOKUP(F3687,CARTON_LOOKUP!$A:$E,5,0),"")</f>
      </c>
      <c r="J3687" s="29">
        <f>IFERROR(VLOOKUP(F3687,CARTON_LOOKUP!$A:$E,2,0),"")</f>
      </c>
      <c r="K3687" s="29">
        <f>IFERROR(J3687*D3687,0)</f>
      </c>
      <c r="L3687" s="29">
        <f>IFERROR(E3687*C3687,0)</f>
      </c>
      <c r="M3687" s="29">
        <f>IFERROR((G3687*H3687*I3687/1000000)*D3687,0)</f>
      </c>
    </row>
    <row r="3688" spans="1:13" x14ac:dyDescent="0.25">
      <c r="A3688" s="16"/>
      <c r="E3688" s="27"/>
      <c r="F3688" t="s">
        <v>26</v>
      </c>
      <c r="G3688" s="28">
        <f>IFERROR(VLOOKUP(F3688,CARTON_LOOKUP!$A:$E,3,0),"")</f>
      </c>
      <c r="H3688" s="28">
        <f>IFERROR(VLOOKUP(F3688,CARTON_LOOKUP!$A:$E,4,0),"")</f>
      </c>
      <c r="I3688" s="28">
        <f>IFERROR(VLOOKUP(F3688,CARTON_LOOKUP!$A:$E,5,0),"")</f>
      </c>
      <c r="J3688" s="29">
        <f>IFERROR(VLOOKUP(F3688,CARTON_LOOKUP!$A:$E,2,0),"")</f>
      </c>
      <c r="K3688" s="29">
        <f>IFERROR(J3688*D3688,0)</f>
      </c>
      <c r="L3688" s="29">
        <f>IFERROR(E3688*C3688,0)</f>
      </c>
      <c r="M3688" s="29">
        <f>IFERROR((G3688*H3688*I3688/1000000)*D3688,0)</f>
      </c>
    </row>
    <row r="3689" spans="1:13" x14ac:dyDescent="0.25">
      <c r="A3689" s="16"/>
      <c r="E3689" s="27"/>
      <c r="F3689" t="s">
        <v>26</v>
      </c>
      <c r="G3689" s="28">
        <f>IFERROR(VLOOKUP(F3689,CARTON_LOOKUP!$A:$E,3,0),"")</f>
      </c>
      <c r="H3689" s="28">
        <f>IFERROR(VLOOKUP(F3689,CARTON_LOOKUP!$A:$E,4,0),"")</f>
      </c>
      <c r="I3689" s="28">
        <f>IFERROR(VLOOKUP(F3689,CARTON_LOOKUP!$A:$E,5,0),"")</f>
      </c>
      <c r="J3689" s="29">
        <f>IFERROR(VLOOKUP(F3689,CARTON_LOOKUP!$A:$E,2,0),"")</f>
      </c>
      <c r="K3689" s="29">
        <f>IFERROR(J3689*D3689,0)</f>
      </c>
      <c r="L3689" s="29">
        <f>IFERROR(E3689*C3689,0)</f>
      </c>
      <c r="M3689" s="29">
        <f>IFERROR((G3689*H3689*I3689/1000000)*D3689,0)</f>
      </c>
    </row>
    <row r="3690" spans="1:13" x14ac:dyDescent="0.25">
      <c r="A3690" s="16"/>
      <c r="E3690" s="27"/>
      <c r="F3690" t="s">
        <v>26</v>
      </c>
      <c r="G3690" s="28">
        <f>IFERROR(VLOOKUP(F3690,CARTON_LOOKUP!$A:$E,3,0),"")</f>
      </c>
      <c r="H3690" s="28">
        <f>IFERROR(VLOOKUP(F3690,CARTON_LOOKUP!$A:$E,4,0),"")</f>
      </c>
      <c r="I3690" s="28">
        <f>IFERROR(VLOOKUP(F3690,CARTON_LOOKUP!$A:$E,5,0),"")</f>
      </c>
      <c r="J3690" s="29">
        <f>IFERROR(VLOOKUP(F3690,CARTON_LOOKUP!$A:$E,2,0),"")</f>
      </c>
      <c r="K3690" s="29">
        <f>IFERROR(J3690*D3690,0)</f>
      </c>
      <c r="L3690" s="29">
        <f>IFERROR(E3690*C3690,0)</f>
      </c>
      <c r="M3690" s="29">
        <f>IFERROR((G3690*H3690*I3690/1000000)*D3690,0)</f>
      </c>
    </row>
    <row r="3691" spans="1:13" x14ac:dyDescent="0.25">
      <c r="A3691" s="16"/>
      <c r="E3691" s="27"/>
      <c r="F3691" t="s">
        <v>26</v>
      </c>
      <c r="G3691" s="28">
        <f>IFERROR(VLOOKUP(F3691,CARTON_LOOKUP!$A:$E,3,0),"")</f>
      </c>
      <c r="H3691" s="28">
        <f>IFERROR(VLOOKUP(F3691,CARTON_LOOKUP!$A:$E,4,0),"")</f>
      </c>
      <c r="I3691" s="28">
        <f>IFERROR(VLOOKUP(F3691,CARTON_LOOKUP!$A:$E,5,0),"")</f>
      </c>
      <c r="J3691" s="29">
        <f>IFERROR(VLOOKUP(F3691,CARTON_LOOKUP!$A:$E,2,0),"")</f>
      </c>
      <c r="K3691" s="29">
        <f>IFERROR(J3691*D3691,0)</f>
      </c>
      <c r="L3691" s="29">
        <f>IFERROR(E3691*C3691,0)</f>
      </c>
      <c r="M3691" s="29">
        <f>IFERROR((G3691*H3691*I3691/1000000)*D3691,0)</f>
      </c>
    </row>
    <row r="3692" spans="1:13" x14ac:dyDescent="0.25">
      <c r="A3692" s="16"/>
      <c r="E3692" s="27"/>
      <c r="F3692" t="s">
        <v>26</v>
      </c>
      <c r="G3692" s="28">
        <f>IFERROR(VLOOKUP(F3692,CARTON_LOOKUP!$A:$E,3,0),"")</f>
      </c>
      <c r="H3692" s="28">
        <f>IFERROR(VLOOKUP(F3692,CARTON_LOOKUP!$A:$E,4,0),"")</f>
      </c>
      <c r="I3692" s="28">
        <f>IFERROR(VLOOKUP(F3692,CARTON_LOOKUP!$A:$E,5,0),"")</f>
      </c>
      <c r="J3692" s="29">
        <f>IFERROR(VLOOKUP(F3692,CARTON_LOOKUP!$A:$E,2,0),"")</f>
      </c>
      <c r="K3692" s="29">
        <f>IFERROR(J3692*D3692,0)</f>
      </c>
      <c r="L3692" s="29">
        <f>IFERROR(E3692*C3692,0)</f>
      </c>
      <c r="M3692" s="29">
        <f>IFERROR((G3692*H3692*I3692/1000000)*D3692,0)</f>
      </c>
    </row>
    <row r="3693" spans="1:13" x14ac:dyDescent="0.25">
      <c r="A3693" s="16"/>
      <c r="E3693" s="27"/>
      <c r="F3693" t="s">
        <v>26</v>
      </c>
      <c r="G3693" s="28">
        <f>IFERROR(VLOOKUP(F3693,CARTON_LOOKUP!$A:$E,3,0),"")</f>
      </c>
      <c r="H3693" s="28">
        <f>IFERROR(VLOOKUP(F3693,CARTON_LOOKUP!$A:$E,4,0),"")</f>
      </c>
      <c r="I3693" s="28">
        <f>IFERROR(VLOOKUP(F3693,CARTON_LOOKUP!$A:$E,5,0),"")</f>
      </c>
      <c r="J3693" s="29">
        <f>IFERROR(VLOOKUP(F3693,CARTON_LOOKUP!$A:$E,2,0),"")</f>
      </c>
      <c r="K3693" s="29">
        <f>IFERROR(J3693*D3693,0)</f>
      </c>
      <c r="L3693" s="29">
        <f>IFERROR(E3693*C3693,0)</f>
      </c>
      <c r="M3693" s="29">
        <f>IFERROR((G3693*H3693*I3693/1000000)*D3693,0)</f>
      </c>
    </row>
    <row r="3694" spans="1:13" x14ac:dyDescent="0.25">
      <c r="A3694" s="16"/>
      <c r="E3694" s="27"/>
      <c r="F3694" t="s">
        <v>26</v>
      </c>
      <c r="G3694" s="28">
        <f>IFERROR(VLOOKUP(F3694,CARTON_LOOKUP!$A:$E,3,0),"")</f>
      </c>
      <c r="H3694" s="28">
        <f>IFERROR(VLOOKUP(F3694,CARTON_LOOKUP!$A:$E,4,0),"")</f>
      </c>
      <c r="I3694" s="28">
        <f>IFERROR(VLOOKUP(F3694,CARTON_LOOKUP!$A:$E,5,0),"")</f>
      </c>
      <c r="J3694" s="29">
        <f>IFERROR(VLOOKUP(F3694,CARTON_LOOKUP!$A:$E,2,0),"")</f>
      </c>
      <c r="K3694" s="29">
        <f>IFERROR(J3694*D3694,0)</f>
      </c>
      <c r="L3694" s="29">
        <f>IFERROR(E3694*C3694,0)</f>
      </c>
      <c r="M3694" s="29">
        <f>IFERROR((G3694*H3694*I3694/1000000)*D3694,0)</f>
      </c>
    </row>
    <row r="3695" spans="1:13" x14ac:dyDescent="0.25">
      <c r="A3695" s="16"/>
      <c r="E3695" s="27"/>
      <c r="F3695" t="s">
        <v>26</v>
      </c>
      <c r="G3695" s="28">
        <f>IFERROR(VLOOKUP(F3695,CARTON_LOOKUP!$A:$E,3,0),"")</f>
      </c>
      <c r="H3695" s="28">
        <f>IFERROR(VLOOKUP(F3695,CARTON_LOOKUP!$A:$E,4,0),"")</f>
      </c>
      <c r="I3695" s="28">
        <f>IFERROR(VLOOKUP(F3695,CARTON_LOOKUP!$A:$E,5,0),"")</f>
      </c>
      <c r="J3695" s="29">
        <f>IFERROR(VLOOKUP(F3695,CARTON_LOOKUP!$A:$E,2,0),"")</f>
      </c>
      <c r="K3695" s="29">
        <f>IFERROR(J3695*D3695,0)</f>
      </c>
      <c r="L3695" s="29">
        <f>IFERROR(E3695*C3695,0)</f>
      </c>
      <c r="M3695" s="29">
        <f>IFERROR((G3695*H3695*I3695/1000000)*D3695,0)</f>
      </c>
    </row>
    <row r="3696" spans="1:13" x14ac:dyDescent="0.25">
      <c r="A3696" s="16"/>
      <c r="E3696" s="27"/>
      <c r="F3696" t="s">
        <v>26</v>
      </c>
      <c r="G3696" s="28">
        <f>IFERROR(VLOOKUP(F3696,CARTON_LOOKUP!$A:$E,3,0),"")</f>
      </c>
      <c r="H3696" s="28">
        <f>IFERROR(VLOOKUP(F3696,CARTON_LOOKUP!$A:$E,4,0),"")</f>
      </c>
      <c r="I3696" s="28">
        <f>IFERROR(VLOOKUP(F3696,CARTON_LOOKUP!$A:$E,5,0),"")</f>
      </c>
      <c r="J3696" s="29">
        <f>IFERROR(VLOOKUP(F3696,CARTON_LOOKUP!$A:$E,2,0),"")</f>
      </c>
      <c r="K3696" s="29">
        <f>IFERROR(J3696*D3696,0)</f>
      </c>
      <c r="L3696" s="29">
        <f>IFERROR(E3696*C3696,0)</f>
      </c>
      <c r="M3696" s="29">
        <f>IFERROR((G3696*H3696*I3696/1000000)*D3696,0)</f>
      </c>
    </row>
    <row r="3697" spans="1:13" x14ac:dyDescent="0.25">
      <c r="A3697" s="16"/>
      <c r="E3697" s="27"/>
      <c r="F3697" t="s">
        <v>26</v>
      </c>
      <c r="G3697" s="28">
        <f>IFERROR(VLOOKUP(F3697,CARTON_LOOKUP!$A:$E,3,0),"")</f>
      </c>
      <c r="H3697" s="28">
        <f>IFERROR(VLOOKUP(F3697,CARTON_LOOKUP!$A:$E,4,0),"")</f>
      </c>
      <c r="I3697" s="28">
        <f>IFERROR(VLOOKUP(F3697,CARTON_LOOKUP!$A:$E,5,0),"")</f>
      </c>
      <c r="J3697" s="29">
        <f>IFERROR(VLOOKUP(F3697,CARTON_LOOKUP!$A:$E,2,0),"")</f>
      </c>
      <c r="K3697" s="29">
        <f>IFERROR(J3697*D3697,0)</f>
      </c>
      <c r="L3697" s="29">
        <f>IFERROR(E3697*C3697,0)</f>
      </c>
      <c r="M3697" s="29">
        <f>IFERROR((G3697*H3697*I3697/1000000)*D3697,0)</f>
      </c>
    </row>
    <row r="3698" spans="1:13" x14ac:dyDescent="0.25">
      <c r="A3698" s="16"/>
      <c r="E3698" s="27"/>
      <c r="F3698" t="s">
        <v>26</v>
      </c>
      <c r="G3698" s="28">
        <f>IFERROR(VLOOKUP(F3698,CARTON_LOOKUP!$A:$E,3,0),"")</f>
      </c>
      <c r="H3698" s="28">
        <f>IFERROR(VLOOKUP(F3698,CARTON_LOOKUP!$A:$E,4,0),"")</f>
      </c>
      <c r="I3698" s="28">
        <f>IFERROR(VLOOKUP(F3698,CARTON_LOOKUP!$A:$E,5,0),"")</f>
      </c>
      <c r="J3698" s="29">
        <f>IFERROR(VLOOKUP(F3698,CARTON_LOOKUP!$A:$E,2,0),"")</f>
      </c>
      <c r="K3698" s="29">
        <f>IFERROR(J3698*D3698,0)</f>
      </c>
      <c r="L3698" s="29">
        <f>IFERROR(E3698*C3698,0)</f>
      </c>
      <c r="M3698" s="29">
        <f>IFERROR((G3698*H3698*I3698/1000000)*D3698,0)</f>
      </c>
    </row>
    <row r="3699" spans="1:13" x14ac:dyDescent="0.25">
      <c r="A3699" s="16"/>
      <c r="E3699" s="27"/>
      <c r="F3699" t="s">
        <v>26</v>
      </c>
      <c r="G3699" s="28">
        <f>IFERROR(VLOOKUP(F3699,CARTON_LOOKUP!$A:$E,3,0),"")</f>
      </c>
      <c r="H3699" s="28">
        <f>IFERROR(VLOOKUP(F3699,CARTON_LOOKUP!$A:$E,4,0),"")</f>
      </c>
      <c r="I3699" s="28">
        <f>IFERROR(VLOOKUP(F3699,CARTON_LOOKUP!$A:$E,5,0),"")</f>
      </c>
      <c r="J3699" s="29">
        <f>IFERROR(VLOOKUP(F3699,CARTON_LOOKUP!$A:$E,2,0),"")</f>
      </c>
      <c r="K3699" s="29">
        <f>IFERROR(J3699*D3699,0)</f>
      </c>
      <c r="L3699" s="29">
        <f>IFERROR(E3699*C3699,0)</f>
      </c>
      <c r="M3699" s="29">
        <f>IFERROR((G3699*H3699*I3699/1000000)*D3699,0)</f>
      </c>
    </row>
    <row r="3700" spans="1:13" x14ac:dyDescent="0.25">
      <c r="A3700" s="16"/>
      <c r="E3700" s="27"/>
      <c r="F3700" t="s">
        <v>26</v>
      </c>
      <c r="G3700" s="28">
        <f>IFERROR(VLOOKUP(F3700,CARTON_LOOKUP!$A:$E,3,0),"")</f>
      </c>
      <c r="H3700" s="28">
        <f>IFERROR(VLOOKUP(F3700,CARTON_LOOKUP!$A:$E,4,0),"")</f>
      </c>
      <c r="I3700" s="28">
        <f>IFERROR(VLOOKUP(F3700,CARTON_LOOKUP!$A:$E,5,0),"")</f>
      </c>
      <c r="J3700" s="29">
        <f>IFERROR(VLOOKUP(F3700,CARTON_LOOKUP!$A:$E,2,0),"")</f>
      </c>
      <c r="K3700" s="29">
        <f>IFERROR(J3700*D3700,0)</f>
      </c>
      <c r="L3700" s="29">
        <f>IFERROR(E3700*C3700,0)</f>
      </c>
      <c r="M3700" s="29">
        <f>IFERROR((G3700*H3700*I3700/1000000)*D3700,0)</f>
      </c>
    </row>
    <row r="3701" spans="1:13" x14ac:dyDescent="0.25">
      <c r="A3701" s="16"/>
      <c r="E3701" s="27"/>
      <c r="F3701" t="s">
        <v>26</v>
      </c>
      <c r="G3701" s="28">
        <f>IFERROR(VLOOKUP(F3701,CARTON_LOOKUP!$A:$E,3,0),"")</f>
      </c>
      <c r="H3701" s="28">
        <f>IFERROR(VLOOKUP(F3701,CARTON_LOOKUP!$A:$E,4,0),"")</f>
      </c>
      <c r="I3701" s="28">
        <f>IFERROR(VLOOKUP(F3701,CARTON_LOOKUP!$A:$E,5,0),"")</f>
      </c>
      <c r="J3701" s="29">
        <f>IFERROR(VLOOKUP(F3701,CARTON_LOOKUP!$A:$E,2,0),"")</f>
      </c>
      <c r="K3701" s="29">
        <f>IFERROR(J3701*D3701,0)</f>
      </c>
      <c r="L3701" s="29">
        <f>IFERROR(E3701*C3701,0)</f>
      </c>
      <c r="M3701" s="29">
        <f>IFERROR((G3701*H3701*I3701/1000000)*D3701,0)</f>
      </c>
    </row>
    <row r="3702" spans="1:13" x14ac:dyDescent="0.25">
      <c r="A3702" s="16"/>
      <c r="E3702" s="27"/>
      <c r="F3702" t="s">
        <v>26</v>
      </c>
      <c r="G3702" s="28">
        <f>IFERROR(VLOOKUP(F3702,CARTON_LOOKUP!$A:$E,3,0),"")</f>
      </c>
      <c r="H3702" s="28">
        <f>IFERROR(VLOOKUP(F3702,CARTON_LOOKUP!$A:$E,4,0),"")</f>
      </c>
      <c r="I3702" s="28">
        <f>IFERROR(VLOOKUP(F3702,CARTON_LOOKUP!$A:$E,5,0),"")</f>
      </c>
      <c r="J3702" s="29">
        <f>IFERROR(VLOOKUP(F3702,CARTON_LOOKUP!$A:$E,2,0),"")</f>
      </c>
      <c r="K3702" s="29">
        <f>IFERROR(J3702*D3702,0)</f>
      </c>
      <c r="L3702" s="29">
        <f>IFERROR(E3702*C3702,0)</f>
      </c>
      <c r="M3702" s="29">
        <f>IFERROR((G3702*H3702*I3702/1000000)*D3702,0)</f>
      </c>
    </row>
    <row r="3703" spans="1:13" x14ac:dyDescent="0.25">
      <c r="A3703" s="16"/>
      <c r="E3703" s="27"/>
      <c r="F3703" t="s">
        <v>26</v>
      </c>
      <c r="G3703" s="28">
        <f>IFERROR(VLOOKUP(F3703,CARTON_LOOKUP!$A:$E,3,0),"")</f>
      </c>
      <c r="H3703" s="28">
        <f>IFERROR(VLOOKUP(F3703,CARTON_LOOKUP!$A:$E,4,0),"")</f>
      </c>
      <c r="I3703" s="28">
        <f>IFERROR(VLOOKUP(F3703,CARTON_LOOKUP!$A:$E,5,0),"")</f>
      </c>
      <c r="J3703" s="29">
        <f>IFERROR(VLOOKUP(F3703,CARTON_LOOKUP!$A:$E,2,0),"")</f>
      </c>
      <c r="K3703" s="29">
        <f>IFERROR(J3703*D3703,0)</f>
      </c>
      <c r="L3703" s="29">
        <f>IFERROR(E3703*C3703,0)</f>
      </c>
      <c r="M3703" s="29">
        <f>IFERROR((G3703*H3703*I3703/1000000)*D3703,0)</f>
      </c>
    </row>
    <row r="3704" spans="1:13" x14ac:dyDescent="0.25">
      <c r="A3704" s="16"/>
      <c r="E3704" s="27"/>
      <c r="F3704" t="s">
        <v>26</v>
      </c>
      <c r="G3704" s="28">
        <f>IFERROR(VLOOKUP(F3704,CARTON_LOOKUP!$A:$E,3,0),"")</f>
      </c>
      <c r="H3704" s="28">
        <f>IFERROR(VLOOKUP(F3704,CARTON_LOOKUP!$A:$E,4,0),"")</f>
      </c>
      <c r="I3704" s="28">
        <f>IFERROR(VLOOKUP(F3704,CARTON_LOOKUP!$A:$E,5,0),"")</f>
      </c>
      <c r="J3704" s="29">
        <f>IFERROR(VLOOKUP(F3704,CARTON_LOOKUP!$A:$E,2,0),"")</f>
      </c>
      <c r="K3704" s="29">
        <f>IFERROR(J3704*D3704,0)</f>
      </c>
      <c r="L3704" s="29">
        <f>IFERROR(E3704*C3704,0)</f>
      </c>
      <c r="M3704" s="29">
        <f>IFERROR((G3704*H3704*I3704/1000000)*D3704,0)</f>
      </c>
    </row>
    <row r="3705" spans="1:13" x14ac:dyDescent="0.25">
      <c r="A3705" s="16"/>
      <c r="E3705" s="27"/>
      <c r="F3705" t="s">
        <v>26</v>
      </c>
      <c r="G3705" s="28">
        <f>IFERROR(VLOOKUP(F3705,CARTON_LOOKUP!$A:$E,3,0),"")</f>
      </c>
      <c r="H3705" s="28">
        <f>IFERROR(VLOOKUP(F3705,CARTON_LOOKUP!$A:$E,4,0),"")</f>
      </c>
      <c r="I3705" s="28">
        <f>IFERROR(VLOOKUP(F3705,CARTON_LOOKUP!$A:$E,5,0),"")</f>
      </c>
      <c r="J3705" s="29">
        <f>IFERROR(VLOOKUP(F3705,CARTON_LOOKUP!$A:$E,2,0),"")</f>
      </c>
      <c r="K3705" s="29">
        <f>IFERROR(J3705*D3705,0)</f>
      </c>
      <c r="L3705" s="29">
        <f>IFERROR(E3705*C3705,0)</f>
      </c>
      <c r="M3705" s="29">
        <f>IFERROR((G3705*H3705*I3705/1000000)*D3705,0)</f>
      </c>
    </row>
    <row r="3706" spans="1:13" x14ac:dyDescent="0.25">
      <c r="A3706" s="16"/>
      <c r="E3706" s="27"/>
      <c r="F3706" t="s">
        <v>26</v>
      </c>
      <c r="G3706" s="28">
        <f>IFERROR(VLOOKUP(F3706,CARTON_LOOKUP!$A:$E,3,0),"")</f>
      </c>
      <c r="H3706" s="28">
        <f>IFERROR(VLOOKUP(F3706,CARTON_LOOKUP!$A:$E,4,0),"")</f>
      </c>
      <c r="I3706" s="28">
        <f>IFERROR(VLOOKUP(F3706,CARTON_LOOKUP!$A:$E,5,0),"")</f>
      </c>
      <c r="J3706" s="29">
        <f>IFERROR(VLOOKUP(F3706,CARTON_LOOKUP!$A:$E,2,0),"")</f>
      </c>
      <c r="K3706" s="29">
        <f>IFERROR(J3706*D3706,0)</f>
      </c>
      <c r="L3706" s="29">
        <f>IFERROR(E3706*C3706,0)</f>
      </c>
      <c r="M3706" s="29">
        <f>IFERROR((G3706*H3706*I3706/1000000)*D3706,0)</f>
      </c>
    </row>
    <row r="3707" spans="1:13" x14ac:dyDescent="0.25">
      <c r="A3707" s="16"/>
      <c r="E3707" s="27"/>
      <c r="F3707" t="s">
        <v>26</v>
      </c>
      <c r="G3707" s="28">
        <f>IFERROR(VLOOKUP(F3707,CARTON_LOOKUP!$A:$E,3,0),"")</f>
      </c>
      <c r="H3707" s="28">
        <f>IFERROR(VLOOKUP(F3707,CARTON_LOOKUP!$A:$E,4,0),"")</f>
      </c>
      <c r="I3707" s="28">
        <f>IFERROR(VLOOKUP(F3707,CARTON_LOOKUP!$A:$E,5,0),"")</f>
      </c>
      <c r="J3707" s="29">
        <f>IFERROR(VLOOKUP(F3707,CARTON_LOOKUP!$A:$E,2,0),"")</f>
      </c>
      <c r="K3707" s="29">
        <f>IFERROR(J3707*D3707,0)</f>
      </c>
      <c r="L3707" s="29">
        <f>IFERROR(E3707*C3707,0)</f>
      </c>
      <c r="M3707" s="29">
        <f>IFERROR((G3707*H3707*I3707/1000000)*D3707,0)</f>
      </c>
    </row>
    <row r="3708" spans="1:13" x14ac:dyDescent="0.25">
      <c r="A3708" s="16"/>
      <c r="E3708" s="27"/>
      <c r="F3708" t="s">
        <v>26</v>
      </c>
      <c r="G3708" s="28">
        <f>IFERROR(VLOOKUP(F3708,CARTON_LOOKUP!$A:$E,3,0),"")</f>
      </c>
      <c r="H3708" s="28">
        <f>IFERROR(VLOOKUP(F3708,CARTON_LOOKUP!$A:$E,4,0),"")</f>
      </c>
      <c r="I3708" s="28">
        <f>IFERROR(VLOOKUP(F3708,CARTON_LOOKUP!$A:$E,5,0),"")</f>
      </c>
      <c r="J3708" s="29">
        <f>IFERROR(VLOOKUP(F3708,CARTON_LOOKUP!$A:$E,2,0),"")</f>
      </c>
      <c r="K3708" s="29">
        <f>IFERROR(J3708*D3708,0)</f>
      </c>
      <c r="L3708" s="29">
        <f>IFERROR(E3708*C3708,0)</f>
      </c>
      <c r="M3708" s="29">
        <f>IFERROR((G3708*H3708*I3708/1000000)*D3708,0)</f>
      </c>
    </row>
    <row r="3709" spans="1:13" x14ac:dyDescent="0.25">
      <c r="A3709" s="16"/>
      <c r="E3709" s="27"/>
      <c r="F3709" t="s">
        <v>26</v>
      </c>
      <c r="G3709" s="28">
        <f>IFERROR(VLOOKUP(F3709,CARTON_LOOKUP!$A:$E,3,0),"")</f>
      </c>
      <c r="H3709" s="28">
        <f>IFERROR(VLOOKUP(F3709,CARTON_LOOKUP!$A:$E,4,0),"")</f>
      </c>
      <c r="I3709" s="28">
        <f>IFERROR(VLOOKUP(F3709,CARTON_LOOKUP!$A:$E,5,0),"")</f>
      </c>
      <c r="J3709" s="29">
        <f>IFERROR(VLOOKUP(F3709,CARTON_LOOKUP!$A:$E,2,0),"")</f>
      </c>
      <c r="K3709" s="29">
        <f>IFERROR(J3709*D3709,0)</f>
      </c>
      <c r="L3709" s="29">
        <f>IFERROR(E3709*C3709,0)</f>
      </c>
      <c r="M3709" s="29">
        <f>IFERROR((G3709*H3709*I3709/1000000)*D3709,0)</f>
      </c>
    </row>
    <row r="3710" spans="1:13" x14ac:dyDescent="0.25">
      <c r="A3710" s="16"/>
      <c r="E3710" s="27"/>
      <c r="F3710" t="s">
        <v>26</v>
      </c>
      <c r="G3710" s="28">
        <f>IFERROR(VLOOKUP(F3710,CARTON_LOOKUP!$A:$E,3,0),"")</f>
      </c>
      <c r="H3710" s="28">
        <f>IFERROR(VLOOKUP(F3710,CARTON_LOOKUP!$A:$E,4,0),"")</f>
      </c>
      <c r="I3710" s="28">
        <f>IFERROR(VLOOKUP(F3710,CARTON_LOOKUP!$A:$E,5,0),"")</f>
      </c>
      <c r="J3710" s="29">
        <f>IFERROR(VLOOKUP(F3710,CARTON_LOOKUP!$A:$E,2,0),"")</f>
      </c>
      <c r="K3710" s="29">
        <f>IFERROR(J3710*D3710,0)</f>
      </c>
      <c r="L3710" s="29">
        <f>IFERROR(E3710*C3710,0)</f>
      </c>
      <c r="M3710" s="29">
        <f>IFERROR((G3710*H3710*I3710/1000000)*D3710,0)</f>
      </c>
    </row>
    <row r="3711" spans="1:13" x14ac:dyDescent="0.25">
      <c r="A3711" s="16"/>
      <c r="E3711" s="27"/>
      <c r="F3711" t="s">
        <v>26</v>
      </c>
      <c r="G3711" s="28">
        <f>IFERROR(VLOOKUP(F3711,CARTON_LOOKUP!$A:$E,3,0),"")</f>
      </c>
      <c r="H3711" s="28">
        <f>IFERROR(VLOOKUP(F3711,CARTON_LOOKUP!$A:$E,4,0),"")</f>
      </c>
      <c r="I3711" s="28">
        <f>IFERROR(VLOOKUP(F3711,CARTON_LOOKUP!$A:$E,5,0),"")</f>
      </c>
      <c r="J3711" s="29">
        <f>IFERROR(VLOOKUP(F3711,CARTON_LOOKUP!$A:$E,2,0),"")</f>
      </c>
      <c r="K3711" s="29">
        <f>IFERROR(J3711*D3711,0)</f>
      </c>
      <c r="L3711" s="29">
        <f>IFERROR(E3711*C3711,0)</f>
      </c>
      <c r="M3711" s="29">
        <f>IFERROR((G3711*H3711*I3711/1000000)*D3711,0)</f>
      </c>
    </row>
    <row r="3712" spans="1:13" x14ac:dyDescent="0.25">
      <c r="A3712" s="16"/>
      <c r="E3712" s="27"/>
      <c r="F3712" t="s">
        <v>26</v>
      </c>
      <c r="G3712" s="28">
        <f>IFERROR(VLOOKUP(F3712,CARTON_LOOKUP!$A:$E,3,0),"")</f>
      </c>
      <c r="H3712" s="28">
        <f>IFERROR(VLOOKUP(F3712,CARTON_LOOKUP!$A:$E,4,0),"")</f>
      </c>
      <c r="I3712" s="28">
        <f>IFERROR(VLOOKUP(F3712,CARTON_LOOKUP!$A:$E,5,0),"")</f>
      </c>
      <c r="J3712" s="29">
        <f>IFERROR(VLOOKUP(F3712,CARTON_LOOKUP!$A:$E,2,0),"")</f>
      </c>
      <c r="K3712" s="29">
        <f>IFERROR(J3712*D3712,0)</f>
      </c>
      <c r="L3712" s="29">
        <f>IFERROR(E3712*C3712,0)</f>
      </c>
      <c r="M3712" s="29">
        <f>IFERROR((G3712*H3712*I3712/1000000)*D3712,0)</f>
      </c>
    </row>
    <row r="3713" spans="1:13" x14ac:dyDescent="0.25">
      <c r="A3713" s="16"/>
      <c r="E3713" s="27"/>
      <c r="F3713" t="s">
        <v>26</v>
      </c>
      <c r="G3713" s="28">
        <f>IFERROR(VLOOKUP(F3713,CARTON_LOOKUP!$A:$E,3,0),"")</f>
      </c>
      <c r="H3713" s="28">
        <f>IFERROR(VLOOKUP(F3713,CARTON_LOOKUP!$A:$E,4,0),"")</f>
      </c>
      <c r="I3713" s="28">
        <f>IFERROR(VLOOKUP(F3713,CARTON_LOOKUP!$A:$E,5,0),"")</f>
      </c>
      <c r="J3713" s="29">
        <f>IFERROR(VLOOKUP(F3713,CARTON_LOOKUP!$A:$E,2,0),"")</f>
      </c>
      <c r="K3713" s="29">
        <f>IFERROR(J3713*D3713,0)</f>
      </c>
      <c r="L3713" s="29">
        <f>IFERROR(E3713*C3713,0)</f>
      </c>
      <c r="M3713" s="29">
        <f>IFERROR((G3713*H3713*I3713/1000000)*D3713,0)</f>
      </c>
    </row>
    <row r="3714" spans="1:13" x14ac:dyDescent="0.25">
      <c r="A3714" s="16"/>
      <c r="E3714" s="27"/>
      <c r="F3714" t="s">
        <v>26</v>
      </c>
      <c r="G3714" s="28">
        <f>IFERROR(VLOOKUP(F3714,CARTON_LOOKUP!$A:$E,3,0),"")</f>
      </c>
      <c r="H3714" s="28">
        <f>IFERROR(VLOOKUP(F3714,CARTON_LOOKUP!$A:$E,4,0),"")</f>
      </c>
      <c r="I3714" s="28">
        <f>IFERROR(VLOOKUP(F3714,CARTON_LOOKUP!$A:$E,5,0),"")</f>
      </c>
      <c r="J3714" s="29">
        <f>IFERROR(VLOOKUP(F3714,CARTON_LOOKUP!$A:$E,2,0),"")</f>
      </c>
      <c r="K3714" s="29">
        <f>IFERROR(J3714*D3714,0)</f>
      </c>
      <c r="L3714" s="29">
        <f>IFERROR(E3714*C3714,0)</f>
      </c>
      <c r="M3714" s="29">
        <f>IFERROR((G3714*H3714*I3714/1000000)*D3714,0)</f>
      </c>
    </row>
    <row r="3715" spans="1:13" x14ac:dyDescent="0.25">
      <c r="A3715" s="16"/>
      <c r="E3715" s="27"/>
      <c r="F3715" t="s">
        <v>26</v>
      </c>
      <c r="G3715" s="28">
        <f>IFERROR(VLOOKUP(F3715,CARTON_LOOKUP!$A:$E,3,0),"")</f>
      </c>
      <c r="H3715" s="28">
        <f>IFERROR(VLOOKUP(F3715,CARTON_LOOKUP!$A:$E,4,0),"")</f>
      </c>
      <c r="I3715" s="28">
        <f>IFERROR(VLOOKUP(F3715,CARTON_LOOKUP!$A:$E,5,0),"")</f>
      </c>
      <c r="J3715" s="29">
        <f>IFERROR(VLOOKUP(F3715,CARTON_LOOKUP!$A:$E,2,0),"")</f>
      </c>
      <c r="K3715" s="29">
        <f>IFERROR(J3715*D3715,0)</f>
      </c>
      <c r="L3715" s="29">
        <f>IFERROR(E3715*C3715,0)</f>
      </c>
      <c r="M3715" s="29">
        <f>IFERROR((G3715*H3715*I3715/1000000)*D3715,0)</f>
      </c>
    </row>
    <row r="3716" spans="1:13" x14ac:dyDescent="0.25">
      <c r="A3716" s="16"/>
      <c r="E3716" s="27"/>
      <c r="F3716" t="s">
        <v>26</v>
      </c>
      <c r="G3716" s="28">
        <f>IFERROR(VLOOKUP(F3716,CARTON_LOOKUP!$A:$E,3,0),"")</f>
      </c>
      <c r="H3716" s="28">
        <f>IFERROR(VLOOKUP(F3716,CARTON_LOOKUP!$A:$E,4,0),"")</f>
      </c>
      <c r="I3716" s="28">
        <f>IFERROR(VLOOKUP(F3716,CARTON_LOOKUP!$A:$E,5,0),"")</f>
      </c>
      <c r="J3716" s="29">
        <f>IFERROR(VLOOKUP(F3716,CARTON_LOOKUP!$A:$E,2,0),"")</f>
      </c>
      <c r="K3716" s="29">
        <f>IFERROR(J3716*D3716,0)</f>
      </c>
      <c r="L3716" s="29">
        <f>IFERROR(E3716*C3716,0)</f>
      </c>
      <c r="M3716" s="29">
        <f>IFERROR((G3716*H3716*I3716/1000000)*D3716,0)</f>
      </c>
    </row>
    <row r="3717" spans="1:13" x14ac:dyDescent="0.25">
      <c r="A3717" s="16"/>
      <c r="E3717" s="27"/>
      <c r="F3717" t="s">
        <v>26</v>
      </c>
      <c r="G3717" s="28">
        <f>IFERROR(VLOOKUP(F3717,CARTON_LOOKUP!$A:$E,3,0),"")</f>
      </c>
      <c r="H3717" s="28">
        <f>IFERROR(VLOOKUP(F3717,CARTON_LOOKUP!$A:$E,4,0),"")</f>
      </c>
      <c r="I3717" s="28">
        <f>IFERROR(VLOOKUP(F3717,CARTON_LOOKUP!$A:$E,5,0),"")</f>
      </c>
      <c r="J3717" s="29">
        <f>IFERROR(VLOOKUP(F3717,CARTON_LOOKUP!$A:$E,2,0),"")</f>
      </c>
      <c r="K3717" s="29">
        <f>IFERROR(J3717*D3717,0)</f>
      </c>
      <c r="L3717" s="29">
        <f>IFERROR(E3717*C3717,0)</f>
      </c>
      <c r="M3717" s="29">
        <f>IFERROR((G3717*H3717*I3717/1000000)*D3717,0)</f>
      </c>
    </row>
    <row r="3718" spans="1:13" x14ac:dyDescent="0.25">
      <c r="A3718" s="16"/>
      <c r="E3718" s="27"/>
      <c r="F3718" t="s">
        <v>26</v>
      </c>
      <c r="G3718" s="28">
        <f>IFERROR(VLOOKUP(F3718,CARTON_LOOKUP!$A:$E,3,0),"")</f>
      </c>
      <c r="H3718" s="28">
        <f>IFERROR(VLOOKUP(F3718,CARTON_LOOKUP!$A:$E,4,0),"")</f>
      </c>
      <c r="I3718" s="28">
        <f>IFERROR(VLOOKUP(F3718,CARTON_LOOKUP!$A:$E,5,0),"")</f>
      </c>
      <c r="J3718" s="29">
        <f>IFERROR(VLOOKUP(F3718,CARTON_LOOKUP!$A:$E,2,0),"")</f>
      </c>
      <c r="K3718" s="29">
        <f>IFERROR(J3718*D3718,0)</f>
      </c>
      <c r="L3718" s="29">
        <f>IFERROR(E3718*C3718,0)</f>
      </c>
      <c r="M3718" s="29">
        <f>IFERROR((G3718*H3718*I3718/1000000)*D3718,0)</f>
      </c>
    </row>
    <row r="3719" spans="1:13" x14ac:dyDescent="0.25">
      <c r="A3719" s="16"/>
      <c r="E3719" s="27"/>
      <c r="F3719" t="s">
        <v>26</v>
      </c>
      <c r="G3719" s="28">
        <f>IFERROR(VLOOKUP(F3719,CARTON_LOOKUP!$A:$E,3,0),"")</f>
      </c>
      <c r="H3719" s="28">
        <f>IFERROR(VLOOKUP(F3719,CARTON_LOOKUP!$A:$E,4,0),"")</f>
      </c>
      <c r="I3719" s="28">
        <f>IFERROR(VLOOKUP(F3719,CARTON_LOOKUP!$A:$E,5,0),"")</f>
      </c>
      <c r="J3719" s="29">
        <f>IFERROR(VLOOKUP(F3719,CARTON_LOOKUP!$A:$E,2,0),"")</f>
      </c>
      <c r="K3719" s="29">
        <f>IFERROR(J3719*D3719,0)</f>
      </c>
      <c r="L3719" s="29">
        <f>IFERROR(E3719*C3719,0)</f>
      </c>
      <c r="M3719" s="29">
        <f>IFERROR((G3719*H3719*I3719/1000000)*D3719,0)</f>
      </c>
    </row>
    <row r="3720" spans="1:13" x14ac:dyDescent="0.25">
      <c r="A3720" s="16"/>
      <c r="E3720" s="27"/>
      <c r="F3720" t="s">
        <v>26</v>
      </c>
      <c r="G3720" s="28">
        <f>IFERROR(VLOOKUP(F3720,CARTON_LOOKUP!$A:$E,3,0),"")</f>
      </c>
      <c r="H3720" s="28">
        <f>IFERROR(VLOOKUP(F3720,CARTON_LOOKUP!$A:$E,4,0),"")</f>
      </c>
      <c r="I3720" s="28">
        <f>IFERROR(VLOOKUP(F3720,CARTON_LOOKUP!$A:$E,5,0),"")</f>
      </c>
      <c r="J3720" s="29">
        <f>IFERROR(VLOOKUP(F3720,CARTON_LOOKUP!$A:$E,2,0),"")</f>
      </c>
      <c r="K3720" s="29">
        <f>IFERROR(J3720*D3720,0)</f>
      </c>
      <c r="L3720" s="29">
        <f>IFERROR(E3720*C3720,0)</f>
      </c>
      <c r="M3720" s="29">
        <f>IFERROR((G3720*H3720*I3720/1000000)*D3720,0)</f>
      </c>
    </row>
    <row r="3721" spans="1:13" x14ac:dyDescent="0.25">
      <c r="A3721" s="16"/>
      <c r="E3721" s="27"/>
      <c r="F3721" t="s">
        <v>26</v>
      </c>
      <c r="G3721" s="28">
        <f>IFERROR(VLOOKUP(F3721,CARTON_LOOKUP!$A:$E,3,0),"")</f>
      </c>
      <c r="H3721" s="28">
        <f>IFERROR(VLOOKUP(F3721,CARTON_LOOKUP!$A:$E,4,0),"")</f>
      </c>
      <c r="I3721" s="28">
        <f>IFERROR(VLOOKUP(F3721,CARTON_LOOKUP!$A:$E,5,0),"")</f>
      </c>
      <c r="J3721" s="29">
        <f>IFERROR(VLOOKUP(F3721,CARTON_LOOKUP!$A:$E,2,0),"")</f>
      </c>
      <c r="K3721" s="29">
        <f>IFERROR(J3721*D3721,0)</f>
      </c>
      <c r="L3721" s="29">
        <f>IFERROR(E3721*C3721,0)</f>
      </c>
      <c r="M3721" s="29">
        <f>IFERROR((G3721*H3721*I3721/1000000)*D3721,0)</f>
      </c>
    </row>
    <row r="3722" spans="1:13" x14ac:dyDescent="0.25">
      <c r="A3722" s="16"/>
      <c r="E3722" s="27"/>
      <c r="F3722" t="s">
        <v>26</v>
      </c>
      <c r="G3722" s="28">
        <f>IFERROR(VLOOKUP(F3722,CARTON_LOOKUP!$A:$E,3,0),"")</f>
      </c>
      <c r="H3722" s="28">
        <f>IFERROR(VLOOKUP(F3722,CARTON_LOOKUP!$A:$E,4,0),"")</f>
      </c>
      <c r="I3722" s="28">
        <f>IFERROR(VLOOKUP(F3722,CARTON_LOOKUP!$A:$E,5,0),"")</f>
      </c>
      <c r="J3722" s="29">
        <f>IFERROR(VLOOKUP(F3722,CARTON_LOOKUP!$A:$E,2,0),"")</f>
      </c>
      <c r="K3722" s="29">
        <f>IFERROR(J3722*D3722,0)</f>
      </c>
      <c r="L3722" s="29">
        <f>IFERROR(E3722*C3722,0)</f>
      </c>
      <c r="M3722" s="29">
        <f>IFERROR((G3722*H3722*I3722/1000000)*D3722,0)</f>
      </c>
    </row>
    <row r="3723" spans="1:13" x14ac:dyDescent="0.25">
      <c r="A3723" s="16"/>
      <c r="E3723" s="27"/>
      <c r="F3723" t="s">
        <v>26</v>
      </c>
      <c r="G3723" s="28">
        <f>IFERROR(VLOOKUP(F3723,CARTON_LOOKUP!$A:$E,3,0),"")</f>
      </c>
      <c r="H3723" s="28">
        <f>IFERROR(VLOOKUP(F3723,CARTON_LOOKUP!$A:$E,4,0),"")</f>
      </c>
      <c r="I3723" s="28">
        <f>IFERROR(VLOOKUP(F3723,CARTON_LOOKUP!$A:$E,5,0),"")</f>
      </c>
      <c r="J3723" s="29">
        <f>IFERROR(VLOOKUP(F3723,CARTON_LOOKUP!$A:$E,2,0),"")</f>
      </c>
      <c r="K3723" s="29">
        <f>IFERROR(J3723*D3723,0)</f>
      </c>
      <c r="L3723" s="29">
        <f>IFERROR(E3723*C3723,0)</f>
      </c>
      <c r="M3723" s="29">
        <f>IFERROR((G3723*H3723*I3723/1000000)*D3723,0)</f>
      </c>
    </row>
    <row r="3724" spans="1:13" x14ac:dyDescent="0.25">
      <c r="A3724" s="16"/>
      <c r="E3724" s="27"/>
      <c r="F3724" t="s">
        <v>26</v>
      </c>
      <c r="G3724" s="28">
        <f>IFERROR(VLOOKUP(F3724,CARTON_LOOKUP!$A:$E,3,0),"")</f>
      </c>
      <c r="H3724" s="28">
        <f>IFERROR(VLOOKUP(F3724,CARTON_LOOKUP!$A:$E,4,0),"")</f>
      </c>
      <c r="I3724" s="28">
        <f>IFERROR(VLOOKUP(F3724,CARTON_LOOKUP!$A:$E,5,0),"")</f>
      </c>
      <c r="J3724" s="29">
        <f>IFERROR(VLOOKUP(F3724,CARTON_LOOKUP!$A:$E,2,0),"")</f>
      </c>
      <c r="K3724" s="29">
        <f>IFERROR(J3724*D3724,0)</f>
      </c>
      <c r="L3724" s="29">
        <f>IFERROR(E3724*C3724,0)</f>
      </c>
      <c r="M3724" s="29">
        <f>IFERROR((G3724*H3724*I3724/1000000)*D3724,0)</f>
      </c>
    </row>
    <row r="3725" spans="1:13" x14ac:dyDescent="0.25">
      <c r="A3725" s="16"/>
      <c r="E3725" s="27"/>
      <c r="F3725" t="s">
        <v>26</v>
      </c>
      <c r="G3725" s="28">
        <f>IFERROR(VLOOKUP(F3725,CARTON_LOOKUP!$A:$E,3,0),"")</f>
      </c>
      <c r="H3725" s="28">
        <f>IFERROR(VLOOKUP(F3725,CARTON_LOOKUP!$A:$E,4,0),"")</f>
      </c>
      <c r="I3725" s="28">
        <f>IFERROR(VLOOKUP(F3725,CARTON_LOOKUP!$A:$E,5,0),"")</f>
      </c>
      <c r="J3725" s="29">
        <f>IFERROR(VLOOKUP(F3725,CARTON_LOOKUP!$A:$E,2,0),"")</f>
      </c>
      <c r="K3725" s="29">
        <f>IFERROR(J3725*D3725,0)</f>
      </c>
      <c r="L3725" s="29">
        <f>IFERROR(E3725*C3725,0)</f>
      </c>
      <c r="M3725" s="29">
        <f>IFERROR((G3725*H3725*I3725/1000000)*D3725,0)</f>
      </c>
    </row>
    <row r="3726" spans="1:13" x14ac:dyDescent="0.25">
      <c r="A3726" s="16"/>
      <c r="E3726" s="27"/>
      <c r="F3726" t="s">
        <v>26</v>
      </c>
      <c r="G3726" s="28">
        <f>IFERROR(VLOOKUP(F3726,CARTON_LOOKUP!$A:$E,3,0),"")</f>
      </c>
      <c r="H3726" s="28">
        <f>IFERROR(VLOOKUP(F3726,CARTON_LOOKUP!$A:$E,4,0),"")</f>
      </c>
      <c r="I3726" s="28">
        <f>IFERROR(VLOOKUP(F3726,CARTON_LOOKUP!$A:$E,5,0),"")</f>
      </c>
      <c r="J3726" s="29">
        <f>IFERROR(VLOOKUP(F3726,CARTON_LOOKUP!$A:$E,2,0),"")</f>
      </c>
      <c r="K3726" s="29">
        <f>IFERROR(J3726*D3726,0)</f>
      </c>
      <c r="L3726" s="29">
        <f>IFERROR(E3726*C3726,0)</f>
      </c>
      <c r="M3726" s="29">
        <f>IFERROR((G3726*H3726*I3726/1000000)*D3726,0)</f>
      </c>
    </row>
    <row r="3727" spans="1:13" x14ac:dyDescent="0.25">
      <c r="A3727" s="16"/>
      <c r="E3727" s="27"/>
      <c r="F3727" t="s">
        <v>26</v>
      </c>
      <c r="G3727" s="28">
        <f>IFERROR(VLOOKUP(F3727,CARTON_LOOKUP!$A:$E,3,0),"")</f>
      </c>
      <c r="H3727" s="28">
        <f>IFERROR(VLOOKUP(F3727,CARTON_LOOKUP!$A:$E,4,0),"")</f>
      </c>
      <c r="I3727" s="28">
        <f>IFERROR(VLOOKUP(F3727,CARTON_LOOKUP!$A:$E,5,0),"")</f>
      </c>
      <c r="J3727" s="29">
        <f>IFERROR(VLOOKUP(F3727,CARTON_LOOKUP!$A:$E,2,0),"")</f>
      </c>
      <c r="K3727" s="29">
        <f>IFERROR(J3727*D3727,0)</f>
      </c>
      <c r="L3727" s="29">
        <f>IFERROR(E3727*C3727,0)</f>
      </c>
      <c r="M3727" s="29">
        <f>IFERROR((G3727*H3727*I3727/1000000)*D3727,0)</f>
      </c>
    </row>
    <row r="3728" spans="1:13" x14ac:dyDescent="0.25">
      <c r="A3728" s="16"/>
      <c r="E3728" s="27"/>
      <c r="F3728" t="s">
        <v>26</v>
      </c>
      <c r="G3728" s="28">
        <f>IFERROR(VLOOKUP(F3728,CARTON_LOOKUP!$A:$E,3,0),"")</f>
      </c>
      <c r="H3728" s="28">
        <f>IFERROR(VLOOKUP(F3728,CARTON_LOOKUP!$A:$E,4,0),"")</f>
      </c>
      <c r="I3728" s="28">
        <f>IFERROR(VLOOKUP(F3728,CARTON_LOOKUP!$A:$E,5,0),"")</f>
      </c>
      <c r="J3728" s="29">
        <f>IFERROR(VLOOKUP(F3728,CARTON_LOOKUP!$A:$E,2,0),"")</f>
      </c>
      <c r="K3728" s="29">
        <f>IFERROR(J3728*D3728,0)</f>
      </c>
      <c r="L3728" s="29">
        <f>IFERROR(E3728*C3728,0)</f>
      </c>
      <c r="M3728" s="29">
        <f>IFERROR((G3728*H3728*I3728/1000000)*D3728,0)</f>
      </c>
    </row>
    <row r="3729" spans="1:13" x14ac:dyDescent="0.25">
      <c r="A3729" s="16"/>
      <c r="E3729" s="27"/>
      <c r="F3729" t="s">
        <v>26</v>
      </c>
      <c r="G3729" s="28">
        <f>IFERROR(VLOOKUP(F3729,CARTON_LOOKUP!$A:$E,3,0),"")</f>
      </c>
      <c r="H3729" s="28">
        <f>IFERROR(VLOOKUP(F3729,CARTON_LOOKUP!$A:$E,4,0),"")</f>
      </c>
      <c r="I3729" s="28">
        <f>IFERROR(VLOOKUP(F3729,CARTON_LOOKUP!$A:$E,5,0),"")</f>
      </c>
      <c r="J3729" s="29">
        <f>IFERROR(VLOOKUP(F3729,CARTON_LOOKUP!$A:$E,2,0),"")</f>
      </c>
      <c r="K3729" s="29">
        <f>IFERROR(J3729*D3729,0)</f>
      </c>
      <c r="L3729" s="29">
        <f>IFERROR(E3729*C3729,0)</f>
      </c>
      <c r="M3729" s="29">
        <f>IFERROR((G3729*H3729*I3729/1000000)*D3729,0)</f>
      </c>
    </row>
    <row r="3730" spans="1:13" x14ac:dyDescent="0.25">
      <c r="A3730" s="16"/>
      <c r="E3730" s="27"/>
      <c r="F3730" t="s">
        <v>26</v>
      </c>
      <c r="G3730" s="28">
        <f>IFERROR(VLOOKUP(F3730,CARTON_LOOKUP!$A:$E,3,0),"")</f>
      </c>
      <c r="H3730" s="28">
        <f>IFERROR(VLOOKUP(F3730,CARTON_LOOKUP!$A:$E,4,0),"")</f>
      </c>
      <c r="I3730" s="28">
        <f>IFERROR(VLOOKUP(F3730,CARTON_LOOKUP!$A:$E,5,0),"")</f>
      </c>
      <c r="J3730" s="29">
        <f>IFERROR(VLOOKUP(F3730,CARTON_LOOKUP!$A:$E,2,0),"")</f>
      </c>
      <c r="K3730" s="29">
        <f>IFERROR(J3730*D3730,0)</f>
      </c>
      <c r="L3730" s="29">
        <f>IFERROR(E3730*C3730,0)</f>
      </c>
      <c r="M3730" s="29">
        <f>IFERROR((G3730*H3730*I3730/1000000)*D3730,0)</f>
      </c>
    </row>
    <row r="3731" spans="1:13" x14ac:dyDescent="0.25">
      <c r="A3731" s="16"/>
      <c r="E3731" s="27"/>
      <c r="F3731" t="s">
        <v>26</v>
      </c>
      <c r="G3731" s="28">
        <f>IFERROR(VLOOKUP(F3731,CARTON_LOOKUP!$A:$E,3,0),"")</f>
      </c>
      <c r="H3731" s="28">
        <f>IFERROR(VLOOKUP(F3731,CARTON_LOOKUP!$A:$E,4,0),"")</f>
      </c>
      <c r="I3731" s="28">
        <f>IFERROR(VLOOKUP(F3731,CARTON_LOOKUP!$A:$E,5,0),"")</f>
      </c>
      <c r="J3731" s="29">
        <f>IFERROR(VLOOKUP(F3731,CARTON_LOOKUP!$A:$E,2,0),"")</f>
      </c>
      <c r="K3731" s="29">
        <f>IFERROR(J3731*D3731,0)</f>
      </c>
      <c r="L3731" s="29">
        <f>IFERROR(E3731*C3731,0)</f>
      </c>
      <c r="M3731" s="29">
        <f>IFERROR((G3731*H3731*I3731/1000000)*D3731,0)</f>
      </c>
    </row>
    <row r="3732" spans="1:13" x14ac:dyDescent="0.25">
      <c r="A3732" s="16"/>
      <c r="E3732" s="27"/>
      <c r="F3732" t="s">
        <v>26</v>
      </c>
      <c r="G3732" s="28">
        <f>IFERROR(VLOOKUP(F3732,CARTON_LOOKUP!$A:$E,3,0),"")</f>
      </c>
      <c r="H3732" s="28">
        <f>IFERROR(VLOOKUP(F3732,CARTON_LOOKUP!$A:$E,4,0),"")</f>
      </c>
      <c r="I3732" s="28">
        <f>IFERROR(VLOOKUP(F3732,CARTON_LOOKUP!$A:$E,5,0),"")</f>
      </c>
      <c r="J3732" s="29">
        <f>IFERROR(VLOOKUP(F3732,CARTON_LOOKUP!$A:$E,2,0),"")</f>
      </c>
      <c r="K3732" s="29">
        <f>IFERROR(J3732*D3732,0)</f>
      </c>
      <c r="L3732" s="29">
        <f>IFERROR(E3732*C3732,0)</f>
      </c>
      <c r="M3732" s="29">
        <f>IFERROR((G3732*H3732*I3732/1000000)*D3732,0)</f>
      </c>
    </row>
    <row r="3733" spans="1:13" x14ac:dyDescent="0.25">
      <c r="A3733" s="16"/>
      <c r="E3733" s="27"/>
      <c r="F3733" t="s">
        <v>26</v>
      </c>
      <c r="G3733" s="28">
        <f>IFERROR(VLOOKUP(F3733,CARTON_LOOKUP!$A:$E,3,0),"")</f>
      </c>
      <c r="H3733" s="28">
        <f>IFERROR(VLOOKUP(F3733,CARTON_LOOKUP!$A:$E,4,0),"")</f>
      </c>
      <c r="I3733" s="28">
        <f>IFERROR(VLOOKUP(F3733,CARTON_LOOKUP!$A:$E,5,0),"")</f>
      </c>
      <c r="J3733" s="29">
        <f>IFERROR(VLOOKUP(F3733,CARTON_LOOKUP!$A:$E,2,0),"")</f>
      </c>
      <c r="K3733" s="29">
        <f>IFERROR(J3733*D3733,0)</f>
      </c>
      <c r="L3733" s="29">
        <f>IFERROR(E3733*C3733,0)</f>
      </c>
      <c r="M3733" s="29">
        <f>IFERROR((G3733*H3733*I3733/1000000)*D3733,0)</f>
      </c>
    </row>
    <row r="3734" spans="1:13" x14ac:dyDescent="0.25">
      <c r="A3734" s="16"/>
      <c r="E3734" s="27"/>
      <c r="F3734" t="s">
        <v>26</v>
      </c>
      <c r="G3734" s="28">
        <f>IFERROR(VLOOKUP(F3734,CARTON_LOOKUP!$A:$E,3,0),"")</f>
      </c>
      <c r="H3734" s="28">
        <f>IFERROR(VLOOKUP(F3734,CARTON_LOOKUP!$A:$E,4,0),"")</f>
      </c>
      <c r="I3734" s="28">
        <f>IFERROR(VLOOKUP(F3734,CARTON_LOOKUP!$A:$E,5,0),"")</f>
      </c>
      <c r="J3734" s="29">
        <f>IFERROR(VLOOKUP(F3734,CARTON_LOOKUP!$A:$E,2,0),"")</f>
      </c>
      <c r="K3734" s="29">
        <f>IFERROR(J3734*D3734,0)</f>
      </c>
      <c r="L3734" s="29">
        <f>IFERROR(E3734*C3734,0)</f>
      </c>
      <c r="M3734" s="29">
        <f>IFERROR((G3734*H3734*I3734/1000000)*D3734,0)</f>
      </c>
    </row>
    <row r="3735" spans="1:13" x14ac:dyDescent="0.25">
      <c r="A3735" s="16"/>
      <c r="E3735" s="27"/>
      <c r="F3735" t="s">
        <v>26</v>
      </c>
      <c r="G3735" s="28">
        <f>IFERROR(VLOOKUP(F3735,CARTON_LOOKUP!$A:$E,3,0),"")</f>
      </c>
      <c r="H3735" s="28">
        <f>IFERROR(VLOOKUP(F3735,CARTON_LOOKUP!$A:$E,4,0),"")</f>
      </c>
      <c r="I3735" s="28">
        <f>IFERROR(VLOOKUP(F3735,CARTON_LOOKUP!$A:$E,5,0),"")</f>
      </c>
      <c r="J3735" s="29">
        <f>IFERROR(VLOOKUP(F3735,CARTON_LOOKUP!$A:$E,2,0),"")</f>
      </c>
      <c r="K3735" s="29">
        <f>IFERROR(J3735*D3735,0)</f>
      </c>
      <c r="L3735" s="29">
        <f>IFERROR(E3735*C3735,0)</f>
      </c>
      <c r="M3735" s="29">
        <f>IFERROR((G3735*H3735*I3735/1000000)*D3735,0)</f>
      </c>
    </row>
    <row r="3736" spans="1:13" x14ac:dyDescent="0.25">
      <c r="A3736" s="16"/>
      <c r="E3736" s="27"/>
      <c r="F3736" t="s">
        <v>26</v>
      </c>
      <c r="G3736" s="28">
        <f>IFERROR(VLOOKUP(F3736,CARTON_LOOKUP!$A:$E,3,0),"")</f>
      </c>
      <c r="H3736" s="28">
        <f>IFERROR(VLOOKUP(F3736,CARTON_LOOKUP!$A:$E,4,0),"")</f>
      </c>
      <c r="I3736" s="28">
        <f>IFERROR(VLOOKUP(F3736,CARTON_LOOKUP!$A:$E,5,0),"")</f>
      </c>
      <c r="J3736" s="29">
        <f>IFERROR(VLOOKUP(F3736,CARTON_LOOKUP!$A:$E,2,0),"")</f>
      </c>
      <c r="K3736" s="29">
        <f>IFERROR(J3736*D3736,0)</f>
      </c>
      <c r="L3736" s="29">
        <f>IFERROR(E3736*C3736,0)</f>
      </c>
      <c r="M3736" s="29">
        <f>IFERROR((G3736*H3736*I3736/1000000)*D3736,0)</f>
      </c>
    </row>
    <row r="3737" spans="1:13" x14ac:dyDescent="0.25">
      <c r="A3737" s="16"/>
      <c r="E3737" s="27"/>
      <c r="F3737" t="s">
        <v>26</v>
      </c>
      <c r="G3737" s="28">
        <f>IFERROR(VLOOKUP(F3737,CARTON_LOOKUP!$A:$E,3,0),"")</f>
      </c>
      <c r="H3737" s="28">
        <f>IFERROR(VLOOKUP(F3737,CARTON_LOOKUP!$A:$E,4,0),"")</f>
      </c>
      <c r="I3737" s="28">
        <f>IFERROR(VLOOKUP(F3737,CARTON_LOOKUP!$A:$E,5,0),"")</f>
      </c>
      <c r="J3737" s="29">
        <f>IFERROR(VLOOKUP(F3737,CARTON_LOOKUP!$A:$E,2,0),"")</f>
      </c>
      <c r="K3737" s="29">
        <f>IFERROR(J3737*D3737,0)</f>
      </c>
      <c r="L3737" s="29">
        <f>IFERROR(E3737*C3737,0)</f>
      </c>
      <c r="M3737" s="29">
        <f>IFERROR((G3737*H3737*I3737/1000000)*D3737,0)</f>
      </c>
    </row>
    <row r="3738" spans="1:13" x14ac:dyDescent="0.25">
      <c r="A3738" s="16"/>
      <c r="E3738" s="27"/>
      <c r="F3738" t="s">
        <v>26</v>
      </c>
      <c r="G3738" s="28">
        <f>IFERROR(VLOOKUP(F3738,CARTON_LOOKUP!$A:$E,3,0),"")</f>
      </c>
      <c r="H3738" s="28">
        <f>IFERROR(VLOOKUP(F3738,CARTON_LOOKUP!$A:$E,4,0),"")</f>
      </c>
      <c r="I3738" s="28">
        <f>IFERROR(VLOOKUP(F3738,CARTON_LOOKUP!$A:$E,5,0),"")</f>
      </c>
      <c r="J3738" s="29">
        <f>IFERROR(VLOOKUP(F3738,CARTON_LOOKUP!$A:$E,2,0),"")</f>
      </c>
      <c r="K3738" s="29">
        <f>IFERROR(J3738*D3738,0)</f>
      </c>
      <c r="L3738" s="29">
        <f>IFERROR(E3738*C3738,0)</f>
      </c>
      <c r="M3738" s="29">
        <f>IFERROR((G3738*H3738*I3738/1000000)*D3738,0)</f>
      </c>
    </row>
    <row r="3739" spans="1:13" x14ac:dyDescent="0.25">
      <c r="A3739" s="16"/>
      <c r="E3739" s="27"/>
      <c r="F3739" t="s">
        <v>26</v>
      </c>
      <c r="G3739" s="28">
        <f>IFERROR(VLOOKUP(F3739,CARTON_LOOKUP!$A:$E,3,0),"")</f>
      </c>
      <c r="H3739" s="28">
        <f>IFERROR(VLOOKUP(F3739,CARTON_LOOKUP!$A:$E,4,0),"")</f>
      </c>
      <c r="I3739" s="28">
        <f>IFERROR(VLOOKUP(F3739,CARTON_LOOKUP!$A:$E,5,0),"")</f>
      </c>
      <c r="J3739" s="29">
        <f>IFERROR(VLOOKUP(F3739,CARTON_LOOKUP!$A:$E,2,0),"")</f>
      </c>
      <c r="K3739" s="29">
        <f>IFERROR(J3739*D3739,0)</f>
      </c>
      <c r="L3739" s="29">
        <f>IFERROR(E3739*C3739,0)</f>
      </c>
      <c r="M3739" s="29">
        <f>IFERROR((G3739*H3739*I3739/1000000)*D3739,0)</f>
      </c>
    </row>
    <row r="3740" spans="1:13" x14ac:dyDescent="0.25">
      <c r="A3740" s="16"/>
      <c r="E3740" s="27"/>
      <c r="F3740" t="s">
        <v>26</v>
      </c>
      <c r="G3740" s="28">
        <f>IFERROR(VLOOKUP(F3740,CARTON_LOOKUP!$A:$E,3,0),"")</f>
      </c>
      <c r="H3740" s="28">
        <f>IFERROR(VLOOKUP(F3740,CARTON_LOOKUP!$A:$E,4,0),"")</f>
      </c>
      <c r="I3740" s="28">
        <f>IFERROR(VLOOKUP(F3740,CARTON_LOOKUP!$A:$E,5,0),"")</f>
      </c>
      <c r="J3740" s="29">
        <f>IFERROR(VLOOKUP(F3740,CARTON_LOOKUP!$A:$E,2,0),"")</f>
      </c>
      <c r="K3740" s="29">
        <f>IFERROR(J3740*D3740,0)</f>
      </c>
      <c r="L3740" s="29">
        <f>IFERROR(E3740*C3740,0)</f>
      </c>
      <c r="M3740" s="29">
        <f>IFERROR((G3740*H3740*I3740/1000000)*D3740,0)</f>
      </c>
    </row>
    <row r="3741" spans="1:13" x14ac:dyDescent="0.25">
      <c r="A3741" s="16"/>
      <c r="E3741" s="27"/>
      <c r="F3741" t="s">
        <v>26</v>
      </c>
      <c r="G3741" s="28">
        <f>IFERROR(VLOOKUP(F3741,CARTON_LOOKUP!$A:$E,3,0),"")</f>
      </c>
      <c r="H3741" s="28">
        <f>IFERROR(VLOOKUP(F3741,CARTON_LOOKUP!$A:$E,4,0),"")</f>
      </c>
      <c r="I3741" s="28">
        <f>IFERROR(VLOOKUP(F3741,CARTON_LOOKUP!$A:$E,5,0),"")</f>
      </c>
      <c r="J3741" s="29">
        <f>IFERROR(VLOOKUP(F3741,CARTON_LOOKUP!$A:$E,2,0),"")</f>
      </c>
      <c r="K3741" s="29">
        <f>IFERROR(J3741*D3741,0)</f>
      </c>
      <c r="L3741" s="29">
        <f>IFERROR(E3741*C3741,0)</f>
      </c>
      <c r="M3741" s="29">
        <f>IFERROR((G3741*H3741*I3741/1000000)*D3741,0)</f>
      </c>
    </row>
    <row r="3742" spans="1:13" x14ac:dyDescent="0.25">
      <c r="A3742" s="16"/>
      <c r="E3742" s="27"/>
      <c r="F3742" t="s">
        <v>26</v>
      </c>
      <c r="G3742" s="28">
        <f>IFERROR(VLOOKUP(F3742,CARTON_LOOKUP!$A:$E,3,0),"")</f>
      </c>
      <c r="H3742" s="28">
        <f>IFERROR(VLOOKUP(F3742,CARTON_LOOKUP!$A:$E,4,0),"")</f>
      </c>
      <c r="I3742" s="28">
        <f>IFERROR(VLOOKUP(F3742,CARTON_LOOKUP!$A:$E,5,0),"")</f>
      </c>
      <c r="J3742" s="29">
        <f>IFERROR(VLOOKUP(F3742,CARTON_LOOKUP!$A:$E,2,0),"")</f>
      </c>
      <c r="K3742" s="29">
        <f>IFERROR(J3742*D3742,0)</f>
      </c>
      <c r="L3742" s="29">
        <f>IFERROR(E3742*C3742,0)</f>
      </c>
      <c r="M3742" s="29">
        <f>IFERROR((G3742*H3742*I3742/1000000)*D3742,0)</f>
      </c>
    </row>
    <row r="3743" spans="1:13" x14ac:dyDescent="0.25">
      <c r="A3743" s="16"/>
      <c r="E3743" s="27"/>
      <c r="F3743" t="s">
        <v>26</v>
      </c>
      <c r="G3743" s="28">
        <f>IFERROR(VLOOKUP(F3743,CARTON_LOOKUP!$A:$E,3,0),"")</f>
      </c>
      <c r="H3743" s="28">
        <f>IFERROR(VLOOKUP(F3743,CARTON_LOOKUP!$A:$E,4,0),"")</f>
      </c>
      <c r="I3743" s="28">
        <f>IFERROR(VLOOKUP(F3743,CARTON_LOOKUP!$A:$E,5,0),"")</f>
      </c>
      <c r="J3743" s="29">
        <f>IFERROR(VLOOKUP(F3743,CARTON_LOOKUP!$A:$E,2,0),"")</f>
      </c>
      <c r="K3743" s="29">
        <f>IFERROR(J3743*D3743,0)</f>
      </c>
      <c r="L3743" s="29">
        <f>IFERROR(E3743*C3743,0)</f>
      </c>
      <c r="M3743" s="29">
        <f>IFERROR((G3743*H3743*I3743/1000000)*D3743,0)</f>
      </c>
    </row>
    <row r="3744" spans="1:13" x14ac:dyDescent="0.25">
      <c r="A3744" s="16"/>
      <c r="E3744" s="27"/>
      <c r="F3744" t="s">
        <v>26</v>
      </c>
      <c r="G3744" s="28">
        <f>IFERROR(VLOOKUP(F3744,CARTON_LOOKUP!$A:$E,3,0),"")</f>
      </c>
      <c r="H3744" s="28">
        <f>IFERROR(VLOOKUP(F3744,CARTON_LOOKUP!$A:$E,4,0),"")</f>
      </c>
      <c r="I3744" s="28">
        <f>IFERROR(VLOOKUP(F3744,CARTON_LOOKUP!$A:$E,5,0),"")</f>
      </c>
      <c r="J3744" s="29">
        <f>IFERROR(VLOOKUP(F3744,CARTON_LOOKUP!$A:$E,2,0),"")</f>
      </c>
      <c r="K3744" s="29">
        <f>IFERROR(J3744*D3744,0)</f>
      </c>
      <c r="L3744" s="29">
        <f>IFERROR(E3744*C3744,0)</f>
      </c>
      <c r="M3744" s="29">
        <f>IFERROR((G3744*H3744*I3744/1000000)*D3744,0)</f>
      </c>
    </row>
    <row r="3745" spans="1:13" x14ac:dyDescent="0.25">
      <c r="A3745" s="16"/>
      <c r="E3745" s="27"/>
      <c r="F3745" t="s">
        <v>26</v>
      </c>
      <c r="G3745" s="28">
        <f>IFERROR(VLOOKUP(F3745,CARTON_LOOKUP!$A:$E,3,0),"")</f>
      </c>
      <c r="H3745" s="28">
        <f>IFERROR(VLOOKUP(F3745,CARTON_LOOKUP!$A:$E,4,0),"")</f>
      </c>
      <c r="I3745" s="28">
        <f>IFERROR(VLOOKUP(F3745,CARTON_LOOKUP!$A:$E,5,0),"")</f>
      </c>
      <c r="J3745" s="29">
        <f>IFERROR(VLOOKUP(F3745,CARTON_LOOKUP!$A:$E,2,0),"")</f>
      </c>
      <c r="K3745" s="29">
        <f>IFERROR(J3745*D3745,0)</f>
      </c>
      <c r="L3745" s="29">
        <f>IFERROR(E3745*C3745,0)</f>
      </c>
      <c r="M3745" s="29">
        <f>IFERROR((G3745*H3745*I3745/1000000)*D3745,0)</f>
      </c>
    </row>
    <row r="3746" spans="1:13" x14ac:dyDescent="0.25">
      <c r="A3746" s="16"/>
      <c r="E3746" s="27"/>
      <c r="F3746" t="s">
        <v>26</v>
      </c>
      <c r="G3746" s="28">
        <f>IFERROR(VLOOKUP(F3746,CARTON_LOOKUP!$A:$E,3,0),"")</f>
      </c>
      <c r="H3746" s="28">
        <f>IFERROR(VLOOKUP(F3746,CARTON_LOOKUP!$A:$E,4,0),"")</f>
      </c>
      <c r="I3746" s="28">
        <f>IFERROR(VLOOKUP(F3746,CARTON_LOOKUP!$A:$E,5,0),"")</f>
      </c>
      <c r="J3746" s="29">
        <f>IFERROR(VLOOKUP(F3746,CARTON_LOOKUP!$A:$E,2,0),"")</f>
      </c>
      <c r="K3746" s="29">
        <f>IFERROR(J3746*D3746,0)</f>
      </c>
      <c r="L3746" s="29">
        <f>IFERROR(E3746*C3746,0)</f>
      </c>
      <c r="M3746" s="29">
        <f>IFERROR((G3746*H3746*I3746/1000000)*D3746,0)</f>
      </c>
    </row>
    <row r="3747" spans="1:13" x14ac:dyDescent="0.25">
      <c r="A3747" s="16"/>
      <c r="E3747" s="27"/>
      <c r="F3747" t="s">
        <v>26</v>
      </c>
      <c r="G3747" s="28">
        <f>IFERROR(VLOOKUP(F3747,CARTON_LOOKUP!$A:$E,3,0),"")</f>
      </c>
      <c r="H3747" s="28">
        <f>IFERROR(VLOOKUP(F3747,CARTON_LOOKUP!$A:$E,4,0),"")</f>
      </c>
      <c r="I3747" s="28">
        <f>IFERROR(VLOOKUP(F3747,CARTON_LOOKUP!$A:$E,5,0),"")</f>
      </c>
      <c r="J3747" s="29">
        <f>IFERROR(VLOOKUP(F3747,CARTON_LOOKUP!$A:$E,2,0),"")</f>
      </c>
      <c r="K3747" s="29">
        <f>IFERROR(J3747*D3747,0)</f>
      </c>
      <c r="L3747" s="29">
        <f>IFERROR(E3747*C3747,0)</f>
      </c>
      <c r="M3747" s="29">
        <f>IFERROR((G3747*H3747*I3747/1000000)*D3747,0)</f>
      </c>
    </row>
    <row r="3748" spans="1:13" x14ac:dyDescent="0.25">
      <c r="A3748" s="16"/>
      <c r="E3748" s="27"/>
      <c r="F3748" t="s">
        <v>26</v>
      </c>
      <c r="G3748" s="28">
        <f>IFERROR(VLOOKUP(F3748,CARTON_LOOKUP!$A:$E,3,0),"")</f>
      </c>
      <c r="H3748" s="28">
        <f>IFERROR(VLOOKUP(F3748,CARTON_LOOKUP!$A:$E,4,0),"")</f>
      </c>
      <c r="I3748" s="28">
        <f>IFERROR(VLOOKUP(F3748,CARTON_LOOKUP!$A:$E,5,0),"")</f>
      </c>
      <c r="J3748" s="29">
        <f>IFERROR(VLOOKUP(F3748,CARTON_LOOKUP!$A:$E,2,0),"")</f>
      </c>
      <c r="K3748" s="29">
        <f>IFERROR(J3748*D3748,0)</f>
      </c>
      <c r="L3748" s="29">
        <f>IFERROR(E3748*C3748,0)</f>
      </c>
      <c r="M3748" s="29">
        <f>IFERROR((G3748*H3748*I3748/1000000)*D3748,0)</f>
      </c>
    </row>
    <row r="3749" spans="1:13" x14ac:dyDescent="0.25">
      <c r="A3749" s="16"/>
      <c r="E3749" s="27"/>
      <c r="F3749" t="s">
        <v>26</v>
      </c>
      <c r="G3749" s="28">
        <f>IFERROR(VLOOKUP(F3749,CARTON_LOOKUP!$A:$E,3,0),"")</f>
      </c>
      <c r="H3749" s="28">
        <f>IFERROR(VLOOKUP(F3749,CARTON_LOOKUP!$A:$E,4,0),"")</f>
      </c>
      <c r="I3749" s="28">
        <f>IFERROR(VLOOKUP(F3749,CARTON_LOOKUP!$A:$E,5,0),"")</f>
      </c>
      <c r="J3749" s="29">
        <f>IFERROR(VLOOKUP(F3749,CARTON_LOOKUP!$A:$E,2,0),"")</f>
      </c>
      <c r="K3749" s="29">
        <f>IFERROR(J3749*D3749,0)</f>
      </c>
      <c r="L3749" s="29">
        <f>IFERROR(E3749*C3749,0)</f>
      </c>
      <c r="M3749" s="29">
        <f>IFERROR((G3749*H3749*I3749/1000000)*D3749,0)</f>
      </c>
    </row>
    <row r="3750" spans="1:13" x14ac:dyDescent="0.25">
      <c r="A3750" s="16"/>
      <c r="E3750" s="27"/>
      <c r="F3750" t="s">
        <v>26</v>
      </c>
      <c r="G3750" s="28">
        <f>IFERROR(VLOOKUP(F3750,CARTON_LOOKUP!$A:$E,3,0),"")</f>
      </c>
      <c r="H3750" s="28">
        <f>IFERROR(VLOOKUP(F3750,CARTON_LOOKUP!$A:$E,4,0),"")</f>
      </c>
      <c r="I3750" s="28">
        <f>IFERROR(VLOOKUP(F3750,CARTON_LOOKUP!$A:$E,5,0),"")</f>
      </c>
      <c r="J3750" s="29">
        <f>IFERROR(VLOOKUP(F3750,CARTON_LOOKUP!$A:$E,2,0),"")</f>
      </c>
      <c r="K3750" s="29">
        <f>IFERROR(J3750*D3750,0)</f>
      </c>
      <c r="L3750" s="29">
        <f>IFERROR(E3750*C3750,0)</f>
      </c>
      <c r="M3750" s="29">
        <f>IFERROR((G3750*H3750*I3750/1000000)*D3750,0)</f>
      </c>
    </row>
    <row r="3751" spans="1:13" x14ac:dyDescent="0.25">
      <c r="A3751" s="16"/>
      <c r="E3751" s="27"/>
      <c r="F3751" t="s">
        <v>26</v>
      </c>
      <c r="G3751" s="28">
        <f>IFERROR(VLOOKUP(F3751,CARTON_LOOKUP!$A:$E,3,0),"")</f>
      </c>
      <c r="H3751" s="28">
        <f>IFERROR(VLOOKUP(F3751,CARTON_LOOKUP!$A:$E,4,0),"")</f>
      </c>
      <c r="I3751" s="28">
        <f>IFERROR(VLOOKUP(F3751,CARTON_LOOKUP!$A:$E,5,0),"")</f>
      </c>
      <c r="J3751" s="29">
        <f>IFERROR(VLOOKUP(F3751,CARTON_LOOKUP!$A:$E,2,0),"")</f>
      </c>
      <c r="K3751" s="29">
        <f>IFERROR(J3751*D3751,0)</f>
      </c>
      <c r="L3751" s="29">
        <f>IFERROR(E3751*C3751,0)</f>
      </c>
      <c r="M3751" s="29">
        <f>IFERROR((G3751*H3751*I3751/1000000)*D3751,0)</f>
      </c>
    </row>
    <row r="3752" spans="1:13" x14ac:dyDescent="0.25">
      <c r="A3752" s="16"/>
      <c r="E3752" s="27"/>
      <c r="F3752" t="s">
        <v>26</v>
      </c>
      <c r="G3752" s="28">
        <f>IFERROR(VLOOKUP(F3752,CARTON_LOOKUP!$A:$E,3,0),"")</f>
      </c>
      <c r="H3752" s="28">
        <f>IFERROR(VLOOKUP(F3752,CARTON_LOOKUP!$A:$E,4,0),"")</f>
      </c>
      <c r="I3752" s="28">
        <f>IFERROR(VLOOKUP(F3752,CARTON_LOOKUP!$A:$E,5,0),"")</f>
      </c>
      <c r="J3752" s="29">
        <f>IFERROR(VLOOKUP(F3752,CARTON_LOOKUP!$A:$E,2,0),"")</f>
      </c>
      <c r="K3752" s="29">
        <f>IFERROR(J3752*D3752,0)</f>
      </c>
      <c r="L3752" s="29">
        <f>IFERROR(E3752*C3752,0)</f>
      </c>
      <c r="M3752" s="29">
        <f>IFERROR((G3752*H3752*I3752/1000000)*D3752,0)</f>
      </c>
    </row>
    <row r="3753" spans="1:13" x14ac:dyDescent="0.25">
      <c r="A3753" s="16"/>
      <c r="E3753" s="27"/>
      <c r="F3753" t="s">
        <v>26</v>
      </c>
      <c r="G3753" s="28">
        <f>IFERROR(VLOOKUP(F3753,CARTON_LOOKUP!$A:$E,3,0),"")</f>
      </c>
      <c r="H3753" s="28">
        <f>IFERROR(VLOOKUP(F3753,CARTON_LOOKUP!$A:$E,4,0),"")</f>
      </c>
      <c r="I3753" s="28">
        <f>IFERROR(VLOOKUP(F3753,CARTON_LOOKUP!$A:$E,5,0),"")</f>
      </c>
      <c r="J3753" s="29">
        <f>IFERROR(VLOOKUP(F3753,CARTON_LOOKUP!$A:$E,2,0),"")</f>
      </c>
      <c r="K3753" s="29">
        <f>IFERROR(J3753*D3753,0)</f>
      </c>
      <c r="L3753" s="29">
        <f>IFERROR(E3753*C3753,0)</f>
      </c>
      <c r="M3753" s="29">
        <f>IFERROR((G3753*H3753*I3753/1000000)*D3753,0)</f>
      </c>
    </row>
    <row r="3754" spans="1:13" x14ac:dyDescent="0.25">
      <c r="A3754" s="16"/>
      <c r="E3754" s="27"/>
      <c r="F3754" t="s">
        <v>26</v>
      </c>
      <c r="G3754" s="28">
        <f>IFERROR(VLOOKUP(F3754,CARTON_LOOKUP!$A:$E,3,0),"")</f>
      </c>
      <c r="H3754" s="28">
        <f>IFERROR(VLOOKUP(F3754,CARTON_LOOKUP!$A:$E,4,0),"")</f>
      </c>
      <c r="I3754" s="28">
        <f>IFERROR(VLOOKUP(F3754,CARTON_LOOKUP!$A:$E,5,0),"")</f>
      </c>
      <c r="J3754" s="29">
        <f>IFERROR(VLOOKUP(F3754,CARTON_LOOKUP!$A:$E,2,0),"")</f>
      </c>
      <c r="K3754" s="29">
        <f>IFERROR(J3754*D3754,0)</f>
      </c>
      <c r="L3754" s="29">
        <f>IFERROR(E3754*C3754,0)</f>
      </c>
      <c r="M3754" s="29">
        <f>IFERROR((G3754*H3754*I3754/1000000)*D3754,0)</f>
      </c>
    </row>
    <row r="3755" spans="1:13" x14ac:dyDescent="0.25">
      <c r="A3755" s="16"/>
      <c r="E3755" s="27"/>
      <c r="F3755" t="s">
        <v>26</v>
      </c>
      <c r="G3755" s="28">
        <f>IFERROR(VLOOKUP(F3755,CARTON_LOOKUP!$A:$E,3,0),"")</f>
      </c>
      <c r="H3755" s="28">
        <f>IFERROR(VLOOKUP(F3755,CARTON_LOOKUP!$A:$E,4,0),"")</f>
      </c>
      <c r="I3755" s="28">
        <f>IFERROR(VLOOKUP(F3755,CARTON_LOOKUP!$A:$E,5,0),"")</f>
      </c>
      <c r="J3755" s="29">
        <f>IFERROR(VLOOKUP(F3755,CARTON_LOOKUP!$A:$E,2,0),"")</f>
      </c>
      <c r="K3755" s="29">
        <f>IFERROR(J3755*D3755,0)</f>
      </c>
      <c r="L3755" s="29">
        <f>IFERROR(E3755*C3755,0)</f>
      </c>
      <c r="M3755" s="29">
        <f>IFERROR((G3755*H3755*I3755/1000000)*D3755,0)</f>
      </c>
    </row>
    <row r="3756" spans="1:13" x14ac:dyDescent="0.25">
      <c r="A3756" s="16"/>
      <c r="E3756" s="27"/>
      <c r="F3756" t="s">
        <v>26</v>
      </c>
      <c r="G3756" s="28">
        <f>IFERROR(VLOOKUP(F3756,CARTON_LOOKUP!$A:$E,3,0),"")</f>
      </c>
      <c r="H3756" s="28">
        <f>IFERROR(VLOOKUP(F3756,CARTON_LOOKUP!$A:$E,4,0),"")</f>
      </c>
      <c r="I3756" s="28">
        <f>IFERROR(VLOOKUP(F3756,CARTON_LOOKUP!$A:$E,5,0),"")</f>
      </c>
      <c r="J3756" s="29">
        <f>IFERROR(VLOOKUP(F3756,CARTON_LOOKUP!$A:$E,2,0),"")</f>
      </c>
      <c r="K3756" s="29">
        <f>IFERROR(J3756*D3756,0)</f>
      </c>
      <c r="L3756" s="29">
        <f>IFERROR(E3756*C3756,0)</f>
      </c>
      <c r="M3756" s="29">
        <f>IFERROR((G3756*H3756*I3756/1000000)*D3756,0)</f>
      </c>
    </row>
    <row r="3757" spans="1:13" x14ac:dyDescent="0.25">
      <c r="A3757" s="16"/>
      <c r="E3757" s="27"/>
      <c r="F3757" t="s">
        <v>26</v>
      </c>
      <c r="G3757" s="28">
        <f>IFERROR(VLOOKUP(F3757,CARTON_LOOKUP!$A:$E,3,0),"")</f>
      </c>
      <c r="H3757" s="28">
        <f>IFERROR(VLOOKUP(F3757,CARTON_LOOKUP!$A:$E,4,0),"")</f>
      </c>
      <c r="I3757" s="28">
        <f>IFERROR(VLOOKUP(F3757,CARTON_LOOKUP!$A:$E,5,0),"")</f>
      </c>
      <c r="J3757" s="29">
        <f>IFERROR(VLOOKUP(F3757,CARTON_LOOKUP!$A:$E,2,0),"")</f>
      </c>
      <c r="K3757" s="29">
        <f>IFERROR(J3757*D3757,0)</f>
      </c>
      <c r="L3757" s="29">
        <f>IFERROR(E3757*C3757,0)</f>
      </c>
      <c r="M3757" s="29">
        <f>IFERROR((G3757*H3757*I3757/1000000)*D3757,0)</f>
      </c>
    </row>
    <row r="3758" spans="1:13" x14ac:dyDescent="0.25">
      <c r="A3758" s="16"/>
      <c r="E3758" s="27"/>
      <c r="F3758" t="s">
        <v>26</v>
      </c>
      <c r="G3758" s="28">
        <f>IFERROR(VLOOKUP(F3758,CARTON_LOOKUP!$A:$E,3,0),"")</f>
      </c>
      <c r="H3758" s="28">
        <f>IFERROR(VLOOKUP(F3758,CARTON_LOOKUP!$A:$E,4,0),"")</f>
      </c>
      <c r="I3758" s="28">
        <f>IFERROR(VLOOKUP(F3758,CARTON_LOOKUP!$A:$E,5,0),"")</f>
      </c>
      <c r="J3758" s="29">
        <f>IFERROR(VLOOKUP(F3758,CARTON_LOOKUP!$A:$E,2,0),"")</f>
      </c>
      <c r="K3758" s="29">
        <f>IFERROR(J3758*D3758,0)</f>
      </c>
      <c r="L3758" s="29">
        <f>IFERROR(E3758*C3758,0)</f>
      </c>
      <c r="M3758" s="29">
        <f>IFERROR((G3758*H3758*I3758/1000000)*D3758,0)</f>
      </c>
    </row>
    <row r="3759" spans="1:13" x14ac:dyDescent="0.25">
      <c r="A3759" s="16"/>
      <c r="E3759" s="27"/>
      <c r="F3759" t="s">
        <v>26</v>
      </c>
      <c r="G3759" s="28">
        <f>IFERROR(VLOOKUP(F3759,CARTON_LOOKUP!$A:$E,3,0),"")</f>
      </c>
      <c r="H3759" s="28">
        <f>IFERROR(VLOOKUP(F3759,CARTON_LOOKUP!$A:$E,4,0),"")</f>
      </c>
      <c r="I3759" s="28">
        <f>IFERROR(VLOOKUP(F3759,CARTON_LOOKUP!$A:$E,5,0),"")</f>
      </c>
      <c r="J3759" s="29">
        <f>IFERROR(VLOOKUP(F3759,CARTON_LOOKUP!$A:$E,2,0),"")</f>
      </c>
      <c r="K3759" s="29">
        <f>IFERROR(J3759*D3759,0)</f>
      </c>
      <c r="L3759" s="29">
        <f>IFERROR(E3759*C3759,0)</f>
      </c>
      <c r="M3759" s="29">
        <f>IFERROR((G3759*H3759*I3759/1000000)*D3759,0)</f>
      </c>
    </row>
    <row r="3760" spans="1:13" x14ac:dyDescent="0.25">
      <c r="A3760" s="16"/>
      <c r="E3760" s="27"/>
      <c r="F3760" t="s">
        <v>26</v>
      </c>
      <c r="G3760" s="28">
        <f>IFERROR(VLOOKUP(F3760,CARTON_LOOKUP!$A:$E,3,0),"")</f>
      </c>
      <c r="H3760" s="28">
        <f>IFERROR(VLOOKUP(F3760,CARTON_LOOKUP!$A:$E,4,0),"")</f>
      </c>
      <c r="I3760" s="28">
        <f>IFERROR(VLOOKUP(F3760,CARTON_LOOKUP!$A:$E,5,0),"")</f>
      </c>
      <c r="J3760" s="29">
        <f>IFERROR(VLOOKUP(F3760,CARTON_LOOKUP!$A:$E,2,0),"")</f>
      </c>
      <c r="K3760" s="29">
        <f>IFERROR(J3760*D3760,0)</f>
      </c>
      <c r="L3760" s="29">
        <f>IFERROR(E3760*C3760,0)</f>
      </c>
      <c r="M3760" s="29">
        <f>IFERROR((G3760*H3760*I3760/1000000)*D3760,0)</f>
      </c>
    </row>
    <row r="3761" spans="1:13" x14ac:dyDescent="0.25">
      <c r="A3761" s="16"/>
      <c r="E3761" s="27"/>
      <c r="F3761" t="s">
        <v>26</v>
      </c>
      <c r="G3761" s="28">
        <f>IFERROR(VLOOKUP(F3761,CARTON_LOOKUP!$A:$E,3,0),"")</f>
      </c>
      <c r="H3761" s="28">
        <f>IFERROR(VLOOKUP(F3761,CARTON_LOOKUP!$A:$E,4,0),"")</f>
      </c>
      <c r="I3761" s="28">
        <f>IFERROR(VLOOKUP(F3761,CARTON_LOOKUP!$A:$E,5,0),"")</f>
      </c>
      <c r="J3761" s="29">
        <f>IFERROR(VLOOKUP(F3761,CARTON_LOOKUP!$A:$E,2,0),"")</f>
      </c>
      <c r="K3761" s="29">
        <f>IFERROR(J3761*D3761,0)</f>
      </c>
      <c r="L3761" s="29">
        <f>IFERROR(E3761*C3761,0)</f>
      </c>
      <c r="M3761" s="29">
        <f>IFERROR((G3761*H3761*I3761/1000000)*D3761,0)</f>
      </c>
    </row>
    <row r="3762" spans="1:13" x14ac:dyDescent="0.25">
      <c r="A3762" s="16"/>
      <c r="E3762" s="27"/>
      <c r="F3762" t="s">
        <v>26</v>
      </c>
      <c r="G3762" s="28">
        <f>IFERROR(VLOOKUP(F3762,CARTON_LOOKUP!$A:$E,3,0),"")</f>
      </c>
      <c r="H3762" s="28">
        <f>IFERROR(VLOOKUP(F3762,CARTON_LOOKUP!$A:$E,4,0),"")</f>
      </c>
      <c r="I3762" s="28">
        <f>IFERROR(VLOOKUP(F3762,CARTON_LOOKUP!$A:$E,5,0),"")</f>
      </c>
      <c r="J3762" s="29">
        <f>IFERROR(VLOOKUP(F3762,CARTON_LOOKUP!$A:$E,2,0),"")</f>
      </c>
      <c r="K3762" s="29">
        <f>IFERROR(J3762*D3762,0)</f>
      </c>
      <c r="L3762" s="29">
        <f>IFERROR(E3762*C3762,0)</f>
      </c>
      <c r="M3762" s="29">
        <f>IFERROR((G3762*H3762*I3762/1000000)*D3762,0)</f>
      </c>
    </row>
    <row r="3763" spans="1:13" x14ac:dyDescent="0.25">
      <c r="A3763" s="16"/>
      <c r="E3763" s="27"/>
      <c r="F3763" t="s">
        <v>26</v>
      </c>
      <c r="G3763" s="28">
        <f>IFERROR(VLOOKUP(F3763,CARTON_LOOKUP!$A:$E,3,0),"")</f>
      </c>
      <c r="H3763" s="28">
        <f>IFERROR(VLOOKUP(F3763,CARTON_LOOKUP!$A:$E,4,0),"")</f>
      </c>
      <c r="I3763" s="28">
        <f>IFERROR(VLOOKUP(F3763,CARTON_LOOKUP!$A:$E,5,0),"")</f>
      </c>
      <c r="J3763" s="29">
        <f>IFERROR(VLOOKUP(F3763,CARTON_LOOKUP!$A:$E,2,0),"")</f>
      </c>
      <c r="K3763" s="29">
        <f>IFERROR(J3763*D3763,0)</f>
      </c>
      <c r="L3763" s="29">
        <f>IFERROR(E3763*C3763,0)</f>
      </c>
      <c r="M3763" s="29">
        <f>IFERROR((G3763*H3763*I3763/1000000)*D3763,0)</f>
      </c>
    </row>
    <row r="3764" spans="1:13" x14ac:dyDescent="0.25">
      <c r="A3764" s="16"/>
      <c r="E3764" s="27"/>
      <c r="F3764" t="s">
        <v>26</v>
      </c>
      <c r="G3764" s="28">
        <f>IFERROR(VLOOKUP(F3764,CARTON_LOOKUP!$A:$E,3,0),"")</f>
      </c>
      <c r="H3764" s="28">
        <f>IFERROR(VLOOKUP(F3764,CARTON_LOOKUP!$A:$E,4,0),"")</f>
      </c>
      <c r="I3764" s="28">
        <f>IFERROR(VLOOKUP(F3764,CARTON_LOOKUP!$A:$E,5,0),"")</f>
      </c>
      <c r="J3764" s="29">
        <f>IFERROR(VLOOKUP(F3764,CARTON_LOOKUP!$A:$E,2,0),"")</f>
      </c>
      <c r="K3764" s="29">
        <f>IFERROR(J3764*D3764,0)</f>
      </c>
      <c r="L3764" s="29">
        <f>IFERROR(E3764*C3764,0)</f>
      </c>
      <c r="M3764" s="29">
        <f>IFERROR((G3764*H3764*I3764/1000000)*D3764,0)</f>
      </c>
    </row>
    <row r="3765" spans="1:13" x14ac:dyDescent="0.25">
      <c r="A3765" s="16"/>
      <c r="E3765" s="27"/>
      <c r="F3765" t="s">
        <v>26</v>
      </c>
      <c r="G3765" s="28">
        <f>IFERROR(VLOOKUP(F3765,CARTON_LOOKUP!$A:$E,3,0),"")</f>
      </c>
      <c r="H3765" s="28">
        <f>IFERROR(VLOOKUP(F3765,CARTON_LOOKUP!$A:$E,4,0),"")</f>
      </c>
      <c r="I3765" s="28">
        <f>IFERROR(VLOOKUP(F3765,CARTON_LOOKUP!$A:$E,5,0),"")</f>
      </c>
      <c r="J3765" s="29">
        <f>IFERROR(VLOOKUP(F3765,CARTON_LOOKUP!$A:$E,2,0),"")</f>
      </c>
      <c r="K3765" s="29">
        <f>IFERROR(J3765*D3765,0)</f>
      </c>
      <c r="L3765" s="29">
        <f>IFERROR(E3765*C3765,0)</f>
      </c>
      <c r="M3765" s="29">
        <f>IFERROR((G3765*H3765*I3765/1000000)*D3765,0)</f>
      </c>
    </row>
    <row r="3766" spans="1:13" x14ac:dyDescent="0.25">
      <c r="A3766" s="16"/>
      <c r="E3766" s="27"/>
      <c r="F3766" t="s">
        <v>26</v>
      </c>
      <c r="G3766" s="28">
        <f>IFERROR(VLOOKUP(F3766,CARTON_LOOKUP!$A:$E,3,0),"")</f>
      </c>
      <c r="H3766" s="28">
        <f>IFERROR(VLOOKUP(F3766,CARTON_LOOKUP!$A:$E,4,0),"")</f>
      </c>
      <c r="I3766" s="28">
        <f>IFERROR(VLOOKUP(F3766,CARTON_LOOKUP!$A:$E,5,0),"")</f>
      </c>
      <c r="J3766" s="29">
        <f>IFERROR(VLOOKUP(F3766,CARTON_LOOKUP!$A:$E,2,0),"")</f>
      </c>
      <c r="K3766" s="29">
        <f>IFERROR(J3766*D3766,0)</f>
      </c>
      <c r="L3766" s="29">
        <f>IFERROR(E3766*C3766,0)</f>
      </c>
      <c r="M3766" s="29">
        <f>IFERROR((G3766*H3766*I3766/1000000)*D3766,0)</f>
      </c>
    </row>
    <row r="3767" spans="1:13" x14ac:dyDescent="0.25">
      <c r="A3767" s="16"/>
      <c r="E3767" s="27"/>
      <c r="F3767" t="s">
        <v>26</v>
      </c>
      <c r="G3767" s="28">
        <f>IFERROR(VLOOKUP(F3767,CARTON_LOOKUP!$A:$E,3,0),"")</f>
      </c>
      <c r="H3767" s="28">
        <f>IFERROR(VLOOKUP(F3767,CARTON_LOOKUP!$A:$E,4,0),"")</f>
      </c>
      <c r="I3767" s="28">
        <f>IFERROR(VLOOKUP(F3767,CARTON_LOOKUP!$A:$E,5,0),"")</f>
      </c>
      <c r="J3767" s="29">
        <f>IFERROR(VLOOKUP(F3767,CARTON_LOOKUP!$A:$E,2,0),"")</f>
      </c>
      <c r="K3767" s="29">
        <f>IFERROR(J3767*D3767,0)</f>
      </c>
      <c r="L3767" s="29">
        <f>IFERROR(E3767*C3767,0)</f>
      </c>
      <c r="M3767" s="29">
        <f>IFERROR((G3767*H3767*I3767/1000000)*D3767,0)</f>
      </c>
    </row>
    <row r="3768" spans="1:13" x14ac:dyDescent="0.25">
      <c r="A3768" s="16"/>
      <c r="E3768" s="27"/>
      <c r="F3768" t="s">
        <v>26</v>
      </c>
      <c r="G3768" s="28">
        <f>IFERROR(VLOOKUP(F3768,CARTON_LOOKUP!$A:$E,3,0),"")</f>
      </c>
      <c r="H3768" s="28">
        <f>IFERROR(VLOOKUP(F3768,CARTON_LOOKUP!$A:$E,4,0),"")</f>
      </c>
      <c r="I3768" s="28">
        <f>IFERROR(VLOOKUP(F3768,CARTON_LOOKUP!$A:$E,5,0),"")</f>
      </c>
      <c r="J3768" s="29">
        <f>IFERROR(VLOOKUP(F3768,CARTON_LOOKUP!$A:$E,2,0),"")</f>
      </c>
      <c r="K3768" s="29">
        <f>IFERROR(J3768*D3768,0)</f>
      </c>
      <c r="L3768" s="29">
        <f>IFERROR(E3768*C3768,0)</f>
      </c>
      <c r="M3768" s="29">
        <f>IFERROR((G3768*H3768*I3768/1000000)*D3768,0)</f>
      </c>
    </row>
    <row r="3769" spans="1:13" x14ac:dyDescent="0.25">
      <c r="A3769" s="16"/>
      <c r="E3769" s="27"/>
      <c r="F3769" t="s">
        <v>26</v>
      </c>
      <c r="G3769" s="28">
        <f>IFERROR(VLOOKUP(F3769,CARTON_LOOKUP!$A:$E,3,0),"")</f>
      </c>
      <c r="H3769" s="28">
        <f>IFERROR(VLOOKUP(F3769,CARTON_LOOKUP!$A:$E,4,0),"")</f>
      </c>
      <c r="I3769" s="28">
        <f>IFERROR(VLOOKUP(F3769,CARTON_LOOKUP!$A:$E,5,0),"")</f>
      </c>
      <c r="J3769" s="29">
        <f>IFERROR(VLOOKUP(F3769,CARTON_LOOKUP!$A:$E,2,0),"")</f>
      </c>
      <c r="K3769" s="29">
        <f>IFERROR(J3769*D3769,0)</f>
      </c>
      <c r="L3769" s="29">
        <f>IFERROR(E3769*C3769,0)</f>
      </c>
      <c r="M3769" s="29">
        <f>IFERROR((G3769*H3769*I3769/1000000)*D3769,0)</f>
      </c>
    </row>
    <row r="3770" spans="1:13" x14ac:dyDescent="0.25">
      <c r="A3770" s="16"/>
      <c r="E3770" s="27"/>
      <c r="F3770" t="s">
        <v>26</v>
      </c>
      <c r="G3770" s="28">
        <f>IFERROR(VLOOKUP(F3770,CARTON_LOOKUP!$A:$E,3,0),"")</f>
      </c>
      <c r="H3770" s="28">
        <f>IFERROR(VLOOKUP(F3770,CARTON_LOOKUP!$A:$E,4,0),"")</f>
      </c>
      <c r="I3770" s="28">
        <f>IFERROR(VLOOKUP(F3770,CARTON_LOOKUP!$A:$E,5,0),"")</f>
      </c>
      <c r="J3770" s="29">
        <f>IFERROR(VLOOKUP(F3770,CARTON_LOOKUP!$A:$E,2,0),"")</f>
      </c>
      <c r="K3770" s="29">
        <f>IFERROR(J3770*D3770,0)</f>
      </c>
      <c r="L3770" s="29">
        <f>IFERROR(E3770*C3770,0)</f>
      </c>
      <c r="M3770" s="29">
        <f>IFERROR((G3770*H3770*I3770/1000000)*D3770,0)</f>
      </c>
    </row>
    <row r="3771" spans="1:13" x14ac:dyDescent="0.25">
      <c r="A3771" s="16"/>
      <c r="E3771" s="27"/>
      <c r="F3771" t="s">
        <v>26</v>
      </c>
      <c r="G3771" s="28">
        <f>IFERROR(VLOOKUP(F3771,CARTON_LOOKUP!$A:$E,3,0),"")</f>
      </c>
      <c r="H3771" s="28">
        <f>IFERROR(VLOOKUP(F3771,CARTON_LOOKUP!$A:$E,4,0),"")</f>
      </c>
      <c r="I3771" s="28">
        <f>IFERROR(VLOOKUP(F3771,CARTON_LOOKUP!$A:$E,5,0),"")</f>
      </c>
      <c r="J3771" s="29">
        <f>IFERROR(VLOOKUP(F3771,CARTON_LOOKUP!$A:$E,2,0),"")</f>
      </c>
      <c r="K3771" s="29">
        <f>IFERROR(J3771*D3771,0)</f>
      </c>
      <c r="L3771" s="29">
        <f>IFERROR(E3771*C3771,0)</f>
      </c>
      <c r="M3771" s="29">
        <f>IFERROR((G3771*H3771*I3771/1000000)*D3771,0)</f>
      </c>
    </row>
    <row r="3772" spans="1:13" x14ac:dyDescent="0.25">
      <c r="A3772" s="16"/>
      <c r="E3772" s="27"/>
      <c r="F3772" t="s">
        <v>26</v>
      </c>
      <c r="G3772" s="28">
        <f>IFERROR(VLOOKUP(F3772,CARTON_LOOKUP!$A:$E,3,0),"")</f>
      </c>
      <c r="H3772" s="28">
        <f>IFERROR(VLOOKUP(F3772,CARTON_LOOKUP!$A:$E,4,0),"")</f>
      </c>
      <c r="I3772" s="28">
        <f>IFERROR(VLOOKUP(F3772,CARTON_LOOKUP!$A:$E,5,0),"")</f>
      </c>
      <c r="J3772" s="29">
        <f>IFERROR(VLOOKUP(F3772,CARTON_LOOKUP!$A:$E,2,0),"")</f>
      </c>
      <c r="K3772" s="29">
        <f>IFERROR(J3772*D3772,0)</f>
      </c>
      <c r="L3772" s="29">
        <f>IFERROR(E3772*C3772,0)</f>
      </c>
      <c r="M3772" s="29">
        <f>IFERROR((G3772*H3772*I3772/1000000)*D3772,0)</f>
      </c>
    </row>
    <row r="3773" spans="1:13" x14ac:dyDescent="0.25">
      <c r="A3773" s="16"/>
      <c r="E3773" s="27"/>
      <c r="F3773" t="s">
        <v>26</v>
      </c>
      <c r="G3773" s="28">
        <f>IFERROR(VLOOKUP(F3773,CARTON_LOOKUP!$A:$E,3,0),"")</f>
      </c>
      <c r="H3773" s="28">
        <f>IFERROR(VLOOKUP(F3773,CARTON_LOOKUP!$A:$E,4,0),"")</f>
      </c>
      <c r="I3773" s="28">
        <f>IFERROR(VLOOKUP(F3773,CARTON_LOOKUP!$A:$E,5,0),"")</f>
      </c>
      <c r="J3773" s="29">
        <f>IFERROR(VLOOKUP(F3773,CARTON_LOOKUP!$A:$E,2,0),"")</f>
      </c>
      <c r="K3773" s="29">
        <f>IFERROR(J3773*D3773,0)</f>
      </c>
      <c r="L3773" s="29">
        <f>IFERROR(E3773*C3773,0)</f>
      </c>
      <c r="M3773" s="29">
        <f>IFERROR((G3773*H3773*I3773/1000000)*D3773,0)</f>
      </c>
    </row>
    <row r="3774" spans="1:13" x14ac:dyDescent="0.25">
      <c r="A3774" s="16"/>
      <c r="E3774" s="27"/>
      <c r="F3774" t="s">
        <v>26</v>
      </c>
      <c r="G3774" s="28">
        <f>IFERROR(VLOOKUP(F3774,CARTON_LOOKUP!$A:$E,3,0),"")</f>
      </c>
      <c r="H3774" s="28">
        <f>IFERROR(VLOOKUP(F3774,CARTON_LOOKUP!$A:$E,4,0),"")</f>
      </c>
      <c r="I3774" s="28">
        <f>IFERROR(VLOOKUP(F3774,CARTON_LOOKUP!$A:$E,5,0),"")</f>
      </c>
      <c r="J3774" s="29">
        <f>IFERROR(VLOOKUP(F3774,CARTON_LOOKUP!$A:$E,2,0),"")</f>
      </c>
      <c r="K3774" s="29">
        <f>IFERROR(J3774*D3774,0)</f>
      </c>
      <c r="L3774" s="29">
        <f>IFERROR(E3774*C3774,0)</f>
      </c>
      <c r="M3774" s="29">
        <f>IFERROR((G3774*H3774*I3774/1000000)*D3774,0)</f>
      </c>
    </row>
    <row r="3775" spans="1:13" x14ac:dyDescent="0.25">
      <c r="A3775" s="16"/>
      <c r="E3775" s="27"/>
      <c r="F3775" t="s">
        <v>26</v>
      </c>
      <c r="G3775" s="28">
        <f>IFERROR(VLOOKUP(F3775,CARTON_LOOKUP!$A:$E,3,0),"")</f>
      </c>
      <c r="H3775" s="28">
        <f>IFERROR(VLOOKUP(F3775,CARTON_LOOKUP!$A:$E,4,0),"")</f>
      </c>
      <c r="I3775" s="28">
        <f>IFERROR(VLOOKUP(F3775,CARTON_LOOKUP!$A:$E,5,0),"")</f>
      </c>
      <c r="J3775" s="29">
        <f>IFERROR(VLOOKUP(F3775,CARTON_LOOKUP!$A:$E,2,0),"")</f>
      </c>
      <c r="K3775" s="29">
        <f>IFERROR(J3775*D3775,0)</f>
      </c>
      <c r="L3775" s="29">
        <f>IFERROR(E3775*C3775,0)</f>
      </c>
      <c r="M3775" s="29">
        <f>IFERROR((G3775*H3775*I3775/1000000)*D3775,0)</f>
      </c>
    </row>
    <row r="3776" spans="1:13" x14ac:dyDescent="0.25">
      <c r="A3776" s="16"/>
      <c r="E3776" s="27"/>
      <c r="F3776" t="s">
        <v>26</v>
      </c>
      <c r="G3776" s="28">
        <f>IFERROR(VLOOKUP(F3776,CARTON_LOOKUP!$A:$E,3,0),"")</f>
      </c>
      <c r="H3776" s="28">
        <f>IFERROR(VLOOKUP(F3776,CARTON_LOOKUP!$A:$E,4,0),"")</f>
      </c>
      <c r="I3776" s="28">
        <f>IFERROR(VLOOKUP(F3776,CARTON_LOOKUP!$A:$E,5,0),"")</f>
      </c>
      <c r="J3776" s="29">
        <f>IFERROR(VLOOKUP(F3776,CARTON_LOOKUP!$A:$E,2,0),"")</f>
      </c>
      <c r="K3776" s="29">
        <f>IFERROR(J3776*D3776,0)</f>
      </c>
      <c r="L3776" s="29">
        <f>IFERROR(E3776*C3776,0)</f>
      </c>
      <c r="M3776" s="29">
        <f>IFERROR((G3776*H3776*I3776/1000000)*D3776,0)</f>
      </c>
    </row>
    <row r="3777" spans="1:13" x14ac:dyDescent="0.25">
      <c r="A3777" s="16"/>
      <c r="E3777" s="27"/>
      <c r="F3777" t="s">
        <v>26</v>
      </c>
      <c r="G3777" s="28">
        <f>IFERROR(VLOOKUP(F3777,CARTON_LOOKUP!$A:$E,3,0),"")</f>
      </c>
      <c r="H3777" s="28">
        <f>IFERROR(VLOOKUP(F3777,CARTON_LOOKUP!$A:$E,4,0),"")</f>
      </c>
      <c r="I3777" s="28">
        <f>IFERROR(VLOOKUP(F3777,CARTON_LOOKUP!$A:$E,5,0),"")</f>
      </c>
      <c r="J3777" s="29">
        <f>IFERROR(VLOOKUP(F3777,CARTON_LOOKUP!$A:$E,2,0),"")</f>
      </c>
      <c r="K3777" s="29">
        <f>IFERROR(J3777*D3777,0)</f>
      </c>
      <c r="L3777" s="29">
        <f>IFERROR(E3777*C3777,0)</f>
      </c>
      <c r="M3777" s="29">
        <f>IFERROR((G3777*H3777*I3777/1000000)*D3777,0)</f>
      </c>
    </row>
    <row r="3778" spans="1:13" x14ac:dyDescent="0.25">
      <c r="A3778" s="16"/>
      <c r="E3778" s="27"/>
      <c r="F3778" t="s">
        <v>26</v>
      </c>
      <c r="G3778" s="28">
        <f>IFERROR(VLOOKUP(F3778,CARTON_LOOKUP!$A:$E,3,0),"")</f>
      </c>
      <c r="H3778" s="28">
        <f>IFERROR(VLOOKUP(F3778,CARTON_LOOKUP!$A:$E,4,0),"")</f>
      </c>
      <c r="I3778" s="28">
        <f>IFERROR(VLOOKUP(F3778,CARTON_LOOKUP!$A:$E,5,0),"")</f>
      </c>
      <c r="J3778" s="29">
        <f>IFERROR(VLOOKUP(F3778,CARTON_LOOKUP!$A:$E,2,0),"")</f>
      </c>
      <c r="K3778" s="29">
        <f>IFERROR(J3778*D3778,0)</f>
      </c>
      <c r="L3778" s="29">
        <f>IFERROR(E3778*C3778,0)</f>
      </c>
      <c r="M3778" s="29">
        <f>IFERROR((G3778*H3778*I3778/1000000)*D3778,0)</f>
      </c>
    </row>
    <row r="3779" spans="1:13" x14ac:dyDescent="0.25">
      <c r="A3779" s="16"/>
      <c r="E3779" s="27"/>
      <c r="F3779" t="s">
        <v>26</v>
      </c>
      <c r="G3779" s="28">
        <f>IFERROR(VLOOKUP(F3779,CARTON_LOOKUP!$A:$E,3,0),"")</f>
      </c>
      <c r="H3779" s="28">
        <f>IFERROR(VLOOKUP(F3779,CARTON_LOOKUP!$A:$E,4,0),"")</f>
      </c>
      <c r="I3779" s="28">
        <f>IFERROR(VLOOKUP(F3779,CARTON_LOOKUP!$A:$E,5,0),"")</f>
      </c>
      <c r="J3779" s="29">
        <f>IFERROR(VLOOKUP(F3779,CARTON_LOOKUP!$A:$E,2,0),"")</f>
      </c>
      <c r="K3779" s="29">
        <f>IFERROR(J3779*D3779,0)</f>
      </c>
      <c r="L3779" s="29">
        <f>IFERROR(E3779*C3779,0)</f>
      </c>
      <c r="M3779" s="29">
        <f>IFERROR((G3779*H3779*I3779/1000000)*D3779,0)</f>
      </c>
    </row>
    <row r="3780" spans="1:13" x14ac:dyDescent="0.25">
      <c r="A3780" s="16"/>
      <c r="E3780" s="27"/>
      <c r="F3780" t="s">
        <v>26</v>
      </c>
      <c r="G3780" s="28">
        <f>IFERROR(VLOOKUP(F3780,CARTON_LOOKUP!$A:$E,3,0),"")</f>
      </c>
      <c r="H3780" s="28">
        <f>IFERROR(VLOOKUP(F3780,CARTON_LOOKUP!$A:$E,4,0),"")</f>
      </c>
      <c r="I3780" s="28">
        <f>IFERROR(VLOOKUP(F3780,CARTON_LOOKUP!$A:$E,5,0),"")</f>
      </c>
      <c r="J3780" s="29">
        <f>IFERROR(VLOOKUP(F3780,CARTON_LOOKUP!$A:$E,2,0),"")</f>
      </c>
      <c r="K3780" s="29">
        <f>IFERROR(J3780*D3780,0)</f>
      </c>
      <c r="L3780" s="29">
        <f>IFERROR(E3780*C3780,0)</f>
      </c>
      <c r="M3780" s="29">
        <f>IFERROR((G3780*H3780*I3780/1000000)*D3780,0)</f>
      </c>
    </row>
    <row r="3781" spans="1:13" x14ac:dyDescent="0.25">
      <c r="A3781" s="16"/>
      <c r="E3781" s="27"/>
      <c r="F3781" t="s">
        <v>26</v>
      </c>
      <c r="G3781" s="28">
        <f>IFERROR(VLOOKUP(F3781,CARTON_LOOKUP!$A:$E,3,0),"")</f>
      </c>
      <c r="H3781" s="28">
        <f>IFERROR(VLOOKUP(F3781,CARTON_LOOKUP!$A:$E,4,0),"")</f>
      </c>
      <c r="I3781" s="28">
        <f>IFERROR(VLOOKUP(F3781,CARTON_LOOKUP!$A:$E,5,0),"")</f>
      </c>
      <c r="J3781" s="29">
        <f>IFERROR(VLOOKUP(F3781,CARTON_LOOKUP!$A:$E,2,0),"")</f>
      </c>
      <c r="K3781" s="29">
        <f>IFERROR(J3781*D3781,0)</f>
      </c>
      <c r="L3781" s="29">
        <f>IFERROR(E3781*C3781,0)</f>
      </c>
      <c r="M3781" s="29">
        <f>IFERROR((G3781*H3781*I3781/1000000)*D3781,0)</f>
      </c>
    </row>
    <row r="3782" spans="1:13" x14ac:dyDescent="0.25">
      <c r="A3782" s="16"/>
      <c r="E3782" s="27"/>
      <c r="F3782" t="s">
        <v>26</v>
      </c>
      <c r="G3782" s="28">
        <f>IFERROR(VLOOKUP(F3782,CARTON_LOOKUP!$A:$E,3,0),"")</f>
      </c>
      <c r="H3782" s="28">
        <f>IFERROR(VLOOKUP(F3782,CARTON_LOOKUP!$A:$E,4,0),"")</f>
      </c>
      <c r="I3782" s="28">
        <f>IFERROR(VLOOKUP(F3782,CARTON_LOOKUP!$A:$E,5,0),"")</f>
      </c>
      <c r="J3782" s="29">
        <f>IFERROR(VLOOKUP(F3782,CARTON_LOOKUP!$A:$E,2,0),"")</f>
      </c>
      <c r="K3782" s="29">
        <f>IFERROR(J3782*D3782,0)</f>
      </c>
      <c r="L3782" s="29">
        <f>IFERROR(E3782*C3782,0)</f>
      </c>
      <c r="M3782" s="29">
        <f>IFERROR((G3782*H3782*I3782/1000000)*D3782,0)</f>
      </c>
    </row>
    <row r="3783" spans="1:13" x14ac:dyDescent="0.25">
      <c r="A3783" s="16"/>
      <c r="E3783" s="27"/>
      <c r="F3783" t="s">
        <v>26</v>
      </c>
      <c r="G3783" s="28">
        <f>IFERROR(VLOOKUP(F3783,CARTON_LOOKUP!$A:$E,3,0),"")</f>
      </c>
      <c r="H3783" s="28">
        <f>IFERROR(VLOOKUP(F3783,CARTON_LOOKUP!$A:$E,4,0),"")</f>
      </c>
      <c r="I3783" s="28">
        <f>IFERROR(VLOOKUP(F3783,CARTON_LOOKUP!$A:$E,5,0),"")</f>
      </c>
      <c r="J3783" s="29">
        <f>IFERROR(VLOOKUP(F3783,CARTON_LOOKUP!$A:$E,2,0),"")</f>
      </c>
      <c r="K3783" s="29">
        <f>IFERROR(J3783*D3783,0)</f>
      </c>
      <c r="L3783" s="29">
        <f>IFERROR(E3783*C3783,0)</f>
      </c>
      <c r="M3783" s="29">
        <f>IFERROR((G3783*H3783*I3783/1000000)*D3783,0)</f>
      </c>
    </row>
    <row r="3784" spans="1:13" x14ac:dyDescent="0.25">
      <c r="A3784" s="16"/>
      <c r="E3784" s="27"/>
      <c r="F3784" t="s">
        <v>26</v>
      </c>
      <c r="G3784" s="28">
        <f>IFERROR(VLOOKUP(F3784,CARTON_LOOKUP!$A:$E,3,0),"")</f>
      </c>
      <c r="H3784" s="28">
        <f>IFERROR(VLOOKUP(F3784,CARTON_LOOKUP!$A:$E,4,0),"")</f>
      </c>
      <c r="I3784" s="28">
        <f>IFERROR(VLOOKUP(F3784,CARTON_LOOKUP!$A:$E,5,0),"")</f>
      </c>
      <c r="J3784" s="29">
        <f>IFERROR(VLOOKUP(F3784,CARTON_LOOKUP!$A:$E,2,0),"")</f>
      </c>
      <c r="K3784" s="29">
        <f>IFERROR(J3784*D3784,0)</f>
      </c>
      <c r="L3784" s="29">
        <f>IFERROR(E3784*C3784,0)</f>
      </c>
      <c r="M3784" s="29">
        <f>IFERROR((G3784*H3784*I3784/1000000)*D3784,0)</f>
      </c>
    </row>
    <row r="3785" spans="1:13" x14ac:dyDescent="0.25">
      <c r="A3785" s="16"/>
      <c r="E3785" s="27"/>
      <c r="F3785" t="s">
        <v>26</v>
      </c>
      <c r="G3785" s="28">
        <f>IFERROR(VLOOKUP(F3785,CARTON_LOOKUP!$A:$E,3,0),"")</f>
      </c>
      <c r="H3785" s="28">
        <f>IFERROR(VLOOKUP(F3785,CARTON_LOOKUP!$A:$E,4,0),"")</f>
      </c>
      <c r="I3785" s="28">
        <f>IFERROR(VLOOKUP(F3785,CARTON_LOOKUP!$A:$E,5,0),"")</f>
      </c>
      <c r="J3785" s="29">
        <f>IFERROR(VLOOKUP(F3785,CARTON_LOOKUP!$A:$E,2,0),"")</f>
      </c>
      <c r="K3785" s="29">
        <f>IFERROR(J3785*D3785,0)</f>
      </c>
      <c r="L3785" s="29">
        <f>IFERROR(E3785*C3785,0)</f>
      </c>
      <c r="M3785" s="29">
        <f>IFERROR((G3785*H3785*I3785/1000000)*D3785,0)</f>
      </c>
    </row>
    <row r="3786" spans="1:13" x14ac:dyDescent="0.25">
      <c r="A3786" s="16"/>
      <c r="E3786" s="27"/>
      <c r="F3786" t="s">
        <v>26</v>
      </c>
      <c r="G3786" s="28">
        <f>IFERROR(VLOOKUP(F3786,CARTON_LOOKUP!$A:$E,3,0),"")</f>
      </c>
      <c r="H3786" s="28">
        <f>IFERROR(VLOOKUP(F3786,CARTON_LOOKUP!$A:$E,4,0),"")</f>
      </c>
      <c r="I3786" s="28">
        <f>IFERROR(VLOOKUP(F3786,CARTON_LOOKUP!$A:$E,5,0),"")</f>
      </c>
      <c r="J3786" s="29">
        <f>IFERROR(VLOOKUP(F3786,CARTON_LOOKUP!$A:$E,2,0),"")</f>
      </c>
      <c r="K3786" s="29">
        <f>IFERROR(J3786*D3786,0)</f>
      </c>
      <c r="L3786" s="29">
        <f>IFERROR(E3786*C3786,0)</f>
      </c>
      <c r="M3786" s="29">
        <f>IFERROR((G3786*H3786*I3786/1000000)*D3786,0)</f>
      </c>
    </row>
    <row r="3787" spans="1:13" x14ac:dyDescent="0.25">
      <c r="A3787" s="16"/>
      <c r="E3787" s="27"/>
      <c r="F3787" t="s">
        <v>26</v>
      </c>
      <c r="G3787" s="28">
        <f>IFERROR(VLOOKUP(F3787,CARTON_LOOKUP!$A:$E,3,0),"")</f>
      </c>
      <c r="H3787" s="28">
        <f>IFERROR(VLOOKUP(F3787,CARTON_LOOKUP!$A:$E,4,0),"")</f>
      </c>
      <c r="I3787" s="28">
        <f>IFERROR(VLOOKUP(F3787,CARTON_LOOKUP!$A:$E,5,0),"")</f>
      </c>
      <c r="J3787" s="29">
        <f>IFERROR(VLOOKUP(F3787,CARTON_LOOKUP!$A:$E,2,0),"")</f>
      </c>
      <c r="K3787" s="29">
        <f>IFERROR(J3787*D3787,0)</f>
      </c>
      <c r="L3787" s="29">
        <f>IFERROR(E3787*C3787,0)</f>
      </c>
      <c r="M3787" s="29">
        <f>IFERROR((G3787*H3787*I3787/1000000)*D3787,0)</f>
      </c>
    </row>
    <row r="3788" spans="1:13" x14ac:dyDescent="0.25">
      <c r="A3788" s="16"/>
      <c r="E3788" s="27"/>
      <c r="F3788" t="s">
        <v>26</v>
      </c>
      <c r="G3788" s="28">
        <f>IFERROR(VLOOKUP(F3788,CARTON_LOOKUP!$A:$E,3,0),"")</f>
      </c>
      <c r="H3788" s="28">
        <f>IFERROR(VLOOKUP(F3788,CARTON_LOOKUP!$A:$E,4,0),"")</f>
      </c>
      <c r="I3788" s="28">
        <f>IFERROR(VLOOKUP(F3788,CARTON_LOOKUP!$A:$E,5,0),"")</f>
      </c>
      <c r="J3788" s="29">
        <f>IFERROR(VLOOKUP(F3788,CARTON_LOOKUP!$A:$E,2,0),"")</f>
      </c>
      <c r="K3788" s="29">
        <f>IFERROR(J3788*D3788,0)</f>
      </c>
      <c r="L3788" s="29">
        <f>IFERROR(E3788*C3788,0)</f>
      </c>
      <c r="M3788" s="29">
        <f>IFERROR((G3788*H3788*I3788/1000000)*D3788,0)</f>
      </c>
    </row>
    <row r="3789" spans="1:13" x14ac:dyDescent="0.25">
      <c r="A3789" s="16"/>
      <c r="E3789" s="27"/>
      <c r="F3789" t="s">
        <v>26</v>
      </c>
      <c r="G3789" s="28">
        <f>IFERROR(VLOOKUP(F3789,CARTON_LOOKUP!$A:$E,3,0),"")</f>
      </c>
      <c r="H3789" s="28">
        <f>IFERROR(VLOOKUP(F3789,CARTON_LOOKUP!$A:$E,4,0),"")</f>
      </c>
      <c r="I3789" s="28">
        <f>IFERROR(VLOOKUP(F3789,CARTON_LOOKUP!$A:$E,5,0),"")</f>
      </c>
      <c r="J3789" s="29">
        <f>IFERROR(VLOOKUP(F3789,CARTON_LOOKUP!$A:$E,2,0),"")</f>
      </c>
      <c r="K3789" s="29">
        <f>IFERROR(J3789*D3789,0)</f>
      </c>
      <c r="L3789" s="29">
        <f>IFERROR(E3789*C3789,0)</f>
      </c>
      <c r="M3789" s="29">
        <f>IFERROR((G3789*H3789*I3789/1000000)*D3789,0)</f>
      </c>
    </row>
    <row r="3790" spans="1:13" x14ac:dyDescent="0.25">
      <c r="A3790" s="16"/>
      <c r="E3790" s="27"/>
      <c r="F3790" t="s">
        <v>26</v>
      </c>
      <c r="G3790" s="28">
        <f>IFERROR(VLOOKUP(F3790,CARTON_LOOKUP!$A:$E,3,0),"")</f>
      </c>
      <c r="H3790" s="28">
        <f>IFERROR(VLOOKUP(F3790,CARTON_LOOKUP!$A:$E,4,0),"")</f>
      </c>
      <c r="I3790" s="28">
        <f>IFERROR(VLOOKUP(F3790,CARTON_LOOKUP!$A:$E,5,0),"")</f>
      </c>
      <c r="J3790" s="29">
        <f>IFERROR(VLOOKUP(F3790,CARTON_LOOKUP!$A:$E,2,0),"")</f>
      </c>
      <c r="K3790" s="29">
        <f>IFERROR(J3790*D3790,0)</f>
      </c>
      <c r="L3790" s="29">
        <f>IFERROR(E3790*C3790,0)</f>
      </c>
      <c r="M3790" s="29">
        <f>IFERROR((G3790*H3790*I3790/1000000)*D3790,0)</f>
      </c>
    </row>
    <row r="3791" spans="1:13" x14ac:dyDescent="0.25">
      <c r="A3791" s="16"/>
      <c r="E3791" s="27"/>
      <c r="F3791" t="s">
        <v>26</v>
      </c>
      <c r="G3791" s="28">
        <f>IFERROR(VLOOKUP(F3791,CARTON_LOOKUP!$A:$E,3,0),"")</f>
      </c>
      <c r="H3791" s="28">
        <f>IFERROR(VLOOKUP(F3791,CARTON_LOOKUP!$A:$E,4,0),"")</f>
      </c>
      <c r="I3791" s="28">
        <f>IFERROR(VLOOKUP(F3791,CARTON_LOOKUP!$A:$E,5,0),"")</f>
      </c>
      <c r="J3791" s="29">
        <f>IFERROR(VLOOKUP(F3791,CARTON_LOOKUP!$A:$E,2,0),"")</f>
      </c>
      <c r="K3791" s="29">
        <f>IFERROR(J3791*D3791,0)</f>
      </c>
      <c r="L3791" s="29">
        <f>IFERROR(E3791*C3791,0)</f>
      </c>
      <c r="M3791" s="29">
        <f>IFERROR((G3791*H3791*I3791/1000000)*D3791,0)</f>
      </c>
    </row>
    <row r="3792" spans="1:13" x14ac:dyDescent="0.25">
      <c r="A3792" s="16"/>
      <c r="E3792" s="27"/>
      <c r="F3792" t="s">
        <v>26</v>
      </c>
      <c r="G3792" s="28">
        <f>IFERROR(VLOOKUP(F3792,CARTON_LOOKUP!$A:$E,3,0),"")</f>
      </c>
      <c r="H3792" s="28">
        <f>IFERROR(VLOOKUP(F3792,CARTON_LOOKUP!$A:$E,4,0),"")</f>
      </c>
      <c r="I3792" s="28">
        <f>IFERROR(VLOOKUP(F3792,CARTON_LOOKUP!$A:$E,5,0),"")</f>
      </c>
      <c r="J3792" s="29">
        <f>IFERROR(VLOOKUP(F3792,CARTON_LOOKUP!$A:$E,2,0),"")</f>
      </c>
      <c r="K3792" s="29">
        <f>IFERROR(J3792*D3792,0)</f>
      </c>
      <c r="L3792" s="29">
        <f>IFERROR(E3792*C3792,0)</f>
      </c>
      <c r="M3792" s="29">
        <f>IFERROR((G3792*H3792*I3792/1000000)*D3792,0)</f>
      </c>
    </row>
    <row r="3793" spans="1:13" x14ac:dyDescent="0.25">
      <c r="A3793" s="16"/>
      <c r="E3793" s="27"/>
      <c r="F3793" t="s">
        <v>26</v>
      </c>
      <c r="G3793" s="28">
        <f>IFERROR(VLOOKUP(F3793,CARTON_LOOKUP!$A:$E,3,0),"")</f>
      </c>
      <c r="H3793" s="28">
        <f>IFERROR(VLOOKUP(F3793,CARTON_LOOKUP!$A:$E,4,0),"")</f>
      </c>
      <c r="I3793" s="28">
        <f>IFERROR(VLOOKUP(F3793,CARTON_LOOKUP!$A:$E,5,0),"")</f>
      </c>
      <c r="J3793" s="29">
        <f>IFERROR(VLOOKUP(F3793,CARTON_LOOKUP!$A:$E,2,0),"")</f>
      </c>
      <c r="K3793" s="29">
        <f>IFERROR(J3793*D3793,0)</f>
      </c>
      <c r="L3793" s="29">
        <f>IFERROR(E3793*C3793,0)</f>
      </c>
      <c r="M3793" s="29">
        <f>IFERROR((G3793*H3793*I3793/1000000)*D3793,0)</f>
      </c>
    </row>
    <row r="3794" spans="1:13" x14ac:dyDescent="0.25">
      <c r="A3794" s="16"/>
      <c r="E3794" s="27"/>
      <c r="F3794" t="s">
        <v>26</v>
      </c>
      <c r="G3794" s="28">
        <f>IFERROR(VLOOKUP(F3794,CARTON_LOOKUP!$A:$E,3,0),"")</f>
      </c>
      <c r="H3794" s="28">
        <f>IFERROR(VLOOKUP(F3794,CARTON_LOOKUP!$A:$E,4,0),"")</f>
      </c>
      <c r="I3794" s="28">
        <f>IFERROR(VLOOKUP(F3794,CARTON_LOOKUP!$A:$E,5,0),"")</f>
      </c>
      <c r="J3794" s="29">
        <f>IFERROR(VLOOKUP(F3794,CARTON_LOOKUP!$A:$E,2,0),"")</f>
      </c>
      <c r="K3794" s="29">
        <f>IFERROR(J3794*D3794,0)</f>
      </c>
      <c r="L3794" s="29">
        <f>IFERROR(E3794*C3794,0)</f>
      </c>
      <c r="M3794" s="29">
        <f>IFERROR((G3794*H3794*I3794/1000000)*D3794,0)</f>
      </c>
    </row>
    <row r="3795" spans="1:13" x14ac:dyDescent="0.25">
      <c r="A3795" s="16"/>
      <c r="E3795" s="27"/>
      <c r="F3795" t="s">
        <v>26</v>
      </c>
      <c r="G3795" s="28">
        <f>IFERROR(VLOOKUP(F3795,CARTON_LOOKUP!$A:$E,3,0),"")</f>
      </c>
      <c r="H3795" s="28">
        <f>IFERROR(VLOOKUP(F3795,CARTON_LOOKUP!$A:$E,4,0),"")</f>
      </c>
      <c r="I3795" s="28">
        <f>IFERROR(VLOOKUP(F3795,CARTON_LOOKUP!$A:$E,5,0),"")</f>
      </c>
      <c r="J3795" s="29">
        <f>IFERROR(VLOOKUP(F3795,CARTON_LOOKUP!$A:$E,2,0),"")</f>
      </c>
      <c r="K3795" s="29">
        <f>IFERROR(J3795*D3795,0)</f>
      </c>
      <c r="L3795" s="29">
        <f>IFERROR(E3795*C3795,0)</f>
      </c>
      <c r="M3795" s="29">
        <f>IFERROR((G3795*H3795*I3795/1000000)*D3795,0)</f>
      </c>
    </row>
    <row r="3796" spans="1:13" x14ac:dyDescent="0.25">
      <c r="A3796" s="16"/>
      <c r="E3796" s="27"/>
      <c r="F3796" t="s">
        <v>26</v>
      </c>
      <c r="G3796" s="28">
        <f>IFERROR(VLOOKUP(F3796,CARTON_LOOKUP!$A:$E,3,0),"")</f>
      </c>
      <c r="H3796" s="28">
        <f>IFERROR(VLOOKUP(F3796,CARTON_LOOKUP!$A:$E,4,0),"")</f>
      </c>
      <c r="I3796" s="28">
        <f>IFERROR(VLOOKUP(F3796,CARTON_LOOKUP!$A:$E,5,0),"")</f>
      </c>
      <c r="J3796" s="29">
        <f>IFERROR(VLOOKUP(F3796,CARTON_LOOKUP!$A:$E,2,0),"")</f>
      </c>
      <c r="K3796" s="29">
        <f>IFERROR(J3796*D3796,0)</f>
      </c>
      <c r="L3796" s="29">
        <f>IFERROR(E3796*C3796,0)</f>
      </c>
      <c r="M3796" s="29">
        <f>IFERROR((G3796*H3796*I3796/1000000)*D3796,0)</f>
      </c>
    </row>
    <row r="3797" spans="1:13" x14ac:dyDescent="0.25">
      <c r="A3797" s="16"/>
      <c r="E3797" s="27"/>
      <c r="F3797" t="s">
        <v>26</v>
      </c>
      <c r="G3797" s="28">
        <f>IFERROR(VLOOKUP(F3797,CARTON_LOOKUP!$A:$E,3,0),"")</f>
      </c>
      <c r="H3797" s="28">
        <f>IFERROR(VLOOKUP(F3797,CARTON_LOOKUP!$A:$E,4,0),"")</f>
      </c>
      <c r="I3797" s="28">
        <f>IFERROR(VLOOKUP(F3797,CARTON_LOOKUP!$A:$E,5,0),"")</f>
      </c>
      <c r="J3797" s="29">
        <f>IFERROR(VLOOKUP(F3797,CARTON_LOOKUP!$A:$E,2,0),"")</f>
      </c>
      <c r="K3797" s="29">
        <f>IFERROR(J3797*D3797,0)</f>
      </c>
      <c r="L3797" s="29">
        <f>IFERROR(E3797*C3797,0)</f>
      </c>
      <c r="M3797" s="29">
        <f>IFERROR((G3797*H3797*I3797/1000000)*D3797,0)</f>
      </c>
    </row>
    <row r="3798" spans="1:13" x14ac:dyDescent="0.25">
      <c r="A3798" s="16"/>
      <c r="E3798" s="27"/>
      <c r="F3798" t="s">
        <v>26</v>
      </c>
      <c r="G3798" s="28">
        <f>IFERROR(VLOOKUP(F3798,CARTON_LOOKUP!$A:$E,3,0),"")</f>
      </c>
      <c r="H3798" s="28">
        <f>IFERROR(VLOOKUP(F3798,CARTON_LOOKUP!$A:$E,4,0),"")</f>
      </c>
      <c r="I3798" s="28">
        <f>IFERROR(VLOOKUP(F3798,CARTON_LOOKUP!$A:$E,5,0),"")</f>
      </c>
      <c r="J3798" s="29">
        <f>IFERROR(VLOOKUP(F3798,CARTON_LOOKUP!$A:$E,2,0),"")</f>
      </c>
      <c r="K3798" s="29">
        <f>IFERROR(J3798*D3798,0)</f>
      </c>
      <c r="L3798" s="29">
        <f>IFERROR(E3798*C3798,0)</f>
      </c>
      <c r="M3798" s="29">
        <f>IFERROR((G3798*H3798*I3798/1000000)*D3798,0)</f>
      </c>
    </row>
    <row r="3799" spans="1:13" x14ac:dyDescent="0.25">
      <c r="A3799" s="16"/>
      <c r="E3799" s="27"/>
      <c r="F3799" t="s">
        <v>26</v>
      </c>
      <c r="G3799" s="28">
        <f>IFERROR(VLOOKUP(F3799,CARTON_LOOKUP!$A:$E,3,0),"")</f>
      </c>
      <c r="H3799" s="28">
        <f>IFERROR(VLOOKUP(F3799,CARTON_LOOKUP!$A:$E,4,0),"")</f>
      </c>
      <c r="I3799" s="28">
        <f>IFERROR(VLOOKUP(F3799,CARTON_LOOKUP!$A:$E,5,0),"")</f>
      </c>
      <c r="J3799" s="29">
        <f>IFERROR(VLOOKUP(F3799,CARTON_LOOKUP!$A:$E,2,0),"")</f>
      </c>
      <c r="K3799" s="29">
        <f>IFERROR(J3799*D3799,0)</f>
      </c>
      <c r="L3799" s="29">
        <f>IFERROR(E3799*C3799,0)</f>
      </c>
      <c r="M3799" s="29">
        <f>IFERROR((G3799*H3799*I3799/1000000)*D3799,0)</f>
      </c>
    </row>
    <row r="3800" spans="1:13" x14ac:dyDescent="0.25">
      <c r="A3800" s="16"/>
      <c r="E3800" s="27"/>
      <c r="F3800" t="s">
        <v>26</v>
      </c>
      <c r="G3800" s="28">
        <f>IFERROR(VLOOKUP(F3800,CARTON_LOOKUP!$A:$E,3,0),"")</f>
      </c>
      <c r="H3800" s="28">
        <f>IFERROR(VLOOKUP(F3800,CARTON_LOOKUP!$A:$E,4,0),"")</f>
      </c>
      <c r="I3800" s="28">
        <f>IFERROR(VLOOKUP(F3800,CARTON_LOOKUP!$A:$E,5,0),"")</f>
      </c>
      <c r="J3800" s="29">
        <f>IFERROR(VLOOKUP(F3800,CARTON_LOOKUP!$A:$E,2,0),"")</f>
      </c>
      <c r="K3800" s="29">
        <f>IFERROR(J3800*D3800,0)</f>
      </c>
      <c r="L3800" s="29">
        <f>IFERROR(E3800*C3800,0)</f>
      </c>
      <c r="M3800" s="29">
        <f>IFERROR((G3800*H3800*I3800/1000000)*D3800,0)</f>
      </c>
    </row>
    <row r="3801" spans="1:13" x14ac:dyDescent="0.25">
      <c r="A3801" s="16"/>
      <c r="E3801" s="27"/>
      <c r="F3801" t="s">
        <v>26</v>
      </c>
      <c r="G3801" s="28">
        <f>IFERROR(VLOOKUP(F3801,CARTON_LOOKUP!$A:$E,3,0),"")</f>
      </c>
      <c r="H3801" s="28">
        <f>IFERROR(VLOOKUP(F3801,CARTON_LOOKUP!$A:$E,4,0),"")</f>
      </c>
      <c r="I3801" s="28">
        <f>IFERROR(VLOOKUP(F3801,CARTON_LOOKUP!$A:$E,5,0),"")</f>
      </c>
      <c r="J3801" s="29">
        <f>IFERROR(VLOOKUP(F3801,CARTON_LOOKUP!$A:$E,2,0),"")</f>
      </c>
      <c r="K3801" s="29">
        <f>IFERROR(J3801*D3801,0)</f>
      </c>
      <c r="L3801" s="29">
        <f>IFERROR(E3801*C3801,0)</f>
      </c>
      <c r="M3801" s="29">
        <f>IFERROR((G3801*H3801*I3801/1000000)*D3801,0)</f>
      </c>
    </row>
    <row r="3802" spans="1:13" x14ac:dyDescent="0.25">
      <c r="A3802" s="16"/>
      <c r="E3802" s="27"/>
      <c r="F3802" t="s">
        <v>26</v>
      </c>
      <c r="G3802" s="28">
        <f>IFERROR(VLOOKUP(F3802,CARTON_LOOKUP!$A:$E,3,0),"")</f>
      </c>
      <c r="H3802" s="28">
        <f>IFERROR(VLOOKUP(F3802,CARTON_LOOKUP!$A:$E,4,0),"")</f>
      </c>
      <c r="I3802" s="28">
        <f>IFERROR(VLOOKUP(F3802,CARTON_LOOKUP!$A:$E,5,0),"")</f>
      </c>
      <c r="J3802" s="29">
        <f>IFERROR(VLOOKUP(F3802,CARTON_LOOKUP!$A:$E,2,0),"")</f>
      </c>
      <c r="K3802" s="29">
        <f>IFERROR(J3802*D3802,0)</f>
      </c>
      <c r="L3802" s="29">
        <f>IFERROR(E3802*C3802,0)</f>
      </c>
      <c r="M3802" s="29">
        <f>IFERROR((G3802*H3802*I3802/1000000)*D3802,0)</f>
      </c>
    </row>
    <row r="3803" spans="1:13" x14ac:dyDescent="0.25">
      <c r="A3803" s="16"/>
      <c r="E3803" s="27"/>
      <c r="F3803" t="s">
        <v>26</v>
      </c>
      <c r="G3803" s="28">
        <f>IFERROR(VLOOKUP(F3803,CARTON_LOOKUP!$A:$E,3,0),"")</f>
      </c>
      <c r="H3803" s="28">
        <f>IFERROR(VLOOKUP(F3803,CARTON_LOOKUP!$A:$E,4,0),"")</f>
      </c>
      <c r="I3803" s="28">
        <f>IFERROR(VLOOKUP(F3803,CARTON_LOOKUP!$A:$E,5,0),"")</f>
      </c>
      <c r="J3803" s="29">
        <f>IFERROR(VLOOKUP(F3803,CARTON_LOOKUP!$A:$E,2,0),"")</f>
      </c>
      <c r="K3803" s="29">
        <f>IFERROR(J3803*D3803,0)</f>
      </c>
      <c r="L3803" s="29">
        <f>IFERROR(E3803*C3803,0)</f>
      </c>
      <c r="M3803" s="29">
        <f>IFERROR((G3803*H3803*I3803/1000000)*D3803,0)</f>
      </c>
    </row>
    <row r="3804" spans="1:13" x14ac:dyDescent="0.25">
      <c r="A3804" s="16"/>
      <c r="E3804" s="27"/>
      <c r="F3804" t="s">
        <v>26</v>
      </c>
      <c r="G3804" s="28">
        <f>IFERROR(VLOOKUP(F3804,CARTON_LOOKUP!$A:$E,3,0),"")</f>
      </c>
      <c r="H3804" s="28">
        <f>IFERROR(VLOOKUP(F3804,CARTON_LOOKUP!$A:$E,4,0),"")</f>
      </c>
      <c r="I3804" s="28">
        <f>IFERROR(VLOOKUP(F3804,CARTON_LOOKUP!$A:$E,5,0),"")</f>
      </c>
      <c r="J3804" s="29">
        <f>IFERROR(VLOOKUP(F3804,CARTON_LOOKUP!$A:$E,2,0),"")</f>
      </c>
      <c r="K3804" s="29">
        <f>IFERROR(J3804*D3804,0)</f>
      </c>
      <c r="L3804" s="29">
        <f>IFERROR(E3804*C3804,0)</f>
      </c>
      <c r="M3804" s="29">
        <f>IFERROR((G3804*H3804*I3804/1000000)*D3804,0)</f>
      </c>
    </row>
    <row r="3805" spans="1:13" x14ac:dyDescent="0.25">
      <c r="A3805" s="16"/>
      <c r="E3805" s="27"/>
      <c r="F3805" t="s">
        <v>26</v>
      </c>
      <c r="G3805" s="28">
        <f>IFERROR(VLOOKUP(F3805,CARTON_LOOKUP!$A:$E,3,0),"")</f>
      </c>
      <c r="H3805" s="28">
        <f>IFERROR(VLOOKUP(F3805,CARTON_LOOKUP!$A:$E,4,0),"")</f>
      </c>
      <c r="I3805" s="28">
        <f>IFERROR(VLOOKUP(F3805,CARTON_LOOKUP!$A:$E,5,0),"")</f>
      </c>
      <c r="J3805" s="29">
        <f>IFERROR(VLOOKUP(F3805,CARTON_LOOKUP!$A:$E,2,0),"")</f>
      </c>
      <c r="K3805" s="29">
        <f>IFERROR(J3805*D3805,0)</f>
      </c>
      <c r="L3805" s="29">
        <f>IFERROR(E3805*C3805,0)</f>
      </c>
      <c r="M3805" s="29">
        <f>IFERROR((G3805*H3805*I3805/1000000)*D3805,0)</f>
      </c>
    </row>
    <row r="3806" spans="1:13" x14ac:dyDescent="0.25">
      <c r="A3806" s="16"/>
      <c r="E3806" s="27"/>
      <c r="F3806" t="s">
        <v>26</v>
      </c>
      <c r="G3806" s="28">
        <f>IFERROR(VLOOKUP(F3806,CARTON_LOOKUP!$A:$E,3,0),"")</f>
      </c>
      <c r="H3806" s="28">
        <f>IFERROR(VLOOKUP(F3806,CARTON_LOOKUP!$A:$E,4,0),"")</f>
      </c>
      <c r="I3806" s="28">
        <f>IFERROR(VLOOKUP(F3806,CARTON_LOOKUP!$A:$E,5,0),"")</f>
      </c>
      <c r="J3806" s="29">
        <f>IFERROR(VLOOKUP(F3806,CARTON_LOOKUP!$A:$E,2,0),"")</f>
      </c>
      <c r="K3806" s="29">
        <f>IFERROR(J3806*D3806,0)</f>
      </c>
      <c r="L3806" s="29">
        <f>IFERROR(E3806*C3806,0)</f>
      </c>
      <c r="M3806" s="29">
        <f>IFERROR((G3806*H3806*I3806/1000000)*D3806,0)</f>
      </c>
    </row>
    <row r="3807" spans="1:13" x14ac:dyDescent="0.25">
      <c r="A3807" s="16"/>
      <c r="E3807" s="27"/>
      <c r="F3807" t="s">
        <v>26</v>
      </c>
      <c r="G3807" s="28">
        <f>IFERROR(VLOOKUP(F3807,CARTON_LOOKUP!$A:$E,3,0),"")</f>
      </c>
      <c r="H3807" s="28">
        <f>IFERROR(VLOOKUP(F3807,CARTON_LOOKUP!$A:$E,4,0),"")</f>
      </c>
      <c r="I3807" s="28">
        <f>IFERROR(VLOOKUP(F3807,CARTON_LOOKUP!$A:$E,5,0),"")</f>
      </c>
      <c r="J3807" s="29">
        <f>IFERROR(VLOOKUP(F3807,CARTON_LOOKUP!$A:$E,2,0),"")</f>
      </c>
      <c r="K3807" s="29">
        <f>IFERROR(J3807*D3807,0)</f>
      </c>
      <c r="L3807" s="29">
        <f>IFERROR(E3807*C3807,0)</f>
      </c>
      <c r="M3807" s="29">
        <f>IFERROR((G3807*H3807*I3807/1000000)*D3807,0)</f>
      </c>
    </row>
    <row r="3808" spans="1:13" x14ac:dyDescent="0.25">
      <c r="A3808" s="16"/>
      <c r="E3808" s="27"/>
      <c r="F3808" t="s">
        <v>26</v>
      </c>
      <c r="G3808" s="28">
        <f>IFERROR(VLOOKUP(F3808,CARTON_LOOKUP!$A:$E,3,0),"")</f>
      </c>
      <c r="H3808" s="28">
        <f>IFERROR(VLOOKUP(F3808,CARTON_LOOKUP!$A:$E,4,0),"")</f>
      </c>
      <c r="I3808" s="28">
        <f>IFERROR(VLOOKUP(F3808,CARTON_LOOKUP!$A:$E,5,0),"")</f>
      </c>
      <c r="J3808" s="29">
        <f>IFERROR(VLOOKUP(F3808,CARTON_LOOKUP!$A:$E,2,0),"")</f>
      </c>
      <c r="K3808" s="29">
        <f>IFERROR(J3808*D3808,0)</f>
      </c>
      <c r="L3808" s="29">
        <f>IFERROR(E3808*C3808,0)</f>
      </c>
      <c r="M3808" s="29">
        <f>IFERROR((G3808*H3808*I3808/1000000)*D3808,0)</f>
      </c>
    </row>
    <row r="3809" spans="1:13" x14ac:dyDescent="0.25">
      <c r="A3809" s="16"/>
      <c r="E3809" s="27"/>
      <c r="F3809" t="s">
        <v>26</v>
      </c>
      <c r="G3809" s="28">
        <f>IFERROR(VLOOKUP(F3809,CARTON_LOOKUP!$A:$E,3,0),"")</f>
      </c>
      <c r="H3809" s="28">
        <f>IFERROR(VLOOKUP(F3809,CARTON_LOOKUP!$A:$E,4,0),"")</f>
      </c>
      <c r="I3809" s="28">
        <f>IFERROR(VLOOKUP(F3809,CARTON_LOOKUP!$A:$E,5,0),"")</f>
      </c>
      <c r="J3809" s="29">
        <f>IFERROR(VLOOKUP(F3809,CARTON_LOOKUP!$A:$E,2,0),"")</f>
      </c>
      <c r="K3809" s="29">
        <f>IFERROR(J3809*D3809,0)</f>
      </c>
      <c r="L3809" s="29">
        <f>IFERROR(E3809*C3809,0)</f>
      </c>
      <c r="M3809" s="29">
        <f>IFERROR((G3809*H3809*I3809/1000000)*D3809,0)</f>
      </c>
    </row>
    <row r="3810" spans="1:13" x14ac:dyDescent="0.25">
      <c r="A3810" s="16"/>
      <c r="E3810" s="27"/>
      <c r="F3810" t="s">
        <v>26</v>
      </c>
      <c r="G3810" s="28">
        <f>IFERROR(VLOOKUP(F3810,CARTON_LOOKUP!$A:$E,3,0),"")</f>
      </c>
      <c r="H3810" s="28">
        <f>IFERROR(VLOOKUP(F3810,CARTON_LOOKUP!$A:$E,4,0),"")</f>
      </c>
      <c r="I3810" s="28">
        <f>IFERROR(VLOOKUP(F3810,CARTON_LOOKUP!$A:$E,5,0),"")</f>
      </c>
      <c r="J3810" s="29">
        <f>IFERROR(VLOOKUP(F3810,CARTON_LOOKUP!$A:$E,2,0),"")</f>
      </c>
      <c r="K3810" s="29">
        <f>IFERROR(J3810*D3810,0)</f>
      </c>
      <c r="L3810" s="29">
        <f>IFERROR(E3810*C3810,0)</f>
      </c>
      <c r="M3810" s="29">
        <f>IFERROR((G3810*H3810*I3810/1000000)*D3810,0)</f>
      </c>
    </row>
    <row r="3811" spans="1:13" x14ac:dyDescent="0.25">
      <c r="A3811" s="16"/>
      <c r="E3811" s="27"/>
      <c r="F3811" t="s">
        <v>26</v>
      </c>
      <c r="G3811" s="28">
        <f>IFERROR(VLOOKUP(F3811,CARTON_LOOKUP!$A:$E,3,0),"")</f>
      </c>
      <c r="H3811" s="28">
        <f>IFERROR(VLOOKUP(F3811,CARTON_LOOKUP!$A:$E,4,0),"")</f>
      </c>
      <c r="I3811" s="28">
        <f>IFERROR(VLOOKUP(F3811,CARTON_LOOKUP!$A:$E,5,0),"")</f>
      </c>
      <c r="J3811" s="29">
        <f>IFERROR(VLOOKUP(F3811,CARTON_LOOKUP!$A:$E,2,0),"")</f>
      </c>
      <c r="K3811" s="29">
        <f>IFERROR(J3811*D3811,0)</f>
      </c>
      <c r="L3811" s="29">
        <f>IFERROR(E3811*C3811,0)</f>
      </c>
      <c r="M3811" s="29">
        <f>IFERROR((G3811*H3811*I3811/1000000)*D3811,0)</f>
      </c>
    </row>
    <row r="3812" spans="1:13" x14ac:dyDescent="0.25">
      <c r="A3812" s="16"/>
      <c r="E3812" s="27"/>
      <c r="F3812" t="s">
        <v>26</v>
      </c>
      <c r="G3812" s="28">
        <f>IFERROR(VLOOKUP(F3812,CARTON_LOOKUP!$A:$E,3,0),"")</f>
      </c>
      <c r="H3812" s="28">
        <f>IFERROR(VLOOKUP(F3812,CARTON_LOOKUP!$A:$E,4,0),"")</f>
      </c>
      <c r="I3812" s="28">
        <f>IFERROR(VLOOKUP(F3812,CARTON_LOOKUP!$A:$E,5,0),"")</f>
      </c>
      <c r="J3812" s="29">
        <f>IFERROR(VLOOKUP(F3812,CARTON_LOOKUP!$A:$E,2,0),"")</f>
      </c>
      <c r="K3812" s="29">
        <f>IFERROR(J3812*D3812,0)</f>
      </c>
      <c r="L3812" s="29">
        <f>IFERROR(E3812*C3812,0)</f>
      </c>
      <c r="M3812" s="29">
        <f>IFERROR((G3812*H3812*I3812/1000000)*D3812,0)</f>
      </c>
    </row>
    <row r="3813" spans="1:13" x14ac:dyDescent="0.25">
      <c r="A3813" s="16"/>
      <c r="E3813" s="27"/>
      <c r="F3813" t="s">
        <v>26</v>
      </c>
      <c r="G3813" s="28">
        <f>IFERROR(VLOOKUP(F3813,CARTON_LOOKUP!$A:$E,3,0),"")</f>
      </c>
      <c r="H3813" s="28">
        <f>IFERROR(VLOOKUP(F3813,CARTON_LOOKUP!$A:$E,4,0),"")</f>
      </c>
      <c r="I3813" s="28">
        <f>IFERROR(VLOOKUP(F3813,CARTON_LOOKUP!$A:$E,5,0),"")</f>
      </c>
      <c r="J3813" s="29">
        <f>IFERROR(VLOOKUP(F3813,CARTON_LOOKUP!$A:$E,2,0),"")</f>
      </c>
      <c r="K3813" s="29">
        <f>IFERROR(J3813*D3813,0)</f>
      </c>
      <c r="L3813" s="29">
        <f>IFERROR(E3813*C3813,0)</f>
      </c>
      <c r="M3813" s="29">
        <f>IFERROR((G3813*H3813*I3813/1000000)*D3813,0)</f>
      </c>
    </row>
    <row r="3814" spans="1:13" x14ac:dyDescent="0.25">
      <c r="A3814" s="16"/>
      <c r="E3814" s="27"/>
      <c r="F3814" t="s">
        <v>26</v>
      </c>
      <c r="G3814" s="28">
        <f>IFERROR(VLOOKUP(F3814,CARTON_LOOKUP!$A:$E,3,0),"")</f>
      </c>
      <c r="H3814" s="28">
        <f>IFERROR(VLOOKUP(F3814,CARTON_LOOKUP!$A:$E,4,0),"")</f>
      </c>
      <c r="I3814" s="28">
        <f>IFERROR(VLOOKUP(F3814,CARTON_LOOKUP!$A:$E,5,0),"")</f>
      </c>
      <c r="J3814" s="29">
        <f>IFERROR(VLOOKUP(F3814,CARTON_LOOKUP!$A:$E,2,0),"")</f>
      </c>
      <c r="K3814" s="29">
        <f>IFERROR(J3814*D3814,0)</f>
      </c>
      <c r="L3814" s="29">
        <f>IFERROR(E3814*C3814,0)</f>
      </c>
      <c r="M3814" s="29">
        <f>IFERROR((G3814*H3814*I3814/1000000)*D3814,0)</f>
      </c>
    </row>
    <row r="3815" spans="1:13" x14ac:dyDescent="0.25">
      <c r="A3815" s="16"/>
      <c r="E3815" s="27"/>
      <c r="F3815" t="s">
        <v>26</v>
      </c>
      <c r="G3815" s="28">
        <f>IFERROR(VLOOKUP(F3815,CARTON_LOOKUP!$A:$E,3,0),"")</f>
      </c>
      <c r="H3815" s="28">
        <f>IFERROR(VLOOKUP(F3815,CARTON_LOOKUP!$A:$E,4,0),"")</f>
      </c>
      <c r="I3815" s="28">
        <f>IFERROR(VLOOKUP(F3815,CARTON_LOOKUP!$A:$E,5,0),"")</f>
      </c>
      <c r="J3815" s="29">
        <f>IFERROR(VLOOKUP(F3815,CARTON_LOOKUP!$A:$E,2,0),"")</f>
      </c>
      <c r="K3815" s="29">
        <f>IFERROR(J3815*D3815,0)</f>
      </c>
      <c r="L3815" s="29">
        <f>IFERROR(E3815*C3815,0)</f>
      </c>
      <c r="M3815" s="29">
        <f>IFERROR((G3815*H3815*I3815/1000000)*D3815,0)</f>
      </c>
    </row>
    <row r="3816" spans="1:13" x14ac:dyDescent="0.25">
      <c r="A3816" s="16"/>
      <c r="E3816" s="27"/>
      <c r="F3816" t="s">
        <v>26</v>
      </c>
      <c r="G3816" s="28">
        <f>IFERROR(VLOOKUP(F3816,CARTON_LOOKUP!$A:$E,3,0),"")</f>
      </c>
      <c r="H3816" s="28">
        <f>IFERROR(VLOOKUP(F3816,CARTON_LOOKUP!$A:$E,4,0),"")</f>
      </c>
      <c r="I3816" s="28">
        <f>IFERROR(VLOOKUP(F3816,CARTON_LOOKUP!$A:$E,5,0),"")</f>
      </c>
      <c r="J3816" s="29">
        <f>IFERROR(VLOOKUP(F3816,CARTON_LOOKUP!$A:$E,2,0),"")</f>
      </c>
      <c r="K3816" s="29">
        <f>IFERROR(J3816*D3816,0)</f>
      </c>
      <c r="L3816" s="29">
        <f>IFERROR(E3816*C3816,0)</f>
      </c>
      <c r="M3816" s="29">
        <f>IFERROR((G3816*H3816*I3816/1000000)*D3816,0)</f>
      </c>
    </row>
    <row r="3817" spans="1:13" x14ac:dyDescent="0.25">
      <c r="A3817" s="16"/>
      <c r="E3817" s="27"/>
      <c r="F3817" t="s">
        <v>26</v>
      </c>
      <c r="G3817" s="28">
        <f>IFERROR(VLOOKUP(F3817,CARTON_LOOKUP!$A:$E,3,0),"")</f>
      </c>
      <c r="H3817" s="28">
        <f>IFERROR(VLOOKUP(F3817,CARTON_LOOKUP!$A:$E,4,0),"")</f>
      </c>
      <c r="I3817" s="28">
        <f>IFERROR(VLOOKUP(F3817,CARTON_LOOKUP!$A:$E,5,0),"")</f>
      </c>
      <c r="J3817" s="29">
        <f>IFERROR(VLOOKUP(F3817,CARTON_LOOKUP!$A:$E,2,0),"")</f>
      </c>
      <c r="K3817" s="29">
        <f>IFERROR(J3817*D3817,0)</f>
      </c>
      <c r="L3817" s="29">
        <f>IFERROR(E3817*C3817,0)</f>
      </c>
      <c r="M3817" s="29">
        <f>IFERROR((G3817*H3817*I3817/1000000)*D3817,0)</f>
      </c>
    </row>
    <row r="3818" spans="1:13" x14ac:dyDescent="0.25">
      <c r="A3818" s="16"/>
      <c r="E3818" s="27"/>
      <c r="F3818" t="s">
        <v>26</v>
      </c>
      <c r="G3818" s="28">
        <f>IFERROR(VLOOKUP(F3818,CARTON_LOOKUP!$A:$E,3,0),"")</f>
      </c>
      <c r="H3818" s="28">
        <f>IFERROR(VLOOKUP(F3818,CARTON_LOOKUP!$A:$E,4,0),"")</f>
      </c>
      <c r="I3818" s="28">
        <f>IFERROR(VLOOKUP(F3818,CARTON_LOOKUP!$A:$E,5,0),"")</f>
      </c>
      <c r="J3818" s="29">
        <f>IFERROR(VLOOKUP(F3818,CARTON_LOOKUP!$A:$E,2,0),"")</f>
      </c>
      <c r="K3818" s="29">
        <f>IFERROR(J3818*D3818,0)</f>
      </c>
      <c r="L3818" s="29">
        <f>IFERROR(E3818*C3818,0)</f>
      </c>
      <c r="M3818" s="29">
        <f>IFERROR((G3818*H3818*I3818/1000000)*D3818,0)</f>
      </c>
    </row>
    <row r="3819" spans="1:13" x14ac:dyDescent="0.25">
      <c r="A3819" s="16"/>
      <c r="E3819" s="27"/>
      <c r="F3819" t="s">
        <v>26</v>
      </c>
      <c r="G3819" s="28">
        <f>IFERROR(VLOOKUP(F3819,CARTON_LOOKUP!$A:$E,3,0),"")</f>
      </c>
      <c r="H3819" s="28">
        <f>IFERROR(VLOOKUP(F3819,CARTON_LOOKUP!$A:$E,4,0),"")</f>
      </c>
      <c r="I3819" s="28">
        <f>IFERROR(VLOOKUP(F3819,CARTON_LOOKUP!$A:$E,5,0),"")</f>
      </c>
      <c r="J3819" s="29">
        <f>IFERROR(VLOOKUP(F3819,CARTON_LOOKUP!$A:$E,2,0),"")</f>
      </c>
      <c r="K3819" s="29">
        <f>IFERROR(J3819*D3819,0)</f>
      </c>
      <c r="L3819" s="29">
        <f>IFERROR(E3819*C3819,0)</f>
      </c>
      <c r="M3819" s="29">
        <f>IFERROR((G3819*H3819*I3819/1000000)*D3819,0)</f>
      </c>
    </row>
    <row r="3820" spans="1:13" x14ac:dyDescent="0.25">
      <c r="A3820" s="16"/>
      <c r="E3820" s="27"/>
      <c r="F3820" t="s">
        <v>26</v>
      </c>
      <c r="G3820" s="28">
        <f>IFERROR(VLOOKUP(F3820,CARTON_LOOKUP!$A:$E,3,0),"")</f>
      </c>
      <c r="H3820" s="28">
        <f>IFERROR(VLOOKUP(F3820,CARTON_LOOKUP!$A:$E,4,0),"")</f>
      </c>
      <c r="I3820" s="28">
        <f>IFERROR(VLOOKUP(F3820,CARTON_LOOKUP!$A:$E,5,0),"")</f>
      </c>
      <c r="J3820" s="29">
        <f>IFERROR(VLOOKUP(F3820,CARTON_LOOKUP!$A:$E,2,0),"")</f>
      </c>
      <c r="K3820" s="29">
        <f>IFERROR(J3820*D3820,0)</f>
      </c>
      <c r="L3820" s="29">
        <f>IFERROR(E3820*C3820,0)</f>
      </c>
      <c r="M3820" s="29">
        <f>IFERROR((G3820*H3820*I3820/1000000)*D3820,0)</f>
      </c>
    </row>
    <row r="3821" spans="1:13" x14ac:dyDescent="0.25">
      <c r="A3821" s="16"/>
      <c r="E3821" s="27"/>
      <c r="F3821" t="s">
        <v>26</v>
      </c>
      <c r="G3821" s="28">
        <f>IFERROR(VLOOKUP(F3821,CARTON_LOOKUP!$A:$E,3,0),"")</f>
      </c>
      <c r="H3821" s="28">
        <f>IFERROR(VLOOKUP(F3821,CARTON_LOOKUP!$A:$E,4,0),"")</f>
      </c>
      <c r="I3821" s="28">
        <f>IFERROR(VLOOKUP(F3821,CARTON_LOOKUP!$A:$E,5,0),"")</f>
      </c>
      <c r="J3821" s="29">
        <f>IFERROR(VLOOKUP(F3821,CARTON_LOOKUP!$A:$E,2,0),"")</f>
      </c>
      <c r="K3821" s="29">
        <f>IFERROR(J3821*D3821,0)</f>
      </c>
      <c r="L3821" s="29">
        <f>IFERROR(E3821*C3821,0)</f>
      </c>
      <c r="M3821" s="29">
        <f>IFERROR((G3821*H3821*I3821/1000000)*D3821,0)</f>
      </c>
    </row>
    <row r="3822" spans="1:13" x14ac:dyDescent="0.25">
      <c r="A3822" s="16"/>
      <c r="E3822" s="27"/>
      <c r="F3822" t="s">
        <v>26</v>
      </c>
      <c r="G3822" s="28">
        <f>IFERROR(VLOOKUP(F3822,CARTON_LOOKUP!$A:$E,3,0),"")</f>
      </c>
      <c r="H3822" s="28">
        <f>IFERROR(VLOOKUP(F3822,CARTON_LOOKUP!$A:$E,4,0),"")</f>
      </c>
      <c r="I3822" s="28">
        <f>IFERROR(VLOOKUP(F3822,CARTON_LOOKUP!$A:$E,5,0),"")</f>
      </c>
      <c r="J3822" s="29">
        <f>IFERROR(VLOOKUP(F3822,CARTON_LOOKUP!$A:$E,2,0),"")</f>
      </c>
      <c r="K3822" s="29">
        <f>IFERROR(J3822*D3822,0)</f>
      </c>
      <c r="L3822" s="29">
        <f>IFERROR(E3822*C3822,0)</f>
      </c>
      <c r="M3822" s="29">
        <f>IFERROR((G3822*H3822*I3822/1000000)*D3822,0)</f>
      </c>
    </row>
    <row r="3823" spans="1:13" x14ac:dyDescent="0.25">
      <c r="A3823" s="16"/>
      <c r="E3823" s="27"/>
      <c r="F3823" t="s">
        <v>26</v>
      </c>
      <c r="G3823" s="28">
        <f>IFERROR(VLOOKUP(F3823,CARTON_LOOKUP!$A:$E,3,0),"")</f>
      </c>
      <c r="H3823" s="28">
        <f>IFERROR(VLOOKUP(F3823,CARTON_LOOKUP!$A:$E,4,0),"")</f>
      </c>
      <c r="I3823" s="28">
        <f>IFERROR(VLOOKUP(F3823,CARTON_LOOKUP!$A:$E,5,0),"")</f>
      </c>
      <c r="J3823" s="29">
        <f>IFERROR(VLOOKUP(F3823,CARTON_LOOKUP!$A:$E,2,0),"")</f>
      </c>
      <c r="K3823" s="29">
        <f>IFERROR(J3823*D3823,0)</f>
      </c>
      <c r="L3823" s="29">
        <f>IFERROR(E3823*C3823,0)</f>
      </c>
      <c r="M3823" s="29">
        <f>IFERROR((G3823*H3823*I3823/1000000)*D3823,0)</f>
      </c>
    </row>
    <row r="3824" spans="1:13" x14ac:dyDescent="0.25">
      <c r="A3824" s="16"/>
      <c r="E3824" s="27"/>
      <c r="F3824" t="s">
        <v>26</v>
      </c>
      <c r="G3824" s="28">
        <f>IFERROR(VLOOKUP(F3824,CARTON_LOOKUP!$A:$E,3,0),"")</f>
      </c>
      <c r="H3824" s="28">
        <f>IFERROR(VLOOKUP(F3824,CARTON_LOOKUP!$A:$E,4,0),"")</f>
      </c>
      <c r="I3824" s="28">
        <f>IFERROR(VLOOKUP(F3824,CARTON_LOOKUP!$A:$E,5,0),"")</f>
      </c>
      <c r="J3824" s="29">
        <f>IFERROR(VLOOKUP(F3824,CARTON_LOOKUP!$A:$E,2,0),"")</f>
      </c>
      <c r="K3824" s="29">
        <f>IFERROR(J3824*D3824,0)</f>
      </c>
      <c r="L3824" s="29">
        <f>IFERROR(E3824*C3824,0)</f>
      </c>
      <c r="M3824" s="29">
        <f>IFERROR((G3824*H3824*I3824/1000000)*D3824,0)</f>
      </c>
    </row>
    <row r="3825" spans="1:13" x14ac:dyDescent="0.25">
      <c r="A3825" s="16"/>
      <c r="E3825" s="27"/>
      <c r="F3825" t="s">
        <v>26</v>
      </c>
      <c r="G3825" s="28">
        <f>IFERROR(VLOOKUP(F3825,CARTON_LOOKUP!$A:$E,3,0),"")</f>
      </c>
      <c r="H3825" s="28">
        <f>IFERROR(VLOOKUP(F3825,CARTON_LOOKUP!$A:$E,4,0),"")</f>
      </c>
      <c r="I3825" s="28">
        <f>IFERROR(VLOOKUP(F3825,CARTON_LOOKUP!$A:$E,5,0),"")</f>
      </c>
      <c r="J3825" s="29">
        <f>IFERROR(VLOOKUP(F3825,CARTON_LOOKUP!$A:$E,2,0),"")</f>
      </c>
      <c r="K3825" s="29">
        <f>IFERROR(J3825*D3825,0)</f>
      </c>
      <c r="L3825" s="29">
        <f>IFERROR(E3825*C3825,0)</f>
      </c>
      <c r="M3825" s="29">
        <f>IFERROR((G3825*H3825*I3825/1000000)*D3825,0)</f>
      </c>
    </row>
    <row r="3826" spans="1:13" x14ac:dyDescent="0.25">
      <c r="A3826" s="16"/>
      <c r="E3826" s="27"/>
      <c r="F3826" t="s">
        <v>26</v>
      </c>
      <c r="G3826" s="28">
        <f>IFERROR(VLOOKUP(F3826,CARTON_LOOKUP!$A:$E,3,0),"")</f>
      </c>
      <c r="H3826" s="28">
        <f>IFERROR(VLOOKUP(F3826,CARTON_LOOKUP!$A:$E,4,0),"")</f>
      </c>
      <c r="I3826" s="28">
        <f>IFERROR(VLOOKUP(F3826,CARTON_LOOKUP!$A:$E,5,0),"")</f>
      </c>
      <c r="J3826" s="29">
        <f>IFERROR(VLOOKUP(F3826,CARTON_LOOKUP!$A:$E,2,0),"")</f>
      </c>
      <c r="K3826" s="29">
        <f>IFERROR(J3826*D3826,0)</f>
      </c>
      <c r="L3826" s="29">
        <f>IFERROR(E3826*C3826,0)</f>
      </c>
      <c r="M3826" s="29">
        <f>IFERROR((G3826*H3826*I3826/1000000)*D3826,0)</f>
      </c>
    </row>
    <row r="3827" spans="1:13" x14ac:dyDescent="0.25">
      <c r="A3827" s="16"/>
      <c r="E3827" s="27"/>
      <c r="F3827" t="s">
        <v>26</v>
      </c>
      <c r="G3827" s="28">
        <f>IFERROR(VLOOKUP(F3827,CARTON_LOOKUP!$A:$E,3,0),"")</f>
      </c>
      <c r="H3827" s="28">
        <f>IFERROR(VLOOKUP(F3827,CARTON_LOOKUP!$A:$E,4,0),"")</f>
      </c>
      <c r="I3827" s="28">
        <f>IFERROR(VLOOKUP(F3827,CARTON_LOOKUP!$A:$E,5,0),"")</f>
      </c>
      <c r="J3827" s="29">
        <f>IFERROR(VLOOKUP(F3827,CARTON_LOOKUP!$A:$E,2,0),"")</f>
      </c>
      <c r="K3827" s="29">
        <f>IFERROR(J3827*D3827,0)</f>
      </c>
      <c r="L3827" s="29">
        <f>IFERROR(E3827*C3827,0)</f>
      </c>
      <c r="M3827" s="29">
        <f>IFERROR((G3827*H3827*I3827/1000000)*D3827,0)</f>
      </c>
    </row>
    <row r="3828" spans="1:13" x14ac:dyDescent="0.25">
      <c r="A3828" s="16"/>
      <c r="E3828" s="27"/>
      <c r="F3828" t="s">
        <v>26</v>
      </c>
      <c r="G3828" s="28">
        <f>IFERROR(VLOOKUP(F3828,CARTON_LOOKUP!$A:$E,3,0),"")</f>
      </c>
      <c r="H3828" s="28">
        <f>IFERROR(VLOOKUP(F3828,CARTON_LOOKUP!$A:$E,4,0),"")</f>
      </c>
      <c r="I3828" s="28">
        <f>IFERROR(VLOOKUP(F3828,CARTON_LOOKUP!$A:$E,5,0),"")</f>
      </c>
      <c r="J3828" s="29">
        <f>IFERROR(VLOOKUP(F3828,CARTON_LOOKUP!$A:$E,2,0),"")</f>
      </c>
      <c r="K3828" s="29">
        <f>IFERROR(J3828*D3828,0)</f>
      </c>
      <c r="L3828" s="29">
        <f>IFERROR(E3828*C3828,0)</f>
      </c>
      <c r="M3828" s="29">
        <f>IFERROR((G3828*H3828*I3828/1000000)*D3828,0)</f>
      </c>
    </row>
    <row r="3829" spans="1:13" x14ac:dyDescent="0.25">
      <c r="A3829" s="16"/>
      <c r="E3829" s="27"/>
      <c r="F3829" t="s">
        <v>26</v>
      </c>
      <c r="G3829" s="28">
        <f>IFERROR(VLOOKUP(F3829,CARTON_LOOKUP!$A:$E,3,0),"")</f>
      </c>
      <c r="H3829" s="28">
        <f>IFERROR(VLOOKUP(F3829,CARTON_LOOKUP!$A:$E,4,0),"")</f>
      </c>
      <c r="I3829" s="28">
        <f>IFERROR(VLOOKUP(F3829,CARTON_LOOKUP!$A:$E,5,0),"")</f>
      </c>
      <c r="J3829" s="29">
        <f>IFERROR(VLOOKUP(F3829,CARTON_LOOKUP!$A:$E,2,0),"")</f>
      </c>
      <c r="K3829" s="29">
        <f>IFERROR(J3829*D3829,0)</f>
      </c>
      <c r="L3829" s="29">
        <f>IFERROR(E3829*C3829,0)</f>
      </c>
      <c r="M3829" s="29">
        <f>IFERROR((G3829*H3829*I3829/1000000)*D3829,0)</f>
      </c>
    </row>
    <row r="3830" spans="1:13" x14ac:dyDescent="0.25">
      <c r="A3830" s="16"/>
      <c r="E3830" s="27"/>
      <c r="F3830" t="s">
        <v>26</v>
      </c>
      <c r="G3830" s="28">
        <f>IFERROR(VLOOKUP(F3830,CARTON_LOOKUP!$A:$E,3,0),"")</f>
      </c>
      <c r="H3830" s="28">
        <f>IFERROR(VLOOKUP(F3830,CARTON_LOOKUP!$A:$E,4,0),"")</f>
      </c>
      <c r="I3830" s="28">
        <f>IFERROR(VLOOKUP(F3830,CARTON_LOOKUP!$A:$E,5,0),"")</f>
      </c>
      <c r="J3830" s="29">
        <f>IFERROR(VLOOKUP(F3830,CARTON_LOOKUP!$A:$E,2,0),"")</f>
      </c>
      <c r="K3830" s="29">
        <f>IFERROR(J3830*D3830,0)</f>
      </c>
      <c r="L3830" s="29">
        <f>IFERROR(E3830*C3830,0)</f>
      </c>
      <c r="M3830" s="29">
        <f>IFERROR((G3830*H3830*I3830/1000000)*D3830,0)</f>
      </c>
    </row>
    <row r="3831" spans="1:13" x14ac:dyDescent="0.25">
      <c r="A3831" s="16"/>
      <c r="E3831" s="27"/>
      <c r="F3831" t="s">
        <v>26</v>
      </c>
      <c r="G3831" s="28">
        <f>IFERROR(VLOOKUP(F3831,CARTON_LOOKUP!$A:$E,3,0),"")</f>
      </c>
      <c r="H3831" s="28">
        <f>IFERROR(VLOOKUP(F3831,CARTON_LOOKUP!$A:$E,4,0),"")</f>
      </c>
      <c r="I3831" s="28">
        <f>IFERROR(VLOOKUP(F3831,CARTON_LOOKUP!$A:$E,5,0),"")</f>
      </c>
      <c r="J3831" s="29">
        <f>IFERROR(VLOOKUP(F3831,CARTON_LOOKUP!$A:$E,2,0),"")</f>
      </c>
      <c r="K3831" s="29">
        <f>IFERROR(J3831*D3831,0)</f>
      </c>
      <c r="L3831" s="29">
        <f>IFERROR(E3831*C3831,0)</f>
      </c>
      <c r="M3831" s="29">
        <f>IFERROR((G3831*H3831*I3831/1000000)*D3831,0)</f>
      </c>
    </row>
    <row r="3832" spans="1:13" x14ac:dyDescent="0.25">
      <c r="A3832" s="16"/>
      <c r="E3832" s="27"/>
      <c r="F3832" t="s">
        <v>26</v>
      </c>
      <c r="G3832" s="28">
        <f>IFERROR(VLOOKUP(F3832,CARTON_LOOKUP!$A:$E,3,0),"")</f>
      </c>
      <c r="H3832" s="28">
        <f>IFERROR(VLOOKUP(F3832,CARTON_LOOKUP!$A:$E,4,0),"")</f>
      </c>
      <c r="I3832" s="28">
        <f>IFERROR(VLOOKUP(F3832,CARTON_LOOKUP!$A:$E,5,0),"")</f>
      </c>
      <c r="J3832" s="29">
        <f>IFERROR(VLOOKUP(F3832,CARTON_LOOKUP!$A:$E,2,0),"")</f>
      </c>
      <c r="K3832" s="29">
        <f>IFERROR(J3832*D3832,0)</f>
      </c>
      <c r="L3832" s="29">
        <f>IFERROR(E3832*C3832,0)</f>
      </c>
      <c r="M3832" s="29">
        <f>IFERROR((G3832*H3832*I3832/1000000)*D3832,0)</f>
      </c>
    </row>
    <row r="3833" spans="1:13" x14ac:dyDescent="0.25">
      <c r="A3833" s="16"/>
      <c r="E3833" s="27"/>
      <c r="F3833" t="s">
        <v>26</v>
      </c>
      <c r="G3833" s="28">
        <f>IFERROR(VLOOKUP(F3833,CARTON_LOOKUP!$A:$E,3,0),"")</f>
      </c>
      <c r="H3833" s="28">
        <f>IFERROR(VLOOKUP(F3833,CARTON_LOOKUP!$A:$E,4,0),"")</f>
      </c>
      <c r="I3833" s="28">
        <f>IFERROR(VLOOKUP(F3833,CARTON_LOOKUP!$A:$E,5,0),"")</f>
      </c>
      <c r="J3833" s="29">
        <f>IFERROR(VLOOKUP(F3833,CARTON_LOOKUP!$A:$E,2,0),"")</f>
      </c>
      <c r="K3833" s="29">
        <f>IFERROR(J3833*D3833,0)</f>
      </c>
      <c r="L3833" s="29">
        <f>IFERROR(E3833*C3833,0)</f>
      </c>
      <c r="M3833" s="29">
        <f>IFERROR((G3833*H3833*I3833/1000000)*D3833,0)</f>
      </c>
    </row>
    <row r="3834" spans="1:13" x14ac:dyDescent="0.25">
      <c r="A3834" s="16"/>
      <c r="E3834" s="27"/>
      <c r="F3834" t="s">
        <v>26</v>
      </c>
      <c r="G3834" s="28">
        <f>IFERROR(VLOOKUP(F3834,CARTON_LOOKUP!$A:$E,3,0),"")</f>
      </c>
      <c r="H3834" s="28">
        <f>IFERROR(VLOOKUP(F3834,CARTON_LOOKUP!$A:$E,4,0),"")</f>
      </c>
      <c r="I3834" s="28">
        <f>IFERROR(VLOOKUP(F3834,CARTON_LOOKUP!$A:$E,5,0),"")</f>
      </c>
      <c r="J3834" s="29">
        <f>IFERROR(VLOOKUP(F3834,CARTON_LOOKUP!$A:$E,2,0),"")</f>
      </c>
      <c r="K3834" s="29">
        <f>IFERROR(J3834*D3834,0)</f>
      </c>
      <c r="L3834" s="29">
        <f>IFERROR(E3834*C3834,0)</f>
      </c>
      <c r="M3834" s="29">
        <f>IFERROR((G3834*H3834*I3834/1000000)*D3834,0)</f>
      </c>
    </row>
    <row r="3835" spans="1:13" x14ac:dyDescent="0.25">
      <c r="A3835" s="16"/>
      <c r="E3835" s="27"/>
      <c r="F3835" t="s">
        <v>26</v>
      </c>
      <c r="G3835" s="28">
        <f>IFERROR(VLOOKUP(F3835,CARTON_LOOKUP!$A:$E,3,0),"")</f>
      </c>
      <c r="H3835" s="28">
        <f>IFERROR(VLOOKUP(F3835,CARTON_LOOKUP!$A:$E,4,0),"")</f>
      </c>
      <c r="I3835" s="28">
        <f>IFERROR(VLOOKUP(F3835,CARTON_LOOKUP!$A:$E,5,0),"")</f>
      </c>
      <c r="J3835" s="29">
        <f>IFERROR(VLOOKUP(F3835,CARTON_LOOKUP!$A:$E,2,0),"")</f>
      </c>
      <c r="K3835" s="29">
        <f>IFERROR(J3835*D3835,0)</f>
      </c>
      <c r="L3835" s="29">
        <f>IFERROR(E3835*C3835,0)</f>
      </c>
      <c r="M3835" s="29">
        <f>IFERROR((G3835*H3835*I3835/1000000)*D3835,0)</f>
      </c>
    </row>
    <row r="3836" spans="1:13" x14ac:dyDescent="0.25">
      <c r="A3836" s="16"/>
      <c r="E3836" s="27"/>
      <c r="F3836" t="s">
        <v>26</v>
      </c>
      <c r="G3836" s="28">
        <f>IFERROR(VLOOKUP(F3836,CARTON_LOOKUP!$A:$E,3,0),"")</f>
      </c>
      <c r="H3836" s="28">
        <f>IFERROR(VLOOKUP(F3836,CARTON_LOOKUP!$A:$E,4,0),"")</f>
      </c>
      <c r="I3836" s="28">
        <f>IFERROR(VLOOKUP(F3836,CARTON_LOOKUP!$A:$E,5,0),"")</f>
      </c>
      <c r="J3836" s="29">
        <f>IFERROR(VLOOKUP(F3836,CARTON_LOOKUP!$A:$E,2,0),"")</f>
      </c>
      <c r="K3836" s="29">
        <f>IFERROR(J3836*D3836,0)</f>
      </c>
      <c r="L3836" s="29">
        <f>IFERROR(E3836*C3836,0)</f>
      </c>
      <c r="M3836" s="29">
        <f>IFERROR((G3836*H3836*I3836/1000000)*D3836,0)</f>
      </c>
    </row>
    <row r="3837" spans="1:13" x14ac:dyDescent="0.25">
      <c r="A3837" s="16"/>
      <c r="E3837" s="27"/>
      <c r="F3837" t="s">
        <v>26</v>
      </c>
      <c r="G3837" s="28">
        <f>IFERROR(VLOOKUP(F3837,CARTON_LOOKUP!$A:$E,3,0),"")</f>
      </c>
      <c r="H3837" s="28">
        <f>IFERROR(VLOOKUP(F3837,CARTON_LOOKUP!$A:$E,4,0),"")</f>
      </c>
      <c r="I3837" s="28">
        <f>IFERROR(VLOOKUP(F3837,CARTON_LOOKUP!$A:$E,5,0),"")</f>
      </c>
      <c r="J3837" s="29">
        <f>IFERROR(VLOOKUP(F3837,CARTON_LOOKUP!$A:$E,2,0),"")</f>
      </c>
      <c r="K3837" s="29">
        <f>IFERROR(J3837*D3837,0)</f>
      </c>
      <c r="L3837" s="29">
        <f>IFERROR(E3837*C3837,0)</f>
      </c>
      <c r="M3837" s="29">
        <f>IFERROR((G3837*H3837*I3837/1000000)*D3837,0)</f>
      </c>
    </row>
    <row r="3838" spans="1:13" x14ac:dyDescent="0.25">
      <c r="A3838" s="16"/>
      <c r="E3838" s="27"/>
      <c r="F3838" t="s">
        <v>26</v>
      </c>
      <c r="G3838" s="28">
        <f>IFERROR(VLOOKUP(F3838,CARTON_LOOKUP!$A:$E,3,0),"")</f>
      </c>
      <c r="H3838" s="28">
        <f>IFERROR(VLOOKUP(F3838,CARTON_LOOKUP!$A:$E,4,0),"")</f>
      </c>
      <c r="I3838" s="28">
        <f>IFERROR(VLOOKUP(F3838,CARTON_LOOKUP!$A:$E,5,0),"")</f>
      </c>
      <c r="J3838" s="29">
        <f>IFERROR(VLOOKUP(F3838,CARTON_LOOKUP!$A:$E,2,0),"")</f>
      </c>
      <c r="K3838" s="29">
        <f>IFERROR(J3838*D3838,0)</f>
      </c>
      <c r="L3838" s="29">
        <f>IFERROR(E3838*C3838,0)</f>
      </c>
      <c r="M3838" s="29">
        <f>IFERROR((G3838*H3838*I3838/1000000)*D3838,0)</f>
      </c>
    </row>
    <row r="3839" spans="1:13" x14ac:dyDescent="0.25">
      <c r="A3839" s="16"/>
      <c r="E3839" s="27"/>
      <c r="F3839" t="s">
        <v>26</v>
      </c>
      <c r="G3839" s="28">
        <f>IFERROR(VLOOKUP(F3839,CARTON_LOOKUP!$A:$E,3,0),"")</f>
      </c>
      <c r="H3839" s="28">
        <f>IFERROR(VLOOKUP(F3839,CARTON_LOOKUP!$A:$E,4,0),"")</f>
      </c>
      <c r="I3839" s="28">
        <f>IFERROR(VLOOKUP(F3839,CARTON_LOOKUP!$A:$E,5,0),"")</f>
      </c>
      <c r="J3839" s="29">
        <f>IFERROR(VLOOKUP(F3839,CARTON_LOOKUP!$A:$E,2,0),"")</f>
      </c>
      <c r="K3839" s="29">
        <f>IFERROR(J3839*D3839,0)</f>
      </c>
      <c r="L3839" s="29">
        <f>IFERROR(E3839*C3839,0)</f>
      </c>
      <c r="M3839" s="29">
        <f>IFERROR((G3839*H3839*I3839/1000000)*D3839,0)</f>
      </c>
    </row>
    <row r="3840" spans="1:13" x14ac:dyDescent="0.25">
      <c r="A3840" s="16"/>
      <c r="E3840" s="27"/>
      <c r="F3840" t="s">
        <v>26</v>
      </c>
      <c r="G3840" s="28">
        <f>IFERROR(VLOOKUP(F3840,CARTON_LOOKUP!$A:$E,3,0),"")</f>
      </c>
      <c r="H3840" s="28">
        <f>IFERROR(VLOOKUP(F3840,CARTON_LOOKUP!$A:$E,4,0),"")</f>
      </c>
      <c r="I3840" s="28">
        <f>IFERROR(VLOOKUP(F3840,CARTON_LOOKUP!$A:$E,5,0),"")</f>
      </c>
      <c r="J3840" s="29">
        <f>IFERROR(VLOOKUP(F3840,CARTON_LOOKUP!$A:$E,2,0),"")</f>
      </c>
      <c r="K3840" s="29">
        <f>IFERROR(J3840*D3840,0)</f>
      </c>
      <c r="L3840" s="29">
        <f>IFERROR(E3840*C3840,0)</f>
      </c>
      <c r="M3840" s="29">
        <f>IFERROR((G3840*H3840*I3840/1000000)*D3840,0)</f>
      </c>
    </row>
    <row r="3841" spans="1:13" x14ac:dyDescent="0.25">
      <c r="A3841" s="16"/>
      <c r="E3841" s="27"/>
      <c r="F3841" t="s">
        <v>26</v>
      </c>
      <c r="G3841" s="28">
        <f>IFERROR(VLOOKUP(F3841,CARTON_LOOKUP!$A:$E,3,0),"")</f>
      </c>
      <c r="H3841" s="28">
        <f>IFERROR(VLOOKUP(F3841,CARTON_LOOKUP!$A:$E,4,0),"")</f>
      </c>
      <c r="I3841" s="28">
        <f>IFERROR(VLOOKUP(F3841,CARTON_LOOKUP!$A:$E,5,0),"")</f>
      </c>
      <c r="J3841" s="29">
        <f>IFERROR(VLOOKUP(F3841,CARTON_LOOKUP!$A:$E,2,0),"")</f>
      </c>
      <c r="K3841" s="29">
        <f>IFERROR(J3841*D3841,0)</f>
      </c>
      <c r="L3841" s="29">
        <f>IFERROR(E3841*C3841,0)</f>
      </c>
      <c r="M3841" s="29">
        <f>IFERROR((G3841*H3841*I3841/1000000)*D3841,0)</f>
      </c>
    </row>
    <row r="3842" spans="1:13" x14ac:dyDescent="0.25">
      <c r="A3842" s="16"/>
      <c r="E3842" s="27"/>
      <c r="F3842" t="s">
        <v>26</v>
      </c>
      <c r="G3842" s="28">
        <f>IFERROR(VLOOKUP(F3842,CARTON_LOOKUP!$A:$E,3,0),"")</f>
      </c>
      <c r="H3842" s="28">
        <f>IFERROR(VLOOKUP(F3842,CARTON_LOOKUP!$A:$E,4,0),"")</f>
      </c>
      <c r="I3842" s="28">
        <f>IFERROR(VLOOKUP(F3842,CARTON_LOOKUP!$A:$E,5,0),"")</f>
      </c>
      <c r="J3842" s="29">
        <f>IFERROR(VLOOKUP(F3842,CARTON_LOOKUP!$A:$E,2,0),"")</f>
      </c>
      <c r="K3842" s="29">
        <f>IFERROR(J3842*D3842,0)</f>
      </c>
      <c r="L3842" s="29">
        <f>IFERROR(E3842*C3842,0)</f>
      </c>
      <c r="M3842" s="29">
        <f>IFERROR((G3842*H3842*I3842/1000000)*D3842,0)</f>
      </c>
    </row>
    <row r="3843" spans="1:13" x14ac:dyDescent="0.25">
      <c r="A3843" s="16"/>
      <c r="E3843" s="27"/>
      <c r="F3843" t="s">
        <v>26</v>
      </c>
      <c r="G3843" s="28">
        <f>IFERROR(VLOOKUP(F3843,CARTON_LOOKUP!$A:$E,3,0),"")</f>
      </c>
      <c r="H3843" s="28">
        <f>IFERROR(VLOOKUP(F3843,CARTON_LOOKUP!$A:$E,4,0),"")</f>
      </c>
      <c r="I3843" s="28">
        <f>IFERROR(VLOOKUP(F3843,CARTON_LOOKUP!$A:$E,5,0),"")</f>
      </c>
      <c r="J3843" s="29">
        <f>IFERROR(VLOOKUP(F3843,CARTON_LOOKUP!$A:$E,2,0),"")</f>
      </c>
      <c r="K3843" s="29">
        <f>IFERROR(J3843*D3843,0)</f>
      </c>
      <c r="L3843" s="29">
        <f>IFERROR(E3843*C3843,0)</f>
      </c>
      <c r="M3843" s="29">
        <f>IFERROR((G3843*H3843*I3843/1000000)*D3843,0)</f>
      </c>
    </row>
    <row r="3844" spans="1:13" x14ac:dyDescent="0.25">
      <c r="A3844" s="16"/>
      <c r="E3844" s="27"/>
      <c r="F3844" t="s">
        <v>26</v>
      </c>
      <c r="G3844" s="28">
        <f>IFERROR(VLOOKUP(F3844,CARTON_LOOKUP!$A:$E,3,0),"")</f>
      </c>
      <c r="H3844" s="28">
        <f>IFERROR(VLOOKUP(F3844,CARTON_LOOKUP!$A:$E,4,0),"")</f>
      </c>
      <c r="I3844" s="28">
        <f>IFERROR(VLOOKUP(F3844,CARTON_LOOKUP!$A:$E,5,0),"")</f>
      </c>
      <c r="J3844" s="29">
        <f>IFERROR(VLOOKUP(F3844,CARTON_LOOKUP!$A:$E,2,0),"")</f>
      </c>
      <c r="K3844" s="29">
        <f>IFERROR(J3844*D3844,0)</f>
      </c>
      <c r="L3844" s="29">
        <f>IFERROR(E3844*C3844,0)</f>
      </c>
      <c r="M3844" s="29">
        <f>IFERROR((G3844*H3844*I3844/1000000)*D3844,0)</f>
      </c>
    </row>
    <row r="3845" spans="1:13" x14ac:dyDescent="0.25">
      <c r="A3845" s="16"/>
      <c r="E3845" s="27"/>
      <c r="F3845" t="s">
        <v>26</v>
      </c>
      <c r="G3845" s="28">
        <f>IFERROR(VLOOKUP(F3845,CARTON_LOOKUP!$A:$E,3,0),"")</f>
      </c>
      <c r="H3845" s="28">
        <f>IFERROR(VLOOKUP(F3845,CARTON_LOOKUP!$A:$E,4,0),"")</f>
      </c>
      <c r="I3845" s="28">
        <f>IFERROR(VLOOKUP(F3845,CARTON_LOOKUP!$A:$E,5,0),"")</f>
      </c>
      <c r="J3845" s="29">
        <f>IFERROR(VLOOKUP(F3845,CARTON_LOOKUP!$A:$E,2,0),"")</f>
      </c>
      <c r="K3845" s="29">
        <f>IFERROR(J3845*D3845,0)</f>
      </c>
      <c r="L3845" s="29">
        <f>IFERROR(E3845*C3845,0)</f>
      </c>
      <c r="M3845" s="29">
        <f>IFERROR((G3845*H3845*I3845/1000000)*D3845,0)</f>
      </c>
    </row>
    <row r="3846" spans="1:13" x14ac:dyDescent="0.25">
      <c r="A3846" s="16"/>
      <c r="E3846" s="27"/>
      <c r="F3846" t="s">
        <v>26</v>
      </c>
      <c r="G3846" s="28">
        <f>IFERROR(VLOOKUP(F3846,CARTON_LOOKUP!$A:$E,3,0),"")</f>
      </c>
      <c r="H3846" s="28">
        <f>IFERROR(VLOOKUP(F3846,CARTON_LOOKUP!$A:$E,4,0),"")</f>
      </c>
      <c r="I3846" s="28">
        <f>IFERROR(VLOOKUP(F3846,CARTON_LOOKUP!$A:$E,5,0),"")</f>
      </c>
      <c r="J3846" s="29">
        <f>IFERROR(VLOOKUP(F3846,CARTON_LOOKUP!$A:$E,2,0),"")</f>
      </c>
      <c r="K3846" s="29">
        <f>IFERROR(J3846*D3846,0)</f>
      </c>
      <c r="L3846" s="29">
        <f>IFERROR(E3846*C3846,0)</f>
      </c>
      <c r="M3846" s="29">
        <f>IFERROR((G3846*H3846*I3846/1000000)*D3846,0)</f>
      </c>
    </row>
    <row r="3847" spans="1:13" x14ac:dyDescent="0.25">
      <c r="A3847" s="16"/>
      <c r="E3847" s="27"/>
      <c r="F3847" t="s">
        <v>26</v>
      </c>
      <c r="G3847" s="28">
        <f>IFERROR(VLOOKUP(F3847,CARTON_LOOKUP!$A:$E,3,0),"")</f>
      </c>
      <c r="H3847" s="28">
        <f>IFERROR(VLOOKUP(F3847,CARTON_LOOKUP!$A:$E,4,0),"")</f>
      </c>
      <c r="I3847" s="28">
        <f>IFERROR(VLOOKUP(F3847,CARTON_LOOKUP!$A:$E,5,0),"")</f>
      </c>
      <c r="J3847" s="29">
        <f>IFERROR(VLOOKUP(F3847,CARTON_LOOKUP!$A:$E,2,0),"")</f>
      </c>
      <c r="K3847" s="29">
        <f>IFERROR(J3847*D3847,0)</f>
      </c>
      <c r="L3847" s="29">
        <f>IFERROR(E3847*C3847,0)</f>
      </c>
      <c r="M3847" s="29">
        <f>IFERROR((G3847*H3847*I3847/1000000)*D3847,0)</f>
      </c>
    </row>
    <row r="3848" spans="1:13" x14ac:dyDescent="0.25">
      <c r="A3848" s="16"/>
      <c r="E3848" s="27"/>
      <c r="F3848" t="s">
        <v>26</v>
      </c>
      <c r="G3848" s="28">
        <f>IFERROR(VLOOKUP(F3848,CARTON_LOOKUP!$A:$E,3,0),"")</f>
      </c>
      <c r="H3848" s="28">
        <f>IFERROR(VLOOKUP(F3848,CARTON_LOOKUP!$A:$E,4,0),"")</f>
      </c>
      <c r="I3848" s="28">
        <f>IFERROR(VLOOKUP(F3848,CARTON_LOOKUP!$A:$E,5,0),"")</f>
      </c>
      <c r="J3848" s="29">
        <f>IFERROR(VLOOKUP(F3848,CARTON_LOOKUP!$A:$E,2,0),"")</f>
      </c>
      <c r="K3848" s="29">
        <f>IFERROR(J3848*D3848,0)</f>
      </c>
      <c r="L3848" s="29">
        <f>IFERROR(E3848*C3848,0)</f>
      </c>
      <c r="M3848" s="29">
        <f>IFERROR((G3848*H3848*I3848/1000000)*D3848,0)</f>
      </c>
    </row>
    <row r="3849" spans="1:13" x14ac:dyDescent="0.25">
      <c r="A3849" s="16"/>
      <c r="E3849" s="27"/>
      <c r="F3849" t="s">
        <v>26</v>
      </c>
      <c r="G3849" s="28">
        <f>IFERROR(VLOOKUP(F3849,CARTON_LOOKUP!$A:$E,3,0),"")</f>
      </c>
      <c r="H3849" s="28">
        <f>IFERROR(VLOOKUP(F3849,CARTON_LOOKUP!$A:$E,4,0),"")</f>
      </c>
      <c r="I3849" s="28">
        <f>IFERROR(VLOOKUP(F3849,CARTON_LOOKUP!$A:$E,5,0),"")</f>
      </c>
      <c r="J3849" s="29">
        <f>IFERROR(VLOOKUP(F3849,CARTON_LOOKUP!$A:$E,2,0),"")</f>
      </c>
      <c r="K3849" s="29">
        <f>IFERROR(J3849*D3849,0)</f>
      </c>
      <c r="L3849" s="29">
        <f>IFERROR(E3849*C3849,0)</f>
      </c>
      <c r="M3849" s="29">
        <f>IFERROR((G3849*H3849*I3849/1000000)*D3849,0)</f>
      </c>
    </row>
    <row r="3850" spans="1:13" x14ac:dyDescent="0.25">
      <c r="A3850" s="16"/>
      <c r="E3850" s="27"/>
      <c r="F3850" t="s">
        <v>26</v>
      </c>
      <c r="G3850" s="28">
        <f>IFERROR(VLOOKUP(F3850,CARTON_LOOKUP!$A:$E,3,0),"")</f>
      </c>
      <c r="H3850" s="28">
        <f>IFERROR(VLOOKUP(F3850,CARTON_LOOKUP!$A:$E,4,0),"")</f>
      </c>
      <c r="I3850" s="28">
        <f>IFERROR(VLOOKUP(F3850,CARTON_LOOKUP!$A:$E,5,0),"")</f>
      </c>
      <c r="J3850" s="29">
        <f>IFERROR(VLOOKUP(F3850,CARTON_LOOKUP!$A:$E,2,0),"")</f>
      </c>
      <c r="K3850" s="29">
        <f>IFERROR(J3850*D3850,0)</f>
      </c>
      <c r="L3850" s="29">
        <f>IFERROR(E3850*C3850,0)</f>
      </c>
      <c r="M3850" s="29">
        <f>IFERROR((G3850*H3850*I3850/1000000)*D3850,0)</f>
      </c>
    </row>
    <row r="3851" spans="1:13" x14ac:dyDescent="0.25">
      <c r="A3851" s="16"/>
      <c r="E3851" s="27"/>
      <c r="F3851" t="s">
        <v>26</v>
      </c>
      <c r="G3851" s="28">
        <f>IFERROR(VLOOKUP(F3851,CARTON_LOOKUP!$A:$E,3,0),"")</f>
      </c>
      <c r="H3851" s="28">
        <f>IFERROR(VLOOKUP(F3851,CARTON_LOOKUP!$A:$E,4,0),"")</f>
      </c>
      <c r="I3851" s="28">
        <f>IFERROR(VLOOKUP(F3851,CARTON_LOOKUP!$A:$E,5,0),"")</f>
      </c>
      <c r="J3851" s="29">
        <f>IFERROR(VLOOKUP(F3851,CARTON_LOOKUP!$A:$E,2,0),"")</f>
      </c>
      <c r="K3851" s="29">
        <f>IFERROR(J3851*D3851,0)</f>
      </c>
      <c r="L3851" s="29">
        <f>IFERROR(E3851*C3851,0)</f>
      </c>
      <c r="M3851" s="29">
        <f>IFERROR((G3851*H3851*I3851/1000000)*D3851,0)</f>
      </c>
    </row>
    <row r="3852" spans="1:13" x14ac:dyDescent="0.25">
      <c r="A3852" s="16"/>
      <c r="E3852" s="27"/>
      <c r="F3852" t="s">
        <v>26</v>
      </c>
      <c r="G3852" s="28">
        <f>IFERROR(VLOOKUP(F3852,CARTON_LOOKUP!$A:$E,3,0),"")</f>
      </c>
      <c r="H3852" s="28">
        <f>IFERROR(VLOOKUP(F3852,CARTON_LOOKUP!$A:$E,4,0),"")</f>
      </c>
      <c r="I3852" s="28">
        <f>IFERROR(VLOOKUP(F3852,CARTON_LOOKUP!$A:$E,5,0),"")</f>
      </c>
      <c r="J3852" s="29">
        <f>IFERROR(VLOOKUP(F3852,CARTON_LOOKUP!$A:$E,2,0),"")</f>
      </c>
      <c r="K3852" s="29">
        <f>IFERROR(J3852*D3852,0)</f>
      </c>
      <c r="L3852" s="29">
        <f>IFERROR(E3852*C3852,0)</f>
      </c>
      <c r="M3852" s="29">
        <f>IFERROR((G3852*H3852*I3852/1000000)*D3852,0)</f>
      </c>
    </row>
    <row r="3853" spans="1:13" x14ac:dyDescent="0.25">
      <c r="A3853" s="16"/>
      <c r="E3853" s="27"/>
      <c r="F3853" t="s">
        <v>26</v>
      </c>
      <c r="G3853" s="28">
        <f>IFERROR(VLOOKUP(F3853,CARTON_LOOKUP!$A:$E,3,0),"")</f>
      </c>
      <c r="H3853" s="28">
        <f>IFERROR(VLOOKUP(F3853,CARTON_LOOKUP!$A:$E,4,0),"")</f>
      </c>
      <c r="I3853" s="28">
        <f>IFERROR(VLOOKUP(F3853,CARTON_LOOKUP!$A:$E,5,0),"")</f>
      </c>
      <c r="J3853" s="29">
        <f>IFERROR(VLOOKUP(F3853,CARTON_LOOKUP!$A:$E,2,0),"")</f>
      </c>
      <c r="K3853" s="29">
        <f>IFERROR(J3853*D3853,0)</f>
      </c>
      <c r="L3853" s="29">
        <f>IFERROR(E3853*C3853,0)</f>
      </c>
      <c r="M3853" s="29">
        <f>IFERROR((G3853*H3853*I3853/1000000)*D3853,0)</f>
      </c>
    </row>
    <row r="3854" spans="1:13" x14ac:dyDescent="0.25">
      <c r="A3854" s="16"/>
      <c r="E3854" s="27"/>
      <c r="F3854" t="s">
        <v>26</v>
      </c>
      <c r="G3854" s="28">
        <f>IFERROR(VLOOKUP(F3854,CARTON_LOOKUP!$A:$E,3,0),"")</f>
      </c>
      <c r="H3854" s="28">
        <f>IFERROR(VLOOKUP(F3854,CARTON_LOOKUP!$A:$E,4,0),"")</f>
      </c>
      <c r="I3854" s="28">
        <f>IFERROR(VLOOKUP(F3854,CARTON_LOOKUP!$A:$E,5,0),"")</f>
      </c>
      <c r="J3854" s="29">
        <f>IFERROR(VLOOKUP(F3854,CARTON_LOOKUP!$A:$E,2,0),"")</f>
      </c>
      <c r="K3854" s="29">
        <f>IFERROR(J3854*D3854,0)</f>
      </c>
      <c r="L3854" s="29">
        <f>IFERROR(E3854*C3854,0)</f>
      </c>
      <c r="M3854" s="29">
        <f>IFERROR((G3854*H3854*I3854/1000000)*D3854,0)</f>
      </c>
    </row>
    <row r="3855" spans="1:13" x14ac:dyDescent="0.25">
      <c r="A3855" s="16"/>
      <c r="E3855" s="27"/>
      <c r="F3855" t="s">
        <v>26</v>
      </c>
      <c r="G3855" s="28">
        <f>IFERROR(VLOOKUP(F3855,CARTON_LOOKUP!$A:$E,3,0),"")</f>
      </c>
      <c r="H3855" s="28">
        <f>IFERROR(VLOOKUP(F3855,CARTON_LOOKUP!$A:$E,4,0),"")</f>
      </c>
      <c r="I3855" s="28">
        <f>IFERROR(VLOOKUP(F3855,CARTON_LOOKUP!$A:$E,5,0),"")</f>
      </c>
      <c r="J3855" s="29">
        <f>IFERROR(VLOOKUP(F3855,CARTON_LOOKUP!$A:$E,2,0),"")</f>
      </c>
      <c r="K3855" s="29">
        <f>IFERROR(J3855*D3855,0)</f>
      </c>
      <c r="L3855" s="29">
        <f>IFERROR(E3855*C3855,0)</f>
      </c>
      <c r="M3855" s="29">
        <f>IFERROR((G3855*H3855*I3855/1000000)*D3855,0)</f>
      </c>
    </row>
    <row r="3856" spans="1:13" x14ac:dyDescent="0.25">
      <c r="A3856" s="16"/>
      <c r="E3856" s="27"/>
      <c r="F3856" t="s">
        <v>26</v>
      </c>
      <c r="G3856" s="28">
        <f>IFERROR(VLOOKUP(F3856,CARTON_LOOKUP!$A:$E,3,0),"")</f>
      </c>
      <c r="H3856" s="28">
        <f>IFERROR(VLOOKUP(F3856,CARTON_LOOKUP!$A:$E,4,0),"")</f>
      </c>
      <c r="I3856" s="28">
        <f>IFERROR(VLOOKUP(F3856,CARTON_LOOKUP!$A:$E,5,0),"")</f>
      </c>
      <c r="J3856" s="29">
        <f>IFERROR(VLOOKUP(F3856,CARTON_LOOKUP!$A:$E,2,0),"")</f>
      </c>
      <c r="K3856" s="29">
        <f>IFERROR(J3856*D3856,0)</f>
      </c>
      <c r="L3856" s="29">
        <f>IFERROR(E3856*C3856,0)</f>
      </c>
      <c r="M3856" s="29">
        <f>IFERROR((G3856*H3856*I3856/1000000)*D3856,0)</f>
      </c>
    </row>
    <row r="3857" spans="1:13" x14ac:dyDescent="0.25">
      <c r="A3857" s="16"/>
      <c r="E3857" s="27"/>
      <c r="F3857" t="s">
        <v>26</v>
      </c>
      <c r="G3857" s="28">
        <f>IFERROR(VLOOKUP(F3857,CARTON_LOOKUP!$A:$E,3,0),"")</f>
      </c>
      <c r="H3857" s="28">
        <f>IFERROR(VLOOKUP(F3857,CARTON_LOOKUP!$A:$E,4,0),"")</f>
      </c>
      <c r="I3857" s="28">
        <f>IFERROR(VLOOKUP(F3857,CARTON_LOOKUP!$A:$E,5,0),"")</f>
      </c>
      <c r="J3857" s="29">
        <f>IFERROR(VLOOKUP(F3857,CARTON_LOOKUP!$A:$E,2,0),"")</f>
      </c>
      <c r="K3857" s="29">
        <f>IFERROR(J3857*D3857,0)</f>
      </c>
      <c r="L3857" s="29">
        <f>IFERROR(E3857*C3857,0)</f>
      </c>
      <c r="M3857" s="29">
        <f>IFERROR((G3857*H3857*I3857/1000000)*D3857,0)</f>
      </c>
    </row>
    <row r="3858" spans="1:13" x14ac:dyDescent="0.25">
      <c r="A3858" s="16"/>
      <c r="E3858" s="27"/>
      <c r="F3858" t="s">
        <v>26</v>
      </c>
      <c r="G3858" s="28">
        <f>IFERROR(VLOOKUP(F3858,CARTON_LOOKUP!$A:$E,3,0),"")</f>
      </c>
      <c r="H3858" s="28">
        <f>IFERROR(VLOOKUP(F3858,CARTON_LOOKUP!$A:$E,4,0),"")</f>
      </c>
      <c r="I3858" s="28">
        <f>IFERROR(VLOOKUP(F3858,CARTON_LOOKUP!$A:$E,5,0),"")</f>
      </c>
      <c r="J3858" s="29">
        <f>IFERROR(VLOOKUP(F3858,CARTON_LOOKUP!$A:$E,2,0),"")</f>
      </c>
      <c r="K3858" s="29">
        <f>IFERROR(J3858*D3858,0)</f>
      </c>
      <c r="L3858" s="29">
        <f>IFERROR(E3858*C3858,0)</f>
      </c>
      <c r="M3858" s="29">
        <f>IFERROR((G3858*H3858*I3858/1000000)*D3858,0)</f>
      </c>
    </row>
    <row r="3859" spans="1:13" x14ac:dyDescent="0.25">
      <c r="A3859" s="16"/>
      <c r="E3859" s="27"/>
      <c r="F3859" t="s">
        <v>26</v>
      </c>
      <c r="G3859" s="28">
        <f>IFERROR(VLOOKUP(F3859,CARTON_LOOKUP!$A:$E,3,0),"")</f>
      </c>
      <c r="H3859" s="28">
        <f>IFERROR(VLOOKUP(F3859,CARTON_LOOKUP!$A:$E,4,0),"")</f>
      </c>
      <c r="I3859" s="28">
        <f>IFERROR(VLOOKUP(F3859,CARTON_LOOKUP!$A:$E,5,0),"")</f>
      </c>
      <c r="J3859" s="29">
        <f>IFERROR(VLOOKUP(F3859,CARTON_LOOKUP!$A:$E,2,0),"")</f>
      </c>
      <c r="K3859" s="29">
        <f>IFERROR(J3859*D3859,0)</f>
      </c>
      <c r="L3859" s="29">
        <f>IFERROR(E3859*C3859,0)</f>
      </c>
      <c r="M3859" s="29">
        <f>IFERROR((G3859*H3859*I3859/1000000)*D3859,0)</f>
      </c>
    </row>
    <row r="3860" spans="1:13" x14ac:dyDescent="0.25">
      <c r="A3860" s="16"/>
      <c r="E3860" s="27"/>
      <c r="F3860" t="s">
        <v>26</v>
      </c>
      <c r="G3860" s="28">
        <f>IFERROR(VLOOKUP(F3860,CARTON_LOOKUP!$A:$E,3,0),"")</f>
      </c>
      <c r="H3860" s="28">
        <f>IFERROR(VLOOKUP(F3860,CARTON_LOOKUP!$A:$E,4,0),"")</f>
      </c>
      <c r="I3860" s="28">
        <f>IFERROR(VLOOKUP(F3860,CARTON_LOOKUP!$A:$E,5,0),"")</f>
      </c>
      <c r="J3860" s="29">
        <f>IFERROR(VLOOKUP(F3860,CARTON_LOOKUP!$A:$E,2,0),"")</f>
      </c>
      <c r="K3860" s="29">
        <f>IFERROR(J3860*D3860,0)</f>
      </c>
      <c r="L3860" s="29">
        <f>IFERROR(E3860*C3860,0)</f>
      </c>
      <c r="M3860" s="29">
        <f>IFERROR((G3860*H3860*I3860/1000000)*D3860,0)</f>
      </c>
    </row>
    <row r="3861" spans="1:13" x14ac:dyDescent="0.25">
      <c r="A3861" s="16"/>
      <c r="E3861" s="27"/>
      <c r="F3861" t="s">
        <v>26</v>
      </c>
      <c r="G3861" s="28">
        <f>IFERROR(VLOOKUP(F3861,CARTON_LOOKUP!$A:$E,3,0),"")</f>
      </c>
      <c r="H3861" s="28">
        <f>IFERROR(VLOOKUP(F3861,CARTON_LOOKUP!$A:$E,4,0),"")</f>
      </c>
      <c r="I3861" s="28">
        <f>IFERROR(VLOOKUP(F3861,CARTON_LOOKUP!$A:$E,5,0),"")</f>
      </c>
      <c r="J3861" s="29">
        <f>IFERROR(VLOOKUP(F3861,CARTON_LOOKUP!$A:$E,2,0),"")</f>
      </c>
      <c r="K3861" s="29">
        <f>IFERROR(J3861*D3861,0)</f>
      </c>
      <c r="L3861" s="29">
        <f>IFERROR(E3861*C3861,0)</f>
      </c>
      <c r="M3861" s="29">
        <f>IFERROR((G3861*H3861*I3861/1000000)*D3861,0)</f>
      </c>
    </row>
    <row r="3862" spans="1:13" x14ac:dyDescent="0.25">
      <c r="A3862" s="16"/>
      <c r="E3862" s="27"/>
      <c r="F3862" t="s">
        <v>26</v>
      </c>
      <c r="G3862" s="28">
        <f>IFERROR(VLOOKUP(F3862,CARTON_LOOKUP!$A:$E,3,0),"")</f>
      </c>
      <c r="H3862" s="28">
        <f>IFERROR(VLOOKUP(F3862,CARTON_LOOKUP!$A:$E,4,0),"")</f>
      </c>
      <c r="I3862" s="28">
        <f>IFERROR(VLOOKUP(F3862,CARTON_LOOKUP!$A:$E,5,0),"")</f>
      </c>
      <c r="J3862" s="29">
        <f>IFERROR(VLOOKUP(F3862,CARTON_LOOKUP!$A:$E,2,0),"")</f>
      </c>
      <c r="K3862" s="29">
        <f>IFERROR(J3862*D3862,0)</f>
      </c>
      <c r="L3862" s="29">
        <f>IFERROR(E3862*C3862,0)</f>
      </c>
      <c r="M3862" s="29">
        <f>IFERROR((G3862*H3862*I3862/1000000)*D3862,0)</f>
      </c>
    </row>
    <row r="3863" spans="1:13" x14ac:dyDescent="0.25">
      <c r="A3863" s="16"/>
      <c r="E3863" s="27"/>
      <c r="F3863" t="s">
        <v>26</v>
      </c>
      <c r="G3863" s="28">
        <f>IFERROR(VLOOKUP(F3863,CARTON_LOOKUP!$A:$E,3,0),"")</f>
      </c>
      <c r="H3863" s="28">
        <f>IFERROR(VLOOKUP(F3863,CARTON_LOOKUP!$A:$E,4,0),"")</f>
      </c>
      <c r="I3863" s="28">
        <f>IFERROR(VLOOKUP(F3863,CARTON_LOOKUP!$A:$E,5,0),"")</f>
      </c>
      <c r="J3863" s="29">
        <f>IFERROR(VLOOKUP(F3863,CARTON_LOOKUP!$A:$E,2,0),"")</f>
      </c>
      <c r="K3863" s="29">
        <f>IFERROR(J3863*D3863,0)</f>
      </c>
      <c r="L3863" s="29">
        <f>IFERROR(E3863*C3863,0)</f>
      </c>
      <c r="M3863" s="29">
        <f>IFERROR((G3863*H3863*I3863/1000000)*D3863,0)</f>
      </c>
    </row>
    <row r="3864" spans="1:13" x14ac:dyDescent="0.25">
      <c r="A3864" s="16"/>
      <c r="E3864" s="27"/>
      <c r="F3864" t="s">
        <v>26</v>
      </c>
      <c r="G3864" s="28">
        <f>IFERROR(VLOOKUP(F3864,CARTON_LOOKUP!$A:$E,3,0),"")</f>
      </c>
      <c r="H3864" s="28">
        <f>IFERROR(VLOOKUP(F3864,CARTON_LOOKUP!$A:$E,4,0),"")</f>
      </c>
      <c r="I3864" s="28">
        <f>IFERROR(VLOOKUP(F3864,CARTON_LOOKUP!$A:$E,5,0),"")</f>
      </c>
      <c r="J3864" s="29">
        <f>IFERROR(VLOOKUP(F3864,CARTON_LOOKUP!$A:$E,2,0),"")</f>
      </c>
      <c r="K3864" s="29">
        <f>IFERROR(J3864*D3864,0)</f>
      </c>
      <c r="L3864" s="29">
        <f>IFERROR(E3864*C3864,0)</f>
      </c>
      <c r="M3864" s="29">
        <f>IFERROR((G3864*H3864*I3864/1000000)*D3864,0)</f>
      </c>
    </row>
    <row r="3865" spans="1:13" x14ac:dyDescent="0.25">
      <c r="A3865" s="16"/>
      <c r="E3865" s="27"/>
      <c r="F3865" t="s">
        <v>26</v>
      </c>
      <c r="G3865" s="28">
        <f>IFERROR(VLOOKUP(F3865,CARTON_LOOKUP!$A:$E,3,0),"")</f>
      </c>
      <c r="H3865" s="28">
        <f>IFERROR(VLOOKUP(F3865,CARTON_LOOKUP!$A:$E,4,0),"")</f>
      </c>
      <c r="I3865" s="28">
        <f>IFERROR(VLOOKUP(F3865,CARTON_LOOKUP!$A:$E,5,0),"")</f>
      </c>
      <c r="J3865" s="29">
        <f>IFERROR(VLOOKUP(F3865,CARTON_LOOKUP!$A:$E,2,0),"")</f>
      </c>
      <c r="K3865" s="29">
        <f>IFERROR(J3865*D3865,0)</f>
      </c>
      <c r="L3865" s="29">
        <f>IFERROR(E3865*C3865,0)</f>
      </c>
      <c r="M3865" s="29">
        <f>IFERROR((G3865*H3865*I3865/1000000)*D3865,0)</f>
      </c>
    </row>
    <row r="3866" spans="1:13" x14ac:dyDescent="0.25">
      <c r="A3866" s="16"/>
      <c r="E3866" s="27"/>
      <c r="F3866" t="s">
        <v>26</v>
      </c>
      <c r="G3866" s="28">
        <f>IFERROR(VLOOKUP(F3866,CARTON_LOOKUP!$A:$E,3,0),"")</f>
      </c>
      <c r="H3866" s="28">
        <f>IFERROR(VLOOKUP(F3866,CARTON_LOOKUP!$A:$E,4,0),"")</f>
      </c>
      <c r="I3866" s="28">
        <f>IFERROR(VLOOKUP(F3866,CARTON_LOOKUP!$A:$E,5,0),"")</f>
      </c>
      <c r="J3866" s="29">
        <f>IFERROR(VLOOKUP(F3866,CARTON_LOOKUP!$A:$E,2,0),"")</f>
      </c>
      <c r="K3866" s="29">
        <f>IFERROR(J3866*D3866,0)</f>
      </c>
      <c r="L3866" s="29">
        <f>IFERROR(E3866*C3866,0)</f>
      </c>
      <c r="M3866" s="29">
        <f>IFERROR((G3866*H3866*I3866/1000000)*D3866,0)</f>
      </c>
    </row>
    <row r="3867" spans="1:13" x14ac:dyDescent="0.25">
      <c r="A3867" s="16"/>
      <c r="E3867" s="27"/>
      <c r="F3867" t="s">
        <v>26</v>
      </c>
      <c r="G3867" s="28">
        <f>IFERROR(VLOOKUP(F3867,CARTON_LOOKUP!$A:$E,3,0),"")</f>
      </c>
      <c r="H3867" s="28">
        <f>IFERROR(VLOOKUP(F3867,CARTON_LOOKUP!$A:$E,4,0),"")</f>
      </c>
      <c r="I3867" s="28">
        <f>IFERROR(VLOOKUP(F3867,CARTON_LOOKUP!$A:$E,5,0),"")</f>
      </c>
      <c r="J3867" s="29">
        <f>IFERROR(VLOOKUP(F3867,CARTON_LOOKUP!$A:$E,2,0),"")</f>
      </c>
      <c r="K3867" s="29">
        <f>IFERROR(J3867*D3867,0)</f>
      </c>
      <c r="L3867" s="29">
        <f>IFERROR(E3867*C3867,0)</f>
      </c>
      <c r="M3867" s="29">
        <f>IFERROR((G3867*H3867*I3867/1000000)*D3867,0)</f>
      </c>
    </row>
    <row r="3868" spans="1:13" x14ac:dyDescent="0.25">
      <c r="A3868" s="16"/>
      <c r="E3868" s="27"/>
      <c r="F3868" t="s">
        <v>26</v>
      </c>
      <c r="G3868" s="28">
        <f>IFERROR(VLOOKUP(F3868,CARTON_LOOKUP!$A:$E,3,0),"")</f>
      </c>
      <c r="H3868" s="28">
        <f>IFERROR(VLOOKUP(F3868,CARTON_LOOKUP!$A:$E,4,0),"")</f>
      </c>
      <c r="I3868" s="28">
        <f>IFERROR(VLOOKUP(F3868,CARTON_LOOKUP!$A:$E,5,0),"")</f>
      </c>
      <c r="J3868" s="29">
        <f>IFERROR(VLOOKUP(F3868,CARTON_LOOKUP!$A:$E,2,0),"")</f>
      </c>
      <c r="K3868" s="29">
        <f>IFERROR(J3868*D3868,0)</f>
      </c>
      <c r="L3868" s="29">
        <f>IFERROR(E3868*C3868,0)</f>
      </c>
      <c r="M3868" s="29">
        <f>IFERROR((G3868*H3868*I3868/1000000)*D3868,0)</f>
      </c>
    </row>
    <row r="3869" spans="1:13" x14ac:dyDescent="0.25">
      <c r="A3869" s="16"/>
      <c r="E3869" s="27"/>
      <c r="F3869" t="s">
        <v>26</v>
      </c>
      <c r="G3869" s="28">
        <f>IFERROR(VLOOKUP(F3869,CARTON_LOOKUP!$A:$E,3,0),"")</f>
      </c>
      <c r="H3869" s="28">
        <f>IFERROR(VLOOKUP(F3869,CARTON_LOOKUP!$A:$E,4,0),"")</f>
      </c>
      <c r="I3869" s="28">
        <f>IFERROR(VLOOKUP(F3869,CARTON_LOOKUP!$A:$E,5,0),"")</f>
      </c>
      <c r="J3869" s="29">
        <f>IFERROR(VLOOKUP(F3869,CARTON_LOOKUP!$A:$E,2,0),"")</f>
      </c>
      <c r="K3869" s="29">
        <f>IFERROR(J3869*D3869,0)</f>
      </c>
      <c r="L3869" s="29">
        <f>IFERROR(E3869*C3869,0)</f>
      </c>
      <c r="M3869" s="29">
        <f>IFERROR((G3869*H3869*I3869/1000000)*D3869,0)</f>
      </c>
    </row>
    <row r="3870" spans="1:13" x14ac:dyDescent="0.25">
      <c r="A3870" s="16"/>
      <c r="E3870" s="27"/>
      <c r="F3870" t="s">
        <v>26</v>
      </c>
      <c r="G3870" s="28">
        <f>IFERROR(VLOOKUP(F3870,CARTON_LOOKUP!$A:$E,3,0),"")</f>
      </c>
      <c r="H3870" s="28">
        <f>IFERROR(VLOOKUP(F3870,CARTON_LOOKUP!$A:$E,4,0),"")</f>
      </c>
      <c r="I3870" s="28">
        <f>IFERROR(VLOOKUP(F3870,CARTON_LOOKUP!$A:$E,5,0),"")</f>
      </c>
      <c r="J3870" s="29">
        <f>IFERROR(VLOOKUP(F3870,CARTON_LOOKUP!$A:$E,2,0),"")</f>
      </c>
      <c r="K3870" s="29">
        <f>IFERROR(J3870*D3870,0)</f>
      </c>
      <c r="L3870" s="29">
        <f>IFERROR(E3870*C3870,0)</f>
      </c>
      <c r="M3870" s="29">
        <f>IFERROR((G3870*H3870*I3870/1000000)*D3870,0)</f>
      </c>
    </row>
    <row r="3871" spans="1:13" x14ac:dyDescent="0.25">
      <c r="A3871" s="16"/>
      <c r="E3871" s="27"/>
      <c r="F3871" t="s">
        <v>26</v>
      </c>
      <c r="G3871" s="28">
        <f>IFERROR(VLOOKUP(F3871,CARTON_LOOKUP!$A:$E,3,0),"")</f>
      </c>
      <c r="H3871" s="28">
        <f>IFERROR(VLOOKUP(F3871,CARTON_LOOKUP!$A:$E,4,0),"")</f>
      </c>
      <c r="I3871" s="28">
        <f>IFERROR(VLOOKUP(F3871,CARTON_LOOKUP!$A:$E,5,0),"")</f>
      </c>
      <c r="J3871" s="29">
        <f>IFERROR(VLOOKUP(F3871,CARTON_LOOKUP!$A:$E,2,0),"")</f>
      </c>
      <c r="K3871" s="29">
        <f>IFERROR(J3871*D3871,0)</f>
      </c>
      <c r="L3871" s="29">
        <f>IFERROR(E3871*C3871,0)</f>
      </c>
      <c r="M3871" s="29">
        <f>IFERROR((G3871*H3871*I3871/1000000)*D3871,0)</f>
      </c>
    </row>
    <row r="3872" spans="1:13" x14ac:dyDescent="0.25">
      <c r="A3872" s="16"/>
      <c r="E3872" s="27"/>
      <c r="F3872" t="s">
        <v>26</v>
      </c>
      <c r="G3872" s="28">
        <f>IFERROR(VLOOKUP(F3872,CARTON_LOOKUP!$A:$E,3,0),"")</f>
      </c>
      <c r="H3872" s="28">
        <f>IFERROR(VLOOKUP(F3872,CARTON_LOOKUP!$A:$E,4,0),"")</f>
      </c>
      <c r="I3872" s="28">
        <f>IFERROR(VLOOKUP(F3872,CARTON_LOOKUP!$A:$E,5,0),"")</f>
      </c>
      <c r="J3872" s="29">
        <f>IFERROR(VLOOKUP(F3872,CARTON_LOOKUP!$A:$E,2,0),"")</f>
      </c>
      <c r="K3872" s="29">
        <f>IFERROR(J3872*D3872,0)</f>
      </c>
      <c r="L3872" s="29">
        <f>IFERROR(E3872*C3872,0)</f>
      </c>
      <c r="M3872" s="29">
        <f>IFERROR((G3872*H3872*I3872/1000000)*D3872,0)</f>
      </c>
    </row>
    <row r="3873" spans="1:13" x14ac:dyDescent="0.25">
      <c r="A3873" s="16"/>
      <c r="E3873" s="27"/>
      <c r="F3873" t="s">
        <v>26</v>
      </c>
      <c r="G3873" s="28">
        <f>IFERROR(VLOOKUP(F3873,CARTON_LOOKUP!$A:$E,3,0),"")</f>
      </c>
      <c r="H3873" s="28">
        <f>IFERROR(VLOOKUP(F3873,CARTON_LOOKUP!$A:$E,4,0),"")</f>
      </c>
      <c r="I3873" s="28">
        <f>IFERROR(VLOOKUP(F3873,CARTON_LOOKUP!$A:$E,5,0),"")</f>
      </c>
      <c r="J3873" s="29">
        <f>IFERROR(VLOOKUP(F3873,CARTON_LOOKUP!$A:$E,2,0),"")</f>
      </c>
      <c r="K3873" s="29">
        <f>IFERROR(J3873*D3873,0)</f>
      </c>
      <c r="L3873" s="29">
        <f>IFERROR(E3873*C3873,0)</f>
      </c>
      <c r="M3873" s="29">
        <f>IFERROR((G3873*H3873*I3873/1000000)*D3873,0)</f>
      </c>
    </row>
    <row r="3874" spans="1:13" x14ac:dyDescent="0.25">
      <c r="A3874" s="16"/>
      <c r="E3874" s="27"/>
      <c r="F3874" t="s">
        <v>26</v>
      </c>
      <c r="G3874" s="28">
        <f>IFERROR(VLOOKUP(F3874,CARTON_LOOKUP!$A:$E,3,0),"")</f>
      </c>
      <c r="H3874" s="28">
        <f>IFERROR(VLOOKUP(F3874,CARTON_LOOKUP!$A:$E,4,0),"")</f>
      </c>
      <c r="I3874" s="28">
        <f>IFERROR(VLOOKUP(F3874,CARTON_LOOKUP!$A:$E,5,0),"")</f>
      </c>
      <c r="J3874" s="29">
        <f>IFERROR(VLOOKUP(F3874,CARTON_LOOKUP!$A:$E,2,0),"")</f>
      </c>
      <c r="K3874" s="29">
        <f>IFERROR(J3874*D3874,0)</f>
      </c>
      <c r="L3874" s="29">
        <f>IFERROR(E3874*C3874,0)</f>
      </c>
      <c r="M3874" s="29">
        <f>IFERROR((G3874*H3874*I3874/1000000)*D3874,0)</f>
      </c>
    </row>
    <row r="3875" spans="1:13" x14ac:dyDescent="0.25">
      <c r="A3875" s="16"/>
      <c r="E3875" s="27"/>
      <c r="F3875" t="s">
        <v>26</v>
      </c>
      <c r="G3875" s="28">
        <f>IFERROR(VLOOKUP(F3875,CARTON_LOOKUP!$A:$E,3,0),"")</f>
      </c>
      <c r="H3875" s="28">
        <f>IFERROR(VLOOKUP(F3875,CARTON_LOOKUP!$A:$E,4,0),"")</f>
      </c>
      <c r="I3875" s="28">
        <f>IFERROR(VLOOKUP(F3875,CARTON_LOOKUP!$A:$E,5,0),"")</f>
      </c>
      <c r="J3875" s="29">
        <f>IFERROR(VLOOKUP(F3875,CARTON_LOOKUP!$A:$E,2,0),"")</f>
      </c>
      <c r="K3875" s="29">
        <f>IFERROR(J3875*D3875,0)</f>
      </c>
      <c r="L3875" s="29">
        <f>IFERROR(E3875*C3875,0)</f>
      </c>
      <c r="M3875" s="29">
        <f>IFERROR((G3875*H3875*I3875/1000000)*D3875,0)</f>
      </c>
    </row>
    <row r="3876" spans="1:13" x14ac:dyDescent="0.25">
      <c r="A3876" s="16"/>
      <c r="E3876" s="27"/>
      <c r="F3876" t="s">
        <v>26</v>
      </c>
      <c r="G3876" s="28">
        <f>IFERROR(VLOOKUP(F3876,CARTON_LOOKUP!$A:$E,3,0),"")</f>
      </c>
      <c r="H3876" s="28">
        <f>IFERROR(VLOOKUP(F3876,CARTON_LOOKUP!$A:$E,4,0),"")</f>
      </c>
      <c r="I3876" s="28">
        <f>IFERROR(VLOOKUP(F3876,CARTON_LOOKUP!$A:$E,5,0),"")</f>
      </c>
      <c r="J3876" s="29">
        <f>IFERROR(VLOOKUP(F3876,CARTON_LOOKUP!$A:$E,2,0),"")</f>
      </c>
      <c r="K3876" s="29">
        <f>IFERROR(J3876*D3876,0)</f>
      </c>
      <c r="L3876" s="29">
        <f>IFERROR(E3876*C3876,0)</f>
      </c>
      <c r="M3876" s="29">
        <f>IFERROR((G3876*H3876*I3876/1000000)*D3876,0)</f>
      </c>
    </row>
    <row r="3877" spans="1:13" x14ac:dyDescent="0.25">
      <c r="A3877" s="16"/>
      <c r="E3877" s="27"/>
      <c r="F3877" t="s">
        <v>26</v>
      </c>
      <c r="G3877" s="28">
        <f>IFERROR(VLOOKUP(F3877,CARTON_LOOKUP!$A:$E,3,0),"")</f>
      </c>
      <c r="H3877" s="28">
        <f>IFERROR(VLOOKUP(F3877,CARTON_LOOKUP!$A:$E,4,0),"")</f>
      </c>
      <c r="I3877" s="28">
        <f>IFERROR(VLOOKUP(F3877,CARTON_LOOKUP!$A:$E,5,0),"")</f>
      </c>
      <c r="J3877" s="29">
        <f>IFERROR(VLOOKUP(F3877,CARTON_LOOKUP!$A:$E,2,0),"")</f>
      </c>
      <c r="K3877" s="29">
        <f>IFERROR(J3877*D3877,0)</f>
      </c>
      <c r="L3877" s="29">
        <f>IFERROR(E3877*C3877,0)</f>
      </c>
      <c r="M3877" s="29">
        <f>IFERROR((G3877*H3877*I3877/1000000)*D3877,0)</f>
      </c>
    </row>
    <row r="3878" spans="1:13" x14ac:dyDescent="0.25">
      <c r="A3878" s="16"/>
      <c r="E3878" s="27"/>
      <c r="F3878" t="s">
        <v>26</v>
      </c>
      <c r="G3878" s="28">
        <f>IFERROR(VLOOKUP(F3878,CARTON_LOOKUP!$A:$E,3,0),"")</f>
      </c>
      <c r="H3878" s="28">
        <f>IFERROR(VLOOKUP(F3878,CARTON_LOOKUP!$A:$E,4,0),"")</f>
      </c>
      <c r="I3878" s="28">
        <f>IFERROR(VLOOKUP(F3878,CARTON_LOOKUP!$A:$E,5,0),"")</f>
      </c>
      <c r="J3878" s="29">
        <f>IFERROR(VLOOKUP(F3878,CARTON_LOOKUP!$A:$E,2,0),"")</f>
      </c>
      <c r="K3878" s="29">
        <f>IFERROR(J3878*D3878,0)</f>
      </c>
      <c r="L3878" s="29">
        <f>IFERROR(E3878*C3878,0)</f>
      </c>
      <c r="M3878" s="29">
        <f>IFERROR((G3878*H3878*I3878/1000000)*D3878,0)</f>
      </c>
    </row>
    <row r="3879" spans="1:13" x14ac:dyDescent="0.25">
      <c r="A3879" s="16"/>
      <c r="E3879" s="27"/>
      <c r="F3879" t="s">
        <v>26</v>
      </c>
      <c r="G3879" s="28">
        <f>IFERROR(VLOOKUP(F3879,CARTON_LOOKUP!$A:$E,3,0),"")</f>
      </c>
      <c r="H3879" s="28">
        <f>IFERROR(VLOOKUP(F3879,CARTON_LOOKUP!$A:$E,4,0),"")</f>
      </c>
      <c r="I3879" s="28">
        <f>IFERROR(VLOOKUP(F3879,CARTON_LOOKUP!$A:$E,5,0),"")</f>
      </c>
      <c r="J3879" s="29">
        <f>IFERROR(VLOOKUP(F3879,CARTON_LOOKUP!$A:$E,2,0),"")</f>
      </c>
      <c r="K3879" s="29">
        <f>IFERROR(J3879*D3879,0)</f>
      </c>
      <c r="L3879" s="29">
        <f>IFERROR(E3879*C3879,0)</f>
      </c>
      <c r="M3879" s="29">
        <f>IFERROR((G3879*H3879*I3879/1000000)*D3879,0)</f>
      </c>
    </row>
    <row r="3880" spans="1:13" x14ac:dyDescent="0.25">
      <c r="A3880" s="16"/>
      <c r="E3880" s="27"/>
      <c r="F3880" t="s">
        <v>26</v>
      </c>
      <c r="G3880" s="28">
        <f>IFERROR(VLOOKUP(F3880,CARTON_LOOKUP!$A:$E,3,0),"")</f>
      </c>
      <c r="H3880" s="28">
        <f>IFERROR(VLOOKUP(F3880,CARTON_LOOKUP!$A:$E,4,0),"")</f>
      </c>
      <c r="I3880" s="28">
        <f>IFERROR(VLOOKUP(F3880,CARTON_LOOKUP!$A:$E,5,0),"")</f>
      </c>
      <c r="J3880" s="29">
        <f>IFERROR(VLOOKUP(F3880,CARTON_LOOKUP!$A:$E,2,0),"")</f>
      </c>
      <c r="K3880" s="29">
        <f>IFERROR(J3880*D3880,0)</f>
      </c>
      <c r="L3880" s="29">
        <f>IFERROR(E3880*C3880,0)</f>
      </c>
      <c r="M3880" s="29">
        <f>IFERROR((G3880*H3880*I3880/1000000)*D3880,0)</f>
      </c>
    </row>
    <row r="3881" spans="1:13" x14ac:dyDescent="0.25">
      <c r="A3881" s="16"/>
      <c r="E3881" s="27"/>
      <c r="F3881" t="s">
        <v>26</v>
      </c>
      <c r="G3881" s="28">
        <f>IFERROR(VLOOKUP(F3881,CARTON_LOOKUP!$A:$E,3,0),"")</f>
      </c>
      <c r="H3881" s="28">
        <f>IFERROR(VLOOKUP(F3881,CARTON_LOOKUP!$A:$E,4,0),"")</f>
      </c>
      <c r="I3881" s="28">
        <f>IFERROR(VLOOKUP(F3881,CARTON_LOOKUP!$A:$E,5,0),"")</f>
      </c>
      <c r="J3881" s="29">
        <f>IFERROR(VLOOKUP(F3881,CARTON_LOOKUP!$A:$E,2,0),"")</f>
      </c>
      <c r="K3881" s="29">
        <f>IFERROR(J3881*D3881,0)</f>
      </c>
      <c r="L3881" s="29">
        <f>IFERROR(E3881*C3881,0)</f>
      </c>
      <c r="M3881" s="29">
        <f>IFERROR((G3881*H3881*I3881/1000000)*D3881,0)</f>
      </c>
    </row>
    <row r="3882" spans="1:13" x14ac:dyDescent="0.25">
      <c r="A3882" s="16"/>
      <c r="E3882" s="27"/>
      <c r="F3882" t="s">
        <v>26</v>
      </c>
      <c r="G3882" s="28">
        <f>IFERROR(VLOOKUP(F3882,CARTON_LOOKUP!$A:$E,3,0),"")</f>
      </c>
      <c r="H3882" s="28">
        <f>IFERROR(VLOOKUP(F3882,CARTON_LOOKUP!$A:$E,4,0),"")</f>
      </c>
      <c r="I3882" s="28">
        <f>IFERROR(VLOOKUP(F3882,CARTON_LOOKUP!$A:$E,5,0),"")</f>
      </c>
      <c r="J3882" s="29">
        <f>IFERROR(VLOOKUP(F3882,CARTON_LOOKUP!$A:$E,2,0),"")</f>
      </c>
      <c r="K3882" s="29">
        <f>IFERROR(J3882*D3882,0)</f>
      </c>
      <c r="L3882" s="29">
        <f>IFERROR(E3882*C3882,0)</f>
      </c>
      <c r="M3882" s="29">
        <f>IFERROR((G3882*H3882*I3882/1000000)*D3882,0)</f>
      </c>
    </row>
    <row r="3883" spans="1:13" x14ac:dyDescent="0.25">
      <c r="A3883" s="16"/>
      <c r="E3883" s="27"/>
      <c r="F3883" t="s">
        <v>26</v>
      </c>
      <c r="G3883" s="28">
        <f>IFERROR(VLOOKUP(F3883,CARTON_LOOKUP!$A:$E,3,0),"")</f>
      </c>
      <c r="H3883" s="28">
        <f>IFERROR(VLOOKUP(F3883,CARTON_LOOKUP!$A:$E,4,0),"")</f>
      </c>
      <c r="I3883" s="28">
        <f>IFERROR(VLOOKUP(F3883,CARTON_LOOKUP!$A:$E,5,0),"")</f>
      </c>
      <c r="J3883" s="29">
        <f>IFERROR(VLOOKUP(F3883,CARTON_LOOKUP!$A:$E,2,0),"")</f>
      </c>
      <c r="K3883" s="29">
        <f>IFERROR(J3883*D3883,0)</f>
      </c>
      <c r="L3883" s="29">
        <f>IFERROR(E3883*C3883,0)</f>
      </c>
      <c r="M3883" s="29">
        <f>IFERROR((G3883*H3883*I3883/1000000)*D3883,0)</f>
      </c>
    </row>
    <row r="3884" spans="1:13" x14ac:dyDescent="0.25">
      <c r="A3884" s="16"/>
      <c r="E3884" s="27"/>
      <c r="F3884" t="s">
        <v>26</v>
      </c>
      <c r="G3884" s="28">
        <f>IFERROR(VLOOKUP(F3884,CARTON_LOOKUP!$A:$E,3,0),"")</f>
      </c>
      <c r="H3884" s="28">
        <f>IFERROR(VLOOKUP(F3884,CARTON_LOOKUP!$A:$E,4,0),"")</f>
      </c>
      <c r="I3884" s="28">
        <f>IFERROR(VLOOKUP(F3884,CARTON_LOOKUP!$A:$E,5,0),"")</f>
      </c>
      <c r="J3884" s="29">
        <f>IFERROR(VLOOKUP(F3884,CARTON_LOOKUP!$A:$E,2,0),"")</f>
      </c>
      <c r="K3884" s="29">
        <f>IFERROR(J3884*D3884,0)</f>
      </c>
      <c r="L3884" s="29">
        <f>IFERROR(E3884*C3884,0)</f>
      </c>
      <c r="M3884" s="29">
        <f>IFERROR((G3884*H3884*I3884/1000000)*D3884,0)</f>
      </c>
    </row>
    <row r="3885" spans="1:13" x14ac:dyDescent="0.25">
      <c r="A3885" s="16"/>
      <c r="E3885" s="27"/>
      <c r="F3885" t="s">
        <v>26</v>
      </c>
      <c r="G3885" s="28">
        <f>IFERROR(VLOOKUP(F3885,CARTON_LOOKUP!$A:$E,3,0),"")</f>
      </c>
      <c r="H3885" s="28">
        <f>IFERROR(VLOOKUP(F3885,CARTON_LOOKUP!$A:$E,4,0),"")</f>
      </c>
      <c r="I3885" s="28">
        <f>IFERROR(VLOOKUP(F3885,CARTON_LOOKUP!$A:$E,5,0),"")</f>
      </c>
      <c r="J3885" s="29">
        <f>IFERROR(VLOOKUP(F3885,CARTON_LOOKUP!$A:$E,2,0),"")</f>
      </c>
      <c r="K3885" s="29">
        <f>IFERROR(J3885*D3885,0)</f>
      </c>
      <c r="L3885" s="29">
        <f>IFERROR(E3885*C3885,0)</f>
      </c>
      <c r="M3885" s="29">
        <f>IFERROR((G3885*H3885*I3885/1000000)*D3885,0)</f>
      </c>
    </row>
    <row r="3886" spans="1:13" x14ac:dyDescent="0.25">
      <c r="A3886" s="16"/>
      <c r="E3886" s="27"/>
      <c r="F3886" t="s">
        <v>26</v>
      </c>
      <c r="G3886" s="28">
        <f>IFERROR(VLOOKUP(F3886,CARTON_LOOKUP!$A:$E,3,0),"")</f>
      </c>
      <c r="H3886" s="28">
        <f>IFERROR(VLOOKUP(F3886,CARTON_LOOKUP!$A:$E,4,0),"")</f>
      </c>
      <c r="I3886" s="28">
        <f>IFERROR(VLOOKUP(F3886,CARTON_LOOKUP!$A:$E,5,0),"")</f>
      </c>
      <c r="J3886" s="29">
        <f>IFERROR(VLOOKUP(F3886,CARTON_LOOKUP!$A:$E,2,0),"")</f>
      </c>
      <c r="K3886" s="29">
        <f>IFERROR(J3886*D3886,0)</f>
      </c>
      <c r="L3886" s="29">
        <f>IFERROR(E3886*C3886,0)</f>
      </c>
      <c r="M3886" s="29">
        <f>IFERROR((G3886*H3886*I3886/1000000)*D3886,0)</f>
      </c>
    </row>
    <row r="3887" spans="1:13" x14ac:dyDescent="0.25">
      <c r="A3887" s="16"/>
      <c r="E3887" s="27"/>
      <c r="F3887" t="s">
        <v>26</v>
      </c>
      <c r="G3887" s="28">
        <f>IFERROR(VLOOKUP(F3887,CARTON_LOOKUP!$A:$E,3,0),"")</f>
      </c>
      <c r="H3887" s="28">
        <f>IFERROR(VLOOKUP(F3887,CARTON_LOOKUP!$A:$E,4,0),"")</f>
      </c>
      <c r="I3887" s="28">
        <f>IFERROR(VLOOKUP(F3887,CARTON_LOOKUP!$A:$E,5,0),"")</f>
      </c>
      <c r="J3887" s="29">
        <f>IFERROR(VLOOKUP(F3887,CARTON_LOOKUP!$A:$E,2,0),"")</f>
      </c>
      <c r="K3887" s="29">
        <f>IFERROR(J3887*D3887,0)</f>
      </c>
      <c r="L3887" s="29">
        <f>IFERROR(E3887*C3887,0)</f>
      </c>
      <c r="M3887" s="29">
        <f>IFERROR((G3887*H3887*I3887/1000000)*D3887,0)</f>
      </c>
    </row>
    <row r="3888" spans="1:13" x14ac:dyDescent="0.25">
      <c r="A3888" s="16"/>
      <c r="E3888" s="27"/>
      <c r="F3888" t="s">
        <v>26</v>
      </c>
      <c r="G3888" s="28">
        <f>IFERROR(VLOOKUP(F3888,CARTON_LOOKUP!$A:$E,3,0),"")</f>
      </c>
      <c r="H3888" s="28">
        <f>IFERROR(VLOOKUP(F3888,CARTON_LOOKUP!$A:$E,4,0),"")</f>
      </c>
      <c r="I3888" s="28">
        <f>IFERROR(VLOOKUP(F3888,CARTON_LOOKUP!$A:$E,5,0),"")</f>
      </c>
      <c r="J3888" s="29">
        <f>IFERROR(VLOOKUP(F3888,CARTON_LOOKUP!$A:$E,2,0),"")</f>
      </c>
      <c r="K3888" s="29">
        <f>IFERROR(J3888*D3888,0)</f>
      </c>
      <c r="L3888" s="29">
        <f>IFERROR(E3888*C3888,0)</f>
      </c>
      <c r="M3888" s="29">
        <f>IFERROR((G3888*H3888*I3888/1000000)*D3888,0)</f>
      </c>
    </row>
    <row r="3889" spans="1:13" x14ac:dyDescent="0.25">
      <c r="A3889" s="16"/>
      <c r="E3889" s="27"/>
      <c r="F3889" t="s">
        <v>26</v>
      </c>
      <c r="G3889" s="28">
        <f>IFERROR(VLOOKUP(F3889,CARTON_LOOKUP!$A:$E,3,0),"")</f>
      </c>
      <c r="H3889" s="28">
        <f>IFERROR(VLOOKUP(F3889,CARTON_LOOKUP!$A:$E,4,0),"")</f>
      </c>
      <c r="I3889" s="28">
        <f>IFERROR(VLOOKUP(F3889,CARTON_LOOKUP!$A:$E,5,0),"")</f>
      </c>
      <c r="J3889" s="29">
        <f>IFERROR(VLOOKUP(F3889,CARTON_LOOKUP!$A:$E,2,0),"")</f>
      </c>
      <c r="K3889" s="29">
        <f>IFERROR(J3889*D3889,0)</f>
      </c>
      <c r="L3889" s="29">
        <f>IFERROR(E3889*C3889,0)</f>
      </c>
      <c r="M3889" s="29">
        <f>IFERROR((G3889*H3889*I3889/1000000)*D3889,0)</f>
      </c>
    </row>
    <row r="3890" spans="1:13" x14ac:dyDescent="0.25">
      <c r="A3890" s="16"/>
      <c r="E3890" s="27"/>
      <c r="F3890" t="s">
        <v>26</v>
      </c>
      <c r="G3890" s="28">
        <f>IFERROR(VLOOKUP(F3890,CARTON_LOOKUP!$A:$E,3,0),"")</f>
      </c>
      <c r="H3890" s="28">
        <f>IFERROR(VLOOKUP(F3890,CARTON_LOOKUP!$A:$E,4,0),"")</f>
      </c>
      <c r="I3890" s="28">
        <f>IFERROR(VLOOKUP(F3890,CARTON_LOOKUP!$A:$E,5,0),"")</f>
      </c>
      <c r="J3890" s="29">
        <f>IFERROR(VLOOKUP(F3890,CARTON_LOOKUP!$A:$E,2,0),"")</f>
      </c>
      <c r="K3890" s="29">
        <f>IFERROR(J3890*D3890,0)</f>
      </c>
      <c r="L3890" s="29">
        <f>IFERROR(E3890*C3890,0)</f>
      </c>
      <c r="M3890" s="29">
        <f>IFERROR((G3890*H3890*I3890/1000000)*D3890,0)</f>
      </c>
    </row>
    <row r="3891" spans="1:13" x14ac:dyDescent="0.25">
      <c r="A3891" s="16"/>
      <c r="E3891" s="27"/>
      <c r="F3891" t="s">
        <v>26</v>
      </c>
      <c r="G3891" s="28">
        <f>IFERROR(VLOOKUP(F3891,CARTON_LOOKUP!$A:$E,3,0),"")</f>
      </c>
      <c r="H3891" s="28">
        <f>IFERROR(VLOOKUP(F3891,CARTON_LOOKUP!$A:$E,4,0),"")</f>
      </c>
      <c r="I3891" s="28">
        <f>IFERROR(VLOOKUP(F3891,CARTON_LOOKUP!$A:$E,5,0),"")</f>
      </c>
      <c r="J3891" s="29">
        <f>IFERROR(VLOOKUP(F3891,CARTON_LOOKUP!$A:$E,2,0),"")</f>
      </c>
      <c r="K3891" s="29">
        <f>IFERROR(J3891*D3891,0)</f>
      </c>
      <c r="L3891" s="29">
        <f>IFERROR(E3891*C3891,0)</f>
      </c>
      <c r="M3891" s="29">
        <f>IFERROR((G3891*H3891*I3891/1000000)*D3891,0)</f>
      </c>
    </row>
    <row r="3892" spans="1:13" x14ac:dyDescent="0.25">
      <c r="A3892" s="16"/>
      <c r="E3892" s="27"/>
      <c r="F3892" t="s">
        <v>26</v>
      </c>
      <c r="G3892" s="28">
        <f>IFERROR(VLOOKUP(F3892,CARTON_LOOKUP!$A:$E,3,0),"")</f>
      </c>
      <c r="H3892" s="28">
        <f>IFERROR(VLOOKUP(F3892,CARTON_LOOKUP!$A:$E,4,0),"")</f>
      </c>
      <c r="I3892" s="28">
        <f>IFERROR(VLOOKUP(F3892,CARTON_LOOKUP!$A:$E,5,0),"")</f>
      </c>
      <c r="J3892" s="29">
        <f>IFERROR(VLOOKUP(F3892,CARTON_LOOKUP!$A:$E,2,0),"")</f>
      </c>
      <c r="K3892" s="29">
        <f>IFERROR(J3892*D3892,0)</f>
      </c>
      <c r="L3892" s="29">
        <f>IFERROR(E3892*C3892,0)</f>
      </c>
      <c r="M3892" s="29">
        <f>IFERROR((G3892*H3892*I3892/1000000)*D3892,0)</f>
      </c>
    </row>
    <row r="3893" spans="1:13" x14ac:dyDescent="0.25">
      <c r="A3893" s="16"/>
      <c r="E3893" s="27"/>
      <c r="F3893" t="s">
        <v>26</v>
      </c>
      <c r="G3893" s="28">
        <f>IFERROR(VLOOKUP(F3893,CARTON_LOOKUP!$A:$E,3,0),"")</f>
      </c>
      <c r="H3893" s="28">
        <f>IFERROR(VLOOKUP(F3893,CARTON_LOOKUP!$A:$E,4,0),"")</f>
      </c>
      <c r="I3893" s="28">
        <f>IFERROR(VLOOKUP(F3893,CARTON_LOOKUP!$A:$E,5,0),"")</f>
      </c>
      <c r="J3893" s="29">
        <f>IFERROR(VLOOKUP(F3893,CARTON_LOOKUP!$A:$E,2,0),"")</f>
      </c>
      <c r="K3893" s="29">
        <f>IFERROR(J3893*D3893,0)</f>
      </c>
      <c r="L3893" s="29">
        <f>IFERROR(E3893*C3893,0)</f>
      </c>
      <c r="M3893" s="29">
        <f>IFERROR((G3893*H3893*I3893/1000000)*D3893,0)</f>
      </c>
    </row>
    <row r="3894" spans="1:13" x14ac:dyDescent="0.25">
      <c r="A3894" s="16"/>
      <c r="E3894" s="27"/>
      <c r="F3894" t="s">
        <v>26</v>
      </c>
      <c r="G3894" s="28">
        <f>IFERROR(VLOOKUP(F3894,CARTON_LOOKUP!$A:$E,3,0),"")</f>
      </c>
      <c r="H3894" s="28">
        <f>IFERROR(VLOOKUP(F3894,CARTON_LOOKUP!$A:$E,4,0),"")</f>
      </c>
      <c r="I3894" s="28">
        <f>IFERROR(VLOOKUP(F3894,CARTON_LOOKUP!$A:$E,5,0),"")</f>
      </c>
      <c r="J3894" s="29">
        <f>IFERROR(VLOOKUP(F3894,CARTON_LOOKUP!$A:$E,2,0),"")</f>
      </c>
      <c r="K3894" s="29">
        <f>IFERROR(J3894*D3894,0)</f>
      </c>
      <c r="L3894" s="29">
        <f>IFERROR(E3894*C3894,0)</f>
      </c>
      <c r="M3894" s="29">
        <f>IFERROR((G3894*H3894*I3894/1000000)*D3894,0)</f>
      </c>
    </row>
    <row r="3895" spans="1:13" x14ac:dyDescent="0.25">
      <c r="A3895" s="16"/>
      <c r="E3895" s="27"/>
      <c r="F3895" t="s">
        <v>26</v>
      </c>
      <c r="G3895" s="28">
        <f>IFERROR(VLOOKUP(F3895,CARTON_LOOKUP!$A:$E,3,0),"")</f>
      </c>
      <c r="H3895" s="28">
        <f>IFERROR(VLOOKUP(F3895,CARTON_LOOKUP!$A:$E,4,0),"")</f>
      </c>
      <c r="I3895" s="28">
        <f>IFERROR(VLOOKUP(F3895,CARTON_LOOKUP!$A:$E,5,0),"")</f>
      </c>
      <c r="J3895" s="29">
        <f>IFERROR(VLOOKUP(F3895,CARTON_LOOKUP!$A:$E,2,0),"")</f>
      </c>
      <c r="K3895" s="29">
        <f>IFERROR(J3895*D3895,0)</f>
      </c>
      <c r="L3895" s="29">
        <f>IFERROR(E3895*C3895,0)</f>
      </c>
      <c r="M3895" s="29">
        <f>IFERROR((G3895*H3895*I3895/1000000)*D3895,0)</f>
      </c>
    </row>
    <row r="3896" spans="1:13" x14ac:dyDescent="0.25">
      <c r="A3896" s="16"/>
      <c r="E3896" s="27"/>
      <c r="F3896" t="s">
        <v>26</v>
      </c>
      <c r="G3896" s="28">
        <f>IFERROR(VLOOKUP(F3896,CARTON_LOOKUP!$A:$E,3,0),"")</f>
      </c>
      <c r="H3896" s="28">
        <f>IFERROR(VLOOKUP(F3896,CARTON_LOOKUP!$A:$E,4,0),"")</f>
      </c>
      <c r="I3896" s="28">
        <f>IFERROR(VLOOKUP(F3896,CARTON_LOOKUP!$A:$E,5,0),"")</f>
      </c>
      <c r="J3896" s="29">
        <f>IFERROR(VLOOKUP(F3896,CARTON_LOOKUP!$A:$E,2,0),"")</f>
      </c>
      <c r="K3896" s="29">
        <f>IFERROR(J3896*D3896,0)</f>
      </c>
      <c r="L3896" s="29">
        <f>IFERROR(E3896*C3896,0)</f>
      </c>
      <c r="M3896" s="29">
        <f>IFERROR((G3896*H3896*I3896/1000000)*D3896,0)</f>
      </c>
    </row>
    <row r="3897" spans="1:13" x14ac:dyDescent="0.25">
      <c r="A3897" s="16"/>
      <c r="E3897" s="27"/>
      <c r="F3897" t="s">
        <v>26</v>
      </c>
      <c r="G3897" s="28">
        <f>IFERROR(VLOOKUP(F3897,CARTON_LOOKUP!$A:$E,3,0),"")</f>
      </c>
      <c r="H3897" s="28">
        <f>IFERROR(VLOOKUP(F3897,CARTON_LOOKUP!$A:$E,4,0),"")</f>
      </c>
      <c r="I3897" s="28">
        <f>IFERROR(VLOOKUP(F3897,CARTON_LOOKUP!$A:$E,5,0),"")</f>
      </c>
      <c r="J3897" s="29">
        <f>IFERROR(VLOOKUP(F3897,CARTON_LOOKUP!$A:$E,2,0),"")</f>
      </c>
      <c r="K3897" s="29">
        <f>IFERROR(J3897*D3897,0)</f>
      </c>
      <c r="L3897" s="29">
        <f>IFERROR(E3897*C3897,0)</f>
      </c>
      <c r="M3897" s="29">
        <f>IFERROR((G3897*H3897*I3897/1000000)*D3897,0)</f>
      </c>
    </row>
    <row r="3898" spans="1:13" x14ac:dyDescent="0.25">
      <c r="A3898" s="16"/>
      <c r="E3898" s="27"/>
      <c r="F3898" t="s">
        <v>26</v>
      </c>
      <c r="G3898" s="28">
        <f>IFERROR(VLOOKUP(F3898,CARTON_LOOKUP!$A:$E,3,0),"")</f>
      </c>
      <c r="H3898" s="28">
        <f>IFERROR(VLOOKUP(F3898,CARTON_LOOKUP!$A:$E,4,0),"")</f>
      </c>
      <c r="I3898" s="28">
        <f>IFERROR(VLOOKUP(F3898,CARTON_LOOKUP!$A:$E,5,0),"")</f>
      </c>
      <c r="J3898" s="29">
        <f>IFERROR(VLOOKUP(F3898,CARTON_LOOKUP!$A:$E,2,0),"")</f>
      </c>
      <c r="K3898" s="29">
        <f>IFERROR(J3898*D3898,0)</f>
      </c>
      <c r="L3898" s="29">
        <f>IFERROR(E3898*C3898,0)</f>
      </c>
      <c r="M3898" s="29">
        <f>IFERROR((G3898*H3898*I3898/1000000)*D3898,0)</f>
      </c>
    </row>
    <row r="3899" spans="1:13" x14ac:dyDescent="0.25">
      <c r="A3899" s="16"/>
      <c r="E3899" s="27"/>
      <c r="F3899" t="s">
        <v>26</v>
      </c>
      <c r="G3899" s="28">
        <f>IFERROR(VLOOKUP(F3899,CARTON_LOOKUP!$A:$E,3,0),"")</f>
      </c>
      <c r="H3899" s="28">
        <f>IFERROR(VLOOKUP(F3899,CARTON_LOOKUP!$A:$E,4,0),"")</f>
      </c>
      <c r="I3899" s="28">
        <f>IFERROR(VLOOKUP(F3899,CARTON_LOOKUP!$A:$E,5,0),"")</f>
      </c>
      <c r="J3899" s="29">
        <f>IFERROR(VLOOKUP(F3899,CARTON_LOOKUP!$A:$E,2,0),"")</f>
      </c>
      <c r="K3899" s="29">
        <f>IFERROR(J3899*D3899,0)</f>
      </c>
      <c r="L3899" s="29">
        <f>IFERROR(E3899*C3899,0)</f>
      </c>
      <c r="M3899" s="29">
        <f>IFERROR((G3899*H3899*I3899/1000000)*D3899,0)</f>
      </c>
    </row>
    <row r="3900" spans="1:13" x14ac:dyDescent="0.25">
      <c r="A3900" s="16"/>
      <c r="E3900" s="27"/>
      <c r="F3900" t="s">
        <v>26</v>
      </c>
      <c r="G3900" s="28">
        <f>IFERROR(VLOOKUP(F3900,CARTON_LOOKUP!$A:$E,3,0),"")</f>
      </c>
      <c r="H3900" s="28">
        <f>IFERROR(VLOOKUP(F3900,CARTON_LOOKUP!$A:$E,4,0),"")</f>
      </c>
      <c r="I3900" s="28">
        <f>IFERROR(VLOOKUP(F3900,CARTON_LOOKUP!$A:$E,5,0),"")</f>
      </c>
      <c r="J3900" s="29">
        <f>IFERROR(VLOOKUP(F3900,CARTON_LOOKUP!$A:$E,2,0),"")</f>
      </c>
      <c r="K3900" s="29">
        <f>IFERROR(J3900*D3900,0)</f>
      </c>
      <c r="L3900" s="29">
        <f>IFERROR(E3900*C3900,0)</f>
      </c>
      <c r="M3900" s="29">
        <f>IFERROR((G3900*H3900*I3900/1000000)*D3900,0)</f>
      </c>
    </row>
    <row r="3901" spans="1:13" x14ac:dyDescent="0.25">
      <c r="A3901" s="16"/>
      <c r="E3901" s="27"/>
      <c r="F3901" t="s">
        <v>26</v>
      </c>
      <c r="G3901" s="28">
        <f>IFERROR(VLOOKUP(F3901,CARTON_LOOKUP!$A:$E,3,0),"")</f>
      </c>
      <c r="H3901" s="28">
        <f>IFERROR(VLOOKUP(F3901,CARTON_LOOKUP!$A:$E,4,0),"")</f>
      </c>
      <c r="I3901" s="28">
        <f>IFERROR(VLOOKUP(F3901,CARTON_LOOKUP!$A:$E,5,0),"")</f>
      </c>
      <c r="J3901" s="29">
        <f>IFERROR(VLOOKUP(F3901,CARTON_LOOKUP!$A:$E,2,0),"")</f>
      </c>
      <c r="K3901" s="29">
        <f>IFERROR(J3901*D3901,0)</f>
      </c>
      <c r="L3901" s="29">
        <f>IFERROR(E3901*C3901,0)</f>
      </c>
      <c r="M3901" s="29">
        <f>IFERROR((G3901*H3901*I3901/1000000)*D3901,0)</f>
      </c>
    </row>
    <row r="3902" spans="1:13" x14ac:dyDescent="0.25">
      <c r="A3902" s="16"/>
      <c r="E3902" s="27"/>
      <c r="F3902" t="s">
        <v>26</v>
      </c>
      <c r="G3902" s="28">
        <f>IFERROR(VLOOKUP(F3902,CARTON_LOOKUP!$A:$E,3,0),"")</f>
      </c>
      <c r="H3902" s="28">
        <f>IFERROR(VLOOKUP(F3902,CARTON_LOOKUP!$A:$E,4,0),"")</f>
      </c>
      <c r="I3902" s="28">
        <f>IFERROR(VLOOKUP(F3902,CARTON_LOOKUP!$A:$E,5,0),"")</f>
      </c>
      <c r="J3902" s="29">
        <f>IFERROR(VLOOKUP(F3902,CARTON_LOOKUP!$A:$E,2,0),"")</f>
      </c>
      <c r="K3902" s="29">
        <f>IFERROR(J3902*D3902,0)</f>
      </c>
      <c r="L3902" s="29">
        <f>IFERROR(E3902*C3902,0)</f>
      </c>
      <c r="M3902" s="29">
        <f>IFERROR((G3902*H3902*I3902/1000000)*D3902,0)</f>
      </c>
    </row>
    <row r="3903" spans="1:13" x14ac:dyDescent="0.25">
      <c r="A3903" s="16"/>
      <c r="E3903" s="27"/>
      <c r="F3903" t="s">
        <v>26</v>
      </c>
      <c r="G3903" s="28">
        <f>IFERROR(VLOOKUP(F3903,CARTON_LOOKUP!$A:$E,3,0),"")</f>
      </c>
      <c r="H3903" s="28">
        <f>IFERROR(VLOOKUP(F3903,CARTON_LOOKUP!$A:$E,4,0),"")</f>
      </c>
      <c r="I3903" s="28">
        <f>IFERROR(VLOOKUP(F3903,CARTON_LOOKUP!$A:$E,5,0),"")</f>
      </c>
      <c r="J3903" s="29">
        <f>IFERROR(VLOOKUP(F3903,CARTON_LOOKUP!$A:$E,2,0),"")</f>
      </c>
      <c r="K3903" s="29">
        <f>IFERROR(J3903*D3903,0)</f>
      </c>
      <c r="L3903" s="29">
        <f>IFERROR(E3903*C3903,0)</f>
      </c>
      <c r="M3903" s="29">
        <f>IFERROR((G3903*H3903*I3903/1000000)*D3903,0)</f>
      </c>
    </row>
    <row r="3904" spans="1:13" x14ac:dyDescent="0.25">
      <c r="A3904" s="16"/>
      <c r="E3904" s="27"/>
      <c r="F3904" t="s">
        <v>26</v>
      </c>
      <c r="G3904" s="28">
        <f>IFERROR(VLOOKUP(F3904,CARTON_LOOKUP!$A:$E,3,0),"")</f>
      </c>
      <c r="H3904" s="28">
        <f>IFERROR(VLOOKUP(F3904,CARTON_LOOKUP!$A:$E,4,0),"")</f>
      </c>
      <c r="I3904" s="28">
        <f>IFERROR(VLOOKUP(F3904,CARTON_LOOKUP!$A:$E,5,0),"")</f>
      </c>
      <c r="J3904" s="29">
        <f>IFERROR(VLOOKUP(F3904,CARTON_LOOKUP!$A:$E,2,0),"")</f>
      </c>
      <c r="K3904" s="29">
        <f>IFERROR(J3904*D3904,0)</f>
      </c>
      <c r="L3904" s="29">
        <f>IFERROR(E3904*C3904,0)</f>
      </c>
      <c r="M3904" s="29">
        <f>IFERROR((G3904*H3904*I3904/1000000)*D3904,0)</f>
      </c>
    </row>
    <row r="3905" spans="1:13" x14ac:dyDescent="0.25">
      <c r="A3905" s="16"/>
      <c r="E3905" s="27"/>
      <c r="F3905" t="s">
        <v>26</v>
      </c>
      <c r="G3905" s="28">
        <f>IFERROR(VLOOKUP(F3905,CARTON_LOOKUP!$A:$E,3,0),"")</f>
      </c>
      <c r="H3905" s="28">
        <f>IFERROR(VLOOKUP(F3905,CARTON_LOOKUP!$A:$E,4,0),"")</f>
      </c>
      <c r="I3905" s="28">
        <f>IFERROR(VLOOKUP(F3905,CARTON_LOOKUP!$A:$E,5,0),"")</f>
      </c>
      <c r="J3905" s="29">
        <f>IFERROR(VLOOKUP(F3905,CARTON_LOOKUP!$A:$E,2,0),"")</f>
      </c>
      <c r="K3905" s="29">
        <f>IFERROR(J3905*D3905,0)</f>
      </c>
      <c r="L3905" s="29">
        <f>IFERROR(E3905*C3905,0)</f>
      </c>
      <c r="M3905" s="29">
        <f>IFERROR((G3905*H3905*I3905/1000000)*D3905,0)</f>
      </c>
    </row>
    <row r="3906" spans="1:13" x14ac:dyDescent="0.25">
      <c r="A3906" s="16"/>
      <c r="E3906" s="27"/>
      <c r="F3906" t="s">
        <v>26</v>
      </c>
      <c r="G3906" s="28">
        <f>IFERROR(VLOOKUP(F3906,CARTON_LOOKUP!$A:$E,3,0),"")</f>
      </c>
      <c r="H3906" s="28">
        <f>IFERROR(VLOOKUP(F3906,CARTON_LOOKUP!$A:$E,4,0),"")</f>
      </c>
      <c r="I3906" s="28">
        <f>IFERROR(VLOOKUP(F3906,CARTON_LOOKUP!$A:$E,5,0),"")</f>
      </c>
      <c r="J3906" s="29">
        <f>IFERROR(VLOOKUP(F3906,CARTON_LOOKUP!$A:$E,2,0),"")</f>
      </c>
      <c r="K3906" s="29">
        <f>IFERROR(J3906*D3906,0)</f>
      </c>
      <c r="L3906" s="29">
        <f>IFERROR(E3906*C3906,0)</f>
      </c>
      <c r="M3906" s="29">
        <f>IFERROR((G3906*H3906*I3906/1000000)*D3906,0)</f>
      </c>
    </row>
    <row r="3907" spans="1:13" x14ac:dyDescent="0.25">
      <c r="A3907" s="16"/>
      <c r="E3907" s="27"/>
      <c r="F3907" t="s">
        <v>26</v>
      </c>
      <c r="G3907" s="28">
        <f>IFERROR(VLOOKUP(F3907,CARTON_LOOKUP!$A:$E,3,0),"")</f>
      </c>
      <c r="H3907" s="28">
        <f>IFERROR(VLOOKUP(F3907,CARTON_LOOKUP!$A:$E,4,0),"")</f>
      </c>
      <c r="I3907" s="28">
        <f>IFERROR(VLOOKUP(F3907,CARTON_LOOKUP!$A:$E,5,0),"")</f>
      </c>
      <c r="J3907" s="29">
        <f>IFERROR(VLOOKUP(F3907,CARTON_LOOKUP!$A:$E,2,0),"")</f>
      </c>
      <c r="K3907" s="29">
        <f>IFERROR(J3907*D3907,0)</f>
      </c>
      <c r="L3907" s="29">
        <f>IFERROR(E3907*C3907,0)</f>
      </c>
      <c r="M3907" s="29">
        <f>IFERROR((G3907*H3907*I3907/1000000)*D3907,0)</f>
      </c>
    </row>
    <row r="3908" spans="1:13" x14ac:dyDescent="0.25">
      <c r="A3908" s="16"/>
      <c r="E3908" s="27"/>
      <c r="F3908" t="s">
        <v>26</v>
      </c>
      <c r="G3908" s="28">
        <f>IFERROR(VLOOKUP(F3908,CARTON_LOOKUP!$A:$E,3,0),"")</f>
      </c>
      <c r="H3908" s="28">
        <f>IFERROR(VLOOKUP(F3908,CARTON_LOOKUP!$A:$E,4,0),"")</f>
      </c>
      <c r="I3908" s="28">
        <f>IFERROR(VLOOKUP(F3908,CARTON_LOOKUP!$A:$E,5,0),"")</f>
      </c>
      <c r="J3908" s="29">
        <f>IFERROR(VLOOKUP(F3908,CARTON_LOOKUP!$A:$E,2,0),"")</f>
      </c>
      <c r="K3908" s="29">
        <f>IFERROR(J3908*D3908,0)</f>
      </c>
      <c r="L3908" s="29">
        <f>IFERROR(E3908*C3908,0)</f>
      </c>
      <c r="M3908" s="29">
        <f>IFERROR((G3908*H3908*I3908/1000000)*D3908,0)</f>
      </c>
    </row>
    <row r="3909" spans="1:13" x14ac:dyDescent="0.25">
      <c r="A3909" s="16"/>
      <c r="E3909" s="27"/>
      <c r="F3909" t="s">
        <v>26</v>
      </c>
      <c r="G3909" s="28">
        <f>IFERROR(VLOOKUP(F3909,CARTON_LOOKUP!$A:$E,3,0),"")</f>
      </c>
      <c r="H3909" s="28">
        <f>IFERROR(VLOOKUP(F3909,CARTON_LOOKUP!$A:$E,4,0),"")</f>
      </c>
      <c r="I3909" s="28">
        <f>IFERROR(VLOOKUP(F3909,CARTON_LOOKUP!$A:$E,5,0),"")</f>
      </c>
      <c r="J3909" s="29">
        <f>IFERROR(VLOOKUP(F3909,CARTON_LOOKUP!$A:$E,2,0),"")</f>
      </c>
      <c r="K3909" s="29">
        <f>IFERROR(J3909*D3909,0)</f>
      </c>
      <c r="L3909" s="29">
        <f>IFERROR(E3909*C3909,0)</f>
      </c>
      <c r="M3909" s="29">
        <f>IFERROR((G3909*H3909*I3909/1000000)*D3909,0)</f>
      </c>
    </row>
    <row r="3910" spans="1:13" x14ac:dyDescent="0.25">
      <c r="A3910" s="16"/>
      <c r="E3910" s="27"/>
      <c r="F3910" t="s">
        <v>26</v>
      </c>
      <c r="G3910" s="28">
        <f>IFERROR(VLOOKUP(F3910,CARTON_LOOKUP!$A:$E,3,0),"")</f>
      </c>
      <c r="H3910" s="28">
        <f>IFERROR(VLOOKUP(F3910,CARTON_LOOKUP!$A:$E,4,0),"")</f>
      </c>
      <c r="I3910" s="28">
        <f>IFERROR(VLOOKUP(F3910,CARTON_LOOKUP!$A:$E,5,0),"")</f>
      </c>
      <c r="J3910" s="29">
        <f>IFERROR(VLOOKUP(F3910,CARTON_LOOKUP!$A:$E,2,0),"")</f>
      </c>
      <c r="K3910" s="29">
        <f>IFERROR(J3910*D3910,0)</f>
      </c>
      <c r="L3910" s="29">
        <f>IFERROR(E3910*C3910,0)</f>
      </c>
      <c r="M3910" s="29">
        <f>IFERROR((G3910*H3910*I3910/1000000)*D3910,0)</f>
      </c>
    </row>
    <row r="3911" spans="1:13" x14ac:dyDescent="0.25">
      <c r="A3911" s="16"/>
      <c r="E3911" s="27"/>
      <c r="F3911" t="s">
        <v>26</v>
      </c>
      <c r="G3911" s="28">
        <f>IFERROR(VLOOKUP(F3911,CARTON_LOOKUP!$A:$E,3,0),"")</f>
      </c>
      <c r="H3911" s="28">
        <f>IFERROR(VLOOKUP(F3911,CARTON_LOOKUP!$A:$E,4,0),"")</f>
      </c>
      <c r="I3911" s="28">
        <f>IFERROR(VLOOKUP(F3911,CARTON_LOOKUP!$A:$E,5,0),"")</f>
      </c>
      <c r="J3911" s="29">
        <f>IFERROR(VLOOKUP(F3911,CARTON_LOOKUP!$A:$E,2,0),"")</f>
      </c>
      <c r="K3911" s="29">
        <f>IFERROR(J3911*D3911,0)</f>
      </c>
      <c r="L3911" s="29">
        <f>IFERROR(E3911*C3911,0)</f>
      </c>
      <c r="M3911" s="29">
        <f>IFERROR((G3911*H3911*I3911/1000000)*D3911,0)</f>
      </c>
    </row>
    <row r="3912" spans="1:13" x14ac:dyDescent="0.25">
      <c r="A3912" s="16"/>
      <c r="E3912" s="27"/>
      <c r="F3912" t="s">
        <v>26</v>
      </c>
      <c r="G3912" s="28">
        <f>IFERROR(VLOOKUP(F3912,CARTON_LOOKUP!$A:$E,3,0),"")</f>
      </c>
      <c r="H3912" s="28">
        <f>IFERROR(VLOOKUP(F3912,CARTON_LOOKUP!$A:$E,4,0),"")</f>
      </c>
      <c r="I3912" s="28">
        <f>IFERROR(VLOOKUP(F3912,CARTON_LOOKUP!$A:$E,5,0),"")</f>
      </c>
      <c r="J3912" s="29">
        <f>IFERROR(VLOOKUP(F3912,CARTON_LOOKUP!$A:$E,2,0),"")</f>
      </c>
      <c r="K3912" s="29">
        <f>IFERROR(J3912*D3912,0)</f>
      </c>
      <c r="L3912" s="29">
        <f>IFERROR(E3912*C3912,0)</f>
      </c>
      <c r="M3912" s="29">
        <f>IFERROR((G3912*H3912*I3912/1000000)*D3912,0)</f>
      </c>
    </row>
    <row r="3913" spans="1:13" x14ac:dyDescent="0.25">
      <c r="A3913" s="16"/>
      <c r="E3913" s="27"/>
      <c r="F3913" t="s">
        <v>26</v>
      </c>
      <c r="G3913" s="28">
        <f>IFERROR(VLOOKUP(F3913,CARTON_LOOKUP!$A:$E,3,0),"")</f>
      </c>
      <c r="H3913" s="28">
        <f>IFERROR(VLOOKUP(F3913,CARTON_LOOKUP!$A:$E,4,0),"")</f>
      </c>
      <c r="I3913" s="28">
        <f>IFERROR(VLOOKUP(F3913,CARTON_LOOKUP!$A:$E,5,0),"")</f>
      </c>
      <c r="J3913" s="29">
        <f>IFERROR(VLOOKUP(F3913,CARTON_LOOKUP!$A:$E,2,0),"")</f>
      </c>
      <c r="K3913" s="29">
        <f>IFERROR(J3913*D3913,0)</f>
      </c>
      <c r="L3913" s="29">
        <f>IFERROR(E3913*C3913,0)</f>
      </c>
      <c r="M3913" s="29">
        <f>IFERROR((G3913*H3913*I3913/1000000)*D3913,0)</f>
      </c>
    </row>
    <row r="3914" spans="1:13" x14ac:dyDescent="0.25">
      <c r="A3914" s="16"/>
      <c r="E3914" s="27"/>
      <c r="F3914" t="s">
        <v>26</v>
      </c>
      <c r="G3914" s="28">
        <f>IFERROR(VLOOKUP(F3914,CARTON_LOOKUP!$A:$E,3,0),"")</f>
      </c>
      <c r="H3914" s="28">
        <f>IFERROR(VLOOKUP(F3914,CARTON_LOOKUP!$A:$E,4,0),"")</f>
      </c>
      <c r="I3914" s="28">
        <f>IFERROR(VLOOKUP(F3914,CARTON_LOOKUP!$A:$E,5,0),"")</f>
      </c>
      <c r="J3914" s="29">
        <f>IFERROR(VLOOKUP(F3914,CARTON_LOOKUP!$A:$E,2,0),"")</f>
      </c>
      <c r="K3914" s="29">
        <f>IFERROR(J3914*D3914,0)</f>
      </c>
      <c r="L3914" s="29">
        <f>IFERROR(E3914*C3914,0)</f>
      </c>
      <c r="M3914" s="29">
        <f>IFERROR((G3914*H3914*I3914/1000000)*D3914,0)</f>
      </c>
    </row>
    <row r="3915" spans="1:13" x14ac:dyDescent="0.25">
      <c r="A3915" s="16"/>
      <c r="E3915" s="27"/>
      <c r="F3915" t="s">
        <v>26</v>
      </c>
      <c r="G3915" s="28">
        <f>IFERROR(VLOOKUP(F3915,CARTON_LOOKUP!$A:$E,3,0),"")</f>
      </c>
      <c r="H3915" s="28">
        <f>IFERROR(VLOOKUP(F3915,CARTON_LOOKUP!$A:$E,4,0),"")</f>
      </c>
      <c r="I3915" s="28">
        <f>IFERROR(VLOOKUP(F3915,CARTON_LOOKUP!$A:$E,5,0),"")</f>
      </c>
      <c r="J3915" s="29">
        <f>IFERROR(VLOOKUP(F3915,CARTON_LOOKUP!$A:$E,2,0),"")</f>
      </c>
      <c r="K3915" s="29">
        <f>IFERROR(J3915*D3915,0)</f>
      </c>
      <c r="L3915" s="29">
        <f>IFERROR(E3915*C3915,0)</f>
      </c>
      <c r="M3915" s="29">
        <f>IFERROR((G3915*H3915*I3915/1000000)*D3915,0)</f>
      </c>
    </row>
    <row r="3916" spans="1:13" x14ac:dyDescent="0.25">
      <c r="A3916" s="16"/>
      <c r="E3916" s="27"/>
      <c r="F3916" t="s">
        <v>26</v>
      </c>
      <c r="G3916" s="28">
        <f>IFERROR(VLOOKUP(F3916,CARTON_LOOKUP!$A:$E,3,0),"")</f>
      </c>
      <c r="H3916" s="28">
        <f>IFERROR(VLOOKUP(F3916,CARTON_LOOKUP!$A:$E,4,0),"")</f>
      </c>
      <c r="I3916" s="28">
        <f>IFERROR(VLOOKUP(F3916,CARTON_LOOKUP!$A:$E,5,0),"")</f>
      </c>
      <c r="J3916" s="29">
        <f>IFERROR(VLOOKUP(F3916,CARTON_LOOKUP!$A:$E,2,0),"")</f>
      </c>
      <c r="K3916" s="29">
        <f>IFERROR(J3916*D3916,0)</f>
      </c>
      <c r="L3916" s="29">
        <f>IFERROR(E3916*C3916,0)</f>
      </c>
      <c r="M3916" s="29">
        <f>IFERROR((G3916*H3916*I3916/1000000)*D3916,0)</f>
      </c>
    </row>
    <row r="3917" spans="1:13" x14ac:dyDescent="0.25">
      <c r="A3917" s="16"/>
      <c r="E3917" s="27"/>
      <c r="F3917" t="s">
        <v>26</v>
      </c>
      <c r="G3917" s="28">
        <f>IFERROR(VLOOKUP(F3917,CARTON_LOOKUP!$A:$E,3,0),"")</f>
      </c>
      <c r="H3917" s="28">
        <f>IFERROR(VLOOKUP(F3917,CARTON_LOOKUP!$A:$E,4,0),"")</f>
      </c>
      <c r="I3917" s="28">
        <f>IFERROR(VLOOKUP(F3917,CARTON_LOOKUP!$A:$E,5,0),"")</f>
      </c>
      <c r="J3917" s="29">
        <f>IFERROR(VLOOKUP(F3917,CARTON_LOOKUP!$A:$E,2,0),"")</f>
      </c>
      <c r="K3917" s="29">
        <f>IFERROR(J3917*D3917,0)</f>
      </c>
      <c r="L3917" s="29">
        <f>IFERROR(E3917*C3917,0)</f>
      </c>
      <c r="M3917" s="29">
        <f>IFERROR((G3917*H3917*I3917/1000000)*D3917,0)</f>
      </c>
    </row>
    <row r="3918" spans="1:13" x14ac:dyDescent="0.25">
      <c r="A3918" s="16"/>
      <c r="E3918" s="27"/>
      <c r="F3918" t="s">
        <v>26</v>
      </c>
      <c r="G3918" s="28">
        <f>IFERROR(VLOOKUP(F3918,CARTON_LOOKUP!$A:$E,3,0),"")</f>
      </c>
      <c r="H3918" s="28">
        <f>IFERROR(VLOOKUP(F3918,CARTON_LOOKUP!$A:$E,4,0),"")</f>
      </c>
      <c r="I3918" s="28">
        <f>IFERROR(VLOOKUP(F3918,CARTON_LOOKUP!$A:$E,5,0),"")</f>
      </c>
      <c r="J3918" s="29">
        <f>IFERROR(VLOOKUP(F3918,CARTON_LOOKUP!$A:$E,2,0),"")</f>
      </c>
      <c r="K3918" s="29">
        <f>IFERROR(J3918*D3918,0)</f>
      </c>
      <c r="L3918" s="29">
        <f>IFERROR(E3918*C3918,0)</f>
      </c>
      <c r="M3918" s="29">
        <f>IFERROR((G3918*H3918*I3918/1000000)*D3918,0)</f>
      </c>
    </row>
    <row r="3919" spans="1:13" x14ac:dyDescent="0.25">
      <c r="A3919" s="16"/>
      <c r="E3919" s="27"/>
      <c r="F3919" t="s">
        <v>26</v>
      </c>
      <c r="G3919" s="28">
        <f>IFERROR(VLOOKUP(F3919,CARTON_LOOKUP!$A:$E,3,0),"")</f>
      </c>
      <c r="H3919" s="28">
        <f>IFERROR(VLOOKUP(F3919,CARTON_LOOKUP!$A:$E,4,0),"")</f>
      </c>
      <c r="I3919" s="28">
        <f>IFERROR(VLOOKUP(F3919,CARTON_LOOKUP!$A:$E,5,0),"")</f>
      </c>
      <c r="J3919" s="29">
        <f>IFERROR(VLOOKUP(F3919,CARTON_LOOKUP!$A:$E,2,0),"")</f>
      </c>
      <c r="K3919" s="29">
        <f>IFERROR(J3919*D3919,0)</f>
      </c>
      <c r="L3919" s="29">
        <f>IFERROR(E3919*C3919,0)</f>
      </c>
      <c r="M3919" s="29">
        <f>IFERROR((G3919*H3919*I3919/1000000)*D3919,0)</f>
      </c>
    </row>
    <row r="3920" spans="1:13" x14ac:dyDescent="0.25">
      <c r="A3920" s="16"/>
      <c r="E3920" s="27"/>
      <c r="F3920" t="s">
        <v>26</v>
      </c>
      <c r="G3920" s="28">
        <f>IFERROR(VLOOKUP(F3920,CARTON_LOOKUP!$A:$E,3,0),"")</f>
      </c>
      <c r="H3920" s="28">
        <f>IFERROR(VLOOKUP(F3920,CARTON_LOOKUP!$A:$E,4,0),"")</f>
      </c>
      <c r="I3920" s="28">
        <f>IFERROR(VLOOKUP(F3920,CARTON_LOOKUP!$A:$E,5,0),"")</f>
      </c>
      <c r="J3920" s="29">
        <f>IFERROR(VLOOKUP(F3920,CARTON_LOOKUP!$A:$E,2,0),"")</f>
      </c>
      <c r="K3920" s="29">
        <f>IFERROR(J3920*D3920,0)</f>
      </c>
      <c r="L3920" s="29">
        <f>IFERROR(E3920*C3920,0)</f>
      </c>
      <c r="M3920" s="29">
        <f>IFERROR((G3920*H3920*I3920/1000000)*D3920,0)</f>
      </c>
    </row>
    <row r="3921" spans="1:13" x14ac:dyDescent="0.25">
      <c r="A3921" s="16"/>
      <c r="E3921" s="27"/>
      <c r="F3921" t="s">
        <v>26</v>
      </c>
      <c r="G3921" s="28">
        <f>IFERROR(VLOOKUP(F3921,CARTON_LOOKUP!$A:$E,3,0),"")</f>
      </c>
      <c r="H3921" s="28">
        <f>IFERROR(VLOOKUP(F3921,CARTON_LOOKUP!$A:$E,4,0),"")</f>
      </c>
      <c r="I3921" s="28">
        <f>IFERROR(VLOOKUP(F3921,CARTON_LOOKUP!$A:$E,5,0),"")</f>
      </c>
      <c r="J3921" s="29">
        <f>IFERROR(VLOOKUP(F3921,CARTON_LOOKUP!$A:$E,2,0),"")</f>
      </c>
      <c r="K3921" s="29">
        <f>IFERROR(J3921*D3921,0)</f>
      </c>
      <c r="L3921" s="29">
        <f>IFERROR(E3921*C3921,0)</f>
      </c>
      <c r="M3921" s="29">
        <f>IFERROR((G3921*H3921*I3921/1000000)*D3921,0)</f>
      </c>
    </row>
    <row r="3922" spans="1:13" x14ac:dyDescent="0.25">
      <c r="A3922" s="16"/>
      <c r="E3922" s="27"/>
      <c r="F3922" t="s">
        <v>26</v>
      </c>
      <c r="G3922" s="28">
        <f>IFERROR(VLOOKUP(F3922,CARTON_LOOKUP!$A:$E,3,0),"")</f>
      </c>
      <c r="H3922" s="28">
        <f>IFERROR(VLOOKUP(F3922,CARTON_LOOKUP!$A:$E,4,0),"")</f>
      </c>
      <c r="I3922" s="28">
        <f>IFERROR(VLOOKUP(F3922,CARTON_LOOKUP!$A:$E,5,0),"")</f>
      </c>
      <c r="J3922" s="29">
        <f>IFERROR(VLOOKUP(F3922,CARTON_LOOKUP!$A:$E,2,0),"")</f>
      </c>
      <c r="K3922" s="29">
        <f>IFERROR(J3922*D3922,0)</f>
      </c>
      <c r="L3922" s="29">
        <f>IFERROR(E3922*C3922,0)</f>
      </c>
      <c r="M3922" s="29">
        <f>IFERROR((G3922*H3922*I3922/1000000)*D3922,0)</f>
      </c>
    </row>
    <row r="3923" spans="1:13" x14ac:dyDescent="0.25">
      <c r="A3923" s="16"/>
      <c r="E3923" s="27"/>
      <c r="F3923" t="s">
        <v>26</v>
      </c>
      <c r="G3923" s="28">
        <f>IFERROR(VLOOKUP(F3923,CARTON_LOOKUP!$A:$E,3,0),"")</f>
      </c>
      <c r="H3923" s="28">
        <f>IFERROR(VLOOKUP(F3923,CARTON_LOOKUP!$A:$E,4,0),"")</f>
      </c>
      <c r="I3923" s="28">
        <f>IFERROR(VLOOKUP(F3923,CARTON_LOOKUP!$A:$E,5,0),"")</f>
      </c>
      <c r="J3923" s="29">
        <f>IFERROR(VLOOKUP(F3923,CARTON_LOOKUP!$A:$E,2,0),"")</f>
      </c>
      <c r="K3923" s="29">
        <f>IFERROR(J3923*D3923,0)</f>
      </c>
      <c r="L3923" s="29">
        <f>IFERROR(E3923*C3923,0)</f>
      </c>
      <c r="M3923" s="29">
        <f>IFERROR((G3923*H3923*I3923/1000000)*D3923,0)</f>
      </c>
    </row>
    <row r="3924" spans="1:13" x14ac:dyDescent="0.25">
      <c r="A3924" s="16"/>
      <c r="E3924" s="27"/>
      <c r="F3924" t="s">
        <v>26</v>
      </c>
      <c r="G3924" s="28">
        <f>IFERROR(VLOOKUP(F3924,CARTON_LOOKUP!$A:$E,3,0),"")</f>
      </c>
      <c r="H3924" s="28">
        <f>IFERROR(VLOOKUP(F3924,CARTON_LOOKUP!$A:$E,4,0),"")</f>
      </c>
      <c r="I3924" s="28">
        <f>IFERROR(VLOOKUP(F3924,CARTON_LOOKUP!$A:$E,5,0),"")</f>
      </c>
      <c r="J3924" s="29">
        <f>IFERROR(VLOOKUP(F3924,CARTON_LOOKUP!$A:$E,2,0),"")</f>
      </c>
      <c r="K3924" s="29">
        <f>IFERROR(J3924*D3924,0)</f>
      </c>
      <c r="L3924" s="29">
        <f>IFERROR(E3924*C3924,0)</f>
      </c>
      <c r="M3924" s="29">
        <f>IFERROR((G3924*H3924*I3924/1000000)*D3924,0)</f>
      </c>
    </row>
    <row r="3925" spans="1:13" x14ac:dyDescent="0.25">
      <c r="A3925" s="16"/>
      <c r="E3925" s="27"/>
      <c r="F3925" t="s">
        <v>26</v>
      </c>
      <c r="G3925" s="28">
        <f>IFERROR(VLOOKUP(F3925,CARTON_LOOKUP!$A:$E,3,0),"")</f>
      </c>
      <c r="H3925" s="28">
        <f>IFERROR(VLOOKUP(F3925,CARTON_LOOKUP!$A:$E,4,0),"")</f>
      </c>
      <c r="I3925" s="28">
        <f>IFERROR(VLOOKUP(F3925,CARTON_LOOKUP!$A:$E,5,0),"")</f>
      </c>
      <c r="J3925" s="29">
        <f>IFERROR(VLOOKUP(F3925,CARTON_LOOKUP!$A:$E,2,0),"")</f>
      </c>
      <c r="K3925" s="29">
        <f>IFERROR(J3925*D3925,0)</f>
      </c>
      <c r="L3925" s="29">
        <f>IFERROR(E3925*C3925,0)</f>
      </c>
      <c r="M3925" s="29">
        <f>IFERROR((G3925*H3925*I3925/1000000)*D3925,0)</f>
      </c>
    </row>
    <row r="3926" spans="1:13" x14ac:dyDescent="0.25">
      <c r="A3926" s="16"/>
      <c r="E3926" s="27"/>
      <c r="F3926" t="s">
        <v>26</v>
      </c>
      <c r="G3926" s="28">
        <f>IFERROR(VLOOKUP(F3926,CARTON_LOOKUP!$A:$E,3,0),"")</f>
      </c>
      <c r="H3926" s="28">
        <f>IFERROR(VLOOKUP(F3926,CARTON_LOOKUP!$A:$E,4,0),"")</f>
      </c>
      <c r="I3926" s="28">
        <f>IFERROR(VLOOKUP(F3926,CARTON_LOOKUP!$A:$E,5,0),"")</f>
      </c>
      <c r="J3926" s="29">
        <f>IFERROR(VLOOKUP(F3926,CARTON_LOOKUP!$A:$E,2,0),"")</f>
      </c>
      <c r="K3926" s="29">
        <f>IFERROR(J3926*D3926,0)</f>
      </c>
      <c r="L3926" s="29">
        <f>IFERROR(E3926*C3926,0)</f>
      </c>
      <c r="M3926" s="29">
        <f>IFERROR((G3926*H3926*I3926/1000000)*D3926,0)</f>
      </c>
    </row>
    <row r="3927" spans="1:13" x14ac:dyDescent="0.25">
      <c r="A3927" s="16"/>
      <c r="E3927" s="27"/>
      <c r="F3927" t="s">
        <v>26</v>
      </c>
      <c r="G3927" s="28">
        <f>IFERROR(VLOOKUP(F3927,CARTON_LOOKUP!$A:$E,3,0),"")</f>
      </c>
      <c r="H3927" s="28">
        <f>IFERROR(VLOOKUP(F3927,CARTON_LOOKUP!$A:$E,4,0),"")</f>
      </c>
      <c r="I3927" s="28">
        <f>IFERROR(VLOOKUP(F3927,CARTON_LOOKUP!$A:$E,5,0),"")</f>
      </c>
      <c r="J3927" s="29">
        <f>IFERROR(VLOOKUP(F3927,CARTON_LOOKUP!$A:$E,2,0),"")</f>
      </c>
      <c r="K3927" s="29">
        <f>IFERROR(J3927*D3927,0)</f>
      </c>
      <c r="L3927" s="29">
        <f>IFERROR(E3927*C3927,0)</f>
      </c>
      <c r="M3927" s="29">
        <f>IFERROR((G3927*H3927*I3927/1000000)*D3927,0)</f>
      </c>
    </row>
    <row r="3928" spans="1:13" x14ac:dyDescent="0.25">
      <c r="A3928" s="16"/>
      <c r="E3928" s="27"/>
      <c r="F3928" t="s">
        <v>26</v>
      </c>
      <c r="G3928" s="28">
        <f>IFERROR(VLOOKUP(F3928,CARTON_LOOKUP!$A:$E,3,0),"")</f>
      </c>
      <c r="H3928" s="28">
        <f>IFERROR(VLOOKUP(F3928,CARTON_LOOKUP!$A:$E,4,0),"")</f>
      </c>
      <c r="I3928" s="28">
        <f>IFERROR(VLOOKUP(F3928,CARTON_LOOKUP!$A:$E,5,0),"")</f>
      </c>
      <c r="J3928" s="29">
        <f>IFERROR(VLOOKUP(F3928,CARTON_LOOKUP!$A:$E,2,0),"")</f>
      </c>
      <c r="K3928" s="29">
        <f>IFERROR(J3928*D3928,0)</f>
      </c>
      <c r="L3928" s="29">
        <f>IFERROR(E3928*C3928,0)</f>
      </c>
      <c r="M3928" s="29">
        <f>IFERROR((G3928*H3928*I3928/1000000)*D3928,0)</f>
      </c>
    </row>
    <row r="3929" spans="1:13" x14ac:dyDescent="0.25">
      <c r="A3929" s="16"/>
      <c r="E3929" s="27"/>
      <c r="F3929" t="s">
        <v>26</v>
      </c>
      <c r="G3929" s="28">
        <f>IFERROR(VLOOKUP(F3929,CARTON_LOOKUP!$A:$E,3,0),"")</f>
      </c>
      <c r="H3929" s="28">
        <f>IFERROR(VLOOKUP(F3929,CARTON_LOOKUP!$A:$E,4,0),"")</f>
      </c>
      <c r="I3929" s="28">
        <f>IFERROR(VLOOKUP(F3929,CARTON_LOOKUP!$A:$E,5,0),"")</f>
      </c>
      <c r="J3929" s="29">
        <f>IFERROR(VLOOKUP(F3929,CARTON_LOOKUP!$A:$E,2,0),"")</f>
      </c>
      <c r="K3929" s="29">
        <f>IFERROR(J3929*D3929,0)</f>
      </c>
      <c r="L3929" s="29">
        <f>IFERROR(E3929*C3929,0)</f>
      </c>
      <c r="M3929" s="29">
        <f>IFERROR((G3929*H3929*I3929/1000000)*D3929,0)</f>
      </c>
    </row>
    <row r="3930" spans="1:13" x14ac:dyDescent="0.25">
      <c r="A3930" s="16"/>
      <c r="E3930" s="27"/>
      <c r="F3930" t="s">
        <v>26</v>
      </c>
      <c r="G3930" s="28">
        <f>IFERROR(VLOOKUP(F3930,CARTON_LOOKUP!$A:$E,3,0),"")</f>
      </c>
      <c r="H3930" s="28">
        <f>IFERROR(VLOOKUP(F3930,CARTON_LOOKUP!$A:$E,4,0),"")</f>
      </c>
      <c r="I3930" s="28">
        <f>IFERROR(VLOOKUP(F3930,CARTON_LOOKUP!$A:$E,5,0),"")</f>
      </c>
      <c r="J3930" s="29">
        <f>IFERROR(VLOOKUP(F3930,CARTON_LOOKUP!$A:$E,2,0),"")</f>
      </c>
      <c r="K3930" s="29">
        <f>IFERROR(J3930*D3930,0)</f>
      </c>
      <c r="L3930" s="29">
        <f>IFERROR(E3930*C3930,0)</f>
      </c>
      <c r="M3930" s="29">
        <f>IFERROR((G3930*H3930*I3930/1000000)*D3930,0)</f>
      </c>
    </row>
    <row r="3931" spans="1:13" x14ac:dyDescent="0.25">
      <c r="A3931" s="16"/>
      <c r="E3931" s="27"/>
      <c r="F3931" t="s">
        <v>26</v>
      </c>
      <c r="G3931" s="28">
        <f>IFERROR(VLOOKUP(F3931,CARTON_LOOKUP!$A:$E,3,0),"")</f>
      </c>
      <c r="H3931" s="28">
        <f>IFERROR(VLOOKUP(F3931,CARTON_LOOKUP!$A:$E,4,0),"")</f>
      </c>
      <c r="I3931" s="28">
        <f>IFERROR(VLOOKUP(F3931,CARTON_LOOKUP!$A:$E,5,0),"")</f>
      </c>
      <c r="J3931" s="29">
        <f>IFERROR(VLOOKUP(F3931,CARTON_LOOKUP!$A:$E,2,0),"")</f>
      </c>
      <c r="K3931" s="29">
        <f>IFERROR(J3931*D3931,0)</f>
      </c>
      <c r="L3931" s="29">
        <f>IFERROR(E3931*C3931,0)</f>
      </c>
      <c r="M3931" s="29">
        <f>IFERROR((G3931*H3931*I3931/1000000)*D3931,0)</f>
      </c>
    </row>
    <row r="3932" spans="1:13" x14ac:dyDescent="0.25">
      <c r="A3932" s="16"/>
      <c r="E3932" s="27"/>
      <c r="F3932" t="s">
        <v>26</v>
      </c>
      <c r="G3932" s="28">
        <f>IFERROR(VLOOKUP(F3932,CARTON_LOOKUP!$A:$E,3,0),"")</f>
      </c>
      <c r="H3932" s="28">
        <f>IFERROR(VLOOKUP(F3932,CARTON_LOOKUP!$A:$E,4,0),"")</f>
      </c>
      <c r="I3932" s="28">
        <f>IFERROR(VLOOKUP(F3932,CARTON_LOOKUP!$A:$E,5,0),"")</f>
      </c>
      <c r="J3932" s="29">
        <f>IFERROR(VLOOKUP(F3932,CARTON_LOOKUP!$A:$E,2,0),"")</f>
      </c>
      <c r="K3932" s="29">
        <f>IFERROR(J3932*D3932,0)</f>
      </c>
      <c r="L3932" s="29">
        <f>IFERROR(E3932*C3932,0)</f>
      </c>
      <c r="M3932" s="29">
        <f>IFERROR((G3932*H3932*I3932/1000000)*D3932,0)</f>
      </c>
    </row>
    <row r="3933" spans="1:13" x14ac:dyDescent="0.25">
      <c r="A3933" s="16"/>
      <c r="E3933" s="27"/>
      <c r="F3933" t="s">
        <v>26</v>
      </c>
      <c r="G3933" s="28">
        <f>IFERROR(VLOOKUP(F3933,CARTON_LOOKUP!$A:$E,3,0),"")</f>
      </c>
      <c r="H3933" s="28">
        <f>IFERROR(VLOOKUP(F3933,CARTON_LOOKUP!$A:$E,4,0),"")</f>
      </c>
      <c r="I3933" s="28">
        <f>IFERROR(VLOOKUP(F3933,CARTON_LOOKUP!$A:$E,5,0),"")</f>
      </c>
      <c r="J3933" s="29">
        <f>IFERROR(VLOOKUP(F3933,CARTON_LOOKUP!$A:$E,2,0),"")</f>
      </c>
      <c r="K3933" s="29">
        <f>IFERROR(J3933*D3933,0)</f>
      </c>
      <c r="L3933" s="29">
        <f>IFERROR(E3933*C3933,0)</f>
      </c>
      <c r="M3933" s="29">
        <f>IFERROR((G3933*H3933*I3933/1000000)*D3933,0)</f>
      </c>
    </row>
    <row r="3934" spans="1:13" x14ac:dyDescent="0.25">
      <c r="A3934" s="16"/>
      <c r="E3934" s="27"/>
      <c r="F3934" t="s">
        <v>26</v>
      </c>
      <c r="G3934" s="28">
        <f>IFERROR(VLOOKUP(F3934,CARTON_LOOKUP!$A:$E,3,0),"")</f>
      </c>
      <c r="H3934" s="28">
        <f>IFERROR(VLOOKUP(F3934,CARTON_LOOKUP!$A:$E,4,0),"")</f>
      </c>
      <c r="I3934" s="28">
        <f>IFERROR(VLOOKUP(F3934,CARTON_LOOKUP!$A:$E,5,0),"")</f>
      </c>
      <c r="J3934" s="29">
        <f>IFERROR(VLOOKUP(F3934,CARTON_LOOKUP!$A:$E,2,0),"")</f>
      </c>
      <c r="K3934" s="29">
        <f>IFERROR(J3934*D3934,0)</f>
      </c>
      <c r="L3934" s="29">
        <f>IFERROR(E3934*C3934,0)</f>
      </c>
      <c r="M3934" s="29">
        <f>IFERROR((G3934*H3934*I3934/1000000)*D3934,0)</f>
      </c>
    </row>
    <row r="3935" spans="1:13" x14ac:dyDescent="0.25">
      <c r="A3935" s="16"/>
      <c r="E3935" s="27"/>
      <c r="F3935" t="s">
        <v>26</v>
      </c>
      <c r="G3935" s="28">
        <f>IFERROR(VLOOKUP(F3935,CARTON_LOOKUP!$A:$E,3,0),"")</f>
      </c>
      <c r="H3935" s="28">
        <f>IFERROR(VLOOKUP(F3935,CARTON_LOOKUP!$A:$E,4,0),"")</f>
      </c>
      <c r="I3935" s="28">
        <f>IFERROR(VLOOKUP(F3935,CARTON_LOOKUP!$A:$E,5,0),"")</f>
      </c>
      <c r="J3935" s="29">
        <f>IFERROR(VLOOKUP(F3935,CARTON_LOOKUP!$A:$E,2,0),"")</f>
      </c>
      <c r="K3935" s="29">
        <f>IFERROR(J3935*D3935,0)</f>
      </c>
      <c r="L3935" s="29">
        <f>IFERROR(E3935*C3935,0)</f>
      </c>
      <c r="M3935" s="29">
        <f>IFERROR((G3935*H3935*I3935/1000000)*D3935,0)</f>
      </c>
    </row>
    <row r="3936" spans="1:13" x14ac:dyDescent="0.25">
      <c r="A3936" s="16"/>
      <c r="E3936" s="27"/>
      <c r="F3936" t="s">
        <v>26</v>
      </c>
      <c r="G3936" s="28">
        <f>IFERROR(VLOOKUP(F3936,CARTON_LOOKUP!$A:$E,3,0),"")</f>
      </c>
      <c r="H3936" s="28">
        <f>IFERROR(VLOOKUP(F3936,CARTON_LOOKUP!$A:$E,4,0),"")</f>
      </c>
      <c r="I3936" s="28">
        <f>IFERROR(VLOOKUP(F3936,CARTON_LOOKUP!$A:$E,5,0),"")</f>
      </c>
      <c r="J3936" s="29">
        <f>IFERROR(VLOOKUP(F3936,CARTON_LOOKUP!$A:$E,2,0),"")</f>
      </c>
      <c r="K3936" s="29">
        <f>IFERROR(J3936*D3936,0)</f>
      </c>
      <c r="L3936" s="29">
        <f>IFERROR(E3936*C3936,0)</f>
      </c>
      <c r="M3936" s="29">
        <f>IFERROR((G3936*H3936*I3936/1000000)*D3936,0)</f>
      </c>
    </row>
    <row r="3937" spans="1:13" x14ac:dyDescent="0.25">
      <c r="A3937" s="16"/>
      <c r="E3937" s="27"/>
      <c r="F3937" t="s">
        <v>26</v>
      </c>
      <c r="G3937" s="28">
        <f>IFERROR(VLOOKUP(F3937,CARTON_LOOKUP!$A:$E,3,0),"")</f>
      </c>
      <c r="H3937" s="28">
        <f>IFERROR(VLOOKUP(F3937,CARTON_LOOKUP!$A:$E,4,0),"")</f>
      </c>
      <c r="I3937" s="28">
        <f>IFERROR(VLOOKUP(F3937,CARTON_LOOKUP!$A:$E,5,0),"")</f>
      </c>
      <c r="J3937" s="29">
        <f>IFERROR(VLOOKUP(F3937,CARTON_LOOKUP!$A:$E,2,0),"")</f>
      </c>
      <c r="K3937" s="29">
        <f>IFERROR(J3937*D3937,0)</f>
      </c>
      <c r="L3937" s="29">
        <f>IFERROR(E3937*C3937,0)</f>
      </c>
      <c r="M3937" s="29">
        <f>IFERROR((G3937*H3937*I3937/1000000)*D3937,0)</f>
      </c>
    </row>
    <row r="3938" spans="1:13" x14ac:dyDescent="0.25">
      <c r="A3938" s="16"/>
      <c r="E3938" s="27"/>
      <c r="F3938" t="s">
        <v>26</v>
      </c>
      <c r="G3938" s="28">
        <f>IFERROR(VLOOKUP(F3938,CARTON_LOOKUP!$A:$E,3,0),"")</f>
      </c>
      <c r="H3938" s="28">
        <f>IFERROR(VLOOKUP(F3938,CARTON_LOOKUP!$A:$E,4,0),"")</f>
      </c>
      <c r="I3938" s="28">
        <f>IFERROR(VLOOKUP(F3938,CARTON_LOOKUP!$A:$E,5,0),"")</f>
      </c>
      <c r="J3938" s="29">
        <f>IFERROR(VLOOKUP(F3938,CARTON_LOOKUP!$A:$E,2,0),"")</f>
      </c>
      <c r="K3938" s="29">
        <f>IFERROR(J3938*D3938,0)</f>
      </c>
      <c r="L3938" s="29">
        <f>IFERROR(E3938*C3938,0)</f>
      </c>
      <c r="M3938" s="29">
        <f>IFERROR((G3938*H3938*I3938/1000000)*D3938,0)</f>
      </c>
    </row>
    <row r="3939" spans="1:13" x14ac:dyDescent="0.25">
      <c r="A3939" s="16"/>
      <c r="E3939" s="27"/>
      <c r="F3939" t="s">
        <v>26</v>
      </c>
      <c r="G3939" s="28">
        <f>IFERROR(VLOOKUP(F3939,CARTON_LOOKUP!$A:$E,3,0),"")</f>
      </c>
      <c r="H3939" s="28">
        <f>IFERROR(VLOOKUP(F3939,CARTON_LOOKUP!$A:$E,4,0),"")</f>
      </c>
      <c r="I3939" s="28">
        <f>IFERROR(VLOOKUP(F3939,CARTON_LOOKUP!$A:$E,5,0),"")</f>
      </c>
      <c r="J3939" s="29">
        <f>IFERROR(VLOOKUP(F3939,CARTON_LOOKUP!$A:$E,2,0),"")</f>
      </c>
      <c r="K3939" s="29">
        <f>IFERROR(J3939*D3939,0)</f>
      </c>
      <c r="L3939" s="29">
        <f>IFERROR(E3939*C3939,0)</f>
      </c>
      <c r="M3939" s="29">
        <f>IFERROR((G3939*H3939*I3939/1000000)*D3939,0)</f>
      </c>
    </row>
    <row r="3940" spans="1:13" x14ac:dyDescent="0.25">
      <c r="A3940" s="16"/>
      <c r="E3940" s="27"/>
      <c r="F3940" t="s">
        <v>26</v>
      </c>
      <c r="G3940" s="28">
        <f>IFERROR(VLOOKUP(F3940,CARTON_LOOKUP!$A:$E,3,0),"")</f>
      </c>
      <c r="H3940" s="28">
        <f>IFERROR(VLOOKUP(F3940,CARTON_LOOKUP!$A:$E,4,0),"")</f>
      </c>
      <c r="I3940" s="28">
        <f>IFERROR(VLOOKUP(F3940,CARTON_LOOKUP!$A:$E,5,0),"")</f>
      </c>
      <c r="J3940" s="29">
        <f>IFERROR(VLOOKUP(F3940,CARTON_LOOKUP!$A:$E,2,0),"")</f>
      </c>
      <c r="K3940" s="29">
        <f>IFERROR(J3940*D3940,0)</f>
      </c>
      <c r="L3940" s="29">
        <f>IFERROR(E3940*C3940,0)</f>
      </c>
      <c r="M3940" s="29">
        <f>IFERROR((G3940*H3940*I3940/1000000)*D3940,0)</f>
      </c>
    </row>
    <row r="3941" spans="1:13" x14ac:dyDescent="0.25">
      <c r="A3941" s="16"/>
      <c r="E3941" s="27"/>
      <c r="F3941" t="s">
        <v>26</v>
      </c>
      <c r="G3941" s="28">
        <f>IFERROR(VLOOKUP(F3941,CARTON_LOOKUP!$A:$E,3,0),"")</f>
      </c>
      <c r="H3941" s="28">
        <f>IFERROR(VLOOKUP(F3941,CARTON_LOOKUP!$A:$E,4,0),"")</f>
      </c>
      <c r="I3941" s="28">
        <f>IFERROR(VLOOKUP(F3941,CARTON_LOOKUP!$A:$E,5,0),"")</f>
      </c>
      <c r="J3941" s="29">
        <f>IFERROR(VLOOKUP(F3941,CARTON_LOOKUP!$A:$E,2,0),"")</f>
      </c>
      <c r="K3941" s="29">
        <f>IFERROR(J3941*D3941,0)</f>
      </c>
      <c r="L3941" s="29">
        <f>IFERROR(E3941*C3941,0)</f>
      </c>
      <c r="M3941" s="29">
        <f>IFERROR((G3941*H3941*I3941/1000000)*D3941,0)</f>
      </c>
    </row>
    <row r="3942" spans="1:13" x14ac:dyDescent="0.25">
      <c r="A3942" s="16"/>
      <c r="E3942" s="27"/>
      <c r="F3942" t="s">
        <v>26</v>
      </c>
      <c r="G3942" s="28">
        <f>IFERROR(VLOOKUP(F3942,CARTON_LOOKUP!$A:$E,3,0),"")</f>
      </c>
      <c r="H3942" s="28">
        <f>IFERROR(VLOOKUP(F3942,CARTON_LOOKUP!$A:$E,4,0),"")</f>
      </c>
      <c r="I3942" s="28">
        <f>IFERROR(VLOOKUP(F3942,CARTON_LOOKUP!$A:$E,5,0),"")</f>
      </c>
      <c r="J3942" s="29">
        <f>IFERROR(VLOOKUP(F3942,CARTON_LOOKUP!$A:$E,2,0),"")</f>
      </c>
      <c r="K3942" s="29">
        <f>IFERROR(J3942*D3942,0)</f>
      </c>
      <c r="L3942" s="29">
        <f>IFERROR(E3942*C3942,0)</f>
      </c>
      <c r="M3942" s="29">
        <f>IFERROR((G3942*H3942*I3942/1000000)*D3942,0)</f>
      </c>
    </row>
    <row r="3943" spans="1:13" x14ac:dyDescent="0.25">
      <c r="A3943" s="16"/>
      <c r="E3943" s="27"/>
      <c r="F3943" t="s">
        <v>26</v>
      </c>
      <c r="G3943" s="28">
        <f>IFERROR(VLOOKUP(F3943,CARTON_LOOKUP!$A:$E,3,0),"")</f>
      </c>
      <c r="H3943" s="28">
        <f>IFERROR(VLOOKUP(F3943,CARTON_LOOKUP!$A:$E,4,0),"")</f>
      </c>
      <c r="I3943" s="28">
        <f>IFERROR(VLOOKUP(F3943,CARTON_LOOKUP!$A:$E,5,0),"")</f>
      </c>
      <c r="J3943" s="29">
        <f>IFERROR(VLOOKUP(F3943,CARTON_LOOKUP!$A:$E,2,0),"")</f>
      </c>
      <c r="K3943" s="29">
        <f>IFERROR(J3943*D3943,0)</f>
      </c>
      <c r="L3943" s="29">
        <f>IFERROR(E3943*C3943,0)</f>
      </c>
      <c r="M3943" s="29">
        <f>IFERROR((G3943*H3943*I3943/1000000)*D3943,0)</f>
      </c>
    </row>
    <row r="3944" spans="1:13" x14ac:dyDescent="0.25">
      <c r="A3944" s="16"/>
      <c r="E3944" s="27"/>
      <c r="F3944" t="s">
        <v>26</v>
      </c>
      <c r="G3944" s="28">
        <f>IFERROR(VLOOKUP(F3944,CARTON_LOOKUP!$A:$E,3,0),"")</f>
      </c>
      <c r="H3944" s="28">
        <f>IFERROR(VLOOKUP(F3944,CARTON_LOOKUP!$A:$E,4,0),"")</f>
      </c>
      <c r="I3944" s="28">
        <f>IFERROR(VLOOKUP(F3944,CARTON_LOOKUP!$A:$E,5,0),"")</f>
      </c>
      <c r="J3944" s="29">
        <f>IFERROR(VLOOKUP(F3944,CARTON_LOOKUP!$A:$E,2,0),"")</f>
      </c>
      <c r="K3944" s="29">
        <f>IFERROR(J3944*D3944,0)</f>
      </c>
      <c r="L3944" s="29">
        <f>IFERROR(E3944*C3944,0)</f>
      </c>
      <c r="M3944" s="29">
        <f>IFERROR((G3944*H3944*I3944/1000000)*D3944,0)</f>
      </c>
    </row>
    <row r="3945" spans="1:13" x14ac:dyDescent="0.25">
      <c r="A3945" s="16"/>
      <c r="E3945" s="27"/>
      <c r="F3945" t="s">
        <v>26</v>
      </c>
      <c r="G3945" s="28">
        <f>IFERROR(VLOOKUP(F3945,CARTON_LOOKUP!$A:$E,3,0),"")</f>
      </c>
      <c r="H3945" s="28">
        <f>IFERROR(VLOOKUP(F3945,CARTON_LOOKUP!$A:$E,4,0),"")</f>
      </c>
      <c r="I3945" s="28">
        <f>IFERROR(VLOOKUP(F3945,CARTON_LOOKUP!$A:$E,5,0),"")</f>
      </c>
      <c r="J3945" s="29">
        <f>IFERROR(VLOOKUP(F3945,CARTON_LOOKUP!$A:$E,2,0),"")</f>
      </c>
      <c r="K3945" s="29">
        <f>IFERROR(J3945*D3945,0)</f>
      </c>
      <c r="L3945" s="29">
        <f>IFERROR(E3945*C3945,0)</f>
      </c>
      <c r="M3945" s="29">
        <f>IFERROR((G3945*H3945*I3945/1000000)*D3945,0)</f>
      </c>
    </row>
    <row r="3946" spans="1:13" x14ac:dyDescent="0.25">
      <c r="A3946" s="16"/>
      <c r="E3946" s="27"/>
      <c r="F3946" t="s">
        <v>26</v>
      </c>
      <c r="G3946" s="28">
        <f>IFERROR(VLOOKUP(F3946,CARTON_LOOKUP!$A:$E,3,0),"")</f>
      </c>
      <c r="H3946" s="28">
        <f>IFERROR(VLOOKUP(F3946,CARTON_LOOKUP!$A:$E,4,0),"")</f>
      </c>
      <c r="I3946" s="28">
        <f>IFERROR(VLOOKUP(F3946,CARTON_LOOKUP!$A:$E,5,0),"")</f>
      </c>
      <c r="J3946" s="29">
        <f>IFERROR(VLOOKUP(F3946,CARTON_LOOKUP!$A:$E,2,0),"")</f>
      </c>
      <c r="K3946" s="29">
        <f>IFERROR(J3946*D3946,0)</f>
      </c>
      <c r="L3946" s="29">
        <f>IFERROR(E3946*C3946,0)</f>
      </c>
      <c r="M3946" s="29">
        <f>IFERROR((G3946*H3946*I3946/1000000)*D3946,0)</f>
      </c>
    </row>
    <row r="3947" spans="1:13" x14ac:dyDescent="0.25">
      <c r="A3947" s="16"/>
      <c r="E3947" s="27"/>
      <c r="F3947" t="s">
        <v>26</v>
      </c>
      <c r="G3947" s="28">
        <f>IFERROR(VLOOKUP(F3947,CARTON_LOOKUP!$A:$E,3,0),"")</f>
      </c>
      <c r="H3947" s="28">
        <f>IFERROR(VLOOKUP(F3947,CARTON_LOOKUP!$A:$E,4,0),"")</f>
      </c>
      <c r="I3947" s="28">
        <f>IFERROR(VLOOKUP(F3947,CARTON_LOOKUP!$A:$E,5,0),"")</f>
      </c>
      <c r="J3947" s="29">
        <f>IFERROR(VLOOKUP(F3947,CARTON_LOOKUP!$A:$E,2,0),"")</f>
      </c>
      <c r="K3947" s="29">
        <f>IFERROR(J3947*D3947,0)</f>
      </c>
      <c r="L3947" s="29">
        <f>IFERROR(E3947*C3947,0)</f>
      </c>
      <c r="M3947" s="29">
        <f>IFERROR((G3947*H3947*I3947/1000000)*D3947,0)</f>
      </c>
    </row>
    <row r="3948" spans="1:13" x14ac:dyDescent="0.25">
      <c r="A3948" s="16"/>
      <c r="E3948" s="27"/>
      <c r="F3948" t="s">
        <v>26</v>
      </c>
      <c r="G3948" s="28">
        <f>IFERROR(VLOOKUP(F3948,CARTON_LOOKUP!$A:$E,3,0),"")</f>
      </c>
      <c r="H3948" s="28">
        <f>IFERROR(VLOOKUP(F3948,CARTON_LOOKUP!$A:$E,4,0),"")</f>
      </c>
      <c r="I3948" s="28">
        <f>IFERROR(VLOOKUP(F3948,CARTON_LOOKUP!$A:$E,5,0),"")</f>
      </c>
      <c r="J3948" s="29">
        <f>IFERROR(VLOOKUP(F3948,CARTON_LOOKUP!$A:$E,2,0),"")</f>
      </c>
      <c r="K3948" s="29">
        <f>IFERROR(J3948*D3948,0)</f>
      </c>
      <c r="L3948" s="29">
        <f>IFERROR(E3948*C3948,0)</f>
      </c>
      <c r="M3948" s="29">
        <f>IFERROR((G3948*H3948*I3948/1000000)*D3948,0)</f>
      </c>
    </row>
    <row r="3949" spans="1:13" x14ac:dyDescent="0.25">
      <c r="A3949" s="16"/>
      <c r="E3949" s="27"/>
      <c r="F3949" t="s">
        <v>26</v>
      </c>
      <c r="G3949" s="28">
        <f>IFERROR(VLOOKUP(F3949,CARTON_LOOKUP!$A:$E,3,0),"")</f>
      </c>
      <c r="H3949" s="28">
        <f>IFERROR(VLOOKUP(F3949,CARTON_LOOKUP!$A:$E,4,0),"")</f>
      </c>
      <c r="I3949" s="28">
        <f>IFERROR(VLOOKUP(F3949,CARTON_LOOKUP!$A:$E,5,0),"")</f>
      </c>
      <c r="J3949" s="29">
        <f>IFERROR(VLOOKUP(F3949,CARTON_LOOKUP!$A:$E,2,0),"")</f>
      </c>
      <c r="K3949" s="29">
        <f>IFERROR(J3949*D3949,0)</f>
      </c>
      <c r="L3949" s="29">
        <f>IFERROR(E3949*C3949,0)</f>
      </c>
      <c r="M3949" s="29">
        <f>IFERROR((G3949*H3949*I3949/1000000)*D3949,0)</f>
      </c>
    </row>
    <row r="3950" spans="1:13" x14ac:dyDescent="0.25">
      <c r="A3950" s="16"/>
      <c r="E3950" s="27"/>
      <c r="F3950" t="s">
        <v>26</v>
      </c>
      <c r="G3950" s="28">
        <f>IFERROR(VLOOKUP(F3950,CARTON_LOOKUP!$A:$E,3,0),"")</f>
      </c>
      <c r="H3950" s="28">
        <f>IFERROR(VLOOKUP(F3950,CARTON_LOOKUP!$A:$E,4,0),"")</f>
      </c>
      <c r="I3950" s="28">
        <f>IFERROR(VLOOKUP(F3950,CARTON_LOOKUP!$A:$E,5,0),"")</f>
      </c>
      <c r="J3950" s="29">
        <f>IFERROR(VLOOKUP(F3950,CARTON_LOOKUP!$A:$E,2,0),"")</f>
      </c>
      <c r="K3950" s="29">
        <f>IFERROR(J3950*D3950,0)</f>
      </c>
      <c r="L3950" s="29">
        <f>IFERROR(E3950*C3950,0)</f>
      </c>
      <c r="M3950" s="29">
        <f>IFERROR((G3950*H3950*I3950/1000000)*D3950,0)</f>
      </c>
    </row>
    <row r="3951" spans="1:13" x14ac:dyDescent="0.25">
      <c r="A3951" s="16"/>
      <c r="E3951" s="27"/>
      <c r="F3951" t="s">
        <v>26</v>
      </c>
      <c r="G3951" s="28">
        <f>IFERROR(VLOOKUP(F3951,CARTON_LOOKUP!$A:$E,3,0),"")</f>
      </c>
      <c r="H3951" s="28">
        <f>IFERROR(VLOOKUP(F3951,CARTON_LOOKUP!$A:$E,4,0),"")</f>
      </c>
      <c r="I3951" s="28">
        <f>IFERROR(VLOOKUP(F3951,CARTON_LOOKUP!$A:$E,5,0),"")</f>
      </c>
      <c r="J3951" s="29">
        <f>IFERROR(VLOOKUP(F3951,CARTON_LOOKUP!$A:$E,2,0),"")</f>
      </c>
      <c r="K3951" s="29">
        <f>IFERROR(J3951*D3951,0)</f>
      </c>
      <c r="L3951" s="29">
        <f>IFERROR(E3951*C3951,0)</f>
      </c>
      <c r="M3951" s="29">
        <f>IFERROR((G3951*H3951*I3951/1000000)*D3951,0)</f>
      </c>
    </row>
    <row r="3952" spans="1:13" x14ac:dyDescent="0.25">
      <c r="A3952" s="16"/>
      <c r="E3952" s="27"/>
      <c r="F3952" t="s">
        <v>26</v>
      </c>
      <c r="G3952" s="28">
        <f>IFERROR(VLOOKUP(F3952,CARTON_LOOKUP!$A:$E,3,0),"")</f>
      </c>
      <c r="H3952" s="28">
        <f>IFERROR(VLOOKUP(F3952,CARTON_LOOKUP!$A:$E,4,0),"")</f>
      </c>
      <c r="I3952" s="28">
        <f>IFERROR(VLOOKUP(F3952,CARTON_LOOKUP!$A:$E,5,0),"")</f>
      </c>
      <c r="J3952" s="29">
        <f>IFERROR(VLOOKUP(F3952,CARTON_LOOKUP!$A:$E,2,0),"")</f>
      </c>
      <c r="K3952" s="29">
        <f>IFERROR(J3952*D3952,0)</f>
      </c>
      <c r="L3952" s="29">
        <f>IFERROR(E3952*C3952,0)</f>
      </c>
      <c r="M3952" s="29">
        <f>IFERROR((G3952*H3952*I3952/1000000)*D3952,0)</f>
      </c>
    </row>
    <row r="3953" spans="1:13" x14ac:dyDescent="0.25">
      <c r="A3953" s="16"/>
      <c r="E3953" s="27"/>
      <c r="F3953" t="s">
        <v>26</v>
      </c>
      <c r="G3953" s="28">
        <f>IFERROR(VLOOKUP(F3953,CARTON_LOOKUP!$A:$E,3,0),"")</f>
      </c>
      <c r="H3953" s="28">
        <f>IFERROR(VLOOKUP(F3953,CARTON_LOOKUP!$A:$E,4,0),"")</f>
      </c>
      <c r="I3953" s="28">
        <f>IFERROR(VLOOKUP(F3953,CARTON_LOOKUP!$A:$E,5,0),"")</f>
      </c>
      <c r="J3953" s="29">
        <f>IFERROR(VLOOKUP(F3953,CARTON_LOOKUP!$A:$E,2,0),"")</f>
      </c>
      <c r="K3953" s="29">
        <f>IFERROR(J3953*D3953,0)</f>
      </c>
      <c r="L3953" s="29">
        <f>IFERROR(E3953*C3953,0)</f>
      </c>
      <c r="M3953" s="29">
        <f>IFERROR((G3953*H3953*I3953/1000000)*D3953,0)</f>
      </c>
    </row>
    <row r="3954" spans="1:13" x14ac:dyDescent="0.25">
      <c r="A3954" s="16"/>
      <c r="E3954" s="27"/>
      <c r="F3954" t="s">
        <v>26</v>
      </c>
      <c r="G3954" s="28">
        <f>IFERROR(VLOOKUP(F3954,CARTON_LOOKUP!$A:$E,3,0),"")</f>
      </c>
      <c r="H3954" s="28">
        <f>IFERROR(VLOOKUP(F3954,CARTON_LOOKUP!$A:$E,4,0),"")</f>
      </c>
      <c r="I3954" s="28">
        <f>IFERROR(VLOOKUP(F3954,CARTON_LOOKUP!$A:$E,5,0),"")</f>
      </c>
      <c r="J3954" s="29">
        <f>IFERROR(VLOOKUP(F3954,CARTON_LOOKUP!$A:$E,2,0),"")</f>
      </c>
      <c r="K3954" s="29">
        <f>IFERROR(J3954*D3954,0)</f>
      </c>
      <c r="L3954" s="29">
        <f>IFERROR(E3954*C3954,0)</f>
      </c>
      <c r="M3954" s="29">
        <f>IFERROR((G3954*H3954*I3954/1000000)*D3954,0)</f>
      </c>
    </row>
    <row r="3955" spans="1:13" x14ac:dyDescent="0.25">
      <c r="A3955" s="16"/>
      <c r="E3955" s="27"/>
      <c r="F3955" t="s">
        <v>26</v>
      </c>
      <c r="G3955" s="28">
        <f>IFERROR(VLOOKUP(F3955,CARTON_LOOKUP!$A:$E,3,0),"")</f>
      </c>
      <c r="H3955" s="28">
        <f>IFERROR(VLOOKUP(F3955,CARTON_LOOKUP!$A:$E,4,0),"")</f>
      </c>
      <c r="I3955" s="28">
        <f>IFERROR(VLOOKUP(F3955,CARTON_LOOKUP!$A:$E,5,0),"")</f>
      </c>
      <c r="J3955" s="29">
        <f>IFERROR(VLOOKUP(F3955,CARTON_LOOKUP!$A:$E,2,0),"")</f>
      </c>
      <c r="K3955" s="29">
        <f>IFERROR(J3955*D3955,0)</f>
      </c>
      <c r="L3955" s="29">
        <f>IFERROR(E3955*C3955,0)</f>
      </c>
      <c r="M3955" s="29">
        <f>IFERROR((G3955*H3955*I3955/1000000)*D3955,0)</f>
      </c>
    </row>
    <row r="3956" spans="1:13" x14ac:dyDescent="0.25">
      <c r="A3956" s="16"/>
      <c r="E3956" s="27"/>
      <c r="F3956" t="s">
        <v>26</v>
      </c>
      <c r="G3956" s="28">
        <f>IFERROR(VLOOKUP(F3956,CARTON_LOOKUP!$A:$E,3,0),"")</f>
      </c>
      <c r="H3956" s="28">
        <f>IFERROR(VLOOKUP(F3956,CARTON_LOOKUP!$A:$E,4,0),"")</f>
      </c>
      <c r="I3956" s="28">
        <f>IFERROR(VLOOKUP(F3956,CARTON_LOOKUP!$A:$E,5,0),"")</f>
      </c>
      <c r="J3956" s="29">
        <f>IFERROR(VLOOKUP(F3956,CARTON_LOOKUP!$A:$E,2,0),"")</f>
      </c>
      <c r="K3956" s="29">
        <f>IFERROR(J3956*D3956,0)</f>
      </c>
      <c r="L3956" s="29">
        <f>IFERROR(E3956*C3956,0)</f>
      </c>
      <c r="M3956" s="29">
        <f>IFERROR((G3956*H3956*I3956/1000000)*D3956,0)</f>
      </c>
    </row>
    <row r="3957" spans="1:13" x14ac:dyDescent="0.25">
      <c r="A3957" s="16"/>
      <c r="E3957" s="27"/>
      <c r="F3957" t="s">
        <v>26</v>
      </c>
      <c r="G3957" s="28">
        <f>IFERROR(VLOOKUP(F3957,CARTON_LOOKUP!$A:$E,3,0),"")</f>
      </c>
      <c r="H3957" s="28">
        <f>IFERROR(VLOOKUP(F3957,CARTON_LOOKUP!$A:$E,4,0),"")</f>
      </c>
      <c r="I3957" s="28">
        <f>IFERROR(VLOOKUP(F3957,CARTON_LOOKUP!$A:$E,5,0),"")</f>
      </c>
      <c r="J3957" s="29">
        <f>IFERROR(VLOOKUP(F3957,CARTON_LOOKUP!$A:$E,2,0),"")</f>
      </c>
      <c r="K3957" s="29">
        <f>IFERROR(J3957*D3957,0)</f>
      </c>
      <c r="L3957" s="29">
        <f>IFERROR(E3957*C3957,0)</f>
      </c>
      <c r="M3957" s="29">
        <f>IFERROR((G3957*H3957*I3957/1000000)*D3957,0)</f>
      </c>
    </row>
    <row r="3958" spans="1:13" x14ac:dyDescent="0.25">
      <c r="A3958" s="16"/>
      <c r="E3958" s="27"/>
      <c r="F3958" t="s">
        <v>26</v>
      </c>
      <c r="G3958" s="28">
        <f>IFERROR(VLOOKUP(F3958,CARTON_LOOKUP!$A:$E,3,0),"")</f>
      </c>
      <c r="H3958" s="28">
        <f>IFERROR(VLOOKUP(F3958,CARTON_LOOKUP!$A:$E,4,0),"")</f>
      </c>
      <c r="I3958" s="28">
        <f>IFERROR(VLOOKUP(F3958,CARTON_LOOKUP!$A:$E,5,0),"")</f>
      </c>
      <c r="J3958" s="29">
        <f>IFERROR(VLOOKUP(F3958,CARTON_LOOKUP!$A:$E,2,0),"")</f>
      </c>
      <c r="K3958" s="29">
        <f>IFERROR(J3958*D3958,0)</f>
      </c>
      <c r="L3958" s="29">
        <f>IFERROR(E3958*C3958,0)</f>
      </c>
      <c r="M3958" s="29">
        <f>IFERROR((G3958*H3958*I3958/1000000)*D3958,0)</f>
      </c>
    </row>
    <row r="3959" spans="1:13" x14ac:dyDescent="0.25">
      <c r="A3959" s="16"/>
      <c r="E3959" s="27"/>
      <c r="F3959" t="s">
        <v>26</v>
      </c>
      <c r="G3959" s="28">
        <f>IFERROR(VLOOKUP(F3959,CARTON_LOOKUP!$A:$E,3,0),"")</f>
      </c>
      <c r="H3959" s="28">
        <f>IFERROR(VLOOKUP(F3959,CARTON_LOOKUP!$A:$E,4,0),"")</f>
      </c>
      <c r="I3959" s="28">
        <f>IFERROR(VLOOKUP(F3959,CARTON_LOOKUP!$A:$E,5,0),"")</f>
      </c>
      <c r="J3959" s="29">
        <f>IFERROR(VLOOKUP(F3959,CARTON_LOOKUP!$A:$E,2,0),"")</f>
      </c>
      <c r="K3959" s="29">
        <f>IFERROR(J3959*D3959,0)</f>
      </c>
      <c r="L3959" s="29">
        <f>IFERROR(E3959*C3959,0)</f>
      </c>
      <c r="M3959" s="29">
        <f>IFERROR((G3959*H3959*I3959/1000000)*D3959,0)</f>
      </c>
    </row>
    <row r="3960" spans="1:13" x14ac:dyDescent="0.25">
      <c r="A3960" s="16"/>
      <c r="E3960" s="27"/>
      <c r="F3960" t="s">
        <v>26</v>
      </c>
      <c r="G3960" s="28">
        <f>IFERROR(VLOOKUP(F3960,CARTON_LOOKUP!$A:$E,3,0),"")</f>
      </c>
      <c r="H3960" s="28">
        <f>IFERROR(VLOOKUP(F3960,CARTON_LOOKUP!$A:$E,4,0),"")</f>
      </c>
      <c r="I3960" s="28">
        <f>IFERROR(VLOOKUP(F3960,CARTON_LOOKUP!$A:$E,5,0),"")</f>
      </c>
      <c r="J3960" s="29">
        <f>IFERROR(VLOOKUP(F3960,CARTON_LOOKUP!$A:$E,2,0),"")</f>
      </c>
      <c r="K3960" s="29">
        <f>IFERROR(J3960*D3960,0)</f>
      </c>
      <c r="L3960" s="29">
        <f>IFERROR(E3960*C3960,0)</f>
      </c>
      <c r="M3960" s="29">
        <f>IFERROR((G3960*H3960*I3960/1000000)*D3960,0)</f>
      </c>
    </row>
    <row r="3961" spans="1:13" x14ac:dyDescent="0.25">
      <c r="A3961" s="16"/>
      <c r="E3961" s="27"/>
      <c r="F3961" t="s">
        <v>26</v>
      </c>
      <c r="G3961" s="28">
        <f>IFERROR(VLOOKUP(F3961,CARTON_LOOKUP!$A:$E,3,0),"")</f>
      </c>
      <c r="H3961" s="28">
        <f>IFERROR(VLOOKUP(F3961,CARTON_LOOKUP!$A:$E,4,0),"")</f>
      </c>
      <c r="I3961" s="28">
        <f>IFERROR(VLOOKUP(F3961,CARTON_LOOKUP!$A:$E,5,0),"")</f>
      </c>
      <c r="J3961" s="29">
        <f>IFERROR(VLOOKUP(F3961,CARTON_LOOKUP!$A:$E,2,0),"")</f>
      </c>
      <c r="K3961" s="29">
        <f>IFERROR(J3961*D3961,0)</f>
      </c>
      <c r="L3961" s="29">
        <f>IFERROR(E3961*C3961,0)</f>
      </c>
      <c r="M3961" s="29">
        <f>IFERROR((G3961*H3961*I3961/1000000)*D3961,0)</f>
      </c>
    </row>
    <row r="3962" spans="1:13" x14ac:dyDescent="0.25">
      <c r="A3962" s="16"/>
      <c r="E3962" s="27"/>
      <c r="F3962" t="s">
        <v>26</v>
      </c>
      <c r="G3962" s="28">
        <f>IFERROR(VLOOKUP(F3962,CARTON_LOOKUP!$A:$E,3,0),"")</f>
      </c>
      <c r="H3962" s="28">
        <f>IFERROR(VLOOKUP(F3962,CARTON_LOOKUP!$A:$E,4,0),"")</f>
      </c>
      <c r="I3962" s="28">
        <f>IFERROR(VLOOKUP(F3962,CARTON_LOOKUP!$A:$E,5,0),"")</f>
      </c>
      <c r="J3962" s="29">
        <f>IFERROR(VLOOKUP(F3962,CARTON_LOOKUP!$A:$E,2,0),"")</f>
      </c>
      <c r="K3962" s="29">
        <f>IFERROR(J3962*D3962,0)</f>
      </c>
      <c r="L3962" s="29">
        <f>IFERROR(E3962*C3962,0)</f>
      </c>
      <c r="M3962" s="29">
        <f>IFERROR((G3962*H3962*I3962/1000000)*D3962,0)</f>
      </c>
    </row>
    <row r="3963" spans="1:13" x14ac:dyDescent="0.25">
      <c r="A3963" s="16"/>
      <c r="E3963" s="27"/>
      <c r="F3963" t="s">
        <v>26</v>
      </c>
      <c r="G3963" s="28">
        <f>IFERROR(VLOOKUP(F3963,CARTON_LOOKUP!$A:$E,3,0),"")</f>
      </c>
      <c r="H3963" s="28">
        <f>IFERROR(VLOOKUP(F3963,CARTON_LOOKUP!$A:$E,4,0),"")</f>
      </c>
      <c r="I3963" s="28">
        <f>IFERROR(VLOOKUP(F3963,CARTON_LOOKUP!$A:$E,5,0),"")</f>
      </c>
      <c r="J3963" s="29">
        <f>IFERROR(VLOOKUP(F3963,CARTON_LOOKUP!$A:$E,2,0),"")</f>
      </c>
      <c r="K3963" s="29">
        <f>IFERROR(J3963*D3963,0)</f>
      </c>
      <c r="L3963" s="29">
        <f>IFERROR(E3963*C3963,0)</f>
      </c>
      <c r="M3963" s="29">
        <f>IFERROR((G3963*H3963*I3963/1000000)*D3963,0)</f>
      </c>
    </row>
    <row r="3964" spans="1:13" x14ac:dyDescent="0.25">
      <c r="A3964" s="16"/>
      <c r="E3964" s="27"/>
      <c r="F3964" t="s">
        <v>26</v>
      </c>
      <c r="G3964" s="28">
        <f>IFERROR(VLOOKUP(F3964,CARTON_LOOKUP!$A:$E,3,0),"")</f>
      </c>
      <c r="H3964" s="28">
        <f>IFERROR(VLOOKUP(F3964,CARTON_LOOKUP!$A:$E,4,0),"")</f>
      </c>
      <c r="I3964" s="28">
        <f>IFERROR(VLOOKUP(F3964,CARTON_LOOKUP!$A:$E,5,0),"")</f>
      </c>
      <c r="J3964" s="29">
        <f>IFERROR(VLOOKUP(F3964,CARTON_LOOKUP!$A:$E,2,0),"")</f>
      </c>
      <c r="K3964" s="29">
        <f>IFERROR(J3964*D3964,0)</f>
      </c>
      <c r="L3964" s="29">
        <f>IFERROR(E3964*C3964,0)</f>
      </c>
      <c r="M3964" s="29">
        <f>IFERROR((G3964*H3964*I3964/1000000)*D3964,0)</f>
      </c>
    </row>
    <row r="3965" spans="1:13" x14ac:dyDescent="0.25">
      <c r="A3965" s="16"/>
      <c r="E3965" s="27"/>
      <c r="F3965" t="s">
        <v>26</v>
      </c>
      <c r="G3965" s="28">
        <f>IFERROR(VLOOKUP(F3965,CARTON_LOOKUP!$A:$E,3,0),"")</f>
      </c>
      <c r="H3965" s="28">
        <f>IFERROR(VLOOKUP(F3965,CARTON_LOOKUP!$A:$E,4,0),"")</f>
      </c>
      <c r="I3965" s="28">
        <f>IFERROR(VLOOKUP(F3965,CARTON_LOOKUP!$A:$E,5,0),"")</f>
      </c>
      <c r="J3965" s="29">
        <f>IFERROR(VLOOKUP(F3965,CARTON_LOOKUP!$A:$E,2,0),"")</f>
      </c>
      <c r="K3965" s="29">
        <f>IFERROR(J3965*D3965,0)</f>
      </c>
      <c r="L3965" s="29">
        <f>IFERROR(E3965*C3965,0)</f>
      </c>
      <c r="M3965" s="29">
        <f>IFERROR((G3965*H3965*I3965/1000000)*D3965,0)</f>
      </c>
    </row>
    <row r="3966" spans="1:13" x14ac:dyDescent="0.25">
      <c r="A3966" s="16"/>
      <c r="E3966" s="27"/>
      <c r="F3966" t="s">
        <v>26</v>
      </c>
      <c r="G3966" s="28">
        <f>IFERROR(VLOOKUP(F3966,CARTON_LOOKUP!$A:$E,3,0),"")</f>
      </c>
      <c r="H3966" s="28">
        <f>IFERROR(VLOOKUP(F3966,CARTON_LOOKUP!$A:$E,4,0),"")</f>
      </c>
      <c r="I3966" s="28">
        <f>IFERROR(VLOOKUP(F3966,CARTON_LOOKUP!$A:$E,5,0),"")</f>
      </c>
      <c r="J3966" s="29">
        <f>IFERROR(VLOOKUP(F3966,CARTON_LOOKUP!$A:$E,2,0),"")</f>
      </c>
      <c r="K3966" s="29">
        <f>IFERROR(J3966*D3966,0)</f>
      </c>
      <c r="L3966" s="29">
        <f>IFERROR(E3966*C3966,0)</f>
      </c>
      <c r="M3966" s="29">
        <f>IFERROR((G3966*H3966*I3966/1000000)*D3966,0)</f>
      </c>
    </row>
    <row r="3967" spans="1:13" x14ac:dyDescent="0.25">
      <c r="A3967" s="16"/>
      <c r="E3967" s="27"/>
      <c r="F3967" t="s">
        <v>26</v>
      </c>
      <c r="G3967" s="28">
        <f>IFERROR(VLOOKUP(F3967,CARTON_LOOKUP!$A:$E,3,0),"")</f>
      </c>
      <c r="H3967" s="28">
        <f>IFERROR(VLOOKUP(F3967,CARTON_LOOKUP!$A:$E,4,0),"")</f>
      </c>
      <c r="I3967" s="28">
        <f>IFERROR(VLOOKUP(F3967,CARTON_LOOKUP!$A:$E,5,0),"")</f>
      </c>
      <c r="J3967" s="29">
        <f>IFERROR(VLOOKUP(F3967,CARTON_LOOKUP!$A:$E,2,0),"")</f>
      </c>
      <c r="K3967" s="29">
        <f>IFERROR(J3967*D3967,0)</f>
      </c>
      <c r="L3967" s="29">
        <f>IFERROR(E3967*C3967,0)</f>
      </c>
      <c r="M3967" s="29">
        <f>IFERROR((G3967*H3967*I3967/1000000)*D3967,0)</f>
      </c>
    </row>
    <row r="3968" spans="1:13" x14ac:dyDescent="0.25">
      <c r="A3968" s="16"/>
      <c r="E3968" s="27"/>
      <c r="F3968" t="s">
        <v>26</v>
      </c>
      <c r="G3968" s="28">
        <f>IFERROR(VLOOKUP(F3968,CARTON_LOOKUP!$A:$E,3,0),"")</f>
      </c>
      <c r="H3968" s="28">
        <f>IFERROR(VLOOKUP(F3968,CARTON_LOOKUP!$A:$E,4,0),"")</f>
      </c>
      <c r="I3968" s="28">
        <f>IFERROR(VLOOKUP(F3968,CARTON_LOOKUP!$A:$E,5,0),"")</f>
      </c>
      <c r="J3968" s="29">
        <f>IFERROR(VLOOKUP(F3968,CARTON_LOOKUP!$A:$E,2,0),"")</f>
      </c>
      <c r="K3968" s="29">
        <f>IFERROR(J3968*D3968,0)</f>
      </c>
      <c r="L3968" s="29">
        <f>IFERROR(E3968*C3968,0)</f>
      </c>
      <c r="M3968" s="29">
        <f>IFERROR((G3968*H3968*I3968/1000000)*D3968,0)</f>
      </c>
    </row>
    <row r="3969" spans="1:13" x14ac:dyDescent="0.25">
      <c r="A3969" s="16"/>
      <c r="E3969" s="27"/>
      <c r="F3969" t="s">
        <v>26</v>
      </c>
      <c r="G3969" s="28">
        <f>IFERROR(VLOOKUP(F3969,CARTON_LOOKUP!$A:$E,3,0),"")</f>
      </c>
      <c r="H3969" s="28">
        <f>IFERROR(VLOOKUP(F3969,CARTON_LOOKUP!$A:$E,4,0),"")</f>
      </c>
      <c r="I3969" s="28">
        <f>IFERROR(VLOOKUP(F3969,CARTON_LOOKUP!$A:$E,5,0),"")</f>
      </c>
      <c r="J3969" s="29">
        <f>IFERROR(VLOOKUP(F3969,CARTON_LOOKUP!$A:$E,2,0),"")</f>
      </c>
      <c r="K3969" s="29">
        <f>IFERROR(J3969*D3969,0)</f>
      </c>
      <c r="L3969" s="29">
        <f>IFERROR(E3969*C3969,0)</f>
      </c>
      <c r="M3969" s="29">
        <f>IFERROR((G3969*H3969*I3969/1000000)*D3969,0)</f>
      </c>
    </row>
    <row r="3970" spans="1:13" x14ac:dyDescent="0.25">
      <c r="A3970" s="16"/>
      <c r="E3970" s="27"/>
      <c r="F3970" t="s">
        <v>26</v>
      </c>
      <c r="G3970" s="28">
        <f>IFERROR(VLOOKUP(F3970,CARTON_LOOKUP!$A:$E,3,0),"")</f>
      </c>
      <c r="H3970" s="28">
        <f>IFERROR(VLOOKUP(F3970,CARTON_LOOKUP!$A:$E,4,0),"")</f>
      </c>
      <c r="I3970" s="28">
        <f>IFERROR(VLOOKUP(F3970,CARTON_LOOKUP!$A:$E,5,0),"")</f>
      </c>
      <c r="J3970" s="29">
        <f>IFERROR(VLOOKUP(F3970,CARTON_LOOKUP!$A:$E,2,0),"")</f>
      </c>
      <c r="K3970" s="29">
        <f>IFERROR(J3970*D3970,0)</f>
      </c>
      <c r="L3970" s="29">
        <f>IFERROR(E3970*C3970,0)</f>
      </c>
      <c r="M3970" s="29">
        <f>IFERROR((G3970*H3970*I3970/1000000)*D3970,0)</f>
      </c>
    </row>
    <row r="3971" spans="1:13" x14ac:dyDescent="0.25">
      <c r="A3971" s="16"/>
      <c r="E3971" s="27"/>
      <c r="F3971" t="s">
        <v>26</v>
      </c>
      <c r="G3971" s="28">
        <f>IFERROR(VLOOKUP(F3971,CARTON_LOOKUP!$A:$E,3,0),"")</f>
      </c>
      <c r="H3971" s="28">
        <f>IFERROR(VLOOKUP(F3971,CARTON_LOOKUP!$A:$E,4,0),"")</f>
      </c>
      <c r="I3971" s="28">
        <f>IFERROR(VLOOKUP(F3971,CARTON_LOOKUP!$A:$E,5,0),"")</f>
      </c>
      <c r="J3971" s="29">
        <f>IFERROR(VLOOKUP(F3971,CARTON_LOOKUP!$A:$E,2,0),"")</f>
      </c>
      <c r="K3971" s="29">
        <f>IFERROR(J3971*D3971,0)</f>
      </c>
      <c r="L3971" s="29">
        <f>IFERROR(E3971*C3971,0)</f>
      </c>
      <c r="M3971" s="29">
        <f>IFERROR((G3971*H3971*I3971/1000000)*D3971,0)</f>
      </c>
    </row>
    <row r="3972" spans="1:13" x14ac:dyDescent="0.25">
      <c r="A3972" s="16"/>
      <c r="E3972" s="27"/>
      <c r="F3972" t="s">
        <v>26</v>
      </c>
      <c r="G3972" s="28">
        <f>IFERROR(VLOOKUP(F3972,CARTON_LOOKUP!$A:$E,3,0),"")</f>
      </c>
      <c r="H3972" s="28">
        <f>IFERROR(VLOOKUP(F3972,CARTON_LOOKUP!$A:$E,4,0),"")</f>
      </c>
      <c r="I3972" s="28">
        <f>IFERROR(VLOOKUP(F3972,CARTON_LOOKUP!$A:$E,5,0),"")</f>
      </c>
      <c r="J3972" s="29">
        <f>IFERROR(VLOOKUP(F3972,CARTON_LOOKUP!$A:$E,2,0),"")</f>
      </c>
      <c r="K3972" s="29">
        <f>IFERROR(J3972*D3972,0)</f>
      </c>
      <c r="L3972" s="29">
        <f>IFERROR(E3972*C3972,0)</f>
      </c>
      <c r="M3972" s="29">
        <f>IFERROR((G3972*H3972*I3972/1000000)*D3972,0)</f>
      </c>
    </row>
    <row r="3973" spans="1:13" x14ac:dyDescent="0.25">
      <c r="A3973" s="16"/>
      <c r="E3973" s="27"/>
      <c r="F3973" t="s">
        <v>26</v>
      </c>
      <c r="G3973" s="28">
        <f>IFERROR(VLOOKUP(F3973,CARTON_LOOKUP!$A:$E,3,0),"")</f>
      </c>
      <c r="H3973" s="28">
        <f>IFERROR(VLOOKUP(F3973,CARTON_LOOKUP!$A:$E,4,0),"")</f>
      </c>
      <c r="I3973" s="28">
        <f>IFERROR(VLOOKUP(F3973,CARTON_LOOKUP!$A:$E,5,0),"")</f>
      </c>
      <c r="J3973" s="29">
        <f>IFERROR(VLOOKUP(F3973,CARTON_LOOKUP!$A:$E,2,0),"")</f>
      </c>
      <c r="K3973" s="29">
        <f>IFERROR(J3973*D3973,0)</f>
      </c>
      <c r="L3973" s="29">
        <f>IFERROR(E3973*C3973,0)</f>
      </c>
      <c r="M3973" s="29">
        <f>IFERROR((G3973*H3973*I3973/1000000)*D3973,0)</f>
      </c>
    </row>
    <row r="3974" spans="1:13" x14ac:dyDescent="0.25">
      <c r="A3974" s="16"/>
      <c r="E3974" s="27"/>
      <c r="F3974" t="s">
        <v>26</v>
      </c>
      <c r="G3974" s="28">
        <f>IFERROR(VLOOKUP(F3974,CARTON_LOOKUP!$A:$E,3,0),"")</f>
      </c>
      <c r="H3974" s="28">
        <f>IFERROR(VLOOKUP(F3974,CARTON_LOOKUP!$A:$E,4,0),"")</f>
      </c>
      <c r="I3974" s="28">
        <f>IFERROR(VLOOKUP(F3974,CARTON_LOOKUP!$A:$E,5,0),"")</f>
      </c>
      <c r="J3974" s="29">
        <f>IFERROR(VLOOKUP(F3974,CARTON_LOOKUP!$A:$E,2,0),"")</f>
      </c>
      <c r="K3974" s="29">
        <f>IFERROR(J3974*D3974,0)</f>
      </c>
      <c r="L3974" s="29">
        <f>IFERROR(E3974*C3974,0)</f>
      </c>
      <c r="M3974" s="29">
        <f>IFERROR((G3974*H3974*I3974/1000000)*D3974,0)</f>
      </c>
    </row>
    <row r="3975" spans="1:13" x14ac:dyDescent="0.25">
      <c r="A3975" s="16"/>
      <c r="E3975" s="27"/>
      <c r="F3975" t="s">
        <v>26</v>
      </c>
      <c r="G3975" s="28">
        <f>IFERROR(VLOOKUP(F3975,CARTON_LOOKUP!$A:$E,3,0),"")</f>
      </c>
      <c r="H3975" s="28">
        <f>IFERROR(VLOOKUP(F3975,CARTON_LOOKUP!$A:$E,4,0),"")</f>
      </c>
      <c r="I3975" s="28">
        <f>IFERROR(VLOOKUP(F3975,CARTON_LOOKUP!$A:$E,5,0),"")</f>
      </c>
      <c r="J3975" s="29">
        <f>IFERROR(VLOOKUP(F3975,CARTON_LOOKUP!$A:$E,2,0),"")</f>
      </c>
      <c r="K3975" s="29">
        <f>IFERROR(J3975*D3975,0)</f>
      </c>
      <c r="L3975" s="29">
        <f>IFERROR(E3975*C3975,0)</f>
      </c>
      <c r="M3975" s="29">
        <f>IFERROR((G3975*H3975*I3975/1000000)*D3975,0)</f>
      </c>
    </row>
    <row r="3976" spans="1:13" x14ac:dyDescent="0.25">
      <c r="A3976" s="16"/>
      <c r="E3976" s="27"/>
      <c r="F3976" t="s">
        <v>26</v>
      </c>
      <c r="G3976" s="28">
        <f>IFERROR(VLOOKUP(F3976,CARTON_LOOKUP!$A:$E,3,0),"")</f>
      </c>
      <c r="H3976" s="28">
        <f>IFERROR(VLOOKUP(F3976,CARTON_LOOKUP!$A:$E,4,0),"")</f>
      </c>
      <c r="I3976" s="28">
        <f>IFERROR(VLOOKUP(F3976,CARTON_LOOKUP!$A:$E,5,0),"")</f>
      </c>
      <c r="J3976" s="29">
        <f>IFERROR(VLOOKUP(F3976,CARTON_LOOKUP!$A:$E,2,0),"")</f>
      </c>
      <c r="K3976" s="29">
        <f>IFERROR(J3976*D3976,0)</f>
      </c>
      <c r="L3976" s="29">
        <f>IFERROR(E3976*C3976,0)</f>
      </c>
      <c r="M3976" s="29">
        <f>IFERROR((G3976*H3976*I3976/1000000)*D3976,0)</f>
      </c>
    </row>
    <row r="3977" spans="1:13" x14ac:dyDescent="0.25">
      <c r="A3977" s="16"/>
      <c r="E3977" s="27"/>
      <c r="F3977" t="s">
        <v>26</v>
      </c>
      <c r="G3977" s="28">
        <f>IFERROR(VLOOKUP(F3977,CARTON_LOOKUP!$A:$E,3,0),"")</f>
      </c>
      <c r="H3977" s="28">
        <f>IFERROR(VLOOKUP(F3977,CARTON_LOOKUP!$A:$E,4,0),"")</f>
      </c>
      <c r="I3977" s="28">
        <f>IFERROR(VLOOKUP(F3977,CARTON_LOOKUP!$A:$E,5,0),"")</f>
      </c>
      <c r="J3977" s="29">
        <f>IFERROR(VLOOKUP(F3977,CARTON_LOOKUP!$A:$E,2,0),"")</f>
      </c>
      <c r="K3977" s="29">
        <f>IFERROR(J3977*D3977,0)</f>
      </c>
      <c r="L3977" s="29">
        <f>IFERROR(E3977*C3977,0)</f>
      </c>
      <c r="M3977" s="29">
        <f>IFERROR((G3977*H3977*I3977/1000000)*D3977,0)</f>
      </c>
    </row>
    <row r="3978" spans="1:13" x14ac:dyDescent="0.25">
      <c r="A3978" s="16"/>
      <c r="E3978" s="27"/>
      <c r="F3978" t="s">
        <v>26</v>
      </c>
      <c r="G3978" s="28">
        <f>IFERROR(VLOOKUP(F3978,CARTON_LOOKUP!$A:$E,3,0),"")</f>
      </c>
      <c r="H3978" s="28">
        <f>IFERROR(VLOOKUP(F3978,CARTON_LOOKUP!$A:$E,4,0),"")</f>
      </c>
      <c r="I3978" s="28">
        <f>IFERROR(VLOOKUP(F3978,CARTON_LOOKUP!$A:$E,5,0),"")</f>
      </c>
      <c r="J3978" s="29">
        <f>IFERROR(VLOOKUP(F3978,CARTON_LOOKUP!$A:$E,2,0),"")</f>
      </c>
      <c r="K3978" s="29">
        <f>IFERROR(J3978*D3978,0)</f>
      </c>
      <c r="L3978" s="29">
        <f>IFERROR(E3978*C3978,0)</f>
      </c>
      <c r="M3978" s="29">
        <f>IFERROR((G3978*H3978*I3978/1000000)*D3978,0)</f>
      </c>
    </row>
    <row r="3979" spans="1:13" x14ac:dyDescent="0.25">
      <c r="A3979" s="16"/>
      <c r="E3979" s="27"/>
      <c r="F3979" t="s">
        <v>26</v>
      </c>
      <c r="G3979" s="28">
        <f>IFERROR(VLOOKUP(F3979,CARTON_LOOKUP!$A:$E,3,0),"")</f>
      </c>
      <c r="H3979" s="28">
        <f>IFERROR(VLOOKUP(F3979,CARTON_LOOKUP!$A:$E,4,0),"")</f>
      </c>
      <c r="I3979" s="28">
        <f>IFERROR(VLOOKUP(F3979,CARTON_LOOKUP!$A:$E,5,0),"")</f>
      </c>
      <c r="J3979" s="29">
        <f>IFERROR(VLOOKUP(F3979,CARTON_LOOKUP!$A:$E,2,0),"")</f>
      </c>
      <c r="K3979" s="29">
        <f>IFERROR(J3979*D3979,0)</f>
      </c>
      <c r="L3979" s="29">
        <f>IFERROR(E3979*C3979,0)</f>
      </c>
      <c r="M3979" s="29">
        <f>IFERROR((G3979*H3979*I3979/1000000)*D3979,0)</f>
      </c>
    </row>
    <row r="3980" spans="1:13" x14ac:dyDescent="0.25">
      <c r="A3980" s="16"/>
      <c r="E3980" s="27"/>
      <c r="F3980" t="s">
        <v>26</v>
      </c>
      <c r="G3980" s="28">
        <f>IFERROR(VLOOKUP(F3980,CARTON_LOOKUP!$A:$E,3,0),"")</f>
      </c>
      <c r="H3980" s="28">
        <f>IFERROR(VLOOKUP(F3980,CARTON_LOOKUP!$A:$E,4,0),"")</f>
      </c>
      <c r="I3980" s="28">
        <f>IFERROR(VLOOKUP(F3980,CARTON_LOOKUP!$A:$E,5,0),"")</f>
      </c>
      <c r="J3980" s="29">
        <f>IFERROR(VLOOKUP(F3980,CARTON_LOOKUP!$A:$E,2,0),"")</f>
      </c>
      <c r="K3980" s="29">
        <f>IFERROR(J3980*D3980,0)</f>
      </c>
      <c r="L3980" s="29">
        <f>IFERROR(E3980*C3980,0)</f>
      </c>
      <c r="M3980" s="29">
        <f>IFERROR((G3980*H3980*I3980/1000000)*D3980,0)</f>
      </c>
    </row>
    <row r="3981" spans="1:13" x14ac:dyDescent="0.25">
      <c r="A3981" s="16"/>
      <c r="E3981" s="27"/>
      <c r="F3981" t="s">
        <v>26</v>
      </c>
      <c r="G3981" s="28">
        <f>IFERROR(VLOOKUP(F3981,CARTON_LOOKUP!$A:$E,3,0),"")</f>
      </c>
      <c r="H3981" s="28">
        <f>IFERROR(VLOOKUP(F3981,CARTON_LOOKUP!$A:$E,4,0),"")</f>
      </c>
      <c r="I3981" s="28">
        <f>IFERROR(VLOOKUP(F3981,CARTON_LOOKUP!$A:$E,5,0),"")</f>
      </c>
      <c r="J3981" s="29">
        <f>IFERROR(VLOOKUP(F3981,CARTON_LOOKUP!$A:$E,2,0),"")</f>
      </c>
      <c r="K3981" s="29">
        <f>IFERROR(J3981*D3981,0)</f>
      </c>
      <c r="L3981" s="29">
        <f>IFERROR(E3981*C3981,0)</f>
      </c>
      <c r="M3981" s="29">
        <f>IFERROR((G3981*H3981*I3981/1000000)*D3981,0)</f>
      </c>
    </row>
    <row r="3982" spans="1:13" x14ac:dyDescent="0.25">
      <c r="A3982" s="16"/>
      <c r="E3982" s="27"/>
      <c r="F3982" t="s">
        <v>26</v>
      </c>
      <c r="G3982" s="28">
        <f>IFERROR(VLOOKUP(F3982,CARTON_LOOKUP!$A:$E,3,0),"")</f>
      </c>
      <c r="H3982" s="28">
        <f>IFERROR(VLOOKUP(F3982,CARTON_LOOKUP!$A:$E,4,0),"")</f>
      </c>
      <c r="I3982" s="28">
        <f>IFERROR(VLOOKUP(F3982,CARTON_LOOKUP!$A:$E,5,0),"")</f>
      </c>
      <c r="J3982" s="29">
        <f>IFERROR(VLOOKUP(F3982,CARTON_LOOKUP!$A:$E,2,0),"")</f>
      </c>
      <c r="K3982" s="29">
        <f>IFERROR(J3982*D3982,0)</f>
      </c>
      <c r="L3982" s="29">
        <f>IFERROR(E3982*C3982,0)</f>
      </c>
      <c r="M3982" s="29">
        <f>IFERROR((G3982*H3982*I3982/1000000)*D3982,0)</f>
      </c>
    </row>
    <row r="3983" spans="1:13" x14ac:dyDescent="0.25">
      <c r="A3983" s="16"/>
      <c r="E3983" s="27"/>
      <c r="F3983" t="s">
        <v>26</v>
      </c>
      <c r="G3983" s="28">
        <f>IFERROR(VLOOKUP(F3983,CARTON_LOOKUP!$A:$E,3,0),"")</f>
      </c>
      <c r="H3983" s="28">
        <f>IFERROR(VLOOKUP(F3983,CARTON_LOOKUP!$A:$E,4,0),"")</f>
      </c>
      <c r="I3983" s="28">
        <f>IFERROR(VLOOKUP(F3983,CARTON_LOOKUP!$A:$E,5,0),"")</f>
      </c>
      <c r="J3983" s="29">
        <f>IFERROR(VLOOKUP(F3983,CARTON_LOOKUP!$A:$E,2,0),"")</f>
      </c>
      <c r="K3983" s="29">
        <f>IFERROR(J3983*D3983,0)</f>
      </c>
      <c r="L3983" s="29">
        <f>IFERROR(E3983*C3983,0)</f>
      </c>
      <c r="M3983" s="29">
        <f>IFERROR((G3983*H3983*I3983/1000000)*D3983,0)</f>
      </c>
    </row>
    <row r="3984" spans="1:13" x14ac:dyDescent="0.25">
      <c r="A3984" s="16"/>
      <c r="E3984" s="27"/>
      <c r="F3984" t="s">
        <v>26</v>
      </c>
      <c r="G3984" s="28">
        <f>IFERROR(VLOOKUP(F3984,CARTON_LOOKUP!$A:$E,3,0),"")</f>
      </c>
      <c r="H3984" s="28">
        <f>IFERROR(VLOOKUP(F3984,CARTON_LOOKUP!$A:$E,4,0),"")</f>
      </c>
      <c r="I3984" s="28">
        <f>IFERROR(VLOOKUP(F3984,CARTON_LOOKUP!$A:$E,5,0),"")</f>
      </c>
      <c r="J3984" s="29">
        <f>IFERROR(VLOOKUP(F3984,CARTON_LOOKUP!$A:$E,2,0),"")</f>
      </c>
      <c r="K3984" s="29">
        <f>IFERROR(J3984*D3984,0)</f>
      </c>
      <c r="L3984" s="29">
        <f>IFERROR(E3984*C3984,0)</f>
      </c>
      <c r="M3984" s="29">
        <f>IFERROR((G3984*H3984*I3984/1000000)*D3984,0)</f>
      </c>
    </row>
    <row r="3985" spans="1:13" x14ac:dyDescent="0.25">
      <c r="A3985" s="16"/>
      <c r="E3985" s="27"/>
      <c r="F3985" t="s">
        <v>26</v>
      </c>
      <c r="G3985" s="28">
        <f>IFERROR(VLOOKUP(F3985,CARTON_LOOKUP!$A:$E,3,0),"")</f>
      </c>
      <c r="H3985" s="28">
        <f>IFERROR(VLOOKUP(F3985,CARTON_LOOKUP!$A:$E,4,0),"")</f>
      </c>
      <c r="I3985" s="28">
        <f>IFERROR(VLOOKUP(F3985,CARTON_LOOKUP!$A:$E,5,0),"")</f>
      </c>
      <c r="J3985" s="29">
        <f>IFERROR(VLOOKUP(F3985,CARTON_LOOKUP!$A:$E,2,0),"")</f>
      </c>
      <c r="K3985" s="29">
        <f>IFERROR(J3985*D3985,0)</f>
      </c>
      <c r="L3985" s="29">
        <f>IFERROR(E3985*C3985,0)</f>
      </c>
      <c r="M3985" s="29">
        <f>IFERROR((G3985*H3985*I3985/1000000)*D3985,0)</f>
      </c>
    </row>
    <row r="3986" spans="1:13" x14ac:dyDescent="0.25">
      <c r="A3986" s="16"/>
      <c r="E3986" s="27"/>
      <c r="F3986" t="s">
        <v>26</v>
      </c>
      <c r="G3986" s="28">
        <f>IFERROR(VLOOKUP(F3986,CARTON_LOOKUP!$A:$E,3,0),"")</f>
      </c>
      <c r="H3986" s="28">
        <f>IFERROR(VLOOKUP(F3986,CARTON_LOOKUP!$A:$E,4,0),"")</f>
      </c>
      <c r="I3986" s="28">
        <f>IFERROR(VLOOKUP(F3986,CARTON_LOOKUP!$A:$E,5,0),"")</f>
      </c>
      <c r="J3986" s="29">
        <f>IFERROR(VLOOKUP(F3986,CARTON_LOOKUP!$A:$E,2,0),"")</f>
      </c>
      <c r="K3986" s="29">
        <f>IFERROR(J3986*D3986,0)</f>
      </c>
      <c r="L3986" s="29">
        <f>IFERROR(E3986*C3986,0)</f>
      </c>
      <c r="M3986" s="29">
        <f>IFERROR((G3986*H3986*I3986/1000000)*D3986,0)</f>
      </c>
    </row>
    <row r="3987" spans="1:13" x14ac:dyDescent="0.25">
      <c r="A3987" s="16"/>
      <c r="E3987" s="27"/>
      <c r="F3987" t="s">
        <v>26</v>
      </c>
      <c r="G3987" s="28">
        <f>IFERROR(VLOOKUP(F3987,CARTON_LOOKUP!$A:$E,3,0),"")</f>
      </c>
      <c r="H3987" s="28">
        <f>IFERROR(VLOOKUP(F3987,CARTON_LOOKUP!$A:$E,4,0),"")</f>
      </c>
      <c r="I3987" s="28">
        <f>IFERROR(VLOOKUP(F3987,CARTON_LOOKUP!$A:$E,5,0),"")</f>
      </c>
      <c r="J3987" s="29">
        <f>IFERROR(VLOOKUP(F3987,CARTON_LOOKUP!$A:$E,2,0),"")</f>
      </c>
      <c r="K3987" s="29">
        <f>IFERROR(J3987*D3987,0)</f>
      </c>
      <c r="L3987" s="29">
        <f>IFERROR(E3987*C3987,0)</f>
      </c>
      <c r="M3987" s="29">
        <f>IFERROR((G3987*H3987*I3987/1000000)*D3987,0)</f>
      </c>
    </row>
    <row r="3988" spans="1:13" x14ac:dyDescent="0.25">
      <c r="A3988" s="16"/>
      <c r="E3988" s="27"/>
      <c r="F3988" t="s">
        <v>26</v>
      </c>
      <c r="G3988" s="28">
        <f>IFERROR(VLOOKUP(F3988,CARTON_LOOKUP!$A:$E,3,0),"")</f>
      </c>
      <c r="H3988" s="28">
        <f>IFERROR(VLOOKUP(F3988,CARTON_LOOKUP!$A:$E,4,0),"")</f>
      </c>
      <c r="I3988" s="28">
        <f>IFERROR(VLOOKUP(F3988,CARTON_LOOKUP!$A:$E,5,0),"")</f>
      </c>
      <c r="J3988" s="29">
        <f>IFERROR(VLOOKUP(F3988,CARTON_LOOKUP!$A:$E,2,0),"")</f>
      </c>
      <c r="K3988" s="29">
        <f>IFERROR(J3988*D3988,0)</f>
      </c>
      <c r="L3988" s="29">
        <f>IFERROR(E3988*C3988,0)</f>
      </c>
      <c r="M3988" s="29">
        <f>IFERROR((G3988*H3988*I3988/1000000)*D3988,0)</f>
      </c>
    </row>
    <row r="3989" spans="1:13" x14ac:dyDescent="0.25">
      <c r="A3989" s="16"/>
      <c r="E3989" s="27"/>
      <c r="F3989" t="s">
        <v>26</v>
      </c>
      <c r="G3989" s="28">
        <f>IFERROR(VLOOKUP(F3989,CARTON_LOOKUP!$A:$E,3,0),"")</f>
      </c>
      <c r="H3989" s="28">
        <f>IFERROR(VLOOKUP(F3989,CARTON_LOOKUP!$A:$E,4,0),"")</f>
      </c>
      <c r="I3989" s="28">
        <f>IFERROR(VLOOKUP(F3989,CARTON_LOOKUP!$A:$E,5,0),"")</f>
      </c>
      <c r="J3989" s="29">
        <f>IFERROR(VLOOKUP(F3989,CARTON_LOOKUP!$A:$E,2,0),"")</f>
      </c>
      <c r="K3989" s="29">
        <f>IFERROR(J3989*D3989,0)</f>
      </c>
      <c r="L3989" s="29">
        <f>IFERROR(E3989*C3989,0)</f>
      </c>
      <c r="M3989" s="29">
        <f>IFERROR((G3989*H3989*I3989/1000000)*D3989,0)</f>
      </c>
    </row>
    <row r="3990" spans="1:13" x14ac:dyDescent="0.25">
      <c r="A3990" s="16"/>
      <c r="E3990" s="27"/>
      <c r="F3990" t="s">
        <v>26</v>
      </c>
      <c r="G3990" s="28">
        <f>IFERROR(VLOOKUP(F3990,CARTON_LOOKUP!$A:$E,3,0),"")</f>
      </c>
      <c r="H3990" s="28">
        <f>IFERROR(VLOOKUP(F3990,CARTON_LOOKUP!$A:$E,4,0),"")</f>
      </c>
      <c r="I3990" s="28">
        <f>IFERROR(VLOOKUP(F3990,CARTON_LOOKUP!$A:$E,5,0),"")</f>
      </c>
      <c r="J3990" s="29">
        <f>IFERROR(VLOOKUP(F3990,CARTON_LOOKUP!$A:$E,2,0),"")</f>
      </c>
      <c r="K3990" s="29">
        <f>IFERROR(J3990*D3990,0)</f>
      </c>
      <c r="L3990" s="29">
        <f>IFERROR(E3990*C3990,0)</f>
      </c>
      <c r="M3990" s="29">
        <f>IFERROR((G3990*H3990*I3990/1000000)*D3990,0)</f>
      </c>
    </row>
    <row r="3991" spans="1:13" x14ac:dyDescent="0.25">
      <c r="A3991" s="16"/>
      <c r="E3991" s="27"/>
      <c r="F3991" t="s">
        <v>26</v>
      </c>
      <c r="G3991" s="28">
        <f>IFERROR(VLOOKUP(F3991,CARTON_LOOKUP!$A:$E,3,0),"")</f>
      </c>
      <c r="H3991" s="28">
        <f>IFERROR(VLOOKUP(F3991,CARTON_LOOKUP!$A:$E,4,0),"")</f>
      </c>
      <c r="I3991" s="28">
        <f>IFERROR(VLOOKUP(F3991,CARTON_LOOKUP!$A:$E,5,0),"")</f>
      </c>
      <c r="J3991" s="29">
        <f>IFERROR(VLOOKUP(F3991,CARTON_LOOKUP!$A:$E,2,0),"")</f>
      </c>
      <c r="K3991" s="29">
        <f>IFERROR(J3991*D3991,0)</f>
      </c>
      <c r="L3991" s="29">
        <f>IFERROR(E3991*C3991,0)</f>
      </c>
      <c r="M3991" s="29">
        <f>IFERROR((G3991*H3991*I3991/1000000)*D3991,0)</f>
      </c>
    </row>
    <row r="3992" spans="1:13" x14ac:dyDescent="0.25">
      <c r="A3992" s="16"/>
      <c r="E3992" s="27"/>
      <c r="F3992" t="s">
        <v>26</v>
      </c>
      <c r="G3992" s="28">
        <f>IFERROR(VLOOKUP(F3992,CARTON_LOOKUP!$A:$E,3,0),"")</f>
      </c>
      <c r="H3992" s="28">
        <f>IFERROR(VLOOKUP(F3992,CARTON_LOOKUP!$A:$E,4,0),"")</f>
      </c>
      <c r="I3992" s="28">
        <f>IFERROR(VLOOKUP(F3992,CARTON_LOOKUP!$A:$E,5,0),"")</f>
      </c>
      <c r="J3992" s="29">
        <f>IFERROR(VLOOKUP(F3992,CARTON_LOOKUP!$A:$E,2,0),"")</f>
      </c>
      <c r="K3992" s="29">
        <f>IFERROR(J3992*D3992,0)</f>
      </c>
      <c r="L3992" s="29">
        <f>IFERROR(E3992*C3992,0)</f>
      </c>
      <c r="M3992" s="29">
        <f>IFERROR((G3992*H3992*I3992/1000000)*D3992,0)</f>
      </c>
    </row>
    <row r="3993" spans="1:13" x14ac:dyDescent="0.25">
      <c r="A3993" s="16"/>
      <c r="E3993" s="27"/>
      <c r="F3993" t="s">
        <v>26</v>
      </c>
      <c r="G3993" s="28">
        <f>IFERROR(VLOOKUP(F3993,CARTON_LOOKUP!$A:$E,3,0),"")</f>
      </c>
      <c r="H3993" s="28">
        <f>IFERROR(VLOOKUP(F3993,CARTON_LOOKUP!$A:$E,4,0),"")</f>
      </c>
      <c r="I3993" s="28">
        <f>IFERROR(VLOOKUP(F3993,CARTON_LOOKUP!$A:$E,5,0),"")</f>
      </c>
      <c r="J3993" s="29">
        <f>IFERROR(VLOOKUP(F3993,CARTON_LOOKUP!$A:$E,2,0),"")</f>
      </c>
      <c r="K3993" s="29">
        <f>IFERROR(J3993*D3993,0)</f>
      </c>
      <c r="L3993" s="29">
        <f>IFERROR(E3993*C3993,0)</f>
      </c>
      <c r="M3993" s="29">
        <f>IFERROR((G3993*H3993*I3993/1000000)*D3993,0)</f>
      </c>
    </row>
    <row r="3994" spans="1:13" x14ac:dyDescent="0.25">
      <c r="A3994" s="16"/>
      <c r="E3994" s="27"/>
      <c r="F3994" t="s">
        <v>26</v>
      </c>
      <c r="G3994" s="28">
        <f>IFERROR(VLOOKUP(F3994,CARTON_LOOKUP!$A:$E,3,0),"")</f>
      </c>
      <c r="H3994" s="28">
        <f>IFERROR(VLOOKUP(F3994,CARTON_LOOKUP!$A:$E,4,0),"")</f>
      </c>
      <c r="I3994" s="28">
        <f>IFERROR(VLOOKUP(F3994,CARTON_LOOKUP!$A:$E,5,0),"")</f>
      </c>
      <c r="J3994" s="29">
        <f>IFERROR(VLOOKUP(F3994,CARTON_LOOKUP!$A:$E,2,0),"")</f>
      </c>
      <c r="K3994" s="29">
        <f>IFERROR(J3994*D3994,0)</f>
      </c>
      <c r="L3994" s="29">
        <f>IFERROR(E3994*C3994,0)</f>
      </c>
      <c r="M3994" s="29">
        <f>IFERROR((G3994*H3994*I3994/1000000)*D3994,0)</f>
      </c>
    </row>
    <row r="3995" spans="1:13" x14ac:dyDescent="0.25">
      <c r="A3995" s="16"/>
      <c r="E3995" s="27"/>
      <c r="F3995" t="s">
        <v>26</v>
      </c>
      <c r="G3995" s="28">
        <f>IFERROR(VLOOKUP(F3995,CARTON_LOOKUP!$A:$E,3,0),"")</f>
      </c>
      <c r="H3995" s="28">
        <f>IFERROR(VLOOKUP(F3995,CARTON_LOOKUP!$A:$E,4,0),"")</f>
      </c>
      <c r="I3995" s="28">
        <f>IFERROR(VLOOKUP(F3995,CARTON_LOOKUP!$A:$E,5,0),"")</f>
      </c>
      <c r="J3995" s="29">
        <f>IFERROR(VLOOKUP(F3995,CARTON_LOOKUP!$A:$E,2,0),"")</f>
      </c>
      <c r="K3995" s="29">
        <f>IFERROR(J3995*D3995,0)</f>
      </c>
      <c r="L3995" s="29">
        <f>IFERROR(E3995*C3995,0)</f>
      </c>
      <c r="M3995" s="29">
        <f>IFERROR((G3995*H3995*I3995/1000000)*D3995,0)</f>
      </c>
    </row>
    <row r="3996" spans="1:13" x14ac:dyDescent="0.25">
      <c r="A3996" s="16"/>
      <c r="E3996" s="27"/>
      <c r="F3996" t="s">
        <v>26</v>
      </c>
      <c r="G3996" s="28">
        <f>IFERROR(VLOOKUP(F3996,CARTON_LOOKUP!$A:$E,3,0),"")</f>
      </c>
      <c r="H3996" s="28">
        <f>IFERROR(VLOOKUP(F3996,CARTON_LOOKUP!$A:$E,4,0),"")</f>
      </c>
      <c r="I3996" s="28">
        <f>IFERROR(VLOOKUP(F3996,CARTON_LOOKUP!$A:$E,5,0),"")</f>
      </c>
      <c r="J3996" s="29">
        <f>IFERROR(VLOOKUP(F3996,CARTON_LOOKUP!$A:$E,2,0),"")</f>
      </c>
      <c r="K3996" s="29">
        <f>IFERROR(J3996*D3996,0)</f>
      </c>
      <c r="L3996" s="29">
        <f>IFERROR(E3996*C3996,0)</f>
      </c>
      <c r="M3996" s="29">
        <f>IFERROR((G3996*H3996*I3996/1000000)*D3996,0)</f>
      </c>
    </row>
    <row r="3997" spans="1:13" x14ac:dyDescent="0.25">
      <c r="A3997" s="16"/>
      <c r="E3997" s="27"/>
      <c r="F3997" t="s">
        <v>26</v>
      </c>
      <c r="G3997" s="28">
        <f>IFERROR(VLOOKUP(F3997,CARTON_LOOKUP!$A:$E,3,0),"")</f>
      </c>
      <c r="H3997" s="28">
        <f>IFERROR(VLOOKUP(F3997,CARTON_LOOKUP!$A:$E,4,0),"")</f>
      </c>
      <c r="I3997" s="28">
        <f>IFERROR(VLOOKUP(F3997,CARTON_LOOKUP!$A:$E,5,0),"")</f>
      </c>
      <c r="J3997" s="29">
        <f>IFERROR(VLOOKUP(F3997,CARTON_LOOKUP!$A:$E,2,0),"")</f>
      </c>
      <c r="K3997" s="29">
        <f>IFERROR(J3997*D3997,0)</f>
      </c>
      <c r="L3997" s="29">
        <f>IFERROR(E3997*C3997,0)</f>
      </c>
      <c r="M3997" s="29">
        <f>IFERROR((G3997*H3997*I3997/1000000)*D3997,0)</f>
      </c>
    </row>
    <row r="3998" spans="1:13" x14ac:dyDescent="0.25">
      <c r="A3998" s="16"/>
      <c r="E3998" s="27"/>
      <c r="F3998" t="s">
        <v>26</v>
      </c>
      <c r="G3998" s="28">
        <f>IFERROR(VLOOKUP(F3998,CARTON_LOOKUP!$A:$E,3,0),"")</f>
      </c>
      <c r="H3998" s="28">
        <f>IFERROR(VLOOKUP(F3998,CARTON_LOOKUP!$A:$E,4,0),"")</f>
      </c>
      <c r="I3998" s="28">
        <f>IFERROR(VLOOKUP(F3998,CARTON_LOOKUP!$A:$E,5,0),"")</f>
      </c>
      <c r="J3998" s="29">
        <f>IFERROR(VLOOKUP(F3998,CARTON_LOOKUP!$A:$E,2,0),"")</f>
      </c>
      <c r="K3998" s="29">
        <f>IFERROR(J3998*D3998,0)</f>
      </c>
      <c r="L3998" s="29">
        <f>IFERROR(E3998*C3998,0)</f>
      </c>
      <c r="M3998" s="29">
        <f>IFERROR((G3998*H3998*I3998/1000000)*D3998,0)</f>
      </c>
    </row>
    <row r="3999" spans="1:13" x14ac:dyDescent="0.25">
      <c r="A3999" s="16"/>
      <c r="E3999" s="27"/>
      <c r="F3999" t="s">
        <v>26</v>
      </c>
      <c r="G3999" s="28">
        <f>IFERROR(VLOOKUP(F3999,CARTON_LOOKUP!$A:$E,3,0),"")</f>
      </c>
      <c r="H3999" s="28">
        <f>IFERROR(VLOOKUP(F3999,CARTON_LOOKUP!$A:$E,4,0),"")</f>
      </c>
      <c r="I3999" s="28">
        <f>IFERROR(VLOOKUP(F3999,CARTON_LOOKUP!$A:$E,5,0),"")</f>
      </c>
      <c r="J3999" s="29">
        <f>IFERROR(VLOOKUP(F3999,CARTON_LOOKUP!$A:$E,2,0),"")</f>
      </c>
      <c r="K3999" s="29">
        <f>IFERROR(J3999*D3999,0)</f>
      </c>
      <c r="L3999" s="29">
        <f>IFERROR(E3999*C3999,0)</f>
      </c>
      <c r="M3999" s="29">
        <f>IFERROR((G3999*H3999*I3999/1000000)*D3999,0)</f>
      </c>
    </row>
    <row r="4000" spans="1:13" x14ac:dyDescent="0.25">
      <c r="A4000" s="16"/>
      <c r="E4000" s="27"/>
      <c r="F4000" t="s">
        <v>26</v>
      </c>
      <c r="G4000" s="28">
        <f>IFERROR(VLOOKUP(F4000,CARTON_LOOKUP!$A:$E,3,0),"")</f>
      </c>
      <c r="H4000" s="28">
        <f>IFERROR(VLOOKUP(F4000,CARTON_LOOKUP!$A:$E,4,0),"")</f>
      </c>
      <c r="I4000" s="28">
        <f>IFERROR(VLOOKUP(F4000,CARTON_LOOKUP!$A:$E,5,0),"")</f>
      </c>
      <c r="J4000" s="29">
        <f>IFERROR(VLOOKUP(F4000,CARTON_LOOKUP!$A:$E,2,0),"")</f>
      </c>
      <c r="K4000" s="29">
        <f>IFERROR(J4000*D4000,0)</f>
      </c>
      <c r="L4000" s="29">
        <f>IFERROR(E4000*C4000,0)</f>
      </c>
      <c r="M4000" s="29">
        <f>IFERROR((G4000*H4000*I4000/1000000)*D4000,0)</f>
      </c>
    </row>
    <row r="4001" spans="1:13" x14ac:dyDescent="0.25">
      <c r="A4001" s="16"/>
      <c r="E4001" s="27"/>
      <c r="F4001" t="s">
        <v>26</v>
      </c>
      <c r="G4001" s="28">
        <f>IFERROR(VLOOKUP(F4001,CARTON_LOOKUP!$A:$E,3,0),"")</f>
      </c>
      <c r="H4001" s="28">
        <f>IFERROR(VLOOKUP(F4001,CARTON_LOOKUP!$A:$E,4,0),"")</f>
      </c>
      <c r="I4001" s="28">
        <f>IFERROR(VLOOKUP(F4001,CARTON_LOOKUP!$A:$E,5,0),"")</f>
      </c>
      <c r="J4001" s="29">
        <f>IFERROR(VLOOKUP(F4001,CARTON_LOOKUP!$A:$E,2,0),"")</f>
      </c>
      <c r="K4001" s="29">
        <f>IFERROR(J4001*D4001,0)</f>
      </c>
      <c r="L4001" s="29">
        <f>IFERROR(E4001*C4001,0)</f>
      </c>
      <c r="M4001" s="29">
        <f>IFERROR((G4001*H4001*I4001/1000000)*D4001,0)</f>
      </c>
    </row>
    <row r="4002" spans="1:13" x14ac:dyDescent="0.25">
      <c r="A4002" s="16"/>
      <c r="E4002" s="27"/>
      <c r="F4002" t="s">
        <v>26</v>
      </c>
      <c r="G4002" s="28">
        <f>IFERROR(VLOOKUP(F4002,CARTON_LOOKUP!$A:$E,3,0),"")</f>
      </c>
      <c r="H4002" s="28">
        <f>IFERROR(VLOOKUP(F4002,CARTON_LOOKUP!$A:$E,4,0),"")</f>
      </c>
      <c r="I4002" s="28">
        <f>IFERROR(VLOOKUP(F4002,CARTON_LOOKUP!$A:$E,5,0),"")</f>
      </c>
      <c r="J4002" s="29">
        <f>IFERROR(VLOOKUP(F4002,CARTON_LOOKUP!$A:$E,2,0),"")</f>
      </c>
      <c r="K4002" s="29">
        <f>IFERROR(J4002*D4002,0)</f>
      </c>
      <c r="L4002" s="29">
        <f>IFERROR(E4002*C4002,0)</f>
      </c>
      <c r="M4002" s="29">
        <f>IFERROR((G4002*H4002*I4002/1000000)*D4002,0)</f>
      </c>
    </row>
    <row r="4003" spans="1:13" x14ac:dyDescent="0.25">
      <c r="A4003" s="16"/>
      <c r="E4003" s="27"/>
      <c r="F4003" t="s">
        <v>26</v>
      </c>
      <c r="G4003" s="28">
        <f>IFERROR(VLOOKUP(F4003,CARTON_LOOKUP!$A:$E,3,0),"")</f>
      </c>
      <c r="H4003" s="28">
        <f>IFERROR(VLOOKUP(F4003,CARTON_LOOKUP!$A:$E,4,0),"")</f>
      </c>
      <c r="I4003" s="28">
        <f>IFERROR(VLOOKUP(F4003,CARTON_LOOKUP!$A:$E,5,0),"")</f>
      </c>
      <c r="J4003" s="29">
        <f>IFERROR(VLOOKUP(F4003,CARTON_LOOKUP!$A:$E,2,0),"")</f>
      </c>
      <c r="K4003" s="29">
        <f>IFERROR(J4003*D4003,0)</f>
      </c>
      <c r="L4003" s="29">
        <f>IFERROR(E4003*C4003,0)</f>
      </c>
      <c r="M4003" s="29">
        <f>IFERROR((G4003*H4003*I4003/1000000)*D4003,0)</f>
      </c>
    </row>
    <row r="4004" spans="1:13" x14ac:dyDescent="0.25">
      <c r="A4004" s="16"/>
      <c r="E4004" s="27"/>
      <c r="F4004" t="s">
        <v>26</v>
      </c>
      <c r="G4004" s="28">
        <f>IFERROR(VLOOKUP(F4004,CARTON_LOOKUP!$A:$E,3,0),"")</f>
      </c>
      <c r="H4004" s="28">
        <f>IFERROR(VLOOKUP(F4004,CARTON_LOOKUP!$A:$E,4,0),"")</f>
      </c>
      <c r="I4004" s="28">
        <f>IFERROR(VLOOKUP(F4004,CARTON_LOOKUP!$A:$E,5,0),"")</f>
      </c>
      <c r="J4004" s="29">
        <f>IFERROR(VLOOKUP(F4004,CARTON_LOOKUP!$A:$E,2,0),"")</f>
      </c>
      <c r="K4004" s="29">
        <f>IFERROR(J4004*D4004,0)</f>
      </c>
      <c r="L4004" s="29">
        <f>IFERROR(E4004*C4004,0)</f>
      </c>
      <c r="M4004" s="29">
        <f>IFERROR((G4004*H4004*I4004/1000000)*D4004,0)</f>
      </c>
    </row>
    <row r="4005" spans="1:13" x14ac:dyDescent="0.25">
      <c r="A4005" s="16"/>
      <c r="E4005" s="27"/>
      <c r="F4005" t="s">
        <v>26</v>
      </c>
      <c r="G4005" s="28">
        <f>IFERROR(VLOOKUP(F4005,CARTON_LOOKUP!$A:$E,3,0),"")</f>
      </c>
      <c r="H4005" s="28">
        <f>IFERROR(VLOOKUP(F4005,CARTON_LOOKUP!$A:$E,4,0),"")</f>
      </c>
      <c r="I4005" s="28">
        <f>IFERROR(VLOOKUP(F4005,CARTON_LOOKUP!$A:$E,5,0),"")</f>
      </c>
      <c r="J4005" s="29">
        <f>IFERROR(VLOOKUP(F4005,CARTON_LOOKUP!$A:$E,2,0),"")</f>
      </c>
      <c r="K4005" s="29">
        <f>IFERROR(J4005*D4005,0)</f>
      </c>
      <c r="L4005" s="29">
        <f>IFERROR(E4005*C4005,0)</f>
      </c>
      <c r="M4005" s="29">
        <f>IFERROR((G4005*H4005*I4005/1000000)*D4005,0)</f>
      </c>
    </row>
    <row r="4006" spans="1:13" x14ac:dyDescent="0.25">
      <c r="A4006" s="16"/>
      <c r="E4006" s="27"/>
      <c r="F4006" t="s">
        <v>26</v>
      </c>
      <c r="G4006" s="28">
        <f>IFERROR(VLOOKUP(F4006,CARTON_LOOKUP!$A:$E,3,0),"")</f>
      </c>
      <c r="H4006" s="28">
        <f>IFERROR(VLOOKUP(F4006,CARTON_LOOKUP!$A:$E,4,0),"")</f>
      </c>
      <c r="I4006" s="28">
        <f>IFERROR(VLOOKUP(F4006,CARTON_LOOKUP!$A:$E,5,0),"")</f>
      </c>
      <c r="J4006" s="29">
        <f>IFERROR(VLOOKUP(F4006,CARTON_LOOKUP!$A:$E,2,0),"")</f>
      </c>
      <c r="K4006" s="29">
        <f>IFERROR(J4006*D4006,0)</f>
      </c>
      <c r="L4006" s="29">
        <f>IFERROR(E4006*C4006,0)</f>
      </c>
      <c r="M4006" s="29">
        <f>IFERROR((G4006*H4006*I4006/1000000)*D4006,0)</f>
      </c>
    </row>
    <row r="4007" spans="1:13" x14ac:dyDescent="0.25">
      <c r="A4007" s="16"/>
      <c r="E4007" s="27"/>
      <c r="F4007" t="s">
        <v>26</v>
      </c>
      <c r="G4007" s="28">
        <f>IFERROR(VLOOKUP(F4007,CARTON_LOOKUP!$A:$E,3,0),"")</f>
      </c>
      <c r="H4007" s="28">
        <f>IFERROR(VLOOKUP(F4007,CARTON_LOOKUP!$A:$E,4,0),"")</f>
      </c>
      <c r="I4007" s="28">
        <f>IFERROR(VLOOKUP(F4007,CARTON_LOOKUP!$A:$E,5,0),"")</f>
      </c>
      <c r="J4007" s="29">
        <f>IFERROR(VLOOKUP(F4007,CARTON_LOOKUP!$A:$E,2,0),"")</f>
      </c>
      <c r="K4007" s="29">
        <f>IFERROR(J4007*D4007,0)</f>
      </c>
      <c r="L4007" s="29">
        <f>IFERROR(E4007*C4007,0)</f>
      </c>
      <c r="M4007" s="29">
        <f>IFERROR((G4007*H4007*I4007/1000000)*D4007,0)</f>
      </c>
    </row>
    <row r="4008" spans="1:13" x14ac:dyDescent="0.25">
      <c r="A4008" s="16"/>
      <c r="E4008" s="27"/>
      <c r="F4008" t="s">
        <v>26</v>
      </c>
      <c r="G4008" s="28">
        <f>IFERROR(VLOOKUP(F4008,CARTON_LOOKUP!$A:$E,3,0),"")</f>
      </c>
      <c r="H4008" s="28">
        <f>IFERROR(VLOOKUP(F4008,CARTON_LOOKUP!$A:$E,4,0),"")</f>
      </c>
      <c r="I4008" s="28">
        <f>IFERROR(VLOOKUP(F4008,CARTON_LOOKUP!$A:$E,5,0),"")</f>
      </c>
      <c r="J4008" s="29">
        <f>IFERROR(VLOOKUP(F4008,CARTON_LOOKUP!$A:$E,2,0),"")</f>
      </c>
      <c r="K4008" s="29">
        <f>IFERROR(J4008*D4008,0)</f>
      </c>
      <c r="L4008" s="29">
        <f>IFERROR(E4008*C4008,0)</f>
      </c>
      <c r="M4008" s="29">
        <f>IFERROR((G4008*H4008*I4008/1000000)*D4008,0)</f>
      </c>
    </row>
    <row r="4009" spans="1:13" x14ac:dyDescent="0.25">
      <c r="A4009" s="16"/>
      <c r="E4009" s="27"/>
      <c r="F4009" t="s">
        <v>26</v>
      </c>
      <c r="G4009" s="28">
        <f>IFERROR(VLOOKUP(F4009,CARTON_LOOKUP!$A:$E,3,0),"")</f>
      </c>
      <c r="H4009" s="28">
        <f>IFERROR(VLOOKUP(F4009,CARTON_LOOKUP!$A:$E,4,0),"")</f>
      </c>
      <c r="I4009" s="28">
        <f>IFERROR(VLOOKUP(F4009,CARTON_LOOKUP!$A:$E,5,0),"")</f>
      </c>
      <c r="J4009" s="29">
        <f>IFERROR(VLOOKUP(F4009,CARTON_LOOKUP!$A:$E,2,0),"")</f>
      </c>
      <c r="K4009" s="29">
        <f>IFERROR(J4009*D4009,0)</f>
      </c>
      <c r="L4009" s="29">
        <f>IFERROR(E4009*C4009,0)</f>
      </c>
      <c r="M4009" s="29">
        <f>IFERROR((G4009*H4009*I4009/1000000)*D4009,0)</f>
      </c>
    </row>
    <row r="4010" spans="1:13" x14ac:dyDescent="0.25">
      <c r="A4010" s="16"/>
      <c r="E4010" s="27"/>
      <c r="F4010" t="s">
        <v>26</v>
      </c>
      <c r="G4010" s="28">
        <f>IFERROR(VLOOKUP(F4010,CARTON_LOOKUP!$A:$E,3,0),"")</f>
      </c>
      <c r="H4010" s="28">
        <f>IFERROR(VLOOKUP(F4010,CARTON_LOOKUP!$A:$E,4,0),"")</f>
      </c>
      <c r="I4010" s="28">
        <f>IFERROR(VLOOKUP(F4010,CARTON_LOOKUP!$A:$E,5,0),"")</f>
      </c>
      <c r="J4010" s="29">
        <f>IFERROR(VLOOKUP(F4010,CARTON_LOOKUP!$A:$E,2,0),"")</f>
      </c>
      <c r="K4010" s="29">
        <f>IFERROR(J4010*D4010,0)</f>
      </c>
      <c r="L4010" s="29">
        <f>IFERROR(E4010*C4010,0)</f>
      </c>
      <c r="M4010" s="29">
        <f>IFERROR((G4010*H4010*I4010/1000000)*D4010,0)</f>
      </c>
    </row>
    <row r="4011" spans="1:13" x14ac:dyDescent="0.25">
      <c r="A4011" s="16"/>
      <c r="E4011" s="27"/>
      <c r="F4011" t="s">
        <v>26</v>
      </c>
      <c r="G4011" s="28">
        <f>IFERROR(VLOOKUP(F4011,CARTON_LOOKUP!$A:$E,3,0),"")</f>
      </c>
      <c r="H4011" s="28">
        <f>IFERROR(VLOOKUP(F4011,CARTON_LOOKUP!$A:$E,4,0),"")</f>
      </c>
      <c r="I4011" s="28">
        <f>IFERROR(VLOOKUP(F4011,CARTON_LOOKUP!$A:$E,5,0),"")</f>
      </c>
      <c r="J4011" s="29">
        <f>IFERROR(VLOOKUP(F4011,CARTON_LOOKUP!$A:$E,2,0),"")</f>
      </c>
      <c r="K4011" s="29">
        <f>IFERROR(J4011*D4011,0)</f>
      </c>
      <c r="L4011" s="29">
        <f>IFERROR(E4011*C4011,0)</f>
      </c>
      <c r="M4011" s="29">
        <f>IFERROR((G4011*H4011*I4011/1000000)*D4011,0)</f>
      </c>
    </row>
    <row r="4012" spans="1:13" x14ac:dyDescent="0.25">
      <c r="A4012" s="16"/>
      <c r="E4012" s="27"/>
      <c r="F4012" t="s">
        <v>26</v>
      </c>
      <c r="G4012" s="28">
        <f>IFERROR(VLOOKUP(F4012,CARTON_LOOKUP!$A:$E,3,0),"")</f>
      </c>
      <c r="H4012" s="28">
        <f>IFERROR(VLOOKUP(F4012,CARTON_LOOKUP!$A:$E,4,0),"")</f>
      </c>
      <c r="I4012" s="28">
        <f>IFERROR(VLOOKUP(F4012,CARTON_LOOKUP!$A:$E,5,0),"")</f>
      </c>
      <c r="J4012" s="29">
        <f>IFERROR(VLOOKUP(F4012,CARTON_LOOKUP!$A:$E,2,0),"")</f>
      </c>
      <c r="K4012" s="29">
        <f>IFERROR(J4012*D4012,0)</f>
      </c>
      <c r="L4012" s="29">
        <f>IFERROR(E4012*C4012,0)</f>
      </c>
      <c r="M4012" s="29">
        <f>IFERROR((G4012*H4012*I4012/1000000)*D4012,0)</f>
      </c>
    </row>
    <row r="4013" spans="1:13" x14ac:dyDescent="0.25">
      <c r="A4013" s="16"/>
      <c r="E4013" s="27"/>
      <c r="F4013" t="s">
        <v>26</v>
      </c>
      <c r="G4013" s="28">
        <f>IFERROR(VLOOKUP(F4013,CARTON_LOOKUP!$A:$E,3,0),"")</f>
      </c>
      <c r="H4013" s="28">
        <f>IFERROR(VLOOKUP(F4013,CARTON_LOOKUP!$A:$E,4,0),"")</f>
      </c>
      <c r="I4013" s="28">
        <f>IFERROR(VLOOKUP(F4013,CARTON_LOOKUP!$A:$E,5,0),"")</f>
      </c>
      <c r="J4013" s="29">
        <f>IFERROR(VLOOKUP(F4013,CARTON_LOOKUP!$A:$E,2,0),"")</f>
      </c>
      <c r="K4013" s="29">
        <f>IFERROR(J4013*D4013,0)</f>
      </c>
      <c r="L4013" s="29">
        <f>IFERROR(E4013*C4013,0)</f>
      </c>
      <c r="M4013" s="29">
        <f>IFERROR((G4013*H4013*I4013/1000000)*D4013,0)</f>
      </c>
    </row>
    <row r="4014" spans="1:13" x14ac:dyDescent="0.25">
      <c r="A4014" s="16"/>
      <c r="E4014" s="27"/>
      <c r="F4014" t="s">
        <v>26</v>
      </c>
      <c r="G4014" s="28">
        <f>IFERROR(VLOOKUP(F4014,CARTON_LOOKUP!$A:$E,3,0),"")</f>
      </c>
      <c r="H4014" s="28">
        <f>IFERROR(VLOOKUP(F4014,CARTON_LOOKUP!$A:$E,4,0),"")</f>
      </c>
      <c r="I4014" s="28">
        <f>IFERROR(VLOOKUP(F4014,CARTON_LOOKUP!$A:$E,5,0),"")</f>
      </c>
      <c r="J4014" s="29">
        <f>IFERROR(VLOOKUP(F4014,CARTON_LOOKUP!$A:$E,2,0),"")</f>
      </c>
      <c r="K4014" s="29">
        <f>IFERROR(J4014*D4014,0)</f>
      </c>
      <c r="L4014" s="29">
        <f>IFERROR(E4014*C4014,0)</f>
      </c>
      <c r="M4014" s="29">
        <f>IFERROR((G4014*H4014*I4014/1000000)*D4014,0)</f>
      </c>
    </row>
    <row r="4015" spans="1:13" x14ac:dyDescent="0.25">
      <c r="A4015" s="16"/>
      <c r="E4015" s="27"/>
      <c r="F4015" t="s">
        <v>26</v>
      </c>
      <c r="G4015" s="28">
        <f>IFERROR(VLOOKUP(F4015,CARTON_LOOKUP!$A:$E,3,0),"")</f>
      </c>
      <c r="H4015" s="28">
        <f>IFERROR(VLOOKUP(F4015,CARTON_LOOKUP!$A:$E,4,0),"")</f>
      </c>
      <c r="I4015" s="28">
        <f>IFERROR(VLOOKUP(F4015,CARTON_LOOKUP!$A:$E,5,0),"")</f>
      </c>
      <c r="J4015" s="29">
        <f>IFERROR(VLOOKUP(F4015,CARTON_LOOKUP!$A:$E,2,0),"")</f>
      </c>
      <c r="K4015" s="29">
        <f>IFERROR(J4015*D4015,0)</f>
      </c>
      <c r="L4015" s="29">
        <f>IFERROR(E4015*C4015,0)</f>
      </c>
      <c r="M4015" s="29">
        <f>IFERROR((G4015*H4015*I4015/1000000)*D4015,0)</f>
      </c>
    </row>
    <row r="4016" spans="1:13" x14ac:dyDescent="0.25">
      <c r="A4016" s="16"/>
      <c r="E4016" s="27"/>
      <c r="F4016" t="s">
        <v>26</v>
      </c>
      <c r="G4016" s="28">
        <f>IFERROR(VLOOKUP(F4016,CARTON_LOOKUP!$A:$E,3,0),"")</f>
      </c>
      <c r="H4016" s="28">
        <f>IFERROR(VLOOKUP(F4016,CARTON_LOOKUP!$A:$E,4,0),"")</f>
      </c>
      <c r="I4016" s="28">
        <f>IFERROR(VLOOKUP(F4016,CARTON_LOOKUP!$A:$E,5,0),"")</f>
      </c>
      <c r="J4016" s="29">
        <f>IFERROR(VLOOKUP(F4016,CARTON_LOOKUP!$A:$E,2,0),"")</f>
      </c>
      <c r="K4016" s="29">
        <f>IFERROR(J4016*D4016,0)</f>
      </c>
      <c r="L4016" s="29">
        <f>IFERROR(E4016*C4016,0)</f>
      </c>
      <c r="M4016" s="29">
        <f>IFERROR((G4016*H4016*I4016/1000000)*D4016,0)</f>
      </c>
    </row>
    <row r="4017" spans="1:13" x14ac:dyDescent="0.25">
      <c r="A4017" s="16"/>
      <c r="E4017" s="27"/>
      <c r="F4017" t="s">
        <v>26</v>
      </c>
      <c r="G4017" s="28">
        <f>IFERROR(VLOOKUP(F4017,CARTON_LOOKUP!$A:$E,3,0),"")</f>
      </c>
      <c r="H4017" s="28">
        <f>IFERROR(VLOOKUP(F4017,CARTON_LOOKUP!$A:$E,4,0),"")</f>
      </c>
      <c r="I4017" s="28">
        <f>IFERROR(VLOOKUP(F4017,CARTON_LOOKUP!$A:$E,5,0),"")</f>
      </c>
      <c r="J4017" s="29">
        <f>IFERROR(VLOOKUP(F4017,CARTON_LOOKUP!$A:$E,2,0),"")</f>
      </c>
      <c r="K4017" s="29">
        <f>IFERROR(J4017*D4017,0)</f>
      </c>
      <c r="L4017" s="29">
        <f>IFERROR(E4017*C4017,0)</f>
      </c>
      <c r="M4017" s="29">
        <f>IFERROR((G4017*H4017*I4017/1000000)*D4017,0)</f>
      </c>
    </row>
    <row r="4018" spans="1:13" x14ac:dyDescent="0.25">
      <c r="A4018" s="16"/>
      <c r="E4018" s="27"/>
      <c r="F4018" t="s">
        <v>26</v>
      </c>
      <c r="G4018" s="28">
        <f>IFERROR(VLOOKUP(F4018,CARTON_LOOKUP!$A:$E,3,0),"")</f>
      </c>
      <c r="H4018" s="28">
        <f>IFERROR(VLOOKUP(F4018,CARTON_LOOKUP!$A:$E,4,0),"")</f>
      </c>
      <c r="I4018" s="28">
        <f>IFERROR(VLOOKUP(F4018,CARTON_LOOKUP!$A:$E,5,0),"")</f>
      </c>
      <c r="J4018" s="29">
        <f>IFERROR(VLOOKUP(F4018,CARTON_LOOKUP!$A:$E,2,0),"")</f>
      </c>
      <c r="K4018" s="29">
        <f>IFERROR(J4018*D4018,0)</f>
      </c>
      <c r="L4018" s="29">
        <f>IFERROR(E4018*C4018,0)</f>
      </c>
      <c r="M4018" s="29">
        <f>IFERROR((G4018*H4018*I4018/1000000)*D4018,0)</f>
      </c>
    </row>
    <row r="4019" spans="1:13" x14ac:dyDescent="0.25">
      <c r="A4019" s="16"/>
      <c r="E4019" s="27"/>
      <c r="F4019" t="s">
        <v>26</v>
      </c>
      <c r="G4019" s="28">
        <f>IFERROR(VLOOKUP(F4019,CARTON_LOOKUP!$A:$E,3,0),"")</f>
      </c>
      <c r="H4019" s="28">
        <f>IFERROR(VLOOKUP(F4019,CARTON_LOOKUP!$A:$E,4,0),"")</f>
      </c>
      <c r="I4019" s="28">
        <f>IFERROR(VLOOKUP(F4019,CARTON_LOOKUP!$A:$E,5,0),"")</f>
      </c>
      <c r="J4019" s="29">
        <f>IFERROR(VLOOKUP(F4019,CARTON_LOOKUP!$A:$E,2,0),"")</f>
      </c>
      <c r="K4019" s="29">
        <f>IFERROR(J4019*D4019,0)</f>
      </c>
      <c r="L4019" s="29">
        <f>IFERROR(E4019*C4019,0)</f>
      </c>
      <c r="M4019" s="29">
        <f>IFERROR((G4019*H4019*I4019/1000000)*D4019,0)</f>
      </c>
    </row>
    <row r="4020" spans="1:13" x14ac:dyDescent="0.25">
      <c r="A4020" s="16"/>
      <c r="E4020" s="27"/>
      <c r="F4020" t="s">
        <v>26</v>
      </c>
      <c r="G4020" s="28">
        <f>IFERROR(VLOOKUP(F4020,CARTON_LOOKUP!$A:$E,3,0),"")</f>
      </c>
      <c r="H4020" s="28">
        <f>IFERROR(VLOOKUP(F4020,CARTON_LOOKUP!$A:$E,4,0),"")</f>
      </c>
      <c r="I4020" s="28">
        <f>IFERROR(VLOOKUP(F4020,CARTON_LOOKUP!$A:$E,5,0),"")</f>
      </c>
      <c r="J4020" s="29">
        <f>IFERROR(VLOOKUP(F4020,CARTON_LOOKUP!$A:$E,2,0),"")</f>
      </c>
      <c r="K4020" s="29">
        <f>IFERROR(J4020*D4020,0)</f>
      </c>
      <c r="L4020" s="29">
        <f>IFERROR(E4020*C4020,0)</f>
      </c>
      <c r="M4020" s="29">
        <f>IFERROR((G4020*H4020*I4020/1000000)*D4020,0)</f>
      </c>
    </row>
    <row r="4021" spans="1:13" x14ac:dyDescent="0.25">
      <c r="A4021" s="16"/>
      <c r="E4021" s="27"/>
      <c r="F4021" t="s">
        <v>26</v>
      </c>
      <c r="G4021" s="28">
        <f>IFERROR(VLOOKUP(F4021,CARTON_LOOKUP!$A:$E,3,0),"")</f>
      </c>
      <c r="H4021" s="28">
        <f>IFERROR(VLOOKUP(F4021,CARTON_LOOKUP!$A:$E,4,0),"")</f>
      </c>
      <c r="I4021" s="28">
        <f>IFERROR(VLOOKUP(F4021,CARTON_LOOKUP!$A:$E,5,0),"")</f>
      </c>
      <c r="J4021" s="29">
        <f>IFERROR(VLOOKUP(F4021,CARTON_LOOKUP!$A:$E,2,0),"")</f>
      </c>
      <c r="K4021" s="29">
        <f>IFERROR(J4021*D4021,0)</f>
      </c>
      <c r="L4021" s="29">
        <f>IFERROR(E4021*C4021,0)</f>
      </c>
      <c r="M4021" s="29">
        <f>IFERROR((G4021*H4021*I4021/1000000)*D4021,0)</f>
      </c>
    </row>
    <row r="4022" spans="1:13" x14ac:dyDescent="0.25">
      <c r="A4022" s="16"/>
      <c r="E4022" s="27"/>
      <c r="F4022" t="s">
        <v>26</v>
      </c>
      <c r="G4022" s="28">
        <f>IFERROR(VLOOKUP(F4022,CARTON_LOOKUP!$A:$E,3,0),"")</f>
      </c>
      <c r="H4022" s="28">
        <f>IFERROR(VLOOKUP(F4022,CARTON_LOOKUP!$A:$E,4,0),"")</f>
      </c>
      <c r="I4022" s="28">
        <f>IFERROR(VLOOKUP(F4022,CARTON_LOOKUP!$A:$E,5,0),"")</f>
      </c>
      <c r="J4022" s="29">
        <f>IFERROR(VLOOKUP(F4022,CARTON_LOOKUP!$A:$E,2,0),"")</f>
      </c>
      <c r="K4022" s="29">
        <f>IFERROR(J4022*D4022,0)</f>
      </c>
      <c r="L4022" s="29">
        <f>IFERROR(E4022*C4022,0)</f>
      </c>
      <c r="M4022" s="29">
        <f>IFERROR((G4022*H4022*I4022/1000000)*D4022,0)</f>
      </c>
    </row>
    <row r="4023" spans="1:13" x14ac:dyDescent="0.25">
      <c r="A4023" s="16"/>
      <c r="E4023" s="27"/>
      <c r="F4023" t="s">
        <v>26</v>
      </c>
      <c r="G4023" s="28">
        <f>IFERROR(VLOOKUP(F4023,CARTON_LOOKUP!$A:$E,3,0),"")</f>
      </c>
      <c r="H4023" s="28">
        <f>IFERROR(VLOOKUP(F4023,CARTON_LOOKUP!$A:$E,4,0),"")</f>
      </c>
      <c r="I4023" s="28">
        <f>IFERROR(VLOOKUP(F4023,CARTON_LOOKUP!$A:$E,5,0),"")</f>
      </c>
      <c r="J4023" s="29">
        <f>IFERROR(VLOOKUP(F4023,CARTON_LOOKUP!$A:$E,2,0),"")</f>
      </c>
      <c r="K4023" s="29">
        <f>IFERROR(J4023*D4023,0)</f>
      </c>
      <c r="L4023" s="29">
        <f>IFERROR(E4023*C4023,0)</f>
      </c>
      <c r="M4023" s="29">
        <f>IFERROR((G4023*H4023*I4023/1000000)*D4023,0)</f>
      </c>
    </row>
    <row r="4024" spans="1:13" x14ac:dyDescent="0.25">
      <c r="A4024" s="16"/>
      <c r="E4024" s="27"/>
      <c r="F4024" t="s">
        <v>26</v>
      </c>
      <c r="G4024" s="28">
        <f>IFERROR(VLOOKUP(F4024,CARTON_LOOKUP!$A:$E,3,0),"")</f>
      </c>
      <c r="H4024" s="28">
        <f>IFERROR(VLOOKUP(F4024,CARTON_LOOKUP!$A:$E,4,0),"")</f>
      </c>
      <c r="I4024" s="28">
        <f>IFERROR(VLOOKUP(F4024,CARTON_LOOKUP!$A:$E,5,0),"")</f>
      </c>
      <c r="J4024" s="29">
        <f>IFERROR(VLOOKUP(F4024,CARTON_LOOKUP!$A:$E,2,0),"")</f>
      </c>
      <c r="K4024" s="29">
        <f>IFERROR(J4024*D4024,0)</f>
      </c>
      <c r="L4024" s="29">
        <f>IFERROR(E4024*C4024,0)</f>
      </c>
      <c r="M4024" s="29">
        <f>IFERROR((G4024*H4024*I4024/1000000)*D4024,0)</f>
      </c>
    </row>
    <row r="4025" spans="1:13" x14ac:dyDescent="0.25">
      <c r="A4025" s="16"/>
      <c r="E4025" s="27"/>
      <c r="F4025" t="s">
        <v>26</v>
      </c>
      <c r="G4025" s="28">
        <f>IFERROR(VLOOKUP(F4025,CARTON_LOOKUP!$A:$E,3,0),"")</f>
      </c>
      <c r="H4025" s="28">
        <f>IFERROR(VLOOKUP(F4025,CARTON_LOOKUP!$A:$E,4,0),"")</f>
      </c>
      <c r="I4025" s="28">
        <f>IFERROR(VLOOKUP(F4025,CARTON_LOOKUP!$A:$E,5,0),"")</f>
      </c>
      <c r="J4025" s="29">
        <f>IFERROR(VLOOKUP(F4025,CARTON_LOOKUP!$A:$E,2,0),"")</f>
      </c>
      <c r="K4025" s="29">
        <f>IFERROR(J4025*D4025,0)</f>
      </c>
      <c r="L4025" s="29">
        <f>IFERROR(E4025*C4025,0)</f>
      </c>
      <c r="M4025" s="29">
        <f>IFERROR((G4025*H4025*I4025/1000000)*D4025,0)</f>
      </c>
    </row>
    <row r="4026" spans="1:13" x14ac:dyDescent="0.25">
      <c r="A4026" s="16"/>
      <c r="E4026" s="27"/>
      <c r="F4026" t="s">
        <v>26</v>
      </c>
      <c r="G4026" s="28">
        <f>IFERROR(VLOOKUP(F4026,CARTON_LOOKUP!$A:$E,3,0),"")</f>
      </c>
      <c r="H4026" s="28">
        <f>IFERROR(VLOOKUP(F4026,CARTON_LOOKUP!$A:$E,4,0),"")</f>
      </c>
      <c r="I4026" s="28">
        <f>IFERROR(VLOOKUP(F4026,CARTON_LOOKUP!$A:$E,5,0),"")</f>
      </c>
      <c r="J4026" s="29">
        <f>IFERROR(VLOOKUP(F4026,CARTON_LOOKUP!$A:$E,2,0),"")</f>
      </c>
      <c r="K4026" s="29">
        <f>IFERROR(J4026*D4026,0)</f>
      </c>
      <c r="L4026" s="29">
        <f>IFERROR(E4026*C4026,0)</f>
      </c>
      <c r="M4026" s="29">
        <f>IFERROR((G4026*H4026*I4026/1000000)*D4026,0)</f>
      </c>
    </row>
    <row r="4027" spans="1:13" x14ac:dyDescent="0.25">
      <c r="A4027" s="16"/>
      <c r="E4027" s="27"/>
      <c r="F4027" t="s">
        <v>26</v>
      </c>
      <c r="G4027" s="28">
        <f>IFERROR(VLOOKUP(F4027,CARTON_LOOKUP!$A:$E,3,0),"")</f>
      </c>
      <c r="H4027" s="28">
        <f>IFERROR(VLOOKUP(F4027,CARTON_LOOKUP!$A:$E,4,0),"")</f>
      </c>
      <c r="I4027" s="28">
        <f>IFERROR(VLOOKUP(F4027,CARTON_LOOKUP!$A:$E,5,0),"")</f>
      </c>
      <c r="J4027" s="29">
        <f>IFERROR(VLOOKUP(F4027,CARTON_LOOKUP!$A:$E,2,0),"")</f>
      </c>
      <c r="K4027" s="29">
        <f>IFERROR(J4027*D4027,0)</f>
      </c>
      <c r="L4027" s="29">
        <f>IFERROR(E4027*C4027,0)</f>
      </c>
      <c r="M4027" s="29">
        <f>IFERROR((G4027*H4027*I4027/1000000)*D4027,0)</f>
      </c>
    </row>
    <row r="4028" spans="1:13" x14ac:dyDescent="0.25">
      <c r="A4028" s="16"/>
      <c r="E4028" s="27"/>
      <c r="F4028" t="s">
        <v>26</v>
      </c>
      <c r="G4028" s="28">
        <f>IFERROR(VLOOKUP(F4028,CARTON_LOOKUP!$A:$E,3,0),"")</f>
      </c>
      <c r="H4028" s="28">
        <f>IFERROR(VLOOKUP(F4028,CARTON_LOOKUP!$A:$E,4,0),"")</f>
      </c>
      <c r="I4028" s="28">
        <f>IFERROR(VLOOKUP(F4028,CARTON_LOOKUP!$A:$E,5,0),"")</f>
      </c>
      <c r="J4028" s="29">
        <f>IFERROR(VLOOKUP(F4028,CARTON_LOOKUP!$A:$E,2,0),"")</f>
      </c>
      <c r="K4028" s="29">
        <f>IFERROR(J4028*D4028,0)</f>
      </c>
      <c r="L4028" s="29">
        <f>IFERROR(E4028*C4028,0)</f>
      </c>
      <c r="M4028" s="29">
        <f>IFERROR((G4028*H4028*I4028/1000000)*D4028,0)</f>
      </c>
    </row>
    <row r="4029" spans="1:13" x14ac:dyDescent="0.25">
      <c r="A4029" s="16"/>
      <c r="E4029" s="27"/>
      <c r="F4029" t="s">
        <v>26</v>
      </c>
      <c r="G4029" s="28">
        <f>IFERROR(VLOOKUP(F4029,CARTON_LOOKUP!$A:$E,3,0),"")</f>
      </c>
      <c r="H4029" s="28">
        <f>IFERROR(VLOOKUP(F4029,CARTON_LOOKUP!$A:$E,4,0),"")</f>
      </c>
      <c r="I4029" s="28">
        <f>IFERROR(VLOOKUP(F4029,CARTON_LOOKUP!$A:$E,5,0),"")</f>
      </c>
      <c r="J4029" s="29">
        <f>IFERROR(VLOOKUP(F4029,CARTON_LOOKUP!$A:$E,2,0),"")</f>
      </c>
      <c r="K4029" s="29">
        <f>IFERROR(J4029*D4029,0)</f>
      </c>
      <c r="L4029" s="29">
        <f>IFERROR(E4029*C4029,0)</f>
      </c>
      <c r="M4029" s="29">
        <f>IFERROR((G4029*H4029*I4029/1000000)*D4029,0)</f>
      </c>
    </row>
    <row r="4030" spans="1:13" x14ac:dyDescent="0.25">
      <c r="A4030" s="16"/>
      <c r="E4030" s="27"/>
      <c r="F4030" t="s">
        <v>26</v>
      </c>
      <c r="G4030" s="28">
        <f>IFERROR(VLOOKUP(F4030,CARTON_LOOKUP!$A:$E,3,0),"")</f>
      </c>
      <c r="H4030" s="28">
        <f>IFERROR(VLOOKUP(F4030,CARTON_LOOKUP!$A:$E,4,0),"")</f>
      </c>
      <c r="I4030" s="28">
        <f>IFERROR(VLOOKUP(F4030,CARTON_LOOKUP!$A:$E,5,0),"")</f>
      </c>
      <c r="J4030" s="29">
        <f>IFERROR(VLOOKUP(F4030,CARTON_LOOKUP!$A:$E,2,0),"")</f>
      </c>
      <c r="K4030" s="29">
        <f>IFERROR(J4030*D4030,0)</f>
      </c>
      <c r="L4030" s="29">
        <f>IFERROR(E4030*C4030,0)</f>
      </c>
      <c r="M4030" s="29">
        <f>IFERROR((G4030*H4030*I4030/1000000)*D4030,0)</f>
      </c>
    </row>
    <row r="4031" spans="1:13" x14ac:dyDescent="0.25">
      <c r="A4031" s="16"/>
      <c r="E4031" s="27"/>
      <c r="F4031" t="s">
        <v>26</v>
      </c>
      <c r="G4031" s="28">
        <f>IFERROR(VLOOKUP(F4031,CARTON_LOOKUP!$A:$E,3,0),"")</f>
      </c>
      <c r="H4031" s="28">
        <f>IFERROR(VLOOKUP(F4031,CARTON_LOOKUP!$A:$E,4,0),"")</f>
      </c>
      <c r="I4031" s="28">
        <f>IFERROR(VLOOKUP(F4031,CARTON_LOOKUP!$A:$E,5,0),"")</f>
      </c>
      <c r="J4031" s="29">
        <f>IFERROR(VLOOKUP(F4031,CARTON_LOOKUP!$A:$E,2,0),"")</f>
      </c>
      <c r="K4031" s="29">
        <f>IFERROR(J4031*D4031,0)</f>
      </c>
      <c r="L4031" s="29">
        <f>IFERROR(E4031*C4031,0)</f>
      </c>
      <c r="M4031" s="29">
        <f>IFERROR((G4031*H4031*I4031/1000000)*D4031,0)</f>
      </c>
    </row>
    <row r="4032" spans="1:13" x14ac:dyDescent="0.25">
      <c r="A4032" s="16"/>
      <c r="E4032" s="27"/>
      <c r="F4032" t="s">
        <v>26</v>
      </c>
      <c r="G4032" s="28">
        <f>IFERROR(VLOOKUP(F4032,CARTON_LOOKUP!$A:$E,3,0),"")</f>
      </c>
      <c r="H4032" s="28">
        <f>IFERROR(VLOOKUP(F4032,CARTON_LOOKUP!$A:$E,4,0),"")</f>
      </c>
      <c r="I4032" s="28">
        <f>IFERROR(VLOOKUP(F4032,CARTON_LOOKUP!$A:$E,5,0),"")</f>
      </c>
      <c r="J4032" s="29">
        <f>IFERROR(VLOOKUP(F4032,CARTON_LOOKUP!$A:$E,2,0),"")</f>
      </c>
      <c r="K4032" s="29">
        <f>IFERROR(J4032*D4032,0)</f>
      </c>
      <c r="L4032" s="29">
        <f>IFERROR(E4032*C4032,0)</f>
      </c>
      <c r="M4032" s="29">
        <f>IFERROR((G4032*H4032*I4032/1000000)*D4032,0)</f>
      </c>
    </row>
    <row r="4033" spans="1:13" x14ac:dyDescent="0.25">
      <c r="A4033" s="16"/>
      <c r="E4033" s="27"/>
      <c r="F4033" t="s">
        <v>26</v>
      </c>
      <c r="G4033" s="28">
        <f>IFERROR(VLOOKUP(F4033,CARTON_LOOKUP!$A:$E,3,0),"")</f>
      </c>
      <c r="H4033" s="28">
        <f>IFERROR(VLOOKUP(F4033,CARTON_LOOKUP!$A:$E,4,0),"")</f>
      </c>
      <c r="I4033" s="28">
        <f>IFERROR(VLOOKUP(F4033,CARTON_LOOKUP!$A:$E,5,0),"")</f>
      </c>
      <c r="J4033" s="29">
        <f>IFERROR(VLOOKUP(F4033,CARTON_LOOKUP!$A:$E,2,0),"")</f>
      </c>
      <c r="K4033" s="29">
        <f>IFERROR(J4033*D4033,0)</f>
      </c>
      <c r="L4033" s="29">
        <f>IFERROR(E4033*C4033,0)</f>
      </c>
      <c r="M4033" s="29">
        <f>IFERROR((G4033*H4033*I4033/1000000)*D4033,0)</f>
      </c>
    </row>
    <row r="4034" spans="1:13" x14ac:dyDescent="0.25">
      <c r="A4034" s="16"/>
      <c r="E4034" s="27"/>
      <c r="F4034" t="s">
        <v>26</v>
      </c>
      <c r="G4034" s="28">
        <f>IFERROR(VLOOKUP(F4034,CARTON_LOOKUP!$A:$E,3,0),"")</f>
      </c>
      <c r="H4034" s="28">
        <f>IFERROR(VLOOKUP(F4034,CARTON_LOOKUP!$A:$E,4,0),"")</f>
      </c>
      <c r="I4034" s="28">
        <f>IFERROR(VLOOKUP(F4034,CARTON_LOOKUP!$A:$E,5,0),"")</f>
      </c>
      <c r="J4034" s="29">
        <f>IFERROR(VLOOKUP(F4034,CARTON_LOOKUP!$A:$E,2,0),"")</f>
      </c>
      <c r="K4034" s="29">
        <f>IFERROR(J4034*D4034,0)</f>
      </c>
      <c r="L4034" s="29">
        <f>IFERROR(E4034*C4034,0)</f>
      </c>
      <c r="M4034" s="29">
        <f>IFERROR((G4034*H4034*I4034/1000000)*D4034,0)</f>
      </c>
    </row>
    <row r="4035" spans="1:13" x14ac:dyDescent="0.25">
      <c r="A4035" s="16"/>
      <c r="E4035" s="27"/>
      <c r="F4035" t="s">
        <v>26</v>
      </c>
      <c r="G4035" s="28">
        <f>IFERROR(VLOOKUP(F4035,CARTON_LOOKUP!$A:$E,3,0),"")</f>
      </c>
      <c r="H4035" s="28">
        <f>IFERROR(VLOOKUP(F4035,CARTON_LOOKUP!$A:$E,4,0),"")</f>
      </c>
      <c r="I4035" s="28">
        <f>IFERROR(VLOOKUP(F4035,CARTON_LOOKUP!$A:$E,5,0),"")</f>
      </c>
      <c r="J4035" s="29">
        <f>IFERROR(VLOOKUP(F4035,CARTON_LOOKUP!$A:$E,2,0),"")</f>
      </c>
      <c r="K4035" s="29">
        <f>IFERROR(J4035*D4035,0)</f>
      </c>
      <c r="L4035" s="29">
        <f>IFERROR(E4035*C4035,0)</f>
      </c>
      <c r="M4035" s="29">
        <f>IFERROR((G4035*H4035*I4035/1000000)*D4035,0)</f>
      </c>
    </row>
    <row r="4036" spans="1:13" x14ac:dyDescent="0.25">
      <c r="A4036" s="16"/>
      <c r="E4036" s="27"/>
      <c r="F4036" t="s">
        <v>26</v>
      </c>
      <c r="G4036" s="28">
        <f>IFERROR(VLOOKUP(F4036,CARTON_LOOKUP!$A:$E,3,0),"")</f>
      </c>
      <c r="H4036" s="28">
        <f>IFERROR(VLOOKUP(F4036,CARTON_LOOKUP!$A:$E,4,0),"")</f>
      </c>
      <c r="I4036" s="28">
        <f>IFERROR(VLOOKUP(F4036,CARTON_LOOKUP!$A:$E,5,0),"")</f>
      </c>
      <c r="J4036" s="29">
        <f>IFERROR(VLOOKUP(F4036,CARTON_LOOKUP!$A:$E,2,0),"")</f>
      </c>
      <c r="K4036" s="29">
        <f>IFERROR(J4036*D4036,0)</f>
      </c>
      <c r="L4036" s="29">
        <f>IFERROR(E4036*C4036,0)</f>
      </c>
      <c r="M4036" s="29">
        <f>IFERROR((G4036*H4036*I4036/1000000)*D4036,0)</f>
      </c>
    </row>
    <row r="4037" spans="1:13" x14ac:dyDescent="0.25">
      <c r="A4037" s="16"/>
      <c r="E4037" s="27"/>
      <c r="F4037" t="s">
        <v>26</v>
      </c>
      <c r="G4037" s="28">
        <f>IFERROR(VLOOKUP(F4037,CARTON_LOOKUP!$A:$E,3,0),"")</f>
      </c>
      <c r="H4037" s="28">
        <f>IFERROR(VLOOKUP(F4037,CARTON_LOOKUP!$A:$E,4,0),"")</f>
      </c>
      <c r="I4037" s="28">
        <f>IFERROR(VLOOKUP(F4037,CARTON_LOOKUP!$A:$E,5,0),"")</f>
      </c>
      <c r="J4037" s="29">
        <f>IFERROR(VLOOKUP(F4037,CARTON_LOOKUP!$A:$E,2,0),"")</f>
      </c>
      <c r="K4037" s="29">
        <f>IFERROR(J4037*D4037,0)</f>
      </c>
      <c r="L4037" s="29">
        <f>IFERROR(E4037*C4037,0)</f>
      </c>
      <c r="M4037" s="29">
        <f>IFERROR((G4037*H4037*I4037/1000000)*D4037,0)</f>
      </c>
    </row>
    <row r="4038" spans="1:13" x14ac:dyDescent="0.25">
      <c r="A4038" s="16"/>
      <c r="E4038" s="27"/>
      <c r="F4038" t="s">
        <v>26</v>
      </c>
      <c r="G4038" s="28">
        <f>IFERROR(VLOOKUP(F4038,CARTON_LOOKUP!$A:$E,3,0),"")</f>
      </c>
      <c r="H4038" s="28">
        <f>IFERROR(VLOOKUP(F4038,CARTON_LOOKUP!$A:$E,4,0),"")</f>
      </c>
      <c r="I4038" s="28">
        <f>IFERROR(VLOOKUP(F4038,CARTON_LOOKUP!$A:$E,5,0),"")</f>
      </c>
      <c r="J4038" s="29">
        <f>IFERROR(VLOOKUP(F4038,CARTON_LOOKUP!$A:$E,2,0),"")</f>
      </c>
      <c r="K4038" s="29">
        <f>IFERROR(J4038*D4038,0)</f>
      </c>
      <c r="L4038" s="29">
        <f>IFERROR(E4038*C4038,0)</f>
      </c>
      <c r="M4038" s="29">
        <f>IFERROR((G4038*H4038*I4038/1000000)*D4038,0)</f>
      </c>
    </row>
    <row r="4039" spans="1:13" x14ac:dyDescent="0.25">
      <c r="A4039" s="16"/>
      <c r="E4039" s="27"/>
      <c r="F4039" t="s">
        <v>26</v>
      </c>
      <c r="G4039" s="28">
        <f>IFERROR(VLOOKUP(F4039,CARTON_LOOKUP!$A:$E,3,0),"")</f>
      </c>
      <c r="H4039" s="28">
        <f>IFERROR(VLOOKUP(F4039,CARTON_LOOKUP!$A:$E,4,0),"")</f>
      </c>
      <c r="I4039" s="28">
        <f>IFERROR(VLOOKUP(F4039,CARTON_LOOKUP!$A:$E,5,0),"")</f>
      </c>
      <c r="J4039" s="29">
        <f>IFERROR(VLOOKUP(F4039,CARTON_LOOKUP!$A:$E,2,0),"")</f>
      </c>
      <c r="K4039" s="29">
        <f>IFERROR(J4039*D4039,0)</f>
      </c>
      <c r="L4039" s="29">
        <f>IFERROR(E4039*C4039,0)</f>
      </c>
      <c r="M4039" s="29">
        <f>IFERROR((G4039*H4039*I4039/1000000)*D4039,0)</f>
      </c>
    </row>
    <row r="4040" spans="1:13" x14ac:dyDescent="0.25">
      <c r="A4040" s="16"/>
      <c r="E4040" s="27"/>
      <c r="F4040" t="s">
        <v>26</v>
      </c>
      <c r="G4040" s="28">
        <f>IFERROR(VLOOKUP(F4040,CARTON_LOOKUP!$A:$E,3,0),"")</f>
      </c>
      <c r="H4040" s="28">
        <f>IFERROR(VLOOKUP(F4040,CARTON_LOOKUP!$A:$E,4,0),"")</f>
      </c>
      <c r="I4040" s="28">
        <f>IFERROR(VLOOKUP(F4040,CARTON_LOOKUP!$A:$E,5,0),"")</f>
      </c>
      <c r="J4040" s="29">
        <f>IFERROR(VLOOKUP(F4040,CARTON_LOOKUP!$A:$E,2,0),"")</f>
      </c>
      <c r="K4040" s="29">
        <f>IFERROR(J4040*D4040,0)</f>
      </c>
      <c r="L4040" s="29">
        <f>IFERROR(E4040*C4040,0)</f>
      </c>
      <c r="M4040" s="29">
        <f>IFERROR((G4040*H4040*I4040/1000000)*D4040,0)</f>
      </c>
    </row>
    <row r="4041" spans="1:13" x14ac:dyDescent="0.25">
      <c r="A4041" s="16"/>
      <c r="E4041" s="27"/>
      <c r="F4041" t="s">
        <v>26</v>
      </c>
      <c r="G4041" s="28">
        <f>IFERROR(VLOOKUP(F4041,CARTON_LOOKUP!$A:$E,3,0),"")</f>
      </c>
      <c r="H4041" s="28">
        <f>IFERROR(VLOOKUP(F4041,CARTON_LOOKUP!$A:$E,4,0),"")</f>
      </c>
      <c r="I4041" s="28">
        <f>IFERROR(VLOOKUP(F4041,CARTON_LOOKUP!$A:$E,5,0),"")</f>
      </c>
      <c r="J4041" s="29">
        <f>IFERROR(VLOOKUP(F4041,CARTON_LOOKUP!$A:$E,2,0),"")</f>
      </c>
      <c r="K4041" s="29">
        <f>IFERROR(J4041*D4041,0)</f>
      </c>
      <c r="L4041" s="29">
        <f>IFERROR(E4041*C4041,0)</f>
      </c>
      <c r="M4041" s="29">
        <f>IFERROR((G4041*H4041*I4041/1000000)*D4041,0)</f>
      </c>
    </row>
    <row r="4042" spans="1:13" x14ac:dyDescent="0.25">
      <c r="A4042" s="16"/>
      <c r="E4042" s="27"/>
      <c r="F4042" t="s">
        <v>26</v>
      </c>
      <c r="G4042" s="28">
        <f>IFERROR(VLOOKUP(F4042,CARTON_LOOKUP!$A:$E,3,0),"")</f>
      </c>
      <c r="H4042" s="28">
        <f>IFERROR(VLOOKUP(F4042,CARTON_LOOKUP!$A:$E,4,0),"")</f>
      </c>
      <c r="I4042" s="28">
        <f>IFERROR(VLOOKUP(F4042,CARTON_LOOKUP!$A:$E,5,0),"")</f>
      </c>
      <c r="J4042" s="29">
        <f>IFERROR(VLOOKUP(F4042,CARTON_LOOKUP!$A:$E,2,0),"")</f>
      </c>
      <c r="K4042" s="29">
        <f>IFERROR(J4042*D4042,0)</f>
      </c>
      <c r="L4042" s="29">
        <f>IFERROR(E4042*C4042,0)</f>
      </c>
      <c r="M4042" s="29">
        <f>IFERROR((G4042*H4042*I4042/1000000)*D4042,0)</f>
      </c>
    </row>
    <row r="4043" spans="1:13" x14ac:dyDescent="0.25">
      <c r="A4043" s="16"/>
      <c r="E4043" s="27"/>
      <c r="F4043" t="s">
        <v>26</v>
      </c>
      <c r="G4043" s="28">
        <f>IFERROR(VLOOKUP(F4043,CARTON_LOOKUP!$A:$E,3,0),"")</f>
      </c>
      <c r="H4043" s="28">
        <f>IFERROR(VLOOKUP(F4043,CARTON_LOOKUP!$A:$E,4,0),"")</f>
      </c>
      <c r="I4043" s="28">
        <f>IFERROR(VLOOKUP(F4043,CARTON_LOOKUP!$A:$E,5,0),"")</f>
      </c>
      <c r="J4043" s="29">
        <f>IFERROR(VLOOKUP(F4043,CARTON_LOOKUP!$A:$E,2,0),"")</f>
      </c>
      <c r="K4043" s="29">
        <f>IFERROR(J4043*D4043,0)</f>
      </c>
      <c r="L4043" s="29">
        <f>IFERROR(E4043*C4043,0)</f>
      </c>
      <c r="M4043" s="29">
        <f>IFERROR((G4043*H4043*I4043/1000000)*D4043,0)</f>
      </c>
    </row>
    <row r="4044" spans="1:13" x14ac:dyDescent="0.25">
      <c r="A4044" s="16"/>
      <c r="E4044" s="27"/>
      <c r="F4044" t="s">
        <v>26</v>
      </c>
      <c r="G4044" s="28">
        <f>IFERROR(VLOOKUP(F4044,CARTON_LOOKUP!$A:$E,3,0),"")</f>
      </c>
      <c r="H4044" s="28">
        <f>IFERROR(VLOOKUP(F4044,CARTON_LOOKUP!$A:$E,4,0),"")</f>
      </c>
      <c r="I4044" s="28">
        <f>IFERROR(VLOOKUP(F4044,CARTON_LOOKUP!$A:$E,5,0),"")</f>
      </c>
      <c r="J4044" s="29">
        <f>IFERROR(VLOOKUP(F4044,CARTON_LOOKUP!$A:$E,2,0),"")</f>
      </c>
      <c r="K4044" s="29">
        <f>IFERROR(J4044*D4044,0)</f>
      </c>
      <c r="L4044" s="29">
        <f>IFERROR(E4044*C4044,0)</f>
      </c>
      <c r="M4044" s="29">
        <f>IFERROR((G4044*H4044*I4044/1000000)*D4044,0)</f>
      </c>
    </row>
    <row r="4045" spans="1:13" x14ac:dyDescent="0.25">
      <c r="A4045" s="16"/>
      <c r="E4045" s="27"/>
      <c r="F4045" t="s">
        <v>26</v>
      </c>
      <c r="G4045" s="28">
        <f>IFERROR(VLOOKUP(F4045,CARTON_LOOKUP!$A:$E,3,0),"")</f>
      </c>
      <c r="H4045" s="28">
        <f>IFERROR(VLOOKUP(F4045,CARTON_LOOKUP!$A:$E,4,0),"")</f>
      </c>
      <c r="I4045" s="28">
        <f>IFERROR(VLOOKUP(F4045,CARTON_LOOKUP!$A:$E,5,0),"")</f>
      </c>
      <c r="J4045" s="29">
        <f>IFERROR(VLOOKUP(F4045,CARTON_LOOKUP!$A:$E,2,0),"")</f>
      </c>
      <c r="K4045" s="29">
        <f>IFERROR(J4045*D4045,0)</f>
      </c>
      <c r="L4045" s="29">
        <f>IFERROR(E4045*C4045,0)</f>
      </c>
      <c r="M4045" s="29">
        <f>IFERROR((G4045*H4045*I4045/1000000)*D4045,0)</f>
      </c>
    </row>
    <row r="4046" spans="1:13" x14ac:dyDescent="0.25">
      <c r="A4046" s="16"/>
      <c r="E4046" s="27"/>
      <c r="F4046" t="s">
        <v>26</v>
      </c>
      <c r="G4046" s="28">
        <f>IFERROR(VLOOKUP(F4046,CARTON_LOOKUP!$A:$E,3,0),"")</f>
      </c>
      <c r="H4046" s="28">
        <f>IFERROR(VLOOKUP(F4046,CARTON_LOOKUP!$A:$E,4,0),"")</f>
      </c>
      <c r="I4046" s="28">
        <f>IFERROR(VLOOKUP(F4046,CARTON_LOOKUP!$A:$E,5,0),"")</f>
      </c>
      <c r="J4046" s="29">
        <f>IFERROR(VLOOKUP(F4046,CARTON_LOOKUP!$A:$E,2,0),"")</f>
      </c>
      <c r="K4046" s="29">
        <f>IFERROR(J4046*D4046,0)</f>
      </c>
      <c r="L4046" s="29">
        <f>IFERROR(E4046*C4046,0)</f>
      </c>
      <c r="M4046" s="29">
        <f>IFERROR((G4046*H4046*I4046/1000000)*D4046,0)</f>
      </c>
    </row>
    <row r="4047" spans="1:13" x14ac:dyDescent="0.25">
      <c r="A4047" s="16"/>
      <c r="E4047" s="27"/>
      <c r="F4047" t="s">
        <v>26</v>
      </c>
      <c r="G4047" s="28">
        <f>IFERROR(VLOOKUP(F4047,CARTON_LOOKUP!$A:$E,3,0),"")</f>
      </c>
      <c r="H4047" s="28">
        <f>IFERROR(VLOOKUP(F4047,CARTON_LOOKUP!$A:$E,4,0),"")</f>
      </c>
      <c r="I4047" s="28">
        <f>IFERROR(VLOOKUP(F4047,CARTON_LOOKUP!$A:$E,5,0),"")</f>
      </c>
      <c r="J4047" s="29">
        <f>IFERROR(VLOOKUP(F4047,CARTON_LOOKUP!$A:$E,2,0),"")</f>
      </c>
      <c r="K4047" s="29">
        <f>IFERROR(J4047*D4047,0)</f>
      </c>
      <c r="L4047" s="29">
        <f>IFERROR(E4047*C4047,0)</f>
      </c>
      <c r="M4047" s="29">
        <f>IFERROR((G4047*H4047*I4047/1000000)*D4047,0)</f>
      </c>
    </row>
    <row r="4048" spans="1:13" x14ac:dyDescent="0.25">
      <c r="A4048" s="16"/>
      <c r="E4048" s="27"/>
      <c r="F4048" t="s">
        <v>26</v>
      </c>
      <c r="G4048" s="28">
        <f>IFERROR(VLOOKUP(F4048,CARTON_LOOKUP!$A:$E,3,0),"")</f>
      </c>
      <c r="H4048" s="28">
        <f>IFERROR(VLOOKUP(F4048,CARTON_LOOKUP!$A:$E,4,0),"")</f>
      </c>
      <c r="I4048" s="28">
        <f>IFERROR(VLOOKUP(F4048,CARTON_LOOKUP!$A:$E,5,0),"")</f>
      </c>
      <c r="J4048" s="29">
        <f>IFERROR(VLOOKUP(F4048,CARTON_LOOKUP!$A:$E,2,0),"")</f>
      </c>
      <c r="K4048" s="29">
        <f>IFERROR(J4048*D4048,0)</f>
      </c>
      <c r="L4048" s="29">
        <f>IFERROR(E4048*C4048,0)</f>
      </c>
      <c r="M4048" s="29">
        <f>IFERROR((G4048*H4048*I4048/1000000)*D4048,0)</f>
      </c>
    </row>
    <row r="4049" spans="1:13" x14ac:dyDescent="0.25">
      <c r="A4049" s="16"/>
      <c r="E4049" s="27"/>
      <c r="F4049" t="s">
        <v>26</v>
      </c>
      <c r="G4049" s="28">
        <f>IFERROR(VLOOKUP(F4049,CARTON_LOOKUP!$A:$E,3,0),"")</f>
      </c>
      <c r="H4049" s="28">
        <f>IFERROR(VLOOKUP(F4049,CARTON_LOOKUP!$A:$E,4,0),"")</f>
      </c>
      <c r="I4049" s="28">
        <f>IFERROR(VLOOKUP(F4049,CARTON_LOOKUP!$A:$E,5,0),"")</f>
      </c>
      <c r="J4049" s="29">
        <f>IFERROR(VLOOKUP(F4049,CARTON_LOOKUP!$A:$E,2,0),"")</f>
      </c>
      <c r="K4049" s="29">
        <f>IFERROR(J4049*D4049,0)</f>
      </c>
      <c r="L4049" s="29">
        <f>IFERROR(E4049*C4049,0)</f>
      </c>
      <c r="M4049" s="29">
        <f>IFERROR((G4049*H4049*I4049/1000000)*D4049,0)</f>
      </c>
    </row>
    <row r="4050" spans="1:13" x14ac:dyDescent="0.25">
      <c r="A4050" s="16"/>
      <c r="E4050" s="27"/>
      <c r="F4050" t="s">
        <v>26</v>
      </c>
      <c r="G4050" s="28">
        <f>IFERROR(VLOOKUP(F4050,CARTON_LOOKUP!$A:$E,3,0),"")</f>
      </c>
      <c r="H4050" s="28">
        <f>IFERROR(VLOOKUP(F4050,CARTON_LOOKUP!$A:$E,4,0),"")</f>
      </c>
      <c r="I4050" s="28">
        <f>IFERROR(VLOOKUP(F4050,CARTON_LOOKUP!$A:$E,5,0),"")</f>
      </c>
      <c r="J4050" s="29">
        <f>IFERROR(VLOOKUP(F4050,CARTON_LOOKUP!$A:$E,2,0),"")</f>
      </c>
      <c r="K4050" s="29">
        <f>IFERROR(J4050*D4050,0)</f>
      </c>
      <c r="L4050" s="29">
        <f>IFERROR(E4050*C4050,0)</f>
      </c>
      <c r="M4050" s="29">
        <f>IFERROR((G4050*H4050*I4050/1000000)*D4050,0)</f>
      </c>
    </row>
    <row r="4051" spans="1:13" x14ac:dyDescent="0.25">
      <c r="A4051" s="16"/>
      <c r="E4051" s="27"/>
      <c r="F4051" t="s">
        <v>26</v>
      </c>
      <c r="G4051" s="28">
        <f>IFERROR(VLOOKUP(F4051,CARTON_LOOKUP!$A:$E,3,0),"")</f>
      </c>
      <c r="H4051" s="28">
        <f>IFERROR(VLOOKUP(F4051,CARTON_LOOKUP!$A:$E,4,0),"")</f>
      </c>
      <c r="I4051" s="28">
        <f>IFERROR(VLOOKUP(F4051,CARTON_LOOKUP!$A:$E,5,0),"")</f>
      </c>
      <c r="J4051" s="29">
        <f>IFERROR(VLOOKUP(F4051,CARTON_LOOKUP!$A:$E,2,0),"")</f>
      </c>
      <c r="K4051" s="29">
        <f>IFERROR(J4051*D4051,0)</f>
      </c>
      <c r="L4051" s="29">
        <f>IFERROR(E4051*C4051,0)</f>
      </c>
      <c r="M4051" s="29">
        <f>IFERROR((G4051*H4051*I4051/1000000)*D4051,0)</f>
      </c>
    </row>
    <row r="4052" spans="1:13" x14ac:dyDescent="0.25">
      <c r="A4052" s="16"/>
      <c r="E4052" s="27"/>
      <c r="F4052" t="s">
        <v>26</v>
      </c>
      <c r="G4052" s="28">
        <f>IFERROR(VLOOKUP(F4052,CARTON_LOOKUP!$A:$E,3,0),"")</f>
      </c>
      <c r="H4052" s="28">
        <f>IFERROR(VLOOKUP(F4052,CARTON_LOOKUP!$A:$E,4,0),"")</f>
      </c>
      <c r="I4052" s="28">
        <f>IFERROR(VLOOKUP(F4052,CARTON_LOOKUP!$A:$E,5,0),"")</f>
      </c>
      <c r="J4052" s="29">
        <f>IFERROR(VLOOKUP(F4052,CARTON_LOOKUP!$A:$E,2,0),"")</f>
      </c>
      <c r="K4052" s="29">
        <f>IFERROR(J4052*D4052,0)</f>
      </c>
      <c r="L4052" s="29">
        <f>IFERROR(E4052*C4052,0)</f>
      </c>
      <c r="M4052" s="29">
        <f>IFERROR((G4052*H4052*I4052/1000000)*D4052,0)</f>
      </c>
    </row>
    <row r="4053" spans="1:13" x14ac:dyDescent="0.25">
      <c r="A4053" s="16"/>
      <c r="E4053" s="27"/>
      <c r="F4053" t="s">
        <v>26</v>
      </c>
      <c r="G4053" s="28">
        <f>IFERROR(VLOOKUP(F4053,CARTON_LOOKUP!$A:$E,3,0),"")</f>
      </c>
      <c r="H4053" s="28">
        <f>IFERROR(VLOOKUP(F4053,CARTON_LOOKUP!$A:$E,4,0),"")</f>
      </c>
      <c r="I4053" s="28">
        <f>IFERROR(VLOOKUP(F4053,CARTON_LOOKUP!$A:$E,5,0),"")</f>
      </c>
      <c r="J4053" s="29">
        <f>IFERROR(VLOOKUP(F4053,CARTON_LOOKUP!$A:$E,2,0),"")</f>
      </c>
      <c r="K4053" s="29">
        <f>IFERROR(J4053*D4053,0)</f>
      </c>
      <c r="L4053" s="29">
        <f>IFERROR(E4053*C4053,0)</f>
      </c>
      <c r="M4053" s="29">
        <f>IFERROR((G4053*H4053*I4053/1000000)*D4053,0)</f>
      </c>
    </row>
    <row r="4054" spans="1:13" x14ac:dyDescent="0.25">
      <c r="A4054" s="16"/>
      <c r="E4054" s="27"/>
      <c r="F4054" t="s">
        <v>26</v>
      </c>
      <c r="G4054" s="28">
        <f>IFERROR(VLOOKUP(F4054,CARTON_LOOKUP!$A:$E,3,0),"")</f>
      </c>
      <c r="H4054" s="28">
        <f>IFERROR(VLOOKUP(F4054,CARTON_LOOKUP!$A:$E,4,0),"")</f>
      </c>
      <c r="I4054" s="28">
        <f>IFERROR(VLOOKUP(F4054,CARTON_LOOKUP!$A:$E,5,0),"")</f>
      </c>
      <c r="J4054" s="29">
        <f>IFERROR(VLOOKUP(F4054,CARTON_LOOKUP!$A:$E,2,0),"")</f>
      </c>
      <c r="K4054" s="29">
        <f>IFERROR(J4054*D4054,0)</f>
      </c>
      <c r="L4054" s="29">
        <f>IFERROR(E4054*C4054,0)</f>
      </c>
      <c r="M4054" s="29">
        <f>IFERROR((G4054*H4054*I4054/1000000)*D4054,0)</f>
      </c>
    </row>
    <row r="4055" spans="1:13" x14ac:dyDescent="0.25">
      <c r="A4055" s="16"/>
      <c r="E4055" s="27"/>
      <c r="F4055" t="s">
        <v>26</v>
      </c>
      <c r="G4055" s="28">
        <f>IFERROR(VLOOKUP(F4055,CARTON_LOOKUP!$A:$E,3,0),"")</f>
      </c>
      <c r="H4055" s="28">
        <f>IFERROR(VLOOKUP(F4055,CARTON_LOOKUP!$A:$E,4,0),"")</f>
      </c>
      <c r="I4055" s="28">
        <f>IFERROR(VLOOKUP(F4055,CARTON_LOOKUP!$A:$E,5,0),"")</f>
      </c>
      <c r="J4055" s="29">
        <f>IFERROR(VLOOKUP(F4055,CARTON_LOOKUP!$A:$E,2,0),"")</f>
      </c>
      <c r="K4055" s="29">
        <f>IFERROR(J4055*D4055,0)</f>
      </c>
      <c r="L4055" s="29">
        <f>IFERROR(E4055*C4055,0)</f>
      </c>
      <c r="M4055" s="29">
        <f>IFERROR((G4055*H4055*I4055/1000000)*D4055,0)</f>
      </c>
    </row>
    <row r="4056" spans="1:13" x14ac:dyDescent="0.25">
      <c r="A4056" s="16"/>
      <c r="E4056" s="27"/>
      <c r="F4056" t="s">
        <v>26</v>
      </c>
      <c r="G4056" s="28">
        <f>IFERROR(VLOOKUP(F4056,CARTON_LOOKUP!$A:$E,3,0),"")</f>
      </c>
      <c r="H4056" s="28">
        <f>IFERROR(VLOOKUP(F4056,CARTON_LOOKUP!$A:$E,4,0),"")</f>
      </c>
      <c r="I4056" s="28">
        <f>IFERROR(VLOOKUP(F4056,CARTON_LOOKUP!$A:$E,5,0),"")</f>
      </c>
      <c r="J4056" s="29">
        <f>IFERROR(VLOOKUP(F4056,CARTON_LOOKUP!$A:$E,2,0),"")</f>
      </c>
      <c r="K4056" s="29">
        <f>IFERROR(J4056*D4056,0)</f>
      </c>
      <c r="L4056" s="29">
        <f>IFERROR(E4056*C4056,0)</f>
      </c>
      <c r="M4056" s="29">
        <f>IFERROR((G4056*H4056*I4056/1000000)*D4056,0)</f>
      </c>
    </row>
    <row r="4057" spans="1:13" x14ac:dyDescent="0.25">
      <c r="A4057" s="16"/>
      <c r="E4057" s="27"/>
      <c r="F4057" t="s">
        <v>26</v>
      </c>
      <c r="G4057" s="28">
        <f>IFERROR(VLOOKUP(F4057,CARTON_LOOKUP!$A:$E,3,0),"")</f>
      </c>
      <c r="H4057" s="28">
        <f>IFERROR(VLOOKUP(F4057,CARTON_LOOKUP!$A:$E,4,0),"")</f>
      </c>
      <c r="I4057" s="28">
        <f>IFERROR(VLOOKUP(F4057,CARTON_LOOKUP!$A:$E,5,0),"")</f>
      </c>
      <c r="J4057" s="29">
        <f>IFERROR(VLOOKUP(F4057,CARTON_LOOKUP!$A:$E,2,0),"")</f>
      </c>
      <c r="K4057" s="29">
        <f>IFERROR(J4057*D4057,0)</f>
      </c>
      <c r="L4057" s="29">
        <f>IFERROR(E4057*C4057,0)</f>
      </c>
      <c r="M4057" s="29">
        <f>IFERROR((G4057*H4057*I4057/1000000)*D4057,0)</f>
      </c>
    </row>
    <row r="4058" spans="1:13" x14ac:dyDescent="0.25">
      <c r="A4058" s="16"/>
      <c r="E4058" s="27"/>
      <c r="F4058" t="s">
        <v>26</v>
      </c>
      <c r="G4058" s="28">
        <f>IFERROR(VLOOKUP(F4058,CARTON_LOOKUP!$A:$E,3,0),"")</f>
      </c>
      <c r="H4058" s="28">
        <f>IFERROR(VLOOKUP(F4058,CARTON_LOOKUP!$A:$E,4,0),"")</f>
      </c>
      <c r="I4058" s="28">
        <f>IFERROR(VLOOKUP(F4058,CARTON_LOOKUP!$A:$E,5,0),"")</f>
      </c>
      <c r="J4058" s="29">
        <f>IFERROR(VLOOKUP(F4058,CARTON_LOOKUP!$A:$E,2,0),"")</f>
      </c>
      <c r="K4058" s="29">
        <f>IFERROR(J4058*D4058,0)</f>
      </c>
      <c r="L4058" s="29">
        <f>IFERROR(E4058*C4058,0)</f>
      </c>
      <c r="M4058" s="29">
        <f>IFERROR((G4058*H4058*I4058/1000000)*D4058,0)</f>
      </c>
    </row>
    <row r="4059" spans="1:13" x14ac:dyDescent="0.25">
      <c r="A4059" s="16"/>
      <c r="E4059" s="27"/>
      <c r="F4059" t="s">
        <v>26</v>
      </c>
      <c r="G4059" s="28">
        <f>IFERROR(VLOOKUP(F4059,CARTON_LOOKUP!$A:$E,3,0),"")</f>
      </c>
      <c r="H4059" s="28">
        <f>IFERROR(VLOOKUP(F4059,CARTON_LOOKUP!$A:$E,4,0),"")</f>
      </c>
      <c r="I4059" s="28">
        <f>IFERROR(VLOOKUP(F4059,CARTON_LOOKUP!$A:$E,5,0),"")</f>
      </c>
      <c r="J4059" s="29">
        <f>IFERROR(VLOOKUP(F4059,CARTON_LOOKUP!$A:$E,2,0),"")</f>
      </c>
      <c r="K4059" s="29">
        <f>IFERROR(J4059*D4059,0)</f>
      </c>
      <c r="L4059" s="29">
        <f>IFERROR(E4059*C4059,0)</f>
      </c>
      <c r="M4059" s="29">
        <f>IFERROR((G4059*H4059*I4059/1000000)*D4059,0)</f>
      </c>
    </row>
    <row r="4060" spans="1:13" x14ac:dyDescent="0.25">
      <c r="A4060" s="16"/>
      <c r="E4060" s="27"/>
      <c r="F4060" t="s">
        <v>26</v>
      </c>
      <c r="G4060" s="28">
        <f>IFERROR(VLOOKUP(F4060,CARTON_LOOKUP!$A:$E,3,0),"")</f>
      </c>
      <c r="H4060" s="28">
        <f>IFERROR(VLOOKUP(F4060,CARTON_LOOKUP!$A:$E,4,0),"")</f>
      </c>
      <c r="I4060" s="28">
        <f>IFERROR(VLOOKUP(F4060,CARTON_LOOKUP!$A:$E,5,0),"")</f>
      </c>
      <c r="J4060" s="29">
        <f>IFERROR(VLOOKUP(F4060,CARTON_LOOKUP!$A:$E,2,0),"")</f>
      </c>
      <c r="K4060" s="29">
        <f>IFERROR(J4060*D4060,0)</f>
      </c>
      <c r="L4060" s="29">
        <f>IFERROR(E4060*C4060,0)</f>
      </c>
      <c r="M4060" s="29">
        <f>IFERROR((G4060*H4060*I4060/1000000)*D4060,0)</f>
      </c>
    </row>
    <row r="4061" spans="1:13" x14ac:dyDescent="0.25">
      <c r="A4061" s="16"/>
      <c r="E4061" s="27"/>
      <c r="F4061" t="s">
        <v>26</v>
      </c>
      <c r="G4061" s="28">
        <f>IFERROR(VLOOKUP(F4061,CARTON_LOOKUP!$A:$E,3,0),"")</f>
      </c>
      <c r="H4061" s="28">
        <f>IFERROR(VLOOKUP(F4061,CARTON_LOOKUP!$A:$E,4,0),"")</f>
      </c>
      <c r="I4061" s="28">
        <f>IFERROR(VLOOKUP(F4061,CARTON_LOOKUP!$A:$E,5,0),"")</f>
      </c>
      <c r="J4061" s="29">
        <f>IFERROR(VLOOKUP(F4061,CARTON_LOOKUP!$A:$E,2,0),"")</f>
      </c>
      <c r="K4061" s="29">
        <f>IFERROR(J4061*D4061,0)</f>
      </c>
      <c r="L4061" s="29">
        <f>IFERROR(E4061*C4061,0)</f>
      </c>
      <c r="M4061" s="29">
        <f>IFERROR((G4061*H4061*I4061/1000000)*D4061,0)</f>
      </c>
    </row>
    <row r="4062" spans="1:13" x14ac:dyDescent="0.25">
      <c r="A4062" s="16"/>
      <c r="E4062" s="27"/>
      <c r="F4062" t="s">
        <v>26</v>
      </c>
      <c r="G4062" s="28">
        <f>IFERROR(VLOOKUP(F4062,CARTON_LOOKUP!$A:$E,3,0),"")</f>
      </c>
      <c r="H4062" s="28">
        <f>IFERROR(VLOOKUP(F4062,CARTON_LOOKUP!$A:$E,4,0),"")</f>
      </c>
      <c r="I4062" s="28">
        <f>IFERROR(VLOOKUP(F4062,CARTON_LOOKUP!$A:$E,5,0),"")</f>
      </c>
      <c r="J4062" s="29">
        <f>IFERROR(VLOOKUP(F4062,CARTON_LOOKUP!$A:$E,2,0),"")</f>
      </c>
      <c r="K4062" s="29">
        <f>IFERROR(J4062*D4062,0)</f>
      </c>
      <c r="L4062" s="29">
        <f>IFERROR(E4062*C4062,0)</f>
      </c>
      <c r="M4062" s="29">
        <f>IFERROR((G4062*H4062*I4062/1000000)*D4062,0)</f>
      </c>
    </row>
    <row r="4063" spans="1:13" x14ac:dyDescent="0.25">
      <c r="A4063" s="16"/>
      <c r="E4063" s="27"/>
      <c r="F4063" t="s">
        <v>26</v>
      </c>
      <c r="G4063" s="28">
        <f>IFERROR(VLOOKUP(F4063,CARTON_LOOKUP!$A:$E,3,0),"")</f>
      </c>
      <c r="H4063" s="28">
        <f>IFERROR(VLOOKUP(F4063,CARTON_LOOKUP!$A:$E,4,0),"")</f>
      </c>
      <c r="I4063" s="28">
        <f>IFERROR(VLOOKUP(F4063,CARTON_LOOKUP!$A:$E,5,0),"")</f>
      </c>
      <c r="J4063" s="29">
        <f>IFERROR(VLOOKUP(F4063,CARTON_LOOKUP!$A:$E,2,0),"")</f>
      </c>
      <c r="K4063" s="29">
        <f>IFERROR(J4063*D4063,0)</f>
      </c>
      <c r="L4063" s="29">
        <f>IFERROR(E4063*C4063,0)</f>
      </c>
      <c r="M4063" s="29">
        <f>IFERROR((G4063*H4063*I4063/1000000)*D4063,0)</f>
      </c>
    </row>
    <row r="4064" spans="1:13" x14ac:dyDescent="0.25">
      <c r="A4064" s="16"/>
      <c r="E4064" s="27"/>
      <c r="F4064" t="s">
        <v>26</v>
      </c>
      <c r="G4064" s="28">
        <f>IFERROR(VLOOKUP(F4064,CARTON_LOOKUP!$A:$E,3,0),"")</f>
      </c>
      <c r="H4064" s="28">
        <f>IFERROR(VLOOKUP(F4064,CARTON_LOOKUP!$A:$E,4,0),"")</f>
      </c>
      <c r="I4064" s="28">
        <f>IFERROR(VLOOKUP(F4064,CARTON_LOOKUP!$A:$E,5,0),"")</f>
      </c>
      <c r="J4064" s="29">
        <f>IFERROR(VLOOKUP(F4064,CARTON_LOOKUP!$A:$E,2,0),"")</f>
      </c>
      <c r="K4064" s="29">
        <f>IFERROR(J4064*D4064,0)</f>
      </c>
      <c r="L4064" s="29">
        <f>IFERROR(E4064*C4064,0)</f>
      </c>
      <c r="M4064" s="29">
        <f>IFERROR((G4064*H4064*I4064/1000000)*D4064,0)</f>
      </c>
    </row>
    <row r="4065" spans="1:13" x14ac:dyDescent="0.25">
      <c r="A4065" s="16"/>
      <c r="E4065" s="27"/>
      <c r="F4065" t="s">
        <v>26</v>
      </c>
      <c r="G4065" s="28">
        <f>IFERROR(VLOOKUP(F4065,CARTON_LOOKUP!$A:$E,3,0),"")</f>
      </c>
      <c r="H4065" s="28">
        <f>IFERROR(VLOOKUP(F4065,CARTON_LOOKUP!$A:$E,4,0),"")</f>
      </c>
      <c r="I4065" s="28">
        <f>IFERROR(VLOOKUP(F4065,CARTON_LOOKUP!$A:$E,5,0),"")</f>
      </c>
      <c r="J4065" s="29">
        <f>IFERROR(VLOOKUP(F4065,CARTON_LOOKUP!$A:$E,2,0),"")</f>
      </c>
      <c r="K4065" s="29">
        <f>IFERROR(J4065*D4065,0)</f>
      </c>
      <c r="L4065" s="29">
        <f>IFERROR(E4065*C4065,0)</f>
      </c>
      <c r="M4065" s="29">
        <f>IFERROR((G4065*H4065*I4065/1000000)*D4065,0)</f>
      </c>
    </row>
    <row r="4066" spans="1:13" x14ac:dyDescent="0.25">
      <c r="A4066" s="16"/>
      <c r="E4066" s="27"/>
      <c r="F4066" t="s">
        <v>26</v>
      </c>
      <c r="G4066" s="28">
        <f>IFERROR(VLOOKUP(F4066,CARTON_LOOKUP!$A:$E,3,0),"")</f>
      </c>
      <c r="H4066" s="28">
        <f>IFERROR(VLOOKUP(F4066,CARTON_LOOKUP!$A:$E,4,0),"")</f>
      </c>
      <c r="I4066" s="28">
        <f>IFERROR(VLOOKUP(F4066,CARTON_LOOKUP!$A:$E,5,0),"")</f>
      </c>
      <c r="J4066" s="29">
        <f>IFERROR(VLOOKUP(F4066,CARTON_LOOKUP!$A:$E,2,0),"")</f>
      </c>
      <c r="K4066" s="29">
        <f>IFERROR(J4066*D4066,0)</f>
      </c>
      <c r="L4066" s="29">
        <f>IFERROR(E4066*C4066,0)</f>
      </c>
      <c r="M4066" s="29">
        <f>IFERROR((G4066*H4066*I4066/1000000)*D4066,0)</f>
      </c>
    </row>
    <row r="4067" spans="1:13" x14ac:dyDescent="0.25">
      <c r="A4067" s="16"/>
      <c r="E4067" s="27"/>
      <c r="F4067" t="s">
        <v>26</v>
      </c>
      <c r="G4067" s="28">
        <f>IFERROR(VLOOKUP(F4067,CARTON_LOOKUP!$A:$E,3,0),"")</f>
      </c>
      <c r="H4067" s="28">
        <f>IFERROR(VLOOKUP(F4067,CARTON_LOOKUP!$A:$E,4,0),"")</f>
      </c>
      <c r="I4067" s="28">
        <f>IFERROR(VLOOKUP(F4067,CARTON_LOOKUP!$A:$E,5,0),"")</f>
      </c>
      <c r="J4067" s="29">
        <f>IFERROR(VLOOKUP(F4067,CARTON_LOOKUP!$A:$E,2,0),"")</f>
      </c>
      <c r="K4067" s="29">
        <f>IFERROR(J4067*D4067,0)</f>
      </c>
      <c r="L4067" s="29">
        <f>IFERROR(E4067*C4067,0)</f>
      </c>
      <c r="M4067" s="29">
        <f>IFERROR((G4067*H4067*I4067/1000000)*D4067,0)</f>
      </c>
    </row>
    <row r="4068" spans="1:13" x14ac:dyDescent="0.25">
      <c r="A4068" s="16"/>
      <c r="E4068" s="27"/>
      <c r="F4068" t="s">
        <v>26</v>
      </c>
      <c r="G4068" s="28">
        <f>IFERROR(VLOOKUP(F4068,CARTON_LOOKUP!$A:$E,3,0),"")</f>
      </c>
      <c r="H4068" s="28">
        <f>IFERROR(VLOOKUP(F4068,CARTON_LOOKUP!$A:$E,4,0),"")</f>
      </c>
      <c r="I4068" s="28">
        <f>IFERROR(VLOOKUP(F4068,CARTON_LOOKUP!$A:$E,5,0),"")</f>
      </c>
      <c r="J4068" s="29">
        <f>IFERROR(VLOOKUP(F4068,CARTON_LOOKUP!$A:$E,2,0),"")</f>
      </c>
      <c r="K4068" s="29">
        <f>IFERROR(J4068*D4068,0)</f>
      </c>
      <c r="L4068" s="29">
        <f>IFERROR(E4068*C4068,0)</f>
      </c>
      <c r="M4068" s="29">
        <f>IFERROR((G4068*H4068*I4068/1000000)*D4068,0)</f>
      </c>
    </row>
    <row r="4069" spans="1:13" x14ac:dyDescent="0.25">
      <c r="A4069" s="16"/>
      <c r="E4069" s="27"/>
      <c r="F4069" t="s">
        <v>26</v>
      </c>
      <c r="G4069" s="28">
        <f>IFERROR(VLOOKUP(F4069,CARTON_LOOKUP!$A:$E,3,0),"")</f>
      </c>
      <c r="H4069" s="28">
        <f>IFERROR(VLOOKUP(F4069,CARTON_LOOKUP!$A:$E,4,0),"")</f>
      </c>
      <c r="I4069" s="28">
        <f>IFERROR(VLOOKUP(F4069,CARTON_LOOKUP!$A:$E,5,0),"")</f>
      </c>
      <c r="J4069" s="29">
        <f>IFERROR(VLOOKUP(F4069,CARTON_LOOKUP!$A:$E,2,0),"")</f>
      </c>
      <c r="K4069" s="29">
        <f>IFERROR(J4069*D4069,0)</f>
      </c>
      <c r="L4069" s="29">
        <f>IFERROR(E4069*C4069,0)</f>
      </c>
      <c r="M4069" s="29">
        <f>IFERROR((G4069*H4069*I4069/1000000)*D4069,0)</f>
      </c>
    </row>
    <row r="4070" spans="1:13" x14ac:dyDescent="0.25">
      <c r="A4070" s="16"/>
      <c r="E4070" s="27"/>
      <c r="F4070" t="s">
        <v>26</v>
      </c>
      <c r="G4070" s="28">
        <f>IFERROR(VLOOKUP(F4070,CARTON_LOOKUP!$A:$E,3,0),"")</f>
      </c>
      <c r="H4070" s="28">
        <f>IFERROR(VLOOKUP(F4070,CARTON_LOOKUP!$A:$E,4,0),"")</f>
      </c>
      <c r="I4070" s="28">
        <f>IFERROR(VLOOKUP(F4070,CARTON_LOOKUP!$A:$E,5,0),"")</f>
      </c>
      <c r="J4070" s="29">
        <f>IFERROR(VLOOKUP(F4070,CARTON_LOOKUP!$A:$E,2,0),"")</f>
      </c>
      <c r="K4070" s="29">
        <f>IFERROR(J4070*D4070,0)</f>
      </c>
      <c r="L4070" s="29">
        <f>IFERROR(E4070*C4070,0)</f>
      </c>
      <c r="M4070" s="29">
        <f>IFERROR((G4070*H4070*I4070/1000000)*D4070,0)</f>
      </c>
    </row>
    <row r="4071" spans="1:13" x14ac:dyDescent="0.25">
      <c r="A4071" s="16"/>
      <c r="E4071" s="27"/>
      <c r="F4071" t="s">
        <v>26</v>
      </c>
      <c r="G4071" s="28">
        <f>IFERROR(VLOOKUP(F4071,CARTON_LOOKUP!$A:$E,3,0),"")</f>
      </c>
      <c r="H4071" s="28">
        <f>IFERROR(VLOOKUP(F4071,CARTON_LOOKUP!$A:$E,4,0),"")</f>
      </c>
      <c r="I4071" s="28">
        <f>IFERROR(VLOOKUP(F4071,CARTON_LOOKUP!$A:$E,5,0),"")</f>
      </c>
      <c r="J4071" s="29">
        <f>IFERROR(VLOOKUP(F4071,CARTON_LOOKUP!$A:$E,2,0),"")</f>
      </c>
      <c r="K4071" s="29">
        <f>IFERROR(J4071*D4071,0)</f>
      </c>
      <c r="L4071" s="29">
        <f>IFERROR(E4071*C4071,0)</f>
      </c>
      <c r="M4071" s="29">
        <f>IFERROR((G4071*H4071*I4071/1000000)*D4071,0)</f>
      </c>
    </row>
    <row r="4072" spans="1:13" x14ac:dyDescent="0.25">
      <c r="A4072" s="16"/>
      <c r="E4072" s="27"/>
      <c r="F4072" t="s">
        <v>26</v>
      </c>
      <c r="G4072" s="28">
        <f>IFERROR(VLOOKUP(F4072,CARTON_LOOKUP!$A:$E,3,0),"")</f>
      </c>
      <c r="H4072" s="28">
        <f>IFERROR(VLOOKUP(F4072,CARTON_LOOKUP!$A:$E,4,0),"")</f>
      </c>
      <c r="I4072" s="28">
        <f>IFERROR(VLOOKUP(F4072,CARTON_LOOKUP!$A:$E,5,0),"")</f>
      </c>
      <c r="J4072" s="29">
        <f>IFERROR(VLOOKUP(F4072,CARTON_LOOKUP!$A:$E,2,0),"")</f>
      </c>
      <c r="K4072" s="29">
        <f>IFERROR(J4072*D4072,0)</f>
      </c>
      <c r="L4072" s="29">
        <f>IFERROR(E4072*C4072,0)</f>
      </c>
      <c r="M4072" s="29">
        <f>IFERROR((G4072*H4072*I4072/1000000)*D4072,0)</f>
      </c>
    </row>
    <row r="4073" spans="1:13" x14ac:dyDescent="0.25">
      <c r="A4073" s="16"/>
      <c r="E4073" s="27"/>
      <c r="F4073" t="s">
        <v>26</v>
      </c>
      <c r="G4073" s="28">
        <f>IFERROR(VLOOKUP(F4073,CARTON_LOOKUP!$A:$E,3,0),"")</f>
      </c>
      <c r="H4073" s="28">
        <f>IFERROR(VLOOKUP(F4073,CARTON_LOOKUP!$A:$E,4,0),"")</f>
      </c>
      <c r="I4073" s="28">
        <f>IFERROR(VLOOKUP(F4073,CARTON_LOOKUP!$A:$E,5,0),"")</f>
      </c>
      <c r="J4073" s="29">
        <f>IFERROR(VLOOKUP(F4073,CARTON_LOOKUP!$A:$E,2,0),"")</f>
      </c>
      <c r="K4073" s="29">
        <f>IFERROR(J4073*D4073,0)</f>
      </c>
      <c r="L4073" s="29">
        <f>IFERROR(E4073*C4073,0)</f>
      </c>
      <c r="M4073" s="29">
        <f>IFERROR((G4073*H4073*I4073/1000000)*D4073,0)</f>
      </c>
    </row>
    <row r="4074" spans="1:13" x14ac:dyDescent="0.25">
      <c r="A4074" s="16"/>
      <c r="E4074" s="27"/>
      <c r="F4074" t="s">
        <v>26</v>
      </c>
      <c r="G4074" s="28">
        <f>IFERROR(VLOOKUP(F4074,CARTON_LOOKUP!$A:$E,3,0),"")</f>
      </c>
      <c r="H4074" s="28">
        <f>IFERROR(VLOOKUP(F4074,CARTON_LOOKUP!$A:$E,4,0),"")</f>
      </c>
      <c r="I4074" s="28">
        <f>IFERROR(VLOOKUP(F4074,CARTON_LOOKUP!$A:$E,5,0),"")</f>
      </c>
      <c r="J4074" s="29">
        <f>IFERROR(VLOOKUP(F4074,CARTON_LOOKUP!$A:$E,2,0),"")</f>
      </c>
      <c r="K4074" s="29">
        <f>IFERROR(J4074*D4074,0)</f>
      </c>
      <c r="L4074" s="29">
        <f>IFERROR(E4074*C4074,0)</f>
      </c>
      <c r="M4074" s="29">
        <f>IFERROR((G4074*H4074*I4074/1000000)*D4074,0)</f>
      </c>
    </row>
    <row r="4075" spans="1:13" x14ac:dyDescent="0.25">
      <c r="A4075" s="16"/>
      <c r="E4075" s="27"/>
      <c r="F4075" t="s">
        <v>26</v>
      </c>
      <c r="G4075" s="28">
        <f>IFERROR(VLOOKUP(F4075,CARTON_LOOKUP!$A:$E,3,0),"")</f>
      </c>
      <c r="H4075" s="28">
        <f>IFERROR(VLOOKUP(F4075,CARTON_LOOKUP!$A:$E,4,0),"")</f>
      </c>
      <c r="I4075" s="28">
        <f>IFERROR(VLOOKUP(F4075,CARTON_LOOKUP!$A:$E,5,0),"")</f>
      </c>
      <c r="J4075" s="29">
        <f>IFERROR(VLOOKUP(F4075,CARTON_LOOKUP!$A:$E,2,0),"")</f>
      </c>
      <c r="K4075" s="29">
        <f>IFERROR(J4075*D4075,0)</f>
      </c>
      <c r="L4075" s="29">
        <f>IFERROR(E4075*C4075,0)</f>
      </c>
      <c r="M4075" s="29">
        <f>IFERROR((G4075*H4075*I4075/1000000)*D4075,0)</f>
      </c>
    </row>
    <row r="4076" spans="1:13" x14ac:dyDescent="0.25">
      <c r="A4076" s="16"/>
      <c r="E4076" s="27"/>
      <c r="F4076" t="s">
        <v>26</v>
      </c>
      <c r="G4076" s="28">
        <f>IFERROR(VLOOKUP(F4076,CARTON_LOOKUP!$A:$E,3,0),"")</f>
      </c>
      <c r="H4076" s="28">
        <f>IFERROR(VLOOKUP(F4076,CARTON_LOOKUP!$A:$E,4,0),"")</f>
      </c>
      <c r="I4076" s="28">
        <f>IFERROR(VLOOKUP(F4076,CARTON_LOOKUP!$A:$E,5,0),"")</f>
      </c>
      <c r="J4076" s="29">
        <f>IFERROR(VLOOKUP(F4076,CARTON_LOOKUP!$A:$E,2,0),"")</f>
      </c>
      <c r="K4076" s="29">
        <f>IFERROR(J4076*D4076,0)</f>
      </c>
      <c r="L4076" s="29">
        <f>IFERROR(E4076*C4076,0)</f>
      </c>
      <c r="M4076" s="29">
        <f>IFERROR((G4076*H4076*I4076/1000000)*D4076,0)</f>
      </c>
    </row>
    <row r="4077" spans="1:13" x14ac:dyDescent="0.25">
      <c r="A4077" s="16"/>
      <c r="E4077" s="27"/>
      <c r="F4077" t="s">
        <v>26</v>
      </c>
      <c r="G4077" s="28">
        <f>IFERROR(VLOOKUP(F4077,CARTON_LOOKUP!$A:$E,3,0),"")</f>
      </c>
      <c r="H4077" s="28">
        <f>IFERROR(VLOOKUP(F4077,CARTON_LOOKUP!$A:$E,4,0),"")</f>
      </c>
      <c r="I4077" s="28">
        <f>IFERROR(VLOOKUP(F4077,CARTON_LOOKUP!$A:$E,5,0),"")</f>
      </c>
      <c r="J4077" s="29">
        <f>IFERROR(VLOOKUP(F4077,CARTON_LOOKUP!$A:$E,2,0),"")</f>
      </c>
      <c r="K4077" s="29">
        <f>IFERROR(J4077*D4077,0)</f>
      </c>
      <c r="L4077" s="29">
        <f>IFERROR(E4077*C4077,0)</f>
      </c>
      <c r="M4077" s="29">
        <f>IFERROR((G4077*H4077*I4077/1000000)*D4077,0)</f>
      </c>
    </row>
    <row r="4078" spans="1:13" x14ac:dyDescent="0.25">
      <c r="A4078" s="16"/>
      <c r="E4078" s="27"/>
      <c r="F4078" t="s">
        <v>26</v>
      </c>
      <c r="G4078" s="28">
        <f>IFERROR(VLOOKUP(F4078,CARTON_LOOKUP!$A:$E,3,0),"")</f>
      </c>
      <c r="H4078" s="28">
        <f>IFERROR(VLOOKUP(F4078,CARTON_LOOKUP!$A:$E,4,0),"")</f>
      </c>
      <c r="I4078" s="28">
        <f>IFERROR(VLOOKUP(F4078,CARTON_LOOKUP!$A:$E,5,0),"")</f>
      </c>
      <c r="J4078" s="29">
        <f>IFERROR(VLOOKUP(F4078,CARTON_LOOKUP!$A:$E,2,0),"")</f>
      </c>
      <c r="K4078" s="29">
        <f>IFERROR(J4078*D4078,0)</f>
      </c>
      <c r="L4078" s="29">
        <f>IFERROR(E4078*C4078,0)</f>
      </c>
      <c r="M4078" s="29">
        <f>IFERROR((G4078*H4078*I4078/1000000)*D4078,0)</f>
      </c>
    </row>
    <row r="4079" spans="1:13" x14ac:dyDescent="0.25">
      <c r="A4079" s="16"/>
      <c r="E4079" s="27"/>
      <c r="F4079" t="s">
        <v>26</v>
      </c>
      <c r="G4079" s="28">
        <f>IFERROR(VLOOKUP(F4079,CARTON_LOOKUP!$A:$E,3,0),"")</f>
      </c>
      <c r="H4079" s="28">
        <f>IFERROR(VLOOKUP(F4079,CARTON_LOOKUP!$A:$E,4,0),"")</f>
      </c>
      <c r="I4079" s="28">
        <f>IFERROR(VLOOKUP(F4079,CARTON_LOOKUP!$A:$E,5,0),"")</f>
      </c>
      <c r="J4079" s="29">
        <f>IFERROR(VLOOKUP(F4079,CARTON_LOOKUP!$A:$E,2,0),"")</f>
      </c>
      <c r="K4079" s="29">
        <f>IFERROR(J4079*D4079,0)</f>
      </c>
      <c r="L4079" s="29">
        <f>IFERROR(E4079*C4079,0)</f>
      </c>
      <c r="M4079" s="29">
        <f>IFERROR((G4079*H4079*I4079/1000000)*D4079,0)</f>
      </c>
    </row>
    <row r="4080" spans="1:13" x14ac:dyDescent="0.25">
      <c r="A4080" s="16"/>
      <c r="E4080" s="27"/>
      <c r="F4080" t="s">
        <v>26</v>
      </c>
      <c r="G4080" s="28">
        <f>IFERROR(VLOOKUP(F4080,CARTON_LOOKUP!$A:$E,3,0),"")</f>
      </c>
      <c r="H4080" s="28">
        <f>IFERROR(VLOOKUP(F4080,CARTON_LOOKUP!$A:$E,4,0),"")</f>
      </c>
      <c r="I4080" s="28">
        <f>IFERROR(VLOOKUP(F4080,CARTON_LOOKUP!$A:$E,5,0),"")</f>
      </c>
      <c r="J4080" s="29">
        <f>IFERROR(VLOOKUP(F4080,CARTON_LOOKUP!$A:$E,2,0),"")</f>
      </c>
      <c r="K4080" s="29">
        <f>IFERROR(J4080*D4080,0)</f>
      </c>
      <c r="L4080" s="29">
        <f>IFERROR(E4080*C4080,0)</f>
      </c>
      <c r="M4080" s="29">
        <f>IFERROR((G4080*H4080*I4080/1000000)*D4080,0)</f>
      </c>
    </row>
    <row r="4081" spans="1:13" x14ac:dyDescent="0.25">
      <c r="A4081" s="16"/>
      <c r="E4081" s="27"/>
      <c r="F4081" t="s">
        <v>26</v>
      </c>
      <c r="G4081" s="28">
        <f>IFERROR(VLOOKUP(F4081,CARTON_LOOKUP!$A:$E,3,0),"")</f>
      </c>
      <c r="H4081" s="28">
        <f>IFERROR(VLOOKUP(F4081,CARTON_LOOKUP!$A:$E,4,0),"")</f>
      </c>
      <c r="I4081" s="28">
        <f>IFERROR(VLOOKUP(F4081,CARTON_LOOKUP!$A:$E,5,0),"")</f>
      </c>
      <c r="J4081" s="29">
        <f>IFERROR(VLOOKUP(F4081,CARTON_LOOKUP!$A:$E,2,0),"")</f>
      </c>
      <c r="K4081" s="29">
        <f>IFERROR(J4081*D4081,0)</f>
      </c>
      <c r="L4081" s="29">
        <f>IFERROR(E4081*C4081,0)</f>
      </c>
      <c r="M4081" s="29">
        <f>IFERROR((G4081*H4081*I4081/1000000)*D4081,0)</f>
      </c>
    </row>
    <row r="4082" spans="1:13" x14ac:dyDescent="0.25">
      <c r="A4082" s="16"/>
      <c r="E4082" s="27"/>
      <c r="F4082" t="s">
        <v>26</v>
      </c>
      <c r="G4082" s="28">
        <f>IFERROR(VLOOKUP(F4082,CARTON_LOOKUP!$A:$E,3,0),"")</f>
      </c>
      <c r="H4082" s="28">
        <f>IFERROR(VLOOKUP(F4082,CARTON_LOOKUP!$A:$E,4,0),"")</f>
      </c>
      <c r="I4082" s="28">
        <f>IFERROR(VLOOKUP(F4082,CARTON_LOOKUP!$A:$E,5,0),"")</f>
      </c>
      <c r="J4082" s="29">
        <f>IFERROR(VLOOKUP(F4082,CARTON_LOOKUP!$A:$E,2,0),"")</f>
      </c>
      <c r="K4082" s="29">
        <f>IFERROR(J4082*D4082,0)</f>
      </c>
      <c r="L4082" s="29">
        <f>IFERROR(E4082*C4082,0)</f>
      </c>
      <c r="M4082" s="29">
        <f>IFERROR((G4082*H4082*I4082/1000000)*D4082,0)</f>
      </c>
    </row>
    <row r="4083" spans="1:13" x14ac:dyDescent="0.25">
      <c r="A4083" s="16"/>
      <c r="E4083" s="27"/>
      <c r="F4083" t="s">
        <v>26</v>
      </c>
      <c r="G4083" s="28">
        <f>IFERROR(VLOOKUP(F4083,CARTON_LOOKUP!$A:$E,3,0),"")</f>
      </c>
      <c r="H4083" s="28">
        <f>IFERROR(VLOOKUP(F4083,CARTON_LOOKUP!$A:$E,4,0),"")</f>
      </c>
      <c r="I4083" s="28">
        <f>IFERROR(VLOOKUP(F4083,CARTON_LOOKUP!$A:$E,5,0),"")</f>
      </c>
      <c r="J4083" s="29">
        <f>IFERROR(VLOOKUP(F4083,CARTON_LOOKUP!$A:$E,2,0),"")</f>
      </c>
      <c r="K4083" s="29">
        <f>IFERROR(J4083*D4083,0)</f>
      </c>
      <c r="L4083" s="29">
        <f>IFERROR(E4083*C4083,0)</f>
      </c>
      <c r="M4083" s="29">
        <f>IFERROR((G4083*H4083*I4083/1000000)*D4083,0)</f>
      </c>
    </row>
    <row r="4084" spans="1:13" x14ac:dyDescent="0.25">
      <c r="A4084" s="16"/>
      <c r="E4084" s="27"/>
      <c r="F4084" t="s">
        <v>26</v>
      </c>
      <c r="G4084" s="28">
        <f>IFERROR(VLOOKUP(F4084,CARTON_LOOKUP!$A:$E,3,0),"")</f>
      </c>
      <c r="H4084" s="28">
        <f>IFERROR(VLOOKUP(F4084,CARTON_LOOKUP!$A:$E,4,0),"")</f>
      </c>
      <c r="I4084" s="28">
        <f>IFERROR(VLOOKUP(F4084,CARTON_LOOKUP!$A:$E,5,0),"")</f>
      </c>
      <c r="J4084" s="29">
        <f>IFERROR(VLOOKUP(F4084,CARTON_LOOKUP!$A:$E,2,0),"")</f>
      </c>
      <c r="K4084" s="29">
        <f>IFERROR(J4084*D4084,0)</f>
      </c>
      <c r="L4084" s="29">
        <f>IFERROR(E4084*C4084,0)</f>
      </c>
      <c r="M4084" s="29">
        <f>IFERROR((G4084*H4084*I4084/1000000)*D4084,0)</f>
      </c>
    </row>
    <row r="4085" spans="1:13" x14ac:dyDescent="0.25">
      <c r="A4085" s="16"/>
      <c r="E4085" s="27"/>
      <c r="F4085" t="s">
        <v>26</v>
      </c>
      <c r="G4085" s="28">
        <f>IFERROR(VLOOKUP(F4085,CARTON_LOOKUP!$A:$E,3,0),"")</f>
      </c>
      <c r="H4085" s="28">
        <f>IFERROR(VLOOKUP(F4085,CARTON_LOOKUP!$A:$E,4,0),"")</f>
      </c>
      <c r="I4085" s="28">
        <f>IFERROR(VLOOKUP(F4085,CARTON_LOOKUP!$A:$E,5,0),"")</f>
      </c>
      <c r="J4085" s="29">
        <f>IFERROR(VLOOKUP(F4085,CARTON_LOOKUP!$A:$E,2,0),"")</f>
      </c>
      <c r="K4085" s="29">
        <f>IFERROR(J4085*D4085,0)</f>
      </c>
      <c r="L4085" s="29">
        <f>IFERROR(E4085*C4085,0)</f>
      </c>
      <c r="M4085" s="29">
        <f>IFERROR((G4085*H4085*I4085/1000000)*D4085,0)</f>
      </c>
    </row>
    <row r="4086" spans="1:13" x14ac:dyDescent="0.25">
      <c r="A4086" s="16"/>
      <c r="E4086" s="27"/>
      <c r="F4086" t="s">
        <v>26</v>
      </c>
      <c r="G4086" s="28">
        <f>IFERROR(VLOOKUP(F4086,CARTON_LOOKUP!$A:$E,3,0),"")</f>
      </c>
      <c r="H4086" s="28">
        <f>IFERROR(VLOOKUP(F4086,CARTON_LOOKUP!$A:$E,4,0),"")</f>
      </c>
      <c r="I4086" s="28">
        <f>IFERROR(VLOOKUP(F4086,CARTON_LOOKUP!$A:$E,5,0),"")</f>
      </c>
      <c r="J4086" s="29">
        <f>IFERROR(VLOOKUP(F4086,CARTON_LOOKUP!$A:$E,2,0),"")</f>
      </c>
      <c r="K4086" s="29">
        <f>IFERROR(J4086*D4086,0)</f>
      </c>
      <c r="L4086" s="29">
        <f>IFERROR(E4086*C4086,0)</f>
      </c>
      <c r="M4086" s="29">
        <f>IFERROR((G4086*H4086*I4086/1000000)*D4086,0)</f>
      </c>
    </row>
    <row r="4087" spans="1:13" x14ac:dyDescent="0.25">
      <c r="A4087" s="16"/>
      <c r="E4087" s="27"/>
      <c r="F4087" t="s">
        <v>26</v>
      </c>
      <c r="G4087" s="28">
        <f>IFERROR(VLOOKUP(F4087,CARTON_LOOKUP!$A:$E,3,0),"")</f>
      </c>
      <c r="H4087" s="28">
        <f>IFERROR(VLOOKUP(F4087,CARTON_LOOKUP!$A:$E,4,0),"")</f>
      </c>
      <c r="I4087" s="28">
        <f>IFERROR(VLOOKUP(F4087,CARTON_LOOKUP!$A:$E,5,0),"")</f>
      </c>
      <c r="J4087" s="29">
        <f>IFERROR(VLOOKUP(F4087,CARTON_LOOKUP!$A:$E,2,0),"")</f>
      </c>
      <c r="K4087" s="29">
        <f>IFERROR(J4087*D4087,0)</f>
      </c>
      <c r="L4087" s="29">
        <f>IFERROR(E4087*C4087,0)</f>
      </c>
      <c r="M4087" s="29">
        <f>IFERROR((G4087*H4087*I4087/1000000)*D4087,0)</f>
      </c>
    </row>
    <row r="4088" spans="1:13" x14ac:dyDescent="0.25">
      <c r="A4088" s="16"/>
      <c r="E4088" s="27"/>
      <c r="F4088" t="s">
        <v>26</v>
      </c>
      <c r="G4088" s="28">
        <f>IFERROR(VLOOKUP(F4088,CARTON_LOOKUP!$A:$E,3,0),"")</f>
      </c>
      <c r="H4088" s="28">
        <f>IFERROR(VLOOKUP(F4088,CARTON_LOOKUP!$A:$E,4,0),"")</f>
      </c>
      <c r="I4088" s="28">
        <f>IFERROR(VLOOKUP(F4088,CARTON_LOOKUP!$A:$E,5,0),"")</f>
      </c>
      <c r="J4088" s="29">
        <f>IFERROR(VLOOKUP(F4088,CARTON_LOOKUP!$A:$E,2,0),"")</f>
      </c>
      <c r="K4088" s="29">
        <f>IFERROR(J4088*D4088,0)</f>
      </c>
      <c r="L4088" s="29">
        <f>IFERROR(E4088*C4088,0)</f>
      </c>
      <c r="M4088" s="29">
        <f>IFERROR((G4088*H4088*I4088/1000000)*D4088,0)</f>
      </c>
    </row>
    <row r="4089" spans="1:13" x14ac:dyDescent="0.25">
      <c r="A4089" s="16"/>
      <c r="E4089" s="27"/>
      <c r="F4089" t="s">
        <v>26</v>
      </c>
      <c r="G4089" s="28">
        <f>IFERROR(VLOOKUP(F4089,CARTON_LOOKUP!$A:$E,3,0),"")</f>
      </c>
      <c r="H4089" s="28">
        <f>IFERROR(VLOOKUP(F4089,CARTON_LOOKUP!$A:$E,4,0),"")</f>
      </c>
      <c r="I4089" s="28">
        <f>IFERROR(VLOOKUP(F4089,CARTON_LOOKUP!$A:$E,5,0),"")</f>
      </c>
      <c r="J4089" s="29">
        <f>IFERROR(VLOOKUP(F4089,CARTON_LOOKUP!$A:$E,2,0),"")</f>
      </c>
      <c r="K4089" s="29">
        <f>IFERROR(J4089*D4089,0)</f>
      </c>
      <c r="L4089" s="29">
        <f>IFERROR(E4089*C4089,0)</f>
      </c>
      <c r="M4089" s="29">
        <f>IFERROR((G4089*H4089*I4089/1000000)*D4089,0)</f>
      </c>
    </row>
    <row r="4090" spans="1:13" x14ac:dyDescent="0.25">
      <c r="A4090" s="16"/>
      <c r="E4090" s="27"/>
      <c r="F4090" t="s">
        <v>26</v>
      </c>
      <c r="G4090" s="28">
        <f>IFERROR(VLOOKUP(F4090,CARTON_LOOKUP!$A:$E,3,0),"")</f>
      </c>
      <c r="H4090" s="28">
        <f>IFERROR(VLOOKUP(F4090,CARTON_LOOKUP!$A:$E,4,0),"")</f>
      </c>
      <c r="I4090" s="28">
        <f>IFERROR(VLOOKUP(F4090,CARTON_LOOKUP!$A:$E,5,0),"")</f>
      </c>
      <c r="J4090" s="29">
        <f>IFERROR(VLOOKUP(F4090,CARTON_LOOKUP!$A:$E,2,0),"")</f>
      </c>
      <c r="K4090" s="29">
        <f>IFERROR(J4090*D4090,0)</f>
      </c>
      <c r="L4090" s="29">
        <f>IFERROR(E4090*C4090,0)</f>
      </c>
      <c r="M4090" s="29">
        <f>IFERROR((G4090*H4090*I4090/1000000)*D4090,0)</f>
      </c>
    </row>
    <row r="4091" spans="1:13" x14ac:dyDescent="0.25">
      <c r="A4091" s="16"/>
      <c r="E4091" s="27"/>
      <c r="F4091" t="s">
        <v>26</v>
      </c>
      <c r="G4091" s="28">
        <f>IFERROR(VLOOKUP(F4091,CARTON_LOOKUP!$A:$E,3,0),"")</f>
      </c>
      <c r="H4091" s="28">
        <f>IFERROR(VLOOKUP(F4091,CARTON_LOOKUP!$A:$E,4,0),"")</f>
      </c>
      <c r="I4091" s="28">
        <f>IFERROR(VLOOKUP(F4091,CARTON_LOOKUP!$A:$E,5,0),"")</f>
      </c>
      <c r="J4091" s="29">
        <f>IFERROR(VLOOKUP(F4091,CARTON_LOOKUP!$A:$E,2,0),"")</f>
      </c>
      <c r="K4091" s="29">
        <f>IFERROR(J4091*D4091,0)</f>
      </c>
      <c r="L4091" s="29">
        <f>IFERROR(E4091*C4091,0)</f>
      </c>
      <c r="M4091" s="29">
        <f>IFERROR((G4091*H4091*I4091/1000000)*D4091,0)</f>
      </c>
    </row>
    <row r="4092" spans="1:13" x14ac:dyDescent="0.25">
      <c r="A4092" s="16"/>
      <c r="E4092" s="27"/>
      <c r="F4092" t="s">
        <v>26</v>
      </c>
      <c r="G4092" s="28">
        <f>IFERROR(VLOOKUP(F4092,CARTON_LOOKUP!$A:$E,3,0),"")</f>
      </c>
      <c r="H4092" s="28">
        <f>IFERROR(VLOOKUP(F4092,CARTON_LOOKUP!$A:$E,4,0),"")</f>
      </c>
      <c r="I4092" s="28">
        <f>IFERROR(VLOOKUP(F4092,CARTON_LOOKUP!$A:$E,5,0),"")</f>
      </c>
      <c r="J4092" s="29">
        <f>IFERROR(VLOOKUP(F4092,CARTON_LOOKUP!$A:$E,2,0),"")</f>
      </c>
      <c r="K4092" s="29">
        <f>IFERROR(J4092*D4092,0)</f>
      </c>
      <c r="L4092" s="29">
        <f>IFERROR(E4092*C4092,0)</f>
      </c>
      <c r="M4092" s="29">
        <f>IFERROR((G4092*H4092*I4092/1000000)*D4092,0)</f>
      </c>
    </row>
    <row r="4093" spans="1:13" x14ac:dyDescent="0.25">
      <c r="A4093" s="16"/>
      <c r="E4093" s="27"/>
      <c r="F4093" t="s">
        <v>26</v>
      </c>
      <c r="G4093" s="28">
        <f>IFERROR(VLOOKUP(F4093,CARTON_LOOKUP!$A:$E,3,0),"")</f>
      </c>
      <c r="H4093" s="28">
        <f>IFERROR(VLOOKUP(F4093,CARTON_LOOKUP!$A:$E,4,0),"")</f>
      </c>
      <c r="I4093" s="28">
        <f>IFERROR(VLOOKUP(F4093,CARTON_LOOKUP!$A:$E,5,0),"")</f>
      </c>
      <c r="J4093" s="29">
        <f>IFERROR(VLOOKUP(F4093,CARTON_LOOKUP!$A:$E,2,0),"")</f>
      </c>
      <c r="K4093" s="29">
        <f>IFERROR(J4093*D4093,0)</f>
      </c>
      <c r="L4093" s="29">
        <f>IFERROR(E4093*C4093,0)</f>
      </c>
      <c r="M4093" s="29">
        <f>IFERROR((G4093*H4093*I4093/1000000)*D4093,0)</f>
      </c>
    </row>
    <row r="4094" spans="1:13" x14ac:dyDescent="0.25">
      <c r="A4094" s="16"/>
      <c r="E4094" s="27"/>
      <c r="F4094" t="s">
        <v>26</v>
      </c>
      <c r="G4094" s="28">
        <f>IFERROR(VLOOKUP(F4094,CARTON_LOOKUP!$A:$E,3,0),"")</f>
      </c>
      <c r="H4094" s="28">
        <f>IFERROR(VLOOKUP(F4094,CARTON_LOOKUP!$A:$E,4,0),"")</f>
      </c>
      <c r="I4094" s="28">
        <f>IFERROR(VLOOKUP(F4094,CARTON_LOOKUP!$A:$E,5,0),"")</f>
      </c>
      <c r="J4094" s="29">
        <f>IFERROR(VLOOKUP(F4094,CARTON_LOOKUP!$A:$E,2,0),"")</f>
      </c>
      <c r="K4094" s="29">
        <f>IFERROR(J4094*D4094,0)</f>
      </c>
      <c r="L4094" s="29">
        <f>IFERROR(E4094*C4094,0)</f>
      </c>
      <c r="M4094" s="29">
        <f>IFERROR((G4094*H4094*I4094/1000000)*D4094,0)</f>
      </c>
    </row>
    <row r="4095" spans="1:13" x14ac:dyDescent="0.25">
      <c r="A4095" s="16"/>
      <c r="E4095" s="27"/>
      <c r="F4095" t="s">
        <v>26</v>
      </c>
      <c r="G4095" s="28">
        <f>IFERROR(VLOOKUP(F4095,CARTON_LOOKUP!$A:$E,3,0),"")</f>
      </c>
      <c r="H4095" s="28">
        <f>IFERROR(VLOOKUP(F4095,CARTON_LOOKUP!$A:$E,4,0),"")</f>
      </c>
      <c r="I4095" s="28">
        <f>IFERROR(VLOOKUP(F4095,CARTON_LOOKUP!$A:$E,5,0),"")</f>
      </c>
      <c r="J4095" s="29">
        <f>IFERROR(VLOOKUP(F4095,CARTON_LOOKUP!$A:$E,2,0),"")</f>
      </c>
      <c r="K4095" s="29">
        <f>IFERROR(J4095*D4095,0)</f>
      </c>
      <c r="L4095" s="29">
        <f>IFERROR(E4095*C4095,0)</f>
      </c>
      <c r="M4095" s="29">
        <f>IFERROR((G4095*H4095*I4095/1000000)*D4095,0)</f>
      </c>
    </row>
    <row r="4096" spans="1:13" x14ac:dyDescent="0.25">
      <c r="A4096" s="16"/>
      <c r="E4096" s="27"/>
      <c r="F4096" t="s">
        <v>26</v>
      </c>
      <c r="G4096" s="28">
        <f>IFERROR(VLOOKUP(F4096,CARTON_LOOKUP!$A:$E,3,0),"")</f>
      </c>
      <c r="H4096" s="28">
        <f>IFERROR(VLOOKUP(F4096,CARTON_LOOKUP!$A:$E,4,0),"")</f>
      </c>
      <c r="I4096" s="28">
        <f>IFERROR(VLOOKUP(F4096,CARTON_LOOKUP!$A:$E,5,0),"")</f>
      </c>
      <c r="J4096" s="29">
        <f>IFERROR(VLOOKUP(F4096,CARTON_LOOKUP!$A:$E,2,0),"")</f>
      </c>
      <c r="K4096" s="29">
        <f>IFERROR(J4096*D4096,0)</f>
      </c>
      <c r="L4096" s="29">
        <f>IFERROR(E4096*C4096,0)</f>
      </c>
      <c r="M4096" s="29">
        <f>IFERROR((G4096*H4096*I4096/1000000)*D4096,0)</f>
      </c>
    </row>
    <row r="4097" spans="1:13" x14ac:dyDescent="0.25">
      <c r="A4097" s="16"/>
      <c r="E4097" s="27"/>
      <c r="F4097" t="s">
        <v>26</v>
      </c>
      <c r="G4097" s="28">
        <f>IFERROR(VLOOKUP(F4097,CARTON_LOOKUP!$A:$E,3,0),"")</f>
      </c>
      <c r="H4097" s="28">
        <f>IFERROR(VLOOKUP(F4097,CARTON_LOOKUP!$A:$E,4,0),"")</f>
      </c>
      <c r="I4097" s="28">
        <f>IFERROR(VLOOKUP(F4097,CARTON_LOOKUP!$A:$E,5,0),"")</f>
      </c>
      <c r="J4097" s="29">
        <f>IFERROR(VLOOKUP(F4097,CARTON_LOOKUP!$A:$E,2,0),"")</f>
      </c>
      <c r="K4097" s="29">
        <f>IFERROR(J4097*D4097,0)</f>
      </c>
      <c r="L4097" s="29">
        <f>IFERROR(E4097*C4097,0)</f>
      </c>
      <c r="M4097" s="29">
        <f>IFERROR((G4097*H4097*I4097/1000000)*D4097,0)</f>
      </c>
    </row>
    <row r="4098" spans="1:13" x14ac:dyDescent="0.25">
      <c r="A4098" s="16"/>
      <c r="E4098" s="27"/>
      <c r="F4098" t="s">
        <v>26</v>
      </c>
      <c r="G4098" s="28">
        <f>IFERROR(VLOOKUP(F4098,CARTON_LOOKUP!$A:$E,3,0),"")</f>
      </c>
      <c r="H4098" s="28">
        <f>IFERROR(VLOOKUP(F4098,CARTON_LOOKUP!$A:$E,4,0),"")</f>
      </c>
      <c r="I4098" s="28">
        <f>IFERROR(VLOOKUP(F4098,CARTON_LOOKUP!$A:$E,5,0),"")</f>
      </c>
      <c r="J4098" s="29">
        <f>IFERROR(VLOOKUP(F4098,CARTON_LOOKUP!$A:$E,2,0),"")</f>
      </c>
      <c r="K4098" s="29">
        <f>IFERROR(J4098*D4098,0)</f>
      </c>
      <c r="L4098" s="29">
        <f>IFERROR(E4098*C4098,0)</f>
      </c>
      <c r="M4098" s="29">
        <f>IFERROR((G4098*H4098*I4098/1000000)*D4098,0)</f>
      </c>
    </row>
    <row r="4099" spans="1:13" x14ac:dyDescent="0.25">
      <c r="A4099" s="16"/>
      <c r="E4099" s="27"/>
      <c r="F4099" t="s">
        <v>26</v>
      </c>
      <c r="G4099" s="28">
        <f>IFERROR(VLOOKUP(F4099,CARTON_LOOKUP!$A:$E,3,0),"")</f>
      </c>
      <c r="H4099" s="28">
        <f>IFERROR(VLOOKUP(F4099,CARTON_LOOKUP!$A:$E,4,0),"")</f>
      </c>
      <c r="I4099" s="28">
        <f>IFERROR(VLOOKUP(F4099,CARTON_LOOKUP!$A:$E,5,0),"")</f>
      </c>
      <c r="J4099" s="29">
        <f>IFERROR(VLOOKUP(F4099,CARTON_LOOKUP!$A:$E,2,0),"")</f>
      </c>
      <c r="K4099" s="29">
        <f>IFERROR(J4099*D4099,0)</f>
      </c>
      <c r="L4099" s="29">
        <f>IFERROR(E4099*C4099,0)</f>
      </c>
      <c r="M4099" s="29">
        <f>IFERROR((G4099*H4099*I4099/1000000)*D4099,0)</f>
      </c>
    </row>
    <row r="4100" spans="1:13" x14ac:dyDescent="0.25">
      <c r="A4100" s="16"/>
      <c r="E4100" s="27"/>
      <c r="F4100" t="s">
        <v>26</v>
      </c>
      <c r="G4100" s="28">
        <f>IFERROR(VLOOKUP(F4100,CARTON_LOOKUP!$A:$E,3,0),"")</f>
      </c>
      <c r="H4100" s="28">
        <f>IFERROR(VLOOKUP(F4100,CARTON_LOOKUP!$A:$E,4,0),"")</f>
      </c>
      <c r="I4100" s="28">
        <f>IFERROR(VLOOKUP(F4100,CARTON_LOOKUP!$A:$E,5,0),"")</f>
      </c>
      <c r="J4100" s="29">
        <f>IFERROR(VLOOKUP(F4100,CARTON_LOOKUP!$A:$E,2,0),"")</f>
      </c>
      <c r="K4100" s="29">
        <f>IFERROR(J4100*D4100,0)</f>
      </c>
      <c r="L4100" s="29">
        <f>IFERROR(E4100*C4100,0)</f>
      </c>
      <c r="M4100" s="29">
        <f>IFERROR((G4100*H4100*I4100/1000000)*D4100,0)</f>
      </c>
    </row>
    <row r="4101" spans="1:13" x14ac:dyDescent="0.25">
      <c r="A4101" s="16"/>
      <c r="E4101" s="27"/>
      <c r="F4101" t="s">
        <v>26</v>
      </c>
      <c r="G4101" s="28">
        <f>IFERROR(VLOOKUP(F4101,CARTON_LOOKUP!$A:$E,3,0),"")</f>
      </c>
      <c r="H4101" s="28">
        <f>IFERROR(VLOOKUP(F4101,CARTON_LOOKUP!$A:$E,4,0),"")</f>
      </c>
      <c r="I4101" s="28">
        <f>IFERROR(VLOOKUP(F4101,CARTON_LOOKUP!$A:$E,5,0),"")</f>
      </c>
      <c r="J4101" s="29">
        <f>IFERROR(VLOOKUP(F4101,CARTON_LOOKUP!$A:$E,2,0),"")</f>
      </c>
      <c r="K4101" s="29">
        <f>IFERROR(J4101*D4101,0)</f>
      </c>
      <c r="L4101" s="29">
        <f>IFERROR(E4101*C4101,0)</f>
      </c>
      <c r="M4101" s="29">
        <f>IFERROR((G4101*H4101*I4101/1000000)*D4101,0)</f>
      </c>
    </row>
    <row r="4102" spans="1:13" x14ac:dyDescent="0.25">
      <c r="A4102" s="16"/>
      <c r="E4102" s="27"/>
      <c r="F4102" t="s">
        <v>26</v>
      </c>
      <c r="G4102" s="28">
        <f>IFERROR(VLOOKUP(F4102,CARTON_LOOKUP!$A:$E,3,0),"")</f>
      </c>
      <c r="H4102" s="28">
        <f>IFERROR(VLOOKUP(F4102,CARTON_LOOKUP!$A:$E,4,0),"")</f>
      </c>
      <c r="I4102" s="28">
        <f>IFERROR(VLOOKUP(F4102,CARTON_LOOKUP!$A:$E,5,0),"")</f>
      </c>
      <c r="J4102" s="29">
        <f>IFERROR(VLOOKUP(F4102,CARTON_LOOKUP!$A:$E,2,0),"")</f>
      </c>
      <c r="K4102" s="29">
        <f>IFERROR(J4102*D4102,0)</f>
      </c>
      <c r="L4102" s="29">
        <f>IFERROR(E4102*C4102,0)</f>
      </c>
      <c r="M4102" s="29">
        <f>IFERROR((G4102*H4102*I4102/1000000)*D4102,0)</f>
      </c>
    </row>
    <row r="4103" spans="1:13" x14ac:dyDescent="0.25">
      <c r="A4103" s="16"/>
      <c r="E4103" s="27"/>
      <c r="F4103" t="s">
        <v>26</v>
      </c>
      <c r="G4103" s="28">
        <f>IFERROR(VLOOKUP(F4103,CARTON_LOOKUP!$A:$E,3,0),"")</f>
      </c>
      <c r="H4103" s="28">
        <f>IFERROR(VLOOKUP(F4103,CARTON_LOOKUP!$A:$E,4,0),"")</f>
      </c>
      <c r="I4103" s="28">
        <f>IFERROR(VLOOKUP(F4103,CARTON_LOOKUP!$A:$E,5,0),"")</f>
      </c>
      <c r="J4103" s="29">
        <f>IFERROR(VLOOKUP(F4103,CARTON_LOOKUP!$A:$E,2,0),"")</f>
      </c>
      <c r="K4103" s="29">
        <f>IFERROR(J4103*D4103,0)</f>
      </c>
      <c r="L4103" s="29">
        <f>IFERROR(E4103*C4103,0)</f>
      </c>
      <c r="M4103" s="29">
        <f>IFERROR((G4103*H4103*I4103/1000000)*D4103,0)</f>
      </c>
    </row>
    <row r="4104" spans="1:13" x14ac:dyDescent="0.25">
      <c r="A4104" s="16"/>
      <c r="E4104" s="27"/>
      <c r="F4104" t="s">
        <v>26</v>
      </c>
      <c r="G4104" s="28">
        <f>IFERROR(VLOOKUP(F4104,CARTON_LOOKUP!$A:$E,3,0),"")</f>
      </c>
      <c r="H4104" s="28">
        <f>IFERROR(VLOOKUP(F4104,CARTON_LOOKUP!$A:$E,4,0),"")</f>
      </c>
      <c r="I4104" s="28">
        <f>IFERROR(VLOOKUP(F4104,CARTON_LOOKUP!$A:$E,5,0),"")</f>
      </c>
      <c r="J4104" s="29">
        <f>IFERROR(VLOOKUP(F4104,CARTON_LOOKUP!$A:$E,2,0),"")</f>
      </c>
      <c r="K4104" s="29">
        <f>IFERROR(J4104*D4104,0)</f>
      </c>
      <c r="L4104" s="29">
        <f>IFERROR(E4104*C4104,0)</f>
      </c>
      <c r="M4104" s="29">
        <f>IFERROR((G4104*H4104*I4104/1000000)*D4104,0)</f>
      </c>
    </row>
    <row r="4105" spans="1:13" x14ac:dyDescent="0.25">
      <c r="A4105" s="16"/>
      <c r="E4105" s="27"/>
      <c r="F4105" t="s">
        <v>26</v>
      </c>
      <c r="G4105" s="28">
        <f>IFERROR(VLOOKUP(F4105,CARTON_LOOKUP!$A:$E,3,0),"")</f>
      </c>
      <c r="H4105" s="28">
        <f>IFERROR(VLOOKUP(F4105,CARTON_LOOKUP!$A:$E,4,0),"")</f>
      </c>
      <c r="I4105" s="28">
        <f>IFERROR(VLOOKUP(F4105,CARTON_LOOKUP!$A:$E,5,0),"")</f>
      </c>
      <c r="J4105" s="29">
        <f>IFERROR(VLOOKUP(F4105,CARTON_LOOKUP!$A:$E,2,0),"")</f>
      </c>
      <c r="K4105" s="29">
        <f>IFERROR(J4105*D4105,0)</f>
      </c>
      <c r="L4105" s="29">
        <f>IFERROR(E4105*C4105,0)</f>
      </c>
      <c r="M4105" s="29">
        <f>IFERROR((G4105*H4105*I4105/1000000)*D4105,0)</f>
      </c>
    </row>
    <row r="4106" spans="1:13" x14ac:dyDescent="0.25">
      <c r="A4106" s="16"/>
      <c r="E4106" s="27"/>
      <c r="F4106" t="s">
        <v>26</v>
      </c>
      <c r="G4106" s="28">
        <f>IFERROR(VLOOKUP(F4106,CARTON_LOOKUP!$A:$E,3,0),"")</f>
      </c>
      <c r="H4106" s="28">
        <f>IFERROR(VLOOKUP(F4106,CARTON_LOOKUP!$A:$E,4,0),"")</f>
      </c>
      <c r="I4106" s="28">
        <f>IFERROR(VLOOKUP(F4106,CARTON_LOOKUP!$A:$E,5,0),"")</f>
      </c>
      <c r="J4106" s="29">
        <f>IFERROR(VLOOKUP(F4106,CARTON_LOOKUP!$A:$E,2,0),"")</f>
      </c>
      <c r="K4106" s="29">
        <f>IFERROR(J4106*D4106,0)</f>
      </c>
      <c r="L4106" s="29">
        <f>IFERROR(E4106*C4106,0)</f>
      </c>
      <c r="M4106" s="29">
        <f>IFERROR((G4106*H4106*I4106/1000000)*D4106,0)</f>
      </c>
    </row>
    <row r="4107" spans="1:13" x14ac:dyDescent="0.25">
      <c r="A4107" s="16"/>
      <c r="E4107" s="27"/>
      <c r="F4107" t="s">
        <v>26</v>
      </c>
      <c r="G4107" s="28">
        <f>IFERROR(VLOOKUP(F4107,CARTON_LOOKUP!$A:$E,3,0),"")</f>
      </c>
      <c r="H4107" s="28">
        <f>IFERROR(VLOOKUP(F4107,CARTON_LOOKUP!$A:$E,4,0),"")</f>
      </c>
      <c r="I4107" s="28">
        <f>IFERROR(VLOOKUP(F4107,CARTON_LOOKUP!$A:$E,5,0),"")</f>
      </c>
      <c r="J4107" s="29">
        <f>IFERROR(VLOOKUP(F4107,CARTON_LOOKUP!$A:$E,2,0),"")</f>
      </c>
      <c r="K4107" s="29">
        <f>IFERROR(J4107*D4107,0)</f>
      </c>
      <c r="L4107" s="29">
        <f>IFERROR(E4107*C4107,0)</f>
      </c>
      <c r="M4107" s="29">
        <f>IFERROR((G4107*H4107*I4107/1000000)*D4107,0)</f>
      </c>
    </row>
    <row r="4108" spans="1:13" x14ac:dyDescent="0.25">
      <c r="A4108" s="16"/>
      <c r="E4108" s="27"/>
      <c r="F4108" t="s">
        <v>26</v>
      </c>
      <c r="G4108" s="28">
        <f>IFERROR(VLOOKUP(F4108,CARTON_LOOKUP!$A:$E,3,0),"")</f>
      </c>
      <c r="H4108" s="28">
        <f>IFERROR(VLOOKUP(F4108,CARTON_LOOKUP!$A:$E,4,0),"")</f>
      </c>
      <c r="I4108" s="28">
        <f>IFERROR(VLOOKUP(F4108,CARTON_LOOKUP!$A:$E,5,0),"")</f>
      </c>
      <c r="J4108" s="29">
        <f>IFERROR(VLOOKUP(F4108,CARTON_LOOKUP!$A:$E,2,0),"")</f>
      </c>
      <c r="K4108" s="29">
        <f>IFERROR(J4108*D4108,0)</f>
      </c>
      <c r="L4108" s="29">
        <f>IFERROR(E4108*C4108,0)</f>
      </c>
      <c r="M4108" s="29">
        <f>IFERROR((G4108*H4108*I4108/1000000)*D4108,0)</f>
      </c>
    </row>
    <row r="4109" spans="1:13" x14ac:dyDescent="0.25">
      <c r="A4109" s="16"/>
      <c r="E4109" s="27"/>
      <c r="F4109" t="s">
        <v>26</v>
      </c>
      <c r="G4109" s="28">
        <f>IFERROR(VLOOKUP(F4109,CARTON_LOOKUP!$A:$E,3,0),"")</f>
      </c>
      <c r="H4109" s="28">
        <f>IFERROR(VLOOKUP(F4109,CARTON_LOOKUP!$A:$E,4,0),"")</f>
      </c>
      <c r="I4109" s="28">
        <f>IFERROR(VLOOKUP(F4109,CARTON_LOOKUP!$A:$E,5,0),"")</f>
      </c>
      <c r="J4109" s="29">
        <f>IFERROR(VLOOKUP(F4109,CARTON_LOOKUP!$A:$E,2,0),"")</f>
      </c>
      <c r="K4109" s="29">
        <f>IFERROR(J4109*D4109,0)</f>
      </c>
      <c r="L4109" s="29">
        <f>IFERROR(E4109*C4109,0)</f>
      </c>
      <c r="M4109" s="29">
        <f>IFERROR((G4109*H4109*I4109/1000000)*D4109,0)</f>
      </c>
    </row>
    <row r="4110" spans="1:13" x14ac:dyDescent="0.25">
      <c r="A4110" s="16"/>
      <c r="E4110" s="27"/>
      <c r="F4110" t="s">
        <v>26</v>
      </c>
      <c r="G4110" s="28">
        <f>IFERROR(VLOOKUP(F4110,CARTON_LOOKUP!$A:$E,3,0),"")</f>
      </c>
      <c r="H4110" s="28">
        <f>IFERROR(VLOOKUP(F4110,CARTON_LOOKUP!$A:$E,4,0),"")</f>
      </c>
      <c r="I4110" s="28">
        <f>IFERROR(VLOOKUP(F4110,CARTON_LOOKUP!$A:$E,5,0),"")</f>
      </c>
      <c r="J4110" s="29">
        <f>IFERROR(VLOOKUP(F4110,CARTON_LOOKUP!$A:$E,2,0),"")</f>
      </c>
      <c r="K4110" s="29">
        <f>IFERROR(J4110*D4110,0)</f>
      </c>
      <c r="L4110" s="29">
        <f>IFERROR(E4110*C4110,0)</f>
      </c>
      <c r="M4110" s="29">
        <f>IFERROR((G4110*H4110*I4110/1000000)*D4110,0)</f>
      </c>
    </row>
    <row r="4111" spans="1:13" x14ac:dyDescent="0.25">
      <c r="A4111" s="16"/>
      <c r="E4111" s="27"/>
      <c r="F4111" t="s">
        <v>26</v>
      </c>
      <c r="G4111" s="28">
        <f>IFERROR(VLOOKUP(F4111,CARTON_LOOKUP!$A:$E,3,0),"")</f>
      </c>
      <c r="H4111" s="28">
        <f>IFERROR(VLOOKUP(F4111,CARTON_LOOKUP!$A:$E,4,0),"")</f>
      </c>
      <c r="I4111" s="28">
        <f>IFERROR(VLOOKUP(F4111,CARTON_LOOKUP!$A:$E,5,0),"")</f>
      </c>
      <c r="J4111" s="29">
        <f>IFERROR(VLOOKUP(F4111,CARTON_LOOKUP!$A:$E,2,0),"")</f>
      </c>
      <c r="K4111" s="29">
        <f>IFERROR(J4111*D4111,0)</f>
      </c>
      <c r="L4111" s="29">
        <f>IFERROR(E4111*C4111,0)</f>
      </c>
      <c r="M4111" s="29">
        <f>IFERROR((G4111*H4111*I4111/1000000)*D4111,0)</f>
      </c>
    </row>
    <row r="4112" spans="1:13" x14ac:dyDescent="0.25">
      <c r="A4112" s="16"/>
      <c r="E4112" s="27"/>
      <c r="F4112" t="s">
        <v>26</v>
      </c>
      <c r="G4112" s="28">
        <f>IFERROR(VLOOKUP(F4112,CARTON_LOOKUP!$A:$E,3,0),"")</f>
      </c>
      <c r="H4112" s="28">
        <f>IFERROR(VLOOKUP(F4112,CARTON_LOOKUP!$A:$E,4,0),"")</f>
      </c>
      <c r="I4112" s="28">
        <f>IFERROR(VLOOKUP(F4112,CARTON_LOOKUP!$A:$E,5,0),"")</f>
      </c>
      <c r="J4112" s="29">
        <f>IFERROR(VLOOKUP(F4112,CARTON_LOOKUP!$A:$E,2,0),"")</f>
      </c>
      <c r="K4112" s="29">
        <f>IFERROR(J4112*D4112,0)</f>
      </c>
      <c r="L4112" s="29">
        <f>IFERROR(E4112*C4112,0)</f>
      </c>
      <c r="M4112" s="29">
        <f>IFERROR((G4112*H4112*I4112/1000000)*D4112,0)</f>
      </c>
    </row>
    <row r="4113" spans="1:13" x14ac:dyDescent="0.25">
      <c r="A4113" s="16"/>
      <c r="E4113" s="27"/>
      <c r="F4113" t="s">
        <v>26</v>
      </c>
      <c r="G4113" s="28">
        <f>IFERROR(VLOOKUP(F4113,CARTON_LOOKUP!$A:$E,3,0),"")</f>
      </c>
      <c r="H4113" s="28">
        <f>IFERROR(VLOOKUP(F4113,CARTON_LOOKUP!$A:$E,4,0),"")</f>
      </c>
      <c r="I4113" s="28">
        <f>IFERROR(VLOOKUP(F4113,CARTON_LOOKUP!$A:$E,5,0),"")</f>
      </c>
      <c r="J4113" s="29">
        <f>IFERROR(VLOOKUP(F4113,CARTON_LOOKUP!$A:$E,2,0),"")</f>
      </c>
      <c r="K4113" s="29">
        <f>IFERROR(J4113*D4113,0)</f>
      </c>
      <c r="L4113" s="29">
        <f>IFERROR(E4113*C4113,0)</f>
      </c>
      <c r="M4113" s="29">
        <f>IFERROR((G4113*H4113*I4113/1000000)*D4113,0)</f>
      </c>
    </row>
    <row r="4114" spans="1:13" x14ac:dyDescent="0.25">
      <c r="A4114" s="16"/>
      <c r="E4114" s="27"/>
      <c r="F4114" t="s">
        <v>26</v>
      </c>
      <c r="G4114" s="28">
        <f>IFERROR(VLOOKUP(F4114,CARTON_LOOKUP!$A:$E,3,0),"")</f>
      </c>
      <c r="H4114" s="28">
        <f>IFERROR(VLOOKUP(F4114,CARTON_LOOKUP!$A:$E,4,0),"")</f>
      </c>
      <c r="I4114" s="28">
        <f>IFERROR(VLOOKUP(F4114,CARTON_LOOKUP!$A:$E,5,0),"")</f>
      </c>
      <c r="J4114" s="29">
        <f>IFERROR(VLOOKUP(F4114,CARTON_LOOKUP!$A:$E,2,0),"")</f>
      </c>
      <c r="K4114" s="29">
        <f>IFERROR(J4114*D4114,0)</f>
      </c>
      <c r="L4114" s="29">
        <f>IFERROR(E4114*C4114,0)</f>
      </c>
      <c r="M4114" s="29">
        <f>IFERROR((G4114*H4114*I4114/1000000)*D4114,0)</f>
      </c>
    </row>
    <row r="4115" spans="1:13" x14ac:dyDescent="0.25">
      <c r="A4115" s="16"/>
      <c r="E4115" s="27"/>
      <c r="F4115" t="s">
        <v>26</v>
      </c>
      <c r="G4115" s="28">
        <f>IFERROR(VLOOKUP(F4115,CARTON_LOOKUP!$A:$E,3,0),"")</f>
      </c>
      <c r="H4115" s="28">
        <f>IFERROR(VLOOKUP(F4115,CARTON_LOOKUP!$A:$E,4,0),"")</f>
      </c>
      <c r="I4115" s="28">
        <f>IFERROR(VLOOKUP(F4115,CARTON_LOOKUP!$A:$E,5,0),"")</f>
      </c>
      <c r="J4115" s="29">
        <f>IFERROR(VLOOKUP(F4115,CARTON_LOOKUP!$A:$E,2,0),"")</f>
      </c>
      <c r="K4115" s="29">
        <f>IFERROR(J4115*D4115,0)</f>
      </c>
      <c r="L4115" s="29">
        <f>IFERROR(E4115*C4115,0)</f>
      </c>
      <c r="M4115" s="29">
        <f>IFERROR((G4115*H4115*I4115/1000000)*D4115,0)</f>
      </c>
    </row>
    <row r="4116" spans="1:13" x14ac:dyDescent="0.25">
      <c r="A4116" s="16"/>
      <c r="E4116" s="27"/>
      <c r="F4116" t="s">
        <v>26</v>
      </c>
      <c r="G4116" s="28">
        <f>IFERROR(VLOOKUP(F4116,CARTON_LOOKUP!$A:$E,3,0),"")</f>
      </c>
      <c r="H4116" s="28">
        <f>IFERROR(VLOOKUP(F4116,CARTON_LOOKUP!$A:$E,4,0),"")</f>
      </c>
      <c r="I4116" s="28">
        <f>IFERROR(VLOOKUP(F4116,CARTON_LOOKUP!$A:$E,5,0),"")</f>
      </c>
      <c r="J4116" s="29">
        <f>IFERROR(VLOOKUP(F4116,CARTON_LOOKUP!$A:$E,2,0),"")</f>
      </c>
      <c r="K4116" s="29">
        <f>IFERROR(J4116*D4116,0)</f>
      </c>
      <c r="L4116" s="29">
        <f>IFERROR(E4116*C4116,0)</f>
      </c>
      <c r="M4116" s="29">
        <f>IFERROR((G4116*H4116*I4116/1000000)*D4116,0)</f>
      </c>
    </row>
    <row r="4117" spans="1:13" x14ac:dyDescent="0.25">
      <c r="A4117" s="16"/>
      <c r="E4117" s="27"/>
      <c r="F4117" t="s">
        <v>26</v>
      </c>
      <c r="G4117" s="28">
        <f>IFERROR(VLOOKUP(F4117,CARTON_LOOKUP!$A:$E,3,0),"")</f>
      </c>
      <c r="H4117" s="28">
        <f>IFERROR(VLOOKUP(F4117,CARTON_LOOKUP!$A:$E,4,0),"")</f>
      </c>
      <c r="I4117" s="28">
        <f>IFERROR(VLOOKUP(F4117,CARTON_LOOKUP!$A:$E,5,0),"")</f>
      </c>
      <c r="J4117" s="29">
        <f>IFERROR(VLOOKUP(F4117,CARTON_LOOKUP!$A:$E,2,0),"")</f>
      </c>
      <c r="K4117" s="29">
        <f>IFERROR(J4117*D4117,0)</f>
      </c>
      <c r="L4117" s="29">
        <f>IFERROR(E4117*C4117,0)</f>
      </c>
      <c r="M4117" s="29">
        <f>IFERROR((G4117*H4117*I4117/1000000)*D4117,0)</f>
      </c>
    </row>
    <row r="4118" spans="1:13" x14ac:dyDescent="0.25">
      <c r="A4118" s="16"/>
      <c r="E4118" s="27"/>
      <c r="F4118" t="s">
        <v>26</v>
      </c>
      <c r="G4118" s="28">
        <f>IFERROR(VLOOKUP(F4118,CARTON_LOOKUP!$A:$E,3,0),"")</f>
      </c>
      <c r="H4118" s="28">
        <f>IFERROR(VLOOKUP(F4118,CARTON_LOOKUP!$A:$E,4,0),"")</f>
      </c>
      <c r="I4118" s="28">
        <f>IFERROR(VLOOKUP(F4118,CARTON_LOOKUP!$A:$E,5,0),"")</f>
      </c>
      <c r="J4118" s="29">
        <f>IFERROR(VLOOKUP(F4118,CARTON_LOOKUP!$A:$E,2,0),"")</f>
      </c>
      <c r="K4118" s="29">
        <f>IFERROR(J4118*D4118,0)</f>
      </c>
      <c r="L4118" s="29">
        <f>IFERROR(E4118*C4118,0)</f>
      </c>
      <c r="M4118" s="29">
        <f>IFERROR((G4118*H4118*I4118/1000000)*D4118,0)</f>
      </c>
    </row>
    <row r="4119" spans="1:13" x14ac:dyDescent="0.25">
      <c r="A4119" s="16"/>
      <c r="E4119" s="27"/>
      <c r="F4119" t="s">
        <v>26</v>
      </c>
      <c r="G4119" s="28">
        <f>IFERROR(VLOOKUP(F4119,CARTON_LOOKUP!$A:$E,3,0),"")</f>
      </c>
      <c r="H4119" s="28">
        <f>IFERROR(VLOOKUP(F4119,CARTON_LOOKUP!$A:$E,4,0),"")</f>
      </c>
      <c r="I4119" s="28">
        <f>IFERROR(VLOOKUP(F4119,CARTON_LOOKUP!$A:$E,5,0),"")</f>
      </c>
      <c r="J4119" s="29">
        <f>IFERROR(VLOOKUP(F4119,CARTON_LOOKUP!$A:$E,2,0),"")</f>
      </c>
      <c r="K4119" s="29">
        <f>IFERROR(J4119*D4119,0)</f>
      </c>
      <c r="L4119" s="29">
        <f>IFERROR(E4119*C4119,0)</f>
      </c>
      <c r="M4119" s="29">
        <f>IFERROR((G4119*H4119*I4119/1000000)*D4119,0)</f>
      </c>
    </row>
    <row r="4120" spans="1:13" x14ac:dyDescent="0.25">
      <c r="A4120" s="16"/>
      <c r="E4120" s="27"/>
      <c r="F4120" t="s">
        <v>26</v>
      </c>
      <c r="G4120" s="28">
        <f>IFERROR(VLOOKUP(F4120,CARTON_LOOKUP!$A:$E,3,0),"")</f>
      </c>
      <c r="H4120" s="28">
        <f>IFERROR(VLOOKUP(F4120,CARTON_LOOKUP!$A:$E,4,0),"")</f>
      </c>
      <c r="I4120" s="28">
        <f>IFERROR(VLOOKUP(F4120,CARTON_LOOKUP!$A:$E,5,0),"")</f>
      </c>
      <c r="J4120" s="29">
        <f>IFERROR(VLOOKUP(F4120,CARTON_LOOKUP!$A:$E,2,0),"")</f>
      </c>
      <c r="K4120" s="29">
        <f>IFERROR(J4120*D4120,0)</f>
      </c>
      <c r="L4120" s="29">
        <f>IFERROR(E4120*C4120,0)</f>
      </c>
      <c r="M4120" s="29">
        <f>IFERROR((G4120*H4120*I4120/1000000)*D4120,0)</f>
      </c>
    </row>
    <row r="4121" spans="1:13" x14ac:dyDescent="0.25">
      <c r="A4121" s="16"/>
      <c r="E4121" s="27"/>
      <c r="F4121" t="s">
        <v>26</v>
      </c>
      <c r="G4121" s="28">
        <f>IFERROR(VLOOKUP(F4121,CARTON_LOOKUP!$A:$E,3,0),"")</f>
      </c>
      <c r="H4121" s="28">
        <f>IFERROR(VLOOKUP(F4121,CARTON_LOOKUP!$A:$E,4,0),"")</f>
      </c>
      <c r="I4121" s="28">
        <f>IFERROR(VLOOKUP(F4121,CARTON_LOOKUP!$A:$E,5,0),"")</f>
      </c>
      <c r="J4121" s="29">
        <f>IFERROR(VLOOKUP(F4121,CARTON_LOOKUP!$A:$E,2,0),"")</f>
      </c>
      <c r="K4121" s="29">
        <f>IFERROR(J4121*D4121,0)</f>
      </c>
      <c r="L4121" s="29">
        <f>IFERROR(E4121*C4121,0)</f>
      </c>
      <c r="M4121" s="29">
        <f>IFERROR((G4121*H4121*I4121/1000000)*D4121,0)</f>
      </c>
    </row>
    <row r="4122" spans="1:13" x14ac:dyDescent="0.25">
      <c r="A4122" s="16"/>
      <c r="E4122" s="27"/>
      <c r="F4122" t="s">
        <v>26</v>
      </c>
      <c r="G4122" s="28">
        <f>IFERROR(VLOOKUP(F4122,CARTON_LOOKUP!$A:$E,3,0),"")</f>
      </c>
      <c r="H4122" s="28">
        <f>IFERROR(VLOOKUP(F4122,CARTON_LOOKUP!$A:$E,4,0),"")</f>
      </c>
      <c r="I4122" s="28">
        <f>IFERROR(VLOOKUP(F4122,CARTON_LOOKUP!$A:$E,5,0),"")</f>
      </c>
      <c r="J4122" s="29">
        <f>IFERROR(VLOOKUP(F4122,CARTON_LOOKUP!$A:$E,2,0),"")</f>
      </c>
      <c r="K4122" s="29">
        <f>IFERROR(J4122*D4122,0)</f>
      </c>
      <c r="L4122" s="29">
        <f>IFERROR(E4122*C4122,0)</f>
      </c>
      <c r="M4122" s="29">
        <f>IFERROR((G4122*H4122*I4122/1000000)*D4122,0)</f>
      </c>
    </row>
    <row r="4123" spans="1:13" x14ac:dyDescent="0.25">
      <c r="A4123" s="16"/>
      <c r="E4123" s="27"/>
      <c r="F4123" t="s">
        <v>26</v>
      </c>
      <c r="G4123" s="28">
        <f>IFERROR(VLOOKUP(F4123,CARTON_LOOKUP!$A:$E,3,0),"")</f>
      </c>
      <c r="H4123" s="28">
        <f>IFERROR(VLOOKUP(F4123,CARTON_LOOKUP!$A:$E,4,0),"")</f>
      </c>
      <c r="I4123" s="28">
        <f>IFERROR(VLOOKUP(F4123,CARTON_LOOKUP!$A:$E,5,0),"")</f>
      </c>
      <c r="J4123" s="29">
        <f>IFERROR(VLOOKUP(F4123,CARTON_LOOKUP!$A:$E,2,0),"")</f>
      </c>
      <c r="K4123" s="29">
        <f>IFERROR(J4123*D4123,0)</f>
      </c>
      <c r="L4123" s="29">
        <f>IFERROR(E4123*C4123,0)</f>
      </c>
      <c r="M4123" s="29">
        <f>IFERROR((G4123*H4123*I4123/1000000)*D4123,0)</f>
      </c>
    </row>
    <row r="4124" spans="1:13" x14ac:dyDescent="0.25">
      <c r="A4124" s="16"/>
      <c r="E4124" s="27"/>
      <c r="F4124" t="s">
        <v>26</v>
      </c>
      <c r="G4124" s="28">
        <f>IFERROR(VLOOKUP(F4124,CARTON_LOOKUP!$A:$E,3,0),"")</f>
      </c>
      <c r="H4124" s="28">
        <f>IFERROR(VLOOKUP(F4124,CARTON_LOOKUP!$A:$E,4,0),"")</f>
      </c>
      <c r="I4124" s="28">
        <f>IFERROR(VLOOKUP(F4124,CARTON_LOOKUP!$A:$E,5,0),"")</f>
      </c>
      <c r="J4124" s="29">
        <f>IFERROR(VLOOKUP(F4124,CARTON_LOOKUP!$A:$E,2,0),"")</f>
      </c>
      <c r="K4124" s="29">
        <f>IFERROR(J4124*D4124,0)</f>
      </c>
      <c r="L4124" s="29">
        <f>IFERROR(E4124*C4124,0)</f>
      </c>
      <c r="M4124" s="29">
        <f>IFERROR((G4124*H4124*I4124/1000000)*D4124,0)</f>
      </c>
    </row>
    <row r="4125" spans="1:13" x14ac:dyDescent="0.25">
      <c r="A4125" s="16"/>
      <c r="E4125" s="27"/>
      <c r="F4125" t="s">
        <v>26</v>
      </c>
      <c r="G4125" s="28">
        <f>IFERROR(VLOOKUP(F4125,CARTON_LOOKUP!$A:$E,3,0),"")</f>
      </c>
      <c r="H4125" s="28">
        <f>IFERROR(VLOOKUP(F4125,CARTON_LOOKUP!$A:$E,4,0),"")</f>
      </c>
      <c r="I4125" s="28">
        <f>IFERROR(VLOOKUP(F4125,CARTON_LOOKUP!$A:$E,5,0),"")</f>
      </c>
      <c r="J4125" s="29">
        <f>IFERROR(VLOOKUP(F4125,CARTON_LOOKUP!$A:$E,2,0),"")</f>
      </c>
      <c r="K4125" s="29">
        <f>IFERROR(J4125*D4125,0)</f>
      </c>
      <c r="L4125" s="29">
        <f>IFERROR(E4125*C4125,0)</f>
      </c>
      <c r="M4125" s="29">
        <f>IFERROR((G4125*H4125*I4125/1000000)*D4125,0)</f>
      </c>
    </row>
    <row r="4126" spans="1:13" x14ac:dyDescent="0.25">
      <c r="A4126" s="16"/>
      <c r="E4126" s="27"/>
      <c r="F4126" t="s">
        <v>26</v>
      </c>
      <c r="G4126" s="28">
        <f>IFERROR(VLOOKUP(F4126,CARTON_LOOKUP!$A:$E,3,0),"")</f>
      </c>
      <c r="H4126" s="28">
        <f>IFERROR(VLOOKUP(F4126,CARTON_LOOKUP!$A:$E,4,0),"")</f>
      </c>
      <c r="I4126" s="28">
        <f>IFERROR(VLOOKUP(F4126,CARTON_LOOKUP!$A:$E,5,0),"")</f>
      </c>
      <c r="J4126" s="29">
        <f>IFERROR(VLOOKUP(F4126,CARTON_LOOKUP!$A:$E,2,0),"")</f>
      </c>
      <c r="K4126" s="29">
        <f>IFERROR(J4126*D4126,0)</f>
      </c>
      <c r="L4126" s="29">
        <f>IFERROR(E4126*C4126,0)</f>
      </c>
      <c r="M4126" s="29">
        <f>IFERROR((G4126*H4126*I4126/1000000)*D4126,0)</f>
      </c>
    </row>
    <row r="4127" spans="1:13" x14ac:dyDescent="0.25">
      <c r="A4127" s="16"/>
      <c r="E4127" s="27"/>
      <c r="F4127" t="s">
        <v>26</v>
      </c>
      <c r="G4127" s="28">
        <f>IFERROR(VLOOKUP(F4127,CARTON_LOOKUP!$A:$E,3,0),"")</f>
      </c>
      <c r="H4127" s="28">
        <f>IFERROR(VLOOKUP(F4127,CARTON_LOOKUP!$A:$E,4,0),"")</f>
      </c>
      <c r="I4127" s="28">
        <f>IFERROR(VLOOKUP(F4127,CARTON_LOOKUP!$A:$E,5,0),"")</f>
      </c>
      <c r="J4127" s="29">
        <f>IFERROR(VLOOKUP(F4127,CARTON_LOOKUP!$A:$E,2,0),"")</f>
      </c>
      <c r="K4127" s="29">
        <f>IFERROR(J4127*D4127,0)</f>
      </c>
      <c r="L4127" s="29">
        <f>IFERROR(E4127*C4127,0)</f>
      </c>
      <c r="M4127" s="29">
        <f>IFERROR((G4127*H4127*I4127/1000000)*D4127,0)</f>
      </c>
    </row>
    <row r="4128" spans="1:13" x14ac:dyDescent="0.25">
      <c r="A4128" s="16"/>
      <c r="E4128" s="27"/>
      <c r="F4128" t="s">
        <v>26</v>
      </c>
      <c r="G4128" s="28">
        <f>IFERROR(VLOOKUP(F4128,CARTON_LOOKUP!$A:$E,3,0),"")</f>
      </c>
      <c r="H4128" s="28">
        <f>IFERROR(VLOOKUP(F4128,CARTON_LOOKUP!$A:$E,4,0),"")</f>
      </c>
      <c r="I4128" s="28">
        <f>IFERROR(VLOOKUP(F4128,CARTON_LOOKUP!$A:$E,5,0),"")</f>
      </c>
      <c r="J4128" s="29">
        <f>IFERROR(VLOOKUP(F4128,CARTON_LOOKUP!$A:$E,2,0),"")</f>
      </c>
      <c r="K4128" s="29">
        <f>IFERROR(J4128*D4128,0)</f>
      </c>
      <c r="L4128" s="29">
        <f>IFERROR(E4128*C4128,0)</f>
      </c>
      <c r="M4128" s="29">
        <f>IFERROR((G4128*H4128*I4128/1000000)*D4128,0)</f>
      </c>
    </row>
    <row r="4129" spans="1:13" x14ac:dyDescent="0.25">
      <c r="A4129" s="16"/>
      <c r="E4129" s="27"/>
      <c r="F4129" t="s">
        <v>26</v>
      </c>
      <c r="G4129" s="28">
        <f>IFERROR(VLOOKUP(F4129,CARTON_LOOKUP!$A:$E,3,0),"")</f>
      </c>
      <c r="H4129" s="28">
        <f>IFERROR(VLOOKUP(F4129,CARTON_LOOKUP!$A:$E,4,0),"")</f>
      </c>
      <c r="I4129" s="28">
        <f>IFERROR(VLOOKUP(F4129,CARTON_LOOKUP!$A:$E,5,0),"")</f>
      </c>
      <c r="J4129" s="29">
        <f>IFERROR(VLOOKUP(F4129,CARTON_LOOKUP!$A:$E,2,0),"")</f>
      </c>
      <c r="K4129" s="29">
        <f>IFERROR(J4129*D4129,0)</f>
      </c>
      <c r="L4129" s="29">
        <f>IFERROR(E4129*C4129,0)</f>
      </c>
      <c r="M4129" s="29">
        <f>IFERROR((G4129*H4129*I4129/1000000)*D4129,0)</f>
      </c>
    </row>
    <row r="4130" spans="1:13" x14ac:dyDescent="0.25">
      <c r="A4130" s="16"/>
      <c r="E4130" s="27"/>
      <c r="F4130" t="s">
        <v>26</v>
      </c>
      <c r="G4130" s="28">
        <f>IFERROR(VLOOKUP(F4130,CARTON_LOOKUP!$A:$E,3,0),"")</f>
      </c>
      <c r="H4130" s="28">
        <f>IFERROR(VLOOKUP(F4130,CARTON_LOOKUP!$A:$E,4,0),"")</f>
      </c>
      <c r="I4130" s="28">
        <f>IFERROR(VLOOKUP(F4130,CARTON_LOOKUP!$A:$E,5,0),"")</f>
      </c>
      <c r="J4130" s="29">
        <f>IFERROR(VLOOKUP(F4130,CARTON_LOOKUP!$A:$E,2,0),"")</f>
      </c>
      <c r="K4130" s="29">
        <f>IFERROR(J4130*D4130,0)</f>
      </c>
      <c r="L4130" s="29">
        <f>IFERROR(E4130*C4130,0)</f>
      </c>
      <c r="M4130" s="29">
        <f>IFERROR((G4130*H4130*I4130/1000000)*D4130,0)</f>
      </c>
    </row>
    <row r="4131" spans="1:13" x14ac:dyDescent="0.25">
      <c r="A4131" s="16"/>
      <c r="E4131" s="27"/>
      <c r="F4131" t="s">
        <v>26</v>
      </c>
      <c r="G4131" s="28">
        <f>IFERROR(VLOOKUP(F4131,CARTON_LOOKUP!$A:$E,3,0),"")</f>
      </c>
      <c r="H4131" s="28">
        <f>IFERROR(VLOOKUP(F4131,CARTON_LOOKUP!$A:$E,4,0),"")</f>
      </c>
      <c r="I4131" s="28">
        <f>IFERROR(VLOOKUP(F4131,CARTON_LOOKUP!$A:$E,5,0),"")</f>
      </c>
      <c r="J4131" s="29">
        <f>IFERROR(VLOOKUP(F4131,CARTON_LOOKUP!$A:$E,2,0),"")</f>
      </c>
      <c r="K4131" s="29">
        <f>IFERROR(J4131*D4131,0)</f>
      </c>
      <c r="L4131" s="29">
        <f>IFERROR(E4131*C4131,0)</f>
      </c>
      <c r="M4131" s="29">
        <f>IFERROR((G4131*H4131*I4131/1000000)*D4131,0)</f>
      </c>
    </row>
    <row r="4132" spans="1:13" x14ac:dyDescent="0.25">
      <c r="A4132" s="16"/>
      <c r="E4132" s="27"/>
      <c r="F4132" t="s">
        <v>26</v>
      </c>
      <c r="G4132" s="28">
        <f>IFERROR(VLOOKUP(F4132,CARTON_LOOKUP!$A:$E,3,0),"")</f>
      </c>
      <c r="H4132" s="28">
        <f>IFERROR(VLOOKUP(F4132,CARTON_LOOKUP!$A:$E,4,0),"")</f>
      </c>
      <c r="I4132" s="28">
        <f>IFERROR(VLOOKUP(F4132,CARTON_LOOKUP!$A:$E,5,0),"")</f>
      </c>
      <c r="J4132" s="29">
        <f>IFERROR(VLOOKUP(F4132,CARTON_LOOKUP!$A:$E,2,0),"")</f>
      </c>
      <c r="K4132" s="29">
        <f>IFERROR(J4132*D4132,0)</f>
      </c>
      <c r="L4132" s="29">
        <f>IFERROR(E4132*C4132,0)</f>
      </c>
      <c r="M4132" s="29">
        <f>IFERROR((G4132*H4132*I4132/1000000)*D4132,0)</f>
      </c>
    </row>
    <row r="4133" spans="1:13" x14ac:dyDescent="0.25">
      <c r="A4133" s="16"/>
      <c r="E4133" s="27"/>
      <c r="F4133" t="s">
        <v>26</v>
      </c>
      <c r="G4133" s="28">
        <f>IFERROR(VLOOKUP(F4133,CARTON_LOOKUP!$A:$E,3,0),"")</f>
      </c>
      <c r="H4133" s="28">
        <f>IFERROR(VLOOKUP(F4133,CARTON_LOOKUP!$A:$E,4,0),"")</f>
      </c>
      <c r="I4133" s="28">
        <f>IFERROR(VLOOKUP(F4133,CARTON_LOOKUP!$A:$E,5,0),"")</f>
      </c>
      <c r="J4133" s="29">
        <f>IFERROR(VLOOKUP(F4133,CARTON_LOOKUP!$A:$E,2,0),"")</f>
      </c>
      <c r="K4133" s="29">
        <f>IFERROR(J4133*D4133,0)</f>
      </c>
      <c r="L4133" s="29">
        <f>IFERROR(E4133*C4133,0)</f>
      </c>
      <c r="M4133" s="29">
        <f>IFERROR((G4133*H4133*I4133/1000000)*D4133,0)</f>
      </c>
    </row>
    <row r="4134" spans="1:13" x14ac:dyDescent="0.25">
      <c r="A4134" s="16"/>
      <c r="E4134" s="27"/>
      <c r="F4134" t="s">
        <v>26</v>
      </c>
      <c r="G4134" s="28">
        <f>IFERROR(VLOOKUP(F4134,CARTON_LOOKUP!$A:$E,3,0),"")</f>
      </c>
      <c r="H4134" s="28">
        <f>IFERROR(VLOOKUP(F4134,CARTON_LOOKUP!$A:$E,4,0),"")</f>
      </c>
      <c r="I4134" s="28">
        <f>IFERROR(VLOOKUP(F4134,CARTON_LOOKUP!$A:$E,5,0),"")</f>
      </c>
      <c r="J4134" s="29">
        <f>IFERROR(VLOOKUP(F4134,CARTON_LOOKUP!$A:$E,2,0),"")</f>
      </c>
      <c r="K4134" s="29">
        <f>IFERROR(J4134*D4134,0)</f>
      </c>
      <c r="L4134" s="29">
        <f>IFERROR(E4134*C4134,0)</f>
      </c>
      <c r="M4134" s="29">
        <f>IFERROR((G4134*H4134*I4134/1000000)*D4134,0)</f>
      </c>
    </row>
    <row r="4135" spans="1:13" x14ac:dyDescent="0.25">
      <c r="A4135" s="16"/>
      <c r="E4135" s="27"/>
      <c r="F4135" t="s">
        <v>26</v>
      </c>
      <c r="G4135" s="28">
        <f>IFERROR(VLOOKUP(F4135,CARTON_LOOKUP!$A:$E,3,0),"")</f>
      </c>
      <c r="H4135" s="28">
        <f>IFERROR(VLOOKUP(F4135,CARTON_LOOKUP!$A:$E,4,0),"")</f>
      </c>
      <c r="I4135" s="28">
        <f>IFERROR(VLOOKUP(F4135,CARTON_LOOKUP!$A:$E,5,0),"")</f>
      </c>
      <c r="J4135" s="29">
        <f>IFERROR(VLOOKUP(F4135,CARTON_LOOKUP!$A:$E,2,0),"")</f>
      </c>
      <c r="K4135" s="29">
        <f>IFERROR(J4135*D4135,0)</f>
      </c>
      <c r="L4135" s="29">
        <f>IFERROR(E4135*C4135,0)</f>
      </c>
      <c r="M4135" s="29">
        <f>IFERROR((G4135*H4135*I4135/1000000)*D4135,0)</f>
      </c>
    </row>
    <row r="4136" spans="1:13" x14ac:dyDescent="0.25">
      <c r="A4136" s="16"/>
      <c r="E4136" s="27"/>
      <c r="F4136" t="s">
        <v>26</v>
      </c>
      <c r="G4136" s="28">
        <f>IFERROR(VLOOKUP(F4136,CARTON_LOOKUP!$A:$E,3,0),"")</f>
      </c>
      <c r="H4136" s="28">
        <f>IFERROR(VLOOKUP(F4136,CARTON_LOOKUP!$A:$E,4,0),"")</f>
      </c>
      <c r="I4136" s="28">
        <f>IFERROR(VLOOKUP(F4136,CARTON_LOOKUP!$A:$E,5,0),"")</f>
      </c>
      <c r="J4136" s="29">
        <f>IFERROR(VLOOKUP(F4136,CARTON_LOOKUP!$A:$E,2,0),"")</f>
      </c>
      <c r="K4136" s="29">
        <f>IFERROR(J4136*D4136,0)</f>
      </c>
      <c r="L4136" s="29">
        <f>IFERROR(E4136*C4136,0)</f>
      </c>
      <c r="M4136" s="29">
        <f>IFERROR((G4136*H4136*I4136/1000000)*D4136,0)</f>
      </c>
    </row>
    <row r="4137" spans="1:13" x14ac:dyDescent="0.25">
      <c r="A4137" s="16"/>
      <c r="E4137" s="27"/>
      <c r="F4137" t="s">
        <v>26</v>
      </c>
      <c r="G4137" s="28">
        <f>IFERROR(VLOOKUP(F4137,CARTON_LOOKUP!$A:$E,3,0),"")</f>
      </c>
      <c r="H4137" s="28">
        <f>IFERROR(VLOOKUP(F4137,CARTON_LOOKUP!$A:$E,4,0),"")</f>
      </c>
      <c r="I4137" s="28">
        <f>IFERROR(VLOOKUP(F4137,CARTON_LOOKUP!$A:$E,5,0),"")</f>
      </c>
      <c r="J4137" s="29">
        <f>IFERROR(VLOOKUP(F4137,CARTON_LOOKUP!$A:$E,2,0),"")</f>
      </c>
      <c r="K4137" s="29">
        <f>IFERROR(J4137*D4137,0)</f>
      </c>
      <c r="L4137" s="29">
        <f>IFERROR(E4137*C4137,0)</f>
      </c>
      <c r="M4137" s="29">
        <f>IFERROR((G4137*H4137*I4137/1000000)*D4137,0)</f>
      </c>
    </row>
    <row r="4138" spans="1:13" x14ac:dyDescent="0.25">
      <c r="A4138" s="16"/>
      <c r="E4138" s="27"/>
      <c r="F4138" t="s">
        <v>26</v>
      </c>
      <c r="G4138" s="28">
        <f>IFERROR(VLOOKUP(F4138,CARTON_LOOKUP!$A:$E,3,0),"")</f>
      </c>
      <c r="H4138" s="28">
        <f>IFERROR(VLOOKUP(F4138,CARTON_LOOKUP!$A:$E,4,0),"")</f>
      </c>
      <c r="I4138" s="28">
        <f>IFERROR(VLOOKUP(F4138,CARTON_LOOKUP!$A:$E,5,0),"")</f>
      </c>
      <c r="J4138" s="29">
        <f>IFERROR(VLOOKUP(F4138,CARTON_LOOKUP!$A:$E,2,0),"")</f>
      </c>
      <c r="K4138" s="29">
        <f>IFERROR(J4138*D4138,0)</f>
      </c>
      <c r="L4138" s="29">
        <f>IFERROR(E4138*C4138,0)</f>
      </c>
      <c r="M4138" s="29">
        <f>IFERROR((G4138*H4138*I4138/1000000)*D4138,0)</f>
      </c>
    </row>
    <row r="4139" spans="1:13" x14ac:dyDescent="0.25">
      <c r="A4139" s="16"/>
      <c r="E4139" s="27"/>
      <c r="F4139" t="s">
        <v>26</v>
      </c>
      <c r="G4139" s="28">
        <f>IFERROR(VLOOKUP(F4139,CARTON_LOOKUP!$A:$E,3,0),"")</f>
      </c>
      <c r="H4139" s="28">
        <f>IFERROR(VLOOKUP(F4139,CARTON_LOOKUP!$A:$E,4,0),"")</f>
      </c>
      <c r="I4139" s="28">
        <f>IFERROR(VLOOKUP(F4139,CARTON_LOOKUP!$A:$E,5,0),"")</f>
      </c>
      <c r="J4139" s="29">
        <f>IFERROR(VLOOKUP(F4139,CARTON_LOOKUP!$A:$E,2,0),"")</f>
      </c>
      <c r="K4139" s="29">
        <f>IFERROR(J4139*D4139,0)</f>
      </c>
      <c r="L4139" s="29">
        <f>IFERROR(E4139*C4139,0)</f>
      </c>
      <c r="M4139" s="29">
        <f>IFERROR((G4139*H4139*I4139/1000000)*D4139,0)</f>
      </c>
    </row>
    <row r="4140" spans="1:13" x14ac:dyDescent="0.25">
      <c r="A4140" s="16"/>
      <c r="E4140" s="27"/>
      <c r="F4140" t="s">
        <v>26</v>
      </c>
      <c r="G4140" s="28">
        <f>IFERROR(VLOOKUP(F4140,CARTON_LOOKUP!$A:$E,3,0),"")</f>
      </c>
      <c r="H4140" s="28">
        <f>IFERROR(VLOOKUP(F4140,CARTON_LOOKUP!$A:$E,4,0),"")</f>
      </c>
      <c r="I4140" s="28">
        <f>IFERROR(VLOOKUP(F4140,CARTON_LOOKUP!$A:$E,5,0),"")</f>
      </c>
      <c r="J4140" s="29">
        <f>IFERROR(VLOOKUP(F4140,CARTON_LOOKUP!$A:$E,2,0),"")</f>
      </c>
      <c r="K4140" s="29">
        <f>IFERROR(J4140*D4140,0)</f>
      </c>
      <c r="L4140" s="29">
        <f>IFERROR(E4140*C4140,0)</f>
      </c>
      <c r="M4140" s="29">
        <f>IFERROR((G4140*H4140*I4140/1000000)*D4140,0)</f>
      </c>
    </row>
    <row r="4141" spans="1:13" x14ac:dyDescent="0.25">
      <c r="A4141" s="16"/>
      <c r="E4141" s="27"/>
      <c r="F4141" t="s">
        <v>26</v>
      </c>
      <c r="G4141" s="28">
        <f>IFERROR(VLOOKUP(F4141,CARTON_LOOKUP!$A:$E,3,0),"")</f>
      </c>
      <c r="H4141" s="28">
        <f>IFERROR(VLOOKUP(F4141,CARTON_LOOKUP!$A:$E,4,0),"")</f>
      </c>
      <c r="I4141" s="28">
        <f>IFERROR(VLOOKUP(F4141,CARTON_LOOKUP!$A:$E,5,0),"")</f>
      </c>
      <c r="J4141" s="29">
        <f>IFERROR(VLOOKUP(F4141,CARTON_LOOKUP!$A:$E,2,0),"")</f>
      </c>
      <c r="K4141" s="29">
        <f>IFERROR(J4141*D4141,0)</f>
      </c>
      <c r="L4141" s="29">
        <f>IFERROR(E4141*C4141,0)</f>
      </c>
      <c r="M4141" s="29">
        <f>IFERROR((G4141*H4141*I4141/1000000)*D4141,0)</f>
      </c>
    </row>
    <row r="4142" spans="1:13" x14ac:dyDescent="0.25">
      <c r="A4142" s="16"/>
      <c r="E4142" s="27"/>
      <c r="F4142" t="s">
        <v>26</v>
      </c>
      <c r="G4142" s="28">
        <f>IFERROR(VLOOKUP(F4142,CARTON_LOOKUP!$A:$E,3,0),"")</f>
      </c>
      <c r="H4142" s="28">
        <f>IFERROR(VLOOKUP(F4142,CARTON_LOOKUP!$A:$E,4,0),"")</f>
      </c>
      <c r="I4142" s="28">
        <f>IFERROR(VLOOKUP(F4142,CARTON_LOOKUP!$A:$E,5,0),"")</f>
      </c>
      <c r="J4142" s="29">
        <f>IFERROR(VLOOKUP(F4142,CARTON_LOOKUP!$A:$E,2,0),"")</f>
      </c>
      <c r="K4142" s="29">
        <f>IFERROR(J4142*D4142,0)</f>
      </c>
      <c r="L4142" s="29">
        <f>IFERROR(E4142*C4142,0)</f>
      </c>
      <c r="M4142" s="29">
        <f>IFERROR((G4142*H4142*I4142/1000000)*D4142,0)</f>
      </c>
    </row>
    <row r="4143" spans="1:13" x14ac:dyDescent="0.25">
      <c r="A4143" s="16"/>
      <c r="E4143" s="27"/>
      <c r="F4143" t="s">
        <v>26</v>
      </c>
      <c r="G4143" s="28">
        <f>IFERROR(VLOOKUP(F4143,CARTON_LOOKUP!$A:$E,3,0),"")</f>
      </c>
      <c r="H4143" s="28">
        <f>IFERROR(VLOOKUP(F4143,CARTON_LOOKUP!$A:$E,4,0),"")</f>
      </c>
      <c r="I4143" s="28">
        <f>IFERROR(VLOOKUP(F4143,CARTON_LOOKUP!$A:$E,5,0),"")</f>
      </c>
      <c r="J4143" s="29">
        <f>IFERROR(VLOOKUP(F4143,CARTON_LOOKUP!$A:$E,2,0),"")</f>
      </c>
      <c r="K4143" s="29">
        <f>IFERROR(J4143*D4143,0)</f>
      </c>
      <c r="L4143" s="29">
        <f>IFERROR(E4143*C4143,0)</f>
      </c>
      <c r="M4143" s="29">
        <f>IFERROR((G4143*H4143*I4143/1000000)*D4143,0)</f>
      </c>
    </row>
    <row r="4144" spans="1:13" x14ac:dyDescent="0.25">
      <c r="A4144" s="16"/>
      <c r="E4144" s="27"/>
      <c r="F4144" t="s">
        <v>26</v>
      </c>
      <c r="G4144" s="28">
        <f>IFERROR(VLOOKUP(F4144,CARTON_LOOKUP!$A:$E,3,0),"")</f>
      </c>
      <c r="H4144" s="28">
        <f>IFERROR(VLOOKUP(F4144,CARTON_LOOKUP!$A:$E,4,0),"")</f>
      </c>
      <c r="I4144" s="28">
        <f>IFERROR(VLOOKUP(F4144,CARTON_LOOKUP!$A:$E,5,0),"")</f>
      </c>
      <c r="J4144" s="29">
        <f>IFERROR(VLOOKUP(F4144,CARTON_LOOKUP!$A:$E,2,0),"")</f>
      </c>
      <c r="K4144" s="29">
        <f>IFERROR(J4144*D4144,0)</f>
      </c>
      <c r="L4144" s="29">
        <f>IFERROR(E4144*C4144,0)</f>
      </c>
      <c r="M4144" s="29">
        <f>IFERROR((G4144*H4144*I4144/1000000)*D4144,0)</f>
      </c>
    </row>
    <row r="4145" spans="1:13" x14ac:dyDescent="0.25">
      <c r="A4145" s="16"/>
      <c r="E4145" s="27"/>
      <c r="F4145" t="s">
        <v>26</v>
      </c>
      <c r="G4145" s="28">
        <f>IFERROR(VLOOKUP(F4145,CARTON_LOOKUP!$A:$E,3,0),"")</f>
      </c>
      <c r="H4145" s="28">
        <f>IFERROR(VLOOKUP(F4145,CARTON_LOOKUP!$A:$E,4,0),"")</f>
      </c>
      <c r="I4145" s="28">
        <f>IFERROR(VLOOKUP(F4145,CARTON_LOOKUP!$A:$E,5,0),"")</f>
      </c>
      <c r="J4145" s="29">
        <f>IFERROR(VLOOKUP(F4145,CARTON_LOOKUP!$A:$E,2,0),"")</f>
      </c>
      <c r="K4145" s="29">
        <f>IFERROR(J4145*D4145,0)</f>
      </c>
      <c r="L4145" s="29">
        <f>IFERROR(E4145*C4145,0)</f>
      </c>
      <c r="M4145" s="29">
        <f>IFERROR((G4145*H4145*I4145/1000000)*D4145,0)</f>
      </c>
    </row>
    <row r="4146" spans="1:13" x14ac:dyDescent="0.25">
      <c r="A4146" s="16"/>
      <c r="E4146" s="27"/>
      <c r="F4146" t="s">
        <v>26</v>
      </c>
      <c r="G4146" s="28">
        <f>IFERROR(VLOOKUP(F4146,CARTON_LOOKUP!$A:$E,3,0),"")</f>
      </c>
      <c r="H4146" s="28">
        <f>IFERROR(VLOOKUP(F4146,CARTON_LOOKUP!$A:$E,4,0),"")</f>
      </c>
      <c r="I4146" s="28">
        <f>IFERROR(VLOOKUP(F4146,CARTON_LOOKUP!$A:$E,5,0),"")</f>
      </c>
      <c r="J4146" s="29">
        <f>IFERROR(VLOOKUP(F4146,CARTON_LOOKUP!$A:$E,2,0),"")</f>
      </c>
      <c r="K4146" s="29">
        <f>IFERROR(J4146*D4146,0)</f>
      </c>
      <c r="L4146" s="29">
        <f>IFERROR(E4146*C4146,0)</f>
      </c>
      <c r="M4146" s="29">
        <f>IFERROR((G4146*H4146*I4146/1000000)*D4146,0)</f>
      </c>
    </row>
    <row r="4147" spans="1:13" x14ac:dyDescent="0.25">
      <c r="A4147" s="16"/>
      <c r="E4147" s="27"/>
      <c r="F4147" t="s">
        <v>26</v>
      </c>
      <c r="G4147" s="28">
        <f>IFERROR(VLOOKUP(F4147,CARTON_LOOKUP!$A:$E,3,0),"")</f>
      </c>
      <c r="H4147" s="28">
        <f>IFERROR(VLOOKUP(F4147,CARTON_LOOKUP!$A:$E,4,0),"")</f>
      </c>
      <c r="I4147" s="28">
        <f>IFERROR(VLOOKUP(F4147,CARTON_LOOKUP!$A:$E,5,0),"")</f>
      </c>
      <c r="J4147" s="29">
        <f>IFERROR(VLOOKUP(F4147,CARTON_LOOKUP!$A:$E,2,0),"")</f>
      </c>
      <c r="K4147" s="29">
        <f>IFERROR(J4147*D4147,0)</f>
      </c>
      <c r="L4147" s="29">
        <f>IFERROR(E4147*C4147,0)</f>
      </c>
      <c r="M4147" s="29">
        <f>IFERROR((G4147*H4147*I4147/1000000)*D4147,0)</f>
      </c>
    </row>
    <row r="4148" spans="1:13" x14ac:dyDescent="0.25">
      <c r="A4148" s="16"/>
      <c r="E4148" s="27"/>
      <c r="F4148" t="s">
        <v>26</v>
      </c>
      <c r="G4148" s="28">
        <f>IFERROR(VLOOKUP(F4148,CARTON_LOOKUP!$A:$E,3,0),"")</f>
      </c>
      <c r="H4148" s="28">
        <f>IFERROR(VLOOKUP(F4148,CARTON_LOOKUP!$A:$E,4,0),"")</f>
      </c>
      <c r="I4148" s="28">
        <f>IFERROR(VLOOKUP(F4148,CARTON_LOOKUP!$A:$E,5,0),"")</f>
      </c>
      <c r="J4148" s="29">
        <f>IFERROR(VLOOKUP(F4148,CARTON_LOOKUP!$A:$E,2,0),"")</f>
      </c>
      <c r="K4148" s="29">
        <f>IFERROR(J4148*D4148,0)</f>
      </c>
      <c r="L4148" s="29">
        <f>IFERROR(E4148*C4148,0)</f>
      </c>
      <c r="M4148" s="29">
        <f>IFERROR((G4148*H4148*I4148/1000000)*D4148,0)</f>
      </c>
    </row>
    <row r="4149" spans="1:13" x14ac:dyDescent="0.25">
      <c r="A4149" s="16"/>
      <c r="E4149" s="27"/>
      <c r="F4149" t="s">
        <v>26</v>
      </c>
      <c r="G4149" s="28">
        <f>IFERROR(VLOOKUP(F4149,CARTON_LOOKUP!$A:$E,3,0),"")</f>
      </c>
      <c r="H4149" s="28">
        <f>IFERROR(VLOOKUP(F4149,CARTON_LOOKUP!$A:$E,4,0),"")</f>
      </c>
      <c r="I4149" s="28">
        <f>IFERROR(VLOOKUP(F4149,CARTON_LOOKUP!$A:$E,5,0),"")</f>
      </c>
      <c r="J4149" s="29">
        <f>IFERROR(VLOOKUP(F4149,CARTON_LOOKUP!$A:$E,2,0),"")</f>
      </c>
      <c r="K4149" s="29">
        <f>IFERROR(J4149*D4149,0)</f>
      </c>
      <c r="L4149" s="29">
        <f>IFERROR(E4149*C4149,0)</f>
      </c>
      <c r="M4149" s="29">
        <f>IFERROR((G4149*H4149*I4149/1000000)*D4149,0)</f>
      </c>
    </row>
    <row r="4150" spans="1:13" x14ac:dyDescent="0.25">
      <c r="A4150" s="16"/>
      <c r="E4150" s="27"/>
      <c r="F4150" t="s">
        <v>26</v>
      </c>
      <c r="G4150" s="28">
        <f>IFERROR(VLOOKUP(F4150,CARTON_LOOKUP!$A:$E,3,0),"")</f>
      </c>
      <c r="H4150" s="28">
        <f>IFERROR(VLOOKUP(F4150,CARTON_LOOKUP!$A:$E,4,0),"")</f>
      </c>
      <c r="I4150" s="28">
        <f>IFERROR(VLOOKUP(F4150,CARTON_LOOKUP!$A:$E,5,0),"")</f>
      </c>
      <c r="J4150" s="29">
        <f>IFERROR(VLOOKUP(F4150,CARTON_LOOKUP!$A:$E,2,0),"")</f>
      </c>
      <c r="K4150" s="29">
        <f>IFERROR(J4150*D4150,0)</f>
      </c>
      <c r="L4150" s="29">
        <f>IFERROR(E4150*C4150,0)</f>
      </c>
      <c r="M4150" s="29">
        <f>IFERROR((G4150*H4150*I4150/1000000)*D4150,0)</f>
      </c>
    </row>
    <row r="4151" spans="1:13" x14ac:dyDescent="0.25">
      <c r="A4151" s="16"/>
      <c r="E4151" s="27"/>
      <c r="F4151" t="s">
        <v>26</v>
      </c>
      <c r="G4151" s="28">
        <f>IFERROR(VLOOKUP(F4151,CARTON_LOOKUP!$A:$E,3,0),"")</f>
      </c>
      <c r="H4151" s="28">
        <f>IFERROR(VLOOKUP(F4151,CARTON_LOOKUP!$A:$E,4,0),"")</f>
      </c>
      <c r="I4151" s="28">
        <f>IFERROR(VLOOKUP(F4151,CARTON_LOOKUP!$A:$E,5,0),"")</f>
      </c>
      <c r="J4151" s="29">
        <f>IFERROR(VLOOKUP(F4151,CARTON_LOOKUP!$A:$E,2,0),"")</f>
      </c>
      <c r="K4151" s="29">
        <f>IFERROR(J4151*D4151,0)</f>
      </c>
      <c r="L4151" s="29">
        <f>IFERROR(E4151*C4151,0)</f>
      </c>
      <c r="M4151" s="29">
        <f>IFERROR((G4151*H4151*I4151/1000000)*D4151,0)</f>
      </c>
    </row>
    <row r="4152" spans="1:13" x14ac:dyDescent="0.25">
      <c r="A4152" s="16"/>
      <c r="E4152" s="27"/>
      <c r="F4152" t="s">
        <v>26</v>
      </c>
      <c r="G4152" s="28">
        <f>IFERROR(VLOOKUP(F4152,CARTON_LOOKUP!$A:$E,3,0),"")</f>
      </c>
      <c r="H4152" s="28">
        <f>IFERROR(VLOOKUP(F4152,CARTON_LOOKUP!$A:$E,4,0),"")</f>
      </c>
      <c r="I4152" s="28">
        <f>IFERROR(VLOOKUP(F4152,CARTON_LOOKUP!$A:$E,5,0),"")</f>
      </c>
      <c r="J4152" s="29">
        <f>IFERROR(VLOOKUP(F4152,CARTON_LOOKUP!$A:$E,2,0),"")</f>
      </c>
      <c r="K4152" s="29">
        <f>IFERROR(J4152*D4152,0)</f>
      </c>
      <c r="L4152" s="29">
        <f>IFERROR(E4152*C4152,0)</f>
      </c>
      <c r="M4152" s="29">
        <f>IFERROR((G4152*H4152*I4152/1000000)*D4152,0)</f>
      </c>
    </row>
    <row r="4153" spans="1:13" x14ac:dyDescent="0.25">
      <c r="A4153" s="16"/>
      <c r="E4153" s="27"/>
      <c r="F4153" t="s">
        <v>26</v>
      </c>
      <c r="G4153" s="28">
        <f>IFERROR(VLOOKUP(F4153,CARTON_LOOKUP!$A:$E,3,0),"")</f>
      </c>
      <c r="H4153" s="28">
        <f>IFERROR(VLOOKUP(F4153,CARTON_LOOKUP!$A:$E,4,0),"")</f>
      </c>
      <c r="I4153" s="28">
        <f>IFERROR(VLOOKUP(F4153,CARTON_LOOKUP!$A:$E,5,0),"")</f>
      </c>
      <c r="J4153" s="29">
        <f>IFERROR(VLOOKUP(F4153,CARTON_LOOKUP!$A:$E,2,0),"")</f>
      </c>
      <c r="K4153" s="29">
        <f>IFERROR(J4153*D4153,0)</f>
      </c>
      <c r="L4153" s="29">
        <f>IFERROR(E4153*C4153,0)</f>
      </c>
      <c r="M4153" s="29">
        <f>IFERROR((G4153*H4153*I4153/1000000)*D4153,0)</f>
      </c>
    </row>
    <row r="4154" spans="1:13" x14ac:dyDescent="0.25">
      <c r="A4154" s="16"/>
      <c r="E4154" s="27"/>
      <c r="F4154" t="s">
        <v>26</v>
      </c>
      <c r="G4154" s="28">
        <f>IFERROR(VLOOKUP(F4154,CARTON_LOOKUP!$A:$E,3,0),"")</f>
      </c>
      <c r="H4154" s="28">
        <f>IFERROR(VLOOKUP(F4154,CARTON_LOOKUP!$A:$E,4,0),"")</f>
      </c>
      <c r="I4154" s="28">
        <f>IFERROR(VLOOKUP(F4154,CARTON_LOOKUP!$A:$E,5,0),"")</f>
      </c>
      <c r="J4154" s="29">
        <f>IFERROR(VLOOKUP(F4154,CARTON_LOOKUP!$A:$E,2,0),"")</f>
      </c>
      <c r="K4154" s="29">
        <f>IFERROR(J4154*D4154,0)</f>
      </c>
      <c r="L4154" s="29">
        <f>IFERROR(E4154*C4154,0)</f>
      </c>
      <c r="M4154" s="29">
        <f>IFERROR((G4154*H4154*I4154/1000000)*D4154,0)</f>
      </c>
    </row>
    <row r="4155" spans="1:13" x14ac:dyDescent="0.25">
      <c r="A4155" s="16"/>
      <c r="E4155" s="27"/>
      <c r="F4155" t="s">
        <v>26</v>
      </c>
      <c r="G4155" s="28">
        <f>IFERROR(VLOOKUP(F4155,CARTON_LOOKUP!$A:$E,3,0),"")</f>
      </c>
      <c r="H4155" s="28">
        <f>IFERROR(VLOOKUP(F4155,CARTON_LOOKUP!$A:$E,4,0),"")</f>
      </c>
      <c r="I4155" s="28">
        <f>IFERROR(VLOOKUP(F4155,CARTON_LOOKUP!$A:$E,5,0),"")</f>
      </c>
      <c r="J4155" s="29">
        <f>IFERROR(VLOOKUP(F4155,CARTON_LOOKUP!$A:$E,2,0),"")</f>
      </c>
      <c r="K4155" s="29">
        <f>IFERROR(J4155*D4155,0)</f>
      </c>
      <c r="L4155" s="29">
        <f>IFERROR(E4155*C4155,0)</f>
      </c>
      <c r="M4155" s="29">
        <f>IFERROR((G4155*H4155*I4155/1000000)*D4155,0)</f>
      </c>
    </row>
    <row r="4156" spans="1:13" x14ac:dyDescent="0.25">
      <c r="A4156" s="16"/>
      <c r="E4156" s="27"/>
      <c r="F4156" t="s">
        <v>26</v>
      </c>
      <c r="G4156" s="28">
        <f>IFERROR(VLOOKUP(F4156,CARTON_LOOKUP!$A:$E,3,0),"")</f>
      </c>
      <c r="H4156" s="28">
        <f>IFERROR(VLOOKUP(F4156,CARTON_LOOKUP!$A:$E,4,0),"")</f>
      </c>
      <c r="I4156" s="28">
        <f>IFERROR(VLOOKUP(F4156,CARTON_LOOKUP!$A:$E,5,0),"")</f>
      </c>
      <c r="J4156" s="29">
        <f>IFERROR(VLOOKUP(F4156,CARTON_LOOKUP!$A:$E,2,0),"")</f>
      </c>
      <c r="K4156" s="29">
        <f>IFERROR(J4156*D4156,0)</f>
      </c>
      <c r="L4156" s="29">
        <f>IFERROR(E4156*C4156,0)</f>
      </c>
      <c r="M4156" s="29">
        <f>IFERROR((G4156*H4156*I4156/1000000)*D4156,0)</f>
      </c>
    </row>
    <row r="4157" spans="1:13" x14ac:dyDescent="0.25">
      <c r="A4157" s="16"/>
      <c r="E4157" s="27"/>
      <c r="F4157" t="s">
        <v>26</v>
      </c>
      <c r="G4157" s="28">
        <f>IFERROR(VLOOKUP(F4157,CARTON_LOOKUP!$A:$E,3,0),"")</f>
      </c>
      <c r="H4157" s="28">
        <f>IFERROR(VLOOKUP(F4157,CARTON_LOOKUP!$A:$E,4,0),"")</f>
      </c>
      <c r="I4157" s="28">
        <f>IFERROR(VLOOKUP(F4157,CARTON_LOOKUP!$A:$E,5,0),"")</f>
      </c>
      <c r="J4157" s="29">
        <f>IFERROR(VLOOKUP(F4157,CARTON_LOOKUP!$A:$E,2,0),"")</f>
      </c>
      <c r="K4157" s="29">
        <f>IFERROR(J4157*D4157,0)</f>
      </c>
      <c r="L4157" s="29">
        <f>IFERROR(E4157*C4157,0)</f>
      </c>
      <c r="M4157" s="29">
        <f>IFERROR((G4157*H4157*I4157/1000000)*D4157,0)</f>
      </c>
    </row>
    <row r="4158" spans="1:13" x14ac:dyDescent="0.25">
      <c r="A4158" s="16"/>
      <c r="E4158" s="27"/>
      <c r="F4158" t="s">
        <v>26</v>
      </c>
      <c r="G4158" s="28">
        <f>IFERROR(VLOOKUP(F4158,CARTON_LOOKUP!$A:$E,3,0),"")</f>
      </c>
      <c r="H4158" s="28">
        <f>IFERROR(VLOOKUP(F4158,CARTON_LOOKUP!$A:$E,4,0),"")</f>
      </c>
      <c r="I4158" s="28">
        <f>IFERROR(VLOOKUP(F4158,CARTON_LOOKUP!$A:$E,5,0),"")</f>
      </c>
      <c r="J4158" s="29">
        <f>IFERROR(VLOOKUP(F4158,CARTON_LOOKUP!$A:$E,2,0),"")</f>
      </c>
      <c r="K4158" s="29">
        <f>IFERROR(J4158*D4158,0)</f>
      </c>
      <c r="L4158" s="29">
        <f>IFERROR(E4158*C4158,0)</f>
      </c>
      <c r="M4158" s="29">
        <f>IFERROR((G4158*H4158*I4158/1000000)*D4158,0)</f>
      </c>
    </row>
    <row r="4159" spans="1:13" x14ac:dyDescent="0.25">
      <c r="A4159" s="16"/>
      <c r="E4159" s="27"/>
      <c r="F4159" t="s">
        <v>26</v>
      </c>
      <c r="G4159" s="28">
        <f>IFERROR(VLOOKUP(F4159,CARTON_LOOKUP!$A:$E,3,0),"")</f>
      </c>
      <c r="H4159" s="28">
        <f>IFERROR(VLOOKUP(F4159,CARTON_LOOKUP!$A:$E,4,0),"")</f>
      </c>
      <c r="I4159" s="28">
        <f>IFERROR(VLOOKUP(F4159,CARTON_LOOKUP!$A:$E,5,0),"")</f>
      </c>
      <c r="J4159" s="29">
        <f>IFERROR(VLOOKUP(F4159,CARTON_LOOKUP!$A:$E,2,0),"")</f>
      </c>
      <c r="K4159" s="29">
        <f>IFERROR(J4159*D4159,0)</f>
      </c>
      <c r="L4159" s="29">
        <f>IFERROR(E4159*C4159,0)</f>
      </c>
      <c r="M4159" s="29">
        <f>IFERROR((G4159*H4159*I4159/1000000)*D4159,0)</f>
      </c>
    </row>
    <row r="4160" spans="1:13" x14ac:dyDescent="0.25">
      <c r="A4160" s="16"/>
      <c r="E4160" s="27"/>
      <c r="F4160" t="s">
        <v>26</v>
      </c>
      <c r="G4160" s="28">
        <f>IFERROR(VLOOKUP(F4160,CARTON_LOOKUP!$A:$E,3,0),"")</f>
      </c>
      <c r="H4160" s="28">
        <f>IFERROR(VLOOKUP(F4160,CARTON_LOOKUP!$A:$E,4,0),"")</f>
      </c>
      <c r="I4160" s="28">
        <f>IFERROR(VLOOKUP(F4160,CARTON_LOOKUP!$A:$E,5,0),"")</f>
      </c>
      <c r="J4160" s="29">
        <f>IFERROR(VLOOKUP(F4160,CARTON_LOOKUP!$A:$E,2,0),"")</f>
      </c>
      <c r="K4160" s="29">
        <f>IFERROR(J4160*D4160,0)</f>
      </c>
      <c r="L4160" s="29">
        <f>IFERROR(E4160*C4160,0)</f>
      </c>
      <c r="M4160" s="29">
        <f>IFERROR((G4160*H4160*I4160/1000000)*D4160,0)</f>
      </c>
    </row>
    <row r="4161" spans="1:13" x14ac:dyDescent="0.25">
      <c r="A4161" s="16"/>
      <c r="E4161" s="27"/>
      <c r="F4161" t="s">
        <v>26</v>
      </c>
      <c r="G4161" s="28">
        <f>IFERROR(VLOOKUP(F4161,CARTON_LOOKUP!$A:$E,3,0),"")</f>
      </c>
      <c r="H4161" s="28">
        <f>IFERROR(VLOOKUP(F4161,CARTON_LOOKUP!$A:$E,4,0),"")</f>
      </c>
      <c r="I4161" s="28">
        <f>IFERROR(VLOOKUP(F4161,CARTON_LOOKUP!$A:$E,5,0),"")</f>
      </c>
      <c r="J4161" s="29">
        <f>IFERROR(VLOOKUP(F4161,CARTON_LOOKUP!$A:$E,2,0),"")</f>
      </c>
      <c r="K4161" s="29">
        <f>IFERROR(J4161*D4161,0)</f>
      </c>
      <c r="L4161" s="29">
        <f>IFERROR(E4161*C4161,0)</f>
      </c>
      <c r="M4161" s="29">
        <f>IFERROR((G4161*H4161*I4161/1000000)*D4161,0)</f>
      </c>
    </row>
    <row r="4162" spans="1:13" x14ac:dyDescent="0.25">
      <c r="A4162" s="16"/>
      <c r="E4162" s="27"/>
      <c r="F4162" t="s">
        <v>26</v>
      </c>
      <c r="G4162" s="28">
        <f>IFERROR(VLOOKUP(F4162,CARTON_LOOKUP!$A:$E,3,0),"")</f>
      </c>
      <c r="H4162" s="28">
        <f>IFERROR(VLOOKUP(F4162,CARTON_LOOKUP!$A:$E,4,0),"")</f>
      </c>
      <c r="I4162" s="28">
        <f>IFERROR(VLOOKUP(F4162,CARTON_LOOKUP!$A:$E,5,0),"")</f>
      </c>
      <c r="J4162" s="29">
        <f>IFERROR(VLOOKUP(F4162,CARTON_LOOKUP!$A:$E,2,0),"")</f>
      </c>
      <c r="K4162" s="29">
        <f>IFERROR(J4162*D4162,0)</f>
      </c>
      <c r="L4162" s="29">
        <f>IFERROR(E4162*C4162,0)</f>
      </c>
      <c r="M4162" s="29">
        <f>IFERROR((G4162*H4162*I4162/1000000)*D4162,0)</f>
      </c>
    </row>
    <row r="4163" spans="1:13" x14ac:dyDescent="0.25">
      <c r="A4163" s="16"/>
      <c r="E4163" s="27"/>
      <c r="F4163" t="s">
        <v>26</v>
      </c>
      <c r="G4163" s="28">
        <f>IFERROR(VLOOKUP(F4163,CARTON_LOOKUP!$A:$E,3,0),"")</f>
      </c>
      <c r="H4163" s="28">
        <f>IFERROR(VLOOKUP(F4163,CARTON_LOOKUP!$A:$E,4,0),"")</f>
      </c>
      <c r="I4163" s="28">
        <f>IFERROR(VLOOKUP(F4163,CARTON_LOOKUP!$A:$E,5,0),"")</f>
      </c>
      <c r="J4163" s="29">
        <f>IFERROR(VLOOKUP(F4163,CARTON_LOOKUP!$A:$E,2,0),"")</f>
      </c>
      <c r="K4163" s="29">
        <f>IFERROR(J4163*D4163,0)</f>
      </c>
      <c r="L4163" s="29">
        <f>IFERROR(E4163*C4163,0)</f>
      </c>
      <c r="M4163" s="29">
        <f>IFERROR((G4163*H4163*I4163/1000000)*D4163,0)</f>
      </c>
    </row>
    <row r="4164" spans="1:13" x14ac:dyDescent="0.25">
      <c r="A4164" s="16"/>
      <c r="E4164" s="27"/>
      <c r="F4164" t="s">
        <v>26</v>
      </c>
      <c r="G4164" s="28">
        <f>IFERROR(VLOOKUP(F4164,CARTON_LOOKUP!$A:$E,3,0),"")</f>
      </c>
      <c r="H4164" s="28">
        <f>IFERROR(VLOOKUP(F4164,CARTON_LOOKUP!$A:$E,4,0),"")</f>
      </c>
      <c r="I4164" s="28">
        <f>IFERROR(VLOOKUP(F4164,CARTON_LOOKUP!$A:$E,5,0),"")</f>
      </c>
      <c r="J4164" s="29">
        <f>IFERROR(VLOOKUP(F4164,CARTON_LOOKUP!$A:$E,2,0),"")</f>
      </c>
      <c r="K4164" s="29">
        <f>IFERROR(J4164*D4164,0)</f>
      </c>
      <c r="L4164" s="29">
        <f>IFERROR(E4164*C4164,0)</f>
      </c>
      <c r="M4164" s="29">
        <f>IFERROR((G4164*H4164*I4164/1000000)*D4164,0)</f>
      </c>
    </row>
    <row r="4165" spans="1:13" x14ac:dyDescent="0.25">
      <c r="A4165" s="16"/>
      <c r="E4165" s="27"/>
      <c r="F4165" t="s">
        <v>26</v>
      </c>
      <c r="G4165" s="28">
        <f>IFERROR(VLOOKUP(F4165,CARTON_LOOKUP!$A:$E,3,0),"")</f>
      </c>
      <c r="H4165" s="28">
        <f>IFERROR(VLOOKUP(F4165,CARTON_LOOKUP!$A:$E,4,0),"")</f>
      </c>
      <c r="I4165" s="28">
        <f>IFERROR(VLOOKUP(F4165,CARTON_LOOKUP!$A:$E,5,0),"")</f>
      </c>
      <c r="J4165" s="29">
        <f>IFERROR(VLOOKUP(F4165,CARTON_LOOKUP!$A:$E,2,0),"")</f>
      </c>
      <c r="K4165" s="29">
        <f>IFERROR(J4165*D4165,0)</f>
      </c>
      <c r="L4165" s="29">
        <f>IFERROR(E4165*C4165,0)</f>
      </c>
      <c r="M4165" s="29">
        <f>IFERROR((G4165*H4165*I4165/1000000)*D4165,0)</f>
      </c>
    </row>
    <row r="4166" spans="1:13" x14ac:dyDescent="0.25">
      <c r="A4166" s="16"/>
      <c r="E4166" s="27"/>
      <c r="F4166" t="s">
        <v>26</v>
      </c>
      <c r="G4166" s="28">
        <f>IFERROR(VLOOKUP(F4166,CARTON_LOOKUP!$A:$E,3,0),"")</f>
      </c>
      <c r="H4166" s="28">
        <f>IFERROR(VLOOKUP(F4166,CARTON_LOOKUP!$A:$E,4,0),"")</f>
      </c>
      <c r="I4166" s="28">
        <f>IFERROR(VLOOKUP(F4166,CARTON_LOOKUP!$A:$E,5,0),"")</f>
      </c>
      <c r="J4166" s="29">
        <f>IFERROR(VLOOKUP(F4166,CARTON_LOOKUP!$A:$E,2,0),"")</f>
      </c>
      <c r="K4166" s="29">
        <f>IFERROR(J4166*D4166,0)</f>
      </c>
      <c r="L4166" s="29">
        <f>IFERROR(E4166*C4166,0)</f>
      </c>
      <c r="M4166" s="29">
        <f>IFERROR((G4166*H4166*I4166/1000000)*D4166,0)</f>
      </c>
    </row>
    <row r="4167" spans="1:13" x14ac:dyDescent="0.25">
      <c r="A4167" s="16"/>
      <c r="E4167" s="27"/>
      <c r="F4167" t="s">
        <v>26</v>
      </c>
      <c r="G4167" s="28">
        <f>IFERROR(VLOOKUP(F4167,CARTON_LOOKUP!$A:$E,3,0),"")</f>
      </c>
      <c r="H4167" s="28">
        <f>IFERROR(VLOOKUP(F4167,CARTON_LOOKUP!$A:$E,4,0),"")</f>
      </c>
      <c r="I4167" s="28">
        <f>IFERROR(VLOOKUP(F4167,CARTON_LOOKUP!$A:$E,5,0),"")</f>
      </c>
      <c r="J4167" s="29">
        <f>IFERROR(VLOOKUP(F4167,CARTON_LOOKUP!$A:$E,2,0),"")</f>
      </c>
      <c r="K4167" s="29">
        <f>IFERROR(J4167*D4167,0)</f>
      </c>
      <c r="L4167" s="29">
        <f>IFERROR(E4167*C4167,0)</f>
      </c>
      <c r="M4167" s="29">
        <f>IFERROR((G4167*H4167*I4167/1000000)*D4167,0)</f>
      </c>
    </row>
    <row r="4168" spans="1:13" x14ac:dyDescent="0.25">
      <c r="A4168" s="16"/>
      <c r="E4168" s="27"/>
      <c r="F4168" t="s">
        <v>26</v>
      </c>
      <c r="G4168" s="28">
        <f>IFERROR(VLOOKUP(F4168,CARTON_LOOKUP!$A:$E,3,0),"")</f>
      </c>
      <c r="H4168" s="28">
        <f>IFERROR(VLOOKUP(F4168,CARTON_LOOKUP!$A:$E,4,0),"")</f>
      </c>
      <c r="I4168" s="28">
        <f>IFERROR(VLOOKUP(F4168,CARTON_LOOKUP!$A:$E,5,0),"")</f>
      </c>
      <c r="J4168" s="29">
        <f>IFERROR(VLOOKUP(F4168,CARTON_LOOKUP!$A:$E,2,0),"")</f>
      </c>
      <c r="K4168" s="29">
        <f>IFERROR(J4168*D4168,0)</f>
      </c>
      <c r="L4168" s="29">
        <f>IFERROR(E4168*C4168,0)</f>
      </c>
      <c r="M4168" s="29">
        <f>IFERROR((G4168*H4168*I4168/1000000)*D4168,0)</f>
      </c>
    </row>
    <row r="4169" spans="1:13" x14ac:dyDescent="0.25">
      <c r="A4169" s="16"/>
      <c r="E4169" s="27"/>
      <c r="F4169" t="s">
        <v>26</v>
      </c>
      <c r="G4169" s="28">
        <f>IFERROR(VLOOKUP(F4169,CARTON_LOOKUP!$A:$E,3,0),"")</f>
      </c>
      <c r="H4169" s="28">
        <f>IFERROR(VLOOKUP(F4169,CARTON_LOOKUP!$A:$E,4,0),"")</f>
      </c>
      <c r="I4169" s="28">
        <f>IFERROR(VLOOKUP(F4169,CARTON_LOOKUP!$A:$E,5,0),"")</f>
      </c>
      <c r="J4169" s="29">
        <f>IFERROR(VLOOKUP(F4169,CARTON_LOOKUP!$A:$E,2,0),"")</f>
      </c>
      <c r="K4169" s="29">
        <f>IFERROR(J4169*D4169,0)</f>
      </c>
      <c r="L4169" s="29">
        <f>IFERROR(E4169*C4169,0)</f>
      </c>
      <c r="M4169" s="29">
        <f>IFERROR((G4169*H4169*I4169/1000000)*D4169,0)</f>
      </c>
    </row>
    <row r="4170" spans="1:13" x14ac:dyDescent="0.25">
      <c r="A4170" s="16"/>
      <c r="E4170" s="27"/>
      <c r="F4170" t="s">
        <v>26</v>
      </c>
      <c r="G4170" s="28">
        <f>IFERROR(VLOOKUP(F4170,CARTON_LOOKUP!$A:$E,3,0),"")</f>
      </c>
      <c r="H4170" s="28">
        <f>IFERROR(VLOOKUP(F4170,CARTON_LOOKUP!$A:$E,4,0),"")</f>
      </c>
      <c r="I4170" s="28">
        <f>IFERROR(VLOOKUP(F4170,CARTON_LOOKUP!$A:$E,5,0),"")</f>
      </c>
      <c r="J4170" s="29">
        <f>IFERROR(VLOOKUP(F4170,CARTON_LOOKUP!$A:$E,2,0),"")</f>
      </c>
      <c r="K4170" s="29">
        <f>IFERROR(J4170*D4170,0)</f>
      </c>
      <c r="L4170" s="29">
        <f>IFERROR(E4170*C4170,0)</f>
      </c>
      <c r="M4170" s="29">
        <f>IFERROR((G4170*H4170*I4170/1000000)*D4170,0)</f>
      </c>
    </row>
    <row r="4171" spans="1:13" x14ac:dyDescent="0.25">
      <c r="A4171" s="16"/>
      <c r="E4171" s="27"/>
      <c r="F4171" t="s">
        <v>26</v>
      </c>
      <c r="G4171" s="28">
        <f>IFERROR(VLOOKUP(F4171,CARTON_LOOKUP!$A:$E,3,0),"")</f>
      </c>
      <c r="H4171" s="28">
        <f>IFERROR(VLOOKUP(F4171,CARTON_LOOKUP!$A:$E,4,0),"")</f>
      </c>
      <c r="I4171" s="28">
        <f>IFERROR(VLOOKUP(F4171,CARTON_LOOKUP!$A:$E,5,0),"")</f>
      </c>
      <c r="J4171" s="29">
        <f>IFERROR(VLOOKUP(F4171,CARTON_LOOKUP!$A:$E,2,0),"")</f>
      </c>
      <c r="K4171" s="29">
        <f>IFERROR(J4171*D4171,0)</f>
      </c>
      <c r="L4171" s="29">
        <f>IFERROR(E4171*C4171,0)</f>
      </c>
      <c r="M4171" s="29">
        <f>IFERROR((G4171*H4171*I4171/1000000)*D4171,0)</f>
      </c>
    </row>
    <row r="4172" spans="1:13" x14ac:dyDescent="0.25">
      <c r="A4172" s="16"/>
      <c r="E4172" s="27"/>
      <c r="F4172" t="s">
        <v>26</v>
      </c>
      <c r="G4172" s="28">
        <f>IFERROR(VLOOKUP(F4172,CARTON_LOOKUP!$A:$E,3,0),"")</f>
      </c>
      <c r="H4172" s="28">
        <f>IFERROR(VLOOKUP(F4172,CARTON_LOOKUP!$A:$E,4,0),"")</f>
      </c>
      <c r="I4172" s="28">
        <f>IFERROR(VLOOKUP(F4172,CARTON_LOOKUP!$A:$E,5,0),"")</f>
      </c>
      <c r="J4172" s="29">
        <f>IFERROR(VLOOKUP(F4172,CARTON_LOOKUP!$A:$E,2,0),"")</f>
      </c>
      <c r="K4172" s="29">
        <f>IFERROR(J4172*D4172,0)</f>
      </c>
      <c r="L4172" s="29">
        <f>IFERROR(E4172*C4172,0)</f>
      </c>
      <c r="M4172" s="29">
        <f>IFERROR((G4172*H4172*I4172/1000000)*D4172,0)</f>
      </c>
    </row>
    <row r="4173" spans="1:13" x14ac:dyDescent="0.25">
      <c r="A4173" s="16"/>
      <c r="E4173" s="27"/>
      <c r="F4173" t="s">
        <v>26</v>
      </c>
      <c r="G4173" s="28">
        <f>IFERROR(VLOOKUP(F4173,CARTON_LOOKUP!$A:$E,3,0),"")</f>
      </c>
      <c r="H4173" s="28">
        <f>IFERROR(VLOOKUP(F4173,CARTON_LOOKUP!$A:$E,4,0),"")</f>
      </c>
      <c r="I4173" s="28">
        <f>IFERROR(VLOOKUP(F4173,CARTON_LOOKUP!$A:$E,5,0),"")</f>
      </c>
      <c r="J4173" s="29">
        <f>IFERROR(VLOOKUP(F4173,CARTON_LOOKUP!$A:$E,2,0),"")</f>
      </c>
      <c r="K4173" s="29">
        <f>IFERROR(J4173*D4173,0)</f>
      </c>
      <c r="L4173" s="29">
        <f>IFERROR(E4173*C4173,0)</f>
      </c>
      <c r="M4173" s="29">
        <f>IFERROR((G4173*H4173*I4173/1000000)*D4173,0)</f>
      </c>
    </row>
    <row r="4174" spans="1:13" x14ac:dyDescent="0.25">
      <c r="A4174" s="16"/>
      <c r="E4174" s="27"/>
      <c r="F4174" t="s">
        <v>26</v>
      </c>
      <c r="G4174" s="28">
        <f>IFERROR(VLOOKUP(F4174,CARTON_LOOKUP!$A:$E,3,0),"")</f>
      </c>
      <c r="H4174" s="28">
        <f>IFERROR(VLOOKUP(F4174,CARTON_LOOKUP!$A:$E,4,0),"")</f>
      </c>
      <c r="I4174" s="28">
        <f>IFERROR(VLOOKUP(F4174,CARTON_LOOKUP!$A:$E,5,0),"")</f>
      </c>
      <c r="J4174" s="29">
        <f>IFERROR(VLOOKUP(F4174,CARTON_LOOKUP!$A:$E,2,0),"")</f>
      </c>
      <c r="K4174" s="29">
        <f>IFERROR(J4174*D4174,0)</f>
      </c>
      <c r="L4174" s="29">
        <f>IFERROR(E4174*C4174,0)</f>
      </c>
      <c r="M4174" s="29">
        <f>IFERROR((G4174*H4174*I4174/1000000)*D4174,0)</f>
      </c>
    </row>
    <row r="4175" spans="1:13" x14ac:dyDescent="0.25">
      <c r="A4175" s="16"/>
      <c r="E4175" s="27"/>
      <c r="F4175" t="s">
        <v>26</v>
      </c>
      <c r="G4175" s="28">
        <f>IFERROR(VLOOKUP(F4175,CARTON_LOOKUP!$A:$E,3,0),"")</f>
      </c>
      <c r="H4175" s="28">
        <f>IFERROR(VLOOKUP(F4175,CARTON_LOOKUP!$A:$E,4,0),"")</f>
      </c>
      <c r="I4175" s="28">
        <f>IFERROR(VLOOKUP(F4175,CARTON_LOOKUP!$A:$E,5,0),"")</f>
      </c>
      <c r="J4175" s="29">
        <f>IFERROR(VLOOKUP(F4175,CARTON_LOOKUP!$A:$E,2,0),"")</f>
      </c>
      <c r="K4175" s="29">
        <f>IFERROR(J4175*D4175,0)</f>
      </c>
      <c r="L4175" s="29">
        <f>IFERROR(E4175*C4175,0)</f>
      </c>
      <c r="M4175" s="29">
        <f>IFERROR((G4175*H4175*I4175/1000000)*D4175,0)</f>
      </c>
    </row>
    <row r="4176" spans="1:13" x14ac:dyDescent="0.25">
      <c r="A4176" s="16"/>
      <c r="E4176" s="27"/>
      <c r="F4176" t="s">
        <v>26</v>
      </c>
      <c r="G4176" s="28">
        <f>IFERROR(VLOOKUP(F4176,CARTON_LOOKUP!$A:$E,3,0),"")</f>
      </c>
      <c r="H4176" s="28">
        <f>IFERROR(VLOOKUP(F4176,CARTON_LOOKUP!$A:$E,4,0),"")</f>
      </c>
      <c r="I4176" s="28">
        <f>IFERROR(VLOOKUP(F4176,CARTON_LOOKUP!$A:$E,5,0),"")</f>
      </c>
      <c r="J4176" s="29">
        <f>IFERROR(VLOOKUP(F4176,CARTON_LOOKUP!$A:$E,2,0),"")</f>
      </c>
      <c r="K4176" s="29">
        <f>IFERROR(J4176*D4176,0)</f>
      </c>
      <c r="L4176" s="29">
        <f>IFERROR(E4176*C4176,0)</f>
      </c>
      <c r="M4176" s="29">
        <f>IFERROR((G4176*H4176*I4176/1000000)*D4176,0)</f>
      </c>
    </row>
    <row r="4177" spans="1:13" x14ac:dyDescent="0.25">
      <c r="A4177" s="16"/>
      <c r="E4177" s="27"/>
      <c r="F4177" t="s">
        <v>26</v>
      </c>
      <c r="G4177" s="28">
        <f>IFERROR(VLOOKUP(F4177,CARTON_LOOKUP!$A:$E,3,0),"")</f>
      </c>
      <c r="H4177" s="28">
        <f>IFERROR(VLOOKUP(F4177,CARTON_LOOKUP!$A:$E,4,0),"")</f>
      </c>
      <c r="I4177" s="28">
        <f>IFERROR(VLOOKUP(F4177,CARTON_LOOKUP!$A:$E,5,0),"")</f>
      </c>
      <c r="J4177" s="29">
        <f>IFERROR(VLOOKUP(F4177,CARTON_LOOKUP!$A:$E,2,0),"")</f>
      </c>
      <c r="K4177" s="29">
        <f>IFERROR(J4177*D4177,0)</f>
      </c>
      <c r="L4177" s="29">
        <f>IFERROR(E4177*C4177,0)</f>
      </c>
      <c r="M4177" s="29">
        <f>IFERROR((G4177*H4177*I4177/1000000)*D4177,0)</f>
      </c>
    </row>
    <row r="4178" spans="1:13" x14ac:dyDescent="0.25">
      <c r="A4178" s="16"/>
      <c r="E4178" s="27"/>
      <c r="F4178" t="s">
        <v>26</v>
      </c>
      <c r="G4178" s="28">
        <f>IFERROR(VLOOKUP(F4178,CARTON_LOOKUP!$A:$E,3,0),"")</f>
      </c>
      <c r="H4178" s="28">
        <f>IFERROR(VLOOKUP(F4178,CARTON_LOOKUP!$A:$E,4,0),"")</f>
      </c>
      <c r="I4178" s="28">
        <f>IFERROR(VLOOKUP(F4178,CARTON_LOOKUP!$A:$E,5,0),"")</f>
      </c>
      <c r="J4178" s="29">
        <f>IFERROR(VLOOKUP(F4178,CARTON_LOOKUP!$A:$E,2,0),"")</f>
      </c>
      <c r="K4178" s="29">
        <f>IFERROR(J4178*D4178,0)</f>
      </c>
      <c r="L4178" s="29">
        <f>IFERROR(E4178*C4178,0)</f>
      </c>
      <c r="M4178" s="29">
        <f>IFERROR((G4178*H4178*I4178/1000000)*D4178,0)</f>
      </c>
    </row>
    <row r="4179" spans="1:13" x14ac:dyDescent="0.25">
      <c r="A4179" s="16"/>
      <c r="E4179" s="27"/>
      <c r="F4179" t="s">
        <v>26</v>
      </c>
      <c r="G4179" s="28">
        <f>IFERROR(VLOOKUP(F4179,CARTON_LOOKUP!$A:$E,3,0),"")</f>
      </c>
      <c r="H4179" s="28">
        <f>IFERROR(VLOOKUP(F4179,CARTON_LOOKUP!$A:$E,4,0),"")</f>
      </c>
      <c r="I4179" s="28">
        <f>IFERROR(VLOOKUP(F4179,CARTON_LOOKUP!$A:$E,5,0),"")</f>
      </c>
      <c r="J4179" s="29">
        <f>IFERROR(VLOOKUP(F4179,CARTON_LOOKUP!$A:$E,2,0),"")</f>
      </c>
      <c r="K4179" s="29">
        <f>IFERROR(J4179*D4179,0)</f>
      </c>
      <c r="L4179" s="29">
        <f>IFERROR(E4179*C4179,0)</f>
      </c>
      <c r="M4179" s="29">
        <f>IFERROR((G4179*H4179*I4179/1000000)*D4179,0)</f>
      </c>
    </row>
    <row r="4180" spans="1:13" x14ac:dyDescent="0.25">
      <c r="A4180" s="16"/>
      <c r="E4180" s="27"/>
      <c r="F4180" t="s">
        <v>26</v>
      </c>
      <c r="G4180" s="28">
        <f>IFERROR(VLOOKUP(F4180,CARTON_LOOKUP!$A:$E,3,0),"")</f>
      </c>
      <c r="H4180" s="28">
        <f>IFERROR(VLOOKUP(F4180,CARTON_LOOKUP!$A:$E,4,0),"")</f>
      </c>
      <c r="I4180" s="28">
        <f>IFERROR(VLOOKUP(F4180,CARTON_LOOKUP!$A:$E,5,0),"")</f>
      </c>
      <c r="J4180" s="29">
        <f>IFERROR(VLOOKUP(F4180,CARTON_LOOKUP!$A:$E,2,0),"")</f>
      </c>
      <c r="K4180" s="29">
        <f>IFERROR(J4180*D4180,0)</f>
      </c>
      <c r="L4180" s="29">
        <f>IFERROR(E4180*C4180,0)</f>
      </c>
      <c r="M4180" s="29">
        <f>IFERROR((G4180*H4180*I4180/1000000)*D4180,0)</f>
      </c>
    </row>
    <row r="4181" spans="1:13" x14ac:dyDescent="0.25">
      <c r="A4181" s="16"/>
      <c r="E4181" s="27"/>
      <c r="F4181" t="s">
        <v>26</v>
      </c>
      <c r="G4181" s="28">
        <f>IFERROR(VLOOKUP(F4181,CARTON_LOOKUP!$A:$E,3,0),"")</f>
      </c>
      <c r="H4181" s="28">
        <f>IFERROR(VLOOKUP(F4181,CARTON_LOOKUP!$A:$E,4,0),"")</f>
      </c>
      <c r="I4181" s="28">
        <f>IFERROR(VLOOKUP(F4181,CARTON_LOOKUP!$A:$E,5,0),"")</f>
      </c>
      <c r="J4181" s="29">
        <f>IFERROR(VLOOKUP(F4181,CARTON_LOOKUP!$A:$E,2,0),"")</f>
      </c>
      <c r="K4181" s="29">
        <f>IFERROR(J4181*D4181,0)</f>
      </c>
      <c r="L4181" s="29">
        <f>IFERROR(E4181*C4181,0)</f>
      </c>
      <c r="M4181" s="29">
        <f>IFERROR((G4181*H4181*I4181/1000000)*D4181,0)</f>
      </c>
    </row>
    <row r="4182" spans="1:13" x14ac:dyDescent="0.25">
      <c r="A4182" s="16"/>
      <c r="E4182" s="27"/>
      <c r="F4182" t="s">
        <v>26</v>
      </c>
      <c r="G4182" s="28">
        <f>IFERROR(VLOOKUP(F4182,CARTON_LOOKUP!$A:$E,3,0),"")</f>
      </c>
      <c r="H4182" s="28">
        <f>IFERROR(VLOOKUP(F4182,CARTON_LOOKUP!$A:$E,4,0),"")</f>
      </c>
      <c r="I4182" s="28">
        <f>IFERROR(VLOOKUP(F4182,CARTON_LOOKUP!$A:$E,5,0),"")</f>
      </c>
      <c r="J4182" s="29">
        <f>IFERROR(VLOOKUP(F4182,CARTON_LOOKUP!$A:$E,2,0),"")</f>
      </c>
      <c r="K4182" s="29">
        <f>IFERROR(J4182*D4182,0)</f>
      </c>
      <c r="L4182" s="29">
        <f>IFERROR(E4182*C4182,0)</f>
      </c>
      <c r="M4182" s="29">
        <f>IFERROR((G4182*H4182*I4182/1000000)*D4182,0)</f>
      </c>
    </row>
    <row r="4183" spans="1:13" x14ac:dyDescent="0.25">
      <c r="A4183" s="16"/>
      <c r="E4183" s="27"/>
      <c r="F4183" t="s">
        <v>26</v>
      </c>
      <c r="G4183" s="28">
        <f>IFERROR(VLOOKUP(F4183,CARTON_LOOKUP!$A:$E,3,0),"")</f>
      </c>
      <c r="H4183" s="28">
        <f>IFERROR(VLOOKUP(F4183,CARTON_LOOKUP!$A:$E,4,0),"")</f>
      </c>
      <c r="I4183" s="28">
        <f>IFERROR(VLOOKUP(F4183,CARTON_LOOKUP!$A:$E,5,0),"")</f>
      </c>
      <c r="J4183" s="29">
        <f>IFERROR(VLOOKUP(F4183,CARTON_LOOKUP!$A:$E,2,0),"")</f>
      </c>
      <c r="K4183" s="29">
        <f>IFERROR(J4183*D4183,0)</f>
      </c>
      <c r="L4183" s="29">
        <f>IFERROR(E4183*C4183,0)</f>
      </c>
      <c r="M4183" s="29">
        <f>IFERROR((G4183*H4183*I4183/1000000)*D4183,0)</f>
      </c>
    </row>
    <row r="4184" spans="1:13" x14ac:dyDescent="0.25">
      <c r="A4184" s="16"/>
      <c r="E4184" s="27"/>
      <c r="F4184" t="s">
        <v>26</v>
      </c>
      <c r="G4184" s="28">
        <f>IFERROR(VLOOKUP(F4184,CARTON_LOOKUP!$A:$E,3,0),"")</f>
      </c>
      <c r="H4184" s="28">
        <f>IFERROR(VLOOKUP(F4184,CARTON_LOOKUP!$A:$E,4,0),"")</f>
      </c>
      <c r="I4184" s="28">
        <f>IFERROR(VLOOKUP(F4184,CARTON_LOOKUP!$A:$E,5,0),"")</f>
      </c>
      <c r="J4184" s="29">
        <f>IFERROR(VLOOKUP(F4184,CARTON_LOOKUP!$A:$E,2,0),"")</f>
      </c>
      <c r="K4184" s="29">
        <f>IFERROR(J4184*D4184,0)</f>
      </c>
      <c r="L4184" s="29">
        <f>IFERROR(E4184*C4184,0)</f>
      </c>
      <c r="M4184" s="29">
        <f>IFERROR((G4184*H4184*I4184/1000000)*D4184,0)</f>
      </c>
    </row>
    <row r="4185" spans="1:13" x14ac:dyDescent="0.25">
      <c r="A4185" s="16"/>
      <c r="E4185" s="27"/>
      <c r="F4185" t="s">
        <v>26</v>
      </c>
      <c r="G4185" s="28">
        <f>IFERROR(VLOOKUP(F4185,CARTON_LOOKUP!$A:$E,3,0),"")</f>
      </c>
      <c r="H4185" s="28">
        <f>IFERROR(VLOOKUP(F4185,CARTON_LOOKUP!$A:$E,4,0),"")</f>
      </c>
      <c r="I4185" s="28">
        <f>IFERROR(VLOOKUP(F4185,CARTON_LOOKUP!$A:$E,5,0),"")</f>
      </c>
      <c r="J4185" s="29">
        <f>IFERROR(VLOOKUP(F4185,CARTON_LOOKUP!$A:$E,2,0),"")</f>
      </c>
      <c r="K4185" s="29">
        <f>IFERROR(J4185*D4185,0)</f>
      </c>
      <c r="L4185" s="29">
        <f>IFERROR(E4185*C4185,0)</f>
      </c>
      <c r="M4185" s="29">
        <f>IFERROR((G4185*H4185*I4185/1000000)*D4185,0)</f>
      </c>
    </row>
    <row r="4186" spans="1:13" x14ac:dyDescent="0.25">
      <c r="A4186" s="16"/>
      <c r="E4186" s="27"/>
      <c r="F4186" t="s">
        <v>26</v>
      </c>
      <c r="G4186" s="28">
        <f>IFERROR(VLOOKUP(F4186,CARTON_LOOKUP!$A:$E,3,0),"")</f>
      </c>
      <c r="H4186" s="28">
        <f>IFERROR(VLOOKUP(F4186,CARTON_LOOKUP!$A:$E,4,0),"")</f>
      </c>
      <c r="I4186" s="28">
        <f>IFERROR(VLOOKUP(F4186,CARTON_LOOKUP!$A:$E,5,0),"")</f>
      </c>
      <c r="J4186" s="29">
        <f>IFERROR(VLOOKUP(F4186,CARTON_LOOKUP!$A:$E,2,0),"")</f>
      </c>
      <c r="K4186" s="29">
        <f>IFERROR(J4186*D4186,0)</f>
      </c>
      <c r="L4186" s="29">
        <f>IFERROR(E4186*C4186,0)</f>
      </c>
      <c r="M4186" s="29">
        <f>IFERROR((G4186*H4186*I4186/1000000)*D4186,0)</f>
      </c>
    </row>
    <row r="4187" spans="1:13" x14ac:dyDescent="0.25">
      <c r="A4187" s="16"/>
      <c r="E4187" s="27"/>
      <c r="F4187" t="s">
        <v>26</v>
      </c>
      <c r="G4187" s="28">
        <f>IFERROR(VLOOKUP(F4187,CARTON_LOOKUP!$A:$E,3,0),"")</f>
      </c>
      <c r="H4187" s="28">
        <f>IFERROR(VLOOKUP(F4187,CARTON_LOOKUP!$A:$E,4,0),"")</f>
      </c>
      <c r="I4187" s="28">
        <f>IFERROR(VLOOKUP(F4187,CARTON_LOOKUP!$A:$E,5,0),"")</f>
      </c>
      <c r="J4187" s="29">
        <f>IFERROR(VLOOKUP(F4187,CARTON_LOOKUP!$A:$E,2,0),"")</f>
      </c>
      <c r="K4187" s="29">
        <f>IFERROR(J4187*D4187,0)</f>
      </c>
      <c r="L4187" s="29">
        <f>IFERROR(E4187*C4187,0)</f>
      </c>
      <c r="M4187" s="29">
        <f>IFERROR((G4187*H4187*I4187/1000000)*D4187,0)</f>
      </c>
    </row>
    <row r="4188" spans="1:13" x14ac:dyDescent="0.25">
      <c r="A4188" s="16"/>
      <c r="E4188" s="27"/>
      <c r="F4188" t="s">
        <v>26</v>
      </c>
      <c r="G4188" s="28">
        <f>IFERROR(VLOOKUP(F4188,CARTON_LOOKUP!$A:$E,3,0),"")</f>
      </c>
      <c r="H4188" s="28">
        <f>IFERROR(VLOOKUP(F4188,CARTON_LOOKUP!$A:$E,4,0),"")</f>
      </c>
      <c r="I4188" s="28">
        <f>IFERROR(VLOOKUP(F4188,CARTON_LOOKUP!$A:$E,5,0),"")</f>
      </c>
      <c r="J4188" s="29">
        <f>IFERROR(VLOOKUP(F4188,CARTON_LOOKUP!$A:$E,2,0),"")</f>
      </c>
      <c r="K4188" s="29">
        <f>IFERROR(J4188*D4188,0)</f>
      </c>
      <c r="L4188" s="29">
        <f>IFERROR(E4188*C4188,0)</f>
      </c>
      <c r="M4188" s="29">
        <f>IFERROR((G4188*H4188*I4188/1000000)*D4188,0)</f>
      </c>
    </row>
    <row r="4189" spans="1:13" x14ac:dyDescent="0.25">
      <c r="A4189" s="16"/>
      <c r="E4189" s="27"/>
      <c r="F4189" t="s">
        <v>26</v>
      </c>
      <c r="G4189" s="28">
        <f>IFERROR(VLOOKUP(F4189,CARTON_LOOKUP!$A:$E,3,0),"")</f>
      </c>
      <c r="H4189" s="28">
        <f>IFERROR(VLOOKUP(F4189,CARTON_LOOKUP!$A:$E,4,0),"")</f>
      </c>
      <c r="I4189" s="28">
        <f>IFERROR(VLOOKUP(F4189,CARTON_LOOKUP!$A:$E,5,0),"")</f>
      </c>
      <c r="J4189" s="29">
        <f>IFERROR(VLOOKUP(F4189,CARTON_LOOKUP!$A:$E,2,0),"")</f>
      </c>
      <c r="K4189" s="29">
        <f>IFERROR(J4189*D4189,0)</f>
      </c>
      <c r="L4189" s="29">
        <f>IFERROR(E4189*C4189,0)</f>
      </c>
      <c r="M4189" s="29">
        <f>IFERROR((G4189*H4189*I4189/1000000)*D4189,0)</f>
      </c>
    </row>
    <row r="4190" spans="1:13" x14ac:dyDescent="0.25">
      <c r="A4190" s="16"/>
      <c r="E4190" s="27"/>
      <c r="F4190" t="s">
        <v>26</v>
      </c>
      <c r="G4190" s="28">
        <f>IFERROR(VLOOKUP(F4190,CARTON_LOOKUP!$A:$E,3,0),"")</f>
      </c>
      <c r="H4190" s="28">
        <f>IFERROR(VLOOKUP(F4190,CARTON_LOOKUP!$A:$E,4,0),"")</f>
      </c>
      <c r="I4190" s="28">
        <f>IFERROR(VLOOKUP(F4190,CARTON_LOOKUP!$A:$E,5,0),"")</f>
      </c>
      <c r="J4190" s="29">
        <f>IFERROR(VLOOKUP(F4190,CARTON_LOOKUP!$A:$E,2,0),"")</f>
      </c>
      <c r="K4190" s="29">
        <f>IFERROR(J4190*D4190,0)</f>
      </c>
      <c r="L4190" s="29">
        <f>IFERROR(E4190*C4190,0)</f>
      </c>
      <c r="M4190" s="29">
        <f>IFERROR((G4190*H4190*I4190/1000000)*D4190,0)</f>
      </c>
    </row>
    <row r="4191" spans="1:13" x14ac:dyDescent="0.25">
      <c r="A4191" s="16"/>
      <c r="E4191" s="27"/>
      <c r="F4191" t="s">
        <v>26</v>
      </c>
      <c r="G4191" s="28">
        <f>IFERROR(VLOOKUP(F4191,CARTON_LOOKUP!$A:$E,3,0),"")</f>
      </c>
      <c r="H4191" s="28">
        <f>IFERROR(VLOOKUP(F4191,CARTON_LOOKUP!$A:$E,4,0),"")</f>
      </c>
      <c r="I4191" s="28">
        <f>IFERROR(VLOOKUP(F4191,CARTON_LOOKUP!$A:$E,5,0),"")</f>
      </c>
      <c r="J4191" s="29">
        <f>IFERROR(VLOOKUP(F4191,CARTON_LOOKUP!$A:$E,2,0),"")</f>
      </c>
      <c r="K4191" s="29">
        <f>IFERROR(J4191*D4191,0)</f>
      </c>
      <c r="L4191" s="29">
        <f>IFERROR(E4191*C4191,0)</f>
      </c>
      <c r="M4191" s="29">
        <f>IFERROR((G4191*H4191*I4191/1000000)*D4191,0)</f>
      </c>
    </row>
    <row r="4192" spans="1:13" x14ac:dyDescent="0.25">
      <c r="A4192" s="16"/>
      <c r="E4192" s="27"/>
      <c r="F4192" t="s">
        <v>26</v>
      </c>
      <c r="G4192" s="28">
        <f>IFERROR(VLOOKUP(F4192,CARTON_LOOKUP!$A:$E,3,0),"")</f>
      </c>
      <c r="H4192" s="28">
        <f>IFERROR(VLOOKUP(F4192,CARTON_LOOKUP!$A:$E,4,0),"")</f>
      </c>
      <c r="I4192" s="28">
        <f>IFERROR(VLOOKUP(F4192,CARTON_LOOKUP!$A:$E,5,0),"")</f>
      </c>
      <c r="J4192" s="29">
        <f>IFERROR(VLOOKUP(F4192,CARTON_LOOKUP!$A:$E,2,0),"")</f>
      </c>
      <c r="K4192" s="29">
        <f>IFERROR(J4192*D4192,0)</f>
      </c>
      <c r="L4192" s="29">
        <f>IFERROR(E4192*C4192,0)</f>
      </c>
      <c r="M4192" s="29">
        <f>IFERROR((G4192*H4192*I4192/1000000)*D4192,0)</f>
      </c>
    </row>
    <row r="4193" spans="1:13" x14ac:dyDescent="0.25">
      <c r="A4193" s="16"/>
      <c r="E4193" s="27"/>
      <c r="F4193" t="s">
        <v>26</v>
      </c>
      <c r="G4193" s="28">
        <f>IFERROR(VLOOKUP(F4193,CARTON_LOOKUP!$A:$E,3,0),"")</f>
      </c>
      <c r="H4193" s="28">
        <f>IFERROR(VLOOKUP(F4193,CARTON_LOOKUP!$A:$E,4,0),"")</f>
      </c>
      <c r="I4193" s="28">
        <f>IFERROR(VLOOKUP(F4193,CARTON_LOOKUP!$A:$E,5,0),"")</f>
      </c>
      <c r="J4193" s="29">
        <f>IFERROR(VLOOKUP(F4193,CARTON_LOOKUP!$A:$E,2,0),"")</f>
      </c>
      <c r="K4193" s="29">
        <f>IFERROR(J4193*D4193,0)</f>
      </c>
      <c r="L4193" s="29">
        <f>IFERROR(E4193*C4193,0)</f>
      </c>
      <c r="M4193" s="29">
        <f>IFERROR((G4193*H4193*I4193/1000000)*D4193,0)</f>
      </c>
    </row>
    <row r="4194" spans="1:13" x14ac:dyDescent="0.25">
      <c r="A4194" s="16"/>
      <c r="E4194" s="27"/>
      <c r="F4194" t="s">
        <v>26</v>
      </c>
      <c r="G4194" s="28">
        <f>IFERROR(VLOOKUP(F4194,CARTON_LOOKUP!$A:$E,3,0),"")</f>
      </c>
      <c r="H4194" s="28">
        <f>IFERROR(VLOOKUP(F4194,CARTON_LOOKUP!$A:$E,4,0),"")</f>
      </c>
      <c r="I4194" s="28">
        <f>IFERROR(VLOOKUP(F4194,CARTON_LOOKUP!$A:$E,5,0),"")</f>
      </c>
      <c r="J4194" s="29">
        <f>IFERROR(VLOOKUP(F4194,CARTON_LOOKUP!$A:$E,2,0),"")</f>
      </c>
      <c r="K4194" s="29">
        <f>IFERROR(J4194*D4194,0)</f>
      </c>
      <c r="L4194" s="29">
        <f>IFERROR(E4194*C4194,0)</f>
      </c>
      <c r="M4194" s="29">
        <f>IFERROR((G4194*H4194*I4194/1000000)*D4194,0)</f>
      </c>
    </row>
    <row r="4195" spans="1:13" x14ac:dyDescent="0.25">
      <c r="A4195" s="16"/>
      <c r="E4195" s="27"/>
      <c r="F4195" t="s">
        <v>26</v>
      </c>
      <c r="G4195" s="28">
        <f>IFERROR(VLOOKUP(F4195,CARTON_LOOKUP!$A:$E,3,0),"")</f>
      </c>
      <c r="H4195" s="28">
        <f>IFERROR(VLOOKUP(F4195,CARTON_LOOKUP!$A:$E,4,0),"")</f>
      </c>
      <c r="I4195" s="28">
        <f>IFERROR(VLOOKUP(F4195,CARTON_LOOKUP!$A:$E,5,0),"")</f>
      </c>
      <c r="J4195" s="29">
        <f>IFERROR(VLOOKUP(F4195,CARTON_LOOKUP!$A:$E,2,0),"")</f>
      </c>
      <c r="K4195" s="29">
        <f>IFERROR(J4195*D4195,0)</f>
      </c>
      <c r="L4195" s="29">
        <f>IFERROR(E4195*C4195,0)</f>
      </c>
      <c r="M4195" s="29">
        <f>IFERROR((G4195*H4195*I4195/1000000)*D4195,0)</f>
      </c>
    </row>
    <row r="4196" spans="1:13" x14ac:dyDescent="0.25">
      <c r="A4196" s="16"/>
      <c r="E4196" s="27"/>
      <c r="F4196" t="s">
        <v>26</v>
      </c>
      <c r="G4196" s="28">
        <f>IFERROR(VLOOKUP(F4196,CARTON_LOOKUP!$A:$E,3,0),"")</f>
      </c>
      <c r="H4196" s="28">
        <f>IFERROR(VLOOKUP(F4196,CARTON_LOOKUP!$A:$E,4,0),"")</f>
      </c>
      <c r="I4196" s="28">
        <f>IFERROR(VLOOKUP(F4196,CARTON_LOOKUP!$A:$E,5,0),"")</f>
      </c>
      <c r="J4196" s="29">
        <f>IFERROR(VLOOKUP(F4196,CARTON_LOOKUP!$A:$E,2,0),"")</f>
      </c>
      <c r="K4196" s="29">
        <f>IFERROR(J4196*D4196,0)</f>
      </c>
      <c r="L4196" s="29">
        <f>IFERROR(E4196*C4196,0)</f>
      </c>
      <c r="M4196" s="29">
        <f>IFERROR((G4196*H4196*I4196/1000000)*D4196,0)</f>
      </c>
    </row>
    <row r="4197" spans="1:13" x14ac:dyDescent="0.25">
      <c r="A4197" s="16"/>
      <c r="E4197" s="27"/>
      <c r="F4197" t="s">
        <v>26</v>
      </c>
      <c r="G4197" s="28">
        <f>IFERROR(VLOOKUP(F4197,CARTON_LOOKUP!$A:$E,3,0),"")</f>
      </c>
      <c r="H4197" s="28">
        <f>IFERROR(VLOOKUP(F4197,CARTON_LOOKUP!$A:$E,4,0),"")</f>
      </c>
      <c r="I4197" s="28">
        <f>IFERROR(VLOOKUP(F4197,CARTON_LOOKUP!$A:$E,5,0),"")</f>
      </c>
      <c r="J4197" s="29">
        <f>IFERROR(VLOOKUP(F4197,CARTON_LOOKUP!$A:$E,2,0),"")</f>
      </c>
      <c r="K4197" s="29">
        <f>IFERROR(J4197*D4197,0)</f>
      </c>
      <c r="L4197" s="29">
        <f>IFERROR(E4197*C4197,0)</f>
      </c>
      <c r="M4197" s="29">
        <f>IFERROR((G4197*H4197*I4197/1000000)*D4197,0)</f>
      </c>
    </row>
    <row r="4198" spans="1:13" x14ac:dyDescent="0.25">
      <c r="A4198" s="16"/>
      <c r="E4198" s="27"/>
      <c r="F4198" t="s">
        <v>26</v>
      </c>
      <c r="G4198" s="28">
        <f>IFERROR(VLOOKUP(F4198,CARTON_LOOKUP!$A:$E,3,0),"")</f>
      </c>
      <c r="H4198" s="28">
        <f>IFERROR(VLOOKUP(F4198,CARTON_LOOKUP!$A:$E,4,0),"")</f>
      </c>
      <c r="I4198" s="28">
        <f>IFERROR(VLOOKUP(F4198,CARTON_LOOKUP!$A:$E,5,0),"")</f>
      </c>
      <c r="J4198" s="29">
        <f>IFERROR(VLOOKUP(F4198,CARTON_LOOKUP!$A:$E,2,0),"")</f>
      </c>
      <c r="K4198" s="29">
        <f>IFERROR(J4198*D4198,0)</f>
      </c>
      <c r="L4198" s="29">
        <f>IFERROR(E4198*C4198,0)</f>
      </c>
      <c r="M4198" s="29">
        <f>IFERROR((G4198*H4198*I4198/1000000)*D4198,0)</f>
      </c>
    </row>
    <row r="4199" spans="1:13" x14ac:dyDescent="0.25">
      <c r="A4199" s="16"/>
      <c r="E4199" s="27"/>
      <c r="F4199" t="s">
        <v>26</v>
      </c>
      <c r="G4199" s="28">
        <f>IFERROR(VLOOKUP(F4199,CARTON_LOOKUP!$A:$E,3,0),"")</f>
      </c>
      <c r="H4199" s="28">
        <f>IFERROR(VLOOKUP(F4199,CARTON_LOOKUP!$A:$E,4,0),"")</f>
      </c>
      <c r="I4199" s="28">
        <f>IFERROR(VLOOKUP(F4199,CARTON_LOOKUP!$A:$E,5,0),"")</f>
      </c>
      <c r="J4199" s="29">
        <f>IFERROR(VLOOKUP(F4199,CARTON_LOOKUP!$A:$E,2,0),"")</f>
      </c>
      <c r="K4199" s="29">
        <f>IFERROR(J4199*D4199,0)</f>
      </c>
      <c r="L4199" s="29">
        <f>IFERROR(E4199*C4199,0)</f>
      </c>
      <c r="M4199" s="29">
        <f>IFERROR((G4199*H4199*I4199/1000000)*D4199,0)</f>
      </c>
    </row>
    <row r="4200" spans="1:13" x14ac:dyDescent="0.25">
      <c r="A4200" s="16"/>
      <c r="E4200" s="27"/>
      <c r="F4200" t="s">
        <v>26</v>
      </c>
      <c r="G4200" s="28">
        <f>IFERROR(VLOOKUP(F4200,CARTON_LOOKUP!$A:$E,3,0),"")</f>
      </c>
      <c r="H4200" s="28">
        <f>IFERROR(VLOOKUP(F4200,CARTON_LOOKUP!$A:$E,4,0),"")</f>
      </c>
      <c r="I4200" s="28">
        <f>IFERROR(VLOOKUP(F4200,CARTON_LOOKUP!$A:$E,5,0),"")</f>
      </c>
      <c r="J4200" s="29">
        <f>IFERROR(VLOOKUP(F4200,CARTON_LOOKUP!$A:$E,2,0),"")</f>
      </c>
      <c r="K4200" s="29">
        <f>IFERROR(J4200*D4200,0)</f>
      </c>
      <c r="L4200" s="29">
        <f>IFERROR(E4200*C4200,0)</f>
      </c>
      <c r="M4200" s="29">
        <f>IFERROR((G4200*H4200*I4200/1000000)*D4200,0)</f>
      </c>
    </row>
    <row r="4201" spans="1:13" x14ac:dyDescent="0.25">
      <c r="A4201" s="16"/>
      <c r="E4201" s="27"/>
      <c r="F4201" t="s">
        <v>26</v>
      </c>
      <c r="G4201" s="28">
        <f>IFERROR(VLOOKUP(F4201,CARTON_LOOKUP!$A:$E,3,0),"")</f>
      </c>
      <c r="H4201" s="28">
        <f>IFERROR(VLOOKUP(F4201,CARTON_LOOKUP!$A:$E,4,0),"")</f>
      </c>
      <c r="I4201" s="28">
        <f>IFERROR(VLOOKUP(F4201,CARTON_LOOKUP!$A:$E,5,0),"")</f>
      </c>
      <c r="J4201" s="29">
        <f>IFERROR(VLOOKUP(F4201,CARTON_LOOKUP!$A:$E,2,0),"")</f>
      </c>
      <c r="K4201" s="29">
        <f>IFERROR(J4201*D4201,0)</f>
      </c>
      <c r="L4201" s="29">
        <f>IFERROR(E4201*C4201,0)</f>
      </c>
      <c r="M4201" s="29">
        <f>IFERROR((G4201*H4201*I4201/1000000)*D4201,0)</f>
      </c>
    </row>
    <row r="4202" spans="1:13" x14ac:dyDescent="0.25">
      <c r="A4202" s="16"/>
      <c r="E4202" s="27"/>
      <c r="F4202" t="s">
        <v>26</v>
      </c>
      <c r="G4202" s="28">
        <f>IFERROR(VLOOKUP(F4202,CARTON_LOOKUP!$A:$E,3,0),"")</f>
      </c>
      <c r="H4202" s="28">
        <f>IFERROR(VLOOKUP(F4202,CARTON_LOOKUP!$A:$E,4,0),"")</f>
      </c>
      <c r="I4202" s="28">
        <f>IFERROR(VLOOKUP(F4202,CARTON_LOOKUP!$A:$E,5,0),"")</f>
      </c>
      <c r="J4202" s="29">
        <f>IFERROR(VLOOKUP(F4202,CARTON_LOOKUP!$A:$E,2,0),"")</f>
      </c>
      <c r="K4202" s="29">
        <f>IFERROR(J4202*D4202,0)</f>
      </c>
      <c r="L4202" s="29">
        <f>IFERROR(E4202*C4202,0)</f>
      </c>
      <c r="M4202" s="29">
        <f>IFERROR((G4202*H4202*I4202/1000000)*D4202,0)</f>
      </c>
    </row>
    <row r="4203" spans="1:13" x14ac:dyDescent="0.25">
      <c r="A4203" s="16"/>
      <c r="E4203" s="27"/>
      <c r="F4203" t="s">
        <v>26</v>
      </c>
      <c r="G4203" s="28">
        <f>IFERROR(VLOOKUP(F4203,CARTON_LOOKUP!$A:$E,3,0),"")</f>
      </c>
      <c r="H4203" s="28">
        <f>IFERROR(VLOOKUP(F4203,CARTON_LOOKUP!$A:$E,4,0),"")</f>
      </c>
      <c r="I4203" s="28">
        <f>IFERROR(VLOOKUP(F4203,CARTON_LOOKUP!$A:$E,5,0),"")</f>
      </c>
      <c r="J4203" s="29">
        <f>IFERROR(VLOOKUP(F4203,CARTON_LOOKUP!$A:$E,2,0),"")</f>
      </c>
      <c r="K4203" s="29">
        <f>IFERROR(J4203*D4203,0)</f>
      </c>
      <c r="L4203" s="29">
        <f>IFERROR(E4203*C4203,0)</f>
      </c>
      <c r="M4203" s="29">
        <f>IFERROR((G4203*H4203*I4203/1000000)*D4203,0)</f>
      </c>
    </row>
    <row r="4204" spans="1:13" x14ac:dyDescent="0.25">
      <c r="A4204" s="16"/>
      <c r="E4204" s="27"/>
      <c r="F4204" t="s">
        <v>26</v>
      </c>
      <c r="G4204" s="28">
        <f>IFERROR(VLOOKUP(F4204,CARTON_LOOKUP!$A:$E,3,0),"")</f>
      </c>
      <c r="H4204" s="28">
        <f>IFERROR(VLOOKUP(F4204,CARTON_LOOKUP!$A:$E,4,0),"")</f>
      </c>
      <c r="I4204" s="28">
        <f>IFERROR(VLOOKUP(F4204,CARTON_LOOKUP!$A:$E,5,0),"")</f>
      </c>
      <c r="J4204" s="29">
        <f>IFERROR(VLOOKUP(F4204,CARTON_LOOKUP!$A:$E,2,0),"")</f>
      </c>
      <c r="K4204" s="29">
        <f>IFERROR(J4204*D4204,0)</f>
      </c>
      <c r="L4204" s="29">
        <f>IFERROR(E4204*C4204,0)</f>
      </c>
      <c r="M4204" s="29">
        <f>IFERROR((G4204*H4204*I4204/1000000)*D4204,0)</f>
      </c>
    </row>
    <row r="4205" spans="1:13" x14ac:dyDescent="0.25">
      <c r="A4205" s="16"/>
      <c r="E4205" s="27"/>
      <c r="F4205" t="s">
        <v>26</v>
      </c>
      <c r="G4205" s="28">
        <f>IFERROR(VLOOKUP(F4205,CARTON_LOOKUP!$A:$E,3,0),"")</f>
      </c>
      <c r="H4205" s="28">
        <f>IFERROR(VLOOKUP(F4205,CARTON_LOOKUP!$A:$E,4,0),"")</f>
      </c>
      <c r="I4205" s="28">
        <f>IFERROR(VLOOKUP(F4205,CARTON_LOOKUP!$A:$E,5,0),"")</f>
      </c>
      <c r="J4205" s="29">
        <f>IFERROR(VLOOKUP(F4205,CARTON_LOOKUP!$A:$E,2,0),"")</f>
      </c>
      <c r="K4205" s="29">
        <f>IFERROR(J4205*D4205,0)</f>
      </c>
      <c r="L4205" s="29">
        <f>IFERROR(E4205*C4205,0)</f>
      </c>
      <c r="M4205" s="29">
        <f>IFERROR((G4205*H4205*I4205/1000000)*D4205,0)</f>
      </c>
    </row>
    <row r="4206" spans="1:13" x14ac:dyDescent="0.25">
      <c r="A4206" s="16"/>
      <c r="E4206" s="27"/>
      <c r="F4206" t="s">
        <v>26</v>
      </c>
      <c r="G4206" s="28">
        <f>IFERROR(VLOOKUP(F4206,CARTON_LOOKUP!$A:$E,3,0),"")</f>
      </c>
      <c r="H4206" s="28">
        <f>IFERROR(VLOOKUP(F4206,CARTON_LOOKUP!$A:$E,4,0),"")</f>
      </c>
      <c r="I4206" s="28">
        <f>IFERROR(VLOOKUP(F4206,CARTON_LOOKUP!$A:$E,5,0),"")</f>
      </c>
      <c r="J4206" s="29">
        <f>IFERROR(VLOOKUP(F4206,CARTON_LOOKUP!$A:$E,2,0),"")</f>
      </c>
      <c r="K4206" s="29">
        <f>IFERROR(J4206*D4206,0)</f>
      </c>
      <c r="L4206" s="29">
        <f>IFERROR(E4206*C4206,0)</f>
      </c>
      <c r="M4206" s="29">
        <f>IFERROR((G4206*H4206*I4206/1000000)*D4206,0)</f>
      </c>
    </row>
    <row r="4207" spans="1:13" x14ac:dyDescent="0.25">
      <c r="A4207" s="16"/>
      <c r="E4207" s="27"/>
      <c r="F4207" t="s">
        <v>26</v>
      </c>
      <c r="G4207" s="28">
        <f>IFERROR(VLOOKUP(F4207,CARTON_LOOKUP!$A:$E,3,0),"")</f>
      </c>
      <c r="H4207" s="28">
        <f>IFERROR(VLOOKUP(F4207,CARTON_LOOKUP!$A:$E,4,0),"")</f>
      </c>
      <c r="I4207" s="28">
        <f>IFERROR(VLOOKUP(F4207,CARTON_LOOKUP!$A:$E,5,0),"")</f>
      </c>
      <c r="J4207" s="29">
        <f>IFERROR(VLOOKUP(F4207,CARTON_LOOKUP!$A:$E,2,0),"")</f>
      </c>
      <c r="K4207" s="29">
        <f>IFERROR(J4207*D4207,0)</f>
      </c>
      <c r="L4207" s="29">
        <f>IFERROR(E4207*C4207,0)</f>
      </c>
      <c r="M4207" s="29">
        <f>IFERROR((G4207*H4207*I4207/1000000)*D4207,0)</f>
      </c>
    </row>
    <row r="4208" spans="1:13" x14ac:dyDescent="0.25">
      <c r="A4208" s="16"/>
      <c r="E4208" s="27"/>
      <c r="F4208" t="s">
        <v>26</v>
      </c>
      <c r="G4208" s="28">
        <f>IFERROR(VLOOKUP(F4208,CARTON_LOOKUP!$A:$E,3,0),"")</f>
      </c>
      <c r="H4208" s="28">
        <f>IFERROR(VLOOKUP(F4208,CARTON_LOOKUP!$A:$E,4,0),"")</f>
      </c>
      <c r="I4208" s="28">
        <f>IFERROR(VLOOKUP(F4208,CARTON_LOOKUP!$A:$E,5,0),"")</f>
      </c>
      <c r="J4208" s="29">
        <f>IFERROR(VLOOKUP(F4208,CARTON_LOOKUP!$A:$E,2,0),"")</f>
      </c>
      <c r="K4208" s="29">
        <f>IFERROR(J4208*D4208,0)</f>
      </c>
      <c r="L4208" s="29">
        <f>IFERROR(E4208*C4208,0)</f>
      </c>
      <c r="M4208" s="29">
        <f>IFERROR((G4208*H4208*I4208/1000000)*D4208,0)</f>
      </c>
    </row>
    <row r="4209" spans="1:13" x14ac:dyDescent="0.25">
      <c r="A4209" s="16"/>
      <c r="E4209" s="27"/>
      <c r="F4209" t="s">
        <v>26</v>
      </c>
      <c r="G4209" s="28">
        <f>IFERROR(VLOOKUP(F4209,CARTON_LOOKUP!$A:$E,3,0),"")</f>
      </c>
      <c r="H4209" s="28">
        <f>IFERROR(VLOOKUP(F4209,CARTON_LOOKUP!$A:$E,4,0),"")</f>
      </c>
      <c r="I4209" s="28">
        <f>IFERROR(VLOOKUP(F4209,CARTON_LOOKUP!$A:$E,5,0),"")</f>
      </c>
      <c r="J4209" s="29">
        <f>IFERROR(VLOOKUP(F4209,CARTON_LOOKUP!$A:$E,2,0),"")</f>
      </c>
      <c r="K4209" s="29">
        <f>IFERROR(J4209*D4209,0)</f>
      </c>
      <c r="L4209" s="29">
        <f>IFERROR(E4209*C4209,0)</f>
      </c>
      <c r="M4209" s="29">
        <f>IFERROR((G4209*H4209*I4209/1000000)*D4209,0)</f>
      </c>
    </row>
    <row r="4210" spans="1:13" x14ac:dyDescent="0.25">
      <c r="A4210" s="16"/>
      <c r="E4210" s="27"/>
      <c r="F4210" t="s">
        <v>26</v>
      </c>
      <c r="G4210" s="28">
        <f>IFERROR(VLOOKUP(F4210,CARTON_LOOKUP!$A:$E,3,0),"")</f>
      </c>
      <c r="H4210" s="28">
        <f>IFERROR(VLOOKUP(F4210,CARTON_LOOKUP!$A:$E,4,0),"")</f>
      </c>
      <c r="I4210" s="28">
        <f>IFERROR(VLOOKUP(F4210,CARTON_LOOKUP!$A:$E,5,0),"")</f>
      </c>
      <c r="J4210" s="29">
        <f>IFERROR(VLOOKUP(F4210,CARTON_LOOKUP!$A:$E,2,0),"")</f>
      </c>
      <c r="K4210" s="29">
        <f>IFERROR(J4210*D4210,0)</f>
      </c>
      <c r="L4210" s="29">
        <f>IFERROR(E4210*C4210,0)</f>
      </c>
      <c r="M4210" s="29">
        <f>IFERROR((G4210*H4210*I4210/1000000)*D4210,0)</f>
      </c>
    </row>
    <row r="4211" spans="1:13" x14ac:dyDescent="0.25">
      <c r="A4211" s="16"/>
      <c r="E4211" s="27"/>
      <c r="F4211" t="s">
        <v>26</v>
      </c>
      <c r="G4211" s="28">
        <f>IFERROR(VLOOKUP(F4211,CARTON_LOOKUP!$A:$E,3,0),"")</f>
      </c>
      <c r="H4211" s="28">
        <f>IFERROR(VLOOKUP(F4211,CARTON_LOOKUP!$A:$E,4,0),"")</f>
      </c>
      <c r="I4211" s="28">
        <f>IFERROR(VLOOKUP(F4211,CARTON_LOOKUP!$A:$E,5,0),"")</f>
      </c>
      <c r="J4211" s="29">
        <f>IFERROR(VLOOKUP(F4211,CARTON_LOOKUP!$A:$E,2,0),"")</f>
      </c>
      <c r="K4211" s="29">
        <f>IFERROR(J4211*D4211,0)</f>
      </c>
      <c r="L4211" s="29">
        <f>IFERROR(E4211*C4211,0)</f>
      </c>
      <c r="M4211" s="29">
        <f>IFERROR((G4211*H4211*I4211/1000000)*D4211,0)</f>
      </c>
    </row>
    <row r="4212" spans="1:13" x14ac:dyDescent="0.25">
      <c r="A4212" s="16"/>
      <c r="E4212" s="27"/>
      <c r="F4212" t="s">
        <v>26</v>
      </c>
      <c r="G4212" s="28">
        <f>IFERROR(VLOOKUP(F4212,CARTON_LOOKUP!$A:$E,3,0),"")</f>
      </c>
      <c r="H4212" s="28">
        <f>IFERROR(VLOOKUP(F4212,CARTON_LOOKUP!$A:$E,4,0),"")</f>
      </c>
      <c r="I4212" s="28">
        <f>IFERROR(VLOOKUP(F4212,CARTON_LOOKUP!$A:$E,5,0),"")</f>
      </c>
      <c r="J4212" s="29">
        <f>IFERROR(VLOOKUP(F4212,CARTON_LOOKUP!$A:$E,2,0),"")</f>
      </c>
      <c r="K4212" s="29">
        <f>IFERROR(J4212*D4212,0)</f>
      </c>
      <c r="L4212" s="29">
        <f>IFERROR(E4212*C4212,0)</f>
      </c>
      <c r="M4212" s="29">
        <f>IFERROR((G4212*H4212*I4212/1000000)*D4212,0)</f>
      </c>
    </row>
    <row r="4213" spans="1:13" x14ac:dyDescent="0.25">
      <c r="A4213" s="16"/>
      <c r="E4213" s="27"/>
      <c r="F4213" t="s">
        <v>26</v>
      </c>
      <c r="G4213" s="28">
        <f>IFERROR(VLOOKUP(F4213,CARTON_LOOKUP!$A:$E,3,0),"")</f>
      </c>
      <c r="H4213" s="28">
        <f>IFERROR(VLOOKUP(F4213,CARTON_LOOKUP!$A:$E,4,0),"")</f>
      </c>
      <c r="I4213" s="28">
        <f>IFERROR(VLOOKUP(F4213,CARTON_LOOKUP!$A:$E,5,0),"")</f>
      </c>
      <c r="J4213" s="29">
        <f>IFERROR(VLOOKUP(F4213,CARTON_LOOKUP!$A:$E,2,0),"")</f>
      </c>
      <c r="K4213" s="29">
        <f>IFERROR(J4213*D4213,0)</f>
      </c>
      <c r="L4213" s="29">
        <f>IFERROR(E4213*C4213,0)</f>
      </c>
      <c r="M4213" s="29">
        <f>IFERROR((G4213*H4213*I4213/1000000)*D4213,0)</f>
      </c>
    </row>
    <row r="4214" spans="1:13" x14ac:dyDescent="0.25">
      <c r="A4214" s="16"/>
      <c r="E4214" s="27"/>
      <c r="F4214" t="s">
        <v>26</v>
      </c>
      <c r="G4214" s="28">
        <f>IFERROR(VLOOKUP(F4214,CARTON_LOOKUP!$A:$E,3,0),"")</f>
      </c>
      <c r="H4214" s="28">
        <f>IFERROR(VLOOKUP(F4214,CARTON_LOOKUP!$A:$E,4,0),"")</f>
      </c>
      <c r="I4214" s="28">
        <f>IFERROR(VLOOKUP(F4214,CARTON_LOOKUP!$A:$E,5,0),"")</f>
      </c>
      <c r="J4214" s="29">
        <f>IFERROR(VLOOKUP(F4214,CARTON_LOOKUP!$A:$E,2,0),"")</f>
      </c>
      <c r="K4214" s="29">
        <f>IFERROR(J4214*D4214,0)</f>
      </c>
      <c r="L4214" s="29">
        <f>IFERROR(E4214*C4214,0)</f>
      </c>
      <c r="M4214" s="29">
        <f>IFERROR((G4214*H4214*I4214/1000000)*D4214,0)</f>
      </c>
    </row>
    <row r="4215" spans="1:13" x14ac:dyDescent="0.25">
      <c r="A4215" s="16"/>
      <c r="E4215" s="27"/>
      <c r="F4215" t="s">
        <v>26</v>
      </c>
      <c r="G4215" s="28">
        <f>IFERROR(VLOOKUP(F4215,CARTON_LOOKUP!$A:$E,3,0),"")</f>
      </c>
      <c r="H4215" s="28">
        <f>IFERROR(VLOOKUP(F4215,CARTON_LOOKUP!$A:$E,4,0),"")</f>
      </c>
      <c r="I4215" s="28">
        <f>IFERROR(VLOOKUP(F4215,CARTON_LOOKUP!$A:$E,5,0),"")</f>
      </c>
      <c r="J4215" s="29">
        <f>IFERROR(VLOOKUP(F4215,CARTON_LOOKUP!$A:$E,2,0),"")</f>
      </c>
      <c r="K4215" s="29">
        <f>IFERROR(J4215*D4215,0)</f>
      </c>
      <c r="L4215" s="29">
        <f>IFERROR(E4215*C4215,0)</f>
      </c>
      <c r="M4215" s="29">
        <f>IFERROR((G4215*H4215*I4215/1000000)*D4215,0)</f>
      </c>
    </row>
    <row r="4216" spans="1:13" x14ac:dyDescent="0.25">
      <c r="A4216" s="16"/>
      <c r="E4216" s="27"/>
      <c r="F4216" t="s">
        <v>26</v>
      </c>
      <c r="G4216" s="28">
        <f>IFERROR(VLOOKUP(F4216,CARTON_LOOKUP!$A:$E,3,0),"")</f>
      </c>
      <c r="H4216" s="28">
        <f>IFERROR(VLOOKUP(F4216,CARTON_LOOKUP!$A:$E,4,0),"")</f>
      </c>
      <c r="I4216" s="28">
        <f>IFERROR(VLOOKUP(F4216,CARTON_LOOKUP!$A:$E,5,0),"")</f>
      </c>
      <c r="J4216" s="29">
        <f>IFERROR(VLOOKUP(F4216,CARTON_LOOKUP!$A:$E,2,0),"")</f>
      </c>
      <c r="K4216" s="29">
        <f>IFERROR(J4216*D4216,0)</f>
      </c>
      <c r="L4216" s="29">
        <f>IFERROR(E4216*C4216,0)</f>
      </c>
      <c r="M4216" s="29">
        <f>IFERROR((G4216*H4216*I4216/1000000)*D4216,0)</f>
      </c>
    </row>
    <row r="4217" spans="1:13" x14ac:dyDescent="0.25">
      <c r="A4217" s="16"/>
      <c r="E4217" s="27"/>
      <c r="F4217" t="s">
        <v>26</v>
      </c>
      <c r="G4217" s="28">
        <f>IFERROR(VLOOKUP(F4217,CARTON_LOOKUP!$A:$E,3,0),"")</f>
      </c>
      <c r="H4217" s="28">
        <f>IFERROR(VLOOKUP(F4217,CARTON_LOOKUP!$A:$E,4,0),"")</f>
      </c>
      <c r="I4217" s="28">
        <f>IFERROR(VLOOKUP(F4217,CARTON_LOOKUP!$A:$E,5,0),"")</f>
      </c>
      <c r="J4217" s="29">
        <f>IFERROR(VLOOKUP(F4217,CARTON_LOOKUP!$A:$E,2,0),"")</f>
      </c>
      <c r="K4217" s="29">
        <f>IFERROR(J4217*D4217,0)</f>
      </c>
      <c r="L4217" s="29">
        <f>IFERROR(E4217*C4217,0)</f>
      </c>
      <c r="M4217" s="29">
        <f>IFERROR((G4217*H4217*I4217/1000000)*D4217,0)</f>
      </c>
    </row>
    <row r="4218" spans="1:13" x14ac:dyDescent="0.25">
      <c r="A4218" s="16"/>
      <c r="E4218" s="27"/>
      <c r="F4218" t="s">
        <v>26</v>
      </c>
      <c r="G4218" s="28">
        <f>IFERROR(VLOOKUP(F4218,CARTON_LOOKUP!$A:$E,3,0),"")</f>
      </c>
      <c r="H4218" s="28">
        <f>IFERROR(VLOOKUP(F4218,CARTON_LOOKUP!$A:$E,4,0),"")</f>
      </c>
      <c r="I4218" s="28">
        <f>IFERROR(VLOOKUP(F4218,CARTON_LOOKUP!$A:$E,5,0),"")</f>
      </c>
      <c r="J4218" s="29">
        <f>IFERROR(VLOOKUP(F4218,CARTON_LOOKUP!$A:$E,2,0),"")</f>
      </c>
      <c r="K4218" s="29">
        <f>IFERROR(J4218*D4218,0)</f>
      </c>
      <c r="L4218" s="29">
        <f>IFERROR(E4218*C4218,0)</f>
      </c>
      <c r="M4218" s="29">
        <f>IFERROR((G4218*H4218*I4218/1000000)*D4218,0)</f>
      </c>
    </row>
    <row r="4219" spans="1:13" x14ac:dyDescent="0.25">
      <c r="A4219" s="16"/>
      <c r="E4219" s="27"/>
      <c r="F4219" t="s">
        <v>26</v>
      </c>
      <c r="G4219" s="28">
        <f>IFERROR(VLOOKUP(F4219,CARTON_LOOKUP!$A:$E,3,0),"")</f>
      </c>
      <c r="H4219" s="28">
        <f>IFERROR(VLOOKUP(F4219,CARTON_LOOKUP!$A:$E,4,0),"")</f>
      </c>
      <c r="I4219" s="28">
        <f>IFERROR(VLOOKUP(F4219,CARTON_LOOKUP!$A:$E,5,0),"")</f>
      </c>
      <c r="J4219" s="29">
        <f>IFERROR(VLOOKUP(F4219,CARTON_LOOKUP!$A:$E,2,0),"")</f>
      </c>
      <c r="K4219" s="29">
        <f>IFERROR(J4219*D4219,0)</f>
      </c>
      <c r="L4219" s="29">
        <f>IFERROR(E4219*C4219,0)</f>
      </c>
      <c r="M4219" s="29">
        <f>IFERROR((G4219*H4219*I4219/1000000)*D4219,0)</f>
      </c>
    </row>
    <row r="4220" spans="1:13" x14ac:dyDescent="0.25">
      <c r="A4220" s="16"/>
      <c r="E4220" s="27"/>
      <c r="F4220" t="s">
        <v>26</v>
      </c>
      <c r="G4220" s="28">
        <f>IFERROR(VLOOKUP(F4220,CARTON_LOOKUP!$A:$E,3,0),"")</f>
      </c>
      <c r="H4220" s="28">
        <f>IFERROR(VLOOKUP(F4220,CARTON_LOOKUP!$A:$E,4,0),"")</f>
      </c>
      <c r="I4220" s="28">
        <f>IFERROR(VLOOKUP(F4220,CARTON_LOOKUP!$A:$E,5,0),"")</f>
      </c>
      <c r="J4220" s="29">
        <f>IFERROR(VLOOKUP(F4220,CARTON_LOOKUP!$A:$E,2,0),"")</f>
      </c>
      <c r="K4220" s="29">
        <f>IFERROR(J4220*D4220,0)</f>
      </c>
      <c r="L4220" s="29">
        <f>IFERROR(E4220*C4220,0)</f>
      </c>
      <c r="M4220" s="29">
        <f>IFERROR((G4220*H4220*I4220/1000000)*D4220,0)</f>
      </c>
    </row>
    <row r="4221" spans="1:13" x14ac:dyDescent="0.25">
      <c r="A4221" s="16"/>
      <c r="E4221" s="27"/>
      <c r="F4221" t="s">
        <v>26</v>
      </c>
      <c r="G4221" s="28">
        <f>IFERROR(VLOOKUP(F4221,CARTON_LOOKUP!$A:$E,3,0),"")</f>
      </c>
      <c r="H4221" s="28">
        <f>IFERROR(VLOOKUP(F4221,CARTON_LOOKUP!$A:$E,4,0),"")</f>
      </c>
      <c r="I4221" s="28">
        <f>IFERROR(VLOOKUP(F4221,CARTON_LOOKUP!$A:$E,5,0),"")</f>
      </c>
      <c r="J4221" s="29">
        <f>IFERROR(VLOOKUP(F4221,CARTON_LOOKUP!$A:$E,2,0),"")</f>
      </c>
      <c r="K4221" s="29">
        <f>IFERROR(J4221*D4221,0)</f>
      </c>
      <c r="L4221" s="29">
        <f>IFERROR(E4221*C4221,0)</f>
      </c>
      <c r="M4221" s="29">
        <f>IFERROR((G4221*H4221*I4221/1000000)*D4221,0)</f>
      </c>
    </row>
    <row r="4222" spans="1:13" x14ac:dyDescent="0.25">
      <c r="A4222" s="16"/>
      <c r="E4222" s="27"/>
      <c r="F4222" t="s">
        <v>26</v>
      </c>
      <c r="G4222" s="28">
        <f>IFERROR(VLOOKUP(F4222,CARTON_LOOKUP!$A:$E,3,0),"")</f>
      </c>
      <c r="H4222" s="28">
        <f>IFERROR(VLOOKUP(F4222,CARTON_LOOKUP!$A:$E,4,0),"")</f>
      </c>
      <c r="I4222" s="28">
        <f>IFERROR(VLOOKUP(F4222,CARTON_LOOKUP!$A:$E,5,0),"")</f>
      </c>
      <c r="J4222" s="29">
        <f>IFERROR(VLOOKUP(F4222,CARTON_LOOKUP!$A:$E,2,0),"")</f>
      </c>
      <c r="K4222" s="29">
        <f>IFERROR(J4222*D4222,0)</f>
      </c>
      <c r="L4222" s="29">
        <f>IFERROR(E4222*C4222,0)</f>
      </c>
      <c r="M4222" s="29">
        <f>IFERROR((G4222*H4222*I4222/1000000)*D4222,0)</f>
      </c>
    </row>
    <row r="4223" spans="1:13" x14ac:dyDescent="0.25">
      <c r="A4223" s="16"/>
      <c r="E4223" s="27"/>
      <c r="F4223" t="s">
        <v>26</v>
      </c>
      <c r="G4223" s="28">
        <f>IFERROR(VLOOKUP(F4223,CARTON_LOOKUP!$A:$E,3,0),"")</f>
      </c>
      <c r="H4223" s="28">
        <f>IFERROR(VLOOKUP(F4223,CARTON_LOOKUP!$A:$E,4,0),"")</f>
      </c>
      <c r="I4223" s="28">
        <f>IFERROR(VLOOKUP(F4223,CARTON_LOOKUP!$A:$E,5,0),"")</f>
      </c>
      <c r="J4223" s="29">
        <f>IFERROR(VLOOKUP(F4223,CARTON_LOOKUP!$A:$E,2,0),"")</f>
      </c>
      <c r="K4223" s="29">
        <f>IFERROR(J4223*D4223,0)</f>
      </c>
      <c r="L4223" s="29">
        <f>IFERROR(E4223*C4223,0)</f>
      </c>
      <c r="M4223" s="29">
        <f>IFERROR((G4223*H4223*I4223/1000000)*D4223,0)</f>
      </c>
    </row>
    <row r="4224" spans="1:13" x14ac:dyDescent="0.25">
      <c r="A4224" s="16"/>
      <c r="E4224" s="27"/>
      <c r="F4224" t="s">
        <v>26</v>
      </c>
      <c r="G4224" s="28">
        <f>IFERROR(VLOOKUP(F4224,CARTON_LOOKUP!$A:$E,3,0),"")</f>
      </c>
      <c r="H4224" s="28">
        <f>IFERROR(VLOOKUP(F4224,CARTON_LOOKUP!$A:$E,4,0),"")</f>
      </c>
      <c r="I4224" s="28">
        <f>IFERROR(VLOOKUP(F4224,CARTON_LOOKUP!$A:$E,5,0),"")</f>
      </c>
      <c r="J4224" s="29">
        <f>IFERROR(VLOOKUP(F4224,CARTON_LOOKUP!$A:$E,2,0),"")</f>
      </c>
      <c r="K4224" s="29">
        <f>IFERROR(J4224*D4224,0)</f>
      </c>
      <c r="L4224" s="29">
        <f>IFERROR(E4224*C4224,0)</f>
      </c>
      <c r="M4224" s="29">
        <f>IFERROR((G4224*H4224*I4224/1000000)*D4224,0)</f>
      </c>
    </row>
    <row r="4225" spans="1:13" x14ac:dyDescent="0.25">
      <c r="A4225" s="16"/>
      <c r="E4225" s="27"/>
      <c r="F4225" t="s">
        <v>26</v>
      </c>
      <c r="G4225" s="28">
        <f>IFERROR(VLOOKUP(F4225,CARTON_LOOKUP!$A:$E,3,0),"")</f>
      </c>
      <c r="H4225" s="28">
        <f>IFERROR(VLOOKUP(F4225,CARTON_LOOKUP!$A:$E,4,0),"")</f>
      </c>
      <c r="I4225" s="28">
        <f>IFERROR(VLOOKUP(F4225,CARTON_LOOKUP!$A:$E,5,0),"")</f>
      </c>
      <c r="J4225" s="29">
        <f>IFERROR(VLOOKUP(F4225,CARTON_LOOKUP!$A:$E,2,0),"")</f>
      </c>
      <c r="K4225" s="29">
        <f>IFERROR(J4225*D4225,0)</f>
      </c>
      <c r="L4225" s="29">
        <f>IFERROR(E4225*C4225,0)</f>
      </c>
      <c r="M4225" s="29">
        <f>IFERROR((G4225*H4225*I4225/1000000)*D4225,0)</f>
      </c>
    </row>
    <row r="4226" spans="1:13" x14ac:dyDescent="0.25">
      <c r="A4226" s="16"/>
      <c r="E4226" s="27"/>
      <c r="F4226" t="s">
        <v>26</v>
      </c>
      <c r="G4226" s="28">
        <f>IFERROR(VLOOKUP(F4226,CARTON_LOOKUP!$A:$E,3,0),"")</f>
      </c>
      <c r="H4226" s="28">
        <f>IFERROR(VLOOKUP(F4226,CARTON_LOOKUP!$A:$E,4,0),"")</f>
      </c>
      <c r="I4226" s="28">
        <f>IFERROR(VLOOKUP(F4226,CARTON_LOOKUP!$A:$E,5,0),"")</f>
      </c>
      <c r="J4226" s="29">
        <f>IFERROR(VLOOKUP(F4226,CARTON_LOOKUP!$A:$E,2,0),"")</f>
      </c>
      <c r="K4226" s="29">
        <f>IFERROR(J4226*D4226,0)</f>
      </c>
      <c r="L4226" s="29">
        <f>IFERROR(E4226*C4226,0)</f>
      </c>
      <c r="M4226" s="29">
        <f>IFERROR((G4226*H4226*I4226/1000000)*D4226,0)</f>
      </c>
    </row>
    <row r="4227" spans="1:13" x14ac:dyDescent="0.25">
      <c r="A4227" s="16"/>
      <c r="E4227" s="27"/>
      <c r="F4227" t="s">
        <v>26</v>
      </c>
      <c r="G4227" s="28">
        <f>IFERROR(VLOOKUP(F4227,CARTON_LOOKUP!$A:$E,3,0),"")</f>
      </c>
      <c r="H4227" s="28">
        <f>IFERROR(VLOOKUP(F4227,CARTON_LOOKUP!$A:$E,4,0),"")</f>
      </c>
      <c r="I4227" s="28">
        <f>IFERROR(VLOOKUP(F4227,CARTON_LOOKUP!$A:$E,5,0),"")</f>
      </c>
      <c r="J4227" s="29">
        <f>IFERROR(VLOOKUP(F4227,CARTON_LOOKUP!$A:$E,2,0),"")</f>
      </c>
      <c r="K4227" s="29">
        <f>IFERROR(J4227*D4227,0)</f>
      </c>
      <c r="L4227" s="29">
        <f>IFERROR(E4227*C4227,0)</f>
      </c>
      <c r="M4227" s="29">
        <f>IFERROR((G4227*H4227*I4227/1000000)*D4227,0)</f>
      </c>
    </row>
    <row r="4228" spans="1:13" x14ac:dyDescent="0.25">
      <c r="A4228" s="16"/>
      <c r="E4228" s="27"/>
      <c r="F4228" t="s">
        <v>26</v>
      </c>
      <c r="G4228" s="28">
        <f>IFERROR(VLOOKUP(F4228,CARTON_LOOKUP!$A:$E,3,0),"")</f>
      </c>
      <c r="H4228" s="28">
        <f>IFERROR(VLOOKUP(F4228,CARTON_LOOKUP!$A:$E,4,0),"")</f>
      </c>
      <c r="I4228" s="28">
        <f>IFERROR(VLOOKUP(F4228,CARTON_LOOKUP!$A:$E,5,0),"")</f>
      </c>
      <c r="J4228" s="29">
        <f>IFERROR(VLOOKUP(F4228,CARTON_LOOKUP!$A:$E,2,0),"")</f>
      </c>
      <c r="K4228" s="29">
        <f>IFERROR(J4228*D4228,0)</f>
      </c>
      <c r="L4228" s="29">
        <f>IFERROR(E4228*C4228,0)</f>
      </c>
      <c r="M4228" s="29">
        <f>IFERROR((G4228*H4228*I4228/1000000)*D4228,0)</f>
      </c>
    </row>
    <row r="4229" spans="1:13" x14ac:dyDescent="0.25">
      <c r="A4229" s="16"/>
      <c r="E4229" s="27"/>
      <c r="F4229" t="s">
        <v>26</v>
      </c>
      <c r="G4229" s="28">
        <f>IFERROR(VLOOKUP(F4229,CARTON_LOOKUP!$A:$E,3,0),"")</f>
      </c>
      <c r="H4229" s="28">
        <f>IFERROR(VLOOKUP(F4229,CARTON_LOOKUP!$A:$E,4,0),"")</f>
      </c>
      <c r="I4229" s="28">
        <f>IFERROR(VLOOKUP(F4229,CARTON_LOOKUP!$A:$E,5,0),"")</f>
      </c>
      <c r="J4229" s="29">
        <f>IFERROR(VLOOKUP(F4229,CARTON_LOOKUP!$A:$E,2,0),"")</f>
      </c>
      <c r="K4229" s="29">
        <f>IFERROR(J4229*D4229,0)</f>
      </c>
      <c r="L4229" s="29">
        <f>IFERROR(E4229*C4229,0)</f>
      </c>
      <c r="M4229" s="29">
        <f>IFERROR((G4229*H4229*I4229/1000000)*D4229,0)</f>
      </c>
    </row>
    <row r="4230" spans="1:13" x14ac:dyDescent="0.25">
      <c r="A4230" s="16"/>
      <c r="E4230" s="27"/>
      <c r="F4230" t="s">
        <v>26</v>
      </c>
      <c r="G4230" s="28">
        <f>IFERROR(VLOOKUP(F4230,CARTON_LOOKUP!$A:$E,3,0),"")</f>
      </c>
      <c r="H4230" s="28">
        <f>IFERROR(VLOOKUP(F4230,CARTON_LOOKUP!$A:$E,4,0),"")</f>
      </c>
      <c r="I4230" s="28">
        <f>IFERROR(VLOOKUP(F4230,CARTON_LOOKUP!$A:$E,5,0),"")</f>
      </c>
      <c r="J4230" s="29">
        <f>IFERROR(VLOOKUP(F4230,CARTON_LOOKUP!$A:$E,2,0),"")</f>
      </c>
      <c r="K4230" s="29">
        <f>IFERROR(J4230*D4230,0)</f>
      </c>
      <c r="L4230" s="29">
        <f>IFERROR(E4230*C4230,0)</f>
      </c>
      <c r="M4230" s="29">
        <f>IFERROR((G4230*H4230*I4230/1000000)*D4230,0)</f>
      </c>
    </row>
    <row r="4231" spans="1:13" x14ac:dyDescent="0.25">
      <c r="A4231" s="16"/>
      <c r="E4231" s="27"/>
      <c r="F4231" t="s">
        <v>26</v>
      </c>
      <c r="G4231" s="28">
        <f>IFERROR(VLOOKUP(F4231,CARTON_LOOKUP!$A:$E,3,0),"")</f>
      </c>
      <c r="H4231" s="28">
        <f>IFERROR(VLOOKUP(F4231,CARTON_LOOKUP!$A:$E,4,0),"")</f>
      </c>
      <c r="I4231" s="28">
        <f>IFERROR(VLOOKUP(F4231,CARTON_LOOKUP!$A:$E,5,0),"")</f>
      </c>
      <c r="J4231" s="29">
        <f>IFERROR(VLOOKUP(F4231,CARTON_LOOKUP!$A:$E,2,0),"")</f>
      </c>
      <c r="K4231" s="29">
        <f>IFERROR(J4231*D4231,0)</f>
      </c>
      <c r="L4231" s="29">
        <f>IFERROR(E4231*C4231,0)</f>
      </c>
      <c r="M4231" s="29">
        <f>IFERROR((G4231*H4231*I4231/1000000)*D4231,0)</f>
      </c>
    </row>
    <row r="4232" spans="1:13" x14ac:dyDescent="0.25">
      <c r="A4232" s="16"/>
      <c r="E4232" s="27"/>
      <c r="F4232" t="s">
        <v>26</v>
      </c>
      <c r="G4232" s="28">
        <f>IFERROR(VLOOKUP(F4232,CARTON_LOOKUP!$A:$E,3,0),"")</f>
      </c>
      <c r="H4232" s="28">
        <f>IFERROR(VLOOKUP(F4232,CARTON_LOOKUP!$A:$E,4,0),"")</f>
      </c>
      <c r="I4232" s="28">
        <f>IFERROR(VLOOKUP(F4232,CARTON_LOOKUP!$A:$E,5,0),"")</f>
      </c>
      <c r="J4232" s="29">
        <f>IFERROR(VLOOKUP(F4232,CARTON_LOOKUP!$A:$E,2,0),"")</f>
      </c>
      <c r="K4232" s="29">
        <f>IFERROR(J4232*D4232,0)</f>
      </c>
      <c r="L4232" s="29">
        <f>IFERROR(E4232*C4232,0)</f>
      </c>
      <c r="M4232" s="29">
        <f>IFERROR((G4232*H4232*I4232/1000000)*D4232,0)</f>
      </c>
    </row>
    <row r="4233" spans="1:13" x14ac:dyDescent="0.25">
      <c r="A4233" s="16"/>
      <c r="E4233" s="27"/>
      <c r="F4233" t="s">
        <v>26</v>
      </c>
      <c r="G4233" s="28">
        <f>IFERROR(VLOOKUP(F4233,CARTON_LOOKUP!$A:$E,3,0),"")</f>
      </c>
      <c r="H4233" s="28">
        <f>IFERROR(VLOOKUP(F4233,CARTON_LOOKUP!$A:$E,4,0),"")</f>
      </c>
      <c r="I4233" s="28">
        <f>IFERROR(VLOOKUP(F4233,CARTON_LOOKUP!$A:$E,5,0),"")</f>
      </c>
      <c r="J4233" s="29">
        <f>IFERROR(VLOOKUP(F4233,CARTON_LOOKUP!$A:$E,2,0),"")</f>
      </c>
      <c r="K4233" s="29">
        <f>IFERROR(J4233*D4233,0)</f>
      </c>
      <c r="L4233" s="29">
        <f>IFERROR(E4233*C4233,0)</f>
      </c>
      <c r="M4233" s="29">
        <f>IFERROR((G4233*H4233*I4233/1000000)*D4233,0)</f>
      </c>
    </row>
    <row r="4234" spans="1:13" x14ac:dyDescent="0.25">
      <c r="A4234" s="16"/>
      <c r="E4234" s="27"/>
      <c r="F4234" t="s">
        <v>26</v>
      </c>
      <c r="G4234" s="28">
        <f>IFERROR(VLOOKUP(F4234,CARTON_LOOKUP!$A:$E,3,0),"")</f>
      </c>
      <c r="H4234" s="28">
        <f>IFERROR(VLOOKUP(F4234,CARTON_LOOKUP!$A:$E,4,0),"")</f>
      </c>
      <c r="I4234" s="28">
        <f>IFERROR(VLOOKUP(F4234,CARTON_LOOKUP!$A:$E,5,0),"")</f>
      </c>
      <c r="J4234" s="29">
        <f>IFERROR(VLOOKUP(F4234,CARTON_LOOKUP!$A:$E,2,0),"")</f>
      </c>
      <c r="K4234" s="29">
        <f>IFERROR(J4234*D4234,0)</f>
      </c>
      <c r="L4234" s="29">
        <f>IFERROR(E4234*C4234,0)</f>
      </c>
      <c r="M4234" s="29">
        <f>IFERROR((G4234*H4234*I4234/1000000)*D4234,0)</f>
      </c>
    </row>
    <row r="4235" spans="1:13" x14ac:dyDescent="0.25">
      <c r="A4235" s="16"/>
      <c r="E4235" s="27"/>
      <c r="F4235" t="s">
        <v>26</v>
      </c>
      <c r="G4235" s="28">
        <f>IFERROR(VLOOKUP(F4235,CARTON_LOOKUP!$A:$E,3,0),"")</f>
      </c>
      <c r="H4235" s="28">
        <f>IFERROR(VLOOKUP(F4235,CARTON_LOOKUP!$A:$E,4,0),"")</f>
      </c>
      <c r="I4235" s="28">
        <f>IFERROR(VLOOKUP(F4235,CARTON_LOOKUP!$A:$E,5,0),"")</f>
      </c>
      <c r="J4235" s="29">
        <f>IFERROR(VLOOKUP(F4235,CARTON_LOOKUP!$A:$E,2,0),"")</f>
      </c>
      <c r="K4235" s="29">
        <f>IFERROR(J4235*D4235,0)</f>
      </c>
      <c r="L4235" s="29">
        <f>IFERROR(E4235*C4235,0)</f>
      </c>
      <c r="M4235" s="29">
        <f>IFERROR((G4235*H4235*I4235/1000000)*D4235,0)</f>
      </c>
    </row>
    <row r="4236" spans="1:13" x14ac:dyDescent="0.25">
      <c r="A4236" s="16"/>
      <c r="E4236" s="27"/>
      <c r="F4236" t="s">
        <v>26</v>
      </c>
      <c r="G4236" s="28">
        <f>IFERROR(VLOOKUP(F4236,CARTON_LOOKUP!$A:$E,3,0),"")</f>
      </c>
      <c r="H4236" s="28">
        <f>IFERROR(VLOOKUP(F4236,CARTON_LOOKUP!$A:$E,4,0),"")</f>
      </c>
      <c r="I4236" s="28">
        <f>IFERROR(VLOOKUP(F4236,CARTON_LOOKUP!$A:$E,5,0),"")</f>
      </c>
      <c r="J4236" s="29">
        <f>IFERROR(VLOOKUP(F4236,CARTON_LOOKUP!$A:$E,2,0),"")</f>
      </c>
      <c r="K4236" s="29">
        <f>IFERROR(J4236*D4236,0)</f>
      </c>
      <c r="L4236" s="29">
        <f>IFERROR(E4236*C4236,0)</f>
      </c>
      <c r="M4236" s="29">
        <f>IFERROR((G4236*H4236*I4236/1000000)*D4236,0)</f>
      </c>
    </row>
    <row r="4237" spans="1:13" x14ac:dyDescent="0.25">
      <c r="A4237" s="16"/>
      <c r="E4237" s="27"/>
      <c r="F4237" t="s">
        <v>26</v>
      </c>
      <c r="G4237" s="28">
        <f>IFERROR(VLOOKUP(F4237,CARTON_LOOKUP!$A:$E,3,0),"")</f>
      </c>
      <c r="H4237" s="28">
        <f>IFERROR(VLOOKUP(F4237,CARTON_LOOKUP!$A:$E,4,0),"")</f>
      </c>
      <c r="I4237" s="28">
        <f>IFERROR(VLOOKUP(F4237,CARTON_LOOKUP!$A:$E,5,0),"")</f>
      </c>
      <c r="J4237" s="29">
        <f>IFERROR(VLOOKUP(F4237,CARTON_LOOKUP!$A:$E,2,0),"")</f>
      </c>
      <c r="K4237" s="29">
        <f>IFERROR(J4237*D4237,0)</f>
      </c>
      <c r="L4237" s="29">
        <f>IFERROR(E4237*C4237,0)</f>
      </c>
      <c r="M4237" s="29">
        <f>IFERROR((G4237*H4237*I4237/1000000)*D4237,0)</f>
      </c>
    </row>
    <row r="4238" spans="1:13" x14ac:dyDescent="0.25">
      <c r="A4238" s="16"/>
      <c r="E4238" s="27"/>
      <c r="F4238" t="s">
        <v>26</v>
      </c>
      <c r="G4238" s="28">
        <f>IFERROR(VLOOKUP(F4238,CARTON_LOOKUP!$A:$E,3,0),"")</f>
      </c>
      <c r="H4238" s="28">
        <f>IFERROR(VLOOKUP(F4238,CARTON_LOOKUP!$A:$E,4,0),"")</f>
      </c>
      <c r="I4238" s="28">
        <f>IFERROR(VLOOKUP(F4238,CARTON_LOOKUP!$A:$E,5,0),"")</f>
      </c>
      <c r="J4238" s="29">
        <f>IFERROR(VLOOKUP(F4238,CARTON_LOOKUP!$A:$E,2,0),"")</f>
      </c>
      <c r="K4238" s="29">
        <f>IFERROR(J4238*D4238,0)</f>
      </c>
      <c r="L4238" s="29">
        <f>IFERROR(E4238*C4238,0)</f>
      </c>
      <c r="M4238" s="29">
        <f>IFERROR((G4238*H4238*I4238/1000000)*D4238,0)</f>
      </c>
    </row>
    <row r="4239" spans="1:13" x14ac:dyDescent="0.25">
      <c r="A4239" s="16"/>
      <c r="E4239" s="27"/>
      <c r="F4239" t="s">
        <v>26</v>
      </c>
      <c r="G4239" s="28">
        <f>IFERROR(VLOOKUP(F4239,CARTON_LOOKUP!$A:$E,3,0),"")</f>
      </c>
      <c r="H4239" s="28">
        <f>IFERROR(VLOOKUP(F4239,CARTON_LOOKUP!$A:$E,4,0),"")</f>
      </c>
      <c r="I4239" s="28">
        <f>IFERROR(VLOOKUP(F4239,CARTON_LOOKUP!$A:$E,5,0),"")</f>
      </c>
      <c r="J4239" s="29">
        <f>IFERROR(VLOOKUP(F4239,CARTON_LOOKUP!$A:$E,2,0),"")</f>
      </c>
      <c r="K4239" s="29">
        <f>IFERROR(J4239*D4239,0)</f>
      </c>
      <c r="L4239" s="29">
        <f>IFERROR(E4239*C4239,0)</f>
      </c>
      <c r="M4239" s="29">
        <f>IFERROR((G4239*H4239*I4239/1000000)*D4239,0)</f>
      </c>
    </row>
    <row r="4240" spans="1:13" x14ac:dyDescent="0.25">
      <c r="A4240" s="16"/>
      <c r="E4240" s="27"/>
      <c r="F4240" t="s">
        <v>26</v>
      </c>
      <c r="G4240" s="28">
        <f>IFERROR(VLOOKUP(F4240,CARTON_LOOKUP!$A:$E,3,0),"")</f>
      </c>
      <c r="H4240" s="28">
        <f>IFERROR(VLOOKUP(F4240,CARTON_LOOKUP!$A:$E,4,0),"")</f>
      </c>
      <c r="I4240" s="28">
        <f>IFERROR(VLOOKUP(F4240,CARTON_LOOKUP!$A:$E,5,0),"")</f>
      </c>
      <c r="J4240" s="29">
        <f>IFERROR(VLOOKUP(F4240,CARTON_LOOKUP!$A:$E,2,0),"")</f>
      </c>
      <c r="K4240" s="29">
        <f>IFERROR(J4240*D4240,0)</f>
      </c>
      <c r="L4240" s="29">
        <f>IFERROR(E4240*C4240,0)</f>
      </c>
      <c r="M4240" s="29">
        <f>IFERROR((G4240*H4240*I4240/1000000)*D4240,0)</f>
      </c>
    </row>
    <row r="4241" spans="1:13" x14ac:dyDescent="0.25">
      <c r="A4241" s="16"/>
      <c r="E4241" s="27"/>
      <c r="F4241" t="s">
        <v>26</v>
      </c>
      <c r="G4241" s="28">
        <f>IFERROR(VLOOKUP(F4241,CARTON_LOOKUP!$A:$E,3,0),"")</f>
      </c>
      <c r="H4241" s="28">
        <f>IFERROR(VLOOKUP(F4241,CARTON_LOOKUP!$A:$E,4,0),"")</f>
      </c>
      <c r="I4241" s="28">
        <f>IFERROR(VLOOKUP(F4241,CARTON_LOOKUP!$A:$E,5,0),"")</f>
      </c>
      <c r="J4241" s="29">
        <f>IFERROR(VLOOKUP(F4241,CARTON_LOOKUP!$A:$E,2,0),"")</f>
      </c>
      <c r="K4241" s="29">
        <f>IFERROR(J4241*D4241,0)</f>
      </c>
      <c r="L4241" s="29">
        <f>IFERROR(E4241*C4241,0)</f>
      </c>
      <c r="M4241" s="29">
        <f>IFERROR((G4241*H4241*I4241/1000000)*D4241,0)</f>
      </c>
    </row>
    <row r="4242" spans="1:13" x14ac:dyDescent="0.25">
      <c r="A4242" s="16"/>
      <c r="E4242" s="27"/>
      <c r="F4242" t="s">
        <v>26</v>
      </c>
      <c r="G4242" s="28">
        <f>IFERROR(VLOOKUP(F4242,CARTON_LOOKUP!$A:$E,3,0),"")</f>
      </c>
      <c r="H4242" s="28">
        <f>IFERROR(VLOOKUP(F4242,CARTON_LOOKUP!$A:$E,4,0),"")</f>
      </c>
      <c r="I4242" s="28">
        <f>IFERROR(VLOOKUP(F4242,CARTON_LOOKUP!$A:$E,5,0),"")</f>
      </c>
      <c r="J4242" s="29">
        <f>IFERROR(VLOOKUP(F4242,CARTON_LOOKUP!$A:$E,2,0),"")</f>
      </c>
      <c r="K4242" s="29">
        <f>IFERROR(J4242*D4242,0)</f>
      </c>
      <c r="L4242" s="29">
        <f>IFERROR(E4242*C4242,0)</f>
      </c>
      <c r="M4242" s="29">
        <f>IFERROR((G4242*H4242*I4242/1000000)*D4242,0)</f>
      </c>
    </row>
    <row r="4243" spans="1:13" x14ac:dyDescent="0.25">
      <c r="A4243" s="16"/>
      <c r="E4243" s="27"/>
      <c r="F4243" t="s">
        <v>26</v>
      </c>
      <c r="G4243" s="28">
        <f>IFERROR(VLOOKUP(F4243,CARTON_LOOKUP!$A:$E,3,0),"")</f>
      </c>
      <c r="H4243" s="28">
        <f>IFERROR(VLOOKUP(F4243,CARTON_LOOKUP!$A:$E,4,0),"")</f>
      </c>
      <c r="I4243" s="28">
        <f>IFERROR(VLOOKUP(F4243,CARTON_LOOKUP!$A:$E,5,0),"")</f>
      </c>
      <c r="J4243" s="29">
        <f>IFERROR(VLOOKUP(F4243,CARTON_LOOKUP!$A:$E,2,0),"")</f>
      </c>
      <c r="K4243" s="29">
        <f>IFERROR(J4243*D4243,0)</f>
      </c>
      <c r="L4243" s="29">
        <f>IFERROR(E4243*C4243,0)</f>
      </c>
      <c r="M4243" s="29">
        <f>IFERROR((G4243*H4243*I4243/1000000)*D4243,0)</f>
      </c>
    </row>
    <row r="4244" spans="1:13" x14ac:dyDescent="0.25">
      <c r="A4244" s="16"/>
      <c r="E4244" s="27"/>
      <c r="F4244" t="s">
        <v>26</v>
      </c>
      <c r="G4244" s="28">
        <f>IFERROR(VLOOKUP(F4244,CARTON_LOOKUP!$A:$E,3,0),"")</f>
      </c>
      <c r="H4244" s="28">
        <f>IFERROR(VLOOKUP(F4244,CARTON_LOOKUP!$A:$E,4,0),"")</f>
      </c>
      <c r="I4244" s="28">
        <f>IFERROR(VLOOKUP(F4244,CARTON_LOOKUP!$A:$E,5,0),"")</f>
      </c>
      <c r="J4244" s="29">
        <f>IFERROR(VLOOKUP(F4244,CARTON_LOOKUP!$A:$E,2,0),"")</f>
      </c>
      <c r="K4244" s="29">
        <f>IFERROR(J4244*D4244,0)</f>
      </c>
      <c r="L4244" s="29">
        <f>IFERROR(E4244*C4244,0)</f>
      </c>
      <c r="M4244" s="29">
        <f>IFERROR((G4244*H4244*I4244/1000000)*D4244,0)</f>
      </c>
    </row>
    <row r="4245" spans="1:13" x14ac:dyDescent="0.25">
      <c r="A4245" s="16"/>
      <c r="E4245" s="27"/>
      <c r="F4245" t="s">
        <v>26</v>
      </c>
      <c r="G4245" s="28">
        <f>IFERROR(VLOOKUP(F4245,CARTON_LOOKUP!$A:$E,3,0),"")</f>
      </c>
      <c r="H4245" s="28">
        <f>IFERROR(VLOOKUP(F4245,CARTON_LOOKUP!$A:$E,4,0),"")</f>
      </c>
      <c r="I4245" s="28">
        <f>IFERROR(VLOOKUP(F4245,CARTON_LOOKUP!$A:$E,5,0),"")</f>
      </c>
      <c r="J4245" s="29">
        <f>IFERROR(VLOOKUP(F4245,CARTON_LOOKUP!$A:$E,2,0),"")</f>
      </c>
      <c r="K4245" s="29">
        <f>IFERROR(J4245*D4245,0)</f>
      </c>
      <c r="L4245" s="29">
        <f>IFERROR(E4245*C4245,0)</f>
      </c>
      <c r="M4245" s="29">
        <f>IFERROR((G4245*H4245*I4245/1000000)*D4245,0)</f>
      </c>
    </row>
    <row r="4246" spans="1:13" x14ac:dyDescent="0.25">
      <c r="A4246" s="16"/>
      <c r="E4246" s="27"/>
      <c r="F4246" t="s">
        <v>26</v>
      </c>
      <c r="G4246" s="28">
        <f>IFERROR(VLOOKUP(F4246,CARTON_LOOKUP!$A:$E,3,0),"")</f>
      </c>
      <c r="H4246" s="28">
        <f>IFERROR(VLOOKUP(F4246,CARTON_LOOKUP!$A:$E,4,0),"")</f>
      </c>
      <c r="I4246" s="28">
        <f>IFERROR(VLOOKUP(F4246,CARTON_LOOKUP!$A:$E,5,0),"")</f>
      </c>
      <c r="J4246" s="29">
        <f>IFERROR(VLOOKUP(F4246,CARTON_LOOKUP!$A:$E,2,0),"")</f>
      </c>
      <c r="K4246" s="29">
        <f>IFERROR(J4246*D4246,0)</f>
      </c>
      <c r="L4246" s="29">
        <f>IFERROR(E4246*C4246,0)</f>
      </c>
      <c r="M4246" s="29">
        <f>IFERROR((G4246*H4246*I4246/1000000)*D4246,0)</f>
      </c>
    </row>
    <row r="4247" spans="1:13" x14ac:dyDescent="0.25">
      <c r="A4247" s="16"/>
      <c r="E4247" s="27"/>
      <c r="F4247" t="s">
        <v>26</v>
      </c>
      <c r="G4247" s="28">
        <f>IFERROR(VLOOKUP(F4247,CARTON_LOOKUP!$A:$E,3,0),"")</f>
      </c>
      <c r="H4247" s="28">
        <f>IFERROR(VLOOKUP(F4247,CARTON_LOOKUP!$A:$E,4,0),"")</f>
      </c>
      <c r="I4247" s="28">
        <f>IFERROR(VLOOKUP(F4247,CARTON_LOOKUP!$A:$E,5,0),"")</f>
      </c>
      <c r="J4247" s="29">
        <f>IFERROR(VLOOKUP(F4247,CARTON_LOOKUP!$A:$E,2,0),"")</f>
      </c>
      <c r="K4247" s="29">
        <f>IFERROR(J4247*D4247,0)</f>
      </c>
      <c r="L4247" s="29">
        <f>IFERROR(E4247*C4247,0)</f>
      </c>
      <c r="M4247" s="29">
        <f>IFERROR((G4247*H4247*I4247/1000000)*D4247,0)</f>
      </c>
    </row>
    <row r="4248" spans="1:13" x14ac:dyDescent="0.25">
      <c r="A4248" s="16"/>
      <c r="E4248" s="27"/>
      <c r="F4248" t="s">
        <v>26</v>
      </c>
      <c r="G4248" s="28">
        <f>IFERROR(VLOOKUP(F4248,CARTON_LOOKUP!$A:$E,3,0),"")</f>
      </c>
      <c r="H4248" s="28">
        <f>IFERROR(VLOOKUP(F4248,CARTON_LOOKUP!$A:$E,4,0),"")</f>
      </c>
      <c r="I4248" s="28">
        <f>IFERROR(VLOOKUP(F4248,CARTON_LOOKUP!$A:$E,5,0),"")</f>
      </c>
      <c r="J4248" s="29">
        <f>IFERROR(VLOOKUP(F4248,CARTON_LOOKUP!$A:$E,2,0),"")</f>
      </c>
      <c r="K4248" s="29">
        <f>IFERROR(J4248*D4248,0)</f>
      </c>
      <c r="L4248" s="29">
        <f>IFERROR(E4248*C4248,0)</f>
      </c>
      <c r="M4248" s="29">
        <f>IFERROR((G4248*H4248*I4248/1000000)*D4248,0)</f>
      </c>
    </row>
    <row r="4249" spans="1:13" x14ac:dyDescent="0.25">
      <c r="A4249" s="16"/>
      <c r="E4249" s="27"/>
      <c r="F4249" t="s">
        <v>26</v>
      </c>
      <c r="G4249" s="28">
        <f>IFERROR(VLOOKUP(F4249,CARTON_LOOKUP!$A:$E,3,0),"")</f>
      </c>
      <c r="H4249" s="28">
        <f>IFERROR(VLOOKUP(F4249,CARTON_LOOKUP!$A:$E,4,0),"")</f>
      </c>
      <c r="I4249" s="28">
        <f>IFERROR(VLOOKUP(F4249,CARTON_LOOKUP!$A:$E,5,0),"")</f>
      </c>
      <c r="J4249" s="29">
        <f>IFERROR(VLOOKUP(F4249,CARTON_LOOKUP!$A:$E,2,0),"")</f>
      </c>
      <c r="K4249" s="29">
        <f>IFERROR(J4249*D4249,0)</f>
      </c>
      <c r="L4249" s="29">
        <f>IFERROR(E4249*C4249,0)</f>
      </c>
      <c r="M4249" s="29">
        <f>IFERROR((G4249*H4249*I4249/1000000)*D4249,0)</f>
      </c>
    </row>
    <row r="4250" spans="1:13" x14ac:dyDescent="0.25">
      <c r="A4250" s="16"/>
      <c r="E4250" s="27"/>
      <c r="F4250" t="s">
        <v>26</v>
      </c>
      <c r="G4250" s="28">
        <f>IFERROR(VLOOKUP(F4250,CARTON_LOOKUP!$A:$E,3,0),"")</f>
      </c>
      <c r="H4250" s="28">
        <f>IFERROR(VLOOKUP(F4250,CARTON_LOOKUP!$A:$E,4,0),"")</f>
      </c>
      <c r="I4250" s="28">
        <f>IFERROR(VLOOKUP(F4250,CARTON_LOOKUP!$A:$E,5,0),"")</f>
      </c>
      <c r="J4250" s="29">
        <f>IFERROR(VLOOKUP(F4250,CARTON_LOOKUP!$A:$E,2,0),"")</f>
      </c>
      <c r="K4250" s="29">
        <f>IFERROR(J4250*D4250,0)</f>
      </c>
      <c r="L4250" s="29">
        <f>IFERROR(E4250*C4250,0)</f>
      </c>
      <c r="M4250" s="29">
        <f>IFERROR((G4250*H4250*I4250/1000000)*D4250,0)</f>
      </c>
    </row>
    <row r="4251" spans="1:13" x14ac:dyDescent="0.25">
      <c r="A4251" s="16"/>
      <c r="E4251" s="27"/>
      <c r="F4251" t="s">
        <v>26</v>
      </c>
      <c r="G4251" s="28">
        <f>IFERROR(VLOOKUP(F4251,CARTON_LOOKUP!$A:$E,3,0),"")</f>
      </c>
      <c r="H4251" s="28">
        <f>IFERROR(VLOOKUP(F4251,CARTON_LOOKUP!$A:$E,4,0),"")</f>
      </c>
      <c r="I4251" s="28">
        <f>IFERROR(VLOOKUP(F4251,CARTON_LOOKUP!$A:$E,5,0),"")</f>
      </c>
      <c r="J4251" s="29">
        <f>IFERROR(VLOOKUP(F4251,CARTON_LOOKUP!$A:$E,2,0),"")</f>
      </c>
      <c r="K4251" s="29">
        <f>IFERROR(J4251*D4251,0)</f>
      </c>
      <c r="L4251" s="29">
        <f>IFERROR(E4251*C4251,0)</f>
      </c>
      <c r="M4251" s="29">
        <f>IFERROR((G4251*H4251*I4251/1000000)*D4251,0)</f>
      </c>
    </row>
    <row r="4252" spans="1:13" x14ac:dyDescent="0.25">
      <c r="A4252" s="16"/>
      <c r="E4252" s="27"/>
      <c r="F4252" t="s">
        <v>26</v>
      </c>
      <c r="G4252" s="28">
        <f>IFERROR(VLOOKUP(F4252,CARTON_LOOKUP!$A:$E,3,0),"")</f>
      </c>
      <c r="H4252" s="28">
        <f>IFERROR(VLOOKUP(F4252,CARTON_LOOKUP!$A:$E,4,0),"")</f>
      </c>
      <c r="I4252" s="28">
        <f>IFERROR(VLOOKUP(F4252,CARTON_LOOKUP!$A:$E,5,0),"")</f>
      </c>
      <c r="J4252" s="29">
        <f>IFERROR(VLOOKUP(F4252,CARTON_LOOKUP!$A:$E,2,0),"")</f>
      </c>
      <c r="K4252" s="29">
        <f>IFERROR(J4252*D4252,0)</f>
      </c>
      <c r="L4252" s="29">
        <f>IFERROR(E4252*C4252,0)</f>
      </c>
      <c r="M4252" s="29">
        <f>IFERROR((G4252*H4252*I4252/1000000)*D4252,0)</f>
      </c>
    </row>
    <row r="4253" spans="1:13" x14ac:dyDescent="0.25">
      <c r="A4253" s="16"/>
      <c r="E4253" s="27"/>
      <c r="F4253" t="s">
        <v>26</v>
      </c>
      <c r="G4253" s="28">
        <f>IFERROR(VLOOKUP(F4253,CARTON_LOOKUP!$A:$E,3,0),"")</f>
      </c>
      <c r="H4253" s="28">
        <f>IFERROR(VLOOKUP(F4253,CARTON_LOOKUP!$A:$E,4,0),"")</f>
      </c>
      <c r="I4253" s="28">
        <f>IFERROR(VLOOKUP(F4253,CARTON_LOOKUP!$A:$E,5,0),"")</f>
      </c>
      <c r="J4253" s="29">
        <f>IFERROR(VLOOKUP(F4253,CARTON_LOOKUP!$A:$E,2,0),"")</f>
      </c>
      <c r="K4253" s="29">
        <f>IFERROR(J4253*D4253,0)</f>
      </c>
      <c r="L4253" s="29">
        <f>IFERROR(E4253*C4253,0)</f>
      </c>
      <c r="M4253" s="29">
        <f>IFERROR((G4253*H4253*I4253/1000000)*D4253,0)</f>
      </c>
    </row>
    <row r="4254" spans="1:13" x14ac:dyDescent="0.25">
      <c r="A4254" s="16"/>
      <c r="E4254" s="27"/>
      <c r="F4254" t="s">
        <v>26</v>
      </c>
      <c r="G4254" s="28">
        <f>IFERROR(VLOOKUP(F4254,CARTON_LOOKUP!$A:$E,3,0),"")</f>
      </c>
      <c r="H4254" s="28">
        <f>IFERROR(VLOOKUP(F4254,CARTON_LOOKUP!$A:$E,4,0),"")</f>
      </c>
      <c r="I4254" s="28">
        <f>IFERROR(VLOOKUP(F4254,CARTON_LOOKUP!$A:$E,5,0),"")</f>
      </c>
      <c r="J4254" s="29">
        <f>IFERROR(VLOOKUP(F4254,CARTON_LOOKUP!$A:$E,2,0),"")</f>
      </c>
      <c r="K4254" s="29">
        <f>IFERROR(J4254*D4254,0)</f>
      </c>
      <c r="L4254" s="29">
        <f>IFERROR(E4254*C4254,0)</f>
      </c>
      <c r="M4254" s="29">
        <f>IFERROR((G4254*H4254*I4254/1000000)*D4254,0)</f>
      </c>
    </row>
    <row r="4255" spans="1:13" x14ac:dyDescent="0.25">
      <c r="A4255" s="16"/>
      <c r="E4255" s="27"/>
      <c r="F4255" t="s">
        <v>26</v>
      </c>
      <c r="G4255" s="28">
        <f>IFERROR(VLOOKUP(F4255,CARTON_LOOKUP!$A:$E,3,0),"")</f>
      </c>
      <c r="H4255" s="28">
        <f>IFERROR(VLOOKUP(F4255,CARTON_LOOKUP!$A:$E,4,0),"")</f>
      </c>
      <c r="I4255" s="28">
        <f>IFERROR(VLOOKUP(F4255,CARTON_LOOKUP!$A:$E,5,0),"")</f>
      </c>
      <c r="J4255" s="29">
        <f>IFERROR(VLOOKUP(F4255,CARTON_LOOKUP!$A:$E,2,0),"")</f>
      </c>
      <c r="K4255" s="29">
        <f>IFERROR(J4255*D4255,0)</f>
      </c>
      <c r="L4255" s="29">
        <f>IFERROR(E4255*C4255,0)</f>
      </c>
      <c r="M4255" s="29">
        <f>IFERROR((G4255*H4255*I4255/1000000)*D4255,0)</f>
      </c>
    </row>
    <row r="4256" spans="1:13" x14ac:dyDescent="0.25">
      <c r="A4256" s="16"/>
      <c r="E4256" s="27"/>
      <c r="F4256" t="s">
        <v>26</v>
      </c>
      <c r="G4256" s="28">
        <f>IFERROR(VLOOKUP(F4256,CARTON_LOOKUP!$A:$E,3,0),"")</f>
      </c>
      <c r="H4256" s="28">
        <f>IFERROR(VLOOKUP(F4256,CARTON_LOOKUP!$A:$E,4,0),"")</f>
      </c>
      <c r="I4256" s="28">
        <f>IFERROR(VLOOKUP(F4256,CARTON_LOOKUP!$A:$E,5,0),"")</f>
      </c>
      <c r="J4256" s="29">
        <f>IFERROR(VLOOKUP(F4256,CARTON_LOOKUP!$A:$E,2,0),"")</f>
      </c>
      <c r="K4256" s="29">
        <f>IFERROR(J4256*D4256,0)</f>
      </c>
      <c r="L4256" s="29">
        <f>IFERROR(E4256*C4256,0)</f>
      </c>
      <c r="M4256" s="29">
        <f>IFERROR((G4256*H4256*I4256/1000000)*D4256,0)</f>
      </c>
    </row>
    <row r="4257" spans="1:13" x14ac:dyDescent="0.25">
      <c r="A4257" s="16"/>
      <c r="E4257" s="27"/>
      <c r="F4257" t="s">
        <v>26</v>
      </c>
      <c r="G4257" s="28">
        <f>IFERROR(VLOOKUP(F4257,CARTON_LOOKUP!$A:$E,3,0),"")</f>
      </c>
      <c r="H4257" s="28">
        <f>IFERROR(VLOOKUP(F4257,CARTON_LOOKUP!$A:$E,4,0),"")</f>
      </c>
      <c r="I4257" s="28">
        <f>IFERROR(VLOOKUP(F4257,CARTON_LOOKUP!$A:$E,5,0),"")</f>
      </c>
      <c r="J4257" s="29">
        <f>IFERROR(VLOOKUP(F4257,CARTON_LOOKUP!$A:$E,2,0),"")</f>
      </c>
      <c r="K4257" s="29">
        <f>IFERROR(J4257*D4257,0)</f>
      </c>
      <c r="L4257" s="29">
        <f>IFERROR(E4257*C4257,0)</f>
      </c>
      <c r="M4257" s="29">
        <f>IFERROR((G4257*H4257*I4257/1000000)*D4257,0)</f>
      </c>
    </row>
    <row r="4258" spans="1:13" x14ac:dyDescent="0.25">
      <c r="A4258" s="16"/>
      <c r="E4258" s="27"/>
      <c r="F4258" t="s">
        <v>26</v>
      </c>
      <c r="G4258" s="28">
        <f>IFERROR(VLOOKUP(F4258,CARTON_LOOKUP!$A:$E,3,0),"")</f>
      </c>
      <c r="H4258" s="28">
        <f>IFERROR(VLOOKUP(F4258,CARTON_LOOKUP!$A:$E,4,0),"")</f>
      </c>
      <c r="I4258" s="28">
        <f>IFERROR(VLOOKUP(F4258,CARTON_LOOKUP!$A:$E,5,0),"")</f>
      </c>
      <c r="J4258" s="29">
        <f>IFERROR(VLOOKUP(F4258,CARTON_LOOKUP!$A:$E,2,0),"")</f>
      </c>
      <c r="K4258" s="29">
        <f>IFERROR(J4258*D4258,0)</f>
      </c>
      <c r="L4258" s="29">
        <f>IFERROR(E4258*C4258,0)</f>
      </c>
      <c r="M4258" s="29">
        <f>IFERROR((G4258*H4258*I4258/1000000)*D4258,0)</f>
      </c>
    </row>
    <row r="4259" spans="1:13" x14ac:dyDescent="0.25">
      <c r="A4259" s="16"/>
      <c r="E4259" s="27"/>
      <c r="F4259" t="s">
        <v>26</v>
      </c>
      <c r="G4259" s="28">
        <f>IFERROR(VLOOKUP(F4259,CARTON_LOOKUP!$A:$E,3,0),"")</f>
      </c>
      <c r="H4259" s="28">
        <f>IFERROR(VLOOKUP(F4259,CARTON_LOOKUP!$A:$E,4,0),"")</f>
      </c>
      <c r="I4259" s="28">
        <f>IFERROR(VLOOKUP(F4259,CARTON_LOOKUP!$A:$E,5,0),"")</f>
      </c>
      <c r="J4259" s="29">
        <f>IFERROR(VLOOKUP(F4259,CARTON_LOOKUP!$A:$E,2,0),"")</f>
      </c>
      <c r="K4259" s="29">
        <f>IFERROR(J4259*D4259,0)</f>
      </c>
      <c r="L4259" s="29">
        <f>IFERROR(E4259*C4259,0)</f>
      </c>
      <c r="M4259" s="29">
        <f>IFERROR((G4259*H4259*I4259/1000000)*D4259,0)</f>
      </c>
    </row>
    <row r="4260" spans="1:13" x14ac:dyDescent="0.25">
      <c r="A4260" s="16"/>
      <c r="E4260" s="27"/>
      <c r="F4260" t="s">
        <v>26</v>
      </c>
      <c r="G4260" s="28">
        <f>IFERROR(VLOOKUP(F4260,CARTON_LOOKUP!$A:$E,3,0),"")</f>
      </c>
      <c r="H4260" s="28">
        <f>IFERROR(VLOOKUP(F4260,CARTON_LOOKUP!$A:$E,4,0),"")</f>
      </c>
      <c r="I4260" s="28">
        <f>IFERROR(VLOOKUP(F4260,CARTON_LOOKUP!$A:$E,5,0),"")</f>
      </c>
      <c r="J4260" s="29">
        <f>IFERROR(VLOOKUP(F4260,CARTON_LOOKUP!$A:$E,2,0),"")</f>
      </c>
      <c r="K4260" s="29">
        <f>IFERROR(J4260*D4260,0)</f>
      </c>
      <c r="L4260" s="29">
        <f>IFERROR(E4260*C4260,0)</f>
      </c>
      <c r="M4260" s="29">
        <f>IFERROR((G4260*H4260*I4260/1000000)*D4260,0)</f>
      </c>
    </row>
    <row r="4261" spans="1:13" x14ac:dyDescent="0.25">
      <c r="A4261" s="16"/>
      <c r="E4261" s="27"/>
      <c r="F4261" t="s">
        <v>26</v>
      </c>
      <c r="G4261" s="28">
        <f>IFERROR(VLOOKUP(F4261,CARTON_LOOKUP!$A:$E,3,0),"")</f>
      </c>
      <c r="H4261" s="28">
        <f>IFERROR(VLOOKUP(F4261,CARTON_LOOKUP!$A:$E,4,0),"")</f>
      </c>
      <c r="I4261" s="28">
        <f>IFERROR(VLOOKUP(F4261,CARTON_LOOKUP!$A:$E,5,0),"")</f>
      </c>
      <c r="J4261" s="29">
        <f>IFERROR(VLOOKUP(F4261,CARTON_LOOKUP!$A:$E,2,0),"")</f>
      </c>
      <c r="K4261" s="29">
        <f>IFERROR(J4261*D4261,0)</f>
      </c>
      <c r="L4261" s="29">
        <f>IFERROR(E4261*C4261,0)</f>
      </c>
      <c r="M4261" s="29">
        <f>IFERROR((G4261*H4261*I4261/1000000)*D4261,0)</f>
      </c>
    </row>
    <row r="4262" spans="1:13" x14ac:dyDescent="0.25">
      <c r="A4262" s="16"/>
      <c r="E4262" s="27"/>
      <c r="F4262" t="s">
        <v>26</v>
      </c>
      <c r="G4262" s="28">
        <f>IFERROR(VLOOKUP(F4262,CARTON_LOOKUP!$A:$E,3,0),"")</f>
      </c>
      <c r="H4262" s="28">
        <f>IFERROR(VLOOKUP(F4262,CARTON_LOOKUP!$A:$E,4,0),"")</f>
      </c>
      <c r="I4262" s="28">
        <f>IFERROR(VLOOKUP(F4262,CARTON_LOOKUP!$A:$E,5,0),"")</f>
      </c>
      <c r="J4262" s="29">
        <f>IFERROR(VLOOKUP(F4262,CARTON_LOOKUP!$A:$E,2,0),"")</f>
      </c>
      <c r="K4262" s="29">
        <f>IFERROR(J4262*D4262,0)</f>
      </c>
      <c r="L4262" s="29">
        <f>IFERROR(E4262*C4262,0)</f>
      </c>
      <c r="M4262" s="29">
        <f>IFERROR((G4262*H4262*I4262/1000000)*D4262,0)</f>
      </c>
    </row>
    <row r="4263" spans="1:13" x14ac:dyDescent="0.25">
      <c r="A4263" s="16"/>
      <c r="E4263" s="27"/>
      <c r="F4263" t="s">
        <v>26</v>
      </c>
      <c r="G4263" s="28">
        <f>IFERROR(VLOOKUP(F4263,CARTON_LOOKUP!$A:$E,3,0),"")</f>
      </c>
      <c r="H4263" s="28">
        <f>IFERROR(VLOOKUP(F4263,CARTON_LOOKUP!$A:$E,4,0),"")</f>
      </c>
      <c r="I4263" s="28">
        <f>IFERROR(VLOOKUP(F4263,CARTON_LOOKUP!$A:$E,5,0),"")</f>
      </c>
      <c r="J4263" s="29">
        <f>IFERROR(VLOOKUP(F4263,CARTON_LOOKUP!$A:$E,2,0),"")</f>
      </c>
      <c r="K4263" s="29">
        <f>IFERROR(J4263*D4263,0)</f>
      </c>
      <c r="L4263" s="29">
        <f>IFERROR(E4263*C4263,0)</f>
      </c>
      <c r="M4263" s="29">
        <f>IFERROR((G4263*H4263*I4263/1000000)*D4263,0)</f>
      </c>
    </row>
    <row r="4264" spans="1:13" x14ac:dyDescent="0.25">
      <c r="A4264" s="16"/>
      <c r="E4264" s="27"/>
      <c r="F4264" t="s">
        <v>26</v>
      </c>
      <c r="G4264" s="28">
        <f>IFERROR(VLOOKUP(F4264,CARTON_LOOKUP!$A:$E,3,0),"")</f>
      </c>
      <c r="H4264" s="28">
        <f>IFERROR(VLOOKUP(F4264,CARTON_LOOKUP!$A:$E,4,0),"")</f>
      </c>
      <c r="I4264" s="28">
        <f>IFERROR(VLOOKUP(F4264,CARTON_LOOKUP!$A:$E,5,0),"")</f>
      </c>
      <c r="J4264" s="29">
        <f>IFERROR(VLOOKUP(F4264,CARTON_LOOKUP!$A:$E,2,0),"")</f>
      </c>
      <c r="K4264" s="29">
        <f>IFERROR(J4264*D4264,0)</f>
      </c>
      <c r="L4264" s="29">
        <f>IFERROR(E4264*C4264,0)</f>
      </c>
      <c r="M4264" s="29">
        <f>IFERROR((G4264*H4264*I4264/1000000)*D4264,0)</f>
      </c>
    </row>
    <row r="4265" spans="1:13" x14ac:dyDescent="0.25">
      <c r="A4265" s="16"/>
      <c r="E4265" s="27"/>
      <c r="F4265" t="s">
        <v>26</v>
      </c>
      <c r="G4265" s="28">
        <f>IFERROR(VLOOKUP(F4265,CARTON_LOOKUP!$A:$E,3,0),"")</f>
      </c>
      <c r="H4265" s="28">
        <f>IFERROR(VLOOKUP(F4265,CARTON_LOOKUP!$A:$E,4,0),"")</f>
      </c>
      <c r="I4265" s="28">
        <f>IFERROR(VLOOKUP(F4265,CARTON_LOOKUP!$A:$E,5,0),"")</f>
      </c>
      <c r="J4265" s="29">
        <f>IFERROR(VLOOKUP(F4265,CARTON_LOOKUP!$A:$E,2,0),"")</f>
      </c>
      <c r="K4265" s="29">
        <f>IFERROR(J4265*D4265,0)</f>
      </c>
      <c r="L4265" s="29">
        <f>IFERROR(E4265*C4265,0)</f>
      </c>
      <c r="M4265" s="29">
        <f>IFERROR((G4265*H4265*I4265/1000000)*D4265,0)</f>
      </c>
    </row>
    <row r="4266" spans="1:13" x14ac:dyDescent="0.25">
      <c r="A4266" s="16"/>
      <c r="E4266" s="27"/>
      <c r="F4266" t="s">
        <v>26</v>
      </c>
      <c r="G4266" s="28">
        <f>IFERROR(VLOOKUP(F4266,CARTON_LOOKUP!$A:$E,3,0),"")</f>
      </c>
      <c r="H4266" s="28">
        <f>IFERROR(VLOOKUP(F4266,CARTON_LOOKUP!$A:$E,4,0),"")</f>
      </c>
      <c r="I4266" s="28">
        <f>IFERROR(VLOOKUP(F4266,CARTON_LOOKUP!$A:$E,5,0),"")</f>
      </c>
      <c r="J4266" s="29">
        <f>IFERROR(VLOOKUP(F4266,CARTON_LOOKUP!$A:$E,2,0),"")</f>
      </c>
      <c r="K4266" s="29">
        <f>IFERROR(J4266*D4266,0)</f>
      </c>
      <c r="L4266" s="29">
        <f>IFERROR(E4266*C4266,0)</f>
      </c>
      <c r="M4266" s="29">
        <f>IFERROR((G4266*H4266*I4266/1000000)*D4266,0)</f>
      </c>
    </row>
    <row r="4267" spans="1:13" x14ac:dyDescent="0.25">
      <c r="A4267" s="16"/>
      <c r="E4267" s="27"/>
      <c r="F4267" t="s">
        <v>26</v>
      </c>
      <c r="G4267" s="28">
        <f>IFERROR(VLOOKUP(F4267,CARTON_LOOKUP!$A:$E,3,0),"")</f>
      </c>
      <c r="H4267" s="28">
        <f>IFERROR(VLOOKUP(F4267,CARTON_LOOKUP!$A:$E,4,0),"")</f>
      </c>
      <c r="I4267" s="28">
        <f>IFERROR(VLOOKUP(F4267,CARTON_LOOKUP!$A:$E,5,0),"")</f>
      </c>
      <c r="J4267" s="29">
        <f>IFERROR(VLOOKUP(F4267,CARTON_LOOKUP!$A:$E,2,0),"")</f>
      </c>
      <c r="K4267" s="29">
        <f>IFERROR(J4267*D4267,0)</f>
      </c>
      <c r="L4267" s="29">
        <f>IFERROR(E4267*C4267,0)</f>
      </c>
      <c r="M4267" s="29">
        <f>IFERROR((G4267*H4267*I4267/1000000)*D4267,0)</f>
      </c>
    </row>
    <row r="4268" spans="1:13" x14ac:dyDescent="0.25">
      <c r="A4268" s="16"/>
      <c r="E4268" s="27"/>
      <c r="F4268" t="s">
        <v>26</v>
      </c>
      <c r="G4268" s="28">
        <f>IFERROR(VLOOKUP(F4268,CARTON_LOOKUP!$A:$E,3,0),"")</f>
      </c>
      <c r="H4268" s="28">
        <f>IFERROR(VLOOKUP(F4268,CARTON_LOOKUP!$A:$E,4,0),"")</f>
      </c>
      <c r="I4268" s="28">
        <f>IFERROR(VLOOKUP(F4268,CARTON_LOOKUP!$A:$E,5,0),"")</f>
      </c>
      <c r="J4268" s="29">
        <f>IFERROR(VLOOKUP(F4268,CARTON_LOOKUP!$A:$E,2,0),"")</f>
      </c>
      <c r="K4268" s="29">
        <f>IFERROR(J4268*D4268,0)</f>
      </c>
      <c r="L4268" s="29">
        <f>IFERROR(E4268*C4268,0)</f>
      </c>
      <c r="M4268" s="29">
        <f>IFERROR((G4268*H4268*I4268/1000000)*D4268,0)</f>
      </c>
    </row>
    <row r="4269" spans="1:13" x14ac:dyDescent="0.25">
      <c r="A4269" s="16"/>
      <c r="E4269" s="27"/>
      <c r="F4269" t="s">
        <v>26</v>
      </c>
      <c r="G4269" s="28">
        <f>IFERROR(VLOOKUP(F4269,CARTON_LOOKUP!$A:$E,3,0),"")</f>
      </c>
      <c r="H4269" s="28">
        <f>IFERROR(VLOOKUP(F4269,CARTON_LOOKUP!$A:$E,4,0),"")</f>
      </c>
      <c r="I4269" s="28">
        <f>IFERROR(VLOOKUP(F4269,CARTON_LOOKUP!$A:$E,5,0),"")</f>
      </c>
      <c r="J4269" s="29">
        <f>IFERROR(VLOOKUP(F4269,CARTON_LOOKUP!$A:$E,2,0),"")</f>
      </c>
      <c r="K4269" s="29">
        <f>IFERROR(J4269*D4269,0)</f>
      </c>
      <c r="L4269" s="29">
        <f>IFERROR(E4269*C4269,0)</f>
      </c>
      <c r="M4269" s="29">
        <f>IFERROR((G4269*H4269*I4269/1000000)*D4269,0)</f>
      </c>
    </row>
    <row r="4270" spans="1:13" x14ac:dyDescent="0.25">
      <c r="A4270" s="16"/>
      <c r="E4270" s="27"/>
      <c r="F4270" t="s">
        <v>26</v>
      </c>
      <c r="G4270" s="28">
        <f>IFERROR(VLOOKUP(F4270,CARTON_LOOKUP!$A:$E,3,0),"")</f>
      </c>
      <c r="H4270" s="28">
        <f>IFERROR(VLOOKUP(F4270,CARTON_LOOKUP!$A:$E,4,0),"")</f>
      </c>
      <c r="I4270" s="28">
        <f>IFERROR(VLOOKUP(F4270,CARTON_LOOKUP!$A:$E,5,0),"")</f>
      </c>
      <c r="J4270" s="29">
        <f>IFERROR(VLOOKUP(F4270,CARTON_LOOKUP!$A:$E,2,0),"")</f>
      </c>
      <c r="K4270" s="29">
        <f>IFERROR(J4270*D4270,0)</f>
      </c>
      <c r="L4270" s="29">
        <f>IFERROR(E4270*C4270,0)</f>
      </c>
      <c r="M4270" s="29">
        <f>IFERROR((G4270*H4270*I4270/1000000)*D4270,0)</f>
      </c>
    </row>
    <row r="4271" spans="1:13" x14ac:dyDescent="0.25">
      <c r="A4271" s="16"/>
      <c r="E4271" s="27"/>
      <c r="F4271" t="s">
        <v>26</v>
      </c>
      <c r="G4271" s="28">
        <f>IFERROR(VLOOKUP(F4271,CARTON_LOOKUP!$A:$E,3,0),"")</f>
      </c>
      <c r="H4271" s="28">
        <f>IFERROR(VLOOKUP(F4271,CARTON_LOOKUP!$A:$E,4,0),"")</f>
      </c>
      <c r="I4271" s="28">
        <f>IFERROR(VLOOKUP(F4271,CARTON_LOOKUP!$A:$E,5,0),"")</f>
      </c>
      <c r="J4271" s="29">
        <f>IFERROR(VLOOKUP(F4271,CARTON_LOOKUP!$A:$E,2,0),"")</f>
      </c>
      <c r="K4271" s="29">
        <f>IFERROR(J4271*D4271,0)</f>
      </c>
      <c r="L4271" s="29">
        <f>IFERROR(E4271*C4271,0)</f>
      </c>
      <c r="M4271" s="29">
        <f>IFERROR((G4271*H4271*I4271/1000000)*D4271,0)</f>
      </c>
    </row>
    <row r="4272" spans="1:13" x14ac:dyDescent="0.25">
      <c r="A4272" s="16"/>
      <c r="E4272" s="27"/>
      <c r="F4272" t="s">
        <v>26</v>
      </c>
      <c r="G4272" s="28">
        <f>IFERROR(VLOOKUP(F4272,CARTON_LOOKUP!$A:$E,3,0),"")</f>
      </c>
      <c r="H4272" s="28">
        <f>IFERROR(VLOOKUP(F4272,CARTON_LOOKUP!$A:$E,4,0),"")</f>
      </c>
      <c r="I4272" s="28">
        <f>IFERROR(VLOOKUP(F4272,CARTON_LOOKUP!$A:$E,5,0),"")</f>
      </c>
      <c r="J4272" s="29">
        <f>IFERROR(VLOOKUP(F4272,CARTON_LOOKUP!$A:$E,2,0),"")</f>
      </c>
      <c r="K4272" s="29">
        <f>IFERROR(J4272*D4272,0)</f>
      </c>
      <c r="L4272" s="29">
        <f>IFERROR(E4272*C4272,0)</f>
      </c>
      <c r="M4272" s="29">
        <f>IFERROR((G4272*H4272*I4272/1000000)*D4272,0)</f>
      </c>
    </row>
    <row r="4273" spans="1:13" x14ac:dyDescent="0.25">
      <c r="A4273" s="16"/>
      <c r="E4273" s="27"/>
      <c r="F4273" t="s">
        <v>26</v>
      </c>
      <c r="G4273" s="28">
        <f>IFERROR(VLOOKUP(F4273,CARTON_LOOKUP!$A:$E,3,0),"")</f>
      </c>
      <c r="H4273" s="28">
        <f>IFERROR(VLOOKUP(F4273,CARTON_LOOKUP!$A:$E,4,0),"")</f>
      </c>
      <c r="I4273" s="28">
        <f>IFERROR(VLOOKUP(F4273,CARTON_LOOKUP!$A:$E,5,0),"")</f>
      </c>
      <c r="J4273" s="29">
        <f>IFERROR(VLOOKUP(F4273,CARTON_LOOKUP!$A:$E,2,0),"")</f>
      </c>
      <c r="K4273" s="29">
        <f>IFERROR(J4273*D4273,0)</f>
      </c>
      <c r="L4273" s="29">
        <f>IFERROR(E4273*C4273,0)</f>
      </c>
      <c r="M4273" s="29">
        <f>IFERROR((G4273*H4273*I4273/1000000)*D4273,0)</f>
      </c>
    </row>
    <row r="4274" spans="1:13" x14ac:dyDescent="0.25">
      <c r="A4274" s="16"/>
      <c r="E4274" s="27"/>
      <c r="F4274" t="s">
        <v>26</v>
      </c>
      <c r="G4274" s="28">
        <f>IFERROR(VLOOKUP(F4274,CARTON_LOOKUP!$A:$E,3,0),"")</f>
      </c>
      <c r="H4274" s="28">
        <f>IFERROR(VLOOKUP(F4274,CARTON_LOOKUP!$A:$E,4,0),"")</f>
      </c>
      <c r="I4274" s="28">
        <f>IFERROR(VLOOKUP(F4274,CARTON_LOOKUP!$A:$E,5,0),"")</f>
      </c>
      <c r="J4274" s="29">
        <f>IFERROR(VLOOKUP(F4274,CARTON_LOOKUP!$A:$E,2,0),"")</f>
      </c>
      <c r="K4274" s="29">
        <f>IFERROR(J4274*D4274,0)</f>
      </c>
      <c r="L4274" s="29">
        <f>IFERROR(E4274*C4274,0)</f>
      </c>
      <c r="M4274" s="29">
        <f>IFERROR((G4274*H4274*I4274/1000000)*D4274,0)</f>
      </c>
    </row>
    <row r="4275" spans="1:13" x14ac:dyDescent="0.25">
      <c r="A4275" s="16"/>
      <c r="E4275" s="27"/>
      <c r="F4275" t="s">
        <v>26</v>
      </c>
      <c r="G4275" s="28">
        <f>IFERROR(VLOOKUP(F4275,CARTON_LOOKUP!$A:$E,3,0),"")</f>
      </c>
      <c r="H4275" s="28">
        <f>IFERROR(VLOOKUP(F4275,CARTON_LOOKUP!$A:$E,4,0),"")</f>
      </c>
      <c r="I4275" s="28">
        <f>IFERROR(VLOOKUP(F4275,CARTON_LOOKUP!$A:$E,5,0),"")</f>
      </c>
      <c r="J4275" s="29">
        <f>IFERROR(VLOOKUP(F4275,CARTON_LOOKUP!$A:$E,2,0),"")</f>
      </c>
      <c r="K4275" s="29">
        <f>IFERROR(J4275*D4275,0)</f>
      </c>
      <c r="L4275" s="29">
        <f>IFERROR(E4275*C4275,0)</f>
      </c>
      <c r="M4275" s="29">
        <f>IFERROR((G4275*H4275*I4275/1000000)*D4275,0)</f>
      </c>
    </row>
    <row r="4276" spans="1:13" x14ac:dyDescent="0.25">
      <c r="A4276" s="16"/>
      <c r="E4276" s="27"/>
      <c r="F4276" t="s">
        <v>26</v>
      </c>
      <c r="G4276" s="28">
        <f>IFERROR(VLOOKUP(F4276,CARTON_LOOKUP!$A:$E,3,0),"")</f>
      </c>
      <c r="H4276" s="28">
        <f>IFERROR(VLOOKUP(F4276,CARTON_LOOKUP!$A:$E,4,0),"")</f>
      </c>
      <c r="I4276" s="28">
        <f>IFERROR(VLOOKUP(F4276,CARTON_LOOKUP!$A:$E,5,0),"")</f>
      </c>
      <c r="J4276" s="29">
        <f>IFERROR(VLOOKUP(F4276,CARTON_LOOKUP!$A:$E,2,0),"")</f>
      </c>
      <c r="K4276" s="29">
        <f>IFERROR(J4276*D4276,0)</f>
      </c>
      <c r="L4276" s="29">
        <f>IFERROR(E4276*C4276,0)</f>
      </c>
      <c r="M4276" s="29">
        <f>IFERROR((G4276*H4276*I4276/1000000)*D4276,0)</f>
      </c>
    </row>
    <row r="4277" spans="1:13" x14ac:dyDescent="0.25">
      <c r="A4277" s="16"/>
      <c r="E4277" s="27"/>
      <c r="F4277" t="s">
        <v>26</v>
      </c>
      <c r="G4277" s="28">
        <f>IFERROR(VLOOKUP(F4277,CARTON_LOOKUP!$A:$E,3,0),"")</f>
      </c>
      <c r="H4277" s="28">
        <f>IFERROR(VLOOKUP(F4277,CARTON_LOOKUP!$A:$E,4,0),"")</f>
      </c>
      <c r="I4277" s="28">
        <f>IFERROR(VLOOKUP(F4277,CARTON_LOOKUP!$A:$E,5,0),"")</f>
      </c>
      <c r="J4277" s="29">
        <f>IFERROR(VLOOKUP(F4277,CARTON_LOOKUP!$A:$E,2,0),"")</f>
      </c>
      <c r="K4277" s="29">
        <f>IFERROR(J4277*D4277,0)</f>
      </c>
      <c r="L4277" s="29">
        <f>IFERROR(E4277*C4277,0)</f>
      </c>
      <c r="M4277" s="29">
        <f>IFERROR((G4277*H4277*I4277/1000000)*D4277,0)</f>
      </c>
    </row>
    <row r="4278" spans="1:13" x14ac:dyDescent="0.25">
      <c r="A4278" s="16"/>
      <c r="E4278" s="27"/>
      <c r="F4278" t="s">
        <v>26</v>
      </c>
      <c r="G4278" s="28">
        <f>IFERROR(VLOOKUP(F4278,CARTON_LOOKUP!$A:$E,3,0),"")</f>
      </c>
      <c r="H4278" s="28">
        <f>IFERROR(VLOOKUP(F4278,CARTON_LOOKUP!$A:$E,4,0),"")</f>
      </c>
      <c r="I4278" s="28">
        <f>IFERROR(VLOOKUP(F4278,CARTON_LOOKUP!$A:$E,5,0),"")</f>
      </c>
      <c r="J4278" s="29">
        <f>IFERROR(VLOOKUP(F4278,CARTON_LOOKUP!$A:$E,2,0),"")</f>
      </c>
      <c r="K4278" s="29">
        <f>IFERROR(J4278*D4278,0)</f>
      </c>
      <c r="L4278" s="29">
        <f>IFERROR(E4278*C4278,0)</f>
      </c>
      <c r="M4278" s="29">
        <f>IFERROR((G4278*H4278*I4278/1000000)*D4278,0)</f>
      </c>
    </row>
    <row r="4279" spans="1:13" x14ac:dyDescent="0.25">
      <c r="A4279" s="16"/>
      <c r="E4279" s="27"/>
      <c r="F4279" t="s">
        <v>26</v>
      </c>
      <c r="G4279" s="28">
        <f>IFERROR(VLOOKUP(F4279,CARTON_LOOKUP!$A:$E,3,0),"")</f>
      </c>
      <c r="H4279" s="28">
        <f>IFERROR(VLOOKUP(F4279,CARTON_LOOKUP!$A:$E,4,0),"")</f>
      </c>
      <c r="I4279" s="28">
        <f>IFERROR(VLOOKUP(F4279,CARTON_LOOKUP!$A:$E,5,0),"")</f>
      </c>
      <c r="J4279" s="29">
        <f>IFERROR(VLOOKUP(F4279,CARTON_LOOKUP!$A:$E,2,0),"")</f>
      </c>
      <c r="K4279" s="29">
        <f>IFERROR(J4279*D4279,0)</f>
      </c>
      <c r="L4279" s="29">
        <f>IFERROR(E4279*C4279,0)</f>
      </c>
      <c r="M4279" s="29">
        <f>IFERROR((G4279*H4279*I4279/1000000)*D4279,0)</f>
      </c>
    </row>
    <row r="4280" spans="1:13" x14ac:dyDescent="0.25">
      <c r="A4280" s="16"/>
      <c r="E4280" s="27"/>
      <c r="F4280" t="s">
        <v>26</v>
      </c>
      <c r="G4280" s="28">
        <f>IFERROR(VLOOKUP(F4280,CARTON_LOOKUP!$A:$E,3,0),"")</f>
      </c>
      <c r="H4280" s="28">
        <f>IFERROR(VLOOKUP(F4280,CARTON_LOOKUP!$A:$E,4,0),"")</f>
      </c>
      <c r="I4280" s="28">
        <f>IFERROR(VLOOKUP(F4280,CARTON_LOOKUP!$A:$E,5,0),"")</f>
      </c>
      <c r="J4280" s="29">
        <f>IFERROR(VLOOKUP(F4280,CARTON_LOOKUP!$A:$E,2,0),"")</f>
      </c>
      <c r="K4280" s="29">
        <f>IFERROR(J4280*D4280,0)</f>
      </c>
      <c r="L4280" s="29">
        <f>IFERROR(E4280*C4280,0)</f>
      </c>
      <c r="M4280" s="29">
        <f>IFERROR((G4280*H4280*I4280/1000000)*D4280,0)</f>
      </c>
    </row>
    <row r="4281" spans="1:13" x14ac:dyDescent="0.25">
      <c r="A4281" s="16"/>
      <c r="E4281" s="27"/>
      <c r="F4281" t="s">
        <v>26</v>
      </c>
      <c r="G4281" s="28">
        <f>IFERROR(VLOOKUP(F4281,CARTON_LOOKUP!$A:$E,3,0),"")</f>
      </c>
      <c r="H4281" s="28">
        <f>IFERROR(VLOOKUP(F4281,CARTON_LOOKUP!$A:$E,4,0),"")</f>
      </c>
      <c r="I4281" s="28">
        <f>IFERROR(VLOOKUP(F4281,CARTON_LOOKUP!$A:$E,5,0),"")</f>
      </c>
      <c r="J4281" s="29">
        <f>IFERROR(VLOOKUP(F4281,CARTON_LOOKUP!$A:$E,2,0),"")</f>
      </c>
      <c r="K4281" s="29">
        <f>IFERROR(J4281*D4281,0)</f>
      </c>
      <c r="L4281" s="29">
        <f>IFERROR(E4281*C4281,0)</f>
      </c>
      <c r="M4281" s="29">
        <f>IFERROR((G4281*H4281*I4281/1000000)*D4281,0)</f>
      </c>
    </row>
    <row r="4282" spans="1:13" x14ac:dyDescent="0.25">
      <c r="A4282" s="16"/>
      <c r="E4282" s="27"/>
      <c r="F4282" t="s">
        <v>26</v>
      </c>
      <c r="G4282" s="28">
        <f>IFERROR(VLOOKUP(F4282,CARTON_LOOKUP!$A:$E,3,0),"")</f>
      </c>
      <c r="H4282" s="28">
        <f>IFERROR(VLOOKUP(F4282,CARTON_LOOKUP!$A:$E,4,0),"")</f>
      </c>
      <c r="I4282" s="28">
        <f>IFERROR(VLOOKUP(F4282,CARTON_LOOKUP!$A:$E,5,0),"")</f>
      </c>
      <c r="J4282" s="29">
        <f>IFERROR(VLOOKUP(F4282,CARTON_LOOKUP!$A:$E,2,0),"")</f>
      </c>
      <c r="K4282" s="29">
        <f>IFERROR(J4282*D4282,0)</f>
      </c>
      <c r="L4282" s="29">
        <f>IFERROR(E4282*C4282,0)</f>
      </c>
      <c r="M4282" s="29">
        <f>IFERROR((G4282*H4282*I4282/1000000)*D4282,0)</f>
      </c>
    </row>
    <row r="4283" spans="1:13" x14ac:dyDescent="0.25">
      <c r="A4283" s="16"/>
      <c r="E4283" s="27"/>
      <c r="F4283" t="s">
        <v>26</v>
      </c>
      <c r="G4283" s="28">
        <f>IFERROR(VLOOKUP(F4283,CARTON_LOOKUP!$A:$E,3,0),"")</f>
      </c>
      <c r="H4283" s="28">
        <f>IFERROR(VLOOKUP(F4283,CARTON_LOOKUP!$A:$E,4,0),"")</f>
      </c>
      <c r="I4283" s="28">
        <f>IFERROR(VLOOKUP(F4283,CARTON_LOOKUP!$A:$E,5,0),"")</f>
      </c>
      <c r="J4283" s="29">
        <f>IFERROR(VLOOKUP(F4283,CARTON_LOOKUP!$A:$E,2,0),"")</f>
      </c>
      <c r="K4283" s="29">
        <f>IFERROR(J4283*D4283,0)</f>
      </c>
      <c r="L4283" s="29">
        <f>IFERROR(E4283*C4283,0)</f>
      </c>
      <c r="M4283" s="29">
        <f>IFERROR((G4283*H4283*I4283/1000000)*D4283,0)</f>
      </c>
    </row>
    <row r="4284" spans="1:13" x14ac:dyDescent="0.25">
      <c r="A4284" s="16"/>
      <c r="E4284" s="27"/>
      <c r="F4284" t="s">
        <v>26</v>
      </c>
      <c r="G4284" s="28">
        <f>IFERROR(VLOOKUP(F4284,CARTON_LOOKUP!$A:$E,3,0),"")</f>
      </c>
      <c r="H4284" s="28">
        <f>IFERROR(VLOOKUP(F4284,CARTON_LOOKUP!$A:$E,4,0),"")</f>
      </c>
      <c r="I4284" s="28">
        <f>IFERROR(VLOOKUP(F4284,CARTON_LOOKUP!$A:$E,5,0),"")</f>
      </c>
      <c r="J4284" s="29">
        <f>IFERROR(VLOOKUP(F4284,CARTON_LOOKUP!$A:$E,2,0),"")</f>
      </c>
      <c r="K4284" s="29">
        <f>IFERROR(J4284*D4284,0)</f>
      </c>
      <c r="L4284" s="29">
        <f>IFERROR(E4284*C4284,0)</f>
      </c>
      <c r="M4284" s="29">
        <f>IFERROR((G4284*H4284*I4284/1000000)*D4284,0)</f>
      </c>
    </row>
    <row r="4285" spans="1:13" x14ac:dyDescent="0.25">
      <c r="A4285" s="16"/>
      <c r="E4285" s="27"/>
      <c r="F4285" t="s">
        <v>26</v>
      </c>
      <c r="G4285" s="28">
        <f>IFERROR(VLOOKUP(F4285,CARTON_LOOKUP!$A:$E,3,0),"")</f>
      </c>
      <c r="H4285" s="28">
        <f>IFERROR(VLOOKUP(F4285,CARTON_LOOKUP!$A:$E,4,0),"")</f>
      </c>
      <c r="I4285" s="28">
        <f>IFERROR(VLOOKUP(F4285,CARTON_LOOKUP!$A:$E,5,0),"")</f>
      </c>
      <c r="J4285" s="29">
        <f>IFERROR(VLOOKUP(F4285,CARTON_LOOKUP!$A:$E,2,0),"")</f>
      </c>
      <c r="K4285" s="29">
        <f>IFERROR(J4285*D4285,0)</f>
      </c>
      <c r="L4285" s="29">
        <f>IFERROR(E4285*C4285,0)</f>
      </c>
      <c r="M4285" s="29">
        <f>IFERROR((G4285*H4285*I4285/1000000)*D4285,0)</f>
      </c>
    </row>
    <row r="4286" spans="1:13" x14ac:dyDescent="0.25">
      <c r="A4286" s="16"/>
      <c r="E4286" s="27"/>
      <c r="F4286" t="s">
        <v>26</v>
      </c>
      <c r="G4286" s="28">
        <f>IFERROR(VLOOKUP(F4286,CARTON_LOOKUP!$A:$E,3,0),"")</f>
      </c>
      <c r="H4286" s="28">
        <f>IFERROR(VLOOKUP(F4286,CARTON_LOOKUP!$A:$E,4,0),"")</f>
      </c>
      <c r="I4286" s="28">
        <f>IFERROR(VLOOKUP(F4286,CARTON_LOOKUP!$A:$E,5,0),"")</f>
      </c>
      <c r="J4286" s="29">
        <f>IFERROR(VLOOKUP(F4286,CARTON_LOOKUP!$A:$E,2,0),"")</f>
      </c>
      <c r="K4286" s="29">
        <f>IFERROR(J4286*D4286,0)</f>
      </c>
      <c r="L4286" s="29">
        <f>IFERROR(E4286*C4286,0)</f>
      </c>
      <c r="M4286" s="29">
        <f>IFERROR((G4286*H4286*I4286/1000000)*D4286,0)</f>
      </c>
    </row>
    <row r="4287" spans="1:13" x14ac:dyDescent="0.25">
      <c r="A4287" s="16"/>
      <c r="E4287" s="27"/>
      <c r="F4287" t="s">
        <v>26</v>
      </c>
      <c r="G4287" s="28">
        <f>IFERROR(VLOOKUP(F4287,CARTON_LOOKUP!$A:$E,3,0),"")</f>
      </c>
      <c r="H4287" s="28">
        <f>IFERROR(VLOOKUP(F4287,CARTON_LOOKUP!$A:$E,4,0),"")</f>
      </c>
      <c r="I4287" s="28">
        <f>IFERROR(VLOOKUP(F4287,CARTON_LOOKUP!$A:$E,5,0),"")</f>
      </c>
      <c r="J4287" s="29">
        <f>IFERROR(VLOOKUP(F4287,CARTON_LOOKUP!$A:$E,2,0),"")</f>
      </c>
      <c r="K4287" s="29">
        <f>IFERROR(J4287*D4287,0)</f>
      </c>
      <c r="L4287" s="29">
        <f>IFERROR(E4287*C4287,0)</f>
      </c>
      <c r="M4287" s="29">
        <f>IFERROR((G4287*H4287*I4287/1000000)*D4287,0)</f>
      </c>
    </row>
    <row r="4288" spans="1:13" x14ac:dyDescent="0.25">
      <c r="A4288" s="16"/>
      <c r="E4288" s="27"/>
      <c r="F4288" t="s">
        <v>26</v>
      </c>
      <c r="G4288" s="28">
        <f>IFERROR(VLOOKUP(F4288,CARTON_LOOKUP!$A:$E,3,0),"")</f>
      </c>
      <c r="H4288" s="28">
        <f>IFERROR(VLOOKUP(F4288,CARTON_LOOKUP!$A:$E,4,0),"")</f>
      </c>
      <c r="I4288" s="28">
        <f>IFERROR(VLOOKUP(F4288,CARTON_LOOKUP!$A:$E,5,0),"")</f>
      </c>
      <c r="J4288" s="29">
        <f>IFERROR(VLOOKUP(F4288,CARTON_LOOKUP!$A:$E,2,0),"")</f>
      </c>
      <c r="K4288" s="29">
        <f>IFERROR(J4288*D4288,0)</f>
      </c>
      <c r="L4288" s="29">
        <f>IFERROR(E4288*C4288,0)</f>
      </c>
      <c r="M4288" s="29">
        <f>IFERROR((G4288*H4288*I4288/1000000)*D4288,0)</f>
      </c>
    </row>
    <row r="4289" spans="1:13" x14ac:dyDescent="0.25">
      <c r="A4289" s="16"/>
      <c r="E4289" s="27"/>
      <c r="F4289" t="s">
        <v>26</v>
      </c>
      <c r="G4289" s="28">
        <f>IFERROR(VLOOKUP(F4289,CARTON_LOOKUP!$A:$E,3,0),"")</f>
      </c>
      <c r="H4289" s="28">
        <f>IFERROR(VLOOKUP(F4289,CARTON_LOOKUP!$A:$E,4,0),"")</f>
      </c>
      <c r="I4289" s="28">
        <f>IFERROR(VLOOKUP(F4289,CARTON_LOOKUP!$A:$E,5,0),"")</f>
      </c>
      <c r="J4289" s="29">
        <f>IFERROR(VLOOKUP(F4289,CARTON_LOOKUP!$A:$E,2,0),"")</f>
      </c>
      <c r="K4289" s="29">
        <f>IFERROR(J4289*D4289,0)</f>
      </c>
      <c r="L4289" s="29">
        <f>IFERROR(E4289*C4289,0)</f>
      </c>
      <c r="M4289" s="29">
        <f>IFERROR((G4289*H4289*I4289/1000000)*D4289,0)</f>
      </c>
    </row>
    <row r="4290" spans="1:13" x14ac:dyDescent="0.25">
      <c r="A4290" s="16"/>
      <c r="E4290" s="27"/>
      <c r="F4290" t="s">
        <v>26</v>
      </c>
      <c r="G4290" s="28">
        <f>IFERROR(VLOOKUP(F4290,CARTON_LOOKUP!$A:$E,3,0),"")</f>
      </c>
      <c r="H4290" s="28">
        <f>IFERROR(VLOOKUP(F4290,CARTON_LOOKUP!$A:$E,4,0),"")</f>
      </c>
      <c r="I4290" s="28">
        <f>IFERROR(VLOOKUP(F4290,CARTON_LOOKUP!$A:$E,5,0),"")</f>
      </c>
      <c r="J4290" s="29">
        <f>IFERROR(VLOOKUP(F4290,CARTON_LOOKUP!$A:$E,2,0),"")</f>
      </c>
      <c r="K4290" s="29">
        <f>IFERROR(J4290*D4290,0)</f>
      </c>
      <c r="L4290" s="29">
        <f>IFERROR(E4290*C4290,0)</f>
      </c>
      <c r="M4290" s="29">
        <f>IFERROR((G4290*H4290*I4290/1000000)*D4290,0)</f>
      </c>
    </row>
    <row r="4291" spans="1:13" x14ac:dyDescent="0.25">
      <c r="A4291" s="16"/>
      <c r="E4291" s="27"/>
      <c r="F4291" t="s">
        <v>26</v>
      </c>
      <c r="G4291" s="28">
        <f>IFERROR(VLOOKUP(F4291,CARTON_LOOKUP!$A:$E,3,0),"")</f>
      </c>
      <c r="H4291" s="28">
        <f>IFERROR(VLOOKUP(F4291,CARTON_LOOKUP!$A:$E,4,0),"")</f>
      </c>
      <c r="I4291" s="28">
        <f>IFERROR(VLOOKUP(F4291,CARTON_LOOKUP!$A:$E,5,0),"")</f>
      </c>
      <c r="J4291" s="29">
        <f>IFERROR(VLOOKUP(F4291,CARTON_LOOKUP!$A:$E,2,0),"")</f>
      </c>
      <c r="K4291" s="29">
        <f>IFERROR(J4291*D4291,0)</f>
      </c>
      <c r="L4291" s="29">
        <f>IFERROR(E4291*C4291,0)</f>
      </c>
      <c r="M4291" s="29">
        <f>IFERROR((G4291*H4291*I4291/1000000)*D4291,0)</f>
      </c>
    </row>
    <row r="4292" spans="1:13" x14ac:dyDescent="0.25">
      <c r="A4292" s="16"/>
      <c r="E4292" s="27"/>
      <c r="F4292" t="s">
        <v>26</v>
      </c>
      <c r="G4292" s="28">
        <f>IFERROR(VLOOKUP(F4292,CARTON_LOOKUP!$A:$E,3,0),"")</f>
      </c>
      <c r="H4292" s="28">
        <f>IFERROR(VLOOKUP(F4292,CARTON_LOOKUP!$A:$E,4,0),"")</f>
      </c>
      <c r="I4292" s="28">
        <f>IFERROR(VLOOKUP(F4292,CARTON_LOOKUP!$A:$E,5,0),"")</f>
      </c>
      <c r="J4292" s="29">
        <f>IFERROR(VLOOKUP(F4292,CARTON_LOOKUP!$A:$E,2,0),"")</f>
      </c>
      <c r="K4292" s="29">
        <f>IFERROR(J4292*D4292,0)</f>
      </c>
      <c r="L4292" s="29">
        <f>IFERROR(E4292*C4292,0)</f>
      </c>
      <c r="M4292" s="29">
        <f>IFERROR((G4292*H4292*I4292/1000000)*D4292,0)</f>
      </c>
    </row>
    <row r="4293" spans="1:13" x14ac:dyDescent="0.25">
      <c r="A4293" s="16"/>
      <c r="E4293" s="27"/>
      <c r="F4293" t="s">
        <v>26</v>
      </c>
      <c r="G4293" s="28">
        <f>IFERROR(VLOOKUP(F4293,CARTON_LOOKUP!$A:$E,3,0),"")</f>
      </c>
      <c r="H4293" s="28">
        <f>IFERROR(VLOOKUP(F4293,CARTON_LOOKUP!$A:$E,4,0),"")</f>
      </c>
      <c r="I4293" s="28">
        <f>IFERROR(VLOOKUP(F4293,CARTON_LOOKUP!$A:$E,5,0),"")</f>
      </c>
      <c r="J4293" s="29">
        <f>IFERROR(VLOOKUP(F4293,CARTON_LOOKUP!$A:$E,2,0),"")</f>
      </c>
      <c r="K4293" s="29">
        <f>IFERROR(J4293*D4293,0)</f>
      </c>
      <c r="L4293" s="29">
        <f>IFERROR(E4293*C4293,0)</f>
      </c>
      <c r="M4293" s="29">
        <f>IFERROR((G4293*H4293*I4293/1000000)*D4293,0)</f>
      </c>
    </row>
    <row r="4294" spans="1:13" x14ac:dyDescent="0.25">
      <c r="A4294" s="16"/>
      <c r="E4294" s="27"/>
      <c r="F4294" t="s">
        <v>26</v>
      </c>
      <c r="G4294" s="28">
        <f>IFERROR(VLOOKUP(F4294,CARTON_LOOKUP!$A:$E,3,0),"")</f>
      </c>
      <c r="H4294" s="28">
        <f>IFERROR(VLOOKUP(F4294,CARTON_LOOKUP!$A:$E,4,0),"")</f>
      </c>
      <c r="I4294" s="28">
        <f>IFERROR(VLOOKUP(F4294,CARTON_LOOKUP!$A:$E,5,0),"")</f>
      </c>
      <c r="J4294" s="29">
        <f>IFERROR(VLOOKUP(F4294,CARTON_LOOKUP!$A:$E,2,0),"")</f>
      </c>
      <c r="K4294" s="29">
        <f>IFERROR(J4294*D4294,0)</f>
      </c>
      <c r="L4294" s="29">
        <f>IFERROR(E4294*C4294,0)</f>
      </c>
      <c r="M4294" s="29">
        <f>IFERROR((G4294*H4294*I4294/1000000)*D4294,0)</f>
      </c>
    </row>
    <row r="4295" spans="1:13" x14ac:dyDescent="0.25">
      <c r="A4295" s="16"/>
      <c r="E4295" s="27"/>
      <c r="F4295" t="s">
        <v>26</v>
      </c>
      <c r="G4295" s="28">
        <f>IFERROR(VLOOKUP(F4295,CARTON_LOOKUP!$A:$E,3,0),"")</f>
      </c>
      <c r="H4295" s="28">
        <f>IFERROR(VLOOKUP(F4295,CARTON_LOOKUP!$A:$E,4,0),"")</f>
      </c>
      <c r="I4295" s="28">
        <f>IFERROR(VLOOKUP(F4295,CARTON_LOOKUP!$A:$E,5,0),"")</f>
      </c>
      <c r="J4295" s="29">
        <f>IFERROR(VLOOKUP(F4295,CARTON_LOOKUP!$A:$E,2,0),"")</f>
      </c>
      <c r="K4295" s="29">
        <f>IFERROR(J4295*D4295,0)</f>
      </c>
      <c r="L4295" s="29">
        <f>IFERROR(E4295*C4295,0)</f>
      </c>
      <c r="M4295" s="29">
        <f>IFERROR((G4295*H4295*I4295/1000000)*D4295,0)</f>
      </c>
    </row>
    <row r="4296" spans="1:13" x14ac:dyDescent="0.25">
      <c r="A4296" s="16"/>
      <c r="E4296" s="27"/>
      <c r="F4296" t="s">
        <v>26</v>
      </c>
      <c r="G4296" s="28">
        <f>IFERROR(VLOOKUP(F4296,CARTON_LOOKUP!$A:$E,3,0),"")</f>
      </c>
      <c r="H4296" s="28">
        <f>IFERROR(VLOOKUP(F4296,CARTON_LOOKUP!$A:$E,4,0),"")</f>
      </c>
      <c r="I4296" s="28">
        <f>IFERROR(VLOOKUP(F4296,CARTON_LOOKUP!$A:$E,5,0),"")</f>
      </c>
      <c r="J4296" s="29">
        <f>IFERROR(VLOOKUP(F4296,CARTON_LOOKUP!$A:$E,2,0),"")</f>
      </c>
      <c r="K4296" s="29">
        <f>IFERROR(J4296*D4296,0)</f>
      </c>
      <c r="L4296" s="29">
        <f>IFERROR(E4296*C4296,0)</f>
      </c>
      <c r="M4296" s="29">
        <f>IFERROR((G4296*H4296*I4296/1000000)*D4296,0)</f>
      </c>
    </row>
    <row r="4297" spans="1:13" x14ac:dyDescent="0.25">
      <c r="A4297" s="16"/>
      <c r="E4297" s="27"/>
      <c r="F4297" t="s">
        <v>26</v>
      </c>
      <c r="G4297" s="28">
        <f>IFERROR(VLOOKUP(F4297,CARTON_LOOKUP!$A:$E,3,0),"")</f>
      </c>
      <c r="H4297" s="28">
        <f>IFERROR(VLOOKUP(F4297,CARTON_LOOKUP!$A:$E,4,0),"")</f>
      </c>
      <c r="I4297" s="28">
        <f>IFERROR(VLOOKUP(F4297,CARTON_LOOKUP!$A:$E,5,0),"")</f>
      </c>
      <c r="J4297" s="29">
        <f>IFERROR(VLOOKUP(F4297,CARTON_LOOKUP!$A:$E,2,0),"")</f>
      </c>
      <c r="K4297" s="29">
        <f>IFERROR(J4297*D4297,0)</f>
      </c>
      <c r="L4297" s="29">
        <f>IFERROR(E4297*C4297,0)</f>
      </c>
      <c r="M4297" s="29">
        <f>IFERROR((G4297*H4297*I4297/1000000)*D4297,0)</f>
      </c>
    </row>
    <row r="4298" spans="1:13" x14ac:dyDescent="0.25">
      <c r="A4298" s="16"/>
      <c r="E4298" s="27"/>
      <c r="F4298" t="s">
        <v>26</v>
      </c>
      <c r="G4298" s="28">
        <f>IFERROR(VLOOKUP(F4298,CARTON_LOOKUP!$A:$E,3,0),"")</f>
      </c>
      <c r="H4298" s="28">
        <f>IFERROR(VLOOKUP(F4298,CARTON_LOOKUP!$A:$E,4,0),"")</f>
      </c>
      <c r="I4298" s="28">
        <f>IFERROR(VLOOKUP(F4298,CARTON_LOOKUP!$A:$E,5,0),"")</f>
      </c>
      <c r="J4298" s="29">
        <f>IFERROR(VLOOKUP(F4298,CARTON_LOOKUP!$A:$E,2,0),"")</f>
      </c>
      <c r="K4298" s="29">
        <f>IFERROR(J4298*D4298,0)</f>
      </c>
      <c r="L4298" s="29">
        <f>IFERROR(E4298*C4298,0)</f>
      </c>
      <c r="M4298" s="29">
        <f>IFERROR((G4298*H4298*I4298/1000000)*D4298,0)</f>
      </c>
    </row>
    <row r="4299" spans="1:13" x14ac:dyDescent="0.25">
      <c r="A4299" s="16"/>
      <c r="E4299" s="27"/>
      <c r="F4299" t="s">
        <v>26</v>
      </c>
      <c r="G4299" s="28">
        <f>IFERROR(VLOOKUP(F4299,CARTON_LOOKUP!$A:$E,3,0),"")</f>
      </c>
      <c r="H4299" s="28">
        <f>IFERROR(VLOOKUP(F4299,CARTON_LOOKUP!$A:$E,4,0),"")</f>
      </c>
      <c r="I4299" s="28">
        <f>IFERROR(VLOOKUP(F4299,CARTON_LOOKUP!$A:$E,5,0),"")</f>
      </c>
      <c r="J4299" s="29">
        <f>IFERROR(VLOOKUP(F4299,CARTON_LOOKUP!$A:$E,2,0),"")</f>
      </c>
      <c r="K4299" s="29">
        <f>IFERROR(J4299*D4299,0)</f>
      </c>
      <c r="L4299" s="29">
        <f>IFERROR(E4299*C4299,0)</f>
      </c>
      <c r="M4299" s="29">
        <f>IFERROR((G4299*H4299*I4299/1000000)*D4299,0)</f>
      </c>
    </row>
    <row r="4300" spans="1:13" x14ac:dyDescent="0.25">
      <c r="A4300" s="16"/>
      <c r="E4300" s="27"/>
      <c r="F4300" t="s">
        <v>26</v>
      </c>
      <c r="G4300" s="28">
        <f>IFERROR(VLOOKUP(F4300,CARTON_LOOKUP!$A:$E,3,0),"")</f>
      </c>
      <c r="H4300" s="28">
        <f>IFERROR(VLOOKUP(F4300,CARTON_LOOKUP!$A:$E,4,0),"")</f>
      </c>
      <c r="I4300" s="28">
        <f>IFERROR(VLOOKUP(F4300,CARTON_LOOKUP!$A:$E,5,0),"")</f>
      </c>
      <c r="J4300" s="29">
        <f>IFERROR(VLOOKUP(F4300,CARTON_LOOKUP!$A:$E,2,0),"")</f>
      </c>
      <c r="K4300" s="29">
        <f>IFERROR(J4300*D4300,0)</f>
      </c>
      <c r="L4300" s="29">
        <f>IFERROR(E4300*C4300,0)</f>
      </c>
      <c r="M4300" s="29">
        <f>IFERROR((G4300*H4300*I4300/1000000)*D4300,0)</f>
      </c>
    </row>
    <row r="4301" spans="1:13" x14ac:dyDescent="0.25">
      <c r="A4301" s="16"/>
      <c r="E4301" s="27"/>
      <c r="F4301" t="s">
        <v>26</v>
      </c>
      <c r="G4301" s="28">
        <f>IFERROR(VLOOKUP(F4301,CARTON_LOOKUP!$A:$E,3,0),"")</f>
      </c>
      <c r="H4301" s="28">
        <f>IFERROR(VLOOKUP(F4301,CARTON_LOOKUP!$A:$E,4,0),"")</f>
      </c>
      <c r="I4301" s="28">
        <f>IFERROR(VLOOKUP(F4301,CARTON_LOOKUP!$A:$E,5,0),"")</f>
      </c>
      <c r="J4301" s="29">
        <f>IFERROR(VLOOKUP(F4301,CARTON_LOOKUP!$A:$E,2,0),"")</f>
      </c>
      <c r="K4301" s="29">
        <f>IFERROR(J4301*D4301,0)</f>
      </c>
      <c r="L4301" s="29">
        <f>IFERROR(E4301*C4301,0)</f>
      </c>
      <c r="M4301" s="29">
        <f>IFERROR((G4301*H4301*I4301/1000000)*D4301,0)</f>
      </c>
    </row>
    <row r="4302" spans="1:13" x14ac:dyDescent="0.25">
      <c r="A4302" s="16"/>
      <c r="E4302" s="27"/>
      <c r="F4302" t="s">
        <v>26</v>
      </c>
      <c r="G4302" s="28">
        <f>IFERROR(VLOOKUP(F4302,CARTON_LOOKUP!$A:$E,3,0),"")</f>
      </c>
      <c r="H4302" s="28">
        <f>IFERROR(VLOOKUP(F4302,CARTON_LOOKUP!$A:$E,4,0),"")</f>
      </c>
      <c r="I4302" s="28">
        <f>IFERROR(VLOOKUP(F4302,CARTON_LOOKUP!$A:$E,5,0),"")</f>
      </c>
      <c r="J4302" s="29">
        <f>IFERROR(VLOOKUP(F4302,CARTON_LOOKUP!$A:$E,2,0),"")</f>
      </c>
      <c r="K4302" s="29">
        <f>IFERROR(J4302*D4302,0)</f>
      </c>
      <c r="L4302" s="29">
        <f>IFERROR(E4302*C4302,0)</f>
      </c>
      <c r="M4302" s="29">
        <f>IFERROR((G4302*H4302*I4302/1000000)*D4302,0)</f>
      </c>
    </row>
    <row r="4303" spans="1:13" x14ac:dyDescent="0.25">
      <c r="A4303" s="16"/>
      <c r="E4303" s="27"/>
      <c r="F4303" t="s">
        <v>26</v>
      </c>
      <c r="G4303" s="28">
        <f>IFERROR(VLOOKUP(F4303,CARTON_LOOKUP!$A:$E,3,0),"")</f>
      </c>
      <c r="H4303" s="28">
        <f>IFERROR(VLOOKUP(F4303,CARTON_LOOKUP!$A:$E,4,0),"")</f>
      </c>
      <c r="I4303" s="28">
        <f>IFERROR(VLOOKUP(F4303,CARTON_LOOKUP!$A:$E,5,0),"")</f>
      </c>
      <c r="J4303" s="29">
        <f>IFERROR(VLOOKUP(F4303,CARTON_LOOKUP!$A:$E,2,0),"")</f>
      </c>
      <c r="K4303" s="29">
        <f>IFERROR(J4303*D4303,0)</f>
      </c>
      <c r="L4303" s="29">
        <f>IFERROR(E4303*C4303,0)</f>
      </c>
      <c r="M4303" s="29">
        <f>IFERROR((G4303*H4303*I4303/1000000)*D4303,0)</f>
      </c>
    </row>
    <row r="4304" spans="1:13" x14ac:dyDescent="0.25">
      <c r="A4304" s="16"/>
      <c r="E4304" s="27"/>
      <c r="F4304" t="s">
        <v>26</v>
      </c>
      <c r="G4304" s="28">
        <f>IFERROR(VLOOKUP(F4304,CARTON_LOOKUP!$A:$E,3,0),"")</f>
      </c>
      <c r="H4304" s="28">
        <f>IFERROR(VLOOKUP(F4304,CARTON_LOOKUP!$A:$E,4,0),"")</f>
      </c>
      <c r="I4304" s="28">
        <f>IFERROR(VLOOKUP(F4304,CARTON_LOOKUP!$A:$E,5,0),"")</f>
      </c>
      <c r="J4304" s="29">
        <f>IFERROR(VLOOKUP(F4304,CARTON_LOOKUP!$A:$E,2,0),"")</f>
      </c>
      <c r="K4304" s="29">
        <f>IFERROR(J4304*D4304,0)</f>
      </c>
      <c r="L4304" s="29">
        <f>IFERROR(E4304*C4304,0)</f>
      </c>
      <c r="M4304" s="29">
        <f>IFERROR((G4304*H4304*I4304/1000000)*D4304,0)</f>
      </c>
    </row>
    <row r="4305" spans="1:13" x14ac:dyDescent="0.25">
      <c r="A4305" s="16"/>
      <c r="E4305" s="27"/>
      <c r="F4305" t="s">
        <v>26</v>
      </c>
      <c r="G4305" s="28">
        <f>IFERROR(VLOOKUP(F4305,CARTON_LOOKUP!$A:$E,3,0),"")</f>
      </c>
      <c r="H4305" s="28">
        <f>IFERROR(VLOOKUP(F4305,CARTON_LOOKUP!$A:$E,4,0),"")</f>
      </c>
      <c r="I4305" s="28">
        <f>IFERROR(VLOOKUP(F4305,CARTON_LOOKUP!$A:$E,5,0),"")</f>
      </c>
      <c r="J4305" s="29">
        <f>IFERROR(VLOOKUP(F4305,CARTON_LOOKUP!$A:$E,2,0),"")</f>
      </c>
      <c r="K4305" s="29">
        <f>IFERROR(J4305*D4305,0)</f>
      </c>
      <c r="L4305" s="29">
        <f>IFERROR(E4305*C4305,0)</f>
      </c>
      <c r="M4305" s="29">
        <f>IFERROR((G4305*H4305*I4305/1000000)*D4305,0)</f>
      </c>
    </row>
    <row r="4306" spans="1:13" x14ac:dyDescent="0.25">
      <c r="A4306" s="16"/>
      <c r="E4306" s="27"/>
      <c r="F4306" t="s">
        <v>26</v>
      </c>
      <c r="G4306" s="28">
        <f>IFERROR(VLOOKUP(F4306,CARTON_LOOKUP!$A:$E,3,0),"")</f>
      </c>
      <c r="H4306" s="28">
        <f>IFERROR(VLOOKUP(F4306,CARTON_LOOKUP!$A:$E,4,0),"")</f>
      </c>
      <c r="I4306" s="28">
        <f>IFERROR(VLOOKUP(F4306,CARTON_LOOKUP!$A:$E,5,0),"")</f>
      </c>
      <c r="J4306" s="29">
        <f>IFERROR(VLOOKUP(F4306,CARTON_LOOKUP!$A:$E,2,0),"")</f>
      </c>
      <c r="K4306" s="29">
        <f>IFERROR(J4306*D4306,0)</f>
      </c>
      <c r="L4306" s="29">
        <f>IFERROR(E4306*C4306,0)</f>
      </c>
      <c r="M4306" s="29">
        <f>IFERROR((G4306*H4306*I4306/1000000)*D4306,0)</f>
      </c>
    </row>
    <row r="4307" spans="1:13" x14ac:dyDescent="0.25">
      <c r="A4307" s="16"/>
      <c r="E4307" s="27"/>
      <c r="F4307" t="s">
        <v>26</v>
      </c>
      <c r="G4307" s="28">
        <f>IFERROR(VLOOKUP(F4307,CARTON_LOOKUP!$A:$E,3,0),"")</f>
      </c>
      <c r="H4307" s="28">
        <f>IFERROR(VLOOKUP(F4307,CARTON_LOOKUP!$A:$E,4,0),"")</f>
      </c>
      <c r="I4307" s="28">
        <f>IFERROR(VLOOKUP(F4307,CARTON_LOOKUP!$A:$E,5,0),"")</f>
      </c>
      <c r="J4307" s="29">
        <f>IFERROR(VLOOKUP(F4307,CARTON_LOOKUP!$A:$E,2,0),"")</f>
      </c>
      <c r="K4307" s="29">
        <f>IFERROR(J4307*D4307,0)</f>
      </c>
      <c r="L4307" s="29">
        <f>IFERROR(E4307*C4307,0)</f>
      </c>
      <c r="M4307" s="29">
        <f>IFERROR((G4307*H4307*I4307/1000000)*D4307,0)</f>
      </c>
    </row>
    <row r="4308" spans="1:13" x14ac:dyDescent="0.25">
      <c r="A4308" s="16"/>
      <c r="E4308" s="27"/>
      <c r="F4308" t="s">
        <v>26</v>
      </c>
      <c r="G4308" s="28">
        <f>IFERROR(VLOOKUP(F4308,CARTON_LOOKUP!$A:$E,3,0),"")</f>
      </c>
      <c r="H4308" s="28">
        <f>IFERROR(VLOOKUP(F4308,CARTON_LOOKUP!$A:$E,4,0),"")</f>
      </c>
      <c r="I4308" s="28">
        <f>IFERROR(VLOOKUP(F4308,CARTON_LOOKUP!$A:$E,5,0),"")</f>
      </c>
      <c r="J4308" s="29">
        <f>IFERROR(VLOOKUP(F4308,CARTON_LOOKUP!$A:$E,2,0),"")</f>
      </c>
      <c r="K4308" s="29">
        <f>IFERROR(J4308*D4308,0)</f>
      </c>
      <c r="L4308" s="29">
        <f>IFERROR(E4308*C4308,0)</f>
      </c>
      <c r="M4308" s="29">
        <f>IFERROR((G4308*H4308*I4308/1000000)*D4308,0)</f>
      </c>
    </row>
    <row r="4309" spans="1:13" x14ac:dyDescent="0.25">
      <c r="A4309" s="16"/>
      <c r="E4309" s="27"/>
      <c r="F4309" t="s">
        <v>26</v>
      </c>
      <c r="G4309" s="28">
        <f>IFERROR(VLOOKUP(F4309,CARTON_LOOKUP!$A:$E,3,0),"")</f>
      </c>
      <c r="H4309" s="28">
        <f>IFERROR(VLOOKUP(F4309,CARTON_LOOKUP!$A:$E,4,0),"")</f>
      </c>
      <c r="I4309" s="28">
        <f>IFERROR(VLOOKUP(F4309,CARTON_LOOKUP!$A:$E,5,0),"")</f>
      </c>
      <c r="J4309" s="29">
        <f>IFERROR(VLOOKUP(F4309,CARTON_LOOKUP!$A:$E,2,0),"")</f>
      </c>
      <c r="K4309" s="29">
        <f>IFERROR(J4309*D4309,0)</f>
      </c>
      <c r="L4309" s="29">
        <f>IFERROR(E4309*C4309,0)</f>
      </c>
      <c r="M4309" s="29">
        <f>IFERROR((G4309*H4309*I4309/1000000)*D4309,0)</f>
      </c>
    </row>
    <row r="4310" spans="1:13" x14ac:dyDescent="0.25">
      <c r="A4310" s="16"/>
      <c r="E4310" s="27"/>
      <c r="F4310" t="s">
        <v>26</v>
      </c>
      <c r="G4310" s="28">
        <f>IFERROR(VLOOKUP(F4310,CARTON_LOOKUP!$A:$E,3,0),"")</f>
      </c>
      <c r="H4310" s="28">
        <f>IFERROR(VLOOKUP(F4310,CARTON_LOOKUP!$A:$E,4,0),"")</f>
      </c>
      <c r="I4310" s="28">
        <f>IFERROR(VLOOKUP(F4310,CARTON_LOOKUP!$A:$E,5,0),"")</f>
      </c>
      <c r="J4310" s="29">
        <f>IFERROR(VLOOKUP(F4310,CARTON_LOOKUP!$A:$E,2,0),"")</f>
      </c>
      <c r="K4310" s="29">
        <f>IFERROR(J4310*D4310,0)</f>
      </c>
      <c r="L4310" s="29">
        <f>IFERROR(E4310*C4310,0)</f>
      </c>
      <c r="M4310" s="29">
        <f>IFERROR((G4310*H4310*I4310/1000000)*D4310,0)</f>
      </c>
    </row>
    <row r="4311" spans="1:13" x14ac:dyDescent="0.25">
      <c r="A4311" s="16"/>
      <c r="E4311" s="27"/>
      <c r="F4311" t="s">
        <v>26</v>
      </c>
      <c r="G4311" s="28">
        <f>IFERROR(VLOOKUP(F4311,CARTON_LOOKUP!$A:$E,3,0),"")</f>
      </c>
      <c r="H4311" s="28">
        <f>IFERROR(VLOOKUP(F4311,CARTON_LOOKUP!$A:$E,4,0),"")</f>
      </c>
      <c r="I4311" s="28">
        <f>IFERROR(VLOOKUP(F4311,CARTON_LOOKUP!$A:$E,5,0),"")</f>
      </c>
      <c r="J4311" s="29">
        <f>IFERROR(VLOOKUP(F4311,CARTON_LOOKUP!$A:$E,2,0),"")</f>
      </c>
      <c r="K4311" s="29">
        <f>IFERROR(J4311*D4311,0)</f>
      </c>
      <c r="L4311" s="29">
        <f>IFERROR(E4311*C4311,0)</f>
      </c>
      <c r="M4311" s="29">
        <f>IFERROR((G4311*H4311*I4311/1000000)*D4311,0)</f>
      </c>
    </row>
    <row r="4312" spans="1:13" x14ac:dyDescent="0.25">
      <c r="A4312" s="16"/>
      <c r="E4312" s="27"/>
      <c r="F4312" t="s">
        <v>26</v>
      </c>
      <c r="G4312" s="28">
        <f>IFERROR(VLOOKUP(F4312,CARTON_LOOKUP!$A:$E,3,0),"")</f>
      </c>
      <c r="H4312" s="28">
        <f>IFERROR(VLOOKUP(F4312,CARTON_LOOKUP!$A:$E,4,0),"")</f>
      </c>
      <c r="I4312" s="28">
        <f>IFERROR(VLOOKUP(F4312,CARTON_LOOKUP!$A:$E,5,0),"")</f>
      </c>
      <c r="J4312" s="29">
        <f>IFERROR(VLOOKUP(F4312,CARTON_LOOKUP!$A:$E,2,0),"")</f>
      </c>
      <c r="K4312" s="29">
        <f>IFERROR(J4312*D4312,0)</f>
      </c>
      <c r="L4312" s="29">
        <f>IFERROR(E4312*C4312,0)</f>
      </c>
      <c r="M4312" s="29">
        <f>IFERROR((G4312*H4312*I4312/1000000)*D4312,0)</f>
      </c>
    </row>
    <row r="4313" spans="1:13" x14ac:dyDescent="0.25">
      <c r="A4313" s="16"/>
      <c r="E4313" s="27"/>
      <c r="F4313" t="s">
        <v>26</v>
      </c>
      <c r="G4313" s="28">
        <f>IFERROR(VLOOKUP(F4313,CARTON_LOOKUP!$A:$E,3,0),"")</f>
      </c>
      <c r="H4313" s="28">
        <f>IFERROR(VLOOKUP(F4313,CARTON_LOOKUP!$A:$E,4,0),"")</f>
      </c>
      <c r="I4313" s="28">
        <f>IFERROR(VLOOKUP(F4313,CARTON_LOOKUP!$A:$E,5,0),"")</f>
      </c>
      <c r="J4313" s="29">
        <f>IFERROR(VLOOKUP(F4313,CARTON_LOOKUP!$A:$E,2,0),"")</f>
      </c>
      <c r="K4313" s="29">
        <f>IFERROR(J4313*D4313,0)</f>
      </c>
      <c r="L4313" s="29">
        <f>IFERROR(E4313*C4313,0)</f>
      </c>
      <c r="M4313" s="29">
        <f>IFERROR((G4313*H4313*I4313/1000000)*D4313,0)</f>
      </c>
    </row>
    <row r="4314" spans="1:13" x14ac:dyDescent="0.25">
      <c r="A4314" s="16"/>
      <c r="E4314" s="27"/>
      <c r="F4314" t="s">
        <v>26</v>
      </c>
      <c r="G4314" s="28">
        <f>IFERROR(VLOOKUP(F4314,CARTON_LOOKUP!$A:$E,3,0),"")</f>
      </c>
      <c r="H4314" s="28">
        <f>IFERROR(VLOOKUP(F4314,CARTON_LOOKUP!$A:$E,4,0),"")</f>
      </c>
      <c r="I4314" s="28">
        <f>IFERROR(VLOOKUP(F4314,CARTON_LOOKUP!$A:$E,5,0),"")</f>
      </c>
      <c r="J4314" s="29">
        <f>IFERROR(VLOOKUP(F4314,CARTON_LOOKUP!$A:$E,2,0),"")</f>
      </c>
      <c r="K4314" s="29">
        <f>IFERROR(J4314*D4314,0)</f>
      </c>
      <c r="L4314" s="29">
        <f>IFERROR(E4314*C4314,0)</f>
      </c>
      <c r="M4314" s="29">
        <f>IFERROR((G4314*H4314*I4314/1000000)*D4314,0)</f>
      </c>
    </row>
    <row r="4315" spans="1:13" x14ac:dyDescent="0.25">
      <c r="A4315" s="16"/>
      <c r="E4315" s="27"/>
      <c r="F4315" t="s">
        <v>26</v>
      </c>
      <c r="G4315" s="28">
        <f>IFERROR(VLOOKUP(F4315,CARTON_LOOKUP!$A:$E,3,0),"")</f>
      </c>
      <c r="H4315" s="28">
        <f>IFERROR(VLOOKUP(F4315,CARTON_LOOKUP!$A:$E,4,0),"")</f>
      </c>
      <c r="I4315" s="28">
        <f>IFERROR(VLOOKUP(F4315,CARTON_LOOKUP!$A:$E,5,0),"")</f>
      </c>
      <c r="J4315" s="29">
        <f>IFERROR(VLOOKUP(F4315,CARTON_LOOKUP!$A:$E,2,0),"")</f>
      </c>
      <c r="K4315" s="29">
        <f>IFERROR(J4315*D4315,0)</f>
      </c>
      <c r="L4315" s="29">
        <f>IFERROR(E4315*C4315,0)</f>
      </c>
      <c r="M4315" s="29">
        <f>IFERROR((G4315*H4315*I4315/1000000)*D4315,0)</f>
      </c>
    </row>
    <row r="4316" spans="1:13" x14ac:dyDescent="0.25">
      <c r="A4316" s="16"/>
      <c r="E4316" s="27"/>
      <c r="F4316" t="s">
        <v>26</v>
      </c>
      <c r="G4316" s="28">
        <f>IFERROR(VLOOKUP(F4316,CARTON_LOOKUP!$A:$E,3,0),"")</f>
      </c>
      <c r="H4316" s="28">
        <f>IFERROR(VLOOKUP(F4316,CARTON_LOOKUP!$A:$E,4,0),"")</f>
      </c>
      <c r="I4316" s="28">
        <f>IFERROR(VLOOKUP(F4316,CARTON_LOOKUP!$A:$E,5,0),"")</f>
      </c>
      <c r="J4316" s="29">
        <f>IFERROR(VLOOKUP(F4316,CARTON_LOOKUP!$A:$E,2,0),"")</f>
      </c>
      <c r="K4316" s="29">
        <f>IFERROR(J4316*D4316,0)</f>
      </c>
      <c r="L4316" s="29">
        <f>IFERROR(E4316*C4316,0)</f>
      </c>
      <c r="M4316" s="29">
        <f>IFERROR((G4316*H4316*I4316/1000000)*D4316,0)</f>
      </c>
    </row>
    <row r="4317" spans="1:13" x14ac:dyDescent="0.25">
      <c r="A4317" s="16"/>
      <c r="E4317" s="27"/>
      <c r="F4317" t="s">
        <v>26</v>
      </c>
      <c r="G4317" s="28">
        <f>IFERROR(VLOOKUP(F4317,CARTON_LOOKUP!$A:$E,3,0),"")</f>
      </c>
      <c r="H4317" s="28">
        <f>IFERROR(VLOOKUP(F4317,CARTON_LOOKUP!$A:$E,4,0),"")</f>
      </c>
      <c r="I4317" s="28">
        <f>IFERROR(VLOOKUP(F4317,CARTON_LOOKUP!$A:$E,5,0),"")</f>
      </c>
      <c r="J4317" s="29">
        <f>IFERROR(VLOOKUP(F4317,CARTON_LOOKUP!$A:$E,2,0),"")</f>
      </c>
      <c r="K4317" s="29">
        <f>IFERROR(J4317*D4317,0)</f>
      </c>
      <c r="L4317" s="29">
        <f>IFERROR(E4317*C4317,0)</f>
      </c>
      <c r="M4317" s="29">
        <f>IFERROR((G4317*H4317*I4317/1000000)*D4317,0)</f>
      </c>
    </row>
    <row r="4318" spans="1:13" x14ac:dyDescent="0.25">
      <c r="A4318" s="16"/>
      <c r="E4318" s="27"/>
      <c r="F4318" t="s">
        <v>26</v>
      </c>
      <c r="G4318" s="28">
        <f>IFERROR(VLOOKUP(F4318,CARTON_LOOKUP!$A:$E,3,0),"")</f>
      </c>
      <c r="H4318" s="28">
        <f>IFERROR(VLOOKUP(F4318,CARTON_LOOKUP!$A:$E,4,0),"")</f>
      </c>
      <c r="I4318" s="28">
        <f>IFERROR(VLOOKUP(F4318,CARTON_LOOKUP!$A:$E,5,0),"")</f>
      </c>
      <c r="J4318" s="29">
        <f>IFERROR(VLOOKUP(F4318,CARTON_LOOKUP!$A:$E,2,0),"")</f>
      </c>
      <c r="K4318" s="29">
        <f>IFERROR(J4318*D4318,0)</f>
      </c>
      <c r="L4318" s="29">
        <f>IFERROR(E4318*C4318,0)</f>
      </c>
      <c r="M4318" s="29">
        <f>IFERROR((G4318*H4318*I4318/1000000)*D4318,0)</f>
      </c>
    </row>
    <row r="4319" spans="1:13" x14ac:dyDescent="0.25">
      <c r="A4319" s="16"/>
      <c r="E4319" s="27"/>
      <c r="F4319" t="s">
        <v>26</v>
      </c>
      <c r="G4319" s="28">
        <f>IFERROR(VLOOKUP(F4319,CARTON_LOOKUP!$A:$E,3,0),"")</f>
      </c>
      <c r="H4319" s="28">
        <f>IFERROR(VLOOKUP(F4319,CARTON_LOOKUP!$A:$E,4,0),"")</f>
      </c>
      <c r="I4319" s="28">
        <f>IFERROR(VLOOKUP(F4319,CARTON_LOOKUP!$A:$E,5,0),"")</f>
      </c>
      <c r="J4319" s="29">
        <f>IFERROR(VLOOKUP(F4319,CARTON_LOOKUP!$A:$E,2,0),"")</f>
      </c>
      <c r="K4319" s="29">
        <f>IFERROR(J4319*D4319,0)</f>
      </c>
      <c r="L4319" s="29">
        <f>IFERROR(E4319*C4319,0)</f>
      </c>
      <c r="M4319" s="29">
        <f>IFERROR((G4319*H4319*I4319/1000000)*D4319,0)</f>
      </c>
    </row>
    <row r="4320" spans="1:13" x14ac:dyDescent="0.25">
      <c r="A4320" s="16"/>
      <c r="E4320" s="27"/>
      <c r="F4320" t="s">
        <v>26</v>
      </c>
      <c r="G4320" s="28">
        <f>IFERROR(VLOOKUP(F4320,CARTON_LOOKUP!$A:$E,3,0),"")</f>
      </c>
      <c r="H4320" s="28">
        <f>IFERROR(VLOOKUP(F4320,CARTON_LOOKUP!$A:$E,4,0),"")</f>
      </c>
      <c r="I4320" s="28">
        <f>IFERROR(VLOOKUP(F4320,CARTON_LOOKUP!$A:$E,5,0),"")</f>
      </c>
      <c r="J4320" s="29">
        <f>IFERROR(VLOOKUP(F4320,CARTON_LOOKUP!$A:$E,2,0),"")</f>
      </c>
      <c r="K4320" s="29">
        <f>IFERROR(J4320*D4320,0)</f>
      </c>
      <c r="L4320" s="29">
        <f>IFERROR(E4320*C4320,0)</f>
      </c>
      <c r="M4320" s="29">
        <f>IFERROR((G4320*H4320*I4320/1000000)*D4320,0)</f>
      </c>
    </row>
    <row r="4321" spans="1:13" x14ac:dyDescent="0.25">
      <c r="A4321" s="16"/>
      <c r="E4321" s="27"/>
      <c r="F4321" t="s">
        <v>26</v>
      </c>
      <c r="G4321" s="28">
        <f>IFERROR(VLOOKUP(F4321,CARTON_LOOKUP!$A:$E,3,0),"")</f>
      </c>
      <c r="H4321" s="28">
        <f>IFERROR(VLOOKUP(F4321,CARTON_LOOKUP!$A:$E,4,0),"")</f>
      </c>
      <c r="I4321" s="28">
        <f>IFERROR(VLOOKUP(F4321,CARTON_LOOKUP!$A:$E,5,0),"")</f>
      </c>
      <c r="J4321" s="29">
        <f>IFERROR(VLOOKUP(F4321,CARTON_LOOKUP!$A:$E,2,0),"")</f>
      </c>
      <c r="K4321" s="29">
        <f>IFERROR(J4321*D4321,0)</f>
      </c>
      <c r="L4321" s="29">
        <f>IFERROR(E4321*C4321,0)</f>
      </c>
      <c r="M4321" s="29">
        <f>IFERROR((G4321*H4321*I4321/1000000)*D4321,0)</f>
      </c>
    </row>
    <row r="4322" spans="1:13" x14ac:dyDescent="0.25">
      <c r="A4322" s="16"/>
      <c r="E4322" s="27"/>
      <c r="F4322" t="s">
        <v>26</v>
      </c>
      <c r="G4322" s="28">
        <f>IFERROR(VLOOKUP(F4322,CARTON_LOOKUP!$A:$E,3,0),"")</f>
      </c>
      <c r="H4322" s="28">
        <f>IFERROR(VLOOKUP(F4322,CARTON_LOOKUP!$A:$E,4,0),"")</f>
      </c>
      <c r="I4322" s="28">
        <f>IFERROR(VLOOKUP(F4322,CARTON_LOOKUP!$A:$E,5,0),"")</f>
      </c>
      <c r="J4322" s="29">
        <f>IFERROR(VLOOKUP(F4322,CARTON_LOOKUP!$A:$E,2,0),"")</f>
      </c>
      <c r="K4322" s="29">
        <f>IFERROR(J4322*D4322,0)</f>
      </c>
      <c r="L4322" s="29">
        <f>IFERROR(E4322*C4322,0)</f>
      </c>
      <c r="M4322" s="29">
        <f>IFERROR((G4322*H4322*I4322/1000000)*D4322,0)</f>
      </c>
    </row>
    <row r="4323" spans="1:13" x14ac:dyDescent="0.25">
      <c r="A4323" s="16"/>
      <c r="E4323" s="27"/>
      <c r="F4323" t="s">
        <v>26</v>
      </c>
      <c r="G4323" s="28">
        <f>IFERROR(VLOOKUP(F4323,CARTON_LOOKUP!$A:$E,3,0),"")</f>
      </c>
      <c r="H4323" s="28">
        <f>IFERROR(VLOOKUP(F4323,CARTON_LOOKUP!$A:$E,4,0),"")</f>
      </c>
      <c r="I4323" s="28">
        <f>IFERROR(VLOOKUP(F4323,CARTON_LOOKUP!$A:$E,5,0),"")</f>
      </c>
      <c r="J4323" s="29">
        <f>IFERROR(VLOOKUP(F4323,CARTON_LOOKUP!$A:$E,2,0),"")</f>
      </c>
      <c r="K4323" s="29">
        <f>IFERROR(J4323*D4323,0)</f>
      </c>
      <c r="L4323" s="29">
        <f>IFERROR(E4323*C4323,0)</f>
      </c>
      <c r="M4323" s="29">
        <f>IFERROR((G4323*H4323*I4323/1000000)*D4323,0)</f>
      </c>
    </row>
    <row r="4324" spans="1:13" x14ac:dyDescent="0.25">
      <c r="A4324" s="16"/>
      <c r="E4324" s="27"/>
      <c r="F4324" t="s">
        <v>26</v>
      </c>
      <c r="G4324" s="28">
        <f>IFERROR(VLOOKUP(F4324,CARTON_LOOKUP!$A:$E,3,0),"")</f>
      </c>
      <c r="H4324" s="28">
        <f>IFERROR(VLOOKUP(F4324,CARTON_LOOKUP!$A:$E,4,0),"")</f>
      </c>
      <c r="I4324" s="28">
        <f>IFERROR(VLOOKUP(F4324,CARTON_LOOKUP!$A:$E,5,0),"")</f>
      </c>
      <c r="J4324" s="29">
        <f>IFERROR(VLOOKUP(F4324,CARTON_LOOKUP!$A:$E,2,0),"")</f>
      </c>
      <c r="K4324" s="29">
        <f>IFERROR(J4324*D4324,0)</f>
      </c>
      <c r="L4324" s="29">
        <f>IFERROR(E4324*C4324,0)</f>
      </c>
      <c r="M4324" s="29">
        <f>IFERROR((G4324*H4324*I4324/1000000)*D4324,0)</f>
      </c>
    </row>
    <row r="4325" spans="1:13" x14ac:dyDescent="0.25">
      <c r="A4325" s="16"/>
      <c r="E4325" s="27"/>
      <c r="F4325" t="s">
        <v>26</v>
      </c>
      <c r="G4325" s="28">
        <f>IFERROR(VLOOKUP(F4325,CARTON_LOOKUP!$A:$E,3,0),"")</f>
      </c>
      <c r="H4325" s="28">
        <f>IFERROR(VLOOKUP(F4325,CARTON_LOOKUP!$A:$E,4,0),"")</f>
      </c>
      <c r="I4325" s="28">
        <f>IFERROR(VLOOKUP(F4325,CARTON_LOOKUP!$A:$E,5,0),"")</f>
      </c>
      <c r="J4325" s="29">
        <f>IFERROR(VLOOKUP(F4325,CARTON_LOOKUP!$A:$E,2,0),"")</f>
      </c>
      <c r="K4325" s="29">
        <f>IFERROR(J4325*D4325,0)</f>
      </c>
      <c r="L4325" s="29">
        <f>IFERROR(E4325*C4325,0)</f>
      </c>
      <c r="M4325" s="29">
        <f>IFERROR((G4325*H4325*I4325/1000000)*D4325,0)</f>
      </c>
    </row>
    <row r="4326" spans="1:13" x14ac:dyDescent="0.25">
      <c r="A4326" s="16"/>
      <c r="E4326" s="27"/>
      <c r="F4326" t="s">
        <v>26</v>
      </c>
      <c r="G4326" s="28">
        <f>IFERROR(VLOOKUP(F4326,CARTON_LOOKUP!$A:$E,3,0),"")</f>
      </c>
      <c r="H4326" s="28">
        <f>IFERROR(VLOOKUP(F4326,CARTON_LOOKUP!$A:$E,4,0),"")</f>
      </c>
      <c r="I4326" s="28">
        <f>IFERROR(VLOOKUP(F4326,CARTON_LOOKUP!$A:$E,5,0),"")</f>
      </c>
      <c r="J4326" s="29">
        <f>IFERROR(VLOOKUP(F4326,CARTON_LOOKUP!$A:$E,2,0),"")</f>
      </c>
      <c r="K4326" s="29">
        <f>IFERROR(J4326*D4326,0)</f>
      </c>
      <c r="L4326" s="29">
        <f>IFERROR(E4326*C4326,0)</f>
      </c>
      <c r="M4326" s="29">
        <f>IFERROR((G4326*H4326*I4326/1000000)*D4326,0)</f>
      </c>
    </row>
    <row r="4327" spans="1:13" x14ac:dyDescent="0.25">
      <c r="A4327" s="16"/>
      <c r="E4327" s="27"/>
      <c r="F4327" t="s">
        <v>26</v>
      </c>
      <c r="G4327" s="28">
        <f>IFERROR(VLOOKUP(F4327,CARTON_LOOKUP!$A:$E,3,0),"")</f>
      </c>
      <c r="H4327" s="28">
        <f>IFERROR(VLOOKUP(F4327,CARTON_LOOKUP!$A:$E,4,0),"")</f>
      </c>
      <c r="I4327" s="28">
        <f>IFERROR(VLOOKUP(F4327,CARTON_LOOKUP!$A:$E,5,0),"")</f>
      </c>
      <c r="J4327" s="29">
        <f>IFERROR(VLOOKUP(F4327,CARTON_LOOKUP!$A:$E,2,0),"")</f>
      </c>
      <c r="K4327" s="29">
        <f>IFERROR(J4327*D4327,0)</f>
      </c>
      <c r="L4327" s="29">
        <f>IFERROR(E4327*C4327,0)</f>
      </c>
      <c r="M4327" s="29">
        <f>IFERROR((G4327*H4327*I4327/1000000)*D4327,0)</f>
      </c>
    </row>
    <row r="4328" spans="1:13" x14ac:dyDescent="0.25">
      <c r="A4328" s="16"/>
      <c r="E4328" s="27"/>
      <c r="F4328" t="s">
        <v>26</v>
      </c>
      <c r="G4328" s="28">
        <f>IFERROR(VLOOKUP(F4328,CARTON_LOOKUP!$A:$E,3,0),"")</f>
      </c>
      <c r="H4328" s="28">
        <f>IFERROR(VLOOKUP(F4328,CARTON_LOOKUP!$A:$E,4,0),"")</f>
      </c>
      <c r="I4328" s="28">
        <f>IFERROR(VLOOKUP(F4328,CARTON_LOOKUP!$A:$E,5,0),"")</f>
      </c>
      <c r="J4328" s="29">
        <f>IFERROR(VLOOKUP(F4328,CARTON_LOOKUP!$A:$E,2,0),"")</f>
      </c>
      <c r="K4328" s="29">
        <f>IFERROR(J4328*D4328,0)</f>
      </c>
      <c r="L4328" s="29">
        <f>IFERROR(E4328*C4328,0)</f>
      </c>
      <c r="M4328" s="29">
        <f>IFERROR((G4328*H4328*I4328/1000000)*D4328,0)</f>
      </c>
    </row>
    <row r="4329" spans="1:13" x14ac:dyDescent="0.25">
      <c r="A4329" s="16"/>
      <c r="E4329" s="27"/>
      <c r="F4329" t="s">
        <v>26</v>
      </c>
      <c r="G4329" s="28">
        <f>IFERROR(VLOOKUP(F4329,CARTON_LOOKUP!$A:$E,3,0),"")</f>
      </c>
      <c r="H4329" s="28">
        <f>IFERROR(VLOOKUP(F4329,CARTON_LOOKUP!$A:$E,4,0),"")</f>
      </c>
      <c r="I4329" s="28">
        <f>IFERROR(VLOOKUP(F4329,CARTON_LOOKUP!$A:$E,5,0),"")</f>
      </c>
      <c r="J4329" s="29">
        <f>IFERROR(VLOOKUP(F4329,CARTON_LOOKUP!$A:$E,2,0),"")</f>
      </c>
      <c r="K4329" s="29">
        <f>IFERROR(J4329*D4329,0)</f>
      </c>
      <c r="L4329" s="29">
        <f>IFERROR(E4329*C4329,0)</f>
      </c>
      <c r="M4329" s="29">
        <f>IFERROR((G4329*H4329*I4329/1000000)*D4329,0)</f>
      </c>
    </row>
    <row r="4330" spans="1:13" x14ac:dyDescent="0.25">
      <c r="A4330" s="16"/>
      <c r="E4330" s="27"/>
      <c r="F4330" t="s">
        <v>26</v>
      </c>
      <c r="G4330" s="28">
        <f>IFERROR(VLOOKUP(F4330,CARTON_LOOKUP!$A:$E,3,0),"")</f>
      </c>
      <c r="H4330" s="28">
        <f>IFERROR(VLOOKUP(F4330,CARTON_LOOKUP!$A:$E,4,0),"")</f>
      </c>
      <c r="I4330" s="28">
        <f>IFERROR(VLOOKUP(F4330,CARTON_LOOKUP!$A:$E,5,0),"")</f>
      </c>
      <c r="J4330" s="29">
        <f>IFERROR(VLOOKUP(F4330,CARTON_LOOKUP!$A:$E,2,0),"")</f>
      </c>
      <c r="K4330" s="29">
        <f>IFERROR(J4330*D4330,0)</f>
      </c>
      <c r="L4330" s="29">
        <f>IFERROR(E4330*C4330,0)</f>
      </c>
      <c r="M4330" s="29">
        <f>IFERROR((G4330*H4330*I4330/1000000)*D4330,0)</f>
      </c>
    </row>
    <row r="4331" spans="1:13" x14ac:dyDescent="0.25">
      <c r="A4331" s="16"/>
      <c r="E4331" s="27"/>
      <c r="F4331" t="s">
        <v>26</v>
      </c>
      <c r="G4331" s="28">
        <f>IFERROR(VLOOKUP(F4331,CARTON_LOOKUP!$A:$E,3,0),"")</f>
      </c>
      <c r="H4331" s="28">
        <f>IFERROR(VLOOKUP(F4331,CARTON_LOOKUP!$A:$E,4,0),"")</f>
      </c>
      <c r="I4331" s="28">
        <f>IFERROR(VLOOKUP(F4331,CARTON_LOOKUP!$A:$E,5,0),"")</f>
      </c>
      <c r="J4331" s="29">
        <f>IFERROR(VLOOKUP(F4331,CARTON_LOOKUP!$A:$E,2,0),"")</f>
      </c>
      <c r="K4331" s="29">
        <f>IFERROR(J4331*D4331,0)</f>
      </c>
      <c r="L4331" s="29">
        <f>IFERROR(E4331*C4331,0)</f>
      </c>
      <c r="M4331" s="29">
        <f>IFERROR((G4331*H4331*I4331/1000000)*D4331,0)</f>
      </c>
    </row>
    <row r="4332" spans="1:13" x14ac:dyDescent="0.25">
      <c r="A4332" s="16"/>
      <c r="E4332" s="27"/>
      <c r="F4332" t="s">
        <v>26</v>
      </c>
      <c r="G4332" s="28">
        <f>IFERROR(VLOOKUP(F4332,CARTON_LOOKUP!$A:$E,3,0),"")</f>
      </c>
      <c r="H4332" s="28">
        <f>IFERROR(VLOOKUP(F4332,CARTON_LOOKUP!$A:$E,4,0),"")</f>
      </c>
      <c r="I4332" s="28">
        <f>IFERROR(VLOOKUP(F4332,CARTON_LOOKUP!$A:$E,5,0),"")</f>
      </c>
      <c r="J4332" s="29">
        <f>IFERROR(VLOOKUP(F4332,CARTON_LOOKUP!$A:$E,2,0),"")</f>
      </c>
      <c r="K4332" s="29">
        <f>IFERROR(J4332*D4332,0)</f>
      </c>
      <c r="L4332" s="29">
        <f>IFERROR(E4332*C4332,0)</f>
      </c>
      <c r="M4332" s="29">
        <f>IFERROR((G4332*H4332*I4332/1000000)*D4332,0)</f>
      </c>
    </row>
    <row r="4333" spans="1:13" x14ac:dyDescent="0.25">
      <c r="A4333" s="16"/>
      <c r="E4333" s="27"/>
      <c r="F4333" t="s">
        <v>26</v>
      </c>
      <c r="G4333" s="28">
        <f>IFERROR(VLOOKUP(F4333,CARTON_LOOKUP!$A:$E,3,0),"")</f>
      </c>
      <c r="H4333" s="28">
        <f>IFERROR(VLOOKUP(F4333,CARTON_LOOKUP!$A:$E,4,0),"")</f>
      </c>
      <c r="I4333" s="28">
        <f>IFERROR(VLOOKUP(F4333,CARTON_LOOKUP!$A:$E,5,0),"")</f>
      </c>
      <c r="J4333" s="29">
        <f>IFERROR(VLOOKUP(F4333,CARTON_LOOKUP!$A:$E,2,0),"")</f>
      </c>
      <c r="K4333" s="29">
        <f>IFERROR(J4333*D4333,0)</f>
      </c>
      <c r="L4333" s="29">
        <f>IFERROR(E4333*C4333,0)</f>
      </c>
      <c r="M4333" s="29">
        <f>IFERROR((G4333*H4333*I4333/1000000)*D4333,0)</f>
      </c>
    </row>
    <row r="4334" spans="1:13" x14ac:dyDescent="0.25">
      <c r="A4334" s="16"/>
      <c r="E4334" s="27"/>
      <c r="F4334" t="s">
        <v>26</v>
      </c>
      <c r="G4334" s="28">
        <f>IFERROR(VLOOKUP(F4334,CARTON_LOOKUP!$A:$E,3,0),"")</f>
      </c>
      <c r="H4334" s="28">
        <f>IFERROR(VLOOKUP(F4334,CARTON_LOOKUP!$A:$E,4,0),"")</f>
      </c>
      <c r="I4334" s="28">
        <f>IFERROR(VLOOKUP(F4334,CARTON_LOOKUP!$A:$E,5,0),"")</f>
      </c>
      <c r="J4334" s="29">
        <f>IFERROR(VLOOKUP(F4334,CARTON_LOOKUP!$A:$E,2,0),"")</f>
      </c>
      <c r="K4334" s="29">
        <f>IFERROR(J4334*D4334,0)</f>
      </c>
      <c r="L4334" s="29">
        <f>IFERROR(E4334*C4334,0)</f>
      </c>
      <c r="M4334" s="29">
        <f>IFERROR((G4334*H4334*I4334/1000000)*D4334,0)</f>
      </c>
    </row>
    <row r="4335" spans="1:13" x14ac:dyDescent="0.25">
      <c r="A4335" s="16"/>
      <c r="E4335" s="27"/>
      <c r="F4335" t="s">
        <v>26</v>
      </c>
      <c r="G4335" s="28">
        <f>IFERROR(VLOOKUP(F4335,CARTON_LOOKUP!$A:$E,3,0),"")</f>
      </c>
      <c r="H4335" s="28">
        <f>IFERROR(VLOOKUP(F4335,CARTON_LOOKUP!$A:$E,4,0),"")</f>
      </c>
      <c r="I4335" s="28">
        <f>IFERROR(VLOOKUP(F4335,CARTON_LOOKUP!$A:$E,5,0),"")</f>
      </c>
      <c r="J4335" s="29">
        <f>IFERROR(VLOOKUP(F4335,CARTON_LOOKUP!$A:$E,2,0),"")</f>
      </c>
      <c r="K4335" s="29">
        <f>IFERROR(J4335*D4335,0)</f>
      </c>
      <c r="L4335" s="29">
        <f>IFERROR(E4335*C4335,0)</f>
      </c>
      <c r="M4335" s="29">
        <f>IFERROR((G4335*H4335*I4335/1000000)*D4335,0)</f>
      </c>
    </row>
    <row r="4336" spans="1:13" x14ac:dyDescent="0.25">
      <c r="A4336" s="16"/>
      <c r="E4336" s="27"/>
      <c r="F4336" t="s">
        <v>26</v>
      </c>
      <c r="G4336" s="28">
        <f>IFERROR(VLOOKUP(F4336,CARTON_LOOKUP!$A:$E,3,0),"")</f>
      </c>
      <c r="H4336" s="28">
        <f>IFERROR(VLOOKUP(F4336,CARTON_LOOKUP!$A:$E,4,0),"")</f>
      </c>
      <c r="I4336" s="28">
        <f>IFERROR(VLOOKUP(F4336,CARTON_LOOKUP!$A:$E,5,0),"")</f>
      </c>
      <c r="J4336" s="29">
        <f>IFERROR(VLOOKUP(F4336,CARTON_LOOKUP!$A:$E,2,0),"")</f>
      </c>
      <c r="K4336" s="29">
        <f>IFERROR(J4336*D4336,0)</f>
      </c>
      <c r="L4336" s="29">
        <f>IFERROR(E4336*C4336,0)</f>
      </c>
      <c r="M4336" s="29">
        <f>IFERROR((G4336*H4336*I4336/1000000)*D4336,0)</f>
      </c>
    </row>
    <row r="4337" spans="1:13" x14ac:dyDescent="0.25">
      <c r="A4337" s="16"/>
      <c r="E4337" s="27"/>
      <c r="F4337" t="s">
        <v>26</v>
      </c>
      <c r="G4337" s="28">
        <f>IFERROR(VLOOKUP(F4337,CARTON_LOOKUP!$A:$E,3,0),"")</f>
      </c>
      <c r="H4337" s="28">
        <f>IFERROR(VLOOKUP(F4337,CARTON_LOOKUP!$A:$E,4,0),"")</f>
      </c>
      <c r="I4337" s="28">
        <f>IFERROR(VLOOKUP(F4337,CARTON_LOOKUP!$A:$E,5,0),"")</f>
      </c>
      <c r="J4337" s="29">
        <f>IFERROR(VLOOKUP(F4337,CARTON_LOOKUP!$A:$E,2,0),"")</f>
      </c>
      <c r="K4337" s="29">
        <f>IFERROR(J4337*D4337,0)</f>
      </c>
      <c r="L4337" s="29">
        <f>IFERROR(E4337*C4337,0)</f>
      </c>
      <c r="M4337" s="29">
        <f>IFERROR((G4337*H4337*I4337/1000000)*D4337,0)</f>
      </c>
    </row>
    <row r="4338" spans="1:13" x14ac:dyDescent="0.25">
      <c r="A4338" s="16"/>
      <c r="E4338" s="27"/>
      <c r="F4338" t="s">
        <v>26</v>
      </c>
      <c r="G4338" s="28">
        <f>IFERROR(VLOOKUP(F4338,CARTON_LOOKUP!$A:$E,3,0),"")</f>
      </c>
      <c r="H4338" s="28">
        <f>IFERROR(VLOOKUP(F4338,CARTON_LOOKUP!$A:$E,4,0),"")</f>
      </c>
      <c r="I4338" s="28">
        <f>IFERROR(VLOOKUP(F4338,CARTON_LOOKUP!$A:$E,5,0),"")</f>
      </c>
      <c r="J4338" s="29">
        <f>IFERROR(VLOOKUP(F4338,CARTON_LOOKUP!$A:$E,2,0),"")</f>
      </c>
      <c r="K4338" s="29">
        <f>IFERROR(J4338*D4338,0)</f>
      </c>
      <c r="L4338" s="29">
        <f>IFERROR(E4338*C4338,0)</f>
      </c>
      <c r="M4338" s="29">
        <f>IFERROR((G4338*H4338*I4338/1000000)*D4338,0)</f>
      </c>
    </row>
    <row r="4339" spans="1:13" x14ac:dyDescent="0.25">
      <c r="A4339" s="16"/>
      <c r="E4339" s="27"/>
      <c r="F4339" t="s">
        <v>26</v>
      </c>
      <c r="G4339" s="28">
        <f>IFERROR(VLOOKUP(F4339,CARTON_LOOKUP!$A:$E,3,0),"")</f>
      </c>
      <c r="H4339" s="28">
        <f>IFERROR(VLOOKUP(F4339,CARTON_LOOKUP!$A:$E,4,0),"")</f>
      </c>
      <c r="I4339" s="28">
        <f>IFERROR(VLOOKUP(F4339,CARTON_LOOKUP!$A:$E,5,0),"")</f>
      </c>
      <c r="J4339" s="29">
        <f>IFERROR(VLOOKUP(F4339,CARTON_LOOKUP!$A:$E,2,0),"")</f>
      </c>
      <c r="K4339" s="29">
        <f>IFERROR(J4339*D4339,0)</f>
      </c>
      <c r="L4339" s="29">
        <f>IFERROR(E4339*C4339,0)</f>
      </c>
      <c r="M4339" s="29">
        <f>IFERROR((G4339*H4339*I4339/1000000)*D4339,0)</f>
      </c>
    </row>
    <row r="4340" spans="1:13" x14ac:dyDescent="0.25">
      <c r="A4340" s="16"/>
      <c r="E4340" s="27"/>
      <c r="F4340" t="s">
        <v>26</v>
      </c>
      <c r="G4340" s="28">
        <f>IFERROR(VLOOKUP(F4340,CARTON_LOOKUP!$A:$E,3,0),"")</f>
      </c>
      <c r="H4340" s="28">
        <f>IFERROR(VLOOKUP(F4340,CARTON_LOOKUP!$A:$E,4,0),"")</f>
      </c>
      <c r="I4340" s="28">
        <f>IFERROR(VLOOKUP(F4340,CARTON_LOOKUP!$A:$E,5,0),"")</f>
      </c>
      <c r="J4340" s="29">
        <f>IFERROR(VLOOKUP(F4340,CARTON_LOOKUP!$A:$E,2,0),"")</f>
      </c>
      <c r="K4340" s="29">
        <f>IFERROR(J4340*D4340,0)</f>
      </c>
      <c r="L4340" s="29">
        <f>IFERROR(E4340*C4340,0)</f>
      </c>
      <c r="M4340" s="29">
        <f>IFERROR((G4340*H4340*I4340/1000000)*D4340,0)</f>
      </c>
    </row>
    <row r="4341" spans="1:13" x14ac:dyDescent="0.25">
      <c r="A4341" s="16"/>
      <c r="E4341" s="27"/>
      <c r="F4341" t="s">
        <v>26</v>
      </c>
      <c r="G4341" s="28">
        <f>IFERROR(VLOOKUP(F4341,CARTON_LOOKUP!$A:$E,3,0),"")</f>
      </c>
      <c r="H4341" s="28">
        <f>IFERROR(VLOOKUP(F4341,CARTON_LOOKUP!$A:$E,4,0),"")</f>
      </c>
      <c r="I4341" s="28">
        <f>IFERROR(VLOOKUP(F4341,CARTON_LOOKUP!$A:$E,5,0),"")</f>
      </c>
      <c r="J4341" s="29">
        <f>IFERROR(VLOOKUP(F4341,CARTON_LOOKUP!$A:$E,2,0),"")</f>
      </c>
      <c r="K4341" s="29">
        <f>IFERROR(J4341*D4341,0)</f>
      </c>
      <c r="L4341" s="29">
        <f>IFERROR(E4341*C4341,0)</f>
      </c>
      <c r="M4341" s="29">
        <f>IFERROR((G4341*H4341*I4341/1000000)*D4341,0)</f>
      </c>
    </row>
    <row r="4342" spans="1:13" x14ac:dyDescent="0.25">
      <c r="A4342" s="16"/>
      <c r="E4342" s="27"/>
      <c r="F4342" t="s">
        <v>26</v>
      </c>
      <c r="G4342" s="28">
        <f>IFERROR(VLOOKUP(F4342,CARTON_LOOKUP!$A:$E,3,0),"")</f>
      </c>
      <c r="H4342" s="28">
        <f>IFERROR(VLOOKUP(F4342,CARTON_LOOKUP!$A:$E,4,0),"")</f>
      </c>
      <c r="I4342" s="28">
        <f>IFERROR(VLOOKUP(F4342,CARTON_LOOKUP!$A:$E,5,0),"")</f>
      </c>
      <c r="J4342" s="29">
        <f>IFERROR(VLOOKUP(F4342,CARTON_LOOKUP!$A:$E,2,0),"")</f>
      </c>
      <c r="K4342" s="29">
        <f>IFERROR(J4342*D4342,0)</f>
      </c>
      <c r="L4342" s="29">
        <f>IFERROR(E4342*C4342,0)</f>
      </c>
      <c r="M4342" s="29">
        <f>IFERROR((G4342*H4342*I4342/1000000)*D4342,0)</f>
      </c>
    </row>
    <row r="4343" spans="1:13" x14ac:dyDescent="0.25">
      <c r="A4343" s="16"/>
      <c r="E4343" s="27"/>
      <c r="F4343" t="s">
        <v>26</v>
      </c>
      <c r="G4343" s="28">
        <f>IFERROR(VLOOKUP(F4343,CARTON_LOOKUP!$A:$E,3,0),"")</f>
      </c>
      <c r="H4343" s="28">
        <f>IFERROR(VLOOKUP(F4343,CARTON_LOOKUP!$A:$E,4,0),"")</f>
      </c>
      <c r="I4343" s="28">
        <f>IFERROR(VLOOKUP(F4343,CARTON_LOOKUP!$A:$E,5,0),"")</f>
      </c>
      <c r="J4343" s="29">
        <f>IFERROR(VLOOKUP(F4343,CARTON_LOOKUP!$A:$E,2,0),"")</f>
      </c>
      <c r="K4343" s="29">
        <f>IFERROR(J4343*D4343,0)</f>
      </c>
      <c r="L4343" s="29">
        <f>IFERROR(E4343*C4343,0)</f>
      </c>
      <c r="M4343" s="29">
        <f>IFERROR((G4343*H4343*I4343/1000000)*D4343,0)</f>
      </c>
    </row>
    <row r="4344" spans="1:13" x14ac:dyDescent="0.25">
      <c r="A4344" s="16"/>
      <c r="E4344" s="27"/>
      <c r="F4344" t="s">
        <v>26</v>
      </c>
      <c r="G4344" s="28">
        <f>IFERROR(VLOOKUP(F4344,CARTON_LOOKUP!$A:$E,3,0),"")</f>
      </c>
      <c r="H4344" s="28">
        <f>IFERROR(VLOOKUP(F4344,CARTON_LOOKUP!$A:$E,4,0),"")</f>
      </c>
      <c r="I4344" s="28">
        <f>IFERROR(VLOOKUP(F4344,CARTON_LOOKUP!$A:$E,5,0),"")</f>
      </c>
      <c r="J4344" s="29">
        <f>IFERROR(VLOOKUP(F4344,CARTON_LOOKUP!$A:$E,2,0),"")</f>
      </c>
      <c r="K4344" s="29">
        <f>IFERROR(J4344*D4344,0)</f>
      </c>
      <c r="L4344" s="29">
        <f>IFERROR(E4344*C4344,0)</f>
      </c>
      <c r="M4344" s="29">
        <f>IFERROR((G4344*H4344*I4344/1000000)*D4344,0)</f>
      </c>
    </row>
    <row r="4345" spans="1:13" x14ac:dyDescent="0.25">
      <c r="A4345" s="16"/>
      <c r="E4345" s="27"/>
      <c r="F4345" t="s">
        <v>26</v>
      </c>
      <c r="G4345" s="28">
        <f>IFERROR(VLOOKUP(F4345,CARTON_LOOKUP!$A:$E,3,0),"")</f>
      </c>
      <c r="H4345" s="28">
        <f>IFERROR(VLOOKUP(F4345,CARTON_LOOKUP!$A:$E,4,0),"")</f>
      </c>
      <c r="I4345" s="28">
        <f>IFERROR(VLOOKUP(F4345,CARTON_LOOKUP!$A:$E,5,0),"")</f>
      </c>
      <c r="J4345" s="29">
        <f>IFERROR(VLOOKUP(F4345,CARTON_LOOKUP!$A:$E,2,0),"")</f>
      </c>
      <c r="K4345" s="29">
        <f>IFERROR(J4345*D4345,0)</f>
      </c>
      <c r="L4345" s="29">
        <f>IFERROR(E4345*C4345,0)</f>
      </c>
      <c r="M4345" s="29">
        <f>IFERROR((G4345*H4345*I4345/1000000)*D4345,0)</f>
      </c>
    </row>
    <row r="4346" spans="1:13" x14ac:dyDescent="0.25">
      <c r="A4346" s="16"/>
      <c r="E4346" s="27"/>
      <c r="F4346" t="s">
        <v>26</v>
      </c>
      <c r="G4346" s="28">
        <f>IFERROR(VLOOKUP(F4346,CARTON_LOOKUP!$A:$E,3,0),"")</f>
      </c>
      <c r="H4346" s="28">
        <f>IFERROR(VLOOKUP(F4346,CARTON_LOOKUP!$A:$E,4,0),"")</f>
      </c>
      <c r="I4346" s="28">
        <f>IFERROR(VLOOKUP(F4346,CARTON_LOOKUP!$A:$E,5,0),"")</f>
      </c>
      <c r="J4346" s="29">
        <f>IFERROR(VLOOKUP(F4346,CARTON_LOOKUP!$A:$E,2,0),"")</f>
      </c>
      <c r="K4346" s="29">
        <f>IFERROR(J4346*D4346,0)</f>
      </c>
      <c r="L4346" s="29">
        <f>IFERROR(E4346*C4346,0)</f>
      </c>
      <c r="M4346" s="29">
        <f>IFERROR((G4346*H4346*I4346/1000000)*D4346,0)</f>
      </c>
    </row>
    <row r="4347" spans="1:13" x14ac:dyDescent="0.25">
      <c r="A4347" s="16"/>
      <c r="E4347" s="27"/>
      <c r="F4347" t="s">
        <v>26</v>
      </c>
      <c r="G4347" s="28">
        <f>IFERROR(VLOOKUP(F4347,CARTON_LOOKUP!$A:$E,3,0),"")</f>
      </c>
      <c r="H4347" s="28">
        <f>IFERROR(VLOOKUP(F4347,CARTON_LOOKUP!$A:$E,4,0),"")</f>
      </c>
      <c r="I4347" s="28">
        <f>IFERROR(VLOOKUP(F4347,CARTON_LOOKUP!$A:$E,5,0),"")</f>
      </c>
      <c r="J4347" s="29">
        <f>IFERROR(VLOOKUP(F4347,CARTON_LOOKUP!$A:$E,2,0),"")</f>
      </c>
      <c r="K4347" s="29">
        <f>IFERROR(J4347*D4347,0)</f>
      </c>
      <c r="L4347" s="29">
        <f>IFERROR(E4347*C4347,0)</f>
      </c>
      <c r="M4347" s="29">
        <f>IFERROR((G4347*H4347*I4347/1000000)*D4347,0)</f>
      </c>
    </row>
    <row r="4348" spans="1:13" x14ac:dyDescent="0.25">
      <c r="A4348" s="16"/>
      <c r="E4348" s="27"/>
      <c r="F4348" t="s">
        <v>26</v>
      </c>
      <c r="G4348" s="28">
        <f>IFERROR(VLOOKUP(F4348,CARTON_LOOKUP!$A:$E,3,0),"")</f>
      </c>
      <c r="H4348" s="28">
        <f>IFERROR(VLOOKUP(F4348,CARTON_LOOKUP!$A:$E,4,0),"")</f>
      </c>
      <c r="I4348" s="28">
        <f>IFERROR(VLOOKUP(F4348,CARTON_LOOKUP!$A:$E,5,0),"")</f>
      </c>
      <c r="J4348" s="29">
        <f>IFERROR(VLOOKUP(F4348,CARTON_LOOKUP!$A:$E,2,0),"")</f>
      </c>
      <c r="K4348" s="29">
        <f>IFERROR(J4348*D4348,0)</f>
      </c>
      <c r="L4348" s="29">
        <f>IFERROR(E4348*C4348,0)</f>
      </c>
      <c r="M4348" s="29">
        <f>IFERROR((G4348*H4348*I4348/1000000)*D4348,0)</f>
      </c>
    </row>
    <row r="4349" spans="1:13" x14ac:dyDescent="0.25">
      <c r="A4349" s="16"/>
      <c r="E4349" s="27"/>
      <c r="F4349" t="s">
        <v>26</v>
      </c>
      <c r="G4349" s="28">
        <f>IFERROR(VLOOKUP(F4349,CARTON_LOOKUP!$A:$E,3,0),"")</f>
      </c>
      <c r="H4349" s="28">
        <f>IFERROR(VLOOKUP(F4349,CARTON_LOOKUP!$A:$E,4,0),"")</f>
      </c>
      <c r="I4349" s="28">
        <f>IFERROR(VLOOKUP(F4349,CARTON_LOOKUP!$A:$E,5,0),"")</f>
      </c>
      <c r="J4349" s="29">
        <f>IFERROR(VLOOKUP(F4349,CARTON_LOOKUP!$A:$E,2,0),"")</f>
      </c>
      <c r="K4349" s="29">
        <f>IFERROR(J4349*D4349,0)</f>
      </c>
      <c r="L4349" s="29">
        <f>IFERROR(E4349*C4349,0)</f>
      </c>
      <c r="M4349" s="29">
        <f>IFERROR((G4349*H4349*I4349/1000000)*D4349,0)</f>
      </c>
    </row>
    <row r="4350" spans="1:13" x14ac:dyDescent="0.25">
      <c r="A4350" s="16"/>
      <c r="E4350" s="27"/>
      <c r="F4350" t="s">
        <v>26</v>
      </c>
      <c r="G4350" s="28">
        <f>IFERROR(VLOOKUP(F4350,CARTON_LOOKUP!$A:$E,3,0),"")</f>
      </c>
      <c r="H4350" s="28">
        <f>IFERROR(VLOOKUP(F4350,CARTON_LOOKUP!$A:$E,4,0),"")</f>
      </c>
      <c r="I4350" s="28">
        <f>IFERROR(VLOOKUP(F4350,CARTON_LOOKUP!$A:$E,5,0),"")</f>
      </c>
      <c r="J4350" s="29">
        <f>IFERROR(VLOOKUP(F4350,CARTON_LOOKUP!$A:$E,2,0),"")</f>
      </c>
      <c r="K4350" s="29">
        <f>IFERROR(J4350*D4350,0)</f>
      </c>
      <c r="L4350" s="29">
        <f>IFERROR(E4350*C4350,0)</f>
      </c>
      <c r="M4350" s="29">
        <f>IFERROR((G4350*H4350*I4350/1000000)*D4350,0)</f>
      </c>
    </row>
    <row r="4351" spans="1:13" x14ac:dyDescent="0.25">
      <c r="A4351" s="16"/>
      <c r="E4351" s="27"/>
      <c r="F4351" t="s">
        <v>26</v>
      </c>
      <c r="G4351" s="28">
        <f>IFERROR(VLOOKUP(F4351,CARTON_LOOKUP!$A:$E,3,0),"")</f>
      </c>
      <c r="H4351" s="28">
        <f>IFERROR(VLOOKUP(F4351,CARTON_LOOKUP!$A:$E,4,0),"")</f>
      </c>
      <c r="I4351" s="28">
        <f>IFERROR(VLOOKUP(F4351,CARTON_LOOKUP!$A:$E,5,0),"")</f>
      </c>
      <c r="J4351" s="29">
        <f>IFERROR(VLOOKUP(F4351,CARTON_LOOKUP!$A:$E,2,0),"")</f>
      </c>
      <c r="K4351" s="29">
        <f>IFERROR(J4351*D4351,0)</f>
      </c>
      <c r="L4351" s="29">
        <f>IFERROR(E4351*C4351,0)</f>
      </c>
      <c r="M4351" s="29">
        <f>IFERROR((G4351*H4351*I4351/1000000)*D4351,0)</f>
      </c>
    </row>
    <row r="4352" spans="1:13" x14ac:dyDescent="0.25">
      <c r="A4352" s="16"/>
      <c r="E4352" s="27"/>
      <c r="F4352" t="s">
        <v>26</v>
      </c>
      <c r="G4352" s="28">
        <f>IFERROR(VLOOKUP(F4352,CARTON_LOOKUP!$A:$E,3,0),"")</f>
      </c>
      <c r="H4352" s="28">
        <f>IFERROR(VLOOKUP(F4352,CARTON_LOOKUP!$A:$E,4,0),"")</f>
      </c>
      <c r="I4352" s="28">
        <f>IFERROR(VLOOKUP(F4352,CARTON_LOOKUP!$A:$E,5,0),"")</f>
      </c>
      <c r="J4352" s="29">
        <f>IFERROR(VLOOKUP(F4352,CARTON_LOOKUP!$A:$E,2,0),"")</f>
      </c>
      <c r="K4352" s="29">
        <f>IFERROR(J4352*D4352,0)</f>
      </c>
      <c r="L4352" s="29">
        <f>IFERROR(E4352*C4352,0)</f>
      </c>
      <c r="M4352" s="29">
        <f>IFERROR((G4352*H4352*I4352/1000000)*D4352,0)</f>
      </c>
    </row>
    <row r="4353" spans="1:13" x14ac:dyDescent="0.25">
      <c r="A4353" s="16"/>
      <c r="E4353" s="27"/>
      <c r="F4353" t="s">
        <v>26</v>
      </c>
      <c r="G4353" s="28">
        <f>IFERROR(VLOOKUP(F4353,CARTON_LOOKUP!$A:$E,3,0),"")</f>
      </c>
      <c r="H4353" s="28">
        <f>IFERROR(VLOOKUP(F4353,CARTON_LOOKUP!$A:$E,4,0),"")</f>
      </c>
      <c r="I4353" s="28">
        <f>IFERROR(VLOOKUP(F4353,CARTON_LOOKUP!$A:$E,5,0),"")</f>
      </c>
      <c r="J4353" s="29">
        <f>IFERROR(VLOOKUP(F4353,CARTON_LOOKUP!$A:$E,2,0),"")</f>
      </c>
      <c r="K4353" s="29">
        <f>IFERROR(J4353*D4353,0)</f>
      </c>
      <c r="L4353" s="29">
        <f>IFERROR(E4353*C4353,0)</f>
      </c>
      <c r="M4353" s="29">
        <f>IFERROR((G4353*H4353*I4353/1000000)*D4353,0)</f>
      </c>
    </row>
    <row r="4354" spans="1:13" x14ac:dyDescent="0.25">
      <c r="A4354" s="16"/>
      <c r="E4354" s="27"/>
      <c r="F4354" t="s">
        <v>26</v>
      </c>
      <c r="G4354" s="28">
        <f>IFERROR(VLOOKUP(F4354,CARTON_LOOKUP!$A:$E,3,0),"")</f>
      </c>
      <c r="H4354" s="28">
        <f>IFERROR(VLOOKUP(F4354,CARTON_LOOKUP!$A:$E,4,0),"")</f>
      </c>
      <c r="I4354" s="28">
        <f>IFERROR(VLOOKUP(F4354,CARTON_LOOKUP!$A:$E,5,0),"")</f>
      </c>
      <c r="J4354" s="29">
        <f>IFERROR(VLOOKUP(F4354,CARTON_LOOKUP!$A:$E,2,0),"")</f>
      </c>
      <c r="K4354" s="29">
        <f>IFERROR(J4354*D4354,0)</f>
      </c>
      <c r="L4354" s="29">
        <f>IFERROR(E4354*C4354,0)</f>
      </c>
      <c r="M4354" s="29">
        <f>IFERROR((G4354*H4354*I4354/1000000)*D4354,0)</f>
      </c>
    </row>
    <row r="4355" spans="1:13" x14ac:dyDescent="0.25">
      <c r="A4355" s="16"/>
      <c r="E4355" s="27"/>
      <c r="F4355" t="s">
        <v>26</v>
      </c>
      <c r="G4355" s="28">
        <f>IFERROR(VLOOKUP(F4355,CARTON_LOOKUP!$A:$E,3,0),"")</f>
      </c>
      <c r="H4355" s="28">
        <f>IFERROR(VLOOKUP(F4355,CARTON_LOOKUP!$A:$E,4,0),"")</f>
      </c>
      <c r="I4355" s="28">
        <f>IFERROR(VLOOKUP(F4355,CARTON_LOOKUP!$A:$E,5,0),"")</f>
      </c>
      <c r="J4355" s="29">
        <f>IFERROR(VLOOKUP(F4355,CARTON_LOOKUP!$A:$E,2,0),"")</f>
      </c>
      <c r="K4355" s="29">
        <f>IFERROR(J4355*D4355,0)</f>
      </c>
      <c r="L4355" s="29">
        <f>IFERROR(E4355*C4355,0)</f>
      </c>
      <c r="M4355" s="29">
        <f>IFERROR((G4355*H4355*I4355/1000000)*D4355,0)</f>
      </c>
    </row>
    <row r="4356" spans="1:13" x14ac:dyDescent="0.25">
      <c r="A4356" s="16"/>
      <c r="E4356" s="27"/>
      <c r="F4356" t="s">
        <v>26</v>
      </c>
      <c r="G4356" s="28">
        <f>IFERROR(VLOOKUP(F4356,CARTON_LOOKUP!$A:$E,3,0),"")</f>
      </c>
      <c r="H4356" s="28">
        <f>IFERROR(VLOOKUP(F4356,CARTON_LOOKUP!$A:$E,4,0),"")</f>
      </c>
      <c r="I4356" s="28">
        <f>IFERROR(VLOOKUP(F4356,CARTON_LOOKUP!$A:$E,5,0),"")</f>
      </c>
      <c r="J4356" s="29">
        <f>IFERROR(VLOOKUP(F4356,CARTON_LOOKUP!$A:$E,2,0),"")</f>
      </c>
      <c r="K4356" s="29">
        <f>IFERROR(J4356*D4356,0)</f>
      </c>
      <c r="L4356" s="29">
        <f>IFERROR(E4356*C4356,0)</f>
      </c>
      <c r="M4356" s="29">
        <f>IFERROR((G4356*H4356*I4356/1000000)*D4356,0)</f>
      </c>
    </row>
    <row r="4357" spans="1:13" x14ac:dyDescent="0.25">
      <c r="A4357" s="16"/>
      <c r="E4357" s="27"/>
      <c r="F4357" t="s">
        <v>26</v>
      </c>
      <c r="G4357" s="28">
        <f>IFERROR(VLOOKUP(F4357,CARTON_LOOKUP!$A:$E,3,0),"")</f>
      </c>
      <c r="H4357" s="28">
        <f>IFERROR(VLOOKUP(F4357,CARTON_LOOKUP!$A:$E,4,0),"")</f>
      </c>
      <c r="I4357" s="28">
        <f>IFERROR(VLOOKUP(F4357,CARTON_LOOKUP!$A:$E,5,0),"")</f>
      </c>
      <c r="J4357" s="29">
        <f>IFERROR(VLOOKUP(F4357,CARTON_LOOKUP!$A:$E,2,0),"")</f>
      </c>
      <c r="K4357" s="29">
        <f>IFERROR(J4357*D4357,0)</f>
      </c>
      <c r="L4357" s="29">
        <f>IFERROR(E4357*C4357,0)</f>
      </c>
      <c r="M4357" s="29">
        <f>IFERROR((G4357*H4357*I4357/1000000)*D4357,0)</f>
      </c>
    </row>
    <row r="4358" spans="1:13" x14ac:dyDescent="0.25">
      <c r="A4358" s="16"/>
      <c r="E4358" s="27"/>
      <c r="F4358" t="s">
        <v>26</v>
      </c>
      <c r="G4358" s="28">
        <f>IFERROR(VLOOKUP(F4358,CARTON_LOOKUP!$A:$E,3,0),"")</f>
      </c>
      <c r="H4358" s="28">
        <f>IFERROR(VLOOKUP(F4358,CARTON_LOOKUP!$A:$E,4,0),"")</f>
      </c>
      <c r="I4358" s="28">
        <f>IFERROR(VLOOKUP(F4358,CARTON_LOOKUP!$A:$E,5,0),"")</f>
      </c>
      <c r="J4358" s="29">
        <f>IFERROR(VLOOKUP(F4358,CARTON_LOOKUP!$A:$E,2,0),"")</f>
      </c>
      <c r="K4358" s="29">
        <f>IFERROR(J4358*D4358,0)</f>
      </c>
      <c r="L4358" s="29">
        <f>IFERROR(E4358*C4358,0)</f>
      </c>
      <c r="M4358" s="29">
        <f>IFERROR((G4358*H4358*I4358/1000000)*D4358,0)</f>
      </c>
    </row>
    <row r="4359" spans="1:13" x14ac:dyDescent="0.25">
      <c r="A4359" s="16"/>
      <c r="E4359" s="27"/>
      <c r="F4359" t="s">
        <v>26</v>
      </c>
      <c r="G4359" s="28">
        <f>IFERROR(VLOOKUP(F4359,CARTON_LOOKUP!$A:$E,3,0),"")</f>
      </c>
      <c r="H4359" s="28">
        <f>IFERROR(VLOOKUP(F4359,CARTON_LOOKUP!$A:$E,4,0),"")</f>
      </c>
      <c r="I4359" s="28">
        <f>IFERROR(VLOOKUP(F4359,CARTON_LOOKUP!$A:$E,5,0),"")</f>
      </c>
      <c r="J4359" s="29">
        <f>IFERROR(VLOOKUP(F4359,CARTON_LOOKUP!$A:$E,2,0),"")</f>
      </c>
      <c r="K4359" s="29">
        <f>IFERROR(J4359*D4359,0)</f>
      </c>
      <c r="L4359" s="29">
        <f>IFERROR(E4359*C4359,0)</f>
      </c>
      <c r="M4359" s="29">
        <f>IFERROR((G4359*H4359*I4359/1000000)*D4359,0)</f>
      </c>
    </row>
    <row r="4360" spans="1:13" x14ac:dyDescent="0.25">
      <c r="A4360" s="16"/>
      <c r="E4360" s="27"/>
      <c r="F4360" t="s">
        <v>26</v>
      </c>
      <c r="G4360" s="28">
        <f>IFERROR(VLOOKUP(F4360,CARTON_LOOKUP!$A:$E,3,0),"")</f>
      </c>
      <c r="H4360" s="28">
        <f>IFERROR(VLOOKUP(F4360,CARTON_LOOKUP!$A:$E,4,0),"")</f>
      </c>
      <c r="I4360" s="28">
        <f>IFERROR(VLOOKUP(F4360,CARTON_LOOKUP!$A:$E,5,0),"")</f>
      </c>
      <c r="J4360" s="29">
        <f>IFERROR(VLOOKUP(F4360,CARTON_LOOKUP!$A:$E,2,0),"")</f>
      </c>
      <c r="K4360" s="29">
        <f>IFERROR(J4360*D4360,0)</f>
      </c>
      <c r="L4360" s="29">
        <f>IFERROR(E4360*C4360,0)</f>
      </c>
      <c r="M4360" s="29">
        <f>IFERROR((G4360*H4360*I4360/1000000)*D4360,0)</f>
      </c>
    </row>
    <row r="4361" spans="1:13" x14ac:dyDescent="0.25">
      <c r="A4361" s="16"/>
      <c r="E4361" s="27"/>
      <c r="F4361" t="s">
        <v>26</v>
      </c>
      <c r="G4361" s="28">
        <f>IFERROR(VLOOKUP(F4361,CARTON_LOOKUP!$A:$E,3,0),"")</f>
      </c>
      <c r="H4361" s="28">
        <f>IFERROR(VLOOKUP(F4361,CARTON_LOOKUP!$A:$E,4,0),"")</f>
      </c>
      <c r="I4361" s="28">
        <f>IFERROR(VLOOKUP(F4361,CARTON_LOOKUP!$A:$E,5,0),"")</f>
      </c>
      <c r="J4361" s="29">
        <f>IFERROR(VLOOKUP(F4361,CARTON_LOOKUP!$A:$E,2,0),"")</f>
      </c>
      <c r="K4361" s="29">
        <f>IFERROR(J4361*D4361,0)</f>
      </c>
      <c r="L4361" s="29">
        <f>IFERROR(E4361*C4361,0)</f>
      </c>
      <c r="M4361" s="29">
        <f>IFERROR((G4361*H4361*I4361/1000000)*D4361,0)</f>
      </c>
    </row>
    <row r="4362" spans="1:13" x14ac:dyDescent="0.25">
      <c r="A4362" s="16"/>
      <c r="E4362" s="27"/>
      <c r="F4362" t="s">
        <v>26</v>
      </c>
      <c r="G4362" s="28">
        <f>IFERROR(VLOOKUP(F4362,CARTON_LOOKUP!$A:$E,3,0),"")</f>
      </c>
      <c r="H4362" s="28">
        <f>IFERROR(VLOOKUP(F4362,CARTON_LOOKUP!$A:$E,4,0),"")</f>
      </c>
      <c r="I4362" s="28">
        <f>IFERROR(VLOOKUP(F4362,CARTON_LOOKUP!$A:$E,5,0),"")</f>
      </c>
      <c r="J4362" s="29">
        <f>IFERROR(VLOOKUP(F4362,CARTON_LOOKUP!$A:$E,2,0),"")</f>
      </c>
      <c r="K4362" s="29">
        <f>IFERROR(J4362*D4362,0)</f>
      </c>
      <c r="L4362" s="29">
        <f>IFERROR(E4362*C4362,0)</f>
      </c>
      <c r="M4362" s="29">
        <f>IFERROR((G4362*H4362*I4362/1000000)*D4362,0)</f>
      </c>
    </row>
    <row r="4363" spans="1:13" x14ac:dyDescent="0.25">
      <c r="A4363" s="16"/>
      <c r="E4363" s="27"/>
      <c r="F4363" t="s">
        <v>26</v>
      </c>
      <c r="G4363" s="28">
        <f>IFERROR(VLOOKUP(F4363,CARTON_LOOKUP!$A:$E,3,0),"")</f>
      </c>
      <c r="H4363" s="28">
        <f>IFERROR(VLOOKUP(F4363,CARTON_LOOKUP!$A:$E,4,0),"")</f>
      </c>
      <c r="I4363" s="28">
        <f>IFERROR(VLOOKUP(F4363,CARTON_LOOKUP!$A:$E,5,0),"")</f>
      </c>
      <c r="J4363" s="29">
        <f>IFERROR(VLOOKUP(F4363,CARTON_LOOKUP!$A:$E,2,0),"")</f>
      </c>
      <c r="K4363" s="29">
        <f>IFERROR(J4363*D4363,0)</f>
      </c>
      <c r="L4363" s="29">
        <f>IFERROR(E4363*C4363,0)</f>
      </c>
      <c r="M4363" s="29">
        <f>IFERROR((G4363*H4363*I4363/1000000)*D4363,0)</f>
      </c>
    </row>
    <row r="4364" spans="1:13" x14ac:dyDescent="0.25">
      <c r="A4364" s="16"/>
      <c r="E4364" s="27"/>
      <c r="F4364" t="s">
        <v>26</v>
      </c>
      <c r="G4364" s="28">
        <f>IFERROR(VLOOKUP(F4364,CARTON_LOOKUP!$A:$E,3,0),"")</f>
      </c>
      <c r="H4364" s="28">
        <f>IFERROR(VLOOKUP(F4364,CARTON_LOOKUP!$A:$E,4,0),"")</f>
      </c>
      <c r="I4364" s="28">
        <f>IFERROR(VLOOKUP(F4364,CARTON_LOOKUP!$A:$E,5,0),"")</f>
      </c>
      <c r="J4364" s="29">
        <f>IFERROR(VLOOKUP(F4364,CARTON_LOOKUP!$A:$E,2,0),"")</f>
      </c>
      <c r="K4364" s="29">
        <f>IFERROR(J4364*D4364,0)</f>
      </c>
      <c r="L4364" s="29">
        <f>IFERROR(E4364*C4364,0)</f>
      </c>
      <c r="M4364" s="29">
        <f>IFERROR((G4364*H4364*I4364/1000000)*D4364,0)</f>
      </c>
    </row>
    <row r="4365" spans="1:13" x14ac:dyDescent="0.25">
      <c r="A4365" s="16"/>
      <c r="E4365" s="27"/>
      <c r="F4365" t="s">
        <v>26</v>
      </c>
      <c r="G4365" s="28">
        <f>IFERROR(VLOOKUP(F4365,CARTON_LOOKUP!$A:$E,3,0),"")</f>
      </c>
      <c r="H4365" s="28">
        <f>IFERROR(VLOOKUP(F4365,CARTON_LOOKUP!$A:$E,4,0),"")</f>
      </c>
      <c r="I4365" s="28">
        <f>IFERROR(VLOOKUP(F4365,CARTON_LOOKUP!$A:$E,5,0),"")</f>
      </c>
      <c r="J4365" s="29">
        <f>IFERROR(VLOOKUP(F4365,CARTON_LOOKUP!$A:$E,2,0),"")</f>
      </c>
      <c r="K4365" s="29">
        <f>IFERROR(J4365*D4365,0)</f>
      </c>
      <c r="L4365" s="29">
        <f>IFERROR(E4365*C4365,0)</f>
      </c>
      <c r="M4365" s="29">
        <f>IFERROR((G4365*H4365*I4365/1000000)*D4365,0)</f>
      </c>
    </row>
    <row r="4366" spans="1:13" x14ac:dyDescent="0.25">
      <c r="A4366" s="16"/>
      <c r="E4366" s="27"/>
      <c r="F4366" t="s">
        <v>26</v>
      </c>
      <c r="G4366" s="28">
        <f>IFERROR(VLOOKUP(F4366,CARTON_LOOKUP!$A:$E,3,0),"")</f>
      </c>
      <c r="H4366" s="28">
        <f>IFERROR(VLOOKUP(F4366,CARTON_LOOKUP!$A:$E,4,0),"")</f>
      </c>
      <c r="I4366" s="28">
        <f>IFERROR(VLOOKUP(F4366,CARTON_LOOKUP!$A:$E,5,0),"")</f>
      </c>
      <c r="J4366" s="29">
        <f>IFERROR(VLOOKUP(F4366,CARTON_LOOKUP!$A:$E,2,0),"")</f>
      </c>
      <c r="K4366" s="29">
        <f>IFERROR(J4366*D4366,0)</f>
      </c>
      <c r="L4366" s="29">
        <f>IFERROR(E4366*C4366,0)</f>
      </c>
      <c r="M4366" s="29">
        <f>IFERROR((G4366*H4366*I4366/1000000)*D4366,0)</f>
      </c>
    </row>
    <row r="4367" spans="1:13" x14ac:dyDescent="0.25">
      <c r="A4367" s="16"/>
      <c r="E4367" s="27"/>
      <c r="F4367" t="s">
        <v>26</v>
      </c>
      <c r="G4367" s="28">
        <f>IFERROR(VLOOKUP(F4367,CARTON_LOOKUP!$A:$E,3,0),"")</f>
      </c>
      <c r="H4367" s="28">
        <f>IFERROR(VLOOKUP(F4367,CARTON_LOOKUP!$A:$E,4,0),"")</f>
      </c>
      <c r="I4367" s="28">
        <f>IFERROR(VLOOKUP(F4367,CARTON_LOOKUP!$A:$E,5,0),"")</f>
      </c>
      <c r="J4367" s="29">
        <f>IFERROR(VLOOKUP(F4367,CARTON_LOOKUP!$A:$E,2,0),"")</f>
      </c>
      <c r="K4367" s="29">
        <f>IFERROR(J4367*D4367,0)</f>
      </c>
      <c r="L4367" s="29">
        <f>IFERROR(E4367*C4367,0)</f>
      </c>
      <c r="M4367" s="29">
        <f>IFERROR((G4367*H4367*I4367/1000000)*D4367,0)</f>
      </c>
    </row>
    <row r="4368" spans="1:13" x14ac:dyDescent="0.25">
      <c r="A4368" s="16"/>
      <c r="E4368" s="27"/>
      <c r="F4368" t="s">
        <v>26</v>
      </c>
      <c r="G4368" s="28">
        <f>IFERROR(VLOOKUP(F4368,CARTON_LOOKUP!$A:$E,3,0),"")</f>
      </c>
      <c r="H4368" s="28">
        <f>IFERROR(VLOOKUP(F4368,CARTON_LOOKUP!$A:$E,4,0),"")</f>
      </c>
      <c r="I4368" s="28">
        <f>IFERROR(VLOOKUP(F4368,CARTON_LOOKUP!$A:$E,5,0),"")</f>
      </c>
      <c r="J4368" s="29">
        <f>IFERROR(VLOOKUP(F4368,CARTON_LOOKUP!$A:$E,2,0),"")</f>
      </c>
      <c r="K4368" s="29">
        <f>IFERROR(J4368*D4368,0)</f>
      </c>
      <c r="L4368" s="29">
        <f>IFERROR(E4368*C4368,0)</f>
      </c>
      <c r="M4368" s="29">
        <f>IFERROR((G4368*H4368*I4368/1000000)*D4368,0)</f>
      </c>
    </row>
    <row r="4369" spans="1:13" x14ac:dyDescent="0.25">
      <c r="A4369" s="16"/>
      <c r="E4369" s="27"/>
      <c r="F4369" t="s">
        <v>26</v>
      </c>
      <c r="G4369" s="28">
        <f>IFERROR(VLOOKUP(F4369,CARTON_LOOKUP!$A:$E,3,0),"")</f>
      </c>
      <c r="H4369" s="28">
        <f>IFERROR(VLOOKUP(F4369,CARTON_LOOKUP!$A:$E,4,0),"")</f>
      </c>
      <c r="I4369" s="28">
        <f>IFERROR(VLOOKUP(F4369,CARTON_LOOKUP!$A:$E,5,0),"")</f>
      </c>
      <c r="J4369" s="29">
        <f>IFERROR(VLOOKUP(F4369,CARTON_LOOKUP!$A:$E,2,0),"")</f>
      </c>
      <c r="K4369" s="29">
        <f>IFERROR(J4369*D4369,0)</f>
      </c>
      <c r="L4369" s="29">
        <f>IFERROR(E4369*C4369,0)</f>
      </c>
      <c r="M4369" s="29">
        <f>IFERROR((G4369*H4369*I4369/1000000)*D4369,0)</f>
      </c>
    </row>
    <row r="4370" spans="1:13" x14ac:dyDescent="0.25">
      <c r="A4370" s="16"/>
      <c r="E4370" s="27"/>
      <c r="F4370" t="s">
        <v>26</v>
      </c>
      <c r="G4370" s="28">
        <f>IFERROR(VLOOKUP(F4370,CARTON_LOOKUP!$A:$E,3,0),"")</f>
      </c>
      <c r="H4370" s="28">
        <f>IFERROR(VLOOKUP(F4370,CARTON_LOOKUP!$A:$E,4,0),"")</f>
      </c>
      <c r="I4370" s="28">
        <f>IFERROR(VLOOKUP(F4370,CARTON_LOOKUP!$A:$E,5,0),"")</f>
      </c>
      <c r="J4370" s="29">
        <f>IFERROR(VLOOKUP(F4370,CARTON_LOOKUP!$A:$E,2,0),"")</f>
      </c>
      <c r="K4370" s="29">
        <f>IFERROR(J4370*D4370,0)</f>
      </c>
      <c r="L4370" s="29">
        <f>IFERROR(E4370*C4370,0)</f>
      </c>
      <c r="M4370" s="29">
        <f>IFERROR((G4370*H4370*I4370/1000000)*D4370,0)</f>
      </c>
    </row>
    <row r="4371" spans="1:13" x14ac:dyDescent="0.25">
      <c r="A4371" s="16"/>
      <c r="E4371" s="27"/>
      <c r="F4371" t="s">
        <v>26</v>
      </c>
      <c r="G4371" s="28">
        <f>IFERROR(VLOOKUP(F4371,CARTON_LOOKUP!$A:$E,3,0),"")</f>
      </c>
      <c r="H4371" s="28">
        <f>IFERROR(VLOOKUP(F4371,CARTON_LOOKUP!$A:$E,4,0),"")</f>
      </c>
      <c r="I4371" s="28">
        <f>IFERROR(VLOOKUP(F4371,CARTON_LOOKUP!$A:$E,5,0),"")</f>
      </c>
      <c r="J4371" s="29">
        <f>IFERROR(VLOOKUP(F4371,CARTON_LOOKUP!$A:$E,2,0),"")</f>
      </c>
      <c r="K4371" s="29">
        <f>IFERROR(J4371*D4371,0)</f>
      </c>
      <c r="L4371" s="29">
        <f>IFERROR(E4371*C4371,0)</f>
      </c>
      <c r="M4371" s="29">
        <f>IFERROR((G4371*H4371*I4371/1000000)*D4371,0)</f>
      </c>
    </row>
    <row r="4372" spans="1:13" x14ac:dyDescent="0.25">
      <c r="A4372" s="16"/>
      <c r="E4372" s="27"/>
      <c r="F4372" t="s">
        <v>26</v>
      </c>
      <c r="G4372" s="28">
        <f>IFERROR(VLOOKUP(F4372,CARTON_LOOKUP!$A:$E,3,0),"")</f>
      </c>
      <c r="H4372" s="28">
        <f>IFERROR(VLOOKUP(F4372,CARTON_LOOKUP!$A:$E,4,0),"")</f>
      </c>
      <c r="I4372" s="28">
        <f>IFERROR(VLOOKUP(F4372,CARTON_LOOKUP!$A:$E,5,0),"")</f>
      </c>
      <c r="J4372" s="29">
        <f>IFERROR(VLOOKUP(F4372,CARTON_LOOKUP!$A:$E,2,0),"")</f>
      </c>
      <c r="K4372" s="29">
        <f>IFERROR(J4372*D4372,0)</f>
      </c>
      <c r="L4372" s="29">
        <f>IFERROR(E4372*C4372,0)</f>
      </c>
      <c r="M4372" s="29">
        <f>IFERROR((G4372*H4372*I4372/1000000)*D4372,0)</f>
      </c>
    </row>
    <row r="4373" spans="1:13" x14ac:dyDescent="0.25">
      <c r="A4373" s="16"/>
      <c r="E4373" s="27"/>
      <c r="F4373" t="s">
        <v>26</v>
      </c>
      <c r="G4373" s="28">
        <f>IFERROR(VLOOKUP(F4373,CARTON_LOOKUP!$A:$E,3,0),"")</f>
      </c>
      <c r="H4373" s="28">
        <f>IFERROR(VLOOKUP(F4373,CARTON_LOOKUP!$A:$E,4,0),"")</f>
      </c>
      <c r="I4373" s="28">
        <f>IFERROR(VLOOKUP(F4373,CARTON_LOOKUP!$A:$E,5,0),"")</f>
      </c>
      <c r="J4373" s="29">
        <f>IFERROR(VLOOKUP(F4373,CARTON_LOOKUP!$A:$E,2,0),"")</f>
      </c>
      <c r="K4373" s="29">
        <f>IFERROR(J4373*D4373,0)</f>
      </c>
      <c r="L4373" s="29">
        <f>IFERROR(E4373*C4373,0)</f>
      </c>
      <c r="M4373" s="29">
        <f>IFERROR((G4373*H4373*I4373/1000000)*D4373,0)</f>
      </c>
    </row>
    <row r="4374" spans="1:13" x14ac:dyDescent="0.25">
      <c r="A4374" s="16"/>
      <c r="E4374" s="27"/>
      <c r="F4374" t="s">
        <v>26</v>
      </c>
      <c r="G4374" s="28">
        <f>IFERROR(VLOOKUP(F4374,CARTON_LOOKUP!$A:$E,3,0),"")</f>
      </c>
      <c r="H4374" s="28">
        <f>IFERROR(VLOOKUP(F4374,CARTON_LOOKUP!$A:$E,4,0),"")</f>
      </c>
      <c r="I4374" s="28">
        <f>IFERROR(VLOOKUP(F4374,CARTON_LOOKUP!$A:$E,5,0),"")</f>
      </c>
      <c r="J4374" s="29">
        <f>IFERROR(VLOOKUP(F4374,CARTON_LOOKUP!$A:$E,2,0),"")</f>
      </c>
      <c r="K4374" s="29">
        <f>IFERROR(J4374*D4374,0)</f>
      </c>
      <c r="L4374" s="29">
        <f>IFERROR(E4374*C4374,0)</f>
      </c>
      <c r="M4374" s="29">
        <f>IFERROR((G4374*H4374*I4374/1000000)*D4374,0)</f>
      </c>
    </row>
    <row r="4375" spans="1:13" x14ac:dyDescent="0.25">
      <c r="A4375" s="16"/>
      <c r="E4375" s="27"/>
      <c r="F4375" t="s">
        <v>26</v>
      </c>
      <c r="G4375" s="28">
        <f>IFERROR(VLOOKUP(F4375,CARTON_LOOKUP!$A:$E,3,0),"")</f>
      </c>
      <c r="H4375" s="28">
        <f>IFERROR(VLOOKUP(F4375,CARTON_LOOKUP!$A:$E,4,0),"")</f>
      </c>
      <c r="I4375" s="28">
        <f>IFERROR(VLOOKUP(F4375,CARTON_LOOKUP!$A:$E,5,0),"")</f>
      </c>
      <c r="J4375" s="29">
        <f>IFERROR(VLOOKUP(F4375,CARTON_LOOKUP!$A:$E,2,0),"")</f>
      </c>
      <c r="K4375" s="29">
        <f>IFERROR(J4375*D4375,0)</f>
      </c>
      <c r="L4375" s="29">
        <f>IFERROR(E4375*C4375,0)</f>
      </c>
      <c r="M4375" s="29">
        <f>IFERROR((G4375*H4375*I4375/1000000)*D4375,0)</f>
      </c>
    </row>
    <row r="4376" spans="1:13" x14ac:dyDescent="0.25">
      <c r="A4376" s="16"/>
      <c r="E4376" s="27"/>
      <c r="F4376" t="s">
        <v>26</v>
      </c>
      <c r="G4376" s="28">
        <f>IFERROR(VLOOKUP(F4376,CARTON_LOOKUP!$A:$E,3,0),"")</f>
      </c>
      <c r="H4376" s="28">
        <f>IFERROR(VLOOKUP(F4376,CARTON_LOOKUP!$A:$E,4,0),"")</f>
      </c>
      <c r="I4376" s="28">
        <f>IFERROR(VLOOKUP(F4376,CARTON_LOOKUP!$A:$E,5,0),"")</f>
      </c>
      <c r="J4376" s="29">
        <f>IFERROR(VLOOKUP(F4376,CARTON_LOOKUP!$A:$E,2,0),"")</f>
      </c>
      <c r="K4376" s="29">
        <f>IFERROR(J4376*D4376,0)</f>
      </c>
      <c r="L4376" s="29">
        <f>IFERROR(E4376*C4376,0)</f>
      </c>
      <c r="M4376" s="29">
        <f>IFERROR((G4376*H4376*I4376/1000000)*D4376,0)</f>
      </c>
    </row>
    <row r="4377" spans="1:13" x14ac:dyDescent="0.25">
      <c r="A4377" s="16"/>
      <c r="E4377" s="27"/>
      <c r="F4377" t="s">
        <v>26</v>
      </c>
      <c r="G4377" s="28">
        <f>IFERROR(VLOOKUP(F4377,CARTON_LOOKUP!$A:$E,3,0),"")</f>
      </c>
      <c r="H4377" s="28">
        <f>IFERROR(VLOOKUP(F4377,CARTON_LOOKUP!$A:$E,4,0),"")</f>
      </c>
      <c r="I4377" s="28">
        <f>IFERROR(VLOOKUP(F4377,CARTON_LOOKUP!$A:$E,5,0),"")</f>
      </c>
      <c r="J4377" s="29">
        <f>IFERROR(VLOOKUP(F4377,CARTON_LOOKUP!$A:$E,2,0),"")</f>
      </c>
      <c r="K4377" s="29">
        <f>IFERROR(J4377*D4377,0)</f>
      </c>
      <c r="L4377" s="29">
        <f>IFERROR(E4377*C4377,0)</f>
      </c>
      <c r="M4377" s="29">
        <f>IFERROR((G4377*H4377*I4377/1000000)*D4377,0)</f>
      </c>
    </row>
    <row r="4378" spans="1:13" x14ac:dyDescent="0.25">
      <c r="A4378" s="16"/>
      <c r="E4378" s="27"/>
      <c r="F4378" t="s">
        <v>26</v>
      </c>
      <c r="G4378" s="28">
        <f>IFERROR(VLOOKUP(F4378,CARTON_LOOKUP!$A:$E,3,0),"")</f>
      </c>
      <c r="H4378" s="28">
        <f>IFERROR(VLOOKUP(F4378,CARTON_LOOKUP!$A:$E,4,0),"")</f>
      </c>
      <c r="I4378" s="28">
        <f>IFERROR(VLOOKUP(F4378,CARTON_LOOKUP!$A:$E,5,0),"")</f>
      </c>
      <c r="J4378" s="29">
        <f>IFERROR(VLOOKUP(F4378,CARTON_LOOKUP!$A:$E,2,0),"")</f>
      </c>
      <c r="K4378" s="29">
        <f>IFERROR(J4378*D4378,0)</f>
      </c>
      <c r="L4378" s="29">
        <f>IFERROR(E4378*C4378,0)</f>
      </c>
      <c r="M4378" s="29">
        <f>IFERROR((G4378*H4378*I4378/1000000)*D4378,0)</f>
      </c>
    </row>
    <row r="4379" spans="1:13" x14ac:dyDescent="0.25">
      <c r="A4379" s="16"/>
      <c r="E4379" s="27"/>
      <c r="F4379" t="s">
        <v>26</v>
      </c>
      <c r="G4379" s="28">
        <f>IFERROR(VLOOKUP(F4379,CARTON_LOOKUP!$A:$E,3,0),"")</f>
      </c>
      <c r="H4379" s="28">
        <f>IFERROR(VLOOKUP(F4379,CARTON_LOOKUP!$A:$E,4,0),"")</f>
      </c>
      <c r="I4379" s="28">
        <f>IFERROR(VLOOKUP(F4379,CARTON_LOOKUP!$A:$E,5,0),"")</f>
      </c>
      <c r="J4379" s="29">
        <f>IFERROR(VLOOKUP(F4379,CARTON_LOOKUP!$A:$E,2,0),"")</f>
      </c>
      <c r="K4379" s="29">
        <f>IFERROR(J4379*D4379,0)</f>
      </c>
      <c r="L4379" s="29">
        <f>IFERROR(E4379*C4379,0)</f>
      </c>
      <c r="M4379" s="29">
        <f>IFERROR((G4379*H4379*I4379/1000000)*D4379,0)</f>
      </c>
    </row>
    <row r="4380" spans="1:13" x14ac:dyDescent="0.25">
      <c r="A4380" s="16"/>
      <c r="E4380" s="27"/>
      <c r="F4380" t="s">
        <v>26</v>
      </c>
      <c r="G4380" s="28">
        <f>IFERROR(VLOOKUP(F4380,CARTON_LOOKUP!$A:$E,3,0),"")</f>
      </c>
      <c r="H4380" s="28">
        <f>IFERROR(VLOOKUP(F4380,CARTON_LOOKUP!$A:$E,4,0),"")</f>
      </c>
      <c r="I4380" s="28">
        <f>IFERROR(VLOOKUP(F4380,CARTON_LOOKUP!$A:$E,5,0),"")</f>
      </c>
      <c r="J4380" s="29">
        <f>IFERROR(VLOOKUP(F4380,CARTON_LOOKUP!$A:$E,2,0),"")</f>
      </c>
      <c r="K4380" s="29">
        <f>IFERROR(J4380*D4380,0)</f>
      </c>
      <c r="L4380" s="29">
        <f>IFERROR(E4380*C4380,0)</f>
      </c>
      <c r="M4380" s="29">
        <f>IFERROR((G4380*H4380*I4380/1000000)*D4380,0)</f>
      </c>
    </row>
    <row r="4381" spans="1:13" x14ac:dyDescent="0.25">
      <c r="A4381" s="16"/>
      <c r="E4381" s="27"/>
      <c r="F4381" t="s">
        <v>26</v>
      </c>
      <c r="G4381" s="28">
        <f>IFERROR(VLOOKUP(F4381,CARTON_LOOKUP!$A:$E,3,0),"")</f>
      </c>
      <c r="H4381" s="28">
        <f>IFERROR(VLOOKUP(F4381,CARTON_LOOKUP!$A:$E,4,0),"")</f>
      </c>
      <c r="I4381" s="28">
        <f>IFERROR(VLOOKUP(F4381,CARTON_LOOKUP!$A:$E,5,0),"")</f>
      </c>
      <c r="J4381" s="29">
        <f>IFERROR(VLOOKUP(F4381,CARTON_LOOKUP!$A:$E,2,0),"")</f>
      </c>
      <c r="K4381" s="29">
        <f>IFERROR(J4381*D4381,0)</f>
      </c>
      <c r="L4381" s="29">
        <f>IFERROR(E4381*C4381,0)</f>
      </c>
      <c r="M4381" s="29">
        <f>IFERROR((G4381*H4381*I4381/1000000)*D4381,0)</f>
      </c>
    </row>
    <row r="4382" spans="1:13" x14ac:dyDescent="0.25">
      <c r="A4382" s="16"/>
      <c r="E4382" s="27"/>
      <c r="F4382" t="s">
        <v>26</v>
      </c>
      <c r="G4382" s="28">
        <f>IFERROR(VLOOKUP(F4382,CARTON_LOOKUP!$A:$E,3,0),"")</f>
      </c>
      <c r="H4382" s="28">
        <f>IFERROR(VLOOKUP(F4382,CARTON_LOOKUP!$A:$E,4,0),"")</f>
      </c>
      <c r="I4382" s="28">
        <f>IFERROR(VLOOKUP(F4382,CARTON_LOOKUP!$A:$E,5,0),"")</f>
      </c>
      <c r="J4382" s="29">
        <f>IFERROR(VLOOKUP(F4382,CARTON_LOOKUP!$A:$E,2,0),"")</f>
      </c>
      <c r="K4382" s="29">
        <f>IFERROR(J4382*D4382,0)</f>
      </c>
      <c r="L4382" s="29">
        <f>IFERROR(E4382*C4382,0)</f>
      </c>
      <c r="M4382" s="29">
        <f>IFERROR((G4382*H4382*I4382/1000000)*D4382,0)</f>
      </c>
    </row>
    <row r="4383" spans="1:13" x14ac:dyDescent="0.25">
      <c r="A4383" s="16"/>
      <c r="E4383" s="27"/>
      <c r="F4383" t="s">
        <v>26</v>
      </c>
      <c r="G4383" s="28">
        <f>IFERROR(VLOOKUP(F4383,CARTON_LOOKUP!$A:$E,3,0),"")</f>
      </c>
      <c r="H4383" s="28">
        <f>IFERROR(VLOOKUP(F4383,CARTON_LOOKUP!$A:$E,4,0),"")</f>
      </c>
      <c r="I4383" s="28">
        <f>IFERROR(VLOOKUP(F4383,CARTON_LOOKUP!$A:$E,5,0),"")</f>
      </c>
      <c r="J4383" s="29">
        <f>IFERROR(VLOOKUP(F4383,CARTON_LOOKUP!$A:$E,2,0),"")</f>
      </c>
      <c r="K4383" s="29">
        <f>IFERROR(J4383*D4383,0)</f>
      </c>
      <c r="L4383" s="29">
        <f>IFERROR(E4383*C4383,0)</f>
      </c>
      <c r="M4383" s="29">
        <f>IFERROR((G4383*H4383*I4383/1000000)*D4383,0)</f>
      </c>
    </row>
    <row r="4384" spans="1:13" x14ac:dyDescent="0.25">
      <c r="A4384" s="16"/>
      <c r="E4384" s="27"/>
      <c r="F4384" t="s">
        <v>26</v>
      </c>
      <c r="G4384" s="28">
        <f>IFERROR(VLOOKUP(F4384,CARTON_LOOKUP!$A:$E,3,0),"")</f>
      </c>
      <c r="H4384" s="28">
        <f>IFERROR(VLOOKUP(F4384,CARTON_LOOKUP!$A:$E,4,0),"")</f>
      </c>
      <c r="I4384" s="28">
        <f>IFERROR(VLOOKUP(F4384,CARTON_LOOKUP!$A:$E,5,0),"")</f>
      </c>
      <c r="J4384" s="29">
        <f>IFERROR(VLOOKUP(F4384,CARTON_LOOKUP!$A:$E,2,0),"")</f>
      </c>
      <c r="K4384" s="29">
        <f>IFERROR(J4384*D4384,0)</f>
      </c>
      <c r="L4384" s="29">
        <f>IFERROR(E4384*C4384,0)</f>
      </c>
      <c r="M4384" s="29">
        <f>IFERROR((G4384*H4384*I4384/1000000)*D4384,0)</f>
      </c>
    </row>
    <row r="4385" spans="1:13" x14ac:dyDescent="0.25">
      <c r="A4385" s="16"/>
      <c r="E4385" s="27"/>
      <c r="F4385" t="s">
        <v>26</v>
      </c>
      <c r="G4385" s="28">
        <f>IFERROR(VLOOKUP(F4385,CARTON_LOOKUP!$A:$E,3,0),"")</f>
      </c>
      <c r="H4385" s="28">
        <f>IFERROR(VLOOKUP(F4385,CARTON_LOOKUP!$A:$E,4,0),"")</f>
      </c>
      <c r="I4385" s="28">
        <f>IFERROR(VLOOKUP(F4385,CARTON_LOOKUP!$A:$E,5,0),"")</f>
      </c>
      <c r="J4385" s="29">
        <f>IFERROR(VLOOKUP(F4385,CARTON_LOOKUP!$A:$E,2,0),"")</f>
      </c>
      <c r="K4385" s="29">
        <f>IFERROR(J4385*D4385,0)</f>
      </c>
      <c r="L4385" s="29">
        <f>IFERROR(E4385*C4385,0)</f>
      </c>
      <c r="M4385" s="29">
        <f>IFERROR((G4385*H4385*I4385/1000000)*D4385,0)</f>
      </c>
    </row>
    <row r="4386" spans="1:13" x14ac:dyDescent="0.25">
      <c r="A4386" s="16"/>
      <c r="E4386" s="27"/>
      <c r="F4386" t="s">
        <v>26</v>
      </c>
      <c r="G4386" s="28">
        <f>IFERROR(VLOOKUP(F4386,CARTON_LOOKUP!$A:$E,3,0),"")</f>
      </c>
      <c r="H4386" s="28">
        <f>IFERROR(VLOOKUP(F4386,CARTON_LOOKUP!$A:$E,4,0),"")</f>
      </c>
      <c r="I4386" s="28">
        <f>IFERROR(VLOOKUP(F4386,CARTON_LOOKUP!$A:$E,5,0),"")</f>
      </c>
      <c r="J4386" s="29">
        <f>IFERROR(VLOOKUP(F4386,CARTON_LOOKUP!$A:$E,2,0),"")</f>
      </c>
      <c r="K4386" s="29">
        <f>IFERROR(J4386*D4386,0)</f>
      </c>
      <c r="L4386" s="29">
        <f>IFERROR(E4386*C4386,0)</f>
      </c>
      <c r="M4386" s="29">
        <f>IFERROR((G4386*H4386*I4386/1000000)*D4386,0)</f>
      </c>
    </row>
    <row r="4387" spans="1:13" x14ac:dyDescent="0.25">
      <c r="A4387" s="16"/>
      <c r="E4387" s="27"/>
      <c r="F4387" t="s">
        <v>26</v>
      </c>
      <c r="G4387" s="28">
        <f>IFERROR(VLOOKUP(F4387,CARTON_LOOKUP!$A:$E,3,0),"")</f>
      </c>
      <c r="H4387" s="28">
        <f>IFERROR(VLOOKUP(F4387,CARTON_LOOKUP!$A:$E,4,0),"")</f>
      </c>
      <c r="I4387" s="28">
        <f>IFERROR(VLOOKUP(F4387,CARTON_LOOKUP!$A:$E,5,0),"")</f>
      </c>
      <c r="J4387" s="29">
        <f>IFERROR(VLOOKUP(F4387,CARTON_LOOKUP!$A:$E,2,0),"")</f>
      </c>
      <c r="K4387" s="29">
        <f>IFERROR(J4387*D4387,0)</f>
      </c>
      <c r="L4387" s="29">
        <f>IFERROR(E4387*C4387,0)</f>
      </c>
      <c r="M4387" s="29">
        <f>IFERROR((G4387*H4387*I4387/1000000)*D4387,0)</f>
      </c>
    </row>
    <row r="4388" spans="1:13" x14ac:dyDescent="0.25">
      <c r="A4388" s="16"/>
      <c r="E4388" s="27"/>
      <c r="F4388" t="s">
        <v>26</v>
      </c>
      <c r="G4388" s="28">
        <f>IFERROR(VLOOKUP(F4388,CARTON_LOOKUP!$A:$E,3,0),"")</f>
      </c>
      <c r="H4388" s="28">
        <f>IFERROR(VLOOKUP(F4388,CARTON_LOOKUP!$A:$E,4,0),"")</f>
      </c>
      <c r="I4388" s="28">
        <f>IFERROR(VLOOKUP(F4388,CARTON_LOOKUP!$A:$E,5,0),"")</f>
      </c>
      <c r="J4388" s="29">
        <f>IFERROR(VLOOKUP(F4388,CARTON_LOOKUP!$A:$E,2,0),"")</f>
      </c>
      <c r="K4388" s="29">
        <f>IFERROR(J4388*D4388,0)</f>
      </c>
      <c r="L4388" s="29">
        <f>IFERROR(E4388*C4388,0)</f>
      </c>
      <c r="M4388" s="29">
        <f>IFERROR((G4388*H4388*I4388/1000000)*D4388,0)</f>
      </c>
    </row>
    <row r="4389" spans="1:13" x14ac:dyDescent="0.25">
      <c r="A4389" s="16"/>
      <c r="E4389" s="27"/>
      <c r="F4389" t="s">
        <v>26</v>
      </c>
      <c r="G4389" s="28">
        <f>IFERROR(VLOOKUP(F4389,CARTON_LOOKUP!$A:$E,3,0),"")</f>
      </c>
      <c r="H4389" s="28">
        <f>IFERROR(VLOOKUP(F4389,CARTON_LOOKUP!$A:$E,4,0),"")</f>
      </c>
      <c r="I4389" s="28">
        <f>IFERROR(VLOOKUP(F4389,CARTON_LOOKUP!$A:$E,5,0),"")</f>
      </c>
      <c r="J4389" s="29">
        <f>IFERROR(VLOOKUP(F4389,CARTON_LOOKUP!$A:$E,2,0),"")</f>
      </c>
      <c r="K4389" s="29">
        <f>IFERROR(J4389*D4389,0)</f>
      </c>
      <c r="L4389" s="29">
        <f>IFERROR(E4389*C4389,0)</f>
      </c>
      <c r="M4389" s="29">
        <f>IFERROR((G4389*H4389*I4389/1000000)*D4389,0)</f>
      </c>
    </row>
    <row r="4390" spans="1:13" x14ac:dyDescent="0.25">
      <c r="A4390" s="16"/>
      <c r="E4390" s="27"/>
      <c r="F4390" t="s">
        <v>26</v>
      </c>
      <c r="G4390" s="28">
        <f>IFERROR(VLOOKUP(F4390,CARTON_LOOKUP!$A:$E,3,0),"")</f>
      </c>
      <c r="H4390" s="28">
        <f>IFERROR(VLOOKUP(F4390,CARTON_LOOKUP!$A:$E,4,0),"")</f>
      </c>
      <c r="I4390" s="28">
        <f>IFERROR(VLOOKUP(F4390,CARTON_LOOKUP!$A:$E,5,0),"")</f>
      </c>
      <c r="J4390" s="29">
        <f>IFERROR(VLOOKUP(F4390,CARTON_LOOKUP!$A:$E,2,0),"")</f>
      </c>
      <c r="K4390" s="29">
        <f>IFERROR(J4390*D4390,0)</f>
      </c>
      <c r="L4390" s="29">
        <f>IFERROR(E4390*C4390,0)</f>
      </c>
      <c r="M4390" s="29">
        <f>IFERROR((G4390*H4390*I4390/1000000)*D4390,0)</f>
      </c>
    </row>
    <row r="4391" spans="1:13" x14ac:dyDescent="0.25">
      <c r="A4391" s="16"/>
      <c r="E4391" s="27"/>
      <c r="F4391" t="s">
        <v>26</v>
      </c>
      <c r="G4391" s="28">
        <f>IFERROR(VLOOKUP(F4391,CARTON_LOOKUP!$A:$E,3,0),"")</f>
      </c>
      <c r="H4391" s="28">
        <f>IFERROR(VLOOKUP(F4391,CARTON_LOOKUP!$A:$E,4,0),"")</f>
      </c>
      <c r="I4391" s="28">
        <f>IFERROR(VLOOKUP(F4391,CARTON_LOOKUP!$A:$E,5,0),"")</f>
      </c>
      <c r="J4391" s="29">
        <f>IFERROR(VLOOKUP(F4391,CARTON_LOOKUP!$A:$E,2,0),"")</f>
      </c>
      <c r="K4391" s="29">
        <f>IFERROR(J4391*D4391,0)</f>
      </c>
      <c r="L4391" s="29">
        <f>IFERROR(E4391*C4391,0)</f>
      </c>
      <c r="M4391" s="29">
        <f>IFERROR((G4391*H4391*I4391/1000000)*D4391,0)</f>
      </c>
    </row>
    <row r="4392" spans="1:13" x14ac:dyDescent="0.25">
      <c r="A4392" s="16"/>
      <c r="E4392" s="27"/>
      <c r="F4392" t="s">
        <v>26</v>
      </c>
      <c r="G4392" s="28">
        <f>IFERROR(VLOOKUP(F4392,CARTON_LOOKUP!$A:$E,3,0),"")</f>
      </c>
      <c r="H4392" s="28">
        <f>IFERROR(VLOOKUP(F4392,CARTON_LOOKUP!$A:$E,4,0),"")</f>
      </c>
      <c r="I4392" s="28">
        <f>IFERROR(VLOOKUP(F4392,CARTON_LOOKUP!$A:$E,5,0),"")</f>
      </c>
      <c r="J4392" s="29">
        <f>IFERROR(VLOOKUP(F4392,CARTON_LOOKUP!$A:$E,2,0),"")</f>
      </c>
      <c r="K4392" s="29">
        <f>IFERROR(J4392*D4392,0)</f>
      </c>
      <c r="L4392" s="29">
        <f>IFERROR(E4392*C4392,0)</f>
      </c>
      <c r="M4392" s="29">
        <f>IFERROR((G4392*H4392*I4392/1000000)*D4392,0)</f>
      </c>
    </row>
    <row r="4393" spans="1:13" x14ac:dyDescent="0.25">
      <c r="A4393" s="16"/>
      <c r="E4393" s="27"/>
      <c r="F4393" t="s">
        <v>26</v>
      </c>
      <c r="G4393" s="28">
        <f>IFERROR(VLOOKUP(F4393,CARTON_LOOKUP!$A:$E,3,0),"")</f>
      </c>
      <c r="H4393" s="28">
        <f>IFERROR(VLOOKUP(F4393,CARTON_LOOKUP!$A:$E,4,0),"")</f>
      </c>
      <c r="I4393" s="28">
        <f>IFERROR(VLOOKUP(F4393,CARTON_LOOKUP!$A:$E,5,0),"")</f>
      </c>
      <c r="J4393" s="29">
        <f>IFERROR(VLOOKUP(F4393,CARTON_LOOKUP!$A:$E,2,0),"")</f>
      </c>
      <c r="K4393" s="29">
        <f>IFERROR(J4393*D4393,0)</f>
      </c>
      <c r="L4393" s="29">
        <f>IFERROR(E4393*C4393,0)</f>
      </c>
      <c r="M4393" s="29">
        <f>IFERROR((G4393*H4393*I4393/1000000)*D4393,0)</f>
      </c>
    </row>
    <row r="4394" spans="1:13" x14ac:dyDescent="0.25">
      <c r="A4394" s="16"/>
      <c r="E4394" s="27"/>
      <c r="F4394" t="s">
        <v>26</v>
      </c>
      <c r="G4394" s="28">
        <f>IFERROR(VLOOKUP(F4394,CARTON_LOOKUP!$A:$E,3,0),"")</f>
      </c>
      <c r="H4394" s="28">
        <f>IFERROR(VLOOKUP(F4394,CARTON_LOOKUP!$A:$E,4,0),"")</f>
      </c>
      <c r="I4394" s="28">
        <f>IFERROR(VLOOKUP(F4394,CARTON_LOOKUP!$A:$E,5,0),"")</f>
      </c>
      <c r="J4394" s="29">
        <f>IFERROR(VLOOKUP(F4394,CARTON_LOOKUP!$A:$E,2,0),"")</f>
      </c>
      <c r="K4394" s="29">
        <f>IFERROR(J4394*D4394,0)</f>
      </c>
      <c r="L4394" s="29">
        <f>IFERROR(E4394*C4394,0)</f>
      </c>
      <c r="M4394" s="29">
        <f>IFERROR((G4394*H4394*I4394/1000000)*D4394,0)</f>
      </c>
    </row>
    <row r="4395" spans="1:13" x14ac:dyDescent="0.25">
      <c r="A4395" s="16"/>
      <c r="E4395" s="27"/>
      <c r="F4395" t="s">
        <v>26</v>
      </c>
      <c r="G4395" s="28">
        <f>IFERROR(VLOOKUP(F4395,CARTON_LOOKUP!$A:$E,3,0),"")</f>
      </c>
      <c r="H4395" s="28">
        <f>IFERROR(VLOOKUP(F4395,CARTON_LOOKUP!$A:$E,4,0),"")</f>
      </c>
      <c r="I4395" s="28">
        <f>IFERROR(VLOOKUP(F4395,CARTON_LOOKUP!$A:$E,5,0),"")</f>
      </c>
      <c r="J4395" s="29">
        <f>IFERROR(VLOOKUP(F4395,CARTON_LOOKUP!$A:$E,2,0),"")</f>
      </c>
      <c r="K4395" s="29">
        <f>IFERROR(J4395*D4395,0)</f>
      </c>
      <c r="L4395" s="29">
        <f>IFERROR(E4395*C4395,0)</f>
      </c>
      <c r="M4395" s="29">
        <f>IFERROR((G4395*H4395*I4395/1000000)*D4395,0)</f>
      </c>
    </row>
    <row r="4396" spans="1:13" x14ac:dyDescent="0.25">
      <c r="A4396" s="16"/>
      <c r="E4396" s="27"/>
      <c r="F4396" t="s">
        <v>26</v>
      </c>
      <c r="G4396" s="28">
        <f>IFERROR(VLOOKUP(F4396,CARTON_LOOKUP!$A:$E,3,0),"")</f>
      </c>
      <c r="H4396" s="28">
        <f>IFERROR(VLOOKUP(F4396,CARTON_LOOKUP!$A:$E,4,0),"")</f>
      </c>
      <c r="I4396" s="28">
        <f>IFERROR(VLOOKUP(F4396,CARTON_LOOKUP!$A:$E,5,0),"")</f>
      </c>
      <c r="J4396" s="29">
        <f>IFERROR(VLOOKUP(F4396,CARTON_LOOKUP!$A:$E,2,0),"")</f>
      </c>
      <c r="K4396" s="29">
        <f>IFERROR(J4396*D4396,0)</f>
      </c>
      <c r="L4396" s="29">
        <f>IFERROR(E4396*C4396,0)</f>
      </c>
      <c r="M4396" s="29">
        <f>IFERROR((G4396*H4396*I4396/1000000)*D4396,0)</f>
      </c>
    </row>
    <row r="4397" spans="1:13" x14ac:dyDescent="0.25">
      <c r="A4397" s="16"/>
      <c r="E4397" s="27"/>
      <c r="F4397" t="s">
        <v>26</v>
      </c>
      <c r="G4397" s="28">
        <f>IFERROR(VLOOKUP(F4397,CARTON_LOOKUP!$A:$E,3,0),"")</f>
      </c>
      <c r="H4397" s="28">
        <f>IFERROR(VLOOKUP(F4397,CARTON_LOOKUP!$A:$E,4,0),"")</f>
      </c>
      <c r="I4397" s="28">
        <f>IFERROR(VLOOKUP(F4397,CARTON_LOOKUP!$A:$E,5,0),"")</f>
      </c>
      <c r="J4397" s="29">
        <f>IFERROR(VLOOKUP(F4397,CARTON_LOOKUP!$A:$E,2,0),"")</f>
      </c>
      <c r="K4397" s="29">
        <f>IFERROR(J4397*D4397,0)</f>
      </c>
      <c r="L4397" s="29">
        <f>IFERROR(E4397*C4397,0)</f>
      </c>
      <c r="M4397" s="29">
        <f>IFERROR((G4397*H4397*I4397/1000000)*D4397,0)</f>
      </c>
    </row>
    <row r="4398" spans="1:13" x14ac:dyDescent="0.25">
      <c r="A4398" s="16"/>
      <c r="E4398" s="27"/>
      <c r="F4398" t="s">
        <v>26</v>
      </c>
      <c r="G4398" s="28">
        <f>IFERROR(VLOOKUP(F4398,CARTON_LOOKUP!$A:$E,3,0),"")</f>
      </c>
      <c r="H4398" s="28">
        <f>IFERROR(VLOOKUP(F4398,CARTON_LOOKUP!$A:$E,4,0),"")</f>
      </c>
      <c r="I4398" s="28">
        <f>IFERROR(VLOOKUP(F4398,CARTON_LOOKUP!$A:$E,5,0),"")</f>
      </c>
      <c r="J4398" s="29">
        <f>IFERROR(VLOOKUP(F4398,CARTON_LOOKUP!$A:$E,2,0),"")</f>
      </c>
      <c r="K4398" s="29">
        <f>IFERROR(J4398*D4398,0)</f>
      </c>
      <c r="L4398" s="29">
        <f>IFERROR(E4398*C4398,0)</f>
      </c>
      <c r="M4398" s="29">
        <f>IFERROR((G4398*H4398*I4398/1000000)*D4398,0)</f>
      </c>
    </row>
    <row r="4399" spans="1:13" x14ac:dyDescent="0.25">
      <c r="A4399" s="16"/>
      <c r="E4399" s="27"/>
      <c r="F4399" t="s">
        <v>26</v>
      </c>
      <c r="G4399" s="28">
        <f>IFERROR(VLOOKUP(F4399,CARTON_LOOKUP!$A:$E,3,0),"")</f>
      </c>
      <c r="H4399" s="28">
        <f>IFERROR(VLOOKUP(F4399,CARTON_LOOKUP!$A:$E,4,0),"")</f>
      </c>
      <c r="I4399" s="28">
        <f>IFERROR(VLOOKUP(F4399,CARTON_LOOKUP!$A:$E,5,0),"")</f>
      </c>
      <c r="J4399" s="29">
        <f>IFERROR(VLOOKUP(F4399,CARTON_LOOKUP!$A:$E,2,0),"")</f>
      </c>
      <c r="K4399" s="29">
        <f>IFERROR(J4399*D4399,0)</f>
      </c>
      <c r="L4399" s="29">
        <f>IFERROR(E4399*C4399,0)</f>
      </c>
      <c r="M4399" s="29">
        <f>IFERROR((G4399*H4399*I4399/1000000)*D4399,0)</f>
      </c>
    </row>
    <row r="4400" spans="1:13" x14ac:dyDescent="0.25">
      <c r="A4400" s="16"/>
      <c r="E4400" s="27"/>
      <c r="F4400" t="s">
        <v>26</v>
      </c>
      <c r="G4400" s="28">
        <f>IFERROR(VLOOKUP(F4400,CARTON_LOOKUP!$A:$E,3,0),"")</f>
      </c>
      <c r="H4400" s="28">
        <f>IFERROR(VLOOKUP(F4400,CARTON_LOOKUP!$A:$E,4,0),"")</f>
      </c>
      <c r="I4400" s="28">
        <f>IFERROR(VLOOKUP(F4400,CARTON_LOOKUP!$A:$E,5,0),"")</f>
      </c>
      <c r="J4400" s="29">
        <f>IFERROR(VLOOKUP(F4400,CARTON_LOOKUP!$A:$E,2,0),"")</f>
      </c>
      <c r="K4400" s="29">
        <f>IFERROR(J4400*D4400,0)</f>
      </c>
      <c r="L4400" s="29">
        <f>IFERROR(E4400*C4400,0)</f>
      </c>
      <c r="M4400" s="29">
        <f>IFERROR((G4400*H4400*I4400/1000000)*D4400,0)</f>
      </c>
    </row>
    <row r="4401" spans="1:13" x14ac:dyDescent="0.25">
      <c r="A4401" s="16"/>
      <c r="E4401" s="27"/>
      <c r="F4401" t="s">
        <v>26</v>
      </c>
      <c r="G4401" s="28">
        <f>IFERROR(VLOOKUP(F4401,CARTON_LOOKUP!$A:$E,3,0),"")</f>
      </c>
      <c r="H4401" s="28">
        <f>IFERROR(VLOOKUP(F4401,CARTON_LOOKUP!$A:$E,4,0),"")</f>
      </c>
      <c r="I4401" s="28">
        <f>IFERROR(VLOOKUP(F4401,CARTON_LOOKUP!$A:$E,5,0),"")</f>
      </c>
      <c r="J4401" s="29">
        <f>IFERROR(VLOOKUP(F4401,CARTON_LOOKUP!$A:$E,2,0),"")</f>
      </c>
      <c r="K4401" s="29">
        <f>IFERROR(J4401*D4401,0)</f>
      </c>
      <c r="L4401" s="29">
        <f>IFERROR(E4401*C4401,0)</f>
      </c>
      <c r="M4401" s="29">
        <f>IFERROR((G4401*H4401*I4401/1000000)*D4401,0)</f>
      </c>
    </row>
    <row r="4402" spans="1:13" x14ac:dyDescent="0.25">
      <c r="A4402" s="16"/>
      <c r="E4402" s="27"/>
      <c r="F4402" t="s">
        <v>26</v>
      </c>
      <c r="G4402" s="28">
        <f>IFERROR(VLOOKUP(F4402,CARTON_LOOKUP!$A:$E,3,0),"")</f>
      </c>
      <c r="H4402" s="28">
        <f>IFERROR(VLOOKUP(F4402,CARTON_LOOKUP!$A:$E,4,0),"")</f>
      </c>
      <c r="I4402" s="28">
        <f>IFERROR(VLOOKUP(F4402,CARTON_LOOKUP!$A:$E,5,0),"")</f>
      </c>
      <c r="J4402" s="29">
        <f>IFERROR(VLOOKUP(F4402,CARTON_LOOKUP!$A:$E,2,0),"")</f>
      </c>
      <c r="K4402" s="29">
        <f>IFERROR(J4402*D4402,0)</f>
      </c>
      <c r="L4402" s="29">
        <f>IFERROR(E4402*C4402,0)</f>
      </c>
      <c r="M4402" s="29">
        <f>IFERROR((G4402*H4402*I4402/1000000)*D4402,0)</f>
      </c>
    </row>
    <row r="4403" spans="1:13" x14ac:dyDescent="0.25">
      <c r="A4403" s="16"/>
      <c r="E4403" s="27"/>
      <c r="F4403" t="s">
        <v>26</v>
      </c>
      <c r="G4403" s="28">
        <f>IFERROR(VLOOKUP(F4403,CARTON_LOOKUP!$A:$E,3,0),"")</f>
      </c>
      <c r="H4403" s="28">
        <f>IFERROR(VLOOKUP(F4403,CARTON_LOOKUP!$A:$E,4,0),"")</f>
      </c>
      <c r="I4403" s="28">
        <f>IFERROR(VLOOKUP(F4403,CARTON_LOOKUP!$A:$E,5,0),"")</f>
      </c>
      <c r="J4403" s="29">
        <f>IFERROR(VLOOKUP(F4403,CARTON_LOOKUP!$A:$E,2,0),"")</f>
      </c>
      <c r="K4403" s="29">
        <f>IFERROR(J4403*D4403,0)</f>
      </c>
      <c r="L4403" s="29">
        <f>IFERROR(E4403*C4403,0)</f>
      </c>
      <c r="M4403" s="29">
        <f>IFERROR((G4403*H4403*I4403/1000000)*D4403,0)</f>
      </c>
    </row>
    <row r="4404" spans="1:13" x14ac:dyDescent="0.25">
      <c r="A4404" s="16"/>
      <c r="E4404" s="27"/>
      <c r="F4404" t="s">
        <v>26</v>
      </c>
      <c r="G4404" s="28">
        <f>IFERROR(VLOOKUP(F4404,CARTON_LOOKUP!$A:$E,3,0),"")</f>
      </c>
      <c r="H4404" s="28">
        <f>IFERROR(VLOOKUP(F4404,CARTON_LOOKUP!$A:$E,4,0),"")</f>
      </c>
      <c r="I4404" s="28">
        <f>IFERROR(VLOOKUP(F4404,CARTON_LOOKUP!$A:$E,5,0),"")</f>
      </c>
      <c r="J4404" s="29">
        <f>IFERROR(VLOOKUP(F4404,CARTON_LOOKUP!$A:$E,2,0),"")</f>
      </c>
      <c r="K4404" s="29">
        <f>IFERROR(J4404*D4404,0)</f>
      </c>
      <c r="L4404" s="29">
        <f>IFERROR(E4404*C4404,0)</f>
      </c>
      <c r="M4404" s="29">
        <f>IFERROR((G4404*H4404*I4404/1000000)*D4404,0)</f>
      </c>
    </row>
    <row r="4405" spans="1:13" x14ac:dyDescent="0.25">
      <c r="A4405" s="16"/>
      <c r="E4405" s="27"/>
      <c r="F4405" t="s">
        <v>26</v>
      </c>
      <c r="G4405" s="28">
        <f>IFERROR(VLOOKUP(F4405,CARTON_LOOKUP!$A:$E,3,0),"")</f>
      </c>
      <c r="H4405" s="28">
        <f>IFERROR(VLOOKUP(F4405,CARTON_LOOKUP!$A:$E,4,0),"")</f>
      </c>
      <c r="I4405" s="28">
        <f>IFERROR(VLOOKUP(F4405,CARTON_LOOKUP!$A:$E,5,0),"")</f>
      </c>
      <c r="J4405" s="29">
        <f>IFERROR(VLOOKUP(F4405,CARTON_LOOKUP!$A:$E,2,0),"")</f>
      </c>
      <c r="K4405" s="29">
        <f>IFERROR(J4405*D4405,0)</f>
      </c>
      <c r="L4405" s="29">
        <f>IFERROR(E4405*C4405,0)</f>
      </c>
      <c r="M4405" s="29">
        <f>IFERROR((G4405*H4405*I4405/1000000)*D4405,0)</f>
      </c>
    </row>
    <row r="4406" spans="1:13" x14ac:dyDescent="0.25">
      <c r="A4406" s="16"/>
      <c r="E4406" s="27"/>
      <c r="F4406" t="s">
        <v>26</v>
      </c>
      <c r="G4406" s="28">
        <f>IFERROR(VLOOKUP(F4406,CARTON_LOOKUP!$A:$E,3,0),"")</f>
      </c>
      <c r="H4406" s="28">
        <f>IFERROR(VLOOKUP(F4406,CARTON_LOOKUP!$A:$E,4,0),"")</f>
      </c>
      <c r="I4406" s="28">
        <f>IFERROR(VLOOKUP(F4406,CARTON_LOOKUP!$A:$E,5,0),"")</f>
      </c>
      <c r="J4406" s="29">
        <f>IFERROR(VLOOKUP(F4406,CARTON_LOOKUP!$A:$E,2,0),"")</f>
      </c>
      <c r="K4406" s="29">
        <f>IFERROR(J4406*D4406,0)</f>
      </c>
      <c r="L4406" s="29">
        <f>IFERROR(E4406*C4406,0)</f>
      </c>
      <c r="M4406" s="29">
        <f>IFERROR((G4406*H4406*I4406/1000000)*D4406,0)</f>
      </c>
    </row>
    <row r="4407" spans="1:13" x14ac:dyDescent="0.25">
      <c r="A4407" s="16"/>
      <c r="E4407" s="27"/>
      <c r="F4407" t="s">
        <v>26</v>
      </c>
      <c r="G4407" s="28">
        <f>IFERROR(VLOOKUP(F4407,CARTON_LOOKUP!$A:$E,3,0),"")</f>
      </c>
      <c r="H4407" s="28">
        <f>IFERROR(VLOOKUP(F4407,CARTON_LOOKUP!$A:$E,4,0),"")</f>
      </c>
      <c r="I4407" s="28">
        <f>IFERROR(VLOOKUP(F4407,CARTON_LOOKUP!$A:$E,5,0),"")</f>
      </c>
      <c r="J4407" s="29">
        <f>IFERROR(VLOOKUP(F4407,CARTON_LOOKUP!$A:$E,2,0),"")</f>
      </c>
      <c r="K4407" s="29">
        <f>IFERROR(J4407*D4407,0)</f>
      </c>
      <c r="L4407" s="29">
        <f>IFERROR(E4407*C4407,0)</f>
      </c>
      <c r="M4407" s="29">
        <f>IFERROR((G4407*H4407*I4407/1000000)*D4407,0)</f>
      </c>
    </row>
    <row r="4408" spans="1:13" x14ac:dyDescent="0.25">
      <c r="A4408" s="16"/>
      <c r="E4408" s="27"/>
      <c r="F4408" t="s">
        <v>26</v>
      </c>
      <c r="G4408" s="28">
        <f>IFERROR(VLOOKUP(F4408,CARTON_LOOKUP!$A:$E,3,0),"")</f>
      </c>
      <c r="H4408" s="28">
        <f>IFERROR(VLOOKUP(F4408,CARTON_LOOKUP!$A:$E,4,0),"")</f>
      </c>
      <c r="I4408" s="28">
        <f>IFERROR(VLOOKUP(F4408,CARTON_LOOKUP!$A:$E,5,0),"")</f>
      </c>
      <c r="J4408" s="29">
        <f>IFERROR(VLOOKUP(F4408,CARTON_LOOKUP!$A:$E,2,0),"")</f>
      </c>
      <c r="K4408" s="29">
        <f>IFERROR(J4408*D4408,0)</f>
      </c>
      <c r="L4408" s="29">
        <f>IFERROR(E4408*C4408,0)</f>
      </c>
      <c r="M4408" s="29">
        <f>IFERROR((G4408*H4408*I4408/1000000)*D4408,0)</f>
      </c>
    </row>
    <row r="4409" spans="1:13" x14ac:dyDescent="0.25">
      <c r="A4409" s="16"/>
      <c r="E4409" s="27"/>
      <c r="F4409" t="s">
        <v>26</v>
      </c>
      <c r="G4409" s="28">
        <f>IFERROR(VLOOKUP(F4409,CARTON_LOOKUP!$A:$E,3,0),"")</f>
      </c>
      <c r="H4409" s="28">
        <f>IFERROR(VLOOKUP(F4409,CARTON_LOOKUP!$A:$E,4,0),"")</f>
      </c>
      <c r="I4409" s="28">
        <f>IFERROR(VLOOKUP(F4409,CARTON_LOOKUP!$A:$E,5,0),"")</f>
      </c>
      <c r="J4409" s="29">
        <f>IFERROR(VLOOKUP(F4409,CARTON_LOOKUP!$A:$E,2,0),"")</f>
      </c>
      <c r="K4409" s="29">
        <f>IFERROR(J4409*D4409,0)</f>
      </c>
      <c r="L4409" s="29">
        <f>IFERROR(E4409*C4409,0)</f>
      </c>
      <c r="M4409" s="29">
        <f>IFERROR((G4409*H4409*I4409/1000000)*D4409,0)</f>
      </c>
    </row>
    <row r="4410" spans="1:13" x14ac:dyDescent="0.25">
      <c r="A4410" s="16"/>
      <c r="E4410" s="27"/>
      <c r="F4410" t="s">
        <v>26</v>
      </c>
      <c r="G4410" s="28">
        <f>IFERROR(VLOOKUP(F4410,CARTON_LOOKUP!$A:$E,3,0),"")</f>
      </c>
      <c r="H4410" s="28">
        <f>IFERROR(VLOOKUP(F4410,CARTON_LOOKUP!$A:$E,4,0),"")</f>
      </c>
      <c r="I4410" s="28">
        <f>IFERROR(VLOOKUP(F4410,CARTON_LOOKUP!$A:$E,5,0),"")</f>
      </c>
      <c r="J4410" s="29">
        <f>IFERROR(VLOOKUP(F4410,CARTON_LOOKUP!$A:$E,2,0),"")</f>
      </c>
      <c r="K4410" s="29">
        <f>IFERROR(J4410*D4410,0)</f>
      </c>
      <c r="L4410" s="29">
        <f>IFERROR(E4410*C4410,0)</f>
      </c>
      <c r="M4410" s="29">
        <f>IFERROR((G4410*H4410*I4410/1000000)*D4410,0)</f>
      </c>
    </row>
    <row r="4411" spans="1:13" x14ac:dyDescent="0.25">
      <c r="A4411" s="16"/>
      <c r="E4411" s="27"/>
      <c r="F4411" t="s">
        <v>26</v>
      </c>
      <c r="G4411" s="28">
        <f>IFERROR(VLOOKUP(F4411,CARTON_LOOKUP!$A:$E,3,0),"")</f>
      </c>
      <c r="H4411" s="28">
        <f>IFERROR(VLOOKUP(F4411,CARTON_LOOKUP!$A:$E,4,0),"")</f>
      </c>
      <c r="I4411" s="28">
        <f>IFERROR(VLOOKUP(F4411,CARTON_LOOKUP!$A:$E,5,0),"")</f>
      </c>
      <c r="J4411" s="29">
        <f>IFERROR(VLOOKUP(F4411,CARTON_LOOKUP!$A:$E,2,0),"")</f>
      </c>
      <c r="K4411" s="29">
        <f>IFERROR(J4411*D4411,0)</f>
      </c>
      <c r="L4411" s="29">
        <f>IFERROR(E4411*C4411,0)</f>
      </c>
      <c r="M4411" s="29">
        <f>IFERROR((G4411*H4411*I4411/1000000)*D4411,0)</f>
      </c>
    </row>
    <row r="4412" spans="1:13" x14ac:dyDescent="0.25">
      <c r="A4412" s="16"/>
      <c r="E4412" s="27"/>
      <c r="F4412" t="s">
        <v>26</v>
      </c>
      <c r="G4412" s="28">
        <f>IFERROR(VLOOKUP(F4412,CARTON_LOOKUP!$A:$E,3,0),"")</f>
      </c>
      <c r="H4412" s="28">
        <f>IFERROR(VLOOKUP(F4412,CARTON_LOOKUP!$A:$E,4,0),"")</f>
      </c>
      <c r="I4412" s="28">
        <f>IFERROR(VLOOKUP(F4412,CARTON_LOOKUP!$A:$E,5,0),"")</f>
      </c>
      <c r="J4412" s="29">
        <f>IFERROR(VLOOKUP(F4412,CARTON_LOOKUP!$A:$E,2,0),"")</f>
      </c>
      <c r="K4412" s="29">
        <f>IFERROR(J4412*D4412,0)</f>
      </c>
      <c r="L4412" s="29">
        <f>IFERROR(E4412*C4412,0)</f>
      </c>
      <c r="M4412" s="29">
        <f>IFERROR((G4412*H4412*I4412/1000000)*D4412,0)</f>
      </c>
    </row>
    <row r="4413" spans="1:13" x14ac:dyDescent="0.25">
      <c r="A4413" s="16"/>
      <c r="E4413" s="27"/>
      <c r="F4413" t="s">
        <v>26</v>
      </c>
      <c r="G4413" s="28">
        <f>IFERROR(VLOOKUP(F4413,CARTON_LOOKUP!$A:$E,3,0),"")</f>
      </c>
      <c r="H4413" s="28">
        <f>IFERROR(VLOOKUP(F4413,CARTON_LOOKUP!$A:$E,4,0),"")</f>
      </c>
      <c r="I4413" s="28">
        <f>IFERROR(VLOOKUP(F4413,CARTON_LOOKUP!$A:$E,5,0),"")</f>
      </c>
      <c r="J4413" s="29">
        <f>IFERROR(VLOOKUP(F4413,CARTON_LOOKUP!$A:$E,2,0),"")</f>
      </c>
      <c r="K4413" s="29">
        <f>IFERROR(J4413*D4413,0)</f>
      </c>
      <c r="L4413" s="29">
        <f>IFERROR(E4413*C4413,0)</f>
      </c>
      <c r="M4413" s="29">
        <f>IFERROR((G4413*H4413*I4413/1000000)*D4413,0)</f>
      </c>
    </row>
    <row r="4414" spans="1:13" x14ac:dyDescent="0.25">
      <c r="A4414" s="16"/>
      <c r="E4414" s="27"/>
      <c r="F4414" t="s">
        <v>26</v>
      </c>
      <c r="G4414" s="28">
        <f>IFERROR(VLOOKUP(F4414,CARTON_LOOKUP!$A:$E,3,0),"")</f>
      </c>
      <c r="H4414" s="28">
        <f>IFERROR(VLOOKUP(F4414,CARTON_LOOKUP!$A:$E,4,0),"")</f>
      </c>
      <c r="I4414" s="28">
        <f>IFERROR(VLOOKUP(F4414,CARTON_LOOKUP!$A:$E,5,0),"")</f>
      </c>
      <c r="J4414" s="29">
        <f>IFERROR(VLOOKUP(F4414,CARTON_LOOKUP!$A:$E,2,0),"")</f>
      </c>
      <c r="K4414" s="29">
        <f>IFERROR(J4414*D4414,0)</f>
      </c>
      <c r="L4414" s="29">
        <f>IFERROR(E4414*C4414,0)</f>
      </c>
      <c r="M4414" s="29">
        <f>IFERROR((G4414*H4414*I4414/1000000)*D4414,0)</f>
      </c>
    </row>
    <row r="4415" spans="1:13" x14ac:dyDescent="0.25">
      <c r="A4415" s="16"/>
      <c r="E4415" s="27"/>
      <c r="F4415" t="s">
        <v>26</v>
      </c>
      <c r="G4415" s="28">
        <f>IFERROR(VLOOKUP(F4415,CARTON_LOOKUP!$A:$E,3,0),"")</f>
      </c>
      <c r="H4415" s="28">
        <f>IFERROR(VLOOKUP(F4415,CARTON_LOOKUP!$A:$E,4,0),"")</f>
      </c>
      <c r="I4415" s="28">
        <f>IFERROR(VLOOKUP(F4415,CARTON_LOOKUP!$A:$E,5,0),"")</f>
      </c>
      <c r="J4415" s="29">
        <f>IFERROR(VLOOKUP(F4415,CARTON_LOOKUP!$A:$E,2,0),"")</f>
      </c>
      <c r="K4415" s="29">
        <f>IFERROR(J4415*D4415,0)</f>
      </c>
      <c r="L4415" s="29">
        <f>IFERROR(E4415*C4415,0)</f>
      </c>
      <c r="M4415" s="29">
        <f>IFERROR((G4415*H4415*I4415/1000000)*D4415,0)</f>
      </c>
    </row>
    <row r="4416" spans="1:13" x14ac:dyDescent="0.25">
      <c r="A4416" s="16"/>
      <c r="E4416" s="27"/>
      <c r="F4416" t="s">
        <v>26</v>
      </c>
      <c r="G4416" s="28">
        <f>IFERROR(VLOOKUP(F4416,CARTON_LOOKUP!$A:$E,3,0),"")</f>
      </c>
      <c r="H4416" s="28">
        <f>IFERROR(VLOOKUP(F4416,CARTON_LOOKUP!$A:$E,4,0),"")</f>
      </c>
      <c r="I4416" s="28">
        <f>IFERROR(VLOOKUP(F4416,CARTON_LOOKUP!$A:$E,5,0),"")</f>
      </c>
      <c r="J4416" s="29">
        <f>IFERROR(VLOOKUP(F4416,CARTON_LOOKUP!$A:$E,2,0),"")</f>
      </c>
      <c r="K4416" s="29">
        <f>IFERROR(J4416*D4416,0)</f>
      </c>
      <c r="L4416" s="29">
        <f>IFERROR(E4416*C4416,0)</f>
      </c>
      <c r="M4416" s="29">
        <f>IFERROR((G4416*H4416*I4416/1000000)*D4416,0)</f>
      </c>
    </row>
    <row r="4417" spans="1:13" x14ac:dyDescent="0.25">
      <c r="A4417" s="16"/>
      <c r="E4417" s="27"/>
      <c r="F4417" t="s">
        <v>26</v>
      </c>
      <c r="G4417" s="28">
        <f>IFERROR(VLOOKUP(F4417,CARTON_LOOKUP!$A:$E,3,0),"")</f>
      </c>
      <c r="H4417" s="28">
        <f>IFERROR(VLOOKUP(F4417,CARTON_LOOKUP!$A:$E,4,0),"")</f>
      </c>
      <c r="I4417" s="28">
        <f>IFERROR(VLOOKUP(F4417,CARTON_LOOKUP!$A:$E,5,0),"")</f>
      </c>
      <c r="J4417" s="29">
        <f>IFERROR(VLOOKUP(F4417,CARTON_LOOKUP!$A:$E,2,0),"")</f>
      </c>
      <c r="K4417" s="29">
        <f>IFERROR(J4417*D4417,0)</f>
      </c>
      <c r="L4417" s="29">
        <f>IFERROR(E4417*C4417,0)</f>
      </c>
      <c r="M4417" s="29">
        <f>IFERROR((G4417*H4417*I4417/1000000)*D4417,0)</f>
      </c>
    </row>
    <row r="4418" spans="1:13" x14ac:dyDescent="0.25">
      <c r="A4418" s="16"/>
      <c r="E4418" s="27"/>
      <c r="F4418" t="s">
        <v>26</v>
      </c>
      <c r="G4418" s="28">
        <f>IFERROR(VLOOKUP(F4418,CARTON_LOOKUP!$A:$E,3,0),"")</f>
      </c>
      <c r="H4418" s="28">
        <f>IFERROR(VLOOKUP(F4418,CARTON_LOOKUP!$A:$E,4,0),"")</f>
      </c>
      <c r="I4418" s="28">
        <f>IFERROR(VLOOKUP(F4418,CARTON_LOOKUP!$A:$E,5,0),"")</f>
      </c>
      <c r="J4418" s="29">
        <f>IFERROR(VLOOKUP(F4418,CARTON_LOOKUP!$A:$E,2,0),"")</f>
      </c>
      <c r="K4418" s="29">
        <f>IFERROR(J4418*D4418,0)</f>
      </c>
      <c r="L4418" s="29">
        <f>IFERROR(E4418*C4418,0)</f>
      </c>
      <c r="M4418" s="29">
        <f>IFERROR((G4418*H4418*I4418/1000000)*D4418,0)</f>
      </c>
    </row>
    <row r="4419" spans="1:13" x14ac:dyDescent="0.25">
      <c r="A4419" s="16"/>
      <c r="E4419" s="27"/>
      <c r="F4419" t="s">
        <v>26</v>
      </c>
      <c r="G4419" s="28">
        <f>IFERROR(VLOOKUP(F4419,CARTON_LOOKUP!$A:$E,3,0),"")</f>
      </c>
      <c r="H4419" s="28">
        <f>IFERROR(VLOOKUP(F4419,CARTON_LOOKUP!$A:$E,4,0),"")</f>
      </c>
      <c r="I4419" s="28">
        <f>IFERROR(VLOOKUP(F4419,CARTON_LOOKUP!$A:$E,5,0),"")</f>
      </c>
      <c r="J4419" s="29">
        <f>IFERROR(VLOOKUP(F4419,CARTON_LOOKUP!$A:$E,2,0),"")</f>
      </c>
      <c r="K4419" s="29">
        <f>IFERROR(J4419*D4419,0)</f>
      </c>
      <c r="L4419" s="29">
        <f>IFERROR(E4419*C4419,0)</f>
      </c>
      <c r="M4419" s="29">
        <f>IFERROR((G4419*H4419*I4419/1000000)*D4419,0)</f>
      </c>
    </row>
    <row r="4420" spans="1:13" x14ac:dyDescent="0.25">
      <c r="A4420" s="16"/>
      <c r="E4420" s="27"/>
      <c r="F4420" t="s">
        <v>26</v>
      </c>
      <c r="G4420" s="28">
        <f>IFERROR(VLOOKUP(F4420,CARTON_LOOKUP!$A:$E,3,0),"")</f>
      </c>
      <c r="H4420" s="28">
        <f>IFERROR(VLOOKUP(F4420,CARTON_LOOKUP!$A:$E,4,0),"")</f>
      </c>
      <c r="I4420" s="28">
        <f>IFERROR(VLOOKUP(F4420,CARTON_LOOKUP!$A:$E,5,0),"")</f>
      </c>
      <c r="J4420" s="29">
        <f>IFERROR(VLOOKUP(F4420,CARTON_LOOKUP!$A:$E,2,0),"")</f>
      </c>
      <c r="K4420" s="29">
        <f>IFERROR(J4420*D4420,0)</f>
      </c>
      <c r="L4420" s="29">
        <f>IFERROR(E4420*C4420,0)</f>
      </c>
      <c r="M4420" s="29">
        <f>IFERROR((G4420*H4420*I4420/1000000)*D4420,0)</f>
      </c>
    </row>
    <row r="4421" spans="1:13" x14ac:dyDescent="0.25">
      <c r="A4421" s="16"/>
      <c r="E4421" s="27"/>
      <c r="F4421" t="s">
        <v>26</v>
      </c>
      <c r="G4421" s="28">
        <f>IFERROR(VLOOKUP(F4421,CARTON_LOOKUP!$A:$E,3,0),"")</f>
      </c>
      <c r="H4421" s="28">
        <f>IFERROR(VLOOKUP(F4421,CARTON_LOOKUP!$A:$E,4,0),"")</f>
      </c>
      <c r="I4421" s="28">
        <f>IFERROR(VLOOKUP(F4421,CARTON_LOOKUP!$A:$E,5,0),"")</f>
      </c>
      <c r="J4421" s="29">
        <f>IFERROR(VLOOKUP(F4421,CARTON_LOOKUP!$A:$E,2,0),"")</f>
      </c>
      <c r="K4421" s="29">
        <f>IFERROR(J4421*D4421,0)</f>
      </c>
      <c r="L4421" s="29">
        <f>IFERROR(E4421*C4421,0)</f>
      </c>
      <c r="M4421" s="29">
        <f>IFERROR((G4421*H4421*I4421/1000000)*D4421,0)</f>
      </c>
    </row>
    <row r="4422" spans="1:13" x14ac:dyDescent="0.25">
      <c r="A4422" s="16"/>
      <c r="E4422" s="27"/>
      <c r="F4422" t="s">
        <v>26</v>
      </c>
      <c r="G4422" s="28">
        <f>IFERROR(VLOOKUP(F4422,CARTON_LOOKUP!$A:$E,3,0),"")</f>
      </c>
      <c r="H4422" s="28">
        <f>IFERROR(VLOOKUP(F4422,CARTON_LOOKUP!$A:$E,4,0),"")</f>
      </c>
      <c r="I4422" s="28">
        <f>IFERROR(VLOOKUP(F4422,CARTON_LOOKUP!$A:$E,5,0),"")</f>
      </c>
      <c r="J4422" s="29">
        <f>IFERROR(VLOOKUP(F4422,CARTON_LOOKUP!$A:$E,2,0),"")</f>
      </c>
      <c r="K4422" s="29">
        <f>IFERROR(J4422*D4422,0)</f>
      </c>
      <c r="L4422" s="29">
        <f>IFERROR(E4422*C4422,0)</f>
      </c>
      <c r="M4422" s="29">
        <f>IFERROR((G4422*H4422*I4422/1000000)*D4422,0)</f>
      </c>
    </row>
    <row r="4423" spans="1:13" x14ac:dyDescent="0.25">
      <c r="A4423" s="16"/>
      <c r="E4423" s="27"/>
      <c r="F4423" t="s">
        <v>26</v>
      </c>
      <c r="G4423" s="28">
        <f>IFERROR(VLOOKUP(F4423,CARTON_LOOKUP!$A:$E,3,0),"")</f>
      </c>
      <c r="H4423" s="28">
        <f>IFERROR(VLOOKUP(F4423,CARTON_LOOKUP!$A:$E,4,0),"")</f>
      </c>
      <c r="I4423" s="28">
        <f>IFERROR(VLOOKUP(F4423,CARTON_LOOKUP!$A:$E,5,0),"")</f>
      </c>
      <c r="J4423" s="29">
        <f>IFERROR(VLOOKUP(F4423,CARTON_LOOKUP!$A:$E,2,0),"")</f>
      </c>
      <c r="K4423" s="29">
        <f>IFERROR(J4423*D4423,0)</f>
      </c>
      <c r="L4423" s="29">
        <f>IFERROR(E4423*C4423,0)</f>
      </c>
      <c r="M4423" s="29">
        <f>IFERROR((G4423*H4423*I4423/1000000)*D4423,0)</f>
      </c>
    </row>
    <row r="4424" spans="1:13" x14ac:dyDescent="0.25">
      <c r="A4424" s="16"/>
      <c r="E4424" s="27"/>
      <c r="F4424" t="s">
        <v>26</v>
      </c>
      <c r="G4424" s="28">
        <f>IFERROR(VLOOKUP(F4424,CARTON_LOOKUP!$A:$E,3,0),"")</f>
      </c>
      <c r="H4424" s="28">
        <f>IFERROR(VLOOKUP(F4424,CARTON_LOOKUP!$A:$E,4,0),"")</f>
      </c>
      <c r="I4424" s="28">
        <f>IFERROR(VLOOKUP(F4424,CARTON_LOOKUP!$A:$E,5,0),"")</f>
      </c>
      <c r="J4424" s="29">
        <f>IFERROR(VLOOKUP(F4424,CARTON_LOOKUP!$A:$E,2,0),"")</f>
      </c>
      <c r="K4424" s="29">
        <f>IFERROR(J4424*D4424,0)</f>
      </c>
      <c r="L4424" s="29">
        <f>IFERROR(E4424*C4424,0)</f>
      </c>
      <c r="M4424" s="29">
        <f>IFERROR((G4424*H4424*I4424/1000000)*D4424,0)</f>
      </c>
    </row>
    <row r="4425" spans="1:13" x14ac:dyDescent="0.25">
      <c r="A4425" s="16"/>
      <c r="E4425" s="27"/>
      <c r="F4425" t="s">
        <v>26</v>
      </c>
      <c r="G4425" s="28">
        <f>IFERROR(VLOOKUP(F4425,CARTON_LOOKUP!$A:$E,3,0),"")</f>
      </c>
      <c r="H4425" s="28">
        <f>IFERROR(VLOOKUP(F4425,CARTON_LOOKUP!$A:$E,4,0),"")</f>
      </c>
      <c r="I4425" s="28">
        <f>IFERROR(VLOOKUP(F4425,CARTON_LOOKUP!$A:$E,5,0),"")</f>
      </c>
      <c r="J4425" s="29">
        <f>IFERROR(VLOOKUP(F4425,CARTON_LOOKUP!$A:$E,2,0),"")</f>
      </c>
      <c r="K4425" s="29">
        <f>IFERROR(J4425*D4425,0)</f>
      </c>
      <c r="L4425" s="29">
        <f>IFERROR(E4425*C4425,0)</f>
      </c>
      <c r="M4425" s="29">
        <f>IFERROR((G4425*H4425*I4425/1000000)*D4425,0)</f>
      </c>
    </row>
    <row r="4426" spans="1:13" x14ac:dyDescent="0.25">
      <c r="A4426" s="16"/>
      <c r="E4426" s="27"/>
      <c r="F4426" t="s">
        <v>26</v>
      </c>
      <c r="G4426" s="28">
        <f>IFERROR(VLOOKUP(F4426,CARTON_LOOKUP!$A:$E,3,0),"")</f>
      </c>
      <c r="H4426" s="28">
        <f>IFERROR(VLOOKUP(F4426,CARTON_LOOKUP!$A:$E,4,0),"")</f>
      </c>
      <c r="I4426" s="28">
        <f>IFERROR(VLOOKUP(F4426,CARTON_LOOKUP!$A:$E,5,0),"")</f>
      </c>
      <c r="J4426" s="29">
        <f>IFERROR(VLOOKUP(F4426,CARTON_LOOKUP!$A:$E,2,0),"")</f>
      </c>
      <c r="K4426" s="29">
        <f>IFERROR(J4426*D4426,0)</f>
      </c>
      <c r="L4426" s="29">
        <f>IFERROR(E4426*C4426,0)</f>
      </c>
      <c r="M4426" s="29">
        <f>IFERROR((G4426*H4426*I4426/1000000)*D4426,0)</f>
      </c>
    </row>
    <row r="4427" spans="1:13" x14ac:dyDescent="0.25">
      <c r="A4427" s="16"/>
      <c r="E4427" s="27"/>
      <c r="F4427" t="s">
        <v>26</v>
      </c>
      <c r="G4427" s="28">
        <f>IFERROR(VLOOKUP(F4427,CARTON_LOOKUP!$A:$E,3,0),"")</f>
      </c>
      <c r="H4427" s="28">
        <f>IFERROR(VLOOKUP(F4427,CARTON_LOOKUP!$A:$E,4,0),"")</f>
      </c>
      <c r="I4427" s="28">
        <f>IFERROR(VLOOKUP(F4427,CARTON_LOOKUP!$A:$E,5,0),"")</f>
      </c>
      <c r="J4427" s="29">
        <f>IFERROR(VLOOKUP(F4427,CARTON_LOOKUP!$A:$E,2,0),"")</f>
      </c>
      <c r="K4427" s="29">
        <f>IFERROR(J4427*D4427,0)</f>
      </c>
      <c r="L4427" s="29">
        <f>IFERROR(E4427*C4427,0)</f>
      </c>
      <c r="M4427" s="29">
        <f>IFERROR((G4427*H4427*I4427/1000000)*D4427,0)</f>
      </c>
    </row>
    <row r="4428" spans="1:13" x14ac:dyDescent="0.25">
      <c r="A4428" s="16"/>
      <c r="E4428" s="27"/>
      <c r="F4428" t="s">
        <v>26</v>
      </c>
      <c r="G4428" s="28">
        <f>IFERROR(VLOOKUP(F4428,CARTON_LOOKUP!$A:$E,3,0),"")</f>
      </c>
      <c r="H4428" s="28">
        <f>IFERROR(VLOOKUP(F4428,CARTON_LOOKUP!$A:$E,4,0),"")</f>
      </c>
      <c r="I4428" s="28">
        <f>IFERROR(VLOOKUP(F4428,CARTON_LOOKUP!$A:$E,5,0),"")</f>
      </c>
      <c r="J4428" s="29">
        <f>IFERROR(VLOOKUP(F4428,CARTON_LOOKUP!$A:$E,2,0),"")</f>
      </c>
      <c r="K4428" s="29">
        <f>IFERROR(J4428*D4428,0)</f>
      </c>
      <c r="L4428" s="29">
        <f>IFERROR(E4428*C4428,0)</f>
      </c>
      <c r="M4428" s="29">
        <f>IFERROR((G4428*H4428*I4428/1000000)*D4428,0)</f>
      </c>
    </row>
    <row r="4429" spans="1:13" x14ac:dyDescent="0.25">
      <c r="A4429" s="16"/>
      <c r="E4429" s="27"/>
      <c r="F4429" t="s">
        <v>26</v>
      </c>
      <c r="G4429" s="28">
        <f>IFERROR(VLOOKUP(F4429,CARTON_LOOKUP!$A:$E,3,0),"")</f>
      </c>
      <c r="H4429" s="28">
        <f>IFERROR(VLOOKUP(F4429,CARTON_LOOKUP!$A:$E,4,0),"")</f>
      </c>
      <c r="I4429" s="28">
        <f>IFERROR(VLOOKUP(F4429,CARTON_LOOKUP!$A:$E,5,0),"")</f>
      </c>
      <c r="J4429" s="29">
        <f>IFERROR(VLOOKUP(F4429,CARTON_LOOKUP!$A:$E,2,0),"")</f>
      </c>
      <c r="K4429" s="29">
        <f>IFERROR(J4429*D4429,0)</f>
      </c>
      <c r="L4429" s="29">
        <f>IFERROR(E4429*C4429,0)</f>
      </c>
      <c r="M4429" s="29">
        <f>IFERROR((G4429*H4429*I4429/1000000)*D4429,0)</f>
      </c>
    </row>
    <row r="4430" spans="1:13" x14ac:dyDescent="0.25">
      <c r="A4430" s="16"/>
      <c r="E4430" s="27"/>
      <c r="F4430" t="s">
        <v>26</v>
      </c>
      <c r="G4430" s="28">
        <f>IFERROR(VLOOKUP(F4430,CARTON_LOOKUP!$A:$E,3,0),"")</f>
      </c>
      <c r="H4430" s="28">
        <f>IFERROR(VLOOKUP(F4430,CARTON_LOOKUP!$A:$E,4,0),"")</f>
      </c>
      <c r="I4430" s="28">
        <f>IFERROR(VLOOKUP(F4430,CARTON_LOOKUP!$A:$E,5,0),"")</f>
      </c>
      <c r="J4430" s="29">
        <f>IFERROR(VLOOKUP(F4430,CARTON_LOOKUP!$A:$E,2,0),"")</f>
      </c>
      <c r="K4430" s="29">
        <f>IFERROR(J4430*D4430,0)</f>
      </c>
      <c r="L4430" s="29">
        <f>IFERROR(E4430*C4430,0)</f>
      </c>
      <c r="M4430" s="29">
        <f>IFERROR((G4430*H4430*I4430/1000000)*D4430,0)</f>
      </c>
    </row>
    <row r="4431" spans="1:13" x14ac:dyDescent="0.25">
      <c r="A4431" s="16"/>
      <c r="E4431" s="27"/>
      <c r="F4431" t="s">
        <v>26</v>
      </c>
      <c r="G4431" s="28">
        <f>IFERROR(VLOOKUP(F4431,CARTON_LOOKUP!$A:$E,3,0),"")</f>
      </c>
      <c r="H4431" s="28">
        <f>IFERROR(VLOOKUP(F4431,CARTON_LOOKUP!$A:$E,4,0),"")</f>
      </c>
      <c r="I4431" s="28">
        <f>IFERROR(VLOOKUP(F4431,CARTON_LOOKUP!$A:$E,5,0),"")</f>
      </c>
      <c r="J4431" s="29">
        <f>IFERROR(VLOOKUP(F4431,CARTON_LOOKUP!$A:$E,2,0),"")</f>
      </c>
      <c r="K4431" s="29">
        <f>IFERROR(J4431*D4431,0)</f>
      </c>
      <c r="L4431" s="29">
        <f>IFERROR(E4431*C4431,0)</f>
      </c>
      <c r="M4431" s="29">
        <f>IFERROR((G4431*H4431*I4431/1000000)*D4431,0)</f>
      </c>
    </row>
    <row r="4432" spans="1:13" x14ac:dyDescent="0.25">
      <c r="A4432" s="16"/>
      <c r="E4432" s="27"/>
      <c r="F4432" t="s">
        <v>26</v>
      </c>
      <c r="G4432" s="28">
        <f>IFERROR(VLOOKUP(F4432,CARTON_LOOKUP!$A:$E,3,0),"")</f>
      </c>
      <c r="H4432" s="28">
        <f>IFERROR(VLOOKUP(F4432,CARTON_LOOKUP!$A:$E,4,0),"")</f>
      </c>
      <c r="I4432" s="28">
        <f>IFERROR(VLOOKUP(F4432,CARTON_LOOKUP!$A:$E,5,0),"")</f>
      </c>
      <c r="J4432" s="29">
        <f>IFERROR(VLOOKUP(F4432,CARTON_LOOKUP!$A:$E,2,0),"")</f>
      </c>
      <c r="K4432" s="29">
        <f>IFERROR(J4432*D4432,0)</f>
      </c>
      <c r="L4432" s="29">
        <f>IFERROR(E4432*C4432,0)</f>
      </c>
      <c r="M4432" s="29">
        <f>IFERROR((G4432*H4432*I4432/1000000)*D4432,0)</f>
      </c>
    </row>
    <row r="4433" spans="1:13" x14ac:dyDescent="0.25">
      <c r="A4433" s="16"/>
      <c r="E4433" s="27"/>
      <c r="F4433" t="s">
        <v>26</v>
      </c>
      <c r="G4433" s="28">
        <f>IFERROR(VLOOKUP(F4433,CARTON_LOOKUP!$A:$E,3,0),"")</f>
      </c>
      <c r="H4433" s="28">
        <f>IFERROR(VLOOKUP(F4433,CARTON_LOOKUP!$A:$E,4,0),"")</f>
      </c>
      <c r="I4433" s="28">
        <f>IFERROR(VLOOKUP(F4433,CARTON_LOOKUP!$A:$E,5,0),"")</f>
      </c>
      <c r="J4433" s="29">
        <f>IFERROR(VLOOKUP(F4433,CARTON_LOOKUP!$A:$E,2,0),"")</f>
      </c>
      <c r="K4433" s="29">
        <f>IFERROR(J4433*D4433,0)</f>
      </c>
      <c r="L4433" s="29">
        <f>IFERROR(E4433*C4433,0)</f>
      </c>
      <c r="M4433" s="29">
        <f>IFERROR((G4433*H4433*I4433/1000000)*D4433,0)</f>
      </c>
    </row>
    <row r="4434" spans="1:13" x14ac:dyDescent="0.25">
      <c r="A4434" s="16"/>
      <c r="E4434" s="27"/>
      <c r="F4434" t="s">
        <v>26</v>
      </c>
      <c r="G4434" s="28">
        <f>IFERROR(VLOOKUP(F4434,CARTON_LOOKUP!$A:$E,3,0),"")</f>
      </c>
      <c r="H4434" s="28">
        <f>IFERROR(VLOOKUP(F4434,CARTON_LOOKUP!$A:$E,4,0),"")</f>
      </c>
      <c r="I4434" s="28">
        <f>IFERROR(VLOOKUP(F4434,CARTON_LOOKUP!$A:$E,5,0),"")</f>
      </c>
      <c r="J4434" s="29">
        <f>IFERROR(VLOOKUP(F4434,CARTON_LOOKUP!$A:$E,2,0),"")</f>
      </c>
      <c r="K4434" s="29">
        <f>IFERROR(J4434*D4434,0)</f>
      </c>
      <c r="L4434" s="29">
        <f>IFERROR(E4434*C4434,0)</f>
      </c>
      <c r="M4434" s="29">
        <f>IFERROR((G4434*H4434*I4434/1000000)*D4434,0)</f>
      </c>
    </row>
    <row r="4435" spans="1:13" x14ac:dyDescent="0.25">
      <c r="A4435" s="16"/>
      <c r="E4435" s="27"/>
      <c r="F4435" t="s">
        <v>26</v>
      </c>
      <c r="G4435" s="28">
        <f>IFERROR(VLOOKUP(F4435,CARTON_LOOKUP!$A:$E,3,0),"")</f>
      </c>
      <c r="H4435" s="28">
        <f>IFERROR(VLOOKUP(F4435,CARTON_LOOKUP!$A:$E,4,0),"")</f>
      </c>
      <c r="I4435" s="28">
        <f>IFERROR(VLOOKUP(F4435,CARTON_LOOKUP!$A:$E,5,0),"")</f>
      </c>
      <c r="J4435" s="29">
        <f>IFERROR(VLOOKUP(F4435,CARTON_LOOKUP!$A:$E,2,0),"")</f>
      </c>
      <c r="K4435" s="29">
        <f>IFERROR(J4435*D4435,0)</f>
      </c>
      <c r="L4435" s="29">
        <f>IFERROR(E4435*C4435,0)</f>
      </c>
      <c r="M4435" s="29">
        <f>IFERROR((G4435*H4435*I4435/1000000)*D4435,0)</f>
      </c>
    </row>
    <row r="4436" spans="1:13" x14ac:dyDescent="0.25">
      <c r="A4436" s="16"/>
      <c r="E4436" s="27"/>
      <c r="F4436" t="s">
        <v>26</v>
      </c>
      <c r="G4436" s="28">
        <f>IFERROR(VLOOKUP(F4436,CARTON_LOOKUP!$A:$E,3,0),"")</f>
      </c>
      <c r="H4436" s="28">
        <f>IFERROR(VLOOKUP(F4436,CARTON_LOOKUP!$A:$E,4,0),"")</f>
      </c>
      <c r="I4436" s="28">
        <f>IFERROR(VLOOKUP(F4436,CARTON_LOOKUP!$A:$E,5,0),"")</f>
      </c>
      <c r="J4436" s="29">
        <f>IFERROR(VLOOKUP(F4436,CARTON_LOOKUP!$A:$E,2,0),"")</f>
      </c>
      <c r="K4436" s="29">
        <f>IFERROR(J4436*D4436,0)</f>
      </c>
      <c r="L4436" s="29">
        <f>IFERROR(E4436*C4436,0)</f>
      </c>
      <c r="M4436" s="29">
        <f>IFERROR((G4436*H4436*I4436/1000000)*D4436,0)</f>
      </c>
    </row>
    <row r="4437" spans="1:13" x14ac:dyDescent="0.25">
      <c r="A4437" s="16"/>
      <c r="E4437" s="27"/>
      <c r="F4437" t="s">
        <v>26</v>
      </c>
      <c r="G4437" s="28">
        <f>IFERROR(VLOOKUP(F4437,CARTON_LOOKUP!$A:$E,3,0),"")</f>
      </c>
      <c r="H4437" s="28">
        <f>IFERROR(VLOOKUP(F4437,CARTON_LOOKUP!$A:$E,4,0),"")</f>
      </c>
      <c r="I4437" s="28">
        <f>IFERROR(VLOOKUP(F4437,CARTON_LOOKUP!$A:$E,5,0),"")</f>
      </c>
      <c r="J4437" s="29">
        <f>IFERROR(VLOOKUP(F4437,CARTON_LOOKUP!$A:$E,2,0),"")</f>
      </c>
      <c r="K4437" s="29">
        <f>IFERROR(J4437*D4437,0)</f>
      </c>
      <c r="L4437" s="29">
        <f>IFERROR(E4437*C4437,0)</f>
      </c>
      <c r="M4437" s="29">
        <f>IFERROR((G4437*H4437*I4437/1000000)*D4437,0)</f>
      </c>
    </row>
    <row r="4438" spans="1:13" x14ac:dyDescent="0.25">
      <c r="A4438" s="16"/>
      <c r="E4438" s="27"/>
      <c r="F4438" t="s">
        <v>26</v>
      </c>
      <c r="G4438" s="28">
        <f>IFERROR(VLOOKUP(F4438,CARTON_LOOKUP!$A:$E,3,0),"")</f>
      </c>
      <c r="H4438" s="28">
        <f>IFERROR(VLOOKUP(F4438,CARTON_LOOKUP!$A:$E,4,0),"")</f>
      </c>
      <c r="I4438" s="28">
        <f>IFERROR(VLOOKUP(F4438,CARTON_LOOKUP!$A:$E,5,0),"")</f>
      </c>
      <c r="J4438" s="29">
        <f>IFERROR(VLOOKUP(F4438,CARTON_LOOKUP!$A:$E,2,0),"")</f>
      </c>
      <c r="K4438" s="29">
        <f>IFERROR(J4438*D4438,0)</f>
      </c>
      <c r="L4438" s="29">
        <f>IFERROR(E4438*C4438,0)</f>
      </c>
      <c r="M4438" s="29">
        <f>IFERROR((G4438*H4438*I4438/1000000)*D4438,0)</f>
      </c>
    </row>
    <row r="4439" spans="1:13" x14ac:dyDescent="0.25">
      <c r="A4439" s="16"/>
      <c r="E4439" s="27"/>
      <c r="F4439" t="s">
        <v>26</v>
      </c>
      <c r="G4439" s="28">
        <f>IFERROR(VLOOKUP(F4439,CARTON_LOOKUP!$A:$E,3,0),"")</f>
      </c>
      <c r="H4439" s="28">
        <f>IFERROR(VLOOKUP(F4439,CARTON_LOOKUP!$A:$E,4,0),"")</f>
      </c>
      <c r="I4439" s="28">
        <f>IFERROR(VLOOKUP(F4439,CARTON_LOOKUP!$A:$E,5,0),"")</f>
      </c>
      <c r="J4439" s="29">
        <f>IFERROR(VLOOKUP(F4439,CARTON_LOOKUP!$A:$E,2,0),"")</f>
      </c>
      <c r="K4439" s="29">
        <f>IFERROR(J4439*D4439,0)</f>
      </c>
      <c r="L4439" s="29">
        <f>IFERROR(E4439*C4439,0)</f>
      </c>
      <c r="M4439" s="29">
        <f>IFERROR((G4439*H4439*I4439/1000000)*D4439,0)</f>
      </c>
    </row>
    <row r="4440" spans="1:13" x14ac:dyDescent="0.25">
      <c r="A4440" s="16"/>
      <c r="E4440" s="27"/>
      <c r="F4440" t="s">
        <v>26</v>
      </c>
      <c r="G4440" s="28">
        <f>IFERROR(VLOOKUP(F4440,CARTON_LOOKUP!$A:$E,3,0),"")</f>
      </c>
      <c r="H4440" s="28">
        <f>IFERROR(VLOOKUP(F4440,CARTON_LOOKUP!$A:$E,4,0),"")</f>
      </c>
      <c r="I4440" s="28">
        <f>IFERROR(VLOOKUP(F4440,CARTON_LOOKUP!$A:$E,5,0),"")</f>
      </c>
      <c r="J4440" s="29">
        <f>IFERROR(VLOOKUP(F4440,CARTON_LOOKUP!$A:$E,2,0),"")</f>
      </c>
      <c r="K4440" s="29">
        <f>IFERROR(J4440*D4440,0)</f>
      </c>
      <c r="L4440" s="29">
        <f>IFERROR(E4440*C4440,0)</f>
      </c>
      <c r="M4440" s="29">
        <f>IFERROR((G4440*H4440*I4440/1000000)*D4440,0)</f>
      </c>
    </row>
    <row r="4441" spans="1:13" x14ac:dyDescent="0.25">
      <c r="A4441" s="16"/>
      <c r="E4441" s="27"/>
      <c r="F4441" t="s">
        <v>26</v>
      </c>
      <c r="G4441" s="28">
        <f>IFERROR(VLOOKUP(F4441,CARTON_LOOKUP!$A:$E,3,0),"")</f>
      </c>
      <c r="H4441" s="28">
        <f>IFERROR(VLOOKUP(F4441,CARTON_LOOKUP!$A:$E,4,0),"")</f>
      </c>
      <c r="I4441" s="28">
        <f>IFERROR(VLOOKUP(F4441,CARTON_LOOKUP!$A:$E,5,0),"")</f>
      </c>
      <c r="J4441" s="29">
        <f>IFERROR(VLOOKUP(F4441,CARTON_LOOKUP!$A:$E,2,0),"")</f>
      </c>
      <c r="K4441" s="29">
        <f>IFERROR(J4441*D4441,0)</f>
      </c>
      <c r="L4441" s="29">
        <f>IFERROR(E4441*C4441,0)</f>
      </c>
      <c r="M4441" s="29">
        <f>IFERROR((G4441*H4441*I4441/1000000)*D4441,0)</f>
      </c>
    </row>
    <row r="4442" spans="1:13" x14ac:dyDescent="0.25">
      <c r="A4442" s="16"/>
      <c r="E4442" s="27"/>
      <c r="F4442" t="s">
        <v>26</v>
      </c>
      <c r="G4442" s="28">
        <f>IFERROR(VLOOKUP(F4442,CARTON_LOOKUP!$A:$E,3,0),"")</f>
      </c>
      <c r="H4442" s="28">
        <f>IFERROR(VLOOKUP(F4442,CARTON_LOOKUP!$A:$E,4,0),"")</f>
      </c>
      <c r="I4442" s="28">
        <f>IFERROR(VLOOKUP(F4442,CARTON_LOOKUP!$A:$E,5,0),"")</f>
      </c>
      <c r="J4442" s="29">
        <f>IFERROR(VLOOKUP(F4442,CARTON_LOOKUP!$A:$E,2,0),"")</f>
      </c>
      <c r="K4442" s="29">
        <f>IFERROR(J4442*D4442,0)</f>
      </c>
      <c r="L4442" s="29">
        <f>IFERROR(E4442*C4442,0)</f>
      </c>
      <c r="M4442" s="29">
        <f>IFERROR((G4442*H4442*I4442/1000000)*D4442,0)</f>
      </c>
    </row>
    <row r="4443" spans="1:13" x14ac:dyDescent="0.25">
      <c r="A4443" s="16"/>
      <c r="E4443" s="27"/>
      <c r="F4443" t="s">
        <v>26</v>
      </c>
      <c r="G4443" s="28">
        <f>IFERROR(VLOOKUP(F4443,CARTON_LOOKUP!$A:$E,3,0),"")</f>
      </c>
      <c r="H4443" s="28">
        <f>IFERROR(VLOOKUP(F4443,CARTON_LOOKUP!$A:$E,4,0),"")</f>
      </c>
      <c r="I4443" s="28">
        <f>IFERROR(VLOOKUP(F4443,CARTON_LOOKUP!$A:$E,5,0),"")</f>
      </c>
      <c r="J4443" s="29">
        <f>IFERROR(VLOOKUP(F4443,CARTON_LOOKUP!$A:$E,2,0),"")</f>
      </c>
      <c r="K4443" s="29">
        <f>IFERROR(J4443*D4443,0)</f>
      </c>
      <c r="L4443" s="29">
        <f>IFERROR(E4443*C4443,0)</f>
      </c>
      <c r="M4443" s="29">
        <f>IFERROR((G4443*H4443*I4443/1000000)*D4443,0)</f>
      </c>
    </row>
    <row r="4444" spans="1:13" x14ac:dyDescent="0.25">
      <c r="A4444" s="16"/>
      <c r="E4444" s="27"/>
      <c r="F4444" t="s">
        <v>26</v>
      </c>
      <c r="G4444" s="28">
        <f>IFERROR(VLOOKUP(F4444,CARTON_LOOKUP!$A:$E,3,0),"")</f>
      </c>
      <c r="H4444" s="28">
        <f>IFERROR(VLOOKUP(F4444,CARTON_LOOKUP!$A:$E,4,0),"")</f>
      </c>
      <c r="I4444" s="28">
        <f>IFERROR(VLOOKUP(F4444,CARTON_LOOKUP!$A:$E,5,0),"")</f>
      </c>
      <c r="J4444" s="29">
        <f>IFERROR(VLOOKUP(F4444,CARTON_LOOKUP!$A:$E,2,0),"")</f>
      </c>
      <c r="K4444" s="29">
        <f>IFERROR(J4444*D4444,0)</f>
      </c>
      <c r="L4444" s="29">
        <f>IFERROR(E4444*C4444,0)</f>
      </c>
      <c r="M4444" s="29">
        <f>IFERROR((G4444*H4444*I4444/1000000)*D4444,0)</f>
      </c>
    </row>
    <row r="4445" spans="1:13" x14ac:dyDescent="0.25">
      <c r="A4445" s="16"/>
      <c r="E4445" s="27"/>
      <c r="F4445" t="s">
        <v>26</v>
      </c>
      <c r="G4445" s="28">
        <f>IFERROR(VLOOKUP(F4445,CARTON_LOOKUP!$A:$E,3,0),"")</f>
      </c>
      <c r="H4445" s="28">
        <f>IFERROR(VLOOKUP(F4445,CARTON_LOOKUP!$A:$E,4,0),"")</f>
      </c>
      <c r="I4445" s="28">
        <f>IFERROR(VLOOKUP(F4445,CARTON_LOOKUP!$A:$E,5,0),"")</f>
      </c>
      <c r="J4445" s="29">
        <f>IFERROR(VLOOKUP(F4445,CARTON_LOOKUP!$A:$E,2,0),"")</f>
      </c>
      <c r="K4445" s="29">
        <f>IFERROR(J4445*D4445,0)</f>
      </c>
      <c r="L4445" s="29">
        <f>IFERROR(E4445*C4445,0)</f>
      </c>
      <c r="M4445" s="29">
        <f>IFERROR((G4445*H4445*I4445/1000000)*D4445,0)</f>
      </c>
    </row>
    <row r="4446" spans="1:13" x14ac:dyDescent="0.25">
      <c r="A4446" s="16"/>
      <c r="E4446" s="27"/>
      <c r="F4446" t="s">
        <v>26</v>
      </c>
      <c r="G4446" s="28">
        <f>IFERROR(VLOOKUP(F4446,CARTON_LOOKUP!$A:$E,3,0),"")</f>
      </c>
      <c r="H4446" s="28">
        <f>IFERROR(VLOOKUP(F4446,CARTON_LOOKUP!$A:$E,4,0),"")</f>
      </c>
      <c r="I4446" s="28">
        <f>IFERROR(VLOOKUP(F4446,CARTON_LOOKUP!$A:$E,5,0),"")</f>
      </c>
      <c r="J4446" s="29">
        <f>IFERROR(VLOOKUP(F4446,CARTON_LOOKUP!$A:$E,2,0),"")</f>
      </c>
      <c r="K4446" s="29">
        <f>IFERROR(J4446*D4446,0)</f>
      </c>
      <c r="L4446" s="29">
        <f>IFERROR(E4446*C4446,0)</f>
      </c>
      <c r="M4446" s="29">
        <f>IFERROR((G4446*H4446*I4446/1000000)*D4446,0)</f>
      </c>
    </row>
    <row r="4447" spans="1:13" x14ac:dyDescent="0.25">
      <c r="A4447" s="16"/>
      <c r="E4447" s="27"/>
      <c r="F4447" t="s">
        <v>26</v>
      </c>
      <c r="G4447" s="28">
        <f>IFERROR(VLOOKUP(F4447,CARTON_LOOKUP!$A:$E,3,0),"")</f>
      </c>
      <c r="H4447" s="28">
        <f>IFERROR(VLOOKUP(F4447,CARTON_LOOKUP!$A:$E,4,0),"")</f>
      </c>
      <c r="I4447" s="28">
        <f>IFERROR(VLOOKUP(F4447,CARTON_LOOKUP!$A:$E,5,0),"")</f>
      </c>
      <c r="J4447" s="29">
        <f>IFERROR(VLOOKUP(F4447,CARTON_LOOKUP!$A:$E,2,0),"")</f>
      </c>
      <c r="K4447" s="29">
        <f>IFERROR(J4447*D4447,0)</f>
      </c>
      <c r="L4447" s="29">
        <f>IFERROR(E4447*C4447,0)</f>
      </c>
      <c r="M4447" s="29">
        <f>IFERROR((G4447*H4447*I4447/1000000)*D4447,0)</f>
      </c>
    </row>
    <row r="4448" spans="1:13" x14ac:dyDescent="0.25">
      <c r="A4448" s="16"/>
      <c r="E4448" s="27"/>
      <c r="F4448" t="s">
        <v>26</v>
      </c>
      <c r="G4448" s="28">
        <f>IFERROR(VLOOKUP(F4448,CARTON_LOOKUP!$A:$E,3,0),"")</f>
      </c>
      <c r="H4448" s="28">
        <f>IFERROR(VLOOKUP(F4448,CARTON_LOOKUP!$A:$E,4,0),"")</f>
      </c>
      <c r="I4448" s="28">
        <f>IFERROR(VLOOKUP(F4448,CARTON_LOOKUP!$A:$E,5,0),"")</f>
      </c>
      <c r="J4448" s="29">
        <f>IFERROR(VLOOKUP(F4448,CARTON_LOOKUP!$A:$E,2,0),"")</f>
      </c>
      <c r="K4448" s="29">
        <f>IFERROR(J4448*D4448,0)</f>
      </c>
      <c r="L4448" s="29">
        <f>IFERROR(E4448*C4448,0)</f>
      </c>
      <c r="M4448" s="29">
        <f>IFERROR((G4448*H4448*I4448/1000000)*D4448,0)</f>
      </c>
    </row>
    <row r="4449" spans="1:13" x14ac:dyDescent="0.25">
      <c r="A4449" s="16"/>
      <c r="E4449" s="27"/>
      <c r="F4449" t="s">
        <v>26</v>
      </c>
      <c r="G4449" s="28">
        <f>IFERROR(VLOOKUP(F4449,CARTON_LOOKUP!$A:$E,3,0),"")</f>
      </c>
      <c r="H4449" s="28">
        <f>IFERROR(VLOOKUP(F4449,CARTON_LOOKUP!$A:$E,4,0),"")</f>
      </c>
      <c r="I4449" s="28">
        <f>IFERROR(VLOOKUP(F4449,CARTON_LOOKUP!$A:$E,5,0),"")</f>
      </c>
      <c r="J4449" s="29">
        <f>IFERROR(VLOOKUP(F4449,CARTON_LOOKUP!$A:$E,2,0),"")</f>
      </c>
      <c r="K4449" s="29">
        <f>IFERROR(J4449*D4449,0)</f>
      </c>
      <c r="L4449" s="29">
        <f>IFERROR(E4449*C4449,0)</f>
      </c>
      <c r="M4449" s="29">
        <f>IFERROR((G4449*H4449*I4449/1000000)*D4449,0)</f>
      </c>
    </row>
    <row r="4450" spans="1:13" x14ac:dyDescent="0.25">
      <c r="A4450" s="16"/>
      <c r="E4450" s="27"/>
      <c r="F4450" t="s">
        <v>26</v>
      </c>
      <c r="G4450" s="28">
        <f>IFERROR(VLOOKUP(F4450,CARTON_LOOKUP!$A:$E,3,0),"")</f>
      </c>
      <c r="H4450" s="28">
        <f>IFERROR(VLOOKUP(F4450,CARTON_LOOKUP!$A:$E,4,0),"")</f>
      </c>
      <c r="I4450" s="28">
        <f>IFERROR(VLOOKUP(F4450,CARTON_LOOKUP!$A:$E,5,0),"")</f>
      </c>
      <c r="J4450" s="29">
        <f>IFERROR(VLOOKUP(F4450,CARTON_LOOKUP!$A:$E,2,0),"")</f>
      </c>
      <c r="K4450" s="29">
        <f>IFERROR(J4450*D4450,0)</f>
      </c>
      <c r="L4450" s="29">
        <f>IFERROR(E4450*C4450,0)</f>
      </c>
      <c r="M4450" s="29">
        <f>IFERROR((G4450*H4450*I4450/1000000)*D4450,0)</f>
      </c>
    </row>
    <row r="4451" spans="1:13" x14ac:dyDescent="0.25">
      <c r="A4451" s="16"/>
      <c r="E4451" s="27"/>
      <c r="F4451" t="s">
        <v>26</v>
      </c>
      <c r="G4451" s="28">
        <f>IFERROR(VLOOKUP(F4451,CARTON_LOOKUP!$A:$E,3,0),"")</f>
      </c>
      <c r="H4451" s="28">
        <f>IFERROR(VLOOKUP(F4451,CARTON_LOOKUP!$A:$E,4,0),"")</f>
      </c>
      <c r="I4451" s="28">
        <f>IFERROR(VLOOKUP(F4451,CARTON_LOOKUP!$A:$E,5,0),"")</f>
      </c>
      <c r="J4451" s="29">
        <f>IFERROR(VLOOKUP(F4451,CARTON_LOOKUP!$A:$E,2,0),"")</f>
      </c>
      <c r="K4451" s="29">
        <f>IFERROR(J4451*D4451,0)</f>
      </c>
      <c r="L4451" s="29">
        <f>IFERROR(E4451*C4451,0)</f>
      </c>
      <c r="M4451" s="29">
        <f>IFERROR((G4451*H4451*I4451/1000000)*D4451,0)</f>
      </c>
    </row>
    <row r="4452" spans="1:13" x14ac:dyDescent="0.25">
      <c r="A4452" s="16"/>
      <c r="E4452" s="27"/>
      <c r="F4452" t="s">
        <v>26</v>
      </c>
      <c r="G4452" s="28">
        <f>IFERROR(VLOOKUP(F4452,CARTON_LOOKUP!$A:$E,3,0),"")</f>
      </c>
      <c r="H4452" s="28">
        <f>IFERROR(VLOOKUP(F4452,CARTON_LOOKUP!$A:$E,4,0),"")</f>
      </c>
      <c r="I4452" s="28">
        <f>IFERROR(VLOOKUP(F4452,CARTON_LOOKUP!$A:$E,5,0),"")</f>
      </c>
      <c r="J4452" s="29">
        <f>IFERROR(VLOOKUP(F4452,CARTON_LOOKUP!$A:$E,2,0),"")</f>
      </c>
      <c r="K4452" s="29">
        <f>IFERROR(J4452*D4452,0)</f>
      </c>
      <c r="L4452" s="29">
        <f>IFERROR(E4452*C4452,0)</f>
      </c>
      <c r="M4452" s="29">
        <f>IFERROR((G4452*H4452*I4452/1000000)*D4452,0)</f>
      </c>
    </row>
    <row r="4453" spans="1:13" x14ac:dyDescent="0.25">
      <c r="A4453" s="16"/>
      <c r="E4453" s="27"/>
      <c r="F4453" t="s">
        <v>26</v>
      </c>
      <c r="G4453" s="28">
        <f>IFERROR(VLOOKUP(F4453,CARTON_LOOKUP!$A:$E,3,0),"")</f>
      </c>
      <c r="H4453" s="28">
        <f>IFERROR(VLOOKUP(F4453,CARTON_LOOKUP!$A:$E,4,0),"")</f>
      </c>
      <c r="I4453" s="28">
        <f>IFERROR(VLOOKUP(F4453,CARTON_LOOKUP!$A:$E,5,0),"")</f>
      </c>
      <c r="J4453" s="29">
        <f>IFERROR(VLOOKUP(F4453,CARTON_LOOKUP!$A:$E,2,0),"")</f>
      </c>
      <c r="K4453" s="29">
        <f>IFERROR(J4453*D4453,0)</f>
      </c>
      <c r="L4453" s="29">
        <f>IFERROR(E4453*C4453,0)</f>
      </c>
      <c r="M4453" s="29">
        <f>IFERROR((G4453*H4453*I4453/1000000)*D4453,0)</f>
      </c>
    </row>
    <row r="4454" spans="1:13" x14ac:dyDescent="0.25">
      <c r="A4454" s="16"/>
      <c r="E4454" s="27"/>
      <c r="F4454" t="s">
        <v>26</v>
      </c>
      <c r="G4454" s="28">
        <f>IFERROR(VLOOKUP(F4454,CARTON_LOOKUP!$A:$E,3,0),"")</f>
      </c>
      <c r="H4454" s="28">
        <f>IFERROR(VLOOKUP(F4454,CARTON_LOOKUP!$A:$E,4,0),"")</f>
      </c>
      <c r="I4454" s="28">
        <f>IFERROR(VLOOKUP(F4454,CARTON_LOOKUP!$A:$E,5,0),"")</f>
      </c>
      <c r="J4454" s="29">
        <f>IFERROR(VLOOKUP(F4454,CARTON_LOOKUP!$A:$E,2,0),"")</f>
      </c>
      <c r="K4454" s="29">
        <f>IFERROR(J4454*D4454,0)</f>
      </c>
      <c r="L4454" s="29">
        <f>IFERROR(E4454*C4454,0)</f>
      </c>
      <c r="M4454" s="29">
        <f>IFERROR((G4454*H4454*I4454/1000000)*D4454,0)</f>
      </c>
    </row>
    <row r="4455" spans="1:13" x14ac:dyDescent="0.25">
      <c r="A4455" s="16"/>
      <c r="E4455" s="27"/>
      <c r="F4455" t="s">
        <v>26</v>
      </c>
      <c r="G4455" s="28">
        <f>IFERROR(VLOOKUP(F4455,CARTON_LOOKUP!$A:$E,3,0),"")</f>
      </c>
      <c r="H4455" s="28">
        <f>IFERROR(VLOOKUP(F4455,CARTON_LOOKUP!$A:$E,4,0),"")</f>
      </c>
      <c r="I4455" s="28">
        <f>IFERROR(VLOOKUP(F4455,CARTON_LOOKUP!$A:$E,5,0),"")</f>
      </c>
      <c r="J4455" s="29">
        <f>IFERROR(VLOOKUP(F4455,CARTON_LOOKUP!$A:$E,2,0),"")</f>
      </c>
      <c r="K4455" s="29">
        <f>IFERROR(J4455*D4455,0)</f>
      </c>
      <c r="L4455" s="29">
        <f>IFERROR(E4455*C4455,0)</f>
      </c>
      <c r="M4455" s="29">
        <f>IFERROR((G4455*H4455*I4455/1000000)*D4455,0)</f>
      </c>
    </row>
    <row r="4456" spans="1:13" x14ac:dyDescent="0.25">
      <c r="A4456" s="16"/>
      <c r="E4456" s="27"/>
      <c r="F4456" t="s">
        <v>26</v>
      </c>
      <c r="G4456" s="28">
        <f>IFERROR(VLOOKUP(F4456,CARTON_LOOKUP!$A:$E,3,0),"")</f>
      </c>
      <c r="H4456" s="28">
        <f>IFERROR(VLOOKUP(F4456,CARTON_LOOKUP!$A:$E,4,0),"")</f>
      </c>
      <c r="I4456" s="28">
        <f>IFERROR(VLOOKUP(F4456,CARTON_LOOKUP!$A:$E,5,0),"")</f>
      </c>
      <c r="J4456" s="29">
        <f>IFERROR(VLOOKUP(F4456,CARTON_LOOKUP!$A:$E,2,0),"")</f>
      </c>
      <c r="K4456" s="29">
        <f>IFERROR(J4456*D4456,0)</f>
      </c>
      <c r="L4456" s="29">
        <f>IFERROR(E4456*C4456,0)</f>
      </c>
      <c r="M4456" s="29">
        <f>IFERROR((G4456*H4456*I4456/1000000)*D4456,0)</f>
      </c>
    </row>
    <row r="4457" spans="1:13" x14ac:dyDescent="0.25">
      <c r="A4457" s="16"/>
      <c r="E4457" s="27"/>
      <c r="F4457" t="s">
        <v>26</v>
      </c>
      <c r="G4457" s="28">
        <f>IFERROR(VLOOKUP(F4457,CARTON_LOOKUP!$A:$E,3,0),"")</f>
      </c>
      <c r="H4457" s="28">
        <f>IFERROR(VLOOKUP(F4457,CARTON_LOOKUP!$A:$E,4,0),"")</f>
      </c>
      <c r="I4457" s="28">
        <f>IFERROR(VLOOKUP(F4457,CARTON_LOOKUP!$A:$E,5,0),"")</f>
      </c>
      <c r="J4457" s="29">
        <f>IFERROR(VLOOKUP(F4457,CARTON_LOOKUP!$A:$E,2,0),"")</f>
      </c>
      <c r="K4457" s="29">
        <f>IFERROR(J4457*D4457,0)</f>
      </c>
      <c r="L4457" s="29">
        <f>IFERROR(E4457*C4457,0)</f>
      </c>
      <c r="M4457" s="29">
        <f>IFERROR((G4457*H4457*I4457/1000000)*D4457,0)</f>
      </c>
    </row>
    <row r="4458" spans="1:13" x14ac:dyDescent="0.25">
      <c r="A4458" s="16"/>
      <c r="E4458" s="27"/>
      <c r="F4458" t="s">
        <v>26</v>
      </c>
      <c r="G4458" s="28">
        <f>IFERROR(VLOOKUP(F4458,CARTON_LOOKUP!$A:$E,3,0),"")</f>
      </c>
      <c r="H4458" s="28">
        <f>IFERROR(VLOOKUP(F4458,CARTON_LOOKUP!$A:$E,4,0),"")</f>
      </c>
      <c r="I4458" s="28">
        <f>IFERROR(VLOOKUP(F4458,CARTON_LOOKUP!$A:$E,5,0),"")</f>
      </c>
      <c r="J4458" s="29">
        <f>IFERROR(VLOOKUP(F4458,CARTON_LOOKUP!$A:$E,2,0),"")</f>
      </c>
      <c r="K4458" s="29">
        <f>IFERROR(J4458*D4458,0)</f>
      </c>
      <c r="L4458" s="29">
        <f>IFERROR(E4458*C4458,0)</f>
      </c>
      <c r="M4458" s="29">
        <f>IFERROR((G4458*H4458*I4458/1000000)*D4458,0)</f>
      </c>
    </row>
    <row r="4459" spans="1:13" x14ac:dyDescent="0.25">
      <c r="A4459" s="16"/>
      <c r="E4459" s="27"/>
      <c r="F4459" t="s">
        <v>26</v>
      </c>
      <c r="G4459" s="28">
        <f>IFERROR(VLOOKUP(F4459,CARTON_LOOKUP!$A:$E,3,0),"")</f>
      </c>
      <c r="H4459" s="28">
        <f>IFERROR(VLOOKUP(F4459,CARTON_LOOKUP!$A:$E,4,0),"")</f>
      </c>
      <c r="I4459" s="28">
        <f>IFERROR(VLOOKUP(F4459,CARTON_LOOKUP!$A:$E,5,0),"")</f>
      </c>
      <c r="J4459" s="29">
        <f>IFERROR(VLOOKUP(F4459,CARTON_LOOKUP!$A:$E,2,0),"")</f>
      </c>
      <c r="K4459" s="29">
        <f>IFERROR(J4459*D4459,0)</f>
      </c>
      <c r="L4459" s="29">
        <f>IFERROR(E4459*C4459,0)</f>
      </c>
      <c r="M4459" s="29">
        <f>IFERROR((G4459*H4459*I4459/1000000)*D4459,0)</f>
      </c>
    </row>
    <row r="4460" spans="1:13" x14ac:dyDescent="0.25">
      <c r="A4460" s="16"/>
      <c r="E4460" s="27"/>
      <c r="F4460" t="s">
        <v>26</v>
      </c>
      <c r="G4460" s="28">
        <f>IFERROR(VLOOKUP(F4460,CARTON_LOOKUP!$A:$E,3,0),"")</f>
      </c>
      <c r="H4460" s="28">
        <f>IFERROR(VLOOKUP(F4460,CARTON_LOOKUP!$A:$E,4,0),"")</f>
      </c>
      <c r="I4460" s="28">
        <f>IFERROR(VLOOKUP(F4460,CARTON_LOOKUP!$A:$E,5,0),"")</f>
      </c>
      <c r="J4460" s="29">
        <f>IFERROR(VLOOKUP(F4460,CARTON_LOOKUP!$A:$E,2,0),"")</f>
      </c>
      <c r="K4460" s="29">
        <f>IFERROR(J4460*D4460,0)</f>
      </c>
      <c r="L4460" s="29">
        <f>IFERROR(E4460*C4460,0)</f>
      </c>
      <c r="M4460" s="29">
        <f>IFERROR((G4460*H4460*I4460/1000000)*D4460,0)</f>
      </c>
    </row>
    <row r="4461" spans="1:13" x14ac:dyDescent="0.25">
      <c r="A4461" s="16"/>
      <c r="E4461" s="27"/>
      <c r="F4461" t="s">
        <v>26</v>
      </c>
      <c r="G4461" s="28">
        <f>IFERROR(VLOOKUP(F4461,CARTON_LOOKUP!$A:$E,3,0),"")</f>
      </c>
      <c r="H4461" s="28">
        <f>IFERROR(VLOOKUP(F4461,CARTON_LOOKUP!$A:$E,4,0),"")</f>
      </c>
      <c r="I4461" s="28">
        <f>IFERROR(VLOOKUP(F4461,CARTON_LOOKUP!$A:$E,5,0),"")</f>
      </c>
      <c r="J4461" s="29">
        <f>IFERROR(VLOOKUP(F4461,CARTON_LOOKUP!$A:$E,2,0),"")</f>
      </c>
      <c r="K4461" s="29">
        <f>IFERROR(J4461*D4461,0)</f>
      </c>
      <c r="L4461" s="29">
        <f>IFERROR(E4461*C4461,0)</f>
      </c>
      <c r="M4461" s="29">
        <f>IFERROR((G4461*H4461*I4461/1000000)*D4461,0)</f>
      </c>
    </row>
    <row r="4462" spans="1:13" x14ac:dyDescent="0.25">
      <c r="A4462" s="16"/>
      <c r="E4462" s="27"/>
      <c r="F4462" t="s">
        <v>26</v>
      </c>
      <c r="G4462" s="28">
        <f>IFERROR(VLOOKUP(F4462,CARTON_LOOKUP!$A:$E,3,0),"")</f>
      </c>
      <c r="H4462" s="28">
        <f>IFERROR(VLOOKUP(F4462,CARTON_LOOKUP!$A:$E,4,0),"")</f>
      </c>
      <c r="I4462" s="28">
        <f>IFERROR(VLOOKUP(F4462,CARTON_LOOKUP!$A:$E,5,0),"")</f>
      </c>
      <c r="J4462" s="29">
        <f>IFERROR(VLOOKUP(F4462,CARTON_LOOKUP!$A:$E,2,0),"")</f>
      </c>
      <c r="K4462" s="29">
        <f>IFERROR(J4462*D4462,0)</f>
      </c>
      <c r="L4462" s="29">
        <f>IFERROR(E4462*C4462,0)</f>
      </c>
      <c r="M4462" s="29">
        <f>IFERROR((G4462*H4462*I4462/1000000)*D4462,0)</f>
      </c>
    </row>
    <row r="4463" spans="1:13" x14ac:dyDescent="0.25">
      <c r="A4463" s="16"/>
      <c r="E4463" s="27"/>
      <c r="F4463" t="s">
        <v>26</v>
      </c>
      <c r="G4463" s="28">
        <f>IFERROR(VLOOKUP(F4463,CARTON_LOOKUP!$A:$E,3,0),"")</f>
      </c>
      <c r="H4463" s="28">
        <f>IFERROR(VLOOKUP(F4463,CARTON_LOOKUP!$A:$E,4,0),"")</f>
      </c>
      <c r="I4463" s="28">
        <f>IFERROR(VLOOKUP(F4463,CARTON_LOOKUP!$A:$E,5,0),"")</f>
      </c>
      <c r="J4463" s="29">
        <f>IFERROR(VLOOKUP(F4463,CARTON_LOOKUP!$A:$E,2,0),"")</f>
      </c>
      <c r="K4463" s="29">
        <f>IFERROR(J4463*D4463,0)</f>
      </c>
      <c r="L4463" s="29">
        <f>IFERROR(E4463*C4463,0)</f>
      </c>
      <c r="M4463" s="29">
        <f>IFERROR((G4463*H4463*I4463/1000000)*D4463,0)</f>
      </c>
    </row>
    <row r="4464" spans="1:13" x14ac:dyDescent="0.25">
      <c r="A4464" s="16"/>
      <c r="E4464" s="27"/>
      <c r="F4464" t="s">
        <v>26</v>
      </c>
      <c r="G4464" s="28">
        <f>IFERROR(VLOOKUP(F4464,CARTON_LOOKUP!$A:$E,3,0),"")</f>
      </c>
      <c r="H4464" s="28">
        <f>IFERROR(VLOOKUP(F4464,CARTON_LOOKUP!$A:$E,4,0),"")</f>
      </c>
      <c r="I4464" s="28">
        <f>IFERROR(VLOOKUP(F4464,CARTON_LOOKUP!$A:$E,5,0),"")</f>
      </c>
      <c r="J4464" s="29">
        <f>IFERROR(VLOOKUP(F4464,CARTON_LOOKUP!$A:$E,2,0),"")</f>
      </c>
      <c r="K4464" s="29">
        <f>IFERROR(J4464*D4464,0)</f>
      </c>
      <c r="L4464" s="29">
        <f>IFERROR(E4464*C4464,0)</f>
      </c>
      <c r="M4464" s="29">
        <f>IFERROR((G4464*H4464*I4464/1000000)*D4464,0)</f>
      </c>
    </row>
    <row r="4465" spans="1:13" x14ac:dyDescent="0.25">
      <c r="A4465" s="16"/>
      <c r="E4465" s="27"/>
      <c r="F4465" t="s">
        <v>26</v>
      </c>
      <c r="G4465" s="28">
        <f>IFERROR(VLOOKUP(F4465,CARTON_LOOKUP!$A:$E,3,0),"")</f>
      </c>
      <c r="H4465" s="28">
        <f>IFERROR(VLOOKUP(F4465,CARTON_LOOKUP!$A:$E,4,0),"")</f>
      </c>
      <c r="I4465" s="28">
        <f>IFERROR(VLOOKUP(F4465,CARTON_LOOKUP!$A:$E,5,0),"")</f>
      </c>
      <c r="J4465" s="29">
        <f>IFERROR(VLOOKUP(F4465,CARTON_LOOKUP!$A:$E,2,0),"")</f>
      </c>
      <c r="K4465" s="29">
        <f>IFERROR(J4465*D4465,0)</f>
      </c>
      <c r="L4465" s="29">
        <f>IFERROR(E4465*C4465,0)</f>
      </c>
      <c r="M4465" s="29">
        <f>IFERROR((G4465*H4465*I4465/1000000)*D4465,0)</f>
      </c>
    </row>
    <row r="4466" spans="1:13" x14ac:dyDescent="0.25">
      <c r="A4466" s="16"/>
      <c r="E4466" s="27"/>
      <c r="F4466" t="s">
        <v>26</v>
      </c>
      <c r="G4466" s="28">
        <f>IFERROR(VLOOKUP(F4466,CARTON_LOOKUP!$A:$E,3,0),"")</f>
      </c>
      <c r="H4466" s="28">
        <f>IFERROR(VLOOKUP(F4466,CARTON_LOOKUP!$A:$E,4,0),"")</f>
      </c>
      <c r="I4466" s="28">
        <f>IFERROR(VLOOKUP(F4466,CARTON_LOOKUP!$A:$E,5,0),"")</f>
      </c>
      <c r="J4466" s="29">
        <f>IFERROR(VLOOKUP(F4466,CARTON_LOOKUP!$A:$E,2,0),"")</f>
      </c>
      <c r="K4466" s="29">
        <f>IFERROR(J4466*D4466,0)</f>
      </c>
      <c r="L4466" s="29">
        <f>IFERROR(E4466*C4466,0)</f>
      </c>
      <c r="M4466" s="29">
        <f>IFERROR((G4466*H4466*I4466/1000000)*D4466,0)</f>
      </c>
    </row>
    <row r="4467" spans="1:13" x14ac:dyDescent="0.25">
      <c r="A4467" s="16"/>
      <c r="E4467" s="27"/>
      <c r="F4467" t="s">
        <v>26</v>
      </c>
      <c r="G4467" s="28">
        <f>IFERROR(VLOOKUP(F4467,CARTON_LOOKUP!$A:$E,3,0),"")</f>
      </c>
      <c r="H4467" s="28">
        <f>IFERROR(VLOOKUP(F4467,CARTON_LOOKUP!$A:$E,4,0),"")</f>
      </c>
      <c r="I4467" s="28">
        <f>IFERROR(VLOOKUP(F4467,CARTON_LOOKUP!$A:$E,5,0),"")</f>
      </c>
      <c r="J4467" s="29">
        <f>IFERROR(VLOOKUP(F4467,CARTON_LOOKUP!$A:$E,2,0),"")</f>
      </c>
      <c r="K4467" s="29">
        <f>IFERROR(J4467*D4467,0)</f>
      </c>
      <c r="L4467" s="29">
        <f>IFERROR(E4467*C4467,0)</f>
      </c>
      <c r="M4467" s="29">
        <f>IFERROR((G4467*H4467*I4467/1000000)*D4467,0)</f>
      </c>
    </row>
    <row r="4468" spans="1:13" x14ac:dyDescent="0.25">
      <c r="A4468" s="16"/>
      <c r="E4468" s="27"/>
      <c r="F4468" t="s">
        <v>26</v>
      </c>
      <c r="G4468" s="28">
        <f>IFERROR(VLOOKUP(F4468,CARTON_LOOKUP!$A:$E,3,0),"")</f>
      </c>
      <c r="H4468" s="28">
        <f>IFERROR(VLOOKUP(F4468,CARTON_LOOKUP!$A:$E,4,0),"")</f>
      </c>
      <c r="I4468" s="28">
        <f>IFERROR(VLOOKUP(F4468,CARTON_LOOKUP!$A:$E,5,0),"")</f>
      </c>
      <c r="J4468" s="29">
        <f>IFERROR(VLOOKUP(F4468,CARTON_LOOKUP!$A:$E,2,0),"")</f>
      </c>
      <c r="K4468" s="29">
        <f>IFERROR(J4468*D4468,0)</f>
      </c>
      <c r="L4468" s="29">
        <f>IFERROR(E4468*C4468,0)</f>
      </c>
      <c r="M4468" s="29">
        <f>IFERROR((G4468*H4468*I4468/1000000)*D4468,0)</f>
      </c>
    </row>
    <row r="4469" spans="1:13" x14ac:dyDescent="0.25">
      <c r="A4469" s="16"/>
      <c r="E4469" s="27"/>
      <c r="F4469" t="s">
        <v>26</v>
      </c>
      <c r="G4469" s="28">
        <f>IFERROR(VLOOKUP(F4469,CARTON_LOOKUP!$A:$E,3,0),"")</f>
      </c>
      <c r="H4469" s="28">
        <f>IFERROR(VLOOKUP(F4469,CARTON_LOOKUP!$A:$E,4,0),"")</f>
      </c>
      <c r="I4469" s="28">
        <f>IFERROR(VLOOKUP(F4469,CARTON_LOOKUP!$A:$E,5,0),"")</f>
      </c>
      <c r="J4469" s="29">
        <f>IFERROR(VLOOKUP(F4469,CARTON_LOOKUP!$A:$E,2,0),"")</f>
      </c>
      <c r="K4469" s="29">
        <f>IFERROR(J4469*D4469,0)</f>
      </c>
      <c r="L4469" s="29">
        <f>IFERROR(E4469*C4469,0)</f>
      </c>
      <c r="M4469" s="29">
        <f>IFERROR((G4469*H4469*I4469/1000000)*D4469,0)</f>
      </c>
    </row>
    <row r="4470" spans="1:13" x14ac:dyDescent="0.25">
      <c r="A4470" s="16"/>
      <c r="E4470" s="27"/>
      <c r="F4470" t="s">
        <v>26</v>
      </c>
      <c r="G4470" s="28">
        <f>IFERROR(VLOOKUP(F4470,CARTON_LOOKUP!$A:$E,3,0),"")</f>
      </c>
      <c r="H4470" s="28">
        <f>IFERROR(VLOOKUP(F4470,CARTON_LOOKUP!$A:$E,4,0),"")</f>
      </c>
      <c r="I4470" s="28">
        <f>IFERROR(VLOOKUP(F4470,CARTON_LOOKUP!$A:$E,5,0),"")</f>
      </c>
      <c r="J4470" s="29">
        <f>IFERROR(VLOOKUP(F4470,CARTON_LOOKUP!$A:$E,2,0),"")</f>
      </c>
      <c r="K4470" s="29">
        <f>IFERROR(J4470*D4470,0)</f>
      </c>
      <c r="L4470" s="29">
        <f>IFERROR(E4470*C4470,0)</f>
      </c>
      <c r="M4470" s="29">
        <f>IFERROR((G4470*H4470*I4470/1000000)*D4470,0)</f>
      </c>
    </row>
    <row r="4471" spans="1:13" x14ac:dyDescent="0.25">
      <c r="A4471" s="16"/>
      <c r="E4471" s="27"/>
      <c r="F4471" t="s">
        <v>26</v>
      </c>
      <c r="G4471" s="28">
        <f>IFERROR(VLOOKUP(F4471,CARTON_LOOKUP!$A:$E,3,0),"")</f>
      </c>
      <c r="H4471" s="28">
        <f>IFERROR(VLOOKUP(F4471,CARTON_LOOKUP!$A:$E,4,0),"")</f>
      </c>
      <c r="I4471" s="28">
        <f>IFERROR(VLOOKUP(F4471,CARTON_LOOKUP!$A:$E,5,0),"")</f>
      </c>
      <c r="J4471" s="29">
        <f>IFERROR(VLOOKUP(F4471,CARTON_LOOKUP!$A:$E,2,0),"")</f>
      </c>
      <c r="K4471" s="29">
        <f>IFERROR(J4471*D4471,0)</f>
      </c>
      <c r="L4471" s="29">
        <f>IFERROR(E4471*C4471,0)</f>
      </c>
      <c r="M4471" s="29">
        <f>IFERROR((G4471*H4471*I4471/1000000)*D4471,0)</f>
      </c>
    </row>
    <row r="4472" spans="1:13" x14ac:dyDescent="0.25">
      <c r="A4472" s="16"/>
      <c r="E4472" s="27"/>
      <c r="F4472" t="s">
        <v>26</v>
      </c>
      <c r="G4472" s="28">
        <f>IFERROR(VLOOKUP(F4472,CARTON_LOOKUP!$A:$E,3,0),"")</f>
      </c>
      <c r="H4472" s="28">
        <f>IFERROR(VLOOKUP(F4472,CARTON_LOOKUP!$A:$E,4,0),"")</f>
      </c>
      <c r="I4472" s="28">
        <f>IFERROR(VLOOKUP(F4472,CARTON_LOOKUP!$A:$E,5,0),"")</f>
      </c>
      <c r="J4472" s="29">
        <f>IFERROR(VLOOKUP(F4472,CARTON_LOOKUP!$A:$E,2,0),"")</f>
      </c>
      <c r="K4472" s="29">
        <f>IFERROR(J4472*D4472,0)</f>
      </c>
      <c r="L4472" s="29">
        <f>IFERROR(E4472*C4472,0)</f>
      </c>
      <c r="M4472" s="29">
        <f>IFERROR((G4472*H4472*I4472/1000000)*D4472,0)</f>
      </c>
    </row>
    <row r="4473" spans="1:13" x14ac:dyDescent="0.25">
      <c r="A4473" s="16"/>
      <c r="E4473" s="27"/>
      <c r="F4473" t="s">
        <v>26</v>
      </c>
      <c r="G4473" s="28">
        <f>IFERROR(VLOOKUP(F4473,CARTON_LOOKUP!$A:$E,3,0),"")</f>
      </c>
      <c r="H4473" s="28">
        <f>IFERROR(VLOOKUP(F4473,CARTON_LOOKUP!$A:$E,4,0),"")</f>
      </c>
      <c r="I4473" s="28">
        <f>IFERROR(VLOOKUP(F4473,CARTON_LOOKUP!$A:$E,5,0),"")</f>
      </c>
      <c r="J4473" s="29">
        <f>IFERROR(VLOOKUP(F4473,CARTON_LOOKUP!$A:$E,2,0),"")</f>
      </c>
      <c r="K4473" s="29">
        <f>IFERROR(J4473*D4473,0)</f>
      </c>
      <c r="L4473" s="29">
        <f>IFERROR(E4473*C4473,0)</f>
      </c>
      <c r="M4473" s="29">
        <f>IFERROR((G4473*H4473*I4473/1000000)*D4473,0)</f>
      </c>
    </row>
    <row r="4474" spans="1:13" x14ac:dyDescent="0.25">
      <c r="A4474" s="16"/>
      <c r="E4474" s="27"/>
      <c r="F4474" t="s">
        <v>26</v>
      </c>
      <c r="G4474" s="28">
        <f>IFERROR(VLOOKUP(F4474,CARTON_LOOKUP!$A:$E,3,0),"")</f>
      </c>
      <c r="H4474" s="28">
        <f>IFERROR(VLOOKUP(F4474,CARTON_LOOKUP!$A:$E,4,0),"")</f>
      </c>
      <c r="I4474" s="28">
        <f>IFERROR(VLOOKUP(F4474,CARTON_LOOKUP!$A:$E,5,0),"")</f>
      </c>
      <c r="J4474" s="29">
        <f>IFERROR(VLOOKUP(F4474,CARTON_LOOKUP!$A:$E,2,0),"")</f>
      </c>
      <c r="K4474" s="29">
        <f>IFERROR(J4474*D4474,0)</f>
      </c>
      <c r="L4474" s="29">
        <f>IFERROR(E4474*C4474,0)</f>
      </c>
      <c r="M4474" s="29">
        <f>IFERROR((G4474*H4474*I4474/1000000)*D4474,0)</f>
      </c>
    </row>
    <row r="4475" spans="1:13" x14ac:dyDescent="0.25">
      <c r="A4475" s="16"/>
      <c r="E4475" s="27"/>
      <c r="F4475" t="s">
        <v>26</v>
      </c>
      <c r="G4475" s="28">
        <f>IFERROR(VLOOKUP(F4475,CARTON_LOOKUP!$A:$E,3,0),"")</f>
      </c>
      <c r="H4475" s="28">
        <f>IFERROR(VLOOKUP(F4475,CARTON_LOOKUP!$A:$E,4,0),"")</f>
      </c>
      <c r="I4475" s="28">
        <f>IFERROR(VLOOKUP(F4475,CARTON_LOOKUP!$A:$E,5,0),"")</f>
      </c>
      <c r="J4475" s="29">
        <f>IFERROR(VLOOKUP(F4475,CARTON_LOOKUP!$A:$E,2,0),"")</f>
      </c>
      <c r="K4475" s="29">
        <f>IFERROR(J4475*D4475,0)</f>
      </c>
      <c r="L4475" s="29">
        <f>IFERROR(E4475*C4475,0)</f>
      </c>
      <c r="M4475" s="29">
        <f>IFERROR((G4475*H4475*I4475/1000000)*D4475,0)</f>
      </c>
    </row>
    <row r="4476" spans="1:13" x14ac:dyDescent="0.25">
      <c r="A4476" s="16"/>
      <c r="E4476" s="27"/>
      <c r="F4476" t="s">
        <v>26</v>
      </c>
      <c r="G4476" s="28">
        <f>IFERROR(VLOOKUP(F4476,CARTON_LOOKUP!$A:$E,3,0),"")</f>
      </c>
      <c r="H4476" s="28">
        <f>IFERROR(VLOOKUP(F4476,CARTON_LOOKUP!$A:$E,4,0),"")</f>
      </c>
      <c r="I4476" s="28">
        <f>IFERROR(VLOOKUP(F4476,CARTON_LOOKUP!$A:$E,5,0),"")</f>
      </c>
      <c r="J4476" s="29">
        <f>IFERROR(VLOOKUP(F4476,CARTON_LOOKUP!$A:$E,2,0),"")</f>
      </c>
      <c r="K4476" s="29">
        <f>IFERROR(J4476*D4476,0)</f>
      </c>
      <c r="L4476" s="29">
        <f>IFERROR(E4476*C4476,0)</f>
      </c>
      <c r="M4476" s="29">
        <f>IFERROR((G4476*H4476*I4476/1000000)*D4476,0)</f>
      </c>
    </row>
    <row r="4477" spans="1:13" x14ac:dyDescent="0.25">
      <c r="A4477" s="16"/>
      <c r="E4477" s="27"/>
      <c r="F4477" t="s">
        <v>26</v>
      </c>
      <c r="G4477" s="28">
        <f>IFERROR(VLOOKUP(F4477,CARTON_LOOKUP!$A:$E,3,0),"")</f>
      </c>
      <c r="H4477" s="28">
        <f>IFERROR(VLOOKUP(F4477,CARTON_LOOKUP!$A:$E,4,0),"")</f>
      </c>
      <c r="I4477" s="28">
        <f>IFERROR(VLOOKUP(F4477,CARTON_LOOKUP!$A:$E,5,0),"")</f>
      </c>
      <c r="J4477" s="29">
        <f>IFERROR(VLOOKUP(F4477,CARTON_LOOKUP!$A:$E,2,0),"")</f>
      </c>
      <c r="K4477" s="29">
        <f>IFERROR(J4477*D4477,0)</f>
      </c>
      <c r="L4477" s="29">
        <f>IFERROR(E4477*C4477,0)</f>
      </c>
      <c r="M4477" s="29">
        <f>IFERROR((G4477*H4477*I4477/1000000)*D4477,0)</f>
      </c>
    </row>
    <row r="4478" spans="1:13" x14ac:dyDescent="0.25">
      <c r="A4478" s="16"/>
      <c r="E4478" s="27"/>
      <c r="F4478" t="s">
        <v>26</v>
      </c>
      <c r="G4478" s="28">
        <f>IFERROR(VLOOKUP(F4478,CARTON_LOOKUP!$A:$E,3,0),"")</f>
      </c>
      <c r="H4478" s="28">
        <f>IFERROR(VLOOKUP(F4478,CARTON_LOOKUP!$A:$E,4,0),"")</f>
      </c>
      <c r="I4478" s="28">
        <f>IFERROR(VLOOKUP(F4478,CARTON_LOOKUP!$A:$E,5,0),"")</f>
      </c>
      <c r="J4478" s="29">
        <f>IFERROR(VLOOKUP(F4478,CARTON_LOOKUP!$A:$E,2,0),"")</f>
      </c>
      <c r="K4478" s="29">
        <f>IFERROR(J4478*D4478,0)</f>
      </c>
      <c r="L4478" s="29">
        <f>IFERROR(E4478*C4478,0)</f>
      </c>
      <c r="M4478" s="29">
        <f>IFERROR((G4478*H4478*I4478/1000000)*D4478,0)</f>
      </c>
    </row>
    <row r="4479" spans="1:13" x14ac:dyDescent="0.25">
      <c r="A4479" s="16"/>
      <c r="E4479" s="27"/>
      <c r="F4479" t="s">
        <v>26</v>
      </c>
      <c r="G4479" s="28">
        <f>IFERROR(VLOOKUP(F4479,CARTON_LOOKUP!$A:$E,3,0),"")</f>
      </c>
      <c r="H4479" s="28">
        <f>IFERROR(VLOOKUP(F4479,CARTON_LOOKUP!$A:$E,4,0),"")</f>
      </c>
      <c r="I4479" s="28">
        <f>IFERROR(VLOOKUP(F4479,CARTON_LOOKUP!$A:$E,5,0),"")</f>
      </c>
      <c r="J4479" s="29">
        <f>IFERROR(VLOOKUP(F4479,CARTON_LOOKUP!$A:$E,2,0),"")</f>
      </c>
      <c r="K4479" s="29">
        <f>IFERROR(J4479*D4479,0)</f>
      </c>
      <c r="L4479" s="29">
        <f>IFERROR(E4479*C4479,0)</f>
      </c>
      <c r="M4479" s="29">
        <f>IFERROR((G4479*H4479*I4479/1000000)*D4479,0)</f>
      </c>
    </row>
    <row r="4480" spans="1:13" x14ac:dyDescent="0.25">
      <c r="A4480" s="16"/>
      <c r="E4480" s="27"/>
      <c r="F4480" t="s">
        <v>26</v>
      </c>
      <c r="G4480" s="28">
        <f>IFERROR(VLOOKUP(F4480,CARTON_LOOKUP!$A:$E,3,0),"")</f>
      </c>
      <c r="H4480" s="28">
        <f>IFERROR(VLOOKUP(F4480,CARTON_LOOKUP!$A:$E,4,0),"")</f>
      </c>
      <c r="I4480" s="28">
        <f>IFERROR(VLOOKUP(F4480,CARTON_LOOKUP!$A:$E,5,0),"")</f>
      </c>
      <c r="J4480" s="29">
        <f>IFERROR(VLOOKUP(F4480,CARTON_LOOKUP!$A:$E,2,0),"")</f>
      </c>
      <c r="K4480" s="29">
        <f>IFERROR(J4480*D4480,0)</f>
      </c>
      <c r="L4480" s="29">
        <f>IFERROR(E4480*C4480,0)</f>
      </c>
      <c r="M4480" s="29">
        <f>IFERROR((G4480*H4480*I4480/1000000)*D4480,0)</f>
      </c>
    </row>
    <row r="4481" spans="1:13" x14ac:dyDescent="0.25">
      <c r="A4481" s="16"/>
      <c r="E4481" s="27"/>
      <c r="F4481" t="s">
        <v>26</v>
      </c>
      <c r="G4481" s="28">
        <f>IFERROR(VLOOKUP(F4481,CARTON_LOOKUP!$A:$E,3,0),"")</f>
      </c>
      <c r="H4481" s="28">
        <f>IFERROR(VLOOKUP(F4481,CARTON_LOOKUP!$A:$E,4,0),"")</f>
      </c>
      <c r="I4481" s="28">
        <f>IFERROR(VLOOKUP(F4481,CARTON_LOOKUP!$A:$E,5,0),"")</f>
      </c>
      <c r="J4481" s="29">
        <f>IFERROR(VLOOKUP(F4481,CARTON_LOOKUP!$A:$E,2,0),"")</f>
      </c>
      <c r="K4481" s="29">
        <f>IFERROR(J4481*D4481,0)</f>
      </c>
      <c r="L4481" s="29">
        <f>IFERROR(E4481*C4481,0)</f>
      </c>
      <c r="M4481" s="29">
        <f>IFERROR((G4481*H4481*I4481/1000000)*D4481,0)</f>
      </c>
    </row>
    <row r="4482" spans="1:13" x14ac:dyDescent="0.25">
      <c r="A4482" s="16"/>
      <c r="E4482" s="27"/>
      <c r="F4482" t="s">
        <v>26</v>
      </c>
      <c r="G4482" s="28">
        <f>IFERROR(VLOOKUP(F4482,CARTON_LOOKUP!$A:$E,3,0),"")</f>
      </c>
      <c r="H4482" s="28">
        <f>IFERROR(VLOOKUP(F4482,CARTON_LOOKUP!$A:$E,4,0),"")</f>
      </c>
      <c r="I4482" s="28">
        <f>IFERROR(VLOOKUP(F4482,CARTON_LOOKUP!$A:$E,5,0),"")</f>
      </c>
      <c r="J4482" s="29">
        <f>IFERROR(VLOOKUP(F4482,CARTON_LOOKUP!$A:$E,2,0),"")</f>
      </c>
      <c r="K4482" s="29">
        <f>IFERROR(J4482*D4482,0)</f>
      </c>
      <c r="L4482" s="29">
        <f>IFERROR(E4482*C4482,0)</f>
      </c>
      <c r="M4482" s="29">
        <f>IFERROR((G4482*H4482*I4482/1000000)*D4482,0)</f>
      </c>
    </row>
    <row r="4483" spans="1:13" x14ac:dyDescent="0.25">
      <c r="A4483" s="16"/>
      <c r="E4483" s="27"/>
      <c r="F4483" t="s">
        <v>26</v>
      </c>
      <c r="G4483" s="28">
        <f>IFERROR(VLOOKUP(F4483,CARTON_LOOKUP!$A:$E,3,0),"")</f>
      </c>
      <c r="H4483" s="28">
        <f>IFERROR(VLOOKUP(F4483,CARTON_LOOKUP!$A:$E,4,0),"")</f>
      </c>
      <c r="I4483" s="28">
        <f>IFERROR(VLOOKUP(F4483,CARTON_LOOKUP!$A:$E,5,0),"")</f>
      </c>
      <c r="J4483" s="29">
        <f>IFERROR(VLOOKUP(F4483,CARTON_LOOKUP!$A:$E,2,0),"")</f>
      </c>
      <c r="K4483" s="29">
        <f>IFERROR(J4483*D4483,0)</f>
      </c>
      <c r="L4483" s="29">
        <f>IFERROR(E4483*C4483,0)</f>
      </c>
      <c r="M4483" s="29">
        <f>IFERROR((G4483*H4483*I4483/1000000)*D4483,0)</f>
      </c>
    </row>
    <row r="4484" spans="1:13" x14ac:dyDescent="0.25">
      <c r="A4484" s="16"/>
      <c r="E4484" s="27"/>
      <c r="F4484" t="s">
        <v>26</v>
      </c>
      <c r="G4484" s="28">
        <f>IFERROR(VLOOKUP(F4484,CARTON_LOOKUP!$A:$E,3,0),"")</f>
      </c>
      <c r="H4484" s="28">
        <f>IFERROR(VLOOKUP(F4484,CARTON_LOOKUP!$A:$E,4,0),"")</f>
      </c>
      <c r="I4484" s="28">
        <f>IFERROR(VLOOKUP(F4484,CARTON_LOOKUP!$A:$E,5,0),"")</f>
      </c>
      <c r="J4484" s="29">
        <f>IFERROR(VLOOKUP(F4484,CARTON_LOOKUP!$A:$E,2,0),"")</f>
      </c>
      <c r="K4484" s="29">
        <f>IFERROR(J4484*D4484,0)</f>
      </c>
      <c r="L4484" s="29">
        <f>IFERROR(E4484*C4484,0)</f>
      </c>
      <c r="M4484" s="29">
        <f>IFERROR((G4484*H4484*I4484/1000000)*D4484,0)</f>
      </c>
    </row>
    <row r="4485" spans="1:13" x14ac:dyDescent="0.25">
      <c r="A4485" s="16"/>
      <c r="E4485" s="27"/>
      <c r="F4485" t="s">
        <v>26</v>
      </c>
      <c r="G4485" s="28">
        <f>IFERROR(VLOOKUP(F4485,CARTON_LOOKUP!$A:$E,3,0),"")</f>
      </c>
      <c r="H4485" s="28">
        <f>IFERROR(VLOOKUP(F4485,CARTON_LOOKUP!$A:$E,4,0),"")</f>
      </c>
      <c r="I4485" s="28">
        <f>IFERROR(VLOOKUP(F4485,CARTON_LOOKUP!$A:$E,5,0),"")</f>
      </c>
      <c r="J4485" s="29">
        <f>IFERROR(VLOOKUP(F4485,CARTON_LOOKUP!$A:$E,2,0),"")</f>
      </c>
      <c r="K4485" s="29">
        <f>IFERROR(J4485*D4485,0)</f>
      </c>
      <c r="L4485" s="29">
        <f>IFERROR(E4485*C4485,0)</f>
      </c>
      <c r="M4485" s="29">
        <f>IFERROR((G4485*H4485*I4485/1000000)*D4485,0)</f>
      </c>
    </row>
    <row r="4486" spans="1:13" x14ac:dyDescent="0.25">
      <c r="A4486" s="16"/>
      <c r="E4486" s="27"/>
      <c r="F4486" t="s">
        <v>26</v>
      </c>
      <c r="G4486" s="28">
        <f>IFERROR(VLOOKUP(F4486,CARTON_LOOKUP!$A:$E,3,0),"")</f>
      </c>
      <c r="H4486" s="28">
        <f>IFERROR(VLOOKUP(F4486,CARTON_LOOKUP!$A:$E,4,0),"")</f>
      </c>
      <c r="I4486" s="28">
        <f>IFERROR(VLOOKUP(F4486,CARTON_LOOKUP!$A:$E,5,0),"")</f>
      </c>
      <c r="J4486" s="29">
        <f>IFERROR(VLOOKUP(F4486,CARTON_LOOKUP!$A:$E,2,0),"")</f>
      </c>
      <c r="K4486" s="29">
        <f>IFERROR(J4486*D4486,0)</f>
      </c>
      <c r="L4486" s="29">
        <f>IFERROR(E4486*C4486,0)</f>
      </c>
      <c r="M4486" s="29">
        <f>IFERROR((G4486*H4486*I4486/1000000)*D4486,0)</f>
      </c>
    </row>
    <row r="4487" spans="1:13" x14ac:dyDescent="0.25">
      <c r="A4487" s="16"/>
      <c r="E4487" s="27"/>
      <c r="F4487" t="s">
        <v>26</v>
      </c>
      <c r="G4487" s="28">
        <f>IFERROR(VLOOKUP(F4487,CARTON_LOOKUP!$A:$E,3,0),"")</f>
      </c>
      <c r="H4487" s="28">
        <f>IFERROR(VLOOKUP(F4487,CARTON_LOOKUP!$A:$E,4,0),"")</f>
      </c>
      <c r="I4487" s="28">
        <f>IFERROR(VLOOKUP(F4487,CARTON_LOOKUP!$A:$E,5,0),"")</f>
      </c>
      <c r="J4487" s="29">
        <f>IFERROR(VLOOKUP(F4487,CARTON_LOOKUP!$A:$E,2,0),"")</f>
      </c>
      <c r="K4487" s="29">
        <f>IFERROR(J4487*D4487,0)</f>
      </c>
      <c r="L4487" s="29">
        <f>IFERROR(E4487*C4487,0)</f>
      </c>
      <c r="M4487" s="29">
        <f>IFERROR((G4487*H4487*I4487/1000000)*D4487,0)</f>
      </c>
    </row>
    <row r="4488" spans="1:13" x14ac:dyDescent="0.25">
      <c r="A4488" s="16"/>
      <c r="E4488" s="27"/>
      <c r="F4488" t="s">
        <v>26</v>
      </c>
      <c r="G4488" s="28">
        <f>IFERROR(VLOOKUP(F4488,CARTON_LOOKUP!$A:$E,3,0),"")</f>
      </c>
      <c r="H4488" s="28">
        <f>IFERROR(VLOOKUP(F4488,CARTON_LOOKUP!$A:$E,4,0),"")</f>
      </c>
      <c r="I4488" s="28">
        <f>IFERROR(VLOOKUP(F4488,CARTON_LOOKUP!$A:$E,5,0),"")</f>
      </c>
      <c r="J4488" s="29">
        <f>IFERROR(VLOOKUP(F4488,CARTON_LOOKUP!$A:$E,2,0),"")</f>
      </c>
      <c r="K4488" s="29">
        <f>IFERROR(J4488*D4488,0)</f>
      </c>
      <c r="L4488" s="29">
        <f>IFERROR(E4488*C4488,0)</f>
      </c>
      <c r="M4488" s="29">
        <f>IFERROR((G4488*H4488*I4488/1000000)*D4488,0)</f>
      </c>
    </row>
    <row r="4489" spans="1:13" x14ac:dyDescent="0.25">
      <c r="A4489" s="16"/>
      <c r="E4489" s="27"/>
      <c r="F4489" t="s">
        <v>26</v>
      </c>
      <c r="G4489" s="28">
        <f>IFERROR(VLOOKUP(F4489,CARTON_LOOKUP!$A:$E,3,0),"")</f>
      </c>
      <c r="H4489" s="28">
        <f>IFERROR(VLOOKUP(F4489,CARTON_LOOKUP!$A:$E,4,0),"")</f>
      </c>
      <c r="I4489" s="28">
        <f>IFERROR(VLOOKUP(F4489,CARTON_LOOKUP!$A:$E,5,0),"")</f>
      </c>
      <c r="J4489" s="29">
        <f>IFERROR(VLOOKUP(F4489,CARTON_LOOKUP!$A:$E,2,0),"")</f>
      </c>
      <c r="K4489" s="29">
        <f>IFERROR(J4489*D4489,0)</f>
      </c>
      <c r="L4489" s="29">
        <f>IFERROR(E4489*C4489,0)</f>
      </c>
      <c r="M4489" s="29">
        <f>IFERROR((G4489*H4489*I4489/1000000)*D4489,0)</f>
      </c>
    </row>
    <row r="4490" spans="1:13" x14ac:dyDescent="0.25">
      <c r="A4490" s="16"/>
      <c r="E4490" s="27"/>
      <c r="F4490" t="s">
        <v>26</v>
      </c>
      <c r="G4490" s="28">
        <f>IFERROR(VLOOKUP(F4490,CARTON_LOOKUP!$A:$E,3,0),"")</f>
      </c>
      <c r="H4490" s="28">
        <f>IFERROR(VLOOKUP(F4490,CARTON_LOOKUP!$A:$E,4,0),"")</f>
      </c>
      <c r="I4490" s="28">
        <f>IFERROR(VLOOKUP(F4490,CARTON_LOOKUP!$A:$E,5,0),"")</f>
      </c>
      <c r="J4490" s="29">
        <f>IFERROR(VLOOKUP(F4490,CARTON_LOOKUP!$A:$E,2,0),"")</f>
      </c>
      <c r="K4490" s="29">
        <f>IFERROR(J4490*D4490,0)</f>
      </c>
      <c r="L4490" s="29">
        <f>IFERROR(E4490*C4490,0)</f>
      </c>
      <c r="M4490" s="29">
        <f>IFERROR((G4490*H4490*I4490/1000000)*D4490,0)</f>
      </c>
    </row>
    <row r="4491" spans="1:13" x14ac:dyDescent="0.25">
      <c r="A4491" s="16"/>
      <c r="E4491" s="27"/>
      <c r="F4491" t="s">
        <v>26</v>
      </c>
      <c r="G4491" s="28">
        <f>IFERROR(VLOOKUP(F4491,CARTON_LOOKUP!$A:$E,3,0),"")</f>
      </c>
      <c r="H4491" s="28">
        <f>IFERROR(VLOOKUP(F4491,CARTON_LOOKUP!$A:$E,4,0),"")</f>
      </c>
      <c r="I4491" s="28">
        <f>IFERROR(VLOOKUP(F4491,CARTON_LOOKUP!$A:$E,5,0),"")</f>
      </c>
      <c r="J4491" s="29">
        <f>IFERROR(VLOOKUP(F4491,CARTON_LOOKUP!$A:$E,2,0),"")</f>
      </c>
      <c r="K4491" s="29">
        <f>IFERROR(J4491*D4491,0)</f>
      </c>
      <c r="L4491" s="29">
        <f>IFERROR(E4491*C4491,0)</f>
      </c>
      <c r="M4491" s="29">
        <f>IFERROR((G4491*H4491*I4491/1000000)*D4491,0)</f>
      </c>
    </row>
    <row r="4492" spans="1:13" x14ac:dyDescent="0.25">
      <c r="A4492" s="16"/>
      <c r="E4492" s="27"/>
      <c r="F4492" t="s">
        <v>26</v>
      </c>
      <c r="G4492" s="28">
        <f>IFERROR(VLOOKUP(F4492,CARTON_LOOKUP!$A:$E,3,0),"")</f>
      </c>
      <c r="H4492" s="28">
        <f>IFERROR(VLOOKUP(F4492,CARTON_LOOKUP!$A:$E,4,0),"")</f>
      </c>
      <c r="I4492" s="28">
        <f>IFERROR(VLOOKUP(F4492,CARTON_LOOKUP!$A:$E,5,0),"")</f>
      </c>
      <c r="J4492" s="29">
        <f>IFERROR(VLOOKUP(F4492,CARTON_LOOKUP!$A:$E,2,0),"")</f>
      </c>
      <c r="K4492" s="29">
        <f>IFERROR(J4492*D4492,0)</f>
      </c>
      <c r="L4492" s="29">
        <f>IFERROR(E4492*C4492,0)</f>
      </c>
      <c r="M4492" s="29">
        <f>IFERROR((G4492*H4492*I4492/1000000)*D4492,0)</f>
      </c>
    </row>
    <row r="4493" spans="1:13" x14ac:dyDescent="0.25">
      <c r="A4493" s="16"/>
      <c r="E4493" s="27"/>
      <c r="F4493" t="s">
        <v>26</v>
      </c>
      <c r="G4493" s="28">
        <f>IFERROR(VLOOKUP(F4493,CARTON_LOOKUP!$A:$E,3,0),"")</f>
      </c>
      <c r="H4493" s="28">
        <f>IFERROR(VLOOKUP(F4493,CARTON_LOOKUP!$A:$E,4,0),"")</f>
      </c>
      <c r="I4493" s="28">
        <f>IFERROR(VLOOKUP(F4493,CARTON_LOOKUP!$A:$E,5,0),"")</f>
      </c>
      <c r="J4493" s="29">
        <f>IFERROR(VLOOKUP(F4493,CARTON_LOOKUP!$A:$E,2,0),"")</f>
      </c>
      <c r="K4493" s="29">
        <f>IFERROR(J4493*D4493,0)</f>
      </c>
      <c r="L4493" s="29">
        <f>IFERROR(E4493*C4493,0)</f>
      </c>
      <c r="M4493" s="29">
        <f>IFERROR((G4493*H4493*I4493/1000000)*D4493,0)</f>
      </c>
    </row>
    <row r="4494" spans="1:13" x14ac:dyDescent="0.25">
      <c r="A4494" s="16"/>
      <c r="E4494" s="27"/>
      <c r="F4494" t="s">
        <v>26</v>
      </c>
      <c r="G4494" s="28">
        <f>IFERROR(VLOOKUP(F4494,CARTON_LOOKUP!$A:$E,3,0),"")</f>
      </c>
      <c r="H4494" s="28">
        <f>IFERROR(VLOOKUP(F4494,CARTON_LOOKUP!$A:$E,4,0),"")</f>
      </c>
      <c r="I4494" s="28">
        <f>IFERROR(VLOOKUP(F4494,CARTON_LOOKUP!$A:$E,5,0),"")</f>
      </c>
      <c r="J4494" s="29">
        <f>IFERROR(VLOOKUP(F4494,CARTON_LOOKUP!$A:$E,2,0),"")</f>
      </c>
      <c r="K4494" s="29">
        <f>IFERROR(J4494*D4494,0)</f>
      </c>
      <c r="L4494" s="29">
        <f>IFERROR(E4494*C4494,0)</f>
      </c>
      <c r="M4494" s="29">
        <f>IFERROR((G4494*H4494*I4494/1000000)*D4494,0)</f>
      </c>
    </row>
    <row r="4495" spans="1:13" x14ac:dyDescent="0.25">
      <c r="A4495" s="16"/>
      <c r="E4495" s="27"/>
      <c r="F4495" t="s">
        <v>26</v>
      </c>
      <c r="G4495" s="28">
        <f>IFERROR(VLOOKUP(F4495,CARTON_LOOKUP!$A:$E,3,0),"")</f>
      </c>
      <c r="H4495" s="28">
        <f>IFERROR(VLOOKUP(F4495,CARTON_LOOKUP!$A:$E,4,0),"")</f>
      </c>
      <c r="I4495" s="28">
        <f>IFERROR(VLOOKUP(F4495,CARTON_LOOKUP!$A:$E,5,0),"")</f>
      </c>
      <c r="J4495" s="29">
        <f>IFERROR(VLOOKUP(F4495,CARTON_LOOKUP!$A:$E,2,0),"")</f>
      </c>
      <c r="K4495" s="29">
        <f>IFERROR(J4495*D4495,0)</f>
      </c>
      <c r="L4495" s="29">
        <f>IFERROR(E4495*C4495,0)</f>
      </c>
      <c r="M4495" s="29">
        <f>IFERROR((G4495*H4495*I4495/1000000)*D4495,0)</f>
      </c>
    </row>
    <row r="4496" spans="1:13" x14ac:dyDescent="0.25">
      <c r="A4496" s="16"/>
      <c r="E4496" s="27"/>
      <c r="F4496" t="s">
        <v>26</v>
      </c>
      <c r="G4496" s="28">
        <f>IFERROR(VLOOKUP(F4496,CARTON_LOOKUP!$A:$E,3,0),"")</f>
      </c>
      <c r="H4496" s="28">
        <f>IFERROR(VLOOKUP(F4496,CARTON_LOOKUP!$A:$E,4,0),"")</f>
      </c>
      <c r="I4496" s="28">
        <f>IFERROR(VLOOKUP(F4496,CARTON_LOOKUP!$A:$E,5,0),"")</f>
      </c>
      <c r="J4496" s="29">
        <f>IFERROR(VLOOKUP(F4496,CARTON_LOOKUP!$A:$E,2,0),"")</f>
      </c>
      <c r="K4496" s="29">
        <f>IFERROR(J4496*D4496,0)</f>
      </c>
      <c r="L4496" s="29">
        <f>IFERROR(E4496*C4496,0)</f>
      </c>
      <c r="M4496" s="29">
        <f>IFERROR((G4496*H4496*I4496/1000000)*D4496,0)</f>
      </c>
    </row>
    <row r="4497" spans="1:13" x14ac:dyDescent="0.25">
      <c r="A4497" s="16"/>
      <c r="E4497" s="27"/>
      <c r="F4497" t="s">
        <v>26</v>
      </c>
      <c r="G4497" s="28">
        <f>IFERROR(VLOOKUP(F4497,CARTON_LOOKUP!$A:$E,3,0),"")</f>
      </c>
      <c r="H4497" s="28">
        <f>IFERROR(VLOOKUP(F4497,CARTON_LOOKUP!$A:$E,4,0),"")</f>
      </c>
      <c r="I4497" s="28">
        <f>IFERROR(VLOOKUP(F4497,CARTON_LOOKUP!$A:$E,5,0),"")</f>
      </c>
      <c r="J4497" s="29">
        <f>IFERROR(VLOOKUP(F4497,CARTON_LOOKUP!$A:$E,2,0),"")</f>
      </c>
      <c r="K4497" s="29">
        <f>IFERROR(J4497*D4497,0)</f>
      </c>
      <c r="L4497" s="29">
        <f>IFERROR(E4497*C4497,0)</f>
      </c>
      <c r="M4497" s="29">
        <f>IFERROR((G4497*H4497*I4497/1000000)*D4497,0)</f>
      </c>
    </row>
    <row r="4498" spans="1:13" x14ac:dyDescent="0.25">
      <c r="A4498" s="16"/>
      <c r="E4498" s="27"/>
      <c r="F4498" t="s">
        <v>26</v>
      </c>
      <c r="G4498" s="28">
        <f>IFERROR(VLOOKUP(F4498,CARTON_LOOKUP!$A:$E,3,0),"")</f>
      </c>
      <c r="H4498" s="28">
        <f>IFERROR(VLOOKUP(F4498,CARTON_LOOKUP!$A:$E,4,0),"")</f>
      </c>
      <c r="I4498" s="28">
        <f>IFERROR(VLOOKUP(F4498,CARTON_LOOKUP!$A:$E,5,0),"")</f>
      </c>
      <c r="J4498" s="29">
        <f>IFERROR(VLOOKUP(F4498,CARTON_LOOKUP!$A:$E,2,0),"")</f>
      </c>
      <c r="K4498" s="29">
        <f>IFERROR(J4498*D4498,0)</f>
      </c>
      <c r="L4498" s="29">
        <f>IFERROR(E4498*C4498,0)</f>
      </c>
      <c r="M4498" s="29">
        <f>IFERROR((G4498*H4498*I4498/1000000)*D4498,0)</f>
      </c>
    </row>
    <row r="4499" spans="1:13" x14ac:dyDescent="0.25">
      <c r="A4499" s="16"/>
      <c r="E4499" s="27"/>
      <c r="F4499" t="s">
        <v>26</v>
      </c>
      <c r="G4499" s="28">
        <f>IFERROR(VLOOKUP(F4499,CARTON_LOOKUP!$A:$E,3,0),"")</f>
      </c>
      <c r="H4499" s="28">
        <f>IFERROR(VLOOKUP(F4499,CARTON_LOOKUP!$A:$E,4,0),"")</f>
      </c>
      <c r="I4499" s="28">
        <f>IFERROR(VLOOKUP(F4499,CARTON_LOOKUP!$A:$E,5,0),"")</f>
      </c>
      <c r="J4499" s="29">
        <f>IFERROR(VLOOKUP(F4499,CARTON_LOOKUP!$A:$E,2,0),"")</f>
      </c>
      <c r="K4499" s="29">
        <f>IFERROR(J4499*D4499,0)</f>
      </c>
      <c r="L4499" s="29">
        <f>IFERROR(E4499*C4499,0)</f>
      </c>
      <c r="M4499" s="29">
        <f>IFERROR((G4499*H4499*I4499/1000000)*D4499,0)</f>
      </c>
    </row>
    <row r="4500" spans="1:13" x14ac:dyDescent="0.25">
      <c r="A4500" s="16"/>
      <c r="E4500" s="27"/>
      <c r="F4500" t="s">
        <v>26</v>
      </c>
      <c r="G4500" s="28">
        <f>IFERROR(VLOOKUP(F4500,CARTON_LOOKUP!$A:$E,3,0),"")</f>
      </c>
      <c r="H4500" s="28">
        <f>IFERROR(VLOOKUP(F4500,CARTON_LOOKUP!$A:$E,4,0),"")</f>
      </c>
      <c r="I4500" s="28">
        <f>IFERROR(VLOOKUP(F4500,CARTON_LOOKUP!$A:$E,5,0),"")</f>
      </c>
      <c r="J4500" s="29">
        <f>IFERROR(VLOOKUP(F4500,CARTON_LOOKUP!$A:$E,2,0),"")</f>
      </c>
      <c r="K4500" s="29">
        <f>IFERROR(J4500*D4500,0)</f>
      </c>
      <c r="L4500" s="29">
        <f>IFERROR(E4500*C4500,0)</f>
      </c>
      <c r="M4500" s="29">
        <f>IFERROR((G4500*H4500*I4500/1000000)*D4500,0)</f>
      </c>
    </row>
    <row r="4501" spans="1:13" x14ac:dyDescent="0.25">
      <c r="A4501" s="16"/>
      <c r="E4501" s="27"/>
      <c r="F4501" t="s">
        <v>26</v>
      </c>
      <c r="G4501" s="28">
        <f>IFERROR(VLOOKUP(F4501,CARTON_LOOKUP!$A:$E,3,0),"")</f>
      </c>
      <c r="H4501" s="28">
        <f>IFERROR(VLOOKUP(F4501,CARTON_LOOKUP!$A:$E,4,0),"")</f>
      </c>
      <c r="I4501" s="28">
        <f>IFERROR(VLOOKUP(F4501,CARTON_LOOKUP!$A:$E,5,0),"")</f>
      </c>
      <c r="J4501" s="29">
        <f>IFERROR(VLOOKUP(F4501,CARTON_LOOKUP!$A:$E,2,0),"")</f>
      </c>
      <c r="K4501" s="29">
        <f>IFERROR(J4501*D4501,0)</f>
      </c>
      <c r="L4501" s="29">
        <f>IFERROR(E4501*C4501,0)</f>
      </c>
      <c r="M4501" s="29">
        <f>IFERROR((G4501*H4501*I4501/1000000)*D4501,0)</f>
      </c>
    </row>
    <row r="4502" spans="1:13" x14ac:dyDescent="0.25">
      <c r="A4502" s="16"/>
      <c r="E4502" s="27"/>
      <c r="F4502" t="s">
        <v>26</v>
      </c>
      <c r="G4502" s="28">
        <f>IFERROR(VLOOKUP(F4502,CARTON_LOOKUP!$A:$E,3,0),"")</f>
      </c>
      <c r="H4502" s="28">
        <f>IFERROR(VLOOKUP(F4502,CARTON_LOOKUP!$A:$E,4,0),"")</f>
      </c>
      <c r="I4502" s="28">
        <f>IFERROR(VLOOKUP(F4502,CARTON_LOOKUP!$A:$E,5,0),"")</f>
      </c>
      <c r="J4502" s="29">
        <f>IFERROR(VLOOKUP(F4502,CARTON_LOOKUP!$A:$E,2,0),"")</f>
      </c>
      <c r="K4502" s="29">
        <f>IFERROR(J4502*D4502,0)</f>
      </c>
      <c r="L4502" s="29">
        <f>IFERROR(E4502*C4502,0)</f>
      </c>
      <c r="M4502" s="29">
        <f>IFERROR((G4502*H4502*I4502/1000000)*D4502,0)</f>
      </c>
    </row>
    <row r="4503" spans="1:13" x14ac:dyDescent="0.25">
      <c r="A4503" s="16"/>
      <c r="E4503" s="27"/>
      <c r="F4503" t="s">
        <v>26</v>
      </c>
      <c r="G4503" s="28">
        <f>IFERROR(VLOOKUP(F4503,CARTON_LOOKUP!$A:$E,3,0),"")</f>
      </c>
      <c r="H4503" s="28">
        <f>IFERROR(VLOOKUP(F4503,CARTON_LOOKUP!$A:$E,4,0),"")</f>
      </c>
      <c r="I4503" s="28">
        <f>IFERROR(VLOOKUP(F4503,CARTON_LOOKUP!$A:$E,5,0),"")</f>
      </c>
      <c r="J4503" s="29">
        <f>IFERROR(VLOOKUP(F4503,CARTON_LOOKUP!$A:$E,2,0),"")</f>
      </c>
      <c r="K4503" s="29">
        <f>IFERROR(J4503*D4503,0)</f>
      </c>
      <c r="L4503" s="29">
        <f>IFERROR(E4503*C4503,0)</f>
      </c>
      <c r="M4503" s="29">
        <f>IFERROR((G4503*H4503*I4503/1000000)*D4503,0)</f>
      </c>
    </row>
    <row r="4504" spans="1:13" x14ac:dyDescent="0.25">
      <c r="A4504" s="16"/>
      <c r="E4504" s="27"/>
      <c r="F4504" t="s">
        <v>26</v>
      </c>
      <c r="G4504" s="28">
        <f>IFERROR(VLOOKUP(F4504,CARTON_LOOKUP!$A:$E,3,0),"")</f>
      </c>
      <c r="H4504" s="28">
        <f>IFERROR(VLOOKUP(F4504,CARTON_LOOKUP!$A:$E,4,0),"")</f>
      </c>
      <c r="I4504" s="28">
        <f>IFERROR(VLOOKUP(F4504,CARTON_LOOKUP!$A:$E,5,0),"")</f>
      </c>
      <c r="J4504" s="29">
        <f>IFERROR(VLOOKUP(F4504,CARTON_LOOKUP!$A:$E,2,0),"")</f>
      </c>
      <c r="K4504" s="29">
        <f>IFERROR(J4504*D4504,0)</f>
      </c>
      <c r="L4504" s="29">
        <f>IFERROR(E4504*C4504,0)</f>
      </c>
      <c r="M4504" s="29">
        <f>IFERROR((G4504*H4504*I4504/1000000)*D4504,0)</f>
      </c>
    </row>
    <row r="4505" spans="1:13" x14ac:dyDescent="0.25">
      <c r="A4505" s="16"/>
      <c r="E4505" s="27"/>
      <c r="F4505" t="s">
        <v>26</v>
      </c>
      <c r="G4505" s="28">
        <f>IFERROR(VLOOKUP(F4505,CARTON_LOOKUP!$A:$E,3,0),"")</f>
      </c>
      <c r="H4505" s="28">
        <f>IFERROR(VLOOKUP(F4505,CARTON_LOOKUP!$A:$E,4,0),"")</f>
      </c>
      <c r="I4505" s="28">
        <f>IFERROR(VLOOKUP(F4505,CARTON_LOOKUP!$A:$E,5,0),"")</f>
      </c>
      <c r="J4505" s="29">
        <f>IFERROR(VLOOKUP(F4505,CARTON_LOOKUP!$A:$E,2,0),"")</f>
      </c>
      <c r="K4505" s="29">
        <f>IFERROR(J4505*D4505,0)</f>
      </c>
      <c r="L4505" s="29">
        <f>IFERROR(E4505*C4505,0)</f>
      </c>
      <c r="M4505" s="29">
        <f>IFERROR((G4505*H4505*I4505/1000000)*D4505,0)</f>
      </c>
    </row>
    <row r="4506" spans="1:13" x14ac:dyDescent="0.25">
      <c r="A4506" s="16"/>
      <c r="E4506" s="27"/>
      <c r="F4506" t="s">
        <v>26</v>
      </c>
      <c r="G4506" s="28">
        <f>IFERROR(VLOOKUP(F4506,CARTON_LOOKUP!$A:$E,3,0),"")</f>
      </c>
      <c r="H4506" s="28">
        <f>IFERROR(VLOOKUP(F4506,CARTON_LOOKUP!$A:$E,4,0),"")</f>
      </c>
      <c r="I4506" s="28">
        <f>IFERROR(VLOOKUP(F4506,CARTON_LOOKUP!$A:$E,5,0),"")</f>
      </c>
      <c r="J4506" s="29">
        <f>IFERROR(VLOOKUP(F4506,CARTON_LOOKUP!$A:$E,2,0),"")</f>
      </c>
      <c r="K4506" s="29">
        <f>IFERROR(J4506*D4506,0)</f>
      </c>
      <c r="L4506" s="29">
        <f>IFERROR(E4506*C4506,0)</f>
      </c>
      <c r="M4506" s="29">
        <f>IFERROR((G4506*H4506*I4506/1000000)*D4506,0)</f>
      </c>
    </row>
    <row r="4507" spans="1:13" x14ac:dyDescent="0.25">
      <c r="A4507" s="16"/>
      <c r="E4507" s="27"/>
      <c r="F4507" t="s">
        <v>26</v>
      </c>
      <c r="G4507" s="28">
        <f>IFERROR(VLOOKUP(F4507,CARTON_LOOKUP!$A:$E,3,0),"")</f>
      </c>
      <c r="H4507" s="28">
        <f>IFERROR(VLOOKUP(F4507,CARTON_LOOKUP!$A:$E,4,0),"")</f>
      </c>
      <c r="I4507" s="28">
        <f>IFERROR(VLOOKUP(F4507,CARTON_LOOKUP!$A:$E,5,0),"")</f>
      </c>
      <c r="J4507" s="29">
        <f>IFERROR(VLOOKUP(F4507,CARTON_LOOKUP!$A:$E,2,0),"")</f>
      </c>
      <c r="K4507" s="29">
        <f>IFERROR(J4507*D4507,0)</f>
      </c>
      <c r="L4507" s="29">
        <f>IFERROR(E4507*C4507,0)</f>
      </c>
      <c r="M4507" s="29">
        <f>IFERROR((G4507*H4507*I4507/1000000)*D4507,0)</f>
      </c>
    </row>
    <row r="4508" spans="1:13" x14ac:dyDescent="0.25">
      <c r="A4508" s="16"/>
      <c r="E4508" s="27"/>
      <c r="F4508" t="s">
        <v>26</v>
      </c>
      <c r="G4508" s="28">
        <f>IFERROR(VLOOKUP(F4508,CARTON_LOOKUP!$A:$E,3,0),"")</f>
      </c>
      <c r="H4508" s="28">
        <f>IFERROR(VLOOKUP(F4508,CARTON_LOOKUP!$A:$E,4,0),"")</f>
      </c>
      <c r="I4508" s="28">
        <f>IFERROR(VLOOKUP(F4508,CARTON_LOOKUP!$A:$E,5,0),"")</f>
      </c>
      <c r="J4508" s="29">
        <f>IFERROR(VLOOKUP(F4508,CARTON_LOOKUP!$A:$E,2,0),"")</f>
      </c>
      <c r="K4508" s="29">
        <f>IFERROR(J4508*D4508,0)</f>
      </c>
      <c r="L4508" s="29">
        <f>IFERROR(E4508*C4508,0)</f>
      </c>
      <c r="M4508" s="29">
        <f>IFERROR((G4508*H4508*I4508/1000000)*D4508,0)</f>
      </c>
    </row>
    <row r="4509" spans="1:13" x14ac:dyDescent="0.25">
      <c r="A4509" s="16"/>
      <c r="E4509" s="27"/>
      <c r="F4509" t="s">
        <v>26</v>
      </c>
      <c r="G4509" s="28">
        <f>IFERROR(VLOOKUP(F4509,CARTON_LOOKUP!$A:$E,3,0),"")</f>
      </c>
      <c r="H4509" s="28">
        <f>IFERROR(VLOOKUP(F4509,CARTON_LOOKUP!$A:$E,4,0),"")</f>
      </c>
      <c r="I4509" s="28">
        <f>IFERROR(VLOOKUP(F4509,CARTON_LOOKUP!$A:$E,5,0),"")</f>
      </c>
      <c r="J4509" s="29">
        <f>IFERROR(VLOOKUP(F4509,CARTON_LOOKUP!$A:$E,2,0),"")</f>
      </c>
      <c r="K4509" s="29">
        <f>IFERROR(J4509*D4509,0)</f>
      </c>
      <c r="L4509" s="29">
        <f>IFERROR(E4509*C4509,0)</f>
      </c>
      <c r="M4509" s="29">
        <f>IFERROR((G4509*H4509*I4509/1000000)*D4509,0)</f>
      </c>
    </row>
    <row r="4510" spans="1:13" x14ac:dyDescent="0.25">
      <c r="A4510" s="16"/>
      <c r="E4510" s="27"/>
      <c r="F4510" t="s">
        <v>26</v>
      </c>
      <c r="G4510" s="28">
        <f>IFERROR(VLOOKUP(F4510,CARTON_LOOKUP!$A:$E,3,0),"")</f>
      </c>
      <c r="H4510" s="28">
        <f>IFERROR(VLOOKUP(F4510,CARTON_LOOKUP!$A:$E,4,0),"")</f>
      </c>
      <c r="I4510" s="28">
        <f>IFERROR(VLOOKUP(F4510,CARTON_LOOKUP!$A:$E,5,0),"")</f>
      </c>
      <c r="J4510" s="29">
        <f>IFERROR(VLOOKUP(F4510,CARTON_LOOKUP!$A:$E,2,0),"")</f>
      </c>
      <c r="K4510" s="29">
        <f>IFERROR(J4510*D4510,0)</f>
      </c>
      <c r="L4510" s="29">
        <f>IFERROR(E4510*C4510,0)</f>
      </c>
      <c r="M4510" s="29">
        <f>IFERROR((G4510*H4510*I4510/1000000)*D4510,0)</f>
      </c>
    </row>
    <row r="4511" spans="1:13" x14ac:dyDescent="0.25">
      <c r="A4511" s="16"/>
      <c r="E4511" s="27"/>
      <c r="F4511" t="s">
        <v>26</v>
      </c>
      <c r="G4511" s="28">
        <f>IFERROR(VLOOKUP(F4511,CARTON_LOOKUP!$A:$E,3,0),"")</f>
      </c>
      <c r="H4511" s="28">
        <f>IFERROR(VLOOKUP(F4511,CARTON_LOOKUP!$A:$E,4,0),"")</f>
      </c>
      <c r="I4511" s="28">
        <f>IFERROR(VLOOKUP(F4511,CARTON_LOOKUP!$A:$E,5,0),"")</f>
      </c>
      <c r="J4511" s="29">
        <f>IFERROR(VLOOKUP(F4511,CARTON_LOOKUP!$A:$E,2,0),"")</f>
      </c>
      <c r="K4511" s="29">
        <f>IFERROR(J4511*D4511,0)</f>
      </c>
      <c r="L4511" s="29">
        <f>IFERROR(E4511*C4511,0)</f>
      </c>
      <c r="M4511" s="29">
        <f>IFERROR((G4511*H4511*I4511/1000000)*D4511,0)</f>
      </c>
    </row>
    <row r="4512" spans="1:13" x14ac:dyDescent="0.25">
      <c r="A4512" s="16"/>
      <c r="E4512" s="27"/>
      <c r="F4512" t="s">
        <v>26</v>
      </c>
      <c r="G4512" s="28">
        <f>IFERROR(VLOOKUP(F4512,CARTON_LOOKUP!$A:$E,3,0),"")</f>
      </c>
      <c r="H4512" s="28">
        <f>IFERROR(VLOOKUP(F4512,CARTON_LOOKUP!$A:$E,4,0),"")</f>
      </c>
      <c r="I4512" s="28">
        <f>IFERROR(VLOOKUP(F4512,CARTON_LOOKUP!$A:$E,5,0),"")</f>
      </c>
      <c r="J4512" s="29">
        <f>IFERROR(VLOOKUP(F4512,CARTON_LOOKUP!$A:$E,2,0),"")</f>
      </c>
      <c r="K4512" s="29">
        <f>IFERROR(J4512*D4512,0)</f>
      </c>
      <c r="L4512" s="29">
        <f>IFERROR(E4512*C4512,0)</f>
      </c>
      <c r="M4512" s="29">
        <f>IFERROR((G4512*H4512*I4512/1000000)*D4512,0)</f>
      </c>
    </row>
    <row r="4513" spans="1:13" x14ac:dyDescent="0.25">
      <c r="A4513" s="16"/>
      <c r="E4513" s="27"/>
      <c r="F4513" t="s">
        <v>26</v>
      </c>
      <c r="G4513" s="28">
        <f>IFERROR(VLOOKUP(F4513,CARTON_LOOKUP!$A:$E,3,0),"")</f>
      </c>
      <c r="H4513" s="28">
        <f>IFERROR(VLOOKUP(F4513,CARTON_LOOKUP!$A:$E,4,0),"")</f>
      </c>
      <c r="I4513" s="28">
        <f>IFERROR(VLOOKUP(F4513,CARTON_LOOKUP!$A:$E,5,0),"")</f>
      </c>
      <c r="J4513" s="29">
        <f>IFERROR(VLOOKUP(F4513,CARTON_LOOKUP!$A:$E,2,0),"")</f>
      </c>
      <c r="K4513" s="29">
        <f>IFERROR(J4513*D4513,0)</f>
      </c>
      <c r="L4513" s="29">
        <f>IFERROR(E4513*C4513,0)</f>
      </c>
      <c r="M4513" s="29">
        <f>IFERROR((G4513*H4513*I4513/1000000)*D4513,0)</f>
      </c>
    </row>
    <row r="4514" spans="1:13" x14ac:dyDescent="0.25">
      <c r="A4514" s="16"/>
      <c r="E4514" s="27"/>
      <c r="F4514" t="s">
        <v>26</v>
      </c>
      <c r="G4514" s="28">
        <f>IFERROR(VLOOKUP(F4514,CARTON_LOOKUP!$A:$E,3,0),"")</f>
      </c>
      <c r="H4514" s="28">
        <f>IFERROR(VLOOKUP(F4514,CARTON_LOOKUP!$A:$E,4,0),"")</f>
      </c>
      <c r="I4514" s="28">
        <f>IFERROR(VLOOKUP(F4514,CARTON_LOOKUP!$A:$E,5,0),"")</f>
      </c>
      <c r="J4514" s="29">
        <f>IFERROR(VLOOKUP(F4514,CARTON_LOOKUP!$A:$E,2,0),"")</f>
      </c>
      <c r="K4514" s="29">
        <f>IFERROR(J4514*D4514,0)</f>
      </c>
      <c r="L4514" s="29">
        <f>IFERROR(E4514*C4514,0)</f>
      </c>
      <c r="M4514" s="29">
        <f>IFERROR((G4514*H4514*I4514/1000000)*D4514,0)</f>
      </c>
    </row>
    <row r="4515" spans="1:13" x14ac:dyDescent="0.25">
      <c r="A4515" s="16"/>
      <c r="E4515" s="27"/>
      <c r="F4515" t="s">
        <v>26</v>
      </c>
      <c r="G4515" s="28">
        <f>IFERROR(VLOOKUP(F4515,CARTON_LOOKUP!$A:$E,3,0),"")</f>
      </c>
      <c r="H4515" s="28">
        <f>IFERROR(VLOOKUP(F4515,CARTON_LOOKUP!$A:$E,4,0),"")</f>
      </c>
      <c r="I4515" s="28">
        <f>IFERROR(VLOOKUP(F4515,CARTON_LOOKUP!$A:$E,5,0),"")</f>
      </c>
      <c r="J4515" s="29">
        <f>IFERROR(VLOOKUP(F4515,CARTON_LOOKUP!$A:$E,2,0),"")</f>
      </c>
      <c r="K4515" s="29">
        <f>IFERROR(J4515*D4515,0)</f>
      </c>
      <c r="L4515" s="29">
        <f>IFERROR(E4515*C4515,0)</f>
      </c>
      <c r="M4515" s="29">
        <f>IFERROR((G4515*H4515*I4515/1000000)*D4515,0)</f>
      </c>
    </row>
    <row r="4516" spans="1:13" x14ac:dyDescent="0.25">
      <c r="A4516" s="16"/>
      <c r="E4516" s="27"/>
      <c r="F4516" t="s">
        <v>26</v>
      </c>
      <c r="G4516" s="28">
        <f>IFERROR(VLOOKUP(F4516,CARTON_LOOKUP!$A:$E,3,0),"")</f>
      </c>
      <c r="H4516" s="28">
        <f>IFERROR(VLOOKUP(F4516,CARTON_LOOKUP!$A:$E,4,0),"")</f>
      </c>
      <c r="I4516" s="28">
        <f>IFERROR(VLOOKUP(F4516,CARTON_LOOKUP!$A:$E,5,0),"")</f>
      </c>
      <c r="J4516" s="29">
        <f>IFERROR(VLOOKUP(F4516,CARTON_LOOKUP!$A:$E,2,0),"")</f>
      </c>
      <c r="K4516" s="29">
        <f>IFERROR(J4516*D4516,0)</f>
      </c>
      <c r="L4516" s="29">
        <f>IFERROR(E4516*C4516,0)</f>
      </c>
      <c r="M4516" s="29">
        <f>IFERROR((G4516*H4516*I4516/1000000)*D4516,0)</f>
      </c>
    </row>
    <row r="4517" spans="1:13" x14ac:dyDescent="0.25">
      <c r="A4517" s="16"/>
      <c r="E4517" s="27"/>
      <c r="F4517" t="s">
        <v>26</v>
      </c>
      <c r="G4517" s="28">
        <f>IFERROR(VLOOKUP(F4517,CARTON_LOOKUP!$A:$E,3,0),"")</f>
      </c>
      <c r="H4517" s="28">
        <f>IFERROR(VLOOKUP(F4517,CARTON_LOOKUP!$A:$E,4,0),"")</f>
      </c>
      <c r="I4517" s="28">
        <f>IFERROR(VLOOKUP(F4517,CARTON_LOOKUP!$A:$E,5,0),"")</f>
      </c>
      <c r="J4517" s="29">
        <f>IFERROR(VLOOKUP(F4517,CARTON_LOOKUP!$A:$E,2,0),"")</f>
      </c>
      <c r="K4517" s="29">
        <f>IFERROR(J4517*D4517,0)</f>
      </c>
      <c r="L4517" s="29">
        <f>IFERROR(E4517*C4517,0)</f>
      </c>
      <c r="M4517" s="29">
        <f>IFERROR((G4517*H4517*I4517/1000000)*D4517,0)</f>
      </c>
    </row>
    <row r="4518" spans="1:13" x14ac:dyDescent="0.25">
      <c r="A4518" s="16"/>
      <c r="E4518" s="27"/>
      <c r="F4518" t="s">
        <v>26</v>
      </c>
      <c r="G4518" s="28">
        <f>IFERROR(VLOOKUP(F4518,CARTON_LOOKUP!$A:$E,3,0),"")</f>
      </c>
      <c r="H4518" s="28">
        <f>IFERROR(VLOOKUP(F4518,CARTON_LOOKUP!$A:$E,4,0),"")</f>
      </c>
      <c r="I4518" s="28">
        <f>IFERROR(VLOOKUP(F4518,CARTON_LOOKUP!$A:$E,5,0),"")</f>
      </c>
      <c r="J4518" s="29">
        <f>IFERROR(VLOOKUP(F4518,CARTON_LOOKUP!$A:$E,2,0),"")</f>
      </c>
      <c r="K4518" s="29">
        <f>IFERROR(J4518*D4518,0)</f>
      </c>
      <c r="L4518" s="29">
        <f>IFERROR(E4518*C4518,0)</f>
      </c>
      <c r="M4518" s="29">
        <f>IFERROR((G4518*H4518*I4518/1000000)*D4518,0)</f>
      </c>
    </row>
    <row r="4519" spans="1:13" x14ac:dyDescent="0.25">
      <c r="A4519" s="16"/>
      <c r="E4519" s="27"/>
      <c r="F4519" t="s">
        <v>26</v>
      </c>
      <c r="G4519" s="28">
        <f>IFERROR(VLOOKUP(F4519,CARTON_LOOKUP!$A:$E,3,0),"")</f>
      </c>
      <c r="H4519" s="28">
        <f>IFERROR(VLOOKUP(F4519,CARTON_LOOKUP!$A:$E,4,0),"")</f>
      </c>
      <c r="I4519" s="28">
        <f>IFERROR(VLOOKUP(F4519,CARTON_LOOKUP!$A:$E,5,0),"")</f>
      </c>
      <c r="J4519" s="29">
        <f>IFERROR(VLOOKUP(F4519,CARTON_LOOKUP!$A:$E,2,0),"")</f>
      </c>
      <c r="K4519" s="29">
        <f>IFERROR(J4519*D4519,0)</f>
      </c>
      <c r="L4519" s="29">
        <f>IFERROR(E4519*C4519,0)</f>
      </c>
      <c r="M4519" s="29">
        <f>IFERROR((G4519*H4519*I4519/1000000)*D4519,0)</f>
      </c>
    </row>
    <row r="4520" spans="1:13" x14ac:dyDescent="0.25">
      <c r="A4520" s="16"/>
      <c r="E4520" s="27"/>
      <c r="F4520" t="s">
        <v>26</v>
      </c>
      <c r="G4520" s="28">
        <f>IFERROR(VLOOKUP(F4520,CARTON_LOOKUP!$A:$E,3,0),"")</f>
      </c>
      <c r="H4520" s="28">
        <f>IFERROR(VLOOKUP(F4520,CARTON_LOOKUP!$A:$E,4,0),"")</f>
      </c>
      <c r="I4520" s="28">
        <f>IFERROR(VLOOKUP(F4520,CARTON_LOOKUP!$A:$E,5,0),"")</f>
      </c>
      <c r="J4520" s="29">
        <f>IFERROR(VLOOKUP(F4520,CARTON_LOOKUP!$A:$E,2,0),"")</f>
      </c>
      <c r="K4520" s="29">
        <f>IFERROR(J4520*D4520,0)</f>
      </c>
      <c r="L4520" s="29">
        <f>IFERROR(E4520*C4520,0)</f>
      </c>
      <c r="M4520" s="29">
        <f>IFERROR((G4520*H4520*I4520/1000000)*D4520,0)</f>
      </c>
    </row>
    <row r="4521" spans="1:13" x14ac:dyDescent="0.25">
      <c r="A4521" s="16"/>
      <c r="E4521" s="27"/>
      <c r="F4521" t="s">
        <v>26</v>
      </c>
      <c r="G4521" s="28">
        <f>IFERROR(VLOOKUP(F4521,CARTON_LOOKUP!$A:$E,3,0),"")</f>
      </c>
      <c r="H4521" s="28">
        <f>IFERROR(VLOOKUP(F4521,CARTON_LOOKUP!$A:$E,4,0),"")</f>
      </c>
      <c r="I4521" s="28">
        <f>IFERROR(VLOOKUP(F4521,CARTON_LOOKUP!$A:$E,5,0),"")</f>
      </c>
      <c r="J4521" s="29">
        <f>IFERROR(VLOOKUP(F4521,CARTON_LOOKUP!$A:$E,2,0),"")</f>
      </c>
      <c r="K4521" s="29">
        <f>IFERROR(J4521*D4521,0)</f>
      </c>
      <c r="L4521" s="29">
        <f>IFERROR(E4521*C4521,0)</f>
      </c>
      <c r="M4521" s="29">
        <f>IFERROR((G4521*H4521*I4521/1000000)*D4521,0)</f>
      </c>
    </row>
    <row r="4522" spans="1:13" x14ac:dyDescent="0.25">
      <c r="A4522" s="16"/>
      <c r="E4522" s="27"/>
      <c r="F4522" t="s">
        <v>26</v>
      </c>
      <c r="G4522" s="28">
        <f>IFERROR(VLOOKUP(F4522,CARTON_LOOKUP!$A:$E,3,0),"")</f>
      </c>
      <c r="H4522" s="28">
        <f>IFERROR(VLOOKUP(F4522,CARTON_LOOKUP!$A:$E,4,0),"")</f>
      </c>
      <c r="I4522" s="28">
        <f>IFERROR(VLOOKUP(F4522,CARTON_LOOKUP!$A:$E,5,0),"")</f>
      </c>
      <c r="J4522" s="29">
        <f>IFERROR(VLOOKUP(F4522,CARTON_LOOKUP!$A:$E,2,0),"")</f>
      </c>
      <c r="K4522" s="29">
        <f>IFERROR(J4522*D4522,0)</f>
      </c>
      <c r="L4522" s="29">
        <f>IFERROR(E4522*C4522,0)</f>
      </c>
      <c r="M4522" s="29">
        <f>IFERROR((G4522*H4522*I4522/1000000)*D4522,0)</f>
      </c>
    </row>
    <row r="4523" spans="1:13" x14ac:dyDescent="0.25">
      <c r="A4523" s="16"/>
      <c r="E4523" s="27"/>
      <c r="F4523" t="s">
        <v>26</v>
      </c>
      <c r="G4523" s="28">
        <f>IFERROR(VLOOKUP(F4523,CARTON_LOOKUP!$A:$E,3,0),"")</f>
      </c>
      <c r="H4523" s="28">
        <f>IFERROR(VLOOKUP(F4523,CARTON_LOOKUP!$A:$E,4,0),"")</f>
      </c>
      <c r="I4523" s="28">
        <f>IFERROR(VLOOKUP(F4523,CARTON_LOOKUP!$A:$E,5,0),"")</f>
      </c>
      <c r="J4523" s="29">
        <f>IFERROR(VLOOKUP(F4523,CARTON_LOOKUP!$A:$E,2,0),"")</f>
      </c>
      <c r="K4523" s="29">
        <f>IFERROR(J4523*D4523,0)</f>
      </c>
      <c r="L4523" s="29">
        <f>IFERROR(E4523*C4523,0)</f>
      </c>
      <c r="M4523" s="29">
        <f>IFERROR((G4523*H4523*I4523/1000000)*D4523,0)</f>
      </c>
    </row>
    <row r="4524" spans="1:13" x14ac:dyDescent="0.25">
      <c r="A4524" s="16"/>
      <c r="E4524" s="27"/>
      <c r="F4524" t="s">
        <v>26</v>
      </c>
      <c r="G4524" s="28">
        <f>IFERROR(VLOOKUP(F4524,CARTON_LOOKUP!$A:$E,3,0),"")</f>
      </c>
      <c r="H4524" s="28">
        <f>IFERROR(VLOOKUP(F4524,CARTON_LOOKUP!$A:$E,4,0),"")</f>
      </c>
      <c r="I4524" s="28">
        <f>IFERROR(VLOOKUP(F4524,CARTON_LOOKUP!$A:$E,5,0),"")</f>
      </c>
      <c r="J4524" s="29">
        <f>IFERROR(VLOOKUP(F4524,CARTON_LOOKUP!$A:$E,2,0),"")</f>
      </c>
      <c r="K4524" s="29">
        <f>IFERROR(J4524*D4524,0)</f>
      </c>
      <c r="L4524" s="29">
        <f>IFERROR(E4524*C4524,0)</f>
      </c>
      <c r="M4524" s="29">
        <f>IFERROR((G4524*H4524*I4524/1000000)*D4524,0)</f>
      </c>
    </row>
    <row r="4525" spans="1:13" x14ac:dyDescent="0.25">
      <c r="A4525" s="16"/>
      <c r="E4525" s="27"/>
      <c r="F4525" t="s">
        <v>26</v>
      </c>
      <c r="G4525" s="28">
        <f>IFERROR(VLOOKUP(F4525,CARTON_LOOKUP!$A:$E,3,0),"")</f>
      </c>
      <c r="H4525" s="28">
        <f>IFERROR(VLOOKUP(F4525,CARTON_LOOKUP!$A:$E,4,0),"")</f>
      </c>
      <c r="I4525" s="28">
        <f>IFERROR(VLOOKUP(F4525,CARTON_LOOKUP!$A:$E,5,0),"")</f>
      </c>
      <c r="J4525" s="29">
        <f>IFERROR(VLOOKUP(F4525,CARTON_LOOKUP!$A:$E,2,0),"")</f>
      </c>
      <c r="K4525" s="29">
        <f>IFERROR(J4525*D4525,0)</f>
      </c>
      <c r="L4525" s="29">
        <f>IFERROR(E4525*C4525,0)</f>
      </c>
      <c r="M4525" s="29">
        <f>IFERROR((G4525*H4525*I4525/1000000)*D4525,0)</f>
      </c>
    </row>
    <row r="4526" spans="1:13" x14ac:dyDescent="0.25">
      <c r="A4526" s="16"/>
      <c r="E4526" s="27"/>
      <c r="F4526" t="s">
        <v>26</v>
      </c>
      <c r="G4526" s="28">
        <f>IFERROR(VLOOKUP(F4526,CARTON_LOOKUP!$A:$E,3,0),"")</f>
      </c>
      <c r="H4526" s="28">
        <f>IFERROR(VLOOKUP(F4526,CARTON_LOOKUP!$A:$E,4,0),"")</f>
      </c>
      <c r="I4526" s="28">
        <f>IFERROR(VLOOKUP(F4526,CARTON_LOOKUP!$A:$E,5,0),"")</f>
      </c>
      <c r="J4526" s="29">
        <f>IFERROR(VLOOKUP(F4526,CARTON_LOOKUP!$A:$E,2,0),"")</f>
      </c>
      <c r="K4526" s="29">
        <f>IFERROR(J4526*D4526,0)</f>
      </c>
      <c r="L4526" s="29">
        <f>IFERROR(E4526*C4526,0)</f>
      </c>
      <c r="M4526" s="29">
        <f>IFERROR((G4526*H4526*I4526/1000000)*D4526,0)</f>
      </c>
    </row>
    <row r="4527" spans="1:13" x14ac:dyDescent="0.25">
      <c r="A4527" s="16"/>
      <c r="E4527" s="27"/>
      <c r="F4527" t="s">
        <v>26</v>
      </c>
      <c r="G4527" s="28">
        <f>IFERROR(VLOOKUP(F4527,CARTON_LOOKUP!$A:$E,3,0),"")</f>
      </c>
      <c r="H4527" s="28">
        <f>IFERROR(VLOOKUP(F4527,CARTON_LOOKUP!$A:$E,4,0),"")</f>
      </c>
      <c r="I4527" s="28">
        <f>IFERROR(VLOOKUP(F4527,CARTON_LOOKUP!$A:$E,5,0),"")</f>
      </c>
      <c r="J4527" s="29">
        <f>IFERROR(VLOOKUP(F4527,CARTON_LOOKUP!$A:$E,2,0),"")</f>
      </c>
      <c r="K4527" s="29">
        <f>IFERROR(J4527*D4527,0)</f>
      </c>
      <c r="L4527" s="29">
        <f>IFERROR(E4527*C4527,0)</f>
      </c>
      <c r="M4527" s="29">
        <f>IFERROR((G4527*H4527*I4527/1000000)*D4527,0)</f>
      </c>
    </row>
    <row r="4528" spans="1:13" x14ac:dyDescent="0.25">
      <c r="A4528" s="16"/>
      <c r="E4528" s="27"/>
      <c r="F4528" t="s">
        <v>26</v>
      </c>
      <c r="G4528" s="28">
        <f>IFERROR(VLOOKUP(F4528,CARTON_LOOKUP!$A:$E,3,0),"")</f>
      </c>
      <c r="H4528" s="28">
        <f>IFERROR(VLOOKUP(F4528,CARTON_LOOKUP!$A:$E,4,0),"")</f>
      </c>
      <c r="I4528" s="28">
        <f>IFERROR(VLOOKUP(F4528,CARTON_LOOKUP!$A:$E,5,0),"")</f>
      </c>
      <c r="J4528" s="29">
        <f>IFERROR(VLOOKUP(F4528,CARTON_LOOKUP!$A:$E,2,0),"")</f>
      </c>
      <c r="K4528" s="29">
        <f>IFERROR(J4528*D4528,0)</f>
      </c>
      <c r="L4528" s="29">
        <f>IFERROR(E4528*C4528,0)</f>
      </c>
      <c r="M4528" s="29">
        <f>IFERROR((G4528*H4528*I4528/1000000)*D4528,0)</f>
      </c>
    </row>
    <row r="4529" spans="1:13" x14ac:dyDescent="0.25">
      <c r="A4529" s="16"/>
      <c r="E4529" s="27"/>
      <c r="F4529" t="s">
        <v>26</v>
      </c>
      <c r="G4529" s="28">
        <f>IFERROR(VLOOKUP(F4529,CARTON_LOOKUP!$A:$E,3,0),"")</f>
      </c>
      <c r="H4529" s="28">
        <f>IFERROR(VLOOKUP(F4529,CARTON_LOOKUP!$A:$E,4,0),"")</f>
      </c>
      <c r="I4529" s="28">
        <f>IFERROR(VLOOKUP(F4529,CARTON_LOOKUP!$A:$E,5,0),"")</f>
      </c>
      <c r="J4529" s="29">
        <f>IFERROR(VLOOKUP(F4529,CARTON_LOOKUP!$A:$E,2,0),"")</f>
      </c>
      <c r="K4529" s="29">
        <f>IFERROR(J4529*D4529,0)</f>
      </c>
      <c r="L4529" s="29">
        <f>IFERROR(E4529*C4529,0)</f>
      </c>
      <c r="M4529" s="29">
        <f>IFERROR((G4529*H4529*I4529/1000000)*D4529,0)</f>
      </c>
    </row>
    <row r="4530" spans="1:13" x14ac:dyDescent="0.25">
      <c r="A4530" s="16"/>
      <c r="E4530" s="27"/>
      <c r="F4530" t="s">
        <v>26</v>
      </c>
      <c r="G4530" s="28">
        <f>IFERROR(VLOOKUP(F4530,CARTON_LOOKUP!$A:$E,3,0),"")</f>
      </c>
      <c r="H4530" s="28">
        <f>IFERROR(VLOOKUP(F4530,CARTON_LOOKUP!$A:$E,4,0),"")</f>
      </c>
      <c r="I4530" s="28">
        <f>IFERROR(VLOOKUP(F4530,CARTON_LOOKUP!$A:$E,5,0),"")</f>
      </c>
      <c r="J4530" s="29">
        <f>IFERROR(VLOOKUP(F4530,CARTON_LOOKUP!$A:$E,2,0),"")</f>
      </c>
      <c r="K4530" s="29">
        <f>IFERROR(J4530*D4530,0)</f>
      </c>
      <c r="L4530" s="29">
        <f>IFERROR(E4530*C4530,0)</f>
      </c>
      <c r="M4530" s="29">
        <f>IFERROR((G4530*H4530*I4530/1000000)*D4530,0)</f>
      </c>
    </row>
    <row r="4531" spans="1:13" x14ac:dyDescent="0.25">
      <c r="A4531" s="16"/>
      <c r="E4531" s="27"/>
      <c r="F4531" t="s">
        <v>26</v>
      </c>
      <c r="G4531" s="28">
        <f>IFERROR(VLOOKUP(F4531,CARTON_LOOKUP!$A:$E,3,0),"")</f>
      </c>
      <c r="H4531" s="28">
        <f>IFERROR(VLOOKUP(F4531,CARTON_LOOKUP!$A:$E,4,0),"")</f>
      </c>
      <c r="I4531" s="28">
        <f>IFERROR(VLOOKUP(F4531,CARTON_LOOKUP!$A:$E,5,0),"")</f>
      </c>
      <c r="J4531" s="29">
        <f>IFERROR(VLOOKUP(F4531,CARTON_LOOKUP!$A:$E,2,0),"")</f>
      </c>
      <c r="K4531" s="29">
        <f>IFERROR(J4531*D4531,0)</f>
      </c>
      <c r="L4531" s="29">
        <f>IFERROR(E4531*C4531,0)</f>
      </c>
      <c r="M4531" s="29">
        <f>IFERROR((G4531*H4531*I4531/1000000)*D4531,0)</f>
      </c>
    </row>
    <row r="4532" spans="1:13" x14ac:dyDescent="0.25">
      <c r="A4532" s="16"/>
      <c r="E4532" s="27"/>
      <c r="F4532" t="s">
        <v>26</v>
      </c>
      <c r="G4532" s="28">
        <f>IFERROR(VLOOKUP(F4532,CARTON_LOOKUP!$A:$E,3,0),"")</f>
      </c>
      <c r="H4532" s="28">
        <f>IFERROR(VLOOKUP(F4532,CARTON_LOOKUP!$A:$E,4,0),"")</f>
      </c>
      <c r="I4532" s="28">
        <f>IFERROR(VLOOKUP(F4532,CARTON_LOOKUP!$A:$E,5,0),"")</f>
      </c>
      <c r="J4532" s="29">
        <f>IFERROR(VLOOKUP(F4532,CARTON_LOOKUP!$A:$E,2,0),"")</f>
      </c>
      <c r="K4532" s="29">
        <f>IFERROR(J4532*D4532,0)</f>
      </c>
      <c r="L4532" s="29">
        <f>IFERROR(E4532*C4532,0)</f>
      </c>
      <c r="M4532" s="29">
        <f>IFERROR((G4532*H4532*I4532/1000000)*D4532,0)</f>
      </c>
    </row>
    <row r="4533" spans="1:13" x14ac:dyDescent="0.25">
      <c r="A4533" s="16"/>
      <c r="E4533" s="27"/>
      <c r="F4533" t="s">
        <v>26</v>
      </c>
      <c r="G4533" s="28">
        <f>IFERROR(VLOOKUP(F4533,CARTON_LOOKUP!$A:$E,3,0),"")</f>
      </c>
      <c r="H4533" s="28">
        <f>IFERROR(VLOOKUP(F4533,CARTON_LOOKUP!$A:$E,4,0),"")</f>
      </c>
      <c r="I4533" s="28">
        <f>IFERROR(VLOOKUP(F4533,CARTON_LOOKUP!$A:$E,5,0),"")</f>
      </c>
      <c r="J4533" s="29">
        <f>IFERROR(VLOOKUP(F4533,CARTON_LOOKUP!$A:$E,2,0),"")</f>
      </c>
      <c r="K4533" s="29">
        <f>IFERROR(J4533*D4533,0)</f>
      </c>
      <c r="L4533" s="29">
        <f>IFERROR(E4533*C4533,0)</f>
      </c>
      <c r="M4533" s="29">
        <f>IFERROR((G4533*H4533*I4533/1000000)*D4533,0)</f>
      </c>
    </row>
    <row r="4534" spans="1:13" x14ac:dyDescent="0.25">
      <c r="A4534" s="16"/>
      <c r="E4534" s="27"/>
      <c r="F4534" t="s">
        <v>26</v>
      </c>
      <c r="G4534" s="28">
        <f>IFERROR(VLOOKUP(F4534,CARTON_LOOKUP!$A:$E,3,0),"")</f>
      </c>
      <c r="H4534" s="28">
        <f>IFERROR(VLOOKUP(F4534,CARTON_LOOKUP!$A:$E,4,0),"")</f>
      </c>
      <c r="I4534" s="28">
        <f>IFERROR(VLOOKUP(F4534,CARTON_LOOKUP!$A:$E,5,0),"")</f>
      </c>
      <c r="J4534" s="29">
        <f>IFERROR(VLOOKUP(F4534,CARTON_LOOKUP!$A:$E,2,0),"")</f>
      </c>
      <c r="K4534" s="29">
        <f>IFERROR(J4534*D4534,0)</f>
      </c>
      <c r="L4534" s="29">
        <f>IFERROR(E4534*C4534,0)</f>
      </c>
      <c r="M4534" s="29">
        <f>IFERROR((G4534*H4534*I4534/1000000)*D4534,0)</f>
      </c>
    </row>
    <row r="4535" spans="1:13" x14ac:dyDescent="0.25">
      <c r="A4535" s="16"/>
      <c r="E4535" s="27"/>
      <c r="F4535" t="s">
        <v>26</v>
      </c>
      <c r="G4535" s="28">
        <f>IFERROR(VLOOKUP(F4535,CARTON_LOOKUP!$A:$E,3,0),"")</f>
      </c>
      <c r="H4535" s="28">
        <f>IFERROR(VLOOKUP(F4535,CARTON_LOOKUP!$A:$E,4,0),"")</f>
      </c>
      <c r="I4535" s="28">
        <f>IFERROR(VLOOKUP(F4535,CARTON_LOOKUP!$A:$E,5,0),"")</f>
      </c>
      <c r="J4535" s="29">
        <f>IFERROR(VLOOKUP(F4535,CARTON_LOOKUP!$A:$E,2,0),"")</f>
      </c>
      <c r="K4535" s="29">
        <f>IFERROR(J4535*D4535,0)</f>
      </c>
      <c r="L4535" s="29">
        <f>IFERROR(E4535*C4535,0)</f>
      </c>
      <c r="M4535" s="29">
        <f>IFERROR((G4535*H4535*I4535/1000000)*D4535,0)</f>
      </c>
    </row>
    <row r="4536" spans="1:13" x14ac:dyDescent="0.25">
      <c r="A4536" s="16"/>
      <c r="E4536" s="27"/>
      <c r="F4536" t="s">
        <v>26</v>
      </c>
      <c r="G4536" s="28">
        <f>IFERROR(VLOOKUP(F4536,CARTON_LOOKUP!$A:$E,3,0),"")</f>
      </c>
      <c r="H4536" s="28">
        <f>IFERROR(VLOOKUP(F4536,CARTON_LOOKUP!$A:$E,4,0),"")</f>
      </c>
      <c r="I4536" s="28">
        <f>IFERROR(VLOOKUP(F4536,CARTON_LOOKUP!$A:$E,5,0),"")</f>
      </c>
      <c r="J4536" s="29">
        <f>IFERROR(VLOOKUP(F4536,CARTON_LOOKUP!$A:$E,2,0),"")</f>
      </c>
      <c r="K4536" s="29">
        <f>IFERROR(J4536*D4536,0)</f>
      </c>
      <c r="L4536" s="29">
        <f>IFERROR(E4536*C4536,0)</f>
      </c>
      <c r="M4536" s="29">
        <f>IFERROR((G4536*H4536*I4536/1000000)*D4536,0)</f>
      </c>
    </row>
    <row r="4537" spans="1:13" x14ac:dyDescent="0.25">
      <c r="A4537" s="16"/>
      <c r="E4537" s="27"/>
      <c r="F4537" t="s">
        <v>26</v>
      </c>
      <c r="G4537" s="28">
        <f>IFERROR(VLOOKUP(F4537,CARTON_LOOKUP!$A:$E,3,0),"")</f>
      </c>
      <c r="H4537" s="28">
        <f>IFERROR(VLOOKUP(F4537,CARTON_LOOKUP!$A:$E,4,0),"")</f>
      </c>
      <c r="I4537" s="28">
        <f>IFERROR(VLOOKUP(F4537,CARTON_LOOKUP!$A:$E,5,0),"")</f>
      </c>
      <c r="J4537" s="29">
        <f>IFERROR(VLOOKUP(F4537,CARTON_LOOKUP!$A:$E,2,0),"")</f>
      </c>
      <c r="K4537" s="29">
        <f>IFERROR(J4537*D4537,0)</f>
      </c>
      <c r="L4537" s="29">
        <f>IFERROR(E4537*C4537,0)</f>
      </c>
      <c r="M4537" s="29">
        <f>IFERROR((G4537*H4537*I4537/1000000)*D4537,0)</f>
      </c>
    </row>
    <row r="4538" spans="1:13" x14ac:dyDescent="0.25">
      <c r="A4538" s="16"/>
      <c r="E4538" s="27"/>
      <c r="F4538" t="s">
        <v>26</v>
      </c>
      <c r="G4538" s="28">
        <f>IFERROR(VLOOKUP(F4538,CARTON_LOOKUP!$A:$E,3,0),"")</f>
      </c>
      <c r="H4538" s="28">
        <f>IFERROR(VLOOKUP(F4538,CARTON_LOOKUP!$A:$E,4,0),"")</f>
      </c>
      <c r="I4538" s="28">
        <f>IFERROR(VLOOKUP(F4538,CARTON_LOOKUP!$A:$E,5,0),"")</f>
      </c>
      <c r="J4538" s="29">
        <f>IFERROR(VLOOKUP(F4538,CARTON_LOOKUP!$A:$E,2,0),"")</f>
      </c>
      <c r="K4538" s="29">
        <f>IFERROR(J4538*D4538,0)</f>
      </c>
      <c r="L4538" s="29">
        <f>IFERROR(E4538*C4538,0)</f>
      </c>
      <c r="M4538" s="29">
        <f>IFERROR((G4538*H4538*I4538/1000000)*D4538,0)</f>
      </c>
    </row>
    <row r="4539" spans="1:13" x14ac:dyDescent="0.25">
      <c r="A4539" s="16"/>
      <c r="E4539" s="27"/>
      <c r="F4539" t="s">
        <v>26</v>
      </c>
      <c r="G4539" s="28">
        <f>IFERROR(VLOOKUP(F4539,CARTON_LOOKUP!$A:$E,3,0),"")</f>
      </c>
      <c r="H4539" s="28">
        <f>IFERROR(VLOOKUP(F4539,CARTON_LOOKUP!$A:$E,4,0),"")</f>
      </c>
      <c r="I4539" s="28">
        <f>IFERROR(VLOOKUP(F4539,CARTON_LOOKUP!$A:$E,5,0),"")</f>
      </c>
      <c r="J4539" s="29">
        <f>IFERROR(VLOOKUP(F4539,CARTON_LOOKUP!$A:$E,2,0),"")</f>
      </c>
      <c r="K4539" s="29">
        <f>IFERROR(J4539*D4539,0)</f>
      </c>
      <c r="L4539" s="29">
        <f>IFERROR(E4539*C4539,0)</f>
      </c>
      <c r="M4539" s="29">
        <f>IFERROR((G4539*H4539*I4539/1000000)*D4539,0)</f>
      </c>
    </row>
    <row r="4540" spans="1:13" x14ac:dyDescent="0.25">
      <c r="A4540" s="16"/>
      <c r="E4540" s="27"/>
      <c r="F4540" t="s">
        <v>26</v>
      </c>
      <c r="G4540" s="28">
        <f>IFERROR(VLOOKUP(F4540,CARTON_LOOKUP!$A:$E,3,0),"")</f>
      </c>
      <c r="H4540" s="28">
        <f>IFERROR(VLOOKUP(F4540,CARTON_LOOKUP!$A:$E,4,0),"")</f>
      </c>
      <c r="I4540" s="28">
        <f>IFERROR(VLOOKUP(F4540,CARTON_LOOKUP!$A:$E,5,0),"")</f>
      </c>
      <c r="J4540" s="29">
        <f>IFERROR(VLOOKUP(F4540,CARTON_LOOKUP!$A:$E,2,0),"")</f>
      </c>
      <c r="K4540" s="29">
        <f>IFERROR(J4540*D4540,0)</f>
      </c>
      <c r="L4540" s="29">
        <f>IFERROR(E4540*C4540,0)</f>
      </c>
      <c r="M4540" s="29">
        <f>IFERROR((G4540*H4540*I4540/1000000)*D4540,0)</f>
      </c>
    </row>
    <row r="4541" spans="1:13" x14ac:dyDescent="0.25">
      <c r="A4541" s="16"/>
      <c r="E4541" s="27"/>
      <c r="F4541" t="s">
        <v>26</v>
      </c>
      <c r="G4541" s="28">
        <f>IFERROR(VLOOKUP(F4541,CARTON_LOOKUP!$A:$E,3,0),"")</f>
      </c>
      <c r="H4541" s="28">
        <f>IFERROR(VLOOKUP(F4541,CARTON_LOOKUP!$A:$E,4,0),"")</f>
      </c>
      <c r="I4541" s="28">
        <f>IFERROR(VLOOKUP(F4541,CARTON_LOOKUP!$A:$E,5,0),"")</f>
      </c>
      <c r="J4541" s="29">
        <f>IFERROR(VLOOKUP(F4541,CARTON_LOOKUP!$A:$E,2,0),"")</f>
      </c>
      <c r="K4541" s="29">
        <f>IFERROR(J4541*D4541,0)</f>
      </c>
      <c r="L4541" s="29">
        <f>IFERROR(E4541*C4541,0)</f>
      </c>
      <c r="M4541" s="29">
        <f>IFERROR((G4541*H4541*I4541/1000000)*D4541,0)</f>
      </c>
    </row>
    <row r="4542" spans="1:13" x14ac:dyDescent="0.25">
      <c r="A4542" s="16"/>
      <c r="E4542" s="27"/>
      <c r="F4542" t="s">
        <v>26</v>
      </c>
      <c r="G4542" s="28">
        <f>IFERROR(VLOOKUP(F4542,CARTON_LOOKUP!$A:$E,3,0),"")</f>
      </c>
      <c r="H4542" s="28">
        <f>IFERROR(VLOOKUP(F4542,CARTON_LOOKUP!$A:$E,4,0),"")</f>
      </c>
      <c r="I4542" s="28">
        <f>IFERROR(VLOOKUP(F4542,CARTON_LOOKUP!$A:$E,5,0),"")</f>
      </c>
      <c r="J4542" s="29">
        <f>IFERROR(VLOOKUP(F4542,CARTON_LOOKUP!$A:$E,2,0),"")</f>
      </c>
      <c r="K4542" s="29">
        <f>IFERROR(J4542*D4542,0)</f>
      </c>
      <c r="L4542" s="29">
        <f>IFERROR(E4542*C4542,0)</f>
      </c>
      <c r="M4542" s="29">
        <f>IFERROR((G4542*H4542*I4542/1000000)*D4542,0)</f>
      </c>
    </row>
    <row r="4543" spans="1:13" x14ac:dyDescent="0.25">
      <c r="A4543" s="16"/>
      <c r="E4543" s="27"/>
      <c r="F4543" t="s">
        <v>26</v>
      </c>
      <c r="G4543" s="28">
        <f>IFERROR(VLOOKUP(F4543,CARTON_LOOKUP!$A:$E,3,0),"")</f>
      </c>
      <c r="H4543" s="28">
        <f>IFERROR(VLOOKUP(F4543,CARTON_LOOKUP!$A:$E,4,0),"")</f>
      </c>
      <c r="I4543" s="28">
        <f>IFERROR(VLOOKUP(F4543,CARTON_LOOKUP!$A:$E,5,0),"")</f>
      </c>
      <c r="J4543" s="29">
        <f>IFERROR(VLOOKUP(F4543,CARTON_LOOKUP!$A:$E,2,0),"")</f>
      </c>
      <c r="K4543" s="29">
        <f>IFERROR(J4543*D4543,0)</f>
      </c>
      <c r="L4543" s="29">
        <f>IFERROR(E4543*C4543,0)</f>
      </c>
      <c r="M4543" s="29">
        <f>IFERROR((G4543*H4543*I4543/1000000)*D4543,0)</f>
      </c>
    </row>
    <row r="4544" spans="1:13" x14ac:dyDescent="0.25">
      <c r="A4544" s="16"/>
      <c r="E4544" s="27"/>
      <c r="F4544" t="s">
        <v>26</v>
      </c>
      <c r="G4544" s="28">
        <f>IFERROR(VLOOKUP(F4544,CARTON_LOOKUP!$A:$E,3,0),"")</f>
      </c>
      <c r="H4544" s="28">
        <f>IFERROR(VLOOKUP(F4544,CARTON_LOOKUP!$A:$E,4,0),"")</f>
      </c>
      <c r="I4544" s="28">
        <f>IFERROR(VLOOKUP(F4544,CARTON_LOOKUP!$A:$E,5,0),"")</f>
      </c>
      <c r="J4544" s="29">
        <f>IFERROR(VLOOKUP(F4544,CARTON_LOOKUP!$A:$E,2,0),"")</f>
      </c>
      <c r="K4544" s="29">
        <f>IFERROR(J4544*D4544,0)</f>
      </c>
      <c r="L4544" s="29">
        <f>IFERROR(E4544*C4544,0)</f>
      </c>
      <c r="M4544" s="29">
        <f>IFERROR((G4544*H4544*I4544/1000000)*D4544,0)</f>
      </c>
    </row>
    <row r="4545" spans="1:13" x14ac:dyDescent="0.25">
      <c r="A4545" s="16"/>
      <c r="E4545" s="27"/>
      <c r="F4545" t="s">
        <v>26</v>
      </c>
      <c r="G4545" s="28">
        <f>IFERROR(VLOOKUP(F4545,CARTON_LOOKUP!$A:$E,3,0),"")</f>
      </c>
      <c r="H4545" s="28">
        <f>IFERROR(VLOOKUP(F4545,CARTON_LOOKUP!$A:$E,4,0),"")</f>
      </c>
      <c r="I4545" s="28">
        <f>IFERROR(VLOOKUP(F4545,CARTON_LOOKUP!$A:$E,5,0),"")</f>
      </c>
      <c r="J4545" s="29">
        <f>IFERROR(VLOOKUP(F4545,CARTON_LOOKUP!$A:$E,2,0),"")</f>
      </c>
      <c r="K4545" s="29">
        <f>IFERROR(J4545*D4545,0)</f>
      </c>
      <c r="L4545" s="29">
        <f>IFERROR(E4545*C4545,0)</f>
      </c>
      <c r="M4545" s="29">
        <f>IFERROR((G4545*H4545*I4545/1000000)*D4545,0)</f>
      </c>
    </row>
    <row r="4546" spans="1:13" x14ac:dyDescent="0.25">
      <c r="A4546" s="16"/>
      <c r="E4546" s="27"/>
      <c r="F4546" t="s">
        <v>26</v>
      </c>
      <c r="G4546" s="28">
        <f>IFERROR(VLOOKUP(F4546,CARTON_LOOKUP!$A:$E,3,0),"")</f>
      </c>
      <c r="H4546" s="28">
        <f>IFERROR(VLOOKUP(F4546,CARTON_LOOKUP!$A:$E,4,0),"")</f>
      </c>
      <c r="I4546" s="28">
        <f>IFERROR(VLOOKUP(F4546,CARTON_LOOKUP!$A:$E,5,0),"")</f>
      </c>
      <c r="J4546" s="29">
        <f>IFERROR(VLOOKUP(F4546,CARTON_LOOKUP!$A:$E,2,0),"")</f>
      </c>
      <c r="K4546" s="29">
        <f>IFERROR(J4546*D4546,0)</f>
      </c>
      <c r="L4546" s="29">
        <f>IFERROR(E4546*C4546,0)</f>
      </c>
      <c r="M4546" s="29">
        <f>IFERROR((G4546*H4546*I4546/1000000)*D4546,0)</f>
      </c>
    </row>
    <row r="4547" spans="1:13" x14ac:dyDescent="0.25">
      <c r="A4547" s="16"/>
      <c r="E4547" s="27"/>
      <c r="F4547" t="s">
        <v>26</v>
      </c>
      <c r="G4547" s="28">
        <f>IFERROR(VLOOKUP(F4547,CARTON_LOOKUP!$A:$E,3,0),"")</f>
      </c>
      <c r="H4547" s="28">
        <f>IFERROR(VLOOKUP(F4547,CARTON_LOOKUP!$A:$E,4,0),"")</f>
      </c>
      <c r="I4547" s="28">
        <f>IFERROR(VLOOKUP(F4547,CARTON_LOOKUP!$A:$E,5,0),"")</f>
      </c>
      <c r="J4547" s="29">
        <f>IFERROR(VLOOKUP(F4547,CARTON_LOOKUP!$A:$E,2,0),"")</f>
      </c>
      <c r="K4547" s="29">
        <f>IFERROR(J4547*D4547,0)</f>
      </c>
      <c r="L4547" s="29">
        <f>IFERROR(E4547*C4547,0)</f>
      </c>
      <c r="M4547" s="29">
        <f>IFERROR((G4547*H4547*I4547/1000000)*D4547,0)</f>
      </c>
    </row>
    <row r="4548" spans="1:13" x14ac:dyDescent="0.25">
      <c r="A4548" s="16"/>
      <c r="E4548" s="27"/>
      <c r="F4548" t="s">
        <v>26</v>
      </c>
      <c r="G4548" s="28">
        <f>IFERROR(VLOOKUP(F4548,CARTON_LOOKUP!$A:$E,3,0),"")</f>
      </c>
      <c r="H4548" s="28">
        <f>IFERROR(VLOOKUP(F4548,CARTON_LOOKUP!$A:$E,4,0),"")</f>
      </c>
      <c r="I4548" s="28">
        <f>IFERROR(VLOOKUP(F4548,CARTON_LOOKUP!$A:$E,5,0),"")</f>
      </c>
      <c r="J4548" s="29">
        <f>IFERROR(VLOOKUP(F4548,CARTON_LOOKUP!$A:$E,2,0),"")</f>
      </c>
      <c r="K4548" s="29">
        <f>IFERROR(J4548*D4548,0)</f>
      </c>
      <c r="L4548" s="29">
        <f>IFERROR(E4548*C4548,0)</f>
      </c>
      <c r="M4548" s="29">
        <f>IFERROR((G4548*H4548*I4548/1000000)*D4548,0)</f>
      </c>
    </row>
    <row r="4549" spans="1:13" x14ac:dyDescent="0.25">
      <c r="A4549" s="16"/>
      <c r="E4549" s="27"/>
      <c r="F4549" t="s">
        <v>26</v>
      </c>
      <c r="G4549" s="28">
        <f>IFERROR(VLOOKUP(F4549,CARTON_LOOKUP!$A:$E,3,0),"")</f>
      </c>
      <c r="H4549" s="28">
        <f>IFERROR(VLOOKUP(F4549,CARTON_LOOKUP!$A:$E,4,0),"")</f>
      </c>
      <c r="I4549" s="28">
        <f>IFERROR(VLOOKUP(F4549,CARTON_LOOKUP!$A:$E,5,0),"")</f>
      </c>
      <c r="J4549" s="29">
        <f>IFERROR(VLOOKUP(F4549,CARTON_LOOKUP!$A:$E,2,0),"")</f>
      </c>
      <c r="K4549" s="29">
        <f>IFERROR(J4549*D4549,0)</f>
      </c>
      <c r="L4549" s="29">
        <f>IFERROR(E4549*C4549,0)</f>
      </c>
      <c r="M4549" s="29">
        <f>IFERROR((G4549*H4549*I4549/1000000)*D4549,0)</f>
      </c>
    </row>
    <row r="4550" spans="1:13" x14ac:dyDescent="0.25">
      <c r="A4550" s="16"/>
      <c r="E4550" s="27"/>
      <c r="F4550" t="s">
        <v>26</v>
      </c>
      <c r="G4550" s="28">
        <f>IFERROR(VLOOKUP(F4550,CARTON_LOOKUP!$A:$E,3,0),"")</f>
      </c>
      <c r="H4550" s="28">
        <f>IFERROR(VLOOKUP(F4550,CARTON_LOOKUP!$A:$E,4,0),"")</f>
      </c>
      <c r="I4550" s="28">
        <f>IFERROR(VLOOKUP(F4550,CARTON_LOOKUP!$A:$E,5,0),"")</f>
      </c>
      <c r="J4550" s="29">
        <f>IFERROR(VLOOKUP(F4550,CARTON_LOOKUP!$A:$E,2,0),"")</f>
      </c>
      <c r="K4550" s="29">
        <f>IFERROR(J4550*D4550,0)</f>
      </c>
      <c r="L4550" s="29">
        <f>IFERROR(E4550*C4550,0)</f>
      </c>
      <c r="M4550" s="29">
        <f>IFERROR((G4550*H4550*I4550/1000000)*D4550,0)</f>
      </c>
    </row>
    <row r="4551" spans="1:13" x14ac:dyDescent="0.25">
      <c r="A4551" s="16"/>
      <c r="E4551" s="27"/>
      <c r="F4551" t="s">
        <v>26</v>
      </c>
      <c r="G4551" s="28">
        <f>IFERROR(VLOOKUP(F4551,CARTON_LOOKUP!$A:$E,3,0),"")</f>
      </c>
      <c r="H4551" s="28">
        <f>IFERROR(VLOOKUP(F4551,CARTON_LOOKUP!$A:$E,4,0),"")</f>
      </c>
      <c r="I4551" s="28">
        <f>IFERROR(VLOOKUP(F4551,CARTON_LOOKUP!$A:$E,5,0),"")</f>
      </c>
      <c r="J4551" s="29">
        <f>IFERROR(VLOOKUP(F4551,CARTON_LOOKUP!$A:$E,2,0),"")</f>
      </c>
      <c r="K4551" s="29">
        <f>IFERROR(J4551*D4551,0)</f>
      </c>
      <c r="L4551" s="29">
        <f>IFERROR(E4551*C4551,0)</f>
      </c>
      <c r="M4551" s="29">
        <f>IFERROR((G4551*H4551*I4551/1000000)*D4551,0)</f>
      </c>
    </row>
    <row r="4552" spans="1:13" x14ac:dyDescent="0.25">
      <c r="A4552" s="16"/>
      <c r="E4552" s="27"/>
      <c r="F4552" t="s">
        <v>26</v>
      </c>
      <c r="G4552" s="28">
        <f>IFERROR(VLOOKUP(F4552,CARTON_LOOKUP!$A:$E,3,0),"")</f>
      </c>
      <c r="H4552" s="28">
        <f>IFERROR(VLOOKUP(F4552,CARTON_LOOKUP!$A:$E,4,0),"")</f>
      </c>
      <c r="I4552" s="28">
        <f>IFERROR(VLOOKUP(F4552,CARTON_LOOKUP!$A:$E,5,0),"")</f>
      </c>
      <c r="J4552" s="29">
        <f>IFERROR(VLOOKUP(F4552,CARTON_LOOKUP!$A:$E,2,0),"")</f>
      </c>
      <c r="K4552" s="29">
        <f>IFERROR(J4552*D4552,0)</f>
      </c>
      <c r="L4552" s="29">
        <f>IFERROR(E4552*C4552,0)</f>
      </c>
      <c r="M4552" s="29">
        <f>IFERROR((G4552*H4552*I4552/1000000)*D4552,0)</f>
      </c>
    </row>
    <row r="4553" spans="1:13" x14ac:dyDescent="0.25">
      <c r="A4553" s="16"/>
      <c r="E4553" s="27"/>
      <c r="F4553" t="s">
        <v>26</v>
      </c>
      <c r="G4553" s="28">
        <f>IFERROR(VLOOKUP(F4553,CARTON_LOOKUP!$A:$E,3,0),"")</f>
      </c>
      <c r="H4553" s="28">
        <f>IFERROR(VLOOKUP(F4553,CARTON_LOOKUP!$A:$E,4,0),"")</f>
      </c>
      <c r="I4553" s="28">
        <f>IFERROR(VLOOKUP(F4553,CARTON_LOOKUP!$A:$E,5,0),"")</f>
      </c>
      <c r="J4553" s="29">
        <f>IFERROR(VLOOKUP(F4553,CARTON_LOOKUP!$A:$E,2,0),"")</f>
      </c>
      <c r="K4553" s="29">
        <f>IFERROR(J4553*D4553,0)</f>
      </c>
      <c r="L4553" s="29">
        <f>IFERROR(E4553*C4553,0)</f>
      </c>
      <c r="M4553" s="29">
        <f>IFERROR((G4553*H4553*I4553/1000000)*D4553,0)</f>
      </c>
    </row>
    <row r="4554" spans="1:13" x14ac:dyDescent="0.25">
      <c r="A4554" s="16"/>
      <c r="E4554" s="27"/>
      <c r="F4554" t="s">
        <v>26</v>
      </c>
      <c r="G4554" s="28">
        <f>IFERROR(VLOOKUP(F4554,CARTON_LOOKUP!$A:$E,3,0),"")</f>
      </c>
      <c r="H4554" s="28">
        <f>IFERROR(VLOOKUP(F4554,CARTON_LOOKUP!$A:$E,4,0),"")</f>
      </c>
      <c r="I4554" s="28">
        <f>IFERROR(VLOOKUP(F4554,CARTON_LOOKUP!$A:$E,5,0),"")</f>
      </c>
      <c r="J4554" s="29">
        <f>IFERROR(VLOOKUP(F4554,CARTON_LOOKUP!$A:$E,2,0),"")</f>
      </c>
      <c r="K4554" s="29">
        <f>IFERROR(J4554*D4554,0)</f>
      </c>
      <c r="L4554" s="29">
        <f>IFERROR(E4554*C4554,0)</f>
      </c>
      <c r="M4554" s="29">
        <f>IFERROR((G4554*H4554*I4554/1000000)*D4554,0)</f>
      </c>
    </row>
    <row r="4555" spans="1:13" x14ac:dyDescent="0.25">
      <c r="A4555" s="16"/>
      <c r="E4555" s="27"/>
      <c r="F4555" t="s">
        <v>26</v>
      </c>
      <c r="G4555" s="28">
        <f>IFERROR(VLOOKUP(F4555,CARTON_LOOKUP!$A:$E,3,0),"")</f>
      </c>
      <c r="H4555" s="28">
        <f>IFERROR(VLOOKUP(F4555,CARTON_LOOKUP!$A:$E,4,0),"")</f>
      </c>
      <c r="I4555" s="28">
        <f>IFERROR(VLOOKUP(F4555,CARTON_LOOKUP!$A:$E,5,0),"")</f>
      </c>
      <c r="J4555" s="29">
        <f>IFERROR(VLOOKUP(F4555,CARTON_LOOKUP!$A:$E,2,0),"")</f>
      </c>
      <c r="K4555" s="29">
        <f>IFERROR(J4555*D4555,0)</f>
      </c>
      <c r="L4555" s="29">
        <f>IFERROR(E4555*C4555,0)</f>
      </c>
      <c r="M4555" s="29">
        <f>IFERROR((G4555*H4555*I4555/1000000)*D4555,0)</f>
      </c>
    </row>
    <row r="4556" spans="1:13" x14ac:dyDescent="0.25">
      <c r="A4556" s="16"/>
      <c r="E4556" s="27"/>
      <c r="F4556" t="s">
        <v>26</v>
      </c>
      <c r="G4556" s="28">
        <f>IFERROR(VLOOKUP(F4556,CARTON_LOOKUP!$A:$E,3,0),"")</f>
      </c>
      <c r="H4556" s="28">
        <f>IFERROR(VLOOKUP(F4556,CARTON_LOOKUP!$A:$E,4,0),"")</f>
      </c>
      <c r="I4556" s="28">
        <f>IFERROR(VLOOKUP(F4556,CARTON_LOOKUP!$A:$E,5,0),"")</f>
      </c>
      <c r="J4556" s="29">
        <f>IFERROR(VLOOKUP(F4556,CARTON_LOOKUP!$A:$E,2,0),"")</f>
      </c>
      <c r="K4556" s="29">
        <f>IFERROR(J4556*D4556,0)</f>
      </c>
      <c r="L4556" s="29">
        <f>IFERROR(E4556*C4556,0)</f>
      </c>
      <c r="M4556" s="29">
        <f>IFERROR((G4556*H4556*I4556/1000000)*D4556,0)</f>
      </c>
    </row>
    <row r="4557" spans="1:13" x14ac:dyDescent="0.25">
      <c r="A4557" s="16"/>
      <c r="E4557" s="27"/>
      <c r="F4557" t="s">
        <v>26</v>
      </c>
      <c r="G4557" s="28">
        <f>IFERROR(VLOOKUP(F4557,CARTON_LOOKUP!$A:$E,3,0),"")</f>
      </c>
      <c r="H4557" s="28">
        <f>IFERROR(VLOOKUP(F4557,CARTON_LOOKUP!$A:$E,4,0),"")</f>
      </c>
      <c r="I4557" s="28">
        <f>IFERROR(VLOOKUP(F4557,CARTON_LOOKUP!$A:$E,5,0),"")</f>
      </c>
      <c r="J4557" s="29">
        <f>IFERROR(VLOOKUP(F4557,CARTON_LOOKUP!$A:$E,2,0),"")</f>
      </c>
      <c r="K4557" s="29">
        <f>IFERROR(J4557*D4557,0)</f>
      </c>
      <c r="L4557" s="29">
        <f>IFERROR(E4557*C4557,0)</f>
      </c>
      <c r="M4557" s="29">
        <f>IFERROR((G4557*H4557*I4557/1000000)*D4557,0)</f>
      </c>
    </row>
    <row r="4558" spans="1:13" x14ac:dyDescent="0.25">
      <c r="A4558" s="16"/>
      <c r="E4558" s="27"/>
      <c r="F4558" t="s">
        <v>26</v>
      </c>
      <c r="G4558" s="28">
        <f>IFERROR(VLOOKUP(F4558,CARTON_LOOKUP!$A:$E,3,0),"")</f>
      </c>
      <c r="H4558" s="28">
        <f>IFERROR(VLOOKUP(F4558,CARTON_LOOKUP!$A:$E,4,0),"")</f>
      </c>
      <c r="I4558" s="28">
        <f>IFERROR(VLOOKUP(F4558,CARTON_LOOKUP!$A:$E,5,0),"")</f>
      </c>
      <c r="J4558" s="29">
        <f>IFERROR(VLOOKUP(F4558,CARTON_LOOKUP!$A:$E,2,0),"")</f>
      </c>
      <c r="K4558" s="29">
        <f>IFERROR(J4558*D4558,0)</f>
      </c>
      <c r="L4558" s="29">
        <f>IFERROR(E4558*C4558,0)</f>
      </c>
      <c r="M4558" s="29">
        <f>IFERROR((G4558*H4558*I4558/1000000)*D4558,0)</f>
      </c>
    </row>
    <row r="4559" spans="1:13" x14ac:dyDescent="0.25">
      <c r="A4559" s="16"/>
      <c r="E4559" s="27"/>
      <c r="F4559" t="s">
        <v>26</v>
      </c>
      <c r="G4559" s="28">
        <f>IFERROR(VLOOKUP(F4559,CARTON_LOOKUP!$A:$E,3,0),"")</f>
      </c>
      <c r="H4559" s="28">
        <f>IFERROR(VLOOKUP(F4559,CARTON_LOOKUP!$A:$E,4,0),"")</f>
      </c>
      <c r="I4559" s="28">
        <f>IFERROR(VLOOKUP(F4559,CARTON_LOOKUP!$A:$E,5,0),"")</f>
      </c>
      <c r="J4559" s="29">
        <f>IFERROR(VLOOKUP(F4559,CARTON_LOOKUP!$A:$E,2,0),"")</f>
      </c>
      <c r="K4559" s="29">
        <f>IFERROR(J4559*D4559,0)</f>
      </c>
      <c r="L4559" s="29">
        <f>IFERROR(E4559*C4559,0)</f>
      </c>
      <c r="M4559" s="29">
        <f>IFERROR((G4559*H4559*I4559/1000000)*D4559,0)</f>
      </c>
    </row>
    <row r="4560" spans="1:13" x14ac:dyDescent="0.25">
      <c r="A4560" s="16"/>
      <c r="E4560" s="27"/>
      <c r="F4560" t="s">
        <v>26</v>
      </c>
      <c r="G4560" s="28">
        <f>IFERROR(VLOOKUP(F4560,CARTON_LOOKUP!$A:$E,3,0),"")</f>
      </c>
      <c r="H4560" s="28">
        <f>IFERROR(VLOOKUP(F4560,CARTON_LOOKUP!$A:$E,4,0),"")</f>
      </c>
      <c r="I4560" s="28">
        <f>IFERROR(VLOOKUP(F4560,CARTON_LOOKUP!$A:$E,5,0),"")</f>
      </c>
      <c r="J4560" s="29">
        <f>IFERROR(VLOOKUP(F4560,CARTON_LOOKUP!$A:$E,2,0),"")</f>
      </c>
      <c r="K4560" s="29">
        <f>IFERROR(J4560*D4560,0)</f>
      </c>
      <c r="L4560" s="29">
        <f>IFERROR(E4560*C4560,0)</f>
      </c>
      <c r="M4560" s="29">
        <f>IFERROR((G4560*H4560*I4560/1000000)*D4560,0)</f>
      </c>
    </row>
    <row r="4561" spans="1:13" x14ac:dyDescent="0.25">
      <c r="A4561" s="16"/>
      <c r="E4561" s="27"/>
      <c r="F4561" t="s">
        <v>26</v>
      </c>
      <c r="G4561" s="28">
        <f>IFERROR(VLOOKUP(F4561,CARTON_LOOKUP!$A:$E,3,0),"")</f>
      </c>
      <c r="H4561" s="28">
        <f>IFERROR(VLOOKUP(F4561,CARTON_LOOKUP!$A:$E,4,0),"")</f>
      </c>
      <c r="I4561" s="28">
        <f>IFERROR(VLOOKUP(F4561,CARTON_LOOKUP!$A:$E,5,0),"")</f>
      </c>
      <c r="J4561" s="29">
        <f>IFERROR(VLOOKUP(F4561,CARTON_LOOKUP!$A:$E,2,0),"")</f>
      </c>
      <c r="K4561" s="29">
        <f>IFERROR(J4561*D4561,0)</f>
      </c>
      <c r="L4561" s="29">
        <f>IFERROR(E4561*C4561,0)</f>
      </c>
      <c r="M4561" s="29">
        <f>IFERROR((G4561*H4561*I4561/1000000)*D4561,0)</f>
      </c>
    </row>
    <row r="4562" spans="1:13" x14ac:dyDescent="0.25">
      <c r="A4562" s="16"/>
      <c r="E4562" s="27"/>
      <c r="F4562" t="s">
        <v>26</v>
      </c>
      <c r="G4562" s="28">
        <f>IFERROR(VLOOKUP(F4562,CARTON_LOOKUP!$A:$E,3,0),"")</f>
      </c>
      <c r="H4562" s="28">
        <f>IFERROR(VLOOKUP(F4562,CARTON_LOOKUP!$A:$E,4,0),"")</f>
      </c>
      <c r="I4562" s="28">
        <f>IFERROR(VLOOKUP(F4562,CARTON_LOOKUP!$A:$E,5,0),"")</f>
      </c>
      <c r="J4562" s="29">
        <f>IFERROR(VLOOKUP(F4562,CARTON_LOOKUP!$A:$E,2,0),"")</f>
      </c>
      <c r="K4562" s="29">
        <f>IFERROR(J4562*D4562,0)</f>
      </c>
      <c r="L4562" s="29">
        <f>IFERROR(E4562*C4562,0)</f>
      </c>
      <c r="M4562" s="29">
        <f>IFERROR((G4562*H4562*I4562/1000000)*D4562,0)</f>
      </c>
    </row>
    <row r="4563" spans="1:13" x14ac:dyDescent="0.25">
      <c r="A4563" s="16"/>
      <c r="E4563" s="27"/>
      <c r="F4563" t="s">
        <v>26</v>
      </c>
      <c r="G4563" s="28">
        <f>IFERROR(VLOOKUP(F4563,CARTON_LOOKUP!$A:$E,3,0),"")</f>
      </c>
      <c r="H4563" s="28">
        <f>IFERROR(VLOOKUP(F4563,CARTON_LOOKUP!$A:$E,4,0),"")</f>
      </c>
      <c r="I4563" s="28">
        <f>IFERROR(VLOOKUP(F4563,CARTON_LOOKUP!$A:$E,5,0),"")</f>
      </c>
      <c r="J4563" s="29">
        <f>IFERROR(VLOOKUP(F4563,CARTON_LOOKUP!$A:$E,2,0),"")</f>
      </c>
      <c r="K4563" s="29">
        <f>IFERROR(J4563*D4563,0)</f>
      </c>
      <c r="L4563" s="29">
        <f>IFERROR(E4563*C4563,0)</f>
      </c>
      <c r="M4563" s="29">
        <f>IFERROR((G4563*H4563*I4563/1000000)*D4563,0)</f>
      </c>
    </row>
    <row r="4564" spans="1:13" x14ac:dyDescent="0.25">
      <c r="A4564" s="16"/>
      <c r="E4564" s="27"/>
      <c r="F4564" t="s">
        <v>26</v>
      </c>
      <c r="G4564" s="28">
        <f>IFERROR(VLOOKUP(F4564,CARTON_LOOKUP!$A:$E,3,0),"")</f>
      </c>
      <c r="H4564" s="28">
        <f>IFERROR(VLOOKUP(F4564,CARTON_LOOKUP!$A:$E,4,0),"")</f>
      </c>
      <c r="I4564" s="28">
        <f>IFERROR(VLOOKUP(F4564,CARTON_LOOKUP!$A:$E,5,0),"")</f>
      </c>
      <c r="J4564" s="29">
        <f>IFERROR(VLOOKUP(F4564,CARTON_LOOKUP!$A:$E,2,0),"")</f>
      </c>
      <c r="K4564" s="29">
        <f>IFERROR(J4564*D4564,0)</f>
      </c>
      <c r="L4564" s="29">
        <f>IFERROR(E4564*C4564,0)</f>
      </c>
      <c r="M4564" s="29">
        <f>IFERROR((G4564*H4564*I4564/1000000)*D4564,0)</f>
      </c>
    </row>
    <row r="4565" spans="1:13" x14ac:dyDescent="0.25">
      <c r="A4565" s="16"/>
      <c r="E4565" s="27"/>
      <c r="F4565" t="s">
        <v>26</v>
      </c>
      <c r="G4565" s="28">
        <f>IFERROR(VLOOKUP(F4565,CARTON_LOOKUP!$A:$E,3,0),"")</f>
      </c>
      <c r="H4565" s="28">
        <f>IFERROR(VLOOKUP(F4565,CARTON_LOOKUP!$A:$E,4,0),"")</f>
      </c>
      <c r="I4565" s="28">
        <f>IFERROR(VLOOKUP(F4565,CARTON_LOOKUP!$A:$E,5,0),"")</f>
      </c>
      <c r="J4565" s="29">
        <f>IFERROR(VLOOKUP(F4565,CARTON_LOOKUP!$A:$E,2,0),"")</f>
      </c>
      <c r="K4565" s="29">
        <f>IFERROR(J4565*D4565,0)</f>
      </c>
      <c r="L4565" s="29">
        <f>IFERROR(E4565*C4565,0)</f>
      </c>
      <c r="M4565" s="29">
        <f>IFERROR((G4565*H4565*I4565/1000000)*D4565,0)</f>
      </c>
    </row>
    <row r="4566" spans="1:13" x14ac:dyDescent="0.25">
      <c r="A4566" s="16"/>
      <c r="E4566" s="27"/>
      <c r="F4566" t="s">
        <v>26</v>
      </c>
      <c r="G4566" s="28">
        <f>IFERROR(VLOOKUP(F4566,CARTON_LOOKUP!$A:$E,3,0),"")</f>
      </c>
      <c r="H4566" s="28">
        <f>IFERROR(VLOOKUP(F4566,CARTON_LOOKUP!$A:$E,4,0),"")</f>
      </c>
      <c r="I4566" s="28">
        <f>IFERROR(VLOOKUP(F4566,CARTON_LOOKUP!$A:$E,5,0),"")</f>
      </c>
      <c r="J4566" s="29">
        <f>IFERROR(VLOOKUP(F4566,CARTON_LOOKUP!$A:$E,2,0),"")</f>
      </c>
      <c r="K4566" s="29">
        <f>IFERROR(J4566*D4566,0)</f>
      </c>
      <c r="L4566" s="29">
        <f>IFERROR(E4566*C4566,0)</f>
      </c>
      <c r="M4566" s="29">
        <f>IFERROR((G4566*H4566*I4566/1000000)*D4566,0)</f>
      </c>
    </row>
    <row r="4567" spans="1:13" x14ac:dyDescent="0.25">
      <c r="A4567" s="16"/>
      <c r="E4567" s="27"/>
      <c r="F4567" t="s">
        <v>26</v>
      </c>
      <c r="G4567" s="28">
        <f>IFERROR(VLOOKUP(F4567,CARTON_LOOKUP!$A:$E,3,0),"")</f>
      </c>
      <c r="H4567" s="28">
        <f>IFERROR(VLOOKUP(F4567,CARTON_LOOKUP!$A:$E,4,0),"")</f>
      </c>
      <c r="I4567" s="28">
        <f>IFERROR(VLOOKUP(F4567,CARTON_LOOKUP!$A:$E,5,0),"")</f>
      </c>
      <c r="J4567" s="29">
        <f>IFERROR(VLOOKUP(F4567,CARTON_LOOKUP!$A:$E,2,0),"")</f>
      </c>
      <c r="K4567" s="29">
        <f>IFERROR(J4567*D4567,0)</f>
      </c>
      <c r="L4567" s="29">
        <f>IFERROR(E4567*C4567,0)</f>
      </c>
      <c r="M4567" s="29">
        <f>IFERROR((G4567*H4567*I4567/1000000)*D4567,0)</f>
      </c>
    </row>
    <row r="4568" spans="1:13" x14ac:dyDescent="0.25">
      <c r="A4568" s="16"/>
      <c r="E4568" s="27"/>
      <c r="F4568" t="s">
        <v>26</v>
      </c>
      <c r="G4568" s="28">
        <f>IFERROR(VLOOKUP(F4568,CARTON_LOOKUP!$A:$E,3,0),"")</f>
      </c>
      <c r="H4568" s="28">
        <f>IFERROR(VLOOKUP(F4568,CARTON_LOOKUP!$A:$E,4,0),"")</f>
      </c>
      <c r="I4568" s="28">
        <f>IFERROR(VLOOKUP(F4568,CARTON_LOOKUP!$A:$E,5,0),"")</f>
      </c>
      <c r="J4568" s="29">
        <f>IFERROR(VLOOKUP(F4568,CARTON_LOOKUP!$A:$E,2,0),"")</f>
      </c>
      <c r="K4568" s="29">
        <f>IFERROR(J4568*D4568,0)</f>
      </c>
      <c r="L4568" s="29">
        <f>IFERROR(E4568*C4568,0)</f>
      </c>
      <c r="M4568" s="29">
        <f>IFERROR((G4568*H4568*I4568/1000000)*D4568,0)</f>
      </c>
    </row>
    <row r="4569" spans="1:13" x14ac:dyDescent="0.25">
      <c r="A4569" s="16"/>
      <c r="E4569" s="27"/>
      <c r="F4569" t="s">
        <v>26</v>
      </c>
      <c r="G4569" s="28">
        <f>IFERROR(VLOOKUP(F4569,CARTON_LOOKUP!$A:$E,3,0),"")</f>
      </c>
      <c r="H4569" s="28">
        <f>IFERROR(VLOOKUP(F4569,CARTON_LOOKUP!$A:$E,4,0),"")</f>
      </c>
      <c r="I4569" s="28">
        <f>IFERROR(VLOOKUP(F4569,CARTON_LOOKUP!$A:$E,5,0),"")</f>
      </c>
      <c r="J4569" s="29">
        <f>IFERROR(VLOOKUP(F4569,CARTON_LOOKUP!$A:$E,2,0),"")</f>
      </c>
      <c r="K4569" s="29">
        <f>IFERROR(J4569*D4569,0)</f>
      </c>
      <c r="L4569" s="29">
        <f>IFERROR(E4569*C4569,0)</f>
      </c>
      <c r="M4569" s="29">
        <f>IFERROR((G4569*H4569*I4569/1000000)*D4569,0)</f>
      </c>
    </row>
    <row r="4570" spans="1:13" x14ac:dyDescent="0.25">
      <c r="A4570" s="16"/>
      <c r="E4570" s="27"/>
      <c r="F4570" t="s">
        <v>26</v>
      </c>
      <c r="G4570" s="28">
        <f>IFERROR(VLOOKUP(F4570,CARTON_LOOKUP!$A:$E,3,0),"")</f>
      </c>
      <c r="H4570" s="28">
        <f>IFERROR(VLOOKUP(F4570,CARTON_LOOKUP!$A:$E,4,0),"")</f>
      </c>
      <c r="I4570" s="28">
        <f>IFERROR(VLOOKUP(F4570,CARTON_LOOKUP!$A:$E,5,0),"")</f>
      </c>
      <c r="J4570" s="29">
        <f>IFERROR(VLOOKUP(F4570,CARTON_LOOKUP!$A:$E,2,0),"")</f>
      </c>
      <c r="K4570" s="29">
        <f>IFERROR(J4570*D4570,0)</f>
      </c>
      <c r="L4570" s="29">
        <f>IFERROR(E4570*C4570,0)</f>
      </c>
      <c r="M4570" s="29">
        <f>IFERROR((G4570*H4570*I4570/1000000)*D4570,0)</f>
      </c>
    </row>
    <row r="4571" spans="1:13" x14ac:dyDescent="0.25">
      <c r="A4571" s="16"/>
      <c r="E4571" s="27"/>
      <c r="F4571" t="s">
        <v>26</v>
      </c>
      <c r="G4571" s="28">
        <f>IFERROR(VLOOKUP(F4571,CARTON_LOOKUP!$A:$E,3,0),"")</f>
      </c>
      <c r="H4571" s="28">
        <f>IFERROR(VLOOKUP(F4571,CARTON_LOOKUP!$A:$E,4,0),"")</f>
      </c>
      <c r="I4571" s="28">
        <f>IFERROR(VLOOKUP(F4571,CARTON_LOOKUP!$A:$E,5,0),"")</f>
      </c>
      <c r="J4571" s="29">
        <f>IFERROR(VLOOKUP(F4571,CARTON_LOOKUP!$A:$E,2,0),"")</f>
      </c>
      <c r="K4571" s="29">
        <f>IFERROR(J4571*D4571,0)</f>
      </c>
      <c r="L4571" s="29">
        <f>IFERROR(E4571*C4571,0)</f>
      </c>
      <c r="M4571" s="29">
        <f>IFERROR((G4571*H4571*I4571/1000000)*D4571,0)</f>
      </c>
    </row>
    <row r="4572" spans="1:13" x14ac:dyDescent="0.25">
      <c r="A4572" s="16"/>
      <c r="E4572" s="27"/>
      <c r="F4572" t="s">
        <v>26</v>
      </c>
      <c r="G4572" s="28">
        <f>IFERROR(VLOOKUP(F4572,CARTON_LOOKUP!$A:$E,3,0),"")</f>
      </c>
      <c r="H4572" s="28">
        <f>IFERROR(VLOOKUP(F4572,CARTON_LOOKUP!$A:$E,4,0),"")</f>
      </c>
      <c r="I4572" s="28">
        <f>IFERROR(VLOOKUP(F4572,CARTON_LOOKUP!$A:$E,5,0),"")</f>
      </c>
      <c r="J4572" s="29">
        <f>IFERROR(VLOOKUP(F4572,CARTON_LOOKUP!$A:$E,2,0),"")</f>
      </c>
      <c r="K4572" s="29">
        <f>IFERROR(J4572*D4572,0)</f>
      </c>
      <c r="L4572" s="29">
        <f>IFERROR(E4572*C4572,0)</f>
      </c>
      <c r="M4572" s="29">
        <f>IFERROR((G4572*H4572*I4572/1000000)*D4572,0)</f>
      </c>
    </row>
    <row r="4573" spans="1:13" x14ac:dyDescent="0.25">
      <c r="A4573" s="16"/>
      <c r="E4573" s="27"/>
      <c r="F4573" t="s">
        <v>26</v>
      </c>
      <c r="G4573" s="28">
        <f>IFERROR(VLOOKUP(F4573,CARTON_LOOKUP!$A:$E,3,0),"")</f>
      </c>
      <c r="H4573" s="28">
        <f>IFERROR(VLOOKUP(F4573,CARTON_LOOKUP!$A:$E,4,0),"")</f>
      </c>
      <c r="I4573" s="28">
        <f>IFERROR(VLOOKUP(F4573,CARTON_LOOKUP!$A:$E,5,0),"")</f>
      </c>
      <c r="J4573" s="29">
        <f>IFERROR(VLOOKUP(F4573,CARTON_LOOKUP!$A:$E,2,0),"")</f>
      </c>
      <c r="K4573" s="29">
        <f>IFERROR(J4573*D4573,0)</f>
      </c>
      <c r="L4573" s="29">
        <f>IFERROR(E4573*C4573,0)</f>
      </c>
      <c r="M4573" s="29">
        <f>IFERROR((G4573*H4573*I4573/1000000)*D4573,0)</f>
      </c>
    </row>
    <row r="4574" spans="1:13" x14ac:dyDescent="0.25">
      <c r="A4574" s="16"/>
      <c r="E4574" s="27"/>
      <c r="F4574" t="s">
        <v>26</v>
      </c>
      <c r="G4574" s="28">
        <f>IFERROR(VLOOKUP(F4574,CARTON_LOOKUP!$A:$E,3,0),"")</f>
      </c>
      <c r="H4574" s="28">
        <f>IFERROR(VLOOKUP(F4574,CARTON_LOOKUP!$A:$E,4,0),"")</f>
      </c>
      <c r="I4574" s="28">
        <f>IFERROR(VLOOKUP(F4574,CARTON_LOOKUP!$A:$E,5,0),"")</f>
      </c>
      <c r="J4574" s="29">
        <f>IFERROR(VLOOKUP(F4574,CARTON_LOOKUP!$A:$E,2,0),"")</f>
      </c>
      <c r="K4574" s="29">
        <f>IFERROR(J4574*D4574,0)</f>
      </c>
      <c r="L4574" s="29">
        <f>IFERROR(E4574*C4574,0)</f>
      </c>
      <c r="M4574" s="29">
        <f>IFERROR((G4574*H4574*I4574/1000000)*D4574,0)</f>
      </c>
    </row>
    <row r="4575" spans="1:13" x14ac:dyDescent="0.25">
      <c r="A4575" s="16"/>
      <c r="E4575" s="27"/>
      <c r="F4575" t="s">
        <v>26</v>
      </c>
      <c r="G4575" s="28">
        <f>IFERROR(VLOOKUP(F4575,CARTON_LOOKUP!$A:$E,3,0),"")</f>
      </c>
      <c r="H4575" s="28">
        <f>IFERROR(VLOOKUP(F4575,CARTON_LOOKUP!$A:$E,4,0),"")</f>
      </c>
      <c r="I4575" s="28">
        <f>IFERROR(VLOOKUP(F4575,CARTON_LOOKUP!$A:$E,5,0),"")</f>
      </c>
      <c r="J4575" s="29">
        <f>IFERROR(VLOOKUP(F4575,CARTON_LOOKUP!$A:$E,2,0),"")</f>
      </c>
      <c r="K4575" s="29">
        <f>IFERROR(J4575*D4575,0)</f>
      </c>
      <c r="L4575" s="29">
        <f>IFERROR(E4575*C4575,0)</f>
      </c>
      <c r="M4575" s="29">
        <f>IFERROR((G4575*H4575*I4575/1000000)*D4575,0)</f>
      </c>
    </row>
    <row r="4576" spans="1:13" x14ac:dyDescent="0.25">
      <c r="A4576" s="16"/>
      <c r="E4576" s="27"/>
      <c r="F4576" t="s">
        <v>26</v>
      </c>
      <c r="G4576" s="28">
        <f>IFERROR(VLOOKUP(F4576,CARTON_LOOKUP!$A:$E,3,0),"")</f>
      </c>
      <c r="H4576" s="28">
        <f>IFERROR(VLOOKUP(F4576,CARTON_LOOKUP!$A:$E,4,0),"")</f>
      </c>
      <c r="I4576" s="28">
        <f>IFERROR(VLOOKUP(F4576,CARTON_LOOKUP!$A:$E,5,0),"")</f>
      </c>
      <c r="J4576" s="29">
        <f>IFERROR(VLOOKUP(F4576,CARTON_LOOKUP!$A:$E,2,0),"")</f>
      </c>
      <c r="K4576" s="29">
        <f>IFERROR(J4576*D4576,0)</f>
      </c>
      <c r="L4576" s="29">
        <f>IFERROR(E4576*C4576,0)</f>
      </c>
      <c r="M4576" s="29">
        <f>IFERROR((G4576*H4576*I4576/1000000)*D4576,0)</f>
      </c>
    </row>
    <row r="4577" spans="1:13" x14ac:dyDescent="0.25">
      <c r="A4577" s="16"/>
      <c r="E4577" s="27"/>
      <c r="F4577" t="s">
        <v>26</v>
      </c>
      <c r="G4577" s="28">
        <f>IFERROR(VLOOKUP(F4577,CARTON_LOOKUP!$A:$E,3,0),"")</f>
      </c>
      <c r="H4577" s="28">
        <f>IFERROR(VLOOKUP(F4577,CARTON_LOOKUP!$A:$E,4,0),"")</f>
      </c>
      <c r="I4577" s="28">
        <f>IFERROR(VLOOKUP(F4577,CARTON_LOOKUP!$A:$E,5,0),"")</f>
      </c>
      <c r="J4577" s="29">
        <f>IFERROR(VLOOKUP(F4577,CARTON_LOOKUP!$A:$E,2,0),"")</f>
      </c>
      <c r="K4577" s="29">
        <f>IFERROR(J4577*D4577,0)</f>
      </c>
      <c r="L4577" s="29">
        <f>IFERROR(E4577*C4577,0)</f>
      </c>
      <c r="M4577" s="29">
        <f>IFERROR((G4577*H4577*I4577/1000000)*D4577,0)</f>
      </c>
    </row>
    <row r="4578" spans="1:13" x14ac:dyDescent="0.25">
      <c r="A4578" s="16"/>
      <c r="E4578" s="27"/>
      <c r="F4578" t="s">
        <v>26</v>
      </c>
      <c r="G4578" s="28">
        <f>IFERROR(VLOOKUP(F4578,CARTON_LOOKUP!$A:$E,3,0),"")</f>
      </c>
      <c r="H4578" s="28">
        <f>IFERROR(VLOOKUP(F4578,CARTON_LOOKUP!$A:$E,4,0),"")</f>
      </c>
      <c r="I4578" s="28">
        <f>IFERROR(VLOOKUP(F4578,CARTON_LOOKUP!$A:$E,5,0),"")</f>
      </c>
      <c r="J4578" s="29">
        <f>IFERROR(VLOOKUP(F4578,CARTON_LOOKUP!$A:$E,2,0),"")</f>
      </c>
      <c r="K4578" s="29">
        <f>IFERROR(J4578*D4578,0)</f>
      </c>
      <c r="L4578" s="29">
        <f>IFERROR(E4578*C4578,0)</f>
      </c>
      <c r="M4578" s="29">
        <f>IFERROR((G4578*H4578*I4578/1000000)*D4578,0)</f>
      </c>
    </row>
    <row r="4579" spans="1:13" x14ac:dyDescent="0.25">
      <c r="A4579" s="16"/>
      <c r="E4579" s="27"/>
      <c r="F4579" t="s">
        <v>26</v>
      </c>
      <c r="G4579" s="28">
        <f>IFERROR(VLOOKUP(F4579,CARTON_LOOKUP!$A:$E,3,0),"")</f>
      </c>
      <c r="H4579" s="28">
        <f>IFERROR(VLOOKUP(F4579,CARTON_LOOKUP!$A:$E,4,0),"")</f>
      </c>
      <c r="I4579" s="28">
        <f>IFERROR(VLOOKUP(F4579,CARTON_LOOKUP!$A:$E,5,0),"")</f>
      </c>
      <c r="J4579" s="29">
        <f>IFERROR(VLOOKUP(F4579,CARTON_LOOKUP!$A:$E,2,0),"")</f>
      </c>
      <c r="K4579" s="29">
        <f>IFERROR(J4579*D4579,0)</f>
      </c>
      <c r="L4579" s="29">
        <f>IFERROR(E4579*C4579,0)</f>
      </c>
      <c r="M4579" s="29">
        <f>IFERROR((G4579*H4579*I4579/1000000)*D4579,0)</f>
      </c>
    </row>
    <row r="4580" spans="1:13" x14ac:dyDescent="0.25">
      <c r="A4580" s="16"/>
      <c r="E4580" s="27"/>
      <c r="F4580" t="s">
        <v>26</v>
      </c>
      <c r="G4580" s="28">
        <f>IFERROR(VLOOKUP(F4580,CARTON_LOOKUP!$A:$E,3,0),"")</f>
      </c>
      <c r="H4580" s="28">
        <f>IFERROR(VLOOKUP(F4580,CARTON_LOOKUP!$A:$E,4,0),"")</f>
      </c>
      <c r="I4580" s="28">
        <f>IFERROR(VLOOKUP(F4580,CARTON_LOOKUP!$A:$E,5,0),"")</f>
      </c>
      <c r="J4580" s="29">
        <f>IFERROR(VLOOKUP(F4580,CARTON_LOOKUP!$A:$E,2,0),"")</f>
      </c>
      <c r="K4580" s="29">
        <f>IFERROR(J4580*D4580,0)</f>
      </c>
      <c r="L4580" s="29">
        <f>IFERROR(E4580*C4580,0)</f>
      </c>
      <c r="M4580" s="29">
        <f>IFERROR((G4580*H4580*I4580/1000000)*D4580,0)</f>
      </c>
    </row>
    <row r="4581" spans="1:13" x14ac:dyDescent="0.25">
      <c r="A4581" s="16"/>
      <c r="E4581" s="27"/>
      <c r="F4581" t="s">
        <v>26</v>
      </c>
      <c r="G4581" s="28">
        <f>IFERROR(VLOOKUP(F4581,CARTON_LOOKUP!$A:$E,3,0),"")</f>
      </c>
      <c r="H4581" s="28">
        <f>IFERROR(VLOOKUP(F4581,CARTON_LOOKUP!$A:$E,4,0),"")</f>
      </c>
      <c r="I4581" s="28">
        <f>IFERROR(VLOOKUP(F4581,CARTON_LOOKUP!$A:$E,5,0),"")</f>
      </c>
      <c r="J4581" s="29">
        <f>IFERROR(VLOOKUP(F4581,CARTON_LOOKUP!$A:$E,2,0),"")</f>
      </c>
      <c r="K4581" s="29">
        <f>IFERROR(J4581*D4581,0)</f>
      </c>
      <c r="L4581" s="29">
        <f>IFERROR(E4581*C4581,0)</f>
      </c>
      <c r="M4581" s="29">
        <f>IFERROR((G4581*H4581*I4581/1000000)*D4581,0)</f>
      </c>
    </row>
    <row r="4582" spans="1:13" x14ac:dyDescent="0.25">
      <c r="A4582" s="16"/>
      <c r="E4582" s="27"/>
      <c r="F4582" t="s">
        <v>26</v>
      </c>
      <c r="G4582" s="28">
        <f>IFERROR(VLOOKUP(F4582,CARTON_LOOKUP!$A:$E,3,0),"")</f>
      </c>
      <c r="H4582" s="28">
        <f>IFERROR(VLOOKUP(F4582,CARTON_LOOKUP!$A:$E,4,0),"")</f>
      </c>
      <c r="I4582" s="28">
        <f>IFERROR(VLOOKUP(F4582,CARTON_LOOKUP!$A:$E,5,0),"")</f>
      </c>
      <c r="J4582" s="29">
        <f>IFERROR(VLOOKUP(F4582,CARTON_LOOKUP!$A:$E,2,0),"")</f>
      </c>
      <c r="K4582" s="29">
        <f>IFERROR(J4582*D4582,0)</f>
      </c>
      <c r="L4582" s="29">
        <f>IFERROR(E4582*C4582,0)</f>
      </c>
      <c r="M4582" s="29">
        <f>IFERROR((G4582*H4582*I4582/1000000)*D4582,0)</f>
      </c>
    </row>
    <row r="4583" spans="1:13" x14ac:dyDescent="0.25">
      <c r="A4583" s="16"/>
      <c r="E4583" s="27"/>
      <c r="F4583" t="s">
        <v>26</v>
      </c>
      <c r="G4583" s="28">
        <f>IFERROR(VLOOKUP(F4583,CARTON_LOOKUP!$A:$E,3,0),"")</f>
      </c>
      <c r="H4583" s="28">
        <f>IFERROR(VLOOKUP(F4583,CARTON_LOOKUP!$A:$E,4,0),"")</f>
      </c>
      <c r="I4583" s="28">
        <f>IFERROR(VLOOKUP(F4583,CARTON_LOOKUP!$A:$E,5,0),"")</f>
      </c>
      <c r="J4583" s="29">
        <f>IFERROR(VLOOKUP(F4583,CARTON_LOOKUP!$A:$E,2,0),"")</f>
      </c>
      <c r="K4583" s="29">
        <f>IFERROR(J4583*D4583,0)</f>
      </c>
      <c r="L4583" s="29">
        <f>IFERROR(E4583*C4583,0)</f>
      </c>
      <c r="M4583" s="29">
        <f>IFERROR((G4583*H4583*I4583/1000000)*D4583,0)</f>
      </c>
    </row>
    <row r="4584" spans="1:13" x14ac:dyDescent="0.25">
      <c r="A4584" s="16"/>
      <c r="E4584" s="27"/>
      <c r="F4584" t="s">
        <v>26</v>
      </c>
      <c r="G4584" s="28">
        <f>IFERROR(VLOOKUP(F4584,CARTON_LOOKUP!$A:$E,3,0),"")</f>
      </c>
      <c r="H4584" s="28">
        <f>IFERROR(VLOOKUP(F4584,CARTON_LOOKUP!$A:$E,4,0),"")</f>
      </c>
      <c r="I4584" s="28">
        <f>IFERROR(VLOOKUP(F4584,CARTON_LOOKUP!$A:$E,5,0),"")</f>
      </c>
      <c r="J4584" s="29">
        <f>IFERROR(VLOOKUP(F4584,CARTON_LOOKUP!$A:$E,2,0),"")</f>
      </c>
      <c r="K4584" s="29">
        <f>IFERROR(J4584*D4584,0)</f>
      </c>
      <c r="L4584" s="29">
        <f>IFERROR(E4584*C4584,0)</f>
      </c>
      <c r="M4584" s="29">
        <f>IFERROR((G4584*H4584*I4584/1000000)*D4584,0)</f>
      </c>
    </row>
    <row r="4585" spans="1:13" x14ac:dyDescent="0.25">
      <c r="A4585" s="16"/>
      <c r="E4585" s="27"/>
      <c r="F4585" t="s">
        <v>26</v>
      </c>
      <c r="G4585" s="28">
        <f>IFERROR(VLOOKUP(F4585,CARTON_LOOKUP!$A:$E,3,0),"")</f>
      </c>
      <c r="H4585" s="28">
        <f>IFERROR(VLOOKUP(F4585,CARTON_LOOKUP!$A:$E,4,0),"")</f>
      </c>
      <c r="I4585" s="28">
        <f>IFERROR(VLOOKUP(F4585,CARTON_LOOKUP!$A:$E,5,0),"")</f>
      </c>
      <c r="J4585" s="29">
        <f>IFERROR(VLOOKUP(F4585,CARTON_LOOKUP!$A:$E,2,0),"")</f>
      </c>
      <c r="K4585" s="29">
        <f>IFERROR(J4585*D4585,0)</f>
      </c>
      <c r="L4585" s="29">
        <f>IFERROR(E4585*C4585,0)</f>
      </c>
      <c r="M4585" s="29">
        <f>IFERROR((G4585*H4585*I4585/1000000)*D4585,0)</f>
      </c>
    </row>
    <row r="4586" spans="1:13" x14ac:dyDescent="0.25">
      <c r="A4586" s="16"/>
      <c r="E4586" s="27"/>
      <c r="F4586" t="s">
        <v>26</v>
      </c>
      <c r="G4586" s="28">
        <f>IFERROR(VLOOKUP(F4586,CARTON_LOOKUP!$A:$E,3,0),"")</f>
      </c>
      <c r="H4586" s="28">
        <f>IFERROR(VLOOKUP(F4586,CARTON_LOOKUP!$A:$E,4,0),"")</f>
      </c>
      <c r="I4586" s="28">
        <f>IFERROR(VLOOKUP(F4586,CARTON_LOOKUP!$A:$E,5,0),"")</f>
      </c>
      <c r="J4586" s="29">
        <f>IFERROR(VLOOKUP(F4586,CARTON_LOOKUP!$A:$E,2,0),"")</f>
      </c>
      <c r="K4586" s="29">
        <f>IFERROR(J4586*D4586,0)</f>
      </c>
      <c r="L4586" s="29">
        <f>IFERROR(E4586*C4586,0)</f>
      </c>
      <c r="M4586" s="29">
        <f>IFERROR((G4586*H4586*I4586/1000000)*D4586,0)</f>
      </c>
    </row>
    <row r="4587" spans="1:13" x14ac:dyDescent="0.25">
      <c r="A4587" s="16"/>
      <c r="E4587" s="27"/>
      <c r="F4587" t="s">
        <v>26</v>
      </c>
      <c r="G4587" s="28">
        <f>IFERROR(VLOOKUP(F4587,CARTON_LOOKUP!$A:$E,3,0),"")</f>
      </c>
      <c r="H4587" s="28">
        <f>IFERROR(VLOOKUP(F4587,CARTON_LOOKUP!$A:$E,4,0),"")</f>
      </c>
      <c r="I4587" s="28">
        <f>IFERROR(VLOOKUP(F4587,CARTON_LOOKUP!$A:$E,5,0),"")</f>
      </c>
      <c r="J4587" s="29">
        <f>IFERROR(VLOOKUP(F4587,CARTON_LOOKUP!$A:$E,2,0),"")</f>
      </c>
      <c r="K4587" s="29">
        <f>IFERROR(J4587*D4587,0)</f>
      </c>
      <c r="L4587" s="29">
        <f>IFERROR(E4587*C4587,0)</f>
      </c>
      <c r="M4587" s="29">
        <f>IFERROR((G4587*H4587*I4587/1000000)*D4587,0)</f>
      </c>
    </row>
    <row r="4588" spans="1:13" x14ac:dyDescent="0.25">
      <c r="A4588" s="16"/>
      <c r="E4588" s="27"/>
      <c r="F4588" t="s">
        <v>26</v>
      </c>
      <c r="G4588" s="28">
        <f>IFERROR(VLOOKUP(F4588,CARTON_LOOKUP!$A:$E,3,0),"")</f>
      </c>
      <c r="H4588" s="28">
        <f>IFERROR(VLOOKUP(F4588,CARTON_LOOKUP!$A:$E,4,0),"")</f>
      </c>
      <c r="I4588" s="28">
        <f>IFERROR(VLOOKUP(F4588,CARTON_LOOKUP!$A:$E,5,0),"")</f>
      </c>
      <c r="J4588" s="29">
        <f>IFERROR(VLOOKUP(F4588,CARTON_LOOKUP!$A:$E,2,0),"")</f>
      </c>
      <c r="K4588" s="29">
        <f>IFERROR(J4588*D4588,0)</f>
      </c>
      <c r="L4588" s="29">
        <f>IFERROR(E4588*C4588,0)</f>
      </c>
      <c r="M4588" s="29">
        <f>IFERROR((G4588*H4588*I4588/1000000)*D4588,0)</f>
      </c>
    </row>
    <row r="4589" spans="1:13" x14ac:dyDescent="0.25">
      <c r="A4589" s="16"/>
      <c r="E4589" s="27"/>
      <c r="F4589" t="s">
        <v>26</v>
      </c>
      <c r="G4589" s="28">
        <f>IFERROR(VLOOKUP(F4589,CARTON_LOOKUP!$A:$E,3,0),"")</f>
      </c>
      <c r="H4589" s="28">
        <f>IFERROR(VLOOKUP(F4589,CARTON_LOOKUP!$A:$E,4,0),"")</f>
      </c>
      <c r="I4589" s="28">
        <f>IFERROR(VLOOKUP(F4589,CARTON_LOOKUP!$A:$E,5,0),"")</f>
      </c>
      <c r="J4589" s="29">
        <f>IFERROR(VLOOKUP(F4589,CARTON_LOOKUP!$A:$E,2,0),"")</f>
      </c>
      <c r="K4589" s="29">
        <f>IFERROR(J4589*D4589,0)</f>
      </c>
      <c r="L4589" s="29">
        <f>IFERROR(E4589*C4589,0)</f>
      </c>
      <c r="M4589" s="29">
        <f>IFERROR((G4589*H4589*I4589/1000000)*D4589,0)</f>
      </c>
    </row>
    <row r="4590" spans="1:13" x14ac:dyDescent="0.25">
      <c r="A4590" s="16"/>
      <c r="E4590" s="27"/>
      <c r="F4590" t="s">
        <v>26</v>
      </c>
      <c r="G4590" s="28">
        <f>IFERROR(VLOOKUP(F4590,CARTON_LOOKUP!$A:$E,3,0),"")</f>
      </c>
      <c r="H4590" s="28">
        <f>IFERROR(VLOOKUP(F4590,CARTON_LOOKUP!$A:$E,4,0),"")</f>
      </c>
      <c r="I4590" s="28">
        <f>IFERROR(VLOOKUP(F4590,CARTON_LOOKUP!$A:$E,5,0),"")</f>
      </c>
      <c r="J4590" s="29">
        <f>IFERROR(VLOOKUP(F4590,CARTON_LOOKUP!$A:$E,2,0),"")</f>
      </c>
      <c r="K4590" s="29">
        <f>IFERROR(J4590*D4590,0)</f>
      </c>
      <c r="L4590" s="29">
        <f>IFERROR(E4590*C4590,0)</f>
      </c>
      <c r="M4590" s="29">
        <f>IFERROR((G4590*H4590*I4590/1000000)*D4590,0)</f>
      </c>
    </row>
    <row r="4591" spans="1:13" x14ac:dyDescent="0.25">
      <c r="A4591" s="16"/>
      <c r="E4591" s="27"/>
      <c r="F4591" t="s">
        <v>26</v>
      </c>
      <c r="G4591" s="28">
        <f>IFERROR(VLOOKUP(F4591,CARTON_LOOKUP!$A:$E,3,0),"")</f>
      </c>
      <c r="H4591" s="28">
        <f>IFERROR(VLOOKUP(F4591,CARTON_LOOKUP!$A:$E,4,0),"")</f>
      </c>
      <c r="I4591" s="28">
        <f>IFERROR(VLOOKUP(F4591,CARTON_LOOKUP!$A:$E,5,0),"")</f>
      </c>
      <c r="J4591" s="29">
        <f>IFERROR(VLOOKUP(F4591,CARTON_LOOKUP!$A:$E,2,0),"")</f>
      </c>
      <c r="K4591" s="29">
        <f>IFERROR(J4591*D4591,0)</f>
      </c>
      <c r="L4591" s="29">
        <f>IFERROR(E4591*C4591,0)</f>
      </c>
      <c r="M4591" s="29">
        <f>IFERROR((G4591*H4591*I4591/1000000)*D4591,0)</f>
      </c>
    </row>
    <row r="4592" spans="1:13" x14ac:dyDescent="0.25">
      <c r="A4592" s="16"/>
      <c r="E4592" s="27"/>
      <c r="F4592" t="s">
        <v>26</v>
      </c>
      <c r="G4592" s="28">
        <f>IFERROR(VLOOKUP(F4592,CARTON_LOOKUP!$A:$E,3,0),"")</f>
      </c>
      <c r="H4592" s="28">
        <f>IFERROR(VLOOKUP(F4592,CARTON_LOOKUP!$A:$E,4,0),"")</f>
      </c>
      <c r="I4592" s="28">
        <f>IFERROR(VLOOKUP(F4592,CARTON_LOOKUP!$A:$E,5,0),"")</f>
      </c>
      <c r="J4592" s="29">
        <f>IFERROR(VLOOKUP(F4592,CARTON_LOOKUP!$A:$E,2,0),"")</f>
      </c>
      <c r="K4592" s="29">
        <f>IFERROR(J4592*D4592,0)</f>
      </c>
      <c r="L4592" s="29">
        <f>IFERROR(E4592*C4592,0)</f>
      </c>
      <c r="M4592" s="29">
        <f>IFERROR((G4592*H4592*I4592/1000000)*D4592,0)</f>
      </c>
    </row>
    <row r="4593" spans="1:13" x14ac:dyDescent="0.25">
      <c r="A4593" s="16"/>
      <c r="E4593" s="27"/>
      <c r="F4593" t="s">
        <v>26</v>
      </c>
      <c r="G4593" s="28">
        <f>IFERROR(VLOOKUP(F4593,CARTON_LOOKUP!$A:$E,3,0),"")</f>
      </c>
      <c r="H4593" s="28">
        <f>IFERROR(VLOOKUP(F4593,CARTON_LOOKUP!$A:$E,4,0),"")</f>
      </c>
      <c r="I4593" s="28">
        <f>IFERROR(VLOOKUP(F4593,CARTON_LOOKUP!$A:$E,5,0),"")</f>
      </c>
      <c r="J4593" s="29">
        <f>IFERROR(VLOOKUP(F4593,CARTON_LOOKUP!$A:$E,2,0),"")</f>
      </c>
      <c r="K4593" s="29">
        <f>IFERROR(J4593*D4593,0)</f>
      </c>
      <c r="L4593" s="29">
        <f>IFERROR(E4593*C4593,0)</f>
      </c>
      <c r="M4593" s="29">
        <f>IFERROR((G4593*H4593*I4593/1000000)*D4593,0)</f>
      </c>
    </row>
    <row r="4594" spans="1:13" x14ac:dyDescent="0.25">
      <c r="A4594" s="16"/>
      <c r="E4594" s="27"/>
      <c r="F4594" t="s">
        <v>26</v>
      </c>
      <c r="G4594" s="28">
        <f>IFERROR(VLOOKUP(F4594,CARTON_LOOKUP!$A:$E,3,0),"")</f>
      </c>
      <c r="H4594" s="28">
        <f>IFERROR(VLOOKUP(F4594,CARTON_LOOKUP!$A:$E,4,0),"")</f>
      </c>
      <c r="I4594" s="28">
        <f>IFERROR(VLOOKUP(F4594,CARTON_LOOKUP!$A:$E,5,0),"")</f>
      </c>
      <c r="J4594" s="29">
        <f>IFERROR(VLOOKUP(F4594,CARTON_LOOKUP!$A:$E,2,0),"")</f>
      </c>
      <c r="K4594" s="29">
        <f>IFERROR(J4594*D4594,0)</f>
      </c>
      <c r="L4594" s="29">
        <f>IFERROR(E4594*C4594,0)</f>
      </c>
      <c r="M4594" s="29">
        <f>IFERROR((G4594*H4594*I4594/1000000)*D4594,0)</f>
      </c>
    </row>
    <row r="4595" spans="1:13" x14ac:dyDescent="0.25">
      <c r="A4595" s="16"/>
      <c r="E4595" s="27"/>
      <c r="F4595" t="s">
        <v>26</v>
      </c>
      <c r="G4595" s="28">
        <f>IFERROR(VLOOKUP(F4595,CARTON_LOOKUP!$A:$E,3,0),"")</f>
      </c>
      <c r="H4595" s="28">
        <f>IFERROR(VLOOKUP(F4595,CARTON_LOOKUP!$A:$E,4,0),"")</f>
      </c>
      <c r="I4595" s="28">
        <f>IFERROR(VLOOKUP(F4595,CARTON_LOOKUP!$A:$E,5,0),"")</f>
      </c>
      <c r="J4595" s="29">
        <f>IFERROR(VLOOKUP(F4595,CARTON_LOOKUP!$A:$E,2,0),"")</f>
      </c>
      <c r="K4595" s="29">
        <f>IFERROR(J4595*D4595,0)</f>
      </c>
      <c r="L4595" s="29">
        <f>IFERROR(E4595*C4595,0)</f>
      </c>
      <c r="M4595" s="29">
        <f>IFERROR((G4595*H4595*I4595/1000000)*D4595,0)</f>
      </c>
    </row>
    <row r="4596" spans="1:13" x14ac:dyDescent="0.25">
      <c r="A4596" s="16"/>
      <c r="E4596" s="27"/>
      <c r="F4596" t="s">
        <v>26</v>
      </c>
      <c r="G4596" s="28">
        <f>IFERROR(VLOOKUP(F4596,CARTON_LOOKUP!$A:$E,3,0),"")</f>
      </c>
      <c r="H4596" s="28">
        <f>IFERROR(VLOOKUP(F4596,CARTON_LOOKUP!$A:$E,4,0),"")</f>
      </c>
      <c r="I4596" s="28">
        <f>IFERROR(VLOOKUP(F4596,CARTON_LOOKUP!$A:$E,5,0),"")</f>
      </c>
      <c r="J4596" s="29">
        <f>IFERROR(VLOOKUP(F4596,CARTON_LOOKUP!$A:$E,2,0),"")</f>
      </c>
      <c r="K4596" s="29">
        <f>IFERROR(J4596*D4596,0)</f>
      </c>
      <c r="L4596" s="29">
        <f>IFERROR(E4596*C4596,0)</f>
      </c>
      <c r="M4596" s="29">
        <f>IFERROR((G4596*H4596*I4596/1000000)*D4596,0)</f>
      </c>
    </row>
    <row r="4597" spans="1:13" x14ac:dyDescent="0.25">
      <c r="A4597" s="16"/>
      <c r="E4597" s="27"/>
      <c r="F4597" t="s">
        <v>26</v>
      </c>
      <c r="G4597" s="28">
        <f>IFERROR(VLOOKUP(F4597,CARTON_LOOKUP!$A:$E,3,0),"")</f>
      </c>
      <c r="H4597" s="28">
        <f>IFERROR(VLOOKUP(F4597,CARTON_LOOKUP!$A:$E,4,0),"")</f>
      </c>
      <c r="I4597" s="28">
        <f>IFERROR(VLOOKUP(F4597,CARTON_LOOKUP!$A:$E,5,0),"")</f>
      </c>
      <c r="J4597" s="29">
        <f>IFERROR(VLOOKUP(F4597,CARTON_LOOKUP!$A:$E,2,0),"")</f>
      </c>
      <c r="K4597" s="29">
        <f>IFERROR(J4597*D4597,0)</f>
      </c>
      <c r="L4597" s="29">
        <f>IFERROR(E4597*C4597,0)</f>
      </c>
      <c r="M4597" s="29">
        <f>IFERROR((G4597*H4597*I4597/1000000)*D4597,0)</f>
      </c>
    </row>
    <row r="4598" spans="1:13" x14ac:dyDescent="0.25">
      <c r="A4598" s="16"/>
      <c r="E4598" s="27"/>
      <c r="F4598" t="s">
        <v>26</v>
      </c>
      <c r="G4598" s="28">
        <f>IFERROR(VLOOKUP(F4598,CARTON_LOOKUP!$A:$E,3,0),"")</f>
      </c>
      <c r="H4598" s="28">
        <f>IFERROR(VLOOKUP(F4598,CARTON_LOOKUP!$A:$E,4,0),"")</f>
      </c>
      <c r="I4598" s="28">
        <f>IFERROR(VLOOKUP(F4598,CARTON_LOOKUP!$A:$E,5,0),"")</f>
      </c>
      <c r="J4598" s="29">
        <f>IFERROR(VLOOKUP(F4598,CARTON_LOOKUP!$A:$E,2,0),"")</f>
      </c>
      <c r="K4598" s="29">
        <f>IFERROR(J4598*D4598,0)</f>
      </c>
      <c r="L4598" s="29">
        <f>IFERROR(E4598*C4598,0)</f>
      </c>
      <c r="M4598" s="29">
        <f>IFERROR((G4598*H4598*I4598/1000000)*D4598,0)</f>
      </c>
    </row>
    <row r="4599" spans="1:13" x14ac:dyDescent="0.25">
      <c r="A4599" s="16"/>
      <c r="E4599" s="27"/>
      <c r="F4599" t="s">
        <v>26</v>
      </c>
      <c r="G4599" s="28">
        <f>IFERROR(VLOOKUP(F4599,CARTON_LOOKUP!$A:$E,3,0),"")</f>
      </c>
      <c r="H4599" s="28">
        <f>IFERROR(VLOOKUP(F4599,CARTON_LOOKUP!$A:$E,4,0),"")</f>
      </c>
      <c r="I4599" s="28">
        <f>IFERROR(VLOOKUP(F4599,CARTON_LOOKUP!$A:$E,5,0),"")</f>
      </c>
      <c r="J4599" s="29">
        <f>IFERROR(VLOOKUP(F4599,CARTON_LOOKUP!$A:$E,2,0),"")</f>
      </c>
      <c r="K4599" s="29">
        <f>IFERROR(J4599*D4599,0)</f>
      </c>
      <c r="L4599" s="29">
        <f>IFERROR(E4599*C4599,0)</f>
      </c>
      <c r="M4599" s="29">
        <f>IFERROR((G4599*H4599*I4599/1000000)*D4599,0)</f>
      </c>
    </row>
    <row r="4600" spans="1:13" x14ac:dyDescent="0.25">
      <c r="A4600" s="16"/>
      <c r="E4600" s="27"/>
      <c r="F4600" t="s">
        <v>26</v>
      </c>
      <c r="G4600" s="28">
        <f>IFERROR(VLOOKUP(F4600,CARTON_LOOKUP!$A:$E,3,0),"")</f>
      </c>
      <c r="H4600" s="28">
        <f>IFERROR(VLOOKUP(F4600,CARTON_LOOKUP!$A:$E,4,0),"")</f>
      </c>
      <c r="I4600" s="28">
        <f>IFERROR(VLOOKUP(F4600,CARTON_LOOKUP!$A:$E,5,0),"")</f>
      </c>
      <c r="J4600" s="29">
        <f>IFERROR(VLOOKUP(F4600,CARTON_LOOKUP!$A:$E,2,0),"")</f>
      </c>
      <c r="K4600" s="29">
        <f>IFERROR(J4600*D4600,0)</f>
      </c>
      <c r="L4600" s="29">
        <f>IFERROR(E4600*C4600,0)</f>
      </c>
      <c r="M4600" s="29">
        <f>IFERROR((G4600*H4600*I4600/1000000)*D4600,0)</f>
      </c>
    </row>
    <row r="4601" spans="1:13" x14ac:dyDescent="0.25">
      <c r="A4601" s="16"/>
      <c r="E4601" s="27"/>
      <c r="F4601" t="s">
        <v>26</v>
      </c>
      <c r="G4601" s="28">
        <f>IFERROR(VLOOKUP(F4601,CARTON_LOOKUP!$A:$E,3,0),"")</f>
      </c>
      <c r="H4601" s="28">
        <f>IFERROR(VLOOKUP(F4601,CARTON_LOOKUP!$A:$E,4,0),"")</f>
      </c>
      <c r="I4601" s="28">
        <f>IFERROR(VLOOKUP(F4601,CARTON_LOOKUP!$A:$E,5,0),"")</f>
      </c>
      <c r="J4601" s="29">
        <f>IFERROR(VLOOKUP(F4601,CARTON_LOOKUP!$A:$E,2,0),"")</f>
      </c>
      <c r="K4601" s="29">
        <f>IFERROR(J4601*D4601,0)</f>
      </c>
      <c r="L4601" s="29">
        <f>IFERROR(E4601*C4601,0)</f>
      </c>
      <c r="M4601" s="29">
        <f>IFERROR((G4601*H4601*I4601/1000000)*D4601,0)</f>
      </c>
    </row>
    <row r="4602" spans="1:13" x14ac:dyDescent="0.25">
      <c r="A4602" s="16"/>
      <c r="E4602" s="27"/>
      <c r="F4602" t="s">
        <v>26</v>
      </c>
      <c r="G4602" s="28">
        <f>IFERROR(VLOOKUP(F4602,CARTON_LOOKUP!$A:$E,3,0),"")</f>
      </c>
      <c r="H4602" s="28">
        <f>IFERROR(VLOOKUP(F4602,CARTON_LOOKUP!$A:$E,4,0),"")</f>
      </c>
      <c r="I4602" s="28">
        <f>IFERROR(VLOOKUP(F4602,CARTON_LOOKUP!$A:$E,5,0),"")</f>
      </c>
      <c r="J4602" s="29">
        <f>IFERROR(VLOOKUP(F4602,CARTON_LOOKUP!$A:$E,2,0),"")</f>
      </c>
      <c r="K4602" s="29">
        <f>IFERROR(J4602*D4602,0)</f>
      </c>
      <c r="L4602" s="29">
        <f>IFERROR(E4602*C4602,0)</f>
      </c>
      <c r="M4602" s="29">
        <f>IFERROR((G4602*H4602*I4602/1000000)*D4602,0)</f>
      </c>
    </row>
    <row r="4603" spans="1:13" x14ac:dyDescent="0.25">
      <c r="A4603" s="16"/>
      <c r="E4603" s="27"/>
      <c r="F4603" t="s">
        <v>26</v>
      </c>
      <c r="G4603" s="28">
        <f>IFERROR(VLOOKUP(F4603,CARTON_LOOKUP!$A:$E,3,0),"")</f>
      </c>
      <c r="H4603" s="28">
        <f>IFERROR(VLOOKUP(F4603,CARTON_LOOKUP!$A:$E,4,0),"")</f>
      </c>
      <c r="I4603" s="28">
        <f>IFERROR(VLOOKUP(F4603,CARTON_LOOKUP!$A:$E,5,0),"")</f>
      </c>
      <c r="J4603" s="29">
        <f>IFERROR(VLOOKUP(F4603,CARTON_LOOKUP!$A:$E,2,0),"")</f>
      </c>
      <c r="K4603" s="29">
        <f>IFERROR(J4603*D4603,0)</f>
      </c>
      <c r="L4603" s="29">
        <f>IFERROR(E4603*C4603,0)</f>
      </c>
      <c r="M4603" s="29">
        <f>IFERROR((G4603*H4603*I4603/1000000)*D4603,0)</f>
      </c>
    </row>
    <row r="4604" spans="1:13" x14ac:dyDescent="0.25">
      <c r="A4604" s="16"/>
      <c r="E4604" s="27"/>
      <c r="F4604" t="s">
        <v>26</v>
      </c>
      <c r="G4604" s="28">
        <f>IFERROR(VLOOKUP(F4604,CARTON_LOOKUP!$A:$E,3,0),"")</f>
      </c>
      <c r="H4604" s="28">
        <f>IFERROR(VLOOKUP(F4604,CARTON_LOOKUP!$A:$E,4,0),"")</f>
      </c>
      <c r="I4604" s="28">
        <f>IFERROR(VLOOKUP(F4604,CARTON_LOOKUP!$A:$E,5,0),"")</f>
      </c>
      <c r="J4604" s="29">
        <f>IFERROR(VLOOKUP(F4604,CARTON_LOOKUP!$A:$E,2,0),"")</f>
      </c>
      <c r="K4604" s="29">
        <f>IFERROR(J4604*D4604,0)</f>
      </c>
      <c r="L4604" s="29">
        <f>IFERROR(E4604*C4604,0)</f>
      </c>
      <c r="M4604" s="29">
        <f>IFERROR((G4604*H4604*I4604/1000000)*D4604,0)</f>
      </c>
    </row>
    <row r="4605" spans="1:13" x14ac:dyDescent="0.25">
      <c r="A4605" s="16"/>
      <c r="E4605" s="27"/>
      <c r="F4605" t="s">
        <v>26</v>
      </c>
      <c r="G4605" s="28">
        <f>IFERROR(VLOOKUP(F4605,CARTON_LOOKUP!$A:$E,3,0),"")</f>
      </c>
      <c r="H4605" s="28">
        <f>IFERROR(VLOOKUP(F4605,CARTON_LOOKUP!$A:$E,4,0),"")</f>
      </c>
      <c r="I4605" s="28">
        <f>IFERROR(VLOOKUP(F4605,CARTON_LOOKUP!$A:$E,5,0),"")</f>
      </c>
      <c r="J4605" s="29">
        <f>IFERROR(VLOOKUP(F4605,CARTON_LOOKUP!$A:$E,2,0),"")</f>
      </c>
      <c r="K4605" s="29">
        <f>IFERROR(J4605*D4605,0)</f>
      </c>
      <c r="L4605" s="29">
        <f>IFERROR(E4605*C4605,0)</f>
      </c>
      <c r="M4605" s="29">
        <f>IFERROR((G4605*H4605*I4605/1000000)*D4605,0)</f>
      </c>
    </row>
    <row r="4606" spans="1:13" x14ac:dyDescent="0.25">
      <c r="A4606" s="16"/>
      <c r="E4606" s="27"/>
      <c r="F4606" t="s">
        <v>26</v>
      </c>
      <c r="G4606" s="28">
        <f>IFERROR(VLOOKUP(F4606,CARTON_LOOKUP!$A:$E,3,0),"")</f>
      </c>
      <c r="H4606" s="28">
        <f>IFERROR(VLOOKUP(F4606,CARTON_LOOKUP!$A:$E,4,0),"")</f>
      </c>
      <c r="I4606" s="28">
        <f>IFERROR(VLOOKUP(F4606,CARTON_LOOKUP!$A:$E,5,0),"")</f>
      </c>
      <c r="J4606" s="29">
        <f>IFERROR(VLOOKUP(F4606,CARTON_LOOKUP!$A:$E,2,0),"")</f>
      </c>
      <c r="K4606" s="29">
        <f>IFERROR(J4606*D4606,0)</f>
      </c>
      <c r="L4606" s="29">
        <f>IFERROR(E4606*C4606,0)</f>
      </c>
      <c r="M4606" s="29">
        <f>IFERROR((G4606*H4606*I4606/1000000)*D4606,0)</f>
      </c>
    </row>
    <row r="4607" spans="1:13" x14ac:dyDescent="0.25">
      <c r="A4607" s="16"/>
      <c r="E4607" s="27"/>
      <c r="F4607" t="s">
        <v>26</v>
      </c>
      <c r="G4607" s="28">
        <f>IFERROR(VLOOKUP(F4607,CARTON_LOOKUP!$A:$E,3,0),"")</f>
      </c>
      <c r="H4607" s="28">
        <f>IFERROR(VLOOKUP(F4607,CARTON_LOOKUP!$A:$E,4,0),"")</f>
      </c>
      <c r="I4607" s="28">
        <f>IFERROR(VLOOKUP(F4607,CARTON_LOOKUP!$A:$E,5,0),"")</f>
      </c>
      <c r="J4607" s="29">
        <f>IFERROR(VLOOKUP(F4607,CARTON_LOOKUP!$A:$E,2,0),"")</f>
      </c>
      <c r="K4607" s="29">
        <f>IFERROR(J4607*D4607,0)</f>
      </c>
      <c r="L4607" s="29">
        <f>IFERROR(E4607*C4607,0)</f>
      </c>
      <c r="M4607" s="29">
        <f>IFERROR((G4607*H4607*I4607/1000000)*D4607,0)</f>
      </c>
    </row>
    <row r="4608" spans="1:13" x14ac:dyDescent="0.25">
      <c r="A4608" s="16"/>
      <c r="E4608" s="27"/>
      <c r="F4608" t="s">
        <v>26</v>
      </c>
      <c r="G4608" s="28">
        <f>IFERROR(VLOOKUP(F4608,CARTON_LOOKUP!$A:$E,3,0),"")</f>
      </c>
      <c r="H4608" s="28">
        <f>IFERROR(VLOOKUP(F4608,CARTON_LOOKUP!$A:$E,4,0),"")</f>
      </c>
      <c r="I4608" s="28">
        <f>IFERROR(VLOOKUP(F4608,CARTON_LOOKUP!$A:$E,5,0),"")</f>
      </c>
      <c r="J4608" s="29">
        <f>IFERROR(VLOOKUP(F4608,CARTON_LOOKUP!$A:$E,2,0),"")</f>
      </c>
      <c r="K4608" s="29">
        <f>IFERROR(J4608*D4608,0)</f>
      </c>
      <c r="L4608" s="29">
        <f>IFERROR(E4608*C4608,0)</f>
      </c>
      <c r="M4608" s="29">
        <f>IFERROR((G4608*H4608*I4608/1000000)*D4608,0)</f>
      </c>
    </row>
    <row r="4609" spans="1:13" x14ac:dyDescent="0.25">
      <c r="A4609" s="16"/>
      <c r="E4609" s="27"/>
      <c r="F4609" t="s">
        <v>26</v>
      </c>
      <c r="G4609" s="28">
        <f>IFERROR(VLOOKUP(F4609,CARTON_LOOKUP!$A:$E,3,0),"")</f>
      </c>
      <c r="H4609" s="28">
        <f>IFERROR(VLOOKUP(F4609,CARTON_LOOKUP!$A:$E,4,0),"")</f>
      </c>
      <c r="I4609" s="28">
        <f>IFERROR(VLOOKUP(F4609,CARTON_LOOKUP!$A:$E,5,0),"")</f>
      </c>
      <c r="J4609" s="29">
        <f>IFERROR(VLOOKUP(F4609,CARTON_LOOKUP!$A:$E,2,0),"")</f>
      </c>
      <c r="K4609" s="29">
        <f>IFERROR(J4609*D4609,0)</f>
      </c>
      <c r="L4609" s="29">
        <f>IFERROR(E4609*C4609,0)</f>
      </c>
      <c r="M4609" s="29">
        <f>IFERROR((G4609*H4609*I4609/1000000)*D4609,0)</f>
      </c>
    </row>
    <row r="4610" spans="1:13" x14ac:dyDescent="0.25">
      <c r="A4610" s="16"/>
      <c r="E4610" s="27"/>
      <c r="F4610" t="s">
        <v>26</v>
      </c>
      <c r="G4610" s="28">
        <f>IFERROR(VLOOKUP(F4610,CARTON_LOOKUP!$A:$E,3,0),"")</f>
      </c>
      <c r="H4610" s="28">
        <f>IFERROR(VLOOKUP(F4610,CARTON_LOOKUP!$A:$E,4,0),"")</f>
      </c>
      <c r="I4610" s="28">
        <f>IFERROR(VLOOKUP(F4610,CARTON_LOOKUP!$A:$E,5,0),"")</f>
      </c>
      <c r="J4610" s="29">
        <f>IFERROR(VLOOKUP(F4610,CARTON_LOOKUP!$A:$E,2,0),"")</f>
      </c>
      <c r="K4610" s="29">
        <f>IFERROR(J4610*D4610,0)</f>
      </c>
      <c r="L4610" s="29">
        <f>IFERROR(E4610*C4610,0)</f>
      </c>
      <c r="M4610" s="29">
        <f>IFERROR((G4610*H4610*I4610/1000000)*D4610,0)</f>
      </c>
    </row>
    <row r="4611" spans="1:13" x14ac:dyDescent="0.25">
      <c r="A4611" s="16"/>
      <c r="E4611" s="27"/>
      <c r="F4611" t="s">
        <v>26</v>
      </c>
      <c r="G4611" s="28">
        <f>IFERROR(VLOOKUP(F4611,CARTON_LOOKUP!$A:$E,3,0),"")</f>
      </c>
      <c r="H4611" s="28">
        <f>IFERROR(VLOOKUP(F4611,CARTON_LOOKUP!$A:$E,4,0),"")</f>
      </c>
      <c r="I4611" s="28">
        <f>IFERROR(VLOOKUP(F4611,CARTON_LOOKUP!$A:$E,5,0),"")</f>
      </c>
      <c r="J4611" s="29">
        <f>IFERROR(VLOOKUP(F4611,CARTON_LOOKUP!$A:$E,2,0),"")</f>
      </c>
      <c r="K4611" s="29">
        <f>IFERROR(J4611*D4611,0)</f>
      </c>
      <c r="L4611" s="29">
        <f>IFERROR(E4611*C4611,0)</f>
      </c>
      <c r="M4611" s="29">
        <f>IFERROR((G4611*H4611*I4611/1000000)*D4611,0)</f>
      </c>
    </row>
    <row r="4612" spans="1:13" x14ac:dyDescent="0.25">
      <c r="A4612" s="16"/>
      <c r="E4612" s="27"/>
      <c r="F4612" t="s">
        <v>26</v>
      </c>
      <c r="G4612" s="28">
        <f>IFERROR(VLOOKUP(F4612,CARTON_LOOKUP!$A:$E,3,0),"")</f>
      </c>
      <c r="H4612" s="28">
        <f>IFERROR(VLOOKUP(F4612,CARTON_LOOKUP!$A:$E,4,0),"")</f>
      </c>
      <c r="I4612" s="28">
        <f>IFERROR(VLOOKUP(F4612,CARTON_LOOKUP!$A:$E,5,0),"")</f>
      </c>
      <c r="J4612" s="29">
        <f>IFERROR(VLOOKUP(F4612,CARTON_LOOKUP!$A:$E,2,0),"")</f>
      </c>
      <c r="K4612" s="29">
        <f>IFERROR(J4612*D4612,0)</f>
      </c>
      <c r="L4612" s="29">
        <f>IFERROR(E4612*C4612,0)</f>
      </c>
      <c r="M4612" s="29">
        <f>IFERROR((G4612*H4612*I4612/1000000)*D4612,0)</f>
      </c>
    </row>
    <row r="4613" spans="1:13" x14ac:dyDescent="0.25">
      <c r="A4613" s="16"/>
      <c r="E4613" s="27"/>
      <c r="F4613" t="s">
        <v>26</v>
      </c>
      <c r="G4613" s="28">
        <f>IFERROR(VLOOKUP(F4613,CARTON_LOOKUP!$A:$E,3,0),"")</f>
      </c>
      <c r="H4613" s="28">
        <f>IFERROR(VLOOKUP(F4613,CARTON_LOOKUP!$A:$E,4,0),"")</f>
      </c>
      <c r="I4613" s="28">
        <f>IFERROR(VLOOKUP(F4613,CARTON_LOOKUP!$A:$E,5,0),"")</f>
      </c>
      <c r="J4613" s="29">
        <f>IFERROR(VLOOKUP(F4613,CARTON_LOOKUP!$A:$E,2,0),"")</f>
      </c>
      <c r="K4613" s="29">
        <f>IFERROR(J4613*D4613,0)</f>
      </c>
      <c r="L4613" s="29">
        <f>IFERROR(E4613*C4613,0)</f>
      </c>
      <c r="M4613" s="29">
        <f>IFERROR((G4613*H4613*I4613/1000000)*D4613,0)</f>
      </c>
    </row>
    <row r="4614" spans="1:13" x14ac:dyDescent="0.25">
      <c r="A4614" s="16"/>
      <c r="E4614" s="27"/>
      <c r="F4614" t="s">
        <v>26</v>
      </c>
      <c r="G4614" s="28">
        <f>IFERROR(VLOOKUP(F4614,CARTON_LOOKUP!$A:$E,3,0),"")</f>
      </c>
      <c r="H4614" s="28">
        <f>IFERROR(VLOOKUP(F4614,CARTON_LOOKUP!$A:$E,4,0),"")</f>
      </c>
      <c r="I4614" s="28">
        <f>IFERROR(VLOOKUP(F4614,CARTON_LOOKUP!$A:$E,5,0),"")</f>
      </c>
      <c r="J4614" s="29">
        <f>IFERROR(VLOOKUP(F4614,CARTON_LOOKUP!$A:$E,2,0),"")</f>
      </c>
      <c r="K4614" s="29">
        <f>IFERROR(J4614*D4614,0)</f>
      </c>
      <c r="L4614" s="29">
        <f>IFERROR(E4614*C4614,0)</f>
      </c>
      <c r="M4614" s="29">
        <f>IFERROR((G4614*H4614*I4614/1000000)*D4614,0)</f>
      </c>
    </row>
    <row r="4615" spans="1:13" x14ac:dyDescent="0.25">
      <c r="A4615" s="16"/>
      <c r="E4615" s="27"/>
      <c r="F4615" t="s">
        <v>26</v>
      </c>
      <c r="G4615" s="28">
        <f>IFERROR(VLOOKUP(F4615,CARTON_LOOKUP!$A:$E,3,0),"")</f>
      </c>
      <c r="H4615" s="28">
        <f>IFERROR(VLOOKUP(F4615,CARTON_LOOKUP!$A:$E,4,0),"")</f>
      </c>
      <c r="I4615" s="28">
        <f>IFERROR(VLOOKUP(F4615,CARTON_LOOKUP!$A:$E,5,0),"")</f>
      </c>
      <c r="J4615" s="29">
        <f>IFERROR(VLOOKUP(F4615,CARTON_LOOKUP!$A:$E,2,0),"")</f>
      </c>
      <c r="K4615" s="29">
        <f>IFERROR(J4615*D4615,0)</f>
      </c>
      <c r="L4615" s="29">
        <f>IFERROR(E4615*C4615,0)</f>
      </c>
      <c r="M4615" s="29">
        <f>IFERROR((G4615*H4615*I4615/1000000)*D4615,0)</f>
      </c>
    </row>
    <row r="4616" spans="1:13" x14ac:dyDescent="0.25">
      <c r="A4616" s="16"/>
      <c r="E4616" s="27"/>
      <c r="F4616" t="s">
        <v>26</v>
      </c>
      <c r="G4616" s="28">
        <f>IFERROR(VLOOKUP(F4616,CARTON_LOOKUP!$A:$E,3,0),"")</f>
      </c>
      <c r="H4616" s="28">
        <f>IFERROR(VLOOKUP(F4616,CARTON_LOOKUP!$A:$E,4,0),"")</f>
      </c>
      <c r="I4616" s="28">
        <f>IFERROR(VLOOKUP(F4616,CARTON_LOOKUP!$A:$E,5,0),"")</f>
      </c>
      <c r="J4616" s="29">
        <f>IFERROR(VLOOKUP(F4616,CARTON_LOOKUP!$A:$E,2,0),"")</f>
      </c>
      <c r="K4616" s="29">
        <f>IFERROR(J4616*D4616,0)</f>
      </c>
      <c r="L4616" s="29">
        <f>IFERROR(E4616*C4616,0)</f>
      </c>
      <c r="M4616" s="29">
        <f>IFERROR((G4616*H4616*I4616/1000000)*D4616,0)</f>
      </c>
    </row>
    <row r="4617" spans="1:13" x14ac:dyDescent="0.25">
      <c r="A4617" s="16"/>
      <c r="E4617" s="27"/>
      <c r="F4617" t="s">
        <v>26</v>
      </c>
      <c r="G4617" s="28">
        <f>IFERROR(VLOOKUP(F4617,CARTON_LOOKUP!$A:$E,3,0),"")</f>
      </c>
      <c r="H4617" s="28">
        <f>IFERROR(VLOOKUP(F4617,CARTON_LOOKUP!$A:$E,4,0),"")</f>
      </c>
      <c r="I4617" s="28">
        <f>IFERROR(VLOOKUP(F4617,CARTON_LOOKUP!$A:$E,5,0),"")</f>
      </c>
      <c r="J4617" s="29">
        <f>IFERROR(VLOOKUP(F4617,CARTON_LOOKUP!$A:$E,2,0),"")</f>
      </c>
      <c r="K4617" s="29">
        <f>IFERROR(J4617*D4617,0)</f>
      </c>
      <c r="L4617" s="29">
        <f>IFERROR(E4617*C4617,0)</f>
      </c>
      <c r="M4617" s="29">
        <f>IFERROR((G4617*H4617*I4617/1000000)*D4617,0)</f>
      </c>
    </row>
    <row r="4618" spans="1:13" x14ac:dyDescent="0.25">
      <c r="A4618" s="16"/>
      <c r="E4618" s="27"/>
      <c r="F4618" t="s">
        <v>26</v>
      </c>
      <c r="G4618" s="28">
        <f>IFERROR(VLOOKUP(F4618,CARTON_LOOKUP!$A:$E,3,0),"")</f>
      </c>
      <c r="H4618" s="28">
        <f>IFERROR(VLOOKUP(F4618,CARTON_LOOKUP!$A:$E,4,0),"")</f>
      </c>
      <c r="I4618" s="28">
        <f>IFERROR(VLOOKUP(F4618,CARTON_LOOKUP!$A:$E,5,0),"")</f>
      </c>
      <c r="J4618" s="29">
        <f>IFERROR(VLOOKUP(F4618,CARTON_LOOKUP!$A:$E,2,0),"")</f>
      </c>
      <c r="K4618" s="29">
        <f>IFERROR(J4618*D4618,0)</f>
      </c>
      <c r="L4618" s="29">
        <f>IFERROR(E4618*C4618,0)</f>
      </c>
      <c r="M4618" s="29">
        <f>IFERROR((G4618*H4618*I4618/1000000)*D4618,0)</f>
      </c>
    </row>
    <row r="4619" spans="1:13" x14ac:dyDescent="0.25">
      <c r="A4619" s="16"/>
      <c r="E4619" s="27"/>
      <c r="F4619" t="s">
        <v>26</v>
      </c>
      <c r="G4619" s="28">
        <f>IFERROR(VLOOKUP(F4619,CARTON_LOOKUP!$A:$E,3,0),"")</f>
      </c>
      <c r="H4619" s="28">
        <f>IFERROR(VLOOKUP(F4619,CARTON_LOOKUP!$A:$E,4,0),"")</f>
      </c>
      <c r="I4619" s="28">
        <f>IFERROR(VLOOKUP(F4619,CARTON_LOOKUP!$A:$E,5,0),"")</f>
      </c>
      <c r="J4619" s="29">
        <f>IFERROR(VLOOKUP(F4619,CARTON_LOOKUP!$A:$E,2,0),"")</f>
      </c>
      <c r="K4619" s="29">
        <f>IFERROR(J4619*D4619,0)</f>
      </c>
      <c r="L4619" s="29">
        <f>IFERROR(E4619*C4619,0)</f>
      </c>
      <c r="M4619" s="29">
        <f>IFERROR((G4619*H4619*I4619/1000000)*D4619,0)</f>
      </c>
    </row>
    <row r="4620" spans="1:13" x14ac:dyDescent="0.25">
      <c r="A4620" s="16"/>
      <c r="E4620" s="27"/>
      <c r="F4620" t="s">
        <v>26</v>
      </c>
      <c r="G4620" s="28">
        <f>IFERROR(VLOOKUP(F4620,CARTON_LOOKUP!$A:$E,3,0),"")</f>
      </c>
      <c r="H4620" s="28">
        <f>IFERROR(VLOOKUP(F4620,CARTON_LOOKUP!$A:$E,4,0),"")</f>
      </c>
      <c r="I4620" s="28">
        <f>IFERROR(VLOOKUP(F4620,CARTON_LOOKUP!$A:$E,5,0),"")</f>
      </c>
      <c r="J4620" s="29">
        <f>IFERROR(VLOOKUP(F4620,CARTON_LOOKUP!$A:$E,2,0),"")</f>
      </c>
      <c r="K4620" s="29">
        <f>IFERROR(J4620*D4620,0)</f>
      </c>
      <c r="L4620" s="29">
        <f>IFERROR(E4620*C4620,0)</f>
      </c>
      <c r="M4620" s="29">
        <f>IFERROR((G4620*H4620*I4620/1000000)*D4620,0)</f>
      </c>
    </row>
    <row r="4621" spans="1:13" x14ac:dyDescent="0.25">
      <c r="A4621" s="16"/>
      <c r="E4621" s="27"/>
      <c r="F4621" t="s">
        <v>26</v>
      </c>
      <c r="G4621" s="28">
        <f>IFERROR(VLOOKUP(F4621,CARTON_LOOKUP!$A:$E,3,0),"")</f>
      </c>
      <c r="H4621" s="28">
        <f>IFERROR(VLOOKUP(F4621,CARTON_LOOKUP!$A:$E,4,0),"")</f>
      </c>
      <c r="I4621" s="28">
        <f>IFERROR(VLOOKUP(F4621,CARTON_LOOKUP!$A:$E,5,0),"")</f>
      </c>
      <c r="J4621" s="29">
        <f>IFERROR(VLOOKUP(F4621,CARTON_LOOKUP!$A:$E,2,0),"")</f>
      </c>
      <c r="K4621" s="29">
        <f>IFERROR(J4621*D4621,0)</f>
      </c>
      <c r="L4621" s="29">
        <f>IFERROR(E4621*C4621,0)</f>
      </c>
      <c r="M4621" s="29">
        <f>IFERROR((G4621*H4621*I4621/1000000)*D4621,0)</f>
      </c>
    </row>
    <row r="4622" spans="1:13" x14ac:dyDescent="0.25">
      <c r="A4622" s="16"/>
      <c r="E4622" s="27"/>
      <c r="F4622" t="s">
        <v>26</v>
      </c>
      <c r="G4622" s="28">
        <f>IFERROR(VLOOKUP(F4622,CARTON_LOOKUP!$A:$E,3,0),"")</f>
      </c>
      <c r="H4622" s="28">
        <f>IFERROR(VLOOKUP(F4622,CARTON_LOOKUP!$A:$E,4,0),"")</f>
      </c>
      <c r="I4622" s="28">
        <f>IFERROR(VLOOKUP(F4622,CARTON_LOOKUP!$A:$E,5,0),"")</f>
      </c>
      <c r="J4622" s="29">
        <f>IFERROR(VLOOKUP(F4622,CARTON_LOOKUP!$A:$E,2,0),"")</f>
      </c>
      <c r="K4622" s="29">
        <f>IFERROR(J4622*D4622,0)</f>
      </c>
      <c r="L4622" s="29">
        <f>IFERROR(E4622*C4622,0)</f>
      </c>
      <c r="M4622" s="29">
        <f>IFERROR((G4622*H4622*I4622/1000000)*D4622,0)</f>
      </c>
    </row>
    <row r="4623" spans="1:13" x14ac:dyDescent="0.25">
      <c r="A4623" s="16"/>
      <c r="E4623" s="27"/>
      <c r="F4623" t="s">
        <v>26</v>
      </c>
      <c r="G4623" s="28">
        <f>IFERROR(VLOOKUP(F4623,CARTON_LOOKUP!$A:$E,3,0),"")</f>
      </c>
      <c r="H4623" s="28">
        <f>IFERROR(VLOOKUP(F4623,CARTON_LOOKUP!$A:$E,4,0),"")</f>
      </c>
      <c r="I4623" s="28">
        <f>IFERROR(VLOOKUP(F4623,CARTON_LOOKUP!$A:$E,5,0),"")</f>
      </c>
      <c r="J4623" s="29">
        <f>IFERROR(VLOOKUP(F4623,CARTON_LOOKUP!$A:$E,2,0),"")</f>
      </c>
      <c r="K4623" s="29">
        <f>IFERROR(J4623*D4623,0)</f>
      </c>
      <c r="L4623" s="29">
        <f>IFERROR(E4623*C4623,0)</f>
      </c>
      <c r="M4623" s="29">
        <f>IFERROR((G4623*H4623*I4623/1000000)*D4623,0)</f>
      </c>
    </row>
    <row r="4624" spans="1:13" x14ac:dyDescent="0.25">
      <c r="A4624" s="16"/>
      <c r="E4624" s="27"/>
      <c r="F4624" t="s">
        <v>26</v>
      </c>
      <c r="G4624" s="28">
        <f>IFERROR(VLOOKUP(F4624,CARTON_LOOKUP!$A:$E,3,0),"")</f>
      </c>
      <c r="H4624" s="28">
        <f>IFERROR(VLOOKUP(F4624,CARTON_LOOKUP!$A:$E,4,0),"")</f>
      </c>
      <c r="I4624" s="28">
        <f>IFERROR(VLOOKUP(F4624,CARTON_LOOKUP!$A:$E,5,0),"")</f>
      </c>
      <c r="J4624" s="29">
        <f>IFERROR(VLOOKUP(F4624,CARTON_LOOKUP!$A:$E,2,0),"")</f>
      </c>
      <c r="K4624" s="29">
        <f>IFERROR(J4624*D4624,0)</f>
      </c>
      <c r="L4624" s="29">
        <f>IFERROR(E4624*C4624,0)</f>
      </c>
      <c r="M4624" s="29">
        <f>IFERROR((G4624*H4624*I4624/1000000)*D4624,0)</f>
      </c>
    </row>
    <row r="4625" spans="1:13" x14ac:dyDescent="0.25">
      <c r="A4625" s="16"/>
      <c r="E4625" s="27"/>
      <c r="F4625" t="s">
        <v>26</v>
      </c>
      <c r="G4625" s="28">
        <f>IFERROR(VLOOKUP(F4625,CARTON_LOOKUP!$A:$E,3,0),"")</f>
      </c>
      <c r="H4625" s="28">
        <f>IFERROR(VLOOKUP(F4625,CARTON_LOOKUP!$A:$E,4,0),"")</f>
      </c>
      <c r="I4625" s="28">
        <f>IFERROR(VLOOKUP(F4625,CARTON_LOOKUP!$A:$E,5,0),"")</f>
      </c>
      <c r="J4625" s="29">
        <f>IFERROR(VLOOKUP(F4625,CARTON_LOOKUP!$A:$E,2,0),"")</f>
      </c>
      <c r="K4625" s="29">
        <f>IFERROR(J4625*D4625,0)</f>
      </c>
      <c r="L4625" s="29">
        <f>IFERROR(E4625*C4625,0)</f>
      </c>
      <c r="M4625" s="29">
        <f>IFERROR((G4625*H4625*I4625/1000000)*D4625,0)</f>
      </c>
    </row>
    <row r="4626" spans="1:13" x14ac:dyDescent="0.25">
      <c r="A4626" s="16"/>
      <c r="E4626" s="27"/>
      <c r="F4626" t="s">
        <v>26</v>
      </c>
      <c r="G4626" s="28">
        <f>IFERROR(VLOOKUP(F4626,CARTON_LOOKUP!$A:$E,3,0),"")</f>
      </c>
      <c r="H4626" s="28">
        <f>IFERROR(VLOOKUP(F4626,CARTON_LOOKUP!$A:$E,4,0),"")</f>
      </c>
      <c r="I4626" s="28">
        <f>IFERROR(VLOOKUP(F4626,CARTON_LOOKUP!$A:$E,5,0),"")</f>
      </c>
      <c r="J4626" s="29">
        <f>IFERROR(VLOOKUP(F4626,CARTON_LOOKUP!$A:$E,2,0),"")</f>
      </c>
      <c r="K4626" s="29">
        <f>IFERROR(J4626*D4626,0)</f>
      </c>
      <c r="L4626" s="29">
        <f>IFERROR(E4626*C4626,0)</f>
      </c>
      <c r="M4626" s="29">
        <f>IFERROR((G4626*H4626*I4626/1000000)*D4626,0)</f>
      </c>
    </row>
    <row r="4627" spans="1:13" x14ac:dyDescent="0.25">
      <c r="A4627" s="16"/>
      <c r="E4627" s="27"/>
      <c r="F4627" t="s">
        <v>26</v>
      </c>
      <c r="G4627" s="28">
        <f>IFERROR(VLOOKUP(F4627,CARTON_LOOKUP!$A:$E,3,0),"")</f>
      </c>
      <c r="H4627" s="28">
        <f>IFERROR(VLOOKUP(F4627,CARTON_LOOKUP!$A:$E,4,0),"")</f>
      </c>
      <c r="I4627" s="28">
        <f>IFERROR(VLOOKUP(F4627,CARTON_LOOKUP!$A:$E,5,0),"")</f>
      </c>
      <c r="J4627" s="29">
        <f>IFERROR(VLOOKUP(F4627,CARTON_LOOKUP!$A:$E,2,0),"")</f>
      </c>
      <c r="K4627" s="29">
        <f>IFERROR(J4627*D4627,0)</f>
      </c>
      <c r="L4627" s="29">
        <f>IFERROR(E4627*C4627,0)</f>
      </c>
      <c r="M4627" s="29">
        <f>IFERROR((G4627*H4627*I4627/1000000)*D4627,0)</f>
      </c>
    </row>
    <row r="4628" spans="1:13" x14ac:dyDescent="0.25">
      <c r="A4628" s="16"/>
      <c r="E4628" s="27"/>
      <c r="F4628" t="s">
        <v>26</v>
      </c>
      <c r="G4628" s="28">
        <f>IFERROR(VLOOKUP(F4628,CARTON_LOOKUP!$A:$E,3,0),"")</f>
      </c>
      <c r="H4628" s="28">
        <f>IFERROR(VLOOKUP(F4628,CARTON_LOOKUP!$A:$E,4,0),"")</f>
      </c>
      <c r="I4628" s="28">
        <f>IFERROR(VLOOKUP(F4628,CARTON_LOOKUP!$A:$E,5,0),"")</f>
      </c>
      <c r="J4628" s="29">
        <f>IFERROR(VLOOKUP(F4628,CARTON_LOOKUP!$A:$E,2,0),"")</f>
      </c>
      <c r="K4628" s="29">
        <f>IFERROR(J4628*D4628,0)</f>
      </c>
      <c r="L4628" s="29">
        <f>IFERROR(E4628*C4628,0)</f>
      </c>
      <c r="M4628" s="29">
        <f>IFERROR((G4628*H4628*I4628/1000000)*D4628,0)</f>
      </c>
    </row>
    <row r="4629" spans="1:13" x14ac:dyDescent="0.25">
      <c r="A4629" s="16"/>
      <c r="E4629" s="27"/>
      <c r="F4629" t="s">
        <v>26</v>
      </c>
      <c r="G4629" s="28">
        <f>IFERROR(VLOOKUP(F4629,CARTON_LOOKUP!$A:$E,3,0),"")</f>
      </c>
      <c r="H4629" s="28">
        <f>IFERROR(VLOOKUP(F4629,CARTON_LOOKUP!$A:$E,4,0),"")</f>
      </c>
      <c r="I4629" s="28">
        <f>IFERROR(VLOOKUP(F4629,CARTON_LOOKUP!$A:$E,5,0),"")</f>
      </c>
      <c r="J4629" s="29">
        <f>IFERROR(VLOOKUP(F4629,CARTON_LOOKUP!$A:$E,2,0),"")</f>
      </c>
      <c r="K4629" s="29">
        <f>IFERROR(J4629*D4629,0)</f>
      </c>
      <c r="L4629" s="29">
        <f>IFERROR(E4629*C4629,0)</f>
      </c>
      <c r="M4629" s="29">
        <f>IFERROR((G4629*H4629*I4629/1000000)*D4629,0)</f>
      </c>
    </row>
    <row r="4630" spans="1:13" x14ac:dyDescent="0.25">
      <c r="A4630" s="16"/>
      <c r="E4630" s="27"/>
      <c r="F4630" t="s">
        <v>26</v>
      </c>
      <c r="G4630" s="28">
        <f>IFERROR(VLOOKUP(F4630,CARTON_LOOKUP!$A:$E,3,0),"")</f>
      </c>
      <c r="H4630" s="28">
        <f>IFERROR(VLOOKUP(F4630,CARTON_LOOKUP!$A:$E,4,0),"")</f>
      </c>
      <c r="I4630" s="28">
        <f>IFERROR(VLOOKUP(F4630,CARTON_LOOKUP!$A:$E,5,0),"")</f>
      </c>
      <c r="J4630" s="29">
        <f>IFERROR(VLOOKUP(F4630,CARTON_LOOKUP!$A:$E,2,0),"")</f>
      </c>
      <c r="K4630" s="29">
        <f>IFERROR(J4630*D4630,0)</f>
      </c>
      <c r="L4630" s="29">
        <f>IFERROR(E4630*C4630,0)</f>
      </c>
      <c r="M4630" s="29">
        <f>IFERROR((G4630*H4630*I4630/1000000)*D4630,0)</f>
      </c>
    </row>
    <row r="4631" spans="1:13" x14ac:dyDescent="0.25">
      <c r="A4631" s="16"/>
      <c r="E4631" s="27"/>
      <c r="F4631" t="s">
        <v>26</v>
      </c>
      <c r="G4631" s="28">
        <f>IFERROR(VLOOKUP(F4631,CARTON_LOOKUP!$A:$E,3,0),"")</f>
      </c>
      <c r="H4631" s="28">
        <f>IFERROR(VLOOKUP(F4631,CARTON_LOOKUP!$A:$E,4,0),"")</f>
      </c>
      <c r="I4631" s="28">
        <f>IFERROR(VLOOKUP(F4631,CARTON_LOOKUP!$A:$E,5,0),"")</f>
      </c>
      <c r="J4631" s="29">
        <f>IFERROR(VLOOKUP(F4631,CARTON_LOOKUP!$A:$E,2,0),"")</f>
      </c>
      <c r="K4631" s="29">
        <f>IFERROR(J4631*D4631,0)</f>
      </c>
      <c r="L4631" s="29">
        <f>IFERROR(E4631*C4631,0)</f>
      </c>
      <c r="M4631" s="29">
        <f>IFERROR((G4631*H4631*I4631/1000000)*D4631,0)</f>
      </c>
    </row>
    <row r="4632" spans="1:13" x14ac:dyDescent="0.25">
      <c r="A4632" s="16"/>
      <c r="E4632" s="27"/>
      <c r="F4632" t="s">
        <v>26</v>
      </c>
      <c r="G4632" s="28">
        <f>IFERROR(VLOOKUP(F4632,CARTON_LOOKUP!$A:$E,3,0),"")</f>
      </c>
      <c r="H4632" s="28">
        <f>IFERROR(VLOOKUP(F4632,CARTON_LOOKUP!$A:$E,4,0),"")</f>
      </c>
      <c r="I4632" s="28">
        <f>IFERROR(VLOOKUP(F4632,CARTON_LOOKUP!$A:$E,5,0),"")</f>
      </c>
      <c r="J4632" s="29">
        <f>IFERROR(VLOOKUP(F4632,CARTON_LOOKUP!$A:$E,2,0),"")</f>
      </c>
      <c r="K4632" s="29">
        <f>IFERROR(J4632*D4632,0)</f>
      </c>
      <c r="L4632" s="29">
        <f>IFERROR(E4632*C4632,0)</f>
      </c>
      <c r="M4632" s="29">
        <f>IFERROR((G4632*H4632*I4632/1000000)*D4632,0)</f>
      </c>
    </row>
    <row r="4633" spans="1:13" x14ac:dyDescent="0.25">
      <c r="A4633" s="16"/>
      <c r="E4633" s="27"/>
      <c r="F4633" t="s">
        <v>26</v>
      </c>
      <c r="G4633" s="28">
        <f>IFERROR(VLOOKUP(F4633,CARTON_LOOKUP!$A:$E,3,0),"")</f>
      </c>
      <c r="H4633" s="28">
        <f>IFERROR(VLOOKUP(F4633,CARTON_LOOKUP!$A:$E,4,0),"")</f>
      </c>
      <c r="I4633" s="28">
        <f>IFERROR(VLOOKUP(F4633,CARTON_LOOKUP!$A:$E,5,0),"")</f>
      </c>
      <c r="J4633" s="29">
        <f>IFERROR(VLOOKUP(F4633,CARTON_LOOKUP!$A:$E,2,0),"")</f>
      </c>
      <c r="K4633" s="29">
        <f>IFERROR(J4633*D4633,0)</f>
      </c>
      <c r="L4633" s="29">
        <f>IFERROR(E4633*C4633,0)</f>
      </c>
      <c r="M4633" s="29">
        <f>IFERROR((G4633*H4633*I4633/1000000)*D4633,0)</f>
      </c>
    </row>
    <row r="4634" spans="1:13" x14ac:dyDescent="0.25">
      <c r="A4634" s="16"/>
      <c r="E4634" s="27"/>
      <c r="F4634" t="s">
        <v>26</v>
      </c>
      <c r="G4634" s="28">
        <f>IFERROR(VLOOKUP(F4634,CARTON_LOOKUP!$A:$E,3,0),"")</f>
      </c>
      <c r="H4634" s="28">
        <f>IFERROR(VLOOKUP(F4634,CARTON_LOOKUP!$A:$E,4,0),"")</f>
      </c>
      <c r="I4634" s="28">
        <f>IFERROR(VLOOKUP(F4634,CARTON_LOOKUP!$A:$E,5,0),"")</f>
      </c>
      <c r="J4634" s="29">
        <f>IFERROR(VLOOKUP(F4634,CARTON_LOOKUP!$A:$E,2,0),"")</f>
      </c>
      <c r="K4634" s="29">
        <f>IFERROR(J4634*D4634,0)</f>
      </c>
      <c r="L4634" s="29">
        <f>IFERROR(E4634*C4634,0)</f>
      </c>
      <c r="M4634" s="29">
        <f>IFERROR((G4634*H4634*I4634/1000000)*D4634,0)</f>
      </c>
    </row>
    <row r="4635" spans="1:13" x14ac:dyDescent="0.25">
      <c r="A4635" s="16"/>
      <c r="E4635" s="27"/>
      <c r="F4635" t="s">
        <v>26</v>
      </c>
      <c r="G4635" s="28">
        <f>IFERROR(VLOOKUP(F4635,CARTON_LOOKUP!$A:$E,3,0),"")</f>
      </c>
      <c r="H4635" s="28">
        <f>IFERROR(VLOOKUP(F4635,CARTON_LOOKUP!$A:$E,4,0),"")</f>
      </c>
      <c r="I4635" s="28">
        <f>IFERROR(VLOOKUP(F4635,CARTON_LOOKUP!$A:$E,5,0),"")</f>
      </c>
      <c r="J4635" s="29">
        <f>IFERROR(VLOOKUP(F4635,CARTON_LOOKUP!$A:$E,2,0),"")</f>
      </c>
      <c r="K4635" s="29">
        <f>IFERROR(J4635*D4635,0)</f>
      </c>
      <c r="L4635" s="29">
        <f>IFERROR(E4635*C4635,0)</f>
      </c>
      <c r="M4635" s="29">
        <f>IFERROR((G4635*H4635*I4635/1000000)*D4635,0)</f>
      </c>
    </row>
    <row r="4636" spans="1:13" x14ac:dyDescent="0.25">
      <c r="A4636" s="16"/>
      <c r="E4636" s="27"/>
      <c r="F4636" t="s">
        <v>26</v>
      </c>
      <c r="G4636" s="28">
        <f>IFERROR(VLOOKUP(F4636,CARTON_LOOKUP!$A:$E,3,0),"")</f>
      </c>
      <c r="H4636" s="28">
        <f>IFERROR(VLOOKUP(F4636,CARTON_LOOKUP!$A:$E,4,0),"")</f>
      </c>
      <c r="I4636" s="28">
        <f>IFERROR(VLOOKUP(F4636,CARTON_LOOKUP!$A:$E,5,0),"")</f>
      </c>
      <c r="J4636" s="29">
        <f>IFERROR(VLOOKUP(F4636,CARTON_LOOKUP!$A:$E,2,0),"")</f>
      </c>
      <c r="K4636" s="29">
        <f>IFERROR(J4636*D4636,0)</f>
      </c>
      <c r="L4636" s="29">
        <f>IFERROR(E4636*C4636,0)</f>
      </c>
      <c r="M4636" s="29">
        <f>IFERROR((G4636*H4636*I4636/1000000)*D4636,0)</f>
      </c>
    </row>
    <row r="4637" spans="1:13" x14ac:dyDescent="0.25">
      <c r="A4637" s="16"/>
      <c r="E4637" s="27"/>
      <c r="F4637" t="s">
        <v>26</v>
      </c>
      <c r="G4637" s="28">
        <f>IFERROR(VLOOKUP(F4637,CARTON_LOOKUP!$A:$E,3,0),"")</f>
      </c>
      <c r="H4637" s="28">
        <f>IFERROR(VLOOKUP(F4637,CARTON_LOOKUP!$A:$E,4,0),"")</f>
      </c>
      <c r="I4637" s="28">
        <f>IFERROR(VLOOKUP(F4637,CARTON_LOOKUP!$A:$E,5,0),"")</f>
      </c>
      <c r="J4637" s="29">
        <f>IFERROR(VLOOKUP(F4637,CARTON_LOOKUP!$A:$E,2,0),"")</f>
      </c>
      <c r="K4637" s="29">
        <f>IFERROR(J4637*D4637,0)</f>
      </c>
      <c r="L4637" s="29">
        <f>IFERROR(E4637*C4637,0)</f>
      </c>
      <c r="M4637" s="29">
        <f>IFERROR((G4637*H4637*I4637/1000000)*D4637,0)</f>
      </c>
    </row>
    <row r="4638" spans="1:13" x14ac:dyDescent="0.25">
      <c r="A4638" s="16"/>
      <c r="E4638" s="27"/>
      <c r="F4638" t="s">
        <v>26</v>
      </c>
      <c r="G4638" s="28">
        <f>IFERROR(VLOOKUP(F4638,CARTON_LOOKUP!$A:$E,3,0),"")</f>
      </c>
      <c r="H4638" s="28">
        <f>IFERROR(VLOOKUP(F4638,CARTON_LOOKUP!$A:$E,4,0),"")</f>
      </c>
      <c r="I4638" s="28">
        <f>IFERROR(VLOOKUP(F4638,CARTON_LOOKUP!$A:$E,5,0),"")</f>
      </c>
      <c r="J4638" s="29">
        <f>IFERROR(VLOOKUP(F4638,CARTON_LOOKUP!$A:$E,2,0),"")</f>
      </c>
      <c r="K4638" s="29">
        <f>IFERROR(J4638*D4638,0)</f>
      </c>
      <c r="L4638" s="29">
        <f>IFERROR(E4638*C4638,0)</f>
      </c>
      <c r="M4638" s="29">
        <f>IFERROR((G4638*H4638*I4638/1000000)*D4638,0)</f>
      </c>
    </row>
    <row r="4639" spans="1:13" x14ac:dyDescent="0.25">
      <c r="A4639" s="16"/>
      <c r="E4639" s="27"/>
      <c r="F4639" t="s">
        <v>26</v>
      </c>
      <c r="G4639" s="28">
        <f>IFERROR(VLOOKUP(F4639,CARTON_LOOKUP!$A:$E,3,0),"")</f>
      </c>
      <c r="H4639" s="28">
        <f>IFERROR(VLOOKUP(F4639,CARTON_LOOKUP!$A:$E,4,0),"")</f>
      </c>
      <c r="I4639" s="28">
        <f>IFERROR(VLOOKUP(F4639,CARTON_LOOKUP!$A:$E,5,0),"")</f>
      </c>
      <c r="J4639" s="29">
        <f>IFERROR(VLOOKUP(F4639,CARTON_LOOKUP!$A:$E,2,0),"")</f>
      </c>
      <c r="K4639" s="29">
        <f>IFERROR(J4639*D4639,0)</f>
      </c>
      <c r="L4639" s="29">
        <f>IFERROR(E4639*C4639,0)</f>
      </c>
      <c r="M4639" s="29">
        <f>IFERROR((G4639*H4639*I4639/1000000)*D4639,0)</f>
      </c>
    </row>
    <row r="4640" spans="1:13" x14ac:dyDescent="0.25">
      <c r="A4640" s="16"/>
      <c r="E4640" s="27"/>
      <c r="F4640" t="s">
        <v>26</v>
      </c>
      <c r="G4640" s="28">
        <f>IFERROR(VLOOKUP(F4640,CARTON_LOOKUP!$A:$E,3,0),"")</f>
      </c>
      <c r="H4640" s="28">
        <f>IFERROR(VLOOKUP(F4640,CARTON_LOOKUP!$A:$E,4,0),"")</f>
      </c>
      <c r="I4640" s="28">
        <f>IFERROR(VLOOKUP(F4640,CARTON_LOOKUP!$A:$E,5,0),"")</f>
      </c>
      <c r="J4640" s="29">
        <f>IFERROR(VLOOKUP(F4640,CARTON_LOOKUP!$A:$E,2,0),"")</f>
      </c>
      <c r="K4640" s="29">
        <f>IFERROR(J4640*D4640,0)</f>
      </c>
      <c r="L4640" s="29">
        <f>IFERROR(E4640*C4640,0)</f>
      </c>
      <c r="M4640" s="29">
        <f>IFERROR((G4640*H4640*I4640/1000000)*D4640,0)</f>
      </c>
    </row>
    <row r="4641" spans="1:13" x14ac:dyDescent="0.25">
      <c r="A4641" s="16"/>
      <c r="E4641" s="27"/>
      <c r="F4641" t="s">
        <v>26</v>
      </c>
      <c r="G4641" s="28">
        <f>IFERROR(VLOOKUP(F4641,CARTON_LOOKUP!$A:$E,3,0),"")</f>
      </c>
      <c r="H4641" s="28">
        <f>IFERROR(VLOOKUP(F4641,CARTON_LOOKUP!$A:$E,4,0),"")</f>
      </c>
      <c r="I4641" s="28">
        <f>IFERROR(VLOOKUP(F4641,CARTON_LOOKUP!$A:$E,5,0),"")</f>
      </c>
      <c r="J4641" s="29">
        <f>IFERROR(VLOOKUP(F4641,CARTON_LOOKUP!$A:$E,2,0),"")</f>
      </c>
      <c r="K4641" s="29">
        <f>IFERROR(J4641*D4641,0)</f>
      </c>
      <c r="L4641" s="29">
        <f>IFERROR(E4641*C4641,0)</f>
      </c>
      <c r="M4641" s="29">
        <f>IFERROR((G4641*H4641*I4641/1000000)*D4641,0)</f>
      </c>
    </row>
    <row r="4642" spans="1:13" x14ac:dyDescent="0.25">
      <c r="A4642" s="16"/>
      <c r="E4642" s="27"/>
      <c r="F4642" t="s">
        <v>26</v>
      </c>
      <c r="G4642" s="28">
        <f>IFERROR(VLOOKUP(F4642,CARTON_LOOKUP!$A:$E,3,0),"")</f>
      </c>
      <c r="H4642" s="28">
        <f>IFERROR(VLOOKUP(F4642,CARTON_LOOKUP!$A:$E,4,0),"")</f>
      </c>
      <c r="I4642" s="28">
        <f>IFERROR(VLOOKUP(F4642,CARTON_LOOKUP!$A:$E,5,0),"")</f>
      </c>
      <c r="J4642" s="29">
        <f>IFERROR(VLOOKUP(F4642,CARTON_LOOKUP!$A:$E,2,0),"")</f>
      </c>
      <c r="K4642" s="29">
        <f>IFERROR(J4642*D4642,0)</f>
      </c>
      <c r="L4642" s="29">
        <f>IFERROR(E4642*C4642,0)</f>
      </c>
      <c r="M4642" s="29">
        <f>IFERROR((G4642*H4642*I4642/1000000)*D4642,0)</f>
      </c>
    </row>
    <row r="4643" spans="1:13" x14ac:dyDescent="0.25">
      <c r="A4643" s="16"/>
      <c r="E4643" s="27"/>
      <c r="F4643" t="s">
        <v>26</v>
      </c>
      <c r="G4643" s="28">
        <f>IFERROR(VLOOKUP(F4643,CARTON_LOOKUP!$A:$E,3,0),"")</f>
      </c>
      <c r="H4643" s="28">
        <f>IFERROR(VLOOKUP(F4643,CARTON_LOOKUP!$A:$E,4,0),"")</f>
      </c>
      <c r="I4643" s="28">
        <f>IFERROR(VLOOKUP(F4643,CARTON_LOOKUP!$A:$E,5,0),"")</f>
      </c>
      <c r="J4643" s="29">
        <f>IFERROR(VLOOKUP(F4643,CARTON_LOOKUP!$A:$E,2,0),"")</f>
      </c>
      <c r="K4643" s="29">
        <f>IFERROR(J4643*D4643,0)</f>
      </c>
      <c r="L4643" s="29">
        <f>IFERROR(E4643*C4643,0)</f>
      </c>
      <c r="M4643" s="29">
        <f>IFERROR((G4643*H4643*I4643/1000000)*D4643,0)</f>
      </c>
    </row>
    <row r="4644" spans="1:13" x14ac:dyDescent="0.25">
      <c r="A4644" s="16"/>
      <c r="E4644" s="27"/>
      <c r="F4644" t="s">
        <v>26</v>
      </c>
      <c r="G4644" s="28">
        <f>IFERROR(VLOOKUP(F4644,CARTON_LOOKUP!$A:$E,3,0),"")</f>
      </c>
      <c r="H4644" s="28">
        <f>IFERROR(VLOOKUP(F4644,CARTON_LOOKUP!$A:$E,4,0),"")</f>
      </c>
      <c r="I4644" s="28">
        <f>IFERROR(VLOOKUP(F4644,CARTON_LOOKUP!$A:$E,5,0),"")</f>
      </c>
      <c r="J4644" s="29">
        <f>IFERROR(VLOOKUP(F4644,CARTON_LOOKUP!$A:$E,2,0),"")</f>
      </c>
      <c r="K4644" s="29">
        <f>IFERROR(J4644*D4644,0)</f>
      </c>
      <c r="L4644" s="29">
        <f>IFERROR(E4644*C4644,0)</f>
      </c>
      <c r="M4644" s="29">
        <f>IFERROR((G4644*H4644*I4644/1000000)*D4644,0)</f>
      </c>
    </row>
    <row r="4645" spans="1:13" x14ac:dyDescent="0.25">
      <c r="A4645" s="16"/>
      <c r="E4645" s="27"/>
      <c r="F4645" t="s">
        <v>26</v>
      </c>
      <c r="G4645" s="28">
        <f>IFERROR(VLOOKUP(F4645,CARTON_LOOKUP!$A:$E,3,0),"")</f>
      </c>
      <c r="H4645" s="28">
        <f>IFERROR(VLOOKUP(F4645,CARTON_LOOKUP!$A:$E,4,0),"")</f>
      </c>
      <c r="I4645" s="28">
        <f>IFERROR(VLOOKUP(F4645,CARTON_LOOKUP!$A:$E,5,0),"")</f>
      </c>
      <c r="J4645" s="29">
        <f>IFERROR(VLOOKUP(F4645,CARTON_LOOKUP!$A:$E,2,0),"")</f>
      </c>
      <c r="K4645" s="29">
        <f>IFERROR(J4645*D4645,0)</f>
      </c>
      <c r="L4645" s="29">
        <f>IFERROR(E4645*C4645,0)</f>
      </c>
      <c r="M4645" s="29">
        <f>IFERROR((G4645*H4645*I4645/1000000)*D4645,0)</f>
      </c>
    </row>
    <row r="4646" spans="1:13" x14ac:dyDescent="0.25">
      <c r="A4646" s="16"/>
      <c r="E4646" s="27"/>
      <c r="F4646" t="s">
        <v>26</v>
      </c>
      <c r="G4646" s="28">
        <f>IFERROR(VLOOKUP(F4646,CARTON_LOOKUP!$A:$E,3,0),"")</f>
      </c>
      <c r="H4646" s="28">
        <f>IFERROR(VLOOKUP(F4646,CARTON_LOOKUP!$A:$E,4,0),"")</f>
      </c>
      <c r="I4646" s="28">
        <f>IFERROR(VLOOKUP(F4646,CARTON_LOOKUP!$A:$E,5,0),"")</f>
      </c>
      <c r="J4646" s="29">
        <f>IFERROR(VLOOKUP(F4646,CARTON_LOOKUP!$A:$E,2,0),"")</f>
      </c>
      <c r="K4646" s="29">
        <f>IFERROR(J4646*D4646,0)</f>
      </c>
      <c r="L4646" s="29">
        <f>IFERROR(E4646*C4646,0)</f>
      </c>
      <c r="M4646" s="29">
        <f>IFERROR((G4646*H4646*I4646/1000000)*D4646,0)</f>
      </c>
    </row>
    <row r="4647" spans="1:13" x14ac:dyDescent="0.25">
      <c r="A4647" s="16"/>
      <c r="E4647" s="27"/>
      <c r="F4647" t="s">
        <v>26</v>
      </c>
      <c r="G4647" s="28">
        <f>IFERROR(VLOOKUP(F4647,CARTON_LOOKUP!$A:$E,3,0),"")</f>
      </c>
      <c r="H4647" s="28">
        <f>IFERROR(VLOOKUP(F4647,CARTON_LOOKUP!$A:$E,4,0),"")</f>
      </c>
      <c r="I4647" s="28">
        <f>IFERROR(VLOOKUP(F4647,CARTON_LOOKUP!$A:$E,5,0),"")</f>
      </c>
      <c r="J4647" s="29">
        <f>IFERROR(VLOOKUP(F4647,CARTON_LOOKUP!$A:$E,2,0),"")</f>
      </c>
      <c r="K4647" s="29">
        <f>IFERROR(J4647*D4647,0)</f>
      </c>
      <c r="L4647" s="29">
        <f>IFERROR(E4647*C4647,0)</f>
      </c>
      <c r="M4647" s="29">
        <f>IFERROR((G4647*H4647*I4647/1000000)*D4647,0)</f>
      </c>
    </row>
    <row r="4648" spans="1:13" x14ac:dyDescent="0.25">
      <c r="A4648" s="16"/>
      <c r="E4648" s="27"/>
      <c r="F4648" t="s">
        <v>26</v>
      </c>
      <c r="G4648" s="28">
        <f>IFERROR(VLOOKUP(F4648,CARTON_LOOKUP!$A:$E,3,0),"")</f>
      </c>
      <c r="H4648" s="28">
        <f>IFERROR(VLOOKUP(F4648,CARTON_LOOKUP!$A:$E,4,0),"")</f>
      </c>
      <c r="I4648" s="28">
        <f>IFERROR(VLOOKUP(F4648,CARTON_LOOKUP!$A:$E,5,0),"")</f>
      </c>
      <c r="J4648" s="29">
        <f>IFERROR(VLOOKUP(F4648,CARTON_LOOKUP!$A:$E,2,0),"")</f>
      </c>
      <c r="K4648" s="29">
        <f>IFERROR(J4648*D4648,0)</f>
      </c>
      <c r="L4648" s="29">
        <f>IFERROR(E4648*C4648,0)</f>
      </c>
      <c r="M4648" s="29">
        <f>IFERROR((G4648*H4648*I4648/1000000)*D4648,0)</f>
      </c>
    </row>
    <row r="4649" spans="1:13" x14ac:dyDescent="0.25">
      <c r="A4649" s="16"/>
      <c r="E4649" s="27"/>
      <c r="F4649" t="s">
        <v>26</v>
      </c>
      <c r="G4649" s="28">
        <f>IFERROR(VLOOKUP(F4649,CARTON_LOOKUP!$A:$E,3,0),"")</f>
      </c>
      <c r="H4649" s="28">
        <f>IFERROR(VLOOKUP(F4649,CARTON_LOOKUP!$A:$E,4,0),"")</f>
      </c>
      <c r="I4649" s="28">
        <f>IFERROR(VLOOKUP(F4649,CARTON_LOOKUP!$A:$E,5,0),"")</f>
      </c>
      <c r="J4649" s="29">
        <f>IFERROR(VLOOKUP(F4649,CARTON_LOOKUP!$A:$E,2,0),"")</f>
      </c>
      <c r="K4649" s="29">
        <f>IFERROR(J4649*D4649,0)</f>
      </c>
      <c r="L4649" s="29">
        <f>IFERROR(E4649*C4649,0)</f>
      </c>
      <c r="M4649" s="29">
        <f>IFERROR((G4649*H4649*I4649/1000000)*D4649,0)</f>
      </c>
    </row>
    <row r="4650" spans="1:13" x14ac:dyDescent="0.25">
      <c r="A4650" s="16"/>
      <c r="E4650" s="27"/>
      <c r="F4650" t="s">
        <v>26</v>
      </c>
      <c r="G4650" s="28">
        <f>IFERROR(VLOOKUP(F4650,CARTON_LOOKUP!$A:$E,3,0),"")</f>
      </c>
      <c r="H4650" s="28">
        <f>IFERROR(VLOOKUP(F4650,CARTON_LOOKUP!$A:$E,4,0),"")</f>
      </c>
      <c r="I4650" s="28">
        <f>IFERROR(VLOOKUP(F4650,CARTON_LOOKUP!$A:$E,5,0),"")</f>
      </c>
      <c r="J4650" s="29">
        <f>IFERROR(VLOOKUP(F4650,CARTON_LOOKUP!$A:$E,2,0),"")</f>
      </c>
      <c r="K4650" s="29">
        <f>IFERROR(J4650*D4650,0)</f>
      </c>
      <c r="L4650" s="29">
        <f>IFERROR(E4650*C4650,0)</f>
      </c>
      <c r="M4650" s="29">
        <f>IFERROR((G4650*H4650*I4650/1000000)*D4650,0)</f>
      </c>
    </row>
    <row r="4651" spans="1:13" x14ac:dyDescent="0.25">
      <c r="A4651" s="16"/>
      <c r="E4651" s="27"/>
      <c r="F4651" t="s">
        <v>26</v>
      </c>
      <c r="G4651" s="28">
        <f>IFERROR(VLOOKUP(F4651,CARTON_LOOKUP!$A:$E,3,0),"")</f>
      </c>
      <c r="H4651" s="28">
        <f>IFERROR(VLOOKUP(F4651,CARTON_LOOKUP!$A:$E,4,0),"")</f>
      </c>
      <c r="I4651" s="28">
        <f>IFERROR(VLOOKUP(F4651,CARTON_LOOKUP!$A:$E,5,0),"")</f>
      </c>
      <c r="J4651" s="29">
        <f>IFERROR(VLOOKUP(F4651,CARTON_LOOKUP!$A:$E,2,0),"")</f>
      </c>
      <c r="K4651" s="29">
        <f>IFERROR(J4651*D4651,0)</f>
      </c>
      <c r="L4651" s="29">
        <f>IFERROR(E4651*C4651,0)</f>
      </c>
      <c r="M4651" s="29">
        <f>IFERROR((G4651*H4651*I4651/1000000)*D4651,0)</f>
      </c>
    </row>
    <row r="4652" spans="1:13" x14ac:dyDescent="0.25">
      <c r="A4652" s="16"/>
      <c r="E4652" s="27"/>
      <c r="F4652" t="s">
        <v>26</v>
      </c>
      <c r="G4652" s="28">
        <f>IFERROR(VLOOKUP(F4652,CARTON_LOOKUP!$A:$E,3,0),"")</f>
      </c>
      <c r="H4652" s="28">
        <f>IFERROR(VLOOKUP(F4652,CARTON_LOOKUP!$A:$E,4,0),"")</f>
      </c>
      <c r="I4652" s="28">
        <f>IFERROR(VLOOKUP(F4652,CARTON_LOOKUP!$A:$E,5,0),"")</f>
      </c>
      <c r="J4652" s="29">
        <f>IFERROR(VLOOKUP(F4652,CARTON_LOOKUP!$A:$E,2,0),"")</f>
      </c>
      <c r="K4652" s="29">
        <f>IFERROR(J4652*D4652,0)</f>
      </c>
      <c r="L4652" s="29">
        <f>IFERROR(E4652*C4652,0)</f>
      </c>
      <c r="M4652" s="29">
        <f>IFERROR((G4652*H4652*I4652/1000000)*D4652,0)</f>
      </c>
    </row>
    <row r="4653" spans="1:13" x14ac:dyDescent="0.25">
      <c r="A4653" s="16"/>
      <c r="E4653" s="27"/>
      <c r="F4653" t="s">
        <v>26</v>
      </c>
      <c r="G4653" s="28">
        <f>IFERROR(VLOOKUP(F4653,CARTON_LOOKUP!$A:$E,3,0),"")</f>
      </c>
      <c r="H4653" s="28">
        <f>IFERROR(VLOOKUP(F4653,CARTON_LOOKUP!$A:$E,4,0),"")</f>
      </c>
      <c r="I4653" s="28">
        <f>IFERROR(VLOOKUP(F4653,CARTON_LOOKUP!$A:$E,5,0),"")</f>
      </c>
      <c r="J4653" s="29">
        <f>IFERROR(VLOOKUP(F4653,CARTON_LOOKUP!$A:$E,2,0),"")</f>
      </c>
      <c r="K4653" s="29">
        <f>IFERROR(J4653*D4653,0)</f>
      </c>
      <c r="L4653" s="29">
        <f>IFERROR(E4653*C4653,0)</f>
      </c>
      <c r="M4653" s="29">
        <f>IFERROR((G4653*H4653*I4653/1000000)*D4653,0)</f>
      </c>
    </row>
    <row r="4654" spans="1:13" x14ac:dyDescent="0.25">
      <c r="A4654" s="16"/>
      <c r="E4654" s="27"/>
      <c r="F4654" t="s">
        <v>26</v>
      </c>
      <c r="G4654" s="28">
        <f>IFERROR(VLOOKUP(F4654,CARTON_LOOKUP!$A:$E,3,0),"")</f>
      </c>
      <c r="H4654" s="28">
        <f>IFERROR(VLOOKUP(F4654,CARTON_LOOKUP!$A:$E,4,0),"")</f>
      </c>
      <c r="I4654" s="28">
        <f>IFERROR(VLOOKUP(F4654,CARTON_LOOKUP!$A:$E,5,0),"")</f>
      </c>
      <c r="J4654" s="29">
        <f>IFERROR(VLOOKUP(F4654,CARTON_LOOKUP!$A:$E,2,0),"")</f>
      </c>
      <c r="K4654" s="29">
        <f>IFERROR(J4654*D4654,0)</f>
      </c>
      <c r="L4654" s="29">
        <f>IFERROR(E4654*C4654,0)</f>
      </c>
      <c r="M4654" s="29">
        <f>IFERROR((G4654*H4654*I4654/1000000)*D4654,0)</f>
      </c>
    </row>
    <row r="4655" spans="1:13" x14ac:dyDescent="0.25">
      <c r="A4655" s="16"/>
      <c r="E4655" s="27"/>
      <c r="F4655" t="s">
        <v>26</v>
      </c>
      <c r="G4655" s="28">
        <f>IFERROR(VLOOKUP(F4655,CARTON_LOOKUP!$A:$E,3,0),"")</f>
      </c>
      <c r="H4655" s="28">
        <f>IFERROR(VLOOKUP(F4655,CARTON_LOOKUP!$A:$E,4,0),"")</f>
      </c>
      <c r="I4655" s="28">
        <f>IFERROR(VLOOKUP(F4655,CARTON_LOOKUP!$A:$E,5,0),"")</f>
      </c>
      <c r="J4655" s="29">
        <f>IFERROR(VLOOKUP(F4655,CARTON_LOOKUP!$A:$E,2,0),"")</f>
      </c>
      <c r="K4655" s="29">
        <f>IFERROR(J4655*D4655,0)</f>
      </c>
      <c r="L4655" s="29">
        <f>IFERROR(E4655*C4655,0)</f>
      </c>
      <c r="M4655" s="29">
        <f>IFERROR((G4655*H4655*I4655/1000000)*D4655,0)</f>
      </c>
    </row>
    <row r="4656" spans="1:13" x14ac:dyDescent="0.25">
      <c r="A4656" s="16"/>
      <c r="E4656" s="27"/>
      <c r="F4656" t="s">
        <v>26</v>
      </c>
      <c r="G4656" s="28">
        <f>IFERROR(VLOOKUP(F4656,CARTON_LOOKUP!$A:$E,3,0),"")</f>
      </c>
      <c r="H4656" s="28">
        <f>IFERROR(VLOOKUP(F4656,CARTON_LOOKUP!$A:$E,4,0),"")</f>
      </c>
      <c r="I4656" s="28">
        <f>IFERROR(VLOOKUP(F4656,CARTON_LOOKUP!$A:$E,5,0),"")</f>
      </c>
      <c r="J4656" s="29">
        <f>IFERROR(VLOOKUP(F4656,CARTON_LOOKUP!$A:$E,2,0),"")</f>
      </c>
      <c r="K4656" s="29">
        <f>IFERROR(J4656*D4656,0)</f>
      </c>
      <c r="L4656" s="29">
        <f>IFERROR(E4656*C4656,0)</f>
      </c>
      <c r="M4656" s="29">
        <f>IFERROR((G4656*H4656*I4656/1000000)*D4656,0)</f>
      </c>
    </row>
    <row r="4657" spans="1:13" x14ac:dyDescent="0.25">
      <c r="A4657" s="16"/>
      <c r="E4657" s="27"/>
      <c r="F4657" t="s">
        <v>26</v>
      </c>
      <c r="G4657" s="28">
        <f>IFERROR(VLOOKUP(F4657,CARTON_LOOKUP!$A:$E,3,0),"")</f>
      </c>
      <c r="H4657" s="28">
        <f>IFERROR(VLOOKUP(F4657,CARTON_LOOKUP!$A:$E,4,0),"")</f>
      </c>
      <c r="I4657" s="28">
        <f>IFERROR(VLOOKUP(F4657,CARTON_LOOKUP!$A:$E,5,0),"")</f>
      </c>
      <c r="J4657" s="29">
        <f>IFERROR(VLOOKUP(F4657,CARTON_LOOKUP!$A:$E,2,0),"")</f>
      </c>
      <c r="K4657" s="29">
        <f>IFERROR(J4657*D4657,0)</f>
      </c>
      <c r="L4657" s="29">
        <f>IFERROR(E4657*C4657,0)</f>
      </c>
      <c r="M4657" s="29">
        <f>IFERROR((G4657*H4657*I4657/1000000)*D4657,0)</f>
      </c>
    </row>
    <row r="4658" spans="1:13" x14ac:dyDescent="0.25">
      <c r="A4658" s="16"/>
      <c r="E4658" s="27"/>
      <c r="F4658" t="s">
        <v>26</v>
      </c>
      <c r="G4658" s="28">
        <f>IFERROR(VLOOKUP(F4658,CARTON_LOOKUP!$A:$E,3,0),"")</f>
      </c>
      <c r="H4658" s="28">
        <f>IFERROR(VLOOKUP(F4658,CARTON_LOOKUP!$A:$E,4,0),"")</f>
      </c>
      <c r="I4658" s="28">
        <f>IFERROR(VLOOKUP(F4658,CARTON_LOOKUP!$A:$E,5,0),"")</f>
      </c>
      <c r="J4658" s="29">
        <f>IFERROR(VLOOKUP(F4658,CARTON_LOOKUP!$A:$E,2,0),"")</f>
      </c>
      <c r="K4658" s="29">
        <f>IFERROR(J4658*D4658,0)</f>
      </c>
      <c r="L4658" s="29">
        <f>IFERROR(E4658*C4658,0)</f>
      </c>
      <c r="M4658" s="29">
        <f>IFERROR((G4658*H4658*I4658/1000000)*D4658,0)</f>
      </c>
    </row>
    <row r="4659" spans="1:13" x14ac:dyDescent="0.25">
      <c r="A4659" s="16"/>
      <c r="E4659" s="27"/>
      <c r="F4659" t="s">
        <v>26</v>
      </c>
      <c r="G4659" s="28">
        <f>IFERROR(VLOOKUP(F4659,CARTON_LOOKUP!$A:$E,3,0),"")</f>
      </c>
      <c r="H4659" s="28">
        <f>IFERROR(VLOOKUP(F4659,CARTON_LOOKUP!$A:$E,4,0),"")</f>
      </c>
      <c r="I4659" s="28">
        <f>IFERROR(VLOOKUP(F4659,CARTON_LOOKUP!$A:$E,5,0),"")</f>
      </c>
      <c r="J4659" s="29">
        <f>IFERROR(VLOOKUP(F4659,CARTON_LOOKUP!$A:$E,2,0),"")</f>
      </c>
      <c r="K4659" s="29">
        <f>IFERROR(J4659*D4659,0)</f>
      </c>
      <c r="L4659" s="29">
        <f>IFERROR(E4659*C4659,0)</f>
      </c>
      <c r="M4659" s="29">
        <f>IFERROR((G4659*H4659*I4659/1000000)*D4659,0)</f>
      </c>
    </row>
    <row r="4660" spans="1:13" x14ac:dyDescent="0.25">
      <c r="A4660" s="16"/>
      <c r="E4660" s="27"/>
      <c r="F4660" t="s">
        <v>26</v>
      </c>
      <c r="G4660" s="28">
        <f>IFERROR(VLOOKUP(F4660,CARTON_LOOKUP!$A:$E,3,0),"")</f>
      </c>
      <c r="H4660" s="28">
        <f>IFERROR(VLOOKUP(F4660,CARTON_LOOKUP!$A:$E,4,0),"")</f>
      </c>
      <c r="I4660" s="28">
        <f>IFERROR(VLOOKUP(F4660,CARTON_LOOKUP!$A:$E,5,0),"")</f>
      </c>
      <c r="J4660" s="29">
        <f>IFERROR(VLOOKUP(F4660,CARTON_LOOKUP!$A:$E,2,0),"")</f>
      </c>
      <c r="K4660" s="29">
        <f>IFERROR(J4660*D4660,0)</f>
      </c>
      <c r="L4660" s="29">
        <f>IFERROR(E4660*C4660,0)</f>
      </c>
      <c r="M4660" s="29">
        <f>IFERROR((G4660*H4660*I4660/1000000)*D4660,0)</f>
      </c>
    </row>
    <row r="4661" spans="1:13" x14ac:dyDescent="0.25">
      <c r="A4661" s="16"/>
      <c r="E4661" s="27"/>
      <c r="F4661" t="s">
        <v>26</v>
      </c>
      <c r="G4661" s="28">
        <f>IFERROR(VLOOKUP(F4661,CARTON_LOOKUP!$A:$E,3,0),"")</f>
      </c>
      <c r="H4661" s="28">
        <f>IFERROR(VLOOKUP(F4661,CARTON_LOOKUP!$A:$E,4,0),"")</f>
      </c>
      <c r="I4661" s="28">
        <f>IFERROR(VLOOKUP(F4661,CARTON_LOOKUP!$A:$E,5,0),"")</f>
      </c>
      <c r="J4661" s="29">
        <f>IFERROR(VLOOKUP(F4661,CARTON_LOOKUP!$A:$E,2,0),"")</f>
      </c>
      <c r="K4661" s="29">
        <f>IFERROR(J4661*D4661,0)</f>
      </c>
      <c r="L4661" s="29">
        <f>IFERROR(E4661*C4661,0)</f>
      </c>
      <c r="M4661" s="29">
        <f>IFERROR((G4661*H4661*I4661/1000000)*D4661,0)</f>
      </c>
    </row>
    <row r="4662" spans="1:13" x14ac:dyDescent="0.25">
      <c r="A4662" s="16"/>
      <c r="E4662" s="27"/>
      <c r="F4662" t="s">
        <v>26</v>
      </c>
      <c r="G4662" s="28">
        <f>IFERROR(VLOOKUP(F4662,CARTON_LOOKUP!$A:$E,3,0),"")</f>
      </c>
      <c r="H4662" s="28">
        <f>IFERROR(VLOOKUP(F4662,CARTON_LOOKUP!$A:$E,4,0),"")</f>
      </c>
      <c r="I4662" s="28">
        <f>IFERROR(VLOOKUP(F4662,CARTON_LOOKUP!$A:$E,5,0),"")</f>
      </c>
      <c r="J4662" s="29">
        <f>IFERROR(VLOOKUP(F4662,CARTON_LOOKUP!$A:$E,2,0),"")</f>
      </c>
      <c r="K4662" s="29">
        <f>IFERROR(J4662*D4662,0)</f>
      </c>
      <c r="L4662" s="29">
        <f>IFERROR(E4662*C4662,0)</f>
      </c>
      <c r="M4662" s="29">
        <f>IFERROR((G4662*H4662*I4662/1000000)*D4662,0)</f>
      </c>
    </row>
    <row r="4663" spans="1:13" x14ac:dyDescent="0.25">
      <c r="A4663" s="16"/>
      <c r="E4663" s="27"/>
      <c r="F4663" t="s">
        <v>26</v>
      </c>
      <c r="G4663" s="28">
        <f>IFERROR(VLOOKUP(F4663,CARTON_LOOKUP!$A:$E,3,0),"")</f>
      </c>
      <c r="H4663" s="28">
        <f>IFERROR(VLOOKUP(F4663,CARTON_LOOKUP!$A:$E,4,0),"")</f>
      </c>
      <c r="I4663" s="28">
        <f>IFERROR(VLOOKUP(F4663,CARTON_LOOKUP!$A:$E,5,0),"")</f>
      </c>
      <c r="J4663" s="29">
        <f>IFERROR(VLOOKUP(F4663,CARTON_LOOKUP!$A:$E,2,0),"")</f>
      </c>
      <c r="K4663" s="29">
        <f>IFERROR(J4663*D4663,0)</f>
      </c>
      <c r="L4663" s="29">
        <f>IFERROR(E4663*C4663,0)</f>
      </c>
      <c r="M4663" s="29">
        <f>IFERROR((G4663*H4663*I4663/1000000)*D4663,0)</f>
      </c>
    </row>
    <row r="4664" spans="1:13" x14ac:dyDescent="0.25">
      <c r="A4664" s="16"/>
      <c r="E4664" s="27"/>
      <c r="F4664" t="s">
        <v>26</v>
      </c>
      <c r="G4664" s="28">
        <f>IFERROR(VLOOKUP(F4664,CARTON_LOOKUP!$A:$E,3,0),"")</f>
      </c>
      <c r="H4664" s="28">
        <f>IFERROR(VLOOKUP(F4664,CARTON_LOOKUP!$A:$E,4,0),"")</f>
      </c>
      <c r="I4664" s="28">
        <f>IFERROR(VLOOKUP(F4664,CARTON_LOOKUP!$A:$E,5,0),"")</f>
      </c>
      <c r="J4664" s="29">
        <f>IFERROR(VLOOKUP(F4664,CARTON_LOOKUP!$A:$E,2,0),"")</f>
      </c>
      <c r="K4664" s="29">
        <f>IFERROR(J4664*D4664,0)</f>
      </c>
      <c r="L4664" s="29">
        <f>IFERROR(E4664*C4664,0)</f>
      </c>
      <c r="M4664" s="29">
        <f>IFERROR((G4664*H4664*I4664/1000000)*D4664,0)</f>
      </c>
    </row>
    <row r="4665" spans="1:13" x14ac:dyDescent="0.25">
      <c r="A4665" s="16"/>
      <c r="E4665" s="27"/>
      <c r="F4665" t="s">
        <v>26</v>
      </c>
      <c r="G4665" s="28">
        <f>IFERROR(VLOOKUP(F4665,CARTON_LOOKUP!$A:$E,3,0),"")</f>
      </c>
      <c r="H4665" s="28">
        <f>IFERROR(VLOOKUP(F4665,CARTON_LOOKUP!$A:$E,4,0),"")</f>
      </c>
      <c r="I4665" s="28">
        <f>IFERROR(VLOOKUP(F4665,CARTON_LOOKUP!$A:$E,5,0),"")</f>
      </c>
      <c r="J4665" s="29">
        <f>IFERROR(VLOOKUP(F4665,CARTON_LOOKUP!$A:$E,2,0),"")</f>
      </c>
      <c r="K4665" s="29">
        <f>IFERROR(J4665*D4665,0)</f>
      </c>
      <c r="L4665" s="29">
        <f>IFERROR(E4665*C4665,0)</f>
      </c>
      <c r="M4665" s="29">
        <f>IFERROR((G4665*H4665*I4665/1000000)*D4665,0)</f>
      </c>
    </row>
    <row r="4666" spans="1:13" x14ac:dyDescent="0.25">
      <c r="A4666" s="16"/>
      <c r="E4666" s="27"/>
      <c r="F4666" t="s">
        <v>26</v>
      </c>
      <c r="G4666" s="28">
        <f>IFERROR(VLOOKUP(F4666,CARTON_LOOKUP!$A:$E,3,0),"")</f>
      </c>
      <c r="H4666" s="28">
        <f>IFERROR(VLOOKUP(F4666,CARTON_LOOKUP!$A:$E,4,0),"")</f>
      </c>
      <c r="I4666" s="28">
        <f>IFERROR(VLOOKUP(F4666,CARTON_LOOKUP!$A:$E,5,0),"")</f>
      </c>
      <c r="J4666" s="29">
        <f>IFERROR(VLOOKUP(F4666,CARTON_LOOKUP!$A:$E,2,0),"")</f>
      </c>
      <c r="K4666" s="29">
        <f>IFERROR(J4666*D4666,0)</f>
      </c>
      <c r="L4666" s="29">
        <f>IFERROR(E4666*C4666,0)</f>
      </c>
      <c r="M4666" s="29">
        <f>IFERROR((G4666*H4666*I4666/1000000)*D4666,0)</f>
      </c>
    </row>
    <row r="4667" spans="1:13" x14ac:dyDescent="0.25">
      <c r="A4667" s="16"/>
      <c r="E4667" s="27"/>
      <c r="F4667" t="s">
        <v>26</v>
      </c>
      <c r="G4667" s="28">
        <f>IFERROR(VLOOKUP(F4667,CARTON_LOOKUP!$A:$E,3,0),"")</f>
      </c>
      <c r="H4667" s="28">
        <f>IFERROR(VLOOKUP(F4667,CARTON_LOOKUP!$A:$E,4,0),"")</f>
      </c>
      <c r="I4667" s="28">
        <f>IFERROR(VLOOKUP(F4667,CARTON_LOOKUP!$A:$E,5,0),"")</f>
      </c>
      <c r="J4667" s="29">
        <f>IFERROR(VLOOKUP(F4667,CARTON_LOOKUP!$A:$E,2,0),"")</f>
      </c>
      <c r="K4667" s="29">
        <f>IFERROR(J4667*D4667,0)</f>
      </c>
      <c r="L4667" s="29">
        <f>IFERROR(E4667*C4667,0)</f>
      </c>
      <c r="M4667" s="29">
        <f>IFERROR((G4667*H4667*I4667/1000000)*D4667,0)</f>
      </c>
    </row>
    <row r="4668" spans="1:13" x14ac:dyDescent="0.25">
      <c r="A4668" s="16"/>
      <c r="E4668" s="27"/>
      <c r="F4668" t="s">
        <v>26</v>
      </c>
      <c r="G4668" s="28">
        <f>IFERROR(VLOOKUP(F4668,CARTON_LOOKUP!$A:$E,3,0),"")</f>
      </c>
      <c r="H4668" s="28">
        <f>IFERROR(VLOOKUP(F4668,CARTON_LOOKUP!$A:$E,4,0),"")</f>
      </c>
      <c r="I4668" s="28">
        <f>IFERROR(VLOOKUP(F4668,CARTON_LOOKUP!$A:$E,5,0),"")</f>
      </c>
      <c r="J4668" s="29">
        <f>IFERROR(VLOOKUP(F4668,CARTON_LOOKUP!$A:$E,2,0),"")</f>
      </c>
      <c r="K4668" s="29">
        <f>IFERROR(J4668*D4668,0)</f>
      </c>
      <c r="L4668" s="29">
        <f>IFERROR(E4668*C4668,0)</f>
      </c>
      <c r="M4668" s="29">
        <f>IFERROR((G4668*H4668*I4668/1000000)*D4668,0)</f>
      </c>
    </row>
    <row r="4669" spans="1:13" x14ac:dyDescent="0.25">
      <c r="A4669" s="16"/>
      <c r="E4669" s="27"/>
      <c r="F4669" t="s">
        <v>26</v>
      </c>
      <c r="G4669" s="28">
        <f>IFERROR(VLOOKUP(F4669,CARTON_LOOKUP!$A:$E,3,0),"")</f>
      </c>
      <c r="H4669" s="28">
        <f>IFERROR(VLOOKUP(F4669,CARTON_LOOKUP!$A:$E,4,0),"")</f>
      </c>
      <c r="I4669" s="28">
        <f>IFERROR(VLOOKUP(F4669,CARTON_LOOKUP!$A:$E,5,0),"")</f>
      </c>
      <c r="J4669" s="29">
        <f>IFERROR(VLOOKUP(F4669,CARTON_LOOKUP!$A:$E,2,0),"")</f>
      </c>
      <c r="K4669" s="29">
        <f>IFERROR(J4669*D4669,0)</f>
      </c>
      <c r="L4669" s="29">
        <f>IFERROR(E4669*C4669,0)</f>
      </c>
      <c r="M4669" s="29">
        <f>IFERROR((G4669*H4669*I4669/1000000)*D4669,0)</f>
      </c>
    </row>
    <row r="4670" spans="1:13" x14ac:dyDescent="0.25">
      <c r="A4670" s="16"/>
      <c r="E4670" s="27"/>
      <c r="F4670" t="s">
        <v>26</v>
      </c>
      <c r="G4670" s="28">
        <f>IFERROR(VLOOKUP(F4670,CARTON_LOOKUP!$A:$E,3,0),"")</f>
      </c>
      <c r="H4670" s="28">
        <f>IFERROR(VLOOKUP(F4670,CARTON_LOOKUP!$A:$E,4,0),"")</f>
      </c>
      <c r="I4670" s="28">
        <f>IFERROR(VLOOKUP(F4670,CARTON_LOOKUP!$A:$E,5,0),"")</f>
      </c>
      <c r="J4670" s="29">
        <f>IFERROR(VLOOKUP(F4670,CARTON_LOOKUP!$A:$E,2,0),"")</f>
      </c>
      <c r="K4670" s="29">
        <f>IFERROR(J4670*D4670,0)</f>
      </c>
      <c r="L4670" s="29">
        <f>IFERROR(E4670*C4670,0)</f>
      </c>
      <c r="M4670" s="29">
        <f>IFERROR((G4670*H4670*I4670/1000000)*D4670,0)</f>
      </c>
    </row>
    <row r="4671" spans="1:13" x14ac:dyDescent="0.25">
      <c r="A4671" s="16"/>
      <c r="E4671" s="27"/>
      <c r="F4671" t="s">
        <v>26</v>
      </c>
      <c r="G4671" s="28">
        <f>IFERROR(VLOOKUP(F4671,CARTON_LOOKUP!$A:$E,3,0),"")</f>
      </c>
      <c r="H4671" s="28">
        <f>IFERROR(VLOOKUP(F4671,CARTON_LOOKUP!$A:$E,4,0),"")</f>
      </c>
      <c r="I4671" s="28">
        <f>IFERROR(VLOOKUP(F4671,CARTON_LOOKUP!$A:$E,5,0),"")</f>
      </c>
      <c r="J4671" s="29">
        <f>IFERROR(VLOOKUP(F4671,CARTON_LOOKUP!$A:$E,2,0),"")</f>
      </c>
      <c r="K4671" s="29">
        <f>IFERROR(J4671*D4671,0)</f>
      </c>
      <c r="L4671" s="29">
        <f>IFERROR(E4671*C4671,0)</f>
      </c>
      <c r="M4671" s="29">
        <f>IFERROR((G4671*H4671*I4671/1000000)*D4671,0)</f>
      </c>
    </row>
    <row r="4672" spans="1:13" x14ac:dyDescent="0.25">
      <c r="A4672" s="16"/>
      <c r="E4672" s="27"/>
      <c r="F4672" t="s">
        <v>26</v>
      </c>
      <c r="G4672" s="28">
        <f>IFERROR(VLOOKUP(F4672,CARTON_LOOKUP!$A:$E,3,0),"")</f>
      </c>
      <c r="H4672" s="28">
        <f>IFERROR(VLOOKUP(F4672,CARTON_LOOKUP!$A:$E,4,0),"")</f>
      </c>
      <c r="I4672" s="28">
        <f>IFERROR(VLOOKUP(F4672,CARTON_LOOKUP!$A:$E,5,0),"")</f>
      </c>
      <c r="J4672" s="29">
        <f>IFERROR(VLOOKUP(F4672,CARTON_LOOKUP!$A:$E,2,0),"")</f>
      </c>
      <c r="K4672" s="29">
        <f>IFERROR(J4672*D4672,0)</f>
      </c>
      <c r="L4672" s="29">
        <f>IFERROR(E4672*C4672,0)</f>
      </c>
      <c r="M4672" s="29">
        <f>IFERROR((G4672*H4672*I4672/1000000)*D4672,0)</f>
      </c>
    </row>
    <row r="4673" spans="1:13" x14ac:dyDescent="0.25">
      <c r="A4673" s="16"/>
      <c r="E4673" s="27"/>
      <c r="F4673" t="s">
        <v>26</v>
      </c>
      <c r="G4673" s="28">
        <f>IFERROR(VLOOKUP(F4673,CARTON_LOOKUP!$A:$E,3,0),"")</f>
      </c>
      <c r="H4673" s="28">
        <f>IFERROR(VLOOKUP(F4673,CARTON_LOOKUP!$A:$E,4,0),"")</f>
      </c>
      <c r="I4673" s="28">
        <f>IFERROR(VLOOKUP(F4673,CARTON_LOOKUP!$A:$E,5,0),"")</f>
      </c>
      <c r="J4673" s="29">
        <f>IFERROR(VLOOKUP(F4673,CARTON_LOOKUP!$A:$E,2,0),"")</f>
      </c>
      <c r="K4673" s="29">
        <f>IFERROR(J4673*D4673,0)</f>
      </c>
      <c r="L4673" s="29">
        <f>IFERROR(E4673*C4673,0)</f>
      </c>
      <c r="M4673" s="29">
        <f>IFERROR((G4673*H4673*I4673/1000000)*D4673,0)</f>
      </c>
    </row>
    <row r="4674" spans="1:13" x14ac:dyDescent="0.25">
      <c r="A4674" s="16"/>
      <c r="E4674" s="27"/>
      <c r="F4674" t="s">
        <v>26</v>
      </c>
      <c r="G4674" s="28">
        <f>IFERROR(VLOOKUP(F4674,CARTON_LOOKUP!$A:$E,3,0),"")</f>
      </c>
      <c r="H4674" s="28">
        <f>IFERROR(VLOOKUP(F4674,CARTON_LOOKUP!$A:$E,4,0),"")</f>
      </c>
      <c r="I4674" s="28">
        <f>IFERROR(VLOOKUP(F4674,CARTON_LOOKUP!$A:$E,5,0),"")</f>
      </c>
      <c r="J4674" s="29">
        <f>IFERROR(VLOOKUP(F4674,CARTON_LOOKUP!$A:$E,2,0),"")</f>
      </c>
      <c r="K4674" s="29">
        <f>IFERROR(J4674*D4674,0)</f>
      </c>
      <c r="L4674" s="29">
        <f>IFERROR(E4674*C4674,0)</f>
      </c>
      <c r="M4674" s="29">
        <f>IFERROR((G4674*H4674*I4674/1000000)*D4674,0)</f>
      </c>
    </row>
    <row r="4675" spans="1:13" x14ac:dyDescent="0.25">
      <c r="A4675" s="16"/>
      <c r="E4675" s="27"/>
      <c r="F4675" t="s">
        <v>26</v>
      </c>
      <c r="G4675" s="28">
        <f>IFERROR(VLOOKUP(F4675,CARTON_LOOKUP!$A:$E,3,0),"")</f>
      </c>
      <c r="H4675" s="28">
        <f>IFERROR(VLOOKUP(F4675,CARTON_LOOKUP!$A:$E,4,0),"")</f>
      </c>
      <c r="I4675" s="28">
        <f>IFERROR(VLOOKUP(F4675,CARTON_LOOKUP!$A:$E,5,0),"")</f>
      </c>
      <c r="J4675" s="29">
        <f>IFERROR(VLOOKUP(F4675,CARTON_LOOKUP!$A:$E,2,0),"")</f>
      </c>
      <c r="K4675" s="29">
        <f>IFERROR(J4675*D4675,0)</f>
      </c>
      <c r="L4675" s="29">
        <f>IFERROR(E4675*C4675,0)</f>
      </c>
      <c r="M4675" s="29">
        <f>IFERROR((G4675*H4675*I4675/1000000)*D4675,0)</f>
      </c>
    </row>
    <row r="4676" spans="1:13" x14ac:dyDescent="0.25">
      <c r="A4676" s="16"/>
      <c r="E4676" s="27"/>
      <c r="F4676" t="s">
        <v>26</v>
      </c>
      <c r="G4676" s="28">
        <f>IFERROR(VLOOKUP(F4676,CARTON_LOOKUP!$A:$E,3,0),"")</f>
      </c>
      <c r="H4676" s="28">
        <f>IFERROR(VLOOKUP(F4676,CARTON_LOOKUP!$A:$E,4,0),"")</f>
      </c>
      <c r="I4676" s="28">
        <f>IFERROR(VLOOKUP(F4676,CARTON_LOOKUP!$A:$E,5,0),"")</f>
      </c>
      <c r="J4676" s="29">
        <f>IFERROR(VLOOKUP(F4676,CARTON_LOOKUP!$A:$E,2,0),"")</f>
      </c>
      <c r="K4676" s="29">
        <f>IFERROR(J4676*D4676,0)</f>
      </c>
      <c r="L4676" s="29">
        <f>IFERROR(E4676*C4676,0)</f>
      </c>
      <c r="M4676" s="29">
        <f>IFERROR((G4676*H4676*I4676/1000000)*D4676,0)</f>
      </c>
    </row>
    <row r="4677" spans="1:13" x14ac:dyDescent="0.25">
      <c r="A4677" s="16"/>
      <c r="E4677" s="27"/>
      <c r="F4677" t="s">
        <v>26</v>
      </c>
      <c r="G4677" s="28">
        <f>IFERROR(VLOOKUP(F4677,CARTON_LOOKUP!$A:$E,3,0),"")</f>
      </c>
      <c r="H4677" s="28">
        <f>IFERROR(VLOOKUP(F4677,CARTON_LOOKUP!$A:$E,4,0),"")</f>
      </c>
      <c r="I4677" s="28">
        <f>IFERROR(VLOOKUP(F4677,CARTON_LOOKUP!$A:$E,5,0),"")</f>
      </c>
      <c r="J4677" s="29">
        <f>IFERROR(VLOOKUP(F4677,CARTON_LOOKUP!$A:$E,2,0),"")</f>
      </c>
      <c r="K4677" s="29">
        <f>IFERROR(J4677*D4677,0)</f>
      </c>
      <c r="L4677" s="29">
        <f>IFERROR(E4677*C4677,0)</f>
      </c>
      <c r="M4677" s="29">
        <f>IFERROR((G4677*H4677*I4677/1000000)*D4677,0)</f>
      </c>
    </row>
    <row r="4678" spans="1:13" x14ac:dyDescent="0.25">
      <c r="A4678" s="16"/>
      <c r="E4678" s="27"/>
      <c r="F4678" t="s">
        <v>26</v>
      </c>
      <c r="G4678" s="28">
        <f>IFERROR(VLOOKUP(F4678,CARTON_LOOKUP!$A:$E,3,0),"")</f>
      </c>
      <c r="H4678" s="28">
        <f>IFERROR(VLOOKUP(F4678,CARTON_LOOKUP!$A:$E,4,0),"")</f>
      </c>
      <c r="I4678" s="28">
        <f>IFERROR(VLOOKUP(F4678,CARTON_LOOKUP!$A:$E,5,0),"")</f>
      </c>
      <c r="J4678" s="29">
        <f>IFERROR(VLOOKUP(F4678,CARTON_LOOKUP!$A:$E,2,0),"")</f>
      </c>
      <c r="K4678" s="29">
        <f>IFERROR(J4678*D4678,0)</f>
      </c>
      <c r="L4678" s="29">
        <f>IFERROR(E4678*C4678,0)</f>
      </c>
      <c r="M4678" s="29">
        <f>IFERROR((G4678*H4678*I4678/1000000)*D4678,0)</f>
      </c>
    </row>
    <row r="4679" spans="1:13" x14ac:dyDescent="0.25">
      <c r="A4679" s="16"/>
      <c r="E4679" s="27"/>
      <c r="F4679" t="s">
        <v>26</v>
      </c>
      <c r="G4679" s="28">
        <f>IFERROR(VLOOKUP(F4679,CARTON_LOOKUP!$A:$E,3,0),"")</f>
      </c>
      <c r="H4679" s="28">
        <f>IFERROR(VLOOKUP(F4679,CARTON_LOOKUP!$A:$E,4,0),"")</f>
      </c>
      <c r="I4679" s="28">
        <f>IFERROR(VLOOKUP(F4679,CARTON_LOOKUP!$A:$E,5,0),"")</f>
      </c>
      <c r="J4679" s="29">
        <f>IFERROR(VLOOKUP(F4679,CARTON_LOOKUP!$A:$E,2,0),"")</f>
      </c>
      <c r="K4679" s="29">
        <f>IFERROR(J4679*D4679,0)</f>
      </c>
      <c r="L4679" s="29">
        <f>IFERROR(E4679*C4679,0)</f>
      </c>
      <c r="M4679" s="29">
        <f>IFERROR((G4679*H4679*I4679/1000000)*D4679,0)</f>
      </c>
    </row>
    <row r="4680" spans="1:13" x14ac:dyDescent="0.25">
      <c r="A4680" s="16"/>
      <c r="E4680" s="27"/>
      <c r="F4680" t="s">
        <v>26</v>
      </c>
      <c r="G4680" s="28">
        <f>IFERROR(VLOOKUP(F4680,CARTON_LOOKUP!$A:$E,3,0),"")</f>
      </c>
      <c r="H4680" s="28">
        <f>IFERROR(VLOOKUP(F4680,CARTON_LOOKUP!$A:$E,4,0),"")</f>
      </c>
      <c r="I4680" s="28">
        <f>IFERROR(VLOOKUP(F4680,CARTON_LOOKUP!$A:$E,5,0),"")</f>
      </c>
      <c r="J4680" s="29">
        <f>IFERROR(VLOOKUP(F4680,CARTON_LOOKUP!$A:$E,2,0),"")</f>
      </c>
      <c r="K4680" s="29">
        <f>IFERROR(J4680*D4680,0)</f>
      </c>
      <c r="L4680" s="29">
        <f>IFERROR(E4680*C4680,0)</f>
      </c>
      <c r="M4680" s="29">
        <f>IFERROR((G4680*H4680*I4680/1000000)*D4680,0)</f>
      </c>
    </row>
    <row r="4681" spans="1:13" x14ac:dyDescent="0.25">
      <c r="A4681" s="16"/>
      <c r="E4681" s="27"/>
      <c r="F4681" t="s">
        <v>26</v>
      </c>
      <c r="G4681" s="28">
        <f>IFERROR(VLOOKUP(F4681,CARTON_LOOKUP!$A:$E,3,0),"")</f>
      </c>
      <c r="H4681" s="28">
        <f>IFERROR(VLOOKUP(F4681,CARTON_LOOKUP!$A:$E,4,0),"")</f>
      </c>
      <c r="I4681" s="28">
        <f>IFERROR(VLOOKUP(F4681,CARTON_LOOKUP!$A:$E,5,0),"")</f>
      </c>
      <c r="J4681" s="29">
        <f>IFERROR(VLOOKUP(F4681,CARTON_LOOKUP!$A:$E,2,0),"")</f>
      </c>
      <c r="K4681" s="29">
        <f>IFERROR(J4681*D4681,0)</f>
      </c>
      <c r="L4681" s="29">
        <f>IFERROR(E4681*C4681,0)</f>
      </c>
      <c r="M4681" s="29">
        <f>IFERROR((G4681*H4681*I4681/1000000)*D4681,0)</f>
      </c>
    </row>
    <row r="4682" spans="1:13" x14ac:dyDescent="0.25">
      <c r="A4682" s="16"/>
      <c r="E4682" s="27"/>
      <c r="F4682" t="s">
        <v>26</v>
      </c>
      <c r="G4682" s="28">
        <f>IFERROR(VLOOKUP(F4682,CARTON_LOOKUP!$A:$E,3,0),"")</f>
      </c>
      <c r="H4682" s="28">
        <f>IFERROR(VLOOKUP(F4682,CARTON_LOOKUP!$A:$E,4,0),"")</f>
      </c>
      <c r="I4682" s="28">
        <f>IFERROR(VLOOKUP(F4682,CARTON_LOOKUP!$A:$E,5,0),"")</f>
      </c>
      <c r="J4682" s="29">
        <f>IFERROR(VLOOKUP(F4682,CARTON_LOOKUP!$A:$E,2,0),"")</f>
      </c>
      <c r="K4682" s="29">
        <f>IFERROR(J4682*D4682,0)</f>
      </c>
      <c r="L4682" s="29">
        <f>IFERROR(E4682*C4682,0)</f>
      </c>
      <c r="M4682" s="29">
        <f>IFERROR((G4682*H4682*I4682/1000000)*D4682,0)</f>
      </c>
    </row>
    <row r="4683" spans="1:13" x14ac:dyDescent="0.25">
      <c r="A4683" s="16"/>
      <c r="E4683" s="27"/>
      <c r="F4683" t="s">
        <v>26</v>
      </c>
      <c r="G4683" s="28">
        <f>IFERROR(VLOOKUP(F4683,CARTON_LOOKUP!$A:$E,3,0),"")</f>
      </c>
      <c r="H4683" s="28">
        <f>IFERROR(VLOOKUP(F4683,CARTON_LOOKUP!$A:$E,4,0),"")</f>
      </c>
      <c r="I4683" s="28">
        <f>IFERROR(VLOOKUP(F4683,CARTON_LOOKUP!$A:$E,5,0),"")</f>
      </c>
      <c r="J4683" s="29">
        <f>IFERROR(VLOOKUP(F4683,CARTON_LOOKUP!$A:$E,2,0),"")</f>
      </c>
      <c r="K4683" s="29">
        <f>IFERROR(J4683*D4683,0)</f>
      </c>
      <c r="L4683" s="29">
        <f>IFERROR(E4683*C4683,0)</f>
      </c>
      <c r="M4683" s="29">
        <f>IFERROR((G4683*H4683*I4683/1000000)*D4683,0)</f>
      </c>
    </row>
    <row r="4684" spans="1:13" x14ac:dyDescent="0.25">
      <c r="A4684" s="16"/>
      <c r="E4684" s="27"/>
      <c r="F4684" t="s">
        <v>26</v>
      </c>
      <c r="G4684" s="28">
        <f>IFERROR(VLOOKUP(F4684,CARTON_LOOKUP!$A:$E,3,0),"")</f>
      </c>
      <c r="H4684" s="28">
        <f>IFERROR(VLOOKUP(F4684,CARTON_LOOKUP!$A:$E,4,0),"")</f>
      </c>
      <c r="I4684" s="28">
        <f>IFERROR(VLOOKUP(F4684,CARTON_LOOKUP!$A:$E,5,0),"")</f>
      </c>
      <c r="J4684" s="29">
        <f>IFERROR(VLOOKUP(F4684,CARTON_LOOKUP!$A:$E,2,0),"")</f>
      </c>
      <c r="K4684" s="29">
        <f>IFERROR(J4684*D4684,0)</f>
      </c>
      <c r="L4684" s="29">
        <f>IFERROR(E4684*C4684,0)</f>
      </c>
      <c r="M4684" s="29">
        <f>IFERROR((G4684*H4684*I4684/1000000)*D4684,0)</f>
      </c>
    </row>
    <row r="4685" spans="1:13" x14ac:dyDescent="0.25">
      <c r="A4685" s="16"/>
      <c r="E4685" s="27"/>
      <c r="F4685" t="s">
        <v>26</v>
      </c>
      <c r="G4685" s="28">
        <f>IFERROR(VLOOKUP(F4685,CARTON_LOOKUP!$A:$E,3,0),"")</f>
      </c>
      <c r="H4685" s="28">
        <f>IFERROR(VLOOKUP(F4685,CARTON_LOOKUP!$A:$E,4,0),"")</f>
      </c>
      <c r="I4685" s="28">
        <f>IFERROR(VLOOKUP(F4685,CARTON_LOOKUP!$A:$E,5,0),"")</f>
      </c>
      <c r="J4685" s="29">
        <f>IFERROR(VLOOKUP(F4685,CARTON_LOOKUP!$A:$E,2,0),"")</f>
      </c>
      <c r="K4685" s="29">
        <f>IFERROR(J4685*D4685,0)</f>
      </c>
      <c r="L4685" s="29">
        <f>IFERROR(E4685*C4685,0)</f>
      </c>
      <c r="M4685" s="29">
        <f>IFERROR((G4685*H4685*I4685/1000000)*D4685,0)</f>
      </c>
    </row>
    <row r="4686" spans="1:13" x14ac:dyDescent="0.25">
      <c r="A4686" s="16"/>
      <c r="E4686" s="27"/>
      <c r="F4686" t="s">
        <v>26</v>
      </c>
      <c r="G4686" s="28">
        <f>IFERROR(VLOOKUP(F4686,CARTON_LOOKUP!$A:$E,3,0),"")</f>
      </c>
      <c r="H4686" s="28">
        <f>IFERROR(VLOOKUP(F4686,CARTON_LOOKUP!$A:$E,4,0),"")</f>
      </c>
      <c r="I4686" s="28">
        <f>IFERROR(VLOOKUP(F4686,CARTON_LOOKUP!$A:$E,5,0),"")</f>
      </c>
      <c r="J4686" s="29">
        <f>IFERROR(VLOOKUP(F4686,CARTON_LOOKUP!$A:$E,2,0),"")</f>
      </c>
      <c r="K4686" s="29">
        <f>IFERROR(J4686*D4686,0)</f>
      </c>
      <c r="L4686" s="29">
        <f>IFERROR(E4686*C4686,0)</f>
      </c>
      <c r="M4686" s="29">
        <f>IFERROR((G4686*H4686*I4686/1000000)*D4686,0)</f>
      </c>
    </row>
    <row r="4687" spans="1:13" x14ac:dyDescent="0.25">
      <c r="A4687" s="16"/>
      <c r="E4687" s="27"/>
      <c r="F4687" t="s">
        <v>26</v>
      </c>
      <c r="G4687" s="28">
        <f>IFERROR(VLOOKUP(F4687,CARTON_LOOKUP!$A:$E,3,0),"")</f>
      </c>
      <c r="H4687" s="28">
        <f>IFERROR(VLOOKUP(F4687,CARTON_LOOKUP!$A:$E,4,0),"")</f>
      </c>
      <c r="I4687" s="28">
        <f>IFERROR(VLOOKUP(F4687,CARTON_LOOKUP!$A:$E,5,0),"")</f>
      </c>
      <c r="J4687" s="29">
        <f>IFERROR(VLOOKUP(F4687,CARTON_LOOKUP!$A:$E,2,0),"")</f>
      </c>
      <c r="K4687" s="29">
        <f>IFERROR(J4687*D4687,0)</f>
      </c>
      <c r="L4687" s="29">
        <f>IFERROR(E4687*C4687,0)</f>
      </c>
      <c r="M4687" s="29">
        <f>IFERROR((G4687*H4687*I4687/1000000)*D4687,0)</f>
      </c>
    </row>
    <row r="4688" spans="1:13" x14ac:dyDescent="0.25">
      <c r="A4688" s="16"/>
      <c r="E4688" s="27"/>
      <c r="F4688" t="s">
        <v>26</v>
      </c>
      <c r="G4688" s="28">
        <f>IFERROR(VLOOKUP(F4688,CARTON_LOOKUP!$A:$E,3,0),"")</f>
      </c>
      <c r="H4688" s="28">
        <f>IFERROR(VLOOKUP(F4688,CARTON_LOOKUP!$A:$E,4,0),"")</f>
      </c>
      <c r="I4688" s="28">
        <f>IFERROR(VLOOKUP(F4688,CARTON_LOOKUP!$A:$E,5,0),"")</f>
      </c>
      <c r="J4688" s="29">
        <f>IFERROR(VLOOKUP(F4688,CARTON_LOOKUP!$A:$E,2,0),"")</f>
      </c>
      <c r="K4688" s="29">
        <f>IFERROR(J4688*D4688,0)</f>
      </c>
      <c r="L4688" s="29">
        <f>IFERROR(E4688*C4688,0)</f>
      </c>
      <c r="M4688" s="29">
        <f>IFERROR((G4688*H4688*I4688/1000000)*D4688,0)</f>
      </c>
    </row>
    <row r="4689" spans="1:13" x14ac:dyDescent="0.25">
      <c r="A4689" s="16"/>
      <c r="E4689" s="27"/>
      <c r="F4689" t="s">
        <v>26</v>
      </c>
      <c r="G4689" s="28">
        <f>IFERROR(VLOOKUP(F4689,CARTON_LOOKUP!$A:$E,3,0),"")</f>
      </c>
      <c r="H4689" s="28">
        <f>IFERROR(VLOOKUP(F4689,CARTON_LOOKUP!$A:$E,4,0),"")</f>
      </c>
      <c r="I4689" s="28">
        <f>IFERROR(VLOOKUP(F4689,CARTON_LOOKUP!$A:$E,5,0),"")</f>
      </c>
      <c r="J4689" s="29">
        <f>IFERROR(VLOOKUP(F4689,CARTON_LOOKUP!$A:$E,2,0),"")</f>
      </c>
      <c r="K4689" s="29">
        <f>IFERROR(J4689*D4689,0)</f>
      </c>
      <c r="L4689" s="29">
        <f>IFERROR(E4689*C4689,0)</f>
      </c>
      <c r="M4689" s="29">
        <f>IFERROR((G4689*H4689*I4689/1000000)*D4689,0)</f>
      </c>
    </row>
    <row r="4690" spans="1:13" x14ac:dyDescent="0.25">
      <c r="A4690" s="16"/>
      <c r="E4690" s="27"/>
      <c r="F4690" t="s">
        <v>26</v>
      </c>
      <c r="G4690" s="28">
        <f>IFERROR(VLOOKUP(F4690,CARTON_LOOKUP!$A:$E,3,0),"")</f>
      </c>
      <c r="H4690" s="28">
        <f>IFERROR(VLOOKUP(F4690,CARTON_LOOKUP!$A:$E,4,0),"")</f>
      </c>
      <c r="I4690" s="28">
        <f>IFERROR(VLOOKUP(F4690,CARTON_LOOKUP!$A:$E,5,0),"")</f>
      </c>
      <c r="J4690" s="29">
        <f>IFERROR(VLOOKUP(F4690,CARTON_LOOKUP!$A:$E,2,0),"")</f>
      </c>
      <c r="K4690" s="29">
        <f>IFERROR(J4690*D4690,0)</f>
      </c>
      <c r="L4690" s="29">
        <f>IFERROR(E4690*C4690,0)</f>
      </c>
      <c r="M4690" s="29">
        <f>IFERROR((G4690*H4690*I4690/1000000)*D4690,0)</f>
      </c>
    </row>
    <row r="4691" spans="1:13" x14ac:dyDescent="0.25">
      <c r="A4691" s="16"/>
      <c r="E4691" s="27"/>
      <c r="F4691" t="s">
        <v>26</v>
      </c>
      <c r="G4691" s="28">
        <f>IFERROR(VLOOKUP(F4691,CARTON_LOOKUP!$A:$E,3,0),"")</f>
      </c>
      <c r="H4691" s="28">
        <f>IFERROR(VLOOKUP(F4691,CARTON_LOOKUP!$A:$E,4,0),"")</f>
      </c>
      <c r="I4691" s="28">
        <f>IFERROR(VLOOKUP(F4691,CARTON_LOOKUP!$A:$E,5,0),"")</f>
      </c>
      <c r="J4691" s="29">
        <f>IFERROR(VLOOKUP(F4691,CARTON_LOOKUP!$A:$E,2,0),"")</f>
      </c>
      <c r="K4691" s="29">
        <f>IFERROR(J4691*D4691,0)</f>
      </c>
      <c r="L4691" s="29">
        <f>IFERROR(E4691*C4691,0)</f>
      </c>
      <c r="M4691" s="29">
        <f>IFERROR((G4691*H4691*I4691/1000000)*D4691,0)</f>
      </c>
    </row>
    <row r="4692" spans="1:13" x14ac:dyDescent="0.25">
      <c r="A4692" s="16"/>
      <c r="E4692" s="27"/>
      <c r="F4692" t="s">
        <v>26</v>
      </c>
      <c r="G4692" s="28">
        <f>IFERROR(VLOOKUP(F4692,CARTON_LOOKUP!$A:$E,3,0),"")</f>
      </c>
      <c r="H4692" s="28">
        <f>IFERROR(VLOOKUP(F4692,CARTON_LOOKUP!$A:$E,4,0),"")</f>
      </c>
      <c r="I4692" s="28">
        <f>IFERROR(VLOOKUP(F4692,CARTON_LOOKUP!$A:$E,5,0),"")</f>
      </c>
      <c r="J4692" s="29">
        <f>IFERROR(VLOOKUP(F4692,CARTON_LOOKUP!$A:$E,2,0),"")</f>
      </c>
      <c r="K4692" s="29">
        <f>IFERROR(J4692*D4692,0)</f>
      </c>
      <c r="L4692" s="29">
        <f>IFERROR(E4692*C4692,0)</f>
      </c>
      <c r="M4692" s="29">
        <f>IFERROR((G4692*H4692*I4692/1000000)*D4692,0)</f>
      </c>
    </row>
    <row r="4693" spans="1:13" x14ac:dyDescent="0.25">
      <c r="A4693" s="16"/>
      <c r="E4693" s="27"/>
      <c r="F4693" t="s">
        <v>26</v>
      </c>
      <c r="G4693" s="28">
        <f>IFERROR(VLOOKUP(F4693,CARTON_LOOKUP!$A:$E,3,0),"")</f>
      </c>
      <c r="H4693" s="28">
        <f>IFERROR(VLOOKUP(F4693,CARTON_LOOKUP!$A:$E,4,0),"")</f>
      </c>
      <c r="I4693" s="28">
        <f>IFERROR(VLOOKUP(F4693,CARTON_LOOKUP!$A:$E,5,0),"")</f>
      </c>
      <c r="J4693" s="29">
        <f>IFERROR(VLOOKUP(F4693,CARTON_LOOKUP!$A:$E,2,0),"")</f>
      </c>
      <c r="K4693" s="29">
        <f>IFERROR(J4693*D4693,0)</f>
      </c>
      <c r="L4693" s="29">
        <f>IFERROR(E4693*C4693,0)</f>
      </c>
      <c r="M4693" s="29">
        <f>IFERROR((G4693*H4693*I4693/1000000)*D4693,0)</f>
      </c>
    </row>
    <row r="4694" spans="1:13" x14ac:dyDescent="0.25">
      <c r="A4694" s="16"/>
      <c r="E4694" s="27"/>
      <c r="F4694" t="s">
        <v>26</v>
      </c>
      <c r="G4694" s="28">
        <f>IFERROR(VLOOKUP(F4694,CARTON_LOOKUP!$A:$E,3,0),"")</f>
      </c>
      <c r="H4694" s="28">
        <f>IFERROR(VLOOKUP(F4694,CARTON_LOOKUP!$A:$E,4,0),"")</f>
      </c>
      <c r="I4694" s="28">
        <f>IFERROR(VLOOKUP(F4694,CARTON_LOOKUP!$A:$E,5,0),"")</f>
      </c>
      <c r="J4694" s="29">
        <f>IFERROR(VLOOKUP(F4694,CARTON_LOOKUP!$A:$E,2,0),"")</f>
      </c>
      <c r="K4694" s="29">
        <f>IFERROR(J4694*D4694,0)</f>
      </c>
      <c r="L4694" s="29">
        <f>IFERROR(E4694*C4694,0)</f>
      </c>
      <c r="M4694" s="29">
        <f>IFERROR((G4694*H4694*I4694/1000000)*D4694,0)</f>
      </c>
    </row>
    <row r="4695" spans="1:13" x14ac:dyDescent="0.25">
      <c r="A4695" s="16"/>
      <c r="E4695" s="27"/>
      <c r="F4695" t="s">
        <v>26</v>
      </c>
      <c r="G4695" s="28">
        <f>IFERROR(VLOOKUP(F4695,CARTON_LOOKUP!$A:$E,3,0),"")</f>
      </c>
      <c r="H4695" s="28">
        <f>IFERROR(VLOOKUP(F4695,CARTON_LOOKUP!$A:$E,4,0),"")</f>
      </c>
      <c r="I4695" s="28">
        <f>IFERROR(VLOOKUP(F4695,CARTON_LOOKUP!$A:$E,5,0),"")</f>
      </c>
      <c r="J4695" s="29">
        <f>IFERROR(VLOOKUP(F4695,CARTON_LOOKUP!$A:$E,2,0),"")</f>
      </c>
      <c r="K4695" s="29">
        <f>IFERROR(J4695*D4695,0)</f>
      </c>
      <c r="L4695" s="29">
        <f>IFERROR(E4695*C4695,0)</f>
      </c>
      <c r="M4695" s="29">
        <f>IFERROR((G4695*H4695*I4695/1000000)*D4695,0)</f>
      </c>
    </row>
    <row r="4696" spans="1:13" x14ac:dyDescent="0.25">
      <c r="A4696" s="16"/>
      <c r="E4696" s="27"/>
      <c r="F4696" t="s">
        <v>26</v>
      </c>
      <c r="G4696" s="28">
        <f>IFERROR(VLOOKUP(F4696,CARTON_LOOKUP!$A:$E,3,0),"")</f>
      </c>
      <c r="H4696" s="28">
        <f>IFERROR(VLOOKUP(F4696,CARTON_LOOKUP!$A:$E,4,0),"")</f>
      </c>
      <c r="I4696" s="28">
        <f>IFERROR(VLOOKUP(F4696,CARTON_LOOKUP!$A:$E,5,0),"")</f>
      </c>
      <c r="J4696" s="29">
        <f>IFERROR(VLOOKUP(F4696,CARTON_LOOKUP!$A:$E,2,0),"")</f>
      </c>
      <c r="K4696" s="29">
        <f>IFERROR(J4696*D4696,0)</f>
      </c>
      <c r="L4696" s="29">
        <f>IFERROR(E4696*C4696,0)</f>
      </c>
      <c r="M4696" s="29">
        <f>IFERROR((G4696*H4696*I4696/1000000)*D4696,0)</f>
      </c>
    </row>
    <row r="4697" spans="1:13" x14ac:dyDescent="0.25">
      <c r="A4697" s="16"/>
      <c r="E4697" s="27"/>
      <c r="F4697" t="s">
        <v>26</v>
      </c>
      <c r="G4697" s="28">
        <f>IFERROR(VLOOKUP(F4697,CARTON_LOOKUP!$A:$E,3,0),"")</f>
      </c>
      <c r="H4697" s="28">
        <f>IFERROR(VLOOKUP(F4697,CARTON_LOOKUP!$A:$E,4,0),"")</f>
      </c>
      <c r="I4697" s="28">
        <f>IFERROR(VLOOKUP(F4697,CARTON_LOOKUP!$A:$E,5,0),"")</f>
      </c>
      <c r="J4697" s="29">
        <f>IFERROR(VLOOKUP(F4697,CARTON_LOOKUP!$A:$E,2,0),"")</f>
      </c>
      <c r="K4697" s="29">
        <f>IFERROR(J4697*D4697,0)</f>
      </c>
      <c r="L4697" s="29">
        <f>IFERROR(E4697*C4697,0)</f>
      </c>
      <c r="M4697" s="29">
        <f>IFERROR((G4697*H4697*I4697/1000000)*D4697,0)</f>
      </c>
    </row>
    <row r="4698" spans="1:13" x14ac:dyDescent="0.25">
      <c r="A4698" s="16"/>
      <c r="E4698" s="27"/>
      <c r="F4698" t="s">
        <v>26</v>
      </c>
      <c r="G4698" s="28">
        <f>IFERROR(VLOOKUP(F4698,CARTON_LOOKUP!$A:$E,3,0),"")</f>
      </c>
      <c r="H4698" s="28">
        <f>IFERROR(VLOOKUP(F4698,CARTON_LOOKUP!$A:$E,4,0),"")</f>
      </c>
      <c r="I4698" s="28">
        <f>IFERROR(VLOOKUP(F4698,CARTON_LOOKUP!$A:$E,5,0),"")</f>
      </c>
      <c r="J4698" s="29">
        <f>IFERROR(VLOOKUP(F4698,CARTON_LOOKUP!$A:$E,2,0),"")</f>
      </c>
      <c r="K4698" s="29">
        <f>IFERROR(J4698*D4698,0)</f>
      </c>
      <c r="L4698" s="29">
        <f>IFERROR(E4698*C4698,0)</f>
      </c>
      <c r="M4698" s="29">
        <f>IFERROR((G4698*H4698*I4698/1000000)*D4698,0)</f>
      </c>
    </row>
    <row r="4699" spans="1:13" x14ac:dyDescent="0.25">
      <c r="A4699" s="16"/>
      <c r="E4699" s="27"/>
      <c r="F4699" t="s">
        <v>26</v>
      </c>
      <c r="G4699" s="28">
        <f>IFERROR(VLOOKUP(F4699,CARTON_LOOKUP!$A:$E,3,0),"")</f>
      </c>
      <c r="H4699" s="28">
        <f>IFERROR(VLOOKUP(F4699,CARTON_LOOKUP!$A:$E,4,0),"")</f>
      </c>
      <c r="I4699" s="28">
        <f>IFERROR(VLOOKUP(F4699,CARTON_LOOKUP!$A:$E,5,0),"")</f>
      </c>
      <c r="J4699" s="29">
        <f>IFERROR(VLOOKUP(F4699,CARTON_LOOKUP!$A:$E,2,0),"")</f>
      </c>
      <c r="K4699" s="29">
        <f>IFERROR(J4699*D4699,0)</f>
      </c>
      <c r="L4699" s="29">
        <f>IFERROR(E4699*C4699,0)</f>
      </c>
      <c r="M4699" s="29">
        <f>IFERROR((G4699*H4699*I4699/1000000)*D4699,0)</f>
      </c>
    </row>
    <row r="4700" spans="1:13" x14ac:dyDescent="0.25">
      <c r="A4700" s="16"/>
      <c r="E4700" s="27"/>
      <c r="F4700" t="s">
        <v>26</v>
      </c>
      <c r="G4700" s="28">
        <f>IFERROR(VLOOKUP(F4700,CARTON_LOOKUP!$A:$E,3,0),"")</f>
      </c>
      <c r="H4700" s="28">
        <f>IFERROR(VLOOKUP(F4700,CARTON_LOOKUP!$A:$E,4,0),"")</f>
      </c>
      <c r="I4700" s="28">
        <f>IFERROR(VLOOKUP(F4700,CARTON_LOOKUP!$A:$E,5,0),"")</f>
      </c>
      <c r="J4700" s="29">
        <f>IFERROR(VLOOKUP(F4700,CARTON_LOOKUP!$A:$E,2,0),"")</f>
      </c>
      <c r="K4700" s="29">
        <f>IFERROR(J4700*D4700,0)</f>
      </c>
      <c r="L4700" s="29">
        <f>IFERROR(E4700*C4700,0)</f>
      </c>
      <c r="M4700" s="29">
        <f>IFERROR((G4700*H4700*I4700/1000000)*D4700,0)</f>
      </c>
    </row>
    <row r="4701" spans="1:13" x14ac:dyDescent="0.25">
      <c r="A4701" s="16"/>
      <c r="E4701" s="27"/>
      <c r="F4701" t="s">
        <v>26</v>
      </c>
      <c r="G4701" s="28">
        <f>IFERROR(VLOOKUP(F4701,CARTON_LOOKUP!$A:$E,3,0),"")</f>
      </c>
      <c r="H4701" s="28">
        <f>IFERROR(VLOOKUP(F4701,CARTON_LOOKUP!$A:$E,4,0),"")</f>
      </c>
      <c r="I4701" s="28">
        <f>IFERROR(VLOOKUP(F4701,CARTON_LOOKUP!$A:$E,5,0),"")</f>
      </c>
      <c r="J4701" s="29">
        <f>IFERROR(VLOOKUP(F4701,CARTON_LOOKUP!$A:$E,2,0),"")</f>
      </c>
      <c r="K4701" s="29">
        <f>IFERROR(J4701*D4701,0)</f>
      </c>
      <c r="L4701" s="29">
        <f>IFERROR(E4701*C4701,0)</f>
      </c>
      <c r="M4701" s="29">
        <f>IFERROR((G4701*H4701*I4701/1000000)*D4701,0)</f>
      </c>
    </row>
    <row r="4702" spans="1:13" x14ac:dyDescent="0.25">
      <c r="A4702" s="16"/>
      <c r="E4702" s="27"/>
      <c r="F4702" t="s">
        <v>26</v>
      </c>
      <c r="G4702" s="28">
        <f>IFERROR(VLOOKUP(F4702,CARTON_LOOKUP!$A:$E,3,0),"")</f>
      </c>
      <c r="H4702" s="28">
        <f>IFERROR(VLOOKUP(F4702,CARTON_LOOKUP!$A:$E,4,0),"")</f>
      </c>
      <c r="I4702" s="28">
        <f>IFERROR(VLOOKUP(F4702,CARTON_LOOKUP!$A:$E,5,0),"")</f>
      </c>
      <c r="J4702" s="29">
        <f>IFERROR(VLOOKUP(F4702,CARTON_LOOKUP!$A:$E,2,0),"")</f>
      </c>
      <c r="K4702" s="29">
        <f>IFERROR(J4702*D4702,0)</f>
      </c>
      <c r="L4702" s="29">
        <f>IFERROR(E4702*C4702,0)</f>
      </c>
      <c r="M4702" s="29">
        <f>IFERROR((G4702*H4702*I4702/1000000)*D4702,0)</f>
      </c>
    </row>
    <row r="4703" spans="1:13" x14ac:dyDescent="0.25">
      <c r="A4703" s="16"/>
      <c r="E4703" s="27"/>
      <c r="F4703" t="s">
        <v>26</v>
      </c>
      <c r="G4703" s="28">
        <f>IFERROR(VLOOKUP(F4703,CARTON_LOOKUP!$A:$E,3,0),"")</f>
      </c>
      <c r="H4703" s="28">
        <f>IFERROR(VLOOKUP(F4703,CARTON_LOOKUP!$A:$E,4,0),"")</f>
      </c>
      <c r="I4703" s="28">
        <f>IFERROR(VLOOKUP(F4703,CARTON_LOOKUP!$A:$E,5,0),"")</f>
      </c>
      <c r="J4703" s="29">
        <f>IFERROR(VLOOKUP(F4703,CARTON_LOOKUP!$A:$E,2,0),"")</f>
      </c>
      <c r="K4703" s="29">
        <f>IFERROR(J4703*D4703,0)</f>
      </c>
      <c r="L4703" s="29">
        <f>IFERROR(E4703*C4703,0)</f>
      </c>
      <c r="M4703" s="29">
        <f>IFERROR((G4703*H4703*I4703/1000000)*D4703,0)</f>
      </c>
    </row>
    <row r="4704" spans="1:13" x14ac:dyDescent="0.25">
      <c r="A4704" s="16"/>
      <c r="E4704" s="27"/>
      <c r="F4704" t="s">
        <v>26</v>
      </c>
      <c r="G4704" s="28">
        <f>IFERROR(VLOOKUP(F4704,CARTON_LOOKUP!$A:$E,3,0),"")</f>
      </c>
      <c r="H4704" s="28">
        <f>IFERROR(VLOOKUP(F4704,CARTON_LOOKUP!$A:$E,4,0),"")</f>
      </c>
      <c r="I4704" s="28">
        <f>IFERROR(VLOOKUP(F4704,CARTON_LOOKUP!$A:$E,5,0),"")</f>
      </c>
      <c r="J4704" s="29">
        <f>IFERROR(VLOOKUP(F4704,CARTON_LOOKUP!$A:$E,2,0),"")</f>
      </c>
      <c r="K4704" s="29">
        <f>IFERROR(J4704*D4704,0)</f>
      </c>
      <c r="L4704" s="29">
        <f>IFERROR(E4704*C4704,0)</f>
      </c>
      <c r="M4704" s="29">
        <f>IFERROR((G4704*H4704*I4704/1000000)*D4704,0)</f>
      </c>
    </row>
    <row r="4705" spans="1:13" x14ac:dyDescent="0.25">
      <c r="A4705" s="16"/>
      <c r="E4705" s="27"/>
      <c r="F4705" t="s">
        <v>26</v>
      </c>
      <c r="G4705" s="28">
        <f>IFERROR(VLOOKUP(F4705,CARTON_LOOKUP!$A:$E,3,0),"")</f>
      </c>
      <c r="H4705" s="28">
        <f>IFERROR(VLOOKUP(F4705,CARTON_LOOKUP!$A:$E,4,0),"")</f>
      </c>
      <c r="I4705" s="28">
        <f>IFERROR(VLOOKUP(F4705,CARTON_LOOKUP!$A:$E,5,0),"")</f>
      </c>
      <c r="J4705" s="29">
        <f>IFERROR(VLOOKUP(F4705,CARTON_LOOKUP!$A:$E,2,0),"")</f>
      </c>
      <c r="K4705" s="29">
        <f>IFERROR(J4705*D4705,0)</f>
      </c>
      <c r="L4705" s="29">
        <f>IFERROR(E4705*C4705,0)</f>
      </c>
      <c r="M4705" s="29">
        <f>IFERROR((G4705*H4705*I4705/1000000)*D4705,0)</f>
      </c>
    </row>
    <row r="4706" spans="1:13" x14ac:dyDescent="0.25">
      <c r="A4706" s="16"/>
      <c r="E4706" s="27"/>
      <c r="F4706" t="s">
        <v>26</v>
      </c>
      <c r="G4706" s="28">
        <f>IFERROR(VLOOKUP(F4706,CARTON_LOOKUP!$A:$E,3,0),"")</f>
      </c>
      <c r="H4706" s="28">
        <f>IFERROR(VLOOKUP(F4706,CARTON_LOOKUP!$A:$E,4,0),"")</f>
      </c>
      <c r="I4706" s="28">
        <f>IFERROR(VLOOKUP(F4706,CARTON_LOOKUP!$A:$E,5,0),"")</f>
      </c>
      <c r="J4706" s="29">
        <f>IFERROR(VLOOKUP(F4706,CARTON_LOOKUP!$A:$E,2,0),"")</f>
      </c>
      <c r="K4706" s="29">
        <f>IFERROR(J4706*D4706,0)</f>
      </c>
      <c r="L4706" s="29">
        <f>IFERROR(E4706*C4706,0)</f>
      </c>
      <c r="M4706" s="29">
        <f>IFERROR((G4706*H4706*I4706/1000000)*D4706,0)</f>
      </c>
    </row>
    <row r="4707" spans="1:13" x14ac:dyDescent="0.25">
      <c r="A4707" s="16"/>
      <c r="E4707" s="27"/>
      <c r="F4707" t="s">
        <v>26</v>
      </c>
      <c r="G4707" s="28">
        <f>IFERROR(VLOOKUP(F4707,CARTON_LOOKUP!$A:$E,3,0),"")</f>
      </c>
      <c r="H4707" s="28">
        <f>IFERROR(VLOOKUP(F4707,CARTON_LOOKUP!$A:$E,4,0),"")</f>
      </c>
      <c r="I4707" s="28">
        <f>IFERROR(VLOOKUP(F4707,CARTON_LOOKUP!$A:$E,5,0),"")</f>
      </c>
      <c r="J4707" s="29">
        <f>IFERROR(VLOOKUP(F4707,CARTON_LOOKUP!$A:$E,2,0),"")</f>
      </c>
      <c r="K4707" s="29">
        <f>IFERROR(J4707*D4707,0)</f>
      </c>
      <c r="L4707" s="29">
        <f>IFERROR(E4707*C4707,0)</f>
      </c>
      <c r="M4707" s="29">
        <f>IFERROR((G4707*H4707*I4707/1000000)*D4707,0)</f>
      </c>
    </row>
    <row r="4708" spans="1:13" x14ac:dyDescent="0.25">
      <c r="A4708" s="16"/>
      <c r="E4708" s="27"/>
      <c r="F4708" t="s">
        <v>26</v>
      </c>
      <c r="G4708" s="28">
        <f>IFERROR(VLOOKUP(F4708,CARTON_LOOKUP!$A:$E,3,0),"")</f>
      </c>
      <c r="H4708" s="28">
        <f>IFERROR(VLOOKUP(F4708,CARTON_LOOKUP!$A:$E,4,0),"")</f>
      </c>
      <c r="I4708" s="28">
        <f>IFERROR(VLOOKUP(F4708,CARTON_LOOKUP!$A:$E,5,0),"")</f>
      </c>
      <c r="J4708" s="29">
        <f>IFERROR(VLOOKUP(F4708,CARTON_LOOKUP!$A:$E,2,0),"")</f>
      </c>
      <c r="K4708" s="29">
        <f>IFERROR(J4708*D4708,0)</f>
      </c>
      <c r="L4708" s="29">
        <f>IFERROR(E4708*C4708,0)</f>
      </c>
      <c r="M4708" s="29">
        <f>IFERROR((G4708*H4708*I4708/1000000)*D4708,0)</f>
      </c>
    </row>
    <row r="4709" spans="1:13" x14ac:dyDescent="0.25">
      <c r="A4709" s="16"/>
      <c r="E4709" s="27"/>
      <c r="F4709" t="s">
        <v>26</v>
      </c>
      <c r="G4709" s="28">
        <f>IFERROR(VLOOKUP(F4709,CARTON_LOOKUP!$A:$E,3,0),"")</f>
      </c>
      <c r="H4709" s="28">
        <f>IFERROR(VLOOKUP(F4709,CARTON_LOOKUP!$A:$E,4,0),"")</f>
      </c>
      <c r="I4709" s="28">
        <f>IFERROR(VLOOKUP(F4709,CARTON_LOOKUP!$A:$E,5,0),"")</f>
      </c>
      <c r="J4709" s="29">
        <f>IFERROR(VLOOKUP(F4709,CARTON_LOOKUP!$A:$E,2,0),"")</f>
      </c>
      <c r="K4709" s="29">
        <f>IFERROR(J4709*D4709,0)</f>
      </c>
      <c r="L4709" s="29">
        <f>IFERROR(E4709*C4709,0)</f>
      </c>
      <c r="M4709" s="29">
        <f>IFERROR((G4709*H4709*I4709/1000000)*D4709,0)</f>
      </c>
    </row>
    <row r="4710" spans="1:13" x14ac:dyDescent="0.25">
      <c r="A4710" s="16"/>
      <c r="E4710" s="27"/>
      <c r="F4710" t="s">
        <v>26</v>
      </c>
      <c r="G4710" s="28">
        <f>IFERROR(VLOOKUP(F4710,CARTON_LOOKUP!$A:$E,3,0),"")</f>
      </c>
      <c r="H4710" s="28">
        <f>IFERROR(VLOOKUP(F4710,CARTON_LOOKUP!$A:$E,4,0),"")</f>
      </c>
      <c r="I4710" s="28">
        <f>IFERROR(VLOOKUP(F4710,CARTON_LOOKUP!$A:$E,5,0),"")</f>
      </c>
      <c r="J4710" s="29">
        <f>IFERROR(VLOOKUP(F4710,CARTON_LOOKUP!$A:$E,2,0),"")</f>
      </c>
      <c r="K4710" s="29">
        <f>IFERROR(J4710*D4710,0)</f>
      </c>
      <c r="L4710" s="29">
        <f>IFERROR(E4710*C4710,0)</f>
      </c>
      <c r="M4710" s="29">
        <f>IFERROR((G4710*H4710*I4710/1000000)*D4710,0)</f>
      </c>
    </row>
    <row r="4711" spans="1:13" x14ac:dyDescent="0.25">
      <c r="A4711" s="16"/>
      <c r="E4711" s="27"/>
      <c r="F4711" t="s">
        <v>26</v>
      </c>
      <c r="G4711" s="28">
        <f>IFERROR(VLOOKUP(F4711,CARTON_LOOKUP!$A:$E,3,0),"")</f>
      </c>
      <c r="H4711" s="28">
        <f>IFERROR(VLOOKUP(F4711,CARTON_LOOKUP!$A:$E,4,0),"")</f>
      </c>
      <c r="I4711" s="28">
        <f>IFERROR(VLOOKUP(F4711,CARTON_LOOKUP!$A:$E,5,0),"")</f>
      </c>
      <c r="J4711" s="29">
        <f>IFERROR(VLOOKUP(F4711,CARTON_LOOKUP!$A:$E,2,0),"")</f>
      </c>
      <c r="K4711" s="29">
        <f>IFERROR(J4711*D4711,0)</f>
      </c>
      <c r="L4711" s="29">
        <f>IFERROR(E4711*C4711,0)</f>
      </c>
      <c r="M4711" s="29">
        <f>IFERROR((G4711*H4711*I4711/1000000)*D4711,0)</f>
      </c>
    </row>
    <row r="4712" spans="1:13" x14ac:dyDescent="0.25">
      <c r="A4712" s="16"/>
      <c r="E4712" s="27"/>
      <c r="F4712" t="s">
        <v>26</v>
      </c>
      <c r="G4712" s="28">
        <f>IFERROR(VLOOKUP(F4712,CARTON_LOOKUP!$A:$E,3,0),"")</f>
      </c>
      <c r="H4712" s="28">
        <f>IFERROR(VLOOKUP(F4712,CARTON_LOOKUP!$A:$E,4,0),"")</f>
      </c>
      <c r="I4712" s="28">
        <f>IFERROR(VLOOKUP(F4712,CARTON_LOOKUP!$A:$E,5,0),"")</f>
      </c>
      <c r="J4712" s="29">
        <f>IFERROR(VLOOKUP(F4712,CARTON_LOOKUP!$A:$E,2,0),"")</f>
      </c>
      <c r="K4712" s="29">
        <f>IFERROR(J4712*D4712,0)</f>
      </c>
      <c r="L4712" s="29">
        <f>IFERROR(E4712*C4712,0)</f>
      </c>
      <c r="M4712" s="29">
        <f>IFERROR((G4712*H4712*I4712/1000000)*D4712,0)</f>
      </c>
    </row>
    <row r="4713" spans="1:13" x14ac:dyDescent="0.25">
      <c r="A4713" s="16"/>
      <c r="E4713" s="27"/>
      <c r="F4713" t="s">
        <v>26</v>
      </c>
      <c r="G4713" s="28">
        <f>IFERROR(VLOOKUP(F4713,CARTON_LOOKUP!$A:$E,3,0),"")</f>
      </c>
      <c r="H4713" s="28">
        <f>IFERROR(VLOOKUP(F4713,CARTON_LOOKUP!$A:$E,4,0),"")</f>
      </c>
      <c r="I4713" s="28">
        <f>IFERROR(VLOOKUP(F4713,CARTON_LOOKUP!$A:$E,5,0),"")</f>
      </c>
      <c r="J4713" s="29">
        <f>IFERROR(VLOOKUP(F4713,CARTON_LOOKUP!$A:$E,2,0),"")</f>
      </c>
      <c r="K4713" s="29">
        <f>IFERROR(J4713*D4713,0)</f>
      </c>
      <c r="L4713" s="29">
        <f>IFERROR(E4713*C4713,0)</f>
      </c>
      <c r="M4713" s="29">
        <f>IFERROR((G4713*H4713*I4713/1000000)*D4713,0)</f>
      </c>
    </row>
    <row r="4714" spans="1:13" x14ac:dyDescent="0.25">
      <c r="A4714" s="16"/>
      <c r="E4714" s="27"/>
      <c r="F4714" t="s">
        <v>26</v>
      </c>
      <c r="G4714" s="28">
        <f>IFERROR(VLOOKUP(F4714,CARTON_LOOKUP!$A:$E,3,0),"")</f>
      </c>
      <c r="H4714" s="28">
        <f>IFERROR(VLOOKUP(F4714,CARTON_LOOKUP!$A:$E,4,0),"")</f>
      </c>
      <c r="I4714" s="28">
        <f>IFERROR(VLOOKUP(F4714,CARTON_LOOKUP!$A:$E,5,0),"")</f>
      </c>
      <c r="J4714" s="29">
        <f>IFERROR(VLOOKUP(F4714,CARTON_LOOKUP!$A:$E,2,0),"")</f>
      </c>
      <c r="K4714" s="29">
        <f>IFERROR(J4714*D4714,0)</f>
      </c>
      <c r="L4714" s="29">
        <f>IFERROR(E4714*C4714,0)</f>
      </c>
      <c r="M4714" s="29">
        <f>IFERROR((G4714*H4714*I4714/1000000)*D4714,0)</f>
      </c>
    </row>
    <row r="4715" spans="1:13" x14ac:dyDescent="0.25">
      <c r="A4715" s="16"/>
      <c r="E4715" s="27"/>
      <c r="F4715" t="s">
        <v>26</v>
      </c>
      <c r="G4715" s="28">
        <f>IFERROR(VLOOKUP(F4715,CARTON_LOOKUP!$A:$E,3,0),"")</f>
      </c>
      <c r="H4715" s="28">
        <f>IFERROR(VLOOKUP(F4715,CARTON_LOOKUP!$A:$E,4,0),"")</f>
      </c>
      <c r="I4715" s="28">
        <f>IFERROR(VLOOKUP(F4715,CARTON_LOOKUP!$A:$E,5,0),"")</f>
      </c>
      <c r="J4715" s="29">
        <f>IFERROR(VLOOKUP(F4715,CARTON_LOOKUP!$A:$E,2,0),"")</f>
      </c>
      <c r="K4715" s="29">
        <f>IFERROR(J4715*D4715,0)</f>
      </c>
      <c r="L4715" s="29">
        <f>IFERROR(E4715*C4715,0)</f>
      </c>
      <c r="M4715" s="29">
        <f>IFERROR((G4715*H4715*I4715/1000000)*D4715,0)</f>
      </c>
    </row>
    <row r="4716" spans="1:13" x14ac:dyDescent="0.25">
      <c r="A4716" s="16"/>
      <c r="E4716" s="27"/>
      <c r="F4716" t="s">
        <v>26</v>
      </c>
      <c r="G4716" s="28">
        <f>IFERROR(VLOOKUP(F4716,CARTON_LOOKUP!$A:$E,3,0),"")</f>
      </c>
      <c r="H4716" s="28">
        <f>IFERROR(VLOOKUP(F4716,CARTON_LOOKUP!$A:$E,4,0),"")</f>
      </c>
      <c r="I4716" s="28">
        <f>IFERROR(VLOOKUP(F4716,CARTON_LOOKUP!$A:$E,5,0),"")</f>
      </c>
      <c r="J4716" s="29">
        <f>IFERROR(VLOOKUP(F4716,CARTON_LOOKUP!$A:$E,2,0),"")</f>
      </c>
      <c r="K4716" s="29">
        <f>IFERROR(J4716*D4716,0)</f>
      </c>
      <c r="L4716" s="29">
        <f>IFERROR(E4716*C4716,0)</f>
      </c>
      <c r="M4716" s="29">
        <f>IFERROR((G4716*H4716*I4716/1000000)*D4716,0)</f>
      </c>
    </row>
    <row r="4717" spans="1:13" x14ac:dyDescent="0.25">
      <c r="A4717" s="16"/>
      <c r="E4717" s="27"/>
      <c r="F4717" t="s">
        <v>26</v>
      </c>
      <c r="G4717" s="28">
        <f>IFERROR(VLOOKUP(F4717,CARTON_LOOKUP!$A:$E,3,0),"")</f>
      </c>
      <c r="H4717" s="28">
        <f>IFERROR(VLOOKUP(F4717,CARTON_LOOKUP!$A:$E,4,0),"")</f>
      </c>
      <c r="I4717" s="28">
        <f>IFERROR(VLOOKUP(F4717,CARTON_LOOKUP!$A:$E,5,0),"")</f>
      </c>
      <c r="J4717" s="29">
        <f>IFERROR(VLOOKUP(F4717,CARTON_LOOKUP!$A:$E,2,0),"")</f>
      </c>
      <c r="K4717" s="29">
        <f>IFERROR(J4717*D4717,0)</f>
      </c>
      <c r="L4717" s="29">
        <f>IFERROR(E4717*C4717,0)</f>
      </c>
      <c r="M4717" s="29">
        <f>IFERROR((G4717*H4717*I4717/1000000)*D4717,0)</f>
      </c>
    </row>
    <row r="4718" spans="1:13" x14ac:dyDescent="0.25">
      <c r="A4718" s="16"/>
      <c r="E4718" s="27"/>
      <c r="F4718" t="s">
        <v>26</v>
      </c>
      <c r="G4718" s="28">
        <f>IFERROR(VLOOKUP(F4718,CARTON_LOOKUP!$A:$E,3,0),"")</f>
      </c>
      <c r="H4718" s="28">
        <f>IFERROR(VLOOKUP(F4718,CARTON_LOOKUP!$A:$E,4,0),"")</f>
      </c>
      <c r="I4718" s="28">
        <f>IFERROR(VLOOKUP(F4718,CARTON_LOOKUP!$A:$E,5,0),"")</f>
      </c>
      <c r="J4718" s="29">
        <f>IFERROR(VLOOKUP(F4718,CARTON_LOOKUP!$A:$E,2,0),"")</f>
      </c>
      <c r="K4718" s="29">
        <f>IFERROR(J4718*D4718,0)</f>
      </c>
      <c r="L4718" s="29">
        <f>IFERROR(E4718*C4718,0)</f>
      </c>
      <c r="M4718" s="29">
        <f>IFERROR((G4718*H4718*I4718/1000000)*D4718,0)</f>
      </c>
    </row>
    <row r="4719" spans="1:13" x14ac:dyDescent="0.25">
      <c r="A4719" s="16"/>
      <c r="E4719" s="27"/>
      <c r="F4719" t="s">
        <v>26</v>
      </c>
      <c r="G4719" s="28">
        <f>IFERROR(VLOOKUP(F4719,CARTON_LOOKUP!$A:$E,3,0),"")</f>
      </c>
      <c r="H4719" s="28">
        <f>IFERROR(VLOOKUP(F4719,CARTON_LOOKUP!$A:$E,4,0),"")</f>
      </c>
      <c r="I4719" s="28">
        <f>IFERROR(VLOOKUP(F4719,CARTON_LOOKUP!$A:$E,5,0),"")</f>
      </c>
      <c r="J4719" s="29">
        <f>IFERROR(VLOOKUP(F4719,CARTON_LOOKUP!$A:$E,2,0),"")</f>
      </c>
      <c r="K4719" s="29">
        <f>IFERROR(J4719*D4719,0)</f>
      </c>
      <c r="L4719" s="29">
        <f>IFERROR(E4719*C4719,0)</f>
      </c>
      <c r="M4719" s="29">
        <f>IFERROR((G4719*H4719*I4719/1000000)*D4719,0)</f>
      </c>
    </row>
    <row r="4720" spans="1:13" x14ac:dyDescent="0.25">
      <c r="A4720" s="16"/>
      <c r="E4720" s="27"/>
      <c r="F4720" t="s">
        <v>26</v>
      </c>
      <c r="G4720" s="28">
        <f>IFERROR(VLOOKUP(F4720,CARTON_LOOKUP!$A:$E,3,0),"")</f>
      </c>
      <c r="H4720" s="28">
        <f>IFERROR(VLOOKUP(F4720,CARTON_LOOKUP!$A:$E,4,0),"")</f>
      </c>
      <c r="I4720" s="28">
        <f>IFERROR(VLOOKUP(F4720,CARTON_LOOKUP!$A:$E,5,0),"")</f>
      </c>
      <c r="J4720" s="29">
        <f>IFERROR(VLOOKUP(F4720,CARTON_LOOKUP!$A:$E,2,0),"")</f>
      </c>
      <c r="K4720" s="29">
        <f>IFERROR(J4720*D4720,0)</f>
      </c>
      <c r="L4720" s="29">
        <f>IFERROR(E4720*C4720,0)</f>
      </c>
      <c r="M4720" s="29">
        <f>IFERROR((G4720*H4720*I4720/1000000)*D4720,0)</f>
      </c>
    </row>
    <row r="4721" spans="1:13" x14ac:dyDescent="0.25">
      <c r="A4721" s="16"/>
      <c r="E4721" s="27"/>
      <c r="F4721" t="s">
        <v>26</v>
      </c>
      <c r="G4721" s="28">
        <f>IFERROR(VLOOKUP(F4721,CARTON_LOOKUP!$A:$E,3,0),"")</f>
      </c>
      <c r="H4721" s="28">
        <f>IFERROR(VLOOKUP(F4721,CARTON_LOOKUP!$A:$E,4,0),"")</f>
      </c>
      <c r="I4721" s="28">
        <f>IFERROR(VLOOKUP(F4721,CARTON_LOOKUP!$A:$E,5,0),"")</f>
      </c>
      <c r="J4721" s="29">
        <f>IFERROR(VLOOKUP(F4721,CARTON_LOOKUP!$A:$E,2,0),"")</f>
      </c>
      <c r="K4721" s="29">
        <f>IFERROR(J4721*D4721,0)</f>
      </c>
      <c r="L4721" s="29">
        <f>IFERROR(E4721*C4721,0)</f>
      </c>
      <c r="M4721" s="29">
        <f>IFERROR((G4721*H4721*I4721/1000000)*D4721,0)</f>
      </c>
    </row>
    <row r="4722" spans="1:13" x14ac:dyDescent="0.25">
      <c r="A4722" s="16"/>
      <c r="E4722" s="27"/>
      <c r="F4722" t="s">
        <v>26</v>
      </c>
      <c r="G4722" s="28">
        <f>IFERROR(VLOOKUP(F4722,CARTON_LOOKUP!$A:$E,3,0),"")</f>
      </c>
      <c r="H4722" s="28">
        <f>IFERROR(VLOOKUP(F4722,CARTON_LOOKUP!$A:$E,4,0),"")</f>
      </c>
      <c r="I4722" s="28">
        <f>IFERROR(VLOOKUP(F4722,CARTON_LOOKUP!$A:$E,5,0),"")</f>
      </c>
      <c r="J4722" s="29">
        <f>IFERROR(VLOOKUP(F4722,CARTON_LOOKUP!$A:$E,2,0),"")</f>
      </c>
      <c r="K4722" s="29">
        <f>IFERROR(J4722*D4722,0)</f>
      </c>
      <c r="L4722" s="29">
        <f>IFERROR(E4722*C4722,0)</f>
      </c>
      <c r="M4722" s="29">
        <f>IFERROR((G4722*H4722*I4722/1000000)*D4722,0)</f>
      </c>
    </row>
    <row r="4723" spans="1:13" x14ac:dyDescent="0.25">
      <c r="A4723" s="16"/>
      <c r="E4723" s="27"/>
      <c r="F4723" t="s">
        <v>26</v>
      </c>
      <c r="G4723" s="28">
        <f>IFERROR(VLOOKUP(F4723,CARTON_LOOKUP!$A:$E,3,0),"")</f>
      </c>
      <c r="H4723" s="28">
        <f>IFERROR(VLOOKUP(F4723,CARTON_LOOKUP!$A:$E,4,0),"")</f>
      </c>
      <c r="I4723" s="28">
        <f>IFERROR(VLOOKUP(F4723,CARTON_LOOKUP!$A:$E,5,0),"")</f>
      </c>
      <c r="J4723" s="29">
        <f>IFERROR(VLOOKUP(F4723,CARTON_LOOKUP!$A:$E,2,0),"")</f>
      </c>
      <c r="K4723" s="29">
        <f>IFERROR(J4723*D4723,0)</f>
      </c>
      <c r="L4723" s="29">
        <f>IFERROR(E4723*C4723,0)</f>
      </c>
      <c r="M4723" s="29">
        <f>IFERROR((G4723*H4723*I4723/1000000)*D4723,0)</f>
      </c>
    </row>
    <row r="4724" spans="1:13" x14ac:dyDescent="0.25">
      <c r="A4724" s="16"/>
      <c r="E4724" s="27"/>
      <c r="F4724" t="s">
        <v>26</v>
      </c>
      <c r="G4724" s="28">
        <f>IFERROR(VLOOKUP(F4724,CARTON_LOOKUP!$A:$E,3,0),"")</f>
      </c>
      <c r="H4724" s="28">
        <f>IFERROR(VLOOKUP(F4724,CARTON_LOOKUP!$A:$E,4,0),"")</f>
      </c>
      <c r="I4724" s="28">
        <f>IFERROR(VLOOKUP(F4724,CARTON_LOOKUP!$A:$E,5,0),"")</f>
      </c>
      <c r="J4724" s="29">
        <f>IFERROR(VLOOKUP(F4724,CARTON_LOOKUP!$A:$E,2,0),"")</f>
      </c>
      <c r="K4724" s="29">
        <f>IFERROR(J4724*D4724,0)</f>
      </c>
      <c r="L4724" s="29">
        <f>IFERROR(E4724*C4724,0)</f>
      </c>
      <c r="M4724" s="29">
        <f>IFERROR((G4724*H4724*I4724/1000000)*D4724,0)</f>
      </c>
    </row>
    <row r="4725" spans="1:13" x14ac:dyDescent="0.25">
      <c r="A4725" s="16"/>
      <c r="E4725" s="27"/>
      <c r="F4725" t="s">
        <v>26</v>
      </c>
      <c r="G4725" s="28">
        <f>IFERROR(VLOOKUP(F4725,CARTON_LOOKUP!$A:$E,3,0),"")</f>
      </c>
      <c r="H4725" s="28">
        <f>IFERROR(VLOOKUP(F4725,CARTON_LOOKUP!$A:$E,4,0),"")</f>
      </c>
      <c r="I4725" s="28">
        <f>IFERROR(VLOOKUP(F4725,CARTON_LOOKUP!$A:$E,5,0),"")</f>
      </c>
      <c r="J4725" s="29">
        <f>IFERROR(VLOOKUP(F4725,CARTON_LOOKUP!$A:$E,2,0),"")</f>
      </c>
      <c r="K4725" s="29">
        <f>IFERROR(J4725*D4725,0)</f>
      </c>
      <c r="L4725" s="29">
        <f>IFERROR(E4725*C4725,0)</f>
      </c>
      <c r="M4725" s="29">
        <f>IFERROR((G4725*H4725*I4725/1000000)*D4725,0)</f>
      </c>
    </row>
    <row r="4726" spans="1:13" x14ac:dyDescent="0.25">
      <c r="A4726" s="16"/>
      <c r="E4726" s="27"/>
      <c r="F4726" t="s">
        <v>26</v>
      </c>
      <c r="G4726" s="28">
        <f>IFERROR(VLOOKUP(F4726,CARTON_LOOKUP!$A:$E,3,0),"")</f>
      </c>
      <c r="H4726" s="28">
        <f>IFERROR(VLOOKUP(F4726,CARTON_LOOKUP!$A:$E,4,0),"")</f>
      </c>
      <c r="I4726" s="28">
        <f>IFERROR(VLOOKUP(F4726,CARTON_LOOKUP!$A:$E,5,0),"")</f>
      </c>
      <c r="J4726" s="29">
        <f>IFERROR(VLOOKUP(F4726,CARTON_LOOKUP!$A:$E,2,0),"")</f>
      </c>
      <c r="K4726" s="29">
        <f>IFERROR(J4726*D4726,0)</f>
      </c>
      <c r="L4726" s="29">
        <f>IFERROR(E4726*C4726,0)</f>
      </c>
      <c r="M4726" s="29">
        <f>IFERROR((G4726*H4726*I4726/1000000)*D4726,0)</f>
      </c>
    </row>
    <row r="4727" spans="1:13" x14ac:dyDescent="0.25">
      <c r="A4727" s="16"/>
      <c r="E4727" s="27"/>
      <c r="F4727" t="s">
        <v>26</v>
      </c>
      <c r="G4727" s="28">
        <f>IFERROR(VLOOKUP(F4727,CARTON_LOOKUP!$A:$E,3,0),"")</f>
      </c>
      <c r="H4727" s="28">
        <f>IFERROR(VLOOKUP(F4727,CARTON_LOOKUP!$A:$E,4,0),"")</f>
      </c>
      <c r="I4727" s="28">
        <f>IFERROR(VLOOKUP(F4727,CARTON_LOOKUP!$A:$E,5,0),"")</f>
      </c>
      <c r="J4727" s="29">
        <f>IFERROR(VLOOKUP(F4727,CARTON_LOOKUP!$A:$E,2,0),"")</f>
      </c>
      <c r="K4727" s="29">
        <f>IFERROR(J4727*D4727,0)</f>
      </c>
      <c r="L4727" s="29">
        <f>IFERROR(E4727*C4727,0)</f>
      </c>
      <c r="M4727" s="29">
        <f>IFERROR((G4727*H4727*I4727/1000000)*D4727,0)</f>
      </c>
    </row>
    <row r="4728" spans="1:13" x14ac:dyDescent="0.25">
      <c r="A4728" s="16"/>
      <c r="E4728" s="27"/>
      <c r="F4728" t="s">
        <v>26</v>
      </c>
      <c r="G4728" s="28">
        <f>IFERROR(VLOOKUP(F4728,CARTON_LOOKUP!$A:$E,3,0),"")</f>
      </c>
      <c r="H4728" s="28">
        <f>IFERROR(VLOOKUP(F4728,CARTON_LOOKUP!$A:$E,4,0),"")</f>
      </c>
      <c r="I4728" s="28">
        <f>IFERROR(VLOOKUP(F4728,CARTON_LOOKUP!$A:$E,5,0),"")</f>
      </c>
      <c r="J4728" s="29">
        <f>IFERROR(VLOOKUP(F4728,CARTON_LOOKUP!$A:$E,2,0),"")</f>
      </c>
      <c r="K4728" s="29">
        <f>IFERROR(J4728*D4728,0)</f>
      </c>
      <c r="L4728" s="29">
        <f>IFERROR(E4728*C4728,0)</f>
      </c>
      <c r="M4728" s="29">
        <f>IFERROR((G4728*H4728*I4728/1000000)*D4728,0)</f>
      </c>
    </row>
    <row r="4729" spans="1:13" x14ac:dyDescent="0.25">
      <c r="A4729" s="16"/>
      <c r="E4729" s="27"/>
      <c r="F4729" t="s">
        <v>26</v>
      </c>
      <c r="G4729" s="28">
        <f>IFERROR(VLOOKUP(F4729,CARTON_LOOKUP!$A:$E,3,0),"")</f>
      </c>
      <c r="H4729" s="28">
        <f>IFERROR(VLOOKUP(F4729,CARTON_LOOKUP!$A:$E,4,0),"")</f>
      </c>
      <c r="I4729" s="28">
        <f>IFERROR(VLOOKUP(F4729,CARTON_LOOKUP!$A:$E,5,0),"")</f>
      </c>
      <c r="J4729" s="29">
        <f>IFERROR(VLOOKUP(F4729,CARTON_LOOKUP!$A:$E,2,0),"")</f>
      </c>
      <c r="K4729" s="29">
        <f>IFERROR(J4729*D4729,0)</f>
      </c>
      <c r="L4729" s="29">
        <f>IFERROR(E4729*C4729,0)</f>
      </c>
      <c r="M4729" s="29">
        <f>IFERROR((G4729*H4729*I4729/1000000)*D4729,0)</f>
      </c>
    </row>
    <row r="4730" spans="1:13" x14ac:dyDescent="0.25">
      <c r="A4730" s="16"/>
      <c r="E4730" s="27"/>
      <c r="F4730" t="s">
        <v>26</v>
      </c>
      <c r="G4730" s="28">
        <f>IFERROR(VLOOKUP(F4730,CARTON_LOOKUP!$A:$E,3,0),"")</f>
      </c>
      <c r="H4730" s="28">
        <f>IFERROR(VLOOKUP(F4730,CARTON_LOOKUP!$A:$E,4,0),"")</f>
      </c>
      <c r="I4730" s="28">
        <f>IFERROR(VLOOKUP(F4730,CARTON_LOOKUP!$A:$E,5,0),"")</f>
      </c>
      <c r="J4730" s="29">
        <f>IFERROR(VLOOKUP(F4730,CARTON_LOOKUP!$A:$E,2,0),"")</f>
      </c>
      <c r="K4730" s="29">
        <f>IFERROR(J4730*D4730,0)</f>
      </c>
      <c r="L4730" s="29">
        <f>IFERROR(E4730*C4730,0)</f>
      </c>
      <c r="M4730" s="29">
        <f>IFERROR((G4730*H4730*I4730/1000000)*D4730,0)</f>
      </c>
    </row>
    <row r="4731" spans="1:13" x14ac:dyDescent="0.25">
      <c r="A4731" s="16"/>
      <c r="E4731" s="27"/>
      <c r="F4731" t="s">
        <v>26</v>
      </c>
      <c r="G4731" s="28">
        <f>IFERROR(VLOOKUP(F4731,CARTON_LOOKUP!$A:$E,3,0),"")</f>
      </c>
      <c r="H4731" s="28">
        <f>IFERROR(VLOOKUP(F4731,CARTON_LOOKUP!$A:$E,4,0),"")</f>
      </c>
      <c r="I4731" s="28">
        <f>IFERROR(VLOOKUP(F4731,CARTON_LOOKUP!$A:$E,5,0),"")</f>
      </c>
      <c r="J4731" s="29">
        <f>IFERROR(VLOOKUP(F4731,CARTON_LOOKUP!$A:$E,2,0),"")</f>
      </c>
      <c r="K4731" s="29">
        <f>IFERROR(J4731*D4731,0)</f>
      </c>
      <c r="L4731" s="29">
        <f>IFERROR(E4731*C4731,0)</f>
      </c>
      <c r="M4731" s="29">
        <f>IFERROR((G4731*H4731*I4731/1000000)*D4731,0)</f>
      </c>
    </row>
    <row r="4732" spans="1:13" x14ac:dyDescent="0.25">
      <c r="A4732" s="16"/>
      <c r="E4732" s="27"/>
      <c r="F4732" t="s">
        <v>26</v>
      </c>
      <c r="G4732" s="28">
        <f>IFERROR(VLOOKUP(F4732,CARTON_LOOKUP!$A:$E,3,0),"")</f>
      </c>
      <c r="H4732" s="28">
        <f>IFERROR(VLOOKUP(F4732,CARTON_LOOKUP!$A:$E,4,0),"")</f>
      </c>
      <c r="I4732" s="28">
        <f>IFERROR(VLOOKUP(F4732,CARTON_LOOKUP!$A:$E,5,0),"")</f>
      </c>
      <c r="J4732" s="29">
        <f>IFERROR(VLOOKUP(F4732,CARTON_LOOKUP!$A:$E,2,0),"")</f>
      </c>
      <c r="K4732" s="29">
        <f>IFERROR(J4732*D4732,0)</f>
      </c>
      <c r="L4732" s="29">
        <f>IFERROR(E4732*C4732,0)</f>
      </c>
      <c r="M4732" s="29">
        <f>IFERROR((G4732*H4732*I4732/1000000)*D4732,0)</f>
      </c>
    </row>
    <row r="4733" spans="1:13" x14ac:dyDescent="0.25">
      <c r="A4733" s="16"/>
      <c r="E4733" s="27"/>
      <c r="F4733" t="s">
        <v>26</v>
      </c>
      <c r="G4733" s="28">
        <f>IFERROR(VLOOKUP(F4733,CARTON_LOOKUP!$A:$E,3,0),"")</f>
      </c>
      <c r="H4733" s="28">
        <f>IFERROR(VLOOKUP(F4733,CARTON_LOOKUP!$A:$E,4,0),"")</f>
      </c>
      <c r="I4733" s="28">
        <f>IFERROR(VLOOKUP(F4733,CARTON_LOOKUP!$A:$E,5,0),"")</f>
      </c>
      <c r="J4733" s="29">
        <f>IFERROR(VLOOKUP(F4733,CARTON_LOOKUP!$A:$E,2,0),"")</f>
      </c>
      <c r="K4733" s="29">
        <f>IFERROR(J4733*D4733,0)</f>
      </c>
      <c r="L4733" s="29">
        <f>IFERROR(E4733*C4733,0)</f>
      </c>
      <c r="M4733" s="29">
        <f>IFERROR((G4733*H4733*I4733/1000000)*D4733,0)</f>
      </c>
    </row>
    <row r="4734" spans="1:13" x14ac:dyDescent="0.25">
      <c r="A4734" s="16"/>
      <c r="E4734" s="27"/>
      <c r="F4734" t="s">
        <v>26</v>
      </c>
      <c r="G4734" s="28">
        <f>IFERROR(VLOOKUP(F4734,CARTON_LOOKUP!$A:$E,3,0),"")</f>
      </c>
      <c r="H4734" s="28">
        <f>IFERROR(VLOOKUP(F4734,CARTON_LOOKUP!$A:$E,4,0),"")</f>
      </c>
      <c r="I4734" s="28">
        <f>IFERROR(VLOOKUP(F4734,CARTON_LOOKUP!$A:$E,5,0),"")</f>
      </c>
      <c r="J4734" s="29">
        <f>IFERROR(VLOOKUP(F4734,CARTON_LOOKUP!$A:$E,2,0),"")</f>
      </c>
      <c r="K4734" s="29">
        <f>IFERROR(J4734*D4734,0)</f>
      </c>
      <c r="L4734" s="29">
        <f>IFERROR(E4734*C4734,0)</f>
      </c>
      <c r="M4734" s="29">
        <f>IFERROR((G4734*H4734*I4734/1000000)*D4734,0)</f>
      </c>
    </row>
    <row r="4735" spans="1:13" x14ac:dyDescent="0.25">
      <c r="A4735" s="16"/>
      <c r="E4735" s="27"/>
      <c r="F4735" t="s">
        <v>26</v>
      </c>
      <c r="G4735" s="28">
        <f>IFERROR(VLOOKUP(F4735,CARTON_LOOKUP!$A:$E,3,0),"")</f>
      </c>
      <c r="H4735" s="28">
        <f>IFERROR(VLOOKUP(F4735,CARTON_LOOKUP!$A:$E,4,0),"")</f>
      </c>
      <c r="I4735" s="28">
        <f>IFERROR(VLOOKUP(F4735,CARTON_LOOKUP!$A:$E,5,0),"")</f>
      </c>
      <c r="J4735" s="29">
        <f>IFERROR(VLOOKUP(F4735,CARTON_LOOKUP!$A:$E,2,0),"")</f>
      </c>
      <c r="K4735" s="29">
        <f>IFERROR(J4735*D4735,0)</f>
      </c>
      <c r="L4735" s="29">
        <f>IFERROR(E4735*C4735,0)</f>
      </c>
      <c r="M4735" s="29">
        <f>IFERROR((G4735*H4735*I4735/1000000)*D4735,0)</f>
      </c>
    </row>
    <row r="4736" spans="1:13" x14ac:dyDescent="0.25">
      <c r="A4736" s="16"/>
      <c r="E4736" s="27"/>
      <c r="F4736" t="s">
        <v>26</v>
      </c>
      <c r="G4736" s="28">
        <f>IFERROR(VLOOKUP(F4736,CARTON_LOOKUP!$A:$E,3,0),"")</f>
      </c>
      <c r="H4736" s="28">
        <f>IFERROR(VLOOKUP(F4736,CARTON_LOOKUP!$A:$E,4,0),"")</f>
      </c>
      <c r="I4736" s="28">
        <f>IFERROR(VLOOKUP(F4736,CARTON_LOOKUP!$A:$E,5,0),"")</f>
      </c>
      <c r="J4736" s="29">
        <f>IFERROR(VLOOKUP(F4736,CARTON_LOOKUP!$A:$E,2,0),"")</f>
      </c>
      <c r="K4736" s="29">
        <f>IFERROR(J4736*D4736,0)</f>
      </c>
      <c r="L4736" s="29">
        <f>IFERROR(E4736*C4736,0)</f>
      </c>
      <c r="M4736" s="29">
        <f>IFERROR((G4736*H4736*I4736/1000000)*D4736,0)</f>
      </c>
    </row>
    <row r="4737" spans="1:13" x14ac:dyDescent="0.25">
      <c r="A4737" s="16"/>
      <c r="E4737" s="27"/>
      <c r="F4737" t="s">
        <v>26</v>
      </c>
      <c r="G4737" s="28">
        <f>IFERROR(VLOOKUP(F4737,CARTON_LOOKUP!$A:$E,3,0),"")</f>
      </c>
      <c r="H4737" s="28">
        <f>IFERROR(VLOOKUP(F4737,CARTON_LOOKUP!$A:$E,4,0),"")</f>
      </c>
      <c r="I4737" s="28">
        <f>IFERROR(VLOOKUP(F4737,CARTON_LOOKUP!$A:$E,5,0),"")</f>
      </c>
      <c r="J4737" s="29">
        <f>IFERROR(VLOOKUP(F4737,CARTON_LOOKUP!$A:$E,2,0),"")</f>
      </c>
      <c r="K4737" s="29">
        <f>IFERROR(J4737*D4737,0)</f>
      </c>
      <c r="L4737" s="29">
        <f>IFERROR(E4737*C4737,0)</f>
      </c>
      <c r="M4737" s="29">
        <f>IFERROR((G4737*H4737*I4737/1000000)*D4737,0)</f>
      </c>
    </row>
    <row r="4738" spans="1:13" x14ac:dyDescent="0.25">
      <c r="A4738" s="16"/>
      <c r="E4738" s="27"/>
      <c r="F4738" t="s">
        <v>26</v>
      </c>
      <c r="G4738" s="28">
        <f>IFERROR(VLOOKUP(F4738,CARTON_LOOKUP!$A:$E,3,0),"")</f>
      </c>
      <c r="H4738" s="28">
        <f>IFERROR(VLOOKUP(F4738,CARTON_LOOKUP!$A:$E,4,0),"")</f>
      </c>
      <c r="I4738" s="28">
        <f>IFERROR(VLOOKUP(F4738,CARTON_LOOKUP!$A:$E,5,0),"")</f>
      </c>
      <c r="J4738" s="29">
        <f>IFERROR(VLOOKUP(F4738,CARTON_LOOKUP!$A:$E,2,0),"")</f>
      </c>
      <c r="K4738" s="29">
        <f>IFERROR(J4738*D4738,0)</f>
      </c>
      <c r="L4738" s="29">
        <f>IFERROR(E4738*C4738,0)</f>
      </c>
      <c r="M4738" s="29">
        <f>IFERROR((G4738*H4738*I4738/1000000)*D4738,0)</f>
      </c>
    </row>
    <row r="4739" spans="1:13" x14ac:dyDescent="0.25">
      <c r="A4739" s="16"/>
      <c r="E4739" s="27"/>
      <c r="F4739" t="s">
        <v>26</v>
      </c>
      <c r="G4739" s="28">
        <f>IFERROR(VLOOKUP(F4739,CARTON_LOOKUP!$A:$E,3,0),"")</f>
      </c>
      <c r="H4739" s="28">
        <f>IFERROR(VLOOKUP(F4739,CARTON_LOOKUP!$A:$E,4,0),"")</f>
      </c>
      <c r="I4739" s="28">
        <f>IFERROR(VLOOKUP(F4739,CARTON_LOOKUP!$A:$E,5,0),"")</f>
      </c>
      <c r="J4739" s="29">
        <f>IFERROR(VLOOKUP(F4739,CARTON_LOOKUP!$A:$E,2,0),"")</f>
      </c>
      <c r="K4739" s="29">
        <f>IFERROR(J4739*D4739,0)</f>
      </c>
      <c r="L4739" s="29">
        <f>IFERROR(E4739*C4739,0)</f>
      </c>
      <c r="M4739" s="29">
        <f>IFERROR((G4739*H4739*I4739/1000000)*D4739,0)</f>
      </c>
    </row>
    <row r="4740" spans="1:13" x14ac:dyDescent="0.25">
      <c r="A4740" s="16"/>
      <c r="E4740" s="27"/>
      <c r="F4740" t="s">
        <v>26</v>
      </c>
      <c r="G4740" s="28">
        <f>IFERROR(VLOOKUP(F4740,CARTON_LOOKUP!$A:$E,3,0),"")</f>
      </c>
      <c r="H4740" s="28">
        <f>IFERROR(VLOOKUP(F4740,CARTON_LOOKUP!$A:$E,4,0),"")</f>
      </c>
      <c r="I4740" s="28">
        <f>IFERROR(VLOOKUP(F4740,CARTON_LOOKUP!$A:$E,5,0),"")</f>
      </c>
      <c r="J4740" s="29">
        <f>IFERROR(VLOOKUP(F4740,CARTON_LOOKUP!$A:$E,2,0),"")</f>
      </c>
      <c r="K4740" s="29">
        <f>IFERROR(J4740*D4740,0)</f>
      </c>
      <c r="L4740" s="29">
        <f>IFERROR(E4740*C4740,0)</f>
      </c>
      <c r="M4740" s="29">
        <f>IFERROR((G4740*H4740*I4740/1000000)*D4740,0)</f>
      </c>
    </row>
    <row r="4741" spans="1:13" x14ac:dyDescent="0.25">
      <c r="A4741" s="16"/>
      <c r="E4741" s="27"/>
      <c r="F4741" t="s">
        <v>26</v>
      </c>
      <c r="G4741" s="28">
        <f>IFERROR(VLOOKUP(F4741,CARTON_LOOKUP!$A:$E,3,0),"")</f>
      </c>
      <c r="H4741" s="28">
        <f>IFERROR(VLOOKUP(F4741,CARTON_LOOKUP!$A:$E,4,0),"")</f>
      </c>
      <c r="I4741" s="28">
        <f>IFERROR(VLOOKUP(F4741,CARTON_LOOKUP!$A:$E,5,0),"")</f>
      </c>
      <c r="J4741" s="29">
        <f>IFERROR(VLOOKUP(F4741,CARTON_LOOKUP!$A:$E,2,0),"")</f>
      </c>
      <c r="K4741" s="29">
        <f>IFERROR(J4741*D4741,0)</f>
      </c>
      <c r="L4741" s="29">
        <f>IFERROR(E4741*C4741,0)</f>
      </c>
      <c r="M4741" s="29">
        <f>IFERROR((G4741*H4741*I4741/1000000)*D4741,0)</f>
      </c>
    </row>
    <row r="4742" spans="1:13" x14ac:dyDescent="0.25">
      <c r="A4742" s="16"/>
      <c r="E4742" s="27"/>
      <c r="F4742" t="s">
        <v>26</v>
      </c>
      <c r="G4742" s="28">
        <f>IFERROR(VLOOKUP(F4742,CARTON_LOOKUP!$A:$E,3,0),"")</f>
      </c>
      <c r="H4742" s="28">
        <f>IFERROR(VLOOKUP(F4742,CARTON_LOOKUP!$A:$E,4,0),"")</f>
      </c>
      <c r="I4742" s="28">
        <f>IFERROR(VLOOKUP(F4742,CARTON_LOOKUP!$A:$E,5,0),"")</f>
      </c>
      <c r="J4742" s="29">
        <f>IFERROR(VLOOKUP(F4742,CARTON_LOOKUP!$A:$E,2,0),"")</f>
      </c>
      <c r="K4742" s="29">
        <f>IFERROR(J4742*D4742,0)</f>
      </c>
      <c r="L4742" s="29">
        <f>IFERROR(E4742*C4742,0)</f>
      </c>
      <c r="M4742" s="29">
        <f>IFERROR((G4742*H4742*I4742/1000000)*D4742,0)</f>
      </c>
    </row>
    <row r="4743" spans="1:13" x14ac:dyDescent="0.25">
      <c r="A4743" s="16"/>
      <c r="E4743" s="27"/>
      <c r="F4743" t="s">
        <v>26</v>
      </c>
      <c r="G4743" s="28">
        <f>IFERROR(VLOOKUP(F4743,CARTON_LOOKUP!$A:$E,3,0),"")</f>
      </c>
      <c r="H4743" s="28">
        <f>IFERROR(VLOOKUP(F4743,CARTON_LOOKUP!$A:$E,4,0),"")</f>
      </c>
      <c r="I4743" s="28">
        <f>IFERROR(VLOOKUP(F4743,CARTON_LOOKUP!$A:$E,5,0),"")</f>
      </c>
      <c r="J4743" s="29">
        <f>IFERROR(VLOOKUP(F4743,CARTON_LOOKUP!$A:$E,2,0),"")</f>
      </c>
      <c r="K4743" s="29">
        <f>IFERROR(J4743*D4743,0)</f>
      </c>
      <c r="L4743" s="29">
        <f>IFERROR(E4743*C4743,0)</f>
      </c>
      <c r="M4743" s="29">
        <f>IFERROR((G4743*H4743*I4743/1000000)*D4743,0)</f>
      </c>
    </row>
    <row r="4744" spans="1:13" x14ac:dyDescent="0.25">
      <c r="A4744" s="16"/>
      <c r="E4744" s="27"/>
      <c r="F4744" t="s">
        <v>26</v>
      </c>
      <c r="G4744" s="28">
        <f>IFERROR(VLOOKUP(F4744,CARTON_LOOKUP!$A:$E,3,0),"")</f>
      </c>
      <c r="H4744" s="28">
        <f>IFERROR(VLOOKUP(F4744,CARTON_LOOKUP!$A:$E,4,0),"")</f>
      </c>
      <c r="I4744" s="28">
        <f>IFERROR(VLOOKUP(F4744,CARTON_LOOKUP!$A:$E,5,0),"")</f>
      </c>
      <c r="J4744" s="29">
        <f>IFERROR(VLOOKUP(F4744,CARTON_LOOKUP!$A:$E,2,0),"")</f>
      </c>
      <c r="K4744" s="29">
        <f>IFERROR(J4744*D4744,0)</f>
      </c>
      <c r="L4744" s="29">
        <f>IFERROR(E4744*C4744,0)</f>
      </c>
      <c r="M4744" s="29">
        <f>IFERROR((G4744*H4744*I4744/1000000)*D4744,0)</f>
      </c>
    </row>
    <row r="4745" spans="1:13" x14ac:dyDescent="0.25">
      <c r="A4745" s="16"/>
      <c r="E4745" s="27"/>
      <c r="F4745" t="s">
        <v>26</v>
      </c>
      <c r="G4745" s="28">
        <f>IFERROR(VLOOKUP(F4745,CARTON_LOOKUP!$A:$E,3,0),"")</f>
      </c>
      <c r="H4745" s="28">
        <f>IFERROR(VLOOKUP(F4745,CARTON_LOOKUP!$A:$E,4,0),"")</f>
      </c>
      <c r="I4745" s="28">
        <f>IFERROR(VLOOKUP(F4745,CARTON_LOOKUP!$A:$E,5,0),"")</f>
      </c>
      <c r="J4745" s="29">
        <f>IFERROR(VLOOKUP(F4745,CARTON_LOOKUP!$A:$E,2,0),"")</f>
      </c>
      <c r="K4745" s="29">
        <f>IFERROR(J4745*D4745,0)</f>
      </c>
      <c r="L4745" s="29">
        <f>IFERROR(E4745*C4745,0)</f>
      </c>
      <c r="M4745" s="29">
        <f>IFERROR((G4745*H4745*I4745/1000000)*D4745,0)</f>
      </c>
    </row>
    <row r="4746" spans="1:13" x14ac:dyDescent="0.25">
      <c r="A4746" s="16"/>
      <c r="E4746" s="27"/>
      <c r="F4746" t="s">
        <v>26</v>
      </c>
      <c r="G4746" s="28">
        <f>IFERROR(VLOOKUP(F4746,CARTON_LOOKUP!$A:$E,3,0),"")</f>
      </c>
      <c r="H4746" s="28">
        <f>IFERROR(VLOOKUP(F4746,CARTON_LOOKUP!$A:$E,4,0),"")</f>
      </c>
      <c r="I4746" s="28">
        <f>IFERROR(VLOOKUP(F4746,CARTON_LOOKUP!$A:$E,5,0),"")</f>
      </c>
      <c r="J4746" s="29">
        <f>IFERROR(VLOOKUP(F4746,CARTON_LOOKUP!$A:$E,2,0),"")</f>
      </c>
      <c r="K4746" s="29">
        <f>IFERROR(J4746*D4746,0)</f>
      </c>
      <c r="L4746" s="29">
        <f>IFERROR(E4746*C4746,0)</f>
      </c>
      <c r="M4746" s="29">
        <f>IFERROR((G4746*H4746*I4746/1000000)*D4746,0)</f>
      </c>
    </row>
    <row r="4747" spans="1:13" x14ac:dyDescent="0.25">
      <c r="A4747" s="16"/>
      <c r="E4747" s="27"/>
      <c r="F4747" t="s">
        <v>26</v>
      </c>
      <c r="G4747" s="28">
        <f>IFERROR(VLOOKUP(F4747,CARTON_LOOKUP!$A:$E,3,0),"")</f>
      </c>
      <c r="H4747" s="28">
        <f>IFERROR(VLOOKUP(F4747,CARTON_LOOKUP!$A:$E,4,0),"")</f>
      </c>
      <c r="I4747" s="28">
        <f>IFERROR(VLOOKUP(F4747,CARTON_LOOKUP!$A:$E,5,0),"")</f>
      </c>
      <c r="J4747" s="29">
        <f>IFERROR(VLOOKUP(F4747,CARTON_LOOKUP!$A:$E,2,0),"")</f>
      </c>
      <c r="K4747" s="29">
        <f>IFERROR(J4747*D4747,0)</f>
      </c>
      <c r="L4747" s="29">
        <f>IFERROR(E4747*C4747,0)</f>
      </c>
      <c r="M4747" s="29">
        <f>IFERROR((G4747*H4747*I4747/1000000)*D4747,0)</f>
      </c>
    </row>
    <row r="4748" spans="1:13" x14ac:dyDescent="0.25">
      <c r="A4748" s="16"/>
      <c r="E4748" s="27"/>
      <c r="F4748" t="s">
        <v>26</v>
      </c>
      <c r="G4748" s="28">
        <f>IFERROR(VLOOKUP(F4748,CARTON_LOOKUP!$A:$E,3,0),"")</f>
      </c>
      <c r="H4748" s="28">
        <f>IFERROR(VLOOKUP(F4748,CARTON_LOOKUP!$A:$E,4,0),"")</f>
      </c>
      <c r="I4748" s="28">
        <f>IFERROR(VLOOKUP(F4748,CARTON_LOOKUP!$A:$E,5,0),"")</f>
      </c>
      <c r="J4748" s="29">
        <f>IFERROR(VLOOKUP(F4748,CARTON_LOOKUP!$A:$E,2,0),"")</f>
      </c>
      <c r="K4748" s="29">
        <f>IFERROR(J4748*D4748,0)</f>
      </c>
      <c r="L4748" s="29">
        <f>IFERROR(E4748*C4748,0)</f>
      </c>
      <c r="M4748" s="29">
        <f>IFERROR((G4748*H4748*I4748/1000000)*D4748,0)</f>
      </c>
    </row>
    <row r="4749" spans="1:13" x14ac:dyDescent="0.25">
      <c r="A4749" s="16"/>
      <c r="E4749" s="27"/>
      <c r="F4749" t="s">
        <v>26</v>
      </c>
      <c r="G4749" s="28">
        <f>IFERROR(VLOOKUP(F4749,CARTON_LOOKUP!$A:$E,3,0),"")</f>
      </c>
      <c r="H4749" s="28">
        <f>IFERROR(VLOOKUP(F4749,CARTON_LOOKUP!$A:$E,4,0),"")</f>
      </c>
      <c r="I4749" s="28">
        <f>IFERROR(VLOOKUP(F4749,CARTON_LOOKUP!$A:$E,5,0),"")</f>
      </c>
      <c r="J4749" s="29">
        <f>IFERROR(VLOOKUP(F4749,CARTON_LOOKUP!$A:$E,2,0),"")</f>
      </c>
      <c r="K4749" s="29">
        <f>IFERROR(J4749*D4749,0)</f>
      </c>
      <c r="L4749" s="29">
        <f>IFERROR(E4749*C4749,0)</f>
      </c>
      <c r="M4749" s="29">
        <f>IFERROR((G4749*H4749*I4749/1000000)*D4749,0)</f>
      </c>
    </row>
    <row r="4750" spans="1:13" x14ac:dyDescent="0.25">
      <c r="A4750" s="16"/>
      <c r="E4750" s="27"/>
      <c r="F4750" t="s">
        <v>26</v>
      </c>
      <c r="G4750" s="28">
        <f>IFERROR(VLOOKUP(F4750,CARTON_LOOKUP!$A:$E,3,0),"")</f>
      </c>
      <c r="H4750" s="28">
        <f>IFERROR(VLOOKUP(F4750,CARTON_LOOKUP!$A:$E,4,0),"")</f>
      </c>
      <c r="I4750" s="28">
        <f>IFERROR(VLOOKUP(F4750,CARTON_LOOKUP!$A:$E,5,0),"")</f>
      </c>
      <c r="J4750" s="29">
        <f>IFERROR(VLOOKUP(F4750,CARTON_LOOKUP!$A:$E,2,0),"")</f>
      </c>
      <c r="K4750" s="29">
        <f>IFERROR(J4750*D4750,0)</f>
      </c>
      <c r="L4750" s="29">
        <f>IFERROR(E4750*C4750,0)</f>
      </c>
      <c r="M4750" s="29">
        <f>IFERROR((G4750*H4750*I4750/1000000)*D4750,0)</f>
      </c>
    </row>
    <row r="4751" spans="1:13" x14ac:dyDescent="0.25">
      <c r="A4751" s="16"/>
      <c r="E4751" s="27"/>
      <c r="F4751" t="s">
        <v>26</v>
      </c>
      <c r="G4751" s="28">
        <f>IFERROR(VLOOKUP(F4751,CARTON_LOOKUP!$A:$E,3,0),"")</f>
      </c>
      <c r="H4751" s="28">
        <f>IFERROR(VLOOKUP(F4751,CARTON_LOOKUP!$A:$E,4,0),"")</f>
      </c>
      <c r="I4751" s="28">
        <f>IFERROR(VLOOKUP(F4751,CARTON_LOOKUP!$A:$E,5,0),"")</f>
      </c>
      <c r="J4751" s="29">
        <f>IFERROR(VLOOKUP(F4751,CARTON_LOOKUP!$A:$E,2,0),"")</f>
      </c>
      <c r="K4751" s="29">
        <f>IFERROR(J4751*D4751,0)</f>
      </c>
      <c r="L4751" s="29">
        <f>IFERROR(E4751*C4751,0)</f>
      </c>
      <c r="M4751" s="29">
        <f>IFERROR((G4751*H4751*I4751/1000000)*D4751,0)</f>
      </c>
    </row>
    <row r="4752" spans="1:13" x14ac:dyDescent="0.25">
      <c r="A4752" s="16"/>
      <c r="E4752" s="27"/>
      <c r="F4752" t="s">
        <v>26</v>
      </c>
      <c r="G4752" s="28">
        <f>IFERROR(VLOOKUP(F4752,CARTON_LOOKUP!$A:$E,3,0),"")</f>
      </c>
      <c r="H4752" s="28">
        <f>IFERROR(VLOOKUP(F4752,CARTON_LOOKUP!$A:$E,4,0),"")</f>
      </c>
      <c r="I4752" s="28">
        <f>IFERROR(VLOOKUP(F4752,CARTON_LOOKUP!$A:$E,5,0),"")</f>
      </c>
      <c r="J4752" s="29">
        <f>IFERROR(VLOOKUP(F4752,CARTON_LOOKUP!$A:$E,2,0),"")</f>
      </c>
      <c r="K4752" s="29">
        <f>IFERROR(J4752*D4752,0)</f>
      </c>
      <c r="L4752" s="29">
        <f>IFERROR(E4752*C4752,0)</f>
      </c>
      <c r="M4752" s="29">
        <f>IFERROR((G4752*H4752*I4752/1000000)*D4752,0)</f>
      </c>
    </row>
    <row r="4753" spans="1:13" x14ac:dyDescent="0.25">
      <c r="A4753" s="16"/>
      <c r="E4753" s="27"/>
      <c r="F4753" t="s">
        <v>26</v>
      </c>
      <c r="G4753" s="28">
        <f>IFERROR(VLOOKUP(F4753,CARTON_LOOKUP!$A:$E,3,0),"")</f>
      </c>
      <c r="H4753" s="28">
        <f>IFERROR(VLOOKUP(F4753,CARTON_LOOKUP!$A:$E,4,0),"")</f>
      </c>
      <c r="I4753" s="28">
        <f>IFERROR(VLOOKUP(F4753,CARTON_LOOKUP!$A:$E,5,0),"")</f>
      </c>
      <c r="J4753" s="29">
        <f>IFERROR(VLOOKUP(F4753,CARTON_LOOKUP!$A:$E,2,0),"")</f>
      </c>
      <c r="K4753" s="29">
        <f>IFERROR(J4753*D4753,0)</f>
      </c>
      <c r="L4753" s="29">
        <f>IFERROR(E4753*C4753,0)</f>
      </c>
      <c r="M4753" s="29">
        <f>IFERROR((G4753*H4753*I4753/1000000)*D4753,0)</f>
      </c>
    </row>
    <row r="4754" spans="1:13" x14ac:dyDescent="0.25">
      <c r="A4754" s="16"/>
      <c r="E4754" s="27"/>
      <c r="F4754" t="s">
        <v>26</v>
      </c>
      <c r="G4754" s="28">
        <f>IFERROR(VLOOKUP(F4754,CARTON_LOOKUP!$A:$E,3,0),"")</f>
      </c>
      <c r="H4754" s="28">
        <f>IFERROR(VLOOKUP(F4754,CARTON_LOOKUP!$A:$E,4,0),"")</f>
      </c>
      <c r="I4754" s="28">
        <f>IFERROR(VLOOKUP(F4754,CARTON_LOOKUP!$A:$E,5,0),"")</f>
      </c>
      <c r="J4754" s="29">
        <f>IFERROR(VLOOKUP(F4754,CARTON_LOOKUP!$A:$E,2,0),"")</f>
      </c>
      <c r="K4754" s="29">
        <f>IFERROR(J4754*D4754,0)</f>
      </c>
      <c r="L4754" s="29">
        <f>IFERROR(E4754*C4754,0)</f>
      </c>
      <c r="M4754" s="29">
        <f>IFERROR((G4754*H4754*I4754/1000000)*D4754,0)</f>
      </c>
    </row>
    <row r="4755" spans="1:13" x14ac:dyDescent="0.25">
      <c r="A4755" s="16"/>
      <c r="E4755" s="27"/>
      <c r="F4755" t="s">
        <v>26</v>
      </c>
      <c r="G4755" s="28">
        <f>IFERROR(VLOOKUP(F4755,CARTON_LOOKUP!$A:$E,3,0),"")</f>
      </c>
      <c r="H4755" s="28">
        <f>IFERROR(VLOOKUP(F4755,CARTON_LOOKUP!$A:$E,4,0),"")</f>
      </c>
      <c r="I4755" s="28">
        <f>IFERROR(VLOOKUP(F4755,CARTON_LOOKUP!$A:$E,5,0),"")</f>
      </c>
      <c r="J4755" s="29">
        <f>IFERROR(VLOOKUP(F4755,CARTON_LOOKUP!$A:$E,2,0),"")</f>
      </c>
      <c r="K4755" s="29">
        <f>IFERROR(J4755*D4755,0)</f>
      </c>
      <c r="L4755" s="29">
        <f>IFERROR(E4755*C4755,0)</f>
      </c>
      <c r="M4755" s="29">
        <f>IFERROR((G4755*H4755*I4755/1000000)*D4755,0)</f>
      </c>
    </row>
    <row r="4756" spans="1:13" x14ac:dyDescent="0.25">
      <c r="A4756" s="16"/>
      <c r="E4756" s="27"/>
      <c r="F4756" t="s">
        <v>26</v>
      </c>
      <c r="G4756" s="28">
        <f>IFERROR(VLOOKUP(F4756,CARTON_LOOKUP!$A:$E,3,0),"")</f>
      </c>
      <c r="H4756" s="28">
        <f>IFERROR(VLOOKUP(F4756,CARTON_LOOKUP!$A:$E,4,0),"")</f>
      </c>
      <c r="I4756" s="28">
        <f>IFERROR(VLOOKUP(F4756,CARTON_LOOKUP!$A:$E,5,0),"")</f>
      </c>
      <c r="J4756" s="29">
        <f>IFERROR(VLOOKUP(F4756,CARTON_LOOKUP!$A:$E,2,0),"")</f>
      </c>
      <c r="K4756" s="29">
        <f>IFERROR(J4756*D4756,0)</f>
      </c>
      <c r="L4756" s="29">
        <f>IFERROR(E4756*C4756,0)</f>
      </c>
      <c r="M4756" s="29">
        <f>IFERROR((G4756*H4756*I4756/1000000)*D4756,0)</f>
      </c>
    </row>
    <row r="4757" spans="1:13" x14ac:dyDescent="0.25">
      <c r="A4757" s="16"/>
      <c r="E4757" s="27"/>
      <c r="F4757" t="s">
        <v>26</v>
      </c>
      <c r="G4757" s="28">
        <f>IFERROR(VLOOKUP(F4757,CARTON_LOOKUP!$A:$E,3,0),"")</f>
      </c>
      <c r="H4757" s="28">
        <f>IFERROR(VLOOKUP(F4757,CARTON_LOOKUP!$A:$E,4,0),"")</f>
      </c>
      <c r="I4757" s="28">
        <f>IFERROR(VLOOKUP(F4757,CARTON_LOOKUP!$A:$E,5,0),"")</f>
      </c>
      <c r="J4757" s="29">
        <f>IFERROR(VLOOKUP(F4757,CARTON_LOOKUP!$A:$E,2,0),"")</f>
      </c>
      <c r="K4757" s="29">
        <f>IFERROR(J4757*D4757,0)</f>
      </c>
      <c r="L4757" s="29">
        <f>IFERROR(E4757*C4757,0)</f>
      </c>
      <c r="M4757" s="29">
        <f>IFERROR((G4757*H4757*I4757/1000000)*D4757,0)</f>
      </c>
    </row>
    <row r="4758" spans="1:13" x14ac:dyDescent="0.25">
      <c r="A4758" s="16"/>
      <c r="E4758" s="27"/>
      <c r="F4758" t="s">
        <v>26</v>
      </c>
      <c r="G4758" s="28">
        <f>IFERROR(VLOOKUP(F4758,CARTON_LOOKUP!$A:$E,3,0),"")</f>
      </c>
      <c r="H4758" s="28">
        <f>IFERROR(VLOOKUP(F4758,CARTON_LOOKUP!$A:$E,4,0),"")</f>
      </c>
      <c r="I4758" s="28">
        <f>IFERROR(VLOOKUP(F4758,CARTON_LOOKUP!$A:$E,5,0),"")</f>
      </c>
      <c r="J4758" s="29">
        <f>IFERROR(VLOOKUP(F4758,CARTON_LOOKUP!$A:$E,2,0),"")</f>
      </c>
      <c r="K4758" s="29">
        <f>IFERROR(J4758*D4758,0)</f>
      </c>
      <c r="L4758" s="29">
        <f>IFERROR(E4758*C4758,0)</f>
      </c>
      <c r="M4758" s="29">
        <f>IFERROR((G4758*H4758*I4758/1000000)*D4758,0)</f>
      </c>
    </row>
    <row r="4759" spans="1:13" x14ac:dyDescent="0.25">
      <c r="A4759" s="16"/>
      <c r="E4759" s="27"/>
      <c r="F4759" t="s">
        <v>26</v>
      </c>
      <c r="G4759" s="28">
        <f>IFERROR(VLOOKUP(F4759,CARTON_LOOKUP!$A:$E,3,0),"")</f>
      </c>
      <c r="H4759" s="28">
        <f>IFERROR(VLOOKUP(F4759,CARTON_LOOKUP!$A:$E,4,0),"")</f>
      </c>
      <c r="I4759" s="28">
        <f>IFERROR(VLOOKUP(F4759,CARTON_LOOKUP!$A:$E,5,0),"")</f>
      </c>
      <c r="J4759" s="29">
        <f>IFERROR(VLOOKUP(F4759,CARTON_LOOKUP!$A:$E,2,0),"")</f>
      </c>
      <c r="K4759" s="29">
        <f>IFERROR(J4759*D4759,0)</f>
      </c>
      <c r="L4759" s="29">
        <f>IFERROR(E4759*C4759,0)</f>
      </c>
      <c r="M4759" s="29">
        <f>IFERROR((G4759*H4759*I4759/1000000)*D4759,0)</f>
      </c>
    </row>
    <row r="4760" spans="1:13" x14ac:dyDescent="0.25">
      <c r="A4760" s="16"/>
      <c r="E4760" s="27"/>
      <c r="F4760" t="s">
        <v>26</v>
      </c>
      <c r="G4760" s="28">
        <f>IFERROR(VLOOKUP(F4760,CARTON_LOOKUP!$A:$E,3,0),"")</f>
      </c>
      <c r="H4760" s="28">
        <f>IFERROR(VLOOKUP(F4760,CARTON_LOOKUP!$A:$E,4,0),"")</f>
      </c>
      <c r="I4760" s="28">
        <f>IFERROR(VLOOKUP(F4760,CARTON_LOOKUP!$A:$E,5,0),"")</f>
      </c>
      <c r="J4760" s="29">
        <f>IFERROR(VLOOKUP(F4760,CARTON_LOOKUP!$A:$E,2,0),"")</f>
      </c>
      <c r="K4760" s="29">
        <f>IFERROR(J4760*D4760,0)</f>
      </c>
      <c r="L4760" s="29">
        <f>IFERROR(E4760*C4760,0)</f>
      </c>
      <c r="M4760" s="29">
        <f>IFERROR((G4760*H4760*I4760/1000000)*D4760,0)</f>
      </c>
    </row>
    <row r="4761" spans="1:13" x14ac:dyDescent="0.25">
      <c r="A4761" s="16"/>
      <c r="E4761" s="27"/>
      <c r="F4761" t="s">
        <v>26</v>
      </c>
      <c r="G4761" s="28">
        <f>IFERROR(VLOOKUP(F4761,CARTON_LOOKUP!$A:$E,3,0),"")</f>
      </c>
      <c r="H4761" s="28">
        <f>IFERROR(VLOOKUP(F4761,CARTON_LOOKUP!$A:$E,4,0),"")</f>
      </c>
      <c r="I4761" s="28">
        <f>IFERROR(VLOOKUP(F4761,CARTON_LOOKUP!$A:$E,5,0),"")</f>
      </c>
      <c r="J4761" s="29">
        <f>IFERROR(VLOOKUP(F4761,CARTON_LOOKUP!$A:$E,2,0),"")</f>
      </c>
      <c r="K4761" s="29">
        <f>IFERROR(J4761*D4761,0)</f>
      </c>
      <c r="L4761" s="29">
        <f>IFERROR(E4761*C4761,0)</f>
      </c>
      <c r="M4761" s="29">
        <f>IFERROR((G4761*H4761*I4761/1000000)*D4761,0)</f>
      </c>
    </row>
    <row r="4762" spans="1:13" x14ac:dyDescent="0.25">
      <c r="A4762" s="16"/>
      <c r="E4762" s="27"/>
      <c r="F4762" t="s">
        <v>26</v>
      </c>
      <c r="G4762" s="28">
        <f>IFERROR(VLOOKUP(F4762,CARTON_LOOKUP!$A:$E,3,0),"")</f>
      </c>
      <c r="H4762" s="28">
        <f>IFERROR(VLOOKUP(F4762,CARTON_LOOKUP!$A:$E,4,0),"")</f>
      </c>
      <c r="I4762" s="28">
        <f>IFERROR(VLOOKUP(F4762,CARTON_LOOKUP!$A:$E,5,0),"")</f>
      </c>
      <c r="J4762" s="29">
        <f>IFERROR(VLOOKUP(F4762,CARTON_LOOKUP!$A:$E,2,0),"")</f>
      </c>
      <c r="K4762" s="29">
        <f>IFERROR(J4762*D4762,0)</f>
      </c>
      <c r="L4762" s="29">
        <f>IFERROR(E4762*C4762,0)</f>
      </c>
      <c r="M4762" s="29">
        <f>IFERROR((G4762*H4762*I4762/1000000)*D4762,0)</f>
      </c>
    </row>
    <row r="4763" spans="1:13" x14ac:dyDescent="0.25">
      <c r="A4763" s="16"/>
      <c r="E4763" s="27"/>
      <c r="F4763" t="s">
        <v>26</v>
      </c>
      <c r="G4763" s="28">
        <f>IFERROR(VLOOKUP(F4763,CARTON_LOOKUP!$A:$E,3,0),"")</f>
      </c>
      <c r="H4763" s="28">
        <f>IFERROR(VLOOKUP(F4763,CARTON_LOOKUP!$A:$E,4,0),"")</f>
      </c>
      <c r="I4763" s="28">
        <f>IFERROR(VLOOKUP(F4763,CARTON_LOOKUP!$A:$E,5,0),"")</f>
      </c>
      <c r="J4763" s="29">
        <f>IFERROR(VLOOKUP(F4763,CARTON_LOOKUP!$A:$E,2,0),"")</f>
      </c>
      <c r="K4763" s="29">
        <f>IFERROR(J4763*D4763,0)</f>
      </c>
      <c r="L4763" s="29">
        <f>IFERROR(E4763*C4763,0)</f>
      </c>
      <c r="M4763" s="29">
        <f>IFERROR((G4763*H4763*I4763/1000000)*D4763,0)</f>
      </c>
    </row>
    <row r="4764" spans="1:13" x14ac:dyDescent="0.25">
      <c r="A4764" s="16"/>
      <c r="E4764" s="27"/>
      <c r="F4764" t="s">
        <v>26</v>
      </c>
      <c r="G4764" s="28">
        <f>IFERROR(VLOOKUP(F4764,CARTON_LOOKUP!$A:$E,3,0),"")</f>
      </c>
      <c r="H4764" s="28">
        <f>IFERROR(VLOOKUP(F4764,CARTON_LOOKUP!$A:$E,4,0),"")</f>
      </c>
      <c r="I4764" s="28">
        <f>IFERROR(VLOOKUP(F4764,CARTON_LOOKUP!$A:$E,5,0),"")</f>
      </c>
      <c r="J4764" s="29">
        <f>IFERROR(VLOOKUP(F4764,CARTON_LOOKUP!$A:$E,2,0),"")</f>
      </c>
      <c r="K4764" s="29">
        <f>IFERROR(J4764*D4764,0)</f>
      </c>
      <c r="L4764" s="29">
        <f>IFERROR(E4764*C4764,0)</f>
      </c>
      <c r="M4764" s="29">
        <f>IFERROR((G4764*H4764*I4764/1000000)*D4764,0)</f>
      </c>
    </row>
    <row r="4765" spans="1:13" x14ac:dyDescent="0.25">
      <c r="A4765" s="16"/>
      <c r="E4765" s="27"/>
      <c r="F4765" t="s">
        <v>26</v>
      </c>
      <c r="G4765" s="28">
        <f>IFERROR(VLOOKUP(F4765,CARTON_LOOKUP!$A:$E,3,0),"")</f>
      </c>
      <c r="H4765" s="28">
        <f>IFERROR(VLOOKUP(F4765,CARTON_LOOKUP!$A:$E,4,0),"")</f>
      </c>
      <c r="I4765" s="28">
        <f>IFERROR(VLOOKUP(F4765,CARTON_LOOKUP!$A:$E,5,0),"")</f>
      </c>
      <c r="J4765" s="29">
        <f>IFERROR(VLOOKUP(F4765,CARTON_LOOKUP!$A:$E,2,0),"")</f>
      </c>
      <c r="K4765" s="29">
        <f>IFERROR(J4765*D4765,0)</f>
      </c>
      <c r="L4765" s="29">
        <f>IFERROR(E4765*C4765,0)</f>
      </c>
      <c r="M4765" s="29">
        <f>IFERROR((G4765*H4765*I4765/1000000)*D4765,0)</f>
      </c>
    </row>
    <row r="4766" spans="1:13" x14ac:dyDescent="0.25">
      <c r="A4766" s="16"/>
      <c r="E4766" s="27"/>
      <c r="F4766" t="s">
        <v>26</v>
      </c>
      <c r="G4766" s="28">
        <f>IFERROR(VLOOKUP(F4766,CARTON_LOOKUP!$A:$E,3,0),"")</f>
      </c>
      <c r="H4766" s="28">
        <f>IFERROR(VLOOKUP(F4766,CARTON_LOOKUP!$A:$E,4,0),"")</f>
      </c>
      <c r="I4766" s="28">
        <f>IFERROR(VLOOKUP(F4766,CARTON_LOOKUP!$A:$E,5,0),"")</f>
      </c>
      <c r="J4766" s="29">
        <f>IFERROR(VLOOKUP(F4766,CARTON_LOOKUP!$A:$E,2,0),"")</f>
      </c>
      <c r="K4766" s="29">
        <f>IFERROR(J4766*D4766,0)</f>
      </c>
      <c r="L4766" s="29">
        <f>IFERROR(E4766*C4766,0)</f>
      </c>
      <c r="M4766" s="29">
        <f>IFERROR((G4766*H4766*I4766/1000000)*D4766,0)</f>
      </c>
    </row>
    <row r="4767" spans="1:13" x14ac:dyDescent="0.25">
      <c r="A4767" s="16"/>
      <c r="E4767" s="27"/>
      <c r="F4767" t="s">
        <v>26</v>
      </c>
      <c r="G4767" s="28">
        <f>IFERROR(VLOOKUP(F4767,CARTON_LOOKUP!$A:$E,3,0),"")</f>
      </c>
      <c r="H4767" s="28">
        <f>IFERROR(VLOOKUP(F4767,CARTON_LOOKUP!$A:$E,4,0),"")</f>
      </c>
      <c r="I4767" s="28">
        <f>IFERROR(VLOOKUP(F4767,CARTON_LOOKUP!$A:$E,5,0),"")</f>
      </c>
      <c r="J4767" s="29">
        <f>IFERROR(VLOOKUP(F4767,CARTON_LOOKUP!$A:$E,2,0),"")</f>
      </c>
      <c r="K4767" s="29">
        <f>IFERROR(J4767*D4767,0)</f>
      </c>
      <c r="L4767" s="29">
        <f>IFERROR(E4767*C4767,0)</f>
      </c>
      <c r="M4767" s="29">
        <f>IFERROR((G4767*H4767*I4767/1000000)*D4767,0)</f>
      </c>
    </row>
    <row r="4768" spans="1:13" x14ac:dyDescent="0.25">
      <c r="A4768" s="16"/>
      <c r="E4768" s="27"/>
      <c r="F4768" t="s">
        <v>26</v>
      </c>
      <c r="G4768" s="28">
        <f>IFERROR(VLOOKUP(F4768,CARTON_LOOKUP!$A:$E,3,0),"")</f>
      </c>
      <c r="H4768" s="28">
        <f>IFERROR(VLOOKUP(F4768,CARTON_LOOKUP!$A:$E,4,0),"")</f>
      </c>
      <c r="I4768" s="28">
        <f>IFERROR(VLOOKUP(F4768,CARTON_LOOKUP!$A:$E,5,0),"")</f>
      </c>
      <c r="J4768" s="29">
        <f>IFERROR(VLOOKUP(F4768,CARTON_LOOKUP!$A:$E,2,0),"")</f>
      </c>
      <c r="K4768" s="29">
        <f>IFERROR(J4768*D4768,0)</f>
      </c>
      <c r="L4768" s="29">
        <f>IFERROR(E4768*C4768,0)</f>
      </c>
      <c r="M4768" s="29">
        <f>IFERROR((G4768*H4768*I4768/1000000)*D4768,0)</f>
      </c>
    </row>
    <row r="4769" spans="1:13" x14ac:dyDescent="0.25">
      <c r="A4769" s="16"/>
      <c r="E4769" s="27"/>
      <c r="F4769" t="s">
        <v>26</v>
      </c>
      <c r="G4769" s="28">
        <f>IFERROR(VLOOKUP(F4769,CARTON_LOOKUP!$A:$E,3,0),"")</f>
      </c>
      <c r="H4769" s="28">
        <f>IFERROR(VLOOKUP(F4769,CARTON_LOOKUP!$A:$E,4,0),"")</f>
      </c>
      <c r="I4769" s="28">
        <f>IFERROR(VLOOKUP(F4769,CARTON_LOOKUP!$A:$E,5,0),"")</f>
      </c>
      <c r="J4769" s="29">
        <f>IFERROR(VLOOKUP(F4769,CARTON_LOOKUP!$A:$E,2,0),"")</f>
      </c>
      <c r="K4769" s="29">
        <f>IFERROR(J4769*D4769,0)</f>
      </c>
      <c r="L4769" s="29">
        <f>IFERROR(E4769*C4769,0)</f>
      </c>
      <c r="M4769" s="29">
        <f>IFERROR((G4769*H4769*I4769/1000000)*D4769,0)</f>
      </c>
    </row>
    <row r="4770" spans="1:13" x14ac:dyDescent="0.25">
      <c r="A4770" s="16"/>
      <c r="E4770" s="27"/>
      <c r="F4770" t="s">
        <v>26</v>
      </c>
      <c r="G4770" s="28">
        <f>IFERROR(VLOOKUP(F4770,CARTON_LOOKUP!$A:$E,3,0),"")</f>
      </c>
      <c r="H4770" s="28">
        <f>IFERROR(VLOOKUP(F4770,CARTON_LOOKUP!$A:$E,4,0),"")</f>
      </c>
      <c r="I4770" s="28">
        <f>IFERROR(VLOOKUP(F4770,CARTON_LOOKUP!$A:$E,5,0),"")</f>
      </c>
      <c r="J4770" s="29">
        <f>IFERROR(VLOOKUP(F4770,CARTON_LOOKUP!$A:$E,2,0),"")</f>
      </c>
      <c r="K4770" s="29">
        <f>IFERROR(J4770*D4770,0)</f>
      </c>
      <c r="L4770" s="29">
        <f>IFERROR(E4770*C4770,0)</f>
      </c>
      <c r="M4770" s="29">
        <f>IFERROR((G4770*H4770*I4770/1000000)*D4770,0)</f>
      </c>
    </row>
    <row r="4771" spans="1:13" x14ac:dyDescent="0.25">
      <c r="A4771" s="16"/>
      <c r="E4771" s="27"/>
      <c r="F4771" t="s">
        <v>26</v>
      </c>
      <c r="G4771" s="28">
        <f>IFERROR(VLOOKUP(F4771,CARTON_LOOKUP!$A:$E,3,0),"")</f>
      </c>
      <c r="H4771" s="28">
        <f>IFERROR(VLOOKUP(F4771,CARTON_LOOKUP!$A:$E,4,0),"")</f>
      </c>
      <c r="I4771" s="28">
        <f>IFERROR(VLOOKUP(F4771,CARTON_LOOKUP!$A:$E,5,0),"")</f>
      </c>
      <c r="J4771" s="29">
        <f>IFERROR(VLOOKUP(F4771,CARTON_LOOKUP!$A:$E,2,0),"")</f>
      </c>
      <c r="K4771" s="29">
        <f>IFERROR(J4771*D4771,0)</f>
      </c>
      <c r="L4771" s="29">
        <f>IFERROR(E4771*C4771,0)</f>
      </c>
      <c r="M4771" s="29">
        <f>IFERROR((G4771*H4771*I4771/1000000)*D4771,0)</f>
      </c>
    </row>
    <row r="4772" spans="1:13" x14ac:dyDescent="0.25">
      <c r="A4772" s="16"/>
      <c r="E4772" s="27"/>
      <c r="F4772" t="s">
        <v>26</v>
      </c>
      <c r="G4772" s="28">
        <f>IFERROR(VLOOKUP(F4772,CARTON_LOOKUP!$A:$E,3,0),"")</f>
      </c>
      <c r="H4772" s="28">
        <f>IFERROR(VLOOKUP(F4772,CARTON_LOOKUP!$A:$E,4,0),"")</f>
      </c>
      <c r="I4772" s="28">
        <f>IFERROR(VLOOKUP(F4772,CARTON_LOOKUP!$A:$E,5,0),"")</f>
      </c>
      <c r="J4772" s="29">
        <f>IFERROR(VLOOKUP(F4772,CARTON_LOOKUP!$A:$E,2,0),"")</f>
      </c>
      <c r="K4772" s="29">
        <f>IFERROR(J4772*D4772,0)</f>
      </c>
      <c r="L4772" s="29">
        <f>IFERROR(E4772*C4772,0)</f>
      </c>
      <c r="M4772" s="29">
        <f>IFERROR((G4772*H4772*I4772/1000000)*D4772,0)</f>
      </c>
    </row>
    <row r="4773" spans="1:13" x14ac:dyDescent="0.25">
      <c r="A4773" s="16"/>
      <c r="E4773" s="27"/>
      <c r="F4773" t="s">
        <v>26</v>
      </c>
      <c r="G4773" s="28">
        <f>IFERROR(VLOOKUP(F4773,CARTON_LOOKUP!$A:$E,3,0),"")</f>
      </c>
      <c r="H4773" s="28">
        <f>IFERROR(VLOOKUP(F4773,CARTON_LOOKUP!$A:$E,4,0),"")</f>
      </c>
      <c r="I4773" s="28">
        <f>IFERROR(VLOOKUP(F4773,CARTON_LOOKUP!$A:$E,5,0),"")</f>
      </c>
      <c r="J4773" s="29">
        <f>IFERROR(VLOOKUP(F4773,CARTON_LOOKUP!$A:$E,2,0),"")</f>
      </c>
      <c r="K4773" s="29">
        <f>IFERROR(J4773*D4773,0)</f>
      </c>
      <c r="L4773" s="29">
        <f>IFERROR(E4773*C4773,0)</f>
      </c>
      <c r="M4773" s="29">
        <f>IFERROR((G4773*H4773*I4773/1000000)*D4773,0)</f>
      </c>
    </row>
    <row r="4774" spans="1:13" x14ac:dyDescent="0.25">
      <c r="A4774" s="16"/>
      <c r="E4774" s="27"/>
      <c r="F4774" t="s">
        <v>26</v>
      </c>
      <c r="G4774" s="28">
        <f>IFERROR(VLOOKUP(F4774,CARTON_LOOKUP!$A:$E,3,0),"")</f>
      </c>
      <c r="H4774" s="28">
        <f>IFERROR(VLOOKUP(F4774,CARTON_LOOKUP!$A:$E,4,0),"")</f>
      </c>
      <c r="I4774" s="28">
        <f>IFERROR(VLOOKUP(F4774,CARTON_LOOKUP!$A:$E,5,0),"")</f>
      </c>
      <c r="J4774" s="29">
        <f>IFERROR(VLOOKUP(F4774,CARTON_LOOKUP!$A:$E,2,0),"")</f>
      </c>
      <c r="K4774" s="29">
        <f>IFERROR(J4774*D4774,0)</f>
      </c>
      <c r="L4774" s="29">
        <f>IFERROR(E4774*C4774,0)</f>
      </c>
      <c r="M4774" s="29">
        <f>IFERROR((G4774*H4774*I4774/1000000)*D4774,0)</f>
      </c>
    </row>
    <row r="4775" spans="1:13" x14ac:dyDescent="0.25">
      <c r="A4775" s="16"/>
      <c r="E4775" s="27"/>
      <c r="F4775" t="s">
        <v>26</v>
      </c>
      <c r="G4775" s="28">
        <f>IFERROR(VLOOKUP(F4775,CARTON_LOOKUP!$A:$E,3,0),"")</f>
      </c>
      <c r="H4775" s="28">
        <f>IFERROR(VLOOKUP(F4775,CARTON_LOOKUP!$A:$E,4,0),"")</f>
      </c>
      <c r="I4775" s="28">
        <f>IFERROR(VLOOKUP(F4775,CARTON_LOOKUP!$A:$E,5,0),"")</f>
      </c>
      <c r="J4775" s="29">
        <f>IFERROR(VLOOKUP(F4775,CARTON_LOOKUP!$A:$E,2,0),"")</f>
      </c>
      <c r="K4775" s="29">
        <f>IFERROR(J4775*D4775,0)</f>
      </c>
      <c r="L4775" s="29">
        <f>IFERROR(E4775*C4775,0)</f>
      </c>
      <c r="M4775" s="29">
        <f>IFERROR((G4775*H4775*I4775/1000000)*D4775,0)</f>
      </c>
    </row>
    <row r="4776" spans="1:13" x14ac:dyDescent="0.25">
      <c r="A4776" s="16"/>
      <c r="E4776" s="27"/>
      <c r="F4776" t="s">
        <v>26</v>
      </c>
      <c r="G4776" s="28">
        <f>IFERROR(VLOOKUP(F4776,CARTON_LOOKUP!$A:$E,3,0),"")</f>
      </c>
      <c r="H4776" s="28">
        <f>IFERROR(VLOOKUP(F4776,CARTON_LOOKUP!$A:$E,4,0),"")</f>
      </c>
      <c r="I4776" s="28">
        <f>IFERROR(VLOOKUP(F4776,CARTON_LOOKUP!$A:$E,5,0),"")</f>
      </c>
      <c r="J4776" s="29">
        <f>IFERROR(VLOOKUP(F4776,CARTON_LOOKUP!$A:$E,2,0),"")</f>
      </c>
      <c r="K4776" s="29">
        <f>IFERROR(J4776*D4776,0)</f>
      </c>
      <c r="L4776" s="29">
        <f>IFERROR(E4776*C4776,0)</f>
      </c>
      <c r="M4776" s="29">
        <f>IFERROR((G4776*H4776*I4776/1000000)*D4776,0)</f>
      </c>
    </row>
    <row r="4777" spans="1:13" x14ac:dyDescent="0.25">
      <c r="A4777" s="16"/>
      <c r="E4777" s="27"/>
      <c r="F4777" t="s">
        <v>26</v>
      </c>
      <c r="G4777" s="28">
        <f>IFERROR(VLOOKUP(F4777,CARTON_LOOKUP!$A:$E,3,0),"")</f>
      </c>
      <c r="H4777" s="28">
        <f>IFERROR(VLOOKUP(F4777,CARTON_LOOKUP!$A:$E,4,0),"")</f>
      </c>
      <c r="I4777" s="28">
        <f>IFERROR(VLOOKUP(F4777,CARTON_LOOKUP!$A:$E,5,0),"")</f>
      </c>
      <c r="J4777" s="29">
        <f>IFERROR(VLOOKUP(F4777,CARTON_LOOKUP!$A:$E,2,0),"")</f>
      </c>
      <c r="K4777" s="29">
        <f>IFERROR(J4777*D4777,0)</f>
      </c>
      <c r="L4777" s="29">
        <f>IFERROR(E4777*C4777,0)</f>
      </c>
      <c r="M4777" s="29">
        <f>IFERROR((G4777*H4777*I4777/1000000)*D4777,0)</f>
      </c>
    </row>
    <row r="4778" spans="1:13" x14ac:dyDescent="0.25">
      <c r="A4778" s="16"/>
      <c r="E4778" s="27"/>
      <c r="F4778" t="s">
        <v>26</v>
      </c>
      <c r="G4778" s="28">
        <f>IFERROR(VLOOKUP(F4778,CARTON_LOOKUP!$A:$E,3,0),"")</f>
      </c>
      <c r="H4778" s="28">
        <f>IFERROR(VLOOKUP(F4778,CARTON_LOOKUP!$A:$E,4,0),"")</f>
      </c>
      <c r="I4778" s="28">
        <f>IFERROR(VLOOKUP(F4778,CARTON_LOOKUP!$A:$E,5,0),"")</f>
      </c>
      <c r="J4778" s="29">
        <f>IFERROR(VLOOKUP(F4778,CARTON_LOOKUP!$A:$E,2,0),"")</f>
      </c>
      <c r="K4778" s="29">
        <f>IFERROR(J4778*D4778,0)</f>
      </c>
      <c r="L4778" s="29">
        <f>IFERROR(E4778*C4778,0)</f>
      </c>
      <c r="M4778" s="29">
        <f>IFERROR((G4778*H4778*I4778/1000000)*D4778,0)</f>
      </c>
    </row>
    <row r="4779" spans="1:13" x14ac:dyDescent="0.25">
      <c r="A4779" s="16"/>
      <c r="E4779" s="27"/>
      <c r="F4779" t="s">
        <v>26</v>
      </c>
      <c r="G4779" s="28">
        <f>IFERROR(VLOOKUP(F4779,CARTON_LOOKUP!$A:$E,3,0),"")</f>
      </c>
      <c r="H4779" s="28">
        <f>IFERROR(VLOOKUP(F4779,CARTON_LOOKUP!$A:$E,4,0),"")</f>
      </c>
      <c r="I4779" s="28">
        <f>IFERROR(VLOOKUP(F4779,CARTON_LOOKUP!$A:$E,5,0),"")</f>
      </c>
      <c r="J4779" s="29">
        <f>IFERROR(VLOOKUP(F4779,CARTON_LOOKUP!$A:$E,2,0),"")</f>
      </c>
      <c r="K4779" s="29">
        <f>IFERROR(J4779*D4779,0)</f>
      </c>
      <c r="L4779" s="29">
        <f>IFERROR(E4779*C4779,0)</f>
      </c>
      <c r="M4779" s="29">
        <f>IFERROR((G4779*H4779*I4779/1000000)*D4779,0)</f>
      </c>
    </row>
    <row r="4780" spans="1:13" x14ac:dyDescent="0.25">
      <c r="A4780" s="16"/>
      <c r="E4780" s="27"/>
      <c r="F4780" t="s">
        <v>26</v>
      </c>
      <c r="G4780" s="28">
        <f>IFERROR(VLOOKUP(F4780,CARTON_LOOKUP!$A:$E,3,0),"")</f>
      </c>
      <c r="H4780" s="28">
        <f>IFERROR(VLOOKUP(F4780,CARTON_LOOKUP!$A:$E,4,0),"")</f>
      </c>
      <c r="I4780" s="28">
        <f>IFERROR(VLOOKUP(F4780,CARTON_LOOKUP!$A:$E,5,0),"")</f>
      </c>
      <c r="J4780" s="29">
        <f>IFERROR(VLOOKUP(F4780,CARTON_LOOKUP!$A:$E,2,0),"")</f>
      </c>
      <c r="K4780" s="29">
        <f>IFERROR(J4780*D4780,0)</f>
      </c>
      <c r="L4780" s="29">
        <f>IFERROR(E4780*C4780,0)</f>
      </c>
      <c r="M4780" s="29">
        <f>IFERROR((G4780*H4780*I4780/1000000)*D4780,0)</f>
      </c>
    </row>
    <row r="4781" spans="1:13" x14ac:dyDescent="0.25">
      <c r="A4781" s="16"/>
      <c r="E4781" s="27"/>
      <c r="F4781" t="s">
        <v>26</v>
      </c>
      <c r="G4781" s="28">
        <f>IFERROR(VLOOKUP(F4781,CARTON_LOOKUP!$A:$E,3,0),"")</f>
      </c>
      <c r="H4781" s="28">
        <f>IFERROR(VLOOKUP(F4781,CARTON_LOOKUP!$A:$E,4,0),"")</f>
      </c>
      <c r="I4781" s="28">
        <f>IFERROR(VLOOKUP(F4781,CARTON_LOOKUP!$A:$E,5,0),"")</f>
      </c>
      <c r="J4781" s="29">
        <f>IFERROR(VLOOKUP(F4781,CARTON_LOOKUP!$A:$E,2,0),"")</f>
      </c>
      <c r="K4781" s="29">
        <f>IFERROR(J4781*D4781,0)</f>
      </c>
      <c r="L4781" s="29">
        <f>IFERROR(E4781*C4781,0)</f>
      </c>
      <c r="M4781" s="29">
        <f>IFERROR((G4781*H4781*I4781/1000000)*D4781,0)</f>
      </c>
    </row>
    <row r="4782" spans="1:13" x14ac:dyDescent="0.25">
      <c r="A4782" s="16"/>
      <c r="E4782" s="27"/>
      <c r="F4782" t="s">
        <v>26</v>
      </c>
      <c r="G4782" s="28">
        <f>IFERROR(VLOOKUP(F4782,CARTON_LOOKUP!$A:$E,3,0),"")</f>
      </c>
      <c r="H4782" s="28">
        <f>IFERROR(VLOOKUP(F4782,CARTON_LOOKUP!$A:$E,4,0),"")</f>
      </c>
      <c r="I4782" s="28">
        <f>IFERROR(VLOOKUP(F4782,CARTON_LOOKUP!$A:$E,5,0),"")</f>
      </c>
      <c r="J4782" s="29">
        <f>IFERROR(VLOOKUP(F4782,CARTON_LOOKUP!$A:$E,2,0),"")</f>
      </c>
      <c r="K4782" s="29">
        <f>IFERROR(J4782*D4782,0)</f>
      </c>
      <c r="L4782" s="29">
        <f>IFERROR(E4782*C4782,0)</f>
      </c>
      <c r="M4782" s="29">
        <f>IFERROR((G4782*H4782*I4782/1000000)*D4782,0)</f>
      </c>
    </row>
    <row r="4783" spans="1:13" x14ac:dyDescent="0.25">
      <c r="A4783" s="16"/>
      <c r="E4783" s="27"/>
      <c r="F4783" t="s">
        <v>26</v>
      </c>
      <c r="G4783" s="28">
        <f>IFERROR(VLOOKUP(F4783,CARTON_LOOKUP!$A:$E,3,0),"")</f>
      </c>
      <c r="H4783" s="28">
        <f>IFERROR(VLOOKUP(F4783,CARTON_LOOKUP!$A:$E,4,0),"")</f>
      </c>
      <c r="I4783" s="28">
        <f>IFERROR(VLOOKUP(F4783,CARTON_LOOKUP!$A:$E,5,0),"")</f>
      </c>
      <c r="J4783" s="29">
        <f>IFERROR(VLOOKUP(F4783,CARTON_LOOKUP!$A:$E,2,0),"")</f>
      </c>
      <c r="K4783" s="29">
        <f>IFERROR(J4783*D4783,0)</f>
      </c>
      <c r="L4783" s="29">
        <f>IFERROR(E4783*C4783,0)</f>
      </c>
      <c r="M4783" s="29">
        <f>IFERROR((G4783*H4783*I4783/1000000)*D4783,0)</f>
      </c>
    </row>
    <row r="4784" spans="1:13" x14ac:dyDescent="0.25">
      <c r="A4784" s="16"/>
      <c r="E4784" s="27"/>
      <c r="F4784" t="s">
        <v>26</v>
      </c>
      <c r="G4784" s="28">
        <f>IFERROR(VLOOKUP(F4784,CARTON_LOOKUP!$A:$E,3,0),"")</f>
      </c>
      <c r="H4784" s="28">
        <f>IFERROR(VLOOKUP(F4784,CARTON_LOOKUP!$A:$E,4,0),"")</f>
      </c>
      <c r="I4784" s="28">
        <f>IFERROR(VLOOKUP(F4784,CARTON_LOOKUP!$A:$E,5,0),"")</f>
      </c>
      <c r="J4784" s="29">
        <f>IFERROR(VLOOKUP(F4784,CARTON_LOOKUP!$A:$E,2,0),"")</f>
      </c>
      <c r="K4784" s="29">
        <f>IFERROR(J4784*D4784,0)</f>
      </c>
      <c r="L4784" s="29">
        <f>IFERROR(E4784*C4784,0)</f>
      </c>
      <c r="M4784" s="29">
        <f>IFERROR((G4784*H4784*I4784/1000000)*D4784,0)</f>
      </c>
    </row>
    <row r="4785" spans="1:13" x14ac:dyDescent="0.25">
      <c r="A4785" s="16"/>
      <c r="E4785" s="27"/>
      <c r="F4785" t="s">
        <v>26</v>
      </c>
      <c r="G4785" s="28">
        <f>IFERROR(VLOOKUP(F4785,CARTON_LOOKUP!$A:$E,3,0),"")</f>
      </c>
      <c r="H4785" s="28">
        <f>IFERROR(VLOOKUP(F4785,CARTON_LOOKUP!$A:$E,4,0),"")</f>
      </c>
      <c r="I4785" s="28">
        <f>IFERROR(VLOOKUP(F4785,CARTON_LOOKUP!$A:$E,5,0),"")</f>
      </c>
      <c r="J4785" s="29">
        <f>IFERROR(VLOOKUP(F4785,CARTON_LOOKUP!$A:$E,2,0),"")</f>
      </c>
      <c r="K4785" s="29">
        <f>IFERROR(J4785*D4785,0)</f>
      </c>
      <c r="L4785" s="29">
        <f>IFERROR(E4785*C4785,0)</f>
      </c>
      <c r="M4785" s="29">
        <f>IFERROR((G4785*H4785*I4785/1000000)*D4785,0)</f>
      </c>
    </row>
    <row r="4786" spans="1:13" x14ac:dyDescent="0.25">
      <c r="A4786" s="16"/>
      <c r="E4786" s="27"/>
      <c r="F4786" t="s">
        <v>26</v>
      </c>
      <c r="G4786" s="28">
        <f>IFERROR(VLOOKUP(F4786,CARTON_LOOKUP!$A:$E,3,0),"")</f>
      </c>
      <c r="H4786" s="28">
        <f>IFERROR(VLOOKUP(F4786,CARTON_LOOKUP!$A:$E,4,0),"")</f>
      </c>
      <c r="I4786" s="28">
        <f>IFERROR(VLOOKUP(F4786,CARTON_LOOKUP!$A:$E,5,0),"")</f>
      </c>
      <c r="J4786" s="29">
        <f>IFERROR(VLOOKUP(F4786,CARTON_LOOKUP!$A:$E,2,0),"")</f>
      </c>
      <c r="K4786" s="29">
        <f>IFERROR(J4786*D4786,0)</f>
      </c>
      <c r="L4786" s="29">
        <f>IFERROR(E4786*C4786,0)</f>
      </c>
      <c r="M4786" s="29">
        <f>IFERROR((G4786*H4786*I4786/1000000)*D4786,0)</f>
      </c>
    </row>
    <row r="4787" spans="1:13" x14ac:dyDescent="0.25">
      <c r="A4787" s="16"/>
      <c r="E4787" s="27"/>
      <c r="F4787" t="s">
        <v>26</v>
      </c>
      <c r="G4787" s="28">
        <f>IFERROR(VLOOKUP(F4787,CARTON_LOOKUP!$A:$E,3,0),"")</f>
      </c>
      <c r="H4787" s="28">
        <f>IFERROR(VLOOKUP(F4787,CARTON_LOOKUP!$A:$E,4,0),"")</f>
      </c>
      <c r="I4787" s="28">
        <f>IFERROR(VLOOKUP(F4787,CARTON_LOOKUP!$A:$E,5,0),"")</f>
      </c>
      <c r="J4787" s="29">
        <f>IFERROR(VLOOKUP(F4787,CARTON_LOOKUP!$A:$E,2,0),"")</f>
      </c>
      <c r="K4787" s="29">
        <f>IFERROR(J4787*D4787,0)</f>
      </c>
      <c r="L4787" s="29">
        <f>IFERROR(E4787*C4787,0)</f>
      </c>
      <c r="M4787" s="29">
        <f>IFERROR((G4787*H4787*I4787/1000000)*D4787,0)</f>
      </c>
    </row>
    <row r="4788" spans="1:13" x14ac:dyDescent="0.25">
      <c r="A4788" s="16"/>
      <c r="E4788" s="27"/>
      <c r="F4788" t="s">
        <v>26</v>
      </c>
      <c r="G4788" s="28">
        <f>IFERROR(VLOOKUP(F4788,CARTON_LOOKUP!$A:$E,3,0),"")</f>
      </c>
      <c r="H4788" s="28">
        <f>IFERROR(VLOOKUP(F4788,CARTON_LOOKUP!$A:$E,4,0),"")</f>
      </c>
      <c r="I4788" s="28">
        <f>IFERROR(VLOOKUP(F4788,CARTON_LOOKUP!$A:$E,5,0),"")</f>
      </c>
      <c r="J4788" s="29">
        <f>IFERROR(VLOOKUP(F4788,CARTON_LOOKUP!$A:$E,2,0),"")</f>
      </c>
      <c r="K4788" s="29">
        <f>IFERROR(J4788*D4788,0)</f>
      </c>
      <c r="L4788" s="29">
        <f>IFERROR(E4788*C4788,0)</f>
      </c>
      <c r="M4788" s="29">
        <f>IFERROR((G4788*H4788*I4788/1000000)*D4788,0)</f>
      </c>
    </row>
    <row r="4789" spans="1:13" x14ac:dyDescent="0.25">
      <c r="A4789" s="16"/>
      <c r="E4789" s="27"/>
      <c r="F4789" t="s">
        <v>26</v>
      </c>
      <c r="G4789" s="28">
        <f>IFERROR(VLOOKUP(F4789,CARTON_LOOKUP!$A:$E,3,0),"")</f>
      </c>
      <c r="H4789" s="28">
        <f>IFERROR(VLOOKUP(F4789,CARTON_LOOKUP!$A:$E,4,0),"")</f>
      </c>
      <c r="I4789" s="28">
        <f>IFERROR(VLOOKUP(F4789,CARTON_LOOKUP!$A:$E,5,0),"")</f>
      </c>
      <c r="J4789" s="29">
        <f>IFERROR(VLOOKUP(F4789,CARTON_LOOKUP!$A:$E,2,0),"")</f>
      </c>
      <c r="K4789" s="29">
        <f>IFERROR(J4789*D4789,0)</f>
      </c>
      <c r="L4789" s="29">
        <f>IFERROR(E4789*C4789,0)</f>
      </c>
      <c r="M4789" s="29">
        <f>IFERROR((G4789*H4789*I4789/1000000)*D4789,0)</f>
      </c>
    </row>
    <row r="4790" spans="1:13" x14ac:dyDescent="0.25">
      <c r="A4790" s="16"/>
      <c r="E4790" s="27"/>
      <c r="F4790" t="s">
        <v>26</v>
      </c>
      <c r="G4790" s="28">
        <f>IFERROR(VLOOKUP(F4790,CARTON_LOOKUP!$A:$E,3,0),"")</f>
      </c>
      <c r="H4790" s="28">
        <f>IFERROR(VLOOKUP(F4790,CARTON_LOOKUP!$A:$E,4,0),"")</f>
      </c>
      <c r="I4790" s="28">
        <f>IFERROR(VLOOKUP(F4790,CARTON_LOOKUP!$A:$E,5,0),"")</f>
      </c>
      <c r="J4790" s="29">
        <f>IFERROR(VLOOKUP(F4790,CARTON_LOOKUP!$A:$E,2,0),"")</f>
      </c>
      <c r="K4790" s="29">
        <f>IFERROR(J4790*D4790,0)</f>
      </c>
      <c r="L4790" s="29">
        <f>IFERROR(E4790*C4790,0)</f>
      </c>
      <c r="M4790" s="29">
        <f>IFERROR((G4790*H4790*I4790/1000000)*D4790,0)</f>
      </c>
    </row>
    <row r="4791" spans="1:13" x14ac:dyDescent="0.25">
      <c r="A4791" s="16"/>
      <c r="E4791" s="27"/>
      <c r="F4791" t="s">
        <v>26</v>
      </c>
      <c r="G4791" s="28">
        <f>IFERROR(VLOOKUP(F4791,CARTON_LOOKUP!$A:$E,3,0),"")</f>
      </c>
      <c r="H4791" s="28">
        <f>IFERROR(VLOOKUP(F4791,CARTON_LOOKUP!$A:$E,4,0),"")</f>
      </c>
      <c r="I4791" s="28">
        <f>IFERROR(VLOOKUP(F4791,CARTON_LOOKUP!$A:$E,5,0),"")</f>
      </c>
      <c r="J4791" s="29">
        <f>IFERROR(VLOOKUP(F4791,CARTON_LOOKUP!$A:$E,2,0),"")</f>
      </c>
      <c r="K4791" s="29">
        <f>IFERROR(J4791*D4791,0)</f>
      </c>
      <c r="L4791" s="29">
        <f>IFERROR(E4791*C4791,0)</f>
      </c>
      <c r="M4791" s="29">
        <f>IFERROR((G4791*H4791*I4791/1000000)*D4791,0)</f>
      </c>
    </row>
    <row r="4792" spans="1:13" x14ac:dyDescent="0.25">
      <c r="A4792" s="16"/>
      <c r="E4792" s="27"/>
      <c r="F4792" t="s">
        <v>26</v>
      </c>
      <c r="G4792" s="28">
        <f>IFERROR(VLOOKUP(F4792,CARTON_LOOKUP!$A:$E,3,0),"")</f>
      </c>
      <c r="H4792" s="28">
        <f>IFERROR(VLOOKUP(F4792,CARTON_LOOKUP!$A:$E,4,0),"")</f>
      </c>
      <c r="I4792" s="28">
        <f>IFERROR(VLOOKUP(F4792,CARTON_LOOKUP!$A:$E,5,0),"")</f>
      </c>
      <c r="J4792" s="29">
        <f>IFERROR(VLOOKUP(F4792,CARTON_LOOKUP!$A:$E,2,0),"")</f>
      </c>
      <c r="K4792" s="29">
        <f>IFERROR(J4792*D4792,0)</f>
      </c>
      <c r="L4792" s="29">
        <f>IFERROR(E4792*C4792,0)</f>
      </c>
      <c r="M4792" s="29">
        <f>IFERROR((G4792*H4792*I4792/1000000)*D4792,0)</f>
      </c>
    </row>
    <row r="4793" spans="1:13" x14ac:dyDescent="0.25">
      <c r="A4793" s="16"/>
      <c r="E4793" s="27"/>
      <c r="F4793" t="s">
        <v>26</v>
      </c>
      <c r="G4793" s="28">
        <f>IFERROR(VLOOKUP(F4793,CARTON_LOOKUP!$A:$E,3,0),"")</f>
      </c>
      <c r="H4793" s="28">
        <f>IFERROR(VLOOKUP(F4793,CARTON_LOOKUP!$A:$E,4,0),"")</f>
      </c>
      <c r="I4793" s="28">
        <f>IFERROR(VLOOKUP(F4793,CARTON_LOOKUP!$A:$E,5,0),"")</f>
      </c>
      <c r="J4793" s="29">
        <f>IFERROR(VLOOKUP(F4793,CARTON_LOOKUP!$A:$E,2,0),"")</f>
      </c>
      <c r="K4793" s="29">
        <f>IFERROR(J4793*D4793,0)</f>
      </c>
      <c r="L4793" s="29">
        <f>IFERROR(E4793*C4793,0)</f>
      </c>
      <c r="M4793" s="29">
        <f>IFERROR((G4793*H4793*I4793/1000000)*D4793,0)</f>
      </c>
    </row>
    <row r="4794" spans="1:13" x14ac:dyDescent="0.25">
      <c r="A4794" s="16"/>
      <c r="E4794" s="27"/>
      <c r="F4794" t="s">
        <v>26</v>
      </c>
      <c r="G4794" s="28">
        <f>IFERROR(VLOOKUP(F4794,CARTON_LOOKUP!$A:$E,3,0),"")</f>
      </c>
      <c r="H4794" s="28">
        <f>IFERROR(VLOOKUP(F4794,CARTON_LOOKUP!$A:$E,4,0),"")</f>
      </c>
      <c r="I4794" s="28">
        <f>IFERROR(VLOOKUP(F4794,CARTON_LOOKUP!$A:$E,5,0),"")</f>
      </c>
      <c r="J4794" s="29">
        <f>IFERROR(VLOOKUP(F4794,CARTON_LOOKUP!$A:$E,2,0),"")</f>
      </c>
      <c r="K4794" s="29">
        <f>IFERROR(J4794*D4794,0)</f>
      </c>
      <c r="L4794" s="29">
        <f>IFERROR(E4794*C4794,0)</f>
      </c>
      <c r="M4794" s="29">
        <f>IFERROR((G4794*H4794*I4794/1000000)*D4794,0)</f>
      </c>
    </row>
    <row r="4795" spans="1:13" x14ac:dyDescent="0.25">
      <c r="A4795" s="16"/>
      <c r="E4795" s="27"/>
      <c r="F4795" t="s">
        <v>26</v>
      </c>
      <c r="G4795" s="28">
        <f>IFERROR(VLOOKUP(F4795,CARTON_LOOKUP!$A:$E,3,0),"")</f>
      </c>
      <c r="H4795" s="28">
        <f>IFERROR(VLOOKUP(F4795,CARTON_LOOKUP!$A:$E,4,0),"")</f>
      </c>
      <c r="I4795" s="28">
        <f>IFERROR(VLOOKUP(F4795,CARTON_LOOKUP!$A:$E,5,0),"")</f>
      </c>
      <c r="J4795" s="29">
        <f>IFERROR(VLOOKUP(F4795,CARTON_LOOKUP!$A:$E,2,0),"")</f>
      </c>
      <c r="K4795" s="29">
        <f>IFERROR(J4795*D4795,0)</f>
      </c>
      <c r="L4795" s="29">
        <f>IFERROR(E4795*C4795,0)</f>
      </c>
      <c r="M4795" s="29">
        <f>IFERROR((G4795*H4795*I4795/1000000)*D4795,0)</f>
      </c>
    </row>
    <row r="4796" spans="1:13" x14ac:dyDescent="0.25">
      <c r="A4796" s="16"/>
      <c r="E4796" s="27"/>
      <c r="F4796" t="s">
        <v>26</v>
      </c>
      <c r="G4796" s="28">
        <f>IFERROR(VLOOKUP(F4796,CARTON_LOOKUP!$A:$E,3,0),"")</f>
      </c>
      <c r="H4796" s="28">
        <f>IFERROR(VLOOKUP(F4796,CARTON_LOOKUP!$A:$E,4,0),"")</f>
      </c>
      <c r="I4796" s="28">
        <f>IFERROR(VLOOKUP(F4796,CARTON_LOOKUP!$A:$E,5,0),"")</f>
      </c>
      <c r="J4796" s="29">
        <f>IFERROR(VLOOKUP(F4796,CARTON_LOOKUP!$A:$E,2,0),"")</f>
      </c>
      <c r="K4796" s="29">
        <f>IFERROR(J4796*D4796,0)</f>
      </c>
      <c r="L4796" s="29">
        <f>IFERROR(E4796*C4796,0)</f>
      </c>
      <c r="M4796" s="29">
        <f>IFERROR((G4796*H4796*I4796/1000000)*D4796,0)</f>
      </c>
    </row>
    <row r="4797" spans="1:13" x14ac:dyDescent="0.25">
      <c r="A4797" s="16"/>
      <c r="E4797" s="27"/>
      <c r="F4797" t="s">
        <v>26</v>
      </c>
      <c r="G4797" s="28">
        <f>IFERROR(VLOOKUP(F4797,CARTON_LOOKUP!$A:$E,3,0),"")</f>
      </c>
      <c r="H4797" s="28">
        <f>IFERROR(VLOOKUP(F4797,CARTON_LOOKUP!$A:$E,4,0),"")</f>
      </c>
      <c r="I4797" s="28">
        <f>IFERROR(VLOOKUP(F4797,CARTON_LOOKUP!$A:$E,5,0),"")</f>
      </c>
      <c r="J4797" s="29">
        <f>IFERROR(VLOOKUP(F4797,CARTON_LOOKUP!$A:$E,2,0),"")</f>
      </c>
      <c r="K4797" s="29">
        <f>IFERROR(J4797*D4797,0)</f>
      </c>
      <c r="L4797" s="29">
        <f>IFERROR(E4797*C4797,0)</f>
      </c>
      <c r="M4797" s="29">
        <f>IFERROR((G4797*H4797*I4797/1000000)*D4797,0)</f>
      </c>
    </row>
    <row r="4798" spans="1:13" x14ac:dyDescent="0.25">
      <c r="A4798" s="16"/>
      <c r="E4798" s="27"/>
      <c r="F4798" t="s">
        <v>26</v>
      </c>
      <c r="G4798" s="28">
        <f>IFERROR(VLOOKUP(F4798,CARTON_LOOKUP!$A:$E,3,0),"")</f>
      </c>
      <c r="H4798" s="28">
        <f>IFERROR(VLOOKUP(F4798,CARTON_LOOKUP!$A:$E,4,0),"")</f>
      </c>
      <c r="I4798" s="28">
        <f>IFERROR(VLOOKUP(F4798,CARTON_LOOKUP!$A:$E,5,0),"")</f>
      </c>
      <c r="J4798" s="29">
        <f>IFERROR(VLOOKUP(F4798,CARTON_LOOKUP!$A:$E,2,0),"")</f>
      </c>
      <c r="K4798" s="29">
        <f>IFERROR(J4798*D4798,0)</f>
      </c>
      <c r="L4798" s="29">
        <f>IFERROR(E4798*C4798,0)</f>
      </c>
      <c r="M4798" s="29">
        <f>IFERROR((G4798*H4798*I4798/1000000)*D4798,0)</f>
      </c>
    </row>
    <row r="4799" spans="1:13" x14ac:dyDescent="0.25">
      <c r="A4799" s="16"/>
      <c r="E4799" s="27"/>
      <c r="F4799" t="s">
        <v>26</v>
      </c>
      <c r="G4799" s="28">
        <f>IFERROR(VLOOKUP(F4799,CARTON_LOOKUP!$A:$E,3,0),"")</f>
      </c>
      <c r="H4799" s="28">
        <f>IFERROR(VLOOKUP(F4799,CARTON_LOOKUP!$A:$E,4,0),"")</f>
      </c>
      <c r="I4799" s="28">
        <f>IFERROR(VLOOKUP(F4799,CARTON_LOOKUP!$A:$E,5,0),"")</f>
      </c>
      <c r="J4799" s="29">
        <f>IFERROR(VLOOKUP(F4799,CARTON_LOOKUP!$A:$E,2,0),"")</f>
      </c>
      <c r="K4799" s="29">
        <f>IFERROR(J4799*D4799,0)</f>
      </c>
      <c r="L4799" s="29">
        <f>IFERROR(E4799*C4799,0)</f>
      </c>
      <c r="M4799" s="29">
        <f>IFERROR((G4799*H4799*I4799/1000000)*D4799,0)</f>
      </c>
    </row>
    <row r="4800" spans="1:13" x14ac:dyDescent="0.25">
      <c r="A4800" s="16"/>
      <c r="E4800" s="27"/>
      <c r="F4800" t="s">
        <v>26</v>
      </c>
      <c r="G4800" s="28">
        <f>IFERROR(VLOOKUP(F4800,CARTON_LOOKUP!$A:$E,3,0),"")</f>
      </c>
      <c r="H4800" s="28">
        <f>IFERROR(VLOOKUP(F4800,CARTON_LOOKUP!$A:$E,4,0),"")</f>
      </c>
      <c r="I4800" s="28">
        <f>IFERROR(VLOOKUP(F4800,CARTON_LOOKUP!$A:$E,5,0),"")</f>
      </c>
      <c r="J4800" s="29">
        <f>IFERROR(VLOOKUP(F4800,CARTON_LOOKUP!$A:$E,2,0),"")</f>
      </c>
      <c r="K4800" s="29">
        <f>IFERROR(J4800*D4800,0)</f>
      </c>
      <c r="L4800" s="29">
        <f>IFERROR(E4800*C4800,0)</f>
      </c>
      <c r="M4800" s="29">
        <f>IFERROR((G4800*H4800*I4800/1000000)*D4800,0)</f>
      </c>
    </row>
    <row r="4801" spans="1:13" x14ac:dyDescent="0.25">
      <c r="A4801" s="16"/>
      <c r="E4801" s="27"/>
      <c r="F4801" t="s">
        <v>26</v>
      </c>
      <c r="G4801" s="28">
        <f>IFERROR(VLOOKUP(F4801,CARTON_LOOKUP!$A:$E,3,0),"")</f>
      </c>
      <c r="H4801" s="28">
        <f>IFERROR(VLOOKUP(F4801,CARTON_LOOKUP!$A:$E,4,0),"")</f>
      </c>
      <c r="I4801" s="28">
        <f>IFERROR(VLOOKUP(F4801,CARTON_LOOKUP!$A:$E,5,0),"")</f>
      </c>
      <c r="J4801" s="29">
        <f>IFERROR(VLOOKUP(F4801,CARTON_LOOKUP!$A:$E,2,0),"")</f>
      </c>
      <c r="K4801" s="29">
        <f>IFERROR(J4801*D4801,0)</f>
      </c>
      <c r="L4801" s="29">
        <f>IFERROR(E4801*C4801,0)</f>
      </c>
      <c r="M4801" s="29">
        <f>IFERROR((G4801*H4801*I4801/1000000)*D4801,0)</f>
      </c>
    </row>
    <row r="4802" spans="1:13" x14ac:dyDescent="0.25">
      <c r="A4802" s="16"/>
      <c r="E4802" s="27"/>
      <c r="F4802" t="s">
        <v>26</v>
      </c>
      <c r="G4802" s="28">
        <f>IFERROR(VLOOKUP(F4802,CARTON_LOOKUP!$A:$E,3,0),"")</f>
      </c>
      <c r="H4802" s="28">
        <f>IFERROR(VLOOKUP(F4802,CARTON_LOOKUP!$A:$E,4,0),"")</f>
      </c>
      <c r="I4802" s="28">
        <f>IFERROR(VLOOKUP(F4802,CARTON_LOOKUP!$A:$E,5,0),"")</f>
      </c>
      <c r="J4802" s="29">
        <f>IFERROR(VLOOKUP(F4802,CARTON_LOOKUP!$A:$E,2,0),"")</f>
      </c>
      <c r="K4802" s="29">
        <f>IFERROR(J4802*D4802,0)</f>
      </c>
      <c r="L4802" s="29">
        <f>IFERROR(E4802*C4802,0)</f>
      </c>
      <c r="M4802" s="29">
        <f>IFERROR((G4802*H4802*I4802/1000000)*D4802,0)</f>
      </c>
    </row>
    <row r="4803" spans="1:13" x14ac:dyDescent="0.25">
      <c r="A4803" s="16"/>
      <c r="E4803" s="27"/>
      <c r="F4803" t="s">
        <v>26</v>
      </c>
      <c r="G4803" s="28">
        <f>IFERROR(VLOOKUP(F4803,CARTON_LOOKUP!$A:$E,3,0),"")</f>
      </c>
      <c r="H4803" s="28">
        <f>IFERROR(VLOOKUP(F4803,CARTON_LOOKUP!$A:$E,4,0),"")</f>
      </c>
      <c r="I4803" s="28">
        <f>IFERROR(VLOOKUP(F4803,CARTON_LOOKUP!$A:$E,5,0),"")</f>
      </c>
      <c r="J4803" s="29">
        <f>IFERROR(VLOOKUP(F4803,CARTON_LOOKUP!$A:$E,2,0),"")</f>
      </c>
      <c r="K4803" s="29">
        <f>IFERROR(J4803*D4803,0)</f>
      </c>
      <c r="L4803" s="29">
        <f>IFERROR(E4803*C4803,0)</f>
      </c>
      <c r="M4803" s="29">
        <f>IFERROR((G4803*H4803*I4803/1000000)*D4803,0)</f>
      </c>
    </row>
    <row r="4804" spans="1:13" x14ac:dyDescent="0.25">
      <c r="A4804" s="16"/>
      <c r="E4804" s="27"/>
      <c r="F4804" t="s">
        <v>26</v>
      </c>
      <c r="G4804" s="28">
        <f>IFERROR(VLOOKUP(F4804,CARTON_LOOKUP!$A:$E,3,0),"")</f>
      </c>
      <c r="H4804" s="28">
        <f>IFERROR(VLOOKUP(F4804,CARTON_LOOKUP!$A:$E,4,0),"")</f>
      </c>
      <c r="I4804" s="28">
        <f>IFERROR(VLOOKUP(F4804,CARTON_LOOKUP!$A:$E,5,0),"")</f>
      </c>
      <c r="J4804" s="29">
        <f>IFERROR(VLOOKUP(F4804,CARTON_LOOKUP!$A:$E,2,0),"")</f>
      </c>
      <c r="K4804" s="29">
        <f>IFERROR(J4804*D4804,0)</f>
      </c>
      <c r="L4804" s="29">
        <f>IFERROR(E4804*C4804,0)</f>
      </c>
      <c r="M4804" s="29">
        <f>IFERROR((G4804*H4804*I4804/1000000)*D4804,0)</f>
      </c>
    </row>
    <row r="4805" spans="1:13" x14ac:dyDescent="0.25">
      <c r="A4805" s="16"/>
      <c r="E4805" s="27"/>
      <c r="F4805" t="s">
        <v>26</v>
      </c>
      <c r="G4805" s="28">
        <f>IFERROR(VLOOKUP(F4805,CARTON_LOOKUP!$A:$E,3,0),"")</f>
      </c>
      <c r="H4805" s="28">
        <f>IFERROR(VLOOKUP(F4805,CARTON_LOOKUP!$A:$E,4,0),"")</f>
      </c>
      <c r="I4805" s="28">
        <f>IFERROR(VLOOKUP(F4805,CARTON_LOOKUP!$A:$E,5,0),"")</f>
      </c>
      <c r="J4805" s="29">
        <f>IFERROR(VLOOKUP(F4805,CARTON_LOOKUP!$A:$E,2,0),"")</f>
      </c>
      <c r="K4805" s="29">
        <f>IFERROR(J4805*D4805,0)</f>
      </c>
      <c r="L4805" s="29">
        <f>IFERROR(E4805*C4805,0)</f>
      </c>
      <c r="M4805" s="29">
        <f>IFERROR((G4805*H4805*I4805/1000000)*D4805,0)</f>
      </c>
    </row>
    <row r="4806" spans="1:13" x14ac:dyDescent="0.25">
      <c r="A4806" s="16"/>
      <c r="E4806" s="27"/>
      <c r="F4806" t="s">
        <v>26</v>
      </c>
      <c r="G4806" s="28">
        <f>IFERROR(VLOOKUP(F4806,CARTON_LOOKUP!$A:$E,3,0),"")</f>
      </c>
      <c r="H4806" s="28">
        <f>IFERROR(VLOOKUP(F4806,CARTON_LOOKUP!$A:$E,4,0),"")</f>
      </c>
      <c r="I4806" s="28">
        <f>IFERROR(VLOOKUP(F4806,CARTON_LOOKUP!$A:$E,5,0),"")</f>
      </c>
      <c r="J4806" s="29">
        <f>IFERROR(VLOOKUP(F4806,CARTON_LOOKUP!$A:$E,2,0),"")</f>
      </c>
      <c r="K4806" s="29">
        <f>IFERROR(J4806*D4806,0)</f>
      </c>
      <c r="L4806" s="29">
        <f>IFERROR(E4806*C4806,0)</f>
      </c>
      <c r="M4806" s="29">
        <f>IFERROR((G4806*H4806*I4806/1000000)*D4806,0)</f>
      </c>
    </row>
    <row r="4807" spans="1:13" x14ac:dyDescent="0.25">
      <c r="A4807" s="16"/>
      <c r="E4807" s="27"/>
      <c r="F4807" t="s">
        <v>26</v>
      </c>
      <c r="G4807" s="28">
        <f>IFERROR(VLOOKUP(F4807,CARTON_LOOKUP!$A:$E,3,0),"")</f>
      </c>
      <c r="H4807" s="28">
        <f>IFERROR(VLOOKUP(F4807,CARTON_LOOKUP!$A:$E,4,0),"")</f>
      </c>
      <c r="I4807" s="28">
        <f>IFERROR(VLOOKUP(F4807,CARTON_LOOKUP!$A:$E,5,0),"")</f>
      </c>
      <c r="J4807" s="29">
        <f>IFERROR(VLOOKUP(F4807,CARTON_LOOKUP!$A:$E,2,0),"")</f>
      </c>
      <c r="K4807" s="29">
        <f>IFERROR(J4807*D4807,0)</f>
      </c>
      <c r="L4807" s="29">
        <f>IFERROR(E4807*C4807,0)</f>
      </c>
      <c r="M4807" s="29">
        <f>IFERROR((G4807*H4807*I4807/1000000)*D4807,0)</f>
      </c>
    </row>
    <row r="4808" spans="1:13" x14ac:dyDescent="0.25">
      <c r="A4808" s="16"/>
      <c r="E4808" s="27"/>
      <c r="F4808" t="s">
        <v>26</v>
      </c>
      <c r="G4808" s="28">
        <f>IFERROR(VLOOKUP(F4808,CARTON_LOOKUP!$A:$E,3,0),"")</f>
      </c>
      <c r="H4808" s="28">
        <f>IFERROR(VLOOKUP(F4808,CARTON_LOOKUP!$A:$E,4,0),"")</f>
      </c>
      <c r="I4808" s="28">
        <f>IFERROR(VLOOKUP(F4808,CARTON_LOOKUP!$A:$E,5,0),"")</f>
      </c>
      <c r="J4808" s="29">
        <f>IFERROR(VLOOKUP(F4808,CARTON_LOOKUP!$A:$E,2,0),"")</f>
      </c>
      <c r="K4808" s="29">
        <f>IFERROR(J4808*D4808,0)</f>
      </c>
      <c r="L4808" s="29">
        <f>IFERROR(E4808*C4808,0)</f>
      </c>
      <c r="M4808" s="29">
        <f>IFERROR((G4808*H4808*I4808/1000000)*D4808,0)</f>
      </c>
    </row>
    <row r="4809" spans="1:13" x14ac:dyDescent="0.25">
      <c r="A4809" s="16"/>
      <c r="E4809" s="27"/>
      <c r="F4809" t="s">
        <v>26</v>
      </c>
      <c r="G4809" s="28">
        <f>IFERROR(VLOOKUP(F4809,CARTON_LOOKUP!$A:$E,3,0),"")</f>
      </c>
      <c r="H4809" s="28">
        <f>IFERROR(VLOOKUP(F4809,CARTON_LOOKUP!$A:$E,4,0),"")</f>
      </c>
      <c r="I4809" s="28">
        <f>IFERROR(VLOOKUP(F4809,CARTON_LOOKUP!$A:$E,5,0),"")</f>
      </c>
      <c r="J4809" s="29">
        <f>IFERROR(VLOOKUP(F4809,CARTON_LOOKUP!$A:$E,2,0),"")</f>
      </c>
      <c r="K4809" s="29">
        <f>IFERROR(J4809*D4809,0)</f>
      </c>
      <c r="L4809" s="29">
        <f>IFERROR(E4809*C4809,0)</f>
      </c>
      <c r="M4809" s="29">
        <f>IFERROR((G4809*H4809*I4809/1000000)*D4809,0)</f>
      </c>
    </row>
    <row r="4810" spans="1:13" x14ac:dyDescent="0.25">
      <c r="A4810" s="16"/>
      <c r="E4810" s="27"/>
      <c r="F4810" t="s">
        <v>26</v>
      </c>
      <c r="G4810" s="28">
        <f>IFERROR(VLOOKUP(F4810,CARTON_LOOKUP!$A:$E,3,0),"")</f>
      </c>
      <c r="H4810" s="28">
        <f>IFERROR(VLOOKUP(F4810,CARTON_LOOKUP!$A:$E,4,0),"")</f>
      </c>
      <c r="I4810" s="28">
        <f>IFERROR(VLOOKUP(F4810,CARTON_LOOKUP!$A:$E,5,0),"")</f>
      </c>
      <c r="J4810" s="29">
        <f>IFERROR(VLOOKUP(F4810,CARTON_LOOKUP!$A:$E,2,0),"")</f>
      </c>
      <c r="K4810" s="29">
        <f>IFERROR(J4810*D4810,0)</f>
      </c>
      <c r="L4810" s="29">
        <f>IFERROR(E4810*C4810,0)</f>
      </c>
      <c r="M4810" s="29">
        <f>IFERROR((G4810*H4810*I4810/1000000)*D4810,0)</f>
      </c>
    </row>
    <row r="4811" spans="1:13" x14ac:dyDescent="0.25">
      <c r="A4811" s="16"/>
      <c r="E4811" s="27"/>
      <c r="F4811" t="s">
        <v>26</v>
      </c>
      <c r="G4811" s="28">
        <f>IFERROR(VLOOKUP(F4811,CARTON_LOOKUP!$A:$E,3,0),"")</f>
      </c>
      <c r="H4811" s="28">
        <f>IFERROR(VLOOKUP(F4811,CARTON_LOOKUP!$A:$E,4,0),"")</f>
      </c>
      <c r="I4811" s="28">
        <f>IFERROR(VLOOKUP(F4811,CARTON_LOOKUP!$A:$E,5,0),"")</f>
      </c>
      <c r="J4811" s="29">
        <f>IFERROR(VLOOKUP(F4811,CARTON_LOOKUP!$A:$E,2,0),"")</f>
      </c>
      <c r="K4811" s="29">
        <f>IFERROR(J4811*D4811,0)</f>
      </c>
      <c r="L4811" s="29">
        <f>IFERROR(E4811*C4811,0)</f>
      </c>
      <c r="M4811" s="29">
        <f>IFERROR((G4811*H4811*I4811/1000000)*D4811,0)</f>
      </c>
    </row>
    <row r="4812" spans="1:13" x14ac:dyDescent="0.25">
      <c r="A4812" s="16"/>
      <c r="E4812" s="27"/>
      <c r="F4812" t="s">
        <v>26</v>
      </c>
      <c r="G4812" s="28">
        <f>IFERROR(VLOOKUP(F4812,CARTON_LOOKUP!$A:$E,3,0),"")</f>
      </c>
      <c r="H4812" s="28">
        <f>IFERROR(VLOOKUP(F4812,CARTON_LOOKUP!$A:$E,4,0),"")</f>
      </c>
      <c r="I4812" s="28">
        <f>IFERROR(VLOOKUP(F4812,CARTON_LOOKUP!$A:$E,5,0),"")</f>
      </c>
      <c r="J4812" s="29">
        <f>IFERROR(VLOOKUP(F4812,CARTON_LOOKUP!$A:$E,2,0),"")</f>
      </c>
      <c r="K4812" s="29">
        <f>IFERROR(J4812*D4812,0)</f>
      </c>
      <c r="L4812" s="29">
        <f>IFERROR(E4812*C4812,0)</f>
      </c>
      <c r="M4812" s="29">
        <f>IFERROR((G4812*H4812*I4812/1000000)*D4812,0)</f>
      </c>
    </row>
    <row r="4813" spans="1:13" x14ac:dyDescent="0.25">
      <c r="A4813" s="16"/>
      <c r="E4813" s="27"/>
      <c r="F4813" t="s">
        <v>26</v>
      </c>
      <c r="G4813" s="28">
        <f>IFERROR(VLOOKUP(F4813,CARTON_LOOKUP!$A:$E,3,0),"")</f>
      </c>
      <c r="H4813" s="28">
        <f>IFERROR(VLOOKUP(F4813,CARTON_LOOKUP!$A:$E,4,0),"")</f>
      </c>
      <c r="I4813" s="28">
        <f>IFERROR(VLOOKUP(F4813,CARTON_LOOKUP!$A:$E,5,0),"")</f>
      </c>
      <c r="J4813" s="29">
        <f>IFERROR(VLOOKUP(F4813,CARTON_LOOKUP!$A:$E,2,0),"")</f>
      </c>
      <c r="K4813" s="29">
        <f>IFERROR(J4813*D4813,0)</f>
      </c>
      <c r="L4813" s="29">
        <f>IFERROR(E4813*C4813,0)</f>
      </c>
      <c r="M4813" s="29">
        <f>IFERROR((G4813*H4813*I4813/1000000)*D4813,0)</f>
      </c>
    </row>
    <row r="4814" spans="1:13" x14ac:dyDescent="0.25">
      <c r="A4814" s="16"/>
      <c r="E4814" s="27"/>
      <c r="F4814" t="s">
        <v>26</v>
      </c>
      <c r="G4814" s="28">
        <f>IFERROR(VLOOKUP(F4814,CARTON_LOOKUP!$A:$E,3,0),"")</f>
      </c>
      <c r="H4814" s="28">
        <f>IFERROR(VLOOKUP(F4814,CARTON_LOOKUP!$A:$E,4,0),"")</f>
      </c>
      <c r="I4814" s="28">
        <f>IFERROR(VLOOKUP(F4814,CARTON_LOOKUP!$A:$E,5,0),"")</f>
      </c>
      <c r="J4814" s="29">
        <f>IFERROR(VLOOKUP(F4814,CARTON_LOOKUP!$A:$E,2,0),"")</f>
      </c>
      <c r="K4814" s="29">
        <f>IFERROR(J4814*D4814,0)</f>
      </c>
      <c r="L4814" s="29">
        <f>IFERROR(E4814*C4814,0)</f>
      </c>
      <c r="M4814" s="29">
        <f>IFERROR((G4814*H4814*I4814/1000000)*D4814,0)</f>
      </c>
    </row>
    <row r="4815" spans="1:13" x14ac:dyDescent="0.25">
      <c r="A4815" s="16"/>
      <c r="E4815" s="27"/>
      <c r="F4815" t="s">
        <v>26</v>
      </c>
      <c r="G4815" s="28">
        <f>IFERROR(VLOOKUP(F4815,CARTON_LOOKUP!$A:$E,3,0),"")</f>
      </c>
      <c r="H4815" s="28">
        <f>IFERROR(VLOOKUP(F4815,CARTON_LOOKUP!$A:$E,4,0),"")</f>
      </c>
      <c r="I4815" s="28">
        <f>IFERROR(VLOOKUP(F4815,CARTON_LOOKUP!$A:$E,5,0),"")</f>
      </c>
      <c r="J4815" s="29">
        <f>IFERROR(VLOOKUP(F4815,CARTON_LOOKUP!$A:$E,2,0),"")</f>
      </c>
      <c r="K4815" s="29">
        <f>IFERROR(J4815*D4815,0)</f>
      </c>
      <c r="L4815" s="29">
        <f>IFERROR(E4815*C4815,0)</f>
      </c>
      <c r="M4815" s="29">
        <f>IFERROR((G4815*H4815*I4815/1000000)*D4815,0)</f>
      </c>
    </row>
    <row r="4816" spans="1:13" x14ac:dyDescent="0.25">
      <c r="A4816" s="16"/>
      <c r="E4816" s="27"/>
      <c r="F4816" t="s">
        <v>26</v>
      </c>
      <c r="G4816" s="28">
        <f>IFERROR(VLOOKUP(F4816,CARTON_LOOKUP!$A:$E,3,0),"")</f>
      </c>
      <c r="H4816" s="28">
        <f>IFERROR(VLOOKUP(F4816,CARTON_LOOKUP!$A:$E,4,0),"")</f>
      </c>
      <c r="I4816" s="28">
        <f>IFERROR(VLOOKUP(F4816,CARTON_LOOKUP!$A:$E,5,0),"")</f>
      </c>
      <c r="J4816" s="29">
        <f>IFERROR(VLOOKUP(F4816,CARTON_LOOKUP!$A:$E,2,0),"")</f>
      </c>
      <c r="K4816" s="29">
        <f>IFERROR(J4816*D4816,0)</f>
      </c>
      <c r="L4816" s="29">
        <f>IFERROR(E4816*C4816,0)</f>
      </c>
      <c r="M4816" s="29">
        <f>IFERROR((G4816*H4816*I4816/1000000)*D4816,0)</f>
      </c>
    </row>
    <row r="4817" spans="1:13" x14ac:dyDescent="0.25">
      <c r="A4817" s="16"/>
      <c r="E4817" s="27"/>
      <c r="F4817" t="s">
        <v>26</v>
      </c>
      <c r="G4817" s="28">
        <f>IFERROR(VLOOKUP(F4817,CARTON_LOOKUP!$A:$E,3,0),"")</f>
      </c>
      <c r="H4817" s="28">
        <f>IFERROR(VLOOKUP(F4817,CARTON_LOOKUP!$A:$E,4,0),"")</f>
      </c>
      <c r="I4817" s="28">
        <f>IFERROR(VLOOKUP(F4817,CARTON_LOOKUP!$A:$E,5,0),"")</f>
      </c>
      <c r="J4817" s="29">
        <f>IFERROR(VLOOKUP(F4817,CARTON_LOOKUP!$A:$E,2,0),"")</f>
      </c>
      <c r="K4817" s="29">
        <f>IFERROR(J4817*D4817,0)</f>
      </c>
      <c r="L4817" s="29">
        <f>IFERROR(E4817*C4817,0)</f>
      </c>
      <c r="M4817" s="29">
        <f>IFERROR((G4817*H4817*I4817/1000000)*D4817,0)</f>
      </c>
    </row>
    <row r="4818" spans="1:13" x14ac:dyDescent="0.25">
      <c r="A4818" s="16"/>
      <c r="E4818" s="27"/>
      <c r="F4818" t="s">
        <v>26</v>
      </c>
      <c r="G4818" s="28">
        <f>IFERROR(VLOOKUP(F4818,CARTON_LOOKUP!$A:$E,3,0),"")</f>
      </c>
      <c r="H4818" s="28">
        <f>IFERROR(VLOOKUP(F4818,CARTON_LOOKUP!$A:$E,4,0),"")</f>
      </c>
      <c r="I4818" s="28">
        <f>IFERROR(VLOOKUP(F4818,CARTON_LOOKUP!$A:$E,5,0),"")</f>
      </c>
      <c r="J4818" s="29">
        <f>IFERROR(VLOOKUP(F4818,CARTON_LOOKUP!$A:$E,2,0),"")</f>
      </c>
      <c r="K4818" s="29">
        <f>IFERROR(J4818*D4818,0)</f>
      </c>
      <c r="L4818" s="29">
        <f>IFERROR(E4818*C4818,0)</f>
      </c>
      <c r="M4818" s="29">
        <f>IFERROR((G4818*H4818*I4818/1000000)*D4818,0)</f>
      </c>
    </row>
    <row r="4819" spans="1:13" x14ac:dyDescent="0.25">
      <c r="A4819" s="16"/>
      <c r="E4819" s="27"/>
      <c r="F4819" t="s">
        <v>26</v>
      </c>
      <c r="G4819" s="28">
        <f>IFERROR(VLOOKUP(F4819,CARTON_LOOKUP!$A:$E,3,0),"")</f>
      </c>
      <c r="H4819" s="28">
        <f>IFERROR(VLOOKUP(F4819,CARTON_LOOKUP!$A:$E,4,0),"")</f>
      </c>
      <c r="I4819" s="28">
        <f>IFERROR(VLOOKUP(F4819,CARTON_LOOKUP!$A:$E,5,0),"")</f>
      </c>
      <c r="J4819" s="29">
        <f>IFERROR(VLOOKUP(F4819,CARTON_LOOKUP!$A:$E,2,0),"")</f>
      </c>
      <c r="K4819" s="29">
        <f>IFERROR(J4819*D4819,0)</f>
      </c>
      <c r="L4819" s="29">
        <f>IFERROR(E4819*C4819,0)</f>
      </c>
      <c r="M4819" s="29">
        <f>IFERROR((G4819*H4819*I4819/1000000)*D4819,0)</f>
      </c>
    </row>
    <row r="4820" spans="1:13" x14ac:dyDescent="0.25">
      <c r="A4820" s="16"/>
      <c r="E4820" s="27"/>
      <c r="F4820" t="s">
        <v>26</v>
      </c>
      <c r="G4820" s="28">
        <f>IFERROR(VLOOKUP(F4820,CARTON_LOOKUP!$A:$E,3,0),"")</f>
      </c>
      <c r="H4820" s="28">
        <f>IFERROR(VLOOKUP(F4820,CARTON_LOOKUP!$A:$E,4,0),"")</f>
      </c>
      <c r="I4820" s="28">
        <f>IFERROR(VLOOKUP(F4820,CARTON_LOOKUP!$A:$E,5,0),"")</f>
      </c>
      <c r="J4820" s="29">
        <f>IFERROR(VLOOKUP(F4820,CARTON_LOOKUP!$A:$E,2,0),"")</f>
      </c>
      <c r="K4820" s="29">
        <f>IFERROR(J4820*D4820,0)</f>
      </c>
      <c r="L4820" s="29">
        <f>IFERROR(E4820*C4820,0)</f>
      </c>
      <c r="M4820" s="29">
        <f>IFERROR((G4820*H4820*I4820/1000000)*D4820,0)</f>
      </c>
    </row>
    <row r="4821" spans="1:13" x14ac:dyDescent="0.25">
      <c r="A4821" s="16"/>
      <c r="E4821" s="27"/>
      <c r="F4821" t="s">
        <v>26</v>
      </c>
      <c r="G4821" s="28">
        <f>IFERROR(VLOOKUP(F4821,CARTON_LOOKUP!$A:$E,3,0),"")</f>
      </c>
      <c r="H4821" s="28">
        <f>IFERROR(VLOOKUP(F4821,CARTON_LOOKUP!$A:$E,4,0),"")</f>
      </c>
      <c r="I4821" s="28">
        <f>IFERROR(VLOOKUP(F4821,CARTON_LOOKUP!$A:$E,5,0),"")</f>
      </c>
      <c r="J4821" s="29">
        <f>IFERROR(VLOOKUP(F4821,CARTON_LOOKUP!$A:$E,2,0),"")</f>
      </c>
      <c r="K4821" s="29">
        <f>IFERROR(J4821*D4821,0)</f>
      </c>
      <c r="L4821" s="29">
        <f>IFERROR(E4821*C4821,0)</f>
      </c>
      <c r="M4821" s="29">
        <f>IFERROR((G4821*H4821*I4821/1000000)*D4821,0)</f>
      </c>
    </row>
    <row r="4822" spans="1:13" x14ac:dyDescent="0.25">
      <c r="A4822" s="16"/>
      <c r="E4822" s="27"/>
      <c r="F4822" t="s">
        <v>26</v>
      </c>
      <c r="G4822" s="28">
        <f>IFERROR(VLOOKUP(F4822,CARTON_LOOKUP!$A:$E,3,0),"")</f>
      </c>
      <c r="H4822" s="28">
        <f>IFERROR(VLOOKUP(F4822,CARTON_LOOKUP!$A:$E,4,0),"")</f>
      </c>
      <c r="I4822" s="28">
        <f>IFERROR(VLOOKUP(F4822,CARTON_LOOKUP!$A:$E,5,0),"")</f>
      </c>
      <c r="J4822" s="29">
        <f>IFERROR(VLOOKUP(F4822,CARTON_LOOKUP!$A:$E,2,0),"")</f>
      </c>
      <c r="K4822" s="29">
        <f>IFERROR(J4822*D4822,0)</f>
      </c>
      <c r="L4822" s="29">
        <f>IFERROR(E4822*C4822,0)</f>
      </c>
      <c r="M4822" s="29">
        <f>IFERROR((G4822*H4822*I4822/1000000)*D4822,0)</f>
      </c>
    </row>
    <row r="4823" spans="1:13" x14ac:dyDescent="0.25">
      <c r="A4823" s="16"/>
      <c r="E4823" s="27"/>
      <c r="F4823" t="s">
        <v>26</v>
      </c>
      <c r="G4823" s="28">
        <f>IFERROR(VLOOKUP(F4823,CARTON_LOOKUP!$A:$E,3,0),"")</f>
      </c>
      <c r="H4823" s="28">
        <f>IFERROR(VLOOKUP(F4823,CARTON_LOOKUP!$A:$E,4,0),"")</f>
      </c>
      <c r="I4823" s="28">
        <f>IFERROR(VLOOKUP(F4823,CARTON_LOOKUP!$A:$E,5,0),"")</f>
      </c>
      <c r="J4823" s="29">
        <f>IFERROR(VLOOKUP(F4823,CARTON_LOOKUP!$A:$E,2,0),"")</f>
      </c>
      <c r="K4823" s="29">
        <f>IFERROR(J4823*D4823,0)</f>
      </c>
      <c r="L4823" s="29">
        <f>IFERROR(E4823*C4823,0)</f>
      </c>
      <c r="M4823" s="29">
        <f>IFERROR((G4823*H4823*I4823/1000000)*D4823,0)</f>
      </c>
    </row>
    <row r="4824" spans="1:13" x14ac:dyDescent="0.25">
      <c r="A4824" s="16"/>
      <c r="E4824" s="27"/>
      <c r="F4824" t="s">
        <v>26</v>
      </c>
      <c r="G4824" s="28">
        <f>IFERROR(VLOOKUP(F4824,CARTON_LOOKUP!$A:$E,3,0),"")</f>
      </c>
      <c r="H4824" s="28">
        <f>IFERROR(VLOOKUP(F4824,CARTON_LOOKUP!$A:$E,4,0),"")</f>
      </c>
      <c r="I4824" s="28">
        <f>IFERROR(VLOOKUP(F4824,CARTON_LOOKUP!$A:$E,5,0),"")</f>
      </c>
      <c r="J4824" s="29">
        <f>IFERROR(VLOOKUP(F4824,CARTON_LOOKUP!$A:$E,2,0),"")</f>
      </c>
      <c r="K4824" s="29">
        <f>IFERROR(J4824*D4824,0)</f>
      </c>
      <c r="L4824" s="29">
        <f>IFERROR(E4824*C4824,0)</f>
      </c>
      <c r="M4824" s="29">
        <f>IFERROR((G4824*H4824*I4824/1000000)*D4824,0)</f>
      </c>
    </row>
    <row r="4825" spans="1:13" x14ac:dyDescent="0.25">
      <c r="A4825" s="16"/>
      <c r="E4825" s="27"/>
      <c r="F4825" t="s">
        <v>26</v>
      </c>
      <c r="G4825" s="28">
        <f>IFERROR(VLOOKUP(F4825,CARTON_LOOKUP!$A:$E,3,0),"")</f>
      </c>
      <c r="H4825" s="28">
        <f>IFERROR(VLOOKUP(F4825,CARTON_LOOKUP!$A:$E,4,0),"")</f>
      </c>
      <c r="I4825" s="28">
        <f>IFERROR(VLOOKUP(F4825,CARTON_LOOKUP!$A:$E,5,0),"")</f>
      </c>
      <c r="J4825" s="29">
        <f>IFERROR(VLOOKUP(F4825,CARTON_LOOKUP!$A:$E,2,0),"")</f>
      </c>
      <c r="K4825" s="29">
        <f>IFERROR(J4825*D4825,0)</f>
      </c>
      <c r="L4825" s="29">
        <f>IFERROR(E4825*C4825,0)</f>
      </c>
      <c r="M4825" s="29">
        <f>IFERROR((G4825*H4825*I4825/1000000)*D4825,0)</f>
      </c>
    </row>
    <row r="4826" spans="1:13" x14ac:dyDescent="0.25">
      <c r="A4826" s="16"/>
      <c r="E4826" s="27"/>
      <c r="F4826" t="s">
        <v>26</v>
      </c>
      <c r="G4826" s="28">
        <f>IFERROR(VLOOKUP(F4826,CARTON_LOOKUP!$A:$E,3,0),"")</f>
      </c>
      <c r="H4826" s="28">
        <f>IFERROR(VLOOKUP(F4826,CARTON_LOOKUP!$A:$E,4,0),"")</f>
      </c>
      <c r="I4826" s="28">
        <f>IFERROR(VLOOKUP(F4826,CARTON_LOOKUP!$A:$E,5,0),"")</f>
      </c>
      <c r="J4826" s="29">
        <f>IFERROR(VLOOKUP(F4826,CARTON_LOOKUP!$A:$E,2,0),"")</f>
      </c>
      <c r="K4826" s="29">
        <f>IFERROR(J4826*D4826,0)</f>
      </c>
      <c r="L4826" s="29">
        <f>IFERROR(E4826*C4826,0)</f>
      </c>
      <c r="M4826" s="29">
        <f>IFERROR((G4826*H4826*I4826/1000000)*D4826,0)</f>
      </c>
    </row>
    <row r="4827" spans="1:13" x14ac:dyDescent="0.25">
      <c r="A4827" s="16"/>
      <c r="E4827" s="27"/>
      <c r="F4827" t="s">
        <v>26</v>
      </c>
      <c r="G4827" s="28">
        <f>IFERROR(VLOOKUP(F4827,CARTON_LOOKUP!$A:$E,3,0),"")</f>
      </c>
      <c r="H4827" s="28">
        <f>IFERROR(VLOOKUP(F4827,CARTON_LOOKUP!$A:$E,4,0),"")</f>
      </c>
      <c r="I4827" s="28">
        <f>IFERROR(VLOOKUP(F4827,CARTON_LOOKUP!$A:$E,5,0),"")</f>
      </c>
      <c r="J4827" s="29">
        <f>IFERROR(VLOOKUP(F4827,CARTON_LOOKUP!$A:$E,2,0),"")</f>
      </c>
      <c r="K4827" s="29">
        <f>IFERROR(J4827*D4827,0)</f>
      </c>
      <c r="L4827" s="29">
        <f>IFERROR(E4827*C4827,0)</f>
      </c>
      <c r="M4827" s="29">
        <f>IFERROR((G4827*H4827*I4827/1000000)*D4827,0)</f>
      </c>
    </row>
    <row r="4828" spans="1:13" x14ac:dyDescent="0.25">
      <c r="A4828" s="16"/>
      <c r="E4828" s="27"/>
      <c r="F4828" t="s">
        <v>26</v>
      </c>
      <c r="G4828" s="28">
        <f>IFERROR(VLOOKUP(F4828,CARTON_LOOKUP!$A:$E,3,0),"")</f>
      </c>
      <c r="H4828" s="28">
        <f>IFERROR(VLOOKUP(F4828,CARTON_LOOKUP!$A:$E,4,0),"")</f>
      </c>
      <c r="I4828" s="28">
        <f>IFERROR(VLOOKUP(F4828,CARTON_LOOKUP!$A:$E,5,0),"")</f>
      </c>
      <c r="J4828" s="29">
        <f>IFERROR(VLOOKUP(F4828,CARTON_LOOKUP!$A:$E,2,0),"")</f>
      </c>
      <c r="K4828" s="29">
        <f>IFERROR(J4828*D4828,0)</f>
      </c>
      <c r="L4828" s="29">
        <f>IFERROR(E4828*C4828,0)</f>
      </c>
      <c r="M4828" s="29">
        <f>IFERROR((G4828*H4828*I4828/1000000)*D4828,0)</f>
      </c>
    </row>
    <row r="4829" spans="1:13" x14ac:dyDescent="0.25">
      <c r="A4829" s="16"/>
      <c r="E4829" s="27"/>
      <c r="F4829" t="s">
        <v>26</v>
      </c>
      <c r="G4829" s="28">
        <f>IFERROR(VLOOKUP(F4829,CARTON_LOOKUP!$A:$E,3,0),"")</f>
      </c>
      <c r="H4829" s="28">
        <f>IFERROR(VLOOKUP(F4829,CARTON_LOOKUP!$A:$E,4,0),"")</f>
      </c>
      <c r="I4829" s="28">
        <f>IFERROR(VLOOKUP(F4829,CARTON_LOOKUP!$A:$E,5,0),"")</f>
      </c>
      <c r="J4829" s="29">
        <f>IFERROR(VLOOKUP(F4829,CARTON_LOOKUP!$A:$E,2,0),"")</f>
      </c>
      <c r="K4829" s="29">
        <f>IFERROR(J4829*D4829,0)</f>
      </c>
      <c r="L4829" s="29">
        <f>IFERROR(E4829*C4829,0)</f>
      </c>
      <c r="M4829" s="29">
        <f>IFERROR((G4829*H4829*I4829/1000000)*D4829,0)</f>
      </c>
    </row>
    <row r="4830" spans="1:13" x14ac:dyDescent="0.25">
      <c r="A4830" s="16"/>
      <c r="E4830" s="27"/>
      <c r="F4830" t="s">
        <v>26</v>
      </c>
      <c r="G4830" s="28">
        <f>IFERROR(VLOOKUP(F4830,CARTON_LOOKUP!$A:$E,3,0),"")</f>
      </c>
      <c r="H4830" s="28">
        <f>IFERROR(VLOOKUP(F4830,CARTON_LOOKUP!$A:$E,4,0),"")</f>
      </c>
      <c r="I4830" s="28">
        <f>IFERROR(VLOOKUP(F4830,CARTON_LOOKUP!$A:$E,5,0),"")</f>
      </c>
      <c r="J4830" s="29">
        <f>IFERROR(VLOOKUP(F4830,CARTON_LOOKUP!$A:$E,2,0),"")</f>
      </c>
      <c r="K4830" s="29">
        <f>IFERROR(J4830*D4830,0)</f>
      </c>
      <c r="L4830" s="29">
        <f>IFERROR(E4830*C4830,0)</f>
      </c>
      <c r="M4830" s="29">
        <f>IFERROR((G4830*H4830*I4830/1000000)*D4830,0)</f>
      </c>
    </row>
    <row r="4831" spans="1:13" x14ac:dyDescent="0.25">
      <c r="A4831" s="16"/>
      <c r="E4831" s="27"/>
      <c r="F4831" t="s">
        <v>26</v>
      </c>
      <c r="G4831" s="28">
        <f>IFERROR(VLOOKUP(F4831,CARTON_LOOKUP!$A:$E,3,0),"")</f>
      </c>
      <c r="H4831" s="28">
        <f>IFERROR(VLOOKUP(F4831,CARTON_LOOKUP!$A:$E,4,0),"")</f>
      </c>
      <c r="I4831" s="28">
        <f>IFERROR(VLOOKUP(F4831,CARTON_LOOKUP!$A:$E,5,0),"")</f>
      </c>
      <c r="J4831" s="29">
        <f>IFERROR(VLOOKUP(F4831,CARTON_LOOKUP!$A:$E,2,0),"")</f>
      </c>
      <c r="K4831" s="29">
        <f>IFERROR(J4831*D4831,0)</f>
      </c>
      <c r="L4831" s="29">
        <f>IFERROR(E4831*C4831,0)</f>
      </c>
      <c r="M4831" s="29">
        <f>IFERROR((G4831*H4831*I4831/1000000)*D4831,0)</f>
      </c>
    </row>
    <row r="4832" spans="1:13" x14ac:dyDescent="0.25">
      <c r="A4832" s="16"/>
      <c r="E4832" s="27"/>
      <c r="F4832" t="s">
        <v>26</v>
      </c>
      <c r="G4832" s="28">
        <f>IFERROR(VLOOKUP(F4832,CARTON_LOOKUP!$A:$E,3,0),"")</f>
      </c>
      <c r="H4832" s="28">
        <f>IFERROR(VLOOKUP(F4832,CARTON_LOOKUP!$A:$E,4,0),"")</f>
      </c>
      <c r="I4832" s="28">
        <f>IFERROR(VLOOKUP(F4832,CARTON_LOOKUP!$A:$E,5,0),"")</f>
      </c>
      <c r="J4832" s="29">
        <f>IFERROR(VLOOKUP(F4832,CARTON_LOOKUP!$A:$E,2,0),"")</f>
      </c>
      <c r="K4832" s="29">
        <f>IFERROR(J4832*D4832,0)</f>
      </c>
      <c r="L4832" s="29">
        <f>IFERROR(E4832*C4832,0)</f>
      </c>
      <c r="M4832" s="29">
        <f>IFERROR((G4832*H4832*I4832/1000000)*D4832,0)</f>
      </c>
    </row>
    <row r="4833" spans="1:13" x14ac:dyDescent="0.25">
      <c r="A4833" s="16"/>
      <c r="E4833" s="27"/>
      <c r="F4833" t="s">
        <v>26</v>
      </c>
      <c r="G4833" s="28">
        <f>IFERROR(VLOOKUP(F4833,CARTON_LOOKUP!$A:$E,3,0),"")</f>
      </c>
      <c r="H4833" s="28">
        <f>IFERROR(VLOOKUP(F4833,CARTON_LOOKUP!$A:$E,4,0),"")</f>
      </c>
      <c r="I4833" s="28">
        <f>IFERROR(VLOOKUP(F4833,CARTON_LOOKUP!$A:$E,5,0),"")</f>
      </c>
      <c r="J4833" s="29">
        <f>IFERROR(VLOOKUP(F4833,CARTON_LOOKUP!$A:$E,2,0),"")</f>
      </c>
      <c r="K4833" s="29">
        <f>IFERROR(J4833*D4833,0)</f>
      </c>
      <c r="L4833" s="29">
        <f>IFERROR(E4833*C4833,0)</f>
      </c>
      <c r="M4833" s="29">
        <f>IFERROR((G4833*H4833*I4833/1000000)*D4833,0)</f>
      </c>
    </row>
    <row r="4834" spans="1:13" x14ac:dyDescent="0.25">
      <c r="A4834" s="16"/>
      <c r="E4834" s="27"/>
      <c r="F4834" t="s">
        <v>26</v>
      </c>
      <c r="G4834" s="28">
        <f>IFERROR(VLOOKUP(F4834,CARTON_LOOKUP!$A:$E,3,0),"")</f>
      </c>
      <c r="H4834" s="28">
        <f>IFERROR(VLOOKUP(F4834,CARTON_LOOKUP!$A:$E,4,0),"")</f>
      </c>
      <c r="I4834" s="28">
        <f>IFERROR(VLOOKUP(F4834,CARTON_LOOKUP!$A:$E,5,0),"")</f>
      </c>
      <c r="J4834" s="29">
        <f>IFERROR(VLOOKUP(F4834,CARTON_LOOKUP!$A:$E,2,0),"")</f>
      </c>
      <c r="K4834" s="29">
        <f>IFERROR(J4834*D4834,0)</f>
      </c>
      <c r="L4834" s="29">
        <f>IFERROR(E4834*C4834,0)</f>
      </c>
      <c r="M4834" s="29">
        <f>IFERROR((G4834*H4834*I4834/1000000)*D4834,0)</f>
      </c>
    </row>
    <row r="4835" spans="1:13" x14ac:dyDescent="0.25">
      <c r="A4835" s="16"/>
      <c r="E4835" s="27"/>
      <c r="F4835" t="s">
        <v>26</v>
      </c>
      <c r="G4835" s="28">
        <f>IFERROR(VLOOKUP(F4835,CARTON_LOOKUP!$A:$E,3,0),"")</f>
      </c>
      <c r="H4835" s="28">
        <f>IFERROR(VLOOKUP(F4835,CARTON_LOOKUP!$A:$E,4,0),"")</f>
      </c>
      <c r="I4835" s="28">
        <f>IFERROR(VLOOKUP(F4835,CARTON_LOOKUP!$A:$E,5,0),"")</f>
      </c>
      <c r="J4835" s="29">
        <f>IFERROR(VLOOKUP(F4835,CARTON_LOOKUP!$A:$E,2,0),"")</f>
      </c>
      <c r="K4835" s="29">
        <f>IFERROR(J4835*D4835,0)</f>
      </c>
      <c r="L4835" s="29">
        <f>IFERROR(E4835*C4835,0)</f>
      </c>
      <c r="M4835" s="29">
        <f>IFERROR((G4835*H4835*I4835/1000000)*D4835,0)</f>
      </c>
    </row>
    <row r="4836" spans="1:13" x14ac:dyDescent="0.25">
      <c r="A4836" s="16"/>
      <c r="E4836" s="27"/>
      <c r="F4836" t="s">
        <v>26</v>
      </c>
      <c r="G4836" s="28">
        <f>IFERROR(VLOOKUP(F4836,CARTON_LOOKUP!$A:$E,3,0),"")</f>
      </c>
      <c r="H4836" s="28">
        <f>IFERROR(VLOOKUP(F4836,CARTON_LOOKUP!$A:$E,4,0),"")</f>
      </c>
      <c r="I4836" s="28">
        <f>IFERROR(VLOOKUP(F4836,CARTON_LOOKUP!$A:$E,5,0),"")</f>
      </c>
      <c r="J4836" s="29">
        <f>IFERROR(VLOOKUP(F4836,CARTON_LOOKUP!$A:$E,2,0),"")</f>
      </c>
      <c r="K4836" s="29">
        <f>IFERROR(J4836*D4836,0)</f>
      </c>
      <c r="L4836" s="29">
        <f>IFERROR(E4836*C4836,0)</f>
      </c>
      <c r="M4836" s="29">
        <f>IFERROR((G4836*H4836*I4836/1000000)*D4836,0)</f>
      </c>
    </row>
    <row r="4837" spans="1:13" x14ac:dyDescent="0.25">
      <c r="A4837" s="16"/>
      <c r="E4837" s="27"/>
      <c r="F4837" t="s">
        <v>26</v>
      </c>
      <c r="G4837" s="28">
        <f>IFERROR(VLOOKUP(F4837,CARTON_LOOKUP!$A:$E,3,0),"")</f>
      </c>
      <c r="H4837" s="28">
        <f>IFERROR(VLOOKUP(F4837,CARTON_LOOKUP!$A:$E,4,0),"")</f>
      </c>
      <c r="I4837" s="28">
        <f>IFERROR(VLOOKUP(F4837,CARTON_LOOKUP!$A:$E,5,0),"")</f>
      </c>
      <c r="J4837" s="29">
        <f>IFERROR(VLOOKUP(F4837,CARTON_LOOKUP!$A:$E,2,0),"")</f>
      </c>
      <c r="K4837" s="29">
        <f>IFERROR(J4837*D4837,0)</f>
      </c>
      <c r="L4837" s="29">
        <f>IFERROR(E4837*C4837,0)</f>
      </c>
      <c r="M4837" s="29">
        <f>IFERROR((G4837*H4837*I4837/1000000)*D4837,0)</f>
      </c>
    </row>
    <row r="4838" spans="1:13" x14ac:dyDescent="0.25">
      <c r="A4838" s="16"/>
      <c r="E4838" s="27"/>
      <c r="F4838" t="s">
        <v>26</v>
      </c>
      <c r="G4838" s="28">
        <f>IFERROR(VLOOKUP(F4838,CARTON_LOOKUP!$A:$E,3,0),"")</f>
      </c>
      <c r="H4838" s="28">
        <f>IFERROR(VLOOKUP(F4838,CARTON_LOOKUP!$A:$E,4,0),"")</f>
      </c>
      <c r="I4838" s="28">
        <f>IFERROR(VLOOKUP(F4838,CARTON_LOOKUP!$A:$E,5,0),"")</f>
      </c>
      <c r="J4838" s="29">
        <f>IFERROR(VLOOKUP(F4838,CARTON_LOOKUP!$A:$E,2,0),"")</f>
      </c>
      <c r="K4838" s="29">
        <f>IFERROR(J4838*D4838,0)</f>
      </c>
      <c r="L4838" s="29">
        <f>IFERROR(E4838*C4838,0)</f>
      </c>
      <c r="M4838" s="29">
        <f>IFERROR((G4838*H4838*I4838/1000000)*D4838,0)</f>
      </c>
    </row>
    <row r="4839" spans="1:13" x14ac:dyDescent="0.25">
      <c r="A4839" s="16"/>
      <c r="E4839" s="27"/>
      <c r="F4839" t="s">
        <v>26</v>
      </c>
      <c r="G4839" s="28">
        <f>IFERROR(VLOOKUP(F4839,CARTON_LOOKUP!$A:$E,3,0),"")</f>
      </c>
      <c r="H4839" s="28">
        <f>IFERROR(VLOOKUP(F4839,CARTON_LOOKUP!$A:$E,4,0),"")</f>
      </c>
      <c r="I4839" s="28">
        <f>IFERROR(VLOOKUP(F4839,CARTON_LOOKUP!$A:$E,5,0),"")</f>
      </c>
      <c r="J4839" s="29">
        <f>IFERROR(VLOOKUP(F4839,CARTON_LOOKUP!$A:$E,2,0),"")</f>
      </c>
      <c r="K4839" s="29">
        <f>IFERROR(J4839*D4839,0)</f>
      </c>
      <c r="L4839" s="29">
        <f>IFERROR(E4839*C4839,0)</f>
      </c>
      <c r="M4839" s="29">
        <f>IFERROR((G4839*H4839*I4839/1000000)*D4839,0)</f>
      </c>
    </row>
    <row r="4840" spans="1:13" x14ac:dyDescent="0.25">
      <c r="A4840" s="16"/>
      <c r="E4840" s="27"/>
      <c r="F4840" t="s">
        <v>26</v>
      </c>
      <c r="G4840" s="28">
        <f>IFERROR(VLOOKUP(F4840,CARTON_LOOKUP!$A:$E,3,0),"")</f>
      </c>
      <c r="H4840" s="28">
        <f>IFERROR(VLOOKUP(F4840,CARTON_LOOKUP!$A:$E,4,0),"")</f>
      </c>
      <c r="I4840" s="28">
        <f>IFERROR(VLOOKUP(F4840,CARTON_LOOKUP!$A:$E,5,0),"")</f>
      </c>
      <c r="J4840" s="29">
        <f>IFERROR(VLOOKUP(F4840,CARTON_LOOKUP!$A:$E,2,0),"")</f>
      </c>
      <c r="K4840" s="29">
        <f>IFERROR(J4840*D4840,0)</f>
      </c>
      <c r="L4840" s="29">
        <f>IFERROR(E4840*C4840,0)</f>
      </c>
      <c r="M4840" s="29">
        <f>IFERROR((G4840*H4840*I4840/1000000)*D4840,0)</f>
      </c>
    </row>
    <row r="4841" spans="1:13" x14ac:dyDescent="0.25">
      <c r="A4841" s="16"/>
      <c r="E4841" s="27"/>
      <c r="F4841" t="s">
        <v>26</v>
      </c>
      <c r="G4841" s="28">
        <f>IFERROR(VLOOKUP(F4841,CARTON_LOOKUP!$A:$E,3,0),"")</f>
      </c>
      <c r="H4841" s="28">
        <f>IFERROR(VLOOKUP(F4841,CARTON_LOOKUP!$A:$E,4,0),"")</f>
      </c>
      <c r="I4841" s="28">
        <f>IFERROR(VLOOKUP(F4841,CARTON_LOOKUP!$A:$E,5,0),"")</f>
      </c>
      <c r="J4841" s="29">
        <f>IFERROR(VLOOKUP(F4841,CARTON_LOOKUP!$A:$E,2,0),"")</f>
      </c>
      <c r="K4841" s="29">
        <f>IFERROR(J4841*D4841,0)</f>
      </c>
      <c r="L4841" s="29">
        <f>IFERROR(E4841*C4841,0)</f>
      </c>
      <c r="M4841" s="29">
        <f>IFERROR((G4841*H4841*I4841/1000000)*D4841,0)</f>
      </c>
    </row>
    <row r="4842" spans="1:13" x14ac:dyDescent="0.25">
      <c r="A4842" s="16"/>
      <c r="E4842" s="27"/>
      <c r="F4842" t="s">
        <v>26</v>
      </c>
      <c r="G4842" s="28">
        <f>IFERROR(VLOOKUP(F4842,CARTON_LOOKUP!$A:$E,3,0),"")</f>
      </c>
      <c r="H4842" s="28">
        <f>IFERROR(VLOOKUP(F4842,CARTON_LOOKUP!$A:$E,4,0),"")</f>
      </c>
      <c r="I4842" s="28">
        <f>IFERROR(VLOOKUP(F4842,CARTON_LOOKUP!$A:$E,5,0),"")</f>
      </c>
      <c r="J4842" s="29">
        <f>IFERROR(VLOOKUP(F4842,CARTON_LOOKUP!$A:$E,2,0),"")</f>
      </c>
      <c r="K4842" s="29">
        <f>IFERROR(J4842*D4842,0)</f>
      </c>
      <c r="L4842" s="29">
        <f>IFERROR(E4842*C4842,0)</f>
      </c>
      <c r="M4842" s="29">
        <f>IFERROR((G4842*H4842*I4842/1000000)*D4842,0)</f>
      </c>
    </row>
    <row r="4843" spans="1:13" x14ac:dyDescent="0.25">
      <c r="A4843" s="16"/>
      <c r="E4843" s="27"/>
      <c r="F4843" t="s">
        <v>26</v>
      </c>
      <c r="G4843" s="28">
        <f>IFERROR(VLOOKUP(F4843,CARTON_LOOKUP!$A:$E,3,0),"")</f>
      </c>
      <c r="H4843" s="28">
        <f>IFERROR(VLOOKUP(F4843,CARTON_LOOKUP!$A:$E,4,0),"")</f>
      </c>
      <c r="I4843" s="28">
        <f>IFERROR(VLOOKUP(F4843,CARTON_LOOKUP!$A:$E,5,0),"")</f>
      </c>
      <c r="J4843" s="29">
        <f>IFERROR(VLOOKUP(F4843,CARTON_LOOKUP!$A:$E,2,0),"")</f>
      </c>
      <c r="K4843" s="29">
        <f>IFERROR(J4843*D4843,0)</f>
      </c>
      <c r="L4843" s="29">
        <f>IFERROR(E4843*C4843,0)</f>
      </c>
      <c r="M4843" s="29">
        <f>IFERROR((G4843*H4843*I4843/1000000)*D4843,0)</f>
      </c>
    </row>
    <row r="4844" spans="1:13" x14ac:dyDescent="0.25">
      <c r="A4844" s="16"/>
      <c r="E4844" s="27"/>
      <c r="F4844" t="s">
        <v>26</v>
      </c>
      <c r="G4844" s="28">
        <f>IFERROR(VLOOKUP(F4844,CARTON_LOOKUP!$A:$E,3,0),"")</f>
      </c>
      <c r="H4844" s="28">
        <f>IFERROR(VLOOKUP(F4844,CARTON_LOOKUP!$A:$E,4,0),"")</f>
      </c>
      <c r="I4844" s="28">
        <f>IFERROR(VLOOKUP(F4844,CARTON_LOOKUP!$A:$E,5,0),"")</f>
      </c>
      <c r="J4844" s="29">
        <f>IFERROR(VLOOKUP(F4844,CARTON_LOOKUP!$A:$E,2,0),"")</f>
      </c>
      <c r="K4844" s="29">
        <f>IFERROR(J4844*D4844,0)</f>
      </c>
      <c r="L4844" s="29">
        <f>IFERROR(E4844*C4844,0)</f>
      </c>
      <c r="M4844" s="29">
        <f>IFERROR((G4844*H4844*I4844/1000000)*D4844,0)</f>
      </c>
    </row>
    <row r="4845" spans="1:13" x14ac:dyDescent="0.25">
      <c r="A4845" s="16"/>
      <c r="E4845" s="27"/>
      <c r="F4845" t="s">
        <v>26</v>
      </c>
      <c r="G4845" s="28">
        <f>IFERROR(VLOOKUP(F4845,CARTON_LOOKUP!$A:$E,3,0),"")</f>
      </c>
      <c r="H4845" s="28">
        <f>IFERROR(VLOOKUP(F4845,CARTON_LOOKUP!$A:$E,4,0),"")</f>
      </c>
      <c r="I4845" s="28">
        <f>IFERROR(VLOOKUP(F4845,CARTON_LOOKUP!$A:$E,5,0),"")</f>
      </c>
      <c r="J4845" s="29">
        <f>IFERROR(VLOOKUP(F4845,CARTON_LOOKUP!$A:$E,2,0),"")</f>
      </c>
      <c r="K4845" s="29">
        <f>IFERROR(J4845*D4845,0)</f>
      </c>
      <c r="L4845" s="29">
        <f>IFERROR(E4845*C4845,0)</f>
      </c>
      <c r="M4845" s="29">
        <f>IFERROR((G4845*H4845*I4845/1000000)*D4845,0)</f>
      </c>
    </row>
    <row r="4846" spans="1:13" x14ac:dyDescent="0.25">
      <c r="A4846" s="16"/>
      <c r="E4846" s="27"/>
      <c r="F4846" t="s">
        <v>26</v>
      </c>
      <c r="G4846" s="28">
        <f>IFERROR(VLOOKUP(F4846,CARTON_LOOKUP!$A:$E,3,0),"")</f>
      </c>
      <c r="H4846" s="28">
        <f>IFERROR(VLOOKUP(F4846,CARTON_LOOKUP!$A:$E,4,0),"")</f>
      </c>
      <c r="I4846" s="28">
        <f>IFERROR(VLOOKUP(F4846,CARTON_LOOKUP!$A:$E,5,0),"")</f>
      </c>
      <c r="J4846" s="29">
        <f>IFERROR(VLOOKUP(F4846,CARTON_LOOKUP!$A:$E,2,0),"")</f>
      </c>
      <c r="K4846" s="29">
        <f>IFERROR(J4846*D4846,0)</f>
      </c>
      <c r="L4846" s="29">
        <f>IFERROR(E4846*C4846,0)</f>
      </c>
      <c r="M4846" s="29">
        <f>IFERROR((G4846*H4846*I4846/1000000)*D4846,0)</f>
      </c>
    </row>
    <row r="4847" spans="1:13" x14ac:dyDescent="0.25">
      <c r="A4847" s="16"/>
      <c r="E4847" s="27"/>
      <c r="F4847" t="s">
        <v>26</v>
      </c>
      <c r="G4847" s="28">
        <f>IFERROR(VLOOKUP(F4847,CARTON_LOOKUP!$A:$E,3,0),"")</f>
      </c>
      <c r="H4847" s="28">
        <f>IFERROR(VLOOKUP(F4847,CARTON_LOOKUP!$A:$E,4,0),"")</f>
      </c>
      <c r="I4847" s="28">
        <f>IFERROR(VLOOKUP(F4847,CARTON_LOOKUP!$A:$E,5,0),"")</f>
      </c>
      <c r="J4847" s="29">
        <f>IFERROR(VLOOKUP(F4847,CARTON_LOOKUP!$A:$E,2,0),"")</f>
      </c>
      <c r="K4847" s="29">
        <f>IFERROR(J4847*D4847,0)</f>
      </c>
      <c r="L4847" s="29">
        <f>IFERROR(E4847*C4847,0)</f>
      </c>
      <c r="M4847" s="29">
        <f>IFERROR((G4847*H4847*I4847/1000000)*D4847,0)</f>
      </c>
    </row>
    <row r="4848" spans="1:13" x14ac:dyDescent="0.25">
      <c r="A4848" s="16"/>
      <c r="E4848" s="27"/>
      <c r="F4848" t="s">
        <v>26</v>
      </c>
      <c r="G4848" s="28">
        <f>IFERROR(VLOOKUP(F4848,CARTON_LOOKUP!$A:$E,3,0),"")</f>
      </c>
      <c r="H4848" s="28">
        <f>IFERROR(VLOOKUP(F4848,CARTON_LOOKUP!$A:$E,4,0),"")</f>
      </c>
      <c r="I4848" s="28">
        <f>IFERROR(VLOOKUP(F4848,CARTON_LOOKUP!$A:$E,5,0),"")</f>
      </c>
      <c r="J4848" s="29">
        <f>IFERROR(VLOOKUP(F4848,CARTON_LOOKUP!$A:$E,2,0),"")</f>
      </c>
      <c r="K4848" s="29">
        <f>IFERROR(J4848*D4848,0)</f>
      </c>
      <c r="L4848" s="29">
        <f>IFERROR(E4848*C4848,0)</f>
      </c>
      <c r="M4848" s="29">
        <f>IFERROR((G4848*H4848*I4848/1000000)*D4848,0)</f>
      </c>
    </row>
    <row r="4849" spans="1:13" x14ac:dyDescent="0.25">
      <c r="A4849" s="16"/>
      <c r="E4849" s="27"/>
      <c r="F4849" t="s">
        <v>26</v>
      </c>
      <c r="G4849" s="28">
        <f>IFERROR(VLOOKUP(F4849,CARTON_LOOKUP!$A:$E,3,0),"")</f>
      </c>
      <c r="H4849" s="28">
        <f>IFERROR(VLOOKUP(F4849,CARTON_LOOKUP!$A:$E,4,0),"")</f>
      </c>
      <c r="I4849" s="28">
        <f>IFERROR(VLOOKUP(F4849,CARTON_LOOKUP!$A:$E,5,0),"")</f>
      </c>
      <c r="J4849" s="29">
        <f>IFERROR(VLOOKUP(F4849,CARTON_LOOKUP!$A:$E,2,0),"")</f>
      </c>
      <c r="K4849" s="29">
        <f>IFERROR(J4849*D4849,0)</f>
      </c>
      <c r="L4849" s="29">
        <f>IFERROR(E4849*C4849,0)</f>
      </c>
      <c r="M4849" s="29">
        <f>IFERROR((G4849*H4849*I4849/1000000)*D4849,0)</f>
      </c>
    </row>
    <row r="4850" spans="1:13" x14ac:dyDescent="0.25">
      <c r="A4850" s="16"/>
      <c r="E4850" s="27"/>
      <c r="F4850" t="s">
        <v>26</v>
      </c>
      <c r="G4850" s="28">
        <f>IFERROR(VLOOKUP(F4850,CARTON_LOOKUP!$A:$E,3,0),"")</f>
      </c>
      <c r="H4850" s="28">
        <f>IFERROR(VLOOKUP(F4850,CARTON_LOOKUP!$A:$E,4,0),"")</f>
      </c>
      <c r="I4850" s="28">
        <f>IFERROR(VLOOKUP(F4850,CARTON_LOOKUP!$A:$E,5,0),"")</f>
      </c>
      <c r="J4850" s="29">
        <f>IFERROR(VLOOKUP(F4850,CARTON_LOOKUP!$A:$E,2,0),"")</f>
      </c>
      <c r="K4850" s="29">
        <f>IFERROR(J4850*D4850,0)</f>
      </c>
      <c r="L4850" s="29">
        <f>IFERROR(E4850*C4850,0)</f>
      </c>
      <c r="M4850" s="29">
        <f>IFERROR((G4850*H4850*I4850/1000000)*D4850,0)</f>
      </c>
    </row>
    <row r="4851" spans="1:13" x14ac:dyDescent="0.25">
      <c r="A4851" s="16"/>
      <c r="E4851" s="27"/>
      <c r="F4851" t="s">
        <v>26</v>
      </c>
      <c r="G4851" s="28">
        <f>IFERROR(VLOOKUP(F4851,CARTON_LOOKUP!$A:$E,3,0),"")</f>
      </c>
      <c r="H4851" s="28">
        <f>IFERROR(VLOOKUP(F4851,CARTON_LOOKUP!$A:$E,4,0),"")</f>
      </c>
      <c r="I4851" s="28">
        <f>IFERROR(VLOOKUP(F4851,CARTON_LOOKUP!$A:$E,5,0),"")</f>
      </c>
      <c r="J4851" s="29">
        <f>IFERROR(VLOOKUP(F4851,CARTON_LOOKUP!$A:$E,2,0),"")</f>
      </c>
      <c r="K4851" s="29">
        <f>IFERROR(J4851*D4851,0)</f>
      </c>
      <c r="L4851" s="29">
        <f>IFERROR(E4851*C4851,0)</f>
      </c>
      <c r="M4851" s="29">
        <f>IFERROR((G4851*H4851*I4851/1000000)*D4851,0)</f>
      </c>
    </row>
    <row r="4852" spans="1:13" x14ac:dyDescent="0.25">
      <c r="A4852" s="16"/>
      <c r="E4852" s="27"/>
      <c r="F4852" t="s">
        <v>26</v>
      </c>
      <c r="G4852" s="28">
        <f>IFERROR(VLOOKUP(F4852,CARTON_LOOKUP!$A:$E,3,0),"")</f>
      </c>
      <c r="H4852" s="28">
        <f>IFERROR(VLOOKUP(F4852,CARTON_LOOKUP!$A:$E,4,0),"")</f>
      </c>
      <c r="I4852" s="28">
        <f>IFERROR(VLOOKUP(F4852,CARTON_LOOKUP!$A:$E,5,0),"")</f>
      </c>
      <c r="J4852" s="29">
        <f>IFERROR(VLOOKUP(F4852,CARTON_LOOKUP!$A:$E,2,0),"")</f>
      </c>
      <c r="K4852" s="29">
        <f>IFERROR(J4852*D4852,0)</f>
      </c>
      <c r="L4852" s="29">
        <f>IFERROR(E4852*C4852,0)</f>
      </c>
      <c r="M4852" s="29">
        <f>IFERROR((G4852*H4852*I4852/1000000)*D4852,0)</f>
      </c>
    </row>
    <row r="4853" spans="1:13" x14ac:dyDescent="0.25">
      <c r="A4853" s="16"/>
      <c r="E4853" s="27"/>
      <c r="F4853" t="s">
        <v>26</v>
      </c>
      <c r="G4853" s="28">
        <f>IFERROR(VLOOKUP(F4853,CARTON_LOOKUP!$A:$E,3,0),"")</f>
      </c>
      <c r="H4853" s="28">
        <f>IFERROR(VLOOKUP(F4853,CARTON_LOOKUP!$A:$E,4,0),"")</f>
      </c>
      <c r="I4853" s="28">
        <f>IFERROR(VLOOKUP(F4853,CARTON_LOOKUP!$A:$E,5,0),"")</f>
      </c>
      <c r="J4853" s="29">
        <f>IFERROR(VLOOKUP(F4853,CARTON_LOOKUP!$A:$E,2,0),"")</f>
      </c>
      <c r="K4853" s="29">
        <f>IFERROR(J4853*D4853,0)</f>
      </c>
      <c r="L4853" s="29">
        <f>IFERROR(E4853*C4853,0)</f>
      </c>
      <c r="M4853" s="29">
        <f>IFERROR((G4853*H4853*I4853/1000000)*D4853,0)</f>
      </c>
    </row>
    <row r="4854" spans="1:13" x14ac:dyDescent="0.25">
      <c r="A4854" s="16"/>
      <c r="E4854" s="27"/>
      <c r="F4854" t="s">
        <v>26</v>
      </c>
      <c r="G4854" s="28">
        <f>IFERROR(VLOOKUP(F4854,CARTON_LOOKUP!$A:$E,3,0),"")</f>
      </c>
      <c r="H4854" s="28">
        <f>IFERROR(VLOOKUP(F4854,CARTON_LOOKUP!$A:$E,4,0),"")</f>
      </c>
      <c r="I4854" s="28">
        <f>IFERROR(VLOOKUP(F4854,CARTON_LOOKUP!$A:$E,5,0),"")</f>
      </c>
      <c r="J4854" s="29">
        <f>IFERROR(VLOOKUP(F4854,CARTON_LOOKUP!$A:$E,2,0),"")</f>
      </c>
      <c r="K4854" s="29">
        <f>IFERROR(J4854*D4854,0)</f>
      </c>
      <c r="L4854" s="29">
        <f>IFERROR(E4854*C4854,0)</f>
      </c>
      <c r="M4854" s="29">
        <f>IFERROR((G4854*H4854*I4854/1000000)*D4854,0)</f>
      </c>
    </row>
    <row r="4855" spans="1:13" x14ac:dyDescent="0.25">
      <c r="A4855" s="16"/>
      <c r="E4855" s="27"/>
      <c r="F4855" t="s">
        <v>26</v>
      </c>
      <c r="G4855" s="28">
        <f>IFERROR(VLOOKUP(F4855,CARTON_LOOKUP!$A:$E,3,0),"")</f>
      </c>
      <c r="H4855" s="28">
        <f>IFERROR(VLOOKUP(F4855,CARTON_LOOKUP!$A:$E,4,0),"")</f>
      </c>
      <c r="I4855" s="28">
        <f>IFERROR(VLOOKUP(F4855,CARTON_LOOKUP!$A:$E,5,0),"")</f>
      </c>
      <c r="J4855" s="29">
        <f>IFERROR(VLOOKUP(F4855,CARTON_LOOKUP!$A:$E,2,0),"")</f>
      </c>
      <c r="K4855" s="29">
        <f>IFERROR(J4855*D4855,0)</f>
      </c>
      <c r="L4855" s="29">
        <f>IFERROR(E4855*C4855,0)</f>
      </c>
      <c r="M4855" s="29">
        <f>IFERROR((G4855*H4855*I4855/1000000)*D4855,0)</f>
      </c>
    </row>
    <row r="4856" spans="1:13" x14ac:dyDescent="0.25">
      <c r="A4856" s="16"/>
      <c r="E4856" s="27"/>
      <c r="F4856" t="s">
        <v>26</v>
      </c>
      <c r="G4856" s="28">
        <f>IFERROR(VLOOKUP(F4856,CARTON_LOOKUP!$A:$E,3,0),"")</f>
      </c>
      <c r="H4856" s="28">
        <f>IFERROR(VLOOKUP(F4856,CARTON_LOOKUP!$A:$E,4,0),"")</f>
      </c>
      <c r="I4856" s="28">
        <f>IFERROR(VLOOKUP(F4856,CARTON_LOOKUP!$A:$E,5,0),"")</f>
      </c>
      <c r="J4856" s="29">
        <f>IFERROR(VLOOKUP(F4856,CARTON_LOOKUP!$A:$E,2,0),"")</f>
      </c>
      <c r="K4856" s="29">
        <f>IFERROR(J4856*D4856,0)</f>
      </c>
      <c r="L4856" s="29">
        <f>IFERROR(E4856*C4856,0)</f>
      </c>
      <c r="M4856" s="29">
        <f>IFERROR((G4856*H4856*I4856/1000000)*D4856,0)</f>
      </c>
    </row>
    <row r="4857" spans="1:13" x14ac:dyDescent="0.25">
      <c r="A4857" s="16"/>
      <c r="E4857" s="27"/>
      <c r="F4857" t="s">
        <v>26</v>
      </c>
      <c r="G4857" s="28">
        <f>IFERROR(VLOOKUP(F4857,CARTON_LOOKUP!$A:$E,3,0),"")</f>
      </c>
      <c r="H4857" s="28">
        <f>IFERROR(VLOOKUP(F4857,CARTON_LOOKUP!$A:$E,4,0),"")</f>
      </c>
      <c r="I4857" s="28">
        <f>IFERROR(VLOOKUP(F4857,CARTON_LOOKUP!$A:$E,5,0),"")</f>
      </c>
      <c r="J4857" s="29">
        <f>IFERROR(VLOOKUP(F4857,CARTON_LOOKUP!$A:$E,2,0),"")</f>
      </c>
      <c r="K4857" s="29">
        <f>IFERROR(J4857*D4857,0)</f>
      </c>
      <c r="L4857" s="29">
        <f>IFERROR(E4857*C4857,0)</f>
      </c>
      <c r="M4857" s="29">
        <f>IFERROR((G4857*H4857*I4857/1000000)*D4857,0)</f>
      </c>
    </row>
    <row r="4858" spans="1:13" x14ac:dyDescent="0.25">
      <c r="A4858" s="16"/>
      <c r="E4858" s="27"/>
      <c r="F4858" t="s">
        <v>26</v>
      </c>
      <c r="G4858" s="28">
        <f>IFERROR(VLOOKUP(F4858,CARTON_LOOKUP!$A:$E,3,0),"")</f>
      </c>
      <c r="H4858" s="28">
        <f>IFERROR(VLOOKUP(F4858,CARTON_LOOKUP!$A:$E,4,0),"")</f>
      </c>
      <c r="I4858" s="28">
        <f>IFERROR(VLOOKUP(F4858,CARTON_LOOKUP!$A:$E,5,0),"")</f>
      </c>
      <c r="J4858" s="29">
        <f>IFERROR(VLOOKUP(F4858,CARTON_LOOKUP!$A:$E,2,0),"")</f>
      </c>
      <c r="K4858" s="29">
        <f>IFERROR(J4858*D4858,0)</f>
      </c>
      <c r="L4858" s="29">
        <f>IFERROR(E4858*C4858,0)</f>
      </c>
      <c r="M4858" s="29">
        <f>IFERROR((G4858*H4858*I4858/1000000)*D4858,0)</f>
      </c>
    </row>
    <row r="4859" spans="1:13" x14ac:dyDescent="0.25">
      <c r="A4859" s="16"/>
      <c r="E4859" s="27"/>
      <c r="F4859" t="s">
        <v>26</v>
      </c>
      <c r="G4859" s="28">
        <f>IFERROR(VLOOKUP(F4859,CARTON_LOOKUP!$A:$E,3,0),"")</f>
      </c>
      <c r="H4859" s="28">
        <f>IFERROR(VLOOKUP(F4859,CARTON_LOOKUP!$A:$E,4,0),"")</f>
      </c>
      <c r="I4859" s="28">
        <f>IFERROR(VLOOKUP(F4859,CARTON_LOOKUP!$A:$E,5,0),"")</f>
      </c>
      <c r="J4859" s="29">
        <f>IFERROR(VLOOKUP(F4859,CARTON_LOOKUP!$A:$E,2,0),"")</f>
      </c>
      <c r="K4859" s="29">
        <f>IFERROR(J4859*D4859,0)</f>
      </c>
      <c r="L4859" s="29">
        <f>IFERROR(E4859*C4859,0)</f>
      </c>
      <c r="M4859" s="29">
        <f>IFERROR((G4859*H4859*I4859/1000000)*D4859,0)</f>
      </c>
    </row>
    <row r="4860" spans="1:13" x14ac:dyDescent="0.25">
      <c r="A4860" s="16"/>
      <c r="E4860" s="27"/>
      <c r="F4860" t="s">
        <v>26</v>
      </c>
      <c r="G4860" s="28">
        <f>IFERROR(VLOOKUP(F4860,CARTON_LOOKUP!$A:$E,3,0),"")</f>
      </c>
      <c r="H4860" s="28">
        <f>IFERROR(VLOOKUP(F4860,CARTON_LOOKUP!$A:$E,4,0),"")</f>
      </c>
      <c r="I4860" s="28">
        <f>IFERROR(VLOOKUP(F4860,CARTON_LOOKUP!$A:$E,5,0),"")</f>
      </c>
      <c r="J4860" s="29">
        <f>IFERROR(VLOOKUP(F4860,CARTON_LOOKUP!$A:$E,2,0),"")</f>
      </c>
      <c r="K4860" s="29">
        <f>IFERROR(J4860*D4860,0)</f>
      </c>
      <c r="L4860" s="29">
        <f>IFERROR(E4860*C4860,0)</f>
      </c>
      <c r="M4860" s="29">
        <f>IFERROR((G4860*H4860*I4860/1000000)*D4860,0)</f>
      </c>
    </row>
    <row r="4861" spans="1:13" x14ac:dyDescent="0.25">
      <c r="A4861" s="16"/>
      <c r="E4861" s="27"/>
      <c r="F4861" t="s">
        <v>26</v>
      </c>
      <c r="G4861" s="28">
        <f>IFERROR(VLOOKUP(F4861,CARTON_LOOKUP!$A:$E,3,0),"")</f>
      </c>
      <c r="H4861" s="28">
        <f>IFERROR(VLOOKUP(F4861,CARTON_LOOKUP!$A:$E,4,0),"")</f>
      </c>
      <c r="I4861" s="28">
        <f>IFERROR(VLOOKUP(F4861,CARTON_LOOKUP!$A:$E,5,0),"")</f>
      </c>
      <c r="J4861" s="29">
        <f>IFERROR(VLOOKUP(F4861,CARTON_LOOKUP!$A:$E,2,0),"")</f>
      </c>
      <c r="K4861" s="29">
        <f>IFERROR(J4861*D4861,0)</f>
      </c>
      <c r="L4861" s="29">
        <f>IFERROR(E4861*C4861,0)</f>
      </c>
      <c r="M4861" s="29">
        <f>IFERROR((G4861*H4861*I4861/1000000)*D4861,0)</f>
      </c>
    </row>
    <row r="4862" spans="1:13" x14ac:dyDescent="0.25">
      <c r="A4862" s="16"/>
      <c r="E4862" s="27"/>
      <c r="F4862" t="s">
        <v>26</v>
      </c>
      <c r="G4862" s="28">
        <f>IFERROR(VLOOKUP(F4862,CARTON_LOOKUP!$A:$E,3,0),"")</f>
      </c>
      <c r="H4862" s="28">
        <f>IFERROR(VLOOKUP(F4862,CARTON_LOOKUP!$A:$E,4,0),"")</f>
      </c>
      <c r="I4862" s="28">
        <f>IFERROR(VLOOKUP(F4862,CARTON_LOOKUP!$A:$E,5,0),"")</f>
      </c>
      <c r="J4862" s="29">
        <f>IFERROR(VLOOKUP(F4862,CARTON_LOOKUP!$A:$E,2,0),"")</f>
      </c>
      <c r="K4862" s="29">
        <f>IFERROR(J4862*D4862,0)</f>
      </c>
      <c r="L4862" s="29">
        <f>IFERROR(E4862*C4862,0)</f>
      </c>
      <c r="M4862" s="29">
        <f>IFERROR((G4862*H4862*I4862/1000000)*D4862,0)</f>
      </c>
    </row>
    <row r="4863" spans="1:13" x14ac:dyDescent="0.25">
      <c r="A4863" s="16"/>
      <c r="E4863" s="27"/>
      <c r="F4863" t="s">
        <v>26</v>
      </c>
      <c r="G4863" s="28">
        <f>IFERROR(VLOOKUP(F4863,CARTON_LOOKUP!$A:$E,3,0),"")</f>
      </c>
      <c r="H4863" s="28">
        <f>IFERROR(VLOOKUP(F4863,CARTON_LOOKUP!$A:$E,4,0),"")</f>
      </c>
      <c r="I4863" s="28">
        <f>IFERROR(VLOOKUP(F4863,CARTON_LOOKUP!$A:$E,5,0),"")</f>
      </c>
      <c r="J4863" s="29">
        <f>IFERROR(VLOOKUP(F4863,CARTON_LOOKUP!$A:$E,2,0),"")</f>
      </c>
      <c r="K4863" s="29">
        <f>IFERROR(J4863*D4863,0)</f>
      </c>
      <c r="L4863" s="29">
        <f>IFERROR(E4863*C4863,0)</f>
      </c>
      <c r="M4863" s="29">
        <f>IFERROR((G4863*H4863*I4863/1000000)*D4863,0)</f>
      </c>
    </row>
    <row r="4864" spans="1:13" x14ac:dyDescent="0.25">
      <c r="A4864" s="16"/>
      <c r="E4864" s="27"/>
      <c r="F4864" t="s">
        <v>26</v>
      </c>
      <c r="G4864" s="28">
        <f>IFERROR(VLOOKUP(F4864,CARTON_LOOKUP!$A:$E,3,0),"")</f>
      </c>
      <c r="H4864" s="28">
        <f>IFERROR(VLOOKUP(F4864,CARTON_LOOKUP!$A:$E,4,0),"")</f>
      </c>
      <c r="I4864" s="28">
        <f>IFERROR(VLOOKUP(F4864,CARTON_LOOKUP!$A:$E,5,0),"")</f>
      </c>
      <c r="J4864" s="29">
        <f>IFERROR(VLOOKUP(F4864,CARTON_LOOKUP!$A:$E,2,0),"")</f>
      </c>
      <c r="K4864" s="29">
        <f>IFERROR(J4864*D4864,0)</f>
      </c>
      <c r="L4864" s="29">
        <f>IFERROR(E4864*C4864,0)</f>
      </c>
      <c r="M4864" s="29">
        <f>IFERROR((G4864*H4864*I4864/1000000)*D4864,0)</f>
      </c>
    </row>
    <row r="4865" spans="1:13" x14ac:dyDescent="0.25">
      <c r="A4865" s="16"/>
      <c r="E4865" s="27"/>
      <c r="F4865" t="s">
        <v>26</v>
      </c>
      <c r="G4865" s="28">
        <f>IFERROR(VLOOKUP(F4865,CARTON_LOOKUP!$A:$E,3,0),"")</f>
      </c>
      <c r="H4865" s="28">
        <f>IFERROR(VLOOKUP(F4865,CARTON_LOOKUP!$A:$E,4,0),"")</f>
      </c>
      <c r="I4865" s="28">
        <f>IFERROR(VLOOKUP(F4865,CARTON_LOOKUP!$A:$E,5,0),"")</f>
      </c>
      <c r="J4865" s="29">
        <f>IFERROR(VLOOKUP(F4865,CARTON_LOOKUP!$A:$E,2,0),"")</f>
      </c>
      <c r="K4865" s="29">
        <f>IFERROR(J4865*D4865,0)</f>
      </c>
      <c r="L4865" s="29">
        <f>IFERROR(E4865*C4865,0)</f>
      </c>
      <c r="M4865" s="29">
        <f>IFERROR((G4865*H4865*I4865/1000000)*D4865,0)</f>
      </c>
    </row>
    <row r="4866" spans="1:13" x14ac:dyDescent="0.25">
      <c r="A4866" s="16"/>
      <c r="E4866" s="27"/>
      <c r="F4866" t="s">
        <v>26</v>
      </c>
      <c r="G4866" s="28">
        <f>IFERROR(VLOOKUP(F4866,CARTON_LOOKUP!$A:$E,3,0),"")</f>
      </c>
      <c r="H4866" s="28">
        <f>IFERROR(VLOOKUP(F4866,CARTON_LOOKUP!$A:$E,4,0),"")</f>
      </c>
      <c r="I4866" s="28">
        <f>IFERROR(VLOOKUP(F4866,CARTON_LOOKUP!$A:$E,5,0),"")</f>
      </c>
      <c r="J4866" s="29">
        <f>IFERROR(VLOOKUP(F4866,CARTON_LOOKUP!$A:$E,2,0),"")</f>
      </c>
      <c r="K4866" s="29">
        <f>IFERROR(J4866*D4866,0)</f>
      </c>
      <c r="L4866" s="29">
        <f>IFERROR(E4866*C4866,0)</f>
      </c>
      <c r="M4866" s="29">
        <f>IFERROR((G4866*H4866*I4866/1000000)*D4866,0)</f>
      </c>
    </row>
    <row r="4867" spans="1:13" x14ac:dyDescent="0.25">
      <c r="A4867" s="16"/>
      <c r="E4867" s="27"/>
      <c r="F4867" t="s">
        <v>26</v>
      </c>
      <c r="G4867" s="28">
        <f>IFERROR(VLOOKUP(F4867,CARTON_LOOKUP!$A:$E,3,0),"")</f>
      </c>
      <c r="H4867" s="28">
        <f>IFERROR(VLOOKUP(F4867,CARTON_LOOKUP!$A:$E,4,0),"")</f>
      </c>
      <c r="I4867" s="28">
        <f>IFERROR(VLOOKUP(F4867,CARTON_LOOKUP!$A:$E,5,0),"")</f>
      </c>
      <c r="J4867" s="29">
        <f>IFERROR(VLOOKUP(F4867,CARTON_LOOKUP!$A:$E,2,0),"")</f>
      </c>
      <c r="K4867" s="29">
        <f>IFERROR(J4867*D4867,0)</f>
      </c>
      <c r="L4867" s="29">
        <f>IFERROR(E4867*C4867,0)</f>
      </c>
      <c r="M4867" s="29">
        <f>IFERROR((G4867*H4867*I4867/1000000)*D4867,0)</f>
      </c>
    </row>
    <row r="4868" spans="1:13" x14ac:dyDescent="0.25">
      <c r="A4868" s="16"/>
      <c r="E4868" s="27"/>
      <c r="F4868" t="s">
        <v>26</v>
      </c>
      <c r="G4868" s="28">
        <f>IFERROR(VLOOKUP(F4868,CARTON_LOOKUP!$A:$E,3,0),"")</f>
      </c>
      <c r="H4868" s="28">
        <f>IFERROR(VLOOKUP(F4868,CARTON_LOOKUP!$A:$E,4,0),"")</f>
      </c>
      <c r="I4868" s="28">
        <f>IFERROR(VLOOKUP(F4868,CARTON_LOOKUP!$A:$E,5,0),"")</f>
      </c>
      <c r="J4868" s="29">
        <f>IFERROR(VLOOKUP(F4868,CARTON_LOOKUP!$A:$E,2,0),"")</f>
      </c>
      <c r="K4868" s="29">
        <f>IFERROR(J4868*D4868,0)</f>
      </c>
      <c r="L4868" s="29">
        <f>IFERROR(E4868*C4868,0)</f>
      </c>
      <c r="M4868" s="29">
        <f>IFERROR((G4868*H4868*I4868/1000000)*D4868,0)</f>
      </c>
    </row>
    <row r="4869" spans="1:13" x14ac:dyDescent="0.25">
      <c r="A4869" s="16"/>
      <c r="E4869" s="27"/>
      <c r="F4869" t="s">
        <v>26</v>
      </c>
      <c r="G4869" s="28">
        <f>IFERROR(VLOOKUP(F4869,CARTON_LOOKUP!$A:$E,3,0),"")</f>
      </c>
      <c r="H4869" s="28">
        <f>IFERROR(VLOOKUP(F4869,CARTON_LOOKUP!$A:$E,4,0),"")</f>
      </c>
      <c r="I4869" s="28">
        <f>IFERROR(VLOOKUP(F4869,CARTON_LOOKUP!$A:$E,5,0),"")</f>
      </c>
      <c r="J4869" s="29">
        <f>IFERROR(VLOOKUP(F4869,CARTON_LOOKUP!$A:$E,2,0),"")</f>
      </c>
      <c r="K4869" s="29">
        <f>IFERROR(J4869*D4869,0)</f>
      </c>
      <c r="L4869" s="29">
        <f>IFERROR(E4869*C4869,0)</f>
      </c>
      <c r="M4869" s="29">
        <f>IFERROR((G4869*H4869*I4869/1000000)*D4869,0)</f>
      </c>
    </row>
    <row r="4870" spans="1:13" x14ac:dyDescent="0.25">
      <c r="A4870" s="16"/>
      <c r="E4870" s="27"/>
      <c r="F4870" t="s">
        <v>26</v>
      </c>
      <c r="G4870" s="28">
        <f>IFERROR(VLOOKUP(F4870,CARTON_LOOKUP!$A:$E,3,0),"")</f>
      </c>
      <c r="H4870" s="28">
        <f>IFERROR(VLOOKUP(F4870,CARTON_LOOKUP!$A:$E,4,0),"")</f>
      </c>
      <c r="I4870" s="28">
        <f>IFERROR(VLOOKUP(F4870,CARTON_LOOKUP!$A:$E,5,0),"")</f>
      </c>
      <c r="J4870" s="29">
        <f>IFERROR(VLOOKUP(F4870,CARTON_LOOKUP!$A:$E,2,0),"")</f>
      </c>
      <c r="K4870" s="29">
        <f>IFERROR(J4870*D4870,0)</f>
      </c>
      <c r="L4870" s="29">
        <f>IFERROR(E4870*C4870,0)</f>
      </c>
      <c r="M4870" s="29">
        <f>IFERROR((G4870*H4870*I4870/1000000)*D4870,0)</f>
      </c>
    </row>
    <row r="4871" spans="1:13" x14ac:dyDescent="0.25">
      <c r="A4871" s="16"/>
      <c r="E4871" s="27"/>
      <c r="F4871" t="s">
        <v>26</v>
      </c>
      <c r="G4871" s="28">
        <f>IFERROR(VLOOKUP(F4871,CARTON_LOOKUP!$A:$E,3,0),"")</f>
      </c>
      <c r="H4871" s="28">
        <f>IFERROR(VLOOKUP(F4871,CARTON_LOOKUP!$A:$E,4,0),"")</f>
      </c>
      <c r="I4871" s="28">
        <f>IFERROR(VLOOKUP(F4871,CARTON_LOOKUP!$A:$E,5,0),"")</f>
      </c>
      <c r="J4871" s="29">
        <f>IFERROR(VLOOKUP(F4871,CARTON_LOOKUP!$A:$E,2,0),"")</f>
      </c>
      <c r="K4871" s="29">
        <f>IFERROR(J4871*D4871,0)</f>
      </c>
      <c r="L4871" s="29">
        <f>IFERROR(E4871*C4871,0)</f>
      </c>
      <c r="M4871" s="29">
        <f>IFERROR((G4871*H4871*I4871/1000000)*D4871,0)</f>
      </c>
    </row>
    <row r="4872" spans="1:13" x14ac:dyDescent="0.25">
      <c r="A4872" s="16"/>
      <c r="E4872" s="27"/>
      <c r="F4872" t="s">
        <v>26</v>
      </c>
      <c r="G4872" s="28">
        <f>IFERROR(VLOOKUP(F4872,CARTON_LOOKUP!$A:$E,3,0),"")</f>
      </c>
      <c r="H4872" s="28">
        <f>IFERROR(VLOOKUP(F4872,CARTON_LOOKUP!$A:$E,4,0),"")</f>
      </c>
      <c r="I4872" s="28">
        <f>IFERROR(VLOOKUP(F4872,CARTON_LOOKUP!$A:$E,5,0),"")</f>
      </c>
      <c r="J4872" s="29">
        <f>IFERROR(VLOOKUP(F4872,CARTON_LOOKUP!$A:$E,2,0),"")</f>
      </c>
      <c r="K4872" s="29">
        <f>IFERROR(J4872*D4872,0)</f>
      </c>
      <c r="L4872" s="29">
        <f>IFERROR(E4872*C4872,0)</f>
      </c>
      <c r="M4872" s="29">
        <f>IFERROR((G4872*H4872*I4872/1000000)*D4872,0)</f>
      </c>
    </row>
    <row r="4873" spans="1:13" x14ac:dyDescent="0.25">
      <c r="A4873" s="16"/>
      <c r="E4873" s="27"/>
      <c r="F4873" t="s">
        <v>26</v>
      </c>
      <c r="G4873" s="28">
        <f>IFERROR(VLOOKUP(F4873,CARTON_LOOKUP!$A:$E,3,0),"")</f>
      </c>
      <c r="H4873" s="28">
        <f>IFERROR(VLOOKUP(F4873,CARTON_LOOKUP!$A:$E,4,0),"")</f>
      </c>
      <c r="I4873" s="28">
        <f>IFERROR(VLOOKUP(F4873,CARTON_LOOKUP!$A:$E,5,0),"")</f>
      </c>
      <c r="J4873" s="29">
        <f>IFERROR(VLOOKUP(F4873,CARTON_LOOKUP!$A:$E,2,0),"")</f>
      </c>
      <c r="K4873" s="29">
        <f>IFERROR(J4873*D4873,0)</f>
      </c>
      <c r="L4873" s="29">
        <f>IFERROR(E4873*C4873,0)</f>
      </c>
      <c r="M4873" s="29">
        <f>IFERROR((G4873*H4873*I4873/1000000)*D4873,0)</f>
      </c>
    </row>
    <row r="4874" spans="1:13" x14ac:dyDescent="0.25">
      <c r="A4874" s="16"/>
      <c r="E4874" s="27"/>
      <c r="F4874" t="s">
        <v>26</v>
      </c>
      <c r="G4874" s="28">
        <f>IFERROR(VLOOKUP(F4874,CARTON_LOOKUP!$A:$E,3,0),"")</f>
      </c>
      <c r="H4874" s="28">
        <f>IFERROR(VLOOKUP(F4874,CARTON_LOOKUP!$A:$E,4,0),"")</f>
      </c>
      <c r="I4874" s="28">
        <f>IFERROR(VLOOKUP(F4874,CARTON_LOOKUP!$A:$E,5,0),"")</f>
      </c>
      <c r="J4874" s="29">
        <f>IFERROR(VLOOKUP(F4874,CARTON_LOOKUP!$A:$E,2,0),"")</f>
      </c>
      <c r="K4874" s="29">
        <f>IFERROR(J4874*D4874,0)</f>
      </c>
      <c r="L4874" s="29">
        <f>IFERROR(E4874*C4874,0)</f>
      </c>
      <c r="M4874" s="29">
        <f>IFERROR((G4874*H4874*I4874/1000000)*D4874,0)</f>
      </c>
    </row>
    <row r="4875" spans="1:13" x14ac:dyDescent="0.25">
      <c r="A4875" s="16"/>
      <c r="E4875" s="27"/>
      <c r="F4875" t="s">
        <v>26</v>
      </c>
      <c r="G4875" s="28">
        <f>IFERROR(VLOOKUP(F4875,CARTON_LOOKUP!$A:$E,3,0),"")</f>
      </c>
      <c r="H4875" s="28">
        <f>IFERROR(VLOOKUP(F4875,CARTON_LOOKUP!$A:$E,4,0),"")</f>
      </c>
      <c r="I4875" s="28">
        <f>IFERROR(VLOOKUP(F4875,CARTON_LOOKUP!$A:$E,5,0),"")</f>
      </c>
      <c r="J4875" s="29">
        <f>IFERROR(VLOOKUP(F4875,CARTON_LOOKUP!$A:$E,2,0),"")</f>
      </c>
      <c r="K4875" s="29">
        <f>IFERROR(J4875*D4875,0)</f>
      </c>
      <c r="L4875" s="29">
        <f>IFERROR(E4875*C4875,0)</f>
      </c>
      <c r="M4875" s="29">
        <f>IFERROR((G4875*H4875*I4875/1000000)*D4875,0)</f>
      </c>
    </row>
    <row r="4876" spans="1:13" x14ac:dyDescent="0.25">
      <c r="A4876" s="16"/>
      <c r="E4876" s="27"/>
      <c r="F4876" t="s">
        <v>26</v>
      </c>
      <c r="G4876" s="28">
        <f>IFERROR(VLOOKUP(F4876,CARTON_LOOKUP!$A:$E,3,0),"")</f>
      </c>
      <c r="H4876" s="28">
        <f>IFERROR(VLOOKUP(F4876,CARTON_LOOKUP!$A:$E,4,0),"")</f>
      </c>
      <c r="I4876" s="28">
        <f>IFERROR(VLOOKUP(F4876,CARTON_LOOKUP!$A:$E,5,0),"")</f>
      </c>
      <c r="J4876" s="29">
        <f>IFERROR(VLOOKUP(F4876,CARTON_LOOKUP!$A:$E,2,0),"")</f>
      </c>
      <c r="K4876" s="29">
        <f>IFERROR(J4876*D4876,0)</f>
      </c>
      <c r="L4876" s="29">
        <f>IFERROR(E4876*C4876,0)</f>
      </c>
      <c r="M4876" s="29">
        <f>IFERROR((G4876*H4876*I4876/1000000)*D4876,0)</f>
      </c>
    </row>
    <row r="4877" spans="1:13" x14ac:dyDescent="0.25">
      <c r="A4877" s="16"/>
      <c r="E4877" s="27"/>
      <c r="F4877" t="s">
        <v>26</v>
      </c>
      <c r="G4877" s="28">
        <f>IFERROR(VLOOKUP(F4877,CARTON_LOOKUP!$A:$E,3,0),"")</f>
      </c>
      <c r="H4877" s="28">
        <f>IFERROR(VLOOKUP(F4877,CARTON_LOOKUP!$A:$E,4,0),"")</f>
      </c>
      <c r="I4877" s="28">
        <f>IFERROR(VLOOKUP(F4877,CARTON_LOOKUP!$A:$E,5,0),"")</f>
      </c>
      <c r="J4877" s="29">
        <f>IFERROR(VLOOKUP(F4877,CARTON_LOOKUP!$A:$E,2,0),"")</f>
      </c>
      <c r="K4877" s="29">
        <f>IFERROR(J4877*D4877,0)</f>
      </c>
      <c r="L4877" s="29">
        <f>IFERROR(E4877*C4877,0)</f>
      </c>
      <c r="M4877" s="29">
        <f>IFERROR((G4877*H4877*I4877/1000000)*D4877,0)</f>
      </c>
    </row>
    <row r="4878" spans="1:13" x14ac:dyDescent="0.25">
      <c r="A4878" s="16"/>
      <c r="E4878" s="27"/>
      <c r="F4878" t="s">
        <v>26</v>
      </c>
      <c r="G4878" s="28">
        <f>IFERROR(VLOOKUP(F4878,CARTON_LOOKUP!$A:$E,3,0),"")</f>
      </c>
      <c r="H4878" s="28">
        <f>IFERROR(VLOOKUP(F4878,CARTON_LOOKUP!$A:$E,4,0),"")</f>
      </c>
      <c r="I4878" s="28">
        <f>IFERROR(VLOOKUP(F4878,CARTON_LOOKUP!$A:$E,5,0),"")</f>
      </c>
      <c r="J4878" s="29">
        <f>IFERROR(VLOOKUP(F4878,CARTON_LOOKUP!$A:$E,2,0),"")</f>
      </c>
      <c r="K4878" s="29">
        <f>IFERROR(J4878*D4878,0)</f>
      </c>
      <c r="L4878" s="29">
        <f>IFERROR(E4878*C4878,0)</f>
      </c>
      <c r="M4878" s="29">
        <f>IFERROR((G4878*H4878*I4878/1000000)*D4878,0)</f>
      </c>
    </row>
    <row r="4879" spans="1:13" x14ac:dyDescent="0.25">
      <c r="A4879" s="16"/>
      <c r="E4879" s="27"/>
      <c r="F4879" t="s">
        <v>26</v>
      </c>
      <c r="G4879" s="28">
        <f>IFERROR(VLOOKUP(F4879,CARTON_LOOKUP!$A:$E,3,0),"")</f>
      </c>
      <c r="H4879" s="28">
        <f>IFERROR(VLOOKUP(F4879,CARTON_LOOKUP!$A:$E,4,0),"")</f>
      </c>
      <c r="I4879" s="28">
        <f>IFERROR(VLOOKUP(F4879,CARTON_LOOKUP!$A:$E,5,0),"")</f>
      </c>
      <c r="J4879" s="29">
        <f>IFERROR(VLOOKUP(F4879,CARTON_LOOKUP!$A:$E,2,0),"")</f>
      </c>
      <c r="K4879" s="29">
        <f>IFERROR(J4879*D4879,0)</f>
      </c>
      <c r="L4879" s="29">
        <f>IFERROR(E4879*C4879,0)</f>
      </c>
      <c r="M4879" s="29">
        <f>IFERROR((G4879*H4879*I4879/1000000)*D4879,0)</f>
      </c>
    </row>
    <row r="4880" spans="1:13" x14ac:dyDescent="0.25">
      <c r="A4880" s="16"/>
      <c r="E4880" s="27"/>
      <c r="F4880" t="s">
        <v>26</v>
      </c>
      <c r="G4880" s="28">
        <f>IFERROR(VLOOKUP(F4880,CARTON_LOOKUP!$A:$E,3,0),"")</f>
      </c>
      <c r="H4880" s="28">
        <f>IFERROR(VLOOKUP(F4880,CARTON_LOOKUP!$A:$E,4,0),"")</f>
      </c>
      <c r="I4880" s="28">
        <f>IFERROR(VLOOKUP(F4880,CARTON_LOOKUP!$A:$E,5,0),"")</f>
      </c>
      <c r="J4880" s="29">
        <f>IFERROR(VLOOKUP(F4880,CARTON_LOOKUP!$A:$E,2,0),"")</f>
      </c>
      <c r="K4880" s="29">
        <f>IFERROR(J4880*D4880,0)</f>
      </c>
      <c r="L4880" s="29">
        <f>IFERROR(E4880*C4880,0)</f>
      </c>
      <c r="M4880" s="29">
        <f>IFERROR((G4880*H4880*I4880/1000000)*D4880,0)</f>
      </c>
    </row>
    <row r="4881" spans="1:13" x14ac:dyDescent="0.25">
      <c r="A4881" s="16"/>
      <c r="E4881" s="27"/>
      <c r="F4881" t="s">
        <v>26</v>
      </c>
      <c r="G4881" s="28">
        <f>IFERROR(VLOOKUP(F4881,CARTON_LOOKUP!$A:$E,3,0),"")</f>
      </c>
      <c r="H4881" s="28">
        <f>IFERROR(VLOOKUP(F4881,CARTON_LOOKUP!$A:$E,4,0),"")</f>
      </c>
      <c r="I4881" s="28">
        <f>IFERROR(VLOOKUP(F4881,CARTON_LOOKUP!$A:$E,5,0),"")</f>
      </c>
      <c r="J4881" s="29">
        <f>IFERROR(VLOOKUP(F4881,CARTON_LOOKUP!$A:$E,2,0),"")</f>
      </c>
      <c r="K4881" s="29">
        <f>IFERROR(J4881*D4881,0)</f>
      </c>
      <c r="L4881" s="29">
        <f>IFERROR(E4881*C4881,0)</f>
      </c>
      <c r="M4881" s="29">
        <f>IFERROR((G4881*H4881*I4881/1000000)*D4881,0)</f>
      </c>
    </row>
    <row r="4882" spans="1:13" x14ac:dyDescent="0.25">
      <c r="A4882" s="16"/>
      <c r="E4882" s="27"/>
      <c r="F4882" t="s">
        <v>26</v>
      </c>
      <c r="G4882" s="28">
        <f>IFERROR(VLOOKUP(F4882,CARTON_LOOKUP!$A:$E,3,0),"")</f>
      </c>
      <c r="H4882" s="28">
        <f>IFERROR(VLOOKUP(F4882,CARTON_LOOKUP!$A:$E,4,0),"")</f>
      </c>
      <c r="I4882" s="28">
        <f>IFERROR(VLOOKUP(F4882,CARTON_LOOKUP!$A:$E,5,0),"")</f>
      </c>
      <c r="J4882" s="29">
        <f>IFERROR(VLOOKUP(F4882,CARTON_LOOKUP!$A:$E,2,0),"")</f>
      </c>
      <c r="K4882" s="29">
        <f>IFERROR(J4882*D4882,0)</f>
      </c>
      <c r="L4882" s="29">
        <f>IFERROR(E4882*C4882,0)</f>
      </c>
      <c r="M4882" s="29">
        <f>IFERROR((G4882*H4882*I4882/1000000)*D4882,0)</f>
      </c>
    </row>
    <row r="4883" spans="1:13" x14ac:dyDescent="0.25">
      <c r="A4883" s="16"/>
      <c r="E4883" s="27"/>
      <c r="F4883" t="s">
        <v>26</v>
      </c>
      <c r="G4883" s="28">
        <f>IFERROR(VLOOKUP(F4883,CARTON_LOOKUP!$A:$E,3,0),"")</f>
      </c>
      <c r="H4883" s="28">
        <f>IFERROR(VLOOKUP(F4883,CARTON_LOOKUP!$A:$E,4,0),"")</f>
      </c>
      <c r="I4883" s="28">
        <f>IFERROR(VLOOKUP(F4883,CARTON_LOOKUP!$A:$E,5,0),"")</f>
      </c>
      <c r="J4883" s="29">
        <f>IFERROR(VLOOKUP(F4883,CARTON_LOOKUP!$A:$E,2,0),"")</f>
      </c>
      <c r="K4883" s="29">
        <f>IFERROR(J4883*D4883,0)</f>
      </c>
      <c r="L4883" s="29">
        <f>IFERROR(E4883*C4883,0)</f>
      </c>
      <c r="M4883" s="29">
        <f>IFERROR((G4883*H4883*I4883/1000000)*D4883,0)</f>
      </c>
    </row>
    <row r="4884" spans="1:13" x14ac:dyDescent="0.25">
      <c r="A4884" s="16"/>
      <c r="E4884" s="27"/>
      <c r="F4884" t="s">
        <v>26</v>
      </c>
      <c r="G4884" s="28">
        <f>IFERROR(VLOOKUP(F4884,CARTON_LOOKUP!$A:$E,3,0),"")</f>
      </c>
      <c r="H4884" s="28">
        <f>IFERROR(VLOOKUP(F4884,CARTON_LOOKUP!$A:$E,4,0),"")</f>
      </c>
      <c r="I4884" s="28">
        <f>IFERROR(VLOOKUP(F4884,CARTON_LOOKUP!$A:$E,5,0),"")</f>
      </c>
      <c r="J4884" s="29">
        <f>IFERROR(VLOOKUP(F4884,CARTON_LOOKUP!$A:$E,2,0),"")</f>
      </c>
      <c r="K4884" s="29">
        <f>IFERROR(J4884*D4884,0)</f>
      </c>
      <c r="L4884" s="29">
        <f>IFERROR(E4884*C4884,0)</f>
      </c>
      <c r="M4884" s="29">
        <f>IFERROR((G4884*H4884*I4884/1000000)*D4884,0)</f>
      </c>
    </row>
    <row r="4885" spans="1:13" x14ac:dyDescent="0.25">
      <c r="A4885" s="16"/>
      <c r="E4885" s="27"/>
      <c r="F4885" t="s">
        <v>26</v>
      </c>
      <c r="G4885" s="28">
        <f>IFERROR(VLOOKUP(F4885,CARTON_LOOKUP!$A:$E,3,0),"")</f>
      </c>
      <c r="H4885" s="28">
        <f>IFERROR(VLOOKUP(F4885,CARTON_LOOKUP!$A:$E,4,0),"")</f>
      </c>
      <c r="I4885" s="28">
        <f>IFERROR(VLOOKUP(F4885,CARTON_LOOKUP!$A:$E,5,0),"")</f>
      </c>
      <c r="J4885" s="29">
        <f>IFERROR(VLOOKUP(F4885,CARTON_LOOKUP!$A:$E,2,0),"")</f>
      </c>
      <c r="K4885" s="29">
        <f>IFERROR(J4885*D4885,0)</f>
      </c>
      <c r="L4885" s="29">
        <f>IFERROR(E4885*C4885,0)</f>
      </c>
      <c r="M4885" s="29">
        <f>IFERROR((G4885*H4885*I4885/1000000)*D4885,0)</f>
      </c>
    </row>
    <row r="4886" spans="1:13" x14ac:dyDescent="0.25">
      <c r="A4886" s="16"/>
      <c r="E4886" s="27"/>
      <c r="F4886" t="s">
        <v>26</v>
      </c>
      <c r="G4886" s="28">
        <f>IFERROR(VLOOKUP(F4886,CARTON_LOOKUP!$A:$E,3,0),"")</f>
      </c>
      <c r="H4886" s="28">
        <f>IFERROR(VLOOKUP(F4886,CARTON_LOOKUP!$A:$E,4,0),"")</f>
      </c>
      <c r="I4886" s="28">
        <f>IFERROR(VLOOKUP(F4886,CARTON_LOOKUP!$A:$E,5,0),"")</f>
      </c>
      <c r="J4886" s="29">
        <f>IFERROR(VLOOKUP(F4886,CARTON_LOOKUP!$A:$E,2,0),"")</f>
      </c>
      <c r="K4886" s="29">
        <f>IFERROR(J4886*D4886,0)</f>
      </c>
      <c r="L4886" s="29">
        <f>IFERROR(E4886*C4886,0)</f>
      </c>
      <c r="M4886" s="29">
        <f>IFERROR((G4886*H4886*I4886/1000000)*D4886,0)</f>
      </c>
    </row>
    <row r="4887" spans="1:13" x14ac:dyDescent="0.25">
      <c r="A4887" s="16"/>
      <c r="E4887" s="27"/>
      <c r="F4887" t="s">
        <v>26</v>
      </c>
      <c r="G4887" s="28">
        <f>IFERROR(VLOOKUP(F4887,CARTON_LOOKUP!$A:$E,3,0),"")</f>
      </c>
      <c r="H4887" s="28">
        <f>IFERROR(VLOOKUP(F4887,CARTON_LOOKUP!$A:$E,4,0),"")</f>
      </c>
      <c r="I4887" s="28">
        <f>IFERROR(VLOOKUP(F4887,CARTON_LOOKUP!$A:$E,5,0),"")</f>
      </c>
      <c r="J4887" s="29">
        <f>IFERROR(VLOOKUP(F4887,CARTON_LOOKUP!$A:$E,2,0),"")</f>
      </c>
      <c r="K4887" s="29">
        <f>IFERROR(J4887*D4887,0)</f>
      </c>
      <c r="L4887" s="29">
        <f>IFERROR(E4887*C4887,0)</f>
      </c>
      <c r="M4887" s="29">
        <f>IFERROR((G4887*H4887*I4887/1000000)*D4887,0)</f>
      </c>
    </row>
    <row r="4888" spans="1:13" x14ac:dyDescent="0.25">
      <c r="A4888" s="16"/>
      <c r="E4888" s="27"/>
      <c r="F4888" t="s">
        <v>26</v>
      </c>
      <c r="G4888" s="28">
        <f>IFERROR(VLOOKUP(F4888,CARTON_LOOKUP!$A:$E,3,0),"")</f>
      </c>
      <c r="H4888" s="28">
        <f>IFERROR(VLOOKUP(F4888,CARTON_LOOKUP!$A:$E,4,0),"")</f>
      </c>
      <c r="I4888" s="28">
        <f>IFERROR(VLOOKUP(F4888,CARTON_LOOKUP!$A:$E,5,0),"")</f>
      </c>
      <c r="J4888" s="29">
        <f>IFERROR(VLOOKUP(F4888,CARTON_LOOKUP!$A:$E,2,0),"")</f>
      </c>
      <c r="K4888" s="29">
        <f>IFERROR(J4888*D4888,0)</f>
      </c>
      <c r="L4888" s="29">
        <f>IFERROR(E4888*C4888,0)</f>
      </c>
      <c r="M4888" s="29">
        <f>IFERROR((G4888*H4888*I4888/1000000)*D4888,0)</f>
      </c>
    </row>
    <row r="4889" spans="1:13" x14ac:dyDescent="0.25">
      <c r="A4889" s="16"/>
      <c r="E4889" s="27"/>
      <c r="F4889" t="s">
        <v>26</v>
      </c>
      <c r="G4889" s="28">
        <f>IFERROR(VLOOKUP(F4889,CARTON_LOOKUP!$A:$E,3,0),"")</f>
      </c>
      <c r="H4889" s="28">
        <f>IFERROR(VLOOKUP(F4889,CARTON_LOOKUP!$A:$E,4,0),"")</f>
      </c>
      <c r="I4889" s="28">
        <f>IFERROR(VLOOKUP(F4889,CARTON_LOOKUP!$A:$E,5,0),"")</f>
      </c>
      <c r="J4889" s="29">
        <f>IFERROR(VLOOKUP(F4889,CARTON_LOOKUP!$A:$E,2,0),"")</f>
      </c>
      <c r="K4889" s="29">
        <f>IFERROR(J4889*D4889,0)</f>
      </c>
      <c r="L4889" s="29">
        <f>IFERROR(E4889*C4889,0)</f>
      </c>
      <c r="M4889" s="29">
        <f>IFERROR((G4889*H4889*I4889/1000000)*D4889,0)</f>
      </c>
    </row>
    <row r="4890" spans="1:13" x14ac:dyDescent="0.25">
      <c r="A4890" s="16"/>
      <c r="E4890" s="27"/>
      <c r="F4890" t="s">
        <v>26</v>
      </c>
      <c r="G4890" s="28">
        <f>IFERROR(VLOOKUP(F4890,CARTON_LOOKUP!$A:$E,3,0),"")</f>
      </c>
      <c r="H4890" s="28">
        <f>IFERROR(VLOOKUP(F4890,CARTON_LOOKUP!$A:$E,4,0),"")</f>
      </c>
      <c r="I4890" s="28">
        <f>IFERROR(VLOOKUP(F4890,CARTON_LOOKUP!$A:$E,5,0),"")</f>
      </c>
      <c r="J4890" s="29">
        <f>IFERROR(VLOOKUP(F4890,CARTON_LOOKUP!$A:$E,2,0),"")</f>
      </c>
      <c r="K4890" s="29">
        <f>IFERROR(J4890*D4890,0)</f>
      </c>
      <c r="L4890" s="29">
        <f>IFERROR(E4890*C4890,0)</f>
      </c>
      <c r="M4890" s="29">
        <f>IFERROR((G4890*H4890*I4890/1000000)*D4890,0)</f>
      </c>
    </row>
    <row r="4891" spans="1:13" x14ac:dyDescent="0.25">
      <c r="A4891" s="16"/>
      <c r="E4891" s="27"/>
      <c r="F4891" t="s">
        <v>26</v>
      </c>
      <c r="G4891" s="28">
        <f>IFERROR(VLOOKUP(F4891,CARTON_LOOKUP!$A:$E,3,0),"")</f>
      </c>
      <c r="H4891" s="28">
        <f>IFERROR(VLOOKUP(F4891,CARTON_LOOKUP!$A:$E,4,0),"")</f>
      </c>
      <c r="I4891" s="28">
        <f>IFERROR(VLOOKUP(F4891,CARTON_LOOKUP!$A:$E,5,0),"")</f>
      </c>
      <c r="J4891" s="29">
        <f>IFERROR(VLOOKUP(F4891,CARTON_LOOKUP!$A:$E,2,0),"")</f>
      </c>
      <c r="K4891" s="29">
        <f>IFERROR(J4891*D4891,0)</f>
      </c>
      <c r="L4891" s="29">
        <f>IFERROR(E4891*C4891,0)</f>
      </c>
      <c r="M4891" s="29">
        <f>IFERROR((G4891*H4891*I4891/1000000)*D4891,0)</f>
      </c>
    </row>
    <row r="4892" spans="1:13" x14ac:dyDescent="0.25">
      <c r="A4892" s="16"/>
      <c r="E4892" s="27"/>
      <c r="F4892" t="s">
        <v>26</v>
      </c>
      <c r="G4892" s="28">
        <f>IFERROR(VLOOKUP(F4892,CARTON_LOOKUP!$A:$E,3,0),"")</f>
      </c>
      <c r="H4892" s="28">
        <f>IFERROR(VLOOKUP(F4892,CARTON_LOOKUP!$A:$E,4,0),"")</f>
      </c>
      <c r="I4892" s="28">
        <f>IFERROR(VLOOKUP(F4892,CARTON_LOOKUP!$A:$E,5,0),"")</f>
      </c>
      <c r="J4892" s="29">
        <f>IFERROR(VLOOKUP(F4892,CARTON_LOOKUP!$A:$E,2,0),"")</f>
      </c>
      <c r="K4892" s="29">
        <f>IFERROR(J4892*D4892,0)</f>
      </c>
      <c r="L4892" s="29">
        <f>IFERROR(E4892*C4892,0)</f>
      </c>
      <c r="M4892" s="29">
        <f>IFERROR((G4892*H4892*I4892/1000000)*D4892,0)</f>
      </c>
    </row>
    <row r="4893" spans="1:13" x14ac:dyDescent="0.25">
      <c r="A4893" s="16"/>
      <c r="E4893" s="27"/>
      <c r="F4893" t="s">
        <v>26</v>
      </c>
      <c r="G4893" s="28">
        <f>IFERROR(VLOOKUP(F4893,CARTON_LOOKUP!$A:$E,3,0),"")</f>
      </c>
      <c r="H4893" s="28">
        <f>IFERROR(VLOOKUP(F4893,CARTON_LOOKUP!$A:$E,4,0),"")</f>
      </c>
      <c r="I4893" s="28">
        <f>IFERROR(VLOOKUP(F4893,CARTON_LOOKUP!$A:$E,5,0),"")</f>
      </c>
      <c r="J4893" s="29">
        <f>IFERROR(VLOOKUP(F4893,CARTON_LOOKUP!$A:$E,2,0),"")</f>
      </c>
      <c r="K4893" s="29">
        <f>IFERROR(J4893*D4893,0)</f>
      </c>
      <c r="L4893" s="29">
        <f>IFERROR(E4893*C4893,0)</f>
      </c>
      <c r="M4893" s="29">
        <f>IFERROR((G4893*H4893*I4893/1000000)*D4893,0)</f>
      </c>
    </row>
    <row r="4894" spans="1:13" x14ac:dyDescent="0.25">
      <c r="A4894" s="16"/>
      <c r="E4894" s="27"/>
      <c r="F4894" t="s">
        <v>26</v>
      </c>
      <c r="G4894" s="28">
        <f>IFERROR(VLOOKUP(F4894,CARTON_LOOKUP!$A:$E,3,0),"")</f>
      </c>
      <c r="H4894" s="28">
        <f>IFERROR(VLOOKUP(F4894,CARTON_LOOKUP!$A:$E,4,0),"")</f>
      </c>
      <c r="I4894" s="28">
        <f>IFERROR(VLOOKUP(F4894,CARTON_LOOKUP!$A:$E,5,0),"")</f>
      </c>
      <c r="J4894" s="29">
        <f>IFERROR(VLOOKUP(F4894,CARTON_LOOKUP!$A:$E,2,0),"")</f>
      </c>
      <c r="K4894" s="29">
        <f>IFERROR(J4894*D4894,0)</f>
      </c>
      <c r="L4894" s="29">
        <f>IFERROR(E4894*C4894,0)</f>
      </c>
      <c r="M4894" s="29">
        <f>IFERROR((G4894*H4894*I4894/1000000)*D4894,0)</f>
      </c>
    </row>
    <row r="4895" spans="1:13" x14ac:dyDescent="0.25">
      <c r="A4895" s="16"/>
      <c r="E4895" s="27"/>
      <c r="F4895" t="s">
        <v>26</v>
      </c>
      <c r="G4895" s="28">
        <f>IFERROR(VLOOKUP(F4895,CARTON_LOOKUP!$A:$E,3,0),"")</f>
      </c>
      <c r="H4895" s="28">
        <f>IFERROR(VLOOKUP(F4895,CARTON_LOOKUP!$A:$E,4,0),"")</f>
      </c>
      <c r="I4895" s="28">
        <f>IFERROR(VLOOKUP(F4895,CARTON_LOOKUP!$A:$E,5,0),"")</f>
      </c>
      <c r="J4895" s="29">
        <f>IFERROR(VLOOKUP(F4895,CARTON_LOOKUP!$A:$E,2,0),"")</f>
      </c>
      <c r="K4895" s="29">
        <f>IFERROR(J4895*D4895,0)</f>
      </c>
      <c r="L4895" s="29">
        <f>IFERROR(E4895*C4895,0)</f>
      </c>
      <c r="M4895" s="29">
        <f>IFERROR((G4895*H4895*I4895/1000000)*D4895,0)</f>
      </c>
    </row>
    <row r="4896" spans="1:13" x14ac:dyDescent="0.25">
      <c r="A4896" s="16"/>
      <c r="E4896" s="27"/>
      <c r="F4896" t="s">
        <v>26</v>
      </c>
      <c r="G4896" s="28">
        <f>IFERROR(VLOOKUP(F4896,CARTON_LOOKUP!$A:$E,3,0),"")</f>
      </c>
      <c r="H4896" s="28">
        <f>IFERROR(VLOOKUP(F4896,CARTON_LOOKUP!$A:$E,4,0),"")</f>
      </c>
      <c r="I4896" s="28">
        <f>IFERROR(VLOOKUP(F4896,CARTON_LOOKUP!$A:$E,5,0),"")</f>
      </c>
      <c r="J4896" s="29">
        <f>IFERROR(VLOOKUP(F4896,CARTON_LOOKUP!$A:$E,2,0),"")</f>
      </c>
      <c r="K4896" s="29">
        <f>IFERROR(J4896*D4896,0)</f>
      </c>
      <c r="L4896" s="29">
        <f>IFERROR(E4896*C4896,0)</f>
      </c>
      <c r="M4896" s="29">
        <f>IFERROR((G4896*H4896*I4896/1000000)*D4896,0)</f>
      </c>
    </row>
    <row r="4897" spans="1:13" x14ac:dyDescent="0.25">
      <c r="A4897" s="16"/>
      <c r="E4897" s="27"/>
      <c r="F4897" t="s">
        <v>26</v>
      </c>
      <c r="G4897" s="28">
        <f>IFERROR(VLOOKUP(F4897,CARTON_LOOKUP!$A:$E,3,0),"")</f>
      </c>
      <c r="H4897" s="28">
        <f>IFERROR(VLOOKUP(F4897,CARTON_LOOKUP!$A:$E,4,0),"")</f>
      </c>
      <c r="I4897" s="28">
        <f>IFERROR(VLOOKUP(F4897,CARTON_LOOKUP!$A:$E,5,0),"")</f>
      </c>
      <c r="J4897" s="29">
        <f>IFERROR(VLOOKUP(F4897,CARTON_LOOKUP!$A:$E,2,0),"")</f>
      </c>
      <c r="K4897" s="29">
        <f>IFERROR(J4897*D4897,0)</f>
      </c>
      <c r="L4897" s="29">
        <f>IFERROR(E4897*C4897,0)</f>
      </c>
      <c r="M4897" s="29">
        <f>IFERROR((G4897*H4897*I4897/1000000)*D4897,0)</f>
      </c>
    </row>
    <row r="4898" spans="1:13" x14ac:dyDescent="0.25">
      <c r="A4898" s="16"/>
      <c r="E4898" s="27"/>
      <c r="F4898" t="s">
        <v>26</v>
      </c>
      <c r="G4898" s="28">
        <f>IFERROR(VLOOKUP(F4898,CARTON_LOOKUP!$A:$E,3,0),"")</f>
      </c>
      <c r="H4898" s="28">
        <f>IFERROR(VLOOKUP(F4898,CARTON_LOOKUP!$A:$E,4,0),"")</f>
      </c>
      <c r="I4898" s="28">
        <f>IFERROR(VLOOKUP(F4898,CARTON_LOOKUP!$A:$E,5,0),"")</f>
      </c>
      <c r="J4898" s="29">
        <f>IFERROR(VLOOKUP(F4898,CARTON_LOOKUP!$A:$E,2,0),"")</f>
      </c>
      <c r="K4898" s="29">
        <f>IFERROR(J4898*D4898,0)</f>
      </c>
      <c r="L4898" s="29">
        <f>IFERROR(E4898*C4898,0)</f>
      </c>
      <c r="M4898" s="29">
        <f>IFERROR((G4898*H4898*I4898/1000000)*D4898,0)</f>
      </c>
    </row>
    <row r="4899" spans="1:13" x14ac:dyDescent="0.25">
      <c r="A4899" s="16"/>
      <c r="E4899" s="27"/>
      <c r="F4899" t="s">
        <v>26</v>
      </c>
      <c r="G4899" s="28">
        <f>IFERROR(VLOOKUP(F4899,CARTON_LOOKUP!$A:$E,3,0),"")</f>
      </c>
      <c r="H4899" s="28">
        <f>IFERROR(VLOOKUP(F4899,CARTON_LOOKUP!$A:$E,4,0),"")</f>
      </c>
      <c r="I4899" s="28">
        <f>IFERROR(VLOOKUP(F4899,CARTON_LOOKUP!$A:$E,5,0),"")</f>
      </c>
      <c r="J4899" s="29">
        <f>IFERROR(VLOOKUP(F4899,CARTON_LOOKUP!$A:$E,2,0),"")</f>
      </c>
      <c r="K4899" s="29">
        <f>IFERROR(J4899*D4899,0)</f>
      </c>
      <c r="L4899" s="29">
        <f>IFERROR(E4899*C4899,0)</f>
      </c>
      <c r="M4899" s="29">
        <f>IFERROR((G4899*H4899*I4899/1000000)*D4899,0)</f>
      </c>
    </row>
    <row r="4900" spans="1:13" x14ac:dyDescent="0.25">
      <c r="A4900" s="16"/>
      <c r="E4900" s="27"/>
      <c r="F4900" t="s">
        <v>26</v>
      </c>
      <c r="G4900" s="28">
        <f>IFERROR(VLOOKUP(F4900,CARTON_LOOKUP!$A:$E,3,0),"")</f>
      </c>
      <c r="H4900" s="28">
        <f>IFERROR(VLOOKUP(F4900,CARTON_LOOKUP!$A:$E,4,0),"")</f>
      </c>
      <c r="I4900" s="28">
        <f>IFERROR(VLOOKUP(F4900,CARTON_LOOKUP!$A:$E,5,0),"")</f>
      </c>
      <c r="J4900" s="29">
        <f>IFERROR(VLOOKUP(F4900,CARTON_LOOKUP!$A:$E,2,0),"")</f>
      </c>
      <c r="K4900" s="29">
        <f>IFERROR(J4900*D4900,0)</f>
      </c>
      <c r="L4900" s="29">
        <f>IFERROR(E4900*C4900,0)</f>
      </c>
      <c r="M4900" s="29">
        <f>IFERROR((G4900*H4900*I4900/1000000)*D4900,0)</f>
      </c>
    </row>
    <row r="4901" spans="1:13" x14ac:dyDescent="0.25">
      <c r="A4901" s="16"/>
      <c r="E4901" s="27"/>
      <c r="F4901" t="s">
        <v>26</v>
      </c>
      <c r="G4901" s="28">
        <f>IFERROR(VLOOKUP(F4901,CARTON_LOOKUP!$A:$E,3,0),"")</f>
      </c>
      <c r="H4901" s="28">
        <f>IFERROR(VLOOKUP(F4901,CARTON_LOOKUP!$A:$E,4,0),"")</f>
      </c>
      <c r="I4901" s="28">
        <f>IFERROR(VLOOKUP(F4901,CARTON_LOOKUP!$A:$E,5,0),"")</f>
      </c>
      <c r="J4901" s="29">
        <f>IFERROR(VLOOKUP(F4901,CARTON_LOOKUP!$A:$E,2,0),"")</f>
      </c>
      <c r="K4901" s="29">
        <f>IFERROR(J4901*D4901,0)</f>
      </c>
      <c r="L4901" s="29">
        <f>IFERROR(E4901*C4901,0)</f>
      </c>
      <c r="M4901" s="29">
        <f>IFERROR((G4901*H4901*I4901/1000000)*D4901,0)</f>
      </c>
    </row>
    <row r="4902" spans="1:13" x14ac:dyDescent="0.25">
      <c r="A4902" s="16"/>
      <c r="E4902" s="27"/>
      <c r="F4902" t="s">
        <v>26</v>
      </c>
      <c r="G4902" s="28">
        <f>IFERROR(VLOOKUP(F4902,CARTON_LOOKUP!$A:$E,3,0),"")</f>
      </c>
      <c r="H4902" s="28">
        <f>IFERROR(VLOOKUP(F4902,CARTON_LOOKUP!$A:$E,4,0),"")</f>
      </c>
      <c r="I4902" s="28">
        <f>IFERROR(VLOOKUP(F4902,CARTON_LOOKUP!$A:$E,5,0),"")</f>
      </c>
      <c r="J4902" s="29">
        <f>IFERROR(VLOOKUP(F4902,CARTON_LOOKUP!$A:$E,2,0),"")</f>
      </c>
      <c r="K4902" s="29">
        <f>IFERROR(J4902*D4902,0)</f>
      </c>
      <c r="L4902" s="29">
        <f>IFERROR(E4902*C4902,0)</f>
      </c>
      <c r="M4902" s="29">
        <f>IFERROR((G4902*H4902*I4902/1000000)*D4902,0)</f>
      </c>
    </row>
    <row r="4903" spans="1:13" x14ac:dyDescent="0.25">
      <c r="A4903" s="16"/>
      <c r="E4903" s="27"/>
      <c r="F4903" t="s">
        <v>26</v>
      </c>
      <c r="G4903" s="28">
        <f>IFERROR(VLOOKUP(F4903,CARTON_LOOKUP!$A:$E,3,0),"")</f>
      </c>
      <c r="H4903" s="28">
        <f>IFERROR(VLOOKUP(F4903,CARTON_LOOKUP!$A:$E,4,0),"")</f>
      </c>
      <c r="I4903" s="28">
        <f>IFERROR(VLOOKUP(F4903,CARTON_LOOKUP!$A:$E,5,0),"")</f>
      </c>
      <c r="J4903" s="29">
        <f>IFERROR(VLOOKUP(F4903,CARTON_LOOKUP!$A:$E,2,0),"")</f>
      </c>
      <c r="K4903" s="29">
        <f>IFERROR(J4903*D4903,0)</f>
      </c>
      <c r="L4903" s="29">
        <f>IFERROR(E4903*C4903,0)</f>
      </c>
      <c r="M4903" s="29">
        <f>IFERROR((G4903*H4903*I4903/1000000)*D4903,0)</f>
      </c>
    </row>
    <row r="4904" spans="1:13" x14ac:dyDescent="0.25">
      <c r="A4904" s="16"/>
      <c r="E4904" s="27"/>
      <c r="F4904" t="s">
        <v>26</v>
      </c>
      <c r="G4904" s="28">
        <f>IFERROR(VLOOKUP(F4904,CARTON_LOOKUP!$A:$E,3,0),"")</f>
      </c>
      <c r="H4904" s="28">
        <f>IFERROR(VLOOKUP(F4904,CARTON_LOOKUP!$A:$E,4,0),"")</f>
      </c>
      <c r="I4904" s="28">
        <f>IFERROR(VLOOKUP(F4904,CARTON_LOOKUP!$A:$E,5,0),"")</f>
      </c>
      <c r="J4904" s="29">
        <f>IFERROR(VLOOKUP(F4904,CARTON_LOOKUP!$A:$E,2,0),"")</f>
      </c>
      <c r="K4904" s="29">
        <f>IFERROR(J4904*D4904,0)</f>
      </c>
      <c r="L4904" s="29">
        <f>IFERROR(E4904*C4904,0)</f>
      </c>
      <c r="M4904" s="29">
        <f>IFERROR((G4904*H4904*I4904/1000000)*D4904,0)</f>
      </c>
    </row>
    <row r="4905" spans="1:13" x14ac:dyDescent="0.25">
      <c r="A4905" s="16"/>
      <c r="E4905" s="27"/>
      <c r="F4905" t="s">
        <v>26</v>
      </c>
      <c r="G4905" s="28">
        <f>IFERROR(VLOOKUP(F4905,CARTON_LOOKUP!$A:$E,3,0),"")</f>
      </c>
      <c r="H4905" s="28">
        <f>IFERROR(VLOOKUP(F4905,CARTON_LOOKUP!$A:$E,4,0),"")</f>
      </c>
      <c r="I4905" s="28">
        <f>IFERROR(VLOOKUP(F4905,CARTON_LOOKUP!$A:$E,5,0),"")</f>
      </c>
      <c r="J4905" s="29">
        <f>IFERROR(VLOOKUP(F4905,CARTON_LOOKUP!$A:$E,2,0),"")</f>
      </c>
      <c r="K4905" s="29">
        <f>IFERROR(J4905*D4905,0)</f>
      </c>
      <c r="L4905" s="29">
        <f>IFERROR(E4905*C4905,0)</f>
      </c>
      <c r="M4905" s="29">
        <f>IFERROR((G4905*H4905*I4905/1000000)*D4905,0)</f>
      </c>
    </row>
    <row r="4906" spans="1:13" x14ac:dyDescent="0.25">
      <c r="A4906" s="16"/>
      <c r="E4906" s="27"/>
      <c r="F4906" t="s">
        <v>26</v>
      </c>
      <c r="G4906" s="28">
        <f>IFERROR(VLOOKUP(F4906,CARTON_LOOKUP!$A:$E,3,0),"")</f>
      </c>
      <c r="H4906" s="28">
        <f>IFERROR(VLOOKUP(F4906,CARTON_LOOKUP!$A:$E,4,0),"")</f>
      </c>
      <c r="I4906" s="28">
        <f>IFERROR(VLOOKUP(F4906,CARTON_LOOKUP!$A:$E,5,0),"")</f>
      </c>
      <c r="J4906" s="29">
        <f>IFERROR(VLOOKUP(F4906,CARTON_LOOKUP!$A:$E,2,0),"")</f>
      </c>
      <c r="K4906" s="29">
        <f>IFERROR(J4906*D4906,0)</f>
      </c>
      <c r="L4906" s="29">
        <f>IFERROR(E4906*C4906,0)</f>
      </c>
      <c r="M4906" s="29">
        <f>IFERROR((G4906*H4906*I4906/1000000)*D4906,0)</f>
      </c>
    </row>
    <row r="4907" spans="1:13" x14ac:dyDescent="0.25">
      <c r="A4907" s="16"/>
      <c r="E4907" s="27"/>
      <c r="F4907" t="s">
        <v>26</v>
      </c>
      <c r="G4907" s="28">
        <f>IFERROR(VLOOKUP(F4907,CARTON_LOOKUP!$A:$E,3,0),"")</f>
      </c>
      <c r="H4907" s="28">
        <f>IFERROR(VLOOKUP(F4907,CARTON_LOOKUP!$A:$E,4,0),"")</f>
      </c>
      <c r="I4907" s="28">
        <f>IFERROR(VLOOKUP(F4907,CARTON_LOOKUP!$A:$E,5,0),"")</f>
      </c>
      <c r="J4907" s="29">
        <f>IFERROR(VLOOKUP(F4907,CARTON_LOOKUP!$A:$E,2,0),"")</f>
      </c>
      <c r="K4907" s="29">
        <f>IFERROR(J4907*D4907,0)</f>
      </c>
      <c r="L4907" s="29">
        <f>IFERROR(E4907*C4907,0)</f>
      </c>
      <c r="M4907" s="29">
        <f>IFERROR((G4907*H4907*I4907/1000000)*D4907,0)</f>
      </c>
    </row>
    <row r="4908" spans="1:13" x14ac:dyDescent="0.25">
      <c r="A4908" s="16"/>
      <c r="E4908" s="27"/>
      <c r="F4908" t="s">
        <v>26</v>
      </c>
      <c r="G4908" s="28">
        <f>IFERROR(VLOOKUP(F4908,CARTON_LOOKUP!$A:$E,3,0),"")</f>
      </c>
      <c r="H4908" s="28">
        <f>IFERROR(VLOOKUP(F4908,CARTON_LOOKUP!$A:$E,4,0),"")</f>
      </c>
      <c r="I4908" s="28">
        <f>IFERROR(VLOOKUP(F4908,CARTON_LOOKUP!$A:$E,5,0),"")</f>
      </c>
      <c r="J4908" s="29">
        <f>IFERROR(VLOOKUP(F4908,CARTON_LOOKUP!$A:$E,2,0),"")</f>
      </c>
      <c r="K4908" s="29">
        <f>IFERROR(J4908*D4908,0)</f>
      </c>
      <c r="L4908" s="29">
        <f>IFERROR(E4908*C4908,0)</f>
      </c>
      <c r="M4908" s="29">
        <f>IFERROR((G4908*H4908*I4908/1000000)*D4908,0)</f>
      </c>
    </row>
    <row r="4909" spans="1:13" x14ac:dyDescent="0.25">
      <c r="A4909" s="16"/>
      <c r="E4909" s="27"/>
      <c r="F4909" t="s">
        <v>26</v>
      </c>
      <c r="G4909" s="28">
        <f>IFERROR(VLOOKUP(F4909,CARTON_LOOKUP!$A:$E,3,0),"")</f>
      </c>
      <c r="H4909" s="28">
        <f>IFERROR(VLOOKUP(F4909,CARTON_LOOKUP!$A:$E,4,0),"")</f>
      </c>
      <c r="I4909" s="28">
        <f>IFERROR(VLOOKUP(F4909,CARTON_LOOKUP!$A:$E,5,0),"")</f>
      </c>
      <c r="J4909" s="29">
        <f>IFERROR(VLOOKUP(F4909,CARTON_LOOKUP!$A:$E,2,0),"")</f>
      </c>
      <c r="K4909" s="29">
        <f>IFERROR(J4909*D4909,0)</f>
      </c>
      <c r="L4909" s="29">
        <f>IFERROR(E4909*C4909,0)</f>
      </c>
      <c r="M4909" s="29">
        <f>IFERROR((G4909*H4909*I4909/1000000)*D4909,0)</f>
      </c>
    </row>
    <row r="4910" spans="1:13" x14ac:dyDescent="0.25">
      <c r="A4910" s="16"/>
      <c r="E4910" s="27"/>
      <c r="F4910" t="s">
        <v>26</v>
      </c>
      <c r="G4910" s="28">
        <f>IFERROR(VLOOKUP(F4910,CARTON_LOOKUP!$A:$E,3,0),"")</f>
      </c>
      <c r="H4910" s="28">
        <f>IFERROR(VLOOKUP(F4910,CARTON_LOOKUP!$A:$E,4,0),"")</f>
      </c>
      <c r="I4910" s="28">
        <f>IFERROR(VLOOKUP(F4910,CARTON_LOOKUP!$A:$E,5,0),"")</f>
      </c>
      <c r="J4910" s="29">
        <f>IFERROR(VLOOKUP(F4910,CARTON_LOOKUP!$A:$E,2,0),"")</f>
      </c>
      <c r="K4910" s="29">
        <f>IFERROR(J4910*D4910,0)</f>
      </c>
      <c r="L4910" s="29">
        <f>IFERROR(E4910*C4910,0)</f>
      </c>
      <c r="M4910" s="29">
        <f>IFERROR((G4910*H4910*I4910/1000000)*D4910,0)</f>
      </c>
    </row>
    <row r="4911" spans="1:13" x14ac:dyDescent="0.25">
      <c r="A4911" s="16"/>
      <c r="E4911" s="27"/>
      <c r="F4911" t="s">
        <v>26</v>
      </c>
      <c r="G4911" s="28">
        <f>IFERROR(VLOOKUP(F4911,CARTON_LOOKUP!$A:$E,3,0),"")</f>
      </c>
      <c r="H4911" s="28">
        <f>IFERROR(VLOOKUP(F4911,CARTON_LOOKUP!$A:$E,4,0),"")</f>
      </c>
      <c r="I4911" s="28">
        <f>IFERROR(VLOOKUP(F4911,CARTON_LOOKUP!$A:$E,5,0),"")</f>
      </c>
      <c r="J4911" s="29">
        <f>IFERROR(VLOOKUP(F4911,CARTON_LOOKUP!$A:$E,2,0),"")</f>
      </c>
      <c r="K4911" s="29">
        <f>IFERROR(J4911*D4911,0)</f>
      </c>
      <c r="L4911" s="29">
        <f>IFERROR(E4911*C4911,0)</f>
      </c>
      <c r="M4911" s="29">
        <f>IFERROR((G4911*H4911*I4911/1000000)*D4911,0)</f>
      </c>
    </row>
    <row r="4912" spans="1:13" x14ac:dyDescent="0.25">
      <c r="A4912" s="16"/>
      <c r="E4912" s="27"/>
      <c r="F4912" t="s">
        <v>26</v>
      </c>
      <c r="G4912" s="28">
        <f>IFERROR(VLOOKUP(F4912,CARTON_LOOKUP!$A:$E,3,0),"")</f>
      </c>
      <c r="H4912" s="28">
        <f>IFERROR(VLOOKUP(F4912,CARTON_LOOKUP!$A:$E,4,0),"")</f>
      </c>
      <c r="I4912" s="28">
        <f>IFERROR(VLOOKUP(F4912,CARTON_LOOKUP!$A:$E,5,0),"")</f>
      </c>
      <c r="J4912" s="29">
        <f>IFERROR(VLOOKUP(F4912,CARTON_LOOKUP!$A:$E,2,0),"")</f>
      </c>
      <c r="K4912" s="29">
        <f>IFERROR(J4912*D4912,0)</f>
      </c>
      <c r="L4912" s="29">
        <f>IFERROR(E4912*C4912,0)</f>
      </c>
      <c r="M4912" s="29">
        <f>IFERROR((G4912*H4912*I4912/1000000)*D4912,0)</f>
      </c>
    </row>
    <row r="4913" spans="1:13" x14ac:dyDescent="0.25">
      <c r="A4913" s="16"/>
      <c r="E4913" s="27"/>
      <c r="F4913" t="s">
        <v>26</v>
      </c>
      <c r="G4913" s="28">
        <f>IFERROR(VLOOKUP(F4913,CARTON_LOOKUP!$A:$E,3,0),"")</f>
      </c>
      <c r="H4913" s="28">
        <f>IFERROR(VLOOKUP(F4913,CARTON_LOOKUP!$A:$E,4,0),"")</f>
      </c>
      <c r="I4913" s="28">
        <f>IFERROR(VLOOKUP(F4913,CARTON_LOOKUP!$A:$E,5,0),"")</f>
      </c>
      <c r="J4913" s="29">
        <f>IFERROR(VLOOKUP(F4913,CARTON_LOOKUP!$A:$E,2,0),"")</f>
      </c>
      <c r="K4913" s="29">
        <f>IFERROR(J4913*D4913,0)</f>
      </c>
      <c r="L4913" s="29">
        <f>IFERROR(E4913*C4913,0)</f>
      </c>
      <c r="M4913" s="29">
        <f>IFERROR((G4913*H4913*I4913/1000000)*D4913,0)</f>
      </c>
    </row>
    <row r="4914" spans="1:13" x14ac:dyDescent="0.25">
      <c r="A4914" s="16"/>
      <c r="E4914" s="27"/>
      <c r="F4914" t="s">
        <v>26</v>
      </c>
      <c r="G4914" s="28">
        <f>IFERROR(VLOOKUP(F4914,CARTON_LOOKUP!$A:$E,3,0),"")</f>
      </c>
      <c r="H4914" s="28">
        <f>IFERROR(VLOOKUP(F4914,CARTON_LOOKUP!$A:$E,4,0),"")</f>
      </c>
      <c r="I4914" s="28">
        <f>IFERROR(VLOOKUP(F4914,CARTON_LOOKUP!$A:$E,5,0),"")</f>
      </c>
      <c r="J4914" s="29">
        <f>IFERROR(VLOOKUP(F4914,CARTON_LOOKUP!$A:$E,2,0),"")</f>
      </c>
      <c r="K4914" s="29">
        <f>IFERROR(J4914*D4914,0)</f>
      </c>
      <c r="L4914" s="29">
        <f>IFERROR(E4914*C4914,0)</f>
      </c>
      <c r="M4914" s="29">
        <f>IFERROR((G4914*H4914*I4914/1000000)*D4914,0)</f>
      </c>
    </row>
    <row r="4915" spans="1:13" x14ac:dyDescent="0.25">
      <c r="A4915" s="16"/>
      <c r="E4915" s="27"/>
      <c r="F4915" t="s">
        <v>26</v>
      </c>
      <c r="G4915" s="28">
        <f>IFERROR(VLOOKUP(F4915,CARTON_LOOKUP!$A:$E,3,0),"")</f>
      </c>
      <c r="H4915" s="28">
        <f>IFERROR(VLOOKUP(F4915,CARTON_LOOKUP!$A:$E,4,0),"")</f>
      </c>
      <c r="I4915" s="28">
        <f>IFERROR(VLOOKUP(F4915,CARTON_LOOKUP!$A:$E,5,0),"")</f>
      </c>
      <c r="J4915" s="29">
        <f>IFERROR(VLOOKUP(F4915,CARTON_LOOKUP!$A:$E,2,0),"")</f>
      </c>
      <c r="K4915" s="29">
        <f>IFERROR(J4915*D4915,0)</f>
      </c>
      <c r="L4915" s="29">
        <f>IFERROR(E4915*C4915,0)</f>
      </c>
      <c r="M4915" s="29">
        <f>IFERROR((G4915*H4915*I4915/1000000)*D4915,0)</f>
      </c>
    </row>
    <row r="4916" spans="1:13" x14ac:dyDescent="0.25">
      <c r="A4916" s="16"/>
      <c r="E4916" s="27"/>
      <c r="F4916" t="s">
        <v>26</v>
      </c>
      <c r="G4916" s="28">
        <f>IFERROR(VLOOKUP(F4916,CARTON_LOOKUP!$A:$E,3,0),"")</f>
      </c>
      <c r="H4916" s="28">
        <f>IFERROR(VLOOKUP(F4916,CARTON_LOOKUP!$A:$E,4,0),"")</f>
      </c>
      <c r="I4916" s="28">
        <f>IFERROR(VLOOKUP(F4916,CARTON_LOOKUP!$A:$E,5,0),"")</f>
      </c>
      <c r="J4916" s="29">
        <f>IFERROR(VLOOKUP(F4916,CARTON_LOOKUP!$A:$E,2,0),"")</f>
      </c>
      <c r="K4916" s="29">
        <f>IFERROR(J4916*D4916,0)</f>
      </c>
      <c r="L4916" s="29">
        <f>IFERROR(E4916*C4916,0)</f>
      </c>
      <c r="M4916" s="29">
        <f>IFERROR((G4916*H4916*I4916/1000000)*D4916,0)</f>
      </c>
    </row>
    <row r="4917" spans="1:13" x14ac:dyDescent="0.25">
      <c r="A4917" s="16"/>
      <c r="E4917" s="27"/>
      <c r="F4917" t="s">
        <v>26</v>
      </c>
      <c r="G4917" s="28">
        <f>IFERROR(VLOOKUP(F4917,CARTON_LOOKUP!$A:$E,3,0),"")</f>
      </c>
      <c r="H4917" s="28">
        <f>IFERROR(VLOOKUP(F4917,CARTON_LOOKUP!$A:$E,4,0),"")</f>
      </c>
      <c r="I4917" s="28">
        <f>IFERROR(VLOOKUP(F4917,CARTON_LOOKUP!$A:$E,5,0),"")</f>
      </c>
      <c r="J4917" s="29">
        <f>IFERROR(VLOOKUP(F4917,CARTON_LOOKUP!$A:$E,2,0),"")</f>
      </c>
      <c r="K4917" s="29">
        <f>IFERROR(J4917*D4917,0)</f>
      </c>
      <c r="L4917" s="29">
        <f>IFERROR(E4917*C4917,0)</f>
      </c>
      <c r="M4917" s="29">
        <f>IFERROR((G4917*H4917*I4917/1000000)*D4917,0)</f>
      </c>
    </row>
    <row r="4918" spans="1:13" x14ac:dyDescent="0.25">
      <c r="A4918" s="16"/>
      <c r="E4918" s="27"/>
      <c r="F4918" t="s">
        <v>26</v>
      </c>
      <c r="G4918" s="28">
        <f>IFERROR(VLOOKUP(F4918,CARTON_LOOKUP!$A:$E,3,0),"")</f>
      </c>
      <c r="H4918" s="28">
        <f>IFERROR(VLOOKUP(F4918,CARTON_LOOKUP!$A:$E,4,0),"")</f>
      </c>
      <c r="I4918" s="28">
        <f>IFERROR(VLOOKUP(F4918,CARTON_LOOKUP!$A:$E,5,0),"")</f>
      </c>
      <c r="J4918" s="29">
        <f>IFERROR(VLOOKUP(F4918,CARTON_LOOKUP!$A:$E,2,0),"")</f>
      </c>
      <c r="K4918" s="29">
        <f>IFERROR(J4918*D4918,0)</f>
      </c>
      <c r="L4918" s="29">
        <f>IFERROR(E4918*C4918,0)</f>
      </c>
      <c r="M4918" s="29">
        <f>IFERROR((G4918*H4918*I4918/1000000)*D4918,0)</f>
      </c>
    </row>
    <row r="4919" spans="1:13" x14ac:dyDescent="0.25">
      <c r="A4919" s="16"/>
      <c r="E4919" s="27"/>
      <c r="F4919" t="s">
        <v>26</v>
      </c>
      <c r="G4919" s="28">
        <f>IFERROR(VLOOKUP(F4919,CARTON_LOOKUP!$A:$E,3,0),"")</f>
      </c>
      <c r="H4919" s="28">
        <f>IFERROR(VLOOKUP(F4919,CARTON_LOOKUP!$A:$E,4,0),"")</f>
      </c>
      <c r="I4919" s="28">
        <f>IFERROR(VLOOKUP(F4919,CARTON_LOOKUP!$A:$E,5,0),"")</f>
      </c>
      <c r="J4919" s="29">
        <f>IFERROR(VLOOKUP(F4919,CARTON_LOOKUP!$A:$E,2,0),"")</f>
      </c>
      <c r="K4919" s="29">
        <f>IFERROR(J4919*D4919,0)</f>
      </c>
      <c r="L4919" s="29">
        <f>IFERROR(E4919*C4919,0)</f>
      </c>
      <c r="M4919" s="29">
        <f>IFERROR((G4919*H4919*I4919/1000000)*D4919,0)</f>
      </c>
    </row>
    <row r="4920" spans="1:13" x14ac:dyDescent="0.25">
      <c r="A4920" s="16"/>
      <c r="E4920" s="27"/>
      <c r="F4920" t="s">
        <v>26</v>
      </c>
      <c r="G4920" s="28">
        <f>IFERROR(VLOOKUP(F4920,CARTON_LOOKUP!$A:$E,3,0),"")</f>
      </c>
      <c r="H4920" s="28">
        <f>IFERROR(VLOOKUP(F4920,CARTON_LOOKUP!$A:$E,4,0),"")</f>
      </c>
      <c r="I4920" s="28">
        <f>IFERROR(VLOOKUP(F4920,CARTON_LOOKUP!$A:$E,5,0),"")</f>
      </c>
      <c r="J4920" s="29">
        <f>IFERROR(VLOOKUP(F4920,CARTON_LOOKUP!$A:$E,2,0),"")</f>
      </c>
      <c r="K4920" s="29">
        <f>IFERROR(J4920*D4920,0)</f>
      </c>
      <c r="L4920" s="29">
        <f>IFERROR(E4920*C4920,0)</f>
      </c>
      <c r="M4920" s="29">
        <f>IFERROR((G4920*H4920*I4920/1000000)*D4920,0)</f>
      </c>
    </row>
    <row r="4921" spans="1:13" x14ac:dyDescent="0.25">
      <c r="A4921" s="16"/>
      <c r="E4921" s="27"/>
      <c r="F4921" t="s">
        <v>26</v>
      </c>
      <c r="G4921" s="28">
        <f>IFERROR(VLOOKUP(F4921,CARTON_LOOKUP!$A:$E,3,0),"")</f>
      </c>
      <c r="H4921" s="28">
        <f>IFERROR(VLOOKUP(F4921,CARTON_LOOKUP!$A:$E,4,0),"")</f>
      </c>
      <c r="I4921" s="28">
        <f>IFERROR(VLOOKUP(F4921,CARTON_LOOKUP!$A:$E,5,0),"")</f>
      </c>
      <c r="J4921" s="29">
        <f>IFERROR(VLOOKUP(F4921,CARTON_LOOKUP!$A:$E,2,0),"")</f>
      </c>
      <c r="K4921" s="29">
        <f>IFERROR(J4921*D4921,0)</f>
      </c>
      <c r="L4921" s="29">
        <f>IFERROR(E4921*C4921,0)</f>
      </c>
      <c r="M4921" s="29">
        <f>IFERROR((G4921*H4921*I4921/1000000)*D4921,0)</f>
      </c>
    </row>
    <row r="4922" spans="1:13" x14ac:dyDescent="0.25">
      <c r="A4922" s="16"/>
      <c r="E4922" s="27"/>
      <c r="F4922" t="s">
        <v>26</v>
      </c>
      <c r="G4922" s="28">
        <f>IFERROR(VLOOKUP(F4922,CARTON_LOOKUP!$A:$E,3,0),"")</f>
      </c>
      <c r="H4922" s="28">
        <f>IFERROR(VLOOKUP(F4922,CARTON_LOOKUP!$A:$E,4,0),"")</f>
      </c>
      <c r="I4922" s="28">
        <f>IFERROR(VLOOKUP(F4922,CARTON_LOOKUP!$A:$E,5,0),"")</f>
      </c>
      <c r="J4922" s="29">
        <f>IFERROR(VLOOKUP(F4922,CARTON_LOOKUP!$A:$E,2,0),"")</f>
      </c>
      <c r="K4922" s="29">
        <f>IFERROR(J4922*D4922,0)</f>
      </c>
      <c r="L4922" s="29">
        <f>IFERROR(E4922*C4922,0)</f>
      </c>
      <c r="M4922" s="29">
        <f>IFERROR((G4922*H4922*I4922/1000000)*D4922,0)</f>
      </c>
    </row>
    <row r="4923" spans="1:13" x14ac:dyDescent="0.25">
      <c r="A4923" s="16"/>
      <c r="E4923" s="27"/>
      <c r="F4923" t="s">
        <v>26</v>
      </c>
      <c r="G4923" s="28">
        <f>IFERROR(VLOOKUP(F4923,CARTON_LOOKUP!$A:$E,3,0),"")</f>
      </c>
      <c r="H4923" s="28">
        <f>IFERROR(VLOOKUP(F4923,CARTON_LOOKUP!$A:$E,4,0),"")</f>
      </c>
      <c r="I4923" s="28">
        <f>IFERROR(VLOOKUP(F4923,CARTON_LOOKUP!$A:$E,5,0),"")</f>
      </c>
      <c r="J4923" s="29">
        <f>IFERROR(VLOOKUP(F4923,CARTON_LOOKUP!$A:$E,2,0),"")</f>
      </c>
      <c r="K4923" s="29">
        <f>IFERROR(J4923*D4923,0)</f>
      </c>
      <c r="L4923" s="29">
        <f>IFERROR(E4923*C4923,0)</f>
      </c>
      <c r="M4923" s="29">
        <f>IFERROR((G4923*H4923*I4923/1000000)*D4923,0)</f>
      </c>
    </row>
    <row r="4924" spans="1:13" x14ac:dyDescent="0.25">
      <c r="A4924" s="16"/>
      <c r="E4924" s="27"/>
      <c r="F4924" t="s">
        <v>26</v>
      </c>
      <c r="G4924" s="28">
        <f>IFERROR(VLOOKUP(F4924,CARTON_LOOKUP!$A:$E,3,0),"")</f>
      </c>
      <c r="H4924" s="28">
        <f>IFERROR(VLOOKUP(F4924,CARTON_LOOKUP!$A:$E,4,0),"")</f>
      </c>
      <c r="I4924" s="28">
        <f>IFERROR(VLOOKUP(F4924,CARTON_LOOKUP!$A:$E,5,0),"")</f>
      </c>
      <c r="J4924" s="29">
        <f>IFERROR(VLOOKUP(F4924,CARTON_LOOKUP!$A:$E,2,0),"")</f>
      </c>
      <c r="K4924" s="29">
        <f>IFERROR(J4924*D4924,0)</f>
      </c>
      <c r="L4924" s="29">
        <f>IFERROR(E4924*C4924,0)</f>
      </c>
      <c r="M4924" s="29">
        <f>IFERROR((G4924*H4924*I4924/1000000)*D4924,0)</f>
      </c>
    </row>
    <row r="4925" spans="1:13" x14ac:dyDescent="0.25">
      <c r="A4925" s="16"/>
      <c r="E4925" s="27"/>
      <c r="F4925" t="s">
        <v>26</v>
      </c>
      <c r="G4925" s="28">
        <f>IFERROR(VLOOKUP(F4925,CARTON_LOOKUP!$A:$E,3,0),"")</f>
      </c>
      <c r="H4925" s="28">
        <f>IFERROR(VLOOKUP(F4925,CARTON_LOOKUP!$A:$E,4,0),"")</f>
      </c>
      <c r="I4925" s="28">
        <f>IFERROR(VLOOKUP(F4925,CARTON_LOOKUP!$A:$E,5,0),"")</f>
      </c>
      <c r="J4925" s="29">
        <f>IFERROR(VLOOKUP(F4925,CARTON_LOOKUP!$A:$E,2,0),"")</f>
      </c>
      <c r="K4925" s="29">
        <f>IFERROR(J4925*D4925,0)</f>
      </c>
      <c r="L4925" s="29">
        <f>IFERROR(E4925*C4925,0)</f>
      </c>
      <c r="M4925" s="29">
        <f>IFERROR((G4925*H4925*I4925/1000000)*D4925,0)</f>
      </c>
    </row>
    <row r="4926" spans="1:13" x14ac:dyDescent="0.25">
      <c r="A4926" s="16"/>
      <c r="E4926" s="27"/>
      <c r="F4926" t="s">
        <v>26</v>
      </c>
      <c r="G4926" s="28">
        <f>IFERROR(VLOOKUP(F4926,CARTON_LOOKUP!$A:$E,3,0),"")</f>
      </c>
      <c r="H4926" s="28">
        <f>IFERROR(VLOOKUP(F4926,CARTON_LOOKUP!$A:$E,4,0),"")</f>
      </c>
      <c r="I4926" s="28">
        <f>IFERROR(VLOOKUP(F4926,CARTON_LOOKUP!$A:$E,5,0),"")</f>
      </c>
      <c r="J4926" s="29">
        <f>IFERROR(VLOOKUP(F4926,CARTON_LOOKUP!$A:$E,2,0),"")</f>
      </c>
      <c r="K4926" s="29">
        <f>IFERROR(J4926*D4926,0)</f>
      </c>
      <c r="L4926" s="29">
        <f>IFERROR(E4926*C4926,0)</f>
      </c>
      <c r="M4926" s="29">
        <f>IFERROR((G4926*H4926*I4926/1000000)*D4926,0)</f>
      </c>
    </row>
    <row r="4927" spans="1:13" x14ac:dyDescent="0.25">
      <c r="A4927" s="16"/>
      <c r="E4927" s="27"/>
      <c r="F4927" t="s">
        <v>26</v>
      </c>
      <c r="G4927" s="28">
        <f>IFERROR(VLOOKUP(F4927,CARTON_LOOKUP!$A:$E,3,0),"")</f>
      </c>
      <c r="H4927" s="28">
        <f>IFERROR(VLOOKUP(F4927,CARTON_LOOKUP!$A:$E,4,0),"")</f>
      </c>
      <c r="I4927" s="28">
        <f>IFERROR(VLOOKUP(F4927,CARTON_LOOKUP!$A:$E,5,0),"")</f>
      </c>
      <c r="J4927" s="29">
        <f>IFERROR(VLOOKUP(F4927,CARTON_LOOKUP!$A:$E,2,0),"")</f>
      </c>
      <c r="K4927" s="29">
        <f>IFERROR(J4927*D4927,0)</f>
      </c>
      <c r="L4927" s="29">
        <f>IFERROR(E4927*C4927,0)</f>
      </c>
      <c r="M4927" s="29">
        <f>IFERROR((G4927*H4927*I4927/1000000)*D4927,0)</f>
      </c>
    </row>
    <row r="4928" spans="1:13" x14ac:dyDescent="0.25">
      <c r="A4928" s="16"/>
      <c r="E4928" s="27"/>
      <c r="F4928" t="s">
        <v>26</v>
      </c>
      <c r="G4928" s="28">
        <f>IFERROR(VLOOKUP(F4928,CARTON_LOOKUP!$A:$E,3,0),"")</f>
      </c>
      <c r="H4928" s="28">
        <f>IFERROR(VLOOKUP(F4928,CARTON_LOOKUP!$A:$E,4,0),"")</f>
      </c>
      <c r="I4928" s="28">
        <f>IFERROR(VLOOKUP(F4928,CARTON_LOOKUP!$A:$E,5,0),"")</f>
      </c>
      <c r="J4928" s="29">
        <f>IFERROR(VLOOKUP(F4928,CARTON_LOOKUP!$A:$E,2,0),"")</f>
      </c>
      <c r="K4928" s="29">
        <f>IFERROR(J4928*D4928,0)</f>
      </c>
      <c r="L4928" s="29">
        <f>IFERROR(E4928*C4928,0)</f>
      </c>
      <c r="M4928" s="29">
        <f>IFERROR((G4928*H4928*I4928/1000000)*D4928,0)</f>
      </c>
    </row>
    <row r="4929" spans="1:13" x14ac:dyDescent="0.25">
      <c r="A4929" s="16"/>
      <c r="E4929" s="27"/>
      <c r="F4929" t="s">
        <v>26</v>
      </c>
      <c r="G4929" s="28">
        <f>IFERROR(VLOOKUP(F4929,CARTON_LOOKUP!$A:$E,3,0),"")</f>
      </c>
      <c r="H4929" s="28">
        <f>IFERROR(VLOOKUP(F4929,CARTON_LOOKUP!$A:$E,4,0),"")</f>
      </c>
      <c r="I4929" s="28">
        <f>IFERROR(VLOOKUP(F4929,CARTON_LOOKUP!$A:$E,5,0),"")</f>
      </c>
      <c r="J4929" s="29">
        <f>IFERROR(VLOOKUP(F4929,CARTON_LOOKUP!$A:$E,2,0),"")</f>
      </c>
      <c r="K4929" s="29">
        <f>IFERROR(J4929*D4929,0)</f>
      </c>
      <c r="L4929" s="29">
        <f>IFERROR(E4929*C4929,0)</f>
      </c>
      <c r="M4929" s="29">
        <f>IFERROR((G4929*H4929*I4929/1000000)*D4929,0)</f>
      </c>
    </row>
    <row r="4930" spans="1:13" x14ac:dyDescent="0.25">
      <c r="A4930" s="16"/>
      <c r="E4930" s="27"/>
      <c r="F4930" t="s">
        <v>26</v>
      </c>
      <c r="G4930" s="28">
        <f>IFERROR(VLOOKUP(F4930,CARTON_LOOKUP!$A:$E,3,0),"")</f>
      </c>
      <c r="H4930" s="28">
        <f>IFERROR(VLOOKUP(F4930,CARTON_LOOKUP!$A:$E,4,0),"")</f>
      </c>
      <c r="I4930" s="28">
        <f>IFERROR(VLOOKUP(F4930,CARTON_LOOKUP!$A:$E,5,0),"")</f>
      </c>
      <c r="J4930" s="29">
        <f>IFERROR(VLOOKUP(F4930,CARTON_LOOKUP!$A:$E,2,0),"")</f>
      </c>
      <c r="K4930" s="29">
        <f>IFERROR(J4930*D4930,0)</f>
      </c>
      <c r="L4930" s="29">
        <f>IFERROR(E4930*C4930,0)</f>
      </c>
      <c r="M4930" s="29">
        <f>IFERROR((G4930*H4930*I4930/1000000)*D4930,0)</f>
      </c>
    </row>
    <row r="4931" spans="1:13" x14ac:dyDescent="0.25">
      <c r="A4931" s="16"/>
      <c r="E4931" s="27"/>
      <c r="F4931" t="s">
        <v>26</v>
      </c>
      <c r="G4931" s="28">
        <f>IFERROR(VLOOKUP(F4931,CARTON_LOOKUP!$A:$E,3,0),"")</f>
      </c>
      <c r="H4931" s="28">
        <f>IFERROR(VLOOKUP(F4931,CARTON_LOOKUP!$A:$E,4,0),"")</f>
      </c>
      <c r="I4931" s="28">
        <f>IFERROR(VLOOKUP(F4931,CARTON_LOOKUP!$A:$E,5,0),"")</f>
      </c>
      <c r="J4931" s="29">
        <f>IFERROR(VLOOKUP(F4931,CARTON_LOOKUP!$A:$E,2,0),"")</f>
      </c>
      <c r="K4931" s="29">
        <f>IFERROR(J4931*D4931,0)</f>
      </c>
      <c r="L4931" s="29">
        <f>IFERROR(E4931*C4931,0)</f>
      </c>
      <c r="M4931" s="29">
        <f>IFERROR((G4931*H4931*I4931/1000000)*D4931,0)</f>
      </c>
    </row>
    <row r="4932" spans="1:13" x14ac:dyDescent="0.25">
      <c r="A4932" s="16"/>
      <c r="E4932" s="27"/>
      <c r="F4932" t="s">
        <v>26</v>
      </c>
      <c r="G4932" s="28">
        <f>IFERROR(VLOOKUP(F4932,CARTON_LOOKUP!$A:$E,3,0),"")</f>
      </c>
      <c r="H4932" s="28">
        <f>IFERROR(VLOOKUP(F4932,CARTON_LOOKUP!$A:$E,4,0),"")</f>
      </c>
      <c r="I4932" s="28">
        <f>IFERROR(VLOOKUP(F4932,CARTON_LOOKUP!$A:$E,5,0),"")</f>
      </c>
      <c r="J4932" s="29">
        <f>IFERROR(VLOOKUP(F4932,CARTON_LOOKUP!$A:$E,2,0),"")</f>
      </c>
      <c r="K4932" s="29">
        <f>IFERROR(J4932*D4932,0)</f>
      </c>
      <c r="L4932" s="29">
        <f>IFERROR(E4932*C4932,0)</f>
      </c>
      <c r="M4932" s="29">
        <f>IFERROR((G4932*H4932*I4932/1000000)*D4932,0)</f>
      </c>
    </row>
    <row r="4933" spans="1:13" x14ac:dyDescent="0.25">
      <c r="A4933" s="16"/>
      <c r="E4933" s="27"/>
      <c r="F4933" t="s">
        <v>26</v>
      </c>
      <c r="G4933" s="28">
        <f>IFERROR(VLOOKUP(F4933,CARTON_LOOKUP!$A:$E,3,0),"")</f>
      </c>
      <c r="H4933" s="28">
        <f>IFERROR(VLOOKUP(F4933,CARTON_LOOKUP!$A:$E,4,0),"")</f>
      </c>
      <c r="I4933" s="28">
        <f>IFERROR(VLOOKUP(F4933,CARTON_LOOKUP!$A:$E,5,0),"")</f>
      </c>
      <c r="J4933" s="29">
        <f>IFERROR(VLOOKUP(F4933,CARTON_LOOKUP!$A:$E,2,0),"")</f>
      </c>
      <c r="K4933" s="29">
        <f>IFERROR(J4933*D4933,0)</f>
      </c>
      <c r="L4933" s="29">
        <f>IFERROR(E4933*C4933,0)</f>
      </c>
      <c r="M4933" s="29">
        <f>IFERROR((G4933*H4933*I4933/1000000)*D4933,0)</f>
      </c>
    </row>
    <row r="4934" spans="1:13" x14ac:dyDescent="0.25">
      <c r="A4934" s="16"/>
      <c r="E4934" s="27"/>
      <c r="F4934" t="s">
        <v>26</v>
      </c>
      <c r="G4934" s="28">
        <f>IFERROR(VLOOKUP(F4934,CARTON_LOOKUP!$A:$E,3,0),"")</f>
      </c>
      <c r="H4934" s="28">
        <f>IFERROR(VLOOKUP(F4934,CARTON_LOOKUP!$A:$E,4,0),"")</f>
      </c>
      <c r="I4934" s="28">
        <f>IFERROR(VLOOKUP(F4934,CARTON_LOOKUP!$A:$E,5,0),"")</f>
      </c>
      <c r="J4934" s="29">
        <f>IFERROR(VLOOKUP(F4934,CARTON_LOOKUP!$A:$E,2,0),"")</f>
      </c>
      <c r="K4934" s="29">
        <f>IFERROR(J4934*D4934,0)</f>
      </c>
      <c r="L4934" s="29">
        <f>IFERROR(E4934*C4934,0)</f>
      </c>
      <c r="M4934" s="29">
        <f>IFERROR((G4934*H4934*I4934/1000000)*D4934,0)</f>
      </c>
    </row>
    <row r="4935" spans="1:13" x14ac:dyDescent="0.25">
      <c r="A4935" s="16"/>
      <c r="E4935" s="27"/>
      <c r="F4935" t="s">
        <v>26</v>
      </c>
      <c r="G4935" s="28">
        <f>IFERROR(VLOOKUP(F4935,CARTON_LOOKUP!$A:$E,3,0),"")</f>
      </c>
      <c r="H4935" s="28">
        <f>IFERROR(VLOOKUP(F4935,CARTON_LOOKUP!$A:$E,4,0),"")</f>
      </c>
      <c r="I4935" s="28">
        <f>IFERROR(VLOOKUP(F4935,CARTON_LOOKUP!$A:$E,5,0),"")</f>
      </c>
      <c r="J4935" s="29">
        <f>IFERROR(VLOOKUP(F4935,CARTON_LOOKUP!$A:$E,2,0),"")</f>
      </c>
      <c r="K4935" s="29">
        <f>IFERROR(J4935*D4935,0)</f>
      </c>
      <c r="L4935" s="29">
        <f>IFERROR(E4935*C4935,0)</f>
      </c>
      <c r="M4935" s="29">
        <f>IFERROR((G4935*H4935*I4935/1000000)*D4935,0)</f>
      </c>
    </row>
    <row r="4936" spans="1:13" x14ac:dyDescent="0.25">
      <c r="A4936" s="16"/>
      <c r="E4936" s="27"/>
      <c r="F4936" t="s">
        <v>26</v>
      </c>
      <c r="G4936" s="28">
        <f>IFERROR(VLOOKUP(F4936,CARTON_LOOKUP!$A:$E,3,0),"")</f>
      </c>
      <c r="H4936" s="28">
        <f>IFERROR(VLOOKUP(F4936,CARTON_LOOKUP!$A:$E,4,0),"")</f>
      </c>
      <c r="I4936" s="28">
        <f>IFERROR(VLOOKUP(F4936,CARTON_LOOKUP!$A:$E,5,0),"")</f>
      </c>
      <c r="J4936" s="29">
        <f>IFERROR(VLOOKUP(F4936,CARTON_LOOKUP!$A:$E,2,0),"")</f>
      </c>
      <c r="K4936" s="29">
        <f>IFERROR(J4936*D4936,0)</f>
      </c>
      <c r="L4936" s="29">
        <f>IFERROR(E4936*C4936,0)</f>
      </c>
      <c r="M4936" s="29">
        <f>IFERROR((G4936*H4936*I4936/1000000)*D4936,0)</f>
      </c>
    </row>
    <row r="4937" spans="1:13" x14ac:dyDescent="0.25">
      <c r="A4937" s="16"/>
      <c r="E4937" s="27"/>
      <c r="F4937" t="s">
        <v>26</v>
      </c>
      <c r="G4937" s="28">
        <f>IFERROR(VLOOKUP(F4937,CARTON_LOOKUP!$A:$E,3,0),"")</f>
      </c>
      <c r="H4937" s="28">
        <f>IFERROR(VLOOKUP(F4937,CARTON_LOOKUP!$A:$E,4,0),"")</f>
      </c>
      <c r="I4937" s="28">
        <f>IFERROR(VLOOKUP(F4937,CARTON_LOOKUP!$A:$E,5,0),"")</f>
      </c>
      <c r="J4937" s="29">
        <f>IFERROR(VLOOKUP(F4937,CARTON_LOOKUP!$A:$E,2,0),"")</f>
      </c>
      <c r="K4937" s="29">
        <f>IFERROR(J4937*D4937,0)</f>
      </c>
      <c r="L4937" s="29">
        <f>IFERROR(E4937*C4937,0)</f>
      </c>
      <c r="M4937" s="29">
        <f>IFERROR((G4937*H4937*I4937/1000000)*D4937,0)</f>
      </c>
    </row>
    <row r="4938" spans="1:13" x14ac:dyDescent="0.25">
      <c r="A4938" s="16"/>
      <c r="E4938" s="27"/>
      <c r="F4938" t="s">
        <v>26</v>
      </c>
      <c r="G4938" s="28">
        <f>IFERROR(VLOOKUP(F4938,CARTON_LOOKUP!$A:$E,3,0),"")</f>
      </c>
      <c r="H4938" s="28">
        <f>IFERROR(VLOOKUP(F4938,CARTON_LOOKUP!$A:$E,4,0),"")</f>
      </c>
      <c r="I4938" s="28">
        <f>IFERROR(VLOOKUP(F4938,CARTON_LOOKUP!$A:$E,5,0),"")</f>
      </c>
      <c r="J4938" s="29">
        <f>IFERROR(VLOOKUP(F4938,CARTON_LOOKUP!$A:$E,2,0),"")</f>
      </c>
      <c r="K4938" s="29">
        <f>IFERROR(J4938*D4938,0)</f>
      </c>
      <c r="L4938" s="29">
        <f>IFERROR(E4938*C4938,0)</f>
      </c>
      <c r="M4938" s="29">
        <f>IFERROR((G4938*H4938*I4938/1000000)*D4938,0)</f>
      </c>
    </row>
    <row r="4939" spans="1:13" x14ac:dyDescent="0.25">
      <c r="A4939" s="16"/>
      <c r="E4939" s="27"/>
      <c r="F4939" t="s">
        <v>26</v>
      </c>
      <c r="G4939" s="28">
        <f>IFERROR(VLOOKUP(F4939,CARTON_LOOKUP!$A:$E,3,0),"")</f>
      </c>
      <c r="H4939" s="28">
        <f>IFERROR(VLOOKUP(F4939,CARTON_LOOKUP!$A:$E,4,0),"")</f>
      </c>
      <c r="I4939" s="28">
        <f>IFERROR(VLOOKUP(F4939,CARTON_LOOKUP!$A:$E,5,0),"")</f>
      </c>
      <c r="J4939" s="29">
        <f>IFERROR(VLOOKUP(F4939,CARTON_LOOKUP!$A:$E,2,0),"")</f>
      </c>
      <c r="K4939" s="29">
        <f>IFERROR(J4939*D4939,0)</f>
      </c>
      <c r="L4939" s="29">
        <f>IFERROR(E4939*C4939,0)</f>
      </c>
      <c r="M4939" s="29">
        <f>IFERROR((G4939*H4939*I4939/1000000)*D4939,0)</f>
      </c>
    </row>
    <row r="4940" spans="1:13" x14ac:dyDescent="0.25">
      <c r="A4940" s="16"/>
      <c r="E4940" s="27"/>
      <c r="F4940" t="s">
        <v>26</v>
      </c>
      <c r="G4940" s="28">
        <f>IFERROR(VLOOKUP(F4940,CARTON_LOOKUP!$A:$E,3,0),"")</f>
      </c>
      <c r="H4940" s="28">
        <f>IFERROR(VLOOKUP(F4940,CARTON_LOOKUP!$A:$E,4,0),"")</f>
      </c>
      <c r="I4940" s="28">
        <f>IFERROR(VLOOKUP(F4940,CARTON_LOOKUP!$A:$E,5,0),"")</f>
      </c>
      <c r="J4940" s="29">
        <f>IFERROR(VLOOKUP(F4940,CARTON_LOOKUP!$A:$E,2,0),"")</f>
      </c>
      <c r="K4940" s="29">
        <f>IFERROR(J4940*D4940,0)</f>
      </c>
      <c r="L4940" s="29">
        <f>IFERROR(E4940*C4940,0)</f>
      </c>
      <c r="M4940" s="29">
        <f>IFERROR((G4940*H4940*I4940/1000000)*D4940,0)</f>
      </c>
    </row>
    <row r="4941" spans="1:13" x14ac:dyDescent="0.25">
      <c r="A4941" s="16"/>
      <c r="E4941" s="27"/>
      <c r="F4941" t="s">
        <v>26</v>
      </c>
      <c r="G4941" s="28">
        <f>IFERROR(VLOOKUP(F4941,CARTON_LOOKUP!$A:$E,3,0),"")</f>
      </c>
      <c r="H4941" s="28">
        <f>IFERROR(VLOOKUP(F4941,CARTON_LOOKUP!$A:$E,4,0),"")</f>
      </c>
      <c r="I4941" s="28">
        <f>IFERROR(VLOOKUP(F4941,CARTON_LOOKUP!$A:$E,5,0),"")</f>
      </c>
      <c r="J4941" s="29">
        <f>IFERROR(VLOOKUP(F4941,CARTON_LOOKUP!$A:$E,2,0),"")</f>
      </c>
      <c r="K4941" s="29">
        <f>IFERROR(J4941*D4941,0)</f>
      </c>
      <c r="L4941" s="29">
        <f>IFERROR(E4941*C4941,0)</f>
      </c>
      <c r="M4941" s="29">
        <f>IFERROR((G4941*H4941*I4941/1000000)*D4941,0)</f>
      </c>
    </row>
    <row r="4942" spans="1:13" x14ac:dyDescent="0.25">
      <c r="A4942" s="16"/>
      <c r="E4942" s="27"/>
      <c r="F4942" t="s">
        <v>26</v>
      </c>
      <c r="G4942" s="28">
        <f>IFERROR(VLOOKUP(F4942,CARTON_LOOKUP!$A:$E,3,0),"")</f>
      </c>
      <c r="H4942" s="28">
        <f>IFERROR(VLOOKUP(F4942,CARTON_LOOKUP!$A:$E,4,0),"")</f>
      </c>
      <c r="I4942" s="28">
        <f>IFERROR(VLOOKUP(F4942,CARTON_LOOKUP!$A:$E,5,0),"")</f>
      </c>
      <c r="J4942" s="29">
        <f>IFERROR(VLOOKUP(F4942,CARTON_LOOKUP!$A:$E,2,0),"")</f>
      </c>
      <c r="K4942" s="29">
        <f>IFERROR(J4942*D4942,0)</f>
      </c>
      <c r="L4942" s="29">
        <f>IFERROR(E4942*C4942,0)</f>
      </c>
      <c r="M4942" s="29">
        <f>IFERROR((G4942*H4942*I4942/1000000)*D4942,0)</f>
      </c>
    </row>
    <row r="4943" spans="1:13" x14ac:dyDescent="0.25">
      <c r="A4943" s="16"/>
      <c r="E4943" s="27"/>
      <c r="F4943" t="s">
        <v>26</v>
      </c>
      <c r="G4943" s="28">
        <f>IFERROR(VLOOKUP(F4943,CARTON_LOOKUP!$A:$E,3,0),"")</f>
      </c>
      <c r="H4943" s="28">
        <f>IFERROR(VLOOKUP(F4943,CARTON_LOOKUP!$A:$E,4,0),"")</f>
      </c>
      <c r="I4943" s="28">
        <f>IFERROR(VLOOKUP(F4943,CARTON_LOOKUP!$A:$E,5,0),"")</f>
      </c>
      <c r="J4943" s="29">
        <f>IFERROR(VLOOKUP(F4943,CARTON_LOOKUP!$A:$E,2,0),"")</f>
      </c>
      <c r="K4943" s="29">
        <f>IFERROR(J4943*D4943,0)</f>
      </c>
      <c r="L4943" s="29">
        <f>IFERROR(E4943*C4943,0)</f>
      </c>
      <c r="M4943" s="29">
        <f>IFERROR((G4943*H4943*I4943/1000000)*D4943,0)</f>
      </c>
    </row>
    <row r="4944" spans="1:13" x14ac:dyDescent="0.25">
      <c r="A4944" s="16"/>
      <c r="E4944" s="27"/>
      <c r="F4944" t="s">
        <v>26</v>
      </c>
      <c r="G4944" s="28">
        <f>IFERROR(VLOOKUP(F4944,CARTON_LOOKUP!$A:$E,3,0),"")</f>
      </c>
      <c r="H4944" s="28">
        <f>IFERROR(VLOOKUP(F4944,CARTON_LOOKUP!$A:$E,4,0),"")</f>
      </c>
      <c r="I4944" s="28">
        <f>IFERROR(VLOOKUP(F4944,CARTON_LOOKUP!$A:$E,5,0),"")</f>
      </c>
      <c r="J4944" s="29">
        <f>IFERROR(VLOOKUP(F4944,CARTON_LOOKUP!$A:$E,2,0),"")</f>
      </c>
      <c r="K4944" s="29">
        <f>IFERROR(J4944*D4944,0)</f>
      </c>
      <c r="L4944" s="29">
        <f>IFERROR(E4944*C4944,0)</f>
      </c>
      <c r="M4944" s="29">
        <f>IFERROR((G4944*H4944*I4944/1000000)*D4944,0)</f>
      </c>
    </row>
    <row r="4945" spans="1:13" x14ac:dyDescent="0.25">
      <c r="A4945" s="16"/>
      <c r="E4945" s="27"/>
      <c r="F4945" t="s">
        <v>26</v>
      </c>
      <c r="G4945" s="28">
        <f>IFERROR(VLOOKUP(F4945,CARTON_LOOKUP!$A:$E,3,0),"")</f>
      </c>
      <c r="H4945" s="28">
        <f>IFERROR(VLOOKUP(F4945,CARTON_LOOKUP!$A:$E,4,0),"")</f>
      </c>
      <c r="I4945" s="28">
        <f>IFERROR(VLOOKUP(F4945,CARTON_LOOKUP!$A:$E,5,0),"")</f>
      </c>
      <c r="J4945" s="29">
        <f>IFERROR(VLOOKUP(F4945,CARTON_LOOKUP!$A:$E,2,0),"")</f>
      </c>
      <c r="K4945" s="29">
        <f>IFERROR(J4945*D4945,0)</f>
      </c>
      <c r="L4945" s="29">
        <f>IFERROR(E4945*C4945,0)</f>
      </c>
      <c r="M4945" s="29">
        <f>IFERROR((G4945*H4945*I4945/1000000)*D4945,0)</f>
      </c>
    </row>
    <row r="4946" spans="1:13" x14ac:dyDescent="0.25">
      <c r="A4946" s="16"/>
      <c r="E4946" s="27"/>
      <c r="F4946" t="s">
        <v>26</v>
      </c>
      <c r="G4946" s="28">
        <f>IFERROR(VLOOKUP(F4946,CARTON_LOOKUP!$A:$E,3,0),"")</f>
      </c>
      <c r="H4946" s="28">
        <f>IFERROR(VLOOKUP(F4946,CARTON_LOOKUP!$A:$E,4,0),"")</f>
      </c>
      <c r="I4946" s="28">
        <f>IFERROR(VLOOKUP(F4946,CARTON_LOOKUP!$A:$E,5,0),"")</f>
      </c>
      <c r="J4946" s="29">
        <f>IFERROR(VLOOKUP(F4946,CARTON_LOOKUP!$A:$E,2,0),"")</f>
      </c>
      <c r="K4946" s="29">
        <f>IFERROR(J4946*D4946,0)</f>
      </c>
      <c r="L4946" s="29">
        <f>IFERROR(E4946*C4946,0)</f>
      </c>
      <c r="M4946" s="29">
        <f>IFERROR((G4946*H4946*I4946/1000000)*D4946,0)</f>
      </c>
    </row>
    <row r="4947" spans="1:13" x14ac:dyDescent="0.25">
      <c r="A4947" s="16"/>
      <c r="E4947" s="27"/>
      <c r="F4947" t="s">
        <v>26</v>
      </c>
      <c r="G4947" s="28">
        <f>IFERROR(VLOOKUP(F4947,CARTON_LOOKUP!$A:$E,3,0),"")</f>
      </c>
      <c r="H4947" s="28">
        <f>IFERROR(VLOOKUP(F4947,CARTON_LOOKUP!$A:$E,4,0),"")</f>
      </c>
      <c r="I4947" s="28">
        <f>IFERROR(VLOOKUP(F4947,CARTON_LOOKUP!$A:$E,5,0),"")</f>
      </c>
      <c r="J4947" s="29">
        <f>IFERROR(VLOOKUP(F4947,CARTON_LOOKUP!$A:$E,2,0),"")</f>
      </c>
      <c r="K4947" s="29">
        <f>IFERROR(J4947*D4947,0)</f>
      </c>
      <c r="L4947" s="29">
        <f>IFERROR(E4947*C4947,0)</f>
      </c>
      <c r="M4947" s="29">
        <f>IFERROR((G4947*H4947*I4947/1000000)*D4947,0)</f>
      </c>
    </row>
    <row r="4948" spans="1:13" x14ac:dyDescent="0.25">
      <c r="A4948" s="16"/>
      <c r="E4948" s="27"/>
      <c r="F4948" t="s">
        <v>26</v>
      </c>
      <c r="G4948" s="28">
        <f>IFERROR(VLOOKUP(F4948,CARTON_LOOKUP!$A:$E,3,0),"")</f>
      </c>
      <c r="H4948" s="28">
        <f>IFERROR(VLOOKUP(F4948,CARTON_LOOKUP!$A:$E,4,0),"")</f>
      </c>
      <c r="I4948" s="28">
        <f>IFERROR(VLOOKUP(F4948,CARTON_LOOKUP!$A:$E,5,0),"")</f>
      </c>
      <c r="J4948" s="29">
        <f>IFERROR(VLOOKUP(F4948,CARTON_LOOKUP!$A:$E,2,0),"")</f>
      </c>
      <c r="K4948" s="29">
        <f>IFERROR(J4948*D4948,0)</f>
      </c>
      <c r="L4948" s="29">
        <f>IFERROR(E4948*C4948,0)</f>
      </c>
      <c r="M4948" s="29">
        <f>IFERROR((G4948*H4948*I4948/1000000)*D4948,0)</f>
      </c>
    </row>
    <row r="4949" spans="1:13" x14ac:dyDescent="0.25">
      <c r="A4949" s="16"/>
      <c r="E4949" s="27"/>
      <c r="F4949" t="s">
        <v>26</v>
      </c>
      <c r="G4949" s="28">
        <f>IFERROR(VLOOKUP(F4949,CARTON_LOOKUP!$A:$E,3,0),"")</f>
      </c>
      <c r="H4949" s="28">
        <f>IFERROR(VLOOKUP(F4949,CARTON_LOOKUP!$A:$E,4,0),"")</f>
      </c>
      <c r="I4949" s="28">
        <f>IFERROR(VLOOKUP(F4949,CARTON_LOOKUP!$A:$E,5,0),"")</f>
      </c>
      <c r="J4949" s="29">
        <f>IFERROR(VLOOKUP(F4949,CARTON_LOOKUP!$A:$E,2,0),"")</f>
      </c>
      <c r="K4949" s="29">
        <f>IFERROR(J4949*D4949,0)</f>
      </c>
      <c r="L4949" s="29">
        <f>IFERROR(E4949*C4949,0)</f>
      </c>
      <c r="M4949" s="29">
        <f>IFERROR((G4949*H4949*I4949/1000000)*D4949,0)</f>
      </c>
    </row>
    <row r="4950" spans="1:13" x14ac:dyDescent="0.25">
      <c r="A4950" s="16"/>
      <c r="E4950" s="27"/>
      <c r="F4950" t="s">
        <v>26</v>
      </c>
      <c r="G4950" s="28">
        <f>IFERROR(VLOOKUP(F4950,CARTON_LOOKUP!$A:$E,3,0),"")</f>
      </c>
      <c r="H4950" s="28">
        <f>IFERROR(VLOOKUP(F4950,CARTON_LOOKUP!$A:$E,4,0),"")</f>
      </c>
      <c r="I4950" s="28">
        <f>IFERROR(VLOOKUP(F4950,CARTON_LOOKUP!$A:$E,5,0),"")</f>
      </c>
      <c r="J4950" s="29">
        <f>IFERROR(VLOOKUP(F4950,CARTON_LOOKUP!$A:$E,2,0),"")</f>
      </c>
      <c r="K4950" s="29">
        <f>IFERROR(J4950*D4950,0)</f>
      </c>
      <c r="L4950" s="29">
        <f>IFERROR(E4950*C4950,0)</f>
      </c>
      <c r="M4950" s="29">
        <f>IFERROR((G4950*H4950*I4950/1000000)*D4950,0)</f>
      </c>
    </row>
    <row r="4951" spans="1:13" x14ac:dyDescent="0.25">
      <c r="A4951" s="16"/>
      <c r="E4951" s="27"/>
      <c r="F4951" t="s">
        <v>26</v>
      </c>
      <c r="G4951" s="28">
        <f>IFERROR(VLOOKUP(F4951,CARTON_LOOKUP!$A:$E,3,0),"")</f>
      </c>
      <c r="H4951" s="28">
        <f>IFERROR(VLOOKUP(F4951,CARTON_LOOKUP!$A:$E,4,0),"")</f>
      </c>
      <c r="I4951" s="28">
        <f>IFERROR(VLOOKUP(F4951,CARTON_LOOKUP!$A:$E,5,0),"")</f>
      </c>
      <c r="J4951" s="29">
        <f>IFERROR(VLOOKUP(F4951,CARTON_LOOKUP!$A:$E,2,0),"")</f>
      </c>
      <c r="K4951" s="29">
        <f>IFERROR(J4951*D4951,0)</f>
      </c>
      <c r="L4951" s="29">
        <f>IFERROR(E4951*C4951,0)</f>
      </c>
      <c r="M4951" s="29">
        <f>IFERROR((G4951*H4951*I4951/1000000)*D4951,0)</f>
      </c>
    </row>
    <row r="4952" spans="1:13" x14ac:dyDescent="0.25">
      <c r="A4952" s="16"/>
      <c r="E4952" s="27"/>
      <c r="F4952" t="s">
        <v>26</v>
      </c>
      <c r="G4952" s="28">
        <f>IFERROR(VLOOKUP(F4952,CARTON_LOOKUP!$A:$E,3,0),"")</f>
      </c>
      <c r="H4952" s="28">
        <f>IFERROR(VLOOKUP(F4952,CARTON_LOOKUP!$A:$E,4,0),"")</f>
      </c>
      <c r="I4952" s="28">
        <f>IFERROR(VLOOKUP(F4952,CARTON_LOOKUP!$A:$E,5,0),"")</f>
      </c>
      <c r="J4952" s="29">
        <f>IFERROR(VLOOKUP(F4952,CARTON_LOOKUP!$A:$E,2,0),"")</f>
      </c>
      <c r="K4952" s="29">
        <f>IFERROR(J4952*D4952,0)</f>
      </c>
      <c r="L4952" s="29">
        <f>IFERROR(E4952*C4952,0)</f>
      </c>
      <c r="M4952" s="29">
        <f>IFERROR((G4952*H4952*I4952/1000000)*D4952,0)</f>
      </c>
    </row>
    <row r="4953" spans="1:13" x14ac:dyDescent="0.25">
      <c r="A4953" s="16"/>
      <c r="E4953" s="27"/>
      <c r="F4953" t="s">
        <v>26</v>
      </c>
      <c r="G4953" s="28">
        <f>IFERROR(VLOOKUP(F4953,CARTON_LOOKUP!$A:$E,3,0),"")</f>
      </c>
      <c r="H4953" s="28">
        <f>IFERROR(VLOOKUP(F4953,CARTON_LOOKUP!$A:$E,4,0),"")</f>
      </c>
      <c r="I4953" s="28">
        <f>IFERROR(VLOOKUP(F4953,CARTON_LOOKUP!$A:$E,5,0),"")</f>
      </c>
      <c r="J4953" s="29">
        <f>IFERROR(VLOOKUP(F4953,CARTON_LOOKUP!$A:$E,2,0),"")</f>
      </c>
      <c r="K4953" s="29">
        <f>IFERROR(J4953*D4953,0)</f>
      </c>
      <c r="L4953" s="29">
        <f>IFERROR(E4953*C4953,0)</f>
      </c>
      <c r="M4953" s="29">
        <f>IFERROR((G4953*H4953*I4953/1000000)*D4953,0)</f>
      </c>
    </row>
    <row r="4954" spans="1:13" x14ac:dyDescent="0.25">
      <c r="A4954" s="16"/>
      <c r="E4954" s="27"/>
      <c r="F4954" t="s">
        <v>26</v>
      </c>
      <c r="G4954" s="28">
        <f>IFERROR(VLOOKUP(F4954,CARTON_LOOKUP!$A:$E,3,0),"")</f>
      </c>
      <c r="H4954" s="28">
        <f>IFERROR(VLOOKUP(F4954,CARTON_LOOKUP!$A:$E,4,0),"")</f>
      </c>
      <c r="I4954" s="28">
        <f>IFERROR(VLOOKUP(F4954,CARTON_LOOKUP!$A:$E,5,0),"")</f>
      </c>
      <c r="J4954" s="29">
        <f>IFERROR(VLOOKUP(F4954,CARTON_LOOKUP!$A:$E,2,0),"")</f>
      </c>
      <c r="K4954" s="29">
        <f>IFERROR(J4954*D4954,0)</f>
      </c>
      <c r="L4954" s="29">
        <f>IFERROR(E4954*C4954,0)</f>
      </c>
      <c r="M4954" s="29">
        <f>IFERROR((G4954*H4954*I4954/1000000)*D4954,0)</f>
      </c>
    </row>
    <row r="4955" spans="1:13" x14ac:dyDescent="0.25">
      <c r="A4955" s="16"/>
      <c r="E4955" s="27"/>
      <c r="F4955" t="s">
        <v>26</v>
      </c>
      <c r="G4955" s="28">
        <f>IFERROR(VLOOKUP(F4955,CARTON_LOOKUP!$A:$E,3,0),"")</f>
      </c>
      <c r="H4955" s="28">
        <f>IFERROR(VLOOKUP(F4955,CARTON_LOOKUP!$A:$E,4,0),"")</f>
      </c>
      <c r="I4955" s="28">
        <f>IFERROR(VLOOKUP(F4955,CARTON_LOOKUP!$A:$E,5,0),"")</f>
      </c>
      <c r="J4955" s="29">
        <f>IFERROR(VLOOKUP(F4955,CARTON_LOOKUP!$A:$E,2,0),"")</f>
      </c>
      <c r="K4955" s="29">
        <f>IFERROR(J4955*D4955,0)</f>
      </c>
      <c r="L4955" s="29">
        <f>IFERROR(E4955*C4955,0)</f>
      </c>
      <c r="M4955" s="29">
        <f>IFERROR((G4955*H4955*I4955/1000000)*D4955,0)</f>
      </c>
    </row>
    <row r="4956" spans="1:13" x14ac:dyDescent="0.25">
      <c r="A4956" s="16"/>
      <c r="E4956" s="27"/>
      <c r="F4956" t="s">
        <v>26</v>
      </c>
      <c r="G4956" s="28">
        <f>IFERROR(VLOOKUP(F4956,CARTON_LOOKUP!$A:$E,3,0),"")</f>
      </c>
      <c r="H4956" s="28">
        <f>IFERROR(VLOOKUP(F4956,CARTON_LOOKUP!$A:$E,4,0),"")</f>
      </c>
      <c r="I4956" s="28">
        <f>IFERROR(VLOOKUP(F4956,CARTON_LOOKUP!$A:$E,5,0),"")</f>
      </c>
      <c r="J4956" s="29">
        <f>IFERROR(VLOOKUP(F4956,CARTON_LOOKUP!$A:$E,2,0),"")</f>
      </c>
      <c r="K4956" s="29">
        <f>IFERROR(J4956*D4956,0)</f>
      </c>
      <c r="L4956" s="29">
        <f>IFERROR(E4956*C4956,0)</f>
      </c>
      <c r="M4956" s="29">
        <f>IFERROR((G4956*H4956*I4956/1000000)*D4956,0)</f>
      </c>
    </row>
    <row r="4957" spans="1:13" x14ac:dyDescent="0.25">
      <c r="A4957" s="16"/>
      <c r="E4957" s="27"/>
      <c r="F4957" t="s">
        <v>26</v>
      </c>
      <c r="G4957" s="28">
        <f>IFERROR(VLOOKUP(F4957,CARTON_LOOKUP!$A:$E,3,0),"")</f>
      </c>
      <c r="H4957" s="28">
        <f>IFERROR(VLOOKUP(F4957,CARTON_LOOKUP!$A:$E,4,0),"")</f>
      </c>
      <c r="I4957" s="28">
        <f>IFERROR(VLOOKUP(F4957,CARTON_LOOKUP!$A:$E,5,0),"")</f>
      </c>
      <c r="J4957" s="29">
        <f>IFERROR(VLOOKUP(F4957,CARTON_LOOKUP!$A:$E,2,0),"")</f>
      </c>
      <c r="K4957" s="29">
        <f>IFERROR(J4957*D4957,0)</f>
      </c>
      <c r="L4957" s="29">
        <f>IFERROR(E4957*C4957,0)</f>
      </c>
      <c r="M4957" s="29">
        <f>IFERROR((G4957*H4957*I4957/1000000)*D4957,0)</f>
      </c>
    </row>
    <row r="4958" spans="1:13" x14ac:dyDescent="0.25">
      <c r="A4958" s="16"/>
      <c r="E4958" s="27"/>
      <c r="F4958" t="s">
        <v>26</v>
      </c>
      <c r="G4958" s="28">
        <f>IFERROR(VLOOKUP(F4958,CARTON_LOOKUP!$A:$E,3,0),"")</f>
      </c>
      <c r="H4958" s="28">
        <f>IFERROR(VLOOKUP(F4958,CARTON_LOOKUP!$A:$E,4,0),"")</f>
      </c>
      <c r="I4958" s="28">
        <f>IFERROR(VLOOKUP(F4958,CARTON_LOOKUP!$A:$E,5,0),"")</f>
      </c>
      <c r="J4958" s="29">
        <f>IFERROR(VLOOKUP(F4958,CARTON_LOOKUP!$A:$E,2,0),"")</f>
      </c>
      <c r="K4958" s="29">
        <f>IFERROR(J4958*D4958,0)</f>
      </c>
      <c r="L4958" s="29">
        <f>IFERROR(E4958*C4958,0)</f>
      </c>
      <c r="M4958" s="29">
        <f>IFERROR((G4958*H4958*I4958/1000000)*D4958,0)</f>
      </c>
    </row>
    <row r="4959" spans="1:13" x14ac:dyDescent="0.25">
      <c r="A4959" s="16"/>
      <c r="E4959" s="27"/>
      <c r="F4959" t="s">
        <v>26</v>
      </c>
      <c r="G4959" s="28">
        <f>IFERROR(VLOOKUP(F4959,CARTON_LOOKUP!$A:$E,3,0),"")</f>
      </c>
      <c r="H4959" s="28">
        <f>IFERROR(VLOOKUP(F4959,CARTON_LOOKUP!$A:$E,4,0),"")</f>
      </c>
      <c r="I4959" s="28">
        <f>IFERROR(VLOOKUP(F4959,CARTON_LOOKUP!$A:$E,5,0),"")</f>
      </c>
      <c r="J4959" s="29">
        <f>IFERROR(VLOOKUP(F4959,CARTON_LOOKUP!$A:$E,2,0),"")</f>
      </c>
      <c r="K4959" s="29">
        <f>IFERROR(J4959*D4959,0)</f>
      </c>
      <c r="L4959" s="29">
        <f>IFERROR(E4959*C4959,0)</f>
      </c>
      <c r="M4959" s="29">
        <f>IFERROR((G4959*H4959*I4959/1000000)*D4959,0)</f>
      </c>
    </row>
    <row r="4960" spans="1:13" x14ac:dyDescent="0.25">
      <c r="A4960" s="16"/>
      <c r="E4960" s="27"/>
      <c r="F4960" t="s">
        <v>26</v>
      </c>
      <c r="G4960" s="28">
        <f>IFERROR(VLOOKUP(F4960,CARTON_LOOKUP!$A:$E,3,0),"")</f>
      </c>
      <c r="H4960" s="28">
        <f>IFERROR(VLOOKUP(F4960,CARTON_LOOKUP!$A:$E,4,0),"")</f>
      </c>
      <c r="I4960" s="28">
        <f>IFERROR(VLOOKUP(F4960,CARTON_LOOKUP!$A:$E,5,0),"")</f>
      </c>
      <c r="J4960" s="29">
        <f>IFERROR(VLOOKUP(F4960,CARTON_LOOKUP!$A:$E,2,0),"")</f>
      </c>
      <c r="K4960" s="29">
        <f>IFERROR(J4960*D4960,0)</f>
      </c>
      <c r="L4960" s="29">
        <f>IFERROR(E4960*C4960,0)</f>
      </c>
      <c r="M4960" s="29">
        <f>IFERROR((G4960*H4960*I4960/1000000)*D4960,0)</f>
      </c>
    </row>
    <row r="4961" spans="1:13" x14ac:dyDescent="0.25">
      <c r="A4961" s="16"/>
      <c r="E4961" s="27"/>
      <c r="F4961" t="s">
        <v>26</v>
      </c>
      <c r="G4961" s="28">
        <f>IFERROR(VLOOKUP(F4961,CARTON_LOOKUP!$A:$E,3,0),"")</f>
      </c>
      <c r="H4961" s="28">
        <f>IFERROR(VLOOKUP(F4961,CARTON_LOOKUP!$A:$E,4,0),"")</f>
      </c>
      <c r="I4961" s="28">
        <f>IFERROR(VLOOKUP(F4961,CARTON_LOOKUP!$A:$E,5,0),"")</f>
      </c>
      <c r="J4961" s="29">
        <f>IFERROR(VLOOKUP(F4961,CARTON_LOOKUP!$A:$E,2,0),"")</f>
      </c>
      <c r="K4961" s="29">
        <f>IFERROR(J4961*D4961,0)</f>
      </c>
      <c r="L4961" s="29">
        <f>IFERROR(E4961*C4961,0)</f>
      </c>
      <c r="M4961" s="29">
        <f>IFERROR((G4961*H4961*I4961/1000000)*D4961,0)</f>
      </c>
    </row>
    <row r="4962" spans="1:13" x14ac:dyDescent="0.25">
      <c r="A4962" s="16"/>
      <c r="E4962" s="27"/>
      <c r="F4962" t="s">
        <v>26</v>
      </c>
      <c r="G4962" s="28">
        <f>IFERROR(VLOOKUP(F4962,CARTON_LOOKUP!$A:$E,3,0),"")</f>
      </c>
      <c r="H4962" s="28">
        <f>IFERROR(VLOOKUP(F4962,CARTON_LOOKUP!$A:$E,4,0),"")</f>
      </c>
      <c r="I4962" s="28">
        <f>IFERROR(VLOOKUP(F4962,CARTON_LOOKUP!$A:$E,5,0),"")</f>
      </c>
      <c r="J4962" s="29">
        <f>IFERROR(VLOOKUP(F4962,CARTON_LOOKUP!$A:$E,2,0),"")</f>
      </c>
      <c r="K4962" s="29">
        <f>IFERROR(J4962*D4962,0)</f>
      </c>
      <c r="L4962" s="29">
        <f>IFERROR(E4962*C4962,0)</f>
      </c>
      <c r="M4962" s="29">
        <f>IFERROR((G4962*H4962*I4962/1000000)*D4962,0)</f>
      </c>
    </row>
    <row r="4963" spans="1:13" x14ac:dyDescent="0.25">
      <c r="A4963" s="16"/>
      <c r="E4963" s="27"/>
      <c r="F4963" t="s">
        <v>26</v>
      </c>
      <c r="G4963" s="28">
        <f>IFERROR(VLOOKUP(F4963,CARTON_LOOKUP!$A:$E,3,0),"")</f>
      </c>
      <c r="H4963" s="28">
        <f>IFERROR(VLOOKUP(F4963,CARTON_LOOKUP!$A:$E,4,0),"")</f>
      </c>
      <c r="I4963" s="28">
        <f>IFERROR(VLOOKUP(F4963,CARTON_LOOKUP!$A:$E,5,0),"")</f>
      </c>
      <c r="J4963" s="29">
        <f>IFERROR(VLOOKUP(F4963,CARTON_LOOKUP!$A:$E,2,0),"")</f>
      </c>
      <c r="K4963" s="29">
        <f>IFERROR(J4963*D4963,0)</f>
      </c>
      <c r="L4963" s="29">
        <f>IFERROR(E4963*C4963,0)</f>
      </c>
      <c r="M4963" s="29">
        <f>IFERROR((G4963*H4963*I4963/1000000)*D4963,0)</f>
      </c>
    </row>
    <row r="4964" spans="1:13" x14ac:dyDescent="0.25">
      <c r="A4964" s="16"/>
      <c r="E4964" s="27"/>
      <c r="F4964" t="s">
        <v>26</v>
      </c>
      <c r="G4964" s="28">
        <f>IFERROR(VLOOKUP(F4964,CARTON_LOOKUP!$A:$E,3,0),"")</f>
      </c>
      <c r="H4964" s="28">
        <f>IFERROR(VLOOKUP(F4964,CARTON_LOOKUP!$A:$E,4,0),"")</f>
      </c>
      <c r="I4964" s="28">
        <f>IFERROR(VLOOKUP(F4964,CARTON_LOOKUP!$A:$E,5,0),"")</f>
      </c>
      <c r="J4964" s="29">
        <f>IFERROR(VLOOKUP(F4964,CARTON_LOOKUP!$A:$E,2,0),"")</f>
      </c>
      <c r="K4964" s="29">
        <f>IFERROR(J4964*D4964,0)</f>
      </c>
      <c r="L4964" s="29">
        <f>IFERROR(E4964*C4964,0)</f>
      </c>
      <c r="M4964" s="29">
        <f>IFERROR((G4964*H4964*I4964/1000000)*D4964,0)</f>
      </c>
    </row>
    <row r="4965" spans="1:13" x14ac:dyDescent="0.25">
      <c r="A4965" s="16"/>
      <c r="E4965" s="27"/>
      <c r="F4965" t="s">
        <v>26</v>
      </c>
      <c r="G4965" s="28">
        <f>IFERROR(VLOOKUP(F4965,CARTON_LOOKUP!$A:$E,3,0),"")</f>
      </c>
      <c r="H4965" s="28">
        <f>IFERROR(VLOOKUP(F4965,CARTON_LOOKUP!$A:$E,4,0),"")</f>
      </c>
      <c r="I4965" s="28">
        <f>IFERROR(VLOOKUP(F4965,CARTON_LOOKUP!$A:$E,5,0),"")</f>
      </c>
      <c r="J4965" s="29">
        <f>IFERROR(VLOOKUP(F4965,CARTON_LOOKUP!$A:$E,2,0),"")</f>
      </c>
      <c r="K4965" s="29">
        <f>IFERROR(J4965*D4965,0)</f>
      </c>
      <c r="L4965" s="29">
        <f>IFERROR(E4965*C4965,0)</f>
      </c>
      <c r="M4965" s="29">
        <f>IFERROR((G4965*H4965*I4965/1000000)*D4965,0)</f>
      </c>
    </row>
    <row r="4966" spans="1:13" x14ac:dyDescent="0.25">
      <c r="A4966" s="16"/>
      <c r="E4966" s="27"/>
      <c r="F4966" t="s">
        <v>26</v>
      </c>
      <c r="G4966" s="28">
        <f>IFERROR(VLOOKUP(F4966,CARTON_LOOKUP!$A:$E,3,0),"")</f>
      </c>
      <c r="H4966" s="28">
        <f>IFERROR(VLOOKUP(F4966,CARTON_LOOKUP!$A:$E,4,0),"")</f>
      </c>
      <c r="I4966" s="28">
        <f>IFERROR(VLOOKUP(F4966,CARTON_LOOKUP!$A:$E,5,0),"")</f>
      </c>
      <c r="J4966" s="29">
        <f>IFERROR(VLOOKUP(F4966,CARTON_LOOKUP!$A:$E,2,0),"")</f>
      </c>
      <c r="K4966" s="29">
        <f>IFERROR(J4966*D4966,0)</f>
      </c>
      <c r="L4966" s="29">
        <f>IFERROR(E4966*C4966,0)</f>
      </c>
      <c r="M4966" s="29">
        <f>IFERROR((G4966*H4966*I4966/1000000)*D4966,0)</f>
      </c>
    </row>
    <row r="4967" spans="1:13" x14ac:dyDescent="0.25">
      <c r="A4967" s="16"/>
      <c r="E4967" s="27"/>
      <c r="F4967" t="s">
        <v>26</v>
      </c>
      <c r="G4967" s="28">
        <f>IFERROR(VLOOKUP(F4967,CARTON_LOOKUP!$A:$E,3,0),"")</f>
      </c>
      <c r="H4967" s="28">
        <f>IFERROR(VLOOKUP(F4967,CARTON_LOOKUP!$A:$E,4,0),"")</f>
      </c>
      <c r="I4967" s="28">
        <f>IFERROR(VLOOKUP(F4967,CARTON_LOOKUP!$A:$E,5,0),"")</f>
      </c>
      <c r="J4967" s="29">
        <f>IFERROR(VLOOKUP(F4967,CARTON_LOOKUP!$A:$E,2,0),"")</f>
      </c>
      <c r="K4967" s="29">
        <f>IFERROR(J4967*D4967,0)</f>
      </c>
      <c r="L4967" s="29">
        <f>IFERROR(E4967*C4967,0)</f>
      </c>
      <c r="M4967" s="29">
        <f>IFERROR((G4967*H4967*I4967/1000000)*D4967,0)</f>
      </c>
    </row>
    <row r="4968" spans="1:13" x14ac:dyDescent="0.25">
      <c r="A4968" s="16"/>
      <c r="E4968" s="27"/>
      <c r="F4968" t="s">
        <v>26</v>
      </c>
      <c r="G4968" s="28">
        <f>IFERROR(VLOOKUP(F4968,CARTON_LOOKUP!$A:$E,3,0),"")</f>
      </c>
      <c r="H4968" s="28">
        <f>IFERROR(VLOOKUP(F4968,CARTON_LOOKUP!$A:$E,4,0),"")</f>
      </c>
      <c r="I4968" s="28">
        <f>IFERROR(VLOOKUP(F4968,CARTON_LOOKUP!$A:$E,5,0),"")</f>
      </c>
      <c r="J4968" s="29">
        <f>IFERROR(VLOOKUP(F4968,CARTON_LOOKUP!$A:$E,2,0),"")</f>
      </c>
      <c r="K4968" s="29">
        <f>IFERROR(J4968*D4968,0)</f>
      </c>
      <c r="L4968" s="29">
        <f>IFERROR(E4968*C4968,0)</f>
      </c>
      <c r="M4968" s="29">
        <f>IFERROR((G4968*H4968*I4968/1000000)*D4968,0)</f>
      </c>
    </row>
    <row r="4969" spans="1:13" x14ac:dyDescent="0.25">
      <c r="A4969" s="16"/>
      <c r="E4969" s="27"/>
      <c r="F4969" t="s">
        <v>26</v>
      </c>
      <c r="G4969" s="28">
        <f>IFERROR(VLOOKUP(F4969,CARTON_LOOKUP!$A:$E,3,0),"")</f>
      </c>
      <c r="H4969" s="28">
        <f>IFERROR(VLOOKUP(F4969,CARTON_LOOKUP!$A:$E,4,0),"")</f>
      </c>
      <c r="I4969" s="28">
        <f>IFERROR(VLOOKUP(F4969,CARTON_LOOKUP!$A:$E,5,0),"")</f>
      </c>
      <c r="J4969" s="29">
        <f>IFERROR(VLOOKUP(F4969,CARTON_LOOKUP!$A:$E,2,0),"")</f>
      </c>
      <c r="K4969" s="29">
        <f>IFERROR(J4969*D4969,0)</f>
      </c>
      <c r="L4969" s="29">
        <f>IFERROR(E4969*C4969,0)</f>
      </c>
      <c r="M4969" s="29">
        <f>IFERROR((G4969*H4969*I4969/1000000)*D4969,0)</f>
      </c>
    </row>
    <row r="4970" spans="1:13" x14ac:dyDescent="0.25">
      <c r="A4970" s="16"/>
      <c r="E4970" s="27"/>
      <c r="F4970" t="s">
        <v>26</v>
      </c>
      <c r="G4970" s="28">
        <f>IFERROR(VLOOKUP(F4970,CARTON_LOOKUP!$A:$E,3,0),"")</f>
      </c>
      <c r="H4970" s="28">
        <f>IFERROR(VLOOKUP(F4970,CARTON_LOOKUP!$A:$E,4,0),"")</f>
      </c>
      <c r="I4970" s="28">
        <f>IFERROR(VLOOKUP(F4970,CARTON_LOOKUP!$A:$E,5,0),"")</f>
      </c>
      <c r="J4970" s="29">
        <f>IFERROR(VLOOKUP(F4970,CARTON_LOOKUP!$A:$E,2,0),"")</f>
      </c>
      <c r="K4970" s="29">
        <f>IFERROR(J4970*D4970,0)</f>
      </c>
      <c r="L4970" s="29">
        <f>IFERROR(E4970*C4970,0)</f>
      </c>
      <c r="M4970" s="29">
        <f>IFERROR((G4970*H4970*I4970/1000000)*D4970,0)</f>
      </c>
    </row>
    <row r="4971" spans="1:13" x14ac:dyDescent="0.25">
      <c r="A4971" s="16"/>
      <c r="E4971" s="27"/>
      <c r="F4971" t="s">
        <v>26</v>
      </c>
      <c r="G4971" s="28">
        <f>IFERROR(VLOOKUP(F4971,CARTON_LOOKUP!$A:$E,3,0),"")</f>
      </c>
      <c r="H4971" s="28">
        <f>IFERROR(VLOOKUP(F4971,CARTON_LOOKUP!$A:$E,4,0),"")</f>
      </c>
      <c r="I4971" s="28">
        <f>IFERROR(VLOOKUP(F4971,CARTON_LOOKUP!$A:$E,5,0),"")</f>
      </c>
      <c r="J4971" s="29">
        <f>IFERROR(VLOOKUP(F4971,CARTON_LOOKUP!$A:$E,2,0),"")</f>
      </c>
      <c r="K4971" s="29">
        <f>IFERROR(J4971*D4971,0)</f>
      </c>
      <c r="L4971" s="29">
        <f>IFERROR(E4971*C4971,0)</f>
      </c>
      <c r="M4971" s="29">
        <f>IFERROR((G4971*H4971*I4971/1000000)*D4971,0)</f>
      </c>
    </row>
    <row r="4972" spans="1:13" x14ac:dyDescent="0.25">
      <c r="A4972" s="16"/>
      <c r="E4972" s="27"/>
      <c r="F4972" t="s">
        <v>26</v>
      </c>
      <c r="G4972" s="28">
        <f>IFERROR(VLOOKUP(F4972,CARTON_LOOKUP!$A:$E,3,0),"")</f>
      </c>
      <c r="H4972" s="28">
        <f>IFERROR(VLOOKUP(F4972,CARTON_LOOKUP!$A:$E,4,0),"")</f>
      </c>
      <c r="I4972" s="28">
        <f>IFERROR(VLOOKUP(F4972,CARTON_LOOKUP!$A:$E,5,0),"")</f>
      </c>
      <c r="J4972" s="29">
        <f>IFERROR(VLOOKUP(F4972,CARTON_LOOKUP!$A:$E,2,0),"")</f>
      </c>
      <c r="K4972" s="29">
        <f>IFERROR(J4972*D4972,0)</f>
      </c>
      <c r="L4972" s="29">
        <f>IFERROR(E4972*C4972,0)</f>
      </c>
      <c r="M4972" s="29">
        <f>IFERROR((G4972*H4972*I4972/1000000)*D4972,0)</f>
      </c>
    </row>
    <row r="4973" spans="1:13" x14ac:dyDescent="0.25">
      <c r="A4973" s="16"/>
      <c r="E4973" s="27"/>
      <c r="F4973" t="s">
        <v>26</v>
      </c>
      <c r="G4973" s="28">
        <f>IFERROR(VLOOKUP(F4973,CARTON_LOOKUP!$A:$E,3,0),"")</f>
      </c>
      <c r="H4973" s="28">
        <f>IFERROR(VLOOKUP(F4973,CARTON_LOOKUP!$A:$E,4,0),"")</f>
      </c>
      <c r="I4973" s="28">
        <f>IFERROR(VLOOKUP(F4973,CARTON_LOOKUP!$A:$E,5,0),"")</f>
      </c>
      <c r="J4973" s="29">
        <f>IFERROR(VLOOKUP(F4973,CARTON_LOOKUP!$A:$E,2,0),"")</f>
      </c>
      <c r="K4973" s="29">
        <f>IFERROR(J4973*D4973,0)</f>
      </c>
      <c r="L4973" s="29">
        <f>IFERROR(E4973*C4973,0)</f>
      </c>
      <c r="M4973" s="29">
        <f>IFERROR((G4973*H4973*I4973/1000000)*D4973,0)</f>
      </c>
    </row>
    <row r="4974" spans="1:13" x14ac:dyDescent="0.25">
      <c r="A4974" s="16"/>
      <c r="E4974" s="27"/>
      <c r="F4974" t="s">
        <v>26</v>
      </c>
      <c r="G4974" s="28">
        <f>IFERROR(VLOOKUP(F4974,CARTON_LOOKUP!$A:$E,3,0),"")</f>
      </c>
      <c r="H4974" s="28">
        <f>IFERROR(VLOOKUP(F4974,CARTON_LOOKUP!$A:$E,4,0),"")</f>
      </c>
      <c r="I4974" s="28">
        <f>IFERROR(VLOOKUP(F4974,CARTON_LOOKUP!$A:$E,5,0),"")</f>
      </c>
      <c r="J4974" s="29">
        <f>IFERROR(VLOOKUP(F4974,CARTON_LOOKUP!$A:$E,2,0),"")</f>
      </c>
      <c r="K4974" s="29">
        <f>IFERROR(J4974*D4974,0)</f>
      </c>
      <c r="L4974" s="29">
        <f>IFERROR(E4974*C4974,0)</f>
      </c>
      <c r="M4974" s="29">
        <f>IFERROR((G4974*H4974*I4974/1000000)*D4974,0)</f>
      </c>
    </row>
    <row r="4975" spans="1:13" x14ac:dyDescent="0.25">
      <c r="A4975" s="16"/>
      <c r="E4975" s="27"/>
      <c r="F4975" t="s">
        <v>26</v>
      </c>
      <c r="G4975" s="28">
        <f>IFERROR(VLOOKUP(F4975,CARTON_LOOKUP!$A:$E,3,0),"")</f>
      </c>
      <c r="H4975" s="28">
        <f>IFERROR(VLOOKUP(F4975,CARTON_LOOKUP!$A:$E,4,0),"")</f>
      </c>
      <c r="I4975" s="28">
        <f>IFERROR(VLOOKUP(F4975,CARTON_LOOKUP!$A:$E,5,0),"")</f>
      </c>
      <c r="J4975" s="29">
        <f>IFERROR(VLOOKUP(F4975,CARTON_LOOKUP!$A:$E,2,0),"")</f>
      </c>
      <c r="K4975" s="29">
        <f>IFERROR(J4975*D4975,0)</f>
      </c>
      <c r="L4975" s="29">
        <f>IFERROR(E4975*C4975,0)</f>
      </c>
      <c r="M4975" s="29">
        <f>IFERROR((G4975*H4975*I4975/1000000)*D4975,0)</f>
      </c>
    </row>
    <row r="4976" spans="1:13" x14ac:dyDescent="0.25">
      <c r="A4976" s="16"/>
      <c r="E4976" s="27"/>
      <c r="F4976" t="s">
        <v>26</v>
      </c>
      <c r="G4976" s="28">
        <f>IFERROR(VLOOKUP(F4976,CARTON_LOOKUP!$A:$E,3,0),"")</f>
      </c>
      <c r="H4976" s="28">
        <f>IFERROR(VLOOKUP(F4976,CARTON_LOOKUP!$A:$E,4,0),"")</f>
      </c>
      <c r="I4976" s="28">
        <f>IFERROR(VLOOKUP(F4976,CARTON_LOOKUP!$A:$E,5,0),"")</f>
      </c>
      <c r="J4976" s="29">
        <f>IFERROR(VLOOKUP(F4976,CARTON_LOOKUP!$A:$E,2,0),"")</f>
      </c>
      <c r="K4976" s="29">
        <f>IFERROR(J4976*D4976,0)</f>
      </c>
      <c r="L4976" s="29">
        <f>IFERROR(E4976*C4976,0)</f>
      </c>
      <c r="M4976" s="29">
        <f>IFERROR((G4976*H4976*I4976/1000000)*D4976,0)</f>
      </c>
    </row>
    <row r="4977" spans="1:13" x14ac:dyDescent="0.25">
      <c r="A4977" s="16"/>
      <c r="E4977" s="27"/>
      <c r="F4977" t="s">
        <v>26</v>
      </c>
      <c r="G4977" s="28">
        <f>IFERROR(VLOOKUP(F4977,CARTON_LOOKUP!$A:$E,3,0),"")</f>
      </c>
      <c r="H4977" s="28">
        <f>IFERROR(VLOOKUP(F4977,CARTON_LOOKUP!$A:$E,4,0),"")</f>
      </c>
      <c r="I4977" s="28">
        <f>IFERROR(VLOOKUP(F4977,CARTON_LOOKUP!$A:$E,5,0),"")</f>
      </c>
      <c r="J4977" s="29">
        <f>IFERROR(VLOOKUP(F4977,CARTON_LOOKUP!$A:$E,2,0),"")</f>
      </c>
      <c r="K4977" s="29">
        <f>IFERROR(J4977*D4977,0)</f>
      </c>
      <c r="L4977" s="29">
        <f>IFERROR(E4977*C4977,0)</f>
      </c>
      <c r="M4977" s="29">
        <f>IFERROR((G4977*H4977*I4977/1000000)*D4977,0)</f>
      </c>
    </row>
    <row r="4978" spans="1:13" x14ac:dyDescent="0.25">
      <c r="A4978" s="16"/>
      <c r="E4978" s="27"/>
      <c r="F4978" t="s">
        <v>26</v>
      </c>
      <c r="G4978" s="28">
        <f>IFERROR(VLOOKUP(F4978,CARTON_LOOKUP!$A:$E,3,0),"")</f>
      </c>
      <c r="H4978" s="28">
        <f>IFERROR(VLOOKUP(F4978,CARTON_LOOKUP!$A:$E,4,0),"")</f>
      </c>
      <c r="I4978" s="28">
        <f>IFERROR(VLOOKUP(F4978,CARTON_LOOKUP!$A:$E,5,0),"")</f>
      </c>
      <c r="J4978" s="29">
        <f>IFERROR(VLOOKUP(F4978,CARTON_LOOKUP!$A:$E,2,0),"")</f>
      </c>
      <c r="K4978" s="29">
        <f>IFERROR(J4978*D4978,0)</f>
      </c>
      <c r="L4978" s="29">
        <f>IFERROR(E4978*C4978,0)</f>
      </c>
      <c r="M4978" s="29">
        <f>IFERROR((G4978*H4978*I4978/1000000)*D4978,0)</f>
      </c>
    </row>
    <row r="4979" spans="1:13" x14ac:dyDescent="0.25">
      <c r="A4979" s="16"/>
      <c r="E4979" s="27"/>
      <c r="F4979" t="s">
        <v>26</v>
      </c>
      <c r="G4979" s="28">
        <f>IFERROR(VLOOKUP(F4979,CARTON_LOOKUP!$A:$E,3,0),"")</f>
      </c>
      <c r="H4979" s="28">
        <f>IFERROR(VLOOKUP(F4979,CARTON_LOOKUP!$A:$E,4,0),"")</f>
      </c>
      <c r="I4979" s="28">
        <f>IFERROR(VLOOKUP(F4979,CARTON_LOOKUP!$A:$E,5,0),"")</f>
      </c>
      <c r="J4979" s="29">
        <f>IFERROR(VLOOKUP(F4979,CARTON_LOOKUP!$A:$E,2,0),"")</f>
      </c>
      <c r="K4979" s="29">
        <f>IFERROR(J4979*D4979,0)</f>
      </c>
      <c r="L4979" s="29">
        <f>IFERROR(E4979*C4979,0)</f>
      </c>
      <c r="M4979" s="29">
        <f>IFERROR((G4979*H4979*I4979/1000000)*D4979,0)</f>
      </c>
    </row>
    <row r="4980" spans="1:13" x14ac:dyDescent="0.25">
      <c r="A4980" s="16"/>
      <c r="E4980" s="27"/>
      <c r="F4980" t="s">
        <v>26</v>
      </c>
      <c r="G4980" s="28">
        <f>IFERROR(VLOOKUP(F4980,CARTON_LOOKUP!$A:$E,3,0),"")</f>
      </c>
      <c r="H4980" s="28">
        <f>IFERROR(VLOOKUP(F4980,CARTON_LOOKUP!$A:$E,4,0),"")</f>
      </c>
      <c r="I4980" s="28">
        <f>IFERROR(VLOOKUP(F4980,CARTON_LOOKUP!$A:$E,5,0),"")</f>
      </c>
      <c r="J4980" s="29">
        <f>IFERROR(VLOOKUP(F4980,CARTON_LOOKUP!$A:$E,2,0),"")</f>
      </c>
      <c r="K4980" s="29">
        <f>IFERROR(J4980*D4980,0)</f>
      </c>
      <c r="L4980" s="29">
        <f>IFERROR(E4980*C4980,0)</f>
      </c>
      <c r="M4980" s="29">
        <f>IFERROR((G4980*H4980*I4980/1000000)*D4980,0)</f>
      </c>
    </row>
    <row r="4981" spans="1:13" x14ac:dyDescent="0.25">
      <c r="A4981" s="16"/>
      <c r="E4981" s="27"/>
      <c r="F4981" t="s">
        <v>26</v>
      </c>
      <c r="G4981" s="28">
        <f>IFERROR(VLOOKUP(F4981,CARTON_LOOKUP!$A:$E,3,0),"")</f>
      </c>
      <c r="H4981" s="28">
        <f>IFERROR(VLOOKUP(F4981,CARTON_LOOKUP!$A:$E,4,0),"")</f>
      </c>
      <c r="I4981" s="28">
        <f>IFERROR(VLOOKUP(F4981,CARTON_LOOKUP!$A:$E,5,0),"")</f>
      </c>
      <c r="J4981" s="29">
        <f>IFERROR(VLOOKUP(F4981,CARTON_LOOKUP!$A:$E,2,0),"")</f>
      </c>
      <c r="K4981" s="29">
        <f>IFERROR(J4981*D4981,0)</f>
      </c>
      <c r="L4981" s="29">
        <f>IFERROR(E4981*C4981,0)</f>
      </c>
      <c r="M4981" s="29">
        <f>IFERROR((G4981*H4981*I4981/1000000)*D4981,0)</f>
      </c>
    </row>
    <row r="4982" spans="1:13" x14ac:dyDescent="0.25">
      <c r="A4982" s="16"/>
      <c r="E4982" s="27"/>
      <c r="F4982" t="s">
        <v>26</v>
      </c>
      <c r="G4982" s="28">
        <f>IFERROR(VLOOKUP(F4982,CARTON_LOOKUP!$A:$E,3,0),"")</f>
      </c>
      <c r="H4982" s="28">
        <f>IFERROR(VLOOKUP(F4982,CARTON_LOOKUP!$A:$E,4,0),"")</f>
      </c>
      <c r="I4982" s="28">
        <f>IFERROR(VLOOKUP(F4982,CARTON_LOOKUP!$A:$E,5,0),"")</f>
      </c>
      <c r="J4982" s="29">
        <f>IFERROR(VLOOKUP(F4982,CARTON_LOOKUP!$A:$E,2,0),"")</f>
      </c>
      <c r="K4982" s="29">
        <f>IFERROR(J4982*D4982,0)</f>
      </c>
      <c r="L4982" s="29">
        <f>IFERROR(E4982*C4982,0)</f>
      </c>
      <c r="M4982" s="29">
        <f>IFERROR((G4982*H4982*I4982/1000000)*D4982,0)</f>
      </c>
    </row>
    <row r="4983" spans="1:13" x14ac:dyDescent="0.25">
      <c r="A4983" s="16"/>
      <c r="E4983" s="27"/>
      <c r="F4983" t="s">
        <v>26</v>
      </c>
      <c r="G4983" s="28">
        <f>IFERROR(VLOOKUP(F4983,CARTON_LOOKUP!$A:$E,3,0),"")</f>
      </c>
      <c r="H4983" s="28">
        <f>IFERROR(VLOOKUP(F4983,CARTON_LOOKUP!$A:$E,4,0),"")</f>
      </c>
      <c r="I4983" s="28">
        <f>IFERROR(VLOOKUP(F4983,CARTON_LOOKUP!$A:$E,5,0),"")</f>
      </c>
      <c r="J4983" s="29">
        <f>IFERROR(VLOOKUP(F4983,CARTON_LOOKUP!$A:$E,2,0),"")</f>
      </c>
      <c r="K4983" s="29">
        <f>IFERROR(J4983*D4983,0)</f>
      </c>
      <c r="L4983" s="29">
        <f>IFERROR(E4983*C4983,0)</f>
      </c>
      <c r="M4983" s="29">
        <f>IFERROR((G4983*H4983*I4983/1000000)*D4983,0)</f>
      </c>
    </row>
    <row r="4984" spans="1:13" x14ac:dyDescent="0.25">
      <c r="A4984" s="16"/>
      <c r="E4984" s="27"/>
      <c r="F4984" t="s">
        <v>26</v>
      </c>
      <c r="G4984" s="28">
        <f>IFERROR(VLOOKUP(F4984,CARTON_LOOKUP!$A:$E,3,0),"")</f>
      </c>
      <c r="H4984" s="28">
        <f>IFERROR(VLOOKUP(F4984,CARTON_LOOKUP!$A:$E,4,0),"")</f>
      </c>
      <c r="I4984" s="28">
        <f>IFERROR(VLOOKUP(F4984,CARTON_LOOKUP!$A:$E,5,0),"")</f>
      </c>
      <c r="J4984" s="29">
        <f>IFERROR(VLOOKUP(F4984,CARTON_LOOKUP!$A:$E,2,0),"")</f>
      </c>
      <c r="K4984" s="29">
        <f>IFERROR(J4984*D4984,0)</f>
      </c>
      <c r="L4984" s="29">
        <f>IFERROR(E4984*C4984,0)</f>
      </c>
      <c r="M4984" s="29">
        <f>IFERROR((G4984*H4984*I4984/1000000)*D4984,0)</f>
      </c>
    </row>
    <row r="4985" spans="1:13" x14ac:dyDescent="0.25">
      <c r="A4985" s="16"/>
      <c r="E4985" s="27"/>
      <c r="F4985" t="s">
        <v>26</v>
      </c>
      <c r="G4985" s="28">
        <f>IFERROR(VLOOKUP(F4985,CARTON_LOOKUP!$A:$E,3,0),"")</f>
      </c>
      <c r="H4985" s="28">
        <f>IFERROR(VLOOKUP(F4985,CARTON_LOOKUP!$A:$E,4,0),"")</f>
      </c>
      <c r="I4985" s="28">
        <f>IFERROR(VLOOKUP(F4985,CARTON_LOOKUP!$A:$E,5,0),"")</f>
      </c>
      <c r="J4985" s="29">
        <f>IFERROR(VLOOKUP(F4985,CARTON_LOOKUP!$A:$E,2,0),"")</f>
      </c>
      <c r="K4985" s="29">
        <f>IFERROR(J4985*D4985,0)</f>
      </c>
      <c r="L4985" s="29">
        <f>IFERROR(E4985*C4985,0)</f>
      </c>
      <c r="M4985" s="29">
        <f>IFERROR((G4985*H4985*I4985/1000000)*D4985,0)</f>
      </c>
    </row>
    <row r="4986" spans="1:13" x14ac:dyDescent="0.25">
      <c r="A4986" s="16"/>
      <c r="E4986" s="27"/>
      <c r="F4986" t="s">
        <v>26</v>
      </c>
      <c r="G4986" s="28">
        <f>IFERROR(VLOOKUP(F4986,CARTON_LOOKUP!$A:$E,3,0),"")</f>
      </c>
      <c r="H4986" s="28">
        <f>IFERROR(VLOOKUP(F4986,CARTON_LOOKUP!$A:$E,4,0),"")</f>
      </c>
      <c r="I4986" s="28">
        <f>IFERROR(VLOOKUP(F4986,CARTON_LOOKUP!$A:$E,5,0),"")</f>
      </c>
      <c r="J4986" s="29">
        <f>IFERROR(VLOOKUP(F4986,CARTON_LOOKUP!$A:$E,2,0),"")</f>
      </c>
      <c r="K4986" s="29">
        <f>IFERROR(J4986*D4986,0)</f>
      </c>
      <c r="L4986" s="29">
        <f>IFERROR(E4986*C4986,0)</f>
      </c>
      <c r="M4986" s="29">
        <f>IFERROR((G4986*H4986*I4986/1000000)*D4986,0)</f>
      </c>
    </row>
    <row r="4987" spans="1:13" x14ac:dyDescent="0.25">
      <c r="A4987" s="16"/>
      <c r="E4987" s="27"/>
      <c r="F4987" t="s">
        <v>26</v>
      </c>
      <c r="G4987" s="28">
        <f>IFERROR(VLOOKUP(F4987,CARTON_LOOKUP!$A:$E,3,0),"")</f>
      </c>
      <c r="H4987" s="28">
        <f>IFERROR(VLOOKUP(F4987,CARTON_LOOKUP!$A:$E,4,0),"")</f>
      </c>
      <c r="I4987" s="28">
        <f>IFERROR(VLOOKUP(F4987,CARTON_LOOKUP!$A:$E,5,0),"")</f>
      </c>
      <c r="J4987" s="29">
        <f>IFERROR(VLOOKUP(F4987,CARTON_LOOKUP!$A:$E,2,0),"")</f>
      </c>
      <c r="K4987" s="29">
        <f>IFERROR(J4987*D4987,0)</f>
      </c>
      <c r="L4987" s="29">
        <f>IFERROR(E4987*C4987,0)</f>
      </c>
      <c r="M4987" s="29">
        <f>IFERROR((G4987*H4987*I4987/1000000)*D4987,0)</f>
      </c>
    </row>
    <row r="4988" spans="1:13" x14ac:dyDescent="0.25">
      <c r="A4988" s="16"/>
      <c r="E4988" s="27"/>
      <c r="F4988" t="s">
        <v>26</v>
      </c>
      <c r="G4988" s="28">
        <f>IFERROR(VLOOKUP(F4988,CARTON_LOOKUP!$A:$E,3,0),"")</f>
      </c>
      <c r="H4988" s="28">
        <f>IFERROR(VLOOKUP(F4988,CARTON_LOOKUP!$A:$E,4,0),"")</f>
      </c>
      <c r="I4988" s="28">
        <f>IFERROR(VLOOKUP(F4988,CARTON_LOOKUP!$A:$E,5,0),"")</f>
      </c>
      <c r="J4988" s="29">
        <f>IFERROR(VLOOKUP(F4988,CARTON_LOOKUP!$A:$E,2,0),"")</f>
      </c>
      <c r="K4988" s="29">
        <f>IFERROR(J4988*D4988,0)</f>
      </c>
      <c r="L4988" s="29">
        <f>IFERROR(E4988*C4988,0)</f>
      </c>
      <c r="M4988" s="29">
        <f>IFERROR((G4988*H4988*I4988/1000000)*D4988,0)</f>
      </c>
    </row>
    <row r="4989" spans="1:13" x14ac:dyDescent="0.25">
      <c r="A4989" s="16"/>
      <c r="E4989" s="27"/>
      <c r="F4989" t="s">
        <v>26</v>
      </c>
      <c r="G4989" s="28">
        <f>IFERROR(VLOOKUP(F4989,CARTON_LOOKUP!$A:$E,3,0),"")</f>
      </c>
      <c r="H4989" s="28">
        <f>IFERROR(VLOOKUP(F4989,CARTON_LOOKUP!$A:$E,4,0),"")</f>
      </c>
      <c r="I4989" s="28">
        <f>IFERROR(VLOOKUP(F4989,CARTON_LOOKUP!$A:$E,5,0),"")</f>
      </c>
      <c r="J4989" s="29">
        <f>IFERROR(VLOOKUP(F4989,CARTON_LOOKUP!$A:$E,2,0),"")</f>
      </c>
      <c r="K4989" s="29">
        <f>IFERROR(J4989*D4989,0)</f>
      </c>
      <c r="L4989" s="29">
        <f>IFERROR(E4989*C4989,0)</f>
      </c>
      <c r="M4989" s="29">
        <f>IFERROR((G4989*H4989*I4989/1000000)*D4989,0)</f>
      </c>
    </row>
    <row r="4990" spans="1:13" x14ac:dyDescent="0.25">
      <c r="A4990" s="16"/>
      <c r="E4990" s="27"/>
      <c r="F4990" t="s">
        <v>26</v>
      </c>
      <c r="G4990" s="28">
        <f>IFERROR(VLOOKUP(F4990,CARTON_LOOKUP!$A:$E,3,0),"")</f>
      </c>
      <c r="H4990" s="28">
        <f>IFERROR(VLOOKUP(F4990,CARTON_LOOKUP!$A:$E,4,0),"")</f>
      </c>
      <c r="I4990" s="28">
        <f>IFERROR(VLOOKUP(F4990,CARTON_LOOKUP!$A:$E,5,0),"")</f>
      </c>
      <c r="J4990" s="29">
        <f>IFERROR(VLOOKUP(F4990,CARTON_LOOKUP!$A:$E,2,0),"")</f>
      </c>
      <c r="K4990" s="29">
        <f>IFERROR(J4990*D4990,0)</f>
      </c>
      <c r="L4990" s="29">
        <f>IFERROR(E4990*C4990,0)</f>
      </c>
      <c r="M4990" s="29">
        <f>IFERROR((G4990*H4990*I4990/1000000)*D4990,0)</f>
      </c>
    </row>
    <row r="4991" spans="1:13" x14ac:dyDescent="0.25">
      <c r="A4991" s="16"/>
      <c r="E4991" s="27"/>
      <c r="F4991" t="s">
        <v>26</v>
      </c>
      <c r="G4991" s="28">
        <f>IFERROR(VLOOKUP(F4991,CARTON_LOOKUP!$A:$E,3,0),"")</f>
      </c>
      <c r="H4991" s="28">
        <f>IFERROR(VLOOKUP(F4991,CARTON_LOOKUP!$A:$E,4,0),"")</f>
      </c>
      <c r="I4991" s="28">
        <f>IFERROR(VLOOKUP(F4991,CARTON_LOOKUP!$A:$E,5,0),"")</f>
      </c>
      <c r="J4991" s="29">
        <f>IFERROR(VLOOKUP(F4991,CARTON_LOOKUP!$A:$E,2,0),"")</f>
      </c>
      <c r="K4991" s="29">
        <f>IFERROR(J4991*D4991,0)</f>
      </c>
      <c r="L4991" s="29">
        <f>IFERROR(E4991*C4991,0)</f>
      </c>
      <c r="M4991" s="29">
        <f>IFERROR((G4991*H4991*I4991/1000000)*D4991,0)</f>
      </c>
    </row>
    <row r="4992" spans="1:13" x14ac:dyDescent="0.25">
      <c r="A4992" s="16"/>
      <c r="E4992" s="27"/>
      <c r="F4992" t="s">
        <v>26</v>
      </c>
      <c r="G4992" s="28">
        <f>IFERROR(VLOOKUP(F4992,CARTON_LOOKUP!$A:$E,3,0),"")</f>
      </c>
      <c r="H4992" s="28">
        <f>IFERROR(VLOOKUP(F4992,CARTON_LOOKUP!$A:$E,4,0),"")</f>
      </c>
      <c r="I4992" s="28">
        <f>IFERROR(VLOOKUP(F4992,CARTON_LOOKUP!$A:$E,5,0),"")</f>
      </c>
      <c r="J4992" s="29">
        <f>IFERROR(VLOOKUP(F4992,CARTON_LOOKUP!$A:$E,2,0),"")</f>
      </c>
      <c r="K4992" s="29">
        <f>IFERROR(J4992*D4992,0)</f>
      </c>
      <c r="L4992" s="29">
        <f>IFERROR(E4992*C4992,0)</f>
      </c>
      <c r="M4992" s="29">
        <f>IFERROR((G4992*H4992*I4992/1000000)*D4992,0)</f>
      </c>
    </row>
    <row r="4993" spans="1:13" x14ac:dyDescent="0.25">
      <c r="A4993" s="16"/>
      <c r="E4993" s="27"/>
      <c r="F4993" t="s">
        <v>26</v>
      </c>
      <c r="G4993" s="28">
        <f>IFERROR(VLOOKUP(F4993,CARTON_LOOKUP!$A:$E,3,0),"")</f>
      </c>
      <c r="H4993" s="28">
        <f>IFERROR(VLOOKUP(F4993,CARTON_LOOKUP!$A:$E,4,0),"")</f>
      </c>
      <c r="I4993" s="28">
        <f>IFERROR(VLOOKUP(F4993,CARTON_LOOKUP!$A:$E,5,0),"")</f>
      </c>
      <c r="J4993" s="29">
        <f>IFERROR(VLOOKUP(F4993,CARTON_LOOKUP!$A:$E,2,0),"")</f>
      </c>
      <c r="K4993" s="29">
        <f>IFERROR(J4993*D4993,0)</f>
      </c>
      <c r="L4993" s="29">
        <f>IFERROR(E4993*C4993,0)</f>
      </c>
      <c r="M4993" s="29">
        <f>IFERROR((G4993*H4993*I4993/1000000)*D4993,0)</f>
      </c>
    </row>
    <row r="4994" spans="1:13" x14ac:dyDescent="0.25">
      <c r="A4994" s="16"/>
      <c r="E4994" s="27"/>
      <c r="F4994" t="s">
        <v>26</v>
      </c>
      <c r="G4994" s="28">
        <f>IFERROR(VLOOKUP(F4994,CARTON_LOOKUP!$A:$E,3,0),"")</f>
      </c>
      <c r="H4994" s="28">
        <f>IFERROR(VLOOKUP(F4994,CARTON_LOOKUP!$A:$E,4,0),"")</f>
      </c>
      <c r="I4994" s="28">
        <f>IFERROR(VLOOKUP(F4994,CARTON_LOOKUP!$A:$E,5,0),"")</f>
      </c>
      <c r="J4994" s="29">
        <f>IFERROR(VLOOKUP(F4994,CARTON_LOOKUP!$A:$E,2,0),"")</f>
      </c>
      <c r="K4994" s="29">
        <f>IFERROR(J4994*D4994,0)</f>
      </c>
      <c r="L4994" s="29">
        <f>IFERROR(E4994*C4994,0)</f>
      </c>
      <c r="M4994" s="29">
        <f>IFERROR((G4994*H4994*I4994/1000000)*D4994,0)</f>
      </c>
    </row>
    <row r="4995" spans="1:13" x14ac:dyDescent="0.25">
      <c r="A4995" s="16"/>
      <c r="E4995" s="27"/>
      <c r="F4995" t="s">
        <v>26</v>
      </c>
      <c r="G4995" s="28">
        <f>IFERROR(VLOOKUP(F4995,CARTON_LOOKUP!$A:$E,3,0),"")</f>
      </c>
      <c r="H4995" s="28">
        <f>IFERROR(VLOOKUP(F4995,CARTON_LOOKUP!$A:$E,4,0),"")</f>
      </c>
      <c r="I4995" s="28">
        <f>IFERROR(VLOOKUP(F4995,CARTON_LOOKUP!$A:$E,5,0),"")</f>
      </c>
      <c r="J4995" s="29">
        <f>IFERROR(VLOOKUP(F4995,CARTON_LOOKUP!$A:$E,2,0),"")</f>
      </c>
      <c r="K4995" s="29">
        <f>IFERROR(J4995*D4995,0)</f>
      </c>
      <c r="L4995" s="29">
        <f>IFERROR(E4995*C4995,0)</f>
      </c>
      <c r="M4995" s="29">
        <f>IFERROR((G4995*H4995*I4995/1000000)*D4995,0)</f>
      </c>
    </row>
    <row r="4996" spans="1:13" x14ac:dyDescent="0.25">
      <c r="A4996" s="16"/>
      <c r="E4996" s="27"/>
      <c r="F4996" t="s">
        <v>26</v>
      </c>
      <c r="G4996" s="28">
        <f>IFERROR(VLOOKUP(F4996,CARTON_LOOKUP!$A:$E,3,0),"")</f>
      </c>
      <c r="H4996" s="28">
        <f>IFERROR(VLOOKUP(F4996,CARTON_LOOKUP!$A:$E,4,0),"")</f>
      </c>
      <c r="I4996" s="28">
        <f>IFERROR(VLOOKUP(F4996,CARTON_LOOKUP!$A:$E,5,0),"")</f>
      </c>
      <c r="J4996" s="29">
        <f>IFERROR(VLOOKUP(F4996,CARTON_LOOKUP!$A:$E,2,0),"")</f>
      </c>
      <c r="K4996" s="29">
        <f>IFERROR(J4996*D4996,0)</f>
      </c>
      <c r="L4996" s="29">
        <f>IFERROR(E4996*C4996,0)</f>
      </c>
      <c r="M4996" s="29">
        <f>IFERROR((G4996*H4996*I4996/1000000)*D4996,0)</f>
      </c>
    </row>
    <row r="4997" spans="1:13" x14ac:dyDescent="0.25">
      <c r="A4997" s="16"/>
      <c r="E4997" s="27"/>
      <c r="F4997" t="s">
        <v>26</v>
      </c>
      <c r="G4997" s="28">
        <f>IFERROR(VLOOKUP(F4997,CARTON_LOOKUP!$A:$E,3,0),"")</f>
      </c>
      <c r="H4997" s="28">
        <f>IFERROR(VLOOKUP(F4997,CARTON_LOOKUP!$A:$E,4,0),"")</f>
      </c>
      <c r="I4997" s="28">
        <f>IFERROR(VLOOKUP(F4997,CARTON_LOOKUP!$A:$E,5,0),"")</f>
      </c>
      <c r="J4997" s="29">
        <f>IFERROR(VLOOKUP(F4997,CARTON_LOOKUP!$A:$E,2,0),"")</f>
      </c>
      <c r="K4997" s="29">
        <f>IFERROR(J4997*D4997,0)</f>
      </c>
      <c r="L4997" s="29">
        <f>IFERROR(E4997*C4997,0)</f>
      </c>
      <c r="M4997" s="29">
        <f>IFERROR((G4997*H4997*I4997/1000000)*D4997,0)</f>
      </c>
    </row>
    <row r="4998" spans="1:13" x14ac:dyDescent="0.25">
      <c r="A4998" s="16"/>
      <c r="E4998" s="27"/>
      <c r="F4998" t="s">
        <v>26</v>
      </c>
      <c r="G4998" s="28">
        <f>IFERROR(VLOOKUP(F4998,CARTON_LOOKUP!$A:$E,3,0),"")</f>
      </c>
      <c r="H4998" s="28">
        <f>IFERROR(VLOOKUP(F4998,CARTON_LOOKUP!$A:$E,4,0),"")</f>
      </c>
      <c r="I4998" s="28">
        <f>IFERROR(VLOOKUP(F4998,CARTON_LOOKUP!$A:$E,5,0),"")</f>
      </c>
      <c r="J4998" s="29">
        <f>IFERROR(VLOOKUP(F4998,CARTON_LOOKUP!$A:$E,2,0),"")</f>
      </c>
      <c r="K4998" s="29">
        <f>IFERROR(J4998*D4998,0)</f>
      </c>
      <c r="L4998" s="29">
        <f>IFERROR(E4998*C4998,0)</f>
      </c>
      <c r="M4998" s="29">
        <f>IFERROR((G4998*H4998*I4998/1000000)*D4998,0)</f>
      </c>
    </row>
    <row r="4999" spans="1:13" x14ac:dyDescent="0.25">
      <c r="A4999" s="16"/>
      <c r="E4999" s="27"/>
      <c r="F4999" t="s">
        <v>26</v>
      </c>
      <c r="G4999" s="28">
        <f>IFERROR(VLOOKUP(F4999,CARTON_LOOKUP!$A:$E,3,0),"")</f>
      </c>
      <c r="H4999" s="28">
        <f>IFERROR(VLOOKUP(F4999,CARTON_LOOKUP!$A:$E,4,0),"")</f>
      </c>
      <c r="I4999" s="28">
        <f>IFERROR(VLOOKUP(F4999,CARTON_LOOKUP!$A:$E,5,0),"")</f>
      </c>
      <c r="J4999" s="29">
        <f>IFERROR(VLOOKUP(F4999,CARTON_LOOKUP!$A:$E,2,0),"")</f>
      </c>
      <c r="K4999" s="29">
        <f>IFERROR(J4999*D4999,0)</f>
      </c>
      <c r="L4999" s="29">
        <f>IFERROR(E4999*C4999,0)</f>
      </c>
      <c r="M4999" s="29">
        <f>IFERROR((G4999*H4999*I4999/1000000)*D4999,0)</f>
      </c>
    </row>
    <row r="5000" spans="1:13" x14ac:dyDescent="0.25">
      <c r="A5000" s="16"/>
      <c r="E5000" s="27"/>
      <c r="F5000" t="s">
        <v>26</v>
      </c>
      <c r="G5000" s="28">
        <f>IFERROR(VLOOKUP(F5000,CARTON_LOOKUP!$A:$E,3,0),"")</f>
      </c>
      <c r="H5000" s="28">
        <f>IFERROR(VLOOKUP(F5000,CARTON_LOOKUP!$A:$E,4,0),"")</f>
      </c>
      <c r="I5000" s="28">
        <f>IFERROR(VLOOKUP(F5000,CARTON_LOOKUP!$A:$E,5,0),"")</f>
      </c>
      <c r="J5000" s="29">
        <f>IFERROR(VLOOKUP(F5000,CARTON_LOOKUP!$A:$E,2,0),"")</f>
      </c>
      <c r="K5000" s="29">
        <f>IFERROR(J5000*D5000,0)</f>
      </c>
      <c r="L5000" s="29">
        <f>IFERROR(E5000*C5000,0)</f>
      </c>
      <c r="M5000" s="29">
        <f>IFERROR((G5000*H5000*I5000/1000000)*D5000,0)</f>
      </c>
    </row>
    <row r="5001" spans="1:13" x14ac:dyDescent="0.25">
      <c r="A5001" s="16"/>
      <c r="E5001" s="27"/>
      <c r="F5001" t="s">
        <v>26</v>
      </c>
      <c r="G5001" s="28">
        <f>IFERROR(VLOOKUP(F5001,CARTON_LOOKUP!$A:$E,3,0),"")</f>
      </c>
      <c r="H5001" s="28">
        <f>IFERROR(VLOOKUP(F5001,CARTON_LOOKUP!$A:$E,4,0),"")</f>
      </c>
      <c r="I5001" s="28">
        <f>IFERROR(VLOOKUP(F5001,CARTON_LOOKUP!$A:$E,5,0),"")</f>
      </c>
      <c r="J5001" s="29">
        <f>IFERROR(VLOOKUP(F5001,CARTON_LOOKUP!$A:$E,2,0),"")</f>
      </c>
      <c r="K5001" s="29">
        <f>IFERROR(J5001*D5001,0)</f>
      </c>
      <c r="L5001" s="29">
        <f>IFERROR(E5001*C5001,0)</f>
      </c>
      <c r="M5001" s="29">
        <f>IFERROR((G5001*H5001*I5001/1000000)*D5001,0)</f>
      </c>
    </row>
    <row r="5002" spans="1:13" x14ac:dyDescent="0.25">
      <c r="A5002" s="16"/>
      <c r="E5002" s="27"/>
      <c r="F5002" t="s">
        <v>26</v>
      </c>
      <c r="G5002" s="28">
        <f>IFERROR(VLOOKUP(F5002,CARTON_LOOKUP!$A:$E,3,0),"")</f>
      </c>
      <c r="H5002" s="28">
        <f>IFERROR(VLOOKUP(F5002,CARTON_LOOKUP!$A:$E,4,0),"")</f>
      </c>
      <c r="I5002" s="28">
        <f>IFERROR(VLOOKUP(F5002,CARTON_LOOKUP!$A:$E,5,0),"")</f>
      </c>
      <c r="J5002" s="29">
        <f>IFERROR(VLOOKUP(F5002,CARTON_LOOKUP!$A:$E,2,0),"")</f>
      </c>
      <c r="K5002" s="29">
        <f>IFERROR(J5002*D5002,0)</f>
      </c>
      <c r="L5002" s="29">
        <f>IFERROR(E5002*C5002,0)</f>
      </c>
      <c r="M5002" s="29">
        <f>IFERROR((G5002*H5002*I5002/1000000)*D5002,0)</f>
      </c>
    </row>
    <row r="5003" spans="1:13" x14ac:dyDescent="0.25">
      <c r="A5003" s="16"/>
      <c r="E5003" s="27"/>
      <c r="F5003" t="s">
        <v>26</v>
      </c>
      <c r="G5003" s="28">
        <f>IFERROR(VLOOKUP(F5003,CARTON_LOOKUP!$A:$E,3,0),"")</f>
      </c>
      <c r="H5003" s="28">
        <f>IFERROR(VLOOKUP(F5003,CARTON_LOOKUP!$A:$E,4,0),"")</f>
      </c>
      <c r="I5003" s="28">
        <f>IFERROR(VLOOKUP(F5003,CARTON_LOOKUP!$A:$E,5,0),"")</f>
      </c>
      <c r="J5003" s="29">
        <f>IFERROR(VLOOKUP(F5003,CARTON_LOOKUP!$A:$E,2,0),"")</f>
      </c>
      <c r="K5003" s="29">
        <f>IFERROR(J5003*D5003,0)</f>
      </c>
      <c r="L5003" s="29">
        <f>IFERROR(E5003*C5003,0)</f>
      </c>
      <c r="M5003" s="29">
        <f>IFERROR((G5003*H5003*I5003/1000000)*D5003,0)</f>
      </c>
    </row>
    <row r="5004" spans="1:13" x14ac:dyDescent="0.25">
      <c r="A5004" s="16"/>
      <c r="E5004" s="27"/>
      <c r="F5004" t="s">
        <v>26</v>
      </c>
      <c r="G5004" s="28">
        <f>IFERROR(VLOOKUP(F5004,CARTON_LOOKUP!$A:$E,3,0),"")</f>
      </c>
      <c r="H5004" s="28">
        <f>IFERROR(VLOOKUP(F5004,CARTON_LOOKUP!$A:$E,4,0),"")</f>
      </c>
      <c r="I5004" s="28">
        <f>IFERROR(VLOOKUP(F5004,CARTON_LOOKUP!$A:$E,5,0),"")</f>
      </c>
      <c r="J5004" s="29">
        <f>IFERROR(VLOOKUP(F5004,CARTON_LOOKUP!$A:$E,2,0),"")</f>
      </c>
      <c r="K5004" s="29">
        <f>IFERROR(J5004*D5004,0)</f>
      </c>
      <c r="L5004" s="29">
        <f>IFERROR(E5004*C5004,0)</f>
      </c>
      <c r="M5004" s="29">
        <f>IFERROR((G5004*H5004*I5004/1000000)*D5004,0)</f>
      </c>
    </row>
    <row r="5005" spans="1:13" x14ac:dyDescent="0.25">
      <c r="A5005" s="16"/>
      <c r="E5005" s="27"/>
      <c r="F5005" t="s">
        <v>26</v>
      </c>
      <c r="G5005" s="28">
        <f>IFERROR(VLOOKUP(F5005,CARTON_LOOKUP!$A:$E,3,0),"")</f>
      </c>
      <c r="H5005" s="28">
        <f>IFERROR(VLOOKUP(F5005,CARTON_LOOKUP!$A:$E,4,0),"")</f>
      </c>
      <c r="I5005" s="28">
        <f>IFERROR(VLOOKUP(F5005,CARTON_LOOKUP!$A:$E,5,0),"")</f>
      </c>
      <c r="J5005" s="29">
        <f>IFERROR(VLOOKUP(F5005,CARTON_LOOKUP!$A:$E,2,0),"")</f>
      </c>
      <c r="K5005" s="29">
        <f>IFERROR(J5005*D5005,0)</f>
      </c>
      <c r="L5005" s="29">
        <f>IFERROR(E5005*C5005,0)</f>
      </c>
      <c r="M5005" s="29">
        <f>IFERROR((G5005*H5005*I5005/1000000)*D5005,0)</f>
      </c>
    </row>
    <row r="5006" spans="1:13" x14ac:dyDescent="0.25">
      <c r="A5006" s="16"/>
      <c r="E5006" s="27"/>
      <c r="F5006" t="s">
        <v>26</v>
      </c>
      <c r="G5006" s="28">
        <f>IFERROR(VLOOKUP(F5006,CARTON_LOOKUP!$A:$E,3,0),"")</f>
      </c>
      <c r="H5006" s="28">
        <f>IFERROR(VLOOKUP(F5006,CARTON_LOOKUP!$A:$E,4,0),"")</f>
      </c>
      <c r="I5006" s="28">
        <f>IFERROR(VLOOKUP(F5006,CARTON_LOOKUP!$A:$E,5,0),"")</f>
      </c>
      <c r="J5006" s="29">
        <f>IFERROR(VLOOKUP(F5006,CARTON_LOOKUP!$A:$E,2,0),"")</f>
      </c>
      <c r="K5006" s="29">
        <f>IFERROR(J5006*D5006,0)</f>
      </c>
      <c r="L5006" s="29">
        <f>IFERROR(E5006*C5006,0)</f>
      </c>
      <c r="M5006" s="29">
        <f>IFERROR((G5006*H5006*I5006/1000000)*D5006,0)</f>
      </c>
    </row>
    <row r="5007" spans="1:13" x14ac:dyDescent="0.25">
      <c r="A5007" s="16"/>
      <c r="E5007" s="27"/>
      <c r="F5007" t="s">
        <v>26</v>
      </c>
      <c r="G5007" s="28">
        <f>IFERROR(VLOOKUP(F5007,CARTON_LOOKUP!$A:$E,3,0),"")</f>
      </c>
      <c r="H5007" s="28">
        <f>IFERROR(VLOOKUP(F5007,CARTON_LOOKUP!$A:$E,4,0),"")</f>
      </c>
      <c r="I5007" s="28">
        <f>IFERROR(VLOOKUP(F5007,CARTON_LOOKUP!$A:$E,5,0),"")</f>
      </c>
      <c r="J5007" s="29">
        <f>IFERROR(VLOOKUP(F5007,CARTON_LOOKUP!$A:$E,2,0),"")</f>
      </c>
      <c r="K5007" s="29">
        <f>IFERROR(J5007*D5007,0)</f>
      </c>
      <c r="L5007" s="29">
        <f>IFERROR(E5007*C5007,0)</f>
      </c>
      <c r="M5007" s="29">
        <f>IFERROR((G5007*H5007*I5007/1000000)*D5007,0)</f>
      </c>
    </row>
    <row r="5008" spans="1:13" x14ac:dyDescent="0.25">
      <c r="A5008" s="16"/>
      <c r="E5008" s="27"/>
      <c r="F5008" t="s">
        <v>26</v>
      </c>
      <c r="G5008" s="28">
        <f>IFERROR(VLOOKUP(F5008,CARTON_LOOKUP!$A:$E,3,0),"")</f>
      </c>
      <c r="H5008" s="28">
        <f>IFERROR(VLOOKUP(F5008,CARTON_LOOKUP!$A:$E,4,0),"")</f>
      </c>
      <c r="I5008" s="28">
        <f>IFERROR(VLOOKUP(F5008,CARTON_LOOKUP!$A:$E,5,0),"")</f>
      </c>
      <c r="J5008" s="29">
        <f>IFERROR(VLOOKUP(F5008,CARTON_LOOKUP!$A:$E,2,0),"")</f>
      </c>
      <c r="K5008" s="29">
        <f>IFERROR(J5008*D5008,0)</f>
      </c>
      <c r="L5008" s="29">
        <f>IFERROR(E5008*C5008,0)</f>
      </c>
      <c r="M5008" s="29">
        <f>IFERROR((G5008*H5008*I5008/1000000)*D5008,0)</f>
      </c>
    </row>
    <row r="5009" spans="1:13" x14ac:dyDescent="0.25">
      <c r="A5009" s="16"/>
      <c r="E5009" s="27"/>
      <c r="F5009" t="s">
        <v>26</v>
      </c>
      <c r="G5009" s="28">
        <f>IFERROR(VLOOKUP(F5009,CARTON_LOOKUP!$A:$E,3,0),"")</f>
      </c>
      <c r="H5009" s="28">
        <f>IFERROR(VLOOKUP(F5009,CARTON_LOOKUP!$A:$E,4,0),"")</f>
      </c>
      <c r="I5009" s="28">
        <f>IFERROR(VLOOKUP(F5009,CARTON_LOOKUP!$A:$E,5,0),"")</f>
      </c>
      <c r="J5009" s="29">
        <f>IFERROR(VLOOKUP(F5009,CARTON_LOOKUP!$A:$E,2,0),"")</f>
      </c>
      <c r="K5009" s="29">
        <f>IFERROR(J5009*D5009,0)</f>
      </c>
      <c r="L5009" s="29">
        <f>IFERROR(E5009*C5009,0)</f>
      </c>
      <c r="M5009" s="29">
        <f>IFERROR((G5009*H5009*I5009/1000000)*D5009,0)</f>
      </c>
    </row>
    <row r="5010" spans="1:13" x14ac:dyDescent="0.25">
      <c r="A5010" s="16"/>
      <c r="E5010" s="27"/>
      <c r="F5010" t="s">
        <v>26</v>
      </c>
      <c r="G5010" s="28">
        <f>IFERROR(VLOOKUP(F5010,CARTON_LOOKUP!$A:$E,3,0),"")</f>
      </c>
      <c r="H5010" s="28">
        <f>IFERROR(VLOOKUP(F5010,CARTON_LOOKUP!$A:$E,4,0),"")</f>
      </c>
      <c r="I5010" s="28">
        <f>IFERROR(VLOOKUP(F5010,CARTON_LOOKUP!$A:$E,5,0),"")</f>
      </c>
      <c r="J5010" s="29">
        <f>IFERROR(VLOOKUP(F5010,CARTON_LOOKUP!$A:$E,2,0),"")</f>
      </c>
      <c r="K5010" s="29">
        <f>IFERROR(J5010*D5010,0)</f>
      </c>
      <c r="L5010" s="29">
        <f>IFERROR(E5010*C5010,0)</f>
      </c>
      <c r="M5010" s="29">
        <f>IFERROR((G5010*H5010*I5010/1000000)*D5010,0)</f>
      </c>
    </row>
    <row r="5011" spans="1:13" x14ac:dyDescent="0.25">
      <c r="A5011" s="16"/>
      <c r="E5011" s="27"/>
      <c r="F5011" t="s">
        <v>26</v>
      </c>
      <c r="G5011" s="28">
        <f>IFERROR(VLOOKUP(F5011,CARTON_LOOKUP!$A:$E,3,0),"")</f>
      </c>
      <c r="H5011" s="28">
        <f>IFERROR(VLOOKUP(F5011,CARTON_LOOKUP!$A:$E,4,0),"")</f>
      </c>
      <c r="I5011" s="28">
        <f>IFERROR(VLOOKUP(F5011,CARTON_LOOKUP!$A:$E,5,0),"")</f>
      </c>
      <c r="J5011" s="29">
        <f>IFERROR(VLOOKUP(F5011,CARTON_LOOKUP!$A:$E,2,0),"")</f>
      </c>
      <c r="K5011" s="29">
        <f>IFERROR(J5011*D5011,0)</f>
      </c>
      <c r="L5011" s="29">
        <f>IFERROR(E5011*C5011,0)</f>
      </c>
      <c r="M5011" s="29">
        <f>IFERROR((G5011*H5011*I5011/1000000)*D5011,0)</f>
      </c>
    </row>
    <row r="5012" spans="1:13" x14ac:dyDescent="0.25">
      <c r="A5012" s="16"/>
      <c r="E5012" s="27"/>
      <c r="F5012" t="s">
        <v>26</v>
      </c>
      <c r="G5012" s="28">
        <f>IFERROR(VLOOKUP(F5012,CARTON_LOOKUP!$A:$E,3,0),"")</f>
      </c>
      <c r="H5012" s="28">
        <f>IFERROR(VLOOKUP(F5012,CARTON_LOOKUP!$A:$E,4,0),"")</f>
      </c>
      <c r="I5012" s="28">
        <f>IFERROR(VLOOKUP(F5012,CARTON_LOOKUP!$A:$E,5,0),"")</f>
      </c>
      <c r="J5012" s="29">
        <f>IFERROR(VLOOKUP(F5012,CARTON_LOOKUP!$A:$E,2,0),"")</f>
      </c>
      <c r="K5012" s="29">
        <f>IFERROR(J5012*D5012,0)</f>
      </c>
      <c r="L5012" s="29">
        <f>IFERROR(E5012*C5012,0)</f>
      </c>
      <c r="M5012" s="29">
        <f>IFERROR((G5012*H5012*I5012/1000000)*D5012,0)</f>
      </c>
    </row>
    <row r="5013" spans="1:13" x14ac:dyDescent="0.25">
      <c r="A5013" s="16"/>
      <c r="E5013" s="27"/>
      <c r="F5013" t="s">
        <v>26</v>
      </c>
      <c r="G5013" s="28">
        <f>IFERROR(VLOOKUP(F5013,CARTON_LOOKUP!$A:$E,3,0),"")</f>
      </c>
      <c r="H5013" s="28">
        <f>IFERROR(VLOOKUP(F5013,CARTON_LOOKUP!$A:$E,4,0),"")</f>
      </c>
      <c r="I5013" s="28">
        <f>IFERROR(VLOOKUP(F5013,CARTON_LOOKUP!$A:$E,5,0),"")</f>
      </c>
      <c r="J5013" s="29">
        <f>IFERROR(VLOOKUP(F5013,CARTON_LOOKUP!$A:$E,2,0),"")</f>
      </c>
      <c r="K5013" s="29">
        <f>IFERROR(J5013*D5013,0)</f>
      </c>
      <c r="L5013" s="29">
        <f>IFERROR(E5013*C5013,0)</f>
      </c>
      <c r="M5013" s="29">
        <f>IFERROR((G5013*H5013*I5013/1000000)*D5013,0)</f>
      </c>
    </row>
    <row r="5014" spans="1:13" x14ac:dyDescent="0.25">
      <c r="A5014" s="16"/>
      <c r="E5014" s="27"/>
      <c r="F5014" t="s">
        <v>26</v>
      </c>
      <c r="G5014" s="28">
        <f>IFERROR(VLOOKUP(F5014,CARTON_LOOKUP!$A:$E,3,0),"")</f>
      </c>
      <c r="H5014" s="28">
        <f>IFERROR(VLOOKUP(F5014,CARTON_LOOKUP!$A:$E,4,0),"")</f>
      </c>
      <c r="I5014" s="28">
        <f>IFERROR(VLOOKUP(F5014,CARTON_LOOKUP!$A:$E,5,0),"")</f>
      </c>
      <c r="J5014" s="29">
        <f>IFERROR(VLOOKUP(F5014,CARTON_LOOKUP!$A:$E,2,0),"")</f>
      </c>
      <c r="K5014" s="29">
        <f>IFERROR(J5014*D5014,0)</f>
      </c>
      <c r="L5014" s="29">
        <f>IFERROR(E5014*C5014,0)</f>
      </c>
      <c r="M5014" s="29">
        <f>IFERROR((G5014*H5014*I5014/1000000)*D5014,0)</f>
      </c>
    </row>
    <row r="5015" spans="1:13" x14ac:dyDescent="0.25">
      <c r="A5015" s="16"/>
      <c r="E5015" s="27"/>
      <c r="F5015" t="s">
        <v>26</v>
      </c>
      <c r="G5015" s="28">
        <f>IFERROR(VLOOKUP(F5015,CARTON_LOOKUP!$A:$E,3,0),"")</f>
      </c>
      <c r="H5015" s="28">
        <f>IFERROR(VLOOKUP(F5015,CARTON_LOOKUP!$A:$E,4,0),"")</f>
      </c>
      <c r="I5015" s="28">
        <f>IFERROR(VLOOKUP(F5015,CARTON_LOOKUP!$A:$E,5,0),"")</f>
      </c>
      <c r="J5015" s="29">
        <f>IFERROR(VLOOKUP(F5015,CARTON_LOOKUP!$A:$E,2,0),"")</f>
      </c>
      <c r="K5015" s="29">
        <f>IFERROR(J5015*D5015,0)</f>
      </c>
      <c r="L5015" s="29">
        <f>IFERROR(E5015*C5015,0)</f>
      </c>
      <c r="M5015" s="29">
        <f>IFERROR((G5015*H5015*I5015/1000000)*D5015,0)</f>
      </c>
    </row>
    <row r="5016" spans="1:13" x14ac:dyDescent="0.25">
      <c r="A5016" s="16"/>
      <c r="E5016" s="27"/>
      <c r="F5016" t="s">
        <v>26</v>
      </c>
      <c r="G5016" s="28">
        <f>IFERROR(VLOOKUP(F5016,CARTON_LOOKUP!$A:$E,3,0),"")</f>
      </c>
      <c r="H5016" s="28">
        <f>IFERROR(VLOOKUP(F5016,CARTON_LOOKUP!$A:$E,4,0),"")</f>
      </c>
      <c r="I5016" s="28">
        <f>IFERROR(VLOOKUP(F5016,CARTON_LOOKUP!$A:$E,5,0),"")</f>
      </c>
      <c r="J5016" s="29">
        <f>IFERROR(VLOOKUP(F5016,CARTON_LOOKUP!$A:$E,2,0),"")</f>
      </c>
      <c r="K5016" s="29">
        <f>IFERROR(J5016*D5016,0)</f>
      </c>
      <c r="L5016" s="29">
        <f>IFERROR(E5016*C5016,0)</f>
      </c>
      <c r="M5016" s="29">
        <f>IFERROR((G5016*H5016*I5016/1000000)*D5016,0)</f>
      </c>
    </row>
    <row r="5017" spans="1:13" x14ac:dyDescent="0.25">
      <c r="A5017" s="16"/>
      <c r="E5017" s="27"/>
      <c r="F5017" t="s">
        <v>26</v>
      </c>
      <c r="G5017" s="28">
        <f>IFERROR(VLOOKUP(F5017,CARTON_LOOKUP!$A:$E,3,0),"")</f>
      </c>
      <c r="H5017" s="28">
        <f>IFERROR(VLOOKUP(F5017,CARTON_LOOKUP!$A:$E,4,0),"")</f>
      </c>
      <c r="I5017" s="28">
        <f>IFERROR(VLOOKUP(F5017,CARTON_LOOKUP!$A:$E,5,0),"")</f>
      </c>
      <c r="J5017" s="29">
        <f>IFERROR(VLOOKUP(F5017,CARTON_LOOKUP!$A:$E,2,0),"")</f>
      </c>
      <c r="K5017" s="29">
        <f>IFERROR(J5017*D5017,0)</f>
      </c>
      <c r="L5017" s="29">
        <f>IFERROR(E5017*C5017,0)</f>
      </c>
      <c r="M5017" s="29">
        <f>IFERROR((G5017*H5017*I5017/1000000)*D5017,0)</f>
      </c>
    </row>
    <row r="5018" spans="1:13" x14ac:dyDescent="0.25">
      <c r="A5018" s="16"/>
      <c r="E5018" s="27"/>
      <c r="F5018" t="s">
        <v>26</v>
      </c>
      <c r="G5018" s="28">
        <f>IFERROR(VLOOKUP(F5018,CARTON_LOOKUP!$A:$E,3,0),"")</f>
      </c>
      <c r="H5018" s="28">
        <f>IFERROR(VLOOKUP(F5018,CARTON_LOOKUP!$A:$E,4,0),"")</f>
      </c>
      <c r="I5018" s="28">
        <f>IFERROR(VLOOKUP(F5018,CARTON_LOOKUP!$A:$E,5,0),"")</f>
      </c>
      <c r="J5018" s="29">
        <f>IFERROR(VLOOKUP(F5018,CARTON_LOOKUP!$A:$E,2,0),"")</f>
      </c>
      <c r="K5018" s="29">
        <f>IFERROR(J5018*D5018,0)</f>
      </c>
      <c r="L5018" s="29">
        <f>IFERROR(E5018*C5018,0)</f>
      </c>
      <c r="M5018" s="29">
        <f>IFERROR((G5018*H5018*I5018/1000000)*D5018,0)</f>
      </c>
    </row>
    <row r="5019" spans="1:13" x14ac:dyDescent="0.25">
      <c r="A5019" s="16"/>
      <c r="E5019" s="27"/>
      <c r="F5019" t="s">
        <v>26</v>
      </c>
      <c r="G5019" s="28">
        <f>IFERROR(VLOOKUP(F5019,CARTON_LOOKUP!$A:$E,3,0),"")</f>
      </c>
      <c r="H5019" s="28">
        <f>IFERROR(VLOOKUP(F5019,CARTON_LOOKUP!$A:$E,4,0),"")</f>
      </c>
      <c r="I5019" s="28">
        <f>IFERROR(VLOOKUP(F5019,CARTON_LOOKUP!$A:$E,5,0),"")</f>
      </c>
      <c r="J5019" s="29">
        <f>IFERROR(VLOOKUP(F5019,CARTON_LOOKUP!$A:$E,2,0),"")</f>
      </c>
      <c r="K5019" s="29">
        <f>IFERROR(J5019*D5019,0)</f>
      </c>
      <c r="L5019" s="29">
        <f>IFERROR(E5019*C5019,0)</f>
      </c>
      <c r="M5019" s="29">
        <f>IFERROR((G5019*H5019*I5019/1000000)*D5019,0)</f>
      </c>
    </row>
    <row r="5020" spans="1:13" x14ac:dyDescent="0.25">
      <c r="A5020" s="16"/>
      <c r="E5020" s="27"/>
      <c r="F5020" t="s">
        <v>26</v>
      </c>
      <c r="G5020" s="28">
        <f>IFERROR(VLOOKUP(F5020,CARTON_LOOKUP!$A:$E,3,0),"")</f>
      </c>
      <c r="H5020" s="28">
        <f>IFERROR(VLOOKUP(F5020,CARTON_LOOKUP!$A:$E,4,0),"")</f>
      </c>
      <c r="I5020" s="28">
        <f>IFERROR(VLOOKUP(F5020,CARTON_LOOKUP!$A:$E,5,0),"")</f>
      </c>
      <c r="J5020" s="29">
        <f>IFERROR(VLOOKUP(F5020,CARTON_LOOKUP!$A:$E,2,0),"")</f>
      </c>
      <c r="K5020" s="29">
        <f>IFERROR(J5020*D5020,0)</f>
      </c>
      <c r="L5020" s="29">
        <f>IFERROR(E5020*C5020,0)</f>
      </c>
      <c r="M5020" s="29">
        <f>IFERROR((G5020*H5020*I5020/1000000)*D5020,0)</f>
      </c>
    </row>
    <row r="5021" spans="1:13" x14ac:dyDescent="0.25">
      <c r="A5021" s="16"/>
      <c r="E5021" s="27"/>
      <c r="F5021" t="s">
        <v>26</v>
      </c>
      <c r="G5021" s="28">
        <f>IFERROR(VLOOKUP(F5021,CARTON_LOOKUP!$A:$E,3,0),"")</f>
      </c>
      <c r="H5021" s="28">
        <f>IFERROR(VLOOKUP(F5021,CARTON_LOOKUP!$A:$E,4,0),"")</f>
      </c>
      <c r="I5021" s="28">
        <f>IFERROR(VLOOKUP(F5021,CARTON_LOOKUP!$A:$E,5,0),"")</f>
      </c>
      <c r="J5021" s="29">
        <f>IFERROR(VLOOKUP(F5021,CARTON_LOOKUP!$A:$E,2,0),"")</f>
      </c>
      <c r="K5021" s="29">
        <f>IFERROR(J5021*D5021,0)</f>
      </c>
      <c r="L5021" s="29">
        <f>IFERROR(E5021*C5021,0)</f>
      </c>
      <c r="M5021" s="29">
        <f>IFERROR((G5021*H5021*I5021/1000000)*D5021,0)</f>
      </c>
    </row>
    <row r="5022" spans="1:13" x14ac:dyDescent="0.25">
      <c r="A5022" s="16"/>
      <c r="E5022" s="27"/>
      <c r="F5022" t="s">
        <v>26</v>
      </c>
      <c r="G5022" s="28">
        <f>IFERROR(VLOOKUP(F5022,CARTON_LOOKUP!$A:$E,3,0),"")</f>
      </c>
      <c r="H5022" s="28">
        <f>IFERROR(VLOOKUP(F5022,CARTON_LOOKUP!$A:$E,4,0),"")</f>
      </c>
      <c r="I5022" s="28">
        <f>IFERROR(VLOOKUP(F5022,CARTON_LOOKUP!$A:$E,5,0),"")</f>
      </c>
      <c r="J5022" s="29">
        <f>IFERROR(VLOOKUP(F5022,CARTON_LOOKUP!$A:$E,2,0),"")</f>
      </c>
      <c r="K5022" s="29">
        <f>IFERROR(J5022*D5022,0)</f>
      </c>
      <c r="L5022" s="29">
        <f>IFERROR(E5022*C5022,0)</f>
      </c>
      <c r="M5022" s="29">
        <f>IFERROR((G5022*H5022*I5022/1000000)*D5022,0)</f>
      </c>
    </row>
    <row r="5023" spans="1:13" x14ac:dyDescent="0.25">
      <c r="A5023" s="16"/>
      <c r="E5023" s="27"/>
      <c r="F5023" t="s">
        <v>26</v>
      </c>
      <c r="G5023" s="28">
        <f>IFERROR(VLOOKUP(F5023,CARTON_LOOKUP!$A:$E,3,0),"")</f>
      </c>
      <c r="H5023" s="28">
        <f>IFERROR(VLOOKUP(F5023,CARTON_LOOKUP!$A:$E,4,0),"")</f>
      </c>
      <c r="I5023" s="28">
        <f>IFERROR(VLOOKUP(F5023,CARTON_LOOKUP!$A:$E,5,0),"")</f>
      </c>
      <c r="J5023" s="29">
        <f>IFERROR(VLOOKUP(F5023,CARTON_LOOKUP!$A:$E,2,0),"")</f>
      </c>
      <c r="K5023" s="29">
        <f>IFERROR(J5023*D5023,0)</f>
      </c>
      <c r="L5023" s="29">
        <f>IFERROR(E5023*C5023,0)</f>
      </c>
      <c r="M5023" s="29">
        <f>IFERROR((G5023*H5023*I5023/1000000)*D5023,0)</f>
      </c>
    </row>
    <row r="5024" spans="1:13" x14ac:dyDescent="0.25">
      <c r="A5024" s="16"/>
      <c r="E5024" s="27"/>
      <c r="F5024" t="s">
        <v>26</v>
      </c>
      <c r="G5024" s="28">
        <f>IFERROR(VLOOKUP(F5024,CARTON_LOOKUP!$A:$E,3,0),"")</f>
      </c>
      <c r="H5024" s="28">
        <f>IFERROR(VLOOKUP(F5024,CARTON_LOOKUP!$A:$E,4,0),"")</f>
      </c>
      <c r="I5024" s="28">
        <f>IFERROR(VLOOKUP(F5024,CARTON_LOOKUP!$A:$E,5,0),"")</f>
      </c>
      <c r="J5024" s="29">
        <f>IFERROR(VLOOKUP(F5024,CARTON_LOOKUP!$A:$E,2,0),"")</f>
      </c>
      <c r="K5024" s="29">
        <f>IFERROR(J5024*D5024,0)</f>
      </c>
      <c r="L5024" s="29">
        <f>IFERROR(E5024*C5024,0)</f>
      </c>
      <c r="M5024" s="29">
        <f>IFERROR((G5024*H5024*I5024/1000000)*D5024,0)</f>
      </c>
    </row>
    <row r="5025" spans="1:13" x14ac:dyDescent="0.25">
      <c r="A5025" s="16"/>
      <c r="E5025" s="27"/>
      <c r="F5025" t="s">
        <v>26</v>
      </c>
      <c r="G5025" s="28">
        <f>IFERROR(VLOOKUP(F5025,CARTON_LOOKUP!$A:$E,3,0),"")</f>
      </c>
      <c r="H5025" s="28">
        <f>IFERROR(VLOOKUP(F5025,CARTON_LOOKUP!$A:$E,4,0),"")</f>
      </c>
      <c r="I5025" s="28">
        <f>IFERROR(VLOOKUP(F5025,CARTON_LOOKUP!$A:$E,5,0),"")</f>
      </c>
      <c r="J5025" s="29">
        <f>IFERROR(VLOOKUP(F5025,CARTON_LOOKUP!$A:$E,2,0),"")</f>
      </c>
      <c r="K5025" s="29">
        <f>IFERROR(J5025*D5025,0)</f>
      </c>
      <c r="L5025" s="29">
        <f>IFERROR(E5025*C5025,0)</f>
      </c>
      <c r="M5025" s="29">
        <f>IFERROR((G5025*H5025*I5025/1000000)*D5025,0)</f>
      </c>
    </row>
    <row r="5026" spans="1:13" x14ac:dyDescent="0.25">
      <c r="A5026" s="16"/>
      <c r="E5026" s="27"/>
      <c r="F5026" t="s">
        <v>26</v>
      </c>
      <c r="G5026" s="28">
        <f>IFERROR(VLOOKUP(F5026,CARTON_LOOKUP!$A:$E,3,0),"")</f>
      </c>
      <c r="H5026" s="28">
        <f>IFERROR(VLOOKUP(F5026,CARTON_LOOKUP!$A:$E,4,0),"")</f>
      </c>
      <c r="I5026" s="28">
        <f>IFERROR(VLOOKUP(F5026,CARTON_LOOKUP!$A:$E,5,0),"")</f>
      </c>
      <c r="J5026" s="29">
        <f>IFERROR(VLOOKUP(F5026,CARTON_LOOKUP!$A:$E,2,0),"")</f>
      </c>
      <c r="K5026" s="29">
        <f>IFERROR(J5026*D5026,0)</f>
      </c>
      <c r="L5026" s="29">
        <f>IFERROR(E5026*C5026,0)</f>
      </c>
      <c r="M5026" s="29">
        <f>IFERROR((G5026*H5026*I5026/1000000)*D5026,0)</f>
      </c>
    </row>
    <row r="5027" spans="1:13" x14ac:dyDescent="0.25">
      <c r="A5027" s="16"/>
      <c r="E5027" s="27"/>
      <c r="F5027" t="s">
        <v>26</v>
      </c>
      <c r="G5027" s="28">
        <f>IFERROR(VLOOKUP(F5027,CARTON_LOOKUP!$A:$E,3,0),"")</f>
      </c>
      <c r="H5027" s="28">
        <f>IFERROR(VLOOKUP(F5027,CARTON_LOOKUP!$A:$E,4,0),"")</f>
      </c>
      <c r="I5027" s="28">
        <f>IFERROR(VLOOKUP(F5027,CARTON_LOOKUP!$A:$E,5,0),"")</f>
      </c>
      <c r="J5027" s="29">
        <f>IFERROR(VLOOKUP(F5027,CARTON_LOOKUP!$A:$E,2,0),"")</f>
      </c>
      <c r="K5027" s="29">
        <f>IFERROR(J5027*D5027,0)</f>
      </c>
      <c r="L5027" s="29">
        <f>IFERROR(E5027*C5027,0)</f>
      </c>
      <c r="M5027" s="29">
        <f>IFERROR((G5027*H5027*I5027/1000000)*D5027,0)</f>
      </c>
    </row>
    <row r="5028" spans="1:13" x14ac:dyDescent="0.25">
      <c r="A5028" s="16"/>
      <c r="E5028" s="27"/>
      <c r="F5028" t="s">
        <v>26</v>
      </c>
      <c r="G5028" s="28">
        <f>IFERROR(VLOOKUP(F5028,CARTON_LOOKUP!$A:$E,3,0),"")</f>
      </c>
      <c r="H5028" s="28">
        <f>IFERROR(VLOOKUP(F5028,CARTON_LOOKUP!$A:$E,4,0),"")</f>
      </c>
      <c r="I5028" s="28">
        <f>IFERROR(VLOOKUP(F5028,CARTON_LOOKUP!$A:$E,5,0),"")</f>
      </c>
      <c r="J5028" s="29">
        <f>IFERROR(VLOOKUP(F5028,CARTON_LOOKUP!$A:$E,2,0),"")</f>
      </c>
      <c r="K5028" s="29">
        <f>IFERROR(J5028*D5028,0)</f>
      </c>
      <c r="L5028" s="29">
        <f>IFERROR(E5028*C5028,0)</f>
      </c>
      <c r="M5028" s="29">
        <f>IFERROR((G5028*H5028*I5028/1000000)*D5028,0)</f>
      </c>
    </row>
    <row r="5029" spans="1:13" x14ac:dyDescent="0.25">
      <c r="A5029" s="16"/>
      <c r="E5029" s="27"/>
      <c r="F5029" t="s">
        <v>26</v>
      </c>
      <c r="G5029" s="28">
        <f>IFERROR(VLOOKUP(F5029,CARTON_LOOKUP!$A:$E,3,0),"")</f>
      </c>
      <c r="H5029" s="28">
        <f>IFERROR(VLOOKUP(F5029,CARTON_LOOKUP!$A:$E,4,0),"")</f>
      </c>
      <c r="I5029" s="28">
        <f>IFERROR(VLOOKUP(F5029,CARTON_LOOKUP!$A:$E,5,0),"")</f>
      </c>
      <c r="J5029" s="29">
        <f>IFERROR(VLOOKUP(F5029,CARTON_LOOKUP!$A:$E,2,0),"")</f>
      </c>
      <c r="K5029" s="29">
        <f>IFERROR(J5029*D5029,0)</f>
      </c>
      <c r="L5029" s="29">
        <f>IFERROR(E5029*C5029,0)</f>
      </c>
      <c r="M5029" s="29">
        <f>IFERROR((G5029*H5029*I5029/1000000)*D5029,0)</f>
      </c>
    </row>
    <row r="5030" spans="1:13" x14ac:dyDescent="0.25">
      <c r="A5030" s="16"/>
      <c r="E5030" s="27"/>
      <c r="F5030" t="s">
        <v>26</v>
      </c>
      <c r="G5030" s="28">
        <f>IFERROR(VLOOKUP(F5030,CARTON_LOOKUP!$A:$E,3,0),"")</f>
      </c>
      <c r="H5030" s="28">
        <f>IFERROR(VLOOKUP(F5030,CARTON_LOOKUP!$A:$E,4,0),"")</f>
      </c>
      <c r="I5030" s="28">
        <f>IFERROR(VLOOKUP(F5030,CARTON_LOOKUP!$A:$E,5,0),"")</f>
      </c>
      <c r="J5030" s="29">
        <f>IFERROR(VLOOKUP(F5030,CARTON_LOOKUP!$A:$E,2,0),"")</f>
      </c>
      <c r="K5030" s="29">
        <f>IFERROR(J5030*D5030,0)</f>
      </c>
      <c r="L5030" s="29">
        <f>IFERROR(E5030*C5030,0)</f>
      </c>
      <c r="M5030" s="29">
        <f>IFERROR((G5030*H5030*I5030/1000000)*D5030,0)</f>
      </c>
    </row>
    <row r="5031" spans="1:13" x14ac:dyDescent="0.25">
      <c r="A5031" s="16"/>
      <c r="E5031" s="27"/>
      <c r="F5031" t="s">
        <v>26</v>
      </c>
      <c r="G5031" s="28">
        <f>IFERROR(VLOOKUP(F5031,CARTON_LOOKUP!$A:$E,3,0),"")</f>
      </c>
      <c r="H5031" s="28">
        <f>IFERROR(VLOOKUP(F5031,CARTON_LOOKUP!$A:$E,4,0),"")</f>
      </c>
      <c r="I5031" s="28">
        <f>IFERROR(VLOOKUP(F5031,CARTON_LOOKUP!$A:$E,5,0),"")</f>
      </c>
      <c r="J5031" s="29">
        <f>IFERROR(VLOOKUP(F5031,CARTON_LOOKUP!$A:$E,2,0),"")</f>
      </c>
      <c r="K5031" s="29">
        <f>IFERROR(J5031*D5031,0)</f>
      </c>
      <c r="L5031" s="29">
        <f>IFERROR(E5031*C5031,0)</f>
      </c>
      <c r="M5031" s="29">
        <f>IFERROR((G5031*H5031*I5031/1000000)*D5031,0)</f>
      </c>
    </row>
    <row r="5032" spans="1:13" x14ac:dyDescent="0.25">
      <c r="A5032" s="16"/>
      <c r="E5032" s="27"/>
      <c r="F5032" t="s">
        <v>26</v>
      </c>
      <c r="G5032" s="28">
        <f>IFERROR(VLOOKUP(F5032,CARTON_LOOKUP!$A:$E,3,0),"")</f>
      </c>
      <c r="H5032" s="28">
        <f>IFERROR(VLOOKUP(F5032,CARTON_LOOKUP!$A:$E,4,0),"")</f>
      </c>
      <c r="I5032" s="28">
        <f>IFERROR(VLOOKUP(F5032,CARTON_LOOKUP!$A:$E,5,0),"")</f>
      </c>
      <c r="J5032" s="29">
        <f>IFERROR(VLOOKUP(F5032,CARTON_LOOKUP!$A:$E,2,0),"")</f>
      </c>
      <c r="K5032" s="29">
        <f>IFERROR(J5032*D5032,0)</f>
      </c>
      <c r="L5032" s="29">
        <f>IFERROR(E5032*C5032,0)</f>
      </c>
      <c r="M5032" s="29">
        <f>IFERROR((G5032*H5032*I5032/1000000)*D5032,0)</f>
      </c>
    </row>
    <row r="5033" spans="1:13" x14ac:dyDescent="0.25">
      <c r="A5033" s="16"/>
      <c r="E5033" s="27"/>
      <c r="F5033" t="s">
        <v>26</v>
      </c>
      <c r="G5033" s="28">
        <f>IFERROR(VLOOKUP(F5033,CARTON_LOOKUP!$A:$E,3,0),"")</f>
      </c>
      <c r="H5033" s="28">
        <f>IFERROR(VLOOKUP(F5033,CARTON_LOOKUP!$A:$E,4,0),"")</f>
      </c>
      <c r="I5033" s="28">
        <f>IFERROR(VLOOKUP(F5033,CARTON_LOOKUP!$A:$E,5,0),"")</f>
      </c>
      <c r="J5033" s="29">
        <f>IFERROR(VLOOKUP(F5033,CARTON_LOOKUP!$A:$E,2,0),"")</f>
      </c>
      <c r="K5033" s="29">
        <f>IFERROR(J5033*D5033,0)</f>
      </c>
      <c r="L5033" s="29">
        <f>IFERROR(E5033*C5033,0)</f>
      </c>
      <c r="M5033" s="29">
        <f>IFERROR((G5033*H5033*I5033/1000000)*D5033,0)</f>
      </c>
    </row>
    <row r="5034" spans="1:13" x14ac:dyDescent="0.25">
      <c r="A5034" s="16"/>
      <c r="E5034" s="27"/>
      <c r="F5034" t="s">
        <v>26</v>
      </c>
      <c r="G5034" s="28">
        <f>IFERROR(VLOOKUP(F5034,CARTON_LOOKUP!$A:$E,3,0),"")</f>
      </c>
      <c r="H5034" s="28">
        <f>IFERROR(VLOOKUP(F5034,CARTON_LOOKUP!$A:$E,4,0),"")</f>
      </c>
      <c r="I5034" s="28">
        <f>IFERROR(VLOOKUP(F5034,CARTON_LOOKUP!$A:$E,5,0),"")</f>
      </c>
      <c r="J5034" s="29">
        <f>IFERROR(VLOOKUP(F5034,CARTON_LOOKUP!$A:$E,2,0),"")</f>
      </c>
      <c r="K5034" s="29">
        <f>IFERROR(J5034*D5034,0)</f>
      </c>
      <c r="L5034" s="29">
        <f>IFERROR(E5034*C5034,0)</f>
      </c>
      <c r="M5034" s="29">
        <f>IFERROR((G5034*H5034*I5034/1000000)*D5034,0)</f>
      </c>
    </row>
    <row r="5035" spans="1:13" x14ac:dyDescent="0.25">
      <c r="A5035" s="16"/>
      <c r="E5035" s="27"/>
      <c r="F5035" t="s">
        <v>26</v>
      </c>
      <c r="G5035" s="28">
        <f>IFERROR(VLOOKUP(F5035,CARTON_LOOKUP!$A:$E,3,0),"")</f>
      </c>
      <c r="H5035" s="28">
        <f>IFERROR(VLOOKUP(F5035,CARTON_LOOKUP!$A:$E,4,0),"")</f>
      </c>
      <c r="I5035" s="28">
        <f>IFERROR(VLOOKUP(F5035,CARTON_LOOKUP!$A:$E,5,0),"")</f>
      </c>
      <c r="J5035" s="29">
        <f>IFERROR(VLOOKUP(F5035,CARTON_LOOKUP!$A:$E,2,0),"")</f>
      </c>
      <c r="K5035" s="29">
        <f>IFERROR(J5035*D5035,0)</f>
      </c>
      <c r="L5035" s="29">
        <f>IFERROR(E5035*C5035,0)</f>
      </c>
      <c r="M5035" s="29">
        <f>IFERROR((G5035*H5035*I5035/1000000)*D5035,0)</f>
      </c>
    </row>
    <row r="5036" spans="1:13" x14ac:dyDescent="0.25">
      <c r="A5036" s="16"/>
      <c r="E5036" s="27"/>
      <c r="F5036" t="s">
        <v>26</v>
      </c>
      <c r="G5036" s="28">
        <f>IFERROR(VLOOKUP(F5036,CARTON_LOOKUP!$A:$E,3,0),"")</f>
      </c>
      <c r="H5036" s="28">
        <f>IFERROR(VLOOKUP(F5036,CARTON_LOOKUP!$A:$E,4,0),"")</f>
      </c>
      <c r="I5036" s="28">
        <f>IFERROR(VLOOKUP(F5036,CARTON_LOOKUP!$A:$E,5,0),"")</f>
      </c>
      <c r="J5036" s="29">
        <f>IFERROR(VLOOKUP(F5036,CARTON_LOOKUP!$A:$E,2,0),"")</f>
      </c>
      <c r="K5036" s="29">
        <f>IFERROR(J5036*D5036,0)</f>
      </c>
      <c r="L5036" s="29">
        <f>IFERROR(E5036*C5036,0)</f>
      </c>
      <c r="M5036" s="29">
        <f>IFERROR((G5036*H5036*I5036/1000000)*D5036,0)</f>
      </c>
    </row>
    <row r="5037" spans="1:13" x14ac:dyDescent="0.25">
      <c r="A5037" s="16"/>
      <c r="E5037" s="27"/>
      <c r="F5037" t="s">
        <v>26</v>
      </c>
      <c r="G5037" s="28">
        <f>IFERROR(VLOOKUP(F5037,CARTON_LOOKUP!$A:$E,3,0),"")</f>
      </c>
      <c r="H5037" s="28">
        <f>IFERROR(VLOOKUP(F5037,CARTON_LOOKUP!$A:$E,4,0),"")</f>
      </c>
      <c r="I5037" s="28">
        <f>IFERROR(VLOOKUP(F5037,CARTON_LOOKUP!$A:$E,5,0),"")</f>
      </c>
      <c r="J5037" s="29">
        <f>IFERROR(VLOOKUP(F5037,CARTON_LOOKUP!$A:$E,2,0),"")</f>
      </c>
      <c r="K5037" s="29">
        <f>IFERROR(J5037*D5037,0)</f>
      </c>
      <c r="L5037" s="29">
        <f>IFERROR(E5037*C5037,0)</f>
      </c>
      <c r="M5037" s="29">
        <f>IFERROR((G5037*H5037*I5037/1000000)*D5037,0)</f>
      </c>
    </row>
    <row r="5038" spans="1:13" x14ac:dyDescent="0.25">
      <c r="A5038" s="16"/>
      <c r="E5038" s="27"/>
      <c r="F5038" t="s">
        <v>26</v>
      </c>
      <c r="G5038" s="28">
        <f>IFERROR(VLOOKUP(F5038,CARTON_LOOKUP!$A:$E,3,0),"")</f>
      </c>
      <c r="H5038" s="28">
        <f>IFERROR(VLOOKUP(F5038,CARTON_LOOKUP!$A:$E,4,0),"")</f>
      </c>
      <c r="I5038" s="28">
        <f>IFERROR(VLOOKUP(F5038,CARTON_LOOKUP!$A:$E,5,0),"")</f>
      </c>
      <c r="J5038" s="29">
        <f>IFERROR(VLOOKUP(F5038,CARTON_LOOKUP!$A:$E,2,0),"")</f>
      </c>
      <c r="K5038" s="29">
        <f>IFERROR(J5038*D5038,0)</f>
      </c>
      <c r="L5038" s="29">
        <f>IFERROR(E5038*C5038,0)</f>
      </c>
      <c r="M5038" s="29">
        <f>IFERROR((G5038*H5038*I5038/1000000)*D5038,0)</f>
      </c>
    </row>
    <row r="5039" spans="1:13" x14ac:dyDescent="0.25">
      <c r="A5039" s="16"/>
      <c r="E5039" s="27"/>
      <c r="F5039" t="s">
        <v>26</v>
      </c>
      <c r="G5039" s="28">
        <f>IFERROR(VLOOKUP(F5039,CARTON_LOOKUP!$A:$E,3,0),"")</f>
      </c>
      <c r="H5039" s="28">
        <f>IFERROR(VLOOKUP(F5039,CARTON_LOOKUP!$A:$E,4,0),"")</f>
      </c>
      <c r="I5039" s="28">
        <f>IFERROR(VLOOKUP(F5039,CARTON_LOOKUP!$A:$E,5,0),"")</f>
      </c>
      <c r="J5039" s="29">
        <f>IFERROR(VLOOKUP(F5039,CARTON_LOOKUP!$A:$E,2,0),"")</f>
      </c>
      <c r="K5039" s="29">
        <f>IFERROR(J5039*D5039,0)</f>
      </c>
      <c r="L5039" s="29">
        <f>IFERROR(E5039*C5039,0)</f>
      </c>
      <c r="M5039" s="29">
        <f>IFERROR((G5039*H5039*I5039/1000000)*D5039,0)</f>
      </c>
    </row>
    <row r="5040" spans="1:13" x14ac:dyDescent="0.25">
      <c r="A5040" s="16"/>
      <c r="E5040" s="27"/>
      <c r="F5040" t="s">
        <v>26</v>
      </c>
      <c r="G5040" s="28">
        <f>IFERROR(VLOOKUP(F5040,CARTON_LOOKUP!$A:$E,3,0),"")</f>
      </c>
      <c r="H5040" s="28">
        <f>IFERROR(VLOOKUP(F5040,CARTON_LOOKUP!$A:$E,4,0),"")</f>
      </c>
      <c r="I5040" s="28">
        <f>IFERROR(VLOOKUP(F5040,CARTON_LOOKUP!$A:$E,5,0),"")</f>
      </c>
      <c r="J5040" s="29">
        <f>IFERROR(VLOOKUP(F5040,CARTON_LOOKUP!$A:$E,2,0),"")</f>
      </c>
      <c r="K5040" s="29">
        <f>IFERROR(J5040*D5040,0)</f>
      </c>
      <c r="L5040" s="29">
        <f>IFERROR(E5040*C5040,0)</f>
      </c>
      <c r="M5040" s="29">
        <f>IFERROR((G5040*H5040*I5040/1000000)*D5040,0)</f>
      </c>
    </row>
    <row r="5041" spans="1:13" x14ac:dyDescent="0.25">
      <c r="A5041" s="16"/>
      <c r="E5041" s="27"/>
      <c r="F5041" t="s">
        <v>26</v>
      </c>
      <c r="G5041" s="28">
        <f>IFERROR(VLOOKUP(F5041,CARTON_LOOKUP!$A:$E,3,0),"")</f>
      </c>
      <c r="H5041" s="28">
        <f>IFERROR(VLOOKUP(F5041,CARTON_LOOKUP!$A:$E,4,0),"")</f>
      </c>
      <c r="I5041" s="28">
        <f>IFERROR(VLOOKUP(F5041,CARTON_LOOKUP!$A:$E,5,0),"")</f>
      </c>
      <c r="J5041" s="29">
        <f>IFERROR(VLOOKUP(F5041,CARTON_LOOKUP!$A:$E,2,0),"")</f>
      </c>
      <c r="K5041" s="29">
        <f>IFERROR(J5041*D5041,0)</f>
      </c>
      <c r="L5041" s="29">
        <f>IFERROR(E5041*C5041,0)</f>
      </c>
      <c r="M5041" s="29">
        <f>IFERROR((G5041*H5041*I5041/1000000)*D5041,0)</f>
      </c>
    </row>
    <row r="5042" spans="1:13" x14ac:dyDescent="0.25">
      <c r="A5042" s="16"/>
      <c r="E5042" s="27"/>
      <c r="F5042" t="s">
        <v>26</v>
      </c>
      <c r="G5042" s="28">
        <f>IFERROR(VLOOKUP(F5042,CARTON_LOOKUP!$A:$E,3,0),"")</f>
      </c>
      <c r="H5042" s="28">
        <f>IFERROR(VLOOKUP(F5042,CARTON_LOOKUP!$A:$E,4,0),"")</f>
      </c>
      <c r="I5042" s="28">
        <f>IFERROR(VLOOKUP(F5042,CARTON_LOOKUP!$A:$E,5,0),"")</f>
      </c>
      <c r="J5042" s="29">
        <f>IFERROR(VLOOKUP(F5042,CARTON_LOOKUP!$A:$E,2,0),"")</f>
      </c>
      <c r="K5042" s="29">
        <f>IFERROR(J5042*D5042,0)</f>
      </c>
      <c r="L5042" s="29">
        <f>IFERROR(E5042*C5042,0)</f>
      </c>
      <c r="M5042" s="29">
        <f>IFERROR((G5042*H5042*I5042/1000000)*D5042,0)</f>
      </c>
    </row>
    <row r="5043" spans="1:13" x14ac:dyDescent="0.25">
      <c r="A5043" s="16"/>
      <c r="E5043" s="27"/>
      <c r="F5043" t="s">
        <v>26</v>
      </c>
      <c r="G5043" s="28">
        <f>IFERROR(VLOOKUP(F5043,CARTON_LOOKUP!$A:$E,3,0),"")</f>
      </c>
      <c r="H5043" s="28">
        <f>IFERROR(VLOOKUP(F5043,CARTON_LOOKUP!$A:$E,4,0),"")</f>
      </c>
      <c r="I5043" s="28">
        <f>IFERROR(VLOOKUP(F5043,CARTON_LOOKUP!$A:$E,5,0),"")</f>
      </c>
      <c r="J5043" s="29">
        <f>IFERROR(VLOOKUP(F5043,CARTON_LOOKUP!$A:$E,2,0),"")</f>
      </c>
      <c r="K5043" s="29">
        <f>IFERROR(J5043*D5043,0)</f>
      </c>
      <c r="L5043" s="29">
        <f>IFERROR(E5043*C5043,0)</f>
      </c>
      <c r="M5043" s="29">
        <f>IFERROR((G5043*H5043*I5043/1000000)*D5043,0)</f>
      </c>
    </row>
    <row r="5044" spans="1:13" x14ac:dyDescent="0.25">
      <c r="A5044" s="16"/>
      <c r="E5044" s="27"/>
      <c r="F5044" t="s">
        <v>26</v>
      </c>
      <c r="G5044" s="28">
        <f>IFERROR(VLOOKUP(F5044,CARTON_LOOKUP!$A:$E,3,0),"")</f>
      </c>
      <c r="H5044" s="28">
        <f>IFERROR(VLOOKUP(F5044,CARTON_LOOKUP!$A:$E,4,0),"")</f>
      </c>
      <c r="I5044" s="28">
        <f>IFERROR(VLOOKUP(F5044,CARTON_LOOKUP!$A:$E,5,0),"")</f>
      </c>
      <c r="J5044" s="29">
        <f>IFERROR(VLOOKUP(F5044,CARTON_LOOKUP!$A:$E,2,0),"")</f>
      </c>
      <c r="K5044" s="29">
        <f>IFERROR(J5044*D5044,0)</f>
      </c>
      <c r="L5044" s="29">
        <f>IFERROR(E5044*C5044,0)</f>
      </c>
      <c r="M5044" s="29">
        <f>IFERROR((G5044*H5044*I5044/1000000)*D5044,0)</f>
      </c>
    </row>
    <row r="5045" spans="1:13" x14ac:dyDescent="0.25">
      <c r="A5045" s="16"/>
      <c r="E5045" s="27"/>
      <c r="F5045" t="s">
        <v>26</v>
      </c>
      <c r="G5045" s="28">
        <f>IFERROR(VLOOKUP(F5045,CARTON_LOOKUP!$A:$E,3,0),"")</f>
      </c>
      <c r="H5045" s="28">
        <f>IFERROR(VLOOKUP(F5045,CARTON_LOOKUP!$A:$E,4,0),"")</f>
      </c>
      <c r="I5045" s="28">
        <f>IFERROR(VLOOKUP(F5045,CARTON_LOOKUP!$A:$E,5,0),"")</f>
      </c>
      <c r="J5045" s="29">
        <f>IFERROR(VLOOKUP(F5045,CARTON_LOOKUP!$A:$E,2,0),"")</f>
      </c>
      <c r="K5045" s="29">
        <f>IFERROR(J5045*D5045,0)</f>
      </c>
      <c r="L5045" s="29">
        <f>IFERROR(E5045*C5045,0)</f>
      </c>
      <c r="M5045" s="29">
        <f>IFERROR((G5045*H5045*I5045/1000000)*D5045,0)</f>
      </c>
    </row>
    <row r="5046" spans="1:13" x14ac:dyDescent="0.25">
      <c r="A5046" s="16"/>
      <c r="E5046" s="27"/>
      <c r="F5046" t="s">
        <v>26</v>
      </c>
      <c r="G5046" s="28">
        <f>IFERROR(VLOOKUP(F5046,CARTON_LOOKUP!$A:$E,3,0),"")</f>
      </c>
      <c r="H5046" s="28">
        <f>IFERROR(VLOOKUP(F5046,CARTON_LOOKUP!$A:$E,4,0),"")</f>
      </c>
      <c r="I5046" s="28">
        <f>IFERROR(VLOOKUP(F5046,CARTON_LOOKUP!$A:$E,5,0),"")</f>
      </c>
      <c r="J5046" s="29">
        <f>IFERROR(VLOOKUP(F5046,CARTON_LOOKUP!$A:$E,2,0),"")</f>
      </c>
      <c r="K5046" s="29">
        <f>IFERROR(J5046*D5046,0)</f>
      </c>
      <c r="L5046" s="29">
        <f>IFERROR(E5046*C5046,0)</f>
      </c>
      <c r="M5046" s="29">
        <f>IFERROR((G5046*H5046*I5046/1000000)*D5046,0)</f>
      </c>
    </row>
    <row r="5047" spans="1:13" x14ac:dyDescent="0.25">
      <c r="A5047" s="16"/>
      <c r="E5047" s="27"/>
      <c r="F5047" t="s">
        <v>26</v>
      </c>
      <c r="G5047" s="28">
        <f>IFERROR(VLOOKUP(F5047,CARTON_LOOKUP!$A:$E,3,0),"")</f>
      </c>
      <c r="H5047" s="28">
        <f>IFERROR(VLOOKUP(F5047,CARTON_LOOKUP!$A:$E,4,0),"")</f>
      </c>
      <c r="I5047" s="28">
        <f>IFERROR(VLOOKUP(F5047,CARTON_LOOKUP!$A:$E,5,0),"")</f>
      </c>
      <c r="J5047" s="29">
        <f>IFERROR(VLOOKUP(F5047,CARTON_LOOKUP!$A:$E,2,0),"")</f>
      </c>
      <c r="K5047" s="29">
        <f>IFERROR(J5047*D5047,0)</f>
      </c>
      <c r="L5047" s="29">
        <f>IFERROR(E5047*C5047,0)</f>
      </c>
      <c r="M5047" s="29">
        <f>IFERROR((G5047*H5047*I5047/1000000)*D5047,0)</f>
      </c>
    </row>
    <row r="5048" spans="1:13" x14ac:dyDescent="0.25">
      <c r="A5048" s="16"/>
      <c r="E5048" s="27"/>
      <c r="F5048" t="s">
        <v>26</v>
      </c>
      <c r="G5048" s="28">
        <f>IFERROR(VLOOKUP(F5048,CARTON_LOOKUP!$A:$E,3,0),"")</f>
      </c>
      <c r="H5048" s="28">
        <f>IFERROR(VLOOKUP(F5048,CARTON_LOOKUP!$A:$E,4,0),"")</f>
      </c>
      <c r="I5048" s="28">
        <f>IFERROR(VLOOKUP(F5048,CARTON_LOOKUP!$A:$E,5,0),"")</f>
      </c>
      <c r="J5048" s="29">
        <f>IFERROR(VLOOKUP(F5048,CARTON_LOOKUP!$A:$E,2,0),"")</f>
      </c>
      <c r="K5048" s="29">
        <f>IFERROR(J5048*D5048,0)</f>
      </c>
      <c r="L5048" s="29">
        <f>IFERROR(E5048*C5048,0)</f>
      </c>
      <c r="M5048" s="29">
        <f>IFERROR((G5048*H5048*I5048/1000000)*D5048,0)</f>
      </c>
    </row>
    <row r="5049" spans="1:13" x14ac:dyDescent="0.25">
      <c r="A5049" s="16"/>
      <c r="E5049" s="27"/>
      <c r="F5049" t="s">
        <v>26</v>
      </c>
      <c r="G5049" s="28">
        <f>IFERROR(VLOOKUP(F5049,CARTON_LOOKUP!$A:$E,3,0),"")</f>
      </c>
      <c r="H5049" s="28">
        <f>IFERROR(VLOOKUP(F5049,CARTON_LOOKUP!$A:$E,4,0),"")</f>
      </c>
      <c r="I5049" s="28">
        <f>IFERROR(VLOOKUP(F5049,CARTON_LOOKUP!$A:$E,5,0),"")</f>
      </c>
      <c r="J5049" s="29">
        <f>IFERROR(VLOOKUP(F5049,CARTON_LOOKUP!$A:$E,2,0),"")</f>
      </c>
      <c r="K5049" s="29">
        <f>IFERROR(J5049*D5049,0)</f>
      </c>
      <c r="L5049" s="29">
        <f>IFERROR(E5049*C5049,0)</f>
      </c>
      <c r="M5049" s="29">
        <f>IFERROR((G5049*H5049*I5049/1000000)*D5049,0)</f>
      </c>
    </row>
    <row r="5050" spans="1:13" x14ac:dyDescent="0.25">
      <c r="A5050" s="16"/>
      <c r="E5050" s="27"/>
      <c r="F5050" t="s">
        <v>26</v>
      </c>
      <c r="G5050" s="28">
        <f>IFERROR(VLOOKUP(F5050,CARTON_LOOKUP!$A:$E,3,0),"")</f>
      </c>
      <c r="H5050" s="28">
        <f>IFERROR(VLOOKUP(F5050,CARTON_LOOKUP!$A:$E,4,0),"")</f>
      </c>
      <c r="I5050" s="28">
        <f>IFERROR(VLOOKUP(F5050,CARTON_LOOKUP!$A:$E,5,0),"")</f>
      </c>
      <c r="J5050" s="29">
        <f>IFERROR(VLOOKUP(F5050,CARTON_LOOKUP!$A:$E,2,0),"")</f>
      </c>
      <c r="K5050" s="29">
        <f>IFERROR(J5050*D5050,0)</f>
      </c>
      <c r="L5050" s="29">
        <f>IFERROR(E5050*C5050,0)</f>
      </c>
      <c r="M5050" s="29">
        <f>IFERROR((G5050*H5050*I5050/1000000)*D5050,0)</f>
      </c>
    </row>
    <row r="5051" spans="1:13" x14ac:dyDescent="0.25">
      <c r="A5051" s="16"/>
      <c r="E5051" s="27"/>
      <c r="F5051" t="s">
        <v>26</v>
      </c>
      <c r="G5051" s="28">
        <f>IFERROR(VLOOKUP(F5051,CARTON_LOOKUP!$A:$E,3,0),"")</f>
      </c>
      <c r="H5051" s="28">
        <f>IFERROR(VLOOKUP(F5051,CARTON_LOOKUP!$A:$E,4,0),"")</f>
      </c>
      <c r="I5051" s="28">
        <f>IFERROR(VLOOKUP(F5051,CARTON_LOOKUP!$A:$E,5,0),"")</f>
      </c>
      <c r="J5051" s="29">
        <f>IFERROR(VLOOKUP(F5051,CARTON_LOOKUP!$A:$E,2,0),"")</f>
      </c>
      <c r="K5051" s="29">
        <f>IFERROR(J5051*D5051,0)</f>
      </c>
      <c r="L5051" s="29">
        <f>IFERROR(E5051*C5051,0)</f>
      </c>
      <c r="M5051" s="29">
        <f>IFERROR((G5051*H5051*I5051/1000000)*D5051,0)</f>
      </c>
    </row>
    <row r="5052" spans="1:13" x14ac:dyDescent="0.25">
      <c r="A5052" s="16"/>
      <c r="E5052" s="27"/>
      <c r="F5052" t="s">
        <v>26</v>
      </c>
      <c r="G5052" s="28">
        <f>IFERROR(VLOOKUP(F5052,CARTON_LOOKUP!$A:$E,3,0),"")</f>
      </c>
      <c r="H5052" s="28">
        <f>IFERROR(VLOOKUP(F5052,CARTON_LOOKUP!$A:$E,4,0),"")</f>
      </c>
      <c r="I5052" s="28">
        <f>IFERROR(VLOOKUP(F5052,CARTON_LOOKUP!$A:$E,5,0),"")</f>
      </c>
      <c r="J5052" s="29">
        <f>IFERROR(VLOOKUP(F5052,CARTON_LOOKUP!$A:$E,2,0),"")</f>
      </c>
      <c r="K5052" s="29">
        <f>IFERROR(J5052*D5052,0)</f>
      </c>
      <c r="L5052" s="29">
        <f>IFERROR(E5052*C5052,0)</f>
      </c>
      <c r="M5052" s="29">
        <f>IFERROR((G5052*H5052*I5052/1000000)*D5052,0)</f>
      </c>
    </row>
    <row r="5053" spans="1:13" x14ac:dyDescent="0.25">
      <c r="A5053" s="16"/>
      <c r="E5053" s="27"/>
      <c r="F5053" t="s">
        <v>26</v>
      </c>
      <c r="G5053" s="28">
        <f>IFERROR(VLOOKUP(F5053,CARTON_LOOKUP!$A:$E,3,0),"")</f>
      </c>
      <c r="H5053" s="28">
        <f>IFERROR(VLOOKUP(F5053,CARTON_LOOKUP!$A:$E,4,0),"")</f>
      </c>
      <c r="I5053" s="28">
        <f>IFERROR(VLOOKUP(F5053,CARTON_LOOKUP!$A:$E,5,0),"")</f>
      </c>
      <c r="J5053" s="29">
        <f>IFERROR(VLOOKUP(F5053,CARTON_LOOKUP!$A:$E,2,0),"")</f>
      </c>
      <c r="K5053" s="29">
        <f>IFERROR(J5053*D5053,0)</f>
      </c>
      <c r="L5053" s="29">
        <f>IFERROR(E5053*C5053,0)</f>
      </c>
      <c r="M5053" s="29">
        <f>IFERROR((G5053*H5053*I5053/1000000)*D5053,0)</f>
      </c>
    </row>
    <row r="5054" spans="1:13" x14ac:dyDescent="0.25">
      <c r="A5054" s="16"/>
      <c r="E5054" s="27"/>
      <c r="F5054" t="s">
        <v>26</v>
      </c>
      <c r="G5054" s="28">
        <f>IFERROR(VLOOKUP(F5054,CARTON_LOOKUP!$A:$E,3,0),"")</f>
      </c>
      <c r="H5054" s="28">
        <f>IFERROR(VLOOKUP(F5054,CARTON_LOOKUP!$A:$E,4,0),"")</f>
      </c>
      <c r="I5054" s="28">
        <f>IFERROR(VLOOKUP(F5054,CARTON_LOOKUP!$A:$E,5,0),"")</f>
      </c>
      <c r="J5054" s="29">
        <f>IFERROR(VLOOKUP(F5054,CARTON_LOOKUP!$A:$E,2,0),"")</f>
      </c>
      <c r="K5054" s="29">
        <f>IFERROR(J5054*D5054,0)</f>
      </c>
      <c r="L5054" s="29">
        <f>IFERROR(E5054*C5054,0)</f>
      </c>
      <c r="M5054" s="29">
        <f>IFERROR((G5054*H5054*I5054/1000000)*D5054,0)</f>
      </c>
    </row>
    <row r="5055" spans="1:13" x14ac:dyDescent="0.25">
      <c r="A5055" s="16"/>
      <c r="E5055" s="27"/>
      <c r="F5055" t="s">
        <v>26</v>
      </c>
      <c r="G5055" s="28">
        <f>IFERROR(VLOOKUP(F5055,CARTON_LOOKUP!$A:$E,3,0),"")</f>
      </c>
      <c r="H5055" s="28">
        <f>IFERROR(VLOOKUP(F5055,CARTON_LOOKUP!$A:$E,4,0),"")</f>
      </c>
      <c r="I5055" s="28">
        <f>IFERROR(VLOOKUP(F5055,CARTON_LOOKUP!$A:$E,5,0),"")</f>
      </c>
      <c r="J5055" s="29">
        <f>IFERROR(VLOOKUP(F5055,CARTON_LOOKUP!$A:$E,2,0),"")</f>
      </c>
      <c r="K5055" s="29">
        <f>IFERROR(J5055*D5055,0)</f>
      </c>
      <c r="L5055" s="29">
        <f>IFERROR(E5055*C5055,0)</f>
      </c>
      <c r="M5055" s="29">
        <f>IFERROR((G5055*H5055*I5055/1000000)*D5055,0)</f>
      </c>
    </row>
    <row r="5056" spans="1:13" x14ac:dyDescent="0.25">
      <c r="A5056" s="16"/>
      <c r="E5056" s="27"/>
      <c r="F5056" t="s">
        <v>26</v>
      </c>
      <c r="G5056" s="28">
        <f>IFERROR(VLOOKUP(F5056,CARTON_LOOKUP!$A:$E,3,0),"")</f>
      </c>
      <c r="H5056" s="28">
        <f>IFERROR(VLOOKUP(F5056,CARTON_LOOKUP!$A:$E,4,0),"")</f>
      </c>
      <c r="I5056" s="28">
        <f>IFERROR(VLOOKUP(F5056,CARTON_LOOKUP!$A:$E,5,0),"")</f>
      </c>
      <c r="J5056" s="29">
        <f>IFERROR(VLOOKUP(F5056,CARTON_LOOKUP!$A:$E,2,0),"")</f>
      </c>
      <c r="K5056" s="29">
        <f>IFERROR(J5056*D5056,0)</f>
      </c>
      <c r="L5056" s="29">
        <f>IFERROR(E5056*C5056,0)</f>
      </c>
      <c r="M5056" s="29">
        <f>IFERROR((G5056*H5056*I5056/1000000)*D5056,0)</f>
      </c>
    </row>
    <row r="5057" spans="1:13" x14ac:dyDescent="0.25">
      <c r="A5057" s="16"/>
      <c r="E5057" s="27"/>
      <c r="F5057" t="s">
        <v>26</v>
      </c>
      <c r="G5057" s="28">
        <f>IFERROR(VLOOKUP(F5057,CARTON_LOOKUP!$A:$E,3,0),"")</f>
      </c>
      <c r="H5057" s="28">
        <f>IFERROR(VLOOKUP(F5057,CARTON_LOOKUP!$A:$E,4,0),"")</f>
      </c>
      <c r="I5057" s="28">
        <f>IFERROR(VLOOKUP(F5057,CARTON_LOOKUP!$A:$E,5,0),"")</f>
      </c>
      <c r="J5057" s="29">
        <f>IFERROR(VLOOKUP(F5057,CARTON_LOOKUP!$A:$E,2,0),"")</f>
      </c>
      <c r="K5057" s="29">
        <f>IFERROR(J5057*D5057,0)</f>
      </c>
      <c r="L5057" s="29">
        <f>IFERROR(E5057*C5057,0)</f>
      </c>
      <c r="M5057" s="29">
        <f>IFERROR((G5057*H5057*I5057/1000000)*D5057,0)</f>
      </c>
    </row>
    <row r="5058" spans="1:13" x14ac:dyDescent="0.25">
      <c r="A5058" s="16"/>
      <c r="E5058" s="27"/>
      <c r="F5058" t="s">
        <v>26</v>
      </c>
      <c r="G5058" s="28">
        <f>IFERROR(VLOOKUP(F5058,CARTON_LOOKUP!$A:$E,3,0),"")</f>
      </c>
      <c r="H5058" s="28">
        <f>IFERROR(VLOOKUP(F5058,CARTON_LOOKUP!$A:$E,4,0),"")</f>
      </c>
      <c r="I5058" s="28">
        <f>IFERROR(VLOOKUP(F5058,CARTON_LOOKUP!$A:$E,5,0),"")</f>
      </c>
      <c r="J5058" s="29">
        <f>IFERROR(VLOOKUP(F5058,CARTON_LOOKUP!$A:$E,2,0),"")</f>
      </c>
      <c r="K5058" s="29">
        <f>IFERROR(J5058*D5058,0)</f>
      </c>
      <c r="L5058" s="29">
        <f>IFERROR(E5058*C5058,0)</f>
      </c>
      <c r="M5058" s="29">
        <f>IFERROR((G5058*H5058*I5058/1000000)*D5058,0)</f>
      </c>
    </row>
    <row r="5059" spans="1:13" x14ac:dyDescent="0.25">
      <c r="A5059" s="16"/>
      <c r="E5059" s="27"/>
      <c r="F5059" t="s">
        <v>26</v>
      </c>
      <c r="G5059" s="28">
        <f>IFERROR(VLOOKUP(F5059,CARTON_LOOKUP!$A:$E,3,0),"")</f>
      </c>
      <c r="H5059" s="28">
        <f>IFERROR(VLOOKUP(F5059,CARTON_LOOKUP!$A:$E,4,0),"")</f>
      </c>
      <c r="I5059" s="28">
        <f>IFERROR(VLOOKUP(F5059,CARTON_LOOKUP!$A:$E,5,0),"")</f>
      </c>
      <c r="J5059" s="29">
        <f>IFERROR(VLOOKUP(F5059,CARTON_LOOKUP!$A:$E,2,0),"")</f>
      </c>
      <c r="K5059" s="29">
        <f>IFERROR(J5059*D5059,0)</f>
      </c>
      <c r="L5059" s="29">
        <f>IFERROR(E5059*C5059,0)</f>
      </c>
      <c r="M5059" s="29">
        <f>IFERROR((G5059*H5059*I5059/1000000)*D5059,0)</f>
      </c>
    </row>
    <row r="5060" spans="1:13" x14ac:dyDescent="0.25">
      <c r="A5060" s="16"/>
      <c r="E5060" s="27"/>
      <c r="F5060" t="s">
        <v>26</v>
      </c>
      <c r="G5060" s="28">
        <f>IFERROR(VLOOKUP(F5060,CARTON_LOOKUP!$A:$E,3,0),"")</f>
      </c>
      <c r="H5060" s="28">
        <f>IFERROR(VLOOKUP(F5060,CARTON_LOOKUP!$A:$E,4,0),"")</f>
      </c>
      <c r="I5060" s="28">
        <f>IFERROR(VLOOKUP(F5060,CARTON_LOOKUP!$A:$E,5,0),"")</f>
      </c>
      <c r="J5060" s="29">
        <f>IFERROR(VLOOKUP(F5060,CARTON_LOOKUP!$A:$E,2,0),"")</f>
      </c>
      <c r="K5060" s="29">
        <f>IFERROR(J5060*D5060,0)</f>
      </c>
      <c r="L5060" s="29">
        <f>IFERROR(E5060*C5060,0)</f>
      </c>
      <c r="M5060" s="29">
        <f>IFERROR((G5060*H5060*I5060/1000000)*D5060,0)</f>
      </c>
    </row>
    <row r="5061" spans="1:13" x14ac:dyDescent="0.25">
      <c r="A5061" s="16"/>
      <c r="E5061" s="27"/>
      <c r="F5061" t="s">
        <v>26</v>
      </c>
      <c r="G5061" s="28">
        <f>IFERROR(VLOOKUP(F5061,CARTON_LOOKUP!$A:$E,3,0),"")</f>
      </c>
      <c r="H5061" s="28">
        <f>IFERROR(VLOOKUP(F5061,CARTON_LOOKUP!$A:$E,4,0),"")</f>
      </c>
      <c r="I5061" s="28">
        <f>IFERROR(VLOOKUP(F5061,CARTON_LOOKUP!$A:$E,5,0),"")</f>
      </c>
      <c r="J5061" s="29">
        <f>IFERROR(VLOOKUP(F5061,CARTON_LOOKUP!$A:$E,2,0),"")</f>
      </c>
      <c r="K5061" s="29">
        <f>IFERROR(J5061*D5061,0)</f>
      </c>
      <c r="L5061" s="29">
        <f>IFERROR(E5061*C5061,0)</f>
      </c>
      <c r="M5061" s="29">
        <f>IFERROR((G5061*H5061*I5061/1000000)*D5061,0)</f>
      </c>
    </row>
    <row r="5062" spans="1:13" x14ac:dyDescent="0.25">
      <c r="A5062" s="16"/>
      <c r="E5062" s="27"/>
      <c r="F5062" t="s">
        <v>26</v>
      </c>
      <c r="G5062" s="28">
        <f>IFERROR(VLOOKUP(F5062,CARTON_LOOKUP!$A:$E,3,0),"")</f>
      </c>
      <c r="H5062" s="28">
        <f>IFERROR(VLOOKUP(F5062,CARTON_LOOKUP!$A:$E,4,0),"")</f>
      </c>
      <c r="I5062" s="28">
        <f>IFERROR(VLOOKUP(F5062,CARTON_LOOKUP!$A:$E,5,0),"")</f>
      </c>
      <c r="J5062" s="29">
        <f>IFERROR(VLOOKUP(F5062,CARTON_LOOKUP!$A:$E,2,0),"")</f>
      </c>
      <c r="K5062" s="29">
        <f>IFERROR(J5062*D5062,0)</f>
      </c>
      <c r="L5062" s="29">
        <f>IFERROR(E5062*C5062,0)</f>
      </c>
      <c r="M5062" s="29">
        <f>IFERROR((G5062*H5062*I5062/1000000)*D5062,0)</f>
      </c>
    </row>
    <row r="5063" spans="1:13" x14ac:dyDescent="0.25">
      <c r="A5063" s="16"/>
      <c r="E5063" s="27"/>
      <c r="F5063" t="s">
        <v>26</v>
      </c>
      <c r="G5063" s="28">
        <f>IFERROR(VLOOKUP(F5063,CARTON_LOOKUP!$A:$E,3,0),"")</f>
      </c>
      <c r="H5063" s="28">
        <f>IFERROR(VLOOKUP(F5063,CARTON_LOOKUP!$A:$E,4,0),"")</f>
      </c>
      <c r="I5063" s="28">
        <f>IFERROR(VLOOKUP(F5063,CARTON_LOOKUP!$A:$E,5,0),"")</f>
      </c>
      <c r="J5063" s="29">
        <f>IFERROR(VLOOKUP(F5063,CARTON_LOOKUP!$A:$E,2,0),"")</f>
      </c>
      <c r="K5063" s="29">
        <f>IFERROR(J5063*D5063,0)</f>
      </c>
      <c r="L5063" s="29">
        <f>IFERROR(E5063*C5063,0)</f>
      </c>
      <c r="M5063" s="29">
        <f>IFERROR((G5063*H5063*I5063/1000000)*D5063,0)</f>
      </c>
    </row>
    <row r="5064" spans="1:13" x14ac:dyDescent="0.25">
      <c r="A5064" s="16"/>
      <c r="E5064" s="27"/>
      <c r="F5064" t="s">
        <v>26</v>
      </c>
      <c r="G5064" s="28">
        <f>IFERROR(VLOOKUP(F5064,CARTON_LOOKUP!$A:$E,3,0),"")</f>
      </c>
      <c r="H5064" s="28">
        <f>IFERROR(VLOOKUP(F5064,CARTON_LOOKUP!$A:$E,4,0),"")</f>
      </c>
      <c r="I5064" s="28">
        <f>IFERROR(VLOOKUP(F5064,CARTON_LOOKUP!$A:$E,5,0),"")</f>
      </c>
      <c r="J5064" s="29">
        <f>IFERROR(VLOOKUP(F5064,CARTON_LOOKUP!$A:$E,2,0),"")</f>
      </c>
      <c r="K5064" s="29">
        <f>IFERROR(J5064*D5064,0)</f>
      </c>
      <c r="L5064" s="29">
        <f>IFERROR(E5064*C5064,0)</f>
      </c>
      <c r="M5064" s="29">
        <f>IFERROR((G5064*H5064*I5064/1000000)*D5064,0)</f>
      </c>
    </row>
    <row r="5065" spans="1:13" x14ac:dyDescent="0.25">
      <c r="A5065" s="16"/>
      <c r="E5065" s="27"/>
      <c r="F5065" t="s">
        <v>26</v>
      </c>
      <c r="G5065" s="28">
        <f>IFERROR(VLOOKUP(F5065,CARTON_LOOKUP!$A:$E,3,0),"")</f>
      </c>
      <c r="H5065" s="28">
        <f>IFERROR(VLOOKUP(F5065,CARTON_LOOKUP!$A:$E,4,0),"")</f>
      </c>
      <c r="I5065" s="28">
        <f>IFERROR(VLOOKUP(F5065,CARTON_LOOKUP!$A:$E,5,0),"")</f>
      </c>
      <c r="J5065" s="29">
        <f>IFERROR(VLOOKUP(F5065,CARTON_LOOKUP!$A:$E,2,0),"")</f>
      </c>
      <c r="K5065" s="29">
        <f>IFERROR(J5065*D5065,0)</f>
      </c>
      <c r="L5065" s="29">
        <f>IFERROR(E5065*C5065,0)</f>
      </c>
      <c r="M5065" s="29">
        <f>IFERROR((G5065*H5065*I5065/1000000)*D5065,0)</f>
      </c>
    </row>
    <row r="5066" spans="1:13" x14ac:dyDescent="0.25">
      <c r="A5066" s="16"/>
      <c r="E5066" s="27"/>
      <c r="F5066" t="s">
        <v>26</v>
      </c>
      <c r="G5066" s="28">
        <f>IFERROR(VLOOKUP(F5066,CARTON_LOOKUP!$A:$E,3,0),"")</f>
      </c>
      <c r="H5066" s="28">
        <f>IFERROR(VLOOKUP(F5066,CARTON_LOOKUP!$A:$E,4,0),"")</f>
      </c>
      <c r="I5066" s="28">
        <f>IFERROR(VLOOKUP(F5066,CARTON_LOOKUP!$A:$E,5,0),"")</f>
      </c>
      <c r="J5066" s="29">
        <f>IFERROR(VLOOKUP(F5066,CARTON_LOOKUP!$A:$E,2,0),"")</f>
      </c>
      <c r="K5066" s="29">
        <f>IFERROR(J5066*D5066,0)</f>
      </c>
      <c r="L5066" s="29">
        <f>IFERROR(E5066*C5066,0)</f>
      </c>
      <c r="M5066" s="29">
        <f>IFERROR((G5066*H5066*I5066/1000000)*D5066,0)</f>
      </c>
    </row>
    <row r="5067" spans="1:13" x14ac:dyDescent="0.25">
      <c r="A5067" s="16"/>
      <c r="E5067" s="27"/>
      <c r="F5067" t="s">
        <v>26</v>
      </c>
      <c r="G5067" s="28">
        <f>IFERROR(VLOOKUP(F5067,CARTON_LOOKUP!$A:$E,3,0),"")</f>
      </c>
      <c r="H5067" s="28">
        <f>IFERROR(VLOOKUP(F5067,CARTON_LOOKUP!$A:$E,4,0),"")</f>
      </c>
      <c r="I5067" s="28">
        <f>IFERROR(VLOOKUP(F5067,CARTON_LOOKUP!$A:$E,5,0),"")</f>
      </c>
      <c r="J5067" s="29">
        <f>IFERROR(VLOOKUP(F5067,CARTON_LOOKUP!$A:$E,2,0),"")</f>
      </c>
      <c r="K5067" s="29">
        <f>IFERROR(J5067*D5067,0)</f>
      </c>
      <c r="L5067" s="29">
        <f>IFERROR(E5067*C5067,0)</f>
      </c>
      <c r="M5067" s="29">
        <f>IFERROR((G5067*H5067*I5067/1000000)*D5067,0)</f>
      </c>
    </row>
    <row r="5068" spans="1:13" x14ac:dyDescent="0.25">
      <c r="A5068" s="16"/>
      <c r="E5068" s="27"/>
      <c r="F5068" t="s">
        <v>26</v>
      </c>
      <c r="G5068" s="28">
        <f>IFERROR(VLOOKUP(F5068,CARTON_LOOKUP!$A:$E,3,0),"")</f>
      </c>
      <c r="H5068" s="28">
        <f>IFERROR(VLOOKUP(F5068,CARTON_LOOKUP!$A:$E,4,0),"")</f>
      </c>
      <c r="I5068" s="28">
        <f>IFERROR(VLOOKUP(F5068,CARTON_LOOKUP!$A:$E,5,0),"")</f>
      </c>
      <c r="J5068" s="29">
        <f>IFERROR(VLOOKUP(F5068,CARTON_LOOKUP!$A:$E,2,0),"")</f>
      </c>
      <c r="K5068" s="29">
        <f>IFERROR(J5068*D5068,0)</f>
      </c>
      <c r="L5068" s="29">
        <f>IFERROR(E5068*C5068,0)</f>
      </c>
      <c r="M5068" s="29">
        <f>IFERROR((G5068*H5068*I5068/1000000)*D5068,0)</f>
      </c>
    </row>
    <row r="5069" spans="1:13" x14ac:dyDescent="0.25">
      <c r="A5069" s="16"/>
      <c r="E5069" s="27"/>
      <c r="F5069" t="s">
        <v>26</v>
      </c>
      <c r="G5069" s="28">
        <f>IFERROR(VLOOKUP(F5069,CARTON_LOOKUP!$A:$E,3,0),"")</f>
      </c>
      <c r="H5069" s="28">
        <f>IFERROR(VLOOKUP(F5069,CARTON_LOOKUP!$A:$E,4,0),"")</f>
      </c>
      <c r="I5069" s="28">
        <f>IFERROR(VLOOKUP(F5069,CARTON_LOOKUP!$A:$E,5,0),"")</f>
      </c>
      <c r="J5069" s="29">
        <f>IFERROR(VLOOKUP(F5069,CARTON_LOOKUP!$A:$E,2,0),"")</f>
      </c>
      <c r="K5069" s="29">
        <f>IFERROR(J5069*D5069,0)</f>
      </c>
      <c r="L5069" s="29">
        <f>IFERROR(E5069*C5069,0)</f>
      </c>
      <c r="M5069" s="29">
        <f>IFERROR((G5069*H5069*I5069/1000000)*D5069,0)</f>
      </c>
    </row>
    <row r="5070" spans="1:13" x14ac:dyDescent="0.25">
      <c r="A5070" s="16"/>
      <c r="E5070" s="27"/>
      <c r="F5070" t="s">
        <v>26</v>
      </c>
      <c r="G5070" s="28">
        <f>IFERROR(VLOOKUP(F5070,CARTON_LOOKUP!$A:$E,3,0),"")</f>
      </c>
      <c r="H5070" s="28">
        <f>IFERROR(VLOOKUP(F5070,CARTON_LOOKUP!$A:$E,4,0),"")</f>
      </c>
      <c r="I5070" s="28">
        <f>IFERROR(VLOOKUP(F5070,CARTON_LOOKUP!$A:$E,5,0),"")</f>
      </c>
      <c r="J5070" s="29">
        <f>IFERROR(VLOOKUP(F5070,CARTON_LOOKUP!$A:$E,2,0),"")</f>
      </c>
      <c r="K5070" s="29">
        <f>IFERROR(J5070*D5070,0)</f>
      </c>
      <c r="L5070" s="29">
        <f>IFERROR(E5070*C5070,0)</f>
      </c>
      <c r="M5070" s="29">
        <f>IFERROR((G5070*H5070*I5070/1000000)*D5070,0)</f>
      </c>
    </row>
    <row r="5071" spans="1:13" x14ac:dyDescent="0.25">
      <c r="A5071" s="16"/>
      <c r="E5071" s="27"/>
      <c r="F5071" t="s">
        <v>26</v>
      </c>
      <c r="G5071" s="28">
        <f>IFERROR(VLOOKUP(F5071,CARTON_LOOKUP!$A:$E,3,0),"")</f>
      </c>
      <c r="H5071" s="28">
        <f>IFERROR(VLOOKUP(F5071,CARTON_LOOKUP!$A:$E,4,0),"")</f>
      </c>
      <c r="I5071" s="28">
        <f>IFERROR(VLOOKUP(F5071,CARTON_LOOKUP!$A:$E,5,0),"")</f>
      </c>
      <c r="J5071" s="29">
        <f>IFERROR(VLOOKUP(F5071,CARTON_LOOKUP!$A:$E,2,0),"")</f>
      </c>
      <c r="K5071" s="29">
        <f>IFERROR(J5071*D5071,0)</f>
      </c>
      <c r="L5071" s="29">
        <f>IFERROR(E5071*C5071,0)</f>
      </c>
      <c r="M5071" s="29">
        <f>IFERROR((G5071*H5071*I5071/1000000)*D5071,0)</f>
      </c>
    </row>
    <row r="5072" spans="1:13" x14ac:dyDescent="0.25">
      <c r="A5072" s="16"/>
      <c r="E5072" s="27"/>
      <c r="F5072" t="s">
        <v>26</v>
      </c>
      <c r="G5072" s="28">
        <f>IFERROR(VLOOKUP(F5072,CARTON_LOOKUP!$A:$E,3,0),"")</f>
      </c>
      <c r="H5072" s="28">
        <f>IFERROR(VLOOKUP(F5072,CARTON_LOOKUP!$A:$E,4,0),"")</f>
      </c>
      <c r="I5072" s="28">
        <f>IFERROR(VLOOKUP(F5072,CARTON_LOOKUP!$A:$E,5,0),"")</f>
      </c>
      <c r="J5072" s="29">
        <f>IFERROR(VLOOKUP(F5072,CARTON_LOOKUP!$A:$E,2,0),"")</f>
      </c>
      <c r="K5072" s="29">
        <f>IFERROR(J5072*D5072,0)</f>
      </c>
      <c r="L5072" s="29">
        <f>IFERROR(E5072*C5072,0)</f>
      </c>
      <c r="M5072" s="29">
        <f>IFERROR((G5072*H5072*I5072/1000000)*D5072,0)</f>
      </c>
    </row>
    <row r="5073" spans="1:13" x14ac:dyDescent="0.25">
      <c r="A5073" s="16"/>
      <c r="E5073" s="27"/>
      <c r="F5073" t="s">
        <v>26</v>
      </c>
      <c r="G5073" s="28">
        <f>IFERROR(VLOOKUP(F5073,CARTON_LOOKUP!$A:$E,3,0),"")</f>
      </c>
      <c r="H5073" s="28">
        <f>IFERROR(VLOOKUP(F5073,CARTON_LOOKUP!$A:$E,4,0),"")</f>
      </c>
      <c r="I5073" s="28">
        <f>IFERROR(VLOOKUP(F5073,CARTON_LOOKUP!$A:$E,5,0),"")</f>
      </c>
      <c r="J5073" s="29">
        <f>IFERROR(VLOOKUP(F5073,CARTON_LOOKUP!$A:$E,2,0),"")</f>
      </c>
      <c r="K5073" s="29">
        <f>IFERROR(J5073*D5073,0)</f>
      </c>
      <c r="L5073" s="29">
        <f>IFERROR(E5073*C5073,0)</f>
      </c>
      <c r="M5073" s="29">
        <f>IFERROR((G5073*H5073*I5073/1000000)*D5073,0)</f>
      </c>
    </row>
    <row r="5074" spans="1:13" x14ac:dyDescent="0.25">
      <c r="A5074" s="16"/>
      <c r="E5074" s="27"/>
      <c r="F5074" t="s">
        <v>26</v>
      </c>
      <c r="G5074" s="28">
        <f>IFERROR(VLOOKUP(F5074,CARTON_LOOKUP!$A:$E,3,0),"")</f>
      </c>
      <c r="H5074" s="28">
        <f>IFERROR(VLOOKUP(F5074,CARTON_LOOKUP!$A:$E,4,0),"")</f>
      </c>
      <c r="I5074" s="28">
        <f>IFERROR(VLOOKUP(F5074,CARTON_LOOKUP!$A:$E,5,0),"")</f>
      </c>
      <c r="J5074" s="29">
        <f>IFERROR(VLOOKUP(F5074,CARTON_LOOKUP!$A:$E,2,0),"")</f>
      </c>
      <c r="K5074" s="29">
        <f>IFERROR(J5074*D5074,0)</f>
      </c>
      <c r="L5074" s="29">
        <f>IFERROR(E5074*C5074,0)</f>
      </c>
      <c r="M5074" s="29">
        <f>IFERROR((G5074*H5074*I5074/1000000)*D5074,0)</f>
      </c>
    </row>
    <row r="5075" spans="1:13" x14ac:dyDescent="0.25">
      <c r="A5075" s="16"/>
      <c r="E5075" s="27"/>
      <c r="F5075" t="s">
        <v>26</v>
      </c>
      <c r="G5075" s="28">
        <f>IFERROR(VLOOKUP(F5075,CARTON_LOOKUP!$A:$E,3,0),"")</f>
      </c>
      <c r="H5075" s="28">
        <f>IFERROR(VLOOKUP(F5075,CARTON_LOOKUP!$A:$E,4,0),"")</f>
      </c>
      <c r="I5075" s="28">
        <f>IFERROR(VLOOKUP(F5075,CARTON_LOOKUP!$A:$E,5,0),"")</f>
      </c>
      <c r="J5075" s="29">
        <f>IFERROR(VLOOKUP(F5075,CARTON_LOOKUP!$A:$E,2,0),"")</f>
      </c>
      <c r="K5075" s="29">
        <f>IFERROR(J5075*D5075,0)</f>
      </c>
      <c r="L5075" s="29">
        <f>IFERROR(E5075*C5075,0)</f>
      </c>
      <c r="M5075" s="29">
        <f>IFERROR((G5075*H5075*I5075/1000000)*D5075,0)</f>
      </c>
    </row>
    <row r="5076" spans="1:13" x14ac:dyDescent="0.25">
      <c r="A5076" s="16"/>
      <c r="E5076" s="27"/>
      <c r="F5076" t="s">
        <v>26</v>
      </c>
      <c r="G5076" s="28">
        <f>IFERROR(VLOOKUP(F5076,CARTON_LOOKUP!$A:$E,3,0),"")</f>
      </c>
      <c r="H5076" s="28">
        <f>IFERROR(VLOOKUP(F5076,CARTON_LOOKUP!$A:$E,4,0),"")</f>
      </c>
      <c r="I5076" s="28">
        <f>IFERROR(VLOOKUP(F5076,CARTON_LOOKUP!$A:$E,5,0),"")</f>
      </c>
      <c r="J5076" s="29">
        <f>IFERROR(VLOOKUP(F5076,CARTON_LOOKUP!$A:$E,2,0),"")</f>
      </c>
      <c r="K5076" s="29">
        <f>IFERROR(J5076*D5076,0)</f>
      </c>
      <c r="L5076" s="29">
        <f>IFERROR(E5076*C5076,0)</f>
      </c>
      <c r="M5076" s="29">
        <f>IFERROR((G5076*H5076*I5076/1000000)*D5076,0)</f>
      </c>
    </row>
    <row r="5077" spans="1:13" x14ac:dyDescent="0.25">
      <c r="A5077" s="16"/>
      <c r="E5077" s="27"/>
      <c r="F5077" t="s">
        <v>26</v>
      </c>
      <c r="G5077" s="28">
        <f>IFERROR(VLOOKUP(F5077,CARTON_LOOKUP!$A:$E,3,0),"")</f>
      </c>
      <c r="H5077" s="28">
        <f>IFERROR(VLOOKUP(F5077,CARTON_LOOKUP!$A:$E,4,0),"")</f>
      </c>
      <c r="I5077" s="28">
        <f>IFERROR(VLOOKUP(F5077,CARTON_LOOKUP!$A:$E,5,0),"")</f>
      </c>
      <c r="J5077" s="29">
        <f>IFERROR(VLOOKUP(F5077,CARTON_LOOKUP!$A:$E,2,0),"")</f>
      </c>
      <c r="K5077" s="29">
        <f>IFERROR(J5077*D5077,0)</f>
      </c>
      <c r="L5077" s="29">
        <f>IFERROR(E5077*C5077,0)</f>
      </c>
      <c r="M5077" s="29">
        <f>IFERROR((G5077*H5077*I5077/1000000)*D5077,0)</f>
      </c>
    </row>
    <row r="5078" spans="1:13" x14ac:dyDescent="0.25">
      <c r="A5078" s="16"/>
      <c r="E5078" s="27"/>
      <c r="F5078" t="s">
        <v>26</v>
      </c>
      <c r="G5078" s="28">
        <f>IFERROR(VLOOKUP(F5078,CARTON_LOOKUP!$A:$E,3,0),"")</f>
      </c>
      <c r="H5078" s="28">
        <f>IFERROR(VLOOKUP(F5078,CARTON_LOOKUP!$A:$E,4,0),"")</f>
      </c>
      <c r="I5078" s="28">
        <f>IFERROR(VLOOKUP(F5078,CARTON_LOOKUP!$A:$E,5,0),"")</f>
      </c>
      <c r="J5078" s="29">
        <f>IFERROR(VLOOKUP(F5078,CARTON_LOOKUP!$A:$E,2,0),"")</f>
      </c>
      <c r="K5078" s="29">
        <f>IFERROR(J5078*D5078,0)</f>
      </c>
      <c r="L5078" s="29">
        <f>IFERROR(E5078*C5078,0)</f>
      </c>
      <c r="M5078" s="29">
        <f>IFERROR((G5078*H5078*I5078/1000000)*D5078,0)</f>
      </c>
    </row>
    <row r="5079" spans="1:13" x14ac:dyDescent="0.25">
      <c r="A5079" s="16"/>
      <c r="E5079" s="27"/>
      <c r="F5079" t="s">
        <v>26</v>
      </c>
      <c r="G5079" s="28">
        <f>IFERROR(VLOOKUP(F5079,CARTON_LOOKUP!$A:$E,3,0),"")</f>
      </c>
      <c r="H5079" s="28">
        <f>IFERROR(VLOOKUP(F5079,CARTON_LOOKUP!$A:$E,4,0),"")</f>
      </c>
      <c r="I5079" s="28">
        <f>IFERROR(VLOOKUP(F5079,CARTON_LOOKUP!$A:$E,5,0),"")</f>
      </c>
      <c r="J5079" s="29">
        <f>IFERROR(VLOOKUP(F5079,CARTON_LOOKUP!$A:$E,2,0),"")</f>
      </c>
      <c r="K5079" s="29">
        <f>IFERROR(J5079*D5079,0)</f>
      </c>
      <c r="L5079" s="29">
        <f>IFERROR(E5079*C5079,0)</f>
      </c>
      <c r="M5079" s="29">
        <f>IFERROR((G5079*H5079*I5079/1000000)*D5079,0)</f>
      </c>
    </row>
    <row r="5080" spans="1:13" x14ac:dyDescent="0.25">
      <c r="A5080" s="16"/>
      <c r="E5080" s="27"/>
      <c r="F5080" t="s">
        <v>26</v>
      </c>
      <c r="G5080" s="28">
        <f>IFERROR(VLOOKUP(F5080,CARTON_LOOKUP!$A:$E,3,0),"")</f>
      </c>
      <c r="H5080" s="28">
        <f>IFERROR(VLOOKUP(F5080,CARTON_LOOKUP!$A:$E,4,0),"")</f>
      </c>
      <c r="I5080" s="28">
        <f>IFERROR(VLOOKUP(F5080,CARTON_LOOKUP!$A:$E,5,0),"")</f>
      </c>
      <c r="J5080" s="29">
        <f>IFERROR(VLOOKUP(F5080,CARTON_LOOKUP!$A:$E,2,0),"")</f>
      </c>
      <c r="K5080" s="29">
        <f>IFERROR(J5080*D5080,0)</f>
      </c>
      <c r="L5080" s="29">
        <f>IFERROR(E5080*C5080,0)</f>
      </c>
      <c r="M5080" s="29">
        <f>IFERROR((G5080*H5080*I5080/1000000)*D5080,0)</f>
      </c>
    </row>
    <row r="5081" spans="1:13" x14ac:dyDescent="0.25">
      <c r="A5081" s="16"/>
      <c r="E5081" s="27"/>
      <c r="F5081" t="s">
        <v>26</v>
      </c>
      <c r="G5081" s="28">
        <f>IFERROR(VLOOKUP(F5081,CARTON_LOOKUP!$A:$E,3,0),"")</f>
      </c>
      <c r="H5081" s="28">
        <f>IFERROR(VLOOKUP(F5081,CARTON_LOOKUP!$A:$E,4,0),"")</f>
      </c>
      <c r="I5081" s="28">
        <f>IFERROR(VLOOKUP(F5081,CARTON_LOOKUP!$A:$E,5,0),"")</f>
      </c>
      <c r="J5081" s="29">
        <f>IFERROR(VLOOKUP(F5081,CARTON_LOOKUP!$A:$E,2,0),"")</f>
      </c>
      <c r="K5081" s="29">
        <f>IFERROR(J5081*D5081,0)</f>
      </c>
      <c r="L5081" s="29">
        <f>IFERROR(E5081*C5081,0)</f>
      </c>
      <c r="M5081" s="29">
        <f>IFERROR((G5081*H5081*I5081/1000000)*D5081,0)</f>
      </c>
    </row>
    <row r="5082" spans="1:13" x14ac:dyDescent="0.25">
      <c r="A5082" s="16"/>
      <c r="E5082" s="27"/>
      <c r="F5082" t="s">
        <v>26</v>
      </c>
      <c r="G5082" s="28">
        <f>IFERROR(VLOOKUP(F5082,CARTON_LOOKUP!$A:$E,3,0),"")</f>
      </c>
      <c r="H5082" s="28">
        <f>IFERROR(VLOOKUP(F5082,CARTON_LOOKUP!$A:$E,4,0),"")</f>
      </c>
      <c r="I5082" s="28">
        <f>IFERROR(VLOOKUP(F5082,CARTON_LOOKUP!$A:$E,5,0),"")</f>
      </c>
      <c r="J5082" s="29">
        <f>IFERROR(VLOOKUP(F5082,CARTON_LOOKUP!$A:$E,2,0),"")</f>
      </c>
      <c r="K5082" s="29">
        <f>IFERROR(J5082*D5082,0)</f>
      </c>
      <c r="L5082" s="29">
        <f>IFERROR(E5082*C5082,0)</f>
      </c>
      <c r="M5082" s="29">
        <f>IFERROR((G5082*H5082*I5082/1000000)*D5082,0)</f>
      </c>
    </row>
    <row r="5083" spans="1:13" x14ac:dyDescent="0.25">
      <c r="A5083" s="16"/>
      <c r="E5083" s="27"/>
      <c r="F5083" t="s">
        <v>26</v>
      </c>
      <c r="G5083" s="28">
        <f>IFERROR(VLOOKUP(F5083,CARTON_LOOKUP!$A:$E,3,0),"")</f>
      </c>
      <c r="H5083" s="28">
        <f>IFERROR(VLOOKUP(F5083,CARTON_LOOKUP!$A:$E,4,0),"")</f>
      </c>
      <c r="I5083" s="28">
        <f>IFERROR(VLOOKUP(F5083,CARTON_LOOKUP!$A:$E,5,0),"")</f>
      </c>
      <c r="J5083" s="29">
        <f>IFERROR(VLOOKUP(F5083,CARTON_LOOKUP!$A:$E,2,0),"")</f>
      </c>
      <c r="K5083" s="29">
        <f>IFERROR(J5083*D5083,0)</f>
      </c>
      <c r="L5083" s="29">
        <f>IFERROR(E5083*C5083,0)</f>
      </c>
      <c r="M5083" s="29">
        <f>IFERROR((G5083*H5083*I5083/1000000)*D5083,0)</f>
      </c>
    </row>
    <row r="5084" spans="1:13" x14ac:dyDescent="0.25">
      <c r="A5084" s="16"/>
      <c r="E5084" s="27"/>
      <c r="F5084" t="s">
        <v>26</v>
      </c>
      <c r="G5084" s="28">
        <f>IFERROR(VLOOKUP(F5084,CARTON_LOOKUP!$A:$E,3,0),"")</f>
      </c>
      <c r="H5084" s="28">
        <f>IFERROR(VLOOKUP(F5084,CARTON_LOOKUP!$A:$E,4,0),"")</f>
      </c>
      <c r="I5084" s="28">
        <f>IFERROR(VLOOKUP(F5084,CARTON_LOOKUP!$A:$E,5,0),"")</f>
      </c>
      <c r="J5084" s="29">
        <f>IFERROR(VLOOKUP(F5084,CARTON_LOOKUP!$A:$E,2,0),"")</f>
      </c>
      <c r="K5084" s="29">
        <f>IFERROR(J5084*D5084,0)</f>
      </c>
      <c r="L5084" s="29">
        <f>IFERROR(E5084*C5084,0)</f>
      </c>
      <c r="M5084" s="29">
        <f>IFERROR((G5084*H5084*I5084/1000000)*D5084,0)</f>
      </c>
    </row>
    <row r="5085" spans="1:13" x14ac:dyDescent="0.25">
      <c r="A5085" s="16"/>
      <c r="E5085" s="27"/>
      <c r="F5085" t="s">
        <v>26</v>
      </c>
      <c r="G5085" s="28">
        <f>IFERROR(VLOOKUP(F5085,CARTON_LOOKUP!$A:$E,3,0),"")</f>
      </c>
      <c r="H5085" s="28">
        <f>IFERROR(VLOOKUP(F5085,CARTON_LOOKUP!$A:$E,4,0),"")</f>
      </c>
      <c r="I5085" s="28">
        <f>IFERROR(VLOOKUP(F5085,CARTON_LOOKUP!$A:$E,5,0),"")</f>
      </c>
      <c r="J5085" s="29">
        <f>IFERROR(VLOOKUP(F5085,CARTON_LOOKUP!$A:$E,2,0),"")</f>
      </c>
      <c r="K5085" s="29">
        <f>IFERROR(J5085*D5085,0)</f>
      </c>
      <c r="L5085" s="29">
        <f>IFERROR(E5085*C5085,0)</f>
      </c>
      <c r="M5085" s="29">
        <f>IFERROR((G5085*H5085*I5085/1000000)*D5085,0)</f>
      </c>
    </row>
    <row r="5086" spans="1:13" x14ac:dyDescent="0.25">
      <c r="A5086" s="16"/>
      <c r="E5086" s="27"/>
      <c r="F5086" t="s">
        <v>26</v>
      </c>
      <c r="G5086" s="28">
        <f>IFERROR(VLOOKUP(F5086,CARTON_LOOKUP!$A:$E,3,0),"")</f>
      </c>
      <c r="H5086" s="28">
        <f>IFERROR(VLOOKUP(F5086,CARTON_LOOKUP!$A:$E,4,0),"")</f>
      </c>
      <c r="I5086" s="28">
        <f>IFERROR(VLOOKUP(F5086,CARTON_LOOKUP!$A:$E,5,0),"")</f>
      </c>
      <c r="J5086" s="29">
        <f>IFERROR(VLOOKUP(F5086,CARTON_LOOKUP!$A:$E,2,0),"")</f>
      </c>
      <c r="K5086" s="29">
        <f>IFERROR(J5086*D5086,0)</f>
      </c>
      <c r="L5086" s="29">
        <f>IFERROR(E5086*C5086,0)</f>
      </c>
      <c r="M5086" s="29">
        <f>IFERROR((G5086*H5086*I5086/1000000)*D5086,0)</f>
      </c>
    </row>
    <row r="5087" spans="1:13" x14ac:dyDescent="0.25">
      <c r="A5087" s="16"/>
      <c r="E5087" s="27"/>
      <c r="F5087" t="s">
        <v>26</v>
      </c>
      <c r="G5087" s="28">
        <f>IFERROR(VLOOKUP(F5087,CARTON_LOOKUP!$A:$E,3,0),"")</f>
      </c>
      <c r="H5087" s="28">
        <f>IFERROR(VLOOKUP(F5087,CARTON_LOOKUP!$A:$E,4,0),"")</f>
      </c>
      <c r="I5087" s="28">
        <f>IFERROR(VLOOKUP(F5087,CARTON_LOOKUP!$A:$E,5,0),"")</f>
      </c>
      <c r="J5087" s="29">
        <f>IFERROR(VLOOKUP(F5087,CARTON_LOOKUP!$A:$E,2,0),"")</f>
      </c>
      <c r="K5087" s="29">
        <f>IFERROR(J5087*D5087,0)</f>
      </c>
      <c r="L5087" s="29">
        <f>IFERROR(E5087*C5087,0)</f>
      </c>
      <c r="M5087" s="29">
        <f>IFERROR((G5087*H5087*I5087/1000000)*D5087,0)</f>
      </c>
    </row>
    <row r="5088" spans="1:13" x14ac:dyDescent="0.25">
      <c r="A5088" s="16"/>
      <c r="E5088" s="27"/>
      <c r="F5088" t="s">
        <v>26</v>
      </c>
      <c r="G5088" s="28">
        <f>IFERROR(VLOOKUP(F5088,CARTON_LOOKUP!$A:$E,3,0),"")</f>
      </c>
      <c r="H5088" s="28">
        <f>IFERROR(VLOOKUP(F5088,CARTON_LOOKUP!$A:$E,4,0),"")</f>
      </c>
      <c r="I5088" s="28">
        <f>IFERROR(VLOOKUP(F5088,CARTON_LOOKUP!$A:$E,5,0),"")</f>
      </c>
      <c r="J5088" s="29">
        <f>IFERROR(VLOOKUP(F5088,CARTON_LOOKUP!$A:$E,2,0),"")</f>
      </c>
      <c r="K5088" s="29">
        <f>IFERROR(J5088*D5088,0)</f>
      </c>
      <c r="L5088" s="29">
        <f>IFERROR(E5088*C5088,0)</f>
      </c>
      <c r="M5088" s="29">
        <f>IFERROR((G5088*H5088*I5088/1000000)*D5088,0)</f>
      </c>
    </row>
    <row r="5089" spans="1:13" x14ac:dyDescent="0.25">
      <c r="A5089" s="16"/>
      <c r="E5089" s="27"/>
      <c r="F5089" t="s">
        <v>26</v>
      </c>
      <c r="G5089" s="28">
        <f>IFERROR(VLOOKUP(F5089,CARTON_LOOKUP!$A:$E,3,0),"")</f>
      </c>
      <c r="H5089" s="28">
        <f>IFERROR(VLOOKUP(F5089,CARTON_LOOKUP!$A:$E,4,0),"")</f>
      </c>
      <c r="I5089" s="28">
        <f>IFERROR(VLOOKUP(F5089,CARTON_LOOKUP!$A:$E,5,0),"")</f>
      </c>
      <c r="J5089" s="29">
        <f>IFERROR(VLOOKUP(F5089,CARTON_LOOKUP!$A:$E,2,0),"")</f>
      </c>
      <c r="K5089" s="29">
        <f>IFERROR(J5089*D5089,0)</f>
      </c>
      <c r="L5089" s="29">
        <f>IFERROR(E5089*C5089,0)</f>
      </c>
      <c r="M5089" s="29">
        <f>IFERROR((G5089*H5089*I5089/1000000)*D5089,0)</f>
      </c>
    </row>
    <row r="5090" spans="1:13" x14ac:dyDescent="0.25">
      <c r="A5090" s="16"/>
      <c r="E5090" s="27"/>
      <c r="F5090" t="s">
        <v>26</v>
      </c>
      <c r="G5090" s="28">
        <f>IFERROR(VLOOKUP(F5090,CARTON_LOOKUP!$A:$E,3,0),"")</f>
      </c>
      <c r="H5090" s="28">
        <f>IFERROR(VLOOKUP(F5090,CARTON_LOOKUP!$A:$E,4,0),"")</f>
      </c>
      <c r="I5090" s="28">
        <f>IFERROR(VLOOKUP(F5090,CARTON_LOOKUP!$A:$E,5,0),"")</f>
      </c>
      <c r="J5090" s="29">
        <f>IFERROR(VLOOKUP(F5090,CARTON_LOOKUP!$A:$E,2,0),"")</f>
      </c>
      <c r="K5090" s="29">
        <f>IFERROR(J5090*D5090,0)</f>
      </c>
      <c r="L5090" s="29">
        <f>IFERROR(E5090*C5090,0)</f>
      </c>
      <c r="M5090" s="29">
        <f>IFERROR((G5090*H5090*I5090/1000000)*D5090,0)</f>
      </c>
    </row>
    <row r="5091" spans="1:13" x14ac:dyDescent="0.25">
      <c r="A5091" s="16"/>
      <c r="E5091" s="27"/>
      <c r="F5091" t="s">
        <v>26</v>
      </c>
      <c r="G5091" s="28">
        <f>IFERROR(VLOOKUP(F5091,CARTON_LOOKUP!$A:$E,3,0),"")</f>
      </c>
      <c r="H5091" s="28">
        <f>IFERROR(VLOOKUP(F5091,CARTON_LOOKUP!$A:$E,4,0),"")</f>
      </c>
      <c r="I5091" s="28">
        <f>IFERROR(VLOOKUP(F5091,CARTON_LOOKUP!$A:$E,5,0),"")</f>
      </c>
      <c r="J5091" s="29">
        <f>IFERROR(VLOOKUP(F5091,CARTON_LOOKUP!$A:$E,2,0),"")</f>
      </c>
      <c r="K5091" s="29">
        <f>IFERROR(J5091*D5091,0)</f>
      </c>
      <c r="L5091" s="29">
        <f>IFERROR(E5091*C5091,0)</f>
      </c>
      <c r="M5091" s="29">
        <f>IFERROR((G5091*H5091*I5091/1000000)*D5091,0)</f>
      </c>
    </row>
    <row r="5092" spans="1:13" x14ac:dyDescent="0.25">
      <c r="A5092" s="16"/>
      <c r="E5092" s="27"/>
      <c r="F5092" t="s">
        <v>26</v>
      </c>
      <c r="G5092" s="28">
        <f>IFERROR(VLOOKUP(F5092,CARTON_LOOKUP!$A:$E,3,0),"")</f>
      </c>
      <c r="H5092" s="28">
        <f>IFERROR(VLOOKUP(F5092,CARTON_LOOKUP!$A:$E,4,0),"")</f>
      </c>
      <c r="I5092" s="28">
        <f>IFERROR(VLOOKUP(F5092,CARTON_LOOKUP!$A:$E,5,0),"")</f>
      </c>
      <c r="J5092" s="29">
        <f>IFERROR(VLOOKUP(F5092,CARTON_LOOKUP!$A:$E,2,0),"")</f>
      </c>
      <c r="K5092" s="29">
        <f>IFERROR(J5092*D5092,0)</f>
      </c>
      <c r="L5092" s="29">
        <f>IFERROR(E5092*C5092,0)</f>
      </c>
      <c r="M5092" s="29">
        <f>IFERROR((G5092*H5092*I5092/1000000)*D5092,0)</f>
      </c>
    </row>
    <row r="5093" spans="1:13" x14ac:dyDescent="0.25">
      <c r="A5093" s="16"/>
      <c r="E5093" s="27"/>
      <c r="F5093" t="s">
        <v>26</v>
      </c>
      <c r="G5093" s="28">
        <f>IFERROR(VLOOKUP(F5093,CARTON_LOOKUP!$A:$E,3,0),"")</f>
      </c>
      <c r="H5093" s="28">
        <f>IFERROR(VLOOKUP(F5093,CARTON_LOOKUP!$A:$E,4,0),"")</f>
      </c>
      <c r="I5093" s="28">
        <f>IFERROR(VLOOKUP(F5093,CARTON_LOOKUP!$A:$E,5,0),"")</f>
      </c>
      <c r="J5093" s="29">
        <f>IFERROR(VLOOKUP(F5093,CARTON_LOOKUP!$A:$E,2,0),"")</f>
      </c>
      <c r="K5093" s="29">
        <f>IFERROR(J5093*D5093,0)</f>
      </c>
      <c r="L5093" s="29">
        <f>IFERROR(E5093*C5093,0)</f>
      </c>
      <c r="M5093" s="29">
        <f>IFERROR((G5093*H5093*I5093/1000000)*D5093,0)</f>
      </c>
    </row>
    <row r="5094" spans="1:13" x14ac:dyDescent="0.25">
      <c r="A5094" s="16"/>
      <c r="E5094" s="27"/>
      <c r="F5094" t="s">
        <v>26</v>
      </c>
      <c r="G5094" s="28">
        <f>IFERROR(VLOOKUP(F5094,CARTON_LOOKUP!$A:$E,3,0),"")</f>
      </c>
      <c r="H5094" s="28">
        <f>IFERROR(VLOOKUP(F5094,CARTON_LOOKUP!$A:$E,4,0),"")</f>
      </c>
      <c r="I5094" s="28">
        <f>IFERROR(VLOOKUP(F5094,CARTON_LOOKUP!$A:$E,5,0),"")</f>
      </c>
      <c r="J5094" s="29">
        <f>IFERROR(VLOOKUP(F5094,CARTON_LOOKUP!$A:$E,2,0),"")</f>
      </c>
      <c r="K5094" s="29">
        <f>IFERROR(J5094*D5094,0)</f>
      </c>
      <c r="L5094" s="29">
        <f>IFERROR(E5094*C5094,0)</f>
      </c>
      <c r="M5094" s="29">
        <f>IFERROR((G5094*H5094*I5094/1000000)*D5094,0)</f>
      </c>
    </row>
    <row r="5095" spans="1:13" x14ac:dyDescent="0.25">
      <c r="A5095" s="16"/>
      <c r="E5095" s="27"/>
      <c r="F5095" t="s">
        <v>26</v>
      </c>
      <c r="G5095" s="28">
        <f>IFERROR(VLOOKUP(F5095,CARTON_LOOKUP!$A:$E,3,0),"")</f>
      </c>
      <c r="H5095" s="28">
        <f>IFERROR(VLOOKUP(F5095,CARTON_LOOKUP!$A:$E,4,0),"")</f>
      </c>
      <c r="I5095" s="28">
        <f>IFERROR(VLOOKUP(F5095,CARTON_LOOKUP!$A:$E,5,0),"")</f>
      </c>
      <c r="J5095" s="29">
        <f>IFERROR(VLOOKUP(F5095,CARTON_LOOKUP!$A:$E,2,0),"")</f>
      </c>
      <c r="K5095" s="29">
        <f>IFERROR(J5095*D5095,0)</f>
      </c>
      <c r="L5095" s="29">
        <f>IFERROR(E5095*C5095,0)</f>
      </c>
      <c r="M5095" s="29">
        <f>IFERROR((G5095*H5095*I5095/1000000)*D5095,0)</f>
      </c>
    </row>
    <row r="5096" spans="1:13" x14ac:dyDescent="0.25">
      <c r="A5096" s="16"/>
      <c r="E5096" s="27"/>
      <c r="F5096" t="s">
        <v>26</v>
      </c>
      <c r="G5096" s="28">
        <f>IFERROR(VLOOKUP(F5096,CARTON_LOOKUP!$A:$E,3,0),"")</f>
      </c>
      <c r="H5096" s="28">
        <f>IFERROR(VLOOKUP(F5096,CARTON_LOOKUP!$A:$E,4,0),"")</f>
      </c>
      <c r="I5096" s="28">
        <f>IFERROR(VLOOKUP(F5096,CARTON_LOOKUP!$A:$E,5,0),"")</f>
      </c>
      <c r="J5096" s="29">
        <f>IFERROR(VLOOKUP(F5096,CARTON_LOOKUP!$A:$E,2,0),"")</f>
      </c>
      <c r="K5096" s="29">
        <f>IFERROR(J5096*D5096,0)</f>
      </c>
      <c r="L5096" s="29">
        <f>IFERROR(E5096*C5096,0)</f>
      </c>
      <c r="M5096" s="29">
        <f>IFERROR((G5096*H5096*I5096/1000000)*D5096,0)</f>
      </c>
    </row>
    <row r="5097" spans="1:13" x14ac:dyDescent="0.25">
      <c r="A5097" s="16"/>
      <c r="E5097" s="27"/>
      <c r="F5097" t="s">
        <v>26</v>
      </c>
      <c r="G5097" s="28">
        <f>IFERROR(VLOOKUP(F5097,CARTON_LOOKUP!$A:$E,3,0),"")</f>
      </c>
      <c r="H5097" s="28">
        <f>IFERROR(VLOOKUP(F5097,CARTON_LOOKUP!$A:$E,4,0),"")</f>
      </c>
      <c r="I5097" s="28">
        <f>IFERROR(VLOOKUP(F5097,CARTON_LOOKUP!$A:$E,5,0),"")</f>
      </c>
      <c r="J5097" s="29">
        <f>IFERROR(VLOOKUP(F5097,CARTON_LOOKUP!$A:$E,2,0),"")</f>
      </c>
      <c r="K5097" s="29">
        <f>IFERROR(J5097*D5097,0)</f>
      </c>
      <c r="L5097" s="29">
        <f>IFERROR(E5097*C5097,0)</f>
      </c>
      <c r="M5097" s="29">
        <f>IFERROR((G5097*H5097*I5097/1000000)*D5097,0)</f>
      </c>
    </row>
    <row r="5098" spans="1:13" x14ac:dyDescent="0.25">
      <c r="A5098" s="16"/>
      <c r="E5098" s="27"/>
      <c r="F5098" t="s">
        <v>26</v>
      </c>
      <c r="G5098" s="28">
        <f>IFERROR(VLOOKUP(F5098,CARTON_LOOKUP!$A:$E,3,0),"")</f>
      </c>
      <c r="H5098" s="28">
        <f>IFERROR(VLOOKUP(F5098,CARTON_LOOKUP!$A:$E,4,0),"")</f>
      </c>
      <c r="I5098" s="28">
        <f>IFERROR(VLOOKUP(F5098,CARTON_LOOKUP!$A:$E,5,0),"")</f>
      </c>
      <c r="J5098" s="29">
        <f>IFERROR(VLOOKUP(F5098,CARTON_LOOKUP!$A:$E,2,0),"")</f>
      </c>
      <c r="K5098" s="29">
        <f>IFERROR(J5098*D5098,0)</f>
      </c>
      <c r="L5098" s="29">
        <f>IFERROR(E5098*C5098,0)</f>
      </c>
      <c r="M5098" s="29">
        <f>IFERROR((G5098*H5098*I5098/1000000)*D5098,0)</f>
      </c>
    </row>
    <row r="5099" spans="1:13" x14ac:dyDescent="0.25">
      <c r="A5099" s="16"/>
      <c r="E5099" s="27"/>
      <c r="F5099" t="s">
        <v>26</v>
      </c>
      <c r="G5099" s="28">
        <f>IFERROR(VLOOKUP(F5099,CARTON_LOOKUP!$A:$E,3,0),"")</f>
      </c>
      <c r="H5099" s="28">
        <f>IFERROR(VLOOKUP(F5099,CARTON_LOOKUP!$A:$E,4,0),"")</f>
      </c>
      <c r="I5099" s="28">
        <f>IFERROR(VLOOKUP(F5099,CARTON_LOOKUP!$A:$E,5,0),"")</f>
      </c>
      <c r="J5099" s="29">
        <f>IFERROR(VLOOKUP(F5099,CARTON_LOOKUP!$A:$E,2,0),"")</f>
      </c>
      <c r="K5099" s="29">
        <f>IFERROR(J5099*D5099,0)</f>
      </c>
      <c r="L5099" s="29">
        <f>IFERROR(E5099*C5099,0)</f>
      </c>
      <c r="M5099" s="29">
        <f>IFERROR((G5099*H5099*I5099/1000000)*D5099,0)</f>
      </c>
    </row>
    <row r="5100" spans="1:13" x14ac:dyDescent="0.25">
      <c r="A5100" s="16"/>
      <c r="E5100" s="27"/>
      <c r="F5100" t="s">
        <v>26</v>
      </c>
      <c r="G5100" s="28">
        <f>IFERROR(VLOOKUP(F5100,CARTON_LOOKUP!$A:$E,3,0),"")</f>
      </c>
      <c r="H5100" s="28">
        <f>IFERROR(VLOOKUP(F5100,CARTON_LOOKUP!$A:$E,4,0),"")</f>
      </c>
      <c r="I5100" s="28">
        <f>IFERROR(VLOOKUP(F5100,CARTON_LOOKUP!$A:$E,5,0),"")</f>
      </c>
      <c r="J5100" s="29">
        <f>IFERROR(VLOOKUP(F5100,CARTON_LOOKUP!$A:$E,2,0),"")</f>
      </c>
      <c r="K5100" s="29">
        <f>IFERROR(J5100*D5100,0)</f>
      </c>
      <c r="L5100" s="29">
        <f>IFERROR(E5100*C5100,0)</f>
      </c>
      <c r="M5100" s="29">
        <f>IFERROR((G5100*H5100*I5100/1000000)*D5100,0)</f>
      </c>
    </row>
    <row r="5101" spans="1:13" x14ac:dyDescent="0.25">
      <c r="A5101" s="16"/>
      <c r="E5101" s="27"/>
      <c r="F5101" t="s">
        <v>26</v>
      </c>
      <c r="G5101" s="28">
        <f>IFERROR(VLOOKUP(F5101,CARTON_LOOKUP!$A:$E,3,0),"")</f>
      </c>
      <c r="H5101" s="28">
        <f>IFERROR(VLOOKUP(F5101,CARTON_LOOKUP!$A:$E,4,0),"")</f>
      </c>
      <c r="I5101" s="28">
        <f>IFERROR(VLOOKUP(F5101,CARTON_LOOKUP!$A:$E,5,0),"")</f>
      </c>
      <c r="J5101" s="29">
        <f>IFERROR(VLOOKUP(F5101,CARTON_LOOKUP!$A:$E,2,0),"")</f>
      </c>
      <c r="K5101" s="29">
        <f>IFERROR(J5101*D5101,0)</f>
      </c>
      <c r="L5101" s="29">
        <f>IFERROR(E5101*C5101,0)</f>
      </c>
      <c r="M5101" s="29">
        <f>IFERROR((G5101*H5101*I5101/1000000)*D5101,0)</f>
      </c>
    </row>
    <row r="5102" spans="1:13" x14ac:dyDescent="0.25">
      <c r="A5102" s="16"/>
      <c r="E5102" s="27"/>
      <c r="F5102" t="s">
        <v>26</v>
      </c>
      <c r="G5102" s="28">
        <f>IFERROR(VLOOKUP(F5102,CARTON_LOOKUP!$A:$E,3,0),"")</f>
      </c>
      <c r="H5102" s="28">
        <f>IFERROR(VLOOKUP(F5102,CARTON_LOOKUP!$A:$E,4,0),"")</f>
      </c>
      <c r="I5102" s="28">
        <f>IFERROR(VLOOKUP(F5102,CARTON_LOOKUP!$A:$E,5,0),"")</f>
      </c>
      <c r="J5102" s="29">
        <f>IFERROR(VLOOKUP(F5102,CARTON_LOOKUP!$A:$E,2,0),"")</f>
      </c>
      <c r="K5102" s="29">
        <f>IFERROR(J5102*D5102,0)</f>
      </c>
      <c r="L5102" s="29">
        <f>IFERROR(E5102*C5102,0)</f>
      </c>
      <c r="M5102" s="29">
        <f>IFERROR((G5102*H5102*I5102/1000000)*D5102,0)</f>
      </c>
    </row>
    <row r="5103" spans="1:13" x14ac:dyDescent="0.25">
      <c r="A5103" s="16"/>
      <c r="E5103" s="27"/>
      <c r="F5103" t="s">
        <v>26</v>
      </c>
      <c r="G5103" s="28">
        <f>IFERROR(VLOOKUP(F5103,CARTON_LOOKUP!$A:$E,3,0),"")</f>
      </c>
      <c r="H5103" s="28">
        <f>IFERROR(VLOOKUP(F5103,CARTON_LOOKUP!$A:$E,4,0),"")</f>
      </c>
      <c r="I5103" s="28">
        <f>IFERROR(VLOOKUP(F5103,CARTON_LOOKUP!$A:$E,5,0),"")</f>
      </c>
      <c r="J5103" s="29">
        <f>IFERROR(VLOOKUP(F5103,CARTON_LOOKUP!$A:$E,2,0),"")</f>
      </c>
      <c r="K5103" s="29">
        <f>IFERROR(J5103*D5103,0)</f>
      </c>
      <c r="L5103" s="29">
        <f>IFERROR(E5103*C5103,0)</f>
      </c>
      <c r="M5103" s="29">
        <f>IFERROR((G5103*H5103*I5103/1000000)*D5103,0)</f>
      </c>
    </row>
    <row r="5104" spans="1:13" x14ac:dyDescent="0.25">
      <c r="A5104" s="16"/>
      <c r="E5104" s="27"/>
      <c r="F5104" t="s">
        <v>26</v>
      </c>
      <c r="G5104" s="28">
        <f>IFERROR(VLOOKUP(F5104,CARTON_LOOKUP!$A:$E,3,0),"")</f>
      </c>
      <c r="H5104" s="28">
        <f>IFERROR(VLOOKUP(F5104,CARTON_LOOKUP!$A:$E,4,0),"")</f>
      </c>
      <c r="I5104" s="28">
        <f>IFERROR(VLOOKUP(F5104,CARTON_LOOKUP!$A:$E,5,0),"")</f>
      </c>
      <c r="J5104" s="29">
        <f>IFERROR(VLOOKUP(F5104,CARTON_LOOKUP!$A:$E,2,0),"")</f>
      </c>
      <c r="K5104" s="29">
        <f>IFERROR(J5104*D5104,0)</f>
      </c>
      <c r="L5104" s="29">
        <f>IFERROR(E5104*C5104,0)</f>
      </c>
      <c r="M5104" s="29">
        <f>IFERROR((G5104*H5104*I5104/1000000)*D5104,0)</f>
      </c>
    </row>
    <row r="5105" spans="1:13" x14ac:dyDescent="0.25">
      <c r="A5105" s="16"/>
      <c r="E5105" s="27"/>
      <c r="F5105" t="s">
        <v>26</v>
      </c>
      <c r="G5105" s="28">
        <f>IFERROR(VLOOKUP(F5105,CARTON_LOOKUP!$A:$E,3,0),"")</f>
      </c>
      <c r="H5105" s="28">
        <f>IFERROR(VLOOKUP(F5105,CARTON_LOOKUP!$A:$E,4,0),"")</f>
      </c>
      <c r="I5105" s="28">
        <f>IFERROR(VLOOKUP(F5105,CARTON_LOOKUP!$A:$E,5,0),"")</f>
      </c>
      <c r="J5105" s="29">
        <f>IFERROR(VLOOKUP(F5105,CARTON_LOOKUP!$A:$E,2,0),"")</f>
      </c>
      <c r="K5105" s="29">
        <f>IFERROR(J5105*D5105,0)</f>
      </c>
      <c r="L5105" s="29">
        <f>IFERROR(E5105*C5105,0)</f>
      </c>
      <c r="M5105" s="29">
        <f>IFERROR((G5105*H5105*I5105/1000000)*D5105,0)</f>
      </c>
    </row>
    <row r="5106" spans="1:13" x14ac:dyDescent="0.25">
      <c r="A5106" s="16"/>
      <c r="E5106" s="27"/>
      <c r="F5106" t="s">
        <v>26</v>
      </c>
      <c r="G5106" s="28">
        <f>IFERROR(VLOOKUP(F5106,CARTON_LOOKUP!$A:$E,3,0),"")</f>
      </c>
      <c r="H5106" s="28">
        <f>IFERROR(VLOOKUP(F5106,CARTON_LOOKUP!$A:$E,4,0),"")</f>
      </c>
      <c r="I5106" s="28">
        <f>IFERROR(VLOOKUP(F5106,CARTON_LOOKUP!$A:$E,5,0),"")</f>
      </c>
      <c r="J5106" s="29">
        <f>IFERROR(VLOOKUP(F5106,CARTON_LOOKUP!$A:$E,2,0),"")</f>
      </c>
      <c r="K5106" s="29">
        <f>IFERROR(J5106*D5106,0)</f>
      </c>
      <c r="L5106" s="29">
        <f>IFERROR(E5106*C5106,0)</f>
      </c>
      <c r="M5106" s="29">
        <f>IFERROR((G5106*H5106*I5106/1000000)*D5106,0)</f>
      </c>
    </row>
    <row r="5107" spans="1:13" x14ac:dyDescent="0.25">
      <c r="A5107" s="16"/>
      <c r="E5107" s="27"/>
      <c r="F5107" t="s">
        <v>26</v>
      </c>
      <c r="G5107" s="28">
        <f>IFERROR(VLOOKUP(F5107,CARTON_LOOKUP!$A:$E,3,0),"")</f>
      </c>
      <c r="H5107" s="28">
        <f>IFERROR(VLOOKUP(F5107,CARTON_LOOKUP!$A:$E,4,0),"")</f>
      </c>
      <c r="I5107" s="28">
        <f>IFERROR(VLOOKUP(F5107,CARTON_LOOKUP!$A:$E,5,0),"")</f>
      </c>
      <c r="J5107" s="29">
        <f>IFERROR(VLOOKUP(F5107,CARTON_LOOKUP!$A:$E,2,0),"")</f>
      </c>
      <c r="K5107" s="29">
        <f>IFERROR(J5107*D5107,0)</f>
      </c>
      <c r="L5107" s="29">
        <f>IFERROR(E5107*C5107,0)</f>
      </c>
      <c r="M5107" s="29">
        <f>IFERROR((G5107*H5107*I5107/1000000)*D5107,0)</f>
      </c>
    </row>
    <row r="5108" spans="1:13" x14ac:dyDescent="0.25">
      <c r="A5108" s="16"/>
      <c r="E5108" s="27"/>
      <c r="F5108" t="s">
        <v>26</v>
      </c>
      <c r="G5108" s="28">
        <f>IFERROR(VLOOKUP(F5108,CARTON_LOOKUP!$A:$E,3,0),"")</f>
      </c>
      <c r="H5108" s="28">
        <f>IFERROR(VLOOKUP(F5108,CARTON_LOOKUP!$A:$E,4,0),"")</f>
      </c>
      <c r="I5108" s="28">
        <f>IFERROR(VLOOKUP(F5108,CARTON_LOOKUP!$A:$E,5,0),"")</f>
      </c>
      <c r="J5108" s="29">
        <f>IFERROR(VLOOKUP(F5108,CARTON_LOOKUP!$A:$E,2,0),"")</f>
      </c>
      <c r="K5108" s="29">
        <f>IFERROR(J5108*D5108,0)</f>
      </c>
      <c r="L5108" s="29">
        <f>IFERROR(E5108*C5108,0)</f>
      </c>
      <c r="M5108" s="29">
        <f>IFERROR((G5108*H5108*I5108/1000000)*D5108,0)</f>
      </c>
    </row>
    <row r="5109" spans="1:13" x14ac:dyDescent="0.25">
      <c r="A5109" s="16"/>
      <c r="E5109" s="27"/>
      <c r="F5109" t="s">
        <v>26</v>
      </c>
      <c r="G5109" s="28">
        <f>IFERROR(VLOOKUP(F5109,CARTON_LOOKUP!$A:$E,3,0),"")</f>
      </c>
      <c r="H5109" s="28">
        <f>IFERROR(VLOOKUP(F5109,CARTON_LOOKUP!$A:$E,4,0),"")</f>
      </c>
      <c r="I5109" s="28">
        <f>IFERROR(VLOOKUP(F5109,CARTON_LOOKUP!$A:$E,5,0),"")</f>
      </c>
      <c r="J5109" s="29">
        <f>IFERROR(VLOOKUP(F5109,CARTON_LOOKUP!$A:$E,2,0),"")</f>
      </c>
      <c r="K5109" s="29">
        <f>IFERROR(J5109*D5109,0)</f>
      </c>
      <c r="L5109" s="29">
        <f>IFERROR(E5109*C5109,0)</f>
      </c>
      <c r="M5109" s="29">
        <f>IFERROR((G5109*H5109*I5109/1000000)*D5109,0)</f>
      </c>
    </row>
    <row r="5110" spans="1:13" x14ac:dyDescent="0.25">
      <c r="A5110" s="16"/>
      <c r="E5110" s="27"/>
      <c r="F5110" t="s">
        <v>26</v>
      </c>
      <c r="G5110" s="28">
        <f>IFERROR(VLOOKUP(F5110,CARTON_LOOKUP!$A:$E,3,0),"")</f>
      </c>
      <c r="H5110" s="28">
        <f>IFERROR(VLOOKUP(F5110,CARTON_LOOKUP!$A:$E,4,0),"")</f>
      </c>
      <c r="I5110" s="28">
        <f>IFERROR(VLOOKUP(F5110,CARTON_LOOKUP!$A:$E,5,0),"")</f>
      </c>
      <c r="J5110" s="29">
        <f>IFERROR(VLOOKUP(F5110,CARTON_LOOKUP!$A:$E,2,0),"")</f>
      </c>
      <c r="K5110" s="29">
        <f>IFERROR(J5110*D5110,0)</f>
      </c>
      <c r="L5110" s="29">
        <f>IFERROR(E5110*C5110,0)</f>
      </c>
      <c r="M5110" s="29">
        <f>IFERROR((G5110*H5110*I5110/1000000)*D5110,0)</f>
      </c>
    </row>
    <row r="5111" spans="1:13" x14ac:dyDescent="0.25">
      <c r="A5111" s="16"/>
      <c r="E5111" s="27"/>
      <c r="F5111" t="s">
        <v>26</v>
      </c>
      <c r="G5111" s="28">
        <f>IFERROR(VLOOKUP(F5111,CARTON_LOOKUP!$A:$E,3,0),"")</f>
      </c>
      <c r="H5111" s="28">
        <f>IFERROR(VLOOKUP(F5111,CARTON_LOOKUP!$A:$E,4,0),"")</f>
      </c>
      <c r="I5111" s="28">
        <f>IFERROR(VLOOKUP(F5111,CARTON_LOOKUP!$A:$E,5,0),"")</f>
      </c>
      <c r="J5111" s="29">
        <f>IFERROR(VLOOKUP(F5111,CARTON_LOOKUP!$A:$E,2,0),"")</f>
      </c>
      <c r="K5111" s="29">
        <f>IFERROR(J5111*D5111,0)</f>
      </c>
      <c r="L5111" s="29">
        <f>IFERROR(E5111*C5111,0)</f>
      </c>
      <c r="M5111" s="29">
        <f>IFERROR((G5111*H5111*I5111/1000000)*D5111,0)</f>
      </c>
    </row>
    <row r="5112" spans="1:13" x14ac:dyDescent="0.25">
      <c r="A5112" s="16"/>
      <c r="E5112" s="27"/>
      <c r="F5112" t="s">
        <v>26</v>
      </c>
      <c r="G5112" s="28">
        <f>IFERROR(VLOOKUP(F5112,CARTON_LOOKUP!$A:$E,3,0),"")</f>
      </c>
      <c r="H5112" s="28">
        <f>IFERROR(VLOOKUP(F5112,CARTON_LOOKUP!$A:$E,4,0),"")</f>
      </c>
      <c r="I5112" s="28">
        <f>IFERROR(VLOOKUP(F5112,CARTON_LOOKUP!$A:$E,5,0),"")</f>
      </c>
      <c r="J5112" s="29">
        <f>IFERROR(VLOOKUP(F5112,CARTON_LOOKUP!$A:$E,2,0),"")</f>
      </c>
      <c r="K5112" s="29">
        <f>IFERROR(J5112*D5112,0)</f>
      </c>
      <c r="L5112" s="29">
        <f>IFERROR(E5112*C5112,0)</f>
      </c>
      <c r="M5112" s="29">
        <f>IFERROR((G5112*H5112*I5112/1000000)*D5112,0)</f>
      </c>
    </row>
    <row r="5113" spans="1:13" x14ac:dyDescent="0.25">
      <c r="A5113" s="16"/>
      <c r="E5113" s="27"/>
      <c r="F5113" t="s">
        <v>26</v>
      </c>
      <c r="G5113" s="28">
        <f>IFERROR(VLOOKUP(F5113,CARTON_LOOKUP!$A:$E,3,0),"")</f>
      </c>
      <c r="H5113" s="28">
        <f>IFERROR(VLOOKUP(F5113,CARTON_LOOKUP!$A:$E,4,0),"")</f>
      </c>
      <c r="I5113" s="28">
        <f>IFERROR(VLOOKUP(F5113,CARTON_LOOKUP!$A:$E,5,0),"")</f>
      </c>
      <c r="J5113" s="29">
        <f>IFERROR(VLOOKUP(F5113,CARTON_LOOKUP!$A:$E,2,0),"")</f>
      </c>
      <c r="K5113" s="29">
        <f>IFERROR(J5113*D5113,0)</f>
      </c>
      <c r="L5113" s="29">
        <f>IFERROR(E5113*C5113,0)</f>
      </c>
      <c r="M5113" s="29">
        <f>IFERROR((G5113*H5113*I5113/1000000)*D5113,0)</f>
      </c>
    </row>
    <row r="5114" spans="1:13" x14ac:dyDescent="0.25">
      <c r="A5114" s="16"/>
      <c r="E5114" s="27"/>
      <c r="F5114" t="s">
        <v>26</v>
      </c>
      <c r="G5114" s="28">
        <f>IFERROR(VLOOKUP(F5114,CARTON_LOOKUP!$A:$E,3,0),"")</f>
      </c>
      <c r="H5114" s="28">
        <f>IFERROR(VLOOKUP(F5114,CARTON_LOOKUP!$A:$E,4,0),"")</f>
      </c>
      <c r="I5114" s="28">
        <f>IFERROR(VLOOKUP(F5114,CARTON_LOOKUP!$A:$E,5,0),"")</f>
      </c>
      <c r="J5114" s="29">
        <f>IFERROR(VLOOKUP(F5114,CARTON_LOOKUP!$A:$E,2,0),"")</f>
      </c>
      <c r="K5114" s="29">
        <f>IFERROR(J5114*D5114,0)</f>
      </c>
      <c r="L5114" s="29">
        <f>IFERROR(E5114*C5114,0)</f>
      </c>
      <c r="M5114" s="29">
        <f>IFERROR((G5114*H5114*I5114/1000000)*D5114,0)</f>
      </c>
    </row>
    <row r="5115" spans="1:13" x14ac:dyDescent="0.25">
      <c r="A5115" s="16"/>
      <c r="E5115" s="27"/>
      <c r="F5115" t="s">
        <v>26</v>
      </c>
      <c r="G5115" s="28">
        <f>IFERROR(VLOOKUP(F5115,CARTON_LOOKUP!$A:$E,3,0),"")</f>
      </c>
      <c r="H5115" s="28">
        <f>IFERROR(VLOOKUP(F5115,CARTON_LOOKUP!$A:$E,4,0),"")</f>
      </c>
      <c r="I5115" s="28">
        <f>IFERROR(VLOOKUP(F5115,CARTON_LOOKUP!$A:$E,5,0),"")</f>
      </c>
      <c r="J5115" s="29">
        <f>IFERROR(VLOOKUP(F5115,CARTON_LOOKUP!$A:$E,2,0),"")</f>
      </c>
      <c r="K5115" s="29">
        <f>IFERROR(J5115*D5115,0)</f>
      </c>
      <c r="L5115" s="29">
        <f>IFERROR(E5115*C5115,0)</f>
      </c>
      <c r="M5115" s="29">
        <f>IFERROR((G5115*H5115*I5115/1000000)*D5115,0)</f>
      </c>
    </row>
    <row r="5116" spans="1:13" x14ac:dyDescent="0.25">
      <c r="A5116" s="16"/>
      <c r="E5116" s="27"/>
      <c r="F5116" t="s">
        <v>26</v>
      </c>
      <c r="G5116" s="28">
        <f>IFERROR(VLOOKUP(F5116,CARTON_LOOKUP!$A:$E,3,0),"")</f>
      </c>
      <c r="H5116" s="28">
        <f>IFERROR(VLOOKUP(F5116,CARTON_LOOKUP!$A:$E,4,0),"")</f>
      </c>
      <c r="I5116" s="28">
        <f>IFERROR(VLOOKUP(F5116,CARTON_LOOKUP!$A:$E,5,0),"")</f>
      </c>
      <c r="J5116" s="29">
        <f>IFERROR(VLOOKUP(F5116,CARTON_LOOKUP!$A:$E,2,0),"")</f>
      </c>
      <c r="K5116" s="29">
        <f>IFERROR(J5116*D5116,0)</f>
      </c>
      <c r="L5116" s="29">
        <f>IFERROR(E5116*C5116,0)</f>
      </c>
      <c r="M5116" s="29">
        <f>IFERROR((G5116*H5116*I5116/1000000)*D5116,0)</f>
      </c>
    </row>
    <row r="5117" spans="1:13" x14ac:dyDescent="0.25">
      <c r="A5117" s="16"/>
      <c r="E5117" s="27"/>
      <c r="F5117" t="s">
        <v>26</v>
      </c>
      <c r="G5117" s="28">
        <f>IFERROR(VLOOKUP(F5117,CARTON_LOOKUP!$A:$E,3,0),"")</f>
      </c>
      <c r="H5117" s="28">
        <f>IFERROR(VLOOKUP(F5117,CARTON_LOOKUP!$A:$E,4,0),"")</f>
      </c>
      <c r="I5117" s="28">
        <f>IFERROR(VLOOKUP(F5117,CARTON_LOOKUP!$A:$E,5,0),"")</f>
      </c>
      <c r="J5117" s="29">
        <f>IFERROR(VLOOKUP(F5117,CARTON_LOOKUP!$A:$E,2,0),"")</f>
      </c>
      <c r="K5117" s="29">
        <f>IFERROR(J5117*D5117,0)</f>
      </c>
      <c r="L5117" s="29">
        <f>IFERROR(E5117*C5117,0)</f>
      </c>
      <c r="M5117" s="29">
        <f>IFERROR((G5117*H5117*I5117/1000000)*D5117,0)</f>
      </c>
    </row>
    <row r="5118" spans="1:13" x14ac:dyDescent="0.25">
      <c r="A5118" s="16"/>
      <c r="E5118" s="27"/>
      <c r="F5118" t="s">
        <v>26</v>
      </c>
      <c r="G5118" s="28">
        <f>IFERROR(VLOOKUP(F5118,CARTON_LOOKUP!$A:$E,3,0),"")</f>
      </c>
      <c r="H5118" s="28">
        <f>IFERROR(VLOOKUP(F5118,CARTON_LOOKUP!$A:$E,4,0),"")</f>
      </c>
      <c r="I5118" s="28">
        <f>IFERROR(VLOOKUP(F5118,CARTON_LOOKUP!$A:$E,5,0),"")</f>
      </c>
      <c r="J5118" s="29">
        <f>IFERROR(VLOOKUP(F5118,CARTON_LOOKUP!$A:$E,2,0),"")</f>
      </c>
      <c r="K5118" s="29">
        <f>IFERROR(J5118*D5118,0)</f>
      </c>
      <c r="L5118" s="29">
        <f>IFERROR(E5118*C5118,0)</f>
      </c>
      <c r="M5118" s="29">
        <f>IFERROR((G5118*H5118*I5118/1000000)*D5118,0)</f>
      </c>
    </row>
    <row r="5119" spans="1:13" x14ac:dyDescent="0.25">
      <c r="A5119" s="16"/>
      <c r="E5119" s="27"/>
      <c r="F5119" t="s">
        <v>26</v>
      </c>
      <c r="G5119" s="28">
        <f>IFERROR(VLOOKUP(F5119,CARTON_LOOKUP!$A:$E,3,0),"")</f>
      </c>
      <c r="H5119" s="28">
        <f>IFERROR(VLOOKUP(F5119,CARTON_LOOKUP!$A:$E,4,0),"")</f>
      </c>
      <c r="I5119" s="28">
        <f>IFERROR(VLOOKUP(F5119,CARTON_LOOKUP!$A:$E,5,0),"")</f>
      </c>
      <c r="J5119" s="29">
        <f>IFERROR(VLOOKUP(F5119,CARTON_LOOKUP!$A:$E,2,0),"")</f>
      </c>
      <c r="K5119" s="29">
        <f>IFERROR(J5119*D5119,0)</f>
      </c>
      <c r="L5119" s="29">
        <f>IFERROR(E5119*C5119,0)</f>
      </c>
      <c r="M5119" s="29">
        <f>IFERROR((G5119*H5119*I5119/1000000)*D5119,0)</f>
      </c>
    </row>
    <row r="5120" spans="1:13" x14ac:dyDescent="0.25">
      <c r="A5120" s="16"/>
      <c r="E5120" s="27"/>
      <c r="F5120" t="s">
        <v>26</v>
      </c>
      <c r="G5120" s="28">
        <f>IFERROR(VLOOKUP(F5120,CARTON_LOOKUP!$A:$E,3,0),"")</f>
      </c>
      <c r="H5120" s="28">
        <f>IFERROR(VLOOKUP(F5120,CARTON_LOOKUP!$A:$E,4,0),"")</f>
      </c>
      <c r="I5120" s="28">
        <f>IFERROR(VLOOKUP(F5120,CARTON_LOOKUP!$A:$E,5,0),"")</f>
      </c>
      <c r="J5120" s="29">
        <f>IFERROR(VLOOKUP(F5120,CARTON_LOOKUP!$A:$E,2,0),"")</f>
      </c>
      <c r="K5120" s="29">
        <f>IFERROR(J5120*D5120,0)</f>
      </c>
      <c r="L5120" s="29">
        <f>IFERROR(E5120*C5120,0)</f>
      </c>
      <c r="M5120" s="29">
        <f>IFERROR((G5120*H5120*I5120/1000000)*D5120,0)</f>
      </c>
    </row>
    <row r="5121" spans="1:13" x14ac:dyDescent="0.25">
      <c r="A5121" s="16"/>
      <c r="E5121" s="27"/>
      <c r="F5121" t="s">
        <v>26</v>
      </c>
      <c r="G5121" s="28">
        <f>IFERROR(VLOOKUP(F5121,CARTON_LOOKUP!$A:$E,3,0),"")</f>
      </c>
      <c r="H5121" s="28">
        <f>IFERROR(VLOOKUP(F5121,CARTON_LOOKUP!$A:$E,4,0),"")</f>
      </c>
      <c r="I5121" s="28">
        <f>IFERROR(VLOOKUP(F5121,CARTON_LOOKUP!$A:$E,5,0),"")</f>
      </c>
      <c r="J5121" s="29">
        <f>IFERROR(VLOOKUP(F5121,CARTON_LOOKUP!$A:$E,2,0),"")</f>
      </c>
      <c r="K5121" s="29">
        <f>IFERROR(J5121*D5121,0)</f>
      </c>
      <c r="L5121" s="29">
        <f>IFERROR(E5121*C5121,0)</f>
      </c>
      <c r="M5121" s="29">
        <f>IFERROR((G5121*H5121*I5121/1000000)*D5121,0)</f>
      </c>
    </row>
    <row r="5122" spans="1:13" x14ac:dyDescent="0.25">
      <c r="A5122" s="16"/>
      <c r="E5122" s="27"/>
      <c r="F5122" t="s">
        <v>26</v>
      </c>
      <c r="G5122" s="28">
        <f>IFERROR(VLOOKUP(F5122,CARTON_LOOKUP!$A:$E,3,0),"")</f>
      </c>
      <c r="H5122" s="28">
        <f>IFERROR(VLOOKUP(F5122,CARTON_LOOKUP!$A:$E,4,0),"")</f>
      </c>
      <c r="I5122" s="28">
        <f>IFERROR(VLOOKUP(F5122,CARTON_LOOKUP!$A:$E,5,0),"")</f>
      </c>
      <c r="J5122" s="29">
        <f>IFERROR(VLOOKUP(F5122,CARTON_LOOKUP!$A:$E,2,0),"")</f>
      </c>
      <c r="K5122" s="29">
        <f>IFERROR(J5122*D5122,0)</f>
      </c>
      <c r="L5122" s="29">
        <f>IFERROR(E5122*C5122,0)</f>
      </c>
      <c r="M5122" s="29">
        <f>IFERROR((G5122*H5122*I5122/1000000)*D5122,0)</f>
      </c>
    </row>
    <row r="5123" spans="1:13" x14ac:dyDescent="0.25">
      <c r="A5123" s="16"/>
      <c r="E5123" s="27"/>
      <c r="F5123" t="s">
        <v>26</v>
      </c>
      <c r="G5123" s="28">
        <f>IFERROR(VLOOKUP(F5123,CARTON_LOOKUP!$A:$E,3,0),"")</f>
      </c>
      <c r="H5123" s="28">
        <f>IFERROR(VLOOKUP(F5123,CARTON_LOOKUP!$A:$E,4,0),"")</f>
      </c>
      <c r="I5123" s="28">
        <f>IFERROR(VLOOKUP(F5123,CARTON_LOOKUP!$A:$E,5,0),"")</f>
      </c>
      <c r="J5123" s="29">
        <f>IFERROR(VLOOKUP(F5123,CARTON_LOOKUP!$A:$E,2,0),"")</f>
      </c>
      <c r="K5123" s="29">
        <f>IFERROR(J5123*D5123,0)</f>
      </c>
      <c r="L5123" s="29">
        <f>IFERROR(E5123*C5123,0)</f>
      </c>
      <c r="M5123" s="29">
        <f>IFERROR((G5123*H5123*I5123/1000000)*D5123,0)</f>
      </c>
    </row>
    <row r="5124" spans="1:13" x14ac:dyDescent="0.25">
      <c r="A5124" s="16"/>
      <c r="E5124" s="27"/>
      <c r="F5124" t="s">
        <v>26</v>
      </c>
      <c r="G5124" s="28">
        <f>IFERROR(VLOOKUP(F5124,CARTON_LOOKUP!$A:$E,3,0),"")</f>
      </c>
      <c r="H5124" s="28">
        <f>IFERROR(VLOOKUP(F5124,CARTON_LOOKUP!$A:$E,4,0),"")</f>
      </c>
      <c r="I5124" s="28">
        <f>IFERROR(VLOOKUP(F5124,CARTON_LOOKUP!$A:$E,5,0),"")</f>
      </c>
      <c r="J5124" s="29">
        <f>IFERROR(VLOOKUP(F5124,CARTON_LOOKUP!$A:$E,2,0),"")</f>
      </c>
      <c r="K5124" s="29">
        <f>IFERROR(J5124*D5124,0)</f>
      </c>
      <c r="L5124" s="29">
        <f>IFERROR(E5124*C5124,0)</f>
      </c>
      <c r="M5124" s="29">
        <f>IFERROR((G5124*H5124*I5124/1000000)*D5124,0)</f>
      </c>
    </row>
    <row r="5125" spans="1:13" x14ac:dyDescent="0.25">
      <c r="A5125" s="16"/>
      <c r="E5125" s="27"/>
      <c r="F5125" t="s">
        <v>26</v>
      </c>
      <c r="G5125" s="28">
        <f>IFERROR(VLOOKUP(F5125,CARTON_LOOKUP!$A:$E,3,0),"")</f>
      </c>
      <c r="H5125" s="28">
        <f>IFERROR(VLOOKUP(F5125,CARTON_LOOKUP!$A:$E,4,0),"")</f>
      </c>
      <c r="I5125" s="28">
        <f>IFERROR(VLOOKUP(F5125,CARTON_LOOKUP!$A:$E,5,0),"")</f>
      </c>
      <c r="J5125" s="29">
        <f>IFERROR(VLOOKUP(F5125,CARTON_LOOKUP!$A:$E,2,0),"")</f>
      </c>
      <c r="K5125" s="29">
        <f>IFERROR(J5125*D5125,0)</f>
      </c>
      <c r="L5125" s="29">
        <f>IFERROR(E5125*C5125,0)</f>
      </c>
      <c r="M5125" s="29">
        <f>IFERROR((G5125*H5125*I5125/1000000)*D5125,0)</f>
      </c>
    </row>
    <row r="5126" spans="1:13" x14ac:dyDescent="0.25">
      <c r="A5126" s="16"/>
      <c r="E5126" s="27"/>
      <c r="F5126" t="s">
        <v>26</v>
      </c>
      <c r="G5126" s="28">
        <f>IFERROR(VLOOKUP(F5126,CARTON_LOOKUP!$A:$E,3,0),"")</f>
      </c>
      <c r="H5126" s="28">
        <f>IFERROR(VLOOKUP(F5126,CARTON_LOOKUP!$A:$E,4,0),"")</f>
      </c>
      <c r="I5126" s="28">
        <f>IFERROR(VLOOKUP(F5126,CARTON_LOOKUP!$A:$E,5,0),"")</f>
      </c>
      <c r="J5126" s="29">
        <f>IFERROR(VLOOKUP(F5126,CARTON_LOOKUP!$A:$E,2,0),"")</f>
      </c>
      <c r="K5126" s="29">
        <f>IFERROR(J5126*D5126,0)</f>
      </c>
      <c r="L5126" s="29">
        <f>IFERROR(E5126*C5126,0)</f>
      </c>
      <c r="M5126" s="29">
        <f>IFERROR((G5126*H5126*I5126/1000000)*D5126,0)</f>
      </c>
    </row>
    <row r="5127" spans="1:13" x14ac:dyDescent="0.25">
      <c r="A5127" s="16"/>
      <c r="E5127" s="27"/>
      <c r="F5127" t="s">
        <v>26</v>
      </c>
      <c r="G5127" s="28">
        <f>IFERROR(VLOOKUP(F5127,CARTON_LOOKUP!$A:$E,3,0),"")</f>
      </c>
      <c r="H5127" s="28">
        <f>IFERROR(VLOOKUP(F5127,CARTON_LOOKUP!$A:$E,4,0),"")</f>
      </c>
      <c r="I5127" s="28">
        <f>IFERROR(VLOOKUP(F5127,CARTON_LOOKUP!$A:$E,5,0),"")</f>
      </c>
      <c r="J5127" s="29">
        <f>IFERROR(VLOOKUP(F5127,CARTON_LOOKUP!$A:$E,2,0),"")</f>
      </c>
      <c r="K5127" s="29">
        <f>IFERROR(J5127*D5127,0)</f>
      </c>
      <c r="L5127" s="29">
        <f>IFERROR(E5127*C5127,0)</f>
      </c>
      <c r="M5127" s="29">
        <f>IFERROR((G5127*H5127*I5127/1000000)*D5127,0)</f>
      </c>
    </row>
    <row r="5128" spans="1:13" x14ac:dyDescent="0.25">
      <c r="A5128" s="16"/>
      <c r="E5128" s="27"/>
      <c r="F5128" t="s">
        <v>26</v>
      </c>
      <c r="G5128" s="28">
        <f>IFERROR(VLOOKUP(F5128,CARTON_LOOKUP!$A:$E,3,0),"")</f>
      </c>
      <c r="H5128" s="28">
        <f>IFERROR(VLOOKUP(F5128,CARTON_LOOKUP!$A:$E,4,0),"")</f>
      </c>
      <c r="I5128" s="28">
        <f>IFERROR(VLOOKUP(F5128,CARTON_LOOKUP!$A:$E,5,0),"")</f>
      </c>
      <c r="J5128" s="29">
        <f>IFERROR(VLOOKUP(F5128,CARTON_LOOKUP!$A:$E,2,0),"")</f>
      </c>
      <c r="K5128" s="29">
        <f>IFERROR(J5128*D5128,0)</f>
      </c>
      <c r="L5128" s="29">
        <f>IFERROR(E5128*C5128,0)</f>
      </c>
      <c r="M5128" s="29">
        <f>IFERROR((G5128*H5128*I5128/1000000)*D5128,0)</f>
      </c>
    </row>
    <row r="5129" spans="1:13" x14ac:dyDescent="0.25">
      <c r="A5129" s="16"/>
      <c r="E5129" s="27"/>
      <c r="F5129" t="s">
        <v>26</v>
      </c>
      <c r="G5129" s="28">
        <f>IFERROR(VLOOKUP(F5129,CARTON_LOOKUP!$A:$E,3,0),"")</f>
      </c>
      <c r="H5129" s="28">
        <f>IFERROR(VLOOKUP(F5129,CARTON_LOOKUP!$A:$E,4,0),"")</f>
      </c>
      <c r="I5129" s="28">
        <f>IFERROR(VLOOKUP(F5129,CARTON_LOOKUP!$A:$E,5,0),"")</f>
      </c>
      <c r="J5129" s="29">
        <f>IFERROR(VLOOKUP(F5129,CARTON_LOOKUP!$A:$E,2,0),"")</f>
      </c>
      <c r="K5129" s="29">
        <f>IFERROR(J5129*D5129,0)</f>
      </c>
      <c r="L5129" s="29">
        <f>IFERROR(E5129*C5129,0)</f>
      </c>
      <c r="M5129" s="29">
        <f>IFERROR((G5129*H5129*I5129/1000000)*D5129,0)</f>
      </c>
    </row>
    <row r="5130" spans="1:13" x14ac:dyDescent="0.25">
      <c r="A5130" s="16"/>
      <c r="E5130" s="27"/>
      <c r="F5130" t="s">
        <v>26</v>
      </c>
      <c r="G5130" s="28">
        <f>IFERROR(VLOOKUP(F5130,CARTON_LOOKUP!$A:$E,3,0),"")</f>
      </c>
      <c r="H5130" s="28">
        <f>IFERROR(VLOOKUP(F5130,CARTON_LOOKUP!$A:$E,4,0),"")</f>
      </c>
      <c r="I5130" s="28">
        <f>IFERROR(VLOOKUP(F5130,CARTON_LOOKUP!$A:$E,5,0),"")</f>
      </c>
      <c r="J5130" s="29">
        <f>IFERROR(VLOOKUP(F5130,CARTON_LOOKUP!$A:$E,2,0),"")</f>
      </c>
      <c r="K5130" s="29">
        <f>IFERROR(J5130*D5130,0)</f>
      </c>
      <c r="L5130" s="29">
        <f>IFERROR(E5130*C5130,0)</f>
      </c>
      <c r="M5130" s="29">
        <f>IFERROR((G5130*H5130*I5130/1000000)*D5130,0)</f>
      </c>
    </row>
    <row r="5131" spans="1:13" x14ac:dyDescent="0.25">
      <c r="A5131" s="16"/>
      <c r="E5131" s="27"/>
      <c r="F5131" t="s">
        <v>26</v>
      </c>
      <c r="G5131" s="28">
        <f>IFERROR(VLOOKUP(F5131,CARTON_LOOKUP!$A:$E,3,0),"")</f>
      </c>
      <c r="H5131" s="28">
        <f>IFERROR(VLOOKUP(F5131,CARTON_LOOKUP!$A:$E,4,0),"")</f>
      </c>
      <c r="I5131" s="28">
        <f>IFERROR(VLOOKUP(F5131,CARTON_LOOKUP!$A:$E,5,0),"")</f>
      </c>
      <c r="J5131" s="29">
        <f>IFERROR(VLOOKUP(F5131,CARTON_LOOKUP!$A:$E,2,0),"")</f>
      </c>
      <c r="K5131" s="29">
        <f>IFERROR(J5131*D5131,0)</f>
      </c>
      <c r="L5131" s="29">
        <f>IFERROR(E5131*C5131,0)</f>
      </c>
      <c r="M5131" s="29">
        <f>IFERROR((G5131*H5131*I5131/1000000)*D5131,0)</f>
      </c>
    </row>
    <row r="5132" spans="1:13" x14ac:dyDescent="0.25">
      <c r="A5132" s="16"/>
      <c r="E5132" s="27"/>
      <c r="F5132" t="s">
        <v>26</v>
      </c>
      <c r="G5132" s="28">
        <f>IFERROR(VLOOKUP(F5132,CARTON_LOOKUP!$A:$E,3,0),"")</f>
      </c>
      <c r="H5132" s="28">
        <f>IFERROR(VLOOKUP(F5132,CARTON_LOOKUP!$A:$E,4,0),"")</f>
      </c>
      <c r="I5132" s="28">
        <f>IFERROR(VLOOKUP(F5132,CARTON_LOOKUP!$A:$E,5,0),"")</f>
      </c>
      <c r="J5132" s="29">
        <f>IFERROR(VLOOKUP(F5132,CARTON_LOOKUP!$A:$E,2,0),"")</f>
      </c>
      <c r="K5132" s="29">
        <f>IFERROR(J5132*D5132,0)</f>
      </c>
      <c r="L5132" s="29">
        <f>IFERROR(E5132*C5132,0)</f>
      </c>
      <c r="M5132" s="29">
        <f>IFERROR((G5132*H5132*I5132/1000000)*D5132,0)</f>
      </c>
    </row>
    <row r="5133" spans="1:13" x14ac:dyDescent="0.25">
      <c r="A5133" s="16"/>
      <c r="E5133" s="27"/>
      <c r="F5133" t="s">
        <v>26</v>
      </c>
      <c r="G5133" s="28">
        <f>IFERROR(VLOOKUP(F5133,CARTON_LOOKUP!$A:$E,3,0),"")</f>
      </c>
      <c r="H5133" s="28">
        <f>IFERROR(VLOOKUP(F5133,CARTON_LOOKUP!$A:$E,4,0),"")</f>
      </c>
      <c r="I5133" s="28">
        <f>IFERROR(VLOOKUP(F5133,CARTON_LOOKUP!$A:$E,5,0),"")</f>
      </c>
      <c r="J5133" s="29">
        <f>IFERROR(VLOOKUP(F5133,CARTON_LOOKUP!$A:$E,2,0),"")</f>
      </c>
      <c r="K5133" s="29">
        <f>IFERROR(J5133*D5133,0)</f>
      </c>
      <c r="L5133" s="29">
        <f>IFERROR(E5133*C5133,0)</f>
      </c>
      <c r="M5133" s="29">
        <f>IFERROR((G5133*H5133*I5133/1000000)*D5133,0)</f>
      </c>
    </row>
    <row r="5134" spans="1:13" x14ac:dyDescent="0.25">
      <c r="A5134" s="16"/>
      <c r="E5134" s="27"/>
      <c r="F5134" t="s">
        <v>26</v>
      </c>
      <c r="G5134" s="28">
        <f>IFERROR(VLOOKUP(F5134,CARTON_LOOKUP!$A:$E,3,0),"")</f>
      </c>
      <c r="H5134" s="28">
        <f>IFERROR(VLOOKUP(F5134,CARTON_LOOKUP!$A:$E,4,0),"")</f>
      </c>
      <c r="I5134" s="28">
        <f>IFERROR(VLOOKUP(F5134,CARTON_LOOKUP!$A:$E,5,0),"")</f>
      </c>
      <c r="J5134" s="29">
        <f>IFERROR(VLOOKUP(F5134,CARTON_LOOKUP!$A:$E,2,0),"")</f>
      </c>
      <c r="K5134" s="29">
        <f>IFERROR(J5134*D5134,0)</f>
      </c>
      <c r="L5134" s="29">
        <f>IFERROR(E5134*C5134,0)</f>
      </c>
      <c r="M5134" s="29">
        <f>IFERROR((G5134*H5134*I5134/1000000)*D5134,0)</f>
      </c>
    </row>
    <row r="5135" spans="1:13" x14ac:dyDescent="0.25">
      <c r="A5135" s="16"/>
      <c r="E5135" s="27"/>
      <c r="F5135" t="s">
        <v>26</v>
      </c>
      <c r="G5135" s="28">
        <f>IFERROR(VLOOKUP(F5135,CARTON_LOOKUP!$A:$E,3,0),"")</f>
      </c>
      <c r="H5135" s="28">
        <f>IFERROR(VLOOKUP(F5135,CARTON_LOOKUP!$A:$E,4,0),"")</f>
      </c>
      <c r="I5135" s="28">
        <f>IFERROR(VLOOKUP(F5135,CARTON_LOOKUP!$A:$E,5,0),"")</f>
      </c>
      <c r="J5135" s="29">
        <f>IFERROR(VLOOKUP(F5135,CARTON_LOOKUP!$A:$E,2,0),"")</f>
      </c>
      <c r="K5135" s="29">
        <f>IFERROR(J5135*D5135,0)</f>
      </c>
      <c r="L5135" s="29">
        <f>IFERROR(E5135*C5135,0)</f>
      </c>
      <c r="M5135" s="29">
        <f>IFERROR((G5135*H5135*I5135/1000000)*D5135,0)</f>
      </c>
    </row>
    <row r="5136" spans="1:13" x14ac:dyDescent="0.25">
      <c r="A5136" s="16"/>
      <c r="E5136" s="27"/>
      <c r="F5136" t="s">
        <v>26</v>
      </c>
      <c r="G5136" s="28">
        <f>IFERROR(VLOOKUP(F5136,CARTON_LOOKUP!$A:$E,3,0),"")</f>
      </c>
      <c r="H5136" s="28">
        <f>IFERROR(VLOOKUP(F5136,CARTON_LOOKUP!$A:$E,4,0),"")</f>
      </c>
      <c r="I5136" s="28">
        <f>IFERROR(VLOOKUP(F5136,CARTON_LOOKUP!$A:$E,5,0),"")</f>
      </c>
      <c r="J5136" s="29">
        <f>IFERROR(VLOOKUP(F5136,CARTON_LOOKUP!$A:$E,2,0),"")</f>
      </c>
      <c r="K5136" s="29">
        <f>IFERROR(J5136*D5136,0)</f>
      </c>
      <c r="L5136" s="29">
        <f>IFERROR(E5136*C5136,0)</f>
      </c>
      <c r="M5136" s="29">
        <f>IFERROR((G5136*H5136*I5136/1000000)*D5136,0)</f>
      </c>
    </row>
    <row r="5137" spans="1:13" x14ac:dyDescent="0.25">
      <c r="A5137" s="16"/>
      <c r="E5137" s="27"/>
      <c r="F5137" t="s">
        <v>26</v>
      </c>
      <c r="G5137" s="28">
        <f>IFERROR(VLOOKUP(F5137,CARTON_LOOKUP!$A:$E,3,0),"")</f>
      </c>
      <c r="H5137" s="28">
        <f>IFERROR(VLOOKUP(F5137,CARTON_LOOKUP!$A:$E,4,0),"")</f>
      </c>
      <c r="I5137" s="28">
        <f>IFERROR(VLOOKUP(F5137,CARTON_LOOKUP!$A:$E,5,0),"")</f>
      </c>
      <c r="J5137" s="29">
        <f>IFERROR(VLOOKUP(F5137,CARTON_LOOKUP!$A:$E,2,0),"")</f>
      </c>
      <c r="K5137" s="29">
        <f>IFERROR(J5137*D5137,0)</f>
      </c>
      <c r="L5137" s="29">
        <f>IFERROR(E5137*C5137,0)</f>
      </c>
      <c r="M5137" s="29">
        <f>IFERROR((G5137*H5137*I5137/1000000)*D5137,0)</f>
      </c>
    </row>
    <row r="5138" spans="1:13" x14ac:dyDescent="0.25">
      <c r="A5138" s="16"/>
      <c r="E5138" s="27"/>
      <c r="F5138" t="s">
        <v>26</v>
      </c>
      <c r="G5138" s="28">
        <f>IFERROR(VLOOKUP(F5138,CARTON_LOOKUP!$A:$E,3,0),"")</f>
      </c>
      <c r="H5138" s="28">
        <f>IFERROR(VLOOKUP(F5138,CARTON_LOOKUP!$A:$E,4,0),"")</f>
      </c>
      <c r="I5138" s="28">
        <f>IFERROR(VLOOKUP(F5138,CARTON_LOOKUP!$A:$E,5,0),"")</f>
      </c>
      <c r="J5138" s="29">
        <f>IFERROR(VLOOKUP(F5138,CARTON_LOOKUP!$A:$E,2,0),"")</f>
      </c>
      <c r="K5138" s="29">
        <f>IFERROR(J5138*D5138,0)</f>
      </c>
      <c r="L5138" s="29">
        <f>IFERROR(E5138*C5138,0)</f>
      </c>
      <c r="M5138" s="29">
        <f>IFERROR((G5138*H5138*I5138/1000000)*D5138,0)</f>
      </c>
    </row>
    <row r="5139" spans="1:13" x14ac:dyDescent="0.25">
      <c r="A5139" s="16"/>
      <c r="E5139" s="27"/>
      <c r="F5139" t="s">
        <v>26</v>
      </c>
      <c r="G5139" s="28">
        <f>IFERROR(VLOOKUP(F5139,CARTON_LOOKUP!$A:$E,3,0),"")</f>
      </c>
      <c r="H5139" s="28">
        <f>IFERROR(VLOOKUP(F5139,CARTON_LOOKUP!$A:$E,4,0),"")</f>
      </c>
      <c r="I5139" s="28">
        <f>IFERROR(VLOOKUP(F5139,CARTON_LOOKUP!$A:$E,5,0),"")</f>
      </c>
      <c r="J5139" s="29">
        <f>IFERROR(VLOOKUP(F5139,CARTON_LOOKUP!$A:$E,2,0),"")</f>
      </c>
      <c r="K5139" s="29">
        <f>IFERROR(J5139*D5139,0)</f>
      </c>
      <c r="L5139" s="29">
        <f>IFERROR(E5139*C5139,0)</f>
      </c>
      <c r="M5139" s="29">
        <f>IFERROR((G5139*H5139*I5139/1000000)*D5139,0)</f>
      </c>
    </row>
    <row r="5140" spans="1:13" x14ac:dyDescent="0.25">
      <c r="A5140" s="16"/>
      <c r="E5140" s="27"/>
      <c r="F5140" t="s">
        <v>26</v>
      </c>
      <c r="G5140" s="28">
        <f>IFERROR(VLOOKUP(F5140,CARTON_LOOKUP!$A:$E,3,0),"")</f>
      </c>
      <c r="H5140" s="28">
        <f>IFERROR(VLOOKUP(F5140,CARTON_LOOKUP!$A:$E,4,0),"")</f>
      </c>
      <c r="I5140" s="28">
        <f>IFERROR(VLOOKUP(F5140,CARTON_LOOKUP!$A:$E,5,0),"")</f>
      </c>
      <c r="J5140" s="29">
        <f>IFERROR(VLOOKUP(F5140,CARTON_LOOKUP!$A:$E,2,0),"")</f>
      </c>
      <c r="K5140" s="29">
        <f>IFERROR(J5140*D5140,0)</f>
      </c>
      <c r="L5140" s="29">
        <f>IFERROR(E5140*C5140,0)</f>
      </c>
      <c r="M5140" s="29">
        <f>IFERROR((G5140*H5140*I5140/1000000)*D5140,0)</f>
      </c>
    </row>
    <row r="5141" spans="1:13" x14ac:dyDescent="0.25">
      <c r="A5141" s="16"/>
      <c r="E5141" s="27"/>
      <c r="F5141" t="s">
        <v>26</v>
      </c>
      <c r="G5141" s="28">
        <f>IFERROR(VLOOKUP(F5141,CARTON_LOOKUP!$A:$E,3,0),"")</f>
      </c>
      <c r="H5141" s="28">
        <f>IFERROR(VLOOKUP(F5141,CARTON_LOOKUP!$A:$E,4,0),"")</f>
      </c>
      <c r="I5141" s="28">
        <f>IFERROR(VLOOKUP(F5141,CARTON_LOOKUP!$A:$E,5,0),"")</f>
      </c>
      <c r="J5141" s="29">
        <f>IFERROR(VLOOKUP(F5141,CARTON_LOOKUP!$A:$E,2,0),"")</f>
      </c>
      <c r="K5141" s="29">
        <f>IFERROR(J5141*D5141,0)</f>
      </c>
      <c r="L5141" s="29">
        <f>IFERROR(E5141*C5141,0)</f>
      </c>
      <c r="M5141" s="29">
        <f>IFERROR((G5141*H5141*I5141/1000000)*D5141,0)</f>
      </c>
    </row>
    <row r="5142" spans="1:13" x14ac:dyDescent="0.25">
      <c r="A5142" s="16"/>
      <c r="E5142" s="27"/>
      <c r="F5142" t="s">
        <v>26</v>
      </c>
      <c r="G5142" s="28">
        <f>IFERROR(VLOOKUP(F5142,CARTON_LOOKUP!$A:$E,3,0),"")</f>
      </c>
      <c r="H5142" s="28">
        <f>IFERROR(VLOOKUP(F5142,CARTON_LOOKUP!$A:$E,4,0),"")</f>
      </c>
      <c r="I5142" s="28">
        <f>IFERROR(VLOOKUP(F5142,CARTON_LOOKUP!$A:$E,5,0),"")</f>
      </c>
      <c r="J5142" s="29">
        <f>IFERROR(VLOOKUP(F5142,CARTON_LOOKUP!$A:$E,2,0),"")</f>
      </c>
      <c r="K5142" s="29">
        <f>IFERROR(J5142*D5142,0)</f>
      </c>
      <c r="L5142" s="29">
        <f>IFERROR(E5142*C5142,0)</f>
      </c>
      <c r="M5142" s="29">
        <f>IFERROR((G5142*H5142*I5142/1000000)*D5142,0)</f>
      </c>
    </row>
    <row r="5143" spans="1:13" x14ac:dyDescent="0.25">
      <c r="A5143" s="16"/>
      <c r="E5143" s="27"/>
      <c r="F5143" t="s">
        <v>26</v>
      </c>
      <c r="G5143" s="28">
        <f>IFERROR(VLOOKUP(F5143,CARTON_LOOKUP!$A:$E,3,0),"")</f>
      </c>
      <c r="H5143" s="28">
        <f>IFERROR(VLOOKUP(F5143,CARTON_LOOKUP!$A:$E,4,0),"")</f>
      </c>
      <c r="I5143" s="28">
        <f>IFERROR(VLOOKUP(F5143,CARTON_LOOKUP!$A:$E,5,0),"")</f>
      </c>
      <c r="J5143" s="29">
        <f>IFERROR(VLOOKUP(F5143,CARTON_LOOKUP!$A:$E,2,0),"")</f>
      </c>
      <c r="K5143" s="29">
        <f>IFERROR(J5143*D5143,0)</f>
      </c>
      <c r="L5143" s="29">
        <f>IFERROR(E5143*C5143,0)</f>
      </c>
      <c r="M5143" s="29">
        <f>IFERROR((G5143*H5143*I5143/1000000)*D5143,0)</f>
      </c>
    </row>
    <row r="5144" spans="1:13" x14ac:dyDescent="0.25">
      <c r="A5144" s="16"/>
      <c r="E5144" s="27"/>
      <c r="F5144" t="s">
        <v>26</v>
      </c>
      <c r="G5144" s="28">
        <f>IFERROR(VLOOKUP(F5144,CARTON_LOOKUP!$A:$E,3,0),"")</f>
      </c>
      <c r="H5144" s="28">
        <f>IFERROR(VLOOKUP(F5144,CARTON_LOOKUP!$A:$E,4,0),"")</f>
      </c>
      <c r="I5144" s="28">
        <f>IFERROR(VLOOKUP(F5144,CARTON_LOOKUP!$A:$E,5,0),"")</f>
      </c>
      <c r="J5144" s="29">
        <f>IFERROR(VLOOKUP(F5144,CARTON_LOOKUP!$A:$E,2,0),"")</f>
      </c>
      <c r="K5144" s="29">
        <f>IFERROR(J5144*D5144,0)</f>
      </c>
      <c r="L5144" s="29">
        <f>IFERROR(E5144*C5144,0)</f>
      </c>
      <c r="M5144" s="29">
        <f>IFERROR((G5144*H5144*I5144/1000000)*D5144,0)</f>
      </c>
    </row>
    <row r="5145" spans="1:13" x14ac:dyDescent="0.25">
      <c r="A5145" s="16"/>
      <c r="E5145" s="27"/>
      <c r="F5145" t="s">
        <v>26</v>
      </c>
      <c r="G5145" s="28">
        <f>IFERROR(VLOOKUP(F5145,CARTON_LOOKUP!$A:$E,3,0),"")</f>
      </c>
      <c r="H5145" s="28">
        <f>IFERROR(VLOOKUP(F5145,CARTON_LOOKUP!$A:$E,4,0),"")</f>
      </c>
      <c r="I5145" s="28">
        <f>IFERROR(VLOOKUP(F5145,CARTON_LOOKUP!$A:$E,5,0),"")</f>
      </c>
      <c r="J5145" s="29">
        <f>IFERROR(VLOOKUP(F5145,CARTON_LOOKUP!$A:$E,2,0),"")</f>
      </c>
      <c r="K5145" s="29">
        <f>IFERROR(J5145*D5145,0)</f>
      </c>
      <c r="L5145" s="29">
        <f>IFERROR(E5145*C5145,0)</f>
      </c>
      <c r="M5145" s="29">
        <f>IFERROR((G5145*H5145*I5145/1000000)*D5145,0)</f>
      </c>
    </row>
    <row r="5146" spans="1:13" x14ac:dyDescent="0.25">
      <c r="A5146" s="16"/>
      <c r="E5146" s="27"/>
      <c r="F5146" t="s">
        <v>26</v>
      </c>
      <c r="G5146" s="28">
        <f>IFERROR(VLOOKUP(F5146,CARTON_LOOKUP!$A:$E,3,0),"")</f>
      </c>
      <c r="H5146" s="28">
        <f>IFERROR(VLOOKUP(F5146,CARTON_LOOKUP!$A:$E,4,0),"")</f>
      </c>
      <c r="I5146" s="28">
        <f>IFERROR(VLOOKUP(F5146,CARTON_LOOKUP!$A:$E,5,0),"")</f>
      </c>
      <c r="J5146" s="29">
        <f>IFERROR(VLOOKUP(F5146,CARTON_LOOKUP!$A:$E,2,0),"")</f>
      </c>
      <c r="K5146" s="29">
        <f>IFERROR(J5146*D5146,0)</f>
      </c>
      <c r="L5146" s="29">
        <f>IFERROR(E5146*C5146,0)</f>
      </c>
      <c r="M5146" s="29">
        <f>IFERROR((G5146*H5146*I5146/1000000)*D5146,0)</f>
      </c>
    </row>
    <row r="5147" spans="1:13" x14ac:dyDescent="0.25">
      <c r="A5147" s="16"/>
      <c r="E5147" s="27"/>
      <c r="F5147" t="s">
        <v>26</v>
      </c>
      <c r="G5147" s="28">
        <f>IFERROR(VLOOKUP(F5147,CARTON_LOOKUP!$A:$E,3,0),"")</f>
      </c>
      <c r="H5147" s="28">
        <f>IFERROR(VLOOKUP(F5147,CARTON_LOOKUP!$A:$E,4,0),"")</f>
      </c>
      <c r="I5147" s="28">
        <f>IFERROR(VLOOKUP(F5147,CARTON_LOOKUP!$A:$E,5,0),"")</f>
      </c>
      <c r="J5147" s="29">
        <f>IFERROR(VLOOKUP(F5147,CARTON_LOOKUP!$A:$E,2,0),"")</f>
      </c>
      <c r="K5147" s="29">
        <f>IFERROR(J5147*D5147,0)</f>
      </c>
      <c r="L5147" s="29">
        <f>IFERROR(E5147*C5147,0)</f>
      </c>
      <c r="M5147" s="29">
        <f>IFERROR((G5147*H5147*I5147/1000000)*D5147,0)</f>
      </c>
    </row>
    <row r="5148" spans="1:13" x14ac:dyDescent="0.25">
      <c r="A5148" s="16"/>
      <c r="E5148" s="27"/>
      <c r="F5148" t="s">
        <v>26</v>
      </c>
      <c r="G5148" s="28">
        <f>IFERROR(VLOOKUP(F5148,CARTON_LOOKUP!$A:$E,3,0),"")</f>
      </c>
      <c r="H5148" s="28">
        <f>IFERROR(VLOOKUP(F5148,CARTON_LOOKUP!$A:$E,4,0),"")</f>
      </c>
      <c r="I5148" s="28">
        <f>IFERROR(VLOOKUP(F5148,CARTON_LOOKUP!$A:$E,5,0),"")</f>
      </c>
      <c r="J5148" s="29">
        <f>IFERROR(VLOOKUP(F5148,CARTON_LOOKUP!$A:$E,2,0),"")</f>
      </c>
      <c r="K5148" s="29">
        <f>IFERROR(J5148*D5148,0)</f>
      </c>
      <c r="L5148" s="29">
        <f>IFERROR(E5148*C5148,0)</f>
      </c>
      <c r="M5148" s="29">
        <f>IFERROR((G5148*H5148*I5148/1000000)*D5148,0)</f>
      </c>
    </row>
    <row r="5149" spans="1:13" x14ac:dyDescent="0.25">
      <c r="A5149" s="16"/>
      <c r="E5149" s="27"/>
      <c r="F5149" t="s">
        <v>26</v>
      </c>
      <c r="G5149" s="28">
        <f>IFERROR(VLOOKUP(F5149,CARTON_LOOKUP!$A:$E,3,0),"")</f>
      </c>
      <c r="H5149" s="28">
        <f>IFERROR(VLOOKUP(F5149,CARTON_LOOKUP!$A:$E,4,0),"")</f>
      </c>
      <c r="I5149" s="28">
        <f>IFERROR(VLOOKUP(F5149,CARTON_LOOKUP!$A:$E,5,0),"")</f>
      </c>
      <c r="J5149" s="29">
        <f>IFERROR(VLOOKUP(F5149,CARTON_LOOKUP!$A:$E,2,0),"")</f>
      </c>
      <c r="K5149" s="29">
        <f>IFERROR(J5149*D5149,0)</f>
      </c>
      <c r="L5149" s="29">
        <f>IFERROR(E5149*C5149,0)</f>
      </c>
      <c r="M5149" s="29">
        <f>IFERROR((G5149*H5149*I5149/1000000)*D5149,0)</f>
      </c>
    </row>
    <row r="5150" spans="1:13" x14ac:dyDescent="0.25">
      <c r="A5150" s="16"/>
      <c r="E5150" s="27"/>
      <c r="F5150" t="s">
        <v>26</v>
      </c>
      <c r="G5150" s="28">
        <f>IFERROR(VLOOKUP(F5150,CARTON_LOOKUP!$A:$E,3,0),"")</f>
      </c>
      <c r="H5150" s="28">
        <f>IFERROR(VLOOKUP(F5150,CARTON_LOOKUP!$A:$E,4,0),"")</f>
      </c>
      <c r="I5150" s="28">
        <f>IFERROR(VLOOKUP(F5150,CARTON_LOOKUP!$A:$E,5,0),"")</f>
      </c>
      <c r="J5150" s="29">
        <f>IFERROR(VLOOKUP(F5150,CARTON_LOOKUP!$A:$E,2,0),"")</f>
      </c>
      <c r="K5150" s="29">
        <f>IFERROR(J5150*D5150,0)</f>
      </c>
      <c r="L5150" s="29">
        <f>IFERROR(E5150*C5150,0)</f>
      </c>
      <c r="M5150" s="29">
        <f>IFERROR((G5150*H5150*I5150/1000000)*D5150,0)</f>
      </c>
    </row>
    <row r="5151" spans="1:13" x14ac:dyDescent="0.25">
      <c r="A5151" s="16"/>
      <c r="E5151" s="27"/>
      <c r="F5151" t="s">
        <v>26</v>
      </c>
      <c r="G5151" s="28">
        <f>IFERROR(VLOOKUP(F5151,CARTON_LOOKUP!$A:$E,3,0),"")</f>
      </c>
      <c r="H5151" s="28">
        <f>IFERROR(VLOOKUP(F5151,CARTON_LOOKUP!$A:$E,4,0),"")</f>
      </c>
      <c r="I5151" s="28">
        <f>IFERROR(VLOOKUP(F5151,CARTON_LOOKUP!$A:$E,5,0),"")</f>
      </c>
      <c r="J5151" s="29">
        <f>IFERROR(VLOOKUP(F5151,CARTON_LOOKUP!$A:$E,2,0),"")</f>
      </c>
      <c r="K5151" s="29">
        <f>IFERROR(J5151*D5151,0)</f>
      </c>
      <c r="L5151" s="29">
        <f>IFERROR(E5151*C5151,0)</f>
      </c>
      <c r="M5151" s="29">
        <f>IFERROR((G5151*H5151*I5151/1000000)*D5151,0)</f>
      </c>
    </row>
    <row r="5152" spans="1:13" x14ac:dyDescent="0.25">
      <c r="A5152" s="16"/>
      <c r="E5152" s="27"/>
      <c r="F5152" t="s">
        <v>26</v>
      </c>
      <c r="G5152" s="28">
        <f>IFERROR(VLOOKUP(F5152,CARTON_LOOKUP!$A:$E,3,0),"")</f>
      </c>
      <c r="H5152" s="28">
        <f>IFERROR(VLOOKUP(F5152,CARTON_LOOKUP!$A:$E,4,0),"")</f>
      </c>
      <c r="I5152" s="28">
        <f>IFERROR(VLOOKUP(F5152,CARTON_LOOKUP!$A:$E,5,0),"")</f>
      </c>
      <c r="J5152" s="29">
        <f>IFERROR(VLOOKUP(F5152,CARTON_LOOKUP!$A:$E,2,0),"")</f>
      </c>
      <c r="K5152" s="29">
        <f>IFERROR(J5152*D5152,0)</f>
      </c>
      <c r="L5152" s="29">
        <f>IFERROR(E5152*C5152,0)</f>
      </c>
      <c r="M5152" s="29">
        <f>IFERROR((G5152*H5152*I5152/1000000)*D5152,0)</f>
      </c>
    </row>
    <row r="5153" spans="1:13" x14ac:dyDescent="0.25">
      <c r="A5153" s="16"/>
      <c r="E5153" s="27"/>
      <c r="F5153" t="s">
        <v>26</v>
      </c>
      <c r="G5153" s="28">
        <f>IFERROR(VLOOKUP(F5153,CARTON_LOOKUP!$A:$E,3,0),"")</f>
      </c>
      <c r="H5153" s="28">
        <f>IFERROR(VLOOKUP(F5153,CARTON_LOOKUP!$A:$E,4,0),"")</f>
      </c>
      <c r="I5153" s="28">
        <f>IFERROR(VLOOKUP(F5153,CARTON_LOOKUP!$A:$E,5,0),"")</f>
      </c>
      <c r="J5153" s="29">
        <f>IFERROR(VLOOKUP(F5153,CARTON_LOOKUP!$A:$E,2,0),"")</f>
      </c>
      <c r="K5153" s="29">
        <f>IFERROR(J5153*D5153,0)</f>
      </c>
      <c r="L5153" s="29">
        <f>IFERROR(E5153*C5153,0)</f>
      </c>
      <c r="M5153" s="29">
        <f>IFERROR((G5153*H5153*I5153/1000000)*D5153,0)</f>
      </c>
    </row>
    <row r="5154" spans="1:13" x14ac:dyDescent="0.25">
      <c r="A5154" s="16"/>
      <c r="E5154" s="27"/>
      <c r="F5154" t="s">
        <v>26</v>
      </c>
      <c r="G5154" s="28">
        <f>IFERROR(VLOOKUP(F5154,CARTON_LOOKUP!$A:$E,3,0),"")</f>
      </c>
      <c r="H5154" s="28">
        <f>IFERROR(VLOOKUP(F5154,CARTON_LOOKUP!$A:$E,4,0),"")</f>
      </c>
      <c r="I5154" s="28">
        <f>IFERROR(VLOOKUP(F5154,CARTON_LOOKUP!$A:$E,5,0),"")</f>
      </c>
      <c r="J5154" s="29">
        <f>IFERROR(VLOOKUP(F5154,CARTON_LOOKUP!$A:$E,2,0),"")</f>
      </c>
      <c r="K5154" s="29">
        <f>IFERROR(J5154*D5154,0)</f>
      </c>
      <c r="L5154" s="29">
        <f>IFERROR(E5154*C5154,0)</f>
      </c>
      <c r="M5154" s="29">
        <f>IFERROR((G5154*H5154*I5154/1000000)*D5154,0)</f>
      </c>
    </row>
    <row r="5155" spans="1:13" x14ac:dyDescent="0.25">
      <c r="A5155" s="16"/>
      <c r="E5155" s="27"/>
      <c r="F5155" t="s">
        <v>26</v>
      </c>
      <c r="G5155" s="28">
        <f>IFERROR(VLOOKUP(F5155,CARTON_LOOKUP!$A:$E,3,0),"")</f>
      </c>
      <c r="H5155" s="28">
        <f>IFERROR(VLOOKUP(F5155,CARTON_LOOKUP!$A:$E,4,0),"")</f>
      </c>
      <c r="I5155" s="28">
        <f>IFERROR(VLOOKUP(F5155,CARTON_LOOKUP!$A:$E,5,0),"")</f>
      </c>
      <c r="J5155" s="29">
        <f>IFERROR(VLOOKUP(F5155,CARTON_LOOKUP!$A:$E,2,0),"")</f>
      </c>
      <c r="K5155" s="29">
        <f>IFERROR(J5155*D5155,0)</f>
      </c>
      <c r="L5155" s="29">
        <f>IFERROR(E5155*C5155,0)</f>
      </c>
      <c r="M5155" s="29">
        <f>IFERROR((G5155*H5155*I5155/1000000)*D5155,0)</f>
      </c>
    </row>
    <row r="5156" spans="1:13" x14ac:dyDescent="0.25">
      <c r="A5156" s="16"/>
      <c r="E5156" s="27"/>
      <c r="F5156" t="s">
        <v>26</v>
      </c>
      <c r="G5156" s="28">
        <f>IFERROR(VLOOKUP(F5156,CARTON_LOOKUP!$A:$E,3,0),"")</f>
      </c>
      <c r="H5156" s="28">
        <f>IFERROR(VLOOKUP(F5156,CARTON_LOOKUP!$A:$E,4,0),"")</f>
      </c>
      <c r="I5156" s="28">
        <f>IFERROR(VLOOKUP(F5156,CARTON_LOOKUP!$A:$E,5,0),"")</f>
      </c>
      <c r="J5156" s="29">
        <f>IFERROR(VLOOKUP(F5156,CARTON_LOOKUP!$A:$E,2,0),"")</f>
      </c>
      <c r="K5156" s="29">
        <f>IFERROR(J5156*D5156,0)</f>
      </c>
      <c r="L5156" s="29">
        <f>IFERROR(E5156*C5156,0)</f>
      </c>
      <c r="M5156" s="29">
        <f>IFERROR((G5156*H5156*I5156/1000000)*D5156,0)</f>
      </c>
    </row>
    <row r="5157" spans="1:13" x14ac:dyDescent="0.25">
      <c r="A5157" s="16"/>
      <c r="E5157" s="27"/>
      <c r="F5157" t="s">
        <v>26</v>
      </c>
      <c r="G5157" s="28">
        <f>IFERROR(VLOOKUP(F5157,CARTON_LOOKUP!$A:$E,3,0),"")</f>
      </c>
      <c r="H5157" s="28">
        <f>IFERROR(VLOOKUP(F5157,CARTON_LOOKUP!$A:$E,4,0),"")</f>
      </c>
      <c r="I5157" s="28">
        <f>IFERROR(VLOOKUP(F5157,CARTON_LOOKUP!$A:$E,5,0),"")</f>
      </c>
      <c r="J5157" s="29">
        <f>IFERROR(VLOOKUP(F5157,CARTON_LOOKUP!$A:$E,2,0),"")</f>
      </c>
      <c r="K5157" s="29">
        <f>IFERROR(J5157*D5157,0)</f>
      </c>
      <c r="L5157" s="29">
        <f>IFERROR(E5157*C5157,0)</f>
      </c>
      <c r="M5157" s="29">
        <f>IFERROR((G5157*H5157*I5157/1000000)*D5157,0)</f>
      </c>
    </row>
    <row r="5158" spans="1:13" x14ac:dyDescent="0.25">
      <c r="A5158" s="16"/>
      <c r="E5158" s="27"/>
      <c r="F5158" t="s">
        <v>26</v>
      </c>
      <c r="G5158" s="28">
        <f>IFERROR(VLOOKUP(F5158,CARTON_LOOKUP!$A:$E,3,0),"")</f>
      </c>
      <c r="H5158" s="28">
        <f>IFERROR(VLOOKUP(F5158,CARTON_LOOKUP!$A:$E,4,0),"")</f>
      </c>
      <c r="I5158" s="28">
        <f>IFERROR(VLOOKUP(F5158,CARTON_LOOKUP!$A:$E,5,0),"")</f>
      </c>
      <c r="J5158" s="29">
        <f>IFERROR(VLOOKUP(F5158,CARTON_LOOKUP!$A:$E,2,0),"")</f>
      </c>
      <c r="K5158" s="29">
        <f>IFERROR(J5158*D5158,0)</f>
      </c>
      <c r="L5158" s="29">
        <f>IFERROR(E5158*C5158,0)</f>
      </c>
      <c r="M5158" s="29">
        <f>IFERROR((G5158*H5158*I5158/1000000)*D5158,0)</f>
      </c>
    </row>
    <row r="5159" spans="1:13" x14ac:dyDescent="0.25">
      <c r="A5159" s="16"/>
      <c r="E5159" s="27"/>
      <c r="F5159" t="s">
        <v>26</v>
      </c>
      <c r="G5159" s="28">
        <f>IFERROR(VLOOKUP(F5159,CARTON_LOOKUP!$A:$E,3,0),"")</f>
      </c>
      <c r="H5159" s="28">
        <f>IFERROR(VLOOKUP(F5159,CARTON_LOOKUP!$A:$E,4,0),"")</f>
      </c>
      <c r="I5159" s="28">
        <f>IFERROR(VLOOKUP(F5159,CARTON_LOOKUP!$A:$E,5,0),"")</f>
      </c>
      <c r="J5159" s="29">
        <f>IFERROR(VLOOKUP(F5159,CARTON_LOOKUP!$A:$E,2,0),"")</f>
      </c>
      <c r="K5159" s="29">
        <f>IFERROR(J5159*D5159,0)</f>
      </c>
      <c r="L5159" s="29">
        <f>IFERROR(E5159*C5159,0)</f>
      </c>
      <c r="M5159" s="29">
        <f>IFERROR((G5159*H5159*I5159/1000000)*D5159,0)</f>
      </c>
    </row>
    <row r="5160" spans="1:13" x14ac:dyDescent="0.25">
      <c r="A5160" s="16"/>
      <c r="E5160" s="27"/>
      <c r="F5160" t="s">
        <v>26</v>
      </c>
      <c r="G5160" s="28">
        <f>IFERROR(VLOOKUP(F5160,CARTON_LOOKUP!$A:$E,3,0),"")</f>
      </c>
      <c r="H5160" s="28">
        <f>IFERROR(VLOOKUP(F5160,CARTON_LOOKUP!$A:$E,4,0),"")</f>
      </c>
      <c r="I5160" s="28">
        <f>IFERROR(VLOOKUP(F5160,CARTON_LOOKUP!$A:$E,5,0),"")</f>
      </c>
      <c r="J5160" s="29">
        <f>IFERROR(VLOOKUP(F5160,CARTON_LOOKUP!$A:$E,2,0),"")</f>
      </c>
      <c r="K5160" s="29">
        <f>IFERROR(J5160*D5160,0)</f>
      </c>
      <c r="L5160" s="29">
        <f>IFERROR(E5160*C5160,0)</f>
      </c>
      <c r="M5160" s="29">
        <f>IFERROR((G5160*H5160*I5160/1000000)*D5160,0)</f>
      </c>
    </row>
    <row r="5161" spans="1:13" x14ac:dyDescent="0.25">
      <c r="A5161" s="16"/>
      <c r="E5161" s="27"/>
      <c r="F5161" t="s">
        <v>26</v>
      </c>
      <c r="G5161" s="28">
        <f>IFERROR(VLOOKUP(F5161,CARTON_LOOKUP!$A:$E,3,0),"")</f>
      </c>
      <c r="H5161" s="28">
        <f>IFERROR(VLOOKUP(F5161,CARTON_LOOKUP!$A:$E,4,0),"")</f>
      </c>
      <c r="I5161" s="28">
        <f>IFERROR(VLOOKUP(F5161,CARTON_LOOKUP!$A:$E,5,0),"")</f>
      </c>
      <c r="J5161" s="29">
        <f>IFERROR(VLOOKUP(F5161,CARTON_LOOKUP!$A:$E,2,0),"")</f>
      </c>
      <c r="K5161" s="29">
        <f>IFERROR(J5161*D5161,0)</f>
      </c>
      <c r="L5161" s="29">
        <f>IFERROR(E5161*C5161,0)</f>
      </c>
      <c r="M5161" s="29">
        <f>IFERROR((G5161*H5161*I5161/1000000)*D5161,0)</f>
      </c>
    </row>
    <row r="5162" spans="1:13" x14ac:dyDescent="0.25">
      <c r="A5162" s="16"/>
      <c r="E5162" s="27"/>
      <c r="F5162" t="s">
        <v>26</v>
      </c>
      <c r="G5162" s="28">
        <f>IFERROR(VLOOKUP(F5162,CARTON_LOOKUP!$A:$E,3,0),"")</f>
      </c>
      <c r="H5162" s="28">
        <f>IFERROR(VLOOKUP(F5162,CARTON_LOOKUP!$A:$E,4,0),"")</f>
      </c>
      <c r="I5162" s="28">
        <f>IFERROR(VLOOKUP(F5162,CARTON_LOOKUP!$A:$E,5,0),"")</f>
      </c>
      <c r="J5162" s="29">
        <f>IFERROR(VLOOKUP(F5162,CARTON_LOOKUP!$A:$E,2,0),"")</f>
      </c>
      <c r="K5162" s="29">
        <f>IFERROR(J5162*D5162,0)</f>
      </c>
      <c r="L5162" s="29">
        <f>IFERROR(E5162*C5162,0)</f>
      </c>
      <c r="M5162" s="29">
        <f>IFERROR((G5162*H5162*I5162/1000000)*D5162,0)</f>
      </c>
    </row>
    <row r="5163" spans="1:13" x14ac:dyDescent="0.25">
      <c r="A5163" s="16"/>
      <c r="E5163" s="27"/>
      <c r="F5163" t="s">
        <v>26</v>
      </c>
      <c r="G5163" s="28">
        <f>IFERROR(VLOOKUP(F5163,CARTON_LOOKUP!$A:$E,3,0),"")</f>
      </c>
      <c r="H5163" s="28">
        <f>IFERROR(VLOOKUP(F5163,CARTON_LOOKUP!$A:$E,4,0),"")</f>
      </c>
      <c r="I5163" s="28">
        <f>IFERROR(VLOOKUP(F5163,CARTON_LOOKUP!$A:$E,5,0),"")</f>
      </c>
      <c r="J5163" s="29">
        <f>IFERROR(VLOOKUP(F5163,CARTON_LOOKUP!$A:$E,2,0),"")</f>
      </c>
      <c r="K5163" s="29">
        <f>IFERROR(J5163*D5163,0)</f>
      </c>
      <c r="L5163" s="29">
        <f>IFERROR(E5163*C5163,0)</f>
      </c>
      <c r="M5163" s="29">
        <f>IFERROR((G5163*H5163*I5163/1000000)*D5163,0)</f>
      </c>
    </row>
    <row r="5164" spans="1:13" x14ac:dyDescent="0.25">
      <c r="A5164" s="16"/>
      <c r="E5164" s="27"/>
      <c r="F5164" t="s">
        <v>26</v>
      </c>
      <c r="G5164" s="28">
        <f>IFERROR(VLOOKUP(F5164,CARTON_LOOKUP!$A:$E,3,0),"")</f>
      </c>
      <c r="H5164" s="28">
        <f>IFERROR(VLOOKUP(F5164,CARTON_LOOKUP!$A:$E,4,0),"")</f>
      </c>
      <c r="I5164" s="28">
        <f>IFERROR(VLOOKUP(F5164,CARTON_LOOKUP!$A:$E,5,0),"")</f>
      </c>
      <c r="J5164" s="29">
        <f>IFERROR(VLOOKUP(F5164,CARTON_LOOKUP!$A:$E,2,0),"")</f>
      </c>
      <c r="K5164" s="29">
        <f>IFERROR(J5164*D5164,0)</f>
      </c>
      <c r="L5164" s="29">
        <f>IFERROR(E5164*C5164,0)</f>
      </c>
      <c r="M5164" s="29">
        <f>IFERROR((G5164*H5164*I5164/1000000)*D5164,0)</f>
      </c>
    </row>
    <row r="5165" spans="1:13" x14ac:dyDescent="0.25">
      <c r="A5165" s="16"/>
      <c r="E5165" s="27"/>
      <c r="F5165" t="s">
        <v>26</v>
      </c>
      <c r="G5165" s="28">
        <f>IFERROR(VLOOKUP(F5165,CARTON_LOOKUP!$A:$E,3,0),"")</f>
      </c>
      <c r="H5165" s="28">
        <f>IFERROR(VLOOKUP(F5165,CARTON_LOOKUP!$A:$E,4,0),"")</f>
      </c>
      <c r="I5165" s="28">
        <f>IFERROR(VLOOKUP(F5165,CARTON_LOOKUP!$A:$E,5,0),"")</f>
      </c>
      <c r="J5165" s="29">
        <f>IFERROR(VLOOKUP(F5165,CARTON_LOOKUP!$A:$E,2,0),"")</f>
      </c>
      <c r="K5165" s="29">
        <f>IFERROR(J5165*D5165,0)</f>
      </c>
      <c r="L5165" s="29">
        <f>IFERROR(E5165*C5165,0)</f>
      </c>
      <c r="M5165" s="29">
        <f>IFERROR((G5165*H5165*I5165/1000000)*D5165,0)</f>
      </c>
    </row>
    <row r="5166" spans="1:13" x14ac:dyDescent="0.25">
      <c r="A5166" s="16"/>
      <c r="E5166" s="27"/>
      <c r="F5166" t="s">
        <v>26</v>
      </c>
      <c r="G5166" s="28">
        <f>IFERROR(VLOOKUP(F5166,CARTON_LOOKUP!$A:$E,3,0),"")</f>
      </c>
      <c r="H5166" s="28">
        <f>IFERROR(VLOOKUP(F5166,CARTON_LOOKUP!$A:$E,4,0),"")</f>
      </c>
      <c r="I5166" s="28">
        <f>IFERROR(VLOOKUP(F5166,CARTON_LOOKUP!$A:$E,5,0),"")</f>
      </c>
      <c r="J5166" s="29">
        <f>IFERROR(VLOOKUP(F5166,CARTON_LOOKUP!$A:$E,2,0),"")</f>
      </c>
      <c r="K5166" s="29">
        <f>IFERROR(J5166*D5166,0)</f>
      </c>
      <c r="L5166" s="29">
        <f>IFERROR(E5166*C5166,0)</f>
      </c>
      <c r="M5166" s="29">
        <f>IFERROR((G5166*H5166*I5166/1000000)*D5166,0)</f>
      </c>
    </row>
    <row r="5167" spans="1:13" x14ac:dyDescent="0.25">
      <c r="A5167" s="16"/>
      <c r="E5167" s="27"/>
      <c r="F5167" t="s">
        <v>26</v>
      </c>
      <c r="G5167" s="28">
        <f>IFERROR(VLOOKUP(F5167,CARTON_LOOKUP!$A:$E,3,0),"")</f>
      </c>
      <c r="H5167" s="28">
        <f>IFERROR(VLOOKUP(F5167,CARTON_LOOKUP!$A:$E,4,0),"")</f>
      </c>
      <c r="I5167" s="28">
        <f>IFERROR(VLOOKUP(F5167,CARTON_LOOKUP!$A:$E,5,0),"")</f>
      </c>
      <c r="J5167" s="29">
        <f>IFERROR(VLOOKUP(F5167,CARTON_LOOKUP!$A:$E,2,0),"")</f>
      </c>
      <c r="K5167" s="29">
        <f>IFERROR(J5167*D5167,0)</f>
      </c>
      <c r="L5167" s="29">
        <f>IFERROR(E5167*C5167,0)</f>
      </c>
      <c r="M5167" s="29">
        <f>IFERROR((G5167*H5167*I5167/1000000)*D5167,0)</f>
      </c>
    </row>
    <row r="5168" spans="1:13" x14ac:dyDescent="0.25">
      <c r="A5168" s="16"/>
      <c r="E5168" s="27"/>
      <c r="F5168" t="s">
        <v>26</v>
      </c>
      <c r="G5168" s="28">
        <f>IFERROR(VLOOKUP(F5168,CARTON_LOOKUP!$A:$E,3,0),"")</f>
      </c>
      <c r="H5168" s="28">
        <f>IFERROR(VLOOKUP(F5168,CARTON_LOOKUP!$A:$E,4,0),"")</f>
      </c>
      <c r="I5168" s="28">
        <f>IFERROR(VLOOKUP(F5168,CARTON_LOOKUP!$A:$E,5,0),"")</f>
      </c>
      <c r="J5168" s="29">
        <f>IFERROR(VLOOKUP(F5168,CARTON_LOOKUP!$A:$E,2,0),"")</f>
      </c>
      <c r="K5168" s="29">
        <f>IFERROR(J5168*D5168,0)</f>
      </c>
      <c r="L5168" s="29">
        <f>IFERROR(E5168*C5168,0)</f>
      </c>
      <c r="M5168" s="29">
        <f>IFERROR((G5168*H5168*I5168/1000000)*D5168,0)</f>
      </c>
    </row>
    <row r="5169" spans="1:13" x14ac:dyDescent="0.25">
      <c r="A5169" s="16"/>
      <c r="E5169" s="27"/>
      <c r="F5169" t="s">
        <v>26</v>
      </c>
      <c r="G5169" s="28">
        <f>IFERROR(VLOOKUP(F5169,CARTON_LOOKUP!$A:$E,3,0),"")</f>
      </c>
      <c r="H5169" s="28">
        <f>IFERROR(VLOOKUP(F5169,CARTON_LOOKUP!$A:$E,4,0),"")</f>
      </c>
      <c r="I5169" s="28">
        <f>IFERROR(VLOOKUP(F5169,CARTON_LOOKUP!$A:$E,5,0),"")</f>
      </c>
      <c r="J5169" s="29">
        <f>IFERROR(VLOOKUP(F5169,CARTON_LOOKUP!$A:$E,2,0),"")</f>
      </c>
      <c r="K5169" s="29">
        <f>IFERROR(J5169*D5169,0)</f>
      </c>
      <c r="L5169" s="29">
        <f>IFERROR(E5169*C5169,0)</f>
      </c>
      <c r="M5169" s="29">
        <f>IFERROR((G5169*H5169*I5169/1000000)*D5169,0)</f>
      </c>
    </row>
    <row r="5170" spans="1:13" x14ac:dyDescent="0.25">
      <c r="A5170" s="16"/>
      <c r="E5170" s="27"/>
      <c r="F5170" t="s">
        <v>26</v>
      </c>
      <c r="G5170" s="28">
        <f>IFERROR(VLOOKUP(F5170,CARTON_LOOKUP!$A:$E,3,0),"")</f>
      </c>
      <c r="H5170" s="28">
        <f>IFERROR(VLOOKUP(F5170,CARTON_LOOKUP!$A:$E,4,0),"")</f>
      </c>
      <c r="I5170" s="28">
        <f>IFERROR(VLOOKUP(F5170,CARTON_LOOKUP!$A:$E,5,0),"")</f>
      </c>
      <c r="J5170" s="29">
        <f>IFERROR(VLOOKUP(F5170,CARTON_LOOKUP!$A:$E,2,0),"")</f>
      </c>
      <c r="K5170" s="29">
        <f>IFERROR(J5170*D5170,0)</f>
      </c>
      <c r="L5170" s="29">
        <f>IFERROR(E5170*C5170,0)</f>
      </c>
      <c r="M5170" s="29">
        <f>IFERROR((G5170*H5170*I5170/1000000)*D5170,0)</f>
      </c>
    </row>
    <row r="5171" spans="1:13" x14ac:dyDescent="0.25">
      <c r="A5171" s="16"/>
      <c r="E5171" s="27"/>
      <c r="F5171" t="s">
        <v>26</v>
      </c>
      <c r="G5171" s="28">
        <f>IFERROR(VLOOKUP(F5171,CARTON_LOOKUP!$A:$E,3,0),"")</f>
      </c>
      <c r="H5171" s="28">
        <f>IFERROR(VLOOKUP(F5171,CARTON_LOOKUP!$A:$E,4,0),"")</f>
      </c>
      <c r="I5171" s="28">
        <f>IFERROR(VLOOKUP(F5171,CARTON_LOOKUP!$A:$E,5,0),"")</f>
      </c>
      <c r="J5171" s="29">
        <f>IFERROR(VLOOKUP(F5171,CARTON_LOOKUP!$A:$E,2,0),"")</f>
      </c>
      <c r="K5171" s="29">
        <f>IFERROR(J5171*D5171,0)</f>
      </c>
      <c r="L5171" s="29">
        <f>IFERROR(E5171*C5171,0)</f>
      </c>
      <c r="M5171" s="29">
        <f>IFERROR((G5171*H5171*I5171/1000000)*D5171,0)</f>
      </c>
    </row>
    <row r="5172" spans="1:13" x14ac:dyDescent="0.25">
      <c r="A5172" s="16"/>
      <c r="E5172" s="27"/>
      <c r="F5172" t="s">
        <v>26</v>
      </c>
      <c r="G5172" s="28">
        <f>IFERROR(VLOOKUP(F5172,CARTON_LOOKUP!$A:$E,3,0),"")</f>
      </c>
      <c r="H5172" s="28">
        <f>IFERROR(VLOOKUP(F5172,CARTON_LOOKUP!$A:$E,4,0),"")</f>
      </c>
      <c r="I5172" s="28">
        <f>IFERROR(VLOOKUP(F5172,CARTON_LOOKUP!$A:$E,5,0),"")</f>
      </c>
      <c r="J5172" s="29">
        <f>IFERROR(VLOOKUP(F5172,CARTON_LOOKUP!$A:$E,2,0),"")</f>
      </c>
      <c r="K5172" s="29">
        <f>IFERROR(J5172*D5172,0)</f>
      </c>
      <c r="L5172" s="29">
        <f>IFERROR(E5172*C5172,0)</f>
      </c>
      <c r="M5172" s="29">
        <f>IFERROR((G5172*H5172*I5172/1000000)*D5172,0)</f>
      </c>
    </row>
    <row r="5173" spans="1:13" x14ac:dyDescent="0.25">
      <c r="A5173" s="16"/>
      <c r="E5173" s="27"/>
      <c r="F5173" t="s">
        <v>26</v>
      </c>
      <c r="G5173" s="28">
        <f>IFERROR(VLOOKUP(F5173,CARTON_LOOKUP!$A:$E,3,0),"")</f>
      </c>
      <c r="H5173" s="28">
        <f>IFERROR(VLOOKUP(F5173,CARTON_LOOKUP!$A:$E,4,0),"")</f>
      </c>
      <c r="I5173" s="28">
        <f>IFERROR(VLOOKUP(F5173,CARTON_LOOKUP!$A:$E,5,0),"")</f>
      </c>
      <c r="J5173" s="29">
        <f>IFERROR(VLOOKUP(F5173,CARTON_LOOKUP!$A:$E,2,0),"")</f>
      </c>
      <c r="K5173" s="29">
        <f>IFERROR(J5173*D5173,0)</f>
      </c>
      <c r="L5173" s="29">
        <f>IFERROR(E5173*C5173,0)</f>
      </c>
      <c r="M5173" s="29">
        <f>IFERROR((G5173*H5173*I5173/1000000)*D5173,0)</f>
      </c>
    </row>
    <row r="5174" spans="1:13" x14ac:dyDescent="0.25">
      <c r="A5174" s="16"/>
      <c r="E5174" s="27"/>
      <c r="F5174" t="s">
        <v>26</v>
      </c>
      <c r="G5174" s="28">
        <f>IFERROR(VLOOKUP(F5174,CARTON_LOOKUP!$A:$E,3,0),"")</f>
      </c>
      <c r="H5174" s="28">
        <f>IFERROR(VLOOKUP(F5174,CARTON_LOOKUP!$A:$E,4,0),"")</f>
      </c>
      <c r="I5174" s="28">
        <f>IFERROR(VLOOKUP(F5174,CARTON_LOOKUP!$A:$E,5,0),"")</f>
      </c>
      <c r="J5174" s="29">
        <f>IFERROR(VLOOKUP(F5174,CARTON_LOOKUP!$A:$E,2,0),"")</f>
      </c>
      <c r="K5174" s="29">
        <f>IFERROR(J5174*D5174,0)</f>
      </c>
      <c r="L5174" s="29">
        <f>IFERROR(E5174*C5174,0)</f>
      </c>
      <c r="M5174" s="29">
        <f>IFERROR((G5174*H5174*I5174/1000000)*D5174,0)</f>
      </c>
    </row>
    <row r="5175" spans="1:13" x14ac:dyDescent="0.25">
      <c r="A5175" s="16"/>
      <c r="E5175" s="27"/>
      <c r="F5175" t="s">
        <v>26</v>
      </c>
      <c r="G5175" s="28">
        <f>IFERROR(VLOOKUP(F5175,CARTON_LOOKUP!$A:$E,3,0),"")</f>
      </c>
      <c r="H5175" s="28">
        <f>IFERROR(VLOOKUP(F5175,CARTON_LOOKUP!$A:$E,4,0),"")</f>
      </c>
      <c r="I5175" s="28">
        <f>IFERROR(VLOOKUP(F5175,CARTON_LOOKUP!$A:$E,5,0),"")</f>
      </c>
      <c r="J5175" s="29">
        <f>IFERROR(VLOOKUP(F5175,CARTON_LOOKUP!$A:$E,2,0),"")</f>
      </c>
      <c r="K5175" s="29">
        <f>IFERROR(J5175*D5175,0)</f>
      </c>
      <c r="L5175" s="29">
        <f>IFERROR(E5175*C5175,0)</f>
      </c>
      <c r="M5175" s="29">
        <f>IFERROR((G5175*H5175*I5175/1000000)*D5175,0)</f>
      </c>
    </row>
    <row r="5176" spans="1:13" x14ac:dyDescent="0.25">
      <c r="A5176" s="16"/>
      <c r="E5176" s="27"/>
      <c r="F5176" t="s">
        <v>26</v>
      </c>
      <c r="G5176" s="28">
        <f>IFERROR(VLOOKUP(F5176,CARTON_LOOKUP!$A:$E,3,0),"")</f>
      </c>
      <c r="H5176" s="28">
        <f>IFERROR(VLOOKUP(F5176,CARTON_LOOKUP!$A:$E,4,0),"")</f>
      </c>
      <c r="I5176" s="28">
        <f>IFERROR(VLOOKUP(F5176,CARTON_LOOKUP!$A:$E,5,0),"")</f>
      </c>
      <c r="J5176" s="29">
        <f>IFERROR(VLOOKUP(F5176,CARTON_LOOKUP!$A:$E,2,0),"")</f>
      </c>
      <c r="K5176" s="29">
        <f>IFERROR(J5176*D5176,0)</f>
      </c>
      <c r="L5176" s="29">
        <f>IFERROR(E5176*C5176,0)</f>
      </c>
      <c r="M5176" s="29">
        <f>IFERROR((G5176*H5176*I5176/1000000)*D5176,0)</f>
      </c>
    </row>
    <row r="5177" spans="1:13" x14ac:dyDescent="0.25">
      <c r="A5177" s="16"/>
      <c r="E5177" s="27"/>
      <c r="F5177" t="s">
        <v>26</v>
      </c>
      <c r="G5177" s="28">
        <f>IFERROR(VLOOKUP(F5177,CARTON_LOOKUP!$A:$E,3,0),"")</f>
      </c>
      <c r="H5177" s="28">
        <f>IFERROR(VLOOKUP(F5177,CARTON_LOOKUP!$A:$E,4,0),"")</f>
      </c>
      <c r="I5177" s="28">
        <f>IFERROR(VLOOKUP(F5177,CARTON_LOOKUP!$A:$E,5,0),"")</f>
      </c>
      <c r="J5177" s="29">
        <f>IFERROR(VLOOKUP(F5177,CARTON_LOOKUP!$A:$E,2,0),"")</f>
      </c>
      <c r="K5177" s="29">
        <f>IFERROR(J5177*D5177,0)</f>
      </c>
      <c r="L5177" s="29">
        <f>IFERROR(E5177*C5177,0)</f>
      </c>
      <c r="M5177" s="29">
        <f>IFERROR((G5177*H5177*I5177/1000000)*D5177,0)</f>
      </c>
    </row>
    <row r="5178" spans="1:13" x14ac:dyDescent="0.25">
      <c r="A5178" s="16"/>
      <c r="E5178" s="27"/>
      <c r="F5178" t="s">
        <v>26</v>
      </c>
      <c r="G5178" s="28">
        <f>IFERROR(VLOOKUP(F5178,CARTON_LOOKUP!$A:$E,3,0),"")</f>
      </c>
      <c r="H5178" s="28">
        <f>IFERROR(VLOOKUP(F5178,CARTON_LOOKUP!$A:$E,4,0),"")</f>
      </c>
      <c r="I5178" s="28">
        <f>IFERROR(VLOOKUP(F5178,CARTON_LOOKUP!$A:$E,5,0),"")</f>
      </c>
      <c r="J5178" s="29">
        <f>IFERROR(VLOOKUP(F5178,CARTON_LOOKUP!$A:$E,2,0),"")</f>
      </c>
      <c r="K5178" s="29">
        <f>IFERROR(J5178*D5178,0)</f>
      </c>
      <c r="L5178" s="29">
        <f>IFERROR(E5178*C5178,0)</f>
      </c>
      <c r="M5178" s="29">
        <f>IFERROR((G5178*H5178*I5178/1000000)*D5178,0)</f>
      </c>
    </row>
    <row r="5179" spans="1:13" x14ac:dyDescent="0.25">
      <c r="A5179" s="16"/>
      <c r="E5179" s="27"/>
      <c r="F5179" t="s">
        <v>26</v>
      </c>
      <c r="G5179" s="28">
        <f>IFERROR(VLOOKUP(F5179,CARTON_LOOKUP!$A:$E,3,0),"")</f>
      </c>
      <c r="H5179" s="28">
        <f>IFERROR(VLOOKUP(F5179,CARTON_LOOKUP!$A:$E,4,0),"")</f>
      </c>
      <c r="I5179" s="28">
        <f>IFERROR(VLOOKUP(F5179,CARTON_LOOKUP!$A:$E,5,0),"")</f>
      </c>
      <c r="J5179" s="29">
        <f>IFERROR(VLOOKUP(F5179,CARTON_LOOKUP!$A:$E,2,0),"")</f>
      </c>
      <c r="K5179" s="29">
        <f>IFERROR(J5179*D5179,0)</f>
      </c>
      <c r="L5179" s="29">
        <f>IFERROR(E5179*C5179,0)</f>
      </c>
      <c r="M5179" s="29">
        <f>IFERROR((G5179*H5179*I5179/1000000)*D5179,0)</f>
      </c>
    </row>
    <row r="5180" spans="1:13" x14ac:dyDescent="0.25">
      <c r="A5180" s="16"/>
      <c r="E5180" s="27"/>
      <c r="F5180" t="s">
        <v>26</v>
      </c>
      <c r="G5180" s="28">
        <f>IFERROR(VLOOKUP(F5180,CARTON_LOOKUP!$A:$E,3,0),"")</f>
      </c>
      <c r="H5180" s="28">
        <f>IFERROR(VLOOKUP(F5180,CARTON_LOOKUP!$A:$E,4,0),"")</f>
      </c>
      <c r="I5180" s="28">
        <f>IFERROR(VLOOKUP(F5180,CARTON_LOOKUP!$A:$E,5,0),"")</f>
      </c>
      <c r="J5180" s="29">
        <f>IFERROR(VLOOKUP(F5180,CARTON_LOOKUP!$A:$E,2,0),"")</f>
      </c>
      <c r="K5180" s="29">
        <f>IFERROR(J5180*D5180,0)</f>
      </c>
      <c r="L5180" s="29">
        <f>IFERROR(E5180*C5180,0)</f>
      </c>
      <c r="M5180" s="29">
        <f>IFERROR((G5180*H5180*I5180/1000000)*D5180,0)</f>
      </c>
    </row>
    <row r="5181" spans="1:13" x14ac:dyDescent="0.25">
      <c r="A5181" s="16"/>
      <c r="E5181" s="27"/>
      <c r="F5181" t="s">
        <v>26</v>
      </c>
      <c r="G5181" s="28">
        <f>IFERROR(VLOOKUP(F5181,CARTON_LOOKUP!$A:$E,3,0),"")</f>
      </c>
      <c r="H5181" s="28">
        <f>IFERROR(VLOOKUP(F5181,CARTON_LOOKUP!$A:$E,4,0),"")</f>
      </c>
      <c r="I5181" s="28">
        <f>IFERROR(VLOOKUP(F5181,CARTON_LOOKUP!$A:$E,5,0),"")</f>
      </c>
      <c r="J5181" s="29">
        <f>IFERROR(VLOOKUP(F5181,CARTON_LOOKUP!$A:$E,2,0),"")</f>
      </c>
      <c r="K5181" s="29">
        <f>IFERROR(J5181*D5181,0)</f>
      </c>
      <c r="L5181" s="29">
        <f>IFERROR(E5181*C5181,0)</f>
      </c>
      <c r="M5181" s="29">
        <f>IFERROR((G5181*H5181*I5181/1000000)*D5181,0)</f>
      </c>
    </row>
    <row r="5182" spans="1:13" x14ac:dyDescent="0.25">
      <c r="A5182" s="16"/>
      <c r="E5182" s="27"/>
      <c r="F5182" t="s">
        <v>26</v>
      </c>
      <c r="G5182" s="28">
        <f>IFERROR(VLOOKUP(F5182,CARTON_LOOKUP!$A:$E,3,0),"")</f>
      </c>
      <c r="H5182" s="28">
        <f>IFERROR(VLOOKUP(F5182,CARTON_LOOKUP!$A:$E,4,0),"")</f>
      </c>
      <c r="I5182" s="28">
        <f>IFERROR(VLOOKUP(F5182,CARTON_LOOKUP!$A:$E,5,0),"")</f>
      </c>
      <c r="J5182" s="29">
        <f>IFERROR(VLOOKUP(F5182,CARTON_LOOKUP!$A:$E,2,0),"")</f>
      </c>
      <c r="K5182" s="29">
        <f>IFERROR(J5182*D5182,0)</f>
      </c>
      <c r="L5182" s="29">
        <f>IFERROR(E5182*C5182,0)</f>
      </c>
      <c r="M5182" s="29">
        <f>IFERROR((G5182*H5182*I5182/1000000)*D5182,0)</f>
      </c>
    </row>
    <row r="5183" spans="1:13" x14ac:dyDescent="0.25">
      <c r="A5183" s="16"/>
      <c r="E5183" s="27"/>
      <c r="F5183" t="s">
        <v>26</v>
      </c>
      <c r="G5183" s="28">
        <f>IFERROR(VLOOKUP(F5183,CARTON_LOOKUP!$A:$E,3,0),"")</f>
      </c>
      <c r="H5183" s="28">
        <f>IFERROR(VLOOKUP(F5183,CARTON_LOOKUP!$A:$E,4,0),"")</f>
      </c>
      <c r="I5183" s="28">
        <f>IFERROR(VLOOKUP(F5183,CARTON_LOOKUP!$A:$E,5,0),"")</f>
      </c>
      <c r="J5183" s="29">
        <f>IFERROR(VLOOKUP(F5183,CARTON_LOOKUP!$A:$E,2,0),"")</f>
      </c>
      <c r="K5183" s="29">
        <f>IFERROR(J5183*D5183,0)</f>
      </c>
      <c r="L5183" s="29">
        <f>IFERROR(E5183*C5183,0)</f>
      </c>
      <c r="M5183" s="29">
        <f>IFERROR((G5183*H5183*I5183/1000000)*D5183,0)</f>
      </c>
    </row>
    <row r="5184" spans="1:13" x14ac:dyDescent="0.25">
      <c r="A5184" s="16"/>
      <c r="E5184" s="27"/>
      <c r="F5184" t="s">
        <v>26</v>
      </c>
      <c r="G5184" s="28">
        <f>IFERROR(VLOOKUP(F5184,CARTON_LOOKUP!$A:$E,3,0),"")</f>
      </c>
      <c r="H5184" s="28">
        <f>IFERROR(VLOOKUP(F5184,CARTON_LOOKUP!$A:$E,4,0),"")</f>
      </c>
      <c r="I5184" s="28">
        <f>IFERROR(VLOOKUP(F5184,CARTON_LOOKUP!$A:$E,5,0),"")</f>
      </c>
      <c r="J5184" s="29">
        <f>IFERROR(VLOOKUP(F5184,CARTON_LOOKUP!$A:$E,2,0),"")</f>
      </c>
      <c r="K5184" s="29">
        <f>IFERROR(J5184*D5184,0)</f>
      </c>
      <c r="L5184" s="29">
        <f>IFERROR(E5184*C5184,0)</f>
      </c>
      <c r="M5184" s="29">
        <f>IFERROR((G5184*H5184*I5184/1000000)*D5184,0)</f>
      </c>
    </row>
    <row r="5185" spans="1:13" x14ac:dyDescent="0.25">
      <c r="A5185" s="16"/>
      <c r="E5185" s="27"/>
      <c r="F5185" t="s">
        <v>26</v>
      </c>
      <c r="G5185" s="28">
        <f>IFERROR(VLOOKUP(F5185,CARTON_LOOKUP!$A:$E,3,0),"")</f>
      </c>
      <c r="H5185" s="28">
        <f>IFERROR(VLOOKUP(F5185,CARTON_LOOKUP!$A:$E,4,0),"")</f>
      </c>
      <c r="I5185" s="28">
        <f>IFERROR(VLOOKUP(F5185,CARTON_LOOKUP!$A:$E,5,0),"")</f>
      </c>
      <c r="J5185" s="29">
        <f>IFERROR(VLOOKUP(F5185,CARTON_LOOKUP!$A:$E,2,0),"")</f>
      </c>
      <c r="K5185" s="29">
        <f>IFERROR(J5185*D5185,0)</f>
      </c>
      <c r="L5185" s="29">
        <f>IFERROR(E5185*C5185,0)</f>
      </c>
      <c r="M5185" s="29">
        <f>IFERROR((G5185*H5185*I5185/1000000)*D5185,0)</f>
      </c>
    </row>
    <row r="5186" spans="1:13" x14ac:dyDescent="0.25">
      <c r="A5186" s="16"/>
      <c r="E5186" s="27"/>
      <c r="F5186" t="s">
        <v>26</v>
      </c>
      <c r="G5186" s="28">
        <f>IFERROR(VLOOKUP(F5186,CARTON_LOOKUP!$A:$E,3,0),"")</f>
      </c>
      <c r="H5186" s="28">
        <f>IFERROR(VLOOKUP(F5186,CARTON_LOOKUP!$A:$E,4,0),"")</f>
      </c>
      <c r="I5186" s="28">
        <f>IFERROR(VLOOKUP(F5186,CARTON_LOOKUP!$A:$E,5,0),"")</f>
      </c>
      <c r="J5186" s="29">
        <f>IFERROR(VLOOKUP(F5186,CARTON_LOOKUP!$A:$E,2,0),"")</f>
      </c>
      <c r="K5186" s="29">
        <f>IFERROR(J5186*D5186,0)</f>
      </c>
      <c r="L5186" s="29">
        <f>IFERROR(E5186*C5186,0)</f>
      </c>
      <c r="M5186" s="29">
        <f>IFERROR((G5186*H5186*I5186/1000000)*D5186,0)</f>
      </c>
    </row>
    <row r="5187" spans="1:13" x14ac:dyDescent="0.25">
      <c r="A5187" s="16"/>
      <c r="E5187" s="27"/>
      <c r="F5187" t="s">
        <v>26</v>
      </c>
      <c r="G5187" s="28">
        <f>IFERROR(VLOOKUP(F5187,CARTON_LOOKUP!$A:$E,3,0),"")</f>
      </c>
      <c r="H5187" s="28">
        <f>IFERROR(VLOOKUP(F5187,CARTON_LOOKUP!$A:$E,4,0),"")</f>
      </c>
      <c r="I5187" s="28">
        <f>IFERROR(VLOOKUP(F5187,CARTON_LOOKUP!$A:$E,5,0),"")</f>
      </c>
      <c r="J5187" s="29">
        <f>IFERROR(VLOOKUP(F5187,CARTON_LOOKUP!$A:$E,2,0),"")</f>
      </c>
      <c r="K5187" s="29">
        <f>IFERROR(J5187*D5187,0)</f>
      </c>
      <c r="L5187" s="29">
        <f>IFERROR(E5187*C5187,0)</f>
      </c>
      <c r="M5187" s="29">
        <f>IFERROR((G5187*H5187*I5187/1000000)*D5187,0)</f>
      </c>
    </row>
    <row r="5188" spans="1:13" x14ac:dyDescent="0.25">
      <c r="A5188" s="16"/>
      <c r="E5188" s="27"/>
      <c r="F5188" t="s">
        <v>26</v>
      </c>
      <c r="G5188" s="28">
        <f>IFERROR(VLOOKUP(F5188,CARTON_LOOKUP!$A:$E,3,0),"")</f>
      </c>
      <c r="H5188" s="28">
        <f>IFERROR(VLOOKUP(F5188,CARTON_LOOKUP!$A:$E,4,0),"")</f>
      </c>
      <c r="I5188" s="28">
        <f>IFERROR(VLOOKUP(F5188,CARTON_LOOKUP!$A:$E,5,0),"")</f>
      </c>
      <c r="J5188" s="29">
        <f>IFERROR(VLOOKUP(F5188,CARTON_LOOKUP!$A:$E,2,0),"")</f>
      </c>
      <c r="K5188" s="29">
        <f>IFERROR(J5188*D5188,0)</f>
      </c>
      <c r="L5188" s="29">
        <f>IFERROR(E5188*C5188,0)</f>
      </c>
      <c r="M5188" s="29">
        <f>IFERROR((G5188*H5188*I5188/1000000)*D5188,0)</f>
      </c>
    </row>
    <row r="5189" spans="1:13" x14ac:dyDescent="0.25">
      <c r="A5189" s="16"/>
      <c r="E5189" s="27"/>
      <c r="F5189" t="s">
        <v>26</v>
      </c>
      <c r="G5189" s="28">
        <f>IFERROR(VLOOKUP(F5189,CARTON_LOOKUP!$A:$E,3,0),"")</f>
      </c>
      <c r="H5189" s="28">
        <f>IFERROR(VLOOKUP(F5189,CARTON_LOOKUP!$A:$E,4,0),"")</f>
      </c>
      <c r="I5189" s="28">
        <f>IFERROR(VLOOKUP(F5189,CARTON_LOOKUP!$A:$E,5,0),"")</f>
      </c>
      <c r="J5189" s="29">
        <f>IFERROR(VLOOKUP(F5189,CARTON_LOOKUP!$A:$E,2,0),"")</f>
      </c>
      <c r="K5189" s="29">
        <f>IFERROR(J5189*D5189,0)</f>
      </c>
      <c r="L5189" s="29">
        <f>IFERROR(E5189*C5189,0)</f>
      </c>
      <c r="M5189" s="29">
        <f>IFERROR((G5189*H5189*I5189/1000000)*D5189,0)</f>
      </c>
    </row>
    <row r="5190" spans="1:13" x14ac:dyDescent="0.25">
      <c r="A5190" s="16"/>
      <c r="E5190" s="27"/>
      <c r="F5190" t="s">
        <v>26</v>
      </c>
      <c r="G5190" s="28">
        <f>IFERROR(VLOOKUP(F5190,CARTON_LOOKUP!$A:$E,3,0),"")</f>
      </c>
      <c r="H5190" s="28">
        <f>IFERROR(VLOOKUP(F5190,CARTON_LOOKUP!$A:$E,4,0),"")</f>
      </c>
      <c r="I5190" s="28">
        <f>IFERROR(VLOOKUP(F5190,CARTON_LOOKUP!$A:$E,5,0),"")</f>
      </c>
      <c r="J5190" s="29">
        <f>IFERROR(VLOOKUP(F5190,CARTON_LOOKUP!$A:$E,2,0),"")</f>
      </c>
      <c r="K5190" s="29">
        <f>IFERROR(J5190*D5190,0)</f>
      </c>
      <c r="L5190" s="29">
        <f>IFERROR(E5190*C5190,0)</f>
      </c>
      <c r="M5190" s="29">
        <f>IFERROR((G5190*H5190*I5190/1000000)*D5190,0)</f>
      </c>
    </row>
    <row r="5191" spans="1:13" x14ac:dyDescent="0.25">
      <c r="A5191" s="16"/>
      <c r="E5191" s="27"/>
      <c r="F5191" t="s">
        <v>26</v>
      </c>
      <c r="G5191" s="28">
        <f>IFERROR(VLOOKUP(F5191,CARTON_LOOKUP!$A:$E,3,0),"")</f>
      </c>
      <c r="H5191" s="28">
        <f>IFERROR(VLOOKUP(F5191,CARTON_LOOKUP!$A:$E,4,0),"")</f>
      </c>
      <c r="I5191" s="28">
        <f>IFERROR(VLOOKUP(F5191,CARTON_LOOKUP!$A:$E,5,0),"")</f>
      </c>
      <c r="J5191" s="29">
        <f>IFERROR(VLOOKUP(F5191,CARTON_LOOKUP!$A:$E,2,0),"")</f>
      </c>
      <c r="K5191" s="29">
        <f>IFERROR(J5191*D5191,0)</f>
      </c>
      <c r="L5191" s="29">
        <f>IFERROR(E5191*C5191,0)</f>
      </c>
      <c r="M5191" s="29">
        <f>IFERROR((G5191*H5191*I5191/1000000)*D5191,0)</f>
      </c>
    </row>
    <row r="5192" spans="1:13" x14ac:dyDescent="0.25">
      <c r="A5192" s="16"/>
      <c r="E5192" s="27"/>
      <c r="F5192" t="s">
        <v>26</v>
      </c>
      <c r="G5192" s="28">
        <f>IFERROR(VLOOKUP(F5192,CARTON_LOOKUP!$A:$E,3,0),"")</f>
      </c>
      <c r="H5192" s="28">
        <f>IFERROR(VLOOKUP(F5192,CARTON_LOOKUP!$A:$E,4,0),"")</f>
      </c>
      <c r="I5192" s="28">
        <f>IFERROR(VLOOKUP(F5192,CARTON_LOOKUP!$A:$E,5,0),"")</f>
      </c>
      <c r="J5192" s="29">
        <f>IFERROR(VLOOKUP(F5192,CARTON_LOOKUP!$A:$E,2,0),"")</f>
      </c>
      <c r="K5192" s="29">
        <f>IFERROR(J5192*D5192,0)</f>
      </c>
      <c r="L5192" s="29">
        <f>IFERROR(E5192*C5192,0)</f>
      </c>
      <c r="M5192" s="29">
        <f>IFERROR((G5192*H5192*I5192/1000000)*D5192,0)</f>
      </c>
    </row>
    <row r="5193" spans="1:13" x14ac:dyDescent="0.25">
      <c r="A5193" s="16"/>
      <c r="E5193" s="27"/>
      <c r="F5193" t="s">
        <v>26</v>
      </c>
      <c r="G5193" s="28">
        <f>IFERROR(VLOOKUP(F5193,CARTON_LOOKUP!$A:$E,3,0),"")</f>
      </c>
      <c r="H5193" s="28">
        <f>IFERROR(VLOOKUP(F5193,CARTON_LOOKUP!$A:$E,4,0),"")</f>
      </c>
      <c r="I5193" s="28">
        <f>IFERROR(VLOOKUP(F5193,CARTON_LOOKUP!$A:$E,5,0),"")</f>
      </c>
      <c r="J5193" s="29">
        <f>IFERROR(VLOOKUP(F5193,CARTON_LOOKUP!$A:$E,2,0),"")</f>
      </c>
      <c r="K5193" s="29">
        <f>IFERROR(J5193*D5193,0)</f>
      </c>
      <c r="L5193" s="29">
        <f>IFERROR(E5193*C5193,0)</f>
      </c>
      <c r="M5193" s="29">
        <f>IFERROR((G5193*H5193*I5193/1000000)*D5193,0)</f>
      </c>
    </row>
    <row r="5194" spans="1:13" x14ac:dyDescent="0.25">
      <c r="A5194" s="16"/>
      <c r="E5194" s="27"/>
      <c r="F5194" t="s">
        <v>26</v>
      </c>
      <c r="G5194" s="28">
        <f>IFERROR(VLOOKUP(F5194,CARTON_LOOKUP!$A:$E,3,0),"")</f>
      </c>
      <c r="H5194" s="28">
        <f>IFERROR(VLOOKUP(F5194,CARTON_LOOKUP!$A:$E,4,0),"")</f>
      </c>
      <c r="I5194" s="28">
        <f>IFERROR(VLOOKUP(F5194,CARTON_LOOKUP!$A:$E,5,0),"")</f>
      </c>
      <c r="J5194" s="29">
        <f>IFERROR(VLOOKUP(F5194,CARTON_LOOKUP!$A:$E,2,0),"")</f>
      </c>
      <c r="K5194" s="29">
        <f>IFERROR(J5194*D5194,0)</f>
      </c>
      <c r="L5194" s="29">
        <f>IFERROR(E5194*C5194,0)</f>
      </c>
      <c r="M5194" s="29">
        <f>IFERROR((G5194*H5194*I5194/1000000)*D5194,0)</f>
      </c>
    </row>
    <row r="5195" spans="1:13" x14ac:dyDescent="0.25">
      <c r="A5195" s="16"/>
      <c r="E5195" s="27"/>
      <c r="F5195" t="s">
        <v>26</v>
      </c>
      <c r="G5195" s="28">
        <f>IFERROR(VLOOKUP(F5195,CARTON_LOOKUP!$A:$E,3,0),"")</f>
      </c>
      <c r="H5195" s="28">
        <f>IFERROR(VLOOKUP(F5195,CARTON_LOOKUP!$A:$E,4,0),"")</f>
      </c>
      <c r="I5195" s="28">
        <f>IFERROR(VLOOKUP(F5195,CARTON_LOOKUP!$A:$E,5,0),"")</f>
      </c>
      <c r="J5195" s="29">
        <f>IFERROR(VLOOKUP(F5195,CARTON_LOOKUP!$A:$E,2,0),"")</f>
      </c>
      <c r="K5195" s="29">
        <f>IFERROR(J5195*D5195,0)</f>
      </c>
      <c r="L5195" s="29">
        <f>IFERROR(E5195*C5195,0)</f>
      </c>
      <c r="M5195" s="29">
        <f>IFERROR((G5195*H5195*I5195/1000000)*D5195,0)</f>
      </c>
    </row>
    <row r="5196" spans="1:13" x14ac:dyDescent="0.25">
      <c r="A5196" s="16"/>
      <c r="E5196" s="27"/>
      <c r="F5196" t="s">
        <v>26</v>
      </c>
      <c r="G5196" s="28">
        <f>IFERROR(VLOOKUP(F5196,CARTON_LOOKUP!$A:$E,3,0),"")</f>
      </c>
      <c r="H5196" s="28">
        <f>IFERROR(VLOOKUP(F5196,CARTON_LOOKUP!$A:$E,4,0),"")</f>
      </c>
      <c r="I5196" s="28">
        <f>IFERROR(VLOOKUP(F5196,CARTON_LOOKUP!$A:$E,5,0),"")</f>
      </c>
      <c r="J5196" s="29">
        <f>IFERROR(VLOOKUP(F5196,CARTON_LOOKUP!$A:$E,2,0),"")</f>
      </c>
      <c r="K5196" s="29">
        <f>IFERROR(J5196*D5196,0)</f>
      </c>
      <c r="L5196" s="29">
        <f>IFERROR(E5196*C5196,0)</f>
      </c>
      <c r="M5196" s="29">
        <f>IFERROR((G5196*H5196*I5196/1000000)*D5196,0)</f>
      </c>
    </row>
    <row r="5197" spans="1:13" x14ac:dyDescent="0.25">
      <c r="A5197" s="16"/>
      <c r="E5197" s="27"/>
      <c r="F5197" t="s">
        <v>26</v>
      </c>
      <c r="G5197" s="28">
        <f>IFERROR(VLOOKUP(F5197,CARTON_LOOKUP!$A:$E,3,0),"")</f>
      </c>
      <c r="H5197" s="28">
        <f>IFERROR(VLOOKUP(F5197,CARTON_LOOKUP!$A:$E,4,0),"")</f>
      </c>
      <c r="I5197" s="28">
        <f>IFERROR(VLOOKUP(F5197,CARTON_LOOKUP!$A:$E,5,0),"")</f>
      </c>
      <c r="J5197" s="29">
        <f>IFERROR(VLOOKUP(F5197,CARTON_LOOKUP!$A:$E,2,0),"")</f>
      </c>
      <c r="K5197" s="29">
        <f>IFERROR(J5197*D5197,0)</f>
      </c>
      <c r="L5197" s="29">
        <f>IFERROR(E5197*C5197,0)</f>
      </c>
      <c r="M5197" s="29">
        <f>IFERROR((G5197*H5197*I5197/1000000)*D5197,0)</f>
      </c>
    </row>
    <row r="5198" spans="1:13" x14ac:dyDescent="0.25">
      <c r="A5198" s="16"/>
      <c r="E5198" s="27"/>
      <c r="F5198" t="s">
        <v>26</v>
      </c>
      <c r="G5198" s="28">
        <f>IFERROR(VLOOKUP(F5198,CARTON_LOOKUP!$A:$E,3,0),"")</f>
      </c>
      <c r="H5198" s="28">
        <f>IFERROR(VLOOKUP(F5198,CARTON_LOOKUP!$A:$E,4,0),"")</f>
      </c>
      <c r="I5198" s="28">
        <f>IFERROR(VLOOKUP(F5198,CARTON_LOOKUP!$A:$E,5,0),"")</f>
      </c>
      <c r="J5198" s="29">
        <f>IFERROR(VLOOKUP(F5198,CARTON_LOOKUP!$A:$E,2,0),"")</f>
      </c>
      <c r="K5198" s="29">
        <f>IFERROR(J5198*D5198,0)</f>
      </c>
      <c r="L5198" s="29">
        <f>IFERROR(E5198*C5198,0)</f>
      </c>
      <c r="M5198" s="29">
        <f>IFERROR((G5198*H5198*I5198/1000000)*D5198,0)</f>
      </c>
    </row>
    <row r="5199" spans="1:13" x14ac:dyDescent="0.25">
      <c r="A5199" s="16"/>
      <c r="E5199" s="27"/>
      <c r="F5199" t="s">
        <v>26</v>
      </c>
      <c r="G5199" s="28">
        <f>IFERROR(VLOOKUP(F5199,CARTON_LOOKUP!$A:$E,3,0),"")</f>
      </c>
      <c r="H5199" s="28">
        <f>IFERROR(VLOOKUP(F5199,CARTON_LOOKUP!$A:$E,4,0),"")</f>
      </c>
      <c r="I5199" s="28">
        <f>IFERROR(VLOOKUP(F5199,CARTON_LOOKUP!$A:$E,5,0),"")</f>
      </c>
      <c r="J5199" s="29">
        <f>IFERROR(VLOOKUP(F5199,CARTON_LOOKUP!$A:$E,2,0),"")</f>
      </c>
      <c r="K5199" s="29">
        <f>IFERROR(J5199*D5199,0)</f>
      </c>
      <c r="L5199" s="29">
        <f>IFERROR(E5199*C5199,0)</f>
      </c>
      <c r="M5199" s="29">
        <f>IFERROR((G5199*H5199*I5199/1000000)*D5199,0)</f>
      </c>
    </row>
    <row r="5200" spans="1:13" x14ac:dyDescent="0.25">
      <c r="A5200" s="16"/>
      <c r="E5200" s="27"/>
      <c r="F5200" t="s">
        <v>26</v>
      </c>
      <c r="G5200" s="28">
        <f>IFERROR(VLOOKUP(F5200,CARTON_LOOKUP!$A:$E,3,0),"")</f>
      </c>
      <c r="H5200" s="28">
        <f>IFERROR(VLOOKUP(F5200,CARTON_LOOKUP!$A:$E,4,0),"")</f>
      </c>
      <c r="I5200" s="28">
        <f>IFERROR(VLOOKUP(F5200,CARTON_LOOKUP!$A:$E,5,0),"")</f>
      </c>
      <c r="J5200" s="29">
        <f>IFERROR(VLOOKUP(F5200,CARTON_LOOKUP!$A:$E,2,0),"")</f>
      </c>
      <c r="K5200" s="29">
        <f>IFERROR(J5200*D5200,0)</f>
      </c>
      <c r="L5200" s="29">
        <f>IFERROR(E5200*C5200,0)</f>
      </c>
      <c r="M5200" s="29">
        <f>IFERROR((G5200*H5200*I5200/1000000)*D5200,0)</f>
      </c>
    </row>
    <row r="5201" spans="1:13" x14ac:dyDescent="0.25">
      <c r="A5201" s="16"/>
      <c r="E5201" s="27"/>
      <c r="F5201" t="s">
        <v>26</v>
      </c>
      <c r="G5201" s="28">
        <f>IFERROR(VLOOKUP(F5201,CARTON_LOOKUP!$A:$E,3,0),"")</f>
      </c>
      <c r="H5201" s="28">
        <f>IFERROR(VLOOKUP(F5201,CARTON_LOOKUP!$A:$E,4,0),"")</f>
      </c>
      <c r="I5201" s="28">
        <f>IFERROR(VLOOKUP(F5201,CARTON_LOOKUP!$A:$E,5,0),"")</f>
      </c>
      <c r="J5201" s="29">
        <f>IFERROR(VLOOKUP(F5201,CARTON_LOOKUP!$A:$E,2,0),"")</f>
      </c>
      <c r="K5201" s="29">
        <f>IFERROR(J5201*D5201,0)</f>
      </c>
      <c r="L5201" s="29">
        <f>IFERROR(E5201*C5201,0)</f>
      </c>
      <c r="M5201" s="29">
        <f>IFERROR((G5201*H5201*I5201/1000000)*D5201,0)</f>
      </c>
    </row>
    <row r="5202" spans="1:13" x14ac:dyDescent="0.25">
      <c r="A5202" s="16"/>
      <c r="E5202" s="27"/>
      <c r="F5202" t="s">
        <v>26</v>
      </c>
      <c r="G5202" s="28">
        <f>IFERROR(VLOOKUP(F5202,CARTON_LOOKUP!$A:$E,3,0),"")</f>
      </c>
      <c r="H5202" s="28">
        <f>IFERROR(VLOOKUP(F5202,CARTON_LOOKUP!$A:$E,4,0),"")</f>
      </c>
      <c r="I5202" s="28">
        <f>IFERROR(VLOOKUP(F5202,CARTON_LOOKUP!$A:$E,5,0),"")</f>
      </c>
      <c r="J5202" s="29">
        <f>IFERROR(VLOOKUP(F5202,CARTON_LOOKUP!$A:$E,2,0),"")</f>
      </c>
      <c r="K5202" s="29">
        <f>IFERROR(J5202*D5202,0)</f>
      </c>
      <c r="L5202" s="29">
        <f>IFERROR(E5202*C5202,0)</f>
      </c>
      <c r="M5202" s="29">
        <f>IFERROR((G5202*H5202*I5202/1000000)*D5202,0)</f>
      </c>
    </row>
    <row r="5203" spans="1:13" x14ac:dyDescent="0.25">
      <c r="A5203" s="16"/>
      <c r="E5203" s="27"/>
      <c r="F5203" t="s">
        <v>26</v>
      </c>
      <c r="G5203" s="28">
        <f>IFERROR(VLOOKUP(F5203,CARTON_LOOKUP!$A:$E,3,0),"")</f>
      </c>
      <c r="H5203" s="28">
        <f>IFERROR(VLOOKUP(F5203,CARTON_LOOKUP!$A:$E,4,0),"")</f>
      </c>
      <c r="I5203" s="28">
        <f>IFERROR(VLOOKUP(F5203,CARTON_LOOKUP!$A:$E,5,0),"")</f>
      </c>
      <c r="J5203" s="29">
        <f>IFERROR(VLOOKUP(F5203,CARTON_LOOKUP!$A:$E,2,0),"")</f>
      </c>
      <c r="K5203" s="29">
        <f>IFERROR(J5203*D5203,0)</f>
      </c>
      <c r="L5203" s="29">
        <f>IFERROR(E5203*C5203,0)</f>
      </c>
      <c r="M5203" s="29">
        <f>IFERROR((G5203*H5203*I5203/1000000)*D5203,0)</f>
      </c>
    </row>
    <row r="5204" spans="1:13" x14ac:dyDescent="0.25">
      <c r="A5204" s="16"/>
      <c r="E5204" s="27"/>
      <c r="F5204" t="s">
        <v>26</v>
      </c>
      <c r="G5204" s="28">
        <f>IFERROR(VLOOKUP(F5204,CARTON_LOOKUP!$A:$E,3,0),"")</f>
      </c>
      <c r="H5204" s="28">
        <f>IFERROR(VLOOKUP(F5204,CARTON_LOOKUP!$A:$E,4,0),"")</f>
      </c>
      <c r="I5204" s="28">
        <f>IFERROR(VLOOKUP(F5204,CARTON_LOOKUP!$A:$E,5,0),"")</f>
      </c>
      <c r="J5204" s="29">
        <f>IFERROR(VLOOKUP(F5204,CARTON_LOOKUP!$A:$E,2,0),"")</f>
      </c>
      <c r="K5204" s="29">
        <f>IFERROR(J5204*D5204,0)</f>
      </c>
      <c r="L5204" s="29">
        <f>IFERROR(E5204*C5204,0)</f>
      </c>
      <c r="M5204" s="29">
        <f>IFERROR((G5204*H5204*I5204/1000000)*D5204,0)</f>
      </c>
    </row>
    <row r="5205" spans="1:13" x14ac:dyDescent="0.25">
      <c r="A5205" s="16"/>
      <c r="E5205" s="27"/>
      <c r="F5205" t="s">
        <v>26</v>
      </c>
      <c r="G5205" s="28">
        <f>IFERROR(VLOOKUP(F5205,CARTON_LOOKUP!$A:$E,3,0),"")</f>
      </c>
      <c r="H5205" s="28">
        <f>IFERROR(VLOOKUP(F5205,CARTON_LOOKUP!$A:$E,4,0),"")</f>
      </c>
      <c r="I5205" s="28">
        <f>IFERROR(VLOOKUP(F5205,CARTON_LOOKUP!$A:$E,5,0),"")</f>
      </c>
      <c r="J5205" s="29">
        <f>IFERROR(VLOOKUP(F5205,CARTON_LOOKUP!$A:$E,2,0),"")</f>
      </c>
      <c r="K5205" s="29">
        <f>IFERROR(J5205*D5205,0)</f>
      </c>
      <c r="L5205" s="29">
        <f>IFERROR(E5205*C5205,0)</f>
      </c>
      <c r="M5205" s="29">
        <f>IFERROR((G5205*H5205*I5205/1000000)*D5205,0)</f>
      </c>
    </row>
    <row r="5206" spans="1:13" x14ac:dyDescent="0.25">
      <c r="A5206" s="16"/>
      <c r="E5206" s="27"/>
      <c r="F5206" t="s">
        <v>26</v>
      </c>
      <c r="G5206" s="28">
        <f>IFERROR(VLOOKUP(F5206,CARTON_LOOKUP!$A:$E,3,0),"")</f>
      </c>
      <c r="H5206" s="28">
        <f>IFERROR(VLOOKUP(F5206,CARTON_LOOKUP!$A:$E,4,0),"")</f>
      </c>
      <c r="I5206" s="28">
        <f>IFERROR(VLOOKUP(F5206,CARTON_LOOKUP!$A:$E,5,0),"")</f>
      </c>
      <c r="J5206" s="29">
        <f>IFERROR(VLOOKUP(F5206,CARTON_LOOKUP!$A:$E,2,0),"")</f>
      </c>
      <c r="K5206" s="29">
        <f>IFERROR(J5206*D5206,0)</f>
      </c>
      <c r="L5206" s="29">
        <f>IFERROR(E5206*C5206,0)</f>
      </c>
      <c r="M5206" s="29">
        <f>IFERROR((G5206*H5206*I5206/1000000)*D5206,0)</f>
      </c>
    </row>
    <row r="5207" spans="1:13" x14ac:dyDescent="0.25">
      <c r="A5207" s="16"/>
      <c r="E5207" s="27"/>
      <c r="F5207" t="s">
        <v>26</v>
      </c>
      <c r="G5207" s="28">
        <f>IFERROR(VLOOKUP(F5207,CARTON_LOOKUP!$A:$E,3,0),"")</f>
      </c>
      <c r="H5207" s="28">
        <f>IFERROR(VLOOKUP(F5207,CARTON_LOOKUP!$A:$E,4,0),"")</f>
      </c>
      <c r="I5207" s="28">
        <f>IFERROR(VLOOKUP(F5207,CARTON_LOOKUP!$A:$E,5,0),"")</f>
      </c>
      <c r="J5207" s="29">
        <f>IFERROR(VLOOKUP(F5207,CARTON_LOOKUP!$A:$E,2,0),"")</f>
      </c>
      <c r="K5207" s="29">
        <f>IFERROR(J5207*D5207,0)</f>
      </c>
      <c r="L5207" s="29">
        <f>IFERROR(E5207*C5207,0)</f>
      </c>
      <c r="M5207" s="29">
        <f>IFERROR((G5207*H5207*I5207/1000000)*D5207,0)</f>
      </c>
    </row>
    <row r="5208" spans="1:13" x14ac:dyDescent="0.25">
      <c r="A5208" s="16"/>
      <c r="E5208" s="27"/>
      <c r="F5208" t="s">
        <v>26</v>
      </c>
      <c r="G5208" s="28">
        <f>IFERROR(VLOOKUP(F5208,CARTON_LOOKUP!$A:$E,3,0),"")</f>
      </c>
      <c r="H5208" s="28">
        <f>IFERROR(VLOOKUP(F5208,CARTON_LOOKUP!$A:$E,4,0),"")</f>
      </c>
      <c r="I5208" s="28">
        <f>IFERROR(VLOOKUP(F5208,CARTON_LOOKUP!$A:$E,5,0),"")</f>
      </c>
      <c r="J5208" s="29">
        <f>IFERROR(VLOOKUP(F5208,CARTON_LOOKUP!$A:$E,2,0),"")</f>
      </c>
      <c r="K5208" s="29">
        <f>IFERROR(J5208*D5208,0)</f>
      </c>
      <c r="L5208" s="29">
        <f>IFERROR(E5208*C5208,0)</f>
      </c>
      <c r="M5208" s="29">
        <f>IFERROR((G5208*H5208*I5208/1000000)*D5208,0)</f>
      </c>
    </row>
    <row r="5209" spans="1:13" x14ac:dyDescent="0.25">
      <c r="A5209" s="16"/>
      <c r="E5209" s="27"/>
      <c r="F5209" t="s">
        <v>26</v>
      </c>
      <c r="G5209" s="28">
        <f>IFERROR(VLOOKUP(F5209,CARTON_LOOKUP!$A:$E,3,0),"")</f>
      </c>
      <c r="H5209" s="28">
        <f>IFERROR(VLOOKUP(F5209,CARTON_LOOKUP!$A:$E,4,0),"")</f>
      </c>
      <c r="I5209" s="28">
        <f>IFERROR(VLOOKUP(F5209,CARTON_LOOKUP!$A:$E,5,0),"")</f>
      </c>
      <c r="J5209" s="29">
        <f>IFERROR(VLOOKUP(F5209,CARTON_LOOKUP!$A:$E,2,0),"")</f>
      </c>
      <c r="K5209" s="29">
        <f>IFERROR(J5209*D5209,0)</f>
      </c>
      <c r="L5209" s="29">
        <f>IFERROR(E5209*C5209,0)</f>
      </c>
      <c r="M5209" s="29">
        <f>IFERROR((G5209*H5209*I5209/1000000)*D5209,0)</f>
      </c>
    </row>
    <row r="5210" spans="1:13" x14ac:dyDescent="0.25">
      <c r="A5210" s="16"/>
      <c r="E5210" s="27"/>
      <c r="F5210" t="s">
        <v>26</v>
      </c>
      <c r="G5210" s="28">
        <f>IFERROR(VLOOKUP(F5210,CARTON_LOOKUP!$A:$E,3,0),"")</f>
      </c>
      <c r="H5210" s="28">
        <f>IFERROR(VLOOKUP(F5210,CARTON_LOOKUP!$A:$E,4,0),"")</f>
      </c>
      <c r="I5210" s="28">
        <f>IFERROR(VLOOKUP(F5210,CARTON_LOOKUP!$A:$E,5,0),"")</f>
      </c>
      <c r="J5210" s="29">
        <f>IFERROR(VLOOKUP(F5210,CARTON_LOOKUP!$A:$E,2,0),"")</f>
      </c>
      <c r="K5210" s="29">
        <f>IFERROR(J5210*D5210,0)</f>
      </c>
      <c r="L5210" s="29">
        <f>IFERROR(E5210*C5210,0)</f>
      </c>
      <c r="M5210" s="29">
        <f>IFERROR((G5210*H5210*I5210/1000000)*D5210,0)</f>
      </c>
    </row>
    <row r="5211" spans="1:13" x14ac:dyDescent="0.25">
      <c r="A5211" s="16"/>
      <c r="E5211" s="27"/>
      <c r="F5211" t="s">
        <v>26</v>
      </c>
      <c r="G5211" s="28">
        <f>IFERROR(VLOOKUP(F5211,CARTON_LOOKUP!$A:$E,3,0),"")</f>
      </c>
      <c r="H5211" s="28">
        <f>IFERROR(VLOOKUP(F5211,CARTON_LOOKUP!$A:$E,4,0),"")</f>
      </c>
      <c r="I5211" s="28">
        <f>IFERROR(VLOOKUP(F5211,CARTON_LOOKUP!$A:$E,5,0),"")</f>
      </c>
      <c r="J5211" s="29">
        <f>IFERROR(VLOOKUP(F5211,CARTON_LOOKUP!$A:$E,2,0),"")</f>
      </c>
      <c r="K5211" s="29">
        <f>IFERROR(J5211*D5211,0)</f>
      </c>
      <c r="L5211" s="29">
        <f>IFERROR(E5211*C5211,0)</f>
      </c>
      <c r="M5211" s="29">
        <f>IFERROR((G5211*H5211*I5211/1000000)*D5211,0)</f>
      </c>
    </row>
    <row r="5212" spans="1:13" x14ac:dyDescent="0.25">
      <c r="A5212" s="16"/>
      <c r="E5212" s="27"/>
      <c r="F5212" t="s">
        <v>26</v>
      </c>
      <c r="G5212" s="28">
        <f>IFERROR(VLOOKUP(F5212,CARTON_LOOKUP!$A:$E,3,0),"")</f>
      </c>
      <c r="H5212" s="28">
        <f>IFERROR(VLOOKUP(F5212,CARTON_LOOKUP!$A:$E,4,0),"")</f>
      </c>
      <c r="I5212" s="28">
        <f>IFERROR(VLOOKUP(F5212,CARTON_LOOKUP!$A:$E,5,0),"")</f>
      </c>
      <c r="J5212" s="29">
        <f>IFERROR(VLOOKUP(F5212,CARTON_LOOKUP!$A:$E,2,0),"")</f>
      </c>
      <c r="K5212" s="29">
        <f>IFERROR(J5212*D5212,0)</f>
      </c>
      <c r="L5212" s="29">
        <f>IFERROR(E5212*C5212,0)</f>
      </c>
      <c r="M5212" s="29">
        <f>IFERROR((G5212*H5212*I5212/1000000)*D5212,0)</f>
      </c>
    </row>
    <row r="5213" spans="1:13" x14ac:dyDescent="0.25">
      <c r="A5213" s="16"/>
      <c r="E5213" s="27"/>
      <c r="F5213" t="s">
        <v>26</v>
      </c>
      <c r="G5213" s="28">
        <f>IFERROR(VLOOKUP(F5213,CARTON_LOOKUP!$A:$E,3,0),"")</f>
      </c>
      <c r="H5213" s="28">
        <f>IFERROR(VLOOKUP(F5213,CARTON_LOOKUP!$A:$E,4,0),"")</f>
      </c>
      <c r="I5213" s="28">
        <f>IFERROR(VLOOKUP(F5213,CARTON_LOOKUP!$A:$E,5,0),"")</f>
      </c>
      <c r="J5213" s="29">
        <f>IFERROR(VLOOKUP(F5213,CARTON_LOOKUP!$A:$E,2,0),"")</f>
      </c>
      <c r="K5213" s="29">
        <f>IFERROR(J5213*D5213,0)</f>
      </c>
      <c r="L5213" s="29">
        <f>IFERROR(E5213*C5213,0)</f>
      </c>
      <c r="M5213" s="29">
        <f>IFERROR((G5213*H5213*I5213/1000000)*D5213,0)</f>
      </c>
    </row>
    <row r="5214" spans="1:13" x14ac:dyDescent="0.25">
      <c r="A5214" s="16"/>
      <c r="E5214" s="27"/>
      <c r="F5214" t="s">
        <v>26</v>
      </c>
      <c r="G5214" s="28">
        <f>IFERROR(VLOOKUP(F5214,CARTON_LOOKUP!$A:$E,3,0),"")</f>
      </c>
      <c r="H5214" s="28">
        <f>IFERROR(VLOOKUP(F5214,CARTON_LOOKUP!$A:$E,4,0),"")</f>
      </c>
      <c r="I5214" s="28">
        <f>IFERROR(VLOOKUP(F5214,CARTON_LOOKUP!$A:$E,5,0),"")</f>
      </c>
      <c r="J5214" s="29">
        <f>IFERROR(VLOOKUP(F5214,CARTON_LOOKUP!$A:$E,2,0),"")</f>
      </c>
      <c r="K5214" s="29">
        <f>IFERROR(J5214*D5214,0)</f>
      </c>
      <c r="L5214" s="29">
        <f>IFERROR(E5214*C5214,0)</f>
      </c>
      <c r="M5214" s="29">
        <f>IFERROR((G5214*H5214*I5214/1000000)*D5214,0)</f>
      </c>
    </row>
    <row r="5215" spans="1:13" x14ac:dyDescent="0.25">
      <c r="A5215" s="16"/>
      <c r="E5215" s="27"/>
      <c r="F5215" t="s">
        <v>26</v>
      </c>
      <c r="G5215" s="28">
        <f>IFERROR(VLOOKUP(F5215,CARTON_LOOKUP!$A:$E,3,0),"")</f>
      </c>
      <c r="H5215" s="28">
        <f>IFERROR(VLOOKUP(F5215,CARTON_LOOKUP!$A:$E,4,0),"")</f>
      </c>
      <c r="I5215" s="28">
        <f>IFERROR(VLOOKUP(F5215,CARTON_LOOKUP!$A:$E,5,0),"")</f>
      </c>
      <c r="J5215" s="29">
        <f>IFERROR(VLOOKUP(F5215,CARTON_LOOKUP!$A:$E,2,0),"")</f>
      </c>
      <c r="K5215" s="29">
        <f>IFERROR(J5215*D5215,0)</f>
      </c>
      <c r="L5215" s="29">
        <f>IFERROR(E5215*C5215,0)</f>
      </c>
      <c r="M5215" s="29">
        <f>IFERROR((G5215*H5215*I5215/1000000)*D5215,0)</f>
      </c>
    </row>
    <row r="5216" spans="1:13" x14ac:dyDescent="0.25">
      <c r="A5216" s="16"/>
      <c r="E5216" s="27"/>
      <c r="F5216" t="s">
        <v>26</v>
      </c>
      <c r="G5216" s="28">
        <f>IFERROR(VLOOKUP(F5216,CARTON_LOOKUP!$A:$E,3,0),"")</f>
      </c>
      <c r="H5216" s="28">
        <f>IFERROR(VLOOKUP(F5216,CARTON_LOOKUP!$A:$E,4,0),"")</f>
      </c>
      <c r="I5216" s="28">
        <f>IFERROR(VLOOKUP(F5216,CARTON_LOOKUP!$A:$E,5,0),"")</f>
      </c>
      <c r="J5216" s="29">
        <f>IFERROR(VLOOKUP(F5216,CARTON_LOOKUP!$A:$E,2,0),"")</f>
      </c>
      <c r="K5216" s="29">
        <f>IFERROR(J5216*D5216,0)</f>
      </c>
      <c r="L5216" s="29">
        <f>IFERROR(E5216*C5216,0)</f>
      </c>
      <c r="M5216" s="29">
        <f>IFERROR((G5216*H5216*I5216/1000000)*D5216,0)</f>
      </c>
    </row>
    <row r="5217" spans="1:13" x14ac:dyDescent="0.25">
      <c r="A5217" s="16"/>
      <c r="E5217" s="27"/>
      <c r="F5217" t="s">
        <v>26</v>
      </c>
      <c r="G5217" s="28">
        <f>IFERROR(VLOOKUP(F5217,CARTON_LOOKUP!$A:$E,3,0),"")</f>
      </c>
      <c r="H5217" s="28">
        <f>IFERROR(VLOOKUP(F5217,CARTON_LOOKUP!$A:$E,4,0),"")</f>
      </c>
      <c r="I5217" s="28">
        <f>IFERROR(VLOOKUP(F5217,CARTON_LOOKUP!$A:$E,5,0),"")</f>
      </c>
      <c r="J5217" s="29">
        <f>IFERROR(VLOOKUP(F5217,CARTON_LOOKUP!$A:$E,2,0),"")</f>
      </c>
      <c r="K5217" s="29">
        <f>IFERROR(J5217*D5217,0)</f>
      </c>
      <c r="L5217" s="29">
        <f>IFERROR(E5217*C5217,0)</f>
      </c>
      <c r="M5217" s="29">
        <f>IFERROR((G5217*H5217*I5217/1000000)*D5217,0)</f>
      </c>
    </row>
    <row r="5218" spans="1:13" x14ac:dyDescent="0.25">
      <c r="A5218" s="16"/>
      <c r="E5218" s="27"/>
      <c r="F5218" t="s">
        <v>26</v>
      </c>
      <c r="G5218" s="28">
        <f>IFERROR(VLOOKUP(F5218,CARTON_LOOKUP!$A:$E,3,0),"")</f>
      </c>
      <c r="H5218" s="28">
        <f>IFERROR(VLOOKUP(F5218,CARTON_LOOKUP!$A:$E,4,0),"")</f>
      </c>
      <c r="I5218" s="28">
        <f>IFERROR(VLOOKUP(F5218,CARTON_LOOKUP!$A:$E,5,0),"")</f>
      </c>
      <c r="J5218" s="29">
        <f>IFERROR(VLOOKUP(F5218,CARTON_LOOKUP!$A:$E,2,0),"")</f>
      </c>
      <c r="K5218" s="29">
        <f>IFERROR(J5218*D5218,0)</f>
      </c>
      <c r="L5218" s="29">
        <f>IFERROR(E5218*C5218,0)</f>
      </c>
      <c r="M5218" s="29">
        <f>IFERROR((G5218*H5218*I5218/1000000)*D5218,0)</f>
      </c>
    </row>
    <row r="5219" spans="1:13" x14ac:dyDescent="0.25">
      <c r="A5219" s="16"/>
      <c r="E5219" s="27"/>
      <c r="F5219" t="s">
        <v>26</v>
      </c>
      <c r="G5219" s="28">
        <f>IFERROR(VLOOKUP(F5219,CARTON_LOOKUP!$A:$E,3,0),"")</f>
      </c>
      <c r="H5219" s="28">
        <f>IFERROR(VLOOKUP(F5219,CARTON_LOOKUP!$A:$E,4,0),"")</f>
      </c>
      <c r="I5219" s="28">
        <f>IFERROR(VLOOKUP(F5219,CARTON_LOOKUP!$A:$E,5,0),"")</f>
      </c>
      <c r="J5219" s="29">
        <f>IFERROR(VLOOKUP(F5219,CARTON_LOOKUP!$A:$E,2,0),"")</f>
      </c>
      <c r="K5219" s="29">
        <f>IFERROR(J5219*D5219,0)</f>
      </c>
      <c r="L5219" s="29">
        <f>IFERROR(E5219*C5219,0)</f>
      </c>
      <c r="M5219" s="29">
        <f>IFERROR((G5219*H5219*I5219/1000000)*D5219,0)</f>
      </c>
    </row>
    <row r="5220" spans="1:13" x14ac:dyDescent="0.25">
      <c r="A5220" s="16"/>
      <c r="E5220" s="27"/>
      <c r="F5220" t="s">
        <v>26</v>
      </c>
      <c r="G5220" s="28">
        <f>IFERROR(VLOOKUP(F5220,CARTON_LOOKUP!$A:$E,3,0),"")</f>
      </c>
      <c r="H5220" s="28">
        <f>IFERROR(VLOOKUP(F5220,CARTON_LOOKUP!$A:$E,4,0),"")</f>
      </c>
      <c r="I5220" s="28">
        <f>IFERROR(VLOOKUP(F5220,CARTON_LOOKUP!$A:$E,5,0),"")</f>
      </c>
      <c r="J5220" s="29">
        <f>IFERROR(VLOOKUP(F5220,CARTON_LOOKUP!$A:$E,2,0),"")</f>
      </c>
      <c r="K5220" s="29">
        <f>IFERROR(J5220*D5220,0)</f>
      </c>
      <c r="L5220" s="29">
        <f>IFERROR(E5220*C5220,0)</f>
      </c>
      <c r="M5220" s="29">
        <f>IFERROR((G5220*H5220*I5220/1000000)*D5220,0)</f>
      </c>
    </row>
    <row r="5221" spans="1:13" x14ac:dyDescent="0.25">
      <c r="A5221" s="16"/>
      <c r="E5221" s="27"/>
      <c r="F5221" t="s">
        <v>26</v>
      </c>
      <c r="G5221" s="28">
        <f>IFERROR(VLOOKUP(F5221,CARTON_LOOKUP!$A:$E,3,0),"")</f>
      </c>
      <c r="H5221" s="28">
        <f>IFERROR(VLOOKUP(F5221,CARTON_LOOKUP!$A:$E,4,0),"")</f>
      </c>
      <c r="I5221" s="28">
        <f>IFERROR(VLOOKUP(F5221,CARTON_LOOKUP!$A:$E,5,0),"")</f>
      </c>
      <c r="J5221" s="29">
        <f>IFERROR(VLOOKUP(F5221,CARTON_LOOKUP!$A:$E,2,0),"")</f>
      </c>
      <c r="K5221" s="29">
        <f>IFERROR(J5221*D5221,0)</f>
      </c>
      <c r="L5221" s="29">
        <f>IFERROR(E5221*C5221,0)</f>
      </c>
      <c r="M5221" s="29">
        <f>IFERROR((G5221*H5221*I5221/1000000)*D5221,0)</f>
      </c>
    </row>
    <row r="5222" spans="1:13" x14ac:dyDescent="0.25">
      <c r="A5222" s="16"/>
      <c r="E5222" s="27"/>
      <c r="F5222" t="s">
        <v>26</v>
      </c>
      <c r="G5222" s="28">
        <f>IFERROR(VLOOKUP(F5222,CARTON_LOOKUP!$A:$E,3,0),"")</f>
      </c>
      <c r="H5222" s="28">
        <f>IFERROR(VLOOKUP(F5222,CARTON_LOOKUP!$A:$E,4,0),"")</f>
      </c>
      <c r="I5222" s="28">
        <f>IFERROR(VLOOKUP(F5222,CARTON_LOOKUP!$A:$E,5,0),"")</f>
      </c>
      <c r="J5222" s="29">
        <f>IFERROR(VLOOKUP(F5222,CARTON_LOOKUP!$A:$E,2,0),"")</f>
      </c>
      <c r="K5222" s="29">
        <f>IFERROR(J5222*D5222,0)</f>
      </c>
      <c r="L5222" s="29">
        <f>IFERROR(E5222*C5222,0)</f>
      </c>
      <c r="M5222" s="29">
        <f>IFERROR((G5222*H5222*I5222/1000000)*D5222,0)</f>
      </c>
    </row>
    <row r="5223" spans="1:13" x14ac:dyDescent="0.25">
      <c r="A5223" s="16"/>
      <c r="E5223" s="27"/>
      <c r="F5223" t="s">
        <v>26</v>
      </c>
      <c r="G5223" s="28">
        <f>IFERROR(VLOOKUP(F5223,CARTON_LOOKUP!$A:$E,3,0),"")</f>
      </c>
      <c r="H5223" s="28">
        <f>IFERROR(VLOOKUP(F5223,CARTON_LOOKUP!$A:$E,4,0),"")</f>
      </c>
      <c r="I5223" s="28">
        <f>IFERROR(VLOOKUP(F5223,CARTON_LOOKUP!$A:$E,5,0),"")</f>
      </c>
      <c r="J5223" s="29">
        <f>IFERROR(VLOOKUP(F5223,CARTON_LOOKUP!$A:$E,2,0),"")</f>
      </c>
      <c r="K5223" s="29">
        <f>IFERROR(J5223*D5223,0)</f>
      </c>
      <c r="L5223" s="29">
        <f>IFERROR(E5223*C5223,0)</f>
      </c>
      <c r="M5223" s="29">
        <f>IFERROR((G5223*H5223*I5223/1000000)*D5223,0)</f>
      </c>
    </row>
    <row r="5224" spans="1:13" x14ac:dyDescent="0.25">
      <c r="A5224" s="16"/>
      <c r="E5224" s="27"/>
      <c r="F5224" t="s">
        <v>26</v>
      </c>
      <c r="G5224" s="28">
        <f>IFERROR(VLOOKUP(F5224,CARTON_LOOKUP!$A:$E,3,0),"")</f>
      </c>
      <c r="H5224" s="28">
        <f>IFERROR(VLOOKUP(F5224,CARTON_LOOKUP!$A:$E,4,0),"")</f>
      </c>
      <c r="I5224" s="28">
        <f>IFERROR(VLOOKUP(F5224,CARTON_LOOKUP!$A:$E,5,0),"")</f>
      </c>
      <c r="J5224" s="29">
        <f>IFERROR(VLOOKUP(F5224,CARTON_LOOKUP!$A:$E,2,0),"")</f>
      </c>
      <c r="K5224" s="29">
        <f>IFERROR(J5224*D5224,0)</f>
      </c>
      <c r="L5224" s="29">
        <f>IFERROR(E5224*C5224,0)</f>
      </c>
      <c r="M5224" s="29">
        <f>IFERROR((G5224*H5224*I5224/1000000)*D5224,0)</f>
      </c>
    </row>
    <row r="5225" spans="1:13" x14ac:dyDescent="0.25">
      <c r="A5225" s="16"/>
      <c r="E5225" s="27"/>
      <c r="F5225" t="s">
        <v>26</v>
      </c>
      <c r="G5225" s="28">
        <f>IFERROR(VLOOKUP(F5225,CARTON_LOOKUP!$A:$E,3,0),"")</f>
      </c>
      <c r="H5225" s="28">
        <f>IFERROR(VLOOKUP(F5225,CARTON_LOOKUP!$A:$E,4,0),"")</f>
      </c>
      <c r="I5225" s="28">
        <f>IFERROR(VLOOKUP(F5225,CARTON_LOOKUP!$A:$E,5,0),"")</f>
      </c>
      <c r="J5225" s="29">
        <f>IFERROR(VLOOKUP(F5225,CARTON_LOOKUP!$A:$E,2,0),"")</f>
      </c>
      <c r="K5225" s="29">
        <f>IFERROR(J5225*D5225,0)</f>
      </c>
      <c r="L5225" s="29">
        <f>IFERROR(E5225*C5225,0)</f>
      </c>
      <c r="M5225" s="29">
        <f>IFERROR((G5225*H5225*I5225/1000000)*D5225,0)</f>
      </c>
    </row>
    <row r="5226" spans="1:13" x14ac:dyDescent="0.25">
      <c r="A5226" s="16"/>
      <c r="E5226" s="27"/>
      <c r="F5226" t="s">
        <v>26</v>
      </c>
      <c r="G5226" s="28">
        <f>IFERROR(VLOOKUP(F5226,CARTON_LOOKUP!$A:$E,3,0),"")</f>
      </c>
      <c r="H5226" s="28">
        <f>IFERROR(VLOOKUP(F5226,CARTON_LOOKUP!$A:$E,4,0),"")</f>
      </c>
      <c r="I5226" s="28">
        <f>IFERROR(VLOOKUP(F5226,CARTON_LOOKUP!$A:$E,5,0),"")</f>
      </c>
      <c r="J5226" s="29">
        <f>IFERROR(VLOOKUP(F5226,CARTON_LOOKUP!$A:$E,2,0),"")</f>
      </c>
      <c r="K5226" s="29">
        <f>IFERROR(J5226*D5226,0)</f>
      </c>
      <c r="L5226" s="29">
        <f>IFERROR(E5226*C5226,0)</f>
      </c>
      <c r="M5226" s="29">
        <f>IFERROR((G5226*H5226*I5226/1000000)*D5226,0)</f>
      </c>
    </row>
    <row r="5227" spans="1:13" x14ac:dyDescent="0.25">
      <c r="A5227" s="16"/>
      <c r="E5227" s="27"/>
      <c r="F5227" t="s">
        <v>26</v>
      </c>
      <c r="G5227" s="28">
        <f>IFERROR(VLOOKUP(F5227,CARTON_LOOKUP!$A:$E,3,0),"")</f>
      </c>
      <c r="H5227" s="28">
        <f>IFERROR(VLOOKUP(F5227,CARTON_LOOKUP!$A:$E,4,0),"")</f>
      </c>
      <c r="I5227" s="28">
        <f>IFERROR(VLOOKUP(F5227,CARTON_LOOKUP!$A:$E,5,0),"")</f>
      </c>
      <c r="J5227" s="29">
        <f>IFERROR(VLOOKUP(F5227,CARTON_LOOKUP!$A:$E,2,0),"")</f>
      </c>
      <c r="K5227" s="29">
        <f>IFERROR(J5227*D5227,0)</f>
      </c>
      <c r="L5227" s="29">
        <f>IFERROR(E5227*C5227,0)</f>
      </c>
      <c r="M5227" s="29">
        <f>IFERROR((G5227*H5227*I5227/1000000)*D5227,0)</f>
      </c>
    </row>
    <row r="5228" spans="1:13" x14ac:dyDescent="0.25">
      <c r="A5228" s="16"/>
      <c r="E5228" s="27"/>
      <c r="F5228" t="s">
        <v>26</v>
      </c>
      <c r="G5228" s="28">
        <f>IFERROR(VLOOKUP(F5228,CARTON_LOOKUP!$A:$E,3,0),"")</f>
      </c>
      <c r="H5228" s="28">
        <f>IFERROR(VLOOKUP(F5228,CARTON_LOOKUP!$A:$E,4,0),"")</f>
      </c>
      <c r="I5228" s="28">
        <f>IFERROR(VLOOKUP(F5228,CARTON_LOOKUP!$A:$E,5,0),"")</f>
      </c>
      <c r="J5228" s="29">
        <f>IFERROR(VLOOKUP(F5228,CARTON_LOOKUP!$A:$E,2,0),"")</f>
      </c>
      <c r="K5228" s="29">
        <f>IFERROR(J5228*D5228,0)</f>
      </c>
      <c r="L5228" s="29">
        <f>IFERROR(E5228*C5228,0)</f>
      </c>
      <c r="M5228" s="29">
        <f>IFERROR((G5228*H5228*I5228/1000000)*D5228,0)</f>
      </c>
    </row>
    <row r="5229" spans="1:13" x14ac:dyDescent="0.25">
      <c r="A5229" s="16"/>
      <c r="E5229" s="27"/>
      <c r="F5229" t="s">
        <v>26</v>
      </c>
      <c r="G5229" s="28">
        <f>IFERROR(VLOOKUP(F5229,CARTON_LOOKUP!$A:$E,3,0),"")</f>
      </c>
      <c r="H5229" s="28">
        <f>IFERROR(VLOOKUP(F5229,CARTON_LOOKUP!$A:$E,4,0),"")</f>
      </c>
      <c r="I5229" s="28">
        <f>IFERROR(VLOOKUP(F5229,CARTON_LOOKUP!$A:$E,5,0),"")</f>
      </c>
      <c r="J5229" s="29">
        <f>IFERROR(VLOOKUP(F5229,CARTON_LOOKUP!$A:$E,2,0),"")</f>
      </c>
      <c r="K5229" s="29">
        <f>IFERROR(J5229*D5229,0)</f>
      </c>
      <c r="L5229" s="29">
        <f>IFERROR(E5229*C5229,0)</f>
      </c>
      <c r="M5229" s="29">
        <f>IFERROR((G5229*H5229*I5229/1000000)*D5229,0)</f>
      </c>
    </row>
    <row r="5230" spans="1:13" x14ac:dyDescent="0.25">
      <c r="A5230" s="16"/>
      <c r="E5230" s="27"/>
      <c r="F5230" t="s">
        <v>26</v>
      </c>
      <c r="G5230" s="28">
        <f>IFERROR(VLOOKUP(F5230,CARTON_LOOKUP!$A:$E,3,0),"")</f>
      </c>
      <c r="H5230" s="28">
        <f>IFERROR(VLOOKUP(F5230,CARTON_LOOKUP!$A:$E,4,0),"")</f>
      </c>
      <c r="I5230" s="28">
        <f>IFERROR(VLOOKUP(F5230,CARTON_LOOKUP!$A:$E,5,0),"")</f>
      </c>
      <c r="J5230" s="29">
        <f>IFERROR(VLOOKUP(F5230,CARTON_LOOKUP!$A:$E,2,0),"")</f>
      </c>
      <c r="K5230" s="29">
        <f>IFERROR(J5230*D5230,0)</f>
      </c>
      <c r="L5230" s="29">
        <f>IFERROR(E5230*C5230,0)</f>
      </c>
      <c r="M5230" s="29">
        <f>IFERROR((G5230*H5230*I5230/1000000)*D5230,0)</f>
      </c>
    </row>
    <row r="5231" spans="1:13" x14ac:dyDescent="0.25">
      <c r="A5231" s="16"/>
      <c r="E5231" s="27"/>
      <c r="F5231" t="s">
        <v>26</v>
      </c>
      <c r="G5231" s="28">
        <f>IFERROR(VLOOKUP(F5231,CARTON_LOOKUP!$A:$E,3,0),"")</f>
      </c>
      <c r="H5231" s="28">
        <f>IFERROR(VLOOKUP(F5231,CARTON_LOOKUP!$A:$E,4,0),"")</f>
      </c>
      <c r="I5231" s="28">
        <f>IFERROR(VLOOKUP(F5231,CARTON_LOOKUP!$A:$E,5,0),"")</f>
      </c>
      <c r="J5231" s="29">
        <f>IFERROR(VLOOKUP(F5231,CARTON_LOOKUP!$A:$E,2,0),"")</f>
      </c>
      <c r="K5231" s="29">
        <f>IFERROR(J5231*D5231,0)</f>
      </c>
      <c r="L5231" s="29">
        <f>IFERROR(E5231*C5231,0)</f>
      </c>
      <c r="M5231" s="29">
        <f>IFERROR((G5231*H5231*I5231/1000000)*D5231,0)</f>
      </c>
    </row>
    <row r="5232" spans="1:13" x14ac:dyDescent="0.25">
      <c r="A5232" s="16"/>
      <c r="E5232" s="27"/>
      <c r="F5232" t="s">
        <v>26</v>
      </c>
      <c r="G5232" s="28">
        <f>IFERROR(VLOOKUP(F5232,CARTON_LOOKUP!$A:$E,3,0),"")</f>
      </c>
      <c r="H5232" s="28">
        <f>IFERROR(VLOOKUP(F5232,CARTON_LOOKUP!$A:$E,4,0),"")</f>
      </c>
      <c r="I5232" s="28">
        <f>IFERROR(VLOOKUP(F5232,CARTON_LOOKUP!$A:$E,5,0),"")</f>
      </c>
      <c r="J5232" s="29">
        <f>IFERROR(VLOOKUP(F5232,CARTON_LOOKUP!$A:$E,2,0),"")</f>
      </c>
      <c r="K5232" s="29">
        <f>IFERROR(J5232*D5232,0)</f>
      </c>
      <c r="L5232" s="29">
        <f>IFERROR(E5232*C5232,0)</f>
      </c>
      <c r="M5232" s="29">
        <f>IFERROR((G5232*H5232*I5232/1000000)*D5232,0)</f>
      </c>
    </row>
    <row r="5233" spans="1:13" x14ac:dyDescent="0.25">
      <c r="A5233" s="16"/>
      <c r="E5233" s="27"/>
      <c r="F5233" t="s">
        <v>26</v>
      </c>
      <c r="G5233" s="28">
        <f>IFERROR(VLOOKUP(F5233,CARTON_LOOKUP!$A:$E,3,0),"")</f>
      </c>
      <c r="H5233" s="28">
        <f>IFERROR(VLOOKUP(F5233,CARTON_LOOKUP!$A:$E,4,0),"")</f>
      </c>
      <c r="I5233" s="28">
        <f>IFERROR(VLOOKUP(F5233,CARTON_LOOKUP!$A:$E,5,0),"")</f>
      </c>
      <c r="J5233" s="29">
        <f>IFERROR(VLOOKUP(F5233,CARTON_LOOKUP!$A:$E,2,0),"")</f>
      </c>
      <c r="K5233" s="29">
        <f>IFERROR(J5233*D5233,0)</f>
      </c>
      <c r="L5233" s="29">
        <f>IFERROR(E5233*C5233,0)</f>
      </c>
      <c r="M5233" s="29">
        <f>IFERROR((G5233*H5233*I5233/1000000)*D5233,0)</f>
      </c>
    </row>
    <row r="5234" spans="1:13" x14ac:dyDescent="0.25">
      <c r="A5234" s="16"/>
      <c r="E5234" s="27"/>
      <c r="F5234" t="s">
        <v>26</v>
      </c>
      <c r="G5234" s="28">
        <f>IFERROR(VLOOKUP(F5234,CARTON_LOOKUP!$A:$E,3,0),"")</f>
      </c>
      <c r="H5234" s="28">
        <f>IFERROR(VLOOKUP(F5234,CARTON_LOOKUP!$A:$E,4,0),"")</f>
      </c>
      <c r="I5234" s="28">
        <f>IFERROR(VLOOKUP(F5234,CARTON_LOOKUP!$A:$E,5,0),"")</f>
      </c>
      <c r="J5234" s="29">
        <f>IFERROR(VLOOKUP(F5234,CARTON_LOOKUP!$A:$E,2,0),"")</f>
      </c>
      <c r="K5234" s="29">
        <f>IFERROR(J5234*D5234,0)</f>
      </c>
      <c r="L5234" s="29">
        <f>IFERROR(E5234*C5234,0)</f>
      </c>
      <c r="M5234" s="29">
        <f>IFERROR((G5234*H5234*I5234/1000000)*D5234,0)</f>
      </c>
    </row>
    <row r="5235" spans="1:13" x14ac:dyDescent="0.25">
      <c r="A5235" s="16"/>
      <c r="E5235" s="27"/>
      <c r="F5235" t="s">
        <v>26</v>
      </c>
      <c r="G5235" s="28">
        <f>IFERROR(VLOOKUP(F5235,CARTON_LOOKUP!$A:$E,3,0),"")</f>
      </c>
      <c r="H5235" s="28">
        <f>IFERROR(VLOOKUP(F5235,CARTON_LOOKUP!$A:$E,4,0),"")</f>
      </c>
      <c r="I5235" s="28">
        <f>IFERROR(VLOOKUP(F5235,CARTON_LOOKUP!$A:$E,5,0),"")</f>
      </c>
      <c r="J5235" s="29">
        <f>IFERROR(VLOOKUP(F5235,CARTON_LOOKUP!$A:$E,2,0),"")</f>
      </c>
      <c r="K5235" s="29">
        <f>IFERROR(J5235*D5235,0)</f>
      </c>
      <c r="L5235" s="29">
        <f>IFERROR(E5235*C5235,0)</f>
      </c>
      <c r="M5235" s="29">
        <f>IFERROR((G5235*H5235*I5235/1000000)*D5235,0)</f>
      </c>
    </row>
    <row r="5236" spans="1:13" x14ac:dyDescent="0.25">
      <c r="A5236" s="16"/>
      <c r="E5236" s="27"/>
      <c r="F5236" t="s">
        <v>26</v>
      </c>
      <c r="G5236" s="28">
        <f>IFERROR(VLOOKUP(F5236,CARTON_LOOKUP!$A:$E,3,0),"")</f>
      </c>
      <c r="H5236" s="28">
        <f>IFERROR(VLOOKUP(F5236,CARTON_LOOKUP!$A:$E,4,0),"")</f>
      </c>
      <c r="I5236" s="28">
        <f>IFERROR(VLOOKUP(F5236,CARTON_LOOKUP!$A:$E,5,0),"")</f>
      </c>
      <c r="J5236" s="29">
        <f>IFERROR(VLOOKUP(F5236,CARTON_LOOKUP!$A:$E,2,0),"")</f>
      </c>
      <c r="K5236" s="29">
        <f>IFERROR(J5236*D5236,0)</f>
      </c>
      <c r="L5236" s="29">
        <f>IFERROR(E5236*C5236,0)</f>
      </c>
      <c r="M5236" s="29">
        <f>IFERROR((G5236*H5236*I5236/1000000)*D5236,0)</f>
      </c>
    </row>
    <row r="5237" spans="1:13" x14ac:dyDescent="0.25">
      <c r="A5237" s="16"/>
      <c r="E5237" s="27"/>
      <c r="F5237" t="s">
        <v>26</v>
      </c>
      <c r="G5237" s="28">
        <f>IFERROR(VLOOKUP(F5237,CARTON_LOOKUP!$A:$E,3,0),"")</f>
      </c>
      <c r="H5237" s="28">
        <f>IFERROR(VLOOKUP(F5237,CARTON_LOOKUP!$A:$E,4,0),"")</f>
      </c>
      <c r="I5237" s="28">
        <f>IFERROR(VLOOKUP(F5237,CARTON_LOOKUP!$A:$E,5,0),"")</f>
      </c>
      <c r="J5237" s="29">
        <f>IFERROR(VLOOKUP(F5237,CARTON_LOOKUP!$A:$E,2,0),"")</f>
      </c>
      <c r="K5237" s="29">
        <f>IFERROR(J5237*D5237,0)</f>
      </c>
      <c r="L5237" s="29">
        <f>IFERROR(E5237*C5237,0)</f>
      </c>
      <c r="M5237" s="29">
        <f>IFERROR((G5237*H5237*I5237/1000000)*D5237,0)</f>
      </c>
    </row>
    <row r="5238" spans="1:13" x14ac:dyDescent="0.25">
      <c r="A5238" s="16"/>
      <c r="E5238" s="27"/>
      <c r="F5238" t="s">
        <v>26</v>
      </c>
      <c r="G5238" s="28">
        <f>IFERROR(VLOOKUP(F5238,CARTON_LOOKUP!$A:$E,3,0),"")</f>
      </c>
      <c r="H5238" s="28">
        <f>IFERROR(VLOOKUP(F5238,CARTON_LOOKUP!$A:$E,4,0),"")</f>
      </c>
      <c r="I5238" s="28">
        <f>IFERROR(VLOOKUP(F5238,CARTON_LOOKUP!$A:$E,5,0),"")</f>
      </c>
      <c r="J5238" s="29">
        <f>IFERROR(VLOOKUP(F5238,CARTON_LOOKUP!$A:$E,2,0),"")</f>
      </c>
      <c r="K5238" s="29">
        <f>IFERROR(J5238*D5238,0)</f>
      </c>
      <c r="L5238" s="29">
        <f>IFERROR(E5238*C5238,0)</f>
      </c>
      <c r="M5238" s="29">
        <f>IFERROR((G5238*H5238*I5238/1000000)*D5238,0)</f>
      </c>
    </row>
    <row r="5239" spans="1:13" x14ac:dyDescent="0.25">
      <c r="A5239" s="16"/>
      <c r="E5239" s="27"/>
      <c r="F5239" t="s">
        <v>26</v>
      </c>
      <c r="G5239" s="28">
        <f>IFERROR(VLOOKUP(F5239,CARTON_LOOKUP!$A:$E,3,0),"")</f>
      </c>
      <c r="H5239" s="28">
        <f>IFERROR(VLOOKUP(F5239,CARTON_LOOKUP!$A:$E,4,0),"")</f>
      </c>
      <c r="I5239" s="28">
        <f>IFERROR(VLOOKUP(F5239,CARTON_LOOKUP!$A:$E,5,0),"")</f>
      </c>
      <c r="J5239" s="29">
        <f>IFERROR(VLOOKUP(F5239,CARTON_LOOKUP!$A:$E,2,0),"")</f>
      </c>
      <c r="K5239" s="29">
        <f>IFERROR(J5239*D5239,0)</f>
      </c>
      <c r="L5239" s="29">
        <f>IFERROR(E5239*C5239,0)</f>
      </c>
      <c r="M5239" s="29">
        <f>IFERROR((G5239*H5239*I5239/1000000)*D5239,0)</f>
      </c>
    </row>
    <row r="5240" spans="1:13" x14ac:dyDescent="0.25">
      <c r="A5240" s="16"/>
      <c r="E5240" s="27"/>
      <c r="F5240" t="s">
        <v>26</v>
      </c>
      <c r="G5240" s="28">
        <f>IFERROR(VLOOKUP(F5240,CARTON_LOOKUP!$A:$E,3,0),"")</f>
      </c>
      <c r="H5240" s="28">
        <f>IFERROR(VLOOKUP(F5240,CARTON_LOOKUP!$A:$E,4,0),"")</f>
      </c>
      <c r="I5240" s="28">
        <f>IFERROR(VLOOKUP(F5240,CARTON_LOOKUP!$A:$E,5,0),"")</f>
      </c>
      <c r="J5240" s="29">
        <f>IFERROR(VLOOKUP(F5240,CARTON_LOOKUP!$A:$E,2,0),"")</f>
      </c>
      <c r="K5240" s="29">
        <f>IFERROR(J5240*D5240,0)</f>
      </c>
      <c r="L5240" s="29">
        <f>IFERROR(E5240*C5240,0)</f>
      </c>
      <c r="M5240" s="29">
        <f>IFERROR((G5240*H5240*I5240/1000000)*D5240,0)</f>
      </c>
    </row>
    <row r="5241" spans="1:13" x14ac:dyDescent="0.25">
      <c r="A5241" s="16"/>
      <c r="E5241" s="27"/>
      <c r="F5241" t="s">
        <v>26</v>
      </c>
      <c r="G5241" s="28">
        <f>IFERROR(VLOOKUP(F5241,CARTON_LOOKUP!$A:$E,3,0),"")</f>
      </c>
      <c r="H5241" s="28">
        <f>IFERROR(VLOOKUP(F5241,CARTON_LOOKUP!$A:$E,4,0),"")</f>
      </c>
      <c r="I5241" s="28">
        <f>IFERROR(VLOOKUP(F5241,CARTON_LOOKUP!$A:$E,5,0),"")</f>
      </c>
      <c r="J5241" s="29">
        <f>IFERROR(VLOOKUP(F5241,CARTON_LOOKUP!$A:$E,2,0),"")</f>
      </c>
      <c r="K5241" s="29">
        <f>IFERROR(J5241*D5241,0)</f>
      </c>
      <c r="L5241" s="29">
        <f>IFERROR(E5241*C5241,0)</f>
      </c>
      <c r="M5241" s="29">
        <f>IFERROR((G5241*H5241*I5241/1000000)*D5241,0)</f>
      </c>
    </row>
    <row r="5242" spans="1:13" x14ac:dyDescent="0.25">
      <c r="A5242" s="16"/>
      <c r="E5242" s="27"/>
      <c r="F5242" t="s">
        <v>26</v>
      </c>
      <c r="G5242" s="28">
        <f>IFERROR(VLOOKUP(F5242,CARTON_LOOKUP!$A:$E,3,0),"")</f>
      </c>
      <c r="H5242" s="28">
        <f>IFERROR(VLOOKUP(F5242,CARTON_LOOKUP!$A:$E,4,0),"")</f>
      </c>
      <c r="I5242" s="28">
        <f>IFERROR(VLOOKUP(F5242,CARTON_LOOKUP!$A:$E,5,0),"")</f>
      </c>
      <c r="J5242" s="29">
        <f>IFERROR(VLOOKUP(F5242,CARTON_LOOKUP!$A:$E,2,0),"")</f>
      </c>
      <c r="K5242" s="29">
        <f>IFERROR(J5242*D5242,0)</f>
      </c>
      <c r="L5242" s="29">
        <f>IFERROR(E5242*C5242,0)</f>
      </c>
      <c r="M5242" s="29">
        <f>IFERROR((G5242*H5242*I5242/1000000)*D5242,0)</f>
      </c>
    </row>
    <row r="5243" spans="1:13" x14ac:dyDescent="0.25">
      <c r="A5243" s="16"/>
      <c r="E5243" s="27"/>
      <c r="F5243" t="s">
        <v>26</v>
      </c>
      <c r="G5243" s="28">
        <f>IFERROR(VLOOKUP(F5243,CARTON_LOOKUP!$A:$E,3,0),"")</f>
      </c>
      <c r="H5243" s="28">
        <f>IFERROR(VLOOKUP(F5243,CARTON_LOOKUP!$A:$E,4,0),"")</f>
      </c>
      <c r="I5243" s="28">
        <f>IFERROR(VLOOKUP(F5243,CARTON_LOOKUP!$A:$E,5,0),"")</f>
      </c>
      <c r="J5243" s="29">
        <f>IFERROR(VLOOKUP(F5243,CARTON_LOOKUP!$A:$E,2,0),"")</f>
      </c>
      <c r="K5243" s="29">
        <f>IFERROR(J5243*D5243,0)</f>
      </c>
      <c r="L5243" s="29">
        <f>IFERROR(E5243*C5243,0)</f>
      </c>
      <c r="M5243" s="29">
        <f>IFERROR((G5243*H5243*I5243/1000000)*D5243,0)</f>
      </c>
    </row>
    <row r="5244" spans="1:13" x14ac:dyDescent="0.25">
      <c r="A5244" s="16"/>
      <c r="E5244" s="27"/>
      <c r="F5244" t="s">
        <v>26</v>
      </c>
      <c r="G5244" s="28">
        <f>IFERROR(VLOOKUP(F5244,CARTON_LOOKUP!$A:$E,3,0),"")</f>
      </c>
      <c r="H5244" s="28">
        <f>IFERROR(VLOOKUP(F5244,CARTON_LOOKUP!$A:$E,4,0),"")</f>
      </c>
      <c r="I5244" s="28">
        <f>IFERROR(VLOOKUP(F5244,CARTON_LOOKUP!$A:$E,5,0),"")</f>
      </c>
      <c r="J5244" s="29">
        <f>IFERROR(VLOOKUP(F5244,CARTON_LOOKUP!$A:$E,2,0),"")</f>
      </c>
      <c r="K5244" s="29">
        <f>IFERROR(J5244*D5244,0)</f>
      </c>
      <c r="L5244" s="29">
        <f>IFERROR(E5244*C5244,0)</f>
      </c>
      <c r="M5244" s="29">
        <f>IFERROR((G5244*H5244*I5244/1000000)*D5244,0)</f>
      </c>
    </row>
    <row r="5245" spans="1:13" x14ac:dyDescent="0.25">
      <c r="A5245" s="16"/>
      <c r="E5245" s="27"/>
      <c r="F5245" t="s">
        <v>26</v>
      </c>
      <c r="G5245" s="28">
        <f>IFERROR(VLOOKUP(F5245,CARTON_LOOKUP!$A:$E,3,0),"")</f>
      </c>
      <c r="H5245" s="28">
        <f>IFERROR(VLOOKUP(F5245,CARTON_LOOKUP!$A:$E,4,0),"")</f>
      </c>
      <c r="I5245" s="28">
        <f>IFERROR(VLOOKUP(F5245,CARTON_LOOKUP!$A:$E,5,0),"")</f>
      </c>
      <c r="J5245" s="29">
        <f>IFERROR(VLOOKUP(F5245,CARTON_LOOKUP!$A:$E,2,0),"")</f>
      </c>
      <c r="K5245" s="29">
        <f>IFERROR(J5245*D5245,0)</f>
      </c>
      <c r="L5245" s="29">
        <f>IFERROR(E5245*C5245,0)</f>
      </c>
      <c r="M5245" s="29">
        <f>IFERROR((G5245*H5245*I5245/1000000)*D5245,0)</f>
      </c>
    </row>
    <row r="5246" spans="1:13" x14ac:dyDescent="0.25">
      <c r="A5246" s="16"/>
      <c r="E5246" s="27"/>
      <c r="F5246" t="s">
        <v>26</v>
      </c>
      <c r="G5246" s="28">
        <f>IFERROR(VLOOKUP(F5246,CARTON_LOOKUP!$A:$E,3,0),"")</f>
      </c>
      <c r="H5246" s="28">
        <f>IFERROR(VLOOKUP(F5246,CARTON_LOOKUP!$A:$E,4,0),"")</f>
      </c>
      <c r="I5246" s="28">
        <f>IFERROR(VLOOKUP(F5246,CARTON_LOOKUP!$A:$E,5,0),"")</f>
      </c>
      <c r="J5246" s="29">
        <f>IFERROR(VLOOKUP(F5246,CARTON_LOOKUP!$A:$E,2,0),"")</f>
      </c>
      <c r="K5246" s="29">
        <f>IFERROR(J5246*D5246,0)</f>
      </c>
      <c r="L5246" s="29">
        <f>IFERROR(E5246*C5246,0)</f>
      </c>
      <c r="M5246" s="29">
        <f>IFERROR((G5246*H5246*I5246/1000000)*D5246,0)</f>
      </c>
    </row>
    <row r="5247" spans="1:13" x14ac:dyDescent="0.25">
      <c r="A5247" s="16"/>
      <c r="E5247" s="27"/>
      <c r="F5247" t="s">
        <v>26</v>
      </c>
      <c r="G5247" s="28">
        <f>IFERROR(VLOOKUP(F5247,CARTON_LOOKUP!$A:$E,3,0),"")</f>
      </c>
      <c r="H5247" s="28">
        <f>IFERROR(VLOOKUP(F5247,CARTON_LOOKUP!$A:$E,4,0),"")</f>
      </c>
      <c r="I5247" s="28">
        <f>IFERROR(VLOOKUP(F5247,CARTON_LOOKUP!$A:$E,5,0),"")</f>
      </c>
      <c r="J5247" s="29">
        <f>IFERROR(VLOOKUP(F5247,CARTON_LOOKUP!$A:$E,2,0),"")</f>
      </c>
      <c r="K5247" s="29">
        <f>IFERROR(J5247*D5247,0)</f>
      </c>
      <c r="L5247" s="29">
        <f>IFERROR(E5247*C5247,0)</f>
      </c>
      <c r="M5247" s="29">
        <f>IFERROR((G5247*H5247*I5247/1000000)*D5247,0)</f>
      </c>
    </row>
    <row r="5248" spans="1:13" x14ac:dyDescent="0.25">
      <c r="A5248" s="16"/>
      <c r="E5248" s="27"/>
      <c r="F5248" t="s">
        <v>26</v>
      </c>
      <c r="G5248" s="28">
        <f>IFERROR(VLOOKUP(F5248,CARTON_LOOKUP!$A:$E,3,0),"")</f>
      </c>
      <c r="H5248" s="28">
        <f>IFERROR(VLOOKUP(F5248,CARTON_LOOKUP!$A:$E,4,0),"")</f>
      </c>
      <c r="I5248" s="28">
        <f>IFERROR(VLOOKUP(F5248,CARTON_LOOKUP!$A:$E,5,0),"")</f>
      </c>
      <c r="J5248" s="29">
        <f>IFERROR(VLOOKUP(F5248,CARTON_LOOKUP!$A:$E,2,0),"")</f>
      </c>
      <c r="K5248" s="29">
        <f>IFERROR(J5248*D5248,0)</f>
      </c>
      <c r="L5248" s="29">
        <f>IFERROR(E5248*C5248,0)</f>
      </c>
      <c r="M5248" s="29">
        <f>IFERROR((G5248*H5248*I5248/1000000)*D5248,0)</f>
      </c>
    </row>
    <row r="5249" spans="1:13" x14ac:dyDescent="0.25">
      <c r="A5249" s="16"/>
      <c r="E5249" s="27"/>
      <c r="F5249" t="s">
        <v>26</v>
      </c>
      <c r="G5249" s="28">
        <f>IFERROR(VLOOKUP(F5249,CARTON_LOOKUP!$A:$E,3,0),"")</f>
      </c>
      <c r="H5249" s="28">
        <f>IFERROR(VLOOKUP(F5249,CARTON_LOOKUP!$A:$E,4,0),"")</f>
      </c>
      <c r="I5249" s="28">
        <f>IFERROR(VLOOKUP(F5249,CARTON_LOOKUP!$A:$E,5,0),"")</f>
      </c>
      <c r="J5249" s="29">
        <f>IFERROR(VLOOKUP(F5249,CARTON_LOOKUP!$A:$E,2,0),"")</f>
      </c>
      <c r="K5249" s="29">
        <f>IFERROR(J5249*D5249,0)</f>
      </c>
      <c r="L5249" s="29">
        <f>IFERROR(E5249*C5249,0)</f>
      </c>
      <c r="M5249" s="29">
        <f>IFERROR((G5249*H5249*I5249/1000000)*D5249,0)</f>
      </c>
    </row>
    <row r="5250" spans="1:13" x14ac:dyDescent="0.25">
      <c r="A5250" s="16"/>
      <c r="E5250" s="27"/>
      <c r="F5250" t="s">
        <v>26</v>
      </c>
      <c r="G5250" s="28">
        <f>IFERROR(VLOOKUP(F5250,CARTON_LOOKUP!$A:$E,3,0),"")</f>
      </c>
      <c r="H5250" s="28">
        <f>IFERROR(VLOOKUP(F5250,CARTON_LOOKUP!$A:$E,4,0),"")</f>
      </c>
      <c r="I5250" s="28">
        <f>IFERROR(VLOOKUP(F5250,CARTON_LOOKUP!$A:$E,5,0),"")</f>
      </c>
      <c r="J5250" s="29">
        <f>IFERROR(VLOOKUP(F5250,CARTON_LOOKUP!$A:$E,2,0),"")</f>
      </c>
      <c r="K5250" s="29">
        <f>IFERROR(J5250*D5250,0)</f>
      </c>
      <c r="L5250" s="29">
        <f>IFERROR(E5250*C5250,0)</f>
      </c>
      <c r="M5250" s="29">
        <f>IFERROR((G5250*H5250*I5250/1000000)*D5250,0)</f>
      </c>
    </row>
    <row r="5251" spans="1:13" x14ac:dyDescent="0.25">
      <c r="A5251" s="16"/>
      <c r="E5251" s="27"/>
      <c r="F5251" t="s">
        <v>26</v>
      </c>
      <c r="G5251" s="28">
        <f>IFERROR(VLOOKUP(F5251,CARTON_LOOKUP!$A:$E,3,0),"")</f>
      </c>
      <c r="H5251" s="28">
        <f>IFERROR(VLOOKUP(F5251,CARTON_LOOKUP!$A:$E,4,0),"")</f>
      </c>
      <c r="I5251" s="28">
        <f>IFERROR(VLOOKUP(F5251,CARTON_LOOKUP!$A:$E,5,0),"")</f>
      </c>
      <c r="J5251" s="29">
        <f>IFERROR(VLOOKUP(F5251,CARTON_LOOKUP!$A:$E,2,0),"")</f>
      </c>
      <c r="K5251" s="29">
        <f>IFERROR(J5251*D5251,0)</f>
      </c>
      <c r="L5251" s="29">
        <f>IFERROR(E5251*C5251,0)</f>
      </c>
      <c r="M5251" s="29">
        <f>IFERROR((G5251*H5251*I5251/1000000)*D5251,0)</f>
      </c>
    </row>
    <row r="5252" spans="1:13" x14ac:dyDescent="0.25">
      <c r="A5252" s="16"/>
      <c r="E5252" s="27"/>
      <c r="F5252" t="s">
        <v>26</v>
      </c>
      <c r="G5252" s="28">
        <f>IFERROR(VLOOKUP(F5252,CARTON_LOOKUP!$A:$E,3,0),"")</f>
      </c>
      <c r="H5252" s="28">
        <f>IFERROR(VLOOKUP(F5252,CARTON_LOOKUP!$A:$E,4,0),"")</f>
      </c>
      <c r="I5252" s="28">
        <f>IFERROR(VLOOKUP(F5252,CARTON_LOOKUP!$A:$E,5,0),"")</f>
      </c>
      <c r="J5252" s="29">
        <f>IFERROR(VLOOKUP(F5252,CARTON_LOOKUP!$A:$E,2,0),"")</f>
      </c>
      <c r="K5252" s="29">
        <f>IFERROR(J5252*D5252,0)</f>
      </c>
      <c r="L5252" s="29">
        <f>IFERROR(E5252*C5252,0)</f>
      </c>
      <c r="M5252" s="29">
        <f>IFERROR((G5252*H5252*I5252/1000000)*D5252,0)</f>
      </c>
    </row>
    <row r="5253" spans="1:13" x14ac:dyDescent="0.25">
      <c r="A5253" s="16"/>
      <c r="E5253" s="27"/>
      <c r="F5253" t="s">
        <v>26</v>
      </c>
      <c r="G5253" s="28">
        <f>IFERROR(VLOOKUP(F5253,CARTON_LOOKUP!$A:$E,3,0),"")</f>
      </c>
      <c r="H5253" s="28">
        <f>IFERROR(VLOOKUP(F5253,CARTON_LOOKUP!$A:$E,4,0),"")</f>
      </c>
      <c r="I5253" s="28">
        <f>IFERROR(VLOOKUP(F5253,CARTON_LOOKUP!$A:$E,5,0),"")</f>
      </c>
      <c r="J5253" s="29">
        <f>IFERROR(VLOOKUP(F5253,CARTON_LOOKUP!$A:$E,2,0),"")</f>
      </c>
      <c r="K5253" s="29">
        <f>IFERROR(J5253*D5253,0)</f>
      </c>
      <c r="L5253" s="29">
        <f>IFERROR(E5253*C5253,0)</f>
      </c>
      <c r="M5253" s="29">
        <f>IFERROR((G5253*H5253*I5253/1000000)*D5253,0)</f>
      </c>
    </row>
    <row r="5254" spans="1:13" x14ac:dyDescent="0.25">
      <c r="A5254" s="16"/>
      <c r="E5254" s="27"/>
      <c r="F5254" t="s">
        <v>26</v>
      </c>
      <c r="G5254" s="28">
        <f>IFERROR(VLOOKUP(F5254,CARTON_LOOKUP!$A:$E,3,0),"")</f>
      </c>
      <c r="H5254" s="28">
        <f>IFERROR(VLOOKUP(F5254,CARTON_LOOKUP!$A:$E,4,0),"")</f>
      </c>
      <c r="I5254" s="28">
        <f>IFERROR(VLOOKUP(F5254,CARTON_LOOKUP!$A:$E,5,0),"")</f>
      </c>
      <c r="J5254" s="29">
        <f>IFERROR(VLOOKUP(F5254,CARTON_LOOKUP!$A:$E,2,0),"")</f>
      </c>
      <c r="K5254" s="29">
        <f>IFERROR(J5254*D5254,0)</f>
      </c>
      <c r="L5254" s="29">
        <f>IFERROR(E5254*C5254,0)</f>
      </c>
      <c r="M5254" s="29">
        <f>IFERROR((G5254*H5254*I5254/1000000)*D5254,0)</f>
      </c>
    </row>
    <row r="5255" spans="1:13" x14ac:dyDescent="0.25">
      <c r="A5255" s="16"/>
      <c r="E5255" s="27"/>
      <c r="F5255" t="s">
        <v>26</v>
      </c>
      <c r="G5255" s="28">
        <f>IFERROR(VLOOKUP(F5255,CARTON_LOOKUP!$A:$E,3,0),"")</f>
      </c>
      <c r="H5255" s="28">
        <f>IFERROR(VLOOKUP(F5255,CARTON_LOOKUP!$A:$E,4,0),"")</f>
      </c>
      <c r="I5255" s="28">
        <f>IFERROR(VLOOKUP(F5255,CARTON_LOOKUP!$A:$E,5,0),"")</f>
      </c>
      <c r="J5255" s="29">
        <f>IFERROR(VLOOKUP(F5255,CARTON_LOOKUP!$A:$E,2,0),"")</f>
      </c>
      <c r="K5255" s="29">
        <f>IFERROR(J5255*D5255,0)</f>
      </c>
      <c r="L5255" s="29">
        <f>IFERROR(E5255*C5255,0)</f>
      </c>
      <c r="M5255" s="29">
        <f>IFERROR((G5255*H5255*I5255/1000000)*D5255,0)</f>
      </c>
    </row>
    <row r="5256" spans="1:13" x14ac:dyDescent="0.25">
      <c r="A5256" s="16"/>
      <c r="E5256" s="27"/>
      <c r="F5256" t="s">
        <v>26</v>
      </c>
      <c r="G5256" s="28">
        <f>IFERROR(VLOOKUP(F5256,CARTON_LOOKUP!$A:$E,3,0),"")</f>
      </c>
      <c r="H5256" s="28">
        <f>IFERROR(VLOOKUP(F5256,CARTON_LOOKUP!$A:$E,4,0),"")</f>
      </c>
      <c r="I5256" s="28">
        <f>IFERROR(VLOOKUP(F5256,CARTON_LOOKUP!$A:$E,5,0),"")</f>
      </c>
      <c r="J5256" s="29">
        <f>IFERROR(VLOOKUP(F5256,CARTON_LOOKUP!$A:$E,2,0),"")</f>
      </c>
      <c r="K5256" s="29">
        <f>IFERROR(J5256*D5256,0)</f>
      </c>
      <c r="L5256" s="29">
        <f>IFERROR(E5256*C5256,0)</f>
      </c>
      <c r="M5256" s="29">
        <f>IFERROR((G5256*H5256*I5256/1000000)*D5256,0)</f>
      </c>
    </row>
    <row r="5257" spans="1:13" x14ac:dyDescent="0.25">
      <c r="A5257" s="16"/>
      <c r="E5257" s="27"/>
      <c r="F5257" t="s">
        <v>26</v>
      </c>
      <c r="G5257" s="28">
        <f>IFERROR(VLOOKUP(F5257,CARTON_LOOKUP!$A:$E,3,0),"")</f>
      </c>
      <c r="H5257" s="28">
        <f>IFERROR(VLOOKUP(F5257,CARTON_LOOKUP!$A:$E,4,0),"")</f>
      </c>
      <c r="I5257" s="28">
        <f>IFERROR(VLOOKUP(F5257,CARTON_LOOKUP!$A:$E,5,0),"")</f>
      </c>
      <c r="J5257" s="29">
        <f>IFERROR(VLOOKUP(F5257,CARTON_LOOKUP!$A:$E,2,0),"")</f>
      </c>
      <c r="K5257" s="29">
        <f>IFERROR(J5257*D5257,0)</f>
      </c>
      <c r="L5257" s="29">
        <f>IFERROR(E5257*C5257,0)</f>
      </c>
      <c r="M5257" s="29">
        <f>IFERROR((G5257*H5257*I5257/1000000)*D5257,0)</f>
      </c>
    </row>
    <row r="5258" spans="1:13" x14ac:dyDescent="0.25">
      <c r="A5258" s="16"/>
      <c r="E5258" s="27"/>
      <c r="F5258" t="s">
        <v>26</v>
      </c>
      <c r="G5258" s="28">
        <f>IFERROR(VLOOKUP(F5258,CARTON_LOOKUP!$A:$E,3,0),"")</f>
      </c>
      <c r="H5258" s="28">
        <f>IFERROR(VLOOKUP(F5258,CARTON_LOOKUP!$A:$E,4,0),"")</f>
      </c>
      <c r="I5258" s="28">
        <f>IFERROR(VLOOKUP(F5258,CARTON_LOOKUP!$A:$E,5,0),"")</f>
      </c>
      <c r="J5258" s="29">
        <f>IFERROR(VLOOKUP(F5258,CARTON_LOOKUP!$A:$E,2,0),"")</f>
      </c>
      <c r="K5258" s="29">
        <f>IFERROR(J5258*D5258,0)</f>
      </c>
      <c r="L5258" s="29">
        <f>IFERROR(E5258*C5258,0)</f>
      </c>
      <c r="M5258" s="29">
        <f>IFERROR((G5258*H5258*I5258/1000000)*D5258,0)</f>
      </c>
    </row>
    <row r="5259" spans="1:13" x14ac:dyDescent="0.25">
      <c r="A5259" s="16"/>
      <c r="E5259" s="27"/>
      <c r="F5259" t="s">
        <v>26</v>
      </c>
      <c r="G5259" s="28">
        <f>IFERROR(VLOOKUP(F5259,CARTON_LOOKUP!$A:$E,3,0),"")</f>
      </c>
      <c r="H5259" s="28">
        <f>IFERROR(VLOOKUP(F5259,CARTON_LOOKUP!$A:$E,4,0),"")</f>
      </c>
      <c r="I5259" s="28">
        <f>IFERROR(VLOOKUP(F5259,CARTON_LOOKUP!$A:$E,5,0),"")</f>
      </c>
      <c r="J5259" s="29">
        <f>IFERROR(VLOOKUP(F5259,CARTON_LOOKUP!$A:$E,2,0),"")</f>
      </c>
      <c r="K5259" s="29">
        <f>IFERROR(J5259*D5259,0)</f>
      </c>
      <c r="L5259" s="29">
        <f>IFERROR(E5259*C5259,0)</f>
      </c>
      <c r="M5259" s="29">
        <f>IFERROR((G5259*H5259*I5259/1000000)*D5259,0)</f>
      </c>
    </row>
    <row r="5260" spans="1:13" x14ac:dyDescent="0.25">
      <c r="A5260" s="16"/>
      <c r="E5260" s="27"/>
      <c r="F5260" t="s">
        <v>26</v>
      </c>
      <c r="G5260" s="28">
        <f>IFERROR(VLOOKUP(F5260,CARTON_LOOKUP!$A:$E,3,0),"")</f>
      </c>
      <c r="H5260" s="28">
        <f>IFERROR(VLOOKUP(F5260,CARTON_LOOKUP!$A:$E,4,0),"")</f>
      </c>
      <c r="I5260" s="28">
        <f>IFERROR(VLOOKUP(F5260,CARTON_LOOKUP!$A:$E,5,0),"")</f>
      </c>
      <c r="J5260" s="29">
        <f>IFERROR(VLOOKUP(F5260,CARTON_LOOKUP!$A:$E,2,0),"")</f>
      </c>
      <c r="K5260" s="29">
        <f>IFERROR(J5260*D5260,0)</f>
      </c>
      <c r="L5260" s="29">
        <f>IFERROR(E5260*C5260,0)</f>
      </c>
      <c r="M5260" s="29">
        <f>IFERROR((G5260*H5260*I5260/1000000)*D5260,0)</f>
      </c>
    </row>
    <row r="5261" spans="1:13" x14ac:dyDescent="0.25">
      <c r="A5261" s="16"/>
      <c r="E5261" s="27"/>
      <c r="F5261" t="s">
        <v>26</v>
      </c>
      <c r="G5261" s="28">
        <f>IFERROR(VLOOKUP(F5261,CARTON_LOOKUP!$A:$E,3,0),"")</f>
      </c>
      <c r="H5261" s="28">
        <f>IFERROR(VLOOKUP(F5261,CARTON_LOOKUP!$A:$E,4,0),"")</f>
      </c>
      <c r="I5261" s="28">
        <f>IFERROR(VLOOKUP(F5261,CARTON_LOOKUP!$A:$E,5,0),"")</f>
      </c>
      <c r="J5261" s="29">
        <f>IFERROR(VLOOKUP(F5261,CARTON_LOOKUP!$A:$E,2,0),"")</f>
      </c>
      <c r="K5261" s="29">
        <f>IFERROR(J5261*D5261,0)</f>
      </c>
      <c r="L5261" s="29">
        <f>IFERROR(E5261*C5261,0)</f>
      </c>
      <c r="M5261" s="29">
        <f>IFERROR((G5261*H5261*I5261/1000000)*D5261,0)</f>
      </c>
    </row>
    <row r="5262" spans="1:13" x14ac:dyDescent="0.25">
      <c r="A5262" s="16"/>
      <c r="E5262" s="27"/>
      <c r="F5262" t="s">
        <v>26</v>
      </c>
      <c r="G5262" s="28">
        <f>IFERROR(VLOOKUP(F5262,CARTON_LOOKUP!$A:$E,3,0),"")</f>
      </c>
      <c r="H5262" s="28">
        <f>IFERROR(VLOOKUP(F5262,CARTON_LOOKUP!$A:$E,4,0),"")</f>
      </c>
      <c r="I5262" s="28">
        <f>IFERROR(VLOOKUP(F5262,CARTON_LOOKUP!$A:$E,5,0),"")</f>
      </c>
      <c r="J5262" s="29">
        <f>IFERROR(VLOOKUP(F5262,CARTON_LOOKUP!$A:$E,2,0),"")</f>
      </c>
      <c r="K5262" s="29">
        <f>IFERROR(J5262*D5262,0)</f>
      </c>
      <c r="L5262" s="29">
        <f>IFERROR(E5262*C5262,0)</f>
      </c>
      <c r="M5262" s="29">
        <f>IFERROR((G5262*H5262*I5262/1000000)*D5262,0)</f>
      </c>
    </row>
    <row r="5263" spans="1:13" x14ac:dyDescent="0.25">
      <c r="A5263" s="16"/>
      <c r="E5263" s="27"/>
      <c r="F5263" t="s">
        <v>26</v>
      </c>
      <c r="G5263" s="28">
        <f>IFERROR(VLOOKUP(F5263,CARTON_LOOKUP!$A:$E,3,0),"")</f>
      </c>
      <c r="H5263" s="28">
        <f>IFERROR(VLOOKUP(F5263,CARTON_LOOKUP!$A:$E,4,0),"")</f>
      </c>
      <c r="I5263" s="28">
        <f>IFERROR(VLOOKUP(F5263,CARTON_LOOKUP!$A:$E,5,0),"")</f>
      </c>
      <c r="J5263" s="29">
        <f>IFERROR(VLOOKUP(F5263,CARTON_LOOKUP!$A:$E,2,0),"")</f>
      </c>
      <c r="K5263" s="29">
        <f>IFERROR(J5263*D5263,0)</f>
      </c>
      <c r="L5263" s="29">
        <f>IFERROR(E5263*C5263,0)</f>
      </c>
      <c r="M5263" s="29">
        <f>IFERROR((G5263*H5263*I5263/1000000)*D5263,0)</f>
      </c>
    </row>
    <row r="5264" spans="1:13" x14ac:dyDescent="0.25">
      <c r="A5264" s="16"/>
      <c r="E5264" s="27"/>
      <c r="F5264" t="s">
        <v>26</v>
      </c>
      <c r="G5264" s="28">
        <f>IFERROR(VLOOKUP(F5264,CARTON_LOOKUP!$A:$E,3,0),"")</f>
      </c>
      <c r="H5264" s="28">
        <f>IFERROR(VLOOKUP(F5264,CARTON_LOOKUP!$A:$E,4,0),"")</f>
      </c>
      <c r="I5264" s="28">
        <f>IFERROR(VLOOKUP(F5264,CARTON_LOOKUP!$A:$E,5,0),"")</f>
      </c>
      <c r="J5264" s="29">
        <f>IFERROR(VLOOKUP(F5264,CARTON_LOOKUP!$A:$E,2,0),"")</f>
      </c>
      <c r="K5264" s="29">
        <f>IFERROR(J5264*D5264,0)</f>
      </c>
      <c r="L5264" s="29">
        <f>IFERROR(E5264*C5264,0)</f>
      </c>
      <c r="M5264" s="29">
        <f>IFERROR((G5264*H5264*I5264/1000000)*D5264,0)</f>
      </c>
    </row>
    <row r="5265" spans="1:13" x14ac:dyDescent="0.25">
      <c r="A5265" s="16"/>
      <c r="E5265" s="27"/>
      <c r="F5265" t="s">
        <v>26</v>
      </c>
      <c r="G5265" s="28">
        <f>IFERROR(VLOOKUP(F5265,CARTON_LOOKUP!$A:$E,3,0),"")</f>
      </c>
      <c r="H5265" s="28">
        <f>IFERROR(VLOOKUP(F5265,CARTON_LOOKUP!$A:$E,4,0),"")</f>
      </c>
      <c r="I5265" s="28">
        <f>IFERROR(VLOOKUP(F5265,CARTON_LOOKUP!$A:$E,5,0),"")</f>
      </c>
      <c r="J5265" s="29">
        <f>IFERROR(VLOOKUP(F5265,CARTON_LOOKUP!$A:$E,2,0),"")</f>
      </c>
      <c r="K5265" s="29">
        <f>IFERROR(J5265*D5265,0)</f>
      </c>
      <c r="L5265" s="29">
        <f>IFERROR(E5265*C5265,0)</f>
      </c>
      <c r="M5265" s="29">
        <f>IFERROR((G5265*H5265*I5265/1000000)*D5265,0)</f>
      </c>
    </row>
    <row r="5266" spans="1:13" x14ac:dyDescent="0.25">
      <c r="A5266" s="16"/>
      <c r="E5266" s="27"/>
      <c r="F5266" t="s">
        <v>26</v>
      </c>
      <c r="G5266" s="28">
        <f>IFERROR(VLOOKUP(F5266,CARTON_LOOKUP!$A:$E,3,0),"")</f>
      </c>
      <c r="H5266" s="28">
        <f>IFERROR(VLOOKUP(F5266,CARTON_LOOKUP!$A:$E,4,0),"")</f>
      </c>
      <c r="I5266" s="28">
        <f>IFERROR(VLOOKUP(F5266,CARTON_LOOKUP!$A:$E,5,0),"")</f>
      </c>
      <c r="J5266" s="29">
        <f>IFERROR(VLOOKUP(F5266,CARTON_LOOKUP!$A:$E,2,0),"")</f>
      </c>
      <c r="K5266" s="29">
        <f>IFERROR(J5266*D5266,0)</f>
      </c>
      <c r="L5266" s="29">
        <f>IFERROR(E5266*C5266,0)</f>
      </c>
      <c r="M5266" s="29">
        <f>IFERROR((G5266*H5266*I5266/1000000)*D5266,0)</f>
      </c>
    </row>
    <row r="5267" spans="1:13" x14ac:dyDescent="0.25">
      <c r="A5267" s="16"/>
      <c r="E5267" s="27"/>
      <c r="F5267" t="s">
        <v>26</v>
      </c>
      <c r="G5267" s="28">
        <f>IFERROR(VLOOKUP(F5267,CARTON_LOOKUP!$A:$E,3,0),"")</f>
      </c>
      <c r="H5267" s="28">
        <f>IFERROR(VLOOKUP(F5267,CARTON_LOOKUP!$A:$E,4,0),"")</f>
      </c>
      <c r="I5267" s="28">
        <f>IFERROR(VLOOKUP(F5267,CARTON_LOOKUP!$A:$E,5,0),"")</f>
      </c>
      <c r="J5267" s="29">
        <f>IFERROR(VLOOKUP(F5267,CARTON_LOOKUP!$A:$E,2,0),"")</f>
      </c>
      <c r="K5267" s="29">
        <f>IFERROR(J5267*D5267,0)</f>
      </c>
      <c r="L5267" s="29">
        <f>IFERROR(E5267*C5267,0)</f>
      </c>
      <c r="M5267" s="29">
        <f>IFERROR((G5267*H5267*I5267/1000000)*D5267,0)</f>
      </c>
    </row>
    <row r="5268" spans="1:13" x14ac:dyDescent="0.25">
      <c r="A5268" s="16"/>
      <c r="E5268" s="27"/>
      <c r="F5268" t="s">
        <v>26</v>
      </c>
      <c r="G5268" s="28">
        <f>IFERROR(VLOOKUP(F5268,CARTON_LOOKUP!$A:$E,3,0),"")</f>
      </c>
      <c r="H5268" s="28">
        <f>IFERROR(VLOOKUP(F5268,CARTON_LOOKUP!$A:$E,4,0),"")</f>
      </c>
      <c r="I5268" s="28">
        <f>IFERROR(VLOOKUP(F5268,CARTON_LOOKUP!$A:$E,5,0),"")</f>
      </c>
      <c r="J5268" s="29">
        <f>IFERROR(VLOOKUP(F5268,CARTON_LOOKUP!$A:$E,2,0),"")</f>
      </c>
      <c r="K5268" s="29">
        <f>IFERROR(J5268*D5268,0)</f>
      </c>
      <c r="L5268" s="29">
        <f>IFERROR(E5268*C5268,0)</f>
      </c>
      <c r="M5268" s="29">
        <f>IFERROR((G5268*H5268*I5268/1000000)*D5268,0)</f>
      </c>
    </row>
    <row r="5269" spans="1:13" x14ac:dyDescent="0.25">
      <c r="A5269" s="16"/>
      <c r="E5269" s="27"/>
      <c r="F5269" t="s">
        <v>26</v>
      </c>
      <c r="G5269" s="28">
        <f>IFERROR(VLOOKUP(F5269,CARTON_LOOKUP!$A:$E,3,0),"")</f>
      </c>
      <c r="H5269" s="28">
        <f>IFERROR(VLOOKUP(F5269,CARTON_LOOKUP!$A:$E,4,0),"")</f>
      </c>
      <c r="I5269" s="28">
        <f>IFERROR(VLOOKUP(F5269,CARTON_LOOKUP!$A:$E,5,0),"")</f>
      </c>
      <c r="J5269" s="29">
        <f>IFERROR(VLOOKUP(F5269,CARTON_LOOKUP!$A:$E,2,0),"")</f>
      </c>
      <c r="K5269" s="29">
        <f>IFERROR(J5269*D5269,0)</f>
      </c>
      <c r="L5269" s="29">
        <f>IFERROR(E5269*C5269,0)</f>
      </c>
      <c r="M5269" s="29">
        <f>IFERROR((G5269*H5269*I5269/1000000)*D5269,0)</f>
      </c>
    </row>
    <row r="5270" spans="1:13" x14ac:dyDescent="0.25">
      <c r="A5270" s="16"/>
      <c r="E5270" s="27"/>
      <c r="F5270" t="s">
        <v>26</v>
      </c>
      <c r="G5270" s="28">
        <f>IFERROR(VLOOKUP(F5270,CARTON_LOOKUP!$A:$E,3,0),"")</f>
      </c>
      <c r="H5270" s="28">
        <f>IFERROR(VLOOKUP(F5270,CARTON_LOOKUP!$A:$E,4,0),"")</f>
      </c>
      <c r="I5270" s="28">
        <f>IFERROR(VLOOKUP(F5270,CARTON_LOOKUP!$A:$E,5,0),"")</f>
      </c>
      <c r="J5270" s="29">
        <f>IFERROR(VLOOKUP(F5270,CARTON_LOOKUP!$A:$E,2,0),"")</f>
      </c>
      <c r="K5270" s="29">
        <f>IFERROR(J5270*D5270,0)</f>
      </c>
      <c r="L5270" s="29">
        <f>IFERROR(E5270*C5270,0)</f>
      </c>
      <c r="M5270" s="29">
        <f>IFERROR((G5270*H5270*I5270/1000000)*D5270,0)</f>
      </c>
    </row>
    <row r="5271" spans="1:13" x14ac:dyDescent="0.25">
      <c r="A5271" s="16"/>
      <c r="E5271" s="27"/>
      <c r="F5271" t="s">
        <v>26</v>
      </c>
      <c r="G5271" s="28">
        <f>IFERROR(VLOOKUP(F5271,CARTON_LOOKUP!$A:$E,3,0),"")</f>
      </c>
      <c r="H5271" s="28">
        <f>IFERROR(VLOOKUP(F5271,CARTON_LOOKUP!$A:$E,4,0),"")</f>
      </c>
      <c r="I5271" s="28">
        <f>IFERROR(VLOOKUP(F5271,CARTON_LOOKUP!$A:$E,5,0),"")</f>
      </c>
      <c r="J5271" s="29">
        <f>IFERROR(VLOOKUP(F5271,CARTON_LOOKUP!$A:$E,2,0),"")</f>
      </c>
      <c r="K5271" s="29">
        <f>IFERROR(J5271*D5271,0)</f>
      </c>
      <c r="L5271" s="29">
        <f>IFERROR(E5271*C5271,0)</f>
      </c>
      <c r="M5271" s="29">
        <f>IFERROR((G5271*H5271*I5271/1000000)*D5271,0)</f>
      </c>
    </row>
    <row r="5272" spans="1:13" x14ac:dyDescent="0.25">
      <c r="A5272" s="16"/>
      <c r="E5272" s="27"/>
      <c r="F5272" t="s">
        <v>26</v>
      </c>
      <c r="G5272" s="28">
        <f>IFERROR(VLOOKUP(F5272,CARTON_LOOKUP!$A:$E,3,0),"")</f>
      </c>
      <c r="H5272" s="28">
        <f>IFERROR(VLOOKUP(F5272,CARTON_LOOKUP!$A:$E,4,0),"")</f>
      </c>
      <c r="I5272" s="28">
        <f>IFERROR(VLOOKUP(F5272,CARTON_LOOKUP!$A:$E,5,0),"")</f>
      </c>
      <c r="J5272" s="29">
        <f>IFERROR(VLOOKUP(F5272,CARTON_LOOKUP!$A:$E,2,0),"")</f>
      </c>
      <c r="K5272" s="29">
        <f>IFERROR(J5272*D5272,0)</f>
      </c>
      <c r="L5272" s="29">
        <f>IFERROR(E5272*C5272,0)</f>
      </c>
      <c r="M5272" s="29">
        <f>IFERROR((G5272*H5272*I5272/1000000)*D5272,0)</f>
      </c>
    </row>
    <row r="5273" spans="1:13" x14ac:dyDescent="0.25">
      <c r="A5273" s="16"/>
      <c r="E5273" s="27"/>
      <c r="F5273" t="s">
        <v>26</v>
      </c>
      <c r="G5273" s="28">
        <f>IFERROR(VLOOKUP(F5273,CARTON_LOOKUP!$A:$E,3,0),"")</f>
      </c>
      <c r="H5273" s="28">
        <f>IFERROR(VLOOKUP(F5273,CARTON_LOOKUP!$A:$E,4,0),"")</f>
      </c>
      <c r="I5273" s="28">
        <f>IFERROR(VLOOKUP(F5273,CARTON_LOOKUP!$A:$E,5,0),"")</f>
      </c>
      <c r="J5273" s="29">
        <f>IFERROR(VLOOKUP(F5273,CARTON_LOOKUP!$A:$E,2,0),"")</f>
      </c>
      <c r="K5273" s="29">
        <f>IFERROR(J5273*D5273,0)</f>
      </c>
      <c r="L5273" s="29">
        <f>IFERROR(E5273*C5273,0)</f>
      </c>
      <c r="M5273" s="29">
        <f>IFERROR((G5273*H5273*I5273/1000000)*D5273,0)</f>
      </c>
    </row>
    <row r="5274" spans="1:13" x14ac:dyDescent="0.25">
      <c r="A5274" s="16"/>
      <c r="E5274" s="27"/>
      <c r="F5274" t="s">
        <v>26</v>
      </c>
      <c r="G5274" s="28">
        <f>IFERROR(VLOOKUP(F5274,CARTON_LOOKUP!$A:$E,3,0),"")</f>
      </c>
      <c r="H5274" s="28">
        <f>IFERROR(VLOOKUP(F5274,CARTON_LOOKUP!$A:$E,4,0),"")</f>
      </c>
      <c r="I5274" s="28">
        <f>IFERROR(VLOOKUP(F5274,CARTON_LOOKUP!$A:$E,5,0),"")</f>
      </c>
      <c r="J5274" s="29">
        <f>IFERROR(VLOOKUP(F5274,CARTON_LOOKUP!$A:$E,2,0),"")</f>
      </c>
      <c r="K5274" s="29">
        <f>IFERROR(J5274*D5274,0)</f>
      </c>
      <c r="L5274" s="29">
        <f>IFERROR(E5274*C5274,0)</f>
      </c>
      <c r="M5274" s="29">
        <f>IFERROR((G5274*H5274*I5274/1000000)*D5274,0)</f>
      </c>
    </row>
    <row r="5275" spans="1:13" x14ac:dyDescent="0.25">
      <c r="A5275" s="16"/>
      <c r="E5275" s="27"/>
      <c r="F5275" t="s">
        <v>26</v>
      </c>
      <c r="G5275" s="28">
        <f>IFERROR(VLOOKUP(F5275,CARTON_LOOKUP!$A:$E,3,0),"")</f>
      </c>
      <c r="H5275" s="28">
        <f>IFERROR(VLOOKUP(F5275,CARTON_LOOKUP!$A:$E,4,0),"")</f>
      </c>
      <c r="I5275" s="28">
        <f>IFERROR(VLOOKUP(F5275,CARTON_LOOKUP!$A:$E,5,0),"")</f>
      </c>
      <c r="J5275" s="29">
        <f>IFERROR(VLOOKUP(F5275,CARTON_LOOKUP!$A:$E,2,0),"")</f>
      </c>
      <c r="K5275" s="29">
        <f>IFERROR(J5275*D5275,0)</f>
      </c>
      <c r="L5275" s="29">
        <f>IFERROR(E5275*C5275,0)</f>
      </c>
      <c r="M5275" s="29">
        <f>IFERROR((G5275*H5275*I5275/1000000)*D5275,0)</f>
      </c>
    </row>
    <row r="5276" spans="1:13" x14ac:dyDescent="0.25">
      <c r="A5276" s="16"/>
      <c r="E5276" s="27"/>
      <c r="F5276" t="s">
        <v>26</v>
      </c>
      <c r="G5276" s="28">
        <f>IFERROR(VLOOKUP(F5276,CARTON_LOOKUP!$A:$E,3,0),"")</f>
      </c>
      <c r="H5276" s="28">
        <f>IFERROR(VLOOKUP(F5276,CARTON_LOOKUP!$A:$E,4,0),"")</f>
      </c>
      <c r="I5276" s="28">
        <f>IFERROR(VLOOKUP(F5276,CARTON_LOOKUP!$A:$E,5,0),"")</f>
      </c>
      <c r="J5276" s="29">
        <f>IFERROR(VLOOKUP(F5276,CARTON_LOOKUP!$A:$E,2,0),"")</f>
      </c>
      <c r="K5276" s="29">
        <f>IFERROR(J5276*D5276,0)</f>
      </c>
      <c r="L5276" s="29">
        <f>IFERROR(E5276*C5276,0)</f>
      </c>
      <c r="M5276" s="29">
        <f>IFERROR((G5276*H5276*I5276/1000000)*D5276,0)</f>
      </c>
    </row>
    <row r="5277" spans="1:13" x14ac:dyDescent="0.25">
      <c r="A5277" s="16"/>
      <c r="E5277" s="27"/>
      <c r="F5277" t="s">
        <v>26</v>
      </c>
      <c r="G5277" s="28">
        <f>IFERROR(VLOOKUP(F5277,CARTON_LOOKUP!$A:$E,3,0),"")</f>
      </c>
      <c r="H5277" s="28">
        <f>IFERROR(VLOOKUP(F5277,CARTON_LOOKUP!$A:$E,4,0),"")</f>
      </c>
      <c r="I5277" s="28">
        <f>IFERROR(VLOOKUP(F5277,CARTON_LOOKUP!$A:$E,5,0),"")</f>
      </c>
      <c r="J5277" s="29">
        <f>IFERROR(VLOOKUP(F5277,CARTON_LOOKUP!$A:$E,2,0),"")</f>
      </c>
      <c r="K5277" s="29">
        <f>IFERROR(J5277*D5277,0)</f>
      </c>
      <c r="L5277" s="29">
        <f>IFERROR(E5277*C5277,0)</f>
      </c>
      <c r="M5277" s="29">
        <f>IFERROR((G5277*H5277*I5277/1000000)*D5277,0)</f>
      </c>
    </row>
    <row r="5278" spans="1:13" x14ac:dyDescent="0.25">
      <c r="A5278" s="16"/>
      <c r="E5278" s="27"/>
      <c r="F5278" t="s">
        <v>26</v>
      </c>
      <c r="G5278" s="28">
        <f>IFERROR(VLOOKUP(F5278,CARTON_LOOKUP!$A:$E,3,0),"")</f>
      </c>
      <c r="H5278" s="28">
        <f>IFERROR(VLOOKUP(F5278,CARTON_LOOKUP!$A:$E,4,0),"")</f>
      </c>
      <c r="I5278" s="28">
        <f>IFERROR(VLOOKUP(F5278,CARTON_LOOKUP!$A:$E,5,0),"")</f>
      </c>
      <c r="J5278" s="29">
        <f>IFERROR(VLOOKUP(F5278,CARTON_LOOKUP!$A:$E,2,0),"")</f>
      </c>
      <c r="K5278" s="29">
        <f>IFERROR(J5278*D5278,0)</f>
      </c>
      <c r="L5278" s="29">
        <f>IFERROR(E5278*C5278,0)</f>
      </c>
      <c r="M5278" s="29">
        <f>IFERROR((G5278*H5278*I5278/1000000)*D5278,0)</f>
      </c>
    </row>
    <row r="5279" spans="1:13" x14ac:dyDescent="0.25">
      <c r="A5279" s="16"/>
      <c r="E5279" s="27"/>
      <c r="F5279" t="s">
        <v>26</v>
      </c>
      <c r="G5279" s="28">
        <f>IFERROR(VLOOKUP(F5279,CARTON_LOOKUP!$A:$E,3,0),"")</f>
      </c>
      <c r="H5279" s="28">
        <f>IFERROR(VLOOKUP(F5279,CARTON_LOOKUP!$A:$E,4,0),"")</f>
      </c>
      <c r="I5279" s="28">
        <f>IFERROR(VLOOKUP(F5279,CARTON_LOOKUP!$A:$E,5,0),"")</f>
      </c>
      <c r="J5279" s="29">
        <f>IFERROR(VLOOKUP(F5279,CARTON_LOOKUP!$A:$E,2,0),"")</f>
      </c>
      <c r="K5279" s="29">
        <f>IFERROR(J5279*D5279,0)</f>
      </c>
      <c r="L5279" s="29">
        <f>IFERROR(E5279*C5279,0)</f>
      </c>
      <c r="M5279" s="29">
        <f>IFERROR((G5279*H5279*I5279/1000000)*D5279,0)</f>
      </c>
    </row>
    <row r="5280" spans="1:13" x14ac:dyDescent="0.25">
      <c r="A5280" s="16"/>
      <c r="E5280" s="27"/>
      <c r="F5280" t="s">
        <v>26</v>
      </c>
      <c r="G5280" s="28">
        <f>IFERROR(VLOOKUP(F5280,CARTON_LOOKUP!$A:$E,3,0),"")</f>
      </c>
      <c r="H5280" s="28">
        <f>IFERROR(VLOOKUP(F5280,CARTON_LOOKUP!$A:$E,4,0),"")</f>
      </c>
      <c r="I5280" s="28">
        <f>IFERROR(VLOOKUP(F5280,CARTON_LOOKUP!$A:$E,5,0),"")</f>
      </c>
      <c r="J5280" s="29">
        <f>IFERROR(VLOOKUP(F5280,CARTON_LOOKUP!$A:$E,2,0),"")</f>
      </c>
      <c r="K5280" s="29">
        <f>IFERROR(J5280*D5280,0)</f>
      </c>
      <c r="L5280" s="29">
        <f>IFERROR(E5280*C5280,0)</f>
      </c>
      <c r="M5280" s="29">
        <f>IFERROR((G5280*H5280*I5280/1000000)*D5280,0)</f>
      </c>
    </row>
    <row r="5281" spans="1:13" x14ac:dyDescent="0.25">
      <c r="A5281" s="16"/>
      <c r="E5281" s="27"/>
      <c r="F5281" t="s">
        <v>26</v>
      </c>
      <c r="G5281" s="28">
        <f>IFERROR(VLOOKUP(F5281,CARTON_LOOKUP!$A:$E,3,0),"")</f>
      </c>
      <c r="H5281" s="28">
        <f>IFERROR(VLOOKUP(F5281,CARTON_LOOKUP!$A:$E,4,0),"")</f>
      </c>
      <c r="I5281" s="28">
        <f>IFERROR(VLOOKUP(F5281,CARTON_LOOKUP!$A:$E,5,0),"")</f>
      </c>
      <c r="J5281" s="29">
        <f>IFERROR(VLOOKUP(F5281,CARTON_LOOKUP!$A:$E,2,0),"")</f>
      </c>
      <c r="K5281" s="29">
        <f>IFERROR(J5281*D5281,0)</f>
      </c>
      <c r="L5281" s="29">
        <f>IFERROR(E5281*C5281,0)</f>
      </c>
      <c r="M5281" s="29">
        <f>IFERROR((G5281*H5281*I5281/1000000)*D5281,0)</f>
      </c>
    </row>
    <row r="5282" spans="1:13" x14ac:dyDescent="0.25">
      <c r="A5282" s="16"/>
      <c r="E5282" s="27"/>
      <c r="F5282" t="s">
        <v>26</v>
      </c>
      <c r="G5282" s="28">
        <f>IFERROR(VLOOKUP(F5282,CARTON_LOOKUP!$A:$E,3,0),"")</f>
      </c>
      <c r="H5282" s="28">
        <f>IFERROR(VLOOKUP(F5282,CARTON_LOOKUP!$A:$E,4,0),"")</f>
      </c>
      <c r="I5282" s="28">
        <f>IFERROR(VLOOKUP(F5282,CARTON_LOOKUP!$A:$E,5,0),"")</f>
      </c>
      <c r="J5282" s="29">
        <f>IFERROR(VLOOKUP(F5282,CARTON_LOOKUP!$A:$E,2,0),"")</f>
      </c>
      <c r="K5282" s="29">
        <f>IFERROR(J5282*D5282,0)</f>
      </c>
      <c r="L5282" s="29">
        <f>IFERROR(E5282*C5282,0)</f>
      </c>
      <c r="M5282" s="29">
        <f>IFERROR((G5282*H5282*I5282/1000000)*D5282,0)</f>
      </c>
    </row>
    <row r="5283" spans="1:13" x14ac:dyDescent="0.25">
      <c r="A5283" s="16"/>
      <c r="E5283" s="27"/>
      <c r="F5283" t="s">
        <v>26</v>
      </c>
      <c r="G5283" s="28">
        <f>IFERROR(VLOOKUP(F5283,CARTON_LOOKUP!$A:$E,3,0),"")</f>
      </c>
      <c r="H5283" s="28">
        <f>IFERROR(VLOOKUP(F5283,CARTON_LOOKUP!$A:$E,4,0),"")</f>
      </c>
      <c r="I5283" s="28">
        <f>IFERROR(VLOOKUP(F5283,CARTON_LOOKUP!$A:$E,5,0),"")</f>
      </c>
      <c r="J5283" s="29">
        <f>IFERROR(VLOOKUP(F5283,CARTON_LOOKUP!$A:$E,2,0),"")</f>
      </c>
      <c r="K5283" s="29">
        <f>IFERROR(J5283*D5283,0)</f>
      </c>
      <c r="L5283" s="29">
        <f>IFERROR(E5283*C5283,0)</f>
      </c>
      <c r="M5283" s="29">
        <f>IFERROR((G5283*H5283*I5283/1000000)*D5283,0)</f>
      </c>
    </row>
    <row r="5284" spans="1:13" x14ac:dyDescent="0.25">
      <c r="A5284" s="16"/>
      <c r="E5284" s="27"/>
      <c r="F5284" t="s">
        <v>26</v>
      </c>
      <c r="G5284" s="28">
        <f>IFERROR(VLOOKUP(F5284,CARTON_LOOKUP!$A:$E,3,0),"")</f>
      </c>
      <c r="H5284" s="28">
        <f>IFERROR(VLOOKUP(F5284,CARTON_LOOKUP!$A:$E,4,0),"")</f>
      </c>
      <c r="I5284" s="28">
        <f>IFERROR(VLOOKUP(F5284,CARTON_LOOKUP!$A:$E,5,0),"")</f>
      </c>
      <c r="J5284" s="29">
        <f>IFERROR(VLOOKUP(F5284,CARTON_LOOKUP!$A:$E,2,0),"")</f>
      </c>
      <c r="K5284" s="29">
        <f>IFERROR(J5284*D5284,0)</f>
      </c>
      <c r="L5284" s="29">
        <f>IFERROR(E5284*C5284,0)</f>
      </c>
      <c r="M5284" s="29">
        <f>IFERROR((G5284*H5284*I5284/1000000)*D5284,0)</f>
      </c>
    </row>
    <row r="5285" spans="1:13" x14ac:dyDescent="0.25">
      <c r="A5285" s="16"/>
      <c r="E5285" s="27"/>
      <c r="F5285" t="s">
        <v>26</v>
      </c>
      <c r="G5285" s="28">
        <f>IFERROR(VLOOKUP(F5285,CARTON_LOOKUP!$A:$E,3,0),"")</f>
      </c>
      <c r="H5285" s="28">
        <f>IFERROR(VLOOKUP(F5285,CARTON_LOOKUP!$A:$E,4,0),"")</f>
      </c>
      <c r="I5285" s="28">
        <f>IFERROR(VLOOKUP(F5285,CARTON_LOOKUP!$A:$E,5,0),"")</f>
      </c>
      <c r="J5285" s="29">
        <f>IFERROR(VLOOKUP(F5285,CARTON_LOOKUP!$A:$E,2,0),"")</f>
      </c>
      <c r="K5285" s="29">
        <f>IFERROR(J5285*D5285,0)</f>
      </c>
      <c r="L5285" s="29">
        <f>IFERROR(E5285*C5285,0)</f>
      </c>
      <c r="M5285" s="29">
        <f>IFERROR((G5285*H5285*I5285/1000000)*D5285,0)</f>
      </c>
    </row>
    <row r="5286" spans="1:13" x14ac:dyDescent="0.25">
      <c r="A5286" s="16"/>
      <c r="E5286" s="27"/>
      <c r="F5286" t="s">
        <v>26</v>
      </c>
      <c r="G5286" s="28">
        <f>IFERROR(VLOOKUP(F5286,CARTON_LOOKUP!$A:$E,3,0),"")</f>
      </c>
      <c r="H5286" s="28">
        <f>IFERROR(VLOOKUP(F5286,CARTON_LOOKUP!$A:$E,4,0),"")</f>
      </c>
      <c r="I5286" s="28">
        <f>IFERROR(VLOOKUP(F5286,CARTON_LOOKUP!$A:$E,5,0),"")</f>
      </c>
      <c r="J5286" s="29">
        <f>IFERROR(VLOOKUP(F5286,CARTON_LOOKUP!$A:$E,2,0),"")</f>
      </c>
      <c r="K5286" s="29">
        <f>IFERROR(J5286*D5286,0)</f>
      </c>
      <c r="L5286" s="29">
        <f>IFERROR(E5286*C5286,0)</f>
      </c>
      <c r="M5286" s="29">
        <f>IFERROR((G5286*H5286*I5286/1000000)*D5286,0)</f>
      </c>
    </row>
    <row r="5287" spans="1:13" x14ac:dyDescent="0.25">
      <c r="A5287" s="16"/>
      <c r="E5287" s="27"/>
      <c r="F5287" t="s">
        <v>26</v>
      </c>
      <c r="G5287" s="28">
        <f>IFERROR(VLOOKUP(F5287,CARTON_LOOKUP!$A:$E,3,0),"")</f>
      </c>
      <c r="H5287" s="28">
        <f>IFERROR(VLOOKUP(F5287,CARTON_LOOKUP!$A:$E,4,0),"")</f>
      </c>
      <c r="I5287" s="28">
        <f>IFERROR(VLOOKUP(F5287,CARTON_LOOKUP!$A:$E,5,0),"")</f>
      </c>
      <c r="J5287" s="29">
        <f>IFERROR(VLOOKUP(F5287,CARTON_LOOKUP!$A:$E,2,0),"")</f>
      </c>
      <c r="K5287" s="29">
        <f>IFERROR(J5287*D5287,0)</f>
      </c>
      <c r="L5287" s="29">
        <f>IFERROR(E5287*C5287,0)</f>
      </c>
      <c r="M5287" s="29">
        <f>IFERROR((G5287*H5287*I5287/1000000)*D5287,0)</f>
      </c>
    </row>
    <row r="5288" spans="1:13" x14ac:dyDescent="0.25">
      <c r="A5288" s="16"/>
      <c r="E5288" s="27"/>
      <c r="F5288" t="s">
        <v>26</v>
      </c>
      <c r="G5288" s="28">
        <f>IFERROR(VLOOKUP(F5288,CARTON_LOOKUP!$A:$E,3,0),"")</f>
      </c>
      <c r="H5288" s="28">
        <f>IFERROR(VLOOKUP(F5288,CARTON_LOOKUP!$A:$E,4,0),"")</f>
      </c>
      <c r="I5288" s="28">
        <f>IFERROR(VLOOKUP(F5288,CARTON_LOOKUP!$A:$E,5,0),"")</f>
      </c>
      <c r="J5288" s="29">
        <f>IFERROR(VLOOKUP(F5288,CARTON_LOOKUP!$A:$E,2,0),"")</f>
      </c>
      <c r="K5288" s="29">
        <f>IFERROR(J5288*D5288,0)</f>
      </c>
      <c r="L5288" s="29">
        <f>IFERROR(E5288*C5288,0)</f>
      </c>
      <c r="M5288" s="29">
        <f>IFERROR((G5288*H5288*I5288/1000000)*D5288,0)</f>
      </c>
    </row>
    <row r="5289" spans="1:13" x14ac:dyDescent="0.25">
      <c r="A5289" s="16"/>
      <c r="E5289" s="27"/>
      <c r="F5289" t="s">
        <v>26</v>
      </c>
      <c r="G5289" s="28">
        <f>IFERROR(VLOOKUP(F5289,CARTON_LOOKUP!$A:$E,3,0),"")</f>
      </c>
      <c r="H5289" s="28">
        <f>IFERROR(VLOOKUP(F5289,CARTON_LOOKUP!$A:$E,4,0),"")</f>
      </c>
      <c r="I5289" s="28">
        <f>IFERROR(VLOOKUP(F5289,CARTON_LOOKUP!$A:$E,5,0),"")</f>
      </c>
      <c r="J5289" s="29">
        <f>IFERROR(VLOOKUP(F5289,CARTON_LOOKUP!$A:$E,2,0),"")</f>
      </c>
      <c r="K5289" s="29">
        <f>IFERROR(J5289*D5289,0)</f>
      </c>
      <c r="L5289" s="29">
        <f>IFERROR(E5289*C5289,0)</f>
      </c>
      <c r="M5289" s="29">
        <f>IFERROR((G5289*H5289*I5289/1000000)*D5289,0)</f>
      </c>
    </row>
    <row r="5290" spans="1:13" x14ac:dyDescent="0.25">
      <c r="A5290" s="16"/>
      <c r="E5290" s="27"/>
      <c r="F5290" t="s">
        <v>26</v>
      </c>
      <c r="G5290" s="28">
        <f>IFERROR(VLOOKUP(F5290,CARTON_LOOKUP!$A:$E,3,0),"")</f>
      </c>
      <c r="H5290" s="28">
        <f>IFERROR(VLOOKUP(F5290,CARTON_LOOKUP!$A:$E,4,0),"")</f>
      </c>
      <c r="I5290" s="28">
        <f>IFERROR(VLOOKUP(F5290,CARTON_LOOKUP!$A:$E,5,0),"")</f>
      </c>
      <c r="J5290" s="29">
        <f>IFERROR(VLOOKUP(F5290,CARTON_LOOKUP!$A:$E,2,0),"")</f>
      </c>
      <c r="K5290" s="29">
        <f>IFERROR(J5290*D5290,0)</f>
      </c>
      <c r="L5290" s="29">
        <f>IFERROR(E5290*C5290,0)</f>
      </c>
      <c r="M5290" s="29">
        <f>IFERROR((G5290*H5290*I5290/1000000)*D5290,0)</f>
      </c>
    </row>
    <row r="5291" spans="1:13" x14ac:dyDescent="0.25">
      <c r="A5291" s="16"/>
      <c r="E5291" s="27"/>
      <c r="F5291" t="s">
        <v>26</v>
      </c>
      <c r="G5291" s="28">
        <f>IFERROR(VLOOKUP(F5291,CARTON_LOOKUP!$A:$E,3,0),"")</f>
      </c>
      <c r="H5291" s="28">
        <f>IFERROR(VLOOKUP(F5291,CARTON_LOOKUP!$A:$E,4,0),"")</f>
      </c>
      <c r="I5291" s="28">
        <f>IFERROR(VLOOKUP(F5291,CARTON_LOOKUP!$A:$E,5,0),"")</f>
      </c>
      <c r="J5291" s="29">
        <f>IFERROR(VLOOKUP(F5291,CARTON_LOOKUP!$A:$E,2,0),"")</f>
      </c>
      <c r="K5291" s="29">
        <f>IFERROR(J5291*D5291,0)</f>
      </c>
      <c r="L5291" s="29">
        <f>IFERROR(E5291*C5291,0)</f>
      </c>
      <c r="M5291" s="29">
        <f>IFERROR((G5291*H5291*I5291/1000000)*D5291,0)</f>
      </c>
    </row>
    <row r="5292" spans="1:13" x14ac:dyDescent="0.25">
      <c r="A5292" s="16"/>
      <c r="E5292" s="27"/>
      <c r="F5292" t="s">
        <v>26</v>
      </c>
      <c r="G5292" s="28">
        <f>IFERROR(VLOOKUP(F5292,CARTON_LOOKUP!$A:$E,3,0),"")</f>
      </c>
      <c r="H5292" s="28">
        <f>IFERROR(VLOOKUP(F5292,CARTON_LOOKUP!$A:$E,4,0),"")</f>
      </c>
      <c r="I5292" s="28">
        <f>IFERROR(VLOOKUP(F5292,CARTON_LOOKUP!$A:$E,5,0),"")</f>
      </c>
      <c r="J5292" s="29">
        <f>IFERROR(VLOOKUP(F5292,CARTON_LOOKUP!$A:$E,2,0),"")</f>
      </c>
      <c r="K5292" s="29">
        <f>IFERROR(J5292*D5292,0)</f>
      </c>
      <c r="L5292" s="29">
        <f>IFERROR(E5292*C5292,0)</f>
      </c>
      <c r="M5292" s="29">
        <f>IFERROR((G5292*H5292*I5292/1000000)*D5292,0)</f>
      </c>
    </row>
    <row r="5293" spans="1:13" x14ac:dyDescent="0.25">
      <c r="A5293" s="16"/>
      <c r="E5293" s="27"/>
      <c r="F5293" t="s">
        <v>26</v>
      </c>
      <c r="G5293" s="28">
        <f>IFERROR(VLOOKUP(F5293,CARTON_LOOKUP!$A:$E,3,0),"")</f>
      </c>
      <c r="H5293" s="28">
        <f>IFERROR(VLOOKUP(F5293,CARTON_LOOKUP!$A:$E,4,0),"")</f>
      </c>
      <c r="I5293" s="28">
        <f>IFERROR(VLOOKUP(F5293,CARTON_LOOKUP!$A:$E,5,0),"")</f>
      </c>
      <c r="J5293" s="29">
        <f>IFERROR(VLOOKUP(F5293,CARTON_LOOKUP!$A:$E,2,0),"")</f>
      </c>
      <c r="K5293" s="29">
        <f>IFERROR(J5293*D5293,0)</f>
      </c>
      <c r="L5293" s="29">
        <f>IFERROR(E5293*C5293,0)</f>
      </c>
      <c r="M5293" s="29">
        <f>IFERROR((G5293*H5293*I5293/1000000)*D5293,0)</f>
      </c>
    </row>
    <row r="5294" spans="1:13" x14ac:dyDescent="0.25">
      <c r="A5294" s="16"/>
      <c r="E5294" s="27"/>
      <c r="F5294" t="s">
        <v>26</v>
      </c>
      <c r="G5294" s="28">
        <f>IFERROR(VLOOKUP(F5294,CARTON_LOOKUP!$A:$E,3,0),"")</f>
      </c>
      <c r="H5294" s="28">
        <f>IFERROR(VLOOKUP(F5294,CARTON_LOOKUP!$A:$E,4,0),"")</f>
      </c>
      <c r="I5294" s="28">
        <f>IFERROR(VLOOKUP(F5294,CARTON_LOOKUP!$A:$E,5,0),"")</f>
      </c>
      <c r="J5294" s="29">
        <f>IFERROR(VLOOKUP(F5294,CARTON_LOOKUP!$A:$E,2,0),"")</f>
      </c>
      <c r="K5294" s="29">
        <f>IFERROR(J5294*D5294,0)</f>
      </c>
      <c r="L5294" s="29">
        <f>IFERROR(E5294*C5294,0)</f>
      </c>
      <c r="M5294" s="29">
        <f>IFERROR((G5294*H5294*I5294/1000000)*D5294,0)</f>
      </c>
    </row>
    <row r="5295" spans="1:13" x14ac:dyDescent="0.25">
      <c r="A5295" s="16"/>
      <c r="E5295" s="27"/>
      <c r="F5295" t="s">
        <v>26</v>
      </c>
      <c r="G5295" s="28">
        <f>IFERROR(VLOOKUP(F5295,CARTON_LOOKUP!$A:$E,3,0),"")</f>
      </c>
      <c r="H5295" s="28">
        <f>IFERROR(VLOOKUP(F5295,CARTON_LOOKUP!$A:$E,4,0),"")</f>
      </c>
      <c r="I5295" s="28">
        <f>IFERROR(VLOOKUP(F5295,CARTON_LOOKUP!$A:$E,5,0),"")</f>
      </c>
      <c r="J5295" s="29">
        <f>IFERROR(VLOOKUP(F5295,CARTON_LOOKUP!$A:$E,2,0),"")</f>
      </c>
      <c r="K5295" s="29">
        <f>IFERROR(J5295*D5295,0)</f>
      </c>
      <c r="L5295" s="29">
        <f>IFERROR(E5295*C5295,0)</f>
      </c>
      <c r="M5295" s="29">
        <f>IFERROR((G5295*H5295*I5295/1000000)*D5295,0)</f>
      </c>
    </row>
    <row r="5296" spans="1:13" x14ac:dyDescent="0.25">
      <c r="A5296" s="16"/>
      <c r="E5296" s="27"/>
      <c r="F5296" t="s">
        <v>26</v>
      </c>
      <c r="G5296" s="28">
        <f>IFERROR(VLOOKUP(F5296,CARTON_LOOKUP!$A:$E,3,0),"")</f>
      </c>
      <c r="H5296" s="28">
        <f>IFERROR(VLOOKUP(F5296,CARTON_LOOKUP!$A:$E,4,0),"")</f>
      </c>
      <c r="I5296" s="28">
        <f>IFERROR(VLOOKUP(F5296,CARTON_LOOKUP!$A:$E,5,0),"")</f>
      </c>
      <c r="J5296" s="29">
        <f>IFERROR(VLOOKUP(F5296,CARTON_LOOKUP!$A:$E,2,0),"")</f>
      </c>
      <c r="K5296" s="29">
        <f>IFERROR(J5296*D5296,0)</f>
      </c>
      <c r="L5296" s="29">
        <f>IFERROR(E5296*C5296,0)</f>
      </c>
      <c r="M5296" s="29">
        <f>IFERROR((G5296*H5296*I5296/1000000)*D5296,0)</f>
      </c>
    </row>
    <row r="5297" spans="1:13" x14ac:dyDescent="0.25">
      <c r="A5297" s="16"/>
      <c r="E5297" s="27"/>
      <c r="F5297" t="s">
        <v>26</v>
      </c>
      <c r="G5297" s="28">
        <f>IFERROR(VLOOKUP(F5297,CARTON_LOOKUP!$A:$E,3,0),"")</f>
      </c>
      <c r="H5297" s="28">
        <f>IFERROR(VLOOKUP(F5297,CARTON_LOOKUP!$A:$E,4,0),"")</f>
      </c>
      <c r="I5297" s="28">
        <f>IFERROR(VLOOKUP(F5297,CARTON_LOOKUP!$A:$E,5,0),"")</f>
      </c>
      <c r="J5297" s="29">
        <f>IFERROR(VLOOKUP(F5297,CARTON_LOOKUP!$A:$E,2,0),"")</f>
      </c>
      <c r="K5297" s="29">
        <f>IFERROR(J5297*D5297,0)</f>
      </c>
      <c r="L5297" s="29">
        <f>IFERROR(E5297*C5297,0)</f>
      </c>
      <c r="M5297" s="29">
        <f>IFERROR((G5297*H5297*I5297/1000000)*D5297,0)</f>
      </c>
    </row>
    <row r="5298" spans="1:13" x14ac:dyDescent="0.25">
      <c r="A5298" s="16"/>
      <c r="E5298" s="27"/>
      <c r="F5298" t="s">
        <v>26</v>
      </c>
      <c r="G5298" s="28">
        <f>IFERROR(VLOOKUP(F5298,CARTON_LOOKUP!$A:$E,3,0),"")</f>
      </c>
      <c r="H5298" s="28">
        <f>IFERROR(VLOOKUP(F5298,CARTON_LOOKUP!$A:$E,4,0),"")</f>
      </c>
      <c r="I5298" s="28">
        <f>IFERROR(VLOOKUP(F5298,CARTON_LOOKUP!$A:$E,5,0),"")</f>
      </c>
      <c r="J5298" s="29">
        <f>IFERROR(VLOOKUP(F5298,CARTON_LOOKUP!$A:$E,2,0),"")</f>
      </c>
      <c r="K5298" s="29">
        <f>IFERROR(J5298*D5298,0)</f>
      </c>
      <c r="L5298" s="29">
        <f>IFERROR(E5298*C5298,0)</f>
      </c>
      <c r="M5298" s="29">
        <f>IFERROR((G5298*H5298*I5298/1000000)*D5298,0)</f>
      </c>
    </row>
    <row r="5299" spans="1:13" x14ac:dyDescent="0.25">
      <c r="A5299" s="16"/>
      <c r="E5299" s="27"/>
      <c r="F5299" t="s">
        <v>26</v>
      </c>
      <c r="G5299" s="28">
        <f>IFERROR(VLOOKUP(F5299,CARTON_LOOKUP!$A:$E,3,0),"")</f>
      </c>
      <c r="H5299" s="28">
        <f>IFERROR(VLOOKUP(F5299,CARTON_LOOKUP!$A:$E,4,0),"")</f>
      </c>
      <c r="I5299" s="28">
        <f>IFERROR(VLOOKUP(F5299,CARTON_LOOKUP!$A:$E,5,0),"")</f>
      </c>
      <c r="J5299" s="29">
        <f>IFERROR(VLOOKUP(F5299,CARTON_LOOKUP!$A:$E,2,0),"")</f>
      </c>
      <c r="K5299" s="29">
        <f>IFERROR(J5299*D5299,0)</f>
      </c>
      <c r="L5299" s="29">
        <f>IFERROR(E5299*C5299,0)</f>
      </c>
      <c r="M5299" s="29">
        <f>IFERROR((G5299*H5299*I5299/1000000)*D5299,0)</f>
      </c>
    </row>
    <row r="5300" spans="1:13" x14ac:dyDescent="0.25">
      <c r="A5300" s="16"/>
      <c r="E5300" s="27"/>
      <c r="F5300" t="s">
        <v>26</v>
      </c>
      <c r="G5300" s="28">
        <f>IFERROR(VLOOKUP(F5300,CARTON_LOOKUP!$A:$E,3,0),"")</f>
      </c>
      <c r="H5300" s="28">
        <f>IFERROR(VLOOKUP(F5300,CARTON_LOOKUP!$A:$E,4,0),"")</f>
      </c>
      <c r="I5300" s="28">
        <f>IFERROR(VLOOKUP(F5300,CARTON_LOOKUP!$A:$E,5,0),"")</f>
      </c>
      <c r="J5300" s="29">
        <f>IFERROR(VLOOKUP(F5300,CARTON_LOOKUP!$A:$E,2,0),"")</f>
      </c>
      <c r="K5300" s="29">
        <f>IFERROR(J5300*D5300,0)</f>
      </c>
      <c r="L5300" s="29">
        <f>IFERROR(E5300*C5300,0)</f>
      </c>
      <c r="M5300" s="29">
        <f>IFERROR((G5300*H5300*I5300/1000000)*D5300,0)</f>
      </c>
    </row>
    <row r="5301" spans="1:13" x14ac:dyDescent="0.25">
      <c r="A5301" s="16"/>
      <c r="E5301" s="27"/>
      <c r="F5301" t="s">
        <v>26</v>
      </c>
      <c r="G5301" s="28">
        <f>IFERROR(VLOOKUP(F5301,CARTON_LOOKUP!$A:$E,3,0),"")</f>
      </c>
      <c r="H5301" s="28">
        <f>IFERROR(VLOOKUP(F5301,CARTON_LOOKUP!$A:$E,4,0),"")</f>
      </c>
      <c r="I5301" s="28">
        <f>IFERROR(VLOOKUP(F5301,CARTON_LOOKUP!$A:$E,5,0),"")</f>
      </c>
      <c r="J5301" s="29">
        <f>IFERROR(VLOOKUP(F5301,CARTON_LOOKUP!$A:$E,2,0),"")</f>
      </c>
      <c r="K5301" s="29">
        <f>IFERROR(J5301*D5301,0)</f>
      </c>
      <c r="L5301" s="29">
        <f>IFERROR(E5301*C5301,0)</f>
      </c>
      <c r="M5301" s="29">
        <f>IFERROR((G5301*H5301*I5301/1000000)*D5301,0)</f>
      </c>
    </row>
    <row r="5302" spans="1:13" x14ac:dyDescent="0.25">
      <c r="A5302" s="16"/>
      <c r="E5302" s="27"/>
      <c r="F5302" t="s">
        <v>26</v>
      </c>
      <c r="G5302" s="28">
        <f>IFERROR(VLOOKUP(F5302,CARTON_LOOKUP!$A:$E,3,0),"")</f>
      </c>
      <c r="H5302" s="28">
        <f>IFERROR(VLOOKUP(F5302,CARTON_LOOKUP!$A:$E,4,0),"")</f>
      </c>
      <c r="I5302" s="28">
        <f>IFERROR(VLOOKUP(F5302,CARTON_LOOKUP!$A:$E,5,0),"")</f>
      </c>
      <c r="J5302" s="29">
        <f>IFERROR(VLOOKUP(F5302,CARTON_LOOKUP!$A:$E,2,0),"")</f>
      </c>
      <c r="K5302" s="29">
        <f>IFERROR(J5302*D5302,0)</f>
      </c>
      <c r="L5302" s="29">
        <f>IFERROR(E5302*C5302,0)</f>
      </c>
      <c r="M5302" s="29">
        <f>IFERROR((G5302*H5302*I5302/1000000)*D5302,0)</f>
      </c>
    </row>
    <row r="5303" spans="1:13" x14ac:dyDescent="0.25">
      <c r="A5303" s="16"/>
      <c r="E5303" s="27"/>
      <c r="F5303" t="s">
        <v>26</v>
      </c>
      <c r="G5303" s="28">
        <f>IFERROR(VLOOKUP(F5303,CARTON_LOOKUP!$A:$E,3,0),"")</f>
      </c>
      <c r="H5303" s="28">
        <f>IFERROR(VLOOKUP(F5303,CARTON_LOOKUP!$A:$E,4,0),"")</f>
      </c>
      <c r="I5303" s="28">
        <f>IFERROR(VLOOKUP(F5303,CARTON_LOOKUP!$A:$E,5,0),"")</f>
      </c>
      <c r="J5303" s="29">
        <f>IFERROR(VLOOKUP(F5303,CARTON_LOOKUP!$A:$E,2,0),"")</f>
      </c>
      <c r="K5303" s="29">
        <f>IFERROR(J5303*D5303,0)</f>
      </c>
      <c r="L5303" s="29">
        <f>IFERROR(E5303*C5303,0)</f>
      </c>
      <c r="M5303" s="29">
        <f>IFERROR((G5303*H5303*I5303/1000000)*D5303,0)</f>
      </c>
    </row>
    <row r="5304" spans="1:13" x14ac:dyDescent="0.25">
      <c r="A5304" s="16"/>
      <c r="E5304" s="27"/>
      <c r="F5304" t="s">
        <v>26</v>
      </c>
      <c r="G5304" s="28">
        <f>IFERROR(VLOOKUP(F5304,CARTON_LOOKUP!$A:$E,3,0),"")</f>
      </c>
      <c r="H5304" s="28">
        <f>IFERROR(VLOOKUP(F5304,CARTON_LOOKUP!$A:$E,4,0),"")</f>
      </c>
      <c r="I5304" s="28">
        <f>IFERROR(VLOOKUP(F5304,CARTON_LOOKUP!$A:$E,5,0),"")</f>
      </c>
      <c r="J5304" s="29">
        <f>IFERROR(VLOOKUP(F5304,CARTON_LOOKUP!$A:$E,2,0),"")</f>
      </c>
      <c r="K5304" s="29">
        <f>IFERROR(J5304*D5304,0)</f>
      </c>
      <c r="L5304" s="29">
        <f>IFERROR(E5304*C5304,0)</f>
      </c>
      <c r="M5304" s="29">
        <f>IFERROR((G5304*H5304*I5304/1000000)*D5304,0)</f>
      </c>
    </row>
    <row r="5305" spans="1:13" x14ac:dyDescent="0.25">
      <c r="A5305" s="16"/>
      <c r="E5305" s="27"/>
      <c r="F5305" t="s">
        <v>26</v>
      </c>
      <c r="G5305" s="28">
        <f>IFERROR(VLOOKUP(F5305,CARTON_LOOKUP!$A:$E,3,0),"")</f>
      </c>
      <c r="H5305" s="28">
        <f>IFERROR(VLOOKUP(F5305,CARTON_LOOKUP!$A:$E,4,0),"")</f>
      </c>
      <c r="I5305" s="28">
        <f>IFERROR(VLOOKUP(F5305,CARTON_LOOKUP!$A:$E,5,0),"")</f>
      </c>
      <c r="J5305" s="29">
        <f>IFERROR(VLOOKUP(F5305,CARTON_LOOKUP!$A:$E,2,0),"")</f>
      </c>
      <c r="K5305" s="29">
        <f>IFERROR(J5305*D5305,0)</f>
      </c>
      <c r="L5305" s="29">
        <f>IFERROR(E5305*C5305,0)</f>
      </c>
      <c r="M5305" s="29">
        <f>IFERROR((G5305*H5305*I5305/1000000)*D5305,0)</f>
      </c>
    </row>
    <row r="5306" spans="1:13" x14ac:dyDescent="0.25">
      <c r="A5306" s="16"/>
      <c r="E5306" s="27"/>
      <c r="F5306" t="s">
        <v>26</v>
      </c>
      <c r="G5306" s="28">
        <f>IFERROR(VLOOKUP(F5306,CARTON_LOOKUP!$A:$E,3,0),"")</f>
      </c>
      <c r="H5306" s="28">
        <f>IFERROR(VLOOKUP(F5306,CARTON_LOOKUP!$A:$E,4,0),"")</f>
      </c>
      <c r="I5306" s="28">
        <f>IFERROR(VLOOKUP(F5306,CARTON_LOOKUP!$A:$E,5,0),"")</f>
      </c>
      <c r="J5306" s="29">
        <f>IFERROR(VLOOKUP(F5306,CARTON_LOOKUP!$A:$E,2,0),"")</f>
      </c>
      <c r="K5306" s="29">
        <f>IFERROR(J5306*D5306,0)</f>
      </c>
      <c r="L5306" s="29">
        <f>IFERROR(E5306*C5306,0)</f>
      </c>
      <c r="M5306" s="29">
        <f>IFERROR((G5306*H5306*I5306/1000000)*D5306,0)</f>
      </c>
    </row>
    <row r="5307" spans="1:13" x14ac:dyDescent="0.25">
      <c r="A5307" s="16"/>
      <c r="E5307" s="27"/>
      <c r="F5307" t="s">
        <v>26</v>
      </c>
      <c r="G5307" s="28">
        <f>IFERROR(VLOOKUP(F5307,CARTON_LOOKUP!$A:$E,3,0),"")</f>
      </c>
      <c r="H5307" s="28">
        <f>IFERROR(VLOOKUP(F5307,CARTON_LOOKUP!$A:$E,4,0),"")</f>
      </c>
      <c r="I5307" s="28">
        <f>IFERROR(VLOOKUP(F5307,CARTON_LOOKUP!$A:$E,5,0),"")</f>
      </c>
      <c r="J5307" s="29">
        <f>IFERROR(VLOOKUP(F5307,CARTON_LOOKUP!$A:$E,2,0),"")</f>
      </c>
      <c r="K5307" s="29">
        <f>IFERROR(J5307*D5307,0)</f>
      </c>
      <c r="L5307" s="29">
        <f>IFERROR(E5307*C5307,0)</f>
      </c>
      <c r="M5307" s="29">
        <f>IFERROR((G5307*H5307*I5307/1000000)*D5307,0)</f>
      </c>
    </row>
    <row r="5308" spans="1:13" x14ac:dyDescent="0.25">
      <c r="A5308" s="16"/>
      <c r="E5308" s="27"/>
      <c r="F5308" t="s">
        <v>26</v>
      </c>
      <c r="G5308" s="28">
        <f>IFERROR(VLOOKUP(F5308,CARTON_LOOKUP!$A:$E,3,0),"")</f>
      </c>
      <c r="H5308" s="28">
        <f>IFERROR(VLOOKUP(F5308,CARTON_LOOKUP!$A:$E,4,0),"")</f>
      </c>
      <c r="I5308" s="28">
        <f>IFERROR(VLOOKUP(F5308,CARTON_LOOKUP!$A:$E,5,0),"")</f>
      </c>
      <c r="J5308" s="29">
        <f>IFERROR(VLOOKUP(F5308,CARTON_LOOKUP!$A:$E,2,0),"")</f>
      </c>
      <c r="K5308" s="29">
        <f>IFERROR(J5308*D5308,0)</f>
      </c>
      <c r="L5308" s="29">
        <f>IFERROR(E5308*C5308,0)</f>
      </c>
      <c r="M5308" s="29">
        <f>IFERROR((G5308*H5308*I5308/1000000)*D5308,0)</f>
      </c>
    </row>
    <row r="5309" spans="1:13" x14ac:dyDescent="0.25">
      <c r="A5309" s="16"/>
      <c r="E5309" s="27"/>
      <c r="F5309" t="s">
        <v>26</v>
      </c>
      <c r="G5309" s="28">
        <f>IFERROR(VLOOKUP(F5309,CARTON_LOOKUP!$A:$E,3,0),"")</f>
      </c>
      <c r="H5309" s="28">
        <f>IFERROR(VLOOKUP(F5309,CARTON_LOOKUP!$A:$E,4,0),"")</f>
      </c>
      <c r="I5309" s="28">
        <f>IFERROR(VLOOKUP(F5309,CARTON_LOOKUP!$A:$E,5,0),"")</f>
      </c>
      <c r="J5309" s="29">
        <f>IFERROR(VLOOKUP(F5309,CARTON_LOOKUP!$A:$E,2,0),"")</f>
      </c>
      <c r="K5309" s="29">
        <f>IFERROR(J5309*D5309,0)</f>
      </c>
      <c r="L5309" s="29">
        <f>IFERROR(E5309*C5309,0)</f>
      </c>
      <c r="M5309" s="29">
        <f>IFERROR((G5309*H5309*I5309/1000000)*D5309,0)</f>
      </c>
    </row>
    <row r="5310" spans="1:13" x14ac:dyDescent="0.25">
      <c r="A5310" s="16"/>
      <c r="E5310" s="27"/>
      <c r="F5310" t="s">
        <v>26</v>
      </c>
      <c r="G5310" s="28">
        <f>IFERROR(VLOOKUP(F5310,CARTON_LOOKUP!$A:$E,3,0),"")</f>
      </c>
      <c r="H5310" s="28">
        <f>IFERROR(VLOOKUP(F5310,CARTON_LOOKUP!$A:$E,4,0),"")</f>
      </c>
      <c r="I5310" s="28">
        <f>IFERROR(VLOOKUP(F5310,CARTON_LOOKUP!$A:$E,5,0),"")</f>
      </c>
      <c r="J5310" s="29">
        <f>IFERROR(VLOOKUP(F5310,CARTON_LOOKUP!$A:$E,2,0),"")</f>
      </c>
      <c r="K5310" s="29">
        <f>IFERROR(J5310*D5310,0)</f>
      </c>
      <c r="L5310" s="29">
        <f>IFERROR(E5310*C5310,0)</f>
      </c>
      <c r="M5310" s="29">
        <f>IFERROR((G5310*H5310*I5310/1000000)*D5310,0)</f>
      </c>
    </row>
    <row r="5311" spans="1:13" x14ac:dyDescent="0.25">
      <c r="A5311" s="16"/>
      <c r="E5311" s="27"/>
      <c r="F5311" t="s">
        <v>26</v>
      </c>
      <c r="G5311" s="28">
        <f>IFERROR(VLOOKUP(F5311,CARTON_LOOKUP!$A:$E,3,0),"")</f>
      </c>
      <c r="H5311" s="28">
        <f>IFERROR(VLOOKUP(F5311,CARTON_LOOKUP!$A:$E,4,0),"")</f>
      </c>
      <c r="I5311" s="28">
        <f>IFERROR(VLOOKUP(F5311,CARTON_LOOKUP!$A:$E,5,0),"")</f>
      </c>
      <c r="J5311" s="29">
        <f>IFERROR(VLOOKUP(F5311,CARTON_LOOKUP!$A:$E,2,0),"")</f>
      </c>
      <c r="K5311" s="29">
        <f>IFERROR(J5311*D5311,0)</f>
      </c>
      <c r="L5311" s="29">
        <f>IFERROR(E5311*C5311,0)</f>
      </c>
      <c r="M5311" s="29">
        <f>IFERROR((G5311*H5311*I5311/1000000)*D5311,0)</f>
      </c>
    </row>
    <row r="5312" spans="1:13" x14ac:dyDescent="0.25">
      <c r="A5312" s="16"/>
      <c r="E5312" s="27"/>
      <c r="F5312" t="s">
        <v>26</v>
      </c>
      <c r="G5312" s="28">
        <f>IFERROR(VLOOKUP(F5312,CARTON_LOOKUP!$A:$E,3,0),"")</f>
      </c>
      <c r="H5312" s="28">
        <f>IFERROR(VLOOKUP(F5312,CARTON_LOOKUP!$A:$E,4,0),"")</f>
      </c>
      <c r="I5312" s="28">
        <f>IFERROR(VLOOKUP(F5312,CARTON_LOOKUP!$A:$E,5,0),"")</f>
      </c>
      <c r="J5312" s="29">
        <f>IFERROR(VLOOKUP(F5312,CARTON_LOOKUP!$A:$E,2,0),"")</f>
      </c>
      <c r="K5312" s="29">
        <f>IFERROR(J5312*D5312,0)</f>
      </c>
      <c r="L5312" s="29">
        <f>IFERROR(E5312*C5312,0)</f>
      </c>
      <c r="M5312" s="29">
        <f>IFERROR((G5312*H5312*I5312/1000000)*D5312,0)</f>
      </c>
    </row>
    <row r="5313" spans="1:13" x14ac:dyDescent="0.25">
      <c r="A5313" s="16"/>
      <c r="E5313" s="27"/>
      <c r="F5313" t="s">
        <v>26</v>
      </c>
      <c r="G5313" s="28">
        <f>IFERROR(VLOOKUP(F5313,CARTON_LOOKUP!$A:$E,3,0),"")</f>
      </c>
      <c r="H5313" s="28">
        <f>IFERROR(VLOOKUP(F5313,CARTON_LOOKUP!$A:$E,4,0),"")</f>
      </c>
      <c r="I5313" s="28">
        <f>IFERROR(VLOOKUP(F5313,CARTON_LOOKUP!$A:$E,5,0),"")</f>
      </c>
      <c r="J5313" s="29">
        <f>IFERROR(VLOOKUP(F5313,CARTON_LOOKUP!$A:$E,2,0),"")</f>
      </c>
      <c r="K5313" s="29">
        <f>IFERROR(J5313*D5313,0)</f>
      </c>
      <c r="L5313" s="29">
        <f>IFERROR(E5313*C5313,0)</f>
      </c>
      <c r="M5313" s="29">
        <f>IFERROR((G5313*H5313*I5313/1000000)*D5313,0)</f>
      </c>
    </row>
    <row r="5314" spans="1:13" x14ac:dyDescent="0.25">
      <c r="A5314" s="16"/>
      <c r="E5314" s="27"/>
      <c r="F5314" t="s">
        <v>26</v>
      </c>
      <c r="G5314" s="28">
        <f>IFERROR(VLOOKUP(F5314,CARTON_LOOKUP!$A:$E,3,0),"")</f>
      </c>
      <c r="H5314" s="28">
        <f>IFERROR(VLOOKUP(F5314,CARTON_LOOKUP!$A:$E,4,0),"")</f>
      </c>
      <c r="I5314" s="28">
        <f>IFERROR(VLOOKUP(F5314,CARTON_LOOKUP!$A:$E,5,0),"")</f>
      </c>
      <c r="J5314" s="29">
        <f>IFERROR(VLOOKUP(F5314,CARTON_LOOKUP!$A:$E,2,0),"")</f>
      </c>
      <c r="K5314" s="29">
        <f>IFERROR(J5314*D5314,0)</f>
      </c>
      <c r="L5314" s="29">
        <f>IFERROR(E5314*C5314,0)</f>
      </c>
      <c r="M5314" s="29">
        <f>IFERROR((G5314*H5314*I5314/1000000)*D5314,0)</f>
      </c>
    </row>
    <row r="5315" spans="1:13" x14ac:dyDescent="0.25">
      <c r="A5315" s="16"/>
      <c r="E5315" s="27"/>
      <c r="F5315" t="s">
        <v>26</v>
      </c>
      <c r="G5315" s="28">
        <f>IFERROR(VLOOKUP(F5315,CARTON_LOOKUP!$A:$E,3,0),"")</f>
      </c>
      <c r="H5315" s="28">
        <f>IFERROR(VLOOKUP(F5315,CARTON_LOOKUP!$A:$E,4,0),"")</f>
      </c>
      <c r="I5315" s="28">
        <f>IFERROR(VLOOKUP(F5315,CARTON_LOOKUP!$A:$E,5,0),"")</f>
      </c>
      <c r="J5315" s="29">
        <f>IFERROR(VLOOKUP(F5315,CARTON_LOOKUP!$A:$E,2,0),"")</f>
      </c>
      <c r="K5315" s="29">
        <f>IFERROR(J5315*D5315,0)</f>
      </c>
      <c r="L5315" s="29">
        <f>IFERROR(E5315*C5315,0)</f>
      </c>
      <c r="M5315" s="29">
        <f>IFERROR((G5315*H5315*I5315/1000000)*D5315,0)</f>
      </c>
    </row>
    <row r="5316" spans="1:13" x14ac:dyDescent="0.25">
      <c r="A5316" s="16"/>
      <c r="E5316" s="27"/>
      <c r="F5316" t="s">
        <v>26</v>
      </c>
      <c r="G5316" s="28">
        <f>IFERROR(VLOOKUP(F5316,CARTON_LOOKUP!$A:$E,3,0),"")</f>
      </c>
      <c r="H5316" s="28">
        <f>IFERROR(VLOOKUP(F5316,CARTON_LOOKUP!$A:$E,4,0),"")</f>
      </c>
      <c r="I5316" s="28">
        <f>IFERROR(VLOOKUP(F5316,CARTON_LOOKUP!$A:$E,5,0),"")</f>
      </c>
      <c r="J5316" s="29">
        <f>IFERROR(VLOOKUP(F5316,CARTON_LOOKUP!$A:$E,2,0),"")</f>
      </c>
      <c r="K5316" s="29">
        <f>IFERROR(J5316*D5316,0)</f>
      </c>
      <c r="L5316" s="29">
        <f>IFERROR(E5316*C5316,0)</f>
      </c>
      <c r="M5316" s="29">
        <f>IFERROR((G5316*H5316*I5316/1000000)*D5316,0)</f>
      </c>
    </row>
    <row r="5317" spans="1:13" x14ac:dyDescent="0.25">
      <c r="A5317" s="16"/>
      <c r="E5317" s="27"/>
      <c r="F5317" t="s">
        <v>26</v>
      </c>
      <c r="G5317" s="28">
        <f>IFERROR(VLOOKUP(F5317,CARTON_LOOKUP!$A:$E,3,0),"")</f>
      </c>
      <c r="H5317" s="28">
        <f>IFERROR(VLOOKUP(F5317,CARTON_LOOKUP!$A:$E,4,0),"")</f>
      </c>
      <c r="I5317" s="28">
        <f>IFERROR(VLOOKUP(F5317,CARTON_LOOKUP!$A:$E,5,0),"")</f>
      </c>
      <c r="J5317" s="29">
        <f>IFERROR(VLOOKUP(F5317,CARTON_LOOKUP!$A:$E,2,0),"")</f>
      </c>
      <c r="K5317" s="29">
        <f>IFERROR(J5317*D5317,0)</f>
      </c>
      <c r="L5317" s="29">
        <f>IFERROR(E5317*C5317,0)</f>
      </c>
      <c r="M5317" s="29">
        <f>IFERROR((G5317*H5317*I5317/1000000)*D5317,0)</f>
      </c>
    </row>
    <row r="5318" spans="1:13" x14ac:dyDescent="0.25">
      <c r="A5318" s="16"/>
      <c r="E5318" s="27"/>
      <c r="F5318" t="s">
        <v>26</v>
      </c>
      <c r="G5318" s="28">
        <f>IFERROR(VLOOKUP(F5318,CARTON_LOOKUP!$A:$E,3,0),"")</f>
      </c>
      <c r="H5318" s="28">
        <f>IFERROR(VLOOKUP(F5318,CARTON_LOOKUP!$A:$E,4,0),"")</f>
      </c>
      <c r="I5318" s="28">
        <f>IFERROR(VLOOKUP(F5318,CARTON_LOOKUP!$A:$E,5,0),"")</f>
      </c>
      <c r="J5318" s="29">
        <f>IFERROR(VLOOKUP(F5318,CARTON_LOOKUP!$A:$E,2,0),"")</f>
      </c>
      <c r="K5318" s="29">
        <f>IFERROR(J5318*D5318,0)</f>
      </c>
      <c r="L5318" s="29">
        <f>IFERROR(E5318*C5318,0)</f>
      </c>
      <c r="M5318" s="29">
        <f>IFERROR((G5318*H5318*I5318/1000000)*D5318,0)</f>
      </c>
    </row>
    <row r="5319" spans="1:13" x14ac:dyDescent="0.25">
      <c r="A5319" s="16"/>
      <c r="E5319" s="27"/>
      <c r="F5319" t="s">
        <v>26</v>
      </c>
      <c r="G5319" s="28">
        <f>IFERROR(VLOOKUP(F5319,CARTON_LOOKUP!$A:$E,3,0),"")</f>
      </c>
      <c r="H5319" s="28">
        <f>IFERROR(VLOOKUP(F5319,CARTON_LOOKUP!$A:$E,4,0),"")</f>
      </c>
      <c r="I5319" s="28">
        <f>IFERROR(VLOOKUP(F5319,CARTON_LOOKUP!$A:$E,5,0),"")</f>
      </c>
      <c r="J5319" s="29">
        <f>IFERROR(VLOOKUP(F5319,CARTON_LOOKUP!$A:$E,2,0),"")</f>
      </c>
      <c r="K5319" s="29">
        <f>IFERROR(J5319*D5319,0)</f>
      </c>
      <c r="L5319" s="29">
        <f>IFERROR(E5319*C5319,0)</f>
      </c>
      <c r="M5319" s="29">
        <f>IFERROR((G5319*H5319*I5319/1000000)*D5319,0)</f>
      </c>
    </row>
    <row r="5320" spans="1:13" x14ac:dyDescent="0.25">
      <c r="A5320" s="16"/>
      <c r="E5320" s="27"/>
      <c r="F5320" t="s">
        <v>26</v>
      </c>
      <c r="G5320" s="28">
        <f>IFERROR(VLOOKUP(F5320,CARTON_LOOKUP!$A:$E,3,0),"")</f>
      </c>
      <c r="H5320" s="28">
        <f>IFERROR(VLOOKUP(F5320,CARTON_LOOKUP!$A:$E,4,0),"")</f>
      </c>
      <c r="I5320" s="28">
        <f>IFERROR(VLOOKUP(F5320,CARTON_LOOKUP!$A:$E,5,0),"")</f>
      </c>
      <c r="J5320" s="29">
        <f>IFERROR(VLOOKUP(F5320,CARTON_LOOKUP!$A:$E,2,0),"")</f>
      </c>
      <c r="K5320" s="29">
        <f>IFERROR(J5320*D5320,0)</f>
      </c>
      <c r="L5320" s="29">
        <f>IFERROR(E5320*C5320,0)</f>
      </c>
      <c r="M5320" s="29">
        <f>IFERROR((G5320*H5320*I5320/1000000)*D5320,0)</f>
      </c>
    </row>
    <row r="5321" spans="1:13" x14ac:dyDescent="0.25">
      <c r="A5321" s="16"/>
      <c r="E5321" s="27"/>
      <c r="F5321" t="s">
        <v>26</v>
      </c>
      <c r="G5321" s="28">
        <f>IFERROR(VLOOKUP(F5321,CARTON_LOOKUP!$A:$E,3,0),"")</f>
      </c>
      <c r="H5321" s="28">
        <f>IFERROR(VLOOKUP(F5321,CARTON_LOOKUP!$A:$E,4,0),"")</f>
      </c>
      <c r="I5321" s="28">
        <f>IFERROR(VLOOKUP(F5321,CARTON_LOOKUP!$A:$E,5,0),"")</f>
      </c>
      <c r="J5321" s="29">
        <f>IFERROR(VLOOKUP(F5321,CARTON_LOOKUP!$A:$E,2,0),"")</f>
      </c>
      <c r="K5321" s="29">
        <f>IFERROR(J5321*D5321,0)</f>
      </c>
      <c r="L5321" s="29">
        <f>IFERROR(E5321*C5321,0)</f>
      </c>
      <c r="M5321" s="29">
        <f>IFERROR((G5321*H5321*I5321/1000000)*D5321,0)</f>
      </c>
    </row>
    <row r="5322" spans="1:13" x14ac:dyDescent="0.25">
      <c r="A5322" s="16"/>
      <c r="E5322" s="27"/>
      <c r="F5322" t="s">
        <v>26</v>
      </c>
      <c r="G5322" s="28">
        <f>IFERROR(VLOOKUP(F5322,CARTON_LOOKUP!$A:$E,3,0),"")</f>
      </c>
      <c r="H5322" s="28">
        <f>IFERROR(VLOOKUP(F5322,CARTON_LOOKUP!$A:$E,4,0),"")</f>
      </c>
      <c r="I5322" s="28">
        <f>IFERROR(VLOOKUP(F5322,CARTON_LOOKUP!$A:$E,5,0),"")</f>
      </c>
      <c r="J5322" s="29">
        <f>IFERROR(VLOOKUP(F5322,CARTON_LOOKUP!$A:$E,2,0),"")</f>
      </c>
      <c r="K5322" s="29">
        <f>IFERROR(J5322*D5322,0)</f>
      </c>
      <c r="L5322" s="29">
        <f>IFERROR(E5322*C5322,0)</f>
      </c>
      <c r="M5322" s="29">
        <f>IFERROR((G5322*H5322*I5322/1000000)*D5322,0)</f>
      </c>
    </row>
    <row r="5323" spans="1:13" x14ac:dyDescent="0.25">
      <c r="A5323" s="16"/>
      <c r="E5323" s="27"/>
      <c r="F5323" t="s">
        <v>26</v>
      </c>
      <c r="G5323" s="28">
        <f>IFERROR(VLOOKUP(F5323,CARTON_LOOKUP!$A:$E,3,0),"")</f>
      </c>
      <c r="H5323" s="28">
        <f>IFERROR(VLOOKUP(F5323,CARTON_LOOKUP!$A:$E,4,0),"")</f>
      </c>
      <c r="I5323" s="28">
        <f>IFERROR(VLOOKUP(F5323,CARTON_LOOKUP!$A:$E,5,0),"")</f>
      </c>
      <c r="J5323" s="29">
        <f>IFERROR(VLOOKUP(F5323,CARTON_LOOKUP!$A:$E,2,0),"")</f>
      </c>
      <c r="K5323" s="29">
        <f>IFERROR(J5323*D5323,0)</f>
      </c>
      <c r="L5323" s="29">
        <f>IFERROR(E5323*C5323,0)</f>
      </c>
      <c r="M5323" s="29">
        <f>IFERROR((G5323*H5323*I5323/1000000)*D5323,0)</f>
      </c>
    </row>
    <row r="5324" spans="1:13" x14ac:dyDescent="0.25">
      <c r="A5324" s="16"/>
      <c r="E5324" s="27"/>
      <c r="F5324" t="s">
        <v>26</v>
      </c>
      <c r="G5324" s="28">
        <f>IFERROR(VLOOKUP(F5324,CARTON_LOOKUP!$A:$E,3,0),"")</f>
      </c>
      <c r="H5324" s="28">
        <f>IFERROR(VLOOKUP(F5324,CARTON_LOOKUP!$A:$E,4,0),"")</f>
      </c>
      <c r="I5324" s="28">
        <f>IFERROR(VLOOKUP(F5324,CARTON_LOOKUP!$A:$E,5,0),"")</f>
      </c>
      <c r="J5324" s="29">
        <f>IFERROR(VLOOKUP(F5324,CARTON_LOOKUP!$A:$E,2,0),"")</f>
      </c>
      <c r="K5324" s="29">
        <f>IFERROR(J5324*D5324,0)</f>
      </c>
      <c r="L5324" s="29">
        <f>IFERROR(E5324*C5324,0)</f>
      </c>
      <c r="M5324" s="29">
        <f>IFERROR((G5324*H5324*I5324/1000000)*D5324,0)</f>
      </c>
    </row>
    <row r="5325" spans="1:13" x14ac:dyDescent="0.25">
      <c r="A5325" s="16"/>
      <c r="E5325" s="27"/>
      <c r="F5325" t="s">
        <v>26</v>
      </c>
      <c r="G5325" s="28">
        <f>IFERROR(VLOOKUP(F5325,CARTON_LOOKUP!$A:$E,3,0),"")</f>
      </c>
      <c r="H5325" s="28">
        <f>IFERROR(VLOOKUP(F5325,CARTON_LOOKUP!$A:$E,4,0),"")</f>
      </c>
      <c r="I5325" s="28">
        <f>IFERROR(VLOOKUP(F5325,CARTON_LOOKUP!$A:$E,5,0),"")</f>
      </c>
      <c r="J5325" s="29">
        <f>IFERROR(VLOOKUP(F5325,CARTON_LOOKUP!$A:$E,2,0),"")</f>
      </c>
      <c r="K5325" s="29">
        <f>IFERROR(J5325*D5325,0)</f>
      </c>
      <c r="L5325" s="29">
        <f>IFERROR(E5325*C5325,0)</f>
      </c>
      <c r="M5325" s="29">
        <f>IFERROR((G5325*H5325*I5325/1000000)*D5325,0)</f>
      </c>
    </row>
    <row r="5326" spans="1:13" x14ac:dyDescent="0.25">
      <c r="A5326" s="16"/>
      <c r="E5326" s="27"/>
      <c r="F5326" t="s">
        <v>26</v>
      </c>
      <c r="G5326" s="28">
        <f>IFERROR(VLOOKUP(F5326,CARTON_LOOKUP!$A:$E,3,0),"")</f>
      </c>
      <c r="H5326" s="28">
        <f>IFERROR(VLOOKUP(F5326,CARTON_LOOKUP!$A:$E,4,0),"")</f>
      </c>
      <c r="I5326" s="28">
        <f>IFERROR(VLOOKUP(F5326,CARTON_LOOKUP!$A:$E,5,0),"")</f>
      </c>
      <c r="J5326" s="29">
        <f>IFERROR(VLOOKUP(F5326,CARTON_LOOKUP!$A:$E,2,0),"")</f>
      </c>
      <c r="K5326" s="29">
        <f>IFERROR(J5326*D5326,0)</f>
      </c>
      <c r="L5326" s="29">
        <f>IFERROR(E5326*C5326,0)</f>
      </c>
      <c r="M5326" s="29">
        <f>IFERROR((G5326*H5326*I5326/1000000)*D5326,0)</f>
      </c>
    </row>
    <row r="5327" spans="1:13" x14ac:dyDescent="0.25">
      <c r="A5327" s="16"/>
      <c r="E5327" s="27"/>
      <c r="F5327" t="s">
        <v>26</v>
      </c>
      <c r="G5327" s="28">
        <f>IFERROR(VLOOKUP(F5327,CARTON_LOOKUP!$A:$E,3,0),"")</f>
      </c>
      <c r="H5327" s="28">
        <f>IFERROR(VLOOKUP(F5327,CARTON_LOOKUP!$A:$E,4,0),"")</f>
      </c>
      <c r="I5327" s="28">
        <f>IFERROR(VLOOKUP(F5327,CARTON_LOOKUP!$A:$E,5,0),"")</f>
      </c>
      <c r="J5327" s="29">
        <f>IFERROR(VLOOKUP(F5327,CARTON_LOOKUP!$A:$E,2,0),"")</f>
      </c>
      <c r="K5327" s="29">
        <f>IFERROR(J5327*D5327,0)</f>
      </c>
      <c r="L5327" s="29">
        <f>IFERROR(E5327*C5327,0)</f>
      </c>
      <c r="M5327" s="29">
        <f>IFERROR((G5327*H5327*I5327/1000000)*D5327,0)</f>
      </c>
    </row>
    <row r="5328" spans="1:13" x14ac:dyDescent="0.25">
      <c r="A5328" s="16"/>
      <c r="E5328" s="27"/>
      <c r="F5328" t="s">
        <v>26</v>
      </c>
      <c r="G5328" s="28">
        <f>IFERROR(VLOOKUP(F5328,CARTON_LOOKUP!$A:$E,3,0),"")</f>
      </c>
      <c r="H5328" s="28">
        <f>IFERROR(VLOOKUP(F5328,CARTON_LOOKUP!$A:$E,4,0),"")</f>
      </c>
      <c r="I5328" s="28">
        <f>IFERROR(VLOOKUP(F5328,CARTON_LOOKUP!$A:$E,5,0),"")</f>
      </c>
      <c r="J5328" s="29">
        <f>IFERROR(VLOOKUP(F5328,CARTON_LOOKUP!$A:$E,2,0),"")</f>
      </c>
      <c r="K5328" s="29">
        <f>IFERROR(J5328*D5328,0)</f>
      </c>
      <c r="L5328" s="29">
        <f>IFERROR(E5328*C5328,0)</f>
      </c>
      <c r="M5328" s="29">
        <f>IFERROR((G5328*H5328*I5328/1000000)*D5328,0)</f>
      </c>
    </row>
    <row r="5329" spans="1:13" x14ac:dyDescent="0.25">
      <c r="A5329" s="16"/>
      <c r="E5329" s="27"/>
      <c r="F5329" t="s">
        <v>26</v>
      </c>
      <c r="G5329" s="28">
        <f>IFERROR(VLOOKUP(F5329,CARTON_LOOKUP!$A:$E,3,0),"")</f>
      </c>
      <c r="H5329" s="28">
        <f>IFERROR(VLOOKUP(F5329,CARTON_LOOKUP!$A:$E,4,0),"")</f>
      </c>
      <c r="I5329" s="28">
        <f>IFERROR(VLOOKUP(F5329,CARTON_LOOKUP!$A:$E,5,0),"")</f>
      </c>
      <c r="J5329" s="29">
        <f>IFERROR(VLOOKUP(F5329,CARTON_LOOKUP!$A:$E,2,0),"")</f>
      </c>
      <c r="K5329" s="29">
        <f>IFERROR(J5329*D5329,0)</f>
      </c>
      <c r="L5329" s="29">
        <f>IFERROR(E5329*C5329,0)</f>
      </c>
      <c r="M5329" s="29">
        <f>IFERROR((G5329*H5329*I5329/1000000)*D5329,0)</f>
      </c>
    </row>
    <row r="5330" spans="1:13" x14ac:dyDescent="0.25">
      <c r="A5330" s="16"/>
      <c r="E5330" s="27"/>
      <c r="F5330" t="s">
        <v>26</v>
      </c>
      <c r="G5330" s="28">
        <f>IFERROR(VLOOKUP(F5330,CARTON_LOOKUP!$A:$E,3,0),"")</f>
      </c>
      <c r="H5330" s="28">
        <f>IFERROR(VLOOKUP(F5330,CARTON_LOOKUP!$A:$E,4,0),"")</f>
      </c>
      <c r="I5330" s="28">
        <f>IFERROR(VLOOKUP(F5330,CARTON_LOOKUP!$A:$E,5,0),"")</f>
      </c>
      <c r="J5330" s="29">
        <f>IFERROR(VLOOKUP(F5330,CARTON_LOOKUP!$A:$E,2,0),"")</f>
      </c>
      <c r="K5330" s="29">
        <f>IFERROR(J5330*D5330,0)</f>
      </c>
      <c r="L5330" s="29">
        <f>IFERROR(E5330*C5330,0)</f>
      </c>
      <c r="M5330" s="29">
        <f>IFERROR((G5330*H5330*I5330/1000000)*D5330,0)</f>
      </c>
    </row>
    <row r="5331" spans="1:13" x14ac:dyDescent="0.25">
      <c r="A5331" s="16"/>
      <c r="E5331" s="27"/>
      <c r="F5331" t="s">
        <v>26</v>
      </c>
      <c r="G5331" s="28">
        <f>IFERROR(VLOOKUP(F5331,CARTON_LOOKUP!$A:$E,3,0),"")</f>
      </c>
      <c r="H5331" s="28">
        <f>IFERROR(VLOOKUP(F5331,CARTON_LOOKUP!$A:$E,4,0),"")</f>
      </c>
      <c r="I5331" s="28">
        <f>IFERROR(VLOOKUP(F5331,CARTON_LOOKUP!$A:$E,5,0),"")</f>
      </c>
      <c r="J5331" s="29">
        <f>IFERROR(VLOOKUP(F5331,CARTON_LOOKUP!$A:$E,2,0),"")</f>
      </c>
      <c r="K5331" s="29">
        <f>IFERROR(J5331*D5331,0)</f>
      </c>
      <c r="L5331" s="29">
        <f>IFERROR(E5331*C5331,0)</f>
      </c>
      <c r="M5331" s="29">
        <f>IFERROR((G5331*H5331*I5331/1000000)*D5331,0)</f>
      </c>
    </row>
    <row r="5332" spans="1:13" x14ac:dyDescent="0.25">
      <c r="A5332" s="16"/>
      <c r="E5332" s="27"/>
      <c r="F5332" t="s">
        <v>26</v>
      </c>
      <c r="G5332" s="28">
        <f>IFERROR(VLOOKUP(F5332,CARTON_LOOKUP!$A:$E,3,0),"")</f>
      </c>
      <c r="H5332" s="28">
        <f>IFERROR(VLOOKUP(F5332,CARTON_LOOKUP!$A:$E,4,0),"")</f>
      </c>
      <c r="I5332" s="28">
        <f>IFERROR(VLOOKUP(F5332,CARTON_LOOKUP!$A:$E,5,0),"")</f>
      </c>
      <c r="J5332" s="29">
        <f>IFERROR(VLOOKUP(F5332,CARTON_LOOKUP!$A:$E,2,0),"")</f>
      </c>
      <c r="K5332" s="29">
        <f>IFERROR(J5332*D5332,0)</f>
      </c>
      <c r="L5332" s="29">
        <f>IFERROR(E5332*C5332,0)</f>
      </c>
      <c r="M5332" s="29">
        <f>IFERROR((G5332*H5332*I5332/1000000)*D5332,0)</f>
      </c>
    </row>
    <row r="5333" spans="1:13" x14ac:dyDescent="0.25">
      <c r="A5333" s="16"/>
      <c r="E5333" s="27"/>
      <c r="F5333" t="s">
        <v>26</v>
      </c>
      <c r="G5333" s="28">
        <f>IFERROR(VLOOKUP(F5333,CARTON_LOOKUP!$A:$E,3,0),"")</f>
      </c>
      <c r="H5333" s="28">
        <f>IFERROR(VLOOKUP(F5333,CARTON_LOOKUP!$A:$E,4,0),"")</f>
      </c>
      <c r="I5333" s="28">
        <f>IFERROR(VLOOKUP(F5333,CARTON_LOOKUP!$A:$E,5,0),"")</f>
      </c>
      <c r="J5333" s="29">
        <f>IFERROR(VLOOKUP(F5333,CARTON_LOOKUP!$A:$E,2,0),"")</f>
      </c>
      <c r="K5333" s="29">
        <f>IFERROR(J5333*D5333,0)</f>
      </c>
      <c r="L5333" s="29">
        <f>IFERROR(E5333*C5333,0)</f>
      </c>
      <c r="M5333" s="29">
        <f>IFERROR((G5333*H5333*I5333/1000000)*D5333,0)</f>
      </c>
    </row>
    <row r="5334" spans="1:13" x14ac:dyDescent="0.25">
      <c r="A5334" s="16"/>
      <c r="E5334" s="27"/>
      <c r="F5334" t="s">
        <v>26</v>
      </c>
      <c r="G5334" s="28">
        <f>IFERROR(VLOOKUP(F5334,CARTON_LOOKUP!$A:$E,3,0),"")</f>
      </c>
      <c r="H5334" s="28">
        <f>IFERROR(VLOOKUP(F5334,CARTON_LOOKUP!$A:$E,4,0),"")</f>
      </c>
      <c r="I5334" s="28">
        <f>IFERROR(VLOOKUP(F5334,CARTON_LOOKUP!$A:$E,5,0),"")</f>
      </c>
      <c r="J5334" s="29">
        <f>IFERROR(VLOOKUP(F5334,CARTON_LOOKUP!$A:$E,2,0),"")</f>
      </c>
      <c r="K5334" s="29">
        <f>IFERROR(J5334*D5334,0)</f>
      </c>
      <c r="L5334" s="29">
        <f>IFERROR(E5334*C5334,0)</f>
      </c>
      <c r="M5334" s="29">
        <f>IFERROR((G5334*H5334*I5334/1000000)*D5334,0)</f>
      </c>
    </row>
    <row r="5335" spans="1:13" x14ac:dyDescent="0.25">
      <c r="A5335" s="16"/>
      <c r="E5335" s="27"/>
      <c r="F5335" t="s">
        <v>26</v>
      </c>
      <c r="G5335" s="28">
        <f>IFERROR(VLOOKUP(F5335,CARTON_LOOKUP!$A:$E,3,0),"")</f>
      </c>
      <c r="H5335" s="28">
        <f>IFERROR(VLOOKUP(F5335,CARTON_LOOKUP!$A:$E,4,0),"")</f>
      </c>
      <c r="I5335" s="28">
        <f>IFERROR(VLOOKUP(F5335,CARTON_LOOKUP!$A:$E,5,0),"")</f>
      </c>
      <c r="J5335" s="29">
        <f>IFERROR(VLOOKUP(F5335,CARTON_LOOKUP!$A:$E,2,0),"")</f>
      </c>
      <c r="K5335" s="29">
        <f>IFERROR(J5335*D5335,0)</f>
      </c>
      <c r="L5335" s="29">
        <f>IFERROR(E5335*C5335,0)</f>
      </c>
      <c r="M5335" s="29">
        <f>IFERROR((G5335*H5335*I5335/1000000)*D5335,0)</f>
      </c>
    </row>
    <row r="5336" spans="1:13" x14ac:dyDescent="0.25">
      <c r="A5336" s="16"/>
      <c r="E5336" s="27"/>
      <c r="F5336" t="s">
        <v>26</v>
      </c>
      <c r="G5336" s="28">
        <f>IFERROR(VLOOKUP(F5336,CARTON_LOOKUP!$A:$E,3,0),"")</f>
      </c>
      <c r="H5336" s="28">
        <f>IFERROR(VLOOKUP(F5336,CARTON_LOOKUP!$A:$E,4,0),"")</f>
      </c>
      <c r="I5336" s="28">
        <f>IFERROR(VLOOKUP(F5336,CARTON_LOOKUP!$A:$E,5,0),"")</f>
      </c>
      <c r="J5336" s="29">
        <f>IFERROR(VLOOKUP(F5336,CARTON_LOOKUP!$A:$E,2,0),"")</f>
      </c>
      <c r="K5336" s="29">
        <f>IFERROR(J5336*D5336,0)</f>
      </c>
      <c r="L5336" s="29">
        <f>IFERROR(E5336*C5336,0)</f>
      </c>
      <c r="M5336" s="29">
        <f>IFERROR((G5336*H5336*I5336/1000000)*D5336,0)</f>
      </c>
    </row>
    <row r="5337" spans="1:13" x14ac:dyDescent="0.25">
      <c r="A5337" s="16"/>
      <c r="E5337" s="27"/>
      <c r="F5337" t="s">
        <v>26</v>
      </c>
      <c r="G5337" s="28">
        <f>IFERROR(VLOOKUP(F5337,CARTON_LOOKUP!$A:$E,3,0),"")</f>
      </c>
      <c r="H5337" s="28">
        <f>IFERROR(VLOOKUP(F5337,CARTON_LOOKUP!$A:$E,4,0),"")</f>
      </c>
      <c r="I5337" s="28">
        <f>IFERROR(VLOOKUP(F5337,CARTON_LOOKUP!$A:$E,5,0),"")</f>
      </c>
      <c r="J5337" s="29">
        <f>IFERROR(VLOOKUP(F5337,CARTON_LOOKUP!$A:$E,2,0),"")</f>
      </c>
      <c r="K5337" s="29">
        <f>IFERROR(J5337*D5337,0)</f>
      </c>
      <c r="L5337" s="29">
        <f>IFERROR(E5337*C5337,0)</f>
      </c>
      <c r="M5337" s="29">
        <f>IFERROR((G5337*H5337*I5337/1000000)*D5337,0)</f>
      </c>
    </row>
    <row r="5338" spans="1:13" x14ac:dyDescent="0.25">
      <c r="A5338" s="16"/>
      <c r="E5338" s="27"/>
      <c r="F5338" t="s">
        <v>26</v>
      </c>
      <c r="G5338" s="28">
        <f>IFERROR(VLOOKUP(F5338,CARTON_LOOKUP!$A:$E,3,0),"")</f>
      </c>
      <c r="H5338" s="28">
        <f>IFERROR(VLOOKUP(F5338,CARTON_LOOKUP!$A:$E,4,0),"")</f>
      </c>
      <c r="I5338" s="28">
        <f>IFERROR(VLOOKUP(F5338,CARTON_LOOKUP!$A:$E,5,0),"")</f>
      </c>
      <c r="J5338" s="29">
        <f>IFERROR(VLOOKUP(F5338,CARTON_LOOKUP!$A:$E,2,0),"")</f>
      </c>
      <c r="K5338" s="29">
        <f>IFERROR(J5338*D5338,0)</f>
      </c>
      <c r="L5338" s="29">
        <f>IFERROR(E5338*C5338,0)</f>
      </c>
      <c r="M5338" s="29">
        <f>IFERROR((G5338*H5338*I5338/1000000)*D5338,0)</f>
      </c>
    </row>
    <row r="5339" spans="1:13" x14ac:dyDescent="0.25">
      <c r="A5339" s="16"/>
      <c r="E5339" s="27"/>
      <c r="F5339" t="s">
        <v>26</v>
      </c>
      <c r="G5339" s="28">
        <f>IFERROR(VLOOKUP(F5339,CARTON_LOOKUP!$A:$E,3,0),"")</f>
      </c>
      <c r="H5339" s="28">
        <f>IFERROR(VLOOKUP(F5339,CARTON_LOOKUP!$A:$E,4,0),"")</f>
      </c>
      <c r="I5339" s="28">
        <f>IFERROR(VLOOKUP(F5339,CARTON_LOOKUP!$A:$E,5,0),"")</f>
      </c>
      <c r="J5339" s="29">
        <f>IFERROR(VLOOKUP(F5339,CARTON_LOOKUP!$A:$E,2,0),"")</f>
      </c>
      <c r="K5339" s="29">
        <f>IFERROR(J5339*D5339,0)</f>
      </c>
      <c r="L5339" s="29">
        <f>IFERROR(E5339*C5339,0)</f>
      </c>
      <c r="M5339" s="29">
        <f>IFERROR((G5339*H5339*I5339/1000000)*D5339,0)</f>
      </c>
    </row>
    <row r="5340" spans="1:13" x14ac:dyDescent="0.25">
      <c r="A5340" s="16"/>
      <c r="E5340" s="27"/>
      <c r="F5340" t="s">
        <v>26</v>
      </c>
      <c r="G5340" s="28">
        <f>IFERROR(VLOOKUP(F5340,CARTON_LOOKUP!$A:$E,3,0),"")</f>
      </c>
      <c r="H5340" s="28">
        <f>IFERROR(VLOOKUP(F5340,CARTON_LOOKUP!$A:$E,4,0),"")</f>
      </c>
      <c r="I5340" s="28">
        <f>IFERROR(VLOOKUP(F5340,CARTON_LOOKUP!$A:$E,5,0),"")</f>
      </c>
      <c r="J5340" s="29">
        <f>IFERROR(VLOOKUP(F5340,CARTON_LOOKUP!$A:$E,2,0),"")</f>
      </c>
      <c r="K5340" s="29">
        <f>IFERROR(J5340*D5340,0)</f>
      </c>
      <c r="L5340" s="29">
        <f>IFERROR(E5340*C5340,0)</f>
      </c>
      <c r="M5340" s="29">
        <f>IFERROR((G5340*H5340*I5340/1000000)*D5340,0)</f>
      </c>
    </row>
    <row r="5341" spans="1:13" x14ac:dyDescent="0.25">
      <c r="A5341" s="16"/>
      <c r="E5341" s="27"/>
      <c r="F5341" t="s">
        <v>26</v>
      </c>
      <c r="G5341" s="28">
        <f>IFERROR(VLOOKUP(F5341,CARTON_LOOKUP!$A:$E,3,0),"")</f>
      </c>
      <c r="H5341" s="28">
        <f>IFERROR(VLOOKUP(F5341,CARTON_LOOKUP!$A:$E,4,0),"")</f>
      </c>
      <c r="I5341" s="28">
        <f>IFERROR(VLOOKUP(F5341,CARTON_LOOKUP!$A:$E,5,0),"")</f>
      </c>
      <c r="J5341" s="29">
        <f>IFERROR(VLOOKUP(F5341,CARTON_LOOKUP!$A:$E,2,0),"")</f>
      </c>
      <c r="K5341" s="29">
        <f>IFERROR(J5341*D5341,0)</f>
      </c>
      <c r="L5341" s="29">
        <f>IFERROR(E5341*C5341,0)</f>
      </c>
      <c r="M5341" s="29">
        <f>IFERROR((G5341*H5341*I5341/1000000)*D5341,0)</f>
      </c>
    </row>
    <row r="5342" spans="1:13" x14ac:dyDescent="0.25">
      <c r="A5342" s="16"/>
      <c r="E5342" s="27"/>
      <c r="F5342" t="s">
        <v>26</v>
      </c>
      <c r="G5342" s="28">
        <f>IFERROR(VLOOKUP(F5342,CARTON_LOOKUP!$A:$E,3,0),"")</f>
      </c>
      <c r="H5342" s="28">
        <f>IFERROR(VLOOKUP(F5342,CARTON_LOOKUP!$A:$E,4,0),"")</f>
      </c>
      <c r="I5342" s="28">
        <f>IFERROR(VLOOKUP(F5342,CARTON_LOOKUP!$A:$E,5,0),"")</f>
      </c>
      <c r="J5342" s="29">
        <f>IFERROR(VLOOKUP(F5342,CARTON_LOOKUP!$A:$E,2,0),"")</f>
      </c>
      <c r="K5342" s="29">
        <f>IFERROR(J5342*D5342,0)</f>
      </c>
      <c r="L5342" s="29">
        <f>IFERROR(E5342*C5342,0)</f>
      </c>
      <c r="M5342" s="29">
        <f>IFERROR((G5342*H5342*I5342/1000000)*D5342,0)</f>
      </c>
    </row>
    <row r="5343" spans="1:13" x14ac:dyDescent="0.25">
      <c r="A5343" s="16"/>
      <c r="E5343" s="27"/>
      <c r="F5343" t="s">
        <v>26</v>
      </c>
      <c r="G5343" s="28">
        <f>IFERROR(VLOOKUP(F5343,CARTON_LOOKUP!$A:$E,3,0),"")</f>
      </c>
      <c r="H5343" s="28">
        <f>IFERROR(VLOOKUP(F5343,CARTON_LOOKUP!$A:$E,4,0),"")</f>
      </c>
      <c r="I5343" s="28">
        <f>IFERROR(VLOOKUP(F5343,CARTON_LOOKUP!$A:$E,5,0),"")</f>
      </c>
      <c r="J5343" s="29">
        <f>IFERROR(VLOOKUP(F5343,CARTON_LOOKUP!$A:$E,2,0),"")</f>
      </c>
      <c r="K5343" s="29">
        <f>IFERROR(J5343*D5343,0)</f>
      </c>
      <c r="L5343" s="29">
        <f>IFERROR(E5343*C5343,0)</f>
      </c>
      <c r="M5343" s="29">
        <f>IFERROR((G5343*H5343*I5343/1000000)*D5343,0)</f>
      </c>
    </row>
    <row r="5344" spans="1:13" x14ac:dyDescent="0.25">
      <c r="A5344" s="16"/>
      <c r="E5344" s="27"/>
      <c r="F5344" t="s">
        <v>26</v>
      </c>
      <c r="G5344" s="28">
        <f>IFERROR(VLOOKUP(F5344,CARTON_LOOKUP!$A:$E,3,0),"")</f>
      </c>
      <c r="H5344" s="28">
        <f>IFERROR(VLOOKUP(F5344,CARTON_LOOKUP!$A:$E,4,0),"")</f>
      </c>
      <c r="I5344" s="28">
        <f>IFERROR(VLOOKUP(F5344,CARTON_LOOKUP!$A:$E,5,0),"")</f>
      </c>
      <c r="J5344" s="29">
        <f>IFERROR(VLOOKUP(F5344,CARTON_LOOKUP!$A:$E,2,0),"")</f>
      </c>
      <c r="K5344" s="29">
        <f>IFERROR(J5344*D5344,0)</f>
      </c>
      <c r="L5344" s="29">
        <f>IFERROR(E5344*C5344,0)</f>
      </c>
      <c r="M5344" s="29">
        <f>IFERROR((G5344*H5344*I5344/1000000)*D5344,0)</f>
      </c>
    </row>
    <row r="5345" spans="1:13" x14ac:dyDescent="0.25">
      <c r="A5345" s="16"/>
      <c r="E5345" s="27"/>
      <c r="F5345" t="s">
        <v>26</v>
      </c>
      <c r="G5345" s="28">
        <f>IFERROR(VLOOKUP(F5345,CARTON_LOOKUP!$A:$E,3,0),"")</f>
      </c>
      <c r="H5345" s="28">
        <f>IFERROR(VLOOKUP(F5345,CARTON_LOOKUP!$A:$E,4,0),"")</f>
      </c>
      <c r="I5345" s="28">
        <f>IFERROR(VLOOKUP(F5345,CARTON_LOOKUP!$A:$E,5,0),"")</f>
      </c>
      <c r="J5345" s="29">
        <f>IFERROR(VLOOKUP(F5345,CARTON_LOOKUP!$A:$E,2,0),"")</f>
      </c>
      <c r="K5345" s="29">
        <f>IFERROR(J5345*D5345,0)</f>
      </c>
      <c r="L5345" s="29">
        <f>IFERROR(E5345*C5345,0)</f>
      </c>
      <c r="M5345" s="29">
        <f>IFERROR((G5345*H5345*I5345/1000000)*D5345,0)</f>
      </c>
    </row>
    <row r="5346" spans="1:13" x14ac:dyDescent="0.25">
      <c r="A5346" s="16"/>
      <c r="E5346" s="27"/>
      <c r="F5346" t="s">
        <v>26</v>
      </c>
      <c r="G5346" s="28">
        <f>IFERROR(VLOOKUP(F5346,CARTON_LOOKUP!$A:$E,3,0),"")</f>
      </c>
      <c r="H5346" s="28">
        <f>IFERROR(VLOOKUP(F5346,CARTON_LOOKUP!$A:$E,4,0),"")</f>
      </c>
      <c r="I5346" s="28">
        <f>IFERROR(VLOOKUP(F5346,CARTON_LOOKUP!$A:$E,5,0),"")</f>
      </c>
      <c r="J5346" s="29">
        <f>IFERROR(VLOOKUP(F5346,CARTON_LOOKUP!$A:$E,2,0),"")</f>
      </c>
      <c r="K5346" s="29">
        <f>IFERROR(J5346*D5346,0)</f>
      </c>
      <c r="L5346" s="29">
        <f>IFERROR(E5346*C5346,0)</f>
      </c>
      <c r="M5346" s="29">
        <f>IFERROR((G5346*H5346*I5346/1000000)*D5346,0)</f>
      </c>
    </row>
    <row r="5347" spans="1:13" x14ac:dyDescent="0.25">
      <c r="A5347" s="16"/>
      <c r="E5347" s="27"/>
      <c r="F5347" t="s">
        <v>26</v>
      </c>
      <c r="G5347" s="28">
        <f>IFERROR(VLOOKUP(F5347,CARTON_LOOKUP!$A:$E,3,0),"")</f>
      </c>
      <c r="H5347" s="28">
        <f>IFERROR(VLOOKUP(F5347,CARTON_LOOKUP!$A:$E,4,0),"")</f>
      </c>
      <c r="I5347" s="28">
        <f>IFERROR(VLOOKUP(F5347,CARTON_LOOKUP!$A:$E,5,0),"")</f>
      </c>
      <c r="J5347" s="29">
        <f>IFERROR(VLOOKUP(F5347,CARTON_LOOKUP!$A:$E,2,0),"")</f>
      </c>
      <c r="K5347" s="29">
        <f>IFERROR(J5347*D5347,0)</f>
      </c>
      <c r="L5347" s="29">
        <f>IFERROR(E5347*C5347,0)</f>
      </c>
      <c r="M5347" s="29">
        <f>IFERROR((G5347*H5347*I5347/1000000)*D5347,0)</f>
      </c>
    </row>
    <row r="5348" spans="1:13" x14ac:dyDescent="0.25">
      <c r="A5348" s="16"/>
      <c r="E5348" s="27"/>
      <c r="F5348" t="s">
        <v>26</v>
      </c>
      <c r="G5348" s="28">
        <f>IFERROR(VLOOKUP(F5348,CARTON_LOOKUP!$A:$E,3,0),"")</f>
      </c>
      <c r="H5348" s="28">
        <f>IFERROR(VLOOKUP(F5348,CARTON_LOOKUP!$A:$E,4,0),"")</f>
      </c>
      <c r="I5348" s="28">
        <f>IFERROR(VLOOKUP(F5348,CARTON_LOOKUP!$A:$E,5,0),"")</f>
      </c>
      <c r="J5348" s="29">
        <f>IFERROR(VLOOKUP(F5348,CARTON_LOOKUP!$A:$E,2,0),"")</f>
      </c>
      <c r="K5348" s="29">
        <f>IFERROR(J5348*D5348,0)</f>
      </c>
      <c r="L5348" s="29">
        <f>IFERROR(E5348*C5348,0)</f>
      </c>
      <c r="M5348" s="29">
        <f>IFERROR((G5348*H5348*I5348/1000000)*D5348,0)</f>
      </c>
    </row>
    <row r="5349" spans="1:13" x14ac:dyDescent="0.25">
      <c r="A5349" s="16"/>
      <c r="E5349" s="27"/>
      <c r="F5349" t="s">
        <v>26</v>
      </c>
      <c r="G5349" s="28">
        <f>IFERROR(VLOOKUP(F5349,CARTON_LOOKUP!$A:$E,3,0),"")</f>
      </c>
      <c r="H5349" s="28">
        <f>IFERROR(VLOOKUP(F5349,CARTON_LOOKUP!$A:$E,4,0),"")</f>
      </c>
      <c r="I5349" s="28">
        <f>IFERROR(VLOOKUP(F5349,CARTON_LOOKUP!$A:$E,5,0),"")</f>
      </c>
      <c r="J5349" s="29">
        <f>IFERROR(VLOOKUP(F5349,CARTON_LOOKUP!$A:$E,2,0),"")</f>
      </c>
      <c r="K5349" s="29">
        <f>IFERROR(J5349*D5349,0)</f>
      </c>
      <c r="L5349" s="29">
        <f>IFERROR(E5349*C5349,0)</f>
      </c>
      <c r="M5349" s="29">
        <f>IFERROR((G5349*H5349*I5349/1000000)*D5349,0)</f>
      </c>
    </row>
    <row r="5350" spans="1:13" x14ac:dyDescent="0.25">
      <c r="A5350" s="16"/>
      <c r="E5350" s="27"/>
      <c r="F5350" t="s">
        <v>26</v>
      </c>
      <c r="G5350" s="28">
        <f>IFERROR(VLOOKUP(F5350,CARTON_LOOKUP!$A:$E,3,0),"")</f>
      </c>
      <c r="H5350" s="28">
        <f>IFERROR(VLOOKUP(F5350,CARTON_LOOKUP!$A:$E,4,0),"")</f>
      </c>
      <c r="I5350" s="28">
        <f>IFERROR(VLOOKUP(F5350,CARTON_LOOKUP!$A:$E,5,0),"")</f>
      </c>
      <c r="J5350" s="29">
        <f>IFERROR(VLOOKUP(F5350,CARTON_LOOKUP!$A:$E,2,0),"")</f>
      </c>
      <c r="K5350" s="29">
        <f>IFERROR(J5350*D5350,0)</f>
      </c>
      <c r="L5350" s="29">
        <f>IFERROR(E5350*C5350,0)</f>
      </c>
      <c r="M5350" s="29">
        <f>IFERROR((G5350*H5350*I5350/1000000)*D5350,0)</f>
      </c>
    </row>
    <row r="5351" spans="1:13" x14ac:dyDescent="0.25">
      <c r="A5351" s="16"/>
      <c r="E5351" s="27"/>
      <c r="F5351" t="s">
        <v>26</v>
      </c>
      <c r="G5351" s="28">
        <f>IFERROR(VLOOKUP(F5351,CARTON_LOOKUP!$A:$E,3,0),"")</f>
      </c>
      <c r="H5351" s="28">
        <f>IFERROR(VLOOKUP(F5351,CARTON_LOOKUP!$A:$E,4,0),"")</f>
      </c>
      <c r="I5351" s="28">
        <f>IFERROR(VLOOKUP(F5351,CARTON_LOOKUP!$A:$E,5,0),"")</f>
      </c>
      <c r="J5351" s="29">
        <f>IFERROR(VLOOKUP(F5351,CARTON_LOOKUP!$A:$E,2,0),"")</f>
      </c>
      <c r="K5351" s="29">
        <f>IFERROR(J5351*D5351,0)</f>
      </c>
      <c r="L5351" s="29">
        <f>IFERROR(E5351*C5351,0)</f>
      </c>
      <c r="M5351" s="29">
        <f>IFERROR((G5351*H5351*I5351/1000000)*D5351,0)</f>
      </c>
    </row>
    <row r="5352" spans="1:13" x14ac:dyDescent="0.25">
      <c r="A5352" s="16"/>
      <c r="E5352" s="27"/>
      <c r="F5352" t="s">
        <v>26</v>
      </c>
      <c r="G5352" s="28">
        <f>IFERROR(VLOOKUP(F5352,CARTON_LOOKUP!$A:$E,3,0),"")</f>
      </c>
      <c r="H5352" s="28">
        <f>IFERROR(VLOOKUP(F5352,CARTON_LOOKUP!$A:$E,4,0),"")</f>
      </c>
      <c r="I5352" s="28">
        <f>IFERROR(VLOOKUP(F5352,CARTON_LOOKUP!$A:$E,5,0),"")</f>
      </c>
      <c r="J5352" s="29">
        <f>IFERROR(VLOOKUP(F5352,CARTON_LOOKUP!$A:$E,2,0),"")</f>
      </c>
      <c r="K5352" s="29">
        <f>IFERROR(J5352*D5352,0)</f>
      </c>
      <c r="L5352" s="29">
        <f>IFERROR(E5352*C5352,0)</f>
      </c>
      <c r="M5352" s="29">
        <f>IFERROR((G5352*H5352*I5352/1000000)*D5352,0)</f>
      </c>
    </row>
    <row r="5353" spans="1:13" x14ac:dyDescent="0.25">
      <c r="A5353" s="16"/>
      <c r="E5353" s="27"/>
      <c r="F5353" t="s">
        <v>26</v>
      </c>
      <c r="G5353" s="28">
        <f>IFERROR(VLOOKUP(F5353,CARTON_LOOKUP!$A:$E,3,0),"")</f>
      </c>
      <c r="H5353" s="28">
        <f>IFERROR(VLOOKUP(F5353,CARTON_LOOKUP!$A:$E,4,0),"")</f>
      </c>
      <c r="I5353" s="28">
        <f>IFERROR(VLOOKUP(F5353,CARTON_LOOKUP!$A:$E,5,0),"")</f>
      </c>
      <c r="J5353" s="29">
        <f>IFERROR(VLOOKUP(F5353,CARTON_LOOKUP!$A:$E,2,0),"")</f>
      </c>
      <c r="K5353" s="29">
        <f>IFERROR(J5353*D5353,0)</f>
      </c>
      <c r="L5353" s="29">
        <f>IFERROR(E5353*C5353,0)</f>
      </c>
      <c r="M5353" s="29">
        <f>IFERROR((G5353*H5353*I5353/1000000)*D5353,0)</f>
      </c>
    </row>
    <row r="5354" spans="1:13" x14ac:dyDescent="0.25">
      <c r="A5354" s="16"/>
      <c r="E5354" s="27"/>
      <c r="F5354" t="s">
        <v>26</v>
      </c>
      <c r="G5354" s="28">
        <f>IFERROR(VLOOKUP(F5354,CARTON_LOOKUP!$A:$E,3,0),"")</f>
      </c>
      <c r="H5354" s="28">
        <f>IFERROR(VLOOKUP(F5354,CARTON_LOOKUP!$A:$E,4,0),"")</f>
      </c>
      <c r="I5354" s="28">
        <f>IFERROR(VLOOKUP(F5354,CARTON_LOOKUP!$A:$E,5,0),"")</f>
      </c>
      <c r="J5354" s="29">
        <f>IFERROR(VLOOKUP(F5354,CARTON_LOOKUP!$A:$E,2,0),"")</f>
      </c>
      <c r="K5354" s="29">
        <f>IFERROR(J5354*D5354,0)</f>
      </c>
      <c r="L5354" s="29">
        <f>IFERROR(E5354*C5354,0)</f>
      </c>
      <c r="M5354" s="29">
        <f>IFERROR((G5354*H5354*I5354/1000000)*D5354,0)</f>
      </c>
    </row>
    <row r="5355" spans="1:13" x14ac:dyDescent="0.25">
      <c r="A5355" s="16"/>
      <c r="E5355" s="27"/>
      <c r="F5355" t="s">
        <v>26</v>
      </c>
      <c r="G5355" s="28">
        <f>IFERROR(VLOOKUP(F5355,CARTON_LOOKUP!$A:$E,3,0),"")</f>
      </c>
      <c r="H5355" s="28">
        <f>IFERROR(VLOOKUP(F5355,CARTON_LOOKUP!$A:$E,4,0),"")</f>
      </c>
      <c r="I5355" s="28">
        <f>IFERROR(VLOOKUP(F5355,CARTON_LOOKUP!$A:$E,5,0),"")</f>
      </c>
      <c r="J5355" s="29">
        <f>IFERROR(VLOOKUP(F5355,CARTON_LOOKUP!$A:$E,2,0),"")</f>
      </c>
      <c r="K5355" s="29">
        <f>IFERROR(J5355*D5355,0)</f>
      </c>
      <c r="L5355" s="29">
        <f>IFERROR(E5355*C5355,0)</f>
      </c>
      <c r="M5355" s="29">
        <f>IFERROR((G5355*H5355*I5355/1000000)*D5355,0)</f>
      </c>
    </row>
    <row r="5356" spans="1:13" x14ac:dyDescent="0.25">
      <c r="A5356" s="16"/>
      <c r="E5356" s="27"/>
      <c r="F5356" t="s">
        <v>26</v>
      </c>
      <c r="G5356" s="28">
        <f>IFERROR(VLOOKUP(F5356,CARTON_LOOKUP!$A:$E,3,0),"")</f>
      </c>
      <c r="H5356" s="28">
        <f>IFERROR(VLOOKUP(F5356,CARTON_LOOKUP!$A:$E,4,0),"")</f>
      </c>
      <c r="I5356" s="28">
        <f>IFERROR(VLOOKUP(F5356,CARTON_LOOKUP!$A:$E,5,0),"")</f>
      </c>
      <c r="J5356" s="29">
        <f>IFERROR(VLOOKUP(F5356,CARTON_LOOKUP!$A:$E,2,0),"")</f>
      </c>
      <c r="K5356" s="29">
        <f>IFERROR(J5356*D5356,0)</f>
      </c>
      <c r="L5356" s="29">
        <f>IFERROR(E5356*C5356,0)</f>
      </c>
      <c r="M5356" s="29">
        <f>IFERROR((G5356*H5356*I5356/1000000)*D5356,0)</f>
      </c>
    </row>
    <row r="5357" spans="1:13" x14ac:dyDescent="0.25">
      <c r="A5357" s="16"/>
      <c r="E5357" s="27"/>
      <c r="F5357" t="s">
        <v>26</v>
      </c>
      <c r="G5357" s="28">
        <f>IFERROR(VLOOKUP(F5357,CARTON_LOOKUP!$A:$E,3,0),"")</f>
      </c>
      <c r="H5357" s="28">
        <f>IFERROR(VLOOKUP(F5357,CARTON_LOOKUP!$A:$E,4,0),"")</f>
      </c>
      <c r="I5357" s="28">
        <f>IFERROR(VLOOKUP(F5357,CARTON_LOOKUP!$A:$E,5,0),"")</f>
      </c>
      <c r="J5357" s="29">
        <f>IFERROR(VLOOKUP(F5357,CARTON_LOOKUP!$A:$E,2,0),"")</f>
      </c>
      <c r="K5357" s="29">
        <f>IFERROR(J5357*D5357,0)</f>
      </c>
      <c r="L5357" s="29">
        <f>IFERROR(E5357*C5357,0)</f>
      </c>
      <c r="M5357" s="29">
        <f>IFERROR((G5357*H5357*I5357/1000000)*D5357,0)</f>
      </c>
    </row>
    <row r="5358" spans="1:13" x14ac:dyDescent="0.25">
      <c r="A5358" s="16"/>
      <c r="E5358" s="27"/>
      <c r="F5358" t="s">
        <v>26</v>
      </c>
      <c r="G5358" s="28">
        <f>IFERROR(VLOOKUP(F5358,CARTON_LOOKUP!$A:$E,3,0),"")</f>
      </c>
      <c r="H5358" s="28">
        <f>IFERROR(VLOOKUP(F5358,CARTON_LOOKUP!$A:$E,4,0),"")</f>
      </c>
      <c r="I5358" s="28">
        <f>IFERROR(VLOOKUP(F5358,CARTON_LOOKUP!$A:$E,5,0),"")</f>
      </c>
      <c r="J5358" s="29">
        <f>IFERROR(VLOOKUP(F5358,CARTON_LOOKUP!$A:$E,2,0),"")</f>
      </c>
      <c r="K5358" s="29">
        <f>IFERROR(J5358*D5358,0)</f>
      </c>
      <c r="L5358" s="29">
        <f>IFERROR(E5358*C5358,0)</f>
      </c>
      <c r="M5358" s="29">
        <f>IFERROR((G5358*H5358*I5358/1000000)*D5358,0)</f>
      </c>
    </row>
    <row r="5359" spans="1:13" x14ac:dyDescent="0.25">
      <c r="A5359" s="16"/>
      <c r="E5359" s="27"/>
      <c r="F5359" t="s">
        <v>26</v>
      </c>
      <c r="G5359" s="28">
        <f>IFERROR(VLOOKUP(F5359,CARTON_LOOKUP!$A:$E,3,0),"")</f>
      </c>
      <c r="H5359" s="28">
        <f>IFERROR(VLOOKUP(F5359,CARTON_LOOKUP!$A:$E,4,0),"")</f>
      </c>
      <c r="I5359" s="28">
        <f>IFERROR(VLOOKUP(F5359,CARTON_LOOKUP!$A:$E,5,0),"")</f>
      </c>
      <c r="J5359" s="29">
        <f>IFERROR(VLOOKUP(F5359,CARTON_LOOKUP!$A:$E,2,0),"")</f>
      </c>
      <c r="K5359" s="29">
        <f>IFERROR(J5359*D5359,0)</f>
      </c>
      <c r="L5359" s="29">
        <f>IFERROR(E5359*C5359,0)</f>
      </c>
      <c r="M5359" s="29">
        <f>IFERROR((G5359*H5359*I5359/1000000)*D5359,0)</f>
      </c>
    </row>
    <row r="5360" spans="1:13" x14ac:dyDescent="0.25">
      <c r="A5360" s="16"/>
      <c r="E5360" s="27"/>
      <c r="F5360" t="s">
        <v>26</v>
      </c>
      <c r="G5360" s="28">
        <f>IFERROR(VLOOKUP(F5360,CARTON_LOOKUP!$A:$E,3,0),"")</f>
      </c>
      <c r="H5360" s="28">
        <f>IFERROR(VLOOKUP(F5360,CARTON_LOOKUP!$A:$E,4,0),"")</f>
      </c>
      <c r="I5360" s="28">
        <f>IFERROR(VLOOKUP(F5360,CARTON_LOOKUP!$A:$E,5,0),"")</f>
      </c>
      <c r="J5360" s="29">
        <f>IFERROR(VLOOKUP(F5360,CARTON_LOOKUP!$A:$E,2,0),"")</f>
      </c>
      <c r="K5360" s="29">
        <f>IFERROR(J5360*D5360,0)</f>
      </c>
      <c r="L5360" s="29">
        <f>IFERROR(E5360*C5360,0)</f>
      </c>
      <c r="M5360" s="29">
        <f>IFERROR((G5360*H5360*I5360/1000000)*D5360,0)</f>
      </c>
    </row>
    <row r="5361" spans="1:13" x14ac:dyDescent="0.25">
      <c r="A5361" s="16"/>
      <c r="E5361" s="27"/>
      <c r="F5361" t="s">
        <v>26</v>
      </c>
      <c r="G5361" s="28">
        <f>IFERROR(VLOOKUP(F5361,CARTON_LOOKUP!$A:$E,3,0),"")</f>
      </c>
      <c r="H5361" s="28">
        <f>IFERROR(VLOOKUP(F5361,CARTON_LOOKUP!$A:$E,4,0),"")</f>
      </c>
      <c r="I5361" s="28">
        <f>IFERROR(VLOOKUP(F5361,CARTON_LOOKUP!$A:$E,5,0),"")</f>
      </c>
      <c r="J5361" s="29">
        <f>IFERROR(VLOOKUP(F5361,CARTON_LOOKUP!$A:$E,2,0),"")</f>
      </c>
      <c r="K5361" s="29">
        <f>IFERROR(J5361*D5361,0)</f>
      </c>
      <c r="L5361" s="29">
        <f>IFERROR(E5361*C5361,0)</f>
      </c>
      <c r="M5361" s="29">
        <f>IFERROR((G5361*H5361*I5361/1000000)*D5361,0)</f>
      </c>
    </row>
    <row r="5362" spans="1:13" x14ac:dyDescent="0.25">
      <c r="A5362" s="16"/>
      <c r="E5362" s="27"/>
      <c r="F5362" t="s">
        <v>26</v>
      </c>
      <c r="G5362" s="28">
        <f>IFERROR(VLOOKUP(F5362,CARTON_LOOKUP!$A:$E,3,0),"")</f>
      </c>
      <c r="H5362" s="28">
        <f>IFERROR(VLOOKUP(F5362,CARTON_LOOKUP!$A:$E,4,0),"")</f>
      </c>
      <c r="I5362" s="28">
        <f>IFERROR(VLOOKUP(F5362,CARTON_LOOKUP!$A:$E,5,0),"")</f>
      </c>
      <c r="J5362" s="29">
        <f>IFERROR(VLOOKUP(F5362,CARTON_LOOKUP!$A:$E,2,0),"")</f>
      </c>
      <c r="K5362" s="29">
        <f>IFERROR(J5362*D5362,0)</f>
      </c>
      <c r="L5362" s="29">
        <f>IFERROR(E5362*C5362,0)</f>
      </c>
      <c r="M5362" s="29">
        <f>IFERROR((G5362*H5362*I5362/1000000)*D5362,0)</f>
      </c>
    </row>
    <row r="5363" spans="1:13" x14ac:dyDescent="0.25">
      <c r="A5363" s="16"/>
      <c r="E5363" s="27"/>
      <c r="F5363" t="s">
        <v>26</v>
      </c>
      <c r="G5363" s="28">
        <f>IFERROR(VLOOKUP(F5363,CARTON_LOOKUP!$A:$E,3,0),"")</f>
      </c>
      <c r="H5363" s="28">
        <f>IFERROR(VLOOKUP(F5363,CARTON_LOOKUP!$A:$E,4,0),"")</f>
      </c>
      <c r="I5363" s="28">
        <f>IFERROR(VLOOKUP(F5363,CARTON_LOOKUP!$A:$E,5,0),"")</f>
      </c>
      <c r="J5363" s="29">
        <f>IFERROR(VLOOKUP(F5363,CARTON_LOOKUP!$A:$E,2,0),"")</f>
      </c>
      <c r="K5363" s="29">
        <f>IFERROR(J5363*D5363,0)</f>
      </c>
      <c r="L5363" s="29">
        <f>IFERROR(E5363*C5363,0)</f>
      </c>
      <c r="M5363" s="29">
        <f>IFERROR((G5363*H5363*I5363/1000000)*D5363,0)</f>
      </c>
    </row>
    <row r="5364" spans="1:13" x14ac:dyDescent="0.25">
      <c r="A5364" s="16"/>
      <c r="E5364" s="27"/>
      <c r="F5364" t="s">
        <v>26</v>
      </c>
      <c r="G5364" s="28">
        <f>IFERROR(VLOOKUP(F5364,CARTON_LOOKUP!$A:$E,3,0),"")</f>
      </c>
      <c r="H5364" s="28">
        <f>IFERROR(VLOOKUP(F5364,CARTON_LOOKUP!$A:$E,4,0),"")</f>
      </c>
      <c r="I5364" s="28">
        <f>IFERROR(VLOOKUP(F5364,CARTON_LOOKUP!$A:$E,5,0),"")</f>
      </c>
      <c r="J5364" s="29">
        <f>IFERROR(VLOOKUP(F5364,CARTON_LOOKUP!$A:$E,2,0),"")</f>
      </c>
      <c r="K5364" s="29">
        <f>IFERROR(J5364*D5364,0)</f>
      </c>
      <c r="L5364" s="29">
        <f>IFERROR(E5364*C5364,0)</f>
      </c>
      <c r="M5364" s="29">
        <f>IFERROR((G5364*H5364*I5364/1000000)*D5364,0)</f>
      </c>
    </row>
    <row r="5365" spans="1:13" x14ac:dyDescent="0.25">
      <c r="A5365" s="16"/>
      <c r="E5365" s="27"/>
      <c r="F5365" t="s">
        <v>26</v>
      </c>
      <c r="G5365" s="28">
        <f>IFERROR(VLOOKUP(F5365,CARTON_LOOKUP!$A:$E,3,0),"")</f>
      </c>
      <c r="H5365" s="28">
        <f>IFERROR(VLOOKUP(F5365,CARTON_LOOKUP!$A:$E,4,0),"")</f>
      </c>
      <c r="I5365" s="28">
        <f>IFERROR(VLOOKUP(F5365,CARTON_LOOKUP!$A:$E,5,0),"")</f>
      </c>
      <c r="J5365" s="29">
        <f>IFERROR(VLOOKUP(F5365,CARTON_LOOKUP!$A:$E,2,0),"")</f>
      </c>
      <c r="K5365" s="29">
        <f>IFERROR(J5365*D5365,0)</f>
      </c>
      <c r="L5365" s="29">
        <f>IFERROR(E5365*C5365,0)</f>
      </c>
      <c r="M5365" s="29">
        <f>IFERROR((G5365*H5365*I5365/1000000)*D5365,0)</f>
      </c>
    </row>
    <row r="5366" spans="1:13" x14ac:dyDescent="0.25">
      <c r="A5366" s="16"/>
      <c r="E5366" s="27"/>
      <c r="F5366" t="s">
        <v>26</v>
      </c>
      <c r="G5366" s="28">
        <f>IFERROR(VLOOKUP(F5366,CARTON_LOOKUP!$A:$E,3,0),"")</f>
      </c>
      <c r="H5366" s="28">
        <f>IFERROR(VLOOKUP(F5366,CARTON_LOOKUP!$A:$E,4,0),"")</f>
      </c>
      <c r="I5366" s="28">
        <f>IFERROR(VLOOKUP(F5366,CARTON_LOOKUP!$A:$E,5,0),"")</f>
      </c>
      <c r="J5366" s="29">
        <f>IFERROR(VLOOKUP(F5366,CARTON_LOOKUP!$A:$E,2,0),"")</f>
      </c>
      <c r="K5366" s="29">
        <f>IFERROR(J5366*D5366,0)</f>
      </c>
      <c r="L5366" s="29">
        <f>IFERROR(E5366*C5366,0)</f>
      </c>
      <c r="M5366" s="29">
        <f>IFERROR((G5366*H5366*I5366/1000000)*D5366,0)</f>
      </c>
    </row>
    <row r="5367" spans="1:13" x14ac:dyDescent="0.25">
      <c r="A5367" s="16"/>
      <c r="E5367" s="27"/>
      <c r="F5367" t="s">
        <v>26</v>
      </c>
      <c r="G5367" s="28">
        <f>IFERROR(VLOOKUP(F5367,CARTON_LOOKUP!$A:$E,3,0),"")</f>
      </c>
      <c r="H5367" s="28">
        <f>IFERROR(VLOOKUP(F5367,CARTON_LOOKUP!$A:$E,4,0),"")</f>
      </c>
      <c r="I5367" s="28">
        <f>IFERROR(VLOOKUP(F5367,CARTON_LOOKUP!$A:$E,5,0),"")</f>
      </c>
      <c r="J5367" s="29">
        <f>IFERROR(VLOOKUP(F5367,CARTON_LOOKUP!$A:$E,2,0),"")</f>
      </c>
      <c r="K5367" s="29">
        <f>IFERROR(J5367*D5367,0)</f>
      </c>
      <c r="L5367" s="29">
        <f>IFERROR(E5367*C5367,0)</f>
      </c>
      <c r="M5367" s="29">
        <f>IFERROR((G5367*H5367*I5367/1000000)*D5367,0)</f>
      </c>
    </row>
    <row r="5368" spans="1:13" x14ac:dyDescent="0.25">
      <c r="A5368" s="16"/>
      <c r="E5368" s="27"/>
      <c r="F5368" t="s">
        <v>26</v>
      </c>
      <c r="G5368" s="28">
        <f>IFERROR(VLOOKUP(F5368,CARTON_LOOKUP!$A:$E,3,0),"")</f>
      </c>
      <c r="H5368" s="28">
        <f>IFERROR(VLOOKUP(F5368,CARTON_LOOKUP!$A:$E,4,0),"")</f>
      </c>
      <c r="I5368" s="28">
        <f>IFERROR(VLOOKUP(F5368,CARTON_LOOKUP!$A:$E,5,0),"")</f>
      </c>
      <c r="J5368" s="29">
        <f>IFERROR(VLOOKUP(F5368,CARTON_LOOKUP!$A:$E,2,0),"")</f>
      </c>
      <c r="K5368" s="29">
        <f>IFERROR(J5368*D5368,0)</f>
      </c>
      <c r="L5368" s="29">
        <f>IFERROR(E5368*C5368,0)</f>
      </c>
      <c r="M5368" s="29">
        <f>IFERROR((G5368*H5368*I5368/1000000)*D5368,0)</f>
      </c>
    </row>
    <row r="5369" spans="1:13" x14ac:dyDescent="0.25">
      <c r="A5369" s="16"/>
      <c r="E5369" s="27"/>
      <c r="F5369" t="s">
        <v>26</v>
      </c>
      <c r="G5369" s="28">
        <f>IFERROR(VLOOKUP(F5369,CARTON_LOOKUP!$A:$E,3,0),"")</f>
      </c>
      <c r="H5369" s="28">
        <f>IFERROR(VLOOKUP(F5369,CARTON_LOOKUP!$A:$E,4,0),"")</f>
      </c>
      <c r="I5369" s="28">
        <f>IFERROR(VLOOKUP(F5369,CARTON_LOOKUP!$A:$E,5,0),"")</f>
      </c>
      <c r="J5369" s="29">
        <f>IFERROR(VLOOKUP(F5369,CARTON_LOOKUP!$A:$E,2,0),"")</f>
      </c>
      <c r="K5369" s="29">
        <f>IFERROR(J5369*D5369,0)</f>
      </c>
      <c r="L5369" s="29">
        <f>IFERROR(E5369*C5369,0)</f>
      </c>
      <c r="M5369" s="29">
        <f>IFERROR((G5369*H5369*I5369/1000000)*D5369,0)</f>
      </c>
    </row>
    <row r="5370" spans="1:13" x14ac:dyDescent="0.25">
      <c r="A5370" s="16"/>
      <c r="E5370" s="27"/>
      <c r="F5370" t="s">
        <v>26</v>
      </c>
      <c r="G5370" s="28">
        <f>IFERROR(VLOOKUP(F5370,CARTON_LOOKUP!$A:$E,3,0),"")</f>
      </c>
      <c r="H5370" s="28">
        <f>IFERROR(VLOOKUP(F5370,CARTON_LOOKUP!$A:$E,4,0),"")</f>
      </c>
      <c r="I5370" s="28">
        <f>IFERROR(VLOOKUP(F5370,CARTON_LOOKUP!$A:$E,5,0),"")</f>
      </c>
      <c r="J5370" s="29">
        <f>IFERROR(VLOOKUP(F5370,CARTON_LOOKUP!$A:$E,2,0),"")</f>
      </c>
      <c r="K5370" s="29">
        <f>IFERROR(J5370*D5370,0)</f>
      </c>
      <c r="L5370" s="29">
        <f>IFERROR(E5370*C5370,0)</f>
      </c>
      <c r="M5370" s="29">
        <f>IFERROR((G5370*H5370*I5370/1000000)*D5370,0)</f>
      </c>
    </row>
    <row r="5371" spans="1:13" x14ac:dyDescent="0.25">
      <c r="A5371" s="16"/>
      <c r="E5371" s="27"/>
      <c r="F5371" t="s">
        <v>26</v>
      </c>
      <c r="G5371" s="28">
        <f>IFERROR(VLOOKUP(F5371,CARTON_LOOKUP!$A:$E,3,0),"")</f>
      </c>
      <c r="H5371" s="28">
        <f>IFERROR(VLOOKUP(F5371,CARTON_LOOKUP!$A:$E,4,0),"")</f>
      </c>
      <c r="I5371" s="28">
        <f>IFERROR(VLOOKUP(F5371,CARTON_LOOKUP!$A:$E,5,0),"")</f>
      </c>
      <c r="J5371" s="29">
        <f>IFERROR(VLOOKUP(F5371,CARTON_LOOKUP!$A:$E,2,0),"")</f>
      </c>
      <c r="K5371" s="29">
        <f>IFERROR(J5371*D5371,0)</f>
      </c>
      <c r="L5371" s="29">
        <f>IFERROR(E5371*C5371,0)</f>
      </c>
      <c r="M5371" s="29">
        <f>IFERROR((G5371*H5371*I5371/1000000)*D5371,0)</f>
      </c>
    </row>
    <row r="5372" spans="1:13" x14ac:dyDescent="0.25">
      <c r="A5372" s="16"/>
      <c r="E5372" s="27"/>
      <c r="F5372" t="s">
        <v>26</v>
      </c>
      <c r="G5372" s="28">
        <f>IFERROR(VLOOKUP(F5372,CARTON_LOOKUP!$A:$E,3,0),"")</f>
      </c>
      <c r="H5372" s="28">
        <f>IFERROR(VLOOKUP(F5372,CARTON_LOOKUP!$A:$E,4,0),"")</f>
      </c>
      <c r="I5372" s="28">
        <f>IFERROR(VLOOKUP(F5372,CARTON_LOOKUP!$A:$E,5,0),"")</f>
      </c>
      <c r="J5372" s="29">
        <f>IFERROR(VLOOKUP(F5372,CARTON_LOOKUP!$A:$E,2,0),"")</f>
      </c>
      <c r="K5372" s="29">
        <f>IFERROR(J5372*D5372,0)</f>
      </c>
      <c r="L5372" s="29">
        <f>IFERROR(E5372*C5372,0)</f>
      </c>
      <c r="M5372" s="29">
        <f>IFERROR((G5372*H5372*I5372/1000000)*D5372,0)</f>
      </c>
    </row>
    <row r="5373" spans="1:13" x14ac:dyDescent="0.25">
      <c r="A5373" s="16"/>
      <c r="E5373" s="27"/>
      <c r="F5373" t="s">
        <v>26</v>
      </c>
      <c r="G5373" s="28">
        <f>IFERROR(VLOOKUP(F5373,CARTON_LOOKUP!$A:$E,3,0),"")</f>
      </c>
      <c r="H5373" s="28">
        <f>IFERROR(VLOOKUP(F5373,CARTON_LOOKUP!$A:$E,4,0),"")</f>
      </c>
      <c r="I5373" s="28">
        <f>IFERROR(VLOOKUP(F5373,CARTON_LOOKUP!$A:$E,5,0),"")</f>
      </c>
      <c r="J5373" s="29">
        <f>IFERROR(VLOOKUP(F5373,CARTON_LOOKUP!$A:$E,2,0),"")</f>
      </c>
      <c r="K5373" s="29">
        <f>IFERROR(J5373*D5373,0)</f>
      </c>
      <c r="L5373" s="29">
        <f>IFERROR(E5373*C5373,0)</f>
      </c>
      <c r="M5373" s="29">
        <f>IFERROR((G5373*H5373*I5373/1000000)*D5373,0)</f>
      </c>
    </row>
    <row r="5374" spans="1:13" x14ac:dyDescent="0.25">
      <c r="A5374" s="16"/>
      <c r="E5374" s="27"/>
      <c r="F5374" t="s">
        <v>26</v>
      </c>
      <c r="G5374" s="28">
        <f>IFERROR(VLOOKUP(F5374,CARTON_LOOKUP!$A:$E,3,0),"")</f>
      </c>
      <c r="H5374" s="28">
        <f>IFERROR(VLOOKUP(F5374,CARTON_LOOKUP!$A:$E,4,0),"")</f>
      </c>
      <c r="I5374" s="28">
        <f>IFERROR(VLOOKUP(F5374,CARTON_LOOKUP!$A:$E,5,0),"")</f>
      </c>
      <c r="J5374" s="29">
        <f>IFERROR(VLOOKUP(F5374,CARTON_LOOKUP!$A:$E,2,0),"")</f>
      </c>
      <c r="K5374" s="29">
        <f>IFERROR(J5374*D5374,0)</f>
      </c>
      <c r="L5374" s="29">
        <f>IFERROR(E5374*C5374,0)</f>
      </c>
      <c r="M5374" s="29">
        <f>IFERROR((G5374*H5374*I5374/1000000)*D5374,0)</f>
      </c>
    </row>
    <row r="5375" spans="1:13" x14ac:dyDescent="0.25">
      <c r="A5375" s="16"/>
      <c r="E5375" s="27"/>
      <c r="F5375" t="s">
        <v>26</v>
      </c>
      <c r="G5375" s="28">
        <f>IFERROR(VLOOKUP(F5375,CARTON_LOOKUP!$A:$E,3,0),"")</f>
      </c>
      <c r="H5375" s="28">
        <f>IFERROR(VLOOKUP(F5375,CARTON_LOOKUP!$A:$E,4,0),"")</f>
      </c>
      <c r="I5375" s="28">
        <f>IFERROR(VLOOKUP(F5375,CARTON_LOOKUP!$A:$E,5,0),"")</f>
      </c>
      <c r="J5375" s="29">
        <f>IFERROR(VLOOKUP(F5375,CARTON_LOOKUP!$A:$E,2,0),"")</f>
      </c>
      <c r="K5375" s="29">
        <f>IFERROR(J5375*D5375,0)</f>
      </c>
      <c r="L5375" s="29">
        <f>IFERROR(E5375*C5375,0)</f>
      </c>
      <c r="M5375" s="29">
        <f>IFERROR((G5375*H5375*I5375/1000000)*D5375,0)</f>
      </c>
    </row>
    <row r="5376" spans="1:13" x14ac:dyDescent="0.25">
      <c r="A5376" s="16"/>
      <c r="E5376" s="27"/>
      <c r="F5376" t="s">
        <v>26</v>
      </c>
      <c r="G5376" s="28">
        <f>IFERROR(VLOOKUP(F5376,CARTON_LOOKUP!$A:$E,3,0),"")</f>
      </c>
      <c r="H5376" s="28">
        <f>IFERROR(VLOOKUP(F5376,CARTON_LOOKUP!$A:$E,4,0),"")</f>
      </c>
      <c r="I5376" s="28">
        <f>IFERROR(VLOOKUP(F5376,CARTON_LOOKUP!$A:$E,5,0),"")</f>
      </c>
      <c r="J5376" s="29">
        <f>IFERROR(VLOOKUP(F5376,CARTON_LOOKUP!$A:$E,2,0),"")</f>
      </c>
      <c r="K5376" s="29">
        <f>IFERROR(J5376*D5376,0)</f>
      </c>
      <c r="L5376" s="29">
        <f>IFERROR(E5376*C5376,0)</f>
      </c>
      <c r="M5376" s="29">
        <f>IFERROR((G5376*H5376*I5376/1000000)*D5376,0)</f>
      </c>
    </row>
    <row r="5377" spans="1:13" x14ac:dyDescent="0.25">
      <c r="A5377" s="16"/>
      <c r="E5377" s="27"/>
      <c r="F5377" t="s">
        <v>26</v>
      </c>
      <c r="G5377" s="28">
        <f>IFERROR(VLOOKUP(F5377,CARTON_LOOKUP!$A:$E,3,0),"")</f>
      </c>
      <c r="H5377" s="28">
        <f>IFERROR(VLOOKUP(F5377,CARTON_LOOKUP!$A:$E,4,0),"")</f>
      </c>
      <c r="I5377" s="28">
        <f>IFERROR(VLOOKUP(F5377,CARTON_LOOKUP!$A:$E,5,0),"")</f>
      </c>
      <c r="J5377" s="29">
        <f>IFERROR(VLOOKUP(F5377,CARTON_LOOKUP!$A:$E,2,0),"")</f>
      </c>
      <c r="K5377" s="29">
        <f>IFERROR(J5377*D5377,0)</f>
      </c>
      <c r="L5377" s="29">
        <f>IFERROR(E5377*C5377,0)</f>
      </c>
      <c r="M5377" s="29">
        <f>IFERROR((G5377*H5377*I5377/1000000)*D5377,0)</f>
      </c>
    </row>
    <row r="5378" spans="1:13" x14ac:dyDescent="0.25">
      <c r="A5378" s="16"/>
      <c r="E5378" s="27"/>
      <c r="F5378" t="s">
        <v>26</v>
      </c>
      <c r="G5378" s="28">
        <f>IFERROR(VLOOKUP(F5378,CARTON_LOOKUP!$A:$E,3,0),"")</f>
      </c>
      <c r="H5378" s="28">
        <f>IFERROR(VLOOKUP(F5378,CARTON_LOOKUP!$A:$E,4,0),"")</f>
      </c>
      <c r="I5378" s="28">
        <f>IFERROR(VLOOKUP(F5378,CARTON_LOOKUP!$A:$E,5,0),"")</f>
      </c>
      <c r="J5378" s="29">
        <f>IFERROR(VLOOKUP(F5378,CARTON_LOOKUP!$A:$E,2,0),"")</f>
      </c>
      <c r="K5378" s="29">
        <f>IFERROR(J5378*D5378,0)</f>
      </c>
      <c r="L5378" s="29">
        <f>IFERROR(E5378*C5378,0)</f>
      </c>
      <c r="M5378" s="29">
        <f>IFERROR((G5378*H5378*I5378/1000000)*D5378,0)</f>
      </c>
    </row>
    <row r="5379" spans="1:13" x14ac:dyDescent="0.25">
      <c r="A5379" s="16"/>
      <c r="E5379" s="27"/>
      <c r="F5379" t="s">
        <v>26</v>
      </c>
      <c r="G5379" s="28">
        <f>IFERROR(VLOOKUP(F5379,CARTON_LOOKUP!$A:$E,3,0),"")</f>
      </c>
      <c r="H5379" s="28">
        <f>IFERROR(VLOOKUP(F5379,CARTON_LOOKUP!$A:$E,4,0),"")</f>
      </c>
      <c r="I5379" s="28">
        <f>IFERROR(VLOOKUP(F5379,CARTON_LOOKUP!$A:$E,5,0),"")</f>
      </c>
      <c r="J5379" s="29">
        <f>IFERROR(VLOOKUP(F5379,CARTON_LOOKUP!$A:$E,2,0),"")</f>
      </c>
      <c r="K5379" s="29">
        <f>IFERROR(J5379*D5379,0)</f>
      </c>
      <c r="L5379" s="29">
        <f>IFERROR(E5379*C5379,0)</f>
      </c>
      <c r="M5379" s="29">
        <f>IFERROR((G5379*H5379*I5379/1000000)*D5379,0)</f>
      </c>
    </row>
    <row r="5380" spans="1:13" x14ac:dyDescent="0.25">
      <c r="A5380" s="16"/>
      <c r="E5380" s="27"/>
      <c r="F5380" t="s">
        <v>26</v>
      </c>
      <c r="G5380" s="28">
        <f>IFERROR(VLOOKUP(F5380,CARTON_LOOKUP!$A:$E,3,0),"")</f>
      </c>
      <c r="H5380" s="28">
        <f>IFERROR(VLOOKUP(F5380,CARTON_LOOKUP!$A:$E,4,0),"")</f>
      </c>
      <c r="I5380" s="28">
        <f>IFERROR(VLOOKUP(F5380,CARTON_LOOKUP!$A:$E,5,0),"")</f>
      </c>
      <c r="J5380" s="29">
        <f>IFERROR(VLOOKUP(F5380,CARTON_LOOKUP!$A:$E,2,0),"")</f>
      </c>
      <c r="K5380" s="29">
        <f>IFERROR(J5380*D5380,0)</f>
      </c>
      <c r="L5380" s="29">
        <f>IFERROR(E5380*C5380,0)</f>
      </c>
      <c r="M5380" s="29">
        <f>IFERROR((G5380*H5380*I5380/1000000)*D5380,0)</f>
      </c>
    </row>
    <row r="5381" spans="1:13" x14ac:dyDescent="0.25">
      <c r="A5381" s="16"/>
      <c r="E5381" s="27"/>
      <c r="F5381" t="s">
        <v>26</v>
      </c>
      <c r="G5381" s="28">
        <f>IFERROR(VLOOKUP(F5381,CARTON_LOOKUP!$A:$E,3,0),"")</f>
      </c>
      <c r="H5381" s="28">
        <f>IFERROR(VLOOKUP(F5381,CARTON_LOOKUP!$A:$E,4,0),"")</f>
      </c>
      <c r="I5381" s="28">
        <f>IFERROR(VLOOKUP(F5381,CARTON_LOOKUP!$A:$E,5,0),"")</f>
      </c>
      <c r="J5381" s="29">
        <f>IFERROR(VLOOKUP(F5381,CARTON_LOOKUP!$A:$E,2,0),"")</f>
      </c>
      <c r="K5381" s="29">
        <f>IFERROR(J5381*D5381,0)</f>
      </c>
      <c r="L5381" s="29">
        <f>IFERROR(E5381*C5381,0)</f>
      </c>
      <c r="M5381" s="29">
        <f>IFERROR((G5381*H5381*I5381/1000000)*D5381,0)</f>
      </c>
    </row>
    <row r="5382" spans="1:13" x14ac:dyDescent="0.25">
      <c r="A5382" s="16"/>
      <c r="E5382" s="27"/>
      <c r="F5382" t="s">
        <v>26</v>
      </c>
      <c r="G5382" s="28">
        <f>IFERROR(VLOOKUP(F5382,CARTON_LOOKUP!$A:$E,3,0),"")</f>
      </c>
      <c r="H5382" s="28">
        <f>IFERROR(VLOOKUP(F5382,CARTON_LOOKUP!$A:$E,4,0),"")</f>
      </c>
      <c r="I5382" s="28">
        <f>IFERROR(VLOOKUP(F5382,CARTON_LOOKUP!$A:$E,5,0),"")</f>
      </c>
      <c r="J5382" s="29">
        <f>IFERROR(VLOOKUP(F5382,CARTON_LOOKUP!$A:$E,2,0),"")</f>
      </c>
      <c r="K5382" s="29">
        <f>IFERROR(J5382*D5382,0)</f>
      </c>
      <c r="L5382" s="29">
        <f>IFERROR(E5382*C5382,0)</f>
      </c>
      <c r="M5382" s="29">
        <f>IFERROR((G5382*H5382*I5382/1000000)*D5382,0)</f>
      </c>
    </row>
    <row r="5383" spans="1:13" x14ac:dyDescent="0.25">
      <c r="A5383" s="16"/>
      <c r="E5383" s="27"/>
      <c r="F5383" t="s">
        <v>26</v>
      </c>
      <c r="G5383" s="28">
        <f>IFERROR(VLOOKUP(F5383,CARTON_LOOKUP!$A:$E,3,0),"")</f>
      </c>
      <c r="H5383" s="28">
        <f>IFERROR(VLOOKUP(F5383,CARTON_LOOKUP!$A:$E,4,0),"")</f>
      </c>
      <c r="I5383" s="28">
        <f>IFERROR(VLOOKUP(F5383,CARTON_LOOKUP!$A:$E,5,0),"")</f>
      </c>
      <c r="J5383" s="29">
        <f>IFERROR(VLOOKUP(F5383,CARTON_LOOKUP!$A:$E,2,0),"")</f>
      </c>
      <c r="K5383" s="29">
        <f>IFERROR(J5383*D5383,0)</f>
      </c>
      <c r="L5383" s="29">
        <f>IFERROR(E5383*C5383,0)</f>
      </c>
      <c r="M5383" s="29">
        <f>IFERROR((G5383*H5383*I5383/1000000)*D5383,0)</f>
      </c>
    </row>
    <row r="5384" spans="1:13" x14ac:dyDescent="0.25">
      <c r="A5384" s="16"/>
      <c r="E5384" s="27"/>
      <c r="F5384" t="s">
        <v>26</v>
      </c>
      <c r="G5384" s="28">
        <f>IFERROR(VLOOKUP(F5384,CARTON_LOOKUP!$A:$E,3,0),"")</f>
      </c>
      <c r="H5384" s="28">
        <f>IFERROR(VLOOKUP(F5384,CARTON_LOOKUP!$A:$E,4,0),"")</f>
      </c>
      <c r="I5384" s="28">
        <f>IFERROR(VLOOKUP(F5384,CARTON_LOOKUP!$A:$E,5,0),"")</f>
      </c>
      <c r="J5384" s="29">
        <f>IFERROR(VLOOKUP(F5384,CARTON_LOOKUP!$A:$E,2,0),"")</f>
      </c>
      <c r="K5384" s="29">
        <f>IFERROR(J5384*D5384,0)</f>
      </c>
      <c r="L5384" s="29">
        <f>IFERROR(E5384*C5384,0)</f>
      </c>
      <c r="M5384" s="29">
        <f>IFERROR((G5384*H5384*I5384/1000000)*D5384,0)</f>
      </c>
    </row>
    <row r="5385" spans="1:13" x14ac:dyDescent="0.25">
      <c r="A5385" s="16"/>
      <c r="E5385" s="27"/>
      <c r="F5385" t="s">
        <v>26</v>
      </c>
      <c r="G5385" s="28">
        <f>IFERROR(VLOOKUP(F5385,CARTON_LOOKUP!$A:$E,3,0),"")</f>
      </c>
      <c r="H5385" s="28">
        <f>IFERROR(VLOOKUP(F5385,CARTON_LOOKUP!$A:$E,4,0),"")</f>
      </c>
      <c r="I5385" s="28">
        <f>IFERROR(VLOOKUP(F5385,CARTON_LOOKUP!$A:$E,5,0),"")</f>
      </c>
      <c r="J5385" s="29">
        <f>IFERROR(VLOOKUP(F5385,CARTON_LOOKUP!$A:$E,2,0),"")</f>
      </c>
      <c r="K5385" s="29">
        <f>IFERROR(J5385*D5385,0)</f>
      </c>
      <c r="L5385" s="29">
        <f>IFERROR(E5385*C5385,0)</f>
      </c>
      <c r="M5385" s="29">
        <f>IFERROR((G5385*H5385*I5385/1000000)*D5385,0)</f>
      </c>
    </row>
    <row r="5386" spans="1:13" x14ac:dyDescent="0.25">
      <c r="A5386" s="16"/>
      <c r="E5386" s="27"/>
      <c r="F5386" t="s">
        <v>26</v>
      </c>
      <c r="G5386" s="28">
        <f>IFERROR(VLOOKUP(F5386,CARTON_LOOKUP!$A:$E,3,0),"")</f>
      </c>
      <c r="H5386" s="28">
        <f>IFERROR(VLOOKUP(F5386,CARTON_LOOKUP!$A:$E,4,0),"")</f>
      </c>
      <c r="I5386" s="28">
        <f>IFERROR(VLOOKUP(F5386,CARTON_LOOKUP!$A:$E,5,0),"")</f>
      </c>
      <c r="J5386" s="29">
        <f>IFERROR(VLOOKUP(F5386,CARTON_LOOKUP!$A:$E,2,0),"")</f>
      </c>
      <c r="K5386" s="29">
        <f>IFERROR(J5386*D5386,0)</f>
      </c>
      <c r="L5386" s="29">
        <f>IFERROR(E5386*C5386,0)</f>
      </c>
      <c r="M5386" s="29">
        <f>IFERROR((G5386*H5386*I5386/1000000)*D5386,0)</f>
      </c>
    </row>
    <row r="5387" spans="1:13" x14ac:dyDescent="0.25">
      <c r="A5387" s="16"/>
      <c r="E5387" s="27"/>
      <c r="F5387" t="s">
        <v>26</v>
      </c>
      <c r="G5387" s="28">
        <f>IFERROR(VLOOKUP(F5387,CARTON_LOOKUP!$A:$E,3,0),"")</f>
      </c>
      <c r="H5387" s="28">
        <f>IFERROR(VLOOKUP(F5387,CARTON_LOOKUP!$A:$E,4,0),"")</f>
      </c>
      <c r="I5387" s="28">
        <f>IFERROR(VLOOKUP(F5387,CARTON_LOOKUP!$A:$E,5,0),"")</f>
      </c>
      <c r="J5387" s="29">
        <f>IFERROR(VLOOKUP(F5387,CARTON_LOOKUP!$A:$E,2,0),"")</f>
      </c>
      <c r="K5387" s="29">
        <f>IFERROR(J5387*D5387,0)</f>
      </c>
      <c r="L5387" s="29">
        <f>IFERROR(E5387*C5387,0)</f>
      </c>
      <c r="M5387" s="29">
        <f>IFERROR((G5387*H5387*I5387/1000000)*D5387,0)</f>
      </c>
    </row>
    <row r="5388" spans="1:13" x14ac:dyDescent="0.25">
      <c r="A5388" s="16"/>
      <c r="E5388" s="27"/>
      <c r="F5388" t="s">
        <v>26</v>
      </c>
      <c r="G5388" s="28">
        <f>IFERROR(VLOOKUP(F5388,CARTON_LOOKUP!$A:$E,3,0),"")</f>
      </c>
      <c r="H5388" s="28">
        <f>IFERROR(VLOOKUP(F5388,CARTON_LOOKUP!$A:$E,4,0),"")</f>
      </c>
      <c r="I5388" s="28">
        <f>IFERROR(VLOOKUP(F5388,CARTON_LOOKUP!$A:$E,5,0),"")</f>
      </c>
      <c r="J5388" s="29">
        <f>IFERROR(VLOOKUP(F5388,CARTON_LOOKUP!$A:$E,2,0),"")</f>
      </c>
      <c r="K5388" s="29">
        <f>IFERROR(J5388*D5388,0)</f>
      </c>
      <c r="L5388" s="29">
        <f>IFERROR(E5388*C5388,0)</f>
      </c>
      <c r="M5388" s="29">
        <f>IFERROR((G5388*H5388*I5388/1000000)*D5388,0)</f>
      </c>
    </row>
    <row r="5389" spans="1:13" x14ac:dyDescent="0.25">
      <c r="A5389" s="16"/>
      <c r="E5389" s="27"/>
      <c r="F5389" t="s">
        <v>26</v>
      </c>
      <c r="G5389" s="28">
        <f>IFERROR(VLOOKUP(F5389,CARTON_LOOKUP!$A:$E,3,0),"")</f>
      </c>
      <c r="H5389" s="28">
        <f>IFERROR(VLOOKUP(F5389,CARTON_LOOKUP!$A:$E,4,0),"")</f>
      </c>
      <c r="I5389" s="28">
        <f>IFERROR(VLOOKUP(F5389,CARTON_LOOKUP!$A:$E,5,0),"")</f>
      </c>
      <c r="J5389" s="29">
        <f>IFERROR(VLOOKUP(F5389,CARTON_LOOKUP!$A:$E,2,0),"")</f>
      </c>
      <c r="K5389" s="29">
        <f>IFERROR(J5389*D5389,0)</f>
      </c>
      <c r="L5389" s="29">
        <f>IFERROR(E5389*C5389,0)</f>
      </c>
      <c r="M5389" s="29">
        <f>IFERROR((G5389*H5389*I5389/1000000)*D5389,0)</f>
      </c>
    </row>
    <row r="5390" spans="1:13" x14ac:dyDescent="0.25">
      <c r="A5390" s="16"/>
      <c r="E5390" s="27"/>
      <c r="F5390" t="s">
        <v>26</v>
      </c>
      <c r="G5390" s="28">
        <f>IFERROR(VLOOKUP(F5390,CARTON_LOOKUP!$A:$E,3,0),"")</f>
      </c>
      <c r="H5390" s="28">
        <f>IFERROR(VLOOKUP(F5390,CARTON_LOOKUP!$A:$E,4,0),"")</f>
      </c>
      <c r="I5390" s="28">
        <f>IFERROR(VLOOKUP(F5390,CARTON_LOOKUP!$A:$E,5,0),"")</f>
      </c>
      <c r="J5390" s="29">
        <f>IFERROR(VLOOKUP(F5390,CARTON_LOOKUP!$A:$E,2,0),"")</f>
      </c>
      <c r="K5390" s="29">
        <f>IFERROR(J5390*D5390,0)</f>
      </c>
      <c r="L5390" s="29">
        <f>IFERROR(E5390*C5390,0)</f>
      </c>
      <c r="M5390" s="29">
        <f>IFERROR((G5390*H5390*I5390/1000000)*D5390,0)</f>
      </c>
    </row>
    <row r="5391" spans="1:13" x14ac:dyDescent="0.25">
      <c r="A5391" s="16"/>
      <c r="E5391" s="27"/>
      <c r="F5391" t="s">
        <v>26</v>
      </c>
      <c r="G5391" s="28">
        <f>IFERROR(VLOOKUP(F5391,CARTON_LOOKUP!$A:$E,3,0),"")</f>
      </c>
      <c r="H5391" s="28">
        <f>IFERROR(VLOOKUP(F5391,CARTON_LOOKUP!$A:$E,4,0),"")</f>
      </c>
      <c r="I5391" s="28">
        <f>IFERROR(VLOOKUP(F5391,CARTON_LOOKUP!$A:$E,5,0),"")</f>
      </c>
      <c r="J5391" s="29">
        <f>IFERROR(VLOOKUP(F5391,CARTON_LOOKUP!$A:$E,2,0),"")</f>
      </c>
      <c r="K5391" s="29">
        <f>IFERROR(J5391*D5391,0)</f>
      </c>
      <c r="L5391" s="29">
        <f>IFERROR(E5391*C5391,0)</f>
      </c>
      <c r="M5391" s="29">
        <f>IFERROR((G5391*H5391*I5391/1000000)*D5391,0)</f>
      </c>
    </row>
    <row r="5392" spans="1:13" x14ac:dyDescent="0.25">
      <c r="A5392" s="16"/>
      <c r="E5392" s="27"/>
      <c r="F5392" t="s">
        <v>26</v>
      </c>
      <c r="G5392" s="28">
        <f>IFERROR(VLOOKUP(F5392,CARTON_LOOKUP!$A:$E,3,0),"")</f>
      </c>
      <c r="H5392" s="28">
        <f>IFERROR(VLOOKUP(F5392,CARTON_LOOKUP!$A:$E,4,0),"")</f>
      </c>
      <c r="I5392" s="28">
        <f>IFERROR(VLOOKUP(F5392,CARTON_LOOKUP!$A:$E,5,0),"")</f>
      </c>
      <c r="J5392" s="29">
        <f>IFERROR(VLOOKUP(F5392,CARTON_LOOKUP!$A:$E,2,0),"")</f>
      </c>
      <c r="K5392" s="29">
        <f>IFERROR(J5392*D5392,0)</f>
      </c>
      <c r="L5392" s="29">
        <f>IFERROR(E5392*C5392,0)</f>
      </c>
      <c r="M5392" s="29">
        <f>IFERROR((G5392*H5392*I5392/1000000)*D5392,0)</f>
      </c>
    </row>
    <row r="5393" spans="1:13" x14ac:dyDescent="0.25">
      <c r="A5393" s="16"/>
      <c r="E5393" s="27"/>
      <c r="F5393" t="s">
        <v>26</v>
      </c>
      <c r="G5393" s="28">
        <f>IFERROR(VLOOKUP(F5393,CARTON_LOOKUP!$A:$E,3,0),"")</f>
      </c>
      <c r="H5393" s="28">
        <f>IFERROR(VLOOKUP(F5393,CARTON_LOOKUP!$A:$E,4,0),"")</f>
      </c>
      <c r="I5393" s="28">
        <f>IFERROR(VLOOKUP(F5393,CARTON_LOOKUP!$A:$E,5,0),"")</f>
      </c>
      <c r="J5393" s="29">
        <f>IFERROR(VLOOKUP(F5393,CARTON_LOOKUP!$A:$E,2,0),"")</f>
      </c>
      <c r="K5393" s="29">
        <f>IFERROR(J5393*D5393,0)</f>
      </c>
      <c r="L5393" s="29">
        <f>IFERROR(E5393*C5393,0)</f>
      </c>
      <c r="M5393" s="29">
        <f>IFERROR((G5393*H5393*I5393/1000000)*D5393,0)</f>
      </c>
    </row>
    <row r="5394" spans="1:13" x14ac:dyDescent="0.25">
      <c r="A5394" s="16"/>
      <c r="E5394" s="27"/>
      <c r="F5394" t="s">
        <v>26</v>
      </c>
      <c r="G5394" s="28">
        <f>IFERROR(VLOOKUP(F5394,CARTON_LOOKUP!$A:$E,3,0),"")</f>
      </c>
      <c r="H5394" s="28">
        <f>IFERROR(VLOOKUP(F5394,CARTON_LOOKUP!$A:$E,4,0),"")</f>
      </c>
      <c r="I5394" s="28">
        <f>IFERROR(VLOOKUP(F5394,CARTON_LOOKUP!$A:$E,5,0),"")</f>
      </c>
      <c r="J5394" s="29">
        <f>IFERROR(VLOOKUP(F5394,CARTON_LOOKUP!$A:$E,2,0),"")</f>
      </c>
      <c r="K5394" s="29">
        <f>IFERROR(J5394*D5394,0)</f>
      </c>
      <c r="L5394" s="29">
        <f>IFERROR(E5394*C5394,0)</f>
      </c>
      <c r="M5394" s="29">
        <f>IFERROR((G5394*H5394*I5394/1000000)*D5394,0)</f>
      </c>
    </row>
    <row r="5395" spans="1:13" x14ac:dyDescent="0.25">
      <c r="A5395" s="16"/>
      <c r="E5395" s="27"/>
      <c r="F5395" t="s">
        <v>26</v>
      </c>
      <c r="G5395" s="28">
        <f>IFERROR(VLOOKUP(F5395,CARTON_LOOKUP!$A:$E,3,0),"")</f>
      </c>
      <c r="H5395" s="28">
        <f>IFERROR(VLOOKUP(F5395,CARTON_LOOKUP!$A:$E,4,0),"")</f>
      </c>
      <c r="I5395" s="28">
        <f>IFERROR(VLOOKUP(F5395,CARTON_LOOKUP!$A:$E,5,0),"")</f>
      </c>
      <c r="J5395" s="29">
        <f>IFERROR(VLOOKUP(F5395,CARTON_LOOKUP!$A:$E,2,0),"")</f>
      </c>
      <c r="K5395" s="29">
        <f>IFERROR(J5395*D5395,0)</f>
      </c>
      <c r="L5395" s="29">
        <f>IFERROR(E5395*C5395,0)</f>
      </c>
      <c r="M5395" s="29">
        <f>IFERROR((G5395*H5395*I5395/1000000)*D5395,0)</f>
      </c>
    </row>
    <row r="5396" spans="1:13" x14ac:dyDescent="0.25">
      <c r="A5396" s="16"/>
      <c r="E5396" s="27"/>
      <c r="F5396" t="s">
        <v>26</v>
      </c>
      <c r="G5396" s="28">
        <f>IFERROR(VLOOKUP(F5396,CARTON_LOOKUP!$A:$E,3,0),"")</f>
      </c>
      <c r="H5396" s="28">
        <f>IFERROR(VLOOKUP(F5396,CARTON_LOOKUP!$A:$E,4,0),"")</f>
      </c>
      <c r="I5396" s="28">
        <f>IFERROR(VLOOKUP(F5396,CARTON_LOOKUP!$A:$E,5,0),"")</f>
      </c>
      <c r="J5396" s="29">
        <f>IFERROR(VLOOKUP(F5396,CARTON_LOOKUP!$A:$E,2,0),"")</f>
      </c>
      <c r="K5396" s="29">
        <f>IFERROR(J5396*D5396,0)</f>
      </c>
      <c r="L5396" s="29">
        <f>IFERROR(E5396*C5396,0)</f>
      </c>
      <c r="M5396" s="29">
        <f>IFERROR((G5396*H5396*I5396/1000000)*D5396,0)</f>
      </c>
    </row>
    <row r="5397" spans="1:13" x14ac:dyDescent="0.25">
      <c r="A5397" s="16"/>
      <c r="E5397" s="27"/>
      <c r="F5397" t="s">
        <v>26</v>
      </c>
      <c r="G5397" s="28">
        <f>IFERROR(VLOOKUP(F5397,CARTON_LOOKUP!$A:$E,3,0),"")</f>
      </c>
      <c r="H5397" s="28">
        <f>IFERROR(VLOOKUP(F5397,CARTON_LOOKUP!$A:$E,4,0),"")</f>
      </c>
      <c r="I5397" s="28">
        <f>IFERROR(VLOOKUP(F5397,CARTON_LOOKUP!$A:$E,5,0),"")</f>
      </c>
      <c r="J5397" s="29">
        <f>IFERROR(VLOOKUP(F5397,CARTON_LOOKUP!$A:$E,2,0),"")</f>
      </c>
      <c r="K5397" s="29">
        <f>IFERROR(J5397*D5397,0)</f>
      </c>
      <c r="L5397" s="29">
        <f>IFERROR(E5397*C5397,0)</f>
      </c>
      <c r="M5397" s="29">
        <f>IFERROR((G5397*H5397*I5397/1000000)*D5397,0)</f>
      </c>
    </row>
    <row r="5398" spans="1:13" x14ac:dyDescent="0.25">
      <c r="A5398" s="16"/>
      <c r="E5398" s="27"/>
      <c r="F5398" t="s">
        <v>26</v>
      </c>
      <c r="G5398" s="28">
        <f>IFERROR(VLOOKUP(F5398,CARTON_LOOKUP!$A:$E,3,0),"")</f>
      </c>
      <c r="H5398" s="28">
        <f>IFERROR(VLOOKUP(F5398,CARTON_LOOKUP!$A:$E,4,0),"")</f>
      </c>
      <c r="I5398" s="28">
        <f>IFERROR(VLOOKUP(F5398,CARTON_LOOKUP!$A:$E,5,0),"")</f>
      </c>
      <c r="J5398" s="29">
        <f>IFERROR(VLOOKUP(F5398,CARTON_LOOKUP!$A:$E,2,0),"")</f>
      </c>
      <c r="K5398" s="29">
        <f>IFERROR(J5398*D5398,0)</f>
      </c>
      <c r="L5398" s="29">
        <f>IFERROR(E5398*C5398,0)</f>
      </c>
      <c r="M5398" s="29">
        <f>IFERROR((G5398*H5398*I5398/1000000)*D5398,0)</f>
      </c>
    </row>
    <row r="5399" spans="1:13" x14ac:dyDescent="0.25">
      <c r="A5399" s="16"/>
      <c r="E5399" s="27"/>
      <c r="F5399" t="s">
        <v>26</v>
      </c>
      <c r="G5399" s="28">
        <f>IFERROR(VLOOKUP(F5399,CARTON_LOOKUP!$A:$E,3,0),"")</f>
      </c>
      <c r="H5399" s="28">
        <f>IFERROR(VLOOKUP(F5399,CARTON_LOOKUP!$A:$E,4,0),"")</f>
      </c>
      <c r="I5399" s="28">
        <f>IFERROR(VLOOKUP(F5399,CARTON_LOOKUP!$A:$E,5,0),"")</f>
      </c>
      <c r="J5399" s="29">
        <f>IFERROR(VLOOKUP(F5399,CARTON_LOOKUP!$A:$E,2,0),"")</f>
      </c>
      <c r="K5399" s="29">
        <f>IFERROR(J5399*D5399,0)</f>
      </c>
      <c r="L5399" s="29">
        <f>IFERROR(E5399*C5399,0)</f>
      </c>
      <c r="M5399" s="29">
        <f>IFERROR((G5399*H5399*I5399/1000000)*D5399,0)</f>
      </c>
    </row>
    <row r="5400" spans="1:13" x14ac:dyDescent="0.25">
      <c r="A5400" s="16"/>
      <c r="E5400" s="27"/>
      <c r="F5400" t="s">
        <v>26</v>
      </c>
      <c r="G5400" s="28">
        <f>IFERROR(VLOOKUP(F5400,CARTON_LOOKUP!$A:$E,3,0),"")</f>
      </c>
      <c r="H5400" s="28">
        <f>IFERROR(VLOOKUP(F5400,CARTON_LOOKUP!$A:$E,4,0),"")</f>
      </c>
      <c r="I5400" s="28">
        <f>IFERROR(VLOOKUP(F5400,CARTON_LOOKUP!$A:$E,5,0),"")</f>
      </c>
      <c r="J5400" s="29">
        <f>IFERROR(VLOOKUP(F5400,CARTON_LOOKUP!$A:$E,2,0),"")</f>
      </c>
      <c r="K5400" s="29">
        <f>IFERROR(J5400*D5400,0)</f>
      </c>
      <c r="L5400" s="29">
        <f>IFERROR(E5400*C5400,0)</f>
      </c>
      <c r="M5400" s="29">
        <f>IFERROR((G5400*H5400*I5400/1000000)*D5400,0)</f>
      </c>
    </row>
    <row r="5401" spans="1:13" x14ac:dyDescent="0.25">
      <c r="A5401" s="16"/>
      <c r="E5401" s="27"/>
      <c r="F5401" t="s">
        <v>26</v>
      </c>
      <c r="G5401" s="28">
        <f>IFERROR(VLOOKUP(F5401,CARTON_LOOKUP!$A:$E,3,0),"")</f>
      </c>
      <c r="H5401" s="28">
        <f>IFERROR(VLOOKUP(F5401,CARTON_LOOKUP!$A:$E,4,0),"")</f>
      </c>
      <c r="I5401" s="28">
        <f>IFERROR(VLOOKUP(F5401,CARTON_LOOKUP!$A:$E,5,0),"")</f>
      </c>
      <c r="J5401" s="29">
        <f>IFERROR(VLOOKUP(F5401,CARTON_LOOKUP!$A:$E,2,0),"")</f>
      </c>
      <c r="K5401" s="29">
        <f>IFERROR(J5401*D5401,0)</f>
      </c>
      <c r="L5401" s="29">
        <f>IFERROR(E5401*C5401,0)</f>
      </c>
      <c r="M5401" s="29">
        <f>IFERROR((G5401*H5401*I5401/1000000)*D5401,0)</f>
      </c>
    </row>
    <row r="5402" spans="1:13" x14ac:dyDescent="0.25">
      <c r="A5402" s="16"/>
      <c r="E5402" s="27"/>
      <c r="F5402" t="s">
        <v>26</v>
      </c>
      <c r="G5402" s="28">
        <f>IFERROR(VLOOKUP(F5402,CARTON_LOOKUP!$A:$E,3,0),"")</f>
      </c>
      <c r="H5402" s="28">
        <f>IFERROR(VLOOKUP(F5402,CARTON_LOOKUP!$A:$E,4,0),"")</f>
      </c>
      <c r="I5402" s="28">
        <f>IFERROR(VLOOKUP(F5402,CARTON_LOOKUP!$A:$E,5,0),"")</f>
      </c>
      <c r="J5402" s="29">
        <f>IFERROR(VLOOKUP(F5402,CARTON_LOOKUP!$A:$E,2,0),"")</f>
      </c>
      <c r="K5402" s="29">
        <f>IFERROR(J5402*D5402,0)</f>
      </c>
      <c r="L5402" s="29">
        <f>IFERROR(E5402*C5402,0)</f>
      </c>
      <c r="M5402" s="29">
        <f>IFERROR((G5402*H5402*I5402/1000000)*D5402,0)</f>
      </c>
    </row>
    <row r="5403" spans="1:13" x14ac:dyDescent="0.25">
      <c r="A5403" s="16"/>
      <c r="E5403" s="27"/>
      <c r="F5403" t="s">
        <v>26</v>
      </c>
      <c r="G5403" s="28">
        <f>IFERROR(VLOOKUP(F5403,CARTON_LOOKUP!$A:$E,3,0),"")</f>
      </c>
      <c r="H5403" s="28">
        <f>IFERROR(VLOOKUP(F5403,CARTON_LOOKUP!$A:$E,4,0),"")</f>
      </c>
      <c r="I5403" s="28">
        <f>IFERROR(VLOOKUP(F5403,CARTON_LOOKUP!$A:$E,5,0),"")</f>
      </c>
      <c r="J5403" s="29">
        <f>IFERROR(VLOOKUP(F5403,CARTON_LOOKUP!$A:$E,2,0),"")</f>
      </c>
      <c r="K5403" s="29">
        <f>IFERROR(J5403*D5403,0)</f>
      </c>
      <c r="L5403" s="29">
        <f>IFERROR(E5403*C5403,0)</f>
      </c>
      <c r="M5403" s="29">
        <f>IFERROR((G5403*H5403*I5403/1000000)*D5403,0)</f>
      </c>
    </row>
    <row r="5404" spans="1:13" x14ac:dyDescent="0.25">
      <c r="A5404" s="16"/>
      <c r="E5404" s="27"/>
      <c r="F5404" t="s">
        <v>26</v>
      </c>
      <c r="G5404" s="28">
        <f>IFERROR(VLOOKUP(F5404,CARTON_LOOKUP!$A:$E,3,0),"")</f>
      </c>
      <c r="H5404" s="28">
        <f>IFERROR(VLOOKUP(F5404,CARTON_LOOKUP!$A:$E,4,0),"")</f>
      </c>
      <c r="I5404" s="28">
        <f>IFERROR(VLOOKUP(F5404,CARTON_LOOKUP!$A:$E,5,0),"")</f>
      </c>
      <c r="J5404" s="29">
        <f>IFERROR(VLOOKUP(F5404,CARTON_LOOKUP!$A:$E,2,0),"")</f>
      </c>
      <c r="K5404" s="29">
        <f>IFERROR(J5404*D5404,0)</f>
      </c>
      <c r="L5404" s="29">
        <f>IFERROR(E5404*C5404,0)</f>
      </c>
      <c r="M5404" s="29">
        <f>IFERROR((G5404*H5404*I5404/1000000)*D5404,0)</f>
      </c>
    </row>
    <row r="5405" spans="1:13" x14ac:dyDescent="0.25">
      <c r="A5405" s="16"/>
      <c r="E5405" s="27"/>
      <c r="F5405" t="s">
        <v>26</v>
      </c>
      <c r="G5405" s="28">
        <f>IFERROR(VLOOKUP(F5405,CARTON_LOOKUP!$A:$E,3,0),"")</f>
      </c>
      <c r="H5405" s="28">
        <f>IFERROR(VLOOKUP(F5405,CARTON_LOOKUP!$A:$E,4,0),"")</f>
      </c>
      <c r="I5405" s="28">
        <f>IFERROR(VLOOKUP(F5405,CARTON_LOOKUP!$A:$E,5,0),"")</f>
      </c>
      <c r="J5405" s="29">
        <f>IFERROR(VLOOKUP(F5405,CARTON_LOOKUP!$A:$E,2,0),"")</f>
      </c>
      <c r="K5405" s="29">
        <f>IFERROR(J5405*D5405,0)</f>
      </c>
      <c r="L5405" s="29">
        <f>IFERROR(E5405*C5405,0)</f>
      </c>
      <c r="M5405" s="29">
        <f>IFERROR((G5405*H5405*I5405/1000000)*D5405,0)</f>
      </c>
    </row>
    <row r="5406" spans="1:13" x14ac:dyDescent="0.25">
      <c r="A5406" s="16"/>
      <c r="E5406" s="27"/>
      <c r="F5406" t="s">
        <v>26</v>
      </c>
      <c r="G5406" s="28">
        <f>IFERROR(VLOOKUP(F5406,CARTON_LOOKUP!$A:$E,3,0),"")</f>
      </c>
      <c r="H5406" s="28">
        <f>IFERROR(VLOOKUP(F5406,CARTON_LOOKUP!$A:$E,4,0),"")</f>
      </c>
      <c r="I5406" s="28">
        <f>IFERROR(VLOOKUP(F5406,CARTON_LOOKUP!$A:$E,5,0),"")</f>
      </c>
      <c r="J5406" s="29">
        <f>IFERROR(VLOOKUP(F5406,CARTON_LOOKUP!$A:$E,2,0),"")</f>
      </c>
      <c r="K5406" s="29">
        <f>IFERROR(J5406*D5406,0)</f>
      </c>
      <c r="L5406" s="29">
        <f>IFERROR(E5406*C5406,0)</f>
      </c>
      <c r="M5406" s="29">
        <f>IFERROR((G5406*H5406*I5406/1000000)*D5406,0)</f>
      </c>
    </row>
    <row r="5407" spans="1:13" x14ac:dyDescent="0.25">
      <c r="A5407" s="16"/>
      <c r="E5407" s="27"/>
      <c r="F5407" t="s">
        <v>26</v>
      </c>
      <c r="G5407" s="28">
        <f>IFERROR(VLOOKUP(F5407,CARTON_LOOKUP!$A:$E,3,0),"")</f>
      </c>
      <c r="H5407" s="28">
        <f>IFERROR(VLOOKUP(F5407,CARTON_LOOKUP!$A:$E,4,0),"")</f>
      </c>
      <c r="I5407" s="28">
        <f>IFERROR(VLOOKUP(F5407,CARTON_LOOKUP!$A:$E,5,0),"")</f>
      </c>
      <c r="J5407" s="29">
        <f>IFERROR(VLOOKUP(F5407,CARTON_LOOKUP!$A:$E,2,0),"")</f>
      </c>
      <c r="K5407" s="29">
        <f>IFERROR(J5407*D5407,0)</f>
      </c>
      <c r="L5407" s="29">
        <f>IFERROR(E5407*C5407,0)</f>
      </c>
      <c r="M5407" s="29">
        <f>IFERROR((G5407*H5407*I5407/1000000)*D5407,0)</f>
      </c>
    </row>
    <row r="5408" spans="1:13" x14ac:dyDescent="0.25">
      <c r="A5408" s="16"/>
      <c r="E5408" s="27"/>
      <c r="F5408" t="s">
        <v>26</v>
      </c>
      <c r="G5408" s="28">
        <f>IFERROR(VLOOKUP(F5408,CARTON_LOOKUP!$A:$E,3,0),"")</f>
      </c>
      <c r="H5408" s="28">
        <f>IFERROR(VLOOKUP(F5408,CARTON_LOOKUP!$A:$E,4,0),"")</f>
      </c>
      <c r="I5408" s="28">
        <f>IFERROR(VLOOKUP(F5408,CARTON_LOOKUP!$A:$E,5,0),"")</f>
      </c>
      <c r="J5408" s="29">
        <f>IFERROR(VLOOKUP(F5408,CARTON_LOOKUP!$A:$E,2,0),"")</f>
      </c>
      <c r="K5408" s="29">
        <f>IFERROR(J5408*D5408,0)</f>
      </c>
      <c r="L5408" s="29">
        <f>IFERROR(E5408*C5408,0)</f>
      </c>
      <c r="M5408" s="29">
        <f>IFERROR((G5408*H5408*I5408/1000000)*D5408,0)</f>
      </c>
    </row>
    <row r="5409" spans="1:13" x14ac:dyDescent="0.25">
      <c r="A5409" s="16"/>
      <c r="E5409" s="27"/>
      <c r="F5409" t="s">
        <v>26</v>
      </c>
      <c r="G5409" s="28">
        <f>IFERROR(VLOOKUP(F5409,CARTON_LOOKUP!$A:$E,3,0),"")</f>
      </c>
      <c r="H5409" s="28">
        <f>IFERROR(VLOOKUP(F5409,CARTON_LOOKUP!$A:$E,4,0),"")</f>
      </c>
      <c r="I5409" s="28">
        <f>IFERROR(VLOOKUP(F5409,CARTON_LOOKUP!$A:$E,5,0),"")</f>
      </c>
      <c r="J5409" s="29">
        <f>IFERROR(VLOOKUP(F5409,CARTON_LOOKUP!$A:$E,2,0),"")</f>
      </c>
      <c r="K5409" s="29">
        <f>IFERROR(J5409*D5409,0)</f>
      </c>
      <c r="L5409" s="29">
        <f>IFERROR(E5409*C5409,0)</f>
      </c>
      <c r="M5409" s="29">
        <f>IFERROR((G5409*H5409*I5409/1000000)*D5409,0)</f>
      </c>
    </row>
    <row r="5410" spans="1:13" x14ac:dyDescent="0.25">
      <c r="A5410" s="16"/>
      <c r="E5410" s="27"/>
      <c r="F5410" t="s">
        <v>26</v>
      </c>
      <c r="G5410" s="28">
        <f>IFERROR(VLOOKUP(F5410,CARTON_LOOKUP!$A:$E,3,0),"")</f>
      </c>
      <c r="H5410" s="28">
        <f>IFERROR(VLOOKUP(F5410,CARTON_LOOKUP!$A:$E,4,0),"")</f>
      </c>
      <c r="I5410" s="28">
        <f>IFERROR(VLOOKUP(F5410,CARTON_LOOKUP!$A:$E,5,0),"")</f>
      </c>
      <c r="J5410" s="29">
        <f>IFERROR(VLOOKUP(F5410,CARTON_LOOKUP!$A:$E,2,0),"")</f>
      </c>
      <c r="K5410" s="29">
        <f>IFERROR(J5410*D5410,0)</f>
      </c>
      <c r="L5410" s="29">
        <f>IFERROR(E5410*C5410,0)</f>
      </c>
      <c r="M5410" s="29">
        <f>IFERROR((G5410*H5410*I5410/1000000)*D5410,0)</f>
      </c>
    </row>
    <row r="5411" spans="1:13" x14ac:dyDescent="0.25">
      <c r="A5411" s="16"/>
      <c r="E5411" s="27"/>
      <c r="F5411" t="s">
        <v>26</v>
      </c>
      <c r="G5411" s="28">
        <f>IFERROR(VLOOKUP(F5411,CARTON_LOOKUP!$A:$E,3,0),"")</f>
      </c>
      <c r="H5411" s="28">
        <f>IFERROR(VLOOKUP(F5411,CARTON_LOOKUP!$A:$E,4,0),"")</f>
      </c>
      <c r="I5411" s="28">
        <f>IFERROR(VLOOKUP(F5411,CARTON_LOOKUP!$A:$E,5,0),"")</f>
      </c>
      <c r="J5411" s="29">
        <f>IFERROR(VLOOKUP(F5411,CARTON_LOOKUP!$A:$E,2,0),"")</f>
      </c>
      <c r="K5411" s="29">
        <f>IFERROR(J5411*D5411,0)</f>
      </c>
      <c r="L5411" s="29">
        <f>IFERROR(E5411*C5411,0)</f>
      </c>
      <c r="M5411" s="29">
        <f>IFERROR((G5411*H5411*I5411/1000000)*D5411,0)</f>
      </c>
    </row>
    <row r="5412" spans="1:13" x14ac:dyDescent="0.25">
      <c r="A5412" s="16"/>
      <c r="E5412" s="27"/>
      <c r="F5412" t="s">
        <v>26</v>
      </c>
      <c r="G5412" s="28">
        <f>IFERROR(VLOOKUP(F5412,CARTON_LOOKUP!$A:$E,3,0),"")</f>
      </c>
      <c r="H5412" s="28">
        <f>IFERROR(VLOOKUP(F5412,CARTON_LOOKUP!$A:$E,4,0),"")</f>
      </c>
      <c r="I5412" s="28">
        <f>IFERROR(VLOOKUP(F5412,CARTON_LOOKUP!$A:$E,5,0),"")</f>
      </c>
      <c r="J5412" s="29">
        <f>IFERROR(VLOOKUP(F5412,CARTON_LOOKUP!$A:$E,2,0),"")</f>
      </c>
      <c r="K5412" s="29">
        <f>IFERROR(J5412*D5412,0)</f>
      </c>
      <c r="L5412" s="29">
        <f>IFERROR(E5412*C5412,0)</f>
      </c>
      <c r="M5412" s="29">
        <f>IFERROR((G5412*H5412*I5412/1000000)*D5412,0)</f>
      </c>
    </row>
    <row r="5413" spans="1:13" x14ac:dyDescent="0.25">
      <c r="A5413" s="16"/>
      <c r="E5413" s="27"/>
      <c r="F5413" t="s">
        <v>26</v>
      </c>
      <c r="G5413" s="28">
        <f>IFERROR(VLOOKUP(F5413,CARTON_LOOKUP!$A:$E,3,0),"")</f>
      </c>
      <c r="H5413" s="28">
        <f>IFERROR(VLOOKUP(F5413,CARTON_LOOKUP!$A:$E,4,0),"")</f>
      </c>
      <c r="I5413" s="28">
        <f>IFERROR(VLOOKUP(F5413,CARTON_LOOKUP!$A:$E,5,0),"")</f>
      </c>
      <c r="J5413" s="29">
        <f>IFERROR(VLOOKUP(F5413,CARTON_LOOKUP!$A:$E,2,0),"")</f>
      </c>
      <c r="K5413" s="29">
        <f>IFERROR(J5413*D5413,0)</f>
      </c>
      <c r="L5413" s="29">
        <f>IFERROR(E5413*C5413,0)</f>
      </c>
      <c r="M5413" s="29">
        <f>IFERROR((G5413*H5413*I5413/1000000)*D5413,0)</f>
      </c>
    </row>
    <row r="5414" spans="1:13" x14ac:dyDescent="0.25">
      <c r="A5414" s="16"/>
      <c r="E5414" s="27"/>
      <c r="F5414" t="s">
        <v>26</v>
      </c>
      <c r="G5414" s="28">
        <f>IFERROR(VLOOKUP(F5414,CARTON_LOOKUP!$A:$E,3,0),"")</f>
      </c>
      <c r="H5414" s="28">
        <f>IFERROR(VLOOKUP(F5414,CARTON_LOOKUP!$A:$E,4,0),"")</f>
      </c>
      <c r="I5414" s="28">
        <f>IFERROR(VLOOKUP(F5414,CARTON_LOOKUP!$A:$E,5,0),"")</f>
      </c>
      <c r="J5414" s="29">
        <f>IFERROR(VLOOKUP(F5414,CARTON_LOOKUP!$A:$E,2,0),"")</f>
      </c>
      <c r="K5414" s="29">
        <f>IFERROR(J5414*D5414,0)</f>
      </c>
      <c r="L5414" s="29">
        <f>IFERROR(E5414*C5414,0)</f>
      </c>
      <c r="M5414" s="29">
        <f>IFERROR((G5414*H5414*I5414/1000000)*D5414,0)</f>
      </c>
    </row>
    <row r="5415" spans="1:13" x14ac:dyDescent="0.25">
      <c r="A5415" s="16"/>
      <c r="E5415" s="27"/>
      <c r="F5415" t="s">
        <v>26</v>
      </c>
      <c r="G5415" s="28">
        <f>IFERROR(VLOOKUP(F5415,CARTON_LOOKUP!$A:$E,3,0),"")</f>
      </c>
      <c r="H5415" s="28">
        <f>IFERROR(VLOOKUP(F5415,CARTON_LOOKUP!$A:$E,4,0),"")</f>
      </c>
      <c r="I5415" s="28">
        <f>IFERROR(VLOOKUP(F5415,CARTON_LOOKUP!$A:$E,5,0),"")</f>
      </c>
      <c r="J5415" s="29">
        <f>IFERROR(VLOOKUP(F5415,CARTON_LOOKUP!$A:$E,2,0),"")</f>
      </c>
      <c r="K5415" s="29">
        <f>IFERROR(J5415*D5415,0)</f>
      </c>
      <c r="L5415" s="29">
        <f>IFERROR(E5415*C5415,0)</f>
      </c>
      <c r="M5415" s="29">
        <f>IFERROR((G5415*H5415*I5415/1000000)*D5415,0)</f>
      </c>
    </row>
    <row r="5416" spans="1:13" x14ac:dyDescent="0.25">
      <c r="A5416" s="16"/>
      <c r="E5416" s="27"/>
      <c r="F5416" t="s">
        <v>26</v>
      </c>
      <c r="G5416" s="28">
        <f>IFERROR(VLOOKUP(F5416,CARTON_LOOKUP!$A:$E,3,0),"")</f>
      </c>
      <c r="H5416" s="28">
        <f>IFERROR(VLOOKUP(F5416,CARTON_LOOKUP!$A:$E,4,0),"")</f>
      </c>
      <c r="I5416" s="28">
        <f>IFERROR(VLOOKUP(F5416,CARTON_LOOKUP!$A:$E,5,0),"")</f>
      </c>
      <c r="J5416" s="29">
        <f>IFERROR(VLOOKUP(F5416,CARTON_LOOKUP!$A:$E,2,0),"")</f>
      </c>
      <c r="K5416" s="29">
        <f>IFERROR(J5416*D5416,0)</f>
      </c>
      <c r="L5416" s="29">
        <f>IFERROR(E5416*C5416,0)</f>
      </c>
      <c r="M5416" s="29">
        <f>IFERROR((G5416*H5416*I5416/1000000)*D5416,0)</f>
      </c>
    </row>
    <row r="5417" spans="1:13" x14ac:dyDescent="0.25">
      <c r="A5417" s="16"/>
      <c r="E5417" s="27"/>
      <c r="F5417" t="s">
        <v>26</v>
      </c>
      <c r="G5417" s="28">
        <f>IFERROR(VLOOKUP(F5417,CARTON_LOOKUP!$A:$E,3,0),"")</f>
      </c>
      <c r="H5417" s="28">
        <f>IFERROR(VLOOKUP(F5417,CARTON_LOOKUP!$A:$E,4,0),"")</f>
      </c>
      <c r="I5417" s="28">
        <f>IFERROR(VLOOKUP(F5417,CARTON_LOOKUP!$A:$E,5,0),"")</f>
      </c>
      <c r="J5417" s="29">
        <f>IFERROR(VLOOKUP(F5417,CARTON_LOOKUP!$A:$E,2,0),"")</f>
      </c>
      <c r="K5417" s="29">
        <f>IFERROR(J5417*D5417,0)</f>
      </c>
      <c r="L5417" s="29">
        <f>IFERROR(E5417*C5417,0)</f>
      </c>
      <c r="M5417" s="29">
        <f>IFERROR((G5417*H5417*I5417/1000000)*D5417,0)</f>
      </c>
    </row>
    <row r="5418" spans="1:13" x14ac:dyDescent="0.25">
      <c r="A5418" s="16"/>
      <c r="E5418" s="27"/>
      <c r="F5418" t="s">
        <v>26</v>
      </c>
      <c r="G5418" s="28">
        <f>IFERROR(VLOOKUP(F5418,CARTON_LOOKUP!$A:$E,3,0),"")</f>
      </c>
      <c r="H5418" s="28">
        <f>IFERROR(VLOOKUP(F5418,CARTON_LOOKUP!$A:$E,4,0),"")</f>
      </c>
      <c r="I5418" s="28">
        <f>IFERROR(VLOOKUP(F5418,CARTON_LOOKUP!$A:$E,5,0),"")</f>
      </c>
      <c r="J5418" s="29">
        <f>IFERROR(VLOOKUP(F5418,CARTON_LOOKUP!$A:$E,2,0),"")</f>
      </c>
      <c r="K5418" s="29">
        <f>IFERROR(J5418*D5418,0)</f>
      </c>
      <c r="L5418" s="29">
        <f>IFERROR(E5418*C5418,0)</f>
      </c>
      <c r="M5418" s="29">
        <f>IFERROR((G5418*H5418*I5418/1000000)*D5418,0)</f>
      </c>
    </row>
    <row r="5419" spans="1:13" x14ac:dyDescent="0.25">
      <c r="A5419" s="16"/>
      <c r="E5419" s="27"/>
      <c r="F5419" t="s">
        <v>26</v>
      </c>
      <c r="G5419" s="28">
        <f>IFERROR(VLOOKUP(F5419,CARTON_LOOKUP!$A:$E,3,0),"")</f>
      </c>
      <c r="H5419" s="28">
        <f>IFERROR(VLOOKUP(F5419,CARTON_LOOKUP!$A:$E,4,0),"")</f>
      </c>
      <c r="I5419" s="28">
        <f>IFERROR(VLOOKUP(F5419,CARTON_LOOKUP!$A:$E,5,0),"")</f>
      </c>
      <c r="J5419" s="29">
        <f>IFERROR(VLOOKUP(F5419,CARTON_LOOKUP!$A:$E,2,0),"")</f>
      </c>
      <c r="K5419" s="29">
        <f>IFERROR(J5419*D5419,0)</f>
      </c>
      <c r="L5419" s="29">
        <f>IFERROR(E5419*C5419,0)</f>
      </c>
      <c r="M5419" s="29">
        <f>IFERROR((G5419*H5419*I5419/1000000)*D5419,0)</f>
      </c>
    </row>
    <row r="5420" spans="1:13" x14ac:dyDescent="0.25">
      <c r="A5420" s="16"/>
      <c r="E5420" s="27"/>
      <c r="F5420" t="s">
        <v>26</v>
      </c>
      <c r="G5420" s="28">
        <f>IFERROR(VLOOKUP(F5420,CARTON_LOOKUP!$A:$E,3,0),"")</f>
      </c>
      <c r="H5420" s="28">
        <f>IFERROR(VLOOKUP(F5420,CARTON_LOOKUP!$A:$E,4,0),"")</f>
      </c>
      <c r="I5420" s="28">
        <f>IFERROR(VLOOKUP(F5420,CARTON_LOOKUP!$A:$E,5,0),"")</f>
      </c>
      <c r="J5420" s="29">
        <f>IFERROR(VLOOKUP(F5420,CARTON_LOOKUP!$A:$E,2,0),"")</f>
      </c>
      <c r="K5420" s="29">
        <f>IFERROR(J5420*D5420,0)</f>
      </c>
      <c r="L5420" s="29">
        <f>IFERROR(E5420*C5420,0)</f>
      </c>
      <c r="M5420" s="29">
        <f>IFERROR((G5420*H5420*I5420/1000000)*D5420,0)</f>
      </c>
    </row>
    <row r="5421" spans="1:13" x14ac:dyDescent="0.25">
      <c r="A5421" s="16"/>
      <c r="E5421" s="27"/>
      <c r="F5421" t="s">
        <v>26</v>
      </c>
      <c r="G5421" s="28">
        <f>IFERROR(VLOOKUP(F5421,CARTON_LOOKUP!$A:$E,3,0),"")</f>
      </c>
      <c r="H5421" s="28">
        <f>IFERROR(VLOOKUP(F5421,CARTON_LOOKUP!$A:$E,4,0),"")</f>
      </c>
      <c r="I5421" s="28">
        <f>IFERROR(VLOOKUP(F5421,CARTON_LOOKUP!$A:$E,5,0),"")</f>
      </c>
      <c r="J5421" s="29">
        <f>IFERROR(VLOOKUP(F5421,CARTON_LOOKUP!$A:$E,2,0),"")</f>
      </c>
      <c r="K5421" s="29">
        <f>IFERROR(J5421*D5421,0)</f>
      </c>
      <c r="L5421" s="29">
        <f>IFERROR(E5421*C5421,0)</f>
      </c>
      <c r="M5421" s="29">
        <f>IFERROR((G5421*H5421*I5421/1000000)*D5421,0)</f>
      </c>
    </row>
    <row r="5422" spans="1:13" x14ac:dyDescent="0.25">
      <c r="A5422" s="16"/>
      <c r="E5422" s="27"/>
      <c r="F5422" t="s">
        <v>26</v>
      </c>
      <c r="G5422" s="28">
        <f>IFERROR(VLOOKUP(F5422,CARTON_LOOKUP!$A:$E,3,0),"")</f>
      </c>
      <c r="H5422" s="28">
        <f>IFERROR(VLOOKUP(F5422,CARTON_LOOKUP!$A:$E,4,0),"")</f>
      </c>
      <c r="I5422" s="28">
        <f>IFERROR(VLOOKUP(F5422,CARTON_LOOKUP!$A:$E,5,0),"")</f>
      </c>
      <c r="J5422" s="29">
        <f>IFERROR(VLOOKUP(F5422,CARTON_LOOKUP!$A:$E,2,0),"")</f>
      </c>
      <c r="K5422" s="29">
        <f>IFERROR(J5422*D5422,0)</f>
      </c>
      <c r="L5422" s="29">
        <f>IFERROR(E5422*C5422,0)</f>
      </c>
      <c r="M5422" s="29">
        <f>IFERROR((G5422*H5422*I5422/1000000)*D5422,0)</f>
      </c>
    </row>
    <row r="5423" spans="1:13" x14ac:dyDescent="0.25">
      <c r="A5423" s="16"/>
      <c r="E5423" s="27"/>
      <c r="F5423" t="s">
        <v>26</v>
      </c>
      <c r="G5423" s="28">
        <f>IFERROR(VLOOKUP(F5423,CARTON_LOOKUP!$A:$E,3,0),"")</f>
      </c>
      <c r="H5423" s="28">
        <f>IFERROR(VLOOKUP(F5423,CARTON_LOOKUP!$A:$E,4,0),"")</f>
      </c>
      <c r="I5423" s="28">
        <f>IFERROR(VLOOKUP(F5423,CARTON_LOOKUP!$A:$E,5,0),"")</f>
      </c>
      <c r="J5423" s="29">
        <f>IFERROR(VLOOKUP(F5423,CARTON_LOOKUP!$A:$E,2,0),"")</f>
      </c>
      <c r="K5423" s="29">
        <f>IFERROR(J5423*D5423,0)</f>
      </c>
      <c r="L5423" s="29">
        <f>IFERROR(E5423*C5423,0)</f>
      </c>
      <c r="M5423" s="29">
        <f>IFERROR((G5423*H5423*I5423/1000000)*D5423,0)</f>
      </c>
    </row>
    <row r="5424" spans="1:13" x14ac:dyDescent="0.25">
      <c r="A5424" s="16"/>
      <c r="E5424" s="27"/>
      <c r="F5424" t="s">
        <v>26</v>
      </c>
      <c r="G5424" s="28">
        <f>IFERROR(VLOOKUP(F5424,CARTON_LOOKUP!$A:$E,3,0),"")</f>
      </c>
      <c r="H5424" s="28">
        <f>IFERROR(VLOOKUP(F5424,CARTON_LOOKUP!$A:$E,4,0),"")</f>
      </c>
      <c r="I5424" s="28">
        <f>IFERROR(VLOOKUP(F5424,CARTON_LOOKUP!$A:$E,5,0),"")</f>
      </c>
      <c r="J5424" s="29">
        <f>IFERROR(VLOOKUP(F5424,CARTON_LOOKUP!$A:$E,2,0),"")</f>
      </c>
      <c r="K5424" s="29">
        <f>IFERROR(J5424*D5424,0)</f>
      </c>
      <c r="L5424" s="29">
        <f>IFERROR(E5424*C5424,0)</f>
      </c>
      <c r="M5424" s="29">
        <f>IFERROR((G5424*H5424*I5424/1000000)*D5424,0)</f>
      </c>
    </row>
    <row r="5425" spans="1:13" x14ac:dyDescent="0.25">
      <c r="A5425" s="16"/>
      <c r="E5425" s="27"/>
      <c r="F5425" t="s">
        <v>26</v>
      </c>
      <c r="G5425" s="28">
        <f>IFERROR(VLOOKUP(F5425,CARTON_LOOKUP!$A:$E,3,0),"")</f>
      </c>
      <c r="H5425" s="28">
        <f>IFERROR(VLOOKUP(F5425,CARTON_LOOKUP!$A:$E,4,0),"")</f>
      </c>
      <c r="I5425" s="28">
        <f>IFERROR(VLOOKUP(F5425,CARTON_LOOKUP!$A:$E,5,0),"")</f>
      </c>
      <c r="J5425" s="29">
        <f>IFERROR(VLOOKUP(F5425,CARTON_LOOKUP!$A:$E,2,0),"")</f>
      </c>
      <c r="K5425" s="29">
        <f>IFERROR(J5425*D5425,0)</f>
      </c>
      <c r="L5425" s="29">
        <f>IFERROR(E5425*C5425,0)</f>
      </c>
      <c r="M5425" s="29">
        <f>IFERROR((G5425*H5425*I5425/1000000)*D5425,0)</f>
      </c>
    </row>
    <row r="5426" spans="1:13" x14ac:dyDescent="0.25">
      <c r="A5426" s="16"/>
      <c r="E5426" s="27"/>
      <c r="F5426" t="s">
        <v>26</v>
      </c>
      <c r="G5426" s="28">
        <f>IFERROR(VLOOKUP(F5426,CARTON_LOOKUP!$A:$E,3,0),"")</f>
      </c>
      <c r="H5426" s="28">
        <f>IFERROR(VLOOKUP(F5426,CARTON_LOOKUP!$A:$E,4,0),"")</f>
      </c>
      <c r="I5426" s="28">
        <f>IFERROR(VLOOKUP(F5426,CARTON_LOOKUP!$A:$E,5,0),"")</f>
      </c>
      <c r="J5426" s="29">
        <f>IFERROR(VLOOKUP(F5426,CARTON_LOOKUP!$A:$E,2,0),"")</f>
      </c>
      <c r="K5426" s="29">
        <f>IFERROR(J5426*D5426,0)</f>
      </c>
      <c r="L5426" s="29">
        <f>IFERROR(E5426*C5426,0)</f>
      </c>
      <c r="M5426" s="29">
        <f>IFERROR((G5426*H5426*I5426/1000000)*D5426,0)</f>
      </c>
    </row>
    <row r="5427" spans="1:13" x14ac:dyDescent="0.25">
      <c r="A5427" s="16"/>
      <c r="E5427" s="27"/>
      <c r="F5427" t="s">
        <v>26</v>
      </c>
      <c r="G5427" s="28">
        <f>IFERROR(VLOOKUP(F5427,CARTON_LOOKUP!$A:$E,3,0),"")</f>
      </c>
      <c r="H5427" s="28">
        <f>IFERROR(VLOOKUP(F5427,CARTON_LOOKUP!$A:$E,4,0),"")</f>
      </c>
      <c r="I5427" s="28">
        <f>IFERROR(VLOOKUP(F5427,CARTON_LOOKUP!$A:$E,5,0),"")</f>
      </c>
      <c r="J5427" s="29">
        <f>IFERROR(VLOOKUP(F5427,CARTON_LOOKUP!$A:$E,2,0),"")</f>
      </c>
      <c r="K5427" s="29">
        <f>IFERROR(J5427*D5427,0)</f>
      </c>
      <c r="L5427" s="29">
        <f>IFERROR(E5427*C5427,0)</f>
      </c>
      <c r="M5427" s="29">
        <f>IFERROR((G5427*H5427*I5427/1000000)*D5427,0)</f>
      </c>
    </row>
    <row r="5428" spans="1:13" x14ac:dyDescent="0.25">
      <c r="A5428" s="16"/>
      <c r="E5428" s="27"/>
      <c r="F5428" t="s">
        <v>26</v>
      </c>
      <c r="G5428" s="28">
        <f>IFERROR(VLOOKUP(F5428,CARTON_LOOKUP!$A:$E,3,0),"")</f>
      </c>
      <c r="H5428" s="28">
        <f>IFERROR(VLOOKUP(F5428,CARTON_LOOKUP!$A:$E,4,0),"")</f>
      </c>
      <c r="I5428" s="28">
        <f>IFERROR(VLOOKUP(F5428,CARTON_LOOKUP!$A:$E,5,0),"")</f>
      </c>
      <c r="J5428" s="29">
        <f>IFERROR(VLOOKUP(F5428,CARTON_LOOKUP!$A:$E,2,0),"")</f>
      </c>
      <c r="K5428" s="29">
        <f>IFERROR(J5428*D5428,0)</f>
      </c>
      <c r="L5428" s="29">
        <f>IFERROR(E5428*C5428,0)</f>
      </c>
      <c r="M5428" s="29">
        <f>IFERROR((G5428*H5428*I5428/1000000)*D5428,0)</f>
      </c>
    </row>
    <row r="5429" spans="1:13" x14ac:dyDescent="0.25">
      <c r="A5429" s="16"/>
      <c r="E5429" s="27"/>
      <c r="F5429" t="s">
        <v>26</v>
      </c>
      <c r="G5429" s="28">
        <f>IFERROR(VLOOKUP(F5429,CARTON_LOOKUP!$A:$E,3,0),"")</f>
      </c>
      <c r="H5429" s="28">
        <f>IFERROR(VLOOKUP(F5429,CARTON_LOOKUP!$A:$E,4,0),"")</f>
      </c>
      <c r="I5429" s="28">
        <f>IFERROR(VLOOKUP(F5429,CARTON_LOOKUP!$A:$E,5,0),"")</f>
      </c>
      <c r="J5429" s="29">
        <f>IFERROR(VLOOKUP(F5429,CARTON_LOOKUP!$A:$E,2,0),"")</f>
      </c>
      <c r="K5429" s="29">
        <f>IFERROR(J5429*D5429,0)</f>
      </c>
      <c r="L5429" s="29">
        <f>IFERROR(E5429*C5429,0)</f>
      </c>
      <c r="M5429" s="29">
        <f>IFERROR((G5429*H5429*I5429/1000000)*D5429,0)</f>
      </c>
    </row>
    <row r="5430" spans="1:13" x14ac:dyDescent="0.25">
      <c r="A5430" s="16"/>
      <c r="E5430" s="27"/>
      <c r="F5430" t="s">
        <v>26</v>
      </c>
      <c r="G5430" s="28">
        <f>IFERROR(VLOOKUP(F5430,CARTON_LOOKUP!$A:$E,3,0),"")</f>
      </c>
      <c r="H5430" s="28">
        <f>IFERROR(VLOOKUP(F5430,CARTON_LOOKUP!$A:$E,4,0),"")</f>
      </c>
      <c r="I5430" s="28">
        <f>IFERROR(VLOOKUP(F5430,CARTON_LOOKUP!$A:$E,5,0),"")</f>
      </c>
      <c r="J5430" s="29">
        <f>IFERROR(VLOOKUP(F5430,CARTON_LOOKUP!$A:$E,2,0),"")</f>
      </c>
      <c r="K5430" s="29">
        <f>IFERROR(J5430*D5430,0)</f>
      </c>
      <c r="L5430" s="29">
        <f>IFERROR(E5430*C5430,0)</f>
      </c>
      <c r="M5430" s="29">
        <f>IFERROR((G5430*H5430*I5430/1000000)*D5430,0)</f>
      </c>
    </row>
    <row r="5431" spans="1:13" x14ac:dyDescent="0.25">
      <c r="A5431" s="16"/>
      <c r="E5431" s="27"/>
      <c r="F5431" t="s">
        <v>26</v>
      </c>
      <c r="G5431" s="28">
        <f>IFERROR(VLOOKUP(F5431,CARTON_LOOKUP!$A:$E,3,0),"")</f>
      </c>
      <c r="H5431" s="28">
        <f>IFERROR(VLOOKUP(F5431,CARTON_LOOKUP!$A:$E,4,0),"")</f>
      </c>
      <c r="I5431" s="28">
        <f>IFERROR(VLOOKUP(F5431,CARTON_LOOKUP!$A:$E,5,0),"")</f>
      </c>
      <c r="J5431" s="29">
        <f>IFERROR(VLOOKUP(F5431,CARTON_LOOKUP!$A:$E,2,0),"")</f>
      </c>
      <c r="K5431" s="29">
        <f>IFERROR(J5431*D5431,0)</f>
      </c>
      <c r="L5431" s="29">
        <f>IFERROR(E5431*C5431,0)</f>
      </c>
      <c r="M5431" s="29">
        <f>IFERROR((G5431*H5431*I5431/1000000)*D5431,0)</f>
      </c>
    </row>
    <row r="5432" spans="1:13" x14ac:dyDescent="0.25">
      <c r="A5432" s="16"/>
      <c r="E5432" s="27"/>
      <c r="F5432" t="s">
        <v>26</v>
      </c>
      <c r="G5432" s="28">
        <f>IFERROR(VLOOKUP(F5432,CARTON_LOOKUP!$A:$E,3,0),"")</f>
      </c>
      <c r="H5432" s="28">
        <f>IFERROR(VLOOKUP(F5432,CARTON_LOOKUP!$A:$E,4,0),"")</f>
      </c>
      <c r="I5432" s="28">
        <f>IFERROR(VLOOKUP(F5432,CARTON_LOOKUP!$A:$E,5,0),"")</f>
      </c>
      <c r="J5432" s="29">
        <f>IFERROR(VLOOKUP(F5432,CARTON_LOOKUP!$A:$E,2,0),"")</f>
      </c>
      <c r="K5432" s="29">
        <f>IFERROR(J5432*D5432,0)</f>
      </c>
      <c r="L5432" s="29">
        <f>IFERROR(E5432*C5432,0)</f>
      </c>
      <c r="M5432" s="29">
        <f>IFERROR((G5432*H5432*I5432/1000000)*D5432,0)</f>
      </c>
    </row>
    <row r="5433" spans="1:13" x14ac:dyDescent="0.25">
      <c r="A5433" s="16"/>
      <c r="E5433" s="27"/>
      <c r="F5433" t="s">
        <v>26</v>
      </c>
      <c r="G5433" s="28">
        <f>IFERROR(VLOOKUP(F5433,CARTON_LOOKUP!$A:$E,3,0),"")</f>
      </c>
      <c r="H5433" s="28">
        <f>IFERROR(VLOOKUP(F5433,CARTON_LOOKUP!$A:$E,4,0),"")</f>
      </c>
      <c r="I5433" s="28">
        <f>IFERROR(VLOOKUP(F5433,CARTON_LOOKUP!$A:$E,5,0),"")</f>
      </c>
      <c r="J5433" s="29">
        <f>IFERROR(VLOOKUP(F5433,CARTON_LOOKUP!$A:$E,2,0),"")</f>
      </c>
      <c r="K5433" s="29">
        <f>IFERROR(J5433*D5433,0)</f>
      </c>
      <c r="L5433" s="29">
        <f>IFERROR(E5433*C5433,0)</f>
      </c>
      <c r="M5433" s="29">
        <f>IFERROR((G5433*H5433*I5433/1000000)*D5433,0)</f>
      </c>
    </row>
    <row r="5434" spans="1:13" x14ac:dyDescent="0.25">
      <c r="A5434" s="16"/>
      <c r="E5434" s="27"/>
      <c r="F5434" t="s">
        <v>26</v>
      </c>
      <c r="G5434" s="28">
        <f>IFERROR(VLOOKUP(F5434,CARTON_LOOKUP!$A:$E,3,0),"")</f>
      </c>
      <c r="H5434" s="28">
        <f>IFERROR(VLOOKUP(F5434,CARTON_LOOKUP!$A:$E,4,0),"")</f>
      </c>
      <c r="I5434" s="28">
        <f>IFERROR(VLOOKUP(F5434,CARTON_LOOKUP!$A:$E,5,0),"")</f>
      </c>
      <c r="J5434" s="29">
        <f>IFERROR(VLOOKUP(F5434,CARTON_LOOKUP!$A:$E,2,0),"")</f>
      </c>
      <c r="K5434" s="29">
        <f>IFERROR(J5434*D5434,0)</f>
      </c>
      <c r="L5434" s="29">
        <f>IFERROR(E5434*C5434,0)</f>
      </c>
      <c r="M5434" s="29">
        <f>IFERROR((G5434*H5434*I5434/1000000)*D5434,0)</f>
      </c>
    </row>
    <row r="5435" spans="1:13" x14ac:dyDescent="0.25">
      <c r="A5435" s="16"/>
      <c r="E5435" s="27"/>
      <c r="F5435" t="s">
        <v>26</v>
      </c>
      <c r="G5435" s="28">
        <f>IFERROR(VLOOKUP(F5435,CARTON_LOOKUP!$A:$E,3,0),"")</f>
      </c>
      <c r="H5435" s="28">
        <f>IFERROR(VLOOKUP(F5435,CARTON_LOOKUP!$A:$E,4,0),"")</f>
      </c>
      <c r="I5435" s="28">
        <f>IFERROR(VLOOKUP(F5435,CARTON_LOOKUP!$A:$E,5,0),"")</f>
      </c>
      <c r="J5435" s="29">
        <f>IFERROR(VLOOKUP(F5435,CARTON_LOOKUP!$A:$E,2,0),"")</f>
      </c>
      <c r="K5435" s="29">
        <f>IFERROR(J5435*D5435,0)</f>
      </c>
      <c r="L5435" s="29">
        <f>IFERROR(E5435*C5435,0)</f>
      </c>
      <c r="M5435" s="29">
        <f>IFERROR((G5435*H5435*I5435/1000000)*D5435,0)</f>
      </c>
    </row>
    <row r="5436" spans="1:13" x14ac:dyDescent="0.25">
      <c r="A5436" s="16"/>
      <c r="E5436" s="27"/>
      <c r="F5436" t="s">
        <v>26</v>
      </c>
      <c r="G5436" s="28">
        <f>IFERROR(VLOOKUP(F5436,CARTON_LOOKUP!$A:$E,3,0),"")</f>
      </c>
      <c r="H5436" s="28">
        <f>IFERROR(VLOOKUP(F5436,CARTON_LOOKUP!$A:$E,4,0),"")</f>
      </c>
      <c r="I5436" s="28">
        <f>IFERROR(VLOOKUP(F5436,CARTON_LOOKUP!$A:$E,5,0),"")</f>
      </c>
      <c r="J5436" s="29">
        <f>IFERROR(VLOOKUP(F5436,CARTON_LOOKUP!$A:$E,2,0),"")</f>
      </c>
      <c r="K5436" s="29">
        <f>IFERROR(J5436*D5436,0)</f>
      </c>
      <c r="L5436" s="29">
        <f>IFERROR(E5436*C5436,0)</f>
      </c>
      <c r="M5436" s="29">
        <f>IFERROR((G5436*H5436*I5436/1000000)*D5436,0)</f>
      </c>
    </row>
    <row r="5437" spans="1:13" x14ac:dyDescent="0.25">
      <c r="A5437" s="16"/>
      <c r="E5437" s="27"/>
      <c r="F5437" t="s">
        <v>26</v>
      </c>
      <c r="G5437" s="28">
        <f>IFERROR(VLOOKUP(F5437,CARTON_LOOKUP!$A:$E,3,0),"")</f>
      </c>
      <c r="H5437" s="28">
        <f>IFERROR(VLOOKUP(F5437,CARTON_LOOKUP!$A:$E,4,0),"")</f>
      </c>
      <c r="I5437" s="28">
        <f>IFERROR(VLOOKUP(F5437,CARTON_LOOKUP!$A:$E,5,0),"")</f>
      </c>
      <c r="J5437" s="29">
        <f>IFERROR(VLOOKUP(F5437,CARTON_LOOKUP!$A:$E,2,0),"")</f>
      </c>
      <c r="K5437" s="29">
        <f>IFERROR(J5437*D5437,0)</f>
      </c>
      <c r="L5437" s="29">
        <f>IFERROR(E5437*C5437,0)</f>
      </c>
      <c r="M5437" s="29">
        <f>IFERROR((G5437*H5437*I5437/1000000)*D5437,0)</f>
      </c>
    </row>
    <row r="5438" spans="1:13" x14ac:dyDescent="0.25">
      <c r="A5438" s="16"/>
      <c r="E5438" s="27"/>
      <c r="F5438" t="s">
        <v>26</v>
      </c>
      <c r="G5438" s="28">
        <f>IFERROR(VLOOKUP(F5438,CARTON_LOOKUP!$A:$E,3,0),"")</f>
      </c>
      <c r="H5438" s="28">
        <f>IFERROR(VLOOKUP(F5438,CARTON_LOOKUP!$A:$E,4,0),"")</f>
      </c>
      <c r="I5438" s="28">
        <f>IFERROR(VLOOKUP(F5438,CARTON_LOOKUP!$A:$E,5,0),"")</f>
      </c>
      <c r="J5438" s="29">
        <f>IFERROR(VLOOKUP(F5438,CARTON_LOOKUP!$A:$E,2,0),"")</f>
      </c>
      <c r="K5438" s="29">
        <f>IFERROR(J5438*D5438,0)</f>
      </c>
      <c r="L5438" s="29">
        <f>IFERROR(E5438*C5438,0)</f>
      </c>
      <c r="M5438" s="29">
        <f>IFERROR((G5438*H5438*I5438/1000000)*D5438,0)</f>
      </c>
    </row>
    <row r="5439" spans="1:13" x14ac:dyDescent="0.25">
      <c r="A5439" s="16"/>
      <c r="E5439" s="27"/>
      <c r="F5439" t="s">
        <v>26</v>
      </c>
      <c r="G5439" s="28">
        <f>IFERROR(VLOOKUP(F5439,CARTON_LOOKUP!$A:$E,3,0),"")</f>
      </c>
      <c r="H5439" s="28">
        <f>IFERROR(VLOOKUP(F5439,CARTON_LOOKUP!$A:$E,4,0),"")</f>
      </c>
      <c r="I5439" s="28">
        <f>IFERROR(VLOOKUP(F5439,CARTON_LOOKUP!$A:$E,5,0),"")</f>
      </c>
      <c r="J5439" s="29">
        <f>IFERROR(VLOOKUP(F5439,CARTON_LOOKUP!$A:$E,2,0),"")</f>
      </c>
      <c r="K5439" s="29">
        <f>IFERROR(J5439*D5439,0)</f>
      </c>
      <c r="L5439" s="29">
        <f>IFERROR(E5439*C5439,0)</f>
      </c>
      <c r="M5439" s="29">
        <f>IFERROR((G5439*H5439*I5439/1000000)*D5439,0)</f>
      </c>
    </row>
    <row r="5440" spans="1:13" x14ac:dyDescent="0.25">
      <c r="A5440" s="16"/>
      <c r="E5440" s="27"/>
      <c r="F5440" t="s">
        <v>26</v>
      </c>
      <c r="G5440" s="28">
        <f>IFERROR(VLOOKUP(F5440,CARTON_LOOKUP!$A:$E,3,0),"")</f>
      </c>
      <c r="H5440" s="28">
        <f>IFERROR(VLOOKUP(F5440,CARTON_LOOKUP!$A:$E,4,0),"")</f>
      </c>
      <c r="I5440" s="28">
        <f>IFERROR(VLOOKUP(F5440,CARTON_LOOKUP!$A:$E,5,0),"")</f>
      </c>
      <c r="J5440" s="29">
        <f>IFERROR(VLOOKUP(F5440,CARTON_LOOKUP!$A:$E,2,0),"")</f>
      </c>
      <c r="K5440" s="29">
        <f>IFERROR(J5440*D5440,0)</f>
      </c>
      <c r="L5440" s="29">
        <f>IFERROR(E5440*C5440,0)</f>
      </c>
      <c r="M5440" s="29">
        <f>IFERROR((G5440*H5440*I5440/1000000)*D5440,0)</f>
      </c>
    </row>
    <row r="5441" spans="1:13" x14ac:dyDescent="0.25">
      <c r="A5441" s="16"/>
      <c r="E5441" s="27"/>
      <c r="F5441" t="s">
        <v>26</v>
      </c>
      <c r="G5441" s="28">
        <f>IFERROR(VLOOKUP(F5441,CARTON_LOOKUP!$A:$E,3,0),"")</f>
      </c>
      <c r="H5441" s="28">
        <f>IFERROR(VLOOKUP(F5441,CARTON_LOOKUP!$A:$E,4,0),"")</f>
      </c>
      <c r="I5441" s="28">
        <f>IFERROR(VLOOKUP(F5441,CARTON_LOOKUP!$A:$E,5,0),"")</f>
      </c>
      <c r="J5441" s="29">
        <f>IFERROR(VLOOKUP(F5441,CARTON_LOOKUP!$A:$E,2,0),"")</f>
      </c>
      <c r="K5441" s="29">
        <f>IFERROR(J5441*D5441,0)</f>
      </c>
      <c r="L5441" s="29">
        <f>IFERROR(E5441*C5441,0)</f>
      </c>
      <c r="M5441" s="29">
        <f>IFERROR((G5441*H5441*I5441/1000000)*D5441,0)</f>
      </c>
    </row>
    <row r="5442" spans="1:13" x14ac:dyDescent="0.25">
      <c r="A5442" s="16"/>
      <c r="E5442" s="27"/>
      <c r="F5442" t="s">
        <v>26</v>
      </c>
      <c r="G5442" s="28">
        <f>IFERROR(VLOOKUP(F5442,CARTON_LOOKUP!$A:$E,3,0),"")</f>
      </c>
      <c r="H5442" s="28">
        <f>IFERROR(VLOOKUP(F5442,CARTON_LOOKUP!$A:$E,4,0),"")</f>
      </c>
      <c r="I5442" s="28">
        <f>IFERROR(VLOOKUP(F5442,CARTON_LOOKUP!$A:$E,5,0),"")</f>
      </c>
      <c r="J5442" s="29">
        <f>IFERROR(VLOOKUP(F5442,CARTON_LOOKUP!$A:$E,2,0),"")</f>
      </c>
      <c r="K5442" s="29">
        <f>IFERROR(J5442*D5442,0)</f>
      </c>
      <c r="L5442" s="29">
        <f>IFERROR(E5442*C5442,0)</f>
      </c>
      <c r="M5442" s="29">
        <f>IFERROR((G5442*H5442*I5442/1000000)*D5442,0)</f>
      </c>
    </row>
    <row r="5443" spans="1:13" x14ac:dyDescent="0.25">
      <c r="A5443" s="16"/>
      <c r="E5443" s="27"/>
      <c r="F5443" t="s">
        <v>26</v>
      </c>
      <c r="G5443" s="28">
        <f>IFERROR(VLOOKUP(F5443,CARTON_LOOKUP!$A:$E,3,0),"")</f>
      </c>
      <c r="H5443" s="28">
        <f>IFERROR(VLOOKUP(F5443,CARTON_LOOKUP!$A:$E,4,0),"")</f>
      </c>
      <c r="I5443" s="28">
        <f>IFERROR(VLOOKUP(F5443,CARTON_LOOKUP!$A:$E,5,0),"")</f>
      </c>
      <c r="J5443" s="29">
        <f>IFERROR(VLOOKUP(F5443,CARTON_LOOKUP!$A:$E,2,0),"")</f>
      </c>
      <c r="K5443" s="29">
        <f>IFERROR(J5443*D5443,0)</f>
      </c>
      <c r="L5443" s="29">
        <f>IFERROR(E5443*C5443,0)</f>
      </c>
      <c r="M5443" s="29">
        <f>IFERROR((G5443*H5443*I5443/1000000)*D5443,0)</f>
      </c>
    </row>
    <row r="5444" spans="1:13" x14ac:dyDescent="0.25">
      <c r="A5444" s="16"/>
      <c r="E5444" s="27"/>
      <c r="F5444" t="s">
        <v>26</v>
      </c>
      <c r="G5444" s="28">
        <f>IFERROR(VLOOKUP(F5444,CARTON_LOOKUP!$A:$E,3,0),"")</f>
      </c>
      <c r="H5444" s="28">
        <f>IFERROR(VLOOKUP(F5444,CARTON_LOOKUP!$A:$E,4,0),"")</f>
      </c>
      <c r="I5444" s="28">
        <f>IFERROR(VLOOKUP(F5444,CARTON_LOOKUP!$A:$E,5,0),"")</f>
      </c>
      <c r="J5444" s="29">
        <f>IFERROR(VLOOKUP(F5444,CARTON_LOOKUP!$A:$E,2,0),"")</f>
      </c>
      <c r="K5444" s="29">
        <f>IFERROR(J5444*D5444,0)</f>
      </c>
      <c r="L5444" s="29">
        <f>IFERROR(E5444*C5444,0)</f>
      </c>
      <c r="M5444" s="29">
        <f>IFERROR((G5444*H5444*I5444/1000000)*D5444,0)</f>
      </c>
    </row>
    <row r="5445" spans="1:13" x14ac:dyDescent="0.25">
      <c r="A5445" s="16"/>
      <c r="E5445" s="27"/>
      <c r="F5445" t="s">
        <v>26</v>
      </c>
      <c r="G5445" s="28">
        <f>IFERROR(VLOOKUP(F5445,CARTON_LOOKUP!$A:$E,3,0),"")</f>
      </c>
      <c r="H5445" s="28">
        <f>IFERROR(VLOOKUP(F5445,CARTON_LOOKUP!$A:$E,4,0),"")</f>
      </c>
      <c r="I5445" s="28">
        <f>IFERROR(VLOOKUP(F5445,CARTON_LOOKUP!$A:$E,5,0),"")</f>
      </c>
      <c r="J5445" s="29">
        <f>IFERROR(VLOOKUP(F5445,CARTON_LOOKUP!$A:$E,2,0),"")</f>
      </c>
      <c r="K5445" s="29">
        <f>IFERROR(J5445*D5445,0)</f>
      </c>
      <c r="L5445" s="29">
        <f>IFERROR(E5445*C5445,0)</f>
      </c>
      <c r="M5445" s="29">
        <f>IFERROR((G5445*H5445*I5445/1000000)*D5445,0)</f>
      </c>
    </row>
    <row r="5446" spans="1:13" x14ac:dyDescent="0.25">
      <c r="A5446" s="16"/>
      <c r="E5446" s="27"/>
      <c r="F5446" t="s">
        <v>26</v>
      </c>
      <c r="G5446" s="28">
        <f>IFERROR(VLOOKUP(F5446,CARTON_LOOKUP!$A:$E,3,0),"")</f>
      </c>
      <c r="H5446" s="28">
        <f>IFERROR(VLOOKUP(F5446,CARTON_LOOKUP!$A:$E,4,0),"")</f>
      </c>
      <c r="I5446" s="28">
        <f>IFERROR(VLOOKUP(F5446,CARTON_LOOKUP!$A:$E,5,0),"")</f>
      </c>
      <c r="J5446" s="29">
        <f>IFERROR(VLOOKUP(F5446,CARTON_LOOKUP!$A:$E,2,0),"")</f>
      </c>
      <c r="K5446" s="29">
        <f>IFERROR(J5446*D5446,0)</f>
      </c>
      <c r="L5446" s="29">
        <f>IFERROR(E5446*C5446,0)</f>
      </c>
      <c r="M5446" s="29">
        <f>IFERROR((G5446*H5446*I5446/1000000)*D5446,0)</f>
      </c>
    </row>
    <row r="5447" spans="1:13" x14ac:dyDescent="0.25">
      <c r="A5447" s="16"/>
      <c r="E5447" s="27"/>
      <c r="F5447" t="s">
        <v>26</v>
      </c>
      <c r="G5447" s="28">
        <f>IFERROR(VLOOKUP(F5447,CARTON_LOOKUP!$A:$E,3,0),"")</f>
      </c>
      <c r="H5447" s="28">
        <f>IFERROR(VLOOKUP(F5447,CARTON_LOOKUP!$A:$E,4,0),"")</f>
      </c>
      <c r="I5447" s="28">
        <f>IFERROR(VLOOKUP(F5447,CARTON_LOOKUP!$A:$E,5,0),"")</f>
      </c>
      <c r="J5447" s="29">
        <f>IFERROR(VLOOKUP(F5447,CARTON_LOOKUP!$A:$E,2,0),"")</f>
      </c>
      <c r="K5447" s="29">
        <f>IFERROR(J5447*D5447,0)</f>
      </c>
      <c r="L5447" s="29">
        <f>IFERROR(E5447*C5447,0)</f>
      </c>
      <c r="M5447" s="29">
        <f>IFERROR((G5447*H5447*I5447/1000000)*D5447,0)</f>
      </c>
    </row>
    <row r="5448" spans="1:13" x14ac:dyDescent="0.25">
      <c r="A5448" s="16"/>
      <c r="E5448" s="27"/>
      <c r="F5448" t="s">
        <v>26</v>
      </c>
      <c r="G5448" s="28">
        <f>IFERROR(VLOOKUP(F5448,CARTON_LOOKUP!$A:$E,3,0),"")</f>
      </c>
      <c r="H5448" s="28">
        <f>IFERROR(VLOOKUP(F5448,CARTON_LOOKUP!$A:$E,4,0),"")</f>
      </c>
      <c r="I5448" s="28">
        <f>IFERROR(VLOOKUP(F5448,CARTON_LOOKUP!$A:$E,5,0),"")</f>
      </c>
      <c r="J5448" s="29">
        <f>IFERROR(VLOOKUP(F5448,CARTON_LOOKUP!$A:$E,2,0),"")</f>
      </c>
      <c r="K5448" s="29">
        <f>IFERROR(J5448*D5448,0)</f>
      </c>
      <c r="L5448" s="29">
        <f>IFERROR(E5448*C5448,0)</f>
      </c>
      <c r="M5448" s="29">
        <f>IFERROR((G5448*H5448*I5448/1000000)*D5448,0)</f>
      </c>
    </row>
    <row r="5449" spans="1:13" x14ac:dyDescent="0.25">
      <c r="A5449" s="16"/>
      <c r="E5449" s="27"/>
      <c r="F5449" t="s">
        <v>26</v>
      </c>
      <c r="G5449" s="28">
        <f>IFERROR(VLOOKUP(F5449,CARTON_LOOKUP!$A:$E,3,0),"")</f>
      </c>
      <c r="H5449" s="28">
        <f>IFERROR(VLOOKUP(F5449,CARTON_LOOKUP!$A:$E,4,0),"")</f>
      </c>
      <c r="I5449" s="28">
        <f>IFERROR(VLOOKUP(F5449,CARTON_LOOKUP!$A:$E,5,0),"")</f>
      </c>
      <c r="J5449" s="29">
        <f>IFERROR(VLOOKUP(F5449,CARTON_LOOKUP!$A:$E,2,0),"")</f>
      </c>
      <c r="K5449" s="29">
        <f>IFERROR(J5449*D5449,0)</f>
      </c>
      <c r="L5449" s="29">
        <f>IFERROR(E5449*C5449,0)</f>
      </c>
      <c r="M5449" s="29">
        <f>IFERROR((G5449*H5449*I5449/1000000)*D5449,0)</f>
      </c>
    </row>
    <row r="5450" spans="1:13" x14ac:dyDescent="0.25">
      <c r="A5450" s="16"/>
      <c r="E5450" s="27"/>
      <c r="F5450" t="s">
        <v>26</v>
      </c>
      <c r="G5450" s="28">
        <f>IFERROR(VLOOKUP(F5450,CARTON_LOOKUP!$A:$E,3,0),"")</f>
      </c>
      <c r="H5450" s="28">
        <f>IFERROR(VLOOKUP(F5450,CARTON_LOOKUP!$A:$E,4,0),"")</f>
      </c>
      <c r="I5450" s="28">
        <f>IFERROR(VLOOKUP(F5450,CARTON_LOOKUP!$A:$E,5,0),"")</f>
      </c>
      <c r="J5450" s="29">
        <f>IFERROR(VLOOKUP(F5450,CARTON_LOOKUP!$A:$E,2,0),"")</f>
      </c>
      <c r="K5450" s="29">
        <f>IFERROR(J5450*D5450,0)</f>
      </c>
      <c r="L5450" s="29">
        <f>IFERROR(E5450*C5450,0)</f>
      </c>
      <c r="M5450" s="29">
        <f>IFERROR((G5450*H5450*I5450/1000000)*D5450,0)</f>
      </c>
    </row>
    <row r="5451" spans="1:13" x14ac:dyDescent="0.25">
      <c r="A5451" s="16"/>
      <c r="E5451" s="27"/>
      <c r="F5451" t="s">
        <v>26</v>
      </c>
      <c r="G5451" s="28">
        <f>IFERROR(VLOOKUP(F5451,CARTON_LOOKUP!$A:$E,3,0),"")</f>
      </c>
      <c r="H5451" s="28">
        <f>IFERROR(VLOOKUP(F5451,CARTON_LOOKUP!$A:$E,4,0),"")</f>
      </c>
      <c r="I5451" s="28">
        <f>IFERROR(VLOOKUP(F5451,CARTON_LOOKUP!$A:$E,5,0),"")</f>
      </c>
      <c r="J5451" s="29">
        <f>IFERROR(VLOOKUP(F5451,CARTON_LOOKUP!$A:$E,2,0),"")</f>
      </c>
      <c r="K5451" s="29">
        <f>IFERROR(J5451*D5451,0)</f>
      </c>
      <c r="L5451" s="29">
        <f>IFERROR(E5451*C5451,0)</f>
      </c>
      <c r="M5451" s="29">
        <f>IFERROR((G5451*H5451*I5451/1000000)*D5451,0)</f>
      </c>
    </row>
    <row r="5452" spans="1:13" x14ac:dyDescent="0.25">
      <c r="A5452" s="16"/>
      <c r="E5452" s="27"/>
      <c r="F5452" t="s">
        <v>26</v>
      </c>
      <c r="G5452" s="28">
        <f>IFERROR(VLOOKUP(F5452,CARTON_LOOKUP!$A:$E,3,0),"")</f>
      </c>
      <c r="H5452" s="28">
        <f>IFERROR(VLOOKUP(F5452,CARTON_LOOKUP!$A:$E,4,0),"")</f>
      </c>
      <c r="I5452" s="28">
        <f>IFERROR(VLOOKUP(F5452,CARTON_LOOKUP!$A:$E,5,0),"")</f>
      </c>
      <c r="J5452" s="29">
        <f>IFERROR(VLOOKUP(F5452,CARTON_LOOKUP!$A:$E,2,0),"")</f>
      </c>
      <c r="K5452" s="29">
        <f>IFERROR(J5452*D5452,0)</f>
      </c>
      <c r="L5452" s="29">
        <f>IFERROR(E5452*C5452,0)</f>
      </c>
      <c r="M5452" s="29">
        <f>IFERROR((G5452*H5452*I5452/1000000)*D5452,0)</f>
      </c>
    </row>
    <row r="5453" spans="1:13" x14ac:dyDescent="0.25">
      <c r="A5453" s="16"/>
      <c r="E5453" s="27"/>
      <c r="F5453" t="s">
        <v>26</v>
      </c>
      <c r="G5453" s="28">
        <f>IFERROR(VLOOKUP(F5453,CARTON_LOOKUP!$A:$E,3,0),"")</f>
      </c>
      <c r="H5453" s="28">
        <f>IFERROR(VLOOKUP(F5453,CARTON_LOOKUP!$A:$E,4,0),"")</f>
      </c>
      <c r="I5453" s="28">
        <f>IFERROR(VLOOKUP(F5453,CARTON_LOOKUP!$A:$E,5,0),"")</f>
      </c>
      <c r="J5453" s="29">
        <f>IFERROR(VLOOKUP(F5453,CARTON_LOOKUP!$A:$E,2,0),"")</f>
      </c>
      <c r="K5453" s="29">
        <f>IFERROR(J5453*D5453,0)</f>
      </c>
      <c r="L5453" s="29">
        <f>IFERROR(E5453*C5453,0)</f>
      </c>
      <c r="M5453" s="29">
        <f>IFERROR((G5453*H5453*I5453/1000000)*D5453,0)</f>
      </c>
    </row>
    <row r="5454" spans="1:13" x14ac:dyDescent="0.25">
      <c r="A5454" s="16"/>
      <c r="E5454" s="27"/>
      <c r="F5454" t="s">
        <v>26</v>
      </c>
      <c r="G5454" s="28">
        <f>IFERROR(VLOOKUP(F5454,CARTON_LOOKUP!$A:$E,3,0),"")</f>
      </c>
      <c r="H5454" s="28">
        <f>IFERROR(VLOOKUP(F5454,CARTON_LOOKUP!$A:$E,4,0),"")</f>
      </c>
      <c r="I5454" s="28">
        <f>IFERROR(VLOOKUP(F5454,CARTON_LOOKUP!$A:$E,5,0),"")</f>
      </c>
      <c r="J5454" s="29">
        <f>IFERROR(VLOOKUP(F5454,CARTON_LOOKUP!$A:$E,2,0),"")</f>
      </c>
      <c r="K5454" s="29">
        <f>IFERROR(J5454*D5454,0)</f>
      </c>
      <c r="L5454" s="29">
        <f>IFERROR(E5454*C5454,0)</f>
      </c>
      <c r="M5454" s="29">
        <f>IFERROR((G5454*H5454*I5454/1000000)*D5454,0)</f>
      </c>
    </row>
    <row r="5455" spans="1:13" x14ac:dyDescent="0.25">
      <c r="A5455" s="16"/>
      <c r="E5455" s="27"/>
      <c r="F5455" t="s">
        <v>26</v>
      </c>
      <c r="G5455" s="28">
        <f>IFERROR(VLOOKUP(F5455,CARTON_LOOKUP!$A:$E,3,0),"")</f>
      </c>
      <c r="H5455" s="28">
        <f>IFERROR(VLOOKUP(F5455,CARTON_LOOKUP!$A:$E,4,0),"")</f>
      </c>
      <c r="I5455" s="28">
        <f>IFERROR(VLOOKUP(F5455,CARTON_LOOKUP!$A:$E,5,0),"")</f>
      </c>
      <c r="J5455" s="29">
        <f>IFERROR(VLOOKUP(F5455,CARTON_LOOKUP!$A:$E,2,0),"")</f>
      </c>
      <c r="K5455" s="29">
        <f>IFERROR(J5455*D5455,0)</f>
      </c>
      <c r="L5455" s="29">
        <f>IFERROR(E5455*C5455,0)</f>
      </c>
      <c r="M5455" s="29">
        <f>IFERROR((G5455*H5455*I5455/1000000)*D5455,0)</f>
      </c>
    </row>
    <row r="5456" spans="1:13" x14ac:dyDescent="0.25">
      <c r="A5456" s="16"/>
      <c r="E5456" s="27"/>
      <c r="F5456" t="s">
        <v>26</v>
      </c>
      <c r="G5456" s="28">
        <f>IFERROR(VLOOKUP(F5456,CARTON_LOOKUP!$A:$E,3,0),"")</f>
      </c>
      <c r="H5456" s="28">
        <f>IFERROR(VLOOKUP(F5456,CARTON_LOOKUP!$A:$E,4,0),"")</f>
      </c>
      <c r="I5456" s="28">
        <f>IFERROR(VLOOKUP(F5456,CARTON_LOOKUP!$A:$E,5,0),"")</f>
      </c>
      <c r="J5456" s="29">
        <f>IFERROR(VLOOKUP(F5456,CARTON_LOOKUP!$A:$E,2,0),"")</f>
      </c>
      <c r="K5456" s="29">
        <f>IFERROR(J5456*D5456,0)</f>
      </c>
      <c r="L5456" s="29">
        <f>IFERROR(E5456*C5456,0)</f>
      </c>
      <c r="M5456" s="29">
        <f>IFERROR((G5456*H5456*I5456/1000000)*D5456,0)</f>
      </c>
    </row>
    <row r="5457" spans="1:13" x14ac:dyDescent="0.25">
      <c r="A5457" s="16"/>
      <c r="E5457" s="27"/>
      <c r="F5457" t="s">
        <v>26</v>
      </c>
      <c r="G5457" s="28">
        <f>IFERROR(VLOOKUP(F5457,CARTON_LOOKUP!$A:$E,3,0),"")</f>
      </c>
      <c r="H5457" s="28">
        <f>IFERROR(VLOOKUP(F5457,CARTON_LOOKUP!$A:$E,4,0),"")</f>
      </c>
      <c r="I5457" s="28">
        <f>IFERROR(VLOOKUP(F5457,CARTON_LOOKUP!$A:$E,5,0),"")</f>
      </c>
      <c r="J5457" s="29">
        <f>IFERROR(VLOOKUP(F5457,CARTON_LOOKUP!$A:$E,2,0),"")</f>
      </c>
      <c r="K5457" s="29">
        <f>IFERROR(J5457*D5457,0)</f>
      </c>
      <c r="L5457" s="29">
        <f>IFERROR(E5457*C5457,0)</f>
      </c>
      <c r="M5457" s="29">
        <f>IFERROR((G5457*H5457*I5457/1000000)*D5457,0)</f>
      </c>
    </row>
    <row r="5458" spans="1:13" x14ac:dyDescent="0.25">
      <c r="A5458" s="16"/>
      <c r="E5458" s="27"/>
      <c r="F5458" t="s">
        <v>26</v>
      </c>
      <c r="G5458" s="28">
        <f>IFERROR(VLOOKUP(F5458,CARTON_LOOKUP!$A:$E,3,0),"")</f>
      </c>
      <c r="H5458" s="28">
        <f>IFERROR(VLOOKUP(F5458,CARTON_LOOKUP!$A:$E,4,0),"")</f>
      </c>
      <c r="I5458" s="28">
        <f>IFERROR(VLOOKUP(F5458,CARTON_LOOKUP!$A:$E,5,0),"")</f>
      </c>
      <c r="J5458" s="29">
        <f>IFERROR(VLOOKUP(F5458,CARTON_LOOKUP!$A:$E,2,0),"")</f>
      </c>
      <c r="K5458" s="29">
        <f>IFERROR(J5458*D5458,0)</f>
      </c>
      <c r="L5458" s="29">
        <f>IFERROR(E5458*C5458,0)</f>
      </c>
      <c r="M5458" s="29">
        <f>IFERROR((G5458*H5458*I5458/1000000)*D5458,0)</f>
      </c>
    </row>
    <row r="5459" spans="1:13" x14ac:dyDescent="0.25">
      <c r="A5459" s="16"/>
      <c r="E5459" s="27"/>
      <c r="F5459" t="s">
        <v>26</v>
      </c>
      <c r="G5459" s="28">
        <f>IFERROR(VLOOKUP(F5459,CARTON_LOOKUP!$A:$E,3,0),"")</f>
      </c>
      <c r="H5459" s="28">
        <f>IFERROR(VLOOKUP(F5459,CARTON_LOOKUP!$A:$E,4,0),"")</f>
      </c>
      <c r="I5459" s="28">
        <f>IFERROR(VLOOKUP(F5459,CARTON_LOOKUP!$A:$E,5,0),"")</f>
      </c>
      <c r="J5459" s="29">
        <f>IFERROR(VLOOKUP(F5459,CARTON_LOOKUP!$A:$E,2,0),"")</f>
      </c>
      <c r="K5459" s="29">
        <f>IFERROR(J5459*D5459,0)</f>
      </c>
      <c r="L5459" s="29">
        <f>IFERROR(E5459*C5459,0)</f>
      </c>
      <c r="M5459" s="29">
        <f>IFERROR((G5459*H5459*I5459/1000000)*D5459,0)</f>
      </c>
    </row>
    <row r="5460" spans="1:13" x14ac:dyDescent="0.25">
      <c r="A5460" s="16"/>
      <c r="E5460" s="27"/>
      <c r="F5460" t="s">
        <v>26</v>
      </c>
      <c r="G5460" s="28">
        <f>IFERROR(VLOOKUP(F5460,CARTON_LOOKUP!$A:$E,3,0),"")</f>
      </c>
      <c r="H5460" s="28">
        <f>IFERROR(VLOOKUP(F5460,CARTON_LOOKUP!$A:$E,4,0),"")</f>
      </c>
      <c r="I5460" s="28">
        <f>IFERROR(VLOOKUP(F5460,CARTON_LOOKUP!$A:$E,5,0),"")</f>
      </c>
      <c r="J5460" s="29">
        <f>IFERROR(VLOOKUP(F5460,CARTON_LOOKUP!$A:$E,2,0),"")</f>
      </c>
      <c r="K5460" s="29">
        <f>IFERROR(J5460*D5460,0)</f>
      </c>
      <c r="L5460" s="29">
        <f>IFERROR(E5460*C5460,0)</f>
      </c>
      <c r="M5460" s="29">
        <f>IFERROR((G5460*H5460*I5460/1000000)*D5460,0)</f>
      </c>
    </row>
    <row r="5461" spans="1:13" x14ac:dyDescent="0.25">
      <c r="A5461" s="16"/>
      <c r="E5461" s="27"/>
      <c r="F5461" t="s">
        <v>26</v>
      </c>
      <c r="G5461" s="28">
        <f>IFERROR(VLOOKUP(F5461,CARTON_LOOKUP!$A:$E,3,0),"")</f>
      </c>
      <c r="H5461" s="28">
        <f>IFERROR(VLOOKUP(F5461,CARTON_LOOKUP!$A:$E,4,0),"")</f>
      </c>
      <c r="I5461" s="28">
        <f>IFERROR(VLOOKUP(F5461,CARTON_LOOKUP!$A:$E,5,0),"")</f>
      </c>
      <c r="J5461" s="29">
        <f>IFERROR(VLOOKUP(F5461,CARTON_LOOKUP!$A:$E,2,0),"")</f>
      </c>
      <c r="K5461" s="29">
        <f>IFERROR(J5461*D5461,0)</f>
      </c>
      <c r="L5461" s="29">
        <f>IFERROR(E5461*C5461,0)</f>
      </c>
      <c r="M5461" s="29">
        <f>IFERROR((G5461*H5461*I5461/1000000)*D5461,0)</f>
      </c>
    </row>
    <row r="5462" spans="1:13" x14ac:dyDescent="0.25">
      <c r="A5462" s="16"/>
      <c r="E5462" s="27"/>
      <c r="F5462" t="s">
        <v>26</v>
      </c>
      <c r="G5462" s="28">
        <f>IFERROR(VLOOKUP(F5462,CARTON_LOOKUP!$A:$E,3,0),"")</f>
      </c>
      <c r="H5462" s="28">
        <f>IFERROR(VLOOKUP(F5462,CARTON_LOOKUP!$A:$E,4,0),"")</f>
      </c>
      <c r="I5462" s="28">
        <f>IFERROR(VLOOKUP(F5462,CARTON_LOOKUP!$A:$E,5,0),"")</f>
      </c>
      <c r="J5462" s="29">
        <f>IFERROR(VLOOKUP(F5462,CARTON_LOOKUP!$A:$E,2,0),"")</f>
      </c>
      <c r="K5462" s="29">
        <f>IFERROR(J5462*D5462,0)</f>
      </c>
      <c r="L5462" s="29">
        <f>IFERROR(E5462*C5462,0)</f>
      </c>
      <c r="M5462" s="29">
        <f>IFERROR((G5462*H5462*I5462/1000000)*D5462,0)</f>
      </c>
    </row>
    <row r="5463" spans="1:13" x14ac:dyDescent="0.25">
      <c r="A5463" s="16"/>
      <c r="E5463" s="27"/>
      <c r="F5463" t="s">
        <v>26</v>
      </c>
      <c r="G5463" s="28">
        <f>IFERROR(VLOOKUP(F5463,CARTON_LOOKUP!$A:$E,3,0),"")</f>
      </c>
      <c r="H5463" s="28">
        <f>IFERROR(VLOOKUP(F5463,CARTON_LOOKUP!$A:$E,4,0),"")</f>
      </c>
      <c r="I5463" s="28">
        <f>IFERROR(VLOOKUP(F5463,CARTON_LOOKUP!$A:$E,5,0),"")</f>
      </c>
      <c r="J5463" s="29">
        <f>IFERROR(VLOOKUP(F5463,CARTON_LOOKUP!$A:$E,2,0),"")</f>
      </c>
      <c r="K5463" s="29">
        <f>IFERROR(J5463*D5463,0)</f>
      </c>
      <c r="L5463" s="29">
        <f>IFERROR(E5463*C5463,0)</f>
      </c>
      <c r="M5463" s="29">
        <f>IFERROR((G5463*H5463*I5463/1000000)*D5463,0)</f>
      </c>
    </row>
    <row r="5464" spans="1:13" x14ac:dyDescent="0.25">
      <c r="A5464" s="16"/>
      <c r="E5464" s="27"/>
      <c r="F5464" t="s">
        <v>26</v>
      </c>
      <c r="G5464" s="28">
        <f>IFERROR(VLOOKUP(F5464,CARTON_LOOKUP!$A:$E,3,0),"")</f>
      </c>
      <c r="H5464" s="28">
        <f>IFERROR(VLOOKUP(F5464,CARTON_LOOKUP!$A:$E,4,0),"")</f>
      </c>
      <c r="I5464" s="28">
        <f>IFERROR(VLOOKUP(F5464,CARTON_LOOKUP!$A:$E,5,0),"")</f>
      </c>
      <c r="J5464" s="29">
        <f>IFERROR(VLOOKUP(F5464,CARTON_LOOKUP!$A:$E,2,0),"")</f>
      </c>
      <c r="K5464" s="29">
        <f>IFERROR(J5464*D5464,0)</f>
      </c>
      <c r="L5464" s="29">
        <f>IFERROR(E5464*C5464,0)</f>
      </c>
      <c r="M5464" s="29">
        <f>IFERROR((G5464*H5464*I5464/1000000)*D5464,0)</f>
      </c>
    </row>
    <row r="5465" spans="1:13" x14ac:dyDescent="0.25">
      <c r="A5465" s="16"/>
      <c r="E5465" s="27"/>
      <c r="F5465" t="s">
        <v>26</v>
      </c>
      <c r="G5465" s="28">
        <f>IFERROR(VLOOKUP(F5465,CARTON_LOOKUP!$A:$E,3,0),"")</f>
      </c>
      <c r="H5465" s="28">
        <f>IFERROR(VLOOKUP(F5465,CARTON_LOOKUP!$A:$E,4,0),"")</f>
      </c>
      <c r="I5465" s="28">
        <f>IFERROR(VLOOKUP(F5465,CARTON_LOOKUP!$A:$E,5,0),"")</f>
      </c>
      <c r="J5465" s="29">
        <f>IFERROR(VLOOKUP(F5465,CARTON_LOOKUP!$A:$E,2,0),"")</f>
      </c>
      <c r="K5465" s="29">
        <f>IFERROR(J5465*D5465,0)</f>
      </c>
      <c r="L5465" s="29">
        <f>IFERROR(E5465*C5465,0)</f>
      </c>
      <c r="M5465" s="29">
        <f>IFERROR((G5465*H5465*I5465/1000000)*D5465,0)</f>
      </c>
    </row>
    <row r="5466" spans="1:13" x14ac:dyDescent="0.25">
      <c r="A5466" s="16"/>
      <c r="E5466" s="27"/>
      <c r="F5466" t="s">
        <v>26</v>
      </c>
      <c r="G5466" s="28">
        <f>IFERROR(VLOOKUP(F5466,CARTON_LOOKUP!$A:$E,3,0),"")</f>
      </c>
      <c r="H5466" s="28">
        <f>IFERROR(VLOOKUP(F5466,CARTON_LOOKUP!$A:$E,4,0),"")</f>
      </c>
      <c r="I5466" s="28">
        <f>IFERROR(VLOOKUP(F5466,CARTON_LOOKUP!$A:$E,5,0),"")</f>
      </c>
      <c r="J5466" s="29">
        <f>IFERROR(VLOOKUP(F5466,CARTON_LOOKUP!$A:$E,2,0),"")</f>
      </c>
      <c r="K5466" s="29">
        <f>IFERROR(J5466*D5466,0)</f>
      </c>
      <c r="L5466" s="29">
        <f>IFERROR(E5466*C5466,0)</f>
      </c>
      <c r="M5466" s="29">
        <f>IFERROR((G5466*H5466*I5466/1000000)*D5466,0)</f>
      </c>
    </row>
    <row r="5467" spans="1:13" x14ac:dyDescent="0.25">
      <c r="A5467" s="16"/>
      <c r="E5467" s="27"/>
      <c r="F5467" t="s">
        <v>26</v>
      </c>
      <c r="G5467" s="28">
        <f>IFERROR(VLOOKUP(F5467,CARTON_LOOKUP!$A:$E,3,0),"")</f>
      </c>
      <c r="H5467" s="28">
        <f>IFERROR(VLOOKUP(F5467,CARTON_LOOKUP!$A:$E,4,0),"")</f>
      </c>
      <c r="I5467" s="28">
        <f>IFERROR(VLOOKUP(F5467,CARTON_LOOKUP!$A:$E,5,0),"")</f>
      </c>
      <c r="J5467" s="29">
        <f>IFERROR(VLOOKUP(F5467,CARTON_LOOKUP!$A:$E,2,0),"")</f>
      </c>
      <c r="K5467" s="29">
        <f>IFERROR(J5467*D5467,0)</f>
      </c>
      <c r="L5467" s="29">
        <f>IFERROR(E5467*C5467,0)</f>
      </c>
      <c r="M5467" s="29">
        <f>IFERROR((G5467*H5467*I5467/1000000)*D5467,0)</f>
      </c>
    </row>
    <row r="5468" spans="1:13" x14ac:dyDescent="0.25">
      <c r="A5468" s="16"/>
      <c r="E5468" s="27"/>
      <c r="F5468" t="s">
        <v>26</v>
      </c>
      <c r="G5468" s="28">
        <f>IFERROR(VLOOKUP(F5468,CARTON_LOOKUP!$A:$E,3,0),"")</f>
      </c>
      <c r="H5468" s="28">
        <f>IFERROR(VLOOKUP(F5468,CARTON_LOOKUP!$A:$E,4,0),"")</f>
      </c>
      <c r="I5468" s="28">
        <f>IFERROR(VLOOKUP(F5468,CARTON_LOOKUP!$A:$E,5,0),"")</f>
      </c>
      <c r="J5468" s="29">
        <f>IFERROR(VLOOKUP(F5468,CARTON_LOOKUP!$A:$E,2,0),"")</f>
      </c>
      <c r="K5468" s="29">
        <f>IFERROR(J5468*D5468,0)</f>
      </c>
      <c r="L5468" s="29">
        <f>IFERROR(E5468*C5468,0)</f>
      </c>
      <c r="M5468" s="29">
        <f>IFERROR((G5468*H5468*I5468/1000000)*D5468,0)</f>
      </c>
    </row>
    <row r="5469" spans="1:13" x14ac:dyDescent="0.25">
      <c r="A5469" s="16"/>
      <c r="E5469" s="27"/>
      <c r="F5469" t="s">
        <v>26</v>
      </c>
      <c r="G5469" s="28">
        <f>IFERROR(VLOOKUP(F5469,CARTON_LOOKUP!$A:$E,3,0),"")</f>
      </c>
      <c r="H5469" s="28">
        <f>IFERROR(VLOOKUP(F5469,CARTON_LOOKUP!$A:$E,4,0),"")</f>
      </c>
      <c r="I5469" s="28">
        <f>IFERROR(VLOOKUP(F5469,CARTON_LOOKUP!$A:$E,5,0),"")</f>
      </c>
      <c r="J5469" s="29">
        <f>IFERROR(VLOOKUP(F5469,CARTON_LOOKUP!$A:$E,2,0),"")</f>
      </c>
      <c r="K5469" s="29">
        <f>IFERROR(J5469*D5469,0)</f>
      </c>
      <c r="L5469" s="29">
        <f>IFERROR(E5469*C5469,0)</f>
      </c>
      <c r="M5469" s="29">
        <f>IFERROR((G5469*H5469*I5469/1000000)*D5469,0)</f>
      </c>
    </row>
    <row r="5470" spans="1:13" x14ac:dyDescent="0.25">
      <c r="A5470" s="16"/>
      <c r="E5470" s="27"/>
      <c r="F5470" t="s">
        <v>26</v>
      </c>
      <c r="G5470" s="28">
        <f>IFERROR(VLOOKUP(F5470,CARTON_LOOKUP!$A:$E,3,0),"")</f>
      </c>
      <c r="H5470" s="28">
        <f>IFERROR(VLOOKUP(F5470,CARTON_LOOKUP!$A:$E,4,0),"")</f>
      </c>
      <c r="I5470" s="28">
        <f>IFERROR(VLOOKUP(F5470,CARTON_LOOKUP!$A:$E,5,0),"")</f>
      </c>
      <c r="J5470" s="29">
        <f>IFERROR(VLOOKUP(F5470,CARTON_LOOKUP!$A:$E,2,0),"")</f>
      </c>
      <c r="K5470" s="29">
        <f>IFERROR(J5470*D5470,0)</f>
      </c>
      <c r="L5470" s="29">
        <f>IFERROR(E5470*C5470,0)</f>
      </c>
      <c r="M5470" s="29">
        <f>IFERROR((G5470*H5470*I5470/1000000)*D5470,0)</f>
      </c>
    </row>
    <row r="5471" spans="1:13" x14ac:dyDescent="0.25">
      <c r="A5471" s="16"/>
      <c r="E5471" s="27"/>
      <c r="F5471" t="s">
        <v>26</v>
      </c>
      <c r="G5471" s="28">
        <f>IFERROR(VLOOKUP(F5471,CARTON_LOOKUP!$A:$E,3,0),"")</f>
      </c>
      <c r="H5471" s="28">
        <f>IFERROR(VLOOKUP(F5471,CARTON_LOOKUP!$A:$E,4,0),"")</f>
      </c>
      <c r="I5471" s="28">
        <f>IFERROR(VLOOKUP(F5471,CARTON_LOOKUP!$A:$E,5,0),"")</f>
      </c>
      <c r="J5471" s="29">
        <f>IFERROR(VLOOKUP(F5471,CARTON_LOOKUP!$A:$E,2,0),"")</f>
      </c>
      <c r="K5471" s="29">
        <f>IFERROR(J5471*D5471,0)</f>
      </c>
      <c r="L5471" s="29">
        <f>IFERROR(E5471*C5471,0)</f>
      </c>
      <c r="M5471" s="29">
        <f>IFERROR((G5471*H5471*I5471/1000000)*D5471,0)</f>
      </c>
    </row>
    <row r="5472" spans="1:13" x14ac:dyDescent="0.25">
      <c r="A5472" s="16"/>
      <c r="E5472" s="27"/>
      <c r="F5472" t="s">
        <v>26</v>
      </c>
      <c r="G5472" s="28">
        <f>IFERROR(VLOOKUP(F5472,CARTON_LOOKUP!$A:$E,3,0),"")</f>
      </c>
      <c r="H5472" s="28">
        <f>IFERROR(VLOOKUP(F5472,CARTON_LOOKUP!$A:$E,4,0),"")</f>
      </c>
      <c r="I5472" s="28">
        <f>IFERROR(VLOOKUP(F5472,CARTON_LOOKUP!$A:$E,5,0),"")</f>
      </c>
      <c r="J5472" s="29">
        <f>IFERROR(VLOOKUP(F5472,CARTON_LOOKUP!$A:$E,2,0),"")</f>
      </c>
      <c r="K5472" s="29">
        <f>IFERROR(J5472*D5472,0)</f>
      </c>
      <c r="L5472" s="29">
        <f>IFERROR(E5472*C5472,0)</f>
      </c>
      <c r="M5472" s="29">
        <f>IFERROR((G5472*H5472*I5472/1000000)*D5472,0)</f>
      </c>
    </row>
    <row r="5473" spans="1:13" x14ac:dyDescent="0.25">
      <c r="A5473" s="16"/>
      <c r="E5473" s="27"/>
      <c r="F5473" t="s">
        <v>26</v>
      </c>
      <c r="G5473" s="28">
        <f>IFERROR(VLOOKUP(F5473,CARTON_LOOKUP!$A:$E,3,0),"")</f>
      </c>
      <c r="H5473" s="28">
        <f>IFERROR(VLOOKUP(F5473,CARTON_LOOKUP!$A:$E,4,0),"")</f>
      </c>
      <c r="I5473" s="28">
        <f>IFERROR(VLOOKUP(F5473,CARTON_LOOKUP!$A:$E,5,0),"")</f>
      </c>
      <c r="J5473" s="29">
        <f>IFERROR(VLOOKUP(F5473,CARTON_LOOKUP!$A:$E,2,0),"")</f>
      </c>
      <c r="K5473" s="29">
        <f>IFERROR(J5473*D5473,0)</f>
      </c>
      <c r="L5473" s="29">
        <f>IFERROR(E5473*C5473,0)</f>
      </c>
      <c r="M5473" s="29">
        <f>IFERROR((G5473*H5473*I5473/1000000)*D5473,0)</f>
      </c>
    </row>
    <row r="5474" spans="1:13" x14ac:dyDescent="0.25">
      <c r="A5474" s="16"/>
      <c r="E5474" s="27"/>
      <c r="F5474" t="s">
        <v>26</v>
      </c>
      <c r="G5474" s="28">
        <f>IFERROR(VLOOKUP(F5474,CARTON_LOOKUP!$A:$E,3,0),"")</f>
      </c>
      <c r="H5474" s="28">
        <f>IFERROR(VLOOKUP(F5474,CARTON_LOOKUP!$A:$E,4,0),"")</f>
      </c>
      <c r="I5474" s="28">
        <f>IFERROR(VLOOKUP(F5474,CARTON_LOOKUP!$A:$E,5,0),"")</f>
      </c>
      <c r="J5474" s="29">
        <f>IFERROR(VLOOKUP(F5474,CARTON_LOOKUP!$A:$E,2,0),"")</f>
      </c>
      <c r="K5474" s="29">
        <f>IFERROR(J5474*D5474,0)</f>
      </c>
      <c r="L5474" s="29">
        <f>IFERROR(E5474*C5474,0)</f>
      </c>
      <c r="M5474" s="29">
        <f>IFERROR((G5474*H5474*I5474/1000000)*D5474,0)</f>
      </c>
    </row>
    <row r="5475" spans="1:13" x14ac:dyDescent="0.25">
      <c r="A5475" s="16"/>
      <c r="E5475" s="27"/>
      <c r="F5475" t="s">
        <v>26</v>
      </c>
      <c r="G5475" s="28">
        <f>IFERROR(VLOOKUP(F5475,CARTON_LOOKUP!$A:$E,3,0),"")</f>
      </c>
      <c r="H5475" s="28">
        <f>IFERROR(VLOOKUP(F5475,CARTON_LOOKUP!$A:$E,4,0),"")</f>
      </c>
      <c r="I5475" s="28">
        <f>IFERROR(VLOOKUP(F5475,CARTON_LOOKUP!$A:$E,5,0),"")</f>
      </c>
      <c r="J5475" s="29">
        <f>IFERROR(VLOOKUP(F5475,CARTON_LOOKUP!$A:$E,2,0),"")</f>
      </c>
      <c r="K5475" s="29">
        <f>IFERROR(J5475*D5475,0)</f>
      </c>
      <c r="L5475" s="29">
        <f>IFERROR(E5475*C5475,0)</f>
      </c>
      <c r="M5475" s="29">
        <f>IFERROR((G5475*H5475*I5475/1000000)*D5475,0)</f>
      </c>
    </row>
    <row r="5476" spans="1:13" x14ac:dyDescent="0.25">
      <c r="A5476" s="16"/>
      <c r="E5476" s="27"/>
      <c r="F5476" t="s">
        <v>26</v>
      </c>
      <c r="G5476" s="28">
        <f>IFERROR(VLOOKUP(F5476,CARTON_LOOKUP!$A:$E,3,0),"")</f>
      </c>
      <c r="H5476" s="28">
        <f>IFERROR(VLOOKUP(F5476,CARTON_LOOKUP!$A:$E,4,0),"")</f>
      </c>
      <c r="I5476" s="28">
        <f>IFERROR(VLOOKUP(F5476,CARTON_LOOKUP!$A:$E,5,0),"")</f>
      </c>
      <c r="J5476" s="29">
        <f>IFERROR(VLOOKUP(F5476,CARTON_LOOKUP!$A:$E,2,0),"")</f>
      </c>
      <c r="K5476" s="29">
        <f>IFERROR(J5476*D5476,0)</f>
      </c>
      <c r="L5476" s="29">
        <f>IFERROR(E5476*C5476,0)</f>
      </c>
      <c r="M5476" s="29">
        <f>IFERROR((G5476*H5476*I5476/1000000)*D5476,0)</f>
      </c>
    </row>
    <row r="5477" spans="1:13" x14ac:dyDescent="0.25">
      <c r="A5477" s="16"/>
      <c r="E5477" s="27"/>
      <c r="F5477" t="s">
        <v>26</v>
      </c>
      <c r="G5477" s="28">
        <f>IFERROR(VLOOKUP(F5477,CARTON_LOOKUP!$A:$E,3,0),"")</f>
      </c>
      <c r="H5477" s="28">
        <f>IFERROR(VLOOKUP(F5477,CARTON_LOOKUP!$A:$E,4,0),"")</f>
      </c>
      <c r="I5477" s="28">
        <f>IFERROR(VLOOKUP(F5477,CARTON_LOOKUP!$A:$E,5,0),"")</f>
      </c>
      <c r="J5477" s="29">
        <f>IFERROR(VLOOKUP(F5477,CARTON_LOOKUP!$A:$E,2,0),"")</f>
      </c>
      <c r="K5477" s="29">
        <f>IFERROR(J5477*D5477,0)</f>
      </c>
      <c r="L5477" s="29">
        <f>IFERROR(E5477*C5477,0)</f>
      </c>
      <c r="M5477" s="29">
        <f>IFERROR((G5477*H5477*I5477/1000000)*D5477,0)</f>
      </c>
    </row>
    <row r="5478" spans="1:13" x14ac:dyDescent="0.25">
      <c r="A5478" s="16"/>
      <c r="E5478" s="27"/>
      <c r="F5478" t="s">
        <v>26</v>
      </c>
      <c r="G5478" s="28">
        <f>IFERROR(VLOOKUP(F5478,CARTON_LOOKUP!$A:$E,3,0),"")</f>
      </c>
      <c r="H5478" s="28">
        <f>IFERROR(VLOOKUP(F5478,CARTON_LOOKUP!$A:$E,4,0),"")</f>
      </c>
      <c r="I5478" s="28">
        <f>IFERROR(VLOOKUP(F5478,CARTON_LOOKUP!$A:$E,5,0),"")</f>
      </c>
      <c r="J5478" s="29">
        <f>IFERROR(VLOOKUP(F5478,CARTON_LOOKUP!$A:$E,2,0),"")</f>
      </c>
      <c r="K5478" s="29">
        <f>IFERROR(J5478*D5478,0)</f>
      </c>
      <c r="L5478" s="29">
        <f>IFERROR(E5478*C5478,0)</f>
      </c>
      <c r="M5478" s="29">
        <f>IFERROR((G5478*H5478*I5478/1000000)*D5478,0)</f>
      </c>
    </row>
    <row r="5479" spans="1:13" x14ac:dyDescent="0.25">
      <c r="A5479" s="16"/>
      <c r="E5479" s="27"/>
      <c r="F5479" t="s">
        <v>26</v>
      </c>
      <c r="G5479" s="28">
        <f>IFERROR(VLOOKUP(F5479,CARTON_LOOKUP!$A:$E,3,0),"")</f>
      </c>
      <c r="H5479" s="28">
        <f>IFERROR(VLOOKUP(F5479,CARTON_LOOKUP!$A:$E,4,0),"")</f>
      </c>
      <c r="I5479" s="28">
        <f>IFERROR(VLOOKUP(F5479,CARTON_LOOKUP!$A:$E,5,0),"")</f>
      </c>
      <c r="J5479" s="29">
        <f>IFERROR(VLOOKUP(F5479,CARTON_LOOKUP!$A:$E,2,0),"")</f>
      </c>
      <c r="K5479" s="29">
        <f>IFERROR(J5479*D5479,0)</f>
      </c>
      <c r="L5479" s="29">
        <f>IFERROR(E5479*C5479,0)</f>
      </c>
      <c r="M5479" s="29">
        <f>IFERROR((G5479*H5479*I5479/1000000)*D5479,0)</f>
      </c>
    </row>
    <row r="5480" spans="1:13" x14ac:dyDescent="0.25">
      <c r="A5480" s="16"/>
      <c r="E5480" s="27"/>
      <c r="F5480" t="s">
        <v>26</v>
      </c>
      <c r="G5480" s="28">
        <f>IFERROR(VLOOKUP(F5480,CARTON_LOOKUP!$A:$E,3,0),"")</f>
      </c>
      <c r="H5480" s="28">
        <f>IFERROR(VLOOKUP(F5480,CARTON_LOOKUP!$A:$E,4,0),"")</f>
      </c>
      <c r="I5480" s="28">
        <f>IFERROR(VLOOKUP(F5480,CARTON_LOOKUP!$A:$E,5,0),"")</f>
      </c>
      <c r="J5480" s="29">
        <f>IFERROR(VLOOKUP(F5480,CARTON_LOOKUP!$A:$E,2,0),"")</f>
      </c>
      <c r="K5480" s="29">
        <f>IFERROR(J5480*D5480,0)</f>
      </c>
      <c r="L5480" s="29">
        <f>IFERROR(E5480*C5480,0)</f>
      </c>
      <c r="M5480" s="29">
        <f>IFERROR((G5480*H5480*I5480/1000000)*D5480,0)</f>
      </c>
    </row>
    <row r="5481" spans="1:13" x14ac:dyDescent="0.25">
      <c r="A5481" s="16"/>
      <c r="E5481" s="27"/>
      <c r="F5481" t="s">
        <v>26</v>
      </c>
      <c r="G5481" s="28">
        <f>IFERROR(VLOOKUP(F5481,CARTON_LOOKUP!$A:$E,3,0),"")</f>
      </c>
      <c r="H5481" s="28">
        <f>IFERROR(VLOOKUP(F5481,CARTON_LOOKUP!$A:$E,4,0),"")</f>
      </c>
      <c r="I5481" s="28">
        <f>IFERROR(VLOOKUP(F5481,CARTON_LOOKUP!$A:$E,5,0),"")</f>
      </c>
      <c r="J5481" s="29">
        <f>IFERROR(VLOOKUP(F5481,CARTON_LOOKUP!$A:$E,2,0),"")</f>
      </c>
      <c r="K5481" s="29">
        <f>IFERROR(J5481*D5481,0)</f>
      </c>
      <c r="L5481" s="29">
        <f>IFERROR(E5481*C5481,0)</f>
      </c>
      <c r="M5481" s="29">
        <f>IFERROR((G5481*H5481*I5481/1000000)*D5481,0)</f>
      </c>
    </row>
    <row r="5482" spans="1:13" x14ac:dyDescent="0.25">
      <c r="A5482" s="16"/>
      <c r="E5482" s="27"/>
      <c r="F5482" t="s">
        <v>26</v>
      </c>
      <c r="G5482" s="28">
        <f>IFERROR(VLOOKUP(F5482,CARTON_LOOKUP!$A:$E,3,0),"")</f>
      </c>
      <c r="H5482" s="28">
        <f>IFERROR(VLOOKUP(F5482,CARTON_LOOKUP!$A:$E,4,0),"")</f>
      </c>
      <c r="I5482" s="28">
        <f>IFERROR(VLOOKUP(F5482,CARTON_LOOKUP!$A:$E,5,0),"")</f>
      </c>
      <c r="J5482" s="29">
        <f>IFERROR(VLOOKUP(F5482,CARTON_LOOKUP!$A:$E,2,0),"")</f>
      </c>
      <c r="K5482" s="29">
        <f>IFERROR(J5482*D5482,0)</f>
      </c>
      <c r="L5482" s="29">
        <f>IFERROR(E5482*C5482,0)</f>
      </c>
      <c r="M5482" s="29">
        <f>IFERROR((G5482*H5482*I5482/1000000)*D5482,0)</f>
      </c>
    </row>
    <row r="5483" spans="1:13" x14ac:dyDescent="0.25">
      <c r="A5483" s="16"/>
      <c r="E5483" s="27"/>
      <c r="F5483" t="s">
        <v>26</v>
      </c>
      <c r="G5483" s="28">
        <f>IFERROR(VLOOKUP(F5483,CARTON_LOOKUP!$A:$E,3,0),"")</f>
      </c>
      <c r="H5483" s="28">
        <f>IFERROR(VLOOKUP(F5483,CARTON_LOOKUP!$A:$E,4,0),"")</f>
      </c>
      <c r="I5483" s="28">
        <f>IFERROR(VLOOKUP(F5483,CARTON_LOOKUP!$A:$E,5,0),"")</f>
      </c>
      <c r="J5483" s="29">
        <f>IFERROR(VLOOKUP(F5483,CARTON_LOOKUP!$A:$E,2,0),"")</f>
      </c>
      <c r="K5483" s="29">
        <f>IFERROR(J5483*D5483,0)</f>
      </c>
      <c r="L5483" s="29">
        <f>IFERROR(E5483*C5483,0)</f>
      </c>
      <c r="M5483" s="29">
        <f>IFERROR((G5483*H5483*I5483/1000000)*D5483,0)</f>
      </c>
    </row>
    <row r="5484" spans="1:13" x14ac:dyDescent="0.25">
      <c r="A5484" s="16"/>
      <c r="E5484" s="27"/>
      <c r="F5484" t="s">
        <v>26</v>
      </c>
      <c r="G5484" s="28">
        <f>IFERROR(VLOOKUP(F5484,CARTON_LOOKUP!$A:$E,3,0),"")</f>
      </c>
      <c r="H5484" s="28">
        <f>IFERROR(VLOOKUP(F5484,CARTON_LOOKUP!$A:$E,4,0),"")</f>
      </c>
      <c r="I5484" s="28">
        <f>IFERROR(VLOOKUP(F5484,CARTON_LOOKUP!$A:$E,5,0),"")</f>
      </c>
      <c r="J5484" s="29">
        <f>IFERROR(VLOOKUP(F5484,CARTON_LOOKUP!$A:$E,2,0),"")</f>
      </c>
      <c r="K5484" s="29">
        <f>IFERROR(J5484*D5484,0)</f>
      </c>
      <c r="L5484" s="29">
        <f>IFERROR(E5484*C5484,0)</f>
      </c>
      <c r="M5484" s="29">
        <f>IFERROR((G5484*H5484*I5484/1000000)*D5484,0)</f>
      </c>
    </row>
    <row r="5485" spans="1:13" x14ac:dyDescent="0.25">
      <c r="A5485" s="16"/>
      <c r="E5485" s="27"/>
      <c r="F5485" t="s">
        <v>26</v>
      </c>
      <c r="G5485" s="28">
        <f>IFERROR(VLOOKUP(F5485,CARTON_LOOKUP!$A:$E,3,0),"")</f>
      </c>
      <c r="H5485" s="28">
        <f>IFERROR(VLOOKUP(F5485,CARTON_LOOKUP!$A:$E,4,0),"")</f>
      </c>
      <c r="I5485" s="28">
        <f>IFERROR(VLOOKUP(F5485,CARTON_LOOKUP!$A:$E,5,0),"")</f>
      </c>
      <c r="J5485" s="29">
        <f>IFERROR(VLOOKUP(F5485,CARTON_LOOKUP!$A:$E,2,0),"")</f>
      </c>
      <c r="K5485" s="29">
        <f>IFERROR(J5485*D5485,0)</f>
      </c>
      <c r="L5485" s="29">
        <f>IFERROR(E5485*C5485,0)</f>
      </c>
      <c r="M5485" s="29">
        <f>IFERROR((G5485*H5485*I5485/1000000)*D5485,0)</f>
      </c>
    </row>
    <row r="5486" spans="1:13" x14ac:dyDescent="0.25">
      <c r="A5486" s="16"/>
      <c r="E5486" s="27"/>
      <c r="F5486" t="s">
        <v>26</v>
      </c>
      <c r="G5486" s="28">
        <f>IFERROR(VLOOKUP(F5486,CARTON_LOOKUP!$A:$E,3,0),"")</f>
      </c>
      <c r="H5486" s="28">
        <f>IFERROR(VLOOKUP(F5486,CARTON_LOOKUP!$A:$E,4,0),"")</f>
      </c>
      <c r="I5486" s="28">
        <f>IFERROR(VLOOKUP(F5486,CARTON_LOOKUP!$A:$E,5,0),"")</f>
      </c>
      <c r="J5486" s="29">
        <f>IFERROR(VLOOKUP(F5486,CARTON_LOOKUP!$A:$E,2,0),"")</f>
      </c>
      <c r="K5486" s="29">
        <f>IFERROR(J5486*D5486,0)</f>
      </c>
      <c r="L5486" s="29">
        <f>IFERROR(E5486*C5486,0)</f>
      </c>
      <c r="M5486" s="29">
        <f>IFERROR((G5486*H5486*I5486/1000000)*D5486,0)</f>
      </c>
    </row>
    <row r="5487" spans="1:13" x14ac:dyDescent="0.25">
      <c r="A5487" s="16"/>
      <c r="E5487" s="27"/>
      <c r="F5487" t="s">
        <v>26</v>
      </c>
      <c r="G5487" s="28">
        <f>IFERROR(VLOOKUP(F5487,CARTON_LOOKUP!$A:$E,3,0),"")</f>
      </c>
      <c r="H5487" s="28">
        <f>IFERROR(VLOOKUP(F5487,CARTON_LOOKUP!$A:$E,4,0),"")</f>
      </c>
      <c r="I5487" s="28">
        <f>IFERROR(VLOOKUP(F5487,CARTON_LOOKUP!$A:$E,5,0),"")</f>
      </c>
      <c r="J5487" s="29">
        <f>IFERROR(VLOOKUP(F5487,CARTON_LOOKUP!$A:$E,2,0),"")</f>
      </c>
      <c r="K5487" s="29">
        <f>IFERROR(J5487*D5487,0)</f>
      </c>
      <c r="L5487" s="29">
        <f>IFERROR(E5487*C5487,0)</f>
      </c>
      <c r="M5487" s="29">
        <f>IFERROR((G5487*H5487*I5487/1000000)*D5487,0)</f>
      </c>
    </row>
    <row r="5488" spans="1:13" x14ac:dyDescent="0.25">
      <c r="A5488" s="16"/>
      <c r="E5488" s="27"/>
      <c r="F5488" t="s">
        <v>26</v>
      </c>
      <c r="G5488" s="28">
        <f>IFERROR(VLOOKUP(F5488,CARTON_LOOKUP!$A:$E,3,0),"")</f>
      </c>
      <c r="H5488" s="28">
        <f>IFERROR(VLOOKUP(F5488,CARTON_LOOKUP!$A:$E,4,0),"")</f>
      </c>
      <c r="I5488" s="28">
        <f>IFERROR(VLOOKUP(F5488,CARTON_LOOKUP!$A:$E,5,0),"")</f>
      </c>
      <c r="J5488" s="29">
        <f>IFERROR(VLOOKUP(F5488,CARTON_LOOKUP!$A:$E,2,0),"")</f>
      </c>
      <c r="K5488" s="29">
        <f>IFERROR(J5488*D5488,0)</f>
      </c>
      <c r="L5488" s="29">
        <f>IFERROR(E5488*C5488,0)</f>
      </c>
      <c r="M5488" s="29">
        <f>IFERROR((G5488*H5488*I5488/1000000)*D5488,0)</f>
      </c>
    </row>
    <row r="5489" spans="1:13" x14ac:dyDescent="0.25">
      <c r="A5489" s="16"/>
      <c r="E5489" s="27"/>
      <c r="F5489" t="s">
        <v>26</v>
      </c>
      <c r="G5489" s="28">
        <f>IFERROR(VLOOKUP(F5489,CARTON_LOOKUP!$A:$E,3,0),"")</f>
      </c>
      <c r="H5489" s="28">
        <f>IFERROR(VLOOKUP(F5489,CARTON_LOOKUP!$A:$E,4,0),"")</f>
      </c>
      <c r="I5489" s="28">
        <f>IFERROR(VLOOKUP(F5489,CARTON_LOOKUP!$A:$E,5,0),"")</f>
      </c>
      <c r="J5489" s="29">
        <f>IFERROR(VLOOKUP(F5489,CARTON_LOOKUP!$A:$E,2,0),"")</f>
      </c>
      <c r="K5489" s="29">
        <f>IFERROR(J5489*D5489,0)</f>
      </c>
      <c r="L5489" s="29">
        <f>IFERROR(E5489*C5489,0)</f>
      </c>
      <c r="M5489" s="29">
        <f>IFERROR((G5489*H5489*I5489/1000000)*D5489,0)</f>
      </c>
    </row>
    <row r="5490" spans="1:13" x14ac:dyDescent="0.25">
      <c r="A5490" s="16"/>
      <c r="E5490" s="27"/>
      <c r="F5490" t="s">
        <v>26</v>
      </c>
      <c r="G5490" s="28">
        <f>IFERROR(VLOOKUP(F5490,CARTON_LOOKUP!$A:$E,3,0),"")</f>
      </c>
      <c r="H5490" s="28">
        <f>IFERROR(VLOOKUP(F5490,CARTON_LOOKUP!$A:$E,4,0),"")</f>
      </c>
      <c r="I5490" s="28">
        <f>IFERROR(VLOOKUP(F5490,CARTON_LOOKUP!$A:$E,5,0),"")</f>
      </c>
      <c r="J5490" s="29">
        <f>IFERROR(VLOOKUP(F5490,CARTON_LOOKUP!$A:$E,2,0),"")</f>
      </c>
      <c r="K5490" s="29">
        <f>IFERROR(J5490*D5490,0)</f>
      </c>
      <c r="L5490" s="29">
        <f>IFERROR(E5490*C5490,0)</f>
      </c>
      <c r="M5490" s="29">
        <f>IFERROR((G5490*H5490*I5490/1000000)*D5490,0)</f>
      </c>
    </row>
    <row r="5491" spans="1:13" x14ac:dyDescent="0.25">
      <c r="A5491" s="16"/>
      <c r="E5491" s="27"/>
      <c r="F5491" t="s">
        <v>26</v>
      </c>
      <c r="G5491" s="28">
        <f>IFERROR(VLOOKUP(F5491,CARTON_LOOKUP!$A:$E,3,0),"")</f>
      </c>
      <c r="H5491" s="28">
        <f>IFERROR(VLOOKUP(F5491,CARTON_LOOKUP!$A:$E,4,0),"")</f>
      </c>
      <c r="I5491" s="28">
        <f>IFERROR(VLOOKUP(F5491,CARTON_LOOKUP!$A:$E,5,0),"")</f>
      </c>
      <c r="J5491" s="29">
        <f>IFERROR(VLOOKUP(F5491,CARTON_LOOKUP!$A:$E,2,0),"")</f>
      </c>
      <c r="K5491" s="29">
        <f>IFERROR(J5491*D5491,0)</f>
      </c>
      <c r="L5491" s="29">
        <f>IFERROR(E5491*C5491,0)</f>
      </c>
      <c r="M5491" s="29">
        <f>IFERROR((G5491*H5491*I5491/1000000)*D5491,0)</f>
      </c>
    </row>
    <row r="5492" spans="1:13" x14ac:dyDescent="0.25">
      <c r="A5492" s="16"/>
      <c r="E5492" s="27"/>
      <c r="F5492" t="s">
        <v>26</v>
      </c>
      <c r="G5492" s="28">
        <f>IFERROR(VLOOKUP(F5492,CARTON_LOOKUP!$A:$E,3,0),"")</f>
      </c>
      <c r="H5492" s="28">
        <f>IFERROR(VLOOKUP(F5492,CARTON_LOOKUP!$A:$E,4,0),"")</f>
      </c>
      <c r="I5492" s="28">
        <f>IFERROR(VLOOKUP(F5492,CARTON_LOOKUP!$A:$E,5,0),"")</f>
      </c>
      <c r="J5492" s="29">
        <f>IFERROR(VLOOKUP(F5492,CARTON_LOOKUP!$A:$E,2,0),"")</f>
      </c>
      <c r="K5492" s="29">
        <f>IFERROR(J5492*D5492,0)</f>
      </c>
      <c r="L5492" s="29">
        <f>IFERROR(E5492*C5492,0)</f>
      </c>
      <c r="M5492" s="29">
        <f>IFERROR((G5492*H5492*I5492/1000000)*D5492,0)</f>
      </c>
    </row>
    <row r="5493" spans="1:13" x14ac:dyDescent="0.25">
      <c r="A5493" s="16"/>
      <c r="E5493" s="27"/>
      <c r="F5493" t="s">
        <v>26</v>
      </c>
      <c r="G5493" s="28">
        <f>IFERROR(VLOOKUP(F5493,CARTON_LOOKUP!$A:$E,3,0),"")</f>
      </c>
      <c r="H5493" s="28">
        <f>IFERROR(VLOOKUP(F5493,CARTON_LOOKUP!$A:$E,4,0),"")</f>
      </c>
      <c r="I5493" s="28">
        <f>IFERROR(VLOOKUP(F5493,CARTON_LOOKUP!$A:$E,5,0),"")</f>
      </c>
      <c r="J5493" s="29">
        <f>IFERROR(VLOOKUP(F5493,CARTON_LOOKUP!$A:$E,2,0),"")</f>
      </c>
      <c r="K5493" s="29">
        <f>IFERROR(J5493*D5493,0)</f>
      </c>
      <c r="L5493" s="29">
        <f>IFERROR(E5493*C5493,0)</f>
      </c>
      <c r="M5493" s="29">
        <f>IFERROR((G5493*H5493*I5493/1000000)*D5493,0)</f>
      </c>
    </row>
    <row r="5494" spans="1:13" x14ac:dyDescent="0.25">
      <c r="A5494" s="16"/>
      <c r="E5494" s="27"/>
      <c r="F5494" t="s">
        <v>26</v>
      </c>
      <c r="G5494" s="28">
        <f>IFERROR(VLOOKUP(F5494,CARTON_LOOKUP!$A:$E,3,0),"")</f>
      </c>
      <c r="H5494" s="28">
        <f>IFERROR(VLOOKUP(F5494,CARTON_LOOKUP!$A:$E,4,0),"")</f>
      </c>
      <c r="I5494" s="28">
        <f>IFERROR(VLOOKUP(F5494,CARTON_LOOKUP!$A:$E,5,0),"")</f>
      </c>
      <c r="J5494" s="29">
        <f>IFERROR(VLOOKUP(F5494,CARTON_LOOKUP!$A:$E,2,0),"")</f>
      </c>
      <c r="K5494" s="29">
        <f>IFERROR(J5494*D5494,0)</f>
      </c>
      <c r="L5494" s="29">
        <f>IFERROR(E5494*C5494,0)</f>
      </c>
      <c r="M5494" s="29">
        <f>IFERROR((G5494*H5494*I5494/1000000)*D5494,0)</f>
      </c>
    </row>
    <row r="5495" spans="1:13" x14ac:dyDescent="0.25">
      <c r="A5495" s="16"/>
      <c r="E5495" s="27"/>
      <c r="F5495" t="s">
        <v>26</v>
      </c>
      <c r="G5495" s="28">
        <f>IFERROR(VLOOKUP(F5495,CARTON_LOOKUP!$A:$E,3,0),"")</f>
      </c>
      <c r="H5495" s="28">
        <f>IFERROR(VLOOKUP(F5495,CARTON_LOOKUP!$A:$E,4,0),"")</f>
      </c>
      <c r="I5495" s="28">
        <f>IFERROR(VLOOKUP(F5495,CARTON_LOOKUP!$A:$E,5,0),"")</f>
      </c>
      <c r="J5495" s="29">
        <f>IFERROR(VLOOKUP(F5495,CARTON_LOOKUP!$A:$E,2,0),"")</f>
      </c>
      <c r="K5495" s="29">
        <f>IFERROR(J5495*D5495,0)</f>
      </c>
      <c r="L5495" s="29">
        <f>IFERROR(E5495*C5495,0)</f>
      </c>
      <c r="M5495" s="29">
        <f>IFERROR((G5495*H5495*I5495/1000000)*D5495,0)</f>
      </c>
    </row>
    <row r="5496" spans="1:13" x14ac:dyDescent="0.25">
      <c r="A5496" s="16"/>
      <c r="E5496" s="27"/>
      <c r="F5496" t="s">
        <v>26</v>
      </c>
      <c r="G5496" s="28">
        <f>IFERROR(VLOOKUP(F5496,CARTON_LOOKUP!$A:$E,3,0),"")</f>
      </c>
      <c r="H5496" s="28">
        <f>IFERROR(VLOOKUP(F5496,CARTON_LOOKUP!$A:$E,4,0),"")</f>
      </c>
      <c r="I5496" s="28">
        <f>IFERROR(VLOOKUP(F5496,CARTON_LOOKUP!$A:$E,5,0),"")</f>
      </c>
      <c r="J5496" s="29">
        <f>IFERROR(VLOOKUP(F5496,CARTON_LOOKUP!$A:$E,2,0),"")</f>
      </c>
      <c r="K5496" s="29">
        <f>IFERROR(J5496*D5496,0)</f>
      </c>
      <c r="L5496" s="29">
        <f>IFERROR(E5496*C5496,0)</f>
      </c>
      <c r="M5496" s="29">
        <f>IFERROR((G5496*H5496*I5496/1000000)*D5496,0)</f>
      </c>
    </row>
    <row r="5497" spans="1:13" x14ac:dyDescent="0.25">
      <c r="A5497" s="16"/>
      <c r="E5497" s="27"/>
      <c r="F5497" t="s">
        <v>26</v>
      </c>
      <c r="G5497" s="28">
        <f>IFERROR(VLOOKUP(F5497,CARTON_LOOKUP!$A:$E,3,0),"")</f>
      </c>
      <c r="H5497" s="28">
        <f>IFERROR(VLOOKUP(F5497,CARTON_LOOKUP!$A:$E,4,0),"")</f>
      </c>
      <c r="I5497" s="28">
        <f>IFERROR(VLOOKUP(F5497,CARTON_LOOKUP!$A:$E,5,0),"")</f>
      </c>
      <c r="J5497" s="29">
        <f>IFERROR(VLOOKUP(F5497,CARTON_LOOKUP!$A:$E,2,0),"")</f>
      </c>
      <c r="K5497" s="29">
        <f>IFERROR(J5497*D5497,0)</f>
      </c>
      <c r="L5497" s="29">
        <f>IFERROR(E5497*C5497,0)</f>
      </c>
      <c r="M5497" s="29">
        <f>IFERROR((G5497*H5497*I5497/1000000)*D5497,0)</f>
      </c>
    </row>
    <row r="5498" spans="1:13" x14ac:dyDescent="0.25">
      <c r="A5498" s="16"/>
      <c r="E5498" s="27"/>
      <c r="F5498" t="s">
        <v>26</v>
      </c>
      <c r="G5498" s="28">
        <f>IFERROR(VLOOKUP(F5498,CARTON_LOOKUP!$A:$E,3,0),"")</f>
      </c>
      <c r="H5498" s="28">
        <f>IFERROR(VLOOKUP(F5498,CARTON_LOOKUP!$A:$E,4,0),"")</f>
      </c>
      <c r="I5498" s="28">
        <f>IFERROR(VLOOKUP(F5498,CARTON_LOOKUP!$A:$E,5,0),"")</f>
      </c>
      <c r="J5498" s="29">
        <f>IFERROR(VLOOKUP(F5498,CARTON_LOOKUP!$A:$E,2,0),"")</f>
      </c>
      <c r="K5498" s="29">
        <f>IFERROR(J5498*D5498,0)</f>
      </c>
      <c r="L5498" s="29">
        <f>IFERROR(E5498*C5498,0)</f>
      </c>
      <c r="M5498" s="29">
        <f>IFERROR((G5498*H5498*I5498/1000000)*D5498,0)</f>
      </c>
    </row>
    <row r="5499" spans="1:13" x14ac:dyDescent="0.25">
      <c r="A5499" s="16"/>
      <c r="E5499" s="27"/>
      <c r="F5499" t="s">
        <v>26</v>
      </c>
      <c r="G5499" s="28">
        <f>IFERROR(VLOOKUP(F5499,CARTON_LOOKUP!$A:$E,3,0),"")</f>
      </c>
      <c r="H5499" s="28">
        <f>IFERROR(VLOOKUP(F5499,CARTON_LOOKUP!$A:$E,4,0),"")</f>
      </c>
      <c r="I5499" s="28">
        <f>IFERROR(VLOOKUP(F5499,CARTON_LOOKUP!$A:$E,5,0),"")</f>
      </c>
      <c r="J5499" s="29">
        <f>IFERROR(VLOOKUP(F5499,CARTON_LOOKUP!$A:$E,2,0),"")</f>
      </c>
      <c r="K5499" s="29">
        <f>IFERROR(J5499*D5499,0)</f>
      </c>
      <c r="L5499" s="29">
        <f>IFERROR(E5499*C5499,0)</f>
      </c>
      <c r="M5499" s="29">
        <f>IFERROR((G5499*H5499*I5499/1000000)*D5499,0)</f>
      </c>
    </row>
    <row r="5500" spans="1:13" x14ac:dyDescent="0.25">
      <c r="A5500" s="16"/>
      <c r="E5500" s="27"/>
      <c r="F5500" t="s">
        <v>26</v>
      </c>
      <c r="G5500" s="28">
        <f>IFERROR(VLOOKUP(F5500,CARTON_LOOKUP!$A:$E,3,0),"")</f>
      </c>
      <c r="H5500" s="28">
        <f>IFERROR(VLOOKUP(F5500,CARTON_LOOKUP!$A:$E,4,0),"")</f>
      </c>
      <c r="I5500" s="28">
        <f>IFERROR(VLOOKUP(F5500,CARTON_LOOKUP!$A:$E,5,0),"")</f>
      </c>
      <c r="J5500" s="29">
        <f>IFERROR(VLOOKUP(F5500,CARTON_LOOKUP!$A:$E,2,0),"")</f>
      </c>
      <c r="K5500" s="29">
        <f>IFERROR(J5500*D5500,0)</f>
      </c>
      <c r="L5500" s="29">
        <f>IFERROR(E5500*C5500,0)</f>
      </c>
      <c r="M5500" s="29">
        <f>IFERROR((G5500*H5500*I5500/1000000)*D5500,0)</f>
      </c>
    </row>
    <row r="5501" spans="1:13" x14ac:dyDescent="0.25">
      <c r="A5501" s="16"/>
      <c r="E5501" s="27"/>
      <c r="F5501" t="s">
        <v>26</v>
      </c>
      <c r="G5501" s="28">
        <f>IFERROR(VLOOKUP(F5501,CARTON_LOOKUP!$A:$E,3,0),"")</f>
      </c>
      <c r="H5501" s="28">
        <f>IFERROR(VLOOKUP(F5501,CARTON_LOOKUP!$A:$E,4,0),"")</f>
      </c>
      <c r="I5501" s="28">
        <f>IFERROR(VLOOKUP(F5501,CARTON_LOOKUP!$A:$E,5,0),"")</f>
      </c>
      <c r="J5501" s="29">
        <f>IFERROR(VLOOKUP(F5501,CARTON_LOOKUP!$A:$E,2,0),"")</f>
      </c>
      <c r="K5501" s="29">
        <f>IFERROR(J5501*D5501,0)</f>
      </c>
      <c r="L5501" s="29">
        <f>IFERROR(E5501*C5501,0)</f>
      </c>
      <c r="M5501" s="29">
        <f>IFERROR((G5501*H5501*I5501/1000000)*D5501,0)</f>
      </c>
    </row>
    <row r="5502" spans="1:13" x14ac:dyDescent="0.25">
      <c r="A5502" s="16"/>
      <c r="E5502" s="27"/>
      <c r="F5502" t="s">
        <v>26</v>
      </c>
      <c r="G5502" s="28">
        <f>IFERROR(VLOOKUP(F5502,CARTON_LOOKUP!$A:$E,3,0),"")</f>
      </c>
      <c r="H5502" s="28">
        <f>IFERROR(VLOOKUP(F5502,CARTON_LOOKUP!$A:$E,4,0),"")</f>
      </c>
      <c r="I5502" s="28">
        <f>IFERROR(VLOOKUP(F5502,CARTON_LOOKUP!$A:$E,5,0),"")</f>
      </c>
      <c r="J5502" s="29">
        <f>IFERROR(VLOOKUP(F5502,CARTON_LOOKUP!$A:$E,2,0),"")</f>
      </c>
      <c r="K5502" s="29">
        <f>IFERROR(J5502*D5502,0)</f>
      </c>
      <c r="L5502" s="29">
        <f>IFERROR(E5502*C5502,0)</f>
      </c>
      <c r="M5502" s="29">
        <f>IFERROR((G5502*H5502*I5502/1000000)*D5502,0)</f>
      </c>
    </row>
    <row r="5503" spans="1:13" x14ac:dyDescent="0.25">
      <c r="A5503" s="16"/>
      <c r="E5503" s="27"/>
      <c r="F5503" t="s">
        <v>26</v>
      </c>
      <c r="G5503" s="28">
        <f>IFERROR(VLOOKUP(F5503,CARTON_LOOKUP!$A:$E,3,0),"")</f>
      </c>
      <c r="H5503" s="28">
        <f>IFERROR(VLOOKUP(F5503,CARTON_LOOKUP!$A:$E,4,0),"")</f>
      </c>
      <c r="I5503" s="28">
        <f>IFERROR(VLOOKUP(F5503,CARTON_LOOKUP!$A:$E,5,0),"")</f>
      </c>
      <c r="J5503" s="29">
        <f>IFERROR(VLOOKUP(F5503,CARTON_LOOKUP!$A:$E,2,0),"")</f>
      </c>
      <c r="K5503" s="29">
        <f>IFERROR(J5503*D5503,0)</f>
      </c>
      <c r="L5503" s="29">
        <f>IFERROR(E5503*C5503,0)</f>
      </c>
      <c r="M5503" s="29">
        <f>IFERROR((G5503*H5503*I5503/1000000)*D5503,0)</f>
      </c>
    </row>
    <row r="5504" spans="1:13" x14ac:dyDescent="0.25">
      <c r="A5504" s="16"/>
      <c r="E5504" s="27"/>
      <c r="F5504" t="s">
        <v>26</v>
      </c>
      <c r="G5504" s="28">
        <f>IFERROR(VLOOKUP(F5504,CARTON_LOOKUP!$A:$E,3,0),"")</f>
      </c>
      <c r="H5504" s="28">
        <f>IFERROR(VLOOKUP(F5504,CARTON_LOOKUP!$A:$E,4,0),"")</f>
      </c>
      <c r="I5504" s="28">
        <f>IFERROR(VLOOKUP(F5504,CARTON_LOOKUP!$A:$E,5,0),"")</f>
      </c>
      <c r="J5504" s="29">
        <f>IFERROR(VLOOKUP(F5504,CARTON_LOOKUP!$A:$E,2,0),"")</f>
      </c>
      <c r="K5504" s="29">
        <f>IFERROR(J5504*D5504,0)</f>
      </c>
      <c r="L5504" s="29">
        <f>IFERROR(E5504*C5504,0)</f>
      </c>
      <c r="M5504" s="29">
        <f>IFERROR((G5504*H5504*I5504/1000000)*D5504,0)</f>
      </c>
    </row>
    <row r="5505" spans="1:13" x14ac:dyDescent="0.25">
      <c r="A5505" s="16"/>
      <c r="E5505" s="27"/>
      <c r="F5505" t="s">
        <v>26</v>
      </c>
      <c r="G5505" s="28">
        <f>IFERROR(VLOOKUP(F5505,CARTON_LOOKUP!$A:$E,3,0),"")</f>
      </c>
      <c r="H5505" s="28">
        <f>IFERROR(VLOOKUP(F5505,CARTON_LOOKUP!$A:$E,4,0),"")</f>
      </c>
      <c r="I5505" s="28">
        <f>IFERROR(VLOOKUP(F5505,CARTON_LOOKUP!$A:$E,5,0),"")</f>
      </c>
      <c r="J5505" s="29">
        <f>IFERROR(VLOOKUP(F5505,CARTON_LOOKUP!$A:$E,2,0),"")</f>
      </c>
      <c r="K5505" s="29">
        <f>IFERROR(J5505*D5505,0)</f>
      </c>
      <c r="L5505" s="29">
        <f>IFERROR(E5505*C5505,0)</f>
      </c>
      <c r="M5505" s="29">
        <f>IFERROR((G5505*H5505*I5505/1000000)*D5505,0)</f>
      </c>
    </row>
    <row r="5506" spans="1:13" x14ac:dyDescent="0.25">
      <c r="A5506" s="16"/>
      <c r="E5506" s="27"/>
      <c r="F5506" t="s">
        <v>26</v>
      </c>
      <c r="G5506" s="28">
        <f>IFERROR(VLOOKUP(F5506,CARTON_LOOKUP!$A:$E,3,0),"")</f>
      </c>
      <c r="H5506" s="28">
        <f>IFERROR(VLOOKUP(F5506,CARTON_LOOKUP!$A:$E,4,0),"")</f>
      </c>
      <c r="I5506" s="28">
        <f>IFERROR(VLOOKUP(F5506,CARTON_LOOKUP!$A:$E,5,0),"")</f>
      </c>
      <c r="J5506" s="29">
        <f>IFERROR(VLOOKUP(F5506,CARTON_LOOKUP!$A:$E,2,0),"")</f>
      </c>
      <c r="K5506" s="29">
        <f>IFERROR(J5506*D5506,0)</f>
      </c>
      <c r="L5506" s="29">
        <f>IFERROR(E5506*C5506,0)</f>
      </c>
      <c r="M5506" s="29">
        <f>IFERROR((G5506*H5506*I5506/1000000)*D5506,0)</f>
      </c>
    </row>
    <row r="5507" spans="1:13" x14ac:dyDescent="0.25">
      <c r="A5507" s="16"/>
      <c r="E5507" s="27"/>
      <c r="F5507" t="s">
        <v>26</v>
      </c>
      <c r="G5507" s="28">
        <f>IFERROR(VLOOKUP(F5507,CARTON_LOOKUP!$A:$E,3,0),"")</f>
      </c>
      <c r="H5507" s="28">
        <f>IFERROR(VLOOKUP(F5507,CARTON_LOOKUP!$A:$E,4,0),"")</f>
      </c>
      <c r="I5507" s="28">
        <f>IFERROR(VLOOKUP(F5507,CARTON_LOOKUP!$A:$E,5,0),"")</f>
      </c>
      <c r="J5507" s="29">
        <f>IFERROR(VLOOKUP(F5507,CARTON_LOOKUP!$A:$E,2,0),"")</f>
      </c>
      <c r="K5507" s="29">
        <f>IFERROR(J5507*D5507,0)</f>
      </c>
      <c r="L5507" s="29">
        <f>IFERROR(E5507*C5507,0)</f>
      </c>
      <c r="M5507" s="29">
        <f>IFERROR((G5507*H5507*I5507/1000000)*D5507,0)</f>
      </c>
    </row>
    <row r="5508" spans="1:13" x14ac:dyDescent="0.25">
      <c r="A5508" s="16"/>
      <c r="E5508" s="27"/>
      <c r="F5508" t="s">
        <v>26</v>
      </c>
      <c r="G5508" s="28">
        <f>IFERROR(VLOOKUP(F5508,CARTON_LOOKUP!$A:$E,3,0),"")</f>
      </c>
      <c r="H5508" s="28">
        <f>IFERROR(VLOOKUP(F5508,CARTON_LOOKUP!$A:$E,4,0),"")</f>
      </c>
      <c r="I5508" s="28">
        <f>IFERROR(VLOOKUP(F5508,CARTON_LOOKUP!$A:$E,5,0),"")</f>
      </c>
      <c r="J5508" s="29">
        <f>IFERROR(VLOOKUP(F5508,CARTON_LOOKUP!$A:$E,2,0),"")</f>
      </c>
      <c r="K5508" s="29">
        <f>IFERROR(J5508*D5508,0)</f>
      </c>
      <c r="L5508" s="29">
        <f>IFERROR(E5508*C5508,0)</f>
      </c>
      <c r="M5508" s="29">
        <f>IFERROR((G5508*H5508*I5508/1000000)*D5508,0)</f>
      </c>
    </row>
    <row r="5509" spans="1:13" x14ac:dyDescent="0.25">
      <c r="A5509" s="16"/>
      <c r="E5509" s="27"/>
      <c r="F5509" t="s">
        <v>26</v>
      </c>
      <c r="G5509" s="28">
        <f>IFERROR(VLOOKUP(F5509,CARTON_LOOKUP!$A:$E,3,0),"")</f>
      </c>
      <c r="H5509" s="28">
        <f>IFERROR(VLOOKUP(F5509,CARTON_LOOKUP!$A:$E,4,0),"")</f>
      </c>
      <c r="I5509" s="28">
        <f>IFERROR(VLOOKUP(F5509,CARTON_LOOKUP!$A:$E,5,0),"")</f>
      </c>
      <c r="J5509" s="29">
        <f>IFERROR(VLOOKUP(F5509,CARTON_LOOKUP!$A:$E,2,0),"")</f>
      </c>
      <c r="K5509" s="29">
        <f>IFERROR(J5509*D5509,0)</f>
      </c>
      <c r="L5509" s="29">
        <f>IFERROR(E5509*C5509,0)</f>
      </c>
      <c r="M5509" s="29">
        <f>IFERROR((G5509*H5509*I5509/1000000)*D5509,0)</f>
      </c>
    </row>
    <row r="5510" spans="1:13" x14ac:dyDescent="0.25">
      <c r="A5510" s="16"/>
      <c r="E5510" s="27"/>
      <c r="F5510" t="s">
        <v>26</v>
      </c>
      <c r="G5510" s="28">
        <f>IFERROR(VLOOKUP(F5510,CARTON_LOOKUP!$A:$E,3,0),"")</f>
      </c>
      <c r="H5510" s="28">
        <f>IFERROR(VLOOKUP(F5510,CARTON_LOOKUP!$A:$E,4,0),"")</f>
      </c>
      <c r="I5510" s="28">
        <f>IFERROR(VLOOKUP(F5510,CARTON_LOOKUP!$A:$E,5,0),"")</f>
      </c>
      <c r="J5510" s="29">
        <f>IFERROR(VLOOKUP(F5510,CARTON_LOOKUP!$A:$E,2,0),"")</f>
      </c>
      <c r="K5510" s="29">
        <f>IFERROR(J5510*D5510,0)</f>
      </c>
      <c r="L5510" s="29">
        <f>IFERROR(E5510*C5510,0)</f>
      </c>
      <c r="M5510" s="29">
        <f>IFERROR((G5510*H5510*I5510/1000000)*D5510,0)</f>
      </c>
    </row>
    <row r="5511" spans="1:13" x14ac:dyDescent="0.25">
      <c r="A5511" s="16"/>
      <c r="E5511" s="27"/>
      <c r="F5511" t="s">
        <v>26</v>
      </c>
      <c r="G5511" s="28">
        <f>IFERROR(VLOOKUP(F5511,CARTON_LOOKUP!$A:$E,3,0),"")</f>
      </c>
      <c r="H5511" s="28">
        <f>IFERROR(VLOOKUP(F5511,CARTON_LOOKUP!$A:$E,4,0),"")</f>
      </c>
      <c r="I5511" s="28">
        <f>IFERROR(VLOOKUP(F5511,CARTON_LOOKUP!$A:$E,5,0),"")</f>
      </c>
      <c r="J5511" s="29">
        <f>IFERROR(VLOOKUP(F5511,CARTON_LOOKUP!$A:$E,2,0),"")</f>
      </c>
      <c r="K5511" s="29">
        <f>IFERROR(J5511*D5511,0)</f>
      </c>
      <c r="L5511" s="29">
        <f>IFERROR(E5511*C5511,0)</f>
      </c>
      <c r="M5511" s="29">
        <f>IFERROR((G5511*H5511*I5511/1000000)*D5511,0)</f>
      </c>
    </row>
    <row r="5512" spans="1:13" x14ac:dyDescent="0.25">
      <c r="A5512" s="16"/>
      <c r="E5512" s="27"/>
      <c r="F5512" t="s">
        <v>26</v>
      </c>
      <c r="G5512" s="28">
        <f>IFERROR(VLOOKUP(F5512,CARTON_LOOKUP!$A:$E,3,0),"")</f>
      </c>
      <c r="H5512" s="28">
        <f>IFERROR(VLOOKUP(F5512,CARTON_LOOKUP!$A:$E,4,0),"")</f>
      </c>
      <c r="I5512" s="28">
        <f>IFERROR(VLOOKUP(F5512,CARTON_LOOKUP!$A:$E,5,0),"")</f>
      </c>
      <c r="J5512" s="29">
        <f>IFERROR(VLOOKUP(F5512,CARTON_LOOKUP!$A:$E,2,0),"")</f>
      </c>
      <c r="K5512" s="29">
        <f>IFERROR(J5512*D5512,0)</f>
      </c>
      <c r="L5512" s="29">
        <f>IFERROR(E5512*C5512,0)</f>
      </c>
      <c r="M5512" s="29">
        <f>IFERROR((G5512*H5512*I5512/1000000)*D5512,0)</f>
      </c>
    </row>
    <row r="5513" spans="1:13" x14ac:dyDescent="0.25">
      <c r="A5513" s="16"/>
      <c r="E5513" s="27"/>
      <c r="F5513" t="s">
        <v>26</v>
      </c>
      <c r="G5513" s="28">
        <f>IFERROR(VLOOKUP(F5513,CARTON_LOOKUP!$A:$E,3,0),"")</f>
      </c>
      <c r="H5513" s="28">
        <f>IFERROR(VLOOKUP(F5513,CARTON_LOOKUP!$A:$E,4,0),"")</f>
      </c>
      <c r="I5513" s="28">
        <f>IFERROR(VLOOKUP(F5513,CARTON_LOOKUP!$A:$E,5,0),"")</f>
      </c>
      <c r="J5513" s="29">
        <f>IFERROR(VLOOKUP(F5513,CARTON_LOOKUP!$A:$E,2,0),"")</f>
      </c>
      <c r="K5513" s="29">
        <f>IFERROR(J5513*D5513,0)</f>
      </c>
      <c r="L5513" s="29">
        <f>IFERROR(E5513*C5513,0)</f>
      </c>
      <c r="M5513" s="29">
        <f>IFERROR((G5513*H5513*I5513/1000000)*D5513,0)</f>
      </c>
    </row>
    <row r="5514" spans="1:13" x14ac:dyDescent="0.25">
      <c r="A5514" s="16"/>
      <c r="E5514" s="27"/>
      <c r="F5514" t="s">
        <v>26</v>
      </c>
      <c r="G5514" s="28">
        <f>IFERROR(VLOOKUP(F5514,CARTON_LOOKUP!$A:$E,3,0),"")</f>
      </c>
      <c r="H5514" s="28">
        <f>IFERROR(VLOOKUP(F5514,CARTON_LOOKUP!$A:$E,4,0),"")</f>
      </c>
      <c r="I5514" s="28">
        <f>IFERROR(VLOOKUP(F5514,CARTON_LOOKUP!$A:$E,5,0),"")</f>
      </c>
      <c r="J5514" s="29">
        <f>IFERROR(VLOOKUP(F5514,CARTON_LOOKUP!$A:$E,2,0),"")</f>
      </c>
      <c r="K5514" s="29">
        <f>IFERROR(J5514*D5514,0)</f>
      </c>
      <c r="L5514" s="29">
        <f>IFERROR(E5514*C5514,0)</f>
      </c>
      <c r="M5514" s="29">
        <f>IFERROR((G5514*H5514*I5514/1000000)*D5514,0)</f>
      </c>
    </row>
    <row r="5515" spans="1:13" x14ac:dyDescent="0.25">
      <c r="A5515" s="16"/>
      <c r="E5515" s="27"/>
      <c r="F5515" t="s">
        <v>26</v>
      </c>
      <c r="G5515" s="28">
        <f>IFERROR(VLOOKUP(F5515,CARTON_LOOKUP!$A:$E,3,0),"")</f>
      </c>
      <c r="H5515" s="28">
        <f>IFERROR(VLOOKUP(F5515,CARTON_LOOKUP!$A:$E,4,0),"")</f>
      </c>
      <c r="I5515" s="28">
        <f>IFERROR(VLOOKUP(F5515,CARTON_LOOKUP!$A:$E,5,0),"")</f>
      </c>
      <c r="J5515" s="29">
        <f>IFERROR(VLOOKUP(F5515,CARTON_LOOKUP!$A:$E,2,0),"")</f>
      </c>
      <c r="K5515" s="29">
        <f>IFERROR(J5515*D5515,0)</f>
      </c>
      <c r="L5515" s="29">
        <f>IFERROR(E5515*C5515,0)</f>
      </c>
      <c r="M5515" s="29">
        <f>IFERROR((G5515*H5515*I5515/1000000)*D5515,0)</f>
      </c>
    </row>
    <row r="5516" spans="1:13" x14ac:dyDescent="0.25">
      <c r="A5516" s="16"/>
      <c r="E5516" s="27"/>
      <c r="F5516" t="s">
        <v>26</v>
      </c>
      <c r="G5516" s="28">
        <f>IFERROR(VLOOKUP(F5516,CARTON_LOOKUP!$A:$E,3,0),"")</f>
      </c>
      <c r="H5516" s="28">
        <f>IFERROR(VLOOKUP(F5516,CARTON_LOOKUP!$A:$E,4,0),"")</f>
      </c>
      <c r="I5516" s="28">
        <f>IFERROR(VLOOKUP(F5516,CARTON_LOOKUP!$A:$E,5,0),"")</f>
      </c>
      <c r="J5516" s="29">
        <f>IFERROR(VLOOKUP(F5516,CARTON_LOOKUP!$A:$E,2,0),"")</f>
      </c>
      <c r="K5516" s="29">
        <f>IFERROR(J5516*D5516,0)</f>
      </c>
      <c r="L5516" s="29">
        <f>IFERROR(E5516*C5516,0)</f>
      </c>
      <c r="M5516" s="29">
        <f>IFERROR((G5516*H5516*I5516/1000000)*D5516,0)</f>
      </c>
    </row>
    <row r="5517" spans="1:13" x14ac:dyDescent="0.25">
      <c r="A5517" s="16"/>
      <c r="E5517" s="27"/>
      <c r="F5517" t="s">
        <v>26</v>
      </c>
      <c r="G5517" s="28">
        <f>IFERROR(VLOOKUP(F5517,CARTON_LOOKUP!$A:$E,3,0),"")</f>
      </c>
      <c r="H5517" s="28">
        <f>IFERROR(VLOOKUP(F5517,CARTON_LOOKUP!$A:$E,4,0),"")</f>
      </c>
      <c r="I5517" s="28">
        <f>IFERROR(VLOOKUP(F5517,CARTON_LOOKUP!$A:$E,5,0),"")</f>
      </c>
      <c r="J5517" s="29">
        <f>IFERROR(VLOOKUP(F5517,CARTON_LOOKUP!$A:$E,2,0),"")</f>
      </c>
      <c r="K5517" s="29">
        <f>IFERROR(J5517*D5517,0)</f>
      </c>
      <c r="L5517" s="29">
        <f>IFERROR(E5517*C5517,0)</f>
      </c>
      <c r="M5517" s="29">
        <f>IFERROR((G5517*H5517*I5517/1000000)*D5517,0)</f>
      </c>
    </row>
    <row r="5518" spans="1:13" x14ac:dyDescent="0.25">
      <c r="A5518" s="16"/>
      <c r="E5518" s="27"/>
      <c r="F5518" t="s">
        <v>26</v>
      </c>
      <c r="G5518" s="28">
        <f>IFERROR(VLOOKUP(F5518,CARTON_LOOKUP!$A:$E,3,0),"")</f>
      </c>
      <c r="H5518" s="28">
        <f>IFERROR(VLOOKUP(F5518,CARTON_LOOKUP!$A:$E,4,0),"")</f>
      </c>
      <c r="I5518" s="28">
        <f>IFERROR(VLOOKUP(F5518,CARTON_LOOKUP!$A:$E,5,0),"")</f>
      </c>
      <c r="J5518" s="29">
        <f>IFERROR(VLOOKUP(F5518,CARTON_LOOKUP!$A:$E,2,0),"")</f>
      </c>
      <c r="K5518" s="29">
        <f>IFERROR(J5518*D5518,0)</f>
      </c>
      <c r="L5518" s="29">
        <f>IFERROR(E5518*C5518,0)</f>
      </c>
      <c r="M5518" s="29">
        <f>IFERROR((G5518*H5518*I5518/1000000)*D5518,0)</f>
      </c>
    </row>
    <row r="5519" spans="1:13" x14ac:dyDescent="0.25">
      <c r="A5519" s="16"/>
      <c r="E5519" s="27"/>
      <c r="F5519" t="s">
        <v>26</v>
      </c>
      <c r="G5519" s="28">
        <f>IFERROR(VLOOKUP(F5519,CARTON_LOOKUP!$A:$E,3,0),"")</f>
      </c>
      <c r="H5519" s="28">
        <f>IFERROR(VLOOKUP(F5519,CARTON_LOOKUP!$A:$E,4,0),"")</f>
      </c>
      <c r="I5519" s="28">
        <f>IFERROR(VLOOKUP(F5519,CARTON_LOOKUP!$A:$E,5,0),"")</f>
      </c>
      <c r="J5519" s="29">
        <f>IFERROR(VLOOKUP(F5519,CARTON_LOOKUP!$A:$E,2,0),"")</f>
      </c>
      <c r="K5519" s="29">
        <f>IFERROR(J5519*D5519,0)</f>
      </c>
      <c r="L5519" s="29">
        <f>IFERROR(E5519*C5519,0)</f>
      </c>
      <c r="M5519" s="29">
        <f>IFERROR((G5519*H5519*I5519/1000000)*D5519,0)</f>
      </c>
    </row>
    <row r="5520" spans="1:13" x14ac:dyDescent="0.25">
      <c r="A5520" s="16"/>
      <c r="E5520" s="27"/>
      <c r="F5520" t="s">
        <v>26</v>
      </c>
      <c r="G5520" s="28">
        <f>IFERROR(VLOOKUP(F5520,CARTON_LOOKUP!$A:$E,3,0),"")</f>
      </c>
      <c r="H5520" s="28">
        <f>IFERROR(VLOOKUP(F5520,CARTON_LOOKUP!$A:$E,4,0),"")</f>
      </c>
      <c r="I5520" s="28">
        <f>IFERROR(VLOOKUP(F5520,CARTON_LOOKUP!$A:$E,5,0),"")</f>
      </c>
      <c r="J5520" s="29">
        <f>IFERROR(VLOOKUP(F5520,CARTON_LOOKUP!$A:$E,2,0),"")</f>
      </c>
      <c r="K5520" s="29">
        <f>IFERROR(J5520*D5520,0)</f>
      </c>
      <c r="L5520" s="29">
        <f>IFERROR(E5520*C5520,0)</f>
      </c>
      <c r="M5520" s="29">
        <f>IFERROR((G5520*H5520*I5520/1000000)*D5520,0)</f>
      </c>
    </row>
    <row r="5521" spans="1:13" x14ac:dyDescent="0.25">
      <c r="A5521" s="16"/>
      <c r="E5521" s="27"/>
      <c r="F5521" t="s">
        <v>26</v>
      </c>
      <c r="G5521" s="28">
        <f>IFERROR(VLOOKUP(F5521,CARTON_LOOKUP!$A:$E,3,0),"")</f>
      </c>
      <c r="H5521" s="28">
        <f>IFERROR(VLOOKUP(F5521,CARTON_LOOKUP!$A:$E,4,0),"")</f>
      </c>
      <c r="I5521" s="28">
        <f>IFERROR(VLOOKUP(F5521,CARTON_LOOKUP!$A:$E,5,0),"")</f>
      </c>
      <c r="J5521" s="29">
        <f>IFERROR(VLOOKUP(F5521,CARTON_LOOKUP!$A:$E,2,0),"")</f>
      </c>
      <c r="K5521" s="29">
        <f>IFERROR(J5521*D5521,0)</f>
      </c>
      <c r="L5521" s="29">
        <f>IFERROR(E5521*C5521,0)</f>
      </c>
      <c r="M5521" s="29">
        <f>IFERROR((G5521*H5521*I5521/1000000)*D5521,0)</f>
      </c>
    </row>
    <row r="5522" spans="1:13" x14ac:dyDescent="0.25">
      <c r="A5522" s="16"/>
      <c r="E5522" s="27"/>
      <c r="F5522" t="s">
        <v>26</v>
      </c>
      <c r="G5522" s="28">
        <f>IFERROR(VLOOKUP(F5522,CARTON_LOOKUP!$A:$E,3,0),"")</f>
      </c>
      <c r="H5522" s="28">
        <f>IFERROR(VLOOKUP(F5522,CARTON_LOOKUP!$A:$E,4,0),"")</f>
      </c>
      <c r="I5522" s="28">
        <f>IFERROR(VLOOKUP(F5522,CARTON_LOOKUP!$A:$E,5,0),"")</f>
      </c>
      <c r="J5522" s="29">
        <f>IFERROR(VLOOKUP(F5522,CARTON_LOOKUP!$A:$E,2,0),"")</f>
      </c>
      <c r="K5522" s="29">
        <f>IFERROR(J5522*D5522,0)</f>
      </c>
      <c r="L5522" s="29">
        <f>IFERROR(E5522*C5522,0)</f>
      </c>
      <c r="M5522" s="29">
        <f>IFERROR((G5522*H5522*I5522/1000000)*D5522,0)</f>
      </c>
    </row>
    <row r="5523" spans="1:13" x14ac:dyDescent="0.25">
      <c r="A5523" s="16"/>
      <c r="E5523" s="27"/>
      <c r="F5523" t="s">
        <v>26</v>
      </c>
      <c r="G5523" s="28">
        <f>IFERROR(VLOOKUP(F5523,CARTON_LOOKUP!$A:$E,3,0),"")</f>
      </c>
      <c r="H5523" s="28">
        <f>IFERROR(VLOOKUP(F5523,CARTON_LOOKUP!$A:$E,4,0),"")</f>
      </c>
      <c r="I5523" s="28">
        <f>IFERROR(VLOOKUP(F5523,CARTON_LOOKUP!$A:$E,5,0),"")</f>
      </c>
      <c r="J5523" s="29">
        <f>IFERROR(VLOOKUP(F5523,CARTON_LOOKUP!$A:$E,2,0),"")</f>
      </c>
      <c r="K5523" s="29">
        <f>IFERROR(J5523*D5523,0)</f>
      </c>
      <c r="L5523" s="29">
        <f>IFERROR(E5523*C5523,0)</f>
      </c>
      <c r="M5523" s="29">
        <f>IFERROR((G5523*H5523*I5523/1000000)*D5523,0)</f>
      </c>
    </row>
    <row r="5524" spans="1:13" x14ac:dyDescent="0.25">
      <c r="A5524" s="16"/>
      <c r="E5524" s="27"/>
      <c r="F5524" t="s">
        <v>26</v>
      </c>
      <c r="G5524" s="28">
        <f>IFERROR(VLOOKUP(F5524,CARTON_LOOKUP!$A:$E,3,0),"")</f>
      </c>
      <c r="H5524" s="28">
        <f>IFERROR(VLOOKUP(F5524,CARTON_LOOKUP!$A:$E,4,0),"")</f>
      </c>
      <c r="I5524" s="28">
        <f>IFERROR(VLOOKUP(F5524,CARTON_LOOKUP!$A:$E,5,0),"")</f>
      </c>
      <c r="J5524" s="29">
        <f>IFERROR(VLOOKUP(F5524,CARTON_LOOKUP!$A:$E,2,0),"")</f>
      </c>
      <c r="K5524" s="29">
        <f>IFERROR(J5524*D5524,0)</f>
      </c>
      <c r="L5524" s="29">
        <f>IFERROR(E5524*C5524,0)</f>
      </c>
      <c r="M5524" s="29">
        <f>IFERROR((G5524*H5524*I5524/1000000)*D5524,0)</f>
      </c>
    </row>
    <row r="5525" spans="1:13" x14ac:dyDescent="0.25">
      <c r="A5525" s="16"/>
      <c r="E5525" s="27"/>
      <c r="F5525" t="s">
        <v>26</v>
      </c>
      <c r="G5525" s="28">
        <f>IFERROR(VLOOKUP(F5525,CARTON_LOOKUP!$A:$E,3,0),"")</f>
      </c>
      <c r="H5525" s="28">
        <f>IFERROR(VLOOKUP(F5525,CARTON_LOOKUP!$A:$E,4,0),"")</f>
      </c>
      <c r="I5525" s="28">
        <f>IFERROR(VLOOKUP(F5525,CARTON_LOOKUP!$A:$E,5,0),"")</f>
      </c>
      <c r="J5525" s="29">
        <f>IFERROR(VLOOKUP(F5525,CARTON_LOOKUP!$A:$E,2,0),"")</f>
      </c>
      <c r="K5525" s="29">
        <f>IFERROR(J5525*D5525,0)</f>
      </c>
      <c r="L5525" s="29">
        <f>IFERROR(E5525*C5525,0)</f>
      </c>
      <c r="M5525" s="29">
        <f>IFERROR((G5525*H5525*I5525/1000000)*D5525,0)</f>
      </c>
    </row>
    <row r="5526" spans="1:13" x14ac:dyDescent="0.25">
      <c r="A5526" s="16"/>
      <c r="E5526" s="27"/>
      <c r="F5526" t="s">
        <v>26</v>
      </c>
      <c r="G5526" s="28">
        <f>IFERROR(VLOOKUP(F5526,CARTON_LOOKUP!$A:$E,3,0),"")</f>
      </c>
      <c r="H5526" s="28">
        <f>IFERROR(VLOOKUP(F5526,CARTON_LOOKUP!$A:$E,4,0),"")</f>
      </c>
      <c r="I5526" s="28">
        <f>IFERROR(VLOOKUP(F5526,CARTON_LOOKUP!$A:$E,5,0),"")</f>
      </c>
      <c r="J5526" s="29">
        <f>IFERROR(VLOOKUP(F5526,CARTON_LOOKUP!$A:$E,2,0),"")</f>
      </c>
      <c r="K5526" s="29">
        <f>IFERROR(J5526*D5526,0)</f>
      </c>
      <c r="L5526" s="29">
        <f>IFERROR(E5526*C5526,0)</f>
      </c>
      <c r="M5526" s="29">
        <f>IFERROR((G5526*H5526*I5526/1000000)*D5526,0)</f>
      </c>
    </row>
    <row r="5527" spans="1:13" x14ac:dyDescent="0.25">
      <c r="A5527" s="16"/>
      <c r="E5527" s="27"/>
      <c r="F5527" t="s">
        <v>26</v>
      </c>
      <c r="G5527" s="28">
        <f>IFERROR(VLOOKUP(F5527,CARTON_LOOKUP!$A:$E,3,0),"")</f>
      </c>
      <c r="H5527" s="28">
        <f>IFERROR(VLOOKUP(F5527,CARTON_LOOKUP!$A:$E,4,0),"")</f>
      </c>
      <c r="I5527" s="28">
        <f>IFERROR(VLOOKUP(F5527,CARTON_LOOKUP!$A:$E,5,0),"")</f>
      </c>
      <c r="J5527" s="29">
        <f>IFERROR(VLOOKUP(F5527,CARTON_LOOKUP!$A:$E,2,0),"")</f>
      </c>
      <c r="K5527" s="29">
        <f>IFERROR(J5527*D5527,0)</f>
      </c>
      <c r="L5527" s="29">
        <f>IFERROR(E5527*C5527,0)</f>
      </c>
      <c r="M5527" s="29">
        <f>IFERROR((G5527*H5527*I5527/1000000)*D5527,0)</f>
      </c>
    </row>
    <row r="5528" spans="1:13" x14ac:dyDescent="0.25">
      <c r="A5528" s="16"/>
      <c r="E5528" s="27"/>
      <c r="F5528" t="s">
        <v>26</v>
      </c>
      <c r="G5528" s="28">
        <f>IFERROR(VLOOKUP(F5528,CARTON_LOOKUP!$A:$E,3,0),"")</f>
      </c>
      <c r="H5528" s="28">
        <f>IFERROR(VLOOKUP(F5528,CARTON_LOOKUP!$A:$E,4,0),"")</f>
      </c>
      <c r="I5528" s="28">
        <f>IFERROR(VLOOKUP(F5528,CARTON_LOOKUP!$A:$E,5,0),"")</f>
      </c>
      <c r="J5528" s="29">
        <f>IFERROR(VLOOKUP(F5528,CARTON_LOOKUP!$A:$E,2,0),"")</f>
      </c>
      <c r="K5528" s="29">
        <f>IFERROR(J5528*D5528,0)</f>
      </c>
      <c r="L5528" s="29">
        <f>IFERROR(E5528*C5528,0)</f>
      </c>
      <c r="M5528" s="29">
        <f>IFERROR((G5528*H5528*I5528/1000000)*D5528,0)</f>
      </c>
    </row>
    <row r="5529" spans="1:13" x14ac:dyDescent="0.25">
      <c r="A5529" s="16"/>
      <c r="E5529" s="27"/>
      <c r="F5529" t="s">
        <v>26</v>
      </c>
      <c r="G5529" s="28">
        <f>IFERROR(VLOOKUP(F5529,CARTON_LOOKUP!$A:$E,3,0),"")</f>
      </c>
      <c r="H5529" s="28">
        <f>IFERROR(VLOOKUP(F5529,CARTON_LOOKUP!$A:$E,4,0),"")</f>
      </c>
      <c r="I5529" s="28">
        <f>IFERROR(VLOOKUP(F5529,CARTON_LOOKUP!$A:$E,5,0),"")</f>
      </c>
      <c r="J5529" s="29">
        <f>IFERROR(VLOOKUP(F5529,CARTON_LOOKUP!$A:$E,2,0),"")</f>
      </c>
      <c r="K5529" s="29">
        <f>IFERROR(J5529*D5529,0)</f>
      </c>
      <c r="L5529" s="29">
        <f>IFERROR(E5529*C5529,0)</f>
      </c>
      <c r="M5529" s="29">
        <f>IFERROR((G5529*H5529*I5529/1000000)*D5529,0)</f>
      </c>
    </row>
    <row r="5530" spans="1:13" x14ac:dyDescent="0.25">
      <c r="A5530" s="16"/>
      <c r="E5530" s="27"/>
      <c r="F5530" t="s">
        <v>26</v>
      </c>
      <c r="G5530" s="28">
        <f>IFERROR(VLOOKUP(F5530,CARTON_LOOKUP!$A:$E,3,0),"")</f>
      </c>
      <c r="H5530" s="28">
        <f>IFERROR(VLOOKUP(F5530,CARTON_LOOKUP!$A:$E,4,0),"")</f>
      </c>
      <c r="I5530" s="28">
        <f>IFERROR(VLOOKUP(F5530,CARTON_LOOKUP!$A:$E,5,0),"")</f>
      </c>
      <c r="J5530" s="29">
        <f>IFERROR(VLOOKUP(F5530,CARTON_LOOKUP!$A:$E,2,0),"")</f>
      </c>
      <c r="K5530" s="29">
        <f>IFERROR(J5530*D5530,0)</f>
      </c>
      <c r="L5530" s="29">
        <f>IFERROR(E5530*C5530,0)</f>
      </c>
      <c r="M5530" s="29">
        <f>IFERROR((G5530*H5530*I5530/1000000)*D5530,0)</f>
      </c>
    </row>
    <row r="5531" spans="1:13" x14ac:dyDescent="0.25">
      <c r="A5531" s="16"/>
      <c r="E5531" s="27"/>
      <c r="F5531" t="s">
        <v>26</v>
      </c>
      <c r="G5531" s="28">
        <f>IFERROR(VLOOKUP(F5531,CARTON_LOOKUP!$A:$E,3,0),"")</f>
      </c>
      <c r="H5531" s="28">
        <f>IFERROR(VLOOKUP(F5531,CARTON_LOOKUP!$A:$E,4,0),"")</f>
      </c>
      <c r="I5531" s="28">
        <f>IFERROR(VLOOKUP(F5531,CARTON_LOOKUP!$A:$E,5,0),"")</f>
      </c>
      <c r="J5531" s="29">
        <f>IFERROR(VLOOKUP(F5531,CARTON_LOOKUP!$A:$E,2,0),"")</f>
      </c>
      <c r="K5531" s="29">
        <f>IFERROR(J5531*D5531,0)</f>
      </c>
      <c r="L5531" s="29">
        <f>IFERROR(E5531*C5531,0)</f>
      </c>
      <c r="M5531" s="29">
        <f>IFERROR((G5531*H5531*I5531/1000000)*D5531,0)</f>
      </c>
    </row>
    <row r="5532" spans="1:13" x14ac:dyDescent="0.25">
      <c r="A5532" s="16"/>
      <c r="E5532" s="27"/>
      <c r="F5532" t="s">
        <v>26</v>
      </c>
      <c r="G5532" s="28">
        <f>IFERROR(VLOOKUP(F5532,CARTON_LOOKUP!$A:$E,3,0),"")</f>
      </c>
      <c r="H5532" s="28">
        <f>IFERROR(VLOOKUP(F5532,CARTON_LOOKUP!$A:$E,4,0),"")</f>
      </c>
      <c r="I5532" s="28">
        <f>IFERROR(VLOOKUP(F5532,CARTON_LOOKUP!$A:$E,5,0),"")</f>
      </c>
      <c r="J5532" s="29">
        <f>IFERROR(VLOOKUP(F5532,CARTON_LOOKUP!$A:$E,2,0),"")</f>
      </c>
      <c r="K5532" s="29">
        <f>IFERROR(J5532*D5532,0)</f>
      </c>
      <c r="L5532" s="29">
        <f>IFERROR(E5532*C5532,0)</f>
      </c>
      <c r="M5532" s="29">
        <f>IFERROR((G5532*H5532*I5532/1000000)*D5532,0)</f>
      </c>
    </row>
    <row r="5533" spans="1:13" x14ac:dyDescent="0.25">
      <c r="A5533" s="16"/>
      <c r="E5533" s="27"/>
      <c r="F5533" t="s">
        <v>26</v>
      </c>
      <c r="G5533" s="28">
        <f>IFERROR(VLOOKUP(F5533,CARTON_LOOKUP!$A:$E,3,0),"")</f>
      </c>
      <c r="H5533" s="28">
        <f>IFERROR(VLOOKUP(F5533,CARTON_LOOKUP!$A:$E,4,0),"")</f>
      </c>
      <c r="I5533" s="28">
        <f>IFERROR(VLOOKUP(F5533,CARTON_LOOKUP!$A:$E,5,0),"")</f>
      </c>
      <c r="J5533" s="29">
        <f>IFERROR(VLOOKUP(F5533,CARTON_LOOKUP!$A:$E,2,0),"")</f>
      </c>
      <c r="K5533" s="29">
        <f>IFERROR(J5533*D5533,0)</f>
      </c>
      <c r="L5533" s="29">
        <f>IFERROR(E5533*C5533,0)</f>
      </c>
      <c r="M5533" s="29">
        <f>IFERROR((G5533*H5533*I5533/1000000)*D5533,0)</f>
      </c>
    </row>
    <row r="5534" spans="1:13" x14ac:dyDescent="0.25">
      <c r="A5534" s="16"/>
      <c r="E5534" s="27"/>
      <c r="F5534" t="s">
        <v>26</v>
      </c>
      <c r="G5534" s="28">
        <f>IFERROR(VLOOKUP(F5534,CARTON_LOOKUP!$A:$E,3,0),"")</f>
      </c>
      <c r="H5534" s="28">
        <f>IFERROR(VLOOKUP(F5534,CARTON_LOOKUP!$A:$E,4,0),"")</f>
      </c>
      <c r="I5534" s="28">
        <f>IFERROR(VLOOKUP(F5534,CARTON_LOOKUP!$A:$E,5,0),"")</f>
      </c>
      <c r="J5534" s="29">
        <f>IFERROR(VLOOKUP(F5534,CARTON_LOOKUP!$A:$E,2,0),"")</f>
      </c>
      <c r="K5534" s="29">
        <f>IFERROR(J5534*D5534,0)</f>
      </c>
      <c r="L5534" s="29">
        <f>IFERROR(E5534*C5534,0)</f>
      </c>
      <c r="M5534" s="29">
        <f>IFERROR((G5534*H5534*I5534/1000000)*D5534,0)</f>
      </c>
    </row>
    <row r="5535" spans="1:13" x14ac:dyDescent="0.25">
      <c r="A5535" s="16"/>
      <c r="E5535" s="27"/>
      <c r="F5535" t="s">
        <v>26</v>
      </c>
      <c r="G5535" s="28">
        <f>IFERROR(VLOOKUP(F5535,CARTON_LOOKUP!$A:$E,3,0),"")</f>
      </c>
      <c r="H5535" s="28">
        <f>IFERROR(VLOOKUP(F5535,CARTON_LOOKUP!$A:$E,4,0),"")</f>
      </c>
      <c r="I5535" s="28">
        <f>IFERROR(VLOOKUP(F5535,CARTON_LOOKUP!$A:$E,5,0),"")</f>
      </c>
      <c r="J5535" s="29">
        <f>IFERROR(VLOOKUP(F5535,CARTON_LOOKUP!$A:$E,2,0),"")</f>
      </c>
      <c r="K5535" s="29">
        <f>IFERROR(J5535*D5535,0)</f>
      </c>
      <c r="L5535" s="29">
        <f>IFERROR(E5535*C5535,0)</f>
      </c>
      <c r="M5535" s="29">
        <f>IFERROR((G5535*H5535*I5535/1000000)*D5535,0)</f>
      </c>
    </row>
    <row r="5536" spans="1:13" x14ac:dyDescent="0.25">
      <c r="A5536" s="16"/>
      <c r="E5536" s="27"/>
      <c r="F5536" t="s">
        <v>26</v>
      </c>
      <c r="G5536" s="28">
        <f>IFERROR(VLOOKUP(F5536,CARTON_LOOKUP!$A:$E,3,0),"")</f>
      </c>
      <c r="H5536" s="28">
        <f>IFERROR(VLOOKUP(F5536,CARTON_LOOKUP!$A:$E,4,0),"")</f>
      </c>
      <c r="I5536" s="28">
        <f>IFERROR(VLOOKUP(F5536,CARTON_LOOKUP!$A:$E,5,0),"")</f>
      </c>
      <c r="J5536" s="29">
        <f>IFERROR(VLOOKUP(F5536,CARTON_LOOKUP!$A:$E,2,0),"")</f>
      </c>
      <c r="K5536" s="29">
        <f>IFERROR(J5536*D5536,0)</f>
      </c>
      <c r="L5536" s="29">
        <f>IFERROR(E5536*C5536,0)</f>
      </c>
      <c r="M5536" s="29">
        <f>IFERROR((G5536*H5536*I5536/1000000)*D5536,0)</f>
      </c>
    </row>
    <row r="5537" spans="1:13" x14ac:dyDescent="0.25">
      <c r="A5537" s="16"/>
      <c r="E5537" s="27"/>
      <c r="F5537" t="s">
        <v>26</v>
      </c>
      <c r="G5537" s="28">
        <f>IFERROR(VLOOKUP(F5537,CARTON_LOOKUP!$A:$E,3,0),"")</f>
      </c>
      <c r="H5537" s="28">
        <f>IFERROR(VLOOKUP(F5537,CARTON_LOOKUP!$A:$E,4,0),"")</f>
      </c>
      <c r="I5537" s="28">
        <f>IFERROR(VLOOKUP(F5537,CARTON_LOOKUP!$A:$E,5,0),"")</f>
      </c>
      <c r="J5537" s="29">
        <f>IFERROR(VLOOKUP(F5537,CARTON_LOOKUP!$A:$E,2,0),"")</f>
      </c>
      <c r="K5537" s="29">
        <f>IFERROR(J5537*D5537,0)</f>
      </c>
      <c r="L5537" s="29">
        <f>IFERROR(E5537*C5537,0)</f>
      </c>
      <c r="M5537" s="29">
        <f>IFERROR((G5537*H5537*I5537/1000000)*D5537,0)</f>
      </c>
    </row>
    <row r="5538" spans="1:13" x14ac:dyDescent="0.25">
      <c r="A5538" s="16"/>
      <c r="E5538" s="27"/>
      <c r="F5538" t="s">
        <v>26</v>
      </c>
      <c r="G5538" s="28">
        <f>IFERROR(VLOOKUP(F5538,CARTON_LOOKUP!$A:$E,3,0),"")</f>
      </c>
      <c r="H5538" s="28">
        <f>IFERROR(VLOOKUP(F5538,CARTON_LOOKUP!$A:$E,4,0),"")</f>
      </c>
      <c r="I5538" s="28">
        <f>IFERROR(VLOOKUP(F5538,CARTON_LOOKUP!$A:$E,5,0),"")</f>
      </c>
      <c r="J5538" s="29">
        <f>IFERROR(VLOOKUP(F5538,CARTON_LOOKUP!$A:$E,2,0),"")</f>
      </c>
      <c r="K5538" s="29">
        <f>IFERROR(J5538*D5538,0)</f>
      </c>
      <c r="L5538" s="29">
        <f>IFERROR(E5538*C5538,0)</f>
      </c>
      <c r="M5538" s="29">
        <f>IFERROR((G5538*H5538*I5538/1000000)*D5538,0)</f>
      </c>
    </row>
    <row r="5539" spans="1:13" x14ac:dyDescent="0.25">
      <c r="A5539" s="16"/>
      <c r="E5539" s="27"/>
      <c r="F5539" t="s">
        <v>26</v>
      </c>
      <c r="G5539" s="28">
        <f>IFERROR(VLOOKUP(F5539,CARTON_LOOKUP!$A:$E,3,0),"")</f>
      </c>
      <c r="H5539" s="28">
        <f>IFERROR(VLOOKUP(F5539,CARTON_LOOKUP!$A:$E,4,0),"")</f>
      </c>
      <c r="I5539" s="28">
        <f>IFERROR(VLOOKUP(F5539,CARTON_LOOKUP!$A:$E,5,0),"")</f>
      </c>
      <c r="J5539" s="29">
        <f>IFERROR(VLOOKUP(F5539,CARTON_LOOKUP!$A:$E,2,0),"")</f>
      </c>
      <c r="K5539" s="29">
        <f>IFERROR(J5539*D5539,0)</f>
      </c>
      <c r="L5539" s="29">
        <f>IFERROR(E5539*C5539,0)</f>
      </c>
      <c r="M5539" s="29">
        <f>IFERROR((G5539*H5539*I5539/1000000)*D5539,0)</f>
      </c>
    </row>
    <row r="5540" spans="1:13" x14ac:dyDescent="0.25">
      <c r="A5540" s="16"/>
      <c r="E5540" s="27"/>
      <c r="F5540" t="s">
        <v>26</v>
      </c>
      <c r="G5540" s="28">
        <f>IFERROR(VLOOKUP(F5540,CARTON_LOOKUP!$A:$E,3,0),"")</f>
      </c>
      <c r="H5540" s="28">
        <f>IFERROR(VLOOKUP(F5540,CARTON_LOOKUP!$A:$E,4,0),"")</f>
      </c>
      <c r="I5540" s="28">
        <f>IFERROR(VLOOKUP(F5540,CARTON_LOOKUP!$A:$E,5,0),"")</f>
      </c>
      <c r="J5540" s="29">
        <f>IFERROR(VLOOKUP(F5540,CARTON_LOOKUP!$A:$E,2,0),"")</f>
      </c>
      <c r="K5540" s="29">
        <f>IFERROR(J5540*D5540,0)</f>
      </c>
      <c r="L5540" s="29">
        <f>IFERROR(E5540*C5540,0)</f>
      </c>
      <c r="M5540" s="29">
        <f>IFERROR((G5540*H5540*I5540/1000000)*D5540,0)</f>
      </c>
    </row>
    <row r="5541" spans="1:13" x14ac:dyDescent="0.25">
      <c r="A5541" s="16"/>
      <c r="E5541" s="27"/>
      <c r="F5541" t="s">
        <v>26</v>
      </c>
      <c r="G5541" s="28">
        <f>IFERROR(VLOOKUP(F5541,CARTON_LOOKUP!$A:$E,3,0),"")</f>
      </c>
      <c r="H5541" s="28">
        <f>IFERROR(VLOOKUP(F5541,CARTON_LOOKUP!$A:$E,4,0),"")</f>
      </c>
      <c r="I5541" s="28">
        <f>IFERROR(VLOOKUP(F5541,CARTON_LOOKUP!$A:$E,5,0),"")</f>
      </c>
      <c r="J5541" s="29">
        <f>IFERROR(VLOOKUP(F5541,CARTON_LOOKUP!$A:$E,2,0),"")</f>
      </c>
      <c r="K5541" s="29">
        <f>IFERROR(J5541*D5541,0)</f>
      </c>
      <c r="L5541" s="29">
        <f>IFERROR(E5541*C5541,0)</f>
      </c>
      <c r="M5541" s="29">
        <f>IFERROR((G5541*H5541*I5541/1000000)*D5541,0)</f>
      </c>
    </row>
    <row r="5542" spans="1:13" x14ac:dyDescent="0.25">
      <c r="A5542" s="16"/>
      <c r="E5542" s="27"/>
      <c r="F5542" t="s">
        <v>26</v>
      </c>
      <c r="G5542" s="28">
        <f>IFERROR(VLOOKUP(F5542,CARTON_LOOKUP!$A:$E,3,0),"")</f>
      </c>
      <c r="H5542" s="28">
        <f>IFERROR(VLOOKUP(F5542,CARTON_LOOKUP!$A:$E,4,0),"")</f>
      </c>
      <c r="I5542" s="28">
        <f>IFERROR(VLOOKUP(F5542,CARTON_LOOKUP!$A:$E,5,0),"")</f>
      </c>
      <c r="J5542" s="29">
        <f>IFERROR(VLOOKUP(F5542,CARTON_LOOKUP!$A:$E,2,0),"")</f>
      </c>
      <c r="K5542" s="29">
        <f>IFERROR(J5542*D5542,0)</f>
      </c>
      <c r="L5542" s="29">
        <f>IFERROR(E5542*C5542,0)</f>
      </c>
      <c r="M5542" s="29">
        <f>IFERROR((G5542*H5542*I5542/1000000)*D5542,0)</f>
      </c>
    </row>
    <row r="5543" spans="1:13" x14ac:dyDescent="0.25">
      <c r="A5543" s="16"/>
      <c r="E5543" s="27"/>
      <c r="F5543" t="s">
        <v>26</v>
      </c>
      <c r="G5543" s="28">
        <f>IFERROR(VLOOKUP(F5543,CARTON_LOOKUP!$A:$E,3,0),"")</f>
      </c>
      <c r="H5543" s="28">
        <f>IFERROR(VLOOKUP(F5543,CARTON_LOOKUP!$A:$E,4,0),"")</f>
      </c>
      <c r="I5543" s="28">
        <f>IFERROR(VLOOKUP(F5543,CARTON_LOOKUP!$A:$E,5,0),"")</f>
      </c>
      <c r="J5543" s="29">
        <f>IFERROR(VLOOKUP(F5543,CARTON_LOOKUP!$A:$E,2,0),"")</f>
      </c>
      <c r="K5543" s="29">
        <f>IFERROR(J5543*D5543,0)</f>
      </c>
      <c r="L5543" s="29">
        <f>IFERROR(E5543*C5543,0)</f>
      </c>
      <c r="M5543" s="29">
        <f>IFERROR((G5543*H5543*I5543/1000000)*D5543,0)</f>
      </c>
    </row>
    <row r="5544" spans="1:13" x14ac:dyDescent="0.25">
      <c r="A5544" s="16"/>
      <c r="E5544" s="27"/>
      <c r="F5544" t="s">
        <v>26</v>
      </c>
      <c r="G5544" s="28">
        <f>IFERROR(VLOOKUP(F5544,CARTON_LOOKUP!$A:$E,3,0),"")</f>
      </c>
      <c r="H5544" s="28">
        <f>IFERROR(VLOOKUP(F5544,CARTON_LOOKUP!$A:$E,4,0),"")</f>
      </c>
      <c r="I5544" s="28">
        <f>IFERROR(VLOOKUP(F5544,CARTON_LOOKUP!$A:$E,5,0),"")</f>
      </c>
      <c r="J5544" s="29">
        <f>IFERROR(VLOOKUP(F5544,CARTON_LOOKUP!$A:$E,2,0),"")</f>
      </c>
      <c r="K5544" s="29">
        <f>IFERROR(J5544*D5544,0)</f>
      </c>
      <c r="L5544" s="29">
        <f>IFERROR(E5544*C5544,0)</f>
      </c>
      <c r="M5544" s="29">
        <f>IFERROR((G5544*H5544*I5544/1000000)*D5544,0)</f>
      </c>
    </row>
    <row r="5545" spans="1:13" x14ac:dyDescent="0.25">
      <c r="A5545" s="16"/>
      <c r="E5545" s="27"/>
      <c r="F5545" t="s">
        <v>26</v>
      </c>
      <c r="G5545" s="28">
        <f>IFERROR(VLOOKUP(F5545,CARTON_LOOKUP!$A:$E,3,0),"")</f>
      </c>
      <c r="H5545" s="28">
        <f>IFERROR(VLOOKUP(F5545,CARTON_LOOKUP!$A:$E,4,0),"")</f>
      </c>
      <c r="I5545" s="28">
        <f>IFERROR(VLOOKUP(F5545,CARTON_LOOKUP!$A:$E,5,0),"")</f>
      </c>
      <c r="J5545" s="29">
        <f>IFERROR(VLOOKUP(F5545,CARTON_LOOKUP!$A:$E,2,0),"")</f>
      </c>
      <c r="K5545" s="29">
        <f>IFERROR(J5545*D5545,0)</f>
      </c>
      <c r="L5545" s="29">
        <f>IFERROR(E5545*C5545,0)</f>
      </c>
      <c r="M5545" s="29">
        <f>IFERROR((G5545*H5545*I5545/1000000)*D5545,0)</f>
      </c>
    </row>
    <row r="5546" spans="1:13" x14ac:dyDescent="0.25">
      <c r="A5546" s="16"/>
      <c r="E5546" s="27"/>
      <c r="F5546" t="s">
        <v>26</v>
      </c>
      <c r="G5546" s="28">
        <f>IFERROR(VLOOKUP(F5546,CARTON_LOOKUP!$A:$E,3,0),"")</f>
      </c>
      <c r="H5546" s="28">
        <f>IFERROR(VLOOKUP(F5546,CARTON_LOOKUP!$A:$E,4,0),"")</f>
      </c>
      <c r="I5546" s="28">
        <f>IFERROR(VLOOKUP(F5546,CARTON_LOOKUP!$A:$E,5,0),"")</f>
      </c>
      <c r="J5546" s="29">
        <f>IFERROR(VLOOKUP(F5546,CARTON_LOOKUP!$A:$E,2,0),"")</f>
      </c>
      <c r="K5546" s="29">
        <f>IFERROR(J5546*D5546,0)</f>
      </c>
      <c r="L5546" s="29">
        <f>IFERROR(E5546*C5546,0)</f>
      </c>
      <c r="M5546" s="29">
        <f>IFERROR((G5546*H5546*I5546/1000000)*D5546,0)</f>
      </c>
    </row>
    <row r="5547" spans="1:13" x14ac:dyDescent="0.25">
      <c r="A5547" s="16"/>
      <c r="E5547" s="27"/>
      <c r="F5547" t="s">
        <v>26</v>
      </c>
      <c r="G5547" s="28">
        <f>IFERROR(VLOOKUP(F5547,CARTON_LOOKUP!$A:$E,3,0),"")</f>
      </c>
      <c r="H5547" s="28">
        <f>IFERROR(VLOOKUP(F5547,CARTON_LOOKUP!$A:$E,4,0),"")</f>
      </c>
      <c r="I5547" s="28">
        <f>IFERROR(VLOOKUP(F5547,CARTON_LOOKUP!$A:$E,5,0),"")</f>
      </c>
      <c r="J5547" s="29">
        <f>IFERROR(VLOOKUP(F5547,CARTON_LOOKUP!$A:$E,2,0),"")</f>
      </c>
      <c r="K5547" s="29">
        <f>IFERROR(J5547*D5547,0)</f>
      </c>
      <c r="L5547" s="29">
        <f>IFERROR(E5547*C5547,0)</f>
      </c>
      <c r="M5547" s="29">
        <f>IFERROR((G5547*H5547*I5547/1000000)*D5547,0)</f>
      </c>
    </row>
    <row r="5548" spans="1:13" x14ac:dyDescent="0.25">
      <c r="A5548" s="16"/>
      <c r="E5548" s="27"/>
      <c r="F5548" t="s">
        <v>26</v>
      </c>
      <c r="G5548" s="28">
        <f>IFERROR(VLOOKUP(F5548,CARTON_LOOKUP!$A:$E,3,0),"")</f>
      </c>
      <c r="H5548" s="28">
        <f>IFERROR(VLOOKUP(F5548,CARTON_LOOKUP!$A:$E,4,0),"")</f>
      </c>
      <c r="I5548" s="28">
        <f>IFERROR(VLOOKUP(F5548,CARTON_LOOKUP!$A:$E,5,0),"")</f>
      </c>
      <c r="J5548" s="29">
        <f>IFERROR(VLOOKUP(F5548,CARTON_LOOKUP!$A:$E,2,0),"")</f>
      </c>
      <c r="K5548" s="29">
        <f>IFERROR(J5548*D5548,0)</f>
      </c>
      <c r="L5548" s="29">
        <f>IFERROR(E5548*C5548,0)</f>
      </c>
      <c r="M5548" s="29">
        <f>IFERROR((G5548*H5548*I5548/1000000)*D5548,0)</f>
      </c>
    </row>
    <row r="5549" spans="1:13" x14ac:dyDescent="0.25">
      <c r="A5549" s="16"/>
      <c r="E5549" s="27"/>
      <c r="F5549" t="s">
        <v>26</v>
      </c>
      <c r="G5549" s="28">
        <f>IFERROR(VLOOKUP(F5549,CARTON_LOOKUP!$A:$E,3,0),"")</f>
      </c>
      <c r="H5549" s="28">
        <f>IFERROR(VLOOKUP(F5549,CARTON_LOOKUP!$A:$E,4,0),"")</f>
      </c>
      <c r="I5549" s="28">
        <f>IFERROR(VLOOKUP(F5549,CARTON_LOOKUP!$A:$E,5,0),"")</f>
      </c>
      <c r="J5549" s="29">
        <f>IFERROR(VLOOKUP(F5549,CARTON_LOOKUP!$A:$E,2,0),"")</f>
      </c>
      <c r="K5549" s="29">
        <f>IFERROR(J5549*D5549,0)</f>
      </c>
      <c r="L5549" s="29">
        <f>IFERROR(E5549*C5549,0)</f>
      </c>
      <c r="M5549" s="29">
        <f>IFERROR((G5549*H5549*I5549/1000000)*D5549,0)</f>
      </c>
    </row>
    <row r="5550" spans="1:13" x14ac:dyDescent="0.25">
      <c r="A5550" s="16"/>
      <c r="E5550" s="27"/>
      <c r="F5550" t="s">
        <v>26</v>
      </c>
      <c r="G5550" s="28">
        <f>IFERROR(VLOOKUP(F5550,CARTON_LOOKUP!$A:$E,3,0),"")</f>
      </c>
      <c r="H5550" s="28">
        <f>IFERROR(VLOOKUP(F5550,CARTON_LOOKUP!$A:$E,4,0),"")</f>
      </c>
      <c r="I5550" s="28">
        <f>IFERROR(VLOOKUP(F5550,CARTON_LOOKUP!$A:$E,5,0),"")</f>
      </c>
      <c r="J5550" s="29">
        <f>IFERROR(VLOOKUP(F5550,CARTON_LOOKUP!$A:$E,2,0),"")</f>
      </c>
      <c r="K5550" s="29">
        <f>IFERROR(J5550*D5550,0)</f>
      </c>
      <c r="L5550" s="29">
        <f>IFERROR(E5550*C5550,0)</f>
      </c>
      <c r="M5550" s="29">
        <f>IFERROR((G5550*H5550*I5550/1000000)*D5550,0)</f>
      </c>
    </row>
    <row r="5551" spans="1:13" x14ac:dyDescent="0.25">
      <c r="A5551" s="16"/>
      <c r="E5551" s="27"/>
      <c r="F5551" t="s">
        <v>26</v>
      </c>
      <c r="G5551" s="28">
        <f>IFERROR(VLOOKUP(F5551,CARTON_LOOKUP!$A:$E,3,0),"")</f>
      </c>
      <c r="H5551" s="28">
        <f>IFERROR(VLOOKUP(F5551,CARTON_LOOKUP!$A:$E,4,0),"")</f>
      </c>
      <c r="I5551" s="28">
        <f>IFERROR(VLOOKUP(F5551,CARTON_LOOKUP!$A:$E,5,0),"")</f>
      </c>
      <c r="J5551" s="29">
        <f>IFERROR(VLOOKUP(F5551,CARTON_LOOKUP!$A:$E,2,0),"")</f>
      </c>
      <c r="K5551" s="29">
        <f>IFERROR(J5551*D5551,0)</f>
      </c>
      <c r="L5551" s="29">
        <f>IFERROR(E5551*C5551,0)</f>
      </c>
      <c r="M5551" s="29">
        <f>IFERROR((G5551*H5551*I5551/1000000)*D5551,0)</f>
      </c>
    </row>
    <row r="5552" spans="1:13" x14ac:dyDescent="0.25">
      <c r="A5552" s="16"/>
      <c r="E5552" s="27"/>
      <c r="F5552" t="s">
        <v>26</v>
      </c>
      <c r="G5552" s="28">
        <f>IFERROR(VLOOKUP(F5552,CARTON_LOOKUP!$A:$E,3,0),"")</f>
      </c>
      <c r="H5552" s="28">
        <f>IFERROR(VLOOKUP(F5552,CARTON_LOOKUP!$A:$E,4,0),"")</f>
      </c>
      <c r="I5552" s="28">
        <f>IFERROR(VLOOKUP(F5552,CARTON_LOOKUP!$A:$E,5,0),"")</f>
      </c>
      <c r="J5552" s="29">
        <f>IFERROR(VLOOKUP(F5552,CARTON_LOOKUP!$A:$E,2,0),"")</f>
      </c>
      <c r="K5552" s="29">
        <f>IFERROR(J5552*D5552,0)</f>
      </c>
      <c r="L5552" s="29">
        <f>IFERROR(E5552*C5552,0)</f>
      </c>
      <c r="M5552" s="29">
        <f>IFERROR((G5552*H5552*I5552/1000000)*D5552,0)</f>
      </c>
    </row>
    <row r="5553" spans="1:13" x14ac:dyDescent="0.25">
      <c r="A5553" s="16"/>
      <c r="E5553" s="27"/>
      <c r="F5553" t="s">
        <v>26</v>
      </c>
      <c r="G5553" s="28">
        <f>IFERROR(VLOOKUP(F5553,CARTON_LOOKUP!$A:$E,3,0),"")</f>
      </c>
      <c r="H5553" s="28">
        <f>IFERROR(VLOOKUP(F5553,CARTON_LOOKUP!$A:$E,4,0),"")</f>
      </c>
      <c r="I5553" s="28">
        <f>IFERROR(VLOOKUP(F5553,CARTON_LOOKUP!$A:$E,5,0),"")</f>
      </c>
      <c r="J5553" s="29">
        <f>IFERROR(VLOOKUP(F5553,CARTON_LOOKUP!$A:$E,2,0),"")</f>
      </c>
      <c r="K5553" s="29">
        <f>IFERROR(J5553*D5553,0)</f>
      </c>
      <c r="L5553" s="29">
        <f>IFERROR(E5553*C5553,0)</f>
      </c>
      <c r="M5553" s="29">
        <f>IFERROR((G5553*H5553*I5553/1000000)*D5553,0)</f>
      </c>
    </row>
    <row r="5554" spans="1:13" x14ac:dyDescent="0.25">
      <c r="A5554" s="16"/>
      <c r="E5554" s="27"/>
      <c r="F5554" t="s">
        <v>26</v>
      </c>
      <c r="G5554" s="28">
        <f>IFERROR(VLOOKUP(F5554,CARTON_LOOKUP!$A:$E,3,0),"")</f>
      </c>
      <c r="H5554" s="28">
        <f>IFERROR(VLOOKUP(F5554,CARTON_LOOKUP!$A:$E,4,0),"")</f>
      </c>
      <c r="I5554" s="28">
        <f>IFERROR(VLOOKUP(F5554,CARTON_LOOKUP!$A:$E,5,0),"")</f>
      </c>
      <c r="J5554" s="29">
        <f>IFERROR(VLOOKUP(F5554,CARTON_LOOKUP!$A:$E,2,0),"")</f>
      </c>
      <c r="K5554" s="29">
        <f>IFERROR(J5554*D5554,0)</f>
      </c>
      <c r="L5554" s="29">
        <f>IFERROR(E5554*C5554,0)</f>
      </c>
      <c r="M5554" s="29">
        <f>IFERROR((G5554*H5554*I5554/1000000)*D5554,0)</f>
      </c>
    </row>
    <row r="5555" spans="1:13" x14ac:dyDescent="0.25">
      <c r="A5555" s="16"/>
      <c r="E5555" s="27"/>
      <c r="F5555" t="s">
        <v>26</v>
      </c>
      <c r="G5555" s="28">
        <f>IFERROR(VLOOKUP(F5555,CARTON_LOOKUP!$A:$E,3,0),"")</f>
      </c>
      <c r="H5555" s="28">
        <f>IFERROR(VLOOKUP(F5555,CARTON_LOOKUP!$A:$E,4,0),"")</f>
      </c>
      <c r="I5555" s="28">
        <f>IFERROR(VLOOKUP(F5555,CARTON_LOOKUP!$A:$E,5,0),"")</f>
      </c>
      <c r="J5555" s="29">
        <f>IFERROR(VLOOKUP(F5555,CARTON_LOOKUP!$A:$E,2,0),"")</f>
      </c>
      <c r="K5555" s="29">
        <f>IFERROR(J5555*D5555,0)</f>
      </c>
      <c r="L5555" s="29">
        <f>IFERROR(E5555*C5555,0)</f>
      </c>
      <c r="M5555" s="29">
        <f>IFERROR((G5555*H5555*I5555/1000000)*D5555,0)</f>
      </c>
    </row>
    <row r="5556" spans="1:13" x14ac:dyDescent="0.25">
      <c r="A5556" s="16"/>
      <c r="E5556" s="27"/>
      <c r="F5556" t="s">
        <v>26</v>
      </c>
      <c r="G5556" s="28">
        <f>IFERROR(VLOOKUP(F5556,CARTON_LOOKUP!$A:$E,3,0),"")</f>
      </c>
      <c r="H5556" s="28">
        <f>IFERROR(VLOOKUP(F5556,CARTON_LOOKUP!$A:$E,4,0),"")</f>
      </c>
      <c r="I5556" s="28">
        <f>IFERROR(VLOOKUP(F5556,CARTON_LOOKUP!$A:$E,5,0),"")</f>
      </c>
      <c r="J5556" s="29">
        <f>IFERROR(VLOOKUP(F5556,CARTON_LOOKUP!$A:$E,2,0),"")</f>
      </c>
      <c r="K5556" s="29">
        <f>IFERROR(J5556*D5556,0)</f>
      </c>
      <c r="L5556" s="29">
        <f>IFERROR(E5556*C5556,0)</f>
      </c>
      <c r="M5556" s="29">
        <f>IFERROR((G5556*H5556*I5556/1000000)*D5556,0)</f>
      </c>
    </row>
    <row r="5557" spans="1:13" x14ac:dyDescent="0.25">
      <c r="A5557" s="16"/>
      <c r="E5557" s="27"/>
      <c r="F5557" t="s">
        <v>26</v>
      </c>
      <c r="G5557" s="28">
        <f>IFERROR(VLOOKUP(F5557,CARTON_LOOKUP!$A:$E,3,0),"")</f>
      </c>
      <c r="H5557" s="28">
        <f>IFERROR(VLOOKUP(F5557,CARTON_LOOKUP!$A:$E,4,0),"")</f>
      </c>
      <c r="I5557" s="28">
        <f>IFERROR(VLOOKUP(F5557,CARTON_LOOKUP!$A:$E,5,0),"")</f>
      </c>
      <c r="J5557" s="29">
        <f>IFERROR(VLOOKUP(F5557,CARTON_LOOKUP!$A:$E,2,0),"")</f>
      </c>
      <c r="K5557" s="29">
        <f>IFERROR(J5557*D5557,0)</f>
      </c>
      <c r="L5557" s="29">
        <f>IFERROR(E5557*C5557,0)</f>
      </c>
      <c r="M5557" s="29">
        <f>IFERROR((G5557*H5557*I5557/1000000)*D5557,0)</f>
      </c>
    </row>
    <row r="5558" spans="1:13" x14ac:dyDescent="0.25">
      <c r="A5558" s="16"/>
      <c r="E5558" s="27"/>
      <c r="F5558" t="s">
        <v>26</v>
      </c>
      <c r="G5558" s="28">
        <f>IFERROR(VLOOKUP(F5558,CARTON_LOOKUP!$A:$E,3,0),"")</f>
      </c>
      <c r="H5558" s="28">
        <f>IFERROR(VLOOKUP(F5558,CARTON_LOOKUP!$A:$E,4,0),"")</f>
      </c>
      <c r="I5558" s="28">
        <f>IFERROR(VLOOKUP(F5558,CARTON_LOOKUP!$A:$E,5,0),"")</f>
      </c>
      <c r="J5558" s="29">
        <f>IFERROR(VLOOKUP(F5558,CARTON_LOOKUP!$A:$E,2,0),"")</f>
      </c>
      <c r="K5558" s="29">
        <f>IFERROR(J5558*D5558,0)</f>
      </c>
      <c r="L5558" s="29">
        <f>IFERROR(E5558*C5558,0)</f>
      </c>
      <c r="M5558" s="29">
        <f>IFERROR((G5558*H5558*I5558/1000000)*D5558,0)</f>
      </c>
    </row>
    <row r="5559" spans="1:13" x14ac:dyDescent="0.25">
      <c r="A5559" s="16"/>
      <c r="E5559" s="27"/>
      <c r="F5559" t="s">
        <v>26</v>
      </c>
      <c r="G5559" s="28">
        <f>IFERROR(VLOOKUP(F5559,CARTON_LOOKUP!$A:$E,3,0),"")</f>
      </c>
      <c r="H5559" s="28">
        <f>IFERROR(VLOOKUP(F5559,CARTON_LOOKUP!$A:$E,4,0),"")</f>
      </c>
      <c r="I5559" s="28">
        <f>IFERROR(VLOOKUP(F5559,CARTON_LOOKUP!$A:$E,5,0),"")</f>
      </c>
      <c r="J5559" s="29">
        <f>IFERROR(VLOOKUP(F5559,CARTON_LOOKUP!$A:$E,2,0),"")</f>
      </c>
      <c r="K5559" s="29">
        <f>IFERROR(J5559*D5559,0)</f>
      </c>
      <c r="L5559" s="29">
        <f>IFERROR(E5559*C5559,0)</f>
      </c>
      <c r="M5559" s="29">
        <f>IFERROR((G5559*H5559*I5559/1000000)*D5559,0)</f>
      </c>
    </row>
    <row r="5560" spans="1:13" x14ac:dyDescent="0.25">
      <c r="A5560" s="16"/>
      <c r="E5560" s="27"/>
      <c r="F5560" t="s">
        <v>26</v>
      </c>
      <c r="G5560" s="28">
        <f>IFERROR(VLOOKUP(F5560,CARTON_LOOKUP!$A:$E,3,0),"")</f>
      </c>
      <c r="H5560" s="28">
        <f>IFERROR(VLOOKUP(F5560,CARTON_LOOKUP!$A:$E,4,0),"")</f>
      </c>
      <c r="I5560" s="28">
        <f>IFERROR(VLOOKUP(F5560,CARTON_LOOKUP!$A:$E,5,0),"")</f>
      </c>
      <c r="J5560" s="29">
        <f>IFERROR(VLOOKUP(F5560,CARTON_LOOKUP!$A:$E,2,0),"")</f>
      </c>
      <c r="K5560" s="29">
        <f>IFERROR(J5560*D5560,0)</f>
      </c>
      <c r="L5560" s="29">
        <f>IFERROR(E5560*C5560,0)</f>
      </c>
      <c r="M5560" s="29">
        <f>IFERROR((G5560*H5560*I5560/1000000)*D5560,0)</f>
      </c>
    </row>
    <row r="5561" spans="1:13" x14ac:dyDescent="0.25">
      <c r="A5561" s="16"/>
      <c r="E5561" s="27"/>
      <c r="F5561" t="s">
        <v>26</v>
      </c>
      <c r="G5561" s="28">
        <f>IFERROR(VLOOKUP(F5561,CARTON_LOOKUP!$A:$E,3,0),"")</f>
      </c>
      <c r="H5561" s="28">
        <f>IFERROR(VLOOKUP(F5561,CARTON_LOOKUP!$A:$E,4,0),"")</f>
      </c>
      <c r="I5561" s="28">
        <f>IFERROR(VLOOKUP(F5561,CARTON_LOOKUP!$A:$E,5,0),"")</f>
      </c>
      <c r="J5561" s="29">
        <f>IFERROR(VLOOKUP(F5561,CARTON_LOOKUP!$A:$E,2,0),"")</f>
      </c>
      <c r="K5561" s="29">
        <f>IFERROR(J5561*D5561,0)</f>
      </c>
      <c r="L5561" s="29">
        <f>IFERROR(E5561*C5561,0)</f>
      </c>
      <c r="M5561" s="29">
        <f>IFERROR((G5561*H5561*I5561/1000000)*D5561,0)</f>
      </c>
    </row>
    <row r="5562" spans="1:13" x14ac:dyDescent="0.25">
      <c r="A5562" s="16"/>
      <c r="E5562" s="27"/>
      <c r="F5562" t="s">
        <v>26</v>
      </c>
      <c r="G5562" s="28">
        <f>IFERROR(VLOOKUP(F5562,CARTON_LOOKUP!$A:$E,3,0),"")</f>
      </c>
      <c r="H5562" s="28">
        <f>IFERROR(VLOOKUP(F5562,CARTON_LOOKUP!$A:$E,4,0),"")</f>
      </c>
      <c r="I5562" s="28">
        <f>IFERROR(VLOOKUP(F5562,CARTON_LOOKUP!$A:$E,5,0),"")</f>
      </c>
      <c r="J5562" s="29">
        <f>IFERROR(VLOOKUP(F5562,CARTON_LOOKUP!$A:$E,2,0),"")</f>
      </c>
      <c r="K5562" s="29">
        <f>IFERROR(J5562*D5562,0)</f>
      </c>
      <c r="L5562" s="29">
        <f>IFERROR(E5562*C5562,0)</f>
      </c>
      <c r="M5562" s="29">
        <f>IFERROR((G5562*H5562*I5562/1000000)*D5562,0)</f>
      </c>
    </row>
    <row r="5563" spans="1:13" x14ac:dyDescent="0.25">
      <c r="A5563" s="16"/>
      <c r="E5563" s="27"/>
      <c r="F5563" t="s">
        <v>26</v>
      </c>
      <c r="G5563" s="28">
        <f>IFERROR(VLOOKUP(F5563,CARTON_LOOKUP!$A:$E,3,0),"")</f>
      </c>
      <c r="H5563" s="28">
        <f>IFERROR(VLOOKUP(F5563,CARTON_LOOKUP!$A:$E,4,0),"")</f>
      </c>
      <c r="I5563" s="28">
        <f>IFERROR(VLOOKUP(F5563,CARTON_LOOKUP!$A:$E,5,0),"")</f>
      </c>
      <c r="J5563" s="29">
        <f>IFERROR(VLOOKUP(F5563,CARTON_LOOKUP!$A:$E,2,0),"")</f>
      </c>
      <c r="K5563" s="29">
        <f>IFERROR(J5563*D5563,0)</f>
      </c>
      <c r="L5563" s="29">
        <f>IFERROR(E5563*C5563,0)</f>
      </c>
      <c r="M5563" s="29">
        <f>IFERROR((G5563*H5563*I5563/1000000)*D5563,0)</f>
      </c>
    </row>
    <row r="5564" spans="1:13" x14ac:dyDescent="0.25">
      <c r="A5564" s="16"/>
      <c r="E5564" s="27"/>
      <c r="F5564" t="s">
        <v>26</v>
      </c>
      <c r="G5564" s="28">
        <f>IFERROR(VLOOKUP(F5564,CARTON_LOOKUP!$A:$E,3,0),"")</f>
      </c>
      <c r="H5564" s="28">
        <f>IFERROR(VLOOKUP(F5564,CARTON_LOOKUP!$A:$E,4,0),"")</f>
      </c>
      <c r="I5564" s="28">
        <f>IFERROR(VLOOKUP(F5564,CARTON_LOOKUP!$A:$E,5,0),"")</f>
      </c>
      <c r="J5564" s="29">
        <f>IFERROR(VLOOKUP(F5564,CARTON_LOOKUP!$A:$E,2,0),"")</f>
      </c>
      <c r="K5564" s="29">
        <f>IFERROR(J5564*D5564,0)</f>
      </c>
      <c r="L5564" s="29">
        <f>IFERROR(E5564*C5564,0)</f>
      </c>
      <c r="M5564" s="29">
        <f>IFERROR((G5564*H5564*I5564/1000000)*D5564,0)</f>
      </c>
    </row>
    <row r="5565" spans="1:13" x14ac:dyDescent="0.25">
      <c r="A5565" s="16"/>
      <c r="E5565" s="27"/>
      <c r="F5565" t="s">
        <v>26</v>
      </c>
      <c r="G5565" s="28">
        <f>IFERROR(VLOOKUP(F5565,CARTON_LOOKUP!$A:$E,3,0),"")</f>
      </c>
      <c r="H5565" s="28">
        <f>IFERROR(VLOOKUP(F5565,CARTON_LOOKUP!$A:$E,4,0),"")</f>
      </c>
      <c r="I5565" s="28">
        <f>IFERROR(VLOOKUP(F5565,CARTON_LOOKUP!$A:$E,5,0),"")</f>
      </c>
      <c r="J5565" s="29">
        <f>IFERROR(VLOOKUP(F5565,CARTON_LOOKUP!$A:$E,2,0),"")</f>
      </c>
      <c r="K5565" s="29">
        <f>IFERROR(J5565*D5565,0)</f>
      </c>
      <c r="L5565" s="29">
        <f>IFERROR(E5565*C5565,0)</f>
      </c>
      <c r="M5565" s="29">
        <f>IFERROR((G5565*H5565*I5565/1000000)*D5565,0)</f>
      </c>
    </row>
    <row r="5566" spans="1:13" x14ac:dyDescent="0.25">
      <c r="A5566" s="16"/>
      <c r="E5566" s="27"/>
      <c r="F5566" t="s">
        <v>26</v>
      </c>
      <c r="G5566" s="28">
        <f>IFERROR(VLOOKUP(F5566,CARTON_LOOKUP!$A:$E,3,0),"")</f>
      </c>
      <c r="H5566" s="28">
        <f>IFERROR(VLOOKUP(F5566,CARTON_LOOKUP!$A:$E,4,0),"")</f>
      </c>
      <c r="I5566" s="28">
        <f>IFERROR(VLOOKUP(F5566,CARTON_LOOKUP!$A:$E,5,0),"")</f>
      </c>
      <c r="J5566" s="29">
        <f>IFERROR(VLOOKUP(F5566,CARTON_LOOKUP!$A:$E,2,0),"")</f>
      </c>
      <c r="K5566" s="29">
        <f>IFERROR(J5566*D5566,0)</f>
      </c>
      <c r="L5566" s="29">
        <f>IFERROR(E5566*C5566,0)</f>
      </c>
      <c r="M5566" s="29">
        <f>IFERROR((G5566*H5566*I5566/1000000)*D5566,0)</f>
      </c>
    </row>
    <row r="5567" spans="1:13" x14ac:dyDescent="0.25">
      <c r="A5567" s="16"/>
      <c r="E5567" s="27"/>
      <c r="F5567" t="s">
        <v>26</v>
      </c>
      <c r="G5567" s="28">
        <f>IFERROR(VLOOKUP(F5567,CARTON_LOOKUP!$A:$E,3,0),"")</f>
      </c>
      <c r="H5567" s="28">
        <f>IFERROR(VLOOKUP(F5567,CARTON_LOOKUP!$A:$E,4,0),"")</f>
      </c>
      <c r="I5567" s="28">
        <f>IFERROR(VLOOKUP(F5567,CARTON_LOOKUP!$A:$E,5,0),"")</f>
      </c>
      <c r="J5567" s="29">
        <f>IFERROR(VLOOKUP(F5567,CARTON_LOOKUP!$A:$E,2,0),"")</f>
      </c>
      <c r="K5567" s="29">
        <f>IFERROR(J5567*D5567,0)</f>
      </c>
      <c r="L5567" s="29">
        <f>IFERROR(E5567*C5567,0)</f>
      </c>
      <c r="M5567" s="29">
        <f>IFERROR((G5567*H5567*I5567/1000000)*D5567,0)</f>
      </c>
    </row>
    <row r="5568" spans="1:13" x14ac:dyDescent="0.25">
      <c r="A5568" s="16"/>
      <c r="E5568" s="27"/>
      <c r="F5568" t="s">
        <v>26</v>
      </c>
      <c r="G5568" s="28">
        <f>IFERROR(VLOOKUP(F5568,CARTON_LOOKUP!$A:$E,3,0),"")</f>
      </c>
      <c r="H5568" s="28">
        <f>IFERROR(VLOOKUP(F5568,CARTON_LOOKUP!$A:$E,4,0),"")</f>
      </c>
      <c r="I5568" s="28">
        <f>IFERROR(VLOOKUP(F5568,CARTON_LOOKUP!$A:$E,5,0),"")</f>
      </c>
      <c r="J5568" s="29">
        <f>IFERROR(VLOOKUP(F5568,CARTON_LOOKUP!$A:$E,2,0),"")</f>
      </c>
      <c r="K5568" s="29">
        <f>IFERROR(J5568*D5568,0)</f>
      </c>
      <c r="L5568" s="29">
        <f>IFERROR(E5568*C5568,0)</f>
      </c>
      <c r="M5568" s="29">
        <f>IFERROR((G5568*H5568*I5568/1000000)*D5568,0)</f>
      </c>
    </row>
    <row r="5569" spans="1:13" x14ac:dyDescent="0.25">
      <c r="A5569" s="16"/>
      <c r="E5569" s="27"/>
      <c r="F5569" t="s">
        <v>26</v>
      </c>
      <c r="G5569" s="28">
        <f>IFERROR(VLOOKUP(F5569,CARTON_LOOKUP!$A:$E,3,0),"")</f>
      </c>
      <c r="H5569" s="28">
        <f>IFERROR(VLOOKUP(F5569,CARTON_LOOKUP!$A:$E,4,0),"")</f>
      </c>
      <c r="I5569" s="28">
        <f>IFERROR(VLOOKUP(F5569,CARTON_LOOKUP!$A:$E,5,0),"")</f>
      </c>
      <c r="J5569" s="29">
        <f>IFERROR(VLOOKUP(F5569,CARTON_LOOKUP!$A:$E,2,0),"")</f>
      </c>
      <c r="K5569" s="29">
        <f>IFERROR(J5569*D5569,0)</f>
      </c>
      <c r="L5569" s="29">
        <f>IFERROR(E5569*C5569,0)</f>
      </c>
      <c r="M5569" s="29">
        <f>IFERROR((G5569*H5569*I5569/1000000)*D5569,0)</f>
      </c>
    </row>
    <row r="5570" spans="1:13" x14ac:dyDescent="0.25">
      <c r="A5570" s="16"/>
      <c r="E5570" s="27"/>
      <c r="F5570" t="s">
        <v>26</v>
      </c>
      <c r="G5570" s="28">
        <f>IFERROR(VLOOKUP(F5570,CARTON_LOOKUP!$A:$E,3,0),"")</f>
      </c>
      <c r="H5570" s="28">
        <f>IFERROR(VLOOKUP(F5570,CARTON_LOOKUP!$A:$E,4,0),"")</f>
      </c>
      <c r="I5570" s="28">
        <f>IFERROR(VLOOKUP(F5570,CARTON_LOOKUP!$A:$E,5,0),"")</f>
      </c>
      <c r="J5570" s="29">
        <f>IFERROR(VLOOKUP(F5570,CARTON_LOOKUP!$A:$E,2,0),"")</f>
      </c>
      <c r="K5570" s="29">
        <f>IFERROR(J5570*D5570,0)</f>
      </c>
      <c r="L5570" s="29">
        <f>IFERROR(E5570*C5570,0)</f>
      </c>
      <c r="M5570" s="29">
        <f>IFERROR((G5570*H5570*I5570/1000000)*D5570,0)</f>
      </c>
    </row>
    <row r="5571" spans="1:13" x14ac:dyDescent="0.25">
      <c r="A5571" s="16"/>
      <c r="E5571" s="27"/>
      <c r="F5571" t="s">
        <v>26</v>
      </c>
      <c r="G5571" s="28">
        <f>IFERROR(VLOOKUP(F5571,CARTON_LOOKUP!$A:$E,3,0),"")</f>
      </c>
      <c r="H5571" s="28">
        <f>IFERROR(VLOOKUP(F5571,CARTON_LOOKUP!$A:$E,4,0),"")</f>
      </c>
      <c r="I5571" s="28">
        <f>IFERROR(VLOOKUP(F5571,CARTON_LOOKUP!$A:$E,5,0),"")</f>
      </c>
      <c r="J5571" s="29">
        <f>IFERROR(VLOOKUP(F5571,CARTON_LOOKUP!$A:$E,2,0),"")</f>
      </c>
      <c r="K5571" s="29">
        <f>IFERROR(J5571*D5571,0)</f>
      </c>
      <c r="L5571" s="29">
        <f>IFERROR(E5571*C5571,0)</f>
      </c>
      <c r="M5571" s="29">
        <f>IFERROR((G5571*H5571*I5571/1000000)*D5571,0)</f>
      </c>
    </row>
    <row r="5572" spans="1:13" x14ac:dyDescent="0.25">
      <c r="A5572" s="16"/>
      <c r="E5572" s="27"/>
      <c r="F5572" t="s">
        <v>26</v>
      </c>
      <c r="G5572" s="28">
        <f>IFERROR(VLOOKUP(F5572,CARTON_LOOKUP!$A:$E,3,0),"")</f>
      </c>
      <c r="H5572" s="28">
        <f>IFERROR(VLOOKUP(F5572,CARTON_LOOKUP!$A:$E,4,0),"")</f>
      </c>
      <c r="I5572" s="28">
        <f>IFERROR(VLOOKUP(F5572,CARTON_LOOKUP!$A:$E,5,0),"")</f>
      </c>
      <c r="J5572" s="29">
        <f>IFERROR(VLOOKUP(F5572,CARTON_LOOKUP!$A:$E,2,0),"")</f>
      </c>
      <c r="K5572" s="29">
        <f>IFERROR(J5572*D5572,0)</f>
      </c>
      <c r="L5572" s="29">
        <f>IFERROR(E5572*C5572,0)</f>
      </c>
      <c r="M5572" s="29">
        <f>IFERROR((G5572*H5572*I5572/1000000)*D5572,0)</f>
      </c>
    </row>
    <row r="5573" spans="1:13" x14ac:dyDescent="0.25">
      <c r="A5573" s="16"/>
      <c r="E5573" s="27"/>
      <c r="F5573" t="s">
        <v>26</v>
      </c>
      <c r="G5573" s="28">
        <f>IFERROR(VLOOKUP(F5573,CARTON_LOOKUP!$A:$E,3,0),"")</f>
      </c>
      <c r="H5573" s="28">
        <f>IFERROR(VLOOKUP(F5573,CARTON_LOOKUP!$A:$E,4,0),"")</f>
      </c>
      <c r="I5573" s="28">
        <f>IFERROR(VLOOKUP(F5573,CARTON_LOOKUP!$A:$E,5,0),"")</f>
      </c>
      <c r="J5573" s="29">
        <f>IFERROR(VLOOKUP(F5573,CARTON_LOOKUP!$A:$E,2,0),"")</f>
      </c>
      <c r="K5573" s="29">
        <f>IFERROR(J5573*D5573,0)</f>
      </c>
      <c r="L5573" s="29">
        <f>IFERROR(E5573*C5573,0)</f>
      </c>
      <c r="M5573" s="29">
        <f>IFERROR((G5573*H5573*I5573/1000000)*D5573,0)</f>
      </c>
    </row>
    <row r="5574" spans="1:13" x14ac:dyDescent="0.25">
      <c r="A5574" s="16"/>
      <c r="E5574" s="27"/>
      <c r="F5574" t="s">
        <v>26</v>
      </c>
      <c r="G5574" s="28">
        <f>IFERROR(VLOOKUP(F5574,CARTON_LOOKUP!$A:$E,3,0),"")</f>
      </c>
      <c r="H5574" s="28">
        <f>IFERROR(VLOOKUP(F5574,CARTON_LOOKUP!$A:$E,4,0),"")</f>
      </c>
      <c r="I5574" s="28">
        <f>IFERROR(VLOOKUP(F5574,CARTON_LOOKUP!$A:$E,5,0),"")</f>
      </c>
      <c r="J5574" s="29">
        <f>IFERROR(VLOOKUP(F5574,CARTON_LOOKUP!$A:$E,2,0),"")</f>
      </c>
      <c r="K5574" s="29">
        <f>IFERROR(J5574*D5574,0)</f>
      </c>
      <c r="L5574" s="29">
        <f>IFERROR(E5574*C5574,0)</f>
      </c>
      <c r="M5574" s="29">
        <f>IFERROR((G5574*H5574*I5574/1000000)*D5574,0)</f>
      </c>
    </row>
    <row r="5575" spans="1:13" x14ac:dyDescent="0.25">
      <c r="A5575" s="16"/>
      <c r="E5575" s="27"/>
      <c r="F5575" t="s">
        <v>26</v>
      </c>
      <c r="G5575" s="28">
        <f>IFERROR(VLOOKUP(F5575,CARTON_LOOKUP!$A:$E,3,0),"")</f>
      </c>
      <c r="H5575" s="28">
        <f>IFERROR(VLOOKUP(F5575,CARTON_LOOKUP!$A:$E,4,0),"")</f>
      </c>
      <c r="I5575" s="28">
        <f>IFERROR(VLOOKUP(F5575,CARTON_LOOKUP!$A:$E,5,0),"")</f>
      </c>
      <c r="J5575" s="29">
        <f>IFERROR(VLOOKUP(F5575,CARTON_LOOKUP!$A:$E,2,0),"")</f>
      </c>
      <c r="K5575" s="29">
        <f>IFERROR(J5575*D5575,0)</f>
      </c>
      <c r="L5575" s="29">
        <f>IFERROR(E5575*C5575,0)</f>
      </c>
      <c r="M5575" s="29">
        <f>IFERROR((G5575*H5575*I5575/1000000)*D5575,0)</f>
      </c>
    </row>
    <row r="5576" spans="1:13" x14ac:dyDescent="0.25">
      <c r="A5576" s="16"/>
      <c r="E5576" s="27"/>
      <c r="F5576" t="s">
        <v>26</v>
      </c>
      <c r="G5576" s="28">
        <f>IFERROR(VLOOKUP(F5576,CARTON_LOOKUP!$A:$E,3,0),"")</f>
      </c>
      <c r="H5576" s="28">
        <f>IFERROR(VLOOKUP(F5576,CARTON_LOOKUP!$A:$E,4,0),"")</f>
      </c>
      <c r="I5576" s="28">
        <f>IFERROR(VLOOKUP(F5576,CARTON_LOOKUP!$A:$E,5,0),"")</f>
      </c>
      <c r="J5576" s="29">
        <f>IFERROR(VLOOKUP(F5576,CARTON_LOOKUP!$A:$E,2,0),"")</f>
      </c>
      <c r="K5576" s="29">
        <f>IFERROR(J5576*D5576,0)</f>
      </c>
      <c r="L5576" s="29">
        <f>IFERROR(E5576*C5576,0)</f>
      </c>
      <c r="M5576" s="29">
        <f>IFERROR((G5576*H5576*I5576/1000000)*D5576,0)</f>
      </c>
    </row>
    <row r="5577" spans="1:13" x14ac:dyDescent="0.25">
      <c r="A5577" s="16"/>
      <c r="E5577" s="27"/>
      <c r="F5577" t="s">
        <v>26</v>
      </c>
      <c r="G5577" s="28">
        <f>IFERROR(VLOOKUP(F5577,CARTON_LOOKUP!$A:$E,3,0),"")</f>
      </c>
      <c r="H5577" s="28">
        <f>IFERROR(VLOOKUP(F5577,CARTON_LOOKUP!$A:$E,4,0),"")</f>
      </c>
      <c r="I5577" s="28">
        <f>IFERROR(VLOOKUP(F5577,CARTON_LOOKUP!$A:$E,5,0),"")</f>
      </c>
      <c r="J5577" s="29">
        <f>IFERROR(VLOOKUP(F5577,CARTON_LOOKUP!$A:$E,2,0),"")</f>
      </c>
      <c r="K5577" s="29">
        <f>IFERROR(J5577*D5577,0)</f>
      </c>
      <c r="L5577" s="29">
        <f>IFERROR(E5577*C5577,0)</f>
      </c>
      <c r="M5577" s="29">
        <f>IFERROR((G5577*H5577*I5577/1000000)*D5577,0)</f>
      </c>
    </row>
    <row r="5578" spans="1:13" x14ac:dyDescent="0.25">
      <c r="A5578" s="16"/>
      <c r="E5578" s="27"/>
      <c r="F5578" t="s">
        <v>26</v>
      </c>
      <c r="G5578" s="28">
        <f>IFERROR(VLOOKUP(F5578,CARTON_LOOKUP!$A:$E,3,0),"")</f>
      </c>
      <c r="H5578" s="28">
        <f>IFERROR(VLOOKUP(F5578,CARTON_LOOKUP!$A:$E,4,0),"")</f>
      </c>
      <c r="I5578" s="28">
        <f>IFERROR(VLOOKUP(F5578,CARTON_LOOKUP!$A:$E,5,0),"")</f>
      </c>
      <c r="J5578" s="29">
        <f>IFERROR(VLOOKUP(F5578,CARTON_LOOKUP!$A:$E,2,0),"")</f>
      </c>
      <c r="K5578" s="29">
        <f>IFERROR(J5578*D5578,0)</f>
      </c>
      <c r="L5578" s="29">
        <f>IFERROR(E5578*C5578,0)</f>
      </c>
      <c r="M5578" s="29">
        <f>IFERROR((G5578*H5578*I5578/1000000)*D5578,0)</f>
      </c>
    </row>
    <row r="5579" spans="1:13" x14ac:dyDescent="0.25">
      <c r="A5579" s="16"/>
      <c r="E5579" s="27"/>
      <c r="F5579" t="s">
        <v>26</v>
      </c>
      <c r="G5579" s="28">
        <f>IFERROR(VLOOKUP(F5579,CARTON_LOOKUP!$A:$E,3,0),"")</f>
      </c>
      <c r="H5579" s="28">
        <f>IFERROR(VLOOKUP(F5579,CARTON_LOOKUP!$A:$E,4,0),"")</f>
      </c>
      <c r="I5579" s="28">
        <f>IFERROR(VLOOKUP(F5579,CARTON_LOOKUP!$A:$E,5,0),"")</f>
      </c>
      <c r="J5579" s="29">
        <f>IFERROR(VLOOKUP(F5579,CARTON_LOOKUP!$A:$E,2,0),"")</f>
      </c>
      <c r="K5579" s="29">
        <f>IFERROR(J5579*D5579,0)</f>
      </c>
      <c r="L5579" s="29">
        <f>IFERROR(E5579*C5579,0)</f>
      </c>
      <c r="M5579" s="29">
        <f>IFERROR((G5579*H5579*I5579/1000000)*D5579,0)</f>
      </c>
    </row>
    <row r="5580" spans="1:13" x14ac:dyDescent="0.25">
      <c r="A5580" s="16"/>
      <c r="E5580" s="27"/>
      <c r="F5580" t="s">
        <v>26</v>
      </c>
      <c r="G5580" s="28">
        <f>IFERROR(VLOOKUP(F5580,CARTON_LOOKUP!$A:$E,3,0),"")</f>
      </c>
      <c r="H5580" s="28">
        <f>IFERROR(VLOOKUP(F5580,CARTON_LOOKUP!$A:$E,4,0),"")</f>
      </c>
      <c r="I5580" s="28">
        <f>IFERROR(VLOOKUP(F5580,CARTON_LOOKUP!$A:$E,5,0),"")</f>
      </c>
      <c r="J5580" s="29">
        <f>IFERROR(VLOOKUP(F5580,CARTON_LOOKUP!$A:$E,2,0),"")</f>
      </c>
      <c r="K5580" s="29">
        <f>IFERROR(J5580*D5580,0)</f>
      </c>
      <c r="L5580" s="29">
        <f>IFERROR(E5580*C5580,0)</f>
      </c>
      <c r="M5580" s="29">
        <f>IFERROR((G5580*H5580*I5580/1000000)*D5580,0)</f>
      </c>
    </row>
    <row r="5581" spans="1:13" x14ac:dyDescent="0.25">
      <c r="A5581" s="16"/>
      <c r="E5581" s="27"/>
      <c r="F5581" t="s">
        <v>26</v>
      </c>
      <c r="G5581" s="28">
        <f>IFERROR(VLOOKUP(F5581,CARTON_LOOKUP!$A:$E,3,0),"")</f>
      </c>
      <c r="H5581" s="28">
        <f>IFERROR(VLOOKUP(F5581,CARTON_LOOKUP!$A:$E,4,0),"")</f>
      </c>
      <c r="I5581" s="28">
        <f>IFERROR(VLOOKUP(F5581,CARTON_LOOKUP!$A:$E,5,0),"")</f>
      </c>
      <c r="J5581" s="29">
        <f>IFERROR(VLOOKUP(F5581,CARTON_LOOKUP!$A:$E,2,0),"")</f>
      </c>
      <c r="K5581" s="29">
        <f>IFERROR(J5581*D5581,0)</f>
      </c>
      <c r="L5581" s="29">
        <f>IFERROR(E5581*C5581,0)</f>
      </c>
      <c r="M5581" s="29">
        <f>IFERROR((G5581*H5581*I5581/1000000)*D5581,0)</f>
      </c>
    </row>
    <row r="5582" spans="1:13" x14ac:dyDescent="0.25">
      <c r="A5582" s="16"/>
      <c r="E5582" s="27"/>
      <c r="F5582" t="s">
        <v>26</v>
      </c>
      <c r="G5582" s="28">
        <f>IFERROR(VLOOKUP(F5582,CARTON_LOOKUP!$A:$E,3,0),"")</f>
      </c>
      <c r="H5582" s="28">
        <f>IFERROR(VLOOKUP(F5582,CARTON_LOOKUP!$A:$E,4,0),"")</f>
      </c>
      <c r="I5582" s="28">
        <f>IFERROR(VLOOKUP(F5582,CARTON_LOOKUP!$A:$E,5,0),"")</f>
      </c>
      <c r="J5582" s="29">
        <f>IFERROR(VLOOKUP(F5582,CARTON_LOOKUP!$A:$E,2,0),"")</f>
      </c>
      <c r="K5582" s="29">
        <f>IFERROR(J5582*D5582,0)</f>
      </c>
      <c r="L5582" s="29">
        <f>IFERROR(E5582*C5582,0)</f>
      </c>
      <c r="M5582" s="29">
        <f>IFERROR((G5582*H5582*I5582/1000000)*D5582,0)</f>
      </c>
    </row>
    <row r="5583" spans="1:13" x14ac:dyDescent="0.25">
      <c r="A5583" s="16"/>
      <c r="E5583" s="27"/>
      <c r="F5583" t="s">
        <v>26</v>
      </c>
      <c r="G5583" s="28">
        <f>IFERROR(VLOOKUP(F5583,CARTON_LOOKUP!$A:$E,3,0),"")</f>
      </c>
      <c r="H5583" s="28">
        <f>IFERROR(VLOOKUP(F5583,CARTON_LOOKUP!$A:$E,4,0),"")</f>
      </c>
      <c r="I5583" s="28">
        <f>IFERROR(VLOOKUP(F5583,CARTON_LOOKUP!$A:$E,5,0),"")</f>
      </c>
      <c r="J5583" s="29">
        <f>IFERROR(VLOOKUP(F5583,CARTON_LOOKUP!$A:$E,2,0),"")</f>
      </c>
      <c r="K5583" s="29">
        <f>IFERROR(J5583*D5583,0)</f>
      </c>
      <c r="L5583" s="29">
        <f>IFERROR(E5583*C5583,0)</f>
      </c>
      <c r="M5583" s="29">
        <f>IFERROR((G5583*H5583*I5583/1000000)*D5583,0)</f>
      </c>
    </row>
    <row r="5584" spans="1:13" x14ac:dyDescent="0.25">
      <c r="A5584" s="16"/>
      <c r="E5584" s="27"/>
      <c r="F5584" t="s">
        <v>26</v>
      </c>
      <c r="G5584" s="28">
        <f>IFERROR(VLOOKUP(F5584,CARTON_LOOKUP!$A:$E,3,0),"")</f>
      </c>
      <c r="H5584" s="28">
        <f>IFERROR(VLOOKUP(F5584,CARTON_LOOKUP!$A:$E,4,0),"")</f>
      </c>
      <c r="I5584" s="28">
        <f>IFERROR(VLOOKUP(F5584,CARTON_LOOKUP!$A:$E,5,0),"")</f>
      </c>
      <c r="J5584" s="29">
        <f>IFERROR(VLOOKUP(F5584,CARTON_LOOKUP!$A:$E,2,0),"")</f>
      </c>
      <c r="K5584" s="29">
        <f>IFERROR(J5584*D5584,0)</f>
      </c>
      <c r="L5584" s="29">
        <f>IFERROR(E5584*C5584,0)</f>
      </c>
      <c r="M5584" s="29">
        <f>IFERROR((G5584*H5584*I5584/1000000)*D5584,0)</f>
      </c>
    </row>
    <row r="5585" spans="1:13" x14ac:dyDescent="0.25">
      <c r="A5585" s="16"/>
      <c r="E5585" s="27"/>
      <c r="F5585" t="s">
        <v>26</v>
      </c>
      <c r="G5585" s="28">
        <f>IFERROR(VLOOKUP(F5585,CARTON_LOOKUP!$A:$E,3,0),"")</f>
      </c>
      <c r="H5585" s="28">
        <f>IFERROR(VLOOKUP(F5585,CARTON_LOOKUP!$A:$E,4,0),"")</f>
      </c>
      <c r="I5585" s="28">
        <f>IFERROR(VLOOKUP(F5585,CARTON_LOOKUP!$A:$E,5,0),"")</f>
      </c>
      <c r="J5585" s="29">
        <f>IFERROR(VLOOKUP(F5585,CARTON_LOOKUP!$A:$E,2,0),"")</f>
      </c>
      <c r="K5585" s="29">
        <f>IFERROR(J5585*D5585,0)</f>
      </c>
      <c r="L5585" s="29">
        <f>IFERROR(E5585*C5585,0)</f>
      </c>
      <c r="M5585" s="29">
        <f>IFERROR((G5585*H5585*I5585/1000000)*D5585,0)</f>
      </c>
    </row>
    <row r="5586" spans="1:13" x14ac:dyDescent="0.25">
      <c r="A5586" s="16"/>
      <c r="E5586" s="27"/>
      <c r="F5586" t="s">
        <v>26</v>
      </c>
      <c r="G5586" s="28">
        <f>IFERROR(VLOOKUP(F5586,CARTON_LOOKUP!$A:$E,3,0),"")</f>
      </c>
      <c r="H5586" s="28">
        <f>IFERROR(VLOOKUP(F5586,CARTON_LOOKUP!$A:$E,4,0),"")</f>
      </c>
      <c r="I5586" s="28">
        <f>IFERROR(VLOOKUP(F5586,CARTON_LOOKUP!$A:$E,5,0),"")</f>
      </c>
      <c r="J5586" s="29">
        <f>IFERROR(VLOOKUP(F5586,CARTON_LOOKUP!$A:$E,2,0),"")</f>
      </c>
      <c r="K5586" s="29">
        <f>IFERROR(J5586*D5586,0)</f>
      </c>
      <c r="L5586" s="29">
        <f>IFERROR(E5586*C5586,0)</f>
      </c>
      <c r="M5586" s="29">
        <f>IFERROR((G5586*H5586*I5586/1000000)*D5586,0)</f>
      </c>
    </row>
    <row r="5587" spans="1:13" x14ac:dyDescent="0.25">
      <c r="A5587" s="16"/>
      <c r="E5587" s="27"/>
      <c r="F5587" t="s">
        <v>26</v>
      </c>
      <c r="G5587" s="28">
        <f>IFERROR(VLOOKUP(F5587,CARTON_LOOKUP!$A:$E,3,0),"")</f>
      </c>
      <c r="H5587" s="28">
        <f>IFERROR(VLOOKUP(F5587,CARTON_LOOKUP!$A:$E,4,0),"")</f>
      </c>
      <c r="I5587" s="28">
        <f>IFERROR(VLOOKUP(F5587,CARTON_LOOKUP!$A:$E,5,0),"")</f>
      </c>
      <c r="J5587" s="29">
        <f>IFERROR(VLOOKUP(F5587,CARTON_LOOKUP!$A:$E,2,0),"")</f>
      </c>
      <c r="K5587" s="29">
        <f>IFERROR(J5587*D5587,0)</f>
      </c>
      <c r="L5587" s="29">
        <f>IFERROR(E5587*C5587,0)</f>
      </c>
      <c r="M5587" s="29">
        <f>IFERROR((G5587*H5587*I5587/1000000)*D5587,0)</f>
      </c>
    </row>
    <row r="5588" spans="1:13" x14ac:dyDescent="0.25">
      <c r="A5588" s="16"/>
      <c r="E5588" s="27"/>
      <c r="F5588" t="s">
        <v>26</v>
      </c>
      <c r="G5588" s="28">
        <f>IFERROR(VLOOKUP(F5588,CARTON_LOOKUP!$A:$E,3,0),"")</f>
      </c>
      <c r="H5588" s="28">
        <f>IFERROR(VLOOKUP(F5588,CARTON_LOOKUP!$A:$E,4,0),"")</f>
      </c>
      <c r="I5588" s="28">
        <f>IFERROR(VLOOKUP(F5588,CARTON_LOOKUP!$A:$E,5,0),"")</f>
      </c>
      <c r="J5588" s="29">
        <f>IFERROR(VLOOKUP(F5588,CARTON_LOOKUP!$A:$E,2,0),"")</f>
      </c>
      <c r="K5588" s="29">
        <f>IFERROR(J5588*D5588,0)</f>
      </c>
      <c r="L5588" s="29">
        <f>IFERROR(E5588*C5588,0)</f>
      </c>
      <c r="M5588" s="29">
        <f>IFERROR((G5588*H5588*I5588/1000000)*D5588,0)</f>
      </c>
    </row>
    <row r="5589" spans="1:13" x14ac:dyDescent="0.25">
      <c r="A5589" s="16"/>
      <c r="E5589" s="27"/>
      <c r="F5589" t="s">
        <v>26</v>
      </c>
      <c r="G5589" s="28">
        <f>IFERROR(VLOOKUP(F5589,CARTON_LOOKUP!$A:$E,3,0),"")</f>
      </c>
      <c r="H5589" s="28">
        <f>IFERROR(VLOOKUP(F5589,CARTON_LOOKUP!$A:$E,4,0),"")</f>
      </c>
      <c r="I5589" s="28">
        <f>IFERROR(VLOOKUP(F5589,CARTON_LOOKUP!$A:$E,5,0),"")</f>
      </c>
      <c r="J5589" s="29">
        <f>IFERROR(VLOOKUP(F5589,CARTON_LOOKUP!$A:$E,2,0),"")</f>
      </c>
      <c r="K5589" s="29">
        <f>IFERROR(J5589*D5589,0)</f>
      </c>
      <c r="L5589" s="29">
        <f>IFERROR(E5589*C5589,0)</f>
      </c>
      <c r="M5589" s="29">
        <f>IFERROR((G5589*H5589*I5589/1000000)*D5589,0)</f>
      </c>
    </row>
    <row r="5590" spans="1:13" x14ac:dyDescent="0.25">
      <c r="A5590" s="16"/>
      <c r="E5590" s="27"/>
      <c r="F5590" t="s">
        <v>26</v>
      </c>
      <c r="G5590" s="28">
        <f>IFERROR(VLOOKUP(F5590,CARTON_LOOKUP!$A:$E,3,0),"")</f>
      </c>
      <c r="H5590" s="28">
        <f>IFERROR(VLOOKUP(F5590,CARTON_LOOKUP!$A:$E,4,0),"")</f>
      </c>
      <c r="I5590" s="28">
        <f>IFERROR(VLOOKUP(F5590,CARTON_LOOKUP!$A:$E,5,0),"")</f>
      </c>
      <c r="J5590" s="29">
        <f>IFERROR(VLOOKUP(F5590,CARTON_LOOKUP!$A:$E,2,0),"")</f>
      </c>
      <c r="K5590" s="29">
        <f>IFERROR(J5590*D5590,0)</f>
      </c>
      <c r="L5590" s="29">
        <f>IFERROR(E5590*C5590,0)</f>
      </c>
      <c r="M5590" s="29">
        <f>IFERROR((G5590*H5590*I5590/1000000)*D5590,0)</f>
      </c>
    </row>
    <row r="5591" spans="1:13" x14ac:dyDescent="0.25">
      <c r="A5591" s="16"/>
      <c r="E5591" s="27"/>
      <c r="F5591" t="s">
        <v>26</v>
      </c>
      <c r="G5591" s="28">
        <f>IFERROR(VLOOKUP(F5591,CARTON_LOOKUP!$A:$E,3,0),"")</f>
      </c>
      <c r="H5591" s="28">
        <f>IFERROR(VLOOKUP(F5591,CARTON_LOOKUP!$A:$E,4,0),"")</f>
      </c>
      <c r="I5591" s="28">
        <f>IFERROR(VLOOKUP(F5591,CARTON_LOOKUP!$A:$E,5,0),"")</f>
      </c>
      <c r="J5591" s="29">
        <f>IFERROR(VLOOKUP(F5591,CARTON_LOOKUP!$A:$E,2,0),"")</f>
      </c>
      <c r="K5591" s="29">
        <f>IFERROR(J5591*D5591,0)</f>
      </c>
      <c r="L5591" s="29">
        <f>IFERROR(E5591*C5591,0)</f>
      </c>
      <c r="M5591" s="29">
        <f>IFERROR((G5591*H5591*I5591/1000000)*D5591,0)</f>
      </c>
    </row>
    <row r="5592" spans="1:13" x14ac:dyDescent="0.25">
      <c r="A5592" s="16"/>
      <c r="E5592" s="27"/>
      <c r="F5592" t="s">
        <v>26</v>
      </c>
      <c r="G5592" s="28">
        <f>IFERROR(VLOOKUP(F5592,CARTON_LOOKUP!$A:$E,3,0),"")</f>
      </c>
      <c r="H5592" s="28">
        <f>IFERROR(VLOOKUP(F5592,CARTON_LOOKUP!$A:$E,4,0),"")</f>
      </c>
      <c r="I5592" s="28">
        <f>IFERROR(VLOOKUP(F5592,CARTON_LOOKUP!$A:$E,5,0),"")</f>
      </c>
      <c r="J5592" s="29">
        <f>IFERROR(VLOOKUP(F5592,CARTON_LOOKUP!$A:$E,2,0),"")</f>
      </c>
      <c r="K5592" s="29">
        <f>IFERROR(J5592*D5592,0)</f>
      </c>
      <c r="L5592" s="29">
        <f>IFERROR(E5592*C5592,0)</f>
      </c>
      <c r="M5592" s="29">
        <f>IFERROR((G5592*H5592*I5592/1000000)*D5592,0)</f>
      </c>
    </row>
    <row r="5593" spans="1:13" x14ac:dyDescent="0.25">
      <c r="A5593" s="16"/>
      <c r="E5593" s="27"/>
      <c r="F5593" t="s">
        <v>26</v>
      </c>
      <c r="G5593" s="28">
        <f>IFERROR(VLOOKUP(F5593,CARTON_LOOKUP!$A:$E,3,0),"")</f>
      </c>
      <c r="H5593" s="28">
        <f>IFERROR(VLOOKUP(F5593,CARTON_LOOKUP!$A:$E,4,0),"")</f>
      </c>
      <c r="I5593" s="28">
        <f>IFERROR(VLOOKUP(F5593,CARTON_LOOKUP!$A:$E,5,0),"")</f>
      </c>
      <c r="J5593" s="29">
        <f>IFERROR(VLOOKUP(F5593,CARTON_LOOKUP!$A:$E,2,0),"")</f>
      </c>
      <c r="K5593" s="29">
        <f>IFERROR(J5593*D5593,0)</f>
      </c>
      <c r="L5593" s="29">
        <f>IFERROR(E5593*C5593,0)</f>
      </c>
      <c r="M5593" s="29">
        <f>IFERROR((G5593*H5593*I5593/1000000)*D5593,0)</f>
      </c>
    </row>
    <row r="5594" spans="1:13" x14ac:dyDescent="0.25">
      <c r="A5594" s="16"/>
      <c r="E5594" s="27"/>
      <c r="F5594" t="s">
        <v>26</v>
      </c>
      <c r="G5594" s="28">
        <f>IFERROR(VLOOKUP(F5594,CARTON_LOOKUP!$A:$E,3,0),"")</f>
      </c>
      <c r="H5594" s="28">
        <f>IFERROR(VLOOKUP(F5594,CARTON_LOOKUP!$A:$E,4,0),"")</f>
      </c>
      <c r="I5594" s="28">
        <f>IFERROR(VLOOKUP(F5594,CARTON_LOOKUP!$A:$E,5,0),"")</f>
      </c>
      <c r="J5594" s="29">
        <f>IFERROR(VLOOKUP(F5594,CARTON_LOOKUP!$A:$E,2,0),"")</f>
      </c>
      <c r="K5594" s="29">
        <f>IFERROR(J5594*D5594,0)</f>
      </c>
      <c r="L5594" s="29">
        <f>IFERROR(E5594*C5594,0)</f>
      </c>
      <c r="M5594" s="29">
        <f>IFERROR((G5594*H5594*I5594/1000000)*D5594,0)</f>
      </c>
    </row>
    <row r="5595" spans="1:13" x14ac:dyDescent="0.25">
      <c r="A5595" s="16"/>
      <c r="E5595" s="27"/>
      <c r="F5595" t="s">
        <v>26</v>
      </c>
      <c r="G5595" s="28">
        <f>IFERROR(VLOOKUP(F5595,CARTON_LOOKUP!$A:$E,3,0),"")</f>
      </c>
      <c r="H5595" s="28">
        <f>IFERROR(VLOOKUP(F5595,CARTON_LOOKUP!$A:$E,4,0),"")</f>
      </c>
      <c r="I5595" s="28">
        <f>IFERROR(VLOOKUP(F5595,CARTON_LOOKUP!$A:$E,5,0),"")</f>
      </c>
      <c r="J5595" s="29">
        <f>IFERROR(VLOOKUP(F5595,CARTON_LOOKUP!$A:$E,2,0),"")</f>
      </c>
      <c r="K5595" s="29">
        <f>IFERROR(J5595*D5595,0)</f>
      </c>
      <c r="L5595" s="29">
        <f>IFERROR(E5595*C5595,0)</f>
      </c>
      <c r="M5595" s="29">
        <f>IFERROR((G5595*H5595*I5595/1000000)*D5595,0)</f>
      </c>
    </row>
    <row r="5596" spans="1:13" x14ac:dyDescent="0.25">
      <c r="A5596" s="16"/>
      <c r="E5596" s="27"/>
      <c r="F5596" t="s">
        <v>26</v>
      </c>
      <c r="G5596" s="28">
        <f>IFERROR(VLOOKUP(F5596,CARTON_LOOKUP!$A:$E,3,0),"")</f>
      </c>
      <c r="H5596" s="28">
        <f>IFERROR(VLOOKUP(F5596,CARTON_LOOKUP!$A:$E,4,0),"")</f>
      </c>
      <c r="I5596" s="28">
        <f>IFERROR(VLOOKUP(F5596,CARTON_LOOKUP!$A:$E,5,0),"")</f>
      </c>
      <c r="J5596" s="29">
        <f>IFERROR(VLOOKUP(F5596,CARTON_LOOKUP!$A:$E,2,0),"")</f>
      </c>
      <c r="K5596" s="29">
        <f>IFERROR(J5596*D5596,0)</f>
      </c>
      <c r="L5596" s="29">
        <f>IFERROR(E5596*C5596,0)</f>
      </c>
      <c r="M5596" s="29">
        <f>IFERROR((G5596*H5596*I5596/1000000)*D5596,0)</f>
      </c>
    </row>
    <row r="5597" spans="1:13" x14ac:dyDescent="0.25">
      <c r="A5597" s="16"/>
      <c r="E5597" s="27"/>
      <c r="F5597" t="s">
        <v>26</v>
      </c>
      <c r="G5597" s="28">
        <f>IFERROR(VLOOKUP(F5597,CARTON_LOOKUP!$A:$E,3,0),"")</f>
      </c>
      <c r="H5597" s="28">
        <f>IFERROR(VLOOKUP(F5597,CARTON_LOOKUP!$A:$E,4,0),"")</f>
      </c>
      <c r="I5597" s="28">
        <f>IFERROR(VLOOKUP(F5597,CARTON_LOOKUP!$A:$E,5,0),"")</f>
      </c>
      <c r="J5597" s="29">
        <f>IFERROR(VLOOKUP(F5597,CARTON_LOOKUP!$A:$E,2,0),"")</f>
      </c>
      <c r="K5597" s="29">
        <f>IFERROR(J5597*D5597,0)</f>
      </c>
      <c r="L5597" s="29">
        <f>IFERROR(E5597*C5597,0)</f>
      </c>
      <c r="M5597" s="29">
        <f>IFERROR((G5597*H5597*I5597/1000000)*D5597,0)</f>
      </c>
    </row>
    <row r="5598" spans="1:13" x14ac:dyDescent="0.25">
      <c r="A5598" s="16"/>
      <c r="E5598" s="27"/>
      <c r="F5598" t="s">
        <v>26</v>
      </c>
      <c r="G5598" s="28">
        <f>IFERROR(VLOOKUP(F5598,CARTON_LOOKUP!$A:$E,3,0),"")</f>
      </c>
      <c r="H5598" s="28">
        <f>IFERROR(VLOOKUP(F5598,CARTON_LOOKUP!$A:$E,4,0),"")</f>
      </c>
      <c r="I5598" s="28">
        <f>IFERROR(VLOOKUP(F5598,CARTON_LOOKUP!$A:$E,5,0),"")</f>
      </c>
      <c r="J5598" s="29">
        <f>IFERROR(VLOOKUP(F5598,CARTON_LOOKUP!$A:$E,2,0),"")</f>
      </c>
      <c r="K5598" s="29">
        <f>IFERROR(J5598*D5598,0)</f>
      </c>
      <c r="L5598" s="29">
        <f>IFERROR(E5598*C5598,0)</f>
      </c>
      <c r="M5598" s="29">
        <f>IFERROR((G5598*H5598*I5598/1000000)*D5598,0)</f>
      </c>
    </row>
    <row r="5599" spans="1:13" x14ac:dyDescent="0.25">
      <c r="A5599" s="16"/>
      <c r="E5599" s="27"/>
      <c r="F5599" t="s">
        <v>26</v>
      </c>
      <c r="G5599" s="28">
        <f>IFERROR(VLOOKUP(F5599,CARTON_LOOKUP!$A:$E,3,0),"")</f>
      </c>
      <c r="H5599" s="28">
        <f>IFERROR(VLOOKUP(F5599,CARTON_LOOKUP!$A:$E,4,0),"")</f>
      </c>
      <c r="I5599" s="28">
        <f>IFERROR(VLOOKUP(F5599,CARTON_LOOKUP!$A:$E,5,0),"")</f>
      </c>
      <c r="J5599" s="29">
        <f>IFERROR(VLOOKUP(F5599,CARTON_LOOKUP!$A:$E,2,0),"")</f>
      </c>
      <c r="K5599" s="29">
        <f>IFERROR(J5599*D5599,0)</f>
      </c>
      <c r="L5599" s="29">
        <f>IFERROR(E5599*C5599,0)</f>
      </c>
      <c r="M5599" s="29">
        <f>IFERROR((G5599*H5599*I5599/1000000)*D5599,0)</f>
      </c>
    </row>
    <row r="5600" spans="1:13" x14ac:dyDescent="0.25">
      <c r="A5600" s="16"/>
      <c r="E5600" s="27"/>
      <c r="F5600" t="s">
        <v>26</v>
      </c>
      <c r="G5600" s="28">
        <f>IFERROR(VLOOKUP(F5600,CARTON_LOOKUP!$A:$E,3,0),"")</f>
      </c>
      <c r="H5600" s="28">
        <f>IFERROR(VLOOKUP(F5600,CARTON_LOOKUP!$A:$E,4,0),"")</f>
      </c>
      <c r="I5600" s="28">
        <f>IFERROR(VLOOKUP(F5600,CARTON_LOOKUP!$A:$E,5,0),"")</f>
      </c>
      <c r="J5600" s="29">
        <f>IFERROR(VLOOKUP(F5600,CARTON_LOOKUP!$A:$E,2,0),"")</f>
      </c>
      <c r="K5600" s="29">
        <f>IFERROR(J5600*D5600,0)</f>
      </c>
      <c r="L5600" s="29">
        <f>IFERROR(E5600*C5600,0)</f>
      </c>
      <c r="M5600" s="29">
        <f>IFERROR((G5600*H5600*I5600/1000000)*D5600,0)</f>
      </c>
    </row>
    <row r="5601" spans="1:13" x14ac:dyDescent="0.25">
      <c r="A5601" s="16"/>
      <c r="E5601" s="27"/>
      <c r="F5601" t="s">
        <v>26</v>
      </c>
      <c r="G5601" s="28">
        <f>IFERROR(VLOOKUP(F5601,CARTON_LOOKUP!$A:$E,3,0),"")</f>
      </c>
      <c r="H5601" s="28">
        <f>IFERROR(VLOOKUP(F5601,CARTON_LOOKUP!$A:$E,4,0),"")</f>
      </c>
      <c r="I5601" s="28">
        <f>IFERROR(VLOOKUP(F5601,CARTON_LOOKUP!$A:$E,5,0),"")</f>
      </c>
      <c r="J5601" s="29">
        <f>IFERROR(VLOOKUP(F5601,CARTON_LOOKUP!$A:$E,2,0),"")</f>
      </c>
      <c r="K5601" s="29">
        <f>IFERROR(J5601*D5601,0)</f>
      </c>
      <c r="L5601" s="29">
        <f>IFERROR(E5601*C5601,0)</f>
      </c>
      <c r="M5601" s="29">
        <f>IFERROR((G5601*H5601*I5601/1000000)*D5601,0)</f>
      </c>
    </row>
    <row r="5602" spans="1:13" x14ac:dyDescent="0.25">
      <c r="A5602" s="16"/>
      <c r="E5602" s="27"/>
      <c r="F5602" t="s">
        <v>26</v>
      </c>
      <c r="G5602" s="28">
        <f>IFERROR(VLOOKUP(F5602,CARTON_LOOKUP!$A:$E,3,0),"")</f>
      </c>
      <c r="H5602" s="28">
        <f>IFERROR(VLOOKUP(F5602,CARTON_LOOKUP!$A:$E,4,0),"")</f>
      </c>
      <c r="I5602" s="28">
        <f>IFERROR(VLOOKUP(F5602,CARTON_LOOKUP!$A:$E,5,0),"")</f>
      </c>
      <c r="J5602" s="29">
        <f>IFERROR(VLOOKUP(F5602,CARTON_LOOKUP!$A:$E,2,0),"")</f>
      </c>
      <c r="K5602" s="29">
        <f>IFERROR(J5602*D5602,0)</f>
      </c>
      <c r="L5602" s="29">
        <f>IFERROR(E5602*C5602,0)</f>
      </c>
      <c r="M5602" s="29">
        <f>IFERROR((G5602*H5602*I5602/1000000)*D5602,0)</f>
      </c>
    </row>
    <row r="5603" spans="1:13" x14ac:dyDescent="0.25">
      <c r="A5603" s="16"/>
      <c r="E5603" s="27"/>
      <c r="F5603" t="s">
        <v>26</v>
      </c>
      <c r="G5603" s="28">
        <f>IFERROR(VLOOKUP(F5603,CARTON_LOOKUP!$A:$E,3,0),"")</f>
      </c>
      <c r="H5603" s="28">
        <f>IFERROR(VLOOKUP(F5603,CARTON_LOOKUP!$A:$E,4,0),"")</f>
      </c>
      <c r="I5603" s="28">
        <f>IFERROR(VLOOKUP(F5603,CARTON_LOOKUP!$A:$E,5,0),"")</f>
      </c>
      <c r="J5603" s="29">
        <f>IFERROR(VLOOKUP(F5603,CARTON_LOOKUP!$A:$E,2,0),"")</f>
      </c>
      <c r="K5603" s="29">
        <f>IFERROR(J5603*D5603,0)</f>
      </c>
      <c r="L5603" s="29">
        <f>IFERROR(E5603*C5603,0)</f>
      </c>
      <c r="M5603" s="29">
        <f>IFERROR((G5603*H5603*I5603/1000000)*D5603,0)</f>
      </c>
    </row>
    <row r="5604" spans="1:13" x14ac:dyDescent="0.25">
      <c r="A5604" s="16"/>
      <c r="E5604" s="27"/>
      <c r="F5604" t="s">
        <v>26</v>
      </c>
      <c r="G5604" s="28">
        <f>IFERROR(VLOOKUP(F5604,CARTON_LOOKUP!$A:$E,3,0),"")</f>
      </c>
      <c r="H5604" s="28">
        <f>IFERROR(VLOOKUP(F5604,CARTON_LOOKUP!$A:$E,4,0),"")</f>
      </c>
      <c r="I5604" s="28">
        <f>IFERROR(VLOOKUP(F5604,CARTON_LOOKUP!$A:$E,5,0),"")</f>
      </c>
      <c r="J5604" s="29">
        <f>IFERROR(VLOOKUP(F5604,CARTON_LOOKUP!$A:$E,2,0),"")</f>
      </c>
      <c r="K5604" s="29">
        <f>IFERROR(J5604*D5604,0)</f>
      </c>
      <c r="L5604" s="29">
        <f>IFERROR(E5604*C5604,0)</f>
      </c>
      <c r="M5604" s="29">
        <f>IFERROR((G5604*H5604*I5604/1000000)*D5604,0)</f>
      </c>
    </row>
    <row r="5605" spans="1:13" x14ac:dyDescent="0.25">
      <c r="A5605" s="16"/>
      <c r="E5605" s="27"/>
      <c r="F5605" t="s">
        <v>26</v>
      </c>
      <c r="G5605" s="28">
        <f>IFERROR(VLOOKUP(F5605,CARTON_LOOKUP!$A:$E,3,0),"")</f>
      </c>
      <c r="H5605" s="28">
        <f>IFERROR(VLOOKUP(F5605,CARTON_LOOKUP!$A:$E,4,0),"")</f>
      </c>
      <c r="I5605" s="28">
        <f>IFERROR(VLOOKUP(F5605,CARTON_LOOKUP!$A:$E,5,0),"")</f>
      </c>
      <c r="J5605" s="29">
        <f>IFERROR(VLOOKUP(F5605,CARTON_LOOKUP!$A:$E,2,0),"")</f>
      </c>
      <c r="K5605" s="29">
        <f>IFERROR(J5605*D5605,0)</f>
      </c>
      <c r="L5605" s="29">
        <f>IFERROR(E5605*C5605,0)</f>
      </c>
      <c r="M5605" s="29">
        <f>IFERROR((G5605*H5605*I5605/1000000)*D5605,0)</f>
      </c>
    </row>
    <row r="5606" spans="1:13" x14ac:dyDescent="0.25">
      <c r="A5606" s="16"/>
      <c r="E5606" s="27"/>
      <c r="F5606" t="s">
        <v>26</v>
      </c>
      <c r="G5606" s="28">
        <f>IFERROR(VLOOKUP(F5606,CARTON_LOOKUP!$A:$E,3,0),"")</f>
      </c>
      <c r="H5606" s="28">
        <f>IFERROR(VLOOKUP(F5606,CARTON_LOOKUP!$A:$E,4,0),"")</f>
      </c>
      <c r="I5606" s="28">
        <f>IFERROR(VLOOKUP(F5606,CARTON_LOOKUP!$A:$E,5,0),"")</f>
      </c>
      <c r="J5606" s="29">
        <f>IFERROR(VLOOKUP(F5606,CARTON_LOOKUP!$A:$E,2,0),"")</f>
      </c>
      <c r="K5606" s="29">
        <f>IFERROR(J5606*D5606,0)</f>
      </c>
      <c r="L5606" s="29">
        <f>IFERROR(E5606*C5606,0)</f>
      </c>
      <c r="M5606" s="29">
        <f>IFERROR((G5606*H5606*I5606/1000000)*D5606,0)</f>
      </c>
    </row>
    <row r="5607" spans="1:13" x14ac:dyDescent="0.25">
      <c r="A5607" s="16"/>
      <c r="E5607" s="27"/>
      <c r="F5607" t="s">
        <v>26</v>
      </c>
      <c r="G5607" s="28">
        <f>IFERROR(VLOOKUP(F5607,CARTON_LOOKUP!$A:$E,3,0),"")</f>
      </c>
      <c r="H5607" s="28">
        <f>IFERROR(VLOOKUP(F5607,CARTON_LOOKUP!$A:$E,4,0),"")</f>
      </c>
      <c r="I5607" s="28">
        <f>IFERROR(VLOOKUP(F5607,CARTON_LOOKUP!$A:$E,5,0),"")</f>
      </c>
      <c r="J5607" s="29">
        <f>IFERROR(VLOOKUP(F5607,CARTON_LOOKUP!$A:$E,2,0),"")</f>
      </c>
      <c r="K5607" s="29">
        <f>IFERROR(J5607*D5607,0)</f>
      </c>
      <c r="L5607" s="29">
        <f>IFERROR(E5607*C5607,0)</f>
      </c>
      <c r="M5607" s="29">
        <f>IFERROR((G5607*H5607*I5607/1000000)*D5607,0)</f>
      </c>
    </row>
    <row r="5608" spans="1:13" x14ac:dyDescent="0.25">
      <c r="A5608" s="16"/>
      <c r="E5608" s="27"/>
      <c r="F5608" t="s">
        <v>26</v>
      </c>
      <c r="G5608" s="28">
        <f>IFERROR(VLOOKUP(F5608,CARTON_LOOKUP!$A:$E,3,0),"")</f>
      </c>
      <c r="H5608" s="28">
        <f>IFERROR(VLOOKUP(F5608,CARTON_LOOKUP!$A:$E,4,0),"")</f>
      </c>
      <c r="I5608" s="28">
        <f>IFERROR(VLOOKUP(F5608,CARTON_LOOKUP!$A:$E,5,0),"")</f>
      </c>
      <c r="J5608" s="29">
        <f>IFERROR(VLOOKUP(F5608,CARTON_LOOKUP!$A:$E,2,0),"")</f>
      </c>
      <c r="K5608" s="29">
        <f>IFERROR(J5608*D5608,0)</f>
      </c>
      <c r="L5608" s="29">
        <f>IFERROR(E5608*C5608,0)</f>
      </c>
      <c r="M5608" s="29">
        <f>IFERROR((G5608*H5608*I5608/1000000)*D5608,0)</f>
      </c>
    </row>
    <row r="5609" spans="1:13" x14ac:dyDescent="0.25">
      <c r="A5609" s="16"/>
      <c r="E5609" s="27"/>
      <c r="F5609" t="s">
        <v>26</v>
      </c>
      <c r="G5609" s="28">
        <f>IFERROR(VLOOKUP(F5609,CARTON_LOOKUP!$A:$E,3,0),"")</f>
      </c>
      <c r="H5609" s="28">
        <f>IFERROR(VLOOKUP(F5609,CARTON_LOOKUP!$A:$E,4,0),"")</f>
      </c>
      <c r="I5609" s="28">
        <f>IFERROR(VLOOKUP(F5609,CARTON_LOOKUP!$A:$E,5,0),"")</f>
      </c>
      <c r="J5609" s="29">
        <f>IFERROR(VLOOKUP(F5609,CARTON_LOOKUP!$A:$E,2,0),"")</f>
      </c>
      <c r="K5609" s="29">
        <f>IFERROR(J5609*D5609,0)</f>
      </c>
      <c r="L5609" s="29">
        <f>IFERROR(E5609*C5609,0)</f>
      </c>
      <c r="M5609" s="29">
        <f>IFERROR((G5609*H5609*I5609/1000000)*D5609,0)</f>
      </c>
    </row>
    <row r="5610" spans="1:13" x14ac:dyDescent="0.25">
      <c r="A5610" s="16"/>
      <c r="E5610" s="27"/>
      <c r="F5610" t="s">
        <v>26</v>
      </c>
      <c r="G5610" s="28">
        <f>IFERROR(VLOOKUP(F5610,CARTON_LOOKUP!$A:$E,3,0),"")</f>
      </c>
      <c r="H5610" s="28">
        <f>IFERROR(VLOOKUP(F5610,CARTON_LOOKUP!$A:$E,4,0),"")</f>
      </c>
      <c r="I5610" s="28">
        <f>IFERROR(VLOOKUP(F5610,CARTON_LOOKUP!$A:$E,5,0),"")</f>
      </c>
      <c r="J5610" s="29">
        <f>IFERROR(VLOOKUP(F5610,CARTON_LOOKUP!$A:$E,2,0),"")</f>
      </c>
      <c r="K5610" s="29">
        <f>IFERROR(J5610*D5610,0)</f>
      </c>
      <c r="L5610" s="29">
        <f>IFERROR(E5610*C5610,0)</f>
      </c>
      <c r="M5610" s="29">
        <f>IFERROR((G5610*H5610*I5610/1000000)*D5610,0)</f>
      </c>
    </row>
    <row r="5611" spans="1:13" x14ac:dyDescent="0.25">
      <c r="A5611" s="16"/>
      <c r="E5611" s="27"/>
      <c r="F5611" t="s">
        <v>26</v>
      </c>
      <c r="G5611" s="28">
        <f>IFERROR(VLOOKUP(F5611,CARTON_LOOKUP!$A:$E,3,0),"")</f>
      </c>
      <c r="H5611" s="28">
        <f>IFERROR(VLOOKUP(F5611,CARTON_LOOKUP!$A:$E,4,0),"")</f>
      </c>
      <c r="I5611" s="28">
        <f>IFERROR(VLOOKUP(F5611,CARTON_LOOKUP!$A:$E,5,0),"")</f>
      </c>
      <c r="J5611" s="29">
        <f>IFERROR(VLOOKUP(F5611,CARTON_LOOKUP!$A:$E,2,0),"")</f>
      </c>
      <c r="K5611" s="29">
        <f>IFERROR(J5611*D5611,0)</f>
      </c>
      <c r="L5611" s="29">
        <f>IFERROR(E5611*C5611,0)</f>
      </c>
      <c r="M5611" s="29">
        <f>IFERROR((G5611*H5611*I5611/1000000)*D5611,0)</f>
      </c>
    </row>
    <row r="5612" spans="1:13" x14ac:dyDescent="0.25">
      <c r="A5612" s="16"/>
      <c r="E5612" s="27"/>
      <c r="F5612" t="s">
        <v>26</v>
      </c>
      <c r="G5612" s="28">
        <f>IFERROR(VLOOKUP(F5612,CARTON_LOOKUP!$A:$E,3,0),"")</f>
      </c>
      <c r="H5612" s="28">
        <f>IFERROR(VLOOKUP(F5612,CARTON_LOOKUP!$A:$E,4,0),"")</f>
      </c>
      <c r="I5612" s="28">
        <f>IFERROR(VLOOKUP(F5612,CARTON_LOOKUP!$A:$E,5,0),"")</f>
      </c>
      <c r="J5612" s="29">
        <f>IFERROR(VLOOKUP(F5612,CARTON_LOOKUP!$A:$E,2,0),"")</f>
      </c>
      <c r="K5612" s="29">
        <f>IFERROR(J5612*D5612,0)</f>
      </c>
      <c r="L5612" s="29">
        <f>IFERROR(E5612*C5612,0)</f>
      </c>
      <c r="M5612" s="29">
        <f>IFERROR((G5612*H5612*I5612/1000000)*D5612,0)</f>
      </c>
    </row>
    <row r="5613" spans="1:13" x14ac:dyDescent="0.25">
      <c r="A5613" s="16"/>
      <c r="E5613" s="27"/>
      <c r="F5613" t="s">
        <v>26</v>
      </c>
      <c r="G5613" s="28">
        <f>IFERROR(VLOOKUP(F5613,CARTON_LOOKUP!$A:$E,3,0),"")</f>
      </c>
      <c r="H5613" s="28">
        <f>IFERROR(VLOOKUP(F5613,CARTON_LOOKUP!$A:$E,4,0),"")</f>
      </c>
      <c r="I5613" s="28">
        <f>IFERROR(VLOOKUP(F5613,CARTON_LOOKUP!$A:$E,5,0),"")</f>
      </c>
      <c r="J5613" s="29">
        <f>IFERROR(VLOOKUP(F5613,CARTON_LOOKUP!$A:$E,2,0),"")</f>
      </c>
      <c r="K5613" s="29">
        <f>IFERROR(J5613*D5613,0)</f>
      </c>
      <c r="L5613" s="29">
        <f>IFERROR(E5613*C5613,0)</f>
      </c>
      <c r="M5613" s="29">
        <f>IFERROR((G5613*H5613*I5613/1000000)*D5613,0)</f>
      </c>
    </row>
    <row r="5614" spans="1:13" x14ac:dyDescent="0.25">
      <c r="A5614" s="16"/>
      <c r="E5614" s="27"/>
      <c r="F5614" t="s">
        <v>26</v>
      </c>
      <c r="G5614" s="28">
        <f>IFERROR(VLOOKUP(F5614,CARTON_LOOKUP!$A:$E,3,0),"")</f>
      </c>
      <c r="H5614" s="28">
        <f>IFERROR(VLOOKUP(F5614,CARTON_LOOKUP!$A:$E,4,0),"")</f>
      </c>
      <c r="I5614" s="28">
        <f>IFERROR(VLOOKUP(F5614,CARTON_LOOKUP!$A:$E,5,0),"")</f>
      </c>
      <c r="J5614" s="29">
        <f>IFERROR(VLOOKUP(F5614,CARTON_LOOKUP!$A:$E,2,0),"")</f>
      </c>
      <c r="K5614" s="29">
        <f>IFERROR(J5614*D5614,0)</f>
      </c>
      <c r="L5614" s="29">
        <f>IFERROR(E5614*C5614,0)</f>
      </c>
      <c r="M5614" s="29">
        <f>IFERROR((G5614*H5614*I5614/1000000)*D5614,0)</f>
      </c>
    </row>
    <row r="5615" spans="1:13" x14ac:dyDescent="0.25">
      <c r="A5615" s="16"/>
      <c r="E5615" s="27"/>
      <c r="F5615" t="s">
        <v>26</v>
      </c>
      <c r="G5615" s="28">
        <f>IFERROR(VLOOKUP(F5615,CARTON_LOOKUP!$A:$E,3,0),"")</f>
      </c>
      <c r="H5615" s="28">
        <f>IFERROR(VLOOKUP(F5615,CARTON_LOOKUP!$A:$E,4,0),"")</f>
      </c>
      <c r="I5615" s="28">
        <f>IFERROR(VLOOKUP(F5615,CARTON_LOOKUP!$A:$E,5,0),"")</f>
      </c>
      <c r="J5615" s="29">
        <f>IFERROR(VLOOKUP(F5615,CARTON_LOOKUP!$A:$E,2,0),"")</f>
      </c>
      <c r="K5615" s="29">
        <f>IFERROR(J5615*D5615,0)</f>
      </c>
      <c r="L5615" s="29">
        <f>IFERROR(E5615*C5615,0)</f>
      </c>
      <c r="M5615" s="29">
        <f>IFERROR((G5615*H5615*I5615/1000000)*D5615,0)</f>
      </c>
    </row>
    <row r="5616" spans="1:13" x14ac:dyDescent="0.25">
      <c r="A5616" s="16"/>
      <c r="E5616" s="27"/>
      <c r="F5616" t="s">
        <v>26</v>
      </c>
      <c r="G5616" s="28">
        <f>IFERROR(VLOOKUP(F5616,CARTON_LOOKUP!$A:$E,3,0),"")</f>
      </c>
      <c r="H5616" s="28">
        <f>IFERROR(VLOOKUP(F5616,CARTON_LOOKUP!$A:$E,4,0),"")</f>
      </c>
      <c r="I5616" s="28">
        <f>IFERROR(VLOOKUP(F5616,CARTON_LOOKUP!$A:$E,5,0),"")</f>
      </c>
      <c r="J5616" s="29">
        <f>IFERROR(VLOOKUP(F5616,CARTON_LOOKUP!$A:$E,2,0),"")</f>
      </c>
      <c r="K5616" s="29">
        <f>IFERROR(J5616*D5616,0)</f>
      </c>
      <c r="L5616" s="29">
        <f>IFERROR(E5616*C5616,0)</f>
      </c>
      <c r="M5616" s="29">
        <f>IFERROR((G5616*H5616*I5616/1000000)*D5616,0)</f>
      </c>
    </row>
    <row r="5617" spans="1:13" x14ac:dyDescent="0.25">
      <c r="A5617" s="16"/>
      <c r="E5617" s="27"/>
      <c r="F5617" t="s">
        <v>26</v>
      </c>
      <c r="G5617" s="28">
        <f>IFERROR(VLOOKUP(F5617,CARTON_LOOKUP!$A:$E,3,0),"")</f>
      </c>
      <c r="H5617" s="28">
        <f>IFERROR(VLOOKUP(F5617,CARTON_LOOKUP!$A:$E,4,0),"")</f>
      </c>
      <c r="I5617" s="28">
        <f>IFERROR(VLOOKUP(F5617,CARTON_LOOKUP!$A:$E,5,0),"")</f>
      </c>
      <c r="J5617" s="29">
        <f>IFERROR(VLOOKUP(F5617,CARTON_LOOKUP!$A:$E,2,0),"")</f>
      </c>
      <c r="K5617" s="29">
        <f>IFERROR(J5617*D5617,0)</f>
      </c>
      <c r="L5617" s="29">
        <f>IFERROR(E5617*C5617,0)</f>
      </c>
      <c r="M5617" s="29">
        <f>IFERROR((G5617*H5617*I5617/1000000)*D5617,0)</f>
      </c>
    </row>
    <row r="5618" spans="1:13" x14ac:dyDescent="0.25">
      <c r="A5618" s="16"/>
      <c r="E5618" s="27"/>
      <c r="F5618" t="s">
        <v>26</v>
      </c>
      <c r="G5618" s="28">
        <f>IFERROR(VLOOKUP(F5618,CARTON_LOOKUP!$A:$E,3,0),"")</f>
      </c>
      <c r="H5618" s="28">
        <f>IFERROR(VLOOKUP(F5618,CARTON_LOOKUP!$A:$E,4,0),"")</f>
      </c>
      <c r="I5618" s="28">
        <f>IFERROR(VLOOKUP(F5618,CARTON_LOOKUP!$A:$E,5,0),"")</f>
      </c>
      <c r="J5618" s="29">
        <f>IFERROR(VLOOKUP(F5618,CARTON_LOOKUP!$A:$E,2,0),"")</f>
      </c>
      <c r="K5618" s="29">
        <f>IFERROR(J5618*D5618,0)</f>
      </c>
      <c r="L5618" s="29">
        <f>IFERROR(E5618*C5618,0)</f>
      </c>
      <c r="M5618" s="29">
        <f>IFERROR((G5618*H5618*I5618/1000000)*D5618,0)</f>
      </c>
    </row>
    <row r="5619" spans="1:13" x14ac:dyDescent="0.25">
      <c r="A5619" s="16"/>
      <c r="E5619" s="27"/>
      <c r="F5619" t="s">
        <v>26</v>
      </c>
      <c r="G5619" s="28">
        <f>IFERROR(VLOOKUP(F5619,CARTON_LOOKUP!$A:$E,3,0),"")</f>
      </c>
      <c r="H5619" s="28">
        <f>IFERROR(VLOOKUP(F5619,CARTON_LOOKUP!$A:$E,4,0),"")</f>
      </c>
      <c r="I5619" s="28">
        <f>IFERROR(VLOOKUP(F5619,CARTON_LOOKUP!$A:$E,5,0),"")</f>
      </c>
      <c r="J5619" s="29">
        <f>IFERROR(VLOOKUP(F5619,CARTON_LOOKUP!$A:$E,2,0),"")</f>
      </c>
      <c r="K5619" s="29">
        <f>IFERROR(J5619*D5619,0)</f>
      </c>
      <c r="L5619" s="29">
        <f>IFERROR(E5619*C5619,0)</f>
      </c>
      <c r="M5619" s="29">
        <f>IFERROR((G5619*H5619*I5619/1000000)*D5619,0)</f>
      </c>
    </row>
    <row r="5620" spans="1:13" x14ac:dyDescent="0.25">
      <c r="A5620" s="16"/>
      <c r="E5620" s="27"/>
      <c r="F5620" t="s">
        <v>26</v>
      </c>
      <c r="G5620" s="28">
        <f>IFERROR(VLOOKUP(F5620,CARTON_LOOKUP!$A:$E,3,0),"")</f>
      </c>
      <c r="H5620" s="28">
        <f>IFERROR(VLOOKUP(F5620,CARTON_LOOKUP!$A:$E,4,0),"")</f>
      </c>
      <c r="I5620" s="28">
        <f>IFERROR(VLOOKUP(F5620,CARTON_LOOKUP!$A:$E,5,0),"")</f>
      </c>
      <c r="J5620" s="29">
        <f>IFERROR(VLOOKUP(F5620,CARTON_LOOKUP!$A:$E,2,0),"")</f>
      </c>
      <c r="K5620" s="29">
        <f>IFERROR(J5620*D5620,0)</f>
      </c>
      <c r="L5620" s="29">
        <f>IFERROR(E5620*C5620,0)</f>
      </c>
      <c r="M5620" s="29">
        <f>IFERROR((G5620*H5620*I5620/1000000)*D5620,0)</f>
      </c>
    </row>
    <row r="5621" spans="1:13" x14ac:dyDescent="0.25">
      <c r="A5621" s="16"/>
      <c r="E5621" s="27"/>
      <c r="F5621" t="s">
        <v>26</v>
      </c>
      <c r="G5621" s="28">
        <f>IFERROR(VLOOKUP(F5621,CARTON_LOOKUP!$A:$E,3,0),"")</f>
      </c>
      <c r="H5621" s="28">
        <f>IFERROR(VLOOKUP(F5621,CARTON_LOOKUP!$A:$E,4,0),"")</f>
      </c>
      <c r="I5621" s="28">
        <f>IFERROR(VLOOKUP(F5621,CARTON_LOOKUP!$A:$E,5,0),"")</f>
      </c>
      <c r="J5621" s="29">
        <f>IFERROR(VLOOKUP(F5621,CARTON_LOOKUP!$A:$E,2,0),"")</f>
      </c>
      <c r="K5621" s="29">
        <f>IFERROR(J5621*D5621,0)</f>
      </c>
      <c r="L5621" s="29">
        <f>IFERROR(E5621*C5621,0)</f>
      </c>
      <c r="M5621" s="29">
        <f>IFERROR((G5621*H5621*I5621/1000000)*D5621,0)</f>
      </c>
    </row>
    <row r="5622" spans="1:13" x14ac:dyDescent="0.25">
      <c r="A5622" s="16"/>
      <c r="E5622" s="27"/>
      <c r="F5622" t="s">
        <v>26</v>
      </c>
      <c r="G5622" s="28">
        <f>IFERROR(VLOOKUP(F5622,CARTON_LOOKUP!$A:$E,3,0),"")</f>
      </c>
      <c r="H5622" s="28">
        <f>IFERROR(VLOOKUP(F5622,CARTON_LOOKUP!$A:$E,4,0),"")</f>
      </c>
      <c r="I5622" s="28">
        <f>IFERROR(VLOOKUP(F5622,CARTON_LOOKUP!$A:$E,5,0),"")</f>
      </c>
      <c r="J5622" s="29">
        <f>IFERROR(VLOOKUP(F5622,CARTON_LOOKUP!$A:$E,2,0),"")</f>
      </c>
      <c r="K5622" s="29">
        <f>IFERROR(J5622*D5622,0)</f>
      </c>
      <c r="L5622" s="29">
        <f>IFERROR(E5622*C5622,0)</f>
      </c>
      <c r="M5622" s="29">
        <f>IFERROR((G5622*H5622*I5622/1000000)*D5622,0)</f>
      </c>
    </row>
    <row r="5623" spans="1:13" x14ac:dyDescent="0.25">
      <c r="A5623" s="16"/>
      <c r="E5623" s="27"/>
      <c r="F5623" t="s">
        <v>26</v>
      </c>
      <c r="G5623" s="28">
        <f>IFERROR(VLOOKUP(F5623,CARTON_LOOKUP!$A:$E,3,0),"")</f>
      </c>
      <c r="H5623" s="28">
        <f>IFERROR(VLOOKUP(F5623,CARTON_LOOKUP!$A:$E,4,0),"")</f>
      </c>
      <c r="I5623" s="28">
        <f>IFERROR(VLOOKUP(F5623,CARTON_LOOKUP!$A:$E,5,0),"")</f>
      </c>
      <c r="J5623" s="29">
        <f>IFERROR(VLOOKUP(F5623,CARTON_LOOKUP!$A:$E,2,0),"")</f>
      </c>
      <c r="K5623" s="29">
        <f>IFERROR(J5623*D5623,0)</f>
      </c>
      <c r="L5623" s="29">
        <f>IFERROR(E5623*C5623,0)</f>
      </c>
      <c r="M5623" s="29">
        <f>IFERROR((G5623*H5623*I5623/1000000)*D5623,0)</f>
      </c>
    </row>
    <row r="5624" spans="1:13" x14ac:dyDescent="0.25">
      <c r="A5624" s="16"/>
      <c r="E5624" s="27"/>
      <c r="F5624" t="s">
        <v>26</v>
      </c>
      <c r="G5624" s="28">
        <f>IFERROR(VLOOKUP(F5624,CARTON_LOOKUP!$A:$E,3,0),"")</f>
      </c>
      <c r="H5624" s="28">
        <f>IFERROR(VLOOKUP(F5624,CARTON_LOOKUP!$A:$E,4,0),"")</f>
      </c>
      <c r="I5624" s="28">
        <f>IFERROR(VLOOKUP(F5624,CARTON_LOOKUP!$A:$E,5,0),"")</f>
      </c>
      <c r="J5624" s="29">
        <f>IFERROR(VLOOKUP(F5624,CARTON_LOOKUP!$A:$E,2,0),"")</f>
      </c>
      <c r="K5624" s="29">
        <f>IFERROR(J5624*D5624,0)</f>
      </c>
      <c r="L5624" s="29">
        <f>IFERROR(E5624*C5624,0)</f>
      </c>
      <c r="M5624" s="29">
        <f>IFERROR((G5624*H5624*I5624/1000000)*D5624,0)</f>
      </c>
    </row>
    <row r="5625" spans="1:13" x14ac:dyDescent="0.25">
      <c r="A5625" s="16"/>
      <c r="E5625" s="27"/>
      <c r="F5625" t="s">
        <v>26</v>
      </c>
      <c r="G5625" s="28">
        <f>IFERROR(VLOOKUP(F5625,CARTON_LOOKUP!$A:$E,3,0),"")</f>
      </c>
      <c r="H5625" s="28">
        <f>IFERROR(VLOOKUP(F5625,CARTON_LOOKUP!$A:$E,4,0),"")</f>
      </c>
      <c r="I5625" s="28">
        <f>IFERROR(VLOOKUP(F5625,CARTON_LOOKUP!$A:$E,5,0),"")</f>
      </c>
      <c r="J5625" s="29">
        <f>IFERROR(VLOOKUP(F5625,CARTON_LOOKUP!$A:$E,2,0),"")</f>
      </c>
      <c r="K5625" s="29">
        <f>IFERROR(J5625*D5625,0)</f>
      </c>
      <c r="L5625" s="29">
        <f>IFERROR(E5625*C5625,0)</f>
      </c>
      <c r="M5625" s="29">
        <f>IFERROR((G5625*H5625*I5625/1000000)*D5625,0)</f>
      </c>
    </row>
    <row r="5626" spans="1:13" x14ac:dyDescent="0.25">
      <c r="A5626" s="16"/>
      <c r="E5626" s="27"/>
      <c r="F5626" t="s">
        <v>26</v>
      </c>
      <c r="G5626" s="28">
        <f>IFERROR(VLOOKUP(F5626,CARTON_LOOKUP!$A:$E,3,0),"")</f>
      </c>
      <c r="H5626" s="28">
        <f>IFERROR(VLOOKUP(F5626,CARTON_LOOKUP!$A:$E,4,0),"")</f>
      </c>
      <c r="I5626" s="28">
        <f>IFERROR(VLOOKUP(F5626,CARTON_LOOKUP!$A:$E,5,0),"")</f>
      </c>
      <c r="J5626" s="29">
        <f>IFERROR(VLOOKUP(F5626,CARTON_LOOKUP!$A:$E,2,0),"")</f>
      </c>
      <c r="K5626" s="29">
        <f>IFERROR(J5626*D5626,0)</f>
      </c>
      <c r="L5626" s="29">
        <f>IFERROR(E5626*C5626,0)</f>
      </c>
      <c r="M5626" s="29">
        <f>IFERROR((G5626*H5626*I5626/1000000)*D5626,0)</f>
      </c>
    </row>
    <row r="5627" spans="1:13" x14ac:dyDescent="0.25">
      <c r="A5627" s="16"/>
      <c r="E5627" s="27"/>
      <c r="F5627" t="s">
        <v>26</v>
      </c>
      <c r="G5627" s="28">
        <f>IFERROR(VLOOKUP(F5627,CARTON_LOOKUP!$A:$E,3,0),"")</f>
      </c>
      <c r="H5627" s="28">
        <f>IFERROR(VLOOKUP(F5627,CARTON_LOOKUP!$A:$E,4,0),"")</f>
      </c>
      <c r="I5627" s="28">
        <f>IFERROR(VLOOKUP(F5627,CARTON_LOOKUP!$A:$E,5,0),"")</f>
      </c>
      <c r="J5627" s="29">
        <f>IFERROR(VLOOKUP(F5627,CARTON_LOOKUP!$A:$E,2,0),"")</f>
      </c>
      <c r="K5627" s="29">
        <f>IFERROR(J5627*D5627,0)</f>
      </c>
      <c r="L5627" s="29">
        <f>IFERROR(E5627*C5627,0)</f>
      </c>
      <c r="M5627" s="29">
        <f>IFERROR((G5627*H5627*I5627/1000000)*D5627,0)</f>
      </c>
    </row>
    <row r="5628" spans="1:13" x14ac:dyDescent="0.25">
      <c r="A5628" s="16"/>
      <c r="E5628" s="27"/>
      <c r="F5628" t="s">
        <v>26</v>
      </c>
      <c r="G5628" s="28">
        <f>IFERROR(VLOOKUP(F5628,CARTON_LOOKUP!$A:$E,3,0),"")</f>
      </c>
      <c r="H5628" s="28">
        <f>IFERROR(VLOOKUP(F5628,CARTON_LOOKUP!$A:$E,4,0),"")</f>
      </c>
      <c r="I5628" s="28">
        <f>IFERROR(VLOOKUP(F5628,CARTON_LOOKUP!$A:$E,5,0),"")</f>
      </c>
      <c r="J5628" s="29">
        <f>IFERROR(VLOOKUP(F5628,CARTON_LOOKUP!$A:$E,2,0),"")</f>
      </c>
      <c r="K5628" s="29">
        <f>IFERROR(J5628*D5628,0)</f>
      </c>
      <c r="L5628" s="29">
        <f>IFERROR(E5628*C5628,0)</f>
      </c>
      <c r="M5628" s="29">
        <f>IFERROR((G5628*H5628*I5628/1000000)*D5628,0)</f>
      </c>
    </row>
    <row r="5629" spans="1:13" x14ac:dyDescent="0.25">
      <c r="A5629" s="16"/>
      <c r="E5629" s="27"/>
      <c r="F5629" t="s">
        <v>26</v>
      </c>
      <c r="G5629" s="28">
        <f>IFERROR(VLOOKUP(F5629,CARTON_LOOKUP!$A:$E,3,0),"")</f>
      </c>
      <c r="H5629" s="28">
        <f>IFERROR(VLOOKUP(F5629,CARTON_LOOKUP!$A:$E,4,0),"")</f>
      </c>
      <c r="I5629" s="28">
        <f>IFERROR(VLOOKUP(F5629,CARTON_LOOKUP!$A:$E,5,0),"")</f>
      </c>
      <c r="J5629" s="29">
        <f>IFERROR(VLOOKUP(F5629,CARTON_LOOKUP!$A:$E,2,0),"")</f>
      </c>
      <c r="K5629" s="29">
        <f>IFERROR(J5629*D5629,0)</f>
      </c>
      <c r="L5629" s="29">
        <f>IFERROR(E5629*C5629,0)</f>
      </c>
      <c r="M5629" s="29">
        <f>IFERROR((G5629*H5629*I5629/1000000)*D5629,0)</f>
      </c>
    </row>
    <row r="5630" spans="1:13" x14ac:dyDescent="0.25">
      <c r="A5630" s="16"/>
      <c r="E5630" s="27"/>
      <c r="F5630" t="s">
        <v>26</v>
      </c>
      <c r="G5630" s="28">
        <f>IFERROR(VLOOKUP(F5630,CARTON_LOOKUP!$A:$E,3,0),"")</f>
      </c>
      <c r="H5630" s="28">
        <f>IFERROR(VLOOKUP(F5630,CARTON_LOOKUP!$A:$E,4,0),"")</f>
      </c>
      <c r="I5630" s="28">
        <f>IFERROR(VLOOKUP(F5630,CARTON_LOOKUP!$A:$E,5,0),"")</f>
      </c>
      <c r="J5630" s="29">
        <f>IFERROR(VLOOKUP(F5630,CARTON_LOOKUP!$A:$E,2,0),"")</f>
      </c>
      <c r="K5630" s="29">
        <f>IFERROR(J5630*D5630,0)</f>
      </c>
      <c r="L5630" s="29">
        <f>IFERROR(E5630*C5630,0)</f>
      </c>
      <c r="M5630" s="29">
        <f>IFERROR((G5630*H5630*I5630/1000000)*D5630,0)</f>
      </c>
    </row>
    <row r="5631" spans="1:13" x14ac:dyDescent="0.25">
      <c r="A5631" s="16"/>
      <c r="E5631" s="27"/>
      <c r="F5631" t="s">
        <v>26</v>
      </c>
      <c r="G5631" s="28">
        <f>IFERROR(VLOOKUP(F5631,CARTON_LOOKUP!$A:$E,3,0),"")</f>
      </c>
      <c r="H5631" s="28">
        <f>IFERROR(VLOOKUP(F5631,CARTON_LOOKUP!$A:$E,4,0),"")</f>
      </c>
      <c r="I5631" s="28">
        <f>IFERROR(VLOOKUP(F5631,CARTON_LOOKUP!$A:$E,5,0),"")</f>
      </c>
      <c r="J5631" s="29">
        <f>IFERROR(VLOOKUP(F5631,CARTON_LOOKUP!$A:$E,2,0),"")</f>
      </c>
      <c r="K5631" s="29">
        <f>IFERROR(J5631*D5631,0)</f>
      </c>
      <c r="L5631" s="29">
        <f>IFERROR(E5631*C5631,0)</f>
      </c>
      <c r="M5631" s="29">
        <f>IFERROR((G5631*H5631*I5631/1000000)*D5631,0)</f>
      </c>
    </row>
    <row r="5632" spans="1:13" x14ac:dyDescent="0.25">
      <c r="A5632" s="16"/>
      <c r="E5632" s="27"/>
      <c r="F5632" t="s">
        <v>26</v>
      </c>
      <c r="G5632" s="28">
        <f>IFERROR(VLOOKUP(F5632,CARTON_LOOKUP!$A:$E,3,0),"")</f>
      </c>
      <c r="H5632" s="28">
        <f>IFERROR(VLOOKUP(F5632,CARTON_LOOKUP!$A:$E,4,0),"")</f>
      </c>
      <c r="I5632" s="28">
        <f>IFERROR(VLOOKUP(F5632,CARTON_LOOKUP!$A:$E,5,0),"")</f>
      </c>
      <c r="J5632" s="29">
        <f>IFERROR(VLOOKUP(F5632,CARTON_LOOKUP!$A:$E,2,0),"")</f>
      </c>
      <c r="K5632" s="29">
        <f>IFERROR(J5632*D5632,0)</f>
      </c>
      <c r="L5632" s="29">
        <f>IFERROR(E5632*C5632,0)</f>
      </c>
      <c r="M5632" s="29">
        <f>IFERROR((G5632*H5632*I5632/1000000)*D5632,0)</f>
      </c>
    </row>
    <row r="5633" spans="1:13" x14ac:dyDescent="0.25">
      <c r="A5633" s="16"/>
      <c r="E5633" s="27"/>
      <c r="F5633" t="s">
        <v>26</v>
      </c>
      <c r="G5633" s="28">
        <f>IFERROR(VLOOKUP(F5633,CARTON_LOOKUP!$A:$E,3,0),"")</f>
      </c>
      <c r="H5633" s="28">
        <f>IFERROR(VLOOKUP(F5633,CARTON_LOOKUP!$A:$E,4,0),"")</f>
      </c>
      <c r="I5633" s="28">
        <f>IFERROR(VLOOKUP(F5633,CARTON_LOOKUP!$A:$E,5,0),"")</f>
      </c>
      <c r="J5633" s="29">
        <f>IFERROR(VLOOKUP(F5633,CARTON_LOOKUP!$A:$E,2,0),"")</f>
      </c>
      <c r="K5633" s="29">
        <f>IFERROR(J5633*D5633,0)</f>
      </c>
      <c r="L5633" s="29">
        <f>IFERROR(E5633*C5633,0)</f>
      </c>
      <c r="M5633" s="29">
        <f>IFERROR((G5633*H5633*I5633/1000000)*D5633,0)</f>
      </c>
    </row>
    <row r="5634" spans="1:13" x14ac:dyDescent="0.25">
      <c r="A5634" s="16"/>
      <c r="E5634" s="27"/>
      <c r="F5634" t="s">
        <v>26</v>
      </c>
      <c r="G5634" s="28">
        <f>IFERROR(VLOOKUP(F5634,CARTON_LOOKUP!$A:$E,3,0),"")</f>
      </c>
      <c r="H5634" s="28">
        <f>IFERROR(VLOOKUP(F5634,CARTON_LOOKUP!$A:$E,4,0),"")</f>
      </c>
      <c r="I5634" s="28">
        <f>IFERROR(VLOOKUP(F5634,CARTON_LOOKUP!$A:$E,5,0),"")</f>
      </c>
      <c r="J5634" s="29">
        <f>IFERROR(VLOOKUP(F5634,CARTON_LOOKUP!$A:$E,2,0),"")</f>
      </c>
      <c r="K5634" s="29">
        <f>IFERROR(J5634*D5634,0)</f>
      </c>
      <c r="L5634" s="29">
        <f>IFERROR(E5634*C5634,0)</f>
      </c>
      <c r="M5634" s="29">
        <f>IFERROR((G5634*H5634*I5634/1000000)*D5634,0)</f>
      </c>
    </row>
    <row r="5635" spans="1:13" x14ac:dyDescent="0.25">
      <c r="A5635" s="16"/>
      <c r="E5635" s="27"/>
      <c r="F5635" t="s">
        <v>26</v>
      </c>
      <c r="G5635" s="28">
        <f>IFERROR(VLOOKUP(F5635,CARTON_LOOKUP!$A:$E,3,0),"")</f>
      </c>
      <c r="H5635" s="28">
        <f>IFERROR(VLOOKUP(F5635,CARTON_LOOKUP!$A:$E,4,0),"")</f>
      </c>
      <c r="I5635" s="28">
        <f>IFERROR(VLOOKUP(F5635,CARTON_LOOKUP!$A:$E,5,0),"")</f>
      </c>
      <c r="J5635" s="29">
        <f>IFERROR(VLOOKUP(F5635,CARTON_LOOKUP!$A:$E,2,0),"")</f>
      </c>
      <c r="K5635" s="29">
        <f>IFERROR(J5635*D5635,0)</f>
      </c>
      <c r="L5635" s="29">
        <f>IFERROR(E5635*C5635,0)</f>
      </c>
      <c r="M5635" s="29">
        <f>IFERROR((G5635*H5635*I5635/1000000)*D5635,0)</f>
      </c>
    </row>
    <row r="5636" spans="1:13" x14ac:dyDescent="0.25">
      <c r="A5636" s="16"/>
      <c r="E5636" s="27"/>
      <c r="F5636" t="s">
        <v>26</v>
      </c>
      <c r="G5636" s="28">
        <f>IFERROR(VLOOKUP(F5636,CARTON_LOOKUP!$A:$E,3,0),"")</f>
      </c>
      <c r="H5636" s="28">
        <f>IFERROR(VLOOKUP(F5636,CARTON_LOOKUP!$A:$E,4,0),"")</f>
      </c>
      <c r="I5636" s="28">
        <f>IFERROR(VLOOKUP(F5636,CARTON_LOOKUP!$A:$E,5,0),"")</f>
      </c>
      <c r="J5636" s="29">
        <f>IFERROR(VLOOKUP(F5636,CARTON_LOOKUP!$A:$E,2,0),"")</f>
      </c>
      <c r="K5636" s="29">
        <f>IFERROR(J5636*D5636,0)</f>
      </c>
      <c r="L5636" s="29">
        <f>IFERROR(E5636*C5636,0)</f>
      </c>
      <c r="M5636" s="29">
        <f>IFERROR((G5636*H5636*I5636/1000000)*D5636,0)</f>
      </c>
    </row>
    <row r="5637" spans="1:13" x14ac:dyDescent="0.25">
      <c r="A5637" s="16"/>
      <c r="E5637" s="27"/>
      <c r="F5637" t="s">
        <v>26</v>
      </c>
      <c r="G5637" s="28">
        <f>IFERROR(VLOOKUP(F5637,CARTON_LOOKUP!$A:$E,3,0),"")</f>
      </c>
      <c r="H5637" s="28">
        <f>IFERROR(VLOOKUP(F5637,CARTON_LOOKUP!$A:$E,4,0),"")</f>
      </c>
      <c r="I5637" s="28">
        <f>IFERROR(VLOOKUP(F5637,CARTON_LOOKUP!$A:$E,5,0),"")</f>
      </c>
      <c r="J5637" s="29">
        <f>IFERROR(VLOOKUP(F5637,CARTON_LOOKUP!$A:$E,2,0),"")</f>
      </c>
      <c r="K5637" s="29">
        <f>IFERROR(J5637*D5637,0)</f>
      </c>
      <c r="L5637" s="29">
        <f>IFERROR(E5637*C5637,0)</f>
      </c>
      <c r="M5637" s="29">
        <f>IFERROR((G5637*H5637*I5637/1000000)*D5637,0)</f>
      </c>
    </row>
    <row r="5638" spans="1:13" x14ac:dyDescent="0.25">
      <c r="A5638" s="16"/>
      <c r="E5638" s="27"/>
      <c r="F5638" t="s">
        <v>26</v>
      </c>
      <c r="G5638" s="28">
        <f>IFERROR(VLOOKUP(F5638,CARTON_LOOKUP!$A:$E,3,0),"")</f>
      </c>
      <c r="H5638" s="28">
        <f>IFERROR(VLOOKUP(F5638,CARTON_LOOKUP!$A:$E,4,0),"")</f>
      </c>
      <c r="I5638" s="28">
        <f>IFERROR(VLOOKUP(F5638,CARTON_LOOKUP!$A:$E,5,0),"")</f>
      </c>
      <c r="J5638" s="29">
        <f>IFERROR(VLOOKUP(F5638,CARTON_LOOKUP!$A:$E,2,0),"")</f>
      </c>
      <c r="K5638" s="29">
        <f>IFERROR(J5638*D5638,0)</f>
      </c>
      <c r="L5638" s="29">
        <f>IFERROR(E5638*C5638,0)</f>
      </c>
      <c r="M5638" s="29">
        <f>IFERROR((G5638*H5638*I5638/1000000)*D5638,0)</f>
      </c>
    </row>
    <row r="5639" spans="1:13" x14ac:dyDescent="0.25">
      <c r="A5639" s="16"/>
      <c r="E5639" s="27"/>
      <c r="F5639" t="s">
        <v>26</v>
      </c>
      <c r="G5639" s="28">
        <f>IFERROR(VLOOKUP(F5639,CARTON_LOOKUP!$A:$E,3,0),"")</f>
      </c>
      <c r="H5639" s="28">
        <f>IFERROR(VLOOKUP(F5639,CARTON_LOOKUP!$A:$E,4,0),"")</f>
      </c>
      <c r="I5639" s="28">
        <f>IFERROR(VLOOKUP(F5639,CARTON_LOOKUP!$A:$E,5,0),"")</f>
      </c>
      <c r="J5639" s="29">
        <f>IFERROR(VLOOKUP(F5639,CARTON_LOOKUP!$A:$E,2,0),"")</f>
      </c>
      <c r="K5639" s="29">
        <f>IFERROR(J5639*D5639,0)</f>
      </c>
      <c r="L5639" s="29">
        <f>IFERROR(E5639*C5639,0)</f>
      </c>
      <c r="M5639" s="29">
        <f>IFERROR((G5639*H5639*I5639/1000000)*D5639,0)</f>
      </c>
    </row>
    <row r="5640" spans="1:13" x14ac:dyDescent="0.25">
      <c r="A5640" s="16"/>
      <c r="E5640" s="27"/>
      <c r="F5640" t="s">
        <v>26</v>
      </c>
      <c r="G5640" s="28">
        <f>IFERROR(VLOOKUP(F5640,CARTON_LOOKUP!$A:$E,3,0),"")</f>
      </c>
      <c r="H5640" s="28">
        <f>IFERROR(VLOOKUP(F5640,CARTON_LOOKUP!$A:$E,4,0),"")</f>
      </c>
      <c r="I5640" s="28">
        <f>IFERROR(VLOOKUP(F5640,CARTON_LOOKUP!$A:$E,5,0),"")</f>
      </c>
      <c r="J5640" s="29">
        <f>IFERROR(VLOOKUP(F5640,CARTON_LOOKUP!$A:$E,2,0),"")</f>
      </c>
      <c r="K5640" s="29">
        <f>IFERROR(J5640*D5640,0)</f>
      </c>
      <c r="L5640" s="29">
        <f>IFERROR(E5640*C5640,0)</f>
      </c>
      <c r="M5640" s="29">
        <f>IFERROR((G5640*H5640*I5640/1000000)*D5640,0)</f>
      </c>
    </row>
    <row r="5641" spans="1:13" x14ac:dyDescent="0.25">
      <c r="A5641" s="16"/>
      <c r="E5641" s="27"/>
      <c r="F5641" t="s">
        <v>26</v>
      </c>
      <c r="G5641" s="28">
        <f>IFERROR(VLOOKUP(F5641,CARTON_LOOKUP!$A:$E,3,0),"")</f>
      </c>
      <c r="H5641" s="28">
        <f>IFERROR(VLOOKUP(F5641,CARTON_LOOKUP!$A:$E,4,0),"")</f>
      </c>
      <c r="I5641" s="28">
        <f>IFERROR(VLOOKUP(F5641,CARTON_LOOKUP!$A:$E,5,0),"")</f>
      </c>
      <c r="J5641" s="29">
        <f>IFERROR(VLOOKUP(F5641,CARTON_LOOKUP!$A:$E,2,0),"")</f>
      </c>
      <c r="K5641" s="29">
        <f>IFERROR(J5641*D5641,0)</f>
      </c>
      <c r="L5641" s="29">
        <f>IFERROR(E5641*C5641,0)</f>
      </c>
      <c r="M5641" s="29">
        <f>IFERROR((G5641*H5641*I5641/1000000)*D5641,0)</f>
      </c>
    </row>
    <row r="5642" spans="1:13" x14ac:dyDescent="0.25">
      <c r="A5642" s="16"/>
      <c r="E5642" s="27"/>
      <c r="F5642" t="s">
        <v>26</v>
      </c>
      <c r="G5642" s="28">
        <f>IFERROR(VLOOKUP(F5642,CARTON_LOOKUP!$A:$E,3,0),"")</f>
      </c>
      <c r="H5642" s="28">
        <f>IFERROR(VLOOKUP(F5642,CARTON_LOOKUP!$A:$E,4,0),"")</f>
      </c>
      <c r="I5642" s="28">
        <f>IFERROR(VLOOKUP(F5642,CARTON_LOOKUP!$A:$E,5,0),"")</f>
      </c>
      <c r="J5642" s="29">
        <f>IFERROR(VLOOKUP(F5642,CARTON_LOOKUP!$A:$E,2,0),"")</f>
      </c>
      <c r="K5642" s="29">
        <f>IFERROR(J5642*D5642,0)</f>
      </c>
      <c r="L5642" s="29">
        <f>IFERROR(E5642*C5642,0)</f>
      </c>
      <c r="M5642" s="29">
        <f>IFERROR((G5642*H5642*I5642/1000000)*D5642,0)</f>
      </c>
    </row>
    <row r="5643" spans="1:13" x14ac:dyDescent="0.25">
      <c r="A5643" s="16"/>
      <c r="E5643" s="27"/>
      <c r="F5643" t="s">
        <v>26</v>
      </c>
      <c r="G5643" s="28">
        <f>IFERROR(VLOOKUP(F5643,CARTON_LOOKUP!$A:$E,3,0),"")</f>
      </c>
      <c r="H5643" s="28">
        <f>IFERROR(VLOOKUP(F5643,CARTON_LOOKUP!$A:$E,4,0),"")</f>
      </c>
      <c r="I5643" s="28">
        <f>IFERROR(VLOOKUP(F5643,CARTON_LOOKUP!$A:$E,5,0),"")</f>
      </c>
      <c r="J5643" s="29">
        <f>IFERROR(VLOOKUP(F5643,CARTON_LOOKUP!$A:$E,2,0),"")</f>
      </c>
      <c r="K5643" s="29">
        <f>IFERROR(J5643*D5643,0)</f>
      </c>
      <c r="L5643" s="29">
        <f>IFERROR(E5643*C5643,0)</f>
      </c>
      <c r="M5643" s="29">
        <f>IFERROR((G5643*H5643*I5643/1000000)*D5643,0)</f>
      </c>
    </row>
    <row r="5644" spans="1:13" x14ac:dyDescent="0.25">
      <c r="A5644" s="16"/>
      <c r="E5644" s="27"/>
      <c r="F5644" t="s">
        <v>26</v>
      </c>
      <c r="G5644" s="28">
        <f>IFERROR(VLOOKUP(F5644,CARTON_LOOKUP!$A:$E,3,0),"")</f>
      </c>
      <c r="H5644" s="28">
        <f>IFERROR(VLOOKUP(F5644,CARTON_LOOKUP!$A:$E,4,0),"")</f>
      </c>
      <c r="I5644" s="28">
        <f>IFERROR(VLOOKUP(F5644,CARTON_LOOKUP!$A:$E,5,0),"")</f>
      </c>
      <c r="J5644" s="29">
        <f>IFERROR(VLOOKUP(F5644,CARTON_LOOKUP!$A:$E,2,0),"")</f>
      </c>
      <c r="K5644" s="29">
        <f>IFERROR(J5644*D5644,0)</f>
      </c>
      <c r="L5644" s="29">
        <f>IFERROR(E5644*C5644,0)</f>
      </c>
      <c r="M5644" s="29">
        <f>IFERROR((G5644*H5644*I5644/1000000)*D5644,0)</f>
      </c>
    </row>
    <row r="5645" spans="1:13" x14ac:dyDescent="0.25">
      <c r="A5645" s="16"/>
      <c r="E5645" s="27"/>
      <c r="F5645" t="s">
        <v>26</v>
      </c>
      <c r="G5645" s="28">
        <f>IFERROR(VLOOKUP(F5645,CARTON_LOOKUP!$A:$E,3,0),"")</f>
      </c>
      <c r="H5645" s="28">
        <f>IFERROR(VLOOKUP(F5645,CARTON_LOOKUP!$A:$E,4,0),"")</f>
      </c>
      <c r="I5645" s="28">
        <f>IFERROR(VLOOKUP(F5645,CARTON_LOOKUP!$A:$E,5,0),"")</f>
      </c>
      <c r="J5645" s="29">
        <f>IFERROR(VLOOKUP(F5645,CARTON_LOOKUP!$A:$E,2,0),"")</f>
      </c>
      <c r="K5645" s="29">
        <f>IFERROR(J5645*D5645,0)</f>
      </c>
      <c r="L5645" s="29">
        <f>IFERROR(E5645*C5645,0)</f>
      </c>
      <c r="M5645" s="29">
        <f>IFERROR((G5645*H5645*I5645/1000000)*D5645,0)</f>
      </c>
    </row>
    <row r="5646" spans="1:13" x14ac:dyDescent="0.25">
      <c r="A5646" s="16"/>
      <c r="E5646" s="27"/>
      <c r="F5646" t="s">
        <v>26</v>
      </c>
      <c r="G5646" s="28">
        <f>IFERROR(VLOOKUP(F5646,CARTON_LOOKUP!$A:$E,3,0),"")</f>
      </c>
      <c r="H5646" s="28">
        <f>IFERROR(VLOOKUP(F5646,CARTON_LOOKUP!$A:$E,4,0),"")</f>
      </c>
      <c r="I5646" s="28">
        <f>IFERROR(VLOOKUP(F5646,CARTON_LOOKUP!$A:$E,5,0),"")</f>
      </c>
      <c r="J5646" s="29">
        <f>IFERROR(VLOOKUP(F5646,CARTON_LOOKUP!$A:$E,2,0),"")</f>
      </c>
      <c r="K5646" s="29">
        <f>IFERROR(J5646*D5646,0)</f>
      </c>
      <c r="L5646" s="29">
        <f>IFERROR(E5646*C5646,0)</f>
      </c>
      <c r="M5646" s="29">
        <f>IFERROR((G5646*H5646*I5646/1000000)*D5646,0)</f>
      </c>
    </row>
    <row r="5647" spans="1:13" x14ac:dyDescent="0.25">
      <c r="A5647" s="16"/>
      <c r="E5647" s="27"/>
      <c r="F5647" t="s">
        <v>26</v>
      </c>
      <c r="G5647" s="28">
        <f>IFERROR(VLOOKUP(F5647,CARTON_LOOKUP!$A:$E,3,0),"")</f>
      </c>
      <c r="H5647" s="28">
        <f>IFERROR(VLOOKUP(F5647,CARTON_LOOKUP!$A:$E,4,0),"")</f>
      </c>
      <c r="I5647" s="28">
        <f>IFERROR(VLOOKUP(F5647,CARTON_LOOKUP!$A:$E,5,0),"")</f>
      </c>
      <c r="J5647" s="29">
        <f>IFERROR(VLOOKUP(F5647,CARTON_LOOKUP!$A:$E,2,0),"")</f>
      </c>
      <c r="K5647" s="29">
        <f>IFERROR(J5647*D5647,0)</f>
      </c>
      <c r="L5647" s="29">
        <f>IFERROR(E5647*C5647,0)</f>
      </c>
      <c r="M5647" s="29">
        <f>IFERROR((G5647*H5647*I5647/1000000)*D5647,0)</f>
      </c>
    </row>
    <row r="5648" spans="1:13" x14ac:dyDescent="0.25">
      <c r="A5648" s="16"/>
      <c r="E5648" s="27"/>
      <c r="F5648" t="s">
        <v>26</v>
      </c>
      <c r="G5648" s="28">
        <f>IFERROR(VLOOKUP(F5648,CARTON_LOOKUP!$A:$E,3,0),"")</f>
      </c>
      <c r="H5648" s="28">
        <f>IFERROR(VLOOKUP(F5648,CARTON_LOOKUP!$A:$E,4,0),"")</f>
      </c>
      <c r="I5648" s="28">
        <f>IFERROR(VLOOKUP(F5648,CARTON_LOOKUP!$A:$E,5,0),"")</f>
      </c>
      <c r="J5648" s="29">
        <f>IFERROR(VLOOKUP(F5648,CARTON_LOOKUP!$A:$E,2,0),"")</f>
      </c>
      <c r="K5648" s="29">
        <f>IFERROR(J5648*D5648,0)</f>
      </c>
      <c r="L5648" s="29">
        <f>IFERROR(E5648*C5648,0)</f>
      </c>
      <c r="M5648" s="29">
        <f>IFERROR((G5648*H5648*I5648/1000000)*D5648,0)</f>
      </c>
    </row>
    <row r="5649" spans="1:13" x14ac:dyDescent="0.25">
      <c r="A5649" s="16"/>
      <c r="E5649" s="27"/>
      <c r="F5649" t="s">
        <v>26</v>
      </c>
      <c r="G5649" s="28">
        <f>IFERROR(VLOOKUP(F5649,CARTON_LOOKUP!$A:$E,3,0),"")</f>
      </c>
      <c r="H5649" s="28">
        <f>IFERROR(VLOOKUP(F5649,CARTON_LOOKUP!$A:$E,4,0),"")</f>
      </c>
      <c r="I5649" s="28">
        <f>IFERROR(VLOOKUP(F5649,CARTON_LOOKUP!$A:$E,5,0),"")</f>
      </c>
      <c r="J5649" s="29">
        <f>IFERROR(VLOOKUP(F5649,CARTON_LOOKUP!$A:$E,2,0),"")</f>
      </c>
      <c r="K5649" s="29">
        <f>IFERROR(J5649*D5649,0)</f>
      </c>
      <c r="L5649" s="29">
        <f>IFERROR(E5649*C5649,0)</f>
      </c>
      <c r="M5649" s="29">
        <f>IFERROR((G5649*H5649*I5649/1000000)*D5649,0)</f>
      </c>
    </row>
    <row r="5650" spans="1:13" x14ac:dyDescent="0.25">
      <c r="A5650" s="16"/>
      <c r="E5650" s="27"/>
      <c r="F5650" t="s">
        <v>26</v>
      </c>
      <c r="G5650" s="28">
        <f>IFERROR(VLOOKUP(F5650,CARTON_LOOKUP!$A:$E,3,0),"")</f>
      </c>
      <c r="H5650" s="28">
        <f>IFERROR(VLOOKUP(F5650,CARTON_LOOKUP!$A:$E,4,0),"")</f>
      </c>
      <c r="I5650" s="28">
        <f>IFERROR(VLOOKUP(F5650,CARTON_LOOKUP!$A:$E,5,0),"")</f>
      </c>
      <c r="J5650" s="29">
        <f>IFERROR(VLOOKUP(F5650,CARTON_LOOKUP!$A:$E,2,0),"")</f>
      </c>
      <c r="K5650" s="29">
        <f>IFERROR(J5650*D5650,0)</f>
      </c>
      <c r="L5650" s="29">
        <f>IFERROR(E5650*C5650,0)</f>
      </c>
      <c r="M5650" s="29">
        <f>IFERROR((G5650*H5650*I5650/1000000)*D5650,0)</f>
      </c>
    </row>
    <row r="5651" spans="1:13" x14ac:dyDescent="0.25">
      <c r="A5651" s="16"/>
      <c r="E5651" s="27"/>
      <c r="F5651" t="s">
        <v>26</v>
      </c>
      <c r="G5651" s="28">
        <f>IFERROR(VLOOKUP(F5651,CARTON_LOOKUP!$A:$E,3,0),"")</f>
      </c>
      <c r="H5651" s="28">
        <f>IFERROR(VLOOKUP(F5651,CARTON_LOOKUP!$A:$E,4,0),"")</f>
      </c>
      <c r="I5651" s="28">
        <f>IFERROR(VLOOKUP(F5651,CARTON_LOOKUP!$A:$E,5,0),"")</f>
      </c>
      <c r="J5651" s="29">
        <f>IFERROR(VLOOKUP(F5651,CARTON_LOOKUP!$A:$E,2,0),"")</f>
      </c>
      <c r="K5651" s="29">
        <f>IFERROR(J5651*D5651,0)</f>
      </c>
      <c r="L5651" s="29">
        <f>IFERROR(E5651*C5651,0)</f>
      </c>
      <c r="M5651" s="29">
        <f>IFERROR((G5651*H5651*I5651/1000000)*D5651,0)</f>
      </c>
    </row>
    <row r="5652" spans="1:13" x14ac:dyDescent="0.25">
      <c r="A5652" s="16"/>
      <c r="E5652" s="27"/>
      <c r="F5652" t="s">
        <v>26</v>
      </c>
      <c r="G5652" s="28">
        <f>IFERROR(VLOOKUP(F5652,CARTON_LOOKUP!$A:$E,3,0),"")</f>
      </c>
      <c r="H5652" s="28">
        <f>IFERROR(VLOOKUP(F5652,CARTON_LOOKUP!$A:$E,4,0),"")</f>
      </c>
      <c r="I5652" s="28">
        <f>IFERROR(VLOOKUP(F5652,CARTON_LOOKUP!$A:$E,5,0),"")</f>
      </c>
      <c r="J5652" s="29">
        <f>IFERROR(VLOOKUP(F5652,CARTON_LOOKUP!$A:$E,2,0),"")</f>
      </c>
      <c r="K5652" s="29">
        <f>IFERROR(J5652*D5652,0)</f>
      </c>
      <c r="L5652" s="29">
        <f>IFERROR(E5652*C5652,0)</f>
      </c>
      <c r="M5652" s="29">
        <f>IFERROR((G5652*H5652*I5652/1000000)*D5652,0)</f>
      </c>
    </row>
    <row r="5653" spans="1:13" x14ac:dyDescent="0.25">
      <c r="A5653" s="16"/>
      <c r="E5653" s="27"/>
      <c r="F5653" t="s">
        <v>26</v>
      </c>
      <c r="G5653" s="28">
        <f>IFERROR(VLOOKUP(F5653,CARTON_LOOKUP!$A:$E,3,0),"")</f>
      </c>
      <c r="H5653" s="28">
        <f>IFERROR(VLOOKUP(F5653,CARTON_LOOKUP!$A:$E,4,0),"")</f>
      </c>
      <c r="I5653" s="28">
        <f>IFERROR(VLOOKUP(F5653,CARTON_LOOKUP!$A:$E,5,0),"")</f>
      </c>
      <c r="J5653" s="29">
        <f>IFERROR(VLOOKUP(F5653,CARTON_LOOKUP!$A:$E,2,0),"")</f>
      </c>
      <c r="K5653" s="29">
        <f>IFERROR(J5653*D5653,0)</f>
      </c>
      <c r="L5653" s="29">
        <f>IFERROR(E5653*C5653,0)</f>
      </c>
      <c r="M5653" s="29">
        <f>IFERROR((G5653*H5653*I5653/1000000)*D5653,0)</f>
      </c>
    </row>
    <row r="5654" spans="1:13" x14ac:dyDescent="0.25">
      <c r="A5654" s="16"/>
      <c r="E5654" s="27"/>
      <c r="F5654" t="s">
        <v>26</v>
      </c>
      <c r="G5654" s="28">
        <f>IFERROR(VLOOKUP(F5654,CARTON_LOOKUP!$A:$E,3,0),"")</f>
      </c>
      <c r="H5654" s="28">
        <f>IFERROR(VLOOKUP(F5654,CARTON_LOOKUP!$A:$E,4,0),"")</f>
      </c>
      <c r="I5654" s="28">
        <f>IFERROR(VLOOKUP(F5654,CARTON_LOOKUP!$A:$E,5,0),"")</f>
      </c>
      <c r="J5654" s="29">
        <f>IFERROR(VLOOKUP(F5654,CARTON_LOOKUP!$A:$E,2,0),"")</f>
      </c>
      <c r="K5654" s="29">
        <f>IFERROR(J5654*D5654,0)</f>
      </c>
      <c r="L5654" s="29">
        <f>IFERROR(E5654*C5654,0)</f>
      </c>
      <c r="M5654" s="29">
        <f>IFERROR((G5654*H5654*I5654/1000000)*D5654,0)</f>
      </c>
    </row>
    <row r="5655" spans="1:13" x14ac:dyDescent="0.25">
      <c r="A5655" s="16"/>
      <c r="E5655" s="27"/>
      <c r="F5655" t="s">
        <v>26</v>
      </c>
      <c r="G5655" s="28">
        <f>IFERROR(VLOOKUP(F5655,CARTON_LOOKUP!$A:$E,3,0),"")</f>
      </c>
      <c r="H5655" s="28">
        <f>IFERROR(VLOOKUP(F5655,CARTON_LOOKUP!$A:$E,4,0),"")</f>
      </c>
      <c r="I5655" s="28">
        <f>IFERROR(VLOOKUP(F5655,CARTON_LOOKUP!$A:$E,5,0),"")</f>
      </c>
      <c r="J5655" s="29">
        <f>IFERROR(VLOOKUP(F5655,CARTON_LOOKUP!$A:$E,2,0),"")</f>
      </c>
      <c r="K5655" s="29">
        <f>IFERROR(J5655*D5655,0)</f>
      </c>
      <c r="L5655" s="29">
        <f>IFERROR(E5655*C5655,0)</f>
      </c>
      <c r="M5655" s="29">
        <f>IFERROR((G5655*H5655*I5655/1000000)*D5655,0)</f>
      </c>
    </row>
    <row r="5656" spans="1:13" x14ac:dyDescent="0.25">
      <c r="A5656" s="16"/>
      <c r="E5656" s="27"/>
      <c r="F5656" t="s">
        <v>26</v>
      </c>
      <c r="G5656" s="28">
        <f>IFERROR(VLOOKUP(F5656,CARTON_LOOKUP!$A:$E,3,0),"")</f>
      </c>
      <c r="H5656" s="28">
        <f>IFERROR(VLOOKUP(F5656,CARTON_LOOKUP!$A:$E,4,0),"")</f>
      </c>
      <c r="I5656" s="28">
        <f>IFERROR(VLOOKUP(F5656,CARTON_LOOKUP!$A:$E,5,0),"")</f>
      </c>
      <c r="J5656" s="29">
        <f>IFERROR(VLOOKUP(F5656,CARTON_LOOKUP!$A:$E,2,0),"")</f>
      </c>
      <c r="K5656" s="29">
        <f>IFERROR(J5656*D5656,0)</f>
      </c>
      <c r="L5656" s="29">
        <f>IFERROR(E5656*C5656,0)</f>
      </c>
      <c r="M5656" s="29">
        <f>IFERROR((G5656*H5656*I5656/1000000)*D5656,0)</f>
      </c>
    </row>
    <row r="5657" spans="1:13" x14ac:dyDescent="0.25">
      <c r="A5657" s="16"/>
      <c r="E5657" s="27"/>
      <c r="F5657" t="s">
        <v>26</v>
      </c>
      <c r="G5657" s="28">
        <f>IFERROR(VLOOKUP(F5657,CARTON_LOOKUP!$A:$E,3,0),"")</f>
      </c>
      <c r="H5657" s="28">
        <f>IFERROR(VLOOKUP(F5657,CARTON_LOOKUP!$A:$E,4,0),"")</f>
      </c>
      <c r="I5657" s="28">
        <f>IFERROR(VLOOKUP(F5657,CARTON_LOOKUP!$A:$E,5,0),"")</f>
      </c>
      <c r="J5657" s="29">
        <f>IFERROR(VLOOKUP(F5657,CARTON_LOOKUP!$A:$E,2,0),"")</f>
      </c>
      <c r="K5657" s="29">
        <f>IFERROR(J5657*D5657,0)</f>
      </c>
      <c r="L5657" s="29">
        <f>IFERROR(E5657*C5657,0)</f>
      </c>
      <c r="M5657" s="29">
        <f>IFERROR((G5657*H5657*I5657/1000000)*D5657,0)</f>
      </c>
    </row>
    <row r="5658" spans="1:13" x14ac:dyDescent="0.25">
      <c r="A5658" s="16"/>
      <c r="E5658" s="27"/>
      <c r="F5658" t="s">
        <v>26</v>
      </c>
      <c r="G5658" s="28">
        <f>IFERROR(VLOOKUP(F5658,CARTON_LOOKUP!$A:$E,3,0),"")</f>
      </c>
      <c r="H5658" s="28">
        <f>IFERROR(VLOOKUP(F5658,CARTON_LOOKUP!$A:$E,4,0),"")</f>
      </c>
      <c r="I5658" s="28">
        <f>IFERROR(VLOOKUP(F5658,CARTON_LOOKUP!$A:$E,5,0),"")</f>
      </c>
      <c r="J5658" s="29">
        <f>IFERROR(VLOOKUP(F5658,CARTON_LOOKUP!$A:$E,2,0),"")</f>
      </c>
      <c r="K5658" s="29">
        <f>IFERROR(J5658*D5658,0)</f>
      </c>
      <c r="L5658" s="29">
        <f>IFERROR(E5658*C5658,0)</f>
      </c>
      <c r="M5658" s="29">
        <f>IFERROR((G5658*H5658*I5658/1000000)*D5658,0)</f>
      </c>
    </row>
    <row r="5659" spans="1:13" x14ac:dyDescent="0.25">
      <c r="A5659" s="16"/>
      <c r="E5659" s="27"/>
      <c r="F5659" t="s">
        <v>26</v>
      </c>
      <c r="G5659" s="28">
        <f>IFERROR(VLOOKUP(F5659,CARTON_LOOKUP!$A:$E,3,0),"")</f>
      </c>
      <c r="H5659" s="28">
        <f>IFERROR(VLOOKUP(F5659,CARTON_LOOKUP!$A:$E,4,0),"")</f>
      </c>
      <c r="I5659" s="28">
        <f>IFERROR(VLOOKUP(F5659,CARTON_LOOKUP!$A:$E,5,0),"")</f>
      </c>
      <c r="J5659" s="29">
        <f>IFERROR(VLOOKUP(F5659,CARTON_LOOKUP!$A:$E,2,0),"")</f>
      </c>
      <c r="K5659" s="29">
        <f>IFERROR(J5659*D5659,0)</f>
      </c>
      <c r="L5659" s="29">
        <f>IFERROR(E5659*C5659,0)</f>
      </c>
      <c r="M5659" s="29">
        <f>IFERROR((G5659*H5659*I5659/1000000)*D5659,0)</f>
      </c>
    </row>
    <row r="5660" spans="1:13" x14ac:dyDescent="0.25">
      <c r="A5660" s="16"/>
      <c r="E5660" s="27"/>
      <c r="F5660" t="s">
        <v>26</v>
      </c>
      <c r="G5660" s="28">
        <f>IFERROR(VLOOKUP(F5660,CARTON_LOOKUP!$A:$E,3,0),"")</f>
      </c>
      <c r="H5660" s="28">
        <f>IFERROR(VLOOKUP(F5660,CARTON_LOOKUP!$A:$E,4,0),"")</f>
      </c>
      <c r="I5660" s="28">
        <f>IFERROR(VLOOKUP(F5660,CARTON_LOOKUP!$A:$E,5,0),"")</f>
      </c>
      <c r="J5660" s="29">
        <f>IFERROR(VLOOKUP(F5660,CARTON_LOOKUP!$A:$E,2,0),"")</f>
      </c>
      <c r="K5660" s="29">
        <f>IFERROR(J5660*D5660,0)</f>
      </c>
      <c r="L5660" s="29">
        <f>IFERROR(E5660*C5660,0)</f>
      </c>
      <c r="M5660" s="29">
        <f>IFERROR((G5660*H5660*I5660/1000000)*D5660,0)</f>
      </c>
    </row>
    <row r="5661" spans="1:13" x14ac:dyDescent="0.25">
      <c r="A5661" s="16"/>
      <c r="E5661" s="27"/>
      <c r="F5661" t="s">
        <v>26</v>
      </c>
      <c r="G5661" s="28">
        <f>IFERROR(VLOOKUP(F5661,CARTON_LOOKUP!$A:$E,3,0),"")</f>
      </c>
      <c r="H5661" s="28">
        <f>IFERROR(VLOOKUP(F5661,CARTON_LOOKUP!$A:$E,4,0),"")</f>
      </c>
      <c r="I5661" s="28">
        <f>IFERROR(VLOOKUP(F5661,CARTON_LOOKUP!$A:$E,5,0),"")</f>
      </c>
      <c r="J5661" s="29">
        <f>IFERROR(VLOOKUP(F5661,CARTON_LOOKUP!$A:$E,2,0),"")</f>
      </c>
      <c r="K5661" s="29">
        <f>IFERROR(J5661*D5661,0)</f>
      </c>
      <c r="L5661" s="29">
        <f>IFERROR(E5661*C5661,0)</f>
      </c>
      <c r="M5661" s="29">
        <f>IFERROR((G5661*H5661*I5661/1000000)*D5661,0)</f>
      </c>
    </row>
    <row r="5662" spans="1:13" x14ac:dyDescent="0.25">
      <c r="A5662" s="16"/>
      <c r="E5662" s="27"/>
      <c r="F5662" t="s">
        <v>26</v>
      </c>
      <c r="G5662" s="28">
        <f>IFERROR(VLOOKUP(F5662,CARTON_LOOKUP!$A:$E,3,0),"")</f>
      </c>
      <c r="H5662" s="28">
        <f>IFERROR(VLOOKUP(F5662,CARTON_LOOKUP!$A:$E,4,0),"")</f>
      </c>
      <c r="I5662" s="28">
        <f>IFERROR(VLOOKUP(F5662,CARTON_LOOKUP!$A:$E,5,0),"")</f>
      </c>
      <c r="J5662" s="29">
        <f>IFERROR(VLOOKUP(F5662,CARTON_LOOKUP!$A:$E,2,0),"")</f>
      </c>
      <c r="K5662" s="29">
        <f>IFERROR(J5662*D5662,0)</f>
      </c>
      <c r="L5662" s="29">
        <f>IFERROR(E5662*C5662,0)</f>
      </c>
      <c r="M5662" s="29">
        <f>IFERROR((G5662*H5662*I5662/1000000)*D5662,0)</f>
      </c>
    </row>
    <row r="5663" spans="1:13" x14ac:dyDescent="0.25">
      <c r="A5663" s="16"/>
      <c r="E5663" s="27"/>
      <c r="F5663" t="s">
        <v>26</v>
      </c>
      <c r="G5663" s="28">
        <f>IFERROR(VLOOKUP(F5663,CARTON_LOOKUP!$A:$E,3,0),"")</f>
      </c>
      <c r="H5663" s="28">
        <f>IFERROR(VLOOKUP(F5663,CARTON_LOOKUP!$A:$E,4,0),"")</f>
      </c>
      <c r="I5663" s="28">
        <f>IFERROR(VLOOKUP(F5663,CARTON_LOOKUP!$A:$E,5,0),"")</f>
      </c>
      <c r="J5663" s="29">
        <f>IFERROR(VLOOKUP(F5663,CARTON_LOOKUP!$A:$E,2,0),"")</f>
      </c>
      <c r="K5663" s="29">
        <f>IFERROR(J5663*D5663,0)</f>
      </c>
      <c r="L5663" s="29">
        <f>IFERROR(E5663*C5663,0)</f>
      </c>
      <c r="M5663" s="29">
        <f>IFERROR((G5663*H5663*I5663/1000000)*D5663,0)</f>
      </c>
    </row>
    <row r="5664" spans="1:13" x14ac:dyDescent="0.25">
      <c r="A5664" s="16"/>
      <c r="E5664" s="27"/>
      <c r="F5664" t="s">
        <v>26</v>
      </c>
      <c r="G5664" s="28">
        <f>IFERROR(VLOOKUP(F5664,CARTON_LOOKUP!$A:$E,3,0),"")</f>
      </c>
      <c r="H5664" s="28">
        <f>IFERROR(VLOOKUP(F5664,CARTON_LOOKUP!$A:$E,4,0),"")</f>
      </c>
      <c r="I5664" s="28">
        <f>IFERROR(VLOOKUP(F5664,CARTON_LOOKUP!$A:$E,5,0),"")</f>
      </c>
      <c r="J5664" s="29">
        <f>IFERROR(VLOOKUP(F5664,CARTON_LOOKUP!$A:$E,2,0),"")</f>
      </c>
      <c r="K5664" s="29">
        <f>IFERROR(J5664*D5664,0)</f>
      </c>
      <c r="L5664" s="29">
        <f>IFERROR(E5664*C5664,0)</f>
      </c>
      <c r="M5664" s="29">
        <f>IFERROR((G5664*H5664*I5664/1000000)*D5664,0)</f>
      </c>
    </row>
    <row r="5665" spans="1:13" x14ac:dyDescent="0.25">
      <c r="A5665" s="16"/>
      <c r="E5665" s="27"/>
      <c r="F5665" t="s">
        <v>26</v>
      </c>
      <c r="G5665" s="28">
        <f>IFERROR(VLOOKUP(F5665,CARTON_LOOKUP!$A:$E,3,0),"")</f>
      </c>
      <c r="H5665" s="28">
        <f>IFERROR(VLOOKUP(F5665,CARTON_LOOKUP!$A:$E,4,0),"")</f>
      </c>
      <c r="I5665" s="28">
        <f>IFERROR(VLOOKUP(F5665,CARTON_LOOKUP!$A:$E,5,0),"")</f>
      </c>
      <c r="J5665" s="29">
        <f>IFERROR(VLOOKUP(F5665,CARTON_LOOKUP!$A:$E,2,0),"")</f>
      </c>
      <c r="K5665" s="29">
        <f>IFERROR(J5665*D5665,0)</f>
      </c>
      <c r="L5665" s="29">
        <f>IFERROR(E5665*C5665,0)</f>
      </c>
      <c r="M5665" s="29">
        <f>IFERROR((G5665*H5665*I5665/1000000)*D5665,0)</f>
      </c>
    </row>
    <row r="5666" spans="1:13" x14ac:dyDescent="0.25">
      <c r="A5666" s="16"/>
      <c r="E5666" s="27"/>
      <c r="F5666" t="s">
        <v>26</v>
      </c>
      <c r="G5666" s="28">
        <f>IFERROR(VLOOKUP(F5666,CARTON_LOOKUP!$A:$E,3,0),"")</f>
      </c>
      <c r="H5666" s="28">
        <f>IFERROR(VLOOKUP(F5666,CARTON_LOOKUP!$A:$E,4,0),"")</f>
      </c>
      <c r="I5666" s="28">
        <f>IFERROR(VLOOKUP(F5666,CARTON_LOOKUP!$A:$E,5,0),"")</f>
      </c>
      <c r="J5666" s="29">
        <f>IFERROR(VLOOKUP(F5666,CARTON_LOOKUP!$A:$E,2,0),"")</f>
      </c>
      <c r="K5666" s="29">
        <f>IFERROR(J5666*D5666,0)</f>
      </c>
      <c r="L5666" s="29">
        <f>IFERROR(E5666*C5666,0)</f>
      </c>
      <c r="M5666" s="29">
        <f>IFERROR((G5666*H5666*I5666/1000000)*D5666,0)</f>
      </c>
    </row>
    <row r="5667" spans="1:13" x14ac:dyDescent="0.25">
      <c r="A5667" s="16"/>
      <c r="E5667" s="27"/>
      <c r="F5667" t="s">
        <v>26</v>
      </c>
      <c r="G5667" s="28">
        <f>IFERROR(VLOOKUP(F5667,CARTON_LOOKUP!$A:$E,3,0),"")</f>
      </c>
      <c r="H5667" s="28">
        <f>IFERROR(VLOOKUP(F5667,CARTON_LOOKUP!$A:$E,4,0),"")</f>
      </c>
      <c r="I5667" s="28">
        <f>IFERROR(VLOOKUP(F5667,CARTON_LOOKUP!$A:$E,5,0),"")</f>
      </c>
      <c r="J5667" s="29">
        <f>IFERROR(VLOOKUP(F5667,CARTON_LOOKUP!$A:$E,2,0),"")</f>
      </c>
      <c r="K5667" s="29">
        <f>IFERROR(J5667*D5667,0)</f>
      </c>
      <c r="L5667" s="29">
        <f>IFERROR(E5667*C5667,0)</f>
      </c>
      <c r="M5667" s="29">
        <f>IFERROR((G5667*H5667*I5667/1000000)*D5667,0)</f>
      </c>
    </row>
    <row r="5668" spans="1:13" x14ac:dyDescent="0.25">
      <c r="A5668" s="16"/>
      <c r="E5668" s="27"/>
      <c r="F5668" t="s">
        <v>26</v>
      </c>
      <c r="G5668" s="28">
        <f>IFERROR(VLOOKUP(F5668,CARTON_LOOKUP!$A:$E,3,0),"")</f>
      </c>
      <c r="H5668" s="28">
        <f>IFERROR(VLOOKUP(F5668,CARTON_LOOKUP!$A:$E,4,0),"")</f>
      </c>
      <c r="I5668" s="28">
        <f>IFERROR(VLOOKUP(F5668,CARTON_LOOKUP!$A:$E,5,0),"")</f>
      </c>
      <c r="J5668" s="29">
        <f>IFERROR(VLOOKUP(F5668,CARTON_LOOKUP!$A:$E,2,0),"")</f>
      </c>
      <c r="K5668" s="29">
        <f>IFERROR(J5668*D5668,0)</f>
      </c>
      <c r="L5668" s="29">
        <f>IFERROR(E5668*C5668,0)</f>
      </c>
      <c r="M5668" s="29">
        <f>IFERROR((G5668*H5668*I5668/1000000)*D5668,0)</f>
      </c>
    </row>
    <row r="5669" spans="1:13" x14ac:dyDescent="0.25">
      <c r="A5669" s="16"/>
      <c r="E5669" s="27"/>
      <c r="F5669" t="s">
        <v>26</v>
      </c>
      <c r="G5669" s="28">
        <f>IFERROR(VLOOKUP(F5669,CARTON_LOOKUP!$A:$E,3,0),"")</f>
      </c>
      <c r="H5669" s="28">
        <f>IFERROR(VLOOKUP(F5669,CARTON_LOOKUP!$A:$E,4,0),"")</f>
      </c>
      <c r="I5669" s="28">
        <f>IFERROR(VLOOKUP(F5669,CARTON_LOOKUP!$A:$E,5,0),"")</f>
      </c>
      <c r="J5669" s="29">
        <f>IFERROR(VLOOKUP(F5669,CARTON_LOOKUP!$A:$E,2,0),"")</f>
      </c>
      <c r="K5669" s="29">
        <f>IFERROR(J5669*D5669,0)</f>
      </c>
      <c r="L5669" s="29">
        <f>IFERROR(E5669*C5669,0)</f>
      </c>
      <c r="M5669" s="29">
        <f>IFERROR((G5669*H5669*I5669/1000000)*D5669,0)</f>
      </c>
    </row>
    <row r="5670" spans="1:13" x14ac:dyDescent="0.25">
      <c r="A5670" s="16"/>
      <c r="E5670" s="27"/>
      <c r="F5670" t="s">
        <v>26</v>
      </c>
      <c r="G5670" s="28">
        <f>IFERROR(VLOOKUP(F5670,CARTON_LOOKUP!$A:$E,3,0),"")</f>
      </c>
      <c r="H5670" s="28">
        <f>IFERROR(VLOOKUP(F5670,CARTON_LOOKUP!$A:$E,4,0),"")</f>
      </c>
      <c r="I5670" s="28">
        <f>IFERROR(VLOOKUP(F5670,CARTON_LOOKUP!$A:$E,5,0),"")</f>
      </c>
      <c r="J5670" s="29">
        <f>IFERROR(VLOOKUP(F5670,CARTON_LOOKUP!$A:$E,2,0),"")</f>
      </c>
      <c r="K5670" s="29">
        <f>IFERROR(J5670*D5670,0)</f>
      </c>
      <c r="L5670" s="29">
        <f>IFERROR(E5670*C5670,0)</f>
      </c>
      <c r="M5670" s="29">
        <f>IFERROR((G5670*H5670*I5670/1000000)*D5670,0)</f>
      </c>
    </row>
    <row r="5671" spans="1:13" x14ac:dyDescent="0.25">
      <c r="A5671" s="16"/>
      <c r="E5671" s="27"/>
      <c r="F5671" t="s">
        <v>26</v>
      </c>
      <c r="G5671" s="28">
        <f>IFERROR(VLOOKUP(F5671,CARTON_LOOKUP!$A:$E,3,0),"")</f>
      </c>
      <c r="H5671" s="28">
        <f>IFERROR(VLOOKUP(F5671,CARTON_LOOKUP!$A:$E,4,0),"")</f>
      </c>
      <c r="I5671" s="28">
        <f>IFERROR(VLOOKUP(F5671,CARTON_LOOKUP!$A:$E,5,0),"")</f>
      </c>
      <c r="J5671" s="29">
        <f>IFERROR(VLOOKUP(F5671,CARTON_LOOKUP!$A:$E,2,0),"")</f>
      </c>
      <c r="K5671" s="29">
        <f>IFERROR(J5671*D5671,0)</f>
      </c>
      <c r="L5671" s="29">
        <f>IFERROR(E5671*C5671,0)</f>
      </c>
      <c r="M5671" s="29">
        <f>IFERROR((G5671*H5671*I5671/1000000)*D5671,0)</f>
      </c>
    </row>
    <row r="5672" spans="1:13" x14ac:dyDescent="0.25">
      <c r="A5672" s="16"/>
      <c r="E5672" s="27"/>
      <c r="F5672" t="s">
        <v>26</v>
      </c>
      <c r="G5672" s="28">
        <f>IFERROR(VLOOKUP(F5672,CARTON_LOOKUP!$A:$E,3,0),"")</f>
      </c>
      <c r="H5672" s="28">
        <f>IFERROR(VLOOKUP(F5672,CARTON_LOOKUP!$A:$E,4,0),"")</f>
      </c>
      <c r="I5672" s="28">
        <f>IFERROR(VLOOKUP(F5672,CARTON_LOOKUP!$A:$E,5,0),"")</f>
      </c>
      <c r="J5672" s="29">
        <f>IFERROR(VLOOKUP(F5672,CARTON_LOOKUP!$A:$E,2,0),"")</f>
      </c>
      <c r="K5672" s="29">
        <f>IFERROR(J5672*D5672,0)</f>
      </c>
      <c r="L5672" s="29">
        <f>IFERROR(E5672*C5672,0)</f>
      </c>
      <c r="M5672" s="29">
        <f>IFERROR((G5672*H5672*I5672/1000000)*D5672,0)</f>
      </c>
    </row>
    <row r="5673" spans="1:13" x14ac:dyDescent="0.25">
      <c r="A5673" s="16"/>
      <c r="E5673" s="27"/>
      <c r="F5673" t="s">
        <v>26</v>
      </c>
      <c r="G5673" s="28">
        <f>IFERROR(VLOOKUP(F5673,CARTON_LOOKUP!$A:$E,3,0),"")</f>
      </c>
      <c r="H5673" s="28">
        <f>IFERROR(VLOOKUP(F5673,CARTON_LOOKUP!$A:$E,4,0),"")</f>
      </c>
      <c r="I5673" s="28">
        <f>IFERROR(VLOOKUP(F5673,CARTON_LOOKUP!$A:$E,5,0),"")</f>
      </c>
      <c r="J5673" s="29">
        <f>IFERROR(VLOOKUP(F5673,CARTON_LOOKUP!$A:$E,2,0),"")</f>
      </c>
      <c r="K5673" s="29">
        <f>IFERROR(J5673*D5673,0)</f>
      </c>
      <c r="L5673" s="29">
        <f>IFERROR(E5673*C5673,0)</f>
      </c>
      <c r="M5673" s="29">
        <f>IFERROR((G5673*H5673*I5673/1000000)*D5673,0)</f>
      </c>
    </row>
    <row r="5674" spans="1:13" x14ac:dyDescent="0.25">
      <c r="A5674" s="16"/>
      <c r="E5674" s="27"/>
      <c r="F5674" t="s">
        <v>26</v>
      </c>
      <c r="G5674" s="28">
        <f>IFERROR(VLOOKUP(F5674,CARTON_LOOKUP!$A:$E,3,0),"")</f>
      </c>
      <c r="H5674" s="28">
        <f>IFERROR(VLOOKUP(F5674,CARTON_LOOKUP!$A:$E,4,0),"")</f>
      </c>
      <c r="I5674" s="28">
        <f>IFERROR(VLOOKUP(F5674,CARTON_LOOKUP!$A:$E,5,0),"")</f>
      </c>
      <c r="J5674" s="29">
        <f>IFERROR(VLOOKUP(F5674,CARTON_LOOKUP!$A:$E,2,0),"")</f>
      </c>
      <c r="K5674" s="29">
        <f>IFERROR(J5674*D5674,0)</f>
      </c>
      <c r="L5674" s="29">
        <f>IFERROR(E5674*C5674,0)</f>
      </c>
      <c r="M5674" s="29">
        <f>IFERROR((G5674*H5674*I5674/1000000)*D5674,0)</f>
      </c>
    </row>
    <row r="5675" spans="1:13" x14ac:dyDescent="0.25">
      <c r="A5675" s="16"/>
      <c r="E5675" s="27"/>
      <c r="F5675" t="s">
        <v>26</v>
      </c>
      <c r="G5675" s="28">
        <f>IFERROR(VLOOKUP(F5675,CARTON_LOOKUP!$A:$E,3,0),"")</f>
      </c>
      <c r="H5675" s="28">
        <f>IFERROR(VLOOKUP(F5675,CARTON_LOOKUP!$A:$E,4,0),"")</f>
      </c>
      <c r="I5675" s="28">
        <f>IFERROR(VLOOKUP(F5675,CARTON_LOOKUP!$A:$E,5,0),"")</f>
      </c>
      <c r="J5675" s="29">
        <f>IFERROR(VLOOKUP(F5675,CARTON_LOOKUP!$A:$E,2,0),"")</f>
      </c>
      <c r="K5675" s="29">
        <f>IFERROR(J5675*D5675,0)</f>
      </c>
      <c r="L5675" s="29">
        <f>IFERROR(E5675*C5675,0)</f>
      </c>
      <c r="M5675" s="29">
        <f>IFERROR((G5675*H5675*I5675/1000000)*D5675,0)</f>
      </c>
    </row>
    <row r="5676" spans="1:13" x14ac:dyDescent="0.25">
      <c r="A5676" s="16"/>
      <c r="E5676" s="27"/>
      <c r="F5676" t="s">
        <v>26</v>
      </c>
      <c r="G5676" s="28">
        <f>IFERROR(VLOOKUP(F5676,CARTON_LOOKUP!$A:$E,3,0),"")</f>
      </c>
      <c r="H5676" s="28">
        <f>IFERROR(VLOOKUP(F5676,CARTON_LOOKUP!$A:$E,4,0),"")</f>
      </c>
      <c r="I5676" s="28">
        <f>IFERROR(VLOOKUP(F5676,CARTON_LOOKUP!$A:$E,5,0),"")</f>
      </c>
      <c r="J5676" s="29">
        <f>IFERROR(VLOOKUP(F5676,CARTON_LOOKUP!$A:$E,2,0),"")</f>
      </c>
      <c r="K5676" s="29">
        <f>IFERROR(J5676*D5676,0)</f>
      </c>
      <c r="L5676" s="29">
        <f>IFERROR(E5676*C5676,0)</f>
      </c>
      <c r="M5676" s="29">
        <f>IFERROR((G5676*H5676*I5676/1000000)*D5676,0)</f>
      </c>
    </row>
    <row r="5677" spans="1:13" x14ac:dyDescent="0.25">
      <c r="A5677" s="16"/>
      <c r="E5677" s="27"/>
      <c r="F5677" t="s">
        <v>26</v>
      </c>
      <c r="G5677" s="28">
        <f>IFERROR(VLOOKUP(F5677,CARTON_LOOKUP!$A:$E,3,0),"")</f>
      </c>
      <c r="H5677" s="28">
        <f>IFERROR(VLOOKUP(F5677,CARTON_LOOKUP!$A:$E,4,0),"")</f>
      </c>
      <c r="I5677" s="28">
        <f>IFERROR(VLOOKUP(F5677,CARTON_LOOKUP!$A:$E,5,0),"")</f>
      </c>
      <c r="J5677" s="29">
        <f>IFERROR(VLOOKUP(F5677,CARTON_LOOKUP!$A:$E,2,0),"")</f>
      </c>
      <c r="K5677" s="29">
        <f>IFERROR(J5677*D5677,0)</f>
      </c>
      <c r="L5677" s="29">
        <f>IFERROR(E5677*C5677,0)</f>
      </c>
      <c r="M5677" s="29">
        <f>IFERROR((G5677*H5677*I5677/1000000)*D5677,0)</f>
      </c>
    </row>
    <row r="5678" spans="1:13" x14ac:dyDescent="0.25">
      <c r="A5678" s="16"/>
      <c r="E5678" s="27"/>
      <c r="F5678" t="s">
        <v>26</v>
      </c>
      <c r="G5678" s="28">
        <f>IFERROR(VLOOKUP(F5678,CARTON_LOOKUP!$A:$E,3,0),"")</f>
      </c>
      <c r="H5678" s="28">
        <f>IFERROR(VLOOKUP(F5678,CARTON_LOOKUP!$A:$E,4,0),"")</f>
      </c>
      <c r="I5678" s="28">
        <f>IFERROR(VLOOKUP(F5678,CARTON_LOOKUP!$A:$E,5,0),"")</f>
      </c>
      <c r="J5678" s="29">
        <f>IFERROR(VLOOKUP(F5678,CARTON_LOOKUP!$A:$E,2,0),"")</f>
      </c>
      <c r="K5678" s="29">
        <f>IFERROR(J5678*D5678,0)</f>
      </c>
      <c r="L5678" s="29">
        <f>IFERROR(E5678*C5678,0)</f>
      </c>
      <c r="M5678" s="29">
        <f>IFERROR((G5678*H5678*I5678/1000000)*D5678,0)</f>
      </c>
    </row>
    <row r="5679" spans="1:13" x14ac:dyDescent="0.25">
      <c r="A5679" s="16"/>
      <c r="E5679" s="27"/>
      <c r="F5679" t="s">
        <v>26</v>
      </c>
      <c r="G5679" s="28">
        <f>IFERROR(VLOOKUP(F5679,CARTON_LOOKUP!$A:$E,3,0),"")</f>
      </c>
      <c r="H5679" s="28">
        <f>IFERROR(VLOOKUP(F5679,CARTON_LOOKUP!$A:$E,4,0),"")</f>
      </c>
      <c r="I5679" s="28">
        <f>IFERROR(VLOOKUP(F5679,CARTON_LOOKUP!$A:$E,5,0),"")</f>
      </c>
      <c r="J5679" s="29">
        <f>IFERROR(VLOOKUP(F5679,CARTON_LOOKUP!$A:$E,2,0),"")</f>
      </c>
      <c r="K5679" s="29">
        <f>IFERROR(J5679*D5679,0)</f>
      </c>
      <c r="L5679" s="29">
        <f>IFERROR(E5679*C5679,0)</f>
      </c>
      <c r="M5679" s="29">
        <f>IFERROR((G5679*H5679*I5679/1000000)*D5679,0)</f>
      </c>
    </row>
    <row r="5680" spans="1:13" x14ac:dyDescent="0.25">
      <c r="A5680" s="16"/>
      <c r="E5680" s="27"/>
      <c r="F5680" t="s">
        <v>26</v>
      </c>
      <c r="G5680" s="28">
        <f>IFERROR(VLOOKUP(F5680,CARTON_LOOKUP!$A:$E,3,0),"")</f>
      </c>
      <c r="H5680" s="28">
        <f>IFERROR(VLOOKUP(F5680,CARTON_LOOKUP!$A:$E,4,0),"")</f>
      </c>
      <c r="I5680" s="28">
        <f>IFERROR(VLOOKUP(F5680,CARTON_LOOKUP!$A:$E,5,0),"")</f>
      </c>
      <c r="J5680" s="29">
        <f>IFERROR(VLOOKUP(F5680,CARTON_LOOKUP!$A:$E,2,0),"")</f>
      </c>
      <c r="K5680" s="29">
        <f>IFERROR(J5680*D5680,0)</f>
      </c>
      <c r="L5680" s="29">
        <f>IFERROR(E5680*C5680,0)</f>
      </c>
      <c r="M5680" s="29">
        <f>IFERROR((G5680*H5680*I5680/1000000)*D5680,0)</f>
      </c>
    </row>
    <row r="5681" spans="1:13" x14ac:dyDescent="0.25">
      <c r="A5681" s="16"/>
      <c r="E5681" s="27"/>
      <c r="F5681" t="s">
        <v>26</v>
      </c>
      <c r="G5681" s="28">
        <f>IFERROR(VLOOKUP(F5681,CARTON_LOOKUP!$A:$E,3,0),"")</f>
      </c>
      <c r="H5681" s="28">
        <f>IFERROR(VLOOKUP(F5681,CARTON_LOOKUP!$A:$E,4,0),"")</f>
      </c>
      <c r="I5681" s="28">
        <f>IFERROR(VLOOKUP(F5681,CARTON_LOOKUP!$A:$E,5,0),"")</f>
      </c>
      <c r="J5681" s="29">
        <f>IFERROR(VLOOKUP(F5681,CARTON_LOOKUP!$A:$E,2,0),"")</f>
      </c>
      <c r="K5681" s="29">
        <f>IFERROR(J5681*D5681,0)</f>
      </c>
      <c r="L5681" s="29">
        <f>IFERROR(E5681*C5681,0)</f>
      </c>
      <c r="M5681" s="29">
        <f>IFERROR((G5681*H5681*I5681/1000000)*D5681,0)</f>
      </c>
    </row>
    <row r="5682" spans="1:13" x14ac:dyDescent="0.25">
      <c r="A5682" s="16"/>
      <c r="E5682" s="27"/>
      <c r="F5682" t="s">
        <v>26</v>
      </c>
      <c r="G5682" s="28">
        <f>IFERROR(VLOOKUP(F5682,CARTON_LOOKUP!$A:$E,3,0),"")</f>
      </c>
      <c r="H5682" s="28">
        <f>IFERROR(VLOOKUP(F5682,CARTON_LOOKUP!$A:$E,4,0),"")</f>
      </c>
      <c r="I5682" s="28">
        <f>IFERROR(VLOOKUP(F5682,CARTON_LOOKUP!$A:$E,5,0),"")</f>
      </c>
      <c r="J5682" s="29">
        <f>IFERROR(VLOOKUP(F5682,CARTON_LOOKUP!$A:$E,2,0),"")</f>
      </c>
      <c r="K5682" s="29">
        <f>IFERROR(J5682*D5682,0)</f>
      </c>
      <c r="L5682" s="29">
        <f>IFERROR(E5682*C5682,0)</f>
      </c>
      <c r="M5682" s="29">
        <f>IFERROR((G5682*H5682*I5682/1000000)*D5682,0)</f>
      </c>
    </row>
    <row r="5683" spans="1:13" x14ac:dyDescent="0.25">
      <c r="A5683" s="16"/>
      <c r="E5683" s="27"/>
      <c r="F5683" t="s">
        <v>26</v>
      </c>
      <c r="G5683" s="28">
        <f>IFERROR(VLOOKUP(F5683,CARTON_LOOKUP!$A:$E,3,0),"")</f>
      </c>
      <c r="H5683" s="28">
        <f>IFERROR(VLOOKUP(F5683,CARTON_LOOKUP!$A:$E,4,0),"")</f>
      </c>
      <c r="I5683" s="28">
        <f>IFERROR(VLOOKUP(F5683,CARTON_LOOKUP!$A:$E,5,0),"")</f>
      </c>
      <c r="J5683" s="29">
        <f>IFERROR(VLOOKUP(F5683,CARTON_LOOKUP!$A:$E,2,0),"")</f>
      </c>
      <c r="K5683" s="29">
        <f>IFERROR(J5683*D5683,0)</f>
      </c>
      <c r="L5683" s="29">
        <f>IFERROR(E5683*C5683,0)</f>
      </c>
      <c r="M5683" s="29">
        <f>IFERROR((G5683*H5683*I5683/1000000)*D5683,0)</f>
      </c>
    </row>
    <row r="5684" spans="1:13" x14ac:dyDescent="0.25">
      <c r="A5684" s="16"/>
      <c r="E5684" s="27"/>
      <c r="F5684" t="s">
        <v>26</v>
      </c>
      <c r="G5684" s="28">
        <f>IFERROR(VLOOKUP(F5684,CARTON_LOOKUP!$A:$E,3,0),"")</f>
      </c>
      <c r="H5684" s="28">
        <f>IFERROR(VLOOKUP(F5684,CARTON_LOOKUP!$A:$E,4,0),"")</f>
      </c>
      <c r="I5684" s="28">
        <f>IFERROR(VLOOKUP(F5684,CARTON_LOOKUP!$A:$E,5,0),"")</f>
      </c>
      <c r="J5684" s="29">
        <f>IFERROR(VLOOKUP(F5684,CARTON_LOOKUP!$A:$E,2,0),"")</f>
      </c>
      <c r="K5684" s="29">
        <f>IFERROR(J5684*D5684,0)</f>
      </c>
      <c r="L5684" s="29">
        <f>IFERROR(E5684*C5684,0)</f>
      </c>
      <c r="M5684" s="29">
        <f>IFERROR((G5684*H5684*I5684/1000000)*D5684,0)</f>
      </c>
    </row>
    <row r="5685" spans="1:13" x14ac:dyDescent="0.25">
      <c r="A5685" s="16"/>
      <c r="E5685" s="27"/>
      <c r="F5685" t="s">
        <v>26</v>
      </c>
      <c r="G5685" s="28">
        <f>IFERROR(VLOOKUP(F5685,CARTON_LOOKUP!$A:$E,3,0),"")</f>
      </c>
      <c r="H5685" s="28">
        <f>IFERROR(VLOOKUP(F5685,CARTON_LOOKUP!$A:$E,4,0),"")</f>
      </c>
      <c r="I5685" s="28">
        <f>IFERROR(VLOOKUP(F5685,CARTON_LOOKUP!$A:$E,5,0),"")</f>
      </c>
      <c r="J5685" s="29">
        <f>IFERROR(VLOOKUP(F5685,CARTON_LOOKUP!$A:$E,2,0),"")</f>
      </c>
      <c r="K5685" s="29">
        <f>IFERROR(J5685*D5685,0)</f>
      </c>
      <c r="L5685" s="29">
        <f>IFERROR(E5685*C5685,0)</f>
      </c>
      <c r="M5685" s="29">
        <f>IFERROR((G5685*H5685*I5685/1000000)*D5685,0)</f>
      </c>
    </row>
    <row r="5686" spans="1:13" x14ac:dyDescent="0.25">
      <c r="A5686" s="16"/>
      <c r="E5686" s="27"/>
      <c r="F5686" t="s">
        <v>26</v>
      </c>
      <c r="G5686" s="28">
        <f>IFERROR(VLOOKUP(F5686,CARTON_LOOKUP!$A:$E,3,0),"")</f>
      </c>
      <c r="H5686" s="28">
        <f>IFERROR(VLOOKUP(F5686,CARTON_LOOKUP!$A:$E,4,0),"")</f>
      </c>
      <c r="I5686" s="28">
        <f>IFERROR(VLOOKUP(F5686,CARTON_LOOKUP!$A:$E,5,0),"")</f>
      </c>
      <c r="J5686" s="29">
        <f>IFERROR(VLOOKUP(F5686,CARTON_LOOKUP!$A:$E,2,0),"")</f>
      </c>
      <c r="K5686" s="29">
        <f>IFERROR(J5686*D5686,0)</f>
      </c>
      <c r="L5686" s="29">
        <f>IFERROR(E5686*C5686,0)</f>
      </c>
      <c r="M5686" s="29">
        <f>IFERROR((G5686*H5686*I5686/1000000)*D5686,0)</f>
      </c>
    </row>
    <row r="5687" spans="1:13" x14ac:dyDescent="0.25">
      <c r="A5687" s="16"/>
      <c r="E5687" s="27"/>
      <c r="F5687" t="s">
        <v>26</v>
      </c>
      <c r="G5687" s="28">
        <f>IFERROR(VLOOKUP(F5687,CARTON_LOOKUP!$A:$E,3,0),"")</f>
      </c>
      <c r="H5687" s="28">
        <f>IFERROR(VLOOKUP(F5687,CARTON_LOOKUP!$A:$E,4,0),"")</f>
      </c>
      <c r="I5687" s="28">
        <f>IFERROR(VLOOKUP(F5687,CARTON_LOOKUP!$A:$E,5,0),"")</f>
      </c>
      <c r="J5687" s="29">
        <f>IFERROR(VLOOKUP(F5687,CARTON_LOOKUP!$A:$E,2,0),"")</f>
      </c>
      <c r="K5687" s="29">
        <f>IFERROR(J5687*D5687,0)</f>
      </c>
      <c r="L5687" s="29">
        <f>IFERROR(E5687*C5687,0)</f>
      </c>
      <c r="M5687" s="29">
        <f>IFERROR((G5687*H5687*I5687/1000000)*D5687,0)</f>
      </c>
    </row>
    <row r="5688" spans="1:13" x14ac:dyDescent="0.25">
      <c r="A5688" s="16"/>
      <c r="E5688" s="27"/>
      <c r="F5688" t="s">
        <v>26</v>
      </c>
      <c r="G5688" s="28">
        <f>IFERROR(VLOOKUP(F5688,CARTON_LOOKUP!$A:$E,3,0),"")</f>
      </c>
      <c r="H5688" s="28">
        <f>IFERROR(VLOOKUP(F5688,CARTON_LOOKUP!$A:$E,4,0),"")</f>
      </c>
      <c r="I5688" s="28">
        <f>IFERROR(VLOOKUP(F5688,CARTON_LOOKUP!$A:$E,5,0),"")</f>
      </c>
      <c r="J5688" s="29">
        <f>IFERROR(VLOOKUP(F5688,CARTON_LOOKUP!$A:$E,2,0),"")</f>
      </c>
      <c r="K5688" s="29">
        <f>IFERROR(J5688*D5688,0)</f>
      </c>
      <c r="L5688" s="29">
        <f>IFERROR(E5688*C5688,0)</f>
      </c>
      <c r="M5688" s="29">
        <f>IFERROR((G5688*H5688*I5688/1000000)*D5688,0)</f>
      </c>
    </row>
    <row r="5689" spans="1:13" x14ac:dyDescent="0.25">
      <c r="A5689" s="16"/>
      <c r="E5689" s="27"/>
      <c r="F5689" t="s">
        <v>26</v>
      </c>
      <c r="G5689" s="28">
        <f>IFERROR(VLOOKUP(F5689,CARTON_LOOKUP!$A:$E,3,0),"")</f>
      </c>
      <c r="H5689" s="28">
        <f>IFERROR(VLOOKUP(F5689,CARTON_LOOKUP!$A:$E,4,0),"")</f>
      </c>
      <c r="I5689" s="28">
        <f>IFERROR(VLOOKUP(F5689,CARTON_LOOKUP!$A:$E,5,0),"")</f>
      </c>
      <c r="J5689" s="29">
        <f>IFERROR(VLOOKUP(F5689,CARTON_LOOKUP!$A:$E,2,0),"")</f>
      </c>
      <c r="K5689" s="29">
        <f>IFERROR(J5689*D5689,0)</f>
      </c>
      <c r="L5689" s="29">
        <f>IFERROR(E5689*C5689,0)</f>
      </c>
      <c r="M5689" s="29">
        <f>IFERROR((G5689*H5689*I5689/1000000)*D5689,0)</f>
      </c>
    </row>
    <row r="5690" spans="1:13" x14ac:dyDescent="0.25">
      <c r="A5690" s="16"/>
      <c r="E5690" s="27"/>
      <c r="F5690" t="s">
        <v>26</v>
      </c>
      <c r="G5690" s="28">
        <f>IFERROR(VLOOKUP(F5690,CARTON_LOOKUP!$A:$E,3,0),"")</f>
      </c>
      <c r="H5690" s="28">
        <f>IFERROR(VLOOKUP(F5690,CARTON_LOOKUP!$A:$E,4,0),"")</f>
      </c>
      <c r="I5690" s="28">
        <f>IFERROR(VLOOKUP(F5690,CARTON_LOOKUP!$A:$E,5,0),"")</f>
      </c>
      <c r="J5690" s="29">
        <f>IFERROR(VLOOKUP(F5690,CARTON_LOOKUP!$A:$E,2,0),"")</f>
      </c>
      <c r="K5690" s="29">
        <f>IFERROR(J5690*D5690,0)</f>
      </c>
      <c r="L5690" s="29">
        <f>IFERROR(E5690*C5690,0)</f>
      </c>
      <c r="M5690" s="29">
        <f>IFERROR((G5690*H5690*I5690/1000000)*D5690,0)</f>
      </c>
    </row>
    <row r="5691" spans="1:13" x14ac:dyDescent="0.25">
      <c r="A5691" s="16"/>
      <c r="E5691" s="27"/>
      <c r="F5691" t="s">
        <v>26</v>
      </c>
      <c r="G5691" s="28">
        <f>IFERROR(VLOOKUP(F5691,CARTON_LOOKUP!$A:$E,3,0),"")</f>
      </c>
      <c r="H5691" s="28">
        <f>IFERROR(VLOOKUP(F5691,CARTON_LOOKUP!$A:$E,4,0),"")</f>
      </c>
      <c r="I5691" s="28">
        <f>IFERROR(VLOOKUP(F5691,CARTON_LOOKUP!$A:$E,5,0),"")</f>
      </c>
      <c r="J5691" s="29">
        <f>IFERROR(VLOOKUP(F5691,CARTON_LOOKUP!$A:$E,2,0),"")</f>
      </c>
      <c r="K5691" s="29">
        <f>IFERROR(J5691*D5691,0)</f>
      </c>
      <c r="L5691" s="29">
        <f>IFERROR(E5691*C5691,0)</f>
      </c>
      <c r="M5691" s="29">
        <f>IFERROR((G5691*H5691*I5691/1000000)*D5691,0)</f>
      </c>
    </row>
    <row r="5692" spans="1:13" x14ac:dyDescent="0.25">
      <c r="A5692" s="16"/>
      <c r="E5692" s="27"/>
      <c r="F5692" t="s">
        <v>26</v>
      </c>
      <c r="G5692" s="28">
        <f>IFERROR(VLOOKUP(F5692,CARTON_LOOKUP!$A:$E,3,0),"")</f>
      </c>
      <c r="H5692" s="28">
        <f>IFERROR(VLOOKUP(F5692,CARTON_LOOKUP!$A:$E,4,0),"")</f>
      </c>
      <c r="I5692" s="28">
        <f>IFERROR(VLOOKUP(F5692,CARTON_LOOKUP!$A:$E,5,0),"")</f>
      </c>
      <c r="J5692" s="29">
        <f>IFERROR(VLOOKUP(F5692,CARTON_LOOKUP!$A:$E,2,0),"")</f>
      </c>
      <c r="K5692" s="29">
        <f>IFERROR(J5692*D5692,0)</f>
      </c>
      <c r="L5692" s="29">
        <f>IFERROR(E5692*C5692,0)</f>
      </c>
      <c r="M5692" s="29">
        <f>IFERROR((G5692*H5692*I5692/1000000)*D5692,0)</f>
      </c>
    </row>
    <row r="5693" spans="1:13" x14ac:dyDescent="0.25">
      <c r="A5693" s="16"/>
      <c r="E5693" s="27"/>
      <c r="F5693" t="s">
        <v>26</v>
      </c>
      <c r="G5693" s="28">
        <f>IFERROR(VLOOKUP(F5693,CARTON_LOOKUP!$A:$E,3,0),"")</f>
      </c>
      <c r="H5693" s="28">
        <f>IFERROR(VLOOKUP(F5693,CARTON_LOOKUP!$A:$E,4,0),"")</f>
      </c>
      <c r="I5693" s="28">
        <f>IFERROR(VLOOKUP(F5693,CARTON_LOOKUP!$A:$E,5,0),"")</f>
      </c>
      <c r="J5693" s="29">
        <f>IFERROR(VLOOKUP(F5693,CARTON_LOOKUP!$A:$E,2,0),"")</f>
      </c>
      <c r="K5693" s="29">
        <f>IFERROR(J5693*D5693,0)</f>
      </c>
      <c r="L5693" s="29">
        <f>IFERROR(E5693*C5693,0)</f>
      </c>
      <c r="M5693" s="29">
        <f>IFERROR((G5693*H5693*I5693/1000000)*D5693,0)</f>
      </c>
    </row>
    <row r="5694" spans="1:13" x14ac:dyDescent="0.25">
      <c r="A5694" s="16"/>
      <c r="E5694" s="27"/>
      <c r="F5694" t="s">
        <v>26</v>
      </c>
      <c r="G5694" s="28">
        <f>IFERROR(VLOOKUP(F5694,CARTON_LOOKUP!$A:$E,3,0),"")</f>
      </c>
      <c r="H5694" s="28">
        <f>IFERROR(VLOOKUP(F5694,CARTON_LOOKUP!$A:$E,4,0),"")</f>
      </c>
      <c r="I5694" s="28">
        <f>IFERROR(VLOOKUP(F5694,CARTON_LOOKUP!$A:$E,5,0),"")</f>
      </c>
      <c r="J5694" s="29">
        <f>IFERROR(VLOOKUP(F5694,CARTON_LOOKUP!$A:$E,2,0),"")</f>
      </c>
      <c r="K5694" s="29">
        <f>IFERROR(J5694*D5694,0)</f>
      </c>
      <c r="L5694" s="29">
        <f>IFERROR(E5694*C5694,0)</f>
      </c>
      <c r="M5694" s="29">
        <f>IFERROR((G5694*H5694*I5694/1000000)*D5694,0)</f>
      </c>
    </row>
    <row r="5695" spans="1:13" x14ac:dyDescent="0.25">
      <c r="A5695" s="16"/>
      <c r="E5695" s="27"/>
      <c r="F5695" t="s">
        <v>26</v>
      </c>
      <c r="G5695" s="28">
        <f>IFERROR(VLOOKUP(F5695,CARTON_LOOKUP!$A:$E,3,0),"")</f>
      </c>
      <c r="H5695" s="28">
        <f>IFERROR(VLOOKUP(F5695,CARTON_LOOKUP!$A:$E,4,0),"")</f>
      </c>
      <c r="I5695" s="28">
        <f>IFERROR(VLOOKUP(F5695,CARTON_LOOKUP!$A:$E,5,0),"")</f>
      </c>
      <c r="J5695" s="29">
        <f>IFERROR(VLOOKUP(F5695,CARTON_LOOKUP!$A:$E,2,0),"")</f>
      </c>
      <c r="K5695" s="29">
        <f>IFERROR(J5695*D5695,0)</f>
      </c>
      <c r="L5695" s="29">
        <f>IFERROR(E5695*C5695,0)</f>
      </c>
      <c r="M5695" s="29">
        <f>IFERROR((G5695*H5695*I5695/1000000)*D5695,0)</f>
      </c>
    </row>
    <row r="5696" spans="1:13" x14ac:dyDescent="0.25">
      <c r="A5696" s="16"/>
      <c r="E5696" s="27"/>
      <c r="F5696" t="s">
        <v>26</v>
      </c>
      <c r="G5696" s="28">
        <f>IFERROR(VLOOKUP(F5696,CARTON_LOOKUP!$A:$E,3,0),"")</f>
      </c>
      <c r="H5696" s="28">
        <f>IFERROR(VLOOKUP(F5696,CARTON_LOOKUP!$A:$E,4,0),"")</f>
      </c>
      <c r="I5696" s="28">
        <f>IFERROR(VLOOKUP(F5696,CARTON_LOOKUP!$A:$E,5,0),"")</f>
      </c>
      <c r="J5696" s="29">
        <f>IFERROR(VLOOKUP(F5696,CARTON_LOOKUP!$A:$E,2,0),"")</f>
      </c>
      <c r="K5696" s="29">
        <f>IFERROR(J5696*D5696,0)</f>
      </c>
      <c r="L5696" s="29">
        <f>IFERROR(E5696*C5696,0)</f>
      </c>
      <c r="M5696" s="29">
        <f>IFERROR((G5696*H5696*I5696/1000000)*D5696,0)</f>
      </c>
    </row>
    <row r="5697" spans="1:13" x14ac:dyDescent="0.25">
      <c r="A5697" s="16"/>
      <c r="E5697" s="27"/>
      <c r="F5697" t="s">
        <v>26</v>
      </c>
      <c r="G5697" s="28">
        <f>IFERROR(VLOOKUP(F5697,CARTON_LOOKUP!$A:$E,3,0),"")</f>
      </c>
      <c r="H5697" s="28">
        <f>IFERROR(VLOOKUP(F5697,CARTON_LOOKUP!$A:$E,4,0),"")</f>
      </c>
      <c r="I5697" s="28">
        <f>IFERROR(VLOOKUP(F5697,CARTON_LOOKUP!$A:$E,5,0),"")</f>
      </c>
      <c r="J5697" s="29">
        <f>IFERROR(VLOOKUP(F5697,CARTON_LOOKUP!$A:$E,2,0),"")</f>
      </c>
      <c r="K5697" s="29">
        <f>IFERROR(J5697*D5697,0)</f>
      </c>
      <c r="L5697" s="29">
        <f>IFERROR(E5697*C5697,0)</f>
      </c>
      <c r="M5697" s="29">
        <f>IFERROR((G5697*H5697*I5697/1000000)*D5697,0)</f>
      </c>
    </row>
    <row r="5698" spans="1:13" x14ac:dyDescent="0.25">
      <c r="A5698" s="16"/>
      <c r="E5698" s="27"/>
      <c r="F5698" t="s">
        <v>26</v>
      </c>
      <c r="G5698" s="28">
        <f>IFERROR(VLOOKUP(F5698,CARTON_LOOKUP!$A:$E,3,0),"")</f>
      </c>
      <c r="H5698" s="28">
        <f>IFERROR(VLOOKUP(F5698,CARTON_LOOKUP!$A:$E,4,0),"")</f>
      </c>
      <c r="I5698" s="28">
        <f>IFERROR(VLOOKUP(F5698,CARTON_LOOKUP!$A:$E,5,0),"")</f>
      </c>
      <c r="J5698" s="29">
        <f>IFERROR(VLOOKUP(F5698,CARTON_LOOKUP!$A:$E,2,0),"")</f>
      </c>
      <c r="K5698" s="29">
        <f>IFERROR(J5698*D5698,0)</f>
      </c>
      <c r="L5698" s="29">
        <f>IFERROR(E5698*C5698,0)</f>
      </c>
      <c r="M5698" s="29">
        <f>IFERROR((G5698*H5698*I5698/1000000)*D5698,0)</f>
      </c>
    </row>
    <row r="5699" spans="1:13" x14ac:dyDescent="0.25">
      <c r="A5699" s="16"/>
      <c r="E5699" s="27"/>
      <c r="F5699" t="s">
        <v>26</v>
      </c>
      <c r="G5699" s="28">
        <f>IFERROR(VLOOKUP(F5699,CARTON_LOOKUP!$A:$E,3,0),"")</f>
      </c>
      <c r="H5699" s="28">
        <f>IFERROR(VLOOKUP(F5699,CARTON_LOOKUP!$A:$E,4,0),"")</f>
      </c>
      <c r="I5699" s="28">
        <f>IFERROR(VLOOKUP(F5699,CARTON_LOOKUP!$A:$E,5,0),"")</f>
      </c>
      <c r="J5699" s="29">
        <f>IFERROR(VLOOKUP(F5699,CARTON_LOOKUP!$A:$E,2,0),"")</f>
      </c>
      <c r="K5699" s="29">
        <f>IFERROR(J5699*D5699,0)</f>
      </c>
      <c r="L5699" s="29">
        <f>IFERROR(E5699*C5699,0)</f>
      </c>
      <c r="M5699" s="29">
        <f>IFERROR((G5699*H5699*I5699/1000000)*D5699,0)</f>
      </c>
    </row>
    <row r="5700" spans="1:13" x14ac:dyDescent="0.25">
      <c r="A5700" s="16"/>
      <c r="E5700" s="27"/>
      <c r="F5700" t="s">
        <v>26</v>
      </c>
      <c r="G5700" s="28">
        <f>IFERROR(VLOOKUP(F5700,CARTON_LOOKUP!$A:$E,3,0),"")</f>
      </c>
      <c r="H5700" s="28">
        <f>IFERROR(VLOOKUP(F5700,CARTON_LOOKUP!$A:$E,4,0),"")</f>
      </c>
      <c r="I5700" s="28">
        <f>IFERROR(VLOOKUP(F5700,CARTON_LOOKUP!$A:$E,5,0),"")</f>
      </c>
      <c r="J5700" s="29">
        <f>IFERROR(VLOOKUP(F5700,CARTON_LOOKUP!$A:$E,2,0),"")</f>
      </c>
      <c r="K5700" s="29">
        <f>IFERROR(J5700*D5700,0)</f>
      </c>
      <c r="L5700" s="29">
        <f>IFERROR(E5700*C5700,0)</f>
      </c>
      <c r="M5700" s="29">
        <f>IFERROR((G5700*H5700*I5700/1000000)*D5700,0)</f>
      </c>
    </row>
    <row r="5701" spans="1:13" x14ac:dyDescent="0.25">
      <c r="A5701" s="16"/>
      <c r="E5701" s="27"/>
      <c r="F5701" t="s">
        <v>26</v>
      </c>
      <c r="G5701" s="28">
        <f>IFERROR(VLOOKUP(F5701,CARTON_LOOKUP!$A:$E,3,0),"")</f>
      </c>
      <c r="H5701" s="28">
        <f>IFERROR(VLOOKUP(F5701,CARTON_LOOKUP!$A:$E,4,0),"")</f>
      </c>
      <c r="I5701" s="28">
        <f>IFERROR(VLOOKUP(F5701,CARTON_LOOKUP!$A:$E,5,0),"")</f>
      </c>
      <c r="J5701" s="29">
        <f>IFERROR(VLOOKUP(F5701,CARTON_LOOKUP!$A:$E,2,0),"")</f>
      </c>
      <c r="K5701" s="29">
        <f>IFERROR(J5701*D5701,0)</f>
      </c>
      <c r="L5701" s="29">
        <f>IFERROR(E5701*C5701,0)</f>
      </c>
      <c r="M5701" s="29">
        <f>IFERROR((G5701*H5701*I5701/1000000)*D5701,0)</f>
      </c>
    </row>
    <row r="5702" spans="1:13" x14ac:dyDescent="0.25">
      <c r="A5702" s="16"/>
      <c r="E5702" s="27"/>
      <c r="F5702" t="s">
        <v>26</v>
      </c>
      <c r="G5702" s="28">
        <f>IFERROR(VLOOKUP(F5702,CARTON_LOOKUP!$A:$E,3,0),"")</f>
      </c>
      <c r="H5702" s="28">
        <f>IFERROR(VLOOKUP(F5702,CARTON_LOOKUP!$A:$E,4,0),"")</f>
      </c>
      <c r="I5702" s="28">
        <f>IFERROR(VLOOKUP(F5702,CARTON_LOOKUP!$A:$E,5,0),"")</f>
      </c>
      <c r="J5702" s="29">
        <f>IFERROR(VLOOKUP(F5702,CARTON_LOOKUP!$A:$E,2,0),"")</f>
      </c>
      <c r="K5702" s="29">
        <f>IFERROR(J5702*D5702,0)</f>
      </c>
      <c r="L5702" s="29">
        <f>IFERROR(E5702*C5702,0)</f>
      </c>
      <c r="M5702" s="29">
        <f>IFERROR((G5702*H5702*I5702/1000000)*D5702,0)</f>
      </c>
    </row>
    <row r="5703" spans="1:13" x14ac:dyDescent="0.25">
      <c r="A5703" s="16"/>
      <c r="E5703" s="27"/>
      <c r="F5703" t="s">
        <v>26</v>
      </c>
      <c r="G5703" s="28">
        <f>IFERROR(VLOOKUP(F5703,CARTON_LOOKUP!$A:$E,3,0),"")</f>
      </c>
      <c r="H5703" s="28">
        <f>IFERROR(VLOOKUP(F5703,CARTON_LOOKUP!$A:$E,4,0),"")</f>
      </c>
      <c r="I5703" s="28">
        <f>IFERROR(VLOOKUP(F5703,CARTON_LOOKUP!$A:$E,5,0),"")</f>
      </c>
      <c r="J5703" s="29">
        <f>IFERROR(VLOOKUP(F5703,CARTON_LOOKUP!$A:$E,2,0),"")</f>
      </c>
      <c r="K5703" s="29">
        <f>IFERROR(J5703*D5703,0)</f>
      </c>
      <c r="L5703" s="29">
        <f>IFERROR(E5703*C5703,0)</f>
      </c>
      <c r="M5703" s="29">
        <f>IFERROR((G5703*H5703*I5703/1000000)*D5703,0)</f>
      </c>
    </row>
    <row r="5704" spans="1:13" x14ac:dyDescent="0.25">
      <c r="A5704" s="16"/>
      <c r="E5704" s="27"/>
      <c r="F5704" t="s">
        <v>26</v>
      </c>
      <c r="G5704" s="28">
        <f>IFERROR(VLOOKUP(F5704,CARTON_LOOKUP!$A:$E,3,0),"")</f>
      </c>
      <c r="H5704" s="28">
        <f>IFERROR(VLOOKUP(F5704,CARTON_LOOKUP!$A:$E,4,0),"")</f>
      </c>
      <c r="I5704" s="28">
        <f>IFERROR(VLOOKUP(F5704,CARTON_LOOKUP!$A:$E,5,0),"")</f>
      </c>
      <c r="J5704" s="29">
        <f>IFERROR(VLOOKUP(F5704,CARTON_LOOKUP!$A:$E,2,0),"")</f>
      </c>
      <c r="K5704" s="29">
        <f>IFERROR(J5704*D5704,0)</f>
      </c>
      <c r="L5704" s="29">
        <f>IFERROR(E5704*C5704,0)</f>
      </c>
      <c r="M5704" s="29">
        <f>IFERROR((G5704*H5704*I5704/1000000)*D5704,0)</f>
      </c>
    </row>
    <row r="5705" spans="1:13" x14ac:dyDescent="0.25">
      <c r="A5705" s="16"/>
      <c r="E5705" s="27"/>
      <c r="F5705" t="s">
        <v>26</v>
      </c>
      <c r="G5705" s="28">
        <f>IFERROR(VLOOKUP(F5705,CARTON_LOOKUP!$A:$E,3,0),"")</f>
      </c>
      <c r="H5705" s="28">
        <f>IFERROR(VLOOKUP(F5705,CARTON_LOOKUP!$A:$E,4,0),"")</f>
      </c>
      <c r="I5705" s="28">
        <f>IFERROR(VLOOKUP(F5705,CARTON_LOOKUP!$A:$E,5,0),"")</f>
      </c>
      <c r="J5705" s="29">
        <f>IFERROR(VLOOKUP(F5705,CARTON_LOOKUP!$A:$E,2,0),"")</f>
      </c>
      <c r="K5705" s="29">
        <f>IFERROR(J5705*D5705,0)</f>
      </c>
      <c r="L5705" s="29">
        <f>IFERROR(E5705*C5705,0)</f>
      </c>
      <c r="M5705" s="29">
        <f>IFERROR((G5705*H5705*I5705/1000000)*D5705,0)</f>
      </c>
    </row>
    <row r="5706" spans="1:13" x14ac:dyDescent="0.25">
      <c r="A5706" s="16"/>
      <c r="E5706" s="27"/>
      <c r="F5706" t="s">
        <v>26</v>
      </c>
      <c r="G5706" s="28">
        <f>IFERROR(VLOOKUP(F5706,CARTON_LOOKUP!$A:$E,3,0),"")</f>
      </c>
      <c r="H5706" s="28">
        <f>IFERROR(VLOOKUP(F5706,CARTON_LOOKUP!$A:$E,4,0),"")</f>
      </c>
      <c r="I5706" s="28">
        <f>IFERROR(VLOOKUP(F5706,CARTON_LOOKUP!$A:$E,5,0),"")</f>
      </c>
      <c r="J5706" s="29">
        <f>IFERROR(VLOOKUP(F5706,CARTON_LOOKUP!$A:$E,2,0),"")</f>
      </c>
      <c r="K5706" s="29">
        <f>IFERROR(J5706*D5706,0)</f>
      </c>
      <c r="L5706" s="29">
        <f>IFERROR(E5706*C5706,0)</f>
      </c>
      <c r="M5706" s="29">
        <f>IFERROR((G5706*H5706*I5706/1000000)*D5706,0)</f>
      </c>
    </row>
    <row r="5707" spans="1:13" x14ac:dyDescent="0.25">
      <c r="A5707" s="16"/>
      <c r="E5707" s="27"/>
      <c r="F5707" t="s">
        <v>26</v>
      </c>
      <c r="G5707" s="28">
        <f>IFERROR(VLOOKUP(F5707,CARTON_LOOKUP!$A:$E,3,0),"")</f>
      </c>
      <c r="H5707" s="28">
        <f>IFERROR(VLOOKUP(F5707,CARTON_LOOKUP!$A:$E,4,0),"")</f>
      </c>
      <c r="I5707" s="28">
        <f>IFERROR(VLOOKUP(F5707,CARTON_LOOKUP!$A:$E,5,0),"")</f>
      </c>
      <c r="J5707" s="29">
        <f>IFERROR(VLOOKUP(F5707,CARTON_LOOKUP!$A:$E,2,0),"")</f>
      </c>
      <c r="K5707" s="29">
        <f>IFERROR(J5707*D5707,0)</f>
      </c>
      <c r="L5707" s="29">
        <f>IFERROR(E5707*C5707,0)</f>
      </c>
      <c r="M5707" s="29">
        <f>IFERROR((G5707*H5707*I5707/1000000)*D5707,0)</f>
      </c>
    </row>
    <row r="5708" spans="1:13" x14ac:dyDescent="0.25">
      <c r="A5708" s="16"/>
      <c r="E5708" s="27"/>
      <c r="F5708" t="s">
        <v>26</v>
      </c>
      <c r="G5708" s="28">
        <f>IFERROR(VLOOKUP(F5708,CARTON_LOOKUP!$A:$E,3,0),"")</f>
      </c>
      <c r="H5708" s="28">
        <f>IFERROR(VLOOKUP(F5708,CARTON_LOOKUP!$A:$E,4,0),"")</f>
      </c>
      <c r="I5708" s="28">
        <f>IFERROR(VLOOKUP(F5708,CARTON_LOOKUP!$A:$E,5,0),"")</f>
      </c>
      <c r="J5708" s="29">
        <f>IFERROR(VLOOKUP(F5708,CARTON_LOOKUP!$A:$E,2,0),"")</f>
      </c>
      <c r="K5708" s="29">
        <f>IFERROR(J5708*D5708,0)</f>
      </c>
      <c r="L5708" s="29">
        <f>IFERROR(E5708*C5708,0)</f>
      </c>
      <c r="M5708" s="29">
        <f>IFERROR((G5708*H5708*I5708/1000000)*D5708,0)</f>
      </c>
    </row>
    <row r="5709" spans="1:13" x14ac:dyDescent="0.25">
      <c r="A5709" s="16"/>
      <c r="E5709" s="27"/>
      <c r="F5709" t="s">
        <v>26</v>
      </c>
      <c r="G5709" s="28">
        <f>IFERROR(VLOOKUP(F5709,CARTON_LOOKUP!$A:$E,3,0),"")</f>
      </c>
      <c r="H5709" s="28">
        <f>IFERROR(VLOOKUP(F5709,CARTON_LOOKUP!$A:$E,4,0),"")</f>
      </c>
      <c r="I5709" s="28">
        <f>IFERROR(VLOOKUP(F5709,CARTON_LOOKUP!$A:$E,5,0),"")</f>
      </c>
      <c r="J5709" s="29">
        <f>IFERROR(VLOOKUP(F5709,CARTON_LOOKUP!$A:$E,2,0),"")</f>
      </c>
      <c r="K5709" s="29">
        <f>IFERROR(J5709*D5709,0)</f>
      </c>
      <c r="L5709" s="29">
        <f>IFERROR(E5709*C5709,0)</f>
      </c>
      <c r="M5709" s="29">
        <f>IFERROR((G5709*H5709*I5709/1000000)*D5709,0)</f>
      </c>
    </row>
    <row r="5710" spans="1:13" x14ac:dyDescent="0.25">
      <c r="A5710" s="16"/>
      <c r="E5710" s="27"/>
      <c r="F5710" t="s">
        <v>26</v>
      </c>
      <c r="G5710" s="28">
        <f>IFERROR(VLOOKUP(F5710,CARTON_LOOKUP!$A:$E,3,0),"")</f>
      </c>
      <c r="H5710" s="28">
        <f>IFERROR(VLOOKUP(F5710,CARTON_LOOKUP!$A:$E,4,0),"")</f>
      </c>
      <c r="I5710" s="28">
        <f>IFERROR(VLOOKUP(F5710,CARTON_LOOKUP!$A:$E,5,0),"")</f>
      </c>
      <c r="J5710" s="29">
        <f>IFERROR(VLOOKUP(F5710,CARTON_LOOKUP!$A:$E,2,0),"")</f>
      </c>
      <c r="K5710" s="29">
        <f>IFERROR(J5710*D5710,0)</f>
      </c>
      <c r="L5710" s="29">
        <f>IFERROR(E5710*C5710,0)</f>
      </c>
      <c r="M5710" s="29">
        <f>IFERROR((G5710*H5710*I5710/1000000)*D5710,0)</f>
      </c>
    </row>
    <row r="5711" spans="1:13" x14ac:dyDescent="0.25">
      <c r="A5711" s="16"/>
      <c r="E5711" s="27"/>
      <c r="F5711" t="s">
        <v>26</v>
      </c>
      <c r="G5711" s="28">
        <f>IFERROR(VLOOKUP(F5711,CARTON_LOOKUP!$A:$E,3,0),"")</f>
      </c>
      <c r="H5711" s="28">
        <f>IFERROR(VLOOKUP(F5711,CARTON_LOOKUP!$A:$E,4,0),"")</f>
      </c>
      <c r="I5711" s="28">
        <f>IFERROR(VLOOKUP(F5711,CARTON_LOOKUP!$A:$E,5,0),"")</f>
      </c>
      <c r="J5711" s="29">
        <f>IFERROR(VLOOKUP(F5711,CARTON_LOOKUP!$A:$E,2,0),"")</f>
      </c>
      <c r="K5711" s="29">
        <f>IFERROR(J5711*D5711,0)</f>
      </c>
      <c r="L5711" s="29">
        <f>IFERROR(E5711*C5711,0)</f>
      </c>
      <c r="M5711" s="29">
        <f>IFERROR((G5711*H5711*I5711/1000000)*D5711,0)</f>
      </c>
    </row>
    <row r="5712" spans="1:13" x14ac:dyDescent="0.25">
      <c r="A5712" s="16"/>
      <c r="E5712" s="27"/>
      <c r="F5712" t="s">
        <v>26</v>
      </c>
      <c r="G5712" s="28">
        <f>IFERROR(VLOOKUP(F5712,CARTON_LOOKUP!$A:$E,3,0),"")</f>
      </c>
      <c r="H5712" s="28">
        <f>IFERROR(VLOOKUP(F5712,CARTON_LOOKUP!$A:$E,4,0),"")</f>
      </c>
      <c r="I5712" s="28">
        <f>IFERROR(VLOOKUP(F5712,CARTON_LOOKUP!$A:$E,5,0),"")</f>
      </c>
      <c r="J5712" s="29">
        <f>IFERROR(VLOOKUP(F5712,CARTON_LOOKUP!$A:$E,2,0),"")</f>
      </c>
      <c r="K5712" s="29">
        <f>IFERROR(J5712*D5712,0)</f>
      </c>
      <c r="L5712" s="29">
        <f>IFERROR(E5712*C5712,0)</f>
      </c>
      <c r="M5712" s="29">
        <f>IFERROR((G5712*H5712*I5712/1000000)*D5712,0)</f>
      </c>
    </row>
    <row r="5713" spans="1:13" x14ac:dyDescent="0.25">
      <c r="A5713" s="16"/>
      <c r="E5713" s="27"/>
      <c r="F5713" t="s">
        <v>26</v>
      </c>
      <c r="G5713" s="28">
        <f>IFERROR(VLOOKUP(F5713,CARTON_LOOKUP!$A:$E,3,0),"")</f>
      </c>
      <c r="H5713" s="28">
        <f>IFERROR(VLOOKUP(F5713,CARTON_LOOKUP!$A:$E,4,0),"")</f>
      </c>
      <c r="I5713" s="28">
        <f>IFERROR(VLOOKUP(F5713,CARTON_LOOKUP!$A:$E,5,0),"")</f>
      </c>
      <c r="J5713" s="29">
        <f>IFERROR(VLOOKUP(F5713,CARTON_LOOKUP!$A:$E,2,0),"")</f>
      </c>
      <c r="K5713" s="29">
        <f>IFERROR(J5713*D5713,0)</f>
      </c>
      <c r="L5713" s="29">
        <f>IFERROR(E5713*C5713,0)</f>
      </c>
      <c r="M5713" s="29">
        <f>IFERROR((G5713*H5713*I5713/1000000)*D5713,0)</f>
      </c>
    </row>
    <row r="5714" spans="1:13" x14ac:dyDescent="0.25">
      <c r="A5714" s="16"/>
      <c r="E5714" s="27"/>
      <c r="F5714" t="s">
        <v>26</v>
      </c>
      <c r="G5714" s="28">
        <f>IFERROR(VLOOKUP(F5714,CARTON_LOOKUP!$A:$E,3,0),"")</f>
      </c>
      <c r="H5714" s="28">
        <f>IFERROR(VLOOKUP(F5714,CARTON_LOOKUP!$A:$E,4,0),"")</f>
      </c>
      <c r="I5714" s="28">
        <f>IFERROR(VLOOKUP(F5714,CARTON_LOOKUP!$A:$E,5,0),"")</f>
      </c>
      <c r="J5714" s="29">
        <f>IFERROR(VLOOKUP(F5714,CARTON_LOOKUP!$A:$E,2,0),"")</f>
      </c>
      <c r="K5714" s="29">
        <f>IFERROR(J5714*D5714,0)</f>
      </c>
      <c r="L5714" s="29">
        <f>IFERROR(E5714*C5714,0)</f>
      </c>
      <c r="M5714" s="29">
        <f>IFERROR((G5714*H5714*I5714/1000000)*D5714,0)</f>
      </c>
    </row>
    <row r="5715" spans="1:13" x14ac:dyDescent="0.25">
      <c r="A5715" s="16"/>
      <c r="E5715" s="27"/>
      <c r="F5715" t="s">
        <v>26</v>
      </c>
      <c r="G5715" s="28">
        <f>IFERROR(VLOOKUP(F5715,CARTON_LOOKUP!$A:$E,3,0),"")</f>
      </c>
      <c r="H5715" s="28">
        <f>IFERROR(VLOOKUP(F5715,CARTON_LOOKUP!$A:$E,4,0),"")</f>
      </c>
      <c r="I5715" s="28">
        <f>IFERROR(VLOOKUP(F5715,CARTON_LOOKUP!$A:$E,5,0),"")</f>
      </c>
      <c r="J5715" s="29">
        <f>IFERROR(VLOOKUP(F5715,CARTON_LOOKUP!$A:$E,2,0),"")</f>
      </c>
      <c r="K5715" s="29">
        <f>IFERROR(J5715*D5715,0)</f>
      </c>
      <c r="L5715" s="29">
        <f>IFERROR(E5715*C5715,0)</f>
      </c>
      <c r="M5715" s="29">
        <f>IFERROR((G5715*H5715*I5715/1000000)*D5715,0)</f>
      </c>
    </row>
    <row r="5716" spans="1:13" x14ac:dyDescent="0.25">
      <c r="A5716" s="16"/>
      <c r="E5716" s="27"/>
      <c r="F5716" t="s">
        <v>26</v>
      </c>
      <c r="G5716" s="28">
        <f>IFERROR(VLOOKUP(F5716,CARTON_LOOKUP!$A:$E,3,0),"")</f>
      </c>
      <c r="H5716" s="28">
        <f>IFERROR(VLOOKUP(F5716,CARTON_LOOKUP!$A:$E,4,0),"")</f>
      </c>
      <c r="I5716" s="28">
        <f>IFERROR(VLOOKUP(F5716,CARTON_LOOKUP!$A:$E,5,0),"")</f>
      </c>
      <c r="J5716" s="29">
        <f>IFERROR(VLOOKUP(F5716,CARTON_LOOKUP!$A:$E,2,0),"")</f>
      </c>
      <c r="K5716" s="29">
        <f>IFERROR(J5716*D5716,0)</f>
      </c>
      <c r="L5716" s="29">
        <f>IFERROR(E5716*C5716,0)</f>
      </c>
      <c r="M5716" s="29">
        <f>IFERROR((G5716*H5716*I5716/1000000)*D5716,0)</f>
      </c>
    </row>
    <row r="5717" spans="1:13" x14ac:dyDescent="0.25">
      <c r="A5717" s="16"/>
      <c r="E5717" s="27"/>
      <c r="F5717" t="s">
        <v>26</v>
      </c>
      <c r="G5717" s="28">
        <f>IFERROR(VLOOKUP(F5717,CARTON_LOOKUP!$A:$E,3,0),"")</f>
      </c>
      <c r="H5717" s="28">
        <f>IFERROR(VLOOKUP(F5717,CARTON_LOOKUP!$A:$E,4,0),"")</f>
      </c>
      <c r="I5717" s="28">
        <f>IFERROR(VLOOKUP(F5717,CARTON_LOOKUP!$A:$E,5,0),"")</f>
      </c>
      <c r="J5717" s="29">
        <f>IFERROR(VLOOKUP(F5717,CARTON_LOOKUP!$A:$E,2,0),"")</f>
      </c>
      <c r="K5717" s="29">
        <f>IFERROR(J5717*D5717,0)</f>
      </c>
      <c r="L5717" s="29">
        <f>IFERROR(E5717*C5717,0)</f>
      </c>
      <c r="M5717" s="29">
        <f>IFERROR((G5717*H5717*I5717/1000000)*D5717,0)</f>
      </c>
    </row>
    <row r="5718" spans="1:13" x14ac:dyDescent="0.25">
      <c r="A5718" s="16"/>
      <c r="E5718" s="27"/>
      <c r="F5718" t="s">
        <v>26</v>
      </c>
      <c r="G5718" s="28">
        <f>IFERROR(VLOOKUP(F5718,CARTON_LOOKUP!$A:$E,3,0),"")</f>
      </c>
      <c r="H5718" s="28">
        <f>IFERROR(VLOOKUP(F5718,CARTON_LOOKUP!$A:$E,4,0),"")</f>
      </c>
      <c r="I5718" s="28">
        <f>IFERROR(VLOOKUP(F5718,CARTON_LOOKUP!$A:$E,5,0),"")</f>
      </c>
      <c r="J5718" s="29">
        <f>IFERROR(VLOOKUP(F5718,CARTON_LOOKUP!$A:$E,2,0),"")</f>
      </c>
      <c r="K5718" s="29">
        <f>IFERROR(J5718*D5718,0)</f>
      </c>
      <c r="L5718" s="29">
        <f>IFERROR(E5718*C5718,0)</f>
      </c>
      <c r="M5718" s="29">
        <f>IFERROR((G5718*H5718*I5718/1000000)*D5718,0)</f>
      </c>
    </row>
    <row r="5719" spans="1:13" x14ac:dyDescent="0.25">
      <c r="A5719" s="16"/>
      <c r="E5719" s="27"/>
      <c r="F5719" t="s">
        <v>26</v>
      </c>
      <c r="G5719" s="28">
        <f>IFERROR(VLOOKUP(F5719,CARTON_LOOKUP!$A:$E,3,0),"")</f>
      </c>
      <c r="H5719" s="28">
        <f>IFERROR(VLOOKUP(F5719,CARTON_LOOKUP!$A:$E,4,0),"")</f>
      </c>
      <c r="I5719" s="28">
        <f>IFERROR(VLOOKUP(F5719,CARTON_LOOKUP!$A:$E,5,0),"")</f>
      </c>
      <c r="J5719" s="29">
        <f>IFERROR(VLOOKUP(F5719,CARTON_LOOKUP!$A:$E,2,0),"")</f>
      </c>
      <c r="K5719" s="29">
        <f>IFERROR(J5719*D5719,0)</f>
      </c>
      <c r="L5719" s="29">
        <f>IFERROR(E5719*C5719,0)</f>
      </c>
      <c r="M5719" s="29">
        <f>IFERROR((G5719*H5719*I5719/1000000)*D5719,0)</f>
      </c>
    </row>
    <row r="5720" spans="1:13" x14ac:dyDescent="0.25">
      <c r="A5720" s="16"/>
      <c r="E5720" s="27"/>
      <c r="F5720" t="s">
        <v>26</v>
      </c>
      <c r="G5720" s="28">
        <f>IFERROR(VLOOKUP(F5720,CARTON_LOOKUP!$A:$E,3,0),"")</f>
      </c>
      <c r="H5720" s="28">
        <f>IFERROR(VLOOKUP(F5720,CARTON_LOOKUP!$A:$E,4,0),"")</f>
      </c>
      <c r="I5720" s="28">
        <f>IFERROR(VLOOKUP(F5720,CARTON_LOOKUP!$A:$E,5,0),"")</f>
      </c>
      <c r="J5720" s="29">
        <f>IFERROR(VLOOKUP(F5720,CARTON_LOOKUP!$A:$E,2,0),"")</f>
      </c>
      <c r="K5720" s="29">
        <f>IFERROR(J5720*D5720,0)</f>
      </c>
      <c r="L5720" s="29">
        <f>IFERROR(E5720*C5720,0)</f>
      </c>
      <c r="M5720" s="29">
        <f>IFERROR((G5720*H5720*I5720/1000000)*D5720,0)</f>
      </c>
    </row>
    <row r="5721" spans="1:13" x14ac:dyDescent="0.25">
      <c r="A5721" s="16"/>
      <c r="E5721" s="27"/>
      <c r="F5721" t="s">
        <v>26</v>
      </c>
      <c r="G5721" s="28">
        <f>IFERROR(VLOOKUP(F5721,CARTON_LOOKUP!$A:$E,3,0),"")</f>
      </c>
      <c r="H5721" s="28">
        <f>IFERROR(VLOOKUP(F5721,CARTON_LOOKUP!$A:$E,4,0),"")</f>
      </c>
      <c r="I5721" s="28">
        <f>IFERROR(VLOOKUP(F5721,CARTON_LOOKUP!$A:$E,5,0),"")</f>
      </c>
      <c r="J5721" s="29">
        <f>IFERROR(VLOOKUP(F5721,CARTON_LOOKUP!$A:$E,2,0),"")</f>
      </c>
      <c r="K5721" s="29">
        <f>IFERROR(J5721*D5721,0)</f>
      </c>
      <c r="L5721" s="29">
        <f>IFERROR(E5721*C5721,0)</f>
      </c>
      <c r="M5721" s="29">
        <f>IFERROR((G5721*H5721*I5721/1000000)*D5721,0)</f>
      </c>
    </row>
    <row r="5722" spans="1:13" x14ac:dyDescent="0.25">
      <c r="A5722" s="16"/>
      <c r="E5722" s="27"/>
      <c r="F5722" t="s">
        <v>26</v>
      </c>
      <c r="G5722" s="28">
        <f>IFERROR(VLOOKUP(F5722,CARTON_LOOKUP!$A:$E,3,0),"")</f>
      </c>
      <c r="H5722" s="28">
        <f>IFERROR(VLOOKUP(F5722,CARTON_LOOKUP!$A:$E,4,0),"")</f>
      </c>
      <c r="I5722" s="28">
        <f>IFERROR(VLOOKUP(F5722,CARTON_LOOKUP!$A:$E,5,0),"")</f>
      </c>
      <c r="J5722" s="29">
        <f>IFERROR(VLOOKUP(F5722,CARTON_LOOKUP!$A:$E,2,0),"")</f>
      </c>
      <c r="K5722" s="29">
        <f>IFERROR(J5722*D5722,0)</f>
      </c>
      <c r="L5722" s="29">
        <f>IFERROR(E5722*C5722,0)</f>
      </c>
      <c r="M5722" s="29">
        <f>IFERROR((G5722*H5722*I5722/1000000)*D5722,0)</f>
      </c>
    </row>
    <row r="5723" spans="1:13" x14ac:dyDescent="0.25">
      <c r="A5723" s="16"/>
      <c r="E5723" s="27"/>
      <c r="F5723" t="s">
        <v>26</v>
      </c>
      <c r="G5723" s="28">
        <f>IFERROR(VLOOKUP(F5723,CARTON_LOOKUP!$A:$E,3,0),"")</f>
      </c>
      <c r="H5723" s="28">
        <f>IFERROR(VLOOKUP(F5723,CARTON_LOOKUP!$A:$E,4,0),"")</f>
      </c>
      <c r="I5723" s="28">
        <f>IFERROR(VLOOKUP(F5723,CARTON_LOOKUP!$A:$E,5,0),"")</f>
      </c>
      <c r="J5723" s="29">
        <f>IFERROR(VLOOKUP(F5723,CARTON_LOOKUP!$A:$E,2,0),"")</f>
      </c>
      <c r="K5723" s="29">
        <f>IFERROR(J5723*D5723,0)</f>
      </c>
      <c r="L5723" s="29">
        <f>IFERROR(E5723*C5723,0)</f>
      </c>
      <c r="M5723" s="29">
        <f>IFERROR((G5723*H5723*I5723/1000000)*D5723,0)</f>
      </c>
    </row>
    <row r="5724" spans="1:13" x14ac:dyDescent="0.25">
      <c r="A5724" s="16"/>
      <c r="E5724" s="27"/>
      <c r="F5724" t="s">
        <v>26</v>
      </c>
      <c r="G5724" s="28">
        <f>IFERROR(VLOOKUP(F5724,CARTON_LOOKUP!$A:$E,3,0),"")</f>
      </c>
      <c r="H5724" s="28">
        <f>IFERROR(VLOOKUP(F5724,CARTON_LOOKUP!$A:$E,4,0),"")</f>
      </c>
      <c r="I5724" s="28">
        <f>IFERROR(VLOOKUP(F5724,CARTON_LOOKUP!$A:$E,5,0),"")</f>
      </c>
      <c r="J5724" s="29">
        <f>IFERROR(VLOOKUP(F5724,CARTON_LOOKUP!$A:$E,2,0),"")</f>
      </c>
      <c r="K5724" s="29">
        <f>IFERROR(J5724*D5724,0)</f>
      </c>
      <c r="L5724" s="29">
        <f>IFERROR(E5724*C5724,0)</f>
      </c>
      <c r="M5724" s="29">
        <f>IFERROR((G5724*H5724*I5724/1000000)*D5724,0)</f>
      </c>
    </row>
    <row r="5725" spans="1:13" x14ac:dyDescent="0.25">
      <c r="A5725" s="16"/>
      <c r="E5725" s="27"/>
      <c r="F5725" t="s">
        <v>26</v>
      </c>
      <c r="G5725" s="28">
        <f>IFERROR(VLOOKUP(F5725,CARTON_LOOKUP!$A:$E,3,0),"")</f>
      </c>
      <c r="H5725" s="28">
        <f>IFERROR(VLOOKUP(F5725,CARTON_LOOKUP!$A:$E,4,0),"")</f>
      </c>
      <c r="I5725" s="28">
        <f>IFERROR(VLOOKUP(F5725,CARTON_LOOKUP!$A:$E,5,0),"")</f>
      </c>
      <c r="J5725" s="29">
        <f>IFERROR(VLOOKUP(F5725,CARTON_LOOKUP!$A:$E,2,0),"")</f>
      </c>
      <c r="K5725" s="29">
        <f>IFERROR(J5725*D5725,0)</f>
      </c>
      <c r="L5725" s="29">
        <f>IFERROR(E5725*C5725,0)</f>
      </c>
      <c r="M5725" s="29">
        <f>IFERROR((G5725*H5725*I5725/1000000)*D5725,0)</f>
      </c>
    </row>
    <row r="5726" spans="1:13" x14ac:dyDescent="0.25">
      <c r="A5726" s="16"/>
      <c r="E5726" s="27"/>
      <c r="F5726" t="s">
        <v>26</v>
      </c>
      <c r="G5726" s="28">
        <f>IFERROR(VLOOKUP(F5726,CARTON_LOOKUP!$A:$E,3,0),"")</f>
      </c>
      <c r="H5726" s="28">
        <f>IFERROR(VLOOKUP(F5726,CARTON_LOOKUP!$A:$E,4,0),"")</f>
      </c>
      <c r="I5726" s="28">
        <f>IFERROR(VLOOKUP(F5726,CARTON_LOOKUP!$A:$E,5,0),"")</f>
      </c>
      <c r="J5726" s="29">
        <f>IFERROR(VLOOKUP(F5726,CARTON_LOOKUP!$A:$E,2,0),"")</f>
      </c>
      <c r="K5726" s="29">
        <f>IFERROR(J5726*D5726,0)</f>
      </c>
      <c r="L5726" s="29">
        <f>IFERROR(E5726*C5726,0)</f>
      </c>
      <c r="M5726" s="29">
        <f>IFERROR((G5726*H5726*I5726/1000000)*D5726,0)</f>
      </c>
    </row>
    <row r="5727" spans="1:13" x14ac:dyDescent="0.25">
      <c r="A5727" s="16"/>
      <c r="E5727" s="27"/>
      <c r="F5727" t="s">
        <v>26</v>
      </c>
      <c r="G5727" s="28">
        <f>IFERROR(VLOOKUP(F5727,CARTON_LOOKUP!$A:$E,3,0),"")</f>
      </c>
      <c r="H5727" s="28">
        <f>IFERROR(VLOOKUP(F5727,CARTON_LOOKUP!$A:$E,4,0),"")</f>
      </c>
      <c r="I5727" s="28">
        <f>IFERROR(VLOOKUP(F5727,CARTON_LOOKUP!$A:$E,5,0),"")</f>
      </c>
      <c r="J5727" s="29">
        <f>IFERROR(VLOOKUP(F5727,CARTON_LOOKUP!$A:$E,2,0),"")</f>
      </c>
      <c r="K5727" s="29">
        <f>IFERROR(J5727*D5727,0)</f>
      </c>
      <c r="L5727" s="29">
        <f>IFERROR(E5727*C5727,0)</f>
      </c>
      <c r="M5727" s="29">
        <f>IFERROR((G5727*H5727*I5727/1000000)*D5727,0)</f>
      </c>
    </row>
    <row r="5728" spans="1:13" x14ac:dyDescent="0.25">
      <c r="A5728" s="16"/>
      <c r="E5728" s="27"/>
      <c r="F5728" t="s">
        <v>26</v>
      </c>
      <c r="G5728" s="28">
        <f>IFERROR(VLOOKUP(F5728,CARTON_LOOKUP!$A:$E,3,0),"")</f>
      </c>
      <c r="H5728" s="28">
        <f>IFERROR(VLOOKUP(F5728,CARTON_LOOKUP!$A:$E,4,0),"")</f>
      </c>
      <c r="I5728" s="28">
        <f>IFERROR(VLOOKUP(F5728,CARTON_LOOKUP!$A:$E,5,0),"")</f>
      </c>
      <c r="J5728" s="29">
        <f>IFERROR(VLOOKUP(F5728,CARTON_LOOKUP!$A:$E,2,0),"")</f>
      </c>
      <c r="K5728" s="29">
        <f>IFERROR(J5728*D5728,0)</f>
      </c>
      <c r="L5728" s="29">
        <f>IFERROR(E5728*C5728,0)</f>
      </c>
      <c r="M5728" s="29">
        <f>IFERROR((G5728*H5728*I5728/1000000)*D5728,0)</f>
      </c>
    </row>
    <row r="5729" spans="1:13" x14ac:dyDescent="0.25">
      <c r="A5729" s="16"/>
      <c r="E5729" s="27"/>
      <c r="F5729" t="s">
        <v>26</v>
      </c>
      <c r="G5729" s="28">
        <f>IFERROR(VLOOKUP(F5729,CARTON_LOOKUP!$A:$E,3,0),"")</f>
      </c>
      <c r="H5729" s="28">
        <f>IFERROR(VLOOKUP(F5729,CARTON_LOOKUP!$A:$E,4,0),"")</f>
      </c>
      <c r="I5729" s="28">
        <f>IFERROR(VLOOKUP(F5729,CARTON_LOOKUP!$A:$E,5,0),"")</f>
      </c>
      <c r="J5729" s="29">
        <f>IFERROR(VLOOKUP(F5729,CARTON_LOOKUP!$A:$E,2,0),"")</f>
      </c>
      <c r="K5729" s="29">
        <f>IFERROR(J5729*D5729,0)</f>
      </c>
      <c r="L5729" s="29">
        <f>IFERROR(E5729*C5729,0)</f>
      </c>
      <c r="M5729" s="29">
        <f>IFERROR((G5729*H5729*I5729/1000000)*D5729,0)</f>
      </c>
    </row>
    <row r="5730" spans="1:13" x14ac:dyDescent="0.25">
      <c r="A5730" s="16"/>
      <c r="E5730" s="27"/>
      <c r="F5730" t="s">
        <v>26</v>
      </c>
      <c r="G5730" s="28">
        <f>IFERROR(VLOOKUP(F5730,CARTON_LOOKUP!$A:$E,3,0),"")</f>
      </c>
      <c r="H5730" s="28">
        <f>IFERROR(VLOOKUP(F5730,CARTON_LOOKUP!$A:$E,4,0),"")</f>
      </c>
      <c r="I5730" s="28">
        <f>IFERROR(VLOOKUP(F5730,CARTON_LOOKUP!$A:$E,5,0),"")</f>
      </c>
      <c r="J5730" s="29">
        <f>IFERROR(VLOOKUP(F5730,CARTON_LOOKUP!$A:$E,2,0),"")</f>
      </c>
      <c r="K5730" s="29">
        <f>IFERROR(J5730*D5730,0)</f>
      </c>
      <c r="L5730" s="29">
        <f>IFERROR(E5730*C5730,0)</f>
      </c>
      <c r="M5730" s="29">
        <f>IFERROR((G5730*H5730*I5730/1000000)*D5730,0)</f>
      </c>
    </row>
    <row r="5731" spans="1:13" x14ac:dyDescent="0.25">
      <c r="A5731" s="16"/>
      <c r="E5731" s="27"/>
      <c r="F5731" t="s">
        <v>26</v>
      </c>
      <c r="G5731" s="28">
        <f>IFERROR(VLOOKUP(F5731,CARTON_LOOKUP!$A:$E,3,0),"")</f>
      </c>
      <c r="H5731" s="28">
        <f>IFERROR(VLOOKUP(F5731,CARTON_LOOKUP!$A:$E,4,0),"")</f>
      </c>
      <c r="I5731" s="28">
        <f>IFERROR(VLOOKUP(F5731,CARTON_LOOKUP!$A:$E,5,0),"")</f>
      </c>
      <c r="J5731" s="29">
        <f>IFERROR(VLOOKUP(F5731,CARTON_LOOKUP!$A:$E,2,0),"")</f>
      </c>
      <c r="K5731" s="29">
        <f>IFERROR(J5731*D5731,0)</f>
      </c>
      <c r="L5731" s="29">
        <f>IFERROR(E5731*C5731,0)</f>
      </c>
      <c r="M5731" s="29">
        <f>IFERROR((G5731*H5731*I5731/1000000)*D5731,0)</f>
      </c>
    </row>
    <row r="5732" spans="1:13" x14ac:dyDescent="0.25">
      <c r="A5732" s="16"/>
      <c r="E5732" s="27"/>
      <c r="F5732" t="s">
        <v>26</v>
      </c>
      <c r="G5732" s="28">
        <f>IFERROR(VLOOKUP(F5732,CARTON_LOOKUP!$A:$E,3,0),"")</f>
      </c>
      <c r="H5732" s="28">
        <f>IFERROR(VLOOKUP(F5732,CARTON_LOOKUP!$A:$E,4,0),"")</f>
      </c>
      <c r="I5732" s="28">
        <f>IFERROR(VLOOKUP(F5732,CARTON_LOOKUP!$A:$E,5,0),"")</f>
      </c>
      <c r="J5732" s="29">
        <f>IFERROR(VLOOKUP(F5732,CARTON_LOOKUP!$A:$E,2,0),"")</f>
      </c>
      <c r="K5732" s="29">
        <f>IFERROR(J5732*D5732,0)</f>
      </c>
      <c r="L5732" s="29">
        <f>IFERROR(E5732*C5732,0)</f>
      </c>
      <c r="M5732" s="29">
        <f>IFERROR((G5732*H5732*I5732/1000000)*D5732,0)</f>
      </c>
    </row>
    <row r="5733" spans="1:13" x14ac:dyDescent="0.25">
      <c r="A5733" s="16"/>
      <c r="E5733" s="27"/>
      <c r="F5733" t="s">
        <v>26</v>
      </c>
      <c r="G5733" s="28">
        <f>IFERROR(VLOOKUP(F5733,CARTON_LOOKUP!$A:$E,3,0),"")</f>
      </c>
      <c r="H5733" s="28">
        <f>IFERROR(VLOOKUP(F5733,CARTON_LOOKUP!$A:$E,4,0),"")</f>
      </c>
      <c r="I5733" s="28">
        <f>IFERROR(VLOOKUP(F5733,CARTON_LOOKUP!$A:$E,5,0),"")</f>
      </c>
      <c r="J5733" s="29">
        <f>IFERROR(VLOOKUP(F5733,CARTON_LOOKUP!$A:$E,2,0),"")</f>
      </c>
      <c r="K5733" s="29">
        <f>IFERROR(J5733*D5733,0)</f>
      </c>
      <c r="L5733" s="29">
        <f>IFERROR(E5733*C5733,0)</f>
      </c>
      <c r="M5733" s="29">
        <f>IFERROR((G5733*H5733*I5733/1000000)*D5733,0)</f>
      </c>
    </row>
    <row r="5734" spans="1:13" x14ac:dyDescent="0.25">
      <c r="A5734" s="16"/>
      <c r="E5734" s="27"/>
      <c r="F5734" t="s">
        <v>26</v>
      </c>
      <c r="G5734" s="28">
        <f>IFERROR(VLOOKUP(F5734,CARTON_LOOKUP!$A:$E,3,0),"")</f>
      </c>
      <c r="H5734" s="28">
        <f>IFERROR(VLOOKUP(F5734,CARTON_LOOKUP!$A:$E,4,0),"")</f>
      </c>
      <c r="I5734" s="28">
        <f>IFERROR(VLOOKUP(F5734,CARTON_LOOKUP!$A:$E,5,0),"")</f>
      </c>
      <c r="J5734" s="29">
        <f>IFERROR(VLOOKUP(F5734,CARTON_LOOKUP!$A:$E,2,0),"")</f>
      </c>
      <c r="K5734" s="29">
        <f>IFERROR(J5734*D5734,0)</f>
      </c>
      <c r="L5734" s="29">
        <f>IFERROR(E5734*C5734,0)</f>
      </c>
      <c r="M5734" s="29">
        <f>IFERROR((G5734*H5734*I5734/1000000)*D5734,0)</f>
      </c>
    </row>
    <row r="5735" spans="1:13" x14ac:dyDescent="0.25">
      <c r="A5735" s="16"/>
      <c r="E5735" s="27"/>
      <c r="F5735" t="s">
        <v>26</v>
      </c>
      <c r="G5735" s="28">
        <f>IFERROR(VLOOKUP(F5735,CARTON_LOOKUP!$A:$E,3,0),"")</f>
      </c>
      <c r="H5735" s="28">
        <f>IFERROR(VLOOKUP(F5735,CARTON_LOOKUP!$A:$E,4,0),"")</f>
      </c>
      <c r="I5735" s="28">
        <f>IFERROR(VLOOKUP(F5735,CARTON_LOOKUP!$A:$E,5,0),"")</f>
      </c>
      <c r="J5735" s="29">
        <f>IFERROR(VLOOKUP(F5735,CARTON_LOOKUP!$A:$E,2,0),"")</f>
      </c>
      <c r="K5735" s="29">
        <f>IFERROR(J5735*D5735,0)</f>
      </c>
      <c r="L5735" s="29">
        <f>IFERROR(E5735*C5735,0)</f>
      </c>
      <c r="M5735" s="29">
        <f>IFERROR((G5735*H5735*I5735/1000000)*D5735,0)</f>
      </c>
    </row>
    <row r="5736" spans="1:13" x14ac:dyDescent="0.25">
      <c r="A5736" s="16"/>
      <c r="E5736" s="27"/>
      <c r="F5736" t="s">
        <v>26</v>
      </c>
      <c r="G5736" s="28">
        <f>IFERROR(VLOOKUP(F5736,CARTON_LOOKUP!$A:$E,3,0),"")</f>
      </c>
      <c r="H5736" s="28">
        <f>IFERROR(VLOOKUP(F5736,CARTON_LOOKUP!$A:$E,4,0),"")</f>
      </c>
      <c r="I5736" s="28">
        <f>IFERROR(VLOOKUP(F5736,CARTON_LOOKUP!$A:$E,5,0),"")</f>
      </c>
      <c r="J5736" s="29">
        <f>IFERROR(VLOOKUP(F5736,CARTON_LOOKUP!$A:$E,2,0),"")</f>
      </c>
      <c r="K5736" s="29">
        <f>IFERROR(J5736*D5736,0)</f>
      </c>
      <c r="L5736" s="29">
        <f>IFERROR(E5736*C5736,0)</f>
      </c>
      <c r="M5736" s="29">
        <f>IFERROR((G5736*H5736*I5736/1000000)*D5736,0)</f>
      </c>
    </row>
    <row r="5737" spans="1:13" x14ac:dyDescent="0.25">
      <c r="A5737" s="16"/>
      <c r="E5737" s="27"/>
      <c r="F5737" t="s">
        <v>26</v>
      </c>
      <c r="G5737" s="28">
        <f>IFERROR(VLOOKUP(F5737,CARTON_LOOKUP!$A:$E,3,0),"")</f>
      </c>
      <c r="H5737" s="28">
        <f>IFERROR(VLOOKUP(F5737,CARTON_LOOKUP!$A:$E,4,0),"")</f>
      </c>
      <c r="I5737" s="28">
        <f>IFERROR(VLOOKUP(F5737,CARTON_LOOKUP!$A:$E,5,0),"")</f>
      </c>
      <c r="J5737" s="29">
        <f>IFERROR(VLOOKUP(F5737,CARTON_LOOKUP!$A:$E,2,0),"")</f>
      </c>
      <c r="K5737" s="29">
        <f>IFERROR(J5737*D5737,0)</f>
      </c>
      <c r="L5737" s="29">
        <f>IFERROR(E5737*C5737,0)</f>
      </c>
      <c r="M5737" s="29">
        <f>IFERROR((G5737*H5737*I5737/1000000)*D5737,0)</f>
      </c>
    </row>
    <row r="5738" spans="1:13" x14ac:dyDescent="0.25">
      <c r="A5738" s="16"/>
      <c r="E5738" s="27"/>
      <c r="F5738" t="s">
        <v>26</v>
      </c>
      <c r="G5738" s="28">
        <f>IFERROR(VLOOKUP(F5738,CARTON_LOOKUP!$A:$E,3,0),"")</f>
      </c>
      <c r="H5738" s="28">
        <f>IFERROR(VLOOKUP(F5738,CARTON_LOOKUP!$A:$E,4,0),"")</f>
      </c>
      <c r="I5738" s="28">
        <f>IFERROR(VLOOKUP(F5738,CARTON_LOOKUP!$A:$E,5,0),"")</f>
      </c>
      <c r="J5738" s="29">
        <f>IFERROR(VLOOKUP(F5738,CARTON_LOOKUP!$A:$E,2,0),"")</f>
      </c>
      <c r="K5738" s="29">
        <f>IFERROR(J5738*D5738,0)</f>
      </c>
      <c r="L5738" s="29">
        <f>IFERROR(E5738*C5738,0)</f>
      </c>
      <c r="M5738" s="29">
        <f>IFERROR((G5738*H5738*I5738/1000000)*D5738,0)</f>
      </c>
    </row>
    <row r="5739" spans="1:13" x14ac:dyDescent="0.25">
      <c r="A5739" s="16"/>
      <c r="E5739" s="27"/>
      <c r="F5739" t="s">
        <v>26</v>
      </c>
      <c r="G5739" s="28">
        <f>IFERROR(VLOOKUP(F5739,CARTON_LOOKUP!$A:$E,3,0),"")</f>
      </c>
      <c r="H5739" s="28">
        <f>IFERROR(VLOOKUP(F5739,CARTON_LOOKUP!$A:$E,4,0),"")</f>
      </c>
      <c r="I5739" s="28">
        <f>IFERROR(VLOOKUP(F5739,CARTON_LOOKUP!$A:$E,5,0),"")</f>
      </c>
      <c r="J5739" s="29">
        <f>IFERROR(VLOOKUP(F5739,CARTON_LOOKUP!$A:$E,2,0),"")</f>
      </c>
      <c r="K5739" s="29">
        <f>IFERROR(J5739*D5739,0)</f>
      </c>
      <c r="L5739" s="29">
        <f>IFERROR(E5739*C5739,0)</f>
      </c>
      <c r="M5739" s="29">
        <f>IFERROR((G5739*H5739*I5739/1000000)*D5739,0)</f>
      </c>
    </row>
    <row r="5740" spans="1:13" x14ac:dyDescent="0.25">
      <c r="A5740" s="16"/>
      <c r="E5740" s="27"/>
      <c r="F5740" t="s">
        <v>26</v>
      </c>
      <c r="G5740" s="28">
        <f>IFERROR(VLOOKUP(F5740,CARTON_LOOKUP!$A:$E,3,0),"")</f>
      </c>
      <c r="H5740" s="28">
        <f>IFERROR(VLOOKUP(F5740,CARTON_LOOKUP!$A:$E,4,0),"")</f>
      </c>
      <c r="I5740" s="28">
        <f>IFERROR(VLOOKUP(F5740,CARTON_LOOKUP!$A:$E,5,0),"")</f>
      </c>
      <c r="J5740" s="29">
        <f>IFERROR(VLOOKUP(F5740,CARTON_LOOKUP!$A:$E,2,0),"")</f>
      </c>
      <c r="K5740" s="29">
        <f>IFERROR(J5740*D5740,0)</f>
      </c>
      <c r="L5740" s="29">
        <f>IFERROR(E5740*C5740,0)</f>
      </c>
      <c r="M5740" s="29">
        <f>IFERROR((G5740*H5740*I5740/1000000)*D5740,0)</f>
      </c>
    </row>
    <row r="5741" spans="1:13" x14ac:dyDescent="0.25">
      <c r="A5741" s="16"/>
      <c r="E5741" s="27"/>
      <c r="F5741" t="s">
        <v>26</v>
      </c>
      <c r="G5741" s="28">
        <f>IFERROR(VLOOKUP(F5741,CARTON_LOOKUP!$A:$E,3,0),"")</f>
      </c>
      <c r="H5741" s="28">
        <f>IFERROR(VLOOKUP(F5741,CARTON_LOOKUP!$A:$E,4,0),"")</f>
      </c>
      <c r="I5741" s="28">
        <f>IFERROR(VLOOKUP(F5741,CARTON_LOOKUP!$A:$E,5,0),"")</f>
      </c>
      <c r="J5741" s="29">
        <f>IFERROR(VLOOKUP(F5741,CARTON_LOOKUP!$A:$E,2,0),"")</f>
      </c>
      <c r="K5741" s="29">
        <f>IFERROR(J5741*D5741,0)</f>
      </c>
      <c r="L5741" s="29">
        <f>IFERROR(E5741*C5741,0)</f>
      </c>
      <c r="M5741" s="29">
        <f>IFERROR((G5741*H5741*I5741/1000000)*D5741,0)</f>
      </c>
    </row>
    <row r="5742" spans="1:13" x14ac:dyDescent="0.25">
      <c r="A5742" s="16"/>
      <c r="E5742" s="27"/>
      <c r="F5742" t="s">
        <v>26</v>
      </c>
      <c r="G5742" s="28">
        <f>IFERROR(VLOOKUP(F5742,CARTON_LOOKUP!$A:$E,3,0),"")</f>
      </c>
      <c r="H5742" s="28">
        <f>IFERROR(VLOOKUP(F5742,CARTON_LOOKUP!$A:$E,4,0),"")</f>
      </c>
      <c r="I5742" s="28">
        <f>IFERROR(VLOOKUP(F5742,CARTON_LOOKUP!$A:$E,5,0),"")</f>
      </c>
      <c r="J5742" s="29">
        <f>IFERROR(VLOOKUP(F5742,CARTON_LOOKUP!$A:$E,2,0),"")</f>
      </c>
      <c r="K5742" s="29">
        <f>IFERROR(J5742*D5742,0)</f>
      </c>
      <c r="L5742" s="29">
        <f>IFERROR(E5742*C5742,0)</f>
      </c>
      <c r="M5742" s="29">
        <f>IFERROR((G5742*H5742*I5742/1000000)*D5742,0)</f>
      </c>
    </row>
    <row r="5743" spans="1:13" x14ac:dyDescent="0.25">
      <c r="A5743" s="16"/>
      <c r="E5743" s="27"/>
      <c r="F5743" t="s">
        <v>26</v>
      </c>
      <c r="G5743" s="28">
        <f>IFERROR(VLOOKUP(F5743,CARTON_LOOKUP!$A:$E,3,0),"")</f>
      </c>
      <c r="H5743" s="28">
        <f>IFERROR(VLOOKUP(F5743,CARTON_LOOKUP!$A:$E,4,0),"")</f>
      </c>
      <c r="I5743" s="28">
        <f>IFERROR(VLOOKUP(F5743,CARTON_LOOKUP!$A:$E,5,0),"")</f>
      </c>
      <c r="J5743" s="29">
        <f>IFERROR(VLOOKUP(F5743,CARTON_LOOKUP!$A:$E,2,0),"")</f>
      </c>
      <c r="K5743" s="29">
        <f>IFERROR(J5743*D5743,0)</f>
      </c>
      <c r="L5743" s="29">
        <f>IFERROR(E5743*C5743,0)</f>
      </c>
      <c r="M5743" s="29">
        <f>IFERROR((G5743*H5743*I5743/1000000)*D5743,0)</f>
      </c>
    </row>
    <row r="5744" spans="1:13" x14ac:dyDescent="0.25">
      <c r="A5744" s="16"/>
      <c r="E5744" s="27"/>
      <c r="F5744" t="s">
        <v>26</v>
      </c>
      <c r="G5744" s="28">
        <f>IFERROR(VLOOKUP(F5744,CARTON_LOOKUP!$A:$E,3,0),"")</f>
      </c>
      <c r="H5744" s="28">
        <f>IFERROR(VLOOKUP(F5744,CARTON_LOOKUP!$A:$E,4,0),"")</f>
      </c>
      <c r="I5744" s="28">
        <f>IFERROR(VLOOKUP(F5744,CARTON_LOOKUP!$A:$E,5,0),"")</f>
      </c>
      <c r="J5744" s="29">
        <f>IFERROR(VLOOKUP(F5744,CARTON_LOOKUP!$A:$E,2,0),"")</f>
      </c>
      <c r="K5744" s="29">
        <f>IFERROR(J5744*D5744,0)</f>
      </c>
      <c r="L5744" s="29">
        <f>IFERROR(E5744*C5744,0)</f>
      </c>
      <c r="M5744" s="29">
        <f>IFERROR((G5744*H5744*I5744/1000000)*D5744,0)</f>
      </c>
    </row>
    <row r="5745" spans="1:13" x14ac:dyDescent="0.25">
      <c r="A5745" s="16"/>
      <c r="E5745" s="27"/>
      <c r="F5745" t="s">
        <v>26</v>
      </c>
      <c r="G5745" s="28">
        <f>IFERROR(VLOOKUP(F5745,CARTON_LOOKUP!$A:$E,3,0),"")</f>
      </c>
      <c r="H5745" s="28">
        <f>IFERROR(VLOOKUP(F5745,CARTON_LOOKUP!$A:$E,4,0),"")</f>
      </c>
      <c r="I5745" s="28">
        <f>IFERROR(VLOOKUP(F5745,CARTON_LOOKUP!$A:$E,5,0),"")</f>
      </c>
      <c r="J5745" s="29">
        <f>IFERROR(VLOOKUP(F5745,CARTON_LOOKUP!$A:$E,2,0),"")</f>
      </c>
      <c r="K5745" s="29">
        <f>IFERROR(J5745*D5745,0)</f>
      </c>
      <c r="L5745" s="29">
        <f>IFERROR(E5745*C5745,0)</f>
      </c>
      <c r="M5745" s="29">
        <f>IFERROR((G5745*H5745*I5745/1000000)*D5745,0)</f>
      </c>
    </row>
    <row r="5746" spans="1:13" x14ac:dyDescent="0.25">
      <c r="A5746" s="16"/>
      <c r="E5746" s="27"/>
      <c r="F5746" t="s">
        <v>26</v>
      </c>
      <c r="G5746" s="28">
        <f>IFERROR(VLOOKUP(F5746,CARTON_LOOKUP!$A:$E,3,0),"")</f>
      </c>
      <c r="H5746" s="28">
        <f>IFERROR(VLOOKUP(F5746,CARTON_LOOKUP!$A:$E,4,0),"")</f>
      </c>
      <c r="I5746" s="28">
        <f>IFERROR(VLOOKUP(F5746,CARTON_LOOKUP!$A:$E,5,0),"")</f>
      </c>
      <c r="J5746" s="29">
        <f>IFERROR(VLOOKUP(F5746,CARTON_LOOKUP!$A:$E,2,0),"")</f>
      </c>
      <c r="K5746" s="29">
        <f>IFERROR(J5746*D5746,0)</f>
      </c>
      <c r="L5746" s="29">
        <f>IFERROR(E5746*C5746,0)</f>
      </c>
      <c r="M5746" s="29">
        <f>IFERROR((G5746*H5746*I5746/1000000)*D5746,0)</f>
      </c>
    </row>
    <row r="5747" spans="1:13" x14ac:dyDescent="0.25">
      <c r="A5747" s="16"/>
      <c r="E5747" s="27"/>
      <c r="F5747" t="s">
        <v>26</v>
      </c>
      <c r="G5747" s="28">
        <f>IFERROR(VLOOKUP(F5747,CARTON_LOOKUP!$A:$E,3,0),"")</f>
      </c>
      <c r="H5747" s="28">
        <f>IFERROR(VLOOKUP(F5747,CARTON_LOOKUP!$A:$E,4,0),"")</f>
      </c>
      <c r="I5747" s="28">
        <f>IFERROR(VLOOKUP(F5747,CARTON_LOOKUP!$A:$E,5,0),"")</f>
      </c>
      <c r="J5747" s="29">
        <f>IFERROR(VLOOKUP(F5747,CARTON_LOOKUP!$A:$E,2,0),"")</f>
      </c>
      <c r="K5747" s="29">
        <f>IFERROR(J5747*D5747,0)</f>
      </c>
      <c r="L5747" s="29">
        <f>IFERROR(E5747*C5747,0)</f>
      </c>
      <c r="M5747" s="29">
        <f>IFERROR((G5747*H5747*I5747/1000000)*D5747,0)</f>
      </c>
    </row>
    <row r="5748" spans="1:13" x14ac:dyDescent="0.25">
      <c r="A5748" s="16"/>
      <c r="E5748" s="27"/>
      <c r="F5748" t="s">
        <v>26</v>
      </c>
      <c r="G5748" s="28">
        <f>IFERROR(VLOOKUP(F5748,CARTON_LOOKUP!$A:$E,3,0),"")</f>
      </c>
      <c r="H5748" s="28">
        <f>IFERROR(VLOOKUP(F5748,CARTON_LOOKUP!$A:$E,4,0),"")</f>
      </c>
      <c r="I5748" s="28">
        <f>IFERROR(VLOOKUP(F5748,CARTON_LOOKUP!$A:$E,5,0),"")</f>
      </c>
      <c r="J5748" s="29">
        <f>IFERROR(VLOOKUP(F5748,CARTON_LOOKUP!$A:$E,2,0),"")</f>
      </c>
      <c r="K5748" s="29">
        <f>IFERROR(J5748*D5748,0)</f>
      </c>
      <c r="L5748" s="29">
        <f>IFERROR(E5748*C5748,0)</f>
      </c>
      <c r="M5748" s="29">
        <f>IFERROR((G5748*H5748*I5748/1000000)*D5748,0)</f>
      </c>
    </row>
    <row r="5749" spans="1:13" x14ac:dyDescent="0.25">
      <c r="A5749" s="16"/>
      <c r="E5749" s="27"/>
      <c r="F5749" t="s">
        <v>26</v>
      </c>
      <c r="G5749" s="28">
        <f>IFERROR(VLOOKUP(F5749,CARTON_LOOKUP!$A:$E,3,0),"")</f>
      </c>
      <c r="H5749" s="28">
        <f>IFERROR(VLOOKUP(F5749,CARTON_LOOKUP!$A:$E,4,0),"")</f>
      </c>
      <c r="I5749" s="28">
        <f>IFERROR(VLOOKUP(F5749,CARTON_LOOKUP!$A:$E,5,0),"")</f>
      </c>
      <c r="J5749" s="29">
        <f>IFERROR(VLOOKUP(F5749,CARTON_LOOKUP!$A:$E,2,0),"")</f>
      </c>
      <c r="K5749" s="29">
        <f>IFERROR(J5749*D5749,0)</f>
      </c>
      <c r="L5749" s="29">
        <f>IFERROR(E5749*C5749,0)</f>
      </c>
      <c r="M5749" s="29">
        <f>IFERROR((G5749*H5749*I5749/1000000)*D5749,0)</f>
      </c>
    </row>
    <row r="5750" spans="1:13" x14ac:dyDescent="0.25">
      <c r="A5750" s="16"/>
      <c r="E5750" s="27"/>
      <c r="F5750" t="s">
        <v>26</v>
      </c>
      <c r="G5750" s="28">
        <f>IFERROR(VLOOKUP(F5750,CARTON_LOOKUP!$A:$E,3,0),"")</f>
      </c>
      <c r="H5750" s="28">
        <f>IFERROR(VLOOKUP(F5750,CARTON_LOOKUP!$A:$E,4,0),"")</f>
      </c>
      <c r="I5750" s="28">
        <f>IFERROR(VLOOKUP(F5750,CARTON_LOOKUP!$A:$E,5,0),"")</f>
      </c>
      <c r="J5750" s="29">
        <f>IFERROR(VLOOKUP(F5750,CARTON_LOOKUP!$A:$E,2,0),"")</f>
      </c>
      <c r="K5750" s="29">
        <f>IFERROR(J5750*D5750,0)</f>
      </c>
      <c r="L5750" s="29">
        <f>IFERROR(E5750*C5750,0)</f>
      </c>
      <c r="M5750" s="29">
        <f>IFERROR((G5750*H5750*I5750/1000000)*D5750,0)</f>
      </c>
    </row>
    <row r="5751" spans="1:13" x14ac:dyDescent="0.25">
      <c r="A5751" s="16"/>
      <c r="E5751" s="27"/>
      <c r="F5751" t="s">
        <v>26</v>
      </c>
      <c r="G5751" s="28">
        <f>IFERROR(VLOOKUP(F5751,CARTON_LOOKUP!$A:$E,3,0),"")</f>
      </c>
      <c r="H5751" s="28">
        <f>IFERROR(VLOOKUP(F5751,CARTON_LOOKUP!$A:$E,4,0),"")</f>
      </c>
      <c r="I5751" s="28">
        <f>IFERROR(VLOOKUP(F5751,CARTON_LOOKUP!$A:$E,5,0),"")</f>
      </c>
      <c r="J5751" s="29">
        <f>IFERROR(VLOOKUP(F5751,CARTON_LOOKUP!$A:$E,2,0),"")</f>
      </c>
      <c r="K5751" s="29">
        <f>IFERROR(J5751*D5751,0)</f>
      </c>
      <c r="L5751" s="29">
        <f>IFERROR(E5751*C5751,0)</f>
      </c>
      <c r="M5751" s="29">
        <f>IFERROR((G5751*H5751*I5751/1000000)*D5751,0)</f>
      </c>
    </row>
    <row r="5752" spans="1:13" x14ac:dyDescent="0.25">
      <c r="A5752" s="16"/>
      <c r="E5752" s="27"/>
      <c r="F5752" t="s">
        <v>26</v>
      </c>
      <c r="G5752" s="28">
        <f>IFERROR(VLOOKUP(F5752,CARTON_LOOKUP!$A:$E,3,0),"")</f>
      </c>
      <c r="H5752" s="28">
        <f>IFERROR(VLOOKUP(F5752,CARTON_LOOKUP!$A:$E,4,0),"")</f>
      </c>
      <c r="I5752" s="28">
        <f>IFERROR(VLOOKUP(F5752,CARTON_LOOKUP!$A:$E,5,0),"")</f>
      </c>
      <c r="J5752" s="29">
        <f>IFERROR(VLOOKUP(F5752,CARTON_LOOKUP!$A:$E,2,0),"")</f>
      </c>
      <c r="K5752" s="29">
        <f>IFERROR(J5752*D5752,0)</f>
      </c>
      <c r="L5752" s="29">
        <f>IFERROR(E5752*C5752,0)</f>
      </c>
      <c r="M5752" s="29">
        <f>IFERROR((G5752*H5752*I5752/1000000)*D5752,0)</f>
      </c>
    </row>
    <row r="5753" spans="1:13" x14ac:dyDescent="0.25">
      <c r="A5753" s="16"/>
      <c r="E5753" s="27"/>
      <c r="F5753" t="s">
        <v>26</v>
      </c>
      <c r="G5753" s="28">
        <f>IFERROR(VLOOKUP(F5753,CARTON_LOOKUP!$A:$E,3,0),"")</f>
      </c>
      <c r="H5753" s="28">
        <f>IFERROR(VLOOKUP(F5753,CARTON_LOOKUP!$A:$E,4,0),"")</f>
      </c>
      <c r="I5753" s="28">
        <f>IFERROR(VLOOKUP(F5753,CARTON_LOOKUP!$A:$E,5,0),"")</f>
      </c>
      <c r="J5753" s="29">
        <f>IFERROR(VLOOKUP(F5753,CARTON_LOOKUP!$A:$E,2,0),"")</f>
      </c>
      <c r="K5753" s="29">
        <f>IFERROR(J5753*D5753,0)</f>
      </c>
      <c r="L5753" s="29">
        <f>IFERROR(E5753*C5753,0)</f>
      </c>
      <c r="M5753" s="29">
        <f>IFERROR((G5753*H5753*I5753/1000000)*D5753,0)</f>
      </c>
    </row>
    <row r="5754" spans="1:13" x14ac:dyDescent="0.25">
      <c r="A5754" s="16"/>
      <c r="E5754" s="27"/>
      <c r="F5754" t="s">
        <v>26</v>
      </c>
      <c r="G5754" s="28">
        <f>IFERROR(VLOOKUP(F5754,CARTON_LOOKUP!$A:$E,3,0),"")</f>
      </c>
      <c r="H5754" s="28">
        <f>IFERROR(VLOOKUP(F5754,CARTON_LOOKUP!$A:$E,4,0),"")</f>
      </c>
      <c r="I5754" s="28">
        <f>IFERROR(VLOOKUP(F5754,CARTON_LOOKUP!$A:$E,5,0),"")</f>
      </c>
      <c r="J5754" s="29">
        <f>IFERROR(VLOOKUP(F5754,CARTON_LOOKUP!$A:$E,2,0),"")</f>
      </c>
      <c r="K5754" s="29">
        <f>IFERROR(J5754*D5754,0)</f>
      </c>
      <c r="L5754" s="29">
        <f>IFERROR(E5754*C5754,0)</f>
      </c>
      <c r="M5754" s="29">
        <f>IFERROR((G5754*H5754*I5754/1000000)*D5754,0)</f>
      </c>
    </row>
    <row r="5755" spans="1:13" x14ac:dyDescent="0.25">
      <c r="A5755" s="16"/>
      <c r="E5755" s="27"/>
      <c r="F5755" t="s">
        <v>26</v>
      </c>
      <c r="G5755" s="28">
        <f>IFERROR(VLOOKUP(F5755,CARTON_LOOKUP!$A:$E,3,0),"")</f>
      </c>
      <c r="H5755" s="28">
        <f>IFERROR(VLOOKUP(F5755,CARTON_LOOKUP!$A:$E,4,0),"")</f>
      </c>
      <c r="I5755" s="28">
        <f>IFERROR(VLOOKUP(F5755,CARTON_LOOKUP!$A:$E,5,0),"")</f>
      </c>
      <c r="J5755" s="29">
        <f>IFERROR(VLOOKUP(F5755,CARTON_LOOKUP!$A:$E,2,0),"")</f>
      </c>
      <c r="K5755" s="29">
        <f>IFERROR(J5755*D5755,0)</f>
      </c>
      <c r="L5755" s="29">
        <f>IFERROR(E5755*C5755,0)</f>
      </c>
      <c r="M5755" s="29">
        <f>IFERROR((G5755*H5755*I5755/1000000)*D5755,0)</f>
      </c>
    </row>
    <row r="5756" spans="1:13" x14ac:dyDescent="0.25">
      <c r="A5756" s="16"/>
      <c r="E5756" s="27"/>
      <c r="F5756" t="s">
        <v>26</v>
      </c>
      <c r="G5756" s="28">
        <f>IFERROR(VLOOKUP(F5756,CARTON_LOOKUP!$A:$E,3,0),"")</f>
      </c>
      <c r="H5756" s="28">
        <f>IFERROR(VLOOKUP(F5756,CARTON_LOOKUP!$A:$E,4,0),"")</f>
      </c>
      <c r="I5756" s="28">
        <f>IFERROR(VLOOKUP(F5756,CARTON_LOOKUP!$A:$E,5,0),"")</f>
      </c>
      <c r="J5756" s="29">
        <f>IFERROR(VLOOKUP(F5756,CARTON_LOOKUP!$A:$E,2,0),"")</f>
      </c>
      <c r="K5756" s="29">
        <f>IFERROR(J5756*D5756,0)</f>
      </c>
      <c r="L5756" s="29">
        <f>IFERROR(E5756*C5756,0)</f>
      </c>
      <c r="M5756" s="29">
        <f>IFERROR((G5756*H5756*I5756/1000000)*D5756,0)</f>
      </c>
    </row>
    <row r="5757" spans="1:13" x14ac:dyDescent="0.25">
      <c r="A5757" s="16"/>
      <c r="E5757" s="27"/>
      <c r="F5757" t="s">
        <v>26</v>
      </c>
      <c r="G5757" s="28">
        <f>IFERROR(VLOOKUP(F5757,CARTON_LOOKUP!$A:$E,3,0),"")</f>
      </c>
      <c r="H5757" s="28">
        <f>IFERROR(VLOOKUP(F5757,CARTON_LOOKUP!$A:$E,4,0),"")</f>
      </c>
      <c r="I5757" s="28">
        <f>IFERROR(VLOOKUP(F5757,CARTON_LOOKUP!$A:$E,5,0),"")</f>
      </c>
      <c r="J5757" s="29">
        <f>IFERROR(VLOOKUP(F5757,CARTON_LOOKUP!$A:$E,2,0),"")</f>
      </c>
      <c r="K5757" s="29">
        <f>IFERROR(J5757*D5757,0)</f>
      </c>
      <c r="L5757" s="29">
        <f>IFERROR(E5757*C5757,0)</f>
      </c>
      <c r="M5757" s="29">
        <f>IFERROR((G5757*H5757*I5757/1000000)*D5757,0)</f>
      </c>
    </row>
    <row r="5758" spans="1:13" x14ac:dyDescent="0.25">
      <c r="A5758" s="16"/>
      <c r="E5758" s="27"/>
      <c r="F5758" t="s">
        <v>26</v>
      </c>
      <c r="G5758" s="28">
        <f>IFERROR(VLOOKUP(F5758,CARTON_LOOKUP!$A:$E,3,0),"")</f>
      </c>
      <c r="H5758" s="28">
        <f>IFERROR(VLOOKUP(F5758,CARTON_LOOKUP!$A:$E,4,0),"")</f>
      </c>
      <c r="I5758" s="28">
        <f>IFERROR(VLOOKUP(F5758,CARTON_LOOKUP!$A:$E,5,0),"")</f>
      </c>
      <c r="J5758" s="29">
        <f>IFERROR(VLOOKUP(F5758,CARTON_LOOKUP!$A:$E,2,0),"")</f>
      </c>
      <c r="K5758" s="29">
        <f>IFERROR(J5758*D5758,0)</f>
      </c>
      <c r="L5758" s="29">
        <f>IFERROR(E5758*C5758,0)</f>
      </c>
      <c r="M5758" s="29">
        <f>IFERROR((G5758*H5758*I5758/1000000)*D5758,0)</f>
      </c>
    </row>
    <row r="5759" spans="1:13" x14ac:dyDescent="0.25">
      <c r="A5759" s="16"/>
      <c r="E5759" s="27"/>
      <c r="F5759" t="s">
        <v>26</v>
      </c>
      <c r="G5759" s="28">
        <f>IFERROR(VLOOKUP(F5759,CARTON_LOOKUP!$A:$E,3,0),"")</f>
      </c>
      <c r="H5759" s="28">
        <f>IFERROR(VLOOKUP(F5759,CARTON_LOOKUP!$A:$E,4,0),"")</f>
      </c>
      <c r="I5759" s="28">
        <f>IFERROR(VLOOKUP(F5759,CARTON_LOOKUP!$A:$E,5,0),"")</f>
      </c>
      <c r="J5759" s="29">
        <f>IFERROR(VLOOKUP(F5759,CARTON_LOOKUP!$A:$E,2,0),"")</f>
      </c>
      <c r="K5759" s="29">
        <f>IFERROR(J5759*D5759,0)</f>
      </c>
      <c r="L5759" s="29">
        <f>IFERROR(E5759*C5759,0)</f>
      </c>
      <c r="M5759" s="29">
        <f>IFERROR((G5759*H5759*I5759/1000000)*D5759,0)</f>
      </c>
    </row>
    <row r="5760" spans="1:13" x14ac:dyDescent="0.25">
      <c r="A5760" s="16"/>
      <c r="E5760" s="27"/>
      <c r="F5760" t="s">
        <v>26</v>
      </c>
      <c r="G5760" s="28">
        <f>IFERROR(VLOOKUP(F5760,CARTON_LOOKUP!$A:$E,3,0),"")</f>
      </c>
      <c r="H5760" s="28">
        <f>IFERROR(VLOOKUP(F5760,CARTON_LOOKUP!$A:$E,4,0),"")</f>
      </c>
      <c r="I5760" s="28">
        <f>IFERROR(VLOOKUP(F5760,CARTON_LOOKUP!$A:$E,5,0),"")</f>
      </c>
      <c r="J5760" s="29">
        <f>IFERROR(VLOOKUP(F5760,CARTON_LOOKUP!$A:$E,2,0),"")</f>
      </c>
      <c r="K5760" s="29">
        <f>IFERROR(J5760*D5760,0)</f>
      </c>
      <c r="L5760" s="29">
        <f>IFERROR(E5760*C5760,0)</f>
      </c>
      <c r="M5760" s="29">
        <f>IFERROR((G5760*H5760*I5760/1000000)*D5760,0)</f>
      </c>
    </row>
    <row r="5761" spans="1:13" x14ac:dyDescent="0.25">
      <c r="A5761" s="16"/>
      <c r="E5761" s="27"/>
      <c r="F5761" t="s">
        <v>26</v>
      </c>
      <c r="G5761" s="28">
        <f>IFERROR(VLOOKUP(F5761,CARTON_LOOKUP!$A:$E,3,0),"")</f>
      </c>
      <c r="H5761" s="28">
        <f>IFERROR(VLOOKUP(F5761,CARTON_LOOKUP!$A:$E,4,0),"")</f>
      </c>
      <c r="I5761" s="28">
        <f>IFERROR(VLOOKUP(F5761,CARTON_LOOKUP!$A:$E,5,0),"")</f>
      </c>
      <c r="J5761" s="29">
        <f>IFERROR(VLOOKUP(F5761,CARTON_LOOKUP!$A:$E,2,0),"")</f>
      </c>
      <c r="K5761" s="29">
        <f>IFERROR(J5761*D5761,0)</f>
      </c>
      <c r="L5761" s="29">
        <f>IFERROR(E5761*C5761,0)</f>
      </c>
      <c r="M5761" s="29">
        <f>IFERROR((G5761*H5761*I5761/1000000)*D5761,0)</f>
      </c>
    </row>
    <row r="5762" spans="1:13" x14ac:dyDescent="0.25">
      <c r="A5762" s="16"/>
      <c r="E5762" s="27"/>
      <c r="F5762" t="s">
        <v>26</v>
      </c>
      <c r="G5762" s="28">
        <f>IFERROR(VLOOKUP(F5762,CARTON_LOOKUP!$A:$E,3,0),"")</f>
      </c>
      <c r="H5762" s="28">
        <f>IFERROR(VLOOKUP(F5762,CARTON_LOOKUP!$A:$E,4,0),"")</f>
      </c>
      <c r="I5762" s="28">
        <f>IFERROR(VLOOKUP(F5762,CARTON_LOOKUP!$A:$E,5,0),"")</f>
      </c>
      <c r="J5762" s="29">
        <f>IFERROR(VLOOKUP(F5762,CARTON_LOOKUP!$A:$E,2,0),"")</f>
      </c>
      <c r="K5762" s="29">
        <f>IFERROR(J5762*D5762,0)</f>
      </c>
      <c r="L5762" s="29">
        <f>IFERROR(E5762*C5762,0)</f>
      </c>
      <c r="M5762" s="29">
        <f>IFERROR((G5762*H5762*I5762/1000000)*D5762,0)</f>
      </c>
    </row>
    <row r="5763" spans="1:13" x14ac:dyDescent="0.25">
      <c r="A5763" s="16"/>
      <c r="E5763" s="27"/>
      <c r="F5763" t="s">
        <v>26</v>
      </c>
      <c r="G5763" s="28">
        <f>IFERROR(VLOOKUP(F5763,CARTON_LOOKUP!$A:$E,3,0),"")</f>
      </c>
      <c r="H5763" s="28">
        <f>IFERROR(VLOOKUP(F5763,CARTON_LOOKUP!$A:$E,4,0),"")</f>
      </c>
      <c r="I5763" s="28">
        <f>IFERROR(VLOOKUP(F5763,CARTON_LOOKUP!$A:$E,5,0),"")</f>
      </c>
      <c r="J5763" s="29">
        <f>IFERROR(VLOOKUP(F5763,CARTON_LOOKUP!$A:$E,2,0),"")</f>
      </c>
      <c r="K5763" s="29">
        <f>IFERROR(J5763*D5763,0)</f>
      </c>
      <c r="L5763" s="29">
        <f>IFERROR(E5763*C5763,0)</f>
      </c>
      <c r="M5763" s="29">
        <f>IFERROR((G5763*H5763*I5763/1000000)*D5763,0)</f>
      </c>
    </row>
    <row r="5764" spans="1:13" x14ac:dyDescent="0.25">
      <c r="A5764" s="16"/>
      <c r="E5764" s="27"/>
      <c r="F5764" t="s">
        <v>26</v>
      </c>
      <c r="G5764" s="28">
        <f>IFERROR(VLOOKUP(F5764,CARTON_LOOKUP!$A:$E,3,0),"")</f>
      </c>
      <c r="H5764" s="28">
        <f>IFERROR(VLOOKUP(F5764,CARTON_LOOKUP!$A:$E,4,0),"")</f>
      </c>
      <c r="I5764" s="28">
        <f>IFERROR(VLOOKUP(F5764,CARTON_LOOKUP!$A:$E,5,0),"")</f>
      </c>
      <c r="J5764" s="29">
        <f>IFERROR(VLOOKUP(F5764,CARTON_LOOKUP!$A:$E,2,0),"")</f>
      </c>
      <c r="K5764" s="29">
        <f>IFERROR(J5764*D5764,0)</f>
      </c>
      <c r="L5764" s="29">
        <f>IFERROR(E5764*C5764,0)</f>
      </c>
      <c r="M5764" s="29">
        <f>IFERROR((G5764*H5764*I5764/1000000)*D5764,0)</f>
      </c>
    </row>
    <row r="5765" spans="1:13" x14ac:dyDescent="0.25">
      <c r="A5765" s="16"/>
      <c r="E5765" s="27"/>
      <c r="F5765" t="s">
        <v>26</v>
      </c>
      <c r="G5765" s="28">
        <f>IFERROR(VLOOKUP(F5765,CARTON_LOOKUP!$A:$E,3,0),"")</f>
      </c>
      <c r="H5765" s="28">
        <f>IFERROR(VLOOKUP(F5765,CARTON_LOOKUP!$A:$E,4,0),"")</f>
      </c>
      <c r="I5765" s="28">
        <f>IFERROR(VLOOKUP(F5765,CARTON_LOOKUP!$A:$E,5,0),"")</f>
      </c>
      <c r="J5765" s="29">
        <f>IFERROR(VLOOKUP(F5765,CARTON_LOOKUP!$A:$E,2,0),"")</f>
      </c>
      <c r="K5765" s="29">
        <f>IFERROR(J5765*D5765,0)</f>
      </c>
      <c r="L5765" s="29">
        <f>IFERROR(E5765*C5765,0)</f>
      </c>
      <c r="M5765" s="29">
        <f>IFERROR((G5765*H5765*I5765/1000000)*D5765,0)</f>
      </c>
    </row>
    <row r="5766" spans="1:13" x14ac:dyDescent="0.25">
      <c r="A5766" s="16"/>
      <c r="E5766" s="27"/>
      <c r="F5766" t="s">
        <v>26</v>
      </c>
      <c r="G5766" s="28">
        <f>IFERROR(VLOOKUP(F5766,CARTON_LOOKUP!$A:$E,3,0),"")</f>
      </c>
      <c r="H5766" s="28">
        <f>IFERROR(VLOOKUP(F5766,CARTON_LOOKUP!$A:$E,4,0),"")</f>
      </c>
      <c r="I5766" s="28">
        <f>IFERROR(VLOOKUP(F5766,CARTON_LOOKUP!$A:$E,5,0),"")</f>
      </c>
      <c r="J5766" s="29">
        <f>IFERROR(VLOOKUP(F5766,CARTON_LOOKUP!$A:$E,2,0),"")</f>
      </c>
      <c r="K5766" s="29">
        <f>IFERROR(J5766*D5766,0)</f>
      </c>
      <c r="L5766" s="29">
        <f>IFERROR(E5766*C5766,0)</f>
      </c>
      <c r="M5766" s="29">
        <f>IFERROR((G5766*H5766*I5766/1000000)*D5766,0)</f>
      </c>
    </row>
    <row r="5767" spans="1:13" x14ac:dyDescent="0.25">
      <c r="A5767" s="16"/>
      <c r="E5767" s="27"/>
      <c r="F5767" t="s">
        <v>26</v>
      </c>
      <c r="G5767" s="28">
        <f>IFERROR(VLOOKUP(F5767,CARTON_LOOKUP!$A:$E,3,0),"")</f>
      </c>
      <c r="H5767" s="28">
        <f>IFERROR(VLOOKUP(F5767,CARTON_LOOKUP!$A:$E,4,0),"")</f>
      </c>
      <c r="I5767" s="28">
        <f>IFERROR(VLOOKUP(F5767,CARTON_LOOKUP!$A:$E,5,0),"")</f>
      </c>
      <c r="J5767" s="29">
        <f>IFERROR(VLOOKUP(F5767,CARTON_LOOKUP!$A:$E,2,0),"")</f>
      </c>
      <c r="K5767" s="29">
        <f>IFERROR(J5767*D5767,0)</f>
      </c>
      <c r="L5767" s="29">
        <f>IFERROR(E5767*C5767,0)</f>
      </c>
      <c r="M5767" s="29">
        <f>IFERROR((G5767*H5767*I5767/1000000)*D5767,0)</f>
      </c>
    </row>
    <row r="5768" spans="1:13" x14ac:dyDescent="0.25">
      <c r="A5768" s="16"/>
      <c r="E5768" s="27"/>
      <c r="F5768" t="s">
        <v>26</v>
      </c>
      <c r="G5768" s="28">
        <f>IFERROR(VLOOKUP(F5768,CARTON_LOOKUP!$A:$E,3,0),"")</f>
      </c>
      <c r="H5768" s="28">
        <f>IFERROR(VLOOKUP(F5768,CARTON_LOOKUP!$A:$E,4,0),"")</f>
      </c>
      <c r="I5768" s="28">
        <f>IFERROR(VLOOKUP(F5768,CARTON_LOOKUP!$A:$E,5,0),"")</f>
      </c>
      <c r="J5768" s="29">
        <f>IFERROR(VLOOKUP(F5768,CARTON_LOOKUP!$A:$E,2,0),"")</f>
      </c>
      <c r="K5768" s="29">
        <f>IFERROR(J5768*D5768,0)</f>
      </c>
      <c r="L5768" s="29">
        <f>IFERROR(E5768*C5768,0)</f>
      </c>
      <c r="M5768" s="29">
        <f>IFERROR((G5768*H5768*I5768/1000000)*D5768,0)</f>
      </c>
    </row>
    <row r="5769" spans="1:13" x14ac:dyDescent="0.25">
      <c r="A5769" s="16"/>
      <c r="E5769" s="27"/>
      <c r="F5769" t="s">
        <v>26</v>
      </c>
      <c r="G5769" s="28">
        <f>IFERROR(VLOOKUP(F5769,CARTON_LOOKUP!$A:$E,3,0),"")</f>
      </c>
      <c r="H5769" s="28">
        <f>IFERROR(VLOOKUP(F5769,CARTON_LOOKUP!$A:$E,4,0),"")</f>
      </c>
      <c r="I5769" s="28">
        <f>IFERROR(VLOOKUP(F5769,CARTON_LOOKUP!$A:$E,5,0),"")</f>
      </c>
      <c r="J5769" s="29">
        <f>IFERROR(VLOOKUP(F5769,CARTON_LOOKUP!$A:$E,2,0),"")</f>
      </c>
      <c r="K5769" s="29">
        <f>IFERROR(J5769*D5769,0)</f>
      </c>
      <c r="L5769" s="29">
        <f>IFERROR(E5769*C5769,0)</f>
      </c>
      <c r="M5769" s="29">
        <f>IFERROR((G5769*H5769*I5769/1000000)*D5769,0)</f>
      </c>
    </row>
    <row r="5770" spans="1:13" x14ac:dyDescent="0.25">
      <c r="A5770" s="16"/>
      <c r="E5770" s="27"/>
      <c r="F5770" t="s">
        <v>26</v>
      </c>
      <c r="G5770" s="28">
        <f>IFERROR(VLOOKUP(F5770,CARTON_LOOKUP!$A:$E,3,0),"")</f>
      </c>
      <c r="H5770" s="28">
        <f>IFERROR(VLOOKUP(F5770,CARTON_LOOKUP!$A:$E,4,0),"")</f>
      </c>
      <c r="I5770" s="28">
        <f>IFERROR(VLOOKUP(F5770,CARTON_LOOKUP!$A:$E,5,0),"")</f>
      </c>
      <c r="J5770" s="29">
        <f>IFERROR(VLOOKUP(F5770,CARTON_LOOKUP!$A:$E,2,0),"")</f>
      </c>
      <c r="K5770" s="29">
        <f>IFERROR(J5770*D5770,0)</f>
      </c>
      <c r="L5770" s="29">
        <f>IFERROR(E5770*C5770,0)</f>
      </c>
      <c r="M5770" s="29">
        <f>IFERROR((G5770*H5770*I5770/1000000)*D5770,0)</f>
      </c>
    </row>
    <row r="5771" spans="1:13" x14ac:dyDescent="0.25">
      <c r="A5771" s="16"/>
      <c r="E5771" s="27"/>
      <c r="F5771" t="s">
        <v>26</v>
      </c>
      <c r="G5771" s="28">
        <f>IFERROR(VLOOKUP(F5771,CARTON_LOOKUP!$A:$E,3,0),"")</f>
      </c>
      <c r="H5771" s="28">
        <f>IFERROR(VLOOKUP(F5771,CARTON_LOOKUP!$A:$E,4,0),"")</f>
      </c>
      <c r="I5771" s="28">
        <f>IFERROR(VLOOKUP(F5771,CARTON_LOOKUP!$A:$E,5,0),"")</f>
      </c>
      <c r="J5771" s="29">
        <f>IFERROR(VLOOKUP(F5771,CARTON_LOOKUP!$A:$E,2,0),"")</f>
      </c>
      <c r="K5771" s="29">
        <f>IFERROR(J5771*D5771,0)</f>
      </c>
      <c r="L5771" s="29">
        <f>IFERROR(E5771*C5771,0)</f>
      </c>
      <c r="M5771" s="29">
        <f>IFERROR((G5771*H5771*I5771/1000000)*D5771,0)</f>
      </c>
    </row>
    <row r="5772" spans="1:13" x14ac:dyDescent="0.25">
      <c r="A5772" s="16"/>
      <c r="E5772" s="27"/>
      <c r="F5772" t="s">
        <v>26</v>
      </c>
      <c r="G5772" s="28">
        <f>IFERROR(VLOOKUP(F5772,CARTON_LOOKUP!$A:$E,3,0),"")</f>
      </c>
      <c r="H5772" s="28">
        <f>IFERROR(VLOOKUP(F5772,CARTON_LOOKUP!$A:$E,4,0),"")</f>
      </c>
      <c r="I5772" s="28">
        <f>IFERROR(VLOOKUP(F5772,CARTON_LOOKUP!$A:$E,5,0),"")</f>
      </c>
      <c r="J5772" s="29">
        <f>IFERROR(VLOOKUP(F5772,CARTON_LOOKUP!$A:$E,2,0),"")</f>
      </c>
      <c r="K5772" s="29">
        <f>IFERROR(J5772*D5772,0)</f>
      </c>
      <c r="L5772" s="29">
        <f>IFERROR(E5772*C5772,0)</f>
      </c>
      <c r="M5772" s="29">
        <f>IFERROR((G5772*H5772*I5772/1000000)*D5772,0)</f>
      </c>
    </row>
    <row r="5773" spans="1:13" x14ac:dyDescent="0.25">
      <c r="A5773" s="16"/>
      <c r="E5773" s="27"/>
      <c r="F5773" t="s">
        <v>26</v>
      </c>
      <c r="G5773" s="28">
        <f>IFERROR(VLOOKUP(F5773,CARTON_LOOKUP!$A:$E,3,0),"")</f>
      </c>
      <c r="H5773" s="28">
        <f>IFERROR(VLOOKUP(F5773,CARTON_LOOKUP!$A:$E,4,0),"")</f>
      </c>
      <c r="I5773" s="28">
        <f>IFERROR(VLOOKUP(F5773,CARTON_LOOKUP!$A:$E,5,0),"")</f>
      </c>
      <c r="J5773" s="29">
        <f>IFERROR(VLOOKUP(F5773,CARTON_LOOKUP!$A:$E,2,0),"")</f>
      </c>
      <c r="K5773" s="29">
        <f>IFERROR(J5773*D5773,0)</f>
      </c>
      <c r="L5773" s="29">
        <f>IFERROR(E5773*C5773,0)</f>
      </c>
      <c r="M5773" s="29">
        <f>IFERROR((G5773*H5773*I5773/1000000)*D5773,0)</f>
      </c>
    </row>
    <row r="5774" spans="1:13" x14ac:dyDescent="0.25">
      <c r="A5774" s="16"/>
      <c r="E5774" s="27"/>
      <c r="F5774" t="s">
        <v>26</v>
      </c>
      <c r="G5774" s="28">
        <f>IFERROR(VLOOKUP(F5774,CARTON_LOOKUP!$A:$E,3,0),"")</f>
      </c>
      <c r="H5774" s="28">
        <f>IFERROR(VLOOKUP(F5774,CARTON_LOOKUP!$A:$E,4,0),"")</f>
      </c>
      <c r="I5774" s="28">
        <f>IFERROR(VLOOKUP(F5774,CARTON_LOOKUP!$A:$E,5,0),"")</f>
      </c>
      <c r="J5774" s="29">
        <f>IFERROR(VLOOKUP(F5774,CARTON_LOOKUP!$A:$E,2,0),"")</f>
      </c>
      <c r="K5774" s="29">
        <f>IFERROR(J5774*D5774,0)</f>
      </c>
      <c r="L5774" s="29">
        <f>IFERROR(E5774*C5774,0)</f>
      </c>
      <c r="M5774" s="29">
        <f>IFERROR((G5774*H5774*I5774/1000000)*D5774,0)</f>
      </c>
    </row>
    <row r="5775" spans="1:13" x14ac:dyDescent="0.25">
      <c r="A5775" s="16"/>
      <c r="E5775" s="27"/>
      <c r="F5775" t="s">
        <v>26</v>
      </c>
      <c r="G5775" s="28">
        <f>IFERROR(VLOOKUP(F5775,CARTON_LOOKUP!$A:$E,3,0),"")</f>
      </c>
      <c r="H5775" s="28">
        <f>IFERROR(VLOOKUP(F5775,CARTON_LOOKUP!$A:$E,4,0),"")</f>
      </c>
      <c r="I5775" s="28">
        <f>IFERROR(VLOOKUP(F5775,CARTON_LOOKUP!$A:$E,5,0),"")</f>
      </c>
      <c r="J5775" s="29">
        <f>IFERROR(VLOOKUP(F5775,CARTON_LOOKUP!$A:$E,2,0),"")</f>
      </c>
      <c r="K5775" s="29">
        <f>IFERROR(J5775*D5775,0)</f>
      </c>
      <c r="L5775" s="29">
        <f>IFERROR(E5775*C5775,0)</f>
      </c>
      <c r="M5775" s="29">
        <f>IFERROR((G5775*H5775*I5775/1000000)*D5775,0)</f>
      </c>
    </row>
    <row r="5776" spans="1:13" x14ac:dyDescent="0.25">
      <c r="A5776" s="16"/>
      <c r="E5776" s="27"/>
      <c r="F5776" t="s">
        <v>26</v>
      </c>
      <c r="G5776" s="28">
        <f>IFERROR(VLOOKUP(F5776,CARTON_LOOKUP!$A:$E,3,0),"")</f>
      </c>
      <c r="H5776" s="28">
        <f>IFERROR(VLOOKUP(F5776,CARTON_LOOKUP!$A:$E,4,0),"")</f>
      </c>
      <c r="I5776" s="28">
        <f>IFERROR(VLOOKUP(F5776,CARTON_LOOKUP!$A:$E,5,0),"")</f>
      </c>
      <c r="J5776" s="29">
        <f>IFERROR(VLOOKUP(F5776,CARTON_LOOKUP!$A:$E,2,0),"")</f>
      </c>
      <c r="K5776" s="29">
        <f>IFERROR(J5776*D5776,0)</f>
      </c>
      <c r="L5776" s="29">
        <f>IFERROR(E5776*C5776,0)</f>
      </c>
      <c r="M5776" s="29">
        <f>IFERROR((G5776*H5776*I5776/1000000)*D5776,0)</f>
      </c>
    </row>
    <row r="5777" spans="1:13" x14ac:dyDescent="0.25">
      <c r="A5777" s="16"/>
      <c r="E5777" s="27"/>
      <c r="F5777" t="s">
        <v>26</v>
      </c>
      <c r="G5777" s="28">
        <f>IFERROR(VLOOKUP(F5777,CARTON_LOOKUP!$A:$E,3,0),"")</f>
      </c>
      <c r="H5777" s="28">
        <f>IFERROR(VLOOKUP(F5777,CARTON_LOOKUP!$A:$E,4,0),"")</f>
      </c>
      <c r="I5777" s="28">
        <f>IFERROR(VLOOKUP(F5777,CARTON_LOOKUP!$A:$E,5,0),"")</f>
      </c>
      <c r="J5777" s="29">
        <f>IFERROR(VLOOKUP(F5777,CARTON_LOOKUP!$A:$E,2,0),"")</f>
      </c>
      <c r="K5777" s="29">
        <f>IFERROR(J5777*D5777,0)</f>
      </c>
      <c r="L5777" s="29">
        <f>IFERROR(E5777*C5777,0)</f>
      </c>
      <c r="M5777" s="29">
        <f>IFERROR((G5777*H5777*I5777/1000000)*D5777,0)</f>
      </c>
    </row>
    <row r="5778" spans="1:13" x14ac:dyDescent="0.25">
      <c r="A5778" s="16"/>
      <c r="E5778" s="27"/>
      <c r="F5778" t="s">
        <v>26</v>
      </c>
      <c r="G5778" s="28">
        <f>IFERROR(VLOOKUP(F5778,CARTON_LOOKUP!$A:$E,3,0),"")</f>
      </c>
      <c r="H5778" s="28">
        <f>IFERROR(VLOOKUP(F5778,CARTON_LOOKUP!$A:$E,4,0),"")</f>
      </c>
      <c r="I5778" s="28">
        <f>IFERROR(VLOOKUP(F5778,CARTON_LOOKUP!$A:$E,5,0),"")</f>
      </c>
      <c r="J5778" s="29">
        <f>IFERROR(VLOOKUP(F5778,CARTON_LOOKUP!$A:$E,2,0),"")</f>
      </c>
      <c r="K5778" s="29">
        <f>IFERROR(J5778*D5778,0)</f>
      </c>
      <c r="L5778" s="29">
        <f>IFERROR(E5778*C5778,0)</f>
      </c>
      <c r="M5778" s="29">
        <f>IFERROR((G5778*H5778*I5778/1000000)*D5778,0)</f>
      </c>
    </row>
    <row r="5779" spans="1:13" x14ac:dyDescent="0.25">
      <c r="A5779" s="16"/>
      <c r="E5779" s="27"/>
      <c r="F5779" t="s">
        <v>26</v>
      </c>
      <c r="G5779" s="28">
        <f>IFERROR(VLOOKUP(F5779,CARTON_LOOKUP!$A:$E,3,0),"")</f>
      </c>
      <c r="H5779" s="28">
        <f>IFERROR(VLOOKUP(F5779,CARTON_LOOKUP!$A:$E,4,0),"")</f>
      </c>
      <c r="I5779" s="28">
        <f>IFERROR(VLOOKUP(F5779,CARTON_LOOKUP!$A:$E,5,0),"")</f>
      </c>
      <c r="J5779" s="29">
        <f>IFERROR(VLOOKUP(F5779,CARTON_LOOKUP!$A:$E,2,0),"")</f>
      </c>
      <c r="K5779" s="29">
        <f>IFERROR(J5779*D5779,0)</f>
      </c>
      <c r="L5779" s="29">
        <f>IFERROR(E5779*C5779,0)</f>
      </c>
      <c r="M5779" s="29">
        <f>IFERROR((G5779*H5779*I5779/1000000)*D5779,0)</f>
      </c>
    </row>
    <row r="5780" spans="1:13" x14ac:dyDescent="0.25">
      <c r="A5780" s="16"/>
      <c r="E5780" s="27"/>
      <c r="F5780" t="s">
        <v>26</v>
      </c>
      <c r="G5780" s="28">
        <f>IFERROR(VLOOKUP(F5780,CARTON_LOOKUP!$A:$E,3,0),"")</f>
      </c>
      <c r="H5780" s="28">
        <f>IFERROR(VLOOKUP(F5780,CARTON_LOOKUP!$A:$E,4,0),"")</f>
      </c>
      <c r="I5780" s="28">
        <f>IFERROR(VLOOKUP(F5780,CARTON_LOOKUP!$A:$E,5,0),"")</f>
      </c>
      <c r="J5780" s="29">
        <f>IFERROR(VLOOKUP(F5780,CARTON_LOOKUP!$A:$E,2,0),"")</f>
      </c>
      <c r="K5780" s="29">
        <f>IFERROR(J5780*D5780,0)</f>
      </c>
      <c r="L5780" s="29">
        <f>IFERROR(E5780*C5780,0)</f>
      </c>
      <c r="M5780" s="29">
        <f>IFERROR((G5780*H5780*I5780/1000000)*D5780,0)</f>
      </c>
    </row>
    <row r="5781" spans="1:13" x14ac:dyDescent="0.25">
      <c r="A5781" s="16"/>
      <c r="E5781" s="27"/>
      <c r="F5781" t="s">
        <v>26</v>
      </c>
      <c r="G5781" s="28">
        <f>IFERROR(VLOOKUP(F5781,CARTON_LOOKUP!$A:$E,3,0),"")</f>
      </c>
      <c r="H5781" s="28">
        <f>IFERROR(VLOOKUP(F5781,CARTON_LOOKUP!$A:$E,4,0),"")</f>
      </c>
      <c r="I5781" s="28">
        <f>IFERROR(VLOOKUP(F5781,CARTON_LOOKUP!$A:$E,5,0),"")</f>
      </c>
      <c r="J5781" s="29">
        <f>IFERROR(VLOOKUP(F5781,CARTON_LOOKUP!$A:$E,2,0),"")</f>
      </c>
      <c r="K5781" s="29">
        <f>IFERROR(J5781*D5781,0)</f>
      </c>
      <c r="L5781" s="29">
        <f>IFERROR(E5781*C5781,0)</f>
      </c>
      <c r="M5781" s="29">
        <f>IFERROR((G5781*H5781*I5781/1000000)*D5781,0)</f>
      </c>
    </row>
    <row r="5782" spans="1:13" x14ac:dyDescent="0.25">
      <c r="A5782" s="16"/>
      <c r="E5782" s="27"/>
      <c r="F5782" t="s">
        <v>26</v>
      </c>
      <c r="G5782" s="28">
        <f>IFERROR(VLOOKUP(F5782,CARTON_LOOKUP!$A:$E,3,0),"")</f>
      </c>
      <c r="H5782" s="28">
        <f>IFERROR(VLOOKUP(F5782,CARTON_LOOKUP!$A:$E,4,0),"")</f>
      </c>
      <c r="I5782" s="28">
        <f>IFERROR(VLOOKUP(F5782,CARTON_LOOKUP!$A:$E,5,0),"")</f>
      </c>
      <c r="J5782" s="29">
        <f>IFERROR(VLOOKUP(F5782,CARTON_LOOKUP!$A:$E,2,0),"")</f>
      </c>
      <c r="K5782" s="29">
        <f>IFERROR(J5782*D5782,0)</f>
      </c>
      <c r="L5782" s="29">
        <f>IFERROR(E5782*C5782,0)</f>
      </c>
      <c r="M5782" s="29">
        <f>IFERROR((G5782*H5782*I5782/1000000)*D5782,0)</f>
      </c>
    </row>
    <row r="5783" spans="1:13" x14ac:dyDescent="0.25">
      <c r="A5783" s="16"/>
      <c r="E5783" s="27"/>
      <c r="F5783" t="s">
        <v>26</v>
      </c>
      <c r="G5783" s="28">
        <f>IFERROR(VLOOKUP(F5783,CARTON_LOOKUP!$A:$E,3,0),"")</f>
      </c>
      <c r="H5783" s="28">
        <f>IFERROR(VLOOKUP(F5783,CARTON_LOOKUP!$A:$E,4,0),"")</f>
      </c>
      <c r="I5783" s="28">
        <f>IFERROR(VLOOKUP(F5783,CARTON_LOOKUP!$A:$E,5,0),"")</f>
      </c>
      <c r="J5783" s="29">
        <f>IFERROR(VLOOKUP(F5783,CARTON_LOOKUP!$A:$E,2,0),"")</f>
      </c>
      <c r="K5783" s="29">
        <f>IFERROR(J5783*D5783,0)</f>
      </c>
      <c r="L5783" s="29">
        <f>IFERROR(E5783*C5783,0)</f>
      </c>
      <c r="M5783" s="29">
        <f>IFERROR((G5783*H5783*I5783/1000000)*D5783,0)</f>
      </c>
    </row>
    <row r="5784" spans="1:13" x14ac:dyDescent="0.25">
      <c r="A5784" s="16"/>
      <c r="E5784" s="27"/>
      <c r="F5784" t="s">
        <v>26</v>
      </c>
      <c r="G5784" s="28">
        <f>IFERROR(VLOOKUP(F5784,CARTON_LOOKUP!$A:$E,3,0),"")</f>
      </c>
      <c r="H5784" s="28">
        <f>IFERROR(VLOOKUP(F5784,CARTON_LOOKUP!$A:$E,4,0),"")</f>
      </c>
      <c r="I5784" s="28">
        <f>IFERROR(VLOOKUP(F5784,CARTON_LOOKUP!$A:$E,5,0),"")</f>
      </c>
      <c r="J5784" s="29">
        <f>IFERROR(VLOOKUP(F5784,CARTON_LOOKUP!$A:$E,2,0),"")</f>
      </c>
      <c r="K5784" s="29">
        <f>IFERROR(J5784*D5784,0)</f>
      </c>
      <c r="L5784" s="29">
        <f>IFERROR(E5784*C5784,0)</f>
      </c>
      <c r="M5784" s="29">
        <f>IFERROR((G5784*H5784*I5784/1000000)*D5784,0)</f>
      </c>
    </row>
    <row r="5785" spans="1:13" x14ac:dyDescent="0.25">
      <c r="A5785" s="16"/>
      <c r="E5785" s="27"/>
      <c r="F5785" t="s">
        <v>26</v>
      </c>
      <c r="G5785" s="28">
        <f>IFERROR(VLOOKUP(F5785,CARTON_LOOKUP!$A:$E,3,0),"")</f>
      </c>
      <c r="H5785" s="28">
        <f>IFERROR(VLOOKUP(F5785,CARTON_LOOKUP!$A:$E,4,0),"")</f>
      </c>
      <c r="I5785" s="28">
        <f>IFERROR(VLOOKUP(F5785,CARTON_LOOKUP!$A:$E,5,0),"")</f>
      </c>
      <c r="J5785" s="29">
        <f>IFERROR(VLOOKUP(F5785,CARTON_LOOKUP!$A:$E,2,0),"")</f>
      </c>
      <c r="K5785" s="29">
        <f>IFERROR(J5785*D5785,0)</f>
      </c>
      <c r="L5785" s="29">
        <f>IFERROR(E5785*C5785,0)</f>
      </c>
      <c r="M5785" s="29">
        <f>IFERROR((G5785*H5785*I5785/1000000)*D5785,0)</f>
      </c>
    </row>
    <row r="5786" spans="1:13" x14ac:dyDescent="0.25">
      <c r="A5786" s="16"/>
      <c r="E5786" s="27"/>
      <c r="F5786" t="s">
        <v>26</v>
      </c>
      <c r="G5786" s="28">
        <f>IFERROR(VLOOKUP(F5786,CARTON_LOOKUP!$A:$E,3,0),"")</f>
      </c>
      <c r="H5786" s="28">
        <f>IFERROR(VLOOKUP(F5786,CARTON_LOOKUP!$A:$E,4,0),"")</f>
      </c>
      <c r="I5786" s="28">
        <f>IFERROR(VLOOKUP(F5786,CARTON_LOOKUP!$A:$E,5,0),"")</f>
      </c>
      <c r="J5786" s="29">
        <f>IFERROR(VLOOKUP(F5786,CARTON_LOOKUP!$A:$E,2,0),"")</f>
      </c>
      <c r="K5786" s="29">
        <f>IFERROR(J5786*D5786,0)</f>
      </c>
      <c r="L5786" s="29">
        <f>IFERROR(E5786*C5786,0)</f>
      </c>
      <c r="M5786" s="29">
        <f>IFERROR((G5786*H5786*I5786/1000000)*D5786,0)</f>
      </c>
    </row>
    <row r="5787" spans="1:13" x14ac:dyDescent="0.25">
      <c r="A5787" s="16"/>
      <c r="E5787" s="27"/>
      <c r="F5787" t="s">
        <v>26</v>
      </c>
      <c r="G5787" s="28">
        <f>IFERROR(VLOOKUP(F5787,CARTON_LOOKUP!$A:$E,3,0),"")</f>
      </c>
      <c r="H5787" s="28">
        <f>IFERROR(VLOOKUP(F5787,CARTON_LOOKUP!$A:$E,4,0),"")</f>
      </c>
      <c r="I5787" s="28">
        <f>IFERROR(VLOOKUP(F5787,CARTON_LOOKUP!$A:$E,5,0),"")</f>
      </c>
      <c r="J5787" s="29">
        <f>IFERROR(VLOOKUP(F5787,CARTON_LOOKUP!$A:$E,2,0),"")</f>
      </c>
      <c r="K5787" s="29">
        <f>IFERROR(J5787*D5787,0)</f>
      </c>
      <c r="L5787" s="29">
        <f>IFERROR(E5787*C5787,0)</f>
      </c>
      <c r="M5787" s="29">
        <f>IFERROR((G5787*H5787*I5787/1000000)*D5787,0)</f>
      </c>
    </row>
    <row r="5788" spans="1:13" x14ac:dyDescent="0.25">
      <c r="A5788" s="16"/>
      <c r="E5788" s="27"/>
      <c r="F5788" t="s">
        <v>26</v>
      </c>
      <c r="G5788" s="28">
        <f>IFERROR(VLOOKUP(F5788,CARTON_LOOKUP!$A:$E,3,0),"")</f>
      </c>
      <c r="H5788" s="28">
        <f>IFERROR(VLOOKUP(F5788,CARTON_LOOKUP!$A:$E,4,0),"")</f>
      </c>
      <c r="I5788" s="28">
        <f>IFERROR(VLOOKUP(F5788,CARTON_LOOKUP!$A:$E,5,0),"")</f>
      </c>
      <c r="J5788" s="29">
        <f>IFERROR(VLOOKUP(F5788,CARTON_LOOKUP!$A:$E,2,0),"")</f>
      </c>
      <c r="K5788" s="29">
        <f>IFERROR(J5788*D5788,0)</f>
      </c>
      <c r="L5788" s="29">
        <f>IFERROR(E5788*C5788,0)</f>
      </c>
      <c r="M5788" s="29">
        <f>IFERROR((G5788*H5788*I5788/1000000)*D5788,0)</f>
      </c>
    </row>
    <row r="5789" spans="1:13" x14ac:dyDescent="0.25">
      <c r="A5789" s="16"/>
      <c r="E5789" s="27"/>
      <c r="F5789" t="s">
        <v>26</v>
      </c>
      <c r="G5789" s="28">
        <f>IFERROR(VLOOKUP(F5789,CARTON_LOOKUP!$A:$E,3,0),"")</f>
      </c>
      <c r="H5789" s="28">
        <f>IFERROR(VLOOKUP(F5789,CARTON_LOOKUP!$A:$E,4,0),"")</f>
      </c>
      <c r="I5789" s="28">
        <f>IFERROR(VLOOKUP(F5789,CARTON_LOOKUP!$A:$E,5,0),"")</f>
      </c>
      <c r="J5789" s="29">
        <f>IFERROR(VLOOKUP(F5789,CARTON_LOOKUP!$A:$E,2,0),"")</f>
      </c>
      <c r="K5789" s="29">
        <f>IFERROR(J5789*D5789,0)</f>
      </c>
      <c r="L5789" s="29">
        <f>IFERROR(E5789*C5789,0)</f>
      </c>
      <c r="M5789" s="29">
        <f>IFERROR((G5789*H5789*I5789/1000000)*D5789,0)</f>
      </c>
    </row>
    <row r="5790" spans="1:13" x14ac:dyDescent="0.25">
      <c r="A5790" s="16"/>
      <c r="E5790" s="27"/>
      <c r="F5790" t="s">
        <v>26</v>
      </c>
      <c r="G5790" s="28">
        <f>IFERROR(VLOOKUP(F5790,CARTON_LOOKUP!$A:$E,3,0),"")</f>
      </c>
      <c r="H5790" s="28">
        <f>IFERROR(VLOOKUP(F5790,CARTON_LOOKUP!$A:$E,4,0),"")</f>
      </c>
      <c r="I5790" s="28">
        <f>IFERROR(VLOOKUP(F5790,CARTON_LOOKUP!$A:$E,5,0),"")</f>
      </c>
      <c r="J5790" s="29">
        <f>IFERROR(VLOOKUP(F5790,CARTON_LOOKUP!$A:$E,2,0),"")</f>
      </c>
      <c r="K5790" s="29">
        <f>IFERROR(J5790*D5790,0)</f>
      </c>
      <c r="L5790" s="29">
        <f>IFERROR(E5790*C5790,0)</f>
      </c>
      <c r="M5790" s="29">
        <f>IFERROR((G5790*H5790*I5790/1000000)*D5790,0)</f>
      </c>
    </row>
    <row r="5791" spans="1:13" x14ac:dyDescent="0.25">
      <c r="A5791" s="16"/>
      <c r="E5791" s="27"/>
      <c r="F5791" t="s">
        <v>26</v>
      </c>
      <c r="G5791" s="28">
        <f>IFERROR(VLOOKUP(F5791,CARTON_LOOKUP!$A:$E,3,0),"")</f>
      </c>
      <c r="H5791" s="28">
        <f>IFERROR(VLOOKUP(F5791,CARTON_LOOKUP!$A:$E,4,0),"")</f>
      </c>
      <c r="I5791" s="28">
        <f>IFERROR(VLOOKUP(F5791,CARTON_LOOKUP!$A:$E,5,0),"")</f>
      </c>
      <c r="J5791" s="29">
        <f>IFERROR(VLOOKUP(F5791,CARTON_LOOKUP!$A:$E,2,0),"")</f>
      </c>
      <c r="K5791" s="29">
        <f>IFERROR(J5791*D5791,0)</f>
      </c>
      <c r="L5791" s="29">
        <f>IFERROR(E5791*C5791,0)</f>
      </c>
      <c r="M5791" s="29">
        <f>IFERROR((G5791*H5791*I5791/1000000)*D5791,0)</f>
      </c>
    </row>
    <row r="5792" spans="1:13" x14ac:dyDescent="0.25">
      <c r="A5792" s="16"/>
      <c r="E5792" s="27"/>
      <c r="F5792" t="s">
        <v>26</v>
      </c>
      <c r="G5792" s="28">
        <f>IFERROR(VLOOKUP(F5792,CARTON_LOOKUP!$A:$E,3,0),"")</f>
      </c>
      <c r="H5792" s="28">
        <f>IFERROR(VLOOKUP(F5792,CARTON_LOOKUP!$A:$E,4,0),"")</f>
      </c>
      <c r="I5792" s="28">
        <f>IFERROR(VLOOKUP(F5792,CARTON_LOOKUP!$A:$E,5,0),"")</f>
      </c>
      <c r="J5792" s="29">
        <f>IFERROR(VLOOKUP(F5792,CARTON_LOOKUP!$A:$E,2,0),"")</f>
      </c>
      <c r="K5792" s="29">
        <f>IFERROR(J5792*D5792,0)</f>
      </c>
      <c r="L5792" s="29">
        <f>IFERROR(E5792*C5792,0)</f>
      </c>
      <c r="M5792" s="29">
        <f>IFERROR((G5792*H5792*I5792/1000000)*D5792,0)</f>
      </c>
    </row>
    <row r="5793" spans="1:13" x14ac:dyDescent="0.25">
      <c r="A5793" s="16"/>
      <c r="E5793" s="27"/>
      <c r="F5793" t="s">
        <v>26</v>
      </c>
      <c r="G5793" s="28">
        <f>IFERROR(VLOOKUP(F5793,CARTON_LOOKUP!$A:$E,3,0),"")</f>
      </c>
      <c r="H5793" s="28">
        <f>IFERROR(VLOOKUP(F5793,CARTON_LOOKUP!$A:$E,4,0),"")</f>
      </c>
      <c r="I5793" s="28">
        <f>IFERROR(VLOOKUP(F5793,CARTON_LOOKUP!$A:$E,5,0),"")</f>
      </c>
      <c r="J5793" s="29">
        <f>IFERROR(VLOOKUP(F5793,CARTON_LOOKUP!$A:$E,2,0),"")</f>
      </c>
      <c r="K5793" s="29">
        <f>IFERROR(J5793*D5793,0)</f>
      </c>
      <c r="L5793" s="29">
        <f>IFERROR(E5793*C5793,0)</f>
      </c>
      <c r="M5793" s="29">
        <f>IFERROR((G5793*H5793*I5793/1000000)*D5793,0)</f>
      </c>
    </row>
    <row r="5794" spans="1:13" x14ac:dyDescent="0.25">
      <c r="A5794" s="16"/>
      <c r="E5794" s="27"/>
      <c r="F5794" t="s">
        <v>26</v>
      </c>
      <c r="G5794" s="28">
        <f>IFERROR(VLOOKUP(F5794,CARTON_LOOKUP!$A:$E,3,0),"")</f>
      </c>
      <c r="H5794" s="28">
        <f>IFERROR(VLOOKUP(F5794,CARTON_LOOKUP!$A:$E,4,0),"")</f>
      </c>
      <c r="I5794" s="28">
        <f>IFERROR(VLOOKUP(F5794,CARTON_LOOKUP!$A:$E,5,0),"")</f>
      </c>
      <c r="J5794" s="29">
        <f>IFERROR(VLOOKUP(F5794,CARTON_LOOKUP!$A:$E,2,0),"")</f>
      </c>
      <c r="K5794" s="29">
        <f>IFERROR(J5794*D5794,0)</f>
      </c>
      <c r="L5794" s="29">
        <f>IFERROR(E5794*C5794,0)</f>
      </c>
      <c r="M5794" s="29">
        <f>IFERROR((G5794*H5794*I5794/1000000)*D5794,0)</f>
      </c>
    </row>
    <row r="5795" spans="1:13" x14ac:dyDescent="0.25">
      <c r="A5795" s="16"/>
      <c r="E5795" s="27"/>
      <c r="F5795" t="s">
        <v>26</v>
      </c>
      <c r="G5795" s="28">
        <f>IFERROR(VLOOKUP(F5795,CARTON_LOOKUP!$A:$E,3,0),"")</f>
      </c>
      <c r="H5795" s="28">
        <f>IFERROR(VLOOKUP(F5795,CARTON_LOOKUP!$A:$E,4,0),"")</f>
      </c>
      <c r="I5795" s="28">
        <f>IFERROR(VLOOKUP(F5795,CARTON_LOOKUP!$A:$E,5,0),"")</f>
      </c>
      <c r="J5795" s="29">
        <f>IFERROR(VLOOKUP(F5795,CARTON_LOOKUP!$A:$E,2,0),"")</f>
      </c>
      <c r="K5795" s="29">
        <f>IFERROR(J5795*D5795,0)</f>
      </c>
      <c r="L5795" s="29">
        <f>IFERROR(E5795*C5795,0)</f>
      </c>
      <c r="M5795" s="29">
        <f>IFERROR((G5795*H5795*I5795/1000000)*D5795,0)</f>
      </c>
    </row>
    <row r="5796" spans="1:13" x14ac:dyDescent="0.25">
      <c r="A5796" s="16"/>
      <c r="E5796" s="27"/>
      <c r="F5796" t="s">
        <v>26</v>
      </c>
      <c r="G5796" s="28">
        <f>IFERROR(VLOOKUP(F5796,CARTON_LOOKUP!$A:$E,3,0),"")</f>
      </c>
      <c r="H5796" s="28">
        <f>IFERROR(VLOOKUP(F5796,CARTON_LOOKUP!$A:$E,4,0),"")</f>
      </c>
      <c r="I5796" s="28">
        <f>IFERROR(VLOOKUP(F5796,CARTON_LOOKUP!$A:$E,5,0),"")</f>
      </c>
      <c r="J5796" s="29">
        <f>IFERROR(VLOOKUP(F5796,CARTON_LOOKUP!$A:$E,2,0),"")</f>
      </c>
      <c r="K5796" s="29">
        <f>IFERROR(J5796*D5796,0)</f>
      </c>
      <c r="L5796" s="29">
        <f>IFERROR(E5796*C5796,0)</f>
      </c>
      <c r="M5796" s="29">
        <f>IFERROR((G5796*H5796*I5796/1000000)*D5796,0)</f>
      </c>
    </row>
    <row r="5797" spans="1:13" x14ac:dyDescent="0.25">
      <c r="A5797" s="16"/>
      <c r="E5797" s="27"/>
      <c r="F5797" t="s">
        <v>26</v>
      </c>
      <c r="G5797" s="28">
        <f>IFERROR(VLOOKUP(F5797,CARTON_LOOKUP!$A:$E,3,0),"")</f>
      </c>
      <c r="H5797" s="28">
        <f>IFERROR(VLOOKUP(F5797,CARTON_LOOKUP!$A:$E,4,0),"")</f>
      </c>
      <c r="I5797" s="28">
        <f>IFERROR(VLOOKUP(F5797,CARTON_LOOKUP!$A:$E,5,0),"")</f>
      </c>
      <c r="J5797" s="29">
        <f>IFERROR(VLOOKUP(F5797,CARTON_LOOKUP!$A:$E,2,0),"")</f>
      </c>
      <c r="K5797" s="29">
        <f>IFERROR(J5797*D5797,0)</f>
      </c>
      <c r="L5797" s="29">
        <f>IFERROR(E5797*C5797,0)</f>
      </c>
      <c r="M5797" s="29">
        <f>IFERROR((G5797*H5797*I5797/1000000)*D5797,0)</f>
      </c>
    </row>
    <row r="5798" spans="1:13" x14ac:dyDescent="0.25">
      <c r="A5798" s="16"/>
      <c r="E5798" s="27"/>
      <c r="F5798" t="s">
        <v>26</v>
      </c>
      <c r="G5798" s="28">
        <f>IFERROR(VLOOKUP(F5798,CARTON_LOOKUP!$A:$E,3,0),"")</f>
      </c>
      <c r="H5798" s="28">
        <f>IFERROR(VLOOKUP(F5798,CARTON_LOOKUP!$A:$E,4,0),"")</f>
      </c>
      <c r="I5798" s="28">
        <f>IFERROR(VLOOKUP(F5798,CARTON_LOOKUP!$A:$E,5,0),"")</f>
      </c>
      <c r="J5798" s="29">
        <f>IFERROR(VLOOKUP(F5798,CARTON_LOOKUP!$A:$E,2,0),"")</f>
      </c>
      <c r="K5798" s="29">
        <f>IFERROR(J5798*D5798,0)</f>
      </c>
      <c r="L5798" s="29">
        <f>IFERROR(E5798*C5798,0)</f>
      </c>
      <c r="M5798" s="29">
        <f>IFERROR((G5798*H5798*I5798/1000000)*D5798,0)</f>
      </c>
    </row>
    <row r="5799" spans="1:13" x14ac:dyDescent="0.25">
      <c r="A5799" s="16"/>
      <c r="E5799" s="27"/>
      <c r="F5799" t="s">
        <v>26</v>
      </c>
      <c r="G5799" s="28">
        <f>IFERROR(VLOOKUP(F5799,CARTON_LOOKUP!$A:$E,3,0),"")</f>
      </c>
      <c r="H5799" s="28">
        <f>IFERROR(VLOOKUP(F5799,CARTON_LOOKUP!$A:$E,4,0),"")</f>
      </c>
      <c r="I5799" s="28">
        <f>IFERROR(VLOOKUP(F5799,CARTON_LOOKUP!$A:$E,5,0),"")</f>
      </c>
      <c r="J5799" s="29">
        <f>IFERROR(VLOOKUP(F5799,CARTON_LOOKUP!$A:$E,2,0),"")</f>
      </c>
      <c r="K5799" s="29">
        <f>IFERROR(J5799*D5799,0)</f>
      </c>
      <c r="L5799" s="29">
        <f>IFERROR(E5799*C5799,0)</f>
      </c>
      <c r="M5799" s="29">
        <f>IFERROR((G5799*H5799*I5799/1000000)*D5799,0)</f>
      </c>
    </row>
    <row r="5800" spans="1:13" x14ac:dyDescent="0.25">
      <c r="A5800" s="16"/>
      <c r="E5800" s="27"/>
      <c r="F5800" t="s">
        <v>26</v>
      </c>
      <c r="G5800" s="28">
        <f>IFERROR(VLOOKUP(F5800,CARTON_LOOKUP!$A:$E,3,0),"")</f>
      </c>
      <c r="H5800" s="28">
        <f>IFERROR(VLOOKUP(F5800,CARTON_LOOKUP!$A:$E,4,0),"")</f>
      </c>
      <c r="I5800" s="28">
        <f>IFERROR(VLOOKUP(F5800,CARTON_LOOKUP!$A:$E,5,0),"")</f>
      </c>
      <c r="J5800" s="29">
        <f>IFERROR(VLOOKUP(F5800,CARTON_LOOKUP!$A:$E,2,0),"")</f>
      </c>
      <c r="K5800" s="29">
        <f>IFERROR(J5800*D5800,0)</f>
      </c>
      <c r="L5800" s="29">
        <f>IFERROR(E5800*C5800,0)</f>
      </c>
      <c r="M5800" s="29">
        <f>IFERROR((G5800*H5800*I5800/1000000)*D5800,0)</f>
      </c>
    </row>
    <row r="5801" spans="1:13" x14ac:dyDescent="0.25">
      <c r="A5801" s="16"/>
      <c r="E5801" s="27"/>
      <c r="F5801" t="s">
        <v>26</v>
      </c>
      <c r="G5801" s="28">
        <f>IFERROR(VLOOKUP(F5801,CARTON_LOOKUP!$A:$E,3,0),"")</f>
      </c>
      <c r="H5801" s="28">
        <f>IFERROR(VLOOKUP(F5801,CARTON_LOOKUP!$A:$E,4,0),"")</f>
      </c>
      <c r="I5801" s="28">
        <f>IFERROR(VLOOKUP(F5801,CARTON_LOOKUP!$A:$E,5,0),"")</f>
      </c>
      <c r="J5801" s="29">
        <f>IFERROR(VLOOKUP(F5801,CARTON_LOOKUP!$A:$E,2,0),"")</f>
      </c>
      <c r="K5801" s="29">
        <f>IFERROR(J5801*D5801,0)</f>
      </c>
      <c r="L5801" s="29">
        <f>IFERROR(E5801*C5801,0)</f>
      </c>
      <c r="M5801" s="29">
        <f>IFERROR((G5801*H5801*I5801/1000000)*D5801,0)</f>
      </c>
    </row>
    <row r="5802" spans="1:13" x14ac:dyDescent="0.25">
      <c r="A5802" s="16"/>
      <c r="E5802" s="27"/>
      <c r="F5802" t="s">
        <v>26</v>
      </c>
      <c r="G5802" s="28">
        <f>IFERROR(VLOOKUP(F5802,CARTON_LOOKUP!$A:$E,3,0),"")</f>
      </c>
      <c r="H5802" s="28">
        <f>IFERROR(VLOOKUP(F5802,CARTON_LOOKUP!$A:$E,4,0),"")</f>
      </c>
      <c r="I5802" s="28">
        <f>IFERROR(VLOOKUP(F5802,CARTON_LOOKUP!$A:$E,5,0),"")</f>
      </c>
      <c r="J5802" s="29">
        <f>IFERROR(VLOOKUP(F5802,CARTON_LOOKUP!$A:$E,2,0),"")</f>
      </c>
      <c r="K5802" s="29">
        <f>IFERROR(J5802*D5802,0)</f>
      </c>
      <c r="L5802" s="29">
        <f>IFERROR(E5802*C5802,0)</f>
      </c>
      <c r="M5802" s="29">
        <f>IFERROR((G5802*H5802*I5802/1000000)*D5802,0)</f>
      </c>
    </row>
    <row r="5803" spans="1:13" x14ac:dyDescent="0.25">
      <c r="A5803" s="16"/>
      <c r="E5803" s="27"/>
      <c r="F5803" t="s">
        <v>26</v>
      </c>
      <c r="G5803" s="28">
        <f>IFERROR(VLOOKUP(F5803,CARTON_LOOKUP!$A:$E,3,0),"")</f>
      </c>
      <c r="H5803" s="28">
        <f>IFERROR(VLOOKUP(F5803,CARTON_LOOKUP!$A:$E,4,0),"")</f>
      </c>
      <c r="I5803" s="28">
        <f>IFERROR(VLOOKUP(F5803,CARTON_LOOKUP!$A:$E,5,0),"")</f>
      </c>
      <c r="J5803" s="29">
        <f>IFERROR(VLOOKUP(F5803,CARTON_LOOKUP!$A:$E,2,0),"")</f>
      </c>
      <c r="K5803" s="29">
        <f>IFERROR(J5803*D5803,0)</f>
      </c>
      <c r="L5803" s="29">
        <f>IFERROR(E5803*C5803,0)</f>
      </c>
      <c r="M5803" s="29">
        <f>IFERROR((G5803*H5803*I5803/1000000)*D5803,0)</f>
      </c>
    </row>
    <row r="5804" spans="1:13" x14ac:dyDescent="0.25">
      <c r="A5804" s="16"/>
      <c r="E5804" s="27"/>
      <c r="F5804" t="s">
        <v>26</v>
      </c>
      <c r="G5804" s="28">
        <f>IFERROR(VLOOKUP(F5804,CARTON_LOOKUP!$A:$E,3,0),"")</f>
      </c>
      <c r="H5804" s="28">
        <f>IFERROR(VLOOKUP(F5804,CARTON_LOOKUP!$A:$E,4,0),"")</f>
      </c>
      <c r="I5804" s="28">
        <f>IFERROR(VLOOKUP(F5804,CARTON_LOOKUP!$A:$E,5,0),"")</f>
      </c>
      <c r="J5804" s="29">
        <f>IFERROR(VLOOKUP(F5804,CARTON_LOOKUP!$A:$E,2,0),"")</f>
      </c>
      <c r="K5804" s="29">
        <f>IFERROR(J5804*D5804,0)</f>
      </c>
      <c r="L5804" s="29">
        <f>IFERROR(E5804*C5804,0)</f>
      </c>
      <c r="M5804" s="29">
        <f>IFERROR((G5804*H5804*I5804/1000000)*D5804,0)</f>
      </c>
    </row>
    <row r="5805" spans="1:13" x14ac:dyDescent="0.25">
      <c r="A5805" s="16"/>
      <c r="E5805" s="27"/>
      <c r="F5805" t="s">
        <v>26</v>
      </c>
      <c r="G5805" s="28">
        <f>IFERROR(VLOOKUP(F5805,CARTON_LOOKUP!$A:$E,3,0),"")</f>
      </c>
      <c r="H5805" s="28">
        <f>IFERROR(VLOOKUP(F5805,CARTON_LOOKUP!$A:$E,4,0),"")</f>
      </c>
      <c r="I5805" s="28">
        <f>IFERROR(VLOOKUP(F5805,CARTON_LOOKUP!$A:$E,5,0),"")</f>
      </c>
      <c r="J5805" s="29">
        <f>IFERROR(VLOOKUP(F5805,CARTON_LOOKUP!$A:$E,2,0),"")</f>
      </c>
      <c r="K5805" s="29">
        <f>IFERROR(J5805*D5805,0)</f>
      </c>
      <c r="L5805" s="29">
        <f>IFERROR(E5805*C5805,0)</f>
      </c>
      <c r="M5805" s="29">
        <f>IFERROR((G5805*H5805*I5805/1000000)*D5805,0)</f>
      </c>
    </row>
    <row r="5806" spans="1:13" x14ac:dyDescent="0.25">
      <c r="A5806" s="16"/>
      <c r="E5806" s="27"/>
      <c r="F5806" t="s">
        <v>26</v>
      </c>
      <c r="G5806" s="28">
        <f>IFERROR(VLOOKUP(F5806,CARTON_LOOKUP!$A:$E,3,0),"")</f>
      </c>
      <c r="H5806" s="28">
        <f>IFERROR(VLOOKUP(F5806,CARTON_LOOKUP!$A:$E,4,0),"")</f>
      </c>
      <c r="I5806" s="28">
        <f>IFERROR(VLOOKUP(F5806,CARTON_LOOKUP!$A:$E,5,0),"")</f>
      </c>
      <c r="J5806" s="29">
        <f>IFERROR(VLOOKUP(F5806,CARTON_LOOKUP!$A:$E,2,0),"")</f>
      </c>
      <c r="K5806" s="29">
        <f>IFERROR(J5806*D5806,0)</f>
      </c>
      <c r="L5806" s="29">
        <f>IFERROR(E5806*C5806,0)</f>
      </c>
      <c r="M5806" s="29">
        <f>IFERROR((G5806*H5806*I5806/1000000)*D5806,0)</f>
      </c>
    </row>
    <row r="5807" spans="1:13" x14ac:dyDescent="0.25">
      <c r="A5807" s="16"/>
      <c r="E5807" s="27"/>
      <c r="F5807" t="s">
        <v>26</v>
      </c>
      <c r="G5807" s="28">
        <f>IFERROR(VLOOKUP(F5807,CARTON_LOOKUP!$A:$E,3,0),"")</f>
      </c>
      <c r="H5807" s="28">
        <f>IFERROR(VLOOKUP(F5807,CARTON_LOOKUP!$A:$E,4,0),"")</f>
      </c>
      <c r="I5807" s="28">
        <f>IFERROR(VLOOKUP(F5807,CARTON_LOOKUP!$A:$E,5,0),"")</f>
      </c>
      <c r="J5807" s="29">
        <f>IFERROR(VLOOKUP(F5807,CARTON_LOOKUP!$A:$E,2,0),"")</f>
      </c>
      <c r="K5807" s="29">
        <f>IFERROR(J5807*D5807,0)</f>
      </c>
      <c r="L5807" s="29">
        <f>IFERROR(E5807*C5807,0)</f>
      </c>
      <c r="M5807" s="29">
        <f>IFERROR((G5807*H5807*I5807/1000000)*D5807,0)</f>
      </c>
    </row>
    <row r="5808" spans="1:13" x14ac:dyDescent="0.25">
      <c r="A5808" s="16"/>
      <c r="E5808" s="27"/>
      <c r="F5808" t="s">
        <v>26</v>
      </c>
      <c r="G5808" s="28">
        <f>IFERROR(VLOOKUP(F5808,CARTON_LOOKUP!$A:$E,3,0),"")</f>
      </c>
      <c r="H5808" s="28">
        <f>IFERROR(VLOOKUP(F5808,CARTON_LOOKUP!$A:$E,4,0),"")</f>
      </c>
      <c r="I5808" s="28">
        <f>IFERROR(VLOOKUP(F5808,CARTON_LOOKUP!$A:$E,5,0),"")</f>
      </c>
      <c r="J5808" s="29">
        <f>IFERROR(VLOOKUP(F5808,CARTON_LOOKUP!$A:$E,2,0),"")</f>
      </c>
      <c r="K5808" s="29">
        <f>IFERROR(J5808*D5808,0)</f>
      </c>
      <c r="L5808" s="29">
        <f>IFERROR(E5808*C5808,0)</f>
      </c>
      <c r="M5808" s="29">
        <f>IFERROR((G5808*H5808*I5808/1000000)*D5808,0)</f>
      </c>
    </row>
    <row r="5809" spans="1:13" x14ac:dyDescent="0.25">
      <c r="A5809" s="16"/>
      <c r="E5809" s="27"/>
      <c r="F5809" t="s">
        <v>26</v>
      </c>
      <c r="G5809" s="28">
        <f>IFERROR(VLOOKUP(F5809,CARTON_LOOKUP!$A:$E,3,0),"")</f>
      </c>
      <c r="H5809" s="28">
        <f>IFERROR(VLOOKUP(F5809,CARTON_LOOKUP!$A:$E,4,0),"")</f>
      </c>
      <c r="I5809" s="28">
        <f>IFERROR(VLOOKUP(F5809,CARTON_LOOKUP!$A:$E,5,0),"")</f>
      </c>
      <c r="J5809" s="29">
        <f>IFERROR(VLOOKUP(F5809,CARTON_LOOKUP!$A:$E,2,0),"")</f>
      </c>
      <c r="K5809" s="29">
        <f>IFERROR(J5809*D5809,0)</f>
      </c>
      <c r="L5809" s="29">
        <f>IFERROR(E5809*C5809,0)</f>
      </c>
      <c r="M5809" s="29">
        <f>IFERROR((G5809*H5809*I5809/1000000)*D5809,0)</f>
      </c>
    </row>
    <row r="5810" spans="1:13" x14ac:dyDescent="0.25">
      <c r="A5810" s="16"/>
      <c r="E5810" s="27"/>
      <c r="F5810" t="s">
        <v>26</v>
      </c>
      <c r="G5810" s="28">
        <f>IFERROR(VLOOKUP(F5810,CARTON_LOOKUP!$A:$E,3,0),"")</f>
      </c>
      <c r="H5810" s="28">
        <f>IFERROR(VLOOKUP(F5810,CARTON_LOOKUP!$A:$E,4,0),"")</f>
      </c>
      <c r="I5810" s="28">
        <f>IFERROR(VLOOKUP(F5810,CARTON_LOOKUP!$A:$E,5,0),"")</f>
      </c>
      <c r="J5810" s="29">
        <f>IFERROR(VLOOKUP(F5810,CARTON_LOOKUP!$A:$E,2,0),"")</f>
      </c>
      <c r="K5810" s="29">
        <f>IFERROR(J5810*D5810,0)</f>
      </c>
      <c r="L5810" s="29">
        <f>IFERROR(E5810*C5810,0)</f>
      </c>
      <c r="M5810" s="29">
        <f>IFERROR((G5810*H5810*I5810/1000000)*D5810,0)</f>
      </c>
    </row>
    <row r="5811" spans="1:13" x14ac:dyDescent="0.25">
      <c r="A5811" s="16"/>
      <c r="E5811" s="27"/>
      <c r="F5811" t="s">
        <v>26</v>
      </c>
      <c r="G5811" s="28">
        <f>IFERROR(VLOOKUP(F5811,CARTON_LOOKUP!$A:$E,3,0),"")</f>
      </c>
      <c r="H5811" s="28">
        <f>IFERROR(VLOOKUP(F5811,CARTON_LOOKUP!$A:$E,4,0),"")</f>
      </c>
      <c r="I5811" s="28">
        <f>IFERROR(VLOOKUP(F5811,CARTON_LOOKUP!$A:$E,5,0),"")</f>
      </c>
      <c r="J5811" s="29">
        <f>IFERROR(VLOOKUP(F5811,CARTON_LOOKUP!$A:$E,2,0),"")</f>
      </c>
      <c r="K5811" s="29">
        <f>IFERROR(J5811*D5811,0)</f>
      </c>
      <c r="L5811" s="29">
        <f>IFERROR(E5811*C5811,0)</f>
      </c>
      <c r="M5811" s="29">
        <f>IFERROR((G5811*H5811*I5811/1000000)*D5811,0)</f>
      </c>
    </row>
    <row r="5812" spans="1:13" x14ac:dyDescent="0.25">
      <c r="A5812" s="16"/>
      <c r="E5812" s="27"/>
      <c r="F5812" t="s">
        <v>26</v>
      </c>
      <c r="G5812" s="28">
        <f>IFERROR(VLOOKUP(F5812,CARTON_LOOKUP!$A:$E,3,0),"")</f>
      </c>
      <c r="H5812" s="28">
        <f>IFERROR(VLOOKUP(F5812,CARTON_LOOKUP!$A:$E,4,0),"")</f>
      </c>
      <c r="I5812" s="28">
        <f>IFERROR(VLOOKUP(F5812,CARTON_LOOKUP!$A:$E,5,0),"")</f>
      </c>
      <c r="J5812" s="29">
        <f>IFERROR(VLOOKUP(F5812,CARTON_LOOKUP!$A:$E,2,0),"")</f>
      </c>
      <c r="K5812" s="29">
        <f>IFERROR(J5812*D5812,0)</f>
      </c>
      <c r="L5812" s="29">
        <f>IFERROR(E5812*C5812,0)</f>
      </c>
      <c r="M5812" s="29">
        <f>IFERROR((G5812*H5812*I5812/1000000)*D5812,0)</f>
      </c>
    </row>
    <row r="5813" spans="1:13" x14ac:dyDescent="0.25">
      <c r="A5813" s="16"/>
      <c r="E5813" s="27"/>
      <c r="F5813" t="s">
        <v>26</v>
      </c>
      <c r="G5813" s="28">
        <f>IFERROR(VLOOKUP(F5813,CARTON_LOOKUP!$A:$E,3,0),"")</f>
      </c>
      <c r="H5813" s="28">
        <f>IFERROR(VLOOKUP(F5813,CARTON_LOOKUP!$A:$E,4,0),"")</f>
      </c>
      <c r="I5813" s="28">
        <f>IFERROR(VLOOKUP(F5813,CARTON_LOOKUP!$A:$E,5,0),"")</f>
      </c>
      <c r="J5813" s="29">
        <f>IFERROR(VLOOKUP(F5813,CARTON_LOOKUP!$A:$E,2,0),"")</f>
      </c>
      <c r="K5813" s="29">
        <f>IFERROR(J5813*D5813,0)</f>
      </c>
      <c r="L5813" s="29">
        <f>IFERROR(E5813*C5813,0)</f>
      </c>
      <c r="M5813" s="29">
        <f>IFERROR((G5813*H5813*I5813/1000000)*D5813,0)</f>
      </c>
    </row>
    <row r="5814" spans="1:13" x14ac:dyDescent="0.25">
      <c r="A5814" s="16"/>
      <c r="E5814" s="27"/>
      <c r="F5814" t="s">
        <v>26</v>
      </c>
      <c r="G5814" s="28">
        <f>IFERROR(VLOOKUP(F5814,CARTON_LOOKUP!$A:$E,3,0),"")</f>
      </c>
      <c r="H5814" s="28">
        <f>IFERROR(VLOOKUP(F5814,CARTON_LOOKUP!$A:$E,4,0),"")</f>
      </c>
      <c r="I5814" s="28">
        <f>IFERROR(VLOOKUP(F5814,CARTON_LOOKUP!$A:$E,5,0),"")</f>
      </c>
      <c r="J5814" s="29">
        <f>IFERROR(VLOOKUP(F5814,CARTON_LOOKUP!$A:$E,2,0),"")</f>
      </c>
      <c r="K5814" s="29">
        <f>IFERROR(J5814*D5814,0)</f>
      </c>
      <c r="L5814" s="29">
        <f>IFERROR(E5814*C5814,0)</f>
      </c>
      <c r="M5814" s="29">
        <f>IFERROR((G5814*H5814*I5814/1000000)*D5814,0)</f>
      </c>
    </row>
    <row r="5815" spans="1:13" x14ac:dyDescent="0.25">
      <c r="A5815" s="16"/>
      <c r="E5815" s="27"/>
      <c r="F5815" t="s">
        <v>26</v>
      </c>
      <c r="G5815" s="28">
        <f>IFERROR(VLOOKUP(F5815,CARTON_LOOKUP!$A:$E,3,0),"")</f>
      </c>
      <c r="H5815" s="28">
        <f>IFERROR(VLOOKUP(F5815,CARTON_LOOKUP!$A:$E,4,0),"")</f>
      </c>
      <c r="I5815" s="28">
        <f>IFERROR(VLOOKUP(F5815,CARTON_LOOKUP!$A:$E,5,0),"")</f>
      </c>
      <c r="J5815" s="29">
        <f>IFERROR(VLOOKUP(F5815,CARTON_LOOKUP!$A:$E,2,0),"")</f>
      </c>
      <c r="K5815" s="29">
        <f>IFERROR(J5815*D5815,0)</f>
      </c>
      <c r="L5815" s="29">
        <f>IFERROR(E5815*C5815,0)</f>
      </c>
      <c r="M5815" s="29">
        <f>IFERROR((G5815*H5815*I5815/1000000)*D5815,0)</f>
      </c>
    </row>
    <row r="5816" spans="1:13" x14ac:dyDescent="0.25">
      <c r="A5816" s="16"/>
      <c r="E5816" s="27"/>
      <c r="F5816" t="s">
        <v>26</v>
      </c>
      <c r="G5816" s="28">
        <f>IFERROR(VLOOKUP(F5816,CARTON_LOOKUP!$A:$E,3,0),"")</f>
      </c>
      <c r="H5816" s="28">
        <f>IFERROR(VLOOKUP(F5816,CARTON_LOOKUP!$A:$E,4,0),"")</f>
      </c>
      <c r="I5816" s="28">
        <f>IFERROR(VLOOKUP(F5816,CARTON_LOOKUP!$A:$E,5,0),"")</f>
      </c>
      <c r="J5816" s="29">
        <f>IFERROR(VLOOKUP(F5816,CARTON_LOOKUP!$A:$E,2,0),"")</f>
      </c>
      <c r="K5816" s="29">
        <f>IFERROR(J5816*D5816,0)</f>
      </c>
      <c r="L5816" s="29">
        <f>IFERROR(E5816*C5816,0)</f>
      </c>
      <c r="M5816" s="29">
        <f>IFERROR((G5816*H5816*I5816/1000000)*D5816,0)</f>
      </c>
    </row>
    <row r="5817" spans="1:13" x14ac:dyDescent="0.25">
      <c r="A5817" s="16"/>
      <c r="E5817" s="27"/>
      <c r="F5817" t="s">
        <v>26</v>
      </c>
      <c r="G5817" s="28">
        <f>IFERROR(VLOOKUP(F5817,CARTON_LOOKUP!$A:$E,3,0),"")</f>
      </c>
      <c r="H5817" s="28">
        <f>IFERROR(VLOOKUP(F5817,CARTON_LOOKUP!$A:$E,4,0),"")</f>
      </c>
      <c r="I5817" s="28">
        <f>IFERROR(VLOOKUP(F5817,CARTON_LOOKUP!$A:$E,5,0),"")</f>
      </c>
      <c r="J5817" s="29">
        <f>IFERROR(VLOOKUP(F5817,CARTON_LOOKUP!$A:$E,2,0),"")</f>
      </c>
      <c r="K5817" s="29">
        <f>IFERROR(J5817*D5817,0)</f>
      </c>
      <c r="L5817" s="29">
        <f>IFERROR(E5817*C5817,0)</f>
      </c>
      <c r="M5817" s="29">
        <f>IFERROR((G5817*H5817*I5817/1000000)*D5817,0)</f>
      </c>
    </row>
    <row r="5818" spans="1:13" x14ac:dyDescent="0.25">
      <c r="A5818" s="16"/>
      <c r="E5818" s="27"/>
      <c r="F5818" t="s">
        <v>26</v>
      </c>
      <c r="G5818" s="28">
        <f>IFERROR(VLOOKUP(F5818,CARTON_LOOKUP!$A:$E,3,0),"")</f>
      </c>
      <c r="H5818" s="28">
        <f>IFERROR(VLOOKUP(F5818,CARTON_LOOKUP!$A:$E,4,0),"")</f>
      </c>
      <c r="I5818" s="28">
        <f>IFERROR(VLOOKUP(F5818,CARTON_LOOKUP!$A:$E,5,0),"")</f>
      </c>
      <c r="J5818" s="29">
        <f>IFERROR(VLOOKUP(F5818,CARTON_LOOKUP!$A:$E,2,0),"")</f>
      </c>
      <c r="K5818" s="29">
        <f>IFERROR(J5818*D5818,0)</f>
      </c>
      <c r="L5818" s="29">
        <f>IFERROR(E5818*C5818,0)</f>
      </c>
      <c r="M5818" s="29">
        <f>IFERROR((G5818*H5818*I5818/1000000)*D5818,0)</f>
      </c>
    </row>
    <row r="5819" spans="1:13" x14ac:dyDescent="0.25">
      <c r="A5819" s="16"/>
      <c r="E5819" s="27"/>
      <c r="F5819" t="s">
        <v>26</v>
      </c>
      <c r="G5819" s="28">
        <f>IFERROR(VLOOKUP(F5819,CARTON_LOOKUP!$A:$E,3,0),"")</f>
      </c>
      <c r="H5819" s="28">
        <f>IFERROR(VLOOKUP(F5819,CARTON_LOOKUP!$A:$E,4,0),"")</f>
      </c>
      <c r="I5819" s="28">
        <f>IFERROR(VLOOKUP(F5819,CARTON_LOOKUP!$A:$E,5,0),"")</f>
      </c>
      <c r="J5819" s="29">
        <f>IFERROR(VLOOKUP(F5819,CARTON_LOOKUP!$A:$E,2,0),"")</f>
      </c>
      <c r="K5819" s="29">
        <f>IFERROR(J5819*D5819,0)</f>
      </c>
      <c r="L5819" s="29">
        <f>IFERROR(E5819*C5819,0)</f>
      </c>
      <c r="M5819" s="29">
        <f>IFERROR((G5819*H5819*I5819/1000000)*D5819,0)</f>
      </c>
    </row>
    <row r="5820" spans="1:13" x14ac:dyDescent="0.25">
      <c r="A5820" s="16"/>
      <c r="E5820" s="27"/>
      <c r="F5820" t="s">
        <v>26</v>
      </c>
      <c r="G5820" s="28">
        <f>IFERROR(VLOOKUP(F5820,CARTON_LOOKUP!$A:$E,3,0),"")</f>
      </c>
      <c r="H5820" s="28">
        <f>IFERROR(VLOOKUP(F5820,CARTON_LOOKUP!$A:$E,4,0),"")</f>
      </c>
      <c r="I5820" s="28">
        <f>IFERROR(VLOOKUP(F5820,CARTON_LOOKUP!$A:$E,5,0),"")</f>
      </c>
      <c r="J5820" s="29">
        <f>IFERROR(VLOOKUP(F5820,CARTON_LOOKUP!$A:$E,2,0),"")</f>
      </c>
      <c r="K5820" s="29">
        <f>IFERROR(J5820*D5820,0)</f>
      </c>
      <c r="L5820" s="29">
        <f>IFERROR(E5820*C5820,0)</f>
      </c>
      <c r="M5820" s="29">
        <f>IFERROR((G5820*H5820*I5820/1000000)*D5820,0)</f>
      </c>
    </row>
    <row r="5821" spans="1:13" x14ac:dyDescent="0.25">
      <c r="A5821" s="16"/>
      <c r="E5821" s="27"/>
      <c r="F5821" t="s">
        <v>26</v>
      </c>
      <c r="G5821" s="28">
        <f>IFERROR(VLOOKUP(F5821,CARTON_LOOKUP!$A:$E,3,0),"")</f>
      </c>
      <c r="H5821" s="28">
        <f>IFERROR(VLOOKUP(F5821,CARTON_LOOKUP!$A:$E,4,0),"")</f>
      </c>
      <c r="I5821" s="28">
        <f>IFERROR(VLOOKUP(F5821,CARTON_LOOKUP!$A:$E,5,0),"")</f>
      </c>
      <c r="J5821" s="29">
        <f>IFERROR(VLOOKUP(F5821,CARTON_LOOKUP!$A:$E,2,0),"")</f>
      </c>
      <c r="K5821" s="29">
        <f>IFERROR(J5821*D5821,0)</f>
      </c>
      <c r="L5821" s="29">
        <f>IFERROR(E5821*C5821,0)</f>
      </c>
      <c r="M5821" s="29">
        <f>IFERROR((G5821*H5821*I5821/1000000)*D5821,0)</f>
      </c>
    </row>
    <row r="5822" spans="1:13" x14ac:dyDescent="0.25">
      <c r="A5822" s="16"/>
      <c r="E5822" s="27"/>
      <c r="F5822" t="s">
        <v>26</v>
      </c>
      <c r="G5822" s="28">
        <f>IFERROR(VLOOKUP(F5822,CARTON_LOOKUP!$A:$E,3,0),"")</f>
      </c>
      <c r="H5822" s="28">
        <f>IFERROR(VLOOKUP(F5822,CARTON_LOOKUP!$A:$E,4,0),"")</f>
      </c>
      <c r="I5822" s="28">
        <f>IFERROR(VLOOKUP(F5822,CARTON_LOOKUP!$A:$E,5,0),"")</f>
      </c>
      <c r="J5822" s="29">
        <f>IFERROR(VLOOKUP(F5822,CARTON_LOOKUP!$A:$E,2,0),"")</f>
      </c>
      <c r="K5822" s="29">
        <f>IFERROR(J5822*D5822,0)</f>
      </c>
      <c r="L5822" s="29">
        <f>IFERROR(E5822*C5822,0)</f>
      </c>
      <c r="M5822" s="29">
        <f>IFERROR((G5822*H5822*I5822/1000000)*D5822,0)</f>
      </c>
    </row>
    <row r="5823" spans="1:13" x14ac:dyDescent="0.25">
      <c r="A5823" s="16"/>
      <c r="E5823" s="27"/>
      <c r="F5823" t="s">
        <v>26</v>
      </c>
      <c r="G5823" s="28">
        <f>IFERROR(VLOOKUP(F5823,CARTON_LOOKUP!$A:$E,3,0),"")</f>
      </c>
      <c r="H5823" s="28">
        <f>IFERROR(VLOOKUP(F5823,CARTON_LOOKUP!$A:$E,4,0),"")</f>
      </c>
      <c r="I5823" s="28">
        <f>IFERROR(VLOOKUP(F5823,CARTON_LOOKUP!$A:$E,5,0),"")</f>
      </c>
      <c r="J5823" s="29">
        <f>IFERROR(VLOOKUP(F5823,CARTON_LOOKUP!$A:$E,2,0),"")</f>
      </c>
      <c r="K5823" s="29">
        <f>IFERROR(J5823*D5823,0)</f>
      </c>
      <c r="L5823" s="29">
        <f>IFERROR(E5823*C5823,0)</f>
      </c>
      <c r="M5823" s="29">
        <f>IFERROR((G5823*H5823*I5823/1000000)*D5823,0)</f>
      </c>
    </row>
    <row r="5824" spans="1:13" x14ac:dyDescent="0.25">
      <c r="A5824" s="16"/>
      <c r="E5824" s="27"/>
      <c r="F5824" t="s">
        <v>26</v>
      </c>
      <c r="G5824" s="28">
        <f>IFERROR(VLOOKUP(F5824,CARTON_LOOKUP!$A:$E,3,0),"")</f>
      </c>
      <c r="H5824" s="28">
        <f>IFERROR(VLOOKUP(F5824,CARTON_LOOKUP!$A:$E,4,0),"")</f>
      </c>
      <c r="I5824" s="28">
        <f>IFERROR(VLOOKUP(F5824,CARTON_LOOKUP!$A:$E,5,0),"")</f>
      </c>
      <c r="J5824" s="29">
        <f>IFERROR(VLOOKUP(F5824,CARTON_LOOKUP!$A:$E,2,0),"")</f>
      </c>
      <c r="K5824" s="29">
        <f>IFERROR(J5824*D5824,0)</f>
      </c>
      <c r="L5824" s="29">
        <f>IFERROR(E5824*C5824,0)</f>
      </c>
      <c r="M5824" s="29">
        <f>IFERROR((G5824*H5824*I5824/1000000)*D5824,0)</f>
      </c>
    </row>
    <row r="5825" spans="1:13" x14ac:dyDescent="0.25">
      <c r="A5825" s="16"/>
      <c r="E5825" s="27"/>
      <c r="F5825" t="s">
        <v>26</v>
      </c>
      <c r="G5825" s="28">
        <f>IFERROR(VLOOKUP(F5825,CARTON_LOOKUP!$A:$E,3,0),"")</f>
      </c>
      <c r="H5825" s="28">
        <f>IFERROR(VLOOKUP(F5825,CARTON_LOOKUP!$A:$E,4,0),"")</f>
      </c>
      <c r="I5825" s="28">
        <f>IFERROR(VLOOKUP(F5825,CARTON_LOOKUP!$A:$E,5,0),"")</f>
      </c>
      <c r="J5825" s="29">
        <f>IFERROR(VLOOKUP(F5825,CARTON_LOOKUP!$A:$E,2,0),"")</f>
      </c>
      <c r="K5825" s="29">
        <f>IFERROR(J5825*D5825,0)</f>
      </c>
      <c r="L5825" s="29">
        <f>IFERROR(E5825*C5825,0)</f>
      </c>
      <c r="M5825" s="29">
        <f>IFERROR((G5825*H5825*I5825/1000000)*D5825,0)</f>
      </c>
    </row>
    <row r="5826" spans="1:13" x14ac:dyDescent="0.25">
      <c r="A5826" s="16"/>
      <c r="E5826" s="27"/>
      <c r="F5826" t="s">
        <v>26</v>
      </c>
      <c r="G5826" s="28">
        <f>IFERROR(VLOOKUP(F5826,CARTON_LOOKUP!$A:$E,3,0),"")</f>
      </c>
      <c r="H5826" s="28">
        <f>IFERROR(VLOOKUP(F5826,CARTON_LOOKUP!$A:$E,4,0),"")</f>
      </c>
      <c r="I5826" s="28">
        <f>IFERROR(VLOOKUP(F5826,CARTON_LOOKUP!$A:$E,5,0),"")</f>
      </c>
      <c r="J5826" s="29">
        <f>IFERROR(VLOOKUP(F5826,CARTON_LOOKUP!$A:$E,2,0),"")</f>
      </c>
      <c r="K5826" s="29">
        <f>IFERROR(J5826*D5826,0)</f>
      </c>
      <c r="L5826" s="29">
        <f>IFERROR(E5826*C5826,0)</f>
      </c>
      <c r="M5826" s="29">
        <f>IFERROR((G5826*H5826*I5826/1000000)*D5826,0)</f>
      </c>
    </row>
    <row r="5827" spans="1:13" x14ac:dyDescent="0.25">
      <c r="A5827" s="16"/>
      <c r="E5827" s="27"/>
      <c r="F5827" t="s">
        <v>26</v>
      </c>
      <c r="G5827" s="28">
        <f>IFERROR(VLOOKUP(F5827,CARTON_LOOKUP!$A:$E,3,0),"")</f>
      </c>
      <c r="H5827" s="28">
        <f>IFERROR(VLOOKUP(F5827,CARTON_LOOKUP!$A:$E,4,0),"")</f>
      </c>
      <c r="I5827" s="28">
        <f>IFERROR(VLOOKUP(F5827,CARTON_LOOKUP!$A:$E,5,0),"")</f>
      </c>
      <c r="J5827" s="29">
        <f>IFERROR(VLOOKUP(F5827,CARTON_LOOKUP!$A:$E,2,0),"")</f>
      </c>
      <c r="K5827" s="29">
        <f>IFERROR(J5827*D5827,0)</f>
      </c>
      <c r="L5827" s="29">
        <f>IFERROR(E5827*C5827,0)</f>
      </c>
      <c r="M5827" s="29">
        <f>IFERROR((G5827*H5827*I5827/1000000)*D5827,0)</f>
      </c>
    </row>
    <row r="5828" spans="1:13" x14ac:dyDescent="0.25">
      <c r="A5828" s="16"/>
      <c r="E5828" s="27"/>
      <c r="F5828" t="s">
        <v>26</v>
      </c>
      <c r="G5828" s="28">
        <f>IFERROR(VLOOKUP(F5828,CARTON_LOOKUP!$A:$E,3,0),"")</f>
      </c>
      <c r="H5828" s="28">
        <f>IFERROR(VLOOKUP(F5828,CARTON_LOOKUP!$A:$E,4,0),"")</f>
      </c>
      <c r="I5828" s="28">
        <f>IFERROR(VLOOKUP(F5828,CARTON_LOOKUP!$A:$E,5,0),"")</f>
      </c>
      <c r="J5828" s="29">
        <f>IFERROR(VLOOKUP(F5828,CARTON_LOOKUP!$A:$E,2,0),"")</f>
      </c>
      <c r="K5828" s="29">
        <f>IFERROR(J5828*D5828,0)</f>
      </c>
      <c r="L5828" s="29">
        <f>IFERROR(E5828*C5828,0)</f>
      </c>
      <c r="M5828" s="29">
        <f>IFERROR((G5828*H5828*I5828/1000000)*D5828,0)</f>
      </c>
    </row>
    <row r="5829" spans="1:13" x14ac:dyDescent="0.25">
      <c r="A5829" s="16"/>
      <c r="E5829" s="27"/>
      <c r="F5829" t="s">
        <v>26</v>
      </c>
      <c r="G5829" s="28">
        <f>IFERROR(VLOOKUP(F5829,CARTON_LOOKUP!$A:$E,3,0),"")</f>
      </c>
      <c r="H5829" s="28">
        <f>IFERROR(VLOOKUP(F5829,CARTON_LOOKUP!$A:$E,4,0),"")</f>
      </c>
      <c r="I5829" s="28">
        <f>IFERROR(VLOOKUP(F5829,CARTON_LOOKUP!$A:$E,5,0),"")</f>
      </c>
      <c r="J5829" s="29">
        <f>IFERROR(VLOOKUP(F5829,CARTON_LOOKUP!$A:$E,2,0),"")</f>
      </c>
      <c r="K5829" s="29">
        <f>IFERROR(J5829*D5829,0)</f>
      </c>
      <c r="L5829" s="29">
        <f>IFERROR(E5829*C5829,0)</f>
      </c>
      <c r="M5829" s="29">
        <f>IFERROR((G5829*H5829*I5829/1000000)*D5829,0)</f>
      </c>
    </row>
    <row r="5830" spans="1:13" x14ac:dyDescent="0.25">
      <c r="A5830" s="16"/>
      <c r="E5830" s="27"/>
      <c r="F5830" t="s">
        <v>26</v>
      </c>
      <c r="G5830" s="28">
        <f>IFERROR(VLOOKUP(F5830,CARTON_LOOKUP!$A:$E,3,0),"")</f>
      </c>
      <c r="H5830" s="28">
        <f>IFERROR(VLOOKUP(F5830,CARTON_LOOKUP!$A:$E,4,0),"")</f>
      </c>
      <c r="I5830" s="28">
        <f>IFERROR(VLOOKUP(F5830,CARTON_LOOKUP!$A:$E,5,0),"")</f>
      </c>
      <c r="J5830" s="29">
        <f>IFERROR(VLOOKUP(F5830,CARTON_LOOKUP!$A:$E,2,0),"")</f>
      </c>
      <c r="K5830" s="29">
        <f>IFERROR(J5830*D5830,0)</f>
      </c>
      <c r="L5830" s="29">
        <f>IFERROR(E5830*C5830,0)</f>
      </c>
      <c r="M5830" s="29">
        <f>IFERROR((G5830*H5830*I5830/1000000)*D5830,0)</f>
      </c>
    </row>
    <row r="5831" spans="1:13" x14ac:dyDescent="0.25">
      <c r="A5831" s="16"/>
      <c r="E5831" s="27"/>
      <c r="F5831" t="s">
        <v>26</v>
      </c>
      <c r="G5831" s="28">
        <f>IFERROR(VLOOKUP(F5831,CARTON_LOOKUP!$A:$E,3,0),"")</f>
      </c>
      <c r="H5831" s="28">
        <f>IFERROR(VLOOKUP(F5831,CARTON_LOOKUP!$A:$E,4,0),"")</f>
      </c>
      <c r="I5831" s="28">
        <f>IFERROR(VLOOKUP(F5831,CARTON_LOOKUP!$A:$E,5,0),"")</f>
      </c>
      <c r="J5831" s="29">
        <f>IFERROR(VLOOKUP(F5831,CARTON_LOOKUP!$A:$E,2,0),"")</f>
      </c>
      <c r="K5831" s="29">
        <f>IFERROR(J5831*D5831,0)</f>
      </c>
      <c r="L5831" s="29">
        <f>IFERROR(E5831*C5831,0)</f>
      </c>
      <c r="M5831" s="29">
        <f>IFERROR((G5831*H5831*I5831/1000000)*D5831,0)</f>
      </c>
    </row>
    <row r="5832" spans="1:13" x14ac:dyDescent="0.25">
      <c r="A5832" s="16"/>
      <c r="E5832" s="27"/>
      <c r="F5832" t="s">
        <v>26</v>
      </c>
      <c r="G5832" s="28">
        <f>IFERROR(VLOOKUP(F5832,CARTON_LOOKUP!$A:$E,3,0),"")</f>
      </c>
      <c r="H5832" s="28">
        <f>IFERROR(VLOOKUP(F5832,CARTON_LOOKUP!$A:$E,4,0),"")</f>
      </c>
      <c r="I5832" s="28">
        <f>IFERROR(VLOOKUP(F5832,CARTON_LOOKUP!$A:$E,5,0),"")</f>
      </c>
      <c r="J5832" s="29">
        <f>IFERROR(VLOOKUP(F5832,CARTON_LOOKUP!$A:$E,2,0),"")</f>
      </c>
      <c r="K5832" s="29">
        <f>IFERROR(J5832*D5832,0)</f>
      </c>
      <c r="L5832" s="29">
        <f>IFERROR(E5832*C5832,0)</f>
      </c>
      <c r="M5832" s="29">
        <f>IFERROR((G5832*H5832*I5832/1000000)*D5832,0)</f>
      </c>
    </row>
    <row r="5833" spans="1:13" x14ac:dyDescent="0.25">
      <c r="A5833" s="16"/>
      <c r="E5833" s="27"/>
      <c r="F5833" t="s">
        <v>26</v>
      </c>
      <c r="G5833" s="28">
        <f>IFERROR(VLOOKUP(F5833,CARTON_LOOKUP!$A:$E,3,0),"")</f>
      </c>
      <c r="H5833" s="28">
        <f>IFERROR(VLOOKUP(F5833,CARTON_LOOKUP!$A:$E,4,0),"")</f>
      </c>
      <c r="I5833" s="28">
        <f>IFERROR(VLOOKUP(F5833,CARTON_LOOKUP!$A:$E,5,0),"")</f>
      </c>
      <c r="J5833" s="29">
        <f>IFERROR(VLOOKUP(F5833,CARTON_LOOKUP!$A:$E,2,0),"")</f>
      </c>
      <c r="K5833" s="29">
        <f>IFERROR(J5833*D5833,0)</f>
      </c>
      <c r="L5833" s="29">
        <f>IFERROR(E5833*C5833,0)</f>
      </c>
      <c r="M5833" s="29">
        <f>IFERROR((G5833*H5833*I5833/1000000)*D5833,0)</f>
      </c>
    </row>
    <row r="5834" spans="1:13" x14ac:dyDescent="0.25">
      <c r="A5834" s="16"/>
      <c r="E5834" s="27"/>
      <c r="F5834" t="s">
        <v>26</v>
      </c>
      <c r="G5834" s="28">
        <f>IFERROR(VLOOKUP(F5834,CARTON_LOOKUP!$A:$E,3,0),"")</f>
      </c>
      <c r="H5834" s="28">
        <f>IFERROR(VLOOKUP(F5834,CARTON_LOOKUP!$A:$E,4,0),"")</f>
      </c>
      <c r="I5834" s="28">
        <f>IFERROR(VLOOKUP(F5834,CARTON_LOOKUP!$A:$E,5,0),"")</f>
      </c>
      <c r="J5834" s="29">
        <f>IFERROR(VLOOKUP(F5834,CARTON_LOOKUP!$A:$E,2,0),"")</f>
      </c>
      <c r="K5834" s="29">
        <f>IFERROR(J5834*D5834,0)</f>
      </c>
      <c r="L5834" s="29">
        <f>IFERROR(E5834*C5834,0)</f>
      </c>
      <c r="M5834" s="29">
        <f>IFERROR((G5834*H5834*I5834/1000000)*D5834,0)</f>
      </c>
    </row>
    <row r="5835" spans="1:13" x14ac:dyDescent="0.25">
      <c r="A5835" s="16"/>
      <c r="E5835" s="27"/>
      <c r="F5835" t="s">
        <v>26</v>
      </c>
      <c r="G5835" s="28">
        <f>IFERROR(VLOOKUP(F5835,CARTON_LOOKUP!$A:$E,3,0),"")</f>
      </c>
      <c r="H5835" s="28">
        <f>IFERROR(VLOOKUP(F5835,CARTON_LOOKUP!$A:$E,4,0),"")</f>
      </c>
      <c r="I5835" s="28">
        <f>IFERROR(VLOOKUP(F5835,CARTON_LOOKUP!$A:$E,5,0),"")</f>
      </c>
      <c r="J5835" s="29">
        <f>IFERROR(VLOOKUP(F5835,CARTON_LOOKUP!$A:$E,2,0),"")</f>
      </c>
      <c r="K5835" s="29">
        <f>IFERROR(J5835*D5835,0)</f>
      </c>
      <c r="L5835" s="29">
        <f>IFERROR(E5835*C5835,0)</f>
      </c>
      <c r="M5835" s="29">
        <f>IFERROR((G5835*H5835*I5835/1000000)*D5835,0)</f>
      </c>
    </row>
    <row r="5836" spans="1:13" x14ac:dyDescent="0.25">
      <c r="A5836" s="16"/>
      <c r="E5836" s="27"/>
      <c r="F5836" t="s">
        <v>26</v>
      </c>
      <c r="G5836" s="28">
        <f>IFERROR(VLOOKUP(F5836,CARTON_LOOKUP!$A:$E,3,0),"")</f>
      </c>
      <c r="H5836" s="28">
        <f>IFERROR(VLOOKUP(F5836,CARTON_LOOKUP!$A:$E,4,0),"")</f>
      </c>
      <c r="I5836" s="28">
        <f>IFERROR(VLOOKUP(F5836,CARTON_LOOKUP!$A:$E,5,0),"")</f>
      </c>
      <c r="J5836" s="29">
        <f>IFERROR(VLOOKUP(F5836,CARTON_LOOKUP!$A:$E,2,0),"")</f>
      </c>
      <c r="K5836" s="29">
        <f>IFERROR(J5836*D5836,0)</f>
      </c>
      <c r="L5836" s="29">
        <f>IFERROR(E5836*C5836,0)</f>
      </c>
      <c r="M5836" s="29">
        <f>IFERROR((G5836*H5836*I5836/1000000)*D5836,0)</f>
      </c>
    </row>
    <row r="5837" spans="1:13" x14ac:dyDescent="0.25">
      <c r="A5837" s="16"/>
      <c r="E5837" s="27"/>
      <c r="F5837" t="s">
        <v>26</v>
      </c>
      <c r="G5837" s="28">
        <f>IFERROR(VLOOKUP(F5837,CARTON_LOOKUP!$A:$E,3,0),"")</f>
      </c>
      <c r="H5837" s="28">
        <f>IFERROR(VLOOKUP(F5837,CARTON_LOOKUP!$A:$E,4,0),"")</f>
      </c>
      <c r="I5837" s="28">
        <f>IFERROR(VLOOKUP(F5837,CARTON_LOOKUP!$A:$E,5,0),"")</f>
      </c>
      <c r="J5837" s="29">
        <f>IFERROR(VLOOKUP(F5837,CARTON_LOOKUP!$A:$E,2,0),"")</f>
      </c>
      <c r="K5837" s="29">
        <f>IFERROR(J5837*D5837,0)</f>
      </c>
      <c r="L5837" s="29">
        <f>IFERROR(E5837*C5837,0)</f>
      </c>
      <c r="M5837" s="29">
        <f>IFERROR((G5837*H5837*I5837/1000000)*D5837,0)</f>
      </c>
    </row>
    <row r="5838" spans="1:13" x14ac:dyDescent="0.25">
      <c r="A5838" s="16"/>
      <c r="E5838" s="27"/>
      <c r="F5838" t="s">
        <v>26</v>
      </c>
      <c r="G5838" s="28">
        <f>IFERROR(VLOOKUP(F5838,CARTON_LOOKUP!$A:$E,3,0),"")</f>
      </c>
      <c r="H5838" s="28">
        <f>IFERROR(VLOOKUP(F5838,CARTON_LOOKUP!$A:$E,4,0),"")</f>
      </c>
      <c r="I5838" s="28">
        <f>IFERROR(VLOOKUP(F5838,CARTON_LOOKUP!$A:$E,5,0),"")</f>
      </c>
      <c r="J5838" s="29">
        <f>IFERROR(VLOOKUP(F5838,CARTON_LOOKUP!$A:$E,2,0),"")</f>
      </c>
      <c r="K5838" s="29">
        <f>IFERROR(J5838*D5838,0)</f>
      </c>
      <c r="L5838" s="29">
        <f>IFERROR(E5838*C5838,0)</f>
      </c>
      <c r="M5838" s="29">
        <f>IFERROR((G5838*H5838*I5838/1000000)*D5838,0)</f>
      </c>
    </row>
    <row r="5839" spans="1:13" x14ac:dyDescent="0.25">
      <c r="A5839" s="16"/>
      <c r="E5839" s="27"/>
      <c r="F5839" t="s">
        <v>26</v>
      </c>
      <c r="G5839" s="28">
        <f>IFERROR(VLOOKUP(F5839,CARTON_LOOKUP!$A:$E,3,0),"")</f>
      </c>
      <c r="H5839" s="28">
        <f>IFERROR(VLOOKUP(F5839,CARTON_LOOKUP!$A:$E,4,0),"")</f>
      </c>
      <c r="I5839" s="28">
        <f>IFERROR(VLOOKUP(F5839,CARTON_LOOKUP!$A:$E,5,0),"")</f>
      </c>
      <c r="J5839" s="29">
        <f>IFERROR(VLOOKUP(F5839,CARTON_LOOKUP!$A:$E,2,0),"")</f>
      </c>
      <c r="K5839" s="29">
        <f>IFERROR(J5839*D5839,0)</f>
      </c>
      <c r="L5839" s="29">
        <f>IFERROR(E5839*C5839,0)</f>
      </c>
      <c r="M5839" s="29">
        <f>IFERROR((G5839*H5839*I5839/1000000)*D5839,0)</f>
      </c>
    </row>
    <row r="5840" spans="1:13" x14ac:dyDescent="0.25">
      <c r="A5840" s="16"/>
      <c r="E5840" s="27"/>
      <c r="F5840" t="s">
        <v>26</v>
      </c>
      <c r="G5840" s="28">
        <f>IFERROR(VLOOKUP(F5840,CARTON_LOOKUP!$A:$E,3,0),"")</f>
      </c>
      <c r="H5840" s="28">
        <f>IFERROR(VLOOKUP(F5840,CARTON_LOOKUP!$A:$E,4,0),"")</f>
      </c>
      <c r="I5840" s="28">
        <f>IFERROR(VLOOKUP(F5840,CARTON_LOOKUP!$A:$E,5,0),"")</f>
      </c>
      <c r="J5840" s="29">
        <f>IFERROR(VLOOKUP(F5840,CARTON_LOOKUP!$A:$E,2,0),"")</f>
      </c>
      <c r="K5840" s="29">
        <f>IFERROR(J5840*D5840,0)</f>
      </c>
      <c r="L5840" s="29">
        <f>IFERROR(E5840*C5840,0)</f>
      </c>
      <c r="M5840" s="29">
        <f>IFERROR((G5840*H5840*I5840/1000000)*D5840,0)</f>
      </c>
    </row>
    <row r="5841" spans="1:13" x14ac:dyDescent="0.25">
      <c r="A5841" s="16"/>
      <c r="E5841" s="27"/>
      <c r="F5841" t="s">
        <v>26</v>
      </c>
      <c r="G5841" s="28">
        <f>IFERROR(VLOOKUP(F5841,CARTON_LOOKUP!$A:$E,3,0),"")</f>
      </c>
      <c r="H5841" s="28">
        <f>IFERROR(VLOOKUP(F5841,CARTON_LOOKUP!$A:$E,4,0),"")</f>
      </c>
      <c r="I5841" s="28">
        <f>IFERROR(VLOOKUP(F5841,CARTON_LOOKUP!$A:$E,5,0),"")</f>
      </c>
      <c r="J5841" s="29">
        <f>IFERROR(VLOOKUP(F5841,CARTON_LOOKUP!$A:$E,2,0),"")</f>
      </c>
      <c r="K5841" s="29">
        <f>IFERROR(J5841*D5841,0)</f>
      </c>
      <c r="L5841" s="29">
        <f>IFERROR(E5841*C5841,0)</f>
      </c>
      <c r="M5841" s="29">
        <f>IFERROR((G5841*H5841*I5841/1000000)*D5841,0)</f>
      </c>
    </row>
    <row r="5842" spans="1:13" x14ac:dyDescent="0.25">
      <c r="A5842" s="16"/>
      <c r="E5842" s="27"/>
      <c r="F5842" t="s">
        <v>26</v>
      </c>
      <c r="G5842" s="28">
        <f>IFERROR(VLOOKUP(F5842,CARTON_LOOKUP!$A:$E,3,0),"")</f>
      </c>
      <c r="H5842" s="28">
        <f>IFERROR(VLOOKUP(F5842,CARTON_LOOKUP!$A:$E,4,0),"")</f>
      </c>
      <c r="I5842" s="28">
        <f>IFERROR(VLOOKUP(F5842,CARTON_LOOKUP!$A:$E,5,0),"")</f>
      </c>
      <c r="J5842" s="29">
        <f>IFERROR(VLOOKUP(F5842,CARTON_LOOKUP!$A:$E,2,0),"")</f>
      </c>
      <c r="K5842" s="29">
        <f>IFERROR(J5842*D5842,0)</f>
      </c>
      <c r="L5842" s="29">
        <f>IFERROR(E5842*C5842,0)</f>
      </c>
      <c r="M5842" s="29">
        <f>IFERROR((G5842*H5842*I5842/1000000)*D5842,0)</f>
      </c>
    </row>
    <row r="5843" spans="1:13" x14ac:dyDescent="0.25">
      <c r="A5843" s="16"/>
      <c r="E5843" s="27"/>
      <c r="F5843" t="s">
        <v>26</v>
      </c>
      <c r="G5843" s="28">
        <f>IFERROR(VLOOKUP(F5843,CARTON_LOOKUP!$A:$E,3,0),"")</f>
      </c>
      <c r="H5843" s="28">
        <f>IFERROR(VLOOKUP(F5843,CARTON_LOOKUP!$A:$E,4,0),"")</f>
      </c>
      <c r="I5843" s="28">
        <f>IFERROR(VLOOKUP(F5843,CARTON_LOOKUP!$A:$E,5,0),"")</f>
      </c>
      <c r="J5843" s="29">
        <f>IFERROR(VLOOKUP(F5843,CARTON_LOOKUP!$A:$E,2,0),"")</f>
      </c>
      <c r="K5843" s="29">
        <f>IFERROR(J5843*D5843,0)</f>
      </c>
      <c r="L5843" s="29">
        <f>IFERROR(E5843*C5843,0)</f>
      </c>
      <c r="M5843" s="29">
        <f>IFERROR((G5843*H5843*I5843/1000000)*D5843,0)</f>
      </c>
    </row>
    <row r="5844" spans="1:13" x14ac:dyDescent="0.25">
      <c r="A5844" s="16"/>
      <c r="E5844" s="27"/>
      <c r="F5844" t="s">
        <v>26</v>
      </c>
      <c r="G5844" s="28">
        <f>IFERROR(VLOOKUP(F5844,CARTON_LOOKUP!$A:$E,3,0),"")</f>
      </c>
      <c r="H5844" s="28">
        <f>IFERROR(VLOOKUP(F5844,CARTON_LOOKUP!$A:$E,4,0),"")</f>
      </c>
      <c r="I5844" s="28">
        <f>IFERROR(VLOOKUP(F5844,CARTON_LOOKUP!$A:$E,5,0),"")</f>
      </c>
      <c r="J5844" s="29">
        <f>IFERROR(VLOOKUP(F5844,CARTON_LOOKUP!$A:$E,2,0),"")</f>
      </c>
      <c r="K5844" s="29">
        <f>IFERROR(J5844*D5844,0)</f>
      </c>
      <c r="L5844" s="29">
        <f>IFERROR(E5844*C5844,0)</f>
      </c>
      <c r="M5844" s="29">
        <f>IFERROR((G5844*H5844*I5844/1000000)*D5844,0)</f>
      </c>
    </row>
    <row r="5845" spans="1:13" x14ac:dyDescent="0.25">
      <c r="A5845" s="16"/>
      <c r="E5845" s="27"/>
      <c r="F5845" t="s">
        <v>26</v>
      </c>
      <c r="G5845" s="28">
        <f>IFERROR(VLOOKUP(F5845,CARTON_LOOKUP!$A:$E,3,0),"")</f>
      </c>
      <c r="H5845" s="28">
        <f>IFERROR(VLOOKUP(F5845,CARTON_LOOKUP!$A:$E,4,0),"")</f>
      </c>
      <c r="I5845" s="28">
        <f>IFERROR(VLOOKUP(F5845,CARTON_LOOKUP!$A:$E,5,0),"")</f>
      </c>
      <c r="J5845" s="29">
        <f>IFERROR(VLOOKUP(F5845,CARTON_LOOKUP!$A:$E,2,0),"")</f>
      </c>
      <c r="K5845" s="29">
        <f>IFERROR(J5845*D5845,0)</f>
      </c>
      <c r="L5845" s="29">
        <f>IFERROR(E5845*C5845,0)</f>
      </c>
      <c r="M5845" s="29">
        <f>IFERROR((G5845*H5845*I5845/1000000)*D5845,0)</f>
      </c>
    </row>
    <row r="5846" spans="1:13" x14ac:dyDescent="0.25">
      <c r="A5846" s="16"/>
      <c r="E5846" s="27"/>
      <c r="F5846" t="s">
        <v>26</v>
      </c>
      <c r="G5846" s="28">
        <f>IFERROR(VLOOKUP(F5846,CARTON_LOOKUP!$A:$E,3,0),"")</f>
      </c>
      <c r="H5846" s="28">
        <f>IFERROR(VLOOKUP(F5846,CARTON_LOOKUP!$A:$E,4,0),"")</f>
      </c>
      <c r="I5846" s="28">
        <f>IFERROR(VLOOKUP(F5846,CARTON_LOOKUP!$A:$E,5,0),"")</f>
      </c>
      <c r="J5846" s="29">
        <f>IFERROR(VLOOKUP(F5846,CARTON_LOOKUP!$A:$E,2,0),"")</f>
      </c>
      <c r="K5846" s="29">
        <f>IFERROR(J5846*D5846,0)</f>
      </c>
      <c r="L5846" s="29">
        <f>IFERROR(E5846*C5846,0)</f>
      </c>
      <c r="M5846" s="29">
        <f>IFERROR((G5846*H5846*I5846/1000000)*D5846,0)</f>
      </c>
    </row>
    <row r="5847" spans="1:13" x14ac:dyDescent="0.25">
      <c r="A5847" s="16"/>
      <c r="E5847" s="27"/>
      <c r="F5847" t="s">
        <v>26</v>
      </c>
      <c r="G5847" s="28">
        <f>IFERROR(VLOOKUP(F5847,CARTON_LOOKUP!$A:$E,3,0),"")</f>
      </c>
      <c r="H5847" s="28">
        <f>IFERROR(VLOOKUP(F5847,CARTON_LOOKUP!$A:$E,4,0),"")</f>
      </c>
      <c r="I5847" s="28">
        <f>IFERROR(VLOOKUP(F5847,CARTON_LOOKUP!$A:$E,5,0),"")</f>
      </c>
      <c r="J5847" s="29">
        <f>IFERROR(VLOOKUP(F5847,CARTON_LOOKUP!$A:$E,2,0),"")</f>
      </c>
      <c r="K5847" s="29">
        <f>IFERROR(J5847*D5847,0)</f>
      </c>
      <c r="L5847" s="29">
        <f>IFERROR(E5847*C5847,0)</f>
      </c>
      <c r="M5847" s="29">
        <f>IFERROR((G5847*H5847*I5847/1000000)*D5847,0)</f>
      </c>
    </row>
    <row r="5848" spans="1:13" x14ac:dyDescent="0.25">
      <c r="A5848" s="16"/>
      <c r="E5848" s="27"/>
      <c r="F5848" t="s">
        <v>26</v>
      </c>
      <c r="G5848" s="28">
        <f>IFERROR(VLOOKUP(F5848,CARTON_LOOKUP!$A:$E,3,0),"")</f>
      </c>
      <c r="H5848" s="28">
        <f>IFERROR(VLOOKUP(F5848,CARTON_LOOKUP!$A:$E,4,0),"")</f>
      </c>
      <c r="I5848" s="28">
        <f>IFERROR(VLOOKUP(F5848,CARTON_LOOKUP!$A:$E,5,0),"")</f>
      </c>
      <c r="J5848" s="29">
        <f>IFERROR(VLOOKUP(F5848,CARTON_LOOKUP!$A:$E,2,0),"")</f>
      </c>
      <c r="K5848" s="29">
        <f>IFERROR(J5848*D5848,0)</f>
      </c>
      <c r="L5848" s="29">
        <f>IFERROR(E5848*C5848,0)</f>
      </c>
      <c r="M5848" s="29">
        <f>IFERROR((G5848*H5848*I5848/1000000)*D5848,0)</f>
      </c>
    </row>
    <row r="5849" spans="1:13" x14ac:dyDescent="0.25">
      <c r="A5849" s="16"/>
      <c r="E5849" s="27"/>
      <c r="F5849" t="s">
        <v>26</v>
      </c>
      <c r="G5849" s="28">
        <f>IFERROR(VLOOKUP(F5849,CARTON_LOOKUP!$A:$E,3,0),"")</f>
      </c>
      <c r="H5849" s="28">
        <f>IFERROR(VLOOKUP(F5849,CARTON_LOOKUP!$A:$E,4,0),"")</f>
      </c>
      <c r="I5849" s="28">
        <f>IFERROR(VLOOKUP(F5849,CARTON_LOOKUP!$A:$E,5,0),"")</f>
      </c>
      <c r="J5849" s="29">
        <f>IFERROR(VLOOKUP(F5849,CARTON_LOOKUP!$A:$E,2,0),"")</f>
      </c>
      <c r="K5849" s="29">
        <f>IFERROR(J5849*D5849,0)</f>
      </c>
      <c r="L5849" s="29">
        <f>IFERROR(E5849*C5849,0)</f>
      </c>
      <c r="M5849" s="29">
        <f>IFERROR((G5849*H5849*I5849/1000000)*D5849,0)</f>
      </c>
    </row>
    <row r="5850" spans="1:13" x14ac:dyDescent="0.25">
      <c r="A5850" s="16"/>
      <c r="E5850" s="27"/>
      <c r="F5850" t="s">
        <v>26</v>
      </c>
      <c r="G5850" s="28">
        <f>IFERROR(VLOOKUP(F5850,CARTON_LOOKUP!$A:$E,3,0),"")</f>
      </c>
      <c r="H5850" s="28">
        <f>IFERROR(VLOOKUP(F5850,CARTON_LOOKUP!$A:$E,4,0),"")</f>
      </c>
      <c r="I5850" s="28">
        <f>IFERROR(VLOOKUP(F5850,CARTON_LOOKUP!$A:$E,5,0),"")</f>
      </c>
      <c r="J5850" s="29">
        <f>IFERROR(VLOOKUP(F5850,CARTON_LOOKUP!$A:$E,2,0),"")</f>
      </c>
      <c r="K5850" s="29">
        <f>IFERROR(J5850*D5850,0)</f>
      </c>
      <c r="L5850" s="29">
        <f>IFERROR(E5850*C5850,0)</f>
      </c>
      <c r="M5850" s="29">
        <f>IFERROR((G5850*H5850*I5850/1000000)*D5850,0)</f>
      </c>
    </row>
    <row r="5851" spans="1:13" x14ac:dyDescent="0.25">
      <c r="A5851" s="16"/>
      <c r="E5851" s="27"/>
      <c r="F5851" t="s">
        <v>26</v>
      </c>
      <c r="G5851" s="28">
        <f>IFERROR(VLOOKUP(F5851,CARTON_LOOKUP!$A:$E,3,0),"")</f>
      </c>
      <c r="H5851" s="28">
        <f>IFERROR(VLOOKUP(F5851,CARTON_LOOKUP!$A:$E,4,0),"")</f>
      </c>
      <c r="I5851" s="28">
        <f>IFERROR(VLOOKUP(F5851,CARTON_LOOKUP!$A:$E,5,0),"")</f>
      </c>
      <c r="J5851" s="29">
        <f>IFERROR(VLOOKUP(F5851,CARTON_LOOKUP!$A:$E,2,0),"")</f>
      </c>
      <c r="K5851" s="29">
        <f>IFERROR(J5851*D5851,0)</f>
      </c>
      <c r="L5851" s="29">
        <f>IFERROR(E5851*C5851,0)</f>
      </c>
      <c r="M5851" s="29">
        <f>IFERROR((G5851*H5851*I5851/1000000)*D5851,0)</f>
      </c>
    </row>
    <row r="5852" spans="1:13" x14ac:dyDescent="0.25">
      <c r="A5852" s="16"/>
      <c r="E5852" s="27"/>
      <c r="F5852" t="s">
        <v>26</v>
      </c>
      <c r="G5852" s="28">
        <f>IFERROR(VLOOKUP(F5852,CARTON_LOOKUP!$A:$E,3,0),"")</f>
      </c>
      <c r="H5852" s="28">
        <f>IFERROR(VLOOKUP(F5852,CARTON_LOOKUP!$A:$E,4,0),"")</f>
      </c>
      <c r="I5852" s="28">
        <f>IFERROR(VLOOKUP(F5852,CARTON_LOOKUP!$A:$E,5,0),"")</f>
      </c>
      <c r="J5852" s="29">
        <f>IFERROR(VLOOKUP(F5852,CARTON_LOOKUP!$A:$E,2,0),"")</f>
      </c>
      <c r="K5852" s="29">
        <f>IFERROR(J5852*D5852,0)</f>
      </c>
      <c r="L5852" s="29">
        <f>IFERROR(E5852*C5852,0)</f>
      </c>
      <c r="M5852" s="29">
        <f>IFERROR((G5852*H5852*I5852/1000000)*D5852,0)</f>
      </c>
    </row>
    <row r="5853" spans="1:13" x14ac:dyDescent="0.25">
      <c r="A5853" s="16"/>
      <c r="E5853" s="27"/>
      <c r="F5853" t="s">
        <v>26</v>
      </c>
      <c r="G5853" s="28">
        <f>IFERROR(VLOOKUP(F5853,CARTON_LOOKUP!$A:$E,3,0),"")</f>
      </c>
      <c r="H5853" s="28">
        <f>IFERROR(VLOOKUP(F5853,CARTON_LOOKUP!$A:$E,4,0),"")</f>
      </c>
      <c r="I5853" s="28">
        <f>IFERROR(VLOOKUP(F5853,CARTON_LOOKUP!$A:$E,5,0),"")</f>
      </c>
      <c r="J5853" s="29">
        <f>IFERROR(VLOOKUP(F5853,CARTON_LOOKUP!$A:$E,2,0),"")</f>
      </c>
      <c r="K5853" s="29">
        <f>IFERROR(J5853*D5853,0)</f>
      </c>
      <c r="L5853" s="29">
        <f>IFERROR(E5853*C5853,0)</f>
      </c>
      <c r="M5853" s="29">
        <f>IFERROR((G5853*H5853*I5853/1000000)*D5853,0)</f>
      </c>
    </row>
    <row r="5854" spans="1:13" x14ac:dyDescent="0.25">
      <c r="A5854" s="16"/>
      <c r="E5854" s="27"/>
      <c r="F5854" t="s">
        <v>26</v>
      </c>
      <c r="G5854" s="28">
        <f>IFERROR(VLOOKUP(F5854,CARTON_LOOKUP!$A:$E,3,0),"")</f>
      </c>
      <c r="H5854" s="28">
        <f>IFERROR(VLOOKUP(F5854,CARTON_LOOKUP!$A:$E,4,0),"")</f>
      </c>
      <c r="I5854" s="28">
        <f>IFERROR(VLOOKUP(F5854,CARTON_LOOKUP!$A:$E,5,0),"")</f>
      </c>
      <c r="J5854" s="29">
        <f>IFERROR(VLOOKUP(F5854,CARTON_LOOKUP!$A:$E,2,0),"")</f>
      </c>
      <c r="K5854" s="29">
        <f>IFERROR(J5854*D5854,0)</f>
      </c>
      <c r="L5854" s="29">
        <f>IFERROR(E5854*C5854,0)</f>
      </c>
      <c r="M5854" s="29">
        <f>IFERROR((G5854*H5854*I5854/1000000)*D5854,0)</f>
      </c>
    </row>
    <row r="5855" spans="1:13" x14ac:dyDescent="0.25">
      <c r="A5855" s="16"/>
      <c r="E5855" s="27"/>
      <c r="F5855" t="s">
        <v>26</v>
      </c>
      <c r="G5855" s="28">
        <f>IFERROR(VLOOKUP(F5855,CARTON_LOOKUP!$A:$E,3,0),"")</f>
      </c>
      <c r="H5855" s="28">
        <f>IFERROR(VLOOKUP(F5855,CARTON_LOOKUP!$A:$E,4,0),"")</f>
      </c>
      <c r="I5855" s="28">
        <f>IFERROR(VLOOKUP(F5855,CARTON_LOOKUP!$A:$E,5,0),"")</f>
      </c>
      <c r="J5855" s="29">
        <f>IFERROR(VLOOKUP(F5855,CARTON_LOOKUP!$A:$E,2,0),"")</f>
      </c>
      <c r="K5855" s="29">
        <f>IFERROR(J5855*D5855,0)</f>
      </c>
      <c r="L5855" s="29">
        <f>IFERROR(E5855*C5855,0)</f>
      </c>
      <c r="M5855" s="29">
        <f>IFERROR((G5855*H5855*I5855/1000000)*D5855,0)</f>
      </c>
    </row>
    <row r="5856" spans="1:13" x14ac:dyDescent="0.25">
      <c r="A5856" s="16"/>
      <c r="E5856" s="27"/>
      <c r="F5856" t="s">
        <v>26</v>
      </c>
      <c r="G5856" s="28">
        <f>IFERROR(VLOOKUP(F5856,CARTON_LOOKUP!$A:$E,3,0),"")</f>
      </c>
      <c r="H5856" s="28">
        <f>IFERROR(VLOOKUP(F5856,CARTON_LOOKUP!$A:$E,4,0),"")</f>
      </c>
      <c r="I5856" s="28">
        <f>IFERROR(VLOOKUP(F5856,CARTON_LOOKUP!$A:$E,5,0),"")</f>
      </c>
      <c r="J5856" s="29">
        <f>IFERROR(VLOOKUP(F5856,CARTON_LOOKUP!$A:$E,2,0),"")</f>
      </c>
      <c r="K5856" s="29">
        <f>IFERROR(J5856*D5856,0)</f>
      </c>
      <c r="L5856" s="29">
        <f>IFERROR(E5856*C5856,0)</f>
      </c>
      <c r="M5856" s="29">
        <f>IFERROR((G5856*H5856*I5856/1000000)*D5856,0)</f>
      </c>
    </row>
    <row r="5857" spans="1:13" x14ac:dyDescent="0.25">
      <c r="A5857" s="16"/>
      <c r="E5857" s="27"/>
      <c r="F5857" t="s">
        <v>26</v>
      </c>
      <c r="G5857" s="28">
        <f>IFERROR(VLOOKUP(F5857,CARTON_LOOKUP!$A:$E,3,0),"")</f>
      </c>
      <c r="H5857" s="28">
        <f>IFERROR(VLOOKUP(F5857,CARTON_LOOKUP!$A:$E,4,0),"")</f>
      </c>
      <c r="I5857" s="28">
        <f>IFERROR(VLOOKUP(F5857,CARTON_LOOKUP!$A:$E,5,0),"")</f>
      </c>
      <c r="J5857" s="29">
        <f>IFERROR(VLOOKUP(F5857,CARTON_LOOKUP!$A:$E,2,0),"")</f>
      </c>
      <c r="K5857" s="29">
        <f>IFERROR(J5857*D5857,0)</f>
      </c>
      <c r="L5857" s="29">
        <f>IFERROR(E5857*C5857,0)</f>
      </c>
      <c r="M5857" s="29">
        <f>IFERROR((G5857*H5857*I5857/1000000)*D5857,0)</f>
      </c>
    </row>
    <row r="5858" spans="1:13" x14ac:dyDescent="0.25">
      <c r="A5858" s="16"/>
      <c r="E5858" s="27"/>
      <c r="F5858" t="s">
        <v>26</v>
      </c>
      <c r="G5858" s="28">
        <f>IFERROR(VLOOKUP(F5858,CARTON_LOOKUP!$A:$E,3,0),"")</f>
      </c>
      <c r="H5858" s="28">
        <f>IFERROR(VLOOKUP(F5858,CARTON_LOOKUP!$A:$E,4,0),"")</f>
      </c>
      <c r="I5858" s="28">
        <f>IFERROR(VLOOKUP(F5858,CARTON_LOOKUP!$A:$E,5,0),"")</f>
      </c>
      <c r="J5858" s="29">
        <f>IFERROR(VLOOKUP(F5858,CARTON_LOOKUP!$A:$E,2,0),"")</f>
      </c>
      <c r="K5858" s="29">
        <f>IFERROR(J5858*D5858,0)</f>
      </c>
      <c r="L5858" s="29">
        <f>IFERROR(E5858*C5858,0)</f>
      </c>
      <c r="M5858" s="29">
        <f>IFERROR((G5858*H5858*I5858/1000000)*D5858,0)</f>
      </c>
    </row>
    <row r="5859" spans="1:13" x14ac:dyDescent="0.25">
      <c r="A5859" s="16"/>
      <c r="E5859" s="27"/>
      <c r="F5859" t="s">
        <v>26</v>
      </c>
      <c r="G5859" s="28">
        <f>IFERROR(VLOOKUP(F5859,CARTON_LOOKUP!$A:$E,3,0),"")</f>
      </c>
      <c r="H5859" s="28">
        <f>IFERROR(VLOOKUP(F5859,CARTON_LOOKUP!$A:$E,4,0),"")</f>
      </c>
      <c r="I5859" s="28">
        <f>IFERROR(VLOOKUP(F5859,CARTON_LOOKUP!$A:$E,5,0),"")</f>
      </c>
      <c r="J5859" s="29">
        <f>IFERROR(VLOOKUP(F5859,CARTON_LOOKUP!$A:$E,2,0),"")</f>
      </c>
      <c r="K5859" s="29">
        <f>IFERROR(J5859*D5859,0)</f>
      </c>
      <c r="L5859" s="29">
        <f>IFERROR(E5859*C5859,0)</f>
      </c>
      <c r="M5859" s="29">
        <f>IFERROR((G5859*H5859*I5859/1000000)*D5859,0)</f>
      </c>
    </row>
    <row r="5860" spans="1:13" x14ac:dyDescent="0.25">
      <c r="A5860" s="16"/>
      <c r="E5860" s="27"/>
      <c r="F5860" t="s">
        <v>26</v>
      </c>
      <c r="G5860" s="28">
        <f>IFERROR(VLOOKUP(F5860,CARTON_LOOKUP!$A:$E,3,0),"")</f>
      </c>
      <c r="H5860" s="28">
        <f>IFERROR(VLOOKUP(F5860,CARTON_LOOKUP!$A:$E,4,0),"")</f>
      </c>
      <c r="I5860" s="28">
        <f>IFERROR(VLOOKUP(F5860,CARTON_LOOKUP!$A:$E,5,0),"")</f>
      </c>
      <c r="J5860" s="29">
        <f>IFERROR(VLOOKUP(F5860,CARTON_LOOKUP!$A:$E,2,0),"")</f>
      </c>
      <c r="K5860" s="29">
        <f>IFERROR(J5860*D5860,0)</f>
      </c>
      <c r="L5860" s="29">
        <f>IFERROR(E5860*C5860,0)</f>
      </c>
      <c r="M5860" s="29">
        <f>IFERROR((G5860*H5860*I5860/1000000)*D5860,0)</f>
      </c>
    </row>
    <row r="5861" spans="1:13" x14ac:dyDescent="0.25">
      <c r="A5861" s="16"/>
      <c r="E5861" s="27"/>
      <c r="F5861" t="s">
        <v>26</v>
      </c>
      <c r="G5861" s="28">
        <f>IFERROR(VLOOKUP(F5861,CARTON_LOOKUP!$A:$E,3,0),"")</f>
      </c>
      <c r="H5861" s="28">
        <f>IFERROR(VLOOKUP(F5861,CARTON_LOOKUP!$A:$E,4,0),"")</f>
      </c>
      <c r="I5861" s="28">
        <f>IFERROR(VLOOKUP(F5861,CARTON_LOOKUP!$A:$E,5,0),"")</f>
      </c>
      <c r="J5861" s="29">
        <f>IFERROR(VLOOKUP(F5861,CARTON_LOOKUP!$A:$E,2,0),"")</f>
      </c>
      <c r="K5861" s="29">
        <f>IFERROR(J5861*D5861,0)</f>
      </c>
      <c r="L5861" s="29">
        <f>IFERROR(E5861*C5861,0)</f>
      </c>
      <c r="M5861" s="29">
        <f>IFERROR((G5861*H5861*I5861/1000000)*D5861,0)</f>
      </c>
    </row>
    <row r="5862" spans="1:13" x14ac:dyDescent="0.25">
      <c r="A5862" s="16"/>
      <c r="E5862" s="27"/>
      <c r="F5862" t="s">
        <v>26</v>
      </c>
      <c r="G5862" s="28">
        <f>IFERROR(VLOOKUP(F5862,CARTON_LOOKUP!$A:$E,3,0),"")</f>
      </c>
      <c r="H5862" s="28">
        <f>IFERROR(VLOOKUP(F5862,CARTON_LOOKUP!$A:$E,4,0),"")</f>
      </c>
      <c r="I5862" s="28">
        <f>IFERROR(VLOOKUP(F5862,CARTON_LOOKUP!$A:$E,5,0),"")</f>
      </c>
      <c r="J5862" s="29">
        <f>IFERROR(VLOOKUP(F5862,CARTON_LOOKUP!$A:$E,2,0),"")</f>
      </c>
      <c r="K5862" s="29">
        <f>IFERROR(J5862*D5862,0)</f>
      </c>
      <c r="L5862" s="29">
        <f>IFERROR(E5862*C5862,0)</f>
      </c>
      <c r="M5862" s="29">
        <f>IFERROR((G5862*H5862*I5862/1000000)*D5862,0)</f>
      </c>
    </row>
    <row r="5863" spans="1:13" x14ac:dyDescent="0.25">
      <c r="A5863" s="16"/>
      <c r="E5863" s="27"/>
      <c r="F5863" t="s">
        <v>26</v>
      </c>
      <c r="G5863" s="28">
        <f>IFERROR(VLOOKUP(F5863,CARTON_LOOKUP!$A:$E,3,0),"")</f>
      </c>
      <c r="H5863" s="28">
        <f>IFERROR(VLOOKUP(F5863,CARTON_LOOKUP!$A:$E,4,0),"")</f>
      </c>
      <c r="I5863" s="28">
        <f>IFERROR(VLOOKUP(F5863,CARTON_LOOKUP!$A:$E,5,0),"")</f>
      </c>
      <c r="J5863" s="29">
        <f>IFERROR(VLOOKUP(F5863,CARTON_LOOKUP!$A:$E,2,0),"")</f>
      </c>
      <c r="K5863" s="29">
        <f>IFERROR(J5863*D5863,0)</f>
      </c>
      <c r="L5863" s="29">
        <f>IFERROR(E5863*C5863,0)</f>
      </c>
      <c r="M5863" s="29">
        <f>IFERROR((G5863*H5863*I5863/1000000)*D5863,0)</f>
      </c>
    </row>
    <row r="5864" spans="1:13" x14ac:dyDescent="0.25">
      <c r="A5864" s="16"/>
      <c r="E5864" s="27"/>
      <c r="F5864" t="s">
        <v>26</v>
      </c>
      <c r="G5864" s="28">
        <f>IFERROR(VLOOKUP(F5864,CARTON_LOOKUP!$A:$E,3,0),"")</f>
      </c>
      <c r="H5864" s="28">
        <f>IFERROR(VLOOKUP(F5864,CARTON_LOOKUP!$A:$E,4,0),"")</f>
      </c>
      <c r="I5864" s="28">
        <f>IFERROR(VLOOKUP(F5864,CARTON_LOOKUP!$A:$E,5,0),"")</f>
      </c>
      <c r="J5864" s="29">
        <f>IFERROR(VLOOKUP(F5864,CARTON_LOOKUP!$A:$E,2,0),"")</f>
      </c>
      <c r="K5864" s="29">
        <f>IFERROR(J5864*D5864,0)</f>
      </c>
      <c r="L5864" s="29">
        <f>IFERROR(E5864*C5864,0)</f>
      </c>
      <c r="M5864" s="29">
        <f>IFERROR((G5864*H5864*I5864/1000000)*D5864,0)</f>
      </c>
    </row>
    <row r="5865" spans="1:13" x14ac:dyDescent="0.25">
      <c r="A5865" s="16"/>
      <c r="E5865" s="27"/>
      <c r="F5865" t="s">
        <v>26</v>
      </c>
      <c r="G5865" s="28">
        <f>IFERROR(VLOOKUP(F5865,CARTON_LOOKUP!$A:$E,3,0),"")</f>
      </c>
      <c r="H5865" s="28">
        <f>IFERROR(VLOOKUP(F5865,CARTON_LOOKUP!$A:$E,4,0),"")</f>
      </c>
      <c r="I5865" s="28">
        <f>IFERROR(VLOOKUP(F5865,CARTON_LOOKUP!$A:$E,5,0),"")</f>
      </c>
      <c r="J5865" s="29">
        <f>IFERROR(VLOOKUP(F5865,CARTON_LOOKUP!$A:$E,2,0),"")</f>
      </c>
      <c r="K5865" s="29">
        <f>IFERROR(J5865*D5865,0)</f>
      </c>
      <c r="L5865" s="29">
        <f>IFERROR(E5865*C5865,0)</f>
      </c>
      <c r="M5865" s="29">
        <f>IFERROR((G5865*H5865*I5865/1000000)*D5865,0)</f>
      </c>
    </row>
    <row r="5866" spans="1:13" x14ac:dyDescent="0.25">
      <c r="A5866" s="16"/>
      <c r="E5866" s="27"/>
      <c r="F5866" t="s">
        <v>26</v>
      </c>
      <c r="G5866" s="28">
        <f>IFERROR(VLOOKUP(F5866,CARTON_LOOKUP!$A:$E,3,0),"")</f>
      </c>
      <c r="H5866" s="28">
        <f>IFERROR(VLOOKUP(F5866,CARTON_LOOKUP!$A:$E,4,0),"")</f>
      </c>
      <c r="I5866" s="28">
        <f>IFERROR(VLOOKUP(F5866,CARTON_LOOKUP!$A:$E,5,0),"")</f>
      </c>
      <c r="J5866" s="29">
        <f>IFERROR(VLOOKUP(F5866,CARTON_LOOKUP!$A:$E,2,0),"")</f>
      </c>
      <c r="K5866" s="29">
        <f>IFERROR(J5866*D5866,0)</f>
      </c>
      <c r="L5866" s="29">
        <f>IFERROR(E5866*C5866,0)</f>
      </c>
      <c r="M5866" s="29">
        <f>IFERROR((G5866*H5866*I5866/1000000)*D5866,0)</f>
      </c>
    </row>
    <row r="5867" spans="1:13" x14ac:dyDescent="0.25">
      <c r="A5867" s="16"/>
      <c r="E5867" s="27"/>
      <c r="F5867" t="s">
        <v>26</v>
      </c>
      <c r="G5867" s="28">
        <f>IFERROR(VLOOKUP(F5867,CARTON_LOOKUP!$A:$E,3,0),"")</f>
      </c>
      <c r="H5867" s="28">
        <f>IFERROR(VLOOKUP(F5867,CARTON_LOOKUP!$A:$E,4,0),"")</f>
      </c>
      <c r="I5867" s="28">
        <f>IFERROR(VLOOKUP(F5867,CARTON_LOOKUP!$A:$E,5,0),"")</f>
      </c>
      <c r="J5867" s="29">
        <f>IFERROR(VLOOKUP(F5867,CARTON_LOOKUP!$A:$E,2,0),"")</f>
      </c>
      <c r="K5867" s="29">
        <f>IFERROR(J5867*D5867,0)</f>
      </c>
      <c r="L5867" s="29">
        <f>IFERROR(E5867*C5867,0)</f>
      </c>
      <c r="M5867" s="29">
        <f>IFERROR((G5867*H5867*I5867/1000000)*D5867,0)</f>
      </c>
    </row>
    <row r="5868" spans="1:13" x14ac:dyDescent="0.25">
      <c r="A5868" s="16"/>
      <c r="E5868" s="27"/>
      <c r="F5868" t="s">
        <v>26</v>
      </c>
      <c r="G5868" s="28">
        <f>IFERROR(VLOOKUP(F5868,CARTON_LOOKUP!$A:$E,3,0),"")</f>
      </c>
      <c r="H5868" s="28">
        <f>IFERROR(VLOOKUP(F5868,CARTON_LOOKUP!$A:$E,4,0),"")</f>
      </c>
      <c r="I5868" s="28">
        <f>IFERROR(VLOOKUP(F5868,CARTON_LOOKUP!$A:$E,5,0),"")</f>
      </c>
      <c r="J5868" s="29">
        <f>IFERROR(VLOOKUP(F5868,CARTON_LOOKUP!$A:$E,2,0),"")</f>
      </c>
      <c r="K5868" s="29">
        <f>IFERROR(J5868*D5868,0)</f>
      </c>
      <c r="L5868" s="29">
        <f>IFERROR(E5868*C5868,0)</f>
      </c>
      <c r="M5868" s="29">
        <f>IFERROR((G5868*H5868*I5868/1000000)*D5868,0)</f>
      </c>
    </row>
    <row r="5869" spans="1:13" x14ac:dyDescent="0.25">
      <c r="A5869" s="16"/>
      <c r="E5869" s="27"/>
      <c r="F5869" t="s">
        <v>26</v>
      </c>
      <c r="G5869" s="28">
        <f>IFERROR(VLOOKUP(F5869,CARTON_LOOKUP!$A:$E,3,0),"")</f>
      </c>
      <c r="H5869" s="28">
        <f>IFERROR(VLOOKUP(F5869,CARTON_LOOKUP!$A:$E,4,0),"")</f>
      </c>
      <c r="I5869" s="28">
        <f>IFERROR(VLOOKUP(F5869,CARTON_LOOKUP!$A:$E,5,0),"")</f>
      </c>
      <c r="J5869" s="29">
        <f>IFERROR(VLOOKUP(F5869,CARTON_LOOKUP!$A:$E,2,0),"")</f>
      </c>
      <c r="K5869" s="29">
        <f>IFERROR(J5869*D5869,0)</f>
      </c>
      <c r="L5869" s="29">
        <f>IFERROR(E5869*C5869,0)</f>
      </c>
      <c r="M5869" s="29">
        <f>IFERROR((G5869*H5869*I5869/1000000)*D5869,0)</f>
      </c>
    </row>
    <row r="5870" spans="1:13" x14ac:dyDescent="0.25">
      <c r="A5870" s="16"/>
      <c r="E5870" s="27"/>
      <c r="F5870" t="s">
        <v>26</v>
      </c>
      <c r="G5870" s="28">
        <f>IFERROR(VLOOKUP(F5870,CARTON_LOOKUP!$A:$E,3,0),"")</f>
      </c>
      <c r="H5870" s="28">
        <f>IFERROR(VLOOKUP(F5870,CARTON_LOOKUP!$A:$E,4,0),"")</f>
      </c>
      <c r="I5870" s="28">
        <f>IFERROR(VLOOKUP(F5870,CARTON_LOOKUP!$A:$E,5,0),"")</f>
      </c>
      <c r="J5870" s="29">
        <f>IFERROR(VLOOKUP(F5870,CARTON_LOOKUP!$A:$E,2,0),"")</f>
      </c>
      <c r="K5870" s="29">
        <f>IFERROR(J5870*D5870,0)</f>
      </c>
      <c r="L5870" s="29">
        <f>IFERROR(E5870*C5870,0)</f>
      </c>
      <c r="M5870" s="29">
        <f>IFERROR((G5870*H5870*I5870/1000000)*D5870,0)</f>
      </c>
    </row>
    <row r="5871" spans="1:13" x14ac:dyDescent="0.25">
      <c r="A5871" s="16"/>
      <c r="E5871" s="27"/>
      <c r="F5871" t="s">
        <v>26</v>
      </c>
      <c r="G5871" s="28">
        <f>IFERROR(VLOOKUP(F5871,CARTON_LOOKUP!$A:$E,3,0),"")</f>
      </c>
      <c r="H5871" s="28">
        <f>IFERROR(VLOOKUP(F5871,CARTON_LOOKUP!$A:$E,4,0),"")</f>
      </c>
      <c r="I5871" s="28">
        <f>IFERROR(VLOOKUP(F5871,CARTON_LOOKUP!$A:$E,5,0),"")</f>
      </c>
      <c r="J5871" s="29">
        <f>IFERROR(VLOOKUP(F5871,CARTON_LOOKUP!$A:$E,2,0),"")</f>
      </c>
      <c r="K5871" s="29">
        <f>IFERROR(J5871*D5871,0)</f>
      </c>
      <c r="L5871" s="29">
        <f>IFERROR(E5871*C5871,0)</f>
      </c>
      <c r="M5871" s="29">
        <f>IFERROR((G5871*H5871*I5871/1000000)*D5871,0)</f>
      </c>
    </row>
    <row r="5872" spans="1:13" x14ac:dyDescent="0.25">
      <c r="A5872" s="16"/>
      <c r="E5872" s="27"/>
      <c r="F5872" t="s">
        <v>26</v>
      </c>
      <c r="G5872" s="28">
        <f>IFERROR(VLOOKUP(F5872,CARTON_LOOKUP!$A:$E,3,0),"")</f>
      </c>
      <c r="H5872" s="28">
        <f>IFERROR(VLOOKUP(F5872,CARTON_LOOKUP!$A:$E,4,0),"")</f>
      </c>
      <c r="I5872" s="28">
        <f>IFERROR(VLOOKUP(F5872,CARTON_LOOKUP!$A:$E,5,0),"")</f>
      </c>
      <c r="J5872" s="29">
        <f>IFERROR(VLOOKUP(F5872,CARTON_LOOKUP!$A:$E,2,0),"")</f>
      </c>
      <c r="K5872" s="29">
        <f>IFERROR(J5872*D5872,0)</f>
      </c>
      <c r="L5872" s="29">
        <f>IFERROR(E5872*C5872,0)</f>
      </c>
      <c r="M5872" s="29">
        <f>IFERROR((G5872*H5872*I5872/1000000)*D5872,0)</f>
      </c>
    </row>
    <row r="5873" spans="1:13" x14ac:dyDescent="0.25">
      <c r="A5873" s="16"/>
      <c r="E5873" s="27"/>
      <c r="F5873" t="s">
        <v>26</v>
      </c>
      <c r="G5873" s="28">
        <f>IFERROR(VLOOKUP(F5873,CARTON_LOOKUP!$A:$E,3,0),"")</f>
      </c>
      <c r="H5873" s="28">
        <f>IFERROR(VLOOKUP(F5873,CARTON_LOOKUP!$A:$E,4,0),"")</f>
      </c>
      <c r="I5873" s="28">
        <f>IFERROR(VLOOKUP(F5873,CARTON_LOOKUP!$A:$E,5,0),"")</f>
      </c>
      <c r="J5873" s="29">
        <f>IFERROR(VLOOKUP(F5873,CARTON_LOOKUP!$A:$E,2,0),"")</f>
      </c>
      <c r="K5873" s="29">
        <f>IFERROR(J5873*D5873,0)</f>
      </c>
      <c r="L5873" s="29">
        <f>IFERROR(E5873*C5873,0)</f>
      </c>
      <c r="M5873" s="29">
        <f>IFERROR((G5873*H5873*I5873/1000000)*D5873,0)</f>
      </c>
    </row>
    <row r="5874" spans="1:13" x14ac:dyDescent="0.25">
      <c r="A5874" s="16"/>
      <c r="E5874" s="27"/>
      <c r="F5874" t="s">
        <v>26</v>
      </c>
      <c r="G5874" s="28">
        <f>IFERROR(VLOOKUP(F5874,CARTON_LOOKUP!$A:$E,3,0),"")</f>
      </c>
      <c r="H5874" s="28">
        <f>IFERROR(VLOOKUP(F5874,CARTON_LOOKUP!$A:$E,4,0),"")</f>
      </c>
      <c r="I5874" s="28">
        <f>IFERROR(VLOOKUP(F5874,CARTON_LOOKUP!$A:$E,5,0),"")</f>
      </c>
      <c r="J5874" s="29">
        <f>IFERROR(VLOOKUP(F5874,CARTON_LOOKUP!$A:$E,2,0),"")</f>
      </c>
      <c r="K5874" s="29">
        <f>IFERROR(J5874*D5874,0)</f>
      </c>
      <c r="L5874" s="29">
        <f>IFERROR(E5874*C5874,0)</f>
      </c>
      <c r="M5874" s="29">
        <f>IFERROR((G5874*H5874*I5874/1000000)*D5874,0)</f>
      </c>
    </row>
    <row r="5875" spans="1:13" x14ac:dyDescent="0.25">
      <c r="A5875" s="16"/>
      <c r="E5875" s="27"/>
      <c r="F5875" t="s">
        <v>26</v>
      </c>
      <c r="G5875" s="28">
        <f>IFERROR(VLOOKUP(F5875,CARTON_LOOKUP!$A:$E,3,0),"")</f>
      </c>
      <c r="H5875" s="28">
        <f>IFERROR(VLOOKUP(F5875,CARTON_LOOKUP!$A:$E,4,0),"")</f>
      </c>
      <c r="I5875" s="28">
        <f>IFERROR(VLOOKUP(F5875,CARTON_LOOKUP!$A:$E,5,0),"")</f>
      </c>
      <c r="J5875" s="29">
        <f>IFERROR(VLOOKUP(F5875,CARTON_LOOKUP!$A:$E,2,0),"")</f>
      </c>
      <c r="K5875" s="29">
        <f>IFERROR(J5875*D5875,0)</f>
      </c>
      <c r="L5875" s="29">
        <f>IFERROR(E5875*C5875,0)</f>
      </c>
      <c r="M5875" s="29">
        <f>IFERROR((G5875*H5875*I5875/1000000)*D5875,0)</f>
      </c>
    </row>
    <row r="5876" spans="1:13" x14ac:dyDescent="0.25">
      <c r="A5876" s="16"/>
      <c r="E5876" s="27"/>
      <c r="F5876" t="s">
        <v>26</v>
      </c>
      <c r="G5876" s="28">
        <f>IFERROR(VLOOKUP(F5876,CARTON_LOOKUP!$A:$E,3,0),"")</f>
      </c>
      <c r="H5876" s="28">
        <f>IFERROR(VLOOKUP(F5876,CARTON_LOOKUP!$A:$E,4,0),"")</f>
      </c>
      <c r="I5876" s="28">
        <f>IFERROR(VLOOKUP(F5876,CARTON_LOOKUP!$A:$E,5,0),"")</f>
      </c>
      <c r="J5876" s="29">
        <f>IFERROR(VLOOKUP(F5876,CARTON_LOOKUP!$A:$E,2,0),"")</f>
      </c>
      <c r="K5876" s="29">
        <f>IFERROR(J5876*D5876,0)</f>
      </c>
      <c r="L5876" s="29">
        <f>IFERROR(E5876*C5876,0)</f>
      </c>
      <c r="M5876" s="29">
        <f>IFERROR((G5876*H5876*I5876/1000000)*D5876,0)</f>
      </c>
    </row>
    <row r="5877" spans="1:13" x14ac:dyDescent="0.25">
      <c r="A5877" s="16"/>
      <c r="E5877" s="27"/>
      <c r="F5877" t="s">
        <v>26</v>
      </c>
      <c r="G5877" s="28">
        <f>IFERROR(VLOOKUP(F5877,CARTON_LOOKUP!$A:$E,3,0),"")</f>
      </c>
      <c r="H5877" s="28">
        <f>IFERROR(VLOOKUP(F5877,CARTON_LOOKUP!$A:$E,4,0),"")</f>
      </c>
      <c r="I5877" s="28">
        <f>IFERROR(VLOOKUP(F5877,CARTON_LOOKUP!$A:$E,5,0),"")</f>
      </c>
      <c r="J5877" s="29">
        <f>IFERROR(VLOOKUP(F5877,CARTON_LOOKUP!$A:$E,2,0),"")</f>
      </c>
      <c r="K5877" s="29">
        <f>IFERROR(J5877*D5877,0)</f>
      </c>
      <c r="L5877" s="29">
        <f>IFERROR(E5877*C5877,0)</f>
      </c>
      <c r="M5877" s="29">
        <f>IFERROR((G5877*H5877*I5877/1000000)*D5877,0)</f>
      </c>
    </row>
    <row r="5878" spans="1:13" x14ac:dyDescent="0.25">
      <c r="A5878" s="16"/>
      <c r="E5878" s="27"/>
      <c r="F5878" t="s">
        <v>26</v>
      </c>
      <c r="G5878" s="28">
        <f>IFERROR(VLOOKUP(F5878,CARTON_LOOKUP!$A:$E,3,0),"")</f>
      </c>
      <c r="H5878" s="28">
        <f>IFERROR(VLOOKUP(F5878,CARTON_LOOKUP!$A:$E,4,0),"")</f>
      </c>
      <c r="I5878" s="28">
        <f>IFERROR(VLOOKUP(F5878,CARTON_LOOKUP!$A:$E,5,0),"")</f>
      </c>
      <c r="J5878" s="29">
        <f>IFERROR(VLOOKUP(F5878,CARTON_LOOKUP!$A:$E,2,0),"")</f>
      </c>
      <c r="K5878" s="29">
        <f>IFERROR(J5878*D5878,0)</f>
      </c>
      <c r="L5878" s="29">
        <f>IFERROR(E5878*C5878,0)</f>
      </c>
      <c r="M5878" s="29">
        <f>IFERROR((G5878*H5878*I5878/1000000)*D5878,0)</f>
      </c>
    </row>
    <row r="5879" spans="1:13" x14ac:dyDescent="0.25">
      <c r="A5879" s="16"/>
      <c r="E5879" s="27"/>
      <c r="F5879" t="s">
        <v>26</v>
      </c>
      <c r="G5879" s="28">
        <f>IFERROR(VLOOKUP(F5879,CARTON_LOOKUP!$A:$E,3,0),"")</f>
      </c>
      <c r="H5879" s="28">
        <f>IFERROR(VLOOKUP(F5879,CARTON_LOOKUP!$A:$E,4,0),"")</f>
      </c>
      <c r="I5879" s="28">
        <f>IFERROR(VLOOKUP(F5879,CARTON_LOOKUP!$A:$E,5,0),"")</f>
      </c>
      <c r="J5879" s="29">
        <f>IFERROR(VLOOKUP(F5879,CARTON_LOOKUP!$A:$E,2,0),"")</f>
      </c>
      <c r="K5879" s="29">
        <f>IFERROR(J5879*D5879,0)</f>
      </c>
      <c r="L5879" s="29">
        <f>IFERROR(E5879*C5879,0)</f>
      </c>
      <c r="M5879" s="29">
        <f>IFERROR((G5879*H5879*I5879/1000000)*D5879,0)</f>
      </c>
    </row>
    <row r="5880" spans="1:13" x14ac:dyDescent="0.25">
      <c r="A5880" s="16"/>
      <c r="E5880" s="27"/>
      <c r="F5880" t="s">
        <v>26</v>
      </c>
      <c r="G5880" s="28">
        <f>IFERROR(VLOOKUP(F5880,CARTON_LOOKUP!$A:$E,3,0),"")</f>
      </c>
      <c r="H5880" s="28">
        <f>IFERROR(VLOOKUP(F5880,CARTON_LOOKUP!$A:$E,4,0),"")</f>
      </c>
      <c r="I5880" s="28">
        <f>IFERROR(VLOOKUP(F5880,CARTON_LOOKUP!$A:$E,5,0),"")</f>
      </c>
      <c r="J5880" s="29">
        <f>IFERROR(VLOOKUP(F5880,CARTON_LOOKUP!$A:$E,2,0),"")</f>
      </c>
      <c r="K5880" s="29">
        <f>IFERROR(J5880*D5880,0)</f>
      </c>
      <c r="L5880" s="29">
        <f>IFERROR(E5880*C5880,0)</f>
      </c>
      <c r="M5880" s="29">
        <f>IFERROR((G5880*H5880*I5880/1000000)*D5880,0)</f>
      </c>
    </row>
    <row r="5881" spans="1:13" x14ac:dyDescent="0.25">
      <c r="A5881" s="16"/>
      <c r="E5881" s="27"/>
      <c r="F5881" t="s">
        <v>26</v>
      </c>
      <c r="G5881" s="28">
        <f>IFERROR(VLOOKUP(F5881,CARTON_LOOKUP!$A:$E,3,0),"")</f>
      </c>
      <c r="H5881" s="28">
        <f>IFERROR(VLOOKUP(F5881,CARTON_LOOKUP!$A:$E,4,0),"")</f>
      </c>
      <c r="I5881" s="28">
        <f>IFERROR(VLOOKUP(F5881,CARTON_LOOKUP!$A:$E,5,0),"")</f>
      </c>
      <c r="J5881" s="29">
        <f>IFERROR(VLOOKUP(F5881,CARTON_LOOKUP!$A:$E,2,0),"")</f>
      </c>
      <c r="K5881" s="29">
        <f>IFERROR(J5881*D5881,0)</f>
      </c>
      <c r="L5881" s="29">
        <f>IFERROR(E5881*C5881,0)</f>
      </c>
      <c r="M5881" s="29">
        <f>IFERROR((G5881*H5881*I5881/1000000)*D5881,0)</f>
      </c>
    </row>
    <row r="5882" spans="1:13" x14ac:dyDescent="0.25">
      <c r="A5882" s="16"/>
      <c r="E5882" s="27"/>
      <c r="F5882" t="s">
        <v>26</v>
      </c>
      <c r="G5882" s="28">
        <f>IFERROR(VLOOKUP(F5882,CARTON_LOOKUP!$A:$E,3,0),"")</f>
      </c>
      <c r="H5882" s="28">
        <f>IFERROR(VLOOKUP(F5882,CARTON_LOOKUP!$A:$E,4,0),"")</f>
      </c>
      <c r="I5882" s="28">
        <f>IFERROR(VLOOKUP(F5882,CARTON_LOOKUP!$A:$E,5,0),"")</f>
      </c>
      <c r="J5882" s="29">
        <f>IFERROR(VLOOKUP(F5882,CARTON_LOOKUP!$A:$E,2,0),"")</f>
      </c>
      <c r="K5882" s="29">
        <f>IFERROR(J5882*D5882,0)</f>
      </c>
      <c r="L5882" s="29">
        <f>IFERROR(E5882*C5882,0)</f>
      </c>
      <c r="M5882" s="29">
        <f>IFERROR((G5882*H5882*I5882/1000000)*D5882,0)</f>
      </c>
    </row>
    <row r="5883" spans="1:13" x14ac:dyDescent="0.25">
      <c r="A5883" s="16"/>
      <c r="E5883" s="27"/>
      <c r="F5883" t="s">
        <v>26</v>
      </c>
      <c r="G5883" s="28">
        <f>IFERROR(VLOOKUP(F5883,CARTON_LOOKUP!$A:$E,3,0),"")</f>
      </c>
      <c r="H5883" s="28">
        <f>IFERROR(VLOOKUP(F5883,CARTON_LOOKUP!$A:$E,4,0),"")</f>
      </c>
      <c r="I5883" s="28">
        <f>IFERROR(VLOOKUP(F5883,CARTON_LOOKUP!$A:$E,5,0),"")</f>
      </c>
      <c r="J5883" s="29">
        <f>IFERROR(VLOOKUP(F5883,CARTON_LOOKUP!$A:$E,2,0),"")</f>
      </c>
      <c r="K5883" s="29">
        <f>IFERROR(J5883*D5883,0)</f>
      </c>
      <c r="L5883" s="29">
        <f>IFERROR(E5883*C5883,0)</f>
      </c>
      <c r="M5883" s="29">
        <f>IFERROR((G5883*H5883*I5883/1000000)*D5883,0)</f>
      </c>
    </row>
    <row r="5884" spans="1:13" x14ac:dyDescent="0.25">
      <c r="A5884" s="16"/>
      <c r="E5884" s="27"/>
      <c r="F5884" t="s">
        <v>26</v>
      </c>
      <c r="G5884" s="28">
        <f>IFERROR(VLOOKUP(F5884,CARTON_LOOKUP!$A:$E,3,0),"")</f>
      </c>
      <c r="H5884" s="28">
        <f>IFERROR(VLOOKUP(F5884,CARTON_LOOKUP!$A:$E,4,0),"")</f>
      </c>
      <c r="I5884" s="28">
        <f>IFERROR(VLOOKUP(F5884,CARTON_LOOKUP!$A:$E,5,0),"")</f>
      </c>
      <c r="J5884" s="29">
        <f>IFERROR(VLOOKUP(F5884,CARTON_LOOKUP!$A:$E,2,0),"")</f>
      </c>
      <c r="K5884" s="29">
        <f>IFERROR(J5884*D5884,0)</f>
      </c>
      <c r="L5884" s="29">
        <f>IFERROR(E5884*C5884,0)</f>
      </c>
      <c r="M5884" s="29">
        <f>IFERROR((G5884*H5884*I5884/1000000)*D5884,0)</f>
      </c>
    </row>
    <row r="5885" spans="1:13" x14ac:dyDescent="0.25">
      <c r="A5885" s="16"/>
      <c r="E5885" s="27"/>
      <c r="F5885" t="s">
        <v>26</v>
      </c>
      <c r="G5885" s="28">
        <f>IFERROR(VLOOKUP(F5885,CARTON_LOOKUP!$A:$E,3,0),"")</f>
      </c>
      <c r="H5885" s="28">
        <f>IFERROR(VLOOKUP(F5885,CARTON_LOOKUP!$A:$E,4,0),"")</f>
      </c>
      <c r="I5885" s="28">
        <f>IFERROR(VLOOKUP(F5885,CARTON_LOOKUP!$A:$E,5,0),"")</f>
      </c>
      <c r="J5885" s="29">
        <f>IFERROR(VLOOKUP(F5885,CARTON_LOOKUP!$A:$E,2,0),"")</f>
      </c>
      <c r="K5885" s="29">
        <f>IFERROR(J5885*D5885,0)</f>
      </c>
      <c r="L5885" s="29">
        <f>IFERROR(E5885*C5885,0)</f>
      </c>
      <c r="M5885" s="29">
        <f>IFERROR((G5885*H5885*I5885/1000000)*D5885,0)</f>
      </c>
    </row>
    <row r="5886" spans="1:13" x14ac:dyDescent="0.25">
      <c r="A5886" s="16"/>
      <c r="E5886" s="27"/>
      <c r="F5886" t="s">
        <v>26</v>
      </c>
      <c r="G5886" s="28">
        <f>IFERROR(VLOOKUP(F5886,CARTON_LOOKUP!$A:$E,3,0),"")</f>
      </c>
      <c r="H5886" s="28">
        <f>IFERROR(VLOOKUP(F5886,CARTON_LOOKUP!$A:$E,4,0),"")</f>
      </c>
      <c r="I5886" s="28">
        <f>IFERROR(VLOOKUP(F5886,CARTON_LOOKUP!$A:$E,5,0),"")</f>
      </c>
      <c r="J5886" s="29">
        <f>IFERROR(VLOOKUP(F5886,CARTON_LOOKUP!$A:$E,2,0),"")</f>
      </c>
      <c r="K5886" s="29">
        <f>IFERROR(J5886*D5886,0)</f>
      </c>
      <c r="L5886" s="29">
        <f>IFERROR(E5886*C5886,0)</f>
      </c>
      <c r="M5886" s="29">
        <f>IFERROR((G5886*H5886*I5886/1000000)*D5886,0)</f>
      </c>
    </row>
    <row r="5887" spans="1:13" x14ac:dyDescent="0.25">
      <c r="A5887" s="16"/>
      <c r="E5887" s="27"/>
      <c r="F5887" t="s">
        <v>26</v>
      </c>
      <c r="G5887" s="28">
        <f>IFERROR(VLOOKUP(F5887,CARTON_LOOKUP!$A:$E,3,0),"")</f>
      </c>
      <c r="H5887" s="28">
        <f>IFERROR(VLOOKUP(F5887,CARTON_LOOKUP!$A:$E,4,0),"")</f>
      </c>
      <c r="I5887" s="28">
        <f>IFERROR(VLOOKUP(F5887,CARTON_LOOKUP!$A:$E,5,0),"")</f>
      </c>
      <c r="J5887" s="29">
        <f>IFERROR(VLOOKUP(F5887,CARTON_LOOKUP!$A:$E,2,0),"")</f>
      </c>
      <c r="K5887" s="29">
        <f>IFERROR(J5887*D5887,0)</f>
      </c>
      <c r="L5887" s="29">
        <f>IFERROR(E5887*C5887,0)</f>
      </c>
      <c r="M5887" s="29">
        <f>IFERROR((G5887*H5887*I5887/1000000)*D5887,0)</f>
      </c>
    </row>
    <row r="5888" spans="1:13" x14ac:dyDescent="0.25">
      <c r="A5888" s="16"/>
      <c r="E5888" s="27"/>
      <c r="F5888" t="s">
        <v>26</v>
      </c>
      <c r="G5888" s="28">
        <f>IFERROR(VLOOKUP(F5888,CARTON_LOOKUP!$A:$E,3,0),"")</f>
      </c>
      <c r="H5888" s="28">
        <f>IFERROR(VLOOKUP(F5888,CARTON_LOOKUP!$A:$E,4,0),"")</f>
      </c>
      <c r="I5888" s="28">
        <f>IFERROR(VLOOKUP(F5888,CARTON_LOOKUP!$A:$E,5,0),"")</f>
      </c>
      <c r="J5888" s="29">
        <f>IFERROR(VLOOKUP(F5888,CARTON_LOOKUP!$A:$E,2,0),"")</f>
      </c>
      <c r="K5888" s="29">
        <f>IFERROR(J5888*D5888,0)</f>
      </c>
      <c r="L5888" s="29">
        <f>IFERROR(E5888*C5888,0)</f>
      </c>
      <c r="M5888" s="29">
        <f>IFERROR((G5888*H5888*I5888/1000000)*D5888,0)</f>
      </c>
    </row>
    <row r="5889" spans="1:13" x14ac:dyDescent="0.25">
      <c r="A5889" s="16"/>
      <c r="E5889" s="27"/>
      <c r="F5889" t="s">
        <v>26</v>
      </c>
      <c r="G5889" s="28">
        <f>IFERROR(VLOOKUP(F5889,CARTON_LOOKUP!$A:$E,3,0),"")</f>
      </c>
      <c r="H5889" s="28">
        <f>IFERROR(VLOOKUP(F5889,CARTON_LOOKUP!$A:$E,4,0),"")</f>
      </c>
      <c r="I5889" s="28">
        <f>IFERROR(VLOOKUP(F5889,CARTON_LOOKUP!$A:$E,5,0),"")</f>
      </c>
      <c r="J5889" s="29">
        <f>IFERROR(VLOOKUP(F5889,CARTON_LOOKUP!$A:$E,2,0),"")</f>
      </c>
      <c r="K5889" s="29">
        <f>IFERROR(J5889*D5889,0)</f>
      </c>
      <c r="L5889" s="29">
        <f>IFERROR(E5889*C5889,0)</f>
      </c>
      <c r="M5889" s="29">
        <f>IFERROR((G5889*H5889*I5889/1000000)*D5889,0)</f>
      </c>
    </row>
    <row r="5890" spans="1:13" x14ac:dyDescent="0.25">
      <c r="A5890" s="16"/>
      <c r="E5890" s="27"/>
      <c r="F5890" t="s">
        <v>26</v>
      </c>
      <c r="G5890" s="28">
        <f>IFERROR(VLOOKUP(F5890,CARTON_LOOKUP!$A:$E,3,0),"")</f>
      </c>
      <c r="H5890" s="28">
        <f>IFERROR(VLOOKUP(F5890,CARTON_LOOKUP!$A:$E,4,0),"")</f>
      </c>
      <c r="I5890" s="28">
        <f>IFERROR(VLOOKUP(F5890,CARTON_LOOKUP!$A:$E,5,0),"")</f>
      </c>
      <c r="J5890" s="29">
        <f>IFERROR(VLOOKUP(F5890,CARTON_LOOKUP!$A:$E,2,0),"")</f>
      </c>
      <c r="K5890" s="29">
        <f>IFERROR(J5890*D5890,0)</f>
      </c>
      <c r="L5890" s="29">
        <f>IFERROR(E5890*C5890,0)</f>
      </c>
      <c r="M5890" s="29">
        <f>IFERROR((G5890*H5890*I5890/1000000)*D5890,0)</f>
      </c>
    </row>
    <row r="5891" spans="1:13" x14ac:dyDescent="0.25">
      <c r="A5891" s="16"/>
      <c r="E5891" s="27"/>
      <c r="F5891" t="s">
        <v>26</v>
      </c>
      <c r="G5891" s="28">
        <f>IFERROR(VLOOKUP(F5891,CARTON_LOOKUP!$A:$E,3,0),"")</f>
      </c>
      <c r="H5891" s="28">
        <f>IFERROR(VLOOKUP(F5891,CARTON_LOOKUP!$A:$E,4,0),"")</f>
      </c>
      <c r="I5891" s="28">
        <f>IFERROR(VLOOKUP(F5891,CARTON_LOOKUP!$A:$E,5,0),"")</f>
      </c>
      <c r="J5891" s="29">
        <f>IFERROR(VLOOKUP(F5891,CARTON_LOOKUP!$A:$E,2,0),"")</f>
      </c>
      <c r="K5891" s="29">
        <f>IFERROR(J5891*D5891,0)</f>
      </c>
      <c r="L5891" s="29">
        <f>IFERROR(E5891*C5891,0)</f>
      </c>
      <c r="M5891" s="29">
        <f>IFERROR((G5891*H5891*I5891/1000000)*D5891,0)</f>
      </c>
    </row>
    <row r="5892" spans="1:13" x14ac:dyDescent="0.25">
      <c r="A5892" s="16"/>
      <c r="E5892" s="27"/>
      <c r="F5892" t="s">
        <v>26</v>
      </c>
      <c r="G5892" s="28">
        <f>IFERROR(VLOOKUP(F5892,CARTON_LOOKUP!$A:$E,3,0),"")</f>
      </c>
      <c r="H5892" s="28">
        <f>IFERROR(VLOOKUP(F5892,CARTON_LOOKUP!$A:$E,4,0),"")</f>
      </c>
      <c r="I5892" s="28">
        <f>IFERROR(VLOOKUP(F5892,CARTON_LOOKUP!$A:$E,5,0),"")</f>
      </c>
      <c r="J5892" s="29">
        <f>IFERROR(VLOOKUP(F5892,CARTON_LOOKUP!$A:$E,2,0),"")</f>
      </c>
      <c r="K5892" s="29">
        <f>IFERROR(J5892*D5892,0)</f>
      </c>
      <c r="L5892" s="29">
        <f>IFERROR(E5892*C5892,0)</f>
      </c>
      <c r="M5892" s="29">
        <f>IFERROR((G5892*H5892*I5892/1000000)*D5892,0)</f>
      </c>
    </row>
    <row r="5893" spans="1:13" x14ac:dyDescent="0.25">
      <c r="A5893" s="16"/>
      <c r="E5893" s="27"/>
      <c r="F5893" t="s">
        <v>26</v>
      </c>
      <c r="G5893" s="28">
        <f>IFERROR(VLOOKUP(F5893,CARTON_LOOKUP!$A:$E,3,0),"")</f>
      </c>
      <c r="H5893" s="28">
        <f>IFERROR(VLOOKUP(F5893,CARTON_LOOKUP!$A:$E,4,0),"")</f>
      </c>
      <c r="I5893" s="28">
        <f>IFERROR(VLOOKUP(F5893,CARTON_LOOKUP!$A:$E,5,0),"")</f>
      </c>
      <c r="J5893" s="29">
        <f>IFERROR(VLOOKUP(F5893,CARTON_LOOKUP!$A:$E,2,0),"")</f>
      </c>
      <c r="K5893" s="29">
        <f>IFERROR(J5893*D5893,0)</f>
      </c>
      <c r="L5893" s="29">
        <f>IFERROR(E5893*C5893,0)</f>
      </c>
      <c r="M5893" s="29">
        <f>IFERROR((G5893*H5893*I5893/1000000)*D5893,0)</f>
      </c>
    </row>
    <row r="5894" spans="1:13" x14ac:dyDescent="0.25">
      <c r="A5894" s="16"/>
      <c r="E5894" s="27"/>
      <c r="F5894" t="s">
        <v>26</v>
      </c>
      <c r="G5894" s="28">
        <f>IFERROR(VLOOKUP(F5894,CARTON_LOOKUP!$A:$E,3,0),"")</f>
      </c>
      <c r="H5894" s="28">
        <f>IFERROR(VLOOKUP(F5894,CARTON_LOOKUP!$A:$E,4,0),"")</f>
      </c>
      <c r="I5894" s="28">
        <f>IFERROR(VLOOKUP(F5894,CARTON_LOOKUP!$A:$E,5,0),"")</f>
      </c>
      <c r="J5894" s="29">
        <f>IFERROR(VLOOKUP(F5894,CARTON_LOOKUP!$A:$E,2,0),"")</f>
      </c>
      <c r="K5894" s="29">
        <f>IFERROR(J5894*D5894,0)</f>
      </c>
      <c r="L5894" s="29">
        <f>IFERROR(E5894*C5894,0)</f>
      </c>
      <c r="M5894" s="29">
        <f>IFERROR((G5894*H5894*I5894/1000000)*D5894,0)</f>
      </c>
    </row>
    <row r="5895" spans="1:13" x14ac:dyDescent="0.25">
      <c r="A5895" s="16"/>
      <c r="E5895" s="27"/>
      <c r="F5895" t="s">
        <v>26</v>
      </c>
      <c r="G5895" s="28">
        <f>IFERROR(VLOOKUP(F5895,CARTON_LOOKUP!$A:$E,3,0),"")</f>
      </c>
      <c r="H5895" s="28">
        <f>IFERROR(VLOOKUP(F5895,CARTON_LOOKUP!$A:$E,4,0),"")</f>
      </c>
      <c r="I5895" s="28">
        <f>IFERROR(VLOOKUP(F5895,CARTON_LOOKUP!$A:$E,5,0),"")</f>
      </c>
      <c r="J5895" s="29">
        <f>IFERROR(VLOOKUP(F5895,CARTON_LOOKUP!$A:$E,2,0),"")</f>
      </c>
      <c r="K5895" s="29">
        <f>IFERROR(J5895*D5895,0)</f>
      </c>
      <c r="L5895" s="29">
        <f>IFERROR(E5895*C5895,0)</f>
      </c>
      <c r="M5895" s="29">
        <f>IFERROR((G5895*H5895*I5895/1000000)*D5895,0)</f>
      </c>
    </row>
    <row r="5896" spans="1:13" x14ac:dyDescent="0.25">
      <c r="A5896" s="16"/>
      <c r="E5896" s="27"/>
      <c r="F5896" t="s">
        <v>26</v>
      </c>
      <c r="G5896" s="28">
        <f>IFERROR(VLOOKUP(F5896,CARTON_LOOKUP!$A:$E,3,0),"")</f>
      </c>
      <c r="H5896" s="28">
        <f>IFERROR(VLOOKUP(F5896,CARTON_LOOKUP!$A:$E,4,0),"")</f>
      </c>
      <c r="I5896" s="28">
        <f>IFERROR(VLOOKUP(F5896,CARTON_LOOKUP!$A:$E,5,0),"")</f>
      </c>
      <c r="J5896" s="29">
        <f>IFERROR(VLOOKUP(F5896,CARTON_LOOKUP!$A:$E,2,0),"")</f>
      </c>
      <c r="K5896" s="29">
        <f>IFERROR(J5896*D5896,0)</f>
      </c>
      <c r="L5896" s="29">
        <f>IFERROR(E5896*C5896,0)</f>
      </c>
      <c r="M5896" s="29">
        <f>IFERROR((G5896*H5896*I5896/1000000)*D5896,0)</f>
      </c>
    </row>
    <row r="5897" spans="1:13" x14ac:dyDescent="0.25">
      <c r="A5897" s="16"/>
      <c r="E5897" s="27"/>
      <c r="F5897" t="s">
        <v>26</v>
      </c>
      <c r="G5897" s="28">
        <f>IFERROR(VLOOKUP(F5897,CARTON_LOOKUP!$A:$E,3,0),"")</f>
      </c>
      <c r="H5897" s="28">
        <f>IFERROR(VLOOKUP(F5897,CARTON_LOOKUP!$A:$E,4,0),"")</f>
      </c>
      <c r="I5897" s="28">
        <f>IFERROR(VLOOKUP(F5897,CARTON_LOOKUP!$A:$E,5,0),"")</f>
      </c>
      <c r="J5897" s="29">
        <f>IFERROR(VLOOKUP(F5897,CARTON_LOOKUP!$A:$E,2,0),"")</f>
      </c>
      <c r="K5897" s="29">
        <f>IFERROR(J5897*D5897,0)</f>
      </c>
      <c r="L5897" s="29">
        <f>IFERROR(E5897*C5897,0)</f>
      </c>
      <c r="M5897" s="29">
        <f>IFERROR((G5897*H5897*I5897/1000000)*D5897,0)</f>
      </c>
    </row>
    <row r="5898" spans="1:13" x14ac:dyDescent="0.25">
      <c r="A5898" s="16"/>
      <c r="E5898" s="27"/>
      <c r="F5898" t="s">
        <v>26</v>
      </c>
      <c r="G5898" s="28">
        <f>IFERROR(VLOOKUP(F5898,CARTON_LOOKUP!$A:$E,3,0),"")</f>
      </c>
      <c r="H5898" s="28">
        <f>IFERROR(VLOOKUP(F5898,CARTON_LOOKUP!$A:$E,4,0),"")</f>
      </c>
      <c r="I5898" s="28">
        <f>IFERROR(VLOOKUP(F5898,CARTON_LOOKUP!$A:$E,5,0),"")</f>
      </c>
      <c r="J5898" s="29">
        <f>IFERROR(VLOOKUP(F5898,CARTON_LOOKUP!$A:$E,2,0),"")</f>
      </c>
      <c r="K5898" s="29">
        <f>IFERROR(J5898*D5898,0)</f>
      </c>
      <c r="L5898" s="29">
        <f>IFERROR(E5898*C5898,0)</f>
      </c>
      <c r="M5898" s="29">
        <f>IFERROR((G5898*H5898*I5898/1000000)*D5898,0)</f>
      </c>
    </row>
    <row r="5899" spans="1:13" x14ac:dyDescent="0.25">
      <c r="A5899" s="16"/>
      <c r="E5899" s="27"/>
      <c r="F5899" t="s">
        <v>26</v>
      </c>
      <c r="G5899" s="28">
        <f>IFERROR(VLOOKUP(F5899,CARTON_LOOKUP!$A:$E,3,0),"")</f>
      </c>
      <c r="H5899" s="28">
        <f>IFERROR(VLOOKUP(F5899,CARTON_LOOKUP!$A:$E,4,0),"")</f>
      </c>
      <c r="I5899" s="28">
        <f>IFERROR(VLOOKUP(F5899,CARTON_LOOKUP!$A:$E,5,0),"")</f>
      </c>
      <c r="J5899" s="29">
        <f>IFERROR(VLOOKUP(F5899,CARTON_LOOKUP!$A:$E,2,0),"")</f>
      </c>
      <c r="K5899" s="29">
        <f>IFERROR(J5899*D5899,0)</f>
      </c>
      <c r="L5899" s="29">
        <f>IFERROR(E5899*C5899,0)</f>
      </c>
      <c r="M5899" s="29">
        <f>IFERROR((G5899*H5899*I5899/1000000)*D5899,0)</f>
      </c>
    </row>
    <row r="5900" spans="1:13" x14ac:dyDescent="0.25">
      <c r="A5900" s="16"/>
      <c r="E5900" s="27"/>
      <c r="F5900" t="s">
        <v>26</v>
      </c>
      <c r="G5900" s="28">
        <f>IFERROR(VLOOKUP(F5900,CARTON_LOOKUP!$A:$E,3,0),"")</f>
      </c>
      <c r="H5900" s="28">
        <f>IFERROR(VLOOKUP(F5900,CARTON_LOOKUP!$A:$E,4,0),"")</f>
      </c>
      <c r="I5900" s="28">
        <f>IFERROR(VLOOKUP(F5900,CARTON_LOOKUP!$A:$E,5,0),"")</f>
      </c>
      <c r="J5900" s="29">
        <f>IFERROR(VLOOKUP(F5900,CARTON_LOOKUP!$A:$E,2,0),"")</f>
      </c>
      <c r="K5900" s="29">
        <f>IFERROR(J5900*D5900,0)</f>
      </c>
      <c r="L5900" s="29">
        <f>IFERROR(E5900*C5900,0)</f>
      </c>
      <c r="M5900" s="29">
        <f>IFERROR((G5900*H5900*I5900/1000000)*D5900,0)</f>
      </c>
    </row>
    <row r="5901" spans="1:13" x14ac:dyDescent="0.25">
      <c r="A5901" s="16"/>
      <c r="E5901" s="27"/>
      <c r="F5901" t="s">
        <v>26</v>
      </c>
      <c r="G5901" s="28">
        <f>IFERROR(VLOOKUP(F5901,CARTON_LOOKUP!$A:$E,3,0),"")</f>
      </c>
      <c r="H5901" s="28">
        <f>IFERROR(VLOOKUP(F5901,CARTON_LOOKUP!$A:$E,4,0),"")</f>
      </c>
      <c r="I5901" s="28">
        <f>IFERROR(VLOOKUP(F5901,CARTON_LOOKUP!$A:$E,5,0),"")</f>
      </c>
      <c r="J5901" s="29">
        <f>IFERROR(VLOOKUP(F5901,CARTON_LOOKUP!$A:$E,2,0),"")</f>
      </c>
      <c r="K5901" s="29">
        <f>IFERROR(J5901*D5901,0)</f>
      </c>
      <c r="L5901" s="29">
        <f>IFERROR(E5901*C5901,0)</f>
      </c>
      <c r="M5901" s="29">
        <f>IFERROR((G5901*H5901*I5901/1000000)*D5901,0)</f>
      </c>
    </row>
    <row r="5902" spans="1:13" x14ac:dyDescent="0.25">
      <c r="A5902" s="16"/>
      <c r="E5902" s="27"/>
      <c r="F5902" t="s">
        <v>26</v>
      </c>
      <c r="G5902" s="28">
        <f>IFERROR(VLOOKUP(F5902,CARTON_LOOKUP!$A:$E,3,0),"")</f>
      </c>
      <c r="H5902" s="28">
        <f>IFERROR(VLOOKUP(F5902,CARTON_LOOKUP!$A:$E,4,0),"")</f>
      </c>
      <c r="I5902" s="28">
        <f>IFERROR(VLOOKUP(F5902,CARTON_LOOKUP!$A:$E,5,0),"")</f>
      </c>
      <c r="J5902" s="29">
        <f>IFERROR(VLOOKUP(F5902,CARTON_LOOKUP!$A:$E,2,0),"")</f>
      </c>
      <c r="K5902" s="29">
        <f>IFERROR(J5902*D5902,0)</f>
      </c>
      <c r="L5902" s="29">
        <f>IFERROR(E5902*C5902,0)</f>
      </c>
      <c r="M5902" s="29">
        <f>IFERROR((G5902*H5902*I5902/1000000)*D5902,0)</f>
      </c>
    </row>
    <row r="5903" spans="1:13" x14ac:dyDescent="0.25">
      <c r="A5903" s="16"/>
      <c r="E5903" s="27"/>
      <c r="F5903" t="s">
        <v>26</v>
      </c>
      <c r="G5903" s="28">
        <f>IFERROR(VLOOKUP(F5903,CARTON_LOOKUP!$A:$E,3,0),"")</f>
      </c>
      <c r="H5903" s="28">
        <f>IFERROR(VLOOKUP(F5903,CARTON_LOOKUP!$A:$E,4,0),"")</f>
      </c>
      <c r="I5903" s="28">
        <f>IFERROR(VLOOKUP(F5903,CARTON_LOOKUP!$A:$E,5,0),"")</f>
      </c>
      <c r="J5903" s="29">
        <f>IFERROR(VLOOKUP(F5903,CARTON_LOOKUP!$A:$E,2,0),"")</f>
      </c>
      <c r="K5903" s="29">
        <f>IFERROR(J5903*D5903,0)</f>
      </c>
      <c r="L5903" s="29">
        <f>IFERROR(E5903*C5903,0)</f>
      </c>
      <c r="M5903" s="29">
        <f>IFERROR((G5903*H5903*I5903/1000000)*D5903,0)</f>
      </c>
    </row>
    <row r="5904" spans="1:13" x14ac:dyDescent="0.25">
      <c r="A5904" s="16"/>
      <c r="E5904" s="27"/>
      <c r="F5904" t="s">
        <v>26</v>
      </c>
      <c r="G5904" s="28">
        <f>IFERROR(VLOOKUP(F5904,CARTON_LOOKUP!$A:$E,3,0),"")</f>
      </c>
      <c r="H5904" s="28">
        <f>IFERROR(VLOOKUP(F5904,CARTON_LOOKUP!$A:$E,4,0),"")</f>
      </c>
      <c r="I5904" s="28">
        <f>IFERROR(VLOOKUP(F5904,CARTON_LOOKUP!$A:$E,5,0),"")</f>
      </c>
      <c r="J5904" s="29">
        <f>IFERROR(VLOOKUP(F5904,CARTON_LOOKUP!$A:$E,2,0),"")</f>
      </c>
      <c r="K5904" s="29">
        <f>IFERROR(J5904*D5904,0)</f>
      </c>
      <c r="L5904" s="29">
        <f>IFERROR(E5904*C5904,0)</f>
      </c>
      <c r="M5904" s="29">
        <f>IFERROR((G5904*H5904*I5904/1000000)*D5904,0)</f>
      </c>
    </row>
    <row r="5905" spans="1:13" x14ac:dyDescent="0.25">
      <c r="A5905" s="16"/>
      <c r="E5905" s="27"/>
      <c r="F5905" t="s">
        <v>26</v>
      </c>
      <c r="G5905" s="28">
        <f>IFERROR(VLOOKUP(F5905,CARTON_LOOKUP!$A:$E,3,0),"")</f>
      </c>
      <c r="H5905" s="28">
        <f>IFERROR(VLOOKUP(F5905,CARTON_LOOKUP!$A:$E,4,0),"")</f>
      </c>
      <c r="I5905" s="28">
        <f>IFERROR(VLOOKUP(F5905,CARTON_LOOKUP!$A:$E,5,0),"")</f>
      </c>
      <c r="J5905" s="29">
        <f>IFERROR(VLOOKUP(F5905,CARTON_LOOKUP!$A:$E,2,0),"")</f>
      </c>
      <c r="K5905" s="29">
        <f>IFERROR(J5905*D5905,0)</f>
      </c>
      <c r="L5905" s="29">
        <f>IFERROR(E5905*C5905,0)</f>
      </c>
      <c r="M5905" s="29">
        <f>IFERROR((G5905*H5905*I5905/1000000)*D5905,0)</f>
      </c>
    </row>
    <row r="5906" spans="1:13" x14ac:dyDescent="0.25">
      <c r="A5906" s="16"/>
      <c r="E5906" s="27"/>
      <c r="F5906" t="s">
        <v>26</v>
      </c>
      <c r="G5906" s="28">
        <f>IFERROR(VLOOKUP(F5906,CARTON_LOOKUP!$A:$E,3,0),"")</f>
      </c>
      <c r="H5906" s="28">
        <f>IFERROR(VLOOKUP(F5906,CARTON_LOOKUP!$A:$E,4,0),"")</f>
      </c>
      <c r="I5906" s="28">
        <f>IFERROR(VLOOKUP(F5906,CARTON_LOOKUP!$A:$E,5,0),"")</f>
      </c>
      <c r="J5906" s="29">
        <f>IFERROR(VLOOKUP(F5906,CARTON_LOOKUP!$A:$E,2,0),"")</f>
      </c>
      <c r="K5906" s="29">
        <f>IFERROR(J5906*D5906,0)</f>
      </c>
      <c r="L5906" s="29">
        <f>IFERROR(E5906*C5906,0)</f>
      </c>
      <c r="M5906" s="29">
        <f>IFERROR((G5906*H5906*I5906/1000000)*D5906,0)</f>
      </c>
    </row>
    <row r="5907" spans="1:13" x14ac:dyDescent="0.25">
      <c r="A5907" s="16"/>
      <c r="E5907" s="27"/>
      <c r="F5907" t="s">
        <v>26</v>
      </c>
      <c r="G5907" s="28">
        <f>IFERROR(VLOOKUP(F5907,CARTON_LOOKUP!$A:$E,3,0),"")</f>
      </c>
      <c r="H5907" s="28">
        <f>IFERROR(VLOOKUP(F5907,CARTON_LOOKUP!$A:$E,4,0),"")</f>
      </c>
      <c r="I5907" s="28">
        <f>IFERROR(VLOOKUP(F5907,CARTON_LOOKUP!$A:$E,5,0),"")</f>
      </c>
      <c r="J5907" s="29">
        <f>IFERROR(VLOOKUP(F5907,CARTON_LOOKUP!$A:$E,2,0),"")</f>
      </c>
      <c r="K5907" s="29">
        <f>IFERROR(J5907*D5907,0)</f>
      </c>
      <c r="L5907" s="29">
        <f>IFERROR(E5907*C5907,0)</f>
      </c>
      <c r="M5907" s="29">
        <f>IFERROR((G5907*H5907*I5907/1000000)*D5907,0)</f>
      </c>
    </row>
    <row r="5908" spans="1:13" x14ac:dyDescent="0.25">
      <c r="A5908" s="16"/>
      <c r="E5908" s="27"/>
      <c r="F5908" t="s">
        <v>26</v>
      </c>
      <c r="G5908" s="28">
        <f>IFERROR(VLOOKUP(F5908,CARTON_LOOKUP!$A:$E,3,0),"")</f>
      </c>
      <c r="H5908" s="28">
        <f>IFERROR(VLOOKUP(F5908,CARTON_LOOKUP!$A:$E,4,0),"")</f>
      </c>
      <c r="I5908" s="28">
        <f>IFERROR(VLOOKUP(F5908,CARTON_LOOKUP!$A:$E,5,0),"")</f>
      </c>
      <c r="J5908" s="29">
        <f>IFERROR(VLOOKUP(F5908,CARTON_LOOKUP!$A:$E,2,0),"")</f>
      </c>
      <c r="K5908" s="29">
        <f>IFERROR(J5908*D5908,0)</f>
      </c>
      <c r="L5908" s="29">
        <f>IFERROR(E5908*C5908,0)</f>
      </c>
      <c r="M5908" s="29">
        <f>IFERROR((G5908*H5908*I5908/1000000)*D5908,0)</f>
      </c>
    </row>
    <row r="5909" spans="1:13" x14ac:dyDescent="0.25">
      <c r="A5909" s="16"/>
      <c r="E5909" s="27"/>
      <c r="F5909" t="s">
        <v>26</v>
      </c>
      <c r="G5909" s="28">
        <f>IFERROR(VLOOKUP(F5909,CARTON_LOOKUP!$A:$E,3,0),"")</f>
      </c>
      <c r="H5909" s="28">
        <f>IFERROR(VLOOKUP(F5909,CARTON_LOOKUP!$A:$E,4,0),"")</f>
      </c>
      <c r="I5909" s="28">
        <f>IFERROR(VLOOKUP(F5909,CARTON_LOOKUP!$A:$E,5,0),"")</f>
      </c>
      <c r="J5909" s="29">
        <f>IFERROR(VLOOKUP(F5909,CARTON_LOOKUP!$A:$E,2,0),"")</f>
      </c>
      <c r="K5909" s="29">
        <f>IFERROR(J5909*D5909,0)</f>
      </c>
      <c r="L5909" s="29">
        <f>IFERROR(E5909*C5909,0)</f>
      </c>
      <c r="M5909" s="29">
        <f>IFERROR((G5909*H5909*I5909/1000000)*D5909,0)</f>
      </c>
    </row>
    <row r="5910" spans="1:13" x14ac:dyDescent="0.25">
      <c r="A5910" s="16"/>
      <c r="E5910" s="27"/>
      <c r="F5910" t="s">
        <v>26</v>
      </c>
      <c r="G5910" s="28">
        <f>IFERROR(VLOOKUP(F5910,CARTON_LOOKUP!$A:$E,3,0),"")</f>
      </c>
      <c r="H5910" s="28">
        <f>IFERROR(VLOOKUP(F5910,CARTON_LOOKUP!$A:$E,4,0),"")</f>
      </c>
      <c r="I5910" s="28">
        <f>IFERROR(VLOOKUP(F5910,CARTON_LOOKUP!$A:$E,5,0),"")</f>
      </c>
      <c r="J5910" s="29">
        <f>IFERROR(VLOOKUP(F5910,CARTON_LOOKUP!$A:$E,2,0),"")</f>
      </c>
      <c r="K5910" s="29">
        <f>IFERROR(J5910*D5910,0)</f>
      </c>
      <c r="L5910" s="29">
        <f>IFERROR(E5910*C5910,0)</f>
      </c>
      <c r="M5910" s="29">
        <f>IFERROR((G5910*H5910*I5910/1000000)*D5910,0)</f>
      </c>
    </row>
    <row r="5911" spans="1:13" x14ac:dyDescent="0.25">
      <c r="A5911" s="16"/>
      <c r="E5911" s="27"/>
      <c r="F5911" t="s">
        <v>26</v>
      </c>
      <c r="G5911" s="28">
        <f>IFERROR(VLOOKUP(F5911,CARTON_LOOKUP!$A:$E,3,0),"")</f>
      </c>
      <c r="H5911" s="28">
        <f>IFERROR(VLOOKUP(F5911,CARTON_LOOKUP!$A:$E,4,0),"")</f>
      </c>
      <c r="I5911" s="28">
        <f>IFERROR(VLOOKUP(F5911,CARTON_LOOKUP!$A:$E,5,0),"")</f>
      </c>
      <c r="J5911" s="29">
        <f>IFERROR(VLOOKUP(F5911,CARTON_LOOKUP!$A:$E,2,0),"")</f>
      </c>
      <c r="K5911" s="29">
        <f>IFERROR(J5911*D5911,0)</f>
      </c>
      <c r="L5911" s="29">
        <f>IFERROR(E5911*C5911,0)</f>
      </c>
      <c r="M5911" s="29">
        <f>IFERROR((G5911*H5911*I5911/1000000)*D5911,0)</f>
      </c>
    </row>
    <row r="5912" spans="1:13" x14ac:dyDescent="0.25">
      <c r="A5912" s="16"/>
      <c r="E5912" s="27"/>
      <c r="F5912" t="s">
        <v>26</v>
      </c>
      <c r="G5912" s="28">
        <f>IFERROR(VLOOKUP(F5912,CARTON_LOOKUP!$A:$E,3,0),"")</f>
      </c>
      <c r="H5912" s="28">
        <f>IFERROR(VLOOKUP(F5912,CARTON_LOOKUP!$A:$E,4,0),"")</f>
      </c>
      <c r="I5912" s="28">
        <f>IFERROR(VLOOKUP(F5912,CARTON_LOOKUP!$A:$E,5,0),"")</f>
      </c>
      <c r="J5912" s="29">
        <f>IFERROR(VLOOKUP(F5912,CARTON_LOOKUP!$A:$E,2,0),"")</f>
      </c>
      <c r="K5912" s="29">
        <f>IFERROR(J5912*D5912,0)</f>
      </c>
      <c r="L5912" s="29">
        <f>IFERROR(E5912*C5912,0)</f>
      </c>
      <c r="M5912" s="29">
        <f>IFERROR((G5912*H5912*I5912/1000000)*D5912,0)</f>
      </c>
    </row>
    <row r="5913" spans="1:13" x14ac:dyDescent="0.25">
      <c r="A5913" s="16"/>
      <c r="E5913" s="27"/>
      <c r="F5913" t="s">
        <v>26</v>
      </c>
      <c r="G5913" s="28">
        <f>IFERROR(VLOOKUP(F5913,CARTON_LOOKUP!$A:$E,3,0),"")</f>
      </c>
      <c r="H5913" s="28">
        <f>IFERROR(VLOOKUP(F5913,CARTON_LOOKUP!$A:$E,4,0),"")</f>
      </c>
      <c r="I5913" s="28">
        <f>IFERROR(VLOOKUP(F5913,CARTON_LOOKUP!$A:$E,5,0),"")</f>
      </c>
      <c r="J5913" s="29">
        <f>IFERROR(VLOOKUP(F5913,CARTON_LOOKUP!$A:$E,2,0),"")</f>
      </c>
      <c r="K5913" s="29">
        <f>IFERROR(J5913*D5913,0)</f>
      </c>
      <c r="L5913" s="29">
        <f>IFERROR(E5913*C5913,0)</f>
      </c>
      <c r="M5913" s="29">
        <f>IFERROR((G5913*H5913*I5913/1000000)*D5913,0)</f>
      </c>
    </row>
    <row r="5914" spans="1:13" x14ac:dyDescent="0.25">
      <c r="A5914" s="16"/>
      <c r="E5914" s="27"/>
      <c r="F5914" t="s">
        <v>26</v>
      </c>
      <c r="G5914" s="28">
        <f>IFERROR(VLOOKUP(F5914,CARTON_LOOKUP!$A:$E,3,0),"")</f>
      </c>
      <c r="H5914" s="28">
        <f>IFERROR(VLOOKUP(F5914,CARTON_LOOKUP!$A:$E,4,0),"")</f>
      </c>
      <c r="I5914" s="28">
        <f>IFERROR(VLOOKUP(F5914,CARTON_LOOKUP!$A:$E,5,0),"")</f>
      </c>
      <c r="J5914" s="29">
        <f>IFERROR(VLOOKUP(F5914,CARTON_LOOKUP!$A:$E,2,0),"")</f>
      </c>
      <c r="K5914" s="29">
        <f>IFERROR(J5914*D5914,0)</f>
      </c>
      <c r="L5914" s="29">
        <f>IFERROR(E5914*C5914,0)</f>
      </c>
      <c r="M5914" s="29">
        <f>IFERROR((G5914*H5914*I5914/1000000)*D5914,0)</f>
      </c>
    </row>
    <row r="5915" spans="1:13" x14ac:dyDescent="0.25">
      <c r="A5915" s="16"/>
      <c r="E5915" s="27"/>
      <c r="F5915" t="s">
        <v>26</v>
      </c>
      <c r="G5915" s="28">
        <f>IFERROR(VLOOKUP(F5915,CARTON_LOOKUP!$A:$E,3,0),"")</f>
      </c>
      <c r="H5915" s="28">
        <f>IFERROR(VLOOKUP(F5915,CARTON_LOOKUP!$A:$E,4,0),"")</f>
      </c>
      <c r="I5915" s="28">
        <f>IFERROR(VLOOKUP(F5915,CARTON_LOOKUP!$A:$E,5,0),"")</f>
      </c>
      <c r="J5915" s="29">
        <f>IFERROR(VLOOKUP(F5915,CARTON_LOOKUP!$A:$E,2,0),"")</f>
      </c>
      <c r="K5915" s="29">
        <f>IFERROR(J5915*D5915,0)</f>
      </c>
      <c r="L5915" s="29">
        <f>IFERROR(E5915*C5915,0)</f>
      </c>
      <c r="M5915" s="29">
        <f>IFERROR((G5915*H5915*I5915/1000000)*D5915,0)</f>
      </c>
    </row>
    <row r="5916" spans="1:13" x14ac:dyDescent="0.25">
      <c r="A5916" s="16"/>
      <c r="E5916" s="27"/>
      <c r="F5916" t="s">
        <v>26</v>
      </c>
      <c r="G5916" s="28">
        <f>IFERROR(VLOOKUP(F5916,CARTON_LOOKUP!$A:$E,3,0),"")</f>
      </c>
      <c r="H5916" s="28">
        <f>IFERROR(VLOOKUP(F5916,CARTON_LOOKUP!$A:$E,4,0),"")</f>
      </c>
      <c r="I5916" s="28">
        <f>IFERROR(VLOOKUP(F5916,CARTON_LOOKUP!$A:$E,5,0),"")</f>
      </c>
      <c r="J5916" s="29">
        <f>IFERROR(VLOOKUP(F5916,CARTON_LOOKUP!$A:$E,2,0),"")</f>
      </c>
      <c r="K5916" s="29">
        <f>IFERROR(J5916*D5916,0)</f>
      </c>
      <c r="L5916" s="29">
        <f>IFERROR(E5916*C5916,0)</f>
      </c>
      <c r="M5916" s="29">
        <f>IFERROR((G5916*H5916*I5916/1000000)*D5916,0)</f>
      </c>
    </row>
    <row r="5917" spans="1:13" x14ac:dyDescent="0.25">
      <c r="A5917" s="16"/>
      <c r="E5917" s="27"/>
      <c r="F5917" t="s">
        <v>26</v>
      </c>
      <c r="G5917" s="28">
        <f>IFERROR(VLOOKUP(F5917,CARTON_LOOKUP!$A:$E,3,0),"")</f>
      </c>
      <c r="H5917" s="28">
        <f>IFERROR(VLOOKUP(F5917,CARTON_LOOKUP!$A:$E,4,0),"")</f>
      </c>
      <c r="I5917" s="28">
        <f>IFERROR(VLOOKUP(F5917,CARTON_LOOKUP!$A:$E,5,0),"")</f>
      </c>
      <c r="J5917" s="29">
        <f>IFERROR(VLOOKUP(F5917,CARTON_LOOKUP!$A:$E,2,0),"")</f>
      </c>
      <c r="K5917" s="29">
        <f>IFERROR(J5917*D5917,0)</f>
      </c>
      <c r="L5917" s="29">
        <f>IFERROR(E5917*C5917,0)</f>
      </c>
      <c r="M5917" s="29">
        <f>IFERROR((G5917*H5917*I5917/1000000)*D5917,0)</f>
      </c>
    </row>
    <row r="5918" spans="1:13" x14ac:dyDescent="0.25">
      <c r="A5918" s="16"/>
      <c r="E5918" s="27"/>
      <c r="F5918" t="s">
        <v>26</v>
      </c>
      <c r="G5918" s="28">
        <f>IFERROR(VLOOKUP(F5918,CARTON_LOOKUP!$A:$E,3,0),"")</f>
      </c>
      <c r="H5918" s="28">
        <f>IFERROR(VLOOKUP(F5918,CARTON_LOOKUP!$A:$E,4,0),"")</f>
      </c>
      <c r="I5918" s="28">
        <f>IFERROR(VLOOKUP(F5918,CARTON_LOOKUP!$A:$E,5,0),"")</f>
      </c>
      <c r="J5918" s="29">
        <f>IFERROR(VLOOKUP(F5918,CARTON_LOOKUP!$A:$E,2,0),"")</f>
      </c>
      <c r="K5918" s="29">
        <f>IFERROR(J5918*D5918,0)</f>
      </c>
      <c r="L5918" s="29">
        <f>IFERROR(E5918*C5918,0)</f>
      </c>
      <c r="M5918" s="29">
        <f>IFERROR((G5918*H5918*I5918/1000000)*D5918,0)</f>
      </c>
    </row>
    <row r="5919" spans="1:13" x14ac:dyDescent="0.25">
      <c r="A5919" s="16"/>
      <c r="E5919" s="27"/>
      <c r="F5919" t="s">
        <v>26</v>
      </c>
      <c r="G5919" s="28">
        <f>IFERROR(VLOOKUP(F5919,CARTON_LOOKUP!$A:$E,3,0),"")</f>
      </c>
      <c r="H5919" s="28">
        <f>IFERROR(VLOOKUP(F5919,CARTON_LOOKUP!$A:$E,4,0),"")</f>
      </c>
      <c r="I5919" s="28">
        <f>IFERROR(VLOOKUP(F5919,CARTON_LOOKUP!$A:$E,5,0),"")</f>
      </c>
      <c r="J5919" s="29">
        <f>IFERROR(VLOOKUP(F5919,CARTON_LOOKUP!$A:$E,2,0),"")</f>
      </c>
      <c r="K5919" s="29">
        <f>IFERROR(J5919*D5919,0)</f>
      </c>
      <c r="L5919" s="29">
        <f>IFERROR(E5919*C5919,0)</f>
      </c>
      <c r="M5919" s="29">
        <f>IFERROR((G5919*H5919*I5919/1000000)*D5919,0)</f>
      </c>
    </row>
    <row r="5920" spans="1:13" x14ac:dyDescent="0.25">
      <c r="A5920" s="16"/>
      <c r="E5920" s="27"/>
      <c r="F5920" t="s">
        <v>26</v>
      </c>
      <c r="G5920" s="28">
        <f>IFERROR(VLOOKUP(F5920,CARTON_LOOKUP!$A:$E,3,0),"")</f>
      </c>
      <c r="H5920" s="28">
        <f>IFERROR(VLOOKUP(F5920,CARTON_LOOKUP!$A:$E,4,0),"")</f>
      </c>
      <c r="I5920" s="28">
        <f>IFERROR(VLOOKUP(F5920,CARTON_LOOKUP!$A:$E,5,0),"")</f>
      </c>
      <c r="J5920" s="29">
        <f>IFERROR(VLOOKUP(F5920,CARTON_LOOKUP!$A:$E,2,0),"")</f>
      </c>
      <c r="K5920" s="29">
        <f>IFERROR(J5920*D5920,0)</f>
      </c>
      <c r="L5920" s="29">
        <f>IFERROR(E5920*C5920,0)</f>
      </c>
      <c r="M5920" s="29">
        <f>IFERROR((G5920*H5920*I5920/1000000)*D5920,0)</f>
      </c>
    </row>
    <row r="5921" spans="1:13" x14ac:dyDescent="0.25">
      <c r="A5921" s="16"/>
      <c r="E5921" s="27"/>
      <c r="F5921" t="s">
        <v>26</v>
      </c>
      <c r="G5921" s="28">
        <f>IFERROR(VLOOKUP(F5921,CARTON_LOOKUP!$A:$E,3,0),"")</f>
      </c>
      <c r="H5921" s="28">
        <f>IFERROR(VLOOKUP(F5921,CARTON_LOOKUP!$A:$E,4,0),"")</f>
      </c>
      <c r="I5921" s="28">
        <f>IFERROR(VLOOKUP(F5921,CARTON_LOOKUP!$A:$E,5,0),"")</f>
      </c>
      <c r="J5921" s="29">
        <f>IFERROR(VLOOKUP(F5921,CARTON_LOOKUP!$A:$E,2,0),"")</f>
      </c>
      <c r="K5921" s="29">
        <f>IFERROR(J5921*D5921,0)</f>
      </c>
      <c r="L5921" s="29">
        <f>IFERROR(E5921*C5921,0)</f>
      </c>
      <c r="M5921" s="29">
        <f>IFERROR((G5921*H5921*I5921/1000000)*D5921,0)</f>
      </c>
    </row>
    <row r="5922" spans="1:13" x14ac:dyDescent="0.25">
      <c r="A5922" s="16"/>
      <c r="E5922" s="27"/>
      <c r="F5922" t="s">
        <v>26</v>
      </c>
      <c r="G5922" s="28">
        <f>IFERROR(VLOOKUP(F5922,CARTON_LOOKUP!$A:$E,3,0),"")</f>
      </c>
      <c r="H5922" s="28">
        <f>IFERROR(VLOOKUP(F5922,CARTON_LOOKUP!$A:$E,4,0),"")</f>
      </c>
      <c r="I5922" s="28">
        <f>IFERROR(VLOOKUP(F5922,CARTON_LOOKUP!$A:$E,5,0),"")</f>
      </c>
      <c r="J5922" s="29">
        <f>IFERROR(VLOOKUP(F5922,CARTON_LOOKUP!$A:$E,2,0),"")</f>
      </c>
      <c r="K5922" s="29">
        <f>IFERROR(J5922*D5922,0)</f>
      </c>
      <c r="L5922" s="29">
        <f>IFERROR(E5922*C5922,0)</f>
      </c>
      <c r="M5922" s="29">
        <f>IFERROR((G5922*H5922*I5922/1000000)*D5922,0)</f>
      </c>
    </row>
    <row r="5923" spans="1:13" x14ac:dyDescent="0.25">
      <c r="A5923" s="16"/>
      <c r="E5923" s="27"/>
      <c r="F5923" t="s">
        <v>26</v>
      </c>
      <c r="G5923" s="28">
        <f>IFERROR(VLOOKUP(F5923,CARTON_LOOKUP!$A:$E,3,0),"")</f>
      </c>
      <c r="H5923" s="28">
        <f>IFERROR(VLOOKUP(F5923,CARTON_LOOKUP!$A:$E,4,0),"")</f>
      </c>
      <c r="I5923" s="28">
        <f>IFERROR(VLOOKUP(F5923,CARTON_LOOKUP!$A:$E,5,0),"")</f>
      </c>
      <c r="J5923" s="29">
        <f>IFERROR(VLOOKUP(F5923,CARTON_LOOKUP!$A:$E,2,0),"")</f>
      </c>
      <c r="K5923" s="29">
        <f>IFERROR(J5923*D5923,0)</f>
      </c>
      <c r="L5923" s="29">
        <f>IFERROR(E5923*C5923,0)</f>
      </c>
      <c r="M5923" s="29">
        <f>IFERROR((G5923*H5923*I5923/1000000)*D5923,0)</f>
      </c>
    </row>
    <row r="5924" spans="1:13" x14ac:dyDescent="0.25">
      <c r="A5924" s="16"/>
      <c r="E5924" s="27"/>
      <c r="F5924" t="s">
        <v>26</v>
      </c>
      <c r="G5924" s="28">
        <f>IFERROR(VLOOKUP(F5924,CARTON_LOOKUP!$A:$E,3,0),"")</f>
      </c>
      <c r="H5924" s="28">
        <f>IFERROR(VLOOKUP(F5924,CARTON_LOOKUP!$A:$E,4,0),"")</f>
      </c>
      <c r="I5924" s="28">
        <f>IFERROR(VLOOKUP(F5924,CARTON_LOOKUP!$A:$E,5,0),"")</f>
      </c>
      <c r="J5924" s="29">
        <f>IFERROR(VLOOKUP(F5924,CARTON_LOOKUP!$A:$E,2,0),"")</f>
      </c>
      <c r="K5924" s="29">
        <f>IFERROR(J5924*D5924,0)</f>
      </c>
      <c r="L5924" s="29">
        <f>IFERROR(E5924*C5924,0)</f>
      </c>
      <c r="M5924" s="29">
        <f>IFERROR((G5924*H5924*I5924/1000000)*D5924,0)</f>
      </c>
    </row>
    <row r="5925" spans="1:13" x14ac:dyDescent="0.25">
      <c r="A5925" s="16"/>
      <c r="E5925" s="27"/>
      <c r="F5925" t="s">
        <v>26</v>
      </c>
      <c r="G5925" s="28">
        <f>IFERROR(VLOOKUP(F5925,CARTON_LOOKUP!$A:$E,3,0),"")</f>
      </c>
      <c r="H5925" s="28">
        <f>IFERROR(VLOOKUP(F5925,CARTON_LOOKUP!$A:$E,4,0),"")</f>
      </c>
      <c r="I5925" s="28">
        <f>IFERROR(VLOOKUP(F5925,CARTON_LOOKUP!$A:$E,5,0),"")</f>
      </c>
      <c r="J5925" s="29">
        <f>IFERROR(VLOOKUP(F5925,CARTON_LOOKUP!$A:$E,2,0),"")</f>
      </c>
      <c r="K5925" s="29">
        <f>IFERROR(J5925*D5925,0)</f>
      </c>
      <c r="L5925" s="29">
        <f>IFERROR(E5925*C5925,0)</f>
      </c>
      <c r="M5925" s="29">
        <f>IFERROR((G5925*H5925*I5925/1000000)*D5925,0)</f>
      </c>
    </row>
    <row r="5926" spans="1:13" x14ac:dyDescent="0.25">
      <c r="A5926" s="16"/>
      <c r="E5926" s="27"/>
      <c r="F5926" t="s">
        <v>26</v>
      </c>
      <c r="G5926" s="28">
        <f>IFERROR(VLOOKUP(F5926,CARTON_LOOKUP!$A:$E,3,0),"")</f>
      </c>
      <c r="H5926" s="28">
        <f>IFERROR(VLOOKUP(F5926,CARTON_LOOKUP!$A:$E,4,0),"")</f>
      </c>
      <c r="I5926" s="28">
        <f>IFERROR(VLOOKUP(F5926,CARTON_LOOKUP!$A:$E,5,0),"")</f>
      </c>
      <c r="J5926" s="29">
        <f>IFERROR(VLOOKUP(F5926,CARTON_LOOKUP!$A:$E,2,0),"")</f>
      </c>
      <c r="K5926" s="29">
        <f>IFERROR(J5926*D5926,0)</f>
      </c>
      <c r="L5926" s="29">
        <f>IFERROR(E5926*C5926,0)</f>
      </c>
      <c r="M5926" s="29">
        <f>IFERROR((G5926*H5926*I5926/1000000)*D5926,0)</f>
      </c>
    </row>
    <row r="5927" spans="1:13" x14ac:dyDescent="0.25">
      <c r="A5927" s="16"/>
      <c r="E5927" s="27"/>
      <c r="F5927" t="s">
        <v>26</v>
      </c>
      <c r="G5927" s="28">
        <f>IFERROR(VLOOKUP(F5927,CARTON_LOOKUP!$A:$E,3,0),"")</f>
      </c>
      <c r="H5927" s="28">
        <f>IFERROR(VLOOKUP(F5927,CARTON_LOOKUP!$A:$E,4,0),"")</f>
      </c>
      <c r="I5927" s="28">
        <f>IFERROR(VLOOKUP(F5927,CARTON_LOOKUP!$A:$E,5,0),"")</f>
      </c>
      <c r="J5927" s="29">
        <f>IFERROR(VLOOKUP(F5927,CARTON_LOOKUP!$A:$E,2,0),"")</f>
      </c>
      <c r="K5927" s="29">
        <f>IFERROR(J5927*D5927,0)</f>
      </c>
      <c r="L5927" s="29">
        <f>IFERROR(E5927*C5927,0)</f>
      </c>
      <c r="M5927" s="29">
        <f>IFERROR((G5927*H5927*I5927/1000000)*D5927,0)</f>
      </c>
    </row>
    <row r="5928" spans="1:13" x14ac:dyDescent="0.25">
      <c r="A5928" s="16"/>
      <c r="E5928" s="27"/>
      <c r="F5928" t="s">
        <v>26</v>
      </c>
      <c r="G5928" s="28">
        <f>IFERROR(VLOOKUP(F5928,CARTON_LOOKUP!$A:$E,3,0),"")</f>
      </c>
      <c r="H5928" s="28">
        <f>IFERROR(VLOOKUP(F5928,CARTON_LOOKUP!$A:$E,4,0),"")</f>
      </c>
      <c r="I5928" s="28">
        <f>IFERROR(VLOOKUP(F5928,CARTON_LOOKUP!$A:$E,5,0),"")</f>
      </c>
      <c r="J5928" s="29">
        <f>IFERROR(VLOOKUP(F5928,CARTON_LOOKUP!$A:$E,2,0),"")</f>
      </c>
      <c r="K5928" s="29">
        <f>IFERROR(J5928*D5928,0)</f>
      </c>
      <c r="L5928" s="29">
        <f>IFERROR(E5928*C5928,0)</f>
      </c>
      <c r="M5928" s="29">
        <f>IFERROR((G5928*H5928*I5928/1000000)*D5928,0)</f>
      </c>
    </row>
    <row r="5929" spans="1:13" x14ac:dyDescent="0.25">
      <c r="A5929" s="16"/>
      <c r="E5929" s="27"/>
      <c r="F5929" t="s">
        <v>26</v>
      </c>
      <c r="G5929" s="28">
        <f>IFERROR(VLOOKUP(F5929,CARTON_LOOKUP!$A:$E,3,0),"")</f>
      </c>
      <c r="H5929" s="28">
        <f>IFERROR(VLOOKUP(F5929,CARTON_LOOKUP!$A:$E,4,0),"")</f>
      </c>
      <c r="I5929" s="28">
        <f>IFERROR(VLOOKUP(F5929,CARTON_LOOKUP!$A:$E,5,0),"")</f>
      </c>
      <c r="J5929" s="29">
        <f>IFERROR(VLOOKUP(F5929,CARTON_LOOKUP!$A:$E,2,0),"")</f>
      </c>
      <c r="K5929" s="29">
        <f>IFERROR(J5929*D5929,0)</f>
      </c>
      <c r="L5929" s="29">
        <f>IFERROR(E5929*C5929,0)</f>
      </c>
      <c r="M5929" s="29">
        <f>IFERROR((G5929*H5929*I5929/1000000)*D5929,0)</f>
      </c>
    </row>
    <row r="5930" spans="1:13" x14ac:dyDescent="0.25">
      <c r="A5930" s="16"/>
      <c r="E5930" s="27"/>
      <c r="F5930" t="s">
        <v>26</v>
      </c>
      <c r="G5930" s="28">
        <f>IFERROR(VLOOKUP(F5930,CARTON_LOOKUP!$A:$E,3,0),"")</f>
      </c>
      <c r="H5930" s="28">
        <f>IFERROR(VLOOKUP(F5930,CARTON_LOOKUP!$A:$E,4,0),"")</f>
      </c>
      <c r="I5930" s="28">
        <f>IFERROR(VLOOKUP(F5930,CARTON_LOOKUP!$A:$E,5,0),"")</f>
      </c>
      <c r="J5930" s="29">
        <f>IFERROR(VLOOKUP(F5930,CARTON_LOOKUP!$A:$E,2,0),"")</f>
      </c>
      <c r="K5930" s="29">
        <f>IFERROR(J5930*D5930,0)</f>
      </c>
      <c r="L5930" s="29">
        <f>IFERROR(E5930*C5930,0)</f>
      </c>
      <c r="M5930" s="29">
        <f>IFERROR((G5930*H5930*I5930/1000000)*D5930,0)</f>
      </c>
    </row>
    <row r="5931" spans="1:13" x14ac:dyDescent="0.25">
      <c r="A5931" s="16"/>
      <c r="E5931" s="27"/>
      <c r="F5931" t="s">
        <v>26</v>
      </c>
      <c r="G5931" s="28">
        <f>IFERROR(VLOOKUP(F5931,CARTON_LOOKUP!$A:$E,3,0),"")</f>
      </c>
      <c r="H5931" s="28">
        <f>IFERROR(VLOOKUP(F5931,CARTON_LOOKUP!$A:$E,4,0),"")</f>
      </c>
      <c r="I5931" s="28">
        <f>IFERROR(VLOOKUP(F5931,CARTON_LOOKUP!$A:$E,5,0),"")</f>
      </c>
      <c r="J5931" s="29">
        <f>IFERROR(VLOOKUP(F5931,CARTON_LOOKUP!$A:$E,2,0),"")</f>
      </c>
      <c r="K5931" s="29">
        <f>IFERROR(J5931*D5931,0)</f>
      </c>
      <c r="L5931" s="29">
        <f>IFERROR(E5931*C5931,0)</f>
      </c>
      <c r="M5931" s="29">
        <f>IFERROR((G5931*H5931*I5931/1000000)*D5931,0)</f>
      </c>
    </row>
    <row r="5932" spans="1:13" x14ac:dyDescent="0.25">
      <c r="A5932" s="16"/>
      <c r="E5932" s="27"/>
      <c r="F5932" t="s">
        <v>26</v>
      </c>
      <c r="G5932" s="28">
        <f>IFERROR(VLOOKUP(F5932,CARTON_LOOKUP!$A:$E,3,0),"")</f>
      </c>
      <c r="H5932" s="28">
        <f>IFERROR(VLOOKUP(F5932,CARTON_LOOKUP!$A:$E,4,0),"")</f>
      </c>
      <c r="I5932" s="28">
        <f>IFERROR(VLOOKUP(F5932,CARTON_LOOKUP!$A:$E,5,0),"")</f>
      </c>
      <c r="J5932" s="29">
        <f>IFERROR(VLOOKUP(F5932,CARTON_LOOKUP!$A:$E,2,0),"")</f>
      </c>
      <c r="K5932" s="29">
        <f>IFERROR(J5932*D5932,0)</f>
      </c>
      <c r="L5932" s="29">
        <f>IFERROR(E5932*C5932,0)</f>
      </c>
      <c r="M5932" s="29">
        <f>IFERROR((G5932*H5932*I5932/1000000)*D5932,0)</f>
      </c>
    </row>
    <row r="5933" spans="1:13" x14ac:dyDescent="0.25">
      <c r="A5933" s="16"/>
      <c r="E5933" s="27"/>
      <c r="F5933" t="s">
        <v>26</v>
      </c>
      <c r="G5933" s="28">
        <f>IFERROR(VLOOKUP(F5933,CARTON_LOOKUP!$A:$E,3,0),"")</f>
      </c>
      <c r="H5933" s="28">
        <f>IFERROR(VLOOKUP(F5933,CARTON_LOOKUP!$A:$E,4,0),"")</f>
      </c>
      <c r="I5933" s="28">
        <f>IFERROR(VLOOKUP(F5933,CARTON_LOOKUP!$A:$E,5,0),"")</f>
      </c>
      <c r="J5933" s="29">
        <f>IFERROR(VLOOKUP(F5933,CARTON_LOOKUP!$A:$E,2,0),"")</f>
      </c>
      <c r="K5933" s="29">
        <f>IFERROR(J5933*D5933,0)</f>
      </c>
      <c r="L5933" s="29">
        <f>IFERROR(E5933*C5933,0)</f>
      </c>
      <c r="M5933" s="29">
        <f>IFERROR((G5933*H5933*I5933/1000000)*D5933,0)</f>
      </c>
    </row>
    <row r="5934" spans="1:13" x14ac:dyDescent="0.25">
      <c r="A5934" s="16"/>
      <c r="E5934" s="27"/>
      <c r="F5934" t="s">
        <v>26</v>
      </c>
      <c r="G5934" s="28">
        <f>IFERROR(VLOOKUP(F5934,CARTON_LOOKUP!$A:$E,3,0),"")</f>
      </c>
      <c r="H5934" s="28">
        <f>IFERROR(VLOOKUP(F5934,CARTON_LOOKUP!$A:$E,4,0),"")</f>
      </c>
      <c r="I5934" s="28">
        <f>IFERROR(VLOOKUP(F5934,CARTON_LOOKUP!$A:$E,5,0),"")</f>
      </c>
      <c r="J5934" s="29">
        <f>IFERROR(VLOOKUP(F5934,CARTON_LOOKUP!$A:$E,2,0),"")</f>
      </c>
      <c r="K5934" s="29">
        <f>IFERROR(J5934*D5934,0)</f>
      </c>
      <c r="L5934" s="29">
        <f>IFERROR(E5934*C5934,0)</f>
      </c>
      <c r="M5934" s="29">
        <f>IFERROR((G5934*H5934*I5934/1000000)*D5934,0)</f>
      </c>
    </row>
    <row r="5935" spans="1:13" x14ac:dyDescent="0.25">
      <c r="A5935" s="16"/>
      <c r="E5935" s="27"/>
      <c r="F5935" t="s">
        <v>26</v>
      </c>
      <c r="G5935" s="28">
        <f>IFERROR(VLOOKUP(F5935,CARTON_LOOKUP!$A:$E,3,0),"")</f>
      </c>
      <c r="H5935" s="28">
        <f>IFERROR(VLOOKUP(F5935,CARTON_LOOKUP!$A:$E,4,0),"")</f>
      </c>
      <c r="I5935" s="28">
        <f>IFERROR(VLOOKUP(F5935,CARTON_LOOKUP!$A:$E,5,0),"")</f>
      </c>
      <c r="J5935" s="29">
        <f>IFERROR(VLOOKUP(F5935,CARTON_LOOKUP!$A:$E,2,0),"")</f>
      </c>
      <c r="K5935" s="29">
        <f>IFERROR(J5935*D5935,0)</f>
      </c>
      <c r="L5935" s="29">
        <f>IFERROR(E5935*C5935,0)</f>
      </c>
      <c r="M5935" s="29">
        <f>IFERROR((G5935*H5935*I5935/1000000)*D5935,0)</f>
      </c>
    </row>
    <row r="5936" spans="1:13" x14ac:dyDescent="0.25">
      <c r="A5936" s="16"/>
      <c r="E5936" s="27"/>
      <c r="F5936" t="s">
        <v>26</v>
      </c>
      <c r="G5936" s="28">
        <f>IFERROR(VLOOKUP(F5936,CARTON_LOOKUP!$A:$E,3,0),"")</f>
      </c>
      <c r="H5936" s="28">
        <f>IFERROR(VLOOKUP(F5936,CARTON_LOOKUP!$A:$E,4,0),"")</f>
      </c>
      <c r="I5936" s="28">
        <f>IFERROR(VLOOKUP(F5936,CARTON_LOOKUP!$A:$E,5,0),"")</f>
      </c>
      <c r="J5936" s="29">
        <f>IFERROR(VLOOKUP(F5936,CARTON_LOOKUP!$A:$E,2,0),"")</f>
      </c>
      <c r="K5936" s="29">
        <f>IFERROR(J5936*D5936,0)</f>
      </c>
      <c r="L5936" s="29">
        <f>IFERROR(E5936*C5936,0)</f>
      </c>
      <c r="M5936" s="29">
        <f>IFERROR((G5936*H5936*I5936/1000000)*D5936,0)</f>
      </c>
    </row>
    <row r="5937" spans="1:13" x14ac:dyDescent="0.25">
      <c r="A5937" s="16"/>
      <c r="E5937" s="27"/>
      <c r="F5937" t="s">
        <v>26</v>
      </c>
      <c r="G5937" s="28">
        <f>IFERROR(VLOOKUP(F5937,CARTON_LOOKUP!$A:$E,3,0),"")</f>
      </c>
      <c r="H5937" s="28">
        <f>IFERROR(VLOOKUP(F5937,CARTON_LOOKUP!$A:$E,4,0),"")</f>
      </c>
      <c r="I5937" s="28">
        <f>IFERROR(VLOOKUP(F5937,CARTON_LOOKUP!$A:$E,5,0),"")</f>
      </c>
      <c r="J5937" s="29">
        <f>IFERROR(VLOOKUP(F5937,CARTON_LOOKUP!$A:$E,2,0),"")</f>
      </c>
      <c r="K5937" s="29">
        <f>IFERROR(J5937*D5937,0)</f>
      </c>
      <c r="L5937" s="29">
        <f>IFERROR(E5937*C5937,0)</f>
      </c>
      <c r="M5937" s="29">
        <f>IFERROR((G5937*H5937*I5937/1000000)*D5937,0)</f>
      </c>
    </row>
    <row r="5938" spans="1:13" x14ac:dyDescent="0.25">
      <c r="A5938" s="16"/>
      <c r="E5938" s="27"/>
      <c r="F5938" t="s">
        <v>26</v>
      </c>
      <c r="G5938" s="28">
        <f>IFERROR(VLOOKUP(F5938,CARTON_LOOKUP!$A:$E,3,0),"")</f>
      </c>
      <c r="H5938" s="28">
        <f>IFERROR(VLOOKUP(F5938,CARTON_LOOKUP!$A:$E,4,0),"")</f>
      </c>
      <c r="I5938" s="28">
        <f>IFERROR(VLOOKUP(F5938,CARTON_LOOKUP!$A:$E,5,0),"")</f>
      </c>
      <c r="J5938" s="29">
        <f>IFERROR(VLOOKUP(F5938,CARTON_LOOKUP!$A:$E,2,0),"")</f>
      </c>
      <c r="K5938" s="29">
        <f>IFERROR(J5938*D5938,0)</f>
      </c>
      <c r="L5938" s="29">
        <f>IFERROR(E5938*C5938,0)</f>
      </c>
      <c r="M5938" s="29">
        <f>IFERROR((G5938*H5938*I5938/1000000)*D5938,0)</f>
      </c>
    </row>
    <row r="5939" spans="1:13" x14ac:dyDescent="0.25">
      <c r="A5939" s="16"/>
      <c r="E5939" s="27"/>
      <c r="F5939" t="s">
        <v>26</v>
      </c>
      <c r="G5939" s="28">
        <f>IFERROR(VLOOKUP(F5939,CARTON_LOOKUP!$A:$E,3,0),"")</f>
      </c>
      <c r="H5939" s="28">
        <f>IFERROR(VLOOKUP(F5939,CARTON_LOOKUP!$A:$E,4,0),"")</f>
      </c>
      <c r="I5939" s="28">
        <f>IFERROR(VLOOKUP(F5939,CARTON_LOOKUP!$A:$E,5,0),"")</f>
      </c>
      <c r="J5939" s="29">
        <f>IFERROR(VLOOKUP(F5939,CARTON_LOOKUP!$A:$E,2,0),"")</f>
      </c>
      <c r="K5939" s="29">
        <f>IFERROR(J5939*D5939,0)</f>
      </c>
      <c r="L5939" s="29">
        <f>IFERROR(E5939*C5939,0)</f>
      </c>
      <c r="M5939" s="29">
        <f>IFERROR((G5939*H5939*I5939/1000000)*D5939,0)</f>
      </c>
    </row>
    <row r="5940" spans="1:13" x14ac:dyDescent="0.25">
      <c r="A5940" s="16"/>
      <c r="E5940" s="27"/>
      <c r="F5940" t="s">
        <v>26</v>
      </c>
      <c r="G5940" s="28">
        <f>IFERROR(VLOOKUP(F5940,CARTON_LOOKUP!$A:$E,3,0),"")</f>
      </c>
      <c r="H5940" s="28">
        <f>IFERROR(VLOOKUP(F5940,CARTON_LOOKUP!$A:$E,4,0),"")</f>
      </c>
      <c r="I5940" s="28">
        <f>IFERROR(VLOOKUP(F5940,CARTON_LOOKUP!$A:$E,5,0),"")</f>
      </c>
      <c r="J5940" s="29">
        <f>IFERROR(VLOOKUP(F5940,CARTON_LOOKUP!$A:$E,2,0),"")</f>
      </c>
      <c r="K5940" s="29">
        <f>IFERROR(J5940*D5940,0)</f>
      </c>
      <c r="L5940" s="29">
        <f>IFERROR(E5940*C5940,0)</f>
      </c>
      <c r="M5940" s="29">
        <f>IFERROR((G5940*H5940*I5940/1000000)*D5940,0)</f>
      </c>
    </row>
    <row r="5941" spans="1:13" x14ac:dyDescent="0.25">
      <c r="A5941" s="16"/>
      <c r="E5941" s="27"/>
      <c r="F5941" t="s">
        <v>26</v>
      </c>
      <c r="G5941" s="28">
        <f>IFERROR(VLOOKUP(F5941,CARTON_LOOKUP!$A:$E,3,0),"")</f>
      </c>
      <c r="H5941" s="28">
        <f>IFERROR(VLOOKUP(F5941,CARTON_LOOKUP!$A:$E,4,0),"")</f>
      </c>
      <c r="I5941" s="28">
        <f>IFERROR(VLOOKUP(F5941,CARTON_LOOKUP!$A:$E,5,0),"")</f>
      </c>
      <c r="J5941" s="29">
        <f>IFERROR(VLOOKUP(F5941,CARTON_LOOKUP!$A:$E,2,0),"")</f>
      </c>
      <c r="K5941" s="29">
        <f>IFERROR(J5941*D5941,0)</f>
      </c>
      <c r="L5941" s="29">
        <f>IFERROR(E5941*C5941,0)</f>
      </c>
      <c r="M5941" s="29">
        <f>IFERROR((G5941*H5941*I5941/1000000)*D5941,0)</f>
      </c>
    </row>
    <row r="5942" spans="1:13" x14ac:dyDescent="0.25">
      <c r="A5942" s="16"/>
      <c r="E5942" s="27"/>
      <c r="F5942" t="s">
        <v>26</v>
      </c>
      <c r="G5942" s="28">
        <f>IFERROR(VLOOKUP(F5942,CARTON_LOOKUP!$A:$E,3,0),"")</f>
      </c>
      <c r="H5942" s="28">
        <f>IFERROR(VLOOKUP(F5942,CARTON_LOOKUP!$A:$E,4,0),"")</f>
      </c>
      <c r="I5942" s="28">
        <f>IFERROR(VLOOKUP(F5942,CARTON_LOOKUP!$A:$E,5,0),"")</f>
      </c>
      <c r="J5942" s="29">
        <f>IFERROR(VLOOKUP(F5942,CARTON_LOOKUP!$A:$E,2,0),"")</f>
      </c>
      <c r="K5942" s="29">
        <f>IFERROR(J5942*D5942,0)</f>
      </c>
      <c r="L5942" s="29">
        <f>IFERROR(E5942*C5942,0)</f>
      </c>
      <c r="M5942" s="29">
        <f>IFERROR((G5942*H5942*I5942/1000000)*D5942,0)</f>
      </c>
    </row>
    <row r="5943" spans="1:13" x14ac:dyDescent="0.25">
      <c r="A5943" s="16"/>
      <c r="E5943" s="27"/>
      <c r="F5943" t="s">
        <v>26</v>
      </c>
      <c r="G5943" s="28">
        <f>IFERROR(VLOOKUP(F5943,CARTON_LOOKUP!$A:$E,3,0),"")</f>
      </c>
      <c r="H5943" s="28">
        <f>IFERROR(VLOOKUP(F5943,CARTON_LOOKUP!$A:$E,4,0),"")</f>
      </c>
      <c r="I5943" s="28">
        <f>IFERROR(VLOOKUP(F5943,CARTON_LOOKUP!$A:$E,5,0),"")</f>
      </c>
      <c r="J5943" s="29">
        <f>IFERROR(VLOOKUP(F5943,CARTON_LOOKUP!$A:$E,2,0),"")</f>
      </c>
      <c r="K5943" s="29">
        <f>IFERROR(J5943*D5943,0)</f>
      </c>
      <c r="L5943" s="29">
        <f>IFERROR(E5943*C5943,0)</f>
      </c>
      <c r="M5943" s="29">
        <f>IFERROR((G5943*H5943*I5943/1000000)*D5943,0)</f>
      </c>
    </row>
    <row r="5944" spans="1:13" x14ac:dyDescent="0.25">
      <c r="A5944" s="16"/>
      <c r="E5944" s="27"/>
      <c r="F5944" t="s">
        <v>26</v>
      </c>
      <c r="G5944" s="28">
        <f>IFERROR(VLOOKUP(F5944,CARTON_LOOKUP!$A:$E,3,0),"")</f>
      </c>
      <c r="H5944" s="28">
        <f>IFERROR(VLOOKUP(F5944,CARTON_LOOKUP!$A:$E,4,0),"")</f>
      </c>
      <c r="I5944" s="28">
        <f>IFERROR(VLOOKUP(F5944,CARTON_LOOKUP!$A:$E,5,0),"")</f>
      </c>
      <c r="J5944" s="29">
        <f>IFERROR(VLOOKUP(F5944,CARTON_LOOKUP!$A:$E,2,0),"")</f>
      </c>
      <c r="K5944" s="29">
        <f>IFERROR(J5944*D5944,0)</f>
      </c>
      <c r="L5944" s="29">
        <f>IFERROR(E5944*C5944,0)</f>
      </c>
      <c r="M5944" s="29">
        <f>IFERROR((G5944*H5944*I5944/1000000)*D5944,0)</f>
      </c>
    </row>
    <row r="5945" spans="1:13" x14ac:dyDescent="0.25">
      <c r="A5945" s="16"/>
      <c r="E5945" s="27"/>
      <c r="F5945" t="s">
        <v>26</v>
      </c>
      <c r="G5945" s="28">
        <f>IFERROR(VLOOKUP(F5945,CARTON_LOOKUP!$A:$E,3,0),"")</f>
      </c>
      <c r="H5945" s="28">
        <f>IFERROR(VLOOKUP(F5945,CARTON_LOOKUP!$A:$E,4,0),"")</f>
      </c>
      <c r="I5945" s="28">
        <f>IFERROR(VLOOKUP(F5945,CARTON_LOOKUP!$A:$E,5,0),"")</f>
      </c>
      <c r="J5945" s="29">
        <f>IFERROR(VLOOKUP(F5945,CARTON_LOOKUP!$A:$E,2,0),"")</f>
      </c>
      <c r="K5945" s="29">
        <f>IFERROR(J5945*D5945,0)</f>
      </c>
      <c r="L5945" s="29">
        <f>IFERROR(E5945*C5945,0)</f>
      </c>
      <c r="M5945" s="29">
        <f>IFERROR((G5945*H5945*I5945/1000000)*D5945,0)</f>
      </c>
    </row>
    <row r="5946" spans="1:13" x14ac:dyDescent="0.25">
      <c r="A5946" s="16"/>
      <c r="E5946" s="27"/>
      <c r="F5946" t="s">
        <v>26</v>
      </c>
      <c r="G5946" s="28">
        <f>IFERROR(VLOOKUP(F5946,CARTON_LOOKUP!$A:$E,3,0),"")</f>
      </c>
      <c r="H5946" s="28">
        <f>IFERROR(VLOOKUP(F5946,CARTON_LOOKUP!$A:$E,4,0),"")</f>
      </c>
      <c r="I5946" s="28">
        <f>IFERROR(VLOOKUP(F5946,CARTON_LOOKUP!$A:$E,5,0),"")</f>
      </c>
      <c r="J5946" s="29">
        <f>IFERROR(VLOOKUP(F5946,CARTON_LOOKUP!$A:$E,2,0),"")</f>
      </c>
      <c r="K5946" s="29">
        <f>IFERROR(J5946*D5946,0)</f>
      </c>
      <c r="L5946" s="29">
        <f>IFERROR(E5946*C5946,0)</f>
      </c>
      <c r="M5946" s="29">
        <f>IFERROR((G5946*H5946*I5946/1000000)*D5946,0)</f>
      </c>
    </row>
    <row r="5947" spans="1:13" x14ac:dyDescent="0.25">
      <c r="A5947" s="16"/>
      <c r="E5947" s="27"/>
      <c r="F5947" t="s">
        <v>26</v>
      </c>
      <c r="G5947" s="28">
        <f>IFERROR(VLOOKUP(F5947,CARTON_LOOKUP!$A:$E,3,0),"")</f>
      </c>
      <c r="H5947" s="28">
        <f>IFERROR(VLOOKUP(F5947,CARTON_LOOKUP!$A:$E,4,0),"")</f>
      </c>
      <c r="I5947" s="28">
        <f>IFERROR(VLOOKUP(F5947,CARTON_LOOKUP!$A:$E,5,0),"")</f>
      </c>
      <c r="J5947" s="29">
        <f>IFERROR(VLOOKUP(F5947,CARTON_LOOKUP!$A:$E,2,0),"")</f>
      </c>
      <c r="K5947" s="29">
        <f>IFERROR(J5947*D5947,0)</f>
      </c>
      <c r="L5947" s="29">
        <f>IFERROR(E5947*C5947,0)</f>
      </c>
      <c r="M5947" s="29">
        <f>IFERROR((G5947*H5947*I5947/1000000)*D5947,0)</f>
      </c>
    </row>
    <row r="5948" spans="1:13" x14ac:dyDescent="0.25">
      <c r="A5948" s="16"/>
      <c r="E5948" s="27"/>
      <c r="F5948" t="s">
        <v>26</v>
      </c>
      <c r="G5948" s="28">
        <f>IFERROR(VLOOKUP(F5948,CARTON_LOOKUP!$A:$E,3,0),"")</f>
      </c>
      <c r="H5948" s="28">
        <f>IFERROR(VLOOKUP(F5948,CARTON_LOOKUP!$A:$E,4,0),"")</f>
      </c>
      <c r="I5948" s="28">
        <f>IFERROR(VLOOKUP(F5948,CARTON_LOOKUP!$A:$E,5,0),"")</f>
      </c>
      <c r="J5948" s="29">
        <f>IFERROR(VLOOKUP(F5948,CARTON_LOOKUP!$A:$E,2,0),"")</f>
      </c>
      <c r="K5948" s="29">
        <f>IFERROR(J5948*D5948,0)</f>
      </c>
      <c r="L5948" s="29">
        <f>IFERROR(E5948*C5948,0)</f>
      </c>
      <c r="M5948" s="29">
        <f>IFERROR((G5948*H5948*I5948/1000000)*D5948,0)</f>
      </c>
    </row>
    <row r="5949" spans="1:13" x14ac:dyDescent="0.25">
      <c r="A5949" s="16"/>
      <c r="E5949" s="27"/>
      <c r="F5949" t="s">
        <v>26</v>
      </c>
      <c r="G5949" s="28">
        <f>IFERROR(VLOOKUP(F5949,CARTON_LOOKUP!$A:$E,3,0),"")</f>
      </c>
      <c r="H5949" s="28">
        <f>IFERROR(VLOOKUP(F5949,CARTON_LOOKUP!$A:$E,4,0),"")</f>
      </c>
      <c r="I5949" s="28">
        <f>IFERROR(VLOOKUP(F5949,CARTON_LOOKUP!$A:$E,5,0),"")</f>
      </c>
      <c r="J5949" s="29">
        <f>IFERROR(VLOOKUP(F5949,CARTON_LOOKUP!$A:$E,2,0),"")</f>
      </c>
      <c r="K5949" s="29">
        <f>IFERROR(J5949*D5949,0)</f>
      </c>
      <c r="L5949" s="29">
        <f>IFERROR(E5949*C5949,0)</f>
      </c>
      <c r="M5949" s="29">
        <f>IFERROR((G5949*H5949*I5949/1000000)*D5949,0)</f>
      </c>
    </row>
    <row r="5950" spans="1:13" x14ac:dyDescent="0.25">
      <c r="A5950" s="16"/>
      <c r="E5950" s="27"/>
      <c r="F5950" t="s">
        <v>26</v>
      </c>
      <c r="G5950" s="28">
        <f>IFERROR(VLOOKUP(F5950,CARTON_LOOKUP!$A:$E,3,0),"")</f>
      </c>
      <c r="H5950" s="28">
        <f>IFERROR(VLOOKUP(F5950,CARTON_LOOKUP!$A:$E,4,0),"")</f>
      </c>
      <c r="I5950" s="28">
        <f>IFERROR(VLOOKUP(F5950,CARTON_LOOKUP!$A:$E,5,0),"")</f>
      </c>
      <c r="J5950" s="29">
        <f>IFERROR(VLOOKUP(F5950,CARTON_LOOKUP!$A:$E,2,0),"")</f>
      </c>
      <c r="K5950" s="29">
        <f>IFERROR(J5950*D5950,0)</f>
      </c>
      <c r="L5950" s="29">
        <f>IFERROR(E5950*C5950,0)</f>
      </c>
      <c r="M5950" s="29">
        <f>IFERROR((G5950*H5950*I5950/1000000)*D5950,0)</f>
      </c>
    </row>
    <row r="5951" spans="1:13" x14ac:dyDescent="0.25">
      <c r="A5951" s="16"/>
      <c r="E5951" s="27"/>
      <c r="F5951" t="s">
        <v>26</v>
      </c>
      <c r="G5951" s="28">
        <f>IFERROR(VLOOKUP(F5951,CARTON_LOOKUP!$A:$E,3,0),"")</f>
      </c>
      <c r="H5951" s="28">
        <f>IFERROR(VLOOKUP(F5951,CARTON_LOOKUP!$A:$E,4,0),"")</f>
      </c>
      <c r="I5951" s="28">
        <f>IFERROR(VLOOKUP(F5951,CARTON_LOOKUP!$A:$E,5,0),"")</f>
      </c>
      <c r="J5951" s="29">
        <f>IFERROR(VLOOKUP(F5951,CARTON_LOOKUP!$A:$E,2,0),"")</f>
      </c>
      <c r="K5951" s="29">
        <f>IFERROR(J5951*D5951,0)</f>
      </c>
      <c r="L5951" s="29">
        <f>IFERROR(E5951*C5951,0)</f>
      </c>
      <c r="M5951" s="29">
        <f>IFERROR((G5951*H5951*I5951/1000000)*D5951,0)</f>
      </c>
    </row>
    <row r="5952" spans="1:13" x14ac:dyDescent="0.25">
      <c r="A5952" s="16"/>
      <c r="E5952" s="27"/>
      <c r="F5952" t="s">
        <v>26</v>
      </c>
      <c r="G5952" s="28">
        <f>IFERROR(VLOOKUP(F5952,CARTON_LOOKUP!$A:$E,3,0),"")</f>
      </c>
      <c r="H5952" s="28">
        <f>IFERROR(VLOOKUP(F5952,CARTON_LOOKUP!$A:$E,4,0),"")</f>
      </c>
      <c r="I5952" s="28">
        <f>IFERROR(VLOOKUP(F5952,CARTON_LOOKUP!$A:$E,5,0),"")</f>
      </c>
      <c r="J5952" s="29">
        <f>IFERROR(VLOOKUP(F5952,CARTON_LOOKUP!$A:$E,2,0),"")</f>
      </c>
      <c r="K5952" s="29">
        <f>IFERROR(J5952*D5952,0)</f>
      </c>
      <c r="L5952" s="29">
        <f>IFERROR(E5952*C5952,0)</f>
      </c>
      <c r="M5952" s="29">
        <f>IFERROR((G5952*H5952*I5952/1000000)*D5952,0)</f>
      </c>
    </row>
    <row r="5953" spans="1:13" x14ac:dyDescent="0.25">
      <c r="A5953" s="16"/>
      <c r="E5953" s="27"/>
      <c r="F5953" t="s">
        <v>26</v>
      </c>
      <c r="G5953" s="28">
        <f>IFERROR(VLOOKUP(F5953,CARTON_LOOKUP!$A:$E,3,0),"")</f>
      </c>
      <c r="H5953" s="28">
        <f>IFERROR(VLOOKUP(F5953,CARTON_LOOKUP!$A:$E,4,0),"")</f>
      </c>
      <c r="I5953" s="28">
        <f>IFERROR(VLOOKUP(F5953,CARTON_LOOKUP!$A:$E,5,0),"")</f>
      </c>
      <c r="J5953" s="29">
        <f>IFERROR(VLOOKUP(F5953,CARTON_LOOKUP!$A:$E,2,0),"")</f>
      </c>
      <c r="K5953" s="29">
        <f>IFERROR(J5953*D5953,0)</f>
      </c>
      <c r="L5953" s="29">
        <f>IFERROR(E5953*C5953,0)</f>
      </c>
      <c r="M5953" s="29">
        <f>IFERROR((G5953*H5953*I5953/1000000)*D5953,0)</f>
      </c>
    </row>
    <row r="5954" spans="1:13" x14ac:dyDescent="0.25">
      <c r="A5954" s="16"/>
      <c r="E5954" s="27"/>
      <c r="F5954" t="s">
        <v>26</v>
      </c>
      <c r="G5954" s="28">
        <f>IFERROR(VLOOKUP(F5954,CARTON_LOOKUP!$A:$E,3,0),"")</f>
      </c>
      <c r="H5954" s="28">
        <f>IFERROR(VLOOKUP(F5954,CARTON_LOOKUP!$A:$E,4,0),"")</f>
      </c>
      <c r="I5954" s="28">
        <f>IFERROR(VLOOKUP(F5954,CARTON_LOOKUP!$A:$E,5,0),"")</f>
      </c>
      <c r="J5954" s="29">
        <f>IFERROR(VLOOKUP(F5954,CARTON_LOOKUP!$A:$E,2,0),"")</f>
      </c>
      <c r="K5954" s="29">
        <f>IFERROR(J5954*D5954,0)</f>
      </c>
      <c r="L5954" s="29">
        <f>IFERROR(E5954*C5954,0)</f>
      </c>
      <c r="M5954" s="29">
        <f>IFERROR((G5954*H5954*I5954/1000000)*D5954,0)</f>
      </c>
    </row>
    <row r="5955" spans="1:13" x14ac:dyDescent="0.25">
      <c r="A5955" s="16"/>
      <c r="E5955" s="27"/>
      <c r="F5955" t="s">
        <v>26</v>
      </c>
      <c r="G5955" s="28">
        <f>IFERROR(VLOOKUP(F5955,CARTON_LOOKUP!$A:$E,3,0),"")</f>
      </c>
      <c r="H5955" s="28">
        <f>IFERROR(VLOOKUP(F5955,CARTON_LOOKUP!$A:$E,4,0),"")</f>
      </c>
      <c r="I5955" s="28">
        <f>IFERROR(VLOOKUP(F5955,CARTON_LOOKUP!$A:$E,5,0),"")</f>
      </c>
      <c r="J5955" s="29">
        <f>IFERROR(VLOOKUP(F5955,CARTON_LOOKUP!$A:$E,2,0),"")</f>
      </c>
      <c r="K5955" s="29">
        <f>IFERROR(J5955*D5955,0)</f>
      </c>
      <c r="L5955" s="29">
        <f>IFERROR(E5955*C5955,0)</f>
      </c>
      <c r="M5955" s="29">
        <f>IFERROR((G5955*H5955*I5955/1000000)*D5955,0)</f>
      </c>
    </row>
    <row r="5956" spans="1:13" x14ac:dyDescent="0.25">
      <c r="A5956" s="16"/>
      <c r="E5956" s="27"/>
      <c r="F5956" t="s">
        <v>26</v>
      </c>
      <c r="G5956" s="28">
        <f>IFERROR(VLOOKUP(F5956,CARTON_LOOKUP!$A:$E,3,0),"")</f>
      </c>
      <c r="H5956" s="28">
        <f>IFERROR(VLOOKUP(F5956,CARTON_LOOKUP!$A:$E,4,0),"")</f>
      </c>
      <c r="I5956" s="28">
        <f>IFERROR(VLOOKUP(F5956,CARTON_LOOKUP!$A:$E,5,0),"")</f>
      </c>
      <c r="J5956" s="29">
        <f>IFERROR(VLOOKUP(F5956,CARTON_LOOKUP!$A:$E,2,0),"")</f>
      </c>
      <c r="K5956" s="29">
        <f>IFERROR(J5956*D5956,0)</f>
      </c>
      <c r="L5956" s="29">
        <f>IFERROR(E5956*C5956,0)</f>
      </c>
      <c r="M5956" s="29">
        <f>IFERROR((G5956*H5956*I5956/1000000)*D5956,0)</f>
      </c>
    </row>
    <row r="5957" spans="1:13" x14ac:dyDescent="0.25">
      <c r="A5957" s="16"/>
      <c r="E5957" s="27"/>
      <c r="F5957" t="s">
        <v>26</v>
      </c>
      <c r="G5957" s="28">
        <f>IFERROR(VLOOKUP(F5957,CARTON_LOOKUP!$A:$E,3,0),"")</f>
      </c>
      <c r="H5957" s="28">
        <f>IFERROR(VLOOKUP(F5957,CARTON_LOOKUP!$A:$E,4,0),"")</f>
      </c>
      <c r="I5957" s="28">
        <f>IFERROR(VLOOKUP(F5957,CARTON_LOOKUP!$A:$E,5,0),"")</f>
      </c>
      <c r="J5957" s="29">
        <f>IFERROR(VLOOKUP(F5957,CARTON_LOOKUP!$A:$E,2,0),"")</f>
      </c>
      <c r="K5957" s="29">
        <f>IFERROR(J5957*D5957,0)</f>
      </c>
      <c r="L5957" s="29">
        <f>IFERROR(E5957*C5957,0)</f>
      </c>
      <c r="M5957" s="29">
        <f>IFERROR((G5957*H5957*I5957/1000000)*D5957,0)</f>
      </c>
    </row>
    <row r="5958" spans="1:13" x14ac:dyDescent="0.25">
      <c r="A5958" s="16"/>
      <c r="E5958" s="27"/>
      <c r="F5958" t="s">
        <v>26</v>
      </c>
      <c r="G5958" s="28">
        <f>IFERROR(VLOOKUP(F5958,CARTON_LOOKUP!$A:$E,3,0),"")</f>
      </c>
      <c r="H5958" s="28">
        <f>IFERROR(VLOOKUP(F5958,CARTON_LOOKUP!$A:$E,4,0),"")</f>
      </c>
      <c r="I5958" s="28">
        <f>IFERROR(VLOOKUP(F5958,CARTON_LOOKUP!$A:$E,5,0),"")</f>
      </c>
      <c r="J5958" s="29">
        <f>IFERROR(VLOOKUP(F5958,CARTON_LOOKUP!$A:$E,2,0),"")</f>
      </c>
      <c r="K5958" s="29">
        <f>IFERROR(J5958*D5958,0)</f>
      </c>
      <c r="L5958" s="29">
        <f>IFERROR(E5958*C5958,0)</f>
      </c>
      <c r="M5958" s="29">
        <f>IFERROR((G5958*H5958*I5958/1000000)*D5958,0)</f>
      </c>
    </row>
    <row r="5959" spans="1:13" x14ac:dyDescent="0.25">
      <c r="A5959" s="16"/>
      <c r="E5959" s="27"/>
      <c r="F5959" t="s">
        <v>26</v>
      </c>
      <c r="G5959" s="28">
        <f>IFERROR(VLOOKUP(F5959,CARTON_LOOKUP!$A:$E,3,0),"")</f>
      </c>
      <c r="H5959" s="28">
        <f>IFERROR(VLOOKUP(F5959,CARTON_LOOKUP!$A:$E,4,0),"")</f>
      </c>
      <c r="I5959" s="28">
        <f>IFERROR(VLOOKUP(F5959,CARTON_LOOKUP!$A:$E,5,0),"")</f>
      </c>
      <c r="J5959" s="29">
        <f>IFERROR(VLOOKUP(F5959,CARTON_LOOKUP!$A:$E,2,0),"")</f>
      </c>
      <c r="K5959" s="29">
        <f>IFERROR(J5959*D5959,0)</f>
      </c>
      <c r="L5959" s="29">
        <f>IFERROR(E5959*C5959,0)</f>
      </c>
      <c r="M5959" s="29">
        <f>IFERROR((G5959*H5959*I5959/1000000)*D5959,0)</f>
      </c>
    </row>
    <row r="5960" spans="1:13" x14ac:dyDescent="0.25">
      <c r="A5960" s="16"/>
      <c r="E5960" s="27"/>
      <c r="F5960" t="s">
        <v>26</v>
      </c>
      <c r="G5960" s="28">
        <f>IFERROR(VLOOKUP(F5960,CARTON_LOOKUP!$A:$E,3,0),"")</f>
      </c>
      <c r="H5960" s="28">
        <f>IFERROR(VLOOKUP(F5960,CARTON_LOOKUP!$A:$E,4,0),"")</f>
      </c>
      <c r="I5960" s="28">
        <f>IFERROR(VLOOKUP(F5960,CARTON_LOOKUP!$A:$E,5,0),"")</f>
      </c>
      <c r="J5960" s="29">
        <f>IFERROR(VLOOKUP(F5960,CARTON_LOOKUP!$A:$E,2,0),"")</f>
      </c>
      <c r="K5960" s="29">
        <f>IFERROR(J5960*D5960,0)</f>
      </c>
      <c r="L5960" s="29">
        <f>IFERROR(E5960*C5960,0)</f>
      </c>
      <c r="M5960" s="29">
        <f>IFERROR((G5960*H5960*I5960/1000000)*D5960,0)</f>
      </c>
    </row>
    <row r="5961" spans="1:13" x14ac:dyDescent="0.25">
      <c r="A5961" s="16"/>
      <c r="E5961" s="27"/>
      <c r="F5961" t="s">
        <v>26</v>
      </c>
      <c r="G5961" s="28">
        <f>IFERROR(VLOOKUP(F5961,CARTON_LOOKUP!$A:$E,3,0),"")</f>
      </c>
      <c r="H5961" s="28">
        <f>IFERROR(VLOOKUP(F5961,CARTON_LOOKUP!$A:$E,4,0),"")</f>
      </c>
      <c r="I5961" s="28">
        <f>IFERROR(VLOOKUP(F5961,CARTON_LOOKUP!$A:$E,5,0),"")</f>
      </c>
      <c r="J5961" s="29">
        <f>IFERROR(VLOOKUP(F5961,CARTON_LOOKUP!$A:$E,2,0),"")</f>
      </c>
      <c r="K5961" s="29">
        <f>IFERROR(J5961*D5961,0)</f>
      </c>
      <c r="L5961" s="29">
        <f>IFERROR(E5961*C5961,0)</f>
      </c>
      <c r="M5961" s="29">
        <f>IFERROR((G5961*H5961*I5961/1000000)*D5961,0)</f>
      </c>
    </row>
    <row r="5962" spans="1:13" x14ac:dyDescent="0.25">
      <c r="A5962" s="16"/>
      <c r="E5962" s="27"/>
      <c r="F5962" t="s">
        <v>26</v>
      </c>
      <c r="G5962" s="28">
        <f>IFERROR(VLOOKUP(F5962,CARTON_LOOKUP!$A:$E,3,0),"")</f>
      </c>
      <c r="H5962" s="28">
        <f>IFERROR(VLOOKUP(F5962,CARTON_LOOKUP!$A:$E,4,0),"")</f>
      </c>
      <c r="I5962" s="28">
        <f>IFERROR(VLOOKUP(F5962,CARTON_LOOKUP!$A:$E,5,0),"")</f>
      </c>
      <c r="J5962" s="29">
        <f>IFERROR(VLOOKUP(F5962,CARTON_LOOKUP!$A:$E,2,0),"")</f>
      </c>
      <c r="K5962" s="29">
        <f>IFERROR(J5962*D5962,0)</f>
      </c>
      <c r="L5962" s="29">
        <f>IFERROR(E5962*C5962,0)</f>
      </c>
      <c r="M5962" s="29">
        <f>IFERROR((G5962*H5962*I5962/1000000)*D5962,0)</f>
      </c>
    </row>
    <row r="5963" spans="1:13" x14ac:dyDescent="0.25">
      <c r="A5963" s="16"/>
      <c r="E5963" s="27"/>
      <c r="F5963" t="s">
        <v>26</v>
      </c>
      <c r="G5963" s="28">
        <f>IFERROR(VLOOKUP(F5963,CARTON_LOOKUP!$A:$E,3,0),"")</f>
      </c>
      <c r="H5963" s="28">
        <f>IFERROR(VLOOKUP(F5963,CARTON_LOOKUP!$A:$E,4,0),"")</f>
      </c>
      <c r="I5963" s="28">
        <f>IFERROR(VLOOKUP(F5963,CARTON_LOOKUP!$A:$E,5,0),"")</f>
      </c>
      <c r="J5963" s="29">
        <f>IFERROR(VLOOKUP(F5963,CARTON_LOOKUP!$A:$E,2,0),"")</f>
      </c>
      <c r="K5963" s="29">
        <f>IFERROR(J5963*D5963,0)</f>
      </c>
      <c r="L5963" s="29">
        <f>IFERROR(E5963*C5963,0)</f>
      </c>
      <c r="M5963" s="29">
        <f>IFERROR((G5963*H5963*I5963/1000000)*D5963,0)</f>
      </c>
    </row>
    <row r="5964" spans="1:13" x14ac:dyDescent="0.25">
      <c r="A5964" s="16"/>
      <c r="E5964" s="27"/>
      <c r="F5964" t="s">
        <v>26</v>
      </c>
      <c r="G5964" s="28">
        <f>IFERROR(VLOOKUP(F5964,CARTON_LOOKUP!$A:$E,3,0),"")</f>
      </c>
      <c r="H5964" s="28">
        <f>IFERROR(VLOOKUP(F5964,CARTON_LOOKUP!$A:$E,4,0),"")</f>
      </c>
      <c r="I5964" s="28">
        <f>IFERROR(VLOOKUP(F5964,CARTON_LOOKUP!$A:$E,5,0),"")</f>
      </c>
      <c r="J5964" s="29">
        <f>IFERROR(VLOOKUP(F5964,CARTON_LOOKUP!$A:$E,2,0),"")</f>
      </c>
      <c r="K5964" s="29">
        <f>IFERROR(J5964*D5964,0)</f>
      </c>
      <c r="L5964" s="29">
        <f>IFERROR(E5964*C5964,0)</f>
      </c>
      <c r="M5964" s="29">
        <f>IFERROR((G5964*H5964*I5964/1000000)*D5964,0)</f>
      </c>
    </row>
    <row r="5965" spans="1:13" x14ac:dyDescent="0.25">
      <c r="A5965" s="16"/>
      <c r="E5965" s="27"/>
      <c r="F5965" t="s">
        <v>26</v>
      </c>
      <c r="G5965" s="28">
        <f>IFERROR(VLOOKUP(F5965,CARTON_LOOKUP!$A:$E,3,0),"")</f>
      </c>
      <c r="H5965" s="28">
        <f>IFERROR(VLOOKUP(F5965,CARTON_LOOKUP!$A:$E,4,0),"")</f>
      </c>
      <c r="I5965" s="28">
        <f>IFERROR(VLOOKUP(F5965,CARTON_LOOKUP!$A:$E,5,0),"")</f>
      </c>
      <c r="J5965" s="29">
        <f>IFERROR(VLOOKUP(F5965,CARTON_LOOKUP!$A:$E,2,0),"")</f>
      </c>
      <c r="K5965" s="29">
        <f>IFERROR(J5965*D5965,0)</f>
      </c>
      <c r="L5965" s="29">
        <f>IFERROR(E5965*C5965,0)</f>
      </c>
      <c r="M5965" s="29">
        <f>IFERROR((G5965*H5965*I5965/1000000)*D5965,0)</f>
      </c>
    </row>
    <row r="5966" spans="1:13" x14ac:dyDescent="0.25">
      <c r="A5966" s="16"/>
      <c r="E5966" s="27"/>
      <c r="F5966" t="s">
        <v>26</v>
      </c>
      <c r="G5966" s="28">
        <f>IFERROR(VLOOKUP(F5966,CARTON_LOOKUP!$A:$E,3,0),"")</f>
      </c>
      <c r="H5966" s="28">
        <f>IFERROR(VLOOKUP(F5966,CARTON_LOOKUP!$A:$E,4,0),"")</f>
      </c>
      <c r="I5966" s="28">
        <f>IFERROR(VLOOKUP(F5966,CARTON_LOOKUP!$A:$E,5,0),"")</f>
      </c>
      <c r="J5966" s="29">
        <f>IFERROR(VLOOKUP(F5966,CARTON_LOOKUP!$A:$E,2,0),"")</f>
      </c>
      <c r="K5966" s="29">
        <f>IFERROR(J5966*D5966,0)</f>
      </c>
      <c r="L5966" s="29">
        <f>IFERROR(E5966*C5966,0)</f>
      </c>
      <c r="M5966" s="29">
        <f>IFERROR((G5966*H5966*I5966/1000000)*D5966,0)</f>
      </c>
    </row>
    <row r="5967" spans="1:13" x14ac:dyDescent="0.25">
      <c r="A5967" s="16"/>
      <c r="E5967" s="27"/>
      <c r="F5967" t="s">
        <v>26</v>
      </c>
      <c r="G5967" s="28">
        <f>IFERROR(VLOOKUP(F5967,CARTON_LOOKUP!$A:$E,3,0),"")</f>
      </c>
      <c r="H5967" s="28">
        <f>IFERROR(VLOOKUP(F5967,CARTON_LOOKUP!$A:$E,4,0),"")</f>
      </c>
      <c r="I5967" s="28">
        <f>IFERROR(VLOOKUP(F5967,CARTON_LOOKUP!$A:$E,5,0),"")</f>
      </c>
      <c r="J5967" s="29">
        <f>IFERROR(VLOOKUP(F5967,CARTON_LOOKUP!$A:$E,2,0),"")</f>
      </c>
      <c r="K5967" s="29">
        <f>IFERROR(J5967*D5967,0)</f>
      </c>
      <c r="L5967" s="29">
        <f>IFERROR(E5967*C5967,0)</f>
      </c>
      <c r="M5967" s="29">
        <f>IFERROR((G5967*H5967*I5967/1000000)*D5967,0)</f>
      </c>
    </row>
    <row r="5968" spans="1:13" x14ac:dyDescent="0.25">
      <c r="A5968" s="16"/>
      <c r="E5968" s="27"/>
      <c r="F5968" t="s">
        <v>26</v>
      </c>
      <c r="G5968" s="28">
        <f>IFERROR(VLOOKUP(F5968,CARTON_LOOKUP!$A:$E,3,0),"")</f>
      </c>
      <c r="H5968" s="28">
        <f>IFERROR(VLOOKUP(F5968,CARTON_LOOKUP!$A:$E,4,0),"")</f>
      </c>
      <c r="I5968" s="28">
        <f>IFERROR(VLOOKUP(F5968,CARTON_LOOKUP!$A:$E,5,0),"")</f>
      </c>
      <c r="J5968" s="29">
        <f>IFERROR(VLOOKUP(F5968,CARTON_LOOKUP!$A:$E,2,0),"")</f>
      </c>
      <c r="K5968" s="29">
        <f>IFERROR(J5968*D5968,0)</f>
      </c>
      <c r="L5968" s="29">
        <f>IFERROR(E5968*C5968,0)</f>
      </c>
      <c r="M5968" s="29">
        <f>IFERROR((G5968*H5968*I5968/1000000)*D5968,0)</f>
      </c>
    </row>
    <row r="5969" spans="1:13" x14ac:dyDescent="0.25">
      <c r="A5969" s="16"/>
      <c r="E5969" s="27"/>
      <c r="F5969" t="s">
        <v>26</v>
      </c>
      <c r="G5969" s="28">
        <f>IFERROR(VLOOKUP(F5969,CARTON_LOOKUP!$A:$E,3,0),"")</f>
      </c>
      <c r="H5969" s="28">
        <f>IFERROR(VLOOKUP(F5969,CARTON_LOOKUP!$A:$E,4,0),"")</f>
      </c>
      <c r="I5969" s="28">
        <f>IFERROR(VLOOKUP(F5969,CARTON_LOOKUP!$A:$E,5,0),"")</f>
      </c>
      <c r="J5969" s="29">
        <f>IFERROR(VLOOKUP(F5969,CARTON_LOOKUP!$A:$E,2,0),"")</f>
      </c>
      <c r="K5969" s="29">
        <f>IFERROR(J5969*D5969,0)</f>
      </c>
      <c r="L5969" s="29">
        <f>IFERROR(E5969*C5969,0)</f>
      </c>
      <c r="M5969" s="29">
        <f>IFERROR((G5969*H5969*I5969/1000000)*D5969,0)</f>
      </c>
    </row>
    <row r="5970" spans="1:13" x14ac:dyDescent="0.25">
      <c r="A5970" s="16"/>
      <c r="E5970" s="27"/>
      <c r="F5970" t="s">
        <v>26</v>
      </c>
      <c r="G5970" s="28">
        <f>IFERROR(VLOOKUP(F5970,CARTON_LOOKUP!$A:$E,3,0),"")</f>
      </c>
      <c r="H5970" s="28">
        <f>IFERROR(VLOOKUP(F5970,CARTON_LOOKUP!$A:$E,4,0),"")</f>
      </c>
      <c r="I5970" s="28">
        <f>IFERROR(VLOOKUP(F5970,CARTON_LOOKUP!$A:$E,5,0),"")</f>
      </c>
      <c r="J5970" s="29">
        <f>IFERROR(VLOOKUP(F5970,CARTON_LOOKUP!$A:$E,2,0),"")</f>
      </c>
      <c r="K5970" s="29">
        <f>IFERROR(J5970*D5970,0)</f>
      </c>
      <c r="L5970" s="29">
        <f>IFERROR(E5970*C5970,0)</f>
      </c>
      <c r="M5970" s="29">
        <f>IFERROR((G5970*H5970*I5970/1000000)*D5970,0)</f>
      </c>
    </row>
    <row r="5971" spans="1:13" x14ac:dyDescent="0.25">
      <c r="A5971" s="16"/>
      <c r="E5971" s="27"/>
      <c r="F5971" t="s">
        <v>26</v>
      </c>
      <c r="G5971" s="28">
        <f>IFERROR(VLOOKUP(F5971,CARTON_LOOKUP!$A:$E,3,0),"")</f>
      </c>
      <c r="H5971" s="28">
        <f>IFERROR(VLOOKUP(F5971,CARTON_LOOKUP!$A:$E,4,0),"")</f>
      </c>
      <c r="I5971" s="28">
        <f>IFERROR(VLOOKUP(F5971,CARTON_LOOKUP!$A:$E,5,0),"")</f>
      </c>
      <c r="J5971" s="29">
        <f>IFERROR(VLOOKUP(F5971,CARTON_LOOKUP!$A:$E,2,0),"")</f>
      </c>
      <c r="K5971" s="29">
        <f>IFERROR(J5971*D5971,0)</f>
      </c>
      <c r="L5971" s="29">
        <f>IFERROR(E5971*C5971,0)</f>
      </c>
      <c r="M5971" s="29">
        <f>IFERROR((G5971*H5971*I5971/1000000)*D5971,0)</f>
      </c>
    </row>
    <row r="5972" spans="1:13" x14ac:dyDescent="0.25">
      <c r="A5972" s="16"/>
      <c r="E5972" s="27"/>
      <c r="F5972" t="s">
        <v>26</v>
      </c>
      <c r="G5972" s="28">
        <f>IFERROR(VLOOKUP(F5972,CARTON_LOOKUP!$A:$E,3,0),"")</f>
      </c>
      <c r="H5972" s="28">
        <f>IFERROR(VLOOKUP(F5972,CARTON_LOOKUP!$A:$E,4,0),"")</f>
      </c>
      <c r="I5972" s="28">
        <f>IFERROR(VLOOKUP(F5972,CARTON_LOOKUP!$A:$E,5,0),"")</f>
      </c>
      <c r="J5972" s="29">
        <f>IFERROR(VLOOKUP(F5972,CARTON_LOOKUP!$A:$E,2,0),"")</f>
      </c>
      <c r="K5972" s="29">
        <f>IFERROR(J5972*D5972,0)</f>
      </c>
      <c r="L5972" s="29">
        <f>IFERROR(E5972*C5972,0)</f>
      </c>
      <c r="M5972" s="29">
        <f>IFERROR((G5972*H5972*I5972/1000000)*D5972,0)</f>
      </c>
    </row>
    <row r="5973" spans="1:13" x14ac:dyDescent="0.25">
      <c r="A5973" s="16"/>
      <c r="E5973" s="27"/>
      <c r="F5973" t="s">
        <v>26</v>
      </c>
      <c r="G5973" s="28">
        <f>IFERROR(VLOOKUP(F5973,CARTON_LOOKUP!$A:$E,3,0),"")</f>
      </c>
      <c r="H5973" s="28">
        <f>IFERROR(VLOOKUP(F5973,CARTON_LOOKUP!$A:$E,4,0),"")</f>
      </c>
      <c r="I5973" s="28">
        <f>IFERROR(VLOOKUP(F5973,CARTON_LOOKUP!$A:$E,5,0),"")</f>
      </c>
      <c r="J5973" s="29">
        <f>IFERROR(VLOOKUP(F5973,CARTON_LOOKUP!$A:$E,2,0),"")</f>
      </c>
      <c r="K5973" s="29">
        <f>IFERROR(J5973*D5973,0)</f>
      </c>
      <c r="L5973" s="29">
        <f>IFERROR(E5973*C5973,0)</f>
      </c>
      <c r="M5973" s="29">
        <f>IFERROR((G5973*H5973*I5973/1000000)*D5973,0)</f>
      </c>
    </row>
    <row r="5974" spans="1:13" x14ac:dyDescent="0.25">
      <c r="A5974" s="16"/>
      <c r="E5974" s="27"/>
      <c r="F5974" t="s">
        <v>26</v>
      </c>
      <c r="G5974" s="28">
        <f>IFERROR(VLOOKUP(F5974,CARTON_LOOKUP!$A:$E,3,0),"")</f>
      </c>
      <c r="H5974" s="28">
        <f>IFERROR(VLOOKUP(F5974,CARTON_LOOKUP!$A:$E,4,0),"")</f>
      </c>
      <c r="I5974" s="28">
        <f>IFERROR(VLOOKUP(F5974,CARTON_LOOKUP!$A:$E,5,0),"")</f>
      </c>
      <c r="J5974" s="29">
        <f>IFERROR(VLOOKUP(F5974,CARTON_LOOKUP!$A:$E,2,0),"")</f>
      </c>
      <c r="K5974" s="29">
        <f>IFERROR(J5974*D5974,0)</f>
      </c>
      <c r="L5974" s="29">
        <f>IFERROR(E5974*C5974,0)</f>
      </c>
      <c r="M5974" s="29">
        <f>IFERROR((G5974*H5974*I5974/1000000)*D5974,0)</f>
      </c>
    </row>
    <row r="5975" spans="1:13" x14ac:dyDescent="0.25">
      <c r="A5975" s="16"/>
      <c r="E5975" s="27"/>
      <c r="F5975" t="s">
        <v>26</v>
      </c>
      <c r="G5975" s="28">
        <f>IFERROR(VLOOKUP(F5975,CARTON_LOOKUP!$A:$E,3,0),"")</f>
      </c>
      <c r="H5975" s="28">
        <f>IFERROR(VLOOKUP(F5975,CARTON_LOOKUP!$A:$E,4,0),"")</f>
      </c>
      <c r="I5975" s="28">
        <f>IFERROR(VLOOKUP(F5975,CARTON_LOOKUP!$A:$E,5,0),"")</f>
      </c>
      <c r="J5975" s="29">
        <f>IFERROR(VLOOKUP(F5975,CARTON_LOOKUP!$A:$E,2,0),"")</f>
      </c>
      <c r="K5975" s="29">
        <f>IFERROR(J5975*D5975,0)</f>
      </c>
      <c r="L5975" s="29">
        <f>IFERROR(E5975*C5975,0)</f>
      </c>
      <c r="M5975" s="29">
        <f>IFERROR((G5975*H5975*I5975/1000000)*D5975,0)</f>
      </c>
    </row>
    <row r="5976" spans="1:13" x14ac:dyDescent="0.25">
      <c r="A5976" s="16"/>
      <c r="E5976" s="27"/>
      <c r="F5976" t="s">
        <v>26</v>
      </c>
      <c r="G5976" s="28">
        <f>IFERROR(VLOOKUP(F5976,CARTON_LOOKUP!$A:$E,3,0),"")</f>
      </c>
      <c r="H5976" s="28">
        <f>IFERROR(VLOOKUP(F5976,CARTON_LOOKUP!$A:$E,4,0),"")</f>
      </c>
      <c r="I5976" s="28">
        <f>IFERROR(VLOOKUP(F5976,CARTON_LOOKUP!$A:$E,5,0),"")</f>
      </c>
      <c r="J5976" s="29">
        <f>IFERROR(VLOOKUP(F5976,CARTON_LOOKUP!$A:$E,2,0),"")</f>
      </c>
      <c r="K5976" s="29">
        <f>IFERROR(J5976*D5976,0)</f>
      </c>
      <c r="L5976" s="29">
        <f>IFERROR(E5976*C5976,0)</f>
      </c>
      <c r="M5976" s="29">
        <f>IFERROR((G5976*H5976*I5976/1000000)*D5976,0)</f>
      </c>
    </row>
    <row r="5977" spans="1:13" x14ac:dyDescent="0.25">
      <c r="A5977" s="16"/>
      <c r="E5977" s="27"/>
      <c r="F5977" t="s">
        <v>26</v>
      </c>
      <c r="G5977" s="28">
        <f>IFERROR(VLOOKUP(F5977,CARTON_LOOKUP!$A:$E,3,0),"")</f>
      </c>
      <c r="H5977" s="28">
        <f>IFERROR(VLOOKUP(F5977,CARTON_LOOKUP!$A:$E,4,0),"")</f>
      </c>
      <c r="I5977" s="28">
        <f>IFERROR(VLOOKUP(F5977,CARTON_LOOKUP!$A:$E,5,0),"")</f>
      </c>
      <c r="J5977" s="29">
        <f>IFERROR(VLOOKUP(F5977,CARTON_LOOKUP!$A:$E,2,0),"")</f>
      </c>
      <c r="K5977" s="29">
        <f>IFERROR(J5977*D5977,0)</f>
      </c>
      <c r="L5977" s="29">
        <f>IFERROR(E5977*C5977,0)</f>
      </c>
      <c r="M5977" s="29">
        <f>IFERROR((G5977*H5977*I5977/1000000)*D5977,0)</f>
      </c>
    </row>
    <row r="5978" spans="1:13" x14ac:dyDescent="0.25">
      <c r="A5978" s="16"/>
      <c r="E5978" s="27"/>
      <c r="F5978" t="s">
        <v>26</v>
      </c>
      <c r="G5978" s="28">
        <f>IFERROR(VLOOKUP(F5978,CARTON_LOOKUP!$A:$E,3,0),"")</f>
      </c>
      <c r="H5978" s="28">
        <f>IFERROR(VLOOKUP(F5978,CARTON_LOOKUP!$A:$E,4,0),"")</f>
      </c>
      <c r="I5978" s="28">
        <f>IFERROR(VLOOKUP(F5978,CARTON_LOOKUP!$A:$E,5,0),"")</f>
      </c>
      <c r="J5978" s="29">
        <f>IFERROR(VLOOKUP(F5978,CARTON_LOOKUP!$A:$E,2,0),"")</f>
      </c>
      <c r="K5978" s="29">
        <f>IFERROR(J5978*D5978,0)</f>
      </c>
      <c r="L5978" s="29">
        <f>IFERROR(E5978*C5978,0)</f>
      </c>
      <c r="M5978" s="29">
        <f>IFERROR((G5978*H5978*I5978/1000000)*D5978,0)</f>
      </c>
    </row>
    <row r="5979" spans="1:13" x14ac:dyDescent="0.25">
      <c r="A5979" s="16"/>
      <c r="E5979" s="27"/>
      <c r="F5979" t="s">
        <v>26</v>
      </c>
      <c r="G5979" s="28">
        <f>IFERROR(VLOOKUP(F5979,CARTON_LOOKUP!$A:$E,3,0),"")</f>
      </c>
      <c r="H5979" s="28">
        <f>IFERROR(VLOOKUP(F5979,CARTON_LOOKUP!$A:$E,4,0),"")</f>
      </c>
      <c r="I5979" s="28">
        <f>IFERROR(VLOOKUP(F5979,CARTON_LOOKUP!$A:$E,5,0),"")</f>
      </c>
      <c r="J5979" s="29">
        <f>IFERROR(VLOOKUP(F5979,CARTON_LOOKUP!$A:$E,2,0),"")</f>
      </c>
      <c r="K5979" s="29">
        <f>IFERROR(J5979*D5979,0)</f>
      </c>
      <c r="L5979" s="29">
        <f>IFERROR(E5979*C5979,0)</f>
      </c>
      <c r="M5979" s="29">
        <f>IFERROR((G5979*H5979*I5979/1000000)*D5979,0)</f>
      </c>
    </row>
    <row r="5980" spans="1:13" x14ac:dyDescent="0.25">
      <c r="A5980" s="16"/>
      <c r="E5980" s="27"/>
      <c r="F5980" t="s">
        <v>26</v>
      </c>
      <c r="G5980" s="28">
        <f>IFERROR(VLOOKUP(F5980,CARTON_LOOKUP!$A:$E,3,0),"")</f>
      </c>
      <c r="H5980" s="28">
        <f>IFERROR(VLOOKUP(F5980,CARTON_LOOKUP!$A:$E,4,0),"")</f>
      </c>
      <c r="I5980" s="28">
        <f>IFERROR(VLOOKUP(F5980,CARTON_LOOKUP!$A:$E,5,0),"")</f>
      </c>
      <c r="J5980" s="29">
        <f>IFERROR(VLOOKUP(F5980,CARTON_LOOKUP!$A:$E,2,0),"")</f>
      </c>
      <c r="K5980" s="29">
        <f>IFERROR(J5980*D5980,0)</f>
      </c>
      <c r="L5980" s="29">
        <f>IFERROR(E5980*C5980,0)</f>
      </c>
      <c r="M5980" s="29">
        <f>IFERROR((G5980*H5980*I5980/1000000)*D5980,0)</f>
      </c>
    </row>
    <row r="5981" spans="1:13" x14ac:dyDescent="0.25">
      <c r="A5981" s="16"/>
      <c r="E5981" s="27"/>
      <c r="F5981" t="s">
        <v>26</v>
      </c>
      <c r="G5981" s="28">
        <f>IFERROR(VLOOKUP(F5981,CARTON_LOOKUP!$A:$E,3,0),"")</f>
      </c>
      <c r="H5981" s="28">
        <f>IFERROR(VLOOKUP(F5981,CARTON_LOOKUP!$A:$E,4,0),"")</f>
      </c>
      <c r="I5981" s="28">
        <f>IFERROR(VLOOKUP(F5981,CARTON_LOOKUP!$A:$E,5,0),"")</f>
      </c>
      <c r="J5981" s="29">
        <f>IFERROR(VLOOKUP(F5981,CARTON_LOOKUP!$A:$E,2,0),"")</f>
      </c>
      <c r="K5981" s="29">
        <f>IFERROR(J5981*D5981,0)</f>
      </c>
      <c r="L5981" s="29">
        <f>IFERROR(E5981*C5981,0)</f>
      </c>
      <c r="M5981" s="29">
        <f>IFERROR((G5981*H5981*I5981/1000000)*D5981,0)</f>
      </c>
    </row>
    <row r="5982" spans="1:13" x14ac:dyDescent="0.25">
      <c r="A5982" s="16"/>
      <c r="E5982" s="27"/>
      <c r="F5982" t="s">
        <v>26</v>
      </c>
      <c r="G5982" s="28">
        <f>IFERROR(VLOOKUP(F5982,CARTON_LOOKUP!$A:$E,3,0),"")</f>
      </c>
      <c r="H5982" s="28">
        <f>IFERROR(VLOOKUP(F5982,CARTON_LOOKUP!$A:$E,4,0),"")</f>
      </c>
      <c r="I5982" s="28">
        <f>IFERROR(VLOOKUP(F5982,CARTON_LOOKUP!$A:$E,5,0),"")</f>
      </c>
      <c r="J5982" s="29">
        <f>IFERROR(VLOOKUP(F5982,CARTON_LOOKUP!$A:$E,2,0),"")</f>
      </c>
      <c r="K5982" s="29">
        <f>IFERROR(J5982*D5982,0)</f>
      </c>
      <c r="L5982" s="29">
        <f>IFERROR(E5982*C5982,0)</f>
      </c>
      <c r="M5982" s="29">
        <f>IFERROR((G5982*H5982*I5982/1000000)*D5982,0)</f>
      </c>
    </row>
    <row r="5983" spans="1:13" x14ac:dyDescent="0.25">
      <c r="A5983" s="16"/>
      <c r="E5983" s="27"/>
      <c r="F5983" t="s">
        <v>26</v>
      </c>
      <c r="G5983" s="28">
        <f>IFERROR(VLOOKUP(F5983,CARTON_LOOKUP!$A:$E,3,0),"")</f>
      </c>
      <c r="H5983" s="28">
        <f>IFERROR(VLOOKUP(F5983,CARTON_LOOKUP!$A:$E,4,0),"")</f>
      </c>
      <c r="I5983" s="28">
        <f>IFERROR(VLOOKUP(F5983,CARTON_LOOKUP!$A:$E,5,0),"")</f>
      </c>
      <c r="J5983" s="29">
        <f>IFERROR(VLOOKUP(F5983,CARTON_LOOKUP!$A:$E,2,0),"")</f>
      </c>
      <c r="K5983" s="29">
        <f>IFERROR(J5983*D5983,0)</f>
      </c>
      <c r="L5983" s="29">
        <f>IFERROR(E5983*C5983,0)</f>
      </c>
      <c r="M5983" s="29">
        <f>IFERROR((G5983*H5983*I5983/1000000)*D5983,0)</f>
      </c>
    </row>
    <row r="5984" spans="1:13" x14ac:dyDescent="0.25">
      <c r="A5984" s="16"/>
      <c r="E5984" s="27"/>
      <c r="F5984" t="s">
        <v>26</v>
      </c>
      <c r="G5984" s="28">
        <f>IFERROR(VLOOKUP(F5984,CARTON_LOOKUP!$A:$E,3,0),"")</f>
      </c>
      <c r="H5984" s="28">
        <f>IFERROR(VLOOKUP(F5984,CARTON_LOOKUP!$A:$E,4,0),"")</f>
      </c>
      <c r="I5984" s="28">
        <f>IFERROR(VLOOKUP(F5984,CARTON_LOOKUP!$A:$E,5,0),"")</f>
      </c>
      <c r="J5984" s="29">
        <f>IFERROR(VLOOKUP(F5984,CARTON_LOOKUP!$A:$E,2,0),"")</f>
      </c>
      <c r="K5984" s="29">
        <f>IFERROR(J5984*D5984,0)</f>
      </c>
      <c r="L5984" s="29">
        <f>IFERROR(E5984*C5984,0)</f>
      </c>
      <c r="M5984" s="29">
        <f>IFERROR((G5984*H5984*I5984/1000000)*D5984,0)</f>
      </c>
    </row>
    <row r="5985" spans="1:13" x14ac:dyDescent="0.25">
      <c r="A5985" s="16"/>
      <c r="E5985" s="27"/>
      <c r="F5985" t="s">
        <v>26</v>
      </c>
      <c r="G5985" s="28">
        <f>IFERROR(VLOOKUP(F5985,CARTON_LOOKUP!$A:$E,3,0),"")</f>
      </c>
      <c r="H5985" s="28">
        <f>IFERROR(VLOOKUP(F5985,CARTON_LOOKUP!$A:$E,4,0),"")</f>
      </c>
      <c r="I5985" s="28">
        <f>IFERROR(VLOOKUP(F5985,CARTON_LOOKUP!$A:$E,5,0),"")</f>
      </c>
      <c r="J5985" s="29">
        <f>IFERROR(VLOOKUP(F5985,CARTON_LOOKUP!$A:$E,2,0),"")</f>
      </c>
      <c r="K5985" s="29">
        <f>IFERROR(J5985*D5985,0)</f>
      </c>
      <c r="L5985" s="29">
        <f>IFERROR(E5985*C5985,0)</f>
      </c>
      <c r="M5985" s="29">
        <f>IFERROR((G5985*H5985*I5985/1000000)*D5985,0)</f>
      </c>
    </row>
    <row r="5986" spans="1:13" x14ac:dyDescent="0.25">
      <c r="A5986" s="16"/>
      <c r="E5986" s="27"/>
      <c r="F5986" t="s">
        <v>26</v>
      </c>
      <c r="G5986" s="28">
        <f>IFERROR(VLOOKUP(F5986,CARTON_LOOKUP!$A:$E,3,0),"")</f>
      </c>
      <c r="H5986" s="28">
        <f>IFERROR(VLOOKUP(F5986,CARTON_LOOKUP!$A:$E,4,0),"")</f>
      </c>
      <c r="I5986" s="28">
        <f>IFERROR(VLOOKUP(F5986,CARTON_LOOKUP!$A:$E,5,0),"")</f>
      </c>
      <c r="J5986" s="29">
        <f>IFERROR(VLOOKUP(F5986,CARTON_LOOKUP!$A:$E,2,0),"")</f>
      </c>
      <c r="K5986" s="29">
        <f>IFERROR(J5986*D5986,0)</f>
      </c>
      <c r="L5986" s="29">
        <f>IFERROR(E5986*C5986,0)</f>
      </c>
      <c r="M5986" s="29">
        <f>IFERROR((G5986*H5986*I5986/1000000)*D5986,0)</f>
      </c>
    </row>
    <row r="5987" spans="1:13" x14ac:dyDescent="0.25">
      <c r="A5987" s="16"/>
      <c r="E5987" s="27"/>
      <c r="F5987" t="s">
        <v>26</v>
      </c>
      <c r="G5987" s="28">
        <f>IFERROR(VLOOKUP(F5987,CARTON_LOOKUP!$A:$E,3,0),"")</f>
      </c>
      <c r="H5987" s="28">
        <f>IFERROR(VLOOKUP(F5987,CARTON_LOOKUP!$A:$E,4,0),"")</f>
      </c>
      <c r="I5987" s="28">
        <f>IFERROR(VLOOKUP(F5987,CARTON_LOOKUP!$A:$E,5,0),"")</f>
      </c>
      <c r="J5987" s="29">
        <f>IFERROR(VLOOKUP(F5987,CARTON_LOOKUP!$A:$E,2,0),"")</f>
      </c>
      <c r="K5987" s="29">
        <f>IFERROR(J5987*D5987,0)</f>
      </c>
      <c r="L5987" s="29">
        <f>IFERROR(E5987*C5987,0)</f>
      </c>
      <c r="M5987" s="29">
        <f>IFERROR((G5987*H5987*I5987/1000000)*D5987,0)</f>
      </c>
    </row>
    <row r="5988" spans="1:13" x14ac:dyDescent="0.25">
      <c r="A5988" s="16"/>
      <c r="E5988" s="27"/>
      <c r="F5988" t="s">
        <v>26</v>
      </c>
      <c r="G5988" s="28">
        <f>IFERROR(VLOOKUP(F5988,CARTON_LOOKUP!$A:$E,3,0),"")</f>
      </c>
      <c r="H5988" s="28">
        <f>IFERROR(VLOOKUP(F5988,CARTON_LOOKUP!$A:$E,4,0),"")</f>
      </c>
      <c r="I5988" s="28">
        <f>IFERROR(VLOOKUP(F5988,CARTON_LOOKUP!$A:$E,5,0),"")</f>
      </c>
      <c r="J5988" s="29">
        <f>IFERROR(VLOOKUP(F5988,CARTON_LOOKUP!$A:$E,2,0),"")</f>
      </c>
      <c r="K5988" s="29">
        <f>IFERROR(J5988*D5988,0)</f>
      </c>
      <c r="L5988" s="29">
        <f>IFERROR(E5988*C5988,0)</f>
      </c>
      <c r="M5988" s="29">
        <f>IFERROR((G5988*H5988*I5988/1000000)*D5988,0)</f>
      </c>
    </row>
    <row r="5989" spans="1:13" x14ac:dyDescent="0.25">
      <c r="A5989" s="16"/>
      <c r="E5989" s="27"/>
      <c r="F5989" t="s">
        <v>26</v>
      </c>
      <c r="G5989" s="28">
        <f>IFERROR(VLOOKUP(F5989,CARTON_LOOKUP!$A:$E,3,0),"")</f>
      </c>
      <c r="H5989" s="28">
        <f>IFERROR(VLOOKUP(F5989,CARTON_LOOKUP!$A:$E,4,0),"")</f>
      </c>
      <c r="I5989" s="28">
        <f>IFERROR(VLOOKUP(F5989,CARTON_LOOKUP!$A:$E,5,0),"")</f>
      </c>
      <c r="J5989" s="29">
        <f>IFERROR(VLOOKUP(F5989,CARTON_LOOKUP!$A:$E,2,0),"")</f>
      </c>
      <c r="K5989" s="29">
        <f>IFERROR(J5989*D5989,0)</f>
      </c>
      <c r="L5989" s="29">
        <f>IFERROR(E5989*C5989,0)</f>
      </c>
      <c r="M5989" s="29">
        <f>IFERROR((G5989*H5989*I5989/1000000)*D5989,0)</f>
      </c>
    </row>
    <row r="5990" spans="1:13" x14ac:dyDescent="0.25">
      <c r="A5990" s="16"/>
      <c r="E5990" s="27"/>
      <c r="F5990" t="s">
        <v>26</v>
      </c>
      <c r="G5990" s="28">
        <f>IFERROR(VLOOKUP(F5990,CARTON_LOOKUP!$A:$E,3,0),"")</f>
      </c>
      <c r="H5990" s="28">
        <f>IFERROR(VLOOKUP(F5990,CARTON_LOOKUP!$A:$E,4,0),"")</f>
      </c>
      <c r="I5990" s="28">
        <f>IFERROR(VLOOKUP(F5990,CARTON_LOOKUP!$A:$E,5,0),"")</f>
      </c>
      <c r="J5990" s="29">
        <f>IFERROR(VLOOKUP(F5990,CARTON_LOOKUP!$A:$E,2,0),"")</f>
      </c>
      <c r="K5990" s="29">
        <f>IFERROR(J5990*D5990,0)</f>
      </c>
      <c r="L5990" s="29">
        <f>IFERROR(E5990*C5990,0)</f>
      </c>
      <c r="M5990" s="29">
        <f>IFERROR((G5990*H5990*I5990/1000000)*D5990,0)</f>
      </c>
    </row>
    <row r="5991" spans="1:13" x14ac:dyDescent="0.25">
      <c r="A5991" s="16"/>
      <c r="E5991" s="27"/>
      <c r="F5991" t="s">
        <v>26</v>
      </c>
      <c r="G5991" s="28">
        <f>IFERROR(VLOOKUP(F5991,CARTON_LOOKUP!$A:$E,3,0),"")</f>
      </c>
      <c r="H5991" s="28">
        <f>IFERROR(VLOOKUP(F5991,CARTON_LOOKUP!$A:$E,4,0),"")</f>
      </c>
      <c r="I5991" s="28">
        <f>IFERROR(VLOOKUP(F5991,CARTON_LOOKUP!$A:$E,5,0),"")</f>
      </c>
      <c r="J5991" s="29">
        <f>IFERROR(VLOOKUP(F5991,CARTON_LOOKUP!$A:$E,2,0),"")</f>
      </c>
      <c r="K5991" s="29">
        <f>IFERROR(J5991*D5991,0)</f>
      </c>
      <c r="L5991" s="29">
        <f>IFERROR(E5991*C5991,0)</f>
      </c>
      <c r="M5991" s="29">
        <f>IFERROR((G5991*H5991*I5991/1000000)*D5991,0)</f>
      </c>
    </row>
    <row r="5992" spans="1:13" x14ac:dyDescent="0.25">
      <c r="A5992" s="16"/>
      <c r="E5992" s="27"/>
      <c r="F5992" t="s">
        <v>26</v>
      </c>
      <c r="G5992" s="28">
        <f>IFERROR(VLOOKUP(F5992,CARTON_LOOKUP!$A:$E,3,0),"")</f>
      </c>
      <c r="H5992" s="28">
        <f>IFERROR(VLOOKUP(F5992,CARTON_LOOKUP!$A:$E,4,0),"")</f>
      </c>
      <c r="I5992" s="28">
        <f>IFERROR(VLOOKUP(F5992,CARTON_LOOKUP!$A:$E,5,0),"")</f>
      </c>
      <c r="J5992" s="29">
        <f>IFERROR(VLOOKUP(F5992,CARTON_LOOKUP!$A:$E,2,0),"")</f>
      </c>
      <c r="K5992" s="29">
        <f>IFERROR(J5992*D5992,0)</f>
      </c>
      <c r="L5992" s="29">
        <f>IFERROR(E5992*C5992,0)</f>
      </c>
      <c r="M5992" s="29">
        <f>IFERROR((G5992*H5992*I5992/1000000)*D5992,0)</f>
      </c>
    </row>
    <row r="5993" spans="1:13" x14ac:dyDescent="0.25">
      <c r="A5993" s="16"/>
      <c r="E5993" s="27"/>
      <c r="F5993" t="s">
        <v>26</v>
      </c>
      <c r="G5993" s="28">
        <f>IFERROR(VLOOKUP(F5993,CARTON_LOOKUP!$A:$E,3,0),"")</f>
      </c>
      <c r="H5993" s="28">
        <f>IFERROR(VLOOKUP(F5993,CARTON_LOOKUP!$A:$E,4,0),"")</f>
      </c>
      <c r="I5993" s="28">
        <f>IFERROR(VLOOKUP(F5993,CARTON_LOOKUP!$A:$E,5,0),"")</f>
      </c>
      <c r="J5993" s="29">
        <f>IFERROR(VLOOKUP(F5993,CARTON_LOOKUP!$A:$E,2,0),"")</f>
      </c>
      <c r="K5993" s="29">
        <f>IFERROR(J5993*D5993,0)</f>
      </c>
      <c r="L5993" s="29">
        <f>IFERROR(E5993*C5993,0)</f>
      </c>
      <c r="M5993" s="29">
        <f>IFERROR((G5993*H5993*I5993/1000000)*D5993,0)</f>
      </c>
    </row>
    <row r="5994" spans="1:13" x14ac:dyDescent="0.25">
      <c r="A5994" s="16"/>
      <c r="E5994" s="27"/>
      <c r="F5994" t="s">
        <v>26</v>
      </c>
      <c r="G5994" s="28">
        <f>IFERROR(VLOOKUP(F5994,CARTON_LOOKUP!$A:$E,3,0),"")</f>
      </c>
      <c r="H5994" s="28">
        <f>IFERROR(VLOOKUP(F5994,CARTON_LOOKUP!$A:$E,4,0),"")</f>
      </c>
      <c r="I5994" s="28">
        <f>IFERROR(VLOOKUP(F5994,CARTON_LOOKUP!$A:$E,5,0),"")</f>
      </c>
      <c r="J5994" s="29">
        <f>IFERROR(VLOOKUP(F5994,CARTON_LOOKUP!$A:$E,2,0),"")</f>
      </c>
      <c r="K5994" s="29">
        <f>IFERROR(J5994*D5994,0)</f>
      </c>
      <c r="L5994" s="29">
        <f>IFERROR(E5994*C5994,0)</f>
      </c>
      <c r="M5994" s="29">
        <f>IFERROR((G5994*H5994*I5994/1000000)*D5994,0)</f>
      </c>
    </row>
    <row r="5995" spans="1:13" x14ac:dyDescent="0.25">
      <c r="A5995" s="16"/>
      <c r="E5995" s="27"/>
      <c r="F5995" t="s">
        <v>26</v>
      </c>
      <c r="G5995" s="28">
        <f>IFERROR(VLOOKUP(F5995,CARTON_LOOKUP!$A:$E,3,0),"")</f>
      </c>
      <c r="H5995" s="28">
        <f>IFERROR(VLOOKUP(F5995,CARTON_LOOKUP!$A:$E,4,0),"")</f>
      </c>
      <c r="I5995" s="28">
        <f>IFERROR(VLOOKUP(F5995,CARTON_LOOKUP!$A:$E,5,0),"")</f>
      </c>
      <c r="J5995" s="29">
        <f>IFERROR(VLOOKUP(F5995,CARTON_LOOKUP!$A:$E,2,0),"")</f>
      </c>
      <c r="K5995" s="29">
        <f>IFERROR(J5995*D5995,0)</f>
      </c>
      <c r="L5995" s="29">
        <f>IFERROR(E5995*C5995,0)</f>
      </c>
      <c r="M5995" s="29">
        <f>IFERROR((G5995*H5995*I5995/1000000)*D5995,0)</f>
      </c>
    </row>
    <row r="5996" spans="1:13" x14ac:dyDescent="0.25">
      <c r="A5996" s="16"/>
      <c r="E5996" s="27"/>
      <c r="F5996" t="s">
        <v>26</v>
      </c>
      <c r="G5996" s="28">
        <f>IFERROR(VLOOKUP(F5996,CARTON_LOOKUP!$A:$E,3,0),"")</f>
      </c>
      <c r="H5996" s="28">
        <f>IFERROR(VLOOKUP(F5996,CARTON_LOOKUP!$A:$E,4,0),"")</f>
      </c>
      <c r="I5996" s="28">
        <f>IFERROR(VLOOKUP(F5996,CARTON_LOOKUP!$A:$E,5,0),"")</f>
      </c>
      <c r="J5996" s="29">
        <f>IFERROR(VLOOKUP(F5996,CARTON_LOOKUP!$A:$E,2,0),"")</f>
      </c>
      <c r="K5996" s="29">
        <f>IFERROR(J5996*D5996,0)</f>
      </c>
      <c r="L5996" s="29">
        <f>IFERROR(E5996*C5996,0)</f>
      </c>
      <c r="M5996" s="29">
        <f>IFERROR((G5996*H5996*I5996/1000000)*D5996,0)</f>
      </c>
    </row>
    <row r="5997" spans="1:13" x14ac:dyDescent="0.25">
      <c r="A5997" s="16"/>
      <c r="E5997" s="27"/>
      <c r="F5997" t="s">
        <v>26</v>
      </c>
      <c r="G5997" s="28">
        <f>IFERROR(VLOOKUP(F5997,CARTON_LOOKUP!$A:$E,3,0),"")</f>
      </c>
      <c r="H5997" s="28">
        <f>IFERROR(VLOOKUP(F5997,CARTON_LOOKUP!$A:$E,4,0),"")</f>
      </c>
      <c r="I5997" s="28">
        <f>IFERROR(VLOOKUP(F5997,CARTON_LOOKUP!$A:$E,5,0),"")</f>
      </c>
      <c r="J5997" s="29">
        <f>IFERROR(VLOOKUP(F5997,CARTON_LOOKUP!$A:$E,2,0),"")</f>
      </c>
      <c r="K5997" s="29">
        <f>IFERROR(J5997*D5997,0)</f>
      </c>
      <c r="L5997" s="29">
        <f>IFERROR(E5997*C5997,0)</f>
      </c>
      <c r="M5997" s="29">
        <f>IFERROR((G5997*H5997*I5997/1000000)*D5997,0)</f>
      </c>
    </row>
    <row r="5998" spans="1:13" x14ac:dyDescent="0.25">
      <c r="A5998" s="16"/>
      <c r="E5998" s="27"/>
      <c r="F5998" t="s">
        <v>26</v>
      </c>
      <c r="G5998" s="28">
        <f>IFERROR(VLOOKUP(F5998,CARTON_LOOKUP!$A:$E,3,0),"")</f>
      </c>
      <c r="H5998" s="28">
        <f>IFERROR(VLOOKUP(F5998,CARTON_LOOKUP!$A:$E,4,0),"")</f>
      </c>
      <c r="I5998" s="28">
        <f>IFERROR(VLOOKUP(F5998,CARTON_LOOKUP!$A:$E,5,0),"")</f>
      </c>
      <c r="J5998" s="29">
        <f>IFERROR(VLOOKUP(F5998,CARTON_LOOKUP!$A:$E,2,0),"")</f>
      </c>
      <c r="K5998" s="29">
        <f>IFERROR(J5998*D5998,0)</f>
      </c>
      <c r="L5998" s="29">
        <f>IFERROR(E5998*C5998,0)</f>
      </c>
      <c r="M5998" s="29">
        <f>IFERROR((G5998*H5998*I5998/1000000)*D5998,0)</f>
      </c>
    </row>
    <row r="5999" spans="1:13" x14ac:dyDescent="0.25">
      <c r="A5999" s="16"/>
      <c r="E5999" s="27"/>
      <c r="F5999" t="s">
        <v>26</v>
      </c>
      <c r="G5999" s="28">
        <f>IFERROR(VLOOKUP(F5999,CARTON_LOOKUP!$A:$E,3,0),"")</f>
      </c>
      <c r="H5999" s="28">
        <f>IFERROR(VLOOKUP(F5999,CARTON_LOOKUP!$A:$E,4,0),"")</f>
      </c>
      <c r="I5999" s="28">
        <f>IFERROR(VLOOKUP(F5999,CARTON_LOOKUP!$A:$E,5,0),"")</f>
      </c>
      <c r="J5999" s="29">
        <f>IFERROR(VLOOKUP(F5999,CARTON_LOOKUP!$A:$E,2,0),"")</f>
      </c>
      <c r="K5999" s="29">
        <f>IFERROR(J5999*D5999,0)</f>
      </c>
      <c r="L5999" s="29">
        <f>IFERROR(E5999*C5999,0)</f>
      </c>
      <c r="M5999" s="29">
        <f>IFERROR((G5999*H5999*I5999/1000000)*D5999,0)</f>
      </c>
    </row>
    <row r="6000" spans="1:13" x14ac:dyDescent="0.25">
      <c r="A6000" s="16"/>
      <c r="E6000" s="27"/>
      <c r="F6000" t="s">
        <v>26</v>
      </c>
      <c r="G6000" s="28">
        <f>IFERROR(VLOOKUP(F6000,CARTON_LOOKUP!$A:$E,3,0),"")</f>
      </c>
      <c r="H6000" s="28">
        <f>IFERROR(VLOOKUP(F6000,CARTON_LOOKUP!$A:$E,4,0),"")</f>
      </c>
      <c r="I6000" s="28">
        <f>IFERROR(VLOOKUP(F6000,CARTON_LOOKUP!$A:$E,5,0),"")</f>
      </c>
      <c r="J6000" s="29">
        <f>IFERROR(VLOOKUP(F6000,CARTON_LOOKUP!$A:$E,2,0),"")</f>
      </c>
      <c r="K6000" s="29">
        <f>IFERROR(J6000*D6000,0)</f>
      </c>
      <c r="L6000" s="29">
        <f>IFERROR(E6000*C6000,0)</f>
      </c>
      <c r="M6000" s="29">
        <f>IFERROR((G6000*H6000*I6000/1000000)*D6000,0)</f>
      </c>
    </row>
    <row r="6001" spans="1:13" x14ac:dyDescent="0.25">
      <c r="A6001" s="16"/>
      <c r="E6001" s="27"/>
      <c r="F6001" t="s">
        <v>26</v>
      </c>
      <c r="G6001" s="28">
        <f>IFERROR(VLOOKUP(F6001,CARTON_LOOKUP!$A:$E,3,0),"")</f>
      </c>
      <c r="H6001" s="28">
        <f>IFERROR(VLOOKUP(F6001,CARTON_LOOKUP!$A:$E,4,0),"")</f>
      </c>
      <c r="I6001" s="28">
        <f>IFERROR(VLOOKUP(F6001,CARTON_LOOKUP!$A:$E,5,0),"")</f>
      </c>
      <c r="J6001" s="29">
        <f>IFERROR(VLOOKUP(F6001,CARTON_LOOKUP!$A:$E,2,0),"")</f>
      </c>
      <c r="K6001" s="29">
        <f>IFERROR(J6001*D6001,0)</f>
      </c>
      <c r="L6001" s="29">
        <f>IFERROR(E6001*C6001,0)</f>
      </c>
      <c r="M6001" s="29">
        <f>IFERROR((G6001*H6001*I6001/1000000)*D6001,0)</f>
      </c>
    </row>
    <row r="6002" spans="1:13" x14ac:dyDescent="0.25">
      <c r="A6002" s="16"/>
      <c r="E6002" s="27"/>
      <c r="F6002" t="s">
        <v>26</v>
      </c>
      <c r="G6002" s="28">
        <f>IFERROR(VLOOKUP(F6002,CARTON_LOOKUP!$A:$E,3,0),"")</f>
      </c>
      <c r="H6002" s="28">
        <f>IFERROR(VLOOKUP(F6002,CARTON_LOOKUP!$A:$E,4,0),"")</f>
      </c>
      <c r="I6002" s="28">
        <f>IFERROR(VLOOKUP(F6002,CARTON_LOOKUP!$A:$E,5,0),"")</f>
      </c>
      <c r="J6002" s="29">
        <f>IFERROR(VLOOKUP(F6002,CARTON_LOOKUP!$A:$E,2,0),"")</f>
      </c>
      <c r="K6002" s="29">
        <f>IFERROR(J6002*D6002,0)</f>
      </c>
      <c r="L6002" s="29">
        <f>IFERROR(E6002*C6002,0)</f>
      </c>
      <c r="M6002" s="29">
        <f>IFERROR((G6002*H6002*I6002/1000000)*D6002,0)</f>
      </c>
    </row>
    <row r="6003" spans="1:13" x14ac:dyDescent="0.25">
      <c r="A6003" s="16"/>
      <c r="E6003" s="27"/>
      <c r="F6003" t="s">
        <v>26</v>
      </c>
      <c r="G6003" s="28">
        <f>IFERROR(VLOOKUP(F6003,CARTON_LOOKUP!$A:$E,3,0),"")</f>
      </c>
      <c r="H6003" s="28">
        <f>IFERROR(VLOOKUP(F6003,CARTON_LOOKUP!$A:$E,4,0),"")</f>
      </c>
      <c r="I6003" s="28">
        <f>IFERROR(VLOOKUP(F6003,CARTON_LOOKUP!$A:$E,5,0),"")</f>
      </c>
      <c r="J6003" s="29">
        <f>IFERROR(VLOOKUP(F6003,CARTON_LOOKUP!$A:$E,2,0),"")</f>
      </c>
      <c r="K6003" s="29">
        <f>IFERROR(J6003*D6003,0)</f>
      </c>
      <c r="L6003" s="29">
        <f>IFERROR(E6003*C6003,0)</f>
      </c>
      <c r="M6003" s="29">
        <f>IFERROR((G6003*H6003*I6003/1000000)*D6003,0)</f>
      </c>
    </row>
    <row r="6004" spans="1:13" x14ac:dyDescent="0.25">
      <c r="A6004" s="16"/>
      <c r="E6004" s="27"/>
      <c r="F6004" t="s">
        <v>26</v>
      </c>
      <c r="G6004" s="28">
        <f>IFERROR(VLOOKUP(F6004,CARTON_LOOKUP!$A:$E,3,0),"")</f>
      </c>
      <c r="H6004" s="28">
        <f>IFERROR(VLOOKUP(F6004,CARTON_LOOKUP!$A:$E,4,0),"")</f>
      </c>
      <c r="I6004" s="28">
        <f>IFERROR(VLOOKUP(F6004,CARTON_LOOKUP!$A:$E,5,0),"")</f>
      </c>
      <c r="J6004" s="29">
        <f>IFERROR(VLOOKUP(F6004,CARTON_LOOKUP!$A:$E,2,0),"")</f>
      </c>
      <c r="K6004" s="29">
        <f>IFERROR(J6004*D6004,0)</f>
      </c>
      <c r="L6004" s="29">
        <f>IFERROR(E6004*C6004,0)</f>
      </c>
      <c r="M6004" s="29">
        <f>IFERROR((G6004*H6004*I6004/1000000)*D6004,0)</f>
      </c>
    </row>
    <row r="6005" spans="1:13" x14ac:dyDescent="0.25">
      <c r="A6005" s="16"/>
      <c r="E6005" s="27"/>
      <c r="F6005" t="s">
        <v>26</v>
      </c>
      <c r="G6005" s="28">
        <f>IFERROR(VLOOKUP(F6005,CARTON_LOOKUP!$A:$E,3,0),"")</f>
      </c>
      <c r="H6005" s="28">
        <f>IFERROR(VLOOKUP(F6005,CARTON_LOOKUP!$A:$E,4,0),"")</f>
      </c>
      <c r="I6005" s="28">
        <f>IFERROR(VLOOKUP(F6005,CARTON_LOOKUP!$A:$E,5,0),"")</f>
      </c>
      <c r="J6005" s="29">
        <f>IFERROR(VLOOKUP(F6005,CARTON_LOOKUP!$A:$E,2,0),"")</f>
      </c>
      <c r="K6005" s="29">
        <f>IFERROR(J6005*D6005,0)</f>
      </c>
      <c r="L6005" s="29">
        <f>IFERROR(E6005*C6005,0)</f>
      </c>
      <c r="M6005" s="29">
        <f>IFERROR((G6005*H6005*I6005/1000000)*D6005,0)</f>
      </c>
    </row>
    <row r="6006" spans="1:13" x14ac:dyDescent="0.25">
      <c r="A6006" s="16"/>
      <c r="E6006" s="27"/>
      <c r="F6006" t="s">
        <v>26</v>
      </c>
      <c r="G6006" s="28">
        <f>IFERROR(VLOOKUP(F6006,CARTON_LOOKUP!$A:$E,3,0),"")</f>
      </c>
      <c r="H6006" s="28">
        <f>IFERROR(VLOOKUP(F6006,CARTON_LOOKUP!$A:$E,4,0),"")</f>
      </c>
      <c r="I6006" s="28">
        <f>IFERROR(VLOOKUP(F6006,CARTON_LOOKUP!$A:$E,5,0),"")</f>
      </c>
      <c r="J6006" s="29">
        <f>IFERROR(VLOOKUP(F6006,CARTON_LOOKUP!$A:$E,2,0),"")</f>
      </c>
      <c r="K6006" s="29">
        <f>IFERROR(J6006*D6006,0)</f>
      </c>
      <c r="L6006" s="29">
        <f>IFERROR(E6006*C6006,0)</f>
      </c>
      <c r="M6006" s="29">
        <f>IFERROR((G6006*H6006*I6006/1000000)*D6006,0)</f>
      </c>
    </row>
    <row r="6007" spans="1:13" x14ac:dyDescent="0.25">
      <c r="A6007" s="16"/>
      <c r="E6007" s="27"/>
      <c r="F6007" t="s">
        <v>26</v>
      </c>
      <c r="G6007" s="28">
        <f>IFERROR(VLOOKUP(F6007,CARTON_LOOKUP!$A:$E,3,0),"")</f>
      </c>
      <c r="H6007" s="28">
        <f>IFERROR(VLOOKUP(F6007,CARTON_LOOKUP!$A:$E,4,0),"")</f>
      </c>
      <c r="I6007" s="28">
        <f>IFERROR(VLOOKUP(F6007,CARTON_LOOKUP!$A:$E,5,0),"")</f>
      </c>
      <c r="J6007" s="29">
        <f>IFERROR(VLOOKUP(F6007,CARTON_LOOKUP!$A:$E,2,0),"")</f>
      </c>
      <c r="K6007" s="29">
        <f>IFERROR(J6007*D6007,0)</f>
      </c>
      <c r="L6007" s="29">
        <f>IFERROR(E6007*C6007,0)</f>
      </c>
      <c r="M6007" s="29">
        <f>IFERROR((G6007*H6007*I6007/1000000)*D6007,0)</f>
      </c>
    </row>
    <row r="6008" spans="1:13" x14ac:dyDescent="0.25">
      <c r="A6008" s="16"/>
      <c r="E6008" s="27"/>
      <c r="F6008" t="s">
        <v>26</v>
      </c>
      <c r="G6008" s="28">
        <f>IFERROR(VLOOKUP(F6008,CARTON_LOOKUP!$A:$E,3,0),"")</f>
      </c>
      <c r="H6008" s="28">
        <f>IFERROR(VLOOKUP(F6008,CARTON_LOOKUP!$A:$E,4,0),"")</f>
      </c>
      <c r="I6008" s="28">
        <f>IFERROR(VLOOKUP(F6008,CARTON_LOOKUP!$A:$E,5,0),"")</f>
      </c>
      <c r="J6008" s="29">
        <f>IFERROR(VLOOKUP(F6008,CARTON_LOOKUP!$A:$E,2,0),"")</f>
      </c>
      <c r="K6008" s="29">
        <f>IFERROR(J6008*D6008,0)</f>
      </c>
      <c r="L6008" s="29">
        <f>IFERROR(E6008*C6008,0)</f>
      </c>
      <c r="M6008" s="29">
        <f>IFERROR((G6008*H6008*I6008/1000000)*D6008,0)</f>
      </c>
    </row>
    <row r="6009" spans="1:13" x14ac:dyDescent="0.25">
      <c r="A6009" s="16"/>
      <c r="E6009" s="27"/>
      <c r="F6009" t="s">
        <v>26</v>
      </c>
      <c r="G6009" s="28">
        <f>IFERROR(VLOOKUP(F6009,CARTON_LOOKUP!$A:$E,3,0),"")</f>
      </c>
      <c r="H6009" s="28">
        <f>IFERROR(VLOOKUP(F6009,CARTON_LOOKUP!$A:$E,4,0),"")</f>
      </c>
      <c r="I6009" s="28">
        <f>IFERROR(VLOOKUP(F6009,CARTON_LOOKUP!$A:$E,5,0),"")</f>
      </c>
      <c r="J6009" s="29">
        <f>IFERROR(VLOOKUP(F6009,CARTON_LOOKUP!$A:$E,2,0),"")</f>
      </c>
      <c r="K6009" s="29">
        <f>IFERROR(J6009*D6009,0)</f>
      </c>
      <c r="L6009" s="29">
        <f>IFERROR(E6009*C6009,0)</f>
      </c>
      <c r="M6009" s="29">
        <f>IFERROR((G6009*H6009*I6009/1000000)*D6009,0)</f>
      </c>
    </row>
    <row r="6010" spans="1:13" x14ac:dyDescent="0.25">
      <c r="A6010" s="16"/>
      <c r="E6010" s="27"/>
      <c r="F6010" t="s">
        <v>26</v>
      </c>
      <c r="G6010" s="28">
        <f>IFERROR(VLOOKUP(F6010,CARTON_LOOKUP!$A:$E,3,0),"")</f>
      </c>
      <c r="H6010" s="28">
        <f>IFERROR(VLOOKUP(F6010,CARTON_LOOKUP!$A:$E,4,0),"")</f>
      </c>
      <c r="I6010" s="28">
        <f>IFERROR(VLOOKUP(F6010,CARTON_LOOKUP!$A:$E,5,0),"")</f>
      </c>
      <c r="J6010" s="29">
        <f>IFERROR(VLOOKUP(F6010,CARTON_LOOKUP!$A:$E,2,0),"")</f>
      </c>
      <c r="K6010" s="29">
        <f>IFERROR(J6010*D6010,0)</f>
      </c>
      <c r="L6010" s="29">
        <f>IFERROR(E6010*C6010,0)</f>
      </c>
      <c r="M6010" s="29">
        <f>IFERROR((G6010*H6010*I6010/1000000)*D6010,0)</f>
      </c>
    </row>
    <row r="6011" spans="1:13" x14ac:dyDescent="0.25">
      <c r="A6011" s="16"/>
      <c r="E6011" s="27"/>
      <c r="F6011" t="s">
        <v>26</v>
      </c>
      <c r="G6011" s="28">
        <f>IFERROR(VLOOKUP(F6011,CARTON_LOOKUP!$A:$E,3,0),"")</f>
      </c>
      <c r="H6011" s="28">
        <f>IFERROR(VLOOKUP(F6011,CARTON_LOOKUP!$A:$E,4,0),"")</f>
      </c>
      <c r="I6011" s="28">
        <f>IFERROR(VLOOKUP(F6011,CARTON_LOOKUP!$A:$E,5,0),"")</f>
      </c>
      <c r="J6011" s="29">
        <f>IFERROR(VLOOKUP(F6011,CARTON_LOOKUP!$A:$E,2,0),"")</f>
      </c>
      <c r="K6011" s="29">
        <f>IFERROR(J6011*D6011,0)</f>
      </c>
      <c r="L6011" s="29">
        <f>IFERROR(E6011*C6011,0)</f>
      </c>
      <c r="M6011" s="29">
        <f>IFERROR((G6011*H6011*I6011/1000000)*D6011,0)</f>
      </c>
    </row>
    <row r="6012" spans="1:13" x14ac:dyDescent="0.25">
      <c r="A6012" s="16"/>
      <c r="E6012" s="27"/>
      <c r="F6012" t="s">
        <v>26</v>
      </c>
      <c r="G6012" s="28">
        <f>IFERROR(VLOOKUP(F6012,CARTON_LOOKUP!$A:$E,3,0),"")</f>
      </c>
      <c r="H6012" s="28">
        <f>IFERROR(VLOOKUP(F6012,CARTON_LOOKUP!$A:$E,4,0),"")</f>
      </c>
      <c r="I6012" s="28">
        <f>IFERROR(VLOOKUP(F6012,CARTON_LOOKUP!$A:$E,5,0),"")</f>
      </c>
      <c r="J6012" s="29">
        <f>IFERROR(VLOOKUP(F6012,CARTON_LOOKUP!$A:$E,2,0),"")</f>
      </c>
      <c r="K6012" s="29">
        <f>IFERROR(J6012*D6012,0)</f>
      </c>
      <c r="L6012" s="29">
        <f>IFERROR(E6012*C6012,0)</f>
      </c>
      <c r="M6012" s="29">
        <f>IFERROR((G6012*H6012*I6012/1000000)*D6012,0)</f>
      </c>
    </row>
    <row r="6013" spans="1:13" x14ac:dyDescent="0.25">
      <c r="A6013" s="16"/>
      <c r="E6013" s="27"/>
      <c r="F6013" t="s">
        <v>26</v>
      </c>
      <c r="G6013" s="28">
        <f>IFERROR(VLOOKUP(F6013,CARTON_LOOKUP!$A:$E,3,0),"")</f>
      </c>
      <c r="H6013" s="28">
        <f>IFERROR(VLOOKUP(F6013,CARTON_LOOKUP!$A:$E,4,0),"")</f>
      </c>
      <c r="I6013" s="28">
        <f>IFERROR(VLOOKUP(F6013,CARTON_LOOKUP!$A:$E,5,0),"")</f>
      </c>
      <c r="J6013" s="29">
        <f>IFERROR(VLOOKUP(F6013,CARTON_LOOKUP!$A:$E,2,0),"")</f>
      </c>
      <c r="K6013" s="29">
        <f>IFERROR(J6013*D6013,0)</f>
      </c>
      <c r="L6013" s="29">
        <f>IFERROR(E6013*C6013,0)</f>
      </c>
      <c r="M6013" s="29">
        <f>IFERROR((G6013*H6013*I6013/1000000)*D6013,0)</f>
      </c>
    </row>
    <row r="6014" spans="1:13" x14ac:dyDescent="0.25">
      <c r="A6014" s="16"/>
      <c r="E6014" s="27"/>
      <c r="F6014" t="s">
        <v>26</v>
      </c>
      <c r="G6014" s="28">
        <f>IFERROR(VLOOKUP(F6014,CARTON_LOOKUP!$A:$E,3,0),"")</f>
      </c>
      <c r="H6014" s="28">
        <f>IFERROR(VLOOKUP(F6014,CARTON_LOOKUP!$A:$E,4,0),"")</f>
      </c>
      <c r="I6014" s="28">
        <f>IFERROR(VLOOKUP(F6014,CARTON_LOOKUP!$A:$E,5,0),"")</f>
      </c>
      <c r="J6014" s="29">
        <f>IFERROR(VLOOKUP(F6014,CARTON_LOOKUP!$A:$E,2,0),"")</f>
      </c>
      <c r="K6014" s="29">
        <f>IFERROR(J6014*D6014,0)</f>
      </c>
      <c r="L6014" s="29">
        <f>IFERROR(E6014*C6014,0)</f>
      </c>
      <c r="M6014" s="29">
        <f>IFERROR((G6014*H6014*I6014/1000000)*D6014,0)</f>
      </c>
    </row>
    <row r="6015" spans="1:13" x14ac:dyDescent="0.25">
      <c r="A6015" s="16"/>
      <c r="E6015" s="27"/>
      <c r="F6015" t="s">
        <v>26</v>
      </c>
      <c r="G6015" s="28">
        <f>IFERROR(VLOOKUP(F6015,CARTON_LOOKUP!$A:$E,3,0),"")</f>
      </c>
      <c r="H6015" s="28">
        <f>IFERROR(VLOOKUP(F6015,CARTON_LOOKUP!$A:$E,4,0),"")</f>
      </c>
      <c r="I6015" s="28">
        <f>IFERROR(VLOOKUP(F6015,CARTON_LOOKUP!$A:$E,5,0),"")</f>
      </c>
      <c r="J6015" s="29">
        <f>IFERROR(VLOOKUP(F6015,CARTON_LOOKUP!$A:$E,2,0),"")</f>
      </c>
      <c r="K6015" s="29">
        <f>IFERROR(J6015*D6015,0)</f>
      </c>
      <c r="L6015" s="29">
        <f>IFERROR(E6015*C6015,0)</f>
      </c>
      <c r="M6015" s="29">
        <f>IFERROR((G6015*H6015*I6015/1000000)*D6015,0)</f>
      </c>
    </row>
    <row r="6016" spans="1:13" x14ac:dyDescent="0.25">
      <c r="A6016" s="16"/>
      <c r="E6016" s="27"/>
      <c r="F6016" t="s">
        <v>26</v>
      </c>
      <c r="G6016" s="28">
        <f>IFERROR(VLOOKUP(F6016,CARTON_LOOKUP!$A:$E,3,0),"")</f>
      </c>
      <c r="H6016" s="28">
        <f>IFERROR(VLOOKUP(F6016,CARTON_LOOKUP!$A:$E,4,0),"")</f>
      </c>
      <c r="I6016" s="28">
        <f>IFERROR(VLOOKUP(F6016,CARTON_LOOKUP!$A:$E,5,0),"")</f>
      </c>
      <c r="J6016" s="29">
        <f>IFERROR(VLOOKUP(F6016,CARTON_LOOKUP!$A:$E,2,0),"")</f>
      </c>
      <c r="K6016" s="29">
        <f>IFERROR(J6016*D6016,0)</f>
      </c>
      <c r="L6016" s="29">
        <f>IFERROR(E6016*C6016,0)</f>
      </c>
      <c r="M6016" s="29">
        <f>IFERROR((G6016*H6016*I6016/1000000)*D6016,0)</f>
      </c>
    </row>
    <row r="6017" spans="1:13" x14ac:dyDescent="0.25">
      <c r="A6017" s="16"/>
      <c r="E6017" s="27"/>
      <c r="F6017" t="s">
        <v>26</v>
      </c>
      <c r="G6017" s="28">
        <f>IFERROR(VLOOKUP(F6017,CARTON_LOOKUP!$A:$E,3,0),"")</f>
      </c>
      <c r="H6017" s="28">
        <f>IFERROR(VLOOKUP(F6017,CARTON_LOOKUP!$A:$E,4,0),"")</f>
      </c>
      <c r="I6017" s="28">
        <f>IFERROR(VLOOKUP(F6017,CARTON_LOOKUP!$A:$E,5,0),"")</f>
      </c>
      <c r="J6017" s="29">
        <f>IFERROR(VLOOKUP(F6017,CARTON_LOOKUP!$A:$E,2,0),"")</f>
      </c>
      <c r="K6017" s="29">
        <f>IFERROR(J6017*D6017,0)</f>
      </c>
      <c r="L6017" s="29">
        <f>IFERROR(E6017*C6017,0)</f>
      </c>
      <c r="M6017" s="29">
        <f>IFERROR((G6017*H6017*I6017/1000000)*D6017,0)</f>
      </c>
    </row>
    <row r="6018" spans="1:13" x14ac:dyDescent="0.25">
      <c r="A6018" s="16"/>
      <c r="E6018" s="27"/>
      <c r="F6018" t="s">
        <v>26</v>
      </c>
      <c r="G6018" s="28">
        <f>IFERROR(VLOOKUP(F6018,CARTON_LOOKUP!$A:$E,3,0),"")</f>
      </c>
      <c r="H6018" s="28">
        <f>IFERROR(VLOOKUP(F6018,CARTON_LOOKUP!$A:$E,4,0),"")</f>
      </c>
      <c r="I6018" s="28">
        <f>IFERROR(VLOOKUP(F6018,CARTON_LOOKUP!$A:$E,5,0),"")</f>
      </c>
      <c r="J6018" s="29">
        <f>IFERROR(VLOOKUP(F6018,CARTON_LOOKUP!$A:$E,2,0),"")</f>
      </c>
      <c r="K6018" s="29">
        <f>IFERROR(J6018*D6018,0)</f>
      </c>
      <c r="L6018" s="29">
        <f>IFERROR(E6018*C6018,0)</f>
      </c>
      <c r="M6018" s="29">
        <f>IFERROR((G6018*H6018*I6018/1000000)*D6018,0)</f>
      </c>
    </row>
    <row r="6019" spans="1:13" x14ac:dyDescent="0.25">
      <c r="A6019" s="16"/>
      <c r="E6019" s="27"/>
      <c r="F6019" t="s">
        <v>26</v>
      </c>
      <c r="G6019" s="28">
        <f>IFERROR(VLOOKUP(F6019,CARTON_LOOKUP!$A:$E,3,0),"")</f>
      </c>
      <c r="H6019" s="28">
        <f>IFERROR(VLOOKUP(F6019,CARTON_LOOKUP!$A:$E,4,0),"")</f>
      </c>
      <c r="I6019" s="28">
        <f>IFERROR(VLOOKUP(F6019,CARTON_LOOKUP!$A:$E,5,0),"")</f>
      </c>
      <c r="J6019" s="29">
        <f>IFERROR(VLOOKUP(F6019,CARTON_LOOKUP!$A:$E,2,0),"")</f>
      </c>
      <c r="K6019" s="29">
        <f>IFERROR(J6019*D6019,0)</f>
      </c>
      <c r="L6019" s="29">
        <f>IFERROR(E6019*C6019,0)</f>
      </c>
      <c r="M6019" s="29">
        <f>IFERROR((G6019*H6019*I6019/1000000)*D6019,0)</f>
      </c>
    </row>
    <row r="6020" spans="1:13" x14ac:dyDescent="0.25">
      <c r="A6020" s="16"/>
      <c r="E6020" s="27"/>
      <c r="F6020" t="s">
        <v>26</v>
      </c>
      <c r="G6020" s="28">
        <f>IFERROR(VLOOKUP(F6020,CARTON_LOOKUP!$A:$E,3,0),"")</f>
      </c>
      <c r="H6020" s="28">
        <f>IFERROR(VLOOKUP(F6020,CARTON_LOOKUP!$A:$E,4,0),"")</f>
      </c>
      <c r="I6020" s="28">
        <f>IFERROR(VLOOKUP(F6020,CARTON_LOOKUP!$A:$E,5,0),"")</f>
      </c>
      <c r="J6020" s="29">
        <f>IFERROR(VLOOKUP(F6020,CARTON_LOOKUP!$A:$E,2,0),"")</f>
      </c>
      <c r="K6020" s="29">
        <f>IFERROR(J6020*D6020,0)</f>
      </c>
      <c r="L6020" s="29">
        <f>IFERROR(E6020*C6020,0)</f>
      </c>
      <c r="M6020" s="29">
        <f>IFERROR((G6020*H6020*I6020/1000000)*D6020,0)</f>
      </c>
    </row>
    <row r="6021" spans="1:13" x14ac:dyDescent="0.25">
      <c r="A6021" s="16"/>
      <c r="E6021" s="27"/>
      <c r="F6021" t="s">
        <v>26</v>
      </c>
      <c r="G6021" s="28">
        <f>IFERROR(VLOOKUP(F6021,CARTON_LOOKUP!$A:$E,3,0),"")</f>
      </c>
      <c r="H6021" s="28">
        <f>IFERROR(VLOOKUP(F6021,CARTON_LOOKUP!$A:$E,4,0),"")</f>
      </c>
      <c r="I6021" s="28">
        <f>IFERROR(VLOOKUP(F6021,CARTON_LOOKUP!$A:$E,5,0),"")</f>
      </c>
      <c r="J6021" s="29">
        <f>IFERROR(VLOOKUP(F6021,CARTON_LOOKUP!$A:$E,2,0),"")</f>
      </c>
      <c r="K6021" s="29">
        <f>IFERROR(J6021*D6021,0)</f>
      </c>
      <c r="L6021" s="29">
        <f>IFERROR(E6021*C6021,0)</f>
      </c>
      <c r="M6021" s="29">
        <f>IFERROR((G6021*H6021*I6021/1000000)*D6021,0)</f>
      </c>
    </row>
    <row r="6022" spans="1:13" x14ac:dyDescent="0.25">
      <c r="A6022" s="16"/>
      <c r="E6022" s="27"/>
      <c r="F6022" t="s">
        <v>26</v>
      </c>
      <c r="G6022" s="28">
        <f>IFERROR(VLOOKUP(F6022,CARTON_LOOKUP!$A:$E,3,0),"")</f>
      </c>
      <c r="H6022" s="28">
        <f>IFERROR(VLOOKUP(F6022,CARTON_LOOKUP!$A:$E,4,0),"")</f>
      </c>
      <c r="I6022" s="28">
        <f>IFERROR(VLOOKUP(F6022,CARTON_LOOKUP!$A:$E,5,0),"")</f>
      </c>
      <c r="J6022" s="29">
        <f>IFERROR(VLOOKUP(F6022,CARTON_LOOKUP!$A:$E,2,0),"")</f>
      </c>
      <c r="K6022" s="29">
        <f>IFERROR(J6022*D6022,0)</f>
      </c>
      <c r="L6022" s="29">
        <f>IFERROR(E6022*C6022,0)</f>
      </c>
      <c r="M6022" s="29">
        <f>IFERROR((G6022*H6022*I6022/1000000)*D6022,0)</f>
      </c>
    </row>
    <row r="6023" spans="1:13" x14ac:dyDescent="0.25">
      <c r="A6023" s="16"/>
      <c r="E6023" s="27"/>
      <c r="F6023" t="s">
        <v>26</v>
      </c>
      <c r="G6023" s="28">
        <f>IFERROR(VLOOKUP(F6023,CARTON_LOOKUP!$A:$E,3,0),"")</f>
      </c>
      <c r="H6023" s="28">
        <f>IFERROR(VLOOKUP(F6023,CARTON_LOOKUP!$A:$E,4,0),"")</f>
      </c>
      <c r="I6023" s="28">
        <f>IFERROR(VLOOKUP(F6023,CARTON_LOOKUP!$A:$E,5,0),"")</f>
      </c>
      <c r="J6023" s="29">
        <f>IFERROR(VLOOKUP(F6023,CARTON_LOOKUP!$A:$E,2,0),"")</f>
      </c>
      <c r="K6023" s="29">
        <f>IFERROR(J6023*D6023,0)</f>
      </c>
      <c r="L6023" s="29">
        <f>IFERROR(E6023*C6023,0)</f>
      </c>
      <c r="M6023" s="29">
        <f>IFERROR((G6023*H6023*I6023/1000000)*D6023,0)</f>
      </c>
    </row>
    <row r="6024" spans="1:13" x14ac:dyDescent="0.25">
      <c r="A6024" s="16"/>
      <c r="E6024" s="27"/>
      <c r="F6024" t="s">
        <v>26</v>
      </c>
      <c r="G6024" s="28">
        <f>IFERROR(VLOOKUP(F6024,CARTON_LOOKUP!$A:$E,3,0),"")</f>
      </c>
      <c r="H6024" s="28">
        <f>IFERROR(VLOOKUP(F6024,CARTON_LOOKUP!$A:$E,4,0),"")</f>
      </c>
      <c r="I6024" s="28">
        <f>IFERROR(VLOOKUP(F6024,CARTON_LOOKUP!$A:$E,5,0),"")</f>
      </c>
      <c r="J6024" s="29">
        <f>IFERROR(VLOOKUP(F6024,CARTON_LOOKUP!$A:$E,2,0),"")</f>
      </c>
      <c r="K6024" s="29">
        <f>IFERROR(J6024*D6024,0)</f>
      </c>
      <c r="L6024" s="29">
        <f>IFERROR(E6024*C6024,0)</f>
      </c>
      <c r="M6024" s="29">
        <f>IFERROR((G6024*H6024*I6024/1000000)*D6024,0)</f>
      </c>
    </row>
    <row r="6025" spans="1:13" x14ac:dyDescent="0.25">
      <c r="A6025" s="16"/>
      <c r="E6025" s="27"/>
      <c r="F6025" t="s">
        <v>26</v>
      </c>
      <c r="G6025" s="28">
        <f>IFERROR(VLOOKUP(F6025,CARTON_LOOKUP!$A:$E,3,0),"")</f>
      </c>
      <c r="H6025" s="28">
        <f>IFERROR(VLOOKUP(F6025,CARTON_LOOKUP!$A:$E,4,0),"")</f>
      </c>
      <c r="I6025" s="28">
        <f>IFERROR(VLOOKUP(F6025,CARTON_LOOKUP!$A:$E,5,0),"")</f>
      </c>
      <c r="J6025" s="29">
        <f>IFERROR(VLOOKUP(F6025,CARTON_LOOKUP!$A:$E,2,0),"")</f>
      </c>
      <c r="K6025" s="29">
        <f>IFERROR(J6025*D6025,0)</f>
      </c>
      <c r="L6025" s="29">
        <f>IFERROR(E6025*C6025,0)</f>
      </c>
      <c r="M6025" s="29">
        <f>IFERROR((G6025*H6025*I6025/1000000)*D6025,0)</f>
      </c>
    </row>
    <row r="6026" spans="1:13" x14ac:dyDescent="0.25">
      <c r="A6026" s="16"/>
      <c r="E6026" s="27"/>
      <c r="F6026" t="s">
        <v>26</v>
      </c>
      <c r="G6026" s="28">
        <f>IFERROR(VLOOKUP(F6026,CARTON_LOOKUP!$A:$E,3,0),"")</f>
      </c>
      <c r="H6026" s="28">
        <f>IFERROR(VLOOKUP(F6026,CARTON_LOOKUP!$A:$E,4,0),"")</f>
      </c>
      <c r="I6026" s="28">
        <f>IFERROR(VLOOKUP(F6026,CARTON_LOOKUP!$A:$E,5,0),"")</f>
      </c>
      <c r="J6026" s="29">
        <f>IFERROR(VLOOKUP(F6026,CARTON_LOOKUP!$A:$E,2,0),"")</f>
      </c>
      <c r="K6026" s="29">
        <f>IFERROR(J6026*D6026,0)</f>
      </c>
      <c r="L6026" s="29">
        <f>IFERROR(E6026*C6026,0)</f>
      </c>
      <c r="M6026" s="29">
        <f>IFERROR((G6026*H6026*I6026/1000000)*D6026,0)</f>
      </c>
    </row>
    <row r="6027" spans="1:13" x14ac:dyDescent="0.25">
      <c r="A6027" s="16"/>
      <c r="E6027" s="27"/>
      <c r="F6027" t="s">
        <v>26</v>
      </c>
      <c r="G6027" s="28">
        <f>IFERROR(VLOOKUP(F6027,CARTON_LOOKUP!$A:$E,3,0),"")</f>
      </c>
      <c r="H6027" s="28">
        <f>IFERROR(VLOOKUP(F6027,CARTON_LOOKUP!$A:$E,4,0),"")</f>
      </c>
      <c r="I6027" s="28">
        <f>IFERROR(VLOOKUP(F6027,CARTON_LOOKUP!$A:$E,5,0),"")</f>
      </c>
      <c r="J6027" s="29">
        <f>IFERROR(VLOOKUP(F6027,CARTON_LOOKUP!$A:$E,2,0),"")</f>
      </c>
      <c r="K6027" s="29">
        <f>IFERROR(J6027*D6027,0)</f>
      </c>
      <c r="L6027" s="29">
        <f>IFERROR(E6027*C6027,0)</f>
      </c>
      <c r="M6027" s="29">
        <f>IFERROR((G6027*H6027*I6027/1000000)*D6027,0)</f>
      </c>
    </row>
    <row r="6028" spans="1:13" x14ac:dyDescent="0.25">
      <c r="A6028" s="16"/>
      <c r="E6028" s="27"/>
      <c r="F6028" t="s">
        <v>26</v>
      </c>
      <c r="G6028" s="28">
        <f>IFERROR(VLOOKUP(F6028,CARTON_LOOKUP!$A:$E,3,0),"")</f>
      </c>
      <c r="H6028" s="28">
        <f>IFERROR(VLOOKUP(F6028,CARTON_LOOKUP!$A:$E,4,0),"")</f>
      </c>
      <c r="I6028" s="28">
        <f>IFERROR(VLOOKUP(F6028,CARTON_LOOKUP!$A:$E,5,0),"")</f>
      </c>
      <c r="J6028" s="29">
        <f>IFERROR(VLOOKUP(F6028,CARTON_LOOKUP!$A:$E,2,0),"")</f>
      </c>
      <c r="K6028" s="29">
        <f>IFERROR(J6028*D6028,0)</f>
      </c>
      <c r="L6028" s="29">
        <f>IFERROR(E6028*C6028,0)</f>
      </c>
      <c r="M6028" s="29">
        <f>IFERROR((G6028*H6028*I6028/1000000)*D6028,0)</f>
      </c>
    </row>
    <row r="6029" spans="1:13" x14ac:dyDescent="0.25">
      <c r="A6029" s="16"/>
      <c r="E6029" s="27"/>
      <c r="F6029" t="s">
        <v>26</v>
      </c>
      <c r="G6029" s="28">
        <f>IFERROR(VLOOKUP(F6029,CARTON_LOOKUP!$A:$E,3,0),"")</f>
      </c>
      <c r="H6029" s="28">
        <f>IFERROR(VLOOKUP(F6029,CARTON_LOOKUP!$A:$E,4,0),"")</f>
      </c>
      <c r="I6029" s="28">
        <f>IFERROR(VLOOKUP(F6029,CARTON_LOOKUP!$A:$E,5,0),"")</f>
      </c>
      <c r="J6029" s="29">
        <f>IFERROR(VLOOKUP(F6029,CARTON_LOOKUP!$A:$E,2,0),"")</f>
      </c>
      <c r="K6029" s="29">
        <f>IFERROR(J6029*D6029,0)</f>
      </c>
      <c r="L6029" s="29">
        <f>IFERROR(E6029*C6029,0)</f>
      </c>
      <c r="M6029" s="29">
        <f>IFERROR((G6029*H6029*I6029/1000000)*D6029,0)</f>
      </c>
    </row>
    <row r="6030" spans="1:13" x14ac:dyDescent="0.25">
      <c r="A6030" s="16"/>
      <c r="E6030" s="27"/>
      <c r="F6030" t="s">
        <v>26</v>
      </c>
      <c r="G6030" s="28">
        <f>IFERROR(VLOOKUP(F6030,CARTON_LOOKUP!$A:$E,3,0),"")</f>
      </c>
      <c r="H6030" s="28">
        <f>IFERROR(VLOOKUP(F6030,CARTON_LOOKUP!$A:$E,4,0),"")</f>
      </c>
      <c r="I6030" s="28">
        <f>IFERROR(VLOOKUP(F6030,CARTON_LOOKUP!$A:$E,5,0),"")</f>
      </c>
      <c r="J6030" s="29">
        <f>IFERROR(VLOOKUP(F6030,CARTON_LOOKUP!$A:$E,2,0),"")</f>
      </c>
      <c r="K6030" s="29">
        <f>IFERROR(J6030*D6030,0)</f>
      </c>
      <c r="L6030" s="29">
        <f>IFERROR(E6030*C6030,0)</f>
      </c>
      <c r="M6030" s="29">
        <f>IFERROR((G6030*H6030*I6030/1000000)*D6030,0)</f>
      </c>
    </row>
    <row r="6031" spans="1:13" x14ac:dyDescent="0.25">
      <c r="A6031" s="16"/>
      <c r="E6031" s="27"/>
      <c r="F6031" t="s">
        <v>26</v>
      </c>
      <c r="G6031" s="28">
        <f>IFERROR(VLOOKUP(F6031,CARTON_LOOKUP!$A:$E,3,0),"")</f>
      </c>
      <c r="H6031" s="28">
        <f>IFERROR(VLOOKUP(F6031,CARTON_LOOKUP!$A:$E,4,0),"")</f>
      </c>
      <c r="I6031" s="28">
        <f>IFERROR(VLOOKUP(F6031,CARTON_LOOKUP!$A:$E,5,0),"")</f>
      </c>
      <c r="J6031" s="29">
        <f>IFERROR(VLOOKUP(F6031,CARTON_LOOKUP!$A:$E,2,0),"")</f>
      </c>
      <c r="K6031" s="29">
        <f>IFERROR(J6031*D6031,0)</f>
      </c>
      <c r="L6031" s="29">
        <f>IFERROR(E6031*C6031,0)</f>
      </c>
      <c r="M6031" s="29">
        <f>IFERROR((G6031*H6031*I6031/1000000)*D6031,0)</f>
      </c>
    </row>
    <row r="6032" spans="1:13" x14ac:dyDescent="0.25">
      <c r="A6032" s="16"/>
      <c r="E6032" s="27"/>
      <c r="F6032" t="s">
        <v>26</v>
      </c>
      <c r="G6032" s="28">
        <f>IFERROR(VLOOKUP(F6032,CARTON_LOOKUP!$A:$E,3,0),"")</f>
      </c>
      <c r="H6032" s="28">
        <f>IFERROR(VLOOKUP(F6032,CARTON_LOOKUP!$A:$E,4,0),"")</f>
      </c>
      <c r="I6032" s="28">
        <f>IFERROR(VLOOKUP(F6032,CARTON_LOOKUP!$A:$E,5,0),"")</f>
      </c>
      <c r="J6032" s="29">
        <f>IFERROR(VLOOKUP(F6032,CARTON_LOOKUP!$A:$E,2,0),"")</f>
      </c>
      <c r="K6032" s="29">
        <f>IFERROR(J6032*D6032,0)</f>
      </c>
      <c r="L6032" s="29">
        <f>IFERROR(E6032*C6032,0)</f>
      </c>
      <c r="M6032" s="29">
        <f>IFERROR((G6032*H6032*I6032/1000000)*D6032,0)</f>
      </c>
    </row>
    <row r="6033" spans="1:13" x14ac:dyDescent="0.25">
      <c r="A6033" s="16"/>
      <c r="E6033" s="27"/>
      <c r="F6033" t="s">
        <v>26</v>
      </c>
      <c r="G6033" s="28">
        <f>IFERROR(VLOOKUP(F6033,CARTON_LOOKUP!$A:$E,3,0),"")</f>
      </c>
      <c r="H6033" s="28">
        <f>IFERROR(VLOOKUP(F6033,CARTON_LOOKUP!$A:$E,4,0),"")</f>
      </c>
      <c r="I6033" s="28">
        <f>IFERROR(VLOOKUP(F6033,CARTON_LOOKUP!$A:$E,5,0),"")</f>
      </c>
      <c r="J6033" s="29">
        <f>IFERROR(VLOOKUP(F6033,CARTON_LOOKUP!$A:$E,2,0),"")</f>
      </c>
      <c r="K6033" s="29">
        <f>IFERROR(J6033*D6033,0)</f>
      </c>
      <c r="L6033" s="29">
        <f>IFERROR(E6033*C6033,0)</f>
      </c>
      <c r="M6033" s="29">
        <f>IFERROR((G6033*H6033*I6033/1000000)*D6033,0)</f>
      </c>
    </row>
    <row r="6034" spans="1:13" x14ac:dyDescent="0.25">
      <c r="A6034" s="16"/>
      <c r="E6034" s="27"/>
      <c r="F6034" t="s">
        <v>26</v>
      </c>
      <c r="G6034" s="28">
        <f>IFERROR(VLOOKUP(F6034,CARTON_LOOKUP!$A:$E,3,0),"")</f>
      </c>
      <c r="H6034" s="28">
        <f>IFERROR(VLOOKUP(F6034,CARTON_LOOKUP!$A:$E,4,0),"")</f>
      </c>
      <c r="I6034" s="28">
        <f>IFERROR(VLOOKUP(F6034,CARTON_LOOKUP!$A:$E,5,0),"")</f>
      </c>
      <c r="J6034" s="29">
        <f>IFERROR(VLOOKUP(F6034,CARTON_LOOKUP!$A:$E,2,0),"")</f>
      </c>
      <c r="K6034" s="29">
        <f>IFERROR(J6034*D6034,0)</f>
      </c>
      <c r="L6034" s="29">
        <f>IFERROR(E6034*C6034,0)</f>
      </c>
      <c r="M6034" s="29">
        <f>IFERROR((G6034*H6034*I6034/1000000)*D6034,0)</f>
      </c>
    </row>
    <row r="6035" spans="1:13" x14ac:dyDescent="0.25">
      <c r="A6035" s="16"/>
      <c r="E6035" s="27"/>
      <c r="F6035" t="s">
        <v>26</v>
      </c>
      <c r="G6035" s="28">
        <f>IFERROR(VLOOKUP(F6035,CARTON_LOOKUP!$A:$E,3,0),"")</f>
      </c>
      <c r="H6035" s="28">
        <f>IFERROR(VLOOKUP(F6035,CARTON_LOOKUP!$A:$E,4,0),"")</f>
      </c>
      <c r="I6035" s="28">
        <f>IFERROR(VLOOKUP(F6035,CARTON_LOOKUP!$A:$E,5,0),"")</f>
      </c>
      <c r="J6035" s="29">
        <f>IFERROR(VLOOKUP(F6035,CARTON_LOOKUP!$A:$E,2,0),"")</f>
      </c>
      <c r="K6035" s="29">
        <f>IFERROR(J6035*D6035,0)</f>
      </c>
      <c r="L6035" s="29">
        <f>IFERROR(E6035*C6035,0)</f>
      </c>
      <c r="M6035" s="29">
        <f>IFERROR((G6035*H6035*I6035/1000000)*D6035,0)</f>
      </c>
    </row>
    <row r="6036" spans="1:13" x14ac:dyDescent="0.25">
      <c r="A6036" s="16"/>
      <c r="E6036" s="27"/>
      <c r="F6036" t="s">
        <v>26</v>
      </c>
      <c r="G6036" s="28">
        <f>IFERROR(VLOOKUP(F6036,CARTON_LOOKUP!$A:$E,3,0),"")</f>
      </c>
      <c r="H6036" s="28">
        <f>IFERROR(VLOOKUP(F6036,CARTON_LOOKUP!$A:$E,4,0),"")</f>
      </c>
      <c r="I6036" s="28">
        <f>IFERROR(VLOOKUP(F6036,CARTON_LOOKUP!$A:$E,5,0),"")</f>
      </c>
      <c r="J6036" s="29">
        <f>IFERROR(VLOOKUP(F6036,CARTON_LOOKUP!$A:$E,2,0),"")</f>
      </c>
      <c r="K6036" s="29">
        <f>IFERROR(J6036*D6036,0)</f>
      </c>
      <c r="L6036" s="29">
        <f>IFERROR(E6036*C6036,0)</f>
      </c>
      <c r="M6036" s="29">
        <f>IFERROR((G6036*H6036*I6036/1000000)*D6036,0)</f>
      </c>
    </row>
    <row r="6037" spans="1:13" x14ac:dyDescent="0.25">
      <c r="A6037" s="16"/>
      <c r="E6037" s="27"/>
      <c r="F6037" t="s">
        <v>26</v>
      </c>
      <c r="G6037" s="28">
        <f>IFERROR(VLOOKUP(F6037,CARTON_LOOKUP!$A:$E,3,0),"")</f>
      </c>
      <c r="H6037" s="28">
        <f>IFERROR(VLOOKUP(F6037,CARTON_LOOKUP!$A:$E,4,0),"")</f>
      </c>
      <c r="I6037" s="28">
        <f>IFERROR(VLOOKUP(F6037,CARTON_LOOKUP!$A:$E,5,0),"")</f>
      </c>
      <c r="J6037" s="29">
        <f>IFERROR(VLOOKUP(F6037,CARTON_LOOKUP!$A:$E,2,0),"")</f>
      </c>
      <c r="K6037" s="29">
        <f>IFERROR(J6037*D6037,0)</f>
      </c>
      <c r="L6037" s="29">
        <f>IFERROR(E6037*C6037,0)</f>
      </c>
      <c r="M6037" s="29">
        <f>IFERROR((G6037*H6037*I6037/1000000)*D6037,0)</f>
      </c>
    </row>
    <row r="6038" spans="1:13" x14ac:dyDescent="0.25">
      <c r="A6038" s="16"/>
      <c r="E6038" s="27"/>
      <c r="F6038" t="s">
        <v>26</v>
      </c>
      <c r="G6038" s="28">
        <f>IFERROR(VLOOKUP(F6038,CARTON_LOOKUP!$A:$E,3,0),"")</f>
      </c>
      <c r="H6038" s="28">
        <f>IFERROR(VLOOKUP(F6038,CARTON_LOOKUP!$A:$E,4,0),"")</f>
      </c>
      <c r="I6038" s="28">
        <f>IFERROR(VLOOKUP(F6038,CARTON_LOOKUP!$A:$E,5,0),"")</f>
      </c>
      <c r="J6038" s="29">
        <f>IFERROR(VLOOKUP(F6038,CARTON_LOOKUP!$A:$E,2,0),"")</f>
      </c>
      <c r="K6038" s="29">
        <f>IFERROR(J6038*D6038,0)</f>
      </c>
      <c r="L6038" s="29">
        <f>IFERROR(E6038*C6038,0)</f>
      </c>
      <c r="M6038" s="29">
        <f>IFERROR((G6038*H6038*I6038/1000000)*D6038,0)</f>
      </c>
    </row>
    <row r="6039" spans="1:13" x14ac:dyDescent="0.25">
      <c r="A6039" s="16"/>
      <c r="E6039" s="27"/>
      <c r="F6039" t="s">
        <v>26</v>
      </c>
      <c r="G6039" s="28">
        <f>IFERROR(VLOOKUP(F6039,CARTON_LOOKUP!$A:$E,3,0),"")</f>
      </c>
      <c r="H6039" s="28">
        <f>IFERROR(VLOOKUP(F6039,CARTON_LOOKUP!$A:$E,4,0),"")</f>
      </c>
      <c r="I6039" s="28">
        <f>IFERROR(VLOOKUP(F6039,CARTON_LOOKUP!$A:$E,5,0),"")</f>
      </c>
      <c r="J6039" s="29">
        <f>IFERROR(VLOOKUP(F6039,CARTON_LOOKUP!$A:$E,2,0),"")</f>
      </c>
      <c r="K6039" s="29">
        <f>IFERROR(J6039*D6039,0)</f>
      </c>
      <c r="L6039" s="29">
        <f>IFERROR(E6039*C6039,0)</f>
      </c>
      <c r="M6039" s="29">
        <f>IFERROR((G6039*H6039*I6039/1000000)*D6039,0)</f>
      </c>
    </row>
    <row r="6040" spans="1:13" x14ac:dyDescent="0.25">
      <c r="A6040" s="16"/>
      <c r="E6040" s="27"/>
      <c r="F6040" t="s">
        <v>26</v>
      </c>
      <c r="G6040" s="28">
        <f>IFERROR(VLOOKUP(F6040,CARTON_LOOKUP!$A:$E,3,0),"")</f>
      </c>
      <c r="H6040" s="28">
        <f>IFERROR(VLOOKUP(F6040,CARTON_LOOKUP!$A:$E,4,0),"")</f>
      </c>
      <c r="I6040" s="28">
        <f>IFERROR(VLOOKUP(F6040,CARTON_LOOKUP!$A:$E,5,0),"")</f>
      </c>
      <c r="J6040" s="29">
        <f>IFERROR(VLOOKUP(F6040,CARTON_LOOKUP!$A:$E,2,0),"")</f>
      </c>
      <c r="K6040" s="29">
        <f>IFERROR(J6040*D6040,0)</f>
      </c>
      <c r="L6040" s="29">
        <f>IFERROR(E6040*C6040,0)</f>
      </c>
      <c r="M6040" s="29">
        <f>IFERROR((G6040*H6040*I6040/1000000)*D6040,0)</f>
      </c>
    </row>
    <row r="6041" spans="1:13" x14ac:dyDescent="0.25">
      <c r="A6041" s="16"/>
      <c r="E6041" s="27"/>
      <c r="F6041" t="s">
        <v>26</v>
      </c>
      <c r="G6041" s="28">
        <f>IFERROR(VLOOKUP(F6041,CARTON_LOOKUP!$A:$E,3,0),"")</f>
      </c>
      <c r="H6041" s="28">
        <f>IFERROR(VLOOKUP(F6041,CARTON_LOOKUP!$A:$E,4,0),"")</f>
      </c>
      <c r="I6041" s="28">
        <f>IFERROR(VLOOKUP(F6041,CARTON_LOOKUP!$A:$E,5,0),"")</f>
      </c>
      <c r="J6041" s="29">
        <f>IFERROR(VLOOKUP(F6041,CARTON_LOOKUP!$A:$E,2,0),"")</f>
      </c>
      <c r="K6041" s="29">
        <f>IFERROR(J6041*D6041,0)</f>
      </c>
      <c r="L6041" s="29">
        <f>IFERROR(E6041*C6041,0)</f>
      </c>
      <c r="M6041" s="29">
        <f>IFERROR((G6041*H6041*I6041/1000000)*D6041,0)</f>
      </c>
    </row>
    <row r="6042" spans="1:13" x14ac:dyDescent="0.25">
      <c r="A6042" s="16"/>
      <c r="E6042" s="27"/>
      <c r="F6042" t="s">
        <v>26</v>
      </c>
      <c r="G6042" s="28">
        <f>IFERROR(VLOOKUP(F6042,CARTON_LOOKUP!$A:$E,3,0),"")</f>
      </c>
      <c r="H6042" s="28">
        <f>IFERROR(VLOOKUP(F6042,CARTON_LOOKUP!$A:$E,4,0),"")</f>
      </c>
      <c r="I6042" s="28">
        <f>IFERROR(VLOOKUP(F6042,CARTON_LOOKUP!$A:$E,5,0),"")</f>
      </c>
      <c r="J6042" s="29">
        <f>IFERROR(VLOOKUP(F6042,CARTON_LOOKUP!$A:$E,2,0),"")</f>
      </c>
      <c r="K6042" s="29">
        <f>IFERROR(J6042*D6042,0)</f>
      </c>
      <c r="L6042" s="29">
        <f>IFERROR(E6042*C6042,0)</f>
      </c>
      <c r="M6042" s="29">
        <f>IFERROR((G6042*H6042*I6042/1000000)*D6042,0)</f>
      </c>
    </row>
    <row r="6043" spans="1:13" x14ac:dyDescent="0.25">
      <c r="A6043" s="16"/>
      <c r="E6043" s="27"/>
      <c r="F6043" t="s">
        <v>26</v>
      </c>
      <c r="G6043" s="28">
        <f>IFERROR(VLOOKUP(F6043,CARTON_LOOKUP!$A:$E,3,0),"")</f>
      </c>
      <c r="H6043" s="28">
        <f>IFERROR(VLOOKUP(F6043,CARTON_LOOKUP!$A:$E,4,0),"")</f>
      </c>
      <c r="I6043" s="28">
        <f>IFERROR(VLOOKUP(F6043,CARTON_LOOKUP!$A:$E,5,0),"")</f>
      </c>
      <c r="J6043" s="29">
        <f>IFERROR(VLOOKUP(F6043,CARTON_LOOKUP!$A:$E,2,0),"")</f>
      </c>
      <c r="K6043" s="29">
        <f>IFERROR(J6043*D6043,0)</f>
      </c>
      <c r="L6043" s="29">
        <f>IFERROR(E6043*C6043,0)</f>
      </c>
      <c r="M6043" s="29">
        <f>IFERROR((G6043*H6043*I6043/1000000)*D6043,0)</f>
      </c>
    </row>
    <row r="6044" spans="1:13" x14ac:dyDescent="0.25">
      <c r="A6044" s="16"/>
      <c r="E6044" s="27"/>
      <c r="F6044" t="s">
        <v>26</v>
      </c>
      <c r="G6044" s="28">
        <f>IFERROR(VLOOKUP(F6044,CARTON_LOOKUP!$A:$E,3,0),"")</f>
      </c>
      <c r="H6044" s="28">
        <f>IFERROR(VLOOKUP(F6044,CARTON_LOOKUP!$A:$E,4,0),"")</f>
      </c>
      <c r="I6044" s="28">
        <f>IFERROR(VLOOKUP(F6044,CARTON_LOOKUP!$A:$E,5,0),"")</f>
      </c>
      <c r="J6044" s="29">
        <f>IFERROR(VLOOKUP(F6044,CARTON_LOOKUP!$A:$E,2,0),"")</f>
      </c>
      <c r="K6044" s="29">
        <f>IFERROR(J6044*D6044,0)</f>
      </c>
      <c r="L6044" s="29">
        <f>IFERROR(E6044*C6044,0)</f>
      </c>
      <c r="M6044" s="29">
        <f>IFERROR((G6044*H6044*I6044/1000000)*D6044,0)</f>
      </c>
    </row>
    <row r="6045" spans="1:13" x14ac:dyDescent="0.25">
      <c r="A6045" s="16"/>
      <c r="E6045" s="27"/>
      <c r="F6045" t="s">
        <v>26</v>
      </c>
      <c r="G6045" s="28">
        <f>IFERROR(VLOOKUP(F6045,CARTON_LOOKUP!$A:$E,3,0),"")</f>
      </c>
      <c r="H6045" s="28">
        <f>IFERROR(VLOOKUP(F6045,CARTON_LOOKUP!$A:$E,4,0),"")</f>
      </c>
      <c r="I6045" s="28">
        <f>IFERROR(VLOOKUP(F6045,CARTON_LOOKUP!$A:$E,5,0),"")</f>
      </c>
      <c r="J6045" s="29">
        <f>IFERROR(VLOOKUP(F6045,CARTON_LOOKUP!$A:$E,2,0),"")</f>
      </c>
      <c r="K6045" s="29">
        <f>IFERROR(J6045*D6045,0)</f>
      </c>
      <c r="L6045" s="29">
        <f>IFERROR(E6045*C6045,0)</f>
      </c>
      <c r="M6045" s="29">
        <f>IFERROR((G6045*H6045*I6045/1000000)*D6045,0)</f>
      </c>
    </row>
    <row r="6046" spans="1:13" x14ac:dyDescent="0.25">
      <c r="A6046" s="16"/>
      <c r="E6046" s="27"/>
      <c r="F6046" t="s">
        <v>26</v>
      </c>
      <c r="G6046" s="28">
        <f>IFERROR(VLOOKUP(F6046,CARTON_LOOKUP!$A:$E,3,0),"")</f>
      </c>
      <c r="H6046" s="28">
        <f>IFERROR(VLOOKUP(F6046,CARTON_LOOKUP!$A:$E,4,0),"")</f>
      </c>
      <c r="I6046" s="28">
        <f>IFERROR(VLOOKUP(F6046,CARTON_LOOKUP!$A:$E,5,0),"")</f>
      </c>
      <c r="J6046" s="29">
        <f>IFERROR(VLOOKUP(F6046,CARTON_LOOKUP!$A:$E,2,0),"")</f>
      </c>
      <c r="K6046" s="29">
        <f>IFERROR(J6046*D6046,0)</f>
      </c>
      <c r="L6046" s="29">
        <f>IFERROR(E6046*C6046,0)</f>
      </c>
      <c r="M6046" s="29">
        <f>IFERROR((G6046*H6046*I6046/1000000)*D6046,0)</f>
      </c>
    </row>
    <row r="6047" spans="1:13" x14ac:dyDescent="0.25">
      <c r="A6047" s="16"/>
      <c r="E6047" s="27"/>
      <c r="F6047" t="s">
        <v>26</v>
      </c>
      <c r="G6047" s="28">
        <f>IFERROR(VLOOKUP(F6047,CARTON_LOOKUP!$A:$E,3,0),"")</f>
      </c>
      <c r="H6047" s="28">
        <f>IFERROR(VLOOKUP(F6047,CARTON_LOOKUP!$A:$E,4,0),"")</f>
      </c>
      <c r="I6047" s="28">
        <f>IFERROR(VLOOKUP(F6047,CARTON_LOOKUP!$A:$E,5,0),"")</f>
      </c>
      <c r="J6047" s="29">
        <f>IFERROR(VLOOKUP(F6047,CARTON_LOOKUP!$A:$E,2,0),"")</f>
      </c>
      <c r="K6047" s="29">
        <f>IFERROR(J6047*D6047,0)</f>
      </c>
      <c r="L6047" s="29">
        <f>IFERROR(E6047*C6047,0)</f>
      </c>
      <c r="M6047" s="29">
        <f>IFERROR((G6047*H6047*I6047/1000000)*D6047,0)</f>
      </c>
    </row>
    <row r="6048" spans="1:13" x14ac:dyDescent="0.25">
      <c r="A6048" s="16"/>
      <c r="E6048" s="27"/>
      <c r="F6048" t="s">
        <v>26</v>
      </c>
      <c r="G6048" s="28">
        <f>IFERROR(VLOOKUP(F6048,CARTON_LOOKUP!$A:$E,3,0),"")</f>
      </c>
      <c r="H6048" s="28">
        <f>IFERROR(VLOOKUP(F6048,CARTON_LOOKUP!$A:$E,4,0),"")</f>
      </c>
      <c r="I6048" s="28">
        <f>IFERROR(VLOOKUP(F6048,CARTON_LOOKUP!$A:$E,5,0),"")</f>
      </c>
      <c r="J6048" s="29">
        <f>IFERROR(VLOOKUP(F6048,CARTON_LOOKUP!$A:$E,2,0),"")</f>
      </c>
      <c r="K6048" s="29">
        <f>IFERROR(J6048*D6048,0)</f>
      </c>
      <c r="L6048" s="29">
        <f>IFERROR(E6048*C6048,0)</f>
      </c>
      <c r="M6048" s="29">
        <f>IFERROR((G6048*H6048*I6048/1000000)*D6048,0)</f>
      </c>
    </row>
    <row r="6049" spans="1:13" x14ac:dyDescent="0.25">
      <c r="A6049" s="16"/>
      <c r="E6049" s="27"/>
      <c r="F6049" t="s">
        <v>26</v>
      </c>
      <c r="G6049" s="28">
        <f>IFERROR(VLOOKUP(F6049,CARTON_LOOKUP!$A:$E,3,0),"")</f>
      </c>
      <c r="H6049" s="28">
        <f>IFERROR(VLOOKUP(F6049,CARTON_LOOKUP!$A:$E,4,0),"")</f>
      </c>
      <c r="I6049" s="28">
        <f>IFERROR(VLOOKUP(F6049,CARTON_LOOKUP!$A:$E,5,0),"")</f>
      </c>
      <c r="J6049" s="29">
        <f>IFERROR(VLOOKUP(F6049,CARTON_LOOKUP!$A:$E,2,0),"")</f>
      </c>
      <c r="K6049" s="29">
        <f>IFERROR(J6049*D6049,0)</f>
      </c>
      <c r="L6049" s="29">
        <f>IFERROR(E6049*C6049,0)</f>
      </c>
      <c r="M6049" s="29">
        <f>IFERROR((G6049*H6049*I6049/1000000)*D6049,0)</f>
      </c>
    </row>
    <row r="6050" spans="1:13" x14ac:dyDescent="0.25">
      <c r="A6050" s="16"/>
      <c r="E6050" s="27"/>
      <c r="F6050" t="s">
        <v>26</v>
      </c>
      <c r="G6050" s="28">
        <f>IFERROR(VLOOKUP(F6050,CARTON_LOOKUP!$A:$E,3,0),"")</f>
      </c>
      <c r="H6050" s="28">
        <f>IFERROR(VLOOKUP(F6050,CARTON_LOOKUP!$A:$E,4,0),"")</f>
      </c>
      <c r="I6050" s="28">
        <f>IFERROR(VLOOKUP(F6050,CARTON_LOOKUP!$A:$E,5,0),"")</f>
      </c>
      <c r="J6050" s="29">
        <f>IFERROR(VLOOKUP(F6050,CARTON_LOOKUP!$A:$E,2,0),"")</f>
      </c>
      <c r="K6050" s="29">
        <f>IFERROR(J6050*D6050,0)</f>
      </c>
      <c r="L6050" s="29">
        <f>IFERROR(E6050*C6050,0)</f>
      </c>
      <c r="M6050" s="29">
        <f>IFERROR((G6050*H6050*I6050/1000000)*D6050,0)</f>
      </c>
    </row>
    <row r="6051" spans="1:13" x14ac:dyDescent="0.25">
      <c r="A6051" s="16"/>
      <c r="E6051" s="27"/>
      <c r="F6051" t="s">
        <v>26</v>
      </c>
      <c r="G6051" s="28">
        <f>IFERROR(VLOOKUP(F6051,CARTON_LOOKUP!$A:$E,3,0),"")</f>
      </c>
      <c r="H6051" s="28">
        <f>IFERROR(VLOOKUP(F6051,CARTON_LOOKUP!$A:$E,4,0),"")</f>
      </c>
      <c r="I6051" s="28">
        <f>IFERROR(VLOOKUP(F6051,CARTON_LOOKUP!$A:$E,5,0),"")</f>
      </c>
      <c r="J6051" s="29">
        <f>IFERROR(VLOOKUP(F6051,CARTON_LOOKUP!$A:$E,2,0),"")</f>
      </c>
      <c r="K6051" s="29">
        <f>IFERROR(J6051*D6051,0)</f>
      </c>
      <c r="L6051" s="29">
        <f>IFERROR(E6051*C6051,0)</f>
      </c>
      <c r="M6051" s="29">
        <f>IFERROR((G6051*H6051*I6051/1000000)*D6051,0)</f>
      </c>
    </row>
    <row r="6052" spans="1:13" x14ac:dyDescent="0.25">
      <c r="A6052" s="16"/>
      <c r="E6052" s="27"/>
      <c r="F6052" t="s">
        <v>26</v>
      </c>
      <c r="G6052" s="28">
        <f>IFERROR(VLOOKUP(F6052,CARTON_LOOKUP!$A:$E,3,0),"")</f>
      </c>
      <c r="H6052" s="28">
        <f>IFERROR(VLOOKUP(F6052,CARTON_LOOKUP!$A:$E,4,0),"")</f>
      </c>
      <c r="I6052" s="28">
        <f>IFERROR(VLOOKUP(F6052,CARTON_LOOKUP!$A:$E,5,0),"")</f>
      </c>
      <c r="J6052" s="29">
        <f>IFERROR(VLOOKUP(F6052,CARTON_LOOKUP!$A:$E,2,0),"")</f>
      </c>
      <c r="K6052" s="29">
        <f>IFERROR(J6052*D6052,0)</f>
      </c>
      <c r="L6052" s="29">
        <f>IFERROR(E6052*C6052,0)</f>
      </c>
      <c r="M6052" s="29">
        <f>IFERROR((G6052*H6052*I6052/1000000)*D6052,0)</f>
      </c>
    </row>
    <row r="6053" spans="1:13" x14ac:dyDescent="0.25">
      <c r="A6053" s="16"/>
      <c r="E6053" s="27"/>
      <c r="F6053" t="s">
        <v>26</v>
      </c>
      <c r="G6053" s="28">
        <f>IFERROR(VLOOKUP(F6053,CARTON_LOOKUP!$A:$E,3,0),"")</f>
      </c>
      <c r="H6053" s="28">
        <f>IFERROR(VLOOKUP(F6053,CARTON_LOOKUP!$A:$E,4,0),"")</f>
      </c>
      <c r="I6053" s="28">
        <f>IFERROR(VLOOKUP(F6053,CARTON_LOOKUP!$A:$E,5,0),"")</f>
      </c>
      <c r="J6053" s="29">
        <f>IFERROR(VLOOKUP(F6053,CARTON_LOOKUP!$A:$E,2,0),"")</f>
      </c>
      <c r="K6053" s="29">
        <f>IFERROR(J6053*D6053,0)</f>
      </c>
      <c r="L6053" s="29">
        <f>IFERROR(E6053*C6053,0)</f>
      </c>
      <c r="M6053" s="29">
        <f>IFERROR((G6053*H6053*I6053/1000000)*D6053,0)</f>
      </c>
    </row>
    <row r="6054" spans="1:13" x14ac:dyDescent="0.25">
      <c r="A6054" s="16"/>
      <c r="E6054" s="27"/>
      <c r="F6054" t="s">
        <v>26</v>
      </c>
      <c r="G6054" s="28">
        <f>IFERROR(VLOOKUP(F6054,CARTON_LOOKUP!$A:$E,3,0),"")</f>
      </c>
      <c r="H6054" s="28">
        <f>IFERROR(VLOOKUP(F6054,CARTON_LOOKUP!$A:$E,4,0),"")</f>
      </c>
      <c r="I6054" s="28">
        <f>IFERROR(VLOOKUP(F6054,CARTON_LOOKUP!$A:$E,5,0),"")</f>
      </c>
      <c r="J6054" s="29">
        <f>IFERROR(VLOOKUP(F6054,CARTON_LOOKUP!$A:$E,2,0),"")</f>
      </c>
      <c r="K6054" s="29">
        <f>IFERROR(J6054*D6054,0)</f>
      </c>
      <c r="L6054" s="29">
        <f>IFERROR(E6054*C6054,0)</f>
      </c>
      <c r="M6054" s="29">
        <f>IFERROR((G6054*H6054*I6054/1000000)*D6054,0)</f>
      </c>
    </row>
    <row r="6055" spans="1:13" x14ac:dyDescent="0.25">
      <c r="A6055" s="16"/>
      <c r="E6055" s="27"/>
      <c r="F6055" t="s">
        <v>26</v>
      </c>
      <c r="G6055" s="28">
        <f>IFERROR(VLOOKUP(F6055,CARTON_LOOKUP!$A:$E,3,0),"")</f>
      </c>
      <c r="H6055" s="28">
        <f>IFERROR(VLOOKUP(F6055,CARTON_LOOKUP!$A:$E,4,0),"")</f>
      </c>
      <c r="I6055" s="28">
        <f>IFERROR(VLOOKUP(F6055,CARTON_LOOKUP!$A:$E,5,0),"")</f>
      </c>
      <c r="J6055" s="29">
        <f>IFERROR(VLOOKUP(F6055,CARTON_LOOKUP!$A:$E,2,0),"")</f>
      </c>
      <c r="K6055" s="29">
        <f>IFERROR(J6055*D6055,0)</f>
      </c>
      <c r="L6055" s="29">
        <f>IFERROR(E6055*C6055,0)</f>
      </c>
      <c r="M6055" s="29">
        <f>IFERROR((G6055*H6055*I6055/1000000)*D6055,0)</f>
      </c>
    </row>
    <row r="6056" spans="1:13" x14ac:dyDescent="0.25">
      <c r="A6056" s="16"/>
      <c r="E6056" s="27"/>
      <c r="F6056" t="s">
        <v>26</v>
      </c>
      <c r="G6056" s="28">
        <f>IFERROR(VLOOKUP(F6056,CARTON_LOOKUP!$A:$E,3,0),"")</f>
      </c>
      <c r="H6056" s="28">
        <f>IFERROR(VLOOKUP(F6056,CARTON_LOOKUP!$A:$E,4,0),"")</f>
      </c>
      <c r="I6056" s="28">
        <f>IFERROR(VLOOKUP(F6056,CARTON_LOOKUP!$A:$E,5,0),"")</f>
      </c>
      <c r="J6056" s="29">
        <f>IFERROR(VLOOKUP(F6056,CARTON_LOOKUP!$A:$E,2,0),"")</f>
      </c>
      <c r="K6056" s="29">
        <f>IFERROR(J6056*D6056,0)</f>
      </c>
      <c r="L6056" s="29">
        <f>IFERROR(E6056*C6056,0)</f>
      </c>
      <c r="M6056" s="29">
        <f>IFERROR((G6056*H6056*I6056/1000000)*D6056,0)</f>
      </c>
    </row>
    <row r="6057" spans="1:13" x14ac:dyDescent="0.25">
      <c r="A6057" s="16"/>
      <c r="E6057" s="27"/>
      <c r="F6057" t="s">
        <v>26</v>
      </c>
      <c r="G6057" s="28">
        <f>IFERROR(VLOOKUP(F6057,CARTON_LOOKUP!$A:$E,3,0),"")</f>
      </c>
      <c r="H6057" s="28">
        <f>IFERROR(VLOOKUP(F6057,CARTON_LOOKUP!$A:$E,4,0),"")</f>
      </c>
      <c r="I6057" s="28">
        <f>IFERROR(VLOOKUP(F6057,CARTON_LOOKUP!$A:$E,5,0),"")</f>
      </c>
      <c r="J6057" s="29">
        <f>IFERROR(VLOOKUP(F6057,CARTON_LOOKUP!$A:$E,2,0),"")</f>
      </c>
      <c r="K6057" s="29">
        <f>IFERROR(J6057*D6057,0)</f>
      </c>
      <c r="L6057" s="29">
        <f>IFERROR(E6057*C6057,0)</f>
      </c>
      <c r="M6057" s="29">
        <f>IFERROR((G6057*H6057*I6057/1000000)*D6057,0)</f>
      </c>
    </row>
    <row r="6058" spans="1:13" x14ac:dyDescent="0.25">
      <c r="A6058" s="16"/>
      <c r="E6058" s="27"/>
      <c r="F6058" t="s">
        <v>26</v>
      </c>
      <c r="G6058" s="28">
        <f>IFERROR(VLOOKUP(F6058,CARTON_LOOKUP!$A:$E,3,0),"")</f>
      </c>
      <c r="H6058" s="28">
        <f>IFERROR(VLOOKUP(F6058,CARTON_LOOKUP!$A:$E,4,0),"")</f>
      </c>
      <c r="I6058" s="28">
        <f>IFERROR(VLOOKUP(F6058,CARTON_LOOKUP!$A:$E,5,0),"")</f>
      </c>
      <c r="J6058" s="29">
        <f>IFERROR(VLOOKUP(F6058,CARTON_LOOKUP!$A:$E,2,0),"")</f>
      </c>
      <c r="K6058" s="29">
        <f>IFERROR(J6058*D6058,0)</f>
      </c>
      <c r="L6058" s="29">
        <f>IFERROR(E6058*C6058,0)</f>
      </c>
      <c r="M6058" s="29">
        <f>IFERROR((G6058*H6058*I6058/1000000)*D6058,0)</f>
      </c>
    </row>
    <row r="6059" spans="1:13" x14ac:dyDescent="0.25">
      <c r="A6059" s="16"/>
      <c r="E6059" s="27"/>
      <c r="F6059" t="s">
        <v>26</v>
      </c>
      <c r="G6059" s="28">
        <f>IFERROR(VLOOKUP(F6059,CARTON_LOOKUP!$A:$E,3,0),"")</f>
      </c>
      <c r="H6059" s="28">
        <f>IFERROR(VLOOKUP(F6059,CARTON_LOOKUP!$A:$E,4,0),"")</f>
      </c>
      <c r="I6059" s="28">
        <f>IFERROR(VLOOKUP(F6059,CARTON_LOOKUP!$A:$E,5,0),"")</f>
      </c>
      <c r="J6059" s="29">
        <f>IFERROR(VLOOKUP(F6059,CARTON_LOOKUP!$A:$E,2,0),"")</f>
      </c>
      <c r="K6059" s="29">
        <f>IFERROR(J6059*D6059,0)</f>
      </c>
      <c r="L6059" s="29">
        <f>IFERROR(E6059*C6059,0)</f>
      </c>
      <c r="M6059" s="29">
        <f>IFERROR((G6059*H6059*I6059/1000000)*D6059,0)</f>
      </c>
    </row>
    <row r="6060" spans="1:13" x14ac:dyDescent="0.25">
      <c r="A6060" s="16"/>
      <c r="E6060" s="27"/>
      <c r="F6060" t="s">
        <v>26</v>
      </c>
      <c r="G6060" s="28">
        <f>IFERROR(VLOOKUP(F6060,CARTON_LOOKUP!$A:$E,3,0),"")</f>
      </c>
      <c r="H6060" s="28">
        <f>IFERROR(VLOOKUP(F6060,CARTON_LOOKUP!$A:$E,4,0),"")</f>
      </c>
      <c r="I6060" s="28">
        <f>IFERROR(VLOOKUP(F6060,CARTON_LOOKUP!$A:$E,5,0),"")</f>
      </c>
      <c r="J6060" s="29">
        <f>IFERROR(VLOOKUP(F6060,CARTON_LOOKUP!$A:$E,2,0),"")</f>
      </c>
      <c r="K6060" s="29">
        <f>IFERROR(J6060*D6060,0)</f>
      </c>
      <c r="L6060" s="29">
        <f>IFERROR(E6060*C6060,0)</f>
      </c>
      <c r="M6060" s="29">
        <f>IFERROR((G6060*H6060*I6060/1000000)*D6060,0)</f>
      </c>
    </row>
    <row r="6061" spans="1:13" x14ac:dyDescent="0.25">
      <c r="A6061" s="16"/>
      <c r="E6061" s="27"/>
      <c r="F6061" t="s">
        <v>26</v>
      </c>
      <c r="G6061" s="28">
        <f>IFERROR(VLOOKUP(F6061,CARTON_LOOKUP!$A:$E,3,0),"")</f>
      </c>
      <c r="H6061" s="28">
        <f>IFERROR(VLOOKUP(F6061,CARTON_LOOKUP!$A:$E,4,0),"")</f>
      </c>
      <c r="I6061" s="28">
        <f>IFERROR(VLOOKUP(F6061,CARTON_LOOKUP!$A:$E,5,0),"")</f>
      </c>
      <c r="J6061" s="29">
        <f>IFERROR(VLOOKUP(F6061,CARTON_LOOKUP!$A:$E,2,0),"")</f>
      </c>
      <c r="K6061" s="29">
        <f>IFERROR(J6061*D6061,0)</f>
      </c>
      <c r="L6061" s="29">
        <f>IFERROR(E6061*C6061,0)</f>
      </c>
      <c r="M6061" s="29">
        <f>IFERROR((G6061*H6061*I6061/1000000)*D6061,0)</f>
      </c>
    </row>
    <row r="6062" spans="1:13" x14ac:dyDescent="0.25">
      <c r="A6062" s="16"/>
      <c r="E6062" s="27"/>
      <c r="F6062" t="s">
        <v>26</v>
      </c>
      <c r="G6062" s="28">
        <f>IFERROR(VLOOKUP(F6062,CARTON_LOOKUP!$A:$E,3,0),"")</f>
      </c>
      <c r="H6062" s="28">
        <f>IFERROR(VLOOKUP(F6062,CARTON_LOOKUP!$A:$E,4,0),"")</f>
      </c>
      <c r="I6062" s="28">
        <f>IFERROR(VLOOKUP(F6062,CARTON_LOOKUP!$A:$E,5,0),"")</f>
      </c>
      <c r="J6062" s="29">
        <f>IFERROR(VLOOKUP(F6062,CARTON_LOOKUP!$A:$E,2,0),"")</f>
      </c>
      <c r="K6062" s="29">
        <f>IFERROR(J6062*D6062,0)</f>
      </c>
      <c r="L6062" s="29">
        <f>IFERROR(E6062*C6062,0)</f>
      </c>
      <c r="M6062" s="29">
        <f>IFERROR((G6062*H6062*I6062/1000000)*D6062,0)</f>
      </c>
    </row>
    <row r="6063" spans="1:13" x14ac:dyDescent="0.25">
      <c r="A6063" s="16"/>
      <c r="E6063" s="27"/>
      <c r="F6063" t="s">
        <v>26</v>
      </c>
      <c r="G6063" s="28">
        <f>IFERROR(VLOOKUP(F6063,CARTON_LOOKUP!$A:$E,3,0),"")</f>
      </c>
      <c r="H6063" s="28">
        <f>IFERROR(VLOOKUP(F6063,CARTON_LOOKUP!$A:$E,4,0),"")</f>
      </c>
      <c r="I6063" s="28">
        <f>IFERROR(VLOOKUP(F6063,CARTON_LOOKUP!$A:$E,5,0),"")</f>
      </c>
      <c r="J6063" s="29">
        <f>IFERROR(VLOOKUP(F6063,CARTON_LOOKUP!$A:$E,2,0),"")</f>
      </c>
      <c r="K6063" s="29">
        <f>IFERROR(J6063*D6063,0)</f>
      </c>
      <c r="L6063" s="29">
        <f>IFERROR(E6063*C6063,0)</f>
      </c>
      <c r="M6063" s="29">
        <f>IFERROR((G6063*H6063*I6063/1000000)*D6063,0)</f>
      </c>
    </row>
    <row r="6064" spans="1:13" x14ac:dyDescent="0.25">
      <c r="A6064" s="16"/>
      <c r="E6064" s="27"/>
      <c r="F6064" t="s">
        <v>26</v>
      </c>
      <c r="G6064" s="28">
        <f>IFERROR(VLOOKUP(F6064,CARTON_LOOKUP!$A:$E,3,0),"")</f>
      </c>
      <c r="H6064" s="28">
        <f>IFERROR(VLOOKUP(F6064,CARTON_LOOKUP!$A:$E,4,0),"")</f>
      </c>
      <c r="I6064" s="28">
        <f>IFERROR(VLOOKUP(F6064,CARTON_LOOKUP!$A:$E,5,0),"")</f>
      </c>
      <c r="J6064" s="29">
        <f>IFERROR(VLOOKUP(F6064,CARTON_LOOKUP!$A:$E,2,0),"")</f>
      </c>
      <c r="K6064" s="29">
        <f>IFERROR(J6064*D6064,0)</f>
      </c>
      <c r="L6064" s="29">
        <f>IFERROR(E6064*C6064,0)</f>
      </c>
      <c r="M6064" s="29">
        <f>IFERROR((G6064*H6064*I6064/1000000)*D6064,0)</f>
      </c>
    </row>
    <row r="6065" spans="1:13" x14ac:dyDescent="0.25">
      <c r="A6065" s="16"/>
      <c r="E6065" s="27"/>
      <c r="F6065" t="s">
        <v>26</v>
      </c>
      <c r="G6065" s="28">
        <f>IFERROR(VLOOKUP(F6065,CARTON_LOOKUP!$A:$E,3,0),"")</f>
      </c>
      <c r="H6065" s="28">
        <f>IFERROR(VLOOKUP(F6065,CARTON_LOOKUP!$A:$E,4,0),"")</f>
      </c>
      <c r="I6065" s="28">
        <f>IFERROR(VLOOKUP(F6065,CARTON_LOOKUP!$A:$E,5,0),"")</f>
      </c>
      <c r="J6065" s="29">
        <f>IFERROR(VLOOKUP(F6065,CARTON_LOOKUP!$A:$E,2,0),"")</f>
      </c>
      <c r="K6065" s="29">
        <f>IFERROR(J6065*D6065,0)</f>
      </c>
      <c r="L6065" s="29">
        <f>IFERROR(E6065*C6065,0)</f>
      </c>
      <c r="M6065" s="29">
        <f>IFERROR((G6065*H6065*I6065/1000000)*D6065,0)</f>
      </c>
    </row>
    <row r="6066" spans="1:13" x14ac:dyDescent="0.25">
      <c r="A6066" s="16"/>
      <c r="E6066" s="27"/>
      <c r="F6066" t="s">
        <v>26</v>
      </c>
      <c r="G6066" s="28">
        <f>IFERROR(VLOOKUP(F6066,CARTON_LOOKUP!$A:$E,3,0),"")</f>
      </c>
      <c r="H6066" s="28">
        <f>IFERROR(VLOOKUP(F6066,CARTON_LOOKUP!$A:$E,4,0),"")</f>
      </c>
      <c r="I6066" s="28">
        <f>IFERROR(VLOOKUP(F6066,CARTON_LOOKUP!$A:$E,5,0),"")</f>
      </c>
      <c r="J6066" s="29">
        <f>IFERROR(VLOOKUP(F6066,CARTON_LOOKUP!$A:$E,2,0),"")</f>
      </c>
      <c r="K6066" s="29">
        <f>IFERROR(J6066*D6066,0)</f>
      </c>
      <c r="L6066" s="29">
        <f>IFERROR(E6066*C6066,0)</f>
      </c>
      <c r="M6066" s="29">
        <f>IFERROR((G6066*H6066*I6066/1000000)*D6066,0)</f>
      </c>
    </row>
    <row r="6067" spans="1:13" x14ac:dyDescent="0.25">
      <c r="A6067" s="16"/>
      <c r="E6067" s="27"/>
      <c r="F6067" t="s">
        <v>26</v>
      </c>
      <c r="G6067" s="28">
        <f>IFERROR(VLOOKUP(F6067,CARTON_LOOKUP!$A:$E,3,0),"")</f>
      </c>
      <c r="H6067" s="28">
        <f>IFERROR(VLOOKUP(F6067,CARTON_LOOKUP!$A:$E,4,0),"")</f>
      </c>
      <c r="I6067" s="28">
        <f>IFERROR(VLOOKUP(F6067,CARTON_LOOKUP!$A:$E,5,0),"")</f>
      </c>
      <c r="J6067" s="29">
        <f>IFERROR(VLOOKUP(F6067,CARTON_LOOKUP!$A:$E,2,0),"")</f>
      </c>
      <c r="K6067" s="29">
        <f>IFERROR(J6067*D6067,0)</f>
      </c>
      <c r="L6067" s="29">
        <f>IFERROR(E6067*C6067,0)</f>
      </c>
      <c r="M6067" s="29">
        <f>IFERROR((G6067*H6067*I6067/1000000)*D6067,0)</f>
      </c>
    </row>
    <row r="6068" spans="1:13" x14ac:dyDescent="0.25">
      <c r="A6068" s="16"/>
      <c r="E6068" s="27"/>
      <c r="F6068" t="s">
        <v>26</v>
      </c>
      <c r="G6068" s="28">
        <f>IFERROR(VLOOKUP(F6068,CARTON_LOOKUP!$A:$E,3,0),"")</f>
      </c>
      <c r="H6068" s="28">
        <f>IFERROR(VLOOKUP(F6068,CARTON_LOOKUP!$A:$E,4,0),"")</f>
      </c>
      <c r="I6068" s="28">
        <f>IFERROR(VLOOKUP(F6068,CARTON_LOOKUP!$A:$E,5,0),"")</f>
      </c>
      <c r="J6068" s="29">
        <f>IFERROR(VLOOKUP(F6068,CARTON_LOOKUP!$A:$E,2,0),"")</f>
      </c>
      <c r="K6068" s="29">
        <f>IFERROR(J6068*D6068,0)</f>
      </c>
      <c r="L6068" s="29">
        <f>IFERROR(E6068*C6068,0)</f>
      </c>
      <c r="M6068" s="29">
        <f>IFERROR((G6068*H6068*I6068/1000000)*D6068,0)</f>
      </c>
    </row>
    <row r="6069" spans="1:13" x14ac:dyDescent="0.25">
      <c r="A6069" s="16"/>
      <c r="E6069" s="27"/>
      <c r="F6069" t="s">
        <v>26</v>
      </c>
      <c r="G6069" s="28">
        <f>IFERROR(VLOOKUP(F6069,CARTON_LOOKUP!$A:$E,3,0),"")</f>
      </c>
      <c r="H6069" s="28">
        <f>IFERROR(VLOOKUP(F6069,CARTON_LOOKUP!$A:$E,4,0),"")</f>
      </c>
      <c r="I6069" s="28">
        <f>IFERROR(VLOOKUP(F6069,CARTON_LOOKUP!$A:$E,5,0),"")</f>
      </c>
      <c r="J6069" s="29">
        <f>IFERROR(VLOOKUP(F6069,CARTON_LOOKUP!$A:$E,2,0),"")</f>
      </c>
      <c r="K6069" s="29">
        <f>IFERROR(J6069*D6069,0)</f>
      </c>
      <c r="L6069" s="29">
        <f>IFERROR(E6069*C6069,0)</f>
      </c>
      <c r="M6069" s="29">
        <f>IFERROR((G6069*H6069*I6069/1000000)*D6069,0)</f>
      </c>
    </row>
    <row r="6070" spans="1:13" x14ac:dyDescent="0.25">
      <c r="A6070" s="16"/>
      <c r="E6070" s="27"/>
      <c r="F6070" t="s">
        <v>26</v>
      </c>
      <c r="G6070" s="28">
        <f>IFERROR(VLOOKUP(F6070,CARTON_LOOKUP!$A:$E,3,0),"")</f>
      </c>
      <c r="H6070" s="28">
        <f>IFERROR(VLOOKUP(F6070,CARTON_LOOKUP!$A:$E,4,0),"")</f>
      </c>
      <c r="I6070" s="28">
        <f>IFERROR(VLOOKUP(F6070,CARTON_LOOKUP!$A:$E,5,0),"")</f>
      </c>
      <c r="J6070" s="29">
        <f>IFERROR(VLOOKUP(F6070,CARTON_LOOKUP!$A:$E,2,0),"")</f>
      </c>
      <c r="K6070" s="29">
        <f>IFERROR(J6070*D6070,0)</f>
      </c>
      <c r="L6070" s="29">
        <f>IFERROR(E6070*C6070,0)</f>
      </c>
      <c r="M6070" s="29">
        <f>IFERROR((G6070*H6070*I6070/1000000)*D6070,0)</f>
      </c>
    </row>
    <row r="6071" spans="1:13" x14ac:dyDescent="0.25">
      <c r="A6071" s="16"/>
      <c r="E6071" s="27"/>
      <c r="F6071" t="s">
        <v>26</v>
      </c>
      <c r="G6071" s="28">
        <f>IFERROR(VLOOKUP(F6071,CARTON_LOOKUP!$A:$E,3,0),"")</f>
      </c>
      <c r="H6071" s="28">
        <f>IFERROR(VLOOKUP(F6071,CARTON_LOOKUP!$A:$E,4,0),"")</f>
      </c>
      <c r="I6071" s="28">
        <f>IFERROR(VLOOKUP(F6071,CARTON_LOOKUP!$A:$E,5,0),"")</f>
      </c>
      <c r="J6071" s="29">
        <f>IFERROR(VLOOKUP(F6071,CARTON_LOOKUP!$A:$E,2,0),"")</f>
      </c>
      <c r="K6071" s="29">
        <f>IFERROR(J6071*D6071,0)</f>
      </c>
      <c r="L6071" s="29">
        <f>IFERROR(E6071*C6071,0)</f>
      </c>
      <c r="M6071" s="29">
        <f>IFERROR((G6071*H6071*I6071/1000000)*D6071,0)</f>
      </c>
    </row>
    <row r="6072" spans="1:13" x14ac:dyDescent="0.25">
      <c r="A6072" s="16"/>
      <c r="E6072" s="27"/>
      <c r="F6072" t="s">
        <v>26</v>
      </c>
      <c r="G6072" s="28">
        <f>IFERROR(VLOOKUP(F6072,CARTON_LOOKUP!$A:$E,3,0),"")</f>
      </c>
      <c r="H6072" s="28">
        <f>IFERROR(VLOOKUP(F6072,CARTON_LOOKUP!$A:$E,4,0),"")</f>
      </c>
      <c r="I6072" s="28">
        <f>IFERROR(VLOOKUP(F6072,CARTON_LOOKUP!$A:$E,5,0),"")</f>
      </c>
      <c r="J6072" s="29">
        <f>IFERROR(VLOOKUP(F6072,CARTON_LOOKUP!$A:$E,2,0),"")</f>
      </c>
      <c r="K6072" s="29">
        <f>IFERROR(J6072*D6072,0)</f>
      </c>
      <c r="L6072" s="29">
        <f>IFERROR(E6072*C6072,0)</f>
      </c>
      <c r="M6072" s="29">
        <f>IFERROR((G6072*H6072*I6072/1000000)*D6072,0)</f>
      </c>
    </row>
    <row r="6073" spans="1:13" x14ac:dyDescent="0.25">
      <c r="A6073" s="16"/>
      <c r="E6073" s="27"/>
      <c r="F6073" t="s">
        <v>26</v>
      </c>
      <c r="G6073" s="28">
        <f>IFERROR(VLOOKUP(F6073,CARTON_LOOKUP!$A:$E,3,0),"")</f>
      </c>
      <c r="H6073" s="28">
        <f>IFERROR(VLOOKUP(F6073,CARTON_LOOKUP!$A:$E,4,0),"")</f>
      </c>
      <c r="I6073" s="28">
        <f>IFERROR(VLOOKUP(F6073,CARTON_LOOKUP!$A:$E,5,0),"")</f>
      </c>
      <c r="J6073" s="29">
        <f>IFERROR(VLOOKUP(F6073,CARTON_LOOKUP!$A:$E,2,0),"")</f>
      </c>
      <c r="K6073" s="29">
        <f>IFERROR(J6073*D6073,0)</f>
      </c>
      <c r="L6073" s="29">
        <f>IFERROR(E6073*C6073,0)</f>
      </c>
      <c r="M6073" s="29">
        <f>IFERROR((G6073*H6073*I6073/1000000)*D6073,0)</f>
      </c>
    </row>
    <row r="6074" spans="1:13" x14ac:dyDescent="0.25">
      <c r="A6074" s="16"/>
      <c r="E6074" s="27"/>
      <c r="F6074" t="s">
        <v>26</v>
      </c>
      <c r="G6074" s="28">
        <f>IFERROR(VLOOKUP(F6074,CARTON_LOOKUP!$A:$E,3,0),"")</f>
      </c>
      <c r="H6074" s="28">
        <f>IFERROR(VLOOKUP(F6074,CARTON_LOOKUP!$A:$E,4,0),"")</f>
      </c>
      <c r="I6074" s="28">
        <f>IFERROR(VLOOKUP(F6074,CARTON_LOOKUP!$A:$E,5,0),"")</f>
      </c>
      <c r="J6074" s="29">
        <f>IFERROR(VLOOKUP(F6074,CARTON_LOOKUP!$A:$E,2,0),"")</f>
      </c>
      <c r="K6074" s="29">
        <f>IFERROR(J6074*D6074,0)</f>
      </c>
      <c r="L6074" s="29">
        <f>IFERROR(E6074*C6074,0)</f>
      </c>
      <c r="M6074" s="29">
        <f>IFERROR((G6074*H6074*I6074/1000000)*D6074,0)</f>
      </c>
    </row>
    <row r="6075" spans="1:13" x14ac:dyDescent="0.25">
      <c r="A6075" s="16"/>
      <c r="E6075" s="27"/>
      <c r="F6075" t="s">
        <v>26</v>
      </c>
      <c r="G6075" s="28">
        <f>IFERROR(VLOOKUP(F6075,CARTON_LOOKUP!$A:$E,3,0),"")</f>
      </c>
      <c r="H6075" s="28">
        <f>IFERROR(VLOOKUP(F6075,CARTON_LOOKUP!$A:$E,4,0),"")</f>
      </c>
      <c r="I6075" s="28">
        <f>IFERROR(VLOOKUP(F6075,CARTON_LOOKUP!$A:$E,5,0),"")</f>
      </c>
      <c r="J6075" s="29">
        <f>IFERROR(VLOOKUP(F6075,CARTON_LOOKUP!$A:$E,2,0),"")</f>
      </c>
      <c r="K6075" s="29">
        <f>IFERROR(J6075*D6075,0)</f>
      </c>
      <c r="L6075" s="29">
        <f>IFERROR(E6075*C6075,0)</f>
      </c>
      <c r="M6075" s="29">
        <f>IFERROR((G6075*H6075*I6075/1000000)*D6075,0)</f>
      </c>
    </row>
    <row r="6076" spans="1:13" x14ac:dyDescent="0.25">
      <c r="A6076" s="16"/>
      <c r="E6076" s="27"/>
      <c r="F6076" t="s">
        <v>26</v>
      </c>
      <c r="G6076" s="28">
        <f>IFERROR(VLOOKUP(F6076,CARTON_LOOKUP!$A:$E,3,0),"")</f>
      </c>
      <c r="H6076" s="28">
        <f>IFERROR(VLOOKUP(F6076,CARTON_LOOKUP!$A:$E,4,0),"")</f>
      </c>
      <c r="I6076" s="28">
        <f>IFERROR(VLOOKUP(F6076,CARTON_LOOKUP!$A:$E,5,0),"")</f>
      </c>
      <c r="J6076" s="29">
        <f>IFERROR(VLOOKUP(F6076,CARTON_LOOKUP!$A:$E,2,0),"")</f>
      </c>
      <c r="K6076" s="29">
        <f>IFERROR(J6076*D6076,0)</f>
      </c>
      <c r="L6076" s="29">
        <f>IFERROR(E6076*C6076,0)</f>
      </c>
      <c r="M6076" s="29">
        <f>IFERROR((G6076*H6076*I6076/1000000)*D6076,0)</f>
      </c>
    </row>
    <row r="6077" spans="1:13" x14ac:dyDescent="0.25">
      <c r="A6077" s="16"/>
      <c r="E6077" s="27"/>
      <c r="F6077" t="s">
        <v>26</v>
      </c>
      <c r="G6077" s="28">
        <f>IFERROR(VLOOKUP(F6077,CARTON_LOOKUP!$A:$E,3,0),"")</f>
      </c>
      <c r="H6077" s="28">
        <f>IFERROR(VLOOKUP(F6077,CARTON_LOOKUP!$A:$E,4,0),"")</f>
      </c>
      <c r="I6077" s="28">
        <f>IFERROR(VLOOKUP(F6077,CARTON_LOOKUP!$A:$E,5,0),"")</f>
      </c>
      <c r="J6077" s="29">
        <f>IFERROR(VLOOKUP(F6077,CARTON_LOOKUP!$A:$E,2,0),"")</f>
      </c>
      <c r="K6077" s="29">
        <f>IFERROR(J6077*D6077,0)</f>
      </c>
      <c r="L6077" s="29">
        <f>IFERROR(E6077*C6077,0)</f>
      </c>
      <c r="M6077" s="29">
        <f>IFERROR((G6077*H6077*I6077/1000000)*D6077,0)</f>
      </c>
    </row>
    <row r="6078" spans="1:13" x14ac:dyDescent="0.25">
      <c r="A6078" s="16"/>
      <c r="E6078" s="27"/>
      <c r="F6078" t="s">
        <v>26</v>
      </c>
      <c r="G6078" s="28">
        <f>IFERROR(VLOOKUP(F6078,CARTON_LOOKUP!$A:$E,3,0),"")</f>
      </c>
      <c r="H6078" s="28">
        <f>IFERROR(VLOOKUP(F6078,CARTON_LOOKUP!$A:$E,4,0),"")</f>
      </c>
      <c r="I6078" s="28">
        <f>IFERROR(VLOOKUP(F6078,CARTON_LOOKUP!$A:$E,5,0),"")</f>
      </c>
      <c r="J6078" s="29">
        <f>IFERROR(VLOOKUP(F6078,CARTON_LOOKUP!$A:$E,2,0),"")</f>
      </c>
      <c r="K6078" s="29">
        <f>IFERROR(J6078*D6078,0)</f>
      </c>
      <c r="L6078" s="29">
        <f>IFERROR(E6078*C6078,0)</f>
      </c>
      <c r="M6078" s="29">
        <f>IFERROR((G6078*H6078*I6078/1000000)*D6078,0)</f>
      </c>
    </row>
    <row r="6079" spans="1:13" x14ac:dyDescent="0.25">
      <c r="A6079" s="16"/>
      <c r="E6079" s="27"/>
      <c r="F6079" t="s">
        <v>26</v>
      </c>
      <c r="G6079" s="28">
        <f>IFERROR(VLOOKUP(F6079,CARTON_LOOKUP!$A:$E,3,0),"")</f>
      </c>
      <c r="H6079" s="28">
        <f>IFERROR(VLOOKUP(F6079,CARTON_LOOKUP!$A:$E,4,0),"")</f>
      </c>
      <c r="I6079" s="28">
        <f>IFERROR(VLOOKUP(F6079,CARTON_LOOKUP!$A:$E,5,0),"")</f>
      </c>
      <c r="J6079" s="29">
        <f>IFERROR(VLOOKUP(F6079,CARTON_LOOKUP!$A:$E,2,0),"")</f>
      </c>
      <c r="K6079" s="29">
        <f>IFERROR(J6079*D6079,0)</f>
      </c>
      <c r="L6079" s="29">
        <f>IFERROR(E6079*C6079,0)</f>
      </c>
      <c r="M6079" s="29">
        <f>IFERROR((G6079*H6079*I6079/1000000)*D6079,0)</f>
      </c>
    </row>
    <row r="6080" spans="1:13" x14ac:dyDescent="0.25">
      <c r="A6080" s="16"/>
      <c r="E6080" s="27"/>
      <c r="F6080" t="s">
        <v>26</v>
      </c>
      <c r="G6080" s="28">
        <f>IFERROR(VLOOKUP(F6080,CARTON_LOOKUP!$A:$E,3,0),"")</f>
      </c>
      <c r="H6080" s="28">
        <f>IFERROR(VLOOKUP(F6080,CARTON_LOOKUP!$A:$E,4,0),"")</f>
      </c>
      <c r="I6080" s="28">
        <f>IFERROR(VLOOKUP(F6080,CARTON_LOOKUP!$A:$E,5,0),"")</f>
      </c>
      <c r="J6080" s="29">
        <f>IFERROR(VLOOKUP(F6080,CARTON_LOOKUP!$A:$E,2,0),"")</f>
      </c>
      <c r="K6080" s="29">
        <f>IFERROR(J6080*D6080,0)</f>
      </c>
      <c r="L6080" s="29">
        <f>IFERROR(E6080*C6080,0)</f>
      </c>
      <c r="M6080" s="29">
        <f>IFERROR((G6080*H6080*I6080/1000000)*D6080,0)</f>
      </c>
    </row>
    <row r="6081" spans="1:13" x14ac:dyDescent="0.25">
      <c r="A6081" s="16"/>
      <c r="E6081" s="27"/>
      <c r="F6081" t="s">
        <v>26</v>
      </c>
      <c r="G6081" s="28">
        <f>IFERROR(VLOOKUP(F6081,CARTON_LOOKUP!$A:$E,3,0),"")</f>
      </c>
      <c r="H6081" s="28">
        <f>IFERROR(VLOOKUP(F6081,CARTON_LOOKUP!$A:$E,4,0),"")</f>
      </c>
      <c r="I6081" s="28">
        <f>IFERROR(VLOOKUP(F6081,CARTON_LOOKUP!$A:$E,5,0),"")</f>
      </c>
      <c r="J6081" s="29">
        <f>IFERROR(VLOOKUP(F6081,CARTON_LOOKUP!$A:$E,2,0),"")</f>
      </c>
      <c r="K6081" s="29">
        <f>IFERROR(J6081*D6081,0)</f>
      </c>
      <c r="L6081" s="29">
        <f>IFERROR(E6081*C6081,0)</f>
      </c>
      <c r="M6081" s="29">
        <f>IFERROR((G6081*H6081*I6081/1000000)*D6081,0)</f>
      </c>
    </row>
    <row r="6082" spans="1:13" x14ac:dyDescent="0.25">
      <c r="A6082" s="16"/>
      <c r="E6082" s="27"/>
      <c r="F6082" t="s">
        <v>26</v>
      </c>
      <c r="G6082" s="28">
        <f>IFERROR(VLOOKUP(F6082,CARTON_LOOKUP!$A:$E,3,0),"")</f>
      </c>
      <c r="H6082" s="28">
        <f>IFERROR(VLOOKUP(F6082,CARTON_LOOKUP!$A:$E,4,0),"")</f>
      </c>
      <c r="I6082" s="28">
        <f>IFERROR(VLOOKUP(F6082,CARTON_LOOKUP!$A:$E,5,0),"")</f>
      </c>
      <c r="J6082" s="29">
        <f>IFERROR(VLOOKUP(F6082,CARTON_LOOKUP!$A:$E,2,0),"")</f>
      </c>
      <c r="K6082" s="29">
        <f>IFERROR(J6082*D6082,0)</f>
      </c>
      <c r="L6082" s="29">
        <f>IFERROR(E6082*C6082,0)</f>
      </c>
      <c r="M6082" s="29">
        <f>IFERROR((G6082*H6082*I6082/1000000)*D6082,0)</f>
      </c>
    </row>
    <row r="6083" spans="1:13" x14ac:dyDescent="0.25">
      <c r="A6083" s="16"/>
      <c r="E6083" s="27"/>
      <c r="F6083" t="s">
        <v>26</v>
      </c>
      <c r="G6083" s="28">
        <f>IFERROR(VLOOKUP(F6083,CARTON_LOOKUP!$A:$E,3,0),"")</f>
      </c>
      <c r="H6083" s="28">
        <f>IFERROR(VLOOKUP(F6083,CARTON_LOOKUP!$A:$E,4,0),"")</f>
      </c>
      <c r="I6083" s="28">
        <f>IFERROR(VLOOKUP(F6083,CARTON_LOOKUP!$A:$E,5,0),"")</f>
      </c>
      <c r="J6083" s="29">
        <f>IFERROR(VLOOKUP(F6083,CARTON_LOOKUP!$A:$E,2,0),"")</f>
      </c>
      <c r="K6083" s="29">
        <f>IFERROR(J6083*D6083,0)</f>
      </c>
      <c r="L6083" s="29">
        <f>IFERROR(E6083*C6083,0)</f>
      </c>
      <c r="M6083" s="29">
        <f>IFERROR((G6083*H6083*I6083/1000000)*D6083,0)</f>
      </c>
    </row>
    <row r="6084" spans="1:13" x14ac:dyDescent="0.25">
      <c r="A6084" s="16"/>
      <c r="E6084" s="27"/>
      <c r="F6084" t="s">
        <v>26</v>
      </c>
      <c r="G6084" s="28">
        <f>IFERROR(VLOOKUP(F6084,CARTON_LOOKUP!$A:$E,3,0),"")</f>
      </c>
      <c r="H6084" s="28">
        <f>IFERROR(VLOOKUP(F6084,CARTON_LOOKUP!$A:$E,4,0),"")</f>
      </c>
      <c r="I6084" s="28">
        <f>IFERROR(VLOOKUP(F6084,CARTON_LOOKUP!$A:$E,5,0),"")</f>
      </c>
      <c r="J6084" s="29">
        <f>IFERROR(VLOOKUP(F6084,CARTON_LOOKUP!$A:$E,2,0),"")</f>
      </c>
      <c r="K6084" s="29">
        <f>IFERROR(J6084*D6084,0)</f>
      </c>
      <c r="L6084" s="29">
        <f>IFERROR(E6084*C6084,0)</f>
      </c>
      <c r="M6084" s="29">
        <f>IFERROR((G6084*H6084*I6084/1000000)*D6084,0)</f>
      </c>
    </row>
    <row r="6085" spans="1:13" x14ac:dyDescent="0.25">
      <c r="A6085" s="16"/>
      <c r="E6085" s="27"/>
      <c r="F6085" t="s">
        <v>26</v>
      </c>
      <c r="G6085" s="28">
        <f>IFERROR(VLOOKUP(F6085,CARTON_LOOKUP!$A:$E,3,0),"")</f>
      </c>
      <c r="H6085" s="28">
        <f>IFERROR(VLOOKUP(F6085,CARTON_LOOKUP!$A:$E,4,0),"")</f>
      </c>
      <c r="I6085" s="28">
        <f>IFERROR(VLOOKUP(F6085,CARTON_LOOKUP!$A:$E,5,0),"")</f>
      </c>
      <c r="J6085" s="29">
        <f>IFERROR(VLOOKUP(F6085,CARTON_LOOKUP!$A:$E,2,0),"")</f>
      </c>
      <c r="K6085" s="29">
        <f>IFERROR(J6085*D6085,0)</f>
      </c>
      <c r="L6085" s="29">
        <f>IFERROR(E6085*C6085,0)</f>
      </c>
      <c r="M6085" s="29">
        <f>IFERROR((G6085*H6085*I6085/1000000)*D6085,0)</f>
      </c>
    </row>
    <row r="6086" spans="1:13" x14ac:dyDescent="0.25">
      <c r="A6086" s="16"/>
      <c r="E6086" s="27"/>
      <c r="F6086" t="s">
        <v>26</v>
      </c>
      <c r="G6086" s="28">
        <f>IFERROR(VLOOKUP(F6086,CARTON_LOOKUP!$A:$E,3,0),"")</f>
      </c>
      <c r="H6086" s="28">
        <f>IFERROR(VLOOKUP(F6086,CARTON_LOOKUP!$A:$E,4,0),"")</f>
      </c>
      <c r="I6086" s="28">
        <f>IFERROR(VLOOKUP(F6086,CARTON_LOOKUP!$A:$E,5,0),"")</f>
      </c>
      <c r="J6086" s="29">
        <f>IFERROR(VLOOKUP(F6086,CARTON_LOOKUP!$A:$E,2,0),"")</f>
      </c>
      <c r="K6086" s="29">
        <f>IFERROR(J6086*D6086,0)</f>
      </c>
      <c r="L6086" s="29">
        <f>IFERROR(E6086*C6086,0)</f>
      </c>
      <c r="M6086" s="29">
        <f>IFERROR((G6086*H6086*I6086/1000000)*D6086,0)</f>
      </c>
    </row>
    <row r="6087" spans="1:13" x14ac:dyDescent="0.25">
      <c r="A6087" s="16"/>
      <c r="E6087" s="27"/>
      <c r="F6087" t="s">
        <v>26</v>
      </c>
      <c r="G6087" s="28">
        <f>IFERROR(VLOOKUP(F6087,CARTON_LOOKUP!$A:$E,3,0),"")</f>
      </c>
      <c r="H6087" s="28">
        <f>IFERROR(VLOOKUP(F6087,CARTON_LOOKUP!$A:$E,4,0),"")</f>
      </c>
      <c r="I6087" s="28">
        <f>IFERROR(VLOOKUP(F6087,CARTON_LOOKUP!$A:$E,5,0),"")</f>
      </c>
      <c r="J6087" s="29">
        <f>IFERROR(VLOOKUP(F6087,CARTON_LOOKUP!$A:$E,2,0),"")</f>
      </c>
      <c r="K6087" s="29">
        <f>IFERROR(J6087*D6087,0)</f>
      </c>
      <c r="L6087" s="29">
        <f>IFERROR(E6087*C6087,0)</f>
      </c>
      <c r="M6087" s="29">
        <f>IFERROR((G6087*H6087*I6087/1000000)*D6087,0)</f>
      </c>
    </row>
    <row r="6088" spans="1:13" x14ac:dyDescent="0.25">
      <c r="A6088" s="16"/>
      <c r="E6088" s="27"/>
      <c r="F6088" t="s">
        <v>26</v>
      </c>
      <c r="G6088" s="28">
        <f>IFERROR(VLOOKUP(F6088,CARTON_LOOKUP!$A:$E,3,0),"")</f>
      </c>
      <c r="H6088" s="28">
        <f>IFERROR(VLOOKUP(F6088,CARTON_LOOKUP!$A:$E,4,0),"")</f>
      </c>
      <c r="I6088" s="28">
        <f>IFERROR(VLOOKUP(F6088,CARTON_LOOKUP!$A:$E,5,0),"")</f>
      </c>
      <c r="J6088" s="29">
        <f>IFERROR(VLOOKUP(F6088,CARTON_LOOKUP!$A:$E,2,0),"")</f>
      </c>
      <c r="K6088" s="29">
        <f>IFERROR(J6088*D6088,0)</f>
      </c>
      <c r="L6088" s="29">
        <f>IFERROR(E6088*C6088,0)</f>
      </c>
      <c r="M6088" s="29">
        <f>IFERROR((G6088*H6088*I6088/1000000)*D6088,0)</f>
      </c>
    </row>
    <row r="6089" spans="1:13" x14ac:dyDescent="0.25">
      <c r="A6089" s="16"/>
      <c r="E6089" s="27"/>
      <c r="F6089" t="s">
        <v>26</v>
      </c>
      <c r="G6089" s="28">
        <f>IFERROR(VLOOKUP(F6089,CARTON_LOOKUP!$A:$E,3,0),"")</f>
      </c>
      <c r="H6089" s="28">
        <f>IFERROR(VLOOKUP(F6089,CARTON_LOOKUP!$A:$E,4,0),"")</f>
      </c>
      <c r="I6089" s="28">
        <f>IFERROR(VLOOKUP(F6089,CARTON_LOOKUP!$A:$E,5,0),"")</f>
      </c>
      <c r="J6089" s="29">
        <f>IFERROR(VLOOKUP(F6089,CARTON_LOOKUP!$A:$E,2,0),"")</f>
      </c>
      <c r="K6089" s="29">
        <f>IFERROR(J6089*D6089,0)</f>
      </c>
      <c r="L6089" s="29">
        <f>IFERROR(E6089*C6089,0)</f>
      </c>
      <c r="M6089" s="29">
        <f>IFERROR((G6089*H6089*I6089/1000000)*D6089,0)</f>
      </c>
    </row>
    <row r="6090" spans="1:13" x14ac:dyDescent="0.25">
      <c r="A6090" s="16"/>
      <c r="E6090" s="27"/>
      <c r="F6090" t="s">
        <v>26</v>
      </c>
      <c r="G6090" s="28">
        <f>IFERROR(VLOOKUP(F6090,CARTON_LOOKUP!$A:$E,3,0),"")</f>
      </c>
      <c r="H6090" s="28">
        <f>IFERROR(VLOOKUP(F6090,CARTON_LOOKUP!$A:$E,4,0),"")</f>
      </c>
      <c r="I6090" s="28">
        <f>IFERROR(VLOOKUP(F6090,CARTON_LOOKUP!$A:$E,5,0),"")</f>
      </c>
      <c r="J6090" s="29">
        <f>IFERROR(VLOOKUP(F6090,CARTON_LOOKUP!$A:$E,2,0),"")</f>
      </c>
      <c r="K6090" s="29">
        <f>IFERROR(J6090*D6090,0)</f>
      </c>
      <c r="L6090" s="29">
        <f>IFERROR(E6090*C6090,0)</f>
      </c>
      <c r="M6090" s="29">
        <f>IFERROR((G6090*H6090*I6090/1000000)*D6090,0)</f>
      </c>
    </row>
    <row r="6091" spans="1:13" x14ac:dyDescent="0.25">
      <c r="A6091" s="16"/>
      <c r="E6091" s="27"/>
      <c r="F6091" t="s">
        <v>26</v>
      </c>
      <c r="G6091" s="28">
        <f>IFERROR(VLOOKUP(F6091,CARTON_LOOKUP!$A:$E,3,0),"")</f>
      </c>
      <c r="H6091" s="28">
        <f>IFERROR(VLOOKUP(F6091,CARTON_LOOKUP!$A:$E,4,0),"")</f>
      </c>
      <c r="I6091" s="28">
        <f>IFERROR(VLOOKUP(F6091,CARTON_LOOKUP!$A:$E,5,0),"")</f>
      </c>
      <c r="J6091" s="29">
        <f>IFERROR(VLOOKUP(F6091,CARTON_LOOKUP!$A:$E,2,0),"")</f>
      </c>
      <c r="K6091" s="29">
        <f>IFERROR(J6091*D6091,0)</f>
      </c>
      <c r="L6091" s="29">
        <f>IFERROR(E6091*C6091,0)</f>
      </c>
      <c r="M6091" s="29">
        <f>IFERROR((G6091*H6091*I6091/1000000)*D6091,0)</f>
      </c>
    </row>
    <row r="6092" spans="1:13" x14ac:dyDescent="0.25">
      <c r="A6092" s="16"/>
      <c r="E6092" s="27"/>
      <c r="F6092" t="s">
        <v>26</v>
      </c>
      <c r="G6092" s="28">
        <f>IFERROR(VLOOKUP(F6092,CARTON_LOOKUP!$A:$E,3,0),"")</f>
      </c>
      <c r="H6092" s="28">
        <f>IFERROR(VLOOKUP(F6092,CARTON_LOOKUP!$A:$E,4,0),"")</f>
      </c>
      <c r="I6092" s="28">
        <f>IFERROR(VLOOKUP(F6092,CARTON_LOOKUP!$A:$E,5,0),"")</f>
      </c>
      <c r="J6092" s="29">
        <f>IFERROR(VLOOKUP(F6092,CARTON_LOOKUP!$A:$E,2,0),"")</f>
      </c>
      <c r="K6092" s="29">
        <f>IFERROR(J6092*D6092,0)</f>
      </c>
      <c r="L6092" s="29">
        <f>IFERROR(E6092*C6092,0)</f>
      </c>
      <c r="M6092" s="29">
        <f>IFERROR((G6092*H6092*I6092/1000000)*D6092,0)</f>
      </c>
    </row>
    <row r="6093" spans="1:13" x14ac:dyDescent="0.25">
      <c r="A6093" s="16"/>
      <c r="E6093" s="27"/>
      <c r="F6093" t="s">
        <v>26</v>
      </c>
      <c r="G6093" s="28">
        <f>IFERROR(VLOOKUP(F6093,CARTON_LOOKUP!$A:$E,3,0),"")</f>
      </c>
      <c r="H6093" s="28">
        <f>IFERROR(VLOOKUP(F6093,CARTON_LOOKUP!$A:$E,4,0),"")</f>
      </c>
      <c r="I6093" s="28">
        <f>IFERROR(VLOOKUP(F6093,CARTON_LOOKUP!$A:$E,5,0),"")</f>
      </c>
      <c r="J6093" s="29">
        <f>IFERROR(VLOOKUP(F6093,CARTON_LOOKUP!$A:$E,2,0),"")</f>
      </c>
      <c r="K6093" s="29">
        <f>IFERROR(J6093*D6093,0)</f>
      </c>
      <c r="L6093" s="29">
        <f>IFERROR(E6093*C6093,0)</f>
      </c>
      <c r="M6093" s="29">
        <f>IFERROR((G6093*H6093*I6093/1000000)*D6093,0)</f>
      </c>
    </row>
    <row r="6094" spans="1:13" x14ac:dyDescent="0.25">
      <c r="A6094" s="16"/>
      <c r="E6094" s="27"/>
      <c r="F6094" t="s">
        <v>26</v>
      </c>
      <c r="G6094" s="28">
        <f>IFERROR(VLOOKUP(F6094,CARTON_LOOKUP!$A:$E,3,0),"")</f>
      </c>
      <c r="H6094" s="28">
        <f>IFERROR(VLOOKUP(F6094,CARTON_LOOKUP!$A:$E,4,0),"")</f>
      </c>
      <c r="I6094" s="28">
        <f>IFERROR(VLOOKUP(F6094,CARTON_LOOKUP!$A:$E,5,0),"")</f>
      </c>
      <c r="J6094" s="29">
        <f>IFERROR(VLOOKUP(F6094,CARTON_LOOKUP!$A:$E,2,0),"")</f>
      </c>
      <c r="K6094" s="29">
        <f>IFERROR(J6094*D6094,0)</f>
      </c>
      <c r="L6094" s="29">
        <f>IFERROR(E6094*C6094,0)</f>
      </c>
      <c r="M6094" s="29">
        <f>IFERROR((G6094*H6094*I6094/1000000)*D6094,0)</f>
      </c>
    </row>
    <row r="6095" spans="1:13" x14ac:dyDescent="0.25">
      <c r="A6095" s="16"/>
      <c r="E6095" s="27"/>
      <c r="F6095" t="s">
        <v>26</v>
      </c>
      <c r="G6095" s="28">
        <f>IFERROR(VLOOKUP(F6095,CARTON_LOOKUP!$A:$E,3,0),"")</f>
      </c>
      <c r="H6095" s="28">
        <f>IFERROR(VLOOKUP(F6095,CARTON_LOOKUP!$A:$E,4,0),"")</f>
      </c>
      <c r="I6095" s="28">
        <f>IFERROR(VLOOKUP(F6095,CARTON_LOOKUP!$A:$E,5,0),"")</f>
      </c>
      <c r="J6095" s="29">
        <f>IFERROR(VLOOKUP(F6095,CARTON_LOOKUP!$A:$E,2,0),"")</f>
      </c>
      <c r="K6095" s="29">
        <f>IFERROR(J6095*D6095,0)</f>
      </c>
      <c r="L6095" s="29">
        <f>IFERROR(E6095*C6095,0)</f>
      </c>
      <c r="M6095" s="29">
        <f>IFERROR((G6095*H6095*I6095/1000000)*D6095,0)</f>
      </c>
    </row>
    <row r="6096" spans="1:13" x14ac:dyDescent="0.25">
      <c r="A6096" s="16"/>
      <c r="E6096" s="27"/>
      <c r="F6096" t="s">
        <v>26</v>
      </c>
      <c r="G6096" s="28">
        <f>IFERROR(VLOOKUP(F6096,CARTON_LOOKUP!$A:$E,3,0),"")</f>
      </c>
      <c r="H6096" s="28">
        <f>IFERROR(VLOOKUP(F6096,CARTON_LOOKUP!$A:$E,4,0),"")</f>
      </c>
      <c r="I6096" s="28">
        <f>IFERROR(VLOOKUP(F6096,CARTON_LOOKUP!$A:$E,5,0),"")</f>
      </c>
      <c r="J6096" s="29">
        <f>IFERROR(VLOOKUP(F6096,CARTON_LOOKUP!$A:$E,2,0),"")</f>
      </c>
      <c r="K6096" s="29">
        <f>IFERROR(J6096*D6096,0)</f>
      </c>
      <c r="L6096" s="29">
        <f>IFERROR(E6096*C6096,0)</f>
      </c>
      <c r="M6096" s="29">
        <f>IFERROR((G6096*H6096*I6096/1000000)*D6096,0)</f>
      </c>
    </row>
    <row r="6097" spans="1:13" x14ac:dyDescent="0.25">
      <c r="A6097" s="16"/>
      <c r="E6097" s="27"/>
      <c r="F6097" t="s">
        <v>26</v>
      </c>
      <c r="G6097" s="28">
        <f>IFERROR(VLOOKUP(F6097,CARTON_LOOKUP!$A:$E,3,0),"")</f>
      </c>
      <c r="H6097" s="28">
        <f>IFERROR(VLOOKUP(F6097,CARTON_LOOKUP!$A:$E,4,0),"")</f>
      </c>
      <c r="I6097" s="28">
        <f>IFERROR(VLOOKUP(F6097,CARTON_LOOKUP!$A:$E,5,0),"")</f>
      </c>
      <c r="J6097" s="29">
        <f>IFERROR(VLOOKUP(F6097,CARTON_LOOKUP!$A:$E,2,0),"")</f>
      </c>
      <c r="K6097" s="29">
        <f>IFERROR(J6097*D6097,0)</f>
      </c>
      <c r="L6097" s="29">
        <f>IFERROR(E6097*C6097,0)</f>
      </c>
      <c r="M6097" s="29">
        <f>IFERROR((G6097*H6097*I6097/1000000)*D6097,0)</f>
      </c>
    </row>
    <row r="6098" spans="1:13" x14ac:dyDescent="0.25">
      <c r="A6098" s="16"/>
      <c r="E6098" s="27"/>
      <c r="F6098" t="s">
        <v>26</v>
      </c>
      <c r="G6098" s="28">
        <f>IFERROR(VLOOKUP(F6098,CARTON_LOOKUP!$A:$E,3,0),"")</f>
      </c>
      <c r="H6098" s="28">
        <f>IFERROR(VLOOKUP(F6098,CARTON_LOOKUP!$A:$E,4,0),"")</f>
      </c>
      <c r="I6098" s="28">
        <f>IFERROR(VLOOKUP(F6098,CARTON_LOOKUP!$A:$E,5,0),"")</f>
      </c>
      <c r="J6098" s="29">
        <f>IFERROR(VLOOKUP(F6098,CARTON_LOOKUP!$A:$E,2,0),"")</f>
      </c>
      <c r="K6098" s="29">
        <f>IFERROR(J6098*D6098,0)</f>
      </c>
      <c r="L6098" s="29">
        <f>IFERROR(E6098*C6098,0)</f>
      </c>
      <c r="M6098" s="29">
        <f>IFERROR((G6098*H6098*I6098/1000000)*D6098,0)</f>
      </c>
    </row>
    <row r="6099" spans="1:13" x14ac:dyDescent="0.25">
      <c r="A6099" s="16"/>
      <c r="E6099" s="27"/>
      <c r="F6099" t="s">
        <v>26</v>
      </c>
      <c r="G6099" s="28">
        <f>IFERROR(VLOOKUP(F6099,CARTON_LOOKUP!$A:$E,3,0),"")</f>
      </c>
      <c r="H6099" s="28">
        <f>IFERROR(VLOOKUP(F6099,CARTON_LOOKUP!$A:$E,4,0),"")</f>
      </c>
      <c r="I6099" s="28">
        <f>IFERROR(VLOOKUP(F6099,CARTON_LOOKUP!$A:$E,5,0),"")</f>
      </c>
      <c r="J6099" s="29">
        <f>IFERROR(VLOOKUP(F6099,CARTON_LOOKUP!$A:$E,2,0),"")</f>
      </c>
      <c r="K6099" s="29">
        <f>IFERROR(J6099*D6099,0)</f>
      </c>
      <c r="L6099" s="29">
        <f>IFERROR(E6099*C6099,0)</f>
      </c>
      <c r="M6099" s="29">
        <f>IFERROR((G6099*H6099*I6099/1000000)*D6099,0)</f>
      </c>
    </row>
    <row r="6100" spans="1:13" x14ac:dyDescent="0.25">
      <c r="A6100" s="16"/>
      <c r="E6100" s="27"/>
      <c r="F6100" t="s">
        <v>26</v>
      </c>
      <c r="G6100" s="28">
        <f>IFERROR(VLOOKUP(F6100,CARTON_LOOKUP!$A:$E,3,0),"")</f>
      </c>
      <c r="H6100" s="28">
        <f>IFERROR(VLOOKUP(F6100,CARTON_LOOKUP!$A:$E,4,0),"")</f>
      </c>
      <c r="I6100" s="28">
        <f>IFERROR(VLOOKUP(F6100,CARTON_LOOKUP!$A:$E,5,0),"")</f>
      </c>
      <c r="J6100" s="29">
        <f>IFERROR(VLOOKUP(F6100,CARTON_LOOKUP!$A:$E,2,0),"")</f>
      </c>
      <c r="K6100" s="29">
        <f>IFERROR(J6100*D6100,0)</f>
      </c>
      <c r="L6100" s="29">
        <f>IFERROR(E6100*C6100,0)</f>
      </c>
      <c r="M6100" s="29">
        <f>IFERROR((G6100*H6100*I6100/1000000)*D6100,0)</f>
      </c>
    </row>
    <row r="6101" spans="1:13" x14ac:dyDescent="0.25">
      <c r="A6101" s="16"/>
      <c r="E6101" s="27"/>
      <c r="F6101" t="s">
        <v>26</v>
      </c>
      <c r="G6101" s="28">
        <f>IFERROR(VLOOKUP(F6101,CARTON_LOOKUP!$A:$E,3,0),"")</f>
      </c>
      <c r="H6101" s="28">
        <f>IFERROR(VLOOKUP(F6101,CARTON_LOOKUP!$A:$E,4,0),"")</f>
      </c>
      <c r="I6101" s="28">
        <f>IFERROR(VLOOKUP(F6101,CARTON_LOOKUP!$A:$E,5,0),"")</f>
      </c>
      <c r="J6101" s="29">
        <f>IFERROR(VLOOKUP(F6101,CARTON_LOOKUP!$A:$E,2,0),"")</f>
      </c>
      <c r="K6101" s="29">
        <f>IFERROR(J6101*D6101,0)</f>
      </c>
      <c r="L6101" s="29">
        <f>IFERROR(E6101*C6101,0)</f>
      </c>
      <c r="M6101" s="29">
        <f>IFERROR((G6101*H6101*I6101/1000000)*D6101,0)</f>
      </c>
    </row>
    <row r="6102" spans="1:13" x14ac:dyDescent="0.25">
      <c r="A6102" s="16"/>
      <c r="E6102" s="27"/>
      <c r="F6102" t="s">
        <v>26</v>
      </c>
      <c r="G6102" s="28">
        <f>IFERROR(VLOOKUP(F6102,CARTON_LOOKUP!$A:$E,3,0),"")</f>
      </c>
      <c r="H6102" s="28">
        <f>IFERROR(VLOOKUP(F6102,CARTON_LOOKUP!$A:$E,4,0),"")</f>
      </c>
      <c r="I6102" s="28">
        <f>IFERROR(VLOOKUP(F6102,CARTON_LOOKUP!$A:$E,5,0),"")</f>
      </c>
      <c r="J6102" s="29">
        <f>IFERROR(VLOOKUP(F6102,CARTON_LOOKUP!$A:$E,2,0),"")</f>
      </c>
      <c r="K6102" s="29">
        <f>IFERROR(J6102*D6102,0)</f>
      </c>
      <c r="L6102" s="29">
        <f>IFERROR(E6102*C6102,0)</f>
      </c>
      <c r="M6102" s="29">
        <f>IFERROR((G6102*H6102*I6102/1000000)*D6102,0)</f>
      </c>
    </row>
    <row r="6103" spans="1:13" x14ac:dyDescent="0.25">
      <c r="A6103" s="16"/>
      <c r="E6103" s="27"/>
      <c r="F6103" t="s">
        <v>26</v>
      </c>
      <c r="G6103" s="28">
        <f>IFERROR(VLOOKUP(F6103,CARTON_LOOKUP!$A:$E,3,0),"")</f>
      </c>
      <c r="H6103" s="28">
        <f>IFERROR(VLOOKUP(F6103,CARTON_LOOKUP!$A:$E,4,0),"")</f>
      </c>
      <c r="I6103" s="28">
        <f>IFERROR(VLOOKUP(F6103,CARTON_LOOKUP!$A:$E,5,0),"")</f>
      </c>
      <c r="J6103" s="29">
        <f>IFERROR(VLOOKUP(F6103,CARTON_LOOKUP!$A:$E,2,0),"")</f>
      </c>
      <c r="K6103" s="29">
        <f>IFERROR(J6103*D6103,0)</f>
      </c>
      <c r="L6103" s="29">
        <f>IFERROR(E6103*C6103,0)</f>
      </c>
      <c r="M6103" s="29">
        <f>IFERROR((G6103*H6103*I6103/1000000)*D6103,0)</f>
      </c>
    </row>
    <row r="6104" spans="1:13" x14ac:dyDescent="0.25">
      <c r="A6104" s="16"/>
      <c r="E6104" s="27"/>
      <c r="F6104" t="s">
        <v>26</v>
      </c>
      <c r="G6104" s="28">
        <f>IFERROR(VLOOKUP(F6104,CARTON_LOOKUP!$A:$E,3,0),"")</f>
      </c>
      <c r="H6104" s="28">
        <f>IFERROR(VLOOKUP(F6104,CARTON_LOOKUP!$A:$E,4,0),"")</f>
      </c>
      <c r="I6104" s="28">
        <f>IFERROR(VLOOKUP(F6104,CARTON_LOOKUP!$A:$E,5,0),"")</f>
      </c>
      <c r="J6104" s="29">
        <f>IFERROR(VLOOKUP(F6104,CARTON_LOOKUP!$A:$E,2,0),"")</f>
      </c>
      <c r="K6104" s="29">
        <f>IFERROR(J6104*D6104,0)</f>
      </c>
      <c r="L6104" s="29">
        <f>IFERROR(E6104*C6104,0)</f>
      </c>
      <c r="M6104" s="29">
        <f>IFERROR((G6104*H6104*I6104/1000000)*D6104,0)</f>
      </c>
    </row>
    <row r="6105" spans="1:13" x14ac:dyDescent="0.25">
      <c r="A6105" s="16"/>
      <c r="E6105" s="27"/>
      <c r="F6105" t="s">
        <v>26</v>
      </c>
      <c r="G6105" s="28">
        <f>IFERROR(VLOOKUP(F6105,CARTON_LOOKUP!$A:$E,3,0),"")</f>
      </c>
      <c r="H6105" s="28">
        <f>IFERROR(VLOOKUP(F6105,CARTON_LOOKUP!$A:$E,4,0),"")</f>
      </c>
      <c r="I6105" s="28">
        <f>IFERROR(VLOOKUP(F6105,CARTON_LOOKUP!$A:$E,5,0),"")</f>
      </c>
      <c r="J6105" s="29">
        <f>IFERROR(VLOOKUP(F6105,CARTON_LOOKUP!$A:$E,2,0),"")</f>
      </c>
      <c r="K6105" s="29">
        <f>IFERROR(J6105*D6105,0)</f>
      </c>
      <c r="L6105" s="29">
        <f>IFERROR(E6105*C6105,0)</f>
      </c>
      <c r="M6105" s="29">
        <f>IFERROR((G6105*H6105*I6105/1000000)*D6105,0)</f>
      </c>
    </row>
    <row r="6106" spans="1:13" x14ac:dyDescent="0.25">
      <c r="A6106" s="16"/>
      <c r="E6106" s="27"/>
      <c r="F6106" t="s">
        <v>26</v>
      </c>
      <c r="G6106" s="28">
        <f>IFERROR(VLOOKUP(F6106,CARTON_LOOKUP!$A:$E,3,0),"")</f>
      </c>
      <c r="H6106" s="28">
        <f>IFERROR(VLOOKUP(F6106,CARTON_LOOKUP!$A:$E,4,0),"")</f>
      </c>
      <c r="I6106" s="28">
        <f>IFERROR(VLOOKUP(F6106,CARTON_LOOKUP!$A:$E,5,0),"")</f>
      </c>
      <c r="J6106" s="29">
        <f>IFERROR(VLOOKUP(F6106,CARTON_LOOKUP!$A:$E,2,0),"")</f>
      </c>
      <c r="K6106" s="29">
        <f>IFERROR(J6106*D6106,0)</f>
      </c>
      <c r="L6106" s="29">
        <f>IFERROR(E6106*C6106,0)</f>
      </c>
      <c r="M6106" s="29">
        <f>IFERROR((G6106*H6106*I6106/1000000)*D6106,0)</f>
      </c>
    </row>
    <row r="6107" spans="1:13" x14ac:dyDescent="0.25">
      <c r="A6107" s="16"/>
      <c r="E6107" s="27"/>
      <c r="F6107" t="s">
        <v>26</v>
      </c>
      <c r="G6107" s="28">
        <f>IFERROR(VLOOKUP(F6107,CARTON_LOOKUP!$A:$E,3,0),"")</f>
      </c>
      <c r="H6107" s="28">
        <f>IFERROR(VLOOKUP(F6107,CARTON_LOOKUP!$A:$E,4,0),"")</f>
      </c>
      <c r="I6107" s="28">
        <f>IFERROR(VLOOKUP(F6107,CARTON_LOOKUP!$A:$E,5,0),"")</f>
      </c>
      <c r="J6107" s="29">
        <f>IFERROR(VLOOKUP(F6107,CARTON_LOOKUP!$A:$E,2,0),"")</f>
      </c>
      <c r="K6107" s="29">
        <f>IFERROR(J6107*D6107,0)</f>
      </c>
      <c r="L6107" s="29">
        <f>IFERROR(E6107*C6107,0)</f>
      </c>
      <c r="M6107" s="29">
        <f>IFERROR((G6107*H6107*I6107/1000000)*D6107,0)</f>
      </c>
    </row>
    <row r="6108" spans="1:13" x14ac:dyDescent="0.25">
      <c r="A6108" s="16"/>
      <c r="E6108" s="27"/>
      <c r="F6108" t="s">
        <v>26</v>
      </c>
      <c r="G6108" s="28">
        <f>IFERROR(VLOOKUP(F6108,CARTON_LOOKUP!$A:$E,3,0),"")</f>
      </c>
      <c r="H6108" s="28">
        <f>IFERROR(VLOOKUP(F6108,CARTON_LOOKUP!$A:$E,4,0),"")</f>
      </c>
      <c r="I6108" s="28">
        <f>IFERROR(VLOOKUP(F6108,CARTON_LOOKUP!$A:$E,5,0),"")</f>
      </c>
      <c r="J6108" s="29">
        <f>IFERROR(VLOOKUP(F6108,CARTON_LOOKUP!$A:$E,2,0),"")</f>
      </c>
      <c r="K6108" s="29">
        <f>IFERROR(J6108*D6108,0)</f>
      </c>
      <c r="L6108" s="29">
        <f>IFERROR(E6108*C6108,0)</f>
      </c>
      <c r="M6108" s="29">
        <f>IFERROR((G6108*H6108*I6108/1000000)*D6108,0)</f>
      </c>
    </row>
    <row r="6109" spans="1:13" x14ac:dyDescent="0.25">
      <c r="A6109" s="16"/>
      <c r="E6109" s="27"/>
      <c r="F6109" t="s">
        <v>26</v>
      </c>
      <c r="G6109" s="28">
        <f>IFERROR(VLOOKUP(F6109,CARTON_LOOKUP!$A:$E,3,0),"")</f>
      </c>
      <c r="H6109" s="28">
        <f>IFERROR(VLOOKUP(F6109,CARTON_LOOKUP!$A:$E,4,0),"")</f>
      </c>
      <c r="I6109" s="28">
        <f>IFERROR(VLOOKUP(F6109,CARTON_LOOKUP!$A:$E,5,0),"")</f>
      </c>
      <c r="J6109" s="29">
        <f>IFERROR(VLOOKUP(F6109,CARTON_LOOKUP!$A:$E,2,0),"")</f>
      </c>
      <c r="K6109" s="29">
        <f>IFERROR(J6109*D6109,0)</f>
      </c>
      <c r="L6109" s="29">
        <f>IFERROR(E6109*C6109,0)</f>
      </c>
      <c r="M6109" s="29">
        <f>IFERROR((G6109*H6109*I6109/1000000)*D6109,0)</f>
      </c>
    </row>
    <row r="6110" spans="1:13" x14ac:dyDescent="0.25">
      <c r="A6110" s="16"/>
      <c r="E6110" s="27"/>
      <c r="F6110" t="s">
        <v>26</v>
      </c>
      <c r="G6110" s="28">
        <f>IFERROR(VLOOKUP(F6110,CARTON_LOOKUP!$A:$E,3,0),"")</f>
      </c>
      <c r="H6110" s="28">
        <f>IFERROR(VLOOKUP(F6110,CARTON_LOOKUP!$A:$E,4,0),"")</f>
      </c>
      <c r="I6110" s="28">
        <f>IFERROR(VLOOKUP(F6110,CARTON_LOOKUP!$A:$E,5,0),"")</f>
      </c>
      <c r="J6110" s="29">
        <f>IFERROR(VLOOKUP(F6110,CARTON_LOOKUP!$A:$E,2,0),"")</f>
      </c>
      <c r="K6110" s="29">
        <f>IFERROR(J6110*D6110,0)</f>
      </c>
      <c r="L6110" s="29">
        <f>IFERROR(E6110*C6110,0)</f>
      </c>
      <c r="M6110" s="29">
        <f>IFERROR((G6110*H6110*I6110/1000000)*D6110,0)</f>
      </c>
    </row>
    <row r="6111" spans="1:13" x14ac:dyDescent="0.25">
      <c r="A6111" s="16"/>
      <c r="E6111" s="27"/>
      <c r="F6111" t="s">
        <v>26</v>
      </c>
      <c r="G6111" s="28">
        <f>IFERROR(VLOOKUP(F6111,CARTON_LOOKUP!$A:$E,3,0),"")</f>
      </c>
      <c r="H6111" s="28">
        <f>IFERROR(VLOOKUP(F6111,CARTON_LOOKUP!$A:$E,4,0),"")</f>
      </c>
      <c r="I6111" s="28">
        <f>IFERROR(VLOOKUP(F6111,CARTON_LOOKUP!$A:$E,5,0),"")</f>
      </c>
      <c r="J6111" s="29">
        <f>IFERROR(VLOOKUP(F6111,CARTON_LOOKUP!$A:$E,2,0),"")</f>
      </c>
      <c r="K6111" s="29">
        <f>IFERROR(J6111*D6111,0)</f>
      </c>
      <c r="L6111" s="29">
        <f>IFERROR(E6111*C6111,0)</f>
      </c>
      <c r="M6111" s="29">
        <f>IFERROR((G6111*H6111*I6111/1000000)*D6111,0)</f>
      </c>
    </row>
    <row r="6112" spans="1:13" x14ac:dyDescent="0.25">
      <c r="A6112" s="16"/>
      <c r="E6112" s="27"/>
      <c r="F6112" t="s">
        <v>26</v>
      </c>
      <c r="G6112" s="28">
        <f>IFERROR(VLOOKUP(F6112,CARTON_LOOKUP!$A:$E,3,0),"")</f>
      </c>
      <c r="H6112" s="28">
        <f>IFERROR(VLOOKUP(F6112,CARTON_LOOKUP!$A:$E,4,0),"")</f>
      </c>
      <c r="I6112" s="28">
        <f>IFERROR(VLOOKUP(F6112,CARTON_LOOKUP!$A:$E,5,0),"")</f>
      </c>
      <c r="J6112" s="29">
        <f>IFERROR(VLOOKUP(F6112,CARTON_LOOKUP!$A:$E,2,0),"")</f>
      </c>
      <c r="K6112" s="29">
        <f>IFERROR(J6112*D6112,0)</f>
      </c>
      <c r="L6112" s="29">
        <f>IFERROR(E6112*C6112,0)</f>
      </c>
      <c r="M6112" s="29">
        <f>IFERROR((G6112*H6112*I6112/1000000)*D6112,0)</f>
      </c>
    </row>
    <row r="6113" spans="1:13" x14ac:dyDescent="0.25">
      <c r="A6113" s="16"/>
      <c r="E6113" s="27"/>
      <c r="F6113" t="s">
        <v>26</v>
      </c>
      <c r="G6113" s="28">
        <f>IFERROR(VLOOKUP(F6113,CARTON_LOOKUP!$A:$E,3,0),"")</f>
      </c>
      <c r="H6113" s="28">
        <f>IFERROR(VLOOKUP(F6113,CARTON_LOOKUP!$A:$E,4,0),"")</f>
      </c>
      <c r="I6113" s="28">
        <f>IFERROR(VLOOKUP(F6113,CARTON_LOOKUP!$A:$E,5,0),"")</f>
      </c>
      <c r="J6113" s="29">
        <f>IFERROR(VLOOKUP(F6113,CARTON_LOOKUP!$A:$E,2,0),"")</f>
      </c>
      <c r="K6113" s="29">
        <f>IFERROR(J6113*D6113,0)</f>
      </c>
      <c r="L6113" s="29">
        <f>IFERROR(E6113*C6113,0)</f>
      </c>
      <c r="M6113" s="29">
        <f>IFERROR((G6113*H6113*I6113/1000000)*D6113,0)</f>
      </c>
    </row>
    <row r="6114" spans="1:13" x14ac:dyDescent="0.25">
      <c r="A6114" s="16"/>
      <c r="E6114" s="27"/>
      <c r="F6114" t="s">
        <v>26</v>
      </c>
      <c r="G6114" s="28">
        <f>IFERROR(VLOOKUP(F6114,CARTON_LOOKUP!$A:$E,3,0),"")</f>
      </c>
      <c r="H6114" s="28">
        <f>IFERROR(VLOOKUP(F6114,CARTON_LOOKUP!$A:$E,4,0),"")</f>
      </c>
      <c r="I6114" s="28">
        <f>IFERROR(VLOOKUP(F6114,CARTON_LOOKUP!$A:$E,5,0),"")</f>
      </c>
      <c r="J6114" s="29">
        <f>IFERROR(VLOOKUP(F6114,CARTON_LOOKUP!$A:$E,2,0),"")</f>
      </c>
      <c r="K6114" s="29">
        <f>IFERROR(J6114*D6114,0)</f>
      </c>
      <c r="L6114" s="29">
        <f>IFERROR(E6114*C6114,0)</f>
      </c>
      <c r="M6114" s="29">
        <f>IFERROR((G6114*H6114*I6114/1000000)*D6114,0)</f>
      </c>
    </row>
    <row r="6115" spans="1:13" x14ac:dyDescent="0.25">
      <c r="A6115" s="16"/>
      <c r="E6115" s="27"/>
      <c r="F6115" t="s">
        <v>26</v>
      </c>
      <c r="G6115" s="28">
        <f>IFERROR(VLOOKUP(F6115,CARTON_LOOKUP!$A:$E,3,0),"")</f>
      </c>
      <c r="H6115" s="28">
        <f>IFERROR(VLOOKUP(F6115,CARTON_LOOKUP!$A:$E,4,0),"")</f>
      </c>
      <c r="I6115" s="28">
        <f>IFERROR(VLOOKUP(F6115,CARTON_LOOKUP!$A:$E,5,0),"")</f>
      </c>
      <c r="J6115" s="29">
        <f>IFERROR(VLOOKUP(F6115,CARTON_LOOKUP!$A:$E,2,0),"")</f>
      </c>
      <c r="K6115" s="29">
        <f>IFERROR(J6115*D6115,0)</f>
      </c>
      <c r="L6115" s="29">
        <f>IFERROR(E6115*C6115,0)</f>
      </c>
      <c r="M6115" s="29">
        <f>IFERROR((G6115*H6115*I6115/1000000)*D6115,0)</f>
      </c>
    </row>
    <row r="6116" spans="1:13" x14ac:dyDescent="0.25">
      <c r="A6116" s="16"/>
      <c r="E6116" s="27"/>
      <c r="F6116" t="s">
        <v>26</v>
      </c>
      <c r="G6116" s="28">
        <f>IFERROR(VLOOKUP(F6116,CARTON_LOOKUP!$A:$E,3,0),"")</f>
      </c>
      <c r="H6116" s="28">
        <f>IFERROR(VLOOKUP(F6116,CARTON_LOOKUP!$A:$E,4,0),"")</f>
      </c>
      <c r="I6116" s="28">
        <f>IFERROR(VLOOKUP(F6116,CARTON_LOOKUP!$A:$E,5,0),"")</f>
      </c>
      <c r="J6116" s="29">
        <f>IFERROR(VLOOKUP(F6116,CARTON_LOOKUP!$A:$E,2,0),"")</f>
      </c>
      <c r="K6116" s="29">
        <f>IFERROR(J6116*D6116,0)</f>
      </c>
      <c r="L6116" s="29">
        <f>IFERROR(E6116*C6116,0)</f>
      </c>
      <c r="M6116" s="29">
        <f>IFERROR((G6116*H6116*I6116/1000000)*D6116,0)</f>
      </c>
    </row>
    <row r="6117" spans="1:13" x14ac:dyDescent="0.25">
      <c r="A6117" s="16"/>
      <c r="E6117" s="27"/>
      <c r="F6117" t="s">
        <v>26</v>
      </c>
      <c r="G6117" s="28">
        <f>IFERROR(VLOOKUP(F6117,CARTON_LOOKUP!$A:$E,3,0),"")</f>
      </c>
      <c r="H6117" s="28">
        <f>IFERROR(VLOOKUP(F6117,CARTON_LOOKUP!$A:$E,4,0),"")</f>
      </c>
      <c r="I6117" s="28">
        <f>IFERROR(VLOOKUP(F6117,CARTON_LOOKUP!$A:$E,5,0),"")</f>
      </c>
      <c r="J6117" s="29">
        <f>IFERROR(VLOOKUP(F6117,CARTON_LOOKUP!$A:$E,2,0),"")</f>
      </c>
      <c r="K6117" s="29">
        <f>IFERROR(J6117*D6117,0)</f>
      </c>
      <c r="L6117" s="29">
        <f>IFERROR(E6117*C6117,0)</f>
      </c>
      <c r="M6117" s="29">
        <f>IFERROR((G6117*H6117*I6117/1000000)*D6117,0)</f>
      </c>
    </row>
    <row r="6118" spans="1:13" x14ac:dyDescent="0.25">
      <c r="A6118" s="16"/>
      <c r="E6118" s="27"/>
      <c r="F6118" t="s">
        <v>26</v>
      </c>
      <c r="G6118" s="28">
        <f>IFERROR(VLOOKUP(F6118,CARTON_LOOKUP!$A:$E,3,0),"")</f>
      </c>
      <c r="H6118" s="28">
        <f>IFERROR(VLOOKUP(F6118,CARTON_LOOKUP!$A:$E,4,0),"")</f>
      </c>
      <c r="I6118" s="28">
        <f>IFERROR(VLOOKUP(F6118,CARTON_LOOKUP!$A:$E,5,0),"")</f>
      </c>
      <c r="J6118" s="29">
        <f>IFERROR(VLOOKUP(F6118,CARTON_LOOKUP!$A:$E,2,0),"")</f>
      </c>
      <c r="K6118" s="29">
        <f>IFERROR(J6118*D6118,0)</f>
      </c>
      <c r="L6118" s="29">
        <f>IFERROR(E6118*C6118,0)</f>
      </c>
      <c r="M6118" s="29">
        <f>IFERROR((G6118*H6118*I6118/1000000)*D6118,0)</f>
      </c>
    </row>
    <row r="6119" spans="1:13" x14ac:dyDescent="0.25">
      <c r="A6119" s="16"/>
      <c r="E6119" s="27"/>
      <c r="F6119" t="s">
        <v>26</v>
      </c>
      <c r="G6119" s="28">
        <f>IFERROR(VLOOKUP(F6119,CARTON_LOOKUP!$A:$E,3,0),"")</f>
      </c>
      <c r="H6119" s="28">
        <f>IFERROR(VLOOKUP(F6119,CARTON_LOOKUP!$A:$E,4,0),"")</f>
      </c>
      <c r="I6119" s="28">
        <f>IFERROR(VLOOKUP(F6119,CARTON_LOOKUP!$A:$E,5,0),"")</f>
      </c>
      <c r="J6119" s="29">
        <f>IFERROR(VLOOKUP(F6119,CARTON_LOOKUP!$A:$E,2,0),"")</f>
      </c>
      <c r="K6119" s="29">
        <f>IFERROR(J6119*D6119,0)</f>
      </c>
      <c r="L6119" s="29">
        <f>IFERROR(E6119*C6119,0)</f>
      </c>
      <c r="M6119" s="29">
        <f>IFERROR((G6119*H6119*I6119/1000000)*D6119,0)</f>
      </c>
    </row>
    <row r="6120" spans="1:13" x14ac:dyDescent="0.25">
      <c r="A6120" s="16"/>
      <c r="E6120" s="27"/>
      <c r="F6120" t="s">
        <v>26</v>
      </c>
      <c r="G6120" s="28">
        <f>IFERROR(VLOOKUP(F6120,CARTON_LOOKUP!$A:$E,3,0),"")</f>
      </c>
      <c r="H6120" s="28">
        <f>IFERROR(VLOOKUP(F6120,CARTON_LOOKUP!$A:$E,4,0),"")</f>
      </c>
      <c r="I6120" s="28">
        <f>IFERROR(VLOOKUP(F6120,CARTON_LOOKUP!$A:$E,5,0),"")</f>
      </c>
      <c r="J6120" s="29">
        <f>IFERROR(VLOOKUP(F6120,CARTON_LOOKUP!$A:$E,2,0),"")</f>
      </c>
      <c r="K6120" s="29">
        <f>IFERROR(J6120*D6120,0)</f>
      </c>
      <c r="L6120" s="29">
        <f>IFERROR(E6120*C6120,0)</f>
      </c>
      <c r="M6120" s="29">
        <f>IFERROR((G6120*H6120*I6120/1000000)*D6120,0)</f>
      </c>
    </row>
    <row r="6121" spans="1:13" x14ac:dyDescent="0.25">
      <c r="A6121" s="16"/>
      <c r="E6121" s="27"/>
      <c r="F6121" t="s">
        <v>26</v>
      </c>
      <c r="G6121" s="28">
        <f>IFERROR(VLOOKUP(F6121,CARTON_LOOKUP!$A:$E,3,0),"")</f>
      </c>
      <c r="H6121" s="28">
        <f>IFERROR(VLOOKUP(F6121,CARTON_LOOKUP!$A:$E,4,0),"")</f>
      </c>
      <c r="I6121" s="28">
        <f>IFERROR(VLOOKUP(F6121,CARTON_LOOKUP!$A:$E,5,0),"")</f>
      </c>
      <c r="J6121" s="29">
        <f>IFERROR(VLOOKUP(F6121,CARTON_LOOKUP!$A:$E,2,0),"")</f>
      </c>
      <c r="K6121" s="29">
        <f>IFERROR(J6121*D6121,0)</f>
      </c>
      <c r="L6121" s="29">
        <f>IFERROR(E6121*C6121,0)</f>
      </c>
      <c r="M6121" s="29">
        <f>IFERROR((G6121*H6121*I6121/1000000)*D6121,0)</f>
      </c>
    </row>
    <row r="6122" spans="1:13" x14ac:dyDescent="0.25">
      <c r="A6122" s="16"/>
      <c r="E6122" s="27"/>
      <c r="F6122" t="s">
        <v>26</v>
      </c>
      <c r="G6122" s="28">
        <f>IFERROR(VLOOKUP(F6122,CARTON_LOOKUP!$A:$E,3,0),"")</f>
      </c>
      <c r="H6122" s="28">
        <f>IFERROR(VLOOKUP(F6122,CARTON_LOOKUP!$A:$E,4,0),"")</f>
      </c>
      <c r="I6122" s="28">
        <f>IFERROR(VLOOKUP(F6122,CARTON_LOOKUP!$A:$E,5,0),"")</f>
      </c>
      <c r="J6122" s="29">
        <f>IFERROR(VLOOKUP(F6122,CARTON_LOOKUP!$A:$E,2,0),"")</f>
      </c>
      <c r="K6122" s="29">
        <f>IFERROR(J6122*D6122,0)</f>
      </c>
      <c r="L6122" s="29">
        <f>IFERROR(E6122*C6122,0)</f>
      </c>
      <c r="M6122" s="29">
        <f>IFERROR((G6122*H6122*I6122/1000000)*D6122,0)</f>
      </c>
    </row>
    <row r="6123" spans="1:13" x14ac:dyDescent="0.25">
      <c r="A6123" s="16"/>
      <c r="E6123" s="27"/>
      <c r="F6123" t="s">
        <v>26</v>
      </c>
      <c r="G6123" s="28">
        <f>IFERROR(VLOOKUP(F6123,CARTON_LOOKUP!$A:$E,3,0),"")</f>
      </c>
      <c r="H6123" s="28">
        <f>IFERROR(VLOOKUP(F6123,CARTON_LOOKUP!$A:$E,4,0),"")</f>
      </c>
      <c r="I6123" s="28">
        <f>IFERROR(VLOOKUP(F6123,CARTON_LOOKUP!$A:$E,5,0),"")</f>
      </c>
      <c r="J6123" s="29">
        <f>IFERROR(VLOOKUP(F6123,CARTON_LOOKUP!$A:$E,2,0),"")</f>
      </c>
      <c r="K6123" s="29">
        <f>IFERROR(J6123*D6123,0)</f>
      </c>
      <c r="L6123" s="29">
        <f>IFERROR(E6123*C6123,0)</f>
      </c>
      <c r="M6123" s="29">
        <f>IFERROR((G6123*H6123*I6123/1000000)*D6123,0)</f>
      </c>
    </row>
    <row r="6124" spans="1:13" x14ac:dyDescent="0.25">
      <c r="A6124" s="16"/>
      <c r="E6124" s="27"/>
      <c r="F6124" t="s">
        <v>26</v>
      </c>
      <c r="G6124" s="28">
        <f>IFERROR(VLOOKUP(F6124,CARTON_LOOKUP!$A:$E,3,0),"")</f>
      </c>
      <c r="H6124" s="28">
        <f>IFERROR(VLOOKUP(F6124,CARTON_LOOKUP!$A:$E,4,0),"")</f>
      </c>
      <c r="I6124" s="28">
        <f>IFERROR(VLOOKUP(F6124,CARTON_LOOKUP!$A:$E,5,0),"")</f>
      </c>
      <c r="J6124" s="29">
        <f>IFERROR(VLOOKUP(F6124,CARTON_LOOKUP!$A:$E,2,0),"")</f>
      </c>
      <c r="K6124" s="29">
        <f>IFERROR(J6124*D6124,0)</f>
      </c>
      <c r="L6124" s="29">
        <f>IFERROR(E6124*C6124,0)</f>
      </c>
      <c r="M6124" s="29">
        <f>IFERROR((G6124*H6124*I6124/1000000)*D6124,0)</f>
      </c>
    </row>
    <row r="6125" spans="1:13" x14ac:dyDescent="0.25">
      <c r="A6125" s="16"/>
      <c r="E6125" s="27"/>
      <c r="F6125" t="s">
        <v>26</v>
      </c>
      <c r="G6125" s="28">
        <f>IFERROR(VLOOKUP(F6125,CARTON_LOOKUP!$A:$E,3,0),"")</f>
      </c>
      <c r="H6125" s="28">
        <f>IFERROR(VLOOKUP(F6125,CARTON_LOOKUP!$A:$E,4,0),"")</f>
      </c>
      <c r="I6125" s="28">
        <f>IFERROR(VLOOKUP(F6125,CARTON_LOOKUP!$A:$E,5,0),"")</f>
      </c>
      <c r="J6125" s="29">
        <f>IFERROR(VLOOKUP(F6125,CARTON_LOOKUP!$A:$E,2,0),"")</f>
      </c>
      <c r="K6125" s="29">
        <f>IFERROR(J6125*D6125,0)</f>
      </c>
      <c r="L6125" s="29">
        <f>IFERROR(E6125*C6125,0)</f>
      </c>
      <c r="M6125" s="29">
        <f>IFERROR((G6125*H6125*I6125/1000000)*D6125,0)</f>
      </c>
    </row>
    <row r="6126" spans="1:13" x14ac:dyDescent="0.25">
      <c r="A6126" s="16"/>
      <c r="E6126" s="27"/>
      <c r="F6126" t="s">
        <v>26</v>
      </c>
      <c r="G6126" s="28">
        <f>IFERROR(VLOOKUP(F6126,CARTON_LOOKUP!$A:$E,3,0),"")</f>
      </c>
      <c r="H6126" s="28">
        <f>IFERROR(VLOOKUP(F6126,CARTON_LOOKUP!$A:$E,4,0),"")</f>
      </c>
      <c r="I6126" s="28">
        <f>IFERROR(VLOOKUP(F6126,CARTON_LOOKUP!$A:$E,5,0),"")</f>
      </c>
      <c r="J6126" s="29">
        <f>IFERROR(VLOOKUP(F6126,CARTON_LOOKUP!$A:$E,2,0),"")</f>
      </c>
      <c r="K6126" s="29">
        <f>IFERROR(J6126*D6126,0)</f>
      </c>
      <c r="L6126" s="29">
        <f>IFERROR(E6126*C6126,0)</f>
      </c>
      <c r="M6126" s="29">
        <f>IFERROR((G6126*H6126*I6126/1000000)*D6126,0)</f>
      </c>
    </row>
    <row r="6127" spans="1:13" x14ac:dyDescent="0.25">
      <c r="A6127" s="16"/>
      <c r="E6127" s="27"/>
      <c r="F6127" t="s">
        <v>26</v>
      </c>
      <c r="G6127" s="28">
        <f>IFERROR(VLOOKUP(F6127,CARTON_LOOKUP!$A:$E,3,0),"")</f>
      </c>
      <c r="H6127" s="28">
        <f>IFERROR(VLOOKUP(F6127,CARTON_LOOKUP!$A:$E,4,0),"")</f>
      </c>
      <c r="I6127" s="28">
        <f>IFERROR(VLOOKUP(F6127,CARTON_LOOKUP!$A:$E,5,0),"")</f>
      </c>
      <c r="J6127" s="29">
        <f>IFERROR(VLOOKUP(F6127,CARTON_LOOKUP!$A:$E,2,0),"")</f>
      </c>
      <c r="K6127" s="29">
        <f>IFERROR(J6127*D6127,0)</f>
      </c>
      <c r="L6127" s="29">
        <f>IFERROR(E6127*C6127,0)</f>
      </c>
      <c r="M6127" s="29">
        <f>IFERROR((G6127*H6127*I6127/1000000)*D6127,0)</f>
      </c>
    </row>
    <row r="6128" spans="1:13" x14ac:dyDescent="0.25">
      <c r="A6128" s="16"/>
      <c r="E6128" s="27"/>
      <c r="F6128" t="s">
        <v>26</v>
      </c>
      <c r="G6128" s="28">
        <f>IFERROR(VLOOKUP(F6128,CARTON_LOOKUP!$A:$E,3,0),"")</f>
      </c>
      <c r="H6128" s="28">
        <f>IFERROR(VLOOKUP(F6128,CARTON_LOOKUP!$A:$E,4,0),"")</f>
      </c>
      <c r="I6128" s="28">
        <f>IFERROR(VLOOKUP(F6128,CARTON_LOOKUP!$A:$E,5,0),"")</f>
      </c>
      <c r="J6128" s="29">
        <f>IFERROR(VLOOKUP(F6128,CARTON_LOOKUP!$A:$E,2,0),"")</f>
      </c>
      <c r="K6128" s="29">
        <f>IFERROR(J6128*D6128,0)</f>
      </c>
      <c r="L6128" s="29">
        <f>IFERROR(E6128*C6128,0)</f>
      </c>
      <c r="M6128" s="29">
        <f>IFERROR((G6128*H6128*I6128/1000000)*D6128,0)</f>
      </c>
    </row>
    <row r="6129" spans="1:13" x14ac:dyDescent="0.25">
      <c r="A6129" s="16"/>
      <c r="E6129" s="27"/>
      <c r="F6129" t="s">
        <v>26</v>
      </c>
      <c r="G6129" s="28">
        <f>IFERROR(VLOOKUP(F6129,CARTON_LOOKUP!$A:$E,3,0),"")</f>
      </c>
      <c r="H6129" s="28">
        <f>IFERROR(VLOOKUP(F6129,CARTON_LOOKUP!$A:$E,4,0),"")</f>
      </c>
      <c r="I6129" s="28">
        <f>IFERROR(VLOOKUP(F6129,CARTON_LOOKUP!$A:$E,5,0),"")</f>
      </c>
      <c r="J6129" s="29">
        <f>IFERROR(VLOOKUP(F6129,CARTON_LOOKUP!$A:$E,2,0),"")</f>
      </c>
      <c r="K6129" s="29">
        <f>IFERROR(J6129*D6129,0)</f>
      </c>
      <c r="L6129" s="29">
        <f>IFERROR(E6129*C6129,0)</f>
      </c>
      <c r="M6129" s="29">
        <f>IFERROR((G6129*H6129*I6129/1000000)*D6129,0)</f>
      </c>
    </row>
    <row r="6130" spans="1:13" x14ac:dyDescent="0.25">
      <c r="A6130" s="16"/>
      <c r="E6130" s="27"/>
      <c r="F6130" t="s">
        <v>26</v>
      </c>
      <c r="G6130" s="28">
        <f>IFERROR(VLOOKUP(F6130,CARTON_LOOKUP!$A:$E,3,0),"")</f>
      </c>
      <c r="H6130" s="28">
        <f>IFERROR(VLOOKUP(F6130,CARTON_LOOKUP!$A:$E,4,0),"")</f>
      </c>
      <c r="I6130" s="28">
        <f>IFERROR(VLOOKUP(F6130,CARTON_LOOKUP!$A:$E,5,0),"")</f>
      </c>
      <c r="J6130" s="29">
        <f>IFERROR(VLOOKUP(F6130,CARTON_LOOKUP!$A:$E,2,0),"")</f>
      </c>
      <c r="K6130" s="29">
        <f>IFERROR(J6130*D6130,0)</f>
      </c>
      <c r="L6130" s="29">
        <f>IFERROR(E6130*C6130,0)</f>
      </c>
      <c r="M6130" s="29">
        <f>IFERROR((G6130*H6130*I6130/1000000)*D6130,0)</f>
      </c>
    </row>
    <row r="6131" spans="1:13" x14ac:dyDescent="0.25">
      <c r="A6131" s="16"/>
      <c r="E6131" s="27"/>
      <c r="F6131" t="s">
        <v>26</v>
      </c>
      <c r="G6131" s="28">
        <f>IFERROR(VLOOKUP(F6131,CARTON_LOOKUP!$A:$E,3,0),"")</f>
      </c>
      <c r="H6131" s="28">
        <f>IFERROR(VLOOKUP(F6131,CARTON_LOOKUP!$A:$E,4,0),"")</f>
      </c>
      <c r="I6131" s="28">
        <f>IFERROR(VLOOKUP(F6131,CARTON_LOOKUP!$A:$E,5,0),"")</f>
      </c>
      <c r="J6131" s="29">
        <f>IFERROR(VLOOKUP(F6131,CARTON_LOOKUP!$A:$E,2,0),"")</f>
      </c>
      <c r="K6131" s="29">
        <f>IFERROR(J6131*D6131,0)</f>
      </c>
      <c r="L6131" s="29">
        <f>IFERROR(E6131*C6131,0)</f>
      </c>
      <c r="M6131" s="29">
        <f>IFERROR((G6131*H6131*I6131/1000000)*D6131,0)</f>
      </c>
    </row>
    <row r="6132" spans="1:13" x14ac:dyDescent="0.25">
      <c r="A6132" s="16"/>
      <c r="E6132" s="27"/>
      <c r="F6132" t="s">
        <v>26</v>
      </c>
      <c r="G6132" s="28">
        <f>IFERROR(VLOOKUP(F6132,CARTON_LOOKUP!$A:$E,3,0),"")</f>
      </c>
      <c r="H6132" s="28">
        <f>IFERROR(VLOOKUP(F6132,CARTON_LOOKUP!$A:$E,4,0),"")</f>
      </c>
      <c r="I6132" s="28">
        <f>IFERROR(VLOOKUP(F6132,CARTON_LOOKUP!$A:$E,5,0),"")</f>
      </c>
      <c r="J6132" s="29">
        <f>IFERROR(VLOOKUP(F6132,CARTON_LOOKUP!$A:$E,2,0),"")</f>
      </c>
      <c r="K6132" s="29">
        <f>IFERROR(J6132*D6132,0)</f>
      </c>
      <c r="L6132" s="29">
        <f>IFERROR(E6132*C6132,0)</f>
      </c>
      <c r="M6132" s="29">
        <f>IFERROR((G6132*H6132*I6132/1000000)*D6132,0)</f>
      </c>
    </row>
    <row r="6133" spans="1:13" x14ac:dyDescent="0.25">
      <c r="A6133" s="16"/>
      <c r="E6133" s="27"/>
      <c r="F6133" t="s">
        <v>26</v>
      </c>
      <c r="G6133" s="28">
        <f>IFERROR(VLOOKUP(F6133,CARTON_LOOKUP!$A:$E,3,0),"")</f>
      </c>
      <c r="H6133" s="28">
        <f>IFERROR(VLOOKUP(F6133,CARTON_LOOKUP!$A:$E,4,0),"")</f>
      </c>
      <c r="I6133" s="28">
        <f>IFERROR(VLOOKUP(F6133,CARTON_LOOKUP!$A:$E,5,0),"")</f>
      </c>
      <c r="J6133" s="29">
        <f>IFERROR(VLOOKUP(F6133,CARTON_LOOKUP!$A:$E,2,0),"")</f>
      </c>
      <c r="K6133" s="29">
        <f>IFERROR(J6133*D6133,0)</f>
      </c>
      <c r="L6133" s="29">
        <f>IFERROR(E6133*C6133,0)</f>
      </c>
      <c r="M6133" s="29">
        <f>IFERROR((G6133*H6133*I6133/1000000)*D6133,0)</f>
      </c>
    </row>
    <row r="6134" spans="1:13" x14ac:dyDescent="0.25">
      <c r="A6134" s="16"/>
      <c r="E6134" s="27"/>
      <c r="F6134" t="s">
        <v>26</v>
      </c>
      <c r="G6134" s="28">
        <f>IFERROR(VLOOKUP(F6134,CARTON_LOOKUP!$A:$E,3,0),"")</f>
      </c>
      <c r="H6134" s="28">
        <f>IFERROR(VLOOKUP(F6134,CARTON_LOOKUP!$A:$E,4,0),"")</f>
      </c>
      <c r="I6134" s="28">
        <f>IFERROR(VLOOKUP(F6134,CARTON_LOOKUP!$A:$E,5,0),"")</f>
      </c>
      <c r="J6134" s="29">
        <f>IFERROR(VLOOKUP(F6134,CARTON_LOOKUP!$A:$E,2,0),"")</f>
      </c>
      <c r="K6134" s="29">
        <f>IFERROR(J6134*D6134,0)</f>
      </c>
      <c r="L6134" s="29">
        <f>IFERROR(E6134*C6134,0)</f>
      </c>
      <c r="M6134" s="29">
        <f>IFERROR((G6134*H6134*I6134/1000000)*D6134,0)</f>
      </c>
    </row>
    <row r="6135" spans="1:13" x14ac:dyDescent="0.25">
      <c r="A6135" s="16"/>
      <c r="E6135" s="27"/>
      <c r="F6135" t="s">
        <v>26</v>
      </c>
      <c r="G6135" s="28">
        <f>IFERROR(VLOOKUP(F6135,CARTON_LOOKUP!$A:$E,3,0),"")</f>
      </c>
      <c r="H6135" s="28">
        <f>IFERROR(VLOOKUP(F6135,CARTON_LOOKUP!$A:$E,4,0),"")</f>
      </c>
      <c r="I6135" s="28">
        <f>IFERROR(VLOOKUP(F6135,CARTON_LOOKUP!$A:$E,5,0),"")</f>
      </c>
      <c r="J6135" s="29">
        <f>IFERROR(VLOOKUP(F6135,CARTON_LOOKUP!$A:$E,2,0),"")</f>
      </c>
      <c r="K6135" s="29">
        <f>IFERROR(J6135*D6135,0)</f>
      </c>
      <c r="L6135" s="29">
        <f>IFERROR(E6135*C6135,0)</f>
      </c>
      <c r="M6135" s="29">
        <f>IFERROR((G6135*H6135*I6135/1000000)*D6135,0)</f>
      </c>
    </row>
    <row r="6136" spans="1:13" x14ac:dyDescent="0.25">
      <c r="A6136" s="16"/>
      <c r="E6136" s="27"/>
      <c r="F6136" t="s">
        <v>26</v>
      </c>
      <c r="G6136" s="28">
        <f>IFERROR(VLOOKUP(F6136,CARTON_LOOKUP!$A:$E,3,0),"")</f>
      </c>
      <c r="H6136" s="28">
        <f>IFERROR(VLOOKUP(F6136,CARTON_LOOKUP!$A:$E,4,0),"")</f>
      </c>
      <c r="I6136" s="28">
        <f>IFERROR(VLOOKUP(F6136,CARTON_LOOKUP!$A:$E,5,0),"")</f>
      </c>
      <c r="J6136" s="29">
        <f>IFERROR(VLOOKUP(F6136,CARTON_LOOKUP!$A:$E,2,0),"")</f>
      </c>
      <c r="K6136" s="29">
        <f>IFERROR(J6136*D6136,0)</f>
      </c>
      <c r="L6136" s="29">
        <f>IFERROR(E6136*C6136,0)</f>
      </c>
      <c r="M6136" s="29">
        <f>IFERROR((G6136*H6136*I6136/1000000)*D6136,0)</f>
      </c>
    </row>
    <row r="6137" spans="1:13" x14ac:dyDescent="0.25">
      <c r="A6137" s="16"/>
      <c r="E6137" s="27"/>
      <c r="F6137" t="s">
        <v>26</v>
      </c>
      <c r="G6137" s="28">
        <f>IFERROR(VLOOKUP(F6137,CARTON_LOOKUP!$A:$E,3,0),"")</f>
      </c>
      <c r="H6137" s="28">
        <f>IFERROR(VLOOKUP(F6137,CARTON_LOOKUP!$A:$E,4,0),"")</f>
      </c>
      <c r="I6137" s="28">
        <f>IFERROR(VLOOKUP(F6137,CARTON_LOOKUP!$A:$E,5,0),"")</f>
      </c>
      <c r="J6137" s="29">
        <f>IFERROR(VLOOKUP(F6137,CARTON_LOOKUP!$A:$E,2,0),"")</f>
      </c>
      <c r="K6137" s="29">
        <f>IFERROR(J6137*D6137,0)</f>
      </c>
      <c r="L6137" s="29">
        <f>IFERROR(E6137*C6137,0)</f>
      </c>
      <c r="M6137" s="29">
        <f>IFERROR((G6137*H6137*I6137/1000000)*D6137,0)</f>
      </c>
    </row>
    <row r="6138" spans="1:13" x14ac:dyDescent="0.25">
      <c r="A6138" s="16"/>
      <c r="E6138" s="27"/>
      <c r="F6138" t="s">
        <v>26</v>
      </c>
      <c r="G6138" s="28">
        <f>IFERROR(VLOOKUP(F6138,CARTON_LOOKUP!$A:$E,3,0),"")</f>
      </c>
      <c r="H6138" s="28">
        <f>IFERROR(VLOOKUP(F6138,CARTON_LOOKUP!$A:$E,4,0),"")</f>
      </c>
      <c r="I6138" s="28">
        <f>IFERROR(VLOOKUP(F6138,CARTON_LOOKUP!$A:$E,5,0),"")</f>
      </c>
      <c r="J6138" s="29">
        <f>IFERROR(VLOOKUP(F6138,CARTON_LOOKUP!$A:$E,2,0),"")</f>
      </c>
      <c r="K6138" s="29">
        <f>IFERROR(J6138*D6138,0)</f>
      </c>
      <c r="L6138" s="29">
        <f>IFERROR(E6138*C6138,0)</f>
      </c>
      <c r="M6138" s="29">
        <f>IFERROR((G6138*H6138*I6138/1000000)*D6138,0)</f>
      </c>
    </row>
    <row r="6139" spans="1:13" x14ac:dyDescent="0.25">
      <c r="A6139" s="16"/>
      <c r="E6139" s="27"/>
      <c r="F6139" t="s">
        <v>26</v>
      </c>
      <c r="G6139" s="28">
        <f>IFERROR(VLOOKUP(F6139,CARTON_LOOKUP!$A:$E,3,0),"")</f>
      </c>
      <c r="H6139" s="28">
        <f>IFERROR(VLOOKUP(F6139,CARTON_LOOKUP!$A:$E,4,0),"")</f>
      </c>
      <c r="I6139" s="28">
        <f>IFERROR(VLOOKUP(F6139,CARTON_LOOKUP!$A:$E,5,0),"")</f>
      </c>
      <c r="J6139" s="29">
        <f>IFERROR(VLOOKUP(F6139,CARTON_LOOKUP!$A:$E,2,0),"")</f>
      </c>
      <c r="K6139" s="29">
        <f>IFERROR(J6139*D6139,0)</f>
      </c>
      <c r="L6139" s="29">
        <f>IFERROR(E6139*C6139,0)</f>
      </c>
      <c r="M6139" s="29">
        <f>IFERROR((G6139*H6139*I6139/1000000)*D6139,0)</f>
      </c>
    </row>
    <row r="6140" spans="1:13" x14ac:dyDescent="0.25">
      <c r="A6140" s="16"/>
      <c r="E6140" s="27"/>
      <c r="F6140" t="s">
        <v>26</v>
      </c>
      <c r="G6140" s="28">
        <f>IFERROR(VLOOKUP(F6140,CARTON_LOOKUP!$A:$E,3,0),"")</f>
      </c>
      <c r="H6140" s="28">
        <f>IFERROR(VLOOKUP(F6140,CARTON_LOOKUP!$A:$E,4,0),"")</f>
      </c>
      <c r="I6140" s="28">
        <f>IFERROR(VLOOKUP(F6140,CARTON_LOOKUP!$A:$E,5,0),"")</f>
      </c>
      <c r="J6140" s="29">
        <f>IFERROR(VLOOKUP(F6140,CARTON_LOOKUP!$A:$E,2,0),"")</f>
      </c>
      <c r="K6140" s="29">
        <f>IFERROR(J6140*D6140,0)</f>
      </c>
      <c r="L6140" s="29">
        <f>IFERROR(E6140*C6140,0)</f>
      </c>
      <c r="M6140" s="29">
        <f>IFERROR((G6140*H6140*I6140/1000000)*D6140,0)</f>
      </c>
    </row>
    <row r="6141" spans="1:13" x14ac:dyDescent="0.25">
      <c r="A6141" s="16"/>
      <c r="E6141" s="27"/>
      <c r="F6141" t="s">
        <v>26</v>
      </c>
      <c r="G6141" s="28">
        <f>IFERROR(VLOOKUP(F6141,CARTON_LOOKUP!$A:$E,3,0),"")</f>
      </c>
      <c r="H6141" s="28">
        <f>IFERROR(VLOOKUP(F6141,CARTON_LOOKUP!$A:$E,4,0),"")</f>
      </c>
      <c r="I6141" s="28">
        <f>IFERROR(VLOOKUP(F6141,CARTON_LOOKUP!$A:$E,5,0),"")</f>
      </c>
      <c r="J6141" s="29">
        <f>IFERROR(VLOOKUP(F6141,CARTON_LOOKUP!$A:$E,2,0),"")</f>
      </c>
      <c r="K6141" s="29">
        <f>IFERROR(J6141*D6141,0)</f>
      </c>
      <c r="L6141" s="29">
        <f>IFERROR(E6141*C6141,0)</f>
      </c>
      <c r="M6141" s="29">
        <f>IFERROR((G6141*H6141*I6141/1000000)*D6141,0)</f>
      </c>
    </row>
    <row r="6142" spans="1:13" x14ac:dyDescent="0.25">
      <c r="A6142" s="16"/>
      <c r="E6142" s="27"/>
      <c r="F6142" t="s">
        <v>26</v>
      </c>
      <c r="G6142" s="28">
        <f>IFERROR(VLOOKUP(F6142,CARTON_LOOKUP!$A:$E,3,0),"")</f>
      </c>
      <c r="H6142" s="28">
        <f>IFERROR(VLOOKUP(F6142,CARTON_LOOKUP!$A:$E,4,0),"")</f>
      </c>
      <c r="I6142" s="28">
        <f>IFERROR(VLOOKUP(F6142,CARTON_LOOKUP!$A:$E,5,0),"")</f>
      </c>
      <c r="J6142" s="29">
        <f>IFERROR(VLOOKUP(F6142,CARTON_LOOKUP!$A:$E,2,0),"")</f>
      </c>
      <c r="K6142" s="29">
        <f>IFERROR(J6142*D6142,0)</f>
      </c>
      <c r="L6142" s="29">
        <f>IFERROR(E6142*C6142,0)</f>
      </c>
      <c r="M6142" s="29">
        <f>IFERROR((G6142*H6142*I6142/1000000)*D6142,0)</f>
      </c>
    </row>
    <row r="6143" spans="1:13" x14ac:dyDescent="0.25">
      <c r="A6143" s="16"/>
      <c r="E6143" s="27"/>
      <c r="F6143" t="s">
        <v>26</v>
      </c>
      <c r="G6143" s="28">
        <f>IFERROR(VLOOKUP(F6143,CARTON_LOOKUP!$A:$E,3,0),"")</f>
      </c>
      <c r="H6143" s="28">
        <f>IFERROR(VLOOKUP(F6143,CARTON_LOOKUP!$A:$E,4,0),"")</f>
      </c>
      <c r="I6143" s="28">
        <f>IFERROR(VLOOKUP(F6143,CARTON_LOOKUP!$A:$E,5,0),"")</f>
      </c>
      <c r="J6143" s="29">
        <f>IFERROR(VLOOKUP(F6143,CARTON_LOOKUP!$A:$E,2,0),"")</f>
      </c>
      <c r="K6143" s="29">
        <f>IFERROR(J6143*D6143,0)</f>
      </c>
      <c r="L6143" s="29">
        <f>IFERROR(E6143*C6143,0)</f>
      </c>
      <c r="M6143" s="29">
        <f>IFERROR((G6143*H6143*I6143/1000000)*D6143,0)</f>
      </c>
    </row>
    <row r="6144" spans="1:13" x14ac:dyDescent="0.25">
      <c r="A6144" s="16"/>
      <c r="E6144" s="27"/>
      <c r="F6144" t="s">
        <v>26</v>
      </c>
      <c r="G6144" s="28">
        <f>IFERROR(VLOOKUP(F6144,CARTON_LOOKUP!$A:$E,3,0),"")</f>
      </c>
      <c r="H6144" s="28">
        <f>IFERROR(VLOOKUP(F6144,CARTON_LOOKUP!$A:$E,4,0),"")</f>
      </c>
      <c r="I6144" s="28">
        <f>IFERROR(VLOOKUP(F6144,CARTON_LOOKUP!$A:$E,5,0),"")</f>
      </c>
      <c r="J6144" s="29">
        <f>IFERROR(VLOOKUP(F6144,CARTON_LOOKUP!$A:$E,2,0),"")</f>
      </c>
      <c r="K6144" s="29">
        <f>IFERROR(J6144*D6144,0)</f>
      </c>
      <c r="L6144" s="29">
        <f>IFERROR(E6144*C6144,0)</f>
      </c>
      <c r="M6144" s="29">
        <f>IFERROR((G6144*H6144*I6144/1000000)*D6144,0)</f>
      </c>
    </row>
    <row r="6145" spans="1:13" x14ac:dyDescent="0.25">
      <c r="A6145" s="16"/>
      <c r="E6145" s="27"/>
      <c r="F6145" t="s">
        <v>26</v>
      </c>
      <c r="G6145" s="28">
        <f>IFERROR(VLOOKUP(F6145,CARTON_LOOKUP!$A:$E,3,0),"")</f>
      </c>
      <c r="H6145" s="28">
        <f>IFERROR(VLOOKUP(F6145,CARTON_LOOKUP!$A:$E,4,0),"")</f>
      </c>
      <c r="I6145" s="28">
        <f>IFERROR(VLOOKUP(F6145,CARTON_LOOKUP!$A:$E,5,0),"")</f>
      </c>
      <c r="J6145" s="29">
        <f>IFERROR(VLOOKUP(F6145,CARTON_LOOKUP!$A:$E,2,0),"")</f>
      </c>
      <c r="K6145" s="29">
        <f>IFERROR(J6145*D6145,0)</f>
      </c>
      <c r="L6145" s="29">
        <f>IFERROR(E6145*C6145,0)</f>
      </c>
      <c r="M6145" s="29">
        <f>IFERROR((G6145*H6145*I6145/1000000)*D6145,0)</f>
      </c>
    </row>
    <row r="6146" spans="1:13" x14ac:dyDescent="0.25">
      <c r="A6146" s="16"/>
      <c r="E6146" s="27"/>
      <c r="F6146" t="s">
        <v>26</v>
      </c>
      <c r="G6146" s="28">
        <f>IFERROR(VLOOKUP(F6146,CARTON_LOOKUP!$A:$E,3,0),"")</f>
      </c>
      <c r="H6146" s="28">
        <f>IFERROR(VLOOKUP(F6146,CARTON_LOOKUP!$A:$E,4,0),"")</f>
      </c>
      <c r="I6146" s="28">
        <f>IFERROR(VLOOKUP(F6146,CARTON_LOOKUP!$A:$E,5,0),"")</f>
      </c>
      <c r="J6146" s="29">
        <f>IFERROR(VLOOKUP(F6146,CARTON_LOOKUP!$A:$E,2,0),"")</f>
      </c>
      <c r="K6146" s="29">
        <f>IFERROR(J6146*D6146,0)</f>
      </c>
      <c r="L6146" s="29">
        <f>IFERROR(E6146*C6146,0)</f>
      </c>
      <c r="M6146" s="29">
        <f>IFERROR((G6146*H6146*I6146/1000000)*D6146,0)</f>
      </c>
    </row>
    <row r="6147" spans="1:13" x14ac:dyDescent="0.25">
      <c r="A6147" s="16"/>
      <c r="E6147" s="27"/>
      <c r="F6147" t="s">
        <v>26</v>
      </c>
      <c r="G6147" s="28">
        <f>IFERROR(VLOOKUP(F6147,CARTON_LOOKUP!$A:$E,3,0),"")</f>
      </c>
      <c r="H6147" s="28">
        <f>IFERROR(VLOOKUP(F6147,CARTON_LOOKUP!$A:$E,4,0),"")</f>
      </c>
      <c r="I6147" s="28">
        <f>IFERROR(VLOOKUP(F6147,CARTON_LOOKUP!$A:$E,5,0),"")</f>
      </c>
      <c r="J6147" s="29">
        <f>IFERROR(VLOOKUP(F6147,CARTON_LOOKUP!$A:$E,2,0),"")</f>
      </c>
      <c r="K6147" s="29">
        <f>IFERROR(J6147*D6147,0)</f>
      </c>
      <c r="L6147" s="29">
        <f>IFERROR(E6147*C6147,0)</f>
      </c>
      <c r="M6147" s="29">
        <f>IFERROR((G6147*H6147*I6147/1000000)*D6147,0)</f>
      </c>
    </row>
    <row r="6148" spans="1:13" x14ac:dyDescent="0.25">
      <c r="A6148" s="16"/>
      <c r="E6148" s="27"/>
      <c r="F6148" t="s">
        <v>26</v>
      </c>
      <c r="G6148" s="28">
        <f>IFERROR(VLOOKUP(F6148,CARTON_LOOKUP!$A:$E,3,0),"")</f>
      </c>
      <c r="H6148" s="28">
        <f>IFERROR(VLOOKUP(F6148,CARTON_LOOKUP!$A:$E,4,0),"")</f>
      </c>
      <c r="I6148" s="28">
        <f>IFERROR(VLOOKUP(F6148,CARTON_LOOKUP!$A:$E,5,0),"")</f>
      </c>
      <c r="J6148" s="29">
        <f>IFERROR(VLOOKUP(F6148,CARTON_LOOKUP!$A:$E,2,0),"")</f>
      </c>
      <c r="K6148" s="29">
        <f>IFERROR(J6148*D6148,0)</f>
      </c>
      <c r="L6148" s="29">
        <f>IFERROR(E6148*C6148,0)</f>
      </c>
      <c r="M6148" s="29">
        <f>IFERROR((G6148*H6148*I6148/1000000)*D6148,0)</f>
      </c>
    </row>
    <row r="6149" spans="1:13" x14ac:dyDescent="0.25">
      <c r="A6149" s="16"/>
      <c r="E6149" s="27"/>
      <c r="F6149" t="s">
        <v>26</v>
      </c>
      <c r="G6149" s="28">
        <f>IFERROR(VLOOKUP(F6149,CARTON_LOOKUP!$A:$E,3,0),"")</f>
      </c>
      <c r="H6149" s="28">
        <f>IFERROR(VLOOKUP(F6149,CARTON_LOOKUP!$A:$E,4,0),"")</f>
      </c>
      <c r="I6149" s="28">
        <f>IFERROR(VLOOKUP(F6149,CARTON_LOOKUP!$A:$E,5,0),"")</f>
      </c>
      <c r="J6149" s="29">
        <f>IFERROR(VLOOKUP(F6149,CARTON_LOOKUP!$A:$E,2,0),"")</f>
      </c>
      <c r="K6149" s="29">
        <f>IFERROR(J6149*D6149,0)</f>
      </c>
      <c r="L6149" s="29">
        <f>IFERROR(E6149*C6149,0)</f>
      </c>
      <c r="M6149" s="29">
        <f>IFERROR((G6149*H6149*I6149/1000000)*D6149,0)</f>
      </c>
    </row>
    <row r="6150" spans="1:13" x14ac:dyDescent="0.25">
      <c r="A6150" s="16"/>
      <c r="E6150" s="27"/>
      <c r="F6150" t="s">
        <v>26</v>
      </c>
      <c r="G6150" s="28">
        <f>IFERROR(VLOOKUP(F6150,CARTON_LOOKUP!$A:$E,3,0),"")</f>
      </c>
      <c r="H6150" s="28">
        <f>IFERROR(VLOOKUP(F6150,CARTON_LOOKUP!$A:$E,4,0),"")</f>
      </c>
      <c r="I6150" s="28">
        <f>IFERROR(VLOOKUP(F6150,CARTON_LOOKUP!$A:$E,5,0),"")</f>
      </c>
      <c r="J6150" s="29">
        <f>IFERROR(VLOOKUP(F6150,CARTON_LOOKUP!$A:$E,2,0),"")</f>
      </c>
      <c r="K6150" s="29">
        <f>IFERROR(J6150*D6150,0)</f>
      </c>
      <c r="L6150" s="29">
        <f>IFERROR(E6150*C6150,0)</f>
      </c>
      <c r="M6150" s="29">
        <f>IFERROR((G6150*H6150*I6150/1000000)*D6150,0)</f>
      </c>
    </row>
    <row r="6151" spans="1:13" x14ac:dyDescent="0.25">
      <c r="A6151" s="16"/>
      <c r="E6151" s="27"/>
      <c r="F6151" t="s">
        <v>26</v>
      </c>
      <c r="G6151" s="28">
        <f>IFERROR(VLOOKUP(F6151,CARTON_LOOKUP!$A:$E,3,0),"")</f>
      </c>
      <c r="H6151" s="28">
        <f>IFERROR(VLOOKUP(F6151,CARTON_LOOKUP!$A:$E,4,0),"")</f>
      </c>
      <c r="I6151" s="28">
        <f>IFERROR(VLOOKUP(F6151,CARTON_LOOKUP!$A:$E,5,0),"")</f>
      </c>
      <c r="J6151" s="29">
        <f>IFERROR(VLOOKUP(F6151,CARTON_LOOKUP!$A:$E,2,0),"")</f>
      </c>
      <c r="K6151" s="29">
        <f>IFERROR(J6151*D6151,0)</f>
      </c>
      <c r="L6151" s="29">
        <f>IFERROR(E6151*C6151,0)</f>
      </c>
      <c r="M6151" s="29">
        <f>IFERROR((G6151*H6151*I6151/1000000)*D6151,0)</f>
      </c>
    </row>
    <row r="6152" spans="1:13" x14ac:dyDescent="0.25">
      <c r="A6152" s="16"/>
      <c r="E6152" s="27"/>
      <c r="F6152" t="s">
        <v>26</v>
      </c>
      <c r="G6152" s="28">
        <f>IFERROR(VLOOKUP(F6152,CARTON_LOOKUP!$A:$E,3,0),"")</f>
      </c>
      <c r="H6152" s="28">
        <f>IFERROR(VLOOKUP(F6152,CARTON_LOOKUP!$A:$E,4,0),"")</f>
      </c>
      <c r="I6152" s="28">
        <f>IFERROR(VLOOKUP(F6152,CARTON_LOOKUP!$A:$E,5,0),"")</f>
      </c>
      <c r="J6152" s="29">
        <f>IFERROR(VLOOKUP(F6152,CARTON_LOOKUP!$A:$E,2,0),"")</f>
      </c>
      <c r="K6152" s="29">
        <f>IFERROR(J6152*D6152,0)</f>
      </c>
      <c r="L6152" s="29">
        <f>IFERROR(E6152*C6152,0)</f>
      </c>
      <c r="M6152" s="29">
        <f>IFERROR((G6152*H6152*I6152/1000000)*D6152,0)</f>
      </c>
    </row>
    <row r="6153" spans="1:13" x14ac:dyDescent="0.25">
      <c r="A6153" s="16"/>
      <c r="E6153" s="27"/>
      <c r="F6153" t="s">
        <v>26</v>
      </c>
      <c r="G6153" s="28">
        <f>IFERROR(VLOOKUP(F6153,CARTON_LOOKUP!$A:$E,3,0),"")</f>
      </c>
      <c r="H6153" s="28">
        <f>IFERROR(VLOOKUP(F6153,CARTON_LOOKUP!$A:$E,4,0),"")</f>
      </c>
      <c r="I6153" s="28">
        <f>IFERROR(VLOOKUP(F6153,CARTON_LOOKUP!$A:$E,5,0),"")</f>
      </c>
      <c r="J6153" s="29">
        <f>IFERROR(VLOOKUP(F6153,CARTON_LOOKUP!$A:$E,2,0),"")</f>
      </c>
      <c r="K6153" s="29">
        <f>IFERROR(J6153*D6153,0)</f>
      </c>
      <c r="L6153" s="29">
        <f>IFERROR(E6153*C6153,0)</f>
      </c>
      <c r="M6153" s="29">
        <f>IFERROR((G6153*H6153*I6153/1000000)*D6153,0)</f>
      </c>
    </row>
    <row r="6154" spans="1:13" x14ac:dyDescent="0.25">
      <c r="A6154" s="16"/>
      <c r="E6154" s="27"/>
      <c r="F6154" t="s">
        <v>26</v>
      </c>
      <c r="G6154" s="28">
        <f>IFERROR(VLOOKUP(F6154,CARTON_LOOKUP!$A:$E,3,0),"")</f>
      </c>
      <c r="H6154" s="28">
        <f>IFERROR(VLOOKUP(F6154,CARTON_LOOKUP!$A:$E,4,0),"")</f>
      </c>
      <c r="I6154" s="28">
        <f>IFERROR(VLOOKUP(F6154,CARTON_LOOKUP!$A:$E,5,0),"")</f>
      </c>
      <c r="J6154" s="29">
        <f>IFERROR(VLOOKUP(F6154,CARTON_LOOKUP!$A:$E,2,0),"")</f>
      </c>
      <c r="K6154" s="29">
        <f>IFERROR(J6154*D6154,0)</f>
      </c>
      <c r="L6154" s="29">
        <f>IFERROR(E6154*C6154,0)</f>
      </c>
      <c r="M6154" s="29">
        <f>IFERROR((G6154*H6154*I6154/1000000)*D6154,0)</f>
      </c>
    </row>
    <row r="6155" spans="1:13" x14ac:dyDescent="0.25">
      <c r="A6155" s="16"/>
      <c r="E6155" s="27"/>
      <c r="F6155" t="s">
        <v>26</v>
      </c>
      <c r="G6155" s="28">
        <f>IFERROR(VLOOKUP(F6155,CARTON_LOOKUP!$A:$E,3,0),"")</f>
      </c>
      <c r="H6155" s="28">
        <f>IFERROR(VLOOKUP(F6155,CARTON_LOOKUP!$A:$E,4,0),"")</f>
      </c>
      <c r="I6155" s="28">
        <f>IFERROR(VLOOKUP(F6155,CARTON_LOOKUP!$A:$E,5,0),"")</f>
      </c>
      <c r="J6155" s="29">
        <f>IFERROR(VLOOKUP(F6155,CARTON_LOOKUP!$A:$E,2,0),"")</f>
      </c>
      <c r="K6155" s="29">
        <f>IFERROR(J6155*D6155,0)</f>
      </c>
      <c r="L6155" s="29">
        <f>IFERROR(E6155*C6155,0)</f>
      </c>
      <c r="M6155" s="29">
        <f>IFERROR((G6155*H6155*I6155/1000000)*D6155,0)</f>
      </c>
    </row>
    <row r="6156" spans="1:13" x14ac:dyDescent="0.25">
      <c r="A6156" s="16"/>
      <c r="E6156" s="27"/>
      <c r="F6156" t="s">
        <v>26</v>
      </c>
      <c r="G6156" s="28">
        <f>IFERROR(VLOOKUP(F6156,CARTON_LOOKUP!$A:$E,3,0),"")</f>
      </c>
      <c r="H6156" s="28">
        <f>IFERROR(VLOOKUP(F6156,CARTON_LOOKUP!$A:$E,4,0),"")</f>
      </c>
      <c r="I6156" s="28">
        <f>IFERROR(VLOOKUP(F6156,CARTON_LOOKUP!$A:$E,5,0),"")</f>
      </c>
      <c r="J6156" s="29">
        <f>IFERROR(VLOOKUP(F6156,CARTON_LOOKUP!$A:$E,2,0),"")</f>
      </c>
      <c r="K6156" s="29">
        <f>IFERROR(J6156*D6156,0)</f>
      </c>
      <c r="L6156" s="29">
        <f>IFERROR(E6156*C6156,0)</f>
      </c>
      <c r="M6156" s="29">
        <f>IFERROR((G6156*H6156*I6156/1000000)*D6156,0)</f>
      </c>
    </row>
    <row r="6157" spans="1:13" x14ac:dyDescent="0.25">
      <c r="A6157" s="16"/>
      <c r="E6157" s="27"/>
      <c r="F6157" t="s">
        <v>26</v>
      </c>
      <c r="G6157" s="28">
        <f>IFERROR(VLOOKUP(F6157,CARTON_LOOKUP!$A:$E,3,0),"")</f>
      </c>
      <c r="H6157" s="28">
        <f>IFERROR(VLOOKUP(F6157,CARTON_LOOKUP!$A:$E,4,0),"")</f>
      </c>
      <c r="I6157" s="28">
        <f>IFERROR(VLOOKUP(F6157,CARTON_LOOKUP!$A:$E,5,0),"")</f>
      </c>
      <c r="J6157" s="29">
        <f>IFERROR(VLOOKUP(F6157,CARTON_LOOKUP!$A:$E,2,0),"")</f>
      </c>
      <c r="K6157" s="29">
        <f>IFERROR(J6157*D6157,0)</f>
      </c>
      <c r="L6157" s="29">
        <f>IFERROR(E6157*C6157,0)</f>
      </c>
      <c r="M6157" s="29">
        <f>IFERROR((G6157*H6157*I6157/1000000)*D6157,0)</f>
      </c>
    </row>
    <row r="6158" spans="1:13" x14ac:dyDescent="0.25">
      <c r="A6158" s="16"/>
      <c r="E6158" s="27"/>
      <c r="F6158" t="s">
        <v>26</v>
      </c>
      <c r="G6158" s="28">
        <f>IFERROR(VLOOKUP(F6158,CARTON_LOOKUP!$A:$E,3,0),"")</f>
      </c>
      <c r="H6158" s="28">
        <f>IFERROR(VLOOKUP(F6158,CARTON_LOOKUP!$A:$E,4,0),"")</f>
      </c>
      <c r="I6158" s="28">
        <f>IFERROR(VLOOKUP(F6158,CARTON_LOOKUP!$A:$E,5,0),"")</f>
      </c>
      <c r="J6158" s="29">
        <f>IFERROR(VLOOKUP(F6158,CARTON_LOOKUP!$A:$E,2,0),"")</f>
      </c>
      <c r="K6158" s="29">
        <f>IFERROR(J6158*D6158,0)</f>
      </c>
      <c r="L6158" s="29">
        <f>IFERROR(E6158*C6158,0)</f>
      </c>
      <c r="M6158" s="29">
        <f>IFERROR((G6158*H6158*I6158/1000000)*D6158,0)</f>
      </c>
    </row>
    <row r="6159" spans="1:13" x14ac:dyDescent="0.25">
      <c r="A6159" s="16"/>
      <c r="E6159" s="27"/>
      <c r="F6159" t="s">
        <v>26</v>
      </c>
      <c r="G6159" s="28">
        <f>IFERROR(VLOOKUP(F6159,CARTON_LOOKUP!$A:$E,3,0),"")</f>
      </c>
      <c r="H6159" s="28">
        <f>IFERROR(VLOOKUP(F6159,CARTON_LOOKUP!$A:$E,4,0),"")</f>
      </c>
      <c r="I6159" s="28">
        <f>IFERROR(VLOOKUP(F6159,CARTON_LOOKUP!$A:$E,5,0),"")</f>
      </c>
      <c r="J6159" s="29">
        <f>IFERROR(VLOOKUP(F6159,CARTON_LOOKUP!$A:$E,2,0),"")</f>
      </c>
      <c r="K6159" s="29">
        <f>IFERROR(J6159*D6159,0)</f>
      </c>
      <c r="L6159" s="29">
        <f>IFERROR(E6159*C6159,0)</f>
      </c>
      <c r="M6159" s="29">
        <f>IFERROR((G6159*H6159*I6159/1000000)*D6159,0)</f>
      </c>
    </row>
    <row r="6160" spans="1:13" x14ac:dyDescent="0.25">
      <c r="A6160" s="16"/>
      <c r="E6160" s="27"/>
      <c r="F6160" t="s">
        <v>26</v>
      </c>
      <c r="G6160" s="28">
        <f>IFERROR(VLOOKUP(F6160,CARTON_LOOKUP!$A:$E,3,0),"")</f>
      </c>
      <c r="H6160" s="28">
        <f>IFERROR(VLOOKUP(F6160,CARTON_LOOKUP!$A:$E,4,0),"")</f>
      </c>
      <c r="I6160" s="28">
        <f>IFERROR(VLOOKUP(F6160,CARTON_LOOKUP!$A:$E,5,0),"")</f>
      </c>
      <c r="J6160" s="29">
        <f>IFERROR(VLOOKUP(F6160,CARTON_LOOKUP!$A:$E,2,0),"")</f>
      </c>
      <c r="K6160" s="29">
        <f>IFERROR(J6160*D6160,0)</f>
      </c>
      <c r="L6160" s="29">
        <f>IFERROR(E6160*C6160,0)</f>
      </c>
      <c r="M6160" s="29">
        <f>IFERROR((G6160*H6160*I6160/1000000)*D6160,0)</f>
      </c>
    </row>
    <row r="6161" spans="1:13" x14ac:dyDescent="0.25">
      <c r="A6161" s="16"/>
      <c r="E6161" s="27"/>
      <c r="F6161" t="s">
        <v>26</v>
      </c>
      <c r="G6161" s="28">
        <f>IFERROR(VLOOKUP(F6161,CARTON_LOOKUP!$A:$E,3,0),"")</f>
      </c>
      <c r="H6161" s="28">
        <f>IFERROR(VLOOKUP(F6161,CARTON_LOOKUP!$A:$E,4,0),"")</f>
      </c>
      <c r="I6161" s="28">
        <f>IFERROR(VLOOKUP(F6161,CARTON_LOOKUP!$A:$E,5,0),"")</f>
      </c>
      <c r="J6161" s="29">
        <f>IFERROR(VLOOKUP(F6161,CARTON_LOOKUP!$A:$E,2,0),"")</f>
      </c>
      <c r="K6161" s="29">
        <f>IFERROR(J6161*D6161,0)</f>
      </c>
      <c r="L6161" s="29">
        <f>IFERROR(E6161*C6161,0)</f>
      </c>
      <c r="M6161" s="29">
        <f>IFERROR((G6161*H6161*I6161/1000000)*D6161,0)</f>
      </c>
    </row>
    <row r="6162" spans="1:13" x14ac:dyDescent="0.25">
      <c r="A6162" s="16"/>
      <c r="E6162" s="27"/>
      <c r="F6162" t="s">
        <v>26</v>
      </c>
      <c r="G6162" s="28">
        <f>IFERROR(VLOOKUP(F6162,CARTON_LOOKUP!$A:$E,3,0),"")</f>
      </c>
      <c r="H6162" s="28">
        <f>IFERROR(VLOOKUP(F6162,CARTON_LOOKUP!$A:$E,4,0),"")</f>
      </c>
      <c r="I6162" s="28">
        <f>IFERROR(VLOOKUP(F6162,CARTON_LOOKUP!$A:$E,5,0),"")</f>
      </c>
      <c r="J6162" s="29">
        <f>IFERROR(VLOOKUP(F6162,CARTON_LOOKUP!$A:$E,2,0),"")</f>
      </c>
      <c r="K6162" s="29">
        <f>IFERROR(J6162*D6162,0)</f>
      </c>
      <c r="L6162" s="29">
        <f>IFERROR(E6162*C6162,0)</f>
      </c>
      <c r="M6162" s="29">
        <f>IFERROR((G6162*H6162*I6162/1000000)*D6162,0)</f>
      </c>
    </row>
    <row r="6163" spans="1:13" x14ac:dyDescent="0.25">
      <c r="A6163" s="16"/>
      <c r="E6163" s="27"/>
      <c r="F6163" t="s">
        <v>26</v>
      </c>
      <c r="G6163" s="28">
        <f>IFERROR(VLOOKUP(F6163,CARTON_LOOKUP!$A:$E,3,0),"")</f>
      </c>
      <c r="H6163" s="28">
        <f>IFERROR(VLOOKUP(F6163,CARTON_LOOKUP!$A:$E,4,0),"")</f>
      </c>
      <c r="I6163" s="28">
        <f>IFERROR(VLOOKUP(F6163,CARTON_LOOKUP!$A:$E,5,0),"")</f>
      </c>
      <c r="J6163" s="29">
        <f>IFERROR(VLOOKUP(F6163,CARTON_LOOKUP!$A:$E,2,0),"")</f>
      </c>
      <c r="K6163" s="29">
        <f>IFERROR(J6163*D6163,0)</f>
      </c>
      <c r="L6163" s="29">
        <f>IFERROR(E6163*C6163,0)</f>
      </c>
      <c r="M6163" s="29">
        <f>IFERROR((G6163*H6163*I6163/1000000)*D6163,0)</f>
      </c>
    </row>
    <row r="6164" spans="1:13" x14ac:dyDescent="0.25">
      <c r="A6164" s="16"/>
      <c r="E6164" s="27"/>
      <c r="F6164" t="s">
        <v>26</v>
      </c>
      <c r="G6164" s="28">
        <f>IFERROR(VLOOKUP(F6164,CARTON_LOOKUP!$A:$E,3,0),"")</f>
      </c>
      <c r="H6164" s="28">
        <f>IFERROR(VLOOKUP(F6164,CARTON_LOOKUP!$A:$E,4,0),"")</f>
      </c>
      <c r="I6164" s="28">
        <f>IFERROR(VLOOKUP(F6164,CARTON_LOOKUP!$A:$E,5,0),"")</f>
      </c>
      <c r="J6164" s="29">
        <f>IFERROR(VLOOKUP(F6164,CARTON_LOOKUP!$A:$E,2,0),"")</f>
      </c>
      <c r="K6164" s="29">
        <f>IFERROR(J6164*D6164,0)</f>
      </c>
      <c r="L6164" s="29">
        <f>IFERROR(E6164*C6164,0)</f>
      </c>
      <c r="M6164" s="29">
        <f>IFERROR((G6164*H6164*I6164/1000000)*D6164,0)</f>
      </c>
    </row>
    <row r="6165" spans="1:13" x14ac:dyDescent="0.25">
      <c r="A6165" s="16"/>
      <c r="E6165" s="27"/>
      <c r="F6165" t="s">
        <v>26</v>
      </c>
      <c r="G6165" s="28">
        <f>IFERROR(VLOOKUP(F6165,CARTON_LOOKUP!$A:$E,3,0),"")</f>
      </c>
      <c r="H6165" s="28">
        <f>IFERROR(VLOOKUP(F6165,CARTON_LOOKUP!$A:$E,4,0),"")</f>
      </c>
      <c r="I6165" s="28">
        <f>IFERROR(VLOOKUP(F6165,CARTON_LOOKUP!$A:$E,5,0),"")</f>
      </c>
      <c r="J6165" s="29">
        <f>IFERROR(VLOOKUP(F6165,CARTON_LOOKUP!$A:$E,2,0),"")</f>
      </c>
      <c r="K6165" s="29">
        <f>IFERROR(J6165*D6165,0)</f>
      </c>
      <c r="L6165" s="29">
        <f>IFERROR(E6165*C6165,0)</f>
      </c>
      <c r="M6165" s="29">
        <f>IFERROR((G6165*H6165*I6165/1000000)*D6165,0)</f>
      </c>
    </row>
    <row r="6166" spans="1:13" x14ac:dyDescent="0.25">
      <c r="A6166" s="16"/>
      <c r="E6166" s="27"/>
      <c r="F6166" t="s">
        <v>26</v>
      </c>
      <c r="G6166" s="28">
        <f>IFERROR(VLOOKUP(F6166,CARTON_LOOKUP!$A:$E,3,0),"")</f>
      </c>
      <c r="H6166" s="28">
        <f>IFERROR(VLOOKUP(F6166,CARTON_LOOKUP!$A:$E,4,0),"")</f>
      </c>
      <c r="I6166" s="28">
        <f>IFERROR(VLOOKUP(F6166,CARTON_LOOKUP!$A:$E,5,0),"")</f>
      </c>
      <c r="J6166" s="29">
        <f>IFERROR(VLOOKUP(F6166,CARTON_LOOKUP!$A:$E,2,0),"")</f>
      </c>
      <c r="K6166" s="29">
        <f>IFERROR(J6166*D6166,0)</f>
      </c>
      <c r="L6166" s="29">
        <f>IFERROR(E6166*C6166,0)</f>
      </c>
      <c r="M6166" s="29">
        <f>IFERROR((G6166*H6166*I6166/1000000)*D6166,0)</f>
      </c>
    </row>
    <row r="6167" spans="1:13" x14ac:dyDescent="0.25">
      <c r="A6167" s="16"/>
      <c r="E6167" s="27"/>
      <c r="F6167" t="s">
        <v>26</v>
      </c>
      <c r="G6167" s="28">
        <f>IFERROR(VLOOKUP(F6167,CARTON_LOOKUP!$A:$E,3,0),"")</f>
      </c>
      <c r="H6167" s="28">
        <f>IFERROR(VLOOKUP(F6167,CARTON_LOOKUP!$A:$E,4,0),"")</f>
      </c>
      <c r="I6167" s="28">
        <f>IFERROR(VLOOKUP(F6167,CARTON_LOOKUP!$A:$E,5,0),"")</f>
      </c>
      <c r="J6167" s="29">
        <f>IFERROR(VLOOKUP(F6167,CARTON_LOOKUP!$A:$E,2,0),"")</f>
      </c>
      <c r="K6167" s="29">
        <f>IFERROR(J6167*D6167,0)</f>
      </c>
      <c r="L6167" s="29">
        <f>IFERROR(E6167*C6167,0)</f>
      </c>
      <c r="M6167" s="29">
        <f>IFERROR((G6167*H6167*I6167/1000000)*D6167,0)</f>
      </c>
    </row>
    <row r="6168" spans="1:13" x14ac:dyDescent="0.25">
      <c r="A6168" s="16"/>
      <c r="E6168" s="27"/>
      <c r="F6168" t="s">
        <v>26</v>
      </c>
      <c r="G6168" s="28">
        <f>IFERROR(VLOOKUP(F6168,CARTON_LOOKUP!$A:$E,3,0),"")</f>
      </c>
      <c r="H6168" s="28">
        <f>IFERROR(VLOOKUP(F6168,CARTON_LOOKUP!$A:$E,4,0),"")</f>
      </c>
      <c r="I6168" s="28">
        <f>IFERROR(VLOOKUP(F6168,CARTON_LOOKUP!$A:$E,5,0),"")</f>
      </c>
      <c r="J6168" s="29">
        <f>IFERROR(VLOOKUP(F6168,CARTON_LOOKUP!$A:$E,2,0),"")</f>
      </c>
      <c r="K6168" s="29">
        <f>IFERROR(J6168*D6168,0)</f>
      </c>
      <c r="L6168" s="29">
        <f>IFERROR(E6168*C6168,0)</f>
      </c>
      <c r="M6168" s="29">
        <f>IFERROR((G6168*H6168*I6168/1000000)*D6168,0)</f>
      </c>
    </row>
    <row r="6169" spans="1:13" x14ac:dyDescent="0.25">
      <c r="A6169" s="16"/>
      <c r="E6169" s="27"/>
      <c r="F6169" t="s">
        <v>26</v>
      </c>
      <c r="G6169" s="28">
        <f>IFERROR(VLOOKUP(F6169,CARTON_LOOKUP!$A:$E,3,0),"")</f>
      </c>
      <c r="H6169" s="28">
        <f>IFERROR(VLOOKUP(F6169,CARTON_LOOKUP!$A:$E,4,0),"")</f>
      </c>
      <c r="I6169" s="28">
        <f>IFERROR(VLOOKUP(F6169,CARTON_LOOKUP!$A:$E,5,0),"")</f>
      </c>
      <c r="J6169" s="29">
        <f>IFERROR(VLOOKUP(F6169,CARTON_LOOKUP!$A:$E,2,0),"")</f>
      </c>
      <c r="K6169" s="29">
        <f>IFERROR(J6169*D6169,0)</f>
      </c>
      <c r="L6169" s="29">
        <f>IFERROR(E6169*C6169,0)</f>
      </c>
      <c r="M6169" s="29">
        <f>IFERROR((G6169*H6169*I6169/1000000)*D6169,0)</f>
      </c>
    </row>
    <row r="6170" spans="1:13" x14ac:dyDescent="0.25">
      <c r="A6170" s="16"/>
      <c r="E6170" s="27"/>
      <c r="F6170" t="s">
        <v>26</v>
      </c>
      <c r="G6170" s="28">
        <f>IFERROR(VLOOKUP(F6170,CARTON_LOOKUP!$A:$E,3,0),"")</f>
      </c>
      <c r="H6170" s="28">
        <f>IFERROR(VLOOKUP(F6170,CARTON_LOOKUP!$A:$E,4,0),"")</f>
      </c>
      <c r="I6170" s="28">
        <f>IFERROR(VLOOKUP(F6170,CARTON_LOOKUP!$A:$E,5,0),"")</f>
      </c>
      <c r="J6170" s="29">
        <f>IFERROR(VLOOKUP(F6170,CARTON_LOOKUP!$A:$E,2,0),"")</f>
      </c>
      <c r="K6170" s="29">
        <f>IFERROR(J6170*D6170,0)</f>
      </c>
      <c r="L6170" s="29">
        <f>IFERROR(E6170*C6170,0)</f>
      </c>
      <c r="M6170" s="29">
        <f>IFERROR((G6170*H6170*I6170/1000000)*D6170,0)</f>
      </c>
    </row>
    <row r="6171" spans="1:13" x14ac:dyDescent="0.25">
      <c r="A6171" s="16"/>
      <c r="E6171" s="27"/>
      <c r="F6171" t="s">
        <v>26</v>
      </c>
      <c r="G6171" s="28">
        <f>IFERROR(VLOOKUP(F6171,CARTON_LOOKUP!$A:$E,3,0),"")</f>
      </c>
      <c r="H6171" s="28">
        <f>IFERROR(VLOOKUP(F6171,CARTON_LOOKUP!$A:$E,4,0),"")</f>
      </c>
      <c r="I6171" s="28">
        <f>IFERROR(VLOOKUP(F6171,CARTON_LOOKUP!$A:$E,5,0),"")</f>
      </c>
      <c r="J6171" s="29">
        <f>IFERROR(VLOOKUP(F6171,CARTON_LOOKUP!$A:$E,2,0),"")</f>
      </c>
      <c r="K6171" s="29">
        <f>IFERROR(J6171*D6171,0)</f>
      </c>
      <c r="L6171" s="29">
        <f>IFERROR(E6171*C6171,0)</f>
      </c>
      <c r="M6171" s="29">
        <f>IFERROR((G6171*H6171*I6171/1000000)*D6171,0)</f>
      </c>
    </row>
    <row r="6172" spans="1:13" x14ac:dyDescent="0.25">
      <c r="A6172" s="16"/>
      <c r="E6172" s="27"/>
      <c r="F6172" t="s">
        <v>26</v>
      </c>
      <c r="G6172" s="28">
        <f>IFERROR(VLOOKUP(F6172,CARTON_LOOKUP!$A:$E,3,0),"")</f>
      </c>
      <c r="H6172" s="28">
        <f>IFERROR(VLOOKUP(F6172,CARTON_LOOKUP!$A:$E,4,0),"")</f>
      </c>
      <c r="I6172" s="28">
        <f>IFERROR(VLOOKUP(F6172,CARTON_LOOKUP!$A:$E,5,0),"")</f>
      </c>
      <c r="J6172" s="29">
        <f>IFERROR(VLOOKUP(F6172,CARTON_LOOKUP!$A:$E,2,0),"")</f>
      </c>
      <c r="K6172" s="29">
        <f>IFERROR(J6172*D6172,0)</f>
      </c>
      <c r="L6172" s="29">
        <f>IFERROR(E6172*C6172,0)</f>
      </c>
      <c r="M6172" s="29">
        <f>IFERROR((G6172*H6172*I6172/1000000)*D6172,0)</f>
      </c>
    </row>
    <row r="6173" spans="1:13" x14ac:dyDescent="0.25">
      <c r="A6173" s="16"/>
      <c r="E6173" s="27"/>
      <c r="F6173" t="s">
        <v>26</v>
      </c>
      <c r="G6173" s="28">
        <f>IFERROR(VLOOKUP(F6173,CARTON_LOOKUP!$A:$E,3,0),"")</f>
      </c>
      <c r="H6173" s="28">
        <f>IFERROR(VLOOKUP(F6173,CARTON_LOOKUP!$A:$E,4,0),"")</f>
      </c>
      <c r="I6173" s="28">
        <f>IFERROR(VLOOKUP(F6173,CARTON_LOOKUP!$A:$E,5,0),"")</f>
      </c>
      <c r="J6173" s="29">
        <f>IFERROR(VLOOKUP(F6173,CARTON_LOOKUP!$A:$E,2,0),"")</f>
      </c>
      <c r="K6173" s="29">
        <f>IFERROR(J6173*D6173,0)</f>
      </c>
      <c r="L6173" s="29">
        <f>IFERROR(E6173*C6173,0)</f>
      </c>
      <c r="M6173" s="29">
        <f>IFERROR((G6173*H6173*I6173/1000000)*D6173,0)</f>
      </c>
    </row>
    <row r="6174" spans="1:13" x14ac:dyDescent="0.25">
      <c r="A6174" s="16"/>
      <c r="E6174" s="27"/>
      <c r="F6174" t="s">
        <v>26</v>
      </c>
      <c r="G6174" s="28">
        <f>IFERROR(VLOOKUP(F6174,CARTON_LOOKUP!$A:$E,3,0),"")</f>
      </c>
      <c r="H6174" s="28">
        <f>IFERROR(VLOOKUP(F6174,CARTON_LOOKUP!$A:$E,4,0),"")</f>
      </c>
      <c r="I6174" s="28">
        <f>IFERROR(VLOOKUP(F6174,CARTON_LOOKUP!$A:$E,5,0),"")</f>
      </c>
      <c r="J6174" s="29">
        <f>IFERROR(VLOOKUP(F6174,CARTON_LOOKUP!$A:$E,2,0),"")</f>
      </c>
      <c r="K6174" s="29">
        <f>IFERROR(J6174*D6174,0)</f>
      </c>
      <c r="L6174" s="29">
        <f>IFERROR(E6174*C6174,0)</f>
      </c>
      <c r="M6174" s="29">
        <f>IFERROR((G6174*H6174*I6174/1000000)*D6174,0)</f>
      </c>
    </row>
    <row r="6175" spans="1:13" x14ac:dyDescent="0.25">
      <c r="A6175" s="16"/>
      <c r="E6175" s="27"/>
      <c r="F6175" t="s">
        <v>26</v>
      </c>
      <c r="G6175" s="28">
        <f>IFERROR(VLOOKUP(F6175,CARTON_LOOKUP!$A:$E,3,0),"")</f>
      </c>
      <c r="H6175" s="28">
        <f>IFERROR(VLOOKUP(F6175,CARTON_LOOKUP!$A:$E,4,0),"")</f>
      </c>
      <c r="I6175" s="28">
        <f>IFERROR(VLOOKUP(F6175,CARTON_LOOKUP!$A:$E,5,0),"")</f>
      </c>
      <c r="J6175" s="29">
        <f>IFERROR(VLOOKUP(F6175,CARTON_LOOKUP!$A:$E,2,0),"")</f>
      </c>
      <c r="K6175" s="29">
        <f>IFERROR(J6175*D6175,0)</f>
      </c>
      <c r="L6175" s="29">
        <f>IFERROR(E6175*C6175,0)</f>
      </c>
      <c r="M6175" s="29">
        <f>IFERROR((G6175*H6175*I6175/1000000)*D6175,0)</f>
      </c>
    </row>
    <row r="6176" spans="1:13" x14ac:dyDescent="0.25">
      <c r="A6176" s="16"/>
      <c r="E6176" s="27"/>
      <c r="F6176" t="s">
        <v>26</v>
      </c>
      <c r="G6176" s="28">
        <f>IFERROR(VLOOKUP(F6176,CARTON_LOOKUP!$A:$E,3,0),"")</f>
      </c>
      <c r="H6176" s="28">
        <f>IFERROR(VLOOKUP(F6176,CARTON_LOOKUP!$A:$E,4,0),"")</f>
      </c>
      <c r="I6176" s="28">
        <f>IFERROR(VLOOKUP(F6176,CARTON_LOOKUP!$A:$E,5,0),"")</f>
      </c>
      <c r="J6176" s="29">
        <f>IFERROR(VLOOKUP(F6176,CARTON_LOOKUP!$A:$E,2,0),"")</f>
      </c>
      <c r="K6176" s="29">
        <f>IFERROR(J6176*D6176,0)</f>
      </c>
      <c r="L6176" s="29">
        <f>IFERROR(E6176*C6176,0)</f>
      </c>
      <c r="M6176" s="29">
        <f>IFERROR((G6176*H6176*I6176/1000000)*D6176,0)</f>
      </c>
    </row>
    <row r="6177" spans="1:13" x14ac:dyDescent="0.25">
      <c r="A6177" s="16"/>
      <c r="E6177" s="27"/>
      <c r="F6177" t="s">
        <v>26</v>
      </c>
      <c r="G6177" s="28">
        <f>IFERROR(VLOOKUP(F6177,CARTON_LOOKUP!$A:$E,3,0),"")</f>
      </c>
      <c r="H6177" s="28">
        <f>IFERROR(VLOOKUP(F6177,CARTON_LOOKUP!$A:$E,4,0),"")</f>
      </c>
      <c r="I6177" s="28">
        <f>IFERROR(VLOOKUP(F6177,CARTON_LOOKUP!$A:$E,5,0),"")</f>
      </c>
      <c r="J6177" s="29">
        <f>IFERROR(VLOOKUP(F6177,CARTON_LOOKUP!$A:$E,2,0),"")</f>
      </c>
      <c r="K6177" s="29">
        <f>IFERROR(J6177*D6177,0)</f>
      </c>
      <c r="L6177" s="29">
        <f>IFERROR(E6177*C6177,0)</f>
      </c>
      <c r="M6177" s="29">
        <f>IFERROR((G6177*H6177*I6177/1000000)*D6177,0)</f>
      </c>
    </row>
    <row r="6178" spans="1:13" x14ac:dyDescent="0.25">
      <c r="A6178" s="16"/>
      <c r="E6178" s="27"/>
      <c r="F6178" t="s">
        <v>26</v>
      </c>
      <c r="G6178" s="28">
        <f>IFERROR(VLOOKUP(F6178,CARTON_LOOKUP!$A:$E,3,0),"")</f>
      </c>
      <c r="H6178" s="28">
        <f>IFERROR(VLOOKUP(F6178,CARTON_LOOKUP!$A:$E,4,0),"")</f>
      </c>
      <c r="I6178" s="28">
        <f>IFERROR(VLOOKUP(F6178,CARTON_LOOKUP!$A:$E,5,0),"")</f>
      </c>
      <c r="J6178" s="29">
        <f>IFERROR(VLOOKUP(F6178,CARTON_LOOKUP!$A:$E,2,0),"")</f>
      </c>
      <c r="K6178" s="29">
        <f>IFERROR(J6178*D6178,0)</f>
      </c>
      <c r="L6178" s="29">
        <f>IFERROR(E6178*C6178,0)</f>
      </c>
      <c r="M6178" s="29">
        <f>IFERROR((G6178*H6178*I6178/1000000)*D6178,0)</f>
      </c>
    </row>
    <row r="6179" spans="1:13" x14ac:dyDescent="0.25">
      <c r="A6179" s="16"/>
      <c r="E6179" s="27"/>
      <c r="F6179" t="s">
        <v>26</v>
      </c>
      <c r="G6179" s="28">
        <f>IFERROR(VLOOKUP(F6179,CARTON_LOOKUP!$A:$E,3,0),"")</f>
      </c>
      <c r="H6179" s="28">
        <f>IFERROR(VLOOKUP(F6179,CARTON_LOOKUP!$A:$E,4,0),"")</f>
      </c>
      <c r="I6179" s="28">
        <f>IFERROR(VLOOKUP(F6179,CARTON_LOOKUP!$A:$E,5,0),"")</f>
      </c>
      <c r="J6179" s="29">
        <f>IFERROR(VLOOKUP(F6179,CARTON_LOOKUP!$A:$E,2,0),"")</f>
      </c>
      <c r="K6179" s="29">
        <f>IFERROR(J6179*D6179,0)</f>
      </c>
      <c r="L6179" s="29">
        <f>IFERROR(E6179*C6179,0)</f>
      </c>
      <c r="M6179" s="29">
        <f>IFERROR((G6179*H6179*I6179/1000000)*D6179,0)</f>
      </c>
    </row>
    <row r="6180" spans="1:13" x14ac:dyDescent="0.25">
      <c r="A6180" s="16"/>
      <c r="E6180" s="27"/>
      <c r="F6180" t="s">
        <v>26</v>
      </c>
      <c r="G6180" s="28">
        <f>IFERROR(VLOOKUP(F6180,CARTON_LOOKUP!$A:$E,3,0),"")</f>
      </c>
      <c r="H6180" s="28">
        <f>IFERROR(VLOOKUP(F6180,CARTON_LOOKUP!$A:$E,4,0),"")</f>
      </c>
      <c r="I6180" s="28">
        <f>IFERROR(VLOOKUP(F6180,CARTON_LOOKUP!$A:$E,5,0),"")</f>
      </c>
      <c r="J6180" s="29">
        <f>IFERROR(VLOOKUP(F6180,CARTON_LOOKUP!$A:$E,2,0),"")</f>
      </c>
      <c r="K6180" s="29">
        <f>IFERROR(J6180*D6180,0)</f>
      </c>
      <c r="L6180" s="29">
        <f>IFERROR(E6180*C6180,0)</f>
      </c>
      <c r="M6180" s="29">
        <f>IFERROR((G6180*H6180*I6180/1000000)*D6180,0)</f>
      </c>
    </row>
    <row r="6181" spans="1:13" x14ac:dyDescent="0.25">
      <c r="A6181" s="16"/>
      <c r="E6181" s="27"/>
      <c r="F6181" t="s">
        <v>26</v>
      </c>
      <c r="G6181" s="28">
        <f>IFERROR(VLOOKUP(F6181,CARTON_LOOKUP!$A:$E,3,0),"")</f>
      </c>
      <c r="H6181" s="28">
        <f>IFERROR(VLOOKUP(F6181,CARTON_LOOKUP!$A:$E,4,0),"")</f>
      </c>
      <c r="I6181" s="28">
        <f>IFERROR(VLOOKUP(F6181,CARTON_LOOKUP!$A:$E,5,0),"")</f>
      </c>
      <c r="J6181" s="29">
        <f>IFERROR(VLOOKUP(F6181,CARTON_LOOKUP!$A:$E,2,0),"")</f>
      </c>
      <c r="K6181" s="29">
        <f>IFERROR(J6181*D6181,0)</f>
      </c>
      <c r="L6181" s="29">
        <f>IFERROR(E6181*C6181,0)</f>
      </c>
      <c r="M6181" s="29">
        <f>IFERROR((G6181*H6181*I6181/1000000)*D6181,0)</f>
      </c>
    </row>
    <row r="6182" spans="1:13" x14ac:dyDescent="0.25">
      <c r="A6182" s="16"/>
      <c r="E6182" s="27"/>
      <c r="F6182" t="s">
        <v>26</v>
      </c>
      <c r="G6182" s="28">
        <f>IFERROR(VLOOKUP(F6182,CARTON_LOOKUP!$A:$E,3,0),"")</f>
      </c>
      <c r="H6182" s="28">
        <f>IFERROR(VLOOKUP(F6182,CARTON_LOOKUP!$A:$E,4,0),"")</f>
      </c>
      <c r="I6182" s="28">
        <f>IFERROR(VLOOKUP(F6182,CARTON_LOOKUP!$A:$E,5,0),"")</f>
      </c>
      <c r="J6182" s="29">
        <f>IFERROR(VLOOKUP(F6182,CARTON_LOOKUP!$A:$E,2,0),"")</f>
      </c>
      <c r="K6182" s="29">
        <f>IFERROR(J6182*D6182,0)</f>
      </c>
      <c r="L6182" s="29">
        <f>IFERROR(E6182*C6182,0)</f>
      </c>
      <c r="M6182" s="29">
        <f>IFERROR((G6182*H6182*I6182/1000000)*D6182,0)</f>
      </c>
    </row>
    <row r="6183" spans="1:13" x14ac:dyDescent="0.25">
      <c r="A6183" s="16"/>
      <c r="E6183" s="27"/>
      <c r="F6183" t="s">
        <v>26</v>
      </c>
      <c r="G6183" s="28">
        <f>IFERROR(VLOOKUP(F6183,CARTON_LOOKUP!$A:$E,3,0),"")</f>
      </c>
      <c r="H6183" s="28">
        <f>IFERROR(VLOOKUP(F6183,CARTON_LOOKUP!$A:$E,4,0),"")</f>
      </c>
      <c r="I6183" s="28">
        <f>IFERROR(VLOOKUP(F6183,CARTON_LOOKUP!$A:$E,5,0),"")</f>
      </c>
      <c r="J6183" s="29">
        <f>IFERROR(VLOOKUP(F6183,CARTON_LOOKUP!$A:$E,2,0),"")</f>
      </c>
      <c r="K6183" s="29">
        <f>IFERROR(J6183*D6183,0)</f>
      </c>
      <c r="L6183" s="29">
        <f>IFERROR(E6183*C6183,0)</f>
      </c>
      <c r="M6183" s="29">
        <f>IFERROR((G6183*H6183*I6183/1000000)*D6183,0)</f>
      </c>
    </row>
    <row r="6184" spans="1:13" x14ac:dyDescent="0.25">
      <c r="A6184" s="16"/>
      <c r="E6184" s="27"/>
      <c r="F6184" t="s">
        <v>26</v>
      </c>
      <c r="G6184" s="28">
        <f>IFERROR(VLOOKUP(F6184,CARTON_LOOKUP!$A:$E,3,0),"")</f>
      </c>
      <c r="H6184" s="28">
        <f>IFERROR(VLOOKUP(F6184,CARTON_LOOKUP!$A:$E,4,0),"")</f>
      </c>
      <c r="I6184" s="28">
        <f>IFERROR(VLOOKUP(F6184,CARTON_LOOKUP!$A:$E,5,0),"")</f>
      </c>
      <c r="J6184" s="29">
        <f>IFERROR(VLOOKUP(F6184,CARTON_LOOKUP!$A:$E,2,0),"")</f>
      </c>
      <c r="K6184" s="29">
        <f>IFERROR(J6184*D6184,0)</f>
      </c>
      <c r="L6184" s="29">
        <f>IFERROR(E6184*C6184,0)</f>
      </c>
      <c r="M6184" s="29">
        <f>IFERROR((G6184*H6184*I6184/1000000)*D6184,0)</f>
      </c>
    </row>
    <row r="6185" spans="1:13" x14ac:dyDescent="0.25">
      <c r="A6185" s="16"/>
      <c r="E6185" s="27"/>
      <c r="F6185" t="s">
        <v>26</v>
      </c>
      <c r="G6185" s="28">
        <f>IFERROR(VLOOKUP(F6185,CARTON_LOOKUP!$A:$E,3,0),"")</f>
      </c>
      <c r="H6185" s="28">
        <f>IFERROR(VLOOKUP(F6185,CARTON_LOOKUP!$A:$E,4,0),"")</f>
      </c>
      <c r="I6185" s="28">
        <f>IFERROR(VLOOKUP(F6185,CARTON_LOOKUP!$A:$E,5,0),"")</f>
      </c>
      <c r="J6185" s="29">
        <f>IFERROR(VLOOKUP(F6185,CARTON_LOOKUP!$A:$E,2,0),"")</f>
      </c>
      <c r="K6185" s="29">
        <f>IFERROR(J6185*D6185,0)</f>
      </c>
      <c r="L6185" s="29">
        <f>IFERROR(E6185*C6185,0)</f>
      </c>
      <c r="M6185" s="29">
        <f>IFERROR((G6185*H6185*I6185/1000000)*D6185,0)</f>
      </c>
    </row>
    <row r="6186" spans="1:13" x14ac:dyDescent="0.25">
      <c r="A6186" s="16"/>
      <c r="E6186" s="27"/>
      <c r="F6186" t="s">
        <v>26</v>
      </c>
      <c r="G6186" s="28">
        <f>IFERROR(VLOOKUP(F6186,CARTON_LOOKUP!$A:$E,3,0),"")</f>
      </c>
      <c r="H6186" s="28">
        <f>IFERROR(VLOOKUP(F6186,CARTON_LOOKUP!$A:$E,4,0),"")</f>
      </c>
      <c r="I6186" s="28">
        <f>IFERROR(VLOOKUP(F6186,CARTON_LOOKUP!$A:$E,5,0),"")</f>
      </c>
      <c r="J6186" s="29">
        <f>IFERROR(VLOOKUP(F6186,CARTON_LOOKUP!$A:$E,2,0),"")</f>
      </c>
      <c r="K6186" s="29">
        <f>IFERROR(J6186*D6186,0)</f>
      </c>
      <c r="L6186" s="29">
        <f>IFERROR(E6186*C6186,0)</f>
      </c>
      <c r="M6186" s="29">
        <f>IFERROR((G6186*H6186*I6186/1000000)*D6186,0)</f>
      </c>
    </row>
    <row r="6187" spans="1:13" x14ac:dyDescent="0.25">
      <c r="A6187" s="16"/>
      <c r="E6187" s="27"/>
      <c r="F6187" t="s">
        <v>26</v>
      </c>
      <c r="G6187" s="28">
        <f>IFERROR(VLOOKUP(F6187,CARTON_LOOKUP!$A:$E,3,0),"")</f>
      </c>
      <c r="H6187" s="28">
        <f>IFERROR(VLOOKUP(F6187,CARTON_LOOKUP!$A:$E,4,0),"")</f>
      </c>
      <c r="I6187" s="28">
        <f>IFERROR(VLOOKUP(F6187,CARTON_LOOKUP!$A:$E,5,0),"")</f>
      </c>
      <c r="J6187" s="29">
        <f>IFERROR(VLOOKUP(F6187,CARTON_LOOKUP!$A:$E,2,0),"")</f>
      </c>
      <c r="K6187" s="29">
        <f>IFERROR(J6187*D6187,0)</f>
      </c>
      <c r="L6187" s="29">
        <f>IFERROR(E6187*C6187,0)</f>
      </c>
      <c r="M6187" s="29">
        <f>IFERROR((G6187*H6187*I6187/1000000)*D6187,0)</f>
      </c>
    </row>
    <row r="6188" spans="1:13" x14ac:dyDescent="0.25">
      <c r="A6188" s="16"/>
      <c r="E6188" s="27"/>
      <c r="F6188" t="s">
        <v>26</v>
      </c>
      <c r="G6188" s="28">
        <f>IFERROR(VLOOKUP(F6188,CARTON_LOOKUP!$A:$E,3,0),"")</f>
      </c>
      <c r="H6188" s="28">
        <f>IFERROR(VLOOKUP(F6188,CARTON_LOOKUP!$A:$E,4,0),"")</f>
      </c>
      <c r="I6188" s="28">
        <f>IFERROR(VLOOKUP(F6188,CARTON_LOOKUP!$A:$E,5,0),"")</f>
      </c>
      <c r="J6188" s="29">
        <f>IFERROR(VLOOKUP(F6188,CARTON_LOOKUP!$A:$E,2,0),"")</f>
      </c>
      <c r="K6188" s="29">
        <f>IFERROR(J6188*D6188,0)</f>
      </c>
      <c r="L6188" s="29">
        <f>IFERROR(E6188*C6188,0)</f>
      </c>
      <c r="M6188" s="29">
        <f>IFERROR((G6188*H6188*I6188/1000000)*D6188,0)</f>
      </c>
    </row>
    <row r="6189" spans="1:13" x14ac:dyDescent="0.25">
      <c r="A6189" s="16"/>
      <c r="E6189" s="27"/>
      <c r="F6189" t="s">
        <v>26</v>
      </c>
      <c r="G6189" s="28">
        <f>IFERROR(VLOOKUP(F6189,CARTON_LOOKUP!$A:$E,3,0),"")</f>
      </c>
      <c r="H6189" s="28">
        <f>IFERROR(VLOOKUP(F6189,CARTON_LOOKUP!$A:$E,4,0),"")</f>
      </c>
      <c r="I6189" s="28">
        <f>IFERROR(VLOOKUP(F6189,CARTON_LOOKUP!$A:$E,5,0),"")</f>
      </c>
      <c r="J6189" s="29">
        <f>IFERROR(VLOOKUP(F6189,CARTON_LOOKUP!$A:$E,2,0),"")</f>
      </c>
      <c r="K6189" s="29">
        <f>IFERROR(J6189*D6189,0)</f>
      </c>
      <c r="L6189" s="29">
        <f>IFERROR(E6189*C6189,0)</f>
      </c>
      <c r="M6189" s="29">
        <f>IFERROR((G6189*H6189*I6189/1000000)*D6189,0)</f>
      </c>
    </row>
    <row r="6190" spans="1:13" x14ac:dyDescent="0.25">
      <c r="A6190" s="16"/>
      <c r="E6190" s="27"/>
      <c r="F6190" t="s">
        <v>26</v>
      </c>
      <c r="G6190" s="28">
        <f>IFERROR(VLOOKUP(F6190,CARTON_LOOKUP!$A:$E,3,0),"")</f>
      </c>
      <c r="H6190" s="28">
        <f>IFERROR(VLOOKUP(F6190,CARTON_LOOKUP!$A:$E,4,0),"")</f>
      </c>
      <c r="I6190" s="28">
        <f>IFERROR(VLOOKUP(F6190,CARTON_LOOKUP!$A:$E,5,0),"")</f>
      </c>
      <c r="J6190" s="29">
        <f>IFERROR(VLOOKUP(F6190,CARTON_LOOKUP!$A:$E,2,0),"")</f>
      </c>
      <c r="K6190" s="29">
        <f>IFERROR(J6190*D6190,0)</f>
      </c>
      <c r="L6190" s="29">
        <f>IFERROR(E6190*C6190,0)</f>
      </c>
      <c r="M6190" s="29">
        <f>IFERROR((G6190*H6190*I6190/1000000)*D6190,0)</f>
      </c>
    </row>
    <row r="6191" spans="1:13" x14ac:dyDescent="0.25">
      <c r="A6191" s="16"/>
      <c r="E6191" s="27"/>
      <c r="F6191" t="s">
        <v>26</v>
      </c>
      <c r="G6191" s="28">
        <f>IFERROR(VLOOKUP(F6191,CARTON_LOOKUP!$A:$E,3,0),"")</f>
      </c>
      <c r="H6191" s="28">
        <f>IFERROR(VLOOKUP(F6191,CARTON_LOOKUP!$A:$E,4,0),"")</f>
      </c>
      <c r="I6191" s="28">
        <f>IFERROR(VLOOKUP(F6191,CARTON_LOOKUP!$A:$E,5,0),"")</f>
      </c>
      <c r="J6191" s="29">
        <f>IFERROR(VLOOKUP(F6191,CARTON_LOOKUP!$A:$E,2,0),"")</f>
      </c>
      <c r="K6191" s="29">
        <f>IFERROR(J6191*D6191,0)</f>
      </c>
      <c r="L6191" s="29">
        <f>IFERROR(E6191*C6191,0)</f>
      </c>
      <c r="M6191" s="29">
        <f>IFERROR((G6191*H6191*I6191/1000000)*D6191,0)</f>
      </c>
    </row>
    <row r="6192" spans="1:13" x14ac:dyDescent="0.25">
      <c r="A6192" s="16"/>
      <c r="E6192" s="27"/>
      <c r="F6192" t="s">
        <v>26</v>
      </c>
      <c r="G6192" s="28">
        <f>IFERROR(VLOOKUP(F6192,CARTON_LOOKUP!$A:$E,3,0),"")</f>
      </c>
      <c r="H6192" s="28">
        <f>IFERROR(VLOOKUP(F6192,CARTON_LOOKUP!$A:$E,4,0),"")</f>
      </c>
      <c r="I6192" s="28">
        <f>IFERROR(VLOOKUP(F6192,CARTON_LOOKUP!$A:$E,5,0),"")</f>
      </c>
      <c r="J6192" s="29">
        <f>IFERROR(VLOOKUP(F6192,CARTON_LOOKUP!$A:$E,2,0),"")</f>
      </c>
      <c r="K6192" s="29">
        <f>IFERROR(J6192*D6192,0)</f>
      </c>
      <c r="L6192" s="29">
        <f>IFERROR(E6192*C6192,0)</f>
      </c>
      <c r="M6192" s="29">
        <f>IFERROR((G6192*H6192*I6192/1000000)*D6192,0)</f>
      </c>
    </row>
    <row r="6193" spans="1:13" x14ac:dyDescent="0.25">
      <c r="A6193" s="16"/>
      <c r="E6193" s="27"/>
      <c r="F6193" t="s">
        <v>26</v>
      </c>
      <c r="G6193" s="28">
        <f>IFERROR(VLOOKUP(F6193,CARTON_LOOKUP!$A:$E,3,0),"")</f>
      </c>
      <c r="H6193" s="28">
        <f>IFERROR(VLOOKUP(F6193,CARTON_LOOKUP!$A:$E,4,0),"")</f>
      </c>
      <c r="I6193" s="28">
        <f>IFERROR(VLOOKUP(F6193,CARTON_LOOKUP!$A:$E,5,0),"")</f>
      </c>
      <c r="J6193" s="29">
        <f>IFERROR(VLOOKUP(F6193,CARTON_LOOKUP!$A:$E,2,0),"")</f>
      </c>
      <c r="K6193" s="29">
        <f>IFERROR(J6193*D6193,0)</f>
      </c>
      <c r="L6193" s="29">
        <f>IFERROR(E6193*C6193,0)</f>
      </c>
      <c r="M6193" s="29">
        <f>IFERROR((G6193*H6193*I6193/1000000)*D6193,0)</f>
      </c>
    </row>
    <row r="6194" spans="1:13" x14ac:dyDescent="0.25">
      <c r="A6194" s="16"/>
      <c r="E6194" s="27"/>
      <c r="F6194" t="s">
        <v>26</v>
      </c>
      <c r="G6194" s="28">
        <f>IFERROR(VLOOKUP(F6194,CARTON_LOOKUP!$A:$E,3,0),"")</f>
      </c>
      <c r="H6194" s="28">
        <f>IFERROR(VLOOKUP(F6194,CARTON_LOOKUP!$A:$E,4,0),"")</f>
      </c>
      <c r="I6194" s="28">
        <f>IFERROR(VLOOKUP(F6194,CARTON_LOOKUP!$A:$E,5,0),"")</f>
      </c>
      <c r="J6194" s="29">
        <f>IFERROR(VLOOKUP(F6194,CARTON_LOOKUP!$A:$E,2,0),"")</f>
      </c>
      <c r="K6194" s="29">
        <f>IFERROR(J6194*D6194,0)</f>
      </c>
      <c r="L6194" s="29">
        <f>IFERROR(E6194*C6194,0)</f>
      </c>
      <c r="M6194" s="29">
        <f>IFERROR((G6194*H6194*I6194/1000000)*D6194,0)</f>
      </c>
    </row>
    <row r="6195" spans="1:13" x14ac:dyDescent="0.25">
      <c r="A6195" s="16"/>
      <c r="E6195" s="27"/>
      <c r="F6195" t="s">
        <v>26</v>
      </c>
      <c r="G6195" s="28">
        <f>IFERROR(VLOOKUP(F6195,CARTON_LOOKUP!$A:$E,3,0),"")</f>
      </c>
      <c r="H6195" s="28">
        <f>IFERROR(VLOOKUP(F6195,CARTON_LOOKUP!$A:$E,4,0),"")</f>
      </c>
      <c r="I6195" s="28">
        <f>IFERROR(VLOOKUP(F6195,CARTON_LOOKUP!$A:$E,5,0),"")</f>
      </c>
      <c r="J6195" s="29">
        <f>IFERROR(VLOOKUP(F6195,CARTON_LOOKUP!$A:$E,2,0),"")</f>
      </c>
      <c r="K6195" s="29">
        <f>IFERROR(J6195*D6195,0)</f>
      </c>
      <c r="L6195" s="29">
        <f>IFERROR(E6195*C6195,0)</f>
      </c>
      <c r="M6195" s="29">
        <f>IFERROR((G6195*H6195*I6195/1000000)*D6195,0)</f>
      </c>
    </row>
    <row r="6196" spans="1:13" x14ac:dyDescent="0.25">
      <c r="A6196" s="16"/>
      <c r="E6196" s="27"/>
      <c r="F6196" t="s">
        <v>26</v>
      </c>
      <c r="G6196" s="28">
        <f>IFERROR(VLOOKUP(F6196,CARTON_LOOKUP!$A:$E,3,0),"")</f>
      </c>
      <c r="H6196" s="28">
        <f>IFERROR(VLOOKUP(F6196,CARTON_LOOKUP!$A:$E,4,0),"")</f>
      </c>
      <c r="I6196" s="28">
        <f>IFERROR(VLOOKUP(F6196,CARTON_LOOKUP!$A:$E,5,0),"")</f>
      </c>
      <c r="J6196" s="29">
        <f>IFERROR(VLOOKUP(F6196,CARTON_LOOKUP!$A:$E,2,0),"")</f>
      </c>
      <c r="K6196" s="29">
        <f>IFERROR(J6196*D6196,0)</f>
      </c>
      <c r="L6196" s="29">
        <f>IFERROR(E6196*C6196,0)</f>
      </c>
      <c r="M6196" s="29">
        <f>IFERROR((G6196*H6196*I6196/1000000)*D6196,0)</f>
      </c>
    </row>
    <row r="6197" spans="1:13" x14ac:dyDescent="0.25">
      <c r="A6197" s="16"/>
      <c r="E6197" s="27"/>
      <c r="F6197" t="s">
        <v>26</v>
      </c>
      <c r="G6197" s="28">
        <f>IFERROR(VLOOKUP(F6197,CARTON_LOOKUP!$A:$E,3,0),"")</f>
      </c>
      <c r="H6197" s="28">
        <f>IFERROR(VLOOKUP(F6197,CARTON_LOOKUP!$A:$E,4,0),"")</f>
      </c>
      <c r="I6197" s="28">
        <f>IFERROR(VLOOKUP(F6197,CARTON_LOOKUP!$A:$E,5,0),"")</f>
      </c>
      <c r="J6197" s="29">
        <f>IFERROR(VLOOKUP(F6197,CARTON_LOOKUP!$A:$E,2,0),"")</f>
      </c>
      <c r="K6197" s="29">
        <f>IFERROR(J6197*D6197,0)</f>
      </c>
      <c r="L6197" s="29">
        <f>IFERROR(E6197*C6197,0)</f>
      </c>
      <c r="M6197" s="29">
        <f>IFERROR((G6197*H6197*I6197/1000000)*D6197,0)</f>
      </c>
    </row>
    <row r="6198" spans="1:13" x14ac:dyDescent="0.25">
      <c r="A6198" s="16"/>
      <c r="E6198" s="27"/>
      <c r="F6198" t="s">
        <v>26</v>
      </c>
      <c r="G6198" s="28">
        <f>IFERROR(VLOOKUP(F6198,CARTON_LOOKUP!$A:$E,3,0),"")</f>
      </c>
      <c r="H6198" s="28">
        <f>IFERROR(VLOOKUP(F6198,CARTON_LOOKUP!$A:$E,4,0),"")</f>
      </c>
      <c r="I6198" s="28">
        <f>IFERROR(VLOOKUP(F6198,CARTON_LOOKUP!$A:$E,5,0),"")</f>
      </c>
      <c r="J6198" s="29">
        <f>IFERROR(VLOOKUP(F6198,CARTON_LOOKUP!$A:$E,2,0),"")</f>
      </c>
      <c r="K6198" s="29">
        <f>IFERROR(J6198*D6198,0)</f>
      </c>
      <c r="L6198" s="29">
        <f>IFERROR(E6198*C6198,0)</f>
      </c>
      <c r="M6198" s="29">
        <f>IFERROR((G6198*H6198*I6198/1000000)*D6198,0)</f>
      </c>
    </row>
    <row r="6199" spans="1:13" x14ac:dyDescent="0.25">
      <c r="A6199" s="16"/>
      <c r="E6199" s="27"/>
      <c r="F6199" t="s">
        <v>26</v>
      </c>
      <c r="G6199" s="28">
        <f>IFERROR(VLOOKUP(F6199,CARTON_LOOKUP!$A:$E,3,0),"")</f>
      </c>
      <c r="H6199" s="28">
        <f>IFERROR(VLOOKUP(F6199,CARTON_LOOKUP!$A:$E,4,0),"")</f>
      </c>
      <c r="I6199" s="28">
        <f>IFERROR(VLOOKUP(F6199,CARTON_LOOKUP!$A:$E,5,0),"")</f>
      </c>
      <c r="J6199" s="29">
        <f>IFERROR(VLOOKUP(F6199,CARTON_LOOKUP!$A:$E,2,0),"")</f>
      </c>
      <c r="K6199" s="29">
        <f>IFERROR(J6199*D6199,0)</f>
      </c>
      <c r="L6199" s="29">
        <f>IFERROR(E6199*C6199,0)</f>
      </c>
      <c r="M6199" s="29">
        <f>IFERROR((G6199*H6199*I6199/1000000)*D6199,0)</f>
      </c>
    </row>
    <row r="6200" spans="1:13" x14ac:dyDescent="0.25">
      <c r="A6200" s="16"/>
      <c r="E6200" s="27"/>
      <c r="F6200" t="s">
        <v>26</v>
      </c>
      <c r="G6200" s="28">
        <f>IFERROR(VLOOKUP(F6200,CARTON_LOOKUP!$A:$E,3,0),"")</f>
      </c>
      <c r="H6200" s="28">
        <f>IFERROR(VLOOKUP(F6200,CARTON_LOOKUP!$A:$E,4,0),"")</f>
      </c>
      <c r="I6200" s="28">
        <f>IFERROR(VLOOKUP(F6200,CARTON_LOOKUP!$A:$E,5,0),"")</f>
      </c>
      <c r="J6200" s="29">
        <f>IFERROR(VLOOKUP(F6200,CARTON_LOOKUP!$A:$E,2,0),"")</f>
      </c>
      <c r="K6200" s="29">
        <f>IFERROR(J6200*D6200,0)</f>
      </c>
      <c r="L6200" s="29">
        <f>IFERROR(E6200*C6200,0)</f>
      </c>
      <c r="M6200" s="29">
        <f>IFERROR((G6200*H6200*I6200/1000000)*D6200,0)</f>
      </c>
    </row>
    <row r="6201" spans="1:13" x14ac:dyDescent="0.25">
      <c r="A6201" s="16"/>
      <c r="E6201" s="27"/>
      <c r="F6201" t="s">
        <v>26</v>
      </c>
      <c r="G6201" s="28">
        <f>IFERROR(VLOOKUP(F6201,CARTON_LOOKUP!$A:$E,3,0),"")</f>
      </c>
      <c r="H6201" s="28">
        <f>IFERROR(VLOOKUP(F6201,CARTON_LOOKUP!$A:$E,4,0),"")</f>
      </c>
      <c r="I6201" s="28">
        <f>IFERROR(VLOOKUP(F6201,CARTON_LOOKUP!$A:$E,5,0),"")</f>
      </c>
      <c r="J6201" s="29">
        <f>IFERROR(VLOOKUP(F6201,CARTON_LOOKUP!$A:$E,2,0),"")</f>
      </c>
      <c r="K6201" s="29">
        <f>IFERROR(J6201*D6201,0)</f>
      </c>
      <c r="L6201" s="29">
        <f>IFERROR(E6201*C6201,0)</f>
      </c>
      <c r="M6201" s="29">
        <f>IFERROR((G6201*H6201*I6201/1000000)*D6201,0)</f>
      </c>
    </row>
    <row r="6202" spans="1:13" x14ac:dyDescent="0.25">
      <c r="A6202" s="16"/>
      <c r="E6202" s="27"/>
      <c r="F6202" t="s">
        <v>26</v>
      </c>
      <c r="G6202" s="28">
        <f>IFERROR(VLOOKUP(F6202,CARTON_LOOKUP!$A:$E,3,0),"")</f>
      </c>
      <c r="H6202" s="28">
        <f>IFERROR(VLOOKUP(F6202,CARTON_LOOKUP!$A:$E,4,0),"")</f>
      </c>
      <c r="I6202" s="28">
        <f>IFERROR(VLOOKUP(F6202,CARTON_LOOKUP!$A:$E,5,0),"")</f>
      </c>
      <c r="J6202" s="29">
        <f>IFERROR(VLOOKUP(F6202,CARTON_LOOKUP!$A:$E,2,0),"")</f>
      </c>
      <c r="K6202" s="29">
        <f>IFERROR(J6202*D6202,0)</f>
      </c>
      <c r="L6202" s="29">
        <f>IFERROR(E6202*C6202,0)</f>
      </c>
      <c r="M6202" s="29">
        <f>IFERROR((G6202*H6202*I6202/1000000)*D6202,0)</f>
      </c>
    </row>
    <row r="6203" spans="1:13" x14ac:dyDescent="0.25">
      <c r="A6203" s="16"/>
      <c r="E6203" s="27"/>
      <c r="F6203" t="s">
        <v>26</v>
      </c>
      <c r="G6203" s="28">
        <f>IFERROR(VLOOKUP(F6203,CARTON_LOOKUP!$A:$E,3,0),"")</f>
      </c>
      <c r="H6203" s="28">
        <f>IFERROR(VLOOKUP(F6203,CARTON_LOOKUP!$A:$E,4,0),"")</f>
      </c>
      <c r="I6203" s="28">
        <f>IFERROR(VLOOKUP(F6203,CARTON_LOOKUP!$A:$E,5,0),"")</f>
      </c>
      <c r="J6203" s="29">
        <f>IFERROR(VLOOKUP(F6203,CARTON_LOOKUP!$A:$E,2,0),"")</f>
      </c>
      <c r="K6203" s="29">
        <f>IFERROR(J6203*D6203,0)</f>
      </c>
      <c r="L6203" s="29">
        <f>IFERROR(E6203*C6203,0)</f>
      </c>
      <c r="M6203" s="29">
        <f>IFERROR((G6203*H6203*I6203/1000000)*D6203,0)</f>
      </c>
    </row>
    <row r="6204" spans="1:13" x14ac:dyDescent="0.25">
      <c r="A6204" s="16"/>
      <c r="E6204" s="27"/>
      <c r="F6204" t="s">
        <v>26</v>
      </c>
      <c r="G6204" s="28">
        <f>IFERROR(VLOOKUP(F6204,CARTON_LOOKUP!$A:$E,3,0),"")</f>
      </c>
      <c r="H6204" s="28">
        <f>IFERROR(VLOOKUP(F6204,CARTON_LOOKUP!$A:$E,4,0),"")</f>
      </c>
      <c r="I6204" s="28">
        <f>IFERROR(VLOOKUP(F6204,CARTON_LOOKUP!$A:$E,5,0),"")</f>
      </c>
      <c r="J6204" s="29">
        <f>IFERROR(VLOOKUP(F6204,CARTON_LOOKUP!$A:$E,2,0),"")</f>
      </c>
      <c r="K6204" s="29">
        <f>IFERROR(J6204*D6204,0)</f>
      </c>
      <c r="L6204" s="29">
        <f>IFERROR(E6204*C6204,0)</f>
      </c>
      <c r="M6204" s="29">
        <f>IFERROR((G6204*H6204*I6204/1000000)*D6204,0)</f>
      </c>
    </row>
    <row r="6205" spans="1:13" x14ac:dyDescent="0.25">
      <c r="A6205" s="16"/>
      <c r="E6205" s="27"/>
      <c r="F6205" t="s">
        <v>26</v>
      </c>
      <c r="G6205" s="28">
        <f>IFERROR(VLOOKUP(F6205,CARTON_LOOKUP!$A:$E,3,0),"")</f>
      </c>
      <c r="H6205" s="28">
        <f>IFERROR(VLOOKUP(F6205,CARTON_LOOKUP!$A:$E,4,0),"")</f>
      </c>
      <c r="I6205" s="28">
        <f>IFERROR(VLOOKUP(F6205,CARTON_LOOKUP!$A:$E,5,0),"")</f>
      </c>
      <c r="J6205" s="29">
        <f>IFERROR(VLOOKUP(F6205,CARTON_LOOKUP!$A:$E,2,0),"")</f>
      </c>
      <c r="K6205" s="29">
        <f>IFERROR(J6205*D6205,0)</f>
      </c>
      <c r="L6205" s="29">
        <f>IFERROR(E6205*C6205,0)</f>
      </c>
      <c r="M6205" s="29">
        <f>IFERROR((G6205*H6205*I6205/1000000)*D6205,0)</f>
      </c>
    </row>
    <row r="6206" spans="1:13" x14ac:dyDescent="0.25">
      <c r="A6206" s="16"/>
      <c r="E6206" s="27"/>
      <c r="F6206" t="s">
        <v>26</v>
      </c>
      <c r="G6206" s="28">
        <f>IFERROR(VLOOKUP(F6206,CARTON_LOOKUP!$A:$E,3,0),"")</f>
      </c>
      <c r="H6206" s="28">
        <f>IFERROR(VLOOKUP(F6206,CARTON_LOOKUP!$A:$E,4,0),"")</f>
      </c>
      <c r="I6206" s="28">
        <f>IFERROR(VLOOKUP(F6206,CARTON_LOOKUP!$A:$E,5,0),"")</f>
      </c>
      <c r="J6206" s="29">
        <f>IFERROR(VLOOKUP(F6206,CARTON_LOOKUP!$A:$E,2,0),"")</f>
      </c>
      <c r="K6206" s="29">
        <f>IFERROR(J6206*D6206,0)</f>
      </c>
      <c r="L6206" s="29">
        <f>IFERROR(E6206*C6206,0)</f>
      </c>
      <c r="M6206" s="29">
        <f>IFERROR((G6206*H6206*I6206/1000000)*D6206,0)</f>
      </c>
    </row>
    <row r="6207" spans="1:13" x14ac:dyDescent="0.25">
      <c r="A6207" s="16"/>
      <c r="E6207" s="27"/>
      <c r="F6207" t="s">
        <v>26</v>
      </c>
      <c r="G6207" s="28">
        <f>IFERROR(VLOOKUP(F6207,CARTON_LOOKUP!$A:$E,3,0),"")</f>
      </c>
      <c r="H6207" s="28">
        <f>IFERROR(VLOOKUP(F6207,CARTON_LOOKUP!$A:$E,4,0),"")</f>
      </c>
      <c r="I6207" s="28">
        <f>IFERROR(VLOOKUP(F6207,CARTON_LOOKUP!$A:$E,5,0),"")</f>
      </c>
      <c r="J6207" s="29">
        <f>IFERROR(VLOOKUP(F6207,CARTON_LOOKUP!$A:$E,2,0),"")</f>
      </c>
      <c r="K6207" s="29">
        <f>IFERROR(J6207*D6207,0)</f>
      </c>
      <c r="L6207" s="29">
        <f>IFERROR(E6207*C6207,0)</f>
      </c>
      <c r="M6207" s="29">
        <f>IFERROR((G6207*H6207*I6207/1000000)*D6207,0)</f>
      </c>
    </row>
    <row r="6208" spans="1:13" x14ac:dyDescent="0.25">
      <c r="A6208" s="16"/>
      <c r="E6208" s="27"/>
      <c r="F6208" t="s">
        <v>26</v>
      </c>
      <c r="G6208" s="28">
        <f>IFERROR(VLOOKUP(F6208,CARTON_LOOKUP!$A:$E,3,0),"")</f>
      </c>
      <c r="H6208" s="28">
        <f>IFERROR(VLOOKUP(F6208,CARTON_LOOKUP!$A:$E,4,0),"")</f>
      </c>
      <c r="I6208" s="28">
        <f>IFERROR(VLOOKUP(F6208,CARTON_LOOKUP!$A:$E,5,0),"")</f>
      </c>
      <c r="J6208" s="29">
        <f>IFERROR(VLOOKUP(F6208,CARTON_LOOKUP!$A:$E,2,0),"")</f>
      </c>
      <c r="K6208" s="29">
        <f>IFERROR(J6208*D6208,0)</f>
      </c>
      <c r="L6208" s="29">
        <f>IFERROR(E6208*C6208,0)</f>
      </c>
      <c r="M6208" s="29">
        <f>IFERROR((G6208*H6208*I6208/1000000)*D6208,0)</f>
      </c>
    </row>
    <row r="6209" spans="1:13" x14ac:dyDescent="0.25">
      <c r="A6209" s="16"/>
      <c r="E6209" s="27"/>
      <c r="F6209" t="s">
        <v>26</v>
      </c>
      <c r="G6209" s="28">
        <f>IFERROR(VLOOKUP(F6209,CARTON_LOOKUP!$A:$E,3,0),"")</f>
      </c>
      <c r="H6209" s="28">
        <f>IFERROR(VLOOKUP(F6209,CARTON_LOOKUP!$A:$E,4,0),"")</f>
      </c>
      <c r="I6209" s="28">
        <f>IFERROR(VLOOKUP(F6209,CARTON_LOOKUP!$A:$E,5,0),"")</f>
      </c>
      <c r="J6209" s="29">
        <f>IFERROR(VLOOKUP(F6209,CARTON_LOOKUP!$A:$E,2,0),"")</f>
      </c>
      <c r="K6209" s="29">
        <f>IFERROR(J6209*D6209,0)</f>
      </c>
      <c r="L6209" s="29">
        <f>IFERROR(E6209*C6209,0)</f>
      </c>
      <c r="M6209" s="29">
        <f>IFERROR((G6209*H6209*I6209/1000000)*D6209,0)</f>
      </c>
    </row>
    <row r="6210" spans="1:13" x14ac:dyDescent="0.25">
      <c r="A6210" s="16"/>
      <c r="E6210" s="27"/>
      <c r="F6210" t="s">
        <v>26</v>
      </c>
      <c r="G6210" s="28">
        <f>IFERROR(VLOOKUP(F6210,CARTON_LOOKUP!$A:$E,3,0),"")</f>
      </c>
      <c r="H6210" s="28">
        <f>IFERROR(VLOOKUP(F6210,CARTON_LOOKUP!$A:$E,4,0),"")</f>
      </c>
      <c r="I6210" s="28">
        <f>IFERROR(VLOOKUP(F6210,CARTON_LOOKUP!$A:$E,5,0),"")</f>
      </c>
      <c r="J6210" s="29">
        <f>IFERROR(VLOOKUP(F6210,CARTON_LOOKUP!$A:$E,2,0),"")</f>
      </c>
      <c r="K6210" s="29">
        <f>IFERROR(J6210*D6210,0)</f>
      </c>
      <c r="L6210" s="29">
        <f>IFERROR(E6210*C6210,0)</f>
      </c>
      <c r="M6210" s="29">
        <f>IFERROR((G6210*H6210*I6210/1000000)*D6210,0)</f>
      </c>
    </row>
    <row r="6211" spans="1:13" x14ac:dyDescent="0.25">
      <c r="A6211" s="16"/>
      <c r="E6211" s="27"/>
      <c r="F6211" t="s">
        <v>26</v>
      </c>
      <c r="G6211" s="28">
        <f>IFERROR(VLOOKUP(F6211,CARTON_LOOKUP!$A:$E,3,0),"")</f>
      </c>
      <c r="H6211" s="28">
        <f>IFERROR(VLOOKUP(F6211,CARTON_LOOKUP!$A:$E,4,0),"")</f>
      </c>
      <c r="I6211" s="28">
        <f>IFERROR(VLOOKUP(F6211,CARTON_LOOKUP!$A:$E,5,0),"")</f>
      </c>
      <c r="J6211" s="29">
        <f>IFERROR(VLOOKUP(F6211,CARTON_LOOKUP!$A:$E,2,0),"")</f>
      </c>
      <c r="K6211" s="29">
        <f>IFERROR(J6211*D6211,0)</f>
      </c>
      <c r="L6211" s="29">
        <f>IFERROR(E6211*C6211,0)</f>
      </c>
      <c r="M6211" s="29">
        <f>IFERROR((G6211*H6211*I6211/1000000)*D6211,0)</f>
      </c>
    </row>
    <row r="6212" spans="1:13" x14ac:dyDescent="0.25">
      <c r="A6212" s="16"/>
      <c r="E6212" s="27"/>
      <c r="F6212" t="s">
        <v>26</v>
      </c>
      <c r="G6212" s="28">
        <f>IFERROR(VLOOKUP(F6212,CARTON_LOOKUP!$A:$E,3,0),"")</f>
      </c>
      <c r="H6212" s="28">
        <f>IFERROR(VLOOKUP(F6212,CARTON_LOOKUP!$A:$E,4,0),"")</f>
      </c>
      <c r="I6212" s="28">
        <f>IFERROR(VLOOKUP(F6212,CARTON_LOOKUP!$A:$E,5,0),"")</f>
      </c>
      <c r="J6212" s="29">
        <f>IFERROR(VLOOKUP(F6212,CARTON_LOOKUP!$A:$E,2,0),"")</f>
      </c>
      <c r="K6212" s="29">
        <f>IFERROR(J6212*D6212,0)</f>
      </c>
      <c r="L6212" s="29">
        <f>IFERROR(E6212*C6212,0)</f>
      </c>
      <c r="M6212" s="29">
        <f>IFERROR((G6212*H6212*I6212/1000000)*D6212,0)</f>
      </c>
    </row>
    <row r="6213" spans="1:13" x14ac:dyDescent="0.25">
      <c r="A6213" s="16"/>
      <c r="E6213" s="27"/>
      <c r="F6213" t="s">
        <v>26</v>
      </c>
      <c r="G6213" s="28">
        <f>IFERROR(VLOOKUP(F6213,CARTON_LOOKUP!$A:$E,3,0),"")</f>
      </c>
      <c r="H6213" s="28">
        <f>IFERROR(VLOOKUP(F6213,CARTON_LOOKUP!$A:$E,4,0),"")</f>
      </c>
      <c r="I6213" s="28">
        <f>IFERROR(VLOOKUP(F6213,CARTON_LOOKUP!$A:$E,5,0),"")</f>
      </c>
      <c r="J6213" s="29">
        <f>IFERROR(VLOOKUP(F6213,CARTON_LOOKUP!$A:$E,2,0),"")</f>
      </c>
      <c r="K6213" s="29">
        <f>IFERROR(J6213*D6213,0)</f>
      </c>
      <c r="L6213" s="29">
        <f>IFERROR(E6213*C6213,0)</f>
      </c>
      <c r="M6213" s="29">
        <f>IFERROR((G6213*H6213*I6213/1000000)*D6213,0)</f>
      </c>
    </row>
    <row r="6214" spans="1:13" x14ac:dyDescent="0.25">
      <c r="A6214" s="16"/>
      <c r="E6214" s="27"/>
      <c r="F6214" t="s">
        <v>26</v>
      </c>
      <c r="G6214" s="28">
        <f>IFERROR(VLOOKUP(F6214,CARTON_LOOKUP!$A:$E,3,0),"")</f>
      </c>
      <c r="H6214" s="28">
        <f>IFERROR(VLOOKUP(F6214,CARTON_LOOKUP!$A:$E,4,0),"")</f>
      </c>
      <c r="I6214" s="28">
        <f>IFERROR(VLOOKUP(F6214,CARTON_LOOKUP!$A:$E,5,0),"")</f>
      </c>
      <c r="J6214" s="29">
        <f>IFERROR(VLOOKUP(F6214,CARTON_LOOKUP!$A:$E,2,0),"")</f>
      </c>
      <c r="K6214" s="29">
        <f>IFERROR(J6214*D6214,0)</f>
      </c>
      <c r="L6214" s="29">
        <f>IFERROR(E6214*C6214,0)</f>
      </c>
      <c r="M6214" s="29">
        <f>IFERROR((G6214*H6214*I6214/1000000)*D6214,0)</f>
      </c>
    </row>
    <row r="6215" spans="1:13" x14ac:dyDescent="0.25">
      <c r="A6215" s="16"/>
      <c r="E6215" s="27"/>
      <c r="F6215" t="s">
        <v>26</v>
      </c>
      <c r="G6215" s="28">
        <f>IFERROR(VLOOKUP(F6215,CARTON_LOOKUP!$A:$E,3,0),"")</f>
      </c>
      <c r="H6215" s="28">
        <f>IFERROR(VLOOKUP(F6215,CARTON_LOOKUP!$A:$E,4,0),"")</f>
      </c>
      <c r="I6215" s="28">
        <f>IFERROR(VLOOKUP(F6215,CARTON_LOOKUP!$A:$E,5,0),"")</f>
      </c>
      <c r="J6215" s="29">
        <f>IFERROR(VLOOKUP(F6215,CARTON_LOOKUP!$A:$E,2,0),"")</f>
      </c>
      <c r="K6215" s="29">
        <f>IFERROR(J6215*D6215,0)</f>
      </c>
      <c r="L6215" s="29">
        <f>IFERROR(E6215*C6215,0)</f>
      </c>
      <c r="M6215" s="29">
        <f>IFERROR((G6215*H6215*I6215/1000000)*D6215,0)</f>
      </c>
    </row>
    <row r="6216" spans="1:13" x14ac:dyDescent="0.25">
      <c r="A6216" s="16"/>
      <c r="E6216" s="27"/>
      <c r="F6216" t="s">
        <v>26</v>
      </c>
      <c r="G6216" s="28">
        <f>IFERROR(VLOOKUP(F6216,CARTON_LOOKUP!$A:$E,3,0),"")</f>
      </c>
      <c r="H6216" s="28">
        <f>IFERROR(VLOOKUP(F6216,CARTON_LOOKUP!$A:$E,4,0),"")</f>
      </c>
      <c r="I6216" s="28">
        <f>IFERROR(VLOOKUP(F6216,CARTON_LOOKUP!$A:$E,5,0),"")</f>
      </c>
      <c r="J6216" s="29">
        <f>IFERROR(VLOOKUP(F6216,CARTON_LOOKUP!$A:$E,2,0),"")</f>
      </c>
      <c r="K6216" s="29">
        <f>IFERROR(J6216*D6216,0)</f>
      </c>
      <c r="L6216" s="29">
        <f>IFERROR(E6216*C6216,0)</f>
      </c>
      <c r="M6216" s="29">
        <f>IFERROR((G6216*H6216*I6216/1000000)*D6216,0)</f>
      </c>
    </row>
    <row r="6217" spans="1:13" x14ac:dyDescent="0.25">
      <c r="A6217" s="16"/>
      <c r="E6217" s="27"/>
      <c r="F6217" t="s">
        <v>26</v>
      </c>
      <c r="G6217" s="28">
        <f>IFERROR(VLOOKUP(F6217,CARTON_LOOKUP!$A:$E,3,0),"")</f>
      </c>
      <c r="H6217" s="28">
        <f>IFERROR(VLOOKUP(F6217,CARTON_LOOKUP!$A:$E,4,0),"")</f>
      </c>
      <c r="I6217" s="28">
        <f>IFERROR(VLOOKUP(F6217,CARTON_LOOKUP!$A:$E,5,0),"")</f>
      </c>
      <c r="J6217" s="29">
        <f>IFERROR(VLOOKUP(F6217,CARTON_LOOKUP!$A:$E,2,0),"")</f>
      </c>
      <c r="K6217" s="29">
        <f>IFERROR(J6217*D6217,0)</f>
      </c>
      <c r="L6217" s="29">
        <f>IFERROR(E6217*C6217,0)</f>
      </c>
      <c r="M6217" s="29">
        <f>IFERROR((G6217*H6217*I6217/1000000)*D6217,0)</f>
      </c>
    </row>
    <row r="6218" spans="1:13" x14ac:dyDescent="0.25">
      <c r="A6218" s="16"/>
      <c r="E6218" s="27"/>
      <c r="F6218" t="s">
        <v>26</v>
      </c>
      <c r="G6218" s="28">
        <f>IFERROR(VLOOKUP(F6218,CARTON_LOOKUP!$A:$E,3,0),"")</f>
      </c>
      <c r="H6218" s="28">
        <f>IFERROR(VLOOKUP(F6218,CARTON_LOOKUP!$A:$E,4,0),"")</f>
      </c>
      <c r="I6218" s="28">
        <f>IFERROR(VLOOKUP(F6218,CARTON_LOOKUP!$A:$E,5,0),"")</f>
      </c>
      <c r="J6218" s="29">
        <f>IFERROR(VLOOKUP(F6218,CARTON_LOOKUP!$A:$E,2,0),"")</f>
      </c>
      <c r="K6218" s="29">
        <f>IFERROR(J6218*D6218,0)</f>
      </c>
      <c r="L6218" s="29">
        <f>IFERROR(E6218*C6218,0)</f>
      </c>
      <c r="M6218" s="29">
        <f>IFERROR((G6218*H6218*I6218/1000000)*D6218,0)</f>
      </c>
    </row>
    <row r="6219" spans="1:13" x14ac:dyDescent="0.25">
      <c r="A6219" s="16"/>
      <c r="E6219" s="27"/>
      <c r="F6219" t="s">
        <v>26</v>
      </c>
      <c r="G6219" s="28">
        <f>IFERROR(VLOOKUP(F6219,CARTON_LOOKUP!$A:$E,3,0),"")</f>
      </c>
      <c r="H6219" s="28">
        <f>IFERROR(VLOOKUP(F6219,CARTON_LOOKUP!$A:$E,4,0),"")</f>
      </c>
      <c r="I6219" s="28">
        <f>IFERROR(VLOOKUP(F6219,CARTON_LOOKUP!$A:$E,5,0),"")</f>
      </c>
      <c r="J6219" s="29">
        <f>IFERROR(VLOOKUP(F6219,CARTON_LOOKUP!$A:$E,2,0),"")</f>
      </c>
      <c r="K6219" s="29">
        <f>IFERROR(J6219*D6219,0)</f>
      </c>
      <c r="L6219" s="29">
        <f>IFERROR(E6219*C6219,0)</f>
      </c>
      <c r="M6219" s="29">
        <f>IFERROR((G6219*H6219*I6219/1000000)*D6219,0)</f>
      </c>
    </row>
    <row r="6220" spans="1:13" x14ac:dyDescent="0.25">
      <c r="A6220" s="16"/>
      <c r="E6220" s="27"/>
      <c r="F6220" t="s">
        <v>26</v>
      </c>
      <c r="G6220" s="28">
        <f>IFERROR(VLOOKUP(F6220,CARTON_LOOKUP!$A:$E,3,0),"")</f>
      </c>
      <c r="H6220" s="28">
        <f>IFERROR(VLOOKUP(F6220,CARTON_LOOKUP!$A:$E,4,0),"")</f>
      </c>
      <c r="I6220" s="28">
        <f>IFERROR(VLOOKUP(F6220,CARTON_LOOKUP!$A:$E,5,0),"")</f>
      </c>
      <c r="J6220" s="29">
        <f>IFERROR(VLOOKUP(F6220,CARTON_LOOKUP!$A:$E,2,0),"")</f>
      </c>
      <c r="K6220" s="29">
        <f>IFERROR(J6220*D6220,0)</f>
      </c>
      <c r="L6220" s="29">
        <f>IFERROR(E6220*C6220,0)</f>
      </c>
      <c r="M6220" s="29">
        <f>IFERROR((G6220*H6220*I6220/1000000)*D6220,0)</f>
      </c>
    </row>
    <row r="6221" spans="1:13" x14ac:dyDescent="0.25">
      <c r="A6221" s="16"/>
      <c r="E6221" s="27"/>
      <c r="F6221" t="s">
        <v>26</v>
      </c>
      <c r="G6221" s="28">
        <f>IFERROR(VLOOKUP(F6221,CARTON_LOOKUP!$A:$E,3,0),"")</f>
      </c>
      <c r="H6221" s="28">
        <f>IFERROR(VLOOKUP(F6221,CARTON_LOOKUP!$A:$E,4,0),"")</f>
      </c>
      <c r="I6221" s="28">
        <f>IFERROR(VLOOKUP(F6221,CARTON_LOOKUP!$A:$E,5,0),"")</f>
      </c>
      <c r="J6221" s="29">
        <f>IFERROR(VLOOKUP(F6221,CARTON_LOOKUP!$A:$E,2,0),"")</f>
      </c>
      <c r="K6221" s="29">
        <f>IFERROR(J6221*D6221,0)</f>
      </c>
      <c r="L6221" s="29">
        <f>IFERROR(E6221*C6221,0)</f>
      </c>
      <c r="M6221" s="29">
        <f>IFERROR((G6221*H6221*I6221/1000000)*D6221,0)</f>
      </c>
    </row>
    <row r="6222" spans="1:13" x14ac:dyDescent="0.25">
      <c r="A6222" s="16"/>
      <c r="E6222" s="27"/>
      <c r="F6222" t="s">
        <v>26</v>
      </c>
      <c r="G6222" s="28">
        <f>IFERROR(VLOOKUP(F6222,CARTON_LOOKUP!$A:$E,3,0),"")</f>
      </c>
      <c r="H6222" s="28">
        <f>IFERROR(VLOOKUP(F6222,CARTON_LOOKUP!$A:$E,4,0),"")</f>
      </c>
      <c r="I6222" s="28">
        <f>IFERROR(VLOOKUP(F6222,CARTON_LOOKUP!$A:$E,5,0),"")</f>
      </c>
      <c r="J6222" s="29">
        <f>IFERROR(VLOOKUP(F6222,CARTON_LOOKUP!$A:$E,2,0),"")</f>
      </c>
      <c r="K6222" s="29">
        <f>IFERROR(J6222*D6222,0)</f>
      </c>
      <c r="L6222" s="29">
        <f>IFERROR(E6222*C6222,0)</f>
      </c>
      <c r="M6222" s="29">
        <f>IFERROR((G6222*H6222*I6222/1000000)*D6222,0)</f>
      </c>
    </row>
    <row r="6223" spans="1:13" x14ac:dyDescent="0.25">
      <c r="A6223" s="16"/>
      <c r="E6223" s="27"/>
      <c r="F6223" t="s">
        <v>26</v>
      </c>
      <c r="G6223" s="28">
        <f>IFERROR(VLOOKUP(F6223,CARTON_LOOKUP!$A:$E,3,0),"")</f>
      </c>
      <c r="H6223" s="28">
        <f>IFERROR(VLOOKUP(F6223,CARTON_LOOKUP!$A:$E,4,0),"")</f>
      </c>
      <c r="I6223" s="28">
        <f>IFERROR(VLOOKUP(F6223,CARTON_LOOKUP!$A:$E,5,0),"")</f>
      </c>
      <c r="J6223" s="29">
        <f>IFERROR(VLOOKUP(F6223,CARTON_LOOKUP!$A:$E,2,0),"")</f>
      </c>
      <c r="K6223" s="29">
        <f>IFERROR(J6223*D6223,0)</f>
      </c>
      <c r="L6223" s="29">
        <f>IFERROR(E6223*C6223,0)</f>
      </c>
      <c r="M6223" s="29">
        <f>IFERROR((G6223*H6223*I6223/1000000)*D6223,0)</f>
      </c>
    </row>
    <row r="6224" spans="1:13" x14ac:dyDescent="0.25">
      <c r="A6224" s="16"/>
      <c r="E6224" s="27"/>
      <c r="F6224" t="s">
        <v>26</v>
      </c>
      <c r="G6224" s="28">
        <f>IFERROR(VLOOKUP(F6224,CARTON_LOOKUP!$A:$E,3,0),"")</f>
      </c>
      <c r="H6224" s="28">
        <f>IFERROR(VLOOKUP(F6224,CARTON_LOOKUP!$A:$E,4,0),"")</f>
      </c>
      <c r="I6224" s="28">
        <f>IFERROR(VLOOKUP(F6224,CARTON_LOOKUP!$A:$E,5,0),"")</f>
      </c>
      <c r="J6224" s="29">
        <f>IFERROR(VLOOKUP(F6224,CARTON_LOOKUP!$A:$E,2,0),"")</f>
      </c>
      <c r="K6224" s="29">
        <f>IFERROR(J6224*D6224,0)</f>
      </c>
      <c r="L6224" s="29">
        <f>IFERROR(E6224*C6224,0)</f>
      </c>
      <c r="M6224" s="29">
        <f>IFERROR((G6224*H6224*I6224/1000000)*D6224,0)</f>
      </c>
    </row>
    <row r="6225" spans="1:13" x14ac:dyDescent="0.25">
      <c r="A6225" s="16"/>
      <c r="E6225" s="27"/>
      <c r="F6225" t="s">
        <v>26</v>
      </c>
      <c r="G6225" s="28">
        <f>IFERROR(VLOOKUP(F6225,CARTON_LOOKUP!$A:$E,3,0),"")</f>
      </c>
      <c r="H6225" s="28">
        <f>IFERROR(VLOOKUP(F6225,CARTON_LOOKUP!$A:$E,4,0),"")</f>
      </c>
      <c r="I6225" s="28">
        <f>IFERROR(VLOOKUP(F6225,CARTON_LOOKUP!$A:$E,5,0),"")</f>
      </c>
      <c r="J6225" s="29">
        <f>IFERROR(VLOOKUP(F6225,CARTON_LOOKUP!$A:$E,2,0),"")</f>
      </c>
      <c r="K6225" s="29">
        <f>IFERROR(J6225*D6225,0)</f>
      </c>
      <c r="L6225" s="29">
        <f>IFERROR(E6225*C6225,0)</f>
      </c>
      <c r="M6225" s="29">
        <f>IFERROR((G6225*H6225*I6225/1000000)*D6225,0)</f>
      </c>
    </row>
    <row r="6226" spans="1:13" x14ac:dyDescent="0.25">
      <c r="A6226" s="16"/>
      <c r="E6226" s="27"/>
      <c r="F6226" t="s">
        <v>26</v>
      </c>
      <c r="G6226" s="28">
        <f>IFERROR(VLOOKUP(F6226,CARTON_LOOKUP!$A:$E,3,0),"")</f>
      </c>
      <c r="H6226" s="28">
        <f>IFERROR(VLOOKUP(F6226,CARTON_LOOKUP!$A:$E,4,0),"")</f>
      </c>
      <c r="I6226" s="28">
        <f>IFERROR(VLOOKUP(F6226,CARTON_LOOKUP!$A:$E,5,0),"")</f>
      </c>
      <c r="J6226" s="29">
        <f>IFERROR(VLOOKUP(F6226,CARTON_LOOKUP!$A:$E,2,0),"")</f>
      </c>
      <c r="K6226" s="29">
        <f>IFERROR(J6226*D6226,0)</f>
      </c>
      <c r="L6226" s="29">
        <f>IFERROR(E6226*C6226,0)</f>
      </c>
      <c r="M6226" s="29">
        <f>IFERROR((G6226*H6226*I6226/1000000)*D6226,0)</f>
      </c>
    </row>
    <row r="6227" spans="1:13" x14ac:dyDescent="0.25">
      <c r="A6227" s="16"/>
      <c r="E6227" s="27"/>
      <c r="F6227" t="s">
        <v>26</v>
      </c>
      <c r="G6227" s="28">
        <f>IFERROR(VLOOKUP(F6227,CARTON_LOOKUP!$A:$E,3,0),"")</f>
      </c>
      <c r="H6227" s="28">
        <f>IFERROR(VLOOKUP(F6227,CARTON_LOOKUP!$A:$E,4,0),"")</f>
      </c>
      <c r="I6227" s="28">
        <f>IFERROR(VLOOKUP(F6227,CARTON_LOOKUP!$A:$E,5,0),"")</f>
      </c>
      <c r="J6227" s="29">
        <f>IFERROR(VLOOKUP(F6227,CARTON_LOOKUP!$A:$E,2,0),"")</f>
      </c>
      <c r="K6227" s="29">
        <f>IFERROR(J6227*D6227,0)</f>
      </c>
      <c r="L6227" s="29">
        <f>IFERROR(E6227*C6227,0)</f>
      </c>
      <c r="M6227" s="29">
        <f>IFERROR((G6227*H6227*I6227/1000000)*D6227,0)</f>
      </c>
    </row>
    <row r="6228" spans="1:13" x14ac:dyDescent="0.25">
      <c r="A6228" s="16"/>
      <c r="E6228" s="27"/>
      <c r="F6228" t="s">
        <v>26</v>
      </c>
      <c r="G6228" s="28">
        <f>IFERROR(VLOOKUP(F6228,CARTON_LOOKUP!$A:$E,3,0),"")</f>
      </c>
      <c r="H6228" s="28">
        <f>IFERROR(VLOOKUP(F6228,CARTON_LOOKUP!$A:$E,4,0),"")</f>
      </c>
      <c r="I6228" s="28">
        <f>IFERROR(VLOOKUP(F6228,CARTON_LOOKUP!$A:$E,5,0),"")</f>
      </c>
      <c r="J6228" s="29">
        <f>IFERROR(VLOOKUP(F6228,CARTON_LOOKUP!$A:$E,2,0),"")</f>
      </c>
      <c r="K6228" s="29">
        <f>IFERROR(J6228*D6228,0)</f>
      </c>
      <c r="L6228" s="29">
        <f>IFERROR(E6228*C6228,0)</f>
      </c>
      <c r="M6228" s="29">
        <f>IFERROR((G6228*H6228*I6228/1000000)*D6228,0)</f>
      </c>
    </row>
    <row r="6229" spans="1:13" x14ac:dyDescent="0.25">
      <c r="A6229" s="16"/>
      <c r="E6229" s="27"/>
      <c r="F6229" t="s">
        <v>26</v>
      </c>
      <c r="G6229" s="28">
        <f>IFERROR(VLOOKUP(F6229,CARTON_LOOKUP!$A:$E,3,0),"")</f>
      </c>
      <c r="H6229" s="28">
        <f>IFERROR(VLOOKUP(F6229,CARTON_LOOKUP!$A:$E,4,0),"")</f>
      </c>
      <c r="I6229" s="28">
        <f>IFERROR(VLOOKUP(F6229,CARTON_LOOKUP!$A:$E,5,0),"")</f>
      </c>
      <c r="J6229" s="29">
        <f>IFERROR(VLOOKUP(F6229,CARTON_LOOKUP!$A:$E,2,0),"")</f>
      </c>
      <c r="K6229" s="29">
        <f>IFERROR(J6229*D6229,0)</f>
      </c>
      <c r="L6229" s="29">
        <f>IFERROR(E6229*C6229,0)</f>
      </c>
      <c r="M6229" s="29">
        <f>IFERROR((G6229*H6229*I6229/1000000)*D6229,0)</f>
      </c>
    </row>
    <row r="6230" spans="1:13" x14ac:dyDescent="0.25">
      <c r="A6230" s="16"/>
      <c r="E6230" s="27"/>
      <c r="F6230" t="s">
        <v>26</v>
      </c>
      <c r="G6230" s="28">
        <f>IFERROR(VLOOKUP(F6230,CARTON_LOOKUP!$A:$E,3,0),"")</f>
      </c>
      <c r="H6230" s="28">
        <f>IFERROR(VLOOKUP(F6230,CARTON_LOOKUP!$A:$E,4,0),"")</f>
      </c>
      <c r="I6230" s="28">
        <f>IFERROR(VLOOKUP(F6230,CARTON_LOOKUP!$A:$E,5,0),"")</f>
      </c>
      <c r="J6230" s="29">
        <f>IFERROR(VLOOKUP(F6230,CARTON_LOOKUP!$A:$E,2,0),"")</f>
      </c>
      <c r="K6230" s="29">
        <f>IFERROR(J6230*D6230,0)</f>
      </c>
      <c r="L6230" s="29">
        <f>IFERROR(E6230*C6230,0)</f>
      </c>
      <c r="M6230" s="29">
        <f>IFERROR((G6230*H6230*I6230/1000000)*D6230,0)</f>
      </c>
    </row>
    <row r="6231" spans="1:13" x14ac:dyDescent="0.25">
      <c r="A6231" s="16"/>
      <c r="E6231" s="27"/>
      <c r="F6231" t="s">
        <v>26</v>
      </c>
      <c r="G6231" s="28">
        <f>IFERROR(VLOOKUP(F6231,CARTON_LOOKUP!$A:$E,3,0),"")</f>
      </c>
      <c r="H6231" s="28">
        <f>IFERROR(VLOOKUP(F6231,CARTON_LOOKUP!$A:$E,4,0),"")</f>
      </c>
      <c r="I6231" s="28">
        <f>IFERROR(VLOOKUP(F6231,CARTON_LOOKUP!$A:$E,5,0),"")</f>
      </c>
      <c r="J6231" s="29">
        <f>IFERROR(VLOOKUP(F6231,CARTON_LOOKUP!$A:$E,2,0),"")</f>
      </c>
      <c r="K6231" s="29">
        <f>IFERROR(J6231*D6231,0)</f>
      </c>
      <c r="L6231" s="29">
        <f>IFERROR(E6231*C6231,0)</f>
      </c>
      <c r="M6231" s="29">
        <f>IFERROR((G6231*H6231*I6231/1000000)*D6231,0)</f>
      </c>
    </row>
    <row r="6232" spans="1:13" x14ac:dyDescent="0.25">
      <c r="A6232" s="16"/>
      <c r="E6232" s="27"/>
      <c r="F6232" t="s">
        <v>26</v>
      </c>
      <c r="G6232" s="28">
        <f>IFERROR(VLOOKUP(F6232,CARTON_LOOKUP!$A:$E,3,0),"")</f>
      </c>
      <c r="H6232" s="28">
        <f>IFERROR(VLOOKUP(F6232,CARTON_LOOKUP!$A:$E,4,0),"")</f>
      </c>
      <c r="I6232" s="28">
        <f>IFERROR(VLOOKUP(F6232,CARTON_LOOKUP!$A:$E,5,0),"")</f>
      </c>
      <c r="J6232" s="29">
        <f>IFERROR(VLOOKUP(F6232,CARTON_LOOKUP!$A:$E,2,0),"")</f>
      </c>
      <c r="K6232" s="29">
        <f>IFERROR(J6232*D6232,0)</f>
      </c>
      <c r="L6232" s="29">
        <f>IFERROR(E6232*C6232,0)</f>
      </c>
      <c r="M6232" s="29">
        <f>IFERROR((G6232*H6232*I6232/1000000)*D6232,0)</f>
      </c>
    </row>
    <row r="6233" spans="1:13" x14ac:dyDescent="0.25">
      <c r="A6233" s="16"/>
      <c r="E6233" s="27"/>
      <c r="F6233" t="s">
        <v>26</v>
      </c>
      <c r="G6233" s="28">
        <f>IFERROR(VLOOKUP(F6233,CARTON_LOOKUP!$A:$E,3,0),"")</f>
      </c>
      <c r="H6233" s="28">
        <f>IFERROR(VLOOKUP(F6233,CARTON_LOOKUP!$A:$E,4,0),"")</f>
      </c>
      <c r="I6233" s="28">
        <f>IFERROR(VLOOKUP(F6233,CARTON_LOOKUP!$A:$E,5,0),"")</f>
      </c>
      <c r="J6233" s="29">
        <f>IFERROR(VLOOKUP(F6233,CARTON_LOOKUP!$A:$E,2,0),"")</f>
      </c>
      <c r="K6233" s="29">
        <f>IFERROR(J6233*D6233,0)</f>
      </c>
      <c r="L6233" s="29">
        <f>IFERROR(E6233*C6233,0)</f>
      </c>
      <c r="M6233" s="29">
        <f>IFERROR((G6233*H6233*I6233/1000000)*D6233,0)</f>
      </c>
    </row>
    <row r="6234" spans="1:13" x14ac:dyDescent="0.25">
      <c r="A6234" s="16"/>
      <c r="E6234" s="27"/>
      <c r="F6234" t="s">
        <v>26</v>
      </c>
      <c r="G6234" s="28">
        <f>IFERROR(VLOOKUP(F6234,CARTON_LOOKUP!$A:$E,3,0),"")</f>
      </c>
      <c r="H6234" s="28">
        <f>IFERROR(VLOOKUP(F6234,CARTON_LOOKUP!$A:$E,4,0),"")</f>
      </c>
      <c r="I6234" s="28">
        <f>IFERROR(VLOOKUP(F6234,CARTON_LOOKUP!$A:$E,5,0),"")</f>
      </c>
      <c r="J6234" s="29">
        <f>IFERROR(VLOOKUP(F6234,CARTON_LOOKUP!$A:$E,2,0),"")</f>
      </c>
      <c r="K6234" s="29">
        <f>IFERROR(J6234*D6234,0)</f>
      </c>
      <c r="L6234" s="29">
        <f>IFERROR(E6234*C6234,0)</f>
      </c>
      <c r="M6234" s="29">
        <f>IFERROR((G6234*H6234*I6234/1000000)*D6234,0)</f>
      </c>
    </row>
    <row r="6235" spans="1:13" x14ac:dyDescent="0.25">
      <c r="A6235" s="16"/>
      <c r="E6235" s="27"/>
      <c r="F6235" t="s">
        <v>26</v>
      </c>
      <c r="G6235" s="28">
        <f>IFERROR(VLOOKUP(F6235,CARTON_LOOKUP!$A:$E,3,0),"")</f>
      </c>
      <c r="H6235" s="28">
        <f>IFERROR(VLOOKUP(F6235,CARTON_LOOKUP!$A:$E,4,0),"")</f>
      </c>
      <c r="I6235" s="28">
        <f>IFERROR(VLOOKUP(F6235,CARTON_LOOKUP!$A:$E,5,0),"")</f>
      </c>
      <c r="J6235" s="29">
        <f>IFERROR(VLOOKUP(F6235,CARTON_LOOKUP!$A:$E,2,0),"")</f>
      </c>
      <c r="K6235" s="29">
        <f>IFERROR(J6235*D6235,0)</f>
      </c>
      <c r="L6235" s="29">
        <f>IFERROR(E6235*C6235,0)</f>
      </c>
      <c r="M6235" s="29">
        <f>IFERROR((G6235*H6235*I6235/1000000)*D6235,0)</f>
      </c>
    </row>
    <row r="6236" spans="1:13" x14ac:dyDescent="0.25">
      <c r="A6236" s="16"/>
      <c r="E6236" s="27"/>
      <c r="F6236" t="s">
        <v>26</v>
      </c>
      <c r="G6236" s="28">
        <f>IFERROR(VLOOKUP(F6236,CARTON_LOOKUP!$A:$E,3,0),"")</f>
      </c>
      <c r="H6236" s="28">
        <f>IFERROR(VLOOKUP(F6236,CARTON_LOOKUP!$A:$E,4,0),"")</f>
      </c>
      <c r="I6236" s="28">
        <f>IFERROR(VLOOKUP(F6236,CARTON_LOOKUP!$A:$E,5,0),"")</f>
      </c>
      <c r="J6236" s="29">
        <f>IFERROR(VLOOKUP(F6236,CARTON_LOOKUP!$A:$E,2,0),"")</f>
      </c>
      <c r="K6236" s="29">
        <f>IFERROR(J6236*D6236,0)</f>
      </c>
      <c r="L6236" s="29">
        <f>IFERROR(E6236*C6236,0)</f>
      </c>
      <c r="M6236" s="29">
        <f>IFERROR((G6236*H6236*I6236/1000000)*D6236,0)</f>
      </c>
    </row>
    <row r="6237" spans="1:13" x14ac:dyDescent="0.25">
      <c r="A6237" s="16"/>
      <c r="E6237" s="27"/>
      <c r="F6237" t="s">
        <v>26</v>
      </c>
      <c r="G6237" s="28">
        <f>IFERROR(VLOOKUP(F6237,CARTON_LOOKUP!$A:$E,3,0),"")</f>
      </c>
      <c r="H6237" s="28">
        <f>IFERROR(VLOOKUP(F6237,CARTON_LOOKUP!$A:$E,4,0),"")</f>
      </c>
      <c r="I6237" s="28">
        <f>IFERROR(VLOOKUP(F6237,CARTON_LOOKUP!$A:$E,5,0),"")</f>
      </c>
      <c r="J6237" s="29">
        <f>IFERROR(VLOOKUP(F6237,CARTON_LOOKUP!$A:$E,2,0),"")</f>
      </c>
      <c r="K6237" s="29">
        <f>IFERROR(J6237*D6237,0)</f>
      </c>
      <c r="L6237" s="29">
        <f>IFERROR(E6237*C6237,0)</f>
      </c>
      <c r="M6237" s="29">
        <f>IFERROR((G6237*H6237*I6237/1000000)*D6237,0)</f>
      </c>
    </row>
    <row r="6238" spans="1:13" x14ac:dyDescent="0.25">
      <c r="A6238" s="16"/>
      <c r="E6238" s="27"/>
      <c r="F6238" t="s">
        <v>26</v>
      </c>
      <c r="G6238" s="28">
        <f>IFERROR(VLOOKUP(F6238,CARTON_LOOKUP!$A:$E,3,0),"")</f>
      </c>
      <c r="H6238" s="28">
        <f>IFERROR(VLOOKUP(F6238,CARTON_LOOKUP!$A:$E,4,0),"")</f>
      </c>
      <c r="I6238" s="28">
        <f>IFERROR(VLOOKUP(F6238,CARTON_LOOKUP!$A:$E,5,0),"")</f>
      </c>
      <c r="J6238" s="29">
        <f>IFERROR(VLOOKUP(F6238,CARTON_LOOKUP!$A:$E,2,0),"")</f>
      </c>
      <c r="K6238" s="29">
        <f>IFERROR(J6238*D6238,0)</f>
      </c>
      <c r="L6238" s="29">
        <f>IFERROR(E6238*C6238,0)</f>
      </c>
      <c r="M6238" s="29">
        <f>IFERROR((G6238*H6238*I6238/1000000)*D6238,0)</f>
      </c>
    </row>
    <row r="6239" spans="1:13" x14ac:dyDescent="0.25">
      <c r="A6239" s="16"/>
      <c r="E6239" s="27"/>
      <c r="F6239" t="s">
        <v>26</v>
      </c>
      <c r="G6239" s="28">
        <f>IFERROR(VLOOKUP(F6239,CARTON_LOOKUP!$A:$E,3,0),"")</f>
      </c>
      <c r="H6239" s="28">
        <f>IFERROR(VLOOKUP(F6239,CARTON_LOOKUP!$A:$E,4,0),"")</f>
      </c>
      <c r="I6239" s="28">
        <f>IFERROR(VLOOKUP(F6239,CARTON_LOOKUP!$A:$E,5,0),"")</f>
      </c>
      <c r="J6239" s="29">
        <f>IFERROR(VLOOKUP(F6239,CARTON_LOOKUP!$A:$E,2,0),"")</f>
      </c>
      <c r="K6239" s="29">
        <f>IFERROR(J6239*D6239,0)</f>
      </c>
      <c r="L6239" s="29">
        <f>IFERROR(E6239*C6239,0)</f>
      </c>
      <c r="M6239" s="29">
        <f>IFERROR((G6239*H6239*I6239/1000000)*D6239,0)</f>
      </c>
    </row>
    <row r="6240" spans="1:13" x14ac:dyDescent="0.25">
      <c r="A6240" s="16"/>
      <c r="E6240" s="27"/>
      <c r="F6240" t="s">
        <v>26</v>
      </c>
      <c r="G6240" s="28">
        <f>IFERROR(VLOOKUP(F6240,CARTON_LOOKUP!$A:$E,3,0),"")</f>
      </c>
      <c r="H6240" s="28">
        <f>IFERROR(VLOOKUP(F6240,CARTON_LOOKUP!$A:$E,4,0),"")</f>
      </c>
      <c r="I6240" s="28">
        <f>IFERROR(VLOOKUP(F6240,CARTON_LOOKUP!$A:$E,5,0),"")</f>
      </c>
      <c r="J6240" s="29">
        <f>IFERROR(VLOOKUP(F6240,CARTON_LOOKUP!$A:$E,2,0),"")</f>
      </c>
      <c r="K6240" s="29">
        <f>IFERROR(J6240*D6240,0)</f>
      </c>
      <c r="L6240" s="29">
        <f>IFERROR(E6240*C6240,0)</f>
      </c>
      <c r="M6240" s="29">
        <f>IFERROR((G6240*H6240*I6240/1000000)*D6240,0)</f>
      </c>
    </row>
    <row r="6241" spans="1:13" x14ac:dyDescent="0.25">
      <c r="A6241" s="16"/>
      <c r="E6241" s="27"/>
      <c r="F6241" t="s">
        <v>26</v>
      </c>
      <c r="G6241" s="28">
        <f>IFERROR(VLOOKUP(F6241,CARTON_LOOKUP!$A:$E,3,0),"")</f>
      </c>
      <c r="H6241" s="28">
        <f>IFERROR(VLOOKUP(F6241,CARTON_LOOKUP!$A:$E,4,0),"")</f>
      </c>
      <c r="I6241" s="28">
        <f>IFERROR(VLOOKUP(F6241,CARTON_LOOKUP!$A:$E,5,0),"")</f>
      </c>
      <c r="J6241" s="29">
        <f>IFERROR(VLOOKUP(F6241,CARTON_LOOKUP!$A:$E,2,0),"")</f>
      </c>
      <c r="K6241" s="29">
        <f>IFERROR(J6241*D6241,0)</f>
      </c>
      <c r="L6241" s="29">
        <f>IFERROR(E6241*C6241,0)</f>
      </c>
      <c r="M6241" s="29">
        <f>IFERROR((G6241*H6241*I6241/1000000)*D6241,0)</f>
      </c>
    </row>
    <row r="6242" spans="1:13" x14ac:dyDescent="0.25">
      <c r="A6242" s="16"/>
      <c r="E6242" s="27"/>
      <c r="F6242" t="s">
        <v>26</v>
      </c>
      <c r="G6242" s="28">
        <f>IFERROR(VLOOKUP(F6242,CARTON_LOOKUP!$A:$E,3,0),"")</f>
      </c>
      <c r="H6242" s="28">
        <f>IFERROR(VLOOKUP(F6242,CARTON_LOOKUP!$A:$E,4,0),"")</f>
      </c>
      <c r="I6242" s="28">
        <f>IFERROR(VLOOKUP(F6242,CARTON_LOOKUP!$A:$E,5,0),"")</f>
      </c>
      <c r="J6242" s="29">
        <f>IFERROR(VLOOKUP(F6242,CARTON_LOOKUP!$A:$E,2,0),"")</f>
      </c>
      <c r="K6242" s="29">
        <f>IFERROR(J6242*D6242,0)</f>
      </c>
      <c r="L6242" s="29">
        <f>IFERROR(E6242*C6242,0)</f>
      </c>
      <c r="M6242" s="29">
        <f>IFERROR((G6242*H6242*I6242/1000000)*D6242,0)</f>
      </c>
    </row>
    <row r="6243" spans="1:13" x14ac:dyDescent="0.25">
      <c r="A6243" s="16"/>
      <c r="E6243" s="27"/>
      <c r="F6243" t="s">
        <v>26</v>
      </c>
      <c r="G6243" s="28">
        <f>IFERROR(VLOOKUP(F6243,CARTON_LOOKUP!$A:$E,3,0),"")</f>
      </c>
      <c r="H6243" s="28">
        <f>IFERROR(VLOOKUP(F6243,CARTON_LOOKUP!$A:$E,4,0),"")</f>
      </c>
      <c r="I6243" s="28">
        <f>IFERROR(VLOOKUP(F6243,CARTON_LOOKUP!$A:$E,5,0),"")</f>
      </c>
      <c r="J6243" s="29">
        <f>IFERROR(VLOOKUP(F6243,CARTON_LOOKUP!$A:$E,2,0),"")</f>
      </c>
      <c r="K6243" s="29">
        <f>IFERROR(J6243*D6243,0)</f>
      </c>
      <c r="L6243" s="29">
        <f>IFERROR(E6243*C6243,0)</f>
      </c>
      <c r="M6243" s="29">
        <f>IFERROR((G6243*H6243*I6243/1000000)*D6243,0)</f>
      </c>
    </row>
    <row r="6244" spans="1:13" x14ac:dyDescent="0.25">
      <c r="A6244" s="16"/>
      <c r="E6244" s="27"/>
      <c r="F6244" t="s">
        <v>26</v>
      </c>
      <c r="G6244" s="28">
        <f>IFERROR(VLOOKUP(F6244,CARTON_LOOKUP!$A:$E,3,0),"")</f>
      </c>
      <c r="H6244" s="28">
        <f>IFERROR(VLOOKUP(F6244,CARTON_LOOKUP!$A:$E,4,0),"")</f>
      </c>
      <c r="I6244" s="28">
        <f>IFERROR(VLOOKUP(F6244,CARTON_LOOKUP!$A:$E,5,0),"")</f>
      </c>
      <c r="J6244" s="29">
        <f>IFERROR(VLOOKUP(F6244,CARTON_LOOKUP!$A:$E,2,0),"")</f>
      </c>
      <c r="K6244" s="29">
        <f>IFERROR(J6244*D6244,0)</f>
      </c>
      <c r="L6244" s="29">
        <f>IFERROR(E6244*C6244,0)</f>
      </c>
      <c r="M6244" s="29">
        <f>IFERROR((G6244*H6244*I6244/1000000)*D6244,0)</f>
      </c>
    </row>
    <row r="6245" spans="1:13" x14ac:dyDescent="0.25">
      <c r="A6245" s="16"/>
      <c r="E6245" s="27"/>
      <c r="F6245" t="s">
        <v>26</v>
      </c>
      <c r="G6245" s="28">
        <f>IFERROR(VLOOKUP(F6245,CARTON_LOOKUP!$A:$E,3,0),"")</f>
      </c>
      <c r="H6245" s="28">
        <f>IFERROR(VLOOKUP(F6245,CARTON_LOOKUP!$A:$E,4,0),"")</f>
      </c>
      <c r="I6245" s="28">
        <f>IFERROR(VLOOKUP(F6245,CARTON_LOOKUP!$A:$E,5,0),"")</f>
      </c>
      <c r="J6245" s="29">
        <f>IFERROR(VLOOKUP(F6245,CARTON_LOOKUP!$A:$E,2,0),"")</f>
      </c>
      <c r="K6245" s="29">
        <f>IFERROR(J6245*D6245,0)</f>
      </c>
      <c r="L6245" s="29">
        <f>IFERROR(E6245*C6245,0)</f>
      </c>
      <c r="M6245" s="29">
        <f>IFERROR((G6245*H6245*I6245/1000000)*D6245,0)</f>
      </c>
    </row>
    <row r="6246" spans="1:13" x14ac:dyDescent="0.25">
      <c r="A6246" s="16"/>
      <c r="E6246" s="27"/>
      <c r="F6246" t="s">
        <v>26</v>
      </c>
      <c r="G6246" s="28">
        <f>IFERROR(VLOOKUP(F6246,CARTON_LOOKUP!$A:$E,3,0),"")</f>
      </c>
      <c r="H6246" s="28">
        <f>IFERROR(VLOOKUP(F6246,CARTON_LOOKUP!$A:$E,4,0),"")</f>
      </c>
      <c r="I6246" s="28">
        <f>IFERROR(VLOOKUP(F6246,CARTON_LOOKUP!$A:$E,5,0),"")</f>
      </c>
      <c r="J6246" s="29">
        <f>IFERROR(VLOOKUP(F6246,CARTON_LOOKUP!$A:$E,2,0),"")</f>
      </c>
      <c r="K6246" s="29">
        <f>IFERROR(J6246*D6246,0)</f>
      </c>
      <c r="L6246" s="29">
        <f>IFERROR(E6246*C6246,0)</f>
      </c>
      <c r="M6246" s="29">
        <f>IFERROR((G6246*H6246*I6246/1000000)*D6246,0)</f>
      </c>
    </row>
    <row r="6247" spans="1:13" x14ac:dyDescent="0.25">
      <c r="A6247" s="16"/>
      <c r="E6247" s="27"/>
      <c r="F6247" t="s">
        <v>26</v>
      </c>
      <c r="G6247" s="28">
        <f>IFERROR(VLOOKUP(F6247,CARTON_LOOKUP!$A:$E,3,0),"")</f>
      </c>
      <c r="H6247" s="28">
        <f>IFERROR(VLOOKUP(F6247,CARTON_LOOKUP!$A:$E,4,0),"")</f>
      </c>
      <c r="I6247" s="28">
        <f>IFERROR(VLOOKUP(F6247,CARTON_LOOKUP!$A:$E,5,0),"")</f>
      </c>
      <c r="J6247" s="29">
        <f>IFERROR(VLOOKUP(F6247,CARTON_LOOKUP!$A:$E,2,0),"")</f>
      </c>
      <c r="K6247" s="29">
        <f>IFERROR(J6247*D6247,0)</f>
      </c>
      <c r="L6247" s="29">
        <f>IFERROR(E6247*C6247,0)</f>
      </c>
      <c r="M6247" s="29">
        <f>IFERROR((G6247*H6247*I6247/1000000)*D6247,0)</f>
      </c>
    </row>
    <row r="6248" spans="1:13" x14ac:dyDescent="0.25">
      <c r="A6248" s="16"/>
      <c r="E6248" s="27"/>
      <c r="F6248" t="s">
        <v>26</v>
      </c>
      <c r="G6248" s="28">
        <f>IFERROR(VLOOKUP(F6248,CARTON_LOOKUP!$A:$E,3,0),"")</f>
      </c>
      <c r="H6248" s="28">
        <f>IFERROR(VLOOKUP(F6248,CARTON_LOOKUP!$A:$E,4,0),"")</f>
      </c>
      <c r="I6248" s="28">
        <f>IFERROR(VLOOKUP(F6248,CARTON_LOOKUP!$A:$E,5,0),"")</f>
      </c>
      <c r="J6248" s="29">
        <f>IFERROR(VLOOKUP(F6248,CARTON_LOOKUP!$A:$E,2,0),"")</f>
      </c>
      <c r="K6248" s="29">
        <f>IFERROR(J6248*D6248,0)</f>
      </c>
      <c r="L6248" s="29">
        <f>IFERROR(E6248*C6248,0)</f>
      </c>
      <c r="M6248" s="29">
        <f>IFERROR((G6248*H6248*I6248/1000000)*D6248,0)</f>
      </c>
    </row>
    <row r="6249" spans="1:13" x14ac:dyDescent="0.25">
      <c r="A6249" s="16"/>
      <c r="E6249" s="27"/>
      <c r="F6249" t="s">
        <v>26</v>
      </c>
      <c r="G6249" s="28">
        <f>IFERROR(VLOOKUP(F6249,CARTON_LOOKUP!$A:$E,3,0),"")</f>
      </c>
      <c r="H6249" s="28">
        <f>IFERROR(VLOOKUP(F6249,CARTON_LOOKUP!$A:$E,4,0),"")</f>
      </c>
      <c r="I6249" s="28">
        <f>IFERROR(VLOOKUP(F6249,CARTON_LOOKUP!$A:$E,5,0),"")</f>
      </c>
      <c r="J6249" s="29">
        <f>IFERROR(VLOOKUP(F6249,CARTON_LOOKUP!$A:$E,2,0),"")</f>
      </c>
      <c r="K6249" s="29">
        <f>IFERROR(J6249*D6249,0)</f>
      </c>
      <c r="L6249" s="29">
        <f>IFERROR(E6249*C6249,0)</f>
      </c>
      <c r="M6249" s="29">
        <f>IFERROR((G6249*H6249*I6249/1000000)*D6249,0)</f>
      </c>
    </row>
    <row r="6250" spans="1:13" x14ac:dyDescent="0.25">
      <c r="A6250" s="16"/>
      <c r="E6250" s="27"/>
      <c r="F6250" t="s">
        <v>26</v>
      </c>
      <c r="G6250" s="28">
        <f>IFERROR(VLOOKUP(F6250,CARTON_LOOKUP!$A:$E,3,0),"")</f>
      </c>
      <c r="H6250" s="28">
        <f>IFERROR(VLOOKUP(F6250,CARTON_LOOKUP!$A:$E,4,0),"")</f>
      </c>
      <c r="I6250" s="28">
        <f>IFERROR(VLOOKUP(F6250,CARTON_LOOKUP!$A:$E,5,0),"")</f>
      </c>
      <c r="J6250" s="29">
        <f>IFERROR(VLOOKUP(F6250,CARTON_LOOKUP!$A:$E,2,0),"")</f>
      </c>
      <c r="K6250" s="29">
        <f>IFERROR(J6250*D6250,0)</f>
      </c>
      <c r="L6250" s="29">
        <f>IFERROR(E6250*C6250,0)</f>
      </c>
      <c r="M6250" s="29">
        <f>IFERROR((G6250*H6250*I6250/1000000)*D6250,0)</f>
      </c>
    </row>
    <row r="6251" spans="1:13" x14ac:dyDescent="0.25">
      <c r="A6251" s="16"/>
      <c r="E6251" s="27"/>
      <c r="F6251" t="s">
        <v>26</v>
      </c>
      <c r="G6251" s="28">
        <f>IFERROR(VLOOKUP(F6251,CARTON_LOOKUP!$A:$E,3,0),"")</f>
      </c>
      <c r="H6251" s="28">
        <f>IFERROR(VLOOKUP(F6251,CARTON_LOOKUP!$A:$E,4,0),"")</f>
      </c>
      <c r="I6251" s="28">
        <f>IFERROR(VLOOKUP(F6251,CARTON_LOOKUP!$A:$E,5,0),"")</f>
      </c>
      <c r="J6251" s="29">
        <f>IFERROR(VLOOKUP(F6251,CARTON_LOOKUP!$A:$E,2,0),"")</f>
      </c>
      <c r="K6251" s="29">
        <f>IFERROR(J6251*D6251,0)</f>
      </c>
      <c r="L6251" s="29">
        <f>IFERROR(E6251*C6251,0)</f>
      </c>
      <c r="M6251" s="29">
        <f>IFERROR((G6251*H6251*I6251/1000000)*D6251,0)</f>
      </c>
    </row>
    <row r="6252" spans="1:13" x14ac:dyDescent="0.25">
      <c r="A6252" s="16"/>
      <c r="E6252" s="27"/>
      <c r="F6252" t="s">
        <v>26</v>
      </c>
      <c r="G6252" s="28">
        <f>IFERROR(VLOOKUP(F6252,CARTON_LOOKUP!$A:$E,3,0),"")</f>
      </c>
      <c r="H6252" s="28">
        <f>IFERROR(VLOOKUP(F6252,CARTON_LOOKUP!$A:$E,4,0),"")</f>
      </c>
      <c r="I6252" s="28">
        <f>IFERROR(VLOOKUP(F6252,CARTON_LOOKUP!$A:$E,5,0),"")</f>
      </c>
      <c r="J6252" s="29">
        <f>IFERROR(VLOOKUP(F6252,CARTON_LOOKUP!$A:$E,2,0),"")</f>
      </c>
      <c r="K6252" s="29">
        <f>IFERROR(J6252*D6252,0)</f>
      </c>
      <c r="L6252" s="29">
        <f>IFERROR(E6252*C6252,0)</f>
      </c>
      <c r="M6252" s="29">
        <f>IFERROR((G6252*H6252*I6252/1000000)*D6252,0)</f>
      </c>
    </row>
    <row r="6253" spans="1:13" x14ac:dyDescent="0.25">
      <c r="A6253" s="16"/>
      <c r="E6253" s="27"/>
      <c r="F6253" t="s">
        <v>26</v>
      </c>
      <c r="G6253" s="28">
        <f>IFERROR(VLOOKUP(F6253,CARTON_LOOKUP!$A:$E,3,0),"")</f>
      </c>
      <c r="H6253" s="28">
        <f>IFERROR(VLOOKUP(F6253,CARTON_LOOKUP!$A:$E,4,0),"")</f>
      </c>
      <c r="I6253" s="28">
        <f>IFERROR(VLOOKUP(F6253,CARTON_LOOKUP!$A:$E,5,0),"")</f>
      </c>
      <c r="J6253" s="29">
        <f>IFERROR(VLOOKUP(F6253,CARTON_LOOKUP!$A:$E,2,0),"")</f>
      </c>
      <c r="K6253" s="29">
        <f>IFERROR(J6253*D6253,0)</f>
      </c>
      <c r="L6253" s="29">
        <f>IFERROR(E6253*C6253,0)</f>
      </c>
      <c r="M6253" s="29">
        <f>IFERROR((G6253*H6253*I6253/1000000)*D6253,0)</f>
      </c>
    </row>
    <row r="6254" spans="1:13" x14ac:dyDescent="0.25">
      <c r="A6254" s="16"/>
      <c r="E6254" s="27"/>
      <c r="F6254" t="s">
        <v>26</v>
      </c>
      <c r="G6254" s="28">
        <f>IFERROR(VLOOKUP(F6254,CARTON_LOOKUP!$A:$E,3,0),"")</f>
      </c>
      <c r="H6254" s="28">
        <f>IFERROR(VLOOKUP(F6254,CARTON_LOOKUP!$A:$E,4,0),"")</f>
      </c>
      <c r="I6254" s="28">
        <f>IFERROR(VLOOKUP(F6254,CARTON_LOOKUP!$A:$E,5,0),"")</f>
      </c>
      <c r="J6254" s="29">
        <f>IFERROR(VLOOKUP(F6254,CARTON_LOOKUP!$A:$E,2,0),"")</f>
      </c>
      <c r="K6254" s="29">
        <f>IFERROR(J6254*D6254,0)</f>
      </c>
      <c r="L6254" s="29">
        <f>IFERROR(E6254*C6254,0)</f>
      </c>
      <c r="M6254" s="29">
        <f>IFERROR((G6254*H6254*I6254/1000000)*D6254,0)</f>
      </c>
    </row>
    <row r="6255" spans="1:13" x14ac:dyDescent="0.25">
      <c r="A6255" s="16"/>
      <c r="E6255" s="27"/>
      <c r="F6255" t="s">
        <v>26</v>
      </c>
      <c r="G6255" s="28">
        <f>IFERROR(VLOOKUP(F6255,CARTON_LOOKUP!$A:$E,3,0),"")</f>
      </c>
      <c r="H6255" s="28">
        <f>IFERROR(VLOOKUP(F6255,CARTON_LOOKUP!$A:$E,4,0),"")</f>
      </c>
      <c r="I6255" s="28">
        <f>IFERROR(VLOOKUP(F6255,CARTON_LOOKUP!$A:$E,5,0),"")</f>
      </c>
      <c r="J6255" s="29">
        <f>IFERROR(VLOOKUP(F6255,CARTON_LOOKUP!$A:$E,2,0),"")</f>
      </c>
      <c r="K6255" s="29">
        <f>IFERROR(J6255*D6255,0)</f>
      </c>
      <c r="L6255" s="29">
        <f>IFERROR(E6255*C6255,0)</f>
      </c>
      <c r="M6255" s="29">
        <f>IFERROR((G6255*H6255*I6255/1000000)*D6255,0)</f>
      </c>
    </row>
    <row r="6256" spans="1:13" x14ac:dyDescent="0.25">
      <c r="A6256" s="16"/>
      <c r="E6256" s="27"/>
      <c r="F6256" t="s">
        <v>26</v>
      </c>
      <c r="G6256" s="28">
        <f>IFERROR(VLOOKUP(F6256,CARTON_LOOKUP!$A:$E,3,0),"")</f>
      </c>
      <c r="H6256" s="28">
        <f>IFERROR(VLOOKUP(F6256,CARTON_LOOKUP!$A:$E,4,0),"")</f>
      </c>
      <c r="I6256" s="28">
        <f>IFERROR(VLOOKUP(F6256,CARTON_LOOKUP!$A:$E,5,0),"")</f>
      </c>
      <c r="J6256" s="29">
        <f>IFERROR(VLOOKUP(F6256,CARTON_LOOKUP!$A:$E,2,0),"")</f>
      </c>
      <c r="K6256" s="29">
        <f>IFERROR(J6256*D6256,0)</f>
      </c>
      <c r="L6256" s="29">
        <f>IFERROR(E6256*C6256,0)</f>
      </c>
      <c r="M6256" s="29">
        <f>IFERROR((G6256*H6256*I6256/1000000)*D6256,0)</f>
      </c>
    </row>
    <row r="6257" spans="1:13" x14ac:dyDescent="0.25">
      <c r="A6257" s="16"/>
      <c r="E6257" s="27"/>
      <c r="F6257" t="s">
        <v>26</v>
      </c>
      <c r="G6257" s="28">
        <f>IFERROR(VLOOKUP(F6257,CARTON_LOOKUP!$A:$E,3,0),"")</f>
      </c>
      <c r="H6257" s="28">
        <f>IFERROR(VLOOKUP(F6257,CARTON_LOOKUP!$A:$E,4,0),"")</f>
      </c>
      <c r="I6257" s="28">
        <f>IFERROR(VLOOKUP(F6257,CARTON_LOOKUP!$A:$E,5,0),"")</f>
      </c>
      <c r="J6257" s="29">
        <f>IFERROR(VLOOKUP(F6257,CARTON_LOOKUP!$A:$E,2,0),"")</f>
      </c>
      <c r="K6257" s="29">
        <f>IFERROR(J6257*D6257,0)</f>
      </c>
      <c r="L6257" s="29">
        <f>IFERROR(E6257*C6257,0)</f>
      </c>
      <c r="M6257" s="29">
        <f>IFERROR((G6257*H6257*I6257/1000000)*D6257,0)</f>
      </c>
    </row>
    <row r="6258" spans="1:13" x14ac:dyDescent="0.25">
      <c r="A6258" s="16"/>
      <c r="E6258" s="27"/>
      <c r="F6258" t="s">
        <v>26</v>
      </c>
      <c r="G6258" s="28">
        <f>IFERROR(VLOOKUP(F6258,CARTON_LOOKUP!$A:$E,3,0),"")</f>
      </c>
      <c r="H6258" s="28">
        <f>IFERROR(VLOOKUP(F6258,CARTON_LOOKUP!$A:$E,4,0),"")</f>
      </c>
      <c r="I6258" s="28">
        <f>IFERROR(VLOOKUP(F6258,CARTON_LOOKUP!$A:$E,5,0),"")</f>
      </c>
      <c r="J6258" s="29">
        <f>IFERROR(VLOOKUP(F6258,CARTON_LOOKUP!$A:$E,2,0),"")</f>
      </c>
      <c r="K6258" s="29">
        <f>IFERROR(J6258*D6258,0)</f>
      </c>
      <c r="L6258" s="29">
        <f>IFERROR(E6258*C6258,0)</f>
      </c>
      <c r="M6258" s="29">
        <f>IFERROR((G6258*H6258*I6258/1000000)*D6258,0)</f>
      </c>
    </row>
    <row r="6259" spans="1:13" x14ac:dyDescent="0.25">
      <c r="A6259" s="16"/>
      <c r="E6259" s="27"/>
      <c r="F6259" t="s">
        <v>26</v>
      </c>
      <c r="G6259" s="28">
        <f>IFERROR(VLOOKUP(F6259,CARTON_LOOKUP!$A:$E,3,0),"")</f>
      </c>
      <c r="H6259" s="28">
        <f>IFERROR(VLOOKUP(F6259,CARTON_LOOKUP!$A:$E,4,0),"")</f>
      </c>
      <c r="I6259" s="28">
        <f>IFERROR(VLOOKUP(F6259,CARTON_LOOKUP!$A:$E,5,0),"")</f>
      </c>
      <c r="J6259" s="29">
        <f>IFERROR(VLOOKUP(F6259,CARTON_LOOKUP!$A:$E,2,0),"")</f>
      </c>
      <c r="K6259" s="29">
        <f>IFERROR(J6259*D6259,0)</f>
      </c>
      <c r="L6259" s="29">
        <f>IFERROR(E6259*C6259,0)</f>
      </c>
      <c r="M6259" s="29">
        <f>IFERROR((G6259*H6259*I6259/1000000)*D6259,0)</f>
      </c>
    </row>
    <row r="6260" spans="1:13" x14ac:dyDescent="0.25">
      <c r="A6260" s="16"/>
      <c r="E6260" s="27"/>
      <c r="F6260" t="s">
        <v>26</v>
      </c>
      <c r="G6260" s="28">
        <f>IFERROR(VLOOKUP(F6260,CARTON_LOOKUP!$A:$E,3,0),"")</f>
      </c>
      <c r="H6260" s="28">
        <f>IFERROR(VLOOKUP(F6260,CARTON_LOOKUP!$A:$E,4,0),"")</f>
      </c>
      <c r="I6260" s="28">
        <f>IFERROR(VLOOKUP(F6260,CARTON_LOOKUP!$A:$E,5,0),"")</f>
      </c>
      <c r="J6260" s="29">
        <f>IFERROR(VLOOKUP(F6260,CARTON_LOOKUP!$A:$E,2,0),"")</f>
      </c>
      <c r="K6260" s="29">
        <f>IFERROR(J6260*D6260,0)</f>
      </c>
      <c r="L6260" s="29">
        <f>IFERROR(E6260*C6260,0)</f>
      </c>
      <c r="M6260" s="29">
        <f>IFERROR((G6260*H6260*I6260/1000000)*D6260,0)</f>
      </c>
    </row>
    <row r="6261" spans="1:13" x14ac:dyDescent="0.25">
      <c r="A6261" s="16"/>
      <c r="E6261" s="27"/>
      <c r="F6261" t="s">
        <v>26</v>
      </c>
      <c r="G6261" s="28">
        <f>IFERROR(VLOOKUP(F6261,CARTON_LOOKUP!$A:$E,3,0),"")</f>
      </c>
      <c r="H6261" s="28">
        <f>IFERROR(VLOOKUP(F6261,CARTON_LOOKUP!$A:$E,4,0),"")</f>
      </c>
      <c r="I6261" s="28">
        <f>IFERROR(VLOOKUP(F6261,CARTON_LOOKUP!$A:$E,5,0),"")</f>
      </c>
      <c r="J6261" s="29">
        <f>IFERROR(VLOOKUP(F6261,CARTON_LOOKUP!$A:$E,2,0),"")</f>
      </c>
      <c r="K6261" s="29">
        <f>IFERROR(J6261*D6261,0)</f>
      </c>
      <c r="L6261" s="29">
        <f>IFERROR(E6261*C6261,0)</f>
      </c>
      <c r="M6261" s="29">
        <f>IFERROR((G6261*H6261*I6261/1000000)*D6261,0)</f>
      </c>
    </row>
    <row r="6262" spans="1:13" x14ac:dyDescent="0.25">
      <c r="A6262" s="16"/>
      <c r="E6262" s="27"/>
      <c r="F6262" t="s">
        <v>26</v>
      </c>
      <c r="G6262" s="28">
        <f>IFERROR(VLOOKUP(F6262,CARTON_LOOKUP!$A:$E,3,0),"")</f>
      </c>
      <c r="H6262" s="28">
        <f>IFERROR(VLOOKUP(F6262,CARTON_LOOKUP!$A:$E,4,0),"")</f>
      </c>
      <c r="I6262" s="28">
        <f>IFERROR(VLOOKUP(F6262,CARTON_LOOKUP!$A:$E,5,0),"")</f>
      </c>
      <c r="J6262" s="29">
        <f>IFERROR(VLOOKUP(F6262,CARTON_LOOKUP!$A:$E,2,0),"")</f>
      </c>
      <c r="K6262" s="29">
        <f>IFERROR(J6262*D6262,0)</f>
      </c>
      <c r="L6262" s="29">
        <f>IFERROR(E6262*C6262,0)</f>
      </c>
      <c r="M6262" s="29">
        <f>IFERROR((G6262*H6262*I6262/1000000)*D6262,0)</f>
      </c>
    </row>
    <row r="6263" spans="1:13" x14ac:dyDescent="0.25">
      <c r="A6263" s="16"/>
      <c r="E6263" s="27"/>
      <c r="F6263" t="s">
        <v>26</v>
      </c>
      <c r="G6263" s="28">
        <f>IFERROR(VLOOKUP(F6263,CARTON_LOOKUP!$A:$E,3,0),"")</f>
      </c>
      <c r="H6263" s="28">
        <f>IFERROR(VLOOKUP(F6263,CARTON_LOOKUP!$A:$E,4,0),"")</f>
      </c>
      <c r="I6263" s="28">
        <f>IFERROR(VLOOKUP(F6263,CARTON_LOOKUP!$A:$E,5,0),"")</f>
      </c>
      <c r="J6263" s="29">
        <f>IFERROR(VLOOKUP(F6263,CARTON_LOOKUP!$A:$E,2,0),"")</f>
      </c>
      <c r="K6263" s="29">
        <f>IFERROR(J6263*D6263,0)</f>
      </c>
      <c r="L6263" s="29">
        <f>IFERROR(E6263*C6263,0)</f>
      </c>
      <c r="M6263" s="29">
        <f>IFERROR((G6263*H6263*I6263/1000000)*D6263,0)</f>
      </c>
    </row>
    <row r="6264" spans="1:13" x14ac:dyDescent="0.25">
      <c r="A6264" s="16"/>
      <c r="E6264" s="27"/>
      <c r="F6264" t="s">
        <v>26</v>
      </c>
      <c r="G6264" s="28">
        <f>IFERROR(VLOOKUP(F6264,CARTON_LOOKUP!$A:$E,3,0),"")</f>
      </c>
      <c r="H6264" s="28">
        <f>IFERROR(VLOOKUP(F6264,CARTON_LOOKUP!$A:$E,4,0),"")</f>
      </c>
      <c r="I6264" s="28">
        <f>IFERROR(VLOOKUP(F6264,CARTON_LOOKUP!$A:$E,5,0),"")</f>
      </c>
      <c r="J6264" s="29">
        <f>IFERROR(VLOOKUP(F6264,CARTON_LOOKUP!$A:$E,2,0),"")</f>
      </c>
      <c r="K6264" s="29">
        <f>IFERROR(J6264*D6264,0)</f>
      </c>
      <c r="L6264" s="29">
        <f>IFERROR(E6264*C6264,0)</f>
      </c>
      <c r="M6264" s="29">
        <f>IFERROR((G6264*H6264*I6264/1000000)*D6264,0)</f>
      </c>
    </row>
    <row r="6265" spans="1:13" x14ac:dyDescent="0.25">
      <c r="A6265" s="16"/>
      <c r="E6265" s="27"/>
      <c r="F6265" t="s">
        <v>26</v>
      </c>
      <c r="G6265" s="28">
        <f>IFERROR(VLOOKUP(F6265,CARTON_LOOKUP!$A:$E,3,0),"")</f>
      </c>
      <c r="H6265" s="28">
        <f>IFERROR(VLOOKUP(F6265,CARTON_LOOKUP!$A:$E,4,0),"")</f>
      </c>
      <c r="I6265" s="28">
        <f>IFERROR(VLOOKUP(F6265,CARTON_LOOKUP!$A:$E,5,0),"")</f>
      </c>
      <c r="J6265" s="29">
        <f>IFERROR(VLOOKUP(F6265,CARTON_LOOKUP!$A:$E,2,0),"")</f>
      </c>
      <c r="K6265" s="29">
        <f>IFERROR(J6265*D6265,0)</f>
      </c>
      <c r="L6265" s="29">
        <f>IFERROR(E6265*C6265,0)</f>
      </c>
      <c r="M6265" s="29">
        <f>IFERROR((G6265*H6265*I6265/1000000)*D6265,0)</f>
      </c>
    </row>
    <row r="6266" spans="1:13" x14ac:dyDescent="0.25">
      <c r="A6266" s="16"/>
      <c r="E6266" s="27"/>
      <c r="F6266" t="s">
        <v>26</v>
      </c>
      <c r="G6266" s="28">
        <f>IFERROR(VLOOKUP(F6266,CARTON_LOOKUP!$A:$E,3,0),"")</f>
      </c>
      <c r="H6266" s="28">
        <f>IFERROR(VLOOKUP(F6266,CARTON_LOOKUP!$A:$E,4,0),"")</f>
      </c>
      <c r="I6266" s="28">
        <f>IFERROR(VLOOKUP(F6266,CARTON_LOOKUP!$A:$E,5,0),"")</f>
      </c>
      <c r="J6266" s="29">
        <f>IFERROR(VLOOKUP(F6266,CARTON_LOOKUP!$A:$E,2,0),"")</f>
      </c>
      <c r="K6266" s="29">
        <f>IFERROR(J6266*D6266,0)</f>
      </c>
      <c r="L6266" s="29">
        <f>IFERROR(E6266*C6266,0)</f>
      </c>
      <c r="M6266" s="29">
        <f>IFERROR((G6266*H6266*I6266/1000000)*D6266,0)</f>
      </c>
    </row>
    <row r="6267" spans="1:13" x14ac:dyDescent="0.25">
      <c r="A6267" s="16"/>
      <c r="E6267" s="27"/>
      <c r="F6267" t="s">
        <v>26</v>
      </c>
      <c r="G6267" s="28">
        <f>IFERROR(VLOOKUP(F6267,CARTON_LOOKUP!$A:$E,3,0),"")</f>
      </c>
      <c r="H6267" s="28">
        <f>IFERROR(VLOOKUP(F6267,CARTON_LOOKUP!$A:$E,4,0),"")</f>
      </c>
      <c r="I6267" s="28">
        <f>IFERROR(VLOOKUP(F6267,CARTON_LOOKUP!$A:$E,5,0),"")</f>
      </c>
      <c r="J6267" s="29">
        <f>IFERROR(VLOOKUP(F6267,CARTON_LOOKUP!$A:$E,2,0),"")</f>
      </c>
      <c r="K6267" s="29">
        <f>IFERROR(J6267*D6267,0)</f>
      </c>
      <c r="L6267" s="29">
        <f>IFERROR(E6267*C6267,0)</f>
      </c>
      <c r="M6267" s="29">
        <f>IFERROR((G6267*H6267*I6267/1000000)*D6267,0)</f>
      </c>
    </row>
    <row r="6268" spans="1:13" x14ac:dyDescent="0.25">
      <c r="A6268" s="16"/>
      <c r="E6268" s="27"/>
      <c r="F6268" t="s">
        <v>26</v>
      </c>
      <c r="G6268" s="28">
        <f>IFERROR(VLOOKUP(F6268,CARTON_LOOKUP!$A:$E,3,0),"")</f>
      </c>
      <c r="H6268" s="28">
        <f>IFERROR(VLOOKUP(F6268,CARTON_LOOKUP!$A:$E,4,0),"")</f>
      </c>
      <c r="I6268" s="28">
        <f>IFERROR(VLOOKUP(F6268,CARTON_LOOKUP!$A:$E,5,0),"")</f>
      </c>
      <c r="J6268" s="29">
        <f>IFERROR(VLOOKUP(F6268,CARTON_LOOKUP!$A:$E,2,0),"")</f>
      </c>
      <c r="K6268" s="29">
        <f>IFERROR(J6268*D6268,0)</f>
      </c>
      <c r="L6268" s="29">
        <f>IFERROR(E6268*C6268,0)</f>
      </c>
      <c r="M6268" s="29">
        <f>IFERROR((G6268*H6268*I6268/1000000)*D6268,0)</f>
      </c>
    </row>
    <row r="6269" spans="1:13" x14ac:dyDescent="0.25">
      <c r="A6269" s="16"/>
      <c r="E6269" s="27"/>
      <c r="F6269" t="s">
        <v>26</v>
      </c>
      <c r="G6269" s="28">
        <f>IFERROR(VLOOKUP(F6269,CARTON_LOOKUP!$A:$E,3,0),"")</f>
      </c>
      <c r="H6269" s="28">
        <f>IFERROR(VLOOKUP(F6269,CARTON_LOOKUP!$A:$E,4,0),"")</f>
      </c>
      <c r="I6269" s="28">
        <f>IFERROR(VLOOKUP(F6269,CARTON_LOOKUP!$A:$E,5,0),"")</f>
      </c>
      <c r="J6269" s="29">
        <f>IFERROR(VLOOKUP(F6269,CARTON_LOOKUP!$A:$E,2,0),"")</f>
      </c>
      <c r="K6269" s="29">
        <f>IFERROR(J6269*D6269,0)</f>
      </c>
      <c r="L6269" s="29">
        <f>IFERROR(E6269*C6269,0)</f>
      </c>
      <c r="M6269" s="29">
        <f>IFERROR((G6269*H6269*I6269/1000000)*D6269,0)</f>
      </c>
    </row>
    <row r="6270" spans="1:13" x14ac:dyDescent="0.25">
      <c r="A6270" s="16"/>
      <c r="E6270" s="27"/>
      <c r="F6270" t="s">
        <v>26</v>
      </c>
      <c r="G6270" s="28">
        <f>IFERROR(VLOOKUP(F6270,CARTON_LOOKUP!$A:$E,3,0),"")</f>
      </c>
      <c r="H6270" s="28">
        <f>IFERROR(VLOOKUP(F6270,CARTON_LOOKUP!$A:$E,4,0),"")</f>
      </c>
      <c r="I6270" s="28">
        <f>IFERROR(VLOOKUP(F6270,CARTON_LOOKUP!$A:$E,5,0),"")</f>
      </c>
      <c r="J6270" s="29">
        <f>IFERROR(VLOOKUP(F6270,CARTON_LOOKUP!$A:$E,2,0),"")</f>
      </c>
      <c r="K6270" s="29">
        <f>IFERROR(J6270*D6270,0)</f>
      </c>
      <c r="L6270" s="29">
        <f>IFERROR(E6270*C6270,0)</f>
      </c>
      <c r="M6270" s="29">
        <f>IFERROR((G6270*H6270*I6270/1000000)*D6270,0)</f>
      </c>
    </row>
    <row r="6271" spans="1:13" x14ac:dyDescent="0.25">
      <c r="A6271" s="16"/>
      <c r="E6271" s="27"/>
      <c r="F6271" t="s">
        <v>26</v>
      </c>
      <c r="G6271" s="28">
        <f>IFERROR(VLOOKUP(F6271,CARTON_LOOKUP!$A:$E,3,0),"")</f>
      </c>
      <c r="H6271" s="28">
        <f>IFERROR(VLOOKUP(F6271,CARTON_LOOKUP!$A:$E,4,0),"")</f>
      </c>
      <c r="I6271" s="28">
        <f>IFERROR(VLOOKUP(F6271,CARTON_LOOKUP!$A:$E,5,0),"")</f>
      </c>
      <c r="J6271" s="29">
        <f>IFERROR(VLOOKUP(F6271,CARTON_LOOKUP!$A:$E,2,0),"")</f>
      </c>
      <c r="K6271" s="29">
        <f>IFERROR(J6271*D6271,0)</f>
      </c>
      <c r="L6271" s="29">
        <f>IFERROR(E6271*C6271,0)</f>
      </c>
      <c r="M6271" s="29">
        <f>IFERROR((G6271*H6271*I6271/1000000)*D6271,0)</f>
      </c>
    </row>
    <row r="6272" spans="1:13" x14ac:dyDescent="0.25">
      <c r="A6272" s="16"/>
      <c r="E6272" s="27"/>
      <c r="F6272" t="s">
        <v>26</v>
      </c>
      <c r="G6272" s="28">
        <f>IFERROR(VLOOKUP(F6272,CARTON_LOOKUP!$A:$E,3,0),"")</f>
      </c>
      <c r="H6272" s="28">
        <f>IFERROR(VLOOKUP(F6272,CARTON_LOOKUP!$A:$E,4,0),"")</f>
      </c>
      <c r="I6272" s="28">
        <f>IFERROR(VLOOKUP(F6272,CARTON_LOOKUP!$A:$E,5,0),"")</f>
      </c>
      <c r="J6272" s="29">
        <f>IFERROR(VLOOKUP(F6272,CARTON_LOOKUP!$A:$E,2,0),"")</f>
      </c>
      <c r="K6272" s="29">
        <f>IFERROR(J6272*D6272,0)</f>
      </c>
      <c r="L6272" s="29">
        <f>IFERROR(E6272*C6272,0)</f>
      </c>
      <c r="M6272" s="29">
        <f>IFERROR((G6272*H6272*I6272/1000000)*D6272,0)</f>
      </c>
    </row>
    <row r="6273" spans="1:13" x14ac:dyDescent="0.25">
      <c r="A6273" s="16"/>
      <c r="E6273" s="27"/>
      <c r="F6273" t="s">
        <v>26</v>
      </c>
      <c r="G6273" s="28">
        <f>IFERROR(VLOOKUP(F6273,CARTON_LOOKUP!$A:$E,3,0),"")</f>
      </c>
      <c r="H6273" s="28">
        <f>IFERROR(VLOOKUP(F6273,CARTON_LOOKUP!$A:$E,4,0),"")</f>
      </c>
      <c r="I6273" s="28">
        <f>IFERROR(VLOOKUP(F6273,CARTON_LOOKUP!$A:$E,5,0),"")</f>
      </c>
      <c r="J6273" s="29">
        <f>IFERROR(VLOOKUP(F6273,CARTON_LOOKUP!$A:$E,2,0),"")</f>
      </c>
      <c r="K6273" s="29">
        <f>IFERROR(J6273*D6273,0)</f>
      </c>
      <c r="L6273" s="29">
        <f>IFERROR(E6273*C6273,0)</f>
      </c>
      <c r="M6273" s="29">
        <f>IFERROR((G6273*H6273*I6273/1000000)*D6273,0)</f>
      </c>
    </row>
    <row r="6274" spans="1:13" x14ac:dyDescent="0.25">
      <c r="A6274" s="16"/>
      <c r="E6274" s="27"/>
      <c r="F6274" t="s">
        <v>26</v>
      </c>
      <c r="G6274" s="28">
        <f>IFERROR(VLOOKUP(F6274,CARTON_LOOKUP!$A:$E,3,0),"")</f>
      </c>
      <c r="H6274" s="28">
        <f>IFERROR(VLOOKUP(F6274,CARTON_LOOKUP!$A:$E,4,0),"")</f>
      </c>
      <c r="I6274" s="28">
        <f>IFERROR(VLOOKUP(F6274,CARTON_LOOKUP!$A:$E,5,0),"")</f>
      </c>
      <c r="J6274" s="29">
        <f>IFERROR(VLOOKUP(F6274,CARTON_LOOKUP!$A:$E,2,0),"")</f>
      </c>
      <c r="K6274" s="29">
        <f>IFERROR(J6274*D6274,0)</f>
      </c>
      <c r="L6274" s="29">
        <f>IFERROR(E6274*C6274,0)</f>
      </c>
      <c r="M6274" s="29">
        <f>IFERROR((G6274*H6274*I6274/1000000)*D6274,0)</f>
      </c>
    </row>
    <row r="6275" spans="1:13" x14ac:dyDescent="0.25">
      <c r="A6275" s="16"/>
      <c r="E6275" s="27"/>
      <c r="F6275" t="s">
        <v>26</v>
      </c>
      <c r="G6275" s="28">
        <f>IFERROR(VLOOKUP(F6275,CARTON_LOOKUP!$A:$E,3,0),"")</f>
      </c>
      <c r="H6275" s="28">
        <f>IFERROR(VLOOKUP(F6275,CARTON_LOOKUP!$A:$E,4,0),"")</f>
      </c>
      <c r="I6275" s="28">
        <f>IFERROR(VLOOKUP(F6275,CARTON_LOOKUP!$A:$E,5,0),"")</f>
      </c>
      <c r="J6275" s="29">
        <f>IFERROR(VLOOKUP(F6275,CARTON_LOOKUP!$A:$E,2,0),"")</f>
      </c>
      <c r="K6275" s="29">
        <f>IFERROR(J6275*D6275,0)</f>
      </c>
      <c r="L6275" s="29">
        <f>IFERROR(E6275*C6275,0)</f>
      </c>
      <c r="M6275" s="29">
        <f>IFERROR((G6275*H6275*I6275/1000000)*D6275,0)</f>
      </c>
    </row>
    <row r="6276" spans="1:13" x14ac:dyDescent="0.25">
      <c r="A6276" s="16"/>
      <c r="E6276" s="27"/>
      <c r="F6276" t="s">
        <v>26</v>
      </c>
      <c r="G6276" s="28">
        <f>IFERROR(VLOOKUP(F6276,CARTON_LOOKUP!$A:$E,3,0),"")</f>
      </c>
      <c r="H6276" s="28">
        <f>IFERROR(VLOOKUP(F6276,CARTON_LOOKUP!$A:$E,4,0),"")</f>
      </c>
      <c r="I6276" s="28">
        <f>IFERROR(VLOOKUP(F6276,CARTON_LOOKUP!$A:$E,5,0),"")</f>
      </c>
      <c r="J6276" s="29">
        <f>IFERROR(VLOOKUP(F6276,CARTON_LOOKUP!$A:$E,2,0),"")</f>
      </c>
      <c r="K6276" s="29">
        <f>IFERROR(J6276*D6276,0)</f>
      </c>
      <c r="L6276" s="29">
        <f>IFERROR(E6276*C6276,0)</f>
      </c>
      <c r="M6276" s="29">
        <f>IFERROR((G6276*H6276*I6276/1000000)*D6276,0)</f>
      </c>
    </row>
    <row r="6277" spans="1:13" x14ac:dyDescent="0.25">
      <c r="A6277" s="16"/>
      <c r="E6277" s="27"/>
      <c r="F6277" t="s">
        <v>26</v>
      </c>
      <c r="G6277" s="28">
        <f>IFERROR(VLOOKUP(F6277,CARTON_LOOKUP!$A:$E,3,0),"")</f>
      </c>
      <c r="H6277" s="28">
        <f>IFERROR(VLOOKUP(F6277,CARTON_LOOKUP!$A:$E,4,0),"")</f>
      </c>
      <c r="I6277" s="28">
        <f>IFERROR(VLOOKUP(F6277,CARTON_LOOKUP!$A:$E,5,0),"")</f>
      </c>
      <c r="J6277" s="29">
        <f>IFERROR(VLOOKUP(F6277,CARTON_LOOKUP!$A:$E,2,0),"")</f>
      </c>
      <c r="K6277" s="29">
        <f>IFERROR(J6277*D6277,0)</f>
      </c>
      <c r="L6277" s="29">
        <f>IFERROR(E6277*C6277,0)</f>
      </c>
      <c r="M6277" s="29">
        <f>IFERROR((G6277*H6277*I6277/1000000)*D6277,0)</f>
      </c>
    </row>
    <row r="6278" spans="1:13" x14ac:dyDescent="0.25">
      <c r="A6278" s="16"/>
      <c r="E6278" s="27"/>
      <c r="F6278" t="s">
        <v>26</v>
      </c>
      <c r="G6278" s="28">
        <f>IFERROR(VLOOKUP(F6278,CARTON_LOOKUP!$A:$E,3,0),"")</f>
      </c>
      <c r="H6278" s="28">
        <f>IFERROR(VLOOKUP(F6278,CARTON_LOOKUP!$A:$E,4,0),"")</f>
      </c>
      <c r="I6278" s="28">
        <f>IFERROR(VLOOKUP(F6278,CARTON_LOOKUP!$A:$E,5,0),"")</f>
      </c>
      <c r="J6278" s="29">
        <f>IFERROR(VLOOKUP(F6278,CARTON_LOOKUP!$A:$E,2,0),"")</f>
      </c>
      <c r="K6278" s="29">
        <f>IFERROR(J6278*D6278,0)</f>
      </c>
      <c r="L6278" s="29">
        <f>IFERROR(E6278*C6278,0)</f>
      </c>
      <c r="M6278" s="29">
        <f>IFERROR((G6278*H6278*I6278/1000000)*D6278,0)</f>
      </c>
    </row>
    <row r="6279" spans="1:13" x14ac:dyDescent="0.25">
      <c r="A6279" s="16"/>
      <c r="E6279" s="27"/>
      <c r="F6279" t="s">
        <v>26</v>
      </c>
      <c r="G6279" s="28">
        <f>IFERROR(VLOOKUP(F6279,CARTON_LOOKUP!$A:$E,3,0),"")</f>
      </c>
      <c r="H6279" s="28">
        <f>IFERROR(VLOOKUP(F6279,CARTON_LOOKUP!$A:$E,4,0),"")</f>
      </c>
      <c r="I6279" s="28">
        <f>IFERROR(VLOOKUP(F6279,CARTON_LOOKUP!$A:$E,5,0),"")</f>
      </c>
      <c r="J6279" s="29">
        <f>IFERROR(VLOOKUP(F6279,CARTON_LOOKUP!$A:$E,2,0),"")</f>
      </c>
      <c r="K6279" s="29">
        <f>IFERROR(J6279*D6279,0)</f>
      </c>
      <c r="L6279" s="29">
        <f>IFERROR(E6279*C6279,0)</f>
      </c>
      <c r="M6279" s="29">
        <f>IFERROR((G6279*H6279*I6279/1000000)*D6279,0)</f>
      </c>
    </row>
    <row r="6280" spans="1:13" x14ac:dyDescent="0.25">
      <c r="A6280" s="16"/>
      <c r="E6280" s="27"/>
      <c r="F6280" t="s">
        <v>26</v>
      </c>
      <c r="G6280" s="28">
        <f>IFERROR(VLOOKUP(F6280,CARTON_LOOKUP!$A:$E,3,0),"")</f>
      </c>
      <c r="H6280" s="28">
        <f>IFERROR(VLOOKUP(F6280,CARTON_LOOKUP!$A:$E,4,0),"")</f>
      </c>
      <c r="I6280" s="28">
        <f>IFERROR(VLOOKUP(F6280,CARTON_LOOKUP!$A:$E,5,0),"")</f>
      </c>
      <c r="J6280" s="29">
        <f>IFERROR(VLOOKUP(F6280,CARTON_LOOKUP!$A:$E,2,0),"")</f>
      </c>
      <c r="K6280" s="29">
        <f>IFERROR(J6280*D6280,0)</f>
      </c>
      <c r="L6280" s="29">
        <f>IFERROR(E6280*C6280,0)</f>
      </c>
      <c r="M6280" s="29">
        <f>IFERROR((G6280*H6280*I6280/1000000)*D6280,0)</f>
      </c>
    </row>
    <row r="6281" spans="1:13" x14ac:dyDescent="0.25">
      <c r="A6281" s="16"/>
      <c r="E6281" s="27"/>
      <c r="F6281" t="s">
        <v>26</v>
      </c>
      <c r="G6281" s="28">
        <f>IFERROR(VLOOKUP(F6281,CARTON_LOOKUP!$A:$E,3,0),"")</f>
      </c>
      <c r="H6281" s="28">
        <f>IFERROR(VLOOKUP(F6281,CARTON_LOOKUP!$A:$E,4,0),"")</f>
      </c>
      <c r="I6281" s="28">
        <f>IFERROR(VLOOKUP(F6281,CARTON_LOOKUP!$A:$E,5,0),"")</f>
      </c>
      <c r="J6281" s="29">
        <f>IFERROR(VLOOKUP(F6281,CARTON_LOOKUP!$A:$E,2,0),"")</f>
      </c>
      <c r="K6281" s="29">
        <f>IFERROR(J6281*D6281,0)</f>
      </c>
      <c r="L6281" s="29">
        <f>IFERROR(E6281*C6281,0)</f>
      </c>
      <c r="M6281" s="29">
        <f>IFERROR((G6281*H6281*I6281/1000000)*D6281,0)</f>
      </c>
    </row>
    <row r="6282" spans="1:13" x14ac:dyDescent="0.25">
      <c r="A6282" s="16"/>
      <c r="E6282" s="27"/>
      <c r="F6282" t="s">
        <v>26</v>
      </c>
      <c r="G6282" s="28">
        <f>IFERROR(VLOOKUP(F6282,CARTON_LOOKUP!$A:$E,3,0),"")</f>
      </c>
      <c r="H6282" s="28">
        <f>IFERROR(VLOOKUP(F6282,CARTON_LOOKUP!$A:$E,4,0),"")</f>
      </c>
      <c r="I6282" s="28">
        <f>IFERROR(VLOOKUP(F6282,CARTON_LOOKUP!$A:$E,5,0),"")</f>
      </c>
      <c r="J6282" s="29">
        <f>IFERROR(VLOOKUP(F6282,CARTON_LOOKUP!$A:$E,2,0),"")</f>
      </c>
      <c r="K6282" s="29">
        <f>IFERROR(J6282*D6282,0)</f>
      </c>
      <c r="L6282" s="29">
        <f>IFERROR(E6282*C6282,0)</f>
      </c>
      <c r="M6282" s="29">
        <f>IFERROR((G6282*H6282*I6282/1000000)*D6282,0)</f>
      </c>
    </row>
    <row r="6283" spans="1:13" x14ac:dyDescent="0.25">
      <c r="A6283" s="16"/>
      <c r="E6283" s="27"/>
      <c r="F6283" t="s">
        <v>26</v>
      </c>
      <c r="G6283" s="28">
        <f>IFERROR(VLOOKUP(F6283,CARTON_LOOKUP!$A:$E,3,0),"")</f>
      </c>
      <c r="H6283" s="28">
        <f>IFERROR(VLOOKUP(F6283,CARTON_LOOKUP!$A:$E,4,0),"")</f>
      </c>
      <c r="I6283" s="28">
        <f>IFERROR(VLOOKUP(F6283,CARTON_LOOKUP!$A:$E,5,0),"")</f>
      </c>
      <c r="J6283" s="29">
        <f>IFERROR(VLOOKUP(F6283,CARTON_LOOKUP!$A:$E,2,0),"")</f>
      </c>
      <c r="K6283" s="29">
        <f>IFERROR(J6283*D6283,0)</f>
      </c>
      <c r="L6283" s="29">
        <f>IFERROR(E6283*C6283,0)</f>
      </c>
      <c r="M6283" s="29">
        <f>IFERROR((G6283*H6283*I6283/1000000)*D6283,0)</f>
      </c>
    </row>
    <row r="6284" spans="1:13" x14ac:dyDescent="0.25">
      <c r="A6284" s="16"/>
      <c r="E6284" s="27"/>
      <c r="F6284" t="s">
        <v>26</v>
      </c>
      <c r="G6284" s="28">
        <f>IFERROR(VLOOKUP(F6284,CARTON_LOOKUP!$A:$E,3,0),"")</f>
      </c>
      <c r="H6284" s="28">
        <f>IFERROR(VLOOKUP(F6284,CARTON_LOOKUP!$A:$E,4,0),"")</f>
      </c>
      <c r="I6284" s="28">
        <f>IFERROR(VLOOKUP(F6284,CARTON_LOOKUP!$A:$E,5,0),"")</f>
      </c>
      <c r="J6284" s="29">
        <f>IFERROR(VLOOKUP(F6284,CARTON_LOOKUP!$A:$E,2,0),"")</f>
      </c>
      <c r="K6284" s="29">
        <f>IFERROR(J6284*D6284,0)</f>
      </c>
      <c r="L6284" s="29">
        <f>IFERROR(E6284*C6284,0)</f>
      </c>
      <c r="M6284" s="29">
        <f>IFERROR((G6284*H6284*I6284/1000000)*D6284,0)</f>
      </c>
    </row>
    <row r="6285" spans="1:13" x14ac:dyDescent="0.25">
      <c r="A6285" s="16"/>
      <c r="E6285" s="27"/>
      <c r="F6285" t="s">
        <v>26</v>
      </c>
      <c r="G6285" s="28">
        <f>IFERROR(VLOOKUP(F6285,CARTON_LOOKUP!$A:$E,3,0),"")</f>
      </c>
      <c r="H6285" s="28">
        <f>IFERROR(VLOOKUP(F6285,CARTON_LOOKUP!$A:$E,4,0),"")</f>
      </c>
      <c r="I6285" s="28">
        <f>IFERROR(VLOOKUP(F6285,CARTON_LOOKUP!$A:$E,5,0),"")</f>
      </c>
      <c r="J6285" s="29">
        <f>IFERROR(VLOOKUP(F6285,CARTON_LOOKUP!$A:$E,2,0),"")</f>
      </c>
      <c r="K6285" s="29">
        <f>IFERROR(J6285*D6285,0)</f>
      </c>
      <c r="L6285" s="29">
        <f>IFERROR(E6285*C6285,0)</f>
      </c>
      <c r="M6285" s="29">
        <f>IFERROR((G6285*H6285*I6285/1000000)*D6285,0)</f>
      </c>
    </row>
    <row r="6286" spans="1:13" x14ac:dyDescent="0.25">
      <c r="A6286" s="16"/>
      <c r="E6286" s="27"/>
      <c r="F6286" t="s">
        <v>26</v>
      </c>
      <c r="G6286" s="28">
        <f>IFERROR(VLOOKUP(F6286,CARTON_LOOKUP!$A:$E,3,0),"")</f>
      </c>
      <c r="H6286" s="28">
        <f>IFERROR(VLOOKUP(F6286,CARTON_LOOKUP!$A:$E,4,0),"")</f>
      </c>
      <c r="I6286" s="28">
        <f>IFERROR(VLOOKUP(F6286,CARTON_LOOKUP!$A:$E,5,0),"")</f>
      </c>
      <c r="J6286" s="29">
        <f>IFERROR(VLOOKUP(F6286,CARTON_LOOKUP!$A:$E,2,0),"")</f>
      </c>
      <c r="K6286" s="29">
        <f>IFERROR(J6286*D6286,0)</f>
      </c>
      <c r="L6286" s="29">
        <f>IFERROR(E6286*C6286,0)</f>
      </c>
      <c r="M6286" s="29">
        <f>IFERROR((G6286*H6286*I6286/1000000)*D6286,0)</f>
      </c>
    </row>
    <row r="6287" spans="1:13" x14ac:dyDescent="0.25">
      <c r="A6287" s="16"/>
      <c r="E6287" s="27"/>
      <c r="F6287" t="s">
        <v>26</v>
      </c>
      <c r="G6287" s="28">
        <f>IFERROR(VLOOKUP(F6287,CARTON_LOOKUP!$A:$E,3,0),"")</f>
      </c>
      <c r="H6287" s="28">
        <f>IFERROR(VLOOKUP(F6287,CARTON_LOOKUP!$A:$E,4,0),"")</f>
      </c>
      <c r="I6287" s="28">
        <f>IFERROR(VLOOKUP(F6287,CARTON_LOOKUP!$A:$E,5,0),"")</f>
      </c>
      <c r="J6287" s="29">
        <f>IFERROR(VLOOKUP(F6287,CARTON_LOOKUP!$A:$E,2,0),"")</f>
      </c>
      <c r="K6287" s="29">
        <f>IFERROR(J6287*D6287,0)</f>
      </c>
      <c r="L6287" s="29">
        <f>IFERROR(E6287*C6287,0)</f>
      </c>
      <c r="M6287" s="29">
        <f>IFERROR((G6287*H6287*I6287/1000000)*D6287,0)</f>
      </c>
    </row>
    <row r="6288" spans="1:13" x14ac:dyDescent="0.25">
      <c r="A6288" s="16"/>
      <c r="E6288" s="27"/>
      <c r="F6288" t="s">
        <v>26</v>
      </c>
      <c r="G6288" s="28">
        <f>IFERROR(VLOOKUP(F6288,CARTON_LOOKUP!$A:$E,3,0),"")</f>
      </c>
      <c r="H6288" s="28">
        <f>IFERROR(VLOOKUP(F6288,CARTON_LOOKUP!$A:$E,4,0),"")</f>
      </c>
      <c r="I6288" s="28">
        <f>IFERROR(VLOOKUP(F6288,CARTON_LOOKUP!$A:$E,5,0),"")</f>
      </c>
      <c r="J6288" s="29">
        <f>IFERROR(VLOOKUP(F6288,CARTON_LOOKUP!$A:$E,2,0),"")</f>
      </c>
      <c r="K6288" s="29">
        <f>IFERROR(J6288*D6288,0)</f>
      </c>
      <c r="L6288" s="29">
        <f>IFERROR(E6288*C6288,0)</f>
      </c>
      <c r="M6288" s="29">
        <f>IFERROR((G6288*H6288*I6288/1000000)*D6288,0)</f>
      </c>
    </row>
    <row r="6289" spans="1:13" x14ac:dyDescent="0.25">
      <c r="A6289" s="16"/>
      <c r="E6289" s="27"/>
      <c r="F6289" t="s">
        <v>26</v>
      </c>
      <c r="G6289" s="28">
        <f>IFERROR(VLOOKUP(F6289,CARTON_LOOKUP!$A:$E,3,0),"")</f>
      </c>
      <c r="H6289" s="28">
        <f>IFERROR(VLOOKUP(F6289,CARTON_LOOKUP!$A:$E,4,0),"")</f>
      </c>
      <c r="I6289" s="28">
        <f>IFERROR(VLOOKUP(F6289,CARTON_LOOKUP!$A:$E,5,0),"")</f>
      </c>
      <c r="J6289" s="29">
        <f>IFERROR(VLOOKUP(F6289,CARTON_LOOKUP!$A:$E,2,0),"")</f>
      </c>
      <c r="K6289" s="29">
        <f>IFERROR(J6289*D6289,0)</f>
      </c>
      <c r="L6289" s="29">
        <f>IFERROR(E6289*C6289,0)</f>
      </c>
      <c r="M6289" s="29">
        <f>IFERROR((G6289*H6289*I6289/1000000)*D6289,0)</f>
      </c>
    </row>
    <row r="6290" spans="1:13" x14ac:dyDescent="0.25">
      <c r="A6290" s="16"/>
      <c r="E6290" s="27"/>
      <c r="F6290" t="s">
        <v>26</v>
      </c>
      <c r="G6290" s="28">
        <f>IFERROR(VLOOKUP(F6290,CARTON_LOOKUP!$A:$E,3,0),"")</f>
      </c>
      <c r="H6290" s="28">
        <f>IFERROR(VLOOKUP(F6290,CARTON_LOOKUP!$A:$E,4,0),"")</f>
      </c>
      <c r="I6290" s="28">
        <f>IFERROR(VLOOKUP(F6290,CARTON_LOOKUP!$A:$E,5,0),"")</f>
      </c>
      <c r="J6290" s="29">
        <f>IFERROR(VLOOKUP(F6290,CARTON_LOOKUP!$A:$E,2,0),"")</f>
      </c>
      <c r="K6290" s="29">
        <f>IFERROR(J6290*D6290,0)</f>
      </c>
      <c r="L6290" s="29">
        <f>IFERROR(E6290*C6290,0)</f>
      </c>
      <c r="M6290" s="29">
        <f>IFERROR((G6290*H6290*I6290/1000000)*D6290,0)</f>
      </c>
    </row>
    <row r="6291" spans="1:13" x14ac:dyDescent="0.25">
      <c r="A6291" s="16"/>
      <c r="E6291" s="27"/>
      <c r="F6291" t="s">
        <v>26</v>
      </c>
      <c r="G6291" s="28">
        <f>IFERROR(VLOOKUP(F6291,CARTON_LOOKUP!$A:$E,3,0),"")</f>
      </c>
      <c r="H6291" s="28">
        <f>IFERROR(VLOOKUP(F6291,CARTON_LOOKUP!$A:$E,4,0),"")</f>
      </c>
      <c r="I6291" s="28">
        <f>IFERROR(VLOOKUP(F6291,CARTON_LOOKUP!$A:$E,5,0),"")</f>
      </c>
      <c r="J6291" s="29">
        <f>IFERROR(VLOOKUP(F6291,CARTON_LOOKUP!$A:$E,2,0),"")</f>
      </c>
      <c r="K6291" s="29">
        <f>IFERROR(J6291*D6291,0)</f>
      </c>
      <c r="L6291" s="29">
        <f>IFERROR(E6291*C6291,0)</f>
      </c>
      <c r="M6291" s="29">
        <f>IFERROR((G6291*H6291*I6291/1000000)*D6291,0)</f>
      </c>
    </row>
    <row r="6292" spans="1:13" x14ac:dyDescent="0.25">
      <c r="A6292" s="16"/>
      <c r="E6292" s="27"/>
      <c r="F6292" t="s">
        <v>26</v>
      </c>
      <c r="G6292" s="28">
        <f>IFERROR(VLOOKUP(F6292,CARTON_LOOKUP!$A:$E,3,0),"")</f>
      </c>
      <c r="H6292" s="28">
        <f>IFERROR(VLOOKUP(F6292,CARTON_LOOKUP!$A:$E,4,0),"")</f>
      </c>
      <c r="I6292" s="28">
        <f>IFERROR(VLOOKUP(F6292,CARTON_LOOKUP!$A:$E,5,0),"")</f>
      </c>
      <c r="J6292" s="29">
        <f>IFERROR(VLOOKUP(F6292,CARTON_LOOKUP!$A:$E,2,0),"")</f>
      </c>
      <c r="K6292" s="29">
        <f>IFERROR(J6292*D6292,0)</f>
      </c>
      <c r="L6292" s="29">
        <f>IFERROR(E6292*C6292,0)</f>
      </c>
      <c r="M6292" s="29">
        <f>IFERROR((G6292*H6292*I6292/1000000)*D6292,0)</f>
      </c>
    </row>
    <row r="6293" spans="1:13" x14ac:dyDescent="0.25">
      <c r="A6293" s="16"/>
      <c r="E6293" s="27"/>
      <c r="F6293" t="s">
        <v>26</v>
      </c>
      <c r="G6293" s="28">
        <f>IFERROR(VLOOKUP(F6293,CARTON_LOOKUP!$A:$E,3,0),"")</f>
      </c>
      <c r="H6293" s="28">
        <f>IFERROR(VLOOKUP(F6293,CARTON_LOOKUP!$A:$E,4,0),"")</f>
      </c>
      <c r="I6293" s="28">
        <f>IFERROR(VLOOKUP(F6293,CARTON_LOOKUP!$A:$E,5,0),"")</f>
      </c>
      <c r="J6293" s="29">
        <f>IFERROR(VLOOKUP(F6293,CARTON_LOOKUP!$A:$E,2,0),"")</f>
      </c>
      <c r="K6293" s="29">
        <f>IFERROR(J6293*D6293,0)</f>
      </c>
      <c r="L6293" s="29">
        <f>IFERROR(E6293*C6293,0)</f>
      </c>
      <c r="M6293" s="29">
        <f>IFERROR((G6293*H6293*I6293/1000000)*D6293,0)</f>
      </c>
    </row>
    <row r="6294" spans="1:13" x14ac:dyDescent="0.25">
      <c r="A6294" s="16"/>
      <c r="E6294" s="27"/>
      <c r="F6294" t="s">
        <v>26</v>
      </c>
      <c r="G6294" s="28">
        <f>IFERROR(VLOOKUP(F6294,CARTON_LOOKUP!$A:$E,3,0),"")</f>
      </c>
      <c r="H6294" s="28">
        <f>IFERROR(VLOOKUP(F6294,CARTON_LOOKUP!$A:$E,4,0),"")</f>
      </c>
      <c r="I6294" s="28">
        <f>IFERROR(VLOOKUP(F6294,CARTON_LOOKUP!$A:$E,5,0),"")</f>
      </c>
      <c r="J6294" s="29">
        <f>IFERROR(VLOOKUP(F6294,CARTON_LOOKUP!$A:$E,2,0),"")</f>
      </c>
      <c r="K6294" s="29">
        <f>IFERROR(J6294*D6294,0)</f>
      </c>
      <c r="L6294" s="29">
        <f>IFERROR(E6294*C6294,0)</f>
      </c>
      <c r="M6294" s="29">
        <f>IFERROR((G6294*H6294*I6294/1000000)*D6294,0)</f>
      </c>
    </row>
    <row r="6295" spans="1:13" x14ac:dyDescent="0.25">
      <c r="A6295" s="16"/>
      <c r="E6295" s="27"/>
      <c r="F6295" t="s">
        <v>26</v>
      </c>
      <c r="G6295" s="28">
        <f>IFERROR(VLOOKUP(F6295,CARTON_LOOKUP!$A:$E,3,0),"")</f>
      </c>
      <c r="H6295" s="28">
        <f>IFERROR(VLOOKUP(F6295,CARTON_LOOKUP!$A:$E,4,0),"")</f>
      </c>
      <c r="I6295" s="28">
        <f>IFERROR(VLOOKUP(F6295,CARTON_LOOKUP!$A:$E,5,0),"")</f>
      </c>
      <c r="J6295" s="29">
        <f>IFERROR(VLOOKUP(F6295,CARTON_LOOKUP!$A:$E,2,0),"")</f>
      </c>
      <c r="K6295" s="29">
        <f>IFERROR(J6295*D6295,0)</f>
      </c>
      <c r="L6295" s="29">
        <f>IFERROR(E6295*C6295,0)</f>
      </c>
      <c r="M6295" s="29">
        <f>IFERROR((G6295*H6295*I6295/1000000)*D6295,0)</f>
      </c>
    </row>
    <row r="6296" spans="1:13" x14ac:dyDescent="0.25">
      <c r="A6296" s="16"/>
      <c r="E6296" s="27"/>
      <c r="F6296" t="s">
        <v>26</v>
      </c>
      <c r="G6296" s="28">
        <f>IFERROR(VLOOKUP(F6296,CARTON_LOOKUP!$A:$E,3,0),"")</f>
      </c>
      <c r="H6296" s="28">
        <f>IFERROR(VLOOKUP(F6296,CARTON_LOOKUP!$A:$E,4,0),"")</f>
      </c>
      <c r="I6296" s="28">
        <f>IFERROR(VLOOKUP(F6296,CARTON_LOOKUP!$A:$E,5,0),"")</f>
      </c>
      <c r="J6296" s="29">
        <f>IFERROR(VLOOKUP(F6296,CARTON_LOOKUP!$A:$E,2,0),"")</f>
      </c>
      <c r="K6296" s="29">
        <f>IFERROR(J6296*D6296,0)</f>
      </c>
      <c r="L6296" s="29">
        <f>IFERROR(E6296*C6296,0)</f>
      </c>
      <c r="M6296" s="29">
        <f>IFERROR((G6296*H6296*I6296/1000000)*D6296,0)</f>
      </c>
    </row>
    <row r="6297" spans="1:13" x14ac:dyDescent="0.25">
      <c r="A6297" s="16"/>
      <c r="E6297" s="27"/>
      <c r="F6297" t="s">
        <v>26</v>
      </c>
      <c r="G6297" s="28">
        <f>IFERROR(VLOOKUP(F6297,CARTON_LOOKUP!$A:$E,3,0),"")</f>
      </c>
      <c r="H6297" s="28">
        <f>IFERROR(VLOOKUP(F6297,CARTON_LOOKUP!$A:$E,4,0),"")</f>
      </c>
      <c r="I6297" s="28">
        <f>IFERROR(VLOOKUP(F6297,CARTON_LOOKUP!$A:$E,5,0),"")</f>
      </c>
      <c r="J6297" s="29">
        <f>IFERROR(VLOOKUP(F6297,CARTON_LOOKUP!$A:$E,2,0),"")</f>
      </c>
      <c r="K6297" s="29">
        <f>IFERROR(J6297*D6297,0)</f>
      </c>
      <c r="L6297" s="29">
        <f>IFERROR(E6297*C6297,0)</f>
      </c>
      <c r="M6297" s="29">
        <f>IFERROR((G6297*H6297*I6297/1000000)*D6297,0)</f>
      </c>
    </row>
    <row r="6298" spans="1:13" x14ac:dyDescent="0.25">
      <c r="A6298" s="16"/>
      <c r="E6298" s="27"/>
      <c r="F6298" t="s">
        <v>26</v>
      </c>
      <c r="G6298" s="28">
        <f>IFERROR(VLOOKUP(F6298,CARTON_LOOKUP!$A:$E,3,0),"")</f>
      </c>
      <c r="H6298" s="28">
        <f>IFERROR(VLOOKUP(F6298,CARTON_LOOKUP!$A:$E,4,0),"")</f>
      </c>
      <c r="I6298" s="28">
        <f>IFERROR(VLOOKUP(F6298,CARTON_LOOKUP!$A:$E,5,0),"")</f>
      </c>
      <c r="J6298" s="29">
        <f>IFERROR(VLOOKUP(F6298,CARTON_LOOKUP!$A:$E,2,0),"")</f>
      </c>
      <c r="K6298" s="29">
        <f>IFERROR(J6298*D6298,0)</f>
      </c>
      <c r="L6298" s="29">
        <f>IFERROR(E6298*C6298,0)</f>
      </c>
      <c r="M6298" s="29">
        <f>IFERROR((G6298*H6298*I6298/1000000)*D6298,0)</f>
      </c>
    </row>
    <row r="6299" spans="1:13" x14ac:dyDescent="0.25">
      <c r="A6299" s="16"/>
      <c r="E6299" s="27"/>
      <c r="F6299" t="s">
        <v>26</v>
      </c>
      <c r="G6299" s="28">
        <f>IFERROR(VLOOKUP(F6299,CARTON_LOOKUP!$A:$E,3,0),"")</f>
      </c>
      <c r="H6299" s="28">
        <f>IFERROR(VLOOKUP(F6299,CARTON_LOOKUP!$A:$E,4,0),"")</f>
      </c>
      <c r="I6299" s="28">
        <f>IFERROR(VLOOKUP(F6299,CARTON_LOOKUP!$A:$E,5,0),"")</f>
      </c>
      <c r="J6299" s="29">
        <f>IFERROR(VLOOKUP(F6299,CARTON_LOOKUP!$A:$E,2,0),"")</f>
      </c>
      <c r="K6299" s="29">
        <f>IFERROR(J6299*D6299,0)</f>
      </c>
      <c r="L6299" s="29">
        <f>IFERROR(E6299*C6299,0)</f>
      </c>
      <c r="M6299" s="29">
        <f>IFERROR((G6299*H6299*I6299/1000000)*D6299,0)</f>
      </c>
    </row>
    <row r="6300" spans="1:13" x14ac:dyDescent="0.25">
      <c r="A6300" s="16"/>
      <c r="E6300" s="27"/>
      <c r="F6300" t="s">
        <v>26</v>
      </c>
      <c r="G6300" s="28">
        <f>IFERROR(VLOOKUP(F6300,CARTON_LOOKUP!$A:$E,3,0),"")</f>
      </c>
      <c r="H6300" s="28">
        <f>IFERROR(VLOOKUP(F6300,CARTON_LOOKUP!$A:$E,4,0),"")</f>
      </c>
      <c r="I6300" s="28">
        <f>IFERROR(VLOOKUP(F6300,CARTON_LOOKUP!$A:$E,5,0),"")</f>
      </c>
      <c r="J6300" s="29">
        <f>IFERROR(VLOOKUP(F6300,CARTON_LOOKUP!$A:$E,2,0),"")</f>
      </c>
      <c r="K6300" s="29">
        <f>IFERROR(J6300*D6300,0)</f>
      </c>
      <c r="L6300" s="29">
        <f>IFERROR(E6300*C6300,0)</f>
      </c>
      <c r="M6300" s="29">
        <f>IFERROR((G6300*H6300*I6300/1000000)*D6300,0)</f>
      </c>
    </row>
    <row r="6301" spans="1:13" x14ac:dyDescent="0.25">
      <c r="A6301" s="16"/>
      <c r="E6301" s="27"/>
      <c r="F6301" t="s">
        <v>26</v>
      </c>
      <c r="G6301" s="28">
        <f>IFERROR(VLOOKUP(F6301,CARTON_LOOKUP!$A:$E,3,0),"")</f>
      </c>
      <c r="H6301" s="28">
        <f>IFERROR(VLOOKUP(F6301,CARTON_LOOKUP!$A:$E,4,0),"")</f>
      </c>
      <c r="I6301" s="28">
        <f>IFERROR(VLOOKUP(F6301,CARTON_LOOKUP!$A:$E,5,0),"")</f>
      </c>
      <c r="J6301" s="29">
        <f>IFERROR(VLOOKUP(F6301,CARTON_LOOKUP!$A:$E,2,0),"")</f>
      </c>
      <c r="K6301" s="29">
        <f>IFERROR(J6301*D6301,0)</f>
      </c>
      <c r="L6301" s="29">
        <f>IFERROR(E6301*C6301,0)</f>
      </c>
      <c r="M6301" s="29">
        <f>IFERROR((G6301*H6301*I6301/1000000)*D6301,0)</f>
      </c>
    </row>
    <row r="6302" spans="1:13" x14ac:dyDescent="0.25">
      <c r="A6302" s="16"/>
      <c r="E6302" s="27"/>
      <c r="F6302" t="s">
        <v>26</v>
      </c>
      <c r="G6302" s="28">
        <f>IFERROR(VLOOKUP(F6302,CARTON_LOOKUP!$A:$E,3,0),"")</f>
      </c>
      <c r="H6302" s="28">
        <f>IFERROR(VLOOKUP(F6302,CARTON_LOOKUP!$A:$E,4,0),"")</f>
      </c>
      <c r="I6302" s="28">
        <f>IFERROR(VLOOKUP(F6302,CARTON_LOOKUP!$A:$E,5,0),"")</f>
      </c>
      <c r="J6302" s="29">
        <f>IFERROR(VLOOKUP(F6302,CARTON_LOOKUP!$A:$E,2,0),"")</f>
      </c>
      <c r="K6302" s="29">
        <f>IFERROR(J6302*D6302,0)</f>
      </c>
      <c r="L6302" s="29">
        <f>IFERROR(E6302*C6302,0)</f>
      </c>
      <c r="M6302" s="29">
        <f>IFERROR((G6302*H6302*I6302/1000000)*D6302,0)</f>
      </c>
    </row>
    <row r="6303" spans="1:13" x14ac:dyDescent="0.25">
      <c r="A6303" s="16"/>
      <c r="E6303" s="27"/>
      <c r="F6303" t="s">
        <v>26</v>
      </c>
      <c r="G6303" s="28">
        <f>IFERROR(VLOOKUP(F6303,CARTON_LOOKUP!$A:$E,3,0),"")</f>
      </c>
      <c r="H6303" s="28">
        <f>IFERROR(VLOOKUP(F6303,CARTON_LOOKUP!$A:$E,4,0),"")</f>
      </c>
      <c r="I6303" s="28">
        <f>IFERROR(VLOOKUP(F6303,CARTON_LOOKUP!$A:$E,5,0),"")</f>
      </c>
      <c r="J6303" s="29">
        <f>IFERROR(VLOOKUP(F6303,CARTON_LOOKUP!$A:$E,2,0),"")</f>
      </c>
      <c r="K6303" s="29">
        <f>IFERROR(J6303*D6303,0)</f>
      </c>
      <c r="L6303" s="29">
        <f>IFERROR(E6303*C6303,0)</f>
      </c>
      <c r="M6303" s="29">
        <f>IFERROR((G6303*H6303*I6303/1000000)*D6303,0)</f>
      </c>
    </row>
    <row r="6304" spans="1:13" x14ac:dyDescent="0.25">
      <c r="A6304" s="16"/>
      <c r="E6304" s="27"/>
      <c r="F6304" t="s">
        <v>26</v>
      </c>
      <c r="G6304" s="28">
        <f>IFERROR(VLOOKUP(F6304,CARTON_LOOKUP!$A:$E,3,0),"")</f>
      </c>
      <c r="H6304" s="28">
        <f>IFERROR(VLOOKUP(F6304,CARTON_LOOKUP!$A:$E,4,0),"")</f>
      </c>
      <c r="I6304" s="28">
        <f>IFERROR(VLOOKUP(F6304,CARTON_LOOKUP!$A:$E,5,0),"")</f>
      </c>
      <c r="J6304" s="29">
        <f>IFERROR(VLOOKUP(F6304,CARTON_LOOKUP!$A:$E,2,0),"")</f>
      </c>
      <c r="K6304" s="29">
        <f>IFERROR(J6304*D6304,0)</f>
      </c>
      <c r="L6304" s="29">
        <f>IFERROR(E6304*C6304,0)</f>
      </c>
      <c r="M6304" s="29">
        <f>IFERROR((G6304*H6304*I6304/1000000)*D6304,0)</f>
      </c>
    </row>
    <row r="6305" spans="1:13" x14ac:dyDescent="0.25">
      <c r="A6305" s="16"/>
      <c r="E6305" s="27"/>
      <c r="F6305" t="s">
        <v>26</v>
      </c>
      <c r="G6305" s="28">
        <f>IFERROR(VLOOKUP(F6305,CARTON_LOOKUP!$A:$E,3,0),"")</f>
      </c>
      <c r="H6305" s="28">
        <f>IFERROR(VLOOKUP(F6305,CARTON_LOOKUP!$A:$E,4,0),"")</f>
      </c>
      <c r="I6305" s="28">
        <f>IFERROR(VLOOKUP(F6305,CARTON_LOOKUP!$A:$E,5,0),"")</f>
      </c>
      <c r="J6305" s="29">
        <f>IFERROR(VLOOKUP(F6305,CARTON_LOOKUP!$A:$E,2,0),"")</f>
      </c>
      <c r="K6305" s="29">
        <f>IFERROR(J6305*D6305,0)</f>
      </c>
      <c r="L6305" s="29">
        <f>IFERROR(E6305*C6305,0)</f>
      </c>
      <c r="M6305" s="29">
        <f>IFERROR((G6305*H6305*I6305/1000000)*D6305,0)</f>
      </c>
    </row>
    <row r="6306" spans="1:13" x14ac:dyDescent="0.25">
      <c r="A6306" s="16"/>
      <c r="E6306" s="27"/>
      <c r="F6306" t="s">
        <v>26</v>
      </c>
      <c r="G6306" s="28">
        <f>IFERROR(VLOOKUP(F6306,CARTON_LOOKUP!$A:$E,3,0),"")</f>
      </c>
      <c r="H6306" s="28">
        <f>IFERROR(VLOOKUP(F6306,CARTON_LOOKUP!$A:$E,4,0),"")</f>
      </c>
      <c r="I6306" s="28">
        <f>IFERROR(VLOOKUP(F6306,CARTON_LOOKUP!$A:$E,5,0),"")</f>
      </c>
      <c r="J6306" s="29">
        <f>IFERROR(VLOOKUP(F6306,CARTON_LOOKUP!$A:$E,2,0),"")</f>
      </c>
      <c r="K6306" s="29">
        <f>IFERROR(J6306*D6306,0)</f>
      </c>
      <c r="L6306" s="29">
        <f>IFERROR(E6306*C6306,0)</f>
      </c>
      <c r="M6306" s="29">
        <f>IFERROR((G6306*H6306*I6306/1000000)*D6306,0)</f>
      </c>
    </row>
    <row r="6307" spans="1:13" x14ac:dyDescent="0.25">
      <c r="A6307" s="16"/>
      <c r="E6307" s="27"/>
      <c r="F6307" t="s">
        <v>26</v>
      </c>
      <c r="G6307" s="28">
        <f>IFERROR(VLOOKUP(F6307,CARTON_LOOKUP!$A:$E,3,0),"")</f>
      </c>
      <c r="H6307" s="28">
        <f>IFERROR(VLOOKUP(F6307,CARTON_LOOKUP!$A:$E,4,0),"")</f>
      </c>
      <c r="I6307" s="28">
        <f>IFERROR(VLOOKUP(F6307,CARTON_LOOKUP!$A:$E,5,0),"")</f>
      </c>
      <c r="J6307" s="29">
        <f>IFERROR(VLOOKUP(F6307,CARTON_LOOKUP!$A:$E,2,0),"")</f>
      </c>
      <c r="K6307" s="29">
        <f>IFERROR(J6307*D6307,0)</f>
      </c>
      <c r="L6307" s="29">
        <f>IFERROR(E6307*C6307,0)</f>
      </c>
      <c r="M6307" s="29">
        <f>IFERROR((G6307*H6307*I6307/1000000)*D6307,0)</f>
      </c>
    </row>
    <row r="6308" spans="1:13" x14ac:dyDescent="0.25">
      <c r="A6308" s="16"/>
      <c r="E6308" s="27"/>
      <c r="F6308" t="s">
        <v>26</v>
      </c>
      <c r="G6308" s="28">
        <f>IFERROR(VLOOKUP(F6308,CARTON_LOOKUP!$A:$E,3,0),"")</f>
      </c>
      <c r="H6308" s="28">
        <f>IFERROR(VLOOKUP(F6308,CARTON_LOOKUP!$A:$E,4,0),"")</f>
      </c>
      <c r="I6308" s="28">
        <f>IFERROR(VLOOKUP(F6308,CARTON_LOOKUP!$A:$E,5,0),"")</f>
      </c>
      <c r="J6308" s="29">
        <f>IFERROR(VLOOKUP(F6308,CARTON_LOOKUP!$A:$E,2,0),"")</f>
      </c>
      <c r="K6308" s="29">
        <f>IFERROR(J6308*D6308,0)</f>
      </c>
      <c r="L6308" s="29">
        <f>IFERROR(E6308*C6308,0)</f>
      </c>
      <c r="M6308" s="29">
        <f>IFERROR((G6308*H6308*I6308/1000000)*D6308,0)</f>
      </c>
    </row>
    <row r="6309" spans="1:13" x14ac:dyDescent="0.25">
      <c r="A6309" s="16"/>
      <c r="E6309" s="27"/>
      <c r="F6309" t="s">
        <v>26</v>
      </c>
      <c r="G6309" s="28">
        <f>IFERROR(VLOOKUP(F6309,CARTON_LOOKUP!$A:$E,3,0),"")</f>
      </c>
      <c r="H6309" s="28">
        <f>IFERROR(VLOOKUP(F6309,CARTON_LOOKUP!$A:$E,4,0),"")</f>
      </c>
      <c r="I6309" s="28">
        <f>IFERROR(VLOOKUP(F6309,CARTON_LOOKUP!$A:$E,5,0),"")</f>
      </c>
      <c r="J6309" s="29">
        <f>IFERROR(VLOOKUP(F6309,CARTON_LOOKUP!$A:$E,2,0),"")</f>
      </c>
      <c r="K6309" s="29">
        <f>IFERROR(J6309*D6309,0)</f>
      </c>
      <c r="L6309" s="29">
        <f>IFERROR(E6309*C6309,0)</f>
      </c>
      <c r="M6309" s="29">
        <f>IFERROR((G6309*H6309*I6309/1000000)*D6309,0)</f>
      </c>
    </row>
    <row r="6310" spans="1:13" x14ac:dyDescent="0.25">
      <c r="A6310" s="16"/>
      <c r="E6310" s="27"/>
      <c r="F6310" t="s">
        <v>26</v>
      </c>
      <c r="G6310" s="28">
        <f>IFERROR(VLOOKUP(F6310,CARTON_LOOKUP!$A:$E,3,0),"")</f>
      </c>
      <c r="H6310" s="28">
        <f>IFERROR(VLOOKUP(F6310,CARTON_LOOKUP!$A:$E,4,0),"")</f>
      </c>
      <c r="I6310" s="28">
        <f>IFERROR(VLOOKUP(F6310,CARTON_LOOKUP!$A:$E,5,0),"")</f>
      </c>
      <c r="J6310" s="29">
        <f>IFERROR(VLOOKUP(F6310,CARTON_LOOKUP!$A:$E,2,0),"")</f>
      </c>
      <c r="K6310" s="29">
        <f>IFERROR(J6310*D6310,0)</f>
      </c>
      <c r="L6310" s="29">
        <f>IFERROR(E6310*C6310,0)</f>
      </c>
      <c r="M6310" s="29">
        <f>IFERROR((G6310*H6310*I6310/1000000)*D6310,0)</f>
      </c>
    </row>
    <row r="6311" spans="1:13" x14ac:dyDescent="0.25">
      <c r="A6311" s="16"/>
      <c r="E6311" s="27"/>
      <c r="F6311" t="s">
        <v>26</v>
      </c>
      <c r="G6311" s="28">
        <f>IFERROR(VLOOKUP(F6311,CARTON_LOOKUP!$A:$E,3,0),"")</f>
      </c>
      <c r="H6311" s="28">
        <f>IFERROR(VLOOKUP(F6311,CARTON_LOOKUP!$A:$E,4,0),"")</f>
      </c>
      <c r="I6311" s="28">
        <f>IFERROR(VLOOKUP(F6311,CARTON_LOOKUP!$A:$E,5,0),"")</f>
      </c>
      <c r="J6311" s="29">
        <f>IFERROR(VLOOKUP(F6311,CARTON_LOOKUP!$A:$E,2,0),"")</f>
      </c>
      <c r="K6311" s="29">
        <f>IFERROR(J6311*D6311,0)</f>
      </c>
      <c r="L6311" s="29">
        <f>IFERROR(E6311*C6311,0)</f>
      </c>
      <c r="M6311" s="29">
        <f>IFERROR((G6311*H6311*I6311/1000000)*D6311,0)</f>
      </c>
    </row>
    <row r="6312" spans="1:13" x14ac:dyDescent="0.25">
      <c r="A6312" s="16"/>
      <c r="E6312" s="27"/>
      <c r="F6312" t="s">
        <v>26</v>
      </c>
      <c r="G6312" s="28">
        <f>IFERROR(VLOOKUP(F6312,CARTON_LOOKUP!$A:$E,3,0),"")</f>
      </c>
      <c r="H6312" s="28">
        <f>IFERROR(VLOOKUP(F6312,CARTON_LOOKUP!$A:$E,4,0),"")</f>
      </c>
      <c r="I6312" s="28">
        <f>IFERROR(VLOOKUP(F6312,CARTON_LOOKUP!$A:$E,5,0),"")</f>
      </c>
      <c r="J6312" s="29">
        <f>IFERROR(VLOOKUP(F6312,CARTON_LOOKUP!$A:$E,2,0),"")</f>
      </c>
      <c r="K6312" s="29">
        <f>IFERROR(J6312*D6312,0)</f>
      </c>
      <c r="L6312" s="29">
        <f>IFERROR(E6312*C6312,0)</f>
      </c>
      <c r="M6312" s="29">
        <f>IFERROR((G6312*H6312*I6312/1000000)*D6312,0)</f>
      </c>
    </row>
    <row r="6313" spans="1:13" x14ac:dyDescent="0.25">
      <c r="A6313" s="16"/>
      <c r="E6313" s="27"/>
      <c r="F6313" t="s">
        <v>26</v>
      </c>
      <c r="G6313" s="28">
        <f>IFERROR(VLOOKUP(F6313,CARTON_LOOKUP!$A:$E,3,0),"")</f>
      </c>
      <c r="H6313" s="28">
        <f>IFERROR(VLOOKUP(F6313,CARTON_LOOKUP!$A:$E,4,0),"")</f>
      </c>
      <c r="I6313" s="28">
        <f>IFERROR(VLOOKUP(F6313,CARTON_LOOKUP!$A:$E,5,0),"")</f>
      </c>
      <c r="J6313" s="29">
        <f>IFERROR(VLOOKUP(F6313,CARTON_LOOKUP!$A:$E,2,0),"")</f>
      </c>
      <c r="K6313" s="29">
        <f>IFERROR(J6313*D6313,0)</f>
      </c>
      <c r="L6313" s="29">
        <f>IFERROR(E6313*C6313,0)</f>
      </c>
      <c r="M6313" s="29">
        <f>IFERROR((G6313*H6313*I6313/1000000)*D6313,0)</f>
      </c>
    </row>
    <row r="6314" spans="1:13" x14ac:dyDescent="0.25">
      <c r="A6314" s="16"/>
      <c r="E6314" s="27"/>
      <c r="F6314" t="s">
        <v>26</v>
      </c>
      <c r="G6314" s="28">
        <f>IFERROR(VLOOKUP(F6314,CARTON_LOOKUP!$A:$E,3,0),"")</f>
      </c>
      <c r="H6314" s="28">
        <f>IFERROR(VLOOKUP(F6314,CARTON_LOOKUP!$A:$E,4,0),"")</f>
      </c>
      <c r="I6314" s="28">
        <f>IFERROR(VLOOKUP(F6314,CARTON_LOOKUP!$A:$E,5,0),"")</f>
      </c>
      <c r="J6314" s="29">
        <f>IFERROR(VLOOKUP(F6314,CARTON_LOOKUP!$A:$E,2,0),"")</f>
      </c>
      <c r="K6314" s="29">
        <f>IFERROR(J6314*D6314,0)</f>
      </c>
      <c r="L6314" s="29">
        <f>IFERROR(E6314*C6314,0)</f>
      </c>
      <c r="M6314" s="29">
        <f>IFERROR((G6314*H6314*I6314/1000000)*D6314,0)</f>
      </c>
    </row>
    <row r="6315" spans="1:13" x14ac:dyDescent="0.25">
      <c r="A6315" s="16"/>
      <c r="E6315" s="27"/>
      <c r="F6315" t="s">
        <v>26</v>
      </c>
      <c r="G6315" s="28">
        <f>IFERROR(VLOOKUP(F6315,CARTON_LOOKUP!$A:$E,3,0),"")</f>
      </c>
      <c r="H6315" s="28">
        <f>IFERROR(VLOOKUP(F6315,CARTON_LOOKUP!$A:$E,4,0),"")</f>
      </c>
      <c r="I6315" s="28">
        <f>IFERROR(VLOOKUP(F6315,CARTON_LOOKUP!$A:$E,5,0),"")</f>
      </c>
      <c r="J6315" s="29">
        <f>IFERROR(VLOOKUP(F6315,CARTON_LOOKUP!$A:$E,2,0),"")</f>
      </c>
      <c r="K6315" s="29">
        <f>IFERROR(J6315*D6315,0)</f>
      </c>
      <c r="L6315" s="29">
        <f>IFERROR(E6315*C6315,0)</f>
      </c>
      <c r="M6315" s="29">
        <f>IFERROR((G6315*H6315*I6315/1000000)*D6315,0)</f>
      </c>
    </row>
    <row r="6316" spans="1:13" x14ac:dyDescent="0.25">
      <c r="A6316" s="16"/>
      <c r="E6316" s="27"/>
      <c r="F6316" t="s">
        <v>26</v>
      </c>
      <c r="G6316" s="28">
        <f>IFERROR(VLOOKUP(F6316,CARTON_LOOKUP!$A:$E,3,0),"")</f>
      </c>
      <c r="H6316" s="28">
        <f>IFERROR(VLOOKUP(F6316,CARTON_LOOKUP!$A:$E,4,0),"")</f>
      </c>
      <c r="I6316" s="28">
        <f>IFERROR(VLOOKUP(F6316,CARTON_LOOKUP!$A:$E,5,0),"")</f>
      </c>
      <c r="J6316" s="29">
        <f>IFERROR(VLOOKUP(F6316,CARTON_LOOKUP!$A:$E,2,0),"")</f>
      </c>
      <c r="K6316" s="29">
        <f>IFERROR(J6316*D6316,0)</f>
      </c>
      <c r="L6316" s="29">
        <f>IFERROR(E6316*C6316,0)</f>
      </c>
      <c r="M6316" s="29">
        <f>IFERROR((G6316*H6316*I6316/1000000)*D6316,0)</f>
      </c>
    </row>
    <row r="6317" spans="1:13" x14ac:dyDescent="0.25">
      <c r="A6317" s="16"/>
      <c r="E6317" s="27"/>
      <c r="F6317" t="s">
        <v>26</v>
      </c>
      <c r="G6317" s="28">
        <f>IFERROR(VLOOKUP(F6317,CARTON_LOOKUP!$A:$E,3,0),"")</f>
      </c>
      <c r="H6317" s="28">
        <f>IFERROR(VLOOKUP(F6317,CARTON_LOOKUP!$A:$E,4,0),"")</f>
      </c>
      <c r="I6317" s="28">
        <f>IFERROR(VLOOKUP(F6317,CARTON_LOOKUP!$A:$E,5,0),"")</f>
      </c>
      <c r="J6317" s="29">
        <f>IFERROR(VLOOKUP(F6317,CARTON_LOOKUP!$A:$E,2,0),"")</f>
      </c>
      <c r="K6317" s="29">
        <f>IFERROR(J6317*D6317,0)</f>
      </c>
      <c r="L6317" s="29">
        <f>IFERROR(E6317*C6317,0)</f>
      </c>
      <c r="M6317" s="29">
        <f>IFERROR((G6317*H6317*I6317/1000000)*D6317,0)</f>
      </c>
    </row>
    <row r="6318" spans="1:13" x14ac:dyDescent="0.25">
      <c r="A6318" s="16"/>
      <c r="E6318" s="27"/>
      <c r="F6318" t="s">
        <v>26</v>
      </c>
      <c r="G6318" s="28">
        <f>IFERROR(VLOOKUP(F6318,CARTON_LOOKUP!$A:$E,3,0),"")</f>
      </c>
      <c r="H6318" s="28">
        <f>IFERROR(VLOOKUP(F6318,CARTON_LOOKUP!$A:$E,4,0),"")</f>
      </c>
      <c r="I6318" s="28">
        <f>IFERROR(VLOOKUP(F6318,CARTON_LOOKUP!$A:$E,5,0),"")</f>
      </c>
      <c r="J6318" s="29">
        <f>IFERROR(VLOOKUP(F6318,CARTON_LOOKUP!$A:$E,2,0),"")</f>
      </c>
      <c r="K6318" s="29">
        <f>IFERROR(J6318*D6318,0)</f>
      </c>
      <c r="L6318" s="29">
        <f>IFERROR(E6318*C6318,0)</f>
      </c>
      <c r="M6318" s="29">
        <f>IFERROR((G6318*H6318*I6318/1000000)*D6318,0)</f>
      </c>
    </row>
    <row r="6319" spans="1:13" x14ac:dyDescent="0.25">
      <c r="A6319" s="16"/>
      <c r="E6319" s="27"/>
      <c r="F6319" t="s">
        <v>26</v>
      </c>
      <c r="G6319" s="28">
        <f>IFERROR(VLOOKUP(F6319,CARTON_LOOKUP!$A:$E,3,0),"")</f>
      </c>
      <c r="H6319" s="28">
        <f>IFERROR(VLOOKUP(F6319,CARTON_LOOKUP!$A:$E,4,0),"")</f>
      </c>
      <c r="I6319" s="28">
        <f>IFERROR(VLOOKUP(F6319,CARTON_LOOKUP!$A:$E,5,0),"")</f>
      </c>
      <c r="J6319" s="29">
        <f>IFERROR(VLOOKUP(F6319,CARTON_LOOKUP!$A:$E,2,0),"")</f>
      </c>
      <c r="K6319" s="29">
        <f>IFERROR(J6319*D6319,0)</f>
      </c>
      <c r="L6319" s="29">
        <f>IFERROR(E6319*C6319,0)</f>
      </c>
      <c r="M6319" s="29">
        <f>IFERROR((G6319*H6319*I6319/1000000)*D6319,0)</f>
      </c>
    </row>
    <row r="6320" spans="1:13" x14ac:dyDescent="0.25">
      <c r="A6320" s="16"/>
      <c r="E6320" s="27"/>
      <c r="F6320" t="s">
        <v>26</v>
      </c>
      <c r="G6320" s="28">
        <f>IFERROR(VLOOKUP(F6320,CARTON_LOOKUP!$A:$E,3,0),"")</f>
      </c>
      <c r="H6320" s="28">
        <f>IFERROR(VLOOKUP(F6320,CARTON_LOOKUP!$A:$E,4,0),"")</f>
      </c>
      <c r="I6320" s="28">
        <f>IFERROR(VLOOKUP(F6320,CARTON_LOOKUP!$A:$E,5,0),"")</f>
      </c>
      <c r="J6320" s="29">
        <f>IFERROR(VLOOKUP(F6320,CARTON_LOOKUP!$A:$E,2,0),"")</f>
      </c>
      <c r="K6320" s="29">
        <f>IFERROR(J6320*D6320,0)</f>
      </c>
      <c r="L6320" s="29">
        <f>IFERROR(E6320*C6320,0)</f>
      </c>
      <c r="M6320" s="29">
        <f>IFERROR((G6320*H6320*I6320/1000000)*D6320,0)</f>
      </c>
    </row>
    <row r="6321" spans="1:13" x14ac:dyDescent="0.25">
      <c r="A6321" s="16"/>
      <c r="E6321" s="27"/>
      <c r="F6321" t="s">
        <v>26</v>
      </c>
      <c r="G6321" s="28">
        <f>IFERROR(VLOOKUP(F6321,CARTON_LOOKUP!$A:$E,3,0),"")</f>
      </c>
      <c r="H6321" s="28">
        <f>IFERROR(VLOOKUP(F6321,CARTON_LOOKUP!$A:$E,4,0),"")</f>
      </c>
      <c r="I6321" s="28">
        <f>IFERROR(VLOOKUP(F6321,CARTON_LOOKUP!$A:$E,5,0),"")</f>
      </c>
      <c r="J6321" s="29">
        <f>IFERROR(VLOOKUP(F6321,CARTON_LOOKUP!$A:$E,2,0),"")</f>
      </c>
      <c r="K6321" s="29">
        <f>IFERROR(J6321*D6321,0)</f>
      </c>
      <c r="L6321" s="29">
        <f>IFERROR(E6321*C6321,0)</f>
      </c>
      <c r="M6321" s="29">
        <f>IFERROR((G6321*H6321*I6321/1000000)*D6321,0)</f>
      </c>
    </row>
    <row r="6322" spans="1:13" x14ac:dyDescent="0.25">
      <c r="A6322" s="16"/>
      <c r="E6322" s="27"/>
      <c r="F6322" t="s">
        <v>26</v>
      </c>
      <c r="G6322" s="28">
        <f>IFERROR(VLOOKUP(F6322,CARTON_LOOKUP!$A:$E,3,0),"")</f>
      </c>
      <c r="H6322" s="28">
        <f>IFERROR(VLOOKUP(F6322,CARTON_LOOKUP!$A:$E,4,0),"")</f>
      </c>
      <c r="I6322" s="28">
        <f>IFERROR(VLOOKUP(F6322,CARTON_LOOKUP!$A:$E,5,0),"")</f>
      </c>
      <c r="J6322" s="29">
        <f>IFERROR(VLOOKUP(F6322,CARTON_LOOKUP!$A:$E,2,0),"")</f>
      </c>
      <c r="K6322" s="29">
        <f>IFERROR(J6322*D6322,0)</f>
      </c>
      <c r="L6322" s="29">
        <f>IFERROR(E6322*C6322,0)</f>
      </c>
      <c r="M6322" s="29">
        <f>IFERROR((G6322*H6322*I6322/1000000)*D6322,0)</f>
      </c>
    </row>
    <row r="6323" spans="1:13" x14ac:dyDescent="0.25">
      <c r="A6323" s="16"/>
      <c r="E6323" s="27"/>
      <c r="F6323" t="s">
        <v>26</v>
      </c>
      <c r="G6323" s="28">
        <f>IFERROR(VLOOKUP(F6323,CARTON_LOOKUP!$A:$E,3,0),"")</f>
      </c>
      <c r="H6323" s="28">
        <f>IFERROR(VLOOKUP(F6323,CARTON_LOOKUP!$A:$E,4,0),"")</f>
      </c>
      <c r="I6323" s="28">
        <f>IFERROR(VLOOKUP(F6323,CARTON_LOOKUP!$A:$E,5,0),"")</f>
      </c>
      <c r="J6323" s="29">
        <f>IFERROR(VLOOKUP(F6323,CARTON_LOOKUP!$A:$E,2,0),"")</f>
      </c>
      <c r="K6323" s="29">
        <f>IFERROR(J6323*D6323,0)</f>
      </c>
      <c r="L6323" s="29">
        <f>IFERROR(E6323*C6323,0)</f>
      </c>
      <c r="M6323" s="29">
        <f>IFERROR((G6323*H6323*I6323/1000000)*D6323,0)</f>
      </c>
    </row>
    <row r="6324" spans="1:13" x14ac:dyDescent="0.25">
      <c r="A6324" s="16"/>
      <c r="E6324" s="27"/>
      <c r="F6324" t="s">
        <v>26</v>
      </c>
      <c r="G6324" s="28">
        <f>IFERROR(VLOOKUP(F6324,CARTON_LOOKUP!$A:$E,3,0),"")</f>
      </c>
      <c r="H6324" s="28">
        <f>IFERROR(VLOOKUP(F6324,CARTON_LOOKUP!$A:$E,4,0),"")</f>
      </c>
      <c r="I6324" s="28">
        <f>IFERROR(VLOOKUP(F6324,CARTON_LOOKUP!$A:$E,5,0),"")</f>
      </c>
      <c r="J6324" s="29">
        <f>IFERROR(VLOOKUP(F6324,CARTON_LOOKUP!$A:$E,2,0),"")</f>
      </c>
      <c r="K6324" s="29">
        <f>IFERROR(J6324*D6324,0)</f>
      </c>
      <c r="L6324" s="29">
        <f>IFERROR(E6324*C6324,0)</f>
      </c>
      <c r="M6324" s="29">
        <f>IFERROR((G6324*H6324*I6324/1000000)*D6324,0)</f>
      </c>
    </row>
    <row r="6325" spans="1:13" x14ac:dyDescent="0.25">
      <c r="A6325" s="16"/>
      <c r="E6325" s="27"/>
      <c r="F6325" t="s">
        <v>26</v>
      </c>
      <c r="G6325" s="28">
        <f>IFERROR(VLOOKUP(F6325,CARTON_LOOKUP!$A:$E,3,0),"")</f>
      </c>
      <c r="H6325" s="28">
        <f>IFERROR(VLOOKUP(F6325,CARTON_LOOKUP!$A:$E,4,0),"")</f>
      </c>
      <c r="I6325" s="28">
        <f>IFERROR(VLOOKUP(F6325,CARTON_LOOKUP!$A:$E,5,0),"")</f>
      </c>
      <c r="J6325" s="29">
        <f>IFERROR(VLOOKUP(F6325,CARTON_LOOKUP!$A:$E,2,0),"")</f>
      </c>
      <c r="K6325" s="29">
        <f>IFERROR(J6325*D6325,0)</f>
      </c>
      <c r="L6325" s="29">
        <f>IFERROR(E6325*C6325,0)</f>
      </c>
      <c r="M6325" s="29">
        <f>IFERROR((G6325*H6325*I6325/1000000)*D6325,0)</f>
      </c>
    </row>
    <row r="6326" spans="1:13" x14ac:dyDescent="0.25">
      <c r="A6326" s="16"/>
      <c r="E6326" s="27"/>
      <c r="F6326" t="s">
        <v>26</v>
      </c>
      <c r="G6326" s="28">
        <f>IFERROR(VLOOKUP(F6326,CARTON_LOOKUP!$A:$E,3,0),"")</f>
      </c>
      <c r="H6326" s="28">
        <f>IFERROR(VLOOKUP(F6326,CARTON_LOOKUP!$A:$E,4,0),"")</f>
      </c>
      <c r="I6326" s="28">
        <f>IFERROR(VLOOKUP(F6326,CARTON_LOOKUP!$A:$E,5,0),"")</f>
      </c>
      <c r="J6326" s="29">
        <f>IFERROR(VLOOKUP(F6326,CARTON_LOOKUP!$A:$E,2,0),"")</f>
      </c>
      <c r="K6326" s="29">
        <f>IFERROR(J6326*D6326,0)</f>
      </c>
      <c r="L6326" s="29">
        <f>IFERROR(E6326*C6326,0)</f>
      </c>
      <c r="M6326" s="29">
        <f>IFERROR((G6326*H6326*I6326/1000000)*D6326,0)</f>
      </c>
    </row>
    <row r="6327" spans="1:13" x14ac:dyDescent="0.25">
      <c r="A6327" s="16"/>
      <c r="E6327" s="27"/>
      <c r="F6327" t="s">
        <v>26</v>
      </c>
      <c r="G6327" s="28">
        <f>IFERROR(VLOOKUP(F6327,CARTON_LOOKUP!$A:$E,3,0),"")</f>
      </c>
      <c r="H6327" s="28">
        <f>IFERROR(VLOOKUP(F6327,CARTON_LOOKUP!$A:$E,4,0),"")</f>
      </c>
      <c r="I6327" s="28">
        <f>IFERROR(VLOOKUP(F6327,CARTON_LOOKUP!$A:$E,5,0),"")</f>
      </c>
      <c r="J6327" s="29">
        <f>IFERROR(VLOOKUP(F6327,CARTON_LOOKUP!$A:$E,2,0),"")</f>
      </c>
      <c r="K6327" s="29">
        <f>IFERROR(J6327*D6327,0)</f>
      </c>
      <c r="L6327" s="29">
        <f>IFERROR(E6327*C6327,0)</f>
      </c>
      <c r="M6327" s="29">
        <f>IFERROR((G6327*H6327*I6327/1000000)*D6327,0)</f>
      </c>
    </row>
    <row r="6328" spans="1:13" x14ac:dyDescent="0.25">
      <c r="A6328" s="16"/>
      <c r="E6328" s="27"/>
      <c r="F6328" t="s">
        <v>26</v>
      </c>
      <c r="G6328" s="28">
        <f>IFERROR(VLOOKUP(F6328,CARTON_LOOKUP!$A:$E,3,0),"")</f>
      </c>
      <c r="H6328" s="28">
        <f>IFERROR(VLOOKUP(F6328,CARTON_LOOKUP!$A:$E,4,0),"")</f>
      </c>
      <c r="I6328" s="28">
        <f>IFERROR(VLOOKUP(F6328,CARTON_LOOKUP!$A:$E,5,0),"")</f>
      </c>
      <c r="J6328" s="29">
        <f>IFERROR(VLOOKUP(F6328,CARTON_LOOKUP!$A:$E,2,0),"")</f>
      </c>
      <c r="K6328" s="29">
        <f>IFERROR(J6328*D6328,0)</f>
      </c>
      <c r="L6328" s="29">
        <f>IFERROR(E6328*C6328,0)</f>
      </c>
      <c r="M6328" s="29">
        <f>IFERROR((G6328*H6328*I6328/1000000)*D6328,0)</f>
      </c>
    </row>
    <row r="6329" spans="1:13" x14ac:dyDescent="0.25">
      <c r="A6329" s="16"/>
      <c r="E6329" s="27"/>
      <c r="F6329" t="s">
        <v>26</v>
      </c>
      <c r="G6329" s="28">
        <f>IFERROR(VLOOKUP(F6329,CARTON_LOOKUP!$A:$E,3,0),"")</f>
      </c>
      <c r="H6329" s="28">
        <f>IFERROR(VLOOKUP(F6329,CARTON_LOOKUP!$A:$E,4,0),"")</f>
      </c>
      <c r="I6329" s="28">
        <f>IFERROR(VLOOKUP(F6329,CARTON_LOOKUP!$A:$E,5,0),"")</f>
      </c>
      <c r="J6329" s="29">
        <f>IFERROR(VLOOKUP(F6329,CARTON_LOOKUP!$A:$E,2,0),"")</f>
      </c>
      <c r="K6329" s="29">
        <f>IFERROR(J6329*D6329,0)</f>
      </c>
      <c r="L6329" s="29">
        <f>IFERROR(E6329*C6329,0)</f>
      </c>
      <c r="M6329" s="29">
        <f>IFERROR((G6329*H6329*I6329/1000000)*D6329,0)</f>
      </c>
    </row>
    <row r="6330" spans="1:13" x14ac:dyDescent="0.25">
      <c r="A6330" s="16"/>
      <c r="E6330" s="27"/>
      <c r="F6330" t="s">
        <v>26</v>
      </c>
      <c r="G6330" s="28">
        <f>IFERROR(VLOOKUP(F6330,CARTON_LOOKUP!$A:$E,3,0),"")</f>
      </c>
      <c r="H6330" s="28">
        <f>IFERROR(VLOOKUP(F6330,CARTON_LOOKUP!$A:$E,4,0),"")</f>
      </c>
      <c r="I6330" s="28">
        <f>IFERROR(VLOOKUP(F6330,CARTON_LOOKUP!$A:$E,5,0),"")</f>
      </c>
      <c r="J6330" s="29">
        <f>IFERROR(VLOOKUP(F6330,CARTON_LOOKUP!$A:$E,2,0),"")</f>
      </c>
      <c r="K6330" s="29">
        <f>IFERROR(J6330*D6330,0)</f>
      </c>
      <c r="L6330" s="29">
        <f>IFERROR(E6330*C6330,0)</f>
      </c>
      <c r="M6330" s="29">
        <f>IFERROR((G6330*H6330*I6330/1000000)*D6330,0)</f>
      </c>
    </row>
    <row r="6331" spans="1:13" x14ac:dyDescent="0.25">
      <c r="A6331" s="16"/>
      <c r="E6331" s="27"/>
      <c r="F6331" t="s">
        <v>26</v>
      </c>
      <c r="G6331" s="28">
        <f>IFERROR(VLOOKUP(F6331,CARTON_LOOKUP!$A:$E,3,0),"")</f>
      </c>
      <c r="H6331" s="28">
        <f>IFERROR(VLOOKUP(F6331,CARTON_LOOKUP!$A:$E,4,0),"")</f>
      </c>
      <c r="I6331" s="28">
        <f>IFERROR(VLOOKUP(F6331,CARTON_LOOKUP!$A:$E,5,0),"")</f>
      </c>
      <c r="J6331" s="29">
        <f>IFERROR(VLOOKUP(F6331,CARTON_LOOKUP!$A:$E,2,0),"")</f>
      </c>
      <c r="K6331" s="29">
        <f>IFERROR(J6331*D6331,0)</f>
      </c>
      <c r="L6331" s="29">
        <f>IFERROR(E6331*C6331,0)</f>
      </c>
      <c r="M6331" s="29">
        <f>IFERROR((G6331*H6331*I6331/1000000)*D6331,0)</f>
      </c>
    </row>
    <row r="6332" spans="1:13" x14ac:dyDescent="0.25">
      <c r="A6332" s="16"/>
      <c r="E6332" s="27"/>
      <c r="F6332" t="s">
        <v>26</v>
      </c>
      <c r="G6332" s="28">
        <f>IFERROR(VLOOKUP(F6332,CARTON_LOOKUP!$A:$E,3,0),"")</f>
      </c>
      <c r="H6332" s="28">
        <f>IFERROR(VLOOKUP(F6332,CARTON_LOOKUP!$A:$E,4,0),"")</f>
      </c>
      <c r="I6332" s="28">
        <f>IFERROR(VLOOKUP(F6332,CARTON_LOOKUP!$A:$E,5,0),"")</f>
      </c>
      <c r="J6332" s="29">
        <f>IFERROR(VLOOKUP(F6332,CARTON_LOOKUP!$A:$E,2,0),"")</f>
      </c>
      <c r="K6332" s="29">
        <f>IFERROR(J6332*D6332,0)</f>
      </c>
      <c r="L6332" s="29">
        <f>IFERROR(E6332*C6332,0)</f>
      </c>
      <c r="M6332" s="29">
        <f>IFERROR((G6332*H6332*I6332/1000000)*D6332,0)</f>
      </c>
    </row>
    <row r="6333" spans="1:13" x14ac:dyDescent="0.25">
      <c r="A6333" s="16"/>
      <c r="E6333" s="27"/>
      <c r="F6333" t="s">
        <v>26</v>
      </c>
      <c r="G6333" s="28">
        <f>IFERROR(VLOOKUP(F6333,CARTON_LOOKUP!$A:$E,3,0),"")</f>
      </c>
      <c r="H6333" s="28">
        <f>IFERROR(VLOOKUP(F6333,CARTON_LOOKUP!$A:$E,4,0),"")</f>
      </c>
      <c r="I6333" s="28">
        <f>IFERROR(VLOOKUP(F6333,CARTON_LOOKUP!$A:$E,5,0),"")</f>
      </c>
      <c r="J6333" s="29">
        <f>IFERROR(VLOOKUP(F6333,CARTON_LOOKUP!$A:$E,2,0),"")</f>
      </c>
      <c r="K6333" s="29">
        <f>IFERROR(J6333*D6333,0)</f>
      </c>
      <c r="L6333" s="29">
        <f>IFERROR(E6333*C6333,0)</f>
      </c>
      <c r="M6333" s="29">
        <f>IFERROR((G6333*H6333*I6333/1000000)*D6333,0)</f>
      </c>
    </row>
    <row r="6334" spans="1:13" x14ac:dyDescent="0.25">
      <c r="A6334" s="16"/>
      <c r="E6334" s="27"/>
      <c r="F6334" t="s">
        <v>26</v>
      </c>
      <c r="G6334" s="28">
        <f>IFERROR(VLOOKUP(F6334,CARTON_LOOKUP!$A:$E,3,0),"")</f>
      </c>
      <c r="H6334" s="28">
        <f>IFERROR(VLOOKUP(F6334,CARTON_LOOKUP!$A:$E,4,0),"")</f>
      </c>
      <c r="I6334" s="28">
        <f>IFERROR(VLOOKUP(F6334,CARTON_LOOKUP!$A:$E,5,0),"")</f>
      </c>
      <c r="J6334" s="29">
        <f>IFERROR(VLOOKUP(F6334,CARTON_LOOKUP!$A:$E,2,0),"")</f>
      </c>
      <c r="K6334" s="29">
        <f>IFERROR(J6334*D6334,0)</f>
      </c>
      <c r="L6334" s="29">
        <f>IFERROR(E6334*C6334,0)</f>
      </c>
      <c r="M6334" s="29">
        <f>IFERROR((G6334*H6334*I6334/1000000)*D6334,0)</f>
      </c>
    </row>
    <row r="6335" spans="1:13" x14ac:dyDescent="0.25">
      <c r="A6335" s="16"/>
      <c r="E6335" s="27"/>
      <c r="F6335" t="s">
        <v>26</v>
      </c>
      <c r="G6335" s="28">
        <f>IFERROR(VLOOKUP(F6335,CARTON_LOOKUP!$A:$E,3,0),"")</f>
      </c>
      <c r="H6335" s="28">
        <f>IFERROR(VLOOKUP(F6335,CARTON_LOOKUP!$A:$E,4,0),"")</f>
      </c>
      <c r="I6335" s="28">
        <f>IFERROR(VLOOKUP(F6335,CARTON_LOOKUP!$A:$E,5,0),"")</f>
      </c>
      <c r="J6335" s="29">
        <f>IFERROR(VLOOKUP(F6335,CARTON_LOOKUP!$A:$E,2,0),"")</f>
      </c>
      <c r="K6335" s="29">
        <f>IFERROR(J6335*D6335,0)</f>
      </c>
      <c r="L6335" s="29">
        <f>IFERROR(E6335*C6335,0)</f>
      </c>
      <c r="M6335" s="29">
        <f>IFERROR((G6335*H6335*I6335/1000000)*D6335,0)</f>
      </c>
    </row>
    <row r="6336" spans="1:13" x14ac:dyDescent="0.25">
      <c r="A6336" s="16"/>
      <c r="E6336" s="27"/>
      <c r="F6336" t="s">
        <v>26</v>
      </c>
      <c r="G6336" s="28">
        <f>IFERROR(VLOOKUP(F6336,CARTON_LOOKUP!$A:$E,3,0),"")</f>
      </c>
      <c r="H6336" s="28">
        <f>IFERROR(VLOOKUP(F6336,CARTON_LOOKUP!$A:$E,4,0),"")</f>
      </c>
      <c r="I6336" s="28">
        <f>IFERROR(VLOOKUP(F6336,CARTON_LOOKUP!$A:$E,5,0),"")</f>
      </c>
      <c r="J6336" s="29">
        <f>IFERROR(VLOOKUP(F6336,CARTON_LOOKUP!$A:$E,2,0),"")</f>
      </c>
      <c r="K6336" s="29">
        <f>IFERROR(J6336*D6336,0)</f>
      </c>
      <c r="L6336" s="29">
        <f>IFERROR(E6336*C6336,0)</f>
      </c>
      <c r="M6336" s="29">
        <f>IFERROR((G6336*H6336*I6336/1000000)*D6336,0)</f>
      </c>
    </row>
    <row r="6337" spans="1:13" x14ac:dyDescent="0.25">
      <c r="A6337" s="16"/>
      <c r="E6337" s="27"/>
      <c r="F6337" t="s">
        <v>26</v>
      </c>
      <c r="G6337" s="28">
        <f>IFERROR(VLOOKUP(F6337,CARTON_LOOKUP!$A:$E,3,0),"")</f>
      </c>
      <c r="H6337" s="28">
        <f>IFERROR(VLOOKUP(F6337,CARTON_LOOKUP!$A:$E,4,0),"")</f>
      </c>
      <c r="I6337" s="28">
        <f>IFERROR(VLOOKUP(F6337,CARTON_LOOKUP!$A:$E,5,0),"")</f>
      </c>
      <c r="J6337" s="29">
        <f>IFERROR(VLOOKUP(F6337,CARTON_LOOKUP!$A:$E,2,0),"")</f>
      </c>
      <c r="K6337" s="29">
        <f>IFERROR(J6337*D6337,0)</f>
      </c>
      <c r="L6337" s="29">
        <f>IFERROR(E6337*C6337,0)</f>
      </c>
      <c r="M6337" s="29">
        <f>IFERROR((G6337*H6337*I6337/1000000)*D6337,0)</f>
      </c>
    </row>
    <row r="6338" spans="1:13" x14ac:dyDescent="0.25">
      <c r="A6338" s="16"/>
      <c r="E6338" s="27"/>
      <c r="F6338" t="s">
        <v>26</v>
      </c>
      <c r="G6338" s="28">
        <f>IFERROR(VLOOKUP(F6338,CARTON_LOOKUP!$A:$E,3,0),"")</f>
      </c>
      <c r="H6338" s="28">
        <f>IFERROR(VLOOKUP(F6338,CARTON_LOOKUP!$A:$E,4,0),"")</f>
      </c>
      <c r="I6338" s="28">
        <f>IFERROR(VLOOKUP(F6338,CARTON_LOOKUP!$A:$E,5,0),"")</f>
      </c>
      <c r="J6338" s="29">
        <f>IFERROR(VLOOKUP(F6338,CARTON_LOOKUP!$A:$E,2,0),"")</f>
      </c>
      <c r="K6338" s="29">
        <f>IFERROR(J6338*D6338,0)</f>
      </c>
      <c r="L6338" s="29">
        <f>IFERROR(E6338*C6338,0)</f>
      </c>
      <c r="M6338" s="29">
        <f>IFERROR((G6338*H6338*I6338/1000000)*D6338,0)</f>
      </c>
    </row>
    <row r="6339" spans="1:13" x14ac:dyDescent="0.25">
      <c r="A6339" s="16"/>
      <c r="E6339" s="27"/>
      <c r="F6339" t="s">
        <v>26</v>
      </c>
      <c r="G6339" s="28">
        <f>IFERROR(VLOOKUP(F6339,CARTON_LOOKUP!$A:$E,3,0),"")</f>
      </c>
      <c r="H6339" s="28">
        <f>IFERROR(VLOOKUP(F6339,CARTON_LOOKUP!$A:$E,4,0),"")</f>
      </c>
      <c r="I6339" s="28">
        <f>IFERROR(VLOOKUP(F6339,CARTON_LOOKUP!$A:$E,5,0),"")</f>
      </c>
      <c r="J6339" s="29">
        <f>IFERROR(VLOOKUP(F6339,CARTON_LOOKUP!$A:$E,2,0),"")</f>
      </c>
      <c r="K6339" s="29">
        <f>IFERROR(J6339*D6339,0)</f>
      </c>
      <c r="L6339" s="29">
        <f>IFERROR(E6339*C6339,0)</f>
      </c>
      <c r="M6339" s="29">
        <f>IFERROR((G6339*H6339*I6339/1000000)*D6339,0)</f>
      </c>
    </row>
    <row r="6340" spans="1:13" x14ac:dyDescent="0.25">
      <c r="A6340" s="16"/>
      <c r="E6340" s="27"/>
      <c r="F6340" t="s">
        <v>26</v>
      </c>
      <c r="G6340" s="28">
        <f>IFERROR(VLOOKUP(F6340,CARTON_LOOKUP!$A:$E,3,0),"")</f>
      </c>
      <c r="H6340" s="28">
        <f>IFERROR(VLOOKUP(F6340,CARTON_LOOKUP!$A:$E,4,0),"")</f>
      </c>
      <c r="I6340" s="28">
        <f>IFERROR(VLOOKUP(F6340,CARTON_LOOKUP!$A:$E,5,0),"")</f>
      </c>
      <c r="J6340" s="29">
        <f>IFERROR(VLOOKUP(F6340,CARTON_LOOKUP!$A:$E,2,0),"")</f>
      </c>
      <c r="K6340" s="29">
        <f>IFERROR(J6340*D6340,0)</f>
      </c>
      <c r="L6340" s="29">
        <f>IFERROR(E6340*C6340,0)</f>
      </c>
      <c r="M6340" s="29">
        <f>IFERROR((G6340*H6340*I6340/1000000)*D6340,0)</f>
      </c>
    </row>
    <row r="6341" spans="1:13" x14ac:dyDescent="0.25">
      <c r="A6341" s="16"/>
      <c r="E6341" s="27"/>
      <c r="F6341" t="s">
        <v>26</v>
      </c>
      <c r="G6341" s="28">
        <f>IFERROR(VLOOKUP(F6341,CARTON_LOOKUP!$A:$E,3,0),"")</f>
      </c>
      <c r="H6341" s="28">
        <f>IFERROR(VLOOKUP(F6341,CARTON_LOOKUP!$A:$E,4,0),"")</f>
      </c>
      <c r="I6341" s="28">
        <f>IFERROR(VLOOKUP(F6341,CARTON_LOOKUP!$A:$E,5,0),"")</f>
      </c>
      <c r="J6341" s="29">
        <f>IFERROR(VLOOKUP(F6341,CARTON_LOOKUP!$A:$E,2,0),"")</f>
      </c>
      <c r="K6341" s="29">
        <f>IFERROR(J6341*D6341,0)</f>
      </c>
      <c r="L6341" s="29">
        <f>IFERROR(E6341*C6341,0)</f>
      </c>
      <c r="M6341" s="29">
        <f>IFERROR((G6341*H6341*I6341/1000000)*D6341,0)</f>
      </c>
    </row>
    <row r="6342" spans="1:13" x14ac:dyDescent="0.25">
      <c r="A6342" s="16"/>
      <c r="E6342" s="27"/>
      <c r="F6342" t="s">
        <v>26</v>
      </c>
      <c r="G6342" s="28">
        <f>IFERROR(VLOOKUP(F6342,CARTON_LOOKUP!$A:$E,3,0),"")</f>
      </c>
      <c r="H6342" s="28">
        <f>IFERROR(VLOOKUP(F6342,CARTON_LOOKUP!$A:$E,4,0),"")</f>
      </c>
      <c r="I6342" s="28">
        <f>IFERROR(VLOOKUP(F6342,CARTON_LOOKUP!$A:$E,5,0),"")</f>
      </c>
      <c r="J6342" s="29">
        <f>IFERROR(VLOOKUP(F6342,CARTON_LOOKUP!$A:$E,2,0),"")</f>
      </c>
      <c r="K6342" s="29">
        <f>IFERROR(J6342*D6342,0)</f>
      </c>
      <c r="L6342" s="29">
        <f>IFERROR(E6342*C6342,0)</f>
      </c>
      <c r="M6342" s="29">
        <f>IFERROR((G6342*H6342*I6342/1000000)*D6342,0)</f>
      </c>
    </row>
    <row r="6343" spans="1:13" x14ac:dyDescent="0.25">
      <c r="A6343" s="16"/>
      <c r="E6343" s="27"/>
      <c r="F6343" t="s">
        <v>26</v>
      </c>
      <c r="G6343" s="28">
        <f>IFERROR(VLOOKUP(F6343,CARTON_LOOKUP!$A:$E,3,0),"")</f>
      </c>
      <c r="H6343" s="28">
        <f>IFERROR(VLOOKUP(F6343,CARTON_LOOKUP!$A:$E,4,0),"")</f>
      </c>
      <c r="I6343" s="28">
        <f>IFERROR(VLOOKUP(F6343,CARTON_LOOKUP!$A:$E,5,0),"")</f>
      </c>
      <c r="J6343" s="29">
        <f>IFERROR(VLOOKUP(F6343,CARTON_LOOKUP!$A:$E,2,0),"")</f>
      </c>
      <c r="K6343" s="29">
        <f>IFERROR(J6343*D6343,0)</f>
      </c>
      <c r="L6343" s="29">
        <f>IFERROR(E6343*C6343,0)</f>
      </c>
      <c r="M6343" s="29">
        <f>IFERROR((G6343*H6343*I6343/1000000)*D6343,0)</f>
      </c>
    </row>
    <row r="6344" spans="1:13" x14ac:dyDescent="0.25">
      <c r="A6344" s="16"/>
      <c r="E6344" s="27"/>
      <c r="F6344" t="s">
        <v>26</v>
      </c>
      <c r="G6344" s="28">
        <f>IFERROR(VLOOKUP(F6344,CARTON_LOOKUP!$A:$E,3,0),"")</f>
      </c>
      <c r="H6344" s="28">
        <f>IFERROR(VLOOKUP(F6344,CARTON_LOOKUP!$A:$E,4,0),"")</f>
      </c>
      <c r="I6344" s="28">
        <f>IFERROR(VLOOKUP(F6344,CARTON_LOOKUP!$A:$E,5,0),"")</f>
      </c>
      <c r="J6344" s="29">
        <f>IFERROR(VLOOKUP(F6344,CARTON_LOOKUP!$A:$E,2,0),"")</f>
      </c>
      <c r="K6344" s="29">
        <f>IFERROR(J6344*D6344,0)</f>
      </c>
      <c r="L6344" s="29">
        <f>IFERROR(E6344*C6344,0)</f>
      </c>
      <c r="M6344" s="29">
        <f>IFERROR((G6344*H6344*I6344/1000000)*D6344,0)</f>
      </c>
    </row>
    <row r="6345" spans="1:13" x14ac:dyDescent="0.25">
      <c r="A6345" s="16"/>
      <c r="E6345" s="27"/>
      <c r="F6345" t="s">
        <v>26</v>
      </c>
      <c r="G6345" s="28">
        <f>IFERROR(VLOOKUP(F6345,CARTON_LOOKUP!$A:$E,3,0),"")</f>
      </c>
      <c r="H6345" s="28">
        <f>IFERROR(VLOOKUP(F6345,CARTON_LOOKUP!$A:$E,4,0),"")</f>
      </c>
      <c r="I6345" s="28">
        <f>IFERROR(VLOOKUP(F6345,CARTON_LOOKUP!$A:$E,5,0),"")</f>
      </c>
      <c r="J6345" s="29">
        <f>IFERROR(VLOOKUP(F6345,CARTON_LOOKUP!$A:$E,2,0),"")</f>
      </c>
      <c r="K6345" s="29">
        <f>IFERROR(J6345*D6345,0)</f>
      </c>
      <c r="L6345" s="29">
        <f>IFERROR(E6345*C6345,0)</f>
      </c>
      <c r="M6345" s="29">
        <f>IFERROR((G6345*H6345*I6345/1000000)*D6345,0)</f>
      </c>
    </row>
    <row r="6346" spans="1:13" x14ac:dyDescent="0.25">
      <c r="A6346" s="16"/>
      <c r="E6346" s="27"/>
      <c r="F6346" t="s">
        <v>26</v>
      </c>
      <c r="G6346" s="28">
        <f>IFERROR(VLOOKUP(F6346,CARTON_LOOKUP!$A:$E,3,0),"")</f>
      </c>
      <c r="H6346" s="28">
        <f>IFERROR(VLOOKUP(F6346,CARTON_LOOKUP!$A:$E,4,0),"")</f>
      </c>
      <c r="I6346" s="28">
        <f>IFERROR(VLOOKUP(F6346,CARTON_LOOKUP!$A:$E,5,0),"")</f>
      </c>
      <c r="J6346" s="29">
        <f>IFERROR(VLOOKUP(F6346,CARTON_LOOKUP!$A:$E,2,0),"")</f>
      </c>
      <c r="K6346" s="29">
        <f>IFERROR(J6346*D6346,0)</f>
      </c>
      <c r="L6346" s="29">
        <f>IFERROR(E6346*C6346,0)</f>
      </c>
      <c r="M6346" s="29">
        <f>IFERROR((G6346*H6346*I6346/1000000)*D6346,0)</f>
      </c>
    </row>
    <row r="6347" spans="1:13" x14ac:dyDescent="0.25">
      <c r="A6347" s="16"/>
      <c r="E6347" s="27"/>
      <c r="F6347" t="s">
        <v>26</v>
      </c>
      <c r="G6347" s="28">
        <f>IFERROR(VLOOKUP(F6347,CARTON_LOOKUP!$A:$E,3,0),"")</f>
      </c>
      <c r="H6347" s="28">
        <f>IFERROR(VLOOKUP(F6347,CARTON_LOOKUP!$A:$E,4,0),"")</f>
      </c>
      <c r="I6347" s="28">
        <f>IFERROR(VLOOKUP(F6347,CARTON_LOOKUP!$A:$E,5,0),"")</f>
      </c>
      <c r="J6347" s="29">
        <f>IFERROR(VLOOKUP(F6347,CARTON_LOOKUP!$A:$E,2,0),"")</f>
      </c>
      <c r="K6347" s="29">
        <f>IFERROR(J6347*D6347,0)</f>
      </c>
      <c r="L6347" s="29">
        <f>IFERROR(E6347*C6347,0)</f>
      </c>
      <c r="M6347" s="29">
        <f>IFERROR((G6347*H6347*I6347/1000000)*D6347,0)</f>
      </c>
    </row>
    <row r="6348" spans="1:13" x14ac:dyDescent="0.25">
      <c r="A6348" s="16"/>
      <c r="E6348" s="27"/>
      <c r="F6348" t="s">
        <v>26</v>
      </c>
      <c r="G6348" s="28">
        <f>IFERROR(VLOOKUP(F6348,CARTON_LOOKUP!$A:$E,3,0),"")</f>
      </c>
      <c r="H6348" s="28">
        <f>IFERROR(VLOOKUP(F6348,CARTON_LOOKUP!$A:$E,4,0),"")</f>
      </c>
      <c r="I6348" s="28">
        <f>IFERROR(VLOOKUP(F6348,CARTON_LOOKUP!$A:$E,5,0),"")</f>
      </c>
      <c r="J6348" s="29">
        <f>IFERROR(VLOOKUP(F6348,CARTON_LOOKUP!$A:$E,2,0),"")</f>
      </c>
      <c r="K6348" s="29">
        <f>IFERROR(J6348*D6348,0)</f>
      </c>
      <c r="L6348" s="29">
        <f>IFERROR(E6348*C6348,0)</f>
      </c>
      <c r="M6348" s="29">
        <f>IFERROR((G6348*H6348*I6348/1000000)*D6348,0)</f>
      </c>
    </row>
    <row r="6349" spans="1:13" x14ac:dyDescent="0.25">
      <c r="A6349" s="16"/>
      <c r="E6349" s="27"/>
      <c r="F6349" t="s">
        <v>26</v>
      </c>
      <c r="G6349" s="28">
        <f>IFERROR(VLOOKUP(F6349,CARTON_LOOKUP!$A:$E,3,0),"")</f>
      </c>
      <c r="H6349" s="28">
        <f>IFERROR(VLOOKUP(F6349,CARTON_LOOKUP!$A:$E,4,0),"")</f>
      </c>
      <c r="I6349" s="28">
        <f>IFERROR(VLOOKUP(F6349,CARTON_LOOKUP!$A:$E,5,0),"")</f>
      </c>
      <c r="J6349" s="29">
        <f>IFERROR(VLOOKUP(F6349,CARTON_LOOKUP!$A:$E,2,0),"")</f>
      </c>
      <c r="K6349" s="29">
        <f>IFERROR(J6349*D6349,0)</f>
      </c>
      <c r="L6349" s="29">
        <f>IFERROR(E6349*C6349,0)</f>
      </c>
      <c r="M6349" s="29">
        <f>IFERROR((G6349*H6349*I6349/1000000)*D6349,0)</f>
      </c>
    </row>
    <row r="6350" spans="1:13" x14ac:dyDescent="0.25">
      <c r="A6350" s="16"/>
      <c r="E6350" s="27"/>
      <c r="F6350" t="s">
        <v>26</v>
      </c>
      <c r="G6350" s="28">
        <f>IFERROR(VLOOKUP(F6350,CARTON_LOOKUP!$A:$E,3,0),"")</f>
      </c>
      <c r="H6350" s="28">
        <f>IFERROR(VLOOKUP(F6350,CARTON_LOOKUP!$A:$E,4,0),"")</f>
      </c>
      <c r="I6350" s="28">
        <f>IFERROR(VLOOKUP(F6350,CARTON_LOOKUP!$A:$E,5,0),"")</f>
      </c>
      <c r="J6350" s="29">
        <f>IFERROR(VLOOKUP(F6350,CARTON_LOOKUP!$A:$E,2,0),"")</f>
      </c>
      <c r="K6350" s="29">
        <f>IFERROR(J6350*D6350,0)</f>
      </c>
      <c r="L6350" s="29">
        <f>IFERROR(E6350*C6350,0)</f>
      </c>
      <c r="M6350" s="29">
        <f>IFERROR((G6350*H6350*I6350/1000000)*D6350,0)</f>
      </c>
    </row>
    <row r="6351" spans="1:13" x14ac:dyDescent="0.25">
      <c r="A6351" s="16"/>
      <c r="E6351" s="27"/>
      <c r="F6351" t="s">
        <v>26</v>
      </c>
      <c r="G6351" s="28">
        <f>IFERROR(VLOOKUP(F6351,CARTON_LOOKUP!$A:$E,3,0),"")</f>
      </c>
      <c r="H6351" s="28">
        <f>IFERROR(VLOOKUP(F6351,CARTON_LOOKUP!$A:$E,4,0),"")</f>
      </c>
      <c r="I6351" s="28">
        <f>IFERROR(VLOOKUP(F6351,CARTON_LOOKUP!$A:$E,5,0),"")</f>
      </c>
      <c r="J6351" s="29">
        <f>IFERROR(VLOOKUP(F6351,CARTON_LOOKUP!$A:$E,2,0),"")</f>
      </c>
      <c r="K6351" s="29">
        <f>IFERROR(J6351*D6351,0)</f>
      </c>
      <c r="L6351" s="29">
        <f>IFERROR(E6351*C6351,0)</f>
      </c>
      <c r="M6351" s="29">
        <f>IFERROR((G6351*H6351*I6351/1000000)*D6351,0)</f>
      </c>
    </row>
    <row r="6352" spans="1:13" x14ac:dyDescent="0.25">
      <c r="A6352" s="16"/>
      <c r="E6352" s="27"/>
      <c r="F6352" t="s">
        <v>26</v>
      </c>
      <c r="G6352" s="28">
        <f>IFERROR(VLOOKUP(F6352,CARTON_LOOKUP!$A:$E,3,0),"")</f>
      </c>
      <c r="H6352" s="28">
        <f>IFERROR(VLOOKUP(F6352,CARTON_LOOKUP!$A:$E,4,0),"")</f>
      </c>
      <c r="I6352" s="28">
        <f>IFERROR(VLOOKUP(F6352,CARTON_LOOKUP!$A:$E,5,0),"")</f>
      </c>
      <c r="J6352" s="29">
        <f>IFERROR(VLOOKUP(F6352,CARTON_LOOKUP!$A:$E,2,0),"")</f>
      </c>
      <c r="K6352" s="29">
        <f>IFERROR(J6352*D6352,0)</f>
      </c>
      <c r="L6352" s="29">
        <f>IFERROR(E6352*C6352,0)</f>
      </c>
      <c r="M6352" s="29">
        <f>IFERROR((G6352*H6352*I6352/1000000)*D6352,0)</f>
      </c>
    </row>
    <row r="6353" spans="1:13" x14ac:dyDescent="0.25">
      <c r="A6353" s="16"/>
      <c r="E6353" s="27"/>
      <c r="F6353" t="s">
        <v>26</v>
      </c>
      <c r="G6353" s="28">
        <f>IFERROR(VLOOKUP(F6353,CARTON_LOOKUP!$A:$E,3,0),"")</f>
      </c>
      <c r="H6353" s="28">
        <f>IFERROR(VLOOKUP(F6353,CARTON_LOOKUP!$A:$E,4,0),"")</f>
      </c>
      <c r="I6353" s="28">
        <f>IFERROR(VLOOKUP(F6353,CARTON_LOOKUP!$A:$E,5,0),"")</f>
      </c>
      <c r="J6353" s="29">
        <f>IFERROR(VLOOKUP(F6353,CARTON_LOOKUP!$A:$E,2,0),"")</f>
      </c>
      <c r="K6353" s="29">
        <f>IFERROR(J6353*D6353,0)</f>
      </c>
      <c r="L6353" s="29">
        <f>IFERROR(E6353*C6353,0)</f>
      </c>
      <c r="M6353" s="29">
        <f>IFERROR((G6353*H6353*I6353/1000000)*D6353,0)</f>
      </c>
    </row>
    <row r="6354" spans="1:13" x14ac:dyDescent="0.25">
      <c r="A6354" s="16"/>
      <c r="E6354" s="27"/>
      <c r="F6354" t="s">
        <v>26</v>
      </c>
      <c r="G6354" s="28">
        <f>IFERROR(VLOOKUP(F6354,CARTON_LOOKUP!$A:$E,3,0),"")</f>
      </c>
      <c r="H6354" s="28">
        <f>IFERROR(VLOOKUP(F6354,CARTON_LOOKUP!$A:$E,4,0),"")</f>
      </c>
      <c r="I6354" s="28">
        <f>IFERROR(VLOOKUP(F6354,CARTON_LOOKUP!$A:$E,5,0),"")</f>
      </c>
      <c r="J6354" s="29">
        <f>IFERROR(VLOOKUP(F6354,CARTON_LOOKUP!$A:$E,2,0),"")</f>
      </c>
      <c r="K6354" s="29">
        <f>IFERROR(J6354*D6354,0)</f>
      </c>
      <c r="L6354" s="29">
        <f>IFERROR(E6354*C6354,0)</f>
      </c>
      <c r="M6354" s="29">
        <f>IFERROR((G6354*H6354*I6354/1000000)*D6354,0)</f>
      </c>
    </row>
    <row r="6355" spans="1:13" x14ac:dyDescent="0.25">
      <c r="A6355" s="16"/>
      <c r="E6355" s="27"/>
      <c r="F6355" t="s">
        <v>26</v>
      </c>
      <c r="G6355" s="28">
        <f>IFERROR(VLOOKUP(F6355,CARTON_LOOKUP!$A:$E,3,0),"")</f>
      </c>
      <c r="H6355" s="28">
        <f>IFERROR(VLOOKUP(F6355,CARTON_LOOKUP!$A:$E,4,0),"")</f>
      </c>
      <c r="I6355" s="28">
        <f>IFERROR(VLOOKUP(F6355,CARTON_LOOKUP!$A:$E,5,0),"")</f>
      </c>
      <c r="J6355" s="29">
        <f>IFERROR(VLOOKUP(F6355,CARTON_LOOKUP!$A:$E,2,0),"")</f>
      </c>
      <c r="K6355" s="29">
        <f>IFERROR(J6355*D6355,0)</f>
      </c>
      <c r="L6355" s="29">
        <f>IFERROR(E6355*C6355,0)</f>
      </c>
      <c r="M6355" s="29">
        <f>IFERROR((G6355*H6355*I6355/1000000)*D6355,0)</f>
      </c>
    </row>
    <row r="6356" spans="1:13" x14ac:dyDescent="0.25">
      <c r="A6356" s="16"/>
      <c r="E6356" s="27"/>
      <c r="F6356" t="s">
        <v>26</v>
      </c>
      <c r="G6356" s="28">
        <f>IFERROR(VLOOKUP(F6356,CARTON_LOOKUP!$A:$E,3,0),"")</f>
      </c>
      <c r="H6356" s="28">
        <f>IFERROR(VLOOKUP(F6356,CARTON_LOOKUP!$A:$E,4,0),"")</f>
      </c>
      <c r="I6356" s="28">
        <f>IFERROR(VLOOKUP(F6356,CARTON_LOOKUP!$A:$E,5,0),"")</f>
      </c>
      <c r="J6356" s="29">
        <f>IFERROR(VLOOKUP(F6356,CARTON_LOOKUP!$A:$E,2,0),"")</f>
      </c>
      <c r="K6356" s="29">
        <f>IFERROR(J6356*D6356,0)</f>
      </c>
      <c r="L6356" s="29">
        <f>IFERROR(E6356*C6356,0)</f>
      </c>
      <c r="M6356" s="29">
        <f>IFERROR((G6356*H6356*I6356/1000000)*D6356,0)</f>
      </c>
    </row>
    <row r="6357" spans="1:13" x14ac:dyDescent="0.25">
      <c r="A6357" s="16"/>
      <c r="E6357" s="27"/>
      <c r="F6357" t="s">
        <v>26</v>
      </c>
      <c r="G6357" s="28">
        <f>IFERROR(VLOOKUP(F6357,CARTON_LOOKUP!$A:$E,3,0),"")</f>
      </c>
      <c r="H6357" s="28">
        <f>IFERROR(VLOOKUP(F6357,CARTON_LOOKUP!$A:$E,4,0),"")</f>
      </c>
      <c r="I6357" s="28">
        <f>IFERROR(VLOOKUP(F6357,CARTON_LOOKUP!$A:$E,5,0),"")</f>
      </c>
      <c r="J6357" s="29">
        <f>IFERROR(VLOOKUP(F6357,CARTON_LOOKUP!$A:$E,2,0),"")</f>
      </c>
      <c r="K6357" s="29">
        <f>IFERROR(J6357*D6357,0)</f>
      </c>
      <c r="L6357" s="29">
        <f>IFERROR(E6357*C6357,0)</f>
      </c>
      <c r="M6357" s="29">
        <f>IFERROR((G6357*H6357*I6357/1000000)*D6357,0)</f>
      </c>
    </row>
    <row r="6358" spans="1:13" x14ac:dyDescent="0.25">
      <c r="A6358" s="16"/>
      <c r="E6358" s="27"/>
      <c r="F6358" t="s">
        <v>26</v>
      </c>
      <c r="G6358" s="28">
        <f>IFERROR(VLOOKUP(F6358,CARTON_LOOKUP!$A:$E,3,0),"")</f>
      </c>
      <c r="H6358" s="28">
        <f>IFERROR(VLOOKUP(F6358,CARTON_LOOKUP!$A:$E,4,0),"")</f>
      </c>
      <c r="I6358" s="28">
        <f>IFERROR(VLOOKUP(F6358,CARTON_LOOKUP!$A:$E,5,0),"")</f>
      </c>
      <c r="J6358" s="29">
        <f>IFERROR(VLOOKUP(F6358,CARTON_LOOKUP!$A:$E,2,0),"")</f>
      </c>
      <c r="K6358" s="29">
        <f>IFERROR(J6358*D6358,0)</f>
      </c>
      <c r="L6358" s="29">
        <f>IFERROR(E6358*C6358,0)</f>
      </c>
      <c r="M6358" s="29">
        <f>IFERROR((G6358*H6358*I6358/1000000)*D6358,0)</f>
      </c>
    </row>
    <row r="6359" spans="1:13" x14ac:dyDescent="0.25">
      <c r="A6359" s="16"/>
      <c r="E6359" s="27"/>
      <c r="F6359" t="s">
        <v>26</v>
      </c>
      <c r="G6359" s="28">
        <f>IFERROR(VLOOKUP(F6359,CARTON_LOOKUP!$A:$E,3,0),"")</f>
      </c>
      <c r="H6359" s="28">
        <f>IFERROR(VLOOKUP(F6359,CARTON_LOOKUP!$A:$E,4,0),"")</f>
      </c>
      <c r="I6359" s="28">
        <f>IFERROR(VLOOKUP(F6359,CARTON_LOOKUP!$A:$E,5,0),"")</f>
      </c>
      <c r="J6359" s="29">
        <f>IFERROR(VLOOKUP(F6359,CARTON_LOOKUP!$A:$E,2,0),"")</f>
      </c>
      <c r="K6359" s="29">
        <f>IFERROR(J6359*D6359,0)</f>
      </c>
      <c r="L6359" s="29">
        <f>IFERROR(E6359*C6359,0)</f>
      </c>
      <c r="M6359" s="29">
        <f>IFERROR((G6359*H6359*I6359/1000000)*D6359,0)</f>
      </c>
    </row>
    <row r="6360" spans="1:13" x14ac:dyDescent="0.25">
      <c r="A6360" s="16"/>
      <c r="E6360" s="27"/>
      <c r="F6360" t="s">
        <v>26</v>
      </c>
      <c r="G6360" s="28">
        <f>IFERROR(VLOOKUP(F6360,CARTON_LOOKUP!$A:$E,3,0),"")</f>
      </c>
      <c r="H6360" s="28">
        <f>IFERROR(VLOOKUP(F6360,CARTON_LOOKUP!$A:$E,4,0),"")</f>
      </c>
      <c r="I6360" s="28">
        <f>IFERROR(VLOOKUP(F6360,CARTON_LOOKUP!$A:$E,5,0),"")</f>
      </c>
      <c r="J6360" s="29">
        <f>IFERROR(VLOOKUP(F6360,CARTON_LOOKUP!$A:$E,2,0),"")</f>
      </c>
      <c r="K6360" s="29">
        <f>IFERROR(J6360*D6360,0)</f>
      </c>
      <c r="L6360" s="29">
        <f>IFERROR(E6360*C6360,0)</f>
      </c>
      <c r="M6360" s="29">
        <f>IFERROR((G6360*H6360*I6360/1000000)*D6360,0)</f>
      </c>
    </row>
    <row r="6361" spans="1:13" x14ac:dyDescent="0.25">
      <c r="A6361" s="16"/>
      <c r="E6361" s="27"/>
      <c r="F6361" t="s">
        <v>26</v>
      </c>
      <c r="G6361" s="28">
        <f>IFERROR(VLOOKUP(F6361,CARTON_LOOKUP!$A:$E,3,0),"")</f>
      </c>
      <c r="H6361" s="28">
        <f>IFERROR(VLOOKUP(F6361,CARTON_LOOKUP!$A:$E,4,0),"")</f>
      </c>
      <c r="I6361" s="28">
        <f>IFERROR(VLOOKUP(F6361,CARTON_LOOKUP!$A:$E,5,0),"")</f>
      </c>
      <c r="J6361" s="29">
        <f>IFERROR(VLOOKUP(F6361,CARTON_LOOKUP!$A:$E,2,0),"")</f>
      </c>
      <c r="K6361" s="29">
        <f>IFERROR(J6361*D6361,0)</f>
      </c>
      <c r="L6361" s="29">
        <f>IFERROR(E6361*C6361,0)</f>
      </c>
      <c r="M6361" s="29">
        <f>IFERROR((G6361*H6361*I6361/1000000)*D6361,0)</f>
      </c>
    </row>
    <row r="6362" spans="1:13" x14ac:dyDescent="0.25">
      <c r="A6362" s="16"/>
      <c r="E6362" s="27"/>
      <c r="F6362" t="s">
        <v>26</v>
      </c>
      <c r="G6362" s="28">
        <f>IFERROR(VLOOKUP(F6362,CARTON_LOOKUP!$A:$E,3,0),"")</f>
      </c>
      <c r="H6362" s="28">
        <f>IFERROR(VLOOKUP(F6362,CARTON_LOOKUP!$A:$E,4,0),"")</f>
      </c>
      <c r="I6362" s="28">
        <f>IFERROR(VLOOKUP(F6362,CARTON_LOOKUP!$A:$E,5,0),"")</f>
      </c>
      <c r="J6362" s="29">
        <f>IFERROR(VLOOKUP(F6362,CARTON_LOOKUP!$A:$E,2,0),"")</f>
      </c>
      <c r="K6362" s="29">
        <f>IFERROR(J6362*D6362,0)</f>
      </c>
      <c r="L6362" s="29">
        <f>IFERROR(E6362*C6362,0)</f>
      </c>
      <c r="M6362" s="29">
        <f>IFERROR((G6362*H6362*I6362/1000000)*D6362,0)</f>
      </c>
    </row>
    <row r="6363" spans="1:13" x14ac:dyDescent="0.25">
      <c r="A6363" s="16"/>
      <c r="E6363" s="27"/>
      <c r="F6363" t="s">
        <v>26</v>
      </c>
      <c r="G6363" s="28">
        <f>IFERROR(VLOOKUP(F6363,CARTON_LOOKUP!$A:$E,3,0),"")</f>
      </c>
      <c r="H6363" s="28">
        <f>IFERROR(VLOOKUP(F6363,CARTON_LOOKUP!$A:$E,4,0),"")</f>
      </c>
      <c r="I6363" s="28">
        <f>IFERROR(VLOOKUP(F6363,CARTON_LOOKUP!$A:$E,5,0),"")</f>
      </c>
      <c r="J6363" s="29">
        <f>IFERROR(VLOOKUP(F6363,CARTON_LOOKUP!$A:$E,2,0),"")</f>
      </c>
      <c r="K6363" s="29">
        <f>IFERROR(J6363*D6363,0)</f>
      </c>
      <c r="L6363" s="29">
        <f>IFERROR(E6363*C6363,0)</f>
      </c>
      <c r="M6363" s="29">
        <f>IFERROR((G6363*H6363*I6363/1000000)*D6363,0)</f>
      </c>
    </row>
    <row r="6364" spans="1:13" x14ac:dyDescent="0.25">
      <c r="A6364" s="16"/>
      <c r="E6364" s="27"/>
      <c r="F6364" t="s">
        <v>26</v>
      </c>
      <c r="G6364" s="28">
        <f>IFERROR(VLOOKUP(F6364,CARTON_LOOKUP!$A:$E,3,0),"")</f>
      </c>
      <c r="H6364" s="28">
        <f>IFERROR(VLOOKUP(F6364,CARTON_LOOKUP!$A:$E,4,0),"")</f>
      </c>
      <c r="I6364" s="28">
        <f>IFERROR(VLOOKUP(F6364,CARTON_LOOKUP!$A:$E,5,0),"")</f>
      </c>
      <c r="J6364" s="29">
        <f>IFERROR(VLOOKUP(F6364,CARTON_LOOKUP!$A:$E,2,0),"")</f>
      </c>
      <c r="K6364" s="29">
        <f>IFERROR(J6364*D6364,0)</f>
      </c>
      <c r="L6364" s="29">
        <f>IFERROR(E6364*C6364,0)</f>
      </c>
      <c r="M6364" s="29">
        <f>IFERROR((G6364*H6364*I6364/1000000)*D6364,0)</f>
      </c>
    </row>
    <row r="6365" spans="1:13" x14ac:dyDescent="0.25">
      <c r="A6365" s="16"/>
      <c r="E6365" s="27"/>
      <c r="F6365" t="s">
        <v>26</v>
      </c>
      <c r="G6365" s="28">
        <f>IFERROR(VLOOKUP(F6365,CARTON_LOOKUP!$A:$E,3,0),"")</f>
      </c>
      <c r="H6365" s="28">
        <f>IFERROR(VLOOKUP(F6365,CARTON_LOOKUP!$A:$E,4,0),"")</f>
      </c>
      <c r="I6365" s="28">
        <f>IFERROR(VLOOKUP(F6365,CARTON_LOOKUP!$A:$E,5,0),"")</f>
      </c>
      <c r="J6365" s="29">
        <f>IFERROR(VLOOKUP(F6365,CARTON_LOOKUP!$A:$E,2,0),"")</f>
      </c>
      <c r="K6365" s="29">
        <f>IFERROR(J6365*D6365,0)</f>
      </c>
      <c r="L6365" s="29">
        <f>IFERROR(E6365*C6365,0)</f>
      </c>
      <c r="M6365" s="29">
        <f>IFERROR((G6365*H6365*I6365/1000000)*D6365,0)</f>
      </c>
    </row>
    <row r="6366" spans="1:13" x14ac:dyDescent="0.25">
      <c r="A6366" s="16"/>
      <c r="E6366" s="27"/>
      <c r="F6366" t="s">
        <v>26</v>
      </c>
      <c r="G6366" s="28">
        <f>IFERROR(VLOOKUP(F6366,CARTON_LOOKUP!$A:$E,3,0),"")</f>
      </c>
      <c r="H6366" s="28">
        <f>IFERROR(VLOOKUP(F6366,CARTON_LOOKUP!$A:$E,4,0),"")</f>
      </c>
      <c r="I6366" s="28">
        <f>IFERROR(VLOOKUP(F6366,CARTON_LOOKUP!$A:$E,5,0),"")</f>
      </c>
      <c r="J6366" s="29">
        <f>IFERROR(VLOOKUP(F6366,CARTON_LOOKUP!$A:$E,2,0),"")</f>
      </c>
      <c r="K6366" s="29">
        <f>IFERROR(J6366*D6366,0)</f>
      </c>
      <c r="L6366" s="29">
        <f>IFERROR(E6366*C6366,0)</f>
      </c>
      <c r="M6366" s="29">
        <f>IFERROR((G6366*H6366*I6366/1000000)*D6366,0)</f>
      </c>
    </row>
    <row r="6367" spans="1:13" x14ac:dyDescent="0.25">
      <c r="A6367" s="16"/>
      <c r="E6367" s="27"/>
      <c r="F6367" t="s">
        <v>26</v>
      </c>
      <c r="G6367" s="28">
        <f>IFERROR(VLOOKUP(F6367,CARTON_LOOKUP!$A:$E,3,0),"")</f>
      </c>
      <c r="H6367" s="28">
        <f>IFERROR(VLOOKUP(F6367,CARTON_LOOKUP!$A:$E,4,0),"")</f>
      </c>
      <c r="I6367" s="28">
        <f>IFERROR(VLOOKUP(F6367,CARTON_LOOKUP!$A:$E,5,0),"")</f>
      </c>
      <c r="J6367" s="29">
        <f>IFERROR(VLOOKUP(F6367,CARTON_LOOKUP!$A:$E,2,0),"")</f>
      </c>
      <c r="K6367" s="29">
        <f>IFERROR(J6367*D6367,0)</f>
      </c>
      <c r="L6367" s="29">
        <f>IFERROR(E6367*C6367,0)</f>
      </c>
      <c r="M6367" s="29">
        <f>IFERROR((G6367*H6367*I6367/1000000)*D6367,0)</f>
      </c>
    </row>
    <row r="6368" spans="1:13" x14ac:dyDescent="0.25">
      <c r="A6368" s="16"/>
      <c r="E6368" s="27"/>
      <c r="F6368" t="s">
        <v>26</v>
      </c>
      <c r="G6368" s="28">
        <f>IFERROR(VLOOKUP(F6368,CARTON_LOOKUP!$A:$E,3,0),"")</f>
      </c>
      <c r="H6368" s="28">
        <f>IFERROR(VLOOKUP(F6368,CARTON_LOOKUP!$A:$E,4,0),"")</f>
      </c>
      <c r="I6368" s="28">
        <f>IFERROR(VLOOKUP(F6368,CARTON_LOOKUP!$A:$E,5,0),"")</f>
      </c>
      <c r="J6368" s="29">
        <f>IFERROR(VLOOKUP(F6368,CARTON_LOOKUP!$A:$E,2,0),"")</f>
      </c>
      <c r="K6368" s="29">
        <f>IFERROR(J6368*D6368,0)</f>
      </c>
      <c r="L6368" s="29">
        <f>IFERROR(E6368*C6368,0)</f>
      </c>
      <c r="M6368" s="29">
        <f>IFERROR((G6368*H6368*I6368/1000000)*D6368,0)</f>
      </c>
    </row>
    <row r="6369" spans="1:13" x14ac:dyDescent="0.25">
      <c r="A6369" s="16"/>
      <c r="E6369" s="27"/>
      <c r="F6369" t="s">
        <v>26</v>
      </c>
      <c r="G6369" s="28">
        <f>IFERROR(VLOOKUP(F6369,CARTON_LOOKUP!$A:$E,3,0),"")</f>
      </c>
      <c r="H6369" s="28">
        <f>IFERROR(VLOOKUP(F6369,CARTON_LOOKUP!$A:$E,4,0),"")</f>
      </c>
      <c r="I6369" s="28">
        <f>IFERROR(VLOOKUP(F6369,CARTON_LOOKUP!$A:$E,5,0),"")</f>
      </c>
      <c r="J6369" s="29">
        <f>IFERROR(VLOOKUP(F6369,CARTON_LOOKUP!$A:$E,2,0),"")</f>
      </c>
      <c r="K6369" s="29">
        <f>IFERROR(J6369*D6369,0)</f>
      </c>
      <c r="L6369" s="29">
        <f>IFERROR(E6369*C6369,0)</f>
      </c>
      <c r="M6369" s="29">
        <f>IFERROR((G6369*H6369*I6369/1000000)*D6369,0)</f>
      </c>
    </row>
    <row r="6370" spans="1:13" x14ac:dyDescent="0.25">
      <c r="A6370" s="16"/>
      <c r="E6370" s="27"/>
      <c r="F6370" t="s">
        <v>26</v>
      </c>
      <c r="G6370" s="28">
        <f>IFERROR(VLOOKUP(F6370,CARTON_LOOKUP!$A:$E,3,0),"")</f>
      </c>
      <c r="H6370" s="28">
        <f>IFERROR(VLOOKUP(F6370,CARTON_LOOKUP!$A:$E,4,0),"")</f>
      </c>
      <c r="I6370" s="28">
        <f>IFERROR(VLOOKUP(F6370,CARTON_LOOKUP!$A:$E,5,0),"")</f>
      </c>
      <c r="J6370" s="29">
        <f>IFERROR(VLOOKUP(F6370,CARTON_LOOKUP!$A:$E,2,0),"")</f>
      </c>
      <c r="K6370" s="29">
        <f>IFERROR(J6370*D6370,0)</f>
      </c>
      <c r="L6370" s="29">
        <f>IFERROR(E6370*C6370,0)</f>
      </c>
      <c r="M6370" s="29">
        <f>IFERROR((G6370*H6370*I6370/1000000)*D6370,0)</f>
      </c>
    </row>
    <row r="6371" spans="1:13" x14ac:dyDescent="0.25">
      <c r="A6371" s="16"/>
      <c r="E6371" s="27"/>
      <c r="F6371" t="s">
        <v>26</v>
      </c>
      <c r="G6371" s="28">
        <f>IFERROR(VLOOKUP(F6371,CARTON_LOOKUP!$A:$E,3,0),"")</f>
      </c>
      <c r="H6371" s="28">
        <f>IFERROR(VLOOKUP(F6371,CARTON_LOOKUP!$A:$E,4,0),"")</f>
      </c>
      <c r="I6371" s="28">
        <f>IFERROR(VLOOKUP(F6371,CARTON_LOOKUP!$A:$E,5,0),"")</f>
      </c>
      <c r="J6371" s="29">
        <f>IFERROR(VLOOKUP(F6371,CARTON_LOOKUP!$A:$E,2,0),"")</f>
      </c>
      <c r="K6371" s="29">
        <f>IFERROR(J6371*D6371,0)</f>
      </c>
      <c r="L6371" s="29">
        <f>IFERROR(E6371*C6371,0)</f>
      </c>
      <c r="M6371" s="29">
        <f>IFERROR((G6371*H6371*I6371/1000000)*D6371,0)</f>
      </c>
    </row>
    <row r="6372" spans="1:13" x14ac:dyDescent="0.25">
      <c r="A6372" s="16"/>
      <c r="E6372" s="27"/>
      <c r="F6372" t="s">
        <v>26</v>
      </c>
      <c r="G6372" s="28">
        <f>IFERROR(VLOOKUP(F6372,CARTON_LOOKUP!$A:$E,3,0),"")</f>
      </c>
      <c r="H6372" s="28">
        <f>IFERROR(VLOOKUP(F6372,CARTON_LOOKUP!$A:$E,4,0),"")</f>
      </c>
      <c r="I6372" s="28">
        <f>IFERROR(VLOOKUP(F6372,CARTON_LOOKUP!$A:$E,5,0),"")</f>
      </c>
      <c r="J6372" s="29">
        <f>IFERROR(VLOOKUP(F6372,CARTON_LOOKUP!$A:$E,2,0),"")</f>
      </c>
      <c r="K6372" s="29">
        <f>IFERROR(J6372*D6372,0)</f>
      </c>
      <c r="L6372" s="29">
        <f>IFERROR(E6372*C6372,0)</f>
      </c>
      <c r="M6372" s="29">
        <f>IFERROR((G6372*H6372*I6372/1000000)*D6372,0)</f>
      </c>
    </row>
    <row r="6373" spans="1:13" x14ac:dyDescent="0.25">
      <c r="A6373" s="16"/>
      <c r="E6373" s="27"/>
      <c r="F6373" t="s">
        <v>26</v>
      </c>
      <c r="G6373" s="28">
        <f>IFERROR(VLOOKUP(F6373,CARTON_LOOKUP!$A:$E,3,0),"")</f>
      </c>
      <c r="H6373" s="28">
        <f>IFERROR(VLOOKUP(F6373,CARTON_LOOKUP!$A:$E,4,0),"")</f>
      </c>
      <c r="I6373" s="28">
        <f>IFERROR(VLOOKUP(F6373,CARTON_LOOKUP!$A:$E,5,0),"")</f>
      </c>
      <c r="J6373" s="29">
        <f>IFERROR(VLOOKUP(F6373,CARTON_LOOKUP!$A:$E,2,0),"")</f>
      </c>
      <c r="K6373" s="29">
        <f>IFERROR(J6373*D6373,0)</f>
      </c>
      <c r="L6373" s="29">
        <f>IFERROR(E6373*C6373,0)</f>
      </c>
      <c r="M6373" s="29">
        <f>IFERROR((G6373*H6373*I6373/1000000)*D6373,0)</f>
      </c>
    </row>
    <row r="6374" spans="1:13" x14ac:dyDescent="0.25">
      <c r="A6374" s="16"/>
      <c r="E6374" s="27"/>
      <c r="F6374" t="s">
        <v>26</v>
      </c>
      <c r="G6374" s="28">
        <f>IFERROR(VLOOKUP(F6374,CARTON_LOOKUP!$A:$E,3,0),"")</f>
      </c>
      <c r="H6374" s="28">
        <f>IFERROR(VLOOKUP(F6374,CARTON_LOOKUP!$A:$E,4,0),"")</f>
      </c>
      <c r="I6374" s="28">
        <f>IFERROR(VLOOKUP(F6374,CARTON_LOOKUP!$A:$E,5,0),"")</f>
      </c>
      <c r="J6374" s="29">
        <f>IFERROR(VLOOKUP(F6374,CARTON_LOOKUP!$A:$E,2,0),"")</f>
      </c>
      <c r="K6374" s="29">
        <f>IFERROR(J6374*D6374,0)</f>
      </c>
      <c r="L6374" s="29">
        <f>IFERROR(E6374*C6374,0)</f>
      </c>
      <c r="M6374" s="29">
        <f>IFERROR((G6374*H6374*I6374/1000000)*D6374,0)</f>
      </c>
    </row>
    <row r="6375" spans="1:13" x14ac:dyDescent="0.25">
      <c r="A6375" s="16"/>
      <c r="E6375" s="27"/>
      <c r="F6375" t="s">
        <v>26</v>
      </c>
      <c r="G6375" s="28">
        <f>IFERROR(VLOOKUP(F6375,CARTON_LOOKUP!$A:$E,3,0),"")</f>
      </c>
      <c r="H6375" s="28">
        <f>IFERROR(VLOOKUP(F6375,CARTON_LOOKUP!$A:$E,4,0),"")</f>
      </c>
      <c r="I6375" s="28">
        <f>IFERROR(VLOOKUP(F6375,CARTON_LOOKUP!$A:$E,5,0),"")</f>
      </c>
      <c r="J6375" s="29">
        <f>IFERROR(VLOOKUP(F6375,CARTON_LOOKUP!$A:$E,2,0),"")</f>
      </c>
      <c r="K6375" s="29">
        <f>IFERROR(J6375*D6375,0)</f>
      </c>
      <c r="L6375" s="29">
        <f>IFERROR(E6375*C6375,0)</f>
      </c>
      <c r="M6375" s="29">
        <f>IFERROR((G6375*H6375*I6375/1000000)*D6375,0)</f>
      </c>
    </row>
    <row r="6376" spans="1:13" x14ac:dyDescent="0.25">
      <c r="A6376" s="16"/>
      <c r="E6376" s="27"/>
      <c r="F6376" t="s">
        <v>26</v>
      </c>
      <c r="G6376" s="28">
        <f>IFERROR(VLOOKUP(F6376,CARTON_LOOKUP!$A:$E,3,0),"")</f>
      </c>
      <c r="H6376" s="28">
        <f>IFERROR(VLOOKUP(F6376,CARTON_LOOKUP!$A:$E,4,0),"")</f>
      </c>
      <c r="I6376" s="28">
        <f>IFERROR(VLOOKUP(F6376,CARTON_LOOKUP!$A:$E,5,0),"")</f>
      </c>
      <c r="J6376" s="29">
        <f>IFERROR(VLOOKUP(F6376,CARTON_LOOKUP!$A:$E,2,0),"")</f>
      </c>
      <c r="K6376" s="29">
        <f>IFERROR(J6376*D6376,0)</f>
      </c>
      <c r="L6376" s="29">
        <f>IFERROR(E6376*C6376,0)</f>
      </c>
      <c r="M6376" s="29">
        <f>IFERROR((G6376*H6376*I6376/1000000)*D6376,0)</f>
      </c>
    </row>
    <row r="6377" spans="1:13" x14ac:dyDescent="0.25">
      <c r="A6377" s="16"/>
      <c r="E6377" s="27"/>
      <c r="F6377" t="s">
        <v>26</v>
      </c>
      <c r="G6377" s="28">
        <f>IFERROR(VLOOKUP(F6377,CARTON_LOOKUP!$A:$E,3,0),"")</f>
      </c>
      <c r="H6377" s="28">
        <f>IFERROR(VLOOKUP(F6377,CARTON_LOOKUP!$A:$E,4,0),"")</f>
      </c>
      <c r="I6377" s="28">
        <f>IFERROR(VLOOKUP(F6377,CARTON_LOOKUP!$A:$E,5,0),"")</f>
      </c>
      <c r="J6377" s="29">
        <f>IFERROR(VLOOKUP(F6377,CARTON_LOOKUP!$A:$E,2,0),"")</f>
      </c>
      <c r="K6377" s="29">
        <f>IFERROR(J6377*D6377,0)</f>
      </c>
      <c r="L6377" s="29">
        <f>IFERROR(E6377*C6377,0)</f>
      </c>
      <c r="M6377" s="29">
        <f>IFERROR((G6377*H6377*I6377/1000000)*D6377,0)</f>
      </c>
    </row>
    <row r="6378" spans="1:13" x14ac:dyDescent="0.25">
      <c r="A6378" s="16"/>
      <c r="E6378" s="27"/>
      <c r="F6378" t="s">
        <v>26</v>
      </c>
      <c r="G6378" s="28">
        <f>IFERROR(VLOOKUP(F6378,CARTON_LOOKUP!$A:$E,3,0),"")</f>
      </c>
      <c r="H6378" s="28">
        <f>IFERROR(VLOOKUP(F6378,CARTON_LOOKUP!$A:$E,4,0),"")</f>
      </c>
      <c r="I6378" s="28">
        <f>IFERROR(VLOOKUP(F6378,CARTON_LOOKUP!$A:$E,5,0),"")</f>
      </c>
      <c r="J6378" s="29">
        <f>IFERROR(VLOOKUP(F6378,CARTON_LOOKUP!$A:$E,2,0),"")</f>
      </c>
      <c r="K6378" s="29">
        <f>IFERROR(J6378*D6378,0)</f>
      </c>
      <c r="L6378" s="29">
        <f>IFERROR(E6378*C6378,0)</f>
      </c>
      <c r="M6378" s="29">
        <f>IFERROR((G6378*H6378*I6378/1000000)*D6378,0)</f>
      </c>
    </row>
    <row r="6379" spans="1:13" x14ac:dyDescent="0.25">
      <c r="A6379" s="16"/>
      <c r="E6379" s="27"/>
      <c r="F6379" t="s">
        <v>26</v>
      </c>
      <c r="G6379" s="28">
        <f>IFERROR(VLOOKUP(F6379,CARTON_LOOKUP!$A:$E,3,0),"")</f>
      </c>
      <c r="H6379" s="28">
        <f>IFERROR(VLOOKUP(F6379,CARTON_LOOKUP!$A:$E,4,0),"")</f>
      </c>
      <c r="I6379" s="28">
        <f>IFERROR(VLOOKUP(F6379,CARTON_LOOKUP!$A:$E,5,0),"")</f>
      </c>
      <c r="J6379" s="29">
        <f>IFERROR(VLOOKUP(F6379,CARTON_LOOKUP!$A:$E,2,0),"")</f>
      </c>
      <c r="K6379" s="29">
        <f>IFERROR(J6379*D6379,0)</f>
      </c>
      <c r="L6379" s="29">
        <f>IFERROR(E6379*C6379,0)</f>
      </c>
      <c r="M6379" s="29">
        <f>IFERROR((G6379*H6379*I6379/1000000)*D6379,0)</f>
      </c>
    </row>
    <row r="6380" spans="1:13" x14ac:dyDescent="0.25">
      <c r="A6380" s="16"/>
      <c r="E6380" s="27"/>
      <c r="F6380" t="s">
        <v>26</v>
      </c>
      <c r="G6380" s="28">
        <f>IFERROR(VLOOKUP(F6380,CARTON_LOOKUP!$A:$E,3,0),"")</f>
      </c>
      <c r="H6380" s="28">
        <f>IFERROR(VLOOKUP(F6380,CARTON_LOOKUP!$A:$E,4,0),"")</f>
      </c>
      <c r="I6380" s="28">
        <f>IFERROR(VLOOKUP(F6380,CARTON_LOOKUP!$A:$E,5,0),"")</f>
      </c>
      <c r="J6380" s="29">
        <f>IFERROR(VLOOKUP(F6380,CARTON_LOOKUP!$A:$E,2,0),"")</f>
      </c>
      <c r="K6380" s="29">
        <f>IFERROR(J6380*D6380,0)</f>
      </c>
      <c r="L6380" s="29">
        <f>IFERROR(E6380*C6380,0)</f>
      </c>
      <c r="M6380" s="29">
        <f>IFERROR((G6380*H6380*I6380/1000000)*D6380,0)</f>
      </c>
    </row>
    <row r="6381" spans="1:13" x14ac:dyDescent="0.25">
      <c r="A6381" s="16"/>
      <c r="E6381" s="27"/>
      <c r="F6381" t="s">
        <v>26</v>
      </c>
      <c r="G6381" s="28">
        <f>IFERROR(VLOOKUP(F6381,CARTON_LOOKUP!$A:$E,3,0),"")</f>
      </c>
      <c r="H6381" s="28">
        <f>IFERROR(VLOOKUP(F6381,CARTON_LOOKUP!$A:$E,4,0),"")</f>
      </c>
      <c r="I6381" s="28">
        <f>IFERROR(VLOOKUP(F6381,CARTON_LOOKUP!$A:$E,5,0),"")</f>
      </c>
      <c r="J6381" s="29">
        <f>IFERROR(VLOOKUP(F6381,CARTON_LOOKUP!$A:$E,2,0),"")</f>
      </c>
      <c r="K6381" s="29">
        <f>IFERROR(J6381*D6381,0)</f>
      </c>
      <c r="L6381" s="29">
        <f>IFERROR(E6381*C6381,0)</f>
      </c>
      <c r="M6381" s="29">
        <f>IFERROR((G6381*H6381*I6381/1000000)*D6381,0)</f>
      </c>
    </row>
    <row r="6382" spans="1:13" x14ac:dyDescent="0.25">
      <c r="A6382" s="16"/>
      <c r="E6382" s="27"/>
      <c r="F6382" t="s">
        <v>26</v>
      </c>
      <c r="G6382" s="28">
        <f>IFERROR(VLOOKUP(F6382,CARTON_LOOKUP!$A:$E,3,0),"")</f>
      </c>
      <c r="H6382" s="28">
        <f>IFERROR(VLOOKUP(F6382,CARTON_LOOKUP!$A:$E,4,0),"")</f>
      </c>
      <c r="I6382" s="28">
        <f>IFERROR(VLOOKUP(F6382,CARTON_LOOKUP!$A:$E,5,0),"")</f>
      </c>
      <c r="J6382" s="29">
        <f>IFERROR(VLOOKUP(F6382,CARTON_LOOKUP!$A:$E,2,0),"")</f>
      </c>
      <c r="K6382" s="29">
        <f>IFERROR(J6382*D6382,0)</f>
      </c>
      <c r="L6382" s="29">
        <f>IFERROR(E6382*C6382,0)</f>
      </c>
      <c r="M6382" s="29">
        <f>IFERROR((G6382*H6382*I6382/1000000)*D6382,0)</f>
      </c>
    </row>
    <row r="6383" spans="1:13" x14ac:dyDescent="0.25">
      <c r="A6383" s="16"/>
      <c r="E6383" s="27"/>
      <c r="F6383" t="s">
        <v>26</v>
      </c>
      <c r="G6383" s="28">
        <f>IFERROR(VLOOKUP(F6383,CARTON_LOOKUP!$A:$E,3,0),"")</f>
      </c>
      <c r="H6383" s="28">
        <f>IFERROR(VLOOKUP(F6383,CARTON_LOOKUP!$A:$E,4,0),"")</f>
      </c>
      <c r="I6383" s="28">
        <f>IFERROR(VLOOKUP(F6383,CARTON_LOOKUP!$A:$E,5,0),"")</f>
      </c>
      <c r="J6383" s="29">
        <f>IFERROR(VLOOKUP(F6383,CARTON_LOOKUP!$A:$E,2,0),"")</f>
      </c>
      <c r="K6383" s="29">
        <f>IFERROR(J6383*D6383,0)</f>
      </c>
      <c r="L6383" s="29">
        <f>IFERROR(E6383*C6383,0)</f>
      </c>
      <c r="M6383" s="29">
        <f>IFERROR((G6383*H6383*I6383/1000000)*D6383,0)</f>
      </c>
    </row>
    <row r="6384" spans="1:13" x14ac:dyDescent="0.25">
      <c r="A6384" s="16"/>
      <c r="E6384" s="27"/>
      <c r="F6384" t="s">
        <v>26</v>
      </c>
      <c r="G6384" s="28">
        <f>IFERROR(VLOOKUP(F6384,CARTON_LOOKUP!$A:$E,3,0),"")</f>
      </c>
      <c r="H6384" s="28">
        <f>IFERROR(VLOOKUP(F6384,CARTON_LOOKUP!$A:$E,4,0),"")</f>
      </c>
      <c r="I6384" s="28">
        <f>IFERROR(VLOOKUP(F6384,CARTON_LOOKUP!$A:$E,5,0),"")</f>
      </c>
      <c r="J6384" s="29">
        <f>IFERROR(VLOOKUP(F6384,CARTON_LOOKUP!$A:$E,2,0),"")</f>
      </c>
      <c r="K6384" s="29">
        <f>IFERROR(J6384*D6384,0)</f>
      </c>
      <c r="L6384" s="29">
        <f>IFERROR(E6384*C6384,0)</f>
      </c>
      <c r="M6384" s="29">
        <f>IFERROR((G6384*H6384*I6384/1000000)*D6384,0)</f>
      </c>
    </row>
    <row r="6385" spans="1:13" x14ac:dyDescent="0.25">
      <c r="A6385" s="16"/>
      <c r="E6385" s="27"/>
      <c r="F6385" t="s">
        <v>26</v>
      </c>
      <c r="G6385" s="28">
        <f>IFERROR(VLOOKUP(F6385,CARTON_LOOKUP!$A:$E,3,0),"")</f>
      </c>
      <c r="H6385" s="28">
        <f>IFERROR(VLOOKUP(F6385,CARTON_LOOKUP!$A:$E,4,0),"")</f>
      </c>
      <c r="I6385" s="28">
        <f>IFERROR(VLOOKUP(F6385,CARTON_LOOKUP!$A:$E,5,0),"")</f>
      </c>
      <c r="J6385" s="29">
        <f>IFERROR(VLOOKUP(F6385,CARTON_LOOKUP!$A:$E,2,0),"")</f>
      </c>
      <c r="K6385" s="29">
        <f>IFERROR(J6385*D6385,0)</f>
      </c>
      <c r="L6385" s="29">
        <f>IFERROR(E6385*C6385,0)</f>
      </c>
      <c r="M6385" s="29">
        <f>IFERROR((G6385*H6385*I6385/1000000)*D6385,0)</f>
      </c>
    </row>
    <row r="6386" spans="1:13" x14ac:dyDescent="0.25">
      <c r="A6386" s="16"/>
      <c r="E6386" s="27"/>
      <c r="F6386" t="s">
        <v>26</v>
      </c>
      <c r="G6386" s="28">
        <f>IFERROR(VLOOKUP(F6386,CARTON_LOOKUP!$A:$E,3,0),"")</f>
      </c>
      <c r="H6386" s="28">
        <f>IFERROR(VLOOKUP(F6386,CARTON_LOOKUP!$A:$E,4,0),"")</f>
      </c>
      <c r="I6386" s="28">
        <f>IFERROR(VLOOKUP(F6386,CARTON_LOOKUP!$A:$E,5,0),"")</f>
      </c>
      <c r="J6386" s="29">
        <f>IFERROR(VLOOKUP(F6386,CARTON_LOOKUP!$A:$E,2,0),"")</f>
      </c>
      <c r="K6386" s="29">
        <f>IFERROR(J6386*D6386,0)</f>
      </c>
      <c r="L6386" s="29">
        <f>IFERROR(E6386*C6386,0)</f>
      </c>
      <c r="M6386" s="29">
        <f>IFERROR((G6386*H6386*I6386/1000000)*D6386,0)</f>
      </c>
    </row>
    <row r="6387" spans="1:13" x14ac:dyDescent="0.25">
      <c r="A6387" s="16"/>
      <c r="E6387" s="27"/>
      <c r="F6387" t="s">
        <v>26</v>
      </c>
      <c r="G6387" s="28">
        <f>IFERROR(VLOOKUP(F6387,CARTON_LOOKUP!$A:$E,3,0),"")</f>
      </c>
      <c r="H6387" s="28">
        <f>IFERROR(VLOOKUP(F6387,CARTON_LOOKUP!$A:$E,4,0),"")</f>
      </c>
      <c r="I6387" s="28">
        <f>IFERROR(VLOOKUP(F6387,CARTON_LOOKUP!$A:$E,5,0),"")</f>
      </c>
      <c r="J6387" s="29">
        <f>IFERROR(VLOOKUP(F6387,CARTON_LOOKUP!$A:$E,2,0),"")</f>
      </c>
      <c r="K6387" s="29">
        <f>IFERROR(J6387*D6387,0)</f>
      </c>
      <c r="L6387" s="29">
        <f>IFERROR(E6387*C6387,0)</f>
      </c>
      <c r="M6387" s="29">
        <f>IFERROR((G6387*H6387*I6387/1000000)*D6387,0)</f>
      </c>
    </row>
    <row r="6388" spans="1:13" x14ac:dyDescent="0.25">
      <c r="A6388" s="16"/>
      <c r="E6388" s="27"/>
      <c r="F6388" t="s">
        <v>26</v>
      </c>
      <c r="G6388" s="28">
        <f>IFERROR(VLOOKUP(F6388,CARTON_LOOKUP!$A:$E,3,0),"")</f>
      </c>
      <c r="H6388" s="28">
        <f>IFERROR(VLOOKUP(F6388,CARTON_LOOKUP!$A:$E,4,0),"")</f>
      </c>
      <c r="I6388" s="28">
        <f>IFERROR(VLOOKUP(F6388,CARTON_LOOKUP!$A:$E,5,0),"")</f>
      </c>
      <c r="J6388" s="29">
        <f>IFERROR(VLOOKUP(F6388,CARTON_LOOKUP!$A:$E,2,0),"")</f>
      </c>
      <c r="K6388" s="29">
        <f>IFERROR(J6388*D6388,0)</f>
      </c>
      <c r="L6388" s="29">
        <f>IFERROR(E6388*C6388,0)</f>
      </c>
      <c r="M6388" s="29">
        <f>IFERROR((G6388*H6388*I6388/1000000)*D6388,0)</f>
      </c>
    </row>
    <row r="6389" spans="1:13" x14ac:dyDescent="0.25">
      <c r="A6389" s="16"/>
      <c r="E6389" s="27"/>
      <c r="F6389" t="s">
        <v>26</v>
      </c>
      <c r="G6389" s="28">
        <f>IFERROR(VLOOKUP(F6389,CARTON_LOOKUP!$A:$E,3,0),"")</f>
      </c>
      <c r="H6389" s="28">
        <f>IFERROR(VLOOKUP(F6389,CARTON_LOOKUP!$A:$E,4,0),"")</f>
      </c>
      <c r="I6389" s="28">
        <f>IFERROR(VLOOKUP(F6389,CARTON_LOOKUP!$A:$E,5,0),"")</f>
      </c>
      <c r="J6389" s="29">
        <f>IFERROR(VLOOKUP(F6389,CARTON_LOOKUP!$A:$E,2,0),"")</f>
      </c>
      <c r="K6389" s="29">
        <f>IFERROR(J6389*D6389,0)</f>
      </c>
      <c r="L6389" s="29">
        <f>IFERROR(E6389*C6389,0)</f>
      </c>
      <c r="M6389" s="29">
        <f>IFERROR((G6389*H6389*I6389/1000000)*D6389,0)</f>
      </c>
    </row>
    <row r="6390" spans="1:13" x14ac:dyDescent="0.25">
      <c r="A6390" s="16"/>
      <c r="E6390" s="27"/>
      <c r="F6390" t="s">
        <v>26</v>
      </c>
      <c r="G6390" s="28">
        <f>IFERROR(VLOOKUP(F6390,CARTON_LOOKUP!$A:$E,3,0),"")</f>
      </c>
      <c r="H6390" s="28">
        <f>IFERROR(VLOOKUP(F6390,CARTON_LOOKUP!$A:$E,4,0),"")</f>
      </c>
      <c r="I6390" s="28">
        <f>IFERROR(VLOOKUP(F6390,CARTON_LOOKUP!$A:$E,5,0),"")</f>
      </c>
      <c r="J6390" s="29">
        <f>IFERROR(VLOOKUP(F6390,CARTON_LOOKUP!$A:$E,2,0),"")</f>
      </c>
      <c r="K6390" s="29">
        <f>IFERROR(J6390*D6390,0)</f>
      </c>
      <c r="L6390" s="29">
        <f>IFERROR(E6390*C6390,0)</f>
      </c>
      <c r="M6390" s="29">
        <f>IFERROR((G6390*H6390*I6390/1000000)*D6390,0)</f>
      </c>
    </row>
    <row r="6391" spans="1:13" x14ac:dyDescent="0.25">
      <c r="A6391" s="16"/>
      <c r="E6391" s="27"/>
      <c r="F6391" t="s">
        <v>26</v>
      </c>
      <c r="G6391" s="28">
        <f>IFERROR(VLOOKUP(F6391,CARTON_LOOKUP!$A:$E,3,0),"")</f>
      </c>
      <c r="H6391" s="28">
        <f>IFERROR(VLOOKUP(F6391,CARTON_LOOKUP!$A:$E,4,0),"")</f>
      </c>
      <c r="I6391" s="28">
        <f>IFERROR(VLOOKUP(F6391,CARTON_LOOKUP!$A:$E,5,0),"")</f>
      </c>
      <c r="J6391" s="29">
        <f>IFERROR(VLOOKUP(F6391,CARTON_LOOKUP!$A:$E,2,0),"")</f>
      </c>
      <c r="K6391" s="29">
        <f>IFERROR(J6391*D6391,0)</f>
      </c>
      <c r="L6391" s="29">
        <f>IFERROR(E6391*C6391,0)</f>
      </c>
      <c r="M6391" s="29">
        <f>IFERROR((G6391*H6391*I6391/1000000)*D6391,0)</f>
      </c>
    </row>
    <row r="6392" spans="1:13" x14ac:dyDescent="0.25">
      <c r="A6392" s="16"/>
      <c r="E6392" s="27"/>
      <c r="F6392" t="s">
        <v>26</v>
      </c>
      <c r="G6392" s="28">
        <f>IFERROR(VLOOKUP(F6392,CARTON_LOOKUP!$A:$E,3,0),"")</f>
      </c>
      <c r="H6392" s="28">
        <f>IFERROR(VLOOKUP(F6392,CARTON_LOOKUP!$A:$E,4,0),"")</f>
      </c>
      <c r="I6392" s="28">
        <f>IFERROR(VLOOKUP(F6392,CARTON_LOOKUP!$A:$E,5,0),"")</f>
      </c>
      <c r="J6392" s="29">
        <f>IFERROR(VLOOKUP(F6392,CARTON_LOOKUP!$A:$E,2,0),"")</f>
      </c>
      <c r="K6392" s="29">
        <f>IFERROR(J6392*D6392,0)</f>
      </c>
      <c r="L6392" s="29">
        <f>IFERROR(E6392*C6392,0)</f>
      </c>
      <c r="M6392" s="29">
        <f>IFERROR((G6392*H6392*I6392/1000000)*D6392,0)</f>
      </c>
    </row>
    <row r="6393" spans="1:13" x14ac:dyDescent="0.25">
      <c r="A6393" s="16"/>
      <c r="E6393" s="27"/>
      <c r="F6393" t="s">
        <v>26</v>
      </c>
      <c r="G6393" s="28">
        <f>IFERROR(VLOOKUP(F6393,CARTON_LOOKUP!$A:$E,3,0),"")</f>
      </c>
      <c r="H6393" s="28">
        <f>IFERROR(VLOOKUP(F6393,CARTON_LOOKUP!$A:$E,4,0),"")</f>
      </c>
      <c r="I6393" s="28">
        <f>IFERROR(VLOOKUP(F6393,CARTON_LOOKUP!$A:$E,5,0),"")</f>
      </c>
      <c r="J6393" s="29">
        <f>IFERROR(VLOOKUP(F6393,CARTON_LOOKUP!$A:$E,2,0),"")</f>
      </c>
      <c r="K6393" s="29">
        <f>IFERROR(J6393*D6393,0)</f>
      </c>
      <c r="L6393" s="29">
        <f>IFERROR(E6393*C6393,0)</f>
      </c>
      <c r="M6393" s="29">
        <f>IFERROR((G6393*H6393*I6393/1000000)*D6393,0)</f>
      </c>
    </row>
    <row r="6394" spans="1:13" x14ac:dyDescent="0.25">
      <c r="A6394" s="16"/>
      <c r="E6394" s="27"/>
      <c r="F6394" t="s">
        <v>26</v>
      </c>
      <c r="G6394" s="28">
        <f>IFERROR(VLOOKUP(F6394,CARTON_LOOKUP!$A:$E,3,0),"")</f>
      </c>
      <c r="H6394" s="28">
        <f>IFERROR(VLOOKUP(F6394,CARTON_LOOKUP!$A:$E,4,0),"")</f>
      </c>
      <c r="I6394" s="28">
        <f>IFERROR(VLOOKUP(F6394,CARTON_LOOKUP!$A:$E,5,0),"")</f>
      </c>
      <c r="J6394" s="29">
        <f>IFERROR(VLOOKUP(F6394,CARTON_LOOKUP!$A:$E,2,0),"")</f>
      </c>
      <c r="K6394" s="29">
        <f>IFERROR(J6394*D6394,0)</f>
      </c>
      <c r="L6394" s="29">
        <f>IFERROR(E6394*C6394,0)</f>
      </c>
      <c r="M6394" s="29">
        <f>IFERROR((G6394*H6394*I6394/1000000)*D6394,0)</f>
      </c>
    </row>
    <row r="6395" spans="1:13" x14ac:dyDescent="0.25">
      <c r="A6395" s="16"/>
      <c r="E6395" s="27"/>
      <c r="F6395" t="s">
        <v>26</v>
      </c>
      <c r="G6395" s="28">
        <f>IFERROR(VLOOKUP(F6395,CARTON_LOOKUP!$A:$E,3,0),"")</f>
      </c>
      <c r="H6395" s="28">
        <f>IFERROR(VLOOKUP(F6395,CARTON_LOOKUP!$A:$E,4,0),"")</f>
      </c>
      <c r="I6395" s="28">
        <f>IFERROR(VLOOKUP(F6395,CARTON_LOOKUP!$A:$E,5,0),"")</f>
      </c>
      <c r="J6395" s="29">
        <f>IFERROR(VLOOKUP(F6395,CARTON_LOOKUP!$A:$E,2,0),"")</f>
      </c>
      <c r="K6395" s="29">
        <f>IFERROR(J6395*D6395,0)</f>
      </c>
      <c r="L6395" s="29">
        <f>IFERROR(E6395*C6395,0)</f>
      </c>
      <c r="M6395" s="29">
        <f>IFERROR((G6395*H6395*I6395/1000000)*D6395,0)</f>
      </c>
    </row>
    <row r="6396" spans="1:13" x14ac:dyDescent="0.25">
      <c r="A6396" s="16"/>
      <c r="E6396" s="27"/>
      <c r="F6396" t="s">
        <v>26</v>
      </c>
      <c r="G6396" s="28">
        <f>IFERROR(VLOOKUP(F6396,CARTON_LOOKUP!$A:$E,3,0),"")</f>
      </c>
      <c r="H6396" s="28">
        <f>IFERROR(VLOOKUP(F6396,CARTON_LOOKUP!$A:$E,4,0),"")</f>
      </c>
      <c r="I6396" s="28">
        <f>IFERROR(VLOOKUP(F6396,CARTON_LOOKUP!$A:$E,5,0),"")</f>
      </c>
      <c r="J6396" s="29">
        <f>IFERROR(VLOOKUP(F6396,CARTON_LOOKUP!$A:$E,2,0),"")</f>
      </c>
      <c r="K6396" s="29">
        <f>IFERROR(J6396*D6396,0)</f>
      </c>
      <c r="L6396" s="29">
        <f>IFERROR(E6396*C6396,0)</f>
      </c>
      <c r="M6396" s="29">
        <f>IFERROR((G6396*H6396*I6396/1000000)*D6396,0)</f>
      </c>
    </row>
    <row r="6397" spans="1:13" x14ac:dyDescent="0.25">
      <c r="A6397" s="16"/>
      <c r="E6397" s="27"/>
      <c r="F6397" t="s">
        <v>26</v>
      </c>
      <c r="G6397" s="28">
        <f>IFERROR(VLOOKUP(F6397,CARTON_LOOKUP!$A:$E,3,0),"")</f>
      </c>
      <c r="H6397" s="28">
        <f>IFERROR(VLOOKUP(F6397,CARTON_LOOKUP!$A:$E,4,0),"")</f>
      </c>
      <c r="I6397" s="28">
        <f>IFERROR(VLOOKUP(F6397,CARTON_LOOKUP!$A:$E,5,0),"")</f>
      </c>
      <c r="J6397" s="29">
        <f>IFERROR(VLOOKUP(F6397,CARTON_LOOKUP!$A:$E,2,0),"")</f>
      </c>
      <c r="K6397" s="29">
        <f>IFERROR(J6397*D6397,0)</f>
      </c>
      <c r="L6397" s="29">
        <f>IFERROR(E6397*C6397,0)</f>
      </c>
      <c r="M6397" s="29">
        <f>IFERROR((G6397*H6397*I6397/1000000)*D6397,0)</f>
      </c>
    </row>
    <row r="6398" spans="1:13" x14ac:dyDescent="0.25">
      <c r="A6398" s="16"/>
      <c r="E6398" s="27"/>
      <c r="F6398" t="s">
        <v>26</v>
      </c>
      <c r="G6398" s="28">
        <f>IFERROR(VLOOKUP(F6398,CARTON_LOOKUP!$A:$E,3,0),"")</f>
      </c>
      <c r="H6398" s="28">
        <f>IFERROR(VLOOKUP(F6398,CARTON_LOOKUP!$A:$E,4,0),"")</f>
      </c>
      <c r="I6398" s="28">
        <f>IFERROR(VLOOKUP(F6398,CARTON_LOOKUP!$A:$E,5,0),"")</f>
      </c>
      <c r="J6398" s="29">
        <f>IFERROR(VLOOKUP(F6398,CARTON_LOOKUP!$A:$E,2,0),"")</f>
      </c>
      <c r="K6398" s="29">
        <f>IFERROR(J6398*D6398,0)</f>
      </c>
      <c r="L6398" s="29">
        <f>IFERROR(E6398*C6398,0)</f>
      </c>
      <c r="M6398" s="29">
        <f>IFERROR((G6398*H6398*I6398/1000000)*D6398,0)</f>
      </c>
    </row>
    <row r="6399" spans="1:13" x14ac:dyDescent="0.25">
      <c r="A6399" s="16"/>
      <c r="E6399" s="27"/>
      <c r="F6399" t="s">
        <v>26</v>
      </c>
      <c r="G6399" s="28">
        <f>IFERROR(VLOOKUP(F6399,CARTON_LOOKUP!$A:$E,3,0),"")</f>
      </c>
      <c r="H6399" s="28">
        <f>IFERROR(VLOOKUP(F6399,CARTON_LOOKUP!$A:$E,4,0),"")</f>
      </c>
      <c r="I6399" s="28">
        <f>IFERROR(VLOOKUP(F6399,CARTON_LOOKUP!$A:$E,5,0),"")</f>
      </c>
      <c r="J6399" s="29">
        <f>IFERROR(VLOOKUP(F6399,CARTON_LOOKUP!$A:$E,2,0),"")</f>
      </c>
      <c r="K6399" s="29">
        <f>IFERROR(J6399*D6399,0)</f>
      </c>
      <c r="L6399" s="29">
        <f>IFERROR(E6399*C6399,0)</f>
      </c>
      <c r="M6399" s="29">
        <f>IFERROR((G6399*H6399*I6399/1000000)*D6399,0)</f>
      </c>
    </row>
    <row r="6400" spans="1:13" x14ac:dyDescent="0.25">
      <c r="A6400" s="16"/>
      <c r="E6400" s="27"/>
      <c r="F6400" t="s">
        <v>26</v>
      </c>
      <c r="G6400" s="28">
        <f>IFERROR(VLOOKUP(F6400,CARTON_LOOKUP!$A:$E,3,0),"")</f>
      </c>
      <c r="H6400" s="28">
        <f>IFERROR(VLOOKUP(F6400,CARTON_LOOKUP!$A:$E,4,0),"")</f>
      </c>
      <c r="I6400" s="28">
        <f>IFERROR(VLOOKUP(F6400,CARTON_LOOKUP!$A:$E,5,0),"")</f>
      </c>
      <c r="J6400" s="29">
        <f>IFERROR(VLOOKUP(F6400,CARTON_LOOKUP!$A:$E,2,0),"")</f>
      </c>
      <c r="K6400" s="29">
        <f>IFERROR(J6400*D6400,0)</f>
      </c>
      <c r="L6400" s="29">
        <f>IFERROR(E6400*C6400,0)</f>
      </c>
      <c r="M6400" s="29">
        <f>IFERROR((G6400*H6400*I6400/1000000)*D6400,0)</f>
      </c>
    </row>
    <row r="6401" spans="1:13" x14ac:dyDescent="0.25">
      <c r="A6401" s="16"/>
      <c r="E6401" s="27"/>
      <c r="F6401" t="s">
        <v>26</v>
      </c>
      <c r="G6401" s="28">
        <f>IFERROR(VLOOKUP(F6401,CARTON_LOOKUP!$A:$E,3,0),"")</f>
      </c>
      <c r="H6401" s="28">
        <f>IFERROR(VLOOKUP(F6401,CARTON_LOOKUP!$A:$E,4,0),"")</f>
      </c>
      <c r="I6401" s="28">
        <f>IFERROR(VLOOKUP(F6401,CARTON_LOOKUP!$A:$E,5,0),"")</f>
      </c>
      <c r="J6401" s="29">
        <f>IFERROR(VLOOKUP(F6401,CARTON_LOOKUP!$A:$E,2,0),"")</f>
      </c>
      <c r="K6401" s="29">
        <f>IFERROR(J6401*D6401,0)</f>
      </c>
      <c r="L6401" s="29">
        <f>IFERROR(E6401*C6401,0)</f>
      </c>
      <c r="M6401" s="29">
        <f>IFERROR((G6401*H6401*I6401/1000000)*D6401,0)</f>
      </c>
    </row>
    <row r="6402" spans="1:13" x14ac:dyDescent="0.25">
      <c r="A6402" s="16"/>
      <c r="E6402" s="27"/>
      <c r="F6402" t="s">
        <v>26</v>
      </c>
      <c r="G6402" s="28">
        <f>IFERROR(VLOOKUP(F6402,CARTON_LOOKUP!$A:$E,3,0),"")</f>
      </c>
      <c r="H6402" s="28">
        <f>IFERROR(VLOOKUP(F6402,CARTON_LOOKUP!$A:$E,4,0),"")</f>
      </c>
      <c r="I6402" s="28">
        <f>IFERROR(VLOOKUP(F6402,CARTON_LOOKUP!$A:$E,5,0),"")</f>
      </c>
      <c r="J6402" s="29">
        <f>IFERROR(VLOOKUP(F6402,CARTON_LOOKUP!$A:$E,2,0),"")</f>
      </c>
      <c r="K6402" s="29">
        <f>IFERROR(J6402*D6402,0)</f>
      </c>
      <c r="L6402" s="29">
        <f>IFERROR(E6402*C6402,0)</f>
      </c>
      <c r="M6402" s="29">
        <f>IFERROR((G6402*H6402*I6402/1000000)*D6402,0)</f>
      </c>
    </row>
    <row r="6403" spans="1:13" x14ac:dyDescent="0.25">
      <c r="A6403" s="16"/>
      <c r="E6403" s="27"/>
      <c r="F6403" t="s">
        <v>26</v>
      </c>
      <c r="G6403" s="28">
        <f>IFERROR(VLOOKUP(F6403,CARTON_LOOKUP!$A:$E,3,0),"")</f>
      </c>
      <c r="H6403" s="28">
        <f>IFERROR(VLOOKUP(F6403,CARTON_LOOKUP!$A:$E,4,0),"")</f>
      </c>
      <c r="I6403" s="28">
        <f>IFERROR(VLOOKUP(F6403,CARTON_LOOKUP!$A:$E,5,0),"")</f>
      </c>
      <c r="J6403" s="29">
        <f>IFERROR(VLOOKUP(F6403,CARTON_LOOKUP!$A:$E,2,0),"")</f>
      </c>
      <c r="K6403" s="29">
        <f>IFERROR(J6403*D6403,0)</f>
      </c>
      <c r="L6403" s="29">
        <f>IFERROR(E6403*C6403,0)</f>
      </c>
      <c r="M6403" s="29">
        <f>IFERROR((G6403*H6403*I6403/1000000)*D6403,0)</f>
      </c>
    </row>
    <row r="6404" spans="1:13" x14ac:dyDescent="0.25">
      <c r="A6404" s="16"/>
      <c r="E6404" s="27"/>
      <c r="F6404" t="s">
        <v>26</v>
      </c>
      <c r="G6404" s="28">
        <f>IFERROR(VLOOKUP(F6404,CARTON_LOOKUP!$A:$E,3,0),"")</f>
      </c>
      <c r="H6404" s="28">
        <f>IFERROR(VLOOKUP(F6404,CARTON_LOOKUP!$A:$E,4,0),"")</f>
      </c>
      <c r="I6404" s="28">
        <f>IFERROR(VLOOKUP(F6404,CARTON_LOOKUP!$A:$E,5,0),"")</f>
      </c>
      <c r="J6404" s="29">
        <f>IFERROR(VLOOKUP(F6404,CARTON_LOOKUP!$A:$E,2,0),"")</f>
      </c>
      <c r="K6404" s="29">
        <f>IFERROR(J6404*D6404,0)</f>
      </c>
      <c r="L6404" s="29">
        <f>IFERROR(E6404*C6404,0)</f>
      </c>
      <c r="M6404" s="29">
        <f>IFERROR((G6404*H6404*I6404/1000000)*D6404,0)</f>
      </c>
    </row>
    <row r="6405" spans="1:13" x14ac:dyDescent="0.25">
      <c r="A6405" s="16"/>
      <c r="E6405" s="27"/>
      <c r="F6405" t="s">
        <v>26</v>
      </c>
      <c r="G6405" s="28">
        <f>IFERROR(VLOOKUP(F6405,CARTON_LOOKUP!$A:$E,3,0),"")</f>
      </c>
      <c r="H6405" s="28">
        <f>IFERROR(VLOOKUP(F6405,CARTON_LOOKUP!$A:$E,4,0),"")</f>
      </c>
      <c r="I6405" s="28">
        <f>IFERROR(VLOOKUP(F6405,CARTON_LOOKUP!$A:$E,5,0),"")</f>
      </c>
      <c r="J6405" s="29">
        <f>IFERROR(VLOOKUP(F6405,CARTON_LOOKUP!$A:$E,2,0),"")</f>
      </c>
      <c r="K6405" s="29">
        <f>IFERROR(J6405*D6405,0)</f>
      </c>
      <c r="L6405" s="29">
        <f>IFERROR(E6405*C6405,0)</f>
      </c>
      <c r="M6405" s="29">
        <f>IFERROR((G6405*H6405*I6405/1000000)*D6405,0)</f>
      </c>
    </row>
    <row r="6406" spans="1:13" x14ac:dyDescent="0.25">
      <c r="A6406" s="16"/>
      <c r="E6406" s="27"/>
      <c r="F6406" t="s">
        <v>26</v>
      </c>
      <c r="G6406" s="28">
        <f>IFERROR(VLOOKUP(F6406,CARTON_LOOKUP!$A:$E,3,0),"")</f>
      </c>
      <c r="H6406" s="28">
        <f>IFERROR(VLOOKUP(F6406,CARTON_LOOKUP!$A:$E,4,0),"")</f>
      </c>
      <c r="I6406" s="28">
        <f>IFERROR(VLOOKUP(F6406,CARTON_LOOKUP!$A:$E,5,0),"")</f>
      </c>
      <c r="J6406" s="29">
        <f>IFERROR(VLOOKUP(F6406,CARTON_LOOKUP!$A:$E,2,0),"")</f>
      </c>
      <c r="K6406" s="29">
        <f>IFERROR(J6406*D6406,0)</f>
      </c>
      <c r="L6406" s="29">
        <f>IFERROR(E6406*C6406,0)</f>
      </c>
      <c r="M6406" s="29">
        <f>IFERROR((G6406*H6406*I6406/1000000)*D6406,0)</f>
      </c>
    </row>
    <row r="6407" spans="1:13" x14ac:dyDescent="0.25">
      <c r="A6407" s="16"/>
      <c r="E6407" s="27"/>
      <c r="F6407" t="s">
        <v>26</v>
      </c>
      <c r="G6407" s="28">
        <f>IFERROR(VLOOKUP(F6407,CARTON_LOOKUP!$A:$E,3,0),"")</f>
      </c>
      <c r="H6407" s="28">
        <f>IFERROR(VLOOKUP(F6407,CARTON_LOOKUP!$A:$E,4,0),"")</f>
      </c>
      <c r="I6407" s="28">
        <f>IFERROR(VLOOKUP(F6407,CARTON_LOOKUP!$A:$E,5,0),"")</f>
      </c>
      <c r="J6407" s="29">
        <f>IFERROR(VLOOKUP(F6407,CARTON_LOOKUP!$A:$E,2,0),"")</f>
      </c>
      <c r="K6407" s="29">
        <f>IFERROR(J6407*D6407,0)</f>
      </c>
      <c r="L6407" s="29">
        <f>IFERROR(E6407*C6407,0)</f>
      </c>
      <c r="M6407" s="29">
        <f>IFERROR((G6407*H6407*I6407/1000000)*D6407,0)</f>
      </c>
    </row>
    <row r="6408" spans="1:13" x14ac:dyDescent="0.25">
      <c r="A6408" s="16"/>
      <c r="E6408" s="27"/>
      <c r="F6408" t="s">
        <v>26</v>
      </c>
      <c r="G6408" s="28">
        <f>IFERROR(VLOOKUP(F6408,CARTON_LOOKUP!$A:$E,3,0),"")</f>
      </c>
      <c r="H6408" s="28">
        <f>IFERROR(VLOOKUP(F6408,CARTON_LOOKUP!$A:$E,4,0),"")</f>
      </c>
      <c r="I6408" s="28">
        <f>IFERROR(VLOOKUP(F6408,CARTON_LOOKUP!$A:$E,5,0),"")</f>
      </c>
      <c r="J6408" s="29">
        <f>IFERROR(VLOOKUP(F6408,CARTON_LOOKUP!$A:$E,2,0),"")</f>
      </c>
      <c r="K6408" s="29">
        <f>IFERROR(J6408*D6408,0)</f>
      </c>
      <c r="L6408" s="29">
        <f>IFERROR(E6408*C6408,0)</f>
      </c>
      <c r="M6408" s="29">
        <f>IFERROR((G6408*H6408*I6408/1000000)*D6408,0)</f>
      </c>
    </row>
    <row r="6409" spans="1:13" x14ac:dyDescent="0.25">
      <c r="A6409" s="16"/>
      <c r="E6409" s="27"/>
      <c r="F6409" t="s">
        <v>26</v>
      </c>
      <c r="G6409" s="28">
        <f>IFERROR(VLOOKUP(F6409,CARTON_LOOKUP!$A:$E,3,0),"")</f>
      </c>
      <c r="H6409" s="28">
        <f>IFERROR(VLOOKUP(F6409,CARTON_LOOKUP!$A:$E,4,0),"")</f>
      </c>
      <c r="I6409" s="28">
        <f>IFERROR(VLOOKUP(F6409,CARTON_LOOKUP!$A:$E,5,0),"")</f>
      </c>
      <c r="J6409" s="29">
        <f>IFERROR(VLOOKUP(F6409,CARTON_LOOKUP!$A:$E,2,0),"")</f>
      </c>
      <c r="K6409" s="29">
        <f>IFERROR(J6409*D6409,0)</f>
      </c>
      <c r="L6409" s="29">
        <f>IFERROR(E6409*C6409,0)</f>
      </c>
      <c r="M6409" s="29">
        <f>IFERROR((G6409*H6409*I6409/1000000)*D6409,0)</f>
      </c>
    </row>
    <row r="6410" spans="1:13" x14ac:dyDescent="0.25">
      <c r="A6410" s="16"/>
      <c r="E6410" s="27"/>
      <c r="F6410" t="s">
        <v>26</v>
      </c>
      <c r="G6410" s="28">
        <f>IFERROR(VLOOKUP(F6410,CARTON_LOOKUP!$A:$E,3,0),"")</f>
      </c>
      <c r="H6410" s="28">
        <f>IFERROR(VLOOKUP(F6410,CARTON_LOOKUP!$A:$E,4,0),"")</f>
      </c>
      <c r="I6410" s="28">
        <f>IFERROR(VLOOKUP(F6410,CARTON_LOOKUP!$A:$E,5,0),"")</f>
      </c>
      <c r="J6410" s="29">
        <f>IFERROR(VLOOKUP(F6410,CARTON_LOOKUP!$A:$E,2,0),"")</f>
      </c>
      <c r="K6410" s="29">
        <f>IFERROR(J6410*D6410,0)</f>
      </c>
      <c r="L6410" s="29">
        <f>IFERROR(E6410*C6410,0)</f>
      </c>
      <c r="M6410" s="29">
        <f>IFERROR((G6410*H6410*I6410/1000000)*D6410,0)</f>
      </c>
    </row>
    <row r="6411" spans="1:13" x14ac:dyDescent="0.25">
      <c r="A6411" s="16"/>
      <c r="E6411" s="27"/>
      <c r="F6411" t="s">
        <v>26</v>
      </c>
      <c r="G6411" s="28">
        <f>IFERROR(VLOOKUP(F6411,CARTON_LOOKUP!$A:$E,3,0),"")</f>
      </c>
      <c r="H6411" s="28">
        <f>IFERROR(VLOOKUP(F6411,CARTON_LOOKUP!$A:$E,4,0),"")</f>
      </c>
      <c r="I6411" s="28">
        <f>IFERROR(VLOOKUP(F6411,CARTON_LOOKUP!$A:$E,5,0),"")</f>
      </c>
      <c r="J6411" s="29">
        <f>IFERROR(VLOOKUP(F6411,CARTON_LOOKUP!$A:$E,2,0),"")</f>
      </c>
      <c r="K6411" s="29">
        <f>IFERROR(J6411*D6411,0)</f>
      </c>
      <c r="L6411" s="29">
        <f>IFERROR(E6411*C6411,0)</f>
      </c>
      <c r="M6411" s="29">
        <f>IFERROR((G6411*H6411*I6411/1000000)*D6411,0)</f>
      </c>
    </row>
    <row r="6412" spans="1:13" x14ac:dyDescent="0.25">
      <c r="A6412" s="16"/>
      <c r="E6412" s="27"/>
      <c r="F6412" t="s">
        <v>26</v>
      </c>
      <c r="G6412" s="28">
        <f>IFERROR(VLOOKUP(F6412,CARTON_LOOKUP!$A:$E,3,0),"")</f>
      </c>
      <c r="H6412" s="28">
        <f>IFERROR(VLOOKUP(F6412,CARTON_LOOKUP!$A:$E,4,0),"")</f>
      </c>
      <c r="I6412" s="28">
        <f>IFERROR(VLOOKUP(F6412,CARTON_LOOKUP!$A:$E,5,0),"")</f>
      </c>
      <c r="J6412" s="29">
        <f>IFERROR(VLOOKUP(F6412,CARTON_LOOKUP!$A:$E,2,0),"")</f>
      </c>
      <c r="K6412" s="29">
        <f>IFERROR(J6412*D6412,0)</f>
      </c>
      <c r="L6412" s="29">
        <f>IFERROR(E6412*C6412,0)</f>
      </c>
      <c r="M6412" s="29">
        <f>IFERROR((G6412*H6412*I6412/1000000)*D6412,0)</f>
      </c>
    </row>
    <row r="6413" spans="1:13" x14ac:dyDescent="0.25">
      <c r="A6413" s="16"/>
      <c r="E6413" s="27"/>
      <c r="F6413" t="s">
        <v>26</v>
      </c>
      <c r="G6413" s="28">
        <f>IFERROR(VLOOKUP(F6413,CARTON_LOOKUP!$A:$E,3,0),"")</f>
      </c>
      <c r="H6413" s="28">
        <f>IFERROR(VLOOKUP(F6413,CARTON_LOOKUP!$A:$E,4,0),"")</f>
      </c>
      <c r="I6413" s="28">
        <f>IFERROR(VLOOKUP(F6413,CARTON_LOOKUP!$A:$E,5,0),"")</f>
      </c>
      <c r="J6413" s="29">
        <f>IFERROR(VLOOKUP(F6413,CARTON_LOOKUP!$A:$E,2,0),"")</f>
      </c>
      <c r="K6413" s="29">
        <f>IFERROR(J6413*D6413,0)</f>
      </c>
      <c r="L6413" s="29">
        <f>IFERROR(E6413*C6413,0)</f>
      </c>
      <c r="M6413" s="29">
        <f>IFERROR((G6413*H6413*I6413/1000000)*D6413,0)</f>
      </c>
    </row>
    <row r="6414" spans="1:13" x14ac:dyDescent="0.25">
      <c r="A6414" s="16"/>
      <c r="E6414" s="27"/>
      <c r="F6414" t="s">
        <v>26</v>
      </c>
      <c r="G6414" s="28">
        <f>IFERROR(VLOOKUP(F6414,CARTON_LOOKUP!$A:$E,3,0),"")</f>
      </c>
      <c r="H6414" s="28">
        <f>IFERROR(VLOOKUP(F6414,CARTON_LOOKUP!$A:$E,4,0),"")</f>
      </c>
      <c r="I6414" s="28">
        <f>IFERROR(VLOOKUP(F6414,CARTON_LOOKUP!$A:$E,5,0),"")</f>
      </c>
      <c r="J6414" s="29">
        <f>IFERROR(VLOOKUP(F6414,CARTON_LOOKUP!$A:$E,2,0),"")</f>
      </c>
      <c r="K6414" s="29">
        <f>IFERROR(J6414*D6414,0)</f>
      </c>
      <c r="L6414" s="29">
        <f>IFERROR(E6414*C6414,0)</f>
      </c>
      <c r="M6414" s="29">
        <f>IFERROR((G6414*H6414*I6414/1000000)*D6414,0)</f>
      </c>
    </row>
    <row r="6415" spans="1:13" x14ac:dyDescent="0.25">
      <c r="A6415" s="16"/>
      <c r="E6415" s="27"/>
      <c r="F6415" t="s">
        <v>26</v>
      </c>
      <c r="G6415" s="28">
        <f>IFERROR(VLOOKUP(F6415,CARTON_LOOKUP!$A:$E,3,0),"")</f>
      </c>
      <c r="H6415" s="28">
        <f>IFERROR(VLOOKUP(F6415,CARTON_LOOKUP!$A:$E,4,0),"")</f>
      </c>
      <c r="I6415" s="28">
        <f>IFERROR(VLOOKUP(F6415,CARTON_LOOKUP!$A:$E,5,0),"")</f>
      </c>
      <c r="J6415" s="29">
        <f>IFERROR(VLOOKUP(F6415,CARTON_LOOKUP!$A:$E,2,0),"")</f>
      </c>
      <c r="K6415" s="29">
        <f>IFERROR(J6415*D6415,0)</f>
      </c>
      <c r="L6415" s="29">
        <f>IFERROR(E6415*C6415,0)</f>
      </c>
      <c r="M6415" s="29">
        <f>IFERROR((G6415*H6415*I6415/1000000)*D6415,0)</f>
      </c>
    </row>
    <row r="6416" spans="1:13" x14ac:dyDescent="0.25">
      <c r="A6416" s="16"/>
      <c r="E6416" s="27"/>
      <c r="F6416" t="s">
        <v>26</v>
      </c>
      <c r="G6416" s="28">
        <f>IFERROR(VLOOKUP(F6416,CARTON_LOOKUP!$A:$E,3,0),"")</f>
      </c>
      <c r="H6416" s="28">
        <f>IFERROR(VLOOKUP(F6416,CARTON_LOOKUP!$A:$E,4,0),"")</f>
      </c>
      <c r="I6416" s="28">
        <f>IFERROR(VLOOKUP(F6416,CARTON_LOOKUP!$A:$E,5,0),"")</f>
      </c>
      <c r="J6416" s="29">
        <f>IFERROR(VLOOKUP(F6416,CARTON_LOOKUP!$A:$E,2,0),"")</f>
      </c>
      <c r="K6416" s="29">
        <f>IFERROR(J6416*D6416,0)</f>
      </c>
      <c r="L6416" s="29">
        <f>IFERROR(E6416*C6416,0)</f>
      </c>
      <c r="M6416" s="29">
        <f>IFERROR((G6416*H6416*I6416/1000000)*D6416,0)</f>
      </c>
    </row>
    <row r="6417" spans="1:13" x14ac:dyDescent="0.25">
      <c r="A6417" s="16"/>
      <c r="E6417" s="27"/>
      <c r="F6417" t="s">
        <v>26</v>
      </c>
      <c r="G6417" s="28">
        <f>IFERROR(VLOOKUP(F6417,CARTON_LOOKUP!$A:$E,3,0),"")</f>
      </c>
      <c r="H6417" s="28">
        <f>IFERROR(VLOOKUP(F6417,CARTON_LOOKUP!$A:$E,4,0),"")</f>
      </c>
      <c r="I6417" s="28">
        <f>IFERROR(VLOOKUP(F6417,CARTON_LOOKUP!$A:$E,5,0),"")</f>
      </c>
      <c r="J6417" s="29">
        <f>IFERROR(VLOOKUP(F6417,CARTON_LOOKUP!$A:$E,2,0),"")</f>
      </c>
      <c r="K6417" s="29">
        <f>IFERROR(J6417*D6417,0)</f>
      </c>
      <c r="L6417" s="29">
        <f>IFERROR(E6417*C6417,0)</f>
      </c>
      <c r="M6417" s="29">
        <f>IFERROR((G6417*H6417*I6417/1000000)*D6417,0)</f>
      </c>
    </row>
    <row r="6418" spans="1:13" x14ac:dyDescent="0.25">
      <c r="A6418" s="16"/>
      <c r="E6418" s="27"/>
      <c r="F6418" t="s">
        <v>26</v>
      </c>
      <c r="G6418" s="28">
        <f>IFERROR(VLOOKUP(F6418,CARTON_LOOKUP!$A:$E,3,0),"")</f>
      </c>
      <c r="H6418" s="28">
        <f>IFERROR(VLOOKUP(F6418,CARTON_LOOKUP!$A:$E,4,0),"")</f>
      </c>
      <c r="I6418" s="28">
        <f>IFERROR(VLOOKUP(F6418,CARTON_LOOKUP!$A:$E,5,0),"")</f>
      </c>
      <c r="J6418" s="29">
        <f>IFERROR(VLOOKUP(F6418,CARTON_LOOKUP!$A:$E,2,0),"")</f>
      </c>
      <c r="K6418" s="29">
        <f>IFERROR(J6418*D6418,0)</f>
      </c>
      <c r="L6418" s="29">
        <f>IFERROR(E6418*C6418,0)</f>
      </c>
      <c r="M6418" s="29">
        <f>IFERROR((G6418*H6418*I6418/1000000)*D6418,0)</f>
      </c>
    </row>
    <row r="6419" spans="1:13" x14ac:dyDescent="0.25">
      <c r="A6419" s="16"/>
      <c r="E6419" s="27"/>
      <c r="F6419" t="s">
        <v>26</v>
      </c>
      <c r="G6419" s="28">
        <f>IFERROR(VLOOKUP(F6419,CARTON_LOOKUP!$A:$E,3,0),"")</f>
      </c>
      <c r="H6419" s="28">
        <f>IFERROR(VLOOKUP(F6419,CARTON_LOOKUP!$A:$E,4,0),"")</f>
      </c>
      <c r="I6419" s="28">
        <f>IFERROR(VLOOKUP(F6419,CARTON_LOOKUP!$A:$E,5,0),"")</f>
      </c>
      <c r="J6419" s="29">
        <f>IFERROR(VLOOKUP(F6419,CARTON_LOOKUP!$A:$E,2,0),"")</f>
      </c>
      <c r="K6419" s="29">
        <f>IFERROR(J6419*D6419,0)</f>
      </c>
      <c r="L6419" s="29">
        <f>IFERROR(E6419*C6419,0)</f>
      </c>
      <c r="M6419" s="29">
        <f>IFERROR((G6419*H6419*I6419/1000000)*D6419,0)</f>
      </c>
    </row>
    <row r="6420" spans="1:13" x14ac:dyDescent="0.25">
      <c r="A6420" s="16"/>
      <c r="E6420" s="27"/>
      <c r="F6420" t="s">
        <v>26</v>
      </c>
      <c r="G6420" s="28">
        <f>IFERROR(VLOOKUP(F6420,CARTON_LOOKUP!$A:$E,3,0),"")</f>
      </c>
      <c r="H6420" s="28">
        <f>IFERROR(VLOOKUP(F6420,CARTON_LOOKUP!$A:$E,4,0),"")</f>
      </c>
      <c r="I6420" s="28">
        <f>IFERROR(VLOOKUP(F6420,CARTON_LOOKUP!$A:$E,5,0),"")</f>
      </c>
      <c r="J6420" s="29">
        <f>IFERROR(VLOOKUP(F6420,CARTON_LOOKUP!$A:$E,2,0),"")</f>
      </c>
      <c r="K6420" s="29">
        <f>IFERROR(J6420*D6420,0)</f>
      </c>
      <c r="L6420" s="29">
        <f>IFERROR(E6420*C6420,0)</f>
      </c>
      <c r="M6420" s="29">
        <f>IFERROR((G6420*H6420*I6420/1000000)*D6420,0)</f>
      </c>
    </row>
    <row r="6421" spans="1:13" x14ac:dyDescent="0.25">
      <c r="A6421" s="16"/>
      <c r="E6421" s="27"/>
      <c r="F6421" t="s">
        <v>26</v>
      </c>
      <c r="G6421" s="28">
        <f>IFERROR(VLOOKUP(F6421,CARTON_LOOKUP!$A:$E,3,0),"")</f>
      </c>
      <c r="H6421" s="28">
        <f>IFERROR(VLOOKUP(F6421,CARTON_LOOKUP!$A:$E,4,0),"")</f>
      </c>
      <c r="I6421" s="28">
        <f>IFERROR(VLOOKUP(F6421,CARTON_LOOKUP!$A:$E,5,0),"")</f>
      </c>
      <c r="J6421" s="29">
        <f>IFERROR(VLOOKUP(F6421,CARTON_LOOKUP!$A:$E,2,0),"")</f>
      </c>
      <c r="K6421" s="29">
        <f>IFERROR(J6421*D6421,0)</f>
      </c>
      <c r="L6421" s="29">
        <f>IFERROR(E6421*C6421,0)</f>
      </c>
      <c r="M6421" s="29">
        <f>IFERROR((G6421*H6421*I6421/1000000)*D6421,0)</f>
      </c>
    </row>
    <row r="6422" spans="1:13" x14ac:dyDescent="0.25">
      <c r="A6422" s="16"/>
      <c r="E6422" s="27"/>
      <c r="F6422" t="s">
        <v>26</v>
      </c>
      <c r="G6422" s="28">
        <f>IFERROR(VLOOKUP(F6422,CARTON_LOOKUP!$A:$E,3,0),"")</f>
      </c>
      <c r="H6422" s="28">
        <f>IFERROR(VLOOKUP(F6422,CARTON_LOOKUP!$A:$E,4,0),"")</f>
      </c>
      <c r="I6422" s="28">
        <f>IFERROR(VLOOKUP(F6422,CARTON_LOOKUP!$A:$E,5,0),"")</f>
      </c>
      <c r="J6422" s="29">
        <f>IFERROR(VLOOKUP(F6422,CARTON_LOOKUP!$A:$E,2,0),"")</f>
      </c>
      <c r="K6422" s="29">
        <f>IFERROR(J6422*D6422,0)</f>
      </c>
      <c r="L6422" s="29">
        <f>IFERROR(E6422*C6422,0)</f>
      </c>
      <c r="M6422" s="29">
        <f>IFERROR((G6422*H6422*I6422/1000000)*D6422,0)</f>
      </c>
    </row>
    <row r="6423" spans="1:13" x14ac:dyDescent="0.25">
      <c r="A6423" s="16"/>
      <c r="E6423" s="27"/>
      <c r="F6423" t="s">
        <v>26</v>
      </c>
      <c r="G6423" s="28">
        <f>IFERROR(VLOOKUP(F6423,CARTON_LOOKUP!$A:$E,3,0),"")</f>
      </c>
      <c r="H6423" s="28">
        <f>IFERROR(VLOOKUP(F6423,CARTON_LOOKUP!$A:$E,4,0),"")</f>
      </c>
      <c r="I6423" s="28">
        <f>IFERROR(VLOOKUP(F6423,CARTON_LOOKUP!$A:$E,5,0),"")</f>
      </c>
      <c r="J6423" s="29">
        <f>IFERROR(VLOOKUP(F6423,CARTON_LOOKUP!$A:$E,2,0),"")</f>
      </c>
      <c r="K6423" s="29">
        <f>IFERROR(J6423*D6423,0)</f>
      </c>
      <c r="L6423" s="29">
        <f>IFERROR(E6423*C6423,0)</f>
      </c>
      <c r="M6423" s="29">
        <f>IFERROR((G6423*H6423*I6423/1000000)*D6423,0)</f>
      </c>
    </row>
    <row r="6424" spans="1:13" x14ac:dyDescent="0.25">
      <c r="A6424" s="16"/>
      <c r="E6424" s="27"/>
      <c r="F6424" t="s">
        <v>26</v>
      </c>
      <c r="G6424" s="28">
        <f>IFERROR(VLOOKUP(F6424,CARTON_LOOKUP!$A:$E,3,0),"")</f>
      </c>
      <c r="H6424" s="28">
        <f>IFERROR(VLOOKUP(F6424,CARTON_LOOKUP!$A:$E,4,0),"")</f>
      </c>
      <c r="I6424" s="28">
        <f>IFERROR(VLOOKUP(F6424,CARTON_LOOKUP!$A:$E,5,0),"")</f>
      </c>
      <c r="J6424" s="29">
        <f>IFERROR(VLOOKUP(F6424,CARTON_LOOKUP!$A:$E,2,0),"")</f>
      </c>
      <c r="K6424" s="29">
        <f>IFERROR(J6424*D6424,0)</f>
      </c>
      <c r="L6424" s="29">
        <f>IFERROR(E6424*C6424,0)</f>
      </c>
      <c r="M6424" s="29">
        <f>IFERROR((G6424*H6424*I6424/1000000)*D6424,0)</f>
      </c>
    </row>
    <row r="6425" spans="1:13" x14ac:dyDescent="0.25">
      <c r="A6425" s="16"/>
      <c r="E6425" s="27"/>
      <c r="F6425" t="s">
        <v>26</v>
      </c>
      <c r="G6425" s="28">
        <f>IFERROR(VLOOKUP(F6425,CARTON_LOOKUP!$A:$E,3,0),"")</f>
      </c>
      <c r="H6425" s="28">
        <f>IFERROR(VLOOKUP(F6425,CARTON_LOOKUP!$A:$E,4,0),"")</f>
      </c>
      <c r="I6425" s="28">
        <f>IFERROR(VLOOKUP(F6425,CARTON_LOOKUP!$A:$E,5,0),"")</f>
      </c>
      <c r="J6425" s="29">
        <f>IFERROR(VLOOKUP(F6425,CARTON_LOOKUP!$A:$E,2,0),"")</f>
      </c>
      <c r="K6425" s="29">
        <f>IFERROR(J6425*D6425,0)</f>
      </c>
      <c r="L6425" s="29">
        <f>IFERROR(E6425*C6425,0)</f>
      </c>
      <c r="M6425" s="29">
        <f>IFERROR((G6425*H6425*I6425/1000000)*D6425,0)</f>
      </c>
    </row>
    <row r="6426" spans="1:13" x14ac:dyDescent="0.25">
      <c r="A6426" s="16"/>
      <c r="E6426" s="27"/>
      <c r="F6426" t="s">
        <v>26</v>
      </c>
      <c r="G6426" s="28">
        <f>IFERROR(VLOOKUP(F6426,CARTON_LOOKUP!$A:$E,3,0),"")</f>
      </c>
      <c r="H6426" s="28">
        <f>IFERROR(VLOOKUP(F6426,CARTON_LOOKUP!$A:$E,4,0),"")</f>
      </c>
      <c r="I6426" s="28">
        <f>IFERROR(VLOOKUP(F6426,CARTON_LOOKUP!$A:$E,5,0),"")</f>
      </c>
      <c r="J6426" s="29">
        <f>IFERROR(VLOOKUP(F6426,CARTON_LOOKUP!$A:$E,2,0),"")</f>
      </c>
      <c r="K6426" s="29">
        <f>IFERROR(J6426*D6426,0)</f>
      </c>
      <c r="L6426" s="29">
        <f>IFERROR(E6426*C6426,0)</f>
      </c>
      <c r="M6426" s="29">
        <f>IFERROR((G6426*H6426*I6426/1000000)*D6426,0)</f>
      </c>
    </row>
    <row r="6427" spans="1:13" x14ac:dyDescent="0.25">
      <c r="A6427" s="16"/>
      <c r="E6427" s="27"/>
      <c r="F6427" t="s">
        <v>26</v>
      </c>
      <c r="G6427" s="28">
        <f>IFERROR(VLOOKUP(F6427,CARTON_LOOKUP!$A:$E,3,0),"")</f>
      </c>
      <c r="H6427" s="28">
        <f>IFERROR(VLOOKUP(F6427,CARTON_LOOKUP!$A:$E,4,0),"")</f>
      </c>
      <c r="I6427" s="28">
        <f>IFERROR(VLOOKUP(F6427,CARTON_LOOKUP!$A:$E,5,0),"")</f>
      </c>
      <c r="J6427" s="29">
        <f>IFERROR(VLOOKUP(F6427,CARTON_LOOKUP!$A:$E,2,0),"")</f>
      </c>
      <c r="K6427" s="29">
        <f>IFERROR(J6427*D6427,0)</f>
      </c>
      <c r="L6427" s="29">
        <f>IFERROR(E6427*C6427,0)</f>
      </c>
      <c r="M6427" s="29">
        <f>IFERROR((G6427*H6427*I6427/1000000)*D6427,0)</f>
      </c>
    </row>
    <row r="6428" spans="1:13" x14ac:dyDescent="0.25">
      <c r="A6428" s="16"/>
      <c r="E6428" s="27"/>
      <c r="F6428" t="s">
        <v>26</v>
      </c>
      <c r="G6428" s="28">
        <f>IFERROR(VLOOKUP(F6428,CARTON_LOOKUP!$A:$E,3,0),"")</f>
      </c>
      <c r="H6428" s="28">
        <f>IFERROR(VLOOKUP(F6428,CARTON_LOOKUP!$A:$E,4,0),"")</f>
      </c>
      <c r="I6428" s="28">
        <f>IFERROR(VLOOKUP(F6428,CARTON_LOOKUP!$A:$E,5,0),"")</f>
      </c>
      <c r="J6428" s="29">
        <f>IFERROR(VLOOKUP(F6428,CARTON_LOOKUP!$A:$E,2,0),"")</f>
      </c>
      <c r="K6428" s="29">
        <f>IFERROR(J6428*D6428,0)</f>
      </c>
      <c r="L6428" s="29">
        <f>IFERROR(E6428*C6428,0)</f>
      </c>
      <c r="M6428" s="29">
        <f>IFERROR((G6428*H6428*I6428/1000000)*D6428,0)</f>
      </c>
    </row>
    <row r="6429" spans="1:13" x14ac:dyDescent="0.25">
      <c r="A6429" s="16"/>
      <c r="E6429" s="27"/>
      <c r="F6429" t="s">
        <v>26</v>
      </c>
      <c r="G6429" s="28">
        <f>IFERROR(VLOOKUP(F6429,CARTON_LOOKUP!$A:$E,3,0),"")</f>
      </c>
      <c r="H6429" s="28">
        <f>IFERROR(VLOOKUP(F6429,CARTON_LOOKUP!$A:$E,4,0),"")</f>
      </c>
      <c r="I6429" s="28">
        <f>IFERROR(VLOOKUP(F6429,CARTON_LOOKUP!$A:$E,5,0),"")</f>
      </c>
      <c r="J6429" s="29">
        <f>IFERROR(VLOOKUP(F6429,CARTON_LOOKUP!$A:$E,2,0),"")</f>
      </c>
      <c r="K6429" s="29">
        <f>IFERROR(J6429*D6429,0)</f>
      </c>
      <c r="L6429" s="29">
        <f>IFERROR(E6429*C6429,0)</f>
      </c>
      <c r="M6429" s="29">
        <f>IFERROR((G6429*H6429*I6429/1000000)*D6429,0)</f>
      </c>
    </row>
    <row r="6430" spans="1:13" x14ac:dyDescent="0.25">
      <c r="A6430" s="16"/>
      <c r="E6430" s="27"/>
      <c r="F6430" t="s">
        <v>26</v>
      </c>
      <c r="G6430" s="28">
        <f>IFERROR(VLOOKUP(F6430,CARTON_LOOKUP!$A:$E,3,0),"")</f>
      </c>
      <c r="H6430" s="28">
        <f>IFERROR(VLOOKUP(F6430,CARTON_LOOKUP!$A:$E,4,0),"")</f>
      </c>
      <c r="I6430" s="28">
        <f>IFERROR(VLOOKUP(F6430,CARTON_LOOKUP!$A:$E,5,0),"")</f>
      </c>
      <c r="J6430" s="29">
        <f>IFERROR(VLOOKUP(F6430,CARTON_LOOKUP!$A:$E,2,0),"")</f>
      </c>
      <c r="K6430" s="29">
        <f>IFERROR(J6430*D6430,0)</f>
      </c>
      <c r="L6430" s="29">
        <f>IFERROR(E6430*C6430,0)</f>
      </c>
      <c r="M6430" s="29">
        <f>IFERROR((G6430*H6430*I6430/1000000)*D6430,0)</f>
      </c>
    </row>
    <row r="6431" spans="1:13" x14ac:dyDescent="0.25">
      <c r="A6431" s="16"/>
      <c r="E6431" s="27"/>
      <c r="F6431" t="s">
        <v>26</v>
      </c>
      <c r="G6431" s="28">
        <f>IFERROR(VLOOKUP(F6431,CARTON_LOOKUP!$A:$E,3,0),"")</f>
      </c>
      <c r="H6431" s="28">
        <f>IFERROR(VLOOKUP(F6431,CARTON_LOOKUP!$A:$E,4,0),"")</f>
      </c>
      <c r="I6431" s="28">
        <f>IFERROR(VLOOKUP(F6431,CARTON_LOOKUP!$A:$E,5,0),"")</f>
      </c>
      <c r="J6431" s="29">
        <f>IFERROR(VLOOKUP(F6431,CARTON_LOOKUP!$A:$E,2,0),"")</f>
      </c>
      <c r="K6431" s="29">
        <f>IFERROR(J6431*D6431,0)</f>
      </c>
      <c r="L6431" s="29">
        <f>IFERROR(E6431*C6431,0)</f>
      </c>
      <c r="M6431" s="29">
        <f>IFERROR((G6431*H6431*I6431/1000000)*D6431,0)</f>
      </c>
    </row>
    <row r="6432" spans="1:13" x14ac:dyDescent="0.25">
      <c r="A6432" s="16"/>
      <c r="E6432" s="27"/>
      <c r="F6432" t="s">
        <v>26</v>
      </c>
      <c r="G6432" s="28">
        <f>IFERROR(VLOOKUP(F6432,CARTON_LOOKUP!$A:$E,3,0),"")</f>
      </c>
      <c r="H6432" s="28">
        <f>IFERROR(VLOOKUP(F6432,CARTON_LOOKUP!$A:$E,4,0),"")</f>
      </c>
      <c r="I6432" s="28">
        <f>IFERROR(VLOOKUP(F6432,CARTON_LOOKUP!$A:$E,5,0),"")</f>
      </c>
      <c r="J6432" s="29">
        <f>IFERROR(VLOOKUP(F6432,CARTON_LOOKUP!$A:$E,2,0),"")</f>
      </c>
      <c r="K6432" s="29">
        <f>IFERROR(J6432*D6432,0)</f>
      </c>
      <c r="L6432" s="29">
        <f>IFERROR(E6432*C6432,0)</f>
      </c>
      <c r="M6432" s="29">
        <f>IFERROR((G6432*H6432*I6432/1000000)*D6432,0)</f>
      </c>
    </row>
    <row r="6433" spans="1:13" x14ac:dyDescent="0.25">
      <c r="A6433" s="16"/>
      <c r="E6433" s="27"/>
      <c r="F6433" t="s">
        <v>26</v>
      </c>
      <c r="G6433" s="28">
        <f>IFERROR(VLOOKUP(F6433,CARTON_LOOKUP!$A:$E,3,0),"")</f>
      </c>
      <c r="H6433" s="28">
        <f>IFERROR(VLOOKUP(F6433,CARTON_LOOKUP!$A:$E,4,0),"")</f>
      </c>
      <c r="I6433" s="28">
        <f>IFERROR(VLOOKUP(F6433,CARTON_LOOKUP!$A:$E,5,0),"")</f>
      </c>
      <c r="J6433" s="29">
        <f>IFERROR(VLOOKUP(F6433,CARTON_LOOKUP!$A:$E,2,0),"")</f>
      </c>
      <c r="K6433" s="29">
        <f>IFERROR(J6433*D6433,0)</f>
      </c>
      <c r="L6433" s="29">
        <f>IFERROR(E6433*C6433,0)</f>
      </c>
      <c r="M6433" s="29">
        <f>IFERROR((G6433*H6433*I6433/1000000)*D6433,0)</f>
      </c>
    </row>
    <row r="6434" spans="1:13" x14ac:dyDescent="0.25">
      <c r="A6434" s="16"/>
      <c r="E6434" s="27"/>
      <c r="F6434" t="s">
        <v>26</v>
      </c>
      <c r="G6434" s="28">
        <f>IFERROR(VLOOKUP(F6434,CARTON_LOOKUP!$A:$E,3,0),"")</f>
      </c>
      <c r="H6434" s="28">
        <f>IFERROR(VLOOKUP(F6434,CARTON_LOOKUP!$A:$E,4,0),"")</f>
      </c>
      <c r="I6434" s="28">
        <f>IFERROR(VLOOKUP(F6434,CARTON_LOOKUP!$A:$E,5,0),"")</f>
      </c>
      <c r="J6434" s="29">
        <f>IFERROR(VLOOKUP(F6434,CARTON_LOOKUP!$A:$E,2,0),"")</f>
      </c>
      <c r="K6434" s="29">
        <f>IFERROR(J6434*D6434,0)</f>
      </c>
      <c r="L6434" s="29">
        <f>IFERROR(E6434*C6434,0)</f>
      </c>
      <c r="M6434" s="29">
        <f>IFERROR((G6434*H6434*I6434/1000000)*D6434,0)</f>
      </c>
    </row>
    <row r="6435" spans="1:13" x14ac:dyDescent="0.25">
      <c r="A6435" s="16"/>
      <c r="E6435" s="27"/>
      <c r="F6435" t="s">
        <v>26</v>
      </c>
      <c r="G6435" s="28">
        <f>IFERROR(VLOOKUP(F6435,CARTON_LOOKUP!$A:$E,3,0),"")</f>
      </c>
      <c r="H6435" s="28">
        <f>IFERROR(VLOOKUP(F6435,CARTON_LOOKUP!$A:$E,4,0),"")</f>
      </c>
      <c r="I6435" s="28">
        <f>IFERROR(VLOOKUP(F6435,CARTON_LOOKUP!$A:$E,5,0),"")</f>
      </c>
      <c r="J6435" s="29">
        <f>IFERROR(VLOOKUP(F6435,CARTON_LOOKUP!$A:$E,2,0),"")</f>
      </c>
      <c r="K6435" s="29">
        <f>IFERROR(J6435*D6435,0)</f>
      </c>
      <c r="L6435" s="29">
        <f>IFERROR(E6435*C6435,0)</f>
      </c>
      <c r="M6435" s="29">
        <f>IFERROR((G6435*H6435*I6435/1000000)*D6435,0)</f>
      </c>
    </row>
    <row r="6436" spans="1:13" x14ac:dyDescent="0.25">
      <c r="A6436" s="16"/>
      <c r="E6436" s="27"/>
      <c r="F6436" t="s">
        <v>26</v>
      </c>
      <c r="G6436" s="28">
        <f>IFERROR(VLOOKUP(F6436,CARTON_LOOKUP!$A:$E,3,0),"")</f>
      </c>
      <c r="H6436" s="28">
        <f>IFERROR(VLOOKUP(F6436,CARTON_LOOKUP!$A:$E,4,0),"")</f>
      </c>
      <c r="I6436" s="28">
        <f>IFERROR(VLOOKUP(F6436,CARTON_LOOKUP!$A:$E,5,0),"")</f>
      </c>
      <c r="J6436" s="29">
        <f>IFERROR(VLOOKUP(F6436,CARTON_LOOKUP!$A:$E,2,0),"")</f>
      </c>
      <c r="K6436" s="29">
        <f>IFERROR(J6436*D6436,0)</f>
      </c>
      <c r="L6436" s="29">
        <f>IFERROR(E6436*C6436,0)</f>
      </c>
      <c r="M6436" s="29">
        <f>IFERROR((G6436*H6436*I6436/1000000)*D6436,0)</f>
      </c>
    </row>
    <row r="6437" spans="1:13" x14ac:dyDescent="0.25">
      <c r="A6437" s="16"/>
      <c r="E6437" s="27"/>
      <c r="F6437" t="s">
        <v>26</v>
      </c>
      <c r="G6437" s="28">
        <f>IFERROR(VLOOKUP(F6437,CARTON_LOOKUP!$A:$E,3,0),"")</f>
      </c>
      <c r="H6437" s="28">
        <f>IFERROR(VLOOKUP(F6437,CARTON_LOOKUP!$A:$E,4,0),"")</f>
      </c>
      <c r="I6437" s="28">
        <f>IFERROR(VLOOKUP(F6437,CARTON_LOOKUP!$A:$E,5,0),"")</f>
      </c>
      <c r="J6437" s="29">
        <f>IFERROR(VLOOKUP(F6437,CARTON_LOOKUP!$A:$E,2,0),"")</f>
      </c>
      <c r="K6437" s="29">
        <f>IFERROR(J6437*D6437,0)</f>
      </c>
      <c r="L6437" s="29">
        <f>IFERROR(E6437*C6437,0)</f>
      </c>
      <c r="M6437" s="29">
        <f>IFERROR((G6437*H6437*I6437/1000000)*D6437,0)</f>
      </c>
    </row>
    <row r="6438" spans="1:13" x14ac:dyDescent="0.25">
      <c r="A6438" s="16"/>
      <c r="E6438" s="27"/>
      <c r="F6438" t="s">
        <v>26</v>
      </c>
      <c r="G6438" s="28">
        <f>IFERROR(VLOOKUP(F6438,CARTON_LOOKUP!$A:$E,3,0),"")</f>
      </c>
      <c r="H6438" s="28">
        <f>IFERROR(VLOOKUP(F6438,CARTON_LOOKUP!$A:$E,4,0),"")</f>
      </c>
      <c r="I6438" s="28">
        <f>IFERROR(VLOOKUP(F6438,CARTON_LOOKUP!$A:$E,5,0),"")</f>
      </c>
      <c r="J6438" s="29">
        <f>IFERROR(VLOOKUP(F6438,CARTON_LOOKUP!$A:$E,2,0),"")</f>
      </c>
      <c r="K6438" s="29">
        <f>IFERROR(J6438*D6438,0)</f>
      </c>
      <c r="L6438" s="29">
        <f>IFERROR(E6438*C6438,0)</f>
      </c>
      <c r="M6438" s="29">
        <f>IFERROR((G6438*H6438*I6438/1000000)*D6438,0)</f>
      </c>
    </row>
    <row r="6439" spans="1:13" x14ac:dyDescent="0.25">
      <c r="A6439" s="16"/>
      <c r="E6439" s="27"/>
      <c r="F6439" t="s">
        <v>26</v>
      </c>
      <c r="G6439" s="28">
        <f>IFERROR(VLOOKUP(F6439,CARTON_LOOKUP!$A:$E,3,0),"")</f>
      </c>
      <c r="H6439" s="28">
        <f>IFERROR(VLOOKUP(F6439,CARTON_LOOKUP!$A:$E,4,0),"")</f>
      </c>
      <c r="I6439" s="28">
        <f>IFERROR(VLOOKUP(F6439,CARTON_LOOKUP!$A:$E,5,0),"")</f>
      </c>
      <c r="J6439" s="29">
        <f>IFERROR(VLOOKUP(F6439,CARTON_LOOKUP!$A:$E,2,0),"")</f>
      </c>
      <c r="K6439" s="29">
        <f>IFERROR(J6439*D6439,0)</f>
      </c>
      <c r="L6439" s="29">
        <f>IFERROR(E6439*C6439,0)</f>
      </c>
      <c r="M6439" s="29">
        <f>IFERROR((G6439*H6439*I6439/1000000)*D6439,0)</f>
      </c>
    </row>
    <row r="6440" spans="1:13" x14ac:dyDescent="0.25">
      <c r="A6440" s="16"/>
      <c r="E6440" s="27"/>
      <c r="F6440" t="s">
        <v>26</v>
      </c>
      <c r="G6440" s="28">
        <f>IFERROR(VLOOKUP(F6440,CARTON_LOOKUP!$A:$E,3,0),"")</f>
      </c>
      <c r="H6440" s="28">
        <f>IFERROR(VLOOKUP(F6440,CARTON_LOOKUP!$A:$E,4,0),"")</f>
      </c>
      <c r="I6440" s="28">
        <f>IFERROR(VLOOKUP(F6440,CARTON_LOOKUP!$A:$E,5,0),"")</f>
      </c>
      <c r="J6440" s="29">
        <f>IFERROR(VLOOKUP(F6440,CARTON_LOOKUP!$A:$E,2,0),"")</f>
      </c>
      <c r="K6440" s="29">
        <f>IFERROR(J6440*D6440,0)</f>
      </c>
      <c r="L6440" s="29">
        <f>IFERROR(E6440*C6440,0)</f>
      </c>
      <c r="M6440" s="29">
        <f>IFERROR((G6440*H6440*I6440/1000000)*D6440,0)</f>
      </c>
    </row>
    <row r="6441" spans="1:13" x14ac:dyDescent="0.25">
      <c r="A6441" s="16"/>
      <c r="E6441" s="27"/>
      <c r="F6441" t="s">
        <v>26</v>
      </c>
      <c r="G6441" s="28">
        <f>IFERROR(VLOOKUP(F6441,CARTON_LOOKUP!$A:$E,3,0),"")</f>
      </c>
      <c r="H6441" s="28">
        <f>IFERROR(VLOOKUP(F6441,CARTON_LOOKUP!$A:$E,4,0),"")</f>
      </c>
      <c r="I6441" s="28">
        <f>IFERROR(VLOOKUP(F6441,CARTON_LOOKUP!$A:$E,5,0),"")</f>
      </c>
      <c r="J6441" s="29">
        <f>IFERROR(VLOOKUP(F6441,CARTON_LOOKUP!$A:$E,2,0),"")</f>
      </c>
      <c r="K6441" s="29">
        <f>IFERROR(J6441*D6441,0)</f>
      </c>
      <c r="L6441" s="29">
        <f>IFERROR(E6441*C6441,0)</f>
      </c>
      <c r="M6441" s="29">
        <f>IFERROR((G6441*H6441*I6441/1000000)*D6441,0)</f>
      </c>
    </row>
    <row r="6442" spans="1:13" x14ac:dyDescent="0.25">
      <c r="A6442" s="16"/>
      <c r="E6442" s="27"/>
      <c r="F6442" t="s">
        <v>26</v>
      </c>
      <c r="G6442" s="28">
        <f>IFERROR(VLOOKUP(F6442,CARTON_LOOKUP!$A:$E,3,0),"")</f>
      </c>
      <c r="H6442" s="28">
        <f>IFERROR(VLOOKUP(F6442,CARTON_LOOKUP!$A:$E,4,0),"")</f>
      </c>
      <c r="I6442" s="28">
        <f>IFERROR(VLOOKUP(F6442,CARTON_LOOKUP!$A:$E,5,0),"")</f>
      </c>
      <c r="J6442" s="29">
        <f>IFERROR(VLOOKUP(F6442,CARTON_LOOKUP!$A:$E,2,0),"")</f>
      </c>
      <c r="K6442" s="29">
        <f>IFERROR(J6442*D6442,0)</f>
      </c>
      <c r="L6442" s="29">
        <f>IFERROR(E6442*C6442,0)</f>
      </c>
      <c r="M6442" s="29">
        <f>IFERROR((G6442*H6442*I6442/1000000)*D6442,0)</f>
      </c>
    </row>
    <row r="6443" spans="1:13" x14ac:dyDescent="0.25">
      <c r="A6443" s="16"/>
      <c r="E6443" s="27"/>
      <c r="F6443" t="s">
        <v>26</v>
      </c>
      <c r="G6443" s="28">
        <f>IFERROR(VLOOKUP(F6443,CARTON_LOOKUP!$A:$E,3,0),"")</f>
      </c>
      <c r="H6443" s="28">
        <f>IFERROR(VLOOKUP(F6443,CARTON_LOOKUP!$A:$E,4,0),"")</f>
      </c>
      <c r="I6443" s="28">
        <f>IFERROR(VLOOKUP(F6443,CARTON_LOOKUP!$A:$E,5,0),"")</f>
      </c>
      <c r="J6443" s="29">
        <f>IFERROR(VLOOKUP(F6443,CARTON_LOOKUP!$A:$E,2,0),"")</f>
      </c>
      <c r="K6443" s="29">
        <f>IFERROR(J6443*D6443,0)</f>
      </c>
      <c r="L6443" s="29">
        <f>IFERROR(E6443*C6443,0)</f>
      </c>
      <c r="M6443" s="29">
        <f>IFERROR((G6443*H6443*I6443/1000000)*D6443,0)</f>
      </c>
    </row>
    <row r="6444" spans="1:13" x14ac:dyDescent="0.25">
      <c r="A6444" s="16"/>
      <c r="E6444" s="27"/>
      <c r="F6444" t="s">
        <v>26</v>
      </c>
      <c r="G6444" s="28">
        <f>IFERROR(VLOOKUP(F6444,CARTON_LOOKUP!$A:$E,3,0),"")</f>
      </c>
      <c r="H6444" s="28">
        <f>IFERROR(VLOOKUP(F6444,CARTON_LOOKUP!$A:$E,4,0),"")</f>
      </c>
      <c r="I6444" s="28">
        <f>IFERROR(VLOOKUP(F6444,CARTON_LOOKUP!$A:$E,5,0),"")</f>
      </c>
      <c r="J6444" s="29">
        <f>IFERROR(VLOOKUP(F6444,CARTON_LOOKUP!$A:$E,2,0),"")</f>
      </c>
      <c r="K6444" s="29">
        <f>IFERROR(J6444*D6444,0)</f>
      </c>
      <c r="L6444" s="29">
        <f>IFERROR(E6444*C6444,0)</f>
      </c>
      <c r="M6444" s="29">
        <f>IFERROR((G6444*H6444*I6444/1000000)*D6444,0)</f>
      </c>
    </row>
    <row r="6445" spans="1:13" x14ac:dyDescent="0.25">
      <c r="A6445" s="16"/>
      <c r="E6445" s="27"/>
      <c r="F6445" t="s">
        <v>26</v>
      </c>
      <c r="G6445" s="28">
        <f>IFERROR(VLOOKUP(F6445,CARTON_LOOKUP!$A:$E,3,0),"")</f>
      </c>
      <c r="H6445" s="28">
        <f>IFERROR(VLOOKUP(F6445,CARTON_LOOKUP!$A:$E,4,0),"")</f>
      </c>
      <c r="I6445" s="28">
        <f>IFERROR(VLOOKUP(F6445,CARTON_LOOKUP!$A:$E,5,0),"")</f>
      </c>
      <c r="J6445" s="29">
        <f>IFERROR(VLOOKUP(F6445,CARTON_LOOKUP!$A:$E,2,0),"")</f>
      </c>
      <c r="K6445" s="29">
        <f>IFERROR(J6445*D6445,0)</f>
      </c>
      <c r="L6445" s="29">
        <f>IFERROR(E6445*C6445,0)</f>
      </c>
      <c r="M6445" s="29">
        <f>IFERROR((G6445*H6445*I6445/1000000)*D6445,0)</f>
      </c>
    </row>
    <row r="6446" spans="1:13" x14ac:dyDescent="0.25">
      <c r="A6446" s="16"/>
      <c r="E6446" s="27"/>
      <c r="F6446" t="s">
        <v>26</v>
      </c>
      <c r="G6446" s="28">
        <f>IFERROR(VLOOKUP(F6446,CARTON_LOOKUP!$A:$E,3,0),"")</f>
      </c>
      <c r="H6446" s="28">
        <f>IFERROR(VLOOKUP(F6446,CARTON_LOOKUP!$A:$E,4,0),"")</f>
      </c>
      <c r="I6446" s="28">
        <f>IFERROR(VLOOKUP(F6446,CARTON_LOOKUP!$A:$E,5,0),"")</f>
      </c>
      <c r="J6446" s="29">
        <f>IFERROR(VLOOKUP(F6446,CARTON_LOOKUP!$A:$E,2,0),"")</f>
      </c>
      <c r="K6446" s="29">
        <f>IFERROR(J6446*D6446,0)</f>
      </c>
      <c r="L6446" s="29">
        <f>IFERROR(E6446*C6446,0)</f>
      </c>
      <c r="M6446" s="29">
        <f>IFERROR((G6446*H6446*I6446/1000000)*D6446,0)</f>
      </c>
    </row>
    <row r="6447" spans="1:13" x14ac:dyDescent="0.25">
      <c r="A6447" s="16"/>
      <c r="E6447" s="27"/>
      <c r="F6447" t="s">
        <v>26</v>
      </c>
      <c r="G6447" s="28">
        <f>IFERROR(VLOOKUP(F6447,CARTON_LOOKUP!$A:$E,3,0),"")</f>
      </c>
      <c r="H6447" s="28">
        <f>IFERROR(VLOOKUP(F6447,CARTON_LOOKUP!$A:$E,4,0),"")</f>
      </c>
      <c r="I6447" s="28">
        <f>IFERROR(VLOOKUP(F6447,CARTON_LOOKUP!$A:$E,5,0),"")</f>
      </c>
      <c r="J6447" s="29">
        <f>IFERROR(VLOOKUP(F6447,CARTON_LOOKUP!$A:$E,2,0),"")</f>
      </c>
      <c r="K6447" s="29">
        <f>IFERROR(J6447*D6447,0)</f>
      </c>
      <c r="L6447" s="29">
        <f>IFERROR(E6447*C6447,0)</f>
      </c>
      <c r="M6447" s="29">
        <f>IFERROR((G6447*H6447*I6447/1000000)*D6447,0)</f>
      </c>
    </row>
    <row r="6448" spans="1:13" x14ac:dyDescent="0.25">
      <c r="A6448" s="16"/>
      <c r="E6448" s="27"/>
      <c r="F6448" t="s">
        <v>26</v>
      </c>
      <c r="G6448" s="28">
        <f>IFERROR(VLOOKUP(F6448,CARTON_LOOKUP!$A:$E,3,0),"")</f>
      </c>
      <c r="H6448" s="28">
        <f>IFERROR(VLOOKUP(F6448,CARTON_LOOKUP!$A:$E,4,0),"")</f>
      </c>
      <c r="I6448" s="28">
        <f>IFERROR(VLOOKUP(F6448,CARTON_LOOKUP!$A:$E,5,0),"")</f>
      </c>
      <c r="J6448" s="29">
        <f>IFERROR(VLOOKUP(F6448,CARTON_LOOKUP!$A:$E,2,0),"")</f>
      </c>
      <c r="K6448" s="29">
        <f>IFERROR(J6448*D6448,0)</f>
      </c>
      <c r="L6448" s="29">
        <f>IFERROR(E6448*C6448,0)</f>
      </c>
      <c r="M6448" s="29">
        <f>IFERROR((G6448*H6448*I6448/1000000)*D6448,0)</f>
      </c>
    </row>
    <row r="6449" spans="1:13" x14ac:dyDescent="0.25">
      <c r="A6449" s="16"/>
      <c r="E6449" s="27"/>
      <c r="F6449" t="s">
        <v>26</v>
      </c>
      <c r="G6449" s="28">
        <f>IFERROR(VLOOKUP(F6449,CARTON_LOOKUP!$A:$E,3,0),"")</f>
      </c>
      <c r="H6449" s="28">
        <f>IFERROR(VLOOKUP(F6449,CARTON_LOOKUP!$A:$E,4,0),"")</f>
      </c>
      <c r="I6449" s="28">
        <f>IFERROR(VLOOKUP(F6449,CARTON_LOOKUP!$A:$E,5,0),"")</f>
      </c>
      <c r="J6449" s="29">
        <f>IFERROR(VLOOKUP(F6449,CARTON_LOOKUP!$A:$E,2,0),"")</f>
      </c>
      <c r="K6449" s="29">
        <f>IFERROR(J6449*D6449,0)</f>
      </c>
      <c r="L6449" s="29">
        <f>IFERROR(E6449*C6449,0)</f>
      </c>
      <c r="M6449" s="29">
        <f>IFERROR((G6449*H6449*I6449/1000000)*D6449,0)</f>
      </c>
    </row>
    <row r="6450" spans="1:13" x14ac:dyDescent="0.25">
      <c r="A6450" s="16"/>
      <c r="E6450" s="27"/>
      <c r="F6450" t="s">
        <v>26</v>
      </c>
      <c r="G6450" s="28">
        <f>IFERROR(VLOOKUP(F6450,CARTON_LOOKUP!$A:$E,3,0),"")</f>
      </c>
      <c r="H6450" s="28">
        <f>IFERROR(VLOOKUP(F6450,CARTON_LOOKUP!$A:$E,4,0),"")</f>
      </c>
      <c r="I6450" s="28">
        <f>IFERROR(VLOOKUP(F6450,CARTON_LOOKUP!$A:$E,5,0),"")</f>
      </c>
      <c r="J6450" s="29">
        <f>IFERROR(VLOOKUP(F6450,CARTON_LOOKUP!$A:$E,2,0),"")</f>
      </c>
      <c r="K6450" s="29">
        <f>IFERROR(J6450*D6450,0)</f>
      </c>
      <c r="L6450" s="29">
        <f>IFERROR(E6450*C6450,0)</f>
      </c>
      <c r="M6450" s="29">
        <f>IFERROR((G6450*H6450*I6450/1000000)*D6450,0)</f>
      </c>
    </row>
    <row r="6451" spans="1:13" x14ac:dyDescent="0.25">
      <c r="A6451" s="16"/>
      <c r="E6451" s="27"/>
      <c r="F6451" t="s">
        <v>26</v>
      </c>
      <c r="G6451" s="28">
        <f>IFERROR(VLOOKUP(F6451,CARTON_LOOKUP!$A:$E,3,0),"")</f>
      </c>
      <c r="H6451" s="28">
        <f>IFERROR(VLOOKUP(F6451,CARTON_LOOKUP!$A:$E,4,0),"")</f>
      </c>
      <c r="I6451" s="28">
        <f>IFERROR(VLOOKUP(F6451,CARTON_LOOKUP!$A:$E,5,0),"")</f>
      </c>
      <c r="J6451" s="29">
        <f>IFERROR(VLOOKUP(F6451,CARTON_LOOKUP!$A:$E,2,0),"")</f>
      </c>
      <c r="K6451" s="29">
        <f>IFERROR(J6451*D6451,0)</f>
      </c>
      <c r="L6451" s="29">
        <f>IFERROR(E6451*C6451,0)</f>
      </c>
      <c r="M6451" s="29">
        <f>IFERROR((G6451*H6451*I6451/1000000)*D6451,0)</f>
      </c>
    </row>
    <row r="6452" spans="1:13" x14ac:dyDescent="0.25">
      <c r="A6452" s="16"/>
      <c r="E6452" s="27"/>
      <c r="F6452" t="s">
        <v>26</v>
      </c>
      <c r="G6452" s="28">
        <f>IFERROR(VLOOKUP(F6452,CARTON_LOOKUP!$A:$E,3,0),"")</f>
      </c>
      <c r="H6452" s="28">
        <f>IFERROR(VLOOKUP(F6452,CARTON_LOOKUP!$A:$E,4,0),"")</f>
      </c>
      <c r="I6452" s="28">
        <f>IFERROR(VLOOKUP(F6452,CARTON_LOOKUP!$A:$E,5,0),"")</f>
      </c>
      <c r="J6452" s="29">
        <f>IFERROR(VLOOKUP(F6452,CARTON_LOOKUP!$A:$E,2,0),"")</f>
      </c>
      <c r="K6452" s="29">
        <f>IFERROR(J6452*D6452,0)</f>
      </c>
      <c r="L6452" s="29">
        <f>IFERROR(E6452*C6452,0)</f>
      </c>
      <c r="M6452" s="29">
        <f>IFERROR((G6452*H6452*I6452/1000000)*D6452,0)</f>
      </c>
    </row>
    <row r="6453" spans="1:13" x14ac:dyDescent="0.25">
      <c r="A6453" s="16"/>
      <c r="E6453" s="27"/>
      <c r="F6453" t="s">
        <v>26</v>
      </c>
      <c r="G6453" s="28">
        <f>IFERROR(VLOOKUP(F6453,CARTON_LOOKUP!$A:$E,3,0),"")</f>
      </c>
      <c r="H6453" s="28">
        <f>IFERROR(VLOOKUP(F6453,CARTON_LOOKUP!$A:$E,4,0),"")</f>
      </c>
      <c r="I6453" s="28">
        <f>IFERROR(VLOOKUP(F6453,CARTON_LOOKUP!$A:$E,5,0),"")</f>
      </c>
      <c r="J6453" s="29">
        <f>IFERROR(VLOOKUP(F6453,CARTON_LOOKUP!$A:$E,2,0),"")</f>
      </c>
      <c r="K6453" s="29">
        <f>IFERROR(J6453*D6453,0)</f>
      </c>
      <c r="L6453" s="29">
        <f>IFERROR(E6453*C6453,0)</f>
      </c>
      <c r="M6453" s="29">
        <f>IFERROR((G6453*H6453*I6453/1000000)*D6453,0)</f>
      </c>
    </row>
    <row r="6454" spans="1:13" x14ac:dyDescent="0.25">
      <c r="A6454" s="16"/>
      <c r="E6454" s="27"/>
      <c r="F6454" t="s">
        <v>26</v>
      </c>
      <c r="G6454" s="28">
        <f>IFERROR(VLOOKUP(F6454,CARTON_LOOKUP!$A:$E,3,0),"")</f>
      </c>
      <c r="H6454" s="28">
        <f>IFERROR(VLOOKUP(F6454,CARTON_LOOKUP!$A:$E,4,0),"")</f>
      </c>
      <c r="I6454" s="28">
        <f>IFERROR(VLOOKUP(F6454,CARTON_LOOKUP!$A:$E,5,0),"")</f>
      </c>
      <c r="J6454" s="29">
        <f>IFERROR(VLOOKUP(F6454,CARTON_LOOKUP!$A:$E,2,0),"")</f>
      </c>
      <c r="K6454" s="29">
        <f>IFERROR(J6454*D6454,0)</f>
      </c>
      <c r="L6454" s="29">
        <f>IFERROR(E6454*C6454,0)</f>
      </c>
      <c r="M6454" s="29">
        <f>IFERROR((G6454*H6454*I6454/1000000)*D6454,0)</f>
      </c>
    </row>
    <row r="6455" spans="1:13" x14ac:dyDescent="0.25">
      <c r="A6455" s="16"/>
      <c r="E6455" s="27"/>
      <c r="F6455" t="s">
        <v>26</v>
      </c>
      <c r="G6455" s="28">
        <f>IFERROR(VLOOKUP(F6455,CARTON_LOOKUP!$A:$E,3,0),"")</f>
      </c>
      <c r="H6455" s="28">
        <f>IFERROR(VLOOKUP(F6455,CARTON_LOOKUP!$A:$E,4,0),"")</f>
      </c>
      <c r="I6455" s="28">
        <f>IFERROR(VLOOKUP(F6455,CARTON_LOOKUP!$A:$E,5,0),"")</f>
      </c>
      <c r="J6455" s="29">
        <f>IFERROR(VLOOKUP(F6455,CARTON_LOOKUP!$A:$E,2,0),"")</f>
      </c>
      <c r="K6455" s="29">
        <f>IFERROR(J6455*D6455,0)</f>
      </c>
      <c r="L6455" s="29">
        <f>IFERROR(E6455*C6455,0)</f>
      </c>
      <c r="M6455" s="29">
        <f>IFERROR((G6455*H6455*I6455/1000000)*D6455,0)</f>
      </c>
    </row>
    <row r="6456" spans="1:13" x14ac:dyDescent="0.25">
      <c r="A6456" s="16"/>
      <c r="E6456" s="27"/>
      <c r="F6456" t="s">
        <v>26</v>
      </c>
      <c r="G6456" s="28">
        <f>IFERROR(VLOOKUP(F6456,CARTON_LOOKUP!$A:$E,3,0),"")</f>
      </c>
      <c r="H6456" s="28">
        <f>IFERROR(VLOOKUP(F6456,CARTON_LOOKUP!$A:$E,4,0),"")</f>
      </c>
      <c r="I6456" s="28">
        <f>IFERROR(VLOOKUP(F6456,CARTON_LOOKUP!$A:$E,5,0),"")</f>
      </c>
      <c r="J6456" s="29">
        <f>IFERROR(VLOOKUP(F6456,CARTON_LOOKUP!$A:$E,2,0),"")</f>
      </c>
      <c r="K6456" s="29">
        <f>IFERROR(J6456*D6456,0)</f>
      </c>
      <c r="L6456" s="29">
        <f>IFERROR(E6456*C6456,0)</f>
      </c>
      <c r="M6456" s="29">
        <f>IFERROR((G6456*H6456*I6456/1000000)*D6456,0)</f>
      </c>
    </row>
    <row r="6457" spans="1:13" x14ac:dyDescent="0.25">
      <c r="A6457" s="16"/>
      <c r="E6457" s="27"/>
      <c r="F6457" t="s">
        <v>26</v>
      </c>
      <c r="G6457" s="28">
        <f>IFERROR(VLOOKUP(F6457,CARTON_LOOKUP!$A:$E,3,0),"")</f>
      </c>
      <c r="H6457" s="28">
        <f>IFERROR(VLOOKUP(F6457,CARTON_LOOKUP!$A:$E,4,0),"")</f>
      </c>
      <c r="I6457" s="28">
        <f>IFERROR(VLOOKUP(F6457,CARTON_LOOKUP!$A:$E,5,0),"")</f>
      </c>
      <c r="J6457" s="29">
        <f>IFERROR(VLOOKUP(F6457,CARTON_LOOKUP!$A:$E,2,0),"")</f>
      </c>
      <c r="K6457" s="29">
        <f>IFERROR(J6457*D6457,0)</f>
      </c>
      <c r="L6457" s="29">
        <f>IFERROR(E6457*C6457,0)</f>
      </c>
      <c r="M6457" s="29">
        <f>IFERROR((G6457*H6457*I6457/1000000)*D6457,0)</f>
      </c>
    </row>
    <row r="6458" spans="1:13" x14ac:dyDescent="0.25">
      <c r="A6458" s="16"/>
      <c r="E6458" s="27"/>
      <c r="F6458" t="s">
        <v>26</v>
      </c>
      <c r="G6458" s="28">
        <f>IFERROR(VLOOKUP(F6458,CARTON_LOOKUP!$A:$E,3,0),"")</f>
      </c>
      <c r="H6458" s="28">
        <f>IFERROR(VLOOKUP(F6458,CARTON_LOOKUP!$A:$E,4,0),"")</f>
      </c>
      <c r="I6458" s="28">
        <f>IFERROR(VLOOKUP(F6458,CARTON_LOOKUP!$A:$E,5,0),"")</f>
      </c>
      <c r="J6458" s="29">
        <f>IFERROR(VLOOKUP(F6458,CARTON_LOOKUP!$A:$E,2,0),"")</f>
      </c>
      <c r="K6458" s="29">
        <f>IFERROR(J6458*D6458,0)</f>
      </c>
      <c r="L6458" s="29">
        <f>IFERROR(E6458*C6458,0)</f>
      </c>
      <c r="M6458" s="29">
        <f>IFERROR((G6458*H6458*I6458/1000000)*D6458,0)</f>
      </c>
    </row>
    <row r="6459" spans="1:13" x14ac:dyDescent="0.25">
      <c r="A6459" s="16"/>
      <c r="E6459" s="27"/>
      <c r="F6459" t="s">
        <v>26</v>
      </c>
      <c r="G6459" s="28">
        <f>IFERROR(VLOOKUP(F6459,CARTON_LOOKUP!$A:$E,3,0),"")</f>
      </c>
      <c r="H6459" s="28">
        <f>IFERROR(VLOOKUP(F6459,CARTON_LOOKUP!$A:$E,4,0),"")</f>
      </c>
      <c r="I6459" s="28">
        <f>IFERROR(VLOOKUP(F6459,CARTON_LOOKUP!$A:$E,5,0),"")</f>
      </c>
      <c r="J6459" s="29">
        <f>IFERROR(VLOOKUP(F6459,CARTON_LOOKUP!$A:$E,2,0),"")</f>
      </c>
      <c r="K6459" s="29">
        <f>IFERROR(J6459*D6459,0)</f>
      </c>
      <c r="L6459" s="29">
        <f>IFERROR(E6459*C6459,0)</f>
      </c>
      <c r="M6459" s="29">
        <f>IFERROR((G6459*H6459*I6459/1000000)*D6459,0)</f>
      </c>
    </row>
    <row r="6460" spans="1:13" x14ac:dyDescent="0.25">
      <c r="A6460" s="16"/>
      <c r="E6460" s="27"/>
      <c r="F6460" t="s">
        <v>26</v>
      </c>
      <c r="G6460" s="28">
        <f>IFERROR(VLOOKUP(F6460,CARTON_LOOKUP!$A:$E,3,0),"")</f>
      </c>
      <c r="H6460" s="28">
        <f>IFERROR(VLOOKUP(F6460,CARTON_LOOKUP!$A:$E,4,0),"")</f>
      </c>
      <c r="I6460" s="28">
        <f>IFERROR(VLOOKUP(F6460,CARTON_LOOKUP!$A:$E,5,0),"")</f>
      </c>
      <c r="J6460" s="29">
        <f>IFERROR(VLOOKUP(F6460,CARTON_LOOKUP!$A:$E,2,0),"")</f>
      </c>
      <c r="K6460" s="29">
        <f>IFERROR(J6460*D6460,0)</f>
      </c>
      <c r="L6460" s="29">
        <f>IFERROR(E6460*C6460,0)</f>
      </c>
      <c r="M6460" s="29">
        <f>IFERROR((G6460*H6460*I6460/1000000)*D6460,0)</f>
      </c>
    </row>
    <row r="6461" spans="1:13" x14ac:dyDescent="0.25">
      <c r="A6461" s="16"/>
      <c r="E6461" s="27"/>
      <c r="F6461" t="s">
        <v>26</v>
      </c>
      <c r="G6461" s="28">
        <f>IFERROR(VLOOKUP(F6461,CARTON_LOOKUP!$A:$E,3,0),"")</f>
      </c>
      <c r="H6461" s="28">
        <f>IFERROR(VLOOKUP(F6461,CARTON_LOOKUP!$A:$E,4,0),"")</f>
      </c>
      <c r="I6461" s="28">
        <f>IFERROR(VLOOKUP(F6461,CARTON_LOOKUP!$A:$E,5,0),"")</f>
      </c>
      <c r="J6461" s="29">
        <f>IFERROR(VLOOKUP(F6461,CARTON_LOOKUP!$A:$E,2,0),"")</f>
      </c>
      <c r="K6461" s="29">
        <f>IFERROR(J6461*D6461,0)</f>
      </c>
      <c r="L6461" s="29">
        <f>IFERROR(E6461*C6461,0)</f>
      </c>
      <c r="M6461" s="29">
        <f>IFERROR((G6461*H6461*I6461/1000000)*D6461,0)</f>
      </c>
    </row>
    <row r="6462" spans="1:13" x14ac:dyDescent="0.25">
      <c r="A6462" s="16"/>
      <c r="E6462" s="27"/>
      <c r="F6462" t="s">
        <v>26</v>
      </c>
      <c r="G6462" s="28">
        <f>IFERROR(VLOOKUP(F6462,CARTON_LOOKUP!$A:$E,3,0),"")</f>
      </c>
      <c r="H6462" s="28">
        <f>IFERROR(VLOOKUP(F6462,CARTON_LOOKUP!$A:$E,4,0),"")</f>
      </c>
      <c r="I6462" s="28">
        <f>IFERROR(VLOOKUP(F6462,CARTON_LOOKUP!$A:$E,5,0),"")</f>
      </c>
      <c r="J6462" s="29">
        <f>IFERROR(VLOOKUP(F6462,CARTON_LOOKUP!$A:$E,2,0),"")</f>
      </c>
      <c r="K6462" s="29">
        <f>IFERROR(J6462*D6462,0)</f>
      </c>
      <c r="L6462" s="29">
        <f>IFERROR(E6462*C6462,0)</f>
      </c>
      <c r="M6462" s="29">
        <f>IFERROR((G6462*H6462*I6462/1000000)*D6462,0)</f>
      </c>
    </row>
    <row r="6463" spans="1:13" x14ac:dyDescent="0.25">
      <c r="A6463" s="16"/>
      <c r="E6463" s="27"/>
      <c r="F6463" t="s">
        <v>26</v>
      </c>
      <c r="G6463" s="28">
        <f>IFERROR(VLOOKUP(F6463,CARTON_LOOKUP!$A:$E,3,0),"")</f>
      </c>
      <c r="H6463" s="28">
        <f>IFERROR(VLOOKUP(F6463,CARTON_LOOKUP!$A:$E,4,0),"")</f>
      </c>
      <c r="I6463" s="28">
        <f>IFERROR(VLOOKUP(F6463,CARTON_LOOKUP!$A:$E,5,0),"")</f>
      </c>
      <c r="J6463" s="29">
        <f>IFERROR(VLOOKUP(F6463,CARTON_LOOKUP!$A:$E,2,0),"")</f>
      </c>
      <c r="K6463" s="29">
        <f>IFERROR(J6463*D6463,0)</f>
      </c>
      <c r="L6463" s="29">
        <f>IFERROR(E6463*C6463,0)</f>
      </c>
      <c r="M6463" s="29">
        <f>IFERROR((G6463*H6463*I6463/1000000)*D6463,0)</f>
      </c>
    </row>
    <row r="6464" spans="1:13" x14ac:dyDescent="0.25">
      <c r="A6464" s="16"/>
      <c r="E6464" s="27"/>
      <c r="F6464" t="s">
        <v>26</v>
      </c>
      <c r="G6464" s="28">
        <f>IFERROR(VLOOKUP(F6464,CARTON_LOOKUP!$A:$E,3,0),"")</f>
      </c>
      <c r="H6464" s="28">
        <f>IFERROR(VLOOKUP(F6464,CARTON_LOOKUP!$A:$E,4,0),"")</f>
      </c>
      <c r="I6464" s="28">
        <f>IFERROR(VLOOKUP(F6464,CARTON_LOOKUP!$A:$E,5,0),"")</f>
      </c>
      <c r="J6464" s="29">
        <f>IFERROR(VLOOKUP(F6464,CARTON_LOOKUP!$A:$E,2,0),"")</f>
      </c>
      <c r="K6464" s="29">
        <f>IFERROR(J6464*D6464,0)</f>
      </c>
      <c r="L6464" s="29">
        <f>IFERROR(E6464*C6464,0)</f>
      </c>
      <c r="M6464" s="29">
        <f>IFERROR((G6464*H6464*I6464/1000000)*D6464,0)</f>
      </c>
    </row>
    <row r="6465" spans="1:13" x14ac:dyDescent="0.25">
      <c r="A6465" s="16"/>
      <c r="E6465" s="27"/>
      <c r="F6465" t="s">
        <v>26</v>
      </c>
      <c r="G6465" s="28">
        <f>IFERROR(VLOOKUP(F6465,CARTON_LOOKUP!$A:$E,3,0),"")</f>
      </c>
      <c r="H6465" s="28">
        <f>IFERROR(VLOOKUP(F6465,CARTON_LOOKUP!$A:$E,4,0),"")</f>
      </c>
      <c r="I6465" s="28">
        <f>IFERROR(VLOOKUP(F6465,CARTON_LOOKUP!$A:$E,5,0),"")</f>
      </c>
      <c r="J6465" s="29">
        <f>IFERROR(VLOOKUP(F6465,CARTON_LOOKUP!$A:$E,2,0),"")</f>
      </c>
      <c r="K6465" s="29">
        <f>IFERROR(J6465*D6465,0)</f>
      </c>
      <c r="L6465" s="29">
        <f>IFERROR(E6465*C6465,0)</f>
      </c>
      <c r="M6465" s="29">
        <f>IFERROR((G6465*H6465*I6465/1000000)*D6465,0)</f>
      </c>
    </row>
    <row r="6466" spans="1:13" x14ac:dyDescent="0.25">
      <c r="A6466" s="16"/>
      <c r="E6466" s="27"/>
      <c r="F6466" t="s">
        <v>26</v>
      </c>
      <c r="G6466" s="28">
        <f>IFERROR(VLOOKUP(F6466,CARTON_LOOKUP!$A:$E,3,0),"")</f>
      </c>
      <c r="H6466" s="28">
        <f>IFERROR(VLOOKUP(F6466,CARTON_LOOKUP!$A:$E,4,0),"")</f>
      </c>
      <c r="I6466" s="28">
        <f>IFERROR(VLOOKUP(F6466,CARTON_LOOKUP!$A:$E,5,0),"")</f>
      </c>
      <c r="J6466" s="29">
        <f>IFERROR(VLOOKUP(F6466,CARTON_LOOKUP!$A:$E,2,0),"")</f>
      </c>
      <c r="K6466" s="29">
        <f>IFERROR(J6466*D6466,0)</f>
      </c>
      <c r="L6466" s="29">
        <f>IFERROR(E6466*C6466,0)</f>
      </c>
      <c r="M6466" s="29">
        <f>IFERROR((G6466*H6466*I6466/1000000)*D6466,0)</f>
      </c>
    </row>
    <row r="6467" spans="1:13" x14ac:dyDescent="0.25">
      <c r="A6467" s="16"/>
      <c r="E6467" s="27"/>
      <c r="F6467" t="s">
        <v>26</v>
      </c>
      <c r="G6467" s="28">
        <f>IFERROR(VLOOKUP(F6467,CARTON_LOOKUP!$A:$E,3,0),"")</f>
      </c>
      <c r="H6467" s="28">
        <f>IFERROR(VLOOKUP(F6467,CARTON_LOOKUP!$A:$E,4,0),"")</f>
      </c>
      <c r="I6467" s="28">
        <f>IFERROR(VLOOKUP(F6467,CARTON_LOOKUP!$A:$E,5,0),"")</f>
      </c>
      <c r="J6467" s="29">
        <f>IFERROR(VLOOKUP(F6467,CARTON_LOOKUP!$A:$E,2,0),"")</f>
      </c>
      <c r="K6467" s="29">
        <f>IFERROR(J6467*D6467,0)</f>
      </c>
      <c r="L6467" s="29">
        <f>IFERROR(E6467*C6467,0)</f>
      </c>
      <c r="M6467" s="29">
        <f>IFERROR((G6467*H6467*I6467/1000000)*D6467,0)</f>
      </c>
    </row>
    <row r="6468" spans="1:13" x14ac:dyDescent="0.25">
      <c r="A6468" s="16"/>
      <c r="E6468" s="27"/>
      <c r="F6468" t="s">
        <v>26</v>
      </c>
      <c r="G6468" s="28">
        <f>IFERROR(VLOOKUP(F6468,CARTON_LOOKUP!$A:$E,3,0),"")</f>
      </c>
      <c r="H6468" s="28">
        <f>IFERROR(VLOOKUP(F6468,CARTON_LOOKUP!$A:$E,4,0),"")</f>
      </c>
      <c r="I6468" s="28">
        <f>IFERROR(VLOOKUP(F6468,CARTON_LOOKUP!$A:$E,5,0),"")</f>
      </c>
      <c r="J6468" s="29">
        <f>IFERROR(VLOOKUP(F6468,CARTON_LOOKUP!$A:$E,2,0),"")</f>
      </c>
      <c r="K6468" s="29">
        <f>IFERROR(J6468*D6468,0)</f>
      </c>
      <c r="L6468" s="29">
        <f>IFERROR(E6468*C6468,0)</f>
      </c>
      <c r="M6468" s="29">
        <f>IFERROR((G6468*H6468*I6468/1000000)*D6468,0)</f>
      </c>
    </row>
    <row r="6469" spans="1:13" x14ac:dyDescent="0.25">
      <c r="A6469" s="16"/>
      <c r="E6469" s="27"/>
      <c r="F6469" t="s">
        <v>26</v>
      </c>
      <c r="G6469" s="28">
        <f>IFERROR(VLOOKUP(F6469,CARTON_LOOKUP!$A:$E,3,0),"")</f>
      </c>
      <c r="H6469" s="28">
        <f>IFERROR(VLOOKUP(F6469,CARTON_LOOKUP!$A:$E,4,0),"")</f>
      </c>
      <c r="I6469" s="28">
        <f>IFERROR(VLOOKUP(F6469,CARTON_LOOKUP!$A:$E,5,0),"")</f>
      </c>
      <c r="J6469" s="29">
        <f>IFERROR(VLOOKUP(F6469,CARTON_LOOKUP!$A:$E,2,0),"")</f>
      </c>
      <c r="K6469" s="29">
        <f>IFERROR(J6469*D6469,0)</f>
      </c>
      <c r="L6469" s="29">
        <f>IFERROR(E6469*C6469,0)</f>
      </c>
      <c r="M6469" s="29">
        <f>IFERROR((G6469*H6469*I6469/1000000)*D6469,0)</f>
      </c>
    </row>
    <row r="6470" spans="1:13" x14ac:dyDescent="0.25">
      <c r="A6470" s="16"/>
      <c r="E6470" s="27"/>
      <c r="F6470" t="s">
        <v>26</v>
      </c>
      <c r="G6470" s="28">
        <f>IFERROR(VLOOKUP(F6470,CARTON_LOOKUP!$A:$E,3,0),"")</f>
      </c>
      <c r="H6470" s="28">
        <f>IFERROR(VLOOKUP(F6470,CARTON_LOOKUP!$A:$E,4,0),"")</f>
      </c>
      <c r="I6470" s="28">
        <f>IFERROR(VLOOKUP(F6470,CARTON_LOOKUP!$A:$E,5,0),"")</f>
      </c>
      <c r="J6470" s="29">
        <f>IFERROR(VLOOKUP(F6470,CARTON_LOOKUP!$A:$E,2,0),"")</f>
      </c>
      <c r="K6470" s="29">
        <f>IFERROR(J6470*D6470,0)</f>
      </c>
      <c r="L6470" s="29">
        <f>IFERROR(E6470*C6470,0)</f>
      </c>
      <c r="M6470" s="29">
        <f>IFERROR((G6470*H6470*I6470/1000000)*D6470,0)</f>
      </c>
    </row>
    <row r="6471" spans="1:13" x14ac:dyDescent="0.25">
      <c r="A6471" s="16"/>
      <c r="E6471" s="27"/>
      <c r="F6471" t="s">
        <v>26</v>
      </c>
      <c r="G6471" s="28">
        <f>IFERROR(VLOOKUP(F6471,CARTON_LOOKUP!$A:$E,3,0),"")</f>
      </c>
      <c r="H6471" s="28">
        <f>IFERROR(VLOOKUP(F6471,CARTON_LOOKUP!$A:$E,4,0),"")</f>
      </c>
      <c r="I6471" s="28">
        <f>IFERROR(VLOOKUP(F6471,CARTON_LOOKUP!$A:$E,5,0),"")</f>
      </c>
      <c r="J6471" s="29">
        <f>IFERROR(VLOOKUP(F6471,CARTON_LOOKUP!$A:$E,2,0),"")</f>
      </c>
      <c r="K6471" s="29">
        <f>IFERROR(J6471*D6471,0)</f>
      </c>
      <c r="L6471" s="29">
        <f>IFERROR(E6471*C6471,0)</f>
      </c>
      <c r="M6471" s="29">
        <f>IFERROR((G6471*H6471*I6471/1000000)*D6471,0)</f>
      </c>
    </row>
    <row r="6472" spans="1:13" x14ac:dyDescent="0.25">
      <c r="A6472" s="16"/>
      <c r="E6472" s="27"/>
      <c r="F6472" t="s">
        <v>26</v>
      </c>
      <c r="G6472" s="28">
        <f>IFERROR(VLOOKUP(F6472,CARTON_LOOKUP!$A:$E,3,0),"")</f>
      </c>
      <c r="H6472" s="28">
        <f>IFERROR(VLOOKUP(F6472,CARTON_LOOKUP!$A:$E,4,0),"")</f>
      </c>
      <c r="I6472" s="28">
        <f>IFERROR(VLOOKUP(F6472,CARTON_LOOKUP!$A:$E,5,0),"")</f>
      </c>
      <c r="J6472" s="29">
        <f>IFERROR(VLOOKUP(F6472,CARTON_LOOKUP!$A:$E,2,0),"")</f>
      </c>
      <c r="K6472" s="29">
        <f>IFERROR(J6472*D6472,0)</f>
      </c>
      <c r="L6472" s="29">
        <f>IFERROR(E6472*C6472,0)</f>
      </c>
      <c r="M6472" s="29">
        <f>IFERROR((G6472*H6472*I6472/1000000)*D6472,0)</f>
      </c>
    </row>
    <row r="6473" spans="1:13" x14ac:dyDescent="0.25">
      <c r="A6473" s="16"/>
      <c r="E6473" s="27"/>
      <c r="F6473" t="s">
        <v>26</v>
      </c>
      <c r="G6473" s="28">
        <f>IFERROR(VLOOKUP(F6473,CARTON_LOOKUP!$A:$E,3,0),"")</f>
      </c>
      <c r="H6473" s="28">
        <f>IFERROR(VLOOKUP(F6473,CARTON_LOOKUP!$A:$E,4,0),"")</f>
      </c>
      <c r="I6473" s="28">
        <f>IFERROR(VLOOKUP(F6473,CARTON_LOOKUP!$A:$E,5,0),"")</f>
      </c>
      <c r="J6473" s="29">
        <f>IFERROR(VLOOKUP(F6473,CARTON_LOOKUP!$A:$E,2,0),"")</f>
      </c>
      <c r="K6473" s="29">
        <f>IFERROR(J6473*D6473,0)</f>
      </c>
      <c r="L6473" s="29">
        <f>IFERROR(E6473*C6473,0)</f>
      </c>
      <c r="M6473" s="29">
        <f>IFERROR((G6473*H6473*I6473/1000000)*D6473,0)</f>
      </c>
    </row>
    <row r="6474" spans="1:13" x14ac:dyDescent="0.25">
      <c r="A6474" s="16"/>
      <c r="E6474" s="27"/>
      <c r="F6474" t="s">
        <v>26</v>
      </c>
      <c r="G6474" s="28">
        <f>IFERROR(VLOOKUP(F6474,CARTON_LOOKUP!$A:$E,3,0),"")</f>
      </c>
      <c r="H6474" s="28">
        <f>IFERROR(VLOOKUP(F6474,CARTON_LOOKUP!$A:$E,4,0),"")</f>
      </c>
      <c r="I6474" s="28">
        <f>IFERROR(VLOOKUP(F6474,CARTON_LOOKUP!$A:$E,5,0),"")</f>
      </c>
      <c r="J6474" s="29">
        <f>IFERROR(VLOOKUP(F6474,CARTON_LOOKUP!$A:$E,2,0),"")</f>
      </c>
      <c r="K6474" s="29">
        <f>IFERROR(J6474*D6474,0)</f>
      </c>
      <c r="L6474" s="29">
        <f>IFERROR(E6474*C6474,0)</f>
      </c>
      <c r="M6474" s="29">
        <f>IFERROR((G6474*H6474*I6474/1000000)*D6474,0)</f>
      </c>
    </row>
    <row r="6475" spans="1:13" x14ac:dyDescent="0.25">
      <c r="A6475" s="16"/>
      <c r="E6475" s="27"/>
      <c r="F6475" t="s">
        <v>26</v>
      </c>
      <c r="G6475" s="28">
        <f>IFERROR(VLOOKUP(F6475,CARTON_LOOKUP!$A:$E,3,0),"")</f>
      </c>
      <c r="H6475" s="28">
        <f>IFERROR(VLOOKUP(F6475,CARTON_LOOKUP!$A:$E,4,0),"")</f>
      </c>
      <c r="I6475" s="28">
        <f>IFERROR(VLOOKUP(F6475,CARTON_LOOKUP!$A:$E,5,0),"")</f>
      </c>
      <c r="J6475" s="29">
        <f>IFERROR(VLOOKUP(F6475,CARTON_LOOKUP!$A:$E,2,0),"")</f>
      </c>
      <c r="K6475" s="29">
        <f>IFERROR(J6475*D6475,0)</f>
      </c>
      <c r="L6475" s="29">
        <f>IFERROR(E6475*C6475,0)</f>
      </c>
      <c r="M6475" s="29">
        <f>IFERROR((G6475*H6475*I6475/1000000)*D6475,0)</f>
      </c>
    </row>
    <row r="6476" spans="1:13" x14ac:dyDescent="0.25">
      <c r="A6476" s="16"/>
      <c r="E6476" s="27"/>
      <c r="F6476" t="s">
        <v>26</v>
      </c>
      <c r="G6476" s="28">
        <f>IFERROR(VLOOKUP(F6476,CARTON_LOOKUP!$A:$E,3,0),"")</f>
      </c>
      <c r="H6476" s="28">
        <f>IFERROR(VLOOKUP(F6476,CARTON_LOOKUP!$A:$E,4,0),"")</f>
      </c>
      <c r="I6476" s="28">
        <f>IFERROR(VLOOKUP(F6476,CARTON_LOOKUP!$A:$E,5,0),"")</f>
      </c>
      <c r="J6476" s="29">
        <f>IFERROR(VLOOKUP(F6476,CARTON_LOOKUP!$A:$E,2,0),"")</f>
      </c>
      <c r="K6476" s="29">
        <f>IFERROR(J6476*D6476,0)</f>
      </c>
      <c r="L6476" s="29">
        <f>IFERROR(E6476*C6476,0)</f>
      </c>
      <c r="M6476" s="29">
        <f>IFERROR((G6476*H6476*I6476/1000000)*D6476,0)</f>
      </c>
    </row>
    <row r="6477" spans="1:13" x14ac:dyDescent="0.25">
      <c r="A6477" s="16"/>
      <c r="E6477" s="27"/>
      <c r="F6477" t="s">
        <v>26</v>
      </c>
      <c r="G6477" s="28">
        <f>IFERROR(VLOOKUP(F6477,CARTON_LOOKUP!$A:$E,3,0),"")</f>
      </c>
      <c r="H6477" s="28">
        <f>IFERROR(VLOOKUP(F6477,CARTON_LOOKUP!$A:$E,4,0),"")</f>
      </c>
      <c r="I6477" s="28">
        <f>IFERROR(VLOOKUP(F6477,CARTON_LOOKUP!$A:$E,5,0),"")</f>
      </c>
      <c r="J6477" s="29">
        <f>IFERROR(VLOOKUP(F6477,CARTON_LOOKUP!$A:$E,2,0),"")</f>
      </c>
      <c r="K6477" s="29">
        <f>IFERROR(J6477*D6477,0)</f>
      </c>
      <c r="L6477" s="29">
        <f>IFERROR(E6477*C6477,0)</f>
      </c>
      <c r="M6477" s="29">
        <f>IFERROR((G6477*H6477*I6477/1000000)*D6477,0)</f>
      </c>
    </row>
    <row r="6478" spans="1:13" x14ac:dyDescent="0.25">
      <c r="A6478" s="16"/>
      <c r="E6478" s="27"/>
      <c r="F6478" t="s">
        <v>26</v>
      </c>
      <c r="G6478" s="28">
        <f>IFERROR(VLOOKUP(F6478,CARTON_LOOKUP!$A:$E,3,0),"")</f>
      </c>
      <c r="H6478" s="28">
        <f>IFERROR(VLOOKUP(F6478,CARTON_LOOKUP!$A:$E,4,0),"")</f>
      </c>
      <c r="I6478" s="28">
        <f>IFERROR(VLOOKUP(F6478,CARTON_LOOKUP!$A:$E,5,0),"")</f>
      </c>
      <c r="J6478" s="29">
        <f>IFERROR(VLOOKUP(F6478,CARTON_LOOKUP!$A:$E,2,0),"")</f>
      </c>
      <c r="K6478" s="29">
        <f>IFERROR(J6478*D6478,0)</f>
      </c>
      <c r="L6478" s="29">
        <f>IFERROR(E6478*C6478,0)</f>
      </c>
      <c r="M6478" s="29">
        <f>IFERROR((G6478*H6478*I6478/1000000)*D6478,0)</f>
      </c>
    </row>
    <row r="6479" spans="1:13" x14ac:dyDescent="0.25">
      <c r="A6479" s="16"/>
      <c r="E6479" s="27"/>
      <c r="F6479" t="s">
        <v>26</v>
      </c>
      <c r="G6479" s="28">
        <f>IFERROR(VLOOKUP(F6479,CARTON_LOOKUP!$A:$E,3,0),"")</f>
      </c>
      <c r="H6479" s="28">
        <f>IFERROR(VLOOKUP(F6479,CARTON_LOOKUP!$A:$E,4,0),"")</f>
      </c>
      <c r="I6479" s="28">
        <f>IFERROR(VLOOKUP(F6479,CARTON_LOOKUP!$A:$E,5,0),"")</f>
      </c>
      <c r="J6479" s="29">
        <f>IFERROR(VLOOKUP(F6479,CARTON_LOOKUP!$A:$E,2,0),"")</f>
      </c>
      <c r="K6479" s="29">
        <f>IFERROR(J6479*D6479,0)</f>
      </c>
      <c r="L6479" s="29">
        <f>IFERROR(E6479*C6479,0)</f>
      </c>
      <c r="M6479" s="29">
        <f>IFERROR((G6479*H6479*I6479/1000000)*D6479,0)</f>
      </c>
    </row>
    <row r="6480" spans="1:13" x14ac:dyDescent="0.25">
      <c r="A6480" s="16"/>
      <c r="E6480" s="27"/>
      <c r="F6480" t="s">
        <v>26</v>
      </c>
      <c r="G6480" s="28">
        <f>IFERROR(VLOOKUP(F6480,CARTON_LOOKUP!$A:$E,3,0),"")</f>
      </c>
      <c r="H6480" s="28">
        <f>IFERROR(VLOOKUP(F6480,CARTON_LOOKUP!$A:$E,4,0),"")</f>
      </c>
      <c r="I6480" s="28">
        <f>IFERROR(VLOOKUP(F6480,CARTON_LOOKUP!$A:$E,5,0),"")</f>
      </c>
      <c r="J6480" s="29">
        <f>IFERROR(VLOOKUP(F6480,CARTON_LOOKUP!$A:$E,2,0),"")</f>
      </c>
      <c r="K6480" s="29">
        <f>IFERROR(J6480*D6480,0)</f>
      </c>
      <c r="L6480" s="29">
        <f>IFERROR(E6480*C6480,0)</f>
      </c>
      <c r="M6480" s="29">
        <f>IFERROR((G6480*H6480*I6480/1000000)*D6480,0)</f>
      </c>
    </row>
    <row r="6481" spans="1:13" x14ac:dyDescent="0.25">
      <c r="A6481" s="16"/>
      <c r="E6481" s="27"/>
      <c r="F6481" t="s">
        <v>26</v>
      </c>
      <c r="G6481" s="28">
        <f>IFERROR(VLOOKUP(F6481,CARTON_LOOKUP!$A:$E,3,0),"")</f>
      </c>
      <c r="H6481" s="28">
        <f>IFERROR(VLOOKUP(F6481,CARTON_LOOKUP!$A:$E,4,0),"")</f>
      </c>
      <c r="I6481" s="28">
        <f>IFERROR(VLOOKUP(F6481,CARTON_LOOKUP!$A:$E,5,0),"")</f>
      </c>
      <c r="J6481" s="29">
        <f>IFERROR(VLOOKUP(F6481,CARTON_LOOKUP!$A:$E,2,0),"")</f>
      </c>
      <c r="K6481" s="29">
        <f>IFERROR(J6481*D6481,0)</f>
      </c>
      <c r="L6481" s="29">
        <f>IFERROR(E6481*C6481,0)</f>
      </c>
      <c r="M6481" s="29">
        <f>IFERROR((G6481*H6481*I6481/1000000)*D6481,0)</f>
      </c>
    </row>
    <row r="6482" spans="1:13" x14ac:dyDescent="0.25">
      <c r="A6482" s="16"/>
      <c r="E6482" s="27"/>
      <c r="F6482" t="s">
        <v>26</v>
      </c>
      <c r="G6482" s="28">
        <f>IFERROR(VLOOKUP(F6482,CARTON_LOOKUP!$A:$E,3,0),"")</f>
      </c>
      <c r="H6482" s="28">
        <f>IFERROR(VLOOKUP(F6482,CARTON_LOOKUP!$A:$E,4,0),"")</f>
      </c>
      <c r="I6482" s="28">
        <f>IFERROR(VLOOKUP(F6482,CARTON_LOOKUP!$A:$E,5,0),"")</f>
      </c>
      <c r="J6482" s="29">
        <f>IFERROR(VLOOKUP(F6482,CARTON_LOOKUP!$A:$E,2,0),"")</f>
      </c>
      <c r="K6482" s="29">
        <f>IFERROR(J6482*D6482,0)</f>
      </c>
      <c r="L6482" s="29">
        <f>IFERROR(E6482*C6482,0)</f>
      </c>
      <c r="M6482" s="29">
        <f>IFERROR((G6482*H6482*I6482/1000000)*D6482,0)</f>
      </c>
    </row>
    <row r="6483" spans="1:13" x14ac:dyDescent="0.25">
      <c r="A6483" s="16"/>
      <c r="E6483" s="27"/>
      <c r="F6483" t="s">
        <v>26</v>
      </c>
      <c r="G6483" s="28">
        <f>IFERROR(VLOOKUP(F6483,CARTON_LOOKUP!$A:$E,3,0),"")</f>
      </c>
      <c r="H6483" s="28">
        <f>IFERROR(VLOOKUP(F6483,CARTON_LOOKUP!$A:$E,4,0),"")</f>
      </c>
      <c r="I6483" s="28">
        <f>IFERROR(VLOOKUP(F6483,CARTON_LOOKUP!$A:$E,5,0),"")</f>
      </c>
      <c r="J6483" s="29">
        <f>IFERROR(VLOOKUP(F6483,CARTON_LOOKUP!$A:$E,2,0),"")</f>
      </c>
      <c r="K6483" s="29">
        <f>IFERROR(J6483*D6483,0)</f>
      </c>
      <c r="L6483" s="29">
        <f>IFERROR(E6483*C6483,0)</f>
      </c>
      <c r="M6483" s="29">
        <f>IFERROR((G6483*H6483*I6483/1000000)*D6483,0)</f>
      </c>
    </row>
    <row r="6484" spans="1:13" x14ac:dyDescent="0.25">
      <c r="A6484" s="16"/>
      <c r="E6484" s="27"/>
      <c r="F6484" t="s">
        <v>26</v>
      </c>
      <c r="G6484" s="28">
        <f>IFERROR(VLOOKUP(F6484,CARTON_LOOKUP!$A:$E,3,0),"")</f>
      </c>
      <c r="H6484" s="28">
        <f>IFERROR(VLOOKUP(F6484,CARTON_LOOKUP!$A:$E,4,0),"")</f>
      </c>
      <c r="I6484" s="28">
        <f>IFERROR(VLOOKUP(F6484,CARTON_LOOKUP!$A:$E,5,0),"")</f>
      </c>
      <c r="J6484" s="29">
        <f>IFERROR(VLOOKUP(F6484,CARTON_LOOKUP!$A:$E,2,0),"")</f>
      </c>
      <c r="K6484" s="29">
        <f>IFERROR(J6484*D6484,0)</f>
      </c>
      <c r="L6484" s="29">
        <f>IFERROR(E6484*C6484,0)</f>
      </c>
      <c r="M6484" s="29">
        <f>IFERROR((G6484*H6484*I6484/1000000)*D6484,0)</f>
      </c>
    </row>
    <row r="6485" spans="1:13" x14ac:dyDescent="0.25">
      <c r="A6485" s="16"/>
      <c r="E6485" s="27"/>
      <c r="F6485" t="s">
        <v>26</v>
      </c>
      <c r="G6485" s="28">
        <f>IFERROR(VLOOKUP(F6485,CARTON_LOOKUP!$A:$E,3,0),"")</f>
      </c>
      <c r="H6485" s="28">
        <f>IFERROR(VLOOKUP(F6485,CARTON_LOOKUP!$A:$E,4,0),"")</f>
      </c>
      <c r="I6485" s="28">
        <f>IFERROR(VLOOKUP(F6485,CARTON_LOOKUP!$A:$E,5,0),"")</f>
      </c>
      <c r="J6485" s="29">
        <f>IFERROR(VLOOKUP(F6485,CARTON_LOOKUP!$A:$E,2,0),"")</f>
      </c>
      <c r="K6485" s="29">
        <f>IFERROR(J6485*D6485,0)</f>
      </c>
      <c r="L6485" s="29">
        <f>IFERROR(E6485*C6485,0)</f>
      </c>
      <c r="M6485" s="29">
        <f>IFERROR((G6485*H6485*I6485/1000000)*D6485,0)</f>
      </c>
    </row>
    <row r="6486" spans="1:13" x14ac:dyDescent="0.25">
      <c r="A6486" s="16"/>
      <c r="E6486" s="27"/>
      <c r="F6486" t="s">
        <v>26</v>
      </c>
      <c r="G6486" s="28">
        <f>IFERROR(VLOOKUP(F6486,CARTON_LOOKUP!$A:$E,3,0),"")</f>
      </c>
      <c r="H6486" s="28">
        <f>IFERROR(VLOOKUP(F6486,CARTON_LOOKUP!$A:$E,4,0),"")</f>
      </c>
      <c r="I6486" s="28">
        <f>IFERROR(VLOOKUP(F6486,CARTON_LOOKUP!$A:$E,5,0),"")</f>
      </c>
      <c r="J6486" s="29">
        <f>IFERROR(VLOOKUP(F6486,CARTON_LOOKUP!$A:$E,2,0),"")</f>
      </c>
      <c r="K6486" s="29">
        <f>IFERROR(J6486*D6486,0)</f>
      </c>
      <c r="L6486" s="29">
        <f>IFERROR(E6486*C6486,0)</f>
      </c>
      <c r="M6486" s="29">
        <f>IFERROR((G6486*H6486*I6486/1000000)*D6486,0)</f>
      </c>
    </row>
    <row r="6487" spans="1:13" x14ac:dyDescent="0.25">
      <c r="A6487" s="16"/>
      <c r="E6487" s="27"/>
      <c r="F6487" t="s">
        <v>26</v>
      </c>
      <c r="G6487" s="28">
        <f>IFERROR(VLOOKUP(F6487,CARTON_LOOKUP!$A:$E,3,0),"")</f>
      </c>
      <c r="H6487" s="28">
        <f>IFERROR(VLOOKUP(F6487,CARTON_LOOKUP!$A:$E,4,0),"")</f>
      </c>
      <c r="I6487" s="28">
        <f>IFERROR(VLOOKUP(F6487,CARTON_LOOKUP!$A:$E,5,0),"")</f>
      </c>
      <c r="J6487" s="29">
        <f>IFERROR(VLOOKUP(F6487,CARTON_LOOKUP!$A:$E,2,0),"")</f>
      </c>
      <c r="K6487" s="29">
        <f>IFERROR(J6487*D6487,0)</f>
      </c>
      <c r="L6487" s="29">
        <f>IFERROR(E6487*C6487,0)</f>
      </c>
      <c r="M6487" s="29">
        <f>IFERROR((G6487*H6487*I6487/1000000)*D6487,0)</f>
      </c>
    </row>
    <row r="6488" spans="1:13" x14ac:dyDescent="0.25">
      <c r="A6488" s="16"/>
      <c r="E6488" s="27"/>
      <c r="F6488" t="s">
        <v>26</v>
      </c>
      <c r="G6488" s="28">
        <f>IFERROR(VLOOKUP(F6488,CARTON_LOOKUP!$A:$E,3,0),"")</f>
      </c>
      <c r="H6488" s="28">
        <f>IFERROR(VLOOKUP(F6488,CARTON_LOOKUP!$A:$E,4,0),"")</f>
      </c>
      <c r="I6488" s="28">
        <f>IFERROR(VLOOKUP(F6488,CARTON_LOOKUP!$A:$E,5,0),"")</f>
      </c>
      <c r="J6488" s="29">
        <f>IFERROR(VLOOKUP(F6488,CARTON_LOOKUP!$A:$E,2,0),"")</f>
      </c>
      <c r="K6488" s="29">
        <f>IFERROR(J6488*D6488,0)</f>
      </c>
      <c r="L6488" s="29">
        <f>IFERROR(E6488*C6488,0)</f>
      </c>
      <c r="M6488" s="29">
        <f>IFERROR((G6488*H6488*I6488/1000000)*D6488,0)</f>
      </c>
    </row>
    <row r="6489" spans="1:13" x14ac:dyDescent="0.25">
      <c r="A6489" s="16"/>
      <c r="E6489" s="27"/>
      <c r="F6489" t="s">
        <v>26</v>
      </c>
      <c r="G6489" s="28">
        <f>IFERROR(VLOOKUP(F6489,CARTON_LOOKUP!$A:$E,3,0),"")</f>
      </c>
      <c r="H6489" s="28">
        <f>IFERROR(VLOOKUP(F6489,CARTON_LOOKUP!$A:$E,4,0),"")</f>
      </c>
      <c r="I6489" s="28">
        <f>IFERROR(VLOOKUP(F6489,CARTON_LOOKUP!$A:$E,5,0),"")</f>
      </c>
      <c r="J6489" s="29">
        <f>IFERROR(VLOOKUP(F6489,CARTON_LOOKUP!$A:$E,2,0),"")</f>
      </c>
      <c r="K6489" s="29">
        <f>IFERROR(J6489*D6489,0)</f>
      </c>
      <c r="L6489" s="29">
        <f>IFERROR(E6489*C6489,0)</f>
      </c>
      <c r="M6489" s="29">
        <f>IFERROR((G6489*H6489*I6489/1000000)*D6489,0)</f>
      </c>
    </row>
    <row r="6490" spans="1:13" x14ac:dyDescent="0.25">
      <c r="A6490" s="16"/>
      <c r="E6490" s="27"/>
      <c r="F6490" t="s">
        <v>26</v>
      </c>
      <c r="G6490" s="28">
        <f>IFERROR(VLOOKUP(F6490,CARTON_LOOKUP!$A:$E,3,0),"")</f>
      </c>
      <c r="H6490" s="28">
        <f>IFERROR(VLOOKUP(F6490,CARTON_LOOKUP!$A:$E,4,0),"")</f>
      </c>
      <c r="I6490" s="28">
        <f>IFERROR(VLOOKUP(F6490,CARTON_LOOKUP!$A:$E,5,0),"")</f>
      </c>
      <c r="J6490" s="29">
        <f>IFERROR(VLOOKUP(F6490,CARTON_LOOKUP!$A:$E,2,0),"")</f>
      </c>
      <c r="K6490" s="29">
        <f>IFERROR(J6490*D6490,0)</f>
      </c>
      <c r="L6490" s="29">
        <f>IFERROR(E6490*C6490,0)</f>
      </c>
      <c r="M6490" s="29">
        <f>IFERROR((G6490*H6490*I6490/1000000)*D6490,0)</f>
      </c>
    </row>
    <row r="6491" spans="1:13" x14ac:dyDescent="0.25">
      <c r="A6491" s="16"/>
      <c r="E6491" s="27"/>
      <c r="F6491" t="s">
        <v>26</v>
      </c>
      <c r="G6491" s="28">
        <f>IFERROR(VLOOKUP(F6491,CARTON_LOOKUP!$A:$E,3,0),"")</f>
      </c>
      <c r="H6491" s="28">
        <f>IFERROR(VLOOKUP(F6491,CARTON_LOOKUP!$A:$E,4,0),"")</f>
      </c>
      <c r="I6491" s="28">
        <f>IFERROR(VLOOKUP(F6491,CARTON_LOOKUP!$A:$E,5,0),"")</f>
      </c>
      <c r="J6491" s="29">
        <f>IFERROR(VLOOKUP(F6491,CARTON_LOOKUP!$A:$E,2,0),"")</f>
      </c>
      <c r="K6491" s="29">
        <f>IFERROR(J6491*D6491,0)</f>
      </c>
      <c r="L6491" s="29">
        <f>IFERROR(E6491*C6491,0)</f>
      </c>
      <c r="M6491" s="29">
        <f>IFERROR((G6491*H6491*I6491/1000000)*D6491,0)</f>
      </c>
    </row>
    <row r="6492" spans="1:13" x14ac:dyDescent="0.25">
      <c r="A6492" s="16"/>
      <c r="E6492" s="27"/>
      <c r="F6492" t="s">
        <v>26</v>
      </c>
      <c r="G6492" s="28">
        <f>IFERROR(VLOOKUP(F6492,CARTON_LOOKUP!$A:$E,3,0),"")</f>
      </c>
      <c r="H6492" s="28">
        <f>IFERROR(VLOOKUP(F6492,CARTON_LOOKUP!$A:$E,4,0),"")</f>
      </c>
      <c r="I6492" s="28">
        <f>IFERROR(VLOOKUP(F6492,CARTON_LOOKUP!$A:$E,5,0),"")</f>
      </c>
      <c r="J6492" s="29">
        <f>IFERROR(VLOOKUP(F6492,CARTON_LOOKUP!$A:$E,2,0),"")</f>
      </c>
      <c r="K6492" s="29">
        <f>IFERROR(J6492*D6492,0)</f>
      </c>
      <c r="L6492" s="29">
        <f>IFERROR(E6492*C6492,0)</f>
      </c>
      <c r="M6492" s="29">
        <f>IFERROR((G6492*H6492*I6492/1000000)*D6492,0)</f>
      </c>
    </row>
    <row r="6493" spans="1:13" x14ac:dyDescent="0.25">
      <c r="A6493" s="16"/>
      <c r="E6493" s="27"/>
      <c r="F6493" t="s">
        <v>26</v>
      </c>
      <c r="G6493" s="28">
        <f>IFERROR(VLOOKUP(F6493,CARTON_LOOKUP!$A:$E,3,0),"")</f>
      </c>
      <c r="H6493" s="28">
        <f>IFERROR(VLOOKUP(F6493,CARTON_LOOKUP!$A:$E,4,0),"")</f>
      </c>
      <c r="I6493" s="28">
        <f>IFERROR(VLOOKUP(F6493,CARTON_LOOKUP!$A:$E,5,0),"")</f>
      </c>
      <c r="J6493" s="29">
        <f>IFERROR(VLOOKUP(F6493,CARTON_LOOKUP!$A:$E,2,0),"")</f>
      </c>
      <c r="K6493" s="29">
        <f>IFERROR(J6493*D6493,0)</f>
      </c>
      <c r="L6493" s="29">
        <f>IFERROR(E6493*C6493,0)</f>
      </c>
      <c r="M6493" s="29">
        <f>IFERROR((G6493*H6493*I6493/1000000)*D6493,0)</f>
      </c>
    </row>
    <row r="6494" spans="1:13" x14ac:dyDescent="0.25">
      <c r="A6494" s="16"/>
      <c r="E6494" s="27"/>
      <c r="F6494" t="s">
        <v>26</v>
      </c>
      <c r="G6494" s="28">
        <f>IFERROR(VLOOKUP(F6494,CARTON_LOOKUP!$A:$E,3,0),"")</f>
      </c>
      <c r="H6494" s="28">
        <f>IFERROR(VLOOKUP(F6494,CARTON_LOOKUP!$A:$E,4,0),"")</f>
      </c>
      <c r="I6494" s="28">
        <f>IFERROR(VLOOKUP(F6494,CARTON_LOOKUP!$A:$E,5,0),"")</f>
      </c>
      <c r="J6494" s="29">
        <f>IFERROR(VLOOKUP(F6494,CARTON_LOOKUP!$A:$E,2,0),"")</f>
      </c>
      <c r="K6494" s="29">
        <f>IFERROR(J6494*D6494,0)</f>
      </c>
      <c r="L6494" s="29">
        <f>IFERROR(E6494*C6494,0)</f>
      </c>
      <c r="M6494" s="29">
        <f>IFERROR((G6494*H6494*I6494/1000000)*D6494,0)</f>
      </c>
    </row>
    <row r="6495" spans="1:13" x14ac:dyDescent="0.25">
      <c r="A6495" s="16"/>
      <c r="E6495" s="27"/>
      <c r="F6495" t="s">
        <v>26</v>
      </c>
      <c r="G6495" s="28">
        <f>IFERROR(VLOOKUP(F6495,CARTON_LOOKUP!$A:$E,3,0),"")</f>
      </c>
      <c r="H6495" s="28">
        <f>IFERROR(VLOOKUP(F6495,CARTON_LOOKUP!$A:$E,4,0),"")</f>
      </c>
      <c r="I6495" s="28">
        <f>IFERROR(VLOOKUP(F6495,CARTON_LOOKUP!$A:$E,5,0),"")</f>
      </c>
      <c r="J6495" s="29">
        <f>IFERROR(VLOOKUP(F6495,CARTON_LOOKUP!$A:$E,2,0),"")</f>
      </c>
      <c r="K6495" s="29">
        <f>IFERROR(J6495*D6495,0)</f>
      </c>
      <c r="L6495" s="29">
        <f>IFERROR(E6495*C6495,0)</f>
      </c>
      <c r="M6495" s="29">
        <f>IFERROR((G6495*H6495*I6495/1000000)*D6495,0)</f>
      </c>
    </row>
    <row r="6496" spans="1:13" x14ac:dyDescent="0.25">
      <c r="A6496" s="16"/>
      <c r="E6496" s="27"/>
      <c r="F6496" t="s">
        <v>26</v>
      </c>
      <c r="G6496" s="28">
        <f>IFERROR(VLOOKUP(F6496,CARTON_LOOKUP!$A:$E,3,0),"")</f>
      </c>
      <c r="H6496" s="28">
        <f>IFERROR(VLOOKUP(F6496,CARTON_LOOKUP!$A:$E,4,0),"")</f>
      </c>
      <c r="I6496" s="28">
        <f>IFERROR(VLOOKUP(F6496,CARTON_LOOKUP!$A:$E,5,0),"")</f>
      </c>
      <c r="J6496" s="29">
        <f>IFERROR(VLOOKUP(F6496,CARTON_LOOKUP!$A:$E,2,0),"")</f>
      </c>
      <c r="K6496" s="29">
        <f>IFERROR(J6496*D6496,0)</f>
      </c>
      <c r="L6496" s="29">
        <f>IFERROR(E6496*C6496,0)</f>
      </c>
      <c r="M6496" s="29">
        <f>IFERROR((G6496*H6496*I6496/1000000)*D6496,0)</f>
      </c>
    </row>
    <row r="6497" spans="1:13" x14ac:dyDescent="0.25">
      <c r="A6497" s="16"/>
      <c r="E6497" s="27"/>
      <c r="F6497" t="s">
        <v>26</v>
      </c>
      <c r="G6497" s="28">
        <f>IFERROR(VLOOKUP(F6497,CARTON_LOOKUP!$A:$E,3,0),"")</f>
      </c>
      <c r="H6497" s="28">
        <f>IFERROR(VLOOKUP(F6497,CARTON_LOOKUP!$A:$E,4,0),"")</f>
      </c>
      <c r="I6497" s="28">
        <f>IFERROR(VLOOKUP(F6497,CARTON_LOOKUP!$A:$E,5,0),"")</f>
      </c>
      <c r="J6497" s="29">
        <f>IFERROR(VLOOKUP(F6497,CARTON_LOOKUP!$A:$E,2,0),"")</f>
      </c>
      <c r="K6497" s="29">
        <f>IFERROR(J6497*D6497,0)</f>
      </c>
      <c r="L6497" s="29">
        <f>IFERROR(E6497*C6497,0)</f>
      </c>
      <c r="M6497" s="29">
        <f>IFERROR((G6497*H6497*I6497/1000000)*D6497,0)</f>
      </c>
    </row>
    <row r="6498" spans="1:13" x14ac:dyDescent="0.25">
      <c r="A6498" s="16"/>
      <c r="E6498" s="27"/>
      <c r="F6498" t="s">
        <v>26</v>
      </c>
      <c r="G6498" s="28">
        <f>IFERROR(VLOOKUP(F6498,CARTON_LOOKUP!$A:$E,3,0),"")</f>
      </c>
      <c r="H6498" s="28">
        <f>IFERROR(VLOOKUP(F6498,CARTON_LOOKUP!$A:$E,4,0),"")</f>
      </c>
      <c r="I6498" s="28">
        <f>IFERROR(VLOOKUP(F6498,CARTON_LOOKUP!$A:$E,5,0),"")</f>
      </c>
      <c r="J6498" s="29">
        <f>IFERROR(VLOOKUP(F6498,CARTON_LOOKUP!$A:$E,2,0),"")</f>
      </c>
      <c r="K6498" s="29">
        <f>IFERROR(J6498*D6498,0)</f>
      </c>
      <c r="L6498" s="29">
        <f>IFERROR(E6498*C6498,0)</f>
      </c>
      <c r="M6498" s="29">
        <f>IFERROR((G6498*H6498*I6498/1000000)*D6498,0)</f>
      </c>
    </row>
    <row r="6499" spans="1:13" x14ac:dyDescent="0.25">
      <c r="A6499" s="16"/>
      <c r="E6499" s="27"/>
      <c r="F6499" t="s">
        <v>26</v>
      </c>
      <c r="G6499" s="28">
        <f>IFERROR(VLOOKUP(F6499,CARTON_LOOKUP!$A:$E,3,0),"")</f>
      </c>
      <c r="H6499" s="28">
        <f>IFERROR(VLOOKUP(F6499,CARTON_LOOKUP!$A:$E,4,0),"")</f>
      </c>
      <c r="I6499" s="28">
        <f>IFERROR(VLOOKUP(F6499,CARTON_LOOKUP!$A:$E,5,0),"")</f>
      </c>
      <c r="J6499" s="29">
        <f>IFERROR(VLOOKUP(F6499,CARTON_LOOKUP!$A:$E,2,0),"")</f>
      </c>
      <c r="K6499" s="29">
        <f>IFERROR(J6499*D6499,0)</f>
      </c>
      <c r="L6499" s="29">
        <f>IFERROR(E6499*C6499,0)</f>
      </c>
      <c r="M6499" s="29">
        <f>IFERROR((G6499*H6499*I6499/1000000)*D6499,0)</f>
      </c>
    </row>
    <row r="6500" spans="1:13" x14ac:dyDescent="0.25">
      <c r="A6500" s="16"/>
      <c r="E6500" s="27"/>
      <c r="F6500" t="s">
        <v>26</v>
      </c>
      <c r="G6500" s="28">
        <f>IFERROR(VLOOKUP(F6500,CARTON_LOOKUP!$A:$E,3,0),"")</f>
      </c>
      <c r="H6500" s="28">
        <f>IFERROR(VLOOKUP(F6500,CARTON_LOOKUP!$A:$E,4,0),"")</f>
      </c>
      <c r="I6500" s="28">
        <f>IFERROR(VLOOKUP(F6500,CARTON_LOOKUP!$A:$E,5,0),"")</f>
      </c>
      <c r="J6500" s="29">
        <f>IFERROR(VLOOKUP(F6500,CARTON_LOOKUP!$A:$E,2,0),"")</f>
      </c>
      <c r="K6500" s="29">
        <f>IFERROR(J6500*D6500,0)</f>
      </c>
      <c r="L6500" s="29">
        <f>IFERROR(E6500*C6500,0)</f>
      </c>
      <c r="M6500" s="29">
        <f>IFERROR((G6500*H6500*I6500/1000000)*D6500,0)</f>
      </c>
    </row>
    <row r="6501" spans="1:13" x14ac:dyDescent="0.25">
      <c r="A6501" s="16"/>
      <c r="E6501" s="27"/>
      <c r="F6501" t="s">
        <v>26</v>
      </c>
      <c r="G6501" s="28">
        <f>IFERROR(VLOOKUP(F6501,CARTON_LOOKUP!$A:$E,3,0),"")</f>
      </c>
      <c r="H6501" s="28">
        <f>IFERROR(VLOOKUP(F6501,CARTON_LOOKUP!$A:$E,4,0),"")</f>
      </c>
      <c r="I6501" s="28">
        <f>IFERROR(VLOOKUP(F6501,CARTON_LOOKUP!$A:$E,5,0),"")</f>
      </c>
      <c r="J6501" s="29">
        <f>IFERROR(VLOOKUP(F6501,CARTON_LOOKUP!$A:$E,2,0),"")</f>
      </c>
      <c r="K6501" s="29">
        <f>IFERROR(J6501*D6501,0)</f>
      </c>
      <c r="L6501" s="29">
        <f>IFERROR(E6501*C6501,0)</f>
      </c>
      <c r="M6501" s="29">
        <f>IFERROR((G6501*H6501*I6501/1000000)*D6501,0)</f>
      </c>
    </row>
    <row r="6502" spans="1:13" x14ac:dyDescent="0.25">
      <c r="A6502" s="16"/>
      <c r="E6502" s="27"/>
      <c r="F6502" t="s">
        <v>26</v>
      </c>
      <c r="G6502" s="28">
        <f>IFERROR(VLOOKUP(F6502,CARTON_LOOKUP!$A:$E,3,0),"")</f>
      </c>
      <c r="H6502" s="28">
        <f>IFERROR(VLOOKUP(F6502,CARTON_LOOKUP!$A:$E,4,0),"")</f>
      </c>
      <c r="I6502" s="28">
        <f>IFERROR(VLOOKUP(F6502,CARTON_LOOKUP!$A:$E,5,0),"")</f>
      </c>
      <c r="J6502" s="29">
        <f>IFERROR(VLOOKUP(F6502,CARTON_LOOKUP!$A:$E,2,0),"")</f>
      </c>
      <c r="K6502" s="29">
        <f>IFERROR(J6502*D6502,0)</f>
      </c>
      <c r="L6502" s="29">
        <f>IFERROR(E6502*C6502,0)</f>
      </c>
      <c r="M6502" s="29">
        <f>IFERROR((G6502*H6502*I6502/1000000)*D6502,0)</f>
      </c>
    </row>
    <row r="6503" spans="1:13" x14ac:dyDescent="0.25">
      <c r="A6503" s="16"/>
      <c r="E6503" s="27"/>
      <c r="F6503" t="s">
        <v>26</v>
      </c>
      <c r="G6503" s="28">
        <f>IFERROR(VLOOKUP(F6503,CARTON_LOOKUP!$A:$E,3,0),"")</f>
      </c>
      <c r="H6503" s="28">
        <f>IFERROR(VLOOKUP(F6503,CARTON_LOOKUP!$A:$E,4,0),"")</f>
      </c>
      <c r="I6503" s="28">
        <f>IFERROR(VLOOKUP(F6503,CARTON_LOOKUP!$A:$E,5,0),"")</f>
      </c>
      <c r="J6503" s="29">
        <f>IFERROR(VLOOKUP(F6503,CARTON_LOOKUP!$A:$E,2,0),"")</f>
      </c>
      <c r="K6503" s="29">
        <f>IFERROR(J6503*D6503,0)</f>
      </c>
      <c r="L6503" s="29">
        <f>IFERROR(E6503*C6503,0)</f>
      </c>
      <c r="M6503" s="29">
        <f>IFERROR((G6503*H6503*I6503/1000000)*D6503,0)</f>
      </c>
    </row>
    <row r="6504" spans="1:13" x14ac:dyDescent="0.25">
      <c r="A6504" s="16"/>
      <c r="E6504" s="27"/>
      <c r="F6504" t="s">
        <v>26</v>
      </c>
      <c r="G6504" s="28">
        <f>IFERROR(VLOOKUP(F6504,CARTON_LOOKUP!$A:$E,3,0),"")</f>
      </c>
      <c r="H6504" s="28">
        <f>IFERROR(VLOOKUP(F6504,CARTON_LOOKUP!$A:$E,4,0),"")</f>
      </c>
      <c r="I6504" s="28">
        <f>IFERROR(VLOOKUP(F6504,CARTON_LOOKUP!$A:$E,5,0),"")</f>
      </c>
      <c r="J6504" s="29">
        <f>IFERROR(VLOOKUP(F6504,CARTON_LOOKUP!$A:$E,2,0),"")</f>
      </c>
      <c r="K6504" s="29">
        <f>IFERROR(J6504*D6504,0)</f>
      </c>
      <c r="L6504" s="29">
        <f>IFERROR(E6504*C6504,0)</f>
      </c>
      <c r="M6504" s="29">
        <f>IFERROR((G6504*H6504*I6504/1000000)*D6504,0)</f>
      </c>
    </row>
    <row r="6505" spans="1:13" x14ac:dyDescent="0.25">
      <c r="A6505" s="16"/>
      <c r="E6505" s="27"/>
      <c r="F6505" t="s">
        <v>26</v>
      </c>
      <c r="G6505" s="28">
        <f>IFERROR(VLOOKUP(F6505,CARTON_LOOKUP!$A:$E,3,0),"")</f>
      </c>
      <c r="H6505" s="28">
        <f>IFERROR(VLOOKUP(F6505,CARTON_LOOKUP!$A:$E,4,0),"")</f>
      </c>
      <c r="I6505" s="28">
        <f>IFERROR(VLOOKUP(F6505,CARTON_LOOKUP!$A:$E,5,0),"")</f>
      </c>
      <c r="J6505" s="29">
        <f>IFERROR(VLOOKUP(F6505,CARTON_LOOKUP!$A:$E,2,0),"")</f>
      </c>
      <c r="K6505" s="29">
        <f>IFERROR(J6505*D6505,0)</f>
      </c>
      <c r="L6505" s="29">
        <f>IFERROR(E6505*C6505,0)</f>
      </c>
      <c r="M6505" s="29">
        <f>IFERROR((G6505*H6505*I6505/1000000)*D6505,0)</f>
      </c>
    </row>
    <row r="6506" spans="1:13" x14ac:dyDescent="0.25">
      <c r="A6506" s="16"/>
      <c r="E6506" s="27"/>
      <c r="F6506" t="s">
        <v>26</v>
      </c>
      <c r="G6506" s="28">
        <f>IFERROR(VLOOKUP(F6506,CARTON_LOOKUP!$A:$E,3,0),"")</f>
      </c>
      <c r="H6506" s="28">
        <f>IFERROR(VLOOKUP(F6506,CARTON_LOOKUP!$A:$E,4,0),"")</f>
      </c>
      <c r="I6506" s="28">
        <f>IFERROR(VLOOKUP(F6506,CARTON_LOOKUP!$A:$E,5,0),"")</f>
      </c>
      <c r="J6506" s="29">
        <f>IFERROR(VLOOKUP(F6506,CARTON_LOOKUP!$A:$E,2,0),"")</f>
      </c>
      <c r="K6506" s="29">
        <f>IFERROR(J6506*D6506,0)</f>
      </c>
      <c r="L6506" s="29">
        <f>IFERROR(E6506*C6506,0)</f>
      </c>
      <c r="M6506" s="29">
        <f>IFERROR((G6506*H6506*I6506/1000000)*D6506,0)</f>
      </c>
    </row>
    <row r="6507" spans="1:13" x14ac:dyDescent="0.25">
      <c r="A6507" s="16"/>
      <c r="E6507" s="27"/>
      <c r="F6507" t="s">
        <v>26</v>
      </c>
      <c r="G6507" s="28">
        <f>IFERROR(VLOOKUP(F6507,CARTON_LOOKUP!$A:$E,3,0),"")</f>
      </c>
      <c r="H6507" s="28">
        <f>IFERROR(VLOOKUP(F6507,CARTON_LOOKUP!$A:$E,4,0),"")</f>
      </c>
      <c r="I6507" s="28">
        <f>IFERROR(VLOOKUP(F6507,CARTON_LOOKUP!$A:$E,5,0),"")</f>
      </c>
      <c r="J6507" s="29">
        <f>IFERROR(VLOOKUP(F6507,CARTON_LOOKUP!$A:$E,2,0),"")</f>
      </c>
      <c r="K6507" s="29">
        <f>IFERROR(J6507*D6507,0)</f>
      </c>
      <c r="L6507" s="29">
        <f>IFERROR(E6507*C6507,0)</f>
      </c>
      <c r="M6507" s="29">
        <f>IFERROR((G6507*H6507*I6507/1000000)*D6507,0)</f>
      </c>
    </row>
    <row r="6508" spans="1:13" x14ac:dyDescent="0.25">
      <c r="A6508" s="16"/>
      <c r="E6508" s="27"/>
      <c r="F6508" t="s">
        <v>26</v>
      </c>
      <c r="G6508" s="28">
        <f>IFERROR(VLOOKUP(F6508,CARTON_LOOKUP!$A:$E,3,0),"")</f>
      </c>
      <c r="H6508" s="28">
        <f>IFERROR(VLOOKUP(F6508,CARTON_LOOKUP!$A:$E,4,0),"")</f>
      </c>
      <c r="I6508" s="28">
        <f>IFERROR(VLOOKUP(F6508,CARTON_LOOKUP!$A:$E,5,0),"")</f>
      </c>
      <c r="J6508" s="29">
        <f>IFERROR(VLOOKUP(F6508,CARTON_LOOKUP!$A:$E,2,0),"")</f>
      </c>
      <c r="K6508" s="29">
        <f>IFERROR(J6508*D6508,0)</f>
      </c>
      <c r="L6508" s="29">
        <f>IFERROR(E6508*C6508,0)</f>
      </c>
      <c r="M6508" s="29">
        <f>IFERROR((G6508*H6508*I6508/1000000)*D6508,0)</f>
      </c>
    </row>
    <row r="6509" spans="1:13" x14ac:dyDescent="0.25">
      <c r="A6509" s="16"/>
      <c r="E6509" s="27"/>
      <c r="F6509" t="s">
        <v>26</v>
      </c>
      <c r="G6509" s="28">
        <f>IFERROR(VLOOKUP(F6509,CARTON_LOOKUP!$A:$E,3,0),"")</f>
      </c>
      <c r="H6509" s="28">
        <f>IFERROR(VLOOKUP(F6509,CARTON_LOOKUP!$A:$E,4,0),"")</f>
      </c>
      <c r="I6509" s="28">
        <f>IFERROR(VLOOKUP(F6509,CARTON_LOOKUP!$A:$E,5,0),"")</f>
      </c>
      <c r="J6509" s="29">
        <f>IFERROR(VLOOKUP(F6509,CARTON_LOOKUP!$A:$E,2,0),"")</f>
      </c>
      <c r="K6509" s="29">
        <f>IFERROR(J6509*D6509,0)</f>
      </c>
      <c r="L6509" s="29">
        <f>IFERROR(E6509*C6509,0)</f>
      </c>
      <c r="M6509" s="29">
        <f>IFERROR((G6509*H6509*I6509/1000000)*D6509,0)</f>
      </c>
    </row>
    <row r="6510" spans="1:13" x14ac:dyDescent="0.25">
      <c r="A6510" s="16"/>
      <c r="E6510" s="27"/>
      <c r="F6510" t="s">
        <v>26</v>
      </c>
      <c r="G6510" s="28">
        <f>IFERROR(VLOOKUP(F6510,CARTON_LOOKUP!$A:$E,3,0),"")</f>
      </c>
      <c r="H6510" s="28">
        <f>IFERROR(VLOOKUP(F6510,CARTON_LOOKUP!$A:$E,4,0),"")</f>
      </c>
      <c r="I6510" s="28">
        <f>IFERROR(VLOOKUP(F6510,CARTON_LOOKUP!$A:$E,5,0),"")</f>
      </c>
      <c r="J6510" s="29">
        <f>IFERROR(VLOOKUP(F6510,CARTON_LOOKUP!$A:$E,2,0),"")</f>
      </c>
      <c r="K6510" s="29">
        <f>IFERROR(J6510*D6510,0)</f>
      </c>
      <c r="L6510" s="29">
        <f>IFERROR(E6510*C6510,0)</f>
      </c>
      <c r="M6510" s="29">
        <f>IFERROR((G6510*H6510*I6510/1000000)*D6510,0)</f>
      </c>
    </row>
    <row r="6511" spans="1:13" x14ac:dyDescent="0.25">
      <c r="A6511" s="16"/>
      <c r="E6511" s="27"/>
      <c r="F6511" t="s">
        <v>26</v>
      </c>
      <c r="G6511" s="28">
        <f>IFERROR(VLOOKUP(F6511,CARTON_LOOKUP!$A:$E,3,0),"")</f>
      </c>
      <c r="H6511" s="28">
        <f>IFERROR(VLOOKUP(F6511,CARTON_LOOKUP!$A:$E,4,0),"")</f>
      </c>
      <c r="I6511" s="28">
        <f>IFERROR(VLOOKUP(F6511,CARTON_LOOKUP!$A:$E,5,0),"")</f>
      </c>
      <c r="J6511" s="29">
        <f>IFERROR(VLOOKUP(F6511,CARTON_LOOKUP!$A:$E,2,0),"")</f>
      </c>
      <c r="K6511" s="29">
        <f>IFERROR(J6511*D6511,0)</f>
      </c>
      <c r="L6511" s="29">
        <f>IFERROR(E6511*C6511,0)</f>
      </c>
      <c r="M6511" s="29">
        <f>IFERROR((G6511*H6511*I6511/1000000)*D6511,0)</f>
      </c>
    </row>
    <row r="6512" spans="1:13" x14ac:dyDescent="0.25">
      <c r="A6512" s="16"/>
      <c r="E6512" s="27"/>
      <c r="F6512" t="s">
        <v>26</v>
      </c>
      <c r="G6512" s="28">
        <f>IFERROR(VLOOKUP(F6512,CARTON_LOOKUP!$A:$E,3,0),"")</f>
      </c>
      <c r="H6512" s="28">
        <f>IFERROR(VLOOKUP(F6512,CARTON_LOOKUP!$A:$E,4,0),"")</f>
      </c>
      <c r="I6512" s="28">
        <f>IFERROR(VLOOKUP(F6512,CARTON_LOOKUP!$A:$E,5,0),"")</f>
      </c>
      <c r="J6512" s="29">
        <f>IFERROR(VLOOKUP(F6512,CARTON_LOOKUP!$A:$E,2,0),"")</f>
      </c>
      <c r="K6512" s="29">
        <f>IFERROR(J6512*D6512,0)</f>
      </c>
      <c r="L6512" s="29">
        <f>IFERROR(E6512*C6512,0)</f>
      </c>
      <c r="M6512" s="29">
        <f>IFERROR((G6512*H6512*I6512/1000000)*D6512,0)</f>
      </c>
    </row>
    <row r="6513" spans="1:13" x14ac:dyDescent="0.25">
      <c r="A6513" s="16"/>
      <c r="E6513" s="27"/>
      <c r="F6513" t="s">
        <v>26</v>
      </c>
      <c r="G6513" s="28">
        <f>IFERROR(VLOOKUP(F6513,CARTON_LOOKUP!$A:$E,3,0),"")</f>
      </c>
      <c r="H6513" s="28">
        <f>IFERROR(VLOOKUP(F6513,CARTON_LOOKUP!$A:$E,4,0),"")</f>
      </c>
      <c r="I6513" s="28">
        <f>IFERROR(VLOOKUP(F6513,CARTON_LOOKUP!$A:$E,5,0),"")</f>
      </c>
      <c r="J6513" s="29">
        <f>IFERROR(VLOOKUP(F6513,CARTON_LOOKUP!$A:$E,2,0),"")</f>
      </c>
      <c r="K6513" s="29">
        <f>IFERROR(J6513*D6513,0)</f>
      </c>
      <c r="L6513" s="29">
        <f>IFERROR(E6513*C6513,0)</f>
      </c>
      <c r="M6513" s="29">
        <f>IFERROR((G6513*H6513*I6513/1000000)*D6513,0)</f>
      </c>
    </row>
    <row r="6514" spans="1:13" x14ac:dyDescent="0.25">
      <c r="A6514" s="16"/>
      <c r="E6514" s="27"/>
      <c r="F6514" t="s">
        <v>26</v>
      </c>
      <c r="G6514" s="28">
        <f>IFERROR(VLOOKUP(F6514,CARTON_LOOKUP!$A:$E,3,0),"")</f>
      </c>
      <c r="H6514" s="28">
        <f>IFERROR(VLOOKUP(F6514,CARTON_LOOKUP!$A:$E,4,0),"")</f>
      </c>
      <c r="I6514" s="28">
        <f>IFERROR(VLOOKUP(F6514,CARTON_LOOKUP!$A:$E,5,0),"")</f>
      </c>
      <c r="J6514" s="29">
        <f>IFERROR(VLOOKUP(F6514,CARTON_LOOKUP!$A:$E,2,0),"")</f>
      </c>
      <c r="K6514" s="29">
        <f>IFERROR(J6514*D6514,0)</f>
      </c>
      <c r="L6514" s="29">
        <f>IFERROR(E6514*C6514,0)</f>
      </c>
      <c r="M6514" s="29">
        <f>IFERROR((G6514*H6514*I6514/1000000)*D6514,0)</f>
      </c>
    </row>
    <row r="6515" spans="1:13" x14ac:dyDescent="0.25">
      <c r="A6515" s="16"/>
      <c r="E6515" s="27"/>
      <c r="F6515" t="s">
        <v>26</v>
      </c>
      <c r="G6515" s="28">
        <f>IFERROR(VLOOKUP(F6515,CARTON_LOOKUP!$A:$E,3,0),"")</f>
      </c>
      <c r="H6515" s="28">
        <f>IFERROR(VLOOKUP(F6515,CARTON_LOOKUP!$A:$E,4,0),"")</f>
      </c>
      <c r="I6515" s="28">
        <f>IFERROR(VLOOKUP(F6515,CARTON_LOOKUP!$A:$E,5,0),"")</f>
      </c>
      <c r="J6515" s="29">
        <f>IFERROR(VLOOKUP(F6515,CARTON_LOOKUP!$A:$E,2,0),"")</f>
      </c>
      <c r="K6515" s="29">
        <f>IFERROR(J6515*D6515,0)</f>
      </c>
      <c r="L6515" s="29">
        <f>IFERROR(E6515*C6515,0)</f>
      </c>
      <c r="M6515" s="29">
        <f>IFERROR((G6515*H6515*I6515/1000000)*D6515,0)</f>
      </c>
    </row>
    <row r="6516" spans="1:13" x14ac:dyDescent="0.25">
      <c r="A6516" s="16"/>
      <c r="E6516" s="27"/>
      <c r="F6516" t="s">
        <v>26</v>
      </c>
      <c r="G6516" s="28">
        <f>IFERROR(VLOOKUP(F6516,CARTON_LOOKUP!$A:$E,3,0),"")</f>
      </c>
      <c r="H6516" s="28">
        <f>IFERROR(VLOOKUP(F6516,CARTON_LOOKUP!$A:$E,4,0),"")</f>
      </c>
      <c r="I6516" s="28">
        <f>IFERROR(VLOOKUP(F6516,CARTON_LOOKUP!$A:$E,5,0),"")</f>
      </c>
      <c r="J6516" s="29">
        <f>IFERROR(VLOOKUP(F6516,CARTON_LOOKUP!$A:$E,2,0),"")</f>
      </c>
      <c r="K6516" s="29">
        <f>IFERROR(J6516*D6516,0)</f>
      </c>
      <c r="L6516" s="29">
        <f>IFERROR(E6516*C6516,0)</f>
      </c>
      <c r="M6516" s="29">
        <f>IFERROR((G6516*H6516*I6516/1000000)*D6516,0)</f>
      </c>
    </row>
    <row r="6517" spans="1:13" x14ac:dyDescent="0.25">
      <c r="A6517" s="16"/>
      <c r="E6517" s="27"/>
      <c r="F6517" t="s">
        <v>26</v>
      </c>
      <c r="G6517" s="28">
        <f>IFERROR(VLOOKUP(F6517,CARTON_LOOKUP!$A:$E,3,0),"")</f>
      </c>
      <c r="H6517" s="28">
        <f>IFERROR(VLOOKUP(F6517,CARTON_LOOKUP!$A:$E,4,0),"")</f>
      </c>
      <c r="I6517" s="28">
        <f>IFERROR(VLOOKUP(F6517,CARTON_LOOKUP!$A:$E,5,0),"")</f>
      </c>
      <c r="J6517" s="29">
        <f>IFERROR(VLOOKUP(F6517,CARTON_LOOKUP!$A:$E,2,0),"")</f>
      </c>
      <c r="K6517" s="29">
        <f>IFERROR(J6517*D6517,0)</f>
      </c>
      <c r="L6517" s="29">
        <f>IFERROR(E6517*C6517,0)</f>
      </c>
      <c r="M6517" s="29">
        <f>IFERROR((G6517*H6517*I6517/1000000)*D6517,0)</f>
      </c>
    </row>
    <row r="6518" spans="1:13" x14ac:dyDescent="0.25">
      <c r="A6518" s="16"/>
      <c r="E6518" s="27"/>
      <c r="F6518" t="s">
        <v>26</v>
      </c>
      <c r="G6518" s="28">
        <f>IFERROR(VLOOKUP(F6518,CARTON_LOOKUP!$A:$E,3,0),"")</f>
      </c>
      <c r="H6518" s="28">
        <f>IFERROR(VLOOKUP(F6518,CARTON_LOOKUP!$A:$E,4,0),"")</f>
      </c>
      <c r="I6518" s="28">
        <f>IFERROR(VLOOKUP(F6518,CARTON_LOOKUP!$A:$E,5,0),"")</f>
      </c>
      <c r="J6518" s="29">
        <f>IFERROR(VLOOKUP(F6518,CARTON_LOOKUP!$A:$E,2,0),"")</f>
      </c>
      <c r="K6518" s="29">
        <f>IFERROR(J6518*D6518,0)</f>
      </c>
      <c r="L6518" s="29">
        <f>IFERROR(E6518*C6518,0)</f>
      </c>
      <c r="M6518" s="29">
        <f>IFERROR((G6518*H6518*I6518/1000000)*D6518,0)</f>
      </c>
    </row>
    <row r="6519" spans="1:13" x14ac:dyDescent="0.25">
      <c r="A6519" s="16"/>
      <c r="E6519" s="27"/>
      <c r="F6519" t="s">
        <v>26</v>
      </c>
      <c r="G6519" s="28">
        <f>IFERROR(VLOOKUP(F6519,CARTON_LOOKUP!$A:$E,3,0),"")</f>
      </c>
      <c r="H6519" s="28">
        <f>IFERROR(VLOOKUP(F6519,CARTON_LOOKUP!$A:$E,4,0),"")</f>
      </c>
      <c r="I6519" s="28">
        <f>IFERROR(VLOOKUP(F6519,CARTON_LOOKUP!$A:$E,5,0),"")</f>
      </c>
      <c r="J6519" s="29">
        <f>IFERROR(VLOOKUP(F6519,CARTON_LOOKUP!$A:$E,2,0),"")</f>
      </c>
      <c r="K6519" s="29">
        <f>IFERROR(J6519*D6519,0)</f>
      </c>
      <c r="L6519" s="29">
        <f>IFERROR(E6519*C6519,0)</f>
      </c>
      <c r="M6519" s="29">
        <f>IFERROR((G6519*H6519*I6519/1000000)*D6519,0)</f>
      </c>
    </row>
    <row r="6520" spans="1:13" x14ac:dyDescent="0.25">
      <c r="A6520" s="16"/>
      <c r="E6520" s="27"/>
      <c r="F6520" t="s">
        <v>26</v>
      </c>
      <c r="G6520" s="28">
        <f>IFERROR(VLOOKUP(F6520,CARTON_LOOKUP!$A:$E,3,0),"")</f>
      </c>
      <c r="H6520" s="28">
        <f>IFERROR(VLOOKUP(F6520,CARTON_LOOKUP!$A:$E,4,0),"")</f>
      </c>
      <c r="I6520" s="28">
        <f>IFERROR(VLOOKUP(F6520,CARTON_LOOKUP!$A:$E,5,0),"")</f>
      </c>
      <c r="J6520" s="29">
        <f>IFERROR(VLOOKUP(F6520,CARTON_LOOKUP!$A:$E,2,0),"")</f>
      </c>
      <c r="K6520" s="29">
        <f>IFERROR(J6520*D6520,0)</f>
      </c>
      <c r="L6520" s="29">
        <f>IFERROR(E6520*C6520,0)</f>
      </c>
      <c r="M6520" s="29">
        <f>IFERROR((G6520*H6520*I6520/1000000)*D6520,0)</f>
      </c>
    </row>
    <row r="6521" spans="1:13" x14ac:dyDescent="0.25">
      <c r="A6521" s="16"/>
      <c r="E6521" s="27"/>
      <c r="F6521" t="s">
        <v>26</v>
      </c>
      <c r="G6521" s="28">
        <f>IFERROR(VLOOKUP(F6521,CARTON_LOOKUP!$A:$E,3,0),"")</f>
      </c>
      <c r="H6521" s="28">
        <f>IFERROR(VLOOKUP(F6521,CARTON_LOOKUP!$A:$E,4,0),"")</f>
      </c>
      <c r="I6521" s="28">
        <f>IFERROR(VLOOKUP(F6521,CARTON_LOOKUP!$A:$E,5,0),"")</f>
      </c>
      <c r="J6521" s="29">
        <f>IFERROR(VLOOKUP(F6521,CARTON_LOOKUP!$A:$E,2,0),"")</f>
      </c>
      <c r="K6521" s="29">
        <f>IFERROR(J6521*D6521,0)</f>
      </c>
      <c r="L6521" s="29">
        <f>IFERROR(E6521*C6521,0)</f>
      </c>
      <c r="M6521" s="29">
        <f>IFERROR((G6521*H6521*I6521/1000000)*D6521,0)</f>
      </c>
    </row>
    <row r="6522" spans="1:13" x14ac:dyDescent="0.25">
      <c r="A6522" s="16"/>
      <c r="E6522" s="27"/>
      <c r="F6522" t="s">
        <v>26</v>
      </c>
      <c r="G6522" s="28">
        <f>IFERROR(VLOOKUP(F6522,CARTON_LOOKUP!$A:$E,3,0),"")</f>
      </c>
      <c r="H6522" s="28">
        <f>IFERROR(VLOOKUP(F6522,CARTON_LOOKUP!$A:$E,4,0),"")</f>
      </c>
      <c r="I6522" s="28">
        <f>IFERROR(VLOOKUP(F6522,CARTON_LOOKUP!$A:$E,5,0),"")</f>
      </c>
      <c r="J6522" s="29">
        <f>IFERROR(VLOOKUP(F6522,CARTON_LOOKUP!$A:$E,2,0),"")</f>
      </c>
      <c r="K6522" s="29">
        <f>IFERROR(J6522*D6522,0)</f>
      </c>
      <c r="L6522" s="29">
        <f>IFERROR(E6522*C6522,0)</f>
      </c>
      <c r="M6522" s="29">
        <f>IFERROR((G6522*H6522*I6522/1000000)*D6522,0)</f>
      </c>
    </row>
    <row r="6523" spans="1:13" x14ac:dyDescent="0.25">
      <c r="A6523" s="16"/>
      <c r="E6523" s="27"/>
      <c r="F6523" t="s">
        <v>26</v>
      </c>
      <c r="G6523" s="28">
        <f>IFERROR(VLOOKUP(F6523,CARTON_LOOKUP!$A:$E,3,0),"")</f>
      </c>
      <c r="H6523" s="28">
        <f>IFERROR(VLOOKUP(F6523,CARTON_LOOKUP!$A:$E,4,0),"")</f>
      </c>
      <c r="I6523" s="28">
        <f>IFERROR(VLOOKUP(F6523,CARTON_LOOKUP!$A:$E,5,0),"")</f>
      </c>
      <c r="J6523" s="29">
        <f>IFERROR(VLOOKUP(F6523,CARTON_LOOKUP!$A:$E,2,0),"")</f>
      </c>
      <c r="K6523" s="29">
        <f>IFERROR(J6523*D6523,0)</f>
      </c>
      <c r="L6523" s="29">
        <f>IFERROR(E6523*C6523,0)</f>
      </c>
      <c r="M6523" s="29">
        <f>IFERROR((G6523*H6523*I6523/1000000)*D6523,0)</f>
      </c>
    </row>
    <row r="6524" spans="1:13" x14ac:dyDescent="0.25">
      <c r="A6524" s="16"/>
      <c r="E6524" s="27"/>
      <c r="F6524" t="s">
        <v>26</v>
      </c>
      <c r="G6524" s="28">
        <f>IFERROR(VLOOKUP(F6524,CARTON_LOOKUP!$A:$E,3,0),"")</f>
      </c>
      <c r="H6524" s="28">
        <f>IFERROR(VLOOKUP(F6524,CARTON_LOOKUP!$A:$E,4,0),"")</f>
      </c>
      <c r="I6524" s="28">
        <f>IFERROR(VLOOKUP(F6524,CARTON_LOOKUP!$A:$E,5,0),"")</f>
      </c>
      <c r="J6524" s="29">
        <f>IFERROR(VLOOKUP(F6524,CARTON_LOOKUP!$A:$E,2,0),"")</f>
      </c>
      <c r="K6524" s="29">
        <f>IFERROR(J6524*D6524,0)</f>
      </c>
      <c r="L6524" s="29">
        <f>IFERROR(E6524*C6524,0)</f>
      </c>
      <c r="M6524" s="29">
        <f>IFERROR((G6524*H6524*I6524/1000000)*D6524,0)</f>
      </c>
    </row>
    <row r="6525" spans="1:13" x14ac:dyDescent="0.25">
      <c r="A6525" s="16"/>
      <c r="E6525" s="27"/>
      <c r="F6525" t="s">
        <v>26</v>
      </c>
      <c r="G6525" s="28">
        <f>IFERROR(VLOOKUP(F6525,CARTON_LOOKUP!$A:$E,3,0),"")</f>
      </c>
      <c r="H6525" s="28">
        <f>IFERROR(VLOOKUP(F6525,CARTON_LOOKUP!$A:$E,4,0),"")</f>
      </c>
      <c r="I6525" s="28">
        <f>IFERROR(VLOOKUP(F6525,CARTON_LOOKUP!$A:$E,5,0),"")</f>
      </c>
      <c r="J6525" s="29">
        <f>IFERROR(VLOOKUP(F6525,CARTON_LOOKUP!$A:$E,2,0),"")</f>
      </c>
      <c r="K6525" s="29">
        <f>IFERROR(J6525*D6525,0)</f>
      </c>
      <c r="L6525" s="29">
        <f>IFERROR(E6525*C6525,0)</f>
      </c>
      <c r="M6525" s="29">
        <f>IFERROR((G6525*H6525*I6525/1000000)*D6525,0)</f>
      </c>
    </row>
    <row r="6526" spans="1:13" x14ac:dyDescent="0.25">
      <c r="A6526" s="16"/>
      <c r="E6526" s="27"/>
      <c r="F6526" t="s">
        <v>26</v>
      </c>
      <c r="G6526" s="28">
        <f>IFERROR(VLOOKUP(F6526,CARTON_LOOKUP!$A:$E,3,0),"")</f>
      </c>
      <c r="H6526" s="28">
        <f>IFERROR(VLOOKUP(F6526,CARTON_LOOKUP!$A:$E,4,0),"")</f>
      </c>
      <c r="I6526" s="28">
        <f>IFERROR(VLOOKUP(F6526,CARTON_LOOKUP!$A:$E,5,0),"")</f>
      </c>
      <c r="J6526" s="29">
        <f>IFERROR(VLOOKUP(F6526,CARTON_LOOKUP!$A:$E,2,0),"")</f>
      </c>
      <c r="K6526" s="29">
        <f>IFERROR(J6526*D6526,0)</f>
      </c>
      <c r="L6526" s="29">
        <f>IFERROR(E6526*C6526,0)</f>
      </c>
      <c r="M6526" s="29">
        <f>IFERROR((G6526*H6526*I6526/1000000)*D6526,0)</f>
      </c>
    </row>
    <row r="6527" spans="1:13" x14ac:dyDescent="0.25">
      <c r="A6527" s="16"/>
      <c r="E6527" s="27"/>
      <c r="F6527" t="s">
        <v>26</v>
      </c>
      <c r="G6527" s="28">
        <f>IFERROR(VLOOKUP(F6527,CARTON_LOOKUP!$A:$E,3,0),"")</f>
      </c>
      <c r="H6527" s="28">
        <f>IFERROR(VLOOKUP(F6527,CARTON_LOOKUP!$A:$E,4,0),"")</f>
      </c>
      <c r="I6527" s="28">
        <f>IFERROR(VLOOKUP(F6527,CARTON_LOOKUP!$A:$E,5,0),"")</f>
      </c>
      <c r="J6527" s="29">
        <f>IFERROR(VLOOKUP(F6527,CARTON_LOOKUP!$A:$E,2,0),"")</f>
      </c>
      <c r="K6527" s="29">
        <f>IFERROR(J6527*D6527,0)</f>
      </c>
      <c r="L6527" s="29">
        <f>IFERROR(E6527*C6527,0)</f>
      </c>
      <c r="M6527" s="29">
        <f>IFERROR((G6527*H6527*I6527/1000000)*D6527,0)</f>
      </c>
    </row>
    <row r="6528" spans="1:13" x14ac:dyDescent="0.25">
      <c r="A6528" s="16"/>
      <c r="E6528" s="27"/>
      <c r="F6528" t="s">
        <v>26</v>
      </c>
      <c r="G6528" s="28">
        <f>IFERROR(VLOOKUP(F6528,CARTON_LOOKUP!$A:$E,3,0),"")</f>
      </c>
      <c r="H6528" s="28">
        <f>IFERROR(VLOOKUP(F6528,CARTON_LOOKUP!$A:$E,4,0),"")</f>
      </c>
      <c r="I6528" s="28">
        <f>IFERROR(VLOOKUP(F6528,CARTON_LOOKUP!$A:$E,5,0),"")</f>
      </c>
      <c r="J6528" s="29">
        <f>IFERROR(VLOOKUP(F6528,CARTON_LOOKUP!$A:$E,2,0),"")</f>
      </c>
      <c r="K6528" s="29">
        <f>IFERROR(J6528*D6528,0)</f>
      </c>
      <c r="L6528" s="29">
        <f>IFERROR(E6528*C6528,0)</f>
      </c>
      <c r="M6528" s="29">
        <f>IFERROR((G6528*H6528*I6528/1000000)*D6528,0)</f>
      </c>
    </row>
    <row r="6529" spans="1:13" x14ac:dyDescent="0.25">
      <c r="A6529" s="16"/>
      <c r="E6529" s="27"/>
      <c r="F6529" t="s">
        <v>26</v>
      </c>
      <c r="G6529" s="28">
        <f>IFERROR(VLOOKUP(F6529,CARTON_LOOKUP!$A:$E,3,0),"")</f>
      </c>
      <c r="H6529" s="28">
        <f>IFERROR(VLOOKUP(F6529,CARTON_LOOKUP!$A:$E,4,0),"")</f>
      </c>
      <c r="I6529" s="28">
        <f>IFERROR(VLOOKUP(F6529,CARTON_LOOKUP!$A:$E,5,0),"")</f>
      </c>
      <c r="J6529" s="29">
        <f>IFERROR(VLOOKUP(F6529,CARTON_LOOKUP!$A:$E,2,0),"")</f>
      </c>
      <c r="K6529" s="29">
        <f>IFERROR(J6529*D6529,0)</f>
      </c>
      <c r="L6529" s="29">
        <f>IFERROR(E6529*C6529,0)</f>
      </c>
      <c r="M6529" s="29">
        <f>IFERROR((G6529*H6529*I6529/1000000)*D6529,0)</f>
      </c>
    </row>
    <row r="6530" spans="1:13" x14ac:dyDescent="0.25">
      <c r="A6530" s="16"/>
      <c r="E6530" s="27"/>
      <c r="F6530" t="s">
        <v>26</v>
      </c>
      <c r="G6530" s="28">
        <f>IFERROR(VLOOKUP(F6530,CARTON_LOOKUP!$A:$E,3,0),"")</f>
      </c>
      <c r="H6530" s="28">
        <f>IFERROR(VLOOKUP(F6530,CARTON_LOOKUP!$A:$E,4,0),"")</f>
      </c>
      <c r="I6530" s="28">
        <f>IFERROR(VLOOKUP(F6530,CARTON_LOOKUP!$A:$E,5,0),"")</f>
      </c>
      <c r="J6530" s="29">
        <f>IFERROR(VLOOKUP(F6530,CARTON_LOOKUP!$A:$E,2,0),"")</f>
      </c>
      <c r="K6530" s="29">
        <f>IFERROR(J6530*D6530,0)</f>
      </c>
      <c r="L6530" s="29">
        <f>IFERROR(E6530*C6530,0)</f>
      </c>
      <c r="M6530" s="29">
        <f>IFERROR((G6530*H6530*I6530/1000000)*D6530,0)</f>
      </c>
    </row>
    <row r="6531" spans="1:13" x14ac:dyDescent="0.25">
      <c r="A6531" s="16"/>
      <c r="E6531" s="27"/>
      <c r="F6531" t="s">
        <v>26</v>
      </c>
      <c r="G6531" s="28">
        <f>IFERROR(VLOOKUP(F6531,CARTON_LOOKUP!$A:$E,3,0),"")</f>
      </c>
      <c r="H6531" s="28">
        <f>IFERROR(VLOOKUP(F6531,CARTON_LOOKUP!$A:$E,4,0),"")</f>
      </c>
      <c r="I6531" s="28">
        <f>IFERROR(VLOOKUP(F6531,CARTON_LOOKUP!$A:$E,5,0),"")</f>
      </c>
      <c r="J6531" s="29">
        <f>IFERROR(VLOOKUP(F6531,CARTON_LOOKUP!$A:$E,2,0),"")</f>
      </c>
      <c r="K6531" s="29">
        <f>IFERROR(J6531*D6531,0)</f>
      </c>
      <c r="L6531" s="29">
        <f>IFERROR(E6531*C6531,0)</f>
      </c>
      <c r="M6531" s="29">
        <f>IFERROR((G6531*H6531*I6531/1000000)*D6531,0)</f>
      </c>
    </row>
    <row r="6532" spans="1:13" x14ac:dyDescent="0.25">
      <c r="A6532" s="16"/>
      <c r="E6532" s="27"/>
      <c r="F6532" t="s">
        <v>26</v>
      </c>
      <c r="G6532" s="28">
        <f>IFERROR(VLOOKUP(F6532,CARTON_LOOKUP!$A:$E,3,0),"")</f>
      </c>
      <c r="H6532" s="28">
        <f>IFERROR(VLOOKUP(F6532,CARTON_LOOKUP!$A:$E,4,0),"")</f>
      </c>
      <c r="I6532" s="28">
        <f>IFERROR(VLOOKUP(F6532,CARTON_LOOKUP!$A:$E,5,0),"")</f>
      </c>
      <c r="J6532" s="29">
        <f>IFERROR(VLOOKUP(F6532,CARTON_LOOKUP!$A:$E,2,0),"")</f>
      </c>
      <c r="K6532" s="29">
        <f>IFERROR(J6532*D6532,0)</f>
      </c>
      <c r="L6532" s="29">
        <f>IFERROR(E6532*C6532,0)</f>
      </c>
      <c r="M6532" s="29">
        <f>IFERROR((G6532*H6532*I6532/1000000)*D6532,0)</f>
      </c>
    </row>
    <row r="6533" spans="1:13" x14ac:dyDescent="0.25">
      <c r="A6533" s="16"/>
      <c r="E6533" s="27"/>
      <c r="F6533" t="s">
        <v>26</v>
      </c>
      <c r="G6533" s="28">
        <f>IFERROR(VLOOKUP(F6533,CARTON_LOOKUP!$A:$E,3,0),"")</f>
      </c>
      <c r="H6533" s="28">
        <f>IFERROR(VLOOKUP(F6533,CARTON_LOOKUP!$A:$E,4,0),"")</f>
      </c>
      <c r="I6533" s="28">
        <f>IFERROR(VLOOKUP(F6533,CARTON_LOOKUP!$A:$E,5,0),"")</f>
      </c>
      <c r="J6533" s="29">
        <f>IFERROR(VLOOKUP(F6533,CARTON_LOOKUP!$A:$E,2,0),"")</f>
      </c>
      <c r="K6533" s="29">
        <f>IFERROR(J6533*D6533,0)</f>
      </c>
      <c r="L6533" s="29">
        <f>IFERROR(E6533*C6533,0)</f>
      </c>
      <c r="M6533" s="29">
        <f>IFERROR((G6533*H6533*I6533/1000000)*D6533,0)</f>
      </c>
    </row>
    <row r="6534" spans="1:13" x14ac:dyDescent="0.25">
      <c r="A6534" s="16"/>
      <c r="E6534" s="27"/>
      <c r="F6534" t="s">
        <v>26</v>
      </c>
      <c r="G6534" s="28">
        <f>IFERROR(VLOOKUP(F6534,CARTON_LOOKUP!$A:$E,3,0),"")</f>
      </c>
      <c r="H6534" s="28">
        <f>IFERROR(VLOOKUP(F6534,CARTON_LOOKUP!$A:$E,4,0),"")</f>
      </c>
      <c r="I6534" s="28">
        <f>IFERROR(VLOOKUP(F6534,CARTON_LOOKUP!$A:$E,5,0),"")</f>
      </c>
      <c r="J6534" s="29">
        <f>IFERROR(VLOOKUP(F6534,CARTON_LOOKUP!$A:$E,2,0),"")</f>
      </c>
      <c r="K6534" s="29">
        <f>IFERROR(J6534*D6534,0)</f>
      </c>
      <c r="L6534" s="29">
        <f>IFERROR(E6534*C6534,0)</f>
      </c>
      <c r="M6534" s="29">
        <f>IFERROR((G6534*H6534*I6534/1000000)*D6534,0)</f>
      </c>
    </row>
    <row r="6535" spans="1:13" x14ac:dyDescent="0.25">
      <c r="A6535" s="16"/>
      <c r="E6535" s="27"/>
      <c r="F6535" t="s">
        <v>26</v>
      </c>
      <c r="G6535" s="28">
        <f>IFERROR(VLOOKUP(F6535,CARTON_LOOKUP!$A:$E,3,0),"")</f>
      </c>
      <c r="H6535" s="28">
        <f>IFERROR(VLOOKUP(F6535,CARTON_LOOKUP!$A:$E,4,0),"")</f>
      </c>
      <c r="I6535" s="28">
        <f>IFERROR(VLOOKUP(F6535,CARTON_LOOKUP!$A:$E,5,0),"")</f>
      </c>
      <c r="J6535" s="29">
        <f>IFERROR(VLOOKUP(F6535,CARTON_LOOKUP!$A:$E,2,0),"")</f>
      </c>
      <c r="K6535" s="29">
        <f>IFERROR(J6535*D6535,0)</f>
      </c>
      <c r="L6535" s="29">
        <f>IFERROR(E6535*C6535,0)</f>
      </c>
      <c r="M6535" s="29">
        <f>IFERROR((G6535*H6535*I6535/1000000)*D6535,0)</f>
      </c>
    </row>
    <row r="6536" spans="1:13" x14ac:dyDescent="0.25">
      <c r="A6536" s="16"/>
      <c r="E6536" s="27"/>
      <c r="F6536" t="s">
        <v>26</v>
      </c>
      <c r="G6536" s="28">
        <f>IFERROR(VLOOKUP(F6536,CARTON_LOOKUP!$A:$E,3,0),"")</f>
      </c>
      <c r="H6536" s="28">
        <f>IFERROR(VLOOKUP(F6536,CARTON_LOOKUP!$A:$E,4,0),"")</f>
      </c>
      <c r="I6536" s="28">
        <f>IFERROR(VLOOKUP(F6536,CARTON_LOOKUP!$A:$E,5,0),"")</f>
      </c>
      <c r="J6536" s="29">
        <f>IFERROR(VLOOKUP(F6536,CARTON_LOOKUP!$A:$E,2,0),"")</f>
      </c>
      <c r="K6536" s="29">
        <f>IFERROR(J6536*D6536,0)</f>
      </c>
      <c r="L6536" s="29">
        <f>IFERROR(E6536*C6536,0)</f>
      </c>
      <c r="M6536" s="29">
        <f>IFERROR((G6536*H6536*I6536/1000000)*D6536,0)</f>
      </c>
    </row>
    <row r="6537" spans="1:13" x14ac:dyDescent="0.25">
      <c r="A6537" s="16"/>
      <c r="E6537" s="27"/>
      <c r="F6537" t="s">
        <v>26</v>
      </c>
      <c r="G6537" s="28">
        <f>IFERROR(VLOOKUP(F6537,CARTON_LOOKUP!$A:$E,3,0),"")</f>
      </c>
      <c r="H6537" s="28">
        <f>IFERROR(VLOOKUP(F6537,CARTON_LOOKUP!$A:$E,4,0),"")</f>
      </c>
      <c r="I6537" s="28">
        <f>IFERROR(VLOOKUP(F6537,CARTON_LOOKUP!$A:$E,5,0),"")</f>
      </c>
      <c r="J6537" s="29">
        <f>IFERROR(VLOOKUP(F6537,CARTON_LOOKUP!$A:$E,2,0),"")</f>
      </c>
      <c r="K6537" s="29">
        <f>IFERROR(J6537*D6537,0)</f>
      </c>
      <c r="L6537" s="29">
        <f>IFERROR(E6537*C6537,0)</f>
      </c>
      <c r="M6537" s="29">
        <f>IFERROR((G6537*H6537*I6537/1000000)*D6537,0)</f>
      </c>
    </row>
    <row r="6538" spans="1:13" x14ac:dyDescent="0.25">
      <c r="A6538" s="16"/>
      <c r="E6538" s="27"/>
      <c r="F6538" t="s">
        <v>26</v>
      </c>
      <c r="G6538" s="28">
        <f>IFERROR(VLOOKUP(F6538,CARTON_LOOKUP!$A:$E,3,0),"")</f>
      </c>
      <c r="H6538" s="28">
        <f>IFERROR(VLOOKUP(F6538,CARTON_LOOKUP!$A:$E,4,0),"")</f>
      </c>
      <c r="I6538" s="28">
        <f>IFERROR(VLOOKUP(F6538,CARTON_LOOKUP!$A:$E,5,0),"")</f>
      </c>
      <c r="J6538" s="29">
        <f>IFERROR(VLOOKUP(F6538,CARTON_LOOKUP!$A:$E,2,0),"")</f>
      </c>
      <c r="K6538" s="29">
        <f>IFERROR(J6538*D6538,0)</f>
      </c>
      <c r="L6538" s="29">
        <f>IFERROR(E6538*C6538,0)</f>
      </c>
      <c r="M6538" s="29">
        <f>IFERROR((G6538*H6538*I6538/1000000)*D6538,0)</f>
      </c>
    </row>
    <row r="6539" spans="1:13" x14ac:dyDescent="0.25">
      <c r="A6539" s="16"/>
      <c r="E6539" s="27"/>
      <c r="F6539" t="s">
        <v>26</v>
      </c>
      <c r="G6539" s="28">
        <f>IFERROR(VLOOKUP(F6539,CARTON_LOOKUP!$A:$E,3,0),"")</f>
      </c>
      <c r="H6539" s="28">
        <f>IFERROR(VLOOKUP(F6539,CARTON_LOOKUP!$A:$E,4,0),"")</f>
      </c>
      <c r="I6539" s="28">
        <f>IFERROR(VLOOKUP(F6539,CARTON_LOOKUP!$A:$E,5,0),"")</f>
      </c>
      <c r="J6539" s="29">
        <f>IFERROR(VLOOKUP(F6539,CARTON_LOOKUP!$A:$E,2,0),"")</f>
      </c>
      <c r="K6539" s="29">
        <f>IFERROR(J6539*D6539,0)</f>
      </c>
      <c r="L6539" s="29">
        <f>IFERROR(E6539*C6539,0)</f>
      </c>
      <c r="M6539" s="29">
        <f>IFERROR((G6539*H6539*I6539/1000000)*D6539,0)</f>
      </c>
    </row>
    <row r="6540" spans="1:13" x14ac:dyDescent="0.25">
      <c r="A6540" s="16"/>
      <c r="E6540" s="27"/>
      <c r="F6540" t="s">
        <v>26</v>
      </c>
      <c r="G6540" s="28">
        <f>IFERROR(VLOOKUP(F6540,CARTON_LOOKUP!$A:$E,3,0),"")</f>
      </c>
      <c r="H6540" s="28">
        <f>IFERROR(VLOOKUP(F6540,CARTON_LOOKUP!$A:$E,4,0),"")</f>
      </c>
      <c r="I6540" s="28">
        <f>IFERROR(VLOOKUP(F6540,CARTON_LOOKUP!$A:$E,5,0),"")</f>
      </c>
      <c r="J6540" s="29">
        <f>IFERROR(VLOOKUP(F6540,CARTON_LOOKUP!$A:$E,2,0),"")</f>
      </c>
      <c r="K6540" s="29">
        <f>IFERROR(J6540*D6540,0)</f>
      </c>
      <c r="L6540" s="29">
        <f>IFERROR(E6540*C6540,0)</f>
      </c>
      <c r="M6540" s="29">
        <f>IFERROR((G6540*H6540*I6540/1000000)*D6540,0)</f>
      </c>
    </row>
    <row r="6541" spans="1:13" x14ac:dyDescent="0.25">
      <c r="A6541" s="16"/>
      <c r="E6541" s="27"/>
      <c r="F6541" t="s">
        <v>26</v>
      </c>
      <c r="G6541" s="28">
        <f>IFERROR(VLOOKUP(F6541,CARTON_LOOKUP!$A:$E,3,0),"")</f>
      </c>
      <c r="H6541" s="28">
        <f>IFERROR(VLOOKUP(F6541,CARTON_LOOKUP!$A:$E,4,0),"")</f>
      </c>
      <c r="I6541" s="28">
        <f>IFERROR(VLOOKUP(F6541,CARTON_LOOKUP!$A:$E,5,0),"")</f>
      </c>
      <c r="J6541" s="29">
        <f>IFERROR(VLOOKUP(F6541,CARTON_LOOKUP!$A:$E,2,0),"")</f>
      </c>
      <c r="K6541" s="29">
        <f>IFERROR(J6541*D6541,0)</f>
      </c>
      <c r="L6541" s="29">
        <f>IFERROR(E6541*C6541,0)</f>
      </c>
      <c r="M6541" s="29">
        <f>IFERROR((G6541*H6541*I6541/1000000)*D6541,0)</f>
      </c>
    </row>
    <row r="6542" spans="1:13" x14ac:dyDescent="0.25">
      <c r="A6542" s="16"/>
      <c r="E6542" s="27"/>
      <c r="F6542" t="s">
        <v>26</v>
      </c>
      <c r="G6542" s="28">
        <f>IFERROR(VLOOKUP(F6542,CARTON_LOOKUP!$A:$E,3,0),"")</f>
      </c>
      <c r="H6542" s="28">
        <f>IFERROR(VLOOKUP(F6542,CARTON_LOOKUP!$A:$E,4,0),"")</f>
      </c>
      <c r="I6542" s="28">
        <f>IFERROR(VLOOKUP(F6542,CARTON_LOOKUP!$A:$E,5,0),"")</f>
      </c>
      <c r="J6542" s="29">
        <f>IFERROR(VLOOKUP(F6542,CARTON_LOOKUP!$A:$E,2,0),"")</f>
      </c>
      <c r="K6542" s="29">
        <f>IFERROR(J6542*D6542,0)</f>
      </c>
      <c r="L6542" s="29">
        <f>IFERROR(E6542*C6542,0)</f>
      </c>
      <c r="M6542" s="29">
        <f>IFERROR((G6542*H6542*I6542/1000000)*D6542,0)</f>
      </c>
    </row>
    <row r="6543" spans="1:13" x14ac:dyDescent="0.25">
      <c r="A6543" s="16"/>
      <c r="E6543" s="27"/>
      <c r="F6543" t="s">
        <v>26</v>
      </c>
      <c r="G6543" s="28">
        <f>IFERROR(VLOOKUP(F6543,CARTON_LOOKUP!$A:$E,3,0),"")</f>
      </c>
      <c r="H6543" s="28">
        <f>IFERROR(VLOOKUP(F6543,CARTON_LOOKUP!$A:$E,4,0),"")</f>
      </c>
      <c r="I6543" s="28">
        <f>IFERROR(VLOOKUP(F6543,CARTON_LOOKUP!$A:$E,5,0),"")</f>
      </c>
      <c r="J6543" s="29">
        <f>IFERROR(VLOOKUP(F6543,CARTON_LOOKUP!$A:$E,2,0),"")</f>
      </c>
      <c r="K6543" s="29">
        <f>IFERROR(J6543*D6543,0)</f>
      </c>
      <c r="L6543" s="29">
        <f>IFERROR(E6543*C6543,0)</f>
      </c>
      <c r="M6543" s="29">
        <f>IFERROR((G6543*H6543*I6543/1000000)*D6543,0)</f>
      </c>
    </row>
    <row r="6544" spans="1:13" x14ac:dyDescent="0.25">
      <c r="A6544" s="16"/>
      <c r="E6544" s="27"/>
      <c r="F6544" t="s">
        <v>26</v>
      </c>
      <c r="G6544" s="28">
        <f>IFERROR(VLOOKUP(F6544,CARTON_LOOKUP!$A:$E,3,0),"")</f>
      </c>
      <c r="H6544" s="28">
        <f>IFERROR(VLOOKUP(F6544,CARTON_LOOKUP!$A:$E,4,0),"")</f>
      </c>
      <c r="I6544" s="28">
        <f>IFERROR(VLOOKUP(F6544,CARTON_LOOKUP!$A:$E,5,0),"")</f>
      </c>
      <c r="J6544" s="29">
        <f>IFERROR(VLOOKUP(F6544,CARTON_LOOKUP!$A:$E,2,0),"")</f>
      </c>
      <c r="K6544" s="29">
        <f>IFERROR(J6544*D6544,0)</f>
      </c>
      <c r="L6544" s="29">
        <f>IFERROR(E6544*C6544,0)</f>
      </c>
      <c r="M6544" s="29">
        <f>IFERROR((G6544*H6544*I6544/1000000)*D6544,0)</f>
      </c>
    </row>
    <row r="6545" spans="1:13" x14ac:dyDescent="0.25">
      <c r="A6545" s="16"/>
      <c r="E6545" s="27"/>
      <c r="F6545" t="s">
        <v>26</v>
      </c>
      <c r="G6545" s="28">
        <f>IFERROR(VLOOKUP(F6545,CARTON_LOOKUP!$A:$E,3,0),"")</f>
      </c>
      <c r="H6545" s="28">
        <f>IFERROR(VLOOKUP(F6545,CARTON_LOOKUP!$A:$E,4,0),"")</f>
      </c>
      <c r="I6545" s="28">
        <f>IFERROR(VLOOKUP(F6545,CARTON_LOOKUP!$A:$E,5,0),"")</f>
      </c>
      <c r="J6545" s="29">
        <f>IFERROR(VLOOKUP(F6545,CARTON_LOOKUP!$A:$E,2,0),"")</f>
      </c>
      <c r="K6545" s="29">
        <f>IFERROR(J6545*D6545,0)</f>
      </c>
      <c r="L6545" s="29">
        <f>IFERROR(E6545*C6545,0)</f>
      </c>
      <c r="M6545" s="29">
        <f>IFERROR((G6545*H6545*I6545/1000000)*D6545,0)</f>
      </c>
    </row>
    <row r="6546" spans="1:13" x14ac:dyDescent="0.25">
      <c r="A6546" s="16"/>
      <c r="E6546" s="27"/>
      <c r="F6546" t="s">
        <v>26</v>
      </c>
      <c r="G6546" s="28">
        <f>IFERROR(VLOOKUP(F6546,CARTON_LOOKUP!$A:$E,3,0),"")</f>
      </c>
      <c r="H6546" s="28">
        <f>IFERROR(VLOOKUP(F6546,CARTON_LOOKUP!$A:$E,4,0),"")</f>
      </c>
      <c r="I6546" s="28">
        <f>IFERROR(VLOOKUP(F6546,CARTON_LOOKUP!$A:$E,5,0),"")</f>
      </c>
      <c r="J6546" s="29">
        <f>IFERROR(VLOOKUP(F6546,CARTON_LOOKUP!$A:$E,2,0),"")</f>
      </c>
      <c r="K6546" s="29">
        <f>IFERROR(J6546*D6546,0)</f>
      </c>
      <c r="L6546" s="29">
        <f>IFERROR(E6546*C6546,0)</f>
      </c>
      <c r="M6546" s="29">
        <f>IFERROR((G6546*H6546*I6546/1000000)*D6546,0)</f>
      </c>
    </row>
    <row r="6547" spans="1:13" x14ac:dyDescent="0.25">
      <c r="A6547" s="16"/>
      <c r="E6547" s="27"/>
      <c r="F6547" t="s">
        <v>26</v>
      </c>
      <c r="G6547" s="28">
        <f>IFERROR(VLOOKUP(F6547,CARTON_LOOKUP!$A:$E,3,0),"")</f>
      </c>
      <c r="H6547" s="28">
        <f>IFERROR(VLOOKUP(F6547,CARTON_LOOKUP!$A:$E,4,0),"")</f>
      </c>
      <c r="I6547" s="28">
        <f>IFERROR(VLOOKUP(F6547,CARTON_LOOKUP!$A:$E,5,0),"")</f>
      </c>
      <c r="J6547" s="29">
        <f>IFERROR(VLOOKUP(F6547,CARTON_LOOKUP!$A:$E,2,0),"")</f>
      </c>
      <c r="K6547" s="29">
        <f>IFERROR(J6547*D6547,0)</f>
      </c>
      <c r="L6547" s="29">
        <f>IFERROR(E6547*C6547,0)</f>
      </c>
      <c r="M6547" s="29">
        <f>IFERROR((G6547*H6547*I6547/1000000)*D6547,0)</f>
      </c>
    </row>
    <row r="6548" spans="1:13" x14ac:dyDescent="0.25">
      <c r="A6548" s="16"/>
      <c r="E6548" s="27"/>
      <c r="F6548" t="s">
        <v>26</v>
      </c>
      <c r="G6548" s="28">
        <f>IFERROR(VLOOKUP(F6548,CARTON_LOOKUP!$A:$E,3,0),"")</f>
      </c>
      <c r="H6548" s="28">
        <f>IFERROR(VLOOKUP(F6548,CARTON_LOOKUP!$A:$E,4,0),"")</f>
      </c>
      <c r="I6548" s="28">
        <f>IFERROR(VLOOKUP(F6548,CARTON_LOOKUP!$A:$E,5,0),"")</f>
      </c>
      <c r="J6548" s="29">
        <f>IFERROR(VLOOKUP(F6548,CARTON_LOOKUP!$A:$E,2,0),"")</f>
      </c>
      <c r="K6548" s="29">
        <f>IFERROR(J6548*D6548,0)</f>
      </c>
      <c r="L6548" s="29">
        <f>IFERROR(E6548*C6548,0)</f>
      </c>
      <c r="M6548" s="29">
        <f>IFERROR((G6548*H6548*I6548/1000000)*D6548,0)</f>
      </c>
    </row>
    <row r="6549" spans="1:13" x14ac:dyDescent="0.25">
      <c r="A6549" s="16"/>
      <c r="E6549" s="27"/>
      <c r="F6549" t="s">
        <v>26</v>
      </c>
      <c r="G6549" s="28">
        <f>IFERROR(VLOOKUP(F6549,CARTON_LOOKUP!$A:$E,3,0),"")</f>
      </c>
      <c r="H6549" s="28">
        <f>IFERROR(VLOOKUP(F6549,CARTON_LOOKUP!$A:$E,4,0),"")</f>
      </c>
      <c r="I6549" s="28">
        <f>IFERROR(VLOOKUP(F6549,CARTON_LOOKUP!$A:$E,5,0),"")</f>
      </c>
      <c r="J6549" s="29">
        <f>IFERROR(VLOOKUP(F6549,CARTON_LOOKUP!$A:$E,2,0),"")</f>
      </c>
      <c r="K6549" s="29">
        <f>IFERROR(J6549*D6549,0)</f>
      </c>
      <c r="L6549" s="29">
        <f>IFERROR(E6549*C6549,0)</f>
      </c>
      <c r="M6549" s="29">
        <f>IFERROR((G6549*H6549*I6549/1000000)*D6549,0)</f>
      </c>
    </row>
    <row r="6550" spans="1:13" x14ac:dyDescent="0.25">
      <c r="A6550" s="16"/>
      <c r="E6550" s="27"/>
      <c r="F6550" t="s">
        <v>26</v>
      </c>
      <c r="G6550" s="28">
        <f>IFERROR(VLOOKUP(F6550,CARTON_LOOKUP!$A:$E,3,0),"")</f>
      </c>
      <c r="H6550" s="28">
        <f>IFERROR(VLOOKUP(F6550,CARTON_LOOKUP!$A:$E,4,0),"")</f>
      </c>
      <c r="I6550" s="28">
        <f>IFERROR(VLOOKUP(F6550,CARTON_LOOKUP!$A:$E,5,0),"")</f>
      </c>
      <c r="J6550" s="29">
        <f>IFERROR(VLOOKUP(F6550,CARTON_LOOKUP!$A:$E,2,0),"")</f>
      </c>
      <c r="K6550" s="29">
        <f>IFERROR(J6550*D6550,0)</f>
      </c>
      <c r="L6550" s="29">
        <f>IFERROR(E6550*C6550,0)</f>
      </c>
      <c r="M6550" s="29">
        <f>IFERROR((G6550*H6550*I6550/1000000)*D6550,0)</f>
      </c>
    </row>
    <row r="6551" spans="1:13" x14ac:dyDescent="0.25">
      <c r="A6551" s="16"/>
      <c r="E6551" s="27"/>
      <c r="F6551" t="s">
        <v>26</v>
      </c>
      <c r="G6551" s="28">
        <f>IFERROR(VLOOKUP(F6551,CARTON_LOOKUP!$A:$E,3,0),"")</f>
      </c>
      <c r="H6551" s="28">
        <f>IFERROR(VLOOKUP(F6551,CARTON_LOOKUP!$A:$E,4,0),"")</f>
      </c>
      <c r="I6551" s="28">
        <f>IFERROR(VLOOKUP(F6551,CARTON_LOOKUP!$A:$E,5,0),"")</f>
      </c>
      <c r="J6551" s="29">
        <f>IFERROR(VLOOKUP(F6551,CARTON_LOOKUP!$A:$E,2,0),"")</f>
      </c>
      <c r="K6551" s="29">
        <f>IFERROR(J6551*D6551,0)</f>
      </c>
      <c r="L6551" s="29">
        <f>IFERROR(E6551*C6551,0)</f>
      </c>
      <c r="M6551" s="29">
        <f>IFERROR((G6551*H6551*I6551/1000000)*D6551,0)</f>
      </c>
    </row>
    <row r="6552" spans="1:13" x14ac:dyDescent="0.25">
      <c r="A6552" s="16"/>
      <c r="E6552" s="27"/>
      <c r="F6552" t="s">
        <v>26</v>
      </c>
      <c r="G6552" s="28">
        <f>IFERROR(VLOOKUP(F6552,CARTON_LOOKUP!$A:$E,3,0),"")</f>
      </c>
      <c r="H6552" s="28">
        <f>IFERROR(VLOOKUP(F6552,CARTON_LOOKUP!$A:$E,4,0),"")</f>
      </c>
      <c r="I6552" s="28">
        <f>IFERROR(VLOOKUP(F6552,CARTON_LOOKUP!$A:$E,5,0),"")</f>
      </c>
      <c r="J6552" s="29">
        <f>IFERROR(VLOOKUP(F6552,CARTON_LOOKUP!$A:$E,2,0),"")</f>
      </c>
      <c r="K6552" s="29">
        <f>IFERROR(J6552*D6552,0)</f>
      </c>
      <c r="L6552" s="29">
        <f>IFERROR(E6552*C6552,0)</f>
      </c>
      <c r="M6552" s="29">
        <f>IFERROR((G6552*H6552*I6552/1000000)*D6552,0)</f>
      </c>
    </row>
    <row r="6553" spans="1:13" x14ac:dyDescent="0.25">
      <c r="A6553" s="16"/>
      <c r="E6553" s="27"/>
      <c r="F6553" t="s">
        <v>26</v>
      </c>
      <c r="G6553" s="28">
        <f>IFERROR(VLOOKUP(F6553,CARTON_LOOKUP!$A:$E,3,0),"")</f>
      </c>
      <c r="H6553" s="28">
        <f>IFERROR(VLOOKUP(F6553,CARTON_LOOKUP!$A:$E,4,0),"")</f>
      </c>
      <c r="I6553" s="28">
        <f>IFERROR(VLOOKUP(F6553,CARTON_LOOKUP!$A:$E,5,0),"")</f>
      </c>
      <c r="J6553" s="29">
        <f>IFERROR(VLOOKUP(F6553,CARTON_LOOKUP!$A:$E,2,0),"")</f>
      </c>
      <c r="K6553" s="29">
        <f>IFERROR(J6553*D6553,0)</f>
      </c>
      <c r="L6553" s="29">
        <f>IFERROR(E6553*C6553,0)</f>
      </c>
      <c r="M6553" s="29">
        <f>IFERROR((G6553*H6553*I6553/1000000)*D6553,0)</f>
      </c>
    </row>
    <row r="6554" spans="1:13" x14ac:dyDescent="0.25">
      <c r="A6554" s="16"/>
      <c r="E6554" s="27"/>
      <c r="F6554" t="s">
        <v>26</v>
      </c>
      <c r="G6554" s="28">
        <f>IFERROR(VLOOKUP(F6554,CARTON_LOOKUP!$A:$E,3,0),"")</f>
      </c>
      <c r="H6554" s="28">
        <f>IFERROR(VLOOKUP(F6554,CARTON_LOOKUP!$A:$E,4,0),"")</f>
      </c>
      <c r="I6554" s="28">
        <f>IFERROR(VLOOKUP(F6554,CARTON_LOOKUP!$A:$E,5,0),"")</f>
      </c>
      <c r="J6554" s="29">
        <f>IFERROR(VLOOKUP(F6554,CARTON_LOOKUP!$A:$E,2,0),"")</f>
      </c>
      <c r="K6554" s="29">
        <f>IFERROR(J6554*D6554,0)</f>
      </c>
      <c r="L6554" s="29">
        <f>IFERROR(E6554*C6554,0)</f>
      </c>
      <c r="M6554" s="29">
        <f>IFERROR((G6554*H6554*I6554/1000000)*D6554,0)</f>
      </c>
    </row>
    <row r="6555" spans="1:13" x14ac:dyDescent="0.25">
      <c r="A6555" s="16"/>
      <c r="E6555" s="27"/>
      <c r="F6555" t="s">
        <v>26</v>
      </c>
      <c r="G6555" s="28">
        <f>IFERROR(VLOOKUP(F6555,CARTON_LOOKUP!$A:$E,3,0),"")</f>
      </c>
      <c r="H6555" s="28">
        <f>IFERROR(VLOOKUP(F6555,CARTON_LOOKUP!$A:$E,4,0),"")</f>
      </c>
      <c r="I6555" s="28">
        <f>IFERROR(VLOOKUP(F6555,CARTON_LOOKUP!$A:$E,5,0),"")</f>
      </c>
      <c r="J6555" s="29">
        <f>IFERROR(VLOOKUP(F6555,CARTON_LOOKUP!$A:$E,2,0),"")</f>
      </c>
      <c r="K6555" s="29">
        <f>IFERROR(J6555*D6555,0)</f>
      </c>
      <c r="L6555" s="29">
        <f>IFERROR(E6555*C6555,0)</f>
      </c>
      <c r="M6555" s="29">
        <f>IFERROR((G6555*H6555*I6555/1000000)*D6555,0)</f>
      </c>
    </row>
    <row r="6556" spans="1:13" x14ac:dyDescent="0.25">
      <c r="A6556" s="16"/>
      <c r="E6556" s="27"/>
      <c r="F6556" t="s">
        <v>26</v>
      </c>
      <c r="G6556" s="28">
        <f>IFERROR(VLOOKUP(F6556,CARTON_LOOKUP!$A:$E,3,0),"")</f>
      </c>
      <c r="H6556" s="28">
        <f>IFERROR(VLOOKUP(F6556,CARTON_LOOKUP!$A:$E,4,0),"")</f>
      </c>
      <c r="I6556" s="28">
        <f>IFERROR(VLOOKUP(F6556,CARTON_LOOKUP!$A:$E,5,0),"")</f>
      </c>
      <c r="J6556" s="29">
        <f>IFERROR(VLOOKUP(F6556,CARTON_LOOKUP!$A:$E,2,0),"")</f>
      </c>
      <c r="K6556" s="29">
        <f>IFERROR(J6556*D6556,0)</f>
      </c>
      <c r="L6556" s="29">
        <f>IFERROR(E6556*C6556,0)</f>
      </c>
      <c r="M6556" s="29">
        <f>IFERROR((G6556*H6556*I6556/1000000)*D6556,0)</f>
      </c>
    </row>
    <row r="6557" spans="1:13" x14ac:dyDescent="0.25">
      <c r="A6557" s="16"/>
      <c r="E6557" s="27"/>
      <c r="F6557" t="s">
        <v>26</v>
      </c>
      <c r="G6557" s="28">
        <f>IFERROR(VLOOKUP(F6557,CARTON_LOOKUP!$A:$E,3,0),"")</f>
      </c>
      <c r="H6557" s="28">
        <f>IFERROR(VLOOKUP(F6557,CARTON_LOOKUP!$A:$E,4,0),"")</f>
      </c>
      <c r="I6557" s="28">
        <f>IFERROR(VLOOKUP(F6557,CARTON_LOOKUP!$A:$E,5,0),"")</f>
      </c>
      <c r="J6557" s="29">
        <f>IFERROR(VLOOKUP(F6557,CARTON_LOOKUP!$A:$E,2,0),"")</f>
      </c>
      <c r="K6557" s="29">
        <f>IFERROR(J6557*D6557,0)</f>
      </c>
      <c r="L6557" s="29">
        <f>IFERROR(E6557*C6557,0)</f>
      </c>
      <c r="M6557" s="29">
        <f>IFERROR((G6557*H6557*I6557/1000000)*D6557,0)</f>
      </c>
    </row>
    <row r="6558" spans="1:13" x14ac:dyDescent="0.25">
      <c r="A6558" s="16"/>
      <c r="E6558" s="27"/>
      <c r="F6558" t="s">
        <v>26</v>
      </c>
      <c r="G6558" s="28">
        <f>IFERROR(VLOOKUP(F6558,CARTON_LOOKUP!$A:$E,3,0),"")</f>
      </c>
      <c r="H6558" s="28">
        <f>IFERROR(VLOOKUP(F6558,CARTON_LOOKUP!$A:$E,4,0),"")</f>
      </c>
      <c r="I6558" s="28">
        <f>IFERROR(VLOOKUP(F6558,CARTON_LOOKUP!$A:$E,5,0),"")</f>
      </c>
      <c r="J6558" s="29">
        <f>IFERROR(VLOOKUP(F6558,CARTON_LOOKUP!$A:$E,2,0),"")</f>
      </c>
      <c r="K6558" s="29">
        <f>IFERROR(J6558*D6558,0)</f>
      </c>
      <c r="L6558" s="29">
        <f>IFERROR(E6558*C6558,0)</f>
      </c>
      <c r="M6558" s="29">
        <f>IFERROR((G6558*H6558*I6558/1000000)*D6558,0)</f>
      </c>
    </row>
    <row r="6559" spans="1:13" x14ac:dyDescent="0.25">
      <c r="A6559" s="16"/>
      <c r="E6559" s="27"/>
      <c r="F6559" t="s">
        <v>26</v>
      </c>
      <c r="G6559" s="28">
        <f>IFERROR(VLOOKUP(F6559,CARTON_LOOKUP!$A:$E,3,0),"")</f>
      </c>
      <c r="H6559" s="28">
        <f>IFERROR(VLOOKUP(F6559,CARTON_LOOKUP!$A:$E,4,0),"")</f>
      </c>
      <c r="I6559" s="28">
        <f>IFERROR(VLOOKUP(F6559,CARTON_LOOKUP!$A:$E,5,0),"")</f>
      </c>
      <c r="J6559" s="29">
        <f>IFERROR(VLOOKUP(F6559,CARTON_LOOKUP!$A:$E,2,0),"")</f>
      </c>
      <c r="K6559" s="29">
        <f>IFERROR(J6559*D6559,0)</f>
      </c>
      <c r="L6559" s="29">
        <f>IFERROR(E6559*C6559,0)</f>
      </c>
      <c r="M6559" s="29">
        <f>IFERROR((G6559*H6559*I6559/1000000)*D6559,0)</f>
      </c>
    </row>
    <row r="6560" spans="1:13" x14ac:dyDescent="0.25">
      <c r="A6560" s="16"/>
      <c r="E6560" s="27"/>
      <c r="F6560" t="s">
        <v>26</v>
      </c>
      <c r="G6560" s="28">
        <f>IFERROR(VLOOKUP(F6560,CARTON_LOOKUP!$A:$E,3,0),"")</f>
      </c>
      <c r="H6560" s="28">
        <f>IFERROR(VLOOKUP(F6560,CARTON_LOOKUP!$A:$E,4,0),"")</f>
      </c>
      <c r="I6560" s="28">
        <f>IFERROR(VLOOKUP(F6560,CARTON_LOOKUP!$A:$E,5,0),"")</f>
      </c>
      <c r="J6560" s="29">
        <f>IFERROR(VLOOKUP(F6560,CARTON_LOOKUP!$A:$E,2,0),"")</f>
      </c>
      <c r="K6560" s="29">
        <f>IFERROR(J6560*D6560,0)</f>
      </c>
      <c r="L6560" s="29">
        <f>IFERROR(E6560*C6560,0)</f>
      </c>
      <c r="M6560" s="29">
        <f>IFERROR((G6560*H6560*I6560/1000000)*D6560,0)</f>
      </c>
    </row>
    <row r="6561" spans="1:13" x14ac:dyDescent="0.25">
      <c r="A6561" s="16"/>
      <c r="E6561" s="27"/>
      <c r="F6561" t="s">
        <v>26</v>
      </c>
      <c r="G6561" s="28">
        <f>IFERROR(VLOOKUP(F6561,CARTON_LOOKUP!$A:$E,3,0),"")</f>
      </c>
      <c r="H6561" s="28">
        <f>IFERROR(VLOOKUP(F6561,CARTON_LOOKUP!$A:$E,4,0),"")</f>
      </c>
      <c r="I6561" s="28">
        <f>IFERROR(VLOOKUP(F6561,CARTON_LOOKUP!$A:$E,5,0),"")</f>
      </c>
      <c r="J6561" s="29">
        <f>IFERROR(VLOOKUP(F6561,CARTON_LOOKUP!$A:$E,2,0),"")</f>
      </c>
      <c r="K6561" s="29">
        <f>IFERROR(J6561*D6561,0)</f>
      </c>
      <c r="L6561" s="29">
        <f>IFERROR(E6561*C6561,0)</f>
      </c>
      <c r="M6561" s="29">
        <f>IFERROR((G6561*H6561*I6561/1000000)*D6561,0)</f>
      </c>
    </row>
    <row r="6562" spans="1:13" x14ac:dyDescent="0.25">
      <c r="A6562" s="16"/>
      <c r="E6562" s="27"/>
      <c r="F6562" t="s">
        <v>26</v>
      </c>
      <c r="G6562" s="28">
        <f>IFERROR(VLOOKUP(F6562,CARTON_LOOKUP!$A:$E,3,0),"")</f>
      </c>
      <c r="H6562" s="28">
        <f>IFERROR(VLOOKUP(F6562,CARTON_LOOKUP!$A:$E,4,0),"")</f>
      </c>
      <c r="I6562" s="28">
        <f>IFERROR(VLOOKUP(F6562,CARTON_LOOKUP!$A:$E,5,0),"")</f>
      </c>
      <c r="J6562" s="29">
        <f>IFERROR(VLOOKUP(F6562,CARTON_LOOKUP!$A:$E,2,0),"")</f>
      </c>
      <c r="K6562" s="29">
        <f>IFERROR(J6562*D6562,0)</f>
      </c>
      <c r="L6562" s="29">
        <f>IFERROR(E6562*C6562,0)</f>
      </c>
      <c r="M6562" s="29">
        <f>IFERROR((G6562*H6562*I6562/1000000)*D6562,0)</f>
      </c>
    </row>
    <row r="6563" spans="1:13" x14ac:dyDescent="0.25">
      <c r="A6563" s="16"/>
      <c r="E6563" s="27"/>
      <c r="F6563" t="s">
        <v>26</v>
      </c>
      <c r="G6563" s="28">
        <f>IFERROR(VLOOKUP(F6563,CARTON_LOOKUP!$A:$E,3,0),"")</f>
      </c>
      <c r="H6563" s="28">
        <f>IFERROR(VLOOKUP(F6563,CARTON_LOOKUP!$A:$E,4,0),"")</f>
      </c>
      <c r="I6563" s="28">
        <f>IFERROR(VLOOKUP(F6563,CARTON_LOOKUP!$A:$E,5,0),"")</f>
      </c>
      <c r="J6563" s="29">
        <f>IFERROR(VLOOKUP(F6563,CARTON_LOOKUP!$A:$E,2,0),"")</f>
      </c>
      <c r="K6563" s="29">
        <f>IFERROR(J6563*D6563,0)</f>
      </c>
      <c r="L6563" s="29">
        <f>IFERROR(E6563*C6563,0)</f>
      </c>
      <c r="M6563" s="29">
        <f>IFERROR((G6563*H6563*I6563/1000000)*D6563,0)</f>
      </c>
    </row>
    <row r="6564" spans="1:13" x14ac:dyDescent="0.25">
      <c r="A6564" s="16"/>
      <c r="E6564" s="27"/>
      <c r="F6564" t="s">
        <v>26</v>
      </c>
      <c r="G6564" s="28">
        <f>IFERROR(VLOOKUP(F6564,CARTON_LOOKUP!$A:$E,3,0),"")</f>
      </c>
      <c r="H6564" s="28">
        <f>IFERROR(VLOOKUP(F6564,CARTON_LOOKUP!$A:$E,4,0),"")</f>
      </c>
      <c r="I6564" s="28">
        <f>IFERROR(VLOOKUP(F6564,CARTON_LOOKUP!$A:$E,5,0),"")</f>
      </c>
      <c r="J6564" s="29">
        <f>IFERROR(VLOOKUP(F6564,CARTON_LOOKUP!$A:$E,2,0),"")</f>
      </c>
      <c r="K6564" s="29">
        <f>IFERROR(J6564*D6564,0)</f>
      </c>
      <c r="L6564" s="29">
        <f>IFERROR(E6564*C6564,0)</f>
      </c>
      <c r="M6564" s="29">
        <f>IFERROR((G6564*H6564*I6564/1000000)*D6564,0)</f>
      </c>
    </row>
    <row r="6565" spans="1:13" x14ac:dyDescent="0.25">
      <c r="A6565" s="16"/>
      <c r="E6565" s="27"/>
      <c r="F6565" t="s">
        <v>26</v>
      </c>
      <c r="G6565" s="28">
        <f>IFERROR(VLOOKUP(F6565,CARTON_LOOKUP!$A:$E,3,0),"")</f>
      </c>
      <c r="H6565" s="28">
        <f>IFERROR(VLOOKUP(F6565,CARTON_LOOKUP!$A:$E,4,0),"")</f>
      </c>
      <c r="I6565" s="28">
        <f>IFERROR(VLOOKUP(F6565,CARTON_LOOKUP!$A:$E,5,0),"")</f>
      </c>
      <c r="J6565" s="29">
        <f>IFERROR(VLOOKUP(F6565,CARTON_LOOKUP!$A:$E,2,0),"")</f>
      </c>
      <c r="K6565" s="29">
        <f>IFERROR(J6565*D6565,0)</f>
      </c>
      <c r="L6565" s="29">
        <f>IFERROR(E6565*C6565,0)</f>
      </c>
      <c r="M6565" s="29">
        <f>IFERROR((G6565*H6565*I6565/1000000)*D6565,0)</f>
      </c>
    </row>
    <row r="6566" spans="1:13" x14ac:dyDescent="0.25">
      <c r="A6566" s="16"/>
      <c r="E6566" s="27"/>
      <c r="F6566" t="s">
        <v>26</v>
      </c>
      <c r="G6566" s="28">
        <f>IFERROR(VLOOKUP(F6566,CARTON_LOOKUP!$A:$E,3,0),"")</f>
      </c>
      <c r="H6566" s="28">
        <f>IFERROR(VLOOKUP(F6566,CARTON_LOOKUP!$A:$E,4,0),"")</f>
      </c>
      <c r="I6566" s="28">
        <f>IFERROR(VLOOKUP(F6566,CARTON_LOOKUP!$A:$E,5,0),"")</f>
      </c>
      <c r="J6566" s="29">
        <f>IFERROR(VLOOKUP(F6566,CARTON_LOOKUP!$A:$E,2,0),"")</f>
      </c>
      <c r="K6566" s="29">
        <f>IFERROR(J6566*D6566,0)</f>
      </c>
      <c r="L6566" s="29">
        <f>IFERROR(E6566*C6566,0)</f>
      </c>
      <c r="M6566" s="29">
        <f>IFERROR((G6566*H6566*I6566/1000000)*D6566,0)</f>
      </c>
    </row>
    <row r="6567" spans="1:13" x14ac:dyDescent="0.25">
      <c r="A6567" s="16"/>
      <c r="E6567" s="27"/>
      <c r="F6567" t="s">
        <v>26</v>
      </c>
      <c r="G6567" s="28">
        <f>IFERROR(VLOOKUP(F6567,CARTON_LOOKUP!$A:$E,3,0),"")</f>
      </c>
      <c r="H6567" s="28">
        <f>IFERROR(VLOOKUP(F6567,CARTON_LOOKUP!$A:$E,4,0),"")</f>
      </c>
      <c r="I6567" s="28">
        <f>IFERROR(VLOOKUP(F6567,CARTON_LOOKUP!$A:$E,5,0),"")</f>
      </c>
      <c r="J6567" s="29">
        <f>IFERROR(VLOOKUP(F6567,CARTON_LOOKUP!$A:$E,2,0),"")</f>
      </c>
      <c r="K6567" s="29">
        <f>IFERROR(J6567*D6567,0)</f>
      </c>
      <c r="L6567" s="29">
        <f>IFERROR(E6567*C6567,0)</f>
      </c>
      <c r="M6567" s="29">
        <f>IFERROR((G6567*H6567*I6567/1000000)*D6567,0)</f>
      </c>
    </row>
    <row r="6568" spans="1:13" x14ac:dyDescent="0.25">
      <c r="A6568" s="16"/>
      <c r="E6568" s="27"/>
      <c r="F6568" t="s">
        <v>26</v>
      </c>
      <c r="G6568" s="28">
        <f>IFERROR(VLOOKUP(F6568,CARTON_LOOKUP!$A:$E,3,0),"")</f>
      </c>
      <c r="H6568" s="28">
        <f>IFERROR(VLOOKUP(F6568,CARTON_LOOKUP!$A:$E,4,0),"")</f>
      </c>
      <c r="I6568" s="28">
        <f>IFERROR(VLOOKUP(F6568,CARTON_LOOKUP!$A:$E,5,0),"")</f>
      </c>
      <c r="J6568" s="29">
        <f>IFERROR(VLOOKUP(F6568,CARTON_LOOKUP!$A:$E,2,0),"")</f>
      </c>
      <c r="K6568" s="29">
        <f>IFERROR(J6568*D6568,0)</f>
      </c>
      <c r="L6568" s="29">
        <f>IFERROR(E6568*C6568,0)</f>
      </c>
      <c r="M6568" s="29">
        <f>IFERROR((G6568*H6568*I6568/1000000)*D6568,0)</f>
      </c>
    </row>
    <row r="6569" spans="1:13" x14ac:dyDescent="0.25">
      <c r="A6569" s="16"/>
      <c r="E6569" s="27"/>
      <c r="F6569" t="s">
        <v>26</v>
      </c>
      <c r="G6569" s="28">
        <f>IFERROR(VLOOKUP(F6569,CARTON_LOOKUP!$A:$E,3,0),"")</f>
      </c>
      <c r="H6569" s="28">
        <f>IFERROR(VLOOKUP(F6569,CARTON_LOOKUP!$A:$E,4,0),"")</f>
      </c>
      <c r="I6569" s="28">
        <f>IFERROR(VLOOKUP(F6569,CARTON_LOOKUP!$A:$E,5,0),"")</f>
      </c>
      <c r="J6569" s="29">
        <f>IFERROR(VLOOKUP(F6569,CARTON_LOOKUP!$A:$E,2,0),"")</f>
      </c>
      <c r="K6569" s="29">
        <f>IFERROR(J6569*D6569,0)</f>
      </c>
      <c r="L6569" s="29">
        <f>IFERROR(E6569*C6569,0)</f>
      </c>
      <c r="M6569" s="29">
        <f>IFERROR((G6569*H6569*I6569/1000000)*D6569,0)</f>
      </c>
    </row>
    <row r="6570" spans="1:13" x14ac:dyDescent="0.25">
      <c r="A6570" s="16"/>
      <c r="E6570" s="27"/>
      <c r="F6570" t="s">
        <v>26</v>
      </c>
      <c r="G6570" s="28">
        <f>IFERROR(VLOOKUP(F6570,CARTON_LOOKUP!$A:$E,3,0),"")</f>
      </c>
      <c r="H6570" s="28">
        <f>IFERROR(VLOOKUP(F6570,CARTON_LOOKUP!$A:$E,4,0),"")</f>
      </c>
      <c r="I6570" s="28">
        <f>IFERROR(VLOOKUP(F6570,CARTON_LOOKUP!$A:$E,5,0),"")</f>
      </c>
      <c r="J6570" s="29">
        <f>IFERROR(VLOOKUP(F6570,CARTON_LOOKUP!$A:$E,2,0),"")</f>
      </c>
      <c r="K6570" s="29">
        <f>IFERROR(J6570*D6570,0)</f>
      </c>
      <c r="L6570" s="29">
        <f>IFERROR(E6570*C6570,0)</f>
      </c>
      <c r="M6570" s="29">
        <f>IFERROR((G6570*H6570*I6570/1000000)*D6570,0)</f>
      </c>
    </row>
    <row r="6571" spans="1:13" x14ac:dyDescent="0.25">
      <c r="A6571" s="16"/>
      <c r="E6571" s="27"/>
      <c r="F6571" t="s">
        <v>26</v>
      </c>
      <c r="G6571" s="28">
        <f>IFERROR(VLOOKUP(F6571,CARTON_LOOKUP!$A:$E,3,0),"")</f>
      </c>
      <c r="H6571" s="28">
        <f>IFERROR(VLOOKUP(F6571,CARTON_LOOKUP!$A:$E,4,0),"")</f>
      </c>
      <c r="I6571" s="28">
        <f>IFERROR(VLOOKUP(F6571,CARTON_LOOKUP!$A:$E,5,0),"")</f>
      </c>
      <c r="J6571" s="29">
        <f>IFERROR(VLOOKUP(F6571,CARTON_LOOKUP!$A:$E,2,0),"")</f>
      </c>
      <c r="K6571" s="29">
        <f>IFERROR(J6571*D6571,0)</f>
      </c>
      <c r="L6571" s="29">
        <f>IFERROR(E6571*C6571,0)</f>
      </c>
      <c r="M6571" s="29">
        <f>IFERROR((G6571*H6571*I6571/1000000)*D6571,0)</f>
      </c>
    </row>
    <row r="6572" spans="1:13" x14ac:dyDescent="0.25">
      <c r="A6572" s="16"/>
      <c r="E6572" s="27"/>
      <c r="F6572" t="s">
        <v>26</v>
      </c>
      <c r="G6572" s="28">
        <f>IFERROR(VLOOKUP(F6572,CARTON_LOOKUP!$A:$E,3,0),"")</f>
      </c>
      <c r="H6572" s="28">
        <f>IFERROR(VLOOKUP(F6572,CARTON_LOOKUP!$A:$E,4,0),"")</f>
      </c>
      <c r="I6572" s="28">
        <f>IFERROR(VLOOKUP(F6572,CARTON_LOOKUP!$A:$E,5,0),"")</f>
      </c>
      <c r="J6572" s="29">
        <f>IFERROR(VLOOKUP(F6572,CARTON_LOOKUP!$A:$E,2,0),"")</f>
      </c>
      <c r="K6572" s="29">
        <f>IFERROR(J6572*D6572,0)</f>
      </c>
      <c r="L6572" s="29">
        <f>IFERROR(E6572*C6572,0)</f>
      </c>
      <c r="M6572" s="29">
        <f>IFERROR((G6572*H6572*I6572/1000000)*D6572,0)</f>
      </c>
    </row>
    <row r="6573" spans="1:13" x14ac:dyDescent="0.25">
      <c r="A6573" s="16"/>
      <c r="E6573" s="27"/>
      <c r="F6573" t="s">
        <v>26</v>
      </c>
      <c r="G6573" s="28">
        <f>IFERROR(VLOOKUP(F6573,CARTON_LOOKUP!$A:$E,3,0),"")</f>
      </c>
      <c r="H6573" s="28">
        <f>IFERROR(VLOOKUP(F6573,CARTON_LOOKUP!$A:$E,4,0),"")</f>
      </c>
      <c r="I6573" s="28">
        <f>IFERROR(VLOOKUP(F6573,CARTON_LOOKUP!$A:$E,5,0),"")</f>
      </c>
      <c r="J6573" s="29">
        <f>IFERROR(VLOOKUP(F6573,CARTON_LOOKUP!$A:$E,2,0),"")</f>
      </c>
      <c r="K6573" s="29">
        <f>IFERROR(J6573*D6573,0)</f>
      </c>
      <c r="L6573" s="29">
        <f>IFERROR(E6573*C6573,0)</f>
      </c>
      <c r="M6573" s="29">
        <f>IFERROR((G6573*H6573*I6573/1000000)*D6573,0)</f>
      </c>
    </row>
    <row r="6574" spans="1:13" x14ac:dyDescent="0.25">
      <c r="A6574" s="16"/>
      <c r="E6574" s="27"/>
      <c r="F6574" t="s">
        <v>26</v>
      </c>
      <c r="G6574" s="28">
        <f>IFERROR(VLOOKUP(F6574,CARTON_LOOKUP!$A:$E,3,0),"")</f>
      </c>
      <c r="H6574" s="28">
        <f>IFERROR(VLOOKUP(F6574,CARTON_LOOKUP!$A:$E,4,0),"")</f>
      </c>
      <c r="I6574" s="28">
        <f>IFERROR(VLOOKUP(F6574,CARTON_LOOKUP!$A:$E,5,0),"")</f>
      </c>
      <c r="J6574" s="29">
        <f>IFERROR(VLOOKUP(F6574,CARTON_LOOKUP!$A:$E,2,0),"")</f>
      </c>
      <c r="K6574" s="29">
        <f>IFERROR(J6574*D6574,0)</f>
      </c>
      <c r="L6574" s="29">
        <f>IFERROR(E6574*C6574,0)</f>
      </c>
      <c r="M6574" s="29">
        <f>IFERROR((G6574*H6574*I6574/1000000)*D6574,0)</f>
      </c>
    </row>
    <row r="6575" spans="1:13" x14ac:dyDescent="0.25">
      <c r="A6575" s="16"/>
      <c r="E6575" s="27"/>
      <c r="F6575" t="s">
        <v>26</v>
      </c>
      <c r="G6575" s="28">
        <f>IFERROR(VLOOKUP(F6575,CARTON_LOOKUP!$A:$E,3,0),"")</f>
      </c>
      <c r="H6575" s="28">
        <f>IFERROR(VLOOKUP(F6575,CARTON_LOOKUP!$A:$E,4,0),"")</f>
      </c>
      <c r="I6575" s="28">
        <f>IFERROR(VLOOKUP(F6575,CARTON_LOOKUP!$A:$E,5,0),"")</f>
      </c>
      <c r="J6575" s="29">
        <f>IFERROR(VLOOKUP(F6575,CARTON_LOOKUP!$A:$E,2,0),"")</f>
      </c>
      <c r="K6575" s="29">
        <f>IFERROR(J6575*D6575,0)</f>
      </c>
      <c r="L6575" s="29">
        <f>IFERROR(E6575*C6575,0)</f>
      </c>
      <c r="M6575" s="29">
        <f>IFERROR((G6575*H6575*I6575/1000000)*D6575,0)</f>
      </c>
    </row>
    <row r="6576" spans="1:13" x14ac:dyDescent="0.25">
      <c r="A6576" s="16"/>
      <c r="E6576" s="27"/>
      <c r="F6576" t="s">
        <v>26</v>
      </c>
      <c r="G6576" s="28">
        <f>IFERROR(VLOOKUP(F6576,CARTON_LOOKUP!$A:$E,3,0),"")</f>
      </c>
      <c r="H6576" s="28">
        <f>IFERROR(VLOOKUP(F6576,CARTON_LOOKUP!$A:$E,4,0),"")</f>
      </c>
      <c r="I6576" s="28">
        <f>IFERROR(VLOOKUP(F6576,CARTON_LOOKUP!$A:$E,5,0),"")</f>
      </c>
      <c r="J6576" s="29">
        <f>IFERROR(VLOOKUP(F6576,CARTON_LOOKUP!$A:$E,2,0),"")</f>
      </c>
      <c r="K6576" s="29">
        <f>IFERROR(J6576*D6576,0)</f>
      </c>
      <c r="L6576" s="29">
        <f>IFERROR(E6576*C6576,0)</f>
      </c>
      <c r="M6576" s="29">
        <f>IFERROR((G6576*H6576*I6576/1000000)*D6576,0)</f>
      </c>
    </row>
    <row r="6577" spans="1:13" x14ac:dyDescent="0.25">
      <c r="A6577" s="16"/>
      <c r="E6577" s="27"/>
      <c r="F6577" t="s">
        <v>26</v>
      </c>
      <c r="G6577" s="28">
        <f>IFERROR(VLOOKUP(F6577,CARTON_LOOKUP!$A:$E,3,0),"")</f>
      </c>
      <c r="H6577" s="28">
        <f>IFERROR(VLOOKUP(F6577,CARTON_LOOKUP!$A:$E,4,0),"")</f>
      </c>
      <c r="I6577" s="28">
        <f>IFERROR(VLOOKUP(F6577,CARTON_LOOKUP!$A:$E,5,0),"")</f>
      </c>
      <c r="J6577" s="29">
        <f>IFERROR(VLOOKUP(F6577,CARTON_LOOKUP!$A:$E,2,0),"")</f>
      </c>
      <c r="K6577" s="29">
        <f>IFERROR(J6577*D6577,0)</f>
      </c>
      <c r="L6577" s="29">
        <f>IFERROR(E6577*C6577,0)</f>
      </c>
      <c r="M6577" s="29">
        <f>IFERROR((G6577*H6577*I6577/1000000)*D6577,0)</f>
      </c>
    </row>
    <row r="6578" spans="1:13" x14ac:dyDescent="0.25">
      <c r="A6578" s="16"/>
      <c r="E6578" s="27"/>
      <c r="F6578" t="s">
        <v>26</v>
      </c>
      <c r="G6578" s="28">
        <f>IFERROR(VLOOKUP(F6578,CARTON_LOOKUP!$A:$E,3,0),"")</f>
      </c>
      <c r="H6578" s="28">
        <f>IFERROR(VLOOKUP(F6578,CARTON_LOOKUP!$A:$E,4,0),"")</f>
      </c>
      <c r="I6578" s="28">
        <f>IFERROR(VLOOKUP(F6578,CARTON_LOOKUP!$A:$E,5,0),"")</f>
      </c>
      <c r="J6578" s="29">
        <f>IFERROR(VLOOKUP(F6578,CARTON_LOOKUP!$A:$E,2,0),"")</f>
      </c>
      <c r="K6578" s="29">
        <f>IFERROR(J6578*D6578,0)</f>
      </c>
      <c r="L6578" s="29">
        <f>IFERROR(E6578*C6578,0)</f>
      </c>
      <c r="M6578" s="29">
        <f>IFERROR((G6578*H6578*I6578/1000000)*D6578,0)</f>
      </c>
    </row>
    <row r="6579" spans="1:13" x14ac:dyDescent="0.25">
      <c r="A6579" s="16"/>
      <c r="E6579" s="27"/>
      <c r="F6579" t="s">
        <v>26</v>
      </c>
      <c r="G6579" s="28">
        <f>IFERROR(VLOOKUP(F6579,CARTON_LOOKUP!$A:$E,3,0),"")</f>
      </c>
      <c r="H6579" s="28">
        <f>IFERROR(VLOOKUP(F6579,CARTON_LOOKUP!$A:$E,4,0),"")</f>
      </c>
      <c r="I6579" s="28">
        <f>IFERROR(VLOOKUP(F6579,CARTON_LOOKUP!$A:$E,5,0),"")</f>
      </c>
      <c r="J6579" s="29">
        <f>IFERROR(VLOOKUP(F6579,CARTON_LOOKUP!$A:$E,2,0),"")</f>
      </c>
      <c r="K6579" s="29">
        <f>IFERROR(J6579*D6579,0)</f>
      </c>
      <c r="L6579" s="29">
        <f>IFERROR(E6579*C6579,0)</f>
      </c>
      <c r="M6579" s="29">
        <f>IFERROR((G6579*H6579*I6579/1000000)*D6579,0)</f>
      </c>
    </row>
    <row r="6580" spans="1:13" x14ac:dyDescent="0.25">
      <c r="A6580" s="16"/>
      <c r="E6580" s="27"/>
      <c r="F6580" t="s">
        <v>26</v>
      </c>
      <c r="G6580" s="28">
        <f>IFERROR(VLOOKUP(F6580,CARTON_LOOKUP!$A:$E,3,0),"")</f>
      </c>
      <c r="H6580" s="28">
        <f>IFERROR(VLOOKUP(F6580,CARTON_LOOKUP!$A:$E,4,0),"")</f>
      </c>
      <c r="I6580" s="28">
        <f>IFERROR(VLOOKUP(F6580,CARTON_LOOKUP!$A:$E,5,0),"")</f>
      </c>
      <c r="J6580" s="29">
        <f>IFERROR(VLOOKUP(F6580,CARTON_LOOKUP!$A:$E,2,0),"")</f>
      </c>
      <c r="K6580" s="29">
        <f>IFERROR(J6580*D6580,0)</f>
      </c>
      <c r="L6580" s="29">
        <f>IFERROR(E6580*C6580,0)</f>
      </c>
      <c r="M6580" s="29">
        <f>IFERROR((G6580*H6580*I6580/1000000)*D6580,0)</f>
      </c>
    </row>
    <row r="6581" spans="1:13" x14ac:dyDescent="0.25">
      <c r="A6581" s="16"/>
      <c r="E6581" s="27"/>
      <c r="F6581" t="s">
        <v>26</v>
      </c>
      <c r="G6581" s="28">
        <f>IFERROR(VLOOKUP(F6581,CARTON_LOOKUP!$A:$E,3,0),"")</f>
      </c>
      <c r="H6581" s="28">
        <f>IFERROR(VLOOKUP(F6581,CARTON_LOOKUP!$A:$E,4,0),"")</f>
      </c>
      <c r="I6581" s="28">
        <f>IFERROR(VLOOKUP(F6581,CARTON_LOOKUP!$A:$E,5,0),"")</f>
      </c>
      <c r="J6581" s="29">
        <f>IFERROR(VLOOKUP(F6581,CARTON_LOOKUP!$A:$E,2,0),"")</f>
      </c>
      <c r="K6581" s="29">
        <f>IFERROR(J6581*D6581,0)</f>
      </c>
      <c r="L6581" s="29">
        <f>IFERROR(E6581*C6581,0)</f>
      </c>
      <c r="M6581" s="29">
        <f>IFERROR((G6581*H6581*I6581/1000000)*D6581,0)</f>
      </c>
    </row>
    <row r="6582" spans="1:13" x14ac:dyDescent="0.25">
      <c r="A6582" s="16"/>
      <c r="E6582" s="27"/>
      <c r="F6582" t="s">
        <v>26</v>
      </c>
      <c r="G6582" s="28">
        <f>IFERROR(VLOOKUP(F6582,CARTON_LOOKUP!$A:$E,3,0),"")</f>
      </c>
      <c r="H6582" s="28">
        <f>IFERROR(VLOOKUP(F6582,CARTON_LOOKUP!$A:$E,4,0),"")</f>
      </c>
      <c r="I6582" s="28">
        <f>IFERROR(VLOOKUP(F6582,CARTON_LOOKUP!$A:$E,5,0),"")</f>
      </c>
      <c r="J6582" s="29">
        <f>IFERROR(VLOOKUP(F6582,CARTON_LOOKUP!$A:$E,2,0),"")</f>
      </c>
      <c r="K6582" s="29">
        <f>IFERROR(J6582*D6582,0)</f>
      </c>
      <c r="L6582" s="29">
        <f>IFERROR(E6582*C6582,0)</f>
      </c>
      <c r="M6582" s="29">
        <f>IFERROR((G6582*H6582*I6582/1000000)*D6582,0)</f>
      </c>
    </row>
    <row r="6583" spans="1:13" x14ac:dyDescent="0.25">
      <c r="A6583" s="16"/>
      <c r="E6583" s="27"/>
      <c r="F6583" t="s">
        <v>26</v>
      </c>
      <c r="G6583" s="28">
        <f>IFERROR(VLOOKUP(F6583,CARTON_LOOKUP!$A:$E,3,0),"")</f>
      </c>
      <c r="H6583" s="28">
        <f>IFERROR(VLOOKUP(F6583,CARTON_LOOKUP!$A:$E,4,0),"")</f>
      </c>
      <c r="I6583" s="28">
        <f>IFERROR(VLOOKUP(F6583,CARTON_LOOKUP!$A:$E,5,0),"")</f>
      </c>
      <c r="J6583" s="29">
        <f>IFERROR(VLOOKUP(F6583,CARTON_LOOKUP!$A:$E,2,0),"")</f>
      </c>
      <c r="K6583" s="29">
        <f>IFERROR(J6583*D6583,0)</f>
      </c>
      <c r="L6583" s="29">
        <f>IFERROR(E6583*C6583,0)</f>
      </c>
      <c r="M6583" s="29">
        <f>IFERROR((G6583*H6583*I6583/1000000)*D6583,0)</f>
      </c>
    </row>
    <row r="6584" spans="1:13" x14ac:dyDescent="0.25">
      <c r="A6584" s="16"/>
      <c r="E6584" s="27"/>
      <c r="F6584" t="s">
        <v>26</v>
      </c>
      <c r="G6584" s="28">
        <f>IFERROR(VLOOKUP(F6584,CARTON_LOOKUP!$A:$E,3,0),"")</f>
      </c>
      <c r="H6584" s="28">
        <f>IFERROR(VLOOKUP(F6584,CARTON_LOOKUP!$A:$E,4,0),"")</f>
      </c>
      <c r="I6584" s="28">
        <f>IFERROR(VLOOKUP(F6584,CARTON_LOOKUP!$A:$E,5,0),"")</f>
      </c>
      <c r="J6584" s="29">
        <f>IFERROR(VLOOKUP(F6584,CARTON_LOOKUP!$A:$E,2,0),"")</f>
      </c>
      <c r="K6584" s="29">
        <f>IFERROR(J6584*D6584,0)</f>
      </c>
      <c r="L6584" s="29">
        <f>IFERROR(E6584*C6584,0)</f>
      </c>
      <c r="M6584" s="29">
        <f>IFERROR((G6584*H6584*I6584/1000000)*D6584,0)</f>
      </c>
    </row>
    <row r="6585" spans="1:13" x14ac:dyDescent="0.25">
      <c r="A6585" s="16"/>
      <c r="E6585" s="27"/>
      <c r="F6585" t="s">
        <v>26</v>
      </c>
      <c r="G6585" s="28">
        <f>IFERROR(VLOOKUP(F6585,CARTON_LOOKUP!$A:$E,3,0),"")</f>
      </c>
      <c r="H6585" s="28">
        <f>IFERROR(VLOOKUP(F6585,CARTON_LOOKUP!$A:$E,4,0),"")</f>
      </c>
      <c r="I6585" s="28">
        <f>IFERROR(VLOOKUP(F6585,CARTON_LOOKUP!$A:$E,5,0),"")</f>
      </c>
      <c r="J6585" s="29">
        <f>IFERROR(VLOOKUP(F6585,CARTON_LOOKUP!$A:$E,2,0),"")</f>
      </c>
      <c r="K6585" s="29">
        <f>IFERROR(J6585*D6585,0)</f>
      </c>
      <c r="L6585" s="29">
        <f>IFERROR(E6585*C6585,0)</f>
      </c>
      <c r="M6585" s="29">
        <f>IFERROR((G6585*H6585*I6585/1000000)*D6585,0)</f>
      </c>
    </row>
    <row r="6586" spans="1:13" x14ac:dyDescent="0.25">
      <c r="A6586" s="16"/>
      <c r="E6586" s="27"/>
      <c r="F6586" t="s">
        <v>26</v>
      </c>
      <c r="G6586" s="28">
        <f>IFERROR(VLOOKUP(F6586,CARTON_LOOKUP!$A:$E,3,0),"")</f>
      </c>
      <c r="H6586" s="28">
        <f>IFERROR(VLOOKUP(F6586,CARTON_LOOKUP!$A:$E,4,0),"")</f>
      </c>
      <c r="I6586" s="28">
        <f>IFERROR(VLOOKUP(F6586,CARTON_LOOKUP!$A:$E,5,0),"")</f>
      </c>
      <c r="J6586" s="29">
        <f>IFERROR(VLOOKUP(F6586,CARTON_LOOKUP!$A:$E,2,0),"")</f>
      </c>
      <c r="K6586" s="29">
        <f>IFERROR(J6586*D6586,0)</f>
      </c>
      <c r="L6586" s="29">
        <f>IFERROR(E6586*C6586,0)</f>
      </c>
      <c r="M6586" s="29">
        <f>IFERROR((G6586*H6586*I6586/1000000)*D6586,0)</f>
      </c>
    </row>
    <row r="6587" spans="1:13" x14ac:dyDescent="0.25">
      <c r="A6587" s="16"/>
      <c r="E6587" s="27"/>
      <c r="F6587" t="s">
        <v>26</v>
      </c>
      <c r="G6587" s="28">
        <f>IFERROR(VLOOKUP(F6587,CARTON_LOOKUP!$A:$E,3,0),"")</f>
      </c>
      <c r="H6587" s="28">
        <f>IFERROR(VLOOKUP(F6587,CARTON_LOOKUP!$A:$E,4,0),"")</f>
      </c>
      <c r="I6587" s="28">
        <f>IFERROR(VLOOKUP(F6587,CARTON_LOOKUP!$A:$E,5,0),"")</f>
      </c>
      <c r="J6587" s="29">
        <f>IFERROR(VLOOKUP(F6587,CARTON_LOOKUP!$A:$E,2,0),"")</f>
      </c>
      <c r="K6587" s="29">
        <f>IFERROR(J6587*D6587,0)</f>
      </c>
      <c r="L6587" s="29">
        <f>IFERROR(E6587*C6587,0)</f>
      </c>
      <c r="M6587" s="29">
        <f>IFERROR((G6587*H6587*I6587/1000000)*D6587,0)</f>
      </c>
    </row>
    <row r="6588" spans="1:13" x14ac:dyDescent="0.25">
      <c r="A6588" s="16"/>
      <c r="E6588" s="27"/>
      <c r="F6588" t="s">
        <v>26</v>
      </c>
      <c r="G6588" s="28">
        <f>IFERROR(VLOOKUP(F6588,CARTON_LOOKUP!$A:$E,3,0),"")</f>
      </c>
      <c r="H6588" s="28">
        <f>IFERROR(VLOOKUP(F6588,CARTON_LOOKUP!$A:$E,4,0),"")</f>
      </c>
      <c r="I6588" s="28">
        <f>IFERROR(VLOOKUP(F6588,CARTON_LOOKUP!$A:$E,5,0),"")</f>
      </c>
      <c r="J6588" s="29">
        <f>IFERROR(VLOOKUP(F6588,CARTON_LOOKUP!$A:$E,2,0),"")</f>
      </c>
      <c r="K6588" s="29">
        <f>IFERROR(J6588*D6588,0)</f>
      </c>
      <c r="L6588" s="29">
        <f>IFERROR(E6588*C6588,0)</f>
      </c>
      <c r="M6588" s="29">
        <f>IFERROR((G6588*H6588*I6588/1000000)*D6588,0)</f>
      </c>
    </row>
    <row r="6589" spans="1:13" x14ac:dyDescent="0.25">
      <c r="A6589" s="16"/>
      <c r="E6589" s="27"/>
      <c r="F6589" t="s">
        <v>26</v>
      </c>
      <c r="G6589" s="28">
        <f>IFERROR(VLOOKUP(F6589,CARTON_LOOKUP!$A:$E,3,0),"")</f>
      </c>
      <c r="H6589" s="28">
        <f>IFERROR(VLOOKUP(F6589,CARTON_LOOKUP!$A:$E,4,0),"")</f>
      </c>
      <c r="I6589" s="28">
        <f>IFERROR(VLOOKUP(F6589,CARTON_LOOKUP!$A:$E,5,0),"")</f>
      </c>
      <c r="J6589" s="29">
        <f>IFERROR(VLOOKUP(F6589,CARTON_LOOKUP!$A:$E,2,0),"")</f>
      </c>
      <c r="K6589" s="29">
        <f>IFERROR(J6589*D6589,0)</f>
      </c>
      <c r="L6589" s="29">
        <f>IFERROR(E6589*C6589,0)</f>
      </c>
      <c r="M6589" s="29">
        <f>IFERROR((G6589*H6589*I6589/1000000)*D6589,0)</f>
      </c>
    </row>
    <row r="6590" spans="1:13" x14ac:dyDescent="0.25">
      <c r="A6590" s="16"/>
      <c r="E6590" s="27"/>
      <c r="F6590" t="s">
        <v>26</v>
      </c>
      <c r="G6590" s="28">
        <f>IFERROR(VLOOKUP(F6590,CARTON_LOOKUP!$A:$E,3,0),"")</f>
      </c>
      <c r="H6590" s="28">
        <f>IFERROR(VLOOKUP(F6590,CARTON_LOOKUP!$A:$E,4,0),"")</f>
      </c>
      <c r="I6590" s="28">
        <f>IFERROR(VLOOKUP(F6590,CARTON_LOOKUP!$A:$E,5,0),"")</f>
      </c>
      <c r="J6590" s="29">
        <f>IFERROR(VLOOKUP(F6590,CARTON_LOOKUP!$A:$E,2,0),"")</f>
      </c>
      <c r="K6590" s="29">
        <f>IFERROR(J6590*D6590,0)</f>
      </c>
      <c r="L6590" s="29">
        <f>IFERROR(E6590*C6590,0)</f>
      </c>
      <c r="M6590" s="29">
        <f>IFERROR((G6590*H6590*I6590/1000000)*D6590,0)</f>
      </c>
    </row>
    <row r="6591" spans="1:13" x14ac:dyDescent="0.25">
      <c r="A6591" s="16"/>
      <c r="E6591" s="27"/>
      <c r="F6591" t="s">
        <v>26</v>
      </c>
      <c r="G6591" s="28">
        <f>IFERROR(VLOOKUP(F6591,CARTON_LOOKUP!$A:$E,3,0),"")</f>
      </c>
      <c r="H6591" s="28">
        <f>IFERROR(VLOOKUP(F6591,CARTON_LOOKUP!$A:$E,4,0),"")</f>
      </c>
      <c r="I6591" s="28">
        <f>IFERROR(VLOOKUP(F6591,CARTON_LOOKUP!$A:$E,5,0),"")</f>
      </c>
      <c r="J6591" s="29">
        <f>IFERROR(VLOOKUP(F6591,CARTON_LOOKUP!$A:$E,2,0),"")</f>
      </c>
      <c r="K6591" s="29">
        <f>IFERROR(J6591*D6591,0)</f>
      </c>
      <c r="L6591" s="29">
        <f>IFERROR(E6591*C6591,0)</f>
      </c>
      <c r="M6591" s="29">
        <f>IFERROR((G6591*H6591*I6591/1000000)*D6591,0)</f>
      </c>
    </row>
    <row r="6592" spans="1:13" x14ac:dyDescent="0.25">
      <c r="A6592" s="16"/>
      <c r="E6592" s="27"/>
      <c r="F6592" t="s">
        <v>26</v>
      </c>
      <c r="G6592" s="28">
        <f>IFERROR(VLOOKUP(F6592,CARTON_LOOKUP!$A:$E,3,0),"")</f>
      </c>
      <c r="H6592" s="28">
        <f>IFERROR(VLOOKUP(F6592,CARTON_LOOKUP!$A:$E,4,0),"")</f>
      </c>
      <c r="I6592" s="28">
        <f>IFERROR(VLOOKUP(F6592,CARTON_LOOKUP!$A:$E,5,0),"")</f>
      </c>
      <c r="J6592" s="29">
        <f>IFERROR(VLOOKUP(F6592,CARTON_LOOKUP!$A:$E,2,0),"")</f>
      </c>
      <c r="K6592" s="29">
        <f>IFERROR(J6592*D6592,0)</f>
      </c>
      <c r="L6592" s="29">
        <f>IFERROR(E6592*C6592,0)</f>
      </c>
      <c r="M6592" s="29">
        <f>IFERROR((G6592*H6592*I6592/1000000)*D6592,0)</f>
      </c>
    </row>
    <row r="6593" spans="1:13" x14ac:dyDescent="0.25">
      <c r="A6593" s="16"/>
      <c r="E6593" s="27"/>
      <c r="F6593" t="s">
        <v>26</v>
      </c>
      <c r="G6593" s="28">
        <f>IFERROR(VLOOKUP(F6593,CARTON_LOOKUP!$A:$E,3,0),"")</f>
      </c>
      <c r="H6593" s="28">
        <f>IFERROR(VLOOKUP(F6593,CARTON_LOOKUP!$A:$E,4,0),"")</f>
      </c>
      <c r="I6593" s="28">
        <f>IFERROR(VLOOKUP(F6593,CARTON_LOOKUP!$A:$E,5,0),"")</f>
      </c>
      <c r="J6593" s="29">
        <f>IFERROR(VLOOKUP(F6593,CARTON_LOOKUP!$A:$E,2,0),"")</f>
      </c>
      <c r="K6593" s="29">
        <f>IFERROR(J6593*D6593,0)</f>
      </c>
      <c r="L6593" s="29">
        <f>IFERROR(E6593*C6593,0)</f>
      </c>
      <c r="M6593" s="29">
        <f>IFERROR((G6593*H6593*I6593/1000000)*D6593,0)</f>
      </c>
    </row>
    <row r="6594" spans="1:13" x14ac:dyDescent="0.25">
      <c r="A6594" s="16"/>
      <c r="E6594" s="27"/>
      <c r="F6594" t="s">
        <v>26</v>
      </c>
      <c r="G6594" s="28">
        <f>IFERROR(VLOOKUP(F6594,CARTON_LOOKUP!$A:$E,3,0),"")</f>
      </c>
      <c r="H6594" s="28">
        <f>IFERROR(VLOOKUP(F6594,CARTON_LOOKUP!$A:$E,4,0),"")</f>
      </c>
      <c r="I6594" s="28">
        <f>IFERROR(VLOOKUP(F6594,CARTON_LOOKUP!$A:$E,5,0),"")</f>
      </c>
      <c r="J6594" s="29">
        <f>IFERROR(VLOOKUP(F6594,CARTON_LOOKUP!$A:$E,2,0),"")</f>
      </c>
      <c r="K6594" s="29">
        <f>IFERROR(J6594*D6594,0)</f>
      </c>
      <c r="L6594" s="29">
        <f>IFERROR(E6594*C6594,0)</f>
      </c>
      <c r="M6594" s="29">
        <f>IFERROR((G6594*H6594*I6594/1000000)*D6594,0)</f>
      </c>
    </row>
    <row r="6595" spans="1:13" x14ac:dyDescent="0.25">
      <c r="A6595" s="16"/>
      <c r="E6595" s="27"/>
      <c r="F6595" t="s">
        <v>26</v>
      </c>
      <c r="G6595" s="28">
        <f>IFERROR(VLOOKUP(F6595,CARTON_LOOKUP!$A:$E,3,0),"")</f>
      </c>
      <c r="H6595" s="28">
        <f>IFERROR(VLOOKUP(F6595,CARTON_LOOKUP!$A:$E,4,0),"")</f>
      </c>
      <c r="I6595" s="28">
        <f>IFERROR(VLOOKUP(F6595,CARTON_LOOKUP!$A:$E,5,0),"")</f>
      </c>
      <c r="J6595" s="29">
        <f>IFERROR(VLOOKUP(F6595,CARTON_LOOKUP!$A:$E,2,0),"")</f>
      </c>
      <c r="K6595" s="29">
        <f>IFERROR(J6595*D6595,0)</f>
      </c>
      <c r="L6595" s="29">
        <f>IFERROR(E6595*C6595,0)</f>
      </c>
      <c r="M6595" s="29">
        <f>IFERROR((G6595*H6595*I6595/1000000)*D6595,0)</f>
      </c>
    </row>
    <row r="6596" spans="1:13" x14ac:dyDescent="0.25">
      <c r="A6596" s="16"/>
      <c r="E6596" s="27"/>
      <c r="F6596" t="s">
        <v>26</v>
      </c>
      <c r="G6596" s="28">
        <f>IFERROR(VLOOKUP(F6596,CARTON_LOOKUP!$A:$E,3,0),"")</f>
      </c>
      <c r="H6596" s="28">
        <f>IFERROR(VLOOKUP(F6596,CARTON_LOOKUP!$A:$E,4,0),"")</f>
      </c>
      <c r="I6596" s="28">
        <f>IFERROR(VLOOKUP(F6596,CARTON_LOOKUP!$A:$E,5,0),"")</f>
      </c>
      <c r="J6596" s="29">
        <f>IFERROR(VLOOKUP(F6596,CARTON_LOOKUP!$A:$E,2,0),"")</f>
      </c>
      <c r="K6596" s="29">
        <f>IFERROR(J6596*D6596,0)</f>
      </c>
      <c r="L6596" s="29">
        <f>IFERROR(E6596*C6596,0)</f>
      </c>
      <c r="M6596" s="29">
        <f>IFERROR((G6596*H6596*I6596/1000000)*D6596,0)</f>
      </c>
    </row>
    <row r="6597" spans="1:13" x14ac:dyDescent="0.25">
      <c r="A6597" s="16"/>
      <c r="E6597" s="27"/>
      <c r="F6597" t="s">
        <v>26</v>
      </c>
      <c r="G6597" s="28">
        <f>IFERROR(VLOOKUP(F6597,CARTON_LOOKUP!$A:$E,3,0),"")</f>
      </c>
      <c r="H6597" s="28">
        <f>IFERROR(VLOOKUP(F6597,CARTON_LOOKUP!$A:$E,4,0),"")</f>
      </c>
      <c r="I6597" s="28">
        <f>IFERROR(VLOOKUP(F6597,CARTON_LOOKUP!$A:$E,5,0),"")</f>
      </c>
      <c r="J6597" s="29">
        <f>IFERROR(VLOOKUP(F6597,CARTON_LOOKUP!$A:$E,2,0),"")</f>
      </c>
      <c r="K6597" s="29">
        <f>IFERROR(J6597*D6597,0)</f>
      </c>
      <c r="L6597" s="29">
        <f>IFERROR(E6597*C6597,0)</f>
      </c>
      <c r="M6597" s="29">
        <f>IFERROR((G6597*H6597*I6597/1000000)*D6597,0)</f>
      </c>
    </row>
    <row r="6598" spans="1:13" x14ac:dyDescent="0.25">
      <c r="A6598" s="16"/>
      <c r="E6598" s="27"/>
      <c r="F6598" t="s">
        <v>26</v>
      </c>
      <c r="G6598" s="28">
        <f>IFERROR(VLOOKUP(F6598,CARTON_LOOKUP!$A:$E,3,0),"")</f>
      </c>
      <c r="H6598" s="28">
        <f>IFERROR(VLOOKUP(F6598,CARTON_LOOKUP!$A:$E,4,0),"")</f>
      </c>
      <c r="I6598" s="28">
        <f>IFERROR(VLOOKUP(F6598,CARTON_LOOKUP!$A:$E,5,0),"")</f>
      </c>
      <c r="J6598" s="29">
        <f>IFERROR(VLOOKUP(F6598,CARTON_LOOKUP!$A:$E,2,0),"")</f>
      </c>
      <c r="K6598" s="29">
        <f>IFERROR(J6598*D6598,0)</f>
      </c>
      <c r="L6598" s="29">
        <f>IFERROR(E6598*C6598,0)</f>
      </c>
      <c r="M6598" s="29">
        <f>IFERROR((G6598*H6598*I6598/1000000)*D6598,0)</f>
      </c>
    </row>
    <row r="6599" spans="1:13" x14ac:dyDescent="0.25">
      <c r="A6599" s="16"/>
      <c r="E6599" s="27"/>
      <c r="F6599" t="s">
        <v>26</v>
      </c>
      <c r="G6599" s="28">
        <f>IFERROR(VLOOKUP(F6599,CARTON_LOOKUP!$A:$E,3,0),"")</f>
      </c>
      <c r="H6599" s="28">
        <f>IFERROR(VLOOKUP(F6599,CARTON_LOOKUP!$A:$E,4,0),"")</f>
      </c>
      <c r="I6599" s="28">
        <f>IFERROR(VLOOKUP(F6599,CARTON_LOOKUP!$A:$E,5,0),"")</f>
      </c>
      <c r="J6599" s="29">
        <f>IFERROR(VLOOKUP(F6599,CARTON_LOOKUP!$A:$E,2,0),"")</f>
      </c>
      <c r="K6599" s="29">
        <f>IFERROR(J6599*D6599,0)</f>
      </c>
      <c r="L6599" s="29">
        <f>IFERROR(E6599*C6599,0)</f>
      </c>
      <c r="M6599" s="29">
        <f>IFERROR((G6599*H6599*I6599/1000000)*D6599,0)</f>
      </c>
    </row>
    <row r="6600" spans="1:13" x14ac:dyDescent="0.25">
      <c r="A6600" s="16"/>
      <c r="E6600" s="27"/>
      <c r="F6600" t="s">
        <v>26</v>
      </c>
      <c r="G6600" s="28">
        <f>IFERROR(VLOOKUP(F6600,CARTON_LOOKUP!$A:$E,3,0),"")</f>
      </c>
      <c r="H6600" s="28">
        <f>IFERROR(VLOOKUP(F6600,CARTON_LOOKUP!$A:$E,4,0),"")</f>
      </c>
      <c r="I6600" s="28">
        <f>IFERROR(VLOOKUP(F6600,CARTON_LOOKUP!$A:$E,5,0),"")</f>
      </c>
      <c r="J6600" s="29">
        <f>IFERROR(VLOOKUP(F6600,CARTON_LOOKUP!$A:$E,2,0),"")</f>
      </c>
      <c r="K6600" s="29">
        <f>IFERROR(J6600*D6600,0)</f>
      </c>
      <c r="L6600" s="29">
        <f>IFERROR(E6600*C6600,0)</f>
      </c>
      <c r="M6600" s="29">
        <f>IFERROR((G6600*H6600*I6600/1000000)*D6600,0)</f>
      </c>
    </row>
    <row r="6601" spans="1:13" x14ac:dyDescent="0.25">
      <c r="A6601" s="16"/>
      <c r="E6601" s="27"/>
      <c r="F6601" t="s">
        <v>26</v>
      </c>
      <c r="G6601" s="28">
        <f>IFERROR(VLOOKUP(F6601,CARTON_LOOKUP!$A:$E,3,0),"")</f>
      </c>
      <c r="H6601" s="28">
        <f>IFERROR(VLOOKUP(F6601,CARTON_LOOKUP!$A:$E,4,0),"")</f>
      </c>
      <c r="I6601" s="28">
        <f>IFERROR(VLOOKUP(F6601,CARTON_LOOKUP!$A:$E,5,0),"")</f>
      </c>
      <c r="J6601" s="29">
        <f>IFERROR(VLOOKUP(F6601,CARTON_LOOKUP!$A:$E,2,0),"")</f>
      </c>
      <c r="K6601" s="29">
        <f>IFERROR(J6601*D6601,0)</f>
      </c>
      <c r="L6601" s="29">
        <f>IFERROR(E6601*C6601,0)</f>
      </c>
      <c r="M6601" s="29">
        <f>IFERROR((G6601*H6601*I6601/1000000)*D6601,0)</f>
      </c>
    </row>
    <row r="6602" spans="1:13" x14ac:dyDescent="0.25">
      <c r="A6602" s="16"/>
      <c r="E6602" s="27"/>
      <c r="F6602" t="s">
        <v>26</v>
      </c>
      <c r="G6602" s="28">
        <f>IFERROR(VLOOKUP(F6602,CARTON_LOOKUP!$A:$E,3,0),"")</f>
      </c>
      <c r="H6602" s="28">
        <f>IFERROR(VLOOKUP(F6602,CARTON_LOOKUP!$A:$E,4,0),"")</f>
      </c>
      <c r="I6602" s="28">
        <f>IFERROR(VLOOKUP(F6602,CARTON_LOOKUP!$A:$E,5,0),"")</f>
      </c>
      <c r="J6602" s="29">
        <f>IFERROR(VLOOKUP(F6602,CARTON_LOOKUP!$A:$E,2,0),"")</f>
      </c>
      <c r="K6602" s="29">
        <f>IFERROR(J6602*D6602,0)</f>
      </c>
      <c r="L6602" s="29">
        <f>IFERROR(E6602*C6602,0)</f>
      </c>
      <c r="M6602" s="29">
        <f>IFERROR((G6602*H6602*I6602/1000000)*D6602,0)</f>
      </c>
    </row>
    <row r="6603" spans="1:13" x14ac:dyDescent="0.25">
      <c r="A6603" s="16"/>
      <c r="E6603" s="27"/>
      <c r="F6603" t="s">
        <v>26</v>
      </c>
      <c r="G6603" s="28">
        <f>IFERROR(VLOOKUP(F6603,CARTON_LOOKUP!$A:$E,3,0),"")</f>
      </c>
      <c r="H6603" s="28">
        <f>IFERROR(VLOOKUP(F6603,CARTON_LOOKUP!$A:$E,4,0),"")</f>
      </c>
      <c r="I6603" s="28">
        <f>IFERROR(VLOOKUP(F6603,CARTON_LOOKUP!$A:$E,5,0),"")</f>
      </c>
      <c r="J6603" s="29">
        <f>IFERROR(VLOOKUP(F6603,CARTON_LOOKUP!$A:$E,2,0),"")</f>
      </c>
      <c r="K6603" s="29">
        <f>IFERROR(J6603*D6603,0)</f>
      </c>
      <c r="L6603" s="29">
        <f>IFERROR(E6603*C6603,0)</f>
      </c>
      <c r="M6603" s="29">
        <f>IFERROR((G6603*H6603*I6603/1000000)*D6603,0)</f>
      </c>
    </row>
    <row r="6604" spans="1:13" x14ac:dyDescent="0.25">
      <c r="A6604" s="16"/>
      <c r="E6604" s="27"/>
      <c r="F6604" t="s">
        <v>26</v>
      </c>
      <c r="G6604" s="28">
        <f>IFERROR(VLOOKUP(F6604,CARTON_LOOKUP!$A:$E,3,0),"")</f>
      </c>
      <c r="H6604" s="28">
        <f>IFERROR(VLOOKUP(F6604,CARTON_LOOKUP!$A:$E,4,0),"")</f>
      </c>
      <c r="I6604" s="28">
        <f>IFERROR(VLOOKUP(F6604,CARTON_LOOKUP!$A:$E,5,0),"")</f>
      </c>
      <c r="J6604" s="29">
        <f>IFERROR(VLOOKUP(F6604,CARTON_LOOKUP!$A:$E,2,0),"")</f>
      </c>
      <c r="K6604" s="29">
        <f>IFERROR(J6604*D6604,0)</f>
      </c>
      <c r="L6604" s="29">
        <f>IFERROR(E6604*C6604,0)</f>
      </c>
      <c r="M6604" s="29">
        <f>IFERROR((G6604*H6604*I6604/1000000)*D6604,0)</f>
      </c>
    </row>
    <row r="6605" spans="1:13" x14ac:dyDescent="0.25">
      <c r="A6605" s="16"/>
      <c r="E6605" s="27"/>
      <c r="F6605" t="s">
        <v>26</v>
      </c>
      <c r="G6605" s="28">
        <f>IFERROR(VLOOKUP(F6605,CARTON_LOOKUP!$A:$E,3,0),"")</f>
      </c>
      <c r="H6605" s="28">
        <f>IFERROR(VLOOKUP(F6605,CARTON_LOOKUP!$A:$E,4,0),"")</f>
      </c>
      <c r="I6605" s="28">
        <f>IFERROR(VLOOKUP(F6605,CARTON_LOOKUP!$A:$E,5,0),"")</f>
      </c>
      <c r="J6605" s="29">
        <f>IFERROR(VLOOKUP(F6605,CARTON_LOOKUP!$A:$E,2,0),"")</f>
      </c>
      <c r="K6605" s="29">
        <f>IFERROR(J6605*D6605,0)</f>
      </c>
      <c r="L6605" s="29">
        <f>IFERROR(E6605*C6605,0)</f>
      </c>
      <c r="M6605" s="29">
        <f>IFERROR((G6605*H6605*I6605/1000000)*D6605,0)</f>
      </c>
    </row>
    <row r="6606" spans="1:13" x14ac:dyDescent="0.25">
      <c r="A6606" s="16"/>
      <c r="E6606" s="27"/>
      <c r="F6606" t="s">
        <v>26</v>
      </c>
      <c r="G6606" s="28">
        <f>IFERROR(VLOOKUP(F6606,CARTON_LOOKUP!$A:$E,3,0),"")</f>
      </c>
      <c r="H6606" s="28">
        <f>IFERROR(VLOOKUP(F6606,CARTON_LOOKUP!$A:$E,4,0),"")</f>
      </c>
      <c r="I6606" s="28">
        <f>IFERROR(VLOOKUP(F6606,CARTON_LOOKUP!$A:$E,5,0),"")</f>
      </c>
      <c r="J6606" s="29">
        <f>IFERROR(VLOOKUP(F6606,CARTON_LOOKUP!$A:$E,2,0),"")</f>
      </c>
      <c r="K6606" s="29">
        <f>IFERROR(J6606*D6606,0)</f>
      </c>
      <c r="L6606" s="29">
        <f>IFERROR(E6606*C6606,0)</f>
      </c>
      <c r="M6606" s="29">
        <f>IFERROR((G6606*H6606*I6606/1000000)*D6606,0)</f>
      </c>
    </row>
    <row r="6607" spans="1:13" x14ac:dyDescent="0.25">
      <c r="A6607" s="16"/>
      <c r="E6607" s="27"/>
      <c r="F6607" t="s">
        <v>26</v>
      </c>
      <c r="G6607" s="28">
        <f>IFERROR(VLOOKUP(F6607,CARTON_LOOKUP!$A:$E,3,0),"")</f>
      </c>
      <c r="H6607" s="28">
        <f>IFERROR(VLOOKUP(F6607,CARTON_LOOKUP!$A:$E,4,0),"")</f>
      </c>
      <c r="I6607" s="28">
        <f>IFERROR(VLOOKUP(F6607,CARTON_LOOKUP!$A:$E,5,0),"")</f>
      </c>
      <c r="J6607" s="29">
        <f>IFERROR(VLOOKUP(F6607,CARTON_LOOKUP!$A:$E,2,0),"")</f>
      </c>
      <c r="K6607" s="29">
        <f>IFERROR(J6607*D6607,0)</f>
      </c>
      <c r="L6607" s="29">
        <f>IFERROR(E6607*C6607,0)</f>
      </c>
      <c r="M6607" s="29">
        <f>IFERROR((G6607*H6607*I6607/1000000)*D6607,0)</f>
      </c>
    </row>
    <row r="6608" spans="1:13" x14ac:dyDescent="0.25">
      <c r="A6608" s="16"/>
      <c r="E6608" s="27"/>
      <c r="F6608" t="s">
        <v>26</v>
      </c>
      <c r="G6608" s="28">
        <f>IFERROR(VLOOKUP(F6608,CARTON_LOOKUP!$A:$E,3,0),"")</f>
      </c>
      <c r="H6608" s="28">
        <f>IFERROR(VLOOKUP(F6608,CARTON_LOOKUP!$A:$E,4,0),"")</f>
      </c>
      <c r="I6608" s="28">
        <f>IFERROR(VLOOKUP(F6608,CARTON_LOOKUP!$A:$E,5,0),"")</f>
      </c>
      <c r="J6608" s="29">
        <f>IFERROR(VLOOKUP(F6608,CARTON_LOOKUP!$A:$E,2,0),"")</f>
      </c>
      <c r="K6608" s="29">
        <f>IFERROR(J6608*D6608,0)</f>
      </c>
      <c r="L6608" s="29">
        <f>IFERROR(E6608*C6608,0)</f>
      </c>
      <c r="M6608" s="29">
        <f>IFERROR((G6608*H6608*I6608/1000000)*D6608,0)</f>
      </c>
    </row>
    <row r="6609" spans="1:13" x14ac:dyDescent="0.25">
      <c r="A6609" s="16"/>
      <c r="E6609" s="27"/>
      <c r="F6609" t="s">
        <v>26</v>
      </c>
      <c r="G6609" s="28">
        <f>IFERROR(VLOOKUP(F6609,CARTON_LOOKUP!$A:$E,3,0),"")</f>
      </c>
      <c r="H6609" s="28">
        <f>IFERROR(VLOOKUP(F6609,CARTON_LOOKUP!$A:$E,4,0),"")</f>
      </c>
      <c r="I6609" s="28">
        <f>IFERROR(VLOOKUP(F6609,CARTON_LOOKUP!$A:$E,5,0),"")</f>
      </c>
      <c r="J6609" s="29">
        <f>IFERROR(VLOOKUP(F6609,CARTON_LOOKUP!$A:$E,2,0),"")</f>
      </c>
      <c r="K6609" s="29">
        <f>IFERROR(J6609*D6609,0)</f>
      </c>
      <c r="L6609" s="29">
        <f>IFERROR(E6609*C6609,0)</f>
      </c>
      <c r="M6609" s="29">
        <f>IFERROR((G6609*H6609*I6609/1000000)*D6609,0)</f>
      </c>
    </row>
    <row r="6610" spans="1:13" x14ac:dyDescent="0.25">
      <c r="A6610" s="16"/>
      <c r="E6610" s="27"/>
      <c r="F6610" t="s">
        <v>26</v>
      </c>
      <c r="G6610" s="28">
        <f>IFERROR(VLOOKUP(F6610,CARTON_LOOKUP!$A:$E,3,0),"")</f>
      </c>
      <c r="H6610" s="28">
        <f>IFERROR(VLOOKUP(F6610,CARTON_LOOKUP!$A:$E,4,0),"")</f>
      </c>
      <c r="I6610" s="28">
        <f>IFERROR(VLOOKUP(F6610,CARTON_LOOKUP!$A:$E,5,0),"")</f>
      </c>
      <c r="J6610" s="29">
        <f>IFERROR(VLOOKUP(F6610,CARTON_LOOKUP!$A:$E,2,0),"")</f>
      </c>
      <c r="K6610" s="29">
        <f>IFERROR(J6610*D6610,0)</f>
      </c>
      <c r="L6610" s="29">
        <f>IFERROR(E6610*C6610,0)</f>
      </c>
      <c r="M6610" s="29">
        <f>IFERROR((G6610*H6610*I6610/1000000)*D6610,0)</f>
      </c>
    </row>
    <row r="6611" spans="1:13" x14ac:dyDescent="0.25">
      <c r="A6611" s="16"/>
      <c r="E6611" s="27"/>
      <c r="F6611" t="s">
        <v>26</v>
      </c>
      <c r="G6611" s="28">
        <f>IFERROR(VLOOKUP(F6611,CARTON_LOOKUP!$A:$E,3,0),"")</f>
      </c>
      <c r="H6611" s="28">
        <f>IFERROR(VLOOKUP(F6611,CARTON_LOOKUP!$A:$E,4,0),"")</f>
      </c>
      <c r="I6611" s="28">
        <f>IFERROR(VLOOKUP(F6611,CARTON_LOOKUP!$A:$E,5,0),"")</f>
      </c>
      <c r="J6611" s="29">
        <f>IFERROR(VLOOKUP(F6611,CARTON_LOOKUP!$A:$E,2,0),"")</f>
      </c>
      <c r="K6611" s="29">
        <f>IFERROR(J6611*D6611,0)</f>
      </c>
      <c r="L6611" s="29">
        <f>IFERROR(E6611*C6611,0)</f>
      </c>
      <c r="M6611" s="29">
        <f>IFERROR((G6611*H6611*I6611/1000000)*D6611,0)</f>
      </c>
    </row>
    <row r="6612" spans="1:13" x14ac:dyDescent="0.25">
      <c r="A6612" s="16"/>
      <c r="E6612" s="27"/>
      <c r="F6612" t="s">
        <v>26</v>
      </c>
      <c r="G6612" s="28">
        <f>IFERROR(VLOOKUP(F6612,CARTON_LOOKUP!$A:$E,3,0),"")</f>
      </c>
      <c r="H6612" s="28">
        <f>IFERROR(VLOOKUP(F6612,CARTON_LOOKUP!$A:$E,4,0),"")</f>
      </c>
      <c r="I6612" s="28">
        <f>IFERROR(VLOOKUP(F6612,CARTON_LOOKUP!$A:$E,5,0),"")</f>
      </c>
      <c r="J6612" s="29">
        <f>IFERROR(VLOOKUP(F6612,CARTON_LOOKUP!$A:$E,2,0),"")</f>
      </c>
      <c r="K6612" s="29">
        <f>IFERROR(J6612*D6612,0)</f>
      </c>
      <c r="L6612" s="29">
        <f>IFERROR(E6612*C6612,0)</f>
      </c>
      <c r="M6612" s="29">
        <f>IFERROR((G6612*H6612*I6612/1000000)*D6612,0)</f>
      </c>
    </row>
    <row r="6613" spans="1:13" x14ac:dyDescent="0.25">
      <c r="A6613" s="16"/>
      <c r="E6613" s="27"/>
      <c r="F6613" t="s">
        <v>26</v>
      </c>
      <c r="G6613" s="28">
        <f>IFERROR(VLOOKUP(F6613,CARTON_LOOKUP!$A:$E,3,0),"")</f>
      </c>
      <c r="H6613" s="28">
        <f>IFERROR(VLOOKUP(F6613,CARTON_LOOKUP!$A:$E,4,0),"")</f>
      </c>
      <c r="I6613" s="28">
        <f>IFERROR(VLOOKUP(F6613,CARTON_LOOKUP!$A:$E,5,0),"")</f>
      </c>
      <c r="J6613" s="29">
        <f>IFERROR(VLOOKUP(F6613,CARTON_LOOKUP!$A:$E,2,0),"")</f>
      </c>
      <c r="K6613" s="29">
        <f>IFERROR(J6613*D6613,0)</f>
      </c>
      <c r="L6613" s="29">
        <f>IFERROR(E6613*C6613,0)</f>
      </c>
      <c r="M6613" s="29">
        <f>IFERROR((G6613*H6613*I6613/1000000)*D6613,0)</f>
      </c>
    </row>
    <row r="6614" spans="1:13" x14ac:dyDescent="0.25">
      <c r="A6614" s="16"/>
      <c r="E6614" s="27"/>
      <c r="F6614" t="s">
        <v>26</v>
      </c>
      <c r="G6614" s="28">
        <f>IFERROR(VLOOKUP(F6614,CARTON_LOOKUP!$A:$E,3,0),"")</f>
      </c>
      <c r="H6614" s="28">
        <f>IFERROR(VLOOKUP(F6614,CARTON_LOOKUP!$A:$E,4,0),"")</f>
      </c>
      <c r="I6614" s="28">
        <f>IFERROR(VLOOKUP(F6614,CARTON_LOOKUP!$A:$E,5,0),"")</f>
      </c>
      <c r="J6614" s="29">
        <f>IFERROR(VLOOKUP(F6614,CARTON_LOOKUP!$A:$E,2,0),"")</f>
      </c>
      <c r="K6614" s="29">
        <f>IFERROR(J6614*D6614,0)</f>
      </c>
      <c r="L6614" s="29">
        <f>IFERROR(E6614*C6614,0)</f>
      </c>
      <c r="M6614" s="29">
        <f>IFERROR((G6614*H6614*I6614/1000000)*D6614,0)</f>
      </c>
    </row>
    <row r="6615" spans="1:13" x14ac:dyDescent="0.25">
      <c r="A6615" s="16"/>
      <c r="E6615" s="27"/>
      <c r="F6615" t="s">
        <v>26</v>
      </c>
      <c r="G6615" s="28">
        <f>IFERROR(VLOOKUP(F6615,CARTON_LOOKUP!$A:$E,3,0),"")</f>
      </c>
      <c r="H6615" s="28">
        <f>IFERROR(VLOOKUP(F6615,CARTON_LOOKUP!$A:$E,4,0),"")</f>
      </c>
      <c r="I6615" s="28">
        <f>IFERROR(VLOOKUP(F6615,CARTON_LOOKUP!$A:$E,5,0),"")</f>
      </c>
      <c r="J6615" s="29">
        <f>IFERROR(VLOOKUP(F6615,CARTON_LOOKUP!$A:$E,2,0),"")</f>
      </c>
      <c r="K6615" s="29">
        <f>IFERROR(J6615*D6615,0)</f>
      </c>
      <c r="L6615" s="29">
        <f>IFERROR(E6615*C6615,0)</f>
      </c>
      <c r="M6615" s="29">
        <f>IFERROR((G6615*H6615*I6615/1000000)*D6615,0)</f>
      </c>
    </row>
    <row r="6616" spans="1:13" x14ac:dyDescent="0.25">
      <c r="A6616" s="16"/>
      <c r="E6616" s="27"/>
      <c r="F6616" t="s">
        <v>26</v>
      </c>
      <c r="G6616" s="28">
        <f>IFERROR(VLOOKUP(F6616,CARTON_LOOKUP!$A:$E,3,0),"")</f>
      </c>
      <c r="H6616" s="28">
        <f>IFERROR(VLOOKUP(F6616,CARTON_LOOKUP!$A:$E,4,0),"")</f>
      </c>
      <c r="I6616" s="28">
        <f>IFERROR(VLOOKUP(F6616,CARTON_LOOKUP!$A:$E,5,0),"")</f>
      </c>
      <c r="J6616" s="29">
        <f>IFERROR(VLOOKUP(F6616,CARTON_LOOKUP!$A:$E,2,0),"")</f>
      </c>
      <c r="K6616" s="29">
        <f>IFERROR(J6616*D6616,0)</f>
      </c>
      <c r="L6616" s="29">
        <f>IFERROR(E6616*C6616,0)</f>
      </c>
      <c r="M6616" s="29">
        <f>IFERROR((G6616*H6616*I6616/1000000)*D6616,0)</f>
      </c>
    </row>
    <row r="6617" spans="1:13" x14ac:dyDescent="0.25">
      <c r="A6617" s="16"/>
      <c r="E6617" s="27"/>
      <c r="F6617" t="s">
        <v>26</v>
      </c>
      <c r="G6617" s="28">
        <f>IFERROR(VLOOKUP(F6617,CARTON_LOOKUP!$A:$E,3,0),"")</f>
      </c>
      <c r="H6617" s="28">
        <f>IFERROR(VLOOKUP(F6617,CARTON_LOOKUP!$A:$E,4,0),"")</f>
      </c>
      <c r="I6617" s="28">
        <f>IFERROR(VLOOKUP(F6617,CARTON_LOOKUP!$A:$E,5,0),"")</f>
      </c>
      <c r="J6617" s="29">
        <f>IFERROR(VLOOKUP(F6617,CARTON_LOOKUP!$A:$E,2,0),"")</f>
      </c>
      <c r="K6617" s="29">
        <f>IFERROR(J6617*D6617,0)</f>
      </c>
      <c r="L6617" s="29">
        <f>IFERROR(E6617*C6617,0)</f>
      </c>
      <c r="M6617" s="29">
        <f>IFERROR((G6617*H6617*I6617/1000000)*D6617,0)</f>
      </c>
    </row>
    <row r="6618" spans="1:13" x14ac:dyDescent="0.25">
      <c r="A6618" s="16"/>
      <c r="E6618" s="27"/>
      <c r="F6618" t="s">
        <v>26</v>
      </c>
      <c r="G6618" s="28">
        <f>IFERROR(VLOOKUP(F6618,CARTON_LOOKUP!$A:$E,3,0),"")</f>
      </c>
      <c r="H6618" s="28">
        <f>IFERROR(VLOOKUP(F6618,CARTON_LOOKUP!$A:$E,4,0),"")</f>
      </c>
      <c r="I6618" s="28">
        <f>IFERROR(VLOOKUP(F6618,CARTON_LOOKUP!$A:$E,5,0),"")</f>
      </c>
      <c r="J6618" s="29">
        <f>IFERROR(VLOOKUP(F6618,CARTON_LOOKUP!$A:$E,2,0),"")</f>
      </c>
      <c r="K6618" s="29">
        <f>IFERROR(J6618*D6618,0)</f>
      </c>
      <c r="L6618" s="29">
        <f>IFERROR(E6618*C6618,0)</f>
      </c>
      <c r="M6618" s="29">
        <f>IFERROR((G6618*H6618*I6618/1000000)*D6618,0)</f>
      </c>
    </row>
    <row r="6619" spans="1:13" x14ac:dyDescent="0.25">
      <c r="A6619" s="16"/>
      <c r="E6619" s="27"/>
      <c r="F6619" t="s">
        <v>26</v>
      </c>
      <c r="G6619" s="28">
        <f>IFERROR(VLOOKUP(F6619,CARTON_LOOKUP!$A:$E,3,0),"")</f>
      </c>
      <c r="H6619" s="28">
        <f>IFERROR(VLOOKUP(F6619,CARTON_LOOKUP!$A:$E,4,0),"")</f>
      </c>
      <c r="I6619" s="28">
        <f>IFERROR(VLOOKUP(F6619,CARTON_LOOKUP!$A:$E,5,0),"")</f>
      </c>
      <c r="J6619" s="29">
        <f>IFERROR(VLOOKUP(F6619,CARTON_LOOKUP!$A:$E,2,0),"")</f>
      </c>
      <c r="K6619" s="29">
        <f>IFERROR(J6619*D6619,0)</f>
      </c>
      <c r="L6619" s="29">
        <f>IFERROR(E6619*C6619,0)</f>
      </c>
      <c r="M6619" s="29">
        <f>IFERROR((G6619*H6619*I6619/1000000)*D6619,0)</f>
      </c>
    </row>
    <row r="6620" spans="1:13" x14ac:dyDescent="0.25">
      <c r="A6620" s="16"/>
      <c r="E6620" s="27"/>
      <c r="F6620" t="s">
        <v>26</v>
      </c>
      <c r="G6620" s="28">
        <f>IFERROR(VLOOKUP(F6620,CARTON_LOOKUP!$A:$E,3,0),"")</f>
      </c>
      <c r="H6620" s="28">
        <f>IFERROR(VLOOKUP(F6620,CARTON_LOOKUP!$A:$E,4,0),"")</f>
      </c>
      <c r="I6620" s="28">
        <f>IFERROR(VLOOKUP(F6620,CARTON_LOOKUP!$A:$E,5,0),"")</f>
      </c>
      <c r="J6620" s="29">
        <f>IFERROR(VLOOKUP(F6620,CARTON_LOOKUP!$A:$E,2,0),"")</f>
      </c>
      <c r="K6620" s="29">
        <f>IFERROR(J6620*D6620,0)</f>
      </c>
      <c r="L6620" s="29">
        <f>IFERROR(E6620*C6620,0)</f>
      </c>
      <c r="M6620" s="29">
        <f>IFERROR((G6620*H6620*I6620/1000000)*D6620,0)</f>
      </c>
    </row>
    <row r="6621" spans="1:13" x14ac:dyDescent="0.25">
      <c r="A6621" s="16"/>
      <c r="E6621" s="27"/>
      <c r="F6621" t="s">
        <v>26</v>
      </c>
      <c r="G6621" s="28">
        <f>IFERROR(VLOOKUP(F6621,CARTON_LOOKUP!$A:$E,3,0),"")</f>
      </c>
      <c r="H6621" s="28">
        <f>IFERROR(VLOOKUP(F6621,CARTON_LOOKUP!$A:$E,4,0),"")</f>
      </c>
      <c r="I6621" s="28">
        <f>IFERROR(VLOOKUP(F6621,CARTON_LOOKUP!$A:$E,5,0),"")</f>
      </c>
      <c r="J6621" s="29">
        <f>IFERROR(VLOOKUP(F6621,CARTON_LOOKUP!$A:$E,2,0),"")</f>
      </c>
      <c r="K6621" s="29">
        <f>IFERROR(J6621*D6621,0)</f>
      </c>
      <c r="L6621" s="29">
        <f>IFERROR(E6621*C6621,0)</f>
      </c>
      <c r="M6621" s="29">
        <f>IFERROR((G6621*H6621*I6621/1000000)*D6621,0)</f>
      </c>
    </row>
    <row r="6622" spans="1:13" x14ac:dyDescent="0.25">
      <c r="A6622" s="16"/>
      <c r="E6622" s="27"/>
      <c r="F6622" t="s">
        <v>26</v>
      </c>
      <c r="G6622" s="28">
        <f>IFERROR(VLOOKUP(F6622,CARTON_LOOKUP!$A:$E,3,0),"")</f>
      </c>
      <c r="H6622" s="28">
        <f>IFERROR(VLOOKUP(F6622,CARTON_LOOKUP!$A:$E,4,0),"")</f>
      </c>
      <c r="I6622" s="28">
        <f>IFERROR(VLOOKUP(F6622,CARTON_LOOKUP!$A:$E,5,0),"")</f>
      </c>
      <c r="J6622" s="29">
        <f>IFERROR(VLOOKUP(F6622,CARTON_LOOKUP!$A:$E,2,0),"")</f>
      </c>
      <c r="K6622" s="29">
        <f>IFERROR(J6622*D6622,0)</f>
      </c>
      <c r="L6622" s="29">
        <f>IFERROR(E6622*C6622,0)</f>
      </c>
      <c r="M6622" s="29">
        <f>IFERROR((G6622*H6622*I6622/1000000)*D6622,0)</f>
      </c>
    </row>
    <row r="6623" spans="1:13" x14ac:dyDescent="0.25">
      <c r="A6623" s="16"/>
      <c r="E6623" s="27"/>
      <c r="F6623" t="s">
        <v>26</v>
      </c>
      <c r="G6623" s="28">
        <f>IFERROR(VLOOKUP(F6623,CARTON_LOOKUP!$A:$E,3,0),"")</f>
      </c>
      <c r="H6623" s="28">
        <f>IFERROR(VLOOKUP(F6623,CARTON_LOOKUP!$A:$E,4,0),"")</f>
      </c>
      <c r="I6623" s="28">
        <f>IFERROR(VLOOKUP(F6623,CARTON_LOOKUP!$A:$E,5,0),"")</f>
      </c>
      <c r="J6623" s="29">
        <f>IFERROR(VLOOKUP(F6623,CARTON_LOOKUP!$A:$E,2,0),"")</f>
      </c>
      <c r="K6623" s="29">
        <f>IFERROR(J6623*D6623,0)</f>
      </c>
      <c r="L6623" s="29">
        <f>IFERROR(E6623*C6623,0)</f>
      </c>
      <c r="M6623" s="29">
        <f>IFERROR((G6623*H6623*I6623/1000000)*D6623,0)</f>
      </c>
    </row>
    <row r="6624" spans="1:13" x14ac:dyDescent="0.25">
      <c r="A6624" s="16"/>
      <c r="E6624" s="27"/>
      <c r="F6624" t="s">
        <v>26</v>
      </c>
      <c r="G6624" s="28">
        <f>IFERROR(VLOOKUP(F6624,CARTON_LOOKUP!$A:$E,3,0),"")</f>
      </c>
      <c r="H6624" s="28">
        <f>IFERROR(VLOOKUP(F6624,CARTON_LOOKUP!$A:$E,4,0),"")</f>
      </c>
      <c r="I6624" s="28">
        <f>IFERROR(VLOOKUP(F6624,CARTON_LOOKUP!$A:$E,5,0),"")</f>
      </c>
      <c r="J6624" s="29">
        <f>IFERROR(VLOOKUP(F6624,CARTON_LOOKUP!$A:$E,2,0),"")</f>
      </c>
      <c r="K6624" s="29">
        <f>IFERROR(J6624*D6624,0)</f>
      </c>
      <c r="L6624" s="29">
        <f>IFERROR(E6624*C6624,0)</f>
      </c>
      <c r="M6624" s="29">
        <f>IFERROR((G6624*H6624*I6624/1000000)*D6624,0)</f>
      </c>
    </row>
    <row r="6625" spans="1:13" x14ac:dyDescent="0.25">
      <c r="A6625" s="16"/>
      <c r="E6625" s="27"/>
      <c r="F6625" t="s">
        <v>26</v>
      </c>
      <c r="G6625" s="28">
        <f>IFERROR(VLOOKUP(F6625,CARTON_LOOKUP!$A:$E,3,0),"")</f>
      </c>
      <c r="H6625" s="28">
        <f>IFERROR(VLOOKUP(F6625,CARTON_LOOKUP!$A:$E,4,0),"")</f>
      </c>
      <c r="I6625" s="28">
        <f>IFERROR(VLOOKUP(F6625,CARTON_LOOKUP!$A:$E,5,0),"")</f>
      </c>
      <c r="J6625" s="29">
        <f>IFERROR(VLOOKUP(F6625,CARTON_LOOKUP!$A:$E,2,0),"")</f>
      </c>
      <c r="K6625" s="29">
        <f>IFERROR(J6625*D6625,0)</f>
      </c>
      <c r="L6625" s="29">
        <f>IFERROR(E6625*C6625,0)</f>
      </c>
      <c r="M6625" s="29">
        <f>IFERROR((G6625*H6625*I6625/1000000)*D6625,0)</f>
      </c>
    </row>
    <row r="6626" spans="1:13" x14ac:dyDescent="0.25">
      <c r="A6626" s="16"/>
      <c r="E6626" s="27"/>
      <c r="F6626" t="s">
        <v>26</v>
      </c>
      <c r="G6626" s="28">
        <f>IFERROR(VLOOKUP(F6626,CARTON_LOOKUP!$A:$E,3,0),"")</f>
      </c>
      <c r="H6626" s="28">
        <f>IFERROR(VLOOKUP(F6626,CARTON_LOOKUP!$A:$E,4,0),"")</f>
      </c>
      <c r="I6626" s="28">
        <f>IFERROR(VLOOKUP(F6626,CARTON_LOOKUP!$A:$E,5,0),"")</f>
      </c>
      <c r="J6626" s="29">
        <f>IFERROR(VLOOKUP(F6626,CARTON_LOOKUP!$A:$E,2,0),"")</f>
      </c>
      <c r="K6626" s="29">
        <f>IFERROR(J6626*D6626,0)</f>
      </c>
      <c r="L6626" s="29">
        <f>IFERROR(E6626*C6626,0)</f>
      </c>
      <c r="M6626" s="29">
        <f>IFERROR((G6626*H6626*I6626/1000000)*D6626,0)</f>
      </c>
    </row>
    <row r="6627" spans="1:13" x14ac:dyDescent="0.25">
      <c r="A6627" s="16"/>
      <c r="E6627" s="27"/>
      <c r="F6627" t="s">
        <v>26</v>
      </c>
      <c r="G6627" s="28">
        <f>IFERROR(VLOOKUP(F6627,CARTON_LOOKUP!$A:$E,3,0),"")</f>
      </c>
      <c r="H6627" s="28">
        <f>IFERROR(VLOOKUP(F6627,CARTON_LOOKUP!$A:$E,4,0),"")</f>
      </c>
      <c r="I6627" s="28">
        <f>IFERROR(VLOOKUP(F6627,CARTON_LOOKUP!$A:$E,5,0),"")</f>
      </c>
      <c r="J6627" s="29">
        <f>IFERROR(VLOOKUP(F6627,CARTON_LOOKUP!$A:$E,2,0),"")</f>
      </c>
      <c r="K6627" s="29">
        <f>IFERROR(J6627*D6627,0)</f>
      </c>
      <c r="L6627" s="29">
        <f>IFERROR(E6627*C6627,0)</f>
      </c>
      <c r="M6627" s="29">
        <f>IFERROR((G6627*H6627*I6627/1000000)*D6627,0)</f>
      </c>
    </row>
    <row r="6628" spans="1:13" x14ac:dyDescent="0.25">
      <c r="A6628" s="16"/>
      <c r="E6628" s="27"/>
      <c r="F6628" t="s">
        <v>26</v>
      </c>
      <c r="G6628" s="28">
        <f>IFERROR(VLOOKUP(F6628,CARTON_LOOKUP!$A:$E,3,0),"")</f>
      </c>
      <c r="H6628" s="28">
        <f>IFERROR(VLOOKUP(F6628,CARTON_LOOKUP!$A:$E,4,0),"")</f>
      </c>
      <c r="I6628" s="28">
        <f>IFERROR(VLOOKUP(F6628,CARTON_LOOKUP!$A:$E,5,0),"")</f>
      </c>
      <c r="J6628" s="29">
        <f>IFERROR(VLOOKUP(F6628,CARTON_LOOKUP!$A:$E,2,0),"")</f>
      </c>
      <c r="K6628" s="29">
        <f>IFERROR(J6628*D6628,0)</f>
      </c>
      <c r="L6628" s="29">
        <f>IFERROR(E6628*C6628,0)</f>
      </c>
      <c r="M6628" s="29">
        <f>IFERROR((G6628*H6628*I6628/1000000)*D6628,0)</f>
      </c>
    </row>
    <row r="6629" spans="1:13" x14ac:dyDescent="0.25">
      <c r="A6629" s="16"/>
      <c r="E6629" s="27"/>
      <c r="F6629" t="s">
        <v>26</v>
      </c>
      <c r="G6629" s="28">
        <f>IFERROR(VLOOKUP(F6629,CARTON_LOOKUP!$A:$E,3,0),"")</f>
      </c>
      <c r="H6629" s="28">
        <f>IFERROR(VLOOKUP(F6629,CARTON_LOOKUP!$A:$E,4,0),"")</f>
      </c>
      <c r="I6629" s="28">
        <f>IFERROR(VLOOKUP(F6629,CARTON_LOOKUP!$A:$E,5,0),"")</f>
      </c>
      <c r="J6629" s="29">
        <f>IFERROR(VLOOKUP(F6629,CARTON_LOOKUP!$A:$E,2,0),"")</f>
      </c>
      <c r="K6629" s="29">
        <f>IFERROR(J6629*D6629,0)</f>
      </c>
      <c r="L6629" s="29">
        <f>IFERROR(E6629*C6629,0)</f>
      </c>
      <c r="M6629" s="29">
        <f>IFERROR((G6629*H6629*I6629/1000000)*D6629,0)</f>
      </c>
    </row>
    <row r="6630" spans="1:13" x14ac:dyDescent="0.25">
      <c r="A6630" s="16"/>
      <c r="E6630" s="27"/>
      <c r="F6630" t="s">
        <v>26</v>
      </c>
      <c r="G6630" s="28">
        <f>IFERROR(VLOOKUP(F6630,CARTON_LOOKUP!$A:$E,3,0),"")</f>
      </c>
      <c r="H6630" s="28">
        <f>IFERROR(VLOOKUP(F6630,CARTON_LOOKUP!$A:$E,4,0),"")</f>
      </c>
      <c r="I6630" s="28">
        <f>IFERROR(VLOOKUP(F6630,CARTON_LOOKUP!$A:$E,5,0),"")</f>
      </c>
      <c r="J6630" s="29">
        <f>IFERROR(VLOOKUP(F6630,CARTON_LOOKUP!$A:$E,2,0),"")</f>
      </c>
      <c r="K6630" s="29">
        <f>IFERROR(J6630*D6630,0)</f>
      </c>
      <c r="L6630" s="29">
        <f>IFERROR(E6630*C6630,0)</f>
      </c>
      <c r="M6630" s="29">
        <f>IFERROR((G6630*H6630*I6630/1000000)*D6630,0)</f>
      </c>
    </row>
    <row r="6631" spans="1:13" x14ac:dyDescent="0.25">
      <c r="A6631" s="16"/>
      <c r="E6631" s="27"/>
      <c r="F6631" t="s">
        <v>26</v>
      </c>
      <c r="G6631" s="28">
        <f>IFERROR(VLOOKUP(F6631,CARTON_LOOKUP!$A:$E,3,0),"")</f>
      </c>
      <c r="H6631" s="28">
        <f>IFERROR(VLOOKUP(F6631,CARTON_LOOKUP!$A:$E,4,0),"")</f>
      </c>
      <c r="I6631" s="28">
        <f>IFERROR(VLOOKUP(F6631,CARTON_LOOKUP!$A:$E,5,0),"")</f>
      </c>
      <c r="J6631" s="29">
        <f>IFERROR(VLOOKUP(F6631,CARTON_LOOKUP!$A:$E,2,0),"")</f>
      </c>
      <c r="K6631" s="29">
        <f>IFERROR(J6631*D6631,0)</f>
      </c>
      <c r="L6631" s="29">
        <f>IFERROR(E6631*C6631,0)</f>
      </c>
      <c r="M6631" s="29">
        <f>IFERROR((G6631*H6631*I6631/1000000)*D6631,0)</f>
      </c>
    </row>
    <row r="6632" spans="1:13" x14ac:dyDescent="0.25">
      <c r="A6632" s="16"/>
      <c r="E6632" s="27"/>
      <c r="F6632" t="s">
        <v>26</v>
      </c>
      <c r="G6632" s="28">
        <f>IFERROR(VLOOKUP(F6632,CARTON_LOOKUP!$A:$E,3,0),"")</f>
      </c>
      <c r="H6632" s="28">
        <f>IFERROR(VLOOKUP(F6632,CARTON_LOOKUP!$A:$E,4,0),"")</f>
      </c>
      <c r="I6632" s="28">
        <f>IFERROR(VLOOKUP(F6632,CARTON_LOOKUP!$A:$E,5,0),"")</f>
      </c>
      <c r="J6632" s="29">
        <f>IFERROR(VLOOKUP(F6632,CARTON_LOOKUP!$A:$E,2,0),"")</f>
      </c>
      <c r="K6632" s="29">
        <f>IFERROR(J6632*D6632,0)</f>
      </c>
      <c r="L6632" s="29">
        <f>IFERROR(E6632*C6632,0)</f>
      </c>
      <c r="M6632" s="29">
        <f>IFERROR((G6632*H6632*I6632/1000000)*D6632,0)</f>
      </c>
    </row>
    <row r="6633" spans="1:13" x14ac:dyDescent="0.25">
      <c r="A6633" s="16"/>
      <c r="E6633" s="27"/>
      <c r="F6633" t="s">
        <v>26</v>
      </c>
      <c r="G6633" s="28">
        <f>IFERROR(VLOOKUP(F6633,CARTON_LOOKUP!$A:$E,3,0),"")</f>
      </c>
      <c r="H6633" s="28">
        <f>IFERROR(VLOOKUP(F6633,CARTON_LOOKUP!$A:$E,4,0),"")</f>
      </c>
      <c r="I6633" s="28">
        <f>IFERROR(VLOOKUP(F6633,CARTON_LOOKUP!$A:$E,5,0),"")</f>
      </c>
      <c r="J6633" s="29">
        <f>IFERROR(VLOOKUP(F6633,CARTON_LOOKUP!$A:$E,2,0),"")</f>
      </c>
      <c r="K6633" s="29">
        <f>IFERROR(J6633*D6633,0)</f>
      </c>
      <c r="L6633" s="29">
        <f>IFERROR(E6633*C6633,0)</f>
      </c>
      <c r="M6633" s="29">
        <f>IFERROR((G6633*H6633*I6633/1000000)*D6633,0)</f>
      </c>
    </row>
    <row r="6634" spans="1:13" x14ac:dyDescent="0.25">
      <c r="A6634" s="16"/>
      <c r="E6634" s="27"/>
      <c r="F6634" t="s">
        <v>26</v>
      </c>
      <c r="G6634" s="28">
        <f>IFERROR(VLOOKUP(F6634,CARTON_LOOKUP!$A:$E,3,0),"")</f>
      </c>
      <c r="H6634" s="28">
        <f>IFERROR(VLOOKUP(F6634,CARTON_LOOKUP!$A:$E,4,0),"")</f>
      </c>
      <c r="I6634" s="28">
        <f>IFERROR(VLOOKUP(F6634,CARTON_LOOKUP!$A:$E,5,0),"")</f>
      </c>
      <c r="J6634" s="29">
        <f>IFERROR(VLOOKUP(F6634,CARTON_LOOKUP!$A:$E,2,0),"")</f>
      </c>
      <c r="K6634" s="29">
        <f>IFERROR(J6634*D6634,0)</f>
      </c>
      <c r="L6634" s="29">
        <f>IFERROR(E6634*C6634,0)</f>
      </c>
      <c r="M6634" s="29">
        <f>IFERROR((G6634*H6634*I6634/1000000)*D6634,0)</f>
      </c>
    </row>
    <row r="6635" spans="1:13" x14ac:dyDescent="0.25">
      <c r="A6635" s="16"/>
      <c r="E6635" s="27"/>
      <c r="F6635" t="s">
        <v>26</v>
      </c>
      <c r="G6635" s="28">
        <f>IFERROR(VLOOKUP(F6635,CARTON_LOOKUP!$A:$E,3,0),"")</f>
      </c>
      <c r="H6635" s="28">
        <f>IFERROR(VLOOKUP(F6635,CARTON_LOOKUP!$A:$E,4,0),"")</f>
      </c>
      <c r="I6635" s="28">
        <f>IFERROR(VLOOKUP(F6635,CARTON_LOOKUP!$A:$E,5,0),"")</f>
      </c>
      <c r="J6635" s="29">
        <f>IFERROR(VLOOKUP(F6635,CARTON_LOOKUP!$A:$E,2,0),"")</f>
      </c>
      <c r="K6635" s="29">
        <f>IFERROR(J6635*D6635,0)</f>
      </c>
      <c r="L6635" s="29">
        <f>IFERROR(E6635*C6635,0)</f>
      </c>
      <c r="M6635" s="29">
        <f>IFERROR((G6635*H6635*I6635/1000000)*D6635,0)</f>
      </c>
    </row>
    <row r="6636" spans="1:13" x14ac:dyDescent="0.25">
      <c r="A6636" s="16"/>
      <c r="E6636" s="27"/>
      <c r="F6636" t="s">
        <v>26</v>
      </c>
      <c r="G6636" s="28">
        <f>IFERROR(VLOOKUP(F6636,CARTON_LOOKUP!$A:$E,3,0),"")</f>
      </c>
      <c r="H6636" s="28">
        <f>IFERROR(VLOOKUP(F6636,CARTON_LOOKUP!$A:$E,4,0),"")</f>
      </c>
      <c r="I6636" s="28">
        <f>IFERROR(VLOOKUP(F6636,CARTON_LOOKUP!$A:$E,5,0),"")</f>
      </c>
      <c r="J6636" s="29">
        <f>IFERROR(VLOOKUP(F6636,CARTON_LOOKUP!$A:$E,2,0),"")</f>
      </c>
      <c r="K6636" s="29">
        <f>IFERROR(J6636*D6636,0)</f>
      </c>
      <c r="L6636" s="29">
        <f>IFERROR(E6636*C6636,0)</f>
      </c>
      <c r="M6636" s="29">
        <f>IFERROR((G6636*H6636*I6636/1000000)*D6636,0)</f>
      </c>
    </row>
    <row r="6637" spans="1:13" x14ac:dyDescent="0.25">
      <c r="A6637" s="16"/>
      <c r="E6637" s="27"/>
      <c r="F6637" t="s">
        <v>26</v>
      </c>
      <c r="G6637" s="28">
        <f>IFERROR(VLOOKUP(F6637,CARTON_LOOKUP!$A:$E,3,0),"")</f>
      </c>
      <c r="H6637" s="28">
        <f>IFERROR(VLOOKUP(F6637,CARTON_LOOKUP!$A:$E,4,0),"")</f>
      </c>
      <c r="I6637" s="28">
        <f>IFERROR(VLOOKUP(F6637,CARTON_LOOKUP!$A:$E,5,0),"")</f>
      </c>
      <c r="J6637" s="29">
        <f>IFERROR(VLOOKUP(F6637,CARTON_LOOKUP!$A:$E,2,0),"")</f>
      </c>
      <c r="K6637" s="29">
        <f>IFERROR(J6637*D6637,0)</f>
      </c>
      <c r="L6637" s="29">
        <f>IFERROR(E6637*C6637,0)</f>
      </c>
      <c r="M6637" s="29">
        <f>IFERROR((G6637*H6637*I6637/1000000)*D6637,0)</f>
      </c>
    </row>
    <row r="6638" spans="1:13" x14ac:dyDescent="0.25">
      <c r="A6638" s="16"/>
      <c r="E6638" s="27"/>
      <c r="F6638" t="s">
        <v>26</v>
      </c>
      <c r="G6638" s="28">
        <f>IFERROR(VLOOKUP(F6638,CARTON_LOOKUP!$A:$E,3,0),"")</f>
      </c>
      <c r="H6638" s="28">
        <f>IFERROR(VLOOKUP(F6638,CARTON_LOOKUP!$A:$E,4,0),"")</f>
      </c>
      <c r="I6638" s="28">
        <f>IFERROR(VLOOKUP(F6638,CARTON_LOOKUP!$A:$E,5,0),"")</f>
      </c>
      <c r="J6638" s="29">
        <f>IFERROR(VLOOKUP(F6638,CARTON_LOOKUP!$A:$E,2,0),"")</f>
      </c>
      <c r="K6638" s="29">
        <f>IFERROR(J6638*D6638,0)</f>
      </c>
      <c r="L6638" s="29">
        <f>IFERROR(E6638*C6638,0)</f>
      </c>
      <c r="M6638" s="29">
        <f>IFERROR((G6638*H6638*I6638/1000000)*D6638,0)</f>
      </c>
    </row>
    <row r="6639" spans="1:13" x14ac:dyDescent="0.25">
      <c r="A6639" s="16"/>
      <c r="E6639" s="27"/>
      <c r="F6639" t="s">
        <v>26</v>
      </c>
      <c r="G6639" s="28">
        <f>IFERROR(VLOOKUP(F6639,CARTON_LOOKUP!$A:$E,3,0),"")</f>
      </c>
      <c r="H6639" s="28">
        <f>IFERROR(VLOOKUP(F6639,CARTON_LOOKUP!$A:$E,4,0),"")</f>
      </c>
      <c r="I6639" s="28">
        <f>IFERROR(VLOOKUP(F6639,CARTON_LOOKUP!$A:$E,5,0),"")</f>
      </c>
      <c r="J6639" s="29">
        <f>IFERROR(VLOOKUP(F6639,CARTON_LOOKUP!$A:$E,2,0),"")</f>
      </c>
      <c r="K6639" s="29">
        <f>IFERROR(J6639*D6639,0)</f>
      </c>
      <c r="L6639" s="29">
        <f>IFERROR(E6639*C6639,0)</f>
      </c>
      <c r="M6639" s="29">
        <f>IFERROR((G6639*H6639*I6639/1000000)*D6639,0)</f>
      </c>
    </row>
    <row r="6640" spans="1:13" x14ac:dyDescent="0.25">
      <c r="A6640" s="16"/>
      <c r="E6640" s="27"/>
      <c r="F6640" t="s">
        <v>26</v>
      </c>
      <c r="G6640" s="28">
        <f>IFERROR(VLOOKUP(F6640,CARTON_LOOKUP!$A:$E,3,0),"")</f>
      </c>
      <c r="H6640" s="28">
        <f>IFERROR(VLOOKUP(F6640,CARTON_LOOKUP!$A:$E,4,0),"")</f>
      </c>
      <c r="I6640" s="28">
        <f>IFERROR(VLOOKUP(F6640,CARTON_LOOKUP!$A:$E,5,0),"")</f>
      </c>
      <c r="J6640" s="29">
        <f>IFERROR(VLOOKUP(F6640,CARTON_LOOKUP!$A:$E,2,0),"")</f>
      </c>
      <c r="K6640" s="29">
        <f>IFERROR(J6640*D6640,0)</f>
      </c>
      <c r="L6640" s="29">
        <f>IFERROR(E6640*C6640,0)</f>
      </c>
      <c r="M6640" s="29">
        <f>IFERROR((G6640*H6640*I6640/1000000)*D6640,0)</f>
      </c>
    </row>
    <row r="6641" spans="1:13" x14ac:dyDescent="0.25">
      <c r="A6641" s="16"/>
      <c r="E6641" s="27"/>
      <c r="F6641" t="s">
        <v>26</v>
      </c>
      <c r="G6641" s="28">
        <f>IFERROR(VLOOKUP(F6641,CARTON_LOOKUP!$A:$E,3,0),"")</f>
      </c>
      <c r="H6641" s="28">
        <f>IFERROR(VLOOKUP(F6641,CARTON_LOOKUP!$A:$E,4,0),"")</f>
      </c>
      <c r="I6641" s="28">
        <f>IFERROR(VLOOKUP(F6641,CARTON_LOOKUP!$A:$E,5,0),"")</f>
      </c>
      <c r="J6641" s="29">
        <f>IFERROR(VLOOKUP(F6641,CARTON_LOOKUP!$A:$E,2,0),"")</f>
      </c>
      <c r="K6641" s="29">
        <f>IFERROR(J6641*D6641,0)</f>
      </c>
      <c r="L6641" s="29">
        <f>IFERROR(E6641*C6641,0)</f>
      </c>
      <c r="M6641" s="29">
        <f>IFERROR((G6641*H6641*I6641/1000000)*D6641,0)</f>
      </c>
    </row>
    <row r="6642" spans="1:13" x14ac:dyDescent="0.25">
      <c r="A6642" s="16"/>
      <c r="E6642" s="27"/>
      <c r="F6642" t="s">
        <v>26</v>
      </c>
      <c r="G6642" s="28">
        <f>IFERROR(VLOOKUP(F6642,CARTON_LOOKUP!$A:$E,3,0),"")</f>
      </c>
      <c r="H6642" s="28">
        <f>IFERROR(VLOOKUP(F6642,CARTON_LOOKUP!$A:$E,4,0),"")</f>
      </c>
      <c r="I6642" s="28">
        <f>IFERROR(VLOOKUP(F6642,CARTON_LOOKUP!$A:$E,5,0),"")</f>
      </c>
      <c r="J6642" s="29">
        <f>IFERROR(VLOOKUP(F6642,CARTON_LOOKUP!$A:$E,2,0),"")</f>
      </c>
      <c r="K6642" s="29">
        <f>IFERROR(J6642*D6642,0)</f>
      </c>
      <c r="L6642" s="29">
        <f>IFERROR(E6642*C6642,0)</f>
      </c>
      <c r="M6642" s="29">
        <f>IFERROR((G6642*H6642*I6642/1000000)*D6642,0)</f>
      </c>
    </row>
    <row r="6643" spans="1:13" x14ac:dyDescent="0.25">
      <c r="A6643" s="16"/>
      <c r="E6643" s="27"/>
      <c r="F6643" t="s">
        <v>26</v>
      </c>
      <c r="G6643" s="28">
        <f>IFERROR(VLOOKUP(F6643,CARTON_LOOKUP!$A:$E,3,0),"")</f>
      </c>
      <c r="H6643" s="28">
        <f>IFERROR(VLOOKUP(F6643,CARTON_LOOKUP!$A:$E,4,0),"")</f>
      </c>
      <c r="I6643" s="28">
        <f>IFERROR(VLOOKUP(F6643,CARTON_LOOKUP!$A:$E,5,0),"")</f>
      </c>
      <c r="J6643" s="29">
        <f>IFERROR(VLOOKUP(F6643,CARTON_LOOKUP!$A:$E,2,0),"")</f>
      </c>
      <c r="K6643" s="29">
        <f>IFERROR(J6643*D6643,0)</f>
      </c>
      <c r="L6643" s="29">
        <f>IFERROR(E6643*C6643,0)</f>
      </c>
      <c r="M6643" s="29">
        <f>IFERROR((G6643*H6643*I6643/1000000)*D6643,0)</f>
      </c>
    </row>
    <row r="6644" spans="1:13" x14ac:dyDescent="0.25">
      <c r="A6644" s="16"/>
      <c r="E6644" s="27"/>
      <c r="F6644" t="s">
        <v>26</v>
      </c>
      <c r="G6644" s="28">
        <f>IFERROR(VLOOKUP(F6644,CARTON_LOOKUP!$A:$E,3,0),"")</f>
      </c>
      <c r="H6644" s="28">
        <f>IFERROR(VLOOKUP(F6644,CARTON_LOOKUP!$A:$E,4,0),"")</f>
      </c>
      <c r="I6644" s="28">
        <f>IFERROR(VLOOKUP(F6644,CARTON_LOOKUP!$A:$E,5,0),"")</f>
      </c>
      <c r="J6644" s="29">
        <f>IFERROR(VLOOKUP(F6644,CARTON_LOOKUP!$A:$E,2,0),"")</f>
      </c>
      <c r="K6644" s="29">
        <f>IFERROR(J6644*D6644,0)</f>
      </c>
      <c r="L6644" s="29">
        <f>IFERROR(E6644*C6644,0)</f>
      </c>
      <c r="M6644" s="29">
        <f>IFERROR((G6644*H6644*I6644/1000000)*D6644,0)</f>
      </c>
    </row>
    <row r="6645" spans="1:13" x14ac:dyDescent="0.25">
      <c r="A6645" s="16"/>
      <c r="E6645" s="27"/>
      <c r="F6645" t="s">
        <v>26</v>
      </c>
      <c r="G6645" s="28">
        <f>IFERROR(VLOOKUP(F6645,CARTON_LOOKUP!$A:$E,3,0),"")</f>
      </c>
      <c r="H6645" s="28">
        <f>IFERROR(VLOOKUP(F6645,CARTON_LOOKUP!$A:$E,4,0),"")</f>
      </c>
      <c r="I6645" s="28">
        <f>IFERROR(VLOOKUP(F6645,CARTON_LOOKUP!$A:$E,5,0),"")</f>
      </c>
      <c r="J6645" s="29">
        <f>IFERROR(VLOOKUP(F6645,CARTON_LOOKUP!$A:$E,2,0),"")</f>
      </c>
      <c r="K6645" s="29">
        <f>IFERROR(J6645*D6645,0)</f>
      </c>
      <c r="L6645" s="29">
        <f>IFERROR(E6645*C6645,0)</f>
      </c>
      <c r="M6645" s="29">
        <f>IFERROR((G6645*H6645*I6645/1000000)*D6645,0)</f>
      </c>
    </row>
    <row r="6646" spans="1:13" x14ac:dyDescent="0.25">
      <c r="A6646" s="16"/>
      <c r="E6646" s="27"/>
      <c r="F6646" t="s">
        <v>26</v>
      </c>
      <c r="G6646" s="28">
        <f>IFERROR(VLOOKUP(F6646,CARTON_LOOKUP!$A:$E,3,0),"")</f>
      </c>
      <c r="H6646" s="28">
        <f>IFERROR(VLOOKUP(F6646,CARTON_LOOKUP!$A:$E,4,0),"")</f>
      </c>
      <c r="I6646" s="28">
        <f>IFERROR(VLOOKUP(F6646,CARTON_LOOKUP!$A:$E,5,0),"")</f>
      </c>
      <c r="J6646" s="29">
        <f>IFERROR(VLOOKUP(F6646,CARTON_LOOKUP!$A:$E,2,0),"")</f>
      </c>
      <c r="K6646" s="29">
        <f>IFERROR(J6646*D6646,0)</f>
      </c>
      <c r="L6646" s="29">
        <f>IFERROR(E6646*C6646,0)</f>
      </c>
      <c r="M6646" s="29">
        <f>IFERROR((G6646*H6646*I6646/1000000)*D6646,0)</f>
      </c>
    </row>
    <row r="6647" spans="1:13" x14ac:dyDescent="0.25">
      <c r="A6647" s="16"/>
      <c r="E6647" s="27"/>
      <c r="F6647" t="s">
        <v>26</v>
      </c>
      <c r="G6647" s="28">
        <f>IFERROR(VLOOKUP(F6647,CARTON_LOOKUP!$A:$E,3,0),"")</f>
      </c>
      <c r="H6647" s="28">
        <f>IFERROR(VLOOKUP(F6647,CARTON_LOOKUP!$A:$E,4,0),"")</f>
      </c>
      <c r="I6647" s="28">
        <f>IFERROR(VLOOKUP(F6647,CARTON_LOOKUP!$A:$E,5,0),"")</f>
      </c>
      <c r="J6647" s="29">
        <f>IFERROR(VLOOKUP(F6647,CARTON_LOOKUP!$A:$E,2,0),"")</f>
      </c>
      <c r="K6647" s="29">
        <f>IFERROR(J6647*D6647,0)</f>
      </c>
      <c r="L6647" s="29">
        <f>IFERROR(E6647*C6647,0)</f>
      </c>
      <c r="M6647" s="29">
        <f>IFERROR((G6647*H6647*I6647/1000000)*D6647,0)</f>
      </c>
    </row>
    <row r="6648" spans="1:13" x14ac:dyDescent="0.25">
      <c r="A6648" s="16"/>
      <c r="E6648" s="27"/>
      <c r="F6648" t="s">
        <v>26</v>
      </c>
      <c r="G6648" s="28">
        <f>IFERROR(VLOOKUP(F6648,CARTON_LOOKUP!$A:$E,3,0),"")</f>
      </c>
      <c r="H6648" s="28">
        <f>IFERROR(VLOOKUP(F6648,CARTON_LOOKUP!$A:$E,4,0),"")</f>
      </c>
      <c r="I6648" s="28">
        <f>IFERROR(VLOOKUP(F6648,CARTON_LOOKUP!$A:$E,5,0),"")</f>
      </c>
      <c r="J6648" s="29">
        <f>IFERROR(VLOOKUP(F6648,CARTON_LOOKUP!$A:$E,2,0),"")</f>
      </c>
      <c r="K6648" s="29">
        <f>IFERROR(J6648*D6648,0)</f>
      </c>
      <c r="L6648" s="29">
        <f>IFERROR(E6648*C6648,0)</f>
      </c>
      <c r="M6648" s="29">
        <f>IFERROR((G6648*H6648*I6648/1000000)*D6648,0)</f>
      </c>
    </row>
    <row r="6649" spans="1:13" x14ac:dyDescent="0.25">
      <c r="A6649" s="16"/>
      <c r="E6649" s="27"/>
      <c r="F6649" t="s">
        <v>26</v>
      </c>
      <c r="G6649" s="28">
        <f>IFERROR(VLOOKUP(F6649,CARTON_LOOKUP!$A:$E,3,0),"")</f>
      </c>
      <c r="H6649" s="28">
        <f>IFERROR(VLOOKUP(F6649,CARTON_LOOKUP!$A:$E,4,0),"")</f>
      </c>
      <c r="I6649" s="28">
        <f>IFERROR(VLOOKUP(F6649,CARTON_LOOKUP!$A:$E,5,0),"")</f>
      </c>
      <c r="J6649" s="29">
        <f>IFERROR(VLOOKUP(F6649,CARTON_LOOKUP!$A:$E,2,0),"")</f>
      </c>
      <c r="K6649" s="29">
        <f>IFERROR(J6649*D6649,0)</f>
      </c>
      <c r="L6649" s="29">
        <f>IFERROR(E6649*C6649,0)</f>
      </c>
      <c r="M6649" s="29">
        <f>IFERROR((G6649*H6649*I6649/1000000)*D6649,0)</f>
      </c>
    </row>
    <row r="6650" spans="1:13" x14ac:dyDescent="0.25">
      <c r="A6650" s="16"/>
      <c r="E6650" s="27"/>
      <c r="F6650" t="s">
        <v>26</v>
      </c>
      <c r="G6650" s="28">
        <f>IFERROR(VLOOKUP(F6650,CARTON_LOOKUP!$A:$E,3,0),"")</f>
      </c>
      <c r="H6650" s="28">
        <f>IFERROR(VLOOKUP(F6650,CARTON_LOOKUP!$A:$E,4,0),"")</f>
      </c>
      <c r="I6650" s="28">
        <f>IFERROR(VLOOKUP(F6650,CARTON_LOOKUP!$A:$E,5,0),"")</f>
      </c>
      <c r="J6650" s="29">
        <f>IFERROR(VLOOKUP(F6650,CARTON_LOOKUP!$A:$E,2,0),"")</f>
      </c>
      <c r="K6650" s="29">
        <f>IFERROR(J6650*D6650,0)</f>
      </c>
      <c r="L6650" s="29">
        <f>IFERROR(E6650*C6650,0)</f>
      </c>
      <c r="M6650" s="29">
        <f>IFERROR((G6650*H6650*I6650/1000000)*D6650,0)</f>
      </c>
    </row>
    <row r="6651" spans="1:13" x14ac:dyDescent="0.25">
      <c r="A6651" s="16"/>
      <c r="E6651" s="27"/>
      <c r="F6651" t="s">
        <v>26</v>
      </c>
      <c r="G6651" s="28">
        <f>IFERROR(VLOOKUP(F6651,CARTON_LOOKUP!$A:$E,3,0),"")</f>
      </c>
      <c r="H6651" s="28">
        <f>IFERROR(VLOOKUP(F6651,CARTON_LOOKUP!$A:$E,4,0),"")</f>
      </c>
      <c r="I6651" s="28">
        <f>IFERROR(VLOOKUP(F6651,CARTON_LOOKUP!$A:$E,5,0),"")</f>
      </c>
      <c r="J6651" s="29">
        <f>IFERROR(VLOOKUP(F6651,CARTON_LOOKUP!$A:$E,2,0),"")</f>
      </c>
      <c r="K6651" s="29">
        <f>IFERROR(J6651*D6651,0)</f>
      </c>
      <c r="L6651" s="29">
        <f>IFERROR(E6651*C6651,0)</f>
      </c>
      <c r="M6651" s="29">
        <f>IFERROR((G6651*H6651*I6651/1000000)*D6651,0)</f>
      </c>
    </row>
    <row r="6652" spans="1:13" x14ac:dyDescent="0.25">
      <c r="A6652" s="16"/>
      <c r="E6652" s="27"/>
      <c r="F6652" t="s">
        <v>26</v>
      </c>
      <c r="G6652" s="28">
        <f>IFERROR(VLOOKUP(F6652,CARTON_LOOKUP!$A:$E,3,0),"")</f>
      </c>
      <c r="H6652" s="28">
        <f>IFERROR(VLOOKUP(F6652,CARTON_LOOKUP!$A:$E,4,0),"")</f>
      </c>
      <c r="I6652" s="28">
        <f>IFERROR(VLOOKUP(F6652,CARTON_LOOKUP!$A:$E,5,0),"")</f>
      </c>
      <c r="J6652" s="29">
        <f>IFERROR(VLOOKUP(F6652,CARTON_LOOKUP!$A:$E,2,0),"")</f>
      </c>
      <c r="K6652" s="29">
        <f>IFERROR(J6652*D6652,0)</f>
      </c>
      <c r="L6652" s="29">
        <f>IFERROR(E6652*C6652,0)</f>
      </c>
      <c r="M6652" s="29">
        <f>IFERROR((G6652*H6652*I6652/1000000)*D6652,0)</f>
      </c>
    </row>
    <row r="6653" spans="1:13" x14ac:dyDescent="0.25">
      <c r="A6653" s="16"/>
      <c r="E6653" s="27"/>
      <c r="F6653" t="s">
        <v>26</v>
      </c>
      <c r="G6653" s="28">
        <f>IFERROR(VLOOKUP(F6653,CARTON_LOOKUP!$A:$E,3,0),"")</f>
      </c>
      <c r="H6653" s="28">
        <f>IFERROR(VLOOKUP(F6653,CARTON_LOOKUP!$A:$E,4,0),"")</f>
      </c>
      <c r="I6653" s="28">
        <f>IFERROR(VLOOKUP(F6653,CARTON_LOOKUP!$A:$E,5,0),"")</f>
      </c>
      <c r="J6653" s="29">
        <f>IFERROR(VLOOKUP(F6653,CARTON_LOOKUP!$A:$E,2,0),"")</f>
      </c>
      <c r="K6653" s="29">
        <f>IFERROR(J6653*D6653,0)</f>
      </c>
      <c r="L6653" s="29">
        <f>IFERROR(E6653*C6653,0)</f>
      </c>
      <c r="M6653" s="29">
        <f>IFERROR((G6653*H6653*I6653/1000000)*D6653,0)</f>
      </c>
    </row>
    <row r="6654" spans="1:13" x14ac:dyDescent="0.25">
      <c r="A6654" s="16"/>
      <c r="E6654" s="27"/>
      <c r="F6654" t="s">
        <v>26</v>
      </c>
      <c r="G6654" s="28">
        <f>IFERROR(VLOOKUP(F6654,CARTON_LOOKUP!$A:$E,3,0),"")</f>
      </c>
      <c r="H6654" s="28">
        <f>IFERROR(VLOOKUP(F6654,CARTON_LOOKUP!$A:$E,4,0),"")</f>
      </c>
      <c r="I6654" s="28">
        <f>IFERROR(VLOOKUP(F6654,CARTON_LOOKUP!$A:$E,5,0),"")</f>
      </c>
      <c r="J6654" s="29">
        <f>IFERROR(VLOOKUP(F6654,CARTON_LOOKUP!$A:$E,2,0),"")</f>
      </c>
      <c r="K6654" s="29">
        <f>IFERROR(J6654*D6654,0)</f>
      </c>
      <c r="L6654" s="29">
        <f>IFERROR(E6654*C6654,0)</f>
      </c>
      <c r="M6654" s="29">
        <f>IFERROR((G6654*H6654*I6654/1000000)*D6654,0)</f>
      </c>
    </row>
    <row r="6655" spans="1:13" x14ac:dyDescent="0.25">
      <c r="A6655" s="16"/>
      <c r="E6655" s="27"/>
      <c r="F6655" t="s">
        <v>26</v>
      </c>
      <c r="G6655" s="28">
        <f>IFERROR(VLOOKUP(F6655,CARTON_LOOKUP!$A:$E,3,0),"")</f>
      </c>
      <c r="H6655" s="28">
        <f>IFERROR(VLOOKUP(F6655,CARTON_LOOKUP!$A:$E,4,0),"")</f>
      </c>
      <c r="I6655" s="28">
        <f>IFERROR(VLOOKUP(F6655,CARTON_LOOKUP!$A:$E,5,0),"")</f>
      </c>
      <c r="J6655" s="29">
        <f>IFERROR(VLOOKUP(F6655,CARTON_LOOKUP!$A:$E,2,0),"")</f>
      </c>
      <c r="K6655" s="29">
        <f>IFERROR(J6655*D6655,0)</f>
      </c>
      <c r="L6655" s="29">
        <f>IFERROR(E6655*C6655,0)</f>
      </c>
      <c r="M6655" s="29">
        <f>IFERROR((G6655*H6655*I6655/1000000)*D6655,0)</f>
      </c>
    </row>
    <row r="6656" spans="1:13" x14ac:dyDescent="0.25">
      <c r="A6656" s="16"/>
      <c r="E6656" s="27"/>
      <c r="F6656" t="s">
        <v>26</v>
      </c>
      <c r="G6656" s="28">
        <f>IFERROR(VLOOKUP(F6656,CARTON_LOOKUP!$A:$E,3,0),"")</f>
      </c>
      <c r="H6656" s="28">
        <f>IFERROR(VLOOKUP(F6656,CARTON_LOOKUP!$A:$E,4,0),"")</f>
      </c>
      <c r="I6656" s="28">
        <f>IFERROR(VLOOKUP(F6656,CARTON_LOOKUP!$A:$E,5,0),"")</f>
      </c>
      <c r="J6656" s="29">
        <f>IFERROR(VLOOKUP(F6656,CARTON_LOOKUP!$A:$E,2,0),"")</f>
      </c>
      <c r="K6656" s="29">
        <f>IFERROR(J6656*D6656,0)</f>
      </c>
      <c r="L6656" s="29">
        <f>IFERROR(E6656*C6656,0)</f>
      </c>
      <c r="M6656" s="29">
        <f>IFERROR((G6656*H6656*I6656/1000000)*D6656,0)</f>
      </c>
    </row>
    <row r="6657" spans="1:13" x14ac:dyDescent="0.25">
      <c r="A6657" s="16"/>
      <c r="E6657" s="27"/>
      <c r="F6657" t="s">
        <v>26</v>
      </c>
      <c r="G6657" s="28">
        <f>IFERROR(VLOOKUP(F6657,CARTON_LOOKUP!$A:$E,3,0),"")</f>
      </c>
      <c r="H6657" s="28">
        <f>IFERROR(VLOOKUP(F6657,CARTON_LOOKUP!$A:$E,4,0),"")</f>
      </c>
      <c r="I6657" s="28">
        <f>IFERROR(VLOOKUP(F6657,CARTON_LOOKUP!$A:$E,5,0),"")</f>
      </c>
      <c r="J6657" s="29">
        <f>IFERROR(VLOOKUP(F6657,CARTON_LOOKUP!$A:$E,2,0),"")</f>
      </c>
      <c r="K6657" s="29">
        <f>IFERROR(J6657*D6657,0)</f>
      </c>
      <c r="L6657" s="29">
        <f>IFERROR(E6657*C6657,0)</f>
      </c>
      <c r="M6657" s="29">
        <f>IFERROR((G6657*H6657*I6657/1000000)*D6657,0)</f>
      </c>
    </row>
    <row r="6658" spans="1:13" x14ac:dyDescent="0.25">
      <c r="A6658" s="16"/>
      <c r="E6658" s="27"/>
      <c r="F6658" t="s">
        <v>26</v>
      </c>
      <c r="G6658" s="28">
        <f>IFERROR(VLOOKUP(F6658,CARTON_LOOKUP!$A:$E,3,0),"")</f>
      </c>
      <c r="H6658" s="28">
        <f>IFERROR(VLOOKUP(F6658,CARTON_LOOKUP!$A:$E,4,0),"")</f>
      </c>
      <c r="I6658" s="28">
        <f>IFERROR(VLOOKUP(F6658,CARTON_LOOKUP!$A:$E,5,0),"")</f>
      </c>
      <c r="J6658" s="29">
        <f>IFERROR(VLOOKUP(F6658,CARTON_LOOKUP!$A:$E,2,0),"")</f>
      </c>
      <c r="K6658" s="29">
        <f>IFERROR(J6658*D6658,0)</f>
      </c>
      <c r="L6658" s="29">
        <f>IFERROR(E6658*C6658,0)</f>
      </c>
      <c r="M6658" s="29">
        <f>IFERROR((G6658*H6658*I6658/1000000)*D6658,0)</f>
      </c>
    </row>
    <row r="6659" spans="1:13" x14ac:dyDescent="0.25">
      <c r="A6659" s="16"/>
      <c r="E6659" s="27"/>
      <c r="F6659" t="s">
        <v>26</v>
      </c>
      <c r="G6659" s="28">
        <f>IFERROR(VLOOKUP(F6659,CARTON_LOOKUP!$A:$E,3,0),"")</f>
      </c>
      <c r="H6659" s="28">
        <f>IFERROR(VLOOKUP(F6659,CARTON_LOOKUP!$A:$E,4,0),"")</f>
      </c>
      <c r="I6659" s="28">
        <f>IFERROR(VLOOKUP(F6659,CARTON_LOOKUP!$A:$E,5,0),"")</f>
      </c>
      <c r="J6659" s="29">
        <f>IFERROR(VLOOKUP(F6659,CARTON_LOOKUP!$A:$E,2,0),"")</f>
      </c>
      <c r="K6659" s="29">
        <f>IFERROR(J6659*D6659,0)</f>
      </c>
      <c r="L6659" s="29">
        <f>IFERROR(E6659*C6659,0)</f>
      </c>
      <c r="M6659" s="29">
        <f>IFERROR((G6659*H6659*I6659/1000000)*D6659,0)</f>
      </c>
    </row>
    <row r="6660" spans="1:13" x14ac:dyDescent="0.25">
      <c r="A6660" s="16"/>
      <c r="E6660" s="27"/>
      <c r="F6660" t="s">
        <v>26</v>
      </c>
      <c r="G6660" s="28">
        <f>IFERROR(VLOOKUP(F6660,CARTON_LOOKUP!$A:$E,3,0),"")</f>
      </c>
      <c r="H6660" s="28">
        <f>IFERROR(VLOOKUP(F6660,CARTON_LOOKUP!$A:$E,4,0),"")</f>
      </c>
      <c r="I6660" s="28">
        <f>IFERROR(VLOOKUP(F6660,CARTON_LOOKUP!$A:$E,5,0),"")</f>
      </c>
      <c r="J6660" s="29">
        <f>IFERROR(VLOOKUP(F6660,CARTON_LOOKUP!$A:$E,2,0),"")</f>
      </c>
      <c r="K6660" s="29">
        <f>IFERROR(J6660*D6660,0)</f>
      </c>
      <c r="L6660" s="29">
        <f>IFERROR(E6660*C6660,0)</f>
      </c>
      <c r="M6660" s="29">
        <f>IFERROR((G6660*H6660*I6660/1000000)*D6660,0)</f>
      </c>
    </row>
    <row r="6661" spans="1:13" x14ac:dyDescent="0.25">
      <c r="A6661" s="16"/>
      <c r="E6661" s="27"/>
      <c r="F6661" t="s">
        <v>26</v>
      </c>
      <c r="G6661" s="28">
        <f>IFERROR(VLOOKUP(F6661,CARTON_LOOKUP!$A:$E,3,0),"")</f>
      </c>
      <c r="H6661" s="28">
        <f>IFERROR(VLOOKUP(F6661,CARTON_LOOKUP!$A:$E,4,0),"")</f>
      </c>
      <c r="I6661" s="28">
        <f>IFERROR(VLOOKUP(F6661,CARTON_LOOKUP!$A:$E,5,0),"")</f>
      </c>
      <c r="J6661" s="29">
        <f>IFERROR(VLOOKUP(F6661,CARTON_LOOKUP!$A:$E,2,0),"")</f>
      </c>
      <c r="K6661" s="29">
        <f>IFERROR(J6661*D6661,0)</f>
      </c>
      <c r="L6661" s="29">
        <f>IFERROR(E6661*C6661,0)</f>
      </c>
      <c r="M6661" s="29">
        <f>IFERROR((G6661*H6661*I6661/1000000)*D6661,0)</f>
      </c>
    </row>
    <row r="6662" spans="1:13" x14ac:dyDescent="0.25">
      <c r="A6662" s="16"/>
      <c r="E6662" s="27"/>
      <c r="F6662" t="s">
        <v>26</v>
      </c>
      <c r="G6662" s="28">
        <f>IFERROR(VLOOKUP(F6662,CARTON_LOOKUP!$A:$E,3,0),"")</f>
      </c>
      <c r="H6662" s="28">
        <f>IFERROR(VLOOKUP(F6662,CARTON_LOOKUP!$A:$E,4,0),"")</f>
      </c>
      <c r="I6662" s="28">
        <f>IFERROR(VLOOKUP(F6662,CARTON_LOOKUP!$A:$E,5,0),"")</f>
      </c>
      <c r="J6662" s="29">
        <f>IFERROR(VLOOKUP(F6662,CARTON_LOOKUP!$A:$E,2,0),"")</f>
      </c>
      <c r="K6662" s="29">
        <f>IFERROR(J6662*D6662,0)</f>
      </c>
      <c r="L6662" s="29">
        <f>IFERROR(E6662*C6662,0)</f>
      </c>
      <c r="M6662" s="29">
        <f>IFERROR((G6662*H6662*I6662/1000000)*D6662,0)</f>
      </c>
    </row>
    <row r="6663" spans="1:13" x14ac:dyDescent="0.25">
      <c r="A6663" s="16"/>
      <c r="E6663" s="27"/>
      <c r="F6663" t="s">
        <v>26</v>
      </c>
      <c r="G6663" s="28">
        <f>IFERROR(VLOOKUP(F6663,CARTON_LOOKUP!$A:$E,3,0),"")</f>
      </c>
      <c r="H6663" s="28">
        <f>IFERROR(VLOOKUP(F6663,CARTON_LOOKUP!$A:$E,4,0),"")</f>
      </c>
      <c r="I6663" s="28">
        <f>IFERROR(VLOOKUP(F6663,CARTON_LOOKUP!$A:$E,5,0),"")</f>
      </c>
      <c r="J6663" s="29">
        <f>IFERROR(VLOOKUP(F6663,CARTON_LOOKUP!$A:$E,2,0),"")</f>
      </c>
      <c r="K6663" s="29">
        <f>IFERROR(J6663*D6663,0)</f>
      </c>
      <c r="L6663" s="29">
        <f>IFERROR(E6663*C6663,0)</f>
      </c>
      <c r="M6663" s="29">
        <f>IFERROR((G6663*H6663*I6663/1000000)*D6663,0)</f>
      </c>
    </row>
    <row r="6664" spans="1:13" x14ac:dyDescent="0.25">
      <c r="A6664" s="16"/>
      <c r="E6664" s="27"/>
      <c r="F6664" t="s">
        <v>26</v>
      </c>
      <c r="G6664" s="28">
        <f>IFERROR(VLOOKUP(F6664,CARTON_LOOKUP!$A:$E,3,0),"")</f>
      </c>
      <c r="H6664" s="28">
        <f>IFERROR(VLOOKUP(F6664,CARTON_LOOKUP!$A:$E,4,0),"")</f>
      </c>
      <c r="I6664" s="28">
        <f>IFERROR(VLOOKUP(F6664,CARTON_LOOKUP!$A:$E,5,0),"")</f>
      </c>
      <c r="J6664" s="29">
        <f>IFERROR(VLOOKUP(F6664,CARTON_LOOKUP!$A:$E,2,0),"")</f>
      </c>
      <c r="K6664" s="29">
        <f>IFERROR(J6664*D6664,0)</f>
      </c>
      <c r="L6664" s="29">
        <f>IFERROR(E6664*C6664,0)</f>
      </c>
      <c r="M6664" s="29">
        <f>IFERROR((G6664*H6664*I6664/1000000)*D6664,0)</f>
      </c>
    </row>
    <row r="6665" spans="1:13" x14ac:dyDescent="0.25">
      <c r="A6665" s="16"/>
      <c r="E6665" s="27"/>
      <c r="F6665" t="s">
        <v>26</v>
      </c>
      <c r="G6665" s="28">
        <f>IFERROR(VLOOKUP(F6665,CARTON_LOOKUP!$A:$E,3,0),"")</f>
      </c>
      <c r="H6665" s="28">
        <f>IFERROR(VLOOKUP(F6665,CARTON_LOOKUP!$A:$E,4,0),"")</f>
      </c>
      <c r="I6665" s="28">
        <f>IFERROR(VLOOKUP(F6665,CARTON_LOOKUP!$A:$E,5,0),"")</f>
      </c>
      <c r="J6665" s="29">
        <f>IFERROR(VLOOKUP(F6665,CARTON_LOOKUP!$A:$E,2,0),"")</f>
      </c>
      <c r="K6665" s="29">
        <f>IFERROR(J6665*D6665,0)</f>
      </c>
      <c r="L6665" s="29">
        <f>IFERROR(E6665*C6665,0)</f>
      </c>
      <c r="M6665" s="29">
        <f>IFERROR((G6665*H6665*I6665/1000000)*D6665,0)</f>
      </c>
    </row>
    <row r="6666" spans="1:13" x14ac:dyDescent="0.25">
      <c r="A6666" s="16"/>
      <c r="E6666" s="27"/>
      <c r="F6666" t="s">
        <v>26</v>
      </c>
      <c r="G6666" s="28">
        <f>IFERROR(VLOOKUP(F6666,CARTON_LOOKUP!$A:$E,3,0),"")</f>
      </c>
      <c r="H6666" s="28">
        <f>IFERROR(VLOOKUP(F6666,CARTON_LOOKUP!$A:$E,4,0),"")</f>
      </c>
      <c r="I6666" s="28">
        <f>IFERROR(VLOOKUP(F6666,CARTON_LOOKUP!$A:$E,5,0),"")</f>
      </c>
      <c r="J6666" s="29">
        <f>IFERROR(VLOOKUP(F6666,CARTON_LOOKUP!$A:$E,2,0),"")</f>
      </c>
      <c r="K6666" s="29">
        <f>IFERROR(J6666*D6666,0)</f>
      </c>
      <c r="L6666" s="29">
        <f>IFERROR(E6666*C6666,0)</f>
      </c>
      <c r="M6666" s="29">
        <f>IFERROR((G6666*H6666*I6666/1000000)*D6666,0)</f>
      </c>
    </row>
    <row r="6667" spans="1:13" x14ac:dyDescent="0.25">
      <c r="A6667" s="16"/>
      <c r="E6667" s="27"/>
      <c r="F6667" t="s">
        <v>26</v>
      </c>
      <c r="G6667" s="28">
        <f>IFERROR(VLOOKUP(F6667,CARTON_LOOKUP!$A:$E,3,0),"")</f>
      </c>
      <c r="H6667" s="28">
        <f>IFERROR(VLOOKUP(F6667,CARTON_LOOKUP!$A:$E,4,0),"")</f>
      </c>
      <c r="I6667" s="28">
        <f>IFERROR(VLOOKUP(F6667,CARTON_LOOKUP!$A:$E,5,0),"")</f>
      </c>
      <c r="J6667" s="29">
        <f>IFERROR(VLOOKUP(F6667,CARTON_LOOKUP!$A:$E,2,0),"")</f>
      </c>
      <c r="K6667" s="29">
        <f>IFERROR(J6667*D6667,0)</f>
      </c>
      <c r="L6667" s="29">
        <f>IFERROR(E6667*C6667,0)</f>
      </c>
      <c r="M6667" s="29">
        <f>IFERROR((G6667*H6667*I6667/1000000)*D6667,0)</f>
      </c>
    </row>
    <row r="6668" spans="1:13" x14ac:dyDescent="0.25">
      <c r="A6668" s="16"/>
      <c r="E6668" s="27"/>
      <c r="F6668" t="s">
        <v>26</v>
      </c>
      <c r="G6668" s="28">
        <f>IFERROR(VLOOKUP(F6668,CARTON_LOOKUP!$A:$E,3,0),"")</f>
      </c>
      <c r="H6668" s="28">
        <f>IFERROR(VLOOKUP(F6668,CARTON_LOOKUP!$A:$E,4,0),"")</f>
      </c>
      <c r="I6668" s="28">
        <f>IFERROR(VLOOKUP(F6668,CARTON_LOOKUP!$A:$E,5,0),"")</f>
      </c>
      <c r="J6668" s="29">
        <f>IFERROR(VLOOKUP(F6668,CARTON_LOOKUP!$A:$E,2,0),"")</f>
      </c>
      <c r="K6668" s="29">
        <f>IFERROR(J6668*D6668,0)</f>
      </c>
      <c r="L6668" s="29">
        <f>IFERROR(E6668*C6668,0)</f>
      </c>
      <c r="M6668" s="29">
        <f>IFERROR((G6668*H6668*I6668/1000000)*D6668,0)</f>
      </c>
    </row>
    <row r="6669" spans="1:13" x14ac:dyDescent="0.25">
      <c r="A6669" s="16"/>
      <c r="E6669" s="27"/>
      <c r="F6669" t="s">
        <v>26</v>
      </c>
      <c r="G6669" s="28">
        <f>IFERROR(VLOOKUP(F6669,CARTON_LOOKUP!$A:$E,3,0),"")</f>
      </c>
      <c r="H6669" s="28">
        <f>IFERROR(VLOOKUP(F6669,CARTON_LOOKUP!$A:$E,4,0),"")</f>
      </c>
      <c r="I6669" s="28">
        <f>IFERROR(VLOOKUP(F6669,CARTON_LOOKUP!$A:$E,5,0),"")</f>
      </c>
      <c r="J6669" s="29">
        <f>IFERROR(VLOOKUP(F6669,CARTON_LOOKUP!$A:$E,2,0),"")</f>
      </c>
      <c r="K6669" s="29">
        <f>IFERROR(J6669*D6669,0)</f>
      </c>
      <c r="L6669" s="29">
        <f>IFERROR(E6669*C6669,0)</f>
      </c>
      <c r="M6669" s="29">
        <f>IFERROR((G6669*H6669*I6669/1000000)*D6669,0)</f>
      </c>
    </row>
    <row r="6670" spans="1:13" x14ac:dyDescent="0.25">
      <c r="A6670" s="16"/>
      <c r="E6670" s="27"/>
      <c r="F6670" t="s">
        <v>26</v>
      </c>
      <c r="G6670" s="28">
        <f>IFERROR(VLOOKUP(F6670,CARTON_LOOKUP!$A:$E,3,0),"")</f>
      </c>
      <c r="H6670" s="28">
        <f>IFERROR(VLOOKUP(F6670,CARTON_LOOKUP!$A:$E,4,0),"")</f>
      </c>
      <c r="I6670" s="28">
        <f>IFERROR(VLOOKUP(F6670,CARTON_LOOKUP!$A:$E,5,0),"")</f>
      </c>
      <c r="J6670" s="29">
        <f>IFERROR(VLOOKUP(F6670,CARTON_LOOKUP!$A:$E,2,0),"")</f>
      </c>
      <c r="K6670" s="29">
        <f>IFERROR(J6670*D6670,0)</f>
      </c>
      <c r="L6670" s="29">
        <f>IFERROR(E6670*C6670,0)</f>
      </c>
      <c r="M6670" s="29">
        <f>IFERROR((G6670*H6670*I6670/1000000)*D6670,0)</f>
      </c>
    </row>
    <row r="6671" spans="1:13" x14ac:dyDescent="0.25">
      <c r="A6671" s="16"/>
      <c r="E6671" s="27"/>
      <c r="F6671" t="s">
        <v>26</v>
      </c>
      <c r="G6671" s="28">
        <f>IFERROR(VLOOKUP(F6671,CARTON_LOOKUP!$A:$E,3,0),"")</f>
      </c>
      <c r="H6671" s="28">
        <f>IFERROR(VLOOKUP(F6671,CARTON_LOOKUP!$A:$E,4,0),"")</f>
      </c>
      <c r="I6671" s="28">
        <f>IFERROR(VLOOKUP(F6671,CARTON_LOOKUP!$A:$E,5,0),"")</f>
      </c>
      <c r="J6671" s="29">
        <f>IFERROR(VLOOKUP(F6671,CARTON_LOOKUP!$A:$E,2,0),"")</f>
      </c>
      <c r="K6671" s="29">
        <f>IFERROR(J6671*D6671,0)</f>
      </c>
      <c r="L6671" s="29">
        <f>IFERROR(E6671*C6671,0)</f>
      </c>
      <c r="M6671" s="29">
        <f>IFERROR((G6671*H6671*I6671/1000000)*D6671,0)</f>
      </c>
    </row>
    <row r="6672" spans="1:13" x14ac:dyDescent="0.25">
      <c r="A6672" s="16"/>
      <c r="E6672" s="27"/>
      <c r="F6672" t="s">
        <v>26</v>
      </c>
      <c r="G6672" s="28">
        <f>IFERROR(VLOOKUP(F6672,CARTON_LOOKUP!$A:$E,3,0),"")</f>
      </c>
      <c r="H6672" s="28">
        <f>IFERROR(VLOOKUP(F6672,CARTON_LOOKUP!$A:$E,4,0),"")</f>
      </c>
      <c r="I6672" s="28">
        <f>IFERROR(VLOOKUP(F6672,CARTON_LOOKUP!$A:$E,5,0),"")</f>
      </c>
      <c r="J6672" s="29">
        <f>IFERROR(VLOOKUP(F6672,CARTON_LOOKUP!$A:$E,2,0),"")</f>
      </c>
      <c r="K6672" s="29">
        <f>IFERROR(J6672*D6672,0)</f>
      </c>
      <c r="L6672" s="29">
        <f>IFERROR(E6672*C6672,0)</f>
      </c>
      <c r="M6672" s="29">
        <f>IFERROR((G6672*H6672*I6672/1000000)*D6672,0)</f>
      </c>
    </row>
    <row r="6673" spans="1:13" x14ac:dyDescent="0.25">
      <c r="A6673" s="16"/>
      <c r="E6673" s="27"/>
      <c r="F6673" t="s">
        <v>26</v>
      </c>
      <c r="G6673" s="28">
        <f>IFERROR(VLOOKUP(F6673,CARTON_LOOKUP!$A:$E,3,0),"")</f>
      </c>
      <c r="H6673" s="28">
        <f>IFERROR(VLOOKUP(F6673,CARTON_LOOKUP!$A:$E,4,0),"")</f>
      </c>
      <c r="I6673" s="28">
        <f>IFERROR(VLOOKUP(F6673,CARTON_LOOKUP!$A:$E,5,0),"")</f>
      </c>
      <c r="J6673" s="29">
        <f>IFERROR(VLOOKUP(F6673,CARTON_LOOKUP!$A:$E,2,0),"")</f>
      </c>
      <c r="K6673" s="29">
        <f>IFERROR(J6673*D6673,0)</f>
      </c>
      <c r="L6673" s="29">
        <f>IFERROR(E6673*C6673,0)</f>
      </c>
      <c r="M6673" s="29">
        <f>IFERROR((G6673*H6673*I6673/1000000)*D6673,0)</f>
      </c>
    </row>
    <row r="6674" spans="1:13" x14ac:dyDescent="0.25">
      <c r="A6674" s="16"/>
      <c r="E6674" s="27"/>
      <c r="F6674" t="s">
        <v>26</v>
      </c>
      <c r="G6674" s="28">
        <f>IFERROR(VLOOKUP(F6674,CARTON_LOOKUP!$A:$E,3,0),"")</f>
      </c>
      <c r="H6674" s="28">
        <f>IFERROR(VLOOKUP(F6674,CARTON_LOOKUP!$A:$E,4,0),"")</f>
      </c>
      <c r="I6674" s="28">
        <f>IFERROR(VLOOKUP(F6674,CARTON_LOOKUP!$A:$E,5,0),"")</f>
      </c>
      <c r="J6674" s="29">
        <f>IFERROR(VLOOKUP(F6674,CARTON_LOOKUP!$A:$E,2,0),"")</f>
      </c>
      <c r="K6674" s="29">
        <f>IFERROR(J6674*D6674,0)</f>
      </c>
      <c r="L6674" s="29">
        <f>IFERROR(E6674*C6674,0)</f>
      </c>
      <c r="M6674" s="29">
        <f>IFERROR((G6674*H6674*I6674/1000000)*D6674,0)</f>
      </c>
    </row>
    <row r="6675" spans="1:13" x14ac:dyDescent="0.25">
      <c r="A6675" s="16"/>
      <c r="E6675" s="27"/>
      <c r="F6675" t="s">
        <v>26</v>
      </c>
      <c r="G6675" s="28">
        <f>IFERROR(VLOOKUP(F6675,CARTON_LOOKUP!$A:$E,3,0),"")</f>
      </c>
      <c r="H6675" s="28">
        <f>IFERROR(VLOOKUP(F6675,CARTON_LOOKUP!$A:$E,4,0),"")</f>
      </c>
      <c r="I6675" s="28">
        <f>IFERROR(VLOOKUP(F6675,CARTON_LOOKUP!$A:$E,5,0),"")</f>
      </c>
      <c r="J6675" s="29">
        <f>IFERROR(VLOOKUP(F6675,CARTON_LOOKUP!$A:$E,2,0),"")</f>
      </c>
      <c r="K6675" s="29">
        <f>IFERROR(J6675*D6675,0)</f>
      </c>
      <c r="L6675" s="29">
        <f>IFERROR(E6675*C6675,0)</f>
      </c>
      <c r="M6675" s="29">
        <f>IFERROR((G6675*H6675*I6675/1000000)*D6675,0)</f>
      </c>
    </row>
    <row r="6676" spans="1:13" x14ac:dyDescent="0.25">
      <c r="A6676" s="16"/>
      <c r="E6676" s="27"/>
      <c r="F6676" t="s">
        <v>26</v>
      </c>
      <c r="G6676" s="28">
        <f>IFERROR(VLOOKUP(F6676,CARTON_LOOKUP!$A:$E,3,0),"")</f>
      </c>
      <c r="H6676" s="28">
        <f>IFERROR(VLOOKUP(F6676,CARTON_LOOKUP!$A:$E,4,0),"")</f>
      </c>
      <c r="I6676" s="28">
        <f>IFERROR(VLOOKUP(F6676,CARTON_LOOKUP!$A:$E,5,0),"")</f>
      </c>
      <c r="J6676" s="29">
        <f>IFERROR(VLOOKUP(F6676,CARTON_LOOKUP!$A:$E,2,0),"")</f>
      </c>
      <c r="K6676" s="29">
        <f>IFERROR(J6676*D6676,0)</f>
      </c>
      <c r="L6676" s="29">
        <f>IFERROR(E6676*C6676,0)</f>
      </c>
      <c r="M6676" s="29">
        <f>IFERROR((G6676*H6676*I6676/1000000)*D6676,0)</f>
      </c>
    </row>
    <row r="6677" spans="1:13" x14ac:dyDescent="0.25">
      <c r="A6677" s="16"/>
      <c r="E6677" s="27"/>
      <c r="F6677" t="s">
        <v>26</v>
      </c>
      <c r="G6677" s="28">
        <f>IFERROR(VLOOKUP(F6677,CARTON_LOOKUP!$A:$E,3,0),"")</f>
      </c>
      <c r="H6677" s="28">
        <f>IFERROR(VLOOKUP(F6677,CARTON_LOOKUP!$A:$E,4,0),"")</f>
      </c>
      <c r="I6677" s="28">
        <f>IFERROR(VLOOKUP(F6677,CARTON_LOOKUP!$A:$E,5,0),"")</f>
      </c>
      <c r="J6677" s="29">
        <f>IFERROR(VLOOKUP(F6677,CARTON_LOOKUP!$A:$E,2,0),"")</f>
      </c>
      <c r="K6677" s="29">
        <f>IFERROR(J6677*D6677,0)</f>
      </c>
      <c r="L6677" s="29">
        <f>IFERROR(E6677*C6677,0)</f>
      </c>
      <c r="M6677" s="29">
        <f>IFERROR((G6677*H6677*I6677/1000000)*D6677,0)</f>
      </c>
    </row>
    <row r="6678" spans="1:13" x14ac:dyDescent="0.25">
      <c r="A6678" s="16"/>
      <c r="E6678" s="27"/>
      <c r="F6678" t="s">
        <v>26</v>
      </c>
      <c r="G6678" s="28">
        <f>IFERROR(VLOOKUP(F6678,CARTON_LOOKUP!$A:$E,3,0),"")</f>
      </c>
      <c r="H6678" s="28">
        <f>IFERROR(VLOOKUP(F6678,CARTON_LOOKUP!$A:$E,4,0),"")</f>
      </c>
      <c r="I6678" s="28">
        <f>IFERROR(VLOOKUP(F6678,CARTON_LOOKUP!$A:$E,5,0),"")</f>
      </c>
      <c r="J6678" s="29">
        <f>IFERROR(VLOOKUP(F6678,CARTON_LOOKUP!$A:$E,2,0),"")</f>
      </c>
      <c r="K6678" s="29">
        <f>IFERROR(J6678*D6678,0)</f>
      </c>
      <c r="L6678" s="29">
        <f>IFERROR(E6678*C6678,0)</f>
      </c>
      <c r="M6678" s="29">
        <f>IFERROR((G6678*H6678*I6678/1000000)*D6678,0)</f>
      </c>
    </row>
    <row r="6679" spans="1:13" x14ac:dyDescent="0.25">
      <c r="A6679" s="16"/>
      <c r="E6679" s="27"/>
      <c r="F6679" t="s">
        <v>26</v>
      </c>
      <c r="G6679" s="28">
        <f>IFERROR(VLOOKUP(F6679,CARTON_LOOKUP!$A:$E,3,0),"")</f>
      </c>
      <c r="H6679" s="28">
        <f>IFERROR(VLOOKUP(F6679,CARTON_LOOKUP!$A:$E,4,0),"")</f>
      </c>
      <c r="I6679" s="28">
        <f>IFERROR(VLOOKUP(F6679,CARTON_LOOKUP!$A:$E,5,0),"")</f>
      </c>
      <c r="J6679" s="29">
        <f>IFERROR(VLOOKUP(F6679,CARTON_LOOKUP!$A:$E,2,0),"")</f>
      </c>
      <c r="K6679" s="29">
        <f>IFERROR(J6679*D6679,0)</f>
      </c>
      <c r="L6679" s="29">
        <f>IFERROR(E6679*C6679,0)</f>
      </c>
      <c r="M6679" s="29">
        <f>IFERROR((G6679*H6679*I6679/1000000)*D6679,0)</f>
      </c>
    </row>
    <row r="6680" spans="1:13" x14ac:dyDescent="0.25">
      <c r="A6680" s="16"/>
      <c r="E6680" s="27"/>
      <c r="F6680" t="s">
        <v>26</v>
      </c>
      <c r="G6680" s="28">
        <f>IFERROR(VLOOKUP(F6680,CARTON_LOOKUP!$A:$E,3,0),"")</f>
      </c>
      <c r="H6680" s="28">
        <f>IFERROR(VLOOKUP(F6680,CARTON_LOOKUP!$A:$E,4,0),"")</f>
      </c>
      <c r="I6680" s="28">
        <f>IFERROR(VLOOKUP(F6680,CARTON_LOOKUP!$A:$E,5,0),"")</f>
      </c>
      <c r="J6680" s="29">
        <f>IFERROR(VLOOKUP(F6680,CARTON_LOOKUP!$A:$E,2,0),"")</f>
      </c>
      <c r="K6680" s="29">
        <f>IFERROR(J6680*D6680,0)</f>
      </c>
      <c r="L6680" s="29">
        <f>IFERROR(E6680*C6680,0)</f>
      </c>
      <c r="M6680" s="29">
        <f>IFERROR((G6680*H6680*I6680/1000000)*D6680,0)</f>
      </c>
    </row>
    <row r="6681" spans="1:13" x14ac:dyDescent="0.25">
      <c r="A6681" s="16"/>
      <c r="E6681" s="27"/>
      <c r="F6681" t="s">
        <v>26</v>
      </c>
      <c r="G6681" s="28">
        <f>IFERROR(VLOOKUP(F6681,CARTON_LOOKUP!$A:$E,3,0),"")</f>
      </c>
      <c r="H6681" s="28">
        <f>IFERROR(VLOOKUP(F6681,CARTON_LOOKUP!$A:$E,4,0),"")</f>
      </c>
      <c r="I6681" s="28">
        <f>IFERROR(VLOOKUP(F6681,CARTON_LOOKUP!$A:$E,5,0),"")</f>
      </c>
      <c r="J6681" s="29">
        <f>IFERROR(VLOOKUP(F6681,CARTON_LOOKUP!$A:$E,2,0),"")</f>
      </c>
      <c r="K6681" s="29">
        <f>IFERROR(J6681*D6681,0)</f>
      </c>
      <c r="L6681" s="29">
        <f>IFERROR(E6681*C6681,0)</f>
      </c>
      <c r="M6681" s="29">
        <f>IFERROR((G6681*H6681*I6681/1000000)*D6681,0)</f>
      </c>
    </row>
    <row r="6682" spans="1:13" x14ac:dyDescent="0.25">
      <c r="A6682" s="16"/>
      <c r="E6682" s="27"/>
      <c r="F6682" t="s">
        <v>26</v>
      </c>
      <c r="G6682" s="28">
        <f>IFERROR(VLOOKUP(F6682,CARTON_LOOKUP!$A:$E,3,0),"")</f>
      </c>
      <c r="H6682" s="28">
        <f>IFERROR(VLOOKUP(F6682,CARTON_LOOKUP!$A:$E,4,0),"")</f>
      </c>
      <c r="I6682" s="28">
        <f>IFERROR(VLOOKUP(F6682,CARTON_LOOKUP!$A:$E,5,0),"")</f>
      </c>
      <c r="J6682" s="29">
        <f>IFERROR(VLOOKUP(F6682,CARTON_LOOKUP!$A:$E,2,0),"")</f>
      </c>
      <c r="K6682" s="29">
        <f>IFERROR(J6682*D6682,0)</f>
      </c>
      <c r="L6682" s="29">
        <f>IFERROR(E6682*C6682,0)</f>
      </c>
      <c r="M6682" s="29">
        <f>IFERROR((G6682*H6682*I6682/1000000)*D6682,0)</f>
      </c>
    </row>
    <row r="6683" spans="1:13" x14ac:dyDescent="0.25">
      <c r="A6683" s="16"/>
      <c r="E6683" s="27"/>
      <c r="F6683" t="s">
        <v>26</v>
      </c>
      <c r="G6683" s="28">
        <f>IFERROR(VLOOKUP(F6683,CARTON_LOOKUP!$A:$E,3,0),"")</f>
      </c>
      <c r="H6683" s="28">
        <f>IFERROR(VLOOKUP(F6683,CARTON_LOOKUP!$A:$E,4,0),"")</f>
      </c>
      <c r="I6683" s="28">
        <f>IFERROR(VLOOKUP(F6683,CARTON_LOOKUP!$A:$E,5,0),"")</f>
      </c>
      <c r="J6683" s="29">
        <f>IFERROR(VLOOKUP(F6683,CARTON_LOOKUP!$A:$E,2,0),"")</f>
      </c>
      <c r="K6683" s="29">
        <f>IFERROR(J6683*D6683,0)</f>
      </c>
      <c r="L6683" s="29">
        <f>IFERROR(E6683*C6683,0)</f>
      </c>
      <c r="M6683" s="29">
        <f>IFERROR((G6683*H6683*I6683/1000000)*D6683,0)</f>
      </c>
    </row>
    <row r="6684" spans="1:13" x14ac:dyDescent="0.25">
      <c r="A6684" s="16"/>
      <c r="E6684" s="27"/>
      <c r="F6684" t="s">
        <v>26</v>
      </c>
      <c r="G6684" s="28">
        <f>IFERROR(VLOOKUP(F6684,CARTON_LOOKUP!$A:$E,3,0),"")</f>
      </c>
      <c r="H6684" s="28">
        <f>IFERROR(VLOOKUP(F6684,CARTON_LOOKUP!$A:$E,4,0),"")</f>
      </c>
      <c r="I6684" s="28">
        <f>IFERROR(VLOOKUP(F6684,CARTON_LOOKUP!$A:$E,5,0),"")</f>
      </c>
      <c r="J6684" s="29">
        <f>IFERROR(VLOOKUP(F6684,CARTON_LOOKUP!$A:$E,2,0),"")</f>
      </c>
      <c r="K6684" s="29">
        <f>IFERROR(J6684*D6684,0)</f>
      </c>
      <c r="L6684" s="29">
        <f>IFERROR(E6684*C6684,0)</f>
      </c>
      <c r="M6684" s="29">
        <f>IFERROR((G6684*H6684*I6684/1000000)*D6684,0)</f>
      </c>
    </row>
    <row r="6685" spans="1:13" x14ac:dyDescent="0.25">
      <c r="A6685" s="16"/>
      <c r="E6685" s="27"/>
      <c r="F6685" t="s">
        <v>26</v>
      </c>
      <c r="G6685" s="28">
        <f>IFERROR(VLOOKUP(F6685,CARTON_LOOKUP!$A:$E,3,0),"")</f>
      </c>
      <c r="H6685" s="28">
        <f>IFERROR(VLOOKUP(F6685,CARTON_LOOKUP!$A:$E,4,0),"")</f>
      </c>
      <c r="I6685" s="28">
        <f>IFERROR(VLOOKUP(F6685,CARTON_LOOKUP!$A:$E,5,0),"")</f>
      </c>
      <c r="J6685" s="29">
        <f>IFERROR(VLOOKUP(F6685,CARTON_LOOKUP!$A:$E,2,0),"")</f>
      </c>
      <c r="K6685" s="29">
        <f>IFERROR(J6685*D6685,0)</f>
      </c>
      <c r="L6685" s="29">
        <f>IFERROR(E6685*C6685,0)</f>
      </c>
      <c r="M6685" s="29">
        <f>IFERROR((G6685*H6685*I6685/1000000)*D6685,0)</f>
      </c>
    </row>
    <row r="6686" spans="1:13" x14ac:dyDescent="0.25">
      <c r="A6686" s="16"/>
      <c r="E6686" s="27"/>
      <c r="F6686" t="s">
        <v>26</v>
      </c>
      <c r="G6686" s="28">
        <f>IFERROR(VLOOKUP(F6686,CARTON_LOOKUP!$A:$E,3,0),"")</f>
      </c>
      <c r="H6686" s="28">
        <f>IFERROR(VLOOKUP(F6686,CARTON_LOOKUP!$A:$E,4,0),"")</f>
      </c>
      <c r="I6686" s="28">
        <f>IFERROR(VLOOKUP(F6686,CARTON_LOOKUP!$A:$E,5,0),"")</f>
      </c>
      <c r="J6686" s="29">
        <f>IFERROR(VLOOKUP(F6686,CARTON_LOOKUP!$A:$E,2,0),"")</f>
      </c>
      <c r="K6686" s="29">
        <f>IFERROR(J6686*D6686,0)</f>
      </c>
      <c r="L6686" s="29">
        <f>IFERROR(E6686*C6686,0)</f>
      </c>
      <c r="M6686" s="29">
        <f>IFERROR((G6686*H6686*I6686/1000000)*D6686,0)</f>
      </c>
    </row>
    <row r="6687" spans="1:13" x14ac:dyDescent="0.25">
      <c r="A6687" s="16"/>
      <c r="E6687" s="27"/>
      <c r="F6687" t="s">
        <v>26</v>
      </c>
      <c r="G6687" s="28">
        <f>IFERROR(VLOOKUP(F6687,CARTON_LOOKUP!$A:$E,3,0),"")</f>
      </c>
      <c r="H6687" s="28">
        <f>IFERROR(VLOOKUP(F6687,CARTON_LOOKUP!$A:$E,4,0),"")</f>
      </c>
      <c r="I6687" s="28">
        <f>IFERROR(VLOOKUP(F6687,CARTON_LOOKUP!$A:$E,5,0),"")</f>
      </c>
      <c r="J6687" s="29">
        <f>IFERROR(VLOOKUP(F6687,CARTON_LOOKUP!$A:$E,2,0),"")</f>
      </c>
      <c r="K6687" s="29">
        <f>IFERROR(J6687*D6687,0)</f>
      </c>
      <c r="L6687" s="29">
        <f>IFERROR(E6687*C6687,0)</f>
      </c>
      <c r="M6687" s="29">
        <f>IFERROR((G6687*H6687*I6687/1000000)*D6687,0)</f>
      </c>
    </row>
    <row r="6688" spans="1:13" x14ac:dyDescent="0.25">
      <c r="A6688" s="16"/>
      <c r="E6688" s="27"/>
      <c r="F6688" t="s">
        <v>26</v>
      </c>
      <c r="G6688" s="28">
        <f>IFERROR(VLOOKUP(F6688,CARTON_LOOKUP!$A:$E,3,0),"")</f>
      </c>
      <c r="H6688" s="28">
        <f>IFERROR(VLOOKUP(F6688,CARTON_LOOKUP!$A:$E,4,0),"")</f>
      </c>
      <c r="I6688" s="28">
        <f>IFERROR(VLOOKUP(F6688,CARTON_LOOKUP!$A:$E,5,0),"")</f>
      </c>
      <c r="J6688" s="29">
        <f>IFERROR(VLOOKUP(F6688,CARTON_LOOKUP!$A:$E,2,0),"")</f>
      </c>
      <c r="K6688" s="29">
        <f>IFERROR(J6688*D6688,0)</f>
      </c>
      <c r="L6688" s="29">
        <f>IFERROR(E6688*C6688,0)</f>
      </c>
      <c r="M6688" s="29">
        <f>IFERROR((G6688*H6688*I6688/1000000)*D6688,0)</f>
      </c>
    </row>
    <row r="6689" spans="1:13" x14ac:dyDescent="0.25">
      <c r="A6689" s="16"/>
      <c r="E6689" s="27"/>
      <c r="F6689" t="s">
        <v>26</v>
      </c>
      <c r="G6689" s="28">
        <f>IFERROR(VLOOKUP(F6689,CARTON_LOOKUP!$A:$E,3,0),"")</f>
      </c>
      <c r="H6689" s="28">
        <f>IFERROR(VLOOKUP(F6689,CARTON_LOOKUP!$A:$E,4,0),"")</f>
      </c>
      <c r="I6689" s="28">
        <f>IFERROR(VLOOKUP(F6689,CARTON_LOOKUP!$A:$E,5,0),"")</f>
      </c>
      <c r="J6689" s="29">
        <f>IFERROR(VLOOKUP(F6689,CARTON_LOOKUP!$A:$E,2,0),"")</f>
      </c>
      <c r="K6689" s="29">
        <f>IFERROR(J6689*D6689,0)</f>
      </c>
      <c r="L6689" s="29">
        <f>IFERROR(E6689*C6689,0)</f>
      </c>
      <c r="M6689" s="29">
        <f>IFERROR((G6689*H6689*I6689/1000000)*D6689,0)</f>
      </c>
    </row>
    <row r="6690" spans="1:13" x14ac:dyDescent="0.25">
      <c r="A6690" s="16"/>
      <c r="E6690" s="27"/>
      <c r="F6690" t="s">
        <v>26</v>
      </c>
      <c r="G6690" s="28">
        <f>IFERROR(VLOOKUP(F6690,CARTON_LOOKUP!$A:$E,3,0),"")</f>
      </c>
      <c r="H6690" s="28">
        <f>IFERROR(VLOOKUP(F6690,CARTON_LOOKUP!$A:$E,4,0),"")</f>
      </c>
      <c r="I6690" s="28">
        <f>IFERROR(VLOOKUP(F6690,CARTON_LOOKUP!$A:$E,5,0),"")</f>
      </c>
      <c r="J6690" s="29">
        <f>IFERROR(VLOOKUP(F6690,CARTON_LOOKUP!$A:$E,2,0),"")</f>
      </c>
      <c r="K6690" s="29">
        <f>IFERROR(J6690*D6690,0)</f>
      </c>
      <c r="L6690" s="29">
        <f>IFERROR(E6690*C6690,0)</f>
      </c>
      <c r="M6690" s="29">
        <f>IFERROR((G6690*H6690*I6690/1000000)*D6690,0)</f>
      </c>
    </row>
    <row r="6691" spans="1:13" x14ac:dyDescent="0.25">
      <c r="A6691" s="16"/>
      <c r="E6691" s="27"/>
      <c r="F6691" t="s">
        <v>26</v>
      </c>
      <c r="G6691" s="28">
        <f>IFERROR(VLOOKUP(F6691,CARTON_LOOKUP!$A:$E,3,0),"")</f>
      </c>
      <c r="H6691" s="28">
        <f>IFERROR(VLOOKUP(F6691,CARTON_LOOKUP!$A:$E,4,0),"")</f>
      </c>
      <c r="I6691" s="28">
        <f>IFERROR(VLOOKUP(F6691,CARTON_LOOKUP!$A:$E,5,0),"")</f>
      </c>
      <c r="J6691" s="29">
        <f>IFERROR(VLOOKUP(F6691,CARTON_LOOKUP!$A:$E,2,0),"")</f>
      </c>
      <c r="K6691" s="29">
        <f>IFERROR(J6691*D6691,0)</f>
      </c>
      <c r="L6691" s="29">
        <f>IFERROR(E6691*C6691,0)</f>
      </c>
      <c r="M6691" s="29">
        <f>IFERROR((G6691*H6691*I6691/1000000)*D6691,0)</f>
      </c>
    </row>
    <row r="6692" spans="1:13" x14ac:dyDescent="0.25">
      <c r="A6692" s="16"/>
      <c r="E6692" s="27"/>
      <c r="F6692" t="s">
        <v>26</v>
      </c>
      <c r="G6692" s="28">
        <f>IFERROR(VLOOKUP(F6692,CARTON_LOOKUP!$A:$E,3,0),"")</f>
      </c>
      <c r="H6692" s="28">
        <f>IFERROR(VLOOKUP(F6692,CARTON_LOOKUP!$A:$E,4,0),"")</f>
      </c>
      <c r="I6692" s="28">
        <f>IFERROR(VLOOKUP(F6692,CARTON_LOOKUP!$A:$E,5,0),"")</f>
      </c>
      <c r="J6692" s="29">
        <f>IFERROR(VLOOKUP(F6692,CARTON_LOOKUP!$A:$E,2,0),"")</f>
      </c>
      <c r="K6692" s="29">
        <f>IFERROR(J6692*D6692,0)</f>
      </c>
      <c r="L6692" s="29">
        <f>IFERROR(E6692*C6692,0)</f>
      </c>
      <c r="M6692" s="29">
        <f>IFERROR((G6692*H6692*I6692/1000000)*D6692,0)</f>
      </c>
    </row>
    <row r="6693" spans="1:13" x14ac:dyDescent="0.25">
      <c r="A6693" s="16"/>
      <c r="E6693" s="27"/>
      <c r="F6693" t="s">
        <v>26</v>
      </c>
      <c r="G6693" s="28">
        <f>IFERROR(VLOOKUP(F6693,CARTON_LOOKUP!$A:$E,3,0),"")</f>
      </c>
      <c r="H6693" s="28">
        <f>IFERROR(VLOOKUP(F6693,CARTON_LOOKUP!$A:$E,4,0),"")</f>
      </c>
      <c r="I6693" s="28">
        <f>IFERROR(VLOOKUP(F6693,CARTON_LOOKUP!$A:$E,5,0),"")</f>
      </c>
      <c r="J6693" s="29">
        <f>IFERROR(VLOOKUP(F6693,CARTON_LOOKUP!$A:$E,2,0),"")</f>
      </c>
      <c r="K6693" s="29">
        <f>IFERROR(J6693*D6693,0)</f>
      </c>
      <c r="L6693" s="29">
        <f>IFERROR(E6693*C6693,0)</f>
      </c>
      <c r="M6693" s="29">
        <f>IFERROR((G6693*H6693*I6693/1000000)*D6693,0)</f>
      </c>
    </row>
    <row r="6694" spans="1:13" x14ac:dyDescent="0.25">
      <c r="A6694" s="16"/>
      <c r="E6694" s="27"/>
      <c r="F6694" t="s">
        <v>26</v>
      </c>
      <c r="G6694" s="28">
        <f>IFERROR(VLOOKUP(F6694,CARTON_LOOKUP!$A:$E,3,0),"")</f>
      </c>
      <c r="H6694" s="28">
        <f>IFERROR(VLOOKUP(F6694,CARTON_LOOKUP!$A:$E,4,0),"")</f>
      </c>
      <c r="I6694" s="28">
        <f>IFERROR(VLOOKUP(F6694,CARTON_LOOKUP!$A:$E,5,0),"")</f>
      </c>
      <c r="J6694" s="29">
        <f>IFERROR(VLOOKUP(F6694,CARTON_LOOKUP!$A:$E,2,0),"")</f>
      </c>
      <c r="K6694" s="29">
        <f>IFERROR(J6694*D6694,0)</f>
      </c>
      <c r="L6694" s="29">
        <f>IFERROR(E6694*C6694,0)</f>
      </c>
      <c r="M6694" s="29">
        <f>IFERROR((G6694*H6694*I6694/1000000)*D6694,0)</f>
      </c>
    </row>
    <row r="6695" spans="1:13" x14ac:dyDescent="0.25">
      <c r="A6695" s="16"/>
      <c r="E6695" s="27"/>
      <c r="F6695" t="s">
        <v>26</v>
      </c>
      <c r="G6695" s="28">
        <f>IFERROR(VLOOKUP(F6695,CARTON_LOOKUP!$A:$E,3,0),"")</f>
      </c>
      <c r="H6695" s="28">
        <f>IFERROR(VLOOKUP(F6695,CARTON_LOOKUP!$A:$E,4,0),"")</f>
      </c>
      <c r="I6695" s="28">
        <f>IFERROR(VLOOKUP(F6695,CARTON_LOOKUP!$A:$E,5,0),"")</f>
      </c>
      <c r="J6695" s="29">
        <f>IFERROR(VLOOKUP(F6695,CARTON_LOOKUP!$A:$E,2,0),"")</f>
      </c>
      <c r="K6695" s="29">
        <f>IFERROR(J6695*D6695,0)</f>
      </c>
      <c r="L6695" s="29">
        <f>IFERROR(E6695*C6695,0)</f>
      </c>
      <c r="M6695" s="29">
        <f>IFERROR((G6695*H6695*I6695/1000000)*D6695,0)</f>
      </c>
    </row>
    <row r="6696" spans="1:13" x14ac:dyDescent="0.25">
      <c r="A6696" s="16"/>
      <c r="E6696" s="27"/>
      <c r="F6696" t="s">
        <v>26</v>
      </c>
      <c r="G6696" s="28">
        <f>IFERROR(VLOOKUP(F6696,CARTON_LOOKUP!$A:$E,3,0),"")</f>
      </c>
      <c r="H6696" s="28">
        <f>IFERROR(VLOOKUP(F6696,CARTON_LOOKUP!$A:$E,4,0),"")</f>
      </c>
      <c r="I6696" s="28">
        <f>IFERROR(VLOOKUP(F6696,CARTON_LOOKUP!$A:$E,5,0),"")</f>
      </c>
      <c r="J6696" s="29">
        <f>IFERROR(VLOOKUP(F6696,CARTON_LOOKUP!$A:$E,2,0),"")</f>
      </c>
      <c r="K6696" s="29">
        <f>IFERROR(J6696*D6696,0)</f>
      </c>
      <c r="L6696" s="29">
        <f>IFERROR(E6696*C6696,0)</f>
      </c>
      <c r="M6696" s="29">
        <f>IFERROR((G6696*H6696*I6696/1000000)*D6696,0)</f>
      </c>
    </row>
    <row r="6697" spans="1:13" x14ac:dyDescent="0.25">
      <c r="A6697" s="16"/>
      <c r="E6697" s="27"/>
      <c r="F6697" t="s">
        <v>26</v>
      </c>
      <c r="G6697" s="28">
        <f>IFERROR(VLOOKUP(F6697,CARTON_LOOKUP!$A:$E,3,0),"")</f>
      </c>
      <c r="H6697" s="28">
        <f>IFERROR(VLOOKUP(F6697,CARTON_LOOKUP!$A:$E,4,0),"")</f>
      </c>
      <c r="I6697" s="28">
        <f>IFERROR(VLOOKUP(F6697,CARTON_LOOKUP!$A:$E,5,0),"")</f>
      </c>
      <c r="J6697" s="29">
        <f>IFERROR(VLOOKUP(F6697,CARTON_LOOKUP!$A:$E,2,0),"")</f>
      </c>
      <c r="K6697" s="29">
        <f>IFERROR(J6697*D6697,0)</f>
      </c>
      <c r="L6697" s="29">
        <f>IFERROR(E6697*C6697,0)</f>
      </c>
      <c r="M6697" s="29">
        <f>IFERROR((G6697*H6697*I6697/1000000)*D6697,0)</f>
      </c>
    </row>
    <row r="6698" spans="1:13" x14ac:dyDescent="0.25">
      <c r="A6698" s="16"/>
      <c r="E6698" s="27"/>
      <c r="F6698" t="s">
        <v>26</v>
      </c>
      <c r="G6698" s="28">
        <f>IFERROR(VLOOKUP(F6698,CARTON_LOOKUP!$A:$E,3,0),"")</f>
      </c>
      <c r="H6698" s="28">
        <f>IFERROR(VLOOKUP(F6698,CARTON_LOOKUP!$A:$E,4,0),"")</f>
      </c>
      <c r="I6698" s="28">
        <f>IFERROR(VLOOKUP(F6698,CARTON_LOOKUP!$A:$E,5,0),"")</f>
      </c>
      <c r="J6698" s="29">
        <f>IFERROR(VLOOKUP(F6698,CARTON_LOOKUP!$A:$E,2,0),"")</f>
      </c>
      <c r="K6698" s="29">
        <f>IFERROR(J6698*D6698,0)</f>
      </c>
      <c r="L6698" s="29">
        <f>IFERROR(E6698*C6698,0)</f>
      </c>
      <c r="M6698" s="29">
        <f>IFERROR((G6698*H6698*I6698/1000000)*D6698,0)</f>
      </c>
    </row>
    <row r="6699" spans="1:13" x14ac:dyDescent="0.25">
      <c r="A6699" s="16"/>
      <c r="E6699" s="27"/>
      <c r="F6699" t="s">
        <v>26</v>
      </c>
      <c r="G6699" s="28">
        <f>IFERROR(VLOOKUP(F6699,CARTON_LOOKUP!$A:$E,3,0),"")</f>
      </c>
      <c r="H6699" s="28">
        <f>IFERROR(VLOOKUP(F6699,CARTON_LOOKUP!$A:$E,4,0),"")</f>
      </c>
      <c r="I6699" s="28">
        <f>IFERROR(VLOOKUP(F6699,CARTON_LOOKUP!$A:$E,5,0),"")</f>
      </c>
      <c r="J6699" s="29">
        <f>IFERROR(VLOOKUP(F6699,CARTON_LOOKUP!$A:$E,2,0),"")</f>
      </c>
      <c r="K6699" s="29">
        <f>IFERROR(J6699*D6699,0)</f>
      </c>
      <c r="L6699" s="29">
        <f>IFERROR(E6699*C6699,0)</f>
      </c>
      <c r="M6699" s="29">
        <f>IFERROR((G6699*H6699*I6699/1000000)*D6699,0)</f>
      </c>
    </row>
    <row r="6700" spans="1:13" x14ac:dyDescent="0.25">
      <c r="A6700" s="16"/>
      <c r="E6700" s="27"/>
      <c r="F6700" t="s">
        <v>26</v>
      </c>
      <c r="G6700" s="28">
        <f>IFERROR(VLOOKUP(F6700,CARTON_LOOKUP!$A:$E,3,0),"")</f>
      </c>
      <c r="H6700" s="28">
        <f>IFERROR(VLOOKUP(F6700,CARTON_LOOKUP!$A:$E,4,0),"")</f>
      </c>
      <c r="I6700" s="28">
        <f>IFERROR(VLOOKUP(F6700,CARTON_LOOKUP!$A:$E,5,0),"")</f>
      </c>
      <c r="J6700" s="29">
        <f>IFERROR(VLOOKUP(F6700,CARTON_LOOKUP!$A:$E,2,0),"")</f>
      </c>
      <c r="K6700" s="29">
        <f>IFERROR(J6700*D6700,0)</f>
      </c>
      <c r="L6700" s="29">
        <f>IFERROR(E6700*C6700,0)</f>
      </c>
      <c r="M6700" s="29">
        <f>IFERROR((G6700*H6700*I6700/1000000)*D6700,0)</f>
      </c>
    </row>
    <row r="6701" spans="1:13" x14ac:dyDescent="0.25">
      <c r="A6701" s="16"/>
      <c r="E6701" s="27"/>
      <c r="F6701" t="s">
        <v>26</v>
      </c>
      <c r="G6701" s="28">
        <f>IFERROR(VLOOKUP(F6701,CARTON_LOOKUP!$A:$E,3,0),"")</f>
      </c>
      <c r="H6701" s="28">
        <f>IFERROR(VLOOKUP(F6701,CARTON_LOOKUP!$A:$E,4,0),"")</f>
      </c>
      <c r="I6701" s="28">
        <f>IFERROR(VLOOKUP(F6701,CARTON_LOOKUP!$A:$E,5,0),"")</f>
      </c>
      <c r="J6701" s="29">
        <f>IFERROR(VLOOKUP(F6701,CARTON_LOOKUP!$A:$E,2,0),"")</f>
      </c>
      <c r="K6701" s="29">
        <f>IFERROR(J6701*D6701,0)</f>
      </c>
      <c r="L6701" s="29">
        <f>IFERROR(E6701*C6701,0)</f>
      </c>
      <c r="M6701" s="29">
        <f>IFERROR((G6701*H6701*I6701/1000000)*D6701,0)</f>
      </c>
    </row>
    <row r="6702" spans="1:13" x14ac:dyDescent="0.25">
      <c r="A6702" s="16"/>
      <c r="E6702" s="27"/>
      <c r="F6702" t="s">
        <v>26</v>
      </c>
      <c r="G6702" s="28">
        <f>IFERROR(VLOOKUP(F6702,CARTON_LOOKUP!$A:$E,3,0),"")</f>
      </c>
      <c r="H6702" s="28">
        <f>IFERROR(VLOOKUP(F6702,CARTON_LOOKUP!$A:$E,4,0),"")</f>
      </c>
      <c r="I6702" s="28">
        <f>IFERROR(VLOOKUP(F6702,CARTON_LOOKUP!$A:$E,5,0),"")</f>
      </c>
      <c r="J6702" s="29">
        <f>IFERROR(VLOOKUP(F6702,CARTON_LOOKUP!$A:$E,2,0),"")</f>
      </c>
      <c r="K6702" s="29">
        <f>IFERROR(J6702*D6702,0)</f>
      </c>
      <c r="L6702" s="29">
        <f>IFERROR(E6702*C6702,0)</f>
      </c>
      <c r="M6702" s="29">
        <f>IFERROR((G6702*H6702*I6702/1000000)*D6702,0)</f>
      </c>
    </row>
    <row r="6703" spans="1:13" x14ac:dyDescent="0.25">
      <c r="A6703" s="16"/>
      <c r="E6703" s="27"/>
      <c r="F6703" t="s">
        <v>26</v>
      </c>
      <c r="G6703" s="28">
        <f>IFERROR(VLOOKUP(F6703,CARTON_LOOKUP!$A:$E,3,0),"")</f>
      </c>
      <c r="H6703" s="28">
        <f>IFERROR(VLOOKUP(F6703,CARTON_LOOKUP!$A:$E,4,0),"")</f>
      </c>
      <c r="I6703" s="28">
        <f>IFERROR(VLOOKUP(F6703,CARTON_LOOKUP!$A:$E,5,0),"")</f>
      </c>
      <c r="J6703" s="29">
        <f>IFERROR(VLOOKUP(F6703,CARTON_LOOKUP!$A:$E,2,0),"")</f>
      </c>
      <c r="K6703" s="29">
        <f>IFERROR(J6703*D6703,0)</f>
      </c>
      <c r="L6703" s="29">
        <f>IFERROR(E6703*C6703,0)</f>
      </c>
      <c r="M6703" s="29">
        <f>IFERROR((G6703*H6703*I6703/1000000)*D6703,0)</f>
      </c>
    </row>
    <row r="6704" spans="1:13" x14ac:dyDescent="0.25">
      <c r="A6704" s="16"/>
      <c r="E6704" s="27"/>
      <c r="F6704" t="s">
        <v>26</v>
      </c>
      <c r="G6704" s="28">
        <f>IFERROR(VLOOKUP(F6704,CARTON_LOOKUP!$A:$E,3,0),"")</f>
      </c>
      <c r="H6704" s="28">
        <f>IFERROR(VLOOKUP(F6704,CARTON_LOOKUP!$A:$E,4,0),"")</f>
      </c>
      <c r="I6704" s="28">
        <f>IFERROR(VLOOKUP(F6704,CARTON_LOOKUP!$A:$E,5,0),"")</f>
      </c>
      <c r="J6704" s="29">
        <f>IFERROR(VLOOKUP(F6704,CARTON_LOOKUP!$A:$E,2,0),"")</f>
      </c>
      <c r="K6704" s="29">
        <f>IFERROR(J6704*D6704,0)</f>
      </c>
      <c r="L6704" s="29">
        <f>IFERROR(E6704*C6704,0)</f>
      </c>
      <c r="M6704" s="29">
        <f>IFERROR((G6704*H6704*I6704/1000000)*D6704,0)</f>
      </c>
    </row>
    <row r="6705" spans="1:13" x14ac:dyDescent="0.25">
      <c r="A6705" s="16"/>
      <c r="E6705" s="27"/>
      <c r="F6705" t="s">
        <v>26</v>
      </c>
      <c r="G6705" s="28">
        <f>IFERROR(VLOOKUP(F6705,CARTON_LOOKUP!$A:$E,3,0),"")</f>
      </c>
      <c r="H6705" s="28">
        <f>IFERROR(VLOOKUP(F6705,CARTON_LOOKUP!$A:$E,4,0),"")</f>
      </c>
      <c r="I6705" s="28">
        <f>IFERROR(VLOOKUP(F6705,CARTON_LOOKUP!$A:$E,5,0),"")</f>
      </c>
      <c r="J6705" s="29">
        <f>IFERROR(VLOOKUP(F6705,CARTON_LOOKUP!$A:$E,2,0),"")</f>
      </c>
      <c r="K6705" s="29">
        <f>IFERROR(J6705*D6705,0)</f>
      </c>
      <c r="L6705" s="29">
        <f>IFERROR(E6705*C6705,0)</f>
      </c>
      <c r="M6705" s="29">
        <f>IFERROR((G6705*H6705*I6705/1000000)*D6705,0)</f>
      </c>
    </row>
    <row r="6706" spans="1:13" x14ac:dyDescent="0.25">
      <c r="A6706" s="16"/>
      <c r="E6706" s="27"/>
      <c r="F6706" t="s">
        <v>26</v>
      </c>
      <c r="G6706" s="28">
        <f>IFERROR(VLOOKUP(F6706,CARTON_LOOKUP!$A:$E,3,0),"")</f>
      </c>
      <c r="H6706" s="28">
        <f>IFERROR(VLOOKUP(F6706,CARTON_LOOKUP!$A:$E,4,0),"")</f>
      </c>
      <c r="I6706" s="28">
        <f>IFERROR(VLOOKUP(F6706,CARTON_LOOKUP!$A:$E,5,0),"")</f>
      </c>
      <c r="J6706" s="29">
        <f>IFERROR(VLOOKUP(F6706,CARTON_LOOKUP!$A:$E,2,0),"")</f>
      </c>
      <c r="K6706" s="29">
        <f>IFERROR(J6706*D6706,0)</f>
      </c>
      <c r="L6706" s="29">
        <f>IFERROR(E6706*C6706,0)</f>
      </c>
      <c r="M6706" s="29">
        <f>IFERROR((G6706*H6706*I6706/1000000)*D6706,0)</f>
      </c>
    </row>
    <row r="6707" spans="1:13" x14ac:dyDescent="0.25">
      <c r="A6707" s="16"/>
      <c r="E6707" s="27"/>
      <c r="F6707" t="s">
        <v>26</v>
      </c>
      <c r="G6707" s="28">
        <f>IFERROR(VLOOKUP(F6707,CARTON_LOOKUP!$A:$E,3,0),"")</f>
      </c>
      <c r="H6707" s="28">
        <f>IFERROR(VLOOKUP(F6707,CARTON_LOOKUP!$A:$E,4,0),"")</f>
      </c>
      <c r="I6707" s="28">
        <f>IFERROR(VLOOKUP(F6707,CARTON_LOOKUP!$A:$E,5,0),"")</f>
      </c>
      <c r="J6707" s="29">
        <f>IFERROR(VLOOKUP(F6707,CARTON_LOOKUP!$A:$E,2,0),"")</f>
      </c>
      <c r="K6707" s="29">
        <f>IFERROR(J6707*D6707,0)</f>
      </c>
      <c r="L6707" s="29">
        <f>IFERROR(E6707*C6707,0)</f>
      </c>
      <c r="M6707" s="29">
        <f>IFERROR((G6707*H6707*I6707/1000000)*D6707,0)</f>
      </c>
    </row>
    <row r="6708" spans="1:13" x14ac:dyDescent="0.25">
      <c r="A6708" s="16"/>
      <c r="E6708" s="27"/>
      <c r="F6708" t="s">
        <v>26</v>
      </c>
      <c r="G6708" s="28">
        <f>IFERROR(VLOOKUP(F6708,CARTON_LOOKUP!$A:$E,3,0),"")</f>
      </c>
      <c r="H6708" s="28">
        <f>IFERROR(VLOOKUP(F6708,CARTON_LOOKUP!$A:$E,4,0),"")</f>
      </c>
      <c r="I6708" s="28">
        <f>IFERROR(VLOOKUP(F6708,CARTON_LOOKUP!$A:$E,5,0),"")</f>
      </c>
      <c r="J6708" s="29">
        <f>IFERROR(VLOOKUP(F6708,CARTON_LOOKUP!$A:$E,2,0),"")</f>
      </c>
      <c r="K6708" s="29">
        <f>IFERROR(J6708*D6708,0)</f>
      </c>
      <c r="L6708" s="29">
        <f>IFERROR(E6708*C6708,0)</f>
      </c>
      <c r="M6708" s="29">
        <f>IFERROR((G6708*H6708*I6708/1000000)*D6708,0)</f>
      </c>
    </row>
    <row r="6709" spans="1:13" x14ac:dyDescent="0.25">
      <c r="A6709" s="16"/>
      <c r="E6709" s="27"/>
      <c r="F6709" t="s">
        <v>26</v>
      </c>
      <c r="G6709" s="28">
        <f>IFERROR(VLOOKUP(F6709,CARTON_LOOKUP!$A:$E,3,0),"")</f>
      </c>
      <c r="H6709" s="28">
        <f>IFERROR(VLOOKUP(F6709,CARTON_LOOKUP!$A:$E,4,0),"")</f>
      </c>
      <c r="I6709" s="28">
        <f>IFERROR(VLOOKUP(F6709,CARTON_LOOKUP!$A:$E,5,0),"")</f>
      </c>
      <c r="J6709" s="29">
        <f>IFERROR(VLOOKUP(F6709,CARTON_LOOKUP!$A:$E,2,0),"")</f>
      </c>
      <c r="K6709" s="29">
        <f>IFERROR(J6709*D6709,0)</f>
      </c>
      <c r="L6709" s="29">
        <f>IFERROR(E6709*C6709,0)</f>
      </c>
      <c r="M6709" s="29">
        <f>IFERROR((G6709*H6709*I6709/1000000)*D6709,0)</f>
      </c>
    </row>
    <row r="6710" spans="1:13" x14ac:dyDescent="0.25">
      <c r="A6710" s="16"/>
      <c r="E6710" s="27"/>
      <c r="F6710" t="s">
        <v>26</v>
      </c>
      <c r="G6710" s="28">
        <f>IFERROR(VLOOKUP(F6710,CARTON_LOOKUP!$A:$E,3,0),"")</f>
      </c>
      <c r="H6710" s="28">
        <f>IFERROR(VLOOKUP(F6710,CARTON_LOOKUP!$A:$E,4,0),"")</f>
      </c>
      <c r="I6710" s="28">
        <f>IFERROR(VLOOKUP(F6710,CARTON_LOOKUP!$A:$E,5,0),"")</f>
      </c>
      <c r="J6710" s="29">
        <f>IFERROR(VLOOKUP(F6710,CARTON_LOOKUP!$A:$E,2,0),"")</f>
      </c>
      <c r="K6710" s="29">
        <f>IFERROR(J6710*D6710,0)</f>
      </c>
      <c r="L6710" s="29">
        <f>IFERROR(E6710*C6710,0)</f>
      </c>
      <c r="M6710" s="29">
        <f>IFERROR((G6710*H6710*I6710/1000000)*D6710,0)</f>
      </c>
    </row>
    <row r="6711" spans="1:13" x14ac:dyDescent="0.25">
      <c r="A6711" s="16"/>
      <c r="E6711" s="27"/>
      <c r="F6711" t="s">
        <v>26</v>
      </c>
      <c r="G6711" s="28">
        <f>IFERROR(VLOOKUP(F6711,CARTON_LOOKUP!$A:$E,3,0),"")</f>
      </c>
      <c r="H6711" s="28">
        <f>IFERROR(VLOOKUP(F6711,CARTON_LOOKUP!$A:$E,4,0),"")</f>
      </c>
      <c r="I6711" s="28">
        <f>IFERROR(VLOOKUP(F6711,CARTON_LOOKUP!$A:$E,5,0),"")</f>
      </c>
      <c r="J6711" s="29">
        <f>IFERROR(VLOOKUP(F6711,CARTON_LOOKUP!$A:$E,2,0),"")</f>
      </c>
      <c r="K6711" s="29">
        <f>IFERROR(J6711*D6711,0)</f>
      </c>
      <c r="L6711" s="29">
        <f>IFERROR(E6711*C6711,0)</f>
      </c>
      <c r="M6711" s="29">
        <f>IFERROR((G6711*H6711*I6711/1000000)*D6711,0)</f>
      </c>
    </row>
    <row r="6712" spans="1:13" x14ac:dyDescent="0.25">
      <c r="A6712" s="16"/>
      <c r="E6712" s="27"/>
      <c r="F6712" t="s">
        <v>26</v>
      </c>
      <c r="G6712" s="28">
        <f>IFERROR(VLOOKUP(F6712,CARTON_LOOKUP!$A:$E,3,0),"")</f>
      </c>
      <c r="H6712" s="28">
        <f>IFERROR(VLOOKUP(F6712,CARTON_LOOKUP!$A:$E,4,0),"")</f>
      </c>
      <c r="I6712" s="28">
        <f>IFERROR(VLOOKUP(F6712,CARTON_LOOKUP!$A:$E,5,0),"")</f>
      </c>
      <c r="J6712" s="29">
        <f>IFERROR(VLOOKUP(F6712,CARTON_LOOKUP!$A:$E,2,0),"")</f>
      </c>
      <c r="K6712" s="29">
        <f>IFERROR(J6712*D6712,0)</f>
      </c>
      <c r="L6712" s="29">
        <f>IFERROR(E6712*C6712,0)</f>
      </c>
      <c r="M6712" s="29">
        <f>IFERROR((G6712*H6712*I6712/1000000)*D6712,0)</f>
      </c>
    </row>
    <row r="6713" spans="1:13" x14ac:dyDescent="0.25">
      <c r="A6713" s="16"/>
      <c r="E6713" s="27"/>
      <c r="F6713" t="s">
        <v>26</v>
      </c>
      <c r="G6713" s="28">
        <f>IFERROR(VLOOKUP(F6713,CARTON_LOOKUP!$A:$E,3,0),"")</f>
      </c>
      <c r="H6713" s="28">
        <f>IFERROR(VLOOKUP(F6713,CARTON_LOOKUP!$A:$E,4,0),"")</f>
      </c>
      <c r="I6713" s="28">
        <f>IFERROR(VLOOKUP(F6713,CARTON_LOOKUP!$A:$E,5,0),"")</f>
      </c>
      <c r="J6713" s="29">
        <f>IFERROR(VLOOKUP(F6713,CARTON_LOOKUP!$A:$E,2,0),"")</f>
      </c>
      <c r="K6713" s="29">
        <f>IFERROR(J6713*D6713,0)</f>
      </c>
      <c r="L6713" s="29">
        <f>IFERROR(E6713*C6713,0)</f>
      </c>
      <c r="M6713" s="29">
        <f>IFERROR((G6713*H6713*I6713/1000000)*D6713,0)</f>
      </c>
    </row>
    <row r="6714" spans="1:13" x14ac:dyDescent="0.25">
      <c r="A6714" s="16"/>
      <c r="E6714" s="27"/>
      <c r="F6714" t="s">
        <v>26</v>
      </c>
      <c r="G6714" s="28">
        <f>IFERROR(VLOOKUP(F6714,CARTON_LOOKUP!$A:$E,3,0),"")</f>
      </c>
      <c r="H6714" s="28">
        <f>IFERROR(VLOOKUP(F6714,CARTON_LOOKUP!$A:$E,4,0),"")</f>
      </c>
      <c r="I6714" s="28">
        <f>IFERROR(VLOOKUP(F6714,CARTON_LOOKUP!$A:$E,5,0),"")</f>
      </c>
      <c r="J6714" s="29">
        <f>IFERROR(VLOOKUP(F6714,CARTON_LOOKUP!$A:$E,2,0),"")</f>
      </c>
      <c r="K6714" s="29">
        <f>IFERROR(J6714*D6714,0)</f>
      </c>
      <c r="L6714" s="29">
        <f>IFERROR(E6714*C6714,0)</f>
      </c>
      <c r="M6714" s="29">
        <f>IFERROR((G6714*H6714*I6714/1000000)*D6714,0)</f>
      </c>
    </row>
    <row r="6715" spans="1:13" x14ac:dyDescent="0.25">
      <c r="A6715" s="16"/>
      <c r="E6715" s="27"/>
      <c r="F6715" t="s">
        <v>26</v>
      </c>
      <c r="G6715" s="28">
        <f>IFERROR(VLOOKUP(F6715,CARTON_LOOKUP!$A:$E,3,0),"")</f>
      </c>
      <c r="H6715" s="28">
        <f>IFERROR(VLOOKUP(F6715,CARTON_LOOKUP!$A:$E,4,0),"")</f>
      </c>
      <c r="I6715" s="28">
        <f>IFERROR(VLOOKUP(F6715,CARTON_LOOKUP!$A:$E,5,0),"")</f>
      </c>
      <c r="J6715" s="29">
        <f>IFERROR(VLOOKUP(F6715,CARTON_LOOKUP!$A:$E,2,0),"")</f>
      </c>
      <c r="K6715" s="29">
        <f>IFERROR(J6715*D6715,0)</f>
      </c>
      <c r="L6715" s="29">
        <f>IFERROR(E6715*C6715,0)</f>
      </c>
      <c r="M6715" s="29">
        <f>IFERROR((G6715*H6715*I6715/1000000)*D6715,0)</f>
      </c>
    </row>
    <row r="6716" spans="1:13" x14ac:dyDescent="0.25">
      <c r="A6716" s="16"/>
      <c r="E6716" s="27"/>
      <c r="F6716" t="s">
        <v>26</v>
      </c>
      <c r="G6716" s="28">
        <f>IFERROR(VLOOKUP(F6716,CARTON_LOOKUP!$A:$E,3,0),"")</f>
      </c>
      <c r="H6716" s="28">
        <f>IFERROR(VLOOKUP(F6716,CARTON_LOOKUP!$A:$E,4,0),"")</f>
      </c>
      <c r="I6716" s="28">
        <f>IFERROR(VLOOKUP(F6716,CARTON_LOOKUP!$A:$E,5,0),"")</f>
      </c>
      <c r="J6716" s="29">
        <f>IFERROR(VLOOKUP(F6716,CARTON_LOOKUP!$A:$E,2,0),"")</f>
      </c>
      <c r="K6716" s="29">
        <f>IFERROR(J6716*D6716,0)</f>
      </c>
      <c r="L6716" s="29">
        <f>IFERROR(E6716*C6716,0)</f>
      </c>
      <c r="M6716" s="29">
        <f>IFERROR((G6716*H6716*I6716/1000000)*D6716,0)</f>
      </c>
    </row>
    <row r="6717" spans="1:13" x14ac:dyDescent="0.25">
      <c r="A6717" s="16"/>
      <c r="E6717" s="27"/>
      <c r="F6717" t="s">
        <v>26</v>
      </c>
      <c r="G6717" s="28">
        <f>IFERROR(VLOOKUP(F6717,CARTON_LOOKUP!$A:$E,3,0),"")</f>
      </c>
      <c r="H6717" s="28">
        <f>IFERROR(VLOOKUP(F6717,CARTON_LOOKUP!$A:$E,4,0),"")</f>
      </c>
      <c r="I6717" s="28">
        <f>IFERROR(VLOOKUP(F6717,CARTON_LOOKUP!$A:$E,5,0),"")</f>
      </c>
      <c r="J6717" s="29">
        <f>IFERROR(VLOOKUP(F6717,CARTON_LOOKUP!$A:$E,2,0),"")</f>
      </c>
      <c r="K6717" s="29">
        <f>IFERROR(J6717*D6717,0)</f>
      </c>
      <c r="L6717" s="29">
        <f>IFERROR(E6717*C6717,0)</f>
      </c>
      <c r="M6717" s="29">
        <f>IFERROR((G6717*H6717*I6717/1000000)*D6717,0)</f>
      </c>
    </row>
    <row r="6718" spans="1:13" x14ac:dyDescent="0.25">
      <c r="A6718" s="16"/>
      <c r="E6718" s="27"/>
      <c r="F6718" t="s">
        <v>26</v>
      </c>
      <c r="G6718" s="28">
        <f>IFERROR(VLOOKUP(F6718,CARTON_LOOKUP!$A:$E,3,0),"")</f>
      </c>
      <c r="H6718" s="28">
        <f>IFERROR(VLOOKUP(F6718,CARTON_LOOKUP!$A:$E,4,0),"")</f>
      </c>
      <c r="I6718" s="28">
        <f>IFERROR(VLOOKUP(F6718,CARTON_LOOKUP!$A:$E,5,0),"")</f>
      </c>
      <c r="J6718" s="29">
        <f>IFERROR(VLOOKUP(F6718,CARTON_LOOKUP!$A:$E,2,0),"")</f>
      </c>
      <c r="K6718" s="29">
        <f>IFERROR(J6718*D6718,0)</f>
      </c>
      <c r="L6718" s="29">
        <f>IFERROR(E6718*C6718,0)</f>
      </c>
      <c r="M6718" s="29">
        <f>IFERROR((G6718*H6718*I6718/1000000)*D6718,0)</f>
      </c>
    </row>
    <row r="6719" spans="1:13" x14ac:dyDescent="0.25">
      <c r="A6719" s="16"/>
      <c r="E6719" s="27"/>
      <c r="F6719" t="s">
        <v>26</v>
      </c>
      <c r="G6719" s="28">
        <f>IFERROR(VLOOKUP(F6719,CARTON_LOOKUP!$A:$E,3,0),"")</f>
      </c>
      <c r="H6719" s="28">
        <f>IFERROR(VLOOKUP(F6719,CARTON_LOOKUP!$A:$E,4,0),"")</f>
      </c>
      <c r="I6719" s="28">
        <f>IFERROR(VLOOKUP(F6719,CARTON_LOOKUP!$A:$E,5,0),"")</f>
      </c>
      <c r="J6719" s="29">
        <f>IFERROR(VLOOKUP(F6719,CARTON_LOOKUP!$A:$E,2,0),"")</f>
      </c>
      <c r="K6719" s="29">
        <f>IFERROR(J6719*D6719,0)</f>
      </c>
      <c r="L6719" s="29">
        <f>IFERROR(E6719*C6719,0)</f>
      </c>
      <c r="M6719" s="29">
        <f>IFERROR((G6719*H6719*I6719/1000000)*D6719,0)</f>
      </c>
    </row>
    <row r="6720" spans="1:13" x14ac:dyDescent="0.25">
      <c r="A6720" s="16"/>
      <c r="E6720" s="27"/>
      <c r="F6720" t="s">
        <v>26</v>
      </c>
      <c r="G6720" s="28">
        <f>IFERROR(VLOOKUP(F6720,CARTON_LOOKUP!$A:$E,3,0),"")</f>
      </c>
      <c r="H6720" s="28">
        <f>IFERROR(VLOOKUP(F6720,CARTON_LOOKUP!$A:$E,4,0),"")</f>
      </c>
      <c r="I6720" s="28">
        <f>IFERROR(VLOOKUP(F6720,CARTON_LOOKUP!$A:$E,5,0),"")</f>
      </c>
      <c r="J6720" s="29">
        <f>IFERROR(VLOOKUP(F6720,CARTON_LOOKUP!$A:$E,2,0),"")</f>
      </c>
      <c r="K6720" s="29">
        <f>IFERROR(J6720*D6720,0)</f>
      </c>
      <c r="L6720" s="29">
        <f>IFERROR(E6720*C6720,0)</f>
      </c>
      <c r="M6720" s="29">
        <f>IFERROR((G6720*H6720*I6720/1000000)*D6720,0)</f>
      </c>
    </row>
    <row r="6721" spans="1:13" x14ac:dyDescent="0.25">
      <c r="A6721" s="16"/>
      <c r="E6721" s="27"/>
      <c r="F6721" t="s">
        <v>26</v>
      </c>
      <c r="G6721" s="28">
        <f>IFERROR(VLOOKUP(F6721,CARTON_LOOKUP!$A:$E,3,0),"")</f>
      </c>
      <c r="H6721" s="28">
        <f>IFERROR(VLOOKUP(F6721,CARTON_LOOKUP!$A:$E,4,0),"")</f>
      </c>
      <c r="I6721" s="28">
        <f>IFERROR(VLOOKUP(F6721,CARTON_LOOKUP!$A:$E,5,0),"")</f>
      </c>
      <c r="J6721" s="29">
        <f>IFERROR(VLOOKUP(F6721,CARTON_LOOKUP!$A:$E,2,0),"")</f>
      </c>
      <c r="K6721" s="29">
        <f>IFERROR(J6721*D6721,0)</f>
      </c>
      <c r="L6721" s="29">
        <f>IFERROR(E6721*C6721,0)</f>
      </c>
      <c r="M6721" s="29">
        <f>IFERROR((G6721*H6721*I6721/1000000)*D6721,0)</f>
      </c>
    </row>
    <row r="6722" spans="1:13" x14ac:dyDescent="0.25">
      <c r="A6722" s="16"/>
      <c r="E6722" s="27"/>
      <c r="F6722" t="s">
        <v>26</v>
      </c>
      <c r="G6722" s="28">
        <f>IFERROR(VLOOKUP(F6722,CARTON_LOOKUP!$A:$E,3,0),"")</f>
      </c>
      <c r="H6722" s="28">
        <f>IFERROR(VLOOKUP(F6722,CARTON_LOOKUP!$A:$E,4,0),"")</f>
      </c>
      <c r="I6722" s="28">
        <f>IFERROR(VLOOKUP(F6722,CARTON_LOOKUP!$A:$E,5,0),"")</f>
      </c>
      <c r="J6722" s="29">
        <f>IFERROR(VLOOKUP(F6722,CARTON_LOOKUP!$A:$E,2,0),"")</f>
      </c>
      <c r="K6722" s="29">
        <f>IFERROR(J6722*D6722,0)</f>
      </c>
      <c r="L6722" s="29">
        <f>IFERROR(E6722*C6722,0)</f>
      </c>
      <c r="M6722" s="29">
        <f>IFERROR((G6722*H6722*I6722/1000000)*D6722,0)</f>
      </c>
    </row>
    <row r="6723" spans="1:13" x14ac:dyDescent="0.25">
      <c r="A6723" s="16"/>
      <c r="E6723" s="27"/>
      <c r="F6723" t="s">
        <v>26</v>
      </c>
      <c r="G6723" s="28">
        <f>IFERROR(VLOOKUP(F6723,CARTON_LOOKUP!$A:$E,3,0),"")</f>
      </c>
      <c r="H6723" s="28">
        <f>IFERROR(VLOOKUP(F6723,CARTON_LOOKUP!$A:$E,4,0),"")</f>
      </c>
      <c r="I6723" s="28">
        <f>IFERROR(VLOOKUP(F6723,CARTON_LOOKUP!$A:$E,5,0),"")</f>
      </c>
      <c r="J6723" s="29">
        <f>IFERROR(VLOOKUP(F6723,CARTON_LOOKUP!$A:$E,2,0),"")</f>
      </c>
      <c r="K6723" s="29">
        <f>IFERROR(J6723*D6723,0)</f>
      </c>
      <c r="L6723" s="29">
        <f>IFERROR(E6723*C6723,0)</f>
      </c>
      <c r="M6723" s="29">
        <f>IFERROR((G6723*H6723*I6723/1000000)*D6723,0)</f>
      </c>
    </row>
    <row r="6724" spans="1:13" x14ac:dyDescent="0.25">
      <c r="A6724" s="16"/>
      <c r="E6724" s="27"/>
      <c r="F6724" t="s">
        <v>26</v>
      </c>
      <c r="G6724" s="28">
        <f>IFERROR(VLOOKUP(F6724,CARTON_LOOKUP!$A:$E,3,0),"")</f>
      </c>
      <c r="H6724" s="28">
        <f>IFERROR(VLOOKUP(F6724,CARTON_LOOKUP!$A:$E,4,0),"")</f>
      </c>
      <c r="I6724" s="28">
        <f>IFERROR(VLOOKUP(F6724,CARTON_LOOKUP!$A:$E,5,0),"")</f>
      </c>
      <c r="J6724" s="29">
        <f>IFERROR(VLOOKUP(F6724,CARTON_LOOKUP!$A:$E,2,0),"")</f>
      </c>
      <c r="K6724" s="29">
        <f>IFERROR(J6724*D6724,0)</f>
      </c>
      <c r="L6724" s="29">
        <f>IFERROR(E6724*C6724,0)</f>
      </c>
      <c r="M6724" s="29">
        <f>IFERROR((G6724*H6724*I6724/1000000)*D6724,0)</f>
      </c>
    </row>
    <row r="6725" spans="1:13" x14ac:dyDescent="0.25">
      <c r="A6725" s="16"/>
      <c r="E6725" s="27"/>
      <c r="F6725" t="s">
        <v>26</v>
      </c>
      <c r="G6725" s="28">
        <f>IFERROR(VLOOKUP(F6725,CARTON_LOOKUP!$A:$E,3,0),"")</f>
      </c>
      <c r="H6725" s="28">
        <f>IFERROR(VLOOKUP(F6725,CARTON_LOOKUP!$A:$E,4,0),"")</f>
      </c>
      <c r="I6725" s="28">
        <f>IFERROR(VLOOKUP(F6725,CARTON_LOOKUP!$A:$E,5,0),"")</f>
      </c>
      <c r="J6725" s="29">
        <f>IFERROR(VLOOKUP(F6725,CARTON_LOOKUP!$A:$E,2,0),"")</f>
      </c>
      <c r="K6725" s="29">
        <f>IFERROR(J6725*D6725,0)</f>
      </c>
      <c r="L6725" s="29">
        <f>IFERROR(E6725*C6725,0)</f>
      </c>
      <c r="M6725" s="29">
        <f>IFERROR((G6725*H6725*I6725/1000000)*D6725,0)</f>
      </c>
    </row>
    <row r="6726" spans="1:13" x14ac:dyDescent="0.25">
      <c r="A6726" s="16"/>
      <c r="E6726" s="27"/>
      <c r="F6726" t="s">
        <v>26</v>
      </c>
      <c r="G6726" s="28">
        <f>IFERROR(VLOOKUP(F6726,CARTON_LOOKUP!$A:$E,3,0),"")</f>
      </c>
      <c r="H6726" s="28">
        <f>IFERROR(VLOOKUP(F6726,CARTON_LOOKUP!$A:$E,4,0),"")</f>
      </c>
      <c r="I6726" s="28">
        <f>IFERROR(VLOOKUP(F6726,CARTON_LOOKUP!$A:$E,5,0),"")</f>
      </c>
      <c r="J6726" s="29">
        <f>IFERROR(VLOOKUP(F6726,CARTON_LOOKUP!$A:$E,2,0),"")</f>
      </c>
      <c r="K6726" s="29">
        <f>IFERROR(J6726*D6726,0)</f>
      </c>
      <c r="L6726" s="29">
        <f>IFERROR(E6726*C6726,0)</f>
      </c>
      <c r="M6726" s="29">
        <f>IFERROR((G6726*H6726*I6726/1000000)*D6726,0)</f>
      </c>
    </row>
    <row r="6727" spans="1:13" x14ac:dyDescent="0.25">
      <c r="A6727" s="16"/>
      <c r="E6727" s="27"/>
      <c r="F6727" t="s">
        <v>26</v>
      </c>
      <c r="G6727" s="28">
        <f>IFERROR(VLOOKUP(F6727,CARTON_LOOKUP!$A:$E,3,0),"")</f>
      </c>
      <c r="H6727" s="28">
        <f>IFERROR(VLOOKUP(F6727,CARTON_LOOKUP!$A:$E,4,0),"")</f>
      </c>
      <c r="I6727" s="28">
        <f>IFERROR(VLOOKUP(F6727,CARTON_LOOKUP!$A:$E,5,0),"")</f>
      </c>
      <c r="J6727" s="29">
        <f>IFERROR(VLOOKUP(F6727,CARTON_LOOKUP!$A:$E,2,0),"")</f>
      </c>
      <c r="K6727" s="29">
        <f>IFERROR(J6727*D6727,0)</f>
      </c>
      <c r="L6727" s="29">
        <f>IFERROR(E6727*C6727,0)</f>
      </c>
      <c r="M6727" s="29">
        <f>IFERROR((G6727*H6727*I6727/1000000)*D6727,0)</f>
      </c>
    </row>
    <row r="6728" spans="1:13" x14ac:dyDescent="0.25">
      <c r="A6728" s="16"/>
      <c r="E6728" s="27"/>
      <c r="F6728" t="s">
        <v>26</v>
      </c>
      <c r="G6728" s="28">
        <f>IFERROR(VLOOKUP(F6728,CARTON_LOOKUP!$A:$E,3,0),"")</f>
      </c>
      <c r="H6728" s="28">
        <f>IFERROR(VLOOKUP(F6728,CARTON_LOOKUP!$A:$E,4,0),"")</f>
      </c>
      <c r="I6728" s="28">
        <f>IFERROR(VLOOKUP(F6728,CARTON_LOOKUP!$A:$E,5,0),"")</f>
      </c>
      <c r="J6728" s="29">
        <f>IFERROR(VLOOKUP(F6728,CARTON_LOOKUP!$A:$E,2,0),"")</f>
      </c>
      <c r="K6728" s="29">
        <f>IFERROR(J6728*D6728,0)</f>
      </c>
      <c r="L6728" s="29">
        <f>IFERROR(E6728*C6728,0)</f>
      </c>
      <c r="M6728" s="29">
        <f>IFERROR((G6728*H6728*I6728/1000000)*D6728,0)</f>
      </c>
    </row>
    <row r="6729" spans="1:13" x14ac:dyDescent="0.25">
      <c r="A6729" s="16"/>
      <c r="E6729" s="27"/>
      <c r="F6729" t="s">
        <v>26</v>
      </c>
      <c r="G6729" s="28">
        <f>IFERROR(VLOOKUP(F6729,CARTON_LOOKUP!$A:$E,3,0),"")</f>
      </c>
      <c r="H6729" s="28">
        <f>IFERROR(VLOOKUP(F6729,CARTON_LOOKUP!$A:$E,4,0),"")</f>
      </c>
      <c r="I6729" s="28">
        <f>IFERROR(VLOOKUP(F6729,CARTON_LOOKUP!$A:$E,5,0),"")</f>
      </c>
      <c r="J6729" s="29">
        <f>IFERROR(VLOOKUP(F6729,CARTON_LOOKUP!$A:$E,2,0),"")</f>
      </c>
      <c r="K6729" s="29">
        <f>IFERROR(J6729*D6729,0)</f>
      </c>
      <c r="L6729" s="29">
        <f>IFERROR(E6729*C6729,0)</f>
      </c>
      <c r="M6729" s="29">
        <f>IFERROR((G6729*H6729*I6729/1000000)*D6729,0)</f>
      </c>
    </row>
    <row r="6730" spans="1:13" x14ac:dyDescent="0.25">
      <c r="A6730" s="16"/>
      <c r="E6730" s="27"/>
      <c r="F6730" t="s">
        <v>26</v>
      </c>
      <c r="G6730" s="28">
        <f>IFERROR(VLOOKUP(F6730,CARTON_LOOKUP!$A:$E,3,0),"")</f>
      </c>
      <c r="H6730" s="28">
        <f>IFERROR(VLOOKUP(F6730,CARTON_LOOKUP!$A:$E,4,0),"")</f>
      </c>
      <c r="I6730" s="28">
        <f>IFERROR(VLOOKUP(F6730,CARTON_LOOKUP!$A:$E,5,0),"")</f>
      </c>
      <c r="J6730" s="29">
        <f>IFERROR(VLOOKUP(F6730,CARTON_LOOKUP!$A:$E,2,0),"")</f>
      </c>
      <c r="K6730" s="29">
        <f>IFERROR(J6730*D6730,0)</f>
      </c>
      <c r="L6730" s="29">
        <f>IFERROR(E6730*C6730,0)</f>
      </c>
      <c r="M6730" s="29">
        <f>IFERROR((G6730*H6730*I6730/1000000)*D6730,0)</f>
      </c>
    </row>
    <row r="6731" spans="1:13" x14ac:dyDescent="0.25">
      <c r="A6731" s="16"/>
      <c r="E6731" s="27"/>
      <c r="F6731" t="s">
        <v>26</v>
      </c>
      <c r="G6731" s="28">
        <f>IFERROR(VLOOKUP(F6731,CARTON_LOOKUP!$A:$E,3,0),"")</f>
      </c>
      <c r="H6731" s="28">
        <f>IFERROR(VLOOKUP(F6731,CARTON_LOOKUP!$A:$E,4,0),"")</f>
      </c>
      <c r="I6731" s="28">
        <f>IFERROR(VLOOKUP(F6731,CARTON_LOOKUP!$A:$E,5,0),"")</f>
      </c>
      <c r="J6731" s="29">
        <f>IFERROR(VLOOKUP(F6731,CARTON_LOOKUP!$A:$E,2,0),"")</f>
      </c>
      <c r="K6731" s="29">
        <f>IFERROR(J6731*D6731,0)</f>
      </c>
      <c r="L6731" s="29">
        <f>IFERROR(E6731*C6731,0)</f>
      </c>
      <c r="M6731" s="29">
        <f>IFERROR((G6731*H6731*I6731/1000000)*D6731,0)</f>
      </c>
    </row>
    <row r="6732" spans="1:13" x14ac:dyDescent="0.25">
      <c r="A6732" s="16"/>
      <c r="E6732" s="27"/>
      <c r="F6732" t="s">
        <v>26</v>
      </c>
      <c r="G6732" s="28">
        <f>IFERROR(VLOOKUP(F6732,CARTON_LOOKUP!$A:$E,3,0),"")</f>
      </c>
      <c r="H6732" s="28">
        <f>IFERROR(VLOOKUP(F6732,CARTON_LOOKUP!$A:$E,4,0),"")</f>
      </c>
      <c r="I6732" s="28">
        <f>IFERROR(VLOOKUP(F6732,CARTON_LOOKUP!$A:$E,5,0),"")</f>
      </c>
      <c r="J6732" s="29">
        <f>IFERROR(VLOOKUP(F6732,CARTON_LOOKUP!$A:$E,2,0),"")</f>
      </c>
      <c r="K6732" s="29">
        <f>IFERROR(J6732*D6732,0)</f>
      </c>
      <c r="L6732" s="29">
        <f>IFERROR(E6732*C6732,0)</f>
      </c>
      <c r="M6732" s="29">
        <f>IFERROR((G6732*H6732*I6732/1000000)*D6732,0)</f>
      </c>
    </row>
    <row r="6733" spans="1:13" x14ac:dyDescent="0.25">
      <c r="A6733" s="16"/>
      <c r="E6733" s="27"/>
      <c r="F6733" t="s">
        <v>26</v>
      </c>
      <c r="G6733" s="28">
        <f>IFERROR(VLOOKUP(F6733,CARTON_LOOKUP!$A:$E,3,0),"")</f>
      </c>
      <c r="H6733" s="28">
        <f>IFERROR(VLOOKUP(F6733,CARTON_LOOKUP!$A:$E,4,0),"")</f>
      </c>
      <c r="I6733" s="28">
        <f>IFERROR(VLOOKUP(F6733,CARTON_LOOKUP!$A:$E,5,0),"")</f>
      </c>
      <c r="J6733" s="29">
        <f>IFERROR(VLOOKUP(F6733,CARTON_LOOKUP!$A:$E,2,0),"")</f>
      </c>
      <c r="K6733" s="29">
        <f>IFERROR(J6733*D6733,0)</f>
      </c>
      <c r="L6733" s="29">
        <f>IFERROR(E6733*C6733,0)</f>
      </c>
      <c r="M6733" s="29">
        <f>IFERROR((G6733*H6733*I6733/1000000)*D6733,0)</f>
      </c>
    </row>
    <row r="6734" spans="1:13" x14ac:dyDescent="0.25">
      <c r="A6734" s="16"/>
      <c r="E6734" s="27"/>
      <c r="F6734" t="s">
        <v>26</v>
      </c>
      <c r="G6734" s="28">
        <f>IFERROR(VLOOKUP(F6734,CARTON_LOOKUP!$A:$E,3,0),"")</f>
      </c>
      <c r="H6734" s="28">
        <f>IFERROR(VLOOKUP(F6734,CARTON_LOOKUP!$A:$E,4,0),"")</f>
      </c>
      <c r="I6734" s="28">
        <f>IFERROR(VLOOKUP(F6734,CARTON_LOOKUP!$A:$E,5,0),"")</f>
      </c>
      <c r="J6734" s="29">
        <f>IFERROR(VLOOKUP(F6734,CARTON_LOOKUP!$A:$E,2,0),"")</f>
      </c>
      <c r="K6734" s="29">
        <f>IFERROR(J6734*D6734,0)</f>
      </c>
      <c r="L6734" s="29">
        <f>IFERROR(E6734*C6734,0)</f>
      </c>
      <c r="M6734" s="29">
        <f>IFERROR((G6734*H6734*I6734/1000000)*D6734,0)</f>
      </c>
    </row>
    <row r="6735" spans="1:13" x14ac:dyDescent="0.25">
      <c r="A6735" s="16"/>
      <c r="E6735" s="27"/>
      <c r="F6735" t="s">
        <v>26</v>
      </c>
      <c r="G6735" s="28">
        <f>IFERROR(VLOOKUP(F6735,CARTON_LOOKUP!$A:$E,3,0),"")</f>
      </c>
      <c r="H6735" s="28">
        <f>IFERROR(VLOOKUP(F6735,CARTON_LOOKUP!$A:$E,4,0),"")</f>
      </c>
      <c r="I6735" s="28">
        <f>IFERROR(VLOOKUP(F6735,CARTON_LOOKUP!$A:$E,5,0),"")</f>
      </c>
      <c r="J6735" s="29">
        <f>IFERROR(VLOOKUP(F6735,CARTON_LOOKUP!$A:$E,2,0),"")</f>
      </c>
      <c r="K6735" s="29">
        <f>IFERROR(J6735*D6735,0)</f>
      </c>
      <c r="L6735" s="29">
        <f>IFERROR(E6735*C6735,0)</f>
      </c>
      <c r="M6735" s="29">
        <f>IFERROR((G6735*H6735*I6735/1000000)*D6735,0)</f>
      </c>
    </row>
    <row r="6736" spans="1:13" x14ac:dyDescent="0.25">
      <c r="A6736" s="16"/>
      <c r="E6736" s="27"/>
      <c r="F6736" t="s">
        <v>26</v>
      </c>
      <c r="G6736" s="28">
        <f>IFERROR(VLOOKUP(F6736,CARTON_LOOKUP!$A:$E,3,0),"")</f>
      </c>
      <c r="H6736" s="28">
        <f>IFERROR(VLOOKUP(F6736,CARTON_LOOKUP!$A:$E,4,0),"")</f>
      </c>
      <c r="I6736" s="28">
        <f>IFERROR(VLOOKUP(F6736,CARTON_LOOKUP!$A:$E,5,0),"")</f>
      </c>
      <c r="J6736" s="29">
        <f>IFERROR(VLOOKUP(F6736,CARTON_LOOKUP!$A:$E,2,0),"")</f>
      </c>
      <c r="K6736" s="29">
        <f>IFERROR(J6736*D6736,0)</f>
      </c>
      <c r="L6736" s="29">
        <f>IFERROR(E6736*C6736,0)</f>
      </c>
      <c r="M6736" s="29">
        <f>IFERROR((G6736*H6736*I6736/1000000)*D6736,0)</f>
      </c>
    </row>
    <row r="6737" spans="1:13" x14ac:dyDescent="0.25">
      <c r="A6737" s="16"/>
      <c r="E6737" s="27"/>
      <c r="F6737" t="s">
        <v>26</v>
      </c>
      <c r="G6737" s="28">
        <f>IFERROR(VLOOKUP(F6737,CARTON_LOOKUP!$A:$E,3,0),"")</f>
      </c>
      <c r="H6737" s="28">
        <f>IFERROR(VLOOKUP(F6737,CARTON_LOOKUP!$A:$E,4,0),"")</f>
      </c>
      <c r="I6737" s="28">
        <f>IFERROR(VLOOKUP(F6737,CARTON_LOOKUP!$A:$E,5,0),"")</f>
      </c>
      <c r="J6737" s="29">
        <f>IFERROR(VLOOKUP(F6737,CARTON_LOOKUP!$A:$E,2,0),"")</f>
      </c>
      <c r="K6737" s="29">
        <f>IFERROR(J6737*D6737,0)</f>
      </c>
      <c r="L6737" s="29">
        <f>IFERROR(E6737*C6737,0)</f>
      </c>
      <c r="M6737" s="29">
        <f>IFERROR((G6737*H6737*I6737/1000000)*D6737,0)</f>
      </c>
    </row>
    <row r="6738" spans="1:13" x14ac:dyDescent="0.25">
      <c r="A6738" s="16"/>
      <c r="E6738" s="27"/>
      <c r="F6738" t="s">
        <v>26</v>
      </c>
      <c r="G6738" s="28">
        <f>IFERROR(VLOOKUP(F6738,CARTON_LOOKUP!$A:$E,3,0),"")</f>
      </c>
      <c r="H6738" s="28">
        <f>IFERROR(VLOOKUP(F6738,CARTON_LOOKUP!$A:$E,4,0),"")</f>
      </c>
      <c r="I6738" s="28">
        <f>IFERROR(VLOOKUP(F6738,CARTON_LOOKUP!$A:$E,5,0),"")</f>
      </c>
      <c r="J6738" s="29">
        <f>IFERROR(VLOOKUP(F6738,CARTON_LOOKUP!$A:$E,2,0),"")</f>
      </c>
      <c r="K6738" s="29">
        <f>IFERROR(J6738*D6738,0)</f>
      </c>
      <c r="L6738" s="29">
        <f>IFERROR(E6738*C6738,0)</f>
      </c>
      <c r="M6738" s="29">
        <f>IFERROR((G6738*H6738*I6738/1000000)*D6738,0)</f>
      </c>
    </row>
    <row r="6739" spans="1:13" x14ac:dyDescent="0.25">
      <c r="A6739" s="16"/>
      <c r="E6739" s="27"/>
      <c r="F6739" t="s">
        <v>26</v>
      </c>
      <c r="G6739" s="28">
        <f>IFERROR(VLOOKUP(F6739,CARTON_LOOKUP!$A:$E,3,0),"")</f>
      </c>
      <c r="H6739" s="28">
        <f>IFERROR(VLOOKUP(F6739,CARTON_LOOKUP!$A:$E,4,0),"")</f>
      </c>
      <c r="I6739" s="28">
        <f>IFERROR(VLOOKUP(F6739,CARTON_LOOKUP!$A:$E,5,0),"")</f>
      </c>
      <c r="J6739" s="29">
        <f>IFERROR(VLOOKUP(F6739,CARTON_LOOKUP!$A:$E,2,0),"")</f>
      </c>
      <c r="K6739" s="29">
        <f>IFERROR(J6739*D6739,0)</f>
      </c>
      <c r="L6739" s="29">
        <f>IFERROR(E6739*C6739,0)</f>
      </c>
      <c r="M6739" s="29">
        <f>IFERROR((G6739*H6739*I6739/1000000)*D6739,0)</f>
      </c>
    </row>
    <row r="6740" spans="1:13" x14ac:dyDescent="0.25">
      <c r="A6740" s="16"/>
      <c r="E6740" s="27"/>
      <c r="F6740" t="s">
        <v>26</v>
      </c>
      <c r="G6740" s="28">
        <f>IFERROR(VLOOKUP(F6740,CARTON_LOOKUP!$A:$E,3,0),"")</f>
      </c>
      <c r="H6740" s="28">
        <f>IFERROR(VLOOKUP(F6740,CARTON_LOOKUP!$A:$E,4,0),"")</f>
      </c>
      <c r="I6740" s="28">
        <f>IFERROR(VLOOKUP(F6740,CARTON_LOOKUP!$A:$E,5,0),"")</f>
      </c>
      <c r="J6740" s="29">
        <f>IFERROR(VLOOKUP(F6740,CARTON_LOOKUP!$A:$E,2,0),"")</f>
      </c>
      <c r="K6740" s="29">
        <f>IFERROR(J6740*D6740,0)</f>
      </c>
      <c r="L6740" s="29">
        <f>IFERROR(E6740*C6740,0)</f>
      </c>
      <c r="M6740" s="29">
        <f>IFERROR((G6740*H6740*I6740/1000000)*D6740,0)</f>
      </c>
    </row>
    <row r="6741" spans="1:13" x14ac:dyDescent="0.25">
      <c r="A6741" s="16"/>
      <c r="E6741" s="27"/>
      <c r="F6741" t="s">
        <v>26</v>
      </c>
      <c r="G6741" s="28">
        <f>IFERROR(VLOOKUP(F6741,CARTON_LOOKUP!$A:$E,3,0),"")</f>
      </c>
      <c r="H6741" s="28">
        <f>IFERROR(VLOOKUP(F6741,CARTON_LOOKUP!$A:$E,4,0),"")</f>
      </c>
      <c r="I6741" s="28">
        <f>IFERROR(VLOOKUP(F6741,CARTON_LOOKUP!$A:$E,5,0),"")</f>
      </c>
      <c r="J6741" s="29">
        <f>IFERROR(VLOOKUP(F6741,CARTON_LOOKUP!$A:$E,2,0),"")</f>
      </c>
      <c r="K6741" s="29">
        <f>IFERROR(J6741*D6741,0)</f>
      </c>
      <c r="L6741" s="29">
        <f>IFERROR(E6741*C6741,0)</f>
      </c>
      <c r="M6741" s="29">
        <f>IFERROR((G6741*H6741*I6741/1000000)*D6741,0)</f>
      </c>
    </row>
    <row r="6742" spans="1:13" x14ac:dyDescent="0.25">
      <c r="A6742" s="16"/>
      <c r="E6742" s="27"/>
      <c r="F6742" t="s">
        <v>26</v>
      </c>
      <c r="G6742" s="28">
        <f>IFERROR(VLOOKUP(F6742,CARTON_LOOKUP!$A:$E,3,0),"")</f>
      </c>
      <c r="H6742" s="28">
        <f>IFERROR(VLOOKUP(F6742,CARTON_LOOKUP!$A:$E,4,0),"")</f>
      </c>
      <c r="I6742" s="28">
        <f>IFERROR(VLOOKUP(F6742,CARTON_LOOKUP!$A:$E,5,0),"")</f>
      </c>
      <c r="J6742" s="29">
        <f>IFERROR(VLOOKUP(F6742,CARTON_LOOKUP!$A:$E,2,0),"")</f>
      </c>
      <c r="K6742" s="29">
        <f>IFERROR(J6742*D6742,0)</f>
      </c>
      <c r="L6742" s="29">
        <f>IFERROR(E6742*C6742,0)</f>
      </c>
      <c r="M6742" s="29">
        <f>IFERROR((G6742*H6742*I6742/1000000)*D6742,0)</f>
      </c>
    </row>
    <row r="6743" spans="1:13" x14ac:dyDescent="0.25">
      <c r="A6743" s="16"/>
      <c r="E6743" s="27"/>
      <c r="F6743" t="s">
        <v>26</v>
      </c>
      <c r="G6743" s="28">
        <f>IFERROR(VLOOKUP(F6743,CARTON_LOOKUP!$A:$E,3,0),"")</f>
      </c>
      <c r="H6743" s="28">
        <f>IFERROR(VLOOKUP(F6743,CARTON_LOOKUP!$A:$E,4,0),"")</f>
      </c>
      <c r="I6743" s="28">
        <f>IFERROR(VLOOKUP(F6743,CARTON_LOOKUP!$A:$E,5,0),"")</f>
      </c>
      <c r="J6743" s="29">
        <f>IFERROR(VLOOKUP(F6743,CARTON_LOOKUP!$A:$E,2,0),"")</f>
      </c>
      <c r="K6743" s="29">
        <f>IFERROR(J6743*D6743,0)</f>
      </c>
      <c r="L6743" s="29">
        <f>IFERROR(E6743*C6743,0)</f>
      </c>
      <c r="M6743" s="29">
        <f>IFERROR((G6743*H6743*I6743/1000000)*D6743,0)</f>
      </c>
    </row>
    <row r="6744" spans="1:13" x14ac:dyDescent="0.25">
      <c r="A6744" s="16"/>
      <c r="E6744" s="27"/>
      <c r="F6744" t="s">
        <v>26</v>
      </c>
      <c r="G6744" s="28">
        <f>IFERROR(VLOOKUP(F6744,CARTON_LOOKUP!$A:$E,3,0),"")</f>
      </c>
      <c r="H6744" s="28">
        <f>IFERROR(VLOOKUP(F6744,CARTON_LOOKUP!$A:$E,4,0),"")</f>
      </c>
      <c r="I6744" s="28">
        <f>IFERROR(VLOOKUP(F6744,CARTON_LOOKUP!$A:$E,5,0),"")</f>
      </c>
      <c r="J6744" s="29">
        <f>IFERROR(VLOOKUP(F6744,CARTON_LOOKUP!$A:$E,2,0),"")</f>
      </c>
      <c r="K6744" s="29">
        <f>IFERROR(J6744*D6744,0)</f>
      </c>
      <c r="L6744" s="29">
        <f>IFERROR(E6744*C6744,0)</f>
      </c>
      <c r="M6744" s="29">
        <f>IFERROR((G6744*H6744*I6744/1000000)*D6744,0)</f>
      </c>
    </row>
    <row r="6745" spans="1:13" x14ac:dyDescent="0.25">
      <c r="A6745" s="16"/>
      <c r="E6745" s="27"/>
      <c r="F6745" t="s">
        <v>26</v>
      </c>
      <c r="G6745" s="28">
        <f>IFERROR(VLOOKUP(F6745,CARTON_LOOKUP!$A:$E,3,0),"")</f>
      </c>
      <c r="H6745" s="28">
        <f>IFERROR(VLOOKUP(F6745,CARTON_LOOKUP!$A:$E,4,0),"")</f>
      </c>
      <c r="I6745" s="28">
        <f>IFERROR(VLOOKUP(F6745,CARTON_LOOKUP!$A:$E,5,0),"")</f>
      </c>
      <c r="J6745" s="29">
        <f>IFERROR(VLOOKUP(F6745,CARTON_LOOKUP!$A:$E,2,0),"")</f>
      </c>
      <c r="K6745" s="29">
        <f>IFERROR(J6745*D6745,0)</f>
      </c>
      <c r="L6745" s="29">
        <f>IFERROR(E6745*C6745,0)</f>
      </c>
      <c r="M6745" s="29">
        <f>IFERROR((G6745*H6745*I6745/1000000)*D6745,0)</f>
      </c>
    </row>
    <row r="6746" spans="1:13" x14ac:dyDescent="0.25">
      <c r="A6746" s="16"/>
      <c r="E6746" s="27"/>
      <c r="F6746" t="s">
        <v>26</v>
      </c>
      <c r="G6746" s="28">
        <f>IFERROR(VLOOKUP(F6746,CARTON_LOOKUP!$A:$E,3,0),"")</f>
      </c>
      <c r="H6746" s="28">
        <f>IFERROR(VLOOKUP(F6746,CARTON_LOOKUP!$A:$E,4,0),"")</f>
      </c>
      <c r="I6746" s="28">
        <f>IFERROR(VLOOKUP(F6746,CARTON_LOOKUP!$A:$E,5,0),"")</f>
      </c>
      <c r="J6746" s="29">
        <f>IFERROR(VLOOKUP(F6746,CARTON_LOOKUP!$A:$E,2,0),"")</f>
      </c>
      <c r="K6746" s="29">
        <f>IFERROR(J6746*D6746,0)</f>
      </c>
      <c r="L6746" s="29">
        <f>IFERROR(E6746*C6746,0)</f>
      </c>
      <c r="M6746" s="29">
        <f>IFERROR((G6746*H6746*I6746/1000000)*D6746,0)</f>
      </c>
    </row>
    <row r="6747" spans="1:13" x14ac:dyDescent="0.25">
      <c r="A6747" s="16"/>
      <c r="E6747" s="27"/>
      <c r="F6747" t="s">
        <v>26</v>
      </c>
      <c r="G6747" s="28">
        <f>IFERROR(VLOOKUP(F6747,CARTON_LOOKUP!$A:$E,3,0),"")</f>
      </c>
      <c r="H6747" s="28">
        <f>IFERROR(VLOOKUP(F6747,CARTON_LOOKUP!$A:$E,4,0),"")</f>
      </c>
      <c r="I6747" s="28">
        <f>IFERROR(VLOOKUP(F6747,CARTON_LOOKUP!$A:$E,5,0),"")</f>
      </c>
      <c r="J6747" s="29">
        <f>IFERROR(VLOOKUP(F6747,CARTON_LOOKUP!$A:$E,2,0),"")</f>
      </c>
      <c r="K6747" s="29">
        <f>IFERROR(J6747*D6747,0)</f>
      </c>
      <c r="L6747" s="29">
        <f>IFERROR(E6747*C6747,0)</f>
      </c>
      <c r="M6747" s="29">
        <f>IFERROR((G6747*H6747*I6747/1000000)*D6747,0)</f>
      </c>
    </row>
    <row r="6748" spans="1:13" x14ac:dyDescent="0.25">
      <c r="A6748" s="16"/>
      <c r="E6748" s="27"/>
      <c r="F6748" t="s">
        <v>26</v>
      </c>
      <c r="G6748" s="28">
        <f>IFERROR(VLOOKUP(F6748,CARTON_LOOKUP!$A:$E,3,0),"")</f>
      </c>
      <c r="H6748" s="28">
        <f>IFERROR(VLOOKUP(F6748,CARTON_LOOKUP!$A:$E,4,0),"")</f>
      </c>
      <c r="I6748" s="28">
        <f>IFERROR(VLOOKUP(F6748,CARTON_LOOKUP!$A:$E,5,0),"")</f>
      </c>
      <c r="J6748" s="29">
        <f>IFERROR(VLOOKUP(F6748,CARTON_LOOKUP!$A:$E,2,0),"")</f>
      </c>
      <c r="K6748" s="29">
        <f>IFERROR(J6748*D6748,0)</f>
      </c>
      <c r="L6748" s="29">
        <f>IFERROR(E6748*C6748,0)</f>
      </c>
      <c r="M6748" s="29">
        <f>IFERROR((G6748*H6748*I6748/1000000)*D6748,0)</f>
      </c>
    </row>
    <row r="6749" spans="1:13" x14ac:dyDescent="0.25">
      <c r="A6749" s="16"/>
      <c r="E6749" s="27"/>
      <c r="F6749" t="s">
        <v>26</v>
      </c>
      <c r="G6749" s="28">
        <f>IFERROR(VLOOKUP(F6749,CARTON_LOOKUP!$A:$E,3,0),"")</f>
      </c>
      <c r="H6749" s="28">
        <f>IFERROR(VLOOKUP(F6749,CARTON_LOOKUP!$A:$E,4,0),"")</f>
      </c>
      <c r="I6749" s="28">
        <f>IFERROR(VLOOKUP(F6749,CARTON_LOOKUP!$A:$E,5,0),"")</f>
      </c>
      <c r="J6749" s="29">
        <f>IFERROR(VLOOKUP(F6749,CARTON_LOOKUP!$A:$E,2,0),"")</f>
      </c>
      <c r="K6749" s="29">
        <f>IFERROR(J6749*D6749,0)</f>
      </c>
      <c r="L6749" s="29">
        <f>IFERROR(E6749*C6749,0)</f>
      </c>
      <c r="M6749" s="29">
        <f>IFERROR((G6749*H6749*I6749/1000000)*D6749,0)</f>
      </c>
    </row>
    <row r="6750" spans="1:13" x14ac:dyDescent="0.25">
      <c r="A6750" s="16"/>
      <c r="E6750" s="27"/>
      <c r="F6750" t="s">
        <v>26</v>
      </c>
      <c r="G6750" s="28">
        <f>IFERROR(VLOOKUP(F6750,CARTON_LOOKUP!$A:$E,3,0),"")</f>
      </c>
      <c r="H6750" s="28">
        <f>IFERROR(VLOOKUP(F6750,CARTON_LOOKUP!$A:$E,4,0),"")</f>
      </c>
      <c r="I6750" s="28">
        <f>IFERROR(VLOOKUP(F6750,CARTON_LOOKUP!$A:$E,5,0),"")</f>
      </c>
      <c r="J6750" s="29">
        <f>IFERROR(VLOOKUP(F6750,CARTON_LOOKUP!$A:$E,2,0),"")</f>
      </c>
      <c r="K6750" s="29">
        <f>IFERROR(J6750*D6750,0)</f>
      </c>
      <c r="L6750" s="29">
        <f>IFERROR(E6750*C6750,0)</f>
      </c>
      <c r="M6750" s="29">
        <f>IFERROR((G6750*H6750*I6750/1000000)*D6750,0)</f>
      </c>
    </row>
    <row r="6751" spans="1:13" x14ac:dyDescent="0.25">
      <c r="A6751" s="16"/>
      <c r="E6751" s="27"/>
      <c r="F6751" t="s">
        <v>26</v>
      </c>
      <c r="G6751" s="28">
        <f>IFERROR(VLOOKUP(F6751,CARTON_LOOKUP!$A:$E,3,0),"")</f>
      </c>
      <c r="H6751" s="28">
        <f>IFERROR(VLOOKUP(F6751,CARTON_LOOKUP!$A:$E,4,0),"")</f>
      </c>
      <c r="I6751" s="28">
        <f>IFERROR(VLOOKUP(F6751,CARTON_LOOKUP!$A:$E,5,0),"")</f>
      </c>
      <c r="J6751" s="29">
        <f>IFERROR(VLOOKUP(F6751,CARTON_LOOKUP!$A:$E,2,0),"")</f>
      </c>
      <c r="K6751" s="29">
        <f>IFERROR(J6751*D6751,0)</f>
      </c>
      <c r="L6751" s="29">
        <f>IFERROR(E6751*C6751,0)</f>
      </c>
      <c r="M6751" s="29">
        <f>IFERROR((G6751*H6751*I6751/1000000)*D6751,0)</f>
      </c>
    </row>
    <row r="6752" spans="1:13" x14ac:dyDescent="0.25">
      <c r="A6752" s="16"/>
      <c r="E6752" s="27"/>
      <c r="F6752" t="s">
        <v>26</v>
      </c>
      <c r="G6752" s="28">
        <f>IFERROR(VLOOKUP(F6752,CARTON_LOOKUP!$A:$E,3,0),"")</f>
      </c>
      <c r="H6752" s="28">
        <f>IFERROR(VLOOKUP(F6752,CARTON_LOOKUP!$A:$E,4,0),"")</f>
      </c>
      <c r="I6752" s="28">
        <f>IFERROR(VLOOKUP(F6752,CARTON_LOOKUP!$A:$E,5,0),"")</f>
      </c>
      <c r="J6752" s="29">
        <f>IFERROR(VLOOKUP(F6752,CARTON_LOOKUP!$A:$E,2,0),"")</f>
      </c>
      <c r="K6752" s="29">
        <f>IFERROR(J6752*D6752,0)</f>
      </c>
      <c r="L6752" s="29">
        <f>IFERROR(E6752*C6752,0)</f>
      </c>
      <c r="M6752" s="29">
        <f>IFERROR((G6752*H6752*I6752/1000000)*D6752,0)</f>
      </c>
    </row>
    <row r="6753" spans="1:13" x14ac:dyDescent="0.25">
      <c r="A6753" s="16"/>
      <c r="E6753" s="27"/>
      <c r="F6753" t="s">
        <v>26</v>
      </c>
      <c r="G6753" s="28">
        <f>IFERROR(VLOOKUP(F6753,CARTON_LOOKUP!$A:$E,3,0),"")</f>
      </c>
      <c r="H6753" s="28">
        <f>IFERROR(VLOOKUP(F6753,CARTON_LOOKUP!$A:$E,4,0),"")</f>
      </c>
      <c r="I6753" s="28">
        <f>IFERROR(VLOOKUP(F6753,CARTON_LOOKUP!$A:$E,5,0),"")</f>
      </c>
      <c r="J6753" s="29">
        <f>IFERROR(VLOOKUP(F6753,CARTON_LOOKUP!$A:$E,2,0),"")</f>
      </c>
      <c r="K6753" s="29">
        <f>IFERROR(J6753*D6753,0)</f>
      </c>
      <c r="L6753" s="29">
        <f>IFERROR(E6753*C6753,0)</f>
      </c>
      <c r="M6753" s="29">
        <f>IFERROR((G6753*H6753*I6753/1000000)*D6753,0)</f>
      </c>
    </row>
    <row r="6754" spans="1:13" x14ac:dyDescent="0.25">
      <c r="A6754" s="16"/>
      <c r="E6754" s="27"/>
      <c r="F6754" t="s">
        <v>26</v>
      </c>
      <c r="G6754" s="28">
        <f>IFERROR(VLOOKUP(F6754,CARTON_LOOKUP!$A:$E,3,0),"")</f>
      </c>
      <c r="H6754" s="28">
        <f>IFERROR(VLOOKUP(F6754,CARTON_LOOKUP!$A:$E,4,0),"")</f>
      </c>
      <c r="I6754" s="28">
        <f>IFERROR(VLOOKUP(F6754,CARTON_LOOKUP!$A:$E,5,0),"")</f>
      </c>
      <c r="J6754" s="29">
        <f>IFERROR(VLOOKUP(F6754,CARTON_LOOKUP!$A:$E,2,0),"")</f>
      </c>
      <c r="K6754" s="29">
        <f>IFERROR(J6754*D6754,0)</f>
      </c>
      <c r="L6754" s="29">
        <f>IFERROR(E6754*C6754,0)</f>
      </c>
      <c r="M6754" s="29">
        <f>IFERROR((G6754*H6754*I6754/1000000)*D6754,0)</f>
      </c>
    </row>
    <row r="6755" spans="1:13" x14ac:dyDescent="0.25">
      <c r="A6755" s="16"/>
      <c r="E6755" s="27"/>
      <c r="F6755" t="s">
        <v>26</v>
      </c>
      <c r="G6755" s="28">
        <f>IFERROR(VLOOKUP(F6755,CARTON_LOOKUP!$A:$E,3,0),"")</f>
      </c>
      <c r="H6755" s="28">
        <f>IFERROR(VLOOKUP(F6755,CARTON_LOOKUP!$A:$E,4,0),"")</f>
      </c>
      <c r="I6755" s="28">
        <f>IFERROR(VLOOKUP(F6755,CARTON_LOOKUP!$A:$E,5,0),"")</f>
      </c>
      <c r="J6755" s="29">
        <f>IFERROR(VLOOKUP(F6755,CARTON_LOOKUP!$A:$E,2,0),"")</f>
      </c>
      <c r="K6755" s="29">
        <f>IFERROR(J6755*D6755,0)</f>
      </c>
      <c r="L6755" s="29">
        <f>IFERROR(E6755*C6755,0)</f>
      </c>
      <c r="M6755" s="29">
        <f>IFERROR((G6755*H6755*I6755/1000000)*D6755,0)</f>
      </c>
    </row>
    <row r="6756" spans="1:13" x14ac:dyDescent="0.25">
      <c r="A6756" s="16"/>
      <c r="E6756" s="27"/>
      <c r="F6756" t="s">
        <v>26</v>
      </c>
      <c r="G6756" s="28">
        <f>IFERROR(VLOOKUP(F6756,CARTON_LOOKUP!$A:$E,3,0),"")</f>
      </c>
      <c r="H6756" s="28">
        <f>IFERROR(VLOOKUP(F6756,CARTON_LOOKUP!$A:$E,4,0),"")</f>
      </c>
      <c r="I6756" s="28">
        <f>IFERROR(VLOOKUP(F6756,CARTON_LOOKUP!$A:$E,5,0),"")</f>
      </c>
      <c r="J6756" s="29">
        <f>IFERROR(VLOOKUP(F6756,CARTON_LOOKUP!$A:$E,2,0),"")</f>
      </c>
      <c r="K6756" s="29">
        <f>IFERROR(J6756*D6756,0)</f>
      </c>
      <c r="L6756" s="29">
        <f>IFERROR(E6756*C6756,0)</f>
      </c>
      <c r="M6756" s="29">
        <f>IFERROR((G6756*H6756*I6756/1000000)*D6756,0)</f>
      </c>
    </row>
    <row r="6757" spans="1:13" x14ac:dyDescent="0.25">
      <c r="A6757" s="16"/>
      <c r="E6757" s="27"/>
      <c r="F6757" t="s">
        <v>26</v>
      </c>
      <c r="G6757" s="28">
        <f>IFERROR(VLOOKUP(F6757,CARTON_LOOKUP!$A:$E,3,0),"")</f>
      </c>
      <c r="H6757" s="28">
        <f>IFERROR(VLOOKUP(F6757,CARTON_LOOKUP!$A:$E,4,0),"")</f>
      </c>
      <c r="I6757" s="28">
        <f>IFERROR(VLOOKUP(F6757,CARTON_LOOKUP!$A:$E,5,0),"")</f>
      </c>
      <c r="J6757" s="29">
        <f>IFERROR(VLOOKUP(F6757,CARTON_LOOKUP!$A:$E,2,0),"")</f>
      </c>
      <c r="K6757" s="29">
        <f>IFERROR(J6757*D6757,0)</f>
      </c>
      <c r="L6757" s="29">
        <f>IFERROR(E6757*C6757,0)</f>
      </c>
      <c r="M6757" s="29">
        <f>IFERROR((G6757*H6757*I6757/1000000)*D6757,0)</f>
      </c>
    </row>
    <row r="6758" spans="1:13" x14ac:dyDescent="0.25">
      <c r="A6758" s="16"/>
      <c r="E6758" s="27"/>
      <c r="F6758" t="s">
        <v>26</v>
      </c>
      <c r="G6758" s="28">
        <f>IFERROR(VLOOKUP(F6758,CARTON_LOOKUP!$A:$E,3,0),"")</f>
      </c>
      <c r="H6758" s="28">
        <f>IFERROR(VLOOKUP(F6758,CARTON_LOOKUP!$A:$E,4,0),"")</f>
      </c>
      <c r="I6758" s="28">
        <f>IFERROR(VLOOKUP(F6758,CARTON_LOOKUP!$A:$E,5,0),"")</f>
      </c>
      <c r="J6758" s="29">
        <f>IFERROR(VLOOKUP(F6758,CARTON_LOOKUP!$A:$E,2,0),"")</f>
      </c>
      <c r="K6758" s="29">
        <f>IFERROR(J6758*D6758,0)</f>
      </c>
      <c r="L6758" s="29">
        <f>IFERROR(E6758*C6758,0)</f>
      </c>
      <c r="M6758" s="29">
        <f>IFERROR((G6758*H6758*I6758/1000000)*D6758,0)</f>
      </c>
    </row>
    <row r="6759" spans="1:13" x14ac:dyDescent="0.25">
      <c r="A6759" s="16"/>
      <c r="E6759" s="27"/>
      <c r="F6759" t="s">
        <v>26</v>
      </c>
      <c r="G6759" s="28">
        <f>IFERROR(VLOOKUP(F6759,CARTON_LOOKUP!$A:$E,3,0),"")</f>
      </c>
      <c r="H6759" s="28">
        <f>IFERROR(VLOOKUP(F6759,CARTON_LOOKUP!$A:$E,4,0),"")</f>
      </c>
      <c r="I6759" s="28">
        <f>IFERROR(VLOOKUP(F6759,CARTON_LOOKUP!$A:$E,5,0),"")</f>
      </c>
      <c r="J6759" s="29">
        <f>IFERROR(VLOOKUP(F6759,CARTON_LOOKUP!$A:$E,2,0),"")</f>
      </c>
      <c r="K6759" s="29">
        <f>IFERROR(J6759*D6759,0)</f>
      </c>
      <c r="L6759" s="29">
        <f>IFERROR(E6759*C6759,0)</f>
      </c>
      <c r="M6759" s="29">
        <f>IFERROR((G6759*H6759*I6759/1000000)*D6759,0)</f>
      </c>
    </row>
    <row r="6760" spans="1:13" x14ac:dyDescent="0.25">
      <c r="A6760" s="16"/>
      <c r="E6760" s="27"/>
      <c r="F6760" t="s">
        <v>26</v>
      </c>
      <c r="G6760" s="28">
        <f>IFERROR(VLOOKUP(F6760,CARTON_LOOKUP!$A:$E,3,0),"")</f>
      </c>
      <c r="H6760" s="28">
        <f>IFERROR(VLOOKUP(F6760,CARTON_LOOKUP!$A:$E,4,0),"")</f>
      </c>
      <c r="I6760" s="28">
        <f>IFERROR(VLOOKUP(F6760,CARTON_LOOKUP!$A:$E,5,0),"")</f>
      </c>
      <c r="J6760" s="29">
        <f>IFERROR(VLOOKUP(F6760,CARTON_LOOKUP!$A:$E,2,0),"")</f>
      </c>
      <c r="K6760" s="29">
        <f>IFERROR(J6760*D6760,0)</f>
      </c>
      <c r="L6760" s="29">
        <f>IFERROR(E6760*C6760,0)</f>
      </c>
      <c r="M6760" s="29">
        <f>IFERROR((G6760*H6760*I6760/1000000)*D6760,0)</f>
      </c>
    </row>
    <row r="6761" spans="1:13" x14ac:dyDescent="0.25">
      <c r="A6761" s="16"/>
      <c r="E6761" s="27"/>
      <c r="F6761" t="s">
        <v>26</v>
      </c>
      <c r="G6761" s="28">
        <f>IFERROR(VLOOKUP(F6761,CARTON_LOOKUP!$A:$E,3,0),"")</f>
      </c>
      <c r="H6761" s="28">
        <f>IFERROR(VLOOKUP(F6761,CARTON_LOOKUP!$A:$E,4,0),"")</f>
      </c>
      <c r="I6761" s="28">
        <f>IFERROR(VLOOKUP(F6761,CARTON_LOOKUP!$A:$E,5,0),"")</f>
      </c>
      <c r="J6761" s="29">
        <f>IFERROR(VLOOKUP(F6761,CARTON_LOOKUP!$A:$E,2,0),"")</f>
      </c>
      <c r="K6761" s="29">
        <f>IFERROR(J6761*D6761,0)</f>
      </c>
      <c r="L6761" s="29">
        <f>IFERROR(E6761*C6761,0)</f>
      </c>
      <c r="M6761" s="29">
        <f>IFERROR((G6761*H6761*I6761/1000000)*D6761,0)</f>
      </c>
    </row>
    <row r="6762" spans="1:13" x14ac:dyDescent="0.25">
      <c r="A6762" s="16"/>
      <c r="E6762" s="27"/>
      <c r="F6762" t="s">
        <v>26</v>
      </c>
      <c r="G6762" s="28">
        <f>IFERROR(VLOOKUP(F6762,CARTON_LOOKUP!$A:$E,3,0),"")</f>
      </c>
      <c r="H6762" s="28">
        <f>IFERROR(VLOOKUP(F6762,CARTON_LOOKUP!$A:$E,4,0),"")</f>
      </c>
      <c r="I6762" s="28">
        <f>IFERROR(VLOOKUP(F6762,CARTON_LOOKUP!$A:$E,5,0),"")</f>
      </c>
      <c r="J6762" s="29">
        <f>IFERROR(VLOOKUP(F6762,CARTON_LOOKUP!$A:$E,2,0),"")</f>
      </c>
      <c r="K6762" s="29">
        <f>IFERROR(J6762*D6762,0)</f>
      </c>
      <c r="L6762" s="29">
        <f>IFERROR(E6762*C6762,0)</f>
      </c>
      <c r="M6762" s="29">
        <f>IFERROR((G6762*H6762*I6762/1000000)*D6762,0)</f>
      </c>
    </row>
    <row r="6763" spans="1:13" x14ac:dyDescent="0.25">
      <c r="A6763" s="16"/>
      <c r="E6763" s="27"/>
      <c r="F6763" t="s">
        <v>26</v>
      </c>
      <c r="G6763" s="28">
        <f>IFERROR(VLOOKUP(F6763,CARTON_LOOKUP!$A:$E,3,0),"")</f>
      </c>
      <c r="H6763" s="28">
        <f>IFERROR(VLOOKUP(F6763,CARTON_LOOKUP!$A:$E,4,0),"")</f>
      </c>
      <c r="I6763" s="28">
        <f>IFERROR(VLOOKUP(F6763,CARTON_LOOKUP!$A:$E,5,0),"")</f>
      </c>
      <c r="J6763" s="29">
        <f>IFERROR(VLOOKUP(F6763,CARTON_LOOKUP!$A:$E,2,0),"")</f>
      </c>
      <c r="K6763" s="29">
        <f>IFERROR(J6763*D6763,0)</f>
      </c>
      <c r="L6763" s="29">
        <f>IFERROR(E6763*C6763,0)</f>
      </c>
      <c r="M6763" s="29">
        <f>IFERROR((G6763*H6763*I6763/1000000)*D6763,0)</f>
      </c>
    </row>
    <row r="6764" spans="1:13" x14ac:dyDescent="0.25">
      <c r="A6764" s="16"/>
      <c r="E6764" s="27"/>
      <c r="F6764" t="s">
        <v>26</v>
      </c>
      <c r="G6764" s="28">
        <f>IFERROR(VLOOKUP(F6764,CARTON_LOOKUP!$A:$E,3,0),"")</f>
      </c>
      <c r="H6764" s="28">
        <f>IFERROR(VLOOKUP(F6764,CARTON_LOOKUP!$A:$E,4,0),"")</f>
      </c>
      <c r="I6764" s="28">
        <f>IFERROR(VLOOKUP(F6764,CARTON_LOOKUP!$A:$E,5,0),"")</f>
      </c>
      <c r="J6764" s="29">
        <f>IFERROR(VLOOKUP(F6764,CARTON_LOOKUP!$A:$E,2,0),"")</f>
      </c>
      <c r="K6764" s="29">
        <f>IFERROR(J6764*D6764,0)</f>
      </c>
      <c r="L6764" s="29">
        <f>IFERROR(E6764*C6764,0)</f>
      </c>
      <c r="M6764" s="29">
        <f>IFERROR((G6764*H6764*I6764/1000000)*D6764,0)</f>
      </c>
    </row>
    <row r="6765" spans="1:13" x14ac:dyDescent="0.25">
      <c r="A6765" s="16"/>
      <c r="E6765" s="27"/>
      <c r="F6765" t="s">
        <v>26</v>
      </c>
      <c r="G6765" s="28">
        <f>IFERROR(VLOOKUP(F6765,CARTON_LOOKUP!$A:$E,3,0),"")</f>
      </c>
      <c r="H6765" s="28">
        <f>IFERROR(VLOOKUP(F6765,CARTON_LOOKUP!$A:$E,4,0),"")</f>
      </c>
      <c r="I6765" s="28">
        <f>IFERROR(VLOOKUP(F6765,CARTON_LOOKUP!$A:$E,5,0),"")</f>
      </c>
      <c r="J6765" s="29">
        <f>IFERROR(VLOOKUP(F6765,CARTON_LOOKUP!$A:$E,2,0),"")</f>
      </c>
      <c r="K6765" s="29">
        <f>IFERROR(J6765*D6765,0)</f>
      </c>
      <c r="L6765" s="29">
        <f>IFERROR(E6765*C6765,0)</f>
      </c>
      <c r="M6765" s="29">
        <f>IFERROR((G6765*H6765*I6765/1000000)*D6765,0)</f>
      </c>
    </row>
    <row r="6766" spans="1:13" x14ac:dyDescent="0.25">
      <c r="A6766" s="16"/>
      <c r="E6766" s="27"/>
      <c r="F6766" t="s">
        <v>26</v>
      </c>
      <c r="G6766" s="28">
        <f>IFERROR(VLOOKUP(F6766,CARTON_LOOKUP!$A:$E,3,0),"")</f>
      </c>
      <c r="H6766" s="28">
        <f>IFERROR(VLOOKUP(F6766,CARTON_LOOKUP!$A:$E,4,0),"")</f>
      </c>
      <c r="I6766" s="28">
        <f>IFERROR(VLOOKUP(F6766,CARTON_LOOKUP!$A:$E,5,0),"")</f>
      </c>
      <c r="J6766" s="29">
        <f>IFERROR(VLOOKUP(F6766,CARTON_LOOKUP!$A:$E,2,0),"")</f>
      </c>
      <c r="K6766" s="29">
        <f>IFERROR(J6766*D6766,0)</f>
      </c>
      <c r="L6766" s="29">
        <f>IFERROR(E6766*C6766,0)</f>
      </c>
      <c r="M6766" s="29">
        <f>IFERROR((G6766*H6766*I6766/1000000)*D6766,0)</f>
      </c>
    </row>
    <row r="6767" spans="1:13" x14ac:dyDescent="0.25">
      <c r="A6767" s="16"/>
      <c r="E6767" s="27"/>
      <c r="F6767" t="s">
        <v>26</v>
      </c>
      <c r="G6767" s="28">
        <f>IFERROR(VLOOKUP(F6767,CARTON_LOOKUP!$A:$E,3,0),"")</f>
      </c>
      <c r="H6767" s="28">
        <f>IFERROR(VLOOKUP(F6767,CARTON_LOOKUP!$A:$E,4,0),"")</f>
      </c>
      <c r="I6767" s="28">
        <f>IFERROR(VLOOKUP(F6767,CARTON_LOOKUP!$A:$E,5,0),"")</f>
      </c>
      <c r="J6767" s="29">
        <f>IFERROR(VLOOKUP(F6767,CARTON_LOOKUP!$A:$E,2,0),"")</f>
      </c>
      <c r="K6767" s="29">
        <f>IFERROR(J6767*D6767,0)</f>
      </c>
      <c r="L6767" s="29">
        <f>IFERROR(E6767*C6767,0)</f>
      </c>
      <c r="M6767" s="29">
        <f>IFERROR((G6767*H6767*I6767/1000000)*D6767,0)</f>
      </c>
    </row>
    <row r="6768" spans="1:13" x14ac:dyDescent="0.25">
      <c r="A6768" s="16"/>
      <c r="E6768" s="27"/>
      <c r="F6768" t="s">
        <v>26</v>
      </c>
      <c r="G6768" s="28">
        <f>IFERROR(VLOOKUP(F6768,CARTON_LOOKUP!$A:$E,3,0),"")</f>
      </c>
      <c r="H6768" s="28">
        <f>IFERROR(VLOOKUP(F6768,CARTON_LOOKUP!$A:$E,4,0),"")</f>
      </c>
      <c r="I6768" s="28">
        <f>IFERROR(VLOOKUP(F6768,CARTON_LOOKUP!$A:$E,5,0),"")</f>
      </c>
      <c r="J6768" s="29">
        <f>IFERROR(VLOOKUP(F6768,CARTON_LOOKUP!$A:$E,2,0),"")</f>
      </c>
      <c r="K6768" s="29">
        <f>IFERROR(J6768*D6768,0)</f>
      </c>
      <c r="L6768" s="29">
        <f>IFERROR(E6768*C6768,0)</f>
      </c>
      <c r="M6768" s="29">
        <f>IFERROR((G6768*H6768*I6768/1000000)*D6768,0)</f>
      </c>
    </row>
    <row r="6769" spans="1:13" x14ac:dyDescent="0.25">
      <c r="A6769" s="16"/>
      <c r="E6769" s="27"/>
      <c r="F6769" t="s">
        <v>26</v>
      </c>
      <c r="G6769" s="28">
        <f>IFERROR(VLOOKUP(F6769,CARTON_LOOKUP!$A:$E,3,0),"")</f>
      </c>
      <c r="H6769" s="28">
        <f>IFERROR(VLOOKUP(F6769,CARTON_LOOKUP!$A:$E,4,0),"")</f>
      </c>
      <c r="I6769" s="28">
        <f>IFERROR(VLOOKUP(F6769,CARTON_LOOKUP!$A:$E,5,0),"")</f>
      </c>
      <c r="J6769" s="29">
        <f>IFERROR(VLOOKUP(F6769,CARTON_LOOKUP!$A:$E,2,0),"")</f>
      </c>
      <c r="K6769" s="29">
        <f>IFERROR(J6769*D6769,0)</f>
      </c>
      <c r="L6769" s="29">
        <f>IFERROR(E6769*C6769,0)</f>
      </c>
      <c r="M6769" s="29">
        <f>IFERROR((G6769*H6769*I6769/1000000)*D6769,0)</f>
      </c>
    </row>
    <row r="6770" spans="1:13" x14ac:dyDescent="0.25">
      <c r="A6770" s="16"/>
      <c r="E6770" s="27"/>
      <c r="F6770" t="s">
        <v>26</v>
      </c>
      <c r="G6770" s="28">
        <f>IFERROR(VLOOKUP(F6770,CARTON_LOOKUP!$A:$E,3,0),"")</f>
      </c>
      <c r="H6770" s="28">
        <f>IFERROR(VLOOKUP(F6770,CARTON_LOOKUP!$A:$E,4,0),"")</f>
      </c>
      <c r="I6770" s="28">
        <f>IFERROR(VLOOKUP(F6770,CARTON_LOOKUP!$A:$E,5,0),"")</f>
      </c>
      <c r="J6770" s="29">
        <f>IFERROR(VLOOKUP(F6770,CARTON_LOOKUP!$A:$E,2,0),"")</f>
      </c>
      <c r="K6770" s="29">
        <f>IFERROR(J6770*D6770,0)</f>
      </c>
      <c r="L6770" s="29">
        <f>IFERROR(E6770*C6770,0)</f>
      </c>
      <c r="M6770" s="29">
        <f>IFERROR((G6770*H6770*I6770/1000000)*D6770,0)</f>
      </c>
    </row>
    <row r="6771" spans="1:13" x14ac:dyDescent="0.25">
      <c r="A6771" s="16"/>
      <c r="E6771" s="27"/>
      <c r="F6771" t="s">
        <v>26</v>
      </c>
      <c r="G6771" s="28">
        <f>IFERROR(VLOOKUP(F6771,CARTON_LOOKUP!$A:$E,3,0),"")</f>
      </c>
      <c r="H6771" s="28">
        <f>IFERROR(VLOOKUP(F6771,CARTON_LOOKUP!$A:$E,4,0),"")</f>
      </c>
      <c r="I6771" s="28">
        <f>IFERROR(VLOOKUP(F6771,CARTON_LOOKUP!$A:$E,5,0),"")</f>
      </c>
      <c r="J6771" s="29">
        <f>IFERROR(VLOOKUP(F6771,CARTON_LOOKUP!$A:$E,2,0),"")</f>
      </c>
      <c r="K6771" s="29">
        <f>IFERROR(J6771*D6771,0)</f>
      </c>
      <c r="L6771" s="29">
        <f>IFERROR(E6771*C6771,0)</f>
      </c>
      <c r="M6771" s="29">
        <f>IFERROR((G6771*H6771*I6771/1000000)*D6771,0)</f>
      </c>
    </row>
    <row r="6772" spans="1:13" x14ac:dyDescent="0.25">
      <c r="A6772" s="16"/>
      <c r="E6772" s="27"/>
      <c r="F6772" t="s">
        <v>26</v>
      </c>
      <c r="G6772" s="28">
        <f>IFERROR(VLOOKUP(F6772,CARTON_LOOKUP!$A:$E,3,0),"")</f>
      </c>
      <c r="H6772" s="28">
        <f>IFERROR(VLOOKUP(F6772,CARTON_LOOKUP!$A:$E,4,0),"")</f>
      </c>
      <c r="I6772" s="28">
        <f>IFERROR(VLOOKUP(F6772,CARTON_LOOKUP!$A:$E,5,0),"")</f>
      </c>
      <c r="J6772" s="29">
        <f>IFERROR(VLOOKUP(F6772,CARTON_LOOKUP!$A:$E,2,0),"")</f>
      </c>
      <c r="K6772" s="29">
        <f>IFERROR(J6772*D6772,0)</f>
      </c>
      <c r="L6772" s="29">
        <f>IFERROR(E6772*C6772,0)</f>
      </c>
      <c r="M6772" s="29">
        <f>IFERROR((G6772*H6772*I6772/1000000)*D6772,0)</f>
      </c>
    </row>
    <row r="6773" spans="1:13" x14ac:dyDescent="0.25">
      <c r="A6773" s="16"/>
      <c r="E6773" s="27"/>
      <c r="F6773" t="s">
        <v>26</v>
      </c>
      <c r="G6773" s="28">
        <f>IFERROR(VLOOKUP(F6773,CARTON_LOOKUP!$A:$E,3,0),"")</f>
      </c>
      <c r="H6773" s="28">
        <f>IFERROR(VLOOKUP(F6773,CARTON_LOOKUP!$A:$E,4,0),"")</f>
      </c>
      <c r="I6773" s="28">
        <f>IFERROR(VLOOKUP(F6773,CARTON_LOOKUP!$A:$E,5,0),"")</f>
      </c>
      <c r="J6773" s="29">
        <f>IFERROR(VLOOKUP(F6773,CARTON_LOOKUP!$A:$E,2,0),"")</f>
      </c>
      <c r="K6773" s="29">
        <f>IFERROR(J6773*D6773,0)</f>
      </c>
      <c r="L6773" s="29">
        <f>IFERROR(E6773*C6773,0)</f>
      </c>
      <c r="M6773" s="29">
        <f>IFERROR((G6773*H6773*I6773/1000000)*D6773,0)</f>
      </c>
    </row>
    <row r="6774" spans="1:13" x14ac:dyDescent="0.25">
      <c r="A6774" s="16"/>
      <c r="E6774" s="27"/>
      <c r="F6774" t="s">
        <v>26</v>
      </c>
      <c r="G6774" s="28">
        <f>IFERROR(VLOOKUP(F6774,CARTON_LOOKUP!$A:$E,3,0),"")</f>
      </c>
      <c r="H6774" s="28">
        <f>IFERROR(VLOOKUP(F6774,CARTON_LOOKUP!$A:$E,4,0),"")</f>
      </c>
      <c r="I6774" s="28">
        <f>IFERROR(VLOOKUP(F6774,CARTON_LOOKUP!$A:$E,5,0),"")</f>
      </c>
      <c r="J6774" s="29">
        <f>IFERROR(VLOOKUP(F6774,CARTON_LOOKUP!$A:$E,2,0),"")</f>
      </c>
      <c r="K6774" s="29">
        <f>IFERROR(J6774*D6774,0)</f>
      </c>
      <c r="L6774" s="29">
        <f>IFERROR(E6774*C6774,0)</f>
      </c>
      <c r="M6774" s="29">
        <f>IFERROR((G6774*H6774*I6774/1000000)*D6774,0)</f>
      </c>
    </row>
    <row r="6775" spans="1:13" x14ac:dyDescent="0.25">
      <c r="A6775" s="16"/>
      <c r="E6775" s="27"/>
      <c r="F6775" t="s">
        <v>26</v>
      </c>
      <c r="G6775" s="28">
        <f>IFERROR(VLOOKUP(F6775,CARTON_LOOKUP!$A:$E,3,0),"")</f>
      </c>
      <c r="H6775" s="28">
        <f>IFERROR(VLOOKUP(F6775,CARTON_LOOKUP!$A:$E,4,0),"")</f>
      </c>
      <c r="I6775" s="28">
        <f>IFERROR(VLOOKUP(F6775,CARTON_LOOKUP!$A:$E,5,0),"")</f>
      </c>
      <c r="J6775" s="29">
        <f>IFERROR(VLOOKUP(F6775,CARTON_LOOKUP!$A:$E,2,0),"")</f>
      </c>
      <c r="K6775" s="29">
        <f>IFERROR(J6775*D6775,0)</f>
      </c>
      <c r="L6775" s="29">
        <f>IFERROR(E6775*C6775,0)</f>
      </c>
      <c r="M6775" s="29">
        <f>IFERROR((G6775*H6775*I6775/1000000)*D6775,0)</f>
      </c>
    </row>
    <row r="6776" spans="1:13" x14ac:dyDescent="0.25">
      <c r="A6776" s="16"/>
      <c r="E6776" s="27"/>
      <c r="F6776" t="s">
        <v>26</v>
      </c>
      <c r="G6776" s="28">
        <f>IFERROR(VLOOKUP(F6776,CARTON_LOOKUP!$A:$E,3,0),"")</f>
      </c>
      <c r="H6776" s="28">
        <f>IFERROR(VLOOKUP(F6776,CARTON_LOOKUP!$A:$E,4,0),"")</f>
      </c>
      <c r="I6776" s="28">
        <f>IFERROR(VLOOKUP(F6776,CARTON_LOOKUP!$A:$E,5,0),"")</f>
      </c>
      <c r="J6776" s="29">
        <f>IFERROR(VLOOKUP(F6776,CARTON_LOOKUP!$A:$E,2,0),"")</f>
      </c>
      <c r="K6776" s="29">
        <f>IFERROR(J6776*D6776,0)</f>
      </c>
      <c r="L6776" s="29">
        <f>IFERROR(E6776*C6776,0)</f>
      </c>
      <c r="M6776" s="29">
        <f>IFERROR((G6776*H6776*I6776/1000000)*D6776,0)</f>
      </c>
    </row>
    <row r="6777" spans="1:13" x14ac:dyDescent="0.25">
      <c r="A6777" s="16"/>
      <c r="E6777" s="27"/>
      <c r="F6777" t="s">
        <v>26</v>
      </c>
      <c r="G6777" s="28">
        <f>IFERROR(VLOOKUP(F6777,CARTON_LOOKUP!$A:$E,3,0),"")</f>
      </c>
      <c r="H6777" s="28">
        <f>IFERROR(VLOOKUP(F6777,CARTON_LOOKUP!$A:$E,4,0),"")</f>
      </c>
      <c r="I6777" s="28">
        <f>IFERROR(VLOOKUP(F6777,CARTON_LOOKUP!$A:$E,5,0),"")</f>
      </c>
      <c r="J6777" s="29">
        <f>IFERROR(VLOOKUP(F6777,CARTON_LOOKUP!$A:$E,2,0),"")</f>
      </c>
      <c r="K6777" s="29">
        <f>IFERROR(J6777*D6777,0)</f>
      </c>
      <c r="L6777" s="29">
        <f>IFERROR(E6777*C6777,0)</f>
      </c>
      <c r="M6777" s="29">
        <f>IFERROR((G6777*H6777*I6777/1000000)*D6777,0)</f>
      </c>
    </row>
    <row r="6778" spans="1:13" x14ac:dyDescent="0.25">
      <c r="A6778" s="16"/>
      <c r="E6778" s="27"/>
      <c r="F6778" t="s">
        <v>26</v>
      </c>
      <c r="G6778" s="28">
        <f>IFERROR(VLOOKUP(F6778,CARTON_LOOKUP!$A:$E,3,0),"")</f>
      </c>
      <c r="H6778" s="28">
        <f>IFERROR(VLOOKUP(F6778,CARTON_LOOKUP!$A:$E,4,0),"")</f>
      </c>
      <c r="I6778" s="28">
        <f>IFERROR(VLOOKUP(F6778,CARTON_LOOKUP!$A:$E,5,0),"")</f>
      </c>
      <c r="J6778" s="29">
        <f>IFERROR(VLOOKUP(F6778,CARTON_LOOKUP!$A:$E,2,0),"")</f>
      </c>
      <c r="K6778" s="29">
        <f>IFERROR(J6778*D6778,0)</f>
      </c>
      <c r="L6778" s="29">
        <f>IFERROR(E6778*C6778,0)</f>
      </c>
      <c r="M6778" s="29">
        <f>IFERROR((G6778*H6778*I6778/1000000)*D6778,0)</f>
      </c>
    </row>
    <row r="6779" spans="1:13" x14ac:dyDescent="0.25">
      <c r="A6779" s="16"/>
      <c r="E6779" s="27"/>
      <c r="F6779" t="s">
        <v>26</v>
      </c>
      <c r="G6779" s="28">
        <f>IFERROR(VLOOKUP(F6779,CARTON_LOOKUP!$A:$E,3,0),"")</f>
      </c>
      <c r="H6779" s="28">
        <f>IFERROR(VLOOKUP(F6779,CARTON_LOOKUP!$A:$E,4,0),"")</f>
      </c>
      <c r="I6779" s="28">
        <f>IFERROR(VLOOKUP(F6779,CARTON_LOOKUP!$A:$E,5,0),"")</f>
      </c>
      <c r="J6779" s="29">
        <f>IFERROR(VLOOKUP(F6779,CARTON_LOOKUP!$A:$E,2,0),"")</f>
      </c>
      <c r="K6779" s="29">
        <f>IFERROR(J6779*D6779,0)</f>
      </c>
      <c r="L6779" s="29">
        <f>IFERROR(E6779*C6779,0)</f>
      </c>
      <c r="M6779" s="29">
        <f>IFERROR((G6779*H6779*I6779/1000000)*D6779,0)</f>
      </c>
    </row>
    <row r="6780" spans="1:13" x14ac:dyDescent="0.25">
      <c r="A6780" s="16"/>
      <c r="E6780" s="27"/>
      <c r="F6780" t="s">
        <v>26</v>
      </c>
      <c r="G6780" s="28">
        <f>IFERROR(VLOOKUP(F6780,CARTON_LOOKUP!$A:$E,3,0),"")</f>
      </c>
      <c r="H6780" s="28">
        <f>IFERROR(VLOOKUP(F6780,CARTON_LOOKUP!$A:$E,4,0),"")</f>
      </c>
      <c r="I6780" s="28">
        <f>IFERROR(VLOOKUP(F6780,CARTON_LOOKUP!$A:$E,5,0),"")</f>
      </c>
      <c r="J6780" s="29">
        <f>IFERROR(VLOOKUP(F6780,CARTON_LOOKUP!$A:$E,2,0),"")</f>
      </c>
      <c r="K6780" s="29">
        <f>IFERROR(J6780*D6780,0)</f>
      </c>
      <c r="L6780" s="29">
        <f>IFERROR(E6780*C6780,0)</f>
      </c>
      <c r="M6780" s="29">
        <f>IFERROR((G6780*H6780*I6780/1000000)*D6780,0)</f>
      </c>
    </row>
    <row r="6781" spans="1:13" x14ac:dyDescent="0.25">
      <c r="A6781" s="16"/>
      <c r="E6781" s="27"/>
      <c r="F6781" t="s">
        <v>26</v>
      </c>
      <c r="G6781" s="28">
        <f>IFERROR(VLOOKUP(F6781,CARTON_LOOKUP!$A:$E,3,0),"")</f>
      </c>
      <c r="H6781" s="28">
        <f>IFERROR(VLOOKUP(F6781,CARTON_LOOKUP!$A:$E,4,0),"")</f>
      </c>
      <c r="I6781" s="28">
        <f>IFERROR(VLOOKUP(F6781,CARTON_LOOKUP!$A:$E,5,0),"")</f>
      </c>
      <c r="J6781" s="29">
        <f>IFERROR(VLOOKUP(F6781,CARTON_LOOKUP!$A:$E,2,0),"")</f>
      </c>
      <c r="K6781" s="29">
        <f>IFERROR(J6781*D6781,0)</f>
      </c>
      <c r="L6781" s="29">
        <f>IFERROR(E6781*C6781,0)</f>
      </c>
      <c r="M6781" s="29">
        <f>IFERROR((G6781*H6781*I6781/1000000)*D6781,0)</f>
      </c>
    </row>
    <row r="6782" spans="1:13" x14ac:dyDescent="0.25">
      <c r="A6782" s="16"/>
      <c r="E6782" s="27"/>
      <c r="F6782" t="s">
        <v>26</v>
      </c>
      <c r="G6782" s="28">
        <f>IFERROR(VLOOKUP(F6782,CARTON_LOOKUP!$A:$E,3,0),"")</f>
      </c>
      <c r="H6782" s="28">
        <f>IFERROR(VLOOKUP(F6782,CARTON_LOOKUP!$A:$E,4,0),"")</f>
      </c>
      <c r="I6782" s="28">
        <f>IFERROR(VLOOKUP(F6782,CARTON_LOOKUP!$A:$E,5,0),"")</f>
      </c>
      <c r="J6782" s="29">
        <f>IFERROR(VLOOKUP(F6782,CARTON_LOOKUP!$A:$E,2,0),"")</f>
      </c>
      <c r="K6782" s="29">
        <f>IFERROR(J6782*D6782,0)</f>
      </c>
      <c r="L6782" s="29">
        <f>IFERROR(E6782*C6782,0)</f>
      </c>
      <c r="M6782" s="29">
        <f>IFERROR((G6782*H6782*I6782/1000000)*D6782,0)</f>
      </c>
    </row>
    <row r="6783" spans="1:13" x14ac:dyDescent="0.25">
      <c r="A6783" s="16"/>
      <c r="E6783" s="27"/>
      <c r="F6783" t="s">
        <v>26</v>
      </c>
      <c r="G6783" s="28">
        <f>IFERROR(VLOOKUP(F6783,CARTON_LOOKUP!$A:$E,3,0),"")</f>
      </c>
      <c r="H6783" s="28">
        <f>IFERROR(VLOOKUP(F6783,CARTON_LOOKUP!$A:$E,4,0),"")</f>
      </c>
      <c r="I6783" s="28">
        <f>IFERROR(VLOOKUP(F6783,CARTON_LOOKUP!$A:$E,5,0),"")</f>
      </c>
      <c r="J6783" s="29">
        <f>IFERROR(VLOOKUP(F6783,CARTON_LOOKUP!$A:$E,2,0),"")</f>
      </c>
      <c r="K6783" s="29">
        <f>IFERROR(J6783*D6783,0)</f>
      </c>
      <c r="L6783" s="29">
        <f>IFERROR(E6783*C6783,0)</f>
      </c>
      <c r="M6783" s="29">
        <f>IFERROR((G6783*H6783*I6783/1000000)*D6783,0)</f>
      </c>
    </row>
    <row r="6784" spans="1:13" x14ac:dyDescent="0.25">
      <c r="A6784" s="16"/>
      <c r="E6784" s="27"/>
      <c r="F6784" t="s">
        <v>26</v>
      </c>
      <c r="G6784" s="28">
        <f>IFERROR(VLOOKUP(F6784,CARTON_LOOKUP!$A:$E,3,0),"")</f>
      </c>
      <c r="H6784" s="28">
        <f>IFERROR(VLOOKUP(F6784,CARTON_LOOKUP!$A:$E,4,0),"")</f>
      </c>
      <c r="I6784" s="28">
        <f>IFERROR(VLOOKUP(F6784,CARTON_LOOKUP!$A:$E,5,0),"")</f>
      </c>
      <c r="J6784" s="29">
        <f>IFERROR(VLOOKUP(F6784,CARTON_LOOKUP!$A:$E,2,0),"")</f>
      </c>
      <c r="K6784" s="29">
        <f>IFERROR(J6784*D6784,0)</f>
      </c>
      <c r="L6784" s="29">
        <f>IFERROR(E6784*C6784,0)</f>
      </c>
      <c r="M6784" s="29">
        <f>IFERROR((G6784*H6784*I6784/1000000)*D6784,0)</f>
      </c>
    </row>
    <row r="6785" spans="1:13" x14ac:dyDescent="0.25">
      <c r="A6785" s="16"/>
      <c r="E6785" s="27"/>
      <c r="F6785" t="s">
        <v>26</v>
      </c>
      <c r="G6785" s="28">
        <f>IFERROR(VLOOKUP(F6785,CARTON_LOOKUP!$A:$E,3,0),"")</f>
      </c>
      <c r="H6785" s="28">
        <f>IFERROR(VLOOKUP(F6785,CARTON_LOOKUP!$A:$E,4,0),"")</f>
      </c>
      <c r="I6785" s="28">
        <f>IFERROR(VLOOKUP(F6785,CARTON_LOOKUP!$A:$E,5,0),"")</f>
      </c>
      <c r="J6785" s="29">
        <f>IFERROR(VLOOKUP(F6785,CARTON_LOOKUP!$A:$E,2,0),"")</f>
      </c>
      <c r="K6785" s="29">
        <f>IFERROR(J6785*D6785,0)</f>
      </c>
      <c r="L6785" s="29">
        <f>IFERROR(E6785*C6785,0)</f>
      </c>
      <c r="M6785" s="29">
        <f>IFERROR((G6785*H6785*I6785/1000000)*D6785,0)</f>
      </c>
    </row>
    <row r="6786" spans="1:13" x14ac:dyDescent="0.25">
      <c r="A6786" s="16"/>
      <c r="E6786" s="27"/>
      <c r="F6786" t="s">
        <v>26</v>
      </c>
      <c r="G6786" s="28">
        <f>IFERROR(VLOOKUP(F6786,CARTON_LOOKUP!$A:$E,3,0),"")</f>
      </c>
      <c r="H6786" s="28">
        <f>IFERROR(VLOOKUP(F6786,CARTON_LOOKUP!$A:$E,4,0),"")</f>
      </c>
      <c r="I6786" s="28">
        <f>IFERROR(VLOOKUP(F6786,CARTON_LOOKUP!$A:$E,5,0),"")</f>
      </c>
      <c r="J6786" s="29">
        <f>IFERROR(VLOOKUP(F6786,CARTON_LOOKUP!$A:$E,2,0),"")</f>
      </c>
      <c r="K6786" s="29">
        <f>IFERROR(J6786*D6786,0)</f>
      </c>
      <c r="L6786" s="29">
        <f>IFERROR(E6786*C6786,0)</f>
      </c>
      <c r="M6786" s="29">
        <f>IFERROR((G6786*H6786*I6786/1000000)*D6786,0)</f>
      </c>
    </row>
    <row r="6787" spans="1:13" x14ac:dyDescent="0.25">
      <c r="A6787" s="16"/>
      <c r="E6787" s="27"/>
      <c r="F6787" t="s">
        <v>26</v>
      </c>
      <c r="G6787" s="28">
        <f>IFERROR(VLOOKUP(F6787,CARTON_LOOKUP!$A:$E,3,0),"")</f>
      </c>
      <c r="H6787" s="28">
        <f>IFERROR(VLOOKUP(F6787,CARTON_LOOKUP!$A:$E,4,0),"")</f>
      </c>
      <c r="I6787" s="28">
        <f>IFERROR(VLOOKUP(F6787,CARTON_LOOKUP!$A:$E,5,0),"")</f>
      </c>
      <c r="J6787" s="29">
        <f>IFERROR(VLOOKUP(F6787,CARTON_LOOKUP!$A:$E,2,0),"")</f>
      </c>
      <c r="K6787" s="29">
        <f>IFERROR(J6787*D6787,0)</f>
      </c>
      <c r="L6787" s="29">
        <f>IFERROR(E6787*C6787,0)</f>
      </c>
      <c r="M6787" s="29">
        <f>IFERROR((G6787*H6787*I6787/1000000)*D6787,0)</f>
      </c>
    </row>
    <row r="6788" spans="1:13" x14ac:dyDescent="0.25">
      <c r="A6788" s="16"/>
      <c r="E6788" s="27"/>
      <c r="F6788" t="s">
        <v>26</v>
      </c>
      <c r="G6788" s="28">
        <f>IFERROR(VLOOKUP(F6788,CARTON_LOOKUP!$A:$E,3,0),"")</f>
      </c>
      <c r="H6788" s="28">
        <f>IFERROR(VLOOKUP(F6788,CARTON_LOOKUP!$A:$E,4,0),"")</f>
      </c>
      <c r="I6788" s="28">
        <f>IFERROR(VLOOKUP(F6788,CARTON_LOOKUP!$A:$E,5,0),"")</f>
      </c>
      <c r="J6788" s="29">
        <f>IFERROR(VLOOKUP(F6788,CARTON_LOOKUP!$A:$E,2,0),"")</f>
      </c>
      <c r="K6788" s="29">
        <f>IFERROR(J6788*D6788,0)</f>
      </c>
      <c r="L6788" s="29">
        <f>IFERROR(E6788*C6788,0)</f>
      </c>
      <c r="M6788" s="29">
        <f>IFERROR((G6788*H6788*I6788/1000000)*D6788,0)</f>
      </c>
    </row>
    <row r="6789" spans="1:13" x14ac:dyDescent="0.25">
      <c r="A6789" s="16"/>
      <c r="E6789" s="27"/>
      <c r="F6789" t="s">
        <v>26</v>
      </c>
      <c r="G6789" s="28">
        <f>IFERROR(VLOOKUP(F6789,CARTON_LOOKUP!$A:$E,3,0),"")</f>
      </c>
      <c r="H6789" s="28">
        <f>IFERROR(VLOOKUP(F6789,CARTON_LOOKUP!$A:$E,4,0),"")</f>
      </c>
      <c r="I6789" s="28">
        <f>IFERROR(VLOOKUP(F6789,CARTON_LOOKUP!$A:$E,5,0),"")</f>
      </c>
      <c r="J6789" s="29">
        <f>IFERROR(VLOOKUP(F6789,CARTON_LOOKUP!$A:$E,2,0),"")</f>
      </c>
      <c r="K6789" s="29">
        <f>IFERROR(J6789*D6789,0)</f>
      </c>
      <c r="L6789" s="29">
        <f>IFERROR(E6789*C6789,0)</f>
      </c>
      <c r="M6789" s="29">
        <f>IFERROR((G6789*H6789*I6789/1000000)*D6789,0)</f>
      </c>
    </row>
    <row r="6790" spans="1:13" x14ac:dyDescent="0.25">
      <c r="A6790" s="16"/>
      <c r="E6790" s="27"/>
      <c r="F6790" t="s">
        <v>26</v>
      </c>
      <c r="G6790" s="28">
        <f>IFERROR(VLOOKUP(F6790,CARTON_LOOKUP!$A:$E,3,0),"")</f>
      </c>
      <c r="H6790" s="28">
        <f>IFERROR(VLOOKUP(F6790,CARTON_LOOKUP!$A:$E,4,0),"")</f>
      </c>
      <c r="I6790" s="28">
        <f>IFERROR(VLOOKUP(F6790,CARTON_LOOKUP!$A:$E,5,0),"")</f>
      </c>
      <c r="J6790" s="29">
        <f>IFERROR(VLOOKUP(F6790,CARTON_LOOKUP!$A:$E,2,0),"")</f>
      </c>
      <c r="K6790" s="29">
        <f>IFERROR(J6790*D6790,0)</f>
      </c>
      <c r="L6790" s="29">
        <f>IFERROR(E6790*C6790,0)</f>
      </c>
      <c r="M6790" s="29">
        <f>IFERROR((G6790*H6790*I6790/1000000)*D6790,0)</f>
      </c>
    </row>
    <row r="6791" spans="1:13" x14ac:dyDescent="0.25">
      <c r="A6791" s="16"/>
      <c r="E6791" s="27"/>
      <c r="F6791" t="s">
        <v>26</v>
      </c>
      <c r="G6791" s="28">
        <f>IFERROR(VLOOKUP(F6791,CARTON_LOOKUP!$A:$E,3,0),"")</f>
      </c>
      <c r="H6791" s="28">
        <f>IFERROR(VLOOKUP(F6791,CARTON_LOOKUP!$A:$E,4,0),"")</f>
      </c>
      <c r="I6791" s="28">
        <f>IFERROR(VLOOKUP(F6791,CARTON_LOOKUP!$A:$E,5,0),"")</f>
      </c>
      <c r="J6791" s="29">
        <f>IFERROR(VLOOKUP(F6791,CARTON_LOOKUP!$A:$E,2,0),"")</f>
      </c>
      <c r="K6791" s="29">
        <f>IFERROR(J6791*D6791,0)</f>
      </c>
      <c r="L6791" s="29">
        <f>IFERROR(E6791*C6791,0)</f>
      </c>
      <c r="M6791" s="29">
        <f>IFERROR((G6791*H6791*I6791/1000000)*D6791,0)</f>
      </c>
    </row>
    <row r="6792" spans="1:13" x14ac:dyDescent="0.25">
      <c r="A6792" s="16"/>
      <c r="E6792" s="27"/>
      <c r="F6792" t="s">
        <v>26</v>
      </c>
      <c r="G6792" s="28">
        <f>IFERROR(VLOOKUP(F6792,CARTON_LOOKUP!$A:$E,3,0),"")</f>
      </c>
      <c r="H6792" s="28">
        <f>IFERROR(VLOOKUP(F6792,CARTON_LOOKUP!$A:$E,4,0),"")</f>
      </c>
      <c r="I6792" s="28">
        <f>IFERROR(VLOOKUP(F6792,CARTON_LOOKUP!$A:$E,5,0),"")</f>
      </c>
      <c r="J6792" s="29">
        <f>IFERROR(VLOOKUP(F6792,CARTON_LOOKUP!$A:$E,2,0),"")</f>
      </c>
      <c r="K6792" s="29">
        <f>IFERROR(J6792*D6792,0)</f>
      </c>
      <c r="L6792" s="29">
        <f>IFERROR(E6792*C6792,0)</f>
      </c>
      <c r="M6792" s="29">
        <f>IFERROR((G6792*H6792*I6792/1000000)*D6792,0)</f>
      </c>
    </row>
    <row r="6793" spans="1:13" x14ac:dyDescent="0.25">
      <c r="A6793" s="16"/>
      <c r="E6793" s="27"/>
      <c r="F6793" t="s">
        <v>26</v>
      </c>
      <c r="G6793" s="28">
        <f>IFERROR(VLOOKUP(F6793,CARTON_LOOKUP!$A:$E,3,0),"")</f>
      </c>
      <c r="H6793" s="28">
        <f>IFERROR(VLOOKUP(F6793,CARTON_LOOKUP!$A:$E,4,0),"")</f>
      </c>
      <c r="I6793" s="28">
        <f>IFERROR(VLOOKUP(F6793,CARTON_LOOKUP!$A:$E,5,0),"")</f>
      </c>
      <c r="J6793" s="29">
        <f>IFERROR(VLOOKUP(F6793,CARTON_LOOKUP!$A:$E,2,0),"")</f>
      </c>
      <c r="K6793" s="29">
        <f>IFERROR(J6793*D6793,0)</f>
      </c>
      <c r="L6793" s="29">
        <f>IFERROR(E6793*C6793,0)</f>
      </c>
      <c r="M6793" s="29">
        <f>IFERROR((G6793*H6793*I6793/1000000)*D6793,0)</f>
      </c>
    </row>
    <row r="6794" spans="1:13" x14ac:dyDescent="0.25">
      <c r="A6794" s="16"/>
      <c r="E6794" s="27"/>
      <c r="F6794" t="s">
        <v>26</v>
      </c>
      <c r="G6794" s="28">
        <f>IFERROR(VLOOKUP(F6794,CARTON_LOOKUP!$A:$E,3,0),"")</f>
      </c>
      <c r="H6794" s="28">
        <f>IFERROR(VLOOKUP(F6794,CARTON_LOOKUP!$A:$E,4,0),"")</f>
      </c>
      <c r="I6794" s="28">
        <f>IFERROR(VLOOKUP(F6794,CARTON_LOOKUP!$A:$E,5,0),"")</f>
      </c>
      <c r="J6794" s="29">
        <f>IFERROR(VLOOKUP(F6794,CARTON_LOOKUP!$A:$E,2,0),"")</f>
      </c>
      <c r="K6794" s="29">
        <f>IFERROR(J6794*D6794,0)</f>
      </c>
      <c r="L6794" s="29">
        <f>IFERROR(E6794*C6794,0)</f>
      </c>
      <c r="M6794" s="29">
        <f>IFERROR((G6794*H6794*I6794/1000000)*D6794,0)</f>
      </c>
    </row>
    <row r="6795" spans="1:13" x14ac:dyDescent="0.25">
      <c r="A6795" s="16"/>
      <c r="E6795" s="27"/>
      <c r="F6795" t="s">
        <v>26</v>
      </c>
      <c r="G6795" s="28">
        <f>IFERROR(VLOOKUP(F6795,CARTON_LOOKUP!$A:$E,3,0),"")</f>
      </c>
      <c r="H6795" s="28">
        <f>IFERROR(VLOOKUP(F6795,CARTON_LOOKUP!$A:$E,4,0),"")</f>
      </c>
      <c r="I6795" s="28">
        <f>IFERROR(VLOOKUP(F6795,CARTON_LOOKUP!$A:$E,5,0),"")</f>
      </c>
      <c r="J6795" s="29">
        <f>IFERROR(VLOOKUP(F6795,CARTON_LOOKUP!$A:$E,2,0),"")</f>
      </c>
      <c r="K6795" s="29">
        <f>IFERROR(J6795*D6795,0)</f>
      </c>
      <c r="L6795" s="29">
        <f>IFERROR(E6795*C6795,0)</f>
      </c>
      <c r="M6795" s="29">
        <f>IFERROR((G6795*H6795*I6795/1000000)*D6795,0)</f>
      </c>
    </row>
    <row r="6796" spans="1:13" x14ac:dyDescent="0.25">
      <c r="A6796" s="16"/>
      <c r="E6796" s="27"/>
      <c r="F6796" t="s">
        <v>26</v>
      </c>
      <c r="G6796" s="28">
        <f>IFERROR(VLOOKUP(F6796,CARTON_LOOKUP!$A:$E,3,0),"")</f>
      </c>
      <c r="H6796" s="28">
        <f>IFERROR(VLOOKUP(F6796,CARTON_LOOKUP!$A:$E,4,0),"")</f>
      </c>
      <c r="I6796" s="28">
        <f>IFERROR(VLOOKUP(F6796,CARTON_LOOKUP!$A:$E,5,0),"")</f>
      </c>
      <c r="J6796" s="29">
        <f>IFERROR(VLOOKUP(F6796,CARTON_LOOKUP!$A:$E,2,0),"")</f>
      </c>
      <c r="K6796" s="29">
        <f>IFERROR(J6796*D6796,0)</f>
      </c>
      <c r="L6796" s="29">
        <f>IFERROR(E6796*C6796,0)</f>
      </c>
      <c r="M6796" s="29">
        <f>IFERROR((G6796*H6796*I6796/1000000)*D6796,0)</f>
      </c>
    </row>
    <row r="6797" spans="1:13" x14ac:dyDescent="0.25">
      <c r="A6797" s="16"/>
      <c r="E6797" s="27"/>
      <c r="F6797" t="s">
        <v>26</v>
      </c>
      <c r="G6797" s="28">
        <f>IFERROR(VLOOKUP(F6797,CARTON_LOOKUP!$A:$E,3,0),"")</f>
      </c>
      <c r="H6797" s="28">
        <f>IFERROR(VLOOKUP(F6797,CARTON_LOOKUP!$A:$E,4,0),"")</f>
      </c>
      <c r="I6797" s="28">
        <f>IFERROR(VLOOKUP(F6797,CARTON_LOOKUP!$A:$E,5,0),"")</f>
      </c>
      <c r="J6797" s="29">
        <f>IFERROR(VLOOKUP(F6797,CARTON_LOOKUP!$A:$E,2,0),"")</f>
      </c>
      <c r="K6797" s="29">
        <f>IFERROR(J6797*D6797,0)</f>
      </c>
      <c r="L6797" s="29">
        <f>IFERROR(E6797*C6797,0)</f>
      </c>
      <c r="M6797" s="29">
        <f>IFERROR((G6797*H6797*I6797/1000000)*D6797,0)</f>
      </c>
    </row>
    <row r="6798" spans="1:13" x14ac:dyDescent="0.25">
      <c r="A6798" s="16"/>
      <c r="E6798" s="27"/>
      <c r="F6798" t="s">
        <v>26</v>
      </c>
      <c r="G6798" s="28">
        <f>IFERROR(VLOOKUP(F6798,CARTON_LOOKUP!$A:$E,3,0),"")</f>
      </c>
      <c r="H6798" s="28">
        <f>IFERROR(VLOOKUP(F6798,CARTON_LOOKUP!$A:$E,4,0),"")</f>
      </c>
      <c r="I6798" s="28">
        <f>IFERROR(VLOOKUP(F6798,CARTON_LOOKUP!$A:$E,5,0),"")</f>
      </c>
      <c r="J6798" s="29">
        <f>IFERROR(VLOOKUP(F6798,CARTON_LOOKUP!$A:$E,2,0),"")</f>
      </c>
      <c r="K6798" s="29">
        <f>IFERROR(J6798*D6798,0)</f>
      </c>
      <c r="L6798" s="29">
        <f>IFERROR(E6798*C6798,0)</f>
      </c>
      <c r="M6798" s="29">
        <f>IFERROR((G6798*H6798*I6798/1000000)*D6798,0)</f>
      </c>
    </row>
    <row r="6799" spans="1:13" x14ac:dyDescent="0.25">
      <c r="A6799" s="16"/>
      <c r="E6799" s="27"/>
      <c r="F6799" t="s">
        <v>26</v>
      </c>
      <c r="G6799" s="28">
        <f>IFERROR(VLOOKUP(F6799,CARTON_LOOKUP!$A:$E,3,0),"")</f>
      </c>
      <c r="H6799" s="28">
        <f>IFERROR(VLOOKUP(F6799,CARTON_LOOKUP!$A:$E,4,0),"")</f>
      </c>
      <c r="I6799" s="28">
        <f>IFERROR(VLOOKUP(F6799,CARTON_LOOKUP!$A:$E,5,0),"")</f>
      </c>
      <c r="J6799" s="29">
        <f>IFERROR(VLOOKUP(F6799,CARTON_LOOKUP!$A:$E,2,0),"")</f>
      </c>
      <c r="K6799" s="29">
        <f>IFERROR(J6799*D6799,0)</f>
      </c>
      <c r="L6799" s="29">
        <f>IFERROR(E6799*C6799,0)</f>
      </c>
      <c r="M6799" s="29">
        <f>IFERROR((G6799*H6799*I6799/1000000)*D6799,0)</f>
      </c>
    </row>
    <row r="6800" spans="1:13" x14ac:dyDescent="0.25">
      <c r="A6800" s="16"/>
      <c r="E6800" s="27"/>
      <c r="F6800" t="s">
        <v>26</v>
      </c>
      <c r="G6800" s="28">
        <f>IFERROR(VLOOKUP(F6800,CARTON_LOOKUP!$A:$E,3,0),"")</f>
      </c>
      <c r="H6800" s="28">
        <f>IFERROR(VLOOKUP(F6800,CARTON_LOOKUP!$A:$E,4,0),"")</f>
      </c>
      <c r="I6800" s="28">
        <f>IFERROR(VLOOKUP(F6800,CARTON_LOOKUP!$A:$E,5,0),"")</f>
      </c>
      <c r="J6800" s="29">
        <f>IFERROR(VLOOKUP(F6800,CARTON_LOOKUP!$A:$E,2,0),"")</f>
      </c>
      <c r="K6800" s="29">
        <f>IFERROR(J6800*D6800,0)</f>
      </c>
      <c r="L6800" s="29">
        <f>IFERROR(E6800*C6800,0)</f>
      </c>
      <c r="M6800" s="29">
        <f>IFERROR((G6800*H6800*I6800/1000000)*D6800,0)</f>
      </c>
    </row>
    <row r="6801" spans="1:13" x14ac:dyDescent="0.25">
      <c r="A6801" s="16"/>
      <c r="E6801" s="27"/>
      <c r="F6801" t="s">
        <v>26</v>
      </c>
      <c r="G6801" s="28">
        <f>IFERROR(VLOOKUP(F6801,CARTON_LOOKUP!$A:$E,3,0),"")</f>
      </c>
      <c r="H6801" s="28">
        <f>IFERROR(VLOOKUP(F6801,CARTON_LOOKUP!$A:$E,4,0),"")</f>
      </c>
      <c r="I6801" s="28">
        <f>IFERROR(VLOOKUP(F6801,CARTON_LOOKUP!$A:$E,5,0),"")</f>
      </c>
      <c r="J6801" s="29">
        <f>IFERROR(VLOOKUP(F6801,CARTON_LOOKUP!$A:$E,2,0),"")</f>
      </c>
      <c r="K6801" s="29">
        <f>IFERROR(J6801*D6801,0)</f>
      </c>
      <c r="L6801" s="29">
        <f>IFERROR(E6801*C6801,0)</f>
      </c>
      <c r="M6801" s="29">
        <f>IFERROR((G6801*H6801*I6801/1000000)*D6801,0)</f>
      </c>
    </row>
    <row r="6802" spans="1:13" x14ac:dyDescent="0.25">
      <c r="A6802" s="16"/>
      <c r="E6802" s="27"/>
      <c r="F6802" t="s">
        <v>26</v>
      </c>
      <c r="G6802" s="28">
        <f>IFERROR(VLOOKUP(F6802,CARTON_LOOKUP!$A:$E,3,0),"")</f>
      </c>
      <c r="H6802" s="28">
        <f>IFERROR(VLOOKUP(F6802,CARTON_LOOKUP!$A:$E,4,0),"")</f>
      </c>
      <c r="I6802" s="28">
        <f>IFERROR(VLOOKUP(F6802,CARTON_LOOKUP!$A:$E,5,0),"")</f>
      </c>
      <c r="J6802" s="29">
        <f>IFERROR(VLOOKUP(F6802,CARTON_LOOKUP!$A:$E,2,0),"")</f>
      </c>
      <c r="K6802" s="29">
        <f>IFERROR(J6802*D6802,0)</f>
      </c>
      <c r="L6802" s="29">
        <f>IFERROR(E6802*C6802,0)</f>
      </c>
      <c r="M6802" s="29">
        <f>IFERROR((G6802*H6802*I6802/1000000)*D6802,0)</f>
      </c>
    </row>
    <row r="6803" spans="1:13" x14ac:dyDescent="0.25">
      <c r="A6803" s="16"/>
      <c r="E6803" s="27"/>
      <c r="F6803" t="s">
        <v>26</v>
      </c>
      <c r="G6803" s="28">
        <f>IFERROR(VLOOKUP(F6803,CARTON_LOOKUP!$A:$E,3,0),"")</f>
      </c>
      <c r="H6803" s="28">
        <f>IFERROR(VLOOKUP(F6803,CARTON_LOOKUP!$A:$E,4,0),"")</f>
      </c>
      <c r="I6803" s="28">
        <f>IFERROR(VLOOKUP(F6803,CARTON_LOOKUP!$A:$E,5,0),"")</f>
      </c>
      <c r="J6803" s="29">
        <f>IFERROR(VLOOKUP(F6803,CARTON_LOOKUP!$A:$E,2,0),"")</f>
      </c>
      <c r="K6803" s="29">
        <f>IFERROR(J6803*D6803,0)</f>
      </c>
      <c r="L6803" s="29">
        <f>IFERROR(E6803*C6803,0)</f>
      </c>
      <c r="M6803" s="29">
        <f>IFERROR((G6803*H6803*I6803/1000000)*D6803,0)</f>
      </c>
    </row>
    <row r="6804" spans="1:13" x14ac:dyDescent="0.25">
      <c r="A6804" s="16"/>
      <c r="E6804" s="27"/>
      <c r="F6804" t="s">
        <v>26</v>
      </c>
      <c r="G6804" s="28">
        <f>IFERROR(VLOOKUP(F6804,CARTON_LOOKUP!$A:$E,3,0),"")</f>
      </c>
      <c r="H6804" s="28">
        <f>IFERROR(VLOOKUP(F6804,CARTON_LOOKUP!$A:$E,4,0),"")</f>
      </c>
      <c r="I6804" s="28">
        <f>IFERROR(VLOOKUP(F6804,CARTON_LOOKUP!$A:$E,5,0),"")</f>
      </c>
      <c r="J6804" s="29">
        <f>IFERROR(VLOOKUP(F6804,CARTON_LOOKUP!$A:$E,2,0),"")</f>
      </c>
      <c r="K6804" s="29">
        <f>IFERROR(J6804*D6804,0)</f>
      </c>
      <c r="L6804" s="29">
        <f>IFERROR(E6804*C6804,0)</f>
      </c>
      <c r="M6804" s="29">
        <f>IFERROR((G6804*H6804*I6804/1000000)*D6804,0)</f>
      </c>
    </row>
    <row r="6805" spans="1:13" x14ac:dyDescent="0.25">
      <c r="A6805" s="16"/>
      <c r="E6805" s="27"/>
      <c r="F6805" t="s">
        <v>26</v>
      </c>
      <c r="G6805" s="28">
        <f>IFERROR(VLOOKUP(F6805,CARTON_LOOKUP!$A:$E,3,0),"")</f>
      </c>
      <c r="H6805" s="28">
        <f>IFERROR(VLOOKUP(F6805,CARTON_LOOKUP!$A:$E,4,0),"")</f>
      </c>
      <c r="I6805" s="28">
        <f>IFERROR(VLOOKUP(F6805,CARTON_LOOKUP!$A:$E,5,0),"")</f>
      </c>
      <c r="J6805" s="29">
        <f>IFERROR(VLOOKUP(F6805,CARTON_LOOKUP!$A:$E,2,0),"")</f>
      </c>
      <c r="K6805" s="29">
        <f>IFERROR(J6805*D6805,0)</f>
      </c>
      <c r="L6805" s="29">
        <f>IFERROR(E6805*C6805,0)</f>
      </c>
      <c r="M6805" s="29">
        <f>IFERROR((G6805*H6805*I6805/1000000)*D6805,0)</f>
      </c>
    </row>
    <row r="6806" spans="1:13" x14ac:dyDescent="0.25">
      <c r="A6806" s="16"/>
      <c r="E6806" s="27"/>
      <c r="F6806" t="s">
        <v>26</v>
      </c>
      <c r="G6806" s="28">
        <f>IFERROR(VLOOKUP(F6806,CARTON_LOOKUP!$A:$E,3,0),"")</f>
      </c>
      <c r="H6806" s="28">
        <f>IFERROR(VLOOKUP(F6806,CARTON_LOOKUP!$A:$E,4,0),"")</f>
      </c>
      <c r="I6806" s="28">
        <f>IFERROR(VLOOKUP(F6806,CARTON_LOOKUP!$A:$E,5,0),"")</f>
      </c>
      <c r="J6806" s="29">
        <f>IFERROR(VLOOKUP(F6806,CARTON_LOOKUP!$A:$E,2,0),"")</f>
      </c>
      <c r="K6806" s="29">
        <f>IFERROR(J6806*D6806,0)</f>
      </c>
      <c r="L6806" s="29">
        <f>IFERROR(E6806*C6806,0)</f>
      </c>
      <c r="M6806" s="29">
        <f>IFERROR((G6806*H6806*I6806/1000000)*D6806,0)</f>
      </c>
    </row>
    <row r="6807" spans="1:13" x14ac:dyDescent="0.25">
      <c r="A6807" s="16"/>
      <c r="E6807" s="27"/>
      <c r="F6807" t="s">
        <v>26</v>
      </c>
      <c r="G6807" s="28">
        <f>IFERROR(VLOOKUP(F6807,CARTON_LOOKUP!$A:$E,3,0),"")</f>
      </c>
      <c r="H6807" s="28">
        <f>IFERROR(VLOOKUP(F6807,CARTON_LOOKUP!$A:$E,4,0),"")</f>
      </c>
      <c r="I6807" s="28">
        <f>IFERROR(VLOOKUP(F6807,CARTON_LOOKUP!$A:$E,5,0),"")</f>
      </c>
      <c r="J6807" s="29">
        <f>IFERROR(VLOOKUP(F6807,CARTON_LOOKUP!$A:$E,2,0),"")</f>
      </c>
      <c r="K6807" s="29">
        <f>IFERROR(J6807*D6807,0)</f>
      </c>
      <c r="L6807" s="29">
        <f>IFERROR(E6807*C6807,0)</f>
      </c>
      <c r="M6807" s="29">
        <f>IFERROR((G6807*H6807*I6807/1000000)*D6807,0)</f>
      </c>
    </row>
    <row r="6808" spans="1:13" x14ac:dyDescent="0.25">
      <c r="A6808" s="16"/>
      <c r="E6808" s="27"/>
      <c r="F6808" t="s">
        <v>26</v>
      </c>
      <c r="G6808" s="28">
        <f>IFERROR(VLOOKUP(F6808,CARTON_LOOKUP!$A:$E,3,0),"")</f>
      </c>
      <c r="H6808" s="28">
        <f>IFERROR(VLOOKUP(F6808,CARTON_LOOKUP!$A:$E,4,0),"")</f>
      </c>
      <c r="I6808" s="28">
        <f>IFERROR(VLOOKUP(F6808,CARTON_LOOKUP!$A:$E,5,0),"")</f>
      </c>
      <c r="J6808" s="29">
        <f>IFERROR(VLOOKUP(F6808,CARTON_LOOKUP!$A:$E,2,0),"")</f>
      </c>
      <c r="K6808" s="29">
        <f>IFERROR(J6808*D6808,0)</f>
      </c>
      <c r="L6808" s="29">
        <f>IFERROR(E6808*C6808,0)</f>
      </c>
      <c r="M6808" s="29">
        <f>IFERROR((G6808*H6808*I6808/1000000)*D6808,0)</f>
      </c>
    </row>
    <row r="6809" spans="1:13" x14ac:dyDescent="0.25">
      <c r="A6809" s="16"/>
      <c r="E6809" s="27"/>
      <c r="F6809" t="s">
        <v>26</v>
      </c>
      <c r="G6809" s="28">
        <f>IFERROR(VLOOKUP(F6809,CARTON_LOOKUP!$A:$E,3,0),"")</f>
      </c>
      <c r="H6809" s="28">
        <f>IFERROR(VLOOKUP(F6809,CARTON_LOOKUP!$A:$E,4,0),"")</f>
      </c>
      <c r="I6809" s="28">
        <f>IFERROR(VLOOKUP(F6809,CARTON_LOOKUP!$A:$E,5,0),"")</f>
      </c>
      <c r="J6809" s="29">
        <f>IFERROR(VLOOKUP(F6809,CARTON_LOOKUP!$A:$E,2,0),"")</f>
      </c>
      <c r="K6809" s="29">
        <f>IFERROR(J6809*D6809,0)</f>
      </c>
      <c r="L6809" s="29">
        <f>IFERROR(E6809*C6809,0)</f>
      </c>
      <c r="M6809" s="29">
        <f>IFERROR((G6809*H6809*I6809/1000000)*D6809,0)</f>
      </c>
    </row>
    <row r="6810" spans="1:13" x14ac:dyDescent="0.25">
      <c r="A6810" s="16"/>
      <c r="E6810" s="27"/>
      <c r="F6810" t="s">
        <v>26</v>
      </c>
      <c r="G6810" s="28">
        <f>IFERROR(VLOOKUP(F6810,CARTON_LOOKUP!$A:$E,3,0),"")</f>
      </c>
      <c r="H6810" s="28">
        <f>IFERROR(VLOOKUP(F6810,CARTON_LOOKUP!$A:$E,4,0),"")</f>
      </c>
      <c r="I6810" s="28">
        <f>IFERROR(VLOOKUP(F6810,CARTON_LOOKUP!$A:$E,5,0),"")</f>
      </c>
      <c r="J6810" s="29">
        <f>IFERROR(VLOOKUP(F6810,CARTON_LOOKUP!$A:$E,2,0),"")</f>
      </c>
      <c r="K6810" s="29">
        <f>IFERROR(J6810*D6810,0)</f>
      </c>
      <c r="L6810" s="29">
        <f>IFERROR(E6810*C6810,0)</f>
      </c>
      <c r="M6810" s="29">
        <f>IFERROR((G6810*H6810*I6810/1000000)*D6810,0)</f>
      </c>
    </row>
    <row r="6811" spans="1:13" x14ac:dyDescent="0.25">
      <c r="A6811" s="16"/>
      <c r="E6811" s="27"/>
      <c r="F6811" t="s">
        <v>26</v>
      </c>
      <c r="G6811" s="28">
        <f>IFERROR(VLOOKUP(F6811,CARTON_LOOKUP!$A:$E,3,0),"")</f>
      </c>
      <c r="H6811" s="28">
        <f>IFERROR(VLOOKUP(F6811,CARTON_LOOKUP!$A:$E,4,0),"")</f>
      </c>
      <c r="I6811" s="28">
        <f>IFERROR(VLOOKUP(F6811,CARTON_LOOKUP!$A:$E,5,0),"")</f>
      </c>
      <c r="J6811" s="29">
        <f>IFERROR(VLOOKUP(F6811,CARTON_LOOKUP!$A:$E,2,0),"")</f>
      </c>
      <c r="K6811" s="29">
        <f>IFERROR(J6811*D6811,0)</f>
      </c>
      <c r="L6811" s="29">
        <f>IFERROR(E6811*C6811,0)</f>
      </c>
      <c r="M6811" s="29">
        <f>IFERROR((G6811*H6811*I6811/1000000)*D6811,0)</f>
      </c>
    </row>
    <row r="6812" spans="1:13" x14ac:dyDescent="0.25">
      <c r="A6812" s="16"/>
      <c r="E6812" s="27"/>
      <c r="F6812" t="s">
        <v>26</v>
      </c>
      <c r="G6812" s="28">
        <f>IFERROR(VLOOKUP(F6812,CARTON_LOOKUP!$A:$E,3,0),"")</f>
      </c>
      <c r="H6812" s="28">
        <f>IFERROR(VLOOKUP(F6812,CARTON_LOOKUP!$A:$E,4,0),"")</f>
      </c>
      <c r="I6812" s="28">
        <f>IFERROR(VLOOKUP(F6812,CARTON_LOOKUP!$A:$E,5,0),"")</f>
      </c>
      <c r="J6812" s="29">
        <f>IFERROR(VLOOKUP(F6812,CARTON_LOOKUP!$A:$E,2,0),"")</f>
      </c>
      <c r="K6812" s="29">
        <f>IFERROR(J6812*D6812,0)</f>
      </c>
      <c r="L6812" s="29">
        <f>IFERROR(E6812*C6812,0)</f>
      </c>
      <c r="M6812" s="29">
        <f>IFERROR((G6812*H6812*I6812/1000000)*D6812,0)</f>
      </c>
    </row>
    <row r="6813" spans="1:13" x14ac:dyDescent="0.25">
      <c r="A6813" s="16"/>
      <c r="E6813" s="27"/>
      <c r="F6813" t="s">
        <v>26</v>
      </c>
      <c r="G6813" s="28">
        <f>IFERROR(VLOOKUP(F6813,CARTON_LOOKUP!$A:$E,3,0),"")</f>
      </c>
      <c r="H6813" s="28">
        <f>IFERROR(VLOOKUP(F6813,CARTON_LOOKUP!$A:$E,4,0),"")</f>
      </c>
      <c r="I6813" s="28">
        <f>IFERROR(VLOOKUP(F6813,CARTON_LOOKUP!$A:$E,5,0),"")</f>
      </c>
      <c r="J6813" s="29">
        <f>IFERROR(VLOOKUP(F6813,CARTON_LOOKUP!$A:$E,2,0),"")</f>
      </c>
      <c r="K6813" s="29">
        <f>IFERROR(J6813*D6813,0)</f>
      </c>
      <c r="L6813" s="29">
        <f>IFERROR(E6813*C6813,0)</f>
      </c>
      <c r="M6813" s="29">
        <f>IFERROR((G6813*H6813*I6813/1000000)*D6813,0)</f>
      </c>
    </row>
    <row r="6814" spans="1:13" x14ac:dyDescent="0.25">
      <c r="A6814" s="16"/>
      <c r="E6814" s="27"/>
      <c r="F6814" t="s">
        <v>26</v>
      </c>
      <c r="G6814" s="28">
        <f>IFERROR(VLOOKUP(F6814,CARTON_LOOKUP!$A:$E,3,0),"")</f>
      </c>
      <c r="H6814" s="28">
        <f>IFERROR(VLOOKUP(F6814,CARTON_LOOKUP!$A:$E,4,0),"")</f>
      </c>
      <c r="I6814" s="28">
        <f>IFERROR(VLOOKUP(F6814,CARTON_LOOKUP!$A:$E,5,0),"")</f>
      </c>
      <c r="J6814" s="29">
        <f>IFERROR(VLOOKUP(F6814,CARTON_LOOKUP!$A:$E,2,0),"")</f>
      </c>
      <c r="K6814" s="29">
        <f>IFERROR(J6814*D6814,0)</f>
      </c>
      <c r="L6814" s="29">
        <f>IFERROR(E6814*C6814,0)</f>
      </c>
      <c r="M6814" s="29">
        <f>IFERROR((G6814*H6814*I6814/1000000)*D6814,0)</f>
      </c>
    </row>
    <row r="6815" spans="1:13" x14ac:dyDescent="0.25">
      <c r="A6815" s="16"/>
      <c r="E6815" s="27"/>
      <c r="F6815" t="s">
        <v>26</v>
      </c>
      <c r="G6815" s="28">
        <f>IFERROR(VLOOKUP(F6815,CARTON_LOOKUP!$A:$E,3,0),"")</f>
      </c>
      <c r="H6815" s="28">
        <f>IFERROR(VLOOKUP(F6815,CARTON_LOOKUP!$A:$E,4,0),"")</f>
      </c>
      <c r="I6815" s="28">
        <f>IFERROR(VLOOKUP(F6815,CARTON_LOOKUP!$A:$E,5,0),"")</f>
      </c>
      <c r="J6815" s="29">
        <f>IFERROR(VLOOKUP(F6815,CARTON_LOOKUP!$A:$E,2,0),"")</f>
      </c>
      <c r="K6815" s="29">
        <f>IFERROR(J6815*D6815,0)</f>
      </c>
      <c r="L6815" s="29">
        <f>IFERROR(E6815*C6815,0)</f>
      </c>
      <c r="M6815" s="29">
        <f>IFERROR((G6815*H6815*I6815/1000000)*D6815,0)</f>
      </c>
    </row>
    <row r="6816" spans="1:13" x14ac:dyDescent="0.25">
      <c r="A6816" s="16"/>
      <c r="E6816" s="27"/>
      <c r="F6816" t="s">
        <v>26</v>
      </c>
      <c r="G6816" s="28">
        <f>IFERROR(VLOOKUP(F6816,CARTON_LOOKUP!$A:$E,3,0),"")</f>
      </c>
      <c r="H6816" s="28">
        <f>IFERROR(VLOOKUP(F6816,CARTON_LOOKUP!$A:$E,4,0),"")</f>
      </c>
      <c r="I6816" s="28">
        <f>IFERROR(VLOOKUP(F6816,CARTON_LOOKUP!$A:$E,5,0),"")</f>
      </c>
      <c r="J6816" s="29">
        <f>IFERROR(VLOOKUP(F6816,CARTON_LOOKUP!$A:$E,2,0),"")</f>
      </c>
      <c r="K6816" s="29">
        <f>IFERROR(J6816*D6816,0)</f>
      </c>
      <c r="L6816" s="29">
        <f>IFERROR(E6816*C6816,0)</f>
      </c>
      <c r="M6816" s="29">
        <f>IFERROR((G6816*H6816*I6816/1000000)*D6816,0)</f>
      </c>
    </row>
    <row r="6817" spans="1:13" x14ac:dyDescent="0.25">
      <c r="A6817" s="16"/>
      <c r="E6817" s="27"/>
      <c r="F6817" t="s">
        <v>26</v>
      </c>
      <c r="G6817" s="28">
        <f>IFERROR(VLOOKUP(F6817,CARTON_LOOKUP!$A:$E,3,0),"")</f>
      </c>
      <c r="H6817" s="28">
        <f>IFERROR(VLOOKUP(F6817,CARTON_LOOKUP!$A:$E,4,0),"")</f>
      </c>
      <c r="I6817" s="28">
        <f>IFERROR(VLOOKUP(F6817,CARTON_LOOKUP!$A:$E,5,0),"")</f>
      </c>
      <c r="J6817" s="29">
        <f>IFERROR(VLOOKUP(F6817,CARTON_LOOKUP!$A:$E,2,0),"")</f>
      </c>
      <c r="K6817" s="29">
        <f>IFERROR(J6817*D6817,0)</f>
      </c>
      <c r="L6817" s="29">
        <f>IFERROR(E6817*C6817,0)</f>
      </c>
      <c r="M6817" s="29">
        <f>IFERROR((G6817*H6817*I6817/1000000)*D6817,0)</f>
      </c>
    </row>
    <row r="6818" spans="1:13" x14ac:dyDescent="0.25">
      <c r="A6818" s="16"/>
      <c r="E6818" s="27"/>
      <c r="F6818" t="s">
        <v>26</v>
      </c>
      <c r="G6818" s="28">
        <f>IFERROR(VLOOKUP(F6818,CARTON_LOOKUP!$A:$E,3,0),"")</f>
      </c>
      <c r="H6818" s="28">
        <f>IFERROR(VLOOKUP(F6818,CARTON_LOOKUP!$A:$E,4,0),"")</f>
      </c>
      <c r="I6818" s="28">
        <f>IFERROR(VLOOKUP(F6818,CARTON_LOOKUP!$A:$E,5,0),"")</f>
      </c>
      <c r="J6818" s="29">
        <f>IFERROR(VLOOKUP(F6818,CARTON_LOOKUP!$A:$E,2,0),"")</f>
      </c>
      <c r="K6818" s="29">
        <f>IFERROR(J6818*D6818,0)</f>
      </c>
      <c r="L6818" s="29">
        <f>IFERROR(E6818*C6818,0)</f>
      </c>
      <c r="M6818" s="29">
        <f>IFERROR((G6818*H6818*I6818/1000000)*D6818,0)</f>
      </c>
    </row>
    <row r="6819" spans="1:13" x14ac:dyDescent="0.25">
      <c r="A6819" s="16"/>
      <c r="E6819" s="27"/>
      <c r="F6819" t="s">
        <v>26</v>
      </c>
      <c r="G6819" s="28">
        <f>IFERROR(VLOOKUP(F6819,CARTON_LOOKUP!$A:$E,3,0),"")</f>
      </c>
      <c r="H6819" s="28">
        <f>IFERROR(VLOOKUP(F6819,CARTON_LOOKUP!$A:$E,4,0),"")</f>
      </c>
      <c r="I6819" s="28">
        <f>IFERROR(VLOOKUP(F6819,CARTON_LOOKUP!$A:$E,5,0),"")</f>
      </c>
      <c r="J6819" s="29">
        <f>IFERROR(VLOOKUP(F6819,CARTON_LOOKUP!$A:$E,2,0),"")</f>
      </c>
      <c r="K6819" s="29">
        <f>IFERROR(J6819*D6819,0)</f>
      </c>
      <c r="L6819" s="29">
        <f>IFERROR(E6819*C6819,0)</f>
      </c>
      <c r="M6819" s="29">
        <f>IFERROR((G6819*H6819*I6819/1000000)*D6819,0)</f>
      </c>
    </row>
    <row r="6820" spans="1:13" x14ac:dyDescent="0.25">
      <c r="A6820" s="16"/>
      <c r="E6820" s="27"/>
      <c r="F6820" t="s">
        <v>26</v>
      </c>
      <c r="G6820" s="28">
        <f>IFERROR(VLOOKUP(F6820,CARTON_LOOKUP!$A:$E,3,0),"")</f>
      </c>
      <c r="H6820" s="28">
        <f>IFERROR(VLOOKUP(F6820,CARTON_LOOKUP!$A:$E,4,0),"")</f>
      </c>
      <c r="I6820" s="28">
        <f>IFERROR(VLOOKUP(F6820,CARTON_LOOKUP!$A:$E,5,0),"")</f>
      </c>
      <c r="J6820" s="29">
        <f>IFERROR(VLOOKUP(F6820,CARTON_LOOKUP!$A:$E,2,0),"")</f>
      </c>
      <c r="K6820" s="29">
        <f>IFERROR(J6820*D6820,0)</f>
      </c>
      <c r="L6820" s="29">
        <f>IFERROR(E6820*C6820,0)</f>
      </c>
      <c r="M6820" s="29">
        <f>IFERROR((G6820*H6820*I6820/1000000)*D6820,0)</f>
      </c>
    </row>
    <row r="6821" spans="1:13" x14ac:dyDescent="0.25">
      <c r="A6821" s="16"/>
      <c r="E6821" s="27"/>
      <c r="F6821" t="s">
        <v>26</v>
      </c>
      <c r="G6821" s="28">
        <f>IFERROR(VLOOKUP(F6821,CARTON_LOOKUP!$A:$E,3,0),"")</f>
      </c>
      <c r="H6821" s="28">
        <f>IFERROR(VLOOKUP(F6821,CARTON_LOOKUP!$A:$E,4,0),"")</f>
      </c>
      <c r="I6821" s="28">
        <f>IFERROR(VLOOKUP(F6821,CARTON_LOOKUP!$A:$E,5,0),"")</f>
      </c>
      <c r="J6821" s="29">
        <f>IFERROR(VLOOKUP(F6821,CARTON_LOOKUP!$A:$E,2,0),"")</f>
      </c>
      <c r="K6821" s="29">
        <f>IFERROR(J6821*D6821,0)</f>
      </c>
      <c r="L6821" s="29">
        <f>IFERROR(E6821*C6821,0)</f>
      </c>
      <c r="M6821" s="29">
        <f>IFERROR((G6821*H6821*I6821/1000000)*D6821,0)</f>
      </c>
    </row>
    <row r="6822" spans="1:13" x14ac:dyDescent="0.25">
      <c r="A6822" s="16"/>
      <c r="E6822" s="27"/>
      <c r="F6822" t="s">
        <v>26</v>
      </c>
      <c r="G6822" s="28">
        <f>IFERROR(VLOOKUP(F6822,CARTON_LOOKUP!$A:$E,3,0),"")</f>
      </c>
      <c r="H6822" s="28">
        <f>IFERROR(VLOOKUP(F6822,CARTON_LOOKUP!$A:$E,4,0),"")</f>
      </c>
      <c r="I6822" s="28">
        <f>IFERROR(VLOOKUP(F6822,CARTON_LOOKUP!$A:$E,5,0),"")</f>
      </c>
      <c r="J6822" s="29">
        <f>IFERROR(VLOOKUP(F6822,CARTON_LOOKUP!$A:$E,2,0),"")</f>
      </c>
      <c r="K6822" s="29">
        <f>IFERROR(J6822*D6822,0)</f>
      </c>
      <c r="L6822" s="29">
        <f>IFERROR(E6822*C6822,0)</f>
      </c>
      <c r="M6822" s="29">
        <f>IFERROR((G6822*H6822*I6822/1000000)*D6822,0)</f>
      </c>
    </row>
    <row r="6823" spans="1:13" x14ac:dyDescent="0.25">
      <c r="A6823" s="16"/>
      <c r="E6823" s="27"/>
      <c r="F6823" t="s">
        <v>26</v>
      </c>
      <c r="G6823" s="28">
        <f>IFERROR(VLOOKUP(F6823,CARTON_LOOKUP!$A:$E,3,0),"")</f>
      </c>
      <c r="H6823" s="28">
        <f>IFERROR(VLOOKUP(F6823,CARTON_LOOKUP!$A:$E,4,0),"")</f>
      </c>
      <c r="I6823" s="28">
        <f>IFERROR(VLOOKUP(F6823,CARTON_LOOKUP!$A:$E,5,0),"")</f>
      </c>
      <c r="J6823" s="29">
        <f>IFERROR(VLOOKUP(F6823,CARTON_LOOKUP!$A:$E,2,0),"")</f>
      </c>
      <c r="K6823" s="29">
        <f>IFERROR(J6823*D6823,0)</f>
      </c>
      <c r="L6823" s="29">
        <f>IFERROR(E6823*C6823,0)</f>
      </c>
      <c r="M6823" s="29">
        <f>IFERROR((G6823*H6823*I6823/1000000)*D6823,0)</f>
      </c>
    </row>
    <row r="6824" spans="1:13" x14ac:dyDescent="0.25">
      <c r="A6824" s="16"/>
      <c r="E6824" s="27"/>
      <c r="F6824" t="s">
        <v>26</v>
      </c>
      <c r="G6824" s="28">
        <f>IFERROR(VLOOKUP(F6824,CARTON_LOOKUP!$A:$E,3,0),"")</f>
      </c>
      <c r="H6824" s="28">
        <f>IFERROR(VLOOKUP(F6824,CARTON_LOOKUP!$A:$E,4,0),"")</f>
      </c>
      <c r="I6824" s="28">
        <f>IFERROR(VLOOKUP(F6824,CARTON_LOOKUP!$A:$E,5,0),"")</f>
      </c>
      <c r="J6824" s="29">
        <f>IFERROR(VLOOKUP(F6824,CARTON_LOOKUP!$A:$E,2,0),"")</f>
      </c>
      <c r="K6824" s="29">
        <f>IFERROR(J6824*D6824,0)</f>
      </c>
      <c r="L6824" s="29">
        <f>IFERROR(E6824*C6824,0)</f>
      </c>
      <c r="M6824" s="29">
        <f>IFERROR((G6824*H6824*I6824/1000000)*D6824,0)</f>
      </c>
    </row>
    <row r="6825" spans="1:13" x14ac:dyDescent="0.25">
      <c r="A6825" s="16"/>
      <c r="E6825" s="27"/>
      <c r="F6825" t="s">
        <v>26</v>
      </c>
      <c r="G6825" s="28">
        <f>IFERROR(VLOOKUP(F6825,CARTON_LOOKUP!$A:$E,3,0),"")</f>
      </c>
      <c r="H6825" s="28">
        <f>IFERROR(VLOOKUP(F6825,CARTON_LOOKUP!$A:$E,4,0),"")</f>
      </c>
      <c r="I6825" s="28">
        <f>IFERROR(VLOOKUP(F6825,CARTON_LOOKUP!$A:$E,5,0),"")</f>
      </c>
      <c r="J6825" s="29">
        <f>IFERROR(VLOOKUP(F6825,CARTON_LOOKUP!$A:$E,2,0),"")</f>
      </c>
      <c r="K6825" s="29">
        <f>IFERROR(J6825*D6825,0)</f>
      </c>
      <c r="L6825" s="29">
        <f>IFERROR(E6825*C6825,0)</f>
      </c>
      <c r="M6825" s="29">
        <f>IFERROR((G6825*H6825*I6825/1000000)*D6825,0)</f>
      </c>
    </row>
    <row r="6826" spans="1:13" x14ac:dyDescent="0.25">
      <c r="A6826" s="16"/>
      <c r="E6826" s="27"/>
      <c r="F6826" t="s">
        <v>26</v>
      </c>
      <c r="G6826" s="28">
        <f>IFERROR(VLOOKUP(F6826,CARTON_LOOKUP!$A:$E,3,0),"")</f>
      </c>
      <c r="H6826" s="28">
        <f>IFERROR(VLOOKUP(F6826,CARTON_LOOKUP!$A:$E,4,0),"")</f>
      </c>
      <c r="I6826" s="28">
        <f>IFERROR(VLOOKUP(F6826,CARTON_LOOKUP!$A:$E,5,0),"")</f>
      </c>
      <c r="J6826" s="29">
        <f>IFERROR(VLOOKUP(F6826,CARTON_LOOKUP!$A:$E,2,0),"")</f>
      </c>
      <c r="K6826" s="29">
        <f>IFERROR(J6826*D6826,0)</f>
      </c>
      <c r="L6826" s="29">
        <f>IFERROR(E6826*C6826,0)</f>
      </c>
      <c r="M6826" s="29">
        <f>IFERROR((G6826*H6826*I6826/1000000)*D6826,0)</f>
      </c>
    </row>
    <row r="6827" spans="1:13" x14ac:dyDescent="0.25">
      <c r="A6827" s="16"/>
      <c r="E6827" s="27"/>
      <c r="F6827" t="s">
        <v>26</v>
      </c>
      <c r="G6827" s="28">
        <f>IFERROR(VLOOKUP(F6827,CARTON_LOOKUP!$A:$E,3,0),"")</f>
      </c>
      <c r="H6827" s="28">
        <f>IFERROR(VLOOKUP(F6827,CARTON_LOOKUP!$A:$E,4,0),"")</f>
      </c>
      <c r="I6827" s="28">
        <f>IFERROR(VLOOKUP(F6827,CARTON_LOOKUP!$A:$E,5,0),"")</f>
      </c>
      <c r="J6827" s="29">
        <f>IFERROR(VLOOKUP(F6827,CARTON_LOOKUP!$A:$E,2,0),"")</f>
      </c>
      <c r="K6827" s="29">
        <f>IFERROR(J6827*D6827,0)</f>
      </c>
      <c r="L6827" s="29">
        <f>IFERROR(E6827*C6827,0)</f>
      </c>
      <c r="M6827" s="29">
        <f>IFERROR((G6827*H6827*I6827/1000000)*D6827,0)</f>
      </c>
    </row>
    <row r="6828" spans="1:13" x14ac:dyDescent="0.25">
      <c r="A6828" s="16"/>
      <c r="E6828" s="27"/>
      <c r="F6828" t="s">
        <v>26</v>
      </c>
      <c r="G6828" s="28">
        <f>IFERROR(VLOOKUP(F6828,CARTON_LOOKUP!$A:$E,3,0),"")</f>
      </c>
      <c r="H6828" s="28">
        <f>IFERROR(VLOOKUP(F6828,CARTON_LOOKUP!$A:$E,4,0),"")</f>
      </c>
      <c r="I6828" s="28">
        <f>IFERROR(VLOOKUP(F6828,CARTON_LOOKUP!$A:$E,5,0),"")</f>
      </c>
      <c r="J6828" s="29">
        <f>IFERROR(VLOOKUP(F6828,CARTON_LOOKUP!$A:$E,2,0),"")</f>
      </c>
      <c r="K6828" s="29">
        <f>IFERROR(J6828*D6828,0)</f>
      </c>
      <c r="L6828" s="29">
        <f>IFERROR(E6828*C6828,0)</f>
      </c>
      <c r="M6828" s="29">
        <f>IFERROR((G6828*H6828*I6828/1000000)*D6828,0)</f>
      </c>
    </row>
    <row r="6829" spans="1:13" x14ac:dyDescent="0.25">
      <c r="A6829" s="16"/>
      <c r="E6829" s="27"/>
      <c r="F6829" t="s">
        <v>26</v>
      </c>
      <c r="G6829" s="28">
        <f>IFERROR(VLOOKUP(F6829,CARTON_LOOKUP!$A:$E,3,0),"")</f>
      </c>
      <c r="H6829" s="28">
        <f>IFERROR(VLOOKUP(F6829,CARTON_LOOKUP!$A:$E,4,0),"")</f>
      </c>
      <c r="I6829" s="28">
        <f>IFERROR(VLOOKUP(F6829,CARTON_LOOKUP!$A:$E,5,0),"")</f>
      </c>
      <c r="J6829" s="29">
        <f>IFERROR(VLOOKUP(F6829,CARTON_LOOKUP!$A:$E,2,0),"")</f>
      </c>
      <c r="K6829" s="29">
        <f>IFERROR(J6829*D6829,0)</f>
      </c>
      <c r="L6829" s="29">
        <f>IFERROR(E6829*C6829,0)</f>
      </c>
      <c r="M6829" s="29">
        <f>IFERROR((G6829*H6829*I6829/1000000)*D6829,0)</f>
      </c>
    </row>
    <row r="6830" spans="1:13" x14ac:dyDescent="0.25">
      <c r="A6830" s="16"/>
      <c r="E6830" s="27"/>
      <c r="F6830" t="s">
        <v>26</v>
      </c>
      <c r="G6830" s="28">
        <f>IFERROR(VLOOKUP(F6830,CARTON_LOOKUP!$A:$E,3,0),"")</f>
      </c>
      <c r="H6830" s="28">
        <f>IFERROR(VLOOKUP(F6830,CARTON_LOOKUP!$A:$E,4,0),"")</f>
      </c>
      <c r="I6830" s="28">
        <f>IFERROR(VLOOKUP(F6830,CARTON_LOOKUP!$A:$E,5,0),"")</f>
      </c>
      <c r="J6830" s="29">
        <f>IFERROR(VLOOKUP(F6830,CARTON_LOOKUP!$A:$E,2,0),"")</f>
      </c>
      <c r="K6830" s="29">
        <f>IFERROR(J6830*D6830,0)</f>
      </c>
      <c r="L6830" s="29">
        <f>IFERROR(E6830*C6830,0)</f>
      </c>
      <c r="M6830" s="29">
        <f>IFERROR((G6830*H6830*I6830/1000000)*D6830,0)</f>
      </c>
    </row>
    <row r="6831" spans="1:13" x14ac:dyDescent="0.25">
      <c r="A6831" s="16"/>
      <c r="E6831" s="27"/>
      <c r="F6831" t="s">
        <v>26</v>
      </c>
      <c r="G6831" s="28">
        <f>IFERROR(VLOOKUP(F6831,CARTON_LOOKUP!$A:$E,3,0),"")</f>
      </c>
      <c r="H6831" s="28">
        <f>IFERROR(VLOOKUP(F6831,CARTON_LOOKUP!$A:$E,4,0),"")</f>
      </c>
      <c r="I6831" s="28">
        <f>IFERROR(VLOOKUP(F6831,CARTON_LOOKUP!$A:$E,5,0),"")</f>
      </c>
      <c r="J6831" s="29">
        <f>IFERROR(VLOOKUP(F6831,CARTON_LOOKUP!$A:$E,2,0),"")</f>
      </c>
      <c r="K6831" s="29">
        <f>IFERROR(J6831*D6831,0)</f>
      </c>
      <c r="L6831" s="29">
        <f>IFERROR(E6831*C6831,0)</f>
      </c>
      <c r="M6831" s="29">
        <f>IFERROR((G6831*H6831*I6831/1000000)*D6831,0)</f>
      </c>
    </row>
    <row r="6832" spans="1:13" x14ac:dyDescent="0.25">
      <c r="A6832" s="16"/>
      <c r="E6832" s="27"/>
      <c r="F6832" t="s">
        <v>26</v>
      </c>
      <c r="G6832" s="28">
        <f>IFERROR(VLOOKUP(F6832,CARTON_LOOKUP!$A:$E,3,0),"")</f>
      </c>
      <c r="H6832" s="28">
        <f>IFERROR(VLOOKUP(F6832,CARTON_LOOKUP!$A:$E,4,0),"")</f>
      </c>
      <c r="I6832" s="28">
        <f>IFERROR(VLOOKUP(F6832,CARTON_LOOKUP!$A:$E,5,0),"")</f>
      </c>
      <c r="J6832" s="29">
        <f>IFERROR(VLOOKUP(F6832,CARTON_LOOKUP!$A:$E,2,0),"")</f>
      </c>
      <c r="K6832" s="29">
        <f>IFERROR(J6832*D6832,0)</f>
      </c>
      <c r="L6832" s="29">
        <f>IFERROR(E6832*C6832,0)</f>
      </c>
      <c r="M6832" s="29">
        <f>IFERROR((G6832*H6832*I6832/1000000)*D6832,0)</f>
      </c>
    </row>
    <row r="6833" spans="1:13" x14ac:dyDescent="0.25">
      <c r="A6833" s="16"/>
      <c r="E6833" s="27"/>
      <c r="F6833" t="s">
        <v>26</v>
      </c>
      <c r="G6833" s="28">
        <f>IFERROR(VLOOKUP(F6833,CARTON_LOOKUP!$A:$E,3,0),"")</f>
      </c>
      <c r="H6833" s="28">
        <f>IFERROR(VLOOKUP(F6833,CARTON_LOOKUP!$A:$E,4,0),"")</f>
      </c>
      <c r="I6833" s="28">
        <f>IFERROR(VLOOKUP(F6833,CARTON_LOOKUP!$A:$E,5,0),"")</f>
      </c>
      <c r="J6833" s="29">
        <f>IFERROR(VLOOKUP(F6833,CARTON_LOOKUP!$A:$E,2,0),"")</f>
      </c>
      <c r="K6833" s="29">
        <f>IFERROR(J6833*D6833,0)</f>
      </c>
      <c r="L6833" s="29">
        <f>IFERROR(E6833*C6833,0)</f>
      </c>
      <c r="M6833" s="29">
        <f>IFERROR((G6833*H6833*I6833/1000000)*D6833,0)</f>
      </c>
    </row>
    <row r="6834" spans="1:13" x14ac:dyDescent="0.25">
      <c r="A6834" s="16"/>
      <c r="E6834" s="27"/>
      <c r="F6834" t="s">
        <v>26</v>
      </c>
      <c r="G6834" s="28">
        <f>IFERROR(VLOOKUP(F6834,CARTON_LOOKUP!$A:$E,3,0),"")</f>
      </c>
      <c r="H6834" s="28">
        <f>IFERROR(VLOOKUP(F6834,CARTON_LOOKUP!$A:$E,4,0),"")</f>
      </c>
      <c r="I6834" s="28">
        <f>IFERROR(VLOOKUP(F6834,CARTON_LOOKUP!$A:$E,5,0),"")</f>
      </c>
      <c r="J6834" s="29">
        <f>IFERROR(VLOOKUP(F6834,CARTON_LOOKUP!$A:$E,2,0),"")</f>
      </c>
      <c r="K6834" s="29">
        <f>IFERROR(J6834*D6834,0)</f>
      </c>
      <c r="L6834" s="29">
        <f>IFERROR(E6834*C6834,0)</f>
      </c>
      <c r="M6834" s="29">
        <f>IFERROR((G6834*H6834*I6834/1000000)*D6834,0)</f>
      </c>
    </row>
    <row r="6835" spans="1:13" x14ac:dyDescent="0.25">
      <c r="A6835" s="16"/>
      <c r="E6835" s="27"/>
      <c r="F6835" t="s">
        <v>26</v>
      </c>
      <c r="G6835" s="28">
        <f>IFERROR(VLOOKUP(F6835,CARTON_LOOKUP!$A:$E,3,0),"")</f>
      </c>
      <c r="H6835" s="28">
        <f>IFERROR(VLOOKUP(F6835,CARTON_LOOKUP!$A:$E,4,0),"")</f>
      </c>
      <c r="I6835" s="28">
        <f>IFERROR(VLOOKUP(F6835,CARTON_LOOKUP!$A:$E,5,0),"")</f>
      </c>
      <c r="J6835" s="29">
        <f>IFERROR(VLOOKUP(F6835,CARTON_LOOKUP!$A:$E,2,0),"")</f>
      </c>
      <c r="K6835" s="29">
        <f>IFERROR(J6835*D6835,0)</f>
      </c>
      <c r="L6835" s="29">
        <f>IFERROR(E6835*C6835,0)</f>
      </c>
      <c r="M6835" s="29">
        <f>IFERROR((G6835*H6835*I6835/1000000)*D6835,0)</f>
      </c>
    </row>
    <row r="6836" spans="1:13" x14ac:dyDescent="0.25">
      <c r="A6836" s="16"/>
      <c r="E6836" s="27"/>
      <c r="F6836" t="s">
        <v>26</v>
      </c>
      <c r="G6836" s="28">
        <f>IFERROR(VLOOKUP(F6836,CARTON_LOOKUP!$A:$E,3,0),"")</f>
      </c>
      <c r="H6836" s="28">
        <f>IFERROR(VLOOKUP(F6836,CARTON_LOOKUP!$A:$E,4,0),"")</f>
      </c>
      <c r="I6836" s="28">
        <f>IFERROR(VLOOKUP(F6836,CARTON_LOOKUP!$A:$E,5,0),"")</f>
      </c>
      <c r="J6836" s="29">
        <f>IFERROR(VLOOKUP(F6836,CARTON_LOOKUP!$A:$E,2,0),"")</f>
      </c>
      <c r="K6836" s="29">
        <f>IFERROR(J6836*D6836,0)</f>
      </c>
      <c r="L6836" s="29">
        <f>IFERROR(E6836*C6836,0)</f>
      </c>
      <c r="M6836" s="29">
        <f>IFERROR((G6836*H6836*I6836/1000000)*D6836,0)</f>
      </c>
    </row>
    <row r="6837" spans="1:13" x14ac:dyDescent="0.25">
      <c r="A6837" s="16"/>
      <c r="E6837" s="27"/>
      <c r="F6837" t="s">
        <v>26</v>
      </c>
      <c r="G6837" s="28">
        <f>IFERROR(VLOOKUP(F6837,CARTON_LOOKUP!$A:$E,3,0),"")</f>
      </c>
      <c r="H6837" s="28">
        <f>IFERROR(VLOOKUP(F6837,CARTON_LOOKUP!$A:$E,4,0),"")</f>
      </c>
      <c r="I6837" s="28">
        <f>IFERROR(VLOOKUP(F6837,CARTON_LOOKUP!$A:$E,5,0),"")</f>
      </c>
      <c r="J6837" s="29">
        <f>IFERROR(VLOOKUP(F6837,CARTON_LOOKUP!$A:$E,2,0),"")</f>
      </c>
      <c r="K6837" s="29">
        <f>IFERROR(J6837*D6837,0)</f>
      </c>
      <c r="L6837" s="29">
        <f>IFERROR(E6837*C6837,0)</f>
      </c>
      <c r="M6837" s="29">
        <f>IFERROR((G6837*H6837*I6837/1000000)*D6837,0)</f>
      </c>
    </row>
    <row r="6838" spans="1:13" x14ac:dyDescent="0.25">
      <c r="A6838" s="16"/>
      <c r="E6838" s="27"/>
      <c r="F6838" t="s">
        <v>26</v>
      </c>
      <c r="G6838" s="28">
        <f>IFERROR(VLOOKUP(F6838,CARTON_LOOKUP!$A:$E,3,0),"")</f>
      </c>
      <c r="H6838" s="28">
        <f>IFERROR(VLOOKUP(F6838,CARTON_LOOKUP!$A:$E,4,0),"")</f>
      </c>
      <c r="I6838" s="28">
        <f>IFERROR(VLOOKUP(F6838,CARTON_LOOKUP!$A:$E,5,0),"")</f>
      </c>
      <c r="J6838" s="29">
        <f>IFERROR(VLOOKUP(F6838,CARTON_LOOKUP!$A:$E,2,0),"")</f>
      </c>
      <c r="K6838" s="29">
        <f>IFERROR(J6838*D6838,0)</f>
      </c>
      <c r="L6838" s="29">
        <f>IFERROR(E6838*C6838,0)</f>
      </c>
      <c r="M6838" s="29">
        <f>IFERROR((G6838*H6838*I6838/1000000)*D6838,0)</f>
      </c>
    </row>
    <row r="6839" spans="1:13" x14ac:dyDescent="0.25">
      <c r="A6839" s="16"/>
      <c r="E6839" s="27"/>
      <c r="F6839" t="s">
        <v>26</v>
      </c>
      <c r="G6839" s="28">
        <f>IFERROR(VLOOKUP(F6839,CARTON_LOOKUP!$A:$E,3,0),"")</f>
      </c>
      <c r="H6839" s="28">
        <f>IFERROR(VLOOKUP(F6839,CARTON_LOOKUP!$A:$E,4,0),"")</f>
      </c>
      <c r="I6839" s="28">
        <f>IFERROR(VLOOKUP(F6839,CARTON_LOOKUP!$A:$E,5,0),"")</f>
      </c>
      <c r="J6839" s="29">
        <f>IFERROR(VLOOKUP(F6839,CARTON_LOOKUP!$A:$E,2,0),"")</f>
      </c>
      <c r="K6839" s="29">
        <f>IFERROR(J6839*D6839,0)</f>
      </c>
      <c r="L6839" s="29">
        <f>IFERROR(E6839*C6839,0)</f>
      </c>
      <c r="M6839" s="29">
        <f>IFERROR((G6839*H6839*I6839/1000000)*D6839,0)</f>
      </c>
    </row>
    <row r="6840" spans="1:13" x14ac:dyDescent="0.25">
      <c r="A6840" s="16"/>
      <c r="E6840" s="27"/>
      <c r="F6840" t="s">
        <v>26</v>
      </c>
      <c r="G6840" s="28">
        <f>IFERROR(VLOOKUP(F6840,CARTON_LOOKUP!$A:$E,3,0),"")</f>
      </c>
      <c r="H6840" s="28">
        <f>IFERROR(VLOOKUP(F6840,CARTON_LOOKUP!$A:$E,4,0),"")</f>
      </c>
      <c r="I6840" s="28">
        <f>IFERROR(VLOOKUP(F6840,CARTON_LOOKUP!$A:$E,5,0),"")</f>
      </c>
      <c r="J6840" s="29">
        <f>IFERROR(VLOOKUP(F6840,CARTON_LOOKUP!$A:$E,2,0),"")</f>
      </c>
      <c r="K6840" s="29">
        <f>IFERROR(J6840*D6840,0)</f>
      </c>
      <c r="L6840" s="29">
        <f>IFERROR(E6840*C6840,0)</f>
      </c>
      <c r="M6840" s="29">
        <f>IFERROR((G6840*H6840*I6840/1000000)*D6840,0)</f>
      </c>
    </row>
    <row r="6841" spans="1:13" x14ac:dyDescent="0.25">
      <c r="A6841" s="16"/>
      <c r="E6841" s="27"/>
      <c r="F6841" t="s">
        <v>26</v>
      </c>
      <c r="G6841" s="28">
        <f>IFERROR(VLOOKUP(F6841,CARTON_LOOKUP!$A:$E,3,0),"")</f>
      </c>
      <c r="H6841" s="28">
        <f>IFERROR(VLOOKUP(F6841,CARTON_LOOKUP!$A:$E,4,0),"")</f>
      </c>
      <c r="I6841" s="28">
        <f>IFERROR(VLOOKUP(F6841,CARTON_LOOKUP!$A:$E,5,0),"")</f>
      </c>
      <c r="J6841" s="29">
        <f>IFERROR(VLOOKUP(F6841,CARTON_LOOKUP!$A:$E,2,0),"")</f>
      </c>
      <c r="K6841" s="29">
        <f>IFERROR(J6841*D6841,0)</f>
      </c>
      <c r="L6841" s="29">
        <f>IFERROR(E6841*C6841,0)</f>
      </c>
      <c r="M6841" s="29">
        <f>IFERROR((G6841*H6841*I6841/1000000)*D6841,0)</f>
      </c>
    </row>
    <row r="6842" spans="1:13" x14ac:dyDescent="0.25">
      <c r="A6842" s="16"/>
      <c r="E6842" s="27"/>
      <c r="F6842" t="s">
        <v>26</v>
      </c>
      <c r="G6842" s="28">
        <f>IFERROR(VLOOKUP(F6842,CARTON_LOOKUP!$A:$E,3,0),"")</f>
      </c>
      <c r="H6842" s="28">
        <f>IFERROR(VLOOKUP(F6842,CARTON_LOOKUP!$A:$E,4,0),"")</f>
      </c>
      <c r="I6842" s="28">
        <f>IFERROR(VLOOKUP(F6842,CARTON_LOOKUP!$A:$E,5,0),"")</f>
      </c>
      <c r="J6842" s="29">
        <f>IFERROR(VLOOKUP(F6842,CARTON_LOOKUP!$A:$E,2,0),"")</f>
      </c>
      <c r="K6842" s="29">
        <f>IFERROR(J6842*D6842,0)</f>
      </c>
      <c r="L6842" s="29">
        <f>IFERROR(E6842*C6842,0)</f>
      </c>
      <c r="M6842" s="29">
        <f>IFERROR((G6842*H6842*I6842/1000000)*D6842,0)</f>
      </c>
    </row>
    <row r="6843" spans="1:13" x14ac:dyDescent="0.25">
      <c r="A6843" s="16"/>
      <c r="E6843" s="27"/>
      <c r="F6843" t="s">
        <v>26</v>
      </c>
      <c r="G6843" s="28">
        <f>IFERROR(VLOOKUP(F6843,CARTON_LOOKUP!$A:$E,3,0),"")</f>
      </c>
      <c r="H6843" s="28">
        <f>IFERROR(VLOOKUP(F6843,CARTON_LOOKUP!$A:$E,4,0),"")</f>
      </c>
      <c r="I6843" s="28">
        <f>IFERROR(VLOOKUP(F6843,CARTON_LOOKUP!$A:$E,5,0),"")</f>
      </c>
      <c r="J6843" s="29">
        <f>IFERROR(VLOOKUP(F6843,CARTON_LOOKUP!$A:$E,2,0),"")</f>
      </c>
      <c r="K6843" s="29">
        <f>IFERROR(J6843*D6843,0)</f>
      </c>
      <c r="L6843" s="29">
        <f>IFERROR(E6843*C6843,0)</f>
      </c>
      <c r="M6843" s="29">
        <f>IFERROR((G6843*H6843*I6843/1000000)*D6843,0)</f>
      </c>
    </row>
    <row r="6844" spans="1:13" x14ac:dyDescent="0.25">
      <c r="A6844" s="16"/>
      <c r="E6844" s="27"/>
      <c r="F6844" t="s">
        <v>26</v>
      </c>
      <c r="G6844" s="28">
        <f>IFERROR(VLOOKUP(F6844,CARTON_LOOKUP!$A:$E,3,0),"")</f>
      </c>
      <c r="H6844" s="28">
        <f>IFERROR(VLOOKUP(F6844,CARTON_LOOKUP!$A:$E,4,0),"")</f>
      </c>
      <c r="I6844" s="28">
        <f>IFERROR(VLOOKUP(F6844,CARTON_LOOKUP!$A:$E,5,0),"")</f>
      </c>
      <c r="J6844" s="29">
        <f>IFERROR(VLOOKUP(F6844,CARTON_LOOKUP!$A:$E,2,0),"")</f>
      </c>
      <c r="K6844" s="29">
        <f>IFERROR(J6844*D6844,0)</f>
      </c>
      <c r="L6844" s="29">
        <f>IFERROR(E6844*C6844,0)</f>
      </c>
      <c r="M6844" s="29">
        <f>IFERROR((G6844*H6844*I6844/1000000)*D6844,0)</f>
      </c>
    </row>
    <row r="6845" spans="1:13" x14ac:dyDescent="0.25">
      <c r="A6845" s="16"/>
      <c r="E6845" s="27"/>
      <c r="F6845" t="s">
        <v>26</v>
      </c>
      <c r="G6845" s="28">
        <f>IFERROR(VLOOKUP(F6845,CARTON_LOOKUP!$A:$E,3,0),"")</f>
      </c>
      <c r="H6845" s="28">
        <f>IFERROR(VLOOKUP(F6845,CARTON_LOOKUP!$A:$E,4,0),"")</f>
      </c>
      <c r="I6845" s="28">
        <f>IFERROR(VLOOKUP(F6845,CARTON_LOOKUP!$A:$E,5,0),"")</f>
      </c>
      <c r="J6845" s="29">
        <f>IFERROR(VLOOKUP(F6845,CARTON_LOOKUP!$A:$E,2,0),"")</f>
      </c>
      <c r="K6845" s="29">
        <f>IFERROR(J6845*D6845,0)</f>
      </c>
      <c r="L6845" s="29">
        <f>IFERROR(E6845*C6845,0)</f>
      </c>
      <c r="M6845" s="29">
        <f>IFERROR((G6845*H6845*I6845/1000000)*D6845,0)</f>
      </c>
    </row>
    <row r="6846" spans="1:13" x14ac:dyDescent="0.25">
      <c r="A6846" s="16"/>
      <c r="E6846" s="27"/>
      <c r="F6846" t="s">
        <v>26</v>
      </c>
      <c r="G6846" s="28">
        <f>IFERROR(VLOOKUP(F6846,CARTON_LOOKUP!$A:$E,3,0),"")</f>
      </c>
      <c r="H6846" s="28">
        <f>IFERROR(VLOOKUP(F6846,CARTON_LOOKUP!$A:$E,4,0),"")</f>
      </c>
      <c r="I6846" s="28">
        <f>IFERROR(VLOOKUP(F6846,CARTON_LOOKUP!$A:$E,5,0),"")</f>
      </c>
      <c r="J6846" s="29">
        <f>IFERROR(VLOOKUP(F6846,CARTON_LOOKUP!$A:$E,2,0),"")</f>
      </c>
      <c r="K6846" s="29">
        <f>IFERROR(J6846*D6846,0)</f>
      </c>
      <c r="L6846" s="29">
        <f>IFERROR(E6846*C6846,0)</f>
      </c>
      <c r="M6846" s="29">
        <f>IFERROR((G6846*H6846*I6846/1000000)*D6846,0)</f>
      </c>
    </row>
    <row r="6847" spans="1:13" x14ac:dyDescent="0.25">
      <c r="A6847" s="16"/>
      <c r="E6847" s="27"/>
      <c r="F6847" t="s">
        <v>26</v>
      </c>
      <c r="G6847" s="28">
        <f>IFERROR(VLOOKUP(F6847,CARTON_LOOKUP!$A:$E,3,0),"")</f>
      </c>
      <c r="H6847" s="28">
        <f>IFERROR(VLOOKUP(F6847,CARTON_LOOKUP!$A:$E,4,0),"")</f>
      </c>
      <c r="I6847" s="28">
        <f>IFERROR(VLOOKUP(F6847,CARTON_LOOKUP!$A:$E,5,0),"")</f>
      </c>
      <c r="J6847" s="29">
        <f>IFERROR(VLOOKUP(F6847,CARTON_LOOKUP!$A:$E,2,0),"")</f>
      </c>
      <c r="K6847" s="29">
        <f>IFERROR(J6847*D6847,0)</f>
      </c>
      <c r="L6847" s="29">
        <f>IFERROR(E6847*C6847,0)</f>
      </c>
      <c r="M6847" s="29">
        <f>IFERROR((G6847*H6847*I6847/1000000)*D6847,0)</f>
      </c>
    </row>
    <row r="6848" spans="1:13" x14ac:dyDescent="0.25">
      <c r="A6848" s="16"/>
      <c r="E6848" s="27"/>
      <c r="F6848" t="s">
        <v>26</v>
      </c>
      <c r="G6848" s="28">
        <f>IFERROR(VLOOKUP(F6848,CARTON_LOOKUP!$A:$E,3,0),"")</f>
      </c>
      <c r="H6848" s="28">
        <f>IFERROR(VLOOKUP(F6848,CARTON_LOOKUP!$A:$E,4,0),"")</f>
      </c>
      <c r="I6848" s="28">
        <f>IFERROR(VLOOKUP(F6848,CARTON_LOOKUP!$A:$E,5,0),"")</f>
      </c>
      <c r="J6848" s="29">
        <f>IFERROR(VLOOKUP(F6848,CARTON_LOOKUP!$A:$E,2,0),"")</f>
      </c>
      <c r="K6848" s="29">
        <f>IFERROR(J6848*D6848,0)</f>
      </c>
      <c r="L6848" s="29">
        <f>IFERROR(E6848*C6848,0)</f>
      </c>
      <c r="M6848" s="29">
        <f>IFERROR((G6848*H6848*I6848/1000000)*D6848,0)</f>
      </c>
    </row>
    <row r="6849" spans="1:13" x14ac:dyDescent="0.25">
      <c r="A6849" s="16"/>
      <c r="E6849" s="27"/>
      <c r="F6849" t="s">
        <v>26</v>
      </c>
      <c r="G6849" s="28">
        <f>IFERROR(VLOOKUP(F6849,CARTON_LOOKUP!$A:$E,3,0),"")</f>
      </c>
      <c r="H6849" s="28">
        <f>IFERROR(VLOOKUP(F6849,CARTON_LOOKUP!$A:$E,4,0),"")</f>
      </c>
      <c r="I6849" s="28">
        <f>IFERROR(VLOOKUP(F6849,CARTON_LOOKUP!$A:$E,5,0),"")</f>
      </c>
      <c r="J6849" s="29">
        <f>IFERROR(VLOOKUP(F6849,CARTON_LOOKUP!$A:$E,2,0),"")</f>
      </c>
      <c r="K6849" s="29">
        <f>IFERROR(J6849*D6849,0)</f>
      </c>
      <c r="L6849" s="29">
        <f>IFERROR(E6849*C6849,0)</f>
      </c>
      <c r="M6849" s="29">
        <f>IFERROR((G6849*H6849*I6849/1000000)*D6849,0)</f>
      </c>
    </row>
    <row r="6850" spans="1:13" x14ac:dyDescent="0.25">
      <c r="A6850" s="16"/>
      <c r="E6850" s="27"/>
      <c r="F6850" t="s">
        <v>26</v>
      </c>
      <c r="G6850" s="28">
        <f>IFERROR(VLOOKUP(F6850,CARTON_LOOKUP!$A:$E,3,0),"")</f>
      </c>
      <c r="H6850" s="28">
        <f>IFERROR(VLOOKUP(F6850,CARTON_LOOKUP!$A:$E,4,0),"")</f>
      </c>
      <c r="I6850" s="28">
        <f>IFERROR(VLOOKUP(F6850,CARTON_LOOKUP!$A:$E,5,0),"")</f>
      </c>
      <c r="J6850" s="29">
        <f>IFERROR(VLOOKUP(F6850,CARTON_LOOKUP!$A:$E,2,0),"")</f>
      </c>
      <c r="K6850" s="29">
        <f>IFERROR(J6850*D6850,0)</f>
      </c>
      <c r="L6850" s="29">
        <f>IFERROR(E6850*C6850,0)</f>
      </c>
      <c r="M6850" s="29">
        <f>IFERROR((G6850*H6850*I6850/1000000)*D6850,0)</f>
      </c>
    </row>
    <row r="6851" spans="1:13" x14ac:dyDescent="0.25">
      <c r="A6851" s="16"/>
      <c r="E6851" s="27"/>
      <c r="F6851" t="s">
        <v>26</v>
      </c>
      <c r="G6851" s="28">
        <f>IFERROR(VLOOKUP(F6851,CARTON_LOOKUP!$A:$E,3,0),"")</f>
      </c>
      <c r="H6851" s="28">
        <f>IFERROR(VLOOKUP(F6851,CARTON_LOOKUP!$A:$E,4,0),"")</f>
      </c>
      <c r="I6851" s="28">
        <f>IFERROR(VLOOKUP(F6851,CARTON_LOOKUP!$A:$E,5,0),"")</f>
      </c>
      <c r="J6851" s="29">
        <f>IFERROR(VLOOKUP(F6851,CARTON_LOOKUP!$A:$E,2,0),"")</f>
      </c>
      <c r="K6851" s="29">
        <f>IFERROR(J6851*D6851,0)</f>
      </c>
      <c r="L6851" s="29">
        <f>IFERROR(E6851*C6851,0)</f>
      </c>
      <c r="M6851" s="29">
        <f>IFERROR((G6851*H6851*I6851/1000000)*D6851,0)</f>
      </c>
    </row>
    <row r="6852" spans="1:13" x14ac:dyDescent="0.25">
      <c r="A6852" s="16"/>
      <c r="E6852" s="27"/>
      <c r="F6852" t="s">
        <v>26</v>
      </c>
      <c r="G6852" s="28">
        <f>IFERROR(VLOOKUP(F6852,CARTON_LOOKUP!$A:$E,3,0),"")</f>
      </c>
      <c r="H6852" s="28">
        <f>IFERROR(VLOOKUP(F6852,CARTON_LOOKUP!$A:$E,4,0),"")</f>
      </c>
      <c r="I6852" s="28">
        <f>IFERROR(VLOOKUP(F6852,CARTON_LOOKUP!$A:$E,5,0),"")</f>
      </c>
      <c r="J6852" s="29">
        <f>IFERROR(VLOOKUP(F6852,CARTON_LOOKUP!$A:$E,2,0),"")</f>
      </c>
      <c r="K6852" s="29">
        <f>IFERROR(J6852*D6852,0)</f>
      </c>
      <c r="L6852" s="29">
        <f>IFERROR(E6852*C6852,0)</f>
      </c>
      <c r="M6852" s="29">
        <f>IFERROR((G6852*H6852*I6852/1000000)*D6852,0)</f>
      </c>
    </row>
    <row r="6853" spans="1:13" x14ac:dyDescent="0.25">
      <c r="A6853" s="16"/>
      <c r="E6853" s="27"/>
      <c r="F6853" t="s">
        <v>26</v>
      </c>
      <c r="G6853" s="28">
        <f>IFERROR(VLOOKUP(F6853,CARTON_LOOKUP!$A:$E,3,0),"")</f>
      </c>
      <c r="H6853" s="28">
        <f>IFERROR(VLOOKUP(F6853,CARTON_LOOKUP!$A:$E,4,0),"")</f>
      </c>
      <c r="I6853" s="28">
        <f>IFERROR(VLOOKUP(F6853,CARTON_LOOKUP!$A:$E,5,0),"")</f>
      </c>
      <c r="J6853" s="29">
        <f>IFERROR(VLOOKUP(F6853,CARTON_LOOKUP!$A:$E,2,0),"")</f>
      </c>
      <c r="K6853" s="29">
        <f>IFERROR(J6853*D6853,0)</f>
      </c>
      <c r="L6853" s="29">
        <f>IFERROR(E6853*C6853,0)</f>
      </c>
      <c r="M6853" s="29">
        <f>IFERROR((G6853*H6853*I6853/1000000)*D6853,0)</f>
      </c>
    </row>
    <row r="6854" spans="1:13" x14ac:dyDescent="0.25">
      <c r="A6854" s="16"/>
      <c r="E6854" s="27"/>
      <c r="F6854" t="s">
        <v>26</v>
      </c>
      <c r="G6854" s="28">
        <f>IFERROR(VLOOKUP(F6854,CARTON_LOOKUP!$A:$E,3,0),"")</f>
      </c>
      <c r="H6854" s="28">
        <f>IFERROR(VLOOKUP(F6854,CARTON_LOOKUP!$A:$E,4,0),"")</f>
      </c>
      <c r="I6854" s="28">
        <f>IFERROR(VLOOKUP(F6854,CARTON_LOOKUP!$A:$E,5,0),"")</f>
      </c>
      <c r="J6854" s="29">
        <f>IFERROR(VLOOKUP(F6854,CARTON_LOOKUP!$A:$E,2,0),"")</f>
      </c>
      <c r="K6854" s="29">
        <f>IFERROR(J6854*D6854,0)</f>
      </c>
      <c r="L6854" s="29">
        <f>IFERROR(E6854*C6854,0)</f>
      </c>
      <c r="M6854" s="29">
        <f>IFERROR((G6854*H6854*I6854/1000000)*D6854,0)</f>
      </c>
    </row>
    <row r="6855" spans="1:13" x14ac:dyDescent="0.25">
      <c r="A6855" s="16"/>
      <c r="E6855" s="27"/>
      <c r="F6855" t="s">
        <v>26</v>
      </c>
      <c r="G6855" s="28">
        <f>IFERROR(VLOOKUP(F6855,CARTON_LOOKUP!$A:$E,3,0),"")</f>
      </c>
      <c r="H6855" s="28">
        <f>IFERROR(VLOOKUP(F6855,CARTON_LOOKUP!$A:$E,4,0),"")</f>
      </c>
      <c r="I6855" s="28">
        <f>IFERROR(VLOOKUP(F6855,CARTON_LOOKUP!$A:$E,5,0),"")</f>
      </c>
      <c r="J6855" s="29">
        <f>IFERROR(VLOOKUP(F6855,CARTON_LOOKUP!$A:$E,2,0),"")</f>
      </c>
      <c r="K6855" s="29">
        <f>IFERROR(J6855*D6855,0)</f>
      </c>
      <c r="L6855" s="29">
        <f>IFERROR(E6855*C6855,0)</f>
      </c>
      <c r="M6855" s="29">
        <f>IFERROR((G6855*H6855*I6855/1000000)*D6855,0)</f>
      </c>
    </row>
    <row r="6856" spans="1:13" x14ac:dyDescent="0.25">
      <c r="A6856" s="16"/>
      <c r="E6856" s="27"/>
      <c r="F6856" t="s">
        <v>26</v>
      </c>
      <c r="G6856" s="28">
        <f>IFERROR(VLOOKUP(F6856,CARTON_LOOKUP!$A:$E,3,0),"")</f>
      </c>
      <c r="H6856" s="28">
        <f>IFERROR(VLOOKUP(F6856,CARTON_LOOKUP!$A:$E,4,0),"")</f>
      </c>
      <c r="I6856" s="28">
        <f>IFERROR(VLOOKUP(F6856,CARTON_LOOKUP!$A:$E,5,0),"")</f>
      </c>
      <c r="J6856" s="29">
        <f>IFERROR(VLOOKUP(F6856,CARTON_LOOKUP!$A:$E,2,0),"")</f>
      </c>
      <c r="K6856" s="29">
        <f>IFERROR(J6856*D6856,0)</f>
      </c>
      <c r="L6856" s="29">
        <f>IFERROR(E6856*C6856,0)</f>
      </c>
      <c r="M6856" s="29">
        <f>IFERROR((G6856*H6856*I6856/1000000)*D6856,0)</f>
      </c>
    </row>
    <row r="6857" spans="1:13" x14ac:dyDescent="0.25">
      <c r="A6857" s="16"/>
      <c r="E6857" s="27"/>
      <c r="F6857" t="s">
        <v>26</v>
      </c>
      <c r="G6857" s="28">
        <f>IFERROR(VLOOKUP(F6857,CARTON_LOOKUP!$A:$E,3,0),"")</f>
      </c>
      <c r="H6857" s="28">
        <f>IFERROR(VLOOKUP(F6857,CARTON_LOOKUP!$A:$E,4,0),"")</f>
      </c>
      <c r="I6857" s="28">
        <f>IFERROR(VLOOKUP(F6857,CARTON_LOOKUP!$A:$E,5,0),"")</f>
      </c>
      <c r="J6857" s="29">
        <f>IFERROR(VLOOKUP(F6857,CARTON_LOOKUP!$A:$E,2,0),"")</f>
      </c>
      <c r="K6857" s="29">
        <f>IFERROR(J6857*D6857,0)</f>
      </c>
      <c r="L6857" s="29">
        <f>IFERROR(E6857*C6857,0)</f>
      </c>
      <c r="M6857" s="29">
        <f>IFERROR((G6857*H6857*I6857/1000000)*D6857,0)</f>
      </c>
    </row>
    <row r="6858" spans="1:13" x14ac:dyDescent="0.25">
      <c r="A6858" s="16"/>
      <c r="E6858" s="27"/>
      <c r="F6858" t="s">
        <v>26</v>
      </c>
      <c r="G6858" s="28">
        <f>IFERROR(VLOOKUP(F6858,CARTON_LOOKUP!$A:$E,3,0),"")</f>
      </c>
      <c r="H6858" s="28">
        <f>IFERROR(VLOOKUP(F6858,CARTON_LOOKUP!$A:$E,4,0),"")</f>
      </c>
      <c r="I6858" s="28">
        <f>IFERROR(VLOOKUP(F6858,CARTON_LOOKUP!$A:$E,5,0),"")</f>
      </c>
      <c r="J6858" s="29">
        <f>IFERROR(VLOOKUP(F6858,CARTON_LOOKUP!$A:$E,2,0),"")</f>
      </c>
      <c r="K6858" s="29">
        <f>IFERROR(J6858*D6858,0)</f>
      </c>
      <c r="L6858" s="29">
        <f>IFERROR(E6858*C6858,0)</f>
      </c>
      <c r="M6858" s="29">
        <f>IFERROR((G6858*H6858*I6858/1000000)*D6858,0)</f>
      </c>
    </row>
    <row r="6859" spans="1:13" x14ac:dyDescent="0.25">
      <c r="A6859" s="16"/>
      <c r="E6859" s="27"/>
      <c r="F6859" t="s">
        <v>26</v>
      </c>
      <c r="G6859" s="28">
        <f>IFERROR(VLOOKUP(F6859,CARTON_LOOKUP!$A:$E,3,0),"")</f>
      </c>
      <c r="H6859" s="28">
        <f>IFERROR(VLOOKUP(F6859,CARTON_LOOKUP!$A:$E,4,0),"")</f>
      </c>
      <c r="I6859" s="28">
        <f>IFERROR(VLOOKUP(F6859,CARTON_LOOKUP!$A:$E,5,0),"")</f>
      </c>
      <c r="J6859" s="29">
        <f>IFERROR(VLOOKUP(F6859,CARTON_LOOKUP!$A:$E,2,0),"")</f>
      </c>
      <c r="K6859" s="29">
        <f>IFERROR(J6859*D6859,0)</f>
      </c>
      <c r="L6859" s="29">
        <f>IFERROR(E6859*C6859,0)</f>
      </c>
      <c r="M6859" s="29">
        <f>IFERROR((G6859*H6859*I6859/1000000)*D6859,0)</f>
      </c>
    </row>
    <row r="6860" spans="1:13" x14ac:dyDescent="0.25">
      <c r="A6860" s="16"/>
      <c r="E6860" s="27"/>
      <c r="F6860" t="s">
        <v>26</v>
      </c>
      <c r="G6860" s="28">
        <f>IFERROR(VLOOKUP(F6860,CARTON_LOOKUP!$A:$E,3,0),"")</f>
      </c>
      <c r="H6860" s="28">
        <f>IFERROR(VLOOKUP(F6860,CARTON_LOOKUP!$A:$E,4,0),"")</f>
      </c>
      <c r="I6860" s="28">
        <f>IFERROR(VLOOKUP(F6860,CARTON_LOOKUP!$A:$E,5,0),"")</f>
      </c>
      <c r="J6860" s="29">
        <f>IFERROR(VLOOKUP(F6860,CARTON_LOOKUP!$A:$E,2,0),"")</f>
      </c>
      <c r="K6860" s="29">
        <f>IFERROR(J6860*D6860,0)</f>
      </c>
      <c r="L6860" s="29">
        <f>IFERROR(E6860*C6860,0)</f>
      </c>
      <c r="M6860" s="29">
        <f>IFERROR((G6860*H6860*I6860/1000000)*D6860,0)</f>
      </c>
    </row>
    <row r="6861" spans="1:13" x14ac:dyDescent="0.25">
      <c r="A6861" s="16"/>
      <c r="E6861" s="27"/>
      <c r="F6861" t="s">
        <v>26</v>
      </c>
      <c r="G6861" s="28">
        <f>IFERROR(VLOOKUP(F6861,CARTON_LOOKUP!$A:$E,3,0),"")</f>
      </c>
      <c r="H6861" s="28">
        <f>IFERROR(VLOOKUP(F6861,CARTON_LOOKUP!$A:$E,4,0),"")</f>
      </c>
      <c r="I6861" s="28">
        <f>IFERROR(VLOOKUP(F6861,CARTON_LOOKUP!$A:$E,5,0),"")</f>
      </c>
      <c r="J6861" s="29">
        <f>IFERROR(VLOOKUP(F6861,CARTON_LOOKUP!$A:$E,2,0),"")</f>
      </c>
      <c r="K6861" s="29">
        <f>IFERROR(J6861*D6861,0)</f>
      </c>
      <c r="L6861" s="29">
        <f>IFERROR(E6861*C6861,0)</f>
      </c>
      <c r="M6861" s="29">
        <f>IFERROR((G6861*H6861*I6861/1000000)*D6861,0)</f>
      </c>
    </row>
    <row r="6862" spans="1:13" x14ac:dyDescent="0.25">
      <c r="A6862" s="16"/>
      <c r="E6862" s="27"/>
      <c r="F6862" t="s">
        <v>26</v>
      </c>
      <c r="G6862" s="28">
        <f>IFERROR(VLOOKUP(F6862,CARTON_LOOKUP!$A:$E,3,0),"")</f>
      </c>
      <c r="H6862" s="28">
        <f>IFERROR(VLOOKUP(F6862,CARTON_LOOKUP!$A:$E,4,0),"")</f>
      </c>
      <c r="I6862" s="28">
        <f>IFERROR(VLOOKUP(F6862,CARTON_LOOKUP!$A:$E,5,0),"")</f>
      </c>
      <c r="J6862" s="29">
        <f>IFERROR(VLOOKUP(F6862,CARTON_LOOKUP!$A:$E,2,0),"")</f>
      </c>
      <c r="K6862" s="29">
        <f>IFERROR(J6862*D6862,0)</f>
      </c>
      <c r="L6862" s="29">
        <f>IFERROR(E6862*C6862,0)</f>
      </c>
      <c r="M6862" s="29">
        <f>IFERROR((G6862*H6862*I6862/1000000)*D6862,0)</f>
      </c>
    </row>
    <row r="6863" spans="1:13" x14ac:dyDescent="0.25">
      <c r="A6863" s="16"/>
      <c r="E6863" s="27"/>
      <c r="F6863" t="s">
        <v>26</v>
      </c>
      <c r="G6863" s="28">
        <f>IFERROR(VLOOKUP(F6863,CARTON_LOOKUP!$A:$E,3,0),"")</f>
      </c>
      <c r="H6863" s="28">
        <f>IFERROR(VLOOKUP(F6863,CARTON_LOOKUP!$A:$E,4,0),"")</f>
      </c>
      <c r="I6863" s="28">
        <f>IFERROR(VLOOKUP(F6863,CARTON_LOOKUP!$A:$E,5,0),"")</f>
      </c>
      <c r="J6863" s="29">
        <f>IFERROR(VLOOKUP(F6863,CARTON_LOOKUP!$A:$E,2,0),"")</f>
      </c>
      <c r="K6863" s="29">
        <f>IFERROR(J6863*D6863,0)</f>
      </c>
      <c r="L6863" s="29">
        <f>IFERROR(E6863*C6863,0)</f>
      </c>
      <c r="M6863" s="29">
        <f>IFERROR((G6863*H6863*I6863/1000000)*D6863,0)</f>
      </c>
    </row>
    <row r="6864" spans="1:13" x14ac:dyDescent="0.25">
      <c r="A6864" s="16"/>
      <c r="E6864" s="27"/>
      <c r="F6864" t="s">
        <v>26</v>
      </c>
      <c r="G6864" s="28">
        <f>IFERROR(VLOOKUP(F6864,CARTON_LOOKUP!$A:$E,3,0),"")</f>
      </c>
      <c r="H6864" s="28">
        <f>IFERROR(VLOOKUP(F6864,CARTON_LOOKUP!$A:$E,4,0),"")</f>
      </c>
      <c r="I6864" s="28">
        <f>IFERROR(VLOOKUP(F6864,CARTON_LOOKUP!$A:$E,5,0),"")</f>
      </c>
      <c r="J6864" s="29">
        <f>IFERROR(VLOOKUP(F6864,CARTON_LOOKUP!$A:$E,2,0),"")</f>
      </c>
      <c r="K6864" s="29">
        <f>IFERROR(J6864*D6864,0)</f>
      </c>
      <c r="L6864" s="29">
        <f>IFERROR(E6864*C6864,0)</f>
      </c>
      <c r="M6864" s="29">
        <f>IFERROR((G6864*H6864*I6864/1000000)*D6864,0)</f>
      </c>
    </row>
    <row r="6865" spans="1:13" x14ac:dyDescent="0.25">
      <c r="A6865" s="16"/>
      <c r="E6865" s="27"/>
      <c r="F6865" t="s">
        <v>26</v>
      </c>
      <c r="G6865" s="28">
        <f>IFERROR(VLOOKUP(F6865,CARTON_LOOKUP!$A:$E,3,0),"")</f>
      </c>
      <c r="H6865" s="28">
        <f>IFERROR(VLOOKUP(F6865,CARTON_LOOKUP!$A:$E,4,0),"")</f>
      </c>
      <c r="I6865" s="28">
        <f>IFERROR(VLOOKUP(F6865,CARTON_LOOKUP!$A:$E,5,0),"")</f>
      </c>
      <c r="J6865" s="29">
        <f>IFERROR(VLOOKUP(F6865,CARTON_LOOKUP!$A:$E,2,0),"")</f>
      </c>
      <c r="K6865" s="29">
        <f>IFERROR(J6865*D6865,0)</f>
      </c>
      <c r="L6865" s="29">
        <f>IFERROR(E6865*C6865,0)</f>
      </c>
      <c r="M6865" s="29">
        <f>IFERROR((G6865*H6865*I6865/1000000)*D6865,0)</f>
      </c>
    </row>
    <row r="6866" spans="1:13" x14ac:dyDescent="0.25">
      <c r="A6866" s="16"/>
      <c r="E6866" s="27"/>
      <c r="F6866" t="s">
        <v>26</v>
      </c>
      <c r="G6866" s="28">
        <f>IFERROR(VLOOKUP(F6866,CARTON_LOOKUP!$A:$E,3,0),"")</f>
      </c>
      <c r="H6866" s="28">
        <f>IFERROR(VLOOKUP(F6866,CARTON_LOOKUP!$A:$E,4,0),"")</f>
      </c>
      <c r="I6866" s="28">
        <f>IFERROR(VLOOKUP(F6866,CARTON_LOOKUP!$A:$E,5,0),"")</f>
      </c>
      <c r="J6866" s="29">
        <f>IFERROR(VLOOKUP(F6866,CARTON_LOOKUP!$A:$E,2,0),"")</f>
      </c>
      <c r="K6866" s="29">
        <f>IFERROR(J6866*D6866,0)</f>
      </c>
      <c r="L6866" s="29">
        <f>IFERROR(E6866*C6866,0)</f>
      </c>
      <c r="M6866" s="29">
        <f>IFERROR((G6866*H6866*I6866/1000000)*D6866,0)</f>
      </c>
    </row>
    <row r="6867" spans="1:13" x14ac:dyDescent="0.25">
      <c r="A6867" s="16"/>
      <c r="E6867" s="27"/>
      <c r="F6867" t="s">
        <v>26</v>
      </c>
      <c r="G6867" s="28">
        <f>IFERROR(VLOOKUP(F6867,CARTON_LOOKUP!$A:$E,3,0),"")</f>
      </c>
      <c r="H6867" s="28">
        <f>IFERROR(VLOOKUP(F6867,CARTON_LOOKUP!$A:$E,4,0),"")</f>
      </c>
      <c r="I6867" s="28">
        <f>IFERROR(VLOOKUP(F6867,CARTON_LOOKUP!$A:$E,5,0),"")</f>
      </c>
      <c r="J6867" s="29">
        <f>IFERROR(VLOOKUP(F6867,CARTON_LOOKUP!$A:$E,2,0),"")</f>
      </c>
      <c r="K6867" s="29">
        <f>IFERROR(J6867*D6867,0)</f>
      </c>
      <c r="L6867" s="29">
        <f>IFERROR(E6867*C6867,0)</f>
      </c>
      <c r="M6867" s="29">
        <f>IFERROR((G6867*H6867*I6867/1000000)*D6867,0)</f>
      </c>
    </row>
    <row r="6868" spans="1:13" x14ac:dyDescent="0.25">
      <c r="A6868" s="16"/>
      <c r="E6868" s="27"/>
      <c r="F6868" t="s">
        <v>26</v>
      </c>
      <c r="G6868" s="28">
        <f>IFERROR(VLOOKUP(F6868,CARTON_LOOKUP!$A:$E,3,0),"")</f>
      </c>
      <c r="H6868" s="28">
        <f>IFERROR(VLOOKUP(F6868,CARTON_LOOKUP!$A:$E,4,0),"")</f>
      </c>
      <c r="I6868" s="28">
        <f>IFERROR(VLOOKUP(F6868,CARTON_LOOKUP!$A:$E,5,0),"")</f>
      </c>
      <c r="J6868" s="29">
        <f>IFERROR(VLOOKUP(F6868,CARTON_LOOKUP!$A:$E,2,0),"")</f>
      </c>
      <c r="K6868" s="29">
        <f>IFERROR(J6868*D6868,0)</f>
      </c>
      <c r="L6868" s="29">
        <f>IFERROR(E6868*C6868,0)</f>
      </c>
      <c r="M6868" s="29">
        <f>IFERROR((G6868*H6868*I6868/1000000)*D6868,0)</f>
      </c>
    </row>
    <row r="6869" spans="1:13" x14ac:dyDescent="0.25">
      <c r="A6869" s="16"/>
      <c r="E6869" s="27"/>
      <c r="F6869" t="s">
        <v>26</v>
      </c>
      <c r="G6869" s="28">
        <f>IFERROR(VLOOKUP(F6869,CARTON_LOOKUP!$A:$E,3,0),"")</f>
      </c>
      <c r="H6869" s="28">
        <f>IFERROR(VLOOKUP(F6869,CARTON_LOOKUP!$A:$E,4,0),"")</f>
      </c>
      <c r="I6869" s="28">
        <f>IFERROR(VLOOKUP(F6869,CARTON_LOOKUP!$A:$E,5,0),"")</f>
      </c>
      <c r="J6869" s="29">
        <f>IFERROR(VLOOKUP(F6869,CARTON_LOOKUP!$A:$E,2,0),"")</f>
      </c>
      <c r="K6869" s="29">
        <f>IFERROR(J6869*D6869,0)</f>
      </c>
      <c r="L6869" s="29">
        <f>IFERROR(E6869*C6869,0)</f>
      </c>
      <c r="M6869" s="29">
        <f>IFERROR((G6869*H6869*I6869/1000000)*D6869,0)</f>
      </c>
    </row>
    <row r="6870" spans="1:13" x14ac:dyDescent="0.25">
      <c r="A6870" s="16"/>
      <c r="E6870" s="27"/>
      <c r="F6870" t="s">
        <v>26</v>
      </c>
      <c r="G6870" s="28">
        <f>IFERROR(VLOOKUP(F6870,CARTON_LOOKUP!$A:$E,3,0),"")</f>
      </c>
      <c r="H6870" s="28">
        <f>IFERROR(VLOOKUP(F6870,CARTON_LOOKUP!$A:$E,4,0),"")</f>
      </c>
      <c r="I6870" s="28">
        <f>IFERROR(VLOOKUP(F6870,CARTON_LOOKUP!$A:$E,5,0),"")</f>
      </c>
      <c r="J6870" s="29">
        <f>IFERROR(VLOOKUP(F6870,CARTON_LOOKUP!$A:$E,2,0),"")</f>
      </c>
      <c r="K6870" s="29">
        <f>IFERROR(J6870*D6870,0)</f>
      </c>
      <c r="L6870" s="29">
        <f>IFERROR(E6870*C6870,0)</f>
      </c>
      <c r="M6870" s="29">
        <f>IFERROR((G6870*H6870*I6870/1000000)*D6870,0)</f>
      </c>
    </row>
    <row r="6871" spans="1:13" x14ac:dyDescent="0.25">
      <c r="A6871" s="16"/>
      <c r="E6871" s="27"/>
      <c r="F6871" t="s">
        <v>26</v>
      </c>
      <c r="G6871" s="28">
        <f>IFERROR(VLOOKUP(F6871,CARTON_LOOKUP!$A:$E,3,0),"")</f>
      </c>
      <c r="H6871" s="28">
        <f>IFERROR(VLOOKUP(F6871,CARTON_LOOKUP!$A:$E,4,0),"")</f>
      </c>
      <c r="I6871" s="28">
        <f>IFERROR(VLOOKUP(F6871,CARTON_LOOKUP!$A:$E,5,0),"")</f>
      </c>
      <c r="J6871" s="29">
        <f>IFERROR(VLOOKUP(F6871,CARTON_LOOKUP!$A:$E,2,0),"")</f>
      </c>
      <c r="K6871" s="29">
        <f>IFERROR(J6871*D6871,0)</f>
      </c>
      <c r="L6871" s="29">
        <f>IFERROR(E6871*C6871,0)</f>
      </c>
      <c r="M6871" s="29">
        <f>IFERROR((G6871*H6871*I6871/1000000)*D6871,0)</f>
      </c>
    </row>
    <row r="6872" spans="1:13" x14ac:dyDescent="0.25">
      <c r="A6872" s="16"/>
      <c r="E6872" s="27"/>
      <c r="F6872" t="s">
        <v>26</v>
      </c>
      <c r="G6872" s="28">
        <f>IFERROR(VLOOKUP(F6872,CARTON_LOOKUP!$A:$E,3,0),"")</f>
      </c>
      <c r="H6872" s="28">
        <f>IFERROR(VLOOKUP(F6872,CARTON_LOOKUP!$A:$E,4,0),"")</f>
      </c>
      <c r="I6872" s="28">
        <f>IFERROR(VLOOKUP(F6872,CARTON_LOOKUP!$A:$E,5,0),"")</f>
      </c>
      <c r="J6872" s="29">
        <f>IFERROR(VLOOKUP(F6872,CARTON_LOOKUP!$A:$E,2,0),"")</f>
      </c>
      <c r="K6872" s="29">
        <f>IFERROR(J6872*D6872,0)</f>
      </c>
      <c r="L6872" s="29">
        <f>IFERROR(E6872*C6872,0)</f>
      </c>
      <c r="M6872" s="29">
        <f>IFERROR((G6872*H6872*I6872/1000000)*D6872,0)</f>
      </c>
    </row>
    <row r="6873" spans="1:13" x14ac:dyDescent="0.25">
      <c r="A6873" s="16"/>
      <c r="E6873" s="27"/>
      <c r="F6873" t="s">
        <v>26</v>
      </c>
      <c r="G6873" s="28">
        <f>IFERROR(VLOOKUP(F6873,CARTON_LOOKUP!$A:$E,3,0),"")</f>
      </c>
      <c r="H6873" s="28">
        <f>IFERROR(VLOOKUP(F6873,CARTON_LOOKUP!$A:$E,4,0),"")</f>
      </c>
      <c r="I6873" s="28">
        <f>IFERROR(VLOOKUP(F6873,CARTON_LOOKUP!$A:$E,5,0),"")</f>
      </c>
      <c r="J6873" s="29">
        <f>IFERROR(VLOOKUP(F6873,CARTON_LOOKUP!$A:$E,2,0),"")</f>
      </c>
      <c r="K6873" s="29">
        <f>IFERROR(J6873*D6873,0)</f>
      </c>
      <c r="L6873" s="29">
        <f>IFERROR(E6873*C6873,0)</f>
      </c>
      <c r="M6873" s="29">
        <f>IFERROR((G6873*H6873*I6873/1000000)*D6873,0)</f>
      </c>
    </row>
    <row r="6874" spans="1:13" x14ac:dyDescent="0.25">
      <c r="A6874" s="16"/>
      <c r="E6874" s="27"/>
      <c r="F6874" t="s">
        <v>26</v>
      </c>
      <c r="G6874" s="28">
        <f>IFERROR(VLOOKUP(F6874,CARTON_LOOKUP!$A:$E,3,0),"")</f>
      </c>
      <c r="H6874" s="28">
        <f>IFERROR(VLOOKUP(F6874,CARTON_LOOKUP!$A:$E,4,0),"")</f>
      </c>
      <c r="I6874" s="28">
        <f>IFERROR(VLOOKUP(F6874,CARTON_LOOKUP!$A:$E,5,0),"")</f>
      </c>
      <c r="J6874" s="29">
        <f>IFERROR(VLOOKUP(F6874,CARTON_LOOKUP!$A:$E,2,0),"")</f>
      </c>
      <c r="K6874" s="29">
        <f>IFERROR(J6874*D6874,0)</f>
      </c>
      <c r="L6874" s="29">
        <f>IFERROR(E6874*C6874,0)</f>
      </c>
      <c r="M6874" s="29">
        <f>IFERROR((G6874*H6874*I6874/1000000)*D6874,0)</f>
      </c>
    </row>
    <row r="6875" spans="1:13" x14ac:dyDescent="0.25">
      <c r="A6875" s="16"/>
      <c r="E6875" s="27"/>
      <c r="F6875" t="s">
        <v>26</v>
      </c>
      <c r="G6875" s="28">
        <f>IFERROR(VLOOKUP(F6875,CARTON_LOOKUP!$A:$E,3,0),"")</f>
      </c>
      <c r="H6875" s="28">
        <f>IFERROR(VLOOKUP(F6875,CARTON_LOOKUP!$A:$E,4,0),"")</f>
      </c>
      <c r="I6875" s="28">
        <f>IFERROR(VLOOKUP(F6875,CARTON_LOOKUP!$A:$E,5,0),"")</f>
      </c>
      <c r="J6875" s="29">
        <f>IFERROR(VLOOKUP(F6875,CARTON_LOOKUP!$A:$E,2,0),"")</f>
      </c>
      <c r="K6875" s="29">
        <f>IFERROR(J6875*D6875,0)</f>
      </c>
      <c r="L6875" s="29">
        <f>IFERROR(E6875*C6875,0)</f>
      </c>
      <c r="M6875" s="29">
        <f>IFERROR((G6875*H6875*I6875/1000000)*D6875,0)</f>
      </c>
    </row>
    <row r="6876" spans="1:13" x14ac:dyDescent="0.25">
      <c r="A6876" s="16"/>
      <c r="E6876" s="27"/>
      <c r="F6876" t="s">
        <v>26</v>
      </c>
      <c r="G6876" s="28">
        <f>IFERROR(VLOOKUP(F6876,CARTON_LOOKUP!$A:$E,3,0),"")</f>
      </c>
      <c r="H6876" s="28">
        <f>IFERROR(VLOOKUP(F6876,CARTON_LOOKUP!$A:$E,4,0),"")</f>
      </c>
      <c r="I6876" s="28">
        <f>IFERROR(VLOOKUP(F6876,CARTON_LOOKUP!$A:$E,5,0),"")</f>
      </c>
      <c r="J6876" s="29">
        <f>IFERROR(VLOOKUP(F6876,CARTON_LOOKUP!$A:$E,2,0),"")</f>
      </c>
      <c r="K6876" s="29">
        <f>IFERROR(J6876*D6876,0)</f>
      </c>
      <c r="L6876" s="29">
        <f>IFERROR(E6876*C6876,0)</f>
      </c>
      <c r="M6876" s="29">
        <f>IFERROR((G6876*H6876*I6876/1000000)*D6876,0)</f>
      </c>
    </row>
    <row r="6877" spans="1:13" x14ac:dyDescent="0.25">
      <c r="A6877" s="16"/>
      <c r="E6877" s="27"/>
      <c r="F6877" t="s">
        <v>26</v>
      </c>
      <c r="G6877" s="28">
        <f>IFERROR(VLOOKUP(F6877,CARTON_LOOKUP!$A:$E,3,0),"")</f>
      </c>
      <c r="H6877" s="28">
        <f>IFERROR(VLOOKUP(F6877,CARTON_LOOKUP!$A:$E,4,0),"")</f>
      </c>
      <c r="I6877" s="28">
        <f>IFERROR(VLOOKUP(F6877,CARTON_LOOKUP!$A:$E,5,0),"")</f>
      </c>
      <c r="J6877" s="29">
        <f>IFERROR(VLOOKUP(F6877,CARTON_LOOKUP!$A:$E,2,0),"")</f>
      </c>
      <c r="K6877" s="29">
        <f>IFERROR(J6877*D6877,0)</f>
      </c>
      <c r="L6877" s="29">
        <f>IFERROR(E6877*C6877,0)</f>
      </c>
      <c r="M6877" s="29">
        <f>IFERROR((G6877*H6877*I6877/1000000)*D6877,0)</f>
      </c>
    </row>
    <row r="6878" spans="1:13" x14ac:dyDescent="0.25">
      <c r="A6878" s="16"/>
      <c r="E6878" s="27"/>
      <c r="F6878" t="s">
        <v>26</v>
      </c>
      <c r="G6878" s="28">
        <f>IFERROR(VLOOKUP(F6878,CARTON_LOOKUP!$A:$E,3,0),"")</f>
      </c>
      <c r="H6878" s="28">
        <f>IFERROR(VLOOKUP(F6878,CARTON_LOOKUP!$A:$E,4,0),"")</f>
      </c>
      <c r="I6878" s="28">
        <f>IFERROR(VLOOKUP(F6878,CARTON_LOOKUP!$A:$E,5,0),"")</f>
      </c>
      <c r="J6878" s="29">
        <f>IFERROR(VLOOKUP(F6878,CARTON_LOOKUP!$A:$E,2,0),"")</f>
      </c>
      <c r="K6878" s="29">
        <f>IFERROR(J6878*D6878,0)</f>
      </c>
      <c r="L6878" s="29">
        <f>IFERROR(E6878*C6878,0)</f>
      </c>
      <c r="M6878" s="29">
        <f>IFERROR((G6878*H6878*I6878/1000000)*D6878,0)</f>
      </c>
    </row>
    <row r="6879" spans="1:13" x14ac:dyDescent="0.25">
      <c r="A6879" s="16"/>
      <c r="E6879" s="27"/>
      <c r="F6879" t="s">
        <v>26</v>
      </c>
      <c r="G6879" s="28">
        <f>IFERROR(VLOOKUP(F6879,CARTON_LOOKUP!$A:$E,3,0),"")</f>
      </c>
      <c r="H6879" s="28">
        <f>IFERROR(VLOOKUP(F6879,CARTON_LOOKUP!$A:$E,4,0),"")</f>
      </c>
      <c r="I6879" s="28">
        <f>IFERROR(VLOOKUP(F6879,CARTON_LOOKUP!$A:$E,5,0),"")</f>
      </c>
      <c r="J6879" s="29">
        <f>IFERROR(VLOOKUP(F6879,CARTON_LOOKUP!$A:$E,2,0),"")</f>
      </c>
      <c r="K6879" s="29">
        <f>IFERROR(J6879*D6879,0)</f>
      </c>
      <c r="L6879" s="29">
        <f>IFERROR(E6879*C6879,0)</f>
      </c>
      <c r="M6879" s="29">
        <f>IFERROR((G6879*H6879*I6879/1000000)*D6879,0)</f>
      </c>
    </row>
    <row r="6880" spans="1:13" x14ac:dyDescent="0.25">
      <c r="A6880" s="16"/>
      <c r="E6880" s="27"/>
      <c r="F6880" t="s">
        <v>26</v>
      </c>
      <c r="G6880" s="28">
        <f>IFERROR(VLOOKUP(F6880,CARTON_LOOKUP!$A:$E,3,0),"")</f>
      </c>
      <c r="H6880" s="28">
        <f>IFERROR(VLOOKUP(F6880,CARTON_LOOKUP!$A:$E,4,0),"")</f>
      </c>
      <c r="I6880" s="28">
        <f>IFERROR(VLOOKUP(F6880,CARTON_LOOKUP!$A:$E,5,0),"")</f>
      </c>
      <c r="J6880" s="29">
        <f>IFERROR(VLOOKUP(F6880,CARTON_LOOKUP!$A:$E,2,0),"")</f>
      </c>
      <c r="K6880" s="29">
        <f>IFERROR(J6880*D6880,0)</f>
      </c>
      <c r="L6880" s="29">
        <f>IFERROR(E6880*C6880,0)</f>
      </c>
      <c r="M6880" s="29">
        <f>IFERROR((G6880*H6880*I6880/1000000)*D6880,0)</f>
      </c>
    </row>
    <row r="6881" spans="1:13" x14ac:dyDescent="0.25">
      <c r="A6881" s="16"/>
      <c r="E6881" s="27"/>
      <c r="F6881" t="s">
        <v>26</v>
      </c>
      <c r="G6881" s="28">
        <f>IFERROR(VLOOKUP(F6881,CARTON_LOOKUP!$A:$E,3,0),"")</f>
      </c>
      <c r="H6881" s="28">
        <f>IFERROR(VLOOKUP(F6881,CARTON_LOOKUP!$A:$E,4,0),"")</f>
      </c>
      <c r="I6881" s="28">
        <f>IFERROR(VLOOKUP(F6881,CARTON_LOOKUP!$A:$E,5,0),"")</f>
      </c>
      <c r="J6881" s="29">
        <f>IFERROR(VLOOKUP(F6881,CARTON_LOOKUP!$A:$E,2,0),"")</f>
      </c>
      <c r="K6881" s="29">
        <f>IFERROR(J6881*D6881,0)</f>
      </c>
      <c r="L6881" s="29">
        <f>IFERROR(E6881*C6881,0)</f>
      </c>
      <c r="M6881" s="29">
        <f>IFERROR((G6881*H6881*I6881/1000000)*D6881,0)</f>
      </c>
    </row>
    <row r="6882" spans="1:13" x14ac:dyDescent="0.25">
      <c r="A6882" s="16"/>
      <c r="E6882" s="27"/>
      <c r="F6882" t="s">
        <v>26</v>
      </c>
      <c r="G6882" s="28">
        <f>IFERROR(VLOOKUP(F6882,CARTON_LOOKUP!$A:$E,3,0),"")</f>
      </c>
      <c r="H6882" s="28">
        <f>IFERROR(VLOOKUP(F6882,CARTON_LOOKUP!$A:$E,4,0),"")</f>
      </c>
      <c r="I6882" s="28">
        <f>IFERROR(VLOOKUP(F6882,CARTON_LOOKUP!$A:$E,5,0),"")</f>
      </c>
      <c r="J6882" s="29">
        <f>IFERROR(VLOOKUP(F6882,CARTON_LOOKUP!$A:$E,2,0),"")</f>
      </c>
      <c r="K6882" s="29">
        <f>IFERROR(J6882*D6882,0)</f>
      </c>
      <c r="L6882" s="29">
        <f>IFERROR(E6882*C6882,0)</f>
      </c>
      <c r="M6882" s="29">
        <f>IFERROR((G6882*H6882*I6882/1000000)*D6882,0)</f>
      </c>
    </row>
    <row r="6883" spans="1:13" x14ac:dyDescent="0.25">
      <c r="A6883" s="16"/>
      <c r="E6883" s="27"/>
      <c r="F6883" t="s">
        <v>26</v>
      </c>
      <c r="G6883" s="28">
        <f>IFERROR(VLOOKUP(F6883,CARTON_LOOKUP!$A:$E,3,0),"")</f>
      </c>
      <c r="H6883" s="28">
        <f>IFERROR(VLOOKUP(F6883,CARTON_LOOKUP!$A:$E,4,0),"")</f>
      </c>
      <c r="I6883" s="28">
        <f>IFERROR(VLOOKUP(F6883,CARTON_LOOKUP!$A:$E,5,0),"")</f>
      </c>
      <c r="J6883" s="29">
        <f>IFERROR(VLOOKUP(F6883,CARTON_LOOKUP!$A:$E,2,0),"")</f>
      </c>
      <c r="K6883" s="29">
        <f>IFERROR(J6883*D6883,0)</f>
      </c>
      <c r="L6883" s="29">
        <f>IFERROR(E6883*C6883,0)</f>
      </c>
      <c r="M6883" s="29">
        <f>IFERROR((G6883*H6883*I6883/1000000)*D6883,0)</f>
      </c>
    </row>
    <row r="6884" spans="1:13" x14ac:dyDescent="0.25">
      <c r="A6884" s="16"/>
      <c r="E6884" s="27"/>
      <c r="F6884" t="s">
        <v>26</v>
      </c>
      <c r="G6884" s="28">
        <f>IFERROR(VLOOKUP(F6884,CARTON_LOOKUP!$A:$E,3,0),"")</f>
      </c>
      <c r="H6884" s="28">
        <f>IFERROR(VLOOKUP(F6884,CARTON_LOOKUP!$A:$E,4,0),"")</f>
      </c>
      <c r="I6884" s="28">
        <f>IFERROR(VLOOKUP(F6884,CARTON_LOOKUP!$A:$E,5,0),"")</f>
      </c>
      <c r="J6884" s="29">
        <f>IFERROR(VLOOKUP(F6884,CARTON_LOOKUP!$A:$E,2,0),"")</f>
      </c>
      <c r="K6884" s="29">
        <f>IFERROR(J6884*D6884,0)</f>
      </c>
      <c r="L6884" s="29">
        <f>IFERROR(E6884*C6884,0)</f>
      </c>
      <c r="M6884" s="29">
        <f>IFERROR((G6884*H6884*I6884/1000000)*D6884,0)</f>
      </c>
    </row>
    <row r="6885" spans="1:13" x14ac:dyDescent="0.25">
      <c r="A6885" s="16"/>
      <c r="E6885" s="27"/>
      <c r="F6885" t="s">
        <v>26</v>
      </c>
      <c r="G6885" s="28">
        <f>IFERROR(VLOOKUP(F6885,CARTON_LOOKUP!$A:$E,3,0),"")</f>
      </c>
      <c r="H6885" s="28">
        <f>IFERROR(VLOOKUP(F6885,CARTON_LOOKUP!$A:$E,4,0),"")</f>
      </c>
      <c r="I6885" s="28">
        <f>IFERROR(VLOOKUP(F6885,CARTON_LOOKUP!$A:$E,5,0),"")</f>
      </c>
      <c r="J6885" s="29">
        <f>IFERROR(VLOOKUP(F6885,CARTON_LOOKUP!$A:$E,2,0),"")</f>
      </c>
      <c r="K6885" s="29">
        <f>IFERROR(J6885*D6885,0)</f>
      </c>
      <c r="L6885" s="29">
        <f>IFERROR(E6885*C6885,0)</f>
      </c>
      <c r="M6885" s="29">
        <f>IFERROR((G6885*H6885*I6885/1000000)*D6885,0)</f>
      </c>
    </row>
    <row r="6886" spans="1:13" x14ac:dyDescent="0.25">
      <c r="A6886" s="16"/>
      <c r="E6886" s="27"/>
      <c r="F6886" t="s">
        <v>26</v>
      </c>
      <c r="G6886" s="28">
        <f>IFERROR(VLOOKUP(F6886,CARTON_LOOKUP!$A:$E,3,0),"")</f>
      </c>
      <c r="H6886" s="28">
        <f>IFERROR(VLOOKUP(F6886,CARTON_LOOKUP!$A:$E,4,0),"")</f>
      </c>
      <c r="I6886" s="28">
        <f>IFERROR(VLOOKUP(F6886,CARTON_LOOKUP!$A:$E,5,0),"")</f>
      </c>
      <c r="J6886" s="29">
        <f>IFERROR(VLOOKUP(F6886,CARTON_LOOKUP!$A:$E,2,0),"")</f>
      </c>
      <c r="K6886" s="29">
        <f>IFERROR(J6886*D6886,0)</f>
      </c>
      <c r="L6886" s="29">
        <f>IFERROR(E6886*C6886,0)</f>
      </c>
      <c r="M6886" s="29">
        <f>IFERROR((G6886*H6886*I6886/1000000)*D6886,0)</f>
      </c>
    </row>
    <row r="6887" spans="1:13" x14ac:dyDescent="0.25">
      <c r="A6887" s="16"/>
      <c r="E6887" s="27"/>
      <c r="F6887" t="s">
        <v>26</v>
      </c>
      <c r="G6887" s="28">
        <f>IFERROR(VLOOKUP(F6887,CARTON_LOOKUP!$A:$E,3,0),"")</f>
      </c>
      <c r="H6887" s="28">
        <f>IFERROR(VLOOKUP(F6887,CARTON_LOOKUP!$A:$E,4,0),"")</f>
      </c>
      <c r="I6887" s="28">
        <f>IFERROR(VLOOKUP(F6887,CARTON_LOOKUP!$A:$E,5,0),"")</f>
      </c>
      <c r="J6887" s="29">
        <f>IFERROR(VLOOKUP(F6887,CARTON_LOOKUP!$A:$E,2,0),"")</f>
      </c>
      <c r="K6887" s="29">
        <f>IFERROR(J6887*D6887,0)</f>
      </c>
      <c r="L6887" s="29">
        <f>IFERROR(E6887*C6887,0)</f>
      </c>
      <c r="M6887" s="29">
        <f>IFERROR((G6887*H6887*I6887/1000000)*D6887,0)</f>
      </c>
    </row>
    <row r="6888" spans="1:13" x14ac:dyDescent="0.25">
      <c r="A6888" s="16"/>
      <c r="E6888" s="27"/>
      <c r="F6888" t="s">
        <v>26</v>
      </c>
      <c r="G6888" s="28">
        <f>IFERROR(VLOOKUP(F6888,CARTON_LOOKUP!$A:$E,3,0),"")</f>
      </c>
      <c r="H6888" s="28">
        <f>IFERROR(VLOOKUP(F6888,CARTON_LOOKUP!$A:$E,4,0),"")</f>
      </c>
      <c r="I6888" s="28">
        <f>IFERROR(VLOOKUP(F6888,CARTON_LOOKUP!$A:$E,5,0),"")</f>
      </c>
      <c r="J6888" s="29">
        <f>IFERROR(VLOOKUP(F6888,CARTON_LOOKUP!$A:$E,2,0),"")</f>
      </c>
      <c r="K6888" s="29">
        <f>IFERROR(J6888*D6888,0)</f>
      </c>
      <c r="L6888" s="29">
        <f>IFERROR(E6888*C6888,0)</f>
      </c>
      <c r="M6888" s="29">
        <f>IFERROR((G6888*H6888*I6888/1000000)*D6888,0)</f>
      </c>
    </row>
    <row r="6889" spans="1:13" x14ac:dyDescent="0.25">
      <c r="A6889" s="16"/>
      <c r="E6889" s="27"/>
      <c r="F6889" t="s">
        <v>26</v>
      </c>
      <c r="G6889" s="28">
        <f>IFERROR(VLOOKUP(F6889,CARTON_LOOKUP!$A:$E,3,0),"")</f>
      </c>
      <c r="H6889" s="28">
        <f>IFERROR(VLOOKUP(F6889,CARTON_LOOKUP!$A:$E,4,0),"")</f>
      </c>
      <c r="I6889" s="28">
        <f>IFERROR(VLOOKUP(F6889,CARTON_LOOKUP!$A:$E,5,0),"")</f>
      </c>
      <c r="J6889" s="29">
        <f>IFERROR(VLOOKUP(F6889,CARTON_LOOKUP!$A:$E,2,0),"")</f>
      </c>
      <c r="K6889" s="29">
        <f>IFERROR(J6889*D6889,0)</f>
      </c>
      <c r="L6889" s="29">
        <f>IFERROR(E6889*C6889,0)</f>
      </c>
      <c r="M6889" s="29">
        <f>IFERROR((G6889*H6889*I6889/1000000)*D6889,0)</f>
      </c>
    </row>
    <row r="6890" spans="1:13" x14ac:dyDescent="0.25">
      <c r="A6890" s="16"/>
      <c r="E6890" s="27"/>
      <c r="F6890" t="s">
        <v>26</v>
      </c>
      <c r="G6890" s="28">
        <f>IFERROR(VLOOKUP(F6890,CARTON_LOOKUP!$A:$E,3,0),"")</f>
      </c>
      <c r="H6890" s="28">
        <f>IFERROR(VLOOKUP(F6890,CARTON_LOOKUP!$A:$E,4,0),"")</f>
      </c>
      <c r="I6890" s="28">
        <f>IFERROR(VLOOKUP(F6890,CARTON_LOOKUP!$A:$E,5,0),"")</f>
      </c>
      <c r="J6890" s="29">
        <f>IFERROR(VLOOKUP(F6890,CARTON_LOOKUP!$A:$E,2,0),"")</f>
      </c>
      <c r="K6890" s="29">
        <f>IFERROR(J6890*D6890,0)</f>
      </c>
      <c r="L6890" s="29">
        <f>IFERROR(E6890*C6890,0)</f>
      </c>
      <c r="M6890" s="29">
        <f>IFERROR((G6890*H6890*I6890/1000000)*D6890,0)</f>
      </c>
    </row>
    <row r="6891" spans="1:13" x14ac:dyDescent="0.25">
      <c r="A6891" s="16"/>
      <c r="E6891" s="27"/>
      <c r="F6891" t="s">
        <v>26</v>
      </c>
      <c r="G6891" s="28">
        <f>IFERROR(VLOOKUP(F6891,CARTON_LOOKUP!$A:$E,3,0),"")</f>
      </c>
      <c r="H6891" s="28">
        <f>IFERROR(VLOOKUP(F6891,CARTON_LOOKUP!$A:$E,4,0),"")</f>
      </c>
      <c r="I6891" s="28">
        <f>IFERROR(VLOOKUP(F6891,CARTON_LOOKUP!$A:$E,5,0),"")</f>
      </c>
      <c r="J6891" s="29">
        <f>IFERROR(VLOOKUP(F6891,CARTON_LOOKUP!$A:$E,2,0),"")</f>
      </c>
      <c r="K6891" s="29">
        <f>IFERROR(J6891*D6891,0)</f>
      </c>
      <c r="L6891" s="29">
        <f>IFERROR(E6891*C6891,0)</f>
      </c>
      <c r="M6891" s="29">
        <f>IFERROR((G6891*H6891*I6891/1000000)*D6891,0)</f>
      </c>
    </row>
    <row r="6892" spans="1:13" x14ac:dyDescent="0.25">
      <c r="A6892" s="16"/>
      <c r="E6892" s="27"/>
      <c r="F6892" t="s">
        <v>26</v>
      </c>
      <c r="G6892" s="28">
        <f>IFERROR(VLOOKUP(F6892,CARTON_LOOKUP!$A:$E,3,0),"")</f>
      </c>
      <c r="H6892" s="28">
        <f>IFERROR(VLOOKUP(F6892,CARTON_LOOKUP!$A:$E,4,0),"")</f>
      </c>
      <c r="I6892" s="28">
        <f>IFERROR(VLOOKUP(F6892,CARTON_LOOKUP!$A:$E,5,0),"")</f>
      </c>
      <c r="J6892" s="29">
        <f>IFERROR(VLOOKUP(F6892,CARTON_LOOKUP!$A:$E,2,0),"")</f>
      </c>
      <c r="K6892" s="29">
        <f>IFERROR(J6892*D6892,0)</f>
      </c>
      <c r="L6892" s="29">
        <f>IFERROR(E6892*C6892,0)</f>
      </c>
      <c r="M6892" s="29">
        <f>IFERROR((G6892*H6892*I6892/1000000)*D6892,0)</f>
      </c>
    </row>
    <row r="6893" spans="1:13" x14ac:dyDescent="0.25">
      <c r="A6893" s="16"/>
      <c r="E6893" s="27"/>
      <c r="F6893" t="s">
        <v>26</v>
      </c>
      <c r="G6893" s="28">
        <f>IFERROR(VLOOKUP(F6893,CARTON_LOOKUP!$A:$E,3,0),"")</f>
      </c>
      <c r="H6893" s="28">
        <f>IFERROR(VLOOKUP(F6893,CARTON_LOOKUP!$A:$E,4,0),"")</f>
      </c>
      <c r="I6893" s="28">
        <f>IFERROR(VLOOKUP(F6893,CARTON_LOOKUP!$A:$E,5,0),"")</f>
      </c>
      <c r="J6893" s="29">
        <f>IFERROR(VLOOKUP(F6893,CARTON_LOOKUP!$A:$E,2,0),"")</f>
      </c>
      <c r="K6893" s="29">
        <f>IFERROR(J6893*D6893,0)</f>
      </c>
      <c r="L6893" s="29">
        <f>IFERROR(E6893*C6893,0)</f>
      </c>
      <c r="M6893" s="29">
        <f>IFERROR((G6893*H6893*I6893/1000000)*D6893,0)</f>
      </c>
    </row>
    <row r="6894" spans="1:13" x14ac:dyDescent="0.25">
      <c r="A6894" s="16"/>
      <c r="E6894" s="27"/>
      <c r="F6894" t="s">
        <v>26</v>
      </c>
      <c r="G6894" s="28">
        <f>IFERROR(VLOOKUP(F6894,CARTON_LOOKUP!$A:$E,3,0),"")</f>
      </c>
      <c r="H6894" s="28">
        <f>IFERROR(VLOOKUP(F6894,CARTON_LOOKUP!$A:$E,4,0),"")</f>
      </c>
      <c r="I6894" s="28">
        <f>IFERROR(VLOOKUP(F6894,CARTON_LOOKUP!$A:$E,5,0),"")</f>
      </c>
      <c r="J6894" s="29">
        <f>IFERROR(VLOOKUP(F6894,CARTON_LOOKUP!$A:$E,2,0),"")</f>
      </c>
      <c r="K6894" s="29">
        <f>IFERROR(J6894*D6894,0)</f>
      </c>
      <c r="L6894" s="29">
        <f>IFERROR(E6894*C6894,0)</f>
      </c>
      <c r="M6894" s="29">
        <f>IFERROR((G6894*H6894*I6894/1000000)*D6894,0)</f>
      </c>
    </row>
    <row r="6895" spans="1:13" x14ac:dyDescent="0.25">
      <c r="A6895" s="16"/>
      <c r="E6895" s="27"/>
      <c r="F6895" t="s">
        <v>26</v>
      </c>
      <c r="G6895" s="28">
        <f>IFERROR(VLOOKUP(F6895,CARTON_LOOKUP!$A:$E,3,0),"")</f>
      </c>
      <c r="H6895" s="28">
        <f>IFERROR(VLOOKUP(F6895,CARTON_LOOKUP!$A:$E,4,0),"")</f>
      </c>
      <c r="I6895" s="28">
        <f>IFERROR(VLOOKUP(F6895,CARTON_LOOKUP!$A:$E,5,0),"")</f>
      </c>
      <c r="J6895" s="29">
        <f>IFERROR(VLOOKUP(F6895,CARTON_LOOKUP!$A:$E,2,0),"")</f>
      </c>
      <c r="K6895" s="29">
        <f>IFERROR(J6895*D6895,0)</f>
      </c>
      <c r="L6895" s="29">
        <f>IFERROR(E6895*C6895,0)</f>
      </c>
      <c r="M6895" s="29">
        <f>IFERROR((G6895*H6895*I6895/1000000)*D6895,0)</f>
      </c>
    </row>
    <row r="6896" spans="1:13" x14ac:dyDescent="0.25">
      <c r="A6896" s="16"/>
      <c r="E6896" s="27"/>
      <c r="F6896" t="s">
        <v>26</v>
      </c>
      <c r="G6896" s="28">
        <f>IFERROR(VLOOKUP(F6896,CARTON_LOOKUP!$A:$E,3,0),"")</f>
      </c>
      <c r="H6896" s="28">
        <f>IFERROR(VLOOKUP(F6896,CARTON_LOOKUP!$A:$E,4,0),"")</f>
      </c>
      <c r="I6896" s="28">
        <f>IFERROR(VLOOKUP(F6896,CARTON_LOOKUP!$A:$E,5,0),"")</f>
      </c>
      <c r="J6896" s="29">
        <f>IFERROR(VLOOKUP(F6896,CARTON_LOOKUP!$A:$E,2,0),"")</f>
      </c>
      <c r="K6896" s="29">
        <f>IFERROR(J6896*D6896,0)</f>
      </c>
      <c r="L6896" s="29">
        <f>IFERROR(E6896*C6896,0)</f>
      </c>
      <c r="M6896" s="29">
        <f>IFERROR((G6896*H6896*I6896/1000000)*D6896,0)</f>
      </c>
    </row>
    <row r="6897" spans="1:13" x14ac:dyDescent="0.25">
      <c r="A6897" s="16"/>
      <c r="E6897" s="27"/>
      <c r="F6897" t="s">
        <v>26</v>
      </c>
      <c r="G6897" s="28">
        <f>IFERROR(VLOOKUP(F6897,CARTON_LOOKUP!$A:$E,3,0),"")</f>
      </c>
      <c r="H6897" s="28">
        <f>IFERROR(VLOOKUP(F6897,CARTON_LOOKUP!$A:$E,4,0),"")</f>
      </c>
      <c r="I6897" s="28">
        <f>IFERROR(VLOOKUP(F6897,CARTON_LOOKUP!$A:$E,5,0),"")</f>
      </c>
      <c r="J6897" s="29">
        <f>IFERROR(VLOOKUP(F6897,CARTON_LOOKUP!$A:$E,2,0),"")</f>
      </c>
      <c r="K6897" s="29">
        <f>IFERROR(J6897*D6897,0)</f>
      </c>
      <c r="L6897" s="29">
        <f>IFERROR(E6897*C6897,0)</f>
      </c>
      <c r="M6897" s="29">
        <f>IFERROR((G6897*H6897*I6897/1000000)*D6897,0)</f>
      </c>
    </row>
    <row r="6898" spans="1:13" x14ac:dyDescent="0.25">
      <c r="A6898" s="16"/>
      <c r="E6898" s="27"/>
      <c r="F6898" t="s">
        <v>26</v>
      </c>
      <c r="G6898" s="28">
        <f>IFERROR(VLOOKUP(F6898,CARTON_LOOKUP!$A:$E,3,0),"")</f>
      </c>
      <c r="H6898" s="28">
        <f>IFERROR(VLOOKUP(F6898,CARTON_LOOKUP!$A:$E,4,0),"")</f>
      </c>
      <c r="I6898" s="28">
        <f>IFERROR(VLOOKUP(F6898,CARTON_LOOKUP!$A:$E,5,0),"")</f>
      </c>
      <c r="J6898" s="29">
        <f>IFERROR(VLOOKUP(F6898,CARTON_LOOKUP!$A:$E,2,0),"")</f>
      </c>
      <c r="K6898" s="29">
        <f>IFERROR(J6898*D6898,0)</f>
      </c>
      <c r="L6898" s="29">
        <f>IFERROR(E6898*C6898,0)</f>
      </c>
      <c r="M6898" s="29">
        <f>IFERROR((G6898*H6898*I6898/1000000)*D6898,0)</f>
      </c>
    </row>
    <row r="6899" spans="1:13" x14ac:dyDescent="0.25">
      <c r="A6899" s="16"/>
      <c r="E6899" s="27"/>
      <c r="F6899" t="s">
        <v>26</v>
      </c>
      <c r="G6899" s="28">
        <f>IFERROR(VLOOKUP(F6899,CARTON_LOOKUP!$A:$E,3,0),"")</f>
      </c>
      <c r="H6899" s="28">
        <f>IFERROR(VLOOKUP(F6899,CARTON_LOOKUP!$A:$E,4,0),"")</f>
      </c>
      <c r="I6899" s="28">
        <f>IFERROR(VLOOKUP(F6899,CARTON_LOOKUP!$A:$E,5,0),"")</f>
      </c>
      <c r="J6899" s="29">
        <f>IFERROR(VLOOKUP(F6899,CARTON_LOOKUP!$A:$E,2,0),"")</f>
      </c>
      <c r="K6899" s="29">
        <f>IFERROR(J6899*D6899,0)</f>
      </c>
      <c r="L6899" s="29">
        <f>IFERROR(E6899*C6899,0)</f>
      </c>
      <c r="M6899" s="29">
        <f>IFERROR((G6899*H6899*I6899/1000000)*D6899,0)</f>
      </c>
    </row>
    <row r="6900" spans="1:13" x14ac:dyDescent="0.25">
      <c r="A6900" s="16"/>
      <c r="E6900" s="27"/>
      <c r="F6900" t="s">
        <v>26</v>
      </c>
      <c r="G6900" s="28">
        <f>IFERROR(VLOOKUP(F6900,CARTON_LOOKUP!$A:$E,3,0),"")</f>
      </c>
      <c r="H6900" s="28">
        <f>IFERROR(VLOOKUP(F6900,CARTON_LOOKUP!$A:$E,4,0),"")</f>
      </c>
      <c r="I6900" s="28">
        <f>IFERROR(VLOOKUP(F6900,CARTON_LOOKUP!$A:$E,5,0),"")</f>
      </c>
      <c r="J6900" s="29">
        <f>IFERROR(VLOOKUP(F6900,CARTON_LOOKUP!$A:$E,2,0),"")</f>
      </c>
      <c r="K6900" s="29">
        <f>IFERROR(J6900*D6900,0)</f>
      </c>
      <c r="L6900" s="29">
        <f>IFERROR(E6900*C6900,0)</f>
      </c>
      <c r="M6900" s="29">
        <f>IFERROR((G6900*H6900*I6900/1000000)*D6900,0)</f>
      </c>
    </row>
    <row r="6901" spans="1:13" x14ac:dyDescent="0.25">
      <c r="A6901" s="16"/>
      <c r="E6901" s="27"/>
      <c r="F6901" t="s">
        <v>26</v>
      </c>
      <c r="G6901" s="28">
        <f>IFERROR(VLOOKUP(F6901,CARTON_LOOKUP!$A:$E,3,0),"")</f>
      </c>
      <c r="H6901" s="28">
        <f>IFERROR(VLOOKUP(F6901,CARTON_LOOKUP!$A:$E,4,0),"")</f>
      </c>
      <c r="I6901" s="28">
        <f>IFERROR(VLOOKUP(F6901,CARTON_LOOKUP!$A:$E,5,0),"")</f>
      </c>
      <c r="J6901" s="29">
        <f>IFERROR(VLOOKUP(F6901,CARTON_LOOKUP!$A:$E,2,0),"")</f>
      </c>
      <c r="K6901" s="29">
        <f>IFERROR(J6901*D6901,0)</f>
      </c>
      <c r="L6901" s="29">
        <f>IFERROR(E6901*C6901,0)</f>
      </c>
      <c r="M6901" s="29">
        <f>IFERROR((G6901*H6901*I6901/1000000)*D6901,0)</f>
      </c>
    </row>
    <row r="6902" spans="1:13" x14ac:dyDescent="0.25">
      <c r="A6902" s="16"/>
      <c r="E6902" s="27"/>
      <c r="F6902" t="s">
        <v>26</v>
      </c>
      <c r="G6902" s="28">
        <f>IFERROR(VLOOKUP(F6902,CARTON_LOOKUP!$A:$E,3,0),"")</f>
      </c>
      <c r="H6902" s="28">
        <f>IFERROR(VLOOKUP(F6902,CARTON_LOOKUP!$A:$E,4,0),"")</f>
      </c>
      <c r="I6902" s="28">
        <f>IFERROR(VLOOKUP(F6902,CARTON_LOOKUP!$A:$E,5,0),"")</f>
      </c>
      <c r="J6902" s="29">
        <f>IFERROR(VLOOKUP(F6902,CARTON_LOOKUP!$A:$E,2,0),"")</f>
      </c>
      <c r="K6902" s="29">
        <f>IFERROR(J6902*D6902,0)</f>
      </c>
      <c r="L6902" s="29">
        <f>IFERROR(E6902*C6902,0)</f>
      </c>
      <c r="M6902" s="29">
        <f>IFERROR((G6902*H6902*I6902/1000000)*D6902,0)</f>
      </c>
    </row>
    <row r="6903" spans="1:13" x14ac:dyDescent="0.25">
      <c r="A6903" s="16"/>
      <c r="E6903" s="27"/>
      <c r="F6903" t="s">
        <v>26</v>
      </c>
      <c r="G6903" s="28">
        <f>IFERROR(VLOOKUP(F6903,CARTON_LOOKUP!$A:$E,3,0),"")</f>
      </c>
      <c r="H6903" s="28">
        <f>IFERROR(VLOOKUP(F6903,CARTON_LOOKUP!$A:$E,4,0),"")</f>
      </c>
      <c r="I6903" s="28">
        <f>IFERROR(VLOOKUP(F6903,CARTON_LOOKUP!$A:$E,5,0),"")</f>
      </c>
      <c r="J6903" s="29">
        <f>IFERROR(VLOOKUP(F6903,CARTON_LOOKUP!$A:$E,2,0),"")</f>
      </c>
      <c r="K6903" s="29">
        <f>IFERROR(J6903*D6903,0)</f>
      </c>
      <c r="L6903" s="29">
        <f>IFERROR(E6903*C6903,0)</f>
      </c>
      <c r="M6903" s="29">
        <f>IFERROR((G6903*H6903*I6903/1000000)*D6903,0)</f>
      </c>
    </row>
    <row r="6904" spans="1:13" x14ac:dyDescent="0.25">
      <c r="A6904" s="16"/>
      <c r="E6904" s="27"/>
      <c r="F6904" t="s">
        <v>26</v>
      </c>
      <c r="G6904" s="28">
        <f>IFERROR(VLOOKUP(F6904,CARTON_LOOKUP!$A:$E,3,0),"")</f>
      </c>
      <c r="H6904" s="28">
        <f>IFERROR(VLOOKUP(F6904,CARTON_LOOKUP!$A:$E,4,0),"")</f>
      </c>
      <c r="I6904" s="28">
        <f>IFERROR(VLOOKUP(F6904,CARTON_LOOKUP!$A:$E,5,0),"")</f>
      </c>
      <c r="J6904" s="29">
        <f>IFERROR(VLOOKUP(F6904,CARTON_LOOKUP!$A:$E,2,0),"")</f>
      </c>
      <c r="K6904" s="29">
        <f>IFERROR(J6904*D6904,0)</f>
      </c>
      <c r="L6904" s="29">
        <f>IFERROR(E6904*C6904,0)</f>
      </c>
      <c r="M6904" s="29">
        <f>IFERROR((G6904*H6904*I6904/1000000)*D6904,0)</f>
      </c>
    </row>
    <row r="6905" spans="1:13" x14ac:dyDescent="0.25">
      <c r="A6905" s="16"/>
      <c r="E6905" s="27"/>
      <c r="F6905" t="s">
        <v>26</v>
      </c>
      <c r="G6905" s="28">
        <f>IFERROR(VLOOKUP(F6905,CARTON_LOOKUP!$A:$E,3,0),"")</f>
      </c>
      <c r="H6905" s="28">
        <f>IFERROR(VLOOKUP(F6905,CARTON_LOOKUP!$A:$E,4,0),"")</f>
      </c>
      <c r="I6905" s="28">
        <f>IFERROR(VLOOKUP(F6905,CARTON_LOOKUP!$A:$E,5,0),"")</f>
      </c>
      <c r="J6905" s="29">
        <f>IFERROR(VLOOKUP(F6905,CARTON_LOOKUP!$A:$E,2,0),"")</f>
      </c>
      <c r="K6905" s="29">
        <f>IFERROR(J6905*D6905,0)</f>
      </c>
      <c r="L6905" s="29">
        <f>IFERROR(E6905*C6905,0)</f>
      </c>
      <c r="M6905" s="29">
        <f>IFERROR((G6905*H6905*I6905/1000000)*D6905,0)</f>
      </c>
    </row>
    <row r="6906" spans="1:13" x14ac:dyDescent="0.25">
      <c r="A6906" s="16"/>
      <c r="E6906" s="27"/>
      <c r="F6906" t="s">
        <v>26</v>
      </c>
      <c r="G6906" s="28">
        <f>IFERROR(VLOOKUP(F6906,CARTON_LOOKUP!$A:$E,3,0),"")</f>
      </c>
      <c r="H6906" s="28">
        <f>IFERROR(VLOOKUP(F6906,CARTON_LOOKUP!$A:$E,4,0),"")</f>
      </c>
      <c r="I6906" s="28">
        <f>IFERROR(VLOOKUP(F6906,CARTON_LOOKUP!$A:$E,5,0),"")</f>
      </c>
      <c r="J6906" s="29">
        <f>IFERROR(VLOOKUP(F6906,CARTON_LOOKUP!$A:$E,2,0),"")</f>
      </c>
      <c r="K6906" s="29">
        <f>IFERROR(J6906*D6906,0)</f>
      </c>
      <c r="L6906" s="29">
        <f>IFERROR(E6906*C6906,0)</f>
      </c>
      <c r="M6906" s="29">
        <f>IFERROR((G6906*H6906*I6906/1000000)*D6906,0)</f>
      </c>
    </row>
    <row r="6907" spans="1:13" x14ac:dyDescent="0.25">
      <c r="A6907" s="16"/>
      <c r="E6907" s="27"/>
      <c r="F6907" t="s">
        <v>26</v>
      </c>
      <c r="G6907" s="28">
        <f>IFERROR(VLOOKUP(F6907,CARTON_LOOKUP!$A:$E,3,0),"")</f>
      </c>
      <c r="H6907" s="28">
        <f>IFERROR(VLOOKUP(F6907,CARTON_LOOKUP!$A:$E,4,0),"")</f>
      </c>
      <c r="I6907" s="28">
        <f>IFERROR(VLOOKUP(F6907,CARTON_LOOKUP!$A:$E,5,0),"")</f>
      </c>
      <c r="J6907" s="29">
        <f>IFERROR(VLOOKUP(F6907,CARTON_LOOKUP!$A:$E,2,0),"")</f>
      </c>
      <c r="K6907" s="29">
        <f>IFERROR(J6907*D6907,0)</f>
      </c>
      <c r="L6907" s="29">
        <f>IFERROR(E6907*C6907,0)</f>
      </c>
      <c r="M6907" s="29">
        <f>IFERROR((G6907*H6907*I6907/1000000)*D6907,0)</f>
      </c>
    </row>
    <row r="6908" spans="1:13" x14ac:dyDescent="0.25">
      <c r="A6908" s="16"/>
      <c r="E6908" s="27"/>
      <c r="F6908" t="s">
        <v>26</v>
      </c>
      <c r="G6908" s="28">
        <f>IFERROR(VLOOKUP(F6908,CARTON_LOOKUP!$A:$E,3,0),"")</f>
      </c>
      <c r="H6908" s="28">
        <f>IFERROR(VLOOKUP(F6908,CARTON_LOOKUP!$A:$E,4,0),"")</f>
      </c>
      <c r="I6908" s="28">
        <f>IFERROR(VLOOKUP(F6908,CARTON_LOOKUP!$A:$E,5,0),"")</f>
      </c>
      <c r="J6908" s="29">
        <f>IFERROR(VLOOKUP(F6908,CARTON_LOOKUP!$A:$E,2,0),"")</f>
      </c>
      <c r="K6908" s="29">
        <f>IFERROR(J6908*D6908,0)</f>
      </c>
      <c r="L6908" s="29">
        <f>IFERROR(E6908*C6908,0)</f>
      </c>
      <c r="M6908" s="29">
        <f>IFERROR((G6908*H6908*I6908/1000000)*D6908,0)</f>
      </c>
    </row>
    <row r="6909" spans="1:13" x14ac:dyDescent="0.25">
      <c r="A6909" s="16"/>
      <c r="E6909" s="27"/>
      <c r="F6909" t="s">
        <v>26</v>
      </c>
      <c r="G6909" s="28">
        <f>IFERROR(VLOOKUP(F6909,CARTON_LOOKUP!$A:$E,3,0),"")</f>
      </c>
      <c r="H6909" s="28">
        <f>IFERROR(VLOOKUP(F6909,CARTON_LOOKUP!$A:$E,4,0),"")</f>
      </c>
      <c r="I6909" s="28">
        <f>IFERROR(VLOOKUP(F6909,CARTON_LOOKUP!$A:$E,5,0),"")</f>
      </c>
      <c r="J6909" s="29">
        <f>IFERROR(VLOOKUP(F6909,CARTON_LOOKUP!$A:$E,2,0),"")</f>
      </c>
      <c r="K6909" s="29">
        <f>IFERROR(J6909*D6909,0)</f>
      </c>
      <c r="L6909" s="29">
        <f>IFERROR(E6909*C6909,0)</f>
      </c>
      <c r="M6909" s="29">
        <f>IFERROR((G6909*H6909*I6909/1000000)*D6909,0)</f>
      </c>
    </row>
    <row r="6910" spans="1:13" x14ac:dyDescent="0.25">
      <c r="A6910" s="16"/>
      <c r="E6910" s="27"/>
      <c r="F6910" t="s">
        <v>26</v>
      </c>
      <c r="G6910" s="28">
        <f>IFERROR(VLOOKUP(F6910,CARTON_LOOKUP!$A:$E,3,0),"")</f>
      </c>
      <c r="H6910" s="28">
        <f>IFERROR(VLOOKUP(F6910,CARTON_LOOKUP!$A:$E,4,0),"")</f>
      </c>
      <c r="I6910" s="28">
        <f>IFERROR(VLOOKUP(F6910,CARTON_LOOKUP!$A:$E,5,0),"")</f>
      </c>
      <c r="J6910" s="29">
        <f>IFERROR(VLOOKUP(F6910,CARTON_LOOKUP!$A:$E,2,0),"")</f>
      </c>
      <c r="K6910" s="29">
        <f>IFERROR(J6910*D6910,0)</f>
      </c>
      <c r="L6910" s="29">
        <f>IFERROR(E6910*C6910,0)</f>
      </c>
      <c r="M6910" s="29">
        <f>IFERROR((G6910*H6910*I6910/1000000)*D6910,0)</f>
      </c>
    </row>
    <row r="6911" spans="1:13" x14ac:dyDescent="0.25">
      <c r="A6911" s="16"/>
      <c r="E6911" s="27"/>
      <c r="F6911" t="s">
        <v>26</v>
      </c>
      <c r="G6911" s="28">
        <f>IFERROR(VLOOKUP(F6911,CARTON_LOOKUP!$A:$E,3,0),"")</f>
      </c>
      <c r="H6911" s="28">
        <f>IFERROR(VLOOKUP(F6911,CARTON_LOOKUP!$A:$E,4,0),"")</f>
      </c>
      <c r="I6911" s="28">
        <f>IFERROR(VLOOKUP(F6911,CARTON_LOOKUP!$A:$E,5,0),"")</f>
      </c>
      <c r="J6911" s="29">
        <f>IFERROR(VLOOKUP(F6911,CARTON_LOOKUP!$A:$E,2,0),"")</f>
      </c>
      <c r="K6911" s="29">
        <f>IFERROR(J6911*D6911,0)</f>
      </c>
      <c r="L6911" s="29">
        <f>IFERROR(E6911*C6911,0)</f>
      </c>
      <c r="M6911" s="29">
        <f>IFERROR((G6911*H6911*I6911/1000000)*D6911,0)</f>
      </c>
    </row>
    <row r="6912" spans="1:13" x14ac:dyDescent="0.25">
      <c r="A6912" s="16"/>
      <c r="E6912" s="27"/>
      <c r="F6912" t="s">
        <v>26</v>
      </c>
      <c r="G6912" s="28">
        <f>IFERROR(VLOOKUP(F6912,CARTON_LOOKUP!$A:$E,3,0),"")</f>
      </c>
      <c r="H6912" s="28">
        <f>IFERROR(VLOOKUP(F6912,CARTON_LOOKUP!$A:$E,4,0),"")</f>
      </c>
      <c r="I6912" s="28">
        <f>IFERROR(VLOOKUP(F6912,CARTON_LOOKUP!$A:$E,5,0),"")</f>
      </c>
      <c r="J6912" s="29">
        <f>IFERROR(VLOOKUP(F6912,CARTON_LOOKUP!$A:$E,2,0),"")</f>
      </c>
      <c r="K6912" s="29">
        <f>IFERROR(J6912*D6912,0)</f>
      </c>
      <c r="L6912" s="29">
        <f>IFERROR(E6912*C6912,0)</f>
      </c>
      <c r="M6912" s="29">
        <f>IFERROR((G6912*H6912*I6912/1000000)*D6912,0)</f>
      </c>
    </row>
    <row r="6913" spans="1:13" x14ac:dyDescent="0.25">
      <c r="A6913" s="16"/>
      <c r="E6913" s="27"/>
      <c r="F6913" t="s">
        <v>26</v>
      </c>
      <c r="G6913" s="28">
        <f>IFERROR(VLOOKUP(F6913,CARTON_LOOKUP!$A:$E,3,0),"")</f>
      </c>
      <c r="H6913" s="28">
        <f>IFERROR(VLOOKUP(F6913,CARTON_LOOKUP!$A:$E,4,0),"")</f>
      </c>
      <c r="I6913" s="28">
        <f>IFERROR(VLOOKUP(F6913,CARTON_LOOKUP!$A:$E,5,0),"")</f>
      </c>
      <c r="J6913" s="29">
        <f>IFERROR(VLOOKUP(F6913,CARTON_LOOKUP!$A:$E,2,0),"")</f>
      </c>
      <c r="K6913" s="29">
        <f>IFERROR(J6913*D6913,0)</f>
      </c>
      <c r="L6913" s="29">
        <f>IFERROR(E6913*C6913,0)</f>
      </c>
      <c r="M6913" s="29">
        <f>IFERROR((G6913*H6913*I6913/1000000)*D6913,0)</f>
      </c>
    </row>
    <row r="6914" spans="1:13" x14ac:dyDescent="0.25">
      <c r="A6914" s="16"/>
      <c r="E6914" s="27"/>
      <c r="F6914" t="s">
        <v>26</v>
      </c>
      <c r="G6914" s="28">
        <f>IFERROR(VLOOKUP(F6914,CARTON_LOOKUP!$A:$E,3,0),"")</f>
      </c>
      <c r="H6914" s="28">
        <f>IFERROR(VLOOKUP(F6914,CARTON_LOOKUP!$A:$E,4,0),"")</f>
      </c>
      <c r="I6914" s="28">
        <f>IFERROR(VLOOKUP(F6914,CARTON_LOOKUP!$A:$E,5,0),"")</f>
      </c>
      <c r="J6914" s="29">
        <f>IFERROR(VLOOKUP(F6914,CARTON_LOOKUP!$A:$E,2,0),"")</f>
      </c>
      <c r="K6914" s="29">
        <f>IFERROR(J6914*D6914,0)</f>
      </c>
      <c r="L6914" s="29">
        <f>IFERROR(E6914*C6914,0)</f>
      </c>
      <c r="M6914" s="29">
        <f>IFERROR((G6914*H6914*I6914/1000000)*D6914,0)</f>
      </c>
    </row>
    <row r="6915" spans="1:13" x14ac:dyDescent="0.25">
      <c r="A6915" s="16"/>
      <c r="E6915" s="27"/>
      <c r="F6915" t="s">
        <v>26</v>
      </c>
      <c r="G6915" s="28">
        <f>IFERROR(VLOOKUP(F6915,CARTON_LOOKUP!$A:$E,3,0),"")</f>
      </c>
      <c r="H6915" s="28">
        <f>IFERROR(VLOOKUP(F6915,CARTON_LOOKUP!$A:$E,4,0),"")</f>
      </c>
      <c r="I6915" s="28">
        <f>IFERROR(VLOOKUP(F6915,CARTON_LOOKUP!$A:$E,5,0),"")</f>
      </c>
      <c r="J6915" s="29">
        <f>IFERROR(VLOOKUP(F6915,CARTON_LOOKUP!$A:$E,2,0),"")</f>
      </c>
      <c r="K6915" s="29">
        <f>IFERROR(J6915*D6915,0)</f>
      </c>
      <c r="L6915" s="29">
        <f>IFERROR(E6915*C6915,0)</f>
      </c>
      <c r="M6915" s="29">
        <f>IFERROR((G6915*H6915*I6915/1000000)*D6915,0)</f>
      </c>
    </row>
    <row r="6916" spans="1:13" x14ac:dyDescent="0.25">
      <c r="A6916" s="16"/>
      <c r="E6916" s="27"/>
      <c r="F6916" t="s">
        <v>26</v>
      </c>
      <c r="G6916" s="28">
        <f>IFERROR(VLOOKUP(F6916,CARTON_LOOKUP!$A:$E,3,0),"")</f>
      </c>
      <c r="H6916" s="28">
        <f>IFERROR(VLOOKUP(F6916,CARTON_LOOKUP!$A:$E,4,0),"")</f>
      </c>
      <c r="I6916" s="28">
        <f>IFERROR(VLOOKUP(F6916,CARTON_LOOKUP!$A:$E,5,0),"")</f>
      </c>
      <c r="J6916" s="29">
        <f>IFERROR(VLOOKUP(F6916,CARTON_LOOKUP!$A:$E,2,0),"")</f>
      </c>
      <c r="K6916" s="29">
        <f>IFERROR(J6916*D6916,0)</f>
      </c>
      <c r="L6916" s="29">
        <f>IFERROR(E6916*C6916,0)</f>
      </c>
      <c r="M6916" s="29">
        <f>IFERROR((G6916*H6916*I6916/1000000)*D6916,0)</f>
      </c>
    </row>
    <row r="6917" spans="1:13" x14ac:dyDescent="0.25">
      <c r="A6917" s="16"/>
      <c r="E6917" s="27"/>
      <c r="F6917" t="s">
        <v>26</v>
      </c>
      <c r="G6917" s="28">
        <f>IFERROR(VLOOKUP(F6917,CARTON_LOOKUP!$A:$E,3,0),"")</f>
      </c>
      <c r="H6917" s="28">
        <f>IFERROR(VLOOKUP(F6917,CARTON_LOOKUP!$A:$E,4,0),"")</f>
      </c>
      <c r="I6917" s="28">
        <f>IFERROR(VLOOKUP(F6917,CARTON_LOOKUP!$A:$E,5,0),"")</f>
      </c>
      <c r="J6917" s="29">
        <f>IFERROR(VLOOKUP(F6917,CARTON_LOOKUP!$A:$E,2,0),"")</f>
      </c>
      <c r="K6917" s="29">
        <f>IFERROR(J6917*D6917,0)</f>
      </c>
      <c r="L6917" s="29">
        <f>IFERROR(E6917*C6917,0)</f>
      </c>
      <c r="M6917" s="29">
        <f>IFERROR((G6917*H6917*I6917/1000000)*D6917,0)</f>
      </c>
    </row>
    <row r="6918" spans="1:13" x14ac:dyDescent="0.25">
      <c r="A6918" s="16"/>
      <c r="E6918" s="27"/>
      <c r="F6918" t="s">
        <v>26</v>
      </c>
      <c r="G6918" s="28">
        <f>IFERROR(VLOOKUP(F6918,CARTON_LOOKUP!$A:$E,3,0),"")</f>
      </c>
      <c r="H6918" s="28">
        <f>IFERROR(VLOOKUP(F6918,CARTON_LOOKUP!$A:$E,4,0),"")</f>
      </c>
      <c r="I6918" s="28">
        <f>IFERROR(VLOOKUP(F6918,CARTON_LOOKUP!$A:$E,5,0),"")</f>
      </c>
      <c r="J6918" s="29">
        <f>IFERROR(VLOOKUP(F6918,CARTON_LOOKUP!$A:$E,2,0),"")</f>
      </c>
      <c r="K6918" s="29">
        <f>IFERROR(J6918*D6918,0)</f>
      </c>
      <c r="L6918" s="29">
        <f>IFERROR(E6918*C6918,0)</f>
      </c>
      <c r="M6918" s="29">
        <f>IFERROR((G6918*H6918*I6918/1000000)*D6918,0)</f>
      </c>
    </row>
    <row r="6919" spans="1:13" x14ac:dyDescent="0.25">
      <c r="A6919" s="16"/>
      <c r="E6919" s="27"/>
      <c r="F6919" t="s">
        <v>26</v>
      </c>
      <c r="G6919" s="28">
        <f>IFERROR(VLOOKUP(F6919,CARTON_LOOKUP!$A:$E,3,0),"")</f>
      </c>
      <c r="H6919" s="28">
        <f>IFERROR(VLOOKUP(F6919,CARTON_LOOKUP!$A:$E,4,0),"")</f>
      </c>
      <c r="I6919" s="28">
        <f>IFERROR(VLOOKUP(F6919,CARTON_LOOKUP!$A:$E,5,0),"")</f>
      </c>
      <c r="J6919" s="29">
        <f>IFERROR(VLOOKUP(F6919,CARTON_LOOKUP!$A:$E,2,0),"")</f>
      </c>
      <c r="K6919" s="29">
        <f>IFERROR(J6919*D6919,0)</f>
      </c>
      <c r="L6919" s="29">
        <f>IFERROR(E6919*C6919,0)</f>
      </c>
      <c r="M6919" s="29">
        <f>IFERROR((G6919*H6919*I6919/1000000)*D6919,0)</f>
      </c>
    </row>
    <row r="6920" spans="1:13" x14ac:dyDescent="0.25">
      <c r="A6920" s="16"/>
      <c r="E6920" s="27"/>
      <c r="F6920" t="s">
        <v>26</v>
      </c>
      <c r="G6920" s="28">
        <f>IFERROR(VLOOKUP(F6920,CARTON_LOOKUP!$A:$E,3,0),"")</f>
      </c>
      <c r="H6920" s="28">
        <f>IFERROR(VLOOKUP(F6920,CARTON_LOOKUP!$A:$E,4,0),"")</f>
      </c>
      <c r="I6920" s="28">
        <f>IFERROR(VLOOKUP(F6920,CARTON_LOOKUP!$A:$E,5,0),"")</f>
      </c>
      <c r="J6920" s="29">
        <f>IFERROR(VLOOKUP(F6920,CARTON_LOOKUP!$A:$E,2,0),"")</f>
      </c>
      <c r="K6920" s="29">
        <f>IFERROR(J6920*D6920,0)</f>
      </c>
      <c r="L6920" s="29">
        <f>IFERROR(E6920*C6920,0)</f>
      </c>
      <c r="M6920" s="29">
        <f>IFERROR((G6920*H6920*I6920/1000000)*D6920,0)</f>
      </c>
    </row>
    <row r="6921" spans="1:13" x14ac:dyDescent="0.25">
      <c r="A6921" s="16"/>
      <c r="E6921" s="27"/>
      <c r="F6921" t="s">
        <v>26</v>
      </c>
      <c r="G6921" s="28">
        <f>IFERROR(VLOOKUP(F6921,CARTON_LOOKUP!$A:$E,3,0),"")</f>
      </c>
      <c r="H6921" s="28">
        <f>IFERROR(VLOOKUP(F6921,CARTON_LOOKUP!$A:$E,4,0),"")</f>
      </c>
      <c r="I6921" s="28">
        <f>IFERROR(VLOOKUP(F6921,CARTON_LOOKUP!$A:$E,5,0),"")</f>
      </c>
      <c r="J6921" s="29">
        <f>IFERROR(VLOOKUP(F6921,CARTON_LOOKUP!$A:$E,2,0),"")</f>
      </c>
      <c r="K6921" s="29">
        <f>IFERROR(J6921*D6921,0)</f>
      </c>
      <c r="L6921" s="29">
        <f>IFERROR(E6921*C6921,0)</f>
      </c>
      <c r="M6921" s="29">
        <f>IFERROR((G6921*H6921*I6921/1000000)*D6921,0)</f>
      </c>
    </row>
    <row r="6922" spans="1:13" x14ac:dyDescent="0.25">
      <c r="A6922" s="16"/>
      <c r="E6922" s="27"/>
      <c r="F6922" t="s">
        <v>26</v>
      </c>
      <c r="G6922" s="28">
        <f>IFERROR(VLOOKUP(F6922,CARTON_LOOKUP!$A:$E,3,0),"")</f>
      </c>
      <c r="H6922" s="28">
        <f>IFERROR(VLOOKUP(F6922,CARTON_LOOKUP!$A:$E,4,0),"")</f>
      </c>
      <c r="I6922" s="28">
        <f>IFERROR(VLOOKUP(F6922,CARTON_LOOKUP!$A:$E,5,0),"")</f>
      </c>
      <c r="J6922" s="29">
        <f>IFERROR(VLOOKUP(F6922,CARTON_LOOKUP!$A:$E,2,0),"")</f>
      </c>
      <c r="K6922" s="29">
        <f>IFERROR(J6922*D6922,0)</f>
      </c>
      <c r="L6922" s="29">
        <f>IFERROR(E6922*C6922,0)</f>
      </c>
      <c r="M6922" s="29">
        <f>IFERROR((G6922*H6922*I6922/1000000)*D6922,0)</f>
      </c>
    </row>
    <row r="6923" spans="1:13" x14ac:dyDescent="0.25">
      <c r="A6923" s="16"/>
      <c r="E6923" s="27"/>
      <c r="F6923" t="s">
        <v>26</v>
      </c>
      <c r="G6923" s="28">
        <f>IFERROR(VLOOKUP(F6923,CARTON_LOOKUP!$A:$E,3,0),"")</f>
      </c>
      <c r="H6923" s="28">
        <f>IFERROR(VLOOKUP(F6923,CARTON_LOOKUP!$A:$E,4,0),"")</f>
      </c>
      <c r="I6923" s="28">
        <f>IFERROR(VLOOKUP(F6923,CARTON_LOOKUP!$A:$E,5,0),"")</f>
      </c>
      <c r="J6923" s="29">
        <f>IFERROR(VLOOKUP(F6923,CARTON_LOOKUP!$A:$E,2,0),"")</f>
      </c>
      <c r="K6923" s="29">
        <f>IFERROR(J6923*D6923,0)</f>
      </c>
      <c r="L6923" s="29">
        <f>IFERROR(E6923*C6923,0)</f>
      </c>
      <c r="M6923" s="29">
        <f>IFERROR((G6923*H6923*I6923/1000000)*D6923,0)</f>
      </c>
    </row>
    <row r="6924" spans="1:13" x14ac:dyDescent="0.25">
      <c r="A6924" s="16"/>
      <c r="E6924" s="27"/>
      <c r="F6924" t="s">
        <v>26</v>
      </c>
      <c r="G6924" s="28">
        <f>IFERROR(VLOOKUP(F6924,CARTON_LOOKUP!$A:$E,3,0),"")</f>
      </c>
      <c r="H6924" s="28">
        <f>IFERROR(VLOOKUP(F6924,CARTON_LOOKUP!$A:$E,4,0),"")</f>
      </c>
      <c r="I6924" s="28">
        <f>IFERROR(VLOOKUP(F6924,CARTON_LOOKUP!$A:$E,5,0),"")</f>
      </c>
      <c r="J6924" s="29">
        <f>IFERROR(VLOOKUP(F6924,CARTON_LOOKUP!$A:$E,2,0),"")</f>
      </c>
      <c r="K6924" s="29">
        <f>IFERROR(J6924*D6924,0)</f>
      </c>
      <c r="L6924" s="29">
        <f>IFERROR(E6924*C6924,0)</f>
      </c>
      <c r="M6924" s="29">
        <f>IFERROR((G6924*H6924*I6924/1000000)*D6924,0)</f>
      </c>
    </row>
    <row r="6925" spans="1:13" x14ac:dyDescent="0.25">
      <c r="A6925" s="16"/>
      <c r="E6925" s="27"/>
      <c r="F6925" t="s">
        <v>26</v>
      </c>
      <c r="G6925" s="28">
        <f>IFERROR(VLOOKUP(F6925,CARTON_LOOKUP!$A:$E,3,0),"")</f>
      </c>
      <c r="H6925" s="28">
        <f>IFERROR(VLOOKUP(F6925,CARTON_LOOKUP!$A:$E,4,0),"")</f>
      </c>
      <c r="I6925" s="28">
        <f>IFERROR(VLOOKUP(F6925,CARTON_LOOKUP!$A:$E,5,0),"")</f>
      </c>
      <c r="J6925" s="29">
        <f>IFERROR(VLOOKUP(F6925,CARTON_LOOKUP!$A:$E,2,0),"")</f>
      </c>
      <c r="K6925" s="29">
        <f>IFERROR(J6925*D6925,0)</f>
      </c>
      <c r="L6925" s="29">
        <f>IFERROR(E6925*C6925,0)</f>
      </c>
      <c r="M6925" s="29">
        <f>IFERROR((G6925*H6925*I6925/1000000)*D6925,0)</f>
      </c>
    </row>
    <row r="6926" spans="1:13" x14ac:dyDescent="0.25">
      <c r="A6926" s="16"/>
      <c r="E6926" s="27"/>
      <c r="F6926" t="s">
        <v>26</v>
      </c>
      <c r="G6926" s="28">
        <f>IFERROR(VLOOKUP(F6926,CARTON_LOOKUP!$A:$E,3,0),"")</f>
      </c>
      <c r="H6926" s="28">
        <f>IFERROR(VLOOKUP(F6926,CARTON_LOOKUP!$A:$E,4,0),"")</f>
      </c>
      <c r="I6926" s="28">
        <f>IFERROR(VLOOKUP(F6926,CARTON_LOOKUP!$A:$E,5,0),"")</f>
      </c>
      <c r="J6926" s="29">
        <f>IFERROR(VLOOKUP(F6926,CARTON_LOOKUP!$A:$E,2,0),"")</f>
      </c>
      <c r="K6926" s="29">
        <f>IFERROR(J6926*D6926,0)</f>
      </c>
      <c r="L6926" s="29">
        <f>IFERROR(E6926*C6926,0)</f>
      </c>
      <c r="M6926" s="29">
        <f>IFERROR((G6926*H6926*I6926/1000000)*D6926,0)</f>
      </c>
    </row>
    <row r="6927" spans="1:13" x14ac:dyDescent="0.25">
      <c r="A6927" s="16"/>
      <c r="E6927" s="27"/>
      <c r="F6927" t="s">
        <v>26</v>
      </c>
      <c r="G6927" s="28">
        <f>IFERROR(VLOOKUP(F6927,CARTON_LOOKUP!$A:$E,3,0),"")</f>
      </c>
      <c r="H6927" s="28">
        <f>IFERROR(VLOOKUP(F6927,CARTON_LOOKUP!$A:$E,4,0),"")</f>
      </c>
      <c r="I6927" s="28">
        <f>IFERROR(VLOOKUP(F6927,CARTON_LOOKUP!$A:$E,5,0),"")</f>
      </c>
      <c r="J6927" s="29">
        <f>IFERROR(VLOOKUP(F6927,CARTON_LOOKUP!$A:$E,2,0),"")</f>
      </c>
      <c r="K6927" s="29">
        <f>IFERROR(J6927*D6927,0)</f>
      </c>
      <c r="L6927" s="29">
        <f>IFERROR(E6927*C6927,0)</f>
      </c>
      <c r="M6927" s="29">
        <f>IFERROR((G6927*H6927*I6927/1000000)*D6927,0)</f>
      </c>
    </row>
    <row r="6928" spans="1:13" x14ac:dyDescent="0.25">
      <c r="A6928" s="16"/>
      <c r="E6928" s="27"/>
      <c r="F6928" t="s">
        <v>26</v>
      </c>
      <c r="G6928" s="28">
        <f>IFERROR(VLOOKUP(F6928,CARTON_LOOKUP!$A:$E,3,0),"")</f>
      </c>
      <c r="H6928" s="28">
        <f>IFERROR(VLOOKUP(F6928,CARTON_LOOKUP!$A:$E,4,0),"")</f>
      </c>
      <c r="I6928" s="28">
        <f>IFERROR(VLOOKUP(F6928,CARTON_LOOKUP!$A:$E,5,0),"")</f>
      </c>
      <c r="J6928" s="29">
        <f>IFERROR(VLOOKUP(F6928,CARTON_LOOKUP!$A:$E,2,0),"")</f>
      </c>
      <c r="K6928" s="29">
        <f>IFERROR(J6928*D6928,0)</f>
      </c>
      <c r="L6928" s="29">
        <f>IFERROR(E6928*C6928,0)</f>
      </c>
      <c r="M6928" s="29">
        <f>IFERROR((G6928*H6928*I6928/1000000)*D6928,0)</f>
      </c>
    </row>
    <row r="6929" spans="1:13" x14ac:dyDescent="0.25">
      <c r="A6929" s="16"/>
      <c r="E6929" s="27"/>
      <c r="F6929" t="s">
        <v>26</v>
      </c>
      <c r="G6929" s="28">
        <f>IFERROR(VLOOKUP(F6929,CARTON_LOOKUP!$A:$E,3,0),"")</f>
      </c>
      <c r="H6929" s="28">
        <f>IFERROR(VLOOKUP(F6929,CARTON_LOOKUP!$A:$E,4,0),"")</f>
      </c>
      <c r="I6929" s="28">
        <f>IFERROR(VLOOKUP(F6929,CARTON_LOOKUP!$A:$E,5,0),"")</f>
      </c>
      <c r="J6929" s="29">
        <f>IFERROR(VLOOKUP(F6929,CARTON_LOOKUP!$A:$E,2,0),"")</f>
      </c>
      <c r="K6929" s="29">
        <f>IFERROR(J6929*D6929,0)</f>
      </c>
      <c r="L6929" s="29">
        <f>IFERROR(E6929*C6929,0)</f>
      </c>
      <c r="M6929" s="29">
        <f>IFERROR((G6929*H6929*I6929/1000000)*D6929,0)</f>
      </c>
    </row>
    <row r="6930" spans="1:13" x14ac:dyDescent="0.25">
      <c r="A6930" s="16"/>
      <c r="E6930" s="27"/>
      <c r="F6930" t="s">
        <v>26</v>
      </c>
      <c r="G6930" s="28">
        <f>IFERROR(VLOOKUP(F6930,CARTON_LOOKUP!$A:$E,3,0),"")</f>
      </c>
      <c r="H6930" s="28">
        <f>IFERROR(VLOOKUP(F6930,CARTON_LOOKUP!$A:$E,4,0),"")</f>
      </c>
      <c r="I6930" s="28">
        <f>IFERROR(VLOOKUP(F6930,CARTON_LOOKUP!$A:$E,5,0),"")</f>
      </c>
      <c r="J6930" s="29">
        <f>IFERROR(VLOOKUP(F6930,CARTON_LOOKUP!$A:$E,2,0),"")</f>
      </c>
      <c r="K6930" s="29">
        <f>IFERROR(J6930*D6930,0)</f>
      </c>
      <c r="L6930" s="29">
        <f>IFERROR(E6930*C6930,0)</f>
      </c>
      <c r="M6930" s="29">
        <f>IFERROR((G6930*H6930*I6930/1000000)*D6930,0)</f>
      </c>
    </row>
    <row r="6931" spans="1:13" x14ac:dyDescent="0.25">
      <c r="A6931" s="16"/>
      <c r="E6931" s="27"/>
      <c r="F6931" t="s">
        <v>26</v>
      </c>
      <c r="G6931" s="28">
        <f>IFERROR(VLOOKUP(F6931,CARTON_LOOKUP!$A:$E,3,0),"")</f>
      </c>
      <c r="H6931" s="28">
        <f>IFERROR(VLOOKUP(F6931,CARTON_LOOKUP!$A:$E,4,0),"")</f>
      </c>
      <c r="I6931" s="28">
        <f>IFERROR(VLOOKUP(F6931,CARTON_LOOKUP!$A:$E,5,0),"")</f>
      </c>
      <c r="J6931" s="29">
        <f>IFERROR(VLOOKUP(F6931,CARTON_LOOKUP!$A:$E,2,0),"")</f>
      </c>
      <c r="K6931" s="29">
        <f>IFERROR(J6931*D6931,0)</f>
      </c>
      <c r="L6931" s="29">
        <f>IFERROR(E6931*C6931,0)</f>
      </c>
      <c r="M6931" s="29">
        <f>IFERROR((G6931*H6931*I6931/1000000)*D6931,0)</f>
      </c>
    </row>
    <row r="6932" spans="1:13" x14ac:dyDescent="0.25">
      <c r="A6932" s="16"/>
      <c r="E6932" s="27"/>
      <c r="F6932" t="s">
        <v>26</v>
      </c>
      <c r="G6932" s="28">
        <f>IFERROR(VLOOKUP(F6932,CARTON_LOOKUP!$A:$E,3,0),"")</f>
      </c>
      <c r="H6932" s="28">
        <f>IFERROR(VLOOKUP(F6932,CARTON_LOOKUP!$A:$E,4,0),"")</f>
      </c>
      <c r="I6932" s="28">
        <f>IFERROR(VLOOKUP(F6932,CARTON_LOOKUP!$A:$E,5,0),"")</f>
      </c>
      <c r="J6932" s="29">
        <f>IFERROR(VLOOKUP(F6932,CARTON_LOOKUP!$A:$E,2,0),"")</f>
      </c>
      <c r="K6932" s="29">
        <f>IFERROR(J6932*D6932,0)</f>
      </c>
      <c r="L6932" s="29">
        <f>IFERROR(E6932*C6932,0)</f>
      </c>
      <c r="M6932" s="29">
        <f>IFERROR((G6932*H6932*I6932/1000000)*D6932,0)</f>
      </c>
    </row>
    <row r="6933" spans="1:13" x14ac:dyDescent="0.25">
      <c r="A6933" s="16"/>
      <c r="E6933" s="27"/>
      <c r="F6933" t="s">
        <v>26</v>
      </c>
      <c r="G6933" s="28">
        <f>IFERROR(VLOOKUP(F6933,CARTON_LOOKUP!$A:$E,3,0),"")</f>
      </c>
      <c r="H6933" s="28">
        <f>IFERROR(VLOOKUP(F6933,CARTON_LOOKUP!$A:$E,4,0),"")</f>
      </c>
      <c r="I6933" s="28">
        <f>IFERROR(VLOOKUP(F6933,CARTON_LOOKUP!$A:$E,5,0),"")</f>
      </c>
      <c r="J6933" s="29">
        <f>IFERROR(VLOOKUP(F6933,CARTON_LOOKUP!$A:$E,2,0),"")</f>
      </c>
      <c r="K6933" s="29">
        <f>IFERROR(J6933*D6933,0)</f>
      </c>
      <c r="L6933" s="29">
        <f>IFERROR(E6933*C6933,0)</f>
      </c>
      <c r="M6933" s="29">
        <f>IFERROR((G6933*H6933*I6933/1000000)*D6933,0)</f>
      </c>
    </row>
    <row r="6934" spans="1:13" x14ac:dyDescent="0.25">
      <c r="A6934" s="16"/>
      <c r="E6934" s="27"/>
      <c r="F6934" t="s">
        <v>26</v>
      </c>
      <c r="G6934" s="28">
        <f>IFERROR(VLOOKUP(F6934,CARTON_LOOKUP!$A:$E,3,0),"")</f>
      </c>
      <c r="H6934" s="28">
        <f>IFERROR(VLOOKUP(F6934,CARTON_LOOKUP!$A:$E,4,0),"")</f>
      </c>
      <c r="I6934" s="28">
        <f>IFERROR(VLOOKUP(F6934,CARTON_LOOKUP!$A:$E,5,0),"")</f>
      </c>
      <c r="J6934" s="29">
        <f>IFERROR(VLOOKUP(F6934,CARTON_LOOKUP!$A:$E,2,0),"")</f>
      </c>
      <c r="K6934" s="29">
        <f>IFERROR(J6934*D6934,0)</f>
      </c>
      <c r="L6934" s="29">
        <f>IFERROR(E6934*C6934,0)</f>
      </c>
      <c r="M6934" s="29">
        <f>IFERROR((G6934*H6934*I6934/1000000)*D6934,0)</f>
      </c>
    </row>
    <row r="6935" spans="1:13" x14ac:dyDescent="0.25">
      <c r="A6935" s="16"/>
      <c r="E6935" s="27"/>
      <c r="F6935" t="s">
        <v>26</v>
      </c>
      <c r="G6935" s="28">
        <f>IFERROR(VLOOKUP(F6935,CARTON_LOOKUP!$A:$E,3,0),"")</f>
      </c>
      <c r="H6935" s="28">
        <f>IFERROR(VLOOKUP(F6935,CARTON_LOOKUP!$A:$E,4,0),"")</f>
      </c>
      <c r="I6935" s="28">
        <f>IFERROR(VLOOKUP(F6935,CARTON_LOOKUP!$A:$E,5,0),"")</f>
      </c>
      <c r="J6935" s="29">
        <f>IFERROR(VLOOKUP(F6935,CARTON_LOOKUP!$A:$E,2,0),"")</f>
      </c>
      <c r="K6935" s="29">
        <f>IFERROR(J6935*D6935,0)</f>
      </c>
      <c r="L6935" s="29">
        <f>IFERROR(E6935*C6935,0)</f>
      </c>
      <c r="M6935" s="29">
        <f>IFERROR((G6935*H6935*I6935/1000000)*D6935,0)</f>
      </c>
    </row>
    <row r="6936" spans="1:13" x14ac:dyDescent="0.25">
      <c r="A6936" s="16"/>
      <c r="E6936" s="27"/>
      <c r="F6936" t="s">
        <v>26</v>
      </c>
      <c r="G6936" s="28">
        <f>IFERROR(VLOOKUP(F6936,CARTON_LOOKUP!$A:$E,3,0),"")</f>
      </c>
      <c r="H6936" s="28">
        <f>IFERROR(VLOOKUP(F6936,CARTON_LOOKUP!$A:$E,4,0),"")</f>
      </c>
      <c r="I6936" s="28">
        <f>IFERROR(VLOOKUP(F6936,CARTON_LOOKUP!$A:$E,5,0),"")</f>
      </c>
      <c r="J6936" s="29">
        <f>IFERROR(VLOOKUP(F6936,CARTON_LOOKUP!$A:$E,2,0),"")</f>
      </c>
      <c r="K6936" s="29">
        <f>IFERROR(J6936*D6936,0)</f>
      </c>
      <c r="L6936" s="29">
        <f>IFERROR(E6936*C6936,0)</f>
      </c>
      <c r="M6936" s="29">
        <f>IFERROR((G6936*H6936*I6936/1000000)*D6936,0)</f>
      </c>
    </row>
    <row r="6937" spans="1:13" x14ac:dyDescent="0.25">
      <c r="A6937" s="16"/>
      <c r="E6937" s="27"/>
      <c r="F6937" t="s">
        <v>26</v>
      </c>
      <c r="G6937" s="28">
        <f>IFERROR(VLOOKUP(F6937,CARTON_LOOKUP!$A:$E,3,0),"")</f>
      </c>
      <c r="H6937" s="28">
        <f>IFERROR(VLOOKUP(F6937,CARTON_LOOKUP!$A:$E,4,0),"")</f>
      </c>
      <c r="I6937" s="28">
        <f>IFERROR(VLOOKUP(F6937,CARTON_LOOKUP!$A:$E,5,0),"")</f>
      </c>
      <c r="J6937" s="29">
        <f>IFERROR(VLOOKUP(F6937,CARTON_LOOKUP!$A:$E,2,0),"")</f>
      </c>
      <c r="K6937" s="29">
        <f>IFERROR(J6937*D6937,0)</f>
      </c>
      <c r="L6937" s="29">
        <f>IFERROR(E6937*C6937,0)</f>
      </c>
      <c r="M6937" s="29">
        <f>IFERROR((G6937*H6937*I6937/1000000)*D6937,0)</f>
      </c>
    </row>
    <row r="6938" spans="1:13" x14ac:dyDescent="0.25">
      <c r="A6938" s="16"/>
      <c r="E6938" s="27"/>
      <c r="F6938" t="s">
        <v>26</v>
      </c>
      <c r="G6938" s="28">
        <f>IFERROR(VLOOKUP(F6938,CARTON_LOOKUP!$A:$E,3,0),"")</f>
      </c>
      <c r="H6938" s="28">
        <f>IFERROR(VLOOKUP(F6938,CARTON_LOOKUP!$A:$E,4,0),"")</f>
      </c>
      <c r="I6938" s="28">
        <f>IFERROR(VLOOKUP(F6938,CARTON_LOOKUP!$A:$E,5,0),"")</f>
      </c>
      <c r="J6938" s="29">
        <f>IFERROR(VLOOKUP(F6938,CARTON_LOOKUP!$A:$E,2,0),"")</f>
      </c>
      <c r="K6938" s="29">
        <f>IFERROR(J6938*D6938,0)</f>
      </c>
      <c r="L6938" s="29">
        <f>IFERROR(E6938*C6938,0)</f>
      </c>
      <c r="M6938" s="29">
        <f>IFERROR((G6938*H6938*I6938/1000000)*D6938,0)</f>
      </c>
    </row>
    <row r="6939" spans="1:13" x14ac:dyDescent="0.25">
      <c r="A6939" s="16"/>
      <c r="E6939" s="27"/>
      <c r="F6939" t="s">
        <v>26</v>
      </c>
      <c r="G6939" s="28">
        <f>IFERROR(VLOOKUP(F6939,CARTON_LOOKUP!$A:$E,3,0),"")</f>
      </c>
      <c r="H6939" s="28">
        <f>IFERROR(VLOOKUP(F6939,CARTON_LOOKUP!$A:$E,4,0),"")</f>
      </c>
      <c r="I6939" s="28">
        <f>IFERROR(VLOOKUP(F6939,CARTON_LOOKUP!$A:$E,5,0),"")</f>
      </c>
      <c r="J6939" s="29">
        <f>IFERROR(VLOOKUP(F6939,CARTON_LOOKUP!$A:$E,2,0),"")</f>
      </c>
      <c r="K6939" s="29">
        <f>IFERROR(J6939*D6939,0)</f>
      </c>
      <c r="L6939" s="29">
        <f>IFERROR(E6939*C6939,0)</f>
      </c>
      <c r="M6939" s="29">
        <f>IFERROR((G6939*H6939*I6939/1000000)*D6939,0)</f>
      </c>
    </row>
    <row r="6940" spans="1:13" x14ac:dyDescent="0.25">
      <c r="A6940" s="16"/>
      <c r="E6940" s="27"/>
      <c r="F6940" t="s">
        <v>26</v>
      </c>
      <c r="G6940" s="28">
        <f>IFERROR(VLOOKUP(F6940,CARTON_LOOKUP!$A:$E,3,0),"")</f>
      </c>
      <c r="H6940" s="28">
        <f>IFERROR(VLOOKUP(F6940,CARTON_LOOKUP!$A:$E,4,0),"")</f>
      </c>
      <c r="I6940" s="28">
        <f>IFERROR(VLOOKUP(F6940,CARTON_LOOKUP!$A:$E,5,0),"")</f>
      </c>
      <c r="J6940" s="29">
        <f>IFERROR(VLOOKUP(F6940,CARTON_LOOKUP!$A:$E,2,0),"")</f>
      </c>
      <c r="K6940" s="29">
        <f>IFERROR(J6940*D6940,0)</f>
      </c>
      <c r="L6940" s="29">
        <f>IFERROR(E6940*C6940,0)</f>
      </c>
      <c r="M6940" s="29">
        <f>IFERROR((G6940*H6940*I6940/1000000)*D6940,0)</f>
      </c>
    </row>
    <row r="6941" spans="1:13" x14ac:dyDescent="0.25">
      <c r="A6941" s="16"/>
      <c r="E6941" s="27"/>
      <c r="F6941" t="s">
        <v>26</v>
      </c>
      <c r="G6941" s="28">
        <f>IFERROR(VLOOKUP(F6941,CARTON_LOOKUP!$A:$E,3,0),"")</f>
      </c>
      <c r="H6941" s="28">
        <f>IFERROR(VLOOKUP(F6941,CARTON_LOOKUP!$A:$E,4,0),"")</f>
      </c>
      <c r="I6941" s="28">
        <f>IFERROR(VLOOKUP(F6941,CARTON_LOOKUP!$A:$E,5,0),"")</f>
      </c>
      <c r="J6941" s="29">
        <f>IFERROR(VLOOKUP(F6941,CARTON_LOOKUP!$A:$E,2,0),"")</f>
      </c>
      <c r="K6941" s="29">
        <f>IFERROR(J6941*D6941,0)</f>
      </c>
      <c r="L6941" s="29">
        <f>IFERROR(E6941*C6941,0)</f>
      </c>
      <c r="M6941" s="29">
        <f>IFERROR((G6941*H6941*I6941/1000000)*D6941,0)</f>
      </c>
    </row>
    <row r="6942" spans="1:13" x14ac:dyDescent="0.25">
      <c r="A6942" s="16"/>
      <c r="E6942" s="27"/>
      <c r="F6942" t="s">
        <v>26</v>
      </c>
      <c r="G6942" s="28">
        <f>IFERROR(VLOOKUP(F6942,CARTON_LOOKUP!$A:$E,3,0),"")</f>
      </c>
      <c r="H6942" s="28">
        <f>IFERROR(VLOOKUP(F6942,CARTON_LOOKUP!$A:$E,4,0),"")</f>
      </c>
      <c r="I6942" s="28">
        <f>IFERROR(VLOOKUP(F6942,CARTON_LOOKUP!$A:$E,5,0),"")</f>
      </c>
      <c r="J6942" s="29">
        <f>IFERROR(VLOOKUP(F6942,CARTON_LOOKUP!$A:$E,2,0),"")</f>
      </c>
      <c r="K6942" s="29">
        <f>IFERROR(J6942*D6942,0)</f>
      </c>
      <c r="L6942" s="29">
        <f>IFERROR(E6942*C6942,0)</f>
      </c>
      <c r="M6942" s="29">
        <f>IFERROR((G6942*H6942*I6942/1000000)*D6942,0)</f>
      </c>
    </row>
    <row r="6943" spans="1:13" x14ac:dyDescent="0.25">
      <c r="A6943" s="16"/>
      <c r="E6943" s="27"/>
      <c r="F6943" t="s">
        <v>26</v>
      </c>
      <c r="G6943" s="28">
        <f>IFERROR(VLOOKUP(F6943,CARTON_LOOKUP!$A:$E,3,0),"")</f>
      </c>
      <c r="H6943" s="28">
        <f>IFERROR(VLOOKUP(F6943,CARTON_LOOKUP!$A:$E,4,0),"")</f>
      </c>
      <c r="I6943" s="28">
        <f>IFERROR(VLOOKUP(F6943,CARTON_LOOKUP!$A:$E,5,0),"")</f>
      </c>
      <c r="J6943" s="29">
        <f>IFERROR(VLOOKUP(F6943,CARTON_LOOKUP!$A:$E,2,0),"")</f>
      </c>
      <c r="K6943" s="29">
        <f>IFERROR(J6943*D6943,0)</f>
      </c>
      <c r="L6943" s="29">
        <f>IFERROR(E6943*C6943,0)</f>
      </c>
      <c r="M6943" s="29">
        <f>IFERROR((G6943*H6943*I6943/1000000)*D6943,0)</f>
      </c>
    </row>
    <row r="6944" spans="1:13" x14ac:dyDescent="0.25">
      <c r="A6944" s="16"/>
      <c r="E6944" s="27"/>
      <c r="F6944" t="s">
        <v>26</v>
      </c>
      <c r="G6944" s="28">
        <f>IFERROR(VLOOKUP(F6944,CARTON_LOOKUP!$A:$E,3,0),"")</f>
      </c>
      <c r="H6944" s="28">
        <f>IFERROR(VLOOKUP(F6944,CARTON_LOOKUP!$A:$E,4,0),"")</f>
      </c>
      <c r="I6944" s="28">
        <f>IFERROR(VLOOKUP(F6944,CARTON_LOOKUP!$A:$E,5,0),"")</f>
      </c>
      <c r="J6944" s="29">
        <f>IFERROR(VLOOKUP(F6944,CARTON_LOOKUP!$A:$E,2,0),"")</f>
      </c>
      <c r="K6944" s="29">
        <f>IFERROR(J6944*D6944,0)</f>
      </c>
      <c r="L6944" s="29">
        <f>IFERROR(E6944*C6944,0)</f>
      </c>
      <c r="M6944" s="29">
        <f>IFERROR((G6944*H6944*I6944/1000000)*D6944,0)</f>
      </c>
    </row>
    <row r="6945" spans="1:13" x14ac:dyDescent="0.25">
      <c r="A6945" s="16"/>
      <c r="E6945" s="27"/>
      <c r="F6945" t="s">
        <v>26</v>
      </c>
      <c r="G6945" s="28">
        <f>IFERROR(VLOOKUP(F6945,CARTON_LOOKUP!$A:$E,3,0),"")</f>
      </c>
      <c r="H6945" s="28">
        <f>IFERROR(VLOOKUP(F6945,CARTON_LOOKUP!$A:$E,4,0),"")</f>
      </c>
      <c r="I6945" s="28">
        <f>IFERROR(VLOOKUP(F6945,CARTON_LOOKUP!$A:$E,5,0),"")</f>
      </c>
      <c r="J6945" s="29">
        <f>IFERROR(VLOOKUP(F6945,CARTON_LOOKUP!$A:$E,2,0),"")</f>
      </c>
      <c r="K6945" s="29">
        <f>IFERROR(J6945*D6945,0)</f>
      </c>
      <c r="L6945" s="29">
        <f>IFERROR(E6945*C6945,0)</f>
      </c>
      <c r="M6945" s="29">
        <f>IFERROR((G6945*H6945*I6945/1000000)*D6945,0)</f>
      </c>
    </row>
    <row r="6946" spans="1:13" x14ac:dyDescent="0.25">
      <c r="A6946" s="16"/>
      <c r="E6946" s="27"/>
      <c r="F6946" t="s">
        <v>26</v>
      </c>
      <c r="G6946" s="28">
        <f>IFERROR(VLOOKUP(F6946,CARTON_LOOKUP!$A:$E,3,0),"")</f>
      </c>
      <c r="H6946" s="28">
        <f>IFERROR(VLOOKUP(F6946,CARTON_LOOKUP!$A:$E,4,0),"")</f>
      </c>
      <c r="I6946" s="28">
        <f>IFERROR(VLOOKUP(F6946,CARTON_LOOKUP!$A:$E,5,0),"")</f>
      </c>
      <c r="J6946" s="29">
        <f>IFERROR(VLOOKUP(F6946,CARTON_LOOKUP!$A:$E,2,0),"")</f>
      </c>
      <c r="K6946" s="29">
        <f>IFERROR(J6946*D6946,0)</f>
      </c>
      <c r="L6946" s="29">
        <f>IFERROR(E6946*C6946,0)</f>
      </c>
      <c r="M6946" s="29">
        <f>IFERROR((G6946*H6946*I6946/1000000)*D6946,0)</f>
      </c>
    </row>
    <row r="6947" spans="1:13" x14ac:dyDescent="0.25">
      <c r="A6947" s="16"/>
      <c r="E6947" s="27"/>
      <c r="F6947" t="s">
        <v>26</v>
      </c>
      <c r="G6947" s="28">
        <f>IFERROR(VLOOKUP(F6947,CARTON_LOOKUP!$A:$E,3,0),"")</f>
      </c>
      <c r="H6947" s="28">
        <f>IFERROR(VLOOKUP(F6947,CARTON_LOOKUP!$A:$E,4,0),"")</f>
      </c>
      <c r="I6947" s="28">
        <f>IFERROR(VLOOKUP(F6947,CARTON_LOOKUP!$A:$E,5,0),"")</f>
      </c>
      <c r="J6947" s="29">
        <f>IFERROR(VLOOKUP(F6947,CARTON_LOOKUP!$A:$E,2,0),"")</f>
      </c>
      <c r="K6947" s="29">
        <f>IFERROR(J6947*D6947,0)</f>
      </c>
      <c r="L6947" s="29">
        <f>IFERROR(E6947*C6947,0)</f>
      </c>
      <c r="M6947" s="29">
        <f>IFERROR((G6947*H6947*I6947/1000000)*D6947,0)</f>
      </c>
    </row>
    <row r="6948" spans="1:13" x14ac:dyDescent="0.25">
      <c r="A6948" s="16"/>
      <c r="E6948" s="27"/>
      <c r="F6948" t="s">
        <v>26</v>
      </c>
      <c r="G6948" s="28">
        <f>IFERROR(VLOOKUP(F6948,CARTON_LOOKUP!$A:$E,3,0),"")</f>
      </c>
      <c r="H6948" s="28">
        <f>IFERROR(VLOOKUP(F6948,CARTON_LOOKUP!$A:$E,4,0),"")</f>
      </c>
      <c r="I6948" s="28">
        <f>IFERROR(VLOOKUP(F6948,CARTON_LOOKUP!$A:$E,5,0),"")</f>
      </c>
      <c r="J6948" s="29">
        <f>IFERROR(VLOOKUP(F6948,CARTON_LOOKUP!$A:$E,2,0),"")</f>
      </c>
      <c r="K6948" s="29">
        <f>IFERROR(J6948*D6948,0)</f>
      </c>
      <c r="L6948" s="29">
        <f>IFERROR(E6948*C6948,0)</f>
      </c>
      <c r="M6948" s="29">
        <f>IFERROR((G6948*H6948*I6948/1000000)*D6948,0)</f>
      </c>
    </row>
    <row r="6949" spans="1:13" x14ac:dyDescent="0.25">
      <c r="A6949" s="16"/>
      <c r="E6949" s="27"/>
      <c r="F6949" t="s">
        <v>26</v>
      </c>
      <c r="G6949" s="28">
        <f>IFERROR(VLOOKUP(F6949,CARTON_LOOKUP!$A:$E,3,0),"")</f>
      </c>
      <c r="H6949" s="28">
        <f>IFERROR(VLOOKUP(F6949,CARTON_LOOKUP!$A:$E,4,0),"")</f>
      </c>
      <c r="I6949" s="28">
        <f>IFERROR(VLOOKUP(F6949,CARTON_LOOKUP!$A:$E,5,0),"")</f>
      </c>
      <c r="J6949" s="29">
        <f>IFERROR(VLOOKUP(F6949,CARTON_LOOKUP!$A:$E,2,0),"")</f>
      </c>
      <c r="K6949" s="29">
        <f>IFERROR(J6949*D6949,0)</f>
      </c>
      <c r="L6949" s="29">
        <f>IFERROR(E6949*C6949,0)</f>
      </c>
      <c r="M6949" s="29">
        <f>IFERROR((G6949*H6949*I6949/1000000)*D6949,0)</f>
      </c>
    </row>
    <row r="6950" spans="1:13" x14ac:dyDescent="0.25">
      <c r="A6950" s="16"/>
      <c r="E6950" s="27"/>
      <c r="F6950" t="s">
        <v>26</v>
      </c>
      <c r="G6950" s="28">
        <f>IFERROR(VLOOKUP(F6950,CARTON_LOOKUP!$A:$E,3,0),"")</f>
      </c>
      <c r="H6950" s="28">
        <f>IFERROR(VLOOKUP(F6950,CARTON_LOOKUP!$A:$E,4,0),"")</f>
      </c>
      <c r="I6950" s="28">
        <f>IFERROR(VLOOKUP(F6950,CARTON_LOOKUP!$A:$E,5,0),"")</f>
      </c>
      <c r="J6950" s="29">
        <f>IFERROR(VLOOKUP(F6950,CARTON_LOOKUP!$A:$E,2,0),"")</f>
      </c>
      <c r="K6950" s="29">
        <f>IFERROR(J6950*D6950,0)</f>
      </c>
      <c r="L6950" s="29">
        <f>IFERROR(E6950*C6950,0)</f>
      </c>
      <c r="M6950" s="29">
        <f>IFERROR((G6950*H6950*I6950/1000000)*D6950,0)</f>
      </c>
    </row>
    <row r="6951" spans="1:13" x14ac:dyDescent="0.25">
      <c r="A6951" s="16"/>
      <c r="E6951" s="27"/>
      <c r="F6951" t="s">
        <v>26</v>
      </c>
      <c r="G6951" s="28">
        <f>IFERROR(VLOOKUP(F6951,CARTON_LOOKUP!$A:$E,3,0),"")</f>
      </c>
      <c r="H6951" s="28">
        <f>IFERROR(VLOOKUP(F6951,CARTON_LOOKUP!$A:$E,4,0),"")</f>
      </c>
      <c r="I6951" s="28">
        <f>IFERROR(VLOOKUP(F6951,CARTON_LOOKUP!$A:$E,5,0),"")</f>
      </c>
      <c r="J6951" s="29">
        <f>IFERROR(VLOOKUP(F6951,CARTON_LOOKUP!$A:$E,2,0),"")</f>
      </c>
      <c r="K6951" s="29">
        <f>IFERROR(J6951*D6951,0)</f>
      </c>
      <c r="L6951" s="29">
        <f>IFERROR(E6951*C6951,0)</f>
      </c>
      <c r="M6951" s="29">
        <f>IFERROR((G6951*H6951*I6951/1000000)*D6951,0)</f>
      </c>
    </row>
    <row r="6952" spans="1:13" x14ac:dyDescent="0.25">
      <c r="A6952" s="16"/>
      <c r="E6952" s="27"/>
      <c r="F6952" t="s">
        <v>26</v>
      </c>
      <c r="G6952" s="28">
        <f>IFERROR(VLOOKUP(F6952,CARTON_LOOKUP!$A:$E,3,0),"")</f>
      </c>
      <c r="H6952" s="28">
        <f>IFERROR(VLOOKUP(F6952,CARTON_LOOKUP!$A:$E,4,0),"")</f>
      </c>
      <c r="I6952" s="28">
        <f>IFERROR(VLOOKUP(F6952,CARTON_LOOKUP!$A:$E,5,0),"")</f>
      </c>
      <c r="J6952" s="29">
        <f>IFERROR(VLOOKUP(F6952,CARTON_LOOKUP!$A:$E,2,0),"")</f>
      </c>
      <c r="K6952" s="29">
        <f>IFERROR(J6952*D6952,0)</f>
      </c>
      <c r="L6952" s="29">
        <f>IFERROR(E6952*C6952,0)</f>
      </c>
      <c r="M6952" s="29">
        <f>IFERROR((G6952*H6952*I6952/1000000)*D6952,0)</f>
      </c>
    </row>
    <row r="6953" spans="1:13" x14ac:dyDescent="0.25">
      <c r="A6953" s="16"/>
      <c r="E6953" s="27"/>
      <c r="F6953" t="s">
        <v>26</v>
      </c>
      <c r="G6953" s="28">
        <f>IFERROR(VLOOKUP(F6953,CARTON_LOOKUP!$A:$E,3,0),"")</f>
      </c>
      <c r="H6953" s="28">
        <f>IFERROR(VLOOKUP(F6953,CARTON_LOOKUP!$A:$E,4,0),"")</f>
      </c>
      <c r="I6953" s="28">
        <f>IFERROR(VLOOKUP(F6953,CARTON_LOOKUP!$A:$E,5,0),"")</f>
      </c>
      <c r="J6953" s="29">
        <f>IFERROR(VLOOKUP(F6953,CARTON_LOOKUP!$A:$E,2,0),"")</f>
      </c>
      <c r="K6953" s="29">
        <f>IFERROR(J6953*D6953,0)</f>
      </c>
      <c r="L6953" s="29">
        <f>IFERROR(E6953*C6953,0)</f>
      </c>
      <c r="M6953" s="29">
        <f>IFERROR((G6953*H6953*I6953/1000000)*D6953,0)</f>
      </c>
    </row>
    <row r="6954" spans="1:13" x14ac:dyDescent="0.25">
      <c r="A6954" s="16"/>
      <c r="E6954" s="27"/>
      <c r="F6954" t="s">
        <v>26</v>
      </c>
      <c r="G6954" s="28">
        <f>IFERROR(VLOOKUP(F6954,CARTON_LOOKUP!$A:$E,3,0),"")</f>
      </c>
      <c r="H6954" s="28">
        <f>IFERROR(VLOOKUP(F6954,CARTON_LOOKUP!$A:$E,4,0),"")</f>
      </c>
      <c r="I6954" s="28">
        <f>IFERROR(VLOOKUP(F6954,CARTON_LOOKUP!$A:$E,5,0),"")</f>
      </c>
      <c r="J6954" s="29">
        <f>IFERROR(VLOOKUP(F6954,CARTON_LOOKUP!$A:$E,2,0),"")</f>
      </c>
      <c r="K6954" s="29">
        <f>IFERROR(J6954*D6954,0)</f>
      </c>
      <c r="L6954" s="29">
        <f>IFERROR(E6954*C6954,0)</f>
      </c>
      <c r="M6954" s="29">
        <f>IFERROR((G6954*H6954*I6954/1000000)*D6954,0)</f>
      </c>
    </row>
    <row r="6955" spans="1:13" x14ac:dyDescent="0.25">
      <c r="A6955" s="16"/>
      <c r="E6955" s="27"/>
      <c r="F6955" t="s">
        <v>26</v>
      </c>
      <c r="G6955" s="28">
        <f>IFERROR(VLOOKUP(F6955,CARTON_LOOKUP!$A:$E,3,0),"")</f>
      </c>
      <c r="H6955" s="28">
        <f>IFERROR(VLOOKUP(F6955,CARTON_LOOKUP!$A:$E,4,0),"")</f>
      </c>
      <c r="I6955" s="28">
        <f>IFERROR(VLOOKUP(F6955,CARTON_LOOKUP!$A:$E,5,0),"")</f>
      </c>
      <c r="J6955" s="29">
        <f>IFERROR(VLOOKUP(F6955,CARTON_LOOKUP!$A:$E,2,0),"")</f>
      </c>
      <c r="K6955" s="29">
        <f>IFERROR(J6955*D6955,0)</f>
      </c>
      <c r="L6955" s="29">
        <f>IFERROR(E6955*C6955,0)</f>
      </c>
      <c r="M6955" s="29">
        <f>IFERROR((G6955*H6955*I6955/1000000)*D6955,0)</f>
      </c>
    </row>
    <row r="6956" spans="1:13" x14ac:dyDescent="0.25">
      <c r="A6956" s="16"/>
      <c r="E6956" s="27"/>
      <c r="F6956" t="s">
        <v>26</v>
      </c>
      <c r="G6956" s="28">
        <f>IFERROR(VLOOKUP(F6956,CARTON_LOOKUP!$A:$E,3,0),"")</f>
      </c>
      <c r="H6956" s="28">
        <f>IFERROR(VLOOKUP(F6956,CARTON_LOOKUP!$A:$E,4,0),"")</f>
      </c>
      <c r="I6956" s="28">
        <f>IFERROR(VLOOKUP(F6956,CARTON_LOOKUP!$A:$E,5,0),"")</f>
      </c>
      <c r="J6956" s="29">
        <f>IFERROR(VLOOKUP(F6956,CARTON_LOOKUP!$A:$E,2,0),"")</f>
      </c>
      <c r="K6956" s="29">
        <f>IFERROR(J6956*D6956,0)</f>
      </c>
      <c r="L6956" s="29">
        <f>IFERROR(E6956*C6956,0)</f>
      </c>
      <c r="M6956" s="29">
        <f>IFERROR((G6956*H6956*I6956/1000000)*D6956,0)</f>
      </c>
    </row>
    <row r="6957" spans="1:13" x14ac:dyDescent="0.25">
      <c r="A6957" s="16"/>
      <c r="E6957" s="27"/>
      <c r="F6957" t="s">
        <v>26</v>
      </c>
      <c r="G6957" s="28">
        <f>IFERROR(VLOOKUP(F6957,CARTON_LOOKUP!$A:$E,3,0),"")</f>
      </c>
      <c r="H6957" s="28">
        <f>IFERROR(VLOOKUP(F6957,CARTON_LOOKUP!$A:$E,4,0),"")</f>
      </c>
      <c r="I6957" s="28">
        <f>IFERROR(VLOOKUP(F6957,CARTON_LOOKUP!$A:$E,5,0),"")</f>
      </c>
      <c r="J6957" s="29">
        <f>IFERROR(VLOOKUP(F6957,CARTON_LOOKUP!$A:$E,2,0),"")</f>
      </c>
      <c r="K6957" s="29">
        <f>IFERROR(J6957*D6957,0)</f>
      </c>
      <c r="L6957" s="29">
        <f>IFERROR(E6957*C6957,0)</f>
      </c>
      <c r="M6957" s="29">
        <f>IFERROR((G6957*H6957*I6957/1000000)*D6957,0)</f>
      </c>
    </row>
    <row r="6958" spans="1:13" x14ac:dyDescent="0.25">
      <c r="A6958" s="16"/>
      <c r="E6958" s="27"/>
      <c r="F6958" t="s">
        <v>26</v>
      </c>
      <c r="G6958" s="28">
        <f>IFERROR(VLOOKUP(F6958,CARTON_LOOKUP!$A:$E,3,0),"")</f>
      </c>
      <c r="H6958" s="28">
        <f>IFERROR(VLOOKUP(F6958,CARTON_LOOKUP!$A:$E,4,0),"")</f>
      </c>
      <c r="I6958" s="28">
        <f>IFERROR(VLOOKUP(F6958,CARTON_LOOKUP!$A:$E,5,0),"")</f>
      </c>
      <c r="J6958" s="29">
        <f>IFERROR(VLOOKUP(F6958,CARTON_LOOKUP!$A:$E,2,0),"")</f>
      </c>
      <c r="K6958" s="29">
        <f>IFERROR(J6958*D6958,0)</f>
      </c>
      <c r="L6958" s="29">
        <f>IFERROR(E6958*C6958,0)</f>
      </c>
      <c r="M6958" s="29">
        <f>IFERROR((G6958*H6958*I6958/1000000)*D6958,0)</f>
      </c>
    </row>
    <row r="6959" spans="1:13" x14ac:dyDescent="0.25">
      <c r="A6959" s="16"/>
      <c r="E6959" s="27"/>
      <c r="F6959" t="s">
        <v>26</v>
      </c>
      <c r="G6959" s="28">
        <f>IFERROR(VLOOKUP(F6959,CARTON_LOOKUP!$A:$E,3,0),"")</f>
      </c>
      <c r="H6959" s="28">
        <f>IFERROR(VLOOKUP(F6959,CARTON_LOOKUP!$A:$E,4,0),"")</f>
      </c>
      <c r="I6959" s="28">
        <f>IFERROR(VLOOKUP(F6959,CARTON_LOOKUP!$A:$E,5,0),"")</f>
      </c>
      <c r="J6959" s="29">
        <f>IFERROR(VLOOKUP(F6959,CARTON_LOOKUP!$A:$E,2,0),"")</f>
      </c>
      <c r="K6959" s="29">
        <f>IFERROR(J6959*D6959,0)</f>
      </c>
      <c r="L6959" s="29">
        <f>IFERROR(E6959*C6959,0)</f>
      </c>
      <c r="M6959" s="29">
        <f>IFERROR((G6959*H6959*I6959/1000000)*D6959,0)</f>
      </c>
    </row>
    <row r="6960" spans="1:13" x14ac:dyDescent="0.25">
      <c r="A6960" s="16"/>
      <c r="E6960" s="27"/>
      <c r="F6960" t="s">
        <v>26</v>
      </c>
      <c r="G6960" s="28">
        <f>IFERROR(VLOOKUP(F6960,CARTON_LOOKUP!$A:$E,3,0),"")</f>
      </c>
      <c r="H6960" s="28">
        <f>IFERROR(VLOOKUP(F6960,CARTON_LOOKUP!$A:$E,4,0),"")</f>
      </c>
      <c r="I6960" s="28">
        <f>IFERROR(VLOOKUP(F6960,CARTON_LOOKUP!$A:$E,5,0),"")</f>
      </c>
      <c r="J6960" s="29">
        <f>IFERROR(VLOOKUP(F6960,CARTON_LOOKUP!$A:$E,2,0),"")</f>
      </c>
      <c r="K6960" s="29">
        <f>IFERROR(J6960*D6960,0)</f>
      </c>
      <c r="L6960" s="29">
        <f>IFERROR(E6960*C6960,0)</f>
      </c>
      <c r="M6960" s="29">
        <f>IFERROR((G6960*H6960*I6960/1000000)*D6960,0)</f>
      </c>
    </row>
    <row r="6961" spans="1:13" x14ac:dyDescent="0.25">
      <c r="A6961" s="16"/>
      <c r="E6961" s="27"/>
      <c r="F6961" t="s">
        <v>26</v>
      </c>
      <c r="G6961" s="28">
        <f>IFERROR(VLOOKUP(F6961,CARTON_LOOKUP!$A:$E,3,0),"")</f>
      </c>
      <c r="H6961" s="28">
        <f>IFERROR(VLOOKUP(F6961,CARTON_LOOKUP!$A:$E,4,0),"")</f>
      </c>
      <c r="I6961" s="28">
        <f>IFERROR(VLOOKUP(F6961,CARTON_LOOKUP!$A:$E,5,0),"")</f>
      </c>
      <c r="J6961" s="29">
        <f>IFERROR(VLOOKUP(F6961,CARTON_LOOKUP!$A:$E,2,0),"")</f>
      </c>
      <c r="K6961" s="29">
        <f>IFERROR(J6961*D6961,0)</f>
      </c>
      <c r="L6961" s="29">
        <f>IFERROR(E6961*C6961,0)</f>
      </c>
      <c r="M6961" s="29">
        <f>IFERROR((G6961*H6961*I6961/1000000)*D6961,0)</f>
      </c>
    </row>
    <row r="6962" spans="1:13" x14ac:dyDescent="0.25">
      <c r="A6962" s="16"/>
      <c r="E6962" s="27"/>
      <c r="F6962" t="s">
        <v>26</v>
      </c>
      <c r="G6962" s="28">
        <f>IFERROR(VLOOKUP(F6962,CARTON_LOOKUP!$A:$E,3,0),"")</f>
      </c>
      <c r="H6962" s="28">
        <f>IFERROR(VLOOKUP(F6962,CARTON_LOOKUP!$A:$E,4,0),"")</f>
      </c>
      <c r="I6962" s="28">
        <f>IFERROR(VLOOKUP(F6962,CARTON_LOOKUP!$A:$E,5,0),"")</f>
      </c>
      <c r="J6962" s="29">
        <f>IFERROR(VLOOKUP(F6962,CARTON_LOOKUP!$A:$E,2,0),"")</f>
      </c>
      <c r="K6962" s="29">
        <f>IFERROR(J6962*D6962,0)</f>
      </c>
      <c r="L6962" s="29">
        <f>IFERROR(E6962*C6962,0)</f>
      </c>
      <c r="M6962" s="29">
        <f>IFERROR((G6962*H6962*I6962/1000000)*D6962,0)</f>
      </c>
    </row>
    <row r="6963" spans="1:13" x14ac:dyDescent="0.25">
      <c r="A6963" s="16"/>
      <c r="E6963" s="27"/>
      <c r="F6963" t="s">
        <v>26</v>
      </c>
      <c r="G6963" s="28">
        <f>IFERROR(VLOOKUP(F6963,CARTON_LOOKUP!$A:$E,3,0),"")</f>
      </c>
      <c r="H6963" s="28">
        <f>IFERROR(VLOOKUP(F6963,CARTON_LOOKUP!$A:$E,4,0),"")</f>
      </c>
      <c r="I6963" s="28">
        <f>IFERROR(VLOOKUP(F6963,CARTON_LOOKUP!$A:$E,5,0),"")</f>
      </c>
      <c r="J6963" s="29">
        <f>IFERROR(VLOOKUP(F6963,CARTON_LOOKUP!$A:$E,2,0),"")</f>
      </c>
      <c r="K6963" s="29">
        <f>IFERROR(J6963*D6963,0)</f>
      </c>
      <c r="L6963" s="29">
        <f>IFERROR(E6963*C6963,0)</f>
      </c>
      <c r="M6963" s="29">
        <f>IFERROR((G6963*H6963*I6963/1000000)*D6963,0)</f>
      </c>
    </row>
    <row r="6964" spans="1:13" x14ac:dyDescent="0.25">
      <c r="A6964" s="16"/>
      <c r="E6964" s="27"/>
      <c r="F6964" t="s">
        <v>26</v>
      </c>
      <c r="G6964" s="28">
        <f>IFERROR(VLOOKUP(F6964,CARTON_LOOKUP!$A:$E,3,0),"")</f>
      </c>
      <c r="H6964" s="28">
        <f>IFERROR(VLOOKUP(F6964,CARTON_LOOKUP!$A:$E,4,0),"")</f>
      </c>
      <c r="I6964" s="28">
        <f>IFERROR(VLOOKUP(F6964,CARTON_LOOKUP!$A:$E,5,0),"")</f>
      </c>
      <c r="J6964" s="29">
        <f>IFERROR(VLOOKUP(F6964,CARTON_LOOKUP!$A:$E,2,0),"")</f>
      </c>
      <c r="K6964" s="29">
        <f>IFERROR(J6964*D6964,0)</f>
      </c>
      <c r="L6964" s="29">
        <f>IFERROR(E6964*C6964,0)</f>
      </c>
      <c r="M6964" s="29">
        <f>IFERROR((G6964*H6964*I6964/1000000)*D6964,0)</f>
      </c>
    </row>
    <row r="6965" spans="1:13" x14ac:dyDescent="0.25">
      <c r="A6965" s="16"/>
      <c r="E6965" s="27"/>
      <c r="F6965" t="s">
        <v>26</v>
      </c>
      <c r="G6965" s="28">
        <f>IFERROR(VLOOKUP(F6965,CARTON_LOOKUP!$A:$E,3,0),"")</f>
      </c>
      <c r="H6965" s="28">
        <f>IFERROR(VLOOKUP(F6965,CARTON_LOOKUP!$A:$E,4,0),"")</f>
      </c>
      <c r="I6965" s="28">
        <f>IFERROR(VLOOKUP(F6965,CARTON_LOOKUP!$A:$E,5,0),"")</f>
      </c>
      <c r="J6965" s="29">
        <f>IFERROR(VLOOKUP(F6965,CARTON_LOOKUP!$A:$E,2,0),"")</f>
      </c>
      <c r="K6965" s="29">
        <f>IFERROR(J6965*D6965,0)</f>
      </c>
      <c r="L6965" s="29">
        <f>IFERROR(E6965*C6965,0)</f>
      </c>
      <c r="M6965" s="29">
        <f>IFERROR((G6965*H6965*I6965/1000000)*D6965,0)</f>
      </c>
    </row>
    <row r="6966" spans="1:13" x14ac:dyDescent="0.25">
      <c r="A6966" s="16"/>
      <c r="E6966" s="27"/>
      <c r="F6966" t="s">
        <v>26</v>
      </c>
      <c r="G6966" s="28">
        <f>IFERROR(VLOOKUP(F6966,CARTON_LOOKUP!$A:$E,3,0),"")</f>
      </c>
      <c r="H6966" s="28">
        <f>IFERROR(VLOOKUP(F6966,CARTON_LOOKUP!$A:$E,4,0),"")</f>
      </c>
      <c r="I6966" s="28">
        <f>IFERROR(VLOOKUP(F6966,CARTON_LOOKUP!$A:$E,5,0),"")</f>
      </c>
      <c r="J6966" s="29">
        <f>IFERROR(VLOOKUP(F6966,CARTON_LOOKUP!$A:$E,2,0),"")</f>
      </c>
      <c r="K6966" s="29">
        <f>IFERROR(J6966*D6966,0)</f>
      </c>
      <c r="L6966" s="29">
        <f>IFERROR(E6966*C6966,0)</f>
      </c>
      <c r="M6966" s="29">
        <f>IFERROR((G6966*H6966*I6966/1000000)*D6966,0)</f>
      </c>
    </row>
    <row r="6967" spans="1:13" x14ac:dyDescent="0.25">
      <c r="A6967" s="16"/>
      <c r="E6967" s="27"/>
      <c r="F6967" t="s">
        <v>26</v>
      </c>
      <c r="G6967" s="28">
        <f>IFERROR(VLOOKUP(F6967,CARTON_LOOKUP!$A:$E,3,0),"")</f>
      </c>
      <c r="H6967" s="28">
        <f>IFERROR(VLOOKUP(F6967,CARTON_LOOKUP!$A:$E,4,0),"")</f>
      </c>
      <c r="I6967" s="28">
        <f>IFERROR(VLOOKUP(F6967,CARTON_LOOKUP!$A:$E,5,0),"")</f>
      </c>
      <c r="J6967" s="29">
        <f>IFERROR(VLOOKUP(F6967,CARTON_LOOKUP!$A:$E,2,0),"")</f>
      </c>
      <c r="K6967" s="29">
        <f>IFERROR(J6967*D6967,0)</f>
      </c>
      <c r="L6967" s="29">
        <f>IFERROR(E6967*C6967,0)</f>
      </c>
      <c r="M6967" s="29">
        <f>IFERROR((G6967*H6967*I6967/1000000)*D6967,0)</f>
      </c>
    </row>
    <row r="6968" spans="1:13" x14ac:dyDescent="0.25">
      <c r="A6968" s="16"/>
      <c r="E6968" s="27"/>
      <c r="F6968" t="s">
        <v>26</v>
      </c>
      <c r="G6968" s="28">
        <f>IFERROR(VLOOKUP(F6968,CARTON_LOOKUP!$A:$E,3,0),"")</f>
      </c>
      <c r="H6968" s="28">
        <f>IFERROR(VLOOKUP(F6968,CARTON_LOOKUP!$A:$E,4,0),"")</f>
      </c>
      <c r="I6968" s="28">
        <f>IFERROR(VLOOKUP(F6968,CARTON_LOOKUP!$A:$E,5,0),"")</f>
      </c>
      <c r="J6968" s="29">
        <f>IFERROR(VLOOKUP(F6968,CARTON_LOOKUP!$A:$E,2,0),"")</f>
      </c>
      <c r="K6968" s="29">
        <f>IFERROR(J6968*D6968,0)</f>
      </c>
      <c r="L6968" s="29">
        <f>IFERROR(E6968*C6968,0)</f>
      </c>
      <c r="M6968" s="29">
        <f>IFERROR((G6968*H6968*I6968/1000000)*D6968,0)</f>
      </c>
    </row>
    <row r="6969" spans="1:13" x14ac:dyDescent="0.25">
      <c r="A6969" s="16"/>
      <c r="E6969" s="27"/>
      <c r="F6969" t="s">
        <v>26</v>
      </c>
      <c r="G6969" s="28">
        <f>IFERROR(VLOOKUP(F6969,CARTON_LOOKUP!$A:$E,3,0),"")</f>
      </c>
      <c r="H6969" s="28">
        <f>IFERROR(VLOOKUP(F6969,CARTON_LOOKUP!$A:$E,4,0),"")</f>
      </c>
      <c r="I6969" s="28">
        <f>IFERROR(VLOOKUP(F6969,CARTON_LOOKUP!$A:$E,5,0),"")</f>
      </c>
      <c r="J6969" s="29">
        <f>IFERROR(VLOOKUP(F6969,CARTON_LOOKUP!$A:$E,2,0),"")</f>
      </c>
      <c r="K6969" s="29">
        <f>IFERROR(J6969*D6969,0)</f>
      </c>
      <c r="L6969" s="29">
        <f>IFERROR(E6969*C6969,0)</f>
      </c>
      <c r="M6969" s="29">
        <f>IFERROR((G6969*H6969*I6969/1000000)*D6969,0)</f>
      </c>
    </row>
    <row r="6970" spans="1:13" x14ac:dyDescent="0.25">
      <c r="A6970" s="16"/>
      <c r="E6970" s="27"/>
      <c r="F6970" t="s">
        <v>26</v>
      </c>
      <c r="G6970" s="28">
        <f>IFERROR(VLOOKUP(F6970,CARTON_LOOKUP!$A:$E,3,0),"")</f>
      </c>
      <c r="H6970" s="28">
        <f>IFERROR(VLOOKUP(F6970,CARTON_LOOKUP!$A:$E,4,0),"")</f>
      </c>
      <c r="I6970" s="28">
        <f>IFERROR(VLOOKUP(F6970,CARTON_LOOKUP!$A:$E,5,0),"")</f>
      </c>
      <c r="J6970" s="29">
        <f>IFERROR(VLOOKUP(F6970,CARTON_LOOKUP!$A:$E,2,0),"")</f>
      </c>
      <c r="K6970" s="29">
        <f>IFERROR(J6970*D6970,0)</f>
      </c>
      <c r="L6970" s="29">
        <f>IFERROR(E6970*C6970,0)</f>
      </c>
      <c r="M6970" s="29">
        <f>IFERROR((G6970*H6970*I6970/1000000)*D6970,0)</f>
      </c>
    </row>
    <row r="6971" spans="1:13" x14ac:dyDescent="0.25">
      <c r="A6971" s="16"/>
      <c r="E6971" s="27"/>
      <c r="F6971" t="s">
        <v>26</v>
      </c>
      <c r="G6971" s="28">
        <f>IFERROR(VLOOKUP(F6971,CARTON_LOOKUP!$A:$E,3,0),"")</f>
      </c>
      <c r="H6971" s="28">
        <f>IFERROR(VLOOKUP(F6971,CARTON_LOOKUP!$A:$E,4,0),"")</f>
      </c>
      <c r="I6971" s="28">
        <f>IFERROR(VLOOKUP(F6971,CARTON_LOOKUP!$A:$E,5,0),"")</f>
      </c>
      <c r="J6971" s="29">
        <f>IFERROR(VLOOKUP(F6971,CARTON_LOOKUP!$A:$E,2,0),"")</f>
      </c>
      <c r="K6971" s="29">
        <f>IFERROR(J6971*D6971,0)</f>
      </c>
      <c r="L6971" s="29">
        <f>IFERROR(E6971*C6971,0)</f>
      </c>
      <c r="M6971" s="29">
        <f>IFERROR((G6971*H6971*I6971/1000000)*D6971,0)</f>
      </c>
    </row>
    <row r="6972" spans="1:13" x14ac:dyDescent="0.25">
      <c r="A6972" s="16"/>
      <c r="E6972" s="27"/>
      <c r="F6972" t="s">
        <v>26</v>
      </c>
      <c r="G6972" s="28">
        <f>IFERROR(VLOOKUP(F6972,CARTON_LOOKUP!$A:$E,3,0),"")</f>
      </c>
      <c r="H6972" s="28">
        <f>IFERROR(VLOOKUP(F6972,CARTON_LOOKUP!$A:$E,4,0),"")</f>
      </c>
      <c r="I6972" s="28">
        <f>IFERROR(VLOOKUP(F6972,CARTON_LOOKUP!$A:$E,5,0),"")</f>
      </c>
      <c r="J6972" s="29">
        <f>IFERROR(VLOOKUP(F6972,CARTON_LOOKUP!$A:$E,2,0),"")</f>
      </c>
      <c r="K6972" s="29">
        <f>IFERROR(J6972*D6972,0)</f>
      </c>
      <c r="L6972" s="29">
        <f>IFERROR(E6972*C6972,0)</f>
      </c>
      <c r="M6972" s="29">
        <f>IFERROR((G6972*H6972*I6972/1000000)*D6972,0)</f>
      </c>
    </row>
    <row r="6973" spans="1:13" x14ac:dyDescent="0.25">
      <c r="A6973" s="16"/>
      <c r="E6973" s="27"/>
      <c r="F6973" t="s">
        <v>26</v>
      </c>
      <c r="G6973" s="28">
        <f>IFERROR(VLOOKUP(F6973,CARTON_LOOKUP!$A:$E,3,0),"")</f>
      </c>
      <c r="H6973" s="28">
        <f>IFERROR(VLOOKUP(F6973,CARTON_LOOKUP!$A:$E,4,0),"")</f>
      </c>
      <c r="I6973" s="28">
        <f>IFERROR(VLOOKUP(F6973,CARTON_LOOKUP!$A:$E,5,0),"")</f>
      </c>
      <c r="J6973" s="29">
        <f>IFERROR(VLOOKUP(F6973,CARTON_LOOKUP!$A:$E,2,0),"")</f>
      </c>
      <c r="K6973" s="29">
        <f>IFERROR(J6973*D6973,0)</f>
      </c>
      <c r="L6973" s="29">
        <f>IFERROR(E6973*C6973,0)</f>
      </c>
      <c r="M6973" s="29">
        <f>IFERROR((G6973*H6973*I6973/1000000)*D6973,0)</f>
      </c>
    </row>
    <row r="6974" spans="1:13" x14ac:dyDescent="0.25">
      <c r="A6974" s="16"/>
      <c r="E6974" s="27"/>
      <c r="F6974" t="s">
        <v>26</v>
      </c>
      <c r="G6974" s="28">
        <f>IFERROR(VLOOKUP(F6974,CARTON_LOOKUP!$A:$E,3,0),"")</f>
      </c>
      <c r="H6974" s="28">
        <f>IFERROR(VLOOKUP(F6974,CARTON_LOOKUP!$A:$E,4,0),"")</f>
      </c>
      <c r="I6974" s="28">
        <f>IFERROR(VLOOKUP(F6974,CARTON_LOOKUP!$A:$E,5,0),"")</f>
      </c>
      <c r="J6974" s="29">
        <f>IFERROR(VLOOKUP(F6974,CARTON_LOOKUP!$A:$E,2,0),"")</f>
      </c>
      <c r="K6974" s="29">
        <f>IFERROR(J6974*D6974,0)</f>
      </c>
      <c r="L6974" s="29">
        <f>IFERROR(E6974*C6974,0)</f>
      </c>
      <c r="M6974" s="29">
        <f>IFERROR((G6974*H6974*I6974/1000000)*D6974,0)</f>
      </c>
    </row>
    <row r="6975" spans="1:13" x14ac:dyDescent="0.25">
      <c r="A6975" s="16"/>
      <c r="E6975" s="27"/>
      <c r="F6975" t="s">
        <v>26</v>
      </c>
      <c r="G6975" s="28">
        <f>IFERROR(VLOOKUP(F6975,CARTON_LOOKUP!$A:$E,3,0),"")</f>
      </c>
      <c r="H6975" s="28">
        <f>IFERROR(VLOOKUP(F6975,CARTON_LOOKUP!$A:$E,4,0),"")</f>
      </c>
      <c r="I6975" s="28">
        <f>IFERROR(VLOOKUP(F6975,CARTON_LOOKUP!$A:$E,5,0),"")</f>
      </c>
      <c r="J6975" s="29">
        <f>IFERROR(VLOOKUP(F6975,CARTON_LOOKUP!$A:$E,2,0),"")</f>
      </c>
      <c r="K6975" s="29">
        <f>IFERROR(J6975*D6975,0)</f>
      </c>
      <c r="L6975" s="29">
        <f>IFERROR(E6975*C6975,0)</f>
      </c>
      <c r="M6975" s="29">
        <f>IFERROR((G6975*H6975*I6975/1000000)*D6975,0)</f>
      </c>
    </row>
    <row r="6976" spans="1:13" x14ac:dyDescent="0.25">
      <c r="A6976" s="16"/>
      <c r="E6976" s="27"/>
      <c r="F6976" t="s">
        <v>26</v>
      </c>
      <c r="G6976" s="28">
        <f>IFERROR(VLOOKUP(F6976,CARTON_LOOKUP!$A:$E,3,0),"")</f>
      </c>
      <c r="H6976" s="28">
        <f>IFERROR(VLOOKUP(F6976,CARTON_LOOKUP!$A:$E,4,0),"")</f>
      </c>
      <c r="I6976" s="28">
        <f>IFERROR(VLOOKUP(F6976,CARTON_LOOKUP!$A:$E,5,0),"")</f>
      </c>
      <c r="J6976" s="29">
        <f>IFERROR(VLOOKUP(F6976,CARTON_LOOKUP!$A:$E,2,0),"")</f>
      </c>
      <c r="K6976" s="29">
        <f>IFERROR(J6976*D6976,0)</f>
      </c>
      <c r="L6976" s="29">
        <f>IFERROR(E6976*C6976,0)</f>
      </c>
      <c r="M6976" s="29">
        <f>IFERROR((G6976*H6976*I6976/1000000)*D6976,0)</f>
      </c>
    </row>
    <row r="6977" spans="1:13" x14ac:dyDescent="0.25">
      <c r="A6977" s="16"/>
      <c r="E6977" s="27"/>
      <c r="F6977" t="s">
        <v>26</v>
      </c>
      <c r="G6977" s="28">
        <f>IFERROR(VLOOKUP(F6977,CARTON_LOOKUP!$A:$E,3,0),"")</f>
      </c>
      <c r="H6977" s="28">
        <f>IFERROR(VLOOKUP(F6977,CARTON_LOOKUP!$A:$E,4,0),"")</f>
      </c>
      <c r="I6977" s="28">
        <f>IFERROR(VLOOKUP(F6977,CARTON_LOOKUP!$A:$E,5,0),"")</f>
      </c>
      <c r="J6977" s="29">
        <f>IFERROR(VLOOKUP(F6977,CARTON_LOOKUP!$A:$E,2,0),"")</f>
      </c>
      <c r="K6977" s="29">
        <f>IFERROR(J6977*D6977,0)</f>
      </c>
      <c r="L6977" s="29">
        <f>IFERROR(E6977*C6977,0)</f>
      </c>
      <c r="M6977" s="29">
        <f>IFERROR((G6977*H6977*I6977/1000000)*D6977,0)</f>
      </c>
    </row>
    <row r="6978" spans="1:13" x14ac:dyDescent="0.25">
      <c r="A6978" s="16"/>
      <c r="E6978" s="27"/>
      <c r="F6978" t="s">
        <v>26</v>
      </c>
      <c r="G6978" s="28">
        <f>IFERROR(VLOOKUP(F6978,CARTON_LOOKUP!$A:$E,3,0),"")</f>
      </c>
      <c r="H6978" s="28">
        <f>IFERROR(VLOOKUP(F6978,CARTON_LOOKUP!$A:$E,4,0),"")</f>
      </c>
      <c r="I6978" s="28">
        <f>IFERROR(VLOOKUP(F6978,CARTON_LOOKUP!$A:$E,5,0),"")</f>
      </c>
      <c r="J6978" s="29">
        <f>IFERROR(VLOOKUP(F6978,CARTON_LOOKUP!$A:$E,2,0),"")</f>
      </c>
      <c r="K6978" s="29">
        <f>IFERROR(J6978*D6978,0)</f>
      </c>
      <c r="L6978" s="29">
        <f>IFERROR(E6978*C6978,0)</f>
      </c>
      <c r="M6978" s="29">
        <f>IFERROR((G6978*H6978*I6978/1000000)*D6978,0)</f>
      </c>
    </row>
    <row r="6979" spans="1:13" x14ac:dyDescent="0.25">
      <c r="A6979" s="16"/>
      <c r="E6979" s="27"/>
      <c r="F6979" t="s">
        <v>26</v>
      </c>
      <c r="G6979" s="28">
        <f>IFERROR(VLOOKUP(F6979,CARTON_LOOKUP!$A:$E,3,0),"")</f>
      </c>
      <c r="H6979" s="28">
        <f>IFERROR(VLOOKUP(F6979,CARTON_LOOKUP!$A:$E,4,0),"")</f>
      </c>
      <c r="I6979" s="28">
        <f>IFERROR(VLOOKUP(F6979,CARTON_LOOKUP!$A:$E,5,0),"")</f>
      </c>
      <c r="J6979" s="29">
        <f>IFERROR(VLOOKUP(F6979,CARTON_LOOKUP!$A:$E,2,0),"")</f>
      </c>
      <c r="K6979" s="29">
        <f>IFERROR(J6979*D6979,0)</f>
      </c>
      <c r="L6979" s="29">
        <f>IFERROR(E6979*C6979,0)</f>
      </c>
      <c r="M6979" s="29">
        <f>IFERROR((G6979*H6979*I6979/1000000)*D6979,0)</f>
      </c>
    </row>
    <row r="6980" spans="1:13" x14ac:dyDescent="0.25">
      <c r="A6980" s="16"/>
      <c r="E6980" s="27"/>
      <c r="F6980" t="s">
        <v>26</v>
      </c>
      <c r="G6980" s="28">
        <f>IFERROR(VLOOKUP(F6980,CARTON_LOOKUP!$A:$E,3,0),"")</f>
      </c>
      <c r="H6980" s="28">
        <f>IFERROR(VLOOKUP(F6980,CARTON_LOOKUP!$A:$E,4,0),"")</f>
      </c>
      <c r="I6980" s="28">
        <f>IFERROR(VLOOKUP(F6980,CARTON_LOOKUP!$A:$E,5,0),"")</f>
      </c>
      <c r="J6980" s="29">
        <f>IFERROR(VLOOKUP(F6980,CARTON_LOOKUP!$A:$E,2,0),"")</f>
      </c>
      <c r="K6980" s="29">
        <f>IFERROR(J6980*D6980,0)</f>
      </c>
      <c r="L6980" s="29">
        <f>IFERROR(E6980*C6980,0)</f>
      </c>
      <c r="M6980" s="29">
        <f>IFERROR((G6980*H6980*I6980/1000000)*D6980,0)</f>
      </c>
    </row>
    <row r="6981" spans="1:13" x14ac:dyDescent="0.25">
      <c r="A6981" s="16"/>
      <c r="E6981" s="27"/>
      <c r="F6981" t="s">
        <v>26</v>
      </c>
      <c r="G6981" s="28">
        <f>IFERROR(VLOOKUP(F6981,CARTON_LOOKUP!$A:$E,3,0),"")</f>
      </c>
      <c r="H6981" s="28">
        <f>IFERROR(VLOOKUP(F6981,CARTON_LOOKUP!$A:$E,4,0),"")</f>
      </c>
      <c r="I6981" s="28">
        <f>IFERROR(VLOOKUP(F6981,CARTON_LOOKUP!$A:$E,5,0),"")</f>
      </c>
      <c r="J6981" s="29">
        <f>IFERROR(VLOOKUP(F6981,CARTON_LOOKUP!$A:$E,2,0),"")</f>
      </c>
      <c r="K6981" s="29">
        <f>IFERROR(J6981*D6981,0)</f>
      </c>
      <c r="L6981" s="29">
        <f>IFERROR(E6981*C6981,0)</f>
      </c>
      <c r="M6981" s="29">
        <f>IFERROR((G6981*H6981*I6981/1000000)*D6981,0)</f>
      </c>
    </row>
    <row r="6982" spans="1:13" x14ac:dyDescent="0.25">
      <c r="A6982" s="16"/>
      <c r="E6982" s="27"/>
      <c r="F6982" t="s">
        <v>26</v>
      </c>
      <c r="G6982" s="28">
        <f>IFERROR(VLOOKUP(F6982,CARTON_LOOKUP!$A:$E,3,0),"")</f>
      </c>
      <c r="H6982" s="28">
        <f>IFERROR(VLOOKUP(F6982,CARTON_LOOKUP!$A:$E,4,0),"")</f>
      </c>
      <c r="I6982" s="28">
        <f>IFERROR(VLOOKUP(F6982,CARTON_LOOKUP!$A:$E,5,0),"")</f>
      </c>
      <c r="J6982" s="29">
        <f>IFERROR(VLOOKUP(F6982,CARTON_LOOKUP!$A:$E,2,0),"")</f>
      </c>
      <c r="K6982" s="29">
        <f>IFERROR(J6982*D6982,0)</f>
      </c>
      <c r="L6982" s="29">
        <f>IFERROR(E6982*C6982,0)</f>
      </c>
      <c r="M6982" s="29">
        <f>IFERROR((G6982*H6982*I6982/1000000)*D6982,0)</f>
      </c>
    </row>
    <row r="6983" spans="1:13" x14ac:dyDescent="0.25">
      <c r="A6983" s="16"/>
      <c r="E6983" s="27"/>
      <c r="F6983" t="s">
        <v>26</v>
      </c>
      <c r="G6983" s="28">
        <f>IFERROR(VLOOKUP(F6983,CARTON_LOOKUP!$A:$E,3,0),"")</f>
      </c>
      <c r="H6983" s="28">
        <f>IFERROR(VLOOKUP(F6983,CARTON_LOOKUP!$A:$E,4,0),"")</f>
      </c>
      <c r="I6983" s="28">
        <f>IFERROR(VLOOKUP(F6983,CARTON_LOOKUP!$A:$E,5,0),"")</f>
      </c>
      <c r="J6983" s="29">
        <f>IFERROR(VLOOKUP(F6983,CARTON_LOOKUP!$A:$E,2,0),"")</f>
      </c>
      <c r="K6983" s="29">
        <f>IFERROR(J6983*D6983,0)</f>
      </c>
      <c r="L6983" s="29">
        <f>IFERROR(E6983*C6983,0)</f>
      </c>
      <c r="M6983" s="29">
        <f>IFERROR((G6983*H6983*I6983/1000000)*D6983,0)</f>
      </c>
    </row>
    <row r="6984" spans="1:13" x14ac:dyDescent="0.25">
      <c r="A6984" s="16"/>
      <c r="E6984" s="27"/>
      <c r="F6984" t="s">
        <v>26</v>
      </c>
      <c r="G6984" s="28">
        <f>IFERROR(VLOOKUP(F6984,CARTON_LOOKUP!$A:$E,3,0),"")</f>
      </c>
      <c r="H6984" s="28">
        <f>IFERROR(VLOOKUP(F6984,CARTON_LOOKUP!$A:$E,4,0),"")</f>
      </c>
      <c r="I6984" s="28">
        <f>IFERROR(VLOOKUP(F6984,CARTON_LOOKUP!$A:$E,5,0),"")</f>
      </c>
      <c r="J6984" s="29">
        <f>IFERROR(VLOOKUP(F6984,CARTON_LOOKUP!$A:$E,2,0),"")</f>
      </c>
      <c r="K6984" s="29">
        <f>IFERROR(J6984*D6984,0)</f>
      </c>
      <c r="L6984" s="29">
        <f>IFERROR(E6984*C6984,0)</f>
      </c>
      <c r="M6984" s="29">
        <f>IFERROR((G6984*H6984*I6984/1000000)*D6984,0)</f>
      </c>
    </row>
    <row r="6985" spans="1:13" x14ac:dyDescent="0.25">
      <c r="A6985" s="16"/>
      <c r="E6985" s="27"/>
      <c r="F6985" t="s">
        <v>26</v>
      </c>
      <c r="G6985" s="28">
        <f>IFERROR(VLOOKUP(F6985,CARTON_LOOKUP!$A:$E,3,0),"")</f>
      </c>
      <c r="H6985" s="28">
        <f>IFERROR(VLOOKUP(F6985,CARTON_LOOKUP!$A:$E,4,0),"")</f>
      </c>
      <c r="I6985" s="28">
        <f>IFERROR(VLOOKUP(F6985,CARTON_LOOKUP!$A:$E,5,0),"")</f>
      </c>
      <c r="J6985" s="29">
        <f>IFERROR(VLOOKUP(F6985,CARTON_LOOKUP!$A:$E,2,0),"")</f>
      </c>
      <c r="K6985" s="29">
        <f>IFERROR(J6985*D6985,0)</f>
      </c>
      <c r="L6985" s="29">
        <f>IFERROR(E6985*C6985,0)</f>
      </c>
      <c r="M6985" s="29">
        <f>IFERROR((G6985*H6985*I6985/1000000)*D6985,0)</f>
      </c>
    </row>
    <row r="6986" spans="1:13" x14ac:dyDescent="0.25">
      <c r="A6986" s="16"/>
      <c r="E6986" s="27"/>
      <c r="F6986" t="s">
        <v>26</v>
      </c>
      <c r="G6986" s="28">
        <f>IFERROR(VLOOKUP(F6986,CARTON_LOOKUP!$A:$E,3,0),"")</f>
      </c>
      <c r="H6986" s="28">
        <f>IFERROR(VLOOKUP(F6986,CARTON_LOOKUP!$A:$E,4,0),"")</f>
      </c>
      <c r="I6986" s="28">
        <f>IFERROR(VLOOKUP(F6986,CARTON_LOOKUP!$A:$E,5,0),"")</f>
      </c>
      <c r="J6986" s="29">
        <f>IFERROR(VLOOKUP(F6986,CARTON_LOOKUP!$A:$E,2,0),"")</f>
      </c>
      <c r="K6986" s="29">
        <f>IFERROR(J6986*D6986,0)</f>
      </c>
      <c r="L6986" s="29">
        <f>IFERROR(E6986*C6986,0)</f>
      </c>
      <c r="M6986" s="29">
        <f>IFERROR((G6986*H6986*I6986/1000000)*D6986,0)</f>
      </c>
    </row>
    <row r="6987" spans="1:13" x14ac:dyDescent="0.25">
      <c r="A6987" s="16"/>
      <c r="E6987" s="27"/>
      <c r="F6987" t="s">
        <v>26</v>
      </c>
      <c r="G6987" s="28">
        <f>IFERROR(VLOOKUP(F6987,CARTON_LOOKUP!$A:$E,3,0),"")</f>
      </c>
      <c r="H6987" s="28">
        <f>IFERROR(VLOOKUP(F6987,CARTON_LOOKUP!$A:$E,4,0),"")</f>
      </c>
      <c r="I6987" s="28">
        <f>IFERROR(VLOOKUP(F6987,CARTON_LOOKUP!$A:$E,5,0),"")</f>
      </c>
      <c r="J6987" s="29">
        <f>IFERROR(VLOOKUP(F6987,CARTON_LOOKUP!$A:$E,2,0),"")</f>
      </c>
      <c r="K6987" s="29">
        <f>IFERROR(J6987*D6987,0)</f>
      </c>
      <c r="L6987" s="29">
        <f>IFERROR(E6987*C6987,0)</f>
      </c>
      <c r="M6987" s="29">
        <f>IFERROR((G6987*H6987*I6987/1000000)*D6987,0)</f>
      </c>
    </row>
    <row r="6988" spans="1:13" x14ac:dyDescent="0.25">
      <c r="A6988" s="16"/>
      <c r="E6988" s="27"/>
      <c r="F6988" t="s">
        <v>26</v>
      </c>
      <c r="G6988" s="28">
        <f>IFERROR(VLOOKUP(F6988,CARTON_LOOKUP!$A:$E,3,0),"")</f>
      </c>
      <c r="H6988" s="28">
        <f>IFERROR(VLOOKUP(F6988,CARTON_LOOKUP!$A:$E,4,0),"")</f>
      </c>
      <c r="I6988" s="28">
        <f>IFERROR(VLOOKUP(F6988,CARTON_LOOKUP!$A:$E,5,0),"")</f>
      </c>
      <c r="J6988" s="29">
        <f>IFERROR(VLOOKUP(F6988,CARTON_LOOKUP!$A:$E,2,0),"")</f>
      </c>
      <c r="K6988" s="29">
        <f>IFERROR(J6988*D6988,0)</f>
      </c>
      <c r="L6988" s="29">
        <f>IFERROR(E6988*C6988,0)</f>
      </c>
      <c r="M6988" s="29">
        <f>IFERROR((G6988*H6988*I6988/1000000)*D6988,0)</f>
      </c>
    </row>
    <row r="6989" spans="1:13" x14ac:dyDescent="0.25">
      <c r="A6989" s="16"/>
      <c r="E6989" s="27"/>
      <c r="F6989" t="s">
        <v>26</v>
      </c>
      <c r="G6989" s="28">
        <f>IFERROR(VLOOKUP(F6989,CARTON_LOOKUP!$A:$E,3,0),"")</f>
      </c>
      <c r="H6989" s="28">
        <f>IFERROR(VLOOKUP(F6989,CARTON_LOOKUP!$A:$E,4,0),"")</f>
      </c>
      <c r="I6989" s="28">
        <f>IFERROR(VLOOKUP(F6989,CARTON_LOOKUP!$A:$E,5,0),"")</f>
      </c>
      <c r="J6989" s="29">
        <f>IFERROR(VLOOKUP(F6989,CARTON_LOOKUP!$A:$E,2,0),"")</f>
      </c>
      <c r="K6989" s="29">
        <f>IFERROR(J6989*D6989,0)</f>
      </c>
      <c r="L6989" s="29">
        <f>IFERROR(E6989*C6989,0)</f>
      </c>
      <c r="M6989" s="29">
        <f>IFERROR((G6989*H6989*I6989/1000000)*D6989,0)</f>
      </c>
    </row>
    <row r="6990" spans="1:13" x14ac:dyDescent="0.25">
      <c r="A6990" s="16"/>
      <c r="E6990" s="27"/>
      <c r="F6990" t="s">
        <v>26</v>
      </c>
      <c r="G6990" s="28">
        <f>IFERROR(VLOOKUP(F6990,CARTON_LOOKUP!$A:$E,3,0),"")</f>
      </c>
      <c r="H6990" s="28">
        <f>IFERROR(VLOOKUP(F6990,CARTON_LOOKUP!$A:$E,4,0),"")</f>
      </c>
      <c r="I6990" s="28">
        <f>IFERROR(VLOOKUP(F6990,CARTON_LOOKUP!$A:$E,5,0),"")</f>
      </c>
      <c r="J6990" s="29">
        <f>IFERROR(VLOOKUP(F6990,CARTON_LOOKUP!$A:$E,2,0),"")</f>
      </c>
      <c r="K6990" s="29">
        <f>IFERROR(J6990*D6990,0)</f>
      </c>
      <c r="L6990" s="29">
        <f>IFERROR(E6990*C6990,0)</f>
      </c>
      <c r="M6990" s="29">
        <f>IFERROR((G6990*H6990*I6990/1000000)*D6990,0)</f>
      </c>
    </row>
    <row r="6991" spans="1:13" x14ac:dyDescent="0.25">
      <c r="A6991" s="16"/>
      <c r="E6991" s="27"/>
      <c r="F6991" t="s">
        <v>26</v>
      </c>
      <c r="G6991" s="28">
        <f>IFERROR(VLOOKUP(F6991,CARTON_LOOKUP!$A:$E,3,0),"")</f>
      </c>
      <c r="H6991" s="28">
        <f>IFERROR(VLOOKUP(F6991,CARTON_LOOKUP!$A:$E,4,0),"")</f>
      </c>
      <c r="I6991" s="28">
        <f>IFERROR(VLOOKUP(F6991,CARTON_LOOKUP!$A:$E,5,0),"")</f>
      </c>
      <c r="J6991" s="29">
        <f>IFERROR(VLOOKUP(F6991,CARTON_LOOKUP!$A:$E,2,0),"")</f>
      </c>
      <c r="K6991" s="29">
        <f>IFERROR(J6991*D6991,0)</f>
      </c>
      <c r="L6991" s="29">
        <f>IFERROR(E6991*C6991,0)</f>
      </c>
      <c r="M6991" s="29">
        <f>IFERROR((G6991*H6991*I6991/1000000)*D6991,0)</f>
      </c>
    </row>
    <row r="6992" spans="1:13" x14ac:dyDescent="0.25">
      <c r="A6992" s="16"/>
      <c r="E6992" s="27"/>
      <c r="F6992" t="s">
        <v>26</v>
      </c>
      <c r="G6992" s="28">
        <f>IFERROR(VLOOKUP(F6992,CARTON_LOOKUP!$A:$E,3,0),"")</f>
      </c>
      <c r="H6992" s="28">
        <f>IFERROR(VLOOKUP(F6992,CARTON_LOOKUP!$A:$E,4,0),"")</f>
      </c>
      <c r="I6992" s="28">
        <f>IFERROR(VLOOKUP(F6992,CARTON_LOOKUP!$A:$E,5,0),"")</f>
      </c>
      <c r="J6992" s="29">
        <f>IFERROR(VLOOKUP(F6992,CARTON_LOOKUP!$A:$E,2,0),"")</f>
      </c>
      <c r="K6992" s="29">
        <f>IFERROR(J6992*D6992,0)</f>
      </c>
      <c r="L6992" s="29">
        <f>IFERROR(E6992*C6992,0)</f>
      </c>
      <c r="M6992" s="29">
        <f>IFERROR((G6992*H6992*I6992/1000000)*D6992,0)</f>
      </c>
    </row>
    <row r="6993" spans="1:13" x14ac:dyDescent="0.25">
      <c r="A6993" s="16"/>
      <c r="E6993" s="27"/>
      <c r="F6993" t="s">
        <v>26</v>
      </c>
      <c r="G6993" s="28">
        <f>IFERROR(VLOOKUP(F6993,CARTON_LOOKUP!$A:$E,3,0),"")</f>
      </c>
      <c r="H6993" s="28">
        <f>IFERROR(VLOOKUP(F6993,CARTON_LOOKUP!$A:$E,4,0),"")</f>
      </c>
      <c r="I6993" s="28">
        <f>IFERROR(VLOOKUP(F6993,CARTON_LOOKUP!$A:$E,5,0),"")</f>
      </c>
      <c r="J6993" s="29">
        <f>IFERROR(VLOOKUP(F6993,CARTON_LOOKUP!$A:$E,2,0),"")</f>
      </c>
      <c r="K6993" s="29">
        <f>IFERROR(J6993*D6993,0)</f>
      </c>
      <c r="L6993" s="29">
        <f>IFERROR(E6993*C6993,0)</f>
      </c>
      <c r="M6993" s="29">
        <f>IFERROR((G6993*H6993*I6993/1000000)*D6993,0)</f>
      </c>
    </row>
    <row r="6994" spans="1:13" x14ac:dyDescent="0.25">
      <c r="A6994" s="16"/>
      <c r="E6994" s="27"/>
      <c r="F6994" t="s">
        <v>26</v>
      </c>
      <c r="G6994" s="28">
        <f>IFERROR(VLOOKUP(F6994,CARTON_LOOKUP!$A:$E,3,0),"")</f>
      </c>
      <c r="H6994" s="28">
        <f>IFERROR(VLOOKUP(F6994,CARTON_LOOKUP!$A:$E,4,0),"")</f>
      </c>
      <c r="I6994" s="28">
        <f>IFERROR(VLOOKUP(F6994,CARTON_LOOKUP!$A:$E,5,0),"")</f>
      </c>
      <c r="J6994" s="29">
        <f>IFERROR(VLOOKUP(F6994,CARTON_LOOKUP!$A:$E,2,0),"")</f>
      </c>
      <c r="K6994" s="29">
        <f>IFERROR(J6994*D6994,0)</f>
      </c>
      <c r="L6994" s="29">
        <f>IFERROR(E6994*C6994,0)</f>
      </c>
      <c r="M6994" s="29">
        <f>IFERROR((G6994*H6994*I6994/1000000)*D6994,0)</f>
      </c>
    </row>
    <row r="6995" spans="1:13" x14ac:dyDescent="0.25">
      <c r="A6995" s="16"/>
      <c r="E6995" s="27"/>
      <c r="F6995" t="s">
        <v>26</v>
      </c>
      <c r="G6995" s="28">
        <f>IFERROR(VLOOKUP(F6995,CARTON_LOOKUP!$A:$E,3,0),"")</f>
      </c>
      <c r="H6995" s="28">
        <f>IFERROR(VLOOKUP(F6995,CARTON_LOOKUP!$A:$E,4,0),"")</f>
      </c>
      <c r="I6995" s="28">
        <f>IFERROR(VLOOKUP(F6995,CARTON_LOOKUP!$A:$E,5,0),"")</f>
      </c>
      <c r="J6995" s="29">
        <f>IFERROR(VLOOKUP(F6995,CARTON_LOOKUP!$A:$E,2,0),"")</f>
      </c>
      <c r="K6995" s="29">
        <f>IFERROR(J6995*D6995,0)</f>
      </c>
      <c r="L6995" s="29">
        <f>IFERROR(E6995*C6995,0)</f>
      </c>
      <c r="M6995" s="29">
        <f>IFERROR((G6995*H6995*I6995/1000000)*D6995,0)</f>
      </c>
    </row>
    <row r="6996" spans="1:13" x14ac:dyDescent="0.25">
      <c r="A6996" s="16"/>
      <c r="E6996" s="27"/>
      <c r="F6996" t="s">
        <v>26</v>
      </c>
      <c r="G6996" s="28">
        <f>IFERROR(VLOOKUP(F6996,CARTON_LOOKUP!$A:$E,3,0),"")</f>
      </c>
      <c r="H6996" s="28">
        <f>IFERROR(VLOOKUP(F6996,CARTON_LOOKUP!$A:$E,4,0),"")</f>
      </c>
      <c r="I6996" s="28">
        <f>IFERROR(VLOOKUP(F6996,CARTON_LOOKUP!$A:$E,5,0),"")</f>
      </c>
      <c r="J6996" s="29">
        <f>IFERROR(VLOOKUP(F6996,CARTON_LOOKUP!$A:$E,2,0),"")</f>
      </c>
      <c r="K6996" s="29">
        <f>IFERROR(J6996*D6996,0)</f>
      </c>
      <c r="L6996" s="29">
        <f>IFERROR(E6996*C6996,0)</f>
      </c>
      <c r="M6996" s="29">
        <f>IFERROR((G6996*H6996*I6996/1000000)*D6996,0)</f>
      </c>
    </row>
    <row r="6997" spans="1:13" x14ac:dyDescent="0.25">
      <c r="A6997" s="16"/>
      <c r="E6997" s="27"/>
      <c r="F6997" t="s">
        <v>26</v>
      </c>
      <c r="G6997" s="28">
        <f>IFERROR(VLOOKUP(F6997,CARTON_LOOKUP!$A:$E,3,0),"")</f>
      </c>
      <c r="H6997" s="28">
        <f>IFERROR(VLOOKUP(F6997,CARTON_LOOKUP!$A:$E,4,0),"")</f>
      </c>
      <c r="I6997" s="28">
        <f>IFERROR(VLOOKUP(F6997,CARTON_LOOKUP!$A:$E,5,0),"")</f>
      </c>
      <c r="J6997" s="29">
        <f>IFERROR(VLOOKUP(F6997,CARTON_LOOKUP!$A:$E,2,0),"")</f>
      </c>
      <c r="K6997" s="29">
        <f>IFERROR(J6997*D6997,0)</f>
      </c>
      <c r="L6997" s="29">
        <f>IFERROR(E6997*C6997,0)</f>
      </c>
      <c r="M6997" s="29">
        <f>IFERROR((G6997*H6997*I6997/1000000)*D6997,0)</f>
      </c>
    </row>
    <row r="6998" spans="1:13" x14ac:dyDescent="0.25">
      <c r="A6998" s="16"/>
      <c r="E6998" s="27"/>
      <c r="F6998" t="s">
        <v>26</v>
      </c>
      <c r="G6998" s="28">
        <f>IFERROR(VLOOKUP(F6998,CARTON_LOOKUP!$A:$E,3,0),"")</f>
      </c>
      <c r="H6998" s="28">
        <f>IFERROR(VLOOKUP(F6998,CARTON_LOOKUP!$A:$E,4,0),"")</f>
      </c>
      <c r="I6998" s="28">
        <f>IFERROR(VLOOKUP(F6998,CARTON_LOOKUP!$A:$E,5,0),"")</f>
      </c>
      <c r="J6998" s="29">
        <f>IFERROR(VLOOKUP(F6998,CARTON_LOOKUP!$A:$E,2,0),"")</f>
      </c>
      <c r="K6998" s="29">
        <f>IFERROR(J6998*D6998,0)</f>
      </c>
      <c r="L6998" s="29">
        <f>IFERROR(E6998*C6998,0)</f>
      </c>
      <c r="M6998" s="29">
        <f>IFERROR((G6998*H6998*I6998/1000000)*D6998,0)</f>
      </c>
    </row>
    <row r="6999" spans="1:13" x14ac:dyDescent="0.25">
      <c r="A6999" s="16"/>
      <c r="E6999" s="27"/>
      <c r="F6999" t="s">
        <v>26</v>
      </c>
      <c r="G6999" s="28">
        <f>IFERROR(VLOOKUP(F6999,CARTON_LOOKUP!$A:$E,3,0),"")</f>
      </c>
      <c r="H6999" s="28">
        <f>IFERROR(VLOOKUP(F6999,CARTON_LOOKUP!$A:$E,4,0),"")</f>
      </c>
      <c r="I6999" s="28">
        <f>IFERROR(VLOOKUP(F6999,CARTON_LOOKUP!$A:$E,5,0),"")</f>
      </c>
      <c r="J6999" s="29">
        <f>IFERROR(VLOOKUP(F6999,CARTON_LOOKUP!$A:$E,2,0),"")</f>
      </c>
      <c r="K6999" s="29">
        <f>IFERROR(J6999*D6999,0)</f>
      </c>
      <c r="L6999" s="29">
        <f>IFERROR(E6999*C6999,0)</f>
      </c>
      <c r="M6999" s="29">
        <f>IFERROR((G6999*H6999*I6999/1000000)*D6999,0)</f>
      </c>
    </row>
    <row r="7000" spans="1:13" x14ac:dyDescent="0.25">
      <c r="A7000" s="16"/>
      <c r="E7000" s="27"/>
      <c r="F7000" t="s">
        <v>26</v>
      </c>
      <c r="G7000" s="28">
        <f>IFERROR(VLOOKUP(F7000,CARTON_LOOKUP!$A:$E,3,0),"")</f>
      </c>
      <c r="H7000" s="28">
        <f>IFERROR(VLOOKUP(F7000,CARTON_LOOKUP!$A:$E,4,0),"")</f>
      </c>
      <c r="I7000" s="28">
        <f>IFERROR(VLOOKUP(F7000,CARTON_LOOKUP!$A:$E,5,0),"")</f>
      </c>
      <c r="J7000" s="29">
        <f>IFERROR(VLOOKUP(F7000,CARTON_LOOKUP!$A:$E,2,0),"")</f>
      </c>
      <c r="K7000" s="29">
        <f>IFERROR(J7000*D7000,0)</f>
      </c>
      <c r="L7000" s="29">
        <f>IFERROR(E7000*C7000,0)</f>
      </c>
      <c r="M7000" s="29">
        <f>IFERROR((G7000*H7000*I7000/1000000)*D7000,0)</f>
      </c>
    </row>
    <row r="7001" spans="1:13" x14ac:dyDescent="0.25">
      <c r="A7001" s="16"/>
      <c r="E7001" s="27"/>
      <c r="F7001" t="s">
        <v>26</v>
      </c>
      <c r="G7001" s="28">
        <f>IFERROR(VLOOKUP(F7001,CARTON_LOOKUP!$A:$E,3,0),"")</f>
      </c>
      <c r="H7001" s="28">
        <f>IFERROR(VLOOKUP(F7001,CARTON_LOOKUP!$A:$E,4,0),"")</f>
      </c>
      <c r="I7001" s="28">
        <f>IFERROR(VLOOKUP(F7001,CARTON_LOOKUP!$A:$E,5,0),"")</f>
      </c>
      <c r="J7001" s="29">
        <f>IFERROR(VLOOKUP(F7001,CARTON_LOOKUP!$A:$E,2,0),"")</f>
      </c>
      <c r="K7001" s="29">
        <f>IFERROR(J7001*D7001,0)</f>
      </c>
      <c r="L7001" s="29">
        <f>IFERROR(E7001*C7001,0)</f>
      </c>
      <c r="M7001" s="29">
        <f>IFERROR((G7001*H7001*I7001/1000000)*D7001,0)</f>
      </c>
    </row>
    <row r="7002" spans="1:13" x14ac:dyDescent="0.25">
      <c r="A7002" s="16"/>
      <c r="E7002" s="27"/>
      <c r="F7002" t="s">
        <v>26</v>
      </c>
      <c r="G7002" s="28">
        <f>IFERROR(VLOOKUP(F7002,CARTON_LOOKUP!$A:$E,3,0),"")</f>
      </c>
      <c r="H7002" s="28">
        <f>IFERROR(VLOOKUP(F7002,CARTON_LOOKUP!$A:$E,4,0),"")</f>
      </c>
      <c r="I7002" s="28">
        <f>IFERROR(VLOOKUP(F7002,CARTON_LOOKUP!$A:$E,5,0),"")</f>
      </c>
      <c r="J7002" s="29">
        <f>IFERROR(VLOOKUP(F7002,CARTON_LOOKUP!$A:$E,2,0),"")</f>
      </c>
      <c r="K7002" s="29">
        <f>IFERROR(J7002*D7002,0)</f>
      </c>
      <c r="L7002" s="29">
        <f>IFERROR(E7002*C7002,0)</f>
      </c>
      <c r="M7002" s="29">
        <f>IFERROR((G7002*H7002*I7002/1000000)*D7002,0)</f>
      </c>
    </row>
    <row r="7003" spans="1:13" x14ac:dyDescent="0.25">
      <c r="A7003" s="16"/>
      <c r="E7003" s="27"/>
      <c r="F7003" t="s">
        <v>26</v>
      </c>
      <c r="G7003" s="28">
        <f>IFERROR(VLOOKUP(F7003,CARTON_LOOKUP!$A:$E,3,0),"")</f>
      </c>
      <c r="H7003" s="28">
        <f>IFERROR(VLOOKUP(F7003,CARTON_LOOKUP!$A:$E,4,0),"")</f>
      </c>
      <c r="I7003" s="28">
        <f>IFERROR(VLOOKUP(F7003,CARTON_LOOKUP!$A:$E,5,0),"")</f>
      </c>
      <c r="J7003" s="29">
        <f>IFERROR(VLOOKUP(F7003,CARTON_LOOKUP!$A:$E,2,0),"")</f>
      </c>
      <c r="K7003" s="29">
        <f>IFERROR(J7003*D7003,0)</f>
      </c>
      <c r="L7003" s="29">
        <f>IFERROR(E7003*C7003,0)</f>
      </c>
      <c r="M7003" s="29">
        <f>IFERROR((G7003*H7003*I7003/1000000)*D7003,0)</f>
      </c>
    </row>
    <row r="7004" spans="1:13" x14ac:dyDescent="0.25">
      <c r="A7004" s="16"/>
      <c r="E7004" s="27"/>
      <c r="F7004" t="s">
        <v>26</v>
      </c>
      <c r="G7004" s="28">
        <f>IFERROR(VLOOKUP(F7004,CARTON_LOOKUP!$A:$E,3,0),"")</f>
      </c>
      <c r="H7004" s="28">
        <f>IFERROR(VLOOKUP(F7004,CARTON_LOOKUP!$A:$E,4,0),"")</f>
      </c>
      <c r="I7004" s="28">
        <f>IFERROR(VLOOKUP(F7004,CARTON_LOOKUP!$A:$E,5,0),"")</f>
      </c>
      <c r="J7004" s="29">
        <f>IFERROR(VLOOKUP(F7004,CARTON_LOOKUP!$A:$E,2,0),"")</f>
      </c>
      <c r="K7004" s="29">
        <f>IFERROR(J7004*D7004,0)</f>
      </c>
      <c r="L7004" s="29">
        <f>IFERROR(E7004*C7004,0)</f>
      </c>
      <c r="M7004" s="29">
        <f>IFERROR((G7004*H7004*I7004/1000000)*D7004,0)</f>
      </c>
    </row>
    <row r="7005" spans="1:13" x14ac:dyDescent="0.25">
      <c r="A7005" s="16"/>
      <c r="E7005" s="27"/>
      <c r="F7005" t="s">
        <v>26</v>
      </c>
      <c r="G7005" s="28">
        <f>IFERROR(VLOOKUP(F7005,CARTON_LOOKUP!$A:$E,3,0),"")</f>
      </c>
      <c r="H7005" s="28">
        <f>IFERROR(VLOOKUP(F7005,CARTON_LOOKUP!$A:$E,4,0),"")</f>
      </c>
      <c r="I7005" s="28">
        <f>IFERROR(VLOOKUP(F7005,CARTON_LOOKUP!$A:$E,5,0),"")</f>
      </c>
      <c r="J7005" s="29">
        <f>IFERROR(VLOOKUP(F7005,CARTON_LOOKUP!$A:$E,2,0),"")</f>
      </c>
      <c r="K7005" s="29">
        <f>IFERROR(J7005*D7005,0)</f>
      </c>
      <c r="L7005" s="29">
        <f>IFERROR(E7005*C7005,0)</f>
      </c>
      <c r="M7005" s="29">
        <f>IFERROR((G7005*H7005*I7005/1000000)*D7005,0)</f>
      </c>
    </row>
    <row r="7006" spans="1:13" x14ac:dyDescent="0.25">
      <c r="A7006" s="16"/>
      <c r="E7006" s="27"/>
      <c r="F7006" t="s">
        <v>26</v>
      </c>
      <c r="G7006" s="28">
        <f>IFERROR(VLOOKUP(F7006,CARTON_LOOKUP!$A:$E,3,0),"")</f>
      </c>
      <c r="H7006" s="28">
        <f>IFERROR(VLOOKUP(F7006,CARTON_LOOKUP!$A:$E,4,0),"")</f>
      </c>
      <c r="I7006" s="28">
        <f>IFERROR(VLOOKUP(F7006,CARTON_LOOKUP!$A:$E,5,0),"")</f>
      </c>
      <c r="J7006" s="29">
        <f>IFERROR(VLOOKUP(F7006,CARTON_LOOKUP!$A:$E,2,0),"")</f>
      </c>
      <c r="K7006" s="29">
        <f>IFERROR(J7006*D7006,0)</f>
      </c>
      <c r="L7006" s="29">
        <f>IFERROR(E7006*C7006,0)</f>
      </c>
      <c r="M7006" s="29">
        <f>IFERROR((G7006*H7006*I7006/1000000)*D7006,0)</f>
      </c>
    </row>
    <row r="7007" spans="1:13" x14ac:dyDescent="0.25">
      <c r="A7007" s="16"/>
      <c r="E7007" s="27"/>
      <c r="F7007" t="s">
        <v>26</v>
      </c>
      <c r="G7007" s="28">
        <f>IFERROR(VLOOKUP(F7007,CARTON_LOOKUP!$A:$E,3,0),"")</f>
      </c>
      <c r="H7007" s="28">
        <f>IFERROR(VLOOKUP(F7007,CARTON_LOOKUP!$A:$E,4,0),"")</f>
      </c>
      <c r="I7007" s="28">
        <f>IFERROR(VLOOKUP(F7007,CARTON_LOOKUP!$A:$E,5,0),"")</f>
      </c>
      <c r="J7007" s="29">
        <f>IFERROR(VLOOKUP(F7007,CARTON_LOOKUP!$A:$E,2,0),"")</f>
      </c>
      <c r="K7007" s="29">
        <f>IFERROR(J7007*D7007,0)</f>
      </c>
      <c r="L7007" s="29">
        <f>IFERROR(E7007*C7007,0)</f>
      </c>
      <c r="M7007" s="29">
        <f>IFERROR((G7007*H7007*I7007/1000000)*D7007,0)</f>
      </c>
    </row>
    <row r="7008" spans="1:13" x14ac:dyDescent="0.25">
      <c r="A7008" s="16"/>
      <c r="E7008" s="27"/>
      <c r="F7008" t="s">
        <v>26</v>
      </c>
      <c r="G7008" s="28">
        <f>IFERROR(VLOOKUP(F7008,CARTON_LOOKUP!$A:$E,3,0),"")</f>
      </c>
      <c r="H7008" s="28">
        <f>IFERROR(VLOOKUP(F7008,CARTON_LOOKUP!$A:$E,4,0),"")</f>
      </c>
      <c r="I7008" s="28">
        <f>IFERROR(VLOOKUP(F7008,CARTON_LOOKUP!$A:$E,5,0),"")</f>
      </c>
      <c r="J7008" s="29">
        <f>IFERROR(VLOOKUP(F7008,CARTON_LOOKUP!$A:$E,2,0),"")</f>
      </c>
      <c r="K7008" s="29">
        <f>IFERROR(J7008*D7008,0)</f>
      </c>
      <c r="L7008" s="29">
        <f>IFERROR(E7008*C7008,0)</f>
      </c>
      <c r="M7008" s="29">
        <f>IFERROR((G7008*H7008*I7008/1000000)*D7008,0)</f>
      </c>
    </row>
    <row r="7009" spans="1:13" x14ac:dyDescent="0.25">
      <c r="A7009" s="16"/>
      <c r="E7009" s="27"/>
      <c r="F7009" t="s">
        <v>26</v>
      </c>
      <c r="G7009" s="28">
        <f>IFERROR(VLOOKUP(F7009,CARTON_LOOKUP!$A:$E,3,0),"")</f>
      </c>
      <c r="H7009" s="28">
        <f>IFERROR(VLOOKUP(F7009,CARTON_LOOKUP!$A:$E,4,0),"")</f>
      </c>
      <c r="I7009" s="28">
        <f>IFERROR(VLOOKUP(F7009,CARTON_LOOKUP!$A:$E,5,0),"")</f>
      </c>
      <c r="J7009" s="29">
        <f>IFERROR(VLOOKUP(F7009,CARTON_LOOKUP!$A:$E,2,0),"")</f>
      </c>
      <c r="K7009" s="29">
        <f>IFERROR(J7009*D7009,0)</f>
      </c>
      <c r="L7009" s="29">
        <f>IFERROR(E7009*C7009,0)</f>
      </c>
      <c r="M7009" s="29">
        <f>IFERROR((G7009*H7009*I7009/1000000)*D7009,0)</f>
      </c>
    </row>
    <row r="7010" spans="1:13" x14ac:dyDescent="0.25">
      <c r="A7010" s="16"/>
      <c r="E7010" s="27"/>
      <c r="F7010" t="s">
        <v>26</v>
      </c>
      <c r="G7010" s="28">
        <f>IFERROR(VLOOKUP(F7010,CARTON_LOOKUP!$A:$E,3,0),"")</f>
      </c>
      <c r="H7010" s="28">
        <f>IFERROR(VLOOKUP(F7010,CARTON_LOOKUP!$A:$E,4,0),"")</f>
      </c>
      <c r="I7010" s="28">
        <f>IFERROR(VLOOKUP(F7010,CARTON_LOOKUP!$A:$E,5,0),"")</f>
      </c>
      <c r="J7010" s="29">
        <f>IFERROR(VLOOKUP(F7010,CARTON_LOOKUP!$A:$E,2,0),"")</f>
      </c>
      <c r="K7010" s="29">
        <f>IFERROR(J7010*D7010,0)</f>
      </c>
      <c r="L7010" s="29">
        <f>IFERROR(E7010*C7010,0)</f>
      </c>
      <c r="M7010" s="29">
        <f>IFERROR((G7010*H7010*I7010/1000000)*D7010,0)</f>
      </c>
    </row>
    <row r="7011" spans="1:13" x14ac:dyDescent="0.25">
      <c r="A7011" s="16"/>
      <c r="E7011" s="27"/>
      <c r="F7011" t="s">
        <v>26</v>
      </c>
      <c r="G7011" s="28">
        <f>IFERROR(VLOOKUP(F7011,CARTON_LOOKUP!$A:$E,3,0),"")</f>
      </c>
      <c r="H7011" s="28">
        <f>IFERROR(VLOOKUP(F7011,CARTON_LOOKUP!$A:$E,4,0),"")</f>
      </c>
      <c r="I7011" s="28">
        <f>IFERROR(VLOOKUP(F7011,CARTON_LOOKUP!$A:$E,5,0),"")</f>
      </c>
      <c r="J7011" s="29">
        <f>IFERROR(VLOOKUP(F7011,CARTON_LOOKUP!$A:$E,2,0),"")</f>
      </c>
      <c r="K7011" s="29">
        <f>IFERROR(J7011*D7011,0)</f>
      </c>
      <c r="L7011" s="29">
        <f>IFERROR(E7011*C7011,0)</f>
      </c>
      <c r="M7011" s="29">
        <f>IFERROR((G7011*H7011*I7011/1000000)*D7011,0)</f>
      </c>
    </row>
    <row r="7012" spans="1:13" x14ac:dyDescent="0.25">
      <c r="A7012" s="16"/>
      <c r="E7012" s="27"/>
      <c r="F7012" t="s">
        <v>26</v>
      </c>
      <c r="G7012" s="28">
        <f>IFERROR(VLOOKUP(F7012,CARTON_LOOKUP!$A:$E,3,0),"")</f>
      </c>
      <c r="H7012" s="28">
        <f>IFERROR(VLOOKUP(F7012,CARTON_LOOKUP!$A:$E,4,0),"")</f>
      </c>
      <c r="I7012" s="28">
        <f>IFERROR(VLOOKUP(F7012,CARTON_LOOKUP!$A:$E,5,0),"")</f>
      </c>
      <c r="J7012" s="29">
        <f>IFERROR(VLOOKUP(F7012,CARTON_LOOKUP!$A:$E,2,0),"")</f>
      </c>
      <c r="K7012" s="29">
        <f>IFERROR(J7012*D7012,0)</f>
      </c>
      <c r="L7012" s="29">
        <f>IFERROR(E7012*C7012,0)</f>
      </c>
      <c r="M7012" s="29">
        <f>IFERROR((G7012*H7012*I7012/1000000)*D7012,0)</f>
      </c>
    </row>
    <row r="7013" spans="1:13" x14ac:dyDescent="0.25">
      <c r="A7013" s="16"/>
      <c r="E7013" s="27"/>
      <c r="F7013" t="s">
        <v>26</v>
      </c>
      <c r="G7013" s="28">
        <f>IFERROR(VLOOKUP(F7013,CARTON_LOOKUP!$A:$E,3,0),"")</f>
      </c>
      <c r="H7013" s="28">
        <f>IFERROR(VLOOKUP(F7013,CARTON_LOOKUP!$A:$E,4,0),"")</f>
      </c>
      <c r="I7013" s="28">
        <f>IFERROR(VLOOKUP(F7013,CARTON_LOOKUP!$A:$E,5,0),"")</f>
      </c>
      <c r="J7013" s="29">
        <f>IFERROR(VLOOKUP(F7013,CARTON_LOOKUP!$A:$E,2,0),"")</f>
      </c>
      <c r="K7013" s="29">
        <f>IFERROR(J7013*D7013,0)</f>
      </c>
      <c r="L7013" s="29">
        <f>IFERROR(E7013*C7013,0)</f>
      </c>
      <c r="M7013" s="29">
        <f>IFERROR((G7013*H7013*I7013/1000000)*D7013,0)</f>
      </c>
    </row>
    <row r="7014" spans="1:13" x14ac:dyDescent="0.25">
      <c r="A7014" s="16"/>
      <c r="E7014" s="27"/>
      <c r="F7014" t="s">
        <v>26</v>
      </c>
      <c r="G7014" s="28">
        <f>IFERROR(VLOOKUP(F7014,CARTON_LOOKUP!$A:$E,3,0),"")</f>
      </c>
      <c r="H7014" s="28">
        <f>IFERROR(VLOOKUP(F7014,CARTON_LOOKUP!$A:$E,4,0),"")</f>
      </c>
      <c r="I7014" s="28">
        <f>IFERROR(VLOOKUP(F7014,CARTON_LOOKUP!$A:$E,5,0),"")</f>
      </c>
      <c r="J7014" s="29">
        <f>IFERROR(VLOOKUP(F7014,CARTON_LOOKUP!$A:$E,2,0),"")</f>
      </c>
      <c r="K7014" s="29">
        <f>IFERROR(J7014*D7014,0)</f>
      </c>
      <c r="L7014" s="29">
        <f>IFERROR(E7014*C7014,0)</f>
      </c>
      <c r="M7014" s="29">
        <f>IFERROR((G7014*H7014*I7014/1000000)*D7014,0)</f>
      </c>
    </row>
    <row r="7015" spans="1:13" x14ac:dyDescent="0.25">
      <c r="A7015" s="16"/>
      <c r="E7015" s="27"/>
      <c r="F7015" t="s">
        <v>26</v>
      </c>
      <c r="G7015" s="28">
        <f>IFERROR(VLOOKUP(F7015,CARTON_LOOKUP!$A:$E,3,0),"")</f>
      </c>
      <c r="H7015" s="28">
        <f>IFERROR(VLOOKUP(F7015,CARTON_LOOKUP!$A:$E,4,0),"")</f>
      </c>
      <c r="I7015" s="28">
        <f>IFERROR(VLOOKUP(F7015,CARTON_LOOKUP!$A:$E,5,0),"")</f>
      </c>
      <c r="J7015" s="29">
        <f>IFERROR(VLOOKUP(F7015,CARTON_LOOKUP!$A:$E,2,0),"")</f>
      </c>
      <c r="K7015" s="29">
        <f>IFERROR(J7015*D7015,0)</f>
      </c>
      <c r="L7015" s="29">
        <f>IFERROR(E7015*C7015,0)</f>
      </c>
      <c r="M7015" s="29">
        <f>IFERROR((G7015*H7015*I7015/1000000)*D7015,0)</f>
      </c>
    </row>
    <row r="7016" spans="1:13" x14ac:dyDescent="0.25">
      <c r="A7016" s="16"/>
      <c r="E7016" s="27"/>
      <c r="F7016" t="s">
        <v>26</v>
      </c>
      <c r="G7016" s="28">
        <f>IFERROR(VLOOKUP(F7016,CARTON_LOOKUP!$A:$E,3,0),"")</f>
      </c>
      <c r="H7016" s="28">
        <f>IFERROR(VLOOKUP(F7016,CARTON_LOOKUP!$A:$E,4,0),"")</f>
      </c>
      <c r="I7016" s="28">
        <f>IFERROR(VLOOKUP(F7016,CARTON_LOOKUP!$A:$E,5,0),"")</f>
      </c>
      <c r="J7016" s="29">
        <f>IFERROR(VLOOKUP(F7016,CARTON_LOOKUP!$A:$E,2,0),"")</f>
      </c>
      <c r="K7016" s="29">
        <f>IFERROR(J7016*D7016,0)</f>
      </c>
      <c r="L7016" s="29">
        <f>IFERROR(E7016*C7016,0)</f>
      </c>
      <c r="M7016" s="29">
        <f>IFERROR((G7016*H7016*I7016/1000000)*D7016,0)</f>
      </c>
    </row>
    <row r="7017" spans="1:13" x14ac:dyDescent="0.25">
      <c r="A7017" s="16"/>
      <c r="E7017" s="27"/>
      <c r="F7017" t="s">
        <v>26</v>
      </c>
      <c r="G7017" s="28">
        <f>IFERROR(VLOOKUP(F7017,CARTON_LOOKUP!$A:$E,3,0),"")</f>
      </c>
      <c r="H7017" s="28">
        <f>IFERROR(VLOOKUP(F7017,CARTON_LOOKUP!$A:$E,4,0),"")</f>
      </c>
      <c r="I7017" s="28">
        <f>IFERROR(VLOOKUP(F7017,CARTON_LOOKUP!$A:$E,5,0),"")</f>
      </c>
      <c r="J7017" s="29">
        <f>IFERROR(VLOOKUP(F7017,CARTON_LOOKUP!$A:$E,2,0),"")</f>
      </c>
      <c r="K7017" s="29">
        <f>IFERROR(J7017*D7017,0)</f>
      </c>
      <c r="L7017" s="29">
        <f>IFERROR(E7017*C7017,0)</f>
      </c>
      <c r="M7017" s="29">
        <f>IFERROR((G7017*H7017*I7017/1000000)*D7017,0)</f>
      </c>
    </row>
    <row r="7018" spans="1:13" x14ac:dyDescent="0.25">
      <c r="A7018" s="16"/>
      <c r="E7018" s="27"/>
      <c r="F7018" t="s">
        <v>26</v>
      </c>
      <c r="G7018" s="28">
        <f>IFERROR(VLOOKUP(F7018,CARTON_LOOKUP!$A:$E,3,0),"")</f>
      </c>
      <c r="H7018" s="28">
        <f>IFERROR(VLOOKUP(F7018,CARTON_LOOKUP!$A:$E,4,0),"")</f>
      </c>
      <c r="I7018" s="28">
        <f>IFERROR(VLOOKUP(F7018,CARTON_LOOKUP!$A:$E,5,0),"")</f>
      </c>
      <c r="J7018" s="29">
        <f>IFERROR(VLOOKUP(F7018,CARTON_LOOKUP!$A:$E,2,0),"")</f>
      </c>
      <c r="K7018" s="29">
        <f>IFERROR(J7018*D7018,0)</f>
      </c>
      <c r="L7018" s="29">
        <f>IFERROR(E7018*C7018,0)</f>
      </c>
      <c r="M7018" s="29">
        <f>IFERROR((G7018*H7018*I7018/1000000)*D7018,0)</f>
      </c>
    </row>
    <row r="7019" spans="1:13" x14ac:dyDescent="0.25">
      <c r="A7019" s="16"/>
      <c r="E7019" s="27"/>
      <c r="F7019" t="s">
        <v>26</v>
      </c>
      <c r="G7019" s="28">
        <f>IFERROR(VLOOKUP(F7019,CARTON_LOOKUP!$A:$E,3,0),"")</f>
      </c>
      <c r="H7019" s="28">
        <f>IFERROR(VLOOKUP(F7019,CARTON_LOOKUP!$A:$E,4,0),"")</f>
      </c>
      <c r="I7019" s="28">
        <f>IFERROR(VLOOKUP(F7019,CARTON_LOOKUP!$A:$E,5,0),"")</f>
      </c>
      <c r="J7019" s="29">
        <f>IFERROR(VLOOKUP(F7019,CARTON_LOOKUP!$A:$E,2,0),"")</f>
      </c>
      <c r="K7019" s="29">
        <f>IFERROR(J7019*D7019,0)</f>
      </c>
      <c r="L7019" s="29">
        <f>IFERROR(E7019*C7019,0)</f>
      </c>
      <c r="M7019" s="29">
        <f>IFERROR((G7019*H7019*I7019/1000000)*D7019,0)</f>
      </c>
    </row>
    <row r="7020" spans="1:13" x14ac:dyDescent="0.25">
      <c r="A7020" s="16"/>
      <c r="E7020" s="27"/>
      <c r="F7020" t="s">
        <v>26</v>
      </c>
      <c r="G7020" s="28">
        <f>IFERROR(VLOOKUP(F7020,CARTON_LOOKUP!$A:$E,3,0),"")</f>
      </c>
      <c r="H7020" s="28">
        <f>IFERROR(VLOOKUP(F7020,CARTON_LOOKUP!$A:$E,4,0),"")</f>
      </c>
      <c r="I7020" s="28">
        <f>IFERROR(VLOOKUP(F7020,CARTON_LOOKUP!$A:$E,5,0),"")</f>
      </c>
      <c r="J7020" s="29">
        <f>IFERROR(VLOOKUP(F7020,CARTON_LOOKUP!$A:$E,2,0),"")</f>
      </c>
      <c r="K7020" s="29">
        <f>IFERROR(J7020*D7020,0)</f>
      </c>
      <c r="L7020" s="29">
        <f>IFERROR(E7020*C7020,0)</f>
      </c>
      <c r="M7020" s="29">
        <f>IFERROR((G7020*H7020*I7020/1000000)*D7020,0)</f>
      </c>
    </row>
    <row r="7021" spans="1:13" x14ac:dyDescent="0.25">
      <c r="A7021" s="16"/>
      <c r="E7021" s="27"/>
      <c r="F7021" t="s">
        <v>26</v>
      </c>
      <c r="G7021" s="28">
        <f>IFERROR(VLOOKUP(F7021,CARTON_LOOKUP!$A:$E,3,0),"")</f>
      </c>
      <c r="H7021" s="28">
        <f>IFERROR(VLOOKUP(F7021,CARTON_LOOKUP!$A:$E,4,0),"")</f>
      </c>
      <c r="I7021" s="28">
        <f>IFERROR(VLOOKUP(F7021,CARTON_LOOKUP!$A:$E,5,0),"")</f>
      </c>
      <c r="J7021" s="29">
        <f>IFERROR(VLOOKUP(F7021,CARTON_LOOKUP!$A:$E,2,0),"")</f>
      </c>
      <c r="K7021" s="29">
        <f>IFERROR(J7021*D7021,0)</f>
      </c>
      <c r="L7021" s="29">
        <f>IFERROR(E7021*C7021,0)</f>
      </c>
      <c r="M7021" s="29">
        <f>IFERROR((G7021*H7021*I7021/1000000)*D7021,0)</f>
      </c>
    </row>
    <row r="7022" spans="1:13" x14ac:dyDescent="0.25">
      <c r="A7022" s="16"/>
      <c r="E7022" s="27"/>
      <c r="F7022" t="s">
        <v>26</v>
      </c>
      <c r="G7022" s="28">
        <f>IFERROR(VLOOKUP(F7022,CARTON_LOOKUP!$A:$E,3,0),"")</f>
      </c>
      <c r="H7022" s="28">
        <f>IFERROR(VLOOKUP(F7022,CARTON_LOOKUP!$A:$E,4,0),"")</f>
      </c>
      <c r="I7022" s="28">
        <f>IFERROR(VLOOKUP(F7022,CARTON_LOOKUP!$A:$E,5,0),"")</f>
      </c>
      <c r="J7022" s="29">
        <f>IFERROR(VLOOKUP(F7022,CARTON_LOOKUP!$A:$E,2,0),"")</f>
      </c>
      <c r="K7022" s="29">
        <f>IFERROR(J7022*D7022,0)</f>
      </c>
      <c r="L7022" s="29">
        <f>IFERROR(E7022*C7022,0)</f>
      </c>
      <c r="M7022" s="29">
        <f>IFERROR((G7022*H7022*I7022/1000000)*D7022,0)</f>
      </c>
    </row>
    <row r="7023" spans="1:13" x14ac:dyDescent="0.25">
      <c r="A7023" s="16"/>
      <c r="E7023" s="27"/>
      <c r="F7023" t="s">
        <v>26</v>
      </c>
      <c r="G7023" s="28">
        <f>IFERROR(VLOOKUP(F7023,CARTON_LOOKUP!$A:$E,3,0),"")</f>
      </c>
      <c r="H7023" s="28">
        <f>IFERROR(VLOOKUP(F7023,CARTON_LOOKUP!$A:$E,4,0),"")</f>
      </c>
      <c r="I7023" s="28">
        <f>IFERROR(VLOOKUP(F7023,CARTON_LOOKUP!$A:$E,5,0),"")</f>
      </c>
      <c r="J7023" s="29">
        <f>IFERROR(VLOOKUP(F7023,CARTON_LOOKUP!$A:$E,2,0),"")</f>
      </c>
      <c r="K7023" s="29">
        <f>IFERROR(J7023*D7023,0)</f>
      </c>
      <c r="L7023" s="29">
        <f>IFERROR(E7023*C7023,0)</f>
      </c>
      <c r="M7023" s="29">
        <f>IFERROR((G7023*H7023*I7023/1000000)*D7023,0)</f>
      </c>
    </row>
    <row r="7024" spans="1:13" x14ac:dyDescent="0.25">
      <c r="A7024" s="16"/>
      <c r="E7024" s="27"/>
      <c r="F7024" t="s">
        <v>26</v>
      </c>
      <c r="G7024" s="28">
        <f>IFERROR(VLOOKUP(F7024,CARTON_LOOKUP!$A:$E,3,0),"")</f>
      </c>
      <c r="H7024" s="28">
        <f>IFERROR(VLOOKUP(F7024,CARTON_LOOKUP!$A:$E,4,0),"")</f>
      </c>
      <c r="I7024" s="28">
        <f>IFERROR(VLOOKUP(F7024,CARTON_LOOKUP!$A:$E,5,0),"")</f>
      </c>
      <c r="J7024" s="29">
        <f>IFERROR(VLOOKUP(F7024,CARTON_LOOKUP!$A:$E,2,0),"")</f>
      </c>
      <c r="K7024" s="29">
        <f>IFERROR(J7024*D7024,0)</f>
      </c>
      <c r="L7024" s="29">
        <f>IFERROR(E7024*C7024,0)</f>
      </c>
      <c r="M7024" s="29">
        <f>IFERROR((G7024*H7024*I7024/1000000)*D7024,0)</f>
      </c>
    </row>
    <row r="7025" spans="1:13" x14ac:dyDescent="0.25">
      <c r="A7025" s="16"/>
      <c r="E7025" s="27"/>
      <c r="F7025" t="s">
        <v>26</v>
      </c>
      <c r="G7025" s="28">
        <f>IFERROR(VLOOKUP(F7025,CARTON_LOOKUP!$A:$E,3,0),"")</f>
      </c>
      <c r="H7025" s="28">
        <f>IFERROR(VLOOKUP(F7025,CARTON_LOOKUP!$A:$E,4,0),"")</f>
      </c>
      <c r="I7025" s="28">
        <f>IFERROR(VLOOKUP(F7025,CARTON_LOOKUP!$A:$E,5,0),"")</f>
      </c>
      <c r="J7025" s="29">
        <f>IFERROR(VLOOKUP(F7025,CARTON_LOOKUP!$A:$E,2,0),"")</f>
      </c>
      <c r="K7025" s="29">
        <f>IFERROR(J7025*D7025,0)</f>
      </c>
      <c r="L7025" s="29">
        <f>IFERROR(E7025*C7025,0)</f>
      </c>
      <c r="M7025" s="29">
        <f>IFERROR((G7025*H7025*I7025/1000000)*D7025,0)</f>
      </c>
    </row>
    <row r="7026" spans="1:13" x14ac:dyDescent="0.25">
      <c r="A7026" s="16"/>
      <c r="E7026" s="27"/>
      <c r="F7026" t="s">
        <v>26</v>
      </c>
      <c r="G7026" s="28">
        <f>IFERROR(VLOOKUP(F7026,CARTON_LOOKUP!$A:$E,3,0),"")</f>
      </c>
      <c r="H7026" s="28">
        <f>IFERROR(VLOOKUP(F7026,CARTON_LOOKUP!$A:$E,4,0),"")</f>
      </c>
      <c r="I7026" s="28">
        <f>IFERROR(VLOOKUP(F7026,CARTON_LOOKUP!$A:$E,5,0),"")</f>
      </c>
      <c r="J7026" s="29">
        <f>IFERROR(VLOOKUP(F7026,CARTON_LOOKUP!$A:$E,2,0),"")</f>
      </c>
      <c r="K7026" s="29">
        <f>IFERROR(J7026*D7026,0)</f>
      </c>
      <c r="L7026" s="29">
        <f>IFERROR(E7026*C7026,0)</f>
      </c>
      <c r="M7026" s="29">
        <f>IFERROR((G7026*H7026*I7026/1000000)*D7026,0)</f>
      </c>
    </row>
    <row r="7027" spans="1:13" x14ac:dyDescent="0.25">
      <c r="A7027" s="16"/>
      <c r="E7027" s="27"/>
      <c r="F7027" t="s">
        <v>26</v>
      </c>
      <c r="G7027" s="28">
        <f>IFERROR(VLOOKUP(F7027,CARTON_LOOKUP!$A:$E,3,0),"")</f>
      </c>
      <c r="H7027" s="28">
        <f>IFERROR(VLOOKUP(F7027,CARTON_LOOKUP!$A:$E,4,0),"")</f>
      </c>
      <c r="I7027" s="28">
        <f>IFERROR(VLOOKUP(F7027,CARTON_LOOKUP!$A:$E,5,0),"")</f>
      </c>
      <c r="J7027" s="29">
        <f>IFERROR(VLOOKUP(F7027,CARTON_LOOKUP!$A:$E,2,0),"")</f>
      </c>
      <c r="K7027" s="29">
        <f>IFERROR(J7027*D7027,0)</f>
      </c>
      <c r="L7027" s="29">
        <f>IFERROR(E7027*C7027,0)</f>
      </c>
      <c r="M7027" s="29">
        <f>IFERROR((G7027*H7027*I7027/1000000)*D7027,0)</f>
      </c>
    </row>
    <row r="7028" spans="1:13" x14ac:dyDescent="0.25">
      <c r="A7028" s="16"/>
      <c r="E7028" s="27"/>
      <c r="F7028" t="s">
        <v>26</v>
      </c>
      <c r="G7028" s="28">
        <f>IFERROR(VLOOKUP(F7028,CARTON_LOOKUP!$A:$E,3,0),"")</f>
      </c>
      <c r="H7028" s="28">
        <f>IFERROR(VLOOKUP(F7028,CARTON_LOOKUP!$A:$E,4,0),"")</f>
      </c>
      <c r="I7028" s="28">
        <f>IFERROR(VLOOKUP(F7028,CARTON_LOOKUP!$A:$E,5,0),"")</f>
      </c>
      <c r="J7028" s="29">
        <f>IFERROR(VLOOKUP(F7028,CARTON_LOOKUP!$A:$E,2,0),"")</f>
      </c>
      <c r="K7028" s="29">
        <f>IFERROR(J7028*D7028,0)</f>
      </c>
      <c r="L7028" s="29">
        <f>IFERROR(E7028*C7028,0)</f>
      </c>
      <c r="M7028" s="29">
        <f>IFERROR((G7028*H7028*I7028/1000000)*D7028,0)</f>
      </c>
    </row>
    <row r="7029" spans="1:13" x14ac:dyDescent="0.25">
      <c r="A7029" s="16"/>
      <c r="E7029" s="27"/>
      <c r="F7029" t="s">
        <v>26</v>
      </c>
      <c r="G7029" s="28">
        <f>IFERROR(VLOOKUP(F7029,CARTON_LOOKUP!$A:$E,3,0),"")</f>
      </c>
      <c r="H7029" s="28">
        <f>IFERROR(VLOOKUP(F7029,CARTON_LOOKUP!$A:$E,4,0),"")</f>
      </c>
      <c r="I7029" s="28">
        <f>IFERROR(VLOOKUP(F7029,CARTON_LOOKUP!$A:$E,5,0),"")</f>
      </c>
      <c r="J7029" s="29">
        <f>IFERROR(VLOOKUP(F7029,CARTON_LOOKUP!$A:$E,2,0),"")</f>
      </c>
      <c r="K7029" s="29">
        <f>IFERROR(J7029*D7029,0)</f>
      </c>
      <c r="L7029" s="29">
        <f>IFERROR(E7029*C7029,0)</f>
      </c>
      <c r="M7029" s="29">
        <f>IFERROR((G7029*H7029*I7029/1000000)*D7029,0)</f>
      </c>
    </row>
    <row r="7030" spans="1:13" x14ac:dyDescent="0.25">
      <c r="A7030" s="16"/>
      <c r="E7030" s="27"/>
      <c r="F7030" t="s">
        <v>26</v>
      </c>
      <c r="G7030" s="28">
        <f>IFERROR(VLOOKUP(F7030,CARTON_LOOKUP!$A:$E,3,0),"")</f>
      </c>
      <c r="H7030" s="28">
        <f>IFERROR(VLOOKUP(F7030,CARTON_LOOKUP!$A:$E,4,0),"")</f>
      </c>
      <c r="I7030" s="28">
        <f>IFERROR(VLOOKUP(F7030,CARTON_LOOKUP!$A:$E,5,0),"")</f>
      </c>
      <c r="J7030" s="29">
        <f>IFERROR(VLOOKUP(F7030,CARTON_LOOKUP!$A:$E,2,0),"")</f>
      </c>
      <c r="K7030" s="29">
        <f>IFERROR(J7030*D7030,0)</f>
      </c>
      <c r="L7030" s="29">
        <f>IFERROR(E7030*C7030,0)</f>
      </c>
      <c r="M7030" s="29">
        <f>IFERROR((G7030*H7030*I7030/1000000)*D7030,0)</f>
      </c>
    </row>
    <row r="7031" spans="1:13" x14ac:dyDescent="0.25">
      <c r="A7031" s="16"/>
      <c r="E7031" s="27"/>
      <c r="F7031" t="s">
        <v>26</v>
      </c>
      <c r="G7031" s="28">
        <f>IFERROR(VLOOKUP(F7031,CARTON_LOOKUP!$A:$E,3,0),"")</f>
      </c>
      <c r="H7031" s="28">
        <f>IFERROR(VLOOKUP(F7031,CARTON_LOOKUP!$A:$E,4,0),"")</f>
      </c>
      <c r="I7031" s="28">
        <f>IFERROR(VLOOKUP(F7031,CARTON_LOOKUP!$A:$E,5,0),"")</f>
      </c>
      <c r="J7031" s="29">
        <f>IFERROR(VLOOKUP(F7031,CARTON_LOOKUP!$A:$E,2,0),"")</f>
      </c>
      <c r="K7031" s="29">
        <f>IFERROR(J7031*D7031,0)</f>
      </c>
      <c r="L7031" s="29">
        <f>IFERROR(E7031*C7031,0)</f>
      </c>
      <c r="M7031" s="29">
        <f>IFERROR((G7031*H7031*I7031/1000000)*D7031,0)</f>
      </c>
    </row>
    <row r="7032" spans="1:13" x14ac:dyDescent="0.25">
      <c r="A7032" s="16"/>
      <c r="E7032" s="27"/>
      <c r="F7032" t="s">
        <v>26</v>
      </c>
      <c r="G7032" s="28">
        <f>IFERROR(VLOOKUP(F7032,CARTON_LOOKUP!$A:$E,3,0),"")</f>
      </c>
      <c r="H7032" s="28">
        <f>IFERROR(VLOOKUP(F7032,CARTON_LOOKUP!$A:$E,4,0),"")</f>
      </c>
      <c r="I7032" s="28">
        <f>IFERROR(VLOOKUP(F7032,CARTON_LOOKUP!$A:$E,5,0),"")</f>
      </c>
      <c r="J7032" s="29">
        <f>IFERROR(VLOOKUP(F7032,CARTON_LOOKUP!$A:$E,2,0),"")</f>
      </c>
      <c r="K7032" s="29">
        <f>IFERROR(J7032*D7032,0)</f>
      </c>
      <c r="L7032" s="29">
        <f>IFERROR(E7032*C7032,0)</f>
      </c>
      <c r="M7032" s="29">
        <f>IFERROR((G7032*H7032*I7032/1000000)*D7032,0)</f>
      </c>
    </row>
    <row r="7033" spans="1:13" x14ac:dyDescent="0.25">
      <c r="A7033" s="16"/>
      <c r="E7033" s="27"/>
      <c r="F7033" t="s">
        <v>26</v>
      </c>
      <c r="G7033" s="28">
        <f>IFERROR(VLOOKUP(F7033,CARTON_LOOKUP!$A:$E,3,0),"")</f>
      </c>
      <c r="H7033" s="28">
        <f>IFERROR(VLOOKUP(F7033,CARTON_LOOKUP!$A:$E,4,0),"")</f>
      </c>
      <c r="I7033" s="28">
        <f>IFERROR(VLOOKUP(F7033,CARTON_LOOKUP!$A:$E,5,0),"")</f>
      </c>
      <c r="J7033" s="29">
        <f>IFERROR(VLOOKUP(F7033,CARTON_LOOKUP!$A:$E,2,0),"")</f>
      </c>
      <c r="K7033" s="29">
        <f>IFERROR(J7033*D7033,0)</f>
      </c>
      <c r="L7033" s="29">
        <f>IFERROR(E7033*C7033,0)</f>
      </c>
      <c r="M7033" s="29">
        <f>IFERROR((G7033*H7033*I7033/1000000)*D7033,0)</f>
      </c>
    </row>
    <row r="7034" spans="1:13" x14ac:dyDescent="0.25">
      <c r="A7034" s="16"/>
      <c r="E7034" s="27"/>
      <c r="F7034" t="s">
        <v>26</v>
      </c>
      <c r="G7034" s="28">
        <f>IFERROR(VLOOKUP(F7034,CARTON_LOOKUP!$A:$E,3,0),"")</f>
      </c>
      <c r="H7034" s="28">
        <f>IFERROR(VLOOKUP(F7034,CARTON_LOOKUP!$A:$E,4,0),"")</f>
      </c>
      <c r="I7034" s="28">
        <f>IFERROR(VLOOKUP(F7034,CARTON_LOOKUP!$A:$E,5,0),"")</f>
      </c>
      <c r="J7034" s="29">
        <f>IFERROR(VLOOKUP(F7034,CARTON_LOOKUP!$A:$E,2,0),"")</f>
      </c>
      <c r="K7034" s="29">
        <f>IFERROR(J7034*D7034,0)</f>
      </c>
      <c r="L7034" s="29">
        <f>IFERROR(E7034*C7034,0)</f>
      </c>
      <c r="M7034" s="29">
        <f>IFERROR((G7034*H7034*I7034/1000000)*D7034,0)</f>
      </c>
    </row>
    <row r="7035" spans="1:13" x14ac:dyDescent="0.25">
      <c r="A7035" s="16"/>
      <c r="E7035" s="27"/>
      <c r="F7035" t="s">
        <v>26</v>
      </c>
      <c r="G7035" s="28">
        <f>IFERROR(VLOOKUP(F7035,CARTON_LOOKUP!$A:$E,3,0),"")</f>
      </c>
      <c r="H7035" s="28">
        <f>IFERROR(VLOOKUP(F7035,CARTON_LOOKUP!$A:$E,4,0),"")</f>
      </c>
      <c r="I7035" s="28">
        <f>IFERROR(VLOOKUP(F7035,CARTON_LOOKUP!$A:$E,5,0),"")</f>
      </c>
      <c r="J7035" s="29">
        <f>IFERROR(VLOOKUP(F7035,CARTON_LOOKUP!$A:$E,2,0),"")</f>
      </c>
      <c r="K7035" s="29">
        <f>IFERROR(J7035*D7035,0)</f>
      </c>
      <c r="L7035" s="29">
        <f>IFERROR(E7035*C7035,0)</f>
      </c>
      <c r="M7035" s="29">
        <f>IFERROR((G7035*H7035*I7035/1000000)*D7035,0)</f>
      </c>
    </row>
    <row r="7036" spans="1:13" x14ac:dyDescent="0.25">
      <c r="A7036" s="16"/>
      <c r="E7036" s="27"/>
      <c r="F7036" t="s">
        <v>26</v>
      </c>
      <c r="G7036" s="28">
        <f>IFERROR(VLOOKUP(F7036,CARTON_LOOKUP!$A:$E,3,0),"")</f>
      </c>
      <c r="H7036" s="28">
        <f>IFERROR(VLOOKUP(F7036,CARTON_LOOKUP!$A:$E,4,0),"")</f>
      </c>
      <c r="I7036" s="28">
        <f>IFERROR(VLOOKUP(F7036,CARTON_LOOKUP!$A:$E,5,0),"")</f>
      </c>
      <c r="J7036" s="29">
        <f>IFERROR(VLOOKUP(F7036,CARTON_LOOKUP!$A:$E,2,0),"")</f>
      </c>
      <c r="K7036" s="29">
        <f>IFERROR(J7036*D7036,0)</f>
      </c>
      <c r="L7036" s="29">
        <f>IFERROR(E7036*C7036,0)</f>
      </c>
      <c r="M7036" s="29">
        <f>IFERROR((G7036*H7036*I7036/1000000)*D7036,0)</f>
      </c>
    </row>
    <row r="7037" spans="1:13" x14ac:dyDescent="0.25">
      <c r="A7037" s="16"/>
      <c r="E7037" s="27"/>
      <c r="F7037" t="s">
        <v>26</v>
      </c>
      <c r="G7037" s="28">
        <f>IFERROR(VLOOKUP(F7037,CARTON_LOOKUP!$A:$E,3,0),"")</f>
      </c>
      <c r="H7037" s="28">
        <f>IFERROR(VLOOKUP(F7037,CARTON_LOOKUP!$A:$E,4,0),"")</f>
      </c>
      <c r="I7037" s="28">
        <f>IFERROR(VLOOKUP(F7037,CARTON_LOOKUP!$A:$E,5,0),"")</f>
      </c>
      <c r="J7037" s="29">
        <f>IFERROR(VLOOKUP(F7037,CARTON_LOOKUP!$A:$E,2,0),"")</f>
      </c>
      <c r="K7037" s="29">
        <f>IFERROR(J7037*D7037,0)</f>
      </c>
      <c r="L7037" s="29">
        <f>IFERROR(E7037*C7037,0)</f>
      </c>
      <c r="M7037" s="29">
        <f>IFERROR((G7037*H7037*I7037/1000000)*D7037,0)</f>
      </c>
    </row>
    <row r="7038" spans="1:13" x14ac:dyDescent="0.25">
      <c r="A7038" s="16"/>
      <c r="E7038" s="27"/>
      <c r="F7038" t="s">
        <v>26</v>
      </c>
      <c r="G7038" s="28">
        <f>IFERROR(VLOOKUP(F7038,CARTON_LOOKUP!$A:$E,3,0),"")</f>
      </c>
      <c r="H7038" s="28">
        <f>IFERROR(VLOOKUP(F7038,CARTON_LOOKUP!$A:$E,4,0),"")</f>
      </c>
      <c r="I7038" s="28">
        <f>IFERROR(VLOOKUP(F7038,CARTON_LOOKUP!$A:$E,5,0),"")</f>
      </c>
      <c r="J7038" s="29">
        <f>IFERROR(VLOOKUP(F7038,CARTON_LOOKUP!$A:$E,2,0),"")</f>
      </c>
      <c r="K7038" s="29">
        <f>IFERROR(J7038*D7038,0)</f>
      </c>
      <c r="L7038" s="29">
        <f>IFERROR(E7038*C7038,0)</f>
      </c>
      <c r="M7038" s="29">
        <f>IFERROR((G7038*H7038*I7038/1000000)*D7038,0)</f>
      </c>
    </row>
    <row r="7039" spans="1:13" x14ac:dyDescent="0.25">
      <c r="A7039" s="16"/>
      <c r="E7039" s="27"/>
      <c r="F7039" t="s">
        <v>26</v>
      </c>
      <c r="G7039" s="28">
        <f>IFERROR(VLOOKUP(F7039,CARTON_LOOKUP!$A:$E,3,0),"")</f>
      </c>
      <c r="H7039" s="28">
        <f>IFERROR(VLOOKUP(F7039,CARTON_LOOKUP!$A:$E,4,0),"")</f>
      </c>
      <c r="I7039" s="28">
        <f>IFERROR(VLOOKUP(F7039,CARTON_LOOKUP!$A:$E,5,0),"")</f>
      </c>
      <c r="J7039" s="29">
        <f>IFERROR(VLOOKUP(F7039,CARTON_LOOKUP!$A:$E,2,0),"")</f>
      </c>
      <c r="K7039" s="29">
        <f>IFERROR(J7039*D7039,0)</f>
      </c>
      <c r="L7039" s="29">
        <f>IFERROR(E7039*C7039,0)</f>
      </c>
      <c r="M7039" s="29">
        <f>IFERROR((G7039*H7039*I7039/1000000)*D7039,0)</f>
      </c>
    </row>
    <row r="7040" spans="1:13" x14ac:dyDescent="0.25">
      <c r="A7040" s="16"/>
      <c r="E7040" s="27"/>
      <c r="F7040" t="s">
        <v>26</v>
      </c>
      <c r="G7040" s="28">
        <f>IFERROR(VLOOKUP(F7040,CARTON_LOOKUP!$A:$E,3,0),"")</f>
      </c>
      <c r="H7040" s="28">
        <f>IFERROR(VLOOKUP(F7040,CARTON_LOOKUP!$A:$E,4,0),"")</f>
      </c>
      <c r="I7040" s="28">
        <f>IFERROR(VLOOKUP(F7040,CARTON_LOOKUP!$A:$E,5,0),"")</f>
      </c>
      <c r="J7040" s="29">
        <f>IFERROR(VLOOKUP(F7040,CARTON_LOOKUP!$A:$E,2,0),"")</f>
      </c>
      <c r="K7040" s="29">
        <f>IFERROR(J7040*D7040,0)</f>
      </c>
      <c r="L7040" s="29">
        <f>IFERROR(E7040*C7040,0)</f>
      </c>
      <c r="M7040" s="29">
        <f>IFERROR((G7040*H7040*I7040/1000000)*D7040,0)</f>
      </c>
    </row>
    <row r="7041" spans="1:13" x14ac:dyDescent="0.25">
      <c r="A7041" s="16"/>
      <c r="E7041" s="27"/>
      <c r="F7041" t="s">
        <v>26</v>
      </c>
      <c r="G7041" s="28">
        <f>IFERROR(VLOOKUP(F7041,CARTON_LOOKUP!$A:$E,3,0),"")</f>
      </c>
      <c r="H7041" s="28">
        <f>IFERROR(VLOOKUP(F7041,CARTON_LOOKUP!$A:$E,4,0),"")</f>
      </c>
      <c r="I7041" s="28">
        <f>IFERROR(VLOOKUP(F7041,CARTON_LOOKUP!$A:$E,5,0),"")</f>
      </c>
      <c r="J7041" s="29">
        <f>IFERROR(VLOOKUP(F7041,CARTON_LOOKUP!$A:$E,2,0),"")</f>
      </c>
      <c r="K7041" s="29">
        <f>IFERROR(J7041*D7041,0)</f>
      </c>
      <c r="L7041" s="29">
        <f>IFERROR(E7041*C7041,0)</f>
      </c>
      <c r="M7041" s="29">
        <f>IFERROR((G7041*H7041*I7041/1000000)*D7041,0)</f>
      </c>
    </row>
    <row r="7042" spans="1:13" x14ac:dyDescent="0.25">
      <c r="A7042" s="16"/>
      <c r="E7042" s="27"/>
      <c r="F7042" t="s">
        <v>26</v>
      </c>
      <c r="G7042" s="28">
        <f>IFERROR(VLOOKUP(F7042,CARTON_LOOKUP!$A:$E,3,0),"")</f>
      </c>
      <c r="H7042" s="28">
        <f>IFERROR(VLOOKUP(F7042,CARTON_LOOKUP!$A:$E,4,0),"")</f>
      </c>
      <c r="I7042" s="28">
        <f>IFERROR(VLOOKUP(F7042,CARTON_LOOKUP!$A:$E,5,0),"")</f>
      </c>
      <c r="J7042" s="29">
        <f>IFERROR(VLOOKUP(F7042,CARTON_LOOKUP!$A:$E,2,0),"")</f>
      </c>
      <c r="K7042" s="29">
        <f>IFERROR(J7042*D7042,0)</f>
      </c>
      <c r="L7042" s="29">
        <f>IFERROR(E7042*C7042,0)</f>
      </c>
      <c r="M7042" s="29">
        <f>IFERROR((G7042*H7042*I7042/1000000)*D7042,0)</f>
      </c>
    </row>
    <row r="7043" spans="1:13" x14ac:dyDescent="0.25">
      <c r="A7043" s="16"/>
      <c r="E7043" s="27"/>
      <c r="F7043" t="s">
        <v>26</v>
      </c>
      <c r="G7043" s="28">
        <f>IFERROR(VLOOKUP(F7043,CARTON_LOOKUP!$A:$E,3,0),"")</f>
      </c>
      <c r="H7043" s="28">
        <f>IFERROR(VLOOKUP(F7043,CARTON_LOOKUP!$A:$E,4,0),"")</f>
      </c>
      <c r="I7043" s="28">
        <f>IFERROR(VLOOKUP(F7043,CARTON_LOOKUP!$A:$E,5,0),"")</f>
      </c>
      <c r="J7043" s="29">
        <f>IFERROR(VLOOKUP(F7043,CARTON_LOOKUP!$A:$E,2,0),"")</f>
      </c>
      <c r="K7043" s="29">
        <f>IFERROR(J7043*D7043,0)</f>
      </c>
      <c r="L7043" s="29">
        <f>IFERROR(E7043*C7043,0)</f>
      </c>
      <c r="M7043" s="29">
        <f>IFERROR((G7043*H7043*I7043/1000000)*D7043,0)</f>
      </c>
    </row>
    <row r="7044" spans="1:13" x14ac:dyDescent="0.25">
      <c r="A7044" s="16"/>
      <c r="E7044" s="27"/>
      <c r="F7044" t="s">
        <v>26</v>
      </c>
      <c r="G7044" s="28">
        <f>IFERROR(VLOOKUP(F7044,CARTON_LOOKUP!$A:$E,3,0),"")</f>
      </c>
      <c r="H7044" s="28">
        <f>IFERROR(VLOOKUP(F7044,CARTON_LOOKUP!$A:$E,4,0),"")</f>
      </c>
      <c r="I7044" s="28">
        <f>IFERROR(VLOOKUP(F7044,CARTON_LOOKUP!$A:$E,5,0),"")</f>
      </c>
      <c r="J7044" s="29">
        <f>IFERROR(VLOOKUP(F7044,CARTON_LOOKUP!$A:$E,2,0),"")</f>
      </c>
      <c r="K7044" s="29">
        <f>IFERROR(J7044*D7044,0)</f>
      </c>
      <c r="L7044" s="29">
        <f>IFERROR(E7044*C7044,0)</f>
      </c>
      <c r="M7044" s="29">
        <f>IFERROR((G7044*H7044*I7044/1000000)*D7044,0)</f>
      </c>
    </row>
    <row r="7045" spans="1:13" x14ac:dyDescent="0.25">
      <c r="A7045" s="16"/>
      <c r="E7045" s="27"/>
      <c r="F7045" t="s">
        <v>26</v>
      </c>
      <c r="G7045" s="28">
        <f>IFERROR(VLOOKUP(F7045,CARTON_LOOKUP!$A:$E,3,0),"")</f>
      </c>
      <c r="H7045" s="28">
        <f>IFERROR(VLOOKUP(F7045,CARTON_LOOKUP!$A:$E,4,0),"")</f>
      </c>
      <c r="I7045" s="28">
        <f>IFERROR(VLOOKUP(F7045,CARTON_LOOKUP!$A:$E,5,0),"")</f>
      </c>
      <c r="J7045" s="29">
        <f>IFERROR(VLOOKUP(F7045,CARTON_LOOKUP!$A:$E,2,0),"")</f>
      </c>
      <c r="K7045" s="29">
        <f>IFERROR(J7045*D7045,0)</f>
      </c>
      <c r="L7045" s="29">
        <f>IFERROR(E7045*C7045,0)</f>
      </c>
      <c r="M7045" s="29">
        <f>IFERROR((G7045*H7045*I7045/1000000)*D7045,0)</f>
      </c>
    </row>
    <row r="7046" spans="1:13" x14ac:dyDescent="0.25">
      <c r="A7046" s="16"/>
      <c r="E7046" s="27"/>
      <c r="F7046" t="s">
        <v>26</v>
      </c>
      <c r="G7046" s="28">
        <f>IFERROR(VLOOKUP(F7046,CARTON_LOOKUP!$A:$E,3,0),"")</f>
      </c>
      <c r="H7046" s="28">
        <f>IFERROR(VLOOKUP(F7046,CARTON_LOOKUP!$A:$E,4,0),"")</f>
      </c>
      <c r="I7046" s="28">
        <f>IFERROR(VLOOKUP(F7046,CARTON_LOOKUP!$A:$E,5,0),"")</f>
      </c>
      <c r="J7046" s="29">
        <f>IFERROR(VLOOKUP(F7046,CARTON_LOOKUP!$A:$E,2,0),"")</f>
      </c>
      <c r="K7046" s="29">
        <f>IFERROR(J7046*D7046,0)</f>
      </c>
      <c r="L7046" s="29">
        <f>IFERROR(E7046*C7046,0)</f>
      </c>
      <c r="M7046" s="29">
        <f>IFERROR((G7046*H7046*I7046/1000000)*D7046,0)</f>
      </c>
    </row>
    <row r="7047" spans="1:13" x14ac:dyDescent="0.25">
      <c r="A7047" s="16"/>
      <c r="E7047" s="27"/>
      <c r="F7047" t="s">
        <v>26</v>
      </c>
      <c r="G7047" s="28">
        <f>IFERROR(VLOOKUP(F7047,CARTON_LOOKUP!$A:$E,3,0),"")</f>
      </c>
      <c r="H7047" s="28">
        <f>IFERROR(VLOOKUP(F7047,CARTON_LOOKUP!$A:$E,4,0),"")</f>
      </c>
      <c r="I7047" s="28">
        <f>IFERROR(VLOOKUP(F7047,CARTON_LOOKUP!$A:$E,5,0),"")</f>
      </c>
      <c r="J7047" s="29">
        <f>IFERROR(VLOOKUP(F7047,CARTON_LOOKUP!$A:$E,2,0),"")</f>
      </c>
      <c r="K7047" s="29">
        <f>IFERROR(J7047*D7047,0)</f>
      </c>
      <c r="L7047" s="29">
        <f>IFERROR(E7047*C7047,0)</f>
      </c>
      <c r="M7047" s="29">
        <f>IFERROR((G7047*H7047*I7047/1000000)*D7047,0)</f>
      </c>
    </row>
    <row r="7048" spans="1:13" x14ac:dyDescent="0.25">
      <c r="A7048" s="16"/>
      <c r="E7048" s="27"/>
      <c r="F7048" t="s">
        <v>26</v>
      </c>
      <c r="G7048" s="28">
        <f>IFERROR(VLOOKUP(F7048,CARTON_LOOKUP!$A:$E,3,0),"")</f>
      </c>
      <c r="H7048" s="28">
        <f>IFERROR(VLOOKUP(F7048,CARTON_LOOKUP!$A:$E,4,0),"")</f>
      </c>
      <c r="I7048" s="28">
        <f>IFERROR(VLOOKUP(F7048,CARTON_LOOKUP!$A:$E,5,0),"")</f>
      </c>
      <c r="J7048" s="29">
        <f>IFERROR(VLOOKUP(F7048,CARTON_LOOKUP!$A:$E,2,0),"")</f>
      </c>
      <c r="K7048" s="29">
        <f>IFERROR(J7048*D7048,0)</f>
      </c>
      <c r="L7048" s="29">
        <f>IFERROR(E7048*C7048,0)</f>
      </c>
      <c r="M7048" s="29">
        <f>IFERROR((G7048*H7048*I7048/1000000)*D7048,0)</f>
      </c>
    </row>
    <row r="7049" spans="1:13" x14ac:dyDescent="0.25">
      <c r="A7049" s="16"/>
      <c r="E7049" s="27"/>
      <c r="F7049" t="s">
        <v>26</v>
      </c>
      <c r="G7049" s="28">
        <f>IFERROR(VLOOKUP(F7049,CARTON_LOOKUP!$A:$E,3,0),"")</f>
      </c>
      <c r="H7049" s="28">
        <f>IFERROR(VLOOKUP(F7049,CARTON_LOOKUP!$A:$E,4,0),"")</f>
      </c>
      <c r="I7049" s="28">
        <f>IFERROR(VLOOKUP(F7049,CARTON_LOOKUP!$A:$E,5,0),"")</f>
      </c>
      <c r="J7049" s="29">
        <f>IFERROR(VLOOKUP(F7049,CARTON_LOOKUP!$A:$E,2,0),"")</f>
      </c>
      <c r="K7049" s="29">
        <f>IFERROR(J7049*D7049,0)</f>
      </c>
      <c r="L7049" s="29">
        <f>IFERROR(E7049*C7049,0)</f>
      </c>
      <c r="M7049" s="29">
        <f>IFERROR((G7049*H7049*I7049/1000000)*D7049,0)</f>
      </c>
    </row>
    <row r="7050" spans="1:13" x14ac:dyDescent="0.25">
      <c r="A7050" s="16"/>
      <c r="E7050" s="27"/>
      <c r="F7050" t="s">
        <v>26</v>
      </c>
      <c r="G7050" s="28">
        <f>IFERROR(VLOOKUP(F7050,CARTON_LOOKUP!$A:$E,3,0),"")</f>
      </c>
      <c r="H7050" s="28">
        <f>IFERROR(VLOOKUP(F7050,CARTON_LOOKUP!$A:$E,4,0),"")</f>
      </c>
      <c r="I7050" s="28">
        <f>IFERROR(VLOOKUP(F7050,CARTON_LOOKUP!$A:$E,5,0),"")</f>
      </c>
      <c r="J7050" s="29">
        <f>IFERROR(VLOOKUP(F7050,CARTON_LOOKUP!$A:$E,2,0),"")</f>
      </c>
      <c r="K7050" s="29">
        <f>IFERROR(J7050*D7050,0)</f>
      </c>
      <c r="L7050" s="29">
        <f>IFERROR(E7050*C7050,0)</f>
      </c>
      <c r="M7050" s="29">
        <f>IFERROR((G7050*H7050*I7050/1000000)*D7050,0)</f>
      </c>
    </row>
    <row r="7051" spans="1:13" x14ac:dyDescent="0.25">
      <c r="A7051" s="16"/>
      <c r="E7051" s="27"/>
      <c r="F7051" t="s">
        <v>26</v>
      </c>
      <c r="G7051" s="28">
        <f>IFERROR(VLOOKUP(F7051,CARTON_LOOKUP!$A:$E,3,0),"")</f>
      </c>
      <c r="H7051" s="28">
        <f>IFERROR(VLOOKUP(F7051,CARTON_LOOKUP!$A:$E,4,0),"")</f>
      </c>
      <c r="I7051" s="28">
        <f>IFERROR(VLOOKUP(F7051,CARTON_LOOKUP!$A:$E,5,0),"")</f>
      </c>
      <c r="J7051" s="29">
        <f>IFERROR(VLOOKUP(F7051,CARTON_LOOKUP!$A:$E,2,0),"")</f>
      </c>
      <c r="K7051" s="29">
        <f>IFERROR(J7051*D7051,0)</f>
      </c>
      <c r="L7051" s="29">
        <f>IFERROR(E7051*C7051,0)</f>
      </c>
      <c r="M7051" s="29">
        <f>IFERROR((G7051*H7051*I7051/1000000)*D7051,0)</f>
      </c>
    </row>
    <row r="7052" spans="1:13" x14ac:dyDescent="0.25">
      <c r="A7052" s="16"/>
      <c r="E7052" s="27"/>
      <c r="F7052" t="s">
        <v>26</v>
      </c>
      <c r="G7052" s="28">
        <f>IFERROR(VLOOKUP(F7052,CARTON_LOOKUP!$A:$E,3,0),"")</f>
      </c>
      <c r="H7052" s="28">
        <f>IFERROR(VLOOKUP(F7052,CARTON_LOOKUP!$A:$E,4,0),"")</f>
      </c>
      <c r="I7052" s="28">
        <f>IFERROR(VLOOKUP(F7052,CARTON_LOOKUP!$A:$E,5,0),"")</f>
      </c>
      <c r="J7052" s="29">
        <f>IFERROR(VLOOKUP(F7052,CARTON_LOOKUP!$A:$E,2,0),"")</f>
      </c>
      <c r="K7052" s="29">
        <f>IFERROR(J7052*D7052,0)</f>
      </c>
      <c r="L7052" s="29">
        <f>IFERROR(E7052*C7052,0)</f>
      </c>
      <c r="M7052" s="29">
        <f>IFERROR((G7052*H7052*I7052/1000000)*D7052,0)</f>
      </c>
    </row>
    <row r="7053" spans="1:13" x14ac:dyDescent="0.25">
      <c r="A7053" s="16"/>
      <c r="E7053" s="27"/>
      <c r="F7053" t="s">
        <v>26</v>
      </c>
      <c r="G7053" s="28">
        <f>IFERROR(VLOOKUP(F7053,CARTON_LOOKUP!$A:$E,3,0),"")</f>
      </c>
      <c r="H7053" s="28">
        <f>IFERROR(VLOOKUP(F7053,CARTON_LOOKUP!$A:$E,4,0),"")</f>
      </c>
      <c r="I7053" s="28">
        <f>IFERROR(VLOOKUP(F7053,CARTON_LOOKUP!$A:$E,5,0),"")</f>
      </c>
      <c r="J7053" s="29">
        <f>IFERROR(VLOOKUP(F7053,CARTON_LOOKUP!$A:$E,2,0),"")</f>
      </c>
      <c r="K7053" s="29">
        <f>IFERROR(J7053*D7053,0)</f>
      </c>
      <c r="L7053" s="29">
        <f>IFERROR(E7053*C7053,0)</f>
      </c>
      <c r="M7053" s="29">
        <f>IFERROR((G7053*H7053*I7053/1000000)*D7053,0)</f>
      </c>
    </row>
    <row r="7054" spans="1:13" x14ac:dyDescent="0.25">
      <c r="A7054" s="16"/>
      <c r="E7054" s="27"/>
      <c r="F7054" t="s">
        <v>26</v>
      </c>
      <c r="G7054" s="28">
        <f>IFERROR(VLOOKUP(F7054,CARTON_LOOKUP!$A:$E,3,0),"")</f>
      </c>
      <c r="H7054" s="28">
        <f>IFERROR(VLOOKUP(F7054,CARTON_LOOKUP!$A:$E,4,0),"")</f>
      </c>
      <c r="I7054" s="28">
        <f>IFERROR(VLOOKUP(F7054,CARTON_LOOKUP!$A:$E,5,0),"")</f>
      </c>
      <c r="J7054" s="29">
        <f>IFERROR(VLOOKUP(F7054,CARTON_LOOKUP!$A:$E,2,0),"")</f>
      </c>
      <c r="K7054" s="29">
        <f>IFERROR(J7054*D7054,0)</f>
      </c>
      <c r="L7054" s="29">
        <f>IFERROR(E7054*C7054,0)</f>
      </c>
      <c r="M7054" s="29">
        <f>IFERROR((G7054*H7054*I7054/1000000)*D7054,0)</f>
      </c>
    </row>
    <row r="7055" spans="1:13" x14ac:dyDescent="0.25">
      <c r="A7055" s="16"/>
      <c r="E7055" s="27"/>
      <c r="F7055" t="s">
        <v>26</v>
      </c>
      <c r="G7055" s="28">
        <f>IFERROR(VLOOKUP(F7055,CARTON_LOOKUP!$A:$E,3,0),"")</f>
      </c>
      <c r="H7055" s="28">
        <f>IFERROR(VLOOKUP(F7055,CARTON_LOOKUP!$A:$E,4,0),"")</f>
      </c>
      <c r="I7055" s="28">
        <f>IFERROR(VLOOKUP(F7055,CARTON_LOOKUP!$A:$E,5,0),"")</f>
      </c>
      <c r="J7055" s="29">
        <f>IFERROR(VLOOKUP(F7055,CARTON_LOOKUP!$A:$E,2,0),"")</f>
      </c>
      <c r="K7055" s="29">
        <f>IFERROR(J7055*D7055,0)</f>
      </c>
      <c r="L7055" s="29">
        <f>IFERROR(E7055*C7055,0)</f>
      </c>
      <c r="M7055" s="29">
        <f>IFERROR((G7055*H7055*I7055/1000000)*D7055,0)</f>
      </c>
    </row>
    <row r="7056" spans="1:13" x14ac:dyDescent="0.25">
      <c r="A7056" s="16"/>
      <c r="E7056" s="27"/>
      <c r="F7056" t="s">
        <v>26</v>
      </c>
      <c r="G7056" s="28">
        <f>IFERROR(VLOOKUP(F7056,CARTON_LOOKUP!$A:$E,3,0),"")</f>
      </c>
      <c r="H7056" s="28">
        <f>IFERROR(VLOOKUP(F7056,CARTON_LOOKUP!$A:$E,4,0),"")</f>
      </c>
      <c r="I7056" s="28">
        <f>IFERROR(VLOOKUP(F7056,CARTON_LOOKUP!$A:$E,5,0),"")</f>
      </c>
      <c r="J7056" s="29">
        <f>IFERROR(VLOOKUP(F7056,CARTON_LOOKUP!$A:$E,2,0),"")</f>
      </c>
      <c r="K7056" s="29">
        <f>IFERROR(J7056*D7056,0)</f>
      </c>
      <c r="L7056" s="29">
        <f>IFERROR(E7056*C7056,0)</f>
      </c>
      <c r="M7056" s="29">
        <f>IFERROR((G7056*H7056*I7056/1000000)*D7056,0)</f>
      </c>
    </row>
    <row r="7057" spans="1:13" x14ac:dyDescent="0.25">
      <c r="A7057" s="16"/>
      <c r="E7057" s="27"/>
      <c r="F7057" t="s">
        <v>26</v>
      </c>
      <c r="G7057" s="28">
        <f>IFERROR(VLOOKUP(F7057,CARTON_LOOKUP!$A:$E,3,0),"")</f>
      </c>
      <c r="H7057" s="28">
        <f>IFERROR(VLOOKUP(F7057,CARTON_LOOKUP!$A:$E,4,0),"")</f>
      </c>
      <c r="I7057" s="28">
        <f>IFERROR(VLOOKUP(F7057,CARTON_LOOKUP!$A:$E,5,0),"")</f>
      </c>
      <c r="J7057" s="29">
        <f>IFERROR(VLOOKUP(F7057,CARTON_LOOKUP!$A:$E,2,0),"")</f>
      </c>
      <c r="K7057" s="29">
        <f>IFERROR(J7057*D7057,0)</f>
      </c>
      <c r="L7057" s="29">
        <f>IFERROR(E7057*C7057,0)</f>
      </c>
      <c r="M7057" s="29">
        <f>IFERROR((G7057*H7057*I7057/1000000)*D7057,0)</f>
      </c>
    </row>
    <row r="7058" spans="1:13" x14ac:dyDescent="0.25">
      <c r="A7058" s="16"/>
      <c r="E7058" s="27"/>
      <c r="F7058" t="s">
        <v>26</v>
      </c>
      <c r="G7058" s="28">
        <f>IFERROR(VLOOKUP(F7058,CARTON_LOOKUP!$A:$E,3,0),"")</f>
      </c>
      <c r="H7058" s="28">
        <f>IFERROR(VLOOKUP(F7058,CARTON_LOOKUP!$A:$E,4,0),"")</f>
      </c>
      <c r="I7058" s="28">
        <f>IFERROR(VLOOKUP(F7058,CARTON_LOOKUP!$A:$E,5,0),"")</f>
      </c>
      <c r="J7058" s="29">
        <f>IFERROR(VLOOKUP(F7058,CARTON_LOOKUP!$A:$E,2,0),"")</f>
      </c>
      <c r="K7058" s="29">
        <f>IFERROR(J7058*D7058,0)</f>
      </c>
      <c r="L7058" s="29">
        <f>IFERROR(E7058*C7058,0)</f>
      </c>
      <c r="M7058" s="29">
        <f>IFERROR((G7058*H7058*I7058/1000000)*D7058,0)</f>
      </c>
    </row>
    <row r="7059" spans="1:13" x14ac:dyDescent="0.25">
      <c r="A7059" s="16"/>
      <c r="E7059" s="27"/>
      <c r="F7059" t="s">
        <v>26</v>
      </c>
      <c r="G7059" s="28">
        <f>IFERROR(VLOOKUP(F7059,CARTON_LOOKUP!$A:$E,3,0),"")</f>
      </c>
      <c r="H7059" s="28">
        <f>IFERROR(VLOOKUP(F7059,CARTON_LOOKUP!$A:$E,4,0),"")</f>
      </c>
      <c r="I7059" s="28">
        <f>IFERROR(VLOOKUP(F7059,CARTON_LOOKUP!$A:$E,5,0),"")</f>
      </c>
      <c r="J7059" s="29">
        <f>IFERROR(VLOOKUP(F7059,CARTON_LOOKUP!$A:$E,2,0),"")</f>
      </c>
      <c r="K7059" s="29">
        <f>IFERROR(J7059*D7059,0)</f>
      </c>
      <c r="L7059" s="29">
        <f>IFERROR(E7059*C7059,0)</f>
      </c>
      <c r="M7059" s="29">
        <f>IFERROR((G7059*H7059*I7059/1000000)*D7059,0)</f>
      </c>
    </row>
    <row r="7060" spans="1:13" x14ac:dyDescent="0.25">
      <c r="A7060" s="16"/>
      <c r="E7060" s="27"/>
      <c r="F7060" t="s">
        <v>26</v>
      </c>
      <c r="G7060" s="28">
        <f>IFERROR(VLOOKUP(F7060,CARTON_LOOKUP!$A:$E,3,0),"")</f>
      </c>
      <c r="H7060" s="28">
        <f>IFERROR(VLOOKUP(F7060,CARTON_LOOKUP!$A:$E,4,0),"")</f>
      </c>
      <c r="I7060" s="28">
        <f>IFERROR(VLOOKUP(F7060,CARTON_LOOKUP!$A:$E,5,0),"")</f>
      </c>
      <c r="J7060" s="29">
        <f>IFERROR(VLOOKUP(F7060,CARTON_LOOKUP!$A:$E,2,0),"")</f>
      </c>
      <c r="K7060" s="29">
        <f>IFERROR(J7060*D7060,0)</f>
      </c>
      <c r="L7060" s="29">
        <f>IFERROR(E7060*C7060,0)</f>
      </c>
      <c r="M7060" s="29">
        <f>IFERROR((G7060*H7060*I7060/1000000)*D7060,0)</f>
      </c>
    </row>
    <row r="7061" spans="1:13" x14ac:dyDescent="0.25">
      <c r="A7061" s="16"/>
      <c r="E7061" s="27"/>
      <c r="F7061" t="s">
        <v>26</v>
      </c>
      <c r="G7061" s="28">
        <f>IFERROR(VLOOKUP(F7061,CARTON_LOOKUP!$A:$E,3,0),"")</f>
      </c>
      <c r="H7061" s="28">
        <f>IFERROR(VLOOKUP(F7061,CARTON_LOOKUP!$A:$E,4,0),"")</f>
      </c>
      <c r="I7061" s="28">
        <f>IFERROR(VLOOKUP(F7061,CARTON_LOOKUP!$A:$E,5,0),"")</f>
      </c>
      <c r="J7061" s="29">
        <f>IFERROR(VLOOKUP(F7061,CARTON_LOOKUP!$A:$E,2,0),"")</f>
      </c>
      <c r="K7061" s="29">
        <f>IFERROR(J7061*D7061,0)</f>
      </c>
      <c r="L7061" s="29">
        <f>IFERROR(E7061*C7061,0)</f>
      </c>
      <c r="M7061" s="29">
        <f>IFERROR((G7061*H7061*I7061/1000000)*D7061,0)</f>
      </c>
    </row>
    <row r="7062" spans="1:13" x14ac:dyDescent="0.25">
      <c r="A7062" s="16"/>
      <c r="E7062" s="27"/>
      <c r="F7062" t="s">
        <v>26</v>
      </c>
      <c r="G7062" s="28">
        <f>IFERROR(VLOOKUP(F7062,CARTON_LOOKUP!$A:$E,3,0),"")</f>
      </c>
      <c r="H7062" s="28">
        <f>IFERROR(VLOOKUP(F7062,CARTON_LOOKUP!$A:$E,4,0),"")</f>
      </c>
      <c r="I7062" s="28">
        <f>IFERROR(VLOOKUP(F7062,CARTON_LOOKUP!$A:$E,5,0),"")</f>
      </c>
      <c r="J7062" s="29">
        <f>IFERROR(VLOOKUP(F7062,CARTON_LOOKUP!$A:$E,2,0),"")</f>
      </c>
      <c r="K7062" s="29">
        <f>IFERROR(J7062*D7062,0)</f>
      </c>
      <c r="L7062" s="29">
        <f>IFERROR(E7062*C7062,0)</f>
      </c>
      <c r="M7062" s="29">
        <f>IFERROR((G7062*H7062*I7062/1000000)*D7062,0)</f>
      </c>
    </row>
    <row r="7063" spans="1:13" x14ac:dyDescent="0.25">
      <c r="A7063" s="16"/>
      <c r="E7063" s="27"/>
      <c r="F7063" t="s">
        <v>26</v>
      </c>
      <c r="G7063" s="28">
        <f>IFERROR(VLOOKUP(F7063,CARTON_LOOKUP!$A:$E,3,0),"")</f>
      </c>
      <c r="H7063" s="28">
        <f>IFERROR(VLOOKUP(F7063,CARTON_LOOKUP!$A:$E,4,0),"")</f>
      </c>
      <c r="I7063" s="28">
        <f>IFERROR(VLOOKUP(F7063,CARTON_LOOKUP!$A:$E,5,0),"")</f>
      </c>
      <c r="J7063" s="29">
        <f>IFERROR(VLOOKUP(F7063,CARTON_LOOKUP!$A:$E,2,0),"")</f>
      </c>
      <c r="K7063" s="29">
        <f>IFERROR(J7063*D7063,0)</f>
      </c>
      <c r="L7063" s="29">
        <f>IFERROR(E7063*C7063,0)</f>
      </c>
      <c r="M7063" s="29">
        <f>IFERROR((G7063*H7063*I7063/1000000)*D7063,0)</f>
      </c>
    </row>
    <row r="7064" spans="1:13" x14ac:dyDescent="0.25">
      <c r="A7064" s="16"/>
      <c r="E7064" s="27"/>
      <c r="F7064" t="s">
        <v>26</v>
      </c>
      <c r="G7064" s="28">
        <f>IFERROR(VLOOKUP(F7064,CARTON_LOOKUP!$A:$E,3,0),"")</f>
      </c>
      <c r="H7064" s="28">
        <f>IFERROR(VLOOKUP(F7064,CARTON_LOOKUP!$A:$E,4,0),"")</f>
      </c>
      <c r="I7064" s="28">
        <f>IFERROR(VLOOKUP(F7064,CARTON_LOOKUP!$A:$E,5,0),"")</f>
      </c>
      <c r="J7064" s="29">
        <f>IFERROR(VLOOKUP(F7064,CARTON_LOOKUP!$A:$E,2,0),"")</f>
      </c>
      <c r="K7064" s="29">
        <f>IFERROR(J7064*D7064,0)</f>
      </c>
      <c r="L7064" s="29">
        <f>IFERROR(E7064*C7064,0)</f>
      </c>
      <c r="M7064" s="29">
        <f>IFERROR((G7064*H7064*I7064/1000000)*D7064,0)</f>
      </c>
    </row>
    <row r="7065" spans="1:13" x14ac:dyDescent="0.25">
      <c r="A7065" s="16"/>
      <c r="E7065" s="27"/>
      <c r="F7065" t="s">
        <v>26</v>
      </c>
      <c r="G7065" s="28">
        <f>IFERROR(VLOOKUP(F7065,CARTON_LOOKUP!$A:$E,3,0),"")</f>
      </c>
      <c r="H7065" s="28">
        <f>IFERROR(VLOOKUP(F7065,CARTON_LOOKUP!$A:$E,4,0),"")</f>
      </c>
      <c r="I7065" s="28">
        <f>IFERROR(VLOOKUP(F7065,CARTON_LOOKUP!$A:$E,5,0),"")</f>
      </c>
      <c r="J7065" s="29">
        <f>IFERROR(VLOOKUP(F7065,CARTON_LOOKUP!$A:$E,2,0),"")</f>
      </c>
      <c r="K7065" s="29">
        <f>IFERROR(J7065*D7065,0)</f>
      </c>
      <c r="L7065" s="29">
        <f>IFERROR(E7065*C7065,0)</f>
      </c>
      <c r="M7065" s="29">
        <f>IFERROR((G7065*H7065*I7065/1000000)*D7065,0)</f>
      </c>
    </row>
    <row r="7066" spans="1:13" x14ac:dyDescent="0.25">
      <c r="A7066" s="16"/>
      <c r="E7066" s="27"/>
      <c r="F7066" t="s">
        <v>26</v>
      </c>
      <c r="G7066" s="28">
        <f>IFERROR(VLOOKUP(F7066,CARTON_LOOKUP!$A:$E,3,0),"")</f>
      </c>
      <c r="H7066" s="28">
        <f>IFERROR(VLOOKUP(F7066,CARTON_LOOKUP!$A:$E,4,0),"")</f>
      </c>
      <c r="I7066" s="28">
        <f>IFERROR(VLOOKUP(F7066,CARTON_LOOKUP!$A:$E,5,0),"")</f>
      </c>
      <c r="J7066" s="29">
        <f>IFERROR(VLOOKUP(F7066,CARTON_LOOKUP!$A:$E,2,0),"")</f>
      </c>
      <c r="K7066" s="29">
        <f>IFERROR(J7066*D7066,0)</f>
      </c>
      <c r="L7066" s="29">
        <f>IFERROR(E7066*C7066,0)</f>
      </c>
      <c r="M7066" s="29">
        <f>IFERROR((G7066*H7066*I7066/1000000)*D7066,0)</f>
      </c>
    </row>
    <row r="7067" spans="1:13" x14ac:dyDescent="0.25">
      <c r="A7067" s="16"/>
      <c r="E7067" s="27"/>
      <c r="F7067" t="s">
        <v>26</v>
      </c>
      <c r="G7067" s="28">
        <f>IFERROR(VLOOKUP(F7067,CARTON_LOOKUP!$A:$E,3,0),"")</f>
      </c>
      <c r="H7067" s="28">
        <f>IFERROR(VLOOKUP(F7067,CARTON_LOOKUP!$A:$E,4,0),"")</f>
      </c>
      <c r="I7067" s="28">
        <f>IFERROR(VLOOKUP(F7067,CARTON_LOOKUP!$A:$E,5,0),"")</f>
      </c>
      <c r="J7067" s="29">
        <f>IFERROR(VLOOKUP(F7067,CARTON_LOOKUP!$A:$E,2,0),"")</f>
      </c>
      <c r="K7067" s="29">
        <f>IFERROR(J7067*D7067,0)</f>
      </c>
      <c r="L7067" s="29">
        <f>IFERROR(E7067*C7067,0)</f>
      </c>
      <c r="M7067" s="29">
        <f>IFERROR((G7067*H7067*I7067/1000000)*D7067,0)</f>
      </c>
    </row>
    <row r="7068" spans="1:13" x14ac:dyDescent="0.25">
      <c r="A7068" s="16"/>
      <c r="E7068" s="27"/>
      <c r="F7068" t="s">
        <v>26</v>
      </c>
      <c r="G7068" s="28">
        <f>IFERROR(VLOOKUP(F7068,CARTON_LOOKUP!$A:$E,3,0),"")</f>
      </c>
      <c r="H7068" s="28">
        <f>IFERROR(VLOOKUP(F7068,CARTON_LOOKUP!$A:$E,4,0),"")</f>
      </c>
      <c r="I7068" s="28">
        <f>IFERROR(VLOOKUP(F7068,CARTON_LOOKUP!$A:$E,5,0),"")</f>
      </c>
      <c r="J7068" s="29">
        <f>IFERROR(VLOOKUP(F7068,CARTON_LOOKUP!$A:$E,2,0),"")</f>
      </c>
      <c r="K7068" s="29">
        <f>IFERROR(J7068*D7068,0)</f>
      </c>
      <c r="L7068" s="29">
        <f>IFERROR(E7068*C7068,0)</f>
      </c>
      <c r="M7068" s="29">
        <f>IFERROR((G7068*H7068*I7068/1000000)*D7068,0)</f>
      </c>
    </row>
    <row r="7069" spans="1:13" x14ac:dyDescent="0.25">
      <c r="A7069" s="16"/>
      <c r="E7069" s="27"/>
      <c r="F7069" t="s">
        <v>26</v>
      </c>
      <c r="G7069" s="28">
        <f>IFERROR(VLOOKUP(F7069,CARTON_LOOKUP!$A:$E,3,0),"")</f>
      </c>
      <c r="H7069" s="28">
        <f>IFERROR(VLOOKUP(F7069,CARTON_LOOKUP!$A:$E,4,0),"")</f>
      </c>
      <c r="I7069" s="28">
        <f>IFERROR(VLOOKUP(F7069,CARTON_LOOKUP!$A:$E,5,0),"")</f>
      </c>
      <c r="J7069" s="29">
        <f>IFERROR(VLOOKUP(F7069,CARTON_LOOKUP!$A:$E,2,0),"")</f>
      </c>
      <c r="K7069" s="29">
        <f>IFERROR(J7069*D7069,0)</f>
      </c>
      <c r="L7069" s="29">
        <f>IFERROR(E7069*C7069,0)</f>
      </c>
      <c r="M7069" s="29">
        <f>IFERROR((G7069*H7069*I7069/1000000)*D7069,0)</f>
      </c>
    </row>
    <row r="7070" spans="1:13" x14ac:dyDescent="0.25">
      <c r="A7070" s="16"/>
      <c r="E7070" s="27"/>
      <c r="F7070" t="s">
        <v>26</v>
      </c>
      <c r="G7070" s="28">
        <f>IFERROR(VLOOKUP(F7070,CARTON_LOOKUP!$A:$E,3,0),"")</f>
      </c>
      <c r="H7070" s="28">
        <f>IFERROR(VLOOKUP(F7070,CARTON_LOOKUP!$A:$E,4,0),"")</f>
      </c>
      <c r="I7070" s="28">
        <f>IFERROR(VLOOKUP(F7070,CARTON_LOOKUP!$A:$E,5,0),"")</f>
      </c>
      <c r="J7070" s="29">
        <f>IFERROR(VLOOKUP(F7070,CARTON_LOOKUP!$A:$E,2,0),"")</f>
      </c>
      <c r="K7070" s="29">
        <f>IFERROR(J7070*D7070,0)</f>
      </c>
      <c r="L7070" s="29">
        <f>IFERROR(E7070*C7070,0)</f>
      </c>
      <c r="M7070" s="29">
        <f>IFERROR((G7070*H7070*I7070/1000000)*D7070,0)</f>
      </c>
    </row>
    <row r="7071" spans="1:13" x14ac:dyDescent="0.25">
      <c r="A7071" s="16"/>
      <c r="E7071" s="27"/>
      <c r="F7071" t="s">
        <v>26</v>
      </c>
      <c r="G7071" s="28">
        <f>IFERROR(VLOOKUP(F7071,CARTON_LOOKUP!$A:$E,3,0),"")</f>
      </c>
      <c r="H7071" s="28">
        <f>IFERROR(VLOOKUP(F7071,CARTON_LOOKUP!$A:$E,4,0),"")</f>
      </c>
      <c r="I7071" s="28">
        <f>IFERROR(VLOOKUP(F7071,CARTON_LOOKUP!$A:$E,5,0),"")</f>
      </c>
      <c r="J7071" s="29">
        <f>IFERROR(VLOOKUP(F7071,CARTON_LOOKUP!$A:$E,2,0),"")</f>
      </c>
      <c r="K7071" s="29">
        <f>IFERROR(J7071*D7071,0)</f>
      </c>
      <c r="L7071" s="29">
        <f>IFERROR(E7071*C7071,0)</f>
      </c>
      <c r="M7071" s="29">
        <f>IFERROR((G7071*H7071*I7071/1000000)*D7071,0)</f>
      </c>
    </row>
    <row r="7072" spans="1:13" x14ac:dyDescent="0.25">
      <c r="A7072" s="16"/>
      <c r="E7072" s="27"/>
      <c r="F7072" t="s">
        <v>26</v>
      </c>
      <c r="G7072" s="28">
        <f>IFERROR(VLOOKUP(F7072,CARTON_LOOKUP!$A:$E,3,0),"")</f>
      </c>
      <c r="H7072" s="28">
        <f>IFERROR(VLOOKUP(F7072,CARTON_LOOKUP!$A:$E,4,0),"")</f>
      </c>
      <c r="I7072" s="28">
        <f>IFERROR(VLOOKUP(F7072,CARTON_LOOKUP!$A:$E,5,0),"")</f>
      </c>
      <c r="J7072" s="29">
        <f>IFERROR(VLOOKUP(F7072,CARTON_LOOKUP!$A:$E,2,0),"")</f>
      </c>
      <c r="K7072" s="29">
        <f>IFERROR(J7072*D7072,0)</f>
      </c>
      <c r="L7072" s="29">
        <f>IFERROR(E7072*C7072,0)</f>
      </c>
      <c r="M7072" s="29">
        <f>IFERROR((G7072*H7072*I7072/1000000)*D7072,0)</f>
      </c>
    </row>
    <row r="7073" spans="1:13" x14ac:dyDescent="0.25">
      <c r="A7073" s="16"/>
      <c r="E7073" s="27"/>
      <c r="F7073" t="s">
        <v>26</v>
      </c>
      <c r="G7073" s="28">
        <f>IFERROR(VLOOKUP(F7073,CARTON_LOOKUP!$A:$E,3,0),"")</f>
      </c>
      <c r="H7073" s="28">
        <f>IFERROR(VLOOKUP(F7073,CARTON_LOOKUP!$A:$E,4,0),"")</f>
      </c>
      <c r="I7073" s="28">
        <f>IFERROR(VLOOKUP(F7073,CARTON_LOOKUP!$A:$E,5,0),"")</f>
      </c>
      <c r="J7073" s="29">
        <f>IFERROR(VLOOKUP(F7073,CARTON_LOOKUP!$A:$E,2,0),"")</f>
      </c>
      <c r="K7073" s="29">
        <f>IFERROR(J7073*D7073,0)</f>
      </c>
      <c r="L7073" s="29">
        <f>IFERROR(E7073*C7073,0)</f>
      </c>
      <c r="M7073" s="29">
        <f>IFERROR((G7073*H7073*I7073/1000000)*D7073,0)</f>
      </c>
    </row>
    <row r="7074" spans="1:13" x14ac:dyDescent="0.25">
      <c r="A7074" s="16"/>
      <c r="E7074" s="27"/>
      <c r="F7074" t="s">
        <v>26</v>
      </c>
      <c r="G7074" s="28">
        <f>IFERROR(VLOOKUP(F7074,CARTON_LOOKUP!$A:$E,3,0),"")</f>
      </c>
      <c r="H7074" s="28">
        <f>IFERROR(VLOOKUP(F7074,CARTON_LOOKUP!$A:$E,4,0),"")</f>
      </c>
      <c r="I7074" s="28">
        <f>IFERROR(VLOOKUP(F7074,CARTON_LOOKUP!$A:$E,5,0),"")</f>
      </c>
      <c r="J7074" s="29">
        <f>IFERROR(VLOOKUP(F7074,CARTON_LOOKUP!$A:$E,2,0),"")</f>
      </c>
      <c r="K7074" s="29">
        <f>IFERROR(J7074*D7074,0)</f>
      </c>
      <c r="L7074" s="29">
        <f>IFERROR(E7074*C7074,0)</f>
      </c>
      <c r="M7074" s="29">
        <f>IFERROR((G7074*H7074*I7074/1000000)*D7074,0)</f>
      </c>
    </row>
    <row r="7075" spans="1:13" x14ac:dyDescent="0.25">
      <c r="A7075" s="16"/>
      <c r="E7075" s="27"/>
      <c r="F7075" t="s">
        <v>26</v>
      </c>
      <c r="G7075" s="28">
        <f>IFERROR(VLOOKUP(F7075,CARTON_LOOKUP!$A:$E,3,0),"")</f>
      </c>
      <c r="H7075" s="28">
        <f>IFERROR(VLOOKUP(F7075,CARTON_LOOKUP!$A:$E,4,0),"")</f>
      </c>
      <c r="I7075" s="28">
        <f>IFERROR(VLOOKUP(F7075,CARTON_LOOKUP!$A:$E,5,0),"")</f>
      </c>
      <c r="J7075" s="29">
        <f>IFERROR(VLOOKUP(F7075,CARTON_LOOKUP!$A:$E,2,0),"")</f>
      </c>
      <c r="K7075" s="29">
        <f>IFERROR(J7075*D7075,0)</f>
      </c>
      <c r="L7075" s="29">
        <f>IFERROR(E7075*C7075,0)</f>
      </c>
      <c r="M7075" s="29">
        <f>IFERROR((G7075*H7075*I7075/1000000)*D7075,0)</f>
      </c>
    </row>
    <row r="7076" spans="1:13" x14ac:dyDescent="0.25">
      <c r="A7076" s="16"/>
      <c r="E7076" s="27"/>
      <c r="F7076" t="s">
        <v>26</v>
      </c>
      <c r="G7076" s="28">
        <f>IFERROR(VLOOKUP(F7076,CARTON_LOOKUP!$A:$E,3,0),"")</f>
      </c>
      <c r="H7076" s="28">
        <f>IFERROR(VLOOKUP(F7076,CARTON_LOOKUP!$A:$E,4,0),"")</f>
      </c>
      <c r="I7076" s="28">
        <f>IFERROR(VLOOKUP(F7076,CARTON_LOOKUP!$A:$E,5,0),"")</f>
      </c>
      <c r="J7076" s="29">
        <f>IFERROR(VLOOKUP(F7076,CARTON_LOOKUP!$A:$E,2,0),"")</f>
      </c>
      <c r="K7076" s="29">
        <f>IFERROR(J7076*D7076,0)</f>
      </c>
      <c r="L7076" s="29">
        <f>IFERROR(E7076*C7076,0)</f>
      </c>
      <c r="M7076" s="29">
        <f>IFERROR((G7076*H7076*I7076/1000000)*D7076,0)</f>
      </c>
    </row>
    <row r="7077" spans="1:13" x14ac:dyDescent="0.25">
      <c r="A7077" s="16"/>
      <c r="E7077" s="27"/>
      <c r="F7077" t="s">
        <v>26</v>
      </c>
      <c r="G7077" s="28">
        <f>IFERROR(VLOOKUP(F7077,CARTON_LOOKUP!$A:$E,3,0),"")</f>
      </c>
      <c r="H7077" s="28">
        <f>IFERROR(VLOOKUP(F7077,CARTON_LOOKUP!$A:$E,4,0),"")</f>
      </c>
      <c r="I7077" s="28">
        <f>IFERROR(VLOOKUP(F7077,CARTON_LOOKUP!$A:$E,5,0),"")</f>
      </c>
      <c r="J7077" s="29">
        <f>IFERROR(VLOOKUP(F7077,CARTON_LOOKUP!$A:$E,2,0),"")</f>
      </c>
      <c r="K7077" s="29">
        <f>IFERROR(J7077*D7077,0)</f>
      </c>
      <c r="L7077" s="29">
        <f>IFERROR(E7077*C7077,0)</f>
      </c>
      <c r="M7077" s="29">
        <f>IFERROR((G7077*H7077*I7077/1000000)*D7077,0)</f>
      </c>
    </row>
    <row r="7078" spans="1:13" x14ac:dyDescent="0.25">
      <c r="A7078" s="16"/>
      <c r="E7078" s="27"/>
      <c r="F7078" t="s">
        <v>26</v>
      </c>
      <c r="G7078" s="28">
        <f>IFERROR(VLOOKUP(F7078,CARTON_LOOKUP!$A:$E,3,0),"")</f>
      </c>
      <c r="H7078" s="28">
        <f>IFERROR(VLOOKUP(F7078,CARTON_LOOKUP!$A:$E,4,0),"")</f>
      </c>
      <c r="I7078" s="28">
        <f>IFERROR(VLOOKUP(F7078,CARTON_LOOKUP!$A:$E,5,0),"")</f>
      </c>
      <c r="J7078" s="29">
        <f>IFERROR(VLOOKUP(F7078,CARTON_LOOKUP!$A:$E,2,0),"")</f>
      </c>
      <c r="K7078" s="29">
        <f>IFERROR(J7078*D7078,0)</f>
      </c>
      <c r="L7078" s="29">
        <f>IFERROR(E7078*C7078,0)</f>
      </c>
      <c r="M7078" s="29">
        <f>IFERROR((G7078*H7078*I7078/1000000)*D7078,0)</f>
      </c>
    </row>
    <row r="7079" spans="1:13" x14ac:dyDescent="0.25">
      <c r="A7079" s="16"/>
      <c r="E7079" s="27"/>
      <c r="F7079" t="s">
        <v>26</v>
      </c>
      <c r="G7079" s="28">
        <f>IFERROR(VLOOKUP(F7079,CARTON_LOOKUP!$A:$E,3,0),"")</f>
      </c>
      <c r="H7079" s="28">
        <f>IFERROR(VLOOKUP(F7079,CARTON_LOOKUP!$A:$E,4,0),"")</f>
      </c>
      <c r="I7079" s="28">
        <f>IFERROR(VLOOKUP(F7079,CARTON_LOOKUP!$A:$E,5,0),"")</f>
      </c>
      <c r="J7079" s="29">
        <f>IFERROR(VLOOKUP(F7079,CARTON_LOOKUP!$A:$E,2,0),"")</f>
      </c>
      <c r="K7079" s="29">
        <f>IFERROR(J7079*D7079,0)</f>
      </c>
      <c r="L7079" s="29">
        <f>IFERROR(E7079*C7079,0)</f>
      </c>
      <c r="M7079" s="29">
        <f>IFERROR((G7079*H7079*I7079/1000000)*D7079,0)</f>
      </c>
    </row>
    <row r="7080" spans="1:13" x14ac:dyDescent="0.25">
      <c r="A7080" s="16"/>
      <c r="E7080" s="27"/>
      <c r="F7080" t="s">
        <v>26</v>
      </c>
      <c r="G7080" s="28">
        <f>IFERROR(VLOOKUP(F7080,CARTON_LOOKUP!$A:$E,3,0),"")</f>
      </c>
      <c r="H7080" s="28">
        <f>IFERROR(VLOOKUP(F7080,CARTON_LOOKUP!$A:$E,4,0),"")</f>
      </c>
      <c r="I7080" s="28">
        <f>IFERROR(VLOOKUP(F7080,CARTON_LOOKUP!$A:$E,5,0),"")</f>
      </c>
      <c r="J7080" s="29">
        <f>IFERROR(VLOOKUP(F7080,CARTON_LOOKUP!$A:$E,2,0),"")</f>
      </c>
      <c r="K7080" s="29">
        <f>IFERROR(J7080*D7080,0)</f>
      </c>
      <c r="L7080" s="29">
        <f>IFERROR(E7080*C7080,0)</f>
      </c>
      <c r="M7080" s="29">
        <f>IFERROR((G7080*H7080*I7080/1000000)*D7080,0)</f>
      </c>
    </row>
    <row r="7081" spans="1:13" x14ac:dyDescent="0.25">
      <c r="A7081" s="16"/>
      <c r="E7081" s="27"/>
      <c r="F7081" t="s">
        <v>26</v>
      </c>
      <c r="G7081" s="28">
        <f>IFERROR(VLOOKUP(F7081,CARTON_LOOKUP!$A:$E,3,0),"")</f>
      </c>
      <c r="H7081" s="28">
        <f>IFERROR(VLOOKUP(F7081,CARTON_LOOKUP!$A:$E,4,0),"")</f>
      </c>
      <c r="I7081" s="28">
        <f>IFERROR(VLOOKUP(F7081,CARTON_LOOKUP!$A:$E,5,0),"")</f>
      </c>
      <c r="J7081" s="29">
        <f>IFERROR(VLOOKUP(F7081,CARTON_LOOKUP!$A:$E,2,0),"")</f>
      </c>
      <c r="K7081" s="29">
        <f>IFERROR(J7081*D7081,0)</f>
      </c>
      <c r="L7081" s="29">
        <f>IFERROR(E7081*C7081,0)</f>
      </c>
      <c r="M7081" s="29">
        <f>IFERROR((G7081*H7081*I7081/1000000)*D7081,0)</f>
      </c>
    </row>
    <row r="7082" spans="1:13" x14ac:dyDescent="0.25">
      <c r="A7082" s="16"/>
      <c r="E7082" s="27"/>
      <c r="F7082" t="s">
        <v>26</v>
      </c>
      <c r="G7082" s="28">
        <f>IFERROR(VLOOKUP(F7082,CARTON_LOOKUP!$A:$E,3,0),"")</f>
      </c>
      <c r="H7082" s="28">
        <f>IFERROR(VLOOKUP(F7082,CARTON_LOOKUP!$A:$E,4,0),"")</f>
      </c>
      <c r="I7082" s="28">
        <f>IFERROR(VLOOKUP(F7082,CARTON_LOOKUP!$A:$E,5,0),"")</f>
      </c>
      <c r="J7082" s="29">
        <f>IFERROR(VLOOKUP(F7082,CARTON_LOOKUP!$A:$E,2,0),"")</f>
      </c>
      <c r="K7082" s="29">
        <f>IFERROR(J7082*D7082,0)</f>
      </c>
      <c r="L7082" s="29">
        <f>IFERROR(E7082*C7082,0)</f>
      </c>
      <c r="M7082" s="29">
        <f>IFERROR((G7082*H7082*I7082/1000000)*D7082,0)</f>
      </c>
    </row>
    <row r="7083" spans="1:13" x14ac:dyDescent="0.25">
      <c r="A7083" s="16"/>
      <c r="E7083" s="27"/>
      <c r="F7083" t="s">
        <v>26</v>
      </c>
      <c r="G7083" s="28">
        <f>IFERROR(VLOOKUP(F7083,CARTON_LOOKUP!$A:$E,3,0),"")</f>
      </c>
      <c r="H7083" s="28">
        <f>IFERROR(VLOOKUP(F7083,CARTON_LOOKUP!$A:$E,4,0),"")</f>
      </c>
      <c r="I7083" s="28">
        <f>IFERROR(VLOOKUP(F7083,CARTON_LOOKUP!$A:$E,5,0),"")</f>
      </c>
      <c r="J7083" s="29">
        <f>IFERROR(VLOOKUP(F7083,CARTON_LOOKUP!$A:$E,2,0),"")</f>
      </c>
      <c r="K7083" s="29">
        <f>IFERROR(J7083*D7083,0)</f>
      </c>
      <c r="L7083" s="29">
        <f>IFERROR(E7083*C7083,0)</f>
      </c>
      <c r="M7083" s="29">
        <f>IFERROR((G7083*H7083*I7083/1000000)*D7083,0)</f>
      </c>
    </row>
    <row r="7084" spans="1:13" x14ac:dyDescent="0.25">
      <c r="A7084" s="16"/>
      <c r="E7084" s="27"/>
      <c r="F7084" t="s">
        <v>26</v>
      </c>
      <c r="G7084" s="28">
        <f>IFERROR(VLOOKUP(F7084,CARTON_LOOKUP!$A:$E,3,0),"")</f>
      </c>
      <c r="H7084" s="28">
        <f>IFERROR(VLOOKUP(F7084,CARTON_LOOKUP!$A:$E,4,0),"")</f>
      </c>
      <c r="I7084" s="28">
        <f>IFERROR(VLOOKUP(F7084,CARTON_LOOKUP!$A:$E,5,0),"")</f>
      </c>
      <c r="J7084" s="29">
        <f>IFERROR(VLOOKUP(F7084,CARTON_LOOKUP!$A:$E,2,0),"")</f>
      </c>
      <c r="K7084" s="29">
        <f>IFERROR(J7084*D7084,0)</f>
      </c>
      <c r="L7084" s="29">
        <f>IFERROR(E7084*C7084,0)</f>
      </c>
      <c r="M7084" s="29">
        <f>IFERROR((G7084*H7084*I7084/1000000)*D7084,0)</f>
      </c>
    </row>
    <row r="7085" spans="1:13" x14ac:dyDescent="0.25">
      <c r="A7085" s="16"/>
      <c r="E7085" s="27"/>
      <c r="F7085" t="s">
        <v>26</v>
      </c>
      <c r="G7085" s="28">
        <f>IFERROR(VLOOKUP(F7085,CARTON_LOOKUP!$A:$E,3,0),"")</f>
      </c>
      <c r="H7085" s="28">
        <f>IFERROR(VLOOKUP(F7085,CARTON_LOOKUP!$A:$E,4,0),"")</f>
      </c>
      <c r="I7085" s="28">
        <f>IFERROR(VLOOKUP(F7085,CARTON_LOOKUP!$A:$E,5,0),"")</f>
      </c>
      <c r="J7085" s="29">
        <f>IFERROR(VLOOKUP(F7085,CARTON_LOOKUP!$A:$E,2,0),"")</f>
      </c>
      <c r="K7085" s="29">
        <f>IFERROR(J7085*D7085,0)</f>
      </c>
      <c r="L7085" s="29">
        <f>IFERROR(E7085*C7085,0)</f>
      </c>
      <c r="M7085" s="29">
        <f>IFERROR((G7085*H7085*I7085/1000000)*D7085,0)</f>
      </c>
    </row>
    <row r="7086" spans="1:13" x14ac:dyDescent="0.25">
      <c r="A7086" s="16"/>
      <c r="E7086" s="27"/>
      <c r="F7086" t="s">
        <v>26</v>
      </c>
      <c r="G7086" s="28">
        <f>IFERROR(VLOOKUP(F7086,CARTON_LOOKUP!$A:$E,3,0),"")</f>
      </c>
      <c r="H7086" s="28">
        <f>IFERROR(VLOOKUP(F7086,CARTON_LOOKUP!$A:$E,4,0),"")</f>
      </c>
      <c r="I7086" s="28">
        <f>IFERROR(VLOOKUP(F7086,CARTON_LOOKUP!$A:$E,5,0),"")</f>
      </c>
      <c r="J7086" s="29">
        <f>IFERROR(VLOOKUP(F7086,CARTON_LOOKUP!$A:$E,2,0),"")</f>
      </c>
      <c r="K7086" s="29">
        <f>IFERROR(J7086*D7086,0)</f>
      </c>
      <c r="L7086" s="29">
        <f>IFERROR(E7086*C7086,0)</f>
      </c>
      <c r="M7086" s="29">
        <f>IFERROR((G7086*H7086*I7086/1000000)*D7086,0)</f>
      </c>
    </row>
    <row r="7087" spans="1:13" x14ac:dyDescent="0.25">
      <c r="A7087" s="16"/>
      <c r="E7087" s="27"/>
      <c r="F7087" t="s">
        <v>26</v>
      </c>
      <c r="G7087" s="28">
        <f>IFERROR(VLOOKUP(F7087,CARTON_LOOKUP!$A:$E,3,0),"")</f>
      </c>
      <c r="H7087" s="28">
        <f>IFERROR(VLOOKUP(F7087,CARTON_LOOKUP!$A:$E,4,0),"")</f>
      </c>
      <c r="I7087" s="28">
        <f>IFERROR(VLOOKUP(F7087,CARTON_LOOKUP!$A:$E,5,0),"")</f>
      </c>
      <c r="J7087" s="29">
        <f>IFERROR(VLOOKUP(F7087,CARTON_LOOKUP!$A:$E,2,0),"")</f>
      </c>
      <c r="K7087" s="29">
        <f>IFERROR(J7087*D7087,0)</f>
      </c>
      <c r="L7087" s="29">
        <f>IFERROR(E7087*C7087,0)</f>
      </c>
      <c r="M7087" s="29">
        <f>IFERROR((G7087*H7087*I7087/1000000)*D7087,0)</f>
      </c>
    </row>
    <row r="7088" spans="1:13" x14ac:dyDescent="0.25">
      <c r="A7088" s="16"/>
      <c r="E7088" s="27"/>
      <c r="F7088" t="s">
        <v>26</v>
      </c>
      <c r="G7088" s="28">
        <f>IFERROR(VLOOKUP(F7088,CARTON_LOOKUP!$A:$E,3,0),"")</f>
      </c>
      <c r="H7088" s="28">
        <f>IFERROR(VLOOKUP(F7088,CARTON_LOOKUP!$A:$E,4,0),"")</f>
      </c>
      <c r="I7088" s="28">
        <f>IFERROR(VLOOKUP(F7088,CARTON_LOOKUP!$A:$E,5,0),"")</f>
      </c>
      <c r="J7088" s="29">
        <f>IFERROR(VLOOKUP(F7088,CARTON_LOOKUP!$A:$E,2,0),"")</f>
      </c>
      <c r="K7088" s="29">
        <f>IFERROR(J7088*D7088,0)</f>
      </c>
      <c r="L7088" s="29">
        <f>IFERROR(E7088*C7088,0)</f>
      </c>
      <c r="M7088" s="29">
        <f>IFERROR((G7088*H7088*I7088/1000000)*D7088,0)</f>
      </c>
    </row>
    <row r="7089" spans="1:13" x14ac:dyDescent="0.25">
      <c r="A7089" s="16"/>
      <c r="E7089" s="27"/>
      <c r="F7089" t="s">
        <v>26</v>
      </c>
      <c r="G7089" s="28">
        <f>IFERROR(VLOOKUP(F7089,CARTON_LOOKUP!$A:$E,3,0),"")</f>
      </c>
      <c r="H7089" s="28">
        <f>IFERROR(VLOOKUP(F7089,CARTON_LOOKUP!$A:$E,4,0),"")</f>
      </c>
      <c r="I7089" s="28">
        <f>IFERROR(VLOOKUP(F7089,CARTON_LOOKUP!$A:$E,5,0),"")</f>
      </c>
      <c r="J7089" s="29">
        <f>IFERROR(VLOOKUP(F7089,CARTON_LOOKUP!$A:$E,2,0),"")</f>
      </c>
      <c r="K7089" s="29">
        <f>IFERROR(J7089*D7089,0)</f>
      </c>
      <c r="L7089" s="29">
        <f>IFERROR(E7089*C7089,0)</f>
      </c>
      <c r="M7089" s="29">
        <f>IFERROR((G7089*H7089*I7089/1000000)*D7089,0)</f>
      </c>
    </row>
    <row r="7090" spans="1:13" x14ac:dyDescent="0.25">
      <c r="A7090" s="16"/>
      <c r="E7090" s="27"/>
      <c r="F7090" t="s">
        <v>26</v>
      </c>
      <c r="G7090" s="28">
        <f>IFERROR(VLOOKUP(F7090,CARTON_LOOKUP!$A:$E,3,0),"")</f>
      </c>
      <c r="H7090" s="28">
        <f>IFERROR(VLOOKUP(F7090,CARTON_LOOKUP!$A:$E,4,0),"")</f>
      </c>
      <c r="I7090" s="28">
        <f>IFERROR(VLOOKUP(F7090,CARTON_LOOKUP!$A:$E,5,0),"")</f>
      </c>
      <c r="J7090" s="29">
        <f>IFERROR(VLOOKUP(F7090,CARTON_LOOKUP!$A:$E,2,0),"")</f>
      </c>
      <c r="K7090" s="29">
        <f>IFERROR(J7090*D7090,0)</f>
      </c>
      <c r="L7090" s="29">
        <f>IFERROR(E7090*C7090,0)</f>
      </c>
      <c r="M7090" s="29">
        <f>IFERROR((G7090*H7090*I7090/1000000)*D7090,0)</f>
      </c>
    </row>
    <row r="7091" spans="1:13" x14ac:dyDescent="0.25">
      <c r="A7091" s="16"/>
      <c r="E7091" s="27"/>
      <c r="F7091" t="s">
        <v>26</v>
      </c>
      <c r="G7091" s="28">
        <f>IFERROR(VLOOKUP(F7091,CARTON_LOOKUP!$A:$E,3,0),"")</f>
      </c>
      <c r="H7091" s="28">
        <f>IFERROR(VLOOKUP(F7091,CARTON_LOOKUP!$A:$E,4,0),"")</f>
      </c>
      <c r="I7091" s="28">
        <f>IFERROR(VLOOKUP(F7091,CARTON_LOOKUP!$A:$E,5,0),"")</f>
      </c>
      <c r="J7091" s="29">
        <f>IFERROR(VLOOKUP(F7091,CARTON_LOOKUP!$A:$E,2,0),"")</f>
      </c>
      <c r="K7091" s="29">
        <f>IFERROR(J7091*D7091,0)</f>
      </c>
      <c r="L7091" s="29">
        <f>IFERROR(E7091*C7091,0)</f>
      </c>
      <c r="M7091" s="29">
        <f>IFERROR((G7091*H7091*I7091/1000000)*D7091,0)</f>
      </c>
    </row>
    <row r="7092" spans="1:13" x14ac:dyDescent="0.25">
      <c r="A7092" s="16"/>
      <c r="E7092" s="27"/>
      <c r="F7092" t="s">
        <v>26</v>
      </c>
      <c r="G7092" s="28">
        <f>IFERROR(VLOOKUP(F7092,CARTON_LOOKUP!$A:$E,3,0),"")</f>
      </c>
      <c r="H7092" s="28">
        <f>IFERROR(VLOOKUP(F7092,CARTON_LOOKUP!$A:$E,4,0),"")</f>
      </c>
      <c r="I7092" s="28">
        <f>IFERROR(VLOOKUP(F7092,CARTON_LOOKUP!$A:$E,5,0),"")</f>
      </c>
      <c r="J7092" s="29">
        <f>IFERROR(VLOOKUP(F7092,CARTON_LOOKUP!$A:$E,2,0),"")</f>
      </c>
      <c r="K7092" s="29">
        <f>IFERROR(J7092*D7092,0)</f>
      </c>
      <c r="L7092" s="29">
        <f>IFERROR(E7092*C7092,0)</f>
      </c>
      <c r="M7092" s="29">
        <f>IFERROR((G7092*H7092*I7092/1000000)*D7092,0)</f>
      </c>
    </row>
    <row r="7093" spans="1:13" x14ac:dyDescent="0.25">
      <c r="A7093" s="16"/>
      <c r="E7093" s="27"/>
      <c r="F7093" t="s">
        <v>26</v>
      </c>
      <c r="G7093" s="28">
        <f>IFERROR(VLOOKUP(F7093,CARTON_LOOKUP!$A:$E,3,0),"")</f>
      </c>
      <c r="H7093" s="28">
        <f>IFERROR(VLOOKUP(F7093,CARTON_LOOKUP!$A:$E,4,0),"")</f>
      </c>
      <c r="I7093" s="28">
        <f>IFERROR(VLOOKUP(F7093,CARTON_LOOKUP!$A:$E,5,0),"")</f>
      </c>
      <c r="J7093" s="29">
        <f>IFERROR(VLOOKUP(F7093,CARTON_LOOKUP!$A:$E,2,0),"")</f>
      </c>
      <c r="K7093" s="29">
        <f>IFERROR(J7093*D7093,0)</f>
      </c>
      <c r="L7093" s="29">
        <f>IFERROR(E7093*C7093,0)</f>
      </c>
      <c r="M7093" s="29">
        <f>IFERROR((G7093*H7093*I7093/1000000)*D7093,0)</f>
      </c>
    </row>
    <row r="7094" spans="1:13" x14ac:dyDescent="0.25">
      <c r="A7094" s="16"/>
      <c r="E7094" s="27"/>
      <c r="F7094" t="s">
        <v>26</v>
      </c>
      <c r="G7094" s="28">
        <f>IFERROR(VLOOKUP(F7094,CARTON_LOOKUP!$A:$E,3,0),"")</f>
      </c>
      <c r="H7094" s="28">
        <f>IFERROR(VLOOKUP(F7094,CARTON_LOOKUP!$A:$E,4,0),"")</f>
      </c>
      <c r="I7094" s="28">
        <f>IFERROR(VLOOKUP(F7094,CARTON_LOOKUP!$A:$E,5,0),"")</f>
      </c>
      <c r="J7094" s="29">
        <f>IFERROR(VLOOKUP(F7094,CARTON_LOOKUP!$A:$E,2,0),"")</f>
      </c>
      <c r="K7094" s="29">
        <f>IFERROR(J7094*D7094,0)</f>
      </c>
      <c r="L7094" s="29">
        <f>IFERROR(E7094*C7094,0)</f>
      </c>
      <c r="M7094" s="29">
        <f>IFERROR((G7094*H7094*I7094/1000000)*D7094,0)</f>
      </c>
    </row>
    <row r="7095" spans="1:13" x14ac:dyDescent="0.25">
      <c r="A7095" s="16"/>
      <c r="E7095" s="27"/>
      <c r="F7095" t="s">
        <v>26</v>
      </c>
      <c r="G7095" s="28">
        <f>IFERROR(VLOOKUP(F7095,CARTON_LOOKUP!$A:$E,3,0),"")</f>
      </c>
      <c r="H7095" s="28">
        <f>IFERROR(VLOOKUP(F7095,CARTON_LOOKUP!$A:$E,4,0),"")</f>
      </c>
      <c r="I7095" s="28">
        <f>IFERROR(VLOOKUP(F7095,CARTON_LOOKUP!$A:$E,5,0),"")</f>
      </c>
      <c r="J7095" s="29">
        <f>IFERROR(VLOOKUP(F7095,CARTON_LOOKUP!$A:$E,2,0),"")</f>
      </c>
      <c r="K7095" s="29">
        <f>IFERROR(J7095*D7095,0)</f>
      </c>
      <c r="L7095" s="29">
        <f>IFERROR(E7095*C7095,0)</f>
      </c>
      <c r="M7095" s="29">
        <f>IFERROR((G7095*H7095*I7095/1000000)*D7095,0)</f>
      </c>
    </row>
    <row r="7096" spans="1:13" x14ac:dyDescent="0.25">
      <c r="A7096" s="16"/>
      <c r="E7096" s="27"/>
      <c r="F7096" t="s">
        <v>26</v>
      </c>
      <c r="G7096" s="28">
        <f>IFERROR(VLOOKUP(F7096,CARTON_LOOKUP!$A:$E,3,0),"")</f>
      </c>
      <c r="H7096" s="28">
        <f>IFERROR(VLOOKUP(F7096,CARTON_LOOKUP!$A:$E,4,0),"")</f>
      </c>
      <c r="I7096" s="28">
        <f>IFERROR(VLOOKUP(F7096,CARTON_LOOKUP!$A:$E,5,0),"")</f>
      </c>
      <c r="J7096" s="29">
        <f>IFERROR(VLOOKUP(F7096,CARTON_LOOKUP!$A:$E,2,0),"")</f>
      </c>
      <c r="K7096" s="29">
        <f>IFERROR(J7096*D7096,0)</f>
      </c>
      <c r="L7096" s="29">
        <f>IFERROR(E7096*C7096,0)</f>
      </c>
      <c r="M7096" s="29">
        <f>IFERROR((G7096*H7096*I7096/1000000)*D7096,0)</f>
      </c>
    </row>
    <row r="7097" spans="1:13" x14ac:dyDescent="0.25">
      <c r="A7097" s="16"/>
      <c r="E7097" s="27"/>
      <c r="F7097" t="s">
        <v>26</v>
      </c>
      <c r="G7097" s="28">
        <f>IFERROR(VLOOKUP(F7097,CARTON_LOOKUP!$A:$E,3,0),"")</f>
      </c>
      <c r="H7097" s="28">
        <f>IFERROR(VLOOKUP(F7097,CARTON_LOOKUP!$A:$E,4,0),"")</f>
      </c>
      <c r="I7097" s="28">
        <f>IFERROR(VLOOKUP(F7097,CARTON_LOOKUP!$A:$E,5,0),"")</f>
      </c>
      <c r="J7097" s="29">
        <f>IFERROR(VLOOKUP(F7097,CARTON_LOOKUP!$A:$E,2,0),"")</f>
      </c>
      <c r="K7097" s="29">
        <f>IFERROR(J7097*D7097,0)</f>
      </c>
      <c r="L7097" s="29">
        <f>IFERROR(E7097*C7097,0)</f>
      </c>
      <c r="M7097" s="29">
        <f>IFERROR((G7097*H7097*I7097/1000000)*D7097,0)</f>
      </c>
    </row>
    <row r="7098" spans="1:13" x14ac:dyDescent="0.25">
      <c r="A7098" s="16"/>
      <c r="E7098" s="27"/>
      <c r="F7098" t="s">
        <v>26</v>
      </c>
      <c r="G7098" s="28">
        <f>IFERROR(VLOOKUP(F7098,CARTON_LOOKUP!$A:$E,3,0),"")</f>
      </c>
      <c r="H7098" s="28">
        <f>IFERROR(VLOOKUP(F7098,CARTON_LOOKUP!$A:$E,4,0),"")</f>
      </c>
      <c r="I7098" s="28">
        <f>IFERROR(VLOOKUP(F7098,CARTON_LOOKUP!$A:$E,5,0),"")</f>
      </c>
      <c r="J7098" s="29">
        <f>IFERROR(VLOOKUP(F7098,CARTON_LOOKUP!$A:$E,2,0),"")</f>
      </c>
      <c r="K7098" s="29">
        <f>IFERROR(J7098*D7098,0)</f>
      </c>
      <c r="L7098" s="29">
        <f>IFERROR(E7098*C7098,0)</f>
      </c>
      <c r="M7098" s="29">
        <f>IFERROR((G7098*H7098*I7098/1000000)*D7098,0)</f>
      </c>
    </row>
    <row r="7099" spans="1:13" x14ac:dyDescent="0.25">
      <c r="A7099" s="16"/>
      <c r="E7099" s="27"/>
      <c r="F7099" t="s">
        <v>26</v>
      </c>
      <c r="G7099" s="28">
        <f>IFERROR(VLOOKUP(F7099,CARTON_LOOKUP!$A:$E,3,0),"")</f>
      </c>
      <c r="H7099" s="28">
        <f>IFERROR(VLOOKUP(F7099,CARTON_LOOKUP!$A:$E,4,0),"")</f>
      </c>
      <c r="I7099" s="28">
        <f>IFERROR(VLOOKUP(F7099,CARTON_LOOKUP!$A:$E,5,0),"")</f>
      </c>
      <c r="J7099" s="29">
        <f>IFERROR(VLOOKUP(F7099,CARTON_LOOKUP!$A:$E,2,0),"")</f>
      </c>
      <c r="K7099" s="29">
        <f>IFERROR(J7099*D7099,0)</f>
      </c>
      <c r="L7099" s="29">
        <f>IFERROR(E7099*C7099,0)</f>
      </c>
      <c r="M7099" s="29">
        <f>IFERROR((G7099*H7099*I7099/1000000)*D7099,0)</f>
      </c>
    </row>
    <row r="7100" spans="1:13" x14ac:dyDescent="0.25">
      <c r="A7100" s="16"/>
      <c r="E7100" s="27"/>
      <c r="F7100" t="s">
        <v>26</v>
      </c>
      <c r="G7100" s="28">
        <f>IFERROR(VLOOKUP(F7100,CARTON_LOOKUP!$A:$E,3,0),"")</f>
      </c>
      <c r="H7100" s="28">
        <f>IFERROR(VLOOKUP(F7100,CARTON_LOOKUP!$A:$E,4,0),"")</f>
      </c>
      <c r="I7100" s="28">
        <f>IFERROR(VLOOKUP(F7100,CARTON_LOOKUP!$A:$E,5,0),"")</f>
      </c>
      <c r="J7100" s="29">
        <f>IFERROR(VLOOKUP(F7100,CARTON_LOOKUP!$A:$E,2,0),"")</f>
      </c>
      <c r="K7100" s="29">
        <f>IFERROR(J7100*D7100,0)</f>
      </c>
      <c r="L7100" s="29">
        <f>IFERROR(E7100*C7100,0)</f>
      </c>
      <c r="M7100" s="29">
        <f>IFERROR((G7100*H7100*I7100/1000000)*D7100,0)</f>
      </c>
    </row>
    <row r="7101" spans="1:13" x14ac:dyDescent="0.25">
      <c r="A7101" s="16"/>
      <c r="E7101" s="27"/>
      <c r="F7101" t="s">
        <v>26</v>
      </c>
      <c r="G7101" s="28">
        <f>IFERROR(VLOOKUP(F7101,CARTON_LOOKUP!$A:$E,3,0),"")</f>
      </c>
      <c r="H7101" s="28">
        <f>IFERROR(VLOOKUP(F7101,CARTON_LOOKUP!$A:$E,4,0),"")</f>
      </c>
      <c r="I7101" s="28">
        <f>IFERROR(VLOOKUP(F7101,CARTON_LOOKUP!$A:$E,5,0),"")</f>
      </c>
      <c r="J7101" s="29">
        <f>IFERROR(VLOOKUP(F7101,CARTON_LOOKUP!$A:$E,2,0),"")</f>
      </c>
      <c r="K7101" s="29">
        <f>IFERROR(J7101*D7101,0)</f>
      </c>
      <c r="L7101" s="29">
        <f>IFERROR(E7101*C7101,0)</f>
      </c>
      <c r="M7101" s="29">
        <f>IFERROR((G7101*H7101*I7101/1000000)*D7101,0)</f>
      </c>
    </row>
    <row r="7102" spans="1:13" x14ac:dyDescent="0.25">
      <c r="A7102" s="16"/>
      <c r="E7102" s="27"/>
      <c r="F7102" t="s">
        <v>26</v>
      </c>
      <c r="G7102" s="28">
        <f>IFERROR(VLOOKUP(F7102,CARTON_LOOKUP!$A:$E,3,0),"")</f>
      </c>
      <c r="H7102" s="28">
        <f>IFERROR(VLOOKUP(F7102,CARTON_LOOKUP!$A:$E,4,0),"")</f>
      </c>
      <c r="I7102" s="28">
        <f>IFERROR(VLOOKUP(F7102,CARTON_LOOKUP!$A:$E,5,0),"")</f>
      </c>
      <c r="J7102" s="29">
        <f>IFERROR(VLOOKUP(F7102,CARTON_LOOKUP!$A:$E,2,0),"")</f>
      </c>
      <c r="K7102" s="29">
        <f>IFERROR(J7102*D7102,0)</f>
      </c>
      <c r="L7102" s="29">
        <f>IFERROR(E7102*C7102,0)</f>
      </c>
      <c r="M7102" s="29">
        <f>IFERROR((G7102*H7102*I7102/1000000)*D7102,0)</f>
      </c>
    </row>
    <row r="7103" spans="1:13" x14ac:dyDescent="0.25">
      <c r="A7103" s="16"/>
      <c r="E7103" s="27"/>
      <c r="F7103" t="s">
        <v>26</v>
      </c>
      <c r="G7103" s="28">
        <f>IFERROR(VLOOKUP(F7103,CARTON_LOOKUP!$A:$E,3,0),"")</f>
      </c>
      <c r="H7103" s="28">
        <f>IFERROR(VLOOKUP(F7103,CARTON_LOOKUP!$A:$E,4,0),"")</f>
      </c>
      <c r="I7103" s="28">
        <f>IFERROR(VLOOKUP(F7103,CARTON_LOOKUP!$A:$E,5,0),"")</f>
      </c>
      <c r="J7103" s="29">
        <f>IFERROR(VLOOKUP(F7103,CARTON_LOOKUP!$A:$E,2,0),"")</f>
      </c>
      <c r="K7103" s="29">
        <f>IFERROR(J7103*D7103,0)</f>
      </c>
      <c r="L7103" s="29">
        <f>IFERROR(E7103*C7103,0)</f>
      </c>
      <c r="M7103" s="29">
        <f>IFERROR((G7103*H7103*I7103/1000000)*D7103,0)</f>
      </c>
    </row>
    <row r="7104" spans="1:13" x14ac:dyDescent="0.25">
      <c r="A7104" s="16"/>
      <c r="E7104" s="27"/>
      <c r="F7104" t="s">
        <v>26</v>
      </c>
      <c r="G7104" s="28">
        <f>IFERROR(VLOOKUP(F7104,CARTON_LOOKUP!$A:$E,3,0),"")</f>
      </c>
      <c r="H7104" s="28">
        <f>IFERROR(VLOOKUP(F7104,CARTON_LOOKUP!$A:$E,4,0),"")</f>
      </c>
      <c r="I7104" s="28">
        <f>IFERROR(VLOOKUP(F7104,CARTON_LOOKUP!$A:$E,5,0),"")</f>
      </c>
      <c r="J7104" s="29">
        <f>IFERROR(VLOOKUP(F7104,CARTON_LOOKUP!$A:$E,2,0),"")</f>
      </c>
      <c r="K7104" s="29">
        <f>IFERROR(J7104*D7104,0)</f>
      </c>
      <c r="L7104" s="29">
        <f>IFERROR(E7104*C7104,0)</f>
      </c>
      <c r="M7104" s="29">
        <f>IFERROR((G7104*H7104*I7104/1000000)*D7104,0)</f>
      </c>
    </row>
    <row r="7105" spans="1:13" x14ac:dyDescent="0.25">
      <c r="A7105" s="16"/>
      <c r="E7105" s="27"/>
      <c r="F7105" t="s">
        <v>26</v>
      </c>
      <c r="G7105" s="28">
        <f>IFERROR(VLOOKUP(F7105,CARTON_LOOKUP!$A:$E,3,0),"")</f>
      </c>
      <c r="H7105" s="28">
        <f>IFERROR(VLOOKUP(F7105,CARTON_LOOKUP!$A:$E,4,0),"")</f>
      </c>
      <c r="I7105" s="28">
        <f>IFERROR(VLOOKUP(F7105,CARTON_LOOKUP!$A:$E,5,0),"")</f>
      </c>
      <c r="J7105" s="29">
        <f>IFERROR(VLOOKUP(F7105,CARTON_LOOKUP!$A:$E,2,0),"")</f>
      </c>
      <c r="K7105" s="29">
        <f>IFERROR(J7105*D7105,0)</f>
      </c>
      <c r="L7105" s="29">
        <f>IFERROR(E7105*C7105,0)</f>
      </c>
      <c r="M7105" s="29">
        <f>IFERROR((G7105*H7105*I7105/1000000)*D7105,0)</f>
      </c>
    </row>
    <row r="7106" spans="1:13" x14ac:dyDescent="0.25">
      <c r="A7106" s="16"/>
      <c r="E7106" s="27"/>
      <c r="F7106" t="s">
        <v>26</v>
      </c>
      <c r="G7106" s="28">
        <f>IFERROR(VLOOKUP(F7106,CARTON_LOOKUP!$A:$E,3,0),"")</f>
      </c>
      <c r="H7106" s="28">
        <f>IFERROR(VLOOKUP(F7106,CARTON_LOOKUP!$A:$E,4,0),"")</f>
      </c>
      <c r="I7106" s="28">
        <f>IFERROR(VLOOKUP(F7106,CARTON_LOOKUP!$A:$E,5,0),"")</f>
      </c>
      <c r="J7106" s="29">
        <f>IFERROR(VLOOKUP(F7106,CARTON_LOOKUP!$A:$E,2,0),"")</f>
      </c>
      <c r="K7106" s="29">
        <f>IFERROR(J7106*D7106,0)</f>
      </c>
      <c r="L7106" s="29">
        <f>IFERROR(E7106*C7106,0)</f>
      </c>
      <c r="M7106" s="29">
        <f>IFERROR((G7106*H7106*I7106/1000000)*D7106,0)</f>
      </c>
    </row>
    <row r="7107" spans="1:13" x14ac:dyDescent="0.25">
      <c r="A7107" s="16"/>
      <c r="E7107" s="27"/>
      <c r="F7107" t="s">
        <v>26</v>
      </c>
      <c r="G7107" s="28">
        <f>IFERROR(VLOOKUP(F7107,CARTON_LOOKUP!$A:$E,3,0),"")</f>
      </c>
      <c r="H7107" s="28">
        <f>IFERROR(VLOOKUP(F7107,CARTON_LOOKUP!$A:$E,4,0),"")</f>
      </c>
      <c r="I7107" s="28">
        <f>IFERROR(VLOOKUP(F7107,CARTON_LOOKUP!$A:$E,5,0),"")</f>
      </c>
      <c r="J7107" s="29">
        <f>IFERROR(VLOOKUP(F7107,CARTON_LOOKUP!$A:$E,2,0),"")</f>
      </c>
      <c r="K7107" s="29">
        <f>IFERROR(J7107*D7107,0)</f>
      </c>
      <c r="L7107" s="29">
        <f>IFERROR(E7107*C7107,0)</f>
      </c>
      <c r="M7107" s="29">
        <f>IFERROR((G7107*H7107*I7107/1000000)*D7107,0)</f>
      </c>
    </row>
    <row r="7108" spans="1:13" x14ac:dyDescent="0.25">
      <c r="A7108" s="16"/>
      <c r="E7108" s="27"/>
      <c r="F7108" t="s">
        <v>26</v>
      </c>
      <c r="G7108" s="28">
        <f>IFERROR(VLOOKUP(F7108,CARTON_LOOKUP!$A:$E,3,0),"")</f>
      </c>
      <c r="H7108" s="28">
        <f>IFERROR(VLOOKUP(F7108,CARTON_LOOKUP!$A:$E,4,0),"")</f>
      </c>
      <c r="I7108" s="28">
        <f>IFERROR(VLOOKUP(F7108,CARTON_LOOKUP!$A:$E,5,0),"")</f>
      </c>
      <c r="J7108" s="29">
        <f>IFERROR(VLOOKUP(F7108,CARTON_LOOKUP!$A:$E,2,0),"")</f>
      </c>
      <c r="K7108" s="29">
        <f>IFERROR(J7108*D7108,0)</f>
      </c>
      <c r="L7108" s="29">
        <f>IFERROR(E7108*C7108,0)</f>
      </c>
      <c r="M7108" s="29">
        <f>IFERROR((G7108*H7108*I7108/1000000)*D7108,0)</f>
      </c>
    </row>
    <row r="7109" spans="1:13" x14ac:dyDescent="0.25">
      <c r="A7109" s="16"/>
      <c r="E7109" s="27"/>
      <c r="F7109" t="s">
        <v>26</v>
      </c>
      <c r="G7109" s="28">
        <f>IFERROR(VLOOKUP(F7109,CARTON_LOOKUP!$A:$E,3,0),"")</f>
      </c>
      <c r="H7109" s="28">
        <f>IFERROR(VLOOKUP(F7109,CARTON_LOOKUP!$A:$E,4,0),"")</f>
      </c>
      <c r="I7109" s="28">
        <f>IFERROR(VLOOKUP(F7109,CARTON_LOOKUP!$A:$E,5,0),"")</f>
      </c>
      <c r="J7109" s="29">
        <f>IFERROR(VLOOKUP(F7109,CARTON_LOOKUP!$A:$E,2,0),"")</f>
      </c>
      <c r="K7109" s="29">
        <f>IFERROR(J7109*D7109,0)</f>
      </c>
      <c r="L7109" s="29">
        <f>IFERROR(E7109*C7109,0)</f>
      </c>
      <c r="M7109" s="29">
        <f>IFERROR((G7109*H7109*I7109/1000000)*D7109,0)</f>
      </c>
    </row>
    <row r="7110" spans="1:13" x14ac:dyDescent="0.25">
      <c r="A7110" s="16"/>
      <c r="E7110" s="27"/>
      <c r="F7110" t="s">
        <v>26</v>
      </c>
      <c r="G7110" s="28">
        <f>IFERROR(VLOOKUP(F7110,CARTON_LOOKUP!$A:$E,3,0),"")</f>
      </c>
      <c r="H7110" s="28">
        <f>IFERROR(VLOOKUP(F7110,CARTON_LOOKUP!$A:$E,4,0),"")</f>
      </c>
      <c r="I7110" s="28">
        <f>IFERROR(VLOOKUP(F7110,CARTON_LOOKUP!$A:$E,5,0),"")</f>
      </c>
      <c r="J7110" s="29">
        <f>IFERROR(VLOOKUP(F7110,CARTON_LOOKUP!$A:$E,2,0),"")</f>
      </c>
      <c r="K7110" s="29">
        <f>IFERROR(J7110*D7110,0)</f>
      </c>
      <c r="L7110" s="29">
        <f>IFERROR(E7110*C7110,0)</f>
      </c>
      <c r="M7110" s="29">
        <f>IFERROR((G7110*H7110*I7110/1000000)*D7110,0)</f>
      </c>
    </row>
    <row r="7111" spans="1:13" x14ac:dyDescent="0.25">
      <c r="A7111" s="16"/>
      <c r="E7111" s="27"/>
      <c r="F7111" t="s">
        <v>26</v>
      </c>
      <c r="G7111" s="28">
        <f>IFERROR(VLOOKUP(F7111,CARTON_LOOKUP!$A:$E,3,0),"")</f>
      </c>
      <c r="H7111" s="28">
        <f>IFERROR(VLOOKUP(F7111,CARTON_LOOKUP!$A:$E,4,0),"")</f>
      </c>
      <c r="I7111" s="28">
        <f>IFERROR(VLOOKUP(F7111,CARTON_LOOKUP!$A:$E,5,0),"")</f>
      </c>
      <c r="J7111" s="29">
        <f>IFERROR(VLOOKUP(F7111,CARTON_LOOKUP!$A:$E,2,0),"")</f>
      </c>
      <c r="K7111" s="29">
        <f>IFERROR(J7111*D7111,0)</f>
      </c>
      <c r="L7111" s="29">
        <f>IFERROR(E7111*C7111,0)</f>
      </c>
      <c r="M7111" s="29">
        <f>IFERROR((G7111*H7111*I7111/1000000)*D7111,0)</f>
      </c>
    </row>
    <row r="7112" spans="1:13" x14ac:dyDescent="0.25">
      <c r="A7112" s="16"/>
      <c r="E7112" s="27"/>
      <c r="F7112" t="s">
        <v>26</v>
      </c>
      <c r="G7112" s="28">
        <f>IFERROR(VLOOKUP(F7112,CARTON_LOOKUP!$A:$E,3,0),"")</f>
      </c>
      <c r="H7112" s="28">
        <f>IFERROR(VLOOKUP(F7112,CARTON_LOOKUP!$A:$E,4,0),"")</f>
      </c>
      <c r="I7112" s="28">
        <f>IFERROR(VLOOKUP(F7112,CARTON_LOOKUP!$A:$E,5,0),"")</f>
      </c>
      <c r="J7112" s="29">
        <f>IFERROR(VLOOKUP(F7112,CARTON_LOOKUP!$A:$E,2,0),"")</f>
      </c>
      <c r="K7112" s="29">
        <f>IFERROR(J7112*D7112,0)</f>
      </c>
      <c r="L7112" s="29">
        <f>IFERROR(E7112*C7112,0)</f>
      </c>
      <c r="M7112" s="29">
        <f>IFERROR((G7112*H7112*I7112/1000000)*D7112,0)</f>
      </c>
    </row>
    <row r="7113" spans="1:13" x14ac:dyDescent="0.25">
      <c r="A7113" s="16"/>
      <c r="E7113" s="27"/>
      <c r="F7113" t="s">
        <v>26</v>
      </c>
      <c r="G7113" s="28">
        <f>IFERROR(VLOOKUP(F7113,CARTON_LOOKUP!$A:$E,3,0),"")</f>
      </c>
      <c r="H7113" s="28">
        <f>IFERROR(VLOOKUP(F7113,CARTON_LOOKUP!$A:$E,4,0),"")</f>
      </c>
      <c r="I7113" s="28">
        <f>IFERROR(VLOOKUP(F7113,CARTON_LOOKUP!$A:$E,5,0),"")</f>
      </c>
      <c r="J7113" s="29">
        <f>IFERROR(VLOOKUP(F7113,CARTON_LOOKUP!$A:$E,2,0),"")</f>
      </c>
      <c r="K7113" s="29">
        <f>IFERROR(J7113*D7113,0)</f>
      </c>
      <c r="L7113" s="29">
        <f>IFERROR(E7113*C7113,0)</f>
      </c>
      <c r="M7113" s="29">
        <f>IFERROR((G7113*H7113*I7113/1000000)*D7113,0)</f>
      </c>
    </row>
    <row r="7114" spans="1:13" x14ac:dyDescent="0.25">
      <c r="A7114" s="16"/>
      <c r="E7114" s="27"/>
      <c r="F7114" t="s">
        <v>26</v>
      </c>
      <c r="G7114" s="28">
        <f>IFERROR(VLOOKUP(F7114,CARTON_LOOKUP!$A:$E,3,0),"")</f>
      </c>
      <c r="H7114" s="28">
        <f>IFERROR(VLOOKUP(F7114,CARTON_LOOKUP!$A:$E,4,0),"")</f>
      </c>
      <c r="I7114" s="28">
        <f>IFERROR(VLOOKUP(F7114,CARTON_LOOKUP!$A:$E,5,0),"")</f>
      </c>
      <c r="J7114" s="29">
        <f>IFERROR(VLOOKUP(F7114,CARTON_LOOKUP!$A:$E,2,0),"")</f>
      </c>
      <c r="K7114" s="29">
        <f>IFERROR(J7114*D7114,0)</f>
      </c>
      <c r="L7114" s="29">
        <f>IFERROR(E7114*C7114,0)</f>
      </c>
      <c r="M7114" s="29">
        <f>IFERROR((G7114*H7114*I7114/1000000)*D7114,0)</f>
      </c>
    </row>
    <row r="7115" spans="1:13" x14ac:dyDescent="0.25">
      <c r="A7115" s="16"/>
      <c r="E7115" s="27"/>
      <c r="F7115" t="s">
        <v>26</v>
      </c>
      <c r="G7115" s="28">
        <f>IFERROR(VLOOKUP(F7115,CARTON_LOOKUP!$A:$E,3,0),"")</f>
      </c>
      <c r="H7115" s="28">
        <f>IFERROR(VLOOKUP(F7115,CARTON_LOOKUP!$A:$E,4,0),"")</f>
      </c>
      <c r="I7115" s="28">
        <f>IFERROR(VLOOKUP(F7115,CARTON_LOOKUP!$A:$E,5,0),"")</f>
      </c>
      <c r="J7115" s="29">
        <f>IFERROR(VLOOKUP(F7115,CARTON_LOOKUP!$A:$E,2,0),"")</f>
      </c>
      <c r="K7115" s="29">
        <f>IFERROR(J7115*D7115,0)</f>
      </c>
      <c r="L7115" s="29">
        <f>IFERROR(E7115*C7115,0)</f>
      </c>
      <c r="M7115" s="29">
        <f>IFERROR((G7115*H7115*I7115/1000000)*D7115,0)</f>
      </c>
    </row>
    <row r="7116" spans="1:13" x14ac:dyDescent="0.25">
      <c r="A7116" s="16"/>
      <c r="E7116" s="27"/>
      <c r="F7116" t="s">
        <v>26</v>
      </c>
      <c r="G7116" s="28">
        <f>IFERROR(VLOOKUP(F7116,CARTON_LOOKUP!$A:$E,3,0),"")</f>
      </c>
      <c r="H7116" s="28">
        <f>IFERROR(VLOOKUP(F7116,CARTON_LOOKUP!$A:$E,4,0),"")</f>
      </c>
      <c r="I7116" s="28">
        <f>IFERROR(VLOOKUP(F7116,CARTON_LOOKUP!$A:$E,5,0),"")</f>
      </c>
      <c r="J7116" s="29">
        <f>IFERROR(VLOOKUP(F7116,CARTON_LOOKUP!$A:$E,2,0),"")</f>
      </c>
      <c r="K7116" s="29">
        <f>IFERROR(J7116*D7116,0)</f>
      </c>
      <c r="L7116" s="29">
        <f>IFERROR(E7116*C7116,0)</f>
      </c>
      <c r="M7116" s="29">
        <f>IFERROR((G7116*H7116*I7116/1000000)*D7116,0)</f>
      </c>
    </row>
    <row r="7117" spans="1:13" x14ac:dyDescent="0.25">
      <c r="A7117" s="16"/>
      <c r="E7117" s="27"/>
      <c r="F7117" t="s">
        <v>26</v>
      </c>
      <c r="G7117" s="28">
        <f>IFERROR(VLOOKUP(F7117,CARTON_LOOKUP!$A:$E,3,0),"")</f>
      </c>
      <c r="H7117" s="28">
        <f>IFERROR(VLOOKUP(F7117,CARTON_LOOKUP!$A:$E,4,0),"")</f>
      </c>
      <c r="I7117" s="28">
        <f>IFERROR(VLOOKUP(F7117,CARTON_LOOKUP!$A:$E,5,0),"")</f>
      </c>
      <c r="J7117" s="29">
        <f>IFERROR(VLOOKUP(F7117,CARTON_LOOKUP!$A:$E,2,0),"")</f>
      </c>
      <c r="K7117" s="29">
        <f>IFERROR(J7117*D7117,0)</f>
      </c>
      <c r="L7117" s="29">
        <f>IFERROR(E7117*C7117,0)</f>
      </c>
      <c r="M7117" s="29">
        <f>IFERROR((G7117*H7117*I7117/1000000)*D7117,0)</f>
      </c>
    </row>
    <row r="7118" spans="1:13" x14ac:dyDescent="0.25">
      <c r="A7118" s="16"/>
      <c r="E7118" s="27"/>
      <c r="F7118" t="s">
        <v>26</v>
      </c>
      <c r="G7118" s="28">
        <f>IFERROR(VLOOKUP(F7118,CARTON_LOOKUP!$A:$E,3,0),"")</f>
      </c>
      <c r="H7118" s="28">
        <f>IFERROR(VLOOKUP(F7118,CARTON_LOOKUP!$A:$E,4,0),"")</f>
      </c>
      <c r="I7118" s="28">
        <f>IFERROR(VLOOKUP(F7118,CARTON_LOOKUP!$A:$E,5,0),"")</f>
      </c>
      <c r="J7118" s="29">
        <f>IFERROR(VLOOKUP(F7118,CARTON_LOOKUP!$A:$E,2,0),"")</f>
      </c>
      <c r="K7118" s="29">
        <f>IFERROR(J7118*D7118,0)</f>
      </c>
      <c r="L7118" s="29">
        <f>IFERROR(E7118*C7118,0)</f>
      </c>
      <c r="M7118" s="29">
        <f>IFERROR((G7118*H7118*I7118/1000000)*D7118,0)</f>
      </c>
    </row>
    <row r="7119" spans="1:13" x14ac:dyDescent="0.25">
      <c r="A7119" s="16"/>
      <c r="E7119" s="27"/>
      <c r="F7119" t="s">
        <v>26</v>
      </c>
      <c r="G7119" s="28">
        <f>IFERROR(VLOOKUP(F7119,CARTON_LOOKUP!$A:$E,3,0),"")</f>
      </c>
      <c r="H7119" s="28">
        <f>IFERROR(VLOOKUP(F7119,CARTON_LOOKUP!$A:$E,4,0),"")</f>
      </c>
      <c r="I7119" s="28">
        <f>IFERROR(VLOOKUP(F7119,CARTON_LOOKUP!$A:$E,5,0),"")</f>
      </c>
      <c r="J7119" s="29">
        <f>IFERROR(VLOOKUP(F7119,CARTON_LOOKUP!$A:$E,2,0),"")</f>
      </c>
      <c r="K7119" s="29">
        <f>IFERROR(J7119*D7119,0)</f>
      </c>
      <c r="L7119" s="29">
        <f>IFERROR(E7119*C7119,0)</f>
      </c>
      <c r="M7119" s="29">
        <f>IFERROR((G7119*H7119*I7119/1000000)*D7119,0)</f>
      </c>
    </row>
    <row r="7120" spans="1:13" x14ac:dyDescent="0.25">
      <c r="A7120" s="16"/>
      <c r="E7120" s="27"/>
      <c r="F7120" t="s">
        <v>26</v>
      </c>
      <c r="G7120" s="28">
        <f>IFERROR(VLOOKUP(F7120,CARTON_LOOKUP!$A:$E,3,0),"")</f>
      </c>
      <c r="H7120" s="28">
        <f>IFERROR(VLOOKUP(F7120,CARTON_LOOKUP!$A:$E,4,0),"")</f>
      </c>
      <c r="I7120" s="28">
        <f>IFERROR(VLOOKUP(F7120,CARTON_LOOKUP!$A:$E,5,0),"")</f>
      </c>
      <c r="J7120" s="29">
        <f>IFERROR(VLOOKUP(F7120,CARTON_LOOKUP!$A:$E,2,0),"")</f>
      </c>
      <c r="K7120" s="29">
        <f>IFERROR(J7120*D7120,0)</f>
      </c>
      <c r="L7120" s="29">
        <f>IFERROR(E7120*C7120,0)</f>
      </c>
      <c r="M7120" s="29">
        <f>IFERROR((G7120*H7120*I7120/1000000)*D7120,0)</f>
      </c>
    </row>
    <row r="7121" spans="1:13" x14ac:dyDescent="0.25">
      <c r="A7121" s="16"/>
      <c r="E7121" s="27"/>
      <c r="F7121" t="s">
        <v>26</v>
      </c>
      <c r="G7121" s="28">
        <f>IFERROR(VLOOKUP(F7121,CARTON_LOOKUP!$A:$E,3,0),"")</f>
      </c>
      <c r="H7121" s="28">
        <f>IFERROR(VLOOKUP(F7121,CARTON_LOOKUP!$A:$E,4,0),"")</f>
      </c>
      <c r="I7121" s="28">
        <f>IFERROR(VLOOKUP(F7121,CARTON_LOOKUP!$A:$E,5,0),"")</f>
      </c>
      <c r="J7121" s="29">
        <f>IFERROR(VLOOKUP(F7121,CARTON_LOOKUP!$A:$E,2,0),"")</f>
      </c>
      <c r="K7121" s="29">
        <f>IFERROR(J7121*D7121,0)</f>
      </c>
      <c r="L7121" s="29">
        <f>IFERROR(E7121*C7121,0)</f>
      </c>
      <c r="M7121" s="29">
        <f>IFERROR((G7121*H7121*I7121/1000000)*D7121,0)</f>
      </c>
    </row>
    <row r="7122" spans="1:13" x14ac:dyDescent="0.25">
      <c r="A7122" s="16"/>
      <c r="E7122" s="27"/>
      <c r="F7122" t="s">
        <v>26</v>
      </c>
      <c r="G7122" s="28">
        <f>IFERROR(VLOOKUP(F7122,CARTON_LOOKUP!$A:$E,3,0),"")</f>
      </c>
      <c r="H7122" s="28">
        <f>IFERROR(VLOOKUP(F7122,CARTON_LOOKUP!$A:$E,4,0),"")</f>
      </c>
      <c r="I7122" s="28">
        <f>IFERROR(VLOOKUP(F7122,CARTON_LOOKUP!$A:$E,5,0),"")</f>
      </c>
      <c r="J7122" s="29">
        <f>IFERROR(VLOOKUP(F7122,CARTON_LOOKUP!$A:$E,2,0),"")</f>
      </c>
      <c r="K7122" s="29">
        <f>IFERROR(J7122*D7122,0)</f>
      </c>
      <c r="L7122" s="29">
        <f>IFERROR(E7122*C7122,0)</f>
      </c>
      <c r="M7122" s="29">
        <f>IFERROR((G7122*H7122*I7122/1000000)*D7122,0)</f>
      </c>
    </row>
    <row r="7123" spans="1:13" x14ac:dyDescent="0.25">
      <c r="A7123" s="16"/>
      <c r="E7123" s="27"/>
      <c r="F7123" t="s">
        <v>26</v>
      </c>
      <c r="G7123" s="28">
        <f>IFERROR(VLOOKUP(F7123,CARTON_LOOKUP!$A:$E,3,0),"")</f>
      </c>
      <c r="H7123" s="28">
        <f>IFERROR(VLOOKUP(F7123,CARTON_LOOKUP!$A:$E,4,0),"")</f>
      </c>
      <c r="I7123" s="28">
        <f>IFERROR(VLOOKUP(F7123,CARTON_LOOKUP!$A:$E,5,0),"")</f>
      </c>
      <c r="J7123" s="29">
        <f>IFERROR(VLOOKUP(F7123,CARTON_LOOKUP!$A:$E,2,0),"")</f>
      </c>
      <c r="K7123" s="29">
        <f>IFERROR(J7123*D7123,0)</f>
      </c>
      <c r="L7123" s="29">
        <f>IFERROR(E7123*C7123,0)</f>
      </c>
      <c r="M7123" s="29">
        <f>IFERROR((G7123*H7123*I7123/1000000)*D7123,0)</f>
      </c>
    </row>
    <row r="7124" spans="1:13" x14ac:dyDescent="0.25">
      <c r="A7124" s="16"/>
      <c r="E7124" s="27"/>
      <c r="F7124" t="s">
        <v>26</v>
      </c>
      <c r="G7124" s="28">
        <f>IFERROR(VLOOKUP(F7124,CARTON_LOOKUP!$A:$E,3,0),"")</f>
      </c>
      <c r="H7124" s="28">
        <f>IFERROR(VLOOKUP(F7124,CARTON_LOOKUP!$A:$E,4,0),"")</f>
      </c>
      <c r="I7124" s="28">
        <f>IFERROR(VLOOKUP(F7124,CARTON_LOOKUP!$A:$E,5,0),"")</f>
      </c>
      <c r="J7124" s="29">
        <f>IFERROR(VLOOKUP(F7124,CARTON_LOOKUP!$A:$E,2,0),"")</f>
      </c>
      <c r="K7124" s="29">
        <f>IFERROR(J7124*D7124,0)</f>
      </c>
      <c r="L7124" s="29">
        <f>IFERROR(E7124*C7124,0)</f>
      </c>
      <c r="M7124" s="29">
        <f>IFERROR((G7124*H7124*I7124/1000000)*D7124,0)</f>
      </c>
    </row>
    <row r="7125" spans="1:13" x14ac:dyDescent="0.25">
      <c r="A7125" s="16"/>
      <c r="E7125" s="27"/>
      <c r="F7125" t="s">
        <v>26</v>
      </c>
      <c r="G7125" s="28">
        <f>IFERROR(VLOOKUP(F7125,CARTON_LOOKUP!$A:$E,3,0),"")</f>
      </c>
      <c r="H7125" s="28">
        <f>IFERROR(VLOOKUP(F7125,CARTON_LOOKUP!$A:$E,4,0),"")</f>
      </c>
      <c r="I7125" s="28">
        <f>IFERROR(VLOOKUP(F7125,CARTON_LOOKUP!$A:$E,5,0),"")</f>
      </c>
      <c r="J7125" s="29">
        <f>IFERROR(VLOOKUP(F7125,CARTON_LOOKUP!$A:$E,2,0),"")</f>
      </c>
      <c r="K7125" s="29">
        <f>IFERROR(J7125*D7125,0)</f>
      </c>
      <c r="L7125" s="29">
        <f>IFERROR(E7125*C7125,0)</f>
      </c>
      <c r="M7125" s="29">
        <f>IFERROR((G7125*H7125*I7125/1000000)*D7125,0)</f>
      </c>
    </row>
    <row r="7126" spans="1:13" x14ac:dyDescent="0.25">
      <c r="A7126" s="16"/>
      <c r="E7126" s="27"/>
      <c r="F7126" t="s">
        <v>26</v>
      </c>
      <c r="G7126" s="28">
        <f>IFERROR(VLOOKUP(F7126,CARTON_LOOKUP!$A:$E,3,0),"")</f>
      </c>
      <c r="H7126" s="28">
        <f>IFERROR(VLOOKUP(F7126,CARTON_LOOKUP!$A:$E,4,0),"")</f>
      </c>
      <c r="I7126" s="28">
        <f>IFERROR(VLOOKUP(F7126,CARTON_LOOKUP!$A:$E,5,0),"")</f>
      </c>
      <c r="J7126" s="29">
        <f>IFERROR(VLOOKUP(F7126,CARTON_LOOKUP!$A:$E,2,0),"")</f>
      </c>
      <c r="K7126" s="29">
        <f>IFERROR(J7126*D7126,0)</f>
      </c>
      <c r="L7126" s="29">
        <f>IFERROR(E7126*C7126,0)</f>
      </c>
      <c r="M7126" s="29">
        <f>IFERROR((G7126*H7126*I7126/1000000)*D7126,0)</f>
      </c>
    </row>
    <row r="7127" spans="1:13" x14ac:dyDescent="0.25">
      <c r="A7127" s="16"/>
      <c r="E7127" s="27"/>
      <c r="F7127" t="s">
        <v>26</v>
      </c>
      <c r="G7127" s="28">
        <f>IFERROR(VLOOKUP(F7127,CARTON_LOOKUP!$A:$E,3,0),"")</f>
      </c>
      <c r="H7127" s="28">
        <f>IFERROR(VLOOKUP(F7127,CARTON_LOOKUP!$A:$E,4,0),"")</f>
      </c>
      <c r="I7127" s="28">
        <f>IFERROR(VLOOKUP(F7127,CARTON_LOOKUP!$A:$E,5,0),"")</f>
      </c>
      <c r="J7127" s="29">
        <f>IFERROR(VLOOKUP(F7127,CARTON_LOOKUP!$A:$E,2,0),"")</f>
      </c>
      <c r="K7127" s="29">
        <f>IFERROR(J7127*D7127,0)</f>
      </c>
      <c r="L7127" s="29">
        <f>IFERROR(E7127*C7127,0)</f>
      </c>
      <c r="M7127" s="29">
        <f>IFERROR((G7127*H7127*I7127/1000000)*D7127,0)</f>
      </c>
    </row>
    <row r="7128" spans="1:13" x14ac:dyDescent="0.25">
      <c r="A7128" s="16"/>
      <c r="E7128" s="27"/>
      <c r="F7128" t="s">
        <v>26</v>
      </c>
      <c r="G7128" s="28">
        <f>IFERROR(VLOOKUP(F7128,CARTON_LOOKUP!$A:$E,3,0),"")</f>
      </c>
      <c r="H7128" s="28">
        <f>IFERROR(VLOOKUP(F7128,CARTON_LOOKUP!$A:$E,4,0),"")</f>
      </c>
      <c r="I7128" s="28">
        <f>IFERROR(VLOOKUP(F7128,CARTON_LOOKUP!$A:$E,5,0),"")</f>
      </c>
      <c r="J7128" s="29">
        <f>IFERROR(VLOOKUP(F7128,CARTON_LOOKUP!$A:$E,2,0),"")</f>
      </c>
      <c r="K7128" s="29">
        <f>IFERROR(J7128*D7128,0)</f>
      </c>
      <c r="L7128" s="29">
        <f>IFERROR(E7128*C7128,0)</f>
      </c>
      <c r="M7128" s="29">
        <f>IFERROR((G7128*H7128*I7128/1000000)*D7128,0)</f>
      </c>
    </row>
    <row r="7129" spans="1:13" x14ac:dyDescent="0.25">
      <c r="A7129" s="16"/>
      <c r="E7129" s="27"/>
      <c r="F7129" t="s">
        <v>26</v>
      </c>
      <c r="G7129" s="28">
        <f>IFERROR(VLOOKUP(F7129,CARTON_LOOKUP!$A:$E,3,0),"")</f>
      </c>
      <c r="H7129" s="28">
        <f>IFERROR(VLOOKUP(F7129,CARTON_LOOKUP!$A:$E,4,0),"")</f>
      </c>
      <c r="I7129" s="28">
        <f>IFERROR(VLOOKUP(F7129,CARTON_LOOKUP!$A:$E,5,0),"")</f>
      </c>
      <c r="J7129" s="29">
        <f>IFERROR(VLOOKUP(F7129,CARTON_LOOKUP!$A:$E,2,0),"")</f>
      </c>
      <c r="K7129" s="29">
        <f>IFERROR(J7129*D7129,0)</f>
      </c>
      <c r="L7129" s="29">
        <f>IFERROR(E7129*C7129,0)</f>
      </c>
      <c r="M7129" s="29">
        <f>IFERROR((G7129*H7129*I7129/1000000)*D7129,0)</f>
      </c>
    </row>
    <row r="7130" spans="1:13" x14ac:dyDescent="0.25">
      <c r="A7130" s="16"/>
      <c r="E7130" s="27"/>
      <c r="F7130" t="s">
        <v>26</v>
      </c>
      <c r="G7130" s="28">
        <f>IFERROR(VLOOKUP(F7130,CARTON_LOOKUP!$A:$E,3,0),"")</f>
      </c>
      <c r="H7130" s="28">
        <f>IFERROR(VLOOKUP(F7130,CARTON_LOOKUP!$A:$E,4,0),"")</f>
      </c>
      <c r="I7130" s="28">
        <f>IFERROR(VLOOKUP(F7130,CARTON_LOOKUP!$A:$E,5,0),"")</f>
      </c>
      <c r="J7130" s="29">
        <f>IFERROR(VLOOKUP(F7130,CARTON_LOOKUP!$A:$E,2,0),"")</f>
      </c>
      <c r="K7130" s="29">
        <f>IFERROR(J7130*D7130,0)</f>
      </c>
      <c r="L7130" s="29">
        <f>IFERROR(E7130*C7130,0)</f>
      </c>
      <c r="M7130" s="29">
        <f>IFERROR((G7130*H7130*I7130/1000000)*D7130,0)</f>
      </c>
    </row>
    <row r="7131" spans="1:13" x14ac:dyDescent="0.25">
      <c r="A7131" s="16"/>
      <c r="E7131" s="27"/>
      <c r="F7131" t="s">
        <v>26</v>
      </c>
      <c r="G7131" s="28">
        <f>IFERROR(VLOOKUP(F7131,CARTON_LOOKUP!$A:$E,3,0),"")</f>
      </c>
      <c r="H7131" s="28">
        <f>IFERROR(VLOOKUP(F7131,CARTON_LOOKUP!$A:$E,4,0),"")</f>
      </c>
      <c r="I7131" s="28">
        <f>IFERROR(VLOOKUP(F7131,CARTON_LOOKUP!$A:$E,5,0),"")</f>
      </c>
      <c r="J7131" s="29">
        <f>IFERROR(VLOOKUP(F7131,CARTON_LOOKUP!$A:$E,2,0),"")</f>
      </c>
      <c r="K7131" s="29">
        <f>IFERROR(J7131*D7131,0)</f>
      </c>
      <c r="L7131" s="29">
        <f>IFERROR(E7131*C7131,0)</f>
      </c>
      <c r="M7131" s="29">
        <f>IFERROR((G7131*H7131*I7131/1000000)*D7131,0)</f>
      </c>
    </row>
    <row r="7132" spans="1:13" x14ac:dyDescent="0.25">
      <c r="A7132" s="16"/>
      <c r="E7132" s="27"/>
      <c r="F7132" t="s">
        <v>26</v>
      </c>
      <c r="G7132" s="28">
        <f>IFERROR(VLOOKUP(F7132,CARTON_LOOKUP!$A:$E,3,0),"")</f>
      </c>
      <c r="H7132" s="28">
        <f>IFERROR(VLOOKUP(F7132,CARTON_LOOKUP!$A:$E,4,0),"")</f>
      </c>
      <c r="I7132" s="28">
        <f>IFERROR(VLOOKUP(F7132,CARTON_LOOKUP!$A:$E,5,0),"")</f>
      </c>
      <c r="J7132" s="29">
        <f>IFERROR(VLOOKUP(F7132,CARTON_LOOKUP!$A:$E,2,0),"")</f>
      </c>
      <c r="K7132" s="29">
        <f>IFERROR(J7132*D7132,0)</f>
      </c>
      <c r="L7132" s="29">
        <f>IFERROR(E7132*C7132,0)</f>
      </c>
      <c r="M7132" s="29">
        <f>IFERROR((G7132*H7132*I7132/1000000)*D7132,0)</f>
      </c>
    </row>
    <row r="7133" spans="1:13" x14ac:dyDescent="0.25">
      <c r="A7133" s="16"/>
      <c r="E7133" s="27"/>
      <c r="F7133" t="s">
        <v>26</v>
      </c>
      <c r="G7133" s="28">
        <f>IFERROR(VLOOKUP(F7133,CARTON_LOOKUP!$A:$E,3,0),"")</f>
      </c>
      <c r="H7133" s="28">
        <f>IFERROR(VLOOKUP(F7133,CARTON_LOOKUP!$A:$E,4,0),"")</f>
      </c>
      <c r="I7133" s="28">
        <f>IFERROR(VLOOKUP(F7133,CARTON_LOOKUP!$A:$E,5,0),"")</f>
      </c>
      <c r="J7133" s="29">
        <f>IFERROR(VLOOKUP(F7133,CARTON_LOOKUP!$A:$E,2,0),"")</f>
      </c>
      <c r="K7133" s="29">
        <f>IFERROR(J7133*D7133,0)</f>
      </c>
      <c r="L7133" s="29">
        <f>IFERROR(E7133*C7133,0)</f>
      </c>
      <c r="M7133" s="29">
        <f>IFERROR((G7133*H7133*I7133/1000000)*D7133,0)</f>
      </c>
    </row>
    <row r="7134" spans="1:13" x14ac:dyDescent="0.25">
      <c r="A7134" s="16"/>
      <c r="E7134" s="27"/>
      <c r="F7134" t="s">
        <v>26</v>
      </c>
      <c r="G7134" s="28">
        <f>IFERROR(VLOOKUP(F7134,CARTON_LOOKUP!$A:$E,3,0),"")</f>
      </c>
      <c r="H7134" s="28">
        <f>IFERROR(VLOOKUP(F7134,CARTON_LOOKUP!$A:$E,4,0),"")</f>
      </c>
      <c r="I7134" s="28">
        <f>IFERROR(VLOOKUP(F7134,CARTON_LOOKUP!$A:$E,5,0),"")</f>
      </c>
      <c r="J7134" s="29">
        <f>IFERROR(VLOOKUP(F7134,CARTON_LOOKUP!$A:$E,2,0),"")</f>
      </c>
      <c r="K7134" s="29">
        <f>IFERROR(J7134*D7134,0)</f>
      </c>
      <c r="L7134" s="29">
        <f>IFERROR(E7134*C7134,0)</f>
      </c>
      <c r="M7134" s="29">
        <f>IFERROR((G7134*H7134*I7134/1000000)*D7134,0)</f>
      </c>
    </row>
    <row r="7135" spans="1:13" x14ac:dyDescent="0.25">
      <c r="A7135" s="16"/>
      <c r="E7135" s="27"/>
      <c r="F7135" t="s">
        <v>26</v>
      </c>
      <c r="G7135" s="28">
        <f>IFERROR(VLOOKUP(F7135,CARTON_LOOKUP!$A:$E,3,0),"")</f>
      </c>
      <c r="H7135" s="28">
        <f>IFERROR(VLOOKUP(F7135,CARTON_LOOKUP!$A:$E,4,0),"")</f>
      </c>
      <c r="I7135" s="28">
        <f>IFERROR(VLOOKUP(F7135,CARTON_LOOKUP!$A:$E,5,0),"")</f>
      </c>
      <c r="J7135" s="29">
        <f>IFERROR(VLOOKUP(F7135,CARTON_LOOKUP!$A:$E,2,0),"")</f>
      </c>
      <c r="K7135" s="29">
        <f>IFERROR(J7135*D7135,0)</f>
      </c>
      <c r="L7135" s="29">
        <f>IFERROR(E7135*C7135,0)</f>
      </c>
      <c r="M7135" s="29">
        <f>IFERROR((G7135*H7135*I7135/1000000)*D7135,0)</f>
      </c>
    </row>
    <row r="7136" spans="1:13" x14ac:dyDescent="0.25">
      <c r="A7136" s="16"/>
      <c r="E7136" s="27"/>
      <c r="F7136" t="s">
        <v>26</v>
      </c>
      <c r="G7136" s="28">
        <f>IFERROR(VLOOKUP(F7136,CARTON_LOOKUP!$A:$E,3,0),"")</f>
      </c>
      <c r="H7136" s="28">
        <f>IFERROR(VLOOKUP(F7136,CARTON_LOOKUP!$A:$E,4,0),"")</f>
      </c>
      <c r="I7136" s="28">
        <f>IFERROR(VLOOKUP(F7136,CARTON_LOOKUP!$A:$E,5,0),"")</f>
      </c>
      <c r="J7136" s="29">
        <f>IFERROR(VLOOKUP(F7136,CARTON_LOOKUP!$A:$E,2,0),"")</f>
      </c>
      <c r="K7136" s="29">
        <f>IFERROR(J7136*D7136,0)</f>
      </c>
      <c r="L7136" s="29">
        <f>IFERROR(E7136*C7136,0)</f>
      </c>
      <c r="M7136" s="29">
        <f>IFERROR((G7136*H7136*I7136/1000000)*D7136,0)</f>
      </c>
    </row>
    <row r="7137" spans="1:13" x14ac:dyDescent="0.25">
      <c r="A7137" s="16"/>
      <c r="E7137" s="27"/>
      <c r="F7137" t="s">
        <v>26</v>
      </c>
      <c r="G7137" s="28">
        <f>IFERROR(VLOOKUP(F7137,CARTON_LOOKUP!$A:$E,3,0),"")</f>
      </c>
      <c r="H7137" s="28">
        <f>IFERROR(VLOOKUP(F7137,CARTON_LOOKUP!$A:$E,4,0),"")</f>
      </c>
      <c r="I7137" s="28">
        <f>IFERROR(VLOOKUP(F7137,CARTON_LOOKUP!$A:$E,5,0),"")</f>
      </c>
      <c r="J7137" s="29">
        <f>IFERROR(VLOOKUP(F7137,CARTON_LOOKUP!$A:$E,2,0),"")</f>
      </c>
      <c r="K7137" s="29">
        <f>IFERROR(J7137*D7137,0)</f>
      </c>
      <c r="L7137" s="29">
        <f>IFERROR(E7137*C7137,0)</f>
      </c>
      <c r="M7137" s="29">
        <f>IFERROR((G7137*H7137*I7137/1000000)*D7137,0)</f>
      </c>
    </row>
    <row r="7138" spans="1:13" x14ac:dyDescent="0.25">
      <c r="A7138" s="16"/>
      <c r="E7138" s="27"/>
      <c r="F7138" t="s">
        <v>26</v>
      </c>
      <c r="G7138" s="28">
        <f>IFERROR(VLOOKUP(F7138,CARTON_LOOKUP!$A:$E,3,0),"")</f>
      </c>
      <c r="H7138" s="28">
        <f>IFERROR(VLOOKUP(F7138,CARTON_LOOKUP!$A:$E,4,0),"")</f>
      </c>
      <c r="I7138" s="28">
        <f>IFERROR(VLOOKUP(F7138,CARTON_LOOKUP!$A:$E,5,0),"")</f>
      </c>
      <c r="J7138" s="29">
        <f>IFERROR(VLOOKUP(F7138,CARTON_LOOKUP!$A:$E,2,0),"")</f>
      </c>
      <c r="K7138" s="29">
        <f>IFERROR(J7138*D7138,0)</f>
      </c>
      <c r="L7138" s="29">
        <f>IFERROR(E7138*C7138,0)</f>
      </c>
      <c r="M7138" s="29">
        <f>IFERROR((G7138*H7138*I7138/1000000)*D7138,0)</f>
      </c>
    </row>
    <row r="7139" spans="1:13" x14ac:dyDescent="0.25">
      <c r="A7139" s="16"/>
      <c r="E7139" s="27"/>
      <c r="F7139" t="s">
        <v>26</v>
      </c>
      <c r="G7139" s="28">
        <f>IFERROR(VLOOKUP(F7139,CARTON_LOOKUP!$A:$E,3,0),"")</f>
      </c>
      <c r="H7139" s="28">
        <f>IFERROR(VLOOKUP(F7139,CARTON_LOOKUP!$A:$E,4,0),"")</f>
      </c>
      <c r="I7139" s="28">
        <f>IFERROR(VLOOKUP(F7139,CARTON_LOOKUP!$A:$E,5,0),"")</f>
      </c>
      <c r="J7139" s="29">
        <f>IFERROR(VLOOKUP(F7139,CARTON_LOOKUP!$A:$E,2,0),"")</f>
      </c>
      <c r="K7139" s="29">
        <f>IFERROR(J7139*D7139,0)</f>
      </c>
      <c r="L7139" s="29">
        <f>IFERROR(E7139*C7139,0)</f>
      </c>
      <c r="M7139" s="29">
        <f>IFERROR((G7139*H7139*I7139/1000000)*D7139,0)</f>
      </c>
    </row>
    <row r="7140" spans="1:13" x14ac:dyDescent="0.25">
      <c r="A7140" s="16"/>
      <c r="E7140" s="27"/>
      <c r="F7140" t="s">
        <v>26</v>
      </c>
      <c r="G7140" s="28">
        <f>IFERROR(VLOOKUP(F7140,CARTON_LOOKUP!$A:$E,3,0),"")</f>
      </c>
      <c r="H7140" s="28">
        <f>IFERROR(VLOOKUP(F7140,CARTON_LOOKUP!$A:$E,4,0),"")</f>
      </c>
      <c r="I7140" s="28">
        <f>IFERROR(VLOOKUP(F7140,CARTON_LOOKUP!$A:$E,5,0),"")</f>
      </c>
      <c r="J7140" s="29">
        <f>IFERROR(VLOOKUP(F7140,CARTON_LOOKUP!$A:$E,2,0),"")</f>
      </c>
      <c r="K7140" s="29">
        <f>IFERROR(J7140*D7140,0)</f>
      </c>
      <c r="L7140" s="29">
        <f>IFERROR(E7140*C7140,0)</f>
      </c>
      <c r="M7140" s="29">
        <f>IFERROR((G7140*H7140*I7140/1000000)*D7140,0)</f>
      </c>
    </row>
    <row r="7141" spans="1:13" x14ac:dyDescent="0.25">
      <c r="A7141" s="16"/>
      <c r="E7141" s="27"/>
      <c r="F7141" t="s">
        <v>26</v>
      </c>
      <c r="G7141" s="28">
        <f>IFERROR(VLOOKUP(F7141,CARTON_LOOKUP!$A:$E,3,0),"")</f>
      </c>
      <c r="H7141" s="28">
        <f>IFERROR(VLOOKUP(F7141,CARTON_LOOKUP!$A:$E,4,0),"")</f>
      </c>
      <c r="I7141" s="28">
        <f>IFERROR(VLOOKUP(F7141,CARTON_LOOKUP!$A:$E,5,0),"")</f>
      </c>
      <c r="J7141" s="29">
        <f>IFERROR(VLOOKUP(F7141,CARTON_LOOKUP!$A:$E,2,0),"")</f>
      </c>
      <c r="K7141" s="29">
        <f>IFERROR(J7141*D7141,0)</f>
      </c>
      <c r="L7141" s="29">
        <f>IFERROR(E7141*C7141,0)</f>
      </c>
      <c r="M7141" s="29">
        <f>IFERROR((G7141*H7141*I7141/1000000)*D7141,0)</f>
      </c>
    </row>
    <row r="7142" spans="1:13" x14ac:dyDescent="0.25">
      <c r="A7142" s="16"/>
      <c r="E7142" s="27"/>
      <c r="F7142" t="s">
        <v>26</v>
      </c>
      <c r="G7142" s="28">
        <f>IFERROR(VLOOKUP(F7142,CARTON_LOOKUP!$A:$E,3,0),"")</f>
      </c>
      <c r="H7142" s="28">
        <f>IFERROR(VLOOKUP(F7142,CARTON_LOOKUP!$A:$E,4,0),"")</f>
      </c>
      <c r="I7142" s="28">
        <f>IFERROR(VLOOKUP(F7142,CARTON_LOOKUP!$A:$E,5,0),"")</f>
      </c>
      <c r="J7142" s="29">
        <f>IFERROR(VLOOKUP(F7142,CARTON_LOOKUP!$A:$E,2,0),"")</f>
      </c>
      <c r="K7142" s="29">
        <f>IFERROR(J7142*D7142,0)</f>
      </c>
      <c r="L7142" s="29">
        <f>IFERROR(E7142*C7142,0)</f>
      </c>
      <c r="M7142" s="29">
        <f>IFERROR((G7142*H7142*I7142/1000000)*D7142,0)</f>
      </c>
    </row>
    <row r="7143" spans="1:13" x14ac:dyDescent="0.25">
      <c r="A7143" s="16"/>
      <c r="E7143" s="27"/>
      <c r="F7143" t="s">
        <v>26</v>
      </c>
      <c r="G7143" s="28">
        <f>IFERROR(VLOOKUP(F7143,CARTON_LOOKUP!$A:$E,3,0),"")</f>
      </c>
      <c r="H7143" s="28">
        <f>IFERROR(VLOOKUP(F7143,CARTON_LOOKUP!$A:$E,4,0),"")</f>
      </c>
      <c r="I7143" s="28">
        <f>IFERROR(VLOOKUP(F7143,CARTON_LOOKUP!$A:$E,5,0),"")</f>
      </c>
      <c r="J7143" s="29">
        <f>IFERROR(VLOOKUP(F7143,CARTON_LOOKUP!$A:$E,2,0),"")</f>
      </c>
      <c r="K7143" s="29">
        <f>IFERROR(J7143*D7143,0)</f>
      </c>
      <c r="L7143" s="29">
        <f>IFERROR(E7143*C7143,0)</f>
      </c>
      <c r="M7143" s="29">
        <f>IFERROR((G7143*H7143*I7143/1000000)*D7143,0)</f>
      </c>
    </row>
    <row r="7144" spans="1:13" x14ac:dyDescent="0.25">
      <c r="A7144" s="16"/>
      <c r="E7144" s="27"/>
      <c r="F7144" t="s">
        <v>26</v>
      </c>
      <c r="G7144" s="28">
        <f>IFERROR(VLOOKUP(F7144,CARTON_LOOKUP!$A:$E,3,0),"")</f>
      </c>
      <c r="H7144" s="28">
        <f>IFERROR(VLOOKUP(F7144,CARTON_LOOKUP!$A:$E,4,0),"")</f>
      </c>
      <c r="I7144" s="28">
        <f>IFERROR(VLOOKUP(F7144,CARTON_LOOKUP!$A:$E,5,0),"")</f>
      </c>
      <c r="J7144" s="29">
        <f>IFERROR(VLOOKUP(F7144,CARTON_LOOKUP!$A:$E,2,0),"")</f>
      </c>
      <c r="K7144" s="29">
        <f>IFERROR(J7144*D7144,0)</f>
      </c>
      <c r="L7144" s="29">
        <f>IFERROR(E7144*C7144,0)</f>
      </c>
      <c r="M7144" s="29">
        <f>IFERROR((G7144*H7144*I7144/1000000)*D7144,0)</f>
      </c>
    </row>
    <row r="7145" spans="1:13" x14ac:dyDescent="0.25">
      <c r="A7145" s="16"/>
      <c r="E7145" s="27"/>
      <c r="F7145" t="s">
        <v>26</v>
      </c>
      <c r="G7145" s="28">
        <f>IFERROR(VLOOKUP(F7145,CARTON_LOOKUP!$A:$E,3,0),"")</f>
      </c>
      <c r="H7145" s="28">
        <f>IFERROR(VLOOKUP(F7145,CARTON_LOOKUP!$A:$E,4,0),"")</f>
      </c>
      <c r="I7145" s="28">
        <f>IFERROR(VLOOKUP(F7145,CARTON_LOOKUP!$A:$E,5,0),"")</f>
      </c>
      <c r="J7145" s="29">
        <f>IFERROR(VLOOKUP(F7145,CARTON_LOOKUP!$A:$E,2,0),"")</f>
      </c>
      <c r="K7145" s="29">
        <f>IFERROR(J7145*D7145,0)</f>
      </c>
      <c r="L7145" s="29">
        <f>IFERROR(E7145*C7145,0)</f>
      </c>
      <c r="M7145" s="29">
        <f>IFERROR((G7145*H7145*I7145/1000000)*D7145,0)</f>
      </c>
    </row>
    <row r="7146" spans="1:13" x14ac:dyDescent="0.25">
      <c r="A7146" s="16"/>
      <c r="E7146" s="27"/>
      <c r="F7146" t="s">
        <v>26</v>
      </c>
      <c r="G7146" s="28">
        <f>IFERROR(VLOOKUP(F7146,CARTON_LOOKUP!$A:$E,3,0),"")</f>
      </c>
      <c r="H7146" s="28">
        <f>IFERROR(VLOOKUP(F7146,CARTON_LOOKUP!$A:$E,4,0),"")</f>
      </c>
      <c r="I7146" s="28">
        <f>IFERROR(VLOOKUP(F7146,CARTON_LOOKUP!$A:$E,5,0),"")</f>
      </c>
      <c r="J7146" s="29">
        <f>IFERROR(VLOOKUP(F7146,CARTON_LOOKUP!$A:$E,2,0),"")</f>
      </c>
      <c r="K7146" s="29">
        <f>IFERROR(J7146*D7146,0)</f>
      </c>
      <c r="L7146" s="29">
        <f>IFERROR(E7146*C7146,0)</f>
      </c>
      <c r="M7146" s="29">
        <f>IFERROR((G7146*H7146*I7146/1000000)*D7146,0)</f>
      </c>
    </row>
    <row r="7147" spans="1:13" x14ac:dyDescent="0.25">
      <c r="A7147" s="16"/>
      <c r="E7147" s="27"/>
      <c r="F7147" t="s">
        <v>26</v>
      </c>
      <c r="G7147" s="28">
        <f>IFERROR(VLOOKUP(F7147,CARTON_LOOKUP!$A:$E,3,0),"")</f>
      </c>
      <c r="H7147" s="28">
        <f>IFERROR(VLOOKUP(F7147,CARTON_LOOKUP!$A:$E,4,0),"")</f>
      </c>
      <c r="I7147" s="28">
        <f>IFERROR(VLOOKUP(F7147,CARTON_LOOKUP!$A:$E,5,0),"")</f>
      </c>
      <c r="J7147" s="29">
        <f>IFERROR(VLOOKUP(F7147,CARTON_LOOKUP!$A:$E,2,0),"")</f>
      </c>
      <c r="K7147" s="29">
        <f>IFERROR(J7147*D7147,0)</f>
      </c>
      <c r="L7147" s="29">
        <f>IFERROR(E7147*C7147,0)</f>
      </c>
      <c r="M7147" s="29">
        <f>IFERROR((G7147*H7147*I7147/1000000)*D7147,0)</f>
      </c>
    </row>
    <row r="7148" spans="1:13" x14ac:dyDescent="0.25">
      <c r="A7148" s="16"/>
      <c r="E7148" s="27"/>
      <c r="F7148" t="s">
        <v>26</v>
      </c>
      <c r="G7148" s="28">
        <f>IFERROR(VLOOKUP(F7148,CARTON_LOOKUP!$A:$E,3,0),"")</f>
      </c>
      <c r="H7148" s="28">
        <f>IFERROR(VLOOKUP(F7148,CARTON_LOOKUP!$A:$E,4,0),"")</f>
      </c>
      <c r="I7148" s="28">
        <f>IFERROR(VLOOKUP(F7148,CARTON_LOOKUP!$A:$E,5,0),"")</f>
      </c>
      <c r="J7148" s="29">
        <f>IFERROR(VLOOKUP(F7148,CARTON_LOOKUP!$A:$E,2,0),"")</f>
      </c>
      <c r="K7148" s="29">
        <f>IFERROR(J7148*D7148,0)</f>
      </c>
      <c r="L7148" s="29">
        <f>IFERROR(E7148*C7148,0)</f>
      </c>
      <c r="M7148" s="29">
        <f>IFERROR((G7148*H7148*I7148/1000000)*D7148,0)</f>
      </c>
    </row>
    <row r="7149" spans="1:13" x14ac:dyDescent="0.25">
      <c r="A7149" s="16"/>
      <c r="E7149" s="27"/>
      <c r="F7149" t="s">
        <v>26</v>
      </c>
      <c r="G7149" s="28">
        <f>IFERROR(VLOOKUP(F7149,CARTON_LOOKUP!$A:$E,3,0),"")</f>
      </c>
      <c r="H7149" s="28">
        <f>IFERROR(VLOOKUP(F7149,CARTON_LOOKUP!$A:$E,4,0),"")</f>
      </c>
      <c r="I7149" s="28">
        <f>IFERROR(VLOOKUP(F7149,CARTON_LOOKUP!$A:$E,5,0),"")</f>
      </c>
      <c r="J7149" s="29">
        <f>IFERROR(VLOOKUP(F7149,CARTON_LOOKUP!$A:$E,2,0),"")</f>
      </c>
      <c r="K7149" s="29">
        <f>IFERROR(J7149*D7149,0)</f>
      </c>
      <c r="L7149" s="29">
        <f>IFERROR(E7149*C7149,0)</f>
      </c>
      <c r="M7149" s="29">
        <f>IFERROR((G7149*H7149*I7149/1000000)*D7149,0)</f>
      </c>
    </row>
    <row r="7150" spans="1:13" x14ac:dyDescent="0.25">
      <c r="A7150" s="16"/>
      <c r="E7150" s="27"/>
      <c r="F7150" t="s">
        <v>26</v>
      </c>
      <c r="G7150" s="28">
        <f>IFERROR(VLOOKUP(F7150,CARTON_LOOKUP!$A:$E,3,0),"")</f>
      </c>
      <c r="H7150" s="28">
        <f>IFERROR(VLOOKUP(F7150,CARTON_LOOKUP!$A:$E,4,0),"")</f>
      </c>
      <c r="I7150" s="28">
        <f>IFERROR(VLOOKUP(F7150,CARTON_LOOKUP!$A:$E,5,0),"")</f>
      </c>
      <c r="J7150" s="29">
        <f>IFERROR(VLOOKUP(F7150,CARTON_LOOKUP!$A:$E,2,0),"")</f>
      </c>
      <c r="K7150" s="29">
        <f>IFERROR(J7150*D7150,0)</f>
      </c>
      <c r="L7150" s="29">
        <f>IFERROR(E7150*C7150,0)</f>
      </c>
      <c r="M7150" s="29">
        <f>IFERROR((G7150*H7150*I7150/1000000)*D7150,0)</f>
      </c>
    </row>
    <row r="7151" spans="1:13" x14ac:dyDescent="0.25">
      <c r="A7151" s="16"/>
      <c r="E7151" s="27"/>
      <c r="F7151" t="s">
        <v>26</v>
      </c>
      <c r="G7151" s="28">
        <f>IFERROR(VLOOKUP(F7151,CARTON_LOOKUP!$A:$E,3,0),"")</f>
      </c>
      <c r="H7151" s="28">
        <f>IFERROR(VLOOKUP(F7151,CARTON_LOOKUP!$A:$E,4,0),"")</f>
      </c>
      <c r="I7151" s="28">
        <f>IFERROR(VLOOKUP(F7151,CARTON_LOOKUP!$A:$E,5,0),"")</f>
      </c>
      <c r="J7151" s="29">
        <f>IFERROR(VLOOKUP(F7151,CARTON_LOOKUP!$A:$E,2,0),"")</f>
      </c>
      <c r="K7151" s="29">
        <f>IFERROR(J7151*D7151,0)</f>
      </c>
      <c r="L7151" s="29">
        <f>IFERROR(E7151*C7151,0)</f>
      </c>
      <c r="M7151" s="29">
        <f>IFERROR((G7151*H7151*I7151/1000000)*D7151,0)</f>
      </c>
    </row>
    <row r="7152" spans="1:13" x14ac:dyDescent="0.25">
      <c r="A7152" s="16"/>
      <c r="E7152" s="27"/>
      <c r="F7152" t="s">
        <v>26</v>
      </c>
      <c r="G7152" s="28">
        <f>IFERROR(VLOOKUP(F7152,CARTON_LOOKUP!$A:$E,3,0),"")</f>
      </c>
      <c r="H7152" s="28">
        <f>IFERROR(VLOOKUP(F7152,CARTON_LOOKUP!$A:$E,4,0),"")</f>
      </c>
      <c r="I7152" s="28">
        <f>IFERROR(VLOOKUP(F7152,CARTON_LOOKUP!$A:$E,5,0),"")</f>
      </c>
      <c r="J7152" s="29">
        <f>IFERROR(VLOOKUP(F7152,CARTON_LOOKUP!$A:$E,2,0),"")</f>
      </c>
      <c r="K7152" s="29">
        <f>IFERROR(J7152*D7152,0)</f>
      </c>
      <c r="L7152" s="29">
        <f>IFERROR(E7152*C7152,0)</f>
      </c>
      <c r="M7152" s="29">
        <f>IFERROR((G7152*H7152*I7152/1000000)*D7152,0)</f>
      </c>
    </row>
    <row r="7153" spans="1:13" x14ac:dyDescent="0.25">
      <c r="A7153" s="16"/>
      <c r="E7153" s="27"/>
      <c r="F7153" t="s">
        <v>26</v>
      </c>
      <c r="G7153" s="28">
        <f>IFERROR(VLOOKUP(F7153,CARTON_LOOKUP!$A:$E,3,0),"")</f>
      </c>
      <c r="H7153" s="28">
        <f>IFERROR(VLOOKUP(F7153,CARTON_LOOKUP!$A:$E,4,0),"")</f>
      </c>
      <c r="I7153" s="28">
        <f>IFERROR(VLOOKUP(F7153,CARTON_LOOKUP!$A:$E,5,0),"")</f>
      </c>
      <c r="J7153" s="29">
        <f>IFERROR(VLOOKUP(F7153,CARTON_LOOKUP!$A:$E,2,0),"")</f>
      </c>
      <c r="K7153" s="29">
        <f>IFERROR(J7153*D7153,0)</f>
      </c>
      <c r="L7153" s="29">
        <f>IFERROR(E7153*C7153,0)</f>
      </c>
      <c r="M7153" s="29">
        <f>IFERROR((G7153*H7153*I7153/1000000)*D7153,0)</f>
      </c>
    </row>
    <row r="7154" spans="1:13" x14ac:dyDescent="0.25">
      <c r="A7154" s="16"/>
      <c r="E7154" s="27"/>
      <c r="F7154" t="s">
        <v>26</v>
      </c>
      <c r="G7154" s="28">
        <f>IFERROR(VLOOKUP(F7154,CARTON_LOOKUP!$A:$E,3,0),"")</f>
      </c>
      <c r="H7154" s="28">
        <f>IFERROR(VLOOKUP(F7154,CARTON_LOOKUP!$A:$E,4,0),"")</f>
      </c>
      <c r="I7154" s="28">
        <f>IFERROR(VLOOKUP(F7154,CARTON_LOOKUP!$A:$E,5,0),"")</f>
      </c>
      <c r="J7154" s="29">
        <f>IFERROR(VLOOKUP(F7154,CARTON_LOOKUP!$A:$E,2,0),"")</f>
      </c>
      <c r="K7154" s="29">
        <f>IFERROR(J7154*D7154,0)</f>
      </c>
      <c r="L7154" s="29">
        <f>IFERROR(E7154*C7154,0)</f>
      </c>
      <c r="M7154" s="29">
        <f>IFERROR((G7154*H7154*I7154/1000000)*D7154,0)</f>
      </c>
    </row>
    <row r="7155" spans="1:13" x14ac:dyDescent="0.25">
      <c r="A7155" s="16"/>
      <c r="E7155" s="27"/>
      <c r="F7155" t="s">
        <v>26</v>
      </c>
      <c r="G7155" s="28">
        <f>IFERROR(VLOOKUP(F7155,CARTON_LOOKUP!$A:$E,3,0),"")</f>
      </c>
      <c r="H7155" s="28">
        <f>IFERROR(VLOOKUP(F7155,CARTON_LOOKUP!$A:$E,4,0),"")</f>
      </c>
      <c r="I7155" s="28">
        <f>IFERROR(VLOOKUP(F7155,CARTON_LOOKUP!$A:$E,5,0),"")</f>
      </c>
      <c r="J7155" s="29">
        <f>IFERROR(VLOOKUP(F7155,CARTON_LOOKUP!$A:$E,2,0),"")</f>
      </c>
      <c r="K7155" s="29">
        <f>IFERROR(J7155*D7155,0)</f>
      </c>
      <c r="L7155" s="29">
        <f>IFERROR(E7155*C7155,0)</f>
      </c>
      <c r="M7155" s="29">
        <f>IFERROR((G7155*H7155*I7155/1000000)*D7155,0)</f>
      </c>
    </row>
    <row r="7156" spans="1:13" x14ac:dyDescent="0.25">
      <c r="A7156" s="16"/>
      <c r="E7156" s="27"/>
      <c r="F7156" t="s">
        <v>26</v>
      </c>
      <c r="G7156" s="28">
        <f>IFERROR(VLOOKUP(F7156,CARTON_LOOKUP!$A:$E,3,0),"")</f>
      </c>
      <c r="H7156" s="28">
        <f>IFERROR(VLOOKUP(F7156,CARTON_LOOKUP!$A:$E,4,0),"")</f>
      </c>
      <c r="I7156" s="28">
        <f>IFERROR(VLOOKUP(F7156,CARTON_LOOKUP!$A:$E,5,0),"")</f>
      </c>
      <c r="J7156" s="29">
        <f>IFERROR(VLOOKUP(F7156,CARTON_LOOKUP!$A:$E,2,0),"")</f>
      </c>
      <c r="K7156" s="29">
        <f>IFERROR(J7156*D7156,0)</f>
      </c>
      <c r="L7156" s="29">
        <f>IFERROR(E7156*C7156,0)</f>
      </c>
      <c r="M7156" s="29">
        <f>IFERROR((G7156*H7156*I7156/1000000)*D7156,0)</f>
      </c>
    </row>
    <row r="7157" spans="1:13" x14ac:dyDescent="0.25">
      <c r="A7157" s="16"/>
      <c r="E7157" s="27"/>
      <c r="F7157" t="s">
        <v>26</v>
      </c>
      <c r="G7157" s="28">
        <f>IFERROR(VLOOKUP(F7157,CARTON_LOOKUP!$A:$E,3,0),"")</f>
      </c>
      <c r="H7157" s="28">
        <f>IFERROR(VLOOKUP(F7157,CARTON_LOOKUP!$A:$E,4,0),"")</f>
      </c>
      <c r="I7157" s="28">
        <f>IFERROR(VLOOKUP(F7157,CARTON_LOOKUP!$A:$E,5,0),"")</f>
      </c>
      <c r="J7157" s="29">
        <f>IFERROR(VLOOKUP(F7157,CARTON_LOOKUP!$A:$E,2,0),"")</f>
      </c>
      <c r="K7157" s="29">
        <f>IFERROR(J7157*D7157,0)</f>
      </c>
      <c r="L7157" s="29">
        <f>IFERROR(E7157*C7157,0)</f>
      </c>
      <c r="M7157" s="29">
        <f>IFERROR((G7157*H7157*I7157/1000000)*D7157,0)</f>
      </c>
    </row>
    <row r="7158" spans="1:13" x14ac:dyDescent="0.25">
      <c r="A7158" s="16"/>
      <c r="E7158" s="27"/>
      <c r="F7158" t="s">
        <v>26</v>
      </c>
      <c r="G7158" s="28">
        <f>IFERROR(VLOOKUP(F7158,CARTON_LOOKUP!$A:$E,3,0),"")</f>
      </c>
      <c r="H7158" s="28">
        <f>IFERROR(VLOOKUP(F7158,CARTON_LOOKUP!$A:$E,4,0),"")</f>
      </c>
      <c r="I7158" s="28">
        <f>IFERROR(VLOOKUP(F7158,CARTON_LOOKUP!$A:$E,5,0),"")</f>
      </c>
      <c r="J7158" s="29">
        <f>IFERROR(VLOOKUP(F7158,CARTON_LOOKUP!$A:$E,2,0),"")</f>
      </c>
      <c r="K7158" s="29">
        <f>IFERROR(J7158*D7158,0)</f>
      </c>
      <c r="L7158" s="29">
        <f>IFERROR(E7158*C7158,0)</f>
      </c>
      <c r="M7158" s="29">
        <f>IFERROR((G7158*H7158*I7158/1000000)*D7158,0)</f>
      </c>
    </row>
    <row r="7159" spans="1:13" x14ac:dyDescent="0.25">
      <c r="A7159" s="16"/>
      <c r="E7159" s="27"/>
      <c r="F7159" t="s">
        <v>26</v>
      </c>
      <c r="G7159" s="28">
        <f>IFERROR(VLOOKUP(F7159,CARTON_LOOKUP!$A:$E,3,0),"")</f>
      </c>
      <c r="H7159" s="28">
        <f>IFERROR(VLOOKUP(F7159,CARTON_LOOKUP!$A:$E,4,0),"")</f>
      </c>
      <c r="I7159" s="28">
        <f>IFERROR(VLOOKUP(F7159,CARTON_LOOKUP!$A:$E,5,0),"")</f>
      </c>
      <c r="J7159" s="29">
        <f>IFERROR(VLOOKUP(F7159,CARTON_LOOKUP!$A:$E,2,0),"")</f>
      </c>
      <c r="K7159" s="29">
        <f>IFERROR(J7159*D7159,0)</f>
      </c>
      <c r="L7159" s="29">
        <f>IFERROR(E7159*C7159,0)</f>
      </c>
      <c r="M7159" s="29">
        <f>IFERROR((G7159*H7159*I7159/1000000)*D7159,0)</f>
      </c>
    </row>
    <row r="7160" spans="1:13" x14ac:dyDescent="0.25">
      <c r="A7160" s="16"/>
      <c r="E7160" s="27"/>
      <c r="F7160" t="s">
        <v>26</v>
      </c>
      <c r="G7160" s="28">
        <f>IFERROR(VLOOKUP(F7160,CARTON_LOOKUP!$A:$E,3,0),"")</f>
      </c>
      <c r="H7160" s="28">
        <f>IFERROR(VLOOKUP(F7160,CARTON_LOOKUP!$A:$E,4,0),"")</f>
      </c>
      <c r="I7160" s="28">
        <f>IFERROR(VLOOKUP(F7160,CARTON_LOOKUP!$A:$E,5,0),"")</f>
      </c>
      <c r="J7160" s="29">
        <f>IFERROR(VLOOKUP(F7160,CARTON_LOOKUP!$A:$E,2,0),"")</f>
      </c>
      <c r="K7160" s="29">
        <f>IFERROR(J7160*D7160,0)</f>
      </c>
      <c r="L7160" s="29">
        <f>IFERROR(E7160*C7160,0)</f>
      </c>
      <c r="M7160" s="29">
        <f>IFERROR((G7160*H7160*I7160/1000000)*D7160,0)</f>
      </c>
    </row>
    <row r="7161" spans="1:13" x14ac:dyDescent="0.25">
      <c r="A7161" s="16"/>
      <c r="E7161" s="27"/>
      <c r="F7161" t="s">
        <v>26</v>
      </c>
      <c r="G7161" s="28">
        <f>IFERROR(VLOOKUP(F7161,CARTON_LOOKUP!$A:$E,3,0),"")</f>
      </c>
      <c r="H7161" s="28">
        <f>IFERROR(VLOOKUP(F7161,CARTON_LOOKUP!$A:$E,4,0),"")</f>
      </c>
      <c r="I7161" s="28">
        <f>IFERROR(VLOOKUP(F7161,CARTON_LOOKUP!$A:$E,5,0),"")</f>
      </c>
      <c r="J7161" s="29">
        <f>IFERROR(VLOOKUP(F7161,CARTON_LOOKUP!$A:$E,2,0),"")</f>
      </c>
      <c r="K7161" s="29">
        <f>IFERROR(J7161*D7161,0)</f>
      </c>
      <c r="L7161" s="29">
        <f>IFERROR(E7161*C7161,0)</f>
      </c>
      <c r="M7161" s="29">
        <f>IFERROR((G7161*H7161*I7161/1000000)*D7161,0)</f>
      </c>
    </row>
    <row r="7162" spans="1:13" x14ac:dyDescent="0.25">
      <c r="A7162" s="16"/>
      <c r="E7162" s="27"/>
      <c r="F7162" t="s">
        <v>26</v>
      </c>
      <c r="G7162" s="28">
        <f>IFERROR(VLOOKUP(F7162,CARTON_LOOKUP!$A:$E,3,0),"")</f>
      </c>
      <c r="H7162" s="28">
        <f>IFERROR(VLOOKUP(F7162,CARTON_LOOKUP!$A:$E,4,0),"")</f>
      </c>
      <c r="I7162" s="28">
        <f>IFERROR(VLOOKUP(F7162,CARTON_LOOKUP!$A:$E,5,0),"")</f>
      </c>
      <c r="J7162" s="29">
        <f>IFERROR(VLOOKUP(F7162,CARTON_LOOKUP!$A:$E,2,0),"")</f>
      </c>
      <c r="K7162" s="29">
        <f>IFERROR(J7162*D7162,0)</f>
      </c>
      <c r="L7162" s="29">
        <f>IFERROR(E7162*C7162,0)</f>
      </c>
      <c r="M7162" s="29">
        <f>IFERROR((G7162*H7162*I7162/1000000)*D7162,0)</f>
      </c>
    </row>
    <row r="7163" spans="1:13" x14ac:dyDescent="0.25">
      <c r="A7163" s="16"/>
      <c r="E7163" s="27"/>
      <c r="F7163" t="s">
        <v>26</v>
      </c>
      <c r="G7163" s="28">
        <f>IFERROR(VLOOKUP(F7163,CARTON_LOOKUP!$A:$E,3,0),"")</f>
      </c>
      <c r="H7163" s="28">
        <f>IFERROR(VLOOKUP(F7163,CARTON_LOOKUP!$A:$E,4,0),"")</f>
      </c>
      <c r="I7163" s="28">
        <f>IFERROR(VLOOKUP(F7163,CARTON_LOOKUP!$A:$E,5,0),"")</f>
      </c>
      <c r="J7163" s="29">
        <f>IFERROR(VLOOKUP(F7163,CARTON_LOOKUP!$A:$E,2,0),"")</f>
      </c>
      <c r="K7163" s="29">
        <f>IFERROR(J7163*D7163,0)</f>
      </c>
      <c r="L7163" s="29">
        <f>IFERROR(E7163*C7163,0)</f>
      </c>
      <c r="M7163" s="29">
        <f>IFERROR((G7163*H7163*I7163/1000000)*D7163,0)</f>
      </c>
    </row>
    <row r="7164" spans="1:13" x14ac:dyDescent="0.25">
      <c r="A7164" s="16"/>
      <c r="E7164" s="27"/>
      <c r="F7164" t="s">
        <v>26</v>
      </c>
      <c r="G7164" s="28">
        <f>IFERROR(VLOOKUP(F7164,CARTON_LOOKUP!$A:$E,3,0),"")</f>
      </c>
      <c r="H7164" s="28">
        <f>IFERROR(VLOOKUP(F7164,CARTON_LOOKUP!$A:$E,4,0),"")</f>
      </c>
      <c r="I7164" s="28">
        <f>IFERROR(VLOOKUP(F7164,CARTON_LOOKUP!$A:$E,5,0),"")</f>
      </c>
      <c r="J7164" s="29">
        <f>IFERROR(VLOOKUP(F7164,CARTON_LOOKUP!$A:$E,2,0),"")</f>
      </c>
      <c r="K7164" s="29">
        <f>IFERROR(J7164*D7164,0)</f>
      </c>
      <c r="L7164" s="29">
        <f>IFERROR(E7164*C7164,0)</f>
      </c>
      <c r="M7164" s="29">
        <f>IFERROR((G7164*H7164*I7164/1000000)*D7164,0)</f>
      </c>
    </row>
    <row r="7165" spans="1:13" x14ac:dyDescent="0.25">
      <c r="A7165" s="16"/>
      <c r="E7165" s="27"/>
      <c r="F7165" t="s">
        <v>26</v>
      </c>
      <c r="G7165" s="28">
        <f>IFERROR(VLOOKUP(F7165,CARTON_LOOKUP!$A:$E,3,0),"")</f>
      </c>
      <c r="H7165" s="28">
        <f>IFERROR(VLOOKUP(F7165,CARTON_LOOKUP!$A:$E,4,0),"")</f>
      </c>
      <c r="I7165" s="28">
        <f>IFERROR(VLOOKUP(F7165,CARTON_LOOKUP!$A:$E,5,0),"")</f>
      </c>
      <c r="J7165" s="29">
        <f>IFERROR(VLOOKUP(F7165,CARTON_LOOKUP!$A:$E,2,0),"")</f>
      </c>
      <c r="K7165" s="29">
        <f>IFERROR(J7165*D7165,0)</f>
      </c>
      <c r="L7165" s="29">
        <f>IFERROR(E7165*C7165,0)</f>
      </c>
      <c r="M7165" s="29">
        <f>IFERROR((G7165*H7165*I7165/1000000)*D7165,0)</f>
      </c>
    </row>
    <row r="7166" spans="1:13" x14ac:dyDescent="0.25">
      <c r="A7166" s="16"/>
      <c r="E7166" s="27"/>
      <c r="F7166" t="s">
        <v>26</v>
      </c>
      <c r="G7166" s="28">
        <f>IFERROR(VLOOKUP(F7166,CARTON_LOOKUP!$A:$E,3,0),"")</f>
      </c>
      <c r="H7166" s="28">
        <f>IFERROR(VLOOKUP(F7166,CARTON_LOOKUP!$A:$E,4,0),"")</f>
      </c>
      <c r="I7166" s="28">
        <f>IFERROR(VLOOKUP(F7166,CARTON_LOOKUP!$A:$E,5,0),"")</f>
      </c>
      <c r="J7166" s="29">
        <f>IFERROR(VLOOKUP(F7166,CARTON_LOOKUP!$A:$E,2,0),"")</f>
      </c>
      <c r="K7166" s="29">
        <f>IFERROR(J7166*D7166,0)</f>
      </c>
      <c r="L7166" s="29">
        <f>IFERROR(E7166*C7166,0)</f>
      </c>
      <c r="M7166" s="29">
        <f>IFERROR((G7166*H7166*I7166/1000000)*D7166,0)</f>
      </c>
    </row>
    <row r="7167" spans="1:13" x14ac:dyDescent="0.25">
      <c r="A7167" s="16"/>
      <c r="E7167" s="27"/>
      <c r="F7167" t="s">
        <v>26</v>
      </c>
      <c r="G7167" s="28">
        <f>IFERROR(VLOOKUP(F7167,CARTON_LOOKUP!$A:$E,3,0),"")</f>
      </c>
      <c r="H7167" s="28">
        <f>IFERROR(VLOOKUP(F7167,CARTON_LOOKUP!$A:$E,4,0),"")</f>
      </c>
      <c r="I7167" s="28">
        <f>IFERROR(VLOOKUP(F7167,CARTON_LOOKUP!$A:$E,5,0),"")</f>
      </c>
      <c r="J7167" s="29">
        <f>IFERROR(VLOOKUP(F7167,CARTON_LOOKUP!$A:$E,2,0),"")</f>
      </c>
      <c r="K7167" s="29">
        <f>IFERROR(J7167*D7167,0)</f>
      </c>
      <c r="L7167" s="29">
        <f>IFERROR(E7167*C7167,0)</f>
      </c>
      <c r="M7167" s="29">
        <f>IFERROR((G7167*H7167*I7167/1000000)*D7167,0)</f>
      </c>
    </row>
    <row r="7168" spans="1:13" x14ac:dyDescent="0.25">
      <c r="A7168" s="16"/>
      <c r="E7168" s="27"/>
      <c r="F7168" t="s">
        <v>26</v>
      </c>
      <c r="G7168" s="28">
        <f>IFERROR(VLOOKUP(F7168,CARTON_LOOKUP!$A:$E,3,0),"")</f>
      </c>
      <c r="H7168" s="28">
        <f>IFERROR(VLOOKUP(F7168,CARTON_LOOKUP!$A:$E,4,0),"")</f>
      </c>
      <c r="I7168" s="28">
        <f>IFERROR(VLOOKUP(F7168,CARTON_LOOKUP!$A:$E,5,0),"")</f>
      </c>
      <c r="J7168" s="29">
        <f>IFERROR(VLOOKUP(F7168,CARTON_LOOKUP!$A:$E,2,0),"")</f>
      </c>
      <c r="K7168" s="29">
        <f>IFERROR(J7168*D7168,0)</f>
      </c>
      <c r="L7168" s="29">
        <f>IFERROR(E7168*C7168,0)</f>
      </c>
      <c r="M7168" s="29">
        <f>IFERROR((G7168*H7168*I7168/1000000)*D7168,0)</f>
      </c>
    </row>
    <row r="7169" spans="1:13" x14ac:dyDescent="0.25">
      <c r="A7169" s="16"/>
      <c r="E7169" s="27"/>
      <c r="F7169" t="s">
        <v>26</v>
      </c>
      <c r="G7169" s="28">
        <f>IFERROR(VLOOKUP(F7169,CARTON_LOOKUP!$A:$E,3,0),"")</f>
      </c>
      <c r="H7169" s="28">
        <f>IFERROR(VLOOKUP(F7169,CARTON_LOOKUP!$A:$E,4,0),"")</f>
      </c>
      <c r="I7169" s="28">
        <f>IFERROR(VLOOKUP(F7169,CARTON_LOOKUP!$A:$E,5,0),"")</f>
      </c>
      <c r="J7169" s="29">
        <f>IFERROR(VLOOKUP(F7169,CARTON_LOOKUP!$A:$E,2,0),"")</f>
      </c>
      <c r="K7169" s="29">
        <f>IFERROR(J7169*D7169,0)</f>
      </c>
      <c r="L7169" s="29">
        <f>IFERROR(E7169*C7169,0)</f>
      </c>
      <c r="M7169" s="29">
        <f>IFERROR((G7169*H7169*I7169/1000000)*D7169,0)</f>
      </c>
    </row>
    <row r="7170" spans="1:13" x14ac:dyDescent="0.25">
      <c r="A7170" s="16"/>
      <c r="E7170" s="27"/>
      <c r="F7170" t="s">
        <v>26</v>
      </c>
      <c r="G7170" s="28">
        <f>IFERROR(VLOOKUP(F7170,CARTON_LOOKUP!$A:$E,3,0),"")</f>
      </c>
      <c r="H7170" s="28">
        <f>IFERROR(VLOOKUP(F7170,CARTON_LOOKUP!$A:$E,4,0),"")</f>
      </c>
      <c r="I7170" s="28">
        <f>IFERROR(VLOOKUP(F7170,CARTON_LOOKUP!$A:$E,5,0),"")</f>
      </c>
      <c r="J7170" s="29">
        <f>IFERROR(VLOOKUP(F7170,CARTON_LOOKUP!$A:$E,2,0),"")</f>
      </c>
      <c r="K7170" s="29">
        <f>IFERROR(J7170*D7170,0)</f>
      </c>
      <c r="L7170" s="29">
        <f>IFERROR(E7170*C7170,0)</f>
      </c>
      <c r="M7170" s="29">
        <f>IFERROR((G7170*H7170*I7170/1000000)*D7170,0)</f>
      </c>
    </row>
    <row r="7171" spans="1:13" x14ac:dyDescent="0.25">
      <c r="A7171" s="16"/>
      <c r="E7171" s="27"/>
      <c r="F7171" t="s">
        <v>26</v>
      </c>
      <c r="G7171" s="28">
        <f>IFERROR(VLOOKUP(F7171,CARTON_LOOKUP!$A:$E,3,0),"")</f>
      </c>
      <c r="H7171" s="28">
        <f>IFERROR(VLOOKUP(F7171,CARTON_LOOKUP!$A:$E,4,0),"")</f>
      </c>
      <c r="I7171" s="28">
        <f>IFERROR(VLOOKUP(F7171,CARTON_LOOKUP!$A:$E,5,0),"")</f>
      </c>
      <c r="J7171" s="29">
        <f>IFERROR(VLOOKUP(F7171,CARTON_LOOKUP!$A:$E,2,0),"")</f>
      </c>
      <c r="K7171" s="29">
        <f>IFERROR(J7171*D7171,0)</f>
      </c>
      <c r="L7171" s="29">
        <f>IFERROR(E7171*C7171,0)</f>
      </c>
      <c r="M7171" s="29">
        <f>IFERROR((G7171*H7171*I7171/1000000)*D7171,0)</f>
      </c>
    </row>
    <row r="7172" spans="1:13" x14ac:dyDescent="0.25">
      <c r="A7172" s="16"/>
      <c r="E7172" s="27"/>
      <c r="F7172" t="s">
        <v>26</v>
      </c>
      <c r="G7172" s="28">
        <f>IFERROR(VLOOKUP(F7172,CARTON_LOOKUP!$A:$E,3,0),"")</f>
      </c>
      <c r="H7172" s="28">
        <f>IFERROR(VLOOKUP(F7172,CARTON_LOOKUP!$A:$E,4,0),"")</f>
      </c>
      <c r="I7172" s="28">
        <f>IFERROR(VLOOKUP(F7172,CARTON_LOOKUP!$A:$E,5,0),"")</f>
      </c>
      <c r="J7172" s="29">
        <f>IFERROR(VLOOKUP(F7172,CARTON_LOOKUP!$A:$E,2,0),"")</f>
      </c>
      <c r="K7172" s="29">
        <f>IFERROR(J7172*D7172,0)</f>
      </c>
      <c r="L7172" s="29">
        <f>IFERROR(E7172*C7172,0)</f>
      </c>
      <c r="M7172" s="29">
        <f>IFERROR((G7172*H7172*I7172/1000000)*D7172,0)</f>
      </c>
    </row>
    <row r="7173" spans="1:13" x14ac:dyDescent="0.25">
      <c r="A7173" s="16"/>
      <c r="E7173" s="27"/>
      <c r="F7173" t="s">
        <v>26</v>
      </c>
      <c r="G7173" s="28">
        <f>IFERROR(VLOOKUP(F7173,CARTON_LOOKUP!$A:$E,3,0),"")</f>
      </c>
      <c r="H7173" s="28">
        <f>IFERROR(VLOOKUP(F7173,CARTON_LOOKUP!$A:$E,4,0),"")</f>
      </c>
      <c r="I7173" s="28">
        <f>IFERROR(VLOOKUP(F7173,CARTON_LOOKUP!$A:$E,5,0),"")</f>
      </c>
      <c r="J7173" s="29">
        <f>IFERROR(VLOOKUP(F7173,CARTON_LOOKUP!$A:$E,2,0),"")</f>
      </c>
      <c r="K7173" s="29">
        <f>IFERROR(J7173*D7173,0)</f>
      </c>
      <c r="L7173" s="29">
        <f>IFERROR(E7173*C7173,0)</f>
      </c>
      <c r="M7173" s="29">
        <f>IFERROR((G7173*H7173*I7173/1000000)*D7173,0)</f>
      </c>
    </row>
    <row r="7174" spans="1:13" x14ac:dyDescent="0.25">
      <c r="A7174" s="16"/>
      <c r="E7174" s="27"/>
      <c r="F7174" t="s">
        <v>26</v>
      </c>
      <c r="G7174" s="28">
        <f>IFERROR(VLOOKUP(F7174,CARTON_LOOKUP!$A:$E,3,0),"")</f>
      </c>
      <c r="H7174" s="28">
        <f>IFERROR(VLOOKUP(F7174,CARTON_LOOKUP!$A:$E,4,0),"")</f>
      </c>
      <c r="I7174" s="28">
        <f>IFERROR(VLOOKUP(F7174,CARTON_LOOKUP!$A:$E,5,0),"")</f>
      </c>
      <c r="J7174" s="29">
        <f>IFERROR(VLOOKUP(F7174,CARTON_LOOKUP!$A:$E,2,0),"")</f>
      </c>
      <c r="K7174" s="29">
        <f>IFERROR(J7174*D7174,0)</f>
      </c>
      <c r="L7174" s="29">
        <f>IFERROR(E7174*C7174,0)</f>
      </c>
      <c r="M7174" s="29">
        <f>IFERROR((G7174*H7174*I7174/1000000)*D7174,0)</f>
      </c>
    </row>
    <row r="7175" spans="1:13" x14ac:dyDescent="0.25">
      <c r="A7175" s="16"/>
      <c r="E7175" s="27"/>
      <c r="F7175" t="s">
        <v>26</v>
      </c>
      <c r="G7175" s="28">
        <f>IFERROR(VLOOKUP(F7175,CARTON_LOOKUP!$A:$E,3,0),"")</f>
      </c>
      <c r="H7175" s="28">
        <f>IFERROR(VLOOKUP(F7175,CARTON_LOOKUP!$A:$E,4,0),"")</f>
      </c>
      <c r="I7175" s="28">
        <f>IFERROR(VLOOKUP(F7175,CARTON_LOOKUP!$A:$E,5,0),"")</f>
      </c>
      <c r="J7175" s="29">
        <f>IFERROR(VLOOKUP(F7175,CARTON_LOOKUP!$A:$E,2,0),"")</f>
      </c>
      <c r="K7175" s="29">
        <f>IFERROR(J7175*D7175,0)</f>
      </c>
      <c r="L7175" s="29">
        <f>IFERROR(E7175*C7175,0)</f>
      </c>
      <c r="M7175" s="29">
        <f>IFERROR((G7175*H7175*I7175/1000000)*D7175,0)</f>
      </c>
    </row>
    <row r="7176" spans="1:13" x14ac:dyDescent="0.25">
      <c r="A7176" s="16"/>
      <c r="E7176" s="27"/>
      <c r="F7176" t="s">
        <v>26</v>
      </c>
      <c r="G7176" s="28">
        <f>IFERROR(VLOOKUP(F7176,CARTON_LOOKUP!$A:$E,3,0),"")</f>
      </c>
      <c r="H7176" s="28">
        <f>IFERROR(VLOOKUP(F7176,CARTON_LOOKUP!$A:$E,4,0),"")</f>
      </c>
      <c r="I7176" s="28">
        <f>IFERROR(VLOOKUP(F7176,CARTON_LOOKUP!$A:$E,5,0),"")</f>
      </c>
      <c r="J7176" s="29">
        <f>IFERROR(VLOOKUP(F7176,CARTON_LOOKUP!$A:$E,2,0),"")</f>
      </c>
      <c r="K7176" s="29">
        <f>IFERROR(J7176*D7176,0)</f>
      </c>
      <c r="L7176" s="29">
        <f>IFERROR(E7176*C7176,0)</f>
      </c>
      <c r="M7176" s="29">
        <f>IFERROR((G7176*H7176*I7176/1000000)*D7176,0)</f>
      </c>
    </row>
    <row r="7177" spans="1:13" x14ac:dyDescent="0.25">
      <c r="A7177" s="16"/>
      <c r="E7177" s="27"/>
      <c r="F7177" t="s">
        <v>26</v>
      </c>
      <c r="G7177" s="28">
        <f>IFERROR(VLOOKUP(F7177,CARTON_LOOKUP!$A:$E,3,0),"")</f>
      </c>
      <c r="H7177" s="28">
        <f>IFERROR(VLOOKUP(F7177,CARTON_LOOKUP!$A:$E,4,0),"")</f>
      </c>
      <c r="I7177" s="28">
        <f>IFERROR(VLOOKUP(F7177,CARTON_LOOKUP!$A:$E,5,0),"")</f>
      </c>
      <c r="J7177" s="29">
        <f>IFERROR(VLOOKUP(F7177,CARTON_LOOKUP!$A:$E,2,0),"")</f>
      </c>
      <c r="K7177" s="29">
        <f>IFERROR(J7177*D7177,0)</f>
      </c>
      <c r="L7177" s="29">
        <f>IFERROR(E7177*C7177,0)</f>
      </c>
      <c r="M7177" s="29">
        <f>IFERROR((G7177*H7177*I7177/1000000)*D7177,0)</f>
      </c>
    </row>
    <row r="7178" spans="1:13" x14ac:dyDescent="0.25">
      <c r="A7178" s="16"/>
      <c r="E7178" s="27"/>
      <c r="F7178" t="s">
        <v>26</v>
      </c>
      <c r="G7178" s="28">
        <f>IFERROR(VLOOKUP(F7178,CARTON_LOOKUP!$A:$E,3,0),"")</f>
      </c>
      <c r="H7178" s="28">
        <f>IFERROR(VLOOKUP(F7178,CARTON_LOOKUP!$A:$E,4,0),"")</f>
      </c>
      <c r="I7178" s="28">
        <f>IFERROR(VLOOKUP(F7178,CARTON_LOOKUP!$A:$E,5,0),"")</f>
      </c>
      <c r="J7178" s="29">
        <f>IFERROR(VLOOKUP(F7178,CARTON_LOOKUP!$A:$E,2,0),"")</f>
      </c>
      <c r="K7178" s="29">
        <f>IFERROR(J7178*D7178,0)</f>
      </c>
      <c r="L7178" s="29">
        <f>IFERROR(E7178*C7178,0)</f>
      </c>
      <c r="M7178" s="29">
        <f>IFERROR((G7178*H7178*I7178/1000000)*D7178,0)</f>
      </c>
    </row>
    <row r="7179" spans="1:13" x14ac:dyDescent="0.25">
      <c r="A7179" s="16"/>
      <c r="E7179" s="27"/>
      <c r="F7179" t="s">
        <v>26</v>
      </c>
      <c r="G7179" s="28">
        <f>IFERROR(VLOOKUP(F7179,CARTON_LOOKUP!$A:$E,3,0),"")</f>
      </c>
      <c r="H7179" s="28">
        <f>IFERROR(VLOOKUP(F7179,CARTON_LOOKUP!$A:$E,4,0),"")</f>
      </c>
      <c r="I7179" s="28">
        <f>IFERROR(VLOOKUP(F7179,CARTON_LOOKUP!$A:$E,5,0),"")</f>
      </c>
      <c r="J7179" s="29">
        <f>IFERROR(VLOOKUP(F7179,CARTON_LOOKUP!$A:$E,2,0),"")</f>
      </c>
      <c r="K7179" s="29">
        <f>IFERROR(J7179*D7179,0)</f>
      </c>
      <c r="L7179" s="29">
        <f>IFERROR(E7179*C7179,0)</f>
      </c>
      <c r="M7179" s="29">
        <f>IFERROR((G7179*H7179*I7179/1000000)*D7179,0)</f>
      </c>
    </row>
    <row r="7180" spans="1:13" x14ac:dyDescent="0.25">
      <c r="A7180" s="16"/>
      <c r="E7180" s="27"/>
      <c r="F7180" t="s">
        <v>26</v>
      </c>
      <c r="G7180" s="28">
        <f>IFERROR(VLOOKUP(F7180,CARTON_LOOKUP!$A:$E,3,0),"")</f>
      </c>
      <c r="H7180" s="28">
        <f>IFERROR(VLOOKUP(F7180,CARTON_LOOKUP!$A:$E,4,0),"")</f>
      </c>
      <c r="I7180" s="28">
        <f>IFERROR(VLOOKUP(F7180,CARTON_LOOKUP!$A:$E,5,0),"")</f>
      </c>
      <c r="J7180" s="29">
        <f>IFERROR(VLOOKUP(F7180,CARTON_LOOKUP!$A:$E,2,0),"")</f>
      </c>
      <c r="K7180" s="29">
        <f>IFERROR(J7180*D7180,0)</f>
      </c>
      <c r="L7180" s="29">
        <f>IFERROR(E7180*C7180,0)</f>
      </c>
      <c r="M7180" s="29">
        <f>IFERROR((G7180*H7180*I7180/1000000)*D7180,0)</f>
      </c>
    </row>
    <row r="7181" spans="1:13" x14ac:dyDescent="0.25">
      <c r="A7181" s="16"/>
      <c r="E7181" s="27"/>
      <c r="F7181" t="s">
        <v>26</v>
      </c>
      <c r="G7181" s="28">
        <f>IFERROR(VLOOKUP(F7181,CARTON_LOOKUP!$A:$E,3,0),"")</f>
      </c>
      <c r="H7181" s="28">
        <f>IFERROR(VLOOKUP(F7181,CARTON_LOOKUP!$A:$E,4,0),"")</f>
      </c>
      <c r="I7181" s="28">
        <f>IFERROR(VLOOKUP(F7181,CARTON_LOOKUP!$A:$E,5,0),"")</f>
      </c>
      <c r="J7181" s="29">
        <f>IFERROR(VLOOKUP(F7181,CARTON_LOOKUP!$A:$E,2,0),"")</f>
      </c>
      <c r="K7181" s="29">
        <f>IFERROR(J7181*D7181,0)</f>
      </c>
      <c r="L7181" s="29">
        <f>IFERROR(E7181*C7181,0)</f>
      </c>
      <c r="M7181" s="29">
        <f>IFERROR((G7181*H7181*I7181/1000000)*D7181,0)</f>
      </c>
    </row>
    <row r="7182" spans="1:13" x14ac:dyDescent="0.25">
      <c r="A7182" s="16"/>
      <c r="E7182" s="27"/>
      <c r="F7182" t="s">
        <v>26</v>
      </c>
      <c r="G7182" s="28">
        <f>IFERROR(VLOOKUP(F7182,CARTON_LOOKUP!$A:$E,3,0),"")</f>
      </c>
      <c r="H7182" s="28">
        <f>IFERROR(VLOOKUP(F7182,CARTON_LOOKUP!$A:$E,4,0),"")</f>
      </c>
      <c r="I7182" s="28">
        <f>IFERROR(VLOOKUP(F7182,CARTON_LOOKUP!$A:$E,5,0),"")</f>
      </c>
      <c r="J7182" s="29">
        <f>IFERROR(VLOOKUP(F7182,CARTON_LOOKUP!$A:$E,2,0),"")</f>
      </c>
      <c r="K7182" s="29">
        <f>IFERROR(J7182*D7182,0)</f>
      </c>
      <c r="L7182" s="29">
        <f>IFERROR(E7182*C7182,0)</f>
      </c>
      <c r="M7182" s="29">
        <f>IFERROR((G7182*H7182*I7182/1000000)*D7182,0)</f>
      </c>
    </row>
    <row r="7183" spans="1:13" x14ac:dyDescent="0.25">
      <c r="A7183" s="16"/>
      <c r="E7183" s="27"/>
      <c r="F7183" t="s">
        <v>26</v>
      </c>
      <c r="G7183" s="28">
        <f>IFERROR(VLOOKUP(F7183,CARTON_LOOKUP!$A:$E,3,0),"")</f>
      </c>
      <c r="H7183" s="28">
        <f>IFERROR(VLOOKUP(F7183,CARTON_LOOKUP!$A:$E,4,0),"")</f>
      </c>
      <c r="I7183" s="28">
        <f>IFERROR(VLOOKUP(F7183,CARTON_LOOKUP!$A:$E,5,0),"")</f>
      </c>
      <c r="J7183" s="29">
        <f>IFERROR(VLOOKUP(F7183,CARTON_LOOKUP!$A:$E,2,0),"")</f>
      </c>
      <c r="K7183" s="29">
        <f>IFERROR(J7183*D7183,0)</f>
      </c>
      <c r="L7183" s="29">
        <f>IFERROR(E7183*C7183,0)</f>
      </c>
      <c r="M7183" s="29">
        <f>IFERROR((G7183*H7183*I7183/1000000)*D7183,0)</f>
      </c>
    </row>
    <row r="7184" spans="1:13" x14ac:dyDescent="0.25">
      <c r="A7184" s="16"/>
      <c r="E7184" s="27"/>
      <c r="F7184" t="s">
        <v>26</v>
      </c>
      <c r="G7184" s="28">
        <f>IFERROR(VLOOKUP(F7184,CARTON_LOOKUP!$A:$E,3,0),"")</f>
      </c>
      <c r="H7184" s="28">
        <f>IFERROR(VLOOKUP(F7184,CARTON_LOOKUP!$A:$E,4,0),"")</f>
      </c>
      <c r="I7184" s="28">
        <f>IFERROR(VLOOKUP(F7184,CARTON_LOOKUP!$A:$E,5,0),"")</f>
      </c>
      <c r="J7184" s="29">
        <f>IFERROR(VLOOKUP(F7184,CARTON_LOOKUP!$A:$E,2,0),"")</f>
      </c>
      <c r="K7184" s="29">
        <f>IFERROR(J7184*D7184,0)</f>
      </c>
      <c r="L7184" s="29">
        <f>IFERROR(E7184*C7184,0)</f>
      </c>
      <c r="M7184" s="29">
        <f>IFERROR((G7184*H7184*I7184/1000000)*D7184,0)</f>
      </c>
    </row>
    <row r="7185" spans="1:13" x14ac:dyDescent="0.25">
      <c r="A7185" s="16"/>
      <c r="E7185" s="27"/>
      <c r="F7185" t="s">
        <v>26</v>
      </c>
      <c r="G7185" s="28">
        <f>IFERROR(VLOOKUP(F7185,CARTON_LOOKUP!$A:$E,3,0),"")</f>
      </c>
      <c r="H7185" s="28">
        <f>IFERROR(VLOOKUP(F7185,CARTON_LOOKUP!$A:$E,4,0),"")</f>
      </c>
      <c r="I7185" s="28">
        <f>IFERROR(VLOOKUP(F7185,CARTON_LOOKUP!$A:$E,5,0),"")</f>
      </c>
      <c r="J7185" s="29">
        <f>IFERROR(VLOOKUP(F7185,CARTON_LOOKUP!$A:$E,2,0),"")</f>
      </c>
      <c r="K7185" s="29">
        <f>IFERROR(J7185*D7185,0)</f>
      </c>
      <c r="L7185" s="29">
        <f>IFERROR(E7185*C7185,0)</f>
      </c>
      <c r="M7185" s="29">
        <f>IFERROR((G7185*H7185*I7185/1000000)*D7185,0)</f>
      </c>
    </row>
    <row r="7186" spans="1:13" x14ac:dyDescent="0.25">
      <c r="A7186" s="16"/>
      <c r="E7186" s="27"/>
      <c r="F7186" t="s">
        <v>26</v>
      </c>
      <c r="G7186" s="28">
        <f>IFERROR(VLOOKUP(F7186,CARTON_LOOKUP!$A:$E,3,0),"")</f>
      </c>
      <c r="H7186" s="28">
        <f>IFERROR(VLOOKUP(F7186,CARTON_LOOKUP!$A:$E,4,0),"")</f>
      </c>
      <c r="I7186" s="28">
        <f>IFERROR(VLOOKUP(F7186,CARTON_LOOKUP!$A:$E,5,0),"")</f>
      </c>
      <c r="J7186" s="29">
        <f>IFERROR(VLOOKUP(F7186,CARTON_LOOKUP!$A:$E,2,0),"")</f>
      </c>
      <c r="K7186" s="29">
        <f>IFERROR(J7186*D7186,0)</f>
      </c>
      <c r="L7186" s="29">
        <f>IFERROR(E7186*C7186,0)</f>
      </c>
      <c r="M7186" s="29">
        <f>IFERROR((G7186*H7186*I7186/1000000)*D7186,0)</f>
      </c>
    </row>
    <row r="7187" spans="1:13" x14ac:dyDescent="0.25">
      <c r="A7187" s="16"/>
      <c r="E7187" s="27"/>
      <c r="F7187" t="s">
        <v>26</v>
      </c>
      <c r="G7187" s="28">
        <f>IFERROR(VLOOKUP(F7187,CARTON_LOOKUP!$A:$E,3,0),"")</f>
      </c>
      <c r="H7187" s="28">
        <f>IFERROR(VLOOKUP(F7187,CARTON_LOOKUP!$A:$E,4,0),"")</f>
      </c>
      <c r="I7187" s="28">
        <f>IFERROR(VLOOKUP(F7187,CARTON_LOOKUP!$A:$E,5,0),"")</f>
      </c>
      <c r="J7187" s="29">
        <f>IFERROR(VLOOKUP(F7187,CARTON_LOOKUP!$A:$E,2,0),"")</f>
      </c>
      <c r="K7187" s="29">
        <f>IFERROR(J7187*D7187,0)</f>
      </c>
      <c r="L7187" s="29">
        <f>IFERROR(E7187*C7187,0)</f>
      </c>
      <c r="M7187" s="29">
        <f>IFERROR((G7187*H7187*I7187/1000000)*D7187,0)</f>
      </c>
    </row>
    <row r="7188" spans="1:13" x14ac:dyDescent="0.25">
      <c r="A7188" s="16"/>
      <c r="E7188" s="27"/>
      <c r="F7188" t="s">
        <v>26</v>
      </c>
      <c r="G7188" s="28">
        <f>IFERROR(VLOOKUP(F7188,CARTON_LOOKUP!$A:$E,3,0),"")</f>
      </c>
      <c r="H7188" s="28">
        <f>IFERROR(VLOOKUP(F7188,CARTON_LOOKUP!$A:$E,4,0),"")</f>
      </c>
      <c r="I7188" s="28">
        <f>IFERROR(VLOOKUP(F7188,CARTON_LOOKUP!$A:$E,5,0),"")</f>
      </c>
      <c r="J7188" s="29">
        <f>IFERROR(VLOOKUP(F7188,CARTON_LOOKUP!$A:$E,2,0),"")</f>
      </c>
      <c r="K7188" s="29">
        <f>IFERROR(J7188*D7188,0)</f>
      </c>
      <c r="L7188" s="29">
        <f>IFERROR(E7188*C7188,0)</f>
      </c>
      <c r="M7188" s="29">
        <f>IFERROR((G7188*H7188*I7188/1000000)*D7188,0)</f>
      </c>
    </row>
    <row r="7189" spans="1:13" x14ac:dyDescent="0.25">
      <c r="A7189" s="16"/>
      <c r="E7189" s="27"/>
      <c r="F7189" t="s">
        <v>26</v>
      </c>
      <c r="G7189" s="28">
        <f>IFERROR(VLOOKUP(F7189,CARTON_LOOKUP!$A:$E,3,0),"")</f>
      </c>
      <c r="H7189" s="28">
        <f>IFERROR(VLOOKUP(F7189,CARTON_LOOKUP!$A:$E,4,0),"")</f>
      </c>
      <c r="I7189" s="28">
        <f>IFERROR(VLOOKUP(F7189,CARTON_LOOKUP!$A:$E,5,0),"")</f>
      </c>
      <c r="J7189" s="29">
        <f>IFERROR(VLOOKUP(F7189,CARTON_LOOKUP!$A:$E,2,0),"")</f>
      </c>
      <c r="K7189" s="29">
        <f>IFERROR(J7189*D7189,0)</f>
      </c>
      <c r="L7189" s="29">
        <f>IFERROR(E7189*C7189,0)</f>
      </c>
      <c r="M7189" s="29">
        <f>IFERROR((G7189*H7189*I7189/1000000)*D7189,0)</f>
      </c>
    </row>
    <row r="7190" spans="1:13" x14ac:dyDescent="0.25">
      <c r="A7190" s="16"/>
      <c r="E7190" s="27"/>
      <c r="F7190" t="s">
        <v>26</v>
      </c>
      <c r="G7190" s="28">
        <f>IFERROR(VLOOKUP(F7190,CARTON_LOOKUP!$A:$E,3,0),"")</f>
      </c>
      <c r="H7190" s="28">
        <f>IFERROR(VLOOKUP(F7190,CARTON_LOOKUP!$A:$E,4,0),"")</f>
      </c>
      <c r="I7190" s="28">
        <f>IFERROR(VLOOKUP(F7190,CARTON_LOOKUP!$A:$E,5,0),"")</f>
      </c>
      <c r="J7190" s="29">
        <f>IFERROR(VLOOKUP(F7190,CARTON_LOOKUP!$A:$E,2,0),"")</f>
      </c>
      <c r="K7190" s="29">
        <f>IFERROR(J7190*D7190,0)</f>
      </c>
      <c r="L7190" s="29">
        <f>IFERROR(E7190*C7190,0)</f>
      </c>
      <c r="M7190" s="29">
        <f>IFERROR((G7190*H7190*I7190/1000000)*D7190,0)</f>
      </c>
    </row>
    <row r="7191" spans="1:13" x14ac:dyDescent="0.25">
      <c r="A7191" s="16"/>
      <c r="E7191" s="27"/>
      <c r="F7191" t="s">
        <v>26</v>
      </c>
      <c r="G7191" s="28">
        <f>IFERROR(VLOOKUP(F7191,CARTON_LOOKUP!$A:$E,3,0),"")</f>
      </c>
      <c r="H7191" s="28">
        <f>IFERROR(VLOOKUP(F7191,CARTON_LOOKUP!$A:$E,4,0),"")</f>
      </c>
      <c r="I7191" s="28">
        <f>IFERROR(VLOOKUP(F7191,CARTON_LOOKUP!$A:$E,5,0),"")</f>
      </c>
      <c r="J7191" s="29">
        <f>IFERROR(VLOOKUP(F7191,CARTON_LOOKUP!$A:$E,2,0),"")</f>
      </c>
      <c r="K7191" s="29">
        <f>IFERROR(J7191*D7191,0)</f>
      </c>
      <c r="L7191" s="29">
        <f>IFERROR(E7191*C7191,0)</f>
      </c>
      <c r="M7191" s="29">
        <f>IFERROR((G7191*H7191*I7191/1000000)*D7191,0)</f>
      </c>
    </row>
    <row r="7192" spans="1:13" x14ac:dyDescent="0.25">
      <c r="A7192" s="16"/>
      <c r="E7192" s="27"/>
      <c r="F7192" t="s">
        <v>26</v>
      </c>
      <c r="G7192" s="28">
        <f>IFERROR(VLOOKUP(F7192,CARTON_LOOKUP!$A:$E,3,0),"")</f>
      </c>
      <c r="H7192" s="28">
        <f>IFERROR(VLOOKUP(F7192,CARTON_LOOKUP!$A:$E,4,0),"")</f>
      </c>
      <c r="I7192" s="28">
        <f>IFERROR(VLOOKUP(F7192,CARTON_LOOKUP!$A:$E,5,0),"")</f>
      </c>
      <c r="J7192" s="29">
        <f>IFERROR(VLOOKUP(F7192,CARTON_LOOKUP!$A:$E,2,0),"")</f>
      </c>
      <c r="K7192" s="29">
        <f>IFERROR(J7192*D7192,0)</f>
      </c>
      <c r="L7192" s="29">
        <f>IFERROR(E7192*C7192,0)</f>
      </c>
      <c r="M7192" s="29">
        <f>IFERROR((G7192*H7192*I7192/1000000)*D7192,0)</f>
      </c>
    </row>
    <row r="7193" spans="1:13" x14ac:dyDescent="0.25">
      <c r="A7193" s="16"/>
      <c r="E7193" s="27"/>
      <c r="F7193" t="s">
        <v>26</v>
      </c>
      <c r="G7193" s="28">
        <f>IFERROR(VLOOKUP(F7193,CARTON_LOOKUP!$A:$E,3,0),"")</f>
      </c>
      <c r="H7193" s="28">
        <f>IFERROR(VLOOKUP(F7193,CARTON_LOOKUP!$A:$E,4,0),"")</f>
      </c>
      <c r="I7193" s="28">
        <f>IFERROR(VLOOKUP(F7193,CARTON_LOOKUP!$A:$E,5,0),"")</f>
      </c>
      <c r="J7193" s="29">
        <f>IFERROR(VLOOKUP(F7193,CARTON_LOOKUP!$A:$E,2,0),"")</f>
      </c>
      <c r="K7193" s="29">
        <f>IFERROR(J7193*D7193,0)</f>
      </c>
      <c r="L7193" s="29">
        <f>IFERROR(E7193*C7193,0)</f>
      </c>
      <c r="M7193" s="29">
        <f>IFERROR((G7193*H7193*I7193/1000000)*D7193,0)</f>
      </c>
    </row>
    <row r="7194" spans="1:13" x14ac:dyDescent="0.25">
      <c r="A7194" s="16"/>
      <c r="E7194" s="27"/>
      <c r="F7194" t="s">
        <v>26</v>
      </c>
      <c r="G7194" s="28">
        <f>IFERROR(VLOOKUP(F7194,CARTON_LOOKUP!$A:$E,3,0),"")</f>
      </c>
      <c r="H7194" s="28">
        <f>IFERROR(VLOOKUP(F7194,CARTON_LOOKUP!$A:$E,4,0),"")</f>
      </c>
      <c r="I7194" s="28">
        <f>IFERROR(VLOOKUP(F7194,CARTON_LOOKUP!$A:$E,5,0),"")</f>
      </c>
      <c r="J7194" s="29">
        <f>IFERROR(VLOOKUP(F7194,CARTON_LOOKUP!$A:$E,2,0),"")</f>
      </c>
      <c r="K7194" s="29">
        <f>IFERROR(J7194*D7194,0)</f>
      </c>
      <c r="L7194" s="29">
        <f>IFERROR(E7194*C7194,0)</f>
      </c>
      <c r="M7194" s="29">
        <f>IFERROR((G7194*H7194*I7194/1000000)*D7194,0)</f>
      </c>
    </row>
    <row r="7195" spans="1:13" x14ac:dyDescent="0.25">
      <c r="A7195" s="16"/>
      <c r="E7195" s="27"/>
      <c r="F7195" t="s">
        <v>26</v>
      </c>
      <c r="G7195" s="28">
        <f>IFERROR(VLOOKUP(F7195,CARTON_LOOKUP!$A:$E,3,0),"")</f>
      </c>
      <c r="H7195" s="28">
        <f>IFERROR(VLOOKUP(F7195,CARTON_LOOKUP!$A:$E,4,0),"")</f>
      </c>
      <c r="I7195" s="28">
        <f>IFERROR(VLOOKUP(F7195,CARTON_LOOKUP!$A:$E,5,0),"")</f>
      </c>
      <c r="J7195" s="29">
        <f>IFERROR(VLOOKUP(F7195,CARTON_LOOKUP!$A:$E,2,0),"")</f>
      </c>
      <c r="K7195" s="29">
        <f>IFERROR(J7195*D7195,0)</f>
      </c>
      <c r="L7195" s="29">
        <f>IFERROR(E7195*C7195,0)</f>
      </c>
      <c r="M7195" s="29">
        <f>IFERROR((G7195*H7195*I7195/1000000)*D7195,0)</f>
      </c>
    </row>
    <row r="7196" spans="1:13" x14ac:dyDescent="0.25">
      <c r="A7196" s="16"/>
      <c r="E7196" s="27"/>
      <c r="F7196" t="s">
        <v>26</v>
      </c>
      <c r="G7196" s="28">
        <f>IFERROR(VLOOKUP(F7196,CARTON_LOOKUP!$A:$E,3,0),"")</f>
      </c>
      <c r="H7196" s="28">
        <f>IFERROR(VLOOKUP(F7196,CARTON_LOOKUP!$A:$E,4,0),"")</f>
      </c>
      <c r="I7196" s="28">
        <f>IFERROR(VLOOKUP(F7196,CARTON_LOOKUP!$A:$E,5,0),"")</f>
      </c>
      <c r="J7196" s="29">
        <f>IFERROR(VLOOKUP(F7196,CARTON_LOOKUP!$A:$E,2,0),"")</f>
      </c>
      <c r="K7196" s="29">
        <f>IFERROR(J7196*D7196,0)</f>
      </c>
      <c r="L7196" s="29">
        <f>IFERROR(E7196*C7196,0)</f>
      </c>
      <c r="M7196" s="29">
        <f>IFERROR((G7196*H7196*I7196/1000000)*D7196,0)</f>
      </c>
    </row>
    <row r="7197" spans="1:13" x14ac:dyDescent="0.25">
      <c r="A7197" s="16"/>
      <c r="E7197" s="27"/>
      <c r="F7197" t="s">
        <v>26</v>
      </c>
      <c r="G7197" s="28">
        <f>IFERROR(VLOOKUP(F7197,CARTON_LOOKUP!$A:$E,3,0),"")</f>
      </c>
      <c r="H7197" s="28">
        <f>IFERROR(VLOOKUP(F7197,CARTON_LOOKUP!$A:$E,4,0),"")</f>
      </c>
      <c r="I7197" s="28">
        <f>IFERROR(VLOOKUP(F7197,CARTON_LOOKUP!$A:$E,5,0),"")</f>
      </c>
      <c r="J7197" s="29">
        <f>IFERROR(VLOOKUP(F7197,CARTON_LOOKUP!$A:$E,2,0),"")</f>
      </c>
      <c r="K7197" s="29">
        <f>IFERROR(J7197*D7197,0)</f>
      </c>
      <c r="L7197" s="29">
        <f>IFERROR(E7197*C7197,0)</f>
      </c>
      <c r="M7197" s="29">
        <f>IFERROR((G7197*H7197*I7197/1000000)*D7197,0)</f>
      </c>
    </row>
    <row r="7198" spans="1:13" x14ac:dyDescent="0.25">
      <c r="A7198" s="16"/>
      <c r="E7198" s="27"/>
      <c r="F7198" t="s">
        <v>26</v>
      </c>
      <c r="G7198" s="28">
        <f>IFERROR(VLOOKUP(F7198,CARTON_LOOKUP!$A:$E,3,0),"")</f>
      </c>
      <c r="H7198" s="28">
        <f>IFERROR(VLOOKUP(F7198,CARTON_LOOKUP!$A:$E,4,0),"")</f>
      </c>
      <c r="I7198" s="28">
        <f>IFERROR(VLOOKUP(F7198,CARTON_LOOKUP!$A:$E,5,0),"")</f>
      </c>
      <c r="J7198" s="29">
        <f>IFERROR(VLOOKUP(F7198,CARTON_LOOKUP!$A:$E,2,0),"")</f>
      </c>
      <c r="K7198" s="29">
        <f>IFERROR(J7198*D7198,0)</f>
      </c>
      <c r="L7198" s="29">
        <f>IFERROR(E7198*C7198,0)</f>
      </c>
      <c r="M7198" s="29">
        <f>IFERROR((G7198*H7198*I7198/1000000)*D7198,0)</f>
      </c>
    </row>
    <row r="7199" spans="1:13" x14ac:dyDescent="0.25">
      <c r="A7199" s="16"/>
      <c r="E7199" s="27"/>
      <c r="F7199" t="s">
        <v>26</v>
      </c>
      <c r="G7199" s="28">
        <f>IFERROR(VLOOKUP(F7199,CARTON_LOOKUP!$A:$E,3,0),"")</f>
      </c>
      <c r="H7199" s="28">
        <f>IFERROR(VLOOKUP(F7199,CARTON_LOOKUP!$A:$E,4,0),"")</f>
      </c>
      <c r="I7199" s="28">
        <f>IFERROR(VLOOKUP(F7199,CARTON_LOOKUP!$A:$E,5,0),"")</f>
      </c>
      <c r="J7199" s="29">
        <f>IFERROR(VLOOKUP(F7199,CARTON_LOOKUP!$A:$E,2,0),"")</f>
      </c>
      <c r="K7199" s="29">
        <f>IFERROR(J7199*D7199,0)</f>
      </c>
      <c r="L7199" s="29">
        <f>IFERROR(E7199*C7199,0)</f>
      </c>
      <c r="M7199" s="29">
        <f>IFERROR((G7199*H7199*I7199/1000000)*D7199,0)</f>
      </c>
    </row>
    <row r="7200" spans="1:13" x14ac:dyDescent="0.25">
      <c r="A7200" s="16"/>
      <c r="E7200" s="27"/>
      <c r="F7200" t="s">
        <v>26</v>
      </c>
      <c r="G7200" s="28">
        <f>IFERROR(VLOOKUP(F7200,CARTON_LOOKUP!$A:$E,3,0),"")</f>
      </c>
      <c r="H7200" s="28">
        <f>IFERROR(VLOOKUP(F7200,CARTON_LOOKUP!$A:$E,4,0),"")</f>
      </c>
      <c r="I7200" s="28">
        <f>IFERROR(VLOOKUP(F7200,CARTON_LOOKUP!$A:$E,5,0),"")</f>
      </c>
      <c r="J7200" s="29">
        <f>IFERROR(VLOOKUP(F7200,CARTON_LOOKUP!$A:$E,2,0),"")</f>
      </c>
      <c r="K7200" s="29">
        <f>IFERROR(J7200*D7200,0)</f>
      </c>
      <c r="L7200" s="29">
        <f>IFERROR(E7200*C7200,0)</f>
      </c>
      <c r="M7200" s="29">
        <f>IFERROR((G7200*H7200*I7200/1000000)*D7200,0)</f>
      </c>
    </row>
    <row r="7201" spans="1:13" x14ac:dyDescent="0.25">
      <c r="A7201" s="16"/>
      <c r="E7201" s="27"/>
      <c r="F7201" t="s">
        <v>26</v>
      </c>
      <c r="G7201" s="28">
        <f>IFERROR(VLOOKUP(F7201,CARTON_LOOKUP!$A:$E,3,0),"")</f>
      </c>
      <c r="H7201" s="28">
        <f>IFERROR(VLOOKUP(F7201,CARTON_LOOKUP!$A:$E,4,0),"")</f>
      </c>
      <c r="I7201" s="28">
        <f>IFERROR(VLOOKUP(F7201,CARTON_LOOKUP!$A:$E,5,0),"")</f>
      </c>
      <c r="J7201" s="29">
        <f>IFERROR(VLOOKUP(F7201,CARTON_LOOKUP!$A:$E,2,0),"")</f>
      </c>
      <c r="K7201" s="29">
        <f>IFERROR(J7201*D7201,0)</f>
      </c>
      <c r="L7201" s="29">
        <f>IFERROR(E7201*C7201,0)</f>
      </c>
      <c r="M7201" s="29">
        <f>IFERROR((G7201*H7201*I7201/1000000)*D7201,0)</f>
      </c>
    </row>
    <row r="7202" spans="1:13" x14ac:dyDescent="0.25">
      <c r="A7202" s="16"/>
      <c r="E7202" s="27"/>
      <c r="F7202" t="s">
        <v>26</v>
      </c>
      <c r="G7202" s="28">
        <f>IFERROR(VLOOKUP(F7202,CARTON_LOOKUP!$A:$E,3,0),"")</f>
      </c>
      <c r="H7202" s="28">
        <f>IFERROR(VLOOKUP(F7202,CARTON_LOOKUP!$A:$E,4,0),"")</f>
      </c>
      <c r="I7202" s="28">
        <f>IFERROR(VLOOKUP(F7202,CARTON_LOOKUP!$A:$E,5,0),"")</f>
      </c>
      <c r="J7202" s="29">
        <f>IFERROR(VLOOKUP(F7202,CARTON_LOOKUP!$A:$E,2,0),"")</f>
      </c>
      <c r="K7202" s="29">
        <f>IFERROR(J7202*D7202,0)</f>
      </c>
      <c r="L7202" s="29">
        <f>IFERROR(E7202*C7202,0)</f>
      </c>
      <c r="M7202" s="29">
        <f>IFERROR((G7202*H7202*I7202/1000000)*D7202,0)</f>
      </c>
    </row>
    <row r="7203" spans="1:13" x14ac:dyDescent="0.25">
      <c r="A7203" s="16"/>
      <c r="E7203" s="27"/>
      <c r="F7203" t="s">
        <v>26</v>
      </c>
      <c r="G7203" s="28">
        <f>IFERROR(VLOOKUP(F7203,CARTON_LOOKUP!$A:$E,3,0),"")</f>
      </c>
      <c r="H7203" s="28">
        <f>IFERROR(VLOOKUP(F7203,CARTON_LOOKUP!$A:$E,4,0),"")</f>
      </c>
      <c r="I7203" s="28">
        <f>IFERROR(VLOOKUP(F7203,CARTON_LOOKUP!$A:$E,5,0),"")</f>
      </c>
      <c r="J7203" s="29">
        <f>IFERROR(VLOOKUP(F7203,CARTON_LOOKUP!$A:$E,2,0),"")</f>
      </c>
      <c r="K7203" s="29">
        <f>IFERROR(J7203*D7203,0)</f>
      </c>
      <c r="L7203" s="29">
        <f>IFERROR(E7203*C7203,0)</f>
      </c>
      <c r="M7203" s="29">
        <f>IFERROR((G7203*H7203*I7203/1000000)*D7203,0)</f>
      </c>
    </row>
    <row r="7204" spans="1:13" x14ac:dyDescent="0.25">
      <c r="A7204" s="16"/>
      <c r="E7204" s="27"/>
      <c r="F7204" t="s">
        <v>26</v>
      </c>
      <c r="G7204" s="28">
        <f>IFERROR(VLOOKUP(F7204,CARTON_LOOKUP!$A:$E,3,0),"")</f>
      </c>
      <c r="H7204" s="28">
        <f>IFERROR(VLOOKUP(F7204,CARTON_LOOKUP!$A:$E,4,0),"")</f>
      </c>
      <c r="I7204" s="28">
        <f>IFERROR(VLOOKUP(F7204,CARTON_LOOKUP!$A:$E,5,0),"")</f>
      </c>
      <c r="J7204" s="29">
        <f>IFERROR(VLOOKUP(F7204,CARTON_LOOKUP!$A:$E,2,0),"")</f>
      </c>
      <c r="K7204" s="29">
        <f>IFERROR(J7204*D7204,0)</f>
      </c>
      <c r="L7204" s="29">
        <f>IFERROR(E7204*C7204,0)</f>
      </c>
      <c r="M7204" s="29">
        <f>IFERROR((G7204*H7204*I7204/1000000)*D7204,0)</f>
      </c>
    </row>
    <row r="7205" spans="1:13" x14ac:dyDescent="0.25">
      <c r="A7205" s="16"/>
      <c r="E7205" s="27"/>
      <c r="F7205" t="s">
        <v>26</v>
      </c>
      <c r="G7205" s="28">
        <f>IFERROR(VLOOKUP(F7205,CARTON_LOOKUP!$A:$E,3,0),"")</f>
      </c>
      <c r="H7205" s="28">
        <f>IFERROR(VLOOKUP(F7205,CARTON_LOOKUP!$A:$E,4,0),"")</f>
      </c>
      <c r="I7205" s="28">
        <f>IFERROR(VLOOKUP(F7205,CARTON_LOOKUP!$A:$E,5,0),"")</f>
      </c>
      <c r="J7205" s="29">
        <f>IFERROR(VLOOKUP(F7205,CARTON_LOOKUP!$A:$E,2,0),"")</f>
      </c>
      <c r="K7205" s="29">
        <f>IFERROR(J7205*D7205,0)</f>
      </c>
      <c r="L7205" s="29">
        <f>IFERROR(E7205*C7205,0)</f>
      </c>
      <c r="M7205" s="29">
        <f>IFERROR((G7205*H7205*I7205/1000000)*D7205,0)</f>
      </c>
    </row>
    <row r="7206" spans="1:13" x14ac:dyDescent="0.25">
      <c r="A7206" s="16"/>
      <c r="E7206" s="27"/>
      <c r="F7206" t="s">
        <v>26</v>
      </c>
      <c r="G7206" s="28">
        <f>IFERROR(VLOOKUP(F7206,CARTON_LOOKUP!$A:$E,3,0),"")</f>
      </c>
      <c r="H7206" s="28">
        <f>IFERROR(VLOOKUP(F7206,CARTON_LOOKUP!$A:$E,4,0),"")</f>
      </c>
      <c r="I7206" s="28">
        <f>IFERROR(VLOOKUP(F7206,CARTON_LOOKUP!$A:$E,5,0),"")</f>
      </c>
      <c r="J7206" s="29">
        <f>IFERROR(VLOOKUP(F7206,CARTON_LOOKUP!$A:$E,2,0),"")</f>
      </c>
      <c r="K7206" s="29">
        <f>IFERROR(J7206*D7206,0)</f>
      </c>
      <c r="L7206" s="29">
        <f>IFERROR(E7206*C7206,0)</f>
      </c>
      <c r="M7206" s="29">
        <f>IFERROR((G7206*H7206*I7206/1000000)*D7206,0)</f>
      </c>
    </row>
    <row r="7207" spans="1:13" x14ac:dyDescent="0.25">
      <c r="A7207" s="16"/>
      <c r="E7207" s="27"/>
      <c r="F7207" t="s">
        <v>26</v>
      </c>
      <c r="G7207" s="28">
        <f>IFERROR(VLOOKUP(F7207,CARTON_LOOKUP!$A:$E,3,0),"")</f>
      </c>
      <c r="H7207" s="28">
        <f>IFERROR(VLOOKUP(F7207,CARTON_LOOKUP!$A:$E,4,0),"")</f>
      </c>
      <c r="I7207" s="28">
        <f>IFERROR(VLOOKUP(F7207,CARTON_LOOKUP!$A:$E,5,0),"")</f>
      </c>
      <c r="J7207" s="29">
        <f>IFERROR(VLOOKUP(F7207,CARTON_LOOKUP!$A:$E,2,0),"")</f>
      </c>
      <c r="K7207" s="29">
        <f>IFERROR(J7207*D7207,0)</f>
      </c>
      <c r="L7207" s="29">
        <f>IFERROR(E7207*C7207,0)</f>
      </c>
      <c r="M7207" s="29">
        <f>IFERROR((G7207*H7207*I7207/1000000)*D7207,0)</f>
      </c>
    </row>
    <row r="7208" spans="1:13" x14ac:dyDescent="0.25">
      <c r="A7208" s="16"/>
      <c r="E7208" s="27"/>
      <c r="F7208" t="s">
        <v>26</v>
      </c>
      <c r="G7208" s="28">
        <f>IFERROR(VLOOKUP(F7208,CARTON_LOOKUP!$A:$E,3,0),"")</f>
      </c>
      <c r="H7208" s="28">
        <f>IFERROR(VLOOKUP(F7208,CARTON_LOOKUP!$A:$E,4,0),"")</f>
      </c>
      <c r="I7208" s="28">
        <f>IFERROR(VLOOKUP(F7208,CARTON_LOOKUP!$A:$E,5,0),"")</f>
      </c>
      <c r="J7208" s="29">
        <f>IFERROR(VLOOKUP(F7208,CARTON_LOOKUP!$A:$E,2,0),"")</f>
      </c>
      <c r="K7208" s="29">
        <f>IFERROR(J7208*D7208,0)</f>
      </c>
      <c r="L7208" s="29">
        <f>IFERROR(E7208*C7208,0)</f>
      </c>
      <c r="M7208" s="29">
        <f>IFERROR((G7208*H7208*I7208/1000000)*D7208,0)</f>
      </c>
    </row>
    <row r="7209" spans="1:13" x14ac:dyDescent="0.25">
      <c r="A7209" s="16"/>
      <c r="E7209" s="27"/>
      <c r="F7209" t="s">
        <v>26</v>
      </c>
      <c r="G7209" s="28">
        <f>IFERROR(VLOOKUP(F7209,CARTON_LOOKUP!$A:$E,3,0),"")</f>
      </c>
      <c r="H7209" s="28">
        <f>IFERROR(VLOOKUP(F7209,CARTON_LOOKUP!$A:$E,4,0),"")</f>
      </c>
      <c r="I7209" s="28">
        <f>IFERROR(VLOOKUP(F7209,CARTON_LOOKUP!$A:$E,5,0),"")</f>
      </c>
      <c r="J7209" s="29">
        <f>IFERROR(VLOOKUP(F7209,CARTON_LOOKUP!$A:$E,2,0),"")</f>
      </c>
      <c r="K7209" s="29">
        <f>IFERROR(J7209*D7209,0)</f>
      </c>
      <c r="L7209" s="29">
        <f>IFERROR(E7209*C7209,0)</f>
      </c>
      <c r="M7209" s="29">
        <f>IFERROR((G7209*H7209*I7209/1000000)*D7209,0)</f>
      </c>
    </row>
    <row r="7210" spans="1:13" x14ac:dyDescent="0.25">
      <c r="A7210" s="16"/>
      <c r="E7210" s="27"/>
      <c r="F7210" t="s">
        <v>26</v>
      </c>
      <c r="G7210" s="28">
        <f>IFERROR(VLOOKUP(F7210,CARTON_LOOKUP!$A:$E,3,0),"")</f>
      </c>
      <c r="H7210" s="28">
        <f>IFERROR(VLOOKUP(F7210,CARTON_LOOKUP!$A:$E,4,0),"")</f>
      </c>
      <c r="I7210" s="28">
        <f>IFERROR(VLOOKUP(F7210,CARTON_LOOKUP!$A:$E,5,0),"")</f>
      </c>
      <c r="J7210" s="29">
        <f>IFERROR(VLOOKUP(F7210,CARTON_LOOKUP!$A:$E,2,0),"")</f>
      </c>
      <c r="K7210" s="29">
        <f>IFERROR(J7210*D7210,0)</f>
      </c>
      <c r="L7210" s="29">
        <f>IFERROR(E7210*C7210,0)</f>
      </c>
      <c r="M7210" s="29">
        <f>IFERROR((G7210*H7210*I7210/1000000)*D7210,0)</f>
      </c>
    </row>
    <row r="7211" spans="1:13" x14ac:dyDescent="0.25">
      <c r="A7211" s="16"/>
      <c r="E7211" s="27"/>
      <c r="F7211" t="s">
        <v>26</v>
      </c>
      <c r="G7211" s="28">
        <f>IFERROR(VLOOKUP(F7211,CARTON_LOOKUP!$A:$E,3,0),"")</f>
      </c>
      <c r="H7211" s="28">
        <f>IFERROR(VLOOKUP(F7211,CARTON_LOOKUP!$A:$E,4,0),"")</f>
      </c>
      <c r="I7211" s="28">
        <f>IFERROR(VLOOKUP(F7211,CARTON_LOOKUP!$A:$E,5,0),"")</f>
      </c>
      <c r="J7211" s="29">
        <f>IFERROR(VLOOKUP(F7211,CARTON_LOOKUP!$A:$E,2,0),"")</f>
      </c>
      <c r="K7211" s="29">
        <f>IFERROR(J7211*D7211,0)</f>
      </c>
      <c r="L7211" s="29">
        <f>IFERROR(E7211*C7211,0)</f>
      </c>
      <c r="M7211" s="29">
        <f>IFERROR((G7211*H7211*I7211/1000000)*D7211,0)</f>
      </c>
    </row>
    <row r="7212" spans="1:13" x14ac:dyDescent="0.25">
      <c r="A7212" s="16"/>
      <c r="E7212" s="27"/>
      <c r="F7212" t="s">
        <v>26</v>
      </c>
      <c r="G7212" s="28">
        <f>IFERROR(VLOOKUP(F7212,CARTON_LOOKUP!$A:$E,3,0),"")</f>
      </c>
      <c r="H7212" s="28">
        <f>IFERROR(VLOOKUP(F7212,CARTON_LOOKUP!$A:$E,4,0),"")</f>
      </c>
      <c r="I7212" s="28">
        <f>IFERROR(VLOOKUP(F7212,CARTON_LOOKUP!$A:$E,5,0),"")</f>
      </c>
      <c r="J7212" s="29">
        <f>IFERROR(VLOOKUP(F7212,CARTON_LOOKUP!$A:$E,2,0),"")</f>
      </c>
      <c r="K7212" s="29">
        <f>IFERROR(J7212*D7212,0)</f>
      </c>
      <c r="L7212" s="29">
        <f>IFERROR(E7212*C7212,0)</f>
      </c>
      <c r="M7212" s="29">
        <f>IFERROR((G7212*H7212*I7212/1000000)*D7212,0)</f>
      </c>
    </row>
    <row r="7213" spans="1:13" x14ac:dyDescent="0.25">
      <c r="A7213" s="16"/>
      <c r="E7213" s="27"/>
      <c r="F7213" t="s">
        <v>26</v>
      </c>
      <c r="G7213" s="28">
        <f>IFERROR(VLOOKUP(F7213,CARTON_LOOKUP!$A:$E,3,0),"")</f>
      </c>
      <c r="H7213" s="28">
        <f>IFERROR(VLOOKUP(F7213,CARTON_LOOKUP!$A:$E,4,0),"")</f>
      </c>
      <c r="I7213" s="28">
        <f>IFERROR(VLOOKUP(F7213,CARTON_LOOKUP!$A:$E,5,0),"")</f>
      </c>
      <c r="J7213" s="29">
        <f>IFERROR(VLOOKUP(F7213,CARTON_LOOKUP!$A:$E,2,0),"")</f>
      </c>
      <c r="K7213" s="29">
        <f>IFERROR(J7213*D7213,0)</f>
      </c>
      <c r="L7213" s="29">
        <f>IFERROR(E7213*C7213,0)</f>
      </c>
      <c r="M7213" s="29">
        <f>IFERROR((G7213*H7213*I7213/1000000)*D7213,0)</f>
      </c>
    </row>
    <row r="7214" spans="1:13" x14ac:dyDescent="0.25">
      <c r="A7214" s="16"/>
      <c r="E7214" s="27"/>
      <c r="F7214" t="s">
        <v>26</v>
      </c>
      <c r="G7214" s="28">
        <f>IFERROR(VLOOKUP(F7214,CARTON_LOOKUP!$A:$E,3,0),"")</f>
      </c>
      <c r="H7214" s="28">
        <f>IFERROR(VLOOKUP(F7214,CARTON_LOOKUP!$A:$E,4,0),"")</f>
      </c>
      <c r="I7214" s="28">
        <f>IFERROR(VLOOKUP(F7214,CARTON_LOOKUP!$A:$E,5,0),"")</f>
      </c>
      <c r="J7214" s="29">
        <f>IFERROR(VLOOKUP(F7214,CARTON_LOOKUP!$A:$E,2,0),"")</f>
      </c>
      <c r="K7214" s="29">
        <f>IFERROR(J7214*D7214,0)</f>
      </c>
      <c r="L7214" s="29">
        <f>IFERROR(E7214*C7214,0)</f>
      </c>
      <c r="M7214" s="29">
        <f>IFERROR((G7214*H7214*I7214/1000000)*D7214,0)</f>
      </c>
    </row>
    <row r="7215" spans="1:13" x14ac:dyDescent="0.25">
      <c r="A7215" s="16"/>
      <c r="E7215" s="27"/>
      <c r="F7215" t="s">
        <v>26</v>
      </c>
      <c r="G7215" s="28">
        <f>IFERROR(VLOOKUP(F7215,CARTON_LOOKUP!$A:$E,3,0),"")</f>
      </c>
      <c r="H7215" s="28">
        <f>IFERROR(VLOOKUP(F7215,CARTON_LOOKUP!$A:$E,4,0),"")</f>
      </c>
      <c r="I7215" s="28">
        <f>IFERROR(VLOOKUP(F7215,CARTON_LOOKUP!$A:$E,5,0),"")</f>
      </c>
      <c r="J7215" s="29">
        <f>IFERROR(VLOOKUP(F7215,CARTON_LOOKUP!$A:$E,2,0),"")</f>
      </c>
      <c r="K7215" s="29">
        <f>IFERROR(J7215*D7215,0)</f>
      </c>
      <c r="L7215" s="29">
        <f>IFERROR(E7215*C7215,0)</f>
      </c>
      <c r="M7215" s="29">
        <f>IFERROR((G7215*H7215*I7215/1000000)*D7215,0)</f>
      </c>
    </row>
    <row r="7216" spans="1:13" x14ac:dyDescent="0.25">
      <c r="A7216" s="16"/>
      <c r="E7216" s="27"/>
      <c r="F7216" t="s">
        <v>26</v>
      </c>
      <c r="G7216" s="28">
        <f>IFERROR(VLOOKUP(F7216,CARTON_LOOKUP!$A:$E,3,0),"")</f>
      </c>
      <c r="H7216" s="28">
        <f>IFERROR(VLOOKUP(F7216,CARTON_LOOKUP!$A:$E,4,0),"")</f>
      </c>
      <c r="I7216" s="28">
        <f>IFERROR(VLOOKUP(F7216,CARTON_LOOKUP!$A:$E,5,0),"")</f>
      </c>
      <c r="J7216" s="29">
        <f>IFERROR(VLOOKUP(F7216,CARTON_LOOKUP!$A:$E,2,0),"")</f>
      </c>
      <c r="K7216" s="29">
        <f>IFERROR(J7216*D7216,0)</f>
      </c>
      <c r="L7216" s="29">
        <f>IFERROR(E7216*C7216,0)</f>
      </c>
      <c r="M7216" s="29">
        <f>IFERROR((G7216*H7216*I7216/1000000)*D7216,0)</f>
      </c>
    </row>
    <row r="7217" spans="1:13" x14ac:dyDescent="0.25">
      <c r="A7217" s="16"/>
      <c r="E7217" s="27"/>
      <c r="F7217" t="s">
        <v>26</v>
      </c>
      <c r="G7217" s="28">
        <f>IFERROR(VLOOKUP(F7217,CARTON_LOOKUP!$A:$E,3,0),"")</f>
      </c>
      <c r="H7217" s="28">
        <f>IFERROR(VLOOKUP(F7217,CARTON_LOOKUP!$A:$E,4,0),"")</f>
      </c>
      <c r="I7217" s="28">
        <f>IFERROR(VLOOKUP(F7217,CARTON_LOOKUP!$A:$E,5,0),"")</f>
      </c>
      <c r="J7217" s="29">
        <f>IFERROR(VLOOKUP(F7217,CARTON_LOOKUP!$A:$E,2,0),"")</f>
      </c>
      <c r="K7217" s="29">
        <f>IFERROR(J7217*D7217,0)</f>
      </c>
      <c r="L7217" s="29">
        <f>IFERROR(E7217*C7217,0)</f>
      </c>
      <c r="M7217" s="29">
        <f>IFERROR((G7217*H7217*I7217/1000000)*D7217,0)</f>
      </c>
    </row>
    <row r="7218" spans="1:13" x14ac:dyDescent="0.25">
      <c r="A7218" s="16"/>
      <c r="E7218" s="27"/>
      <c r="F7218" t="s">
        <v>26</v>
      </c>
      <c r="G7218" s="28">
        <f>IFERROR(VLOOKUP(F7218,CARTON_LOOKUP!$A:$E,3,0),"")</f>
      </c>
      <c r="H7218" s="28">
        <f>IFERROR(VLOOKUP(F7218,CARTON_LOOKUP!$A:$E,4,0),"")</f>
      </c>
      <c r="I7218" s="28">
        <f>IFERROR(VLOOKUP(F7218,CARTON_LOOKUP!$A:$E,5,0),"")</f>
      </c>
      <c r="J7218" s="29">
        <f>IFERROR(VLOOKUP(F7218,CARTON_LOOKUP!$A:$E,2,0),"")</f>
      </c>
      <c r="K7218" s="29">
        <f>IFERROR(J7218*D7218,0)</f>
      </c>
      <c r="L7218" s="29">
        <f>IFERROR(E7218*C7218,0)</f>
      </c>
      <c r="M7218" s="29">
        <f>IFERROR((G7218*H7218*I7218/1000000)*D7218,0)</f>
      </c>
    </row>
    <row r="7219" spans="1:13" x14ac:dyDescent="0.25">
      <c r="A7219" s="16"/>
      <c r="E7219" s="27"/>
      <c r="F7219" t="s">
        <v>26</v>
      </c>
      <c r="G7219" s="28">
        <f>IFERROR(VLOOKUP(F7219,CARTON_LOOKUP!$A:$E,3,0),"")</f>
      </c>
      <c r="H7219" s="28">
        <f>IFERROR(VLOOKUP(F7219,CARTON_LOOKUP!$A:$E,4,0),"")</f>
      </c>
      <c r="I7219" s="28">
        <f>IFERROR(VLOOKUP(F7219,CARTON_LOOKUP!$A:$E,5,0),"")</f>
      </c>
      <c r="J7219" s="29">
        <f>IFERROR(VLOOKUP(F7219,CARTON_LOOKUP!$A:$E,2,0),"")</f>
      </c>
      <c r="K7219" s="29">
        <f>IFERROR(J7219*D7219,0)</f>
      </c>
      <c r="L7219" s="29">
        <f>IFERROR(E7219*C7219,0)</f>
      </c>
      <c r="M7219" s="29">
        <f>IFERROR((G7219*H7219*I7219/1000000)*D7219,0)</f>
      </c>
    </row>
    <row r="7220" spans="1:13" x14ac:dyDescent="0.25">
      <c r="A7220" s="16"/>
      <c r="E7220" s="27"/>
      <c r="F7220" t="s">
        <v>26</v>
      </c>
      <c r="G7220" s="28">
        <f>IFERROR(VLOOKUP(F7220,CARTON_LOOKUP!$A:$E,3,0),"")</f>
      </c>
      <c r="H7220" s="28">
        <f>IFERROR(VLOOKUP(F7220,CARTON_LOOKUP!$A:$E,4,0),"")</f>
      </c>
      <c r="I7220" s="28">
        <f>IFERROR(VLOOKUP(F7220,CARTON_LOOKUP!$A:$E,5,0),"")</f>
      </c>
      <c r="J7220" s="29">
        <f>IFERROR(VLOOKUP(F7220,CARTON_LOOKUP!$A:$E,2,0),"")</f>
      </c>
      <c r="K7220" s="29">
        <f>IFERROR(J7220*D7220,0)</f>
      </c>
      <c r="L7220" s="29">
        <f>IFERROR(E7220*C7220,0)</f>
      </c>
      <c r="M7220" s="29">
        <f>IFERROR((G7220*H7220*I7220/1000000)*D7220,0)</f>
      </c>
    </row>
    <row r="7221" spans="1:13" x14ac:dyDescent="0.25">
      <c r="A7221" s="16"/>
      <c r="E7221" s="27"/>
      <c r="F7221" t="s">
        <v>26</v>
      </c>
      <c r="G7221" s="28">
        <f>IFERROR(VLOOKUP(F7221,CARTON_LOOKUP!$A:$E,3,0),"")</f>
      </c>
      <c r="H7221" s="28">
        <f>IFERROR(VLOOKUP(F7221,CARTON_LOOKUP!$A:$E,4,0),"")</f>
      </c>
      <c r="I7221" s="28">
        <f>IFERROR(VLOOKUP(F7221,CARTON_LOOKUP!$A:$E,5,0),"")</f>
      </c>
      <c r="J7221" s="29">
        <f>IFERROR(VLOOKUP(F7221,CARTON_LOOKUP!$A:$E,2,0),"")</f>
      </c>
      <c r="K7221" s="29">
        <f>IFERROR(J7221*D7221,0)</f>
      </c>
      <c r="L7221" s="29">
        <f>IFERROR(E7221*C7221,0)</f>
      </c>
      <c r="M7221" s="29">
        <f>IFERROR((G7221*H7221*I7221/1000000)*D7221,0)</f>
      </c>
    </row>
    <row r="7222" spans="1:13" x14ac:dyDescent="0.25">
      <c r="A7222" s="16"/>
      <c r="E7222" s="27"/>
      <c r="F7222" t="s">
        <v>26</v>
      </c>
      <c r="G7222" s="28">
        <f>IFERROR(VLOOKUP(F7222,CARTON_LOOKUP!$A:$E,3,0),"")</f>
      </c>
      <c r="H7222" s="28">
        <f>IFERROR(VLOOKUP(F7222,CARTON_LOOKUP!$A:$E,4,0),"")</f>
      </c>
      <c r="I7222" s="28">
        <f>IFERROR(VLOOKUP(F7222,CARTON_LOOKUP!$A:$E,5,0),"")</f>
      </c>
      <c r="J7222" s="29">
        <f>IFERROR(VLOOKUP(F7222,CARTON_LOOKUP!$A:$E,2,0),"")</f>
      </c>
      <c r="K7222" s="29">
        <f>IFERROR(J7222*D7222,0)</f>
      </c>
      <c r="L7222" s="29">
        <f>IFERROR(E7222*C7222,0)</f>
      </c>
      <c r="M7222" s="29">
        <f>IFERROR((G7222*H7222*I7222/1000000)*D7222,0)</f>
      </c>
    </row>
    <row r="7223" spans="1:13" x14ac:dyDescent="0.25">
      <c r="A7223" s="16"/>
      <c r="E7223" s="27"/>
      <c r="F7223" t="s">
        <v>26</v>
      </c>
      <c r="G7223" s="28">
        <f>IFERROR(VLOOKUP(F7223,CARTON_LOOKUP!$A:$E,3,0),"")</f>
      </c>
      <c r="H7223" s="28">
        <f>IFERROR(VLOOKUP(F7223,CARTON_LOOKUP!$A:$E,4,0),"")</f>
      </c>
      <c r="I7223" s="28">
        <f>IFERROR(VLOOKUP(F7223,CARTON_LOOKUP!$A:$E,5,0),"")</f>
      </c>
      <c r="J7223" s="29">
        <f>IFERROR(VLOOKUP(F7223,CARTON_LOOKUP!$A:$E,2,0),"")</f>
      </c>
      <c r="K7223" s="29">
        <f>IFERROR(J7223*D7223,0)</f>
      </c>
      <c r="L7223" s="29">
        <f>IFERROR(E7223*C7223,0)</f>
      </c>
      <c r="M7223" s="29">
        <f>IFERROR((G7223*H7223*I7223/1000000)*D7223,0)</f>
      </c>
    </row>
    <row r="7224" spans="1:13" x14ac:dyDescent="0.25">
      <c r="A7224" s="16"/>
      <c r="E7224" s="27"/>
      <c r="F7224" t="s">
        <v>26</v>
      </c>
      <c r="G7224" s="28">
        <f>IFERROR(VLOOKUP(F7224,CARTON_LOOKUP!$A:$E,3,0),"")</f>
      </c>
      <c r="H7224" s="28">
        <f>IFERROR(VLOOKUP(F7224,CARTON_LOOKUP!$A:$E,4,0),"")</f>
      </c>
      <c r="I7224" s="28">
        <f>IFERROR(VLOOKUP(F7224,CARTON_LOOKUP!$A:$E,5,0),"")</f>
      </c>
      <c r="J7224" s="29">
        <f>IFERROR(VLOOKUP(F7224,CARTON_LOOKUP!$A:$E,2,0),"")</f>
      </c>
      <c r="K7224" s="29">
        <f>IFERROR(J7224*D7224,0)</f>
      </c>
      <c r="L7224" s="29">
        <f>IFERROR(E7224*C7224,0)</f>
      </c>
      <c r="M7224" s="29">
        <f>IFERROR((G7224*H7224*I7224/1000000)*D7224,0)</f>
      </c>
    </row>
    <row r="7225" spans="1:13" x14ac:dyDescent="0.25">
      <c r="A7225" s="16"/>
      <c r="E7225" s="27"/>
      <c r="F7225" t="s">
        <v>26</v>
      </c>
      <c r="G7225" s="28">
        <f>IFERROR(VLOOKUP(F7225,CARTON_LOOKUP!$A:$E,3,0),"")</f>
      </c>
      <c r="H7225" s="28">
        <f>IFERROR(VLOOKUP(F7225,CARTON_LOOKUP!$A:$E,4,0),"")</f>
      </c>
      <c r="I7225" s="28">
        <f>IFERROR(VLOOKUP(F7225,CARTON_LOOKUP!$A:$E,5,0),"")</f>
      </c>
      <c r="J7225" s="29">
        <f>IFERROR(VLOOKUP(F7225,CARTON_LOOKUP!$A:$E,2,0),"")</f>
      </c>
      <c r="K7225" s="29">
        <f>IFERROR(J7225*D7225,0)</f>
      </c>
      <c r="L7225" s="29">
        <f>IFERROR(E7225*C7225,0)</f>
      </c>
      <c r="M7225" s="29">
        <f>IFERROR((G7225*H7225*I7225/1000000)*D7225,0)</f>
      </c>
    </row>
    <row r="7226" spans="1:13" x14ac:dyDescent="0.25">
      <c r="A7226" s="16"/>
      <c r="E7226" s="27"/>
      <c r="F7226" t="s">
        <v>26</v>
      </c>
      <c r="G7226" s="28">
        <f>IFERROR(VLOOKUP(F7226,CARTON_LOOKUP!$A:$E,3,0),"")</f>
      </c>
      <c r="H7226" s="28">
        <f>IFERROR(VLOOKUP(F7226,CARTON_LOOKUP!$A:$E,4,0),"")</f>
      </c>
      <c r="I7226" s="28">
        <f>IFERROR(VLOOKUP(F7226,CARTON_LOOKUP!$A:$E,5,0),"")</f>
      </c>
      <c r="J7226" s="29">
        <f>IFERROR(VLOOKUP(F7226,CARTON_LOOKUP!$A:$E,2,0),"")</f>
      </c>
      <c r="K7226" s="29">
        <f>IFERROR(J7226*D7226,0)</f>
      </c>
      <c r="L7226" s="29">
        <f>IFERROR(E7226*C7226,0)</f>
      </c>
      <c r="M7226" s="29">
        <f>IFERROR((G7226*H7226*I7226/1000000)*D7226,0)</f>
      </c>
    </row>
    <row r="7227" spans="1:13" x14ac:dyDescent="0.25">
      <c r="A7227" s="16"/>
      <c r="E7227" s="27"/>
      <c r="F7227" t="s">
        <v>26</v>
      </c>
      <c r="G7227" s="28">
        <f>IFERROR(VLOOKUP(F7227,CARTON_LOOKUP!$A:$E,3,0),"")</f>
      </c>
      <c r="H7227" s="28">
        <f>IFERROR(VLOOKUP(F7227,CARTON_LOOKUP!$A:$E,4,0),"")</f>
      </c>
      <c r="I7227" s="28">
        <f>IFERROR(VLOOKUP(F7227,CARTON_LOOKUP!$A:$E,5,0),"")</f>
      </c>
      <c r="J7227" s="29">
        <f>IFERROR(VLOOKUP(F7227,CARTON_LOOKUP!$A:$E,2,0),"")</f>
      </c>
      <c r="K7227" s="29">
        <f>IFERROR(J7227*D7227,0)</f>
      </c>
      <c r="L7227" s="29">
        <f>IFERROR(E7227*C7227,0)</f>
      </c>
      <c r="M7227" s="29">
        <f>IFERROR((G7227*H7227*I7227/1000000)*D7227,0)</f>
      </c>
    </row>
    <row r="7228" spans="1:13" x14ac:dyDescent="0.25">
      <c r="A7228" s="16"/>
      <c r="E7228" s="27"/>
      <c r="F7228" t="s">
        <v>26</v>
      </c>
      <c r="G7228" s="28">
        <f>IFERROR(VLOOKUP(F7228,CARTON_LOOKUP!$A:$E,3,0),"")</f>
      </c>
      <c r="H7228" s="28">
        <f>IFERROR(VLOOKUP(F7228,CARTON_LOOKUP!$A:$E,4,0),"")</f>
      </c>
      <c r="I7228" s="28">
        <f>IFERROR(VLOOKUP(F7228,CARTON_LOOKUP!$A:$E,5,0),"")</f>
      </c>
      <c r="J7228" s="29">
        <f>IFERROR(VLOOKUP(F7228,CARTON_LOOKUP!$A:$E,2,0),"")</f>
      </c>
      <c r="K7228" s="29">
        <f>IFERROR(J7228*D7228,0)</f>
      </c>
      <c r="L7228" s="29">
        <f>IFERROR(E7228*C7228,0)</f>
      </c>
      <c r="M7228" s="29">
        <f>IFERROR((G7228*H7228*I7228/1000000)*D7228,0)</f>
      </c>
    </row>
    <row r="7229" spans="1:13" x14ac:dyDescent="0.25">
      <c r="A7229" s="16"/>
      <c r="E7229" s="27"/>
      <c r="F7229" t="s">
        <v>26</v>
      </c>
      <c r="G7229" s="28">
        <f>IFERROR(VLOOKUP(F7229,CARTON_LOOKUP!$A:$E,3,0),"")</f>
      </c>
      <c r="H7229" s="28">
        <f>IFERROR(VLOOKUP(F7229,CARTON_LOOKUP!$A:$E,4,0),"")</f>
      </c>
      <c r="I7229" s="28">
        <f>IFERROR(VLOOKUP(F7229,CARTON_LOOKUP!$A:$E,5,0),"")</f>
      </c>
      <c r="J7229" s="29">
        <f>IFERROR(VLOOKUP(F7229,CARTON_LOOKUP!$A:$E,2,0),"")</f>
      </c>
      <c r="K7229" s="29">
        <f>IFERROR(J7229*D7229,0)</f>
      </c>
      <c r="L7229" s="29">
        <f>IFERROR(E7229*C7229,0)</f>
      </c>
      <c r="M7229" s="29">
        <f>IFERROR((G7229*H7229*I7229/1000000)*D7229,0)</f>
      </c>
    </row>
    <row r="7230" spans="1:13" x14ac:dyDescent="0.25">
      <c r="A7230" s="16"/>
      <c r="E7230" s="27"/>
      <c r="F7230" t="s">
        <v>26</v>
      </c>
      <c r="G7230" s="28">
        <f>IFERROR(VLOOKUP(F7230,CARTON_LOOKUP!$A:$E,3,0),"")</f>
      </c>
      <c r="H7230" s="28">
        <f>IFERROR(VLOOKUP(F7230,CARTON_LOOKUP!$A:$E,4,0),"")</f>
      </c>
      <c r="I7230" s="28">
        <f>IFERROR(VLOOKUP(F7230,CARTON_LOOKUP!$A:$E,5,0),"")</f>
      </c>
      <c r="J7230" s="29">
        <f>IFERROR(VLOOKUP(F7230,CARTON_LOOKUP!$A:$E,2,0),"")</f>
      </c>
      <c r="K7230" s="29">
        <f>IFERROR(J7230*D7230,0)</f>
      </c>
      <c r="L7230" s="29">
        <f>IFERROR(E7230*C7230,0)</f>
      </c>
      <c r="M7230" s="29">
        <f>IFERROR((G7230*H7230*I7230/1000000)*D7230,0)</f>
      </c>
    </row>
    <row r="7231" spans="1:13" x14ac:dyDescent="0.25">
      <c r="A7231" s="16"/>
      <c r="E7231" s="27"/>
      <c r="F7231" t="s">
        <v>26</v>
      </c>
      <c r="G7231" s="28">
        <f>IFERROR(VLOOKUP(F7231,CARTON_LOOKUP!$A:$E,3,0),"")</f>
      </c>
      <c r="H7231" s="28">
        <f>IFERROR(VLOOKUP(F7231,CARTON_LOOKUP!$A:$E,4,0),"")</f>
      </c>
      <c r="I7231" s="28">
        <f>IFERROR(VLOOKUP(F7231,CARTON_LOOKUP!$A:$E,5,0),"")</f>
      </c>
      <c r="J7231" s="29">
        <f>IFERROR(VLOOKUP(F7231,CARTON_LOOKUP!$A:$E,2,0),"")</f>
      </c>
      <c r="K7231" s="29">
        <f>IFERROR(J7231*D7231,0)</f>
      </c>
      <c r="L7231" s="29">
        <f>IFERROR(E7231*C7231,0)</f>
      </c>
      <c r="M7231" s="29">
        <f>IFERROR((G7231*H7231*I7231/1000000)*D7231,0)</f>
      </c>
    </row>
    <row r="7232" spans="1:13" x14ac:dyDescent="0.25">
      <c r="A7232" s="16"/>
      <c r="E7232" s="27"/>
      <c r="F7232" t="s">
        <v>26</v>
      </c>
      <c r="G7232" s="28">
        <f>IFERROR(VLOOKUP(F7232,CARTON_LOOKUP!$A:$E,3,0),"")</f>
      </c>
      <c r="H7232" s="28">
        <f>IFERROR(VLOOKUP(F7232,CARTON_LOOKUP!$A:$E,4,0),"")</f>
      </c>
      <c r="I7232" s="28">
        <f>IFERROR(VLOOKUP(F7232,CARTON_LOOKUP!$A:$E,5,0),"")</f>
      </c>
      <c r="J7232" s="29">
        <f>IFERROR(VLOOKUP(F7232,CARTON_LOOKUP!$A:$E,2,0),"")</f>
      </c>
      <c r="K7232" s="29">
        <f>IFERROR(J7232*D7232,0)</f>
      </c>
      <c r="L7232" s="29">
        <f>IFERROR(E7232*C7232,0)</f>
      </c>
      <c r="M7232" s="29">
        <f>IFERROR((G7232*H7232*I7232/1000000)*D7232,0)</f>
      </c>
    </row>
    <row r="7233" spans="1:13" x14ac:dyDescent="0.25">
      <c r="A7233" s="16"/>
      <c r="E7233" s="27"/>
      <c r="F7233" t="s">
        <v>26</v>
      </c>
      <c r="G7233" s="28">
        <f>IFERROR(VLOOKUP(F7233,CARTON_LOOKUP!$A:$E,3,0),"")</f>
      </c>
      <c r="H7233" s="28">
        <f>IFERROR(VLOOKUP(F7233,CARTON_LOOKUP!$A:$E,4,0),"")</f>
      </c>
      <c r="I7233" s="28">
        <f>IFERROR(VLOOKUP(F7233,CARTON_LOOKUP!$A:$E,5,0),"")</f>
      </c>
      <c r="J7233" s="29">
        <f>IFERROR(VLOOKUP(F7233,CARTON_LOOKUP!$A:$E,2,0),"")</f>
      </c>
      <c r="K7233" s="29">
        <f>IFERROR(J7233*D7233,0)</f>
      </c>
      <c r="L7233" s="29">
        <f>IFERROR(E7233*C7233,0)</f>
      </c>
      <c r="M7233" s="29">
        <f>IFERROR((G7233*H7233*I7233/1000000)*D7233,0)</f>
      </c>
    </row>
    <row r="7234" spans="1:13" x14ac:dyDescent="0.25">
      <c r="A7234" s="16"/>
      <c r="E7234" s="27"/>
      <c r="F7234" t="s">
        <v>26</v>
      </c>
      <c r="G7234" s="28">
        <f>IFERROR(VLOOKUP(F7234,CARTON_LOOKUP!$A:$E,3,0),"")</f>
      </c>
      <c r="H7234" s="28">
        <f>IFERROR(VLOOKUP(F7234,CARTON_LOOKUP!$A:$E,4,0),"")</f>
      </c>
      <c r="I7234" s="28">
        <f>IFERROR(VLOOKUP(F7234,CARTON_LOOKUP!$A:$E,5,0),"")</f>
      </c>
      <c r="J7234" s="29">
        <f>IFERROR(VLOOKUP(F7234,CARTON_LOOKUP!$A:$E,2,0),"")</f>
      </c>
      <c r="K7234" s="29">
        <f>IFERROR(J7234*D7234,0)</f>
      </c>
      <c r="L7234" s="29">
        <f>IFERROR(E7234*C7234,0)</f>
      </c>
      <c r="M7234" s="29">
        <f>IFERROR((G7234*H7234*I7234/1000000)*D7234,0)</f>
      </c>
    </row>
    <row r="7235" spans="1:13" x14ac:dyDescent="0.25">
      <c r="A7235" s="16"/>
      <c r="E7235" s="27"/>
      <c r="F7235" t="s">
        <v>26</v>
      </c>
      <c r="G7235" s="28">
        <f>IFERROR(VLOOKUP(F7235,CARTON_LOOKUP!$A:$E,3,0),"")</f>
      </c>
      <c r="H7235" s="28">
        <f>IFERROR(VLOOKUP(F7235,CARTON_LOOKUP!$A:$E,4,0),"")</f>
      </c>
      <c r="I7235" s="28">
        <f>IFERROR(VLOOKUP(F7235,CARTON_LOOKUP!$A:$E,5,0),"")</f>
      </c>
      <c r="J7235" s="29">
        <f>IFERROR(VLOOKUP(F7235,CARTON_LOOKUP!$A:$E,2,0),"")</f>
      </c>
      <c r="K7235" s="29">
        <f>IFERROR(J7235*D7235,0)</f>
      </c>
      <c r="L7235" s="29">
        <f>IFERROR(E7235*C7235,0)</f>
      </c>
      <c r="M7235" s="29">
        <f>IFERROR((G7235*H7235*I7235/1000000)*D7235,0)</f>
      </c>
    </row>
    <row r="7236" spans="1:13" x14ac:dyDescent="0.25">
      <c r="A7236" s="16"/>
      <c r="E7236" s="27"/>
      <c r="F7236" t="s">
        <v>26</v>
      </c>
      <c r="G7236" s="28">
        <f>IFERROR(VLOOKUP(F7236,CARTON_LOOKUP!$A:$E,3,0),"")</f>
      </c>
      <c r="H7236" s="28">
        <f>IFERROR(VLOOKUP(F7236,CARTON_LOOKUP!$A:$E,4,0),"")</f>
      </c>
      <c r="I7236" s="28">
        <f>IFERROR(VLOOKUP(F7236,CARTON_LOOKUP!$A:$E,5,0),"")</f>
      </c>
      <c r="J7236" s="29">
        <f>IFERROR(VLOOKUP(F7236,CARTON_LOOKUP!$A:$E,2,0),"")</f>
      </c>
      <c r="K7236" s="29">
        <f>IFERROR(J7236*D7236,0)</f>
      </c>
      <c r="L7236" s="29">
        <f>IFERROR(E7236*C7236,0)</f>
      </c>
      <c r="M7236" s="29">
        <f>IFERROR((G7236*H7236*I7236/1000000)*D7236,0)</f>
      </c>
    </row>
    <row r="7237" spans="1:13" x14ac:dyDescent="0.25">
      <c r="A7237" s="16"/>
      <c r="E7237" s="27"/>
      <c r="F7237" t="s">
        <v>26</v>
      </c>
      <c r="G7237" s="28">
        <f>IFERROR(VLOOKUP(F7237,CARTON_LOOKUP!$A:$E,3,0),"")</f>
      </c>
      <c r="H7237" s="28">
        <f>IFERROR(VLOOKUP(F7237,CARTON_LOOKUP!$A:$E,4,0),"")</f>
      </c>
      <c r="I7237" s="28">
        <f>IFERROR(VLOOKUP(F7237,CARTON_LOOKUP!$A:$E,5,0),"")</f>
      </c>
      <c r="J7237" s="29">
        <f>IFERROR(VLOOKUP(F7237,CARTON_LOOKUP!$A:$E,2,0),"")</f>
      </c>
      <c r="K7237" s="29">
        <f>IFERROR(J7237*D7237,0)</f>
      </c>
      <c r="L7237" s="29">
        <f>IFERROR(E7237*C7237,0)</f>
      </c>
      <c r="M7237" s="29">
        <f>IFERROR((G7237*H7237*I7237/1000000)*D7237,0)</f>
      </c>
    </row>
    <row r="7238" spans="1:13" x14ac:dyDescent="0.25">
      <c r="A7238" s="16"/>
      <c r="E7238" s="27"/>
      <c r="F7238" t="s">
        <v>26</v>
      </c>
      <c r="G7238" s="28">
        <f>IFERROR(VLOOKUP(F7238,CARTON_LOOKUP!$A:$E,3,0),"")</f>
      </c>
      <c r="H7238" s="28">
        <f>IFERROR(VLOOKUP(F7238,CARTON_LOOKUP!$A:$E,4,0),"")</f>
      </c>
      <c r="I7238" s="28">
        <f>IFERROR(VLOOKUP(F7238,CARTON_LOOKUP!$A:$E,5,0),"")</f>
      </c>
      <c r="J7238" s="29">
        <f>IFERROR(VLOOKUP(F7238,CARTON_LOOKUP!$A:$E,2,0),"")</f>
      </c>
      <c r="K7238" s="29">
        <f>IFERROR(J7238*D7238,0)</f>
      </c>
      <c r="L7238" s="29">
        <f>IFERROR(E7238*C7238,0)</f>
      </c>
      <c r="M7238" s="29">
        <f>IFERROR((G7238*H7238*I7238/1000000)*D7238,0)</f>
      </c>
    </row>
    <row r="7239" spans="1:13" x14ac:dyDescent="0.25">
      <c r="A7239" s="16"/>
      <c r="E7239" s="27"/>
      <c r="F7239" t="s">
        <v>26</v>
      </c>
      <c r="G7239" s="28">
        <f>IFERROR(VLOOKUP(F7239,CARTON_LOOKUP!$A:$E,3,0),"")</f>
      </c>
      <c r="H7239" s="28">
        <f>IFERROR(VLOOKUP(F7239,CARTON_LOOKUP!$A:$E,4,0),"")</f>
      </c>
      <c r="I7239" s="28">
        <f>IFERROR(VLOOKUP(F7239,CARTON_LOOKUP!$A:$E,5,0),"")</f>
      </c>
      <c r="J7239" s="29">
        <f>IFERROR(VLOOKUP(F7239,CARTON_LOOKUP!$A:$E,2,0),"")</f>
      </c>
      <c r="K7239" s="29">
        <f>IFERROR(J7239*D7239,0)</f>
      </c>
      <c r="L7239" s="29">
        <f>IFERROR(E7239*C7239,0)</f>
      </c>
      <c r="M7239" s="29">
        <f>IFERROR((G7239*H7239*I7239/1000000)*D7239,0)</f>
      </c>
    </row>
    <row r="7240" spans="1:13" x14ac:dyDescent="0.25">
      <c r="A7240" s="16"/>
      <c r="E7240" s="27"/>
      <c r="F7240" t="s">
        <v>26</v>
      </c>
      <c r="G7240" s="28">
        <f>IFERROR(VLOOKUP(F7240,CARTON_LOOKUP!$A:$E,3,0),"")</f>
      </c>
      <c r="H7240" s="28">
        <f>IFERROR(VLOOKUP(F7240,CARTON_LOOKUP!$A:$E,4,0),"")</f>
      </c>
      <c r="I7240" s="28">
        <f>IFERROR(VLOOKUP(F7240,CARTON_LOOKUP!$A:$E,5,0),"")</f>
      </c>
      <c r="J7240" s="29">
        <f>IFERROR(VLOOKUP(F7240,CARTON_LOOKUP!$A:$E,2,0),"")</f>
      </c>
      <c r="K7240" s="29">
        <f>IFERROR(J7240*D7240,0)</f>
      </c>
      <c r="L7240" s="29">
        <f>IFERROR(E7240*C7240,0)</f>
      </c>
      <c r="M7240" s="29">
        <f>IFERROR((G7240*H7240*I7240/1000000)*D7240,0)</f>
      </c>
    </row>
    <row r="7241" spans="1:13" x14ac:dyDescent="0.25">
      <c r="A7241" s="16"/>
      <c r="E7241" s="27"/>
      <c r="F7241" t="s">
        <v>26</v>
      </c>
      <c r="G7241" s="28">
        <f>IFERROR(VLOOKUP(F7241,CARTON_LOOKUP!$A:$E,3,0),"")</f>
      </c>
      <c r="H7241" s="28">
        <f>IFERROR(VLOOKUP(F7241,CARTON_LOOKUP!$A:$E,4,0),"")</f>
      </c>
      <c r="I7241" s="28">
        <f>IFERROR(VLOOKUP(F7241,CARTON_LOOKUP!$A:$E,5,0),"")</f>
      </c>
      <c r="J7241" s="29">
        <f>IFERROR(VLOOKUP(F7241,CARTON_LOOKUP!$A:$E,2,0),"")</f>
      </c>
      <c r="K7241" s="29">
        <f>IFERROR(J7241*D7241,0)</f>
      </c>
      <c r="L7241" s="29">
        <f>IFERROR(E7241*C7241,0)</f>
      </c>
      <c r="M7241" s="29">
        <f>IFERROR((G7241*H7241*I7241/1000000)*D7241,0)</f>
      </c>
    </row>
    <row r="7242" spans="1:13" x14ac:dyDescent="0.25">
      <c r="A7242" s="16"/>
      <c r="E7242" s="27"/>
      <c r="F7242" t="s">
        <v>26</v>
      </c>
      <c r="G7242" s="28">
        <f>IFERROR(VLOOKUP(F7242,CARTON_LOOKUP!$A:$E,3,0),"")</f>
      </c>
      <c r="H7242" s="28">
        <f>IFERROR(VLOOKUP(F7242,CARTON_LOOKUP!$A:$E,4,0),"")</f>
      </c>
      <c r="I7242" s="28">
        <f>IFERROR(VLOOKUP(F7242,CARTON_LOOKUP!$A:$E,5,0),"")</f>
      </c>
      <c r="J7242" s="29">
        <f>IFERROR(VLOOKUP(F7242,CARTON_LOOKUP!$A:$E,2,0),"")</f>
      </c>
      <c r="K7242" s="29">
        <f>IFERROR(J7242*D7242,0)</f>
      </c>
      <c r="L7242" s="29">
        <f>IFERROR(E7242*C7242,0)</f>
      </c>
      <c r="M7242" s="29">
        <f>IFERROR((G7242*H7242*I7242/1000000)*D7242,0)</f>
      </c>
    </row>
    <row r="7243" spans="1:13" x14ac:dyDescent="0.25">
      <c r="A7243" s="16"/>
      <c r="E7243" s="27"/>
      <c r="F7243" t="s">
        <v>26</v>
      </c>
      <c r="G7243" s="28">
        <f>IFERROR(VLOOKUP(F7243,CARTON_LOOKUP!$A:$E,3,0),"")</f>
      </c>
      <c r="H7243" s="28">
        <f>IFERROR(VLOOKUP(F7243,CARTON_LOOKUP!$A:$E,4,0),"")</f>
      </c>
      <c r="I7243" s="28">
        <f>IFERROR(VLOOKUP(F7243,CARTON_LOOKUP!$A:$E,5,0),"")</f>
      </c>
      <c r="J7243" s="29">
        <f>IFERROR(VLOOKUP(F7243,CARTON_LOOKUP!$A:$E,2,0),"")</f>
      </c>
      <c r="K7243" s="29">
        <f>IFERROR(J7243*D7243,0)</f>
      </c>
      <c r="L7243" s="29">
        <f>IFERROR(E7243*C7243,0)</f>
      </c>
      <c r="M7243" s="29">
        <f>IFERROR((G7243*H7243*I7243/1000000)*D7243,0)</f>
      </c>
    </row>
    <row r="7244" spans="1:13" x14ac:dyDescent="0.25">
      <c r="A7244" s="16"/>
      <c r="E7244" s="27"/>
      <c r="F7244" t="s">
        <v>26</v>
      </c>
      <c r="G7244" s="28">
        <f>IFERROR(VLOOKUP(F7244,CARTON_LOOKUP!$A:$E,3,0),"")</f>
      </c>
      <c r="H7244" s="28">
        <f>IFERROR(VLOOKUP(F7244,CARTON_LOOKUP!$A:$E,4,0),"")</f>
      </c>
      <c r="I7244" s="28">
        <f>IFERROR(VLOOKUP(F7244,CARTON_LOOKUP!$A:$E,5,0),"")</f>
      </c>
      <c r="J7244" s="29">
        <f>IFERROR(VLOOKUP(F7244,CARTON_LOOKUP!$A:$E,2,0),"")</f>
      </c>
      <c r="K7244" s="29">
        <f>IFERROR(J7244*D7244,0)</f>
      </c>
      <c r="L7244" s="29">
        <f>IFERROR(E7244*C7244,0)</f>
      </c>
      <c r="M7244" s="29">
        <f>IFERROR((G7244*H7244*I7244/1000000)*D7244,0)</f>
      </c>
    </row>
    <row r="7245" spans="1:13" x14ac:dyDescent="0.25">
      <c r="A7245" s="16"/>
      <c r="E7245" s="27"/>
      <c r="F7245" t="s">
        <v>26</v>
      </c>
      <c r="G7245" s="28">
        <f>IFERROR(VLOOKUP(F7245,CARTON_LOOKUP!$A:$E,3,0),"")</f>
      </c>
      <c r="H7245" s="28">
        <f>IFERROR(VLOOKUP(F7245,CARTON_LOOKUP!$A:$E,4,0),"")</f>
      </c>
      <c r="I7245" s="28">
        <f>IFERROR(VLOOKUP(F7245,CARTON_LOOKUP!$A:$E,5,0),"")</f>
      </c>
      <c r="J7245" s="29">
        <f>IFERROR(VLOOKUP(F7245,CARTON_LOOKUP!$A:$E,2,0),"")</f>
      </c>
      <c r="K7245" s="29">
        <f>IFERROR(J7245*D7245,0)</f>
      </c>
      <c r="L7245" s="29">
        <f>IFERROR(E7245*C7245,0)</f>
      </c>
      <c r="M7245" s="29">
        <f>IFERROR((G7245*H7245*I7245/1000000)*D7245,0)</f>
      </c>
    </row>
    <row r="7246" spans="1:13" x14ac:dyDescent="0.25">
      <c r="A7246" s="16"/>
      <c r="E7246" s="27"/>
      <c r="F7246" t="s">
        <v>26</v>
      </c>
      <c r="G7246" s="28">
        <f>IFERROR(VLOOKUP(F7246,CARTON_LOOKUP!$A:$E,3,0),"")</f>
      </c>
      <c r="H7246" s="28">
        <f>IFERROR(VLOOKUP(F7246,CARTON_LOOKUP!$A:$E,4,0),"")</f>
      </c>
      <c r="I7246" s="28">
        <f>IFERROR(VLOOKUP(F7246,CARTON_LOOKUP!$A:$E,5,0),"")</f>
      </c>
      <c r="J7246" s="29">
        <f>IFERROR(VLOOKUP(F7246,CARTON_LOOKUP!$A:$E,2,0),"")</f>
      </c>
      <c r="K7246" s="29">
        <f>IFERROR(J7246*D7246,0)</f>
      </c>
      <c r="L7246" s="29">
        <f>IFERROR(E7246*C7246,0)</f>
      </c>
      <c r="M7246" s="29">
        <f>IFERROR((G7246*H7246*I7246/1000000)*D7246,0)</f>
      </c>
    </row>
    <row r="7247" spans="1:13" x14ac:dyDescent="0.25">
      <c r="A7247" s="16"/>
      <c r="E7247" s="27"/>
      <c r="F7247" t="s">
        <v>26</v>
      </c>
      <c r="G7247" s="28">
        <f>IFERROR(VLOOKUP(F7247,CARTON_LOOKUP!$A:$E,3,0),"")</f>
      </c>
      <c r="H7247" s="28">
        <f>IFERROR(VLOOKUP(F7247,CARTON_LOOKUP!$A:$E,4,0),"")</f>
      </c>
      <c r="I7247" s="28">
        <f>IFERROR(VLOOKUP(F7247,CARTON_LOOKUP!$A:$E,5,0),"")</f>
      </c>
      <c r="J7247" s="29">
        <f>IFERROR(VLOOKUP(F7247,CARTON_LOOKUP!$A:$E,2,0),"")</f>
      </c>
      <c r="K7247" s="29">
        <f>IFERROR(J7247*D7247,0)</f>
      </c>
      <c r="L7247" s="29">
        <f>IFERROR(E7247*C7247,0)</f>
      </c>
      <c r="M7247" s="29">
        <f>IFERROR((G7247*H7247*I7247/1000000)*D7247,0)</f>
      </c>
    </row>
    <row r="7248" spans="1:13" x14ac:dyDescent="0.25">
      <c r="A7248" s="16"/>
      <c r="E7248" s="27"/>
      <c r="F7248" t="s">
        <v>26</v>
      </c>
      <c r="G7248" s="28">
        <f>IFERROR(VLOOKUP(F7248,CARTON_LOOKUP!$A:$E,3,0),"")</f>
      </c>
      <c r="H7248" s="28">
        <f>IFERROR(VLOOKUP(F7248,CARTON_LOOKUP!$A:$E,4,0),"")</f>
      </c>
      <c r="I7248" s="28">
        <f>IFERROR(VLOOKUP(F7248,CARTON_LOOKUP!$A:$E,5,0),"")</f>
      </c>
      <c r="J7248" s="29">
        <f>IFERROR(VLOOKUP(F7248,CARTON_LOOKUP!$A:$E,2,0),"")</f>
      </c>
      <c r="K7248" s="29">
        <f>IFERROR(J7248*D7248,0)</f>
      </c>
      <c r="L7248" s="29">
        <f>IFERROR(E7248*C7248,0)</f>
      </c>
      <c r="M7248" s="29">
        <f>IFERROR((G7248*H7248*I7248/1000000)*D7248,0)</f>
      </c>
    </row>
    <row r="7249" spans="1:13" x14ac:dyDescent="0.25">
      <c r="A7249" s="16"/>
      <c r="E7249" s="27"/>
      <c r="F7249" t="s">
        <v>26</v>
      </c>
      <c r="G7249" s="28">
        <f>IFERROR(VLOOKUP(F7249,CARTON_LOOKUP!$A:$E,3,0),"")</f>
      </c>
      <c r="H7249" s="28">
        <f>IFERROR(VLOOKUP(F7249,CARTON_LOOKUP!$A:$E,4,0),"")</f>
      </c>
      <c r="I7249" s="28">
        <f>IFERROR(VLOOKUP(F7249,CARTON_LOOKUP!$A:$E,5,0),"")</f>
      </c>
      <c r="J7249" s="29">
        <f>IFERROR(VLOOKUP(F7249,CARTON_LOOKUP!$A:$E,2,0),"")</f>
      </c>
      <c r="K7249" s="29">
        <f>IFERROR(J7249*D7249,0)</f>
      </c>
      <c r="L7249" s="29">
        <f>IFERROR(E7249*C7249,0)</f>
      </c>
      <c r="M7249" s="29">
        <f>IFERROR((G7249*H7249*I7249/1000000)*D7249,0)</f>
      </c>
    </row>
    <row r="7250" spans="1:13" x14ac:dyDescent="0.25">
      <c r="A7250" s="16"/>
      <c r="E7250" s="27"/>
      <c r="F7250" t="s">
        <v>26</v>
      </c>
      <c r="G7250" s="28">
        <f>IFERROR(VLOOKUP(F7250,CARTON_LOOKUP!$A:$E,3,0),"")</f>
      </c>
      <c r="H7250" s="28">
        <f>IFERROR(VLOOKUP(F7250,CARTON_LOOKUP!$A:$E,4,0),"")</f>
      </c>
      <c r="I7250" s="28">
        <f>IFERROR(VLOOKUP(F7250,CARTON_LOOKUP!$A:$E,5,0),"")</f>
      </c>
      <c r="J7250" s="29">
        <f>IFERROR(VLOOKUP(F7250,CARTON_LOOKUP!$A:$E,2,0),"")</f>
      </c>
      <c r="K7250" s="29">
        <f>IFERROR(J7250*D7250,0)</f>
      </c>
      <c r="L7250" s="29">
        <f>IFERROR(E7250*C7250,0)</f>
      </c>
      <c r="M7250" s="29">
        <f>IFERROR((G7250*H7250*I7250/1000000)*D7250,0)</f>
      </c>
    </row>
    <row r="7251" spans="1:13" x14ac:dyDescent="0.25">
      <c r="A7251" s="16"/>
      <c r="E7251" s="27"/>
      <c r="F7251" t="s">
        <v>26</v>
      </c>
      <c r="G7251" s="28">
        <f>IFERROR(VLOOKUP(F7251,CARTON_LOOKUP!$A:$E,3,0),"")</f>
      </c>
      <c r="H7251" s="28">
        <f>IFERROR(VLOOKUP(F7251,CARTON_LOOKUP!$A:$E,4,0),"")</f>
      </c>
      <c r="I7251" s="28">
        <f>IFERROR(VLOOKUP(F7251,CARTON_LOOKUP!$A:$E,5,0),"")</f>
      </c>
      <c r="J7251" s="29">
        <f>IFERROR(VLOOKUP(F7251,CARTON_LOOKUP!$A:$E,2,0),"")</f>
      </c>
      <c r="K7251" s="29">
        <f>IFERROR(J7251*D7251,0)</f>
      </c>
      <c r="L7251" s="29">
        <f>IFERROR(E7251*C7251,0)</f>
      </c>
      <c r="M7251" s="29">
        <f>IFERROR((G7251*H7251*I7251/1000000)*D7251,0)</f>
      </c>
    </row>
    <row r="7252" spans="1:13" x14ac:dyDescent="0.25">
      <c r="A7252" s="16"/>
      <c r="E7252" s="27"/>
      <c r="F7252" t="s">
        <v>26</v>
      </c>
      <c r="G7252" s="28">
        <f>IFERROR(VLOOKUP(F7252,CARTON_LOOKUP!$A:$E,3,0),"")</f>
      </c>
      <c r="H7252" s="28">
        <f>IFERROR(VLOOKUP(F7252,CARTON_LOOKUP!$A:$E,4,0),"")</f>
      </c>
      <c r="I7252" s="28">
        <f>IFERROR(VLOOKUP(F7252,CARTON_LOOKUP!$A:$E,5,0),"")</f>
      </c>
      <c r="J7252" s="29">
        <f>IFERROR(VLOOKUP(F7252,CARTON_LOOKUP!$A:$E,2,0),"")</f>
      </c>
      <c r="K7252" s="29">
        <f>IFERROR(J7252*D7252,0)</f>
      </c>
      <c r="L7252" s="29">
        <f>IFERROR(E7252*C7252,0)</f>
      </c>
      <c r="M7252" s="29">
        <f>IFERROR((G7252*H7252*I7252/1000000)*D7252,0)</f>
      </c>
    </row>
    <row r="7253" spans="1:13" x14ac:dyDescent="0.25">
      <c r="A7253" s="16"/>
      <c r="E7253" s="27"/>
      <c r="F7253" t="s">
        <v>26</v>
      </c>
      <c r="G7253" s="28">
        <f>IFERROR(VLOOKUP(F7253,CARTON_LOOKUP!$A:$E,3,0),"")</f>
      </c>
      <c r="H7253" s="28">
        <f>IFERROR(VLOOKUP(F7253,CARTON_LOOKUP!$A:$E,4,0),"")</f>
      </c>
      <c r="I7253" s="28">
        <f>IFERROR(VLOOKUP(F7253,CARTON_LOOKUP!$A:$E,5,0),"")</f>
      </c>
      <c r="J7253" s="29">
        <f>IFERROR(VLOOKUP(F7253,CARTON_LOOKUP!$A:$E,2,0),"")</f>
      </c>
      <c r="K7253" s="29">
        <f>IFERROR(J7253*D7253,0)</f>
      </c>
      <c r="L7253" s="29">
        <f>IFERROR(E7253*C7253,0)</f>
      </c>
      <c r="M7253" s="29">
        <f>IFERROR((G7253*H7253*I7253/1000000)*D7253,0)</f>
      </c>
    </row>
    <row r="7254" spans="1:13" x14ac:dyDescent="0.25">
      <c r="A7254" s="16"/>
      <c r="E7254" s="27"/>
      <c r="F7254" t="s">
        <v>26</v>
      </c>
      <c r="G7254" s="28">
        <f>IFERROR(VLOOKUP(F7254,CARTON_LOOKUP!$A:$E,3,0),"")</f>
      </c>
      <c r="H7254" s="28">
        <f>IFERROR(VLOOKUP(F7254,CARTON_LOOKUP!$A:$E,4,0),"")</f>
      </c>
      <c r="I7254" s="28">
        <f>IFERROR(VLOOKUP(F7254,CARTON_LOOKUP!$A:$E,5,0),"")</f>
      </c>
      <c r="J7254" s="29">
        <f>IFERROR(VLOOKUP(F7254,CARTON_LOOKUP!$A:$E,2,0),"")</f>
      </c>
      <c r="K7254" s="29">
        <f>IFERROR(J7254*D7254,0)</f>
      </c>
      <c r="L7254" s="29">
        <f>IFERROR(E7254*C7254,0)</f>
      </c>
      <c r="M7254" s="29">
        <f>IFERROR((G7254*H7254*I7254/1000000)*D7254,0)</f>
      </c>
    </row>
    <row r="7255" spans="1:13" x14ac:dyDescent="0.25">
      <c r="A7255" s="16"/>
      <c r="E7255" s="27"/>
      <c r="F7255" t="s">
        <v>26</v>
      </c>
      <c r="G7255" s="28">
        <f>IFERROR(VLOOKUP(F7255,CARTON_LOOKUP!$A:$E,3,0),"")</f>
      </c>
      <c r="H7255" s="28">
        <f>IFERROR(VLOOKUP(F7255,CARTON_LOOKUP!$A:$E,4,0),"")</f>
      </c>
      <c r="I7255" s="28">
        <f>IFERROR(VLOOKUP(F7255,CARTON_LOOKUP!$A:$E,5,0),"")</f>
      </c>
      <c r="J7255" s="29">
        <f>IFERROR(VLOOKUP(F7255,CARTON_LOOKUP!$A:$E,2,0),"")</f>
      </c>
      <c r="K7255" s="29">
        <f>IFERROR(J7255*D7255,0)</f>
      </c>
      <c r="L7255" s="29">
        <f>IFERROR(E7255*C7255,0)</f>
      </c>
      <c r="M7255" s="29">
        <f>IFERROR((G7255*H7255*I7255/1000000)*D7255,0)</f>
      </c>
    </row>
    <row r="7256" spans="1:13" x14ac:dyDescent="0.25">
      <c r="A7256" s="16"/>
      <c r="E7256" s="27"/>
      <c r="F7256" t="s">
        <v>26</v>
      </c>
      <c r="G7256" s="28">
        <f>IFERROR(VLOOKUP(F7256,CARTON_LOOKUP!$A:$E,3,0),"")</f>
      </c>
      <c r="H7256" s="28">
        <f>IFERROR(VLOOKUP(F7256,CARTON_LOOKUP!$A:$E,4,0),"")</f>
      </c>
      <c r="I7256" s="28">
        <f>IFERROR(VLOOKUP(F7256,CARTON_LOOKUP!$A:$E,5,0),"")</f>
      </c>
      <c r="J7256" s="29">
        <f>IFERROR(VLOOKUP(F7256,CARTON_LOOKUP!$A:$E,2,0),"")</f>
      </c>
      <c r="K7256" s="29">
        <f>IFERROR(J7256*D7256,0)</f>
      </c>
      <c r="L7256" s="29">
        <f>IFERROR(E7256*C7256,0)</f>
      </c>
      <c r="M7256" s="29">
        <f>IFERROR((G7256*H7256*I7256/1000000)*D7256,0)</f>
      </c>
    </row>
    <row r="7257" spans="1:13" x14ac:dyDescent="0.25">
      <c r="A7257" s="16"/>
      <c r="E7257" s="27"/>
      <c r="F7257" t="s">
        <v>26</v>
      </c>
      <c r="G7257" s="28">
        <f>IFERROR(VLOOKUP(F7257,CARTON_LOOKUP!$A:$E,3,0),"")</f>
      </c>
      <c r="H7257" s="28">
        <f>IFERROR(VLOOKUP(F7257,CARTON_LOOKUP!$A:$E,4,0),"")</f>
      </c>
      <c r="I7257" s="28">
        <f>IFERROR(VLOOKUP(F7257,CARTON_LOOKUP!$A:$E,5,0),"")</f>
      </c>
      <c r="J7257" s="29">
        <f>IFERROR(VLOOKUP(F7257,CARTON_LOOKUP!$A:$E,2,0),"")</f>
      </c>
      <c r="K7257" s="29">
        <f>IFERROR(J7257*D7257,0)</f>
      </c>
      <c r="L7257" s="29">
        <f>IFERROR(E7257*C7257,0)</f>
      </c>
      <c r="M7257" s="29">
        <f>IFERROR((G7257*H7257*I7257/1000000)*D7257,0)</f>
      </c>
    </row>
    <row r="7258" spans="1:13" x14ac:dyDescent="0.25">
      <c r="A7258" s="16"/>
      <c r="E7258" s="27"/>
      <c r="F7258" t="s">
        <v>26</v>
      </c>
      <c r="G7258" s="28">
        <f>IFERROR(VLOOKUP(F7258,CARTON_LOOKUP!$A:$E,3,0),"")</f>
      </c>
      <c r="H7258" s="28">
        <f>IFERROR(VLOOKUP(F7258,CARTON_LOOKUP!$A:$E,4,0),"")</f>
      </c>
      <c r="I7258" s="28">
        <f>IFERROR(VLOOKUP(F7258,CARTON_LOOKUP!$A:$E,5,0),"")</f>
      </c>
      <c r="J7258" s="29">
        <f>IFERROR(VLOOKUP(F7258,CARTON_LOOKUP!$A:$E,2,0),"")</f>
      </c>
      <c r="K7258" s="29">
        <f>IFERROR(J7258*D7258,0)</f>
      </c>
      <c r="L7258" s="29">
        <f>IFERROR(E7258*C7258,0)</f>
      </c>
      <c r="M7258" s="29">
        <f>IFERROR((G7258*H7258*I7258/1000000)*D7258,0)</f>
      </c>
    </row>
    <row r="7259" spans="1:13" x14ac:dyDescent="0.25">
      <c r="A7259" s="16"/>
      <c r="E7259" s="27"/>
      <c r="F7259" t="s">
        <v>26</v>
      </c>
      <c r="G7259" s="28">
        <f>IFERROR(VLOOKUP(F7259,CARTON_LOOKUP!$A:$E,3,0),"")</f>
      </c>
      <c r="H7259" s="28">
        <f>IFERROR(VLOOKUP(F7259,CARTON_LOOKUP!$A:$E,4,0),"")</f>
      </c>
      <c r="I7259" s="28">
        <f>IFERROR(VLOOKUP(F7259,CARTON_LOOKUP!$A:$E,5,0),"")</f>
      </c>
      <c r="J7259" s="29">
        <f>IFERROR(VLOOKUP(F7259,CARTON_LOOKUP!$A:$E,2,0),"")</f>
      </c>
      <c r="K7259" s="29">
        <f>IFERROR(J7259*D7259,0)</f>
      </c>
      <c r="L7259" s="29">
        <f>IFERROR(E7259*C7259,0)</f>
      </c>
      <c r="M7259" s="29">
        <f>IFERROR((G7259*H7259*I7259/1000000)*D7259,0)</f>
      </c>
    </row>
    <row r="7260" spans="1:13" x14ac:dyDescent="0.25">
      <c r="A7260" s="16"/>
      <c r="E7260" s="27"/>
      <c r="F7260" t="s">
        <v>26</v>
      </c>
      <c r="G7260" s="28">
        <f>IFERROR(VLOOKUP(F7260,CARTON_LOOKUP!$A:$E,3,0),"")</f>
      </c>
      <c r="H7260" s="28">
        <f>IFERROR(VLOOKUP(F7260,CARTON_LOOKUP!$A:$E,4,0),"")</f>
      </c>
      <c r="I7260" s="28">
        <f>IFERROR(VLOOKUP(F7260,CARTON_LOOKUP!$A:$E,5,0),"")</f>
      </c>
      <c r="J7260" s="29">
        <f>IFERROR(VLOOKUP(F7260,CARTON_LOOKUP!$A:$E,2,0),"")</f>
      </c>
      <c r="K7260" s="29">
        <f>IFERROR(J7260*D7260,0)</f>
      </c>
      <c r="L7260" s="29">
        <f>IFERROR(E7260*C7260,0)</f>
      </c>
      <c r="M7260" s="29">
        <f>IFERROR((G7260*H7260*I7260/1000000)*D7260,0)</f>
      </c>
    </row>
    <row r="7261" spans="1:13" x14ac:dyDescent="0.25">
      <c r="A7261" s="16"/>
      <c r="E7261" s="27"/>
      <c r="F7261" t="s">
        <v>26</v>
      </c>
      <c r="G7261" s="28">
        <f>IFERROR(VLOOKUP(F7261,CARTON_LOOKUP!$A:$E,3,0),"")</f>
      </c>
      <c r="H7261" s="28">
        <f>IFERROR(VLOOKUP(F7261,CARTON_LOOKUP!$A:$E,4,0),"")</f>
      </c>
      <c r="I7261" s="28">
        <f>IFERROR(VLOOKUP(F7261,CARTON_LOOKUP!$A:$E,5,0),"")</f>
      </c>
      <c r="J7261" s="29">
        <f>IFERROR(VLOOKUP(F7261,CARTON_LOOKUP!$A:$E,2,0),"")</f>
      </c>
      <c r="K7261" s="29">
        <f>IFERROR(J7261*D7261,0)</f>
      </c>
      <c r="L7261" s="29">
        <f>IFERROR(E7261*C7261,0)</f>
      </c>
      <c r="M7261" s="29">
        <f>IFERROR((G7261*H7261*I7261/1000000)*D7261,0)</f>
      </c>
    </row>
    <row r="7262" spans="1:13" x14ac:dyDescent="0.25">
      <c r="A7262" s="16"/>
      <c r="E7262" s="27"/>
      <c r="F7262" t="s">
        <v>26</v>
      </c>
      <c r="G7262" s="28">
        <f>IFERROR(VLOOKUP(F7262,CARTON_LOOKUP!$A:$E,3,0),"")</f>
      </c>
      <c r="H7262" s="28">
        <f>IFERROR(VLOOKUP(F7262,CARTON_LOOKUP!$A:$E,4,0),"")</f>
      </c>
      <c r="I7262" s="28">
        <f>IFERROR(VLOOKUP(F7262,CARTON_LOOKUP!$A:$E,5,0),"")</f>
      </c>
      <c r="J7262" s="29">
        <f>IFERROR(VLOOKUP(F7262,CARTON_LOOKUP!$A:$E,2,0),"")</f>
      </c>
      <c r="K7262" s="29">
        <f>IFERROR(J7262*D7262,0)</f>
      </c>
      <c r="L7262" s="29">
        <f>IFERROR(E7262*C7262,0)</f>
      </c>
      <c r="M7262" s="29">
        <f>IFERROR((G7262*H7262*I7262/1000000)*D7262,0)</f>
      </c>
    </row>
    <row r="7263" spans="1:13" x14ac:dyDescent="0.25">
      <c r="A7263" s="16"/>
      <c r="E7263" s="27"/>
      <c r="F7263" t="s">
        <v>26</v>
      </c>
      <c r="G7263" s="28">
        <f>IFERROR(VLOOKUP(F7263,CARTON_LOOKUP!$A:$E,3,0),"")</f>
      </c>
      <c r="H7263" s="28">
        <f>IFERROR(VLOOKUP(F7263,CARTON_LOOKUP!$A:$E,4,0),"")</f>
      </c>
      <c r="I7263" s="28">
        <f>IFERROR(VLOOKUP(F7263,CARTON_LOOKUP!$A:$E,5,0),"")</f>
      </c>
      <c r="J7263" s="29">
        <f>IFERROR(VLOOKUP(F7263,CARTON_LOOKUP!$A:$E,2,0),"")</f>
      </c>
      <c r="K7263" s="29">
        <f>IFERROR(J7263*D7263,0)</f>
      </c>
      <c r="L7263" s="29">
        <f>IFERROR(E7263*C7263,0)</f>
      </c>
      <c r="M7263" s="29">
        <f>IFERROR((G7263*H7263*I7263/1000000)*D7263,0)</f>
      </c>
    </row>
    <row r="7264" spans="1:13" x14ac:dyDescent="0.25">
      <c r="A7264" s="16"/>
      <c r="E7264" s="27"/>
      <c r="F7264" t="s">
        <v>26</v>
      </c>
      <c r="G7264" s="28">
        <f>IFERROR(VLOOKUP(F7264,CARTON_LOOKUP!$A:$E,3,0),"")</f>
      </c>
      <c r="H7264" s="28">
        <f>IFERROR(VLOOKUP(F7264,CARTON_LOOKUP!$A:$E,4,0),"")</f>
      </c>
      <c r="I7264" s="28">
        <f>IFERROR(VLOOKUP(F7264,CARTON_LOOKUP!$A:$E,5,0),"")</f>
      </c>
      <c r="J7264" s="29">
        <f>IFERROR(VLOOKUP(F7264,CARTON_LOOKUP!$A:$E,2,0),"")</f>
      </c>
      <c r="K7264" s="29">
        <f>IFERROR(J7264*D7264,0)</f>
      </c>
      <c r="L7264" s="29">
        <f>IFERROR(E7264*C7264,0)</f>
      </c>
      <c r="M7264" s="29">
        <f>IFERROR((G7264*H7264*I7264/1000000)*D7264,0)</f>
      </c>
    </row>
    <row r="7265" spans="1:13" x14ac:dyDescent="0.25">
      <c r="A7265" s="16"/>
      <c r="E7265" s="27"/>
      <c r="F7265" t="s">
        <v>26</v>
      </c>
      <c r="G7265" s="28">
        <f>IFERROR(VLOOKUP(F7265,CARTON_LOOKUP!$A:$E,3,0),"")</f>
      </c>
      <c r="H7265" s="28">
        <f>IFERROR(VLOOKUP(F7265,CARTON_LOOKUP!$A:$E,4,0),"")</f>
      </c>
      <c r="I7265" s="28">
        <f>IFERROR(VLOOKUP(F7265,CARTON_LOOKUP!$A:$E,5,0),"")</f>
      </c>
      <c r="J7265" s="29">
        <f>IFERROR(VLOOKUP(F7265,CARTON_LOOKUP!$A:$E,2,0),"")</f>
      </c>
      <c r="K7265" s="29">
        <f>IFERROR(J7265*D7265,0)</f>
      </c>
      <c r="L7265" s="29">
        <f>IFERROR(E7265*C7265,0)</f>
      </c>
      <c r="M7265" s="29">
        <f>IFERROR((G7265*H7265*I7265/1000000)*D7265,0)</f>
      </c>
    </row>
    <row r="7266" spans="1:13" x14ac:dyDescent="0.25">
      <c r="A7266" s="16"/>
      <c r="E7266" s="27"/>
      <c r="F7266" t="s">
        <v>26</v>
      </c>
      <c r="G7266" s="28">
        <f>IFERROR(VLOOKUP(F7266,CARTON_LOOKUP!$A:$E,3,0),"")</f>
      </c>
      <c r="H7266" s="28">
        <f>IFERROR(VLOOKUP(F7266,CARTON_LOOKUP!$A:$E,4,0),"")</f>
      </c>
      <c r="I7266" s="28">
        <f>IFERROR(VLOOKUP(F7266,CARTON_LOOKUP!$A:$E,5,0),"")</f>
      </c>
      <c r="J7266" s="29">
        <f>IFERROR(VLOOKUP(F7266,CARTON_LOOKUP!$A:$E,2,0),"")</f>
      </c>
      <c r="K7266" s="29">
        <f>IFERROR(J7266*D7266,0)</f>
      </c>
      <c r="L7266" s="29">
        <f>IFERROR(E7266*C7266,0)</f>
      </c>
      <c r="M7266" s="29">
        <f>IFERROR((G7266*H7266*I7266/1000000)*D7266,0)</f>
      </c>
    </row>
    <row r="7267" spans="1:13" x14ac:dyDescent="0.25">
      <c r="A7267" s="16"/>
      <c r="E7267" s="27"/>
      <c r="F7267" t="s">
        <v>26</v>
      </c>
      <c r="G7267" s="28">
        <f>IFERROR(VLOOKUP(F7267,CARTON_LOOKUP!$A:$E,3,0),"")</f>
      </c>
      <c r="H7267" s="28">
        <f>IFERROR(VLOOKUP(F7267,CARTON_LOOKUP!$A:$E,4,0),"")</f>
      </c>
      <c r="I7267" s="28">
        <f>IFERROR(VLOOKUP(F7267,CARTON_LOOKUP!$A:$E,5,0),"")</f>
      </c>
      <c r="J7267" s="29">
        <f>IFERROR(VLOOKUP(F7267,CARTON_LOOKUP!$A:$E,2,0),"")</f>
      </c>
      <c r="K7267" s="29">
        <f>IFERROR(J7267*D7267,0)</f>
      </c>
      <c r="L7267" s="29">
        <f>IFERROR(E7267*C7267,0)</f>
      </c>
      <c r="M7267" s="29">
        <f>IFERROR((G7267*H7267*I7267/1000000)*D7267,0)</f>
      </c>
    </row>
    <row r="7268" spans="1:13" x14ac:dyDescent="0.25">
      <c r="A7268" s="16"/>
      <c r="E7268" s="27"/>
      <c r="F7268" t="s">
        <v>26</v>
      </c>
      <c r="G7268" s="28">
        <f>IFERROR(VLOOKUP(F7268,CARTON_LOOKUP!$A:$E,3,0),"")</f>
      </c>
      <c r="H7268" s="28">
        <f>IFERROR(VLOOKUP(F7268,CARTON_LOOKUP!$A:$E,4,0),"")</f>
      </c>
      <c r="I7268" s="28">
        <f>IFERROR(VLOOKUP(F7268,CARTON_LOOKUP!$A:$E,5,0),"")</f>
      </c>
      <c r="J7268" s="29">
        <f>IFERROR(VLOOKUP(F7268,CARTON_LOOKUP!$A:$E,2,0),"")</f>
      </c>
      <c r="K7268" s="29">
        <f>IFERROR(J7268*D7268,0)</f>
      </c>
      <c r="L7268" s="29">
        <f>IFERROR(E7268*C7268,0)</f>
      </c>
      <c r="M7268" s="29">
        <f>IFERROR((G7268*H7268*I7268/1000000)*D7268,0)</f>
      </c>
    </row>
    <row r="7269" spans="1:13" x14ac:dyDescent="0.25">
      <c r="A7269" s="16"/>
      <c r="E7269" s="27"/>
      <c r="F7269" t="s">
        <v>26</v>
      </c>
      <c r="G7269" s="28">
        <f>IFERROR(VLOOKUP(F7269,CARTON_LOOKUP!$A:$E,3,0),"")</f>
      </c>
      <c r="H7269" s="28">
        <f>IFERROR(VLOOKUP(F7269,CARTON_LOOKUP!$A:$E,4,0),"")</f>
      </c>
      <c r="I7269" s="28">
        <f>IFERROR(VLOOKUP(F7269,CARTON_LOOKUP!$A:$E,5,0),"")</f>
      </c>
      <c r="J7269" s="29">
        <f>IFERROR(VLOOKUP(F7269,CARTON_LOOKUP!$A:$E,2,0),"")</f>
      </c>
      <c r="K7269" s="29">
        <f>IFERROR(J7269*D7269,0)</f>
      </c>
      <c r="L7269" s="29">
        <f>IFERROR(E7269*C7269,0)</f>
      </c>
      <c r="M7269" s="29">
        <f>IFERROR((G7269*H7269*I7269/1000000)*D7269,0)</f>
      </c>
    </row>
    <row r="7270" spans="1:13" x14ac:dyDescent="0.25">
      <c r="A7270" s="16"/>
      <c r="E7270" s="27"/>
      <c r="F7270" t="s">
        <v>26</v>
      </c>
      <c r="G7270" s="28">
        <f>IFERROR(VLOOKUP(F7270,CARTON_LOOKUP!$A:$E,3,0),"")</f>
      </c>
      <c r="H7270" s="28">
        <f>IFERROR(VLOOKUP(F7270,CARTON_LOOKUP!$A:$E,4,0),"")</f>
      </c>
      <c r="I7270" s="28">
        <f>IFERROR(VLOOKUP(F7270,CARTON_LOOKUP!$A:$E,5,0),"")</f>
      </c>
      <c r="J7270" s="29">
        <f>IFERROR(VLOOKUP(F7270,CARTON_LOOKUP!$A:$E,2,0),"")</f>
      </c>
      <c r="K7270" s="29">
        <f>IFERROR(J7270*D7270,0)</f>
      </c>
      <c r="L7270" s="29">
        <f>IFERROR(E7270*C7270,0)</f>
      </c>
      <c r="M7270" s="29">
        <f>IFERROR((G7270*H7270*I7270/1000000)*D7270,0)</f>
      </c>
    </row>
    <row r="7271" spans="1:13" x14ac:dyDescent="0.25">
      <c r="A7271" s="16"/>
      <c r="E7271" s="27"/>
      <c r="F7271" t="s">
        <v>26</v>
      </c>
      <c r="G7271" s="28">
        <f>IFERROR(VLOOKUP(F7271,CARTON_LOOKUP!$A:$E,3,0),"")</f>
      </c>
      <c r="H7271" s="28">
        <f>IFERROR(VLOOKUP(F7271,CARTON_LOOKUP!$A:$E,4,0),"")</f>
      </c>
      <c r="I7271" s="28">
        <f>IFERROR(VLOOKUP(F7271,CARTON_LOOKUP!$A:$E,5,0),"")</f>
      </c>
      <c r="J7271" s="29">
        <f>IFERROR(VLOOKUP(F7271,CARTON_LOOKUP!$A:$E,2,0),"")</f>
      </c>
      <c r="K7271" s="29">
        <f>IFERROR(J7271*D7271,0)</f>
      </c>
      <c r="L7271" s="29">
        <f>IFERROR(E7271*C7271,0)</f>
      </c>
      <c r="M7271" s="29">
        <f>IFERROR((G7271*H7271*I7271/1000000)*D7271,0)</f>
      </c>
    </row>
    <row r="7272" spans="1:13" x14ac:dyDescent="0.25">
      <c r="A7272" s="16"/>
      <c r="E7272" s="27"/>
      <c r="F7272" t="s">
        <v>26</v>
      </c>
      <c r="G7272" s="28">
        <f>IFERROR(VLOOKUP(F7272,CARTON_LOOKUP!$A:$E,3,0),"")</f>
      </c>
      <c r="H7272" s="28">
        <f>IFERROR(VLOOKUP(F7272,CARTON_LOOKUP!$A:$E,4,0),"")</f>
      </c>
      <c r="I7272" s="28">
        <f>IFERROR(VLOOKUP(F7272,CARTON_LOOKUP!$A:$E,5,0),"")</f>
      </c>
      <c r="J7272" s="29">
        <f>IFERROR(VLOOKUP(F7272,CARTON_LOOKUP!$A:$E,2,0),"")</f>
      </c>
      <c r="K7272" s="29">
        <f>IFERROR(J7272*D7272,0)</f>
      </c>
      <c r="L7272" s="29">
        <f>IFERROR(E7272*C7272,0)</f>
      </c>
      <c r="M7272" s="29">
        <f>IFERROR((G7272*H7272*I7272/1000000)*D7272,0)</f>
      </c>
    </row>
    <row r="7273" spans="1:13" x14ac:dyDescent="0.25">
      <c r="A7273" s="16"/>
      <c r="E7273" s="27"/>
      <c r="F7273" t="s">
        <v>26</v>
      </c>
      <c r="G7273" s="28">
        <f>IFERROR(VLOOKUP(F7273,CARTON_LOOKUP!$A:$E,3,0),"")</f>
      </c>
      <c r="H7273" s="28">
        <f>IFERROR(VLOOKUP(F7273,CARTON_LOOKUP!$A:$E,4,0),"")</f>
      </c>
      <c r="I7273" s="28">
        <f>IFERROR(VLOOKUP(F7273,CARTON_LOOKUP!$A:$E,5,0),"")</f>
      </c>
      <c r="J7273" s="29">
        <f>IFERROR(VLOOKUP(F7273,CARTON_LOOKUP!$A:$E,2,0),"")</f>
      </c>
      <c r="K7273" s="29">
        <f>IFERROR(J7273*D7273,0)</f>
      </c>
      <c r="L7273" s="29">
        <f>IFERROR(E7273*C7273,0)</f>
      </c>
      <c r="M7273" s="29">
        <f>IFERROR((G7273*H7273*I7273/1000000)*D7273,0)</f>
      </c>
    </row>
    <row r="7274" spans="1:13" x14ac:dyDescent="0.25">
      <c r="A7274" s="16"/>
      <c r="E7274" s="27"/>
      <c r="F7274" t="s">
        <v>26</v>
      </c>
      <c r="G7274" s="28">
        <f>IFERROR(VLOOKUP(F7274,CARTON_LOOKUP!$A:$E,3,0),"")</f>
      </c>
      <c r="H7274" s="28">
        <f>IFERROR(VLOOKUP(F7274,CARTON_LOOKUP!$A:$E,4,0),"")</f>
      </c>
      <c r="I7274" s="28">
        <f>IFERROR(VLOOKUP(F7274,CARTON_LOOKUP!$A:$E,5,0),"")</f>
      </c>
      <c r="J7274" s="29">
        <f>IFERROR(VLOOKUP(F7274,CARTON_LOOKUP!$A:$E,2,0),"")</f>
      </c>
      <c r="K7274" s="29">
        <f>IFERROR(J7274*D7274,0)</f>
      </c>
      <c r="L7274" s="29">
        <f>IFERROR(E7274*C7274,0)</f>
      </c>
      <c r="M7274" s="29">
        <f>IFERROR((G7274*H7274*I7274/1000000)*D7274,0)</f>
      </c>
    </row>
    <row r="7275" spans="1:13" x14ac:dyDescent="0.25">
      <c r="A7275" s="16"/>
      <c r="E7275" s="27"/>
      <c r="F7275" t="s">
        <v>26</v>
      </c>
      <c r="G7275" s="28">
        <f>IFERROR(VLOOKUP(F7275,CARTON_LOOKUP!$A:$E,3,0),"")</f>
      </c>
      <c r="H7275" s="28">
        <f>IFERROR(VLOOKUP(F7275,CARTON_LOOKUP!$A:$E,4,0),"")</f>
      </c>
      <c r="I7275" s="28">
        <f>IFERROR(VLOOKUP(F7275,CARTON_LOOKUP!$A:$E,5,0),"")</f>
      </c>
      <c r="J7275" s="29">
        <f>IFERROR(VLOOKUP(F7275,CARTON_LOOKUP!$A:$E,2,0),"")</f>
      </c>
      <c r="K7275" s="29">
        <f>IFERROR(J7275*D7275,0)</f>
      </c>
      <c r="L7275" s="29">
        <f>IFERROR(E7275*C7275,0)</f>
      </c>
      <c r="M7275" s="29">
        <f>IFERROR((G7275*H7275*I7275/1000000)*D7275,0)</f>
      </c>
    </row>
    <row r="7276" spans="1:13" x14ac:dyDescent="0.25">
      <c r="A7276" s="16"/>
      <c r="E7276" s="27"/>
      <c r="F7276" t="s">
        <v>26</v>
      </c>
      <c r="G7276" s="28">
        <f>IFERROR(VLOOKUP(F7276,CARTON_LOOKUP!$A:$E,3,0),"")</f>
      </c>
      <c r="H7276" s="28">
        <f>IFERROR(VLOOKUP(F7276,CARTON_LOOKUP!$A:$E,4,0),"")</f>
      </c>
      <c r="I7276" s="28">
        <f>IFERROR(VLOOKUP(F7276,CARTON_LOOKUP!$A:$E,5,0),"")</f>
      </c>
      <c r="J7276" s="29">
        <f>IFERROR(VLOOKUP(F7276,CARTON_LOOKUP!$A:$E,2,0),"")</f>
      </c>
      <c r="K7276" s="29">
        <f>IFERROR(J7276*D7276,0)</f>
      </c>
      <c r="L7276" s="29">
        <f>IFERROR(E7276*C7276,0)</f>
      </c>
      <c r="M7276" s="29">
        <f>IFERROR((G7276*H7276*I7276/1000000)*D7276,0)</f>
      </c>
    </row>
    <row r="7277" spans="1:13" x14ac:dyDescent="0.25">
      <c r="A7277" s="16"/>
      <c r="E7277" s="27"/>
      <c r="F7277" t="s">
        <v>26</v>
      </c>
      <c r="G7277" s="28">
        <f>IFERROR(VLOOKUP(F7277,CARTON_LOOKUP!$A:$E,3,0),"")</f>
      </c>
      <c r="H7277" s="28">
        <f>IFERROR(VLOOKUP(F7277,CARTON_LOOKUP!$A:$E,4,0),"")</f>
      </c>
      <c r="I7277" s="28">
        <f>IFERROR(VLOOKUP(F7277,CARTON_LOOKUP!$A:$E,5,0),"")</f>
      </c>
      <c r="J7277" s="29">
        <f>IFERROR(VLOOKUP(F7277,CARTON_LOOKUP!$A:$E,2,0),"")</f>
      </c>
      <c r="K7277" s="29">
        <f>IFERROR(J7277*D7277,0)</f>
      </c>
      <c r="L7277" s="29">
        <f>IFERROR(E7277*C7277,0)</f>
      </c>
      <c r="M7277" s="29">
        <f>IFERROR((G7277*H7277*I7277/1000000)*D7277,0)</f>
      </c>
    </row>
    <row r="7278" spans="1:13" x14ac:dyDescent="0.25">
      <c r="A7278" s="16"/>
      <c r="E7278" s="27"/>
      <c r="F7278" t="s">
        <v>26</v>
      </c>
      <c r="G7278" s="28">
        <f>IFERROR(VLOOKUP(F7278,CARTON_LOOKUP!$A:$E,3,0),"")</f>
      </c>
      <c r="H7278" s="28">
        <f>IFERROR(VLOOKUP(F7278,CARTON_LOOKUP!$A:$E,4,0),"")</f>
      </c>
      <c r="I7278" s="28">
        <f>IFERROR(VLOOKUP(F7278,CARTON_LOOKUP!$A:$E,5,0),"")</f>
      </c>
      <c r="J7278" s="29">
        <f>IFERROR(VLOOKUP(F7278,CARTON_LOOKUP!$A:$E,2,0),"")</f>
      </c>
      <c r="K7278" s="29">
        <f>IFERROR(J7278*D7278,0)</f>
      </c>
      <c r="L7278" s="29">
        <f>IFERROR(E7278*C7278,0)</f>
      </c>
      <c r="M7278" s="29">
        <f>IFERROR((G7278*H7278*I7278/1000000)*D7278,0)</f>
      </c>
    </row>
    <row r="7279" spans="1:13" x14ac:dyDescent="0.25">
      <c r="A7279" s="16"/>
      <c r="E7279" s="27"/>
      <c r="F7279" t="s">
        <v>26</v>
      </c>
      <c r="G7279" s="28">
        <f>IFERROR(VLOOKUP(F7279,CARTON_LOOKUP!$A:$E,3,0),"")</f>
      </c>
      <c r="H7279" s="28">
        <f>IFERROR(VLOOKUP(F7279,CARTON_LOOKUP!$A:$E,4,0),"")</f>
      </c>
      <c r="I7279" s="28">
        <f>IFERROR(VLOOKUP(F7279,CARTON_LOOKUP!$A:$E,5,0),"")</f>
      </c>
      <c r="J7279" s="29">
        <f>IFERROR(VLOOKUP(F7279,CARTON_LOOKUP!$A:$E,2,0),"")</f>
      </c>
      <c r="K7279" s="29">
        <f>IFERROR(J7279*D7279,0)</f>
      </c>
      <c r="L7279" s="29">
        <f>IFERROR(E7279*C7279,0)</f>
      </c>
      <c r="M7279" s="29">
        <f>IFERROR((G7279*H7279*I7279/1000000)*D7279,0)</f>
      </c>
    </row>
    <row r="7280" spans="1:13" x14ac:dyDescent="0.25">
      <c r="A7280" s="16"/>
      <c r="E7280" s="27"/>
      <c r="F7280" t="s">
        <v>26</v>
      </c>
      <c r="G7280" s="28">
        <f>IFERROR(VLOOKUP(F7280,CARTON_LOOKUP!$A:$E,3,0),"")</f>
      </c>
      <c r="H7280" s="28">
        <f>IFERROR(VLOOKUP(F7280,CARTON_LOOKUP!$A:$E,4,0),"")</f>
      </c>
      <c r="I7280" s="28">
        <f>IFERROR(VLOOKUP(F7280,CARTON_LOOKUP!$A:$E,5,0),"")</f>
      </c>
      <c r="J7280" s="29">
        <f>IFERROR(VLOOKUP(F7280,CARTON_LOOKUP!$A:$E,2,0),"")</f>
      </c>
      <c r="K7280" s="29">
        <f>IFERROR(J7280*D7280,0)</f>
      </c>
      <c r="L7280" s="29">
        <f>IFERROR(E7280*C7280,0)</f>
      </c>
      <c r="M7280" s="29">
        <f>IFERROR((G7280*H7280*I7280/1000000)*D7280,0)</f>
      </c>
    </row>
    <row r="7281" spans="1:13" x14ac:dyDescent="0.25">
      <c r="A7281" s="16"/>
      <c r="E7281" s="27"/>
      <c r="F7281" t="s">
        <v>26</v>
      </c>
      <c r="G7281" s="28">
        <f>IFERROR(VLOOKUP(F7281,CARTON_LOOKUP!$A:$E,3,0),"")</f>
      </c>
      <c r="H7281" s="28">
        <f>IFERROR(VLOOKUP(F7281,CARTON_LOOKUP!$A:$E,4,0),"")</f>
      </c>
      <c r="I7281" s="28">
        <f>IFERROR(VLOOKUP(F7281,CARTON_LOOKUP!$A:$E,5,0),"")</f>
      </c>
      <c r="J7281" s="29">
        <f>IFERROR(VLOOKUP(F7281,CARTON_LOOKUP!$A:$E,2,0),"")</f>
      </c>
      <c r="K7281" s="29">
        <f>IFERROR(J7281*D7281,0)</f>
      </c>
      <c r="L7281" s="29">
        <f>IFERROR(E7281*C7281,0)</f>
      </c>
      <c r="M7281" s="29">
        <f>IFERROR((G7281*H7281*I7281/1000000)*D7281,0)</f>
      </c>
    </row>
    <row r="7282" spans="1:13" x14ac:dyDescent="0.25">
      <c r="A7282" s="16"/>
      <c r="E7282" s="27"/>
      <c r="F7282" t="s">
        <v>26</v>
      </c>
      <c r="G7282" s="28">
        <f>IFERROR(VLOOKUP(F7282,CARTON_LOOKUP!$A:$E,3,0),"")</f>
      </c>
      <c r="H7282" s="28">
        <f>IFERROR(VLOOKUP(F7282,CARTON_LOOKUP!$A:$E,4,0),"")</f>
      </c>
      <c r="I7282" s="28">
        <f>IFERROR(VLOOKUP(F7282,CARTON_LOOKUP!$A:$E,5,0),"")</f>
      </c>
      <c r="J7282" s="29">
        <f>IFERROR(VLOOKUP(F7282,CARTON_LOOKUP!$A:$E,2,0),"")</f>
      </c>
      <c r="K7282" s="29">
        <f>IFERROR(J7282*D7282,0)</f>
      </c>
      <c r="L7282" s="29">
        <f>IFERROR(E7282*C7282,0)</f>
      </c>
      <c r="M7282" s="29">
        <f>IFERROR((G7282*H7282*I7282/1000000)*D7282,0)</f>
      </c>
    </row>
    <row r="7283" spans="1:13" x14ac:dyDescent="0.25">
      <c r="A7283" s="16"/>
      <c r="E7283" s="27"/>
      <c r="F7283" t="s">
        <v>26</v>
      </c>
      <c r="G7283" s="28">
        <f>IFERROR(VLOOKUP(F7283,CARTON_LOOKUP!$A:$E,3,0),"")</f>
      </c>
      <c r="H7283" s="28">
        <f>IFERROR(VLOOKUP(F7283,CARTON_LOOKUP!$A:$E,4,0),"")</f>
      </c>
      <c r="I7283" s="28">
        <f>IFERROR(VLOOKUP(F7283,CARTON_LOOKUP!$A:$E,5,0),"")</f>
      </c>
      <c r="J7283" s="29">
        <f>IFERROR(VLOOKUP(F7283,CARTON_LOOKUP!$A:$E,2,0),"")</f>
      </c>
      <c r="K7283" s="29">
        <f>IFERROR(J7283*D7283,0)</f>
      </c>
      <c r="L7283" s="29">
        <f>IFERROR(E7283*C7283,0)</f>
      </c>
      <c r="M7283" s="29">
        <f>IFERROR((G7283*H7283*I7283/1000000)*D7283,0)</f>
      </c>
    </row>
    <row r="7284" spans="1:13" x14ac:dyDescent="0.25">
      <c r="A7284" s="16"/>
      <c r="E7284" s="27"/>
      <c r="F7284" t="s">
        <v>26</v>
      </c>
      <c r="G7284" s="28">
        <f>IFERROR(VLOOKUP(F7284,CARTON_LOOKUP!$A:$E,3,0),"")</f>
      </c>
      <c r="H7284" s="28">
        <f>IFERROR(VLOOKUP(F7284,CARTON_LOOKUP!$A:$E,4,0),"")</f>
      </c>
      <c r="I7284" s="28">
        <f>IFERROR(VLOOKUP(F7284,CARTON_LOOKUP!$A:$E,5,0),"")</f>
      </c>
      <c r="J7284" s="29">
        <f>IFERROR(VLOOKUP(F7284,CARTON_LOOKUP!$A:$E,2,0),"")</f>
      </c>
      <c r="K7284" s="29">
        <f>IFERROR(J7284*D7284,0)</f>
      </c>
      <c r="L7284" s="29">
        <f>IFERROR(E7284*C7284,0)</f>
      </c>
      <c r="M7284" s="29">
        <f>IFERROR((G7284*H7284*I7284/1000000)*D7284,0)</f>
      </c>
    </row>
    <row r="7285" spans="1:13" x14ac:dyDescent="0.25">
      <c r="A7285" s="16"/>
      <c r="E7285" s="27"/>
      <c r="F7285" t="s">
        <v>26</v>
      </c>
      <c r="G7285" s="28">
        <f>IFERROR(VLOOKUP(F7285,CARTON_LOOKUP!$A:$E,3,0),"")</f>
      </c>
      <c r="H7285" s="28">
        <f>IFERROR(VLOOKUP(F7285,CARTON_LOOKUP!$A:$E,4,0),"")</f>
      </c>
      <c r="I7285" s="28">
        <f>IFERROR(VLOOKUP(F7285,CARTON_LOOKUP!$A:$E,5,0),"")</f>
      </c>
      <c r="J7285" s="29">
        <f>IFERROR(VLOOKUP(F7285,CARTON_LOOKUP!$A:$E,2,0),"")</f>
      </c>
      <c r="K7285" s="29">
        <f>IFERROR(J7285*D7285,0)</f>
      </c>
      <c r="L7285" s="29">
        <f>IFERROR(E7285*C7285,0)</f>
      </c>
      <c r="M7285" s="29">
        <f>IFERROR((G7285*H7285*I7285/1000000)*D7285,0)</f>
      </c>
    </row>
    <row r="7286" spans="1:13" x14ac:dyDescent="0.25">
      <c r="A7286" s="16"/>
      <c r="E7286" s="27"/>
      <c r="F7286" t="s">
        <v>26</v>
      </c>
      <c r="G7286" s="28">
        <f>IFERROR(VLOOKUP(F7286,CARTON_LOOKUP!$A:$E,3,0),"")</f>
      </c>
      <c r="H7286" s="28">
        <f>IFERROR(VLOOKUP(F7286,CARTON_LOOKUP!$A:$E,4,0),"")</f>
      </c>
      <c r="I7286" s="28">
        <f>IFERROR(VLOOKUP(F7286,CARTON_LOOKUP!$A:$E,5,0),"")</f>
      </c>
      <c r="J7286" s="29">
        <f>IFERROR(VLOOKUP(F7286,CARTON_LOOKUP!$A:$E,2,0),"")</f>
      </c>
      <c r="K7286" s="29">
        <f>IFERROR(J7286*D7286,0)</f>
      </c>
      <c r="L7286" s="29">
        <f>IFERROR(E7286*C7286,0)</f>
      </c>
      <c r="M7286" s="29">
        <f>IFERROR((G7286*H7286*I7286/1000000)*D7286,0)</f>
      </c>
    </row>
    <row r="7287" spans="1:13" x14ac:dyDescent="0.25">
      <c r="A7287" s="16"/>
      <c r="E7287" s="27"/>
      <c r="F7287" t="s">
        <v>26</v>
      </c>
      <c r="G7287" s="28">
        <f>IFERROR(VLOOKUP(F7287,CARTON_LOOKUP!$A:$E,3,0),"")</f>
      </c>
      <c r="H7287" s="28">
        <f>IFERROR(VLOOKUP(F7287,CARTON_LOOKUP!$A:$E,4,0),"")</f>
      </c>
      <c r="I7287" s="28">
        <f>IFERROR(VLOOKUP(F7287,CARTON_LOOKUP!$A:$E,5,0),"")</f>
      </c>
      <c r="J7287" s="29">
        <f>IFERROR(VLOOKUP(F7287,CARTON_LOOKUP!$A:$E,2,0),"")</f>
      </c>
      <c r="K7287" s="29">
        <f>IFERROR(J7287*D7287,0)</f>
      </c>
      <c r="L7287" s="29">
        <f>IFERROR(E7287*C7287,0)</f>
      </c>
      <c r="M7287" s="29">
        <f>IFERROR((G7287*H7287*I7287/1000000)*D7287,0)</f>
      </c>
    </row>
    <row r="7288" spans="1:13" x14ac:dyDescent="0.25">
      <c r="A7288" s="16"/>
      <c r="E7288" s="27"/>
      <c r="F7288" t="s">
        <v>26</v>
      </c>
      <c r="G7288" s="28">
        <f>IFERROR(VLOOKUP(F7288,CARTON_LOOKUP!$A:$E,3,0),"")</f>
      </c>
      <c r="H7288" s="28">
        <f>IFERROR(VLOOKUP(F7288,CARTON_LOOKUP!$A:$E,4,0),"")</f>
      </c>
      <c r="I7288" s="28">
        <f>IFERROR(VLOOKUP(F7288,CARTON_LOOKUP!$A:$E,5,0),"")</f>
      </c>
      <c r="J7288" s="29">
        <f>IFERROR(VLOOKUP(F7288,CARTON_LOOKUP!$A:$E,2,0),"")</f>
      </c>
      <c r="K7288" s="29">
        <f>IFERROR(J7288*D7288,0)</f>
      </c>
      <c r="L7288" s="29">
        <f>IFERROR(E7288*C7288,0)</f>
      </c>
      <c r="M7288" s="29">
        <f>IFERROR((G7288*H7288*I7288/1000000)*D7288,0)</f>
      </c>
    </row>
    <row r="7289" spans="1:13" x14ac:dyDescent="0.25">
      <c r="A7289" s="16"/>
      <c r="E7289" s="27"/>
      <c r="F7289" t="s">
        <v>26</v>
      </c>
      <c r="G7289" s="28">
        <f>IFERROR(VLOOKUP(F7289,CARTON_LOOKUP!$A:$E,3,0),"")</f>
      </c>
      <c r="H7289" s="28">
        <f>IFERROR(VLOOKUP(F7289,CARTON_LOOKUP!$A:$E,4,0),"")</f>
      </c>
      <c r="I7289" s="28">
        <f>IFERROR(VLOOKUP(F7289,CARTON_LOOKUP!$A:$E,5,0),"")</f>
      </c>
      <c r="J7289" s="29">
        <f>IFERROR(VLOOKUP(F7289,CARTON_LOOKUP!$A:$E,2,0),"")</f>
      </c>
      <c r="K7289" s="29">
        <f>IFERROR(J7289*D7289,0)</f>
      </c>
      <c r="L7289" s="29">
        <f>IFERROR(E7289*C7289,0)</f>
      </c>
      <c r="M7289" s="29">
        <f>IFERROR((G7289*H7289*I7289/1000000)*D7289,0)</f>
      </c>
    </row>
    <row r="7290" spans="1:13" x14ac:dyDescent="0.25">
      <c r="A7290" s="16"/>
      <c r="E7290" s="27"/>
      <c r="F7290" t="s">
        <v>26</v>
      </c>
      <c r="G7290" s="28">
        <f>IFERROR(VLOOKUP(F7290,CARTON_LOOKUP!$A:$E,3,0),"")</f>
      </c>
      <c r="H7290" s="28">
        <f>IFERROR(VLOOKUP(F7290,CARTON_LOOKUP!$A:$E,4,0),"")</f>
      </c>
      <c r="I7290" s="28">
        <f>IFERROR(VLOOKUP(F7290,CARTON_LOOKUP!$A:$E,5,0),"")</f>
      </c>
      <c r="J7290" s="29">
        <f>IFERROR(VLOOKUP(F7290,CARTON_LOOKUP!$A:$E,2,0),"")</f>
      </c>
      <c r="K7290" s="29">
        <f>IFERROR(J7290*D7290,0)</f>
      </c>
      <c r="L7290" s="29">
        <f>IFERROR(E7290*C7290,0)</f>
      </c>
      <c r="M7290" s="29">
        <f>IFERROR((G7290*H7290*I7290/1000000)*D7290,0)</f>
      </c>
    </row>
    <row r="7291" spans="1:13" x14ac:dyDescent="0.25">
      <c r="A7291" s="16"/>
      <c r="E7291" s="27"/>
      <c r="F7291" t="s">
        <v>26</v>
      </c>
      <c r="G7291" s="28">
        <f>IFERROR(VLOOKUP(F7291,CARTON_LOOKUP!$A:$E,3,0),"")</f>
      </c>
      <c r="H7291" s="28">
        <f>IFERROR(VLOOKUP(F7291,CARTON_LOOKUP!$A:$E,4,0),"")</f>
      </c>
      <c r="I7291" s="28">
        <f>IFERROR(VLOOKUP(F7291,CARTON_LOOKUP!$A:$E,5,0),"")</f>
      </c>
      <c r="J7291" s="29">
        <f>IFERROR(VLOOKUP(F7291,CARTON_LOOKUP!$A:$E,2,0),"")</f>
      </c>
      <c r="K7291" s="29">
        <f>IFERROR(J7291*D7291,0)</f>
      </c>
      <c r="L7291" s="29">
        <f>IFERROR(E7291*C7291,0)</f>
      </c>
      <c r="M7291" s="29">
        <f>IFERROR((G7291*H7291*I7291/1000000)*D7291,0)</f>
      </c>
    </row>
    <row r="7292" spans="1:13" x14ac:dyDescent="0.25">
      <c r="A7292" s="16"/>
      <c r="E7292" s="27"/>
      <c r="F7292" t="s">
        <v>26</v>
      </c>
      <c r="G7292" s="28">
        <f>IFERROR(VLOOKUP(F7292,CARTON_LOOKUP!$A:$E,3,0),"")</f>
      </c>
      <c r="H7292" s="28">
        <f>IFERROR(VLOOKUP(F7292,CARTON_LOOKUP!$A:$E,4,0),"")</f>
      </c>
      <c r="I7292" s="28">
        <f>IFERROR(VLOOKUP(F7292,CARTON_LOOKUP!$A:$E,5,0),"")</f>
      </c>
      <c r="J7292" s="29">
        <f>IFERROR(VLOOKUP(F7292,CARTON_LOOKUP!$A:$E,2,0),"")</f>
      </c>
      <c r="K7292" s="29">
        <f>IFERROR(J7292*D7292,0)</f>
      </c>
      <c r="L7292" s="29">
        <f>IFERROR(E7292*C7292,0)</f>
      </c>
      <c r="M7292" s="29">
        <f>IFERROR((G7292*H7292*I7292/1000000)*D7292,0)</f>
      </c>
    </row>
    <row r="7293" spans="1:13" x14ac:dyDescent="0.25">
      <c r="A7293" s="16"/>
      <c r="E7293" s="27"/>
      <c r="F7293" t="s">
        <v>26</v>
      </c>
      <c r="G7293" s="28">
        <f>IFERROR(VLOOKUP(F7293,CARTON_LOOKUP!$A:$E,3,0),"")</f>
      </c>
      <c r="H7293" s="28">
        <f>IFERROR(VLOOKUP(F7293,CARTON_LOOKUP!$A:$E,4,0),"")</f>
      </c>
      <c r="I7293" s="28">
        <f>IFERROR(VLOOKUP(F7293,CARTON_LOOKUP!$A:$E,5,0),"")</f>
      </c>
      <c r="J7293" s="29">
        <f>IFERROR(VLOOKUP(F7293,CARTON_LOOKUP!$A:$E,2,0),"")</f>
      </c>
      <c r="K7293" s="29">
        <f>IFERROR(J7293*D7293,0)</f>
      </c>
      <c r="L7293" s="29">
        <f>IFERROR(E7293*C7293,0)</f>
      </c>
      <c r="M7293" s="29">
        <f>IFERROR((G7293*H7293*I7293/1000000)*D7293,0)</f>
      </c>
    </row>
    <row r="7294" spans="1:13" x14ac:dyDescent="0.25">
      <c r="A7294" s="16"/>
      <c r="E7294" s="27"/>
      <c r="F7294" t="s">
        <v>26</v>
      </c>
      <c r="G7294" s="28">
        <f>IFERROR(VLOOKUP(F7294,CARTON_LOOKUP!$A:$E,3,0),"")</f>
      </c>
      <c r="H7294" s="28">
        <f>IFERROR(VLOOKUP(F7294,CARTON_LOOKUP!$A:$E,4,0),"")</f>
      </c>
      <c r="I7294" s="28">
        <f>IFERROR(VLOOKUP(F7294,CARTON_LOOKUP!$A:$E,5,0),"")</f>
      </c>
      <c r="J7294" s="29">
        <f>IFERROR(VLOOKUP(F7294,CARTON_LOOKUP!$A:$E,2,0),"")</f>
      </c>
      <c r="K7294" s="29">
        <f>IFERROR(J7294*D7294,0)</f>
      </c>
      <c r="L7294" s="29">
        <f>IFERROR(E7294*C7294,0)</f>
      </c>
      <c r="M7294" s="29">
        <f>IFERROR((G7294*H7294*I7294/1000000)*D7294,0)</f>
      </c>
    </row>
    <row r="7295" spans="1:13" x14ac:dyDescent="0.25">
      <c r="A7295" s="16"/>
      <c r="E7295" s="27"/>
      <c r="F7295" t="s">
        <v>26</v>
      </c>
      <c r="G7295" s="28">
        <f>IFERROR(VLOOKUP(F7295,CARTON_LOOKUP!$A:$E,3,0),"")</f>
      </c>
      <c r="H7295" s="28">
        <f>IFERROR(VLOOKUP(F7295,CARTON_LOOKUP!$A:$E,4,0),"")</f>
      </c>
      <c r="I7295" s="28">
        <f>IFERROR(VLOOKUP(F7295,CARTON_LOOKUP!$A:$E,5,0),"")</f>
      </c>
      <c r="J7295" s="29">
        <f>IFERROR(VLOOKUP(F7295,CARTON_LOOKUP!$A:$E,2,0),"")</f>
      </c>
      <c r="K7295" s="29">
        <f>IFERROR(J7295*D7295,0)</f>
      </c>
      <c r="L7295" s="29">
        <f>IFERROR(E7295*C7295,0)</f>
      </c>
      <c r="M7295" s="29">
        <f>IFERROR((G7295*H7295*I7295/1000000)*D7295,0)</f>
      </c>
    </row>
    <row r="7296" spans="1:13" x14ac:dyDescent="0.25">
      <c r="A7296" s="16"/>
      <c r="E7296" s="27"/>
      <c r="F7296" t="s">
        <v>26</v>
      </c>
      <c r="G7296" s="28">
        <f>IFERROR(VLOOKUP(F7296,CARTON_LOOKUP!$A:$E,3,0),"")</f>
      </c>
      <c r="H7296" s="28">
        <f>IFERROR(VLOOKUP(F7296,CARTON_LOOKUP!$A:$E,4,0),"")</f>
      </c>
      <c r="I7296" s="28">
        <f>IFERROR(VLOOKUP(F7296,CARTON_LOOKUP!$A:$E,5,0),"")</f>
      </c>
      <c r="J7296" s="29">
        <f>IFERROR(VLOOKUP(F7296,CARTON_LOOKUP!$A:$E,2,0),"")</f>
      </c>
      <c r="K7296" s="29">
        <f>IFERROR(J7296*D7296,0)</f>
      </c>
      <c r="L7296" s="29">
        <f>IFERROR(E7296*C7296,0)</f>
      </c>
      <c r="M7296" s="29">
        <f>IFERROR((G7296*H7296*I7296/1000000)*D7296,0)</f>
      </c>
    </row>
    <row r="7297" spans="1:13" x14ac:dyDescent="0.25">
      <c r="A7297" s="16"/>
      <c r="E7297" s="27"/>
      <c r="F7297" t="s">
        <v>26</v>
      </c>
      <c r="G7297" s="28">
        <f>IFERROR(VLOOKUP(F7297,CARTON_LOOKUP!$A:$E,3,0),"")</f>
      </c>
      <c r="H7297" s="28">
        <f>IFERROR(VLOOKUP(F7297,CARTON_LOOKUP!$A:$E,4,0),"")</f>
      </c>
      <c r="I7297" s="28">
        <f>IFERROR(VLOOKUP(F7297,CARTON_LOOKUP!$A:$E,5,0),"")</f>
      </c>
      <c r="J7297" s="29">
        <f>IFERROR(VLOOKUP(F7297,CARTON_LOOKUP!$A:$E,2,0),"")</f>
      </c>
      <c r="K7297" s="29">
        <f>IFERROR(J7297*D7297,0)</f>
      </c>
      <c r="L7297" s="29">
        <f>IFERROR(E7297*C7297,0)</f>
      </c>
      <c r="M7297" s="29">
        <f>IFERROR((G7297*H7297*I7297/1000000)*D7297,0)</f>
      </c>
    </row>
    <row r="7298" spans="1:13" x14ac:dyDescent="0.25">
      <c r="A7298" s="16"/>
      <c r="E7298" s="27"/>
      <c r="F7298" t="s">
        <v>26</v>
      </c>
      <c r="G7298" s="28">
        <f>IFERROR(VLOOKUP(F7298,CARTON_LOOKUP!$A:$E,3,0),"")</f>
      </c>
      <c r="H7298" s="28">
        <f>IFERROR(VLOOKUP(F7298,CARTON_LOOKUP!$A:$E,4,0),"")</f>
      </c>
      <c r="I7298" s="28">
        <f>IFERROR(VLOOKUP(F7298,CARTON_LOOKUP!$A:$E,5,0),"")</f>
      </c>
      <c r="J7298" s="29">
        <f>IFERROR(VLOOKUP(F7298,CARTON_LOOKUP!$A:$E,2,0),"")</f>
      </c>
      <c r="K7298" s="29">
        <f>IFERROR(J7298*D7298,0)</f>
      </c>
      <c r="L7298" s="29">
        <f>IFERROR(E7298*C7298,0)</f>
      </c>
      <c r="M7298" s="29">
        <f>IFERROR((G7298*H7298*I7298/1000000)*D7298,0)</f>
      </c>
    </row>
    <row r="7299" spans="1:13" x14ac:dyDescent="0.25">
      <c r="A7299" s="16"/>
      <c r="E7299" s="27"/>
      <c r="F7299" t="s">
        <v>26</v>
      </c>
      <c r="G7299" s="28">
        <f>IFERROR(VLOOKUP(F7299,CARTON_LOOKUP!$A:$E,3,0),"")</f>
      </c>
      <c r="H7299" s="28">
        <f>IFERROR(VLOOKUP(F7299,CARTON_LOOKUP!$A:$E,4,0),"")</f>
      </c>
      <c r="I7299" s="28">
        <f>IFERROR(VLOOKUP(F7299,CARTON_LOOKUP!$A:$E,5,0),"")</f>
      </c>
      <c r="J7299" s="29">
        <f>IFERROR(VLOOKUP(F7299,CARTON_LOOKUP!$A:$E,2,0),"")</f>
      </c>
      <c r="K7299" s="29">
        <f>IFERROR(J7299*D7299,0)</f>
      </c>
      <c r="L7299" s="29">
        <f>IFERROR(E7299*C7299,0)</f>
      </c>
      <c r="M7299" s="29">
        <f>IFERROR((G7299*H7299*I7299/1000000)*D7299,0)</f>
      </c>
    </row>
    <row r="7300" spans="1:13" x14ac:dyDescent="0.25">
      <c r="A7300" s="16"/>
      <c r="E7300" s="27"/>
      <c r="F7300" t="s">
        <v>26</v>
      </c>
      <c r="G7300" s="28">
        <f>IFERROR(VLOOKUP(F7300,CARTON_LOOKUP!$A:$E,3,0),"")</f>
      </c>
      <c r="H7300" s="28">
        <f>IFERROR(VLOOKUP(F7300,CARTON_LOOKUP!$A:$E,4,0),"")</f>
      </c>
      <c r="I7300" s="28">
        <f>IFERROR(VLOOKUP(F7300,CARTON_LOOKUP!$A:$E,5,0),"")</f>
      </c>
      <c r="J7300" s="29">
        <f>IFERROR(VLOOKUP(F7300,CARTON_LOOKUP!$A:$E,2,0),"")</f>
      </c>
      <c r="K7300" s="29">
        <f>IFERROR(J7300*D7300,0)</f>
      </c>
      <c r="L7300" s="29">
        <f>IFERROR(E7300*C7300,0)</f>
      </c>
      <c r="M7300" s="29">
        <f>IFERROR((G7300*H7300*I7300/1000000)*D7300,0)</f>
      </c>
    </row>
    <row r="7301" spans="1:13" x14ac:dyDescent="0.25">
      <c r="A7301" s="16"/>
      <c r="E7301" s="27"/>
      <c r="F7301" t="s">
        <v>26</v>
      </c>
      <c r="G7301" s="28">
        <f>IFERROR(VLOOKUP(F7301,CARTON_LOOKUP!$A:$E,3,0),"")</f>
      </c>
      <c r="H7301" s="28">
        <f>IFERROR(VLOOKUP(F7301,CARTON_LOOKUP!$A:$E,4,0),"")</f>
      </c>
      <c r="I7301" s="28">
        <f>IFERROR(VLOOKUP(F7301,CARTON_LOOKUP!$A:$E,5,0),"")</f>
      </c>
      <c r="J7301" s="29">
        <f>IFERROR(VLOOKUP(F7301,CARTON_LOOKUP!$A:$E,2,0),"")</f>
      </c>
      <c r="K7301" s="29">
        <f>IFERROR(J7301*D7301,0)</f>
      </c>
      <c r="L7301" s="29">
        <f>IFERROR(E7301*C7301,0)</f>
      </c>
      <c r="M7301" s="29">
        <f>IFERROR((G7301*H7301*I7301/1000000)*D7301,0)</f>
      </c>
    </row>
    <row r="7302" spans="1:13" x14ac:dyDescent="0.25">
      <c r="A7302" s="16"/>
      <c r="E7302" s="27"/>
      <c r="F7302" t="s">
        <v>26</v>
      </c>
      <c r="G7302" s="28">
        <f>IFERROR(VLOOKUP(F7302,CARTON_LOOKUP!$A:$E,3,0),"")</f>
      </c>
      <c r="H7302" s="28">
        <f>IFERROR(VLOOKUP(F7302,CARTON_LOOKUP!$A:$E,4,0),"")</f>
      </c>
      <c r="I7302" s="28">
        <f>IFERROR(VLOOKUP(F7302,CARTON_LOOKUP!$A:$E,5,0),"")</f>
      </c>
      <c r="J7302" s="29">
        <f>IFERROR(VLOOKUP(F7302,CARTON_LOOKUP!$A:$E,2,0),"")</f>
      </c>
      <c r="K7302" s="29">
        <f>IFERROR(J7302*D7302,0)</f>
      </c>
      <c r="L7302" s="29">
        <f>IFERROR(E7302*C7302,0)</f>
      </c>
      <c r="M7302" s="29">
        <f>IFERROR((G7302*H7302*I7302/1000000)*D7302,0)</f>
      </c>
    </row>
    <row r="7303" spans="1:13" x14ac:dyDescent="0.25">
      <c r="A7303" s="16"/>
      <c r="E7303" s="27"/>
      <c r="F7303" t="s">
        <v>26</v>
      </c>
      <c r="G7303" s="28">
        <f>IFERROR(VLOOKUP(F7303,CARTON_LOOKUP!$A:$E,3,0),"")</f>
      </c>
      <c r="H7303" s="28">
        <f>IFERROR(VLOOKUP(F7303,CARTON_LOOKUP!$A:$E,4,0),"")</f>
      </c>
      <c r="I7303" s="28">
        <f>IFERROR(VLOOKUP(F7303,CARTON_LOOKUP!$A:$E,5,0),"")</f>
      </c>
      <c r="J7303" s="29">
        <f>IFERROR(VLOOKUP(F7303,CARTON_LOOKUP!$A:$E,2,0),"")</f>
      </c>
      <c r="K7303" s="29">
        <f>IFERROR(J7303*D7303,0)</f>
      </c>
      <c r="L7303" s="29">
        <f>IFERROR(E7303*C7303,0)</f>
      </c>
      <c r="M7303" s="29">
        <f>IFERROR((G7303*H7303*I7303/1000000)*D7303,0)</f>
      </c>
    </row>
    <row r="7304" spans="1:13" x14ac:dyDescent="0.25">
      <c r="A7304" s="16"/>
      <c r="E7304" s="27"/>
      <c r="F7304" t="s">
        <v>26</v>
      </c>
      <c r="G7304" s="28">
        <f>IFERROR(VLOOKUP(F7304,CARTON_LOOKUP!$A:$E,3,0),"")</f>
      </c>
      <c r="H7304" s="28">
        <f>IFERROR(VLOOKUP(F7304,CARTON_LOOKUP!$A:$E,4,0),"")</f>
      </c>
      <c r="I7304" s="28">
        <f>IFERROR(VLOOKUP(F7304,CARTON_LOOKUP!$A:$E,5,0),"")</f>
      </c>
      <c r="J7304" s="29">
        <f>IFERROR(VLOOKUP(F7304,CARTON_LOOKUP!$A:$E,2,0),"")</f>
      </c>
      <c r="K7304" s="29">
        <f>IFERROR(J7304*D7304,0)</f>
      </c>
      <c r="L7304" s="29">
        <f>IFERROR(E7304*C7304,0)</f>
      </c>
      <c r="M7304" s="29">
        <f>IFERROR((G7304*H7304*I7304/1000000)*D7304,0)</f>
      </c>
    </row>
    <row r="7305" spans="1:13" x14ac:dyDescent="0.25">
      <c r="A7305" s="16"/>
      <c r="E7305" s="27"/>
      <c r="F7305" t="s">
        <v>26</v>
      </c>
      <c r="G7305" s="28">
        <f>IFERROR(VLOOKUP(F7305,CARTON_LOOKUP!$A:$E,3,0),"")</f>
      </c>
      <c r="H7305" s="28">
        <f>IFERROR(VLOOKUP(F7305,CARTON_LOOKUP!$A:$E,4,0),"")</f>
      </c>
      <c r="I7305" s="28">
        <f>IFERROR(VLOOKUP(F7305,CARTON_LOOKUP!$A:$E,5,0),"")</f>
      </c>
      <c r="J7305" s="29">
        <f>IFERROR(VLOOKUP(F7305,CARTON_LOOKUP!$A:$E,2,0),"")</f>
      </c>
      <c r="K7305" s="29">
        <f>IFERROR(J7305*D7305,0)</f>
      </c>
      <c r="L7305" s="29">
        <f>IFERROR(E7305*C7305,0)</f>
      </c>
      <c r="M7305" s="29">
        <f>IFERROR((G7305*H7305*I7305/1000000)*D7305,0)</f>
      </c>
    </row>
    <row r="7306" spans="1:13" x14ac:dyDescent="0.25">
      <c r="A7306" s="16"/>
      <c r="E7306" s="27"/>
      <c r="F7306" t="s">
        <v>26</v>
      </c>
      <c r="G7306" s="28">
        <f>IFERROR(VLOOKUP(F7306,CARTON_LOOKUP!$A:$E,3,0),"")</f>
      </c>
      <c r="H7306" s="28">
        <f>IFERROR(VLOOKUP(F7306,CARTON_LOOKUP!$A:$E,4,0),"")</f>
      </c>
      <c r="I7306" s="28">
        <f>IFERROR(VLOOKUP(F7306,CARTON_LOOKUP!$A:$E,5,0),"")</f>
      </c>
      <c r="J7306" s="29">
        <f>IFERROR(VLOOKUP(F7306,CARTON_LOOKUP!$A:$E,2,0),"")</f>
      </c>
      <c r="K7306" s="29">
        <f>IFERROR(J7306*D7306,0)</f>
      </c>
      <c r="L7306" s="29">
        <f>IFERROR(E7306*C7306,0)</f>
      </c>
      <c r="M7306" s="29">
        <f>IFERROR((G7306*H7306*I7306/1000000)*D7306,0)</f>
      </c>
    </row>
    <row r="7307" spans="1:13" x14ac:dyDescent="0.25">
      <c r="A7307" s="16"/>
      <c r="E7307" s="27"/>
      <c r="F7307" t="s">
        <v>26</v>
      </c>
      <c r="G7307" s="28">
        <f>IFERROR(VLOOKUP(F7307,CARTON_LOOKUP!$A:$E,3,0),"")</f>
      </c>
      <c r="H7307" s="28">
        <f>IFERROR(VLOOKUP(F7307,CARTON_LOOKUP!$A:$E,4,0),"")</f>
      </c>
      <c r="I7307" s="28">
        <f>IFERROR(VLOOKUP(F7307,CARTON_LOOKUP!$A:$E,5,0),"")</f>
      </c>
      <c r="J7307" s="29">
        <f>IFERROR(VLOOKUP(F7307,CARTON_LOOKUP!$A:$E,2,0),"")</f>
      </c>
      <c r="K7307" s="29">
        <f>IFERROR(J7307*D7307,0)</f>
      </c>
      <c r="L7307" s="29">
        <f>IFERROR(E7307*C7307,0)</f>
      </c>
      <c r="M7307" s="29">
        <f>IFERROR((G7307*H7307*I7307/1000000)*D7307,0)</f>
      </c>
    </row>
    <row r="7308" spans="1:13" x14ac:dyDescent="0.25">
      <c r="A7308" s="16"/>
      <c r="E7308" s="27"/>
      <c r="F7308" t="s">
        <v>26</v>
      </c>
      <c r="G7308" s="28">
        <f>IFERROR(VLOOKUP(F7308,CARTON_LOOKUP!$A:$E,3,0),"")</f>
      </c>
      <c r="H7308" s="28">
        <f>IFERROR(VLOOKUP(F7308,CARTON_LOOKUP!$A:$E,4,0),"")</f>
      </c>
      <c r="I7308" s="28">
        <f>IFERROR(VLOOKUP(F7308,CARTON_LOOKUP!$A:$E,5,0),"")</f>
      </c>
      <c r="J7308" s="29">
        <f>IFERROR(VLOOKUP(F7308,CARTON_LOOKUP!$A:$E,2,0),"")</f>
      </c>
      <c r="K7308" s="29">
        <f>IFERROR(J7308*D7308,0)</f>
      </c>
      <c r="L7308" s="29">
        <f>IFERROR(E7308*C7308,0)</f>
      </c>
      <c r="M7308" s="29">
        <f>IFERROR((G7308*H7308*I7308/1000000)*D7308,0)</f>
      </c>
    </row>
    <row r="7309" spans="1:13" x14ac:dyDescent="0.25">
      <c r="A7309" s="16"/>
      <c r="E7309" s="27"/>
      <c r="F7309" t="s">
        <v>26</v>
      </c>
      <c r="G7309" s="28">
        <f>IFERROR(VLOOKUP(F7309,CARTON_LOOKUP!$A:$E,3,0),"")</f>
      </c>
      <c r="H7309" s="28">
        <f>IFERROR(VLOOKUP(F7309,CARTON_LOOKUP!$A:$E,4,0),"")</f>
      </c>
      <c r="I7309" s="28">
        <f>IFERROR(VLOOKUP(F7309,CARTON_LOOKUP!$A:$E,5,0),"")</f>
      </c>
      <c r="J7309" s="29">
        <f>IFERROR(VLOOKUP(F7309,CARTON_LOOKUP!$A:$E,2,0),"")</f>
      </c>
      <c r="K7309" s="29">
        <f>IFERROR(J7309*D7309,0)</f>
      </c>
      <c r="L7309" s="29">
        <f>IFERROR(E7309*C7309,0)</f>
      </c>
      <c r="M7309" s="29">
        <f>IFERROR((G7309*H7309*I7309/1000000)*D7309,0)</f>
      </c>
    </row>
    <row r="7310" spans="1:13" x14ac:dyDescent="0.25">
      <c r="A7310" s="16"/>
      <c r="E7310" s="27"/>
      <c r="F7310" t="s">
        <v>26</v>
      </c>
      <c r="G7310" s="28">
        <f>IFERROR(VLOOKUP(F7310,CARTON_LOOKUP!$A:$E,3,0),"")</f>
      </c>
      <c r="H7310" s="28">
        <f>IFERROR(VLOOKUP(F7310,CARTON_LOOKUP!$A:$E,4,0),"")</f>
      </c>
      <c r="I7310" s="28">
        <f>IFERROR(VLOOKUP(F7310,CARTON_LOOKUP!$A:$E,5,0),"")</f>
      </c>
      <c r="J7310" s="29">
        <f>IFERROR(VLOOKUP(F7310,CARTON_LOOKUP!$A:$E,2,0),"")</f>
      </c>
      <c r="K7310" s="29">
        <f>IFERROR(J7310*D7310,0)</f>
      </c>
      <c r="L7310" s="29">
        <f>IFERROR(E7310*C7310,0)</f>
      </c>
      <c r="M7310" s="29">
        <f>IFERROR((G7310*H7310*I7310/1000000)*D7310,0)</f>
      </c>
    </row>
    <row r="7311" spans="1:13" x14ac:dyDescent="0.25">
      <c r="A7311" s="16"/>
      <c r="E7311" s="27"/>
      <c r="F7311" t="s">
        <v>26</v>
      </c>
      <c r="G7311" s="28">
        <f>IFERROR(VLOOKUP(F7311,CARTON_LOOKUP!$A:$E,3,0),"")</f>
      </c>
      <c r="H7311" s="28">
        <f>IFERROR(VLOOKUP(F7311,CARTON_LOOKUP!$A:$E,4,0),"")</f>
      </c>
      <c r="I7311" s="28">
        <f>IFERROR(VLOOKUP(F7311,CARTON_LOOKUP!$A:$E,5,0),"")</f>
      </c>
      <c r="J7311" s="29">
        <f>IFERROR(VLOOKUP(F7311,CARTON_LOOKUP!$A:$E,2,0),"")</f>
      </c>
      <c r="K7311" s="29">
        <f>IFERROR(J7311*D7311,0)</f>
      </c>
      <c r="L7311" s="29">
        <f>IFERROR(E7311*C7311,0)</f>
      </c>
      <c r="M7311" s="29">
        <f>IFERROR((G7311*H7311*I7311/1000000)*D7311,0)</f>
      </c>
    </row>
    <row r="7312" spans="1:13" x14ac:dyDescent="0.25">
      <c r="A7312" s="16"/>
      <c r="E7312" s="27"/>
      <c r="F7312" t="s">
        <v>26</v>
      </c>
      <c r="G7312" s="28">
        <f>IFERROR(VLOOKUP(F7312,CARTON_LOOKUP!$A:$E,3,0),"")</f>
      </c>
      <c r="H7312" s="28">
        <f>IFERROR(VLOOKUP(F7312,CARTON_LOOKUP!$A:$E,4,0),"")</f>
      </c>
      <c r="I7312" s="28">
        <f>IFERROR(VLOOKUP(F7312,CARTON_LOOKUP!$A:$E,5,0),"")</f>
      </c>
      <c r="J7312" s="29">
        <f>IFERROR(VLOOKUP(F7312,CARTON_LOOKUP!$A:$E,2,0),"")</f>
      </c>
      <c r="K7312" s="29">
        <f>IFERROR(J7312*D7312,0)</f>
      </c>
      <c r="L7312" s="29">
        <f>IFERROR(E7312*C7312,0)</f>
      </c>
      <c r="M7312" s="29">
        <f>IFERROR((G7312*H7312*I7312/1000000)*D7312,0)</f>
      </c>
    </row>
    <row r="7313" spans="1:13" x14ac:dyDescent="0.25">
      <c r="A7313" s="16"/>
      <c r="E7313" s="27"/>
      <c r="F7313" t="s">
        <v>26</v>
      </c>
      <c r="G7313" s="28">
        <f>IFERROR(VLOOKUP(F7313,CARTON_LOOKUP!$A:$E,3,0),"")</f>
      </c>
      <c r="H7313" s="28">
        <f>IFERROR(VLOOKUP(F7313,CARTON_LOOKUP!$A:$E,4,0),"")</f>
      </c>
      <c r="I7313" s="28">
        <f>IFERROR(VLOOKUP(F7313,CARTON_LOOKUP!$A:$E,5,0),"")</f>
      </c>
      <c r="J7313" s="29">
        <f>IFERROR(VLOOKUP(F7313,CARTON_LOOKUP!$A:$E,2,0),"")</f>
      </c>
      <c r="K7313" s="29">
        <f>IFERROR(J7313*D7313,0)</f>
      </c>
      <c r="L7313" s="29">
        <f>IFERROR(E7313*C7313,0)</f>
      </c>
      <c r="M7313" s="29">
        <f>IFERROR((G7313*H7313*I7313/1000000)*D7313,0)</f>
      </c>
    </row>
    <row r="7314" spans="1:13" x14ac:dyDescent="0.25">
      <c r="A7314" s="16"/>
      <c r="E7314" s="27"/>
      <c r="F7314" t="s">
        <v>26</v>
      </c>
      <c r="G7314" s="28">
        <f>IFERROR(VLOOKUP(F7314,CARTON_LOOKUP!$A:$E,3,0),"")</f>
      </c>
      <c r="H7314" s="28">
        <f>IFERROR(VLOOKUP(F7314,CARTON_LOOKUP!$A:$E,4,0),"")</f>
      </c>
      <c r="I7314" s="28">
        <f>IFERROR(VLOOKUP(F7314,CARTON_LOOKUP!$A:$E,5,0),"")</f>
      </c>
      <c r="J7314" s="29">
        <f>IFERROR(VLOOKUP(F7314,CARTON_LOOKUP!$A:$E,2,0),"")</f>
      </c>
      <c r="K7314" s="29">
        <f>IFERROR(J7314*D7314,0)</f>
      </c>
      <c r="L7314" s="29">
        <f>IFERROR(E7314*C7314,0)</f>
      </c>
      <c r="M7314" s="29">
        <f>IFERROR((G7314*H7314*I7314/1000000)*D7314,0)</f>
      </c>
    </row>
    <row r="7315" spans="1:13" x14ac:dyDescent="0.25">
      <c r="A7315" s="16"/>
      <c r="E7315" s="27"/>
      <c r="F7315" t="s">
        <v>26</v>
      </c>
      <c r="G7315" s="28">
        <f>IFERROR(VLOOKUP(F7315,CARTON_LOOKUP!$A:$E,3,0),"")</f>
      </c>
      <c r="H7315" s="28">
        <f>IFERROR(VLOOKUP(F7315,CARTON_LOOKUP!$A:$E,4,0),"")</f>
      </c>
      <c r="I7315" s="28">
        <f>IFERROR(VLOOKUP(F7315,CARTON_LOOKUP!$A:$E,5,0),"")</f>
      </c>
      <c r="J7315" s="29">
        <f>IFERROR(VLOOKUP(F7315,CARTON_LOOKUP!$A:$E,2,0),"")</f>
      </c>
      <c r="K7315" s="29">
        <f>IFERROR(J7315*D7315,0)</f>
      </c>
      <c r="L7315" s="29">
        <f>IFERROR(E7315*C7315,0)</f>
      </c>
      <c r="M7315" s="29">
        <f>IFERROR((G7315*H7315*I7315/1000000)*D7315,0)</f>
      </c>
    </row>
    <row r="7316" spans="1:13" x14ac:dyDescent="0.25">
      <c r="A7316" s="16"/>
      <c r="E7316" s="27"/>
      <c r="F7316" t="s">
        <v>26</v>
      </c>
      <c r="G7316" s="28">
        <f>IFERROR(VLOOKUP(F7316,CARTON_LOOKUP!$A:$E,3,0),"")</f>
      </c>
      <c r="H7316" s="28">
        <f>IFERROR(VLOOKUP(F7316,CARTON_LOOKUP!$A:$E,4,0),"")</f>
      </c>
      <c r="I7316" s="28">
        <f>IFERROR(VLOOKUP(F7316,CARTON_LOOKUP!$A:$E,5,0),"")</f>
      </c>
      <c r="J7316" s="29">
        <f>IFERROR(VLOOKUP(F7316,CARTON_LOOKUP!$A:$E,2,0),"")</f>
      </c>
      <c r="K7316" s="29">
        <f>IFERROR(J7316*D7316,0)</f>
      </c>
      <c r="L7316" s="29">
        <f>IFERROR(E7316*C7316,0)</f>
      </c>
      <c r="M7316" s="29">
        <f>IFERROR((G7316*H7316*I7316/1000000)*D7316,0)</f>
      </c>
    </row>
    <row r="7317" spans="1:13" x14ac:dyDescent="0.25">
      <c r="A7317" s="16"/>
      <c r="E7317" s="27"/>
      <c r="F7317" t="s">
        <v>26</v>
      </c>
      <c r="G7317" s="28">
        <f>IFERROR(VLOOKUP(F7317,CARTON_LOOKUP!$A:$E,3,0),"")</f>
      </c>
      <c r="H7317" s="28">
        <f>IFERROR(VLOOKUP(F7317,CARTON_LOOKUP!$A:$E,4,0),"")</f>
      </c>
      <c r="I7317" s="28">
        <f>IFERROR(VLOOKUP(F7317,CARTON_LOOKUP!$A:$E,5,0),"")</f>
      </c>
      <c r="J7317" s="29">
        <f>IFERROR(VLOOKUP(F7317,CARTON_LOOKUP!$A:$E,2,0),"")</f>
      </c>
      <c r="K7317" s="29">
        <f>IFERROR(J7317*D7317,0)</f>
      </c>
      <c r="L7317" s="29">
        <f>IFERROR(E7317*C7317,0)</f>
      </c>
      <c r="M7317" s="29">
        <f>IFERROR((G7317*H7317*I7317/1000000)*D7317,0)</f>
      </c>
    </row>
    <row r="7318" spans="1:13" x14ac:dyDescent="0.25">
      <c r="A7318" s="16"/>
      <c r="E7318" s="27"/>
      <c r="F7318" t="s">
        <v>26</v>
      </c>
      <c r="G7318" s="28">
        <f>IFERROR(VLOOKUP(F7318,CARTON_LOOKUP!$A:$E,3,0),"")</f>
      </c>
      <c r="H7318" s="28">
        <f>IFERROR(VLOOKUP(F7318,CARTON_LOOKUP!$A:$E,4,0),"")</f>
      </c>
      <c r="I7318" s="28">
        <f>IFERROR(VLOOKUP(F7318,CARTON_LOOKUP!$A:$E,5,0),"")</f>
      </c>
      <c r="J7318" s="29">
        <f>IFERROR(VLOOKUP(F7318,CARTON_LOOKUP!$A:$E,2,0),"")</f>
      </c>
      <c r="K7318" s="29">
        <f>IFERROR(J7318*D7318,0)</f>
      </c>
      <c r="L7318" s="29">
        <f>IFERROR(E7318*C7318,0)</f>
      </c>
      <c r="M7318" s="29">
        <f>IFERROR((G7318*H7318*I7318/1000000)*D7318,0)</f>
      </c>
    </row>
    <row r="7319" spans="1:13" x14ac:dyDescent="0.25">
      <c r="A7319" s="16"/>
      <c r="E7319" s="27"/>
      <c r="F7319" t="s">
        <v>26</v>
      </c>
      <c r="G7319" s="28">
        <f>IFERROR(VLOOKUP(F7319,CARTON_LOOKUP!$A:$E,3,0),"")</f>
      </c>
      <c r="H7319" s="28">
        <f>IFERROR(VLOOKUP(F7319,CARTON_LOOKUP!$A:$E,4,0),"")</f>
      </c>
      <c r="I7319" s="28">
        <f>IFERROR(VLOOKUP(F7319,CARTON_LOOKUP!$A:$E,5,0),"")</f>
      </c>
      <c r="J7319" s="29">
        <f>IFERROR(VLOOKUP(F7319,CARTON_LOOKUP!$A:$E,2,0),"")</f>
      </c>
      <c r="K7319" s="29">
        <f>IFERROR(J7319*D7319,0)</f>
      </c>
      <c r="L7319" s="29">
        <f>IFERROR(E7319*C7319,0)</f>
      </c>
      <c r="M7319" s="29">
        <f>IFERROR((G7319*H7319*I7319/1000000)*D7319,0)</f>
      </c>
    </row>
    <row r="7320" spans="1:13" x14ac:dyDescent="0.25">
      <c r="A7320" s="16"/>
      <c r="E7320" s="27"/>
      <c r="F7320" t="s">
        <v>26</v>
      </c>
      <c r="G7320" s="28">
        <f>IFERROR(VLOOKUP(F7320,CARTON_LOOKUP!$A:$E,3,0),"")</f>
      </c>
      <c r="H7320" s="28">
        <f>IFERROR(VLOOKUP(F7320,CARTON_LOOKUP!$A:$E,4,0),"")</f>
      </c>
      <c r="I7320" s="28">
        <f>IFERROR(VLOOKUP(F7320,CARTON_LOOKUP!$A:$E,5,0),"")</f>
      </c>
      <c r="J7320" s="29">
        <f>IFERROR(VLOOKUP(F7320,CARTON_LOOKUP!$A:$E,2,0),"")</f>
      </c>
      <c r="K7320" s="29">
        <f>IFERROR(J7320*D7320,0)</f>
      </c>
      <c r="L7320" s="29">
        <f>IFERROR(E7320*C7320,0)</f>
      </c>
      <c r="M7320" s="29">
        <f>IFERROR((G7320*H7320*I7320/1000000)*D7320,0)</f>
      </c>
    </row>
    <row r="7321" spans="1:13" x14ac:dyDescent="0.25">
      <c r="A7321" s="16"/>
      <c r="E7321" s="27"/>
      <c r="F7321" t="s">
        <v>26</v>
      </c>
      <c r="G7321" s="28">
        <f>IFERROR(VLOOKUP(F7321,CARTON_LOOKUP!$A:$E,3,0),"")</f>
      </c>
      <c r="H7321" s="28">
        <f>IFERROR(VLOOKUP(F7321,CARTON_LOOKUP!$A:$E,4,0),"")</f>
      </c>
      <c r="I7321" s="28">
        <f>IFERROR(VLOOKUP(F7321,CARTON_LOOKUP!$A:$E,5,0),"")</f>
      </c>
      <c r="J7321" s="29">
        <f>IFERROR(VLOOKUP(F7321,CARTON_LOOKUP!$A:$E,2,0),"")</f>
      </c>
      <c r="K7321" s="29">
        <f>IFERROR(J7321*D7321,0)</f>
      </c>
      <c r="L7321" s="29">
        <f>IFERROR(E7321*C7321,0)</f>
      </c>
      <c r="M7321" s="29">
        <f>IFERROR((G7321*H7321*I7321/1000000)*D7321,0)</f>
      </c>
    </row>
    <row r="7322" spans="1:13" x14ac:dyDescent="0.25">
      <c r="A7322" s="16"/>
      <c r="E7322" s="27"/>
      <c r="F7322" t="s">
        <v>26</v>
      </c>
      <c r="G7322" s="28">
        <f>IFERROR(VLOOKUP(F7322,CARTON_LOOKUP!$A:$E,3,0),"")</f>
      </c>
      <c r="H7322" s="28">
        <f>IFERROR(VLOOKUP(F7322,CARTON_LOOKUP!$A:$E,4,0),"")</f>
      </c>
      <c r="I7322" s="28">
        <f>IFERROR(VLOOKUP(F7322,CARTON_LOOKUP!$A:$E,5,0),"")</f>
      </c>
      <c r="J7322" s="29">
        <f>IFERROR(VLOOKUP(F7322,CARTON_LOOKUP!$A:$E,2,0),"")</f>
      </c>
      <c r="K7322" s="29">
        <f>IFERROR(J7322*D7322,0)</f>
      </c>
      <c r="L7322" s="29">
        <f>IFERROR(E7322*C7322,0)</f>
      </c>
      <c r="M7322" s="29">
        <f>IFERROR((G7322*H7322*I7322/1000000)*D7322,0)</f>
      </c>
    </row>
    <row r="7323" spans="1:13" x14ac:dyDescent="0.25">
      <c r="A7323" s="16"/>
      <c r="E7323" s="27"/>
      <c r="F7323" t="s">
        <v>26</v>
      </c>
      <c r="G7323" s="28">
        <f>IFERROR(VLOOKUP(F7323,CARTON_LOOKUP!$A:$E,3,0),"")</f>
      </c>
      <c r="H7323" s="28">
        <f>IFERROR(VLOOKUP(F7323,CARTON_LOOKUP!$A:$E,4,0),"")</f>
      </c>
      <c r="I7323" s="28">
        <f>IFERROR(VLOOKUP(F7323,CARTON_LOOKUP!$A:$E,5,0),"")</f>
      </c>
      <c r="J7323" s="29">
        <f>IFERROR(VLOOKUP(F7323,CARTON_LOOKUP!$A:$E,2,0),"")</f>
      </c>
      <c r="K7323" s="29">
        <f>IFERROR(J7323*D7323,0)</f>
      </c>
      <c r="L7323" s="29">
        <f>IFERROR(E7323*C7323,0)</f>
      </c>
      <c r="M7323" s="29">
        <f>IFERROR((G7323*H7323*I7323/1000000)*D7323,0)</f>
      </c>
    </row>
    <row r="7324" spans="1:13" x14ac:dyDescent="0.25">
      <c r="A7324" s="16"/>
      <c r="E7324" s="27"/>
      <c r="F7324" t="s">
        <v>26</v>
      </c>
      <c r="G7324" s="28">
        <f>IFERROR(VLOOKUP(F7324,CARTON_LOOKUP!$A:$E,3,0),"")</f>
      </c>
      <c r="H7324" s="28">
        <f>IFERROR(VLOOKUP(F7324,CARTON_LOOKUP!$A:$E,4,0),"")</f>
      </c>
      <c r="I7324" s="28">
        <f>IFERROR(VLOOKUP(F7324,CARTON_LOOKUP!$A:$E,5,0),"")</f>
      </c>
      <c r="J7324" s="29">
        <f>IFERROR(VLOOKUP(F7324,CARTON_LOOKUP!$A:$E,2,0),"")</f>
      </c>
      <c r="K7324" s="29">
        <f>IFERROR(J7324*D7324,0)</f>
      </c>
      <c r="L7324" s="29">
        <f>IFERROR(E7324*C7324,0)</f>
      </c>
      <c r="M7324" s="29">
        <f>IFERROR((G7324*H7324*I7324/1000000)*D7324,0)</f>
      </c>
    </row>
    <row r="7325" spans="1:13" x14ac:dyDescent="0.25">
      <c r="A7325" s="16"/>
      <c r="E7325" s="27"/>
      <c r="F7325" t="s">
        <v>26</v>
      </c>
      <c r="G7325" s="28">
        <f>IFERROR(VLOOKUP(F7325,CARTON_LOOKUP!$A:$E,3,0),"")</f>
      </c>
      <c r="H7325" s="28">
        <f>IFERROR(VLOOKUP(F7325,CARTON_LOOKUP!$A:$E,4,0),"")</f>
      </c>
      <c r="I7325" s="28">
        <f>IFERROR(VLOOKUP(F7325,CARTON_LOOKUP!$A:$E,5,0),"")</f>
      </c>
      <c r="J7325" s="29">
        <f>IFERROR(VLOOKUP(F7325,CARTON_LOOKUP!$A:$E,2,0),"")</f>
      </c>
      <c r="K7325" s="29">
        <f>IFERROR(J7325*D7325,0)</f>
      </c>
      <c r="L7325" s="29">
        <f>IFERROR(E7325*C7325,0)</f>
      </c>
      <c r="M7325" s="29">
        <f>IFERROR((G7325*H7325*I7325/1000000)*D7325,0)</f>
      </c>
    </row>
    <row r="7326" spans="1:13" x14ac:dyDescent="0.25">
      <c r="A7326" s="16"/>
      <c r="E7326" s="27"/>
      <c r="F7326" t="s">
        <v>26</v>
      </c>
      <c r="G7326" s="28">
        <f>IFERROR(VLOOKUP(F7326,CARTON_LOOKUP!$A:$E,3,0),"")</f>
      </c>
      <c r="H7326" s="28">
        <f>IFERROR(VLOOKUP(F7326,CARTON_LOOKUP!$A:$E,4,0),"")</f>
      </c>
      <c r="I7326" s="28">
        <f>IFERROR(VLOOKUP(F7326,CARTON_LOOKUP!$A:$E,5,0),"")</f>
      </c>
      <c r="J7326" s="29">
        <f>IFERROR(VLOOKUP(F7326,CARTON_LOOKUP!$A:$E,2,0),"")</f>
      </c>
      <c r="K7326" s="29">
        <f>IFERROR(J7326*D7326,0)</f>
      </c>
      <c r="L7326" s="29">
        <f>IFERROR(E7326*C7326,0)</f>
      </c>
      <c r="M7326" s="29">
        <f>IFERROR((G7326*H7326*I7326/1000000)*D7326,0)</f>
      </c>
    </row>
    <row r="7327" spans="1:13" x14ac:dyDescent="0.25">
      <c r="A7327" s="16"/>
      <c r="E7327" s="27"/>
      <c r="F7327" t="s">
        <v>26</v>
      </c>
      <c r="G7327" s="28">
        <f>IFERROR(VLOOKUP(F7327,CARTON_LOOKUP!$A:$E,3,0),"")</f>
      </c>
      <c r="H7327" s="28">
        <f>IFERROR(VLOOKUP(F7327,CARTON_LOOKUP!$A:$E,4,0),"")</f>
      </c>
      <c r="I7327" s="28">
        <f>IFERROR(VLOOKUP(F7327,CARTON_LOOKUP!$A:$E,5,0),"")</f>
      </c>
      <c r="J7327" s="29">
        <f>IFERROR(VLOOKUP(F7327,CARTON_LOOKUP!$A:$E,2,0),"")</f>
      </c>
      <c r="K7327" s="29">
        <f>IFERROR(J7327*D7327,0)</f>
      </c>
      <c r="L7327" s="29">
        <f>IFERROR(E7327*C7327,0)</f>
      </c>
      <c r="M7327" s="29">
        <f>IFERROR((G7327*H7327*I7327/1000000)*D7327,0)</f>
      </c>
    </row>
    <row r="7328" spans="1:13" x14ac:dyDescent="0.25">
      <c r="A7328" s="16"/>
      <c r="E7328" s="27"/>
      <c r="F7328" t="s">
        <v>26</v>
      </c>
      <c r="G7328" s="28">
        <f>IFERROR(VLOOKUP(F7328,CARTON_LOOKUP!$A:$E,3,0),"")</f>
      </c>
      <c r="H7328" s="28">
        <f>IFERROR(VLOOKUP(F7328,CARTON_LOOKUP!$A:$E,4,0),"")</f>
      </c>
      <c r="I7328" s="28">
        <f>IFERROR(VLOOKUP(F7328,CARTON_LOOKUP!$A:$E,5,0),"")</f>
      </c>
      <c r="J7328" s="29">
        <f>IFERROR(VLOOKUP(F7328,CARTON_LOOKUP!$A:$E,2,0),"")</f>
      </c>
      <c r="K7328" s="29">
        <f>IFERROR(J7328*D7328,0)</f>
      </c>
      <c r="L7328" s="29">
        <f>IFERROR(E7328*C7328,0)</f>
      </c>
      <c r="M7328" s="29">
        <f>IFERROR((G7328*H7328*I7328/1000000)*D7328,0)</f>
      </c>
    </row>
    <row r="7329" spans="1:13" x14ac:dyDescent="0.25">
      <c r="A7329" s="16"/>
      <c r="E7329" s="27"/>
      <c r="F7329" t="s">
        <v>26</v>
      </c>
      <c r="G7329" s="28">
        <f>IFERROR(VLOOKUP(F7329,CARTON_LOOKUP!$A:$E,3,0),"")</f>
      </c>
      <c r="H7329" s="28">
        <f>IFERROR(VLOOKUP(F7329,CARTON_LOOKUP!$A:$E,4,0),"")</f>
      </c>
      <c r="I7329" s="28">
        <f>IFERROR(VLOOKUP(F7329,CARTON_LOOKUP!$A:$E,5,0),"")</f>
      </c>
      <c r="J7329" s="29">
        <f>IFERROR(VLOOKUP(F7329,CARTON_LOOKUP!$A:$E,2,0),"")</f>
      </c>
      <c r="K7329" s="29">
        <f>IFERROR(J7329*D7329,0)</f>
      </c>
      <c r="L7329" s="29">
        <f>IFERROR(E7329*C7329,0)</f>
      </c>
      <c r="M7329" s="29">
        <f>IFERROR((G7329*H7329*I7329/1000000)*D7329,0)</f>
      </c>
    </row>
    <row r="7330" spans="1:13" x14ac:dyDescent="0.25">
      <c r="A7330" s="16"/>
      <c r="E7330" s="27"/>
      <c r="F7330" t="s">
        <v>26</v>
      </c>
      <c r="G7330" s="28">
        <f>IFERROR(VLOOKUP(F7330,CARTON_LOOKUP!$A:$E,3,0),"")</f>
      </c>
      <c r="H7330" s="28">
        <f>IFERROR(VLOOKUP(F7330,CARTON_LOOKUP!$A:$E,4,0),"")</f>
      </c>
      <c r="I7330" s="28">
        <f>IFERROR(VLOOKUP(F7330,CARTON_LOOKUP!$A:$E,5,0),"")</f>
      </c>
      <c r="J7330" s="29">
        <f>IFERROR(VLOOKUP(F7330,CARTON_LOOKUP!$A:$E,2,0),"")</f>
      </c>
      <c r="K7330" s="29">
        <f>IFERROR(J7330*D7330,0)</f>
      </c>
      <c r="L7330" s="29">
        <f>IFERROR(E7330*C7330,0)</f>
      </c>
      <c r="M7330" s="29">
        <f>IFERROR((G7330*H7330*I7330/1000000)*D7330,0)</f>
      </c>
    </row>
    <row r="7331" spans="1:13" x14ac:dyDescent="0.25">
      <c r="A7331" s="16"/>
      <c r="E7331" s="27"/>
      <c r="F7331" t="s">
        <v>26</v>
      </c>
      <c r="G7331" s="28">
        <f>IFERROR(VLOOKUP(F7331,CARTON_LOOKUP!$A:$E,3,0),"")</f>
      </c>
      <c r="H7331" s="28">
        <f>IFERROR(VLOOKUP(F7331,CARTON_LOOKUP!$A:$E,4,0),"")</f>
      </c>
      <c r="I7331" s="28">
        <f>IFERROR(VLOOKUP(F7331,CARTON_LOOKUP!$A:$E,5,0),"")</f>
      </c>
      <c r="J7331" s="29">
        <f>IFERROR(VLOOKUP(F7331,CARTON_LOOKUP!$A:$E,2,0),"")</f>
      </c>
      <c r="K7331" s="29">
        <f>IFERROR(J7331*D7331,0)</f>
      </c>
      <c r="L7331" s="29">
        <f>IFERROR(E7331*C7331,0)</f>
      </c>
      <c r="M7331" s="29">
        <f>IFERROR((G7331*H7331*I7331/1000000)*D7331,0)</f>
      </c>
    </row>
    <row r="7332" spans="1:13" x14ac:dyDescent="0.25">
      <c r="A7332" s="16"/>
      <c r="E7332" s="27"/>
      <c r="F7332" t="s">
        <v>26</v>
      </c>
      <c r="G7332" s="28">
        <f>IFERROR(VLOOKUP(F7332,CARTON_LOOKUP!$A:$E,3,0),"")</f>
      </c>
      <c r="H7332" s="28">
        <f>IFERROR(VLOOKUP(F7332,CARTON_LOOKUP!$A:$E,4,0),"")</f>
      </c>
      <c r="I7332" s="28">
        <f>IFERROR(VLOOKUP(F7332,CARTON_LOOKUP!$A:$E,5,0),"")</f>
      </c>
      <c r="J7332" s="29">
        <f>IFERROR(VLOOKUP(F7332,CARTON_LOOKUP!$A:$E,2,0),"")</f>
      </c>
      <c r="K7332" s="29">
        <f>IFERROR(J7332*D7332,0)</f>
      </c>
      <c r="L7332" s="29">
        <f>IFERROR(E7332*C7332,0)</f>
      </c>
      <c r="M7332" s="29">
        <f>IFERROR((G7332*H7332*I7332/1000000)*D7332,0)</f>
      </c>
    </row>
    <row r="7333" spans="1:13" x14ac:dyDescent="0.25">
      <c r="A7333" s="16"/>
      <c r="E7333" s="27"/>
      <c r="F7333" t="s">
        <v>26</v>
      </c>
      <c r="G7333" s="28">
        <f>IFERROR(VLOOKUP(F7333,CARTON_LOOKUP!$A:$E,3,0),"")</f>
      </c>
      <c r="H7333" s="28">
        <f>IFERROR(VLOOKUP(F7333,CARTON_LOOKUP!$A:$E,4,0),"")</f>
      </c>
      <c r="I7333" s="28">
        <f>IFERROR(VLOOKUP(F7333,CARTON_LOOKUP!$A:$E,5,0),"")</f>
      </c>
      <c r="J7333" s="29">
        <f>IFERROR(VLOOKUP(F7333,CARTON_LOOKUP!$A:$E,2,0),"")</f>
      </c>
      <c r="K7333" s="29">
        <f>IFERROR(J7333*D7333,0)</f>
      </c>
      <c r="L7333" s="29">
        <f>IFERROR(E7333*C7333,0)</f>
      </c>
      <c r="M7333" s="29">
        <f>IFERROR((G7333*H7333*I7333/1000000)*D7333,0)</f>
      </c>
    </row>
    <row r="7334" spans="1:13" x14ac:dyDescent="0.25">
      <c r="A7334" s="16"/>
      <c r="E7334" s="27"/>
      <c r="F7334" t="s">
        <v>26</v>
      </c>
      <c r="G7334" s="28">
        <f>IFERROR(VLOOKUP(F7334,CARTON_LOOKUP!$A:$E,3,0),"")</f>
      </c>
      <c r="H7334" s="28">
        <f>IFERROR(VLOOKUP(F7334,CARTON_LOOKUP!$A:$E,4,0),"")</f>
      </c>
      <c r="I7334" s="28">
        <f>IFERROR(VLOOKUP(F7334,CARTON_LOOKUP!$A:$E,5,0),"")</f>
      </c>
      <c r="J7334" s="29">
        <f>IFERROR(VLOOKUP(F7334,CARTON_LOOKUP!$A:$E,2,0),"")</f>
      </c>
      <c r="K7334" s="29">
        <f>IFERROR(J7334*D7334,0)</f>
      </c>
      <c r="L7334" s="29">
        <f>IFERROR(E7334*C7334,0)</f>
      </c>
      <c r="M7334" s="29">
        <f>IFERROR((G7334*H7334*I7334/1000000)*D7334,0)</f>
      </c>
    </row>
    <row r="7335" spans="1:13" x14ac:dyDescent="0.25">
      <c r="A7335" s="16"/>
      <c r="E7335" s="27"/>
      <c r="F7335" t="s">
        <v>26</v>
      </c>
      <c r="G7335" s="28">
        <f>IFERROR(VLOOKUP(F7335,CARTON_LOOKUP!$A:$E,3,0),"")</f>
      </c>
      <c r="H7335" s="28">
        <f>IFERROR(VLOOKUP(F7335,CARTON_LOOKUP!$A:$E,4,0),"")</f>
      </c>
      <c r="I7335" s="28">
        <f>IFERROR(VLOOKUP(F7335,CARTON_LOOKUP!$A:$E,5,0),"")</f>
      </c>
      <c r="J7335" s="29">
        <f>IFERROR(VLOOKUP(F7335,CARTON_LOOKUP!$A:$E,2,0),"")</f>
      </c>
      <c r="K7335" s="29">
        <f>IFERROR(J7335*D7335,0)</f>
      </c>
      <c r="L7335" s="29">
        <f>IFERROR(E7335*C7335,0)</f>
      </c>
      <c r="M7335" s="29">
        <f>IFERROR((G7335*H7335*I7335/1000000)*D7335,0)</f>
      </c>
    </row>
    <row r="7336" spans="1:13" x14ac:dyDescent="0.25">
      <c r="A7336" s="16"/>
      <c r="E7336" s="27"/>
      <c r="F7336" t="s">
        <v>26</v>
      </c>
      <c r="G7336" s="28">
        <f>IFERROR(VLOOKUP(F7336,CARTON_LOOKUP!$A:$E,3,0),"")</f>
      </c>
      <c r="H7336" s="28">
        <f>IFERROR(VLOOKUP(F7336,CARTON_LOOKUP!$A:$E,4,0),"")</f>
      </c>
      <c r="I7336" s="28">
        <f>IFERROR(VLOOKUP(F7336,CARTON_LOOKUP!$A:$E,5,0),"")</f>
      </c>
      <c r="J7336" s="29">
        <f>IFERROR(VLOOKUP(F7336,CARTON_LOOKUP!$A:$E,2,0),"")</f>
      </c>
      <c r="K7336" s="29">
        <f>IFERROR(J7336*D7336,0)</f>
      </c>
      <c r="L7336" s="29">
        <f>IFERROR(E7336*C7336,0)</f>
      </c>
      <c r="M7336" s="29">
        <f>IFERROR((G7336*H7336*I7336/1000000)*D7336,0)</f>
      </c>
    </row>
    <row r="7337" spans="1:13" x14ac:dyDescent="0.25">
      <c r="A7337" s="16"/>
      <c r="E7337" s="27"/>
      <c r="F7337" t="s">
        <v>26</v>
      </c>
      <c r="G7337" s="28">
        <f>IFERROR(VLOOKUP(F7337,CARTON_LOOKUP!$A:$E,3,0),"")</f>
      </c>
      <c r="H7337" s="28">
        <f>IFERROR(VLOOKUP(F7337,CARTON_LOOKUP!$A:$E,4,0),"")</f>
      </c>
      <c r="I7337" s="28">
        <f>IFERROR(VLOOKUP(F7337,CARTON_LOOKUP!$A:$E,5,0),"")</f>
      </c>
      <c r="J7337" s="29">
        <f>IFERROR(VLOOKUP(F7337,CARTON_LOOKUP!$A:$E,2,0),"")</f>
      </c>
      <c r="K7337" s="29">
        <f>IFERROR(J7337*D7337,0)</f>
      </c>
      <c r="L7337" s="29">
        <f>IFERROR(E7337*C7337,0)</f>
      </c>
      <c r="M7337" s="29">
        <f>IFERROR((G7337*H7337*I7337/1000000)*D7337,0)</f>
      </c>
    </row>
    <row r="7338" spans="1:13" x14ac:dyDescent="0.25">
      <c r="A7338" s="16"/>
      <c r="E7338" s="27"/>
      <c r="F7338" t="s">
        <v>26</v>
      </c>
      <c r="G7338" s="28">
        <f>IFERROR(VLOOKUP(F7338,CARTON_LOOKUP!$A:$E,3,0),"")</f>
      </c>
      <c r="H7338" s="28">
        <f>IFERROR(VLOOKUP(F7338,CARTON_LOOKUP!$A:$E,4,0),"")</f>
      </c>
      <c r="I7338" s="28">
        <f>IFERROR(VLOOKUP(F7338,CARTON_LOOKUP!$A:$E,5,0),"")</f>
      </c>
      <c r="J7338" s="29">
        <f>IFERROR(VLOOKUP(F7338,CARTON_LOOKUP!$A:$E,2,0),"")</f>
      </c>
      <c r="K7338" s="29">
        <f>IFERROR(J7338*D7338,0)</f>
      </c>
      <c r="L7338" s="29">
        <f>IFERROR(E7338*C7338,0)</f>
      </c>
      <c r="M7338" s="29">
        <f>IFERROR((G7338*H7338*I7338/1000000)*D7338,0)</f>
      </c>
    </row>
    <row r="7339" spans="1:13" x14ac:dyDescent="0.25">
      <c r="A7339" s="16"/>
      <c r="E7339" s="27"/>
      <c r="F7339" t="s">
        <v>26</v>
      </c>
      <c r="G7339" s="28">
        <f>IFERROR(VLOOKUP(F7339,CARTON_LOOKUP!$A:$E,3,0),"")</f>
      </c>
      <c r="H7339" s="28">
        <f>IFERROR(VLOOKUP(F7339,CARTON_LOOKUP!$A:$E,4,0),"")</f>
      </c>
      <c r="I7339" s="28">
        <f>IFERROR(VLOOKUP(F7339,CARTON_LOOKUP!$A:$E,5,0),"")</f>
      </c>
      <c r="J7339" s="29">
        <f>IFERROR(VLOOKUP(F7339,CARTON_LOOKUP!$A:$E,2,0),"")</f>
      </c>
      <c r="K7339" s="29">
        <f>IFERROR(J7339*D7339,0)</f>
      </c>
      <c r="L7339" s="29">
        <f>IFERROR(E7339*C7339,0)</f>
      </c>
      <c r="M7339" s="29">
        <f>IFERROR((G7339*H7339*I7339/1000000)*D7339,0)</f>
      </c>
    </row>
    <row r="7340" spans="1:13" x14ac:dyDescent="0.25">
      <c r="A7340" s="16"/>
      <c r="E7340" s="27"/>
      <c r="F7340" t="s">
        <v>26</v>
      </c>
      <c r="G7340" s="28">
        <f>IFERROR(VLOOKUP(F7340,CARTON_LOOKUP!$A:$E,3,0),"")</f>
      </c>
      <c r="H7340" s="28">
        <f>IFERROR(VLOOKUP(F7340,CARTON_LOOKUP!$A:$E,4,0),"")</f>
      </c>
      <c r="I7340" s="28">
        <f>IFERROR(VLOOKUP(F7340,CARTON_LOOKUP!$A:$E,5,0),"")</f>
      </c>
      <c r="J7340" s="29">
        <f>IFERROR(VLOOKUP(F7340,CARTON_LOOKUP!$A:$E,2,0),"")</f>
      </c>
      <c r="K7340" s="29">
        <f>IFERROR(J7340*D7340,0)</f>
      </c>
      <c r="L7340" s="29">
        <f>IFERROR(E7340*C7340,0)</f>
      </c>
      <c r="M7340" s="29">
        <f>IFERROR((G7340*H7340*I7340/1000000)*D7340,0)</f>
      </c>
    </row>
    <row r="7341" spans="1:13" x14ac:dyDescent="0.25">
      <c r="A7341" s="16"/>
      <c r="E7341" s="27"/>
      <c r="F7341" t="s">
        <v>26</v>
      </c>
      <c r="G7341" s="28">
        <f>IFERROR(VLOOKUP(F7341,CARTON_LOOKUP!$A:$E,3,0),"")</f>
      </c>
      <c r="H7341" s="28">
        <f>IFERROR(VLOOKUP(F7341,CARTON_LOOKUP!$A:$E,4,0),"")</f>
      </c>
      <c r="I7341" s="28">
        <f>IFERROR(VLOOKUP(F7341,CARTON_LOOKUP!$A:$E,5,0),"")</f>
      </c>
      <c r="J7341" s="29">
        <f>IFERROR(VLOOKUP(F7341,CARTON_LOOKUP!$A:$E,2,0),"")</f>
      </c>
      <c r="K7341" s="29">
        <f>IFERROR(J7341*D7341,0)</f>
      </c>
      <c r="L7341" s="29">
        <f>IFERROR(E7341*C7341,0)</f>
      </c>
      <c r="M7341" s="29">
        <f>IFERROR((G7341*H7341*I7341/1000000)*D7341,0)</f>
      </c>
    </row>
    <row r="7342" spans="1:13" x14ac:dyDescent="0.25">
      <c r="A7342" s="16"/>
      <c r="E7342" s="27"/>
      <c r="F7342" t="s">
        <v>26</v>
      </c>
      <c r="G7342" s="28">
        <f>IFERROR(VLOOKUP(F7342,CARTON_LOOKUP!$A:$E,3,0),"")</f>
      </c>
      <c r="H7342" s="28">
        <f>IFERROR(VLOOKUP(F7342,CARTON_LOOKUP!$A:$E,4,0),"")</f>
      </c>
      <c r="I7342" s="28">
        <f>IFERROR(VLOOKUP(F7342,CARTON_LOOKUP!$A:$E,5,0),"")</f>
      </c>
      <c r="J7342" s="29">
        <f>IFERROR(VLOOKUP(F7342,CARTON_LOOKUP!$A:$E,2,0),"")</f>
      </c>
      <c r="K7342" s="29">
        <f>IFERROR(J7342*D7342,0)</f>
      </c>
      <c r="L7342" s="29">
        <f>IFERROR(E7342*C7342,0)</f>
      </c>
      <c r="M7342" s="29">
        <f>IFERROR((G7342*H7342*I7342/1000000)*D7342,0)</f>
      </c>
    </row>
    <row r="7343" spans="1:13" x14ac:dyDescent="0.25">
      <c r="A7343" s="16"/>
      <c r="E7343" s="27"/>
      <c r="F7343" t="s">
        <v>26</v>
      </c>
      <c r="G7343" s="28">
        <f>IFERROR(VLOOKUP(F7343,CARTON_LOOKUP!$A:$E,3,0),"")</f>
      </c>
      <c r="H7343" s="28">
        <f>IFERROR(VLOOKUP(F7343,CARTON_LOOKUP!$A:$E,4,0),"")</f>
      </c>
      <c r="I7343" s="28">
        <f>IFERROR(VLOOKUP(F7343,CARTON_LOOKUP!$A:$E,5,0),"")</f>
      </c>
      <c r="J7343" s="29">
        <f>IFERROR(VLOOKUP(F7343,CARTON_LOOKUP!$A:$E,2,0),"")</f>
      </c>
      <c r="K7343" s="29">
        <f>IFERROR(J7343*D7343,0)</f>
      </c>
      <c r="L7343" s="29">
        <f>IFERROR(E7343*C7343,0)</f>
      </c>
      <c r="M7343" s="29">
        <f>IFERROR((G7343*H7343*I7343/1000000)*D7343,0)</f>
      </c>
    </row>
    <row r="7344" spans="1:13" x14ac:dyDescent="0.25">
      <c r="A7344" s="16"/>
      <c r="E7344" s="27"/>
      <c r="F7344" t="s">
        <v>26</v>
      </c>
      <c r="G7344" s="28">
        <f>IFERROR(VLOOKUP(F7344,CARTON_LOOKUP!$A:$E,3,0),"")</f>
      </c>
      <c r="H7344" s="28">
        <f>IFERROR(VLOOKUP(F7344,CARTON_LOOKUP!$A:$E,4,0),"")</f>
      </c>
      <c r="I7344" s="28">
        <f>IFERROR(VLOOKUP(F7344,CARTON_LOOKUP!$A:$E,5,0),"")</f>
      </c>
      <c r="J7344" s="29">
        <f>IFERROR(VLOOKUP(F7344,CARTON_LOOKUP!$A:$E,2,0),"")</f>
      </c>
      <c r="K7344" s="29">
        <f>IFERROR(J7344*D7344,0)</f>
      </c>
      <c r="L7344" s="29">
        <f>IFERROR(E7344*C7344,0)</f>
      </c>
      <c r="M7344" s="29">
        <f>IFERROR((G7344*H7344*I7344/1000000)*D7344,0)</f>
      </c>
    </row>
    <row r="7345" spans="1:13" x14ac:dyDescent="0.25">
      <c r="A7345" s="16"/>
      <c r="E7345" s="27"/>
      <c r="F7345" t="s">
        <v>26</v>
      </c>
      <c r="G7345" s="28">
        <f>IFERROR(VLOOKUP(F7345,CARTON_LOOKUP!$A:$E,3,0),"")</f>
      </c>
      <c r="H7345" s="28">
        <f>IFERROR(VLOOKUP(F7345,CARTON_LOOKUP!$A:$E,4,0),"")</f>
      </c>
      <c r="I7345" s="28">
        <f>IFERROR(VLOOKUP(F7345,CARTON_LOOKUP!$A:$E,5,0),"")</f>
      </c>
      <c r="J7345" s="29">
        <f>IFERROR(VLOOKUP(F7345,CARTON_LOOKUP!$A:$E,2,0),"")</f>
      </c>
      <c r="K7345" s="29">
        <f>IFERROR(J7345*D7345,0)</f>
      </c>
      <c r="L7345" s="29">
        <f>IFERROR(E7345*C7345,0)</f>
      </c>
      <c r="M7345" s="29">
        <f>IFERROR((G7345*H7345*I7345/1000000)*D7345,0)</f>
      </c>
    </row>
    <row r="7346" spans="1:13" x14ac:dyDescent="0.25">
      <c r="A7346" s="16"/>
      <c r="E7346" s="27"/>
      <c r="F7346" t="s">
        <v>26</v>
      </c>
      <c r="G7346" s="28">
        <f>IFERROR(VLOOKUP(F7346,CARTON_LOOKUP!$A:$E,3,0),"")</f>
      </c>
      <c r="H7346" s="28">
        <f>IFERROR(VLOOKUP(F7346,CARTON_LOOKUP!$A:$E,4,0),"")</f>
      </c>
      <c r="I7346" s="28">
        <f>IFERROR(VLOOKUP(F7346,CARTON_LOOKUP!$A:$E,5,0),"")</f>
      </c>
      <c r="J7346" s="29">
        <f>IFERROR(VLOOKUP(F7346,CARTON_LOOKUP!$A:$E,2,0),"")</f>
      </c>
      <c r="K7346" s="29">
        <f>IFERROR(J7346*D7346,0)</f>
      </c>
      <c r="L7346" s="29">
        <f>IFERROR(E7346*C7346,0)</f>
      </c>
      <c r="M7346" s="29">
        <f>IFERROR((G7346*H7346*I7346/1000000)*D7346,0)</f>
      </c>
    </row>
    <row r="7347" spans="1:13" x14ac:dyDescent="0.25">
      <c r="A7347" s="16"/>
      <c r="E7347" s="27"/>
      <c r="F7347" t="s">
        <v>26</v>
      </c>
      <c r="G7347" s="28">
        <f>IFERROR(VLOOKUP(F7347,CARTON_LOOKUP!$A:$E,3,0),"")</f>
      </c>
      <c r="H7347" s="28">
        <f>IFERROR(VLOOKUP(F7347,CARTON_LOOKUP!$A:$E,4,0),"")</f>
      </c>
      <c r="I7347" s="28">
        <f>IFERROR(VLOOKUP(F7347,CARTON_LOOKUP!$A:$E,5,0),"")</f>
      </c>
      <c r="J7347" s="29">
        <f>IFERROR(VLOOKUP(F7347,CARTON_LOOKUP!$A:$E,2,0),"")</f>
      </c>
      <c r="K7347" s="29">
        <f>IFERROR(J7347*D7347,0)</f>
      </c>
      <c r="L7347" s="29">
        <f>IFERROR(E7347*C7347,0)</f>
      </c>
      <c r="M7347" s="29">
        <f>IFERROR((G7347*H7347*I7347/1000000)*D7347,0)</f>
      </c>
    </row>
    <row r="7348" spans="1:13" x14ac:dyDescent="0.25">
      <c r="A7348" s="16"/>
      <c r="E7348" s="27"/>
      <c r="F7348" t="s">
        <v>26</v>
      </c>
      <c r="G7348" s="28">
        <f>IFERROR(VLOOKUP(F7348,CARTON_LOOKUP!$A:$E,3,0),"")</f>
      </c>
      <c r="H7348" s="28">
        <f>IFERROR(VLOOKUP(F7348,CARTON_LOOKUP!$A:$E,4,0),"")</f>
      </c>
      <c r="I7348" s="28">
        <f>IFERROR(VLOOKUP(F7348,CARTON_LOOKUP!$A:$E,5,0),"")</f>
      </c>
      <c r="J7348" s="29">
        <f>IFERROR(VLOOKUP(F7348,CARTON_LOOKUP!$A:$E,2,0),"")</f>
      </c>
      <c r="K7348" s="29">
        <f>IFERROR(J7348*D7348,0)</f>
      </c>
      <c r="L7348" s="29">
        <f>IFERROR(E7348*C7348,0)</f>
      </c>
      <c r="M7348" s="29">
        <f>IFERROR((G7348*H7348*I7348/1000000)*D7348,0)</f>
      </c>
    </row>
    <row r="7349" spans="1:13" x14ac:dyDescent="0.25">
      <c r="A7349" s="16"/>
      <c r="E7349" s="27"/>
      <c r="F7349" t="s">
        <v>26</v>
      </c>
      <c r="G7349" s="28">
        <f>IFERROR(VLOOKUP(F7349,CARTON_LOOKUP!$A:$E,3,0),"")</f>
      </c>
      <c r="H7349" s="28">
        <f>IFERROR(VLOOKUP(F7349,CARTON_LOOKUP!$A:$E,4,0),"")</f>
      </c>
      <c r="I7349" s="28">
        <f>IFERROR(VLOOKUP(F7349,CARTON_LOOKUP!$A:$E,5,0),"")</f>
      </c>
      <c r="J7349" s="29">
        <f>IFERROR(VLOOKUP(F7349,CARTON_LOOKUP!$A:$E,2,0),"")</f>
      </c>
      <c r="K7349" s="29">
        <f>IFERROR(J7349*D7349,0)</f>
      </c>
      <c r="L7349" s="29">
        <f>IFERROR(E7349*C7349,0)</f>
      </c>
      <c r="M7349" s="29">
        <f>IFERROR((G7349*H7349*I7349/1000000)*D7349,0)</f>
      </c>
    </row>
    <row r="7350" spans="1:13" x14ac:dyDescent="0.25">
      <c r="A7350" s="16"/>
      <c r="E7350" s="27"/>
      <c r="F7350" t="s">
        <v>26</v>
      </c>
      <c r="G7350" s="28">
        <f>IFERROR(VLOOKUP(F7350,CARTON_LOOKUP!$A:$E,3,0),"")</f>
      </c>
      <c r="H7350" s="28">
        <f>IFERROR(VLOOKUP(F7350,CARTON_LOOKUP!$A:$E,4,0),"")</f>
      </c>
      <c r="I7350" s="28">
        <f>IFERROR(VLOOKUP(F7350,CARTON_LOOKUP!$A:$E,5,0),"")</f>
      </c>
      <c r="J7350" s="29">
        <f>IFERROR(VLOOKUP(F7350,CARTON_LOOKUP!$A:$E,2,0),"")</f>
      </c>
      <c r="K7350" s="29">
        <f>IFERROR(J7350*D7350,0)</f>
      </c>
      <c r="L7350" s="29">
        <f>IFERROR(E7350*C7350,0)</f>
      </c>
      <c r="M7350" s="29">
        <f>IFERROR((G7350*H7350*I7350/1000000)*D7350,0)</f>
      </c>
    </row>
    <row r="7351" spans="1:13" x14ac:dyDescent="0.25">
      <c r="A7351" s="16"/>
      <c r="E7351" s="27"/>
      <c r="F7351" t="s">
        <v>26</v>
      </c>
      <c r="G7351" s="28">
        <f>IFERROR(VLOOKUP(F7351,CARTON_LOOKUP!$A:$E,3,0),"")</f>
      </c>
      <c r="H7351" s="28">
        <f>IFERROR(VLOOKUP(F7351,CARTON_LOOKUP!$A:$E,4,0),"")</f>
      </c>
      <c r="I7351" s="28">
        <f>IFERROR(VLOOKUP(F7351,CARTON_LOOKUP!$A:$E,5,0),"")</f>
      </c>
      <c r="J7351" s="29">
        <f>IFERROR(VLOOKUP(F7351,CARTON_LOOKUP!$A:$E,2,0),"")</f>
      </c>
      <c r="K7351" s="29">
        <f>IFERROR(J7351*D7351,0)</f>
      </c>
      <c r="L7351" s="29">
        <f>IFERROR(E7351*C7351,0)</f>
      </c>
      <c r="M7351" s="29">
        <f>IFERROR((G7351*H7351*I7351/1000000)*D7351,0)</f>
      </c>
    </row>
    <row r="7352" spans="1:13" x14ac:dyDescent="0.25">
      <c r="A7352" s="16"/>
      <c r="E7352" s="27"/>
      <c r="F7352" t="s">
        <v>26</v>
      </c>
      <c r="G7352" s="28">
        <f>IFERROR(VLOOKUP(F7352,CARTON_LOOKUP!$A:$E,3,0),"")</f>
      </c>
      <c r="H7352" s="28">
        <f>IFERROR(VLOOKUP(F7352,CARTON_LOOKUP!$A:$E,4,0),"")</f>
      </c>
      <c r="I7352" s="28">
        <f>IFERROR(VLOOKUP(F7352,CARTON_LOOKUP!$A:$E,5,0),"")</f>
      </c>
      <c r="J7352" s="29">
        <f>IFERROR(VLOOKUP(F7352,CARTON_LOOKUP!$A:$E,2,0),"")</f>
      </c>
      <c r="K7352" s="29">
        <f>IFERROR(J7352*D7352,0)</f>
      </c>
      <c r="L7352" s="29">
        <f>IFERROR(E7352*C7352,0)</f>
      </c>
      <c r="M7352" s="29">
        <f>IFERROR((G7352*H7352*I7352/1000000)*D7352,0)</f>
      </c>
    </row>
    <row r="7353" spans="1:13" x14ac:dyDescent="0.25">
      <c r="A7353" s="16"/>
      <c r="E7353" s="27"/>
      <c r="F7353" t="s">
        <v>26</v>
      </c>
      <c r="G7353" s="28">
        <f>IFERROR(VLOOKUP(F7353,CARTON_LOOKUP!$A:$E,3,0),"")</f>
      </c>
      <c r="H7353" s="28">
        <f>IFERROR(VLOOKUP(F7353,CARTON_LOOKUP!$A:$E,4,0),"")</f>
      </c>
      <c r="I7353" s="28">
        <f>IFERROR(VLOOKUP(F7353,CARTON_LOOKUP!$A:$E,5,0),"")</f>
      </c>
      <c r="J7353" s="29">
        <f>IFERROR(VLOOKUP(F7353,CARTON_LOOKUP!$A:$E,2,0),"")</f>
      </c>
      <c r="K7353" s="29">
        <f>IFERROR(J7353*D7353,0)</f>
      </c>
      <c r="L7353" s="29">
        <f>IFERROR(E7353*C7353,0)</f>
      </c>
      <c r="M7353" s="29">
        <f>IFERROR((G7353*H7353*I7353/1000000)*D7353,0)</f>
      </c>
    </row>
    <row r="7354" spans="1:13" x14ac:dyDescent="0.25">
      <c r="A7354" s="16"/>
      <c r="E7354" s="27"/>
      <c r="F7354" t="s">
        <v>26</v>
      </c>
      <c r="G7354" s="28">
        <f>IFERROR(VLOOKUP(F7354,CARTON_LOOKUP!$A:$E,3,0),"")</f>
      </c>
      <c r="H7354" s="28">
        <f>IFERROR(VLOOKUP(F7354,CARTON_LOOKUP!$A:$E,4,0),"")</f>
      </c>
      <c r="I7354" s="28">
        <f>IFERROR(VLOOKUP(F7354,CARTON_LOOKUP!$A:$E,5,0),"")</f>
      </c>
      <c r="J7354" s="29">
        <f>IFERROR(VLOOKUP(F7354,CARTON_LOOKUP!$A:$E,2,0),"")</f>
      </c>
      <c r="K7354" s="29">
        <f>IFERROR(J7354*D7354,0)</f>
      </c>
      <c r="L7354" s="29">
        <f>IFERROR(E7354*C7354,0)</f>
      </c>
      <c r="M7354" s="29">
        <f>IFERROR((G7354*H7354*I7354/1000000)*D7354,0)</f>
      </c>
    </row>
    <row r="7355" spans="1:13" x14ac:dyDescent="0.25">
      <c r="A7355" s="16"/>
      <c r="E7355" s="27"/>
      <c r="F7355" t="s">
        <v>26</v>
      </c>
      <c r="G7355" s="28">
        <f>IFERROR(VLOOKUP(F7355,CARTON_LOOKUP!$A:$E,3,0),"")</f>
      </c>
      <c r="H7355" s="28">
        <f>IFERROR(VLOOKUP(F7355,CARTON_LOOKUP!$A:$E,4,0),"")</f>
      </c>
      <c r="I7355" s="28">
        <f>IFERROR(VLOOKUP(F7355,CARTON_LOOKUP!$A:$E,5,0),"")</f>
      </c>
      <c r="J7355" s="29">
        <f>IFERROR(VLOOKUP(F7355,CARTON_LOOKUP!$A:$E,2,0),"")</f>
      </c>
      <c r="K7355" s="29">
        <f>IFERROR(J7355*D7355,0)</f>
      </c>
      <c r="L7355" s="29">
        <f>IFERROR(E7355*C7355,0)</f>
      </c>
      <c r="M7355" s="29">
        <f>IFERROR((G7355*H7355*I7355/1000000)*D7355,0)</f>
      </c>
    </row>
    <row r="7356" spans="1:13" x14ac:dyDescent="0.25">
      <c r="A7356" s="16"/>
      <c r="E7356" s="27"/>
      <c r="F7356" t="s">
        <v>26</v>
      </c>
      <c r="G7356" s="28">
        <f>IFERROR(VLOOKUP(F7356,CARTON_LOOKUP!$A:$E,3,0),"")</f>
      </c>
      <c r="H7356" s="28">
        <f>IFERROR(VLOOKUP(F7356,CARTON_LOOKUP!$A:$E,4,0),"")</f>
      </c>
      <c r="I7356" s="28">
        <f>IFERROR(VLOOKUP(F7356,CARTON_LOOKUP!$A:$E,5,0),"")</f>
      </c>
      <c r="J7356" s="29">
        <f>IFERROR(VLOOKUP(F7356,CARTON_LOOKUP!$A:$E,2,0),"")</f>
      </c>
      <c r="K7356" s="29">
        <f>IFERROR(J7356*D7356,0)</f>
      </c>
      <c r="L7356" s="29">
        <f>IFERROR(E7356*C7356,0)</f>
      </c>
      <c r="M7356" s="29">
        <f>IFERROR((G7356*H7356*I7356/1000000)*D7356,0)</f>
      </c>
    </row>
    <row r="7357" spans="1:13" x14ac:dyDescent="0.25">
      <c r="A7357" s="16"/>
      <c r="E7357" s="27"/>
      <c r="F7357" t="s">
        <v>26</v>
      </c>
      <c r="G7357" s="28">
        <f>IFERROR(VLOOKUP(F7357,CARTON_LOOKUP!$A:$E,3,0),"")</f>
      </c>
      <c r="H7357" s="28">
        <f>IFERROR(VLOOKUP(F7357,CARTON_LOOKUP!$A:$E,4,0),"")</f>
      </c>
      <c r="I7357" s="28">
        <f>IFERROR(VLOOKUP(F7357,CARTON_LOOKUP!$A:$E,5,0),"")</f>
      </c>
      <c r="J7357" s="29">
        <f>IFERROR(VLOOKUP(F7357,CARTON_LOOKUP!$A:$E,2,0),"")</f>
      </c>
      <c r="K7357" s="29">
        <f>IFERROR(J7357*D7357,0)</f>
      </c>
      <c r="L7357" s="29">
        <f>IFERROR(E7357*C7357,0)</f>
      </c>
      <c r="M7357" s="29">
        <f>IFERROR((G7357*H7357*I7357/1000000)*D7357,0)</f>
      </c>
    </row>
    <row r="7358" spans="1:13" x14ac:dyDescent="0.25">
      <c r="A7358" s="16"/>
      <c r="E7358" s="27"/>
      <c r="F7358" t="s">
        <v>26</v>
      </c>
      <c r="G7358" s="28">
        <f>IFERROR(VLOOKUP(F7358,CARTON_LOOKUP!$A:$E,3,0),"")</f>
      </c>
      <c r="H7358" s="28">
        <f>IFERROR(VLOOKUP(F7358,CARTON_LOOKUP!$A:$E,4,0),"")</f>
      </c>
      <c r="I7358" s="28">
        <f>IFERROR(VLOOKUP(F7358,CARTON_LOOKUP!$A:$E,5,0),"")</f>
      </c>
      <c r="J7358" s="29">
        <f>IFERROR(VLOOKUP(F7358,CARTON_LOOKUP!$A:$E,2,0),"")</f>
      </c>
      <c r="K7358" s="29">
        <f>IFERROR(J7358*D7358,0)</f>
      </c>
      <c r="L7358" s="29">
        <f>IFERROR(E7358*C7358,0)</f>
      </c>
      <c r="M7358" s="29">
        <f>IFERROR((G7358*H7358*I7358/1000000)*D7358,0)</f>
      </c>
    </row>
    <row r="7359" spans="1:13" x14ac:dyDescent="0.25">
      <c r="A7359" s="16"/>
      <c r="E7359" s="27"/>
      <c r="F7359" t="s">
        <v>26</v>
      </c>
      <c r="G7359" s="28">
        <f>IFERROR(VLOOKUP(F7359,CARTON_LOOKUP!$A:$E,3,0),"")</f>
      </c>
      <c r="H7359" s="28">
        <f>IFERROR(VLOOKUP(F7359,CARTON_LOOKUP!$A:$E,4,0),"")</f>
      </c>
      <c r="I7359" s="28">
        <f>IFERROR(VLOOKUP(F7359,CARTON_LOOKUP!$A:$E,5,0),"")</f>
      </c>
      <c r="J7359" s="29">
        <f>IFERROR(VLOOKUP(F7359,CARTON_LOOKUP!$A:$E,2,0),"")</f>
      </c>
      <c r="K7359" s="29">
        <f>IFERROR(J7359*D7359,0)</f>
      </c>
      <c r="L7359" s="29">
        <f>IFERROR(E7359*C7359,0)</f>
      </c>
      <c r="M7359" s="29">
        <f>IFERROR((G7359*H7359*I7359/1000000)*D7359,0)</f>
      </c>
    </row>
    <row r="7360" spans="1:13" x14ac:dyDescent="0.25">
      <c r="A7360" s="16"/>
      <c r="E7360" s="27"/>
      <c r="F7360" t="s">
        <v>26</v>
      </c>
      <c r="G7360" s="28">
        <f>IFERROR(VLOOKUP(F7360,CARTON_LOOKUP!$A:$E,3,0),"")</f>
      </c>
      <c r="H7360" s="28">
        <f>IFERROR(VLOOKUP(F7360,CARTON_LOOKUP!$A:$E,4,0),"")</f>
      </c>
      <c r="I7360" s="28">
        <f>IFERROR(VLOOKUP(F7360,CARTON_LOOKUP!$A:$E,5,0),"")</f>
      </c>
      <c r="J7360" s="29">
        <f>IFERROR(VLOOKUP(F7360,CARTON_LOOKUP!$A:$E,2,0),"")</f>
      </c>
      <c r="K7360" s="29">
        <f>IFERROR(J7360*D7360,0)</f>
      </c>
      <c r="L7360" s="29">
        <f>IFERROR(E7360*C7360,0)</f>
      </c>
      <c r="M7360" s="29">
        <f>IFERROR((G7360*H7360*I7360/1000000)*D7360,0)</f>
      </c>
    </row>
    <row r="7361" spans="1:13" x14ac:dyDescent="0.25">
      <c r="A7361" s="16"/>
      <c r="E7361" s="27"/>
      <c r="F7361" t="s">
        <v>26</v>
      </c>
      <c r="G7361" s="28">
        <f>IFERROR(VLOOKUP(F7361,CARTON_LOOKUP!$A:$E,3,0),"")</f>
      </c>
      <c r="H7361" s="28">
        <f>IFERROR(VLOOKUP(F7361,CARTON_LOOKUP!$A:$E,4,0),"")</f>
      </c>
      <c r="I7361" s="28">
        <f>IFERROR(VLOOKUP(F7361,CARTON_LOOKUP!$A:$E,5,0),"")</f>
      </c>
      <c r="J7361" s="29">
        <f>IFERROR(VLOOKUP(F7361,CARTON_LOOKUP!$A:$E,2,0),"")</f>
      </c>
      <c r="K7361" s="29">
        <f>IFERROR(J7361*D7361,0)</f>
      </c>
      <c r="L7361" s="29">
        <f>IFERROR(E7361*C7361,0)</f>
      </c>
      <c r="M7361" s="29">
        <f>IFERROR((G7361*H7361*I7361/1000000)*D7361,0)</f>
      </c>
    </row>
    <row r="7362" spans="1:13" x14ac:dyDescent="0.25">
      <c r="A7362" s="16"/>
      <c r="E7362" s="27"/>
      <c r="F7362" t="s">
        <v>26</v>
      </c>
      <c r="G7362" s="28">
        <f>IFERROR(VLOOKUP(F7362,CARTON_LOOKUP!$A:$E,3,0),"")</f>
      </c>
      <c r="H7362" s="28">
        <f>IFERROR(VLOOKUP(F7362,CARTON_LOOKUP!$A:$E,4,0),"")</f>
      </c>
      <c r="I7362" s="28">
        <f>IFERROR(VLOOKUP(F7362,CARTON_LOOKUP!$A:$E,5,0),"")</f>
      </c>
      <c r="J7362" s="29">
        <f>IFERROR(VLOOKUP(F7362,CARTON_LOOKUP!$A:$E,2,0),"")</f>
      </c>
      <c r="K7362" s="29">
        <f>IFERROR(J7362*D7362,0)</f>
      </c>
      <c r="L7362" s="29">
        <f>IFERROR(E7362*C7362,0)</f>
      </c>
      <c r="M7362" s="29">
        <f>IFERROR((G7362*H7362*I7362/1000000)*D7362,0)</f>
      </c>
    </row>
    <row r="7363" spans="1:13" x14ac:dyDescent="0.25">
      <c r="A7363" s="16"/>
      <c r="E7363" s="27"/>
      <c r="F7363" t="s">
        <v>26</v>
      </c>
      <c r="G7363" s="28">
        <f>IFERROR(VLOOKUP(F7363,CARTON_LOOKUP!$A:$E,3,0),"")</f>
      </c>
      <c r="H7363" s="28">
        <f>IFERROR(VLOOKUP(F7363,CARTON_LOOKUP!$A:$E,4,0),"")</f>
      </c>
      <c r="I7363" s="28">
        <f>IFERROR(VLOOKUP(F7363,CARTON_LOOKUP!$A:$E,5,0),"")</f>
      </c>
      <c r="J7363" s="29">
        <f>IFERROR(VLOOKUP(F7363,CARTON_LOOKUP!$A:$E,2,0),"")</f>
      </c>
      <c r="K7363" s="29">
        <f>IFERROR(J7363*D7363,0)</f>
      </c>
      <c r="L7363" s="29">
        <f>IFERROR(E7363*C7363,0)</f>
      </c>
      <c r="M7363" s="29">
        <f>IFERROR((G7363*H7363*I7363/1000000)*D7363,0)</f>
      </c>
    </row>
    <row r="7364" spans="1:13" x14ac:dyDescent="0.25">
      <c r="A7364" s="16"/>
      <c r="E7364" s="27"/>
      <c r="F7364" t="s">
        <v>26</v>
      </c>
      <c r="G7364" s="28">
        <f>IFERROR(VLOOKUP(F7364,CARTON_LOOKUP!$A:$E,3,0),"")</f>
      </c>
      <c r="H7364" s="28">
        <f>IFERROR(VLOOKUP(F7364,CARTON_LOOKUP!$A:$E,4,0),"")</f>
      </c>
      <c r="I7364" s="28">
        <f>IFERROR(VLOOKUP(F7364,CARTON_LOOKUP!$A:$E,5,0),"")</f>
      </c>
      <c r="J7364" s="29">
        <f>IFERROR(VLOOKUP(F7364,CARTON_LOOKUP!$A:$E,2,0),"")</f>
      </c>
      <c r="K7364" s="29">
        <f>IFERROR(J7364*D7364,0)</f>
      </c>
      <c r="L7364" s="29">
        <f>IFERROR(E7364*C7364,0)</f>
      </c>
      <c r="M7364" s="29">
        <f>IFERROR((G7364*H7364*I7364/1000000)*D7364,0)</f>
      </c>
    </row>
    <row r="7365" spans="1:13" x14ac:dyDescent="0.25">
      <c r="A7365" s="16"/>
      <c r="E7365" s="27"/>
      <c r="F7365" t="s">
        <v>26</v>
      </c>
      <c r="G7365" s="28">
        <f>IFERROR(VLOOKUP(F7365,CARTON_LOOKUP!$A:$E,3,0),"")</f>
      </c>
      <c r="H7365" s="28">
        <f>IFERROR(VLOOKUP(F7365,CARTON_LOOKUP!$A:$E,4,0),"")</f>
      </c>
      <c r="I7365" s="28">
        <f>IFERROR(VLOOKUP(F7365,CARTON_LOOKUP!$A:$E,5,0),"")</f>
      </c>
      <c r="J7365" s="29">
        <f>IFERROR(VLOOKUP(F7365,CARTON_LOOKUP!$A:$E,2,0),"")</f>
      </c>
      <c r="K7365" s="29">
        <f>IFERROR(J7365*D7365,0)</f>
      </c>
      <c r="L7365" s="29">
        <f>IFERROR(E7365*C7365,0)</f>
      </c>
      <c r="M7365" s="29">
        <f>IFERROR((G7365*H7365*I7365/1000000)*D7365,0)</f>
      </c>
    </row>
    <row r="7366" spans="1:13" x14ac:dyDescent="0.25">
      <c r="A7366" s="16"/>
      <c r="E7366" s="27"/>
      <c r="F7366" t="s">
        <v>26</v>
      </c>
      <c r="G7366" s="28">
        <f>IFERROR(VLOOKUP(F7366,CARTON_LOOKUP!$A:$E,3,0),"")</f>
      </c>
      <c r="H7366" s="28">
        <f>IFERROR(VLOOKUP(F7366,CARTON_LOOKUP!$A:$E,4,0),"")</f>
      </c>
      <c r="I7366" s="28">
        <f>IFERROR(VLOOKUP(F7366,CARTON_LOOKUP!$A:$E,5,0),"")</f>
      </c>
      <c r="J7366" s="29">
        <f>IFERROR(VLOOKUP(F7366,CARTON_LOOKUP!$A:$E,2,0),"")</f>
      </c>
      <c r="K7366" s="29">
        <f>IFERROR(J7366*D7366,0)</f>
      </c>
      <c r="L7366" s="29">
        <f>IFERROR(E7366*C7366,0)</f>
      </c>
      <c r="M7366" s="29">
        <f>IFERROR((G7366*H7366*I7366/1000000)*D7366,0)</f>
      </c>
    </row>
    <row r="7367" spans="1:13" x14ac:dyDescent="0.25">
      <c r="A7367" s="16"/>
      <c r="E7367" s="27"/>
      <c r="F7367" t="s">
        <v>26</v>
      </c>
      <c r="G7367" s="28">
        <f>IFERROR(VLOOKUP(F7367,CARTON_LOOKUP!$A:$E,3,0),"")</f>
      </c>
      <c r="H7367" s="28">
        <f>IFERROR(VLOOKUP(F7367,CARTON_LOOKUP!$A:$E,4,0),"")</f>
      </c>
      <c r="I7367" s="28">
        <f>IFERROR(VLOOKUP(F7367,CARTON_LOOKUP!$A:$E,5,0),"")</f>
      </c>
      <c r="J7367" s="29">
        <f>IFERROR(VLOOKUP(F7367,CARTON_LOOKUP!$A:$E,2,0),"")</f>
      </c>
      <c r="K7367" s="29">
        <f>IFERROR(J7367*D7367,0)</f>
      </c>
      <c r="L7367" s="29">
        <f>IFERROR(E7367*C7367,0)</f>
      </c>
      <c r="M7367" s="29">
        <f>IFERROR((G7367*H7367*I7367/1000000)*D7367,0)</f>
      </c>
    </row>
    <row r="7368" spans="1:13" x14ac:dyDescent="0.25">
      <c r="A7368" s="16"/>
      <c r="E7368" s="27"/>
      <c r="F7368" t="s">
        <v>26</v>
      </c>
      <c r="G7368" s="28">
        <f>IFERROR(VLOOKUP(F7368,CARTON_LOOKUP!$A:$E,3,0),"")</f>
      </c>
      <c r="H7368" s="28">
        <f>IFERROR(VLOOKUP(F7368,CARTON_LOOKUP!$A:$E,4,0),"")</f>
      </c>
      <c r="I7368" s="28">
        <f>IFERROR(VLOOKUP(F7368,CARTON_LOOKUP!$A:$E,5,0),"")</f>
      </c>
      <c r="J7368" s="29">
        <f>IFERROR(VLOOKUP(F7368,CARTON_LOOKUP!$A:$E,2,0),"")</f>
      </c>
      <c r="K7368" s="29">
        <f>IFERROR(J7368*D7368,0)</f>
      </c>
      <c r="L7368" s="29">
        <f>IFERROR(E7368*C7368,0)</f>
      </c>
      <c r="M7368" s="29">
        <f>IFERROR((G7368*H7368*I7368/1000000)*D7368,0)</f>
      </c>
    </row>
    <row r="7369" spans="1:13" x14ac:dyDescent="0.25">
      <c r="A7369" s="16"/>
      <c r="E7369" s="27"/>
      <c r="F7369" t="s">
        <v>26</v>
      </c>
      <c r="G7369" s="28">
        <f>IFERROR(VLOOKUP(F7369,CARTON_LOOKUP!$A:$E,3,0),"")</f>
      </c>
      <c r="H7369" s="28">
        <f>IFERROR(VLOOKUP(F7369,CARTON_LOOKUP!$A:$E,4,0),"")</f>
      </c>
      <c r="I7369" s="28">
        <f>IFERROR(VLOOKUP(F7369,CARTON_LOOKUP!$A:$E,5,0),"")</f>
      </c>
      <c r="J7369" s="29">
        <f>IFERROR(VLOOKUP(F7369,CARTON_LOOKUP!$A:$E,2,0),"")</f>
      </c>
      <c r="K7369" s="29">
        <f>IFERROR(J7369*D7369,0)</f>
      </c>
      <c r="L7369" s="29">
        <f>IFERROR(E7369*C7369,0)</f>
      </c>
      <c r="M7369" s="29">
        <f>IFERROR((G7369*H7369*I7369/1000000)*D7369,0)</f>
      </c>
    </row>
    <row r="7370" spans="1:13" x14ac:dyDescent="0.25">
      <c r="A7370" s="16"/>
      <c r="E7370" s="27"/>
      <c r="F7370" t="s">
        <v>26</v>
      </c>
      <c r="G7370" s="28">
        <f>IFERROR(VLOOKUP(F7370,CARTON_LOOKUP!$A:$E,3,0),"")</f>
      </c>
      <c r="H7370" s="28">
        <f>IFERROR(VLOOKUP(F7370,CARTON_LOOKUP!$A:$E,4,0),"")</f>
      </c>
      <c r="I7370" s="28">
        <f>IFERROR(VLOOKUP(F7370,CARTON_LOOKUP!$A:$E,5,0),"")</f>
      </c>
      <c r="J7370" s="29">
        <f>IFERROR(VLOOKUP(F7370,CARTON_LOOKUP!$A:$E,2,0),"")</f>
      </c>
      <c r="K7370" s="29">
        <f>IFERROR(J7370*D7370,0)</f>
      </c>
      <c r="L7370" s="29">
        <f>IFERROR(E7370*C7370,0)</f>
      </c>
      <c r="M7370" s="29">
        <f>IFERROR((G7370*H7370*I7370/1000000)*D7370,0)</f>
      </c>
    </row>
    <row r="7371" spans="1:13" x14ac:dyDescent="0.25">
      <c r="A7371" s="16"/>
      <c r="E7371" s="27"/>
      <c r="F7371" t="s">
        <v>26</v>
      </c>
      <c r="G7371" s="28">
        <f>IFERROR(VLOOKUP(F7371,CARTON_LOOKUP!$A:$E,3,0),"")</f>
      </c>
      <c r="H7371" s="28">
        <f>IFERROR(VLOOKUP(F7371,CARTON_LOOKUP!$A:$E,4,0),"")</f>
      </c>
      <c r="I7371" s="28">
        <f>IFERROR(VLOOKUP(F7371,CARTON_LOOKUP!$A:$E,5,0),"")</f>
      </c>
      <c r="J7371" s="29">
        <f>IFERROR(VLOOKUP(F7371,CARTON_LOOKUP!$A:$E,2,0),"")</f>
      </c>
      <c r="K7371" s="29">
        <f>IFERROR(J7371*D7371,0)</f>
      </c>
      <c r="L7371" s="29">
        <f>IFERROR(E7371*C7371,0)</f>
      </c>
      <c r="M7371" s="29">
        <f>IFERROR((G7371*H7371*I7371/1000000)*D7371,0)</f>
      </c>
    </row>
    <row r="7372" spans="1:13" x14ac:dyDescent="0.25">
      <c r="A7372" s="16"/>
      <c r="E7372" s="27"/>
      <c r="F7372" t="s">
        <v>26</v>
      </c>
      <c r="G7372" s="28">
        <f>IFERROR(VLOOKUP(F7372,CARTON_LOOKUP!$A:$E,3,0),"")</f>
      </c>
      <c r="H7372" s="28">
        <f>IFERROR(VLOOKUP(F7372,CARTON_LOOKUP!$A:$E,4,0),"")</f>
      </c>
      <c r="I7372" s="28">
        <f>IFERROR(VLOOKUP(F7372,CARTON_LOOKUP!$A:$E,5,0),"")</f>
      </c>
      <c r="J7372" s="29">
        <f>IFERROR(VLOOKUP(F7372,CARTON_LOOKUP!$A:$E,2,0),"")</f>
      </c>
      <c r="K7372" s="29">
        <f>IFERROR(J7372*D7372,0)</f>
      </c>
      <c r="L7372" s="29">
        <f>IFERROR(E7372*C7372,0)</f>
      </c>
      <c r="M7372" s="29">
        <f>IFERROR((G7372*H7372*I7372/1000000)*D7372,0)</f>
      </c>
    </row>
    <row r="7373" spans="1:13" x14ac:dyDescent="0.25">
      <c r="A7373" s="16"/>
      <c r="E7373" s="27"/>
      <c r="F7373" t="s">
        <v>26</v>
      </c>
      <c r="G7373" s="28">
        <f>IFERROR(VLOOKUP(F7373,CARTON_LOOKUP!$A:$E,3,0),"")</f>
      </c>
      <c r="H7373" s="28">
        <f>IFERROR(VLOOKUP(F7373,CARTON_LOOKUP!$A:$E,4,0),"")</f>
      </c>
      <c r="I7373" s="28">
        <f>IFERROR(VLOOKUP(F7373,CARTON_LOOKUP!$A:$E,5,0),"")</f>
      </c>
      <c r="J7373" s="29">
        <f>IFERROR(VLOOKUP(F7373,CARTON_LOOKUP!$A:$E,2,0),"")</f>
      </c>
      <c r="K7373" s="29">
        <f>IFERROR(J7373*D7373,0)</f>
      </c>
      <c r="L7373" s="29">
        <f>IFERROR(E7373*C7373,0)</f>
      </c>
      <c r="M7373" s="29">
        <f>IFERROR((G7373*H7373*I7373/1000000)*D7373,0)</f>
      </c>
    </row>
    <row r="7374" spans="1:13" x14ac:dyDescent="0.25">
      <c r="A7374" s="16"/>
      <c r="E7374" s="27"/>
      <c r="F7374" t="s">
        <v>26</v>
      </c>
      <c r="G7374" s="28">
        <f>IFERROR(VLOOKUP(F7374,CARTON_LOOKUP!$A:$E,3,0),"")</f>
      </c>
      <c r="H7374" s="28">
        <f>IFERROR(VLOOKUP(F7374,CARTON_LOOKUP!$A:$E,4,0),"")</f>
      </c>
      <c r="I7374" s="28">
        <f>IFERROR(VLOOKUP(F7374,CARTON_LOOKUP!$A:$E,5,0),"")</f>
      </c>
      <c r="J7374" s="29">
        <f>IFERROR(VLOOKUP(F7374,CARTON_LOOKUP!$A:$E,2,0),"")</f>
      </c>
      <c r="K7374" s="29">
        <f>IFERROR(J7374*D7374,0)</f>
      </c>
      <c r="L7374" s="29">
        <f>IFERROR(E7374*C7374,0)</f>
      </c>
      <c r="M7374" s="29">
        <f>IFERROR((G7374*H7374*I7374/1000000)*D7374,0)</f>
      </c>
    </row>
    <row r="7375" spans="1:13" x14ac:dyDescent="0.25">
      <c r="A7375" s="16"/>
      <c r="E7375" s="27"/>
      <c r="F7375" t="s">
        <v>26</v>
      </c>
      <c r="G7375" s="28">
        <f>IFERROR(VLOOKUP(F7375,CARTON_LOOKUP!$A:$E,3,0),"")</f>
      </c>
      <c r="H7375" s="28">
        <f>IFERROR(VLOOKUP(F7375,CARTON_LOOKUP!$A:$E,4,0),"")</f>
      </c>
      <c r="I7375" s="28">
        <f>IFERROR(VLOOKUP(F7375,CARTON_LOOKUP!$A:$E,5,0),"")</f>
      </c>
      <c r="J7375" s="29">
        <f>IFERROR(VLOOKUP(F7375,CARTON_LOOKUP!$A:$E,2,0),"")</f>
      </c>
      <c r="K7375" s="29">
        <f>IFERROR(J7375*D7375,0)</f>
      </c>
      <c r="L7375" s="29">
        <f>IFERROR(E7375*C7375,0)</f>
      </c>
      <c r="M7375" s="29">
        <f>IFERROR((G7375*H7375*I7375/1000000)*D7375,0)</f>
      </c>
    </row>
    <row r="7376" spans="1:13" x14ac:dyDescent="0.25">
      <c r="A7376" s="16"/>
      <c r="E7376" s="27"/>
      <c r="F7376" t="s">
        <v>26</v>
      </c>
      <c r="G7376" s="28">
        <f>IFERROR(VLOOKUP(F7376,CARTON_LOOKUP!$A:$E,3,0),"")</f>
      </c>
      <c r="H7376" s="28">
        <f>IFERROR(VLOOKUP(F7376,CARTON_LOOKUP!$A:$E,4,0),"")</f>
      </c>
      <c r="I7376" s="28">
        <f>IFERROR(VLOOKUP(F7376,CARTON_LOOKUP!$A:$E,5,0),"")</f>
      </c>
      <c r="J7376" s="29">
        <f>IFERROR(VLOOKUP(F7376,CARTON_LOOKUP!$A:$E,2,0),"")</f>
      </c>
      <c r="K7376" s="29">
        <f>IFERROR(J7376*D7376,0)</f>
      </c>
      <c r="L7376" s="29">
        <f>IFERROR(E7376*C7376,0)</f>
      </c>
      <c r="M7376" s="29">
        <f>IFERROR((G7376*H7376*I7376/1000000)*D7376,0)</f>
      </c>
    </row>
    <row r="7377" spans="1:13" x14ac:dyDescent="0.25">
      <c r="A7377" s="16"/>
      <c r="E7377" s="27"/>
      <c r="F7377" t="s">
        <v>26</v>
      </c>
      <c r="G7377" s="28">
        <f>IFERROR(VLOOKUP(F7377,CARTON_LOOKUP!$A:$E,3,0),"")</f>
      </c>
      <c r="H7377" s="28">
        <f>IFERROR(VLOOKUP(F7377,CARTON_LOOKUP!$A:$E,4,0),"")</f>
      </c>
      <c r="I7377" s="28">
        <f>IFERROR(VLOOKUP(F7377,CARTON_LOOKUP!$A:$E,5,0),"")</f>
      </c>
      <c r="J7377" s="29">
        <f>IFERROR(VLOOKUP(F7377,CARTON_LOOKUP!$A:$E,2,0),"")</f>
      </c>
      <c r="K7377" s="29">
        <f>IFERROR(J7377*D7377,0)</f>
      </c>
      <c r="L7377" s="29">
        <f>IFERROR(E7377*C7377,0)</f>
      </c>
      <c r="M7377" s="29">
        <f>IFERROR((G7377*H7377*I7377/1000000)*D7377,0)</f>
      </c>
    </row>
    <row r="7378" spans="1:13" x14ac:dyDescent="0.25">
      <c r="A7378" s="16"/>
      <c r="E7378" s="27"/>
      <c r="F7378" t="s">
        <v>26</v>
      </c>
      <c r="G7378" s="28">
        <f>IFERROR(VLOOKUP(F7378,CARTON_LOOKUP!$A:$E,3,0),"")</f>
      </c>
      <c r="H7378" s="28">
        <f>IFERROR(VLOOKUP(F7378,CARTON_LOOKUP!$A:$E,4,0),"")</f>
      </c>
      <c r="I7378" s="28">
        <f>IFERROR(VLOOKUP(F7378,CARTON_LOOKUP!$A:$E,5,0),"")</f>
      </c>
      <c r="J7378" s="29">
        <f>IFERROR(VLOOKUP(F7378,CARTON_LOOKUP!$A:$E,2,0),"")</f>
      </c>
      <c r="K7378" s="29">
        <f>IFERROR(J7378*D7378,0)</f>
      </c>
      <c r="L7378" s="29">
        <f>IFERROR(E7378*C7378,0)</f>
      </c>
      <c r="M7378" s="29">
        <f>IFERROR((G7378*H7378*I7378/1000000)*D7378,0)</f>
      </c>
    </row>
    <row r="7379" spans="1:13" x14ac:dyDescent="0.25">
      <c r="A7379" s="16"/>
      <c r="E7379" s="27"/>
      <c r="F7379" t="s">
        <v>26</v>
      </c>
      <c r="G7379" s="28">
        <f>IFERROR(VLOOKUP(F7379,CARTON_LOOKUP!$A:$E,3,0),"")</f>
      </c>
      <c r="H7379" s="28">
        <f>IFERROR(VLOOKUP(F7379,CARTON_LOOKUP!$A:$E,4,0),"")</f>
      </c>
      <c r="I7379" s="28">
        <f>IFERROR(VLOOKUP(F7379,CARTON_LOOKUP!$A:$E,5,0),"")</f>
      </c>
      <c r="J7379" s="29">
        <f>IFERROR(VLOOKUP(F7379,CARTON_LOOKUP!$A:$E,2,0),"")</f>
      </c>
      <c r="K7379" s="29">
        <f>IFERROR(J7379*D7379,0)</f>
      </c>
      <c r="L7379" s="29">
        <f>IFERROR(E7379*C7379,0)</f>
      </c>
      <c r="M7379" s="29">
        <f>IFERROR((G7379*H7379*I7379/1000000)*D7379,0)</f>
      </c>
    </row>
    <row r="7380" spans="1:13" x14ac:dyDescent="0.25">
      <c r="A7380" s="16"/>
      <c r="E7380" s="27"/>
      <c r="F7380" t="s">
        <v>26</v>
      </c>
      <c r="G7380" s="28">
        <f>IFERROR(VLOOKUP(F7380,CARTON_LOOKUP!$A:$E,3,0),"")</f>
      </c>
      <c r="H7380" s="28">
        <f>IFERROR(VLOOKUP(F7380,CARTON_LOOKUP!$A:$E,4,0),"")</f>
      </c>
      <c r="I7380" s="28">
        <f>IFERROR(VLOOKUP(F7380,CARTON_LOOKUP!$A:$E,5,0),"")</f>
      </c>
      <c r="J7380" s="29">
        <f>IFERROR(VLOOKUP(F7380,CARTON_LOOKUP!$A:$E,2,0),"")</f>
      </c>
      <c r="K7380" s="29">
        <f>IFERROR(J7380*D7380,0)</f>
      </c>
      <c r="L7380" s="29">
        <f>IFERROR(E7380*C7380,0)</f>
      </c>
      <c r="M7380" s="29">
        <f>IFERROR((G7380*H7380*I7380/1000000)*D7380,0)</f>
      </c>
    </row>
    <row r="7381" spans="1:13" x14ac:dyDescent="0.25">
      <c r="A7381" s="16"/>
      <c r="E7381" s="27"/>
      <c r="F7381" t="s">
        <v>26</v>
      </c>
      <c r="G7381" s="28">
        <f>IFERROR(VLOOKUP(F7381,CARTON_LOOKUP!$A:$E,3,0),"")</f>
      </c>
      <c r="H7381" s="28">
        <f>IFERROR(VLOOKUP(F7381,CARTON_LOOKUP!$A:$E,4,0),"")</f>
      </c>
      <c r="I7381" s="28">
        <f>IFERROR(VLOOKUP(F7381,CARTON_LOOKUP!$A:$E,5,0),"")</f>
      </c>
      <c r="J7381" s="29">
        <f>IFERROR(VLOOKUP(F7381,CARTON_LOOKUP!$A:$E,2,0),"")</f>
      </c>
      <c r="K7381" s="29">
        <f>IFERROR(J7381*D7381,0)</f>
      </c>
      <c r="L7381" s="29">
        <f>IFERROR(E7381*C7381,0)</f>
      </c>
      <c r="M7381" s="29">
        <f>IFERROR((G7381*H7381*I7381/1000000)*D7381,0)</f>
      </c>
    </row>
    <row r="7382" spans="1:13" x14ac:dyDescent="0.25">
      <c r="A7382" s="16"/>
      <c r="E7382" s="27"/>
      <c r="F7382" t="s">
        <v>26</v>
      </c>
      <c r="G7382" s="28">
        <f>IFERROR(VLOOKUP(F7382,CARTON_LOOKUP!$A:$E,3,0),"")</f>
      </c>
      <c r="H7382" s="28">
        <f>IFERROR(VLOOKUP(F7382,CARTON_LOOKUP!$A:$E,4,0),"")</f>
      </c>
      <c r="I7382" s="28">
        <f>IFERROR(VLOOKUP(F7382,CARTON_LOOKUP!$A:$E,5,0),"")</f>
      </c>
      <c r="J7382" s="29">
        <f>IFERROR(VLOOKUP(F7382,CARTON_LOOKUP!$A:$E,2,0),"")</f>
      </c>
      <c r="K7382" s="29">
        <f>IFERROR(J7382*D7382,0)</f>
      </c>
      <c r="L7382" s="29">
        <f>IFERROR(E7382*C7382,0)</f>
      </c>
      <c r="M7382" s="29">
        <f>IFERROR((G7382*H7382*I7382/1000000)*D7382,0)</f>
      </c>
    </row>
    <row r="7383" spans="1:13" x14ac:dyDescent="0.25">
      <c r="A7383" s="16"/>
      <c r="E7383" s="27"/>
      <c r="F7383" t="s">
        <v>26</v>
      </c>
      <c r="G7383" s="28">
        <f>IFERROR(VLOOKUP(F7383,CARTON_LOOKUP!$A:$E,3,0),"")</f>
      </c>
      <c r="H7383" s="28">
        <f>IFERROR(VLOOKUP(F7383,CARTON_LOOKUP!$A:$E,4,0),"")</f>
      </c>
      <c r="I7383" s="28">
        <f>IFERROR(VLOOKUP(F7383,CARTON_LOOKUP!$A:$E,5,0),"")</f>
      </c>
      <c r="J7383" s="29">
        <f>IFERROR(VLOOKUP(F7383,CARTON_LOOKUP!$A:$E,2,0),"")</f>
      </c>
      <c r="K7383" s="29">
        <f>IFERROR(J7383*D7383,0)</f>
      </c>
      <c r="L7383" s="29">
        <f>IFERROR(E7383*C7383,0)</f>
      </c>
      <c r="M7383" s="29">
        <f>IFERROR((G7383*H7383*I7383/1000000)*D7383,0)</f>
      </c>
    </row>
    <row r="7384" spans="1:13" x14ac:dyDescent="0.25">
      <c r="A7384" s="16"/>
      <c r="E7384" s="27"/>
      <c r="F7384" t="s">
        <v>26</v>
      </c>
      <c r="G7384" s="28">
        <f>IFERROR(VLOOKUP(F7384,CARTON_LOOKUP!$A:$E,3,0),"")</f>
      </c>
      <c r="H7384" s="28">
        <f>IFERROR(VLOOKUP(F7384,CARTON_LOOKUP!$A:$E,4,0),"")</f>
      </c>
      <c r="I7384" s="28">
        <f>IFERROR(VLOOKUP(F7384,CARTON_LOOKUP!$A:$E,5,0),"")</f>
      </c>
      <c r="J7384" s="29">
        <f>IFERROR(VLOOKUP(F7384,CARTON_LOOKUP!$A:$E,2,0),"")</f>
      </c>
      <c r="K7384" s="29">
        <f>IFERROR(J7384*D7384,0)</f>
      </c>
      <c r="L7384" s="29">
        <f>IFERROR(E7384*C7384,0)</f>
      </c>
      <c r="M7384" s="29">
        <f>IFERROR((G7384*H7384*I7384/1000000)*D7384,0)</f>
      </c>
    </row>
    <row r="7385" spans="1:13" x14ac:dyDescent="0.25">
      <c r="A7385" s="16"/>
      <c r="E7385" s="27"/>
      <c r="F7385" t="s">
        <v>26</v>
      </c>
      <c r="G7385" s="28">
        <f>IFERROR(VLOOKUP(F7385,CARTON_LOOKUP!$A:$E,3,0),"")</f>
      </c>
      <c r="H7385" s="28">
        <f>IFERROR(VLOOKUP(F7385,CARTON_LOOKUP!$A:$E,4,0),"")</f>
      </c>
      <c r="I7385" s="28">
        <f>IFERROR(VLOOKUP(F7385,CARTON_LOOKUP!$A:$E,5,0),"")</f>
      </c>
      <c r="J7385" s="29">
        <f>IFERROR(VLOOKUP(F7385,CARTON_LOOKUP!$A:$E,2,0),"")</f>
      </c>
      <c r="K7385" s="29">
        <f>IFERROR(J7385*D7385,0)</f>
      </c>
      <c r="L7385" s="29">
        <f>IFERROR(E7385*C7385,0)</f>
      </c>
      <c r="M7385" s="29">
        <f>IFERROR((G7385*H7385*I7385/1000000)*D7385,0)</f>
      </c>
    </row>
    <row r="7386" spans="1:13" x14ac:dyDescent="0.25">
      <c r="A7386" s="16"/>
      <c r="E7386" s="27"/>
      <c r="F7386" t="s">
        <v>26</v>
      </c>
      <c r="G7386" s="28">
        <f>IFERROR(VLOOKUP(F7386,CARTON_LOOKUP!$A:$E,3,0),"")</f>
      </c>
      <c r="H7386" s="28">
        <f>IFERROR(VLOOKUP(F7386,CARTON_LOOKUP!$A:$E,4,0),"")</f>
      </c>
      <c r="I7386" s="28">
        <f>IFERROR(VLOOKUP(F7386,CARTON_LOOKUP!$A:$E,5,0),"")</f>
      </c>
      <c r="J7386" s="29">
        <f>IFERROR(VLOOKUP(F7386,CARTON_LOOKUP!$A:$E,2,0),"")</f>
      </c>
      <c r="K7386" s="29">
        <f>IFERROR(J7386*D7386,0)</f>
      </c>
      <c r="L7386" s="29">
        <f>IFERROR(E7386*C7386,0)</f>
      </c>
      <c r="M7386" s="29">
        <f>IFERROR((G7386*H7386*I7386/1000000)*D7386,0)</f>
      </c>
    </row>
    <row r="7387" spans="1:13" x14ac:dyDescent="0.25">
      <c r="A7387" s="16"/>
      <c r="E7387" s="27"/>
      <c r="F7387" t="s">
        <v>26</v>
      </c>
      <c r="G7387" s="28">
        <f>IFERROR(VLOOKUP(F7387,CARTON_LOOKUP!$A:$E,3,0),"")</f>
      </c>
      <c r="H7387" s="28">
        <f>IFERROR(VLOOKUP(F7387,CARTON_LOOKUP!$A:$E,4,0),"")</f>
      </c>
      <c r="I7387" s="28">
        <f>IFERROR(VLOOKUP(F7387,CARTON_LOOKUP!$A:$E,5,0),"")</f>
      </c>
      <c r="J7387" s="29">
        <f>IFERROR(VLOOKUP(F7387,CARTON_LOOKUP!$A:$E,2,0),"")</f>
      </c>
      <c r="K7387" s="29">
        <f>IFERROR(J7387*D7387,0)</f>
      </c>
      <c r="L7387" s="29">
        <f>IFERROR(E7387*C7387,0)</f>
      </c>
      <c r="M7387" s="29">
        <f>IFERROR((G7387*H7387*I7387/1000000)*D7387,0)</f>
      </c>
    </row>
    <row r="7388" spans="1:13" x14ac:dyDescent="0.25">
      <c r="A7388" s="16"/>
      <c r="E7388" s="27"/>
      <c r="F7388" t="s">
        <v>26</v>
      </c>
      <c r="G7388" s="28">
        <f>IFERROR(VLOOKUP(F7388,CARTON_LOOKUP!$A:$E,3,0),"")</f>
      </c>
      <c r="H7388" s="28">
        <f>IFERROR(VLOOKUP(F7388,CARTON_LOOKUP!$A:$E,4,0),"")</f>
      </c>
      <c r="I7388" s="28">
        <f>IFERROR(VLOOKUP(F7388,CARTON_LOOKUP!$A:$E,5,0),"")</f>
      </c>
      <c r="J7388" s="29">
        <f>IFERROR(VLOOKUP(F7388,CARTON_LOOKUP!$A:$E,2,0),"")</f>
      </c>
      <c r="K7388" s="29">
        <f>IFERROR(J7388*D7388,0)</f>
      </c>
      <c r="L7388" s="29">
        <f>IFERROR(E7388*C7388,0)</f>
      </c>
      <c r="M7388" s="29">
        <f>IFERROR((G7388*H7388*I7388/1000000)*D7388,0)</f>
      </c>
    </row>
    <row r="7389" spans="1:13" x14ac:dyDescent="0.25">
      <c r="A7389" s="16"/>
      <c r="E7389" s="27"/>
      <c r="F7389" t="s">
        <v>26</v>
      </c>
      <c r="G7389" s="28">
        <f>IFERROR(VLOOKUP(F7389,CARTON_LOOKUP!$A:$E,3,0),"")</f>
      </c>
      <c r="H7389" s="28">
        <f>IFERROR(VLOOKUP(F7389,CARTON_LOOKUP!$A:$E,4,0),"")</f>
      </c>
      <c r="I7389" s="28">
        <f>IFERROR(VLOOKUP(F7389,CARTON_LOOKUP!$A:$E,5,0),"")</f>
      </c>
      <c r="J7389" s="29">
        <f>IFERROR(VLOOKUP(F7389,CARTON_LOOKUP!$A:$E,2,0),"")</f>
      </c>
      <c r="K7389" s="29">
        <f>IFERROR(J7389*D7389,0)</f>
      </c>
      <c r="L7389" s="29">
        <f>IFERROR(E7389*C7389,0)</f>
      </c>
      <c r="M7389" s="29">
        <f>IFERROR((G7389*H7389*I7389/1000000)*D7389,0)</f>
      </c>
    </row>
    <row r="7390" spans="1:13" x14ac:dyDescent="0.25">
      <c r="A7390" s="16"/>
      <c r="E7390" s="27"/>
      <c r="F7390" t="s">
        <v>26</v>
      </c>
      <c r="G7390" s="28">
        <f>IFERROR(VLOOKUP(F7390,CARTON_LOOKUP!$A:$E,3,0),"")</f>
      </c>
      <c r="H7390" s="28">
        <f>IFERROR(VLOOKUP(F7390,CARTON_LOOKUP!$A:$E,4,0),"")</f>
      </c>
      <c r="I7390" s="28">
        <f>IFERROR(VLOOKUP(F7390,CARTON_LOOKUP!$A:$E,5,0),"")</f>
      </c>
      <c r="J7390" s="29">
        <f>IFERROR(VLOOKUP(F7390,CARTON_LOOKUP!$A:$E,2,0),"")</f>
      </c>
      <c r="K7390" s="29">
        <f>IFERROR(J7390*D7390,0)</f>
      </c>
      <c r="L7390" s="29">
        <f>IFERROR(E7390*C7390,0)</f>
      </c>
      <c r="M7390" s="29">
        <f>IFERROR((G7390*H7390*I7390/1000000)*D7390,0)</f>
      </c>
    </row>
    <row r="7391" spans="1:13" x14ac:dyDescent="0.25">
      <c r="A7391" s="16"/>
      <c r="E7391" s="27"/>
      <c r="F7391" t="s">
        <v>26</v>
      </c>
      <c r="G7391" s="28">
        <f>IFERROR(VLOOKUP(F7391,CARTON_LOOKUP!$A:$E,3,0),"")</f>
      </c>
      <c r="H7391" s="28">
        <f>IFERROR(VLOOKUP(F7391,CARTON_LOOKUP!$A:$E,4,0),"")</f>
      </c>
      <c r="I7391" s="28">
        <f>IFERROR(VLOOKUP(F7391,CARTON_LOOKUP!$A:$E,5,0),"")</f>
      </c>
      <c r="J7391" s="29">
        <f>IFERROR(VLOOKUP(F7391,CARTON_LOOKUP!$A:$E,2,0),"")</f>
      </c>
      <c r="K7391" s="29">
        <f>IFERROR(J7391*D7391,0)</f>
      </c>
      <c r="L7391" s="29">
        <f>IFERROR(E7391*C7391,0)</f>
      </c>
      <c r="M7391" s="29">
        <f>IFERROR((G7391*H7391*I7391/1000000)*D7391,0)</f>
      </c>
    </row>
    <row r="7392" spans="1:13" x14ac:dyDescent="0.25">
      <c r="A7392" s="16"/>
      <c r="E7392" s="27"/>
      <c r="F7392" t="s">
        <v>26</v>
      </c>
      <c r="G7392" s="28">
        <f>IFERROR(VLOOKUP(F7392,CARTON_LOOKUP!$A:$E,3,0),"")</f>
      </c>
      <c r="H7392" s="28">
        <f>IFERROR(VLOOKUP(F7392,CARTON_LOOKUP!$A:$E,4,0),"")</f>
      </c>
      <c r="I7392" s="28">
        <f>IFERROR(VLOOKUP(F7392,CARTON_LOOKUP!$A:$E,5,0),"")</f>
      </c>
      <c r="J7392" s="29">
        <f>IFERROR(VLOOKUP(F7392,CARTON_LOOKUP!$A:$E,2,0),"")</f>
      </c>
      <c r="K7392" s="29">
        <f>IFERROR(J7392*D7392,0)</f>
      </c>
      <c r="L7392" s="29">
        <f>IFERROR(E7392*C7392,0)</f>
      </c>
      <c r="M7392" s="29">
        <f>IFERROR((G7392*H7392*I7392/1000000)*D7392,0)</f>
      </c>
    </row>
    <row r="7393" spans="1:13" x14ac:dyDescent="0.25">
      <c r="A7393" s="16"/>
      <c r="E7393" s="27"/>
      <c r="F7393" t="s">
        <v>26</v>
      </c>
      <c r="G7393" s="28">
        <f>IFERROR(VLOOKUP(F7393,CARTON_LOOKUP!$A:$E,3,0),"")</f>
      </c>
      <c r="H7393" s="28">
        <f>IFERROR(VLOOKUP(F7393,CARTON_LOOKUP!$A:$E,4,0),"")</f>
      </c>
      <c r="I7393" s="28">
        <f>IFERROR(VLOOKUP(F7393,CARTON_LOOKUP!$A:$E,5,0),"")</f>
      </c>
      <c r="J7393" s="29">
        <f>IFERROR(VLOOKUP(F7393,CARTON_LOOKUP!$A:$E,2,0),"")</f>
      </c>
      <c r="K7393" s="29">
        <f>IFERROR(J7393*D7393,0)</f>
      </c>
      <c r="L7393" s="29">
        <f>IFERROR(E7393*C7393,0)</f>
      </c>
      <c r="M7393" s="29">
        <f>IFERROR((G7393*H7393*I7393/1000000)*D7393,0)</f>
      </c>
    </row>
    <row r="7394" spans="1:13" x14ac:dyDescent="0.25">
      <c r="A7394" s="16"/>
      <c r="E7394" s="27"/>
      <c r="F7394" t="s">
        <v>26</v>
      </c>
      <c r="G7394" s="28">
        <f>IFERROR(VLOOKUP(F7394,CARTON_LOOKUP!$A:$E,3,0),"")</f>
      </c>
      <c r="H7394" s="28">
        <f>IFERROR(VLOOKUP(F7394,CARTON_LOOKUP!$A:$E,4,0),"")</f>
      </c>
      <c r="I7394" s="28">
        <f>IFERROR(VLOOKUP(F7394,CARTON_LOOKUP!$A:$E,5,0),"")</f>
      </c>
      <c r="J7394" s="29">
        <f>IFERROR(VLOOKUP(F7394,CARTON_LOOKUP!$A:$E,2,0),"")</f>
      </c>
      <c r="K7394" s="29">
        <f>IFERROR(J7394*D7394,0)</f>
      </c>
      <c r="L7394" s="29">
        <f>IFERROR(E7394*C7394,0)</f>
      </c>
      <c r="M7394" s="29">
        <f>IFERROR((G7394*H7394*I7394/1000000)*D7394,0)</f>
      </c>
    </row>
    <row r="7395" spans="1:13" x14ac:dyDescent="0.25">
      <c r="A7395" s="16"/>
      <c r="E7395" s="27"/>
      <c r="F7395" t="s">
        <v>26</v>
      </c>
      <c r="G7395" s="28">
        <f>IFERROR(VLOOKUP(F7395,CARTON_LOOKUP!$A:$E,3,0),"")</f>
      </c>
      <c r="H7395" s="28">
        <f>IFERROR(VLOOKUP(F7395,CARTON_LOOKUP!$A:$E,4,0),"")</f>
      </c>
      <c r="I7395" s="28">
        <f>IFERROR(VLOOKUP(F7395,CARTON_LOOKUP!$A:$E,5,0),"")</f>
      </c>
      <c r="J7395" s="29">
        <f>IFERROR(VLOOKUP(F7395,CARTON_LOOKUP!$A:$E,2,0),"")</f>
      </c>
      <c r="K7395" s="29">
        <f>IFERROR(J7395*D7395,0)</f>
      </c>
      <c r="L7395" s="29">
        <f>IFERROR(E7395*C7395,0)</f>
      </c>
      <c r="M7395" s="29">
        <f>IFERROR((G7395*H7395*I7395/1000000)*D7395,0)</f>
      </c>
    </row>
    <row r="7396" spans="1:13" x14ac:dyDescent="0.25">
      <c r="A7396" s="16"/>
      <c r="E7396" s="27"/>
      <c r="F7396" t="s">
        <v>26</v>
      </c>
      <c r="G7396" s="28">
        <f>IFERROR(VLOOKUP(F7396,CARTON_LOOKUP!$A:$E,3,0),"")</f>
      </c>
      <c r="H7396" s="28">
        <f>IFERROR(VLOOKUP(F7396,CARTON_LOOKUP!$A:$E,4,0),"")</f>
      </c>
      <c r="I7396" s="28">
        <f>IFERROR(VLOOKUP(F7396,CARTON_LOOKUP!$A:$E,5,0),"")</f>
      </c>
      <c r="J7396" s="29">
        <f>IFERROR(VLOOKUP(F7396,CARTON_LOOKUP!$A:$E,2,0),"")</f>
      </c>
      <c r="K7396" s="29">
        <f>IFERROR(J7396*D7396,0)</f>
      </c>
      <c r="L7396" s="29">
        <f>IFERROR(E7396*C7396,0)</f>
      </c>
      <c r="M7396" s="29">
        <f>IFERROR((G7396*H7396*I7396/1000000)*D7396,0)</f>
      </c>
    </row>
    <row r="7397" spans="1:13" x14ac:dyDescent="0.25">
      <c r="A7397" s="16"/>
      <c r="E7397" s="27"/>
      <c r="F7397" t="s">
        <v>26</v>
      </c>
      <c r="G7397" s="28">
        <f>IFERROR(VLOOKUP(F7397,CARTON_LOOKUP!$A:$E,3,0),"")</f>
      </c>
      <c r="H7397" s="28">
        <f>IFERROR(VLOOKUP(F7397,CARTON_LOOKUP!$A:$E,4,0),"")</f>
      </c>
      <c r="I7397" s="28">
        <f>IFERROR(VLOOKUP(F7397,CARTON_LOOKUP!$A:$E,5,0),"")</f>
      </c>
      <c r="J7397" s="29">
        <f>IFERROR(VLOOKUP(F7397,CARTON_LOOKUP!$A:$E,2,0),"")</f>
      </c>
      <c r="K7397" s="29">
        <f>IFERROR(J7397*D7397,0)</f>
      </c>
      <c r="L7397" s="29">
        <f>IFERROR(E7397*C7397,0)</f>
      </c>
      <c r="M7397" s="29">
        <f>IFERROR((G7397*H7397*I7397/1000000)*D7397,0)</f>
      </c>
    </row>
    <row r="7398" spans="1:13" x14ac:dyDescent="0.25">
      <c r="A7398" s="16"/>
      <c r="E7398" s="27"/>
      <c r="F7398" t="s">
        <v>26</v>
      </c>
      <c r="G7398" s="28">
        <f>IFERROR(VLOOKUP(F7398,CARTON_LOOKUP!$A:$E,3,0),"")</f>
      </c>
      <c r="H7398" s="28">
        <f>IFERROR(VLOOKUP(F7398,CARTON_LOOKUP!$A:$E,4,0),"")</f>
      </c>
      <c r="I7398" s="28">
        <f>IFERROR(VLOOKUP(F7398,CARTON_LOOKUP!$A:$E,5,0),"")</f>
      </c>
      <c r="J7398" s="29">
        <f>IFERROR(VLOOKUP(F7398,CARTON_LOOKUP!$A:$E,2,0),"")</f>
      </c>
      <c r="K7398" s="29">
        <f>IFERROR(J7398*D7398,0)</f>
      </c>
      <c r="L7398" s="29">
        <f>IFERROR(E7398*C7398,0)</f>
      </c>
      <c r="M7398" s="29">
        <f>IFERROR((G7398*H7398*I7398/1000000)*D7398,0)</f>
      </c>
    </row>
    <row r="7399" spans="1:13" x14ac:dyDescent="0.25">
      <c r="A7399" s="16"/>
      <c r="E7399" s="27"/>
      <c r="F7399" t="s">
        <v>26</v>
      </c>
      <c r="G7399" s="28">
        <f>IFERROR(VLOOKUP(F7399,CARTON_LOOKUP!$A:$E,3,0),"")</f>
      </c>
      <c r="H7399" s="28">
        <f>IFERROR(VLOOKUP(F7399,CARTON_LOOKUP!$A:$E,4,0),"")</f>
      </c>
      <c r="I7399" s="28">
        <f>IFERROR(VLOOKUP(F7399,CARTON_LOOKUP!$A:$E,5,0),"")</f>
      </c>
      <c r="J7399" s="29">
        <f>IFERROR(VLOOKUP(F7399,CARTON_LOOKUP!$A:$E,2,0),"")</f>
      </c>
      <c r="K7399" s="29">
        <f>IFERROR(J7399*D7399,0)</f>
      </c>
      <c r="L7399" s="29">
        <f>IFERROR(E7399*C7399,0)</f>
      </c>
      <c r="M7399" s="29">
        <f>IFERROR((G7399*H7399*I7399/1000000)*D7399,0)</f>
      </c>
    </row>
    <row r="7400" spans="1:13" x14ac:dyDescent="0.25">
      <c r="A7400" s="16"/>
      <c r="E7400" s="27"/>
      <c r="F7400" t="s">
        <v>26</v>
      </c>
      <c r="G7400" s="28">
        <f>IFERROR(VLOOKUP(F7400,CARTON_LOOKUP!$A:$E,3,0),"")</f>
      </c>
      <c r="H7400" s="28">
        <f>IFERROR(VLOOKUP(F7400,CARTON_LOOKUP!$A:$E,4,0),"")</f>
      </c>
      <c r="I7400" s="28">
        <f>IFERROR(VLOOKUP(F7400,CARTON_LOOKUP!$A:$E,5,0),"")</f>
      </c>
      <c r="J7400" s="29">
        <f>IFERROR(VLOOKUP(F7400,CARTON_LOOKUP!$A:$E,2,0),"")</f>
      </c>
      <c r="K7400" s="29">
        <f>IFERROR(J7400*D7400,0)</f>
      </c>
      <c r="L7400" s="29">
        <f>IFERROR(E7400*C7400,0)</f>
      </c>
      <c r="M7400" s="29">
        <f>IFERROR((G7400*H7400*I7400/1000000)*D7400,0)</f>
      </c>
    </row>
    <row r="7401" spans="1:13" x14ac:dyDescent="0.25">
      <c r="A7401" s="16"/>
      <c r="E7401" s="27"/>
      <c r="F7401" t="s">
        <v>26</v>
      </c>
      <c r="G7401" s="28">
        <f>IFERROR(VLOOKUP(F7401,CARTON_LOOKUP!$A:$E,3,0),"")</f>
      </c>
      <c r="H7401" s="28">
        <f>IFERROR(VLOOKUP(F7401,CARTON_LOOKUP!$A:$E,4,0),"")</f>
      </c>
      <c r="I7401" s="28">
        <f>IFERROR(VLOOKUP(F7401,CARTON_LOOKUP!$A:$E,5,0),"")</f>
      </c>
      <c r="J7401" s="29">
        <f>IFERROR(VLOOKUP(F7401,CARTON_LOOKUP!$A:$E,2,0),"")</f>
      </c>
      <c r="K7401" s="29">
        <f>IFERROR(J7401*D7401,0)</f>
      </c>
      <c r="L7401" s="29">
        <f>IFERROR(E7401*C7401,0)</f>
      </c>
      <c r="M7401" s="29">
        <f>IFERROR((G7401*H7401*I7401/1000000)*D7401,0)</f>
      </c>
    </row>
    <row r="7402" spans="1:13" x14ac:dyDescent="0.25">
      <c r="A7402" s="16"/>
      <c r="E7402" s="27"/>
      <c r="F7402" t="s">
        <v>26</v>
      </c>
      <c r="G7402" s="28">
        <f>IFERROR(VLOOKUP(F7402,CARTON_LOOKUP!$A:$E,3,0),"")</f>
      </c>
      <c r="H7402" s="28">
        <f>IFERROR(VLOOKUP(F7402,CARTON_LOOKUP!$A:$E,4,0),"")</f>
      </c>
      <c r="I7402" s="28">
        <f>IFERROR(VLOOKUP(F7402,CARTON_LOOKUP!$A:$E,5,0),"")</f>
      </c>
      <c r="J7402" s="29">
        <f>IFERROR(VLOOKUP(F7402,CARTON_LOOKUP!$A:$E,2,0),"")</f>
      </c>
      <c r="K7402" s="29">
        <f>IFERROR(J7402*D7402,0)</f>
      </c>
      <c r="L7402" s="29">
        <f>IFERROR(E7402*C7402,0)</f>
      </c>
      <c r="M7402" s="29">
        <f>IFERROR((G7402*H7402*I7402/1000000)*D7402,0)</f>
      </c>
    </row>
    <row r="7403" spans="1:13" x14ac:dyDescent="0.25">
      <c r="A7403" s="16"/>
      <c r="E7403" s="27"/>
      <c r="F7403" t="s">
        <v>26</v>
      </c>
      <c r="G7403" s="28">
        <f>IFERROR(VLOOKUP(F7403,CARTON_LOOKUP!$A:$E,3,0),"")</f>
      </c>
      <c r="H7403" s="28">
        <f>IFERROR(VLOOKUP(F7403,CARTON_LOOKUP!$A:$E,4,0),"")</f>
      </c>
      <c r="I7403" s="28">
        <f>IFERROR(VLOOKUP(F7403,CARTON_LOOKUP!$A:$E,5,0),"")</f>
      </c>
      <c r="J7403" s="29">
        <f>IFERROR(VLOOKUP(F7403,CARTON_LOOKUP!$A:$E,2,0),"")</f>
      </c>
      <c r="K7403" s="29">
        <f>IFERROR(J7403*D7403,0)</f>
      </c>
      <c r="L7403" s="29">
        <f>IFERROR(E7403*C7403,0)</f>
      </c>
      <c r="M7403" s="29">
        <f>IFERROR((G7403*H7403*I7403/1000000)*D7403,0)</f>
      </c>
    </row>
    <row r="7404" spans="1:13" x14ac:dyDescent="0.25">
      <c r="A7404" s="16"/>
      <c r="E7404" s="27"/>
      <c r="F7404" t="s">
        <v>26</v>
      </c>
      <c r="G7404" s="28">
        <f>IFERROR(VLOOKUP(F7404,CARTON_LOOKUP!$A:$E,3,0),"")</f>
      </c>
      <c r="H7404" s="28">
        <f>IFERROR(VLOOKUP(F7404,CARTON_LOOKUP!$A:$E,4,0),"")</f>
      </c>
      <c r="I7404" s="28">
        <f>IFERROR(VLOOKUP(F7404,CARTON_LOOKUP!$A:$E,5,0),"")</f>
      </c>
      <c r="J7404" s="29">
        <f>IFERROR(VLOOKUP(F7404,CARTON_LOOKUP!$A:$E,2,0),"")</f>
      </c>
      <c r="K7404" s="29">
        <f>IFERROR(J7404*D7404,0)</f>
      </c>
      <c r="L7404" s="29">
        <f>IFERROR(E7404*C7404,0)</f>
      </c>
      <c r="M7404" s="29">
        <f>IFERROR((G7404*H7404*I7404/1000000)*D7404,0)</f>
      </c>
    </row>
    <row r="7405" spans="1:13" x14ac:dyDescent="0.25">
      <c r="A7405" s="16"/>
      <c r="E7405" s="27"/>
      <c r="F7405" t="s">
        <v>26</v>
      </c>
      <c r="G7405" s="28">
        <f>IFERROR(VLOOKUP(F7405,CARTON_LOOKUP!$A:$E,3,0),"")</f>
      </c>
      <c r="H7405" s="28">
        <f>IFERROR(VLOOKUP(F7405,CARTON_LOOKUP!$A:$E,4,0),"")</f>
      </c>
      <c r="I7405" s="28">
        <f>IFERROR(VLOOKUP(F7405,CARTON_LOOKUP!$A:$E,5,0),"")</f>
      </c>
      <c r="J7405" s="29">
        <f>IFERROR(VLOOKUP(F7405,CARTON_LOOKUP!$A:$E,2,0),"")</f>
      </c>
      <c r="K7405" s="29">
        <f>IFERROR(J7405*D7405,0)</f>
      </c>
      <c r="L7405" s="29">
        <f>IFERROR(E7405*C7405,0)</f>
      </c>
      <c r="M7405" s="29">
        <f>IFERROR((G7405*H7405*I7405/1000000)*D7405,0)</f>
      </c>
    </row>
    <row r="7406" spans="1:13" x14ac:dyDescent="0.25">
      <c r="A7406" s="16"/>
      <c r="E7406" s="27"/>
      <c r="F7406" t="s">
        <v>26</v>
      </c>
      <c r="G7406" s="28">
        <f>IFERROR(VLOOKUP(F7406,CARTON_LOOKUP!$A:$E,3,0),"")</f>
      </c>
      <c r="H7406" s="28">
        <f>IFERROR(VLOOKUP(F7406,CARTON_LOOKUP!$A:$E,4,0),"")</f>
      </c>
      <c r="I7406" s="28">
        <f>IFERROR(VLOOKUP(F7406,CARTON_LOOKUP!$A:$E,5,0),"")</f>
      </c>
      <c r="J7406" s="29">
        <f>IFERROR(VLOOKUP(F7406,CARTON_LOOKUP!$A:$E,2,0),"")</f>
      </c>
      <c r="K7406" s="29">
        <f>IFERROR(J7406*D7406,0)</f>
      </c>
      <c r="L7406" s="29">
        <f>IFERROR(E7406*C7406,0)</f>
      </c>
      <c r="M7406" s="29">
        <f>IFERROR((G7406*H7406*I7406/1000000)*D7406,0)</f>
      </c>
    </row>
    <row r="7407" spans="1:13" x14ac:dyDescent="0.25">
      <c r="A7407" s="16"/>
      <c r="E7407" s="27"/>
      <c r="F7407" t="s">
        <v>26</v>
      </c>
      <c r="G7407" s="28">
        <f>IFERROR(VLOOKUP(F7407,CARTON_LOOKUP!$A:$E,3,0),"")</f>
      </c>
      <c r="H7407" s="28">
        <f>IFERROR(VLOOKUP(F7407,CARTON_LOOKUP!$A:$E,4,0),"")</f>
      </c>
      <c r="I7407" s="28">
        <f>IFERROR(VLOOKUP(F7407,CARTON_LOOKUP!$A:$E,5,0),"")</f>
      </c>
      <c r="J7407" s="29">
        <f>IFERROR(VLOOKUP(F7407,CARTON_LOOKUP!$A:$E,2,0),"")</f>
      </c>
      <c r="K7407" s="29">
        <f>IFERROR(J7407*D7407,0)</f>
      </c>
      <c r="L7407" s="29">
        <f>IFERROR(E7407*C7407,0)</f>
      </c>
      <c r="M7407" s="29">
        <f>IFERROR((G7407*H7407*I7407/1000000)*D7407,0)</f>
      </c>
    </row>
    <row r="7408" spans="1:13" x14ac:dyDescent="0.25">
      <c r="A7408" s="16"/>
      <c r="E7408" s="27"/>
      <c r="F7408" t="s">
        <v>26</v>
      </c>
      <c r="G7408" s="28">
        <f>IFERROR(VLOOKUP(F7408,CARTON_LOOKUP!$A:$E,3,0),"")</f>
      </c>
      <c r="H7408" s="28">
        <f>IFERROR(VLOOKUP(F7408,CARTON_LOOKUP!$A:$E,4,0),"")</f>
      </c>
      <c r="I7408" s="28">
        <f>IFERROR(VLOOKUP(F7408,CARTON_LOOKUP!$A:$E,5,0),"")</f>
      </c>
      <c r="J7408" s="29">
        <f>IFERROR(VLOOKUP(F7408,CARTON_LOOKUP!$A:$E,2,0),"")</f>
      </c>
      <c r="K7408" s="29">
        <f>IFERROR(J7408*D7408,0)</f>
      </c>
      <c r="L7408" s="29">
        <f>IFERROR(E7408*C7408,0)</f>
      </c>
      <c r="M7408" s="29">
        <f>IFERROR((G7408*H7408*I7408/1000000)*D7408,0)</f>
      </c>
    </row>
    <row r="7409" spans="1:13" x14ac:dyDescent="0.25">
      <c r="A7409" s="16"/>
      <c r="E7409" s="27"/>
      <c r="F7409" t="s">
        <v>26</v>
      </c>
      <c r="G7409" s="28">
        <f>IFERROR(VLOOKUP(F7409,CARTON_LOOKUP!$A:$E,3,0),"")</f>
      </c>
      <c r="H7409" s="28">
        <f>IFERROR(VLOOKUP(F7409,CARTON_LOOKUP!$A:$E,4,0),"")</f>
      </c>
      <c r="I7409" s="28">
        <f>IFERROR(VLOOKUP(F7409,CARTON_LOOKUP!$A:$E,5,0),"")</f>
      </c>
      <c r="J7409" s="29">
        <f>IFERROR(VLOOKUP(F7409,CARTON_LOOKUP!$A:$E,2,0),"")</f>
      </c>
      <c r="K7409" s="29">
        <f>IFERROR(J7409*D7409,0)</f>
      </c>
      <c r="L7409" s="29">
        <f>IFERROR(E7409*C7409,0)</f>
      </c>
      <c r="M7409" s="29">
        <f>IFERROR((G7409*H7409*I7409/1000000)*D7409,0)</f>
      </c>
    </row>
    <row r="7410" spans="1:13" x14ac:dyDescent="0.25">
      <c r="A7410" s="16"/>
      <c r="E7410" s="27"/>
      <c r="F7410" t="s">
        <v>26</v>
      </c>
      <c r="G7410" s="28">
        <f>IFERROR(VLOOKUP(F7410,CARTON_LOOKUP!$A:$E,3,0),"")</f>
      </c>
      <c r="H7410" s="28">
        <f>IFERROR(VLOOKUP(F7410,CARTON_LOOKUP!$A:$E,4,0),"")</f>
      </c>
      <c r="I7410" s="28">
        <f>IFERROR(VLOOKUP(F7410,CARTON_LOOKUP!$A:$E,5,0),"")</f>
      </c>
      <c r="J7410" s="29">
        <f>IFERROR(VLOOKUP(F7410,CARTON_LOOKUP!$A:$E,2,0),"")</f>
      </c>
      <c r="K7410" s="29">
        <f>IFERROR(J7410*D7410,0)</f>
      </c>
      <c r="L7410" s="29">
        <f>IFERROR(E7410*C7410,0)</f>
      </c>
      <c r="M7410" s="29">
        <f>IFERROR((G7410*H7410*I7410/1000000)*D7410,0)</f>
      </c>
    </row>
    <row r="7411" spans="1:13" x14ac:dyDescent="0.25">
      <c r="A7411" s="16"/>
      <c r="E7411" s="27"/>
      <c r="F7411" t="s">
        <v>26</v>
      </c>
      <c r="G7411" s="28">
        <f>IFERROR(VLOOKUP(F7411,CARTON_LOOKUP!$A:$E,3,0),"")</f>
      </c>
      <c r="H7411" s="28">
        <f>IFERROR(VLOOKUP(F7411,CARTON_LOOKUP!$A:$E,4,0),"")</f>
      </c>
      <c r="I7411" s="28">
        <f>IFERROR(VLOOKUP(F7411,CARTON_LOOKUP!$A:$E,5,0),"")</f>
      </c>
      <c r="J7411" s="29">
        <f>IFERROR(VLOOKUP(F7411,CARTON_LOOKUP!$A:$E,2,0),"")</f>
      </c>
      <c r="K7411" s="29">
        <f>IFERROR(J7411*D7411,0)</f>
      </c>
      <c r="L7411" s="29">
        <f>IFERROR(E7411*C7411,0)</f>
      </c>
      <c r="M7411" s="29">
        <f>IFERROR((G7411*H7411*I7411/1000000)*D7411,0)</f>
      </c>
    </row>
    <row r="7412" spans="1:13" x14ac:dyDescent="0.25">
      <c r="A7412" s="16"/>
      <c r="E7412" s="27"/>
      <c r="F7412" t="s">
        <v>26</v>
      </c>
      <c r="G7412" s="28">
        <f>IFERROR(VLOOKUP(F7412,CARTON_LOOKUP!$A:$E,3,0),"")</f>
      </c>
      <c r="H7412" s="28">
        <f>IFERROR(VLOOKUP(F7412,CARTON_LOOKUP!$A:$E,4,0),"")</f>
      </c>
      <c r="I7412" s="28">
        <f>IFERROR(VLOOKUP(F7412,CARTON_LOOKUP!$A:$E,5,0),"")</f>
      </c>
      <c r="J7412" s="29">
        <f>IFERROR(VLOOKUP(F7412,CARTON_LOOKUP!$A:$E,2,0),"")</f>
      </c>
      <c r="K7412" s="29">
        <f>IFERROR(J7412*D7412,0)</f>
      </c>
      <c r="L7412" s="29">
        <f>IFERROR(E7412*C7412,0)</f>
      </c>
      <c r="M7412" s="29">
        <f>IFERROR((G7412*H7412*I7412/1000000)*D7412,0)</f>
      </c>
    </row>
    <row r="7413" spans="1:13" x14ac:dyDescent="0.25">
      <c r="A7413" s="16"/>
      <c r="E7413" s="27"/>
      <c r="F7413" t="s">
        <v>26</v>
      </c>
      <c r="G7413" s="28">
        <f>IFERROR(VLOOKUP(F7413,CARTON_LOOKUP!$A:$E,3,0),"")</f>
      </c>
      <c r="H7413" s="28">
        <f>IFERROR(VLOOKUP(F7413,CARTON_LOOKUP!$A:$E,4,0),"")</f>
      </c>
      <c r="I7413" s="28">
        <f>IFERROR(VLOOKUP(F7413,CARTON_LOOKUP!$A:$E,5,0),"")</f>
      </c>
      <c r="J7413" s="29">
        <f>IFERROR(VLOOKUP(F7413,CARTON_LOOKUP!$A:$E,2,0),"")</f>
      </c>
      <c r="K7413" s="29">
        <f>IFERROR(J7413*D7413,0)</f>
      </c>
      <c r="L7413" s="29">
        <f>IFERROR(E7413*C7413,0)</f>
      </c>
      <c r="M7413" s="29">
        <f>IFERROR((G7413*H7413*I7413/1000000)*D7413,0)</f>
      </c>
    </row>
    <row r="7414" spans="1:13" x14ac:dyDescent="0.25">
      <c r="A7414" s="16"/>
      <c r="E7414" s="27"/>
      <c r="F7414" t="s">
        <v>26</v>
      </c>
      <c r="G7414" s="28">
        <f>IFERROR(VLOOKUP(F7414,CARTON_LOOKUP!$A:$E,3,0),"")</f>
      </c>
      <c r="H7414" s="28">
        <f>IFERROR(VLOOKUP(F7414,CARTON_LOOKUP!$A:$E,4,0),"")</f>
      </c>
      <c r="I7414" s="28">
        <f>IFERROR(VLOOKUP(F7414,CARTON_LOOKUP!$A:$E,5,0),"")</f>
      </c>
      <c r="J7414" s="29">
        <f>IFERROR(VLOOKUP(F7414,CARTON_LOOKUP!$A:$E,2,0),"")</f>
      </c>
      <c r="K7414" s="29">
        <f>IFERROR(J7414*D7414,0)</f>
      </c>
      <c r="L7414" s="29">
        <f>IFERROR(E7414*C7414,0)</f>
      </c>
      <c r="M7414" s="29">
        <f>IFERROR((G7414*H7414*I7414/1000000)*D7414,0)</f>
      </c>
    </row>
    <row r="7415" spans="1:13" x14ac:dyDescent="0.25">
      <c r="A7415" s="16"/>
      <c r="E7415" s="27"/>
      <c r="F7415" t="s">
        <v>26</v>
      </c>
      <c r="G7415" s="28">
        <f>IFERROR(VLOOKUP(F7415,CARTON_LOOKUP!$A:$E,3,0),"")</f>
      </c>
      <c r="H7415" s="28">
        <f>IFERROR(VLOOKUP(F7415,CARTON_LOOKUP!$A:$E,4,0),"")</f>
      </c>
      <c r="I7415" s="28">
        <f>IFERROR(VLOOKUP(F7415,CARTON_LOOKUP!$A:$E,5,0),"")</f>
      </c>
      <c r="J7415" s="29">
        <f>IFERROR(VLOOKUP(F7415,CARTON_LOOKUP!$A:$E,2,0),"")</f>
      </c>
      <c r="K7415" s="29">
        <f>IFERROR(J7415*D7415,0)</f>
      </c>
      <c r="L7415" s="29">
        <f>IFERROR(E7415*C7415,0)</f>
      </c>
      <c r="M7415" s="29">
        <f>IFERROR((G7415*H7415*I7415/1000000)*D7415,0)</f>
      </c>
    </row>
    <row r="7416" spans="1:13" x14ac:dyDescent="0.25">
      <c r="A7416" s="16"/>
      <c r="E7416" s="27"/>
      <c r="F7416" t="s">
        <v>26</v>
      </c>
      <c r="G7416" s="28">
        <f>IFERROR(VLOOKUP(F7416,CARTON_LOOKUP!$A:$E,3,0),"")</f>
      </c>
      <c r="H7416" s="28">
        <f>IFERROR(VLOOKUP(F7416,CARTON_LOOKUP!$A:$E,4,0),"")</f>
      </c>
      <c r="I7416" s="28">
        <f>IFERROR(VLOOKUP(F7416,CARTON_LOOKUP!$A:$E,5,0),"")</f>
      </c>
      <c r="J7416" s="29">
        <f>IFERROR(VLOOKUP(F7416,CARTON_LOOKUP!$A:$E,2,0),"")</f>
      </c>
      <c r="K7416" s="29">
        <f>IFERROR(J7416*D7416,0)</f>
      </c>
      <c r="L7416" s="29">
        <f>IFERROR(E7416*C7416,0)</f>
      </c>
      <c r="M7416" s="29">
        <f>IFERROR((G7416*H7416*I7416/1000000)*D7416,0)</f>
      </c>
    </row>
    <row r="7417" spans="1:13" x14ac:dyDescent="0.25">
      <c r="A7417" s="16"/>
      <c r="E7417" s="27"/>
      <c r="F7417" t="s">
        <v>26</v>
      </c>
      <c r="G7417" s="28">
        <f>IFERROR(VLOOKUP(F7417,CARTON_LOOKUP!$A:$E,3,0),"")</f>
      </c>
      <c r="H7417" s="28">
        <f>IFERROR(VLOOKUP(F7417,CARTON_LOOKUP!$A:$E,4,0),"")</f>
      </c>
      <c r="I7417" s="28">
        <f>IFERROR(VLOOKUP(F7417,CARTON_LOOKUP!$A:$E,5,0),"")</f>
      </c>
      <c r="J7417" s="29">
        <f>IFERROR(VLOOKUP(F7417,CARTON_LOOKUP!$A:$E,2,0),"")</f>
      </c>
      <c r="K7417" s="29">
        <f>IFERROR(J7417*D7417,0)</f>
      </c>
      <c r="L7417" s="29">
        <f>IFERROR(E7417*C7417,0)</f>
      </c>
      <c r="M7417" s="29">
        <f>IFERROR((G7417*H7417*I7417/1000000)*D7417,0)</f>
      </c>
    </row>
    <row r="7418" spans="1:13" x14ac:dyDescent="0.25">
      <c r="A7418" s="16"/>
      <c r="E7418" s="27"/>
      <c r="F7418" t="s">
        <v>26</v>
      </c>
      <c r="G7418" s="28">
        <f>IFERROR(VLOOKUP(F7418,CARTON_LOOKUP!$A:$E,3,0),"")</f>
      </c>
      <c r="H7418" s="28">
        <f>IFERROR(VLOOKUP(F7418,CARTON_LOOKUP!$A:$E,4,0),"")</f>
      </c>
      <c r="I7418" s="28">
        <f>IFERROR(VLOOKUP(F7418,CARTON_LOOKUP!$A:$E,5,0),"")</f>
      </c>
      <c r="J7418" s="29">
        <f>IFERROR(VLOOKUP(F7418,CARTON_LOOKUP!$A:$E,2,0),"")</f>
      </c>
      <c r="K7418" s="29">
        <f>IFERROR(J7418*D7418,0)</f>
      </c>
      <c r="L7418" s="29">
        <f>IFERROR(E7418*C7418,0)</f>
      </c>
      <c r="M7418" s="29">
        <f>IFERROR((G7418*H7418*I7418/1000000)*D7418,0)</f>
      </c>
    </row>
    <row r="7419" spans="1:13" x14ac:dyDescent="0.25">
      <c r="A7419" s="16"/>
      <c r="E7419" s="27"/>
      <c r="F7419" t="s">
        <v>26</v>
      </c>
      <c r="G7419" s="28">
        <f>IFERROR(VLOOKUP(F7419,CARTON_LOOKUP!$A:$E,3,0),"")</f>
      </c>
      <c r="H7419" s="28">
        <f>IFERROR(VLOOKUP(F7419,CARTON_LOOKUP!$A:$E,4,0),"")</f>
      </c>
      <c r="I7419" s="28">
        <f>IFERROR(VLOOKUP(F7419,CARTON_LOOKUP!$A:$E,5,0),"")</f>
      </c>
      <c r="J7419" s="29">
        <f>IFERROR(VLOOKUP(F7419,CARTON_LOOKUP!$A:$E,2,0),"")</f>
      </c>
      <c r="K7419" s="29">
        <f>IFERROR(J7419*D7419,0)</f>
      </c>
      <c r="L7419" s="29">
        <f>IFERROR(E7419*C7419,0)</f>
      </c>
      <c r="M7419" s="29">
        <f>IFERROR((G7419*H7419*I7419/1000000)*D7419,0)</f>
      </c>
    </row>
    <row r="7420" spans="1:13" x14ac:dyDescent="0.25">
      <c r="A7420" s="16"/>
      <c r="E7420" s="27"/>
      <c r="F7420" t="s">
        <v>26</v>
      </c>
      <c r="G7420" s="28">
        <f>IFERROR(VLOOKUP(F7420,CARTON_LOOKUP!$A:$E,3,0),"")</f>
      </c>
      <c r="H7420" s="28">
        <f>IFERROR(VLOOKUP(F7420,CARTON_LOOKUP!$A:$E,4,0),"")</f>
      </c>
      <c r="I7420" s="28">
        <f>IFERROR(VLOOKUP(F7420,CARTON_LOOKUP!$A:$E,5,0),"")</f>
      </c>
      <c r="J7420" s="29">
        <f>IFERROR(VLOOKUP(F7420,CARTON_LOOKUP!$A:$E,2,0),"")</f>
      </c>
      <c r="K7420" s="29">
        <f>IFERROR(J7420*D7420,0)</f>
      </c>
      <c r="L7420" s="29">
        <f>IFERROR(E7420*C7420,0)</f>
      </c>
      <c r="M7420" s="29">
        <f>IFERROR((G7420*H7420*I7420/1000000)*D7420,0)</f>
      </c>
    </row>
    <row r="7421" spans="1:13" x14ac:dyDescent="0.25">
      <c r="A7421" s="16"/>
      <c r="E7421" s="27"/>
      <c r="F7421" t="s">
        <v>26</v>
      </c>
      <c r="G7421" s="28">
        <f>IFERROR(VLOOKUP(F7421,CARTON_LOOKUP!$A:$E,3,0),"")</f>
      </c>
      <c r="H7421" s="28">
        <f>IFERROR(VLOOKUP(F7421,CARTON_LOOKUP!$A:$E,4,0),"")</f>
      </c>
      <c r="I7421" s="28">
        <f>IFERROR(VLOOKUP(F7421,CARTON_LOOKUP!$A:$E,5,0),"")</f>
      </c>
      <c r="J7421" s="29">
        <f>IFERROR(VLOOKUP(F7421,CARTON_LOOKUP!$A:$E,2,0),"")</f>
      </c>
      <c r="K7421" s="29">
        <f>IFERROR(J7421*D7421,0)</f>
      </c>
      <c r="L7421" s="29">
        <f>IFERROR(E7421*C7421,0)</f>
      </c>
      <c r="M7421" s="29">
        <f>IFERROR((G7421*H7421*I7421/1000000)*D7421,0)</f>
      </c>
    </row>
    <row r="7422" spans="1:13" x14ac:dyDescent="0.25">
      <c r="A7422" s="16"/>
      <c r="E7422" s="27"/>
      <c r="F7422" t="s">
        <v>26</v>
      </c>
      <c r="G7422" s="28">
        <f>IFERROR(VLOOKUP(F7422,CARTON_LOOKUP!$A:$E,3,0),"")</f>
      </c>
      <c r="H7422" s="28">
        <f>IFERROR(VLOOKUP(F7422,CARTON_LOOKUP!$A:$E,4,0),"")</f>
      </c>
      <c r="I7422" s="28">
        <f>IFERROR(VLOOKUP(F7422,CARTON_LOOKUP!$A:$E,5,0),"")</f>
      </c>
      <c r="J7422" s="29">
        <f>IFERROR(VLOOKUP(F7422,CARTON_LOOKUP!$A:$E,2,0),"")</f>
      </c>
      <c r="K7422" s="29">
        <f>IFERROR(J7422*D7422,0)</f>
      </c>
      <c r="L7422" s="29">
        <f>IFERROR(E7422*C7422,0)</f>
      </c>
      <c r="M7422" s="29">
        <f>IFERROR((G7422*H7422*I7422/1000000)*D7422,0)</f>
      </c>
    </row>
    <row r="7423" spans="1:13" x14ac:dyDescent="0.25">
      <c r="A7423" s="16"/>
      <c r="E7423" s="27"/>
      <c r="F7423" t="s">
        <v>26</v>
      </c>
      <c r="G7423" s="28">
        <f>IFERROR(VLOOKUP(F7423,CARTON_LOOKUP!$A:$E,3,0),"")</f>
      </c>
      <c r="H7423" s="28">
        <f>IFERROR(VLOOKUP(F7423,CARTON_LOOKUP!$A:$E,4,0),"")</f>
      </c>
      <c r="I7423" s="28">
        <f>IFERROR(VLOOKUP(F7423,CARTON_LOOKUP!$A:$E,5,0),"")</f>
      </c>
      <c r="J7423" s="29">
        <f>IFERROR(VLOOKUP(F7423,CARTON_LOOKUP!$A:$E,2,0),"")</f>
      </c>
      <c r="K7423" s="29">
        <f>IFERROR(J7423*D7423,0)</f>
      </c>
      <c r="L7423" s="29">
        <f>IFERROR(E7423*C7423,0)</f>
      </c>
      <c r="M7423" s="29">
        <f>IFERROR((G7423*H7423*I7423/1000000)*D7423,0)</f>
      </c>
    </row>
    <row r="7424" spans="1:13" x14ac:dyDescent="0.25">
      <c r="A7424" s="16"/>
      <c r="E7424" s="27"/>
      <c r="F7424" t="s">
        <v>26</v>
      </c>
      <c r="G7424" s="28">
        <f>IFERROR(VLOOKUP(F7424,CARTON_LOOKUP!$A:$E,3,0),"")</f>
      </c>
      <c r="H7424" s="28">
        <f>IFERROR(VLOOKUP(F7424,CARTON_LOOKUP!$A:$E,4,0),"")</f>
      </c>
      <c r="I7424" s="28">
        <f>IFERROR(VLOOKUP(F7424,CARTON_LOOKUP!$A:$E,5,0),"")</f>
      </c>
      <c r="J7424" s="29">
        <f>IFERROR(VLOOKUP(F7424,CARTON_LOOKUP!$A:$E,2,0),"")</f>
      </c>
      <c r="K7424" s="29">
        <f>IFERROR(J7424*D7424,0)</f>
      </c>
      <c r="L7424" s="29">
        <f>IFERROR(E7424*C7424,0)</f>
      </c>
      <c r="M7424" s="29">
        <f>IFERROR((G7424*H7424*I7424/1000000)*D7424,0)</f>
      </c>
    </row>
    <row r="7425" spans="1:13" x14ac:dyDescent="0.25">
      <c r="A7425" s="16"/>
      <c r="E7425" s="27"/>
      <c r="F7425" t="s">
        <v>26</v>
      </c>
      <c r="G7425" s="28">
        <f>IFERROR(VLOOKUP(F7425,CARTON_LOOKUP!$A:$E,3,0),"")</f>
      </c>
      <c r="H7425" s="28">
        <f>IFERROR(VLOOKUP(F7425,CARTON_LOOKUP!$A:$E,4,0),"")</f>
      </c>
      <c r="I7425" s="28">
        <f>IFERROR(VLOOKUP(F7425,CARTON_LOOKUP!$A:$E,5,0),"")</f>
      </c>
      <c r="J7425" s="29">
        <f>IFERROR(VLOOKUP(F7425,CARTON_LOOKUP!$A:$E,2,0),"")</f>
      </c>
      <c r="K7425" s="29">
        <f>IFERROR(J7425*D7425,0)</f>
      </c>
      <c r="L7425" s="29">
        <f>IFERROR(E7425*C7425,0)</f>
      </c>
      <c r="M7425" s="29">
        <f>IFERROR((G7425*H7425*I7425/1000000)*D7425,0)</f>
      </c>
    </row>
    <row r="7426" spans="1:13" x14ac:dyDescent="0.25">
      <c r="A7426" s="16"/>
      <c r="E7426" s="27"/>
      <c r="F7426" t="s">
        <v>26</v>
      </c>
      <c r="G7426" s="28">
        <f>IFERROR(VLOOKUP(F7426,CARTON_LOOKUP!$A:$E,3,0),"")</f>
      </c>
      <c r="H7426" s="28">
        <f>IFERROR(VLOOKUP(F7426,CARTON_LOOKUP!$A:$E,4,0),"")</f>
      </c>
      <c r="I7426" s="28">
        <f>IFERROR(VLOOKUP(F7426,CARTON_LOOKUP!$A:$E,5,0),"")</f>
      </c>
      <c r="J7426" s="29">
        <f>IFERROR(VLOOKUP(F7426,CARTON_LOOKUP!$A:$E,2,0),"")</f>
      </c>
      <c r="K7426" s="29">
        <f>IFERROR(J7426*D7426,0)</f>
      </c>
      <c r="L7426" s="29">
        <f>IFERROR(E7426*C7426,0)</f>
      </c>
      <c r="M7426" s="29">
        <f>IFERROR((G7426*H7426*I7426/1000000)*D7426,0)</f>
      </c>
    </row>
    <row r="7427" spans="1:13" x14ac:dyDescent="0.25">
      <c r="A7427" s="16"/>
      <c r="E7427" s="27"/>
      <c r="F7427" t="s">
        <v>26</v>
      </c>
      <c r="G7427" s="28">
        <f>IFERROR(VLOOKUP(F7427,CARTON_LOOKUP!$A:$E,3,0),"")</f>
      </c>
      <c r="H7427" s="28">
        <f>IFERROR(VLOOKUP(F7427,CARTON_LOOKUP!$A:$E,4,0),"")</f>
      </c>
      <c r="I7427" s="28">
        <f>IFERROR(VLOOKUP(F7427,CARTON_LOOKUP!$A:$E,5,0),"")</f>
      </c>
      <c r="J7427" s="29">
        <f>IFERROR(VLOOKUP(F7427,CARTON_LOOKUP!$A:$E,2,0),"")</f>
      </c>
      <c r="K7427" s="29">
        <f>IFERROR(J7427*D7427,0)</f>
      </c>
      <c r="L7427" s="29">
        <f>IFERROR(E7427*C7427,0)</f>
      </c>
      <c r="M7427" s="29">
        <f>IFERROR((G7427*H7427*I7427/1000000)*D7427,0)</f>
      </c>
    </row>
    <row r="7428" spans="1:13" x14ac:dyDescent="0.25">
      <c r="A7428" s="16"/>
      <c r="E7428" s="27"/>
      <c r="F7428" t="s">
        <v>26</v>
      </c>
      <c r="G7428" s="28">
        <f>IFERROR(VLOOKUP(F7428,CARTON_LOOKUP!$A:$E,3,0),"")</f>
      </c>
      <c r="H7428" s="28">
        <f>IFERROR(VLOOKUP(F7428,CARTON_LOOKUP!$A:$E,4,0),"")</f>
      </c>
      <c r="I7428" s="28">
        <f>IFERROR(VLOOKUP(F7428,CARTON_LOOKUP!$A:$E,5,0),"")</f>
      </c>
      <c r="J7428" s="29">
        <f>IFERROR(VLOOKUP(F7428,CARTON_LOOKUP!$A:$E,2,0),"")</f>
      </c>
      <c r="K7428" s="29">
        <f>IFERROR(J7428*D7428,0)</f>
      </c>
      <c r="L7428" s="29">
        <f>IFERROR(E7428*C7428,0)</f>
      </c>
      <c r="M7428" s="29">
        <f>IFERROR((G7428*H7428*I7428/1000000)*D7428,0)</f>
      </c>
    </row>
    <row r="7429" spans="1:13" x14ac:dyDescent="0.25">
      <c r="A7429" s="16"/>
      <c r="E7429" s="27"/>
      <c r="F7429" t="s">
        <v>26</v>
      </c>
      <c r="G7429" s="28">
        <f>IFERROR(VLOOKUP(F7429,CARTON_LOOKUP!$A:$E,3,0),"")</f>
      </c>
      <c r="H7429" s="28">
        <f>IFERROR(VLOOKUP(F7429,CARTON_LOOKUP!$A:$E,4,0),"")</f>
      </c>
      <c r="I7429" s="28">
        <f>IFERROR(VLOOKUP(F7429,CARTON_LOOKUP!$A:$E,5,0),"")</f>
      </c>
      <c r="J7429" s="29">
        <f>IFERROR(VLOOKUP(F7429,CARTON_LOOKUP!$A:$E,2,0),"")</f>
      </c>
      <c r="K7429" s="29">
        <f>IFERROR(J7429*D7429,0)</f>
      </c>
      <c r="L7429" s="29">
        <f>IFERROR(E7429*C7429,0)</f>
      </c>
      <c r="M7429" s="29">
        <f>IFERROR((G7429*H7429*I7429/1000000)*D7429,0)</f>
      </c>
    </row>
    <row r="7430" spans="1:13" x14ac:dyDescent="0.25">
      <c r="A7430" s="16"/>
      <c r="E7430" s="27"/>
      <c r="F7430" t="s">
        <v>26</v>
      </c>
      <c r="G7430" s="28">
        <f>IFERROR(VLOOKUP(F7430,CARTON_LOOKUP!$A:$E,3,0),"")</f>
      </c>
      <c r="H7430" s="28">
        <f>IFERROR(VLOOKUP(F7430,CARTON_LOOKUP!$A:$E,4,0),"")</f>
      </c>
      <c r="I7430" s="28">
        <f>IFERROR(VLOOKUP(F7430,CARTON_LOOKUP!$A:$E,5,0),"")</f>
      </c>
      <c r="J7430" s="29">
        <f>IFERROR(VLOOKUP(F7430,CARTON_LOOKUP!$A:$E,2,0),"")</f>
      </c>
      <c r="K7430" s="29">
        <f>IFERROR(J7430*D7430,0)</f>
      </c>
      <c r="L7430" s="29">
        <f>IFERROR(E7430*C7430,0)</f>
      </c>
      <c r="M7430" s="29">
        <f>IFERROR((G7430*H7430*I7430/1000000)*D7430,0)</f>
      </c>
    </row>
    <row r="7431" spans="1:13" x14ac:dyDescent="0.25">
      <c r="A7431" s="16"/>
      <c r="E7431" s="27"/>
      <c r="F7431" t="s">
        <v>26</v>
      </c>
      <c r="G7431" s="28">
        <f>IFERROR(VLOOKUP(F7431,CARTON_LOOKUP!$A:$E,3,0),"")</f>
      </c>
      <c r="H7431" s="28">
        <f>IFERROR(VLOOKUP(F7431,CARTON_LOOKUP!$A:$E,4,0),"")</f>
      </c>
      <c r="I7431" s="28">
        <f>IFERROR(VLOOKUP(F7431,CARTON_LOOKUP!$A:$E,5,0),"")</f>
      </c>
      <c r="J7431" s="29">
        <f>IFERROR(VLOOKUP(F7431,CARTON_LOOKUP!$A:$E,2,0),"")</f>
      </c>
      <c r="K7431" s="29">
        <f>IFERROR(J7431*D7431,0)</f>
      </c>
      <c r="L7431" s="29">
        <f>IFERROR(E7431*C7431,0)</f>
      </c>
      <c r="M7431" s="29">
        <f>IFERROR((G7431*H7431*I7431/1000000)*D7431,0)</f>
      </c>
    </row>
    <row r="7432" spans="1:13" x14ac:dyDescent="0.25">
      <c r="A7432" s="16"/>
      <c r="E7432" s="27"/>
      <c r="F7432" t="s">
        <v>26</v>
      </c>
      <c r="G7432" s="28">
        <f>IFERROR(VLOOKUP(F7432,CARTON_LOOKUP!$A:$E,3,0),"")</f>
      </c>
      <c r="H7432" s="28">
        <f>IFERROR(VLOOKUP(F7432,CARTON_LOOKUP!$A:$E,4,0),"")</f>
      </c>
      <c r="I7432" s="28">
        <f>IFERROR(VLOOKUP(F7432,CARTON_LOOKUP!$A:$E,5,0),"")</f>
      </c>
      <c r="J7432" s="29">
        <f>IFERROR(VLOOKUP(F7432,CARTON_LOOKUP!$A:$E,2,0),"")</f>
      </c>
      <c r="K7432" s="29">
        <f>IFERROR(J7432*D7432,0)</f>
      </c>
      <c r="L7432" s="29">
        <f>IFERROR(E7432*C7432,0)</f>
      </c>
      <c r="M7432" s="29">
        <f>IFERROR((G7432*H7432*I7432/1000000)*D7432,0)</f>
      </c>
    </row>
    <row r="7433" spans="1:13" x14ac:dyDescent="0.25">
      <c r="A7433" s="16"/>
      <c r="E7433" s="27"/>
      <c r="F7433" t="s">
        <v>26</v>
      </c>
      <c r="G7433" s="28">
        <f>IFERROR(VLOOKUP(F7433,CARTON_LOOKUP!$A:$E,3,0),"")</f>
      </c>
      <c r="H7433" s="28">
        <f>IFERROR(VLOOKUP(F7433,CARTON_LOOKUP!$A:$E,4,0),"")</f>
      </c>
      <c r="I7433" s="28">
        <f>IFERROR(VLOOKUP(F7433,CARTON_LOOKUP!$A:$E,5,0),"")</f>
      </c>
      <c r="J7433" s="29">
        <f>IFERROR(VLOOKUP(F7433,CARTON_LOOKUP!$A:$E,2,0),"")</f>
      </c>
      <c r="K7433" s="29">
        <f>IFERROR(J7433*D7433,0)</f>
      </c>
      <c r="L7433" s="29">
        <f>IFERROR(E7433*C7433,0)</f>
      </c>
      <c r="M7433" s="29">
        <f>IFERROR((G7433*H7433*I7433/1000000)*D7433,0)</f>
      </c>
    </row>
    <row r="7434" spans="1:13" x14ac:dyDescent="0.25">
      <c r="A7434" s="16"/>
      <c r="E7434" s="27"/>
      <c r="F7434" t="s">
        <v>26</v>
      </c>
      <c r="G7434" s="28">
        <f>IFERROR(VLOOKUP(F7434,CARTON_LOOKUP!$A:$E,3,0),"")</f>
      </c>
      <c r="H7434" s="28">
        <f>IFERROR(VLOOKUP(F7434,CARTON_LOOKUP!$A:$E,4,0),"")</f>
      </c>
      <c r="I7434" s="28">
        <f>IFERROR(VLOOKUP(F7434,CARTON_LOOKUP!$A:$E,5,0),"")</f>
      </c>
      <c r="J7434" s="29">
        <f>IFERROR(VLOOKUP(F7434,CARTON_LOOKUP!$A:$E,2,0),"")</f>
      </c>
      <c r="K7434" s="29">
        <f>IFERROR(J7434*D7434,0)</f>
      </c>
      <c r="L7434" s="29">
        <f>IFERROR(E7434*C7434,0)</f>
      </c>
      <c r="M7434" s="29">
        <f>IFERROR((G7434*H7434*I7434/1000000)*D7434,0)</f>
      </c>
    </row>
    <row r="7435" spans="1:13" x14ac:dyDescent="0.25">
      <c r="A7435" s="16"/>
      <c r="E7435" s="27"/>
      <c r="F7435" t="s">
        <v>26</v>
      </c>
      <c r="G7435" s="28">
        <f>IFERROR(VLOOKUP(F7435,CARTON_LOOKUP!$A:$E,3,0),"")</f>
      </c>
      <c r="H7435" s="28">
        <f>IFERROR(VLOOKUP(F7435,CARTON_LOOKUP!$A:$E,4,0),"")</f>
      </c>
      <c r="I7435" s="28">
        <f>IFERROR(VLOOKUP(F7435,CARTON_LOOKUP!$A:$E,5,0),"")</f>
      </c>
      <c r="J7435" s="29">
        <f>IFERROR(VLOOKUP(F7435,CARTON_LOOKUP!$A:$E,2,0),"")</f>
      </c>
      <c r="K7435" s="29">
        <f>IFERROR(J7435*D7435,0)</f>
      </c>
      <c r="L7435" s="29">
        <f>IFERROR(E7435*C7435,0)</f>
      </c>
      <c r="M7435" s="29">
        <f>IFERROR((G7435*H7435*I7435/1000000)*D7435,0)</f>
      </c>
    </row>
    <row r="7436" spans="1:13" x14ac:dyDescent="0.25">
      <c r="A7436" s="16"/>
      <c r="E7436" s="27"/>
      <c r="F7436" t="s">
        <v>26</v>
      </c>
      <c r="G7436" s="28">
        <f>IFERROR(VLOOKUP(F7436,CARTON_LOOKUP!$A:$E,3,0),"")</f>
      </c>
      <c r="H7436" s="28">
        <f>IFERROR(VLOOKUP(F7436,CARTON_LOOKUP!$A:$E,4,0),"")</f>
      </c>
      <c r="I7436" s="28">
        <f>IFERROR(VLOOKUP(F7436,CARTON_LOOKUP!$A:$E,5,0),"")</f>
      </c>
      <c r="J7436" s="29">
        <f>IFERROR(VLOOKUP(F7436,CARTON_LOOKUP!$A:$E,2,0),"")</f>
      </c>
      <c r="K7436" s="29">
        <f>IFERROR(J7436*D7436,0)</f>
      </c>
      <c r="L7436" s="29">
        <f>IFERROR(E7436*C7436,0)</f>
      </c>
      <c r="M7436" s="29">
        <f>IFERROR((G7436*H7436*I7436/1000000)*D7436,0)</f>
      </c>
    </row>
    <row r="7437" spans="1:13" x14ac:dyDescent="0.25">
      <c r="A7437" s="16"/>
      <c r="E7437" s="27"/>
      <c r="F7437" t="s">
        <v>26</v>
      </c>
      <c r="G7437" s="28">
        <f>IFERROR(VLOOKUP(F7437,CARTON_LOOKUP!$A:$E,3,0),"")</f>
      </c>
      <c r="H7437" s="28">
        <f>IFERROR(VLOOKUP(F7437,CARTON_LOOKUP!$A:$E,4,0),"")</f>
      </c>
      <c r="I7437" s="28">
        <f>IFERROR(VLOOKUP(F7437,CARTON_LOOKUP!$A:$E,5,0),"")</f>
      </c>
      <c r="J7437" s="29">
        <f>IFERROR(VLOOKUP(F7437,CARTON_LOOKUP!$A:$E,2,0),"")</f>
      </c>
      <c r="K7437" s="29">
        <f>IFERROR(J7437*D7437,0)</f>
      </c>
      <c r="L7437" s="29">
        <f>IFERROR(E7437*C7437,0)</f>
      </c>
      <c r="M7437" s="29">
        <f>IFERROR((G7437*H7437*I7437/1000000)*D7437,0)</f>
      </c>
    </row>
    <row r="7438" spans="1:13" x14ac:dyDescent="0.25">
      <c r="A7438" s="16"/>
      <c r="E7438" s="27"/>
      <c r="F7438" t="s">
        <v>26</v>
      </c>
      <c r="G7438" s="28">
        <f>IFERROR(VLOOKUP(F7438,CARTON_LOOKUP!$A:$E,3,0),"")</f>
      </c>
      <c r="H7438" s="28">
        <f>IFERROR(VLOOKUP(F7438,CARTON_LOOKUP!$A:$E,4,0),"")</f>
      </c>
      <c r="I7438" s="28">
        <f>IFERROR(VLOOKUP(F7438,CARTON_LOOKUP!$A:$E,5,0),"")</f>
      </c>
      <c r="J7438" s="29">
        <f>IFERROR(VLOOKUP(F7438,CARTON_LOOKUP!$A:$E,2,0),"")</f>
      </c>
      <c r="K7438" s="29">
        <f>IFERROR(J7438*D7438,0)</f>
      </c>
      <c r="L7438" s="29">
        <f>IFERROR(E7438*C7438,0)</f>
      </c>
      <c r="M7438" s="29">
        <f>IFERROR((G7438*H7438*I7438/1000000)*D7438,0)</f>
      </c>
    </row>
    <row r="7439" spans="1:13" x14ac:dyDescent="0.25">
      <c r="A7439" s="16"/>
      <c r="E7439" s="27"/>
      <c r="F7439" t="s">
        <v>26</v>
      </c>
      <c r="G7439" s="28">
        <f>IFERROR(VLOOKUP(F7439,CARTON_LOOKUP!$A:$E,3,0),"")</f>
      </c>
      <c r="H7439" s="28">
        <f>IFERROR(VLOOKUP(F7439,CARTON_LOOKUP!$A:$E,4,0),"")</f>
      </c>
      <c r="I7439" s="28">
        <f>IFERROR(VLOOKUP(F7439,CARTON_LOOKUP!$A:$E,5,0),"")</f>
      </c>
      <c r="J7439" s="29">
        <f>IFERROR(VLOOKUP(F7439,CARTON_LOOKUP!$A:$E,2,0),"")</f>
      </c>
      <c r="K7439" s="29">
        <f>IFERROR(J7439*D7439,0)</f>
      </c>
      <c r="L7439" s="29">
        <f>IFERROR(E7439*C7439,0)</f>
      </c>
      <c r="M7439" s="29">
        <f>IFERROR((G7439*H7439*I7439/1000000)*D7439,0)</f>
      </c>
    </row>
    <row r="7440" spans="1:13" x14ac:dyDescent="0.25">
      <c r="A7440" s="16"/>
      <c r="E7440" s="27"/>
      <c r="F7440" t="s">
        <v>26</v>
      </c>
      <c r="G7440" s="28">
        <f>IFERROR(VLOOKUP(F7440,CARTON_LOOKUP!$A:$E,3,0),"")</f>
      </c>
      <c r="H7440" s="28">
        <f>IFERROR(VLOOKUP(F7440,CARTON_LOOKUP!$A:$E,4,0),"")</f>
      </c>
      <c r="I7440" s="28">
        <f>IFERROR(VLOOKUP(F7440,CARTON_LOOKUP!$A:$E,5,0),"")</f>
      </c>
      <c r="J7440" s="29">
        <f>IFERROR(VLOOKUP(F7440,CARTON_LOOKUP!$A:$E,2,0),"")</f>
      </c>
      <c r="K7440" s="29">
        <f>IFERROR(J7440*D7440,0)</f>
      </c>
      <c r="L7440" s="29">
        <f>IFERROR(E7440*C7440,0)</f>
      </c>
      <c r="M7440" s="29">
        <f>IFERROR((G7440*H7440*I7440/1000000)*D7440,0)</f>
      </c>
    </row>
    <row r="7441" spans="1:13" x14ac:dyDescent="0.25">
      <c r="A7441" s="16"/>
      <c r="E7441" s="27"/>
      <c r="F7441" t="s">
        <v>26</v>
      </c>
      <c r="G7441" s="28">
        <f>IFERROR(VLOOKUP(F7441,CARTON_LOOKUP!$A:$E,3,0),"")</f>
      </c>
      <c r="H7441" s="28">
        <f>IFERROR(VLOOKUP(F7441,CARTON_LOOKUP!$A:$E,4,0),"")</f>
      </c>
      <c r="I7441" s="28">
        <f>IFERROR(VLOOKUP(F7441,CARTON_LOOKUP!$A:$E,5,0),"")</f>
      </c>
      <c r="J7441" s="29">
        <f>IFERROR(VLOOKUP(F7441,CARTON_LOOKUP!$A:$E,2,0),"")</f>
      </c>
      <c r="K7441" s="29">
        <f>IFERROR(J7441*D7441,0)</f>
      </c>
      <c r="L7441" s="29">
        <f>IFERROR(E7441*C7441,0)</f>
      </c>
      <c r="M7441" s="29">
        <f>IFERROR((G7441*H7441*I7441/1000000)*D7441,0)</f>
      </c>
    </row>
    <row r="7442" spans="1:13" x14ac:dyDescent="0.25">
      <c r="A7442" s="16"/>
      <c r="E7442" s="27"/>
      <c r="F7442" t="s">
        <v>26</v>
      </c>
      <c r="G7442" s="28">
        <f>IFERROR(VLOOKUP(F7442,CARTON_LOOKUP!$A:$E,3,0),"")</f>
      </c>
      <c r="H7442" s="28">
        <f>IFERROR(VLOOKUP(F7442,CARTON_LOOKUP!$A:$E,4,0),"")</f>
      </c>
      <c r="I7442" s="28">
        <f>IFERROR(VLOOKUP(F7442,CARTON_LOOKUP!$A:$E,5,0),"")</f>
      </c>
      <c r="J7442" s="29">
        <f>IFERROR(VLOOKUP(F7442,CARTON_LOOKUP!$A:$E,2,0),"")</f>
      </c>
      <c r="K7442" s="29">
        <f>IFERROR(J7442*D7442,0)</f>
      </c>
      <c r="L7442" s="29">
        <f>IFERROR(E7442*C7442,0)</f>
      </c>
      <c r="M7442" s="29">
        <f>IFERROR((G7442*H7442*I7442/1000000)*D7442,0)</f>
      </c>
    </row>
    <row r="7443" spans="1:13" x14ac:dyDescent="0.25">
      <c r="A7443" s="16"/>
      <c r="E7443" s="27"/>
      <c r="F7443" t="s">
        <v>26</v>
      </c>
      <c r="G7443" s="28">
        <f>IFERROR(VLOOKUP(F7443,CARTON_LOOKUP!$A:$E,3,0),"")</f>
      </c>
      <c r="H7443" s="28">
        <f>IFERROR(VLOOKUP(F7443,CARTON_LOOKUP!$A:$E,4,0),"")</f>
      </c>
      <c r="I7443" s="28">
        <f>IFERROR(VLOOKUP(F7443,CARTON_LOOKUP!$A:$E,5,0),"")</f>
      </c>
      <c r="J7443" s="29">
        <f>IFERROR(VLOOKUP(F7443,CARTON_LOOKUP!$A:$E,2,0),"")</f>
      </c>
      <c r="K7443" s="29">
        <f>IFERROR(J7443*D7443,0)</f>
      </c>
      <c r="L7443" s="29">
        <f>IFERROR(E7443*C7443,0)</f>
      </c>
      <c r="M7443" s="29">
        <f>IFERROR((G7443*H7443*I7443/1000000)*D7443,0)</f>
      </c>
    </row>
    <row r="7444" spans="1:13" x14ac:dyDescent="0.25">
      <c r="A7444" s="16"/>
      <c r="E7444" s="27"/>
      <c r="F7444" t="s">
        <v>26</v>
      </c>
      <c r="G7444" s="28">
        <f>IFERROR(VLOOKUP(F7444,CARTON_LOOKUP!$A:$E,3,0),"")</f>
      </c>
      <c r="H7444" s="28">
        <f>IFERROR(VLOOKUP(F7444,CARTON_LOOKUP!$A:$E,4,0),"")</f>
      </c>
      <c r="I7444" s="28">
        <f>IFERROR(VLOOKUP(F7444,CARTON_LOOKUP!$A:$E,5,0),"")</f>
      </c>
      <c r="J7444" s="29">
        <f>IFERROR(VLOOKUP(F7444,CARTON_LOOKUP!$A:$E,2,0),"")</f>
      </c>
      <c r="K7444" s="29">
        <f>IFERROR(J7444*D7444,0)</f>
      </c>
      <c r="L7444" s="29">
        <f>IFERROR(E7444*C7444,0)</f>
      </c>
      <c r="M7444" s="29">
        <f>IFERROR((G7444*H7444*I7444/1000000)*D7444,0)</f>
      </c>
    </row>
    <row r="7445" spans="1:13" x14ac:dyDescent="0.25">
      <c r="A7445" s="16"/>
      <c r="E7445" s="27"/>
      <c r="F7445" t="s">
        <v>26</v>
      </c>
      <c r="G7445" s="28">
        <f>IFERROR(VLOOKUP(F7445,CARTON_LOOKUP!$A:$E,3,0),"")</f>
      </c>
      <c r="H7445" s="28">
        <f>IFERROR(VLOOKUP(F7445,CARTON_LOOKUP!$A:$E,4,0),"")</f>
      </c>
      <c r="I7445" s="28">
        <f>IFERROR(VLOOKUP(F7445,CARTON_LOOKUP!$A:$E,5,0),"")</f>
      </c>
      <c r="J7445" s="29">
        <f>IFERROR(VLOOKUP(F7445,CARTON_LOOKUP!$A:$E,2,0),"")</f>
      </c>
      <c r="K7445" s="29">
        <f>IFERROR(J7445*D7445,0)</f>
      </c>
      <c r="L7445" s="29">
        <f>IFERROR(E7445*C7445,0)</f>
      </c>
      <c r="M7445" s="29">
        <f>IFERROR((G7445*H7445*I7445/1000000)*D7445,0)</f>
      </c>
    </row>
    <row r="7446" spans="1:13" x14ac:dyDescent="0.25">
      <c r="A7446" s="16"/>
      <c r="E7446" s="27"/>
      <c r="F7446" t="s">
        <v>26</v>
      </c>
      <c r="G7446" s="28">
        <f>IFERROR(VLOOKUP(F7446,CARTON_LOOKUP!$A:$E,3,0),"")</f>
      </c>
      <c r="H7446" s="28">
        <f>IFERROR(VLOOKUP(F7446,CARTON_LOOKUP!$A:$E,4,0),"")</f>
      </c>
      <c r="I7446" s="28">
        <f>IFERROR(VLOOKUP(F7446,CARTON_LOOKUP!$A:$E,5,0),"")</f>
      </c>
      <c r="J7446" s="29">
        <f>IFERROR(VLOOKUP(F7446,CARTON_LOOKUP!$A:$E,2,0),"")</f>
      </c>
      <c r="K7446" s="29">
        <f>IFERROR(J7446*D7446,0)</f>
      </c>
      <c r="L7446" s="29">
        <f>IFERROR(E7446*C7446,0)</f>
      </c>
      <c r="M7446" s="29">
        <f>IFERROR((G7446*H7446*I7446/1000000)*D7446,0)</f>
      </c>
    </row>
    <row r="7447" spans="1:13" x14ac:dyDescent="0.25">
      <c r="A7447" s="16"/>
      <c r="E7447" s="27"/>
      <c r="F7447" t="s">
        <v>26</v>
      </c>
      <c r="G7447" s="28">
        <f>IFERROR(VLOOKUP(F7447,CARTON_LOOKUP!$A:$E,3,0),"")</f>
      </c>
      <c r="H7447" s="28">
        <f>IFERROR(VLOOKUP(F7447,CARTON_LOOKUP!$A:$E,4,0),"")</f>
      </c>
      <c r="I7447" s="28">
        <f>IFERROR(VLOOKUP(F7447,CARTON_LOOKUP!$A:$E,5,0),"")</f>
      </c>
      <c r="J7447" s="29">
        <f>IFERROR(VLOOKUP(F7447,CARTON_LOOKUP!$A:$E,2,0),"")</f>
      </c>
      <c r="K7447" s="29">
        <f>IFERROR(J7447*D7447,0)</f>
      </c>
      <c r="L7447" s="29">
        <f>IFERROR(E7447*C7447,0)</f>
      </c>
      <c r="M7447" s="29">
        <f>IFERROR((G7447*H7447*I7447/1000000)*D7447,0)</f>
      </c>
    </row>
    <row r="7448" spans="1:13" x14ac:dyDescent="0.25">
      <c r="A7448" s="16"/>
      <c r="E7448" s="27"/>
      <c r="F7448" t="s">
        <v>26</v>
      </c>
      <c r="G7448" s="28">
        <f>IFERROR(VLOOKUP(F7448,CARTON_LOOKUP!$A:$E,3,0),"")</f>
      </c>
      <c r="H7448" s="28">
        <f>IFERROR(VLOOKUP(F7448,CARTON_LOOKUP!$A:$E,4,0),"")</f>
      </c>
      <c r="I7448" s="28">
        <f>IFERROR(VLOOKUP(F7448,CARTON_LOOKUP!$A:$E,5,0),"")</f>
      </c>
      <c r="J7448" s="29">
        <f>IFERROR(VLOOKUP(F7448,CARTON_LOOKUP!$A:$E,2,0),"")</f>
      </c>
      <c r="K7448" s="29">
        <f>IFERROR(J7448*D7448,0)</f>
      </c>
      <c r="L7448" s="29">
        <f>IFERROR(E7448*C7448,0)</f>
      </c>
      <c r="M7448" s="29">
        <f>IFERROR((G7448*H7448*I7448/1000000)*D7448,0)</f>
      </c>
    </row>
    <row r="7449" spans="1:13" x14ac:dyDescent="0.25">
      <c r="A7449" s="16"/>
      <c r="E7449" s="27"/>
      <c r="F7449" t="s">
        <v>26</v>
      </c>
      <c r="G7449" s="28">
        <f>IFERROR(VLOOKUP(F7449,CARTON_LOOKUP!$A:$E,3,0),"")</f>
      </c>
      <c r="H7449" s="28">
        <f>IFERROR(VLOOKUP(F7449,CARTON_LOOKUP!$A:$E,4,0),"")</f>
      </c>
      <c r="I7449" s="28">
        <f>IFERROR(VLOOKUP(F7449,CARTON_LOOKUP!$A:$E,5,0),"")</f>
      </c>
      <c r="J7449" s="29">
        <f>IFERROR(VLOOKUP(F7449,CARTON_LOOKUP!$A:$E,2,0),"")</f>
      </c>
      <c r="K7449" s="29">
        <f>IFERROR(J7449*D7449,0)</f>
      </c>
      <c r="L7449" s="29">
        <f>IFERROR(E7449*C7449,0)</f>
      </c>
      <c r="M7449" s="29">
        <f>IFERROR((G7449*H7449*I7449/1000000)*D7449,0)</f>
      </c>
    </row>
    <row r="7450" spans="1:13" x14ac:dyDescent="0.25">
      <c r="A7450" s="16"/>
      <c r="E7450" s="27"/>
      <c r="F7450" t="s">
        <v>26</v>
      </c>
      <c r="G7450" s="28">
        <f>IFERROR(VLOOKUP(F7450,CARTON_LOOKUP!$A:$E,3,0),"")</f>
      </c>
      <c r="H7450" s="28">
        <f>IFERROR(VLOOKUP(F7450,CARTON_LOOKUP!$A:$E,4,0),"")</f>
      </c>
      <c r="I7450" s="28">
        <f>IFERROR(VLOOKUP(F7450,CARTON_LOOKUP!$A:$E,5,0),"")</f>
      </c>
      <c r="J7450" s="29">
        <f>IFERROR(VLOOKUP(F7450,CARTON_LOOKUP!$A:$E,2,0),"")</f>
      </c>
      <c r="K7450" s="29">
        <f>IFERROR(J7450*D7450,0)</f>
      </c>
      <c r="L7450" s="29">
        <f>IFERROR(E7450*C7450,0)</f>
      </c>
      <c r="M7450" s="29">
        <f>IFERROR((G7450*H7450*I7450/1000000)*D7450,0)</f>
      </c>
    </row>
    <row r="7451" spans="1:13" x14ac:dyDescent="0.25">
      <c r="A7451" s="16"/>
      <c r="E7451" s="27"/>
      <c r="F7451" t="s">
        <v>26</v>
      </c>
      <c r="G7451" s="28">
        <f>IFERROR(VLOOKUP(F7451,CARTON_LOOKUP!$A:$E,3,0),"")</f>
      </c>
      <c r="H7451" s="28">
        <f>IFERROR(VLOOKUP(F7451,CARTON_LOOKUP!$A:$E,4,0),"")</f>
      </c>
      <c r="I7451" s="28">
        <f>IFERROR(VLOOKUP(F7451,CARTON_LOOKUP!$A:$E,5,0),"")</f>
      </c>
      <c r="J7451" s="29">
        <f>IFERROR(VLOOKUP(F7451,CARTON_LOOKUP!$A:$E,2,0),"")</f>
      </c>
      <c r="K7451" s="29">
        <f>IFERROR(J7451*D7451,0)</f>
      </c>
      <c r="L7451" s="29">
        <f>IFERROR(E7451*C7451,0)</f>
      </c>
      <c r="M7451" s="29">
        <f>IFERROR((G7451*H7451*I7451/1000000)*D7451,0)</f>
      </c>
    </row>
    <row r="7452" spans="1:13" x14ac:dyDescent="0.25">
      <c r="A7452" s="16"/>
      <c r="E7452" s="27"/>
      <c r="F7452" t="s">
        <v>26</v>
      </c>
      <c r="G7452" s="28">
        <f>IFERROR(VLOOKUP(F7452,CARTON_LOOKUP!$A:$E,3,0),"")</f>
      </c>
      <c r="H7452" s="28">
        <f>IFERROR(VLOOKUP(F7452,CARTON_LOOKUP!$A:$E,4,0),"")</f>
      </c>
      <c r="I7452" s="28">
        <f>IFERROR(VLOOKUP(F7452,CARTON_LOOKUP!$A:$E,5,0),"")</f>
      </c>
      <c r="J7452" s="29">
        <f>IFERROR(VLOOKUP(F7452,CARTON_LOOKUP!$A:$E,2,0),"")</f>
      </c>
      <c r="K7452" s="29">
        <f>IFERROR(J7452*D7452,0)</f>
      </c>
      <c r="L7452" s="29">
        <f>IFERROR(E7452*C7452,0)</f>
      </c>
      <c r="M7452" s="29">
        <f>IFERROR((G7452*H7452*I7452/1000000)*D7452,0)</f>
      </c>
    </row>
    <row r="7453" spans="1:13" x14ac:dyDescent="0.25">
      <c r="A7453" s="16"/>
      <c r="E7453" s="27"/>
      <c r="F7453" t="s">
        <v>26</v>
      </c>
      <c r="G7453" s="28">
        <f>IFERROR(VLOOKUP(F7453,CARTON_LOOKUP!$A:$E,3,0),"")</f>
      </c>
      <c r="H7453" s="28">
        <f>IFERROR(VLOOKUP(F7453,CARTON_LOOKUP!$A:$E,4,0),"")</f>
      </c>
      <c r="I7453" s="28">
        <f>IFERROR(VLOOKUP(F7453,CARTON_LOOKUP!$A:$E,5,0),"")</f>
      </c>
      <c r="J7453" s="29">
        <f>IFERROR(VLOOKUP(F7453,CARTON_LOOKUP!$A:$E,2,0),"")</f>
      </c>
      <c r="K7453" s="29">
        <f>IFERROR(J7453*D7453,0)</f>
      </c>
      <c r="L7453" s="29">
        <f>IFERROR(E7453*C7453,0)</f>
      </c>
      <c r="M7453" s="29">
        <f>IFERROR((G7453*H7453*I7453/1000000)*D7453,0)</f>
      </c>
    </row>
    <row r="7454" spans="1:13" x14ac:dyDescent="0.25">
      <c r="A7454" s="16"/>
      <c r="E7454" s="27"/>
      <c r="F7454" t="s">
        <v>26</v>
      </c>
      <c r="G7454" s="28">
        <f>IFERROR(VLOOKUP(F7454,CARTON_LOOKUP!$A:$E,3,0),"")</f>
      </c>
      <c r="H7454" s="28">
        <f>IFERROR(VLOOKUP(F7454,CARTON_LOOKUP!$A:$E,4,0),"")</f>
      </c>
      <c r="I7454" s="28">
        <f>IFERROR(VLOOKUP(F7454,CARTON_LOOKUP!$A:$E,5,0),"")</f>
      </c>
      <c r="J7454" s="29">
        <f>IFERROR(VLOOKUP(F7454,CARTON_LOOKUP!$A:$E,2,0),"")</f>
      </c>
      <c r="K7454" s="29">
        <f>IFERROR(J7454*D7454,0)</f>
      </c>
      <c r="L7454" s="29">
        <f>IFERROR(E7454*C7454,0)</f>
      </c>
      <c r="M7454" s="29">
        <f>IFERROR((G7454*H7454*I7454/1000000)*D7454,0)</f>
      </c>
    </row>
    <row r="7455" spans="1:13" x14ac:dyDescent="0.25">
      <c r="A7455" s="16"/>
      <c r="E7455" s="27"/>
      <c r="F7455" t="s">
        <v>26</v>
      </c>
      <c r="G7455" s="28">
        <f>IFERROR(VLOOKUP(F7455,CARTON_LOOKUP!$A:$E,3,0),"")</f>
      </c>
      <c r="H7455" s="28">
        <f>IFERROR(VLOOKUP(F7455,CARTON_LOOKUP!$A:$E,4,0),"")</f>
      </c>
      <c r="I7455" s="28">
        <f>IFERROR(VLOOKUP(F7455,CARTON_LOOKUP!$A:$E,5,0),"")</f>
      </c>
      <c r="J7455" s="29">
        <f>IFERROR(VLOOKUP(F7455,CARTON_LOOKUP!$A:$E,2,0),"")</f>
      </c>
      <c r="K7455" s="29">
        <f>IFERROR(J7455*D7455,0)</f>
      </c>
      <c r="L7455" s="29">
        <f>IFERROR(E7455*C7455,0)</f>
      </c>
      <c r="M7455" s="29">
        <f>IFERROR((G7455*H7455*I7455/1000000)*D7455,0)</f>
      </c>
    </row>
    <row r="7456" spans="1:13" x14ac:dyDescent="0.25">
      <c r="A7456" s="16"/>
      <c r="E7456" s="27"/>
      <c r="F7456" t="s">
        <v>26</v>
      </c>
      <c r="G7456" s="28">
        <f>IFERROR(VLOOKUP(F7456,CARTON_LOOKUP!$A:$E,3,0),"")</f>
      </c>
      <c r="H7456" s="28">
        <f>IFERROR(VLOOKUP(F7456,CARTON_LOOKUP!$A:$E,4,0),"")</f>
      </c>
      <c r="I7456" s="28">
        <f>IFERROR(VLOOKUP(F7456,CARTON_LOOKUP!$A:$E,5,0),"")</f>
      </c>
      <c r="J7456" s="29">
        <f>IFERROR(VLOOKUP(F7456,CARTON_LOOKUP!$A:$E,2,0),"")</f>
      </c>
      <c r="K7456" s="29">
        <f>IFERROR(J7456*D7456,0)</f>
      </c>
      <c r="L7456" s="29">
        <f>IFERROR(E7456*C7456,0)</f>
      </c>
      <c r="M7456" s="29">
        <f>IFERROR((G7456*H7456*I7456/1000000)*D7456,0)</f>
      </c>
    </row>
    <row r="7457" spans="1:13" x14ac:dyDescent="0.25">
      <c r="A7457" s="16"/>
      <c r="E7457" s="27"/>
      <c r="F7457" t="s">
        <v>26</v>
      </c>
      <c r="G7457" s="28">
        <f>IFERROR(VLOOKUP(F7457,CARTON_LOOKUP!$A:$E,3,0),"")</f>
      </c>
      <c r="H7457" s="28">
        <f>IFERROR(VLOOKUP(F7457,CARTON_LOOKUP!$A:$E,4,0),"")</f>
      </c>
      <c r="I7457" s="28">
        <f>IFERROR(VLOOKUP(F7457,CARTON_LOOKUP!$A:$E,5,0),"")</f>
      </c>
      <c r="J7457" s="29">
        <f>IFERROR(VLOOKUP(F7457,CARTON_LOOKUP!$A:$E,2,0),"")</f>
      </c>
      <c r="K7457" s="29">
        <f>IFERROR(J7457*D7457,0)</f>
      </c>
      <c r="L7457" s="29">
        <f>IFERROR(E7457*C7457,0)</f>
      </c>
      <c r="M7457" s="29">
        <f>IFERROR((G7457*H7457*I7457/1000000)*D7457,0)</f>
      </c>
    </row>
    <row r="7458" spans="1:13" x14ac:dyDescent="0.25">
      <c r="A7458" s="16"/>
      <c r="E7458" s="27"/>
      <c r="F7458" t="s">
        <v>26</v>
      </c>
      <c r="G7458" s="28">
        <f>IFERROR(VLOOKUP(F7458,CARTON_LOOKUP!$A:$E,3,0),"")</f>
      </c>
      <c r="H7458" s="28">
        <f>IFERROR(VLOOKUP(F7458,CARTON_LOOKUP!$A:$E,4,0),"")</f>
      </c>
      <c r="I7458" s="28">
        <f>IFERROR(VLOOKUP(F7458,CARTON_LOOKUP!$A:$E,5,0),"")</f>
      </c>
      <c r="J7458" s="29">
        <f>IFERROR(VLOOKUP(F7458,CARTON_LOOKUP!$A:$E,2,0),"")</f>
      </c>
      <c r="K7458" s="29">
        <f>IFERROR(J7458*D7458,0)</f>
      </c>
      <c r="L7458" s="29">
        <f>IFERROR(E7458*C7458,0)</f>
      </c>
      <c r="M7458" s="29">
        <f>IFERROR((G7458*H7458*I7458/1000000)*D7458,0)</f>
      </c>
    </row>
    <row r="7459" spans="1:13" x14ac:dyDescent="0.25">
      <c r="A7459" s="16"/>
      <c r="E7459" s="27"/>
      <c r="F7459" t="s">
        <v>26</v>
      </c>
      <c r="G7459" s="28">
        <f>IFERROR(VLOOKUP(F7459,CARTON_LOOKUP!$A:$E,3,0),"")</f>
      </c>
      <c r="H7459" s="28">
        <f>IFERROR(VLOOKUP(F7459,CARTON_LOOKUP!$A:$E,4,0),"")</f>
      </c>
      <c r="I7459" s="28">
        <f>IFERROR(VLOOKUP(F7459,CARTON_LOOKUP!$A:$E,5,0),"")</f>
      </c>
      <c r="J7459" s="29">
        <f>IFERROR(VLOOKUP(F7459,CARTON_LOOKUP!$A:$E,2,0),"")</f>
      </c>
      <c r="K7459" s="29">
        <f>IFERROR(J7459*D7459,0)</f>
      </c>
      <c r="L7459" s="29">
        <f>IFERROR(E7459*C7459,0)</f>
      </c>
      <c r="M7459" s="29">
        <f>IFERROR((G7459*H7459*I7459/1000000)*D7459,0)</f>
      </c>
    </row>
    <row r="7460" spans="1:13" x14ac:dyDescent="0.25">
      <c r="A7460" s="16"/>
      <c r="E7460" s="27"/>
      <c r="F7460" t="s">
        <v>26</v>
      </c>
      <c r="G7460" s="28">
        <f>IFERROR(VLOOKUP(F7460,CARTON_LOOKUP!$A:$E,3,0),"")</f>
      </c>
      <c r="H7460" s="28">
        <f>IFERROR(VLOOKUP(F7460,CARTON_LOOKUP!$A:$E,4,0),"")</f>
      </c>
      <c r="I7460" s="28">
        <f>IFERROR(VLOOKUP(F7460,CARTON_LOOKUP!$A:$E,5,0),"")</f>
      </c>
      <c r="J7460" s="29">
        <f>IFERROR(VLOOKUP(F7460,CARTON_LOOKUP!$A:$E,2,0),"")</f>
      </c>
      <c r="K7460" s="29">
        <f>IFERROR(J7460*D7460,0)</f>
      </c>
      <c r="L7460" s="29">
        <f>IFERROR(E7460*C7460,0)</f>
      </c>
      <c r="M7460" s="29">
        <f>IFERROR((G7460*H7460*I7460/1000000)*D7460,0)</f>
      </c>
    </row>
    <row r="7461" spans="1:13" x14ac:dyDescent="0.25">
      <c r="A7461" s="16"/>
      <c r="E7461" s="27"/>
      <c r="F7461" t="s">
        <v>26</v>
      </c>
      <c r="G7461" s="28">
        <f>IFERROR(VLOOKUP(F7461,CARTON_LOOKUP!$A:$E,3,0),"")</f>
      </c>
      <c r="H7461" s="28">
        <f>IFERROR(VLOOKUP(F7461,CARTON_LOOKUP!$A:$E,4,0),"")</f>
      </c>
      <c r="I7461" s="28">
        <f>IFERROR(VLOOKUP(F7461,CARTON_LOOKUP!$A:$E,5,0),"")</f>
      </c>
      <c r="J7461" s="29">
        <f>IFERROR(VLOOKUP(F7461,CARTON_LOOKUP!$A:$E,2,0),"")</f>
      </c>
      <c r="K7461" s="29">
        <f>IFERROR(J7461*D7461,0)</f>
      </c>
      <c r="L7461" s="29">
        <f>IFERROR(E7461*C7461,0)</f>
      </c>
      <c r="M7461" s="29">
        <f>IFERROR((G7461*H7461*I7461/1000000)*D7461,0)</f>
      </c>
    </row>
    <row r="7462" spans="1:13" x14ac:dyDescent="0.25">
      <c r="A7462" s="16"/>
      <c r="E7462" s="27"/>
      <c r="F7462" t="s">
        <v>26</v>
      </c>
      <c r="G7462" s="28">
        <f>IFERROR(VLOOKUP(F7462,CARTON_LOOKUP!$A:$E,3,0),"")</f>
      </c>
      <c r="H7462" s="28">
        <f>IFERROR(VLOOKUP(F7462,CARTON_LOOKUP!$A:$E,4,0),"")</f>
      </c>
      <c r="I7462" s="28">
        <f>IFERROR(VLOOKUP(F7462,CARTON_LOOKUP!$A:$E,5,0),"")</f>
      </c>
      <c r="J7462" s="29">
        <f>IFERROR(VLOOKUP(F7462,CARTON_LOOKUP!$A:$E,2,0),"")</f>
      </c>
      <c r="K7462" s="29">
        <f>IFERROR(J7462*D7462,0)</f>
      </c>
      <c r="L7462" s="29">
        <f>IFERROR(E7462*C7462,0)</f>
      </c>
      <c r="M7462" s="29">
        <f>IFERROR((G7462*H7462*I7462/1000000)*D7462,0)</f>
      </c>
    </row>
    <row r="7463" spans="1:13" x14ac:dyDescent="0.25">
      <c r="A7463" s="16"/>
      <c r="E7463" s="27"/>
      <c r="F7463" t="s">
        <v>26</v>
      </c>
      <c r="G7463" s="28">
        <f>IFERROR(VLOOKUP(F7463,CARTON_LOOKUP!$A:$E,3,0),"")</f>
      </c>
      <c r="H7463" s="28">
        <f>IFERROR(VLOOKUP(F7463,CARTON_LOOKUP!$A:$E,4,0),"")</f>
      </c>
      <c r="I7463" s="28">
        <f>IFERROR(VLOOKUP(F7463,CARTON_LOOKUP!$A:$E,5,0),"")</f>
      </c>
      <c r="J7463" s="29">
        <f>IFERROR(VLOOKUP(F7463,CARTON_LOOKUP!$A:$E,2,0),"")</f>
      </c>
      <c r="K7463" s="29">
        <f>IFERROR(J7463*D7463,0)</f>
      </c>
      <c r="L7463" s="29">
        <f>IFERROR(E7463*C7463,0)</f>
      </c>
      <c r="M7463" s="29">
        <f>IFERROR((G7463*H7463*I7463/1000000)*D7463,0)</f>
      </c>
    </row>
    <row r="7464" spans="1:13" x14ac:dyDescent="0.25">
      <c r="A7464" s="16"/>
      <c r="E7464" s="27"/>
      <c r="F7464" t="s">
        <v>26</v>
      </c>
      <c r="G7464" s="28">
        <f>IFERROR(VLOOKUP(F7464,CARTON_LOOKUP!$A:$E,3,0),"")</f>
      </c>
      <c r="H7464" s="28">
        <f>IFERROR(VLOOKUP(F7464,CARTON_LOOKUP!$A:$E,4,0),"")</f>
      </c>
      <c r="I7464" s="28">
        <f>IFERROR(VLOOKUP(F7464,CARTON_LOOKUP!$A:$E,5,0),"")</f>
      </c>
      <c r="J7464" s="29">
        <f>IFERROR(VLOOKUP(F7464,CARTON_LOOKUP!$A:$E,2,0),"")</f>
      </c>
      <c r="K7464" s="29">
        <f>IFERROR(J7464*D7464,0)</f>
      </c>
      <c r="L7464" s="29">
        <f>IFERROR(E7464*C7464,0)</f>
      </c>
      <c r="M7464" s="29">
        <f>IFERROR((G7464*H7464*I7464/1000000)*D7464,0)</f>
      </c>
    </row>
    <row r="7465" spans="1:13" x14ac:dyDescent="0.25">
      <c r="A7465" s="16"/>
      <c r="E7465" s="27"/>
      <c r="F7465" t="s">
        <v>26</v>
      </c>
      <c r="G7465" s="28">
        <f>IFERROR(VLOOKUP(F7465,CARTON_LOOKUP!$A:$E,3,0),"")</f>
      </c>
      <c r="H7465" s="28">
        <f>IFERROR(VLOOKUP(F7465,CARTON_LOOKUP!$A:$E,4,0),"")</f>
      </c>
      <c r="I7465" s="28">
        <f>IFERROR(VLOOKUP(F7465,CARTON_LOOKUP!$A:$E,5,0),"")</f>
      </c>
      <c r="J7465" s="29">
        <f>IFERROR(VLOOKUP(F7465,CARTON_LOOKUP!$A:$E,2,0),"")</f>
      </c>
      <c r="K7465" s="29">
        <f>IFERROR(J7465*D7465,0)</f>
      </c>
      <c r="L7465" s="29">
        <f>IFERROR(E7465*C7465,0)</f>
      </c>
      <c r="M7465" s="29">
        <f>IFERROR((G7465*H7465*I7465/1000000)*D7465,0)</f>
      </c>
    </row>
    <row r="7466" spans="1:13" x14ac:dyDescent="0.25">
      <c r="A7466" s="16"/>
      <c r="E7466" s="27"/>
      <c r="F7466" t="s">
        <v>26</v>
      </c>
      <c r="G7466" s="28">
        <f>IFERROR(VLOOKUP(F7466,CARTON_LOOKUP!$A:$E,3,0),"")</f>
      </c>
      <c r="H7466" s="28">
        <f>IFERROR(VLOOKUP(F7466,CARTON_LOOKUP!$A:$E,4,0),"")</f>
      </c>
      <c r="I7466" s="28">
        <f>IFERROR(VLOOKUP(F7466,CARTON_LOOKUP!$A:$E,5,0),"")</f>
      </c>
      <c r="J7466" s="29">
        <f>IFERROR(VLOOKUP(F7466,CARTON_LOOKUP!$A:$E,2,0),"")</f>
      </c>
      <c r="K7466" s="29">
        <f>IFERROR(J7466*D7466,0)</f>
      </c>
      <c r="L7466" s="29">
        <f>IFERROR(E7466*C7466,0)</f>
      </c>
      <c r="M7466" s="29">
        <f>IFERROR((G7466*H7466*I7466/1000000)*D7466,0)</f>
      </c>
    </row>
    <row r="7467" spans="1:13" x14ac:dyDescent="0.25">
      <c r="A7467" s="16"/>
      <c r="E7467" s="27"/>
      <c r="F7467" t="s">
        <v>26</v>
      </c>
      <c r="G7467" s="28">
        <f>IFERROR(VLOOKUP(F7467,CARTON_LOOKUP!$A:$E,3,0),"")</f>
      </c>
      <c r="H7467" s="28">
        <f>IFERROR(VLOOKUP(F7467,CARTON_LOOKUP!$A:$E,4,0),"")</f>
      </c>
      <c r="I7467" s="28">
        <f>IFERROR(VLOOKUP(F7467,CARTON_LOOKUP!$A:$E,5,0),"")</f>
      </c>
      <c r="J7467" s="29">
        <f>IFERROR(VLOOKUP(F7467,CARTON_LOOKUP!$A:$E,2,0),"")</f>
      </c>
      <c r="K7467" s="29">
        <f>IFERROR(J7467*D7467,0)</f>
      </c>
      <c r="L7467" s="29">
        <f>IFERROR(E7467*C7467,0)</f>
      </c>
      <c r="M7467" s="29">
        <f>IFERROR((G7467*H7467*I7467/1000000)*D7467,0)</f>
      </c>
    </row>
    <row r="7468" spans="1:13" x14ac:dyDescent="0.25">
      <c r="A7468" s="16"/>
      <c r="E7468" s="27"/>
      <c r="F7468" t="s">
        <v>26</v>
      </c>
      <c r="G7468" s="28">
        <f>IFERROR(VLOOKUP(F7468,CARTON_LOOKUP!$A:$E,3,0),"")</f>
      </c>
      <c r="H7468" s="28">
        <f>IFERROR(VLOOKUP(F7468,CARTON_LOOKUP!$A:$E,4,0),"")</f>
      </c>
      <c r="I7468" s="28">
        <f>IFERROR(VLOOKUP(F7468,CARTON_LOOKUP!$A:$E,5,0),"")</f>
      </c>
      <c r="J7468" s="29">
        <f>IFERROR(VLOOKUP(F7468,CARTON_LOOKUP!$A:$E,2,0),"")</f>
      </c>
      <c r="K7468" s="29">
        <f>IFERROR(J7468*D7468,0)</f>
      </c>
      <c r="L7468" s="29">
        <f>IFERROR(E7468*C7468,0)</f>
      </c>
      <c r="M7468" s="29">
        <f>IFERROR((G7468*H7468*I7468/1000000)*D7468,0)</f>
      </c>
    </row>
    <row r="7469" spans="1:13" x14ac:dyDescent="0.25">
      <c r="A7469" s="16"/>
      <c r="E7469" s="27"/>
      <c r="F7469" t="s">
        <v>26</v>
      </c>
      <c r="G7469" s="28">
        <f>IFERROR(VLOOKUP(F7469,CARTON_LOOKUP!$A:$E,3,0),"")</f>
      </c>
      <c r="H7469" s="28">
        <f>IFERROR(VLOOKUP(F7469,CARTON_LOOKUP!$A:$E,4,0),"")</f>
      </c>
      <c r="I7469" s="28">
        <f>IFERROR(VLOOKUP(F7469,CARTON_LOOKUP!$A:$E,5,0),"")</f>
      </c>
      <c r="J7469" s="29">
        <f>IFERROR(VLOOKUP(F7469,CARTON_LOOKUP!$A:$E,2,0),"")</f>
      </c>
      <c r="K7469" s="29">
        <f>IFERROR(J7469*D7469,0)</f>
      </c>
      <c r="L7469" s="29">
        <f>IFERROR(E7469*C7469,0)</f>
      </c>
      <c r="M7469" s="29">
        <f>IFERROR((G7469*H7469*I7469/1000000)*D7469,0)</f>
      </c>
    </row>
    <row r="7470" spans="1:13" x14ac:dyDescent="0.25">
      <c r="A7470" s="16"/>
      <c r="E7470" s="27"/>
      <c r="F7470" t="s">
        <v>26</v>
      </c>
      <c r="G7470" s="28">
        <f>IFERROR(VLOOKUP(F7470,CARTON_LOOKUP!$A:$E,3,0),"")</f>
      </c>
      <c r="H7470" s="28">
        <f>IFERROR(VLOOKUP(F7470,CARTON_LOOKUP!$A:$E,4,0),"")</f>
      </c>
      <c r="I7470" s="28">
        <f>IFERROR(VLOOKUP(F7470,CARTON_LOOKUP!$A:$E,5,0),"")</f>
      </c>
      <c r="J7470" s="29">
        <f>IFERROR(VLOOKUP(F7470,CARTON_LOOKUP!$A:$E,2,0),"")</f>
      </c>
      <c r="K7470" s="29">
        <f>IFERROR(J7470*D7470,0)</f>
      </c>
      <c r="L7470" s="29">
        <f>IFERROR(E7470*C7470,0)</f>
      </c>
      <c r="M7470" s="29">
        <f>IFERROR((G7470*H7470*I7470/1000000)*D7470,0)</f>
      </c>
    </row>
    <row r="7471" spans="1:13" x14ac:dyDescent="0.25">
      <c r="A7471" s="16"/>
      <c r="E7471" s="27"/>
      <c r="F7471" t="s">
        <v>26</v>
      </c>
      <c r="G7471" s="28">
        <f>IFERROR(VLOOKUP(F7471,CARTON_LOOKUP!$A:$E,3,0),"")</f>
      </c>
      <c r="H7471" s="28">
        <f>IFERROR(VLOOKUP(F7471,CARTON_LOOKUP!$A:$E,4,0),"")</f>
      </c>
      <c r="I7471" s="28">
        <f>IFERROR(VLOOKUP(F7471,CARTON_LOOKUP!$A:$E,5,0),"")</f>
      </c>
      <c r="J7471" s="29">
        <f>IFERROR(VLOOKUP(F7471,CARTON_LOOKUP!$A:$E,2,0),"")</f>
      </c>
      <c r="K7471" s="29">
        <f>IFERROR(J7471*D7471,0)</f>
      </c>
      <c r="L7471" s="29">
        <f>IFERROR(E7471*C7471,0)</f>
      </c>
      <c r="M7471" s="29">
        <f>IFERROR((G7471*H7471*I7471/1000000)*D7471,0)</f>
      </c>
    </row>
    <row r="7472" spans="1:13" x14ac:dyDescent="0.25">
      <c r="A7472" s="16"/>
      <c r="E7472" s="27"/>
      <c r="F7472" t="s">
        <v>26</v>
      </c>
      <c r="G7472" s="28">
        <f>IFERROR(VLOOKUP(F7472,CARTON_LOOKUP!$A:$E,3,0),"")</f>
      </c>
      <c r="H7472" s="28">
        <f>IFERROR(VLOOKUP(F7472,CARTON_LOOKUP!$A:$E,4,0),"")</f>
      </c>
      <c r="I7472" s="28">
        <f>IFERROR(VLOOKUP(F7472,CARTON_LOOKUP!$A:$E,5,0),"")</f>
      </c>
      <c r="J7472" s="29">
        <f>IFERROR(VLOOKUP(F7472,CARTON_LOOKUP!$A:$E,2,0),"")</f>
      </c>
      <c r="K7472" s="29">
        <f>IFERROR(J7472*D7472,0)</f>
      </c>
      <c r="L7472" s="29">
        <f>IFERROR(E7472*C7472,0)</f>
      </c>
      <c r="M7472" s="29">
        <f>IFERROR((G7472*H7472*I7472/1000000)*D7472,0)</f>
      </c>
    </row>
    <row r="7473" spans="1:13" x14ac:dyDescent="0.25">
      <c r="A7473" s="16"/>
      <c r="E7473" s="27"/>
      <c r="F7473" t="s">
        <v>26</v>
      </c>
      <c r="G7473" s="28">
        <f>IFERROR(VLOOKUP(F7473,CARTON_LOOKUP!$A:$E,3,0),"")</f>
      </c>
      <c r="H7473" s="28">
        <f>IFERROR(VLOOKUP(F7473,CARTON_LOOKUP!$A:$E,4,0),"")</f>
      </c>
      <c r="I7473" s="28">
        <f>IFERROR(VLOOKUP(F7473,CARTON_LOOKUP!$A:$E,5,0),"")</f>
      </c>
      <c r="J7473" s="29">
        <f>IFERROR(VLOOKUP(F7473,CARTON_LOOKUP!$A:$E,2,0),"")</f>
      </c>
      <c r="K7473" s="29">
        <f>IFERROR(J7473*D7473,0)</f>
      </c>
      <c r="L7473" s="29">
        <f>IFERROR(E7473*C7473,0)</f>
      </c>
      <c r="M7473" s="29">
        <f>IFERROR((G7473*H7473*I7473/1000000)*D7473,0)</f>
      </c>
    </row>
    <row r="7474" spans="1:13" x14ac:dyDescent="0.25">
      <c r="A7474" s="16"/>
      <c r="E7474" s="27"/>
      <c r="F7474" t="s">
        <v>26</v>
      </c>
      <c r="G7474" s="28">
        <f>IFERROR(VLOOKUP(F7474,CARTON_LOOKUP!$A:$E,3,0),"")</f>
      </c>
      <c r="H7474" s="28">
        <f>IFERROR(VLOOKUP(F7474,CARTON_LOOKUP!$A:$E,4,0),"")</f>
      </c>
      <c r="I7474" s="28">
        <f>IFERROR(VLOOKUP(F7474,CARTON_LOOKUP!$A:$E,5,0),"")</f>
      </c>
      <c r="J7474" s="29">
        <f>IFERROR(VLOOKUP(F7474,CARTON_LOOKUP!$A:$E,2,0),"")</f>
      </c>
      <c r="K7474" s="29">
        <f>IFERROR(J7474*D7474,0)</f>
      </c>
      <c r="L7474" s="29">
        <f>IFERROR(E7474*C7474,0)</f>
      </c>
      <c r="M7474" s="29">
        <f>IFERROR((G7474*H7474*I7474/1000000)*D7474,0)</f>
      </c>
    </row>
    <row r="7475" spans="1:13" x14ac:dyDescent="0.25">
      <c r="A7475" s="16"/>
      <c r="E7475" s="27"/>
      <c r="F7475" t="s">
        <v>26</v>
      </c>
      <c r="G7475" s="28">
        <f>IFERROR(VLOOKUP(F7475,CARTON_LOOKUP!$A:$E,3,0),"")</f>
      </c>
      <c r="H7475" s="28">
        <f>IFERROR(VLOOKUP(F7475,CARTON_LOOKUP!$A:$E,4,0),"")</f>
      </c>
      <c r="I7475" s="28">
        <f>IFERROR(VLOOKUP(F7475,CARTON_LOOKUP!$A:$E,5,0),"")</f>
      </c>
      <c r="J7475" s="29">
        <f>IFERROR(VLOOKUP(F7475,CARTON_LOOKUP!$A:$E,2,0),"")</f>
      </c>
      <c r="K7475" s="29">
        <f>IFERROR(J7475*D7475,0)</f>
      </c>
      <c r="L7475" s="29">
        <f>IFERROR(E7475*C7475,0)</f>
      </c>
      <c r="M7475" s="29">
        <f>IFERROR((G7475*H7475*I7475/1000000)*D7475,0)</f>
      </c>
    </row>
    <row r="7476" spans="1:13" x14ac:dyDescent="0.25">
      <c r="A7476" s="16"/>
      <c r="E7476" s="27"/>
      <c r="F7476" t="s">
        <v>26</v>
      </c>
      <c r="G7476" s="28">
        <f>IFERROR(VLOOKUP(F7476,CARTON_LOOKUP!$A:$E,3,0),"")</f>
      </c>
      <c r="H7476" s="28">
        <f>IFERROR(VLOOKUP(F7476,CARTON_LOOKUP!$A:$E,4,0),"")</f>
      </c>
      <c r="I7476" s="28">
        <f>IFERROR(VLOOKUP(F7476,CARTON_LOOKUP!$A:$E,5,0),"")</f>
      </c>
      <c r="J7476" s="29">
        <f>IFERROR(VLOOKUP(F7476,CARTON_LOOKUP!$A:$E,2,0),"")</f>
      </c>
      <c r="K7476" s="29">
        <f>IFERROR(J7476*D7476,0)</f>
      </c>
      <c r="L7476" s="29">
        <f>IFERROR(E7476*C7476,0)</f>
      </c>
      <c r="M7476" s="29">
        <f>IFERROR((G7476*H7476*I7476/1000000)*D7476,0)</f>
      </c>
    </row>
    <row r="7477" spans="1:13" x14ac:dyDescent="0.25">
      <c r="A7477" s="16"/>
      <c r="E7477" s="27"/>
      <c r="F7477" t="s">
        <v>26</v>
      </c>
      <c r="G7477" s="28">
        <f>IFERROR(VLOOKUP(F7477,CARTON_LOOKUP!$A:$E,3,0),"")</f>
      </c>
      <c r="H7477" s="28">
        <f>IFERROR(VLOOKUP(F7477,CARTON_LOOKUP!$A:$E,4,0),"")</f>
      </c>
      <c r="I7477" s="28">
        <f>IFERROR(VLOOKUP(F7477,CARTON_LOOKUP!$A:$E,5,0),"")</f>
      </c>
      <c r="J7477" s="29">
        <f>IFERROR(VLOOKUP(F7477,CARTON_LOOKUP!$A:$E,2,0),"")</f>
      </c>
      <c r="K7477" s="29">
        <f>IFERROR(J7477*D7477,0)</f>
      </c>
      <c r="L7477" s="29">
        <f>IFERROR(E7477*C7477,0)</f>
      </c>
      <c r="M7477" s="29">
        <f>IFERROR((G7477*H7477*I7477/1000000)*D7477,0)</f>
      </c>
    </row>
    <row r="7478" spans="1:13" x14ac:dyDescent="0.25">
      <c r="A7478" s="16"/>
      <c r="E7478" s="27"/>
      <c r="F7478" t="s">
        <v>26</v>
      </c>
      <c r="G7478" s="28">
        <f>IFERROR(VLOOKUP(F7478,CARTON_LOOKUP!$A:$E,3,0),"")</f>
      </c>
      <c r="H7478" s="28">
        <f>IFERROR(VLOOKUP(F7478,CARTON_LOOKUP!$A:$E,4,0),"")</f>
      </c>
      <c r="I7478" s="28">
        <f>IFERROR(VLOOKUP(F7478,CARTON_LOOKUP!$A:$E,5,0),"")</f>
      </c>
      <c r="J7478" s="29">
        <f>IFERROR(VLOOKUP(F7478,CARTON_LOOKUP!$A:$E,2,0),"")</f>
      </c>
      <c r="K7478" s="29">
        <f>IFERROR(J7478*D7478,0)</f>
      </c>
      <c r="L7478" s="29">
        <f>IFERROR(E7478*C7478,0)</f>
      </c>
      <c r="M7478" s="29">
        <f>IFERROR((G7478*H7478*I7478/1000000)*D7478,0)</f>
      </c>
    </row>
    <row r="7479" spans="1:13" x14ac:dyDescent="0.25">
      <c r="A7479" s="16"/>
      <c r="E7479" s="27"/>
      <c r="F7479" t="s">
        <v>26</v>
      </c>
      <c r="G7479" s="28">
        <f>IFERROR(VLOOKUP(F7479,CARTON_LOOKUP!$A:$E,3,0),"")</f>
      </c>
      <c r="H7479" s="28">
        <f>IFERROR(VLOOKUP(F7479,CARTON_LOOKUP!$A:$E,4,0),"")</f>
      </c>
      <c r="I7479" s="28">
        <f>IFERROR(VLOOKUP(F7479,CARTON_LOOKUP!$A:$E,5,0),"")</f>
      </c>
      <c r="J7479" s="29">
        <f>IFERROR(VLOOKUP(F7479,CARTON_LOOKUP!$A:$E,2,0),"")</f>
      </c>
      <c r="K7479" s="29">
        <f>IFERROR(J7479*D7479,0)</f>
      </c>
      <c r="L7479" s="29">
        <f>IFERROR(E7479*C7479,0)</f>
      </c>
      <c r="M7479" s="29">
        <f>IFERROR((G7479*H7479*I7479/1000000)*D7479,0)</f>
      </c>
    </row>
    <row r="7480" spans="1:13" x14ac:dyDescent="0.25">
      <c r="A7480" s="16"/>
      <c r="E7480" s="27"/>
      <c r="F7480" t="s">
        <v>26</v>
      </c>
      <c r="G7480" s="28">
        <f>IFERROR(VLOOKUP(F7480,CARTON_LOOKUP!$A:$E,3,0),"")</f>
      </c>
      <c r="H7480" s="28">
        <f>IFERROR(VLOOKUP(F7480,CARTON_LOOKUP!$A:$E,4,0),"")</f>
      </c>
      <c r="I7480" s="28">
        <f>IFERROR(VLOOKUP(F7480,CARTON_LOOKUP!$A:$E,5,0),"")</f>
      </c>
      <c r="J7480" s="29">
        <f>IFERROR(VLOOKUP(F7480,CARTON_LOOKUP!$A:$E,2,0),"")</f>
      </c>
      <c r="K7480" s="29">
        <f>IFERROR(J7480*D7480,0)</f>
      </c>
      <c r="L7480" s="29">
        <f>IFERROR(E7480*C7480,0)</f>
      </c>
      <c r="M7480" s="29">
        <f>IFERROR((G7480*H7480*I7480/1000000)*D7480,0)</f>
      </c>
    </row>
    <row r="7481" spans="1:13" x14ac:dyDescent="0.25">
      <c r="A7481" s="16"/>
      <c r="E7481" s="27"/>
      <c r="F7481" t="s">
        <v>26</v>
      </c>
      <c r="G7481" s="28">
        <f>IFERROR(VLOOKUP(F7481,CARTON_LOOKUP!$A:$E,3,0),"")</f>
      </c>
      <c r="H7481" s="28">
        <f>IFERROR(VLOOKUP(F7481,CARTON_LOOKUP!$A:$E,4,0),"")</f>
      </c>
      <c r="I7481" s="28">
        <f>IFERROR(VLOOKUP(F7481,CARTON_LOOKUP!$A:$E,5,0),"")</f>
      </c>
      <c r="J7481" s="29">
        <f>IFERROR(VLOOKUP(F7481,CARTON_LOOKUP!$A:$E,2,0),"")</f>
      </c>
      <c r="K7481" s="29">
        <f>IFERROR(J7481*D7481,0)</f>
      </c>
      <c r="L7481" s="29">
        <f>IFERROR(E7481*C7481,0)</f>
      </c>
      <c r="M7481" s="29">
        <f>IFERROR((G7481*H7481*I7481/1000000)*D7481,0)</f>
      </c>
    </row>
    <row r="7482" spans="1:13" x14ac:dyDescent="0.25">
      <c r="A7482" s="16"/>
      <c r="E7482" s="27"/>
      <c r="F7482" t="s">
        <v>26</v>
      </c>
      <c r="G7482" s="28">
        <f>IFERROR(VLOOKUP(F7482,CARTON_LOOKUP!$A:$E,3,0),"")</f>
      </c>
      <c r="H7482" s="28">
        <f>IFERROR(VLOOKUP(F7482,CARTON_LOOKUP!$A:$E,4,0),"")</f>
      </c>
      <c r="I7482" s="28">
        <f>IFERROR(VLOOKUP(F7482,CARTON_LOOKUP!$A:$E,5,0),"")</f>
      </c>
      <c r="J7482" s="29">
        <f>IFERROR(VLOOKUP(F7482,CARTON_LOOKUP!$A:$E,2,0),"")</f>
      </c>
      <c r="K7482" s="29">
        <f>IFERROR(J7482*D7482,0)</f>
      </c>
      <c r="L7482" s="29">
        <f>IFERROR(E7482*C7482,0)</f>
      </c>
      <c r="M7482" s="29">
        <f>IFERROR((G7482*H7482*I7482/1000000)*D7482,0)</f>
      </c>
    </row>
    <row r="7483" spans="1:13" x14ac:dyDescent="0.25">
      <c r="A7483" s="16"/>
      <c r="E7483" s="27"/>
      <c r="F7483" t="s">
        <v>26</v>
      </c>
      <c r="G7483" s="28">
        <f>IFERROR(VLOOKUP(F7483,CARTON_LOOKUP!$A:$E,3,0),"")</f>
      </c>
      <c r="H7483" s="28">
        <f>IFERROR(VLOOKUP(F7483,CARTON_LOOKUP!$A:$E,4,0),"")</f>
      </c>
      <c r="I7483" s="28">
        <f>IFERROR(VLOOKUP(F7483,CARTON_LOOKUP!$A:$E,5,0),"")</f>
      </c>
      <c r="J7483" s="29">
        <f>IFERROR(VLOOKUP(F7483,CARTON_LOOKUP!$A:$E,2,0),"")</f>
      </c>
      <c r="K7483" s="29">
        <f>IFERROR(J7483*D7483,0)</f>
      </c>
      <c r="L7483" s="29">
        <f>IFERROR(E7483*C7483,0)</f>
      </c>
      <c r="M7483" s="29">
        <f>IFERROR((G7483*H7483*I7483/1000000)*D7483,0)</f>
      </c>
    </row>
    <row r="7484" spans="1:13" x14ac:dyDescent="0.25">
      <c r="A7484" s="16"/>
      <c r="E7484" s="27"/>
      <c r="F7484" t="s">
        <v>26</v>
      </c>
      <c r="G7484" s="28">
        <f>IFERROR(VLOOKUP(F7484,CARTON_LOOKUP!$A:$E,3,0),"")</f>
      </c>
      <c r="H7484" s="28">
        <f>IFERROR(VLOOKUP(F7484,CARTON_LOOKUP!$A:$E,4,0),"")</f>
      </c>
      <c r="I7484" s="28">
        <f>IFERROR(VLOOKUP(F7484,CARTON_LOOKUP!$A:$E,5,0),"")</f>
      </c>
      <c r="J7484" s="29">
        <f>IFERROR(VLOOKUP(F7484,CARTON_LOOKUP!$A:$E,2,0),"")</f>
      </c>
      <c r="K7484" s="29">
        <f>IFERROR(J7484*D7484,0)</f>
      </c>
      <c r="L7484" s="29">
        <f>IFERROR(E7484*C7484,0)</f>
      </c>
      <c r="M7484" s="29">
        <f>IFERROR((G7484*H7484*I7484/1000000)*D7484,0)</f>
      </c>
    </row>
    <row r="7485" spans="1:13" x14ac:dyDescent="0.25">
      <c r="A7485" s="16"/>
      <c r="E7485" s="27"/>
      <c r="F7485" t="s">
        <v>26</v>
      </c>
      <c r="G7485" s="28">
        <f>IFERROR(VLOOKUP(F7485,CARTON_LOOKUP!$A:$E,3,0),"")</f>
      </c>
      <c r="H7485" s="28">
        <f>IFERROR(VLOOKUP(F7485,CARTON_LOOKUP!$A:$E,4,0),"")</f>
      </c>
      <c r="I7485" s="28">
        <f>IFERROR(VLOOKUP(F7485,CARTON_LOOKUP!$A:$E,5,0),"")</f>
      </c>
      <c r="J7485" s="29">
        <f>IFERROR(VLOOKUP(F7485,CARTON_LOOKUP!$A:$E,2,0),"")</f>
      </c>
      <c r="K7485" s="29">
        <f>IFERROR(J7485*D7485,0)</f>
      </c>
      <c r="L7485" s="29">
        <f>IFERROR(E7485*C7485,0)</f>
      </c>
      <c r="M7485" s="29">
        <f>IFERROR((G7485*H7485*I7485/1000000)*D7485,0)</f>
      </c>
    </row>
    <row r="7486" spans="1:13" x14ac:dyDescent="0.25">
      <c r="A7486" s="16"/>
      <c r="E7486" s="27"/>
      <c r="F7486" t="s">
        <v>26</v>
      </c>
      <c r="G7486" s="28">
        <f>IFERROR(VLOOKUP(F7486,CARTON_LOOKUP!$A:$E,3,0),"")</f>
      </c>
      <c r="H7486" s="28">
        <f>IFERROR(VLOOKUP(F7486,CARTON_LOOKUP!$A:$E,4,0),"")</f>
      </c>
      <c r="I7486" s="28">
        <f>IFERROR(VLOOKUP(F7486,CARTON_LOOKUP!$A:$E,5,0),"")</f>
      </c>
      <c r="J7486" s="29">
        <f>IFERROR(VLOOKUP(F7486,CARTON_LOOKUP!$A:$E,2,0),"")</f>
      </c>
      <c r="K7486" s="29">
        <f>IFERROR(J7486*D7486,0)</f>
      </c>
      <c r="L7486" s="29">
        <f>IFERROR(E7486*C7486,0)</f>
      </c>
      <c r="M7486" s="29">
        <f>IFERROR((G7486*H7486*I7486/1000000)*D7486,0)</f>
      </c>
    </row>
    <row r="7487" spans="1:13" x14ac:dyDescent="0.25">
      <c r="A7487" s="16"/>
      <c r="E7487" s="27"/>
      <c r="F7487" t="s">
        <v>26</v>
      </c>
      <c r="G7487" s="28">
        <f>IFERROR(VLOOKUP(F7487,CARTON_LOOKUP!$A:$E,3,0),"")</f>
      </c>
      <c r="H7487" s="28">
        <f>IFERROR(VLOOKUP(F7487,CARTON_LOOKUP!$A:$E,4,0),"")</f>
      </c>
      <c r="I7487" s="28">
        <f>IFERROR(VLOOKUP(F7487,CARTON_LOOKUP!$A:$E,5,0),"")</f>
      </c>
      <c r="J7487" s="29">
        <f>IFERROR(VLOOKUP(F7487,CARTON_LOOKUP!$A:$E,2,0),"")</f>
      </c>
      <c r="K7487" s="29">
        <f>IFERROR(J7487*D7487,0)</f>
      </c>
      <c r="L7487" s="29">
        <f>IFERROR(E7487*C7487,0)</f>
      </c>
      <c r="M7487" s="29">
        <f>IFERROR((G7487*H7487*I7487/1000000)*D7487,0)</f>
      </c>
    </row>
    <row r="7488" spans="1:13" x14ac:dyDescent="0.25">
      <c r="A7488" s="16"/>
      <c r="E7488" s="27"/>
      <c r="F7488" t="s">
        <v>26</v>
      </c>
      <c r="G7488" s="28">
        <f>IFERROR(VLOOKUP(F7488,CARTON_LOOKUP!$A:$E,3,0),"")</f>
      </c>
      <c r="H7488" s="28">
        <f>IFERROR(VLOOKUP(F7488,CARTON_LOOKUP!$A:$E,4,0),"")</f>
      </c>
      <c r="I7488" s="28">
        <f>IFERROR(VLOOKUP(F7488,CARTON_LOOKUP!$A:$E,5,0),"")</f>
      </c>
      <c r="J7488" s="29">
        <f>IFERROR(VLOOKUP(F7488,CARTON_LOOKUP!$A:$E,2,0),"")</f>
      </c>
      <c r="K7488" s="29">
        <f>IFERROR(J7488*D7488,0)</f>
      </c>
      <c r="L7488" s="29">
        <f>IFERROR(E7488*C7488,0)</f>
      </c>
      <c r="M7488" s="29">
        <f>IFERROR((G7488*H7488*I7488/1000000)*D7488,0)</f>
      </c>
    </row>
    <row r="7489" spans="1:13" x14ac:dyDescent="0.25">
      <c r="A7489" s="16"/>
      <c r="E7489" s="27"/>
      <c r="F7489" t="s">
        <v>26</v>
      </c>
      <c r="G7489" s="28">
        <f>IFERROR(VLOOKUP(F7489,CARTON_LOOKUP!$A:$E,3,0),"")</f>
      </c>
      <c r="H7489" s="28">
        <f>IFERROR(VLOOKUP(F7489,CARTON_LOOKUP!$A:$E,4,0),"")</f>
      </c>
      <c r="I7489" s="28">
        <f>IFERROR(VLOOKUP(F7489,CARTON_LOOKUP!$A:$E,5,0),"")</f>
      </c>
      <c r="J7489" s="29">
        <f>IFERROR(VLOOKUP(F7489,CARTON_LOOKUP!$A:$E,2,0),"")</f>
      </c>
      <c r="K7489" s="29">
        <f>IFERROR(J7489*D7489,0)</f>
      </c>
      <c r="L7489" s="29">
        <f>IFERROR(E7489*C7489,0)</f>
      </c>
      <c r="M7489" s="29">
        <f>IFERROR((G7489*H7489*I7489/1000000)*D7489,0)</f>
      </c>
    </row>
    <row r="7490" spans="1:13" x14ac:dyDescent="0.25">
      <c r="A7490" s="16"/>
      <c r="E7490" s="27"/>
      <c r="F7490" t="s">
        <v>26</v>
      </c>
      <c r="G7490" s="28">
        <f>IFERROR(VLOOKUP(F7490,CARTON_LOOKUP!$A:$E,3,0),"")</f>
      </c>
      <c r="H7490" s="28">
        <f>IFERROR(VLOOKUP(F7490,CARTON_LOOKUP!$A:$E,4,0),"")</f>
      </c>
      <c r="I7490" s="28">
        <f>IFERROR(VLOOKUP(F7490,CARTON_LOOKUP!$A:$E,5,0),"")</f>
      </c>
      <c r="J7490" s="29">
        <f>IFERROR(VLOOKUP(F7490,CARTON_LOOKUP!$A:$E,2,0),"")</f>
      </c>
      <c r="K7490" s="29">
        <f>IFERROR(J7490*D7490,0)</f>
      </c>
      <c r="L7490" s="29">
        <f>IFERROR(E7490*C7490,0)</f>
      </c>
      <c r="M7490" s="29">
        <f>IFERROR((G7490*H7490*I7490/1000000)*D7490,0)</f>
      </c>
    </row>
    <row r="7491" spans="1:13" x14ac:dyDescent="0.25">
      <c r="A7491" s="16"/>
      <c r="E7491" s="27"/>
      <c r="F7491" t="s">
        <v>26</v>
      </c>
      <c r="G7491" s="28">
        <f>IFERROR(VLOOKUP(F7491,CARTON_LOOKUP!$A:$E,3,0),"")</f>
      </c>
      <c r="H7491" s="28">
        <f>IFERROR(VLOOKUP(F7491,CARTON_LOOKUP!$A:$E,4,0),"")</f>
      </c>
      <c r="I7491" s="28">
        <f>IFERROR(VLOOKUP(F7491,CARTON_LOOKUP!$A:$E,5,0),"")</f>
      </c>
      <c r="J7491" s="29">
        <f>IFERROR(VLOOKUP(F7491,CARTON_LOOKUP!$A:$E,2,0),"")</f>
      </c>
      <c r="K7491" s="29">
        <f>IFERROR(J7491*D7491,0)</f>
      </c>
      <c r="L7491" s="29">
        <f>IFERROR(E7491*C7491,0)</f>
      </c>
      <c r="M7491" s="29">
        <f>IFERROR((G7491*H7491*I7491/1000000)*D7491,0)</f>
      </c>
    </row>
    <row r="7492" spans="1:13" x14ac:dyDescent="0.25">
      <c r="A7492" s="16"/>
      <c r="E7492" s="27"/>
      <c r="F7492" t="s">
        <v>26</v>
      </c>
      <c r="G7492" s="28">
        <f>IFERROR(VLOOKUP(F7492,CARTON_LOOKUP!$A:$E,3,0),"")</f>
      </c>
      <c r="H7492" s="28">
        <f>IFERROR(VLOOKUP(F7492,CARTON_LOOKUP!$A:$E,4,0),"")</f>
      </c>
      <c r="I7492" s="28">
        <f>IFERROR(VLOOKUP(F7492,CARTON_LOOKUP!$A:$E,5,0),"")</f>
      </c>
      <c r="J7492" s="29">
        <f>IFERROR(VLOOKUP(F7492,CARTON_LOOKUP!$A:$E,2,0),"")</f>
      </c>
      <c r="K7492" s="29">
        <f>IFERROR(J7492*D7492,0)</f>
      </c>
      <c r="L7492" s="29">
        <f>IFERROR(E7492*C7492,0)</f>
      </c>
      <c r="M7492" s="29">
        <f>IFERROR((G7492*H7492*I7492/1000000)*D7492,0)</f>
      </c>
    </row>
    <row r="7493" spans="1:13" x14ac:dyDescent="0.25">
      <c r="A7493" s="16"/>
      <c r="E7493" s="27"/>
      <c r="F7493" t="s">
        <v>26</v>
      </c>
      <c r="G7493" s="28">
        <f>IFERROR(VLOOKUP(F7493,CARTON_LOOKUP!$A:$E,3,0),"")</f>
      </c>
      <c r="H7493" s="28">
        <f>IFERROR(VLOOKUP(F7493,CARTON_LOOKUP!$A:$E,4,0),"")</f>
      </c>
      <c r="I7493" s="28">
        <f>IFERROR(VLOOKUP(F7493,CARTON_LOOKUP!$A:$E,5,0),"")</f>
      </c>
      <c r="J7493" s="29">
        <f>IFERROR(VLOOKUP(F7493,CARTON_LOOKUP!$A:$E,2,0),"")</f>
      </c>
      <c r="K7493" s="29">
        <f>IFERROR(J7493*D7493,0)</f>
      </c>
      <c r="L7493" s="29">
        <f>IFERROR(E7493*C7493,0)</f>
      </c>
      <c r="M7493" s="29">
        <f>IFERROR((G7493*H7493*I7493/1000000)*D7493,0)</f>
      </c>
    </row>
    <row r="7494" spans="1:13" x14ac:dyDescent="0.25">
      <c r="A7494" s="16"/>
      <c r="E7494" s="27"/>
      <c r="F7494" t="s">
        <v>26</v>
      </c>
      <c r="G7494" s="28">
        <f>IFERROR(VLOOKUP(F7494,CARTON_LOOKUP!$A:$E,3,0),"")</f>
      </c>
      <c r="H7494" s="28">
        <f>IFERROR(VLOOKUP(F7494,CARTON_LOOKUP!$A:$E,4,0),"")</f>
      </c>
      <c r="I7494" s="28">
        <f>IFERROR(VLOOKUP(F7494,CARTON_LOOKUP!$A:$E,5,0),"")</f>
      </c>
      <c r="J7494" s="29">
        <f>IFERROR(VLOOKUP(F7494,CARTON_LOOKUP!$A:$E,2,0),"")</f>
      </c>
      <c r="K7494" s="29">
        <f>IFERROR(J7494*D7494,0)</f>
      </c>
      <c r="L7494" s="29">
        <f>IFERROR(E7494*C7494,0)</f>
      </c>
      <c r="M7494" s="29">
        <f>IFERROR((G7494*H7494*I7494/1000000)*D7494,0)</f>
      </c>
    </row>
    <row r="7495" spans="1:13" x14ac:dyDescent="0.25">
      <c r="A7495" s="16"/>
      <c r="E7495" s="27"/>
      <c r="F7495" t="s">
        <v>26</v>
      </c>
      <c r="G7495" s="28">
        <f>IFERROR(VLOOKUP(F7495,CARTON_LOOKUP!$A:$E,3,0),"")</f>
      </c>
      <c r="H7495" s="28">
        <f>IFERROR(VLOOKUP(F7495,CARTON_LOOKUP!$A:$E,4,0),"")</f>
      </c>
      <c r="I7495" s="28">
        <f>IFERROR(VLOOKUP(F7495,CARTON_LOOKUP!$A:$E,5,0),"")</f>
      </c>
      <c r="J7495" s="29">
        <f>IFERROR(VLOOKUP(F7495,CARTON_LOOKUP!$A:$E,2,0),"")</f>
      </c>
      <c r="K7495" s="29">
        <f>IFERROR(J7495*D7495,0)</f>
      </c>
      <c r="L7495" s="29">
        <f>IFERROR(E7495*C7495,0)</f>
      </c>
      <c r="M7495" s="29">
        <f>IFERROR((G7495*H7495*I7495/1000000)*D7495,0)</f>
      </c>
    </row>
    <row r="7496" spans="1:13" x14ac:dyDescent="0.25">
      <c r="A7496" s="16"/>
      <c r="E7496" s="27"/>
      <c r="F7496" t="s">
        <v>26</v>
      </c>
      <c r="G7496" s="28">
        <f>IFERROR(VLOOKUP(F7496,CARTON_LOOKUP!$A:$E,3,0),"")</f>
      </c>
      <c r="H7496" s="28">
        <f>IFERROR(VLOOKUP(F7496,CARTON_LOOKUP!$A:$E,4,0),"")</f>
      </c>
      <c r="I7496" s="28">
        <f>IFERROR(VLOOKUP(F7496,CARTON_LOOKUP!$A:$E,5,0),"")</f>
      </c>
      <c r="J7496" s="29">
        <f>IFERROR(VLOOKUP(F7496,CARTON_LOOKUP!$A:$E,2,0),"")</f>
      </c>
      <c r="K7496" s="29">
        <f>IFERROR(J7496*D7496,0)</f>
      </c>
      <c r="L7496" s="29">
        <f>IFERROR(E7496*C7496,0)</f>
      </c>
      <c r="M7496" s="29">
        <f>IFERROR((G7496*H7496*I7496/1000000)*D7496,0)</f>
      </c>
    </row>
    <row r="7497" spans="1:13" x14ac:dyDescent="0.25">
      <c r="A7497" s="16"/>
      <c r="E7497" s="27"/>
      <c r="F7497" t="s">
        <v>26</v>
      </c>
      <c r="G7497" s="28">
        <f>IFERROR(VLOOKUP(F7497,CARTON_LOOKUP!$A:$E,3,0),"")</f>
      </c>
      <c r="H7497" s="28">
        <f>IFERROR(VLOOKUP(F7497,CARTON_LOOKUP!$A:$E,4,0),"")</f>
      </c>
      <c r="I7497" s="28">
        <f>IFERROR(VLOOKUP(F7497,CARTON_LOOKUP!$A:$E,5,0),"")</f>
      </c>
      <c r="J7497" s="29">
        <f>IFERROR(VLOOKUP(F7497,CARTON_LOOKUP!$A:$E,2,0),"")</f>
      </c>
      <c r="K7497" s="29">
        <f>IFERROR(J7497*D7497,0)</f>
      </c>
      <c r="L7497" s="29">
        <f>IFERROR(E7497*C7497,0)</f>
      </c>
      <c r="M7497" s="29">
        <f>IFERROR((G7497*H7497*I7497/1000000)*D7497,0)</f>
      </c>
    </row>
    <row r="7498" spans="1:13" x14ac:dyDescent="0.25">
      <c r="A7498" s="16"/>
      <c r="E7498" s="27"/>
      <c r="F7498" t="s">
        <v>26</v>
      </c>
      <c r="G7498" s="28">
        <f>IFERROR(VLOOKUP(F7498,CARTON_LOOKUP!$A:$E,3,0),"")</f>
      </c>
      <c r="H7498" s="28">
        <f>IFERROR(VLOOKUP(F7498,CARTON_LOOKUP!$A:$E,4,0),"")</f>
      </c>
      <c r="I7498" s="28">
        <f>IFERROR(VLOOKUP(F7498,CARTON_LOOKUP!$A:$E,5,0),"")</f>
      </c>
      <c r="J7498" s="29">
        <f>IFERROR(VLOOKUP(F7498,CARTON_LOOKUP!$A:$E,2,0),"")</f>
      </c>
      <c r="K7498" s="29">
        <f>IFERROR(J7498*D7498,0)</f>
      </c>
      <c r="L7498" s="29">
        <f>IFERROR(E7498*C7498,0)</f>
      </c>
      <c r="M7498" s="29">
        <f>IFERROR((G7498*H7498*I7498/1000000)*D7498,0)</f>
      </c>
    </row>
    <row r="7499" spans="1:13" x14ac:dyDescent="0.25">
      <c r="A7499" s="16"/>
      <c r="E7499" s="27"/>
      <c r="F7499" t="s">
        <v>26</v>
      </c>
      <c r="G7499" s="28">
        <f>IFERROR(VLOOKUP(F7499,CARTON_LOOKUP!$A:$E,3,0),"")</f>
      </c>
      <c r="H7499" s="28">
        <f>IFERROR(VLOOKUP(F7499,CARTON_LOOKUP!$A:$E,4,0),"")</f>
      </c>
      <c r="I7499" s="28">
        <f>IFERROR(VLOOKUP(F7499,CARTON_LOOKUP!$A:$E,5,0),"")</f>
      </c>
      <c r="J7499" s="29">
        <f>IFERROR(VLOOKUP(F7499,CARTON_LOOKUP!$A:$E,2,0),"")</f>
      </c>
      <c r="K7499" s="29">
        <f>IFERROR(J7499*D7499,0)</f>
      </c>
      <c r="L7499" s="29">
        <f>IFERROR(E7499*C7499,0)</f>
      </c>
      <c r="M7499" s="29">
        <f>IFERROR((G7499*H7499*I7499/1000000)*D7499,0)</f>
      </c>
    </row>
    <row r="7500" spans="1:13" x14ac:dyDescent="0.25">
      <c r="A7500" s="16"/>
      <c r="E7500" s="27"/>
      <c r="F7500" t="s">
        <v>26</v>
      </c>
      <c r="G7500" s="28">
        <f>IFERROR(VLOOKUP(F7500,CARTON_LOOKUP!$A:$E,3,0),"")</f>
      </c>
      <c r="H7500" s="28">
        <f>IFERROR(VLOOKUP(F7500,CARTON_LOOKUP!$A:$E,4,0),"")</f>
      </c>
      <c r="I7500" s="28">
        <f>IFERROR(VLOOKUP(F7500,CARTON_LOOKUP!$A:$E,5,0),"")</f>
      </c>
      <c r="J7500" s="29">
        <f>IFERROR(VLOOKUP(F7500,CARTON_LOOKUP!$A:$E,2,0),"")</f>
      </c>
      <c r="K7500" s="29">
        <f>IFERROR(J7500*D7500,0)</f>
      </c>
      <c r="L7500" s="29">
        <f>IFERROR(E7500*C7500,0)</f>
      </c>
      <c r="M7500" s="29">
        <f>IFERROR((G7500*H7500*I7500/1000000)*D7500,0)</f>
      </c>
    </row>
    <row r="7501" spans="1:13" x14ac:dyDescent="0.25">
      <c r="A7501" s="16"/>
      <c r="E7501" s="27"/>
      <c r="F7501" t="s">
        <v>26</v>
      </c>
      <c r="G7501" s="28">
        <f>IFERROR(VLOOKUP(F7501,CARTON_LOOKUP!$A:$E,3,0),"")</f>
      </c>
      <c r="H7501" s="28">
        <f>IFERROR(VLOOKUP(F7501,CARTON_LOOKUP!$A:$E,4,0),"")</f>
      </c>
      <c r="I7501" s="28">
        <f>IFERROR(VLOOKUP(F7501,CARTON_LOOKUP!$A:$E,5,0),"")</f>
      </c>
      <c r="J7501" s="29">
        <f>IFERROR(VLOOKUP(F7501,CARTON_LOOKUP!$A:$E,2,0),"")</f>
      </c>
      <c r="K7501" s="29">
        <f>IFERROR(J7501*D7501,0)</f>
      </c>
      <c r="L7501" s="29">
        <f>IFERROR(E7501*C7501,0)</f>
      </c>
      <c r="M7501" s="29">
        <f>IFERROR((G7501*H7501*I7501/1000000)*D7501,0)</f>
      </c>
    </row>
    <row r="7502" spans="1:13" x14ac:dyDescent="0.25">
      <c r="A7502" s="16"/>
      <c r="E7502" s="27"/>
      <c r="F7502" t="s">
        <v>26</v>
      </c>
      <c r="G7502" s="28">
        <f>IFERROR(VLOOKUP(F7502,CARTON_LOOKUP!$A:$E,3,0),"")</f>
      </c>
      <c r="H7502" s="28">
        <f>IFERROR(VLOOKUP(F7502,CARTON_LOOKUP!$A:$E,4,0),"")</f>
      </c>
      <c r="I7502" s="28">
        <f>IFERROR(VLOOKUP(F7502,CARTON_LOOKUP!$A:$E,5,0),"")</f>
      </c>
      <c r="J7502" s="29">
        <f>IFERROR(VLOOKUP(F7502,CARTON_LOOKUP!$A:$E,2,0),"")</f>
      </c>
      <c r="K7502" s="29">
        <f>IFERROR(J7502*D7502,0)</f>
      </c>
      <c r="L7502" s="29">
        <f>IFERROR(E7502*C7502,0)</f>
      </c>
      <c r="M7502" s="29">
        <f>IFERROR((G7502*H7502*I7502/1000000)*D7502,0)</f>
      </c>
    </row>
    <row r="7503" spans="1:13" x14ac:dyDescent="0.25">
      <c r="A7503" s="16"/>
      <c r="E7503" s="27"/>
      <c r="F7503" t="s">
        <v>26</v>
      </c>
      <c r="G7503" s="28">
        <f>IFERROR(VLOOKUP(F7503,CARTON_LOOKUP!$A:$E,3,0),"")</f>
      </c>
      <c r="H7503" s="28">
        <f>IFERROR(VLOOKUP(F7503,CARTON_LOOKUP!$A:$E,4,0),"")</f>
      </c>
      <c r="I7503" s="28">
        <f>IFERROR(VLOOKUP(F7503,CARTON_LOOKUP!$A:$E,5,0),"")</f>
      </c>
      <c r="J7503" s="29">
        <f>IFERROR(VLOOKUP(F7503,CARTON_LOOKUP!$A:$E,2,0),"")</f>
      </c>
      <c r="K7503" s="29">
        <f>IFERROR(J7503*D7503,0)</f>
      </c>
      <c r="L7503" s="29">
        <f>IFERROR(E7503*C7503,0)</f>
      </c>
      <c r="M7503" s="29">
        <f>IFERROR((G7503*H7503*I7503/1000000)*D7503,0)</f>
      </c>
    </row>
    <row r="7504" spans="1:13" x14ac:dyDescent="0.25">
      <c r="A7504" s="16"/>
      <c r="E7504" s="27"/>
      <c r="F7504" t="s">
        <v>26</v>
      </c>
      <c r="G7504" s="28">
        <f>IFERROR(VLOOKUP(F7504,CARTON_LOOKUP!$A:$E,3,0),"")</f>
      </c>
      <c r="H7504" s="28">
        <f>IFERROR(VLOOKUP(F7504,CARTON_LOOKUP!$A:$E,4,0),"")</f>
      </c>
      <c r="I7504" s="28">
        <f>IFERROR(VLOOKUP(F7504,CARTON_LOOKUP!$A:$E,5,0),"")</f>
      </c>
      <c r="J7504" s="29">
        <f>IFERROR(VLOOKUP(F7504,CARTON_LOOKUP!$A:$E,2,0),"")</f>
      </c>
      <c r="K7504" s="29">
        <f>IFERROR(J7504*D7504,0)</f>
      </c>
      <c r="L7504" s="29">
        <f>IFERROR(E7504*C7504,0)</f>
      </c>
      <c r="M7504" s="29">
        <f>IFERROR((G7504*H7504*I7504/1000000)*D7504,0)</f>
      </c>
    </row>
    <row r="7505" spans="1:13" x14ac:dyDescent="0.25">
      <c r="A7505" s="16"/>
      <c r="E7505" s="27"/>
      <c r="F7505" t="s">
        <v>26</v>
      </c>
      <c r="G7505" s="28">
        <f>IFERROR(VLOOKUP(F7505,CARTON_LOOKUP!$A:$E,3,0),"")</f>
      </c>
      <c r="H7505" s="28">
        <f>IFERROR(VLOOKUP(F7505,CARTON_LOOKUP!$A:$E,4,0),"")</f>
      </c>
      <c r="I7505" s="28">
        <f>IFERROR(VLOOKUP(F7505,CARTON_LOOKUP!$A:$E,5,0),"")</f>
      </c>
      <c r="J7505" s="29">
        <f>IFERROR(VLOOKUP(F7505,CARTON_LOOKUP!$A:$E,2,0),"")</f>
      </c>
      <c r="K7505" s="29">
        <f>IFERROR(J7505*D7505,0)</f>
      </c>
      <c r="L7505" s="29">
        <f>IFERROR(E7505*C7505,0)</f>
      </c>
      <c r="M7505" s="29">
        <f>IFERROR((G7505*H7505*I7505/1000000)*D7505,0)</f>
      </c>
    </row>
    <row r="7506" spans="1:13" x14ac:dyDescent="0.25">
      <c r="A7506" s="16"/>
      <c r="E7506" s="27"/>
      <c r="F7506" t="s">
        <v>26</v>
      </c>
      <c r="G7506" s="28">
        <f>IFERROR(VLOOKUP(F7506,CARTON_LOOKUP!$A:$E,3,0),"")</f>
      </c>
      <c r="H7506" s="28">
        <f>IFERROR(VLOOKUP(F7506,CARTON_LOOKUP!$A:$E,4,0),"")</f>
      </c>
      <c r="I7506" s="28">
        <f>IFERROR(VLOOKUP(F7506,CARTON_LOOKUP!$A:$E,5,0),"")</f>
      </c>
      <c r="J7506" s="29">
        <f>IFERROR(VLOOKUP(F7506,CARTON_LOOKUP!$A:$E,2,0),"")</f>
      </c>
      <c r="K7506" s="29">
        <f>IFERROR(J7506*D7506,0)</f>
      </c>
      <c r="L7506" s="29">
        <f>IFERROR(E7506*C7506,0)</f>
      </c>
      <c r="M7506" s="29">
        <f>IFERROR((G7506*H7506*I7506/1000000)*D7506,0)</f>
      </c>
    </row>
    <row r="7507" spans="1:13" x14ac:dyDescent="0.25">
      <c r="A7507" s="16"/>
      <c r="E7507" s="27"/>
      <c r="F7507" t="s">
        <v>26</v>
      </c>
      <c r="G7507" s="28">
        <f>IFERROR(VLOOKUP(F7507,CARTON_LOOKUP!$A:$E,3,0),"")</f>
      </c>
      <c r="H7507" s="28">
        <f>IFERROR(VLOOKUP(F7507,CARTON_LOOKUP!$A:$E,4,0),"")</f>
      </c>
      <c r="I7507" s="28">
        <f>IFERROR(VLOOKUP(F7507,CARTON_LOOKUP!$A:$E,5,0),"")</f>
      </c>
      <c r="J7507" s="29">
        <f>IFERROR(VLOOKUP(F7507,CARTON_LOOKUP!$A:$E,2,0),"")</f>
      </c>
      <c r="K7507" s="29">
        <f>IFERROR(J7507*D7507,0)</f>
      </c>
      <c r="L7507" s="29">
        <f>IFERROR(E7507*C7507,0)</f>
      </c>
      <c r="M7507" s="29">
        <f>IFERROR((G7507*H7507*I7507/1000000)*D7507,0)</f>
      </c>
    </row>
    <row r="7508" spans="1:13" x14ac:dyDescent="0.25">
      <c r="A7508" s="16"/>
      <c r="E7508" s="27"/>
      <c r="F7508" t="s">
        <v>26</v>
      </c>
      <c r="G7508" s="28">
        <f>IFERROR(VLOOKUP(F7508,CARTON_LOOKUP!$A:$E,3,0),"")</f>
      </c>
      <c r="H7508" s="28">
        <f>IFERROR(VLOOKUP(F7508,CARTON_LOOKUP!$A:$E,4,0),"")</f>
      </c>
      <c r="I7508" s="28">
        <f>IFERROR(VLOOKUP(F7508,CARTON_LOOKUP!$A:$E,5,0),"")</f>
      </c>
      <c r="J7508" s="29">
        <f>IFERROR(VLOOKUP(F7508,CARTON_LOOKUP!$A:$E,2,0),"")</f>
      </c>
      <c r="K7508" s="29">
        <f>IFERROR(J7508*D7508,0)</f>
      </c>
      <c r="L7508" s="29">
        <f>IFERROR(E7508*C7508,0)</f>
      </c>
      <c r="M7508" s="29">
        <f>IFERROR((G7508*H7508*I7508/1000000)*D7508,0)</f>
      </c>
    </row>
    <row r="7509" spans="1:13" x14ac:dyDescent="0.25">
      <c r="A7509" s="16"/>
      <c r="E7509" s="27"/>
      <c r="F7509" t="s">
        <v>26</v>
      </c>
      <c r="G7509" s="28">
        <f>IFERROR(VLOOKUP(F7509,CARTON_LOOKUP!$A:$E,3,0),"")</f>
      </c>
      <c r="H7509" s="28">
        <f>IFERROR(VLOOKUP(F7509,CARTON_LOOKUP!$A:$E,4,0),"")</f>
      </c>
      <c r="I7509" s="28">
        <f>IFERROR(VLOOKUP(F7509,CARTON_LOOKUP!$A:$E,5,0),"")</f>
      </c>
      <c r="J7509" s="29">
        <f>IFERROR(VLOOKUP(F7509,CARTON_LOOKUP!$A:$E,2,0),"")</f>
      </c>
      <c r="K7509" s="29">
        <f>IFERROR(J7509*D7509,0)</f>
      </c>
      <c r="L7509" s="29">
        <f>IFERROR(E7509*C7509,0)</f>
      </c>
      <c r="M7509" s="29">
        <f>IFERROR((G7509*H7509*I7509/1000000)*D7509,0)</f>
      </c>
    </row>
    <row r="7510" spans="1:13" x14ac:dyDescent="0.25">
      <c r="A7510" s="16"/>
      <c r="E7510" s="27"/>
      <c r="F7510" t="s">
        <v>26</v>
      </c>
      <c r="G7510" s="28">
        <f>IFERROR(VLOOKUP(F7510,CARTON_LOOKUP!$A:$E,3,0),"")</f>
      </c>
      <c r="H7510" s="28">
        <f>IFERROR(VLOOKUP(F7510,CARTON_LOOKUP!$A:$E,4,0),"")</f>
      </c>
      <c r="I7510" s="28">
        <f>IFERROR(VLOOKUP(F7510,CARTON_LOOKUP!$A:$E,5,0),"")</f>
      </c>
      <c r="J7510" s="29">
        <f>IFERROR(VLOOKUP(F7510,CARTON_LOOKUP!$A:$E,2,0),"")</f>
      </c>
      <c r="K7510" s="29">
        <f>IFERROR(J7510*D7510,0)</f>
      </c>
      <c r="L7510" s="29">
        <f>IFERROR(E7510*C7510,0)</f>
      </c>
      <c r="M7510" s="29">
        <f>IFERROR((G7510*H7510*I7510/1000000)*D7510,0)</f>
      </c>
    </row>
    <row r="7511" spans="1:13" x14ac:dyDescent="0.25">
      <c r="A7511" s="16"/>
      <c r="E7511" s="27"/>
      <c r="F7511" t="s">
        <v>26</v>
      </c>
      <c r="G7511" s="28">
        <f>IFERROR(VLOOKUP(F7511,CARTON_LOOKUP!$A:$E,3,0),"")</f>
      </c>
      <c r="H7511" s="28">
        <f>IFERROR(VLOOKUP(F7511,CARTON_LOOKUP!$A:$E,4,0),"")</f>
      </c>
      <c r="I7511" s="28">
        <f>IFERROR(VLOOKUP(F7511,CARTON_LOOKUP!$A:$E,5,0),"")</f>
      </c>
      <c r="J7511" s="29">
        <f>IFERROR(VLOOKUP(F7511,CARTON_LOOKUP!$A:$E,2,0),"")</f>
      </c>
      <c r="K7511" s="29">
        <f>IFERROR(J7511*D7511,0)</f>
      </c>
      <c r="L7511" s="29">
        <f>IFERROR(E7511*C7511,0)</f>
      </c>
      <c r="M7511" s="29">
        <f>IFERROR((G7511*H7511*I7511/1000000)*D7511,0)</f>
      </c>
    </row>
    <row r="7512" spans="1:13" x14ac:dyDescent="0.25">
      <c r="A7512" s="16"/>
      <c r="E7512" s="27"/>
      <c r="F7512" t="s">
        <v>26</v>
      </c>
      <c r="G7512" s="28">
        <f>IFERROR(VLOOKUP(F7512,CARTON_LOOKUP!$A:$E,3,0),"")</f>
      </c>
      <c r="H7512" s="28">
        <f>IFERROR(VLOOKUP(F7512,CARTON_LOOKUP!$A:$E,4,0),"")</f>
      </c>
      <c r="I7512" s="28">
        <f>IFERROR(VLOOKUP(F7512,CARTON_LOOKUP!$A:$E,5,0),"")</f>
      </c>
      <c r="J7512" s="29">
        <f>IFERROR(VLOOKUP(F7512,CARTON_LOOKUP!$A:$E,2,0),"")</f>
      </c>
      <c r="K7512" s="29">
        <f>IFERROR(J7512*D7512,0)</f>
      </c>
      <c r="L7512" s="29">
        <f>IFERROR(E7512*C7512,0)</f>
      </c>
      <c r="M7512" s="29">
        <f>IFERROR((G7512*H7512*I7512/1000000)*D7512,0)</f>
      </c>
    </row>
    <row r="7513" spans="1:13" x14ac:dyDescent="0.25">
      <c r="A7513" s="16"/>
      <c r="E7513" s="27"/>
      <c r="F7513" t="s">
        <v>26</v>
      </c>
      <c r="G7513" s="28">
        <f>IFERROR(VLOOKUP(F7513,CARTON_LOOKUP!$A:$E,3,0),"")</f>
      </c>
      <c r="H7513" s="28">
        <f>IFERROR(VLOOKUP(F7513,CARTON_LOOKUP!$A:$E,4,0),"")</f>
      </c>
      <c r="I7513" s="28">
        <f>IFERROR(VLOOKUP(F7513,CARTON_LOOKUP!$A:$E,5,0),"")</f>
      </c>
      <c r="J7513" s="29">
        <f>IFERROR(VLOOKUP(F7513,CARTON_LOOKUP!$A:$E,2,0),"")</f>
      </c>
      <c r="K7513" s="29">
        <f>IFERROR(J7513*D7513,0)</f>
      </c>
      <c r="L7513" s="29">
        <f>IFERROR(E7513*C7513,0)</f>
      </c>
      <c r="M7513" s="29">
        <f>IFERROR((G7513*H7513*I7513/1000000)*D7513,0)</f>
      </c>
    </row>
    <row r="7514" spans="1:13" x14ac:dyDescent="0.25">
      <c r="A7514" s="16"/>
      <c r="E7514" s="27"/>
      <c r="F7514" t="s">
        <v>26</v>
      </c>
      <c r="G7514" s="28">
        <f>IFERROR(VLOOKUP(F7514,CARTON_LOOKUP!$A:$E,3,0),"")</f>
      </c>
      <c r="H7514" s="28">
        <f>IFERROR(VLOOKUP(F7514,CARTON_LOOKUP!$A:$E,4,0),"")</f>
      </c>
      <c r="I7514" s="28">
        <f>IFERROR(VLOOKUP(F7514,CARTON_LOOKUP!$A:$E,5,0),"")</f>
      </c>
      <c r="J7514" s="29">
        <f>IFERROR(VLOOKUP(F7514,CARTON_LOOKUP!$A:$E,2,0),"")</f>
      </c>
      <c r="K7514" s="29">
        <f>IFERROR(J7514*D7514,0)</f>
      </c>
      <c r="L7514" s="29">
        <f>IFERROR(E7514*C7514,0)</f>
      </c>
      <c r="M7514" s="29">
        <f>IFERROR((G7514*H7514*I7514/1000000)*D7514,0)</f>
      </c>
    </row>
    <row r="7515" spans="1:13" x14ac:dyDescent="0.25">
      <c r="A7515" s="16"/>
      <c r="E7515" s="27"/>
      <c r="F7515" t="s">
        <v>26</v>
      </c>
      <c r="G7515" s="28">
        <f>IFERROR(VLOOKUP(F7515,CARTON_LOOKUP!$A:$E,3,0),"")</f>
      </c>
      <c r="H7515" s="28">
        <f>IFERROR(VLOOKUP(F7515,CARTON_LOOKUP!$A:$E,4,0),"")</f>
      </c>
      <c r="I7515" s="28">
        <f>IFERROR(VLOOKUP(F7515,CARTON_LOOKUP!$A:$E,5,0),"")</f>
      </c>
      <c r="J7515" s="29">
        <f>IFERROR(VLOOKUP(F7515,CARTON_LOOKUP!$A:$E,2,0),"")</f>
      </c>
      <c r="K7515" s="29">
        <f>IFERROR(J7515*D7515,0)</f>
      </c>
      <c r="L7515" s="29">
        <f>IFERROR(E7515*C7515,0)</f>
      </c>
      <c r="M7515" s="29">
        <f>IFERROR((G7515*H7515*I7515/1000000)*D7515,0)</f>
      </c>
    </row>
    <row r="7516" spans="1:13" x14ac:dyDescent="0.25">
      <c r="A7516" s="16"/>
      <c r="E7516" s="27"/>
      <c r="F7516" t="s">
        <v>26</v>
      </c>
      <c r="G7516" s="28">
        <f>IFERROR(VLOOKUP(F7516,CARTON_LOOKUP!$A:$E,3,0),"")</f>
      </c>
      <c r="H7516" s="28">
        <f>IFERROR(VLOOKUP(F7516,CARTON_LOOKUP!$A:$E,4,0),"")</f>
      </c>
      <c r="I7516" s="28">
        <f>IFERROR(VLOOKUP(F7516,CARTON_LOOKUP!$A:$E,5,0),"")</f>
      </c>
      <c r="J7516" s="29">
        <f>IFERROR(VLOOKUP(F7516,CARTON_LOOKUP!$A:$E,2,0),"")</f>
      </c>
      <c r="K7516" s="29">
        <f>IFERROR(J7516*D7516,0)</f>
      </c>
      <c r="L7516" s="29">
        <f>IFERROR(E7516*C7516,0)</f>
      </c>
      <c r="M7516" s="29">
        <f>IFERROR((G7516*H7516*I7516/1000000)*D7516,0)</f>
      </c>
    </row>
    <row r="7517" spans="1:13" x14ac:dyDescent="0.25">
      <c r="A7517" s="16"/>
      <c r="E7517" s="27"/>
      <c r="F7517" t="s">
        <v>26</v>
      </c>
      <c r="G7517" s="28">
        <f>IFERROR(VLOOKUP(F7517,CARTON_LOOKUP!$A:$E,3,0),"")</f>
      </c>
      <c r="H7517" s="28">
        <f>IFERROR(VLOOKUP(F7517,CARTON_LOOKUP!$A:$E,4,0),"")</f>
      </c>
      <c r="I7517" s="28">
        <f>IFERROR(VLOOKUP(F7517,CARTON_LOOKUP!$A:$E,5,0),"")</f>
      </c>
      <c r="J7517" s="29">
        <f>IFERROR(VLOOKUP(F7517,CARTON_LOOKUP!$A:$E,2,0),"")</f>
      </c>
      <c r="K7517" s="29">
        <f>IFERROR(J7517*D7517,0)</f>
      </c>
      <c r="L7517" s="29">
        <f>IFERROR(E7517*C7517,0)</f>
      </c>
      <c r="M7517" s="29">
        <f>IFERROR((G7517*H7517*I7517/1000000)*D7517,0)</f>
      </c>
    </row>
    <row r="7518" spans="1:13" x14ac:dyDescent="0.25">
      <c r="A7518" s="16"/>
      <c r="E7518" s="27"/>
      <c r="F7518" t="s">
        <v>26</v>
      </c>
      <c r="G7518" s="28">
        <f>IFERROR(VLOOKUP(F7518,CARTON_LOOKUP!$A:$E,3,0),"")</f>
      </c>
      <c r="H7518" s="28">
        <f>IFERROR(VLOOKUP(F7518,CARTON_LOOKUP!$A:$E,4,0),"")</f>
      </c>
      <c r="I7518" s="28">
        <f>IFERROR(VLOOKUP(F7518,CARTON_LOOKUP!$A:$E,5,0),"")</f>
      </c>
      <c r="J7518" s="29">
        <f>IFERROR(VLOOKUP(F7518,CARTON_LOOKUP!$A:$E,2,0),"")</f>
      </c>
      <c r="K7518" s="29">
        <f>IFERROR(J7518*D7518,0)</f>
      </c>
      <c r="L7518" s="29">
        <f>IFERROR(E7518*C7518,0)</f>
      </c>
      <c r="M7518" s="29">
        <f>IFERROR((G7518*H7518*I7518/1000000)*D7518,0)</f>
      </c>
    </row>
    <row r="7519" spans="1:13" x14ac:dyDescent="0.25">
      <c r="A7519" s="16"/>
      <c r="E7519" s="27"/>
      <c r="F7519" t="s">
        <v>26</v>
      </c>
      <c r="G7519" s="28">
        <f>IFERROR(VLOOKUP(F7519,CARTON_LOOKUP!$A:$E,3,0),"")</f>
      </c>
      <c r="H7519" s="28">
        <f>IFERROR(VLOOKUP(F7519,CARTON_LOOKUP!$A:$E,4,0),"")</f>
      </c>
      <c r="I7519" s="28">
        <f>IFERROR(VLOOKUP(F7519,CARTON_LOOKUP!$A:$E,5,0),"")</f>
      </c>
      <c r="J7519" s="29">
        <f>IFERROR(VLOOKUP(F7519,CARTON_LOOKUP!$A:$E,2,0),"")</f>
      </c>
      <c r="K7519" s="29">
        <f>IFERROR(J7519*D7519,0)</f>
      </c>
      <c r="L7519" s="29">
        <f>IFERROR(E7519*C7519,0)</f>
      </c>
      <c r="M7519" s="29">
        <f>IFERROR((G7519*H7519*I7519/1000000)*D7519,0)</f>
      </c>
    </row>
    <row r="7520" spans="1:13" x14ac:dyDescent="0.25">
      <c r="A7520" s="16"/>
      <c r="E7520" s="27"/>
      <c r="F7520" t="s">
        <v>26</v>
      </c>
      <c r="G7520" s="28">
        <f>IFERROR(VLOOKUP(F7520,CARTON_LOOKUP!$A:$E,3,0),"")</f>
      </c>
      <c r="H7520" s="28">
        <f>IFERROR(VLOOKUP(F7520,CARTON_LOOKUP!$A:$E,4,0),"")</f>
      </c>
      <c r="I7520" s="28">
        <f>IFERROR(VLOOKUP(F7520,CARTON_LOOKUP!$A:$E,5,0),"")</f>
      </c>
      <c r="J7520" s="29">
        <f>IFERROR(VLOOKUP(F7520,CARTON_LOOKUP!$A:$E,2,0),"")</f>
      </c>
      <c r="K7520" s="29">
        <f>IFERROR(J7520*D7520,0)</f>
      </c>
      <c r="L7520" s="29">
        <f>IFERROR(E7520*C7520,0)</f>
      </c>
      <c r="M7520" s="29">
        <f>IFERROR((G7520*H7520*I7520/1000000)*D7520,0)</f>
      </c>
    </row>
    <row r="7521" spans="1:13" x14ac:dyDescent="0.25">
      <c r="A7521" s="16"/>
      <c r="E7521" s="27"/>
      <c r="F7521" t="s">
        <v>26</v>
      </c>
      <c r="G7521" s="28">
        <f>IFERROR(VLOOKUP(F7521,CARTON_LOOKUP!$A:$E,3,0),"")</f>
      </c>
      <c r="H7521" s="28">
        <f>IFERROR(VLOOKUP(F7521,CARTON_LOOKUP!$A:$E,4,0),"")</f>
      </c>
      <c r="I7521" s="28">
        <f>IFERROR(VLOOKUP(F7521,CARTON_LOOKUP!$A:$E,5,0),"")</f>
      </c>
      <c r="J7521" s="29">
        <f>IFERROR(VLOOKUP(F7521,CARTON_LOOKUP!$A:$E,2,0),"")</f>
      </c>
      <c r="K7521" s="29">
        <f>IFERROR(J7521*D7521,0)</f>
      </c>
      <c r="L7521" s="29">
        <f>IFERROR(E7521*C7521,0)</f>
      </c>
      <c r="M7521" s="29">
        <f>IFERROR((G7521*H7521*I7521/1000000)*D7521,0)</f>
      </c>
    </row>
    <row r="7522" spans="1:13" x14ac:dyDescent="0.25">
      <c r="A7522" s="16"/>
      <c r="E7522" s="27"/>
      <c r="F7522" t="s">
        <v>26</v>
      </c>
      <c r="G7522" s="28">
        <f>IFERROR(VLOOKUP(F7522,CARTON_LOOKUP!$A:$E,3,0),"")</f>
      </c>
      <c r="H7522" s="28">
        <f>IFERROR(VLOOKUP(F7522,CARTON_LOOKUP!$A:$E,4,0),"")</f>
      </c>
      <c r="I7522" s="28">
        <f>IFERROR(VLOOKUP(F7522,CARTON_LOOKUP!$A:$E,5,0),"")</f>
      </c>
      <c r="J7522" s="29">
        <f>IFERROR(VLOOKUP(F7522,CARTON_LOOKUP!$A:$E,2,0),"")</f>
      </c>
      <c r="K7522" s="29">
        <f>IFERROR(J7522*D7522,0)</f>
      </c>
      <c r="L7522" s="29">
        <f>IFERROR(E7522*C7522,0)</f>
      </c>
      <c r="M7522" s="29">
        <f>IFERROR((G7522*H7522*I7522/1000000)*D7522,0)</f>
      </c>
    </row>
    <row r="7523" spans="1:13" x14ac:dyDescent="0.25">
      <c r="A7523" s="16"/>
      <c r="E7523" s="27"/>
      <c r="F7523" t="s">
        <v>26</v>
      </c>
      <c r="G7523" s="28">
        <f>IFERROR(VLOOKUP(F7523,CARTON_LOOKUP!$A:$E,3,0),"")</f>
      </c>
      <c r="H7523" s="28">
        <f>IFERROR(VLOOKUP(F7523,CARTON_LOOKUP!$A:$E,4,0),"")</f>
      </c>
      <c r="I7523" s="28">
        <f>IFERROR(VLOOKUP(F7523,CARTON_LOOKUP!$A:$E,5,0),"")</f>
      </c>
      <c r="J7523" s="29">
        <f>IFERROR(VLOOKUP(F7523,CARTON_LOOKUP!$A:$E,2,0),"")</f>
      </c>
      <c r="K7523" s="29">
        <f>IFERROR(J7523*D7523,0)</f>
      </c>
      <c r="L7523" s="29">
        <f>IFERROR(E7523*C7523,0)</f>
      </c>
      <c r="M7523" s="29">
        <f>IFERROR((G7523*H7523*I7523/1000000)*D7523,0)</f>
      </c>
    </row>
    <row r="7524" spans="1:13" x14ac:dyDescent="0.25">
      <c r="A7524" s="16"/>
      <c r="E7524" s="27"/>
      <c r="F7524" t="s">
        <v>26</v>
      </c>
      <c r="G7524" s="28">
        <f>IFERROR(VLOOKUP(F7524,CARTON_LOOKUP!$A:$E,3,0),"")</f>
      </c>
      <c r="H7524" s="28">
        <f>IFERROR(VLOOKUP(F7524,CARTON_LOOKUP!$A:$E,4,0),"")</f>
      </c>
      <c r="I7524" s="28">
        <f>IFERROR(VLOOKUP(F7524,CARTON_LOOKUP!$A:$E,5,0),"")</f>
      </c>
      <c r="J7524" s="29">
        <f>IFERROR(VLOOKUP(F7524,CARTON_LOOKUP!$A:$E,2,0),"")</f>
      </c>
      <c r="K7524" s="29">
        <f>IFERROR(J7524*D7524,0)</f>
      </c>
      <c r="L7524" s="29">
        <f>IFERROR(E7524*C7524,0)</f>
      </c>
      <c r="M7524" s="29">
        <f>IFERROR((G7524*H7524*I7524/1000000)*D7524,0)</f>
      </c>
    </row>
    <row r="7525" spans="1:13" x14ac:dyDescent="0.25">
      <c r="A7525" s="16"/>
      <c r="E7525" s="27"/>
      <c r="F7525" t="s">
        <v>26</v>
      </c>
      <c r="G7525" s="28">
        <f>IFERROR(VLOOKUP(F7525,CARTON_LOOKUP!$A:$E,3,0),"")</f>
      </c>
      <c r="H7525" s="28">
        <f>IFERROR(VLOOKUP(F7525,CARTON_LOOKUP!$A:$E,4,0),"")</f>
      </c>
      <c r="I7525" s="28">
        <f>IFERROR(VLOOKUP(F7525,CARTON_LOOKUP!$A:$E,5,0),"")</f>
      </c>
      <c r="J7525" s="29">
        <f>IFERROR(VLOOKUP(F7525,CARTON_LOOKUP!$A:$E,2,0),"")</f>
      </c>
      <c r="K7525" s="29">
        <f>IFERROR(J7525*D7525,0)</f>
      </c>
      <c r="L7525" s="29">
        <f>IFERROR(E7525*C7525,0)</f>
      </c>
      <c r="M7525" s="29">
        <f>IFERROR((G7525*H7525*I7525/1000000)*D7525,0)</f>
      </c>
    </row>
    <row r="7526" spans="1:13" x14ac:dyDescent="0.25">
      <c r="A7526" s="16"/>
      <c r="E7526" s="27"/>
      <c r="F7526" t="s">
        <v>26</v>
      </c>
      <c r="G7526" s="28">
        <f>IFERROR(VLOOKUP(F7526,CARTON_LOOKUP!$A:$E,3,0),"")</f>
      </c>
      <c r="H7526" s="28">
        <f>IFERROR(VLOOKUP(F7526,CARTON_LOOKUP!$A:$E,4,0),"")</f>
      </c>
      <c r="I7526" s="28">
        <f>IFERROR(VLOOKUP(F7526,CARTON_LOOKUP!$A:$E,5,0),"")</f>
      </c>
      <c r="J7526" s="29">
        <f>IFERROR(VLOOKUP(F7526,CARTON_LOOKUP!$A:$E,2,0),"")</f>
      </c>
      <c r="K7526" s="29">
        <f>IFERROR(J7526*D7526,0)</f>
      </c>
      <c r="L7526" s="29">
        <f>IFERROR(E7526*C7526,0)</f>
      </c>
      <c r="M7526" s="29">
        <f>IFERROR((G7526*H7526*I7526/1000000)*D7526,0)</f>
      </c>
    </row>
    <row r="7527" spans="1:13" x14ac:dyDescent="0.25">
      <c r="A7527" s="16"/>
      <c r="E7527" s="27"/>
      <c r="F7527" t="s">
        <v>26</v>
      </c>
      <c r="G7527" s="28">
        <f>IFERROR(VLOOKUP(F7527,CARTON_LOOKUP!$A:$E,3,0),"")</f>
      </c>
      <c r="H7527" s="28">
        <f>IFERROR(VLOOKUP(F7527,CARTON_LOOKUP!$A:$E,4,0),"")</f>
      </c>
      <c r="I7527" s="28">
        <f>IFERROR(VLOOKUP(F7527,CARTON_LOOKUP!$A:$E,5,0),"")</f>
      </c>
      <c r="J7527" s="29">
        <f>IFERROR(VLOOKUP(F7527,CARTON_LOOKUP!$A:$E,2,0),"")</f>
      </c>
      <c r="K7527" s="29">
        <f>IFERROR(J7527*D7527,0)</f>
      </c>
      <c r="L7527" s="29">
        <f>IFERROR(E7527*C7527,0)</f>
      </c>
      <c r="M7527" s="29">
        <f>IFERROR((G7527*H7527*I7527/1000000)*D7527,0)</f>
      </c>
    </row>
    <row r="7528" spans="1:13" x14ac:dyDescent="0.25">
      <c r="A7528" s="16"/>
      <c r="E7528" s="27"/>
      <c r="F7528" t="s">
        <v>26</v>
      </c>
      <c r="G7528" s="28">
        <f>IFERROR(VLOOKUP(F7528,CARTON_LOOKUP!$A:$E,3,0),"")</f>
      </c>
      <c r="H7528" s="28">
        <f>IFERROR(VLOOKUP(F7528,CARTON_LOOKUP!$A:$E,4,0),"")</f>
      </c>
      <c r="I7528" s="28">
        <f>IFERROR(VLOOKUP(F7528,CARTON_LOOKUP!$A:$E,5,0),"")</f>
      </c>
      <c r="J7528" s="29">
        <f>IFERROR(VLOOKUP(F7528,CARTON_LOOKUP!$A:$E,2,0),"")</f>
      </c>
      <c r="K7528" s="29">
        <f>IFERROR(J7528*D7528,0)</f>
      </c>
      <c r="L7528" s="29">
        <f>IFERROR(E7528*C7528,0)</f>
      </c>
      <c r="M7528" s="29">
        <f>IFERROR((G7528*H7528*I7528/1000000)*D7528,0)</f>
      </c>
    </row>
    <row r="7529" spans="1:13" x14ac:dyDescent="0.25">
      <c r="A7529" s="16"/>
      <c r="E7529" s="27"/>
      <c r="F7529" t="s">
        <v>26</v>
      </c>
      <c r="G7529" s="28">
        <f>IFERROR(VLOOKUP(F7529,CARTON_LOOKUP!$A:$E,3,0),"")</f>
      </c>
      <c r="H7529" s="28">
        <f>IFERROR(VLOOKUP(F7529,CARTON_LOOKUP!$A:$E,4,0),"")</f>
      </c>
      <c r="I7529" s="28">
        <f>IFERROR(VLOOKUP(F7529,CARTON_LOOKUP!$A:$E,5,0),"")</f>
      </c>
      <c r="J7529" s="29">
        <f>IFERROR(VLOOKUP(F7529,CARTON_LOOKUP!$A:$E,2,0),"")</f>
      </c>
      <c r="K7529" s="29">
        <f>IFERROR(J7529*D7529,0)</f>
      </c>
      <c r="L7529" s="29">
        <f>IFERROR(E7529*C7529,0)</f>
      </c>
      <c r="M7529" s="29">
        <f>IFERROR((G7529*H7529*I7529/1000000)*D7529,0)</f>
      </c>
    </row>
    <row r="7530" spans="1:13" x14ac:dyDescent="0.25">
      <c r="A7530" s="16"/>
      <c r="E7530" s="27"/>
      <c r="F7530" t="s">
        <v>26</v>
      </c>
      <c r="G7530" s="28">
        <f>IFERROR(VLOOKUP(F7530,CARTON_LOOKUP!$A:$E,3,0),"")</f>
      </c>
      <c r="H7530" s="28">
        <f>IFERROR(VLOOKUP(F7530,CARTON_LOOKUP!$A:$E,4,0),"")</f>
      </c>
      <c r="I7530" s="28">
        <f>IFERROR(VLOOKUP(F7530,CARTON_LOOKUP!$A:$E,5,0),"")</f>
      </c>
      <c r="J7530" s="29">
        <f>IFERROR(VLOOKUP(F7530,CARTON_LOOKUP!$A:$E,2,0),"")</f>
      </c>
      <c r="K7530" s="29">
        <f>IFERROR(J7530*D7530,0)</f>
      </c>
      <c r="L7530" s="29">
        <f>IFERROR(E7530*C7530,0)</f>
      </c>
      <c r="M7530" s="29">
        <f>IFERROR((G7530*H7530*I7530/1000000)*D7530,0)</f>
      </c>
    </row>
    <row r="7531" spans="1:13" x14ac:dyDescent="0.25">
      <c r="A7531" s="16"/>
      <c r="E7531" s="27"/>
      <c r="F7531" t="s">
        <v>26</v>
      </c>
      <c r="G7531" s="28">
        <f>IFERROR(VLOOKUP(F7531,CARTON_LOOKUP!$A:$E,3,0),"")</f>
      </c>
      <c r="H7531" s="28">
        <f>IFERROR(VLOOKUP(F7531,CARTON_LOOKUP!$A:$E,4,0),"")</f>
      </c>
      <c r="I7531" s="28">
        <f>IFERROR(VLOOKUP(F7531,CARTON_LOOKUP!$A:$E,5,0),"")</f>
      </c>
      <c r="J7531" s="29">
        <f>IFERROR(VLOOKUP(F7531,CARTON_LOOKUP!$A:$E,2,0),"")</f>
      </c>
      <c r="K7531" s="29">
        <f>IFERROR(J7531*D7531,0)</f>
      </c>
      <c r="L7531" s="29">
        <f>IFERROR(E7531*C7531,0)</f>
      </c>
      <c r="M7531" s="29">
        <f>IFERROR((G7531*H7531*I7531/1000000)*D7531,0)</f>
      </c>
    </row>
    <row r="7532" spans="1:13" x14ac:dyDescent="0.25">
      <c r="A7532" s="16"/>
      <c r="E7532" s="27"/>
      <c r="F7532" t="s">
        <v>26</v>
      </c>
      <c r="G7532" s="28">
        <f>IFERROR(VLOOKUP(F7532,CARTON_LOOKUP!$A:$E,3,0),"")</f>
      </c>
      <c r="H7532" s="28">
        <f>IFERROR(VLOOKUP(F7532,CARTON_LOOKUP!$A:$E,4,0),"")</f>
      </c>
      <c r="I7532" s="28">
        <f>IFERROR(VLOOKUP(F7532,CARTON_LOOKUP!$A:$E,5,0),"")</f>
      </c>
      <c r="J7532" s="29">
        <f>IFERROR(VLOOKUP(F7532,CARTON_LOOKUP!$A:$E,2,0),"")</f>
      </c>
      <c r="K7532" s="29">
        <f>IFERROR(J7532*D7532,0)</f>
      </c>
      <c r="L7532" s="29">
        <f>IFERROR(E7532*C7532,0)</f>
      </c>
      <c r="M7532" s="29">
        <f>IFERROR((G7532*H7532*I7532/1000000)*D7532,0)</f>
      </c>
    </row>
    <row r="7533" spans="1:13" x14ac:dyDescent="0.25">
      <c r="A7533" s="16"/>
      <c r="E7533" s="27"/>
      <c r="F7533" t="s">
        <v>26</v>
      </c>
      <c r="G7533" s="28">
        <f>IFERROR(VLOOKUP(F7533,CARTON_LOOKUP!$A:$E,3,0),"")</f>
      </c>
      <c r="H7533" s="28">
        <f>IFERROR(VLOOKUP(F7533,CARTON_LOOKUP!$A:$E,4,0),"")</f>
      </c>
      <c r="I7533" s="28">
        <f>IFERROR(VLOOKUP(F7533,CARTON_LOOKUP!$A:$E,5,0),"")</f>
      </c>
      <c r="J7533" s="29">
        <f>IFERROR(VLOOKUP(F7533,CARTON_LOOKUP!$A:$E,2,0),"")</f>
      </c>
      <c r="K7533" s="29">
        <f>IFERROR(J7533*D7533,0)</f>
      </c>
      <c r="L7533" s="29">
        <f>IFERROR(E7533*C7533,0)</f>
      </c>
      <c r="M7533" s="29">
        <f>IFERROR((G7533*H7533*I7533/1000000)*D7533,0)</f>
      </c>
    </row>
    <row r="7534" spans="1:13" x14ac:dyDescent="0.25">
      <c r="A7534" s="16"/>
      <c r="E7534" s="27"/>
      <c r="F7534" t="s">
        <v>26</v>
      </c>
      <c r="G7534" s="28">
        <f>IFERROR(VLOOKUP(F7534,CARTON_LOOKUP!$A:$E,3,0),"")</f>
      </c>
      <c r="H7534" s="28">
        <f>IFERROR(VLOOKUP(F7534,CARTON_LOOKUP!$A:$E,4,0),"")</f>
      </c>
      <c r="I7534" s="28">
        <f>IFERROR(VLOOKUP(F7534,CARTON_LOOKUP!$A:$E,5,0),"")</f>
      </c>
      <c r="J7534" s="29">
        <f>IFERROR(VLOOKUP(F7534,CARTON_LOOKUP!$A:$E,2,0),"")</f>
      </c>
      <c r="K7534" s="29">
        <f>IFERROR(J7534*D7534,0)</f>
      </c>
      <c r="L7534" s="29">
        <f>IFERROR(E7534*C7534,0)</f>
      </c>
      <c r="M7534" s="29">
        <f>IFERROR((G7534*H7534*I7534/1000000)*D7534,0)</f>
      </c>
    </row>
    <row r="7535" spans="1:13" x14ac:dyDescent="0.25">
      <c r="A7535" s="16"/>
      <c r="E7535" s="27"/>
      <c r="F7535" t="s">
        <v>26</v>
      </c>
      <c r="G7535" s="28">
        <f>IFERROR(VLOOKUP(F7535,CARTON_LOOKUP!$A:$E,3,0),"")</f>
      </c>
      <c r="H7535" s="28">
        <f>IFERROR(VLOOKUP(F7535,CARTON_LOOKUP!$A:$E,4,0),"")</f>
      </c>
      <c r="I7535" s="28">
        <f>IFERROR(VLOOKUP(F7535,CARTON_LOOKUP!$A:$E,5,0),"")</f>
      </c>
      <c r="J7535" s="29">
        <f>IFERROR(VLOOKUP(F7535,CARTON_LOOKUP!$A:$E,2,0),"")</f>
      </c>
      <c r="K7535" s="29">
        <f>IFERROR(J7535*D7535,0)</f>
      </c>
      <c r="L7535" s="29">
        <f>IFERROR(E7535*C7535,0)</f>
      </c>
      <c r="M7535" s="29">
        <f>IFERROR((G7535*H7535*I7535/1000000)*D7535,0)</f>
      </c>
    </row>
    <row r="7536" spans="1:13" x14ac:dyDescent="0.25">
      <c r="A7536" s="16"/>
      <c r="E7536" s="27"/>
      <c r="F7536" t="s">
        <v>26</v>
      </c>
      <c r="G7536" s="28">
        <f>IFERROR(VLOOKUP(F7536,CARTON_LOOKUP!$A:$E,3,0),"")</f>
      </c>
      <c r="H7536" s="28">
        <f>IFERROR(VLOOKUP(F7536,CARTON_LOOKUP!$A:$E,4,0),"")</f>
      </c>
      <c r="I7536" s="28">
        <f>IFERROR(VLOOKUP(F7536,CARTON_LOOKUP!$A:$E,5,0),"")</f>
      </c>
      <c r="J7536" s="29">
        <f>IFERROR(VLOOKUP(F7536,CARTON_LOOKUP!$A:$E,2,0),"")</f>
      </c>
      <c r="K7536" s="29">
        <f>IFERROR(J7536*D7536,0)</f>
      </c>
      <c r="L7536" s="29">
        <f>IFERROR(E7536*C7536,0)</f>
      </c>
      <c r="M7536" s="29">
        <f>IFERROR((G7536*H7536*I7536/1000000)*D7536,0)</f>
      </c>
    </row>
    <row r="7537" spans="1:13" x14ac:dyDescent="0.25">
      <c r="A7537" s="16"/>
      <c r="E7537" s="27"/>
      <c r="F7537" t="s">
        <v>26</v>
      </c>
      <c r="G7537" s="28">
        <f>IFERROR(VLOOKUP(F7537,CARTON_LOOKUP!$A:$E,3,0),"")</f>
      </c>
      <c r="H7537" s="28">
        <f>IFERROR(VLOOKUP(F7537,CARTON_LOOKUP!$A:$E,4,0),"")</f>
      </c>
      <c r="I7537" s="28">
        <f>IFERROR(VLOOKUP(F7537,CARTON_LOOKUP!$A:$E,5,0),"")</f>
      </c>
      <c r="J7537" s="29">
        <f>IFERROR(VLOOKUP(F7537,CARTON_LOOKUP!$A:$E,2,0),"")</f>
      </c>
      <c r="K7537" s="29">
        <f>IFERROR(J7537*D7537,0)</f>
      </c>
      <c r="L7537" s="29">
        <f>IFERROR(E7537*C7537,0)</f>
      </c>
      <c r="M7537" s="29">
        <f>IFERROR((G7537*H7537*I7537/1000000)*D7537,0)</f>
      </c>
    </row>
    <row r="7538" spans="1:13" x14ac:dyDescent="0.25">
      <c r="A7538" s="16"/>
      <c r="E7538" s="27"/>
      <c r="F7538" t="s">
        <v>26</v>
      </c>
      <c r="G7538" s="28">
        <f>IFERROR(VLOOKUP(F7538,CARTON_LOOKUP!$A:$E,3,0),"")</f>
      </c>
      <c r="H7538" s="28">
        <f>IFERROR(VLOOKUP(F7538,CARTON_LOOKUP!$A:$E,4,0),"")</f>
      </c>
      <c r="I7538" s="28">
        <f>IFERROR(VLOOKUP(F7538,CARTON_LOOKUP!$A:$E,5,0),"")</f>
      </c>
      <c r="J7538" s="29">
        <f>IFERROR(VLOOKUP(F7538,CARTON_LOOKUP!$A:$E,2,0),"")</f>
      </c>
      <c r="K7538" s="29">
        <f>IFERROR(J7538*D7538,0)</f>
      </c>
      <c r="L7538" s="29">
        <f>IFERROR(E7538*C7538,0)</f>
      </c>
      <c r="M7538" s="29">
        <f>IFERROR((G7538*H7538*I7538/1000000)*D7538,0)</f>
      </c>
    </row>
    <row r="7539" spans="1:13" x14ac:dyDescent="0.25">
      <c r="A7539" s="16"/>
      <c r="E7539" s="27"/>
      <c r="F7539" t="s">
        <v>26</v>
      </c>
      <c r="G7539" s="28">
        <f>IFERROR(VLOOKUP(F7539,CARTON_LOOKUP!$A:$E,3,0),"")</f>
      </c>
      <c r="H7539" s="28">
        <f>IFERROR(VLOOKUP(F7539,CARTON_LOOKUP!$A:$E,4,0),"")</f>
      </c>
      <c r="I7539" s="28">
        <f>IFERROR(VLOOKUP(F7539,CARTON_LOOKUP!$A:$E,5,0),"")</f>
      </c>
      <c r="J7539" s="29">
        <f>IFERROR(VLOOKUP(F7539,CARTON_LOOKUP!$A:$E,2,0),"")</f>
      </c>
      <c r="K7539" s="29">
        <f>IFERROR(J7539*D7539,0)</f>
      </c>
      <c r="L7539" s="29">
        <f>IFERROR(E7539*C7539,0)</f>
      </c>
      <c r="M7539" s="29">
        <f>IFERROR((G7539*H7539*I7539/1000000)*D7539,0)</f>
      </c>
    </row>
    <row r="7540" spans="1:13" x14ac:dyDescent="0.25">
      <c r="A7540" s="16"/>
      <c r="E7540" s="27"/>
      <c r="F7540" t="s">
        <v>26</v>
      </c>
      <c r="G7540" s="28">
        <f>IFERROR(VLOOKUP(F7540,CARTON_LOOKUP!$A:$E,3,0),"")</f>
      </c>
      <c r="H7540" s="28">
        <f>IFERROR(VLOOKUP(F7540,CARTON_LOOKUP!$A:$E,4,0),"")</f>
      </c>
      <c r="I7540" s="28">
        <f>IFERROR(VLOOKUP(F7540,CARTON_LOOKUP!$A:$E,5,0),"")</f>
      </c>
      <c r="J7540" s="29">
        <f>IFERROR(VLOOKUP(F7540,CARTON_LOOKUP!$A:$E,2,0),"")</f>
      </c>
      <c r="K7540" s="29">
        <f>IFERROR(J7540*D7540,0)</f>
      </c>
      <c r="L7540" s="29">
        <f>IFERROR(E7540*C7540,0)</f>
      </c>
      <c r="M7540" s="29">
        <f>IFERROR((G7540*H7540*I7540/1000000)*D7540,0)</f>
      </c>
    </row>
    <row r="7541" spans="1:13" x14ac:dyDescent="0.25">
      <c r="A7541" s="16"/>
      <c r="E7541" s="27"/>
      <c r="F7541" t="s">
        <v>26</v>
      </c>
      <c r="G7541" s="28">
        <f>IFERROR(VLOOKUP(F7541,CARTON_LOOKUP!$A:$E,3,0),"")</f>
      </c>
      <c r="H7541" s="28">
        <f>IFERROR(VLOOKUP(F7541,CARTON_LOOKUP!$A:$E,4,0),"")</f>
      </c>
      <c r="I7541" s="28">
        <f>IFERROR(VLOOKUP(F7541,CARTON_LOOKUP!$A:$E,5,0),"")</f>
      </c>
      <c r="J7541" s="29">
        <f>IFERROR(VLOOKUP(F7541,CARTON_LOOKUP!$A:$E,2,0),"")</f>
      </c>
      <c r="K7541" s="29">
        <f>IFERROR(J7541*D7541,0)</f>
      </c>
      <c r="L7541" s="29">
        <f>IFERROR(E7541*C7541,0)</f>
      </c>
      <c r="M7541" s="29">
        <f>IFERROR((G7541*H7541*I7541/1000000)*D7541,0)</f>
      </c>
    </row>
    <row r="7542" spans="1:13" x14ac:dyDescent="0.25">
      <c r="A7542" s="16"/>
      <c r="E7542" s="27"/>
      <c r="F7542" t="s">
        <v>26</v>
      </c>
      <c r="G7542" s="28">
        <f>IFERROR(VLOOKUP(F7542,CARTON_LOOKUP!$A:$E,3,0),"")</f>
      </c>
      <c r="H7542" s="28">
        <f>IFERROR(VLOOKUP(F7542,CARTON_LOOKUP!$A:$E,4,0),"")</f>
      </c>
      <c r="I7542" s="28">
        <f>IFERROR(VLOOKUP(F7542,CARTON_LOOKUP!$A:$E,5,0),"")</f>
      </c>
      <c r="J7542" s="29">
        <f>IFERROR(VLOOKUP(F7542,CARTON_LOOKUP!$A:$E,2,0),"")</f>
      </c>
      <c r="K7542" s="29">
        <f>IFERROR(J7542*D7542,0)</f>
      </c>
      <c r="L7542" s="29">
        <f>IFERROR(E7542*C7542,0)</f>
      </c>
      <c r="M7542" s="29">
        <f>IFERROR((G7542*H7542*I7542/1000000)*D7542,0)</f>
      </c>
    </row>
    <row r="7543" spans="1:13" x14ac:dyDescent="0.25">
      <c r="A7543" s="16"/>
      <c r="E7543" s="27"/>
      <c r="F7543" t="s">
        <v>26</v>
      </c>
      <c r="G7543" s="28">
        <f>IFERROR(VLOOKUP(F7543,CARTON_LOOKUP!$A:$E,3,0),"")</f>
      </c>
      <c r="H7543" s="28">
        <f>IFERROR(VLOOKUP(F7543,CARTON_LOOKUP!$A:$E,4,0),"")</f>
      </c>
      <c r="I7543" s="28">
        <f>IFERROR(VLOOKUP(F7543,CARTON_LOOKUP!$A:$E,5,0),"")</f>
      </c>
      <c r="J7543" s="29">
        <f>IFERROR(VLOOKUP(F7543,CARTON_LOOKUP!$A:$E,2,0),"")</f>
      </c>
      <c r="K7543" s="29">
        <f>IFERROR(J7543*D7543,0)</f>
      </c>
      <c r="L7543" s="29">
        <f>IFERROR(E7543*C7543,0)</f>
      </c>
      <c r="M7543" s="29">
        <f>IFERROR((G7543*H7543*I7543/1000000)*D7543,0)</f>
      </c>
    </row>
    <row r="7544" spans="1:13" x14ac:dyDescent="0.25">
      <c r="A7544" s="16"/>
      <c r="E7544" s="27"/>
      <c r="F7544" t="s">
        <v>26</v>
      </c>
      <c r="G7544" s="28">
        <f>IFERROR(VLOOKUP(F7544,CARTON_LOOKUP!$A:$E,3,0),"")</f>
      </c>
      <c r="H7544" s="28">
        <f>IFERROR(VLOOKUP(F7544,CARTON_LOOKUP!$A:$E,4,0),"")</f>
      </c>
      <c r="I7544" s="28">
        <f>IFERROR(VLOOKUP(F7544,CARTON_LOOKUP!$A:$E,5,0),"")</f>
      </c>
      <c r="J7544" s="29">
        <f>IFERROR(VLOOKUP(F7544,CARTON_LOOKUP!$A:$E,2,0),"")</f>
      </c>
      <c r="K7544" s="29">
        <f>IFERROR(J7544*D7544,0)</f>
      </c>
      <c r="L7544" s="29">
        <f>IFERROR(E7544*C7544,0)</f>
      </c>
      <c r="M7544" s="29">
        <f>IFERROR((G7544*H7544*I7544/1000000)*D7544,0)</f>
      </c>
    </row>
    <row r="7545" spans="1:13" x14ac:dyDescent="0.25">
      <c r="A7545" s="16"/>
      <c r="E7545" s="27"/>
      <c r="F7545" t="s">
        <v>26</v>
      </c>
      <c r="G7545" s="28">
        <f>IFERROR(VLOOKUP(F7545,CARTON_LOOKUP!$A:$E,3,0),"")</f>
      </c>
      <c r="H7545" s="28">
        <f>IFERROR(VLOOKUP(F7545,CARTON_LOOKUP!$A:$E,4,0),"")</f>
      </c>
      <c r="I7545" s="28">
        <f>IFERROR(VLOOKUP(F7545,CARTON_LOOKUP!$A:$E,5,0),"")</f>
      </c>
      <c r="J7545" s="29">
        <f>IFERROR(VLOOKUP(F7545,CARTON_LOOKUP!$A:$E,2,0),"")</f>
      </c>
      <c r="K7545" s="29">
        <f>IFERROR(J7545*D7545,0)</f>
      </c>
      <c r="L7545" s="29">
        <f>IFERROR(E7545*C7545,0)</f>
      </c>
      <c r="M7545" s="29">
        <f>IFERROR((G7545*H7545*I7545/1000000)*D7545,0)</f>
      </c>
    </row>
    <row r="7546" spans="1:13" x14ac:dyDescent="0.25">
      <c r="A7546" s="16"/>
      <c r="E7546" s="27"/>
      <c r="F7546" t="s">
        <v>26</v>
      </c>
      <c r="G7546" s="28">
        <f>IFERROR(VLOOKUP(F7546,CARTON_LOOKUP!$A:$E,3,0),"")</f>
      </c>
      <c r="H7546" s="28">
        <f>IFERROR(VLOOKUP(F7546,CARTON_LOOKUP!$A:$E,4,0),"")</f>
      </c>
      <c r="I7546" s="28">
        <f>IFERROR(VLOOKUP(F7546,CARTON_LOOKUP!$A:$E,5,0),"")</f>
      </c>
      <c r="J7546" s="29">
        <f>IFERROR(VLOOKUP(F7546,CARTON_LOOKUP!$A:$E,2,0),"")</f>
      </c>
      <c r="K7546" s="29">
        <f>IFERROR(J7546*D7546,0)</f>
      </c>
      <c r="L7546" s="29">
        <f>IFERROR(E7546*C7546,0)</f>
      </c>
      <c r="M7546" s="29">
        <f>IFERROR((G7546*H7546*I7546/1000000)*D7546,0)</f>
      </c>
    </row>
    <row r="7547" spans="1:13" x14ac:dyDescent="0.25">
      <c r="A7547" s="16"/>
      <c r="E7547" s="27"/>
      <c r="F7547" t="s">
        <v>26</v>
      </c>
      <c r="G7547" s="28">
        <f>IFERROR(VLOOKUP(F7547,CARTON_LOOKUP!$A:$E,3,0),"")</f>
      </c>
      <c r="H7547" s="28">
        <f>IFERROR(VLOOKUP(F7547,CARTON_LOOKUP!$A:$E,4,0),"")</f>
      </c>
      <c r="I7547" s="28">
        <f>IFERROR(VLOOKUP(F7547,CARTON_LOOKUP!$A:$E,5,0),"")</f>
      </c>
      <c r="J7547" s="29">
        <f>IFERROR(VLOOKUP(F7547,CARTON_LOOKUP!$A:$E,2,0),"")</f>
      </c>
      <c r="K7547" s="29">
        <f>IFERROR(J7547*D7547,0)</f>
      </c>
      <c r="L7547" s="29">
        <f>IFERROR(E7547*C7547,0)</f>
      </c>
      <c r="M7547" s="29">
        <f>IFERROR((G7547*H7547*I7547/1000000)*D7547,0)</f>
      </c>
    </row>
    <row r="7548" spans="1:13" x14ac:dyDescent="0.25">
      <c r="A7548" s="16"/>
      <c r="E7548" s="27"/>
      <c r="F7548" t="s">
        <v>26</v>
      </c>
      <c r="G7548" s="28">
        <f>IFERROR(VLOOKUP(F7548,CARTON_LOOKUP!$A:$E,3,0),"")</f>
      </c>
      <c r="H7548" s="28">
        <f>IFERROR(VLOOKUP(F7548,CARTON_LOOKUP!$A:$E,4,0),"")</f>
      </c>
      <c r="I7548" s="28">
        <f>IFERROR(VLOOKUP(F7548,CARTON_LOOKUP!$A:$E,5,0),"")</f>
      </c>
      <c r="J7548" s="29">
        <f>IFERROR(VLOOKUP(F7548,CARTON_LOOKUP!$A:$E,2,0),"")</f>
      </c>
      <c r="K7548" s="29">
        <f>IFERROR(J7548*D7548,0)</f>
      </c>
      <c r="L7548" s="29">
        <f>IFERROR(E7548*C7548,0)</f>
      </c>
      <c r="M7548" s="29">
        <f>IFERROR((G7548*H7548*I7548/1000000)*D7548,0)</f>
      </c>
    </row>
    <row r="7549" spans="1:13" x14ac:dyDescent="0.25">
      <c r="A7549" s="16"/>
      <c r="E7549" s="27"/>
      <c r="F7549" t="s">
        <v>26</v>
      </c>
      <c r="G7549" s="28">
        <f>IFERROR(VLOOKUP(F7549,CARTON_LOOKUP!$A:$E,3,0),"")</f>
      </c>
      <c r="H7549" s="28">
        <f>IFERROR(VLOOKUP(F7549,CARTON_LOOKUP!$A:$E,4,0),"")</f>
      </c>
      <c r="I7549" s="28">
        <f>IFERROR(VLOOKUP(F7549,CARTON_LOOKUP!$A:$E,5,0),"")</f>
      </c>
      <c r="J7549" s="29">
        <f>IFERROR(VLOOKUP(F7549,CARTON_LOOKUP!$A:$E,2,0),"")</f>
      </c>
      <c r="K7549" s="29">
        <f>IFERROR(J7549*D7549,0)</f>
      </c>
      <c r="L7549" s="29">
        <f>IFERROR(E7549*C7549,0)</f>
      </c>
      <c r="M7549" s="29">
        <f>IFERROR((G7549*H7549*I7549/1000000)*D7549,0)</f>
      </c>
    </row>
    <row r="7550" spans="1:13" x14ac:dyDescent="0.25">
      <c r="A7550" s="16"/>
      <c r="E7550" s="27"/>
      <c r="F7550" t="s">
        <v>26</v>
      </c>
      <c r="G7550" s="28">
        <f>IFERROR(VLOOKUP(F7550,CARTON_LOOKUP!$A:$E,3,0),"")</f>
      </c>
      <c r="H7550" s="28">
        <f>IFERROR(VLOOKUP(F7550,CARTON_LOOKUP!$A:$E,4,0),"")</f>
      </c>
      <c r="I7550" s="28">
        <f>IFERROR(VLOOKUP(F7550,CARTON_LOOKUP!$A:$E,5,0),"")</f>
      </c>
      <c r="J7550" s="29">
        <f>IFERROR(VLOOKUP(F7550,CARTON_LOOKUP!$A:$E,2,0),"")</f>
      </c>
      <c r="K7550" s="29">
        <f>IFERROR(J7550*D7550,0)</f>
      </c>
      <c r="L7550" s="29">
        <f>IFERROR(E7550*C7550,0)</f>
      </c>
      <c r="M7550" s="29">
        <f>IFERROR((G7550*H7550*I7550/1000000)*D7550,0)</f>
      </c>
    </row>
    <row r="7551" spans="1:13" x14ac:dyDescent="0.25">
      <c r="A7551" s="16"/>
      <c r="E7551" s="27"/>
      <c r="F7551" t="s">
        <v>26</v>
      </c>
      <c r="G7551" s="28">
        <f>IFERROR(VLOOKUP(F7551,CARTON_LOOKUP!$A:$E,3,0),"")</f>
      </c>
      <c r="H7551" s="28">
        <f>IFERROR(VLOOKUP(F7551,CARTON_LOOKUP!$A:$E,4,0),"")</f>
      </c>
      <c r="I7551" s="28">
        <f>IFERROR(VLOOKUP(F7551,CARTON_LOOKUP!$A:$E,5,0),"")</f>
      </c>
      <c r="J7551" s="29">
        <f>IFERROR(VLOOKUP(F7551,CARTON_LOOKUP!$A:$E,2,0),"")</f>
      </c>
      <c r="K7551" s="29">
        <f>IFERROR(J7551*D7551,0)</f>
      </c>
      <c r="L7551" s="29">
        <f>IFERROR(E7551*C7551,0)</f>
      </c>
      <c r="M7551" s="29">
        <f>IFERROR((G7551*H7551*I7551/1000000)*D7551,0)</f>
      </c>
    </row>
    <row r="7552" spans="1:13" x14ac:dyDescent="0.25">
      <c r="A7552" s="16"/>
      <c r="E7552" s="27"/>
      <c r="F7552" t="s">
        <v>26</v>
      </c>
      <c r="G7552" s="28">
        <f>IFERROR(VLOOKUP(F7552,CARTON_LOOKUP!$A:$E,3,0),"")</f>
      </c>
      <c r="H7552" s="28">
        <f>IFERROR(VLOOKUP(F7552,CARTON_LOOKUP!$A:$E,4,0),"")</f>
      </c>
      <c r="I7552" s="28">
        <f>IFERROR(VLOOKUP(F7552,CARTON_LOOKUP!$A:$E,5,0),"")</f>
      </c>
      <c r="J7552" s="29">
        <f>IFERROR(VLOOKUP(F7552,CARTON_LOOKUP!$A:$E,2,0),"")</f>
      </c>
      <c r="K7552" s="29">
        <f>IFERROR(J7552*D7552,0)</f>
      </c>
      <c r="L7552" s="29">
        <f>IFERROR(E7552*C7552,0)</f>
      </c>
      <c r="M7552" s="29">
        <f>IFERROR((G7552*H7552*I7552/1000000)*D7552,0)</f>
      </c>
    </row>
    <row r="7553" spans="1:13" x14ac:dyDescent="0.25">
      <c r="A7553" s="16"/>
      <c r="E7553" s="27"/>
      <c r="F7553" t="s">
        <v>26</v>
      </c>
      <c r="G7553" s="28">
        <f>IFERROR(VLOOKUP(F7553,CARTON_LOOKUP!$A:$E,3,0),"")</f>
      </c>
      <c r="H7553" s="28">
        <f>IFERROR(VLOOKUP(F7553,CARTON_LOOKUP!$A:$E,4,0),"")</f>
      </c>
      <c r="I7553" s="28">
        <f>IFERROR(VLOOKUP(F7553,CARTON_LOOKUP!$A:$E,5,0),"")</f>
      </c>
      <c r="J7553" s="29">
        <f>IFERROR(VLOOKUP(F7553,CARTON_LOOKUP!$A:$E,2,0),"")</f>
      </c>
      <c r="K7553" s="29">
        <f>IFERROR(J7553*D7553,0)</f>
      </c>
      <c r="L7553" s="29">
        <f>IFERROR(E7553*C7553,0)</f>
      </c>
      <c r="M7553" s="29">
        <f>IFERROR((G7553*H7553*I7553/1000000)*D7553,0)</f>
      </c>
    </row>
    <row r="7554" spans="1:13" x14ac:dyDescent="0.25">
      <c r="A7554" s="16"/>
      <c r="E7554" s="27"/>
      <c r="F7554" t="s">
        <v>26</v>
      </c>
      <c r="G7554" s="28">
        <f>IFERROR(VLOOKUP(F7554,CARTON_LOOKUP!$A:$E,3,0),"")</f>
      </c>
      <c r="H7554" s="28">
        <f>IFERROR(VLOOKUP(F7554,CARTON_LOOKUP!$A:$E,4,0),"")</f>
      </c>
      <c r="I7554" s="28">
        <f>IFERROR(VLOOKUP(F7554,CARTON_LOOKUP!$A:$E,5,0),"")</f>
      </c>
      <c r="J7554" s="29">
        <f>IFERROR(VLOOKUP(F7554,CARTON_LOOKUP!$A:$E,2,0),"")</f>
      </c>
      <c r="K7554" s="29">
        <f>IFERROR(J7554*D7554,0)</f>
      </c>
      <c r="L7554" s="29">
        <f>IFERROR(E7554*C7554,0)</f>
      </c>
      <c r="M7554" s="29">
        <f>IFERROR((G7554*H7554*I7554/1000000)*D7554,0)</f>
      </c>
    </row>
    <row r="7555" spans="1:13" x14ac:dyDescent="0.25">
      <c r="A7555" s="16"/>
      <c r="E7555" s="27"/>
      <c r="F7555" t="s">
        <v>26</v>
      </c>
      <c r="G7555" s="28">
        <f>IFERROR(VLOOKUP(F7555,CARTON_LOOKUP!$A:$E,3,0),"")</f>
      </c>
      <c r="H7555" s="28">
        <f>IFERROR(VLOOKUP(F7555,CARTON_LOOKUP!$A:$E,4,0),"")</f>
      </c>
      <c r="I7555" s="28">
        <f>IFERROR(VLOOKUP(F7555,CARTON_LOOKUP!$A:$E,5,0),"")</f>
      </c>
      <c r="J7555" s="29">
        <f>IFERROR(VLOOKUP(F7555,CARTON_LOOKUP!$A:$E,2,0),"")</f>
      </c>
      <c r="K7555" s="29">
        <f>IFERROR(J7555*D7555,0)</f>
      </c>
      <c r="L7555" s="29">
        <f>IFERROR(E7555*C7555,0)</f>
      </c>
      <c r="M7555" s="29">
        <f>IFERROR((G7555*H7555*I7555/1000000)*D7555,0)</f>
      </c>
    </row>
    <row r="7556" spans="1:13" x14ac:dyDescent="0.25">
      <c r="A7556" s="16"/>
      <c r="E7556" s="27"/>
      <c r="F7556" t="s">
        <v>26</v>
      </c>
      <c r="G7556" s="28">
        <f>IFERROR(VLOOKUP(F7556,CARTON_LOOKUP!$A:$E,3,0),"")</f>
      </c>
      <c r="H7556" s="28">
        <f>IFERROR(VLOOKUP(F7556,CARTON_LOOKUP!$A:$E,4,0),"")</f>
      </c>
      <c r="I7556" s="28">
        <f>IFERROR(VLOOKUP(F7556,CARTON_LOOKUP!$A:$E,5,0),"")</f>
      </c>
      <c r="J7556" s="29">
        <f>IFERROR(VLOOKUP(F7556,CARTON_LOOKUP!$A:$E,2,0),"")</f>
      </c>
      <c r="K7556" s="29">
        <f>IFERROR(J7556*D7556,0)</f>
      </c>
      <c r="L7556" s="29">
        <f>IFERROR(E7556*C7556,0)</f>
      </c>
      <c r="M7556" s="29">
        <f>IFERROR((G7556*H7556*I7556/1000000)*D7556,0)</f>
      </c>
    </row>
    <row r="7557" spans="1:13" x14ac:dyDescent="0.25">
      <c r="A7557" s="16"/>
      <c r="E7557" s="27"/>
      <c r="F7557" t="s">
        <v>26</v>
      </c>
      <c r="G7557" s="28">
        <f>IFERROR(VLOOKUP(F7557,CARTON_LOOKUP!$A:$E,3,0),"")</f>
      </c>
      <c r="H7557" s="28">
        <f>IFERROR(VLOOKUP(F7557,CARTON_LOOKUP!$A:$E,4,0),"")</f>
      </c>
      <c r="I7557" s="28">
        <f>IFERROR(VLOOKUP(F7557,CARTON_LOOKUP!$A:$E,5,0),"")</f>
      </c>
      <c r="J7557" s="29">
        <f>IFERROR(VLOOKUP(F7557,CARTON_LOOKUP!$A:$E,2,0),"")</f>
      </c>
      <c r="K7557" s="29">
        <f>IFERROR(J7557*D7557,0)</f>
      </c>
      <c r="L7557" s="29">
        <f>IFERROR(E7557*C7557,0)</f>
      </c>
      <c r="M7557" s="29">
        <f>IFERROR((G7557*H7557*I7557/1000000)*D7557,0)</f>
      </c>
    </row>
    <row r="7558" spans="1:13" x14ac:dyDescent="0.25">
      <c r="A7558" s="16"/>
      <c r="E7558" s="27"/>
      <c r="F7558" t="s">
        <v>26</v>
      </c>
      <c r="G7558" s="28">
        <f>IFERROR(VLOOKUP(F7558,CARTON_LOOKUP!$A:$E,3,0),"")</f>
      </c>
      <c r="H7558" s="28">
        <f>IFERROR(VLOOKUP(F7558,CARTON_LOOKUP!$A:$E,4,0),"")</f>
      </c>
      <c r="I7558" s="28">
        <f>IFERROR(VLOOKUP(F7558,CARTON_LOOKUP!$A:$E,5,0),"")</f>
      </c>
      <c r="J7558" s="29">
        <f>IFERROR(VLOOKUP(F7558,CARTON_LOOKUP!$A:$E,2,0),"")</f>
      </c>
      <c r="K7558" s="29">
        <f>IFERROR(J7558*D7558,0)</f>
      </c>
      <c r="L7558" s="29">
        <f>IFERROR(E7558*C7558,0)</f>
      </c>
      <c r="M7558" s="29">
        <f>IFERROR((G7558*H7558*I7558/1000000)*D7558,0)</f>
      </c>
    </row>
    <row r="7559" spans="1:13" x14ac:dyDescent="0.25">
      <c r="A7559" s="16"/>
      <c r="E7559" s="27"/>
      <c r="F7559" t="s">
        <v>26</v>
      </c>
      <c r="G7559" s="28">
        <f>IFERROR(VLOOKUP(F7559,CARTON_LOOKUP!$A:$E,3,0),"")</f>
      </c>
      <c r="H7559" s="28">
        <f>IFERROR(VLOOKUP(F7559,CARTON_LOOKUP!$A:$E,4,0),"")</f>
      </c>
      <c r="I7559" s="28">
        <f>IFERROR(VLOOKUP(F7559,CARTON_LOOKUP!$A:$E,5,0),"")</f>
      </c>
      <c r="J7559" s="29">
        <f>IFERROR(VLOOKUP(F7559,CARTON_LOOKUP!$A:$E,2,0),"")</f>
      </c>
      <c r="K7559" s="29">
        <f>IFERROR(J7559*D7559,0)</f>
      </c>
      <c r="L7559" s="29">
        <f>IFERROR(E7559*C7559,0)</f>
      </c>
      <c r="M7559" s="29">
        <f>IFERROR((G7559*H7559*I7559/1000000)*D7559,0)</f>
      </c>
    </row>
    <row r="7560" spans="1:13" x14ac:dyDescent="0.25">
      <c r="A7560" s="16"/>
      <c r="E7560" s="27"/>
      <c r="F7560" t="s">
        <v>26</v>
      </c>
      <c r="G7560" s="28">
        <f>IFERROR(VLOOKUP(F7560,CARTON_LOOKUP!$A:$E,3,0),"")</f>
      </c>
      <c r="H7560" s="28">
        <f>IFERROR(VLOOKUP(F7560,CARTON_LOOKUP!$A:$E,4,0),"")</f>
      </c>
      <c r="I7560" s="28">
        <f>IFERROR(VLOOKUP(F7560,CARTON_LOOKUP!$A:$E,5,0),"")</f>
      </c>
      <c r="J7560" s="29">
        <f>IFERROR(VLOOKUP(F7560,CARTON_LOOKUP!$A:$E,2,0),"")</f>
      </c>
      <c r="K7560" s="29">
        <f>IFERROR(J7560*D7560,0)</f>
      </c>
      <c r="L7560" s="29">
        <f>IFERROR(E7560*C7560,0)</f>
      </c>
      <c r="M7560" s="29">
        <f>IFERROR((G7560*H7560*I7560/1000000)*D7560,0)</f>
      </c>
    </row>
    <row r="7561" spans="1:13" x14ac:dyDescent="0.25">
      <c r="A7561" s="16"/>
      <c r="E7561" s="27"/>
      <c r="F7561" t="s">
        <v>26</v>
      </c>
      <c r="G7561" s="28">
        <f>IFERROR(VLOOKUP(F7561,CARTON_LOOKUP!$A:$E,3,0),"")</f>
      </c>
      <c r="H7561" s="28">
        <f>IFERROR(VLOOKUP(F7561,CARTON_LOOKUP!$A:$E,4,0),"")</f>
      </c>
      <c r="I7561" s="28">
        <f>IFERROR(VLOOKUP(F7561,CARTON_LOOKUP!$A:$E,5,0),"")</f>
      </c>
      <c r="J7561" s="29">
        <f>IFERROR(VLOOKUP(F7561,CARTON_LOOKUP!$A:$E,2,0),"")</f>
      </c>
      <c r="K7561" s="29">
        <f>IFERROR(J7561*D7561,0)</f>
      </c>
      <c r="L7561" s="29">
        <f>IFERROR(E7561*C7561,0)</f>
      </c>
      <c r="M7561" s="29">
        <f>IFERROR((G7561*H7561*I7561/1000000)*D7561,0)</f>
      </c>
    </row>
    <row r="7562" spans="1:13" x14ac:dyDescent="0.25">
      <c r="A7562" s="16"/>
      <c r="E7562" s="27"/>
      <c r="F7562" t="s">
        <v>26</v>
      </c>
      <c r="G7562" s="28">
        <f>IFERROR(VLOOKUP(F7562,CARTON_LOOKUP!$A:$E,3,0),"")</f>
      </c>
      <c r="H7562" s="28">
        <f>IFERROR(VLOOKUP(F7562,CARTON_LOOKUP!$A:$E,4,0),"")</f>
      </c>
      <c r="I7562" s="28">
        <f>IFERROR(VLOOKUP(F7562,CARTON_LOOKUP!$A:$E,5,0),"")</f>
      </c>
      <c r="J7562" s="29">
        <f>IFERROR(VLOOKUP(F7562,CARTON_LOOKUP!$A:$E,2,0),"")</f>
      </c>
      <c r="K7562" s="29">
        <f>IFERROR(J7562*D7562,0)</f>
      </c>
      <c r="L7562" s="29">
        <f>IFERROR(E7562*C7562,0)</f>
      </c>
      <c r="M7562" s="29">
        <f>IFERROR((G7562*H7562*I7562/1000000)*D7562,0)</f>
      </c>
    </row>
    <row r="7563" spans="1:13" x14ac:dyDescent="0.25">
      <c r="A7563" s="16"/>
      <c r="E7563" s="27"/>
      <c r="F7563" t="s">
        <v>26</v>
      </c>
      <c r="G7563" s="28">
        <f>IFERROR(VLOOKUP(F7563,CARTON_LOOKUP!$A:$E,3,0),"")</f>
      </c>
      <c r="H7563" s="28">
        <f>IFERROR(VLOOKUP(F7563,CARTON_LOOKUP!$A:$E,4,0),"")</f>
      </c>
      <c r="I7563" s="28">
        <f>IFERROR(VLOOKUP(F7563,CARTON_LOOKUP!$A:$E,5,0),"")</f>
      </c>
      <c r="J7563" s="29">
        <f>IFERROR(VLOOKUP(F7563,CARTON_LOOKUP!$A:$E,2,0),"")</f>
      </c>
      <c r="K7563" s="29">
        <f>IFERROR(J7563*D7563,0)</f>
      </c>
      <c r="L7563" s="29">
        <f>IFERROR(E7563*C7563,0)</f>
      </c>
      <c r="M7563" s="29">
        <f>IFERROR((G7563*H7563*I7563/1000000)*D7563,0)</f>
      </c>
    </row>
    <row r="7564" spans="1:13" x14ac:dyDescent="0.25">
      <c r="A7564" s="16"/>
      <c r="E7564" s="27"/>
      <c r="F7564" t="s">
        <v>26</v>
      </c>
      <c r="G7564" s="28">
        <f>IFERROR(VLOOKUP(F7564,CARTON_LOOKUP!$A:$E,3,0),"")</f>
      </c>
      <c r="H7564" s="28">
        <f>IFERROR(VLOOKUP(F7564,CARTON_LOOKUP!$A:$E,4,0),"")</f>
      </c>
      <c r="I7564" s="28">
        <f>IFERROR(VLOOKUP(F7564,CARTON_LOOKUP!$A:$E,5,0),"")</f>
      </c>
      <c r="J7564" s="29">
        <f>IFERROR(VLOOKUP(F7564,CARTON_LOOKUP!$A:$E,2,0),"")</f>
      </c>
      <c r="K7564" s="29">
        <f>IFERROR(J7564*D7564,0)</f>
      </c>
      <c r="L7564" s="29">
        <f>IFERROR(E7564*C7564,0)</f>
      </c>
      <c r="M7564" s="29">
        <f>IFERROR((G7564*H7564*I7564/1000000)*D7564,0)</f>
      </c>
    </row>
    <row r="7565" spans="1:13" x14ac:dyDescent="0.25">
      <c r="A7565" s="16"/>
      <c r="E7565" s="27"/>
      <c r="F7565" t="s">
        <v>26</v>
      </c>
      <c r="G7565" s="28">
        <f>IFERROR(VLOOKUP(F7565,CARTON_LOOKUP!$A:$E,3,0),"")</f>
      </c>
      <c r="H7565" s="28">
        <f>IFERROR(VLOOKUP(F7565,CARTON_LOOKUP!$A:$E,4,0),"")</f>
      </c>
      <c r="I7565" s="28">
        <f>IFERROR(VLOOKUP(F7565,CARTON_LOOKUP!$A:$E,5,0),"")</f>
      </c>
      <c r="J7565" s="29">
        <f>IFERROR(VLOOKUP(F7565,CARTON_LOOKUP!$A:$E,2,0),"")</f>
      </c>
      <c r="K7565" s="29">
        <f>IFERROR(J7565*D7565,0)</f>
      </c>
      <c r="L7565" s="29">
        <f>IFERROR(E7565*C7565,0)</f>
      </c>
      <c r="M7565" s="29">
        <f>IFERROR((G7565*H7565*I7565/1000000)*D7565,0)</f>
      </c>
    </row>
    <row r="7566" spans="1:13" x14ac:dyDescent="0.25">
      <c r="A7566" s="16"/>
      <c r="E7566" s="27"/>
      <c r="F7566" t="s">
        <v>26</v>
      </c>
      <c r="G7566" s="28">
        <f>IFERROR(VLOOKUP(F7566,CARTON_LOOKUP!$A:$E,3,0),"")</f>
      </c>
      <c r="H7566" s="28">
        <f>IFERROR(VLOOKUP(F7566,CARTON_LOOKUP!$A:$E,4,0),"")</f>
      </c>
      <c r="I7566" s="28">
        <f>IFERROR(VLOOKUP(F7566,CARTON_LOOKUP!$A:$E,5,0),"")</f>
      </c>
      <c r="J7566" s="29">
        <f>IFERROR(VLOOKUP(F7566,CARTON_LOOKUP!$A:$E,2,0),"")</f>
      </c>
      <c r="K7566" s="29">
        <f>IFERROR(J7566*D7566,0)</f>
      </c>
      <c r="L7566" s="29">
        <f>IFERROR(E7566*C7566,0)</f>
      </c>
      <c r="M7566" s="29">
        <f>IFERROR((G7566*H7566*I7566/1000000)*D7566,0)</f>
      </c>
    </row>
    <row r="7567" spans="1:13" x14ac:dyDescent="0.25">
      <c r="A7567" s="16"/>
      <c r="E7567" s="27"/>
      <c r="F7567" t="s">
        <v>26</v>
      </c>
      <c r="G7567" s="28">
        <f>IFERROR(VLOOKUP(F7567,CARTON_LOOKUP!$A:$E,3,0),"")</f>
      </c>
      <c r="H7567" s="28">
        <f>IFERROR(VLOOKUP(F7567,CARTON_LOOKUP!$A:$E,4,0),"")</f>
      </c>
      <c r="I7567" s="28">
        <f>IFERROR(VLOOKUP(F7567,CARTON_LOOKUP!$A:$E,5,0),"")</f>
      </c>
      <c r="J7567" s="29">
        <f>IFERROR(VLOOKUP(F7567,CARTON_LOOKUP!$A:$E,2,0),"")</f>
      </c>
      <c r="K7567" s="29">
        <f>IFERROR(J7567*D7567,0)</f>
      </c>
      <c r="L7567" s="29">
        <f>IFERROR(E7567*C7567,0)</f>
      </c>
      <c r="M7567" s="29">
        <f>IFERROR((G7567*H7567*I7567/1000000)*D7567,0)</f>
      </c>
    </row>
    <row r="7568" spans="1:13" x14ac:dyDescent="0.25">
      <c r="A7568" s="16"/>
      <c r="E7568" s="27"/>
      <c r="F7568" t="s">
        <v>26</v>
      </c>
      <c r="G7568" s="28">
        <f>IFERROR(VLOOKUP(F7568,CARTON_LOOKUP!$A:$E,3,0),"")</f>
      </c>
      <c r="H7568" s="28">
        <f>IFERROR(VLOOKUP(F7568,CARTON_LOOKUP!$A:$E,4,0),"")</f>
      </c>
      <c r="I7568" s="28">
        <f>IFERROR(VLOOKUP(F7568,CARTON_LOOKUP!$A:$E,5,0),"")</f>
      </c>
      <c r="J7568" s="29">
        <f>IFERROR(VLOOKUP(F7568,CARTON_LOOKUP!$A:$E,2,0),"")</f>
      </c>
      <c r="K7568" s="29">
        <f>IFERROR(J7568*D7568,0)</f>
      </c>
      <c r="L7568" s="29">
        <f>IFERROR(E7568*C7568,0)</f>
      </c>
      <c r="M7568" s="29">
        <f>IFERROR((G7568*H7568*I7568/1000000)*D7568,0)</f>
      </c>
    </row>
    <row r="7569" spans="1:13" x14ac:dyDescent="0.25">
      <c r="A7569" s="16"/>
      <c r="E7569" s="27"/>
      <c r="F7569" t="s">
        <v>26</v>
      </c>
      <c r="G7569" s="28">
        <f>IFERROR(VLOOKUP(F7569,CARTON_LOOKUP!$A:$E,3,0),"")</f>
      </c>
      <c r="H7569" s="28">
        <f>IFERROR(VLOOKUP(F7569,CARTON_LOOKUP!$A:$E,4,0),"")</f>
      </c>
      <c r="I7569" s="28">
        <f>IFERROR(VLOOKUP(F7569,CARTON_LOOKUP!$A:$E,5,0),"")</f>
      </c>
      <c r="J7569" s="29">
        <f>IFERROR(VLOOKUP(F7569,CARTON_LOOKUP!$A:$E,2,0),"")</f>
      </c>
      <c r="K7569" s="29">
        <f>IFERROR(J7569*D7569,0)</f>
      </c>
      <c r="L7569" s="29">
        <f>IFERROR(E7569*C7569,0)</f>
      </c>
      <c r="M7569" s="29">
        <f>IFERROR((G7569*H7569*I7569/1000000)*D7569,0)</f>
      </c>
    </row>
    <row r="7570" spans="1:13" x14ac:dyDescent="0.25">
      <c r="A7570" s="16"/>
      <c r="E7570" s="27"/>
      <c r="F7570" t="s">
        <v>26</v>
      </c>
      <c r="G7570" s="28">
        <f>IFERROR(VLOOKUP(F7570,CARTON_LOOKUP!$A:$E,3,0),"")</f>
      </c>
      <c r="H7570" s="28">
        <f>IFERROR(VLOOKUP(F7570,CARTON_LOOKUP!$A:$E,4,0),"")</f>
      </c>
      <c r="I7570" s="28">
        <f>IFERROR(VLOOKUP(F7570,CARTON_LOOKUP!$A:$E,5,0),"")</f>
      </c>
      <c r="J7570" s="29">
        <f>IFERROR(VLOOKUP(F7570,CARTON_LOOKUP!$A:$E,2,0),"")</f>
      </c>
      <c r="K7570" s="29">
        <f>IFERROR(J7570*D7570,0)</f>
      </c>
      <c r="L7570" s="29">
        <f>IFERROR(E7570*C7570,0)</f>
      </c>
      <c r="M7570" s="29">
        <f>IFERROR((G7570*H7570*I7570/1000000)*D7570,0)</f>
      </c>
    </row>
    <row r="7571" spans="1:13" x14ac:dyDescent="0.25">
      <c r="A7571" s="16"/>
      <c r="E7571" s="27"/>
      <c r="F7571" t="s">
        <v>26</v>
      </c>
      <c r="G7571" s="28">
        <f>IFERROR(VLOOKUP(F7571,CARTON_LOOKUP!$A:$E,3,0),"")</f>
      </c>
      <c r="H7571" s="28">
        <f>IFERROR(VLOOKUP(F7571,CARTON_LOOKUP!$A:$E,4,0),"")</f>
      </c>
      <c r="I7571" s="28">
        <f>IFERROR(VLOOKUP(F7571,CARTON_LOOKUP!$A:$E,5,0),"")</f>
      </c>
      <c r="J7571" s="29">
        <f>IFERROR(VLOOKUP(F7571,CARTON_LOOKUP!$A:$E,2,0),"")</f>
      </c>
      <c r="K7571" s="29">
        <f>IFERROR(J7571*D7571,0)</f>
      </c>
      <c r="L7571" s="29">
        <f>IFERROR(E7571*C7571,0)</f>
      </c>
      <c r="M7571" s="29">
        <f>IFERROR((G7571*H7571*I7571/1000000)*D7571,0)</f>
      </c>
    </row>
    <row r="7572" spans="1:13" x14ac:dyDescent="0.25">
      <c r="A7572" s="16"/>
      <c r="E7572" s="27"/>
      <c r="F7572" t="s">
        <v>26</v>
      </c>
      <c r="G7572" s="28">
        <f>IFERROR(VLOOKUP(F7572,CARTON_LOOKUP!$A:$E,3,0),"")</f>
      </c>
      <c r="H7572" s="28">
        <f>IFERROR(VLOOKUP(F7572,CARTON_LOOKUP!$A:$E,4,0),"")</f>
      </c>
      <c r="I7572" s="28">
        <f>IFERROR(VLOOKUP(F7572,CARTON_LOOKUP!$A:$E,5,0),"")</f>
      </c>
      <c r="J7572" s="29">
        <f>IFERROR(VLOOKUP(F7572,CARTON_LOOKUP!$A:$E,2,0),"")</f>
      </c>
      <c r="K7572" s="29">
        <f>IFERROR(J7572*D7572,0)</f>
      </c>
      <c r="L7572" s="29">
        <f>IFERROR(E7572*C7572,0)</f>
      </c>
      <c r="M7572" s="29">
        <f>IFERROR((G7572*H7572*I7572/1000000)*D7572,0)</f>
      </c>
    </row>
    <row r="7573" spans="1:13" x14ac:dyDescent="0.25">
      <c r="A7573" s="16"/>
      <c r="E7573" s="27"/>
      <c r="F7573" t="s">
        <v>26</v>
      </c>
      <c r="G7573" s="28">
        <f>IFERROR(VLOOKUP(F7573,CARTON_LOOKUP!$A:$E,3,0),"")</f>
      </c>
      <c r="H7573" s="28">
        <f>IFERROR(VLOOKUP(F7573,CARTON_LOOKUP!$A:$E,4,0),"")</f>
      </c>
      <c r="I7573" s="28">
        <f>IFERROR(VLOOKUP(F7573,CARTON_LOOKUP!$A:$E,5,0),"")</f>
      </c>
      <c r="J7573" s="29">
        <f>IFERROR(VLOOKUP(F7573,CARTON_LOOKUP!$A:$E,2,0),"")</f>
      </c>
      <c r="K7573" s="29">
        <f>IFERROR(J7573*D7573,0)</f>
      </c>
      <c r="L7573" s="29">
        <f>IFERROR(E7573*C7573,0)</f>
      </c>
      <c r="M7573" s="29">
        <f>IFERROR((G7573*H7573*I7573/1000000)*D7573,0)</f>
      </c>
    </row>
    <row r="7574" spans="1:13" x14ac:dyDescent="0.25">
      <c r="A7574" s="16"/>
      <c r="E7574" s="27"/>
      <c r="F7574" t="s">
        <v>26</v>
      </c>
      <c r="G7574" s="28">
        <f>IFERROR(VLOOKUP(F7574,CARTON_LOOKUP!$A:$E,3,0),"")</f>
      </c>
      <c r="H7574" s="28">
        <f>IFERROR(VLOOKUP(F7574,CARTON_LOOKUP!$A:$E,4,0),"")</f>
      </c>
      <c r="I7574" s="28">
        <f>IFERROR(VLOOKUP(F7574,CARTON_LOOKUP!$A:$E,5,0),"")</f>
      </c>
      <c r="J7574" s="29">
        <f>IFERROR(VLOOKUP(F7574,CARTON_LOOKUP!$A:$E,2,0),"")</f>
      </c>
      <c r="K7574" s="29">
        <f>IFERROR(J7574*D7574,0)</f>
      </c>
      <c r="L7574" s="29">
        <f>IFERROR(E7574*C7574,0)</f>
      </c>
      <c r="M7574" s="29">
        <f>IFERROR((G7574*H7574*I7574/1000000)*D7574,0)</f>
      </c>
    </row>
    <row r="7575" spans="1:13" x14ac:dyDescent="0.25">
      <c r="A7575" s="16"/>
      <c r="E7575" s="27"/>
      <c r="F7575" t="s">
        <v>26</v>
      </c>
      <c r="G7575" s="28">
        <f>IFERROR(VLOOKUP(F7575,CARTON_LOOKUP!$A:$E,3,0),"")</f>
      </c>
      <c r="H7575" s="28">
        <f>IFERROR(VLOOKUP(F7575,CARTON_LOOKUP!$A:$E,4,0),"")</f>
      </c>
      <c r="I7575" s="28">
        <f>IFERROR(VLOOKUP(F7575,CARTON_LOOKUP!$A:$E,5,0),"")</f>
      </c>
      <c r="J7575" s="29">
        <f>IFERROR(VLOOKUP(F7575,CARTON_LOOKUP!$A:$E,2,0),"")</f>
      </c>
      <c r="K7575" s="29">
        <f>IFERROR(J7575*D7575,0)</f>
      </c>
      <c r="L7575" s="29">
        <f>IFERROR(E7575*C7575,0)</f>
      </c>
      <c r="M7575" s="29">
        <f>IFERROR((G7575*H7575*I7575/1000000)*D7575,0)</f>
      </c>
    </row>
    <row r="7576" spans="1:13" x14ac:dyDescent="0.25">
      <c r="A7576" s="16"/>
      <c r="E7576" s="27"/>
      <c r="F7576" t="s">
        <v>26</v>
      </c>
      <c r="G7576" s="28">
        <f>IFERROR(VLOOKUP(F7576,CARTON_LOOKUP!$A:$E,3,0),"")</f>
      </c>
      <c r="H7576" s="28">
        <f>IFERROR(VLOOKUP(F7576,CARTON_LOOKUP!$A:$E,4,0),"")</f>
      </c>
      <c r="I7576" s="28">
        <f>IFERROR(VLOOKUP(F7576,CARTON_LOOKUP!$A:$E,5,0),"")</f>
      </c>
      <c r="J7576" s="29">
        <f>IFERROR(VLOOKUP(F7576,CARTON_LOOKUP!$A:$E,2,0),"")</f>
      </c>
      <c r="K7576" s="29">
        <f>IFERROR(J7576*D7576,0)</f>
      </c>
      <c r="L7576" s="29">
        <f>IFERROR(E7576*C7576,0)</f>
      </c>
      <c r="M7576" s="29">
        <f>IFERROR((G7576*H7576*I7576/1000000)*D7576,0)</f>
      </c>
    </row>
    <row r="7577" spans="1:13" x14ac:dyDescent="0.25">
      <c r="A7577" s="16"/>
      <c r="E7577" s="27"/>
      <c r="F7577" t="s">
        <v>26</v>
      </c>
      <c r="G7577" s="28">
        <f>IFERROR(VLOOKUP(F7577,CARTON_LOOKUP!$A:$E,3,0),"")</f>
      </c>
      <c r="H7577" s="28">
        <f>IFERROR(VLOOKUP(F7577,CARTON_LOOKUP!$A:$E,4,0),"")</f>
      </c>
      <c r="I7577" s="28">
        <f>IFERROR(VLOOKUP(F7577,CARTON_LOOKUP!$A:$E,5,0),"")</f>
      </c>
      <c r="J7577" s="29">
        <f>IFERROR(VLOOKUP(F7577,CARTON_LOOKUP!$A:$E,2,0),"")</f>
      </c>
      <c r="K7577" s="29">
        <f>IFERROR(J7577*D7577,0)</f>
      </c>
      <c r="L7577" s="29">
        <f>IFERROR(E7577*C7577,0)</f>
      </c>
      <c r="M7577" s="29">
        <f>IFERROR((G7577*H7577*I7577/1000000)*D7577,0)</f>
      </c>
    </row>
    <row r="7578" spans="1:13" x14ac:dyDescent="0.25">
      <c r="A7578" s="16"/>
      <c r="E7578" s="27"/>
      <c r="F7578" t="s">
        <v>26</v>
      </c>
      <c r="G7578" s="28">
        <f>IFERROR(VLOOKUP(F7578,CARTON_LOOKUP!$A:$E,3,0),"")</f>
      </c>
      <c r="H7578" s="28">
        <f>IFERROR(VLOOKUP(F7578,CARTON_LOOKUP!$A:$E,4,0),"")</f>
      </c>
      <c r="I7578" s="28">
        <f>IFERROR(VLOOKUP(F7578,CARTON_LOOKUP!$A:$E,5,0),"")</f>
      </c>
      <c r="J7578" s="29">
        <f>IFERROR(VLOOKUP(F7578,CARTON_LOOKUP!$A:$E,2,0),"")</f>
      </c>
      <c r="K7578" s="29">
        <f>IFERROR(J7578*D7578,0)</f>
      </c>
      <c r="L7578" s="29">
        <f>IFERROR(E7578*C7578,0)</f>
      </c>
      <c r="M7578" s="29">
        <f>IFERROR((G7578*H7578*I7578/1000000)*D7578,0)</f>
      </c>
    </row>
    <row r="7579" spans="1:13" x14ac:dyDescent="0.25">
      <c r="A7579" s="16"/>
      <c r="E7579" s="27"/>
      <c r="F7579" t="s">
        <v>26</v>
      </c>
      <c r="G7579" s="28">
        <f>IFERROR(VLOOKUP(F7579,CARTON_LOOKUP!$A:$E,3,0),"")</f>
      </c>
      <c r="H7579" s="28">
        <f>IFERROR(VLOOKUP(F7579,CARTON_LOOKUP!$A:$E,4,0),"")</f>
      </c>
      <c r="I7579" s="28">
        <f>IFERROR(VLOOKUP(F7579,CARTON_LOOKUP!$A:$E,5,0),"")</f>
      </c>
      <c r="J7579" s="29">
        <f>IFERROR(VLOOKUP(F7579,CARTON_LOOKUP!$A:$E,2,0),"")</f>
      </c>
      <c r="K7579" s="29">
        <f>IFERROR(J7579*D7579,0)</f>
      </c>
      <c r="L7579" s="29">
        <f>IFERROR(E7579*C7579,0)</f>
      </c>
      <c r="M7579" s="29">
        <f>IFERROR((G7579*H7579*I7579/1000000)*D7579,0)</f>
      </c>
    </row>
    <row r="7580" spans="1:13" x14ac:dyDescent="0.25">
      <c r="A7580" s="16"/>
      <c r="E7580" s="27"/>
      <c r="F7580" t="s">
        <v>26</v>
      </c>
      <c r="G7580" s="28">
        <f>IFERROR(VLOOKUP(F7580,CARTON_LOOKUP!$A:$E,3,0),"")</f>
      </c>
      <c r="H7580" s="28">
        <f>IFERROR(VLOOKUP(F7580,CARTON_LOOKUP!$A:$E,4,0),"")</f>
      </c>
      <c r="I7580" s="28">
        <f>IFERROR(VLOOKUP(F7580,CARTON_LOOKUP!$A:$E,5,0),"")</f>
      </c>
      <c r="J7580" s="29">
        <f>IFERROR(VLOOKUP(F7580,CARTON_LOOKUP!$A:$E,2,0),"")</f>
      </c>
      <c r="K7580" s="29">
        <f>IFERROR(J7580*D7580,0)</f>
      </c>
      <c r="L7580" s="29">
        <f>IFERROR(E7580*C7580,0)</f>
      </c>
      <c r="M7580" s="29">
        <f>IFERROR((G7580*H7580*I7580/1000000)*D7580,0)</f>
      </c>
    </row>
    <row r="7581" spans="1:13" x14ac:dyDescent="0.25">
      <c r="A7581" s="16"/>
      <c r="E7581" s="27"/>
      <c r="F7581" t="s">
        <v>26</v>
      </c>
      <c r="G7581" s="28">
        <f>IFERROR(VLOOKUP(F7581,CARTON_LOOKUP!$A:$E,3,0),"")</f>
      </c>
      <c r="H7581" s="28">
        <f>IFERROR(VLOOKUP(F7581,CARTON_LOOKUP!$A:$E,4,0),"")</f>
      </c>
      <c r="I7581" s="28">
        <f>IFERROR(VLOOKUP(F7581,CARTON_LOOKUP!$A:$E,5,0),"")</f>
      </c>
      <c r="J7581" s="29">
        <f>IFERROR(VLOOKUP(F7581,CARTON_LOOKUP!$A:$E,2,0),"")</f>
      </c>
      <c r="K7581" s="29">
        <f>IFERROR(J7581*D7581,0)</f>
      </c>
      <c r="L7581" s="29">
        <f>IFERROR(E7581*C7581,0)</f>
      </c>
      <c r="M7581" s="29">
        <f>IFERROR((G7581*H7581*I7581/1000000)*D7581,0)</f>
      </c>
    </row>
    <row r="7582" spans="1:13" x14ac:dyDescent="0.25">
      <c r="A7582" s="16"/>
      <c r="E7582" s="27"/>
      <c r="F7582" t="s">
        <v>26</v>
      </c>
      <c r="G7582" s="28">
        <f>IFERROR(VLOOKUP(F7582,CARTON_LOOKUP!$A:$E,3,0),"")</f>
      </c>
      <c r="H7582" s="28">
        <f>IFERROR(VLOOKUP(F7582,CARTON_LOOKUP!$A:$E,4,0),"")</f>
      </c>
      <c r="I7582" s="28">
        <f>IFERROR(VLOOKUP(F7582,CARTON_LOOKUP!$A:$E,5,0),"")</f>
      </c>
      <c r="J7582" s="29">
        <f>IFERROR(VLOOKUP(F7582,CARTON_LOOKUP!$A:$E,2,0),"")</f>
      </c>
      <c r="K7582" s="29">
        <f>IFERROR(J7582*D7582,0)</f>
      </c>
      <c r="L7582" s="29">
        <f>IFERROR(E7582*C7582,0)</f>
      </c>
      <c r="M7582" s="29">
        <f>IFERROR((G7582*H7582*I7582/1000000)*D7582,0)</f>
      </c>
    </row>
    <row r="7583" spans="1:13" x14ac:dyDescent="0.25">
      <c r="A7583" s="16"/>
      <c r="E7583" s="27"/>
      <c r="F7583" t="s">
        <v>26</v>
      </c>
      <c r="G7583" s="28">
        <f>IFERROR(VLOOKUP(F7583,CARTON_LOOKUP!$A:$E,3,0),"")</f>
      </c>
      <c r="H7583" s="28">
        <f>IFERROR(VLOOKUP(F7583,CARTON_LOOKUP!$A:$E,4,0),"")</f>
      </c>
      <c r="I7583" s="28">
        <f>IFERROR(VLOOKUP(F7583,CARTON_LOOKUP!$A:$E,5,0),"")</f>
      </c>
      <c r="J7583" s="29">
        <f>IFERROR(VLOOKUP(F7583,CARTON_LOOKUP!$A:$E,2,0),"")</f>
      </c>
      <c r="K7583" s="29">
        <f>IFERROR(J7583*D7583,0)</f>
      </c>
      <c r="L7583" s="29">
        <f>IFERROR(E7583*C7583,0)</f>
      </c>
      <c r="M7583" s="29">
        <f>IFERROR((G7583*H7583*I7583/1000000)*D7583,0)</f>
      </c>
    </row>
    <row r="7584" spans="1:13" x14ac:dyDescent="0.25">
      <c r="A7584" s="16"/>
      <c r="E7584" s="27"/>
      <c r="F7584" t="s">
        <v>26</v>
      </c>
      <c r="G7584" s="28">
        <f>IFERROR(VLOOKUP(F7584,CARTON_LOOKUP!$A:$E,3,0),"")</f>
      </c>
      <c r="H7584" s="28">
        <f>IFERROR(VLOOKUP(F7584,CARTON_LOOKUP!$A:$E,4,0),"")</f>
      </c>
      <c r="I7584" s="28">
        <f>IFERROR(VLOOKUP(F7584,CARTON_LOOKUP!$A:$E,5,0),"")</f>
      </c>
      <c r="J7584" s="29">
        <f>IFERROR(VLOOKUP(F7584,CARTON_LOOKUP!$A:$E,2,0),"")</f>
      </c>
      <c r="K7584" s="29">
        <f>IFERROR(J7584*D7584,0)</f>
      </c>
      <c r="L7584" s="29">
        <f>IFERROR(E7584*C7584,0)</f>
      </c>
      <c r="M7584" s="29">
        <f>IFERROR((G7584*H7584*I7584/1000000)*D7584,0)</f>
      </c>
    </row>
    <row r="7585" spans="1:13" x14ac:dyDescent="0.25">
      <c r="A7585" s="16"/>
      <c r="E7585" s="27"/>
      <c r="F7585" t="s">
        <v>26</v>
      </c>
      <c r="G7585" s="28">
        <f>IFERROR(VLOOKUP(F7585,CARTON_LOOKUP!$A:$E,3,0),"")</f>
      </c>
      <c r="H7585" s="28">
        <f>IFERROR(VLOOKUP(F7585,CARTON_LOOKUP!$A:$E,4,0),"")</f>
      </c>
      <c r="I7585" s="28">
        <f>IFERROR(VLOOKUP(F7585,CARTON_LOOKUP!$A:$E,5,0),"")</f>
      </c>
      <c r="J7585" s="29">
        <f>IFERROR(VLOOKUP(F7585,CARTON_LOOKUP!$A:$E,2,0),"")</f>
      </c>
      <c r="K7585" s="29">
        <f>IFERROR(J7585*D7585,0)</f>
      </c>
      <c r="L7585" s="29">
        <f>IFERROR(E7585*C7585,0)</f>
      </c>
      <c r="M7585" s="29">
        <f>IFERROR((G7585*H7585*I7585/1000000)*D7585,0)</f>
      </c>
    </row>
    <row r="7586" spans="1:13" x14ac:dyDescent="0.25">
      <c r="A7586" s="16"/>
      <c r="E7586" s="27"/>
      <c r="F7586" t="s">
        <v>26</v>
      </c>
      <c r="G7586" s="28">
        <f>IFERROR(VLOOKUP(F7586,CARTON_LOOKUP!$A:$E,3,0),"")</f>
      </c>
      <c r="H7586" s="28">
        <f>IFERROR(VLOOKUP(F7586,CARTON_LOOKUP!$A:$E,4,0),"")</f>
      </c>
      <c r="I7586" s="28">
        <f>IFERROR(VLOOKUP(F7586,CARTON_LOOKUP!$A:$E,5,0),"")</f>
      </c>
      <c r="J7586" s="29">
        <f>IFERROR(VLOOKUP(F7586,CARTON_LOOKUP!$A:$E,2,0),"")</f>
      </c>
      <c r="K7586" s="29">
        <f>IFERROR(J7586*D7586,0)</f>
      </c>
      <c r="L7586" s="29">
        <f>IFERROR(E7586*C7586,0)</f>
      </c>
      <c r="M7586" s="29">
        <f>IFERROR((G7586*H7586*I7586/1000000)*D7586,0)</f>
      </c>
    </row>
    <row r="7587" spans="1:13" x14ac:dyDescent="0.25">
      <c r="A7587" s="16"/>
      <c r="E7587" s="27"/>
      <c r="F7587" t="s">
        <v>26</v>
      </c>
      <c r="G7587" s="28">
        <f>IFERROR(VLOOKUP(F7587,CARTON_LOOKUP!$A:$E,3,0),"")</f>
      </c>
      <c r="H7587" s="28">
        <f>IFERROR(VLOOKUP(F7587,CARTON_LOOKUP!$A:$E,4,0),"")</f>
      </c>
      <c r="I7587" s="28">
        <f>IFERROR(VLOOKUP(F7587,CARTON_LOOKUP!$A:$E,5,0),"")</f>
      </c>
      <c r="J7587" s="29">
        <f>IFERROR(VLOOKUP(F7587,CARTON_LOOKUP!$A:$E,2,0),"")</f>
      </c>
      <c r="K7587" s="29">
        <f>IFERROR(J7587*D7587,0)</f>
      </c>
      <c r="L7587" s="29">
        <f>IFERROR(E7587*C7587,0)</f>
      </c>
      <c r="M7587" s="29">
        <f>IFERROR((G7587*H7587*I7587/1000000)*D7587,0)</f>
      </c>
    </row>
    <row r="7588" spans="1:13" x14ac:dyDescent="0.25">
      <c r="A7588" s="16"/>
      <c r="E7588" s="27"/>
      <c r="F7588" t="s">
        <v>26</v>
      </c>
      <c r="G7588" s="28">
        <f>IFERROR(VLOOKUP(F7588,CARTON_LOOKUP!$A:$E,3,0),"")</f>
      </c>
      <c r="H7588" s="28">
        <f>IFERROR(VLOOKUP(F7588,CARTON_LOOKUP!$A:$E,4,0),"")</f>
      </c>
      <c r="I7588" s="28">
        <f>IFERROR(VLOOKUP(F7588,CARTON_LOOKUP!$A:$E,5,0),"")</f>
      </c>
      <c r="J7588" s="29">
        <f>IFERROR(VLOOKUP(F7588,CARTON_LOOKUP!$A:$E,2,0),"")</f>
      </c>
      <c r="K7588" s="29">
        <f>IFERROR(J7588*D7588,0)</f>
      </c>
      <c r="L7588" s="29">
        <f>IFERROR(E7588*C7588,0)</f>
      </c>
      <c r="M7588" s="29">
        <f>IFERROR((G7588*H7588*I7588/1000000)*D7588,0)</f>
      </c>
    </row>
    <row r="7589" spans="1:13" x14ac:dyDescent="0.25">
      <c r="A7589" s="16"/>
      <c r="E7589" s="27"/>
      <c r="F7589" t="s">
        <v>26</v>
      </c>
      <c r="G7589" s="28">
        <f>IFERROR(VLOOKUP(F7589,CARTON_LOOKUP!$A:$E,3,0),"")</f>
      </c>
      <c r="H7589" s="28">
        <f>IFERROR(VLOOKUP(F7589,CARTON_LOOKUP!$A:$E,4,0),"")</f>
      </c>
      <c r="I7589" s="28">
        <f>IFERROR(VLOOKUP(F7589,CARTON_LOOKUP!$A:$E,5,0),"")</f>
      </c>
      <c r="J7589" s="29">
        <f>IFERROR(VLOOKUP(F7589,CARTON_LOOKUP!$A:$E,2,0),"")</f>
      </c>
      <c r="K7589" s="29">
        <f>IFERROR(J7589*D7589,0)</f>
      </c>
      <c r="L7589" s="29">
        <f>IFERROR(E7589*C7589,0)</f>
      </c>
      <c r="M7589" s="29">
        <f>IFERROR((G7589*H7589*I7589/1000000)*D7589,0)</f>
      </c>
    </row>
    <row r="7590" spans="1:13" x14ac:dyDescent="0.25">
      <c r="A7590" s="16"/>
      <c r="E7590" s="27"/>
      <c r="F7590" t="s">
        <v>26</v>
      </c>
      <c r="G7590" s="28">
        <f>IFERROR(VLOOKUP(F7590,CARTON_LOOKUP!$A:$E,3,0),"")</f>
      </c>
      <c r="H7590" s="28">
        <f>IFERROR(VLOOKUP(F7590,CARTON_LOOKUP!$A:$E,4,0),"")</f>
      </c>
      <c r="I7590" s="28">
        <f>IFERROR(VLOOKUP(F7590,CARTON_LOOKUP!$A:$E,5,0),"")</f>
      </c>
      <c r="J7590" s="29">
        <f>IFERROR(VLOOKUP(F7590,CARTON_LOOKUP!$A:$E,2,0),"")</f>
      </c>
      <c r="K7590" s="29">
        <f>IFERROR(J7590*D7590,0)</f>
      </c>
      <c r="L7590" s="29">
        <f>IFERROR(E7590*C7590,0)</f>
      </c>
      <c r="M7590" s="29">
        <f>IFERROR((G7590*H7590*I7590/1000000)*D7590,0)</f>
      </c>
    </row>
    <row r="7591" spans="1:13" x14ac:dyDescent="0.25">
      <c r="A7591" s="16"/>
      <c r="E7591" s="27"/>
      <c r="F7591" t="s">
        <v>26</v>
      </c>
      <c r="G7591" s="28">
        <f>IFERROR(VLOOKUP(F7591,CARTON_LOOKUP!$A:$E,3,0),"")</f>
      </c>
      <c r="H7591" s="28">
        <f>IFERROR(VLOOKUP(F7591,CARTON_LOOKUP!$A:$E,4,0),"")</f>
      </c>
      <c r="I7591" s="28">
        <f>IFERROR(VLOOKUP(F7591,CARTON_LOOKUP!$A:$E,5,0),"")</f>
      </c>
      <c r="J7591" s="29">
        <f>IFERROR(VLOOKUP(F7591,CARTON_LOOKUP!$A:$E,2,0),"")</f>
      </c>
      <c r="K7591" s="29">
        <f>IFERROR(J7591*D7591,0)</f>
      </c>
      <c r="L7591" s="29">
        <f>IFERROR(E7591*C7591,0)</f>
      </c>
      <c r="M7591" s="29">
        <f>IFERROR((G7591*H7591*I7591/1000000)*D7591,0)</f>
      </c>
    </row>
    <row r="7592" spans="1:13" x14ac:dyDescent="0.25">
      <c r="A7592" s="16"/>
      <c r="E7592" s="27"/>
      <c r="F7592" t="s">
        <v>26</v>
      </c>
      <c r="G7592" s="28">
        <f>IFERROR(VLOOKUP(F7592,CARTON_LOOKUP!$A:$E,3,0),"")</f>
      </c>
      <c r="H7592" s="28">
        <f>IFERROR(VLOOKUP(F7592,CARTON_LOOKUP!$A:$E,4,0),"")</f>
      </c>
      <c r="I7592" s="28">
        <f>IFERROR(VLOOKUP(F7592,CARTON_LOOKUP!$A:$E,5,0),"")</f>
      </c>
      <c r="J7592" s="29">
        <f>IFERROR(VLOOKUP(F7592,CARTON_LOOKUP!$A:$E,2,0),"")</f>
      </c>
      <c r="K7592" s="29">
        <f>IFERROR(J7592*D7592,0)</f>
      </c>
      <c r="L7592" s="29">
        <f>IFERROR(E7592*C7592,0)</f>
      </c>
      <c r="M7592" s="29">
        <f>IFERROR((G7592*H7592*I7592/1000000)*D7592,0)</f>
      </c>
    </row>
    <row r="7593" spans="1:13" x14ac:dyDescent="0.25">
      <c r="A7593" s="16"/>
      <c r="E7593" s="27"/>
      <c r="F7593" t="s">
        <v>26</v>
      </c>
      <c r="G7593" s="28">
        <f>IFERROR(VLOOKUP(F7593,CARTON_LOOKUP!$A:$E,3,0),"")</f>
      </c>
      <c r="H7593" s="28">
        <f>IFERROR(VLOOKUP(F7593,CARTON_LOOKUP!$A:$E,4,0),"")</f>
      </c>
      <c r="I7593" s="28">
        <f>IFERROR(VLOOKUP(F7593,CARTON_LOOKUP!$A:$E,5,0),"")</f>
      </c>
      <c r="J7593" s="29">
        <f>IFERROR(VLOOKUP(F7593,CARTON_LOOKUP!$A:$E,2,0),"")</f>
      </c>
      <c r="K7593" s="29">
        <f>IFERROR(J7593*D7593,0)</f>
      </c>
      <c r="L7593" s="29">
        <f>IFERROR(E7593*C7593,0)</f>
      </c>
      <c r="M7593" s="29">
        <f>IFERROR((G7593*H7593*I7593/1000000)*D7593,0)</f>
      </c>
    </row>
    <row r="7594" spans="1:13" x14ac:dyDescent="0.25">
      <c r="A7594" s="16"/>
      <c r="E7594" s="27"/>
      <c r="F7594" t="s">
        <v>26</v>
      </c>
      <c r="G7594" s="28">
        <f>IFERROR(VLOOKUP(F7594,CARTON_LOOKUP!$A:$E,3,0),"")</f>
      </c>
      <c r="H7594" s="28">
        <f>IFERROR(VLOOKUP(F7594,CARTON_LOOKUP!$A:$E,4,0),"")</f>
      </c>
      <c r="I7594" s="28">
        <f>IFERROR(VLOOKUP(F7594,CARTON_LOOKUP!$A:$E,5,0),"")</f>
      </c>
      <c r="J7594" s="29">
        <f>IFERROR(VLOOKUP(F7594,CARTON_LOOKUP!$A:$E,2,0),"")</f>
      </c>
      <c r="K7594" s="29">
        <f>IFERROR(J7594*D7594,0)</f>
      </c>
      <c r="L7594" s="29">
        <f>IFERROR(E7594*C7594,0)</f>
      </c>
      <c r="M7594" s="29">
        <f>IFERROR((G7594*H7594*I7594/1000000)*D7594,0)</f>
      </c>
    </row>
    <row r="7595" spans="1:13" x14ac:dyDescent="0.25">
      <c r="A7595" s="16"/>
      <c r="E7595" s="27"/>
      <c r="F7595" t="s">
        <v>26</v>
      </c>
      <c r="G7595" s="28">
        <f>IFERROR(VLOOKUP(F7595,CARTON_LOOKUP!$A:$E,3,0),"")</f>
      </c>
      <c r="H7595" s="28">
        <f>IFERROR(VLOOKUP(F7595,CARTON_LOOKUP!$A:$E,4,0),"")</f>
      </c>
      <c r="I7595" s="28">
        <f>IFERROR(VLOOKUP(F7595,CARTON_LOOKUP!$A:$E,5,0),"")</f>
      </c>
      <c r="J7595" s="29">
        <f>IFERROR(VLOOKUP(F7595,CARTON_LOOKUP!$A:$E,2,0),"")</f>
      </c>
      <c r="K7595" s="29">
        <f>IFERROR(J7595*D7595,0)</f>
      </c>
      <c r="L7595" s="29">
        <f>IFERROR(E7595*C7595,0)</f>
      </c>
      <c r="M7595" s="29">
        <f>IFERROR((G7595*H7595*I7595/1000000)*D7595,0)</f>
      </c>
    </row>
    <row r="7596" spans="1:13" x14ac:dyDescent="0.25">
      <c r="A7596" s="16"/>
      <c r="E7596" s="27"/>
      <c r="F7596" t="s">
        <v>26</v>
      </c>
      <c r="G7596" s="28">
        <f>IFERROR(VLOOKUP(F7596,CARTON_LOOKUP!$A:$E,3,0),"")</f>
      </c>
      <c r="H7596" s="28">
        <f>IFERROR(VLOOKUP(F7596,CARTON_LOOKUP!$A:$E,4,0),"")</f>
      </c>
      <c r="I7596" s="28">
        <f>IFERROR(VLOOKUP(F7596,CARTON_LOOKUP!$A:$E,5,0),"")</f>
      </c>
      <c r="J7596" s="29">
        <f>IFERROR(VLOOKUP(F7596,CARTON_LOOKUP!$A:$E,2,0),"")</f>
      </c>
      <c r="K7596" s="29">
        <f>IFERROR(J7596*D7596,0)</f>
      </c>
      <c r="L7596" s="29">
        <f>IFERROR(E7596*C7596,0)</f>
      </c>
      <c r="M7596" s="29">
        <f>IFERROR((G7596*H7596*I7596/1000000)*D7596,0)</f>
      </c>
    </row>
    <row r="7597" spans="1:13" x14ac:dyDescent="0.25">
      <c r="A7597" s="16"/>
      <c r="E7597" s="27"/>
      <c r="F7597" t="s">
        <v>26</v>
      </c>
      <c r="G7597" s="28">
        <f>IFERROR(VLOOKUP(F7597,CARTON_LOOKUP!$A:$E,3,0),"")</f>
      </c>
      <c r="H7597" s="28">
        <f>IFERROR(VLOOKUP(F7597,CARTON_LOOKUP!$A:$E,4,0),"")</f>
      </c>
      <c r="I7597" s="28">
        <f>IFERROR(VLOOKUP(F7597,CARTON_LOOKUP!$A:$E,5,0),"")</f>
      </c>
      <c r="J7597" s="29">
        <f>IFERROR(VLOOKUP(F7597,CARTON_LOOKUP!$A:$E,2,0),"")</f>
      </c>
      <c r="K7597" s="29">
        <f>IFERROR(J7597*D7597,0)</f>
      </c>
      <c r="L7597" s="29">
        <f>IFERROR(E7597*C7597,0)</f>
      </c>
      <c r="M7597" s="29">
        <f>IFERROR((G7597*H7597*I7597/1000000)*D7597,0)</f>
      </c>
    </row>
    <row r="7598" spans="1:13" x14ac:dyDescent="0.25">
      <c r="A7598" s="16"/>
      <c r="E7598" s="27"/>
      <c r="F7598" t="s">
        <v>26</v>
      </c>
      <c r="G7598" s="28">
        <f>IFERROR(VLOOKUP(F7598,CARTON_LOOKUP!$A:$E,3,0),"")</f>
      </c>
      <c r="H7598" s="28">
        <f>IFERROR(VLOOKUP(F7598,CARTON_LOOKUP!$A:$E,4,0),"")</f>
      </c>
      <c r="I7598" s="28">
        <f>IFERROR(VLOOKUP(F7598,CARTON_LOOKUP!$A:$E,5,0),"")</f>
      </c>
      <c r="J7598" s="29">
        <f>IFERROR(VLOOKUP(F7598,CARTON_LOOKUP!$A:$E,2,0),"")</f>
      </c>
      <c r="K7598" s="29">
        <f>IFERROR(J7598*D7598,0)</f>
      </c>
      <c r="L7598" s="29">
        <f>IFERROR(E7598*C7598,0)</f>
      </c>
      <c r="M7598" s="29">
        <f>IFERROR((G7598*H7598*I7598/1000000)*D7598,0)</f>
      </c>
    </row>
    <row r="7599" spans="1:13" x14ac:dyDescent="0.25">
      <c r="A7599" s="16"/>
      <c r="E7599" s="27"/>
      <c r="F7599" t="s">
        <v>26</v>
      </c>
      <c r="G7599" s="28">
        <f>IFERROR(VLOOKUP(F7599,CARTON_LOOKUP!$A:$E,3,0),"")</f>
      </c>
      <c r="H7599" s="28">
        <f>IFERROR(VLOOKUP(F7599,CARTON_LOOKUP!$A:$E,4,0),"")</f>
      </c>
      <c r="I7599" s="28">
        <f>IFERROR(VLOOKUP(F7599,CARTON_LOOKUP!$A:$E,5,0),"")</f>
      </c>
      <c r="J7599" s="29">
        <f>IFERROR(VLOOKUP(F7599,CARTON_LOOKUP!$A:$E,2,0),"")</f>
      </c>
      <c r="K7599" s="29">
        <f>IFERROR(J7599*D7599,0)</f>
      </c>
      <c r="L7599" s="29">
        <f>IFERROR(E7599*C7599,0)</f>
      </c>
      <c r="M7599" s="29">
        <f>IFERROR((G7599*H7599*I7599/1000000)*D7599,0)</f>
      </c>
    </row>
    <row r="7600" spans="1:13" x14ac:dyDescent="0.25">
      <c r="A7600" s="16"/>
      <c r="E7600" s="27"/>
      <c r="F7600" t="s">
        <v>26</v>
      </c>
      <c r="G7600" s="28">
        <f>IFERROR(VLOOKUP(F7600,CARTON_LOOKUP!$A:$E,3,0),"")</f>
      </c>
      <c r="H7600" s="28">
        <f>IFERROR(VLOOKUP(F7600,CARTON_LOOKUP!$A:$E,4,0),"")</f>
      </c>
      <c r="I7600" s="28">
        <f>IFERROR(VLOOKUP(F7600,CARTON_LOOKUP!$A:$E,5,0),"")</f>
      </c>
      <c r="J7600" s="29">
        <f>IFERROR(VLOOKUP(F7600,CARTON_LOOKUP!$A:$E,2,0),"")</f>
      </c>
      <c r="K7600" s="29">
        <f>IFERROR(J7600*D7600,0)</f>
      </c>
      <c r="L7600" s="29">
        <f>IFERROR(E7600*C7600,0)</f>
      </c>
      <c r="M7600" s="29">
        <f>IFERROR((G7600*H7600*I7600/1000000)*D7600,0)</f>
      </c>
    </row>
    <row r="7601" spans="1:13" x14ac:dyDescent="0.25">
      <c r="A7601" s="16"/>
      <c r="E7601" s="27"/>
      <c r="F7601" t="s">
        <v>26</v>
      </c>
      <c r="G7601" s="28">
        <f>IFERROR(VLOOKUP(F7601,CARTON_LOOKUP!$A:$E,3,0),"")</f>
      </c>
      <c r="H7601" s="28">
        <f>IFERROR(VLOOKUP(F7601,CARTON_LOOKUP!$A:$E,4,0),"")</f>
      </c>
      <c r="I7601" s="28">
        <f>IFERROR(VLOOKUP(F7601,CARTON_LOOKUP!$A:$E,5,0),"")</f>
      </c>
      <c r="J7601" s="29">
        <f>IFERROR(VLOOKUP(F7601,CARTON_LOOKUP!$A:$E,2,0),"")</f>
      </c>
      <c r="K7601" s="29">
        <f>IFERROR(J7601*D7601,0)</f>
      </c>
      <c r="L7601" s="29">
        <f>IFERROR(E7601*C7601,0)</f>
      </c>
      <c r="M7601" s="29">
        <f>IFERROR((G7601*H7601*I7601/1000000)*D7601,0)</f>
      </c>
    </row>
    <row r="7602" spans="1:13" x14ac:dyDescent="0.25">
      <c r="A7602" s="16"/>
      <c r="E7602" s="27"/>
      <c r="F7602" t="s">
        <v>26</v>
      </c>
      <c r="G7602" s="28">
        <f>IFERROR(VLOOKUP(F7602,CARTON_LOOKUP!$A:$E,3,0),"")</f>
      </c>
      <c r="H7602" s="28">
        <f>IFERROR(VLOOKUP(F7602,CARTON_LOOKUP!$A:$E,4,0),"")</f>
      </c>
      <c r="I7602" s="28">
        <f>IFERROR(VLOOKUP(F7602,CARTON_LOOKUP!$A:$E,5,0),"")</f>
      </c>
      <c r="J7602" s="29">
        <f>IFERROR(VLOOKUP(F7602,CARTON_LOOKUP!$A:$E,2,0),"")</f>
      </c>
      <c r="K7602" s="29">
        <f>IFERROR(J7602*D7602,0)</f>
      </c>
      <c r="L7602" s="29">
        <f>IFERROR(E7602*C7602,0)</f>
      </c>
      <c r="M7602" s="29">
        <f>IFERROR((G7602*H7602*I7602/1000000)*D7602,0)</f>
      </c>
    </row>
    <row r="7603" spans="1:13" x14ac:dyDescent="0.25">
      <c r="A7603" s="16"/>
      <c r="E7603" s="27"/>
      <c r="F7603" t="s">
        <v>26</v>
      </c>
      <c r="G7603" s="28">
        <f>IFERROR(VLOOKUP(F7603,CARTON_LOOKUP!$A:$E,3,0),"")</f>
      </c>
      <c r="H7603" s="28">
        <f>IFERROR(VLOOKUP(F7603,CARTON_LOOKUP!$A:$E,4,0),"")</f>
      </c>
      <c r="I7603" s="28">
        <f>IFERROR(VLOOKUP(F7603,CARTON_LOOKUP!$A:$E,5,0),"")</f>
      </c>
      <c r="J7603" s="29">
        <f>IFERROR(VLOOKUP(F7603,CARTON_LOOKUP!$A:$E,2,0),"")</f>
      </c>
      <c r="K7603" s="29">
        <f>IFERROR(J7603*D7603,0)</f>
      </c>
      <c r="L7603" s="29">
        <f>IFERROR(E7603*C7603,0)</f>
      </c>
      <c r="M7603" s="29">
        <f>IFERROR((G7603*H7603*I7603/1000000)*D7603,0)</f>
      </c>
    </row>
    <row r="7604" spans="1:13" x14ac:dyDescent="0.25">
      <c r="A7604" s="16"/>
      <c r="E7604" s="27"/>
      <c r="F7604" t="s">
        <v>26</v>
      </c>
      <c r="G7604" s="28">
        <f>IFERROR(VLOOKUP(F7604,CARTON_LOOKUP!$A:$E,3,0),"")</f>
      </c>
      <c r="H7604" s="28">
        <f>IFERROR(VLOOKUP(F7604,CARTON_LOOKUP!$A:$E,4,0),"")</f>
      </c>
      <c r="I7604" s="28">
        <f>IFERROR(VLOOKUP(F7604,CARTON_LOOKUP!$A:$E,5,0),"")</f>
      </c>
      <c r="J7604" s="29">
        <f>IFERROR(VLOOKUP(F7604,CARTON_LOOKUP!$A:$E,2,0),"")</f>
      </c>
      <c r="K7604" s="29">
        <f>IFERROR(J7604*D7604,0)</f>
      </c>
      <c r="L7604" s="29">
        <f>IFERROR(E7604*C7604,0)</f>
      </c>
      <c r="M7604" s="29">
        <f>IFERROR((G7604*H7604*I7604/1000000)*D7604,0)</f>
      </c>
    </row>
    <row r="7605" spans="1:13" x14ac:dyDescent="0.25">
      <c r="A7605" s="16"/>
      <c r="E7605" s="27"/>
      <c r="F7605" t="s">
        <v>26</v>
      </c>
      <c r="G7605" s="28">
        <f>IFERROR(VLOOKUP(F7605,CARTON_LOOKUP!$A:$E,3,0),"")</f>
      </c>
      <c r="H7605" s="28">
        <f>IFERROR(VLOOKUP(F7605,CARTON_LOOKUP!$A:$E,4,0),"")</f>
      </c>
      <c r="I7605" s="28">
        <f>IFERROR(VLOOKUP(F7605,CARTON_LOOKUP!$A:$E,5,0),"")</f>
      </c>
      <c r="J7605" s="29">
        <f>IFERROR(VLOOKUP(F7605,CARTON_LOOKUP!$A:$E,2,0),"")</f>
      </c>
      <c r="K7605" s="29">
        <f>IFERROR(J7605*D7605,0)</f>
      </c>
      <c r="L7605" s="29">
        <f>IFERROR(E7605*C7605,0)</f>
      </c>
      <c r="M7605" s="29">
        <f>IFERROR((G7605*H7605*I7605/1000000)*D7605,0)</f>
      </c>
    </row>
    <row r="7606" spans="1:13" x14ac:dyDescent="0.25">
      <c r="A7606" s="16"/>
      <c r="E7606" s="27"/>
      <c r="F7606" t="s">
        <v>26</v>
      </c>
      <c r="G7606" s="28">
        <f>IFERROR(VLOOKUP(F7606,CARTON_LOOKUP!$A:$E,3,0),"")</f>
      </c>
      <c r="H7606" s="28">
        <f>IFERROR(VLOOKUP(F7606,CARTON_LOOKUP!$A:$E,4,0),"")</f>
      </c>
      <c r="I7606" s="28">
        <f>IFERROR(VLOOKUP(F7606,CARTON_LOOKUP!$A:$E,5,0),"")</f>
      </c>
      <c r="J7606" s="29">
        <f>IFERROR(VLOOKUP(F7606,CARTON_LOOKUP!$A:$E,2,0),"")</f>
      </c>
      <c r="K7606" s="29">
        <f>IFERROR(J7606*D7606,0)</f>
      </c>
      <c r="L7606" s="29">
        <f>IFERROR(E7606*C7606,0)</f>
      </c>
      <c r="M7606" s="29">
        <f>IFERROR((G7606*H7606*I7606/1000000)*D7606,0)</f>
      </c>
    </row>
    <row r="7607" spans="1:13" x14ac:dyDescent="0.25">
      <c r="A7607" s="16"/>
      <c r="E7607" s="27"/>
      <c r="F7607" t="s">
        <v>26</v>
      </c>
      <c r="G7607" s="28">
        <f>IFERROR(VLOOKUP(F7607,CARTON_LOOKUP!$A:$E,3,0),"")</f>
      </c>
      <c r="H7607" s="28">
        <f>IFERROR(VLOOKUP(F7607,CARTON_LOOKUP!$A:$E,4,0),"")</f>
      </c>
      <c r="I7607" s="28">
        <f>IFERROR(VLOOKUP(F7607,CARTON_LOOKUP!$A:$E,5,0),"")</f>
      </c>
      <c r="J7607" s="29">
        <f>IFERROR(VLOOKUP(F7607,CARTON_LOOKUP!$A:$E,2,0),"")</f>
      </c>
      <c r="K7607" s="29">
        <f>IFERROR(J7607*D7607,0)</f>
      </c>
      <c r="L7607" s="29">
        <f>IFERROR(E7607*C7607,0)</f>
      </c>
      <c r="M7607" s="29">
        <f>IFERROR((G7607*H7607*I7607/1000000)*D7607,0)</f>
      </c>
    </row>
    <row r="7608" spans="1:13" x14ac:dyDescent="0.25">
      <c r="A7608" s="16"/>
      <c r="E7608" s="27"/>
      <c r="F7608" t="s">
        <v>26</v>
      </c>
      <c r="G7608" s="28">
        <f>IFERROR(VLOOKUP(F7608,CARTON_LOOKUP!$A:$E,3,0),"")</f>
      </c>
      <c r="H7608" s="28">
        <f>IFERROR(VLOOKUP(F7608,CARTON_LOOKUP!$A:$E,4,0),"")</f>
      </c>
      <c r="I7608" s="28">
        <f>IFERROR(VLOOKUP(F7608,CARTON_LOOKUP!$A:$E,5,0),"")</f>
      </c>
      <c r="J7608" s="29">
        <f>IFERROR(VLOOKUP(F7608,CARTON_LOOKUP!$A:$E,2,0),"")</f>
      </c>
      <c r="K7608" s="29">
        <f>IFERROR(J7608*D7608,0)</f>
      </c>
      <c r="L7608" s="29">
        <f>IFERROR(E7608*C7608,0)</f>
      </c>
      <c r="M7608" s="29">
        <f>IFERROR((G7608*H7608*I7608/1000000)*D7608,0)</f>
      </c>
    </row>
    <row r="7609" spans="1:13" x14ac:dyDescent="0.25">
      <c r="A7609" s="16"/>
      <c r="E7609" s="27"/>
      <c r="F7609" t="s">
        <v>26</v>
      </c>
      <c r="G7609" s="28">
        <f>IFERROR(VLOOKUP(F7609,CARTON_LOOKUP!$A:$E,3,0),"")</f>
      </c>
      <c r="H7609" s="28">
        <f>IFERROR(VLOOKUP(F7609,CARTON_LOOKUP!$A:$E,4,0),"")</f>
      </c>
      <c r="I7609" s="28">
        <f>IFERROR(VLOOKUP(F7609,CARTON_LOOKUP!$A:$E,5,0),"")</f>
      </c>
      <c r="J7609" s="29">
        <f>IFERROR(VLOOKUP(F7609,CARTON_LOOKUP!$A:$E,2,0),"")</f>
      </c>
      <c r="K7609" s="29">
        <f>IFERROR(J7609*D7609,0)</f>
      </c>
      <c r="L7609" s="29">
        <f>IFERROR(E7609*C7609,0)</f>
      </c>
      <c r="M7609" s="29">
        <f>IFERROR((G7609*H7609*I7609/1000000)*D7609,0)</f>
      </c>
    </row>
    <row r="7610" spans="1:13" x14ac:dyDescent="0.25">
      <c r="A7610" s="16"/>
      <c r="E7610" s="27"/>
      <c r="F7610" t="s">
        <v>26</v>
      </c>
      <c r="G7610" s="28">
        <f>IFERROR(VLOOKUP(F7610,CARTON_LOOKUP!$A:$E,3,0),"")</f>
      </c>
      <c r="H7610" s="28">
        <f>IFERROR(VLOOKUP(F7610,CARTON_LOOKUP!$A:$E,4,0),"")</f>
      </c>
      <c r="I7610" s="28">
        <f>IFERROR(VLOOKUP(F7610,CARTON_LOOKUP!$A:$E,5,0),"")</f>
      </c>
      <c r="J7610" s="29">
        <f>IFERROR(VLOOKUP(F7610,CARTON_LOOKUP!$A:$E,2,0),"")</f>
      </c>
      <c r="K7610" s="29">
        <f>IFERROR(J7610*D7610,0)</f>
      </c>
      <c r="L7610" s="29">
        <f>IFERROR(E7610*C7610,0)</f>
      </c>
      <c r="M7610" s="29">
        <f>IFERROR((G7610*H7610*I7610/1000000)*D7610,0)</f>
      </c>
    </row>
    <row r="7611" spans="1:13" x14ac:dyDescent="0.25">
      <c r="A7611" s="16"/>
      <c r="E7611" s="27"/>
      <c r="F7611" t="s">
        <v>26</v>
      </c>
      <c r="G7611" s="28">
        <f>IFERROR(VLOOKUP(F7611,CARTON_LOOKUP!$A:$E,3,0),"")</f>
      </c>
      <c r="H7611" s="28">
        <f>IFERROR(VLOOKUP(F7611,CARTON_LOOKUP!$A:$E,4,0),"")</f>
      </c>
      <c r="I7611" s="28">
        <f>IFERROR(VLOOKUP(F7611,CARTON_LOOKUP!$A:$E,5,0),"")</f>
      </c>
      <c r="J7611" s="29">
        <f>IFERROR(VLOOKUP(F7611,CARTON_LOOKUP!$A:$E,2,0),"")</f>
      </c>
      <c r="K7611" s="29">
        <f>IFERROR(J7611*D7611,0)</f>
      </c>
      <c r="L7611" s="29">
        <f>IFERROR(E7611*C7611,0)</f>
      </c>
      <c r="M7611" s="29">
        <f>IFERROR((G7611*H7611*I7611/1000000)*D7611,0)</f>
      </c>
    </row>
    <row r="7612" spans="1:13" x14ac:dyDescent="0.25">
      <c r="A7612" s="16"/>
      <c r="E7612" s="27"/>
      <c r="F7612" t="s">
        <v>26</v>
      </c>
      <c r="G7612" s="28">
        <f>IFERROR(VLOOKUP(F7612,CARTON_LOOKUP!$A:$E,3,0),"")</f>
      </c>
      <c r="H7612" s="28">
        <f>IFERROR(VLOOKUP(F7612,CARTON_LOOKUP!$A:$E,4,0),"")</f>
      </c>
      <c r="I7612" s="28">
        <f>IFERROR(VLOOKUP(F7612,CARTON_LOOKUP!$A:$E,5,0),"")</f>
      </c>
      <c r="J7612" s="29">
        <f>IFERROR(VLOOKUP(F7612,CARTON_LOOKUP!$A:$E,2,0),"")</f>
      </c>
      <c r="K7612" s="29">
        <f>IFERROR(J7612*D7612,0)</f>
      </c>
      <c r="L7612" s="29">
        <f>IFERROR(E7612*C7612,0)</f>
      </c>
      <c r="M7612" s="29">
        <f>IFERROR((G7612*H7612*I7612/1000000)*D7612,0)</f>
      </c>
    </row>
    <row r="7613" spans="1:13" x14ac:dyDescent="0.25">
      <c r="A7613" s="16"/>
      <c r="E7613" s="27"/>
      <c r="F7613" t="s">
        <v>26</v>
      </c>
      <c r="G7613" s="28">
        <f>IFERROR(VLOOKUP(F7613,CARTON_LOOKUP!$A:$E,3,0),"")</f>
      </c>
      <c r="H7613" s="28">
        <f>IFERROR(VLOOKUP(F7613,CARTON_LOOKUP!$A:$E,4,0),"")</f>
      </c>
      <c r="I7613" s="28">
        <f>IFERROR(VLOOKUP(F7613,CARTON_LOOKUP!$A:$E,5,0),"")</f>
      </c>
      <c r="J7613" s="29">
        <f>IFERROR(VLOOKUP(F7613,CARTON_LOOKUP!$A:$E,2,0),"")</f>
      </c>
      <c r="K7613" s="29">
        <f>IFERROR(J7613*D7613,0)</f>
      </c>
      <c r="L7613" s="29">
        <f>IFERROR(E7613*C7613,0)</f>
      </c>
      <c r="M7613" s="29">
        <f>IFERROR((G7613*H7613*I7613/1000000)*D7613,0)</f>
      </c>
    </row>
    <row r="7614" spans="1:13" x14ac:dyDescent="0.25">
      <c r="A7614" s="16"/>
      <c r="E7614" s="27"/>
      <c r="F7614" t="s">
        <v>26</v>
      </c>
      <c r="G7614" s="28">
        <f>IFERROR(VLOOKUP(F7614,CARTON_LOOKUP!$A:$E,3,0),"")</f>
      </c>
      <c r="H7614" s="28">
        <f>IFERROR(VLOOKUP(F7614,CARTON_LOOKUP!$A:$E,4,0),"")</f>
      </c>
      <c r="I7614" s="28">
        <f>IFERROR(VLOOKUP(F7614,CARTON_LOOKUP!$A:$E,5,0),"")</f>
      </c>
      <c r="J7614" s="29">
        <f>IFERROR(VLOOKUP(F7614,CARTON_LOOKUP!$A:$E,2,0),"")</f>
      </c>
      <c r="K7614" s="29">
        <f>IFERROR(J7614*D7614,0)</f>
      </c>
      <c r="L7614" s="29">
        <f>IFERROR(E7614*C7614,0)</f>
      </c>
      <c r="M7614" s="29">
        <f>IFERROR((G7614*H7614*I7614/1000000)*D7614,0)</f>
      </c>
    </row>
    <row r="7615" spans="1:13" x14ac:dyDescent="0.25">
      <c r="A7615" s="16"/>
      <c r="E7615" s="27"/>
      <c r="F7615" t="s">
        <v>26</v>
      </c>
      <c r="G7615" s="28">
        <f>IFERROR(VLOOKUP(F7615,CARTON_LOOKUP!$A:$E,3,0),"")</f>
      </c>
      <c r="H7615" s="28">
        <f>IFERROR(VLOOKUP(F7615,CARTON_LOOKUP!$A:$E,4,0),"")</f>
      </c>
      <c r="I7615" s="28">
        <f>IFERROR(VLOOKUP(F7615,CARTON_LOOKUP!$A:$E,5,0),"")</f>
      </c>
      <c r="J7615" s="29">
        <f>IFERROR(VLOOKUP(F7615,CARTON_LOOKUP!$A:$E,2,0),"")</f>
      </c>
      <c r="K7615" s="29">
        <f>IFERROR(J7615*D7615,0)</f>
      </c>
      <c r="L7615" s="29">
        <f>IFERROR(E7615*C7615,0)</f>
      </c>
      <c r="M7615" s="29">
        <f>IFERROR((G7615*H7615*I7615/1000000)*D7615,0)</f>
      </c>
    </row>
    <row r="7616" spans="1:13" x14ac:dyDescent="0.25">
      <c r="A7616" s="16"/>
      <c r="E7616" s="27"/>
      <c r="F7616" t="s">
        <v>26</v>
      </c>
      <c r="G7616" s="28">
        <f>IFERROR(VLOOKUP(F7616,CARTON_LOOKUP!$A:$E,3,0),"")</f>
      </c>
      <c r="H7616" s="28">
        <f>IFERROR(VLOOKUP(F7616,CARTON_LOOKUP!$A:$E,4,0),"")</f>
      </c>
      <c r="I7616" s="28">
        <f>IFERROR(VLOOKUP(F7616,CARTON_LOOKUP!$A:$E,5,0),"")</f>
      </c>
      <c r="J7616" s="29">
        <f>IFERROR(VLOOKUP(F7616,CARTON_LOOKUP!$A:$E,2,0),"")</f>
      </c>
      <c r="K7616" s="29">
        <f>IFERROR(J7616*D7616,0)</f>
      </c>
      <c r="L7616" s="29">
        <f>IFERROR(E7616*C7616,0)</f>
      </c>
      <c r="M7616" s="29">
        <f>IFERROR((G7616*H7616*I7616/1000000)*D7616,0)</f>
      </c>
    </row>
    <row r="7617" spans="1:13" x14ac:dyDescent="0.25">
      <c r="A7617" s="16"/>
      <c r="E7617" s="27"/>
      <c r="F7617" t="s">
        <v>26</v>
      </c>
      <c r="G7617" s="28">
        <f>IFERROR(VLOOKUP(F7617,CARTON_LOOKUP!$A:$E,3,0),"")</f>
      </c>
      <c r="H7617" s="28">
        <f>IFERROR(VLOOKUP(F7617,CARTON_LOOKUP!$A:$E,4,0),"")</f>
      </c>
      <c r="I7617" s="28">
        <f>IFERROR(VLOOKUP(F7617,CARTON_LOOKUP!$A:$E,5,0),"")</f>
      </c>
      <c r="J7617" s="29">
        <f>IFERROR(VLOOKUP(F7617,CARTON_LOOKUP!$A:$E,2,0),"")</f>
      </c>
      <c r="K7617" s="29">
        <f>IFERROR(J7617*D7617,0)</f>
      </c>
      <c r="L7617" s="29">
        <f>IFERROR(E7617*C7617,0)</f>
      </c>
      <c r="M7617" s="29">
        <f>IFERROR((G7617*H7617*I7617/1000000)*D7617,0)</f>
      </c>
    </row>
    <row r="7618" spans="1:13" x14ac:dyDescent="0.25">
      <c r="A7618" s="16"/>
      <c r="E7618" s="27"/>
      <c r="F7618" t="s">
        <v>26</v>
      </c>
      <c r="G7618" s="28">
        <f>IFERROR(VLOOKUP(F7618,CARTON_LOOKUP!$A:$E,3,0),"")</f>
      </c>
      <c r="H7618" s="28">
        <f>IFERROR(VLOOKUP(F7618,CARTON_LOOKUP!$A:$E,4,0),"")</f>
      </c>
      <c r="I7618" s="28">
        <f>IFERROR(VLOOKUP(F7618,CARTON_LOOKUP!$A:$E,5,0),"")</f>
      </c>
      <c r="J7618" s="29">
        <f>IFERROR(VLOOKUP(F7618,CARTON_LOOKUP!$A:$E,2,0),"")</f>
      </c>
      <c r="K7618" s="29">
        <f>IFERROR(J7618*D7618,0)</f>
      </c>
      <c r="L7618" s="29">
        <f>IFERROR(E7618*C7618,0)</f>
      </c>
      <c r="M7618" s="29">
        <f>IFERROR((G7618*H7618*I7618/1000000)*D7618,0)</f>
      </c>
    </row>
    <row r="7619" spans="1:13" x14ac:dyDescent="0.25">
      <c r="A7619" s="16"/>
      <c r="E7619" s="27"/>
      <c r="F7619" t="s">
        <v>26</v>
      </c>
      <c r="G7619" s="28">
        <f>IFERROR(VLOOKUP(F7619,CARTON_LOOKUP!$A:$E,3,0),"")</f>
      </c>
      <c r="H7619" s="28">
        <f>IFERROR(VLOOKUP(F7619,CARTON_LOOKUP!$A:$E,4,0),"")</f>
      </c>
      <c r="I7619" s="28">
        <f>IFERROR(VLOOKUP(F7619,CARTON_LOOKUP!$A:$E,5,0),"")</f>
      </c>
      <c r="J7619" s="29">
        <f>IFERROR(VLOOKUP(F7619,CARTON_LOOKUP!$A:$E,2,0),"")</f>
      </c>
      <c r="K7619" s="29">
        <f>IFERROR(J7619*D7619,0)</f>
      </c>
      <c r="L7619" s="29">
        <f>IFERROR(E7619*C7619,0)</f>
      </c>
      <c r="M7619" s="29">
        <f>IFERROR((G7619*H7619*I7619/1000000)*D7619,0)</f>
      </c>
    </row>
    <row r="7620" spans="1:13" x14ac:dyDescent="0.25">
      <c r="A7620" s="16"/>
      <c r="E7620" s="27"/>
      <c r="F7620" t="s">
        <v>26</v>
      </c>
      <c r="G7620" s="28">
        <f>IFERROR(VLOOKUP(F7620,CARTON_LOOKUP!$A:$E,3,0),"")</f>
      </c>
      <c r="H7620" s="28">
        <f>IFERROR(VLOOKUP(F7620,CARTON_LOOKUP!$A:$E,4,0),"")</f>
      </c>
      <c r="I7620" s="28">
        <f>IFERROR(VLOOKUP(F7620,CARTON_LOOKUP!$A:$E,5,0),"")</f>
      </c>
      <c r="J7620" s="29">
        <f>IFERROR(VLOOKUP(F7620,CARTON_LOOKUP!$A:$E,2,0),"")</f>
      </c>
      <c r="K7620" s="29">
        <f>IFERROR(J7620*D7620,0)</f>
      </c>
      <c r="L7620" s="29">
        <f>IFERROR(E7620*C7620,0)</f>
      </c>
      <c r="M7620" s="29">
        <f>IFERROR((G7620*H7620*I7620/1000000)*D7620,0)</f>
      </c>
    </row>
    <row r="7621" spans="1:13" x14ac:dyDescent="0.25">
      <c r="A7621" s="16"/>
      <c r="E7621" s="27"/>
      <c r="F7621" t="s">
        <v>26</v>
      </c>
      <c r="G7621" s="28">
        <f>IFERROR(VLOOKUP(F7621,CARTON_LOOKUP!$A:$E,3,0),"")</f>
      </c>
      <c r="H7621" s="28">
        <f>IFERROR(VLOOKUP(F7621,CARTON_LOOKUP!$A:$E,4,0),"")</f>
      </c>
      <c r="I7621" s="28">
        <f>IFERROR(VLOOKUP(F7621,CARTON_LOOKUP!$A:$E,5,0),"")</f>
      </c>
      <c r="J7621" s="29">
        <f>IFERROR(VLOOKUP(F7621,CARTON_LOOKUP!$A:$E,2,0),"")</f>
      </c>
      <c r="K7621" s="29">
        <f>IFERROR(J7621*D7621,0)</f>
      </c>
      <c r="L7621" s="29">
        <f>IFERROR(E7621*C7621,0)</f>
      </c>
      <c r="M7621" s="29">
        <f>IFERROR((G7621*H7621*I7621/1000000)*D7621,0)</f>
      </c>
    </row>
    <row r="7622" spans="1:13" x14ac:dyDescent="0.25">
      <c r="A7622" s="16"/>
      <c r="E7622" s="27"/>
      <c r="F7622" t="s">
        <v>26</v>
      </c>
      <c r="G7622" s="28">
        <f>IFERROR(VLOOKUP(F7622,CARTON_LOOKUP!$A:$E,3,0),"")</f>
      </c>
      <c r="H7622" s="28">
        <f>IFERROR(VLOOKUP(F7622,CARTON_LOOKUP!$A:$E,4,0),"")</f>
      </c>
      <c r="I7622" s="28">
        <f>IFERROR(VLOOKUP(F7622,CARTON_LOOKUP!$A:$E,5,0),"")</f>
      </c>
      <c r="J7622" s="29">
        <f>IFERROR(VLOOKUP(F7622,CARTON_LOOKUP!$A:$E,2,0),"")</f>
      </c>
      <c r="K7622" s="29">
        <f>IFERROR(J7622*D7622,0)</f>
      </c>
      <c r="L7622" s="29">
        <f>IFERROR(E7622*C7622,0)</f>
      </c>
      <c r="M7622" s="29">
        <f>IFERROR((G7622*H7622*I7622/1000000)*D7622,0)</f>
      </c>
    </row>
    <row r="7623" spans="1:13" x14ac:dyDescent="0.25">
      <c r="A7623" s="16"/>
      <c r="E7623" s="27"/>
      <c r="F7623" t="s">
        <v>26</v>
      </c>
      <c r="G7623" s="28">
        <f>IFERROR(VLOOKUP(F7623,CARTON_LOOKUP!$A:$E,3,0),"")</f>
      </c>
      <c r="H7623" s="28">
        <f>IFERROR(VLOOKUP(F7623,CARTON_LOOKUP!$A:$E,4,0),"")</f>
      </c>
      <c r="I7623" s="28">
        <f>IFERROR(VLOOKUP(F7623,CARTON_LOOKUP!$A:$E,5,0),"")</f>
      </c>
      <c r="J7623" s="29">
        <f>IFERROR(VLOOKUP(F7623,CARTON_LOOKUP!$A:$E,2,0),"")</f>
      </c>
      <c r="K7623" s="29">
        <f>IFERROR(J7623*D7623,0)</f>
      </c>
      <c r="L7623" s="29">
        <f>IFERROR(E7623*C7623,0)</f>
      </c>
      <c r="M7623" s="29">
        <f>IFERROR((G7623*H7623*I7623/1000000)*D7623,0)</f>
      </c>
    </row>
    <row r="7624" spans="1:13" x14ac:dyDescent="0.25">
      <c r="A7624" s="16"/>
      <c r="E7624" s="27"/>
      <c r="F7624" t="s">
        <v>26</v>
      </c>
      <c r="G7624" s="28">
        <f>IFERROR(VLOOKUP(F7624,CARTON_LOOKUP!$A:$E,3,0),"")</f>
      </c>
      <c r="H7624" s="28">
        <f>IFERROR(VLOOKUP(F7624,CARTON_LOOKUP!$A:$E,4,0),"")</f>
      </c>
      <c r="I7624" s="28">
        <f>IFERROR(VLOOKUP(F7624,CARTON_LOOKUP!$A:$E,5,0),"")</f>
      </c>
      <c r="J7624" s="29">
        <f>IFERROR(VLOOKUP(F7624,CARTON_LOOKUP!$A:$E,2,0),"")</f>
      </c>
      <c r="K7624" s="29">
        <f>IFERROR(J7624*D7624,0)</f>
      </c>
      <c r="L7624" s="29">
        <f>IFERROR(E7624*C7624,0)</f>
      </c>
      <c r="M7624" s="29">
        <f>IFERROR((G7624*H7624*I7624/1000000)*D7624,0)</f>
      </c>
    </row>
    <row r="7625" spans="1:13" x14ac:dyDescent="0.25">
      <c r="A7625" s="16"/>
      <c r="E7625" s="27"/>
      <c r="F7625" t="s">
        <v>26</v>
      </c>
      <c r="G7625" s="28">
        <f>IFERROR(VLOOKUP(F7625,CARTON_LOOKUP!$A:$E,3,0),"")</f>
      </c>
      <c r="H7625" s="28">
        <f>IFERROR(VLOOKUP(F7625,CARTON_LOOKUP!$A:$E,4,0),"")</f>
      </c>
      <c r="I7625" s="28">
        <f>IFERROR(VLOOKUP(F7625,CARTON_LOOKUP!$A:$E,5,0),"")</f>
      </c>
      <c r="J7625" s="29">
        <f>IFERROR(VLOOKUP(F7625,CARTON_LOOKUP!$A:$E,2,0),"")</f>
      </c>
      <c r="K7625" s="29">
        <f>IFERROR(J7625*D7625,0)</f>
      </c>
      <c r="L7625" s="29">
        <f>IFERROR(E7625*C7625,0)</f>
      </c>
      <c r="M7625" s="29">
        <f>IFERROR((G7625*H7625*I7625/1000000)*D7625,0)</f>
      </c>
    </row>
    <row r="7626" spans="1:13" x14ac:dyDescent="0.25">
      <c r="A7626" s="16"/>
      <c r="E7626" s="27"/>
      <c r="F7626" t="s">
        <v>26</v>
      </c>
      <c r="G7626" s="28">
        <f>IFERROR(VLOOKUP(F7626,CARTON_LOOKUP!$A:$E,3,0),"")</f>
      </c>
      <c r="H7626" s="28">
        <f>IFERROR(VLOOKUP(F7626,CARTON_LOOKUP!$A:$E,4,0),"")</f>
      </c>
      <c r="I7626" s="28">
        <f>IFERROR(VLOOKUP(F7626,CARTON_LOOKUP!$A:$E,5,0),"")</f>
      </c>
      <c r="J7626" s="29">
        <f>IFERROR(VLOOKUP(F7626,CARTON_LOOKUP!$A:$E,2,0),"")</f>
      </c>
      <c r="K7626" s="29">
        <f>IFERROR(J7626*D7626,0)</f>
      </c>
      <c r="L7626" s="29">
        <f>IFERROR(E7626*C7626,0)</f>
      </c>
      <c r="M7626" s="29">
        <f>IFERROR((G7626*H7626*I7626/1000000)*D7626,0)</f>
      </c>
    </row>
    <row r="7627" spans="1:13" x14ac:dyDescent="0.25">
      <c r="A7627" s="16"/>
      <c r="E7627" s="27"/>
      <c r="F7627" t="s">
        <v>26</v>
      </c>
      <c r="G7627" s="28">
        <f>IFERROR(VLOOKUP(F7627,CARTON_LOOKUP!$A:$E,3,0),"")</f>
      </c>
      <c r="H7627" s="28">
        <f>IFERROR(VLOOKUP(F7627,CARTON_LOOKUP!$A:$E,4,0),"")</f>
      </c>
      <c r="I7627" s="28">
        <f>IFERROR(VLOOKUP(F7627,CARTON_LOOKUP!$A:$E,5,0),"")</f>
      </c>
      <c r="J7627" s="29">
        <f>IFERROR(VLOOKUP(F7627,CARTON_LOOKUP!$A:$E,2,0),"")</f>
      </c>
      <c r="K7627" s="29">
        <f>IFERROR(J7627*D7627,0)</f>
      </c>
      <c r="L7627" s="29">
        <f>IFERROR(E7627*C7627,0)</f>
      </c>
      <c r="M7627" s="29">
        <f>IFERROR((G7627*H7627*I7627/1000000)*D7627,0)</f>
      </c>
    </row>
    <row r="7628" spans="1:13" x14ac:dyDescent="0.25">
      <c r="A7628" s="16"/>
      <c r="E7628" s="27"/>
      <c r="F7628" t="s">
        <v>26</v>
      </c>
      <c r="G7628" s="28">
        <f>IFERROR(VLOOKUP(F7628,CARTON_LOOKUP!$A:$E,3,0),"")</f>
      </c>
      <c r="H7628" s="28">
        <f>IFERROR(VLOOKUP(F7628,CARTON_LOOKUP!$A:$E,4,0),"")</f>
      </c>
      <c r="I7628" s="28">
        <f>IFERROR(VLOOKUP(F7628,CARTON_LOOKUP!$A:$E,5,0),"")</f>
      </c>
      <c r="J7628" s="29">
        <f>IFERROR(VLOOKUP(F7628,CARTON_LOOKUP!$A:$E,2,0),"")</f>
      </c>
      <c r="K7628" s="29">
        <f>IFERROR(J7628*D7628,0)</f>
      </c>
      <c r="L7628" s="29">
        <f>IFERROR(E7628*C7628,0)</f>
      </c>
      <c r="M7628" s="29">
        <f>IFERROR((G7628*H7628*I7628/1000000)*D7628,0)</f>
      </c>
    </row>
    <row r="7629" spans="1:13" x14ac:dyDescent="0.25">
      <c r="A7629" s="16"/>
      <c r="E7629" s="27"/>
      <c r="F7629" t="s">
        <v>26</v>
      </c>
      <c r="G7629" s="28">
        <f>IFERROR(VLOOKUP(F7629,CARTON_LOOKUP!$A:$E,3,0),"")</f>
      </c>
      <c r="H7629" s="28">
        <f>IFERROR(VLOOKUP(F7629,CARTON_LOOKUP!$A:$E,4,0),"")</f>
      </c>
      <c r="I7629" s="28">
        <f>IFERROR(VLOOKUP(F7629,CARTON_LOOKUP!$A:$E,5,0),"")</f>
      </c>
      <c r="J7629" s="29">
        <f>IFERROR(VLOOKUP(F7629,CARTON_LOOKUP!$A:$E,2,0),"")</f>
      </c>
      <c r="K7629" s="29">
        <f>IFERROR(J7629*D7629,0)</f>
      </c>
      <c r="L7629" s="29">
        <f>IFERROR(E7629*C7629,0)</f>
      </c>
      <c r="M7629" s="29">
        <f>IFERROR((G7629*H7629*I7629/1000000)*D7629,0)</f>
      </c>
    </row>
    <row r="7630" spans="1:13" x14ac:dyDescent="0.25">
      <c r="A7630" s="16"/>
      <c r="E7630" s="27"/>
      <c r="F7630" t="s">
        <v>26</v>
      </c>
      <c r="G7630" s="28">
        <f>IFERROR(VLOOKUP(F7630,CARTON_LOOKUP!$A:$E,3,0),"")</f>
      </c>
      <c r="H7630" s="28">
        <f>IFERROR(VLOOKUP(F7630,CARTON_LOOKUP!$A:$E,4,0),"")</f>
      </c>
      <c r="I7630" s="28">
        <f>IFERROR(VLOOKUP(F7630,CARTON_LOOKUP!$A:$E,5,0),"")</f>
      </c>
      <c r="J7630" s="29">
        <f>IFERROR(VLOOKUP(F7630,CARTON_LOOKUP!$A:$E,2,0),"")</f>
      </c>
      <c r="K7630" s="29">
        <f>IFERROR(J7630*D7630,0)</f>
      </c>
      <c r="L7630" s="29">
        <f>IFERROR(E7630*C7630,0)</f>
      </c>
      <c r="M7630" s="29">
        <f>IFERROR((G7630*H7630*I7630/1000000)*D7630,0)</f>
      </c>
    </row>
    <row r="7631" spans="1:13" x14ac:dyDescent="0.25">
      <c r="A7631" s="16"/>
      <c r="E7631" s="27"/>
      <c r="F7631" t="s">
        <v>26</v>
      </c>
      <c r="G7631" s="28">
        <f>IFERROR(VLOOKUP(F7631,CARTON_LOOKUP!$A:$E,3,0),"")</f>
      </c>
      <c r="H7631" s="28">
        <f>IFERROR(VLOOKUP(F7631,CARTON_LOOKUP!$A:$E,4,0),"")</f>
      </c>
      <c r="I7631" s="28">
        <f>IFERROR(VLOOKUP(F7631,CARTON_LOOKUP!$A:$E,5,0),"")</f>
      </c>
      <c r="J7631" s="29">
        <f>IFERROR(VLOOKUP(F7631,CARTON_LOOKUP!$A:$E,2,0),"")</f>
      </c>
      <c r="K7631" s="29">
        <f>IFERROR(J7631*D7631,0)</f>
      </c>
      <c r="L7631" s="29">
        <f>IFERROR(E7631*C7631,0)</f>
      </c>
      <c r="M7631" s="29">
        <f>IFERROR((G7631*H7631*I7631/1000000)*D7631,0)</f>
      </c>
    </row>
    <row r="7632" spans="1:13" x14ac:dyDescent="0.25">
      <c r="A7632" s="16"/>
      <c r="E7632" s="27"/>
      <c r="F7632" t="s">
        <v>26</v>
      </c>
      <c r="G7632" s="28">
        <f>IFERROR(VLOOKUP(F7632,CARTON_LOOKUP!$A:$E,3,0),"")</f>
      </c>
      <c r="H7632" s="28">
        <f>IFERROR(VLOOKUP(F7632,CARTON_LOOKUP!$A:$E,4,0),"")</f>
      </c>
      <c r="I7632" s="28">
        <f>IFERROR(VLOOKUP(F7632,CARTON_LOOKUP!$A:$E,5,0),"")</f>
      </c>
      <c r="J7632" s="29">
        <f>IFERROR(VLOOKUP(F7632,CARTON_LOOKUP!$A:$E,2,0),"")</f>
      </c>
      <c r="K7632" s="29">
        <f>IFERROR(J7632*D7632,0)</f>
      </c>
      <c r="L7632" s="29">
        <f>IFERROR(E7632*C7632,0)</f>
      </c>
      <c r="M7632" s="29">
        <f>IFERROR((G7632*H7632*I7632/1000000)*D7632,0)</f>
      </c>
    </row>
    <row r="7633" spans="1:13" x14ac:dyDescent="0.25">
      <c r="A7633" s="16"/>
      <c r="E7633" s="27"/>
      <c r="F7633" t="s">
        <v>26</v>
      </c>
      <c r="G7633" s="28">
        <f>IFERROR(VLOOKUP(F7633,CARTON_LOOKUP!$A:$E,3,0),"")</f>
      </c>
      <c r="H7633" s="28">
        <f>IFERROR(VLOOKUP(F7633,CARTON_LOOKUP!$A:$E,4,0),"")</f>
      </c>
      <c r="I7633" s="28">
        <f>IFERROR(VLOOKUP(F7633,CARTON_LOOKUP!$A:$E,5,0),"")</f>
      </c>
      <c r="J7633" s="29">
        <f>IFERROR(VLOOKUP(F7633,CARTON_LOOKUP!$A:$E,2,0),"")</f>
      </c>
      <c r="K7633" s="29">
        <f>IFERROR(J7633*D7633,0)</f>
      </c>
      <c r="L7633" s="29">
        <f>IFERROR(E7633*C7633,0)</f>
      </c>
      <c r="M7633" s="29">
        <f>IFERROR((G7633*H7633*I7633/1000000)*D7633,0)</f>
      </c>
    </row>
    <row r="7634" spans="1:13" x14ac:dyDescent="0.25">
      <c r="A7634" s="16"/>
      <c r="E7634" s="27"/>
      <c r="F7634" t="s">
        <v>26</v>
      </c>
      <c r="G7634" s="28">
        <f>IFERROR(VLOOKUP(F7634,CARTON_LOOKUP!$A:$E,3,0),"")</f>
      </c>
      <c r="H7634" s="28">
        <f>IFERROR(VLOOKUP(F7634,CARTON_LOOKUP!$A:$E,4,0),"")</f>
      </c>
      <c r="I7634" s="28">
        <f>IFERROR(VLOOKUP(F7634,CARTON_LOOKUP!$A:$E,5,0),"")</f>
      </c>
      <c r="J7634" s="29">
        <f>IFERROR(VLOOKUP(F7634,CARTON_LOOKUP!$A:$E,2,0),"")</f>
      </c>
      <c r="K7634" s="29">
        <f>IFERROR(J7634*D7634,0)</f>
      </c>
      <c r="L7634" s="29">
        <f>IFERROR(E7634*C7634,0)</f>
      </c>
      <c r="M7634" s="29">
        <f>IFERROR((G7634*H7634*I7634/1000000)*D7634,0)</f>
      </c>
    </row>
    <row r="7635" spans="1:13" x14ac:dyDescent="0.25">
      <c r="A7635" s="16"/>
      <c r="E7635" s="27"/>
      <c r="F7635" t="s">
        <v>26</v>
      </c>
      <c r="G7635" s="28">
        <f>IFERROR(VLOOKUP(F7635,CARTON_LOOKUP!$A:$E,3,0),"")</f>
      </c>
      <c r="H7635" s="28">
        <f>IFERROR(VLOOKUP(F7635,CARTON_LOOKUP!$A:$E,4,0),"")</f>
      </c>
      <c r="I7635" s="28">
        <f>IFERROR(VLOOKUP(F7635,CARTON_LOOKUP!$A:$E,5,0),"")</f>
      </c>
      <c r="J7635" s="29">
        <f>IFERROR(VLOOKUP(F7635,CARTON_LOOKUP!$A:$E,2,0),"")</f>
      </c>
      <c r="K7635" s="29">
        <f>IFERROR(J7635*D7635,0)</f>
      </c>
      <c r="L7635" s="29">
        <f>IFERROR(E7635*C7635,0)</f>
      </c>
      <c r="M7635" s="29">
        <f>IFERROR((G7635*H7635*I7635/1000000)*D7635,0)</f>
      </c>
    </row>
    <row r="7636" spans="1:13" x14ac:dyDescent="0.25">
      <c r="A7636" s="16"/>
      <c r="E7636" s="27"/>
      <c r="F7636" t="s">
        <v>26</v>
      </c>
      <c r="G7636" s="28">
        <f>IFERROR(VLOOKUP(F7636,CARTON_LOOKUP!$A:$E,3,0),"")</f>
      </c>
      <c r="H7636" s="28">
        <f>IFERROR(VLOOKUP(F7636,CARTON_LOOKUP!$A:$E,4,0),"")</f>
      </c>
      <c r="I7636" s="28">
        <f>IFERROR(VLOOKUP(F7636,CARTON_LOOKUP!$A:$E,5,0),"")</f>
      </c>
      <c r="J7636" s="29">
        <f>IFERROR(VLOOKUP(F7636,CARTON_LOOKUP!$A:$E,2,0),"")</f>
      </c>
      <c r="K7636" s="29">
        <f>IFERROR(J7636*D7636,0)</f>
      </c>
      <c r="L7636" s="29">
        <f>IFERROR(E7636*C7636,0)</f>
      </c>
      <c r="M7636" s="29">
        <f>IFERROR((G7636*H7636*I7636/1000000)*D7636,0)</f>
      </c>
    </row>
    <row r="7637" spans="1:13" x14ac:dyDescent="0.25">
      <c r="A7637" s="16"/>
      <c r="E7637" s="27"/>
      <c r="F7637" t="s">
        <v>26</v>
      </c>
      <c r="G7637" s="28">
        <f>IFERROR(VLOOKUP(F7637,CARTON_LOOKUP!$A:$E,3,0),"")</f>
      </c>
      <c r="H7637" s="28">
        <f>IFERROR(VLOOKUP(F7637,CARTON_LOOKUP!$A:$E,4,0),"")</f>
      </c>
      <c r="I7637" s="28">
        <f>IFERROR(VLOOKUP(F7637,CARTON_LOOKUP!$A:$E,5,0),"")</f>
      </c>
      <c r="J7637" s="29">
        <f>IFERROR(VLOOKUP(F7637,CARTON_LOOKUP!$A:$E,2,0),"")</f>
      </c>
      <c r="K7637" s="29">
        <f>IFERROR(J7637*D7637,0)</f>
      </c>
      <c r="L7637" s="29">
        <f>IFERROR(E7637*C7637,0)</f>
      </c>
      <c r="M7637" s="29">
        <f>IFERROR((G7637*H7637*I7637/1000000)*D7637,0)</f>
      </c>
    </row>
    <row r="7638" spans="1:13" x14ac:dyDescent="0.25">
      <c r="A7638" s="16"/>
      <c r="E7638" s="27"/>
      <c r="F7638" t="s">
        <v>26</v>
      </c>
      <c r="G7638" s="28">
        <f>IFERROR(VLOOKUP(F7638,CARTON_LOOKUP!$A:$E,3,0),"")</f>
      </c>
      <c r="H7638" s="28">
        <f>IFERROR(VLOOKUP(F7638,CARTON_LOOKUP!$A:$E,4,0),"")</f>
      </c>
      <c r="I7638" s="28">
        <f>IFERROR(VLOOKUP(F7638,CARTON_LOOKUP!$A:$E,5,0),"")</f>
      </c>
      <c r="J7638" s="29">
        <f>IFERROR(VLOOKUP(F7638,CARTON_LOOKUP!$A:$E,2,0),"")</f>
      </c>
      <c r="K7638" s="29">
        <f>IFERROR(J7638*D7638,0)</f>
      </c>
      <c r="L7638" s="29">
        <f>IFERROR(E7638*C7638,0)</f>
      </c>
      <c r="M7638" s="29">
        <f>IFERROR((G7638*H7638*I7638/1000000)*D7638,0)</f>
      </c>
    </row>
    <row r="7639" spans="1:13" x14ac:dyDescent="0.25">
      <c r="A7639" s="16"/>
      <c r="E7639" s="27"/>
      <c r="F7639" t="s">
        <v>26</v>
      </c>
      <c r="G7639" s="28">
        <f>IFERROR(VLOOKUP(F7639,CARTON_LOOKUP!$A:$E,3,0),"")</f>
      </c>
      <c r="H7639" s="28">
        <f>IFERROR(VLOOKUP(F7639,CARTON_LOOKUP!$A:$E,4,0),"")</f>
      </c>
      <c r="I7639" s="28">
        <f>IFERROR(VLOOKUP(F7639,CARTON_LOOKUP!$A:$E,5,0),"")</f>
      </c>
      <c r="J7639" s="29">
        <f>IFERROR(VLOOKUP(F7639,CARTON_LOOKUP!$A:$E,2,0),"")</f>
      </c>
      <c r="K7639" s="29">
        <f>IFERROR(J7639*D7639,0)</f>
      </c>
      <c r="L7639" s="29">
        <f>IFERROR(E7639*C7639,0)</f>
      </c>
      <c r="M7639" s="29">
        <f>IFERROR((G7639*H7639*I7639/1000000)*D7639,0)</f>
      </c>
    </row>
    <row r="7640" spans="1:13" x14ac:dyDescent="0.25">
      <c r="A7640" s="16"/>
      <c r="E7640" s="27"/>
      <c r="F7640" t="s">
        <v>26</v>
      </c>
      <c r="G7640" s="28">
        <f>IFERROR(VLOOKUP(F7640,CARTON_LOOKUP!$A:$E,3,0),"")</f>
      </c>
      <c r="H7640" s="28">
        <f>IFERROR(VLOOKUP(F7640,CARTON_LOOKUP!$A:$E,4,0),"")</f>
      </c>
      <c r="I7640" s="28">
        <f>IFERROR(VLOOKUP(F7640,CARTON_LOOKUP!$A:$E,5,0),"")</f>
      </c>
      <c r="J7640" s="29">
        <f>IFERROR(VLOOKUP(F7640,CARTON_LOOKUP!$A:$E,2,0),"")</f>
      </c>
      <c r="K7640" s="29">
        <f>IFERROR(J7640*D7640,0)</f>
      </c>
      <c r="L7640" s="29">
        <f>IFERROR(E7640*C7640,0)</f>
      </c>
      <c r="M7640" s="29">
        <f>IFERROR((G7640*H7640*I7640/1000000)*D7640,0)</f>
      </c>
    </row>
    <row r="7641" spans="1:13" x14ac:dyDescent="0.25">
      <c r="A7641" s="16"/>
      <c r="E7641" s="27"/>
      <c r="F7641" t="s">
        <v>26</v>
      </c>
      <c r="G7641" s="28">
        <f>IFERROR(VLOOKUP(F7641,CARTON_LOOKUP!$A:$E,3,0),"")</f>
      </c>
      <c r="H7641" s="28">
        <f>IFERROR(VLOOKUP(F7641,CARTON_LOOKUP!$A:$E,4,0),"")</f>
      </c>
      <c r="I7641" s="28">
        <f>IFERROR(VLOOKUP(F7641,CARTON_LOOKUP!$A:$E,5,0),"")</f>
      </c>
      <c r="J7641" s="29">
        <f>IFERROR(VLOOKUP(F7641,CARTON_LOOKUP!$A:$E,2,0),"")</f>
      </c>
      <c r="K7641" s="29">
        <f>IFERROR(J7641*D7641,0)</f>
      </c>
      <c r="L7641" s="29">
        <f>IFERROR(E7641*C7641,0)</f>
      </c>
      <c r="M7641" s="29">
        <f>IFERROR((G7641*H7641*I7641/1000000)*D7641,0)</f>
      </c>
    </row>
    <row r="7642" spans="1:13" x14ac:dyDescent="0.25">
      <c r="A7642" s="16"/>
      <c r="E7642" s="27"/>
      <c r="F7642" t="s">
        <v>26</v>
      </c>
      <c r="G7642" s="28">
        <f>IFERROR(VLOOKUP(F7642,CARTON_LOOKUP!$A:$E,3,0),"")</f>
      </c>
      <c r="H7642" s="28">
        <f>IFERROR(VLOOKUP(F7642,CARTON_LOOKUP!$A:$E,4,0),"")</f>
      </c>
      <c r="I7642" s="28">
        <f>IFERROR(VLOOKUP(F7642,CARTON_LOOKUP!$A:$E,5,0),"")</f>
      </c>
      <c r="J7642" s="29">
        <f>IFERROR(VLOOKUP(F7642,CARTON_LOOKUP!$A:$E,2,0),"")</f>
      </c>
      <c r="K7642" s="29">
        <f>IFERROR(J7642*D7642,0)</f>
      </c>
      <c r="L7642" s="29">
        <f>IFERROR(E7642*C7642,0)</f>
      </c>
      <c r="M7642" s="29">
        <f>IFERROR((G7642*H7642*I7642/1000000)*D7642,0)</f>
      </c>
    </row>
    <row r="7643" spans="1:13" x14ac:dyDescent="0.25">
      <c r="A7643" s="16"/>
      <c r="E7643" s="27"/>
      <c r="F7643" t="s">
        <v>26</v>
      </c>
      <c r="G7643" s="28">
        <f>IFERROR(VLOOKUP(F7643,CARTON_LOOKUP!$A:$E,3,0),"")</f>
      </c>
      <c r="H7643" s="28">
        <f>IFERROR(VLOOKUP(F7643,CARTON_LOOKUP!$A:$E,4,0),"")</f>
      </c>
      <c r="I7643" s="28">
        <f>IFERROR(VLOOKUP(F7643,CARTON_LOOKUP!$A:$E,5,0),"")</f>
      </c>
      <c r="J7643" s="29">
        <f>IFERROR(VLOOKUP(F7643,CARTON_LOOKUP!$A:$E,2,0),"")</f>
      </c>
      <c r="K7643" s="29">
        <f>IFERROR(J7643*D7643,0)</f>
      </c>
      <c r="L7643" s="29">
        <f>IFERROR(E7643*C7643,0)</f>
      </c>
      <c r="M7643" s="29">
        <f>IFERROR((G7643*H7643*I7643/1000000)*D7643,0)</f>
      </c>
    </row>
    <row r="7644" spans="1:13" x14ac:dyDescent="0.25">
      <c r="A7644" s="16"/>
      <c r="E7644" s="27"/>
      <c r="F7644" t="s">
        <v>26</v>
      </c>
      <c r="G7644" s="28">
        <f>IFERROR(VLOOKUP(F7644,CARTON_LOOKUP!$A:$E,3,0),"")</f>
      </c>
      <c r="H7644" s="28">
        <f>IFERROR(VLOOKUP(F7644,CARTON_LOOKUP!$A:$E,4,0),"")</f>
      </c>
      <c r="I7644" s="28">
        <f>IFERROR(VLOOKUP(F7644,CARTON_LOOKUP!$A:$E,5,0),"")</f>
      </c>
      <c r="J7644" s="29">
        <f>IFERROR(VLOOKUP(F7644,CARTON_LOOKUP!$A:$E,2,0),"")</f>
      </c>
      <c r="K7644" s="29">
        <f>IFERROR(J7644*D7644,0)</f>
      </c>
      <c r="L7644" s="29">
        <f>IFERROR(E7644*C7644,0)</f>
      </c>
      <c r="M7644" s="29">
        <f>IFERROR((G7644*H7644*I7644/1000000)*D7644,0)</f>
      </c>
    </row>
    <row r="7645" spans="1:13" x14ac:dyDescent="0.25">
      <c r="A7645" s="16"/>
      <c r="E7645" s="27"/>
      <c r="F7645" t="s">
        <v>26</v>
      </c>
      <c r="G7645" s="28">
        <f>IFERROR(VLOOKUP(F7645,CARTON_LOOKUP!$A:$E,3,0),"")</f>
      </c>
      <c r="H7645" s="28">
        <f>IFERROR(VLOOKUP(F7645,CARTON_LOOKUP!$A:$E,4,0),"")</f>
      </c>
      <c r="I7645" s="28">
        <f>IFERROR(VLOOKUP(F7645,CARTON_LOOKUP!$A:$E,5,0),"")</f>
      </c>
      <c r="J7645" s="29">
        <f>IFERROR(VLOOKUP(F7645,CARTON_LOOKUP!$A:$E,2,0),"")</f>
      </c>
      <c r="K7645" s="29">
        <f>IFERROR(J7645*D7645,0)</f>
      </c>
      <c r="L7645" s="29">
        <f>IFERROR(E7645*C7645,0)</f>
      </c>
      <c r="M7645" s="29">
        <f>IFERROR((G7645*H7645*I7645/1000000)*D7645,0)</f>
      </c>
    </row>
    <row r="7646" spans="1:13" x14ac:dyDescent="0.25">
      <c r="A7646" s="16"/>
      <c r="E7646" s="27"/>
      <c r="F7646" t="s">
        <v>26</v>
      </c>
      <c r="G7646" s="28">
        <f>IFERROR(VLOOKUP(F7646,CARTON_LOOKUP!$A:$E,3,0),"")</f>
      </c>
      <c r="H7646" s="28">
        <f>IFERROR(VLOOKUP(F7646,CARTON_LOOKUP!$A:$E,4,0),"")</f>
      </c>
      <c r="I7646" s="28">
        <f>IFERROR(VLOOKUP(F7646,CARTON_LOOKUP!$A:$E,5,0),"")</f>
      </c>
      <c r="J7646" s="29">
        <f>IFERROR(VLOOKUP(F7646,CARTON_LOOKUP!$A:$E,2,0),"")</f>
      </c>
      <c r="K7646" s="29">
        <f>IFERROR(J7646*D7646,0)</f>
      </c>
      <c r="L7646" s="29">
        <f>IFERROR(E7646*C7646,0)</f>
      </c>
      <c r="M7646" s="29">
        <f>IFERROR((G7646*H7646*I7646/1000000)*D7646,0)</f>
      </c>
    </row>
    <row r="7647" spans="1:13" x14ac:dyDescent="0.25">
      <c r="A7647" s="16"/>
      <c r="E7647" s="27"/>
      <c r="F7647" t="s">
        <v>26</v>
      </c>
      <c r="G7647" s="28">
        <f>IFERROR(VLOOKUP(F7647,CARTON_LOOKUP!$A:$E,3,0),"")</f>
      </c>
      <c r="H7647" s="28">
        <f>IFERROR(VLOOKUP(F7647,CARTON_LOOKUP!$A:$E,4,0),"")</f>
      </c>
      <c r="I7647" s="28">
        <f>IFERROR(VLOOKUP(F7647,CARTON_LOOKUP!$A:$E,5,0),"")</f>
      </c>
      <c r="J7647" s="29">
        <f>IFERROR(VLOOKUP(F7647,CARTON_LOOKUP!$A:$E,2,0),"")</f>
      </c>
      <c r="K7647" s="29">
        <f>IFERROR(J7647*D7647,0)</f>
      </c>
      <c r="L7647" s="29">
        <f>IFERROR(E7647*C7647,0)</f>
      </c>
      <c r="M7647" s="29">
        <f>IFERROR((G7647*H7647*I7647/1000000)*D7647,0)</f>
      </c>
    </row>
    <row r="7648" spans="1:13" x14ac:dyDescent="0.25">
      <c r="A7648" s="16"/>
      <c r="E7648" s="27"/>
      <c r="F7648" t="s">
        <v>26</v>
      </c>
      <c r="G7648" s="28">
        <f>IFERROR(VLOOKUP(F7648,CARTON_LOOKUP!$A:$E,3,0),"")</f>
      </c>
      <c r="H7648" s="28">
        <f>IFERROR(VLOOKUP(F7648,CARTON_LOOKUP!$A:$E,4,0),"")</f>
      </c>
      <c r="I7648" s="28">
        <f>IFERROR(VLOOKUP(F7648,CARTON_LOOKUP!$A:$E,5,0),"")</f>
      </c>
      <c r="J7648" s="29">
        <f>IFERROR(VLOOKUP(F7648,CARTON_LOOKUP!$A:$E,2,0),"")</f>
      </c>
      <c r="K7648" s="29">
        <f>IFERROR(J7648*D7648,0)</f>
      </c>
      <c r="L7648" s="29">
        <f>IFERROR(E7648*C7648,0)</f>
      </c>
      <c r="M7648" s="29">
        <f>IFERROR((G7648*H7648*I7648/1000000)*D7648,0)</f>
      </c>
    </row>
    <row r="7649" spans="1:13" x14ac:dyDescent="0.25">
      <c r="A7649" s="16"/>
      <c r="E7649" s="27"/>
      <c r="F7649" t="s">
        <v>26</v>
      </c>
      <c r="G7649" s="28">
        <f>IFERROR(VLOOKUP(F7649,CARTON_LOOKUP!$A:$E,3,0),"")</f>
      </c>
      <c r="H7649" s="28">
        <f>IFERROR(VLOOKUP(F7649,CARTON_LOOKUP!$A:$E,4,0),"")</f>
      </c>
      <c r="I7649" s="28">
        <f>IFERROR(VLOOKUP(F7649,CARTON_LOOKUP!$A:$E,5,0),"")</f>
      </c>
      <c r="J7649" s="29">
        <f>IFERROR(VLOOKUP(F7649,CARTON_LOOKUP!$A:$E,2,0),"")</f>
      </c>
      <c r="K7649" s="29">
        <f>IFERROR(J7649*D7649,0)</f>
      </c>
      <c r="L7649" s="29">
        <f>IFERROR(E7649*C7649,0)</f>
      </c>
      <c r="M7649" s="29">
        <f>IFERROR((G7649*H7649*I7649/1000000)*D7649,0)</f>
      </c>
    </row>
    <row r="7650" spans="1:13" x14ac:dyDescent="0.25">
      <c r="A7650" s="16"/>
      <c r="E7650" s="27"/>
      <c r="F7650" t="s">
        <v>26</v>
      </c>
      <c r="G7650" s="28">
        <f>IFERROR(VLOOKUP(F7650,CARTON_LOOKUP!$A:$E,3,0),"")</f>
      </c>
      <c r="H7650" s="28">
        <f>IFERROR(VLOOKUP(F7650,CARTON_LOOKUP!$A:$E,4,0),"")</f>
      </c>
      <c r="I7650" s="28">
        <f>IFERROR(VLOOKUP(F7650,CARTON_LOOKUP!$A:$E,5,0),"")</f>
      </c>
      <c r="J7650" s="29">
        <f>IFERROR(VLOOKUP(F7650,CARTON_LOOKUP!$A:$E,2,0),"")</f>
      </c>
      <c r="K7650" s="29">
        <f>IFERROR(J7650*D7650,0)</f>
      </c>
      <c r="L7650" s="29">
        <f>IFERROR(E7650*C7650,0)</f>
      </c>
      <c r="M7650" s="29">
        <f>IFERROR((G7650*H7650*I7650/1000000)*D7650,0)</f>
      </c>
    </row>
    <row r="7651" spans="1:13" x14ac:dyDescent="0.25">
      <c r="A7651" s="16"/>
      <c r="E7651" s="27"/>
      <c r="F7651" t="s">
        <v>26</v>
      </c>
      <c r="G7651" s="28">
        <f>IFERROR(VLOOKUP(F7651,CARTON_LOOKUP!$A:$E,3,0),"")</f>
      </c>
      <c r="H7651" s="28">
        <f>IFERROR(VLOOKUP(F7651,CARTON_LOOKUP!$A:$E,4,0),"")</f>
      </c>
      <c r="I7651" s="28">
        <f>IFERROR(VLOOKUP(F7651,CARTON_LOOKUP!$A:$E,5,0),"")</f>
      </c>
      <c r="J7651" s="29">
        <f>IFERROR(VLOOKUP(F7651,CARTON_LOOKUP!$A:$E,2,0),"")</f>
      </c>
      <c r="K7651" s="29">
        <f>IFERROR(J7651*D7651,0)</f>
      </c>
      <c r="L7651" s="29">
        <f>IFERROR(E7651*C7651,0)</f>
      </c>
      <c r="M7651" s="29">
        <f>IFERROR((G7651*H7651*I7651/1000000)*D7651,0)</f>
      </c>
    </row>
    <row r="7652" spans="1:13" x14ac:dyDescent="0.25">
      <c r="A7652" s="16"/>
      <c r="E7652" s="27"/>
      <c r="F7652" t="s">
        <v>26</v>
      </c>
      <c r="G7652" s="28">
        <f>IFERROR(VLOOKUP(F7652,CARTON_LOOKUP!$A:$E,3,0),"")</f>
      </c>
      <c r="H7652" s="28">
        <f>IFERROR(VLOOKUP(F7652,CARTON_LOOKUP!$A:$E,4,0),"")</f>
      </c>
      <c r="I7652" s="28">
        <f>IFERROR(VLOOKUP(F7652,CARTON_LOOKUP!$A:$E,5,0),"")</f>
      </c>
      <c r="J7652" s="29">
        <f>IFERROR(VLOOKUP(F7652,CARTON_LOOKUP!$A:$E,2,0),"")</f>
      </c>
      <c r="K7652" s="29">
        <f>IFERROR(J7652*D7652,0)</f>
      </c>
      <c r="L7652" s="29">
        <f>IFERROR(E7652*C7652,0)</f>
      </c>
      <c r="M7652" s="29">
        <f>IFERROR((G7652*H7652*I7652/1000000)*D7652,0)</f>
      </c>
    </row>
    <row r="7653" spans="1:13" x14ac:dyDescent="0.25">
      <c r="A7653" s="16"/>
      <c r="E7653" s="27"/>
      <c r="F7653" t="s">
        <v>26</v>
      </c>
      <c r="G7653" s="28">
        <f>IFERROR(VLOOKUP(F7653,CARTON_LOOKUP!$A:$E,3,0),"")</f>
      </c>
      <c r="H7653" s="28">
        <f>IFERROR(VLOOKUP(F7653,CARTON_LOOKUP!$A:$E,4,0),"")</f>
      </c>
      <c r="I7653" s="28">
        <f>IFERROR(VLOOKUP(F7653,CARTON_LOOKUP!$A:$E,5,0),"")</f>
      </c>
      <c r="J7653" s="29">
        <f>IFERROR(VLOOKUP(F7653,CARTON_LOOKUP!$A:$E,2,0),"")</f>
      </c>
      <c r="K7653" s="29">
        <f>IFERROR(J7653*D7653,0)</f>
      </c>
      <c r="L7653" s="29">
        <f>IFERROR(E7653*C7653,0)</f>
      </c>
      <c r="M7653" s="29">
        <f>IFERROR((G7653*H7653*I7653/1000000)*D7653,0)</f>
      </c>
    </row>
    <row r="7654" spans="1:13" x14ac:dyDescent="0.25">
      <c r="A7654" s="16"/>
      <c r="E7654" s="27"/>
      <c r="F7654" t="s">
        <v>26</v>
      </c>
      <c r="G7654" s="28">
        <f>IFERROR(VLOOKUP(F7654,CARTON_LOOKUP!$A:$E,3,0),"")</f>
      </c>
      <c r="H7654" s="28">
        <f>IFERROR(VLOOKUP(F7654,CARTON_LOOKUP!$A:$E,4,0),"")</f>
      </c>
      <c r="I7654" s="28">
        <f>IFERROR(VLOOKUP(F7654,CARTON_LOOKUP!$A:$E,5,0),"")</f>
      </c>
      <c r="J7654" s="29">
        <f>IFERROR(VLOOKUP(F7654,CARTON_LOOKUP!$A:$E,2,0),"")</f>
      </c>
      <c r="K7654" s="29">
        <f>IFERROR(J7654*D7654,0)</f>
      </c>
      <c r="L7654" s="29">
        <f>IFERROR(E7654*C7654,0)</f>
      </c>
      <c r="M7654" s="29">
        <f>IFERROR((G7654*H7654*I7654/1000000)*D7654,0)</f>
      </c>
    </row>
    <row r="7655" spans="1:13" x14ac:dyDescent="0.25">
      <c r="A7655" s="16"/>
      <c r="E7655" s="27"/>
      <c r="F7655" t="s">
        <v>26</v>
      </c>
      <c r="G7655" s="28">
        <f>IFERROR(VLOOKUP(F7655,CARTON_LOOKUP!$A:$E,3,0),"")</f>
      </c>
      <c r="H7655" s="28">
        <f>IFERROR(VLOOKUP(F7655,CARTON_LOOKUP!$A:$E,4,0),"")</f>
      </c>
      <c r="I7655" s="28">
        <f>IFERROR(VLOOKUP(F7655,CARTON_LOOKUP!$A:$E,5,0),"")</f>
      </c>
      <c r="J7655" s="29">
        <f>IFERROR(VLOOKUP(F7655,CARTON_LOOKUP!$A:$E,2,0),"")</f>
      </c>
      <c r="K7655" s="29">
        <f>IFERROR(J7655*D7655,0)</f>
      </c>
      <c r="L7655" s="29">
        <f>IFERROR(E7655*C7655,0)</f>
      </c>
      <c r="M7655" s="29">
        <f>IFERROR((G7655*H7655*I7655/1000000)*D7655,0)</f>
      </c>
    </row>
    <row r="7656" spans="1:13" x14ac:dyDescent="0.25">
      <c r="A7656" s="16"/>
      <c r="E7656" s="27"/>
      <c r="F7656" t="s">
        <v>26</v>
      </c>
      <c r="G7656" s="28">
        <f>IFERROR(VLOOKUP(F7656,CARTON_LOOKUP!$A:$E,3,0),"")</f>
      </c>
      <c r="H7656" s="28">
        <f>IFERROR(VLOOKUP(F7656,CARTON_LOOKUP!$A:$E,4,0),"")</f>
      </c>
      <c r="I7656" s="28">
        <f>IFERROR(VLOOKUP(F7656,CARTON_LOOKUP!$A:$E,5,0),"")</f>
      </c>
      <c r="J7656" s="29">
        <f>IFERROR(VLOOKUP(F7656,CARTON_LOOKUP!$A:$E,2,0),"")</f>
      </c>
      <c r="K7656" s="29">
        <f>IFERROR(J7656*D7656,0)</f>
      </c>
      <c r="L7656" s="29">
        <f>IFERROR(E7656*C7656,0)</f>
      </c>
      <c r="M7656" s="29">
        <f>IFERROR((G7656*H7656*I7656/1000000)*D7656,0)</f>
      </c>
    </row>
    <row r="7657" spans="1:13" x14ac:dyDescent="0.25">
      <c r="A7657" s="16"/>
      <c r="E7657" s="27"/>
      <c r="F7657" t="s">
        <v>26</v>
      </c>
      <c r="G7657" s="28">
        <f>IFERROR(VLOOKUP(F7657,CARTON_LOOKUP!$A:$E,3,0),"")</f>
      </c>
      <c r="H7657" s="28">
        <f>IFERROR(VLOOKUP(F7657,CARTON_LOOKUP!$A:$E,4,0),"")</f>
      </c>
      <c r="I7657" s="28">
        <f>IFERROR(VLOOKUP(F7657,CARTON_LOOKUP!$A:$E,5,0),"")</f>
      </c>
      <c r="J7657" s="29">
        <f>IFERROR(VLOOKUP(F7657,CARTON_LOOKUP!$A:$E,2,0),"")</f>
      </c>
      <c r="K7657" s="29">
        <f>IFERROR(J7657*D7657,0)</f>
      </c>
      <c r="L7657" s="29">
        <f>IFERROR(E7657*C7657,0)</f>
      </c>
      <c r="M7657" s="29">
        <f>IFERROR((G7657*H7657*I7657/1000000)*D7657,0)</f>
      </c>
    </row>
    <row r="7658" spans="1:13" x14ac:dyDescent="0.25">
      <c r="A7658" s="16"/>
      <c r="E7658" s="27"/>
      <c r="F7658" t="s">
        <v>26</v>
      </c>
      <c r="G7658" s="28">
        <f>IFERROR(VLOOKUP(F7658,CARTON_LOOKUP!$A:$E,3,0),"")</f>
      </c>
      <c r="H7658" s="28">
        <f>IFERROR(VLOOKUP(F7658,CARTON_LOOKUP!$A:$E,4,0),"")</f>
      </c>
      <c r="I7658" s="28">
        <f>IFERROR(VLOOKUP(F7658,CARTON_LOOKUP!$A:$E,5,0),"")</f>
      </c>
      <c r="J7658" s="29">
        <f>IFERROR(VLOOKUP(F7658,CARTON_LOOKUP!$A:$E,2,0),"")</f>
      </c>
      <c r="K7658" s="29">
        <f>IFERROR(J7658*D7658,0)</f>
      </c>
      <c r="L7658" s="29">
        <f>IFERROR(E7658*C7658,0)</f>
      </c>
      <c r="M7658" s="29">
        <f>IFERROR((G7658*H7658*I7658/1000000)*D7658,0)</f>
      </c>
    </row>
    <row r="7659" spans="1:13" x14ac:dyDescent="0.25">
      <c r="A7659" s="16"/>
      <c r="E7659" s="27"/>
      <c r="F7659" t="s">
        <v>26</v>
      </c>
      <c r="G7659" s="28">
        <f>IFERROR(VLOOKUP(F7659,CARTON_LOOKUP!$A:$E,3,0),"")</f>
      </c>
      <c r="H7659" s="28">
        <f>IFERROR(VLOOKUP(F7659,CARTON_LOOKUP!$A:$E,4,0),"")</f>
      </c>
      <c r="I7659" s="28">
        <f>IFERROR(VLOOKUP(F7659,CARTON_LOOKUP!$A:$E,5,0),"")</f>
      </c>
      <c r="J7659" s="29">
        <f>IFERROR(VLOOKUP(F7659,CARTON_LOOKUP!$A:$E,2,0),"")</f>
      </c>
      <c r="K7659" s="29">
        <f>IFERROR(J7659*D7659,0)</f>
      </c>
      <c r="L7659" s="29">
        <f>IFERROR(E7659*C7659,0)</f>
      </c>
      <c r="M7659" s="29">
        <f>IFERROR((G7659*H7659*I7659/1000000)*D7659,0)</f>
      </c>
    </row>
    <row r="7660" spans="1:13" x14ac:dyDescent="0.25">
      <c r="A7660" s="16"/>
      <c r="E7660" s="27"/>
      <c r="F7660" t="s">
        <v>26</v>
      </c>
      <c r="G7660" s="28">
        <f>IFERROR(VLOOKUP(F7660,CARTON_LOOKUP!$A:$E,3,0),"")</f>
      </c>
      <c r="H7660" s="28">
        <f>IFERROR(VLOOKUP(F7660,CARTON_LOOKUP!$A:$E,4,0),"")</f>
      </c>
      <c r="I7660" s="28">
        <f>IFERROR(VLOOKUP(F7660,CARTON_LOOKUP!$A:$E,5,0),"")</f>
      </c>
      <c r="J7660" s="29">
        <f>IFERROR(VLOOKUP(F7660,CARTON_LOOKUP!$A:$E,2,0),"")</f>
      </c>
      <c r="K7660" s="29">
        <f>IFERROR(J7660*D7660,0)</f>
      </c>
      <c r="L7660" s="29">
        <f>IFERROR(E7660*C7660,0)</f>
      </c>
      <c r="M7660" s="29">
        <f>IFERROR((G7660*H7660*I7660/1000000)*D7660,0)</f>
      </c>
    </row>
    <row r="7661" spans="1:13" x14ac:dyDescent="0.25">
      <c r="A7661" s="16"/>
      <c r="E7661" s="27"/>
      <c r="F7661" t="s">
        <v>26</v>
      </c>
      <c r="G7661" s="28">
        <f>IFERROR(VLOOKUP(F7661,CARTON_LOOKUP!$A:$E,3,0),"")</f>
      </c>
      <c r="H7661" s="28">
        <f>IFERROR(VLOOKUP(F7661,CARTON_LOOKUP!$A:$E,4,0),"")</f>
      </c>
      <c r="I7661" s="28">
        <f>IFERROR(VLOOKUP(F7661,CARTON_LOOKUP!$A:$E,5,0),"")</f>
      </c>
      <c r="J7661" s="29">
        <f>IFERROR(VLOOKUP(F7661,CARTON_LOOKUP!$A:$E,2,0),"")</f>
      </c>
      <c r="K7661" s="29">
        <f>IFERROR(J7661*D7661,0)</f>
      </c>
      <c r="L7661" s="29">
        <f>IFERROR(E7661*C7661,0)</f>
      </c>
      <c r="M7661" s="29">
        <f>IFERROR((G7661*H7661*I7661/1000000)*D7661,0)</f>
      </c>
    </row>
    <row r="7662" spans="1:13" x14ac:dyDescent="0.25">
      <c r="A7662" s="16"/>
      <c r="E7662" s="27"/>
      <c r="F7662" t="s">
        <v>26</v>
      </c>
      <c r="G7662" s="28">
        <f>IFERROR(VLOOKUP(F7662,CARTON_LOOKUP!$A:$E,3,0),"")</f>
      </c>
      <c r="H7662" s="28">
        <f>IFERROR(VLOOKUP(F7662,CARTON_LOOKUP!$A:$E,4,0),"")</f>
      </c>
      <c r="I7662" s="28">
        <f>IFERROR(VLOOKUP(F7662,CARTON_LOOKUP!$A:$E,5,0),"")</f>
      </c>
      <c r="J7662" s="29">
        <f>IFERROR(VLOOKUP(F7662,CARTON_LOOKUP!$A:$E,2,0),"")</f>
      </c>
      <c r="K7662" s="29">
        <f>IFERROR(J7662*D7662,0)</f>
      </c>
      <c r="L7662" s="29">
        <f>IFERROR(E7662*C7662,0)</f>
      </c>
      <c r="M7662" s="29">
        <f>IFERROR((G7662*H7662*I7662/1000000)*D7662,0)</f>
      </c>
    </row>
    <row r="7663" spans="1:13" x14ac:dyDescent="0.25">
      <c r="A7663" s="16"/>
      <c r="E7663" s="27"/>
      <c r="F7663" t="s">
        <v>26</v>
      </c>
      <c r="G7663" s="28">
        <f>IFERROR(VLOOKUP(F7663,CARTON_LOOKUP!$A:$E,3,0),"")</f>
      </c>
      <c r="H7663" s="28">
        <f>IFERROR(VLOOKUP(F7663,CARTON_LOOKUP!$A:$E,4,0),"")</f>
      </c>
      <c r="I7663" s="28">
        <f>IFERROR(VLOOKUP(F7663,CARTON_LOOKUP!$A:$E,5,0),"")</f>
      </c>
      <c r="J7663" s="29">
        <f>IFERROR(VLOOKUP(F7663,CARTON_LOOKUP!$A:$E,2,0),"")</f>
      </c>
      <c r="K7663" s="29">
        <f>IFERROR(J7663*D7663,0)</f>
      </c>
      <c r="L7663" s="29">
        <f>IFERROR(E7663*C7663,0)</f>
      </c>
      <c r="M7663" s="29">
        <f>IFERROR((G7663*H7663*I7663/1000000)*D7663,0)</f>
      </c>
    </row>
    <row r="7664" spans="1:13" x14ac:dyDescent="0.25">
      <c r="A7664" s="16"/>
      <c r="E7664" s="27"/>
      <c r="F7664" t="s">
        <v>26</v>
      </c>
      <c r="G7664" s="28">
        <f>IFERROR(VLOOKUP(F7664,CARTON_LOOKUP!$A:$E,3,0),"")</f>
      </c>
      <c r="H7664" s="28">
        <f>IFERROR(VLOOKUP(F7664,CARTON_LOOKUP!$A:$E,4,0),"")</f>
      </c>
      <c r="I7664" s="28">
        <f>IFERROR(VLOOKUP(F7664,CARTON_LOOKUP!$A:$E,5,0),"")</f>
      </c>
      <c r="J7664" s="29">
        <f>IFERROR(VLOOKUP(F7664,CARTON_LOOKUP!$A:$E,2,0),"")</f>
      </c>
      <c r="K7664" s="29">
        <f>IFERROR(J7664*D7664,0)</f>
      </c>
      <c r="L7664" s="29">
        <f>IFERROR(E7664*C7664,0)</f>
      </c>
      <c r="M7664" s="29">
        <f>IFERROR((G7664*H7664*I7664/1000000)*D7664,0)</f>
      </c>
    </row>
    <row r="7665" spans="1:13" x14ac:dyDescent="0.25">
      <c r="A7665" s="16"/>
      <c r="E7665" s="27"/>
      <c r="F7665" t="s">
        <v>26</v>
      </c>
      <c r="G7665" s="28">
        <f>IFERROR(VLOOKUP(F7665,CARTON_LOOKUP!$A:$E,3,0),"")</f>
      </c>
      <c r="H7665" s="28">
        <f>IFERROR(VLOOKUP(F7665,CARTON_LOOKUP!$A:$E,4,0),"")</f>
      </c>
      <c r="I7665" s="28">
        <f>IFERROR(VLOOKUP(F7665,CARTON_LOOKUP!$A:$E,5,0),"")</f>
      </c>
      <c r="J7665" s="29">
        <f>IFERROR(VLOOKUP(F7665,CARTON_LOOKUP!$A:$E,2,0),"")</f>
      </c>
      <c r="K7665" s="29">
        <f>IFERROR(J7665*D7665,0)</f>
      </c>
      <c r="L7665" s="29">
        <f>IFERROR(E7665*C7665,0)</f>
      </c>
      <c r="M7665" s="29">
        <f>IFERROR((G7665*H7665*I7665/1000000)*D7665,0)</f>
      </c>
    </row>
    <row r="7666" spans="1:13" x14ac:dyDescent="0.25">
      <c r="A7666" s="16"/>
      <c r="E7666" s="27"/>
      <c r="F7666" t="s">
        <v>26</v>
      </c>
      <c r="G7666" s="28">
        <f>IFERROR(VLOOKUP(F7666,CARTON_LOOKUP!$A:$E,3,0),"")</f>
      </c>
      <c r="H7666" s="28">
        <f>IFERROR(VLOOKUP(F7666,CARTON_LOOKUP!$A:$E,4,0),"")</f>
      </c>
      <c r="I7666" s="28">
        <f>IFERROR(VLOOKUP(F7666,CARTON_LOOKUP!$A:$E,5,0),"")</f>
      </c>
      <c r="J7666" s="29">
        <f>IFERROR(VLOOKUP(F7666,CARTON_LOOKUP!$A:$E,2,0),"")</f>
      </c>
      <c r="K7666" s="29">
        <f>IFERROR(J7666*D7666,0)</f>
      </c>
      <c r="L7666" s="29">
        <f>IFERROR(E7666*C7666,0)</f>
      </c>
      <c r="M7666" s="29">
        <f>IFERROR((G7666*H7666*I7666/1000000)*D7666,0)</f>
      </c>
    </row>
    <row r="7667" spans="1:13" x14ac:dyDescent="0.25">
      <c r="A7667" s="16"/>
      <c r="E7667" s="27"/>
      <c r="F7667" t="s">
        <v>26</v>
      </c>
      <c r="G7667" s="28">
        <f>IFERROR(VLOOKUP(F7667,CARTON_LOOKUP!$A:$E,3,0),"")</f>
      </c>
      <c r="H7667" s="28">
        <f>IFERROR(VLOOKUP(F7667,CARTON_LOOKUP!$A:$E,4,0),"")</f>
      </c>
      <c r="I7667" s="28">
        <f>IFERROR(VLOOKUP(F7667,CARTON_LOOKUP!$A:$E,5,0),"")</f>
      </c>
      <c r="J7667" s="29">
        <f>IFERROR(VLOOKUP(F7667,CARTON_LOOKUP!$A:$E,2,0),"")</f>
      </c>
      <c r="K7667" s="29">
        <f>IFERROR(J7667*D7667,0)</f>
      </c>
      <c r="L7667" s="29">
        <f>IFERROR(E7667*C7667,0)</f>
      </c>
      <c r="M7667" s="29">
        <f>IFERROR((G7667*H7667*I7667/1000000)*D7667,0)</f>
      </c>
    </row>
    <row r="7668" spans="1:13" x14ac:dyDescent="0.25">
      <c r="A7668" s="16"/>
      <c r="E7668" s="27"/>
      <c r="F7668" t="s">
        <v>26</v>
      </c>
      <c r="G7668" s="28">
        <f>IFERROR(VLOOKUP(F7668,CARTON_LOOKUP!$A:$E,3,0),"")</f>
      </c>
      <c r="H7668" s="28">
        <f>IFERROR(VLOOKUP(F7668,CARTON_LOOKUP!$A:$E,4,0),"")</f>
      </c>
      <c r="I7668" s="28">
        <f>IFERROR(VLOOKUP(F7668,CARTON_LOOKUP!$A:$E,5,0),"")</f>
      </c>
      <c r="J7668" s="29">
        <f>IFERROR(VLOOKUP(F7668,CARTON_LOOKUP!$A:$E,2,0),"")</f>
      </c>
      <c r="K7668" s="29">
        <f>IFERROR(J7668*D7668,0)</f>
      </c>
      <c r="L7668" s="29">
        <f>IFERROR(E7668*C7668,0)</f>
      </c>
      <c r="M7668" s="29">
        <f>IFERROR((G7668*H7668*I7668/1000000)*D7668,0)</f>
      </c>
    </row>
    <row r="7669" spans="1:13" x14ac:dyDescent="0.25">
      <c r="A7669" s="16"/>
      <c r="E7669" s="27"/>
      <c r="F7669" t="s">
        <v>26</v>
      </c>
      <c r="G7669" s="28">
        <f>IFERROR(VLOOKUP(F7669,CARTON_LOOKUP!$A:$E,3,0),"")</f>
      </c>
      <c r="H7669" s="28">
        <f>IFERROR(VLOOKUP(F7669,CARTON_LOOKUP!$A:$E,4,0),"")</f>
      </c>
      <c r="I7669" s="28">
        <f>IFERROR(VLOOKUP(F7669,CARTON_LOOKUP!$A:$E,5,0),"")</f>
      </c>
      <c r="J7669" s="29">
        <f>IFERROR(VLOOKUP(F7669,CARTON_LOOKUP!$A:$E,2,0),"")</f>
      </c>
      <c r="K7669" s="29">
        <f>IFERROR(J7669*D7669,0)</f>
      </c>
      <c r="L7669" s="29">
        <f>IFERROR(E7669*C7669,0)</f>
      </c>
      <c r="M7669" s="29">
        <f>IFERROR((G7669*H7669*I7669/1000000)*D7669,0)</f>
      </c>
    </row>
    <row r="7670" spans="1:13" x14ac:dyDescent="0.25">
      <c r="A7670" s="16"/>
      <c r="E7670" s="27"/>
      <c r="F7670" t="s">
        <v>26</v>
      </c>
      <c r="G7670" s="28">
        <f>IFERROR(VLOOKUP(F7670,CARTON_LOOKUP!$A:$E,3,0),"")</f>
      </c>
      <c r="H7670" s="28">
        <f>IFERROR(VLOOKUP(F7670,CARTON_LOOKUP!$A:$E,4,0),"")</f>
      </c>
      <c r="I7670" s="28">
        <f>IFERROR(VLOOKUP(F7670,CARTON_LOOKUP!$A:$E,5,0),"")</f>
      </c>
      <c r="J7670" s="29">
        <f>IFERROR(VLOOKUP(F7670,CARTON_LOOKUP!$A:$E,2,0),"")</f>
      </c>
      <c r="K7670" s="29">
        <f>IFERROR(J7670*D7670,0)</f>
      </c>
      <c r="L7670" s="29">
        <f>IFERROR(E7670*C7670,0)</f>
      </c>
      <c r="M7670" s="29">
        <f>IFERROR((G7670*H7670*I7670/1000000)*D7670,0)</f>
      </c>
    </row>
    <row r="7671" spans="1:13" x14ac:dyDescent="0.25">
      <c r="A7671" s="16"/>
      <c r="E7671" s="27"/>
      <c r="F7671" t="s">
        <v>26</v>
      </c>
      <c r="G7671" s="28">
        <f>IFERROR(VLOOKUP(F7671,CARTON_LOOKUP!$A:$E,3,0),"")</f>
      </c>
      <c r="H7671" s="28">
        <f>IFERROR(VLOOKUP(F7671,CARTON_LOOKUP!$A:$E,4,0),"")</f>
      </c>
      <c r="I7671" s="28">
        <f>IFERROR(VLOOKUP(F7671,CARTON_LOOKUP!$A:$E,5,0),"")</f>
      </c>
      <c r="J7671" s="29">
        <f>IFERROR(VLOOKUP(F7671,CARTON_LOOKUP!$A:$E,2,0),"")</f>
      </c>
      <c r="K7671" s="29">
        <f>IFERROR(J7671*D7671,0)</f>
      </c>
      <c r="L7671" s="29">
        <f>IFERROR(E7671*C7671,0)</f>
      </c>
      <c r="M7671" s="29">
        <f>IFERROR((G7671*H7671*I7671/1000000)*D7671,0)</f>
      </c>
    </row>
    <row r="7672" spans="1:13" x14ac:dyDescent="0.25">
      <c r="A7672" s="16"/>
      <c r="E7672" s="27"/>
      <c r="F7672" t="s">
        <v>26</v>
      </c>
      <c r="G7672" s="28">
        <f>IFERROR(VLOOKUP(F7672,CARTON_LOOKUP!$A:$E,3,0),"")</f>
      </c>
      <c r="H7672" s="28">
        <f>IFERROR(VLOOKUP(F7672,CARTON_LOOKUP!$A:$E,4,0),"")</f>
      </c>
      <c r="I7672" s="28">
        <f>IFERROR(VLOOKUP(F7672,CARTON_LOOKUP!$A:$E,5,0),"")</f>
      </c>
      <c r="J7672" s="29">
        <f>IFERROR(VLOOKUP(F7672,CARTON_LOOKUP!$A:$E,2,0),"")</f>
      </c>
      <c r="K7672" s="29">
        <f>IFERROR(J7672*D7672,0)</f>
      </c>
      <c r="L7672" s="29">
        <f>IFERROR(E7672*C7672,0)</f>
      </c>
      <c r="M7672" s="29">
        <f>IFERROR((G7672*H7672*I7672/1000000)*D7672,0)</f>
      </c>
    </row>
    <row r="7673" spans="1:13" x14ac:dyDescent="0.25">
      <c r="A7673" s="16"/>
      <c r="E7673" s="27"/>
      <c r="F7673" t="s">
        <v>26</v>
      </c>
      <c r="G7673" s="28">
        <f>IFERROR(VLOOKUP(F7673,CARTON_LOOKUP!$A:$E,3,0),"")</f>
      </c>
      <c r="H7673" s="28">
        <f>IFERROR(VLOOKUP(F7673,CARTON_LOOKUP!$A:$E,4,0),"")</f>
      </c>
      <c r="I7673" s="28">
        <f>IFERROR(VLOOKUP(F7673,CARTON_LOOKUP!$A:$E,5,0),"")</f>
      </c>
      <c r="J7673" s="29">
        <f>IFERROR(VLOOKUP(F7673,CARTON_LOOKUP!$A:$E,2,0),"")</f>
      </c>
      <c r="K7673" s="29">
        <f>IFERROR(J7673*D7673,0)</f>
      </c>
      <c r="L7673" s="29">
        <f>IFERROR(E7673*C7673,0)</f>
      </c>
      <c r="M7673" s="29">
        <f>IFERROR((G7673*H7673*I7673/1000000)*D7673,0)</f>
      </c>
    </row>
    <row r="7674" spans="1:13" x14ac:dyDescent="0.25">
      <c r="A7674" s="16"/>
      <c r="E7674" s="27"/>
      <c r="F7674" t="s">
        <v>26</v>
      </c>
      <c r="G7674" s="28">
        <f>IFERROR(VLOOKUP(F7674,CARTON_LOOKUP!$A:$E,3,0),"")</f>
      </c>
      <c r="H7674" s="28">
        <f>IFERROR(VLOOKUP(F7674,CARTON_LOOKUP!$A:$E,4,0),"")</f>
      </c>
      <c r="I7674" s="28">
        <f>IFERROR(VLOOKUP(F7674,CARTON_LOOKUP!$A:$E,5,0),"")</f>
      </c>
      <c r="J7674" s="29">
        <f>IFERROR(VLOOKUP(F7674,CARTON_LOOKUP!$A:$E,2,0),"")</f>
      </c>
      <c r="K7674" s="29">
        <f>IFERROR(J7674*D7674,0)</f>
      </c>
      <c r="L7674" s="29">
        <f>IFERROR(E7674*C7674,0)</f>
      </c>
      <c r="M7674" s="29">
        <f>IFERROR((G7674*H7674*I7674/1000000)*D7674,0)</f>
      </c>
    </row>
    <row r="7675" spans="1:13" x14ac:dyDescent="0.25">
      <c r="A7675" s="16"/>
      <c r="E7675" s="27"/>
      <c r="F7675" t="s">
        <v>26</v>
      </c>
      <c r="G7675" s="28">
        <f>IFERROR(VLOOKUP(F7675,CARTON_LOOKUP!$A:$E,3,0),"")</f>
      </c>
      <c r="H7675" s="28">
        <f>IFERROR(VLOOKUP(F7675,CARTON_LOOKUP!$A:$E,4,0),"")</f>
      </c>
      <c r="I7675" s="28">
        <f>IFERROR(VLOOKUP(F7675,CARTON_LOOKUP!$A:$E,5,0),"")</f>
      </c>
      <c r="J7675" s="29">
        <f>IFERROR(VLOOKUP(F7675,CARTON_LOOKUP!$A:$E,2,0),"")</f>
      </c>
      <c r="K7675" s="29">
        <f>IFERROR(J7675*D7675,0)</f>
      </c>
      <c r="L7675" s="29">
        <f>IFERROR(E7675*C7675,0)</f>
      </c>
      <c r="M7675" s="29">
        <f>IFERROR((G7675*H7675*I7675/1000000)*D7675,0)</f>
      </c>
    </row>
    <row r="7676" spans="1:13" x14ac:dyDescent="0.25">
      <c r="A7676" s="16"/>
      <c r="E7676" s="27"/>
      <c r="F7676" t="s">
        <v>26</v>
      </c>
      <c r="G7676" s="28">
        <f>IFERROR(VLOOKUP(F7676,CARTON_LOOKUP!$A:$E,3,0),"")</f>
      </c>
      <c r="H7676" s="28">
        <f>IFERROR(VLOOKUP(F7676,CARTON_LOOKUP!$A:$E,4,0),"")</f>
      </c>
      <c r="I7676" s="28">
        <f>IFERROR(VLOOKUP(F7676,CARTON_LOOKUP!$A:$E,5,0),"")</f>
      </c>
      <c r="J7676" s="29">
        <f>IFERROR(VLOOKUP(F7676,CARTON_LOOKUP!$A:$E,2,0),"")</f>
      </c>
      <c r="K7676" s="29">
        <f>IFERROR(J7676*D7676,0)</f>
      </c>
      <c r="L7676" s="29">
        <f>IFERROR(E7676*C7676,0)</f>
      </c>
      <c r="M7676" s="29">
        <f>IFERROR((G7676*H7676*I7676/1000000)*D7676,0)</f>
      </c>
    </row>
    <row r="7677" spans="1:13" x14ac:dyDescent="0.25">
      <c r="A7677" s="16"/>
      <c r="E7677" s="27"/>
      <c r="F7677" t="s">
        <v>26</v>
      </c>
      <c r="G7677" s="28">
        <f>IFERROR(VLOOKUP(F7677,CARTON_LOOKUP!$A:$E,3,0),"")</f>
      </c>
      <c r="H7677" s="28">
        <f>IFERROR(VLOOKUP(F7677,CARTON_LOOKUP!$A:$E,4,0),"")</f>
      </c>
      <c r="I7677" s="28">
        <f>IFERROR(VLOOKUP(F7677,CARTON_LOOKUP!$A:$E,5,0),"")</f>
      </c>
      <c r="J7677" s="29">
        <f>IFERROR(VLOOKUP(F7677,CARTON_LOOKUP!$A:$E,2,0),"")</f>
      </c>
      <c r="K7677" s="29">
        <f>IFERROR(J7677*D7677,0)</f>
      </c>
      <c r="L7677" s="29">
        <f>IFERROR(E7677*C7677,0)</f>
      </c>
      <c r="M7677" s="29">
        <f>IFERROR((G7677*H7677*I7677/1000000)*D7677,0)</f>
      </c>
    </row>
    <row r="7678" spans="1:13" x14ac:dyDescent="0.25">
      <c r="A7678" s="16"/>
      <c r="E7678" s="27"/>
      <c r="F7678" t="s">
        <v>26</v>
      </c>
      <c r="G7678" s="28">
        <f>IFERROR(VLOOKUP(F7678,CARTON_LOOKUP!$A:$E,3,0),"")</f>
      </c>
      <c r="H7678" s="28">
        <f>IFERROR(VLOOKUP(F7678,CARTON_LOOKUP!$A:$E,4,0),"")</f>
      </c>
      <c r="I7678" s="28">
        <f>IFERROR(VLOOKUP(F7678,CARTON_LOOKUP!$A:$E,5,0),"")</f>
      </c>
      <c r="J7678" s="29">
        <f>IFERROR(VLOOKUP(F7678,CARTON_LOOKUP!$A:$E,2,0),"")</f>
      </c>
      <c r="K7678" s="29">
        <f>IFERROR(J7678*D7678,0)</f>
      </c>
      <c r="L7678" s="29">
        <f>IFERROR(E7678*C7678,0)</f>
      </c>
      <c r="M7678" s="29">
        <f>IFERROR((G7678*H7678*I7678/1000000)*D7678,0)</f>
      </c>
    </row>
    <row r="7679" spans="1:13" x14ac:dyDescent="0.25">
      <c r="A7679" s="16"/>
      <c r="E7679" s="27"/>
      <c r="F7679" t="s">
        <v>26</v>
      </c>
      <c r="G7679" s="28">
        <f>IFERROR(VLOOKUP(F7679,CARTON_LOOKUP!$A:$E,3,0),"")</f>
      </c>
      <c r="H7679" s="28">
        <f>IFERROR(VLOOKUP(F7679,CARTON_LOOKUP!$A:$E,4,0),"")</f>
      </c>
      <c r="I7679" s="28">
        <f>IFERROR(VLOOKUP(F7679,CARTON_LOOKUP!$A:$E,5,0),"")</f>
      </c>
      <c r="J7679" s="29">
        <f>IFERROR(VLOOKUP(F7679,CARTON_LOOKUP!$A:$E,2,0),"")</f>
      </c>
      <c r="K7679" s="29">
        <f>IFERROR(J7679*D7679,0)</f>
      </c>
      <c r="L7679" s="29">
        <f>IFERROR(E7679*C7679,0)</f>
      </c>
      <c r="M7679" s="29">
        <f>IFERROR((G7679*H7679*I7679/1000000)*D7679,0)</f>
      </c>
    </row>
    <row r="7680" spans="1:13" x14ac:dyDescent="0.25">
      <c r="A7680" s="16"/>
      <c r="E7680" s="27"/>
      <c r="F7680" t="s">
        <v>26</v>
      </c>
      <c r="G7680" s="28">
        <f>IFERROR(VLOOKUP(F7680,CARTON_LOOKUP!$A:$E,3,0),"")</f>
      </c>
      <c r="H7680" s="28">
        <f>IFERROR(VLOOKUP(F7680,CARTON_LOOKUP!$A:$E,4,0),"")</f>
      </c>
      <c r="I7680" s="28">
        <f>IFERROR(VLOOKUP(F7680,CARTON_LOOKUP!$A:$E,5,0),"")</f>
      </c>
      <c r="J7680" s="29">
        <f>IFERROR(VLOOKUP(F7680,CARTON_LOOKUP!$A:$E,2,0),"")</f>
      </c>
      <c r="K7680" s="29">
        <f>IFERROR(J7680*D7680,0)</f>
      </c>
      <c r="L7680" s="29">
        <f>IFERROR(E7680*C7680,0)</f>
      </c>
      <c r="M7680" s="29">
        <f>IFERROR((G7680*H7680*I7680/1000000)*D7680,0)</f>
      </c>
    </row>
    <row r="7681" spans="1:13" x14ac:dyDescent="0.25">
      <c r="A7681" s="16"/>
      <c r="E7681" s="27"/>
      <c r="F7681" t="s">
        <v>26</v>
      </c>
      <c r="G7681" s="28">
        <f>IFERROR(VLOOKUP(F7681,CARTON_LOOKUP!$A:$E,3,0),"")</f>
      </c>
      <c r="H7681" s="28">
        <f>IFERROR(VLOOKUP(F7681,CARTON_LOOKUP!$A:$E,4,0),"")</f>
      </c>
      <c r="I7681" s="28">
        <f>IFERROR(VLOOKUP(F7681,CARTON_LOOKUP!$A:$E,5,0),"")</f>
      </c>
      <c r="J7681" s="29">
        <f>IFERROR(VLOOKUP(F7681,CARTON_LOOKUP!$A:$E,2,0),"")</f>
      </c>
      <c r="K7681" s="29">
        <f>IFERROR(J7681*D7681,0)</f>
      </c>
      <c r="L7681" s="29">
        <f>IFERROR(E7681*C7681,0)</f>
      </c>
      <c r="M7681" s="29">
        <f>IFERROR((G7681*H7681*I7681/1000000)*D7681,0)</f>
      </c>
    </row>
    <row r="7682" spans="1:13" x14ac:dyDescent="0.25">
      <c r="A7682" s="16"/>
      <c r="E7682" s="27"/>
      <c r="F7682" t="s">
        <v>26</v>
      </c>
      <c r="G7682" s="28">
        <f>IFERROR(VLOOKUP(F7682,CARTON_LOOKUP!$A:$E,3,0),"")</f>
      </c>
      <c r="H7682" s="28">
        <f>IFERROR(VLOOKUP(F7682,CARTON_LOOKUP!$A:$E,4,0),"")</f>
      </c>
      <c r="I7682" s="28">
        <f>IFERROR(VLOOKUP(F7682,CARTON_LOOKUP!$A:$E,5,0),"")</f>
      </c>
      <c r="J7682" s="29">
        <f>IFERROR(VLOOKUP(F7682,CARTON_LOOKUP!$A:$E,2,0),"")</f>
      </c>
      <c r="K7682" s="29">
        <f>IFERROR(J7682*D7682,0)</f>
      </c>
      <c r="L7682" s="29">
        <f>IFERROR(E7682*C7682,0)</f>
      </c>
      <c r="M7682" s="29">
        <f>IFERROR((G7682*H7682*I7682/1000000)*D7682,0)</f>
      </c>
    </row>
    <row r="7683" spans="1:13" x14ac:dyDescent="0.25">
      <c r="A7683" s="16"/>
      <c r="E7683" s="27"/>
      <c r="F7683" t="s">
        <v>26</v>
      </c>
      <c r="G7683" s="28">
        <f>IFERROR(VLOOKUP(F7683,CARTON_LOOKUP!$A:$E,3,0),"")</f>
      </c>
      <c r="H7683" s="28">
        <f>IFERROR(VLOOKUP(F7683,CARTON_LOOKUP!$A:$E,4,0),"")</f>
      </c>
      <c r="I7683" s="28">
        <f>IFERROR(VLOOKUP(F7683,CARTON_LOOKUP!$A:$E,5,0),"")</f>
      </c>
      <c r="J7683" s="29">
        <f>IFERROR(VLOOKUP(F7683,CARTON_LOOKUP!$A:$E,2,0),"")</f>
      </c>
      <c r="K7683" s="29">
        <f>IFERROR(J7683*D7683,0)</f>
      </c>
      <c r="L7683" s="29">
        <f>IFERROR(E7683*C7683,0)</f>
      </c>
      <c r="M7683" s="29">
        <f>IFERROR((G7683*H7683*I7683/1000000)*D7683,0)</f>
      </c>
    </row>
    <row r="7684" spans="1:13" x14ac:dyDescent="0.25">
      <c r="A7684" s="16"/>
      <c r="E7684" s="27"/>
      <c r="F7684" t="s">
        <v>26</v>
      </c>
      <c r="G7684" s="28">
        <f>IFERROR(VLOOKUP(F7684,CARTON_LOOKUP!$A:$E,3,0),"")</f>
      </c>
      <c r="H7684" s="28">
        <f>IFERROR(VLOOKUP(F7684,CARTON_LOOKUP!$A:$E,4,0),"")</f>
      </c>
      <c r="I7684" s="28">
        <f>IFERROR(VLOOKUP(F7684,CARTON_LOOKUP!$A:$E,5,0),"")</f>
      </c>
      <c r="J7684" s="29">
        <f>IFERROR(VLOOKUP(F7684,CARTON_LOOKUP!$A:$E,2,0),"")</f>
      </c>
      <c r="K7684" s="29">
        <f>IFERROR(J7684*D7684,0)</f>
      </c>
      <c r="L7684" s="29">
        <f>IFERROR(E7684*C7684,0)</f>
      </c>
      <c r="M7684" s="29">
        <f>IFERROR((G7684*H7684*I7684/1000000)*D7684,0)</f>
      </c>
    </row>
    <row r="7685" spans="1:13" x14ac:dyDescent="0.25">
      <c r="A7685" s="16"/>
      <c r="E7685" s="27"/>
      <c r="F7685" t="s">
        <v>26</v>
      </c>
      <c r="G7685" s="28">
        <f>IFERROR(VLOOKUP(F7685,CARTON_LOOKUP!$A:$E,3,0),"")</f>
      </c>
      <c r="H7685" s="28">
        <f>IFERROR(VLOOKUP(F7685,CARTON_LOOKUP!$A:$E,4,0),"")</f>
      </c>
      <c r="I7685" s="28">
        <f>IFERROR(VLOOKUP(F7685,CARTON_LOOKUP!$A:$E,5,0),"")</f>
      </c>
      <c r="J7685" s="29">
        <f>IFERROR(VLOOKUP(F7685,CARTON_LOOKUP!$A:$E,2,0),"")</f>
      </c>
      <c r="K7685" s="29">
        <f>IFERROR(J7685*D7685,0)</f>
      </c>
      <c r="L7685" s="29">
        <f>IFERROR(E7685*C7685,0)</f>
      </c>
      <c r="M7685" s="29">
        <f>IFERROR((G7685*H7685*I7685/1000000)*D7685,0)</f>
      </c>
    </row>
    <row r="7686" spans="1:13" x14ac:dyDescent="0.25">
      <c r="A7686" s="16"/>
      <c r="E7686" s="27"/>
      <c r="F7686" t="s">
        <v>26</v>
      </c>
      <c r="G7686" s="28">
        <f>IFERROR(VLOOKUP(F7686,CARTON_LOOKUP!$A:$E,3,0),"")</f>
      </c>
      <c r="H7686" s="28">
        <f>IFERROR(VLOOKUP(F7686,CARTON_LOOKUP!$A:$E,4,0),"")</f>
      </c>
      <c r="I7686" s="28">
        <f>IFERROR(VLOOKUP(F7686,CARTON_LOOKUP!$A:$E,5,0),"")</f>
      </c>
      <c r="J7686" s="29">
        <f>IFERROR(VLOOKUP(F7686,CARTON_LOOKUP!$A:$E,2,0),"")</f>
      </c>
      <c r="K7686" s="29">
        <f>IFERROR(J7686*D7686,0)</f>
      </c>
      <c r="L7686" s="29">
        <f>IFERROR(E7686*C7686,0)</f>
      </c>
      <c r="M7686" s="29">
        <f>IFERROR((G7686*H7686*I7686/1000000)*D7686,0)</f>
      </c>
    </row>
    <row r="7687" spans="1:13" x14ac:dyDescent="0.25">
      <c r="A7687" s="16"/>
      <c r="E7687" s="27"/>
      <c r="F7687" t="s">
        <v>26</v>
      </c>
      <c r="G7687" s="28">
        <f>IFERROR(VLOOKUP(F7687,CARTON_LOOKUP!$A:$E,3,0),"")</f>
      </c>
      <c r="H7687" s="28">
        <f>IFERROR(VLOOKUP(F7687,CARTON_LOOKUP!$A:$E,4,0),"")</f>
      </c>
      <c r="I7687" s="28">
        <f>IFERROR(VLOOKUP(F7687,CARTON_LOOKUP!$A:$E,5,0),"")</f>
      </c>
      <c r="J7687" s="29">
        <f>IFERROR(VLOOKUP(F7687,CARTON_LOOKUP!$A:$E,2,0),"")</f>
      </c>
      <c r="K7687" s="29">
        <f>IFERROR(J7687*D7687,0)</f>
      </c>
      <c r="L7687" s="29">
        <f>IFERROR(E7687*C7687,0)</f>
      </c>
      <c r="M7687" s="29">
        <f>IFERROR((G7687*H7687*I7687/1000000)*D7687,0)</f>
      </c>
    </row>
    <row r="7688" spans="1:13" x14ac:dyDescent="0.25">
      <c r="A7688" s="16"/>
      <c r="E7688" s="27"/>
      <c r="F7688" t="s">
        <v>26</v>
      </c>
      <c r="G7688" s="28">
        <f>IFERROR(VLOOKUP(F7688,CARTON_LOOKUP!$A:$E,3,0),"")</f>
      </c>
      <c r="H7688" s="28">
        <f>IFERROR(VLOOKUP(F7688,CARTON_LOOKUP!$A:$E,4,0),"")</f>
      </c>
      <c r="I7688" s="28">
        <f>IFERROR(VLOOKUP(F7688,CARTON_LOOKUP!$A:$E,5,0),"")</f>
      </c>
      <c r="J7688" s="29">
        <f>IFERROR(VLOOKUP(F7688,CARTON_LOOKUP!$A:$E,2,0),"")</f>
      </c>
      <c r="K7688" s="29">
        <f>IFERROR(J7688*D7688,0)</f>
      </c>
      <c r="L7688" s="29">
        <f>IFERROR(E7688*C7688,0)</f>
      </c>
      <c r="M7688" s="29">
        <f>IFERROR((G7688*H7688*I7688/1000000)*D7688,0)</f>
      </c>
    </row>
    <row r="7689" spans="1:13" x14ac:dyDescent="0.25">
      <c r="A7689" s="16"/>
      <c r="E7689" s="27"/>
      <c r="F7689" t="s">
        <v>26</v>
      </c>
      <c r="G7689" s="28">
        <f>IFERROR(VLOOKUP(F7689,CARTON_LOOKUP!$A:$E,3,0),"")</f>
      </c>
      <c r="H7689" s="28">
        <f>IFERROR(VLOOKUP(F7689,CARTON_LOOKUP!$A:$E,4,0),"")</f>
      </c>
      <c r="I7689" s="28">
        <f>IFERROR(VLOOKUP(F7689,CARTON_LOOKUP!$A:$E,5,0),"")</f>
      </c>
      <c r="J7689" s="29">
        <f>IFERROR(VLOOKUP(F7689,CARTON_LOOKUP!$A:$E,2,0),"")</f>
      </c>
      <c r="K7689" s="29">
        <f>IFERROR(J7689*D7689,0)</f>
      </c>
      <c r="L7689" s="29">
        <f>IFERROR(E7689*C7689,0)</f>
      </c>
      <c r="M7689" s="29">
        <f>IFERROR((G7689*H7689*I7689/1000000)*D7689,0)</f>
      </c>
    </row>
    <row r="7690" spans="1:13" x14ac:dyDescent="0.25">
      <c r="A7690" s="16"/>
      <c r="E7690" s="27"/>
      <c r="F7690" t="s">
        <v>26</v>
      </c>
      <c r="G7690" s="28">
        <f>IFERROR(VLOOKUP(F7690,CARTON_LOOKUP!$A:$E,3,0),"")</f>
      </c>
      <c r="H7690" s="28">
        <f>IFERROR(VLOOKUP(F7690,CARTON_LOOKUP!$A:$E,4,0),"")</f>
      </c>
      <c r="I7690" s="28">
        <f>IFERROR(VLOOKUP(F7690,CARTON_LOOKUP!$A:$E,5,0),"")</f>
      </c>
      <c r="J7690" s="29">
        <f>IFERROR(VLOOKUP(F7690,CARTON_LOOKUP!$A:$E,2,0),"")</f>
      </c>
      <c r="K7690" s="29">
        <f>IFERROR(J7690*D7690,0)</f>
      </c>
      <c r="L7690" s="29">
        <f>IFERROR(E7690*C7690,0)</f>
      </c>
      <c r="M7690" s="29">
        <f>IFERROR((G7690*H7690*I7690/1000000)*D7690,0)</f>
      </c>
    </row>
    <row r="7691" spans="1:13" x14ac:dyDescent="0.25">
      <c r="A7691" s="16"/>
      <c r="E7691" s="27"/>
      <c r="F7691" t="s">
        <v>26</v>
      </c>
      <c r="G7691" s="28">
        <f>IFERROR(VLOOKUP(F7691,CARTON_LOOKUP!$A:$E,3,0),"")</f>
      </c>
      <c r="H7691" s="28">
        <f>IFERROR(VLOOKUP(F7691,CARTON_LOOKUP!$A:$E,4,0),"")</f>
      </c>
      <c r="I7691" s="28">
        <f>IFERROR(VLOOKUP(F7691,CARTON_LOOKUP!$A:$E,5,0),"")</f>
      </c>
      <c r="J7691" s="29">
        <f>IFERROR(VLOOKUP(F7691,CARTON_LOOKUP!$A:$E,2,0),"")</f>
      </c>
      <c r="K7691" s="29">
        <f>IFERROR(J7691*D7691,0)</f>
      </c>
      <c r="L7691" s="29">
        <f>IFERROR(E7691*C7691,0)</f>
      </c>
      <c r="M7691" s="29">
        <f>IFERROR((G7691*H7691*I7691/1000000)*D7691,0)</f>
      </c>
    </row>
    <row r="7692" spans="1:13" x14ac:dyDescent="0.25">
      <c r="A7692" s="16"/>
      <c r="E7692" s="27"/>
      <c r="F7692" t="s">
        <v>26</v>
      </c>
      <c r="G7692" s="28">
        <f>IFERROR(VLOOKUP(F7692,CARTON_LOOKUP!$A:$E,3,0),"")</f>
      </c>
      <c r="H7692" s="28">
        <f>IFERROR(VLOOKUP(F7692,CARTON_LOOKUP!$A:$E,4,0),"")</f>
      </c>
      <c r="I7692" s="28">
        <f>IFERROR(VLOOKUP(F7692,CARTON_LOOKUP!$A:$E,5,0),"")</f>
      </c>
      <c r="J7692" s="29">
        <f>IFERROR(VLOOKUP(F7692,CARTON_LOOKUP!$A:$E,2,0),"")</f>
      </c>
      <c r="K7692" s="29">
        <f>IFERROR(J7692*D7692,0)</f>
      </c>
      <c r="L7692" s="29">
        <f>IFERROR(E7692*C7692,0)</f>
      </c>
      <c r="M7692" s="29">
        <f>IFERROR((G7692*H7692*I7692/1000000)*D7692,0)</f>
      </c>
    </row>
    <row r="7693" spans="1:13" x14ac:dyDescent="0.25">
      <c r="A7693" s="16"/>
      <c r="E7693" s="27"/>
      <c r="F7693" t="s">
        <v>26</v>
      </c>
      <c r="G7693" s="28">
        <f>IFERROR(VLOOKUP(F7693,CARTON_LOOKUP!$A:$E,3,0),"")</f>
      </c>
      <c r="H7693" s="28">
        <f>IFERROR(VLOOKUP(F7693,CARTON_LOOKUP!$A:$E,4,0),"")</f>
      </c>
      <c r="I7693" s="28">
        <f>IFERROR(VLOOKUP(F7693,CARTON_LOOKUP!$A:$E,5,0),"")</f>
      </c>
      <c r="J7693" s="29">
        <f>IFERROR(VLOOKUP(F7693,CARTON_LOOKUP!$A:$E,2,0),"")</f>
      </c>
      <c r="K7693" s="29">
        <f>IFERROR(J7693*D7693,0)</f>
      </c>
      <c r="L7693" s="29">
        <f>IFERROR(E7693*C7693,0)</f>
      </c>
      <c r="M7693" s="29">
        <f>IFERROR((G7693*H7693*I7693/1000000)*D7693,0)</f>
      </c>
    </row>
    <row r="7694" spans="1:13" x14ac:dyDescent="0.25">
      <c r="A7694" s="16"/>
      <c r="E7694" s="27"/>
      <c r="F7694" t="s">
        <v>26</v>
      </c>
      <c r="G7694" s="28">
        <f>IFERROR(VLOOKUP(F7694,CARTON_LOOKUP!$A:$E,3,0),"")</f>
      </c>
      <c r="H7694" s="28">
        <f>IFERROR(VLOOKUP(F7694,CARTON_LOOKUP!$A:$E,4,0),"")</f>
      </c>
      <c r="I7694" s="28">
        <f>IFERROR(VLOOKUP(F7694,CARTON_LOOKUP!$A:$E,5,0),"")</f>
      </c>
      <c r="J7694" s="29">
        <f>IFERROR(VLOOKUP(F7694,CARTON_LOOKUP!$A:$E,2,0),"")</f>
      </c>
      <c r="K7694" s="29">
        <f>IFERROR(J7694*D7694,0)</f>
      </c>
      <c r="L7694" s="29">
        <f>IFERROR(E7694*C7694,0)</f>
      </c>
      <c r="M7694" s="29">
        <f>IFERROR((G7694*H7694*I7694/1000000)*D7694,0)</f>
      </c>
    </row>
    <row r="7695" spans="1:13" x14ac:dyDescent="0.25">
      <c r="A7695" s="16"/>
      <c r="E7695" s="27"/>
      <c r="F7695" t="s">
        <v>26</v>
      </c>
      <c r="G7695" s="28">
        <f>IFERROR(VLOOKUP(F7695,CARTON_LOOKUP!$A:$E,3,0),"")</f>
      </c>
      <c r="H7695" s="28">
        <f>IFERROR(VLOOKUP(F7695,CARTON_LOOKUP!$A:$E,4,0),"")</f>
      </c>
      <c r="I7695" s="28">
        <f>IFERROR(VLOOKUP(F7695,CARTON_LOOKUP!$A:$E,5,0),"")</f>
      </c>
      <c r="J7695" s="29">
        <f>IFERROR(VLOOKUP(F7695,CARTON_LOOKUP!$A:$E,2,0),"")</f>
      </c>
      <c r="K7695" s="29">
        <f>IFERROR(J7695*D7695,0)</f>
      </c>
      <c r="L7695" s="29">
        <f>IFERROR(E7695*C7695,0)</f>
      </c>
      <c r="M7695" s="29">
        <f>IFERROR((G7695*H7695*I7695/1000000)*D7695,0)</f>
      </c>
    </row>
    <row r="7696" spans="1:13" x14ac:dyDescent="0.25">
      <c r="A7696" s="16"/>
      <c r="E7696" s="27"/>
      <c r="F7696" t="s">
        <v>26</v>
      </c>
      <c r="G7696" s="28">
        <f>IFERROR(VLOOKUP(F7696,CARTON_LOOKUP!$A:$E,3,0),"")</f>
      </c>
      <c r="H7696" s="28">
        <f>IFERROR(VLOOKUP(F7696,CARTON_LOOKUP!$A:$E,4,0),"")</f>
      </c>
      <c r="I7696" s="28">
        <f>IFERROR(VLOOKUP(F7696,CARTON_LOOKUP!$A:$E,5,0),"")</f>
      </c>
      <c r="J7696" s="29">
        <f>IFERROR(VLOOKUP(F7696,CARTON_LOOKUP!$A:$E,2,0),"")</f>
      </c>
      <c r="K7696" s="29">
        <f>IFERROR(J7696*D7696,0)</f>
      </c>
      <c r="L7696" s="29">
        <f>IFERROR(E7696*C7696,0)</f>
      </c>
      <c r="M7696" s="29">
        <f>IFERROR((G7696*H7696*I7696/1000000)*D7696,0)</f>
      </c>
    </row>
    <row r="7697" spans="1:13" x14ac:dyDescent="0.25">
      <c r="A7697" s="16"/>
      <c r="E7697" s="27"/>
      <c r="F7697" t="s">
        <v>26</v>
      </c>
      <c r="G7697" s="28">
        <f>IFERROR(VLOOKUP(F7697,CARTON_LOOKUP!$A:$E,3,0),"")</f>
      </c>
      <c r="H7697" s="28">
        <f>IFERROR(VLOOKUP(F7697,CARTON_LOOKUP!$A:$E,4,0),"")</f>
      </c>
      <c r="I7697" s="28">
        <f>IFERROR(VLOOKUP(F7697,CARTON_LOOKUP!$A:$E,5,0),"")</f>
      </c>
      <c r="J7697" s="29">
        <f>IFERROR(VLOOKUP(F7697,CARTON_LOOKUP!$A:$E,2,0),"")</f>
      </c>
      <c r="K7697" s="29">
        <f>IFERROR(J7697*D7697,0)</f>
      </c>
      <c r="L7697" s="29">
        <f>IFERROR(E7697*C7697,0)</f>
      </c>
      <c r="M7697" s="29">
        <f>IFERROR((G7697*H7697*I7697/1000000)*D7697,0)</f>
      </c>
    </row>
    <row r="7698" spans="1:13" x14ac:dyDescent="0.25">
      <c r="A7698" s="16"/>
      <c r="E7698" s="27"/>
      <c r="F7698" t="s">
        <v>26</v>
      </c>
      <c r="G7698" s="28">
        <f>IFERROR(VLOOKUP(F7698,CARTON_LOOKUP!$A:$E,3,0),"")</f>
      </c>
      <c r="H7698" s="28">
        <f>IFERROR(VLOOKUP(F7698,CARTON_LOOKUP!$A:$E,4,0),"")</f>
      </c>
      <c r="I7698" s="28">
        <f>IFERROR(VLOOKUP(F7698,CARTON_LOOKUP!$A:$E,5,0),"")</f>
      </c>
      <c r="J7698" s="29">
        <f>IFERROR(VLOOKUP(F7698,CARTON_LOOKUP!$A:$E,2,0),"")</f>
      </c>
      <c r="K7698" s="29">
        <f>IFERROR(J7698*D7698,0)</f>
      </c>
      <c r="L7698" s="29">
        <f>IFERROR(E7698*C7698,0)</f>
      </c>
      <c r="M7698" s="29">
        <f>IFERROR((G7698*H7698*I7698/1000000)*D7698,0)</f>
      </c>
    </row>
    <row r="7699" spans="1:13" x14ac:dyDescent="0.25">
      <c r="A7699" s="16"/>
      <c r="E7699" s="27"/>
      <c r="F7699" t="s">
        <v>26</v>
      </c>
      <c r="G7699" s="28">
        <f>IFERROR(VLOOKUP(F7699,CARTON_LOOKUP!$A:$E,3,0),"")</f>
      </c>
      <c r="H7699" s="28">
        <f>IFERROR(VLOOKUP(F7699,CARTON_LOOKUP!$A:$E,4,0),"")</f>
      </c>
      <c r="I7699" s="28">
        <f>IFERROR(VLOOKUP(F7699,CARTON_LOOKUP!$A:$E,5,0),"")</f>
      </c>
      <c r="J7699" s="29">
        <f>IFERROR(VLOOKUP(F7699,CARTON_LOOKUP!$A:$E,2,0),"")</f>
      </c>
      <c r="K7699" s="29">
        <f>IFERROR(J7699*D7699,0)</f>
      </c>
      <c r="L7699" s="29">
        <f>IFERROR(E7699*C7699,0)</f>
      </c>
      <c r="M7699" s="29">
        <f>IFERROR((G7699*H7699*I7699/1000000)*D7699,0)</f>
      </c>
    </row>
    <row r="7700" spans="1:13" x14ac:dyDescent="0.25">
      <c r="A7700" s="16"/>
      <c r="E7700" s="27"/>
      <c r="F7700" t="s">
        <v>26</v>
      </c>
      <c r="G7700" s="28">
        <f>IFERROR(VLOOKUP(F7700,CARTON_LOOKUP!$A:$E,3,0),"")</f>
      </c>
      <c r="H7700" s="28">
        <f>IFERROR(VLOOKUP(F7700,CARTON_LOOKUP!$A:$E,4,0),"")</f>
      </c>
      <c r="I7700" s="28">
        <f>IFERROR(VLOOKUP(F7700,CARTON_LOOKUP!$A:$E,5,0),"")</f>
      </c>
      <c r="J7700" s="29">
        <f>IFERROR(VLOOKUP(F7700,CARTON_LOOKUP!$A:$E,2,0),"")</f>
      </c>
      <c r="K7700" s="29">
        <f>IFERROR(J7700*D7700,0)</f>
      </c>
      <c r="L7700" s="29">
        <f>IFERROR(E7700*C7700,0)</f>
      </c>
      <c r="M7700" s="29">
        <f>IFERROR((G7700*H7700*I7700/1000000)*D7700,0)</f>
      </c>
    </row>
    <row r="7701" spans="1:13" x14ac:dyDescent="0.25">
      <c r="A7701" s="16"/>
      <c r="E7701" s="27"/>
      <c r="F7701" t="s">
        <v>26</v>
      </c>
      <c r="G7701" s="28">
        <f>IFERROR(VLOOKUP(F7701,CARTON_LOOKUP!$A:$E,3,0),"")</f>
      </c>
      <c r="H7701" s="28">
        <f>IFERROR(VLOOKUP(F7701,CARTON_LOOKUP!$A:$E,4,0),"")</f>
      </c>
      <c r="I7701" s="28">
        <f>IFERROR(VLOOKUP(F7701,CARTON_LOOKUP!$A:$E,5,0),"")</f>
      </c>
      <c r="J7701" s="29">
        <f>IFERROR(VLOOKUP(F7701,CARTON_LOOKUP!$A:$E,2,0),"")</f>
      </c>
      <c r="K7701" s="29">
        <f>IFERROR(J7701*D7701,0)</f>
      </c>
      <c r="L7701" s="29">
        <f>IFERROR(E7701*C7701,0)</f>
      </c>
      <c r="M7701" s="29">
        <f>IFERROR((G7701*H7701*I7701/1000000)*D7701,0)</f>
      </c>
    </row>
    <row r="7702" spans="1:13" x14ac:dyDescent="0.25">
      <c r="A7702" s="16"/>
      <c r="E7702" s="27"/>
      <c r="F7702" t="s">
        <v>26</v>
      </c>
      <c r="G7702" s="28">
        <f>IFERROR(VLOOKUP(F7702,CARTON_LOOKUP!$A:$E,3,0),"")</f>
      </c>
      <c r="H7702" s="28">
        <f>IFERROR(VLOOKUP(F7702,CARTON_LOOKUP!$A:$E,4,0),"")</f>
      </c>
      <c r="I7702" s="28">
        <f>IFERROR(VLOOKUP(F7702,CARTON_LOOKUP!$A:$E,5,0),"")</f>
      </c>
      <c r="J7702" s="29">
        <f>IFERROR(VLOOKUP(F7702,CARTON_LOOKUP!$A:$E,2,0),"")</f>
      </c>
      <c r="K7702" s="29">
        <f>IFERROR(J7702*D7702,0)</f>
      </c>
      <c r="L7702" s="29">
        <f>IFERROR(E7702*C7702,0)</f>
      </c>
      <c r="M7702" s="29">
        <f>IFERROR((G7702*H7702*I7702/1000000)*D7702,0)</f>
      </c>
    </row>
    <row r="7703" spans="1:13" x14ac:dyDescent="0.25">
      <c r="A7703" s="16"/>
      <c r="E7703" s="27"/>
      <c r="F7703" t="s">
        <v>26</v>
      </c>
      <c r="G7703" s="28">
        <f>IFERROR(VLOOKUP(F7703,CARTON_LOOKUP!$A:$E,3,0),"")</f>
      </c>
      <c r="H7703" s="28">
        <f>IFERROR(VLOOKUP(F7703,CARTON_LOOKUP!$A:$E,4,0),"")</f>
      </c>
      <c r="I7703" s="28">
        <f>IFERROR(VLOOKUP(F7703,CARTON_LOOKUP!$A:$E,5,0),"")</f>
      </c>
      <c r="J7703" s="29">
        <f>IFERROR(VLOOKUP(F7703,CARTON_LOOKUP!$A:$E,2,0),"")</f>
      </c>
      <c r="K7703" s="29">
        <f>IFERROR(J7703*D7703,0)</f>
      </c>
      <c r="L7703" s="29">
        <f>IFERROR(E7703*C7703,0)</f>
      </c>
      <c r="M7703" s="29">
        <f>IFERROR((G7703*H7703*I7703/1000000)*D7703,0)</f>
      </c>
    </row>
    <row r="7704" spans="1:13" x14ac:dyDescent="0.25">
      <c r="A7704" s="16"/>
      <c r="E7704" s="27"/>
      <c r="F7704" t="s">
        <v>26</v>
      </c>
      <c r="G7704" s="28">
        <f>IFERROR(VLOOKUP(F7704,CARTON_LOOKUP!$A:$E,3,0),"")</f>
      </c>
      <c r="H7704" s="28">
        <f>IFERROR(VLOOKUP(F7704,CARTON_LOOKUP!$A:$E,4,0),"")</f>
      </c>
      <c r="I7704" s="28">
        <f>IFERROR(VLOOKUP(F7704,CARTON_LOOKUP!$A:$E,5,0),"")</f>
      </c>
      <c r="J7704" s="29">
        <f>IFERROR(VLOOKUP(F7704,CARTON_LOOKUP!$A:$E,2,0),"")</f>
      </c>
      <c r="K7704" s="29">
        <f>IFERROR(J7704*D7704,0)</f>
      </c>
      <c r="L7704" s="29">
        <f>IFERROR(E7704*C7704,0)</f>
      </c>
      <c r="M7704" s="29">
        <f>IFERROR((G7704*H7704*I7704/1000000)*D7704,0)</f>
      </c>
    </row>
    <row r="7705" spans="1:13" x14ac:dyDescent="0.25">
      <c r="A7705" s="16"/>
      <c r="E7705" s="27"/>
      <c r="F7705" t="s">
        <v>26</v>
      </c>
      <c r="G7705" s="28">
        <f>IFERROR(VLOOKUP(F7705,CARTON_LOOKUP!$A:$E,3,0),"")</f>
      </c>
      <c r="H7705" s="28">
        <f>IFERROR(VLOOKUP(F7705,CARTON_LOOKUP!$A:$E,4,0),"")</f>
      </c>
      <c r="I7705" s="28">
        <f>IFERROR(VLOOKUP(F7705,CARTON_LOOKUP!$A:$E,5,0),"")</f>
      </c>
      <c r="J7705" s="29">
        <f>IFERROR(VLOOKUP(F7705,CARTON_LOOKUP!$A:$E,2,0),"")</f>
      </c>
      <c r="K7705" s="29">
        <f>IFERROR(J7705*D7705,0)</f>
      </c>
      <c r="L7705" s="29">
        <f>IFERROR(E7705*C7705,0)</f>
      </c>
      <c r="M7705" s="29">
        <f>IFERROR((G7705*H7705*I7705/1000000)*D7705,0)</f>
      </c>
    </row>
    <row r="7706" spans="1:13" x14ac:dyDescent="0.25">
      <c r="A7706" s="16"/>
      <c r="E7706" s="27"/>
      <c r="F7706" t="s">
        <v>26</v>
      </c>
      <c r="G7706" s="28">
        <f>IFERROR(VLOOKUP(F7706,CARTON_LOOKUP!$A:$E,3,0),"")</f>
      </c>
      <c r="H7706" s="28">
        <f>IFERROR(VLOOKUP(F7706,CARTON_LOOKUP!$A:$E,4,0),"")</f>
      </c>
      <c r="I7706" s="28">
        <f>IFERROR(VLOOKUP(F7706,CARTON_LOOKUP!$A:$E,5,0),"")</f>
      </c>
      <c r="J7706" s="29">
        <f>IFERROR(VLOOKUP(F7706,CARTON_LOOKUP!$A:$E,2,0),"")</f>
      </c>
      <c r="K7706" s="29">
        <f>IFERROR(J7706*D7706,0)</f>
      </c>
      <c r="L7706" s="29">
        <f>IFERROR(E7706*C7706,0)</f>
      </c>
      <c r="M7706" s="29">
        <f>IFERROR((G7706*H7706*I7706/1000000)*D7706,0)</f>
      </c>
    </row>
    <row r="7707" spans="1:13" x14ac:dyDescent="0.25">
      <c r="A7707" s="16"/>
      <c r="E7707" s="27"/>
      <c r="F7707" t="s">
        <v>26</v>
      </c>
      <c r="G7707" s="28">
        <f>IFERROR(VLOOKUP(F7707,CARTON_LOOKUP!$A:$E,3,0),"")</f>
      </c>
      <c r="H7707" s="28">
        <f>IFERROR(VLOOKUP(F7707,CARTON_LOOKUP!$A:$E,4,0),"")</f>
      </c>
      <c r="I7707" s="28">
        <f>IFERROR(VLOOKUP(F7707,CARTON_LOOKUP!$A:$E,5,0),"")</f>
      </c>
      <c r="J7707" s="29">
        <f>IFERROR(VLOOKUP(F7707,CARTON_LOOKUP!$A:$E,2,0),"")</f>
      </c>
      <c r="K7707" s="29">
        <f>IFERROR(J7707*D7707,0)</f>
      </c>
      <c r="L7707" s="29">
        <f>IFERROR(E7707*C7707,0)</f>
      </c>
      <c r="M7707" s="29">
        <f>IFERROR((G7707*H7707*I7707/1000000)*D7707,0)</f>
      </c>
    </row>
    <row r="7708" spans="1:13" x14ac:dyDescent="0.25">
      <c r="A7708" s="16"/>
      <c r="E7708" s="27"/>
      <c r="F7708" t="s">
        <v>26</v>
      </c>
      <c r="G7708" s="28">
        <f>IFERROR(VLOOKUP(F7708,CARTON_LOOKUP!$A:$E,3,0),"")</f>
      </c>
      <c r="H7708" s="28">
        <f>IFERROR(VLOOKUP(F7708,CARTON_LOOKUP!$A:$E,4,0),"")</f>
      </c>
      <c r="I7708" s="28">
        <f>IFERROR(VLOOKUP(F7708,CARTON_LOOKUP!$A:$E,5,0),"")</f>
      </c>
      <c r="J7708" s="29">
        <f>IFERROR(VLOOKUP(F7708,CARTON_LOOKUP!$A:$E,2,0),"")</f>
      </c>
      <c r="K7708" s="29">
        <f>IFERROR(J7708*D7708,0)</f>
      </c>
      <c r="L7708" s="29">
        <f>IFERROR(E7708*C7708,0)</f>
      </c>
      <c r="M7708" s="29">
        <f>IFERROR((G7708*H7708*I7708/1000000)*D7708,0)</f>
      </c>
    </row>
    <row r="7709" spans="1:13" x14ac:dyDescent="0.25">
      <c r="A7709" s="16"/>
      <c r="E7709" s="27"/>
      <c r="F7709" t="s">
        <v>26</v>
      </c>
      <c r="G7709" s="28">
        <f>IFERROR(VLOOKUP(F7709,CARTON_LOOKUP!$A:$E,3,0),"")</f>
      </c>
      <c r="H7709" s="28">
        <f>IFERROR(VLOOKUP(F7709,CARTON_LOOKUP!$A:$E,4,0),"")</f>
      </c>
      <c r="I7709" s="28">
        <f>IFERROR(VLOOKUP(F7709,CARTON_LOOKUP!$A:$E,5,0),"")</f>
      </c>
      <c r="J7709" s="29">
        <f>IFERROR(VLOOKUP(F7709,CARTON_LOOKUP!$A:$E,2,0),"")</f>
      </c>
      <c r="K7709" s="29">
        <f>IFERROR(J7709*D7709,0)</f>
      </c>
      <c r="L7709" s="29">
        <f>IFERROR(E7709*C7709,0)</f>
      </c>
      <c r="M7709" s="29">
        <f>IFERROR((G7709*H7709*I7709/1000000)*D7709,0)</f>
      </c>
    </row>
    <row r="7710" spans="1:13" x14ac:dyDescent="0.25">
      <c r="A7710" s="16"/>
      <c r="E7710" s="27"/>
      <c r="F7710" t="s">
        <v>26</v>
      </c>
      <c r="G7710" s="28">
        <f>IFERROR(VLOOKUP(F7710,CARTON_LOOKUP!$A:$E,3,0),"")</f>
      </c>
      <c r="H7710" s="28">
        <f>IFERROR(VLOOKUP(F7710,CARTON_LOOKUP!$A:$E,4,0),"")</f>
      </c>
      <c r="I7710" s="28">
        <f>IFERROR(VLOOKUP(F7710,CARTON_LOOKUP!$A:$E,5,0),"")</f>
      </c>
      <c r="J7710" s="29">
        <f>IFERROR(VLOOKUP(F7710,CARTON_LOOKUP!$A:$E,2,0),"")</f>
      </c>
      <c r="K7710" s="29">
        <f>IFERROR(J7710*D7710,0)</f>
      </c>
      <c r="L7710" s="29">
        <f>IFERROR(E7710*C7710,0)</f>
      </c>
      <c r="M7710" s="29">
        <f>IFERROR((G7710*H7710*I7710/1000000)*D7710,0)</f>
      </c>
    </row>
    <row r="7711" spans="1:13" x14ac:dyDescent="0.25">
      <c r="A7711" s="16"/>
      <c r="E7711" s="27"/>
      <c r="F7711" t="s">
        <v>26</v>
      </c>
      <c r="G7711" s="28">
        <f>IFERROR(VLOOKUP(F7711,CARTON_LOOKUP!$A:$E,3,0),"")</f>
      </c>
      <c r="H7711" s="28">
        <f>IFERROR(VLOOKUP(F7711,CARTON_LOOKUP!$A:$E,4,0),"")</f>
      </c>
      <c r="I7711" s="28">
        <f>IFERROR(VLOOKUP(F7711,CARTON_LOOKUP!$A:$E,5,0),"")</f>
      </c>
      <c r="J7711" s="29">
        <f>IFERROR(VLOOKUP(F7711,CARTON_LOOKUP!$A:$E,2,0),"")</f>
      </c>
      <c r="K7711" s="29">
        <f>IFERROR(J7711*D7711,0)</f>
      </c>
      <c r="L7711" s="29">
        <f>IFERROR(E7711*C7711,0)</f>
      </c>
      <c r="M7711" s="29">
        <f>IFERROR((G7711*H7711*I7711/1000000)*D7711,0)</f>
      </c>
    </row>
    <row r="7712" spans="1:13" x14ac:dyDescent="0.25">
      <c r="A7712" s="16"/>
      <c r="E7712" s="27"/>
      <c r="F7712" t="s">
        <v>26</v>
      </c>
      <c r="G7712" s="28">
        <f>IFERROR(VLOOKUP(F7712,CARTON_LOOKUP!$A:$E,3,0),"")</f>
      </c>
      <c r="H7712" s="28">
        <f>IFERROR(VLOOKUP(F7712,CARTON_LOOKUP!$A:$E,4,0),"")</f>
      </c>
      <c r="I7712" s="28">
        <f>IFERROR(VLOOKUP(F7712,CARTON_LOOKUP!$A:$E,5,0),"")</f>
      </c>
      <c r="J7712" s="29">
        <f>IFERROR(VLOOKUP(F7712,CARTON_LOOKUP!$A:$E,2,0),"")</f>
      </c>
      <c r="K7712" s="29">
        <f>IFERROR(J7712*D7712,0)</f>
      </c>
      <c r="L7712" s="29">
        <f>IFERROR(E7712*C7712,0)</f>
      </c>
      <c r="M7712" s="29">
        <f>IFERROR((G7712*H7712*I7712/1000000)*D7712,0)</f>
      </c>
    </row>
    <row r="7713" spans="1:13" x14ac:dyDescent="0.25">
      <c r="A7713" s="16"/>
      <c r="E7713" s="27"/>
      <c r="F7713" t="s">
        <v>26</v>
      </c>
      <c r="G7713" s="28">
        <f>IFERROR(VLOOKUP(F7713,CARTON_LOOKUP!$A:$E,3,0),"")</f>
      </c>
      <c r="H7713" s="28">
        <f>IFERROR(VLOOKUP(F7713,CARTON_LOOKUP!$A:$E,4,0),"")</f>
      </c>
      <c r="I7713" s="28">
        <f>IFERROR(VLOOKUP(F7713,CARTON_LOOKUP!$A:$E,5,0),"")</f>
      </c>
      <c r="J7713" s="29">
        <f>IFERROR(VLOOKUP(F7713,CARTON_LOOKUP!$A:$E,2,0),"")</f>
      </c>
      <c r="K7713" s="29">
        <f>IFERROR(J7713*D7713,0)</f>
      </c>
      <c r="L7713" s="29">
        <f>IFERROR(E7713*C7713,0)</f>
      </c>
      <c r="M7713" s="29">
        <f>IFERROR((G7713*H7713*I7713/1000000)*D7713,0)</f>
      </c>
    </row>
    <row r="7714" spans="1:13" x14ac:dyDescent="0.25">
      <c r="A7714" s="16"/>
      <c r="E7714" s="27"/>
      <c r="F7714" t="s">
        <v>26</v>
      </c>
      <c r="G7714" s="28">
        <f>IFERROR(VLOOKUP(F7714,CARTON_LOOKUP!$A:$E,3,0),"")</f>
      </c>
      <c r="H7714" s="28">
        <f>IFERROR(VLOOKUP(F7714,CARTON_LOOKUP!$A:$E,4,0),"")</f>
      </c>
      <c r="I7714" s="28">
        <f>IFERROR(VLOOKUP(F7714,CARTON_LOOKUP!$A:$E,5,0),"")</f>
      </c>
      <c r="J7714" s="29">
        <f>IFERROR(VLOOKUP(F7714,CARTON_LOOKUP!$A:$E,2,0),"")</f>
      </c>
      <c r="K7714" s="29">
        <f>IFERROR(J7714*D7714,0)</f>
      </c>
      <c r="L7714" s="29">
        <f>IFERROR(E7714*C7714,0)</f>
      </c>
      <c r="M7714" s="29">
        <f>IFERROR((G7714*H7714*I7714/1000000)*D7714,0)</f>
      </c>
    </row>
    <row r="7715" spans="1:13" x14ac:dyDescent="0.25">
      <c r="A7715" s="16"/>
      <c r="E7715" s="27"/>
      <c r="F7715" t="s">
        <v>26</v>
      </c>
      <c r="G7715" s="28">
        <f>IFERROR(VLOOKUP(F7715,CARTON_LOOKUP!$A:$E,3,0),"")</f>
      </c>
      <c r="H7715" s="28">
        <f>IFERROR(VLOOKUP(F7715,CARTON_LOOKUP!$A:$E,4,0),"")</f>
      </c>
      <c r="I7715" s="28">
        <f>IFERROR(VLOOKUP(F7715,CARTON_LOOKUP!$A:$E,5,0),"")</f>
      </c>
      <c r="J7715" s="29">
        <f>IFERROR(VLOOKUP(F7715,CARTON_LOOKUP!$A:$E,2,0),"")</f>
      </c>
      <c r="K7715" s="29">
        <f>IFERROR(J7715*D7715,0)</f>
      </c>
      <c r="L7715" s="29">
        <f>IFERROR(E7715*C7715,0)</f>
      </c>
      <c r="M7715" s="29">
        <f>IFERROR((G7715*H7715*I7715/1000000)*D7715,0)</f>
      </c>
    </row>
    <row r="7716" spans="1:13" x14ac:dyDescent="0.25">
      <c r="A7716" s="16"/>
      <c r="E7716" s="27"/>
      <c r="F7716" t="s">
        <v>26</v>
      </c>
      <c r="G7716" s="28">
        <f>IFERROR(VLOOKUP(F7716,CARTON_LOOKUP!$A:$E,3,0),"")</f>
      </c>
      <c r="H7716" s="28">
        <f>IFERROR(VLOOKUP(F7716,CARTON_LOOKUP!$A:$E,4,0),"")</f>
      </c>
      <c r="I7716" s="28">
        <f>IFERROR(VLOOKUP(F7716,CARTON_LOOKUP!$A:$E,5,0),"")</f>
      </c>
      <c r="J7716" s="29">
        <f>IFERROR(VLOOKUP(F7716,CARTON_LOOKUP!$A:$E,2,0),"")</f>
      </c>
      <c r="K7716" s="29">
        <f>IFERROR(J7716*D7716,0)</f>
      </c>
      <c r="L7716" s="29">
        <f>IFERROR(E7716*C7716,0)</f>
      </c>
      <c r="M7716" s="29">
        <f>IFERROR((G7716*H7716*I7716/1000000)*D7716,0)</f>
      </c>
    </row>
    <row r="7717" spans="1:13" x14ac:dyDescent="0.25">
      <c r="A7717" s="16"/>
      <c r="E7717" s="27"/>
      <c r="F7717" t="s">
        <v>26</v>
      </c>
      <c r="G7717" s="28">
        <f>IFERROR(VLOOKUP(F7717,CARTON_LOOKUP!$A:$E,3,0),"")</f>
      </c>
      <c r="H7717" s="28">
        <f>IFERROR(VLOOKUP(F7717,CARTON_LOOKUP!$A:$E,4,0),"")</f>
      </c>
      <c r="I7717" s="28">
        <f>IFERROR(VLOOKUP(F7717,CARTON_LOOKUP!$A:$E,5,0),"")</f>
      </c>
      <c r="J7717" s="29">
        <f>IFERROR(VLOOKUP(F7717,CARTON_LOOKUP!$A:$E,2,0),"")</f>
      </c>
      <c r="K7717" s="29">
        <f>IFERROR(J7717*D7717,0)</f>
      </c>
      <c r="L7717" s="29">
        <f>IFERROR(E7717*C7717,0)</f>
      </c>
      <c r="M7717" s="29">
        <f>IFERROR((G7717*H7717*I7717/1000000)*D7717,0)</f>
      </c>
    </row>
    <row r="7718" spans="1:13" x14ac:dyDescent="0.25">
      <c r="A7718" s="16"/>
      <c r="E7718" s="27"/>
      <c r="F7718" t="s">
        <v>26</v>
      </c>
      <c r="G7718" s="28">
        <f>IFERROR(VLOOKUP(F7718,CARTON_LOOKUP!$A:$E,3,0),"")</f>
      </c>
      <c r="H7718" s="28">
        <f>IFERROR(VLOOKUP(F7718,CARTON_LOOKUP!$A:$E,4,0),"")</f>
      </c>
      <c r="I7718" s="28">
        <f>IFERROR(VLOOKUP(F7718,CARTON_LOOKUP!$A:$E,5,0),"")</f>
      </c>
      <c r="J7718" s="29">
        <f>IFERROR(VLOOKUP(F7718,CARTON_LOOKUP!$A:$E,2,0),"")</f>
      </c>
      <c r="K7718" s="29">
        <f>IFERROR(J7718*D7718,0)</f>
      </c>
      <c r="L7718" s="29">
        <f>IFERROR(E7718*C7718,0)</f>
      </c>
      <c r="M7718" s="29">
        <f>IFERROR((G7718*H7718*I7718/1000000)*D7718,0)</f>
      </c>
    </row>
    <row r="7719" spans="1:13" x14ac:dyDescent="0.25">
      <c r="A7719" s="16"/>
      <c r="E7719" s="27"/>
      <c r="F7719" t="s">
        <v>26</v>
      </c>
      <c r="G7719" s="28">
        <f>IFERROR(VLOOKUP(F7719,CARTON_LOOKUP!$A:$E,3,0),"")</f>
      </c>
      <c r="H7719" s="28">
        <f>IFERROR(VLOOKUP(F7719,CARTON_LOOKUP!$A:$E,4,0),"")</f>
      </c>
      <c r="I7719" s="28">
        <f>IFERROR(VLOOKUP(F7719,CARTON_LOOKUP!$A:$E,5,0),"")</f>
      </c>
      <c r="J7719" s="29">
        <f>IFERROR(VLOOKUP(F7719,CARTON_LOOKUP!$A:$E,2,0),"")</f>
      </c>
      <c r="K7719" s="29">
        <f>IFERROR(J7719*D7719,0)</f>
      </c>
      <c r="L7719" s="29">
        <f>IFERROR(E7719*C7719,0)</f>
      </c>
      <c r="M7719" s="29">
        <f>IFERROR((G7719*H7719*I7719/1000000)*D7719,0)</f>
      </c>
    </row>
    <row r="7720" spans="1:13" x14ac:dyDescent="0.25">
      <c r="A7720" s="16"/>
      <c r="E7720" s="27"/>
      <c r="F7720" t="s">
        <v>26</v>
      </c>
      <c r="G7720" s="28">
        <f>IFERROR(VLOOKUP(F7720,CARTON_LOOKUP!$A:$E,3,0),"")</f>
      </c>
      <c r="H7720" s="28">
        <f>IFERROR(VLOOKUP(F7720,CARTON_LOOKUP!$A:$E,4,0),"")</f>
      </c>
      <c r="I7720" s="28">
        <f>IFERROR(VLOOKUP(F7720,CARTON_LOOKUP!$A:$E,5,0),"")</f>
      </c>
      <c r="J7720" s="29">
        <f>IFERROR(VLOOKUP(F7720,CARTON_LOOKUP!$A:$E,2,0),"")</f>
      </c>
      <c r="K7720" s="29">
        <f>IFERROR(J7720*D7720,0)</f>
      </c>
      <c r="L7720" s="29">
        <f>IFERROR(E7720*C7720,0)</f>
      </c>
      <c r="M7720" s="29">
        <f>IFERROR((G7720*H7720*I7720/1000000)*D7720,0)</f>
      </c>
    </row>
    <row r="7721" spans="1:13" x14ac:dyDescent="0.25">
      <c r="A7721" s="16"/>
      <c r="E7721" s="27"/>
      <c r="F7721" t="s">
        <v>26</v>
      </c>
      <c r="G7721" s="28">
        <f>IFERROR(VLOOKUP(F7721,CARTON_LOOKUP!$A:$E,3,0),"")</f>
      </c>
      <c r="H7721" s="28">
        <f>IFERROR(VLOOKUP(F7721,CARTON_LOOKUP!$A:$E,4,0),"")</f>
      </c>
      <c r="I7721" s="28">
        <f>IFERROR(VLOOKUP(F7721,CARTON_LOOKUP!$A:$E,5,0),"")</f>
      </c>
      <c r="J7721" s="29">
        <f>IFERROR(VLOOKUP(F7721,CARTON_LOOKUP!$A:$E,2,0),"")</f>
      </c>
      <c r="K7721" s="29">
        <f>IFERROR(J7721*D7721,0)</f>
      </c>
      <c r="L7721" s="29">
        <f>IFERROR(E7721*C7721,0)</f>
      </c>
      <c r="M7721" s="29">
        <f>IFERROR((G7721*H7721*I7721/1000000)*D7721,0)</f>
      </c>
    </row>
    <row r="7722" spans="1:13" x14ac:dyDescent="0.25">
      <c r="A7722" s="16"/>
      <c r="E7722" s="27"/>
      <c r="F7722" t="s">
        <v>26</v>
      </c>
      <c r="G7722" s="28">
        <f>IFERROR(VLOOKUP(F7722,CARTON_LOOKUP!$A:$E,3,0),"")</f>
      </c>
      <c r="H7722" s="28">
        <f>IFERROR(VLOOKUP(F7722,CARTON_LOOKUP!$A:$E,4,0),"")</f>
      </c>
      <c r="I7722" s="28">
        <f>IFERROR(VLOOKUP(F7722,CARTON_LOOKUP!$A:$E,5,0),"")</f>
      </c>
      <c r="J7722" s="29">
        <f>IFERROR(VLOOKUP(F7722,CARTON_LOOKUP!$A:$E,2,0),"")</f>
      </c>
      <c r="K7722" s="29">
        <f>IFERROR(J7722*D7722,0)</f>
      </c>
      <c r="L7722" s="29">
        <f>IFERROR(E7722*C7722,0)</f>
      </c>
      <c r="M7722" s="29">
        <f>IFERROR((G7722*H7722*I7722/1000000)*D7722,0)</f>
      </c>
    </row>
    <row r="7723" spans="1:13" x14ac:dyDescent="0.25">
      <c r="A7723" s="16"/>
      <c r="E7723" s="27"/>
      <c r="F7723" t="s">
        <v>26</v>
      </c>
      <c r="G7723" s="28">
        <f>IFERROR(VLOOKUP(F7723,CARTON_LOOKUP!$A:$E,3,0),"")</f>
      </c>
      <c r="H7723" s="28">
        <f>IFERROR(VLOOKUP(F7723,CARTON_LOOKUP!$A:$E,4,0),"")</f>
      </c>
      <c r="I7723" s="28">
        <f>IFERROR(VLOOKUP(F7723,CARTON_LOOKUP!$A:$E,5,0),"")</f>
      </c>
      <c r="J7723" s="29">
        <f>IFERROR(VLOOKUP(F7723,CARTON_LOOKUP!$A:$E,2,0),"")</f>
      </c>
      <c r="K7723" s="29">
        <f>IFERROR(J7723*D7723,0)</f>
      </c>
      <c r="L7723" s="29">
        <f>IFERROR(E7723*C7723,0)</f>
      </c>
      <c r="M7723" s="29">
        <f>IFERROR((G7723*H7723*I7723/1000000)*D7723,0)</f>
      </c>
    </row>
    <row r="7724" spans="1:13" x14ac:dyDescent="0.25">
      <c r="A7724" s="16"/>
      <c r="E7724" s="27"/>
      <c r="F7724" t="s">
        <v>26</v>
      </c>
      <c r="G7724" s="28">
        <f>IFERROR(VLOOKUP(F7724,CARTON_LOOKUP!$A:$E,3,0),"")</f>
      </c>
      <c r="H7724" s="28">
        <f>IFERROR(VLOOKUP(F7724,CARTON_LOOKUP!$A:$E,4,0),"")</f>
      </c>
      <c r="I7724" s="28">
        <f>IFERROR(VLOOKUP(F7724,CARTON_LOOKUP!$A:$E,5,0),"")</f>
      </c>
      <c r="J7724" s="29">
        <f>IFERROR(VLOOKUP(F7724,CARTON_LOOKUP!$A:$E,2,0),"")</f>
      </c>
      <c r="K7724" s="29">
        <f>IFERROR(J7724*D7724,0)</f>
      </c>
      <c r="L7724" s="29">
        <f>IFERROR(E7724*C7724,0)</f>
      </c>
      <c r="M7724" s="29">
        <f>IFERROR((G7724*H7724*I7724/1000000)*D7724,0)</f>
      </c>
    </row>
    <row r="7725" spans="1:13" x14ac:dyDescent="0.25">
      <c r="A7725" s="16"/>
      <c r="E7725" s="27"/>
      <c r="F7725" t="s">
        <v>26</v>
      </c>
      <c r="G7725" s="28">
        <f>IFERROR(VLOOKUP(F7725,CARTON_LOOKUP!$A:$E,3,0),"")</f>
      </c>
      <c r="H7725" s="28">
        <f>IFERROR(VLOOKUP(F7725,CARTON_LOOKUP!$A:$E,4,0),"")</f>
      </c>
      <c r="I7725" s="28">
        <f>IFERROR(VLOOKUP(F7725,CARTON_LOOKUP!$A:$E,5,0),"")</f>
      </c>
      <c r="J7725" s="29">
        <f>IFERROR(VLOOKUP(F7725,CARTON_LOOKUP!$A:$E,2,0),"")</f>
      </c>
      <c r="K7725" s="29">
        <f>IFERROR(J7725*D7725,0)</f>
      </c>
      <c r="L7725" s="29">
        <f>IFERROR(E7725*C7725,0)</f>
      </c>
      <c r="M7725" s="29">
        <f>IFERROR((G7725*H7725*I7725/1000000)*D7725,0)</f>
      </c>
    </row>
    <row r="7726" spans="1:13" x14ac:dyDescent="0.25">
      <c r="A7726" s="16"/>
      <c r="E7726" s="27"/>
      <c r="F7726" t="s">
        <v>26</v>
      </c>
      <c r="G7726" s="28">
        <f>IFERROR(VLOOKUP(F7726,CARTON_LOOKUP!$A:$E,3,0),"")</f>
      </c>
      <c r="H7726" s="28">
        <f>IFERROR(VLOOKUP(F7726,CARTON_LOOKUP!$A:$E,4,0),"")</f>
      </c>
      <c r="I7726" s="28">
        <f>IFERROR(VLOOKUP(F7726,CARTON_LOOKUP!$A:$E,5,0),"")</f>
      </c>
      <c r="J7726" s="29">
        <f>IFERROR(VLOOKUP(F7726,CARTON_LOOKUP!$A:$E,2,0),"")</f>
      </c>
      <c r="K7726" s="29">
        <f>IFERROR(J7726*D7726,0)</f>
      </c>
      <c r="L7726" s="29">
        <f>IFERROR(E7726*C7726,0)</f>
      </c>
      <c r="M7726" s="29">
        <f>IFERROR((G7726*H7726*I7726/1000000)*D7726,0)</f>
      </c>
    </row>
    <row r="7727" spans="1:13" x14ac:dyDescent="0.25">
      <c r="A7727" s="16"/>
      <c r="E7727" s="27"/>
      <c r="F7727" t="s">
        <v>26</v>
      </c>
      <c r="G7727" s="28">
        <f>IFERROR(VLOOKUP(F7727,CARTON_LOOKUP!$A:$E,3,0),"")</f>
      </c>
      <c r="H7727" s="28">
        <f>IFERROR(VLOOKUP(F7727,CARTON_LOOKUP!$A:$E,4,0),"")</f>
      </c>
      <c r="I7727" s="28">
        <f>IFERROR(VLOOKUP(F7727,CARTON_LOOKUP!$A:$E,5,0),"")</f>
      </c>
      <c r="J7727" s="29">
        <f>IFERROR(VLOOKUP(F7727,CARTON_LOOKUP!$A:$E,2,0),"")</f>
      </c>
      <c r="K7727" s="29">
        <f>IFERROR(J7727*D7727,0)</f>
      </c>
      <c r="L7727" s="29">
        <f>IFERROR(E7727*C7727,0)</f>
      </c>
      <c r="M7727" s="29">
        <f>IFERROR((G7727*H7727*I7727/1000000)*D7727,0)</f>
      </c>
    </row>
    <row r="7728" spans="1:13" x14ac:dyDescent="0.25">
      <c r="A7728" s="16"/>
      <c r="E7728" s="27"/>
      <c r="F7728" t="s">
        <v>26</v>
      </c>
      <c r="G7728" s="28">
        <f>IFERROR(VLOOKUP(F7728,CARTON_LOOKUP!$A:$E,3,0),"")</f>
      </c>
      <c r="H7728" s="28">
        <f>IFERROR(VLOOKUP(F7728,CARTON_LOOKUP!$A:$E,4,0),"")</f>
      </c>
      <c r="I7728" s="28">
        <f>IFERROR(VLOOKUP(F7728,CARTON_LOOKUP!$A:$E,5,0),"")</f>
      </c>
      <c r="J7728" s="29">
        <f>IFERROR(VLOOKUP(F7728,CARTON_LOOKUP!$A:$E,2,0),"")</f>
      </c>
      <c r="K7728" s="29">
        <f>IFERROR(J7728*D7728,0)</f>
      </c>
      <c r="L7728" s="29">
        <f>IFERROR(E7728*C7728,0)</f>
      </c>
      <c r="M7728" s="29">
        <f>IFERROR((G7728*H7728*I7728/1000000)*D7728,0)</f>
      </c>
    </row>
    <row r="7729" spans="1:13" x14ac:dyDescent="0.25">
      <c r="A7729" s="16"/>
      <c r="E7729" s="27"/>
      <c r="F7729" t="s">
        <v>26</v>
      </c>
      <c r="G7729" s="28">
        <f>IFERROR(VLOOKUP(F7729,CARTON_LOOKUP!$A:$E,3,0),"")</f>
      </c>
      <c r="H7729" s="28">
        <f>IFERROR(VLOOKUP(F7729,CARTON_LOOKUP!$A:$E,4,0),"")</f>
      </c>
      <c r="I7729" s="28">
        <f>IFERROR(VLOOKUP(F7729,CARTON_LOOKUP!$A:$E,5,0),"")</f>
      </c>
      <c r="J7729" s="29">
        <f>IFERROR(VLOOKUP(F7729,CARTON_LOOKUP!$A:$E,2,0),"")</f>
      </c>
      <c r="K7729" s="29">
        <f>IFERROR(J7729*D7729,0)</f>
      </c>
      <c r="L7729" s="29">
        <f>IFERROR(E7729*C7729,0)</f>
      </c>
      <c r="M7729" s="29">
        <f>IFERROR((G7729*H7729*I7729/1000000)*D7729,0)</f>
      </c>
    </row>
    <row r="7730" spans="1:13" x14ac:dyDescent="0.25">
      <c r="A7730" s="16"/>
      <c r="E7730" s="27"/>
      <c r="F7730" t="s">
        <v>26</v>
      </c>
      <c r="G7730" s="28">
        <f>IFERROR(VLOOKUP(F7730,CARTON_LOOKUP!$A:$E,3,0),"")</f>
      </c>
      <c r="H7730" s="28">
        <f>IFERROR(VLOOKUP(F7730,CARTON_LOOKUP!$A:$E,4,0),"")</f>
      </c>
      <c r="I7730" s="28">
        <f>IFERROR(VLOOKUP(F7730,CARTON_LOOKUP!$A:$E,5,0),"")</f>
      </c>
      <c r="J7730" s="29">
        <f>IFERROR(VLOOKUP(F7730,CARTON_LOOKUP!$A:$E,2,0),"")</f>
      </c>
      <c r="K7730" s="29">
        <f>IFERROR(J7730*D7730,0)</f>
      </c>
      <c r="L7730" s="29">
        <f>IFERROR(E7730*C7730,0)</f>
      </c>
      <c r="M7730" s="29">
        <f>IFERROR((G7730*H7730*I7730/1000000)*D7730,0)</f>
      </c>
    </row>
    <row r="7731" spans="1:13" x14ac:dyDescent="0.25">
      <c r="A7731" s="16"/>
      <c r="E7731" s="27"/>
      <c r="F7731" t="s">
        <v>26</v>
      </c>
      <c r="G7731" s="28">
        <f>IFERROR(VLOOKUP(F7731,CARTON_LOOKUP!$A:$E,3,0),"")</f>
      </c>
      <c r="H7731" s="28">
        <f>IFERROR(VLOOKUP(F7731,CARTON_LOOKUP!$A:$E,4,0),"")</f>
      </c>
      <c r="I7731" s="28">
        <f>IFERROR(VLOOKUP(F7731,CARTON_LOOKUP!$A:$E,5,0),"")</f>
      </c>
      <c r="J7731" s="29">
        <f>IFERROR(VLOOKUP(F7731,CARTON_LOOKUP!$A:$E,2,0),"")</f>
      </c>
      <c r="K7731" s="29">
        <f>IFERROR(J7731*D7731,0)</f>
      </c>
      <c r="L7731" s="29">
        <f>IFERROR(E7731*C7731,0)</f>
      </c>
      <c r="M7731" s="29">
        <f>IFERROR((G7731*H7731*I7731/1000000)*D7731,0)</f>
      </c>
    </row>
    <row r="7732" spans="1:13" x14ac:dyDescent="0.25">
      <c r="A7732" s="16"/>
      <c r="E7732" s="27"/>
      <c r="F7732" t="s">
        <v>26</v>
      </c>
      <c r="G7732" s="28">
        <f>IFERROR(VLOOKUP(F7732,CARTON_LOOKUP!$A:$E,3,0),"")</f>
      </c>
      <c r="H7732" s="28">
        <f>IFERROR(VLOOKUP(F7732,CARTON_LOOKUP!$A:$E,4,0),"")</f>
      </c>
      <c r="I7732" s="28">
        <f>IFERROR(VLOOKUP(F7732,CARTON_LOOKUP!$A:$E,5,0),"")</f>
      </c>
      <c r="J7732" s="29">
        <f>IFERROR(VLOOKUP(F7732,CARTON_LOOKUP!$A:$E,2,0),"")</f>
      </c>
      <c r="K7732" s="29">
        <f>IFERROR(J7732*D7732,0)</f>
      </c>
      <c r="L7732" s="29">
        <f>IFERROR(E7732*C7732,0)</f>
      </c>
      <c r="M7732" s="29">
        <f>IFERROR((G7732*H7732*I7732/1000000)*D7732,0)</f>
      </c>
    </row>
    <row r="7733" spans="1:13" x14ac:dyDescent="0.25">
      <c r="A7733" s="16"/>
      <c r="E7733" s="27"/>
      <c r="F7733" t="s">
        <v>26</v>
      </c>
      <c r="G7733" s="28">
        <f>IFERROR(VLOOKUP(F7733,CARTON_LOOKUP!$A:$E,3,0),"")</f>
      </c>
      <c r="H7733" s="28">
        <f>IFERROR(VLOOKUP(F7733,CARTON_LOOKUP!$A:$E,4,0),"")</f>
      </c>
      <c r="I7733" s="28">
        <f>IFERROR(VLOOKUP(F7733,CARTON_LOOKUP!$A:$E,5,0),"")</f>
      </c>
      <c r="J7733" s="29">
        <f>IFERROR(VLOOKUP(F7733,CARTON_LOOKUP!$A:$E,2,0),"")</f>
      </c>
      <c r="K7733" s="29">
        <f>IFERROR(J7733*D7733,0)</f>
      </c>
      <c r="L7733" s="29">
        <f>IFERROR(E7733*C7733,0)</f>
      </c>
      <c r="M7733" s="29">
        <f>IFERROR((G7733*H7733*I7733/1000000)*D7733,0)</f>
      </c>
    </row>
    <row r="7734" spans="1:13" x14ac:dyDescent="0.25">
      <c r="A7734" s="16"/>
      <c r="E7734" s="27"/>
      <c r="F7734" t="s">
        <v>26</v>
      </c>
      <c r="G7734" s="28">
        <f>IFERROR(VLOOKUP(F7734,CARTON_LOOKUP!$A:$E,3,0),"")</f>
      </c>
      <c r="H7734" s="28">
        <f>IFERROR(VLOOKUP(F7734,CARTON_LOOKUP!$A:$E,4,0),"")</f>
      </c>
      <c r="I7734" s="28">
        <f>IFERROR(VLOOKUP(F7734,CARTON_LOOKUP!$A:$E,5,0),"")</f>
      </c>
      <c r="J7734" s="29">
        <f>IFERROR(VLOOKUP(F7734,CARTON_LOOKUP!$A:$E,2,0),"")</f>
      </c>
      <c r="K7734" s="29">
        <f>IFERROR(J7734*D7734,0)</f>
      </c>
      <c r="L7734" s="29">
        <f>IFERROR(E7734*C7734,0)</f>
      </c>
      <c r="M7734" s="29">
        <f>IFERROR((G7734*H7734*I7734/1000000)*D7734,0)</f>
      </c>
    </row>
    <row r="7735" spans="1:13" x14ac:dyDescent="0.25">
      <c r="A7735" s="16"/>
      <c r="E7735" s="27"/>
      <c r="F7735" t="s">
        <v>26</v>
      </c>
      <c r="G7735" s="28">
        <f>IFERROR(VLOOKUP(F7735,CARTON_LOOKUP!$A:$E,3,0),"")</f>
      </c>
      <c r="H7735" s="28">
        <f>IFERROR(VLOOKUP(F7735,CARTON_LOOKUP!$A:$E,4,0),"")</f>
      </c>
      <c r="I7735" s="28">
        <f>IFERROR(VLOOKUP(F7735,CARTON_LOOKUP!$A:$E,5,0),"")</f>
      </c>
      <c r="J7735" s="29">
        <f>IFERROR(VLOOKUP(F7735,CARTON_LOOKUP!$A:$E,2,0),"")</f>
      </c>
      <c r="K7735" s="29">
        <f>IFERROR(J7735*D7735,0)</f>
      </c>
      <c r="L7735" s="29">
        <f>IFERROR(E7735*C7735,0)</f>
      </c>
      <c r="M7735" s="29">
        <f>IFERROR((G7735*H7735*I7735/1000000)*D7735,0)</f>
      </c>
    </row>
    <row r="7736" spans="1:13" x14ac:dyDescent="0.25">
      <c r="A7736" s="16"/>
      <c r="E7736" s="27"/>
      <c r="F7736" t="s">
        <v>26</v>
      </c>
      <c r="G7736" s="28">
        <f>IFERROR(VLOOKUP(F7736,CARTON_LOOKUP!$A:$E,3,0),"")</f>
      </c>
      <c r="H7736" s="28">
        <f>IFERROR(VLOOKUP(F7736,CARTON_LOOKUP!$A:$E,4,0),"")</f>
      </c>
      <c r="I7736" s="28">
        <f>IFERROR(VLOOKUP(F7736,CARTON_LOOKUP!$A:$E,5,0),"")</f>
      </c>
      <c r="J7736" s="29">
        <f>IFERROR(VLOOKUP(F7736,CARTON_LOOKUP!$A:$E,2,0),"")</f>
      </c>
      <c r="K7736" s="29">
        <f>IFERROR(J7736*D7736,0)</f>
      </c>
      <c r="L7736" s="29">
        <f>IFERROR(E7736*C7736,0)</f>
      </c>
      <c r="M7736" s="29">
        <f>IFERROR((G7736*H7736*I7736/1000000)*D7736,0)</f>
      </c>
    </row>
    <row r="7737" spans="1:13" x14ac:dyDescent="0.25">
      <c r="A7737" s="16"/>
      <c r="E7737" s="27"/>
      <c r="F7737" t="s">
        <v>26</v>
      </c>
      <c r="G7737" s="28">
        <f>IFERROR(VLOOKUP(F7737,CARTON_LOOKUP!$A:$E,3,0),"")</f>
      </c>
      <c r="H7737" s="28">
        <f>IFERROR(VLOOKUP(F7737,CARTON_LOOKUP!$A:$E,4,0),"")</f>
      </c>
      <c r="I7737" s="28">
        <f>IFERROR(VLOOKUP(F7737,CARTON_LOOKUP!$A:$E,5,0),"")</f>
      </c>
      <c r="J7737" s="29">
        <f>IFERROR(VLOOKUP(F7737,CARTON_LOOKUP!$A:$E,2,0),"")</f>
      </c>
      <c r="K7737" s="29">
        <f>IFERROR(J7737*D7737,0)</f>
      </c>
      <c r="L7737" s="29">
        <f>IFERROR(E7737*C7737,0)</f>
      </c>
      <c r="M7737" s="29">
        <f>IFERROR((G7737*H7737*I7737/1000000)*D7737,0)</f>
      </c>
    </row>
    <row r="7738" spans="1:13" x14ac:dyDescent="0.25">
      <c r="A7738" s="16"/>
      <c r="E7738" s="27"/>
      <c r="F7738" t="s">
        <v>26</v>
      </c>
      <c r="G7738" s="28">
        <f>IFERROR(VLOOKUP(F7738,CARTON_LOOKUP!$A:$E,3,0),"")</f>
      </c>
      <c r="H7738" s="28">
        <f>IFERROR(VLOOKUP(F7738,CARTON_LOOKUP!$A:$E,4,0),"")</f>
      </c>
      <c r="I7738" s="28">
        <f>IFERROR(VLOOKUP(F7738,CARTON_LOOKUP!$A:$E,5,0),"")</f>
      </c>
      <c r="J7738" s="29">
        <f>IFERROR(VLOOKUP(F7738,CARTON_LOOKUP!$A:$E,2,0),"")</f>
      </c>
      <c r="K7738" s="29">
        <f>IFERROR(J7738*D7738,0)</f>
      </c>
      <c r="L7738" s="29">
        <f>IFERROR(E7738*C7738,0)</f>
      </c>
      <c r="M7738" s="29">
        <f>IFERROR((G7738*H7738*I7738/1000000)*D7738,0)</f>
      </c>
    </row>
    <row r="7739" spans="1:13" x14ac:dyDescent="0.25">
      <c r="A7739" s="16"/>
      <c r="E7739" s="27"/>
      <c r="F7739" t="s">
        <v>26</v>
      </c>
      <c r="G7739" s="28">
        <f>IFERROR(VLOOKUP(F7739,CARTON_LOOKUP!$A:$E,3,0),"")</f>
      </c>
      <c r="H7739" s="28">
        <f>IFERROR(VLOOKUP(F7739,CARTON_LOOKUP!$A:$E,4,0),"")</f>
      </c>
      <c r="I7739" s="28">
        <f>IFERROR(VLOOKUP(F7739,CARTON_LOOKUP!$A:$E,5,0),"")</f>
      </c>
      <c r="J7739" s="29">
        <f>IFERROR(VLOOKUP(F7739,CARTON_LOOKUP!$A:$E,2,0),"")</f>
      </c>
      <c r="K7739" s="29">
        <f>IFERROR(J7739*D7739,0)</f>
      </c>
      <c r="L7739" s="29">
        <f>IFERROR(E7739*C7739,0)</f>
      </c>
      <c r="M7739" s="29">
        <f>IFERROR((G7739*H7739*I7739/1000000)*D7739,0)</f>
      </c>
    </row>
    <row r="7740" spans="1:13" x14ac:dyDescent="0.25">
      <c r="A7740" s="16"/>
      <c r="E7740" s="27"/>
      <c r="F7740" t="s">
        <v>26</v>
      </c>
      <c r="G7740" s="28">
        <f>IFERROR(VLOOKUP(F7740,CARTON_LOOKUP!$A:$E,3,0),"")</f>
      </c>
      <c r="H7740" s="28">
        <f>IFERROR(VLOOKUP(F7740,CARTON_LOOKUP!$A:$E,4,0),"")</f>
      </c>
      <c r="I7740" s="28">
        <f>IFERROR(VLOOKUP(F7740,CARTON_LOOKUP!$A:$E,5,0),"")</f>
      </c>
      <c r="J7740" s="29">
        <f>IFERROR(VLOOKUP(F7740,CARTON_LOOKUP!$A:$E,2,0),"")</f>
      </c>
      <c r="K7740" s="29">
        <f>IFERROR(J7740*D7740,0)</f>
      </c>
      <c r="L7740" s="29">
        <f>IFERROR(E7740*C7740,0)</f>
      </c>
      <c r="M7740" s="29">
        <f>IFERROR((G7740*H7740*I7740/1000000)*D7740,0)</f>
      </c>
    </row>
    <row r="7741" spans="1:13" x14ac:dyDescent="0.25">
      <c r="A7741" s="16"/>
      <c r="E7741" s="27"/>
      <c r="F7741" t="s">
        <v>26</v>
      </c>
      <c r="G7741" s="28">
        <f>IFERROR(VLOOKUP(F7741,CARTON_LOOKUP!$A:$E,3,0),"")</f>
      </c>
      <c r="H7741" s="28">
        <f>IFERROR(VLOOKUP(F7741,CARTON_LOOKUP!$A:$E,4,0),"")</f>
      </c>
      <c r="I7741" s="28">
        <f>IFERROR(VLOOKUP(F7741,CARTON_LOOKUP!$A:$E,5,0),"")</f>
      </c>
      <c r="J7741" s="29">
        <f>IFERROR(VLOOKUP(F7741,CARTON_LOOKUP!$A:$E,2,0),"")</f>
      </c>
      <c r="K7741" s="29">
        <f>IFERROR(J7741*D7741,0)</f>
      </c>
      <c r="L7741" s="29">
        <f>IFERROR(E7741*C7741,0)</f>
      </c>
      <c r="M7741" s="29">
        <f>IFERROR((G7741*H7741*I7741/1000000)*D7741,0)</f>
      </c>
    </row>
    <row r="7742" spans="1:13" x14ac:dyDescent="0.25">
      <c r="A7742" s="16"/>
      <c r="E7742" s="27"/>
      <c r="F7742" t="s">
        <v>26</v>
      </c>
      <c r="G7742" s="28">
        <f>IFERROR(VLOOKUP(F7742,CARTON_LOOKUP!$A:$E,3,0),"")</f>
      </c>
      <c r="H7742" s="28">
        <f>IFERROR(VLOOKUP(F7742,CARTON_LOOKUP!$A:$E,4,0),"")</f>
      </c>
      <c r="I7742" s="28">
        <f>IFERROR(VLOOKUP(F7742,CARTON_LOOKUP!$A:$E,5,0),"")</f>
      </c>
      <c r="J7742" s="29">
        <f>IFERROR(VLOOKUP(F7742,CARTON_LOOKUP!$A:$E,2,0),"")</f>
      </c>
      <c r="K7742" s="29">
        <f>IFERROR(J7742*D7742,0)</f>
      </c>
      <c r="L7742" s="29">
        <f>IFERROR(E7742*C7742,0)</f>
      </c>
      <c r="M7742" s="29">
        <f>IFERROR((G7742*H7742*I7742/1000000)*D7742,0)</f>
      </c>
    </row>
    <row r="7743" spans="1:13" x14ac:dyDescent="0.25">
      <c r="A7743" s="16"/>
      <c r="E7743" s="27"/>
      <c r="F7743" t="s">
        <v>26</v>
      </c>
      <c r="G7743" s="28">
        <f>IFERROR(VLOOKUP(F7743,CARTON_LOOKUP!$A:$E,3,0),"")</f>
      </c>
      <c r="H7743" s="28">
        <f>IFERROR(VLOOKUP(F7743,CARTON_LOOKUP!$A:$E,4,0),"")</f>
      </c>
      <c r="I7743" s="28">
        <f>IFERROR(VLOOKUP(F7743,CARTON_LOOKUP!$A:$E,5,0),"")</f>
      </c>
      <c r="J7743" s="29">
        <f>IFERROR(VLOOKUP(F7743,CARTON_LOOKUP!$A:$E,2,0),"")</f>
      </c>
      <c r="K7743" s="29">
        <f>IFERROR(J7743*D7743,0)</f>
      </c>
      <c r="L7743" s="29">
        <f>IFERROR(E7743*C7743,0)</f>
      </c>
      <c r="M7743" s="29">
        <f>IFERROR((G7743*H7743*I7743/1000000)*D7743,0)</f>
      </c>
    </row>
    <row r="7744" spans="1:13" x14ac:dyDescent="0.25">
      <c r="A7744" s="16"/>
      <c r="E7744" s="27"/>
      <c r="F7744" t="s">
        <v>26</v>
      </c>
      <c r="G7744" s="28">
        <f>IFERROR(VLOOKUP(F7744,CARTON_LOOKUP!$A:$E,3,0),"")</f>
      </c>
      <c r="H7744" s="28">
        <f>IFERROR(VLOOKUP(F7744,CARTON_LOOKUP!$A:$E,4,0),"")</f>
      </c>
      <c r="I7744" s="28">
        <f>IFERROR(VLOOKUP(F7744,CARTON_LOOKUP!$A:$E,5,0),"")</f>
      </c>
      <c r="J7744" s="29">
        <f>IFERROR(VLOOKUP(F7744,CARTON_LOOKUP!$A:$E,2,0),"")</f>
      </c>
      <c r="K7744" s="29">
        <f>IFERROR(J7744*D7744,0)</f>
      </c>
      <c r="L7744" s="29">
        <f>IFERROR(E7744*C7744,0)</f>
      </c>
      <c r="M7744" s="29">
        <f>IFERROR((G7744*H7744*I7744/1000000)*D7744,0)</f>
      </c>
    </row>
    <row r="7745" spans="1:13" x14ac:dyDescent="0.25">
      <c r="A7745" s="16"/>
      <c r="E7745" s="27"/>
      <c r="F7745" t="s">
        <v>26</v>
      </c>
      <c r="G7745" s="28">
        <f>IFERROR(VLOOKUP(F7745,CARTON_LOOKUP!$A:$E,3,0),"")</f>
      </c>
      <c r="H7745" s="28">
        <f>IFERROR(VLOOKUP(F7745,CARTON_LOOKUP!$A:$E,4,0),"")</f>
      </c>
      <c r="I7745" s="28">
        <f>IFERROR(VLOOKUP(F7745,CARTON_LOOKUP!$A:$E,5,0),"")</f>
      </c>
      <c r="J7745" s="29">
        <f>IFERROR(VLOOKUP(F7745,CARTON_LOOKUP!$A:$E,2,0),"")</f>
      </c>
      <c r="K7745" s="29">
        <f>IFERROR(J7745*D7745,0)</f>
      </c>
      <c r="L7745" s="29">
        <f>IFERROR(E7745*C7745,0)</f>
      </c>
      <c r="M7745" s="29">
        <f>IFERROR((G7745*H7745*I7745/1000000)*D7745,0)</f>
      </c>
    </row>
    <row r="7746" spans="1:13" x14ac:dyDescent="0.25">
      <c r="A7746" s="16"/>
      <c r="E7746" s="27"/>
      <c r="F7746" t="s">
        <v>26</v>
      </c>
      <c r="G7746" s="28">
        <f>IFERROR(VLOOKUP(F7746,CARTON_LOOKUP!$A:$E,3,0),"")</f>
      </c>
      <c r="H7746" s="28">
        <f>IFERROR(VLOOKUP(F7746,CARTON_LOOKUP!$A:$E,4,0),"")</f>
      </c>
      <c r="I7746" s="28">
        <f>IFERROR(VLOOKUP(F7746,CARTON_LOOKUP!$A:$E,5,0),"")</f>
      </c>
      <c r="J7746" s="29">
        <f>IFERROR(VLOOKUP(F7746,CARTON_LOOKUP!$A:$E,2,0),"")</f>
      </c>
      <c r="K7746" s="29">
        <f>IFERROR(J7746*D7746,0)</f>
      </c>
      <c r="L7746" s="29">
        <f>IFERROR(E7746*C7746,0)</f>
      </c>
      <c r="M7746" s="29">
        <f>IFERROR((G7746*H7746*I7746/1000000)*D7746,0)</f>
      </c>
    </row>
    <row r="7747" spans="1:13" x14ac:dyDescent="0.25">
      <c r="A7747" s="16"/>
      <c r="E7747" s="27"/>
      <c r="F7747" t="s">
        <v>26</v>
      </c>
      <c r="G7747" s="28">
        <f>IFERROR(VLOOKUP(F7747,CARTON_LOOKUP!$A:$E,3,0),"")</f>
      </c>
      <c r="H7747" s="28">
        <f>IFERROR(VLOOKUP(F7747,CARTON_LOOKUP!$A:$E,4,0),"")</f>
      </c>
      <c r="I7747" s="28">
        <f>IFERROR(VLOOKUP(F7747,CARTON_LOOKUP!$A:$E,5,0),"")</f>
      </c>
      <c r="J7747" s="29">
        <f>IFERROR(VLOOKUP(F7747,CARTON_LOOKUP!$A:$E,2,0),"")</f>
      </c>
      <c r="K7747" s="29">
        <f>IFERROR(J7747*D7747,0)</f>
      </c>
      <c r="L7747" s="29">
        <f>IFERROR(E7747*C7747,0)</f>
      </c>
      <c r="M7747" s="29">
        <f>IFERROR((G7747*H7747*I7747/1000000)*D7747,0)</f>
      </c>
    </row>
    <row r="7748" spans="1:13" x14ac:dyDescent="0.25">
      <c r="A7748" s="16"/>
      <c r="E7748" s="27"/>
      <c r="F7748" t="s">
        <v>26</v>
      </c>
      <c r="G7748" s="28">
        <f>IFERROR(VLOOKUP(F7748,CARTON_LOOKUP!$A:$E,3,0),"")</f>
      </c>
      <c r="H7748" s="28">
        <f>IFERROR(VLOOKUP(F7748,CARTON_LOOKUP!$A:$E,4,0),"")</f>
      </c>
      <c r="I7748" s="28">
        <f>IFERROR(VLOOKUP(F7748,CARTON_LOOKUP!$A:$E,5,0),"")</f>
      </c>
      <c r="J7748" s="29">
        <f>IFERROR(VLOOKUP(F7748,CARTON_LOOKUP!$A:$E,2,0),"")</f>
      </c>
      <c r="K7748" s="29">
        <f>IFERROR(J7748*D7748,0)</f>
      </c>
      <c r="L7748" s="29">
        <f>IFERROR(E7748*C7748,0)</f>
      </c>
      <c r="M7748" s="29">
        <f>IFERROR((G7748*H7748*I7748/1000000)*D7748,0)</f>
      </c>
    </row>
    <row r="7749" spans="1:13" x14ac:dyDescent="0.25">
      <c r="A7749" s="16"/>
      <c r="E7749" s="27"/>
      <c r="F7749" t="s">
        <v>26</v>
      </c>
      <c r="G7749" s="28">
        <f>IFERROR(VLOOKUP(F7749,CARTON_LOOKUP!$A:$E,3,0),"")</f>
      </c>
      <c r="H7749" s="28">
        <f>IFERROR(VLOOKUP(F7749,CARTON_LOOKUP!$A:$E,4,0),"")</f>
      </c>
      <c r="I7749" s="28">
        <f>IFERROR(VLOOKUP(F7749,CARTON_LOOKUP!$A:$E,5,0),"")</f>
      </c>
      <c r="J7749" s="29">
        <f>IFERROR(VLOOKUP(F7749,CARTON_LOOKUP!$A:$E,2,0),"")</f>
      </c>
      <c r="K7749" s="29">
        <f>IFERROR(J7749*D7749,0)</f>
      </c>
      <c r="L7749" s="29">
        <f>IFERROR(E7749*C7749,0)</f>
      </c>
      <c r="M7749" s="29">
        <f>IFERROR((G7749*H7749*I7749/1000000)*D7749,0)</f>
      </c>
    </row>
    <row r="7750" spans="1:13" x14ac:dyDescent="0.25">
      <c r="A7750" s="16"/>
      <c r="E7750" s="27"/>
      <c r="F7750" t="s">
        <v>26</v>
      </c>
      <c r="G7750" s="28">
        <f>IFERROR(VLOOKUP(F7750,CARTON_LOOKUP!$A:$E,3,0),"")</f>
      </c>
      <c r="H7750" s="28">
        <f>IFERROR(VLOOKUP(F7750,CARTON_LOOKUP!$A:$E,4,0),"")</f>
      </c>
      <c r="I7750" s="28">
        <f>IFERROR(VLOOKUP(F7750,CARTON_LOOKUP!$A:$E,5,0),"")</f>
      </c>
      <c r="J7750" s="29">
        <f>IFERROR(VLOOKUP(F7750,CARTON_LOOKUP!$A:$E,2,0),"")</f>
      </c>
      <c r="K7750" s="29">
        <f>IFERROR(J7750*D7750,0)</f>
      </c>
      <c r="L7750" s="29">
        <f>IFERROR(E7750*C7750,0)</f>
      </c>
      <c r="M7750" s="29">
        <f>IFERROR((G7750*H7750*I7750/1000000)*D7750,0)</f>
      </c>
    </row>
    <row r="7751" spans="1:13" x14ac:dyDescent="0.25">
      <c r="A7751" s="16"/>
      <c r="E7751" s="27"/>
      <c r="F7751" t="s">
        <v>26</v>
      </c>
      <c r="G7751" s="28">
        <f>IFERROR(VLOOKUP(F7751,CARTON_LOOKUP!$A:$E,3,0),"")</f>
      </c>
      <c r="H7751" s="28">
        <f>IFERROR(VLOOKUP(F7751,CARTON_LOOKUP!$A:$E,4,0),"")</f>
      </c>
      <c r="I7751" s="28">
        <f>IFERROR(VLOOKUP(F7751,CARTON_LOOKUP!$A:$E,5,0),"")</f>
      </c>
      <c r="J7751" s="29">
        <f>IFERROR(VLOOKUP(F7751,CARTON_LOOKUP!$A:$E,2,0),"")</f>
      </c>
      <c r="K7751" s="29">
        <f>IFERROR(J7751*D7751,0)</f>
      </c>
      <c r="L7751" s="29">
        <f>IFERROR(E7751*C7751,0)</f>
      </c>
      <c r="M7751" s="29">
        <f>IFERROR((G7751*H7751*I7751/1000000)*D7751,0)</f>
      </c>
    </row>
    <row r="7752" spans="1:13" x14ac:dyDescent="0.25">
      <c r="A7752" s="16"/>
      <c r="E7752" s="27"/>
      <c r="F7752" t="s">
        <v>26</v>
      </c>
      <c r="G7752" s="28">
        <f>IFERROR(VLOOKUP(F7752,CARTON_LOOKUP!$A:$E,3,0),"")</f>
      </c>
      <c r="H7752" s="28">
        <f>IFERROR(VLOOKUP(F7752,CARTON_LOOKUP!$A:$E,4,0),"")</f>
      </c>
      <c r="I7752" s="28">
        <f>IFERROR(VLOOKUP(F7752,CARTON_LOOKUP!$A:$E,5,0),"")</f>
      </c>
      <c r="J7752" s="29">
        <f>IFERROR(VLOOKUP(F7752,CARTON_LOOKUP!$A:$E,2,0),"")</f>
      </c>
      <c r="K7752" s="29">
        <f>IFERROR(J7752*D7752,0)</f>
      </c>
      <c r="L7752" s="29">
        <f>IFERROR(E7752*C7752,0)</f>
      </c>
      <c r="M7752" s="29">
        <f>IFERROR((G7752*H7752*I7752/1000000)*D7752,0)</f>
      </c>
    </row>
    <row r="7753" spans="1:13" x14ac:dyDescent="0.25">
      <c r="A7753" s="16"/>
      <c r="E7753" s="27"/>
      <c r="F7753" t="s">
        <v>26</v>
      </c>
      <c r="G7753" s="28">
        <f>IFERROR(VLOOKUP(F7753,CARTON_LOOKUP!$A:$E,3,0),"")</f>
      </c>
      <c r="H7753" s="28">
        <f>IFERROR(VLOOKUP(F7753,CARTON_LOOKUP!$A:$E,4,0),"")</f>
      </c>
      <c r="I7753" s="28">
        <f>IFERROR(VLOOKUP(F7753,CARTON_LOOKUP!$A:$E,5,0),"")</f>
      </c>
      <c r="J7753" s="29">
        <f>IFERROR(VLOOKUP(F7753,CARTON_LOOKUP!$A:$E,2,0),"")</f>
      </c>
      <c r="K7753" s="29">
        <f>IFERROR(J7753*D7753,0)</f>
      </c>
      <c r="L7753" s="29">
        <f>IFERROR(E7753*C7753,0)</f>
      </c>
      <c r="M7753" s="29">
        <f>IFERROR((G7753*H7753*I7753/1000000)*D7753,0)</f>
      </c>
    </row>
    <row r="7754" spans="1:13" x14ac:dyDescent="0.25">
      <c r="A7754" s="16"/>
      <c r="E7754" s="27"/>
      <c r="F7754" t="s">
        <v>26</v>
      </c>
      <c r="G7754" s="28">
        <f>IFERROR(VLOOKUP(F7754,CARTON_LOOKUP!$A:$E,3,0),"")</f>
      </c>
      <c r="H7754" s="28">
        <f>IFERROR(VLOOKUP(F7754,CARTON_LOOKUP!$A:$E,4,0),"")</f>
      </c>
      <c r="I7754" s="28">
        <f>IFERROR(VLOOKUP(F7754,CARTON_LOOKUP!$A:$E,5,0),"")</f>
      </c>
      <c r="J7754" s="29">
        <f>IFERROR(VLOOKUP(F7754,CARTON_LOOKUP!$A:$E,2,0),"")</f>
      </c>
      <c r="K7754" s="29">
        <f>IFERROR(J7754*D7754,0)</f>
      </c>
      <c r="L7754" s="29">
        <f>IFERROR(E7754*C7754,0)</f>
      </c>
      <c r="M7754" s="29">
        <f>IFERROR((G7754*H7754*I7754/1000000)*D7754,0)</f>
      </c>
    </row>
    <row r="7755" spans="1:13" x14ac:dyDescent="0.25">
      <c r="A7755" s="16"/>
      <c r="E7755" s="27"/>
      <c r="F7755" t="s">
        <v>26</v>
      </c>
      <c r="G7755" s="28">
        <f>IFERROR(VLOOKUP(F7755,CARTON_LOOKUP!$A:$E,3,0),"")</f>
      </c>
      <c r="H7755" s="28">
        <f>IFERROR(VLOOKUP(F7755,CARTON_LOOKUP!$A:$E,4,0),"")</f>
      </c>
      <c r="I7755" s="28">
        <f>IFERROR(VLOOKUP(F7755,CARTON_LOOKUP!$A:$E,5,0),"")</f>
      </c>
      <c r="J7755" s="29">
        <f>IFERROR(VLOOKUP(F7755,CARTON_LOOKUP!$A:$E,2,0),"")</f>
      </c>
      <c r="K7755" s="29">
        <f>IFERROR(J7755*D7755,0)</f>
      </c>
      <c r="L7755" s="29">
        <f>IFERROR(E7755*C7755,0)</f>
      </c>
      <c r="M7755" s="29">
        <f>IFERROR((G7755*H7755*I7755/1000000)*D7755,0)</f>
      </c>
    </row>
    <row r="7756" spans="1:13" x14ac:dyDescent="0.25">
      <c r="A7756" s="16"/>
      <c r="E7756" s="27"/>
      <c r="F7756" t="s">
        <v>26</v>
      </c>
      <c r="G7756" s="28">
        <f>IFERROR(VLOOKUP(F7756,CARTON_LOOKUP!$A:$E,3,0),"")</f>
      </c>
      <c r="H7756" s="28">
        <f>IFERROR(VLOOKUP(F7756,CARTON_LOOKUP!$A:$E,4,0),"")</f>
      </c>
      <c r="I7756" s="28">
        <f>IFERROR(VLOOKUP(F7756,CARTON_LOOKUP!$A:$E,5,0),"")</f>
      </c>
      <c r="J7756" s="29">
        <f>IFERROR(VLOOKUP(F7756,CARTON_LOOKUP!$A:$E,2,0),"")</f>
      </c>
      <c r="K7756" s="29">
        <f>IFERROR(J7756*D7756,0)</f>
      </c>
      <c r="L7756" s="29">
        <f>IFERROR(E7756*C7756,0)</f>
      </c>
      <c r="M7756" s="29">
        <f>IFERROR((G7756*H7756*I7756/1000000)*D7756,0)</f>
      </c>
    </row>
    <row r="7757" spans="1:13" x14ac:dyDescent="0.25">
      <c r="A7757" s="16"/>
      <c r="E7757" s="27"/>
      <c r="F7757" t="s">
        <v>26</v>
      </c>
      <c r="G7757" s="28">
        <f>IFERROR(VLOOKUP(F7757,CARTON_LOOKUP!$A:$E,3,0),"")</f>
      </c>
      <c r="H7757" s="28">
        <f>IFERROR(VLOOKUP(F7757,CARTON_LOOKUP!$A:$E,4,0),"")</f>
      </c>
      <c r="I7757" s="28">
        <f>IFERROR(VLOOKUP(F7757,CARTON_LOOKUP!$A:$E,5,0),"")</f>
      </c>
      <c r="J7757" s="29">
        <f>IFERROR(VLOOKUP(F7757,CARTON_LOOKUP!$A:$E,2,0),"")</f>
      </c>
      <c r="K7757" s="29">
        <f>IFERROR(J7757*D7757,0)</f>
      </c>
      <c r="L7757" s="29">
        <f>IFERROR(E7757*C7757,0)</f>
      </c>
      <c r="M7757" s="29">
        <f>IFERROR((G7757*H7757*I7757/1000000)*D7757,0)</f>
      </c>
    </row>
    <row r="7758" spans="1:13" x14ac:dyDescent="0.25">
      <c r="A7758" s="16"/>
      <c r="E7758" s="27"/>
      <c r="F7758" t="s">
        <v>26</v>
      </c>
      <c r="G7758" s="28">
        <f>IFERROR(VLOOKUP(F7758,CARTON_LOOKUP!$A:$E,3,0),"")</f>
      </c>
      <c r="H7758" s="28">
        <f>IFERROR(VLOOKUP(F7758,CARTON_LOOKUP!$A:$E,4,0),"")</f>
      </c>
      <c r="I7758" s="28">
        <f>IFERROR(VLOOKUP(F7758,CARTON_LOOKUP!$A:$E,5,0),"")</f>
      </c>
      <c r="J7758" s="29">
        <f>IFERROR(VLOOKUP(F7758,CARTON_LOOKUP!$A:$E,2,0),"")</f>
      </c>
      <c r="K7758" s="29">
        <f>IFERROR(J7758*D7758,0)</f>
      </c>
      <c r="L7758" s="29">
        <f>IFERROR(E7758*C7758,0)</f>
      </c>
      <c r="M7758" s="29">
        <f>IFERROR((G7758*H7758*I7758/1000000)*D7758,0)</f>
      </c>
    </row>
    <row r="7759" spans="1:13" x14ac:dyDescent="0.25">
      <c r="A7759" s="16"/>
      <c r="E7759" s="27"/>
      <c r="F7759" t="s">
        <v>26</v>
      </c>
      <c r="G7759" s="28">
        <f>IFERROR(VLOOKUP(F7759,CARTON_LOOKUP!$A:$E,3,0),"")</f>
      </c>
      <c r="H7759" s="28">
        <f>IFERROR(VLOOKUP(F7759,CARTON_LOOKUP!$A:$E,4,0),"")</f>
      </c>
      <c r="I7759" s="28">
        <f>IFERROR(VLOOKUP(F7759,CARTON_LOOKUP!$A:$E,5,0),"")</f>
      </c>
      <c r="J7759" s="29">
        <f>IFERROR(VLOOKUP(F7759,CARTON_LOOKUP!$A:$E,2,0),"")</f>
      </c>
      <c r="K7759" s="29">
        <f>IFERROR(J7759*D7759,0)</f>
      </c>
      <c r="L7759" s="29">
        <f>IFERROR(E7759*C7759,0)</f>
      </c>
      <c r="M7759" s="29">
        <f>IFERROR((G7759*H7759*I7759/1000000)*D7759,0)</f>
      </c>
    </row>
    <row r="7760" spans="1:13" x14ac:dyDescent="0.25">
      <c r="A7760" s="16"/>
      <c r="E7760" s="27"/>
      <c r="F7760" t="s">
        <v>26</v>
      </c>
      <c r="G7760" s="28">
        <f>IFERROR(VLOOKUP(F7760,CARTON_LOOKUP!$A:$E,3,0),"")</f>
      </c>
      <c r="H7760" s="28">
        <f>IFERROR(VLOOKUP(F7760,CARTON_LOOKUP!$A:$E,4,0),"")</f>
      </c>
      <c r="I7760" s="28">
        <f>IFERROR(VLOOKUP(F7760,CARTON_LOOKUP!$A:$E,5,0),"")</f>
      </c>
      <c r="J7760" s="29">
        <f>IFERROR(VLOOKUP(F7760,CARTON_LOOKUP!$A:$E,2,0),"")</f>
      </c>
      <c r="K7760" s="29">
        <f>IFERROR(J7760*D7760,0)</f>
      </c>
      <c r="L7760" s="29">
        <f>IFERROR(E7760*C7760,0)</f>
      </c>
      <c r="M7760" s="29">
        <f>IFERROR((G7760*H7760*I7760/1000000)*D7760,0)</f>
      </c>
    </row>
    <row r="7761" spans="1:13" x14ac:dyDescent="0.25">
      <c r="A7761" s="16"/>
      <c r="E7761" s="27"/>
      <c r="F7761" t="s">
        <v>26</v>
      </c>
      <c r="G7761" s="28">
        <f>IFERROR(VLOOKUP(F7761,CARTON_LOOKUP!$A:$E,3,0),"")</f>
      </c>
      <c r="H7761" s="28">
        <f>IFERROR(VLOOKUP(F7761,CARTON_LOOKUP!$A:$E,4,0),"")</f>
      </c>
      <c r="I7761" s="28">
        <f>IFERROR(VLOOKUP(F7761,CARTON_LOOKUP!$A:$E,5,0),"")</f>
      </c>
      <c r="J7761" s="29">
        <f>IFERROR(VLOOKUP(F7761,CARTON_LOOKUP!$A:$E,2,0),"")</f>
      </c>
      <c r="K7761" s="29">
        <f>IFERROR(J7761*D7761,0)</f>
      </c>
      <c r="L7761" s="29">
        <f>IFERROR(E7761*C7761,0)</f>
      </c>
      <c r="M7761" s="29">
        <f>IFERROR((G7761*H7761*I7761/1000000)*D7761,0)</f>
      </c>
    </row>
    <row r="7762" spans="1:13" x14ac:dyDescent="0.25">
      <c r="A7762" s="16"/>
      <c r="E7762" s="27"/>
      <c r="F7762" t="s">
        <v>26</v>
      </c>
      <c r="G7762" s="28">
        <f>IFERROR(VLOOKUP(F7762,CARTON_LOOKUP!$A:$E,3,0),"")</f>
      </c>
      <c r="H7762" s="28">
        <f>IFERROR(VLOOKUP(F7762,CARTON_LOOKUP!$A:$E,4,0),"")</f>
      </c>
      <c r="I7762" s="28">
        <f>IFERROR(VLOOKUP(F7762,CARTON_LOOKUP!$A:$E,5,0),"")</f>
      </c>
      <c r="J7762" s="29">
        <f>IFERROR(VLOOKUP(F7762,CARTON_LOOKUP!$A:$E,2,0),"")</f>
      </c>
      <c r="K7762" s="29">
        <f>IFERROR(J7762*D7762,0)</f>
      </c>
      <c r="L7762" s="29">
        <f>IFERROR(E7762*C7762,0)</f>
      </c>
      <c r="M7762" s="29">
        <f>IFERROR((G7762*H7762*I7762/1000000)*D7762,0)</f>
      </c>
    </row>
    <row r="7763" spans="1:13" x14ac:dyDescent="0.25">
      <c r="A7763" s="16"/>
      <c r="E7763" s="27"/>
      <c r="F7763" t="s">
        <v>26</v>
      </c>
      <c r="G7763" s="28">
        <f>IFERROR(VLOOKUP(F7763,CARTON_LOOKUP!$A:$E,3,0),"")</f>
      </c>
      <c r="H7763" s="28">
        <f>IFERROR(VLOOKUP(F7763,CARTON_LOOKUP!$A:$E,4,0),"")</f>
      </c>
      <c r="I7763" s="28">
        <f>IFERROR(VLOOKUP(F7763,CARTON_LOOKUP!$A:$E,5,0),"")</f>
      </c>
      <c r="J7763" s="29">
        <f>IFERROR(VLOOKUP(F7763,CARTON_LOOKUP!$A:$E,2,0),"")</f>
      </c>
      <c r="K7763" s="29">
        <f>IFERROR(J7763*D7763,0)</f>
      </c>
      <c r="L7763" s="29">
        <f>IFERROR(E7763*C7763,0)</f>
      </c>
      <c r="M7763" s="29">
        <f>IFERROR((G7763*H7763*I7763/1000000)*D7763,0)</f>
      </c>
    </row>
    <row r="7764" spans="1:13" x14ac:dyDescent="0.25">
      <c r="A7764" s="16"/>
      <c r="E7764" s="27"/>
      <c r="F7764" t="s">
        <v>26</v>
      </c>
      <c r="G7764" s="28">
        <f>IFERROR(VLOOKUP(F7764,CARTON_LOOKUP!$A:$E,3,0),"")</f>
      </c>
      <c r="H7764" s="28">
        <f>IFERROR(VLOOKUP(F7764,CARTON_LOOKUP!$A:$E,4,0),"")</f>
      </c>
      <c r="I7764" s="28">
        <f>IFERROR(VLOOKUP(F7764,CARTON_LOOKUP!$A:$E,5,0),"")</f>
      </c>
      <c r="J7764" s="29">
        <f>IFERROR(VLOOKUP(F7764,CARTON_LOOKUP!$A:$E,2,0),"")</f>
      </c>
      <c r="K7764" s="29">
        <f>IFERROR(J7764*D7764,0)</f>
      </c>
      <c r="L7764" s="29">
        <f>IFERROR(E7764*C7764,0)</f>
      </c>
      <c r="M7764" s="29">
        <f>IFERROR((G7764*H7764*I7764/1000000)*D7764,0)</f>
      </c>
    </row>
    <row r="7765" spans="1:13" x14ac:dyDescent="0.25">
      <c r="A7765" s="16"/>
      <c r="E7765" s="27"/>
      <c r="F7765" t="s">
        <v>26</v>
      </c>
      <c r="G7765" s="28">
        <f>IFERROR(VLOOKUP(F7765,CARTON_LOOKUP!$A:$E,3,0),"")</f>
      </c>
      <c r="H7765" s="28">
        <f>IFERROR(VLOOKUP(F7765,CARTON_LOOKUP!$A:$E,4,0),"")</f>
      </c>
      <c r="I7765" s="28">
        <f>IFERROR(VLOOKUP(F7765,CARTON_LOOKUP!$A:$E,5,0),"")</f>
      </c>
      <c r="J7765" s="29">
        <f>IFERROR(VLOOKUP(F7765,CARTON_LOOKUP!$A:$E,2,0),"")</f>
      </c>
      <c r="K7765" s="29">
        <f>IFERROR(J7765*D7765,0)</f>
      </c>
      <c r="L7765" s="29">
        <f>IFERROR(E7765*C7765,0)</f>
      </c>
      <c r="M7765" s="29">
        <f>IFERROR((G7765*H7765*I7765/1000000)*D7765,0)</f>
      </c>
    </row>
    <row r="7766" spans="1:13" x14ac:dyDescent="0.25">
      <c r="A7766" s="16"/>
      <c r="E7766" s="27"/>
      <c r="F7766" t="s">
        <v>26</v>
      </c>
      <c r="G7766" s="28">
        <f>IFERROR(VLOOKUP(F7766,CARTON_LOOKUP!$A:$E,3,0),"")</f>
      </c>
      <c r="H7766" s="28">
        <f>IFERROR(VLOOKUP(F7766,CARTON_LOOKUP!$A:$E,4,0),"")</f>
      </c>
      <c r="I7766" s="28">
        <f>IFERROR(VLOOKUP(F7766,CARTON_LOOKUP!$A:$E,5,0),"")</f>
      </c>
      <c r="J7766" s="29">
        <f>IFERROR(VLOOKUP(F7766,CARTON_LOOKUP!$A:$E,2,0),"")</f>
      </c>
      <c r="K7766" s="29">
        <f>IFERROR(J7766*D7766,0)</f>
      </c>
      <c r="L7766" s="29">
        <f>IFERROR(E7766*C7766,0)</f>
      </c>
      <c r="M7766" s="29">
        <f>IFERROR((G7766*H7766*I7766/1000000)*D7766,0)</f>
      </c>
    </row>
    <row r="7767" spans="1:13" x14ac:dyDescent="0.25">
      <c r="A7767" s="16"/>
      <c r="E7767" s="27"/>
      <c r="F7767" t="s">
        <v>26</v>
      </c>
      <c r="G7767" s="28">
        <f>IFERROR(VLOOKUP(F7767,CARTON_LOOKUP!$A:$E,3,0),"")</f>
      </c>
      <c r="H7767" s="28">
        <f>IFERROR(VLOOKUP(F7767,CARTON_LOOKUP!$A:$E,4,0),"")</f>
      </c>
      <c r="I7767" s="28">
        <f>IFERROR(VLOOKUP(F7767,CARTON_LOOKUP!$A:$E,5,0),"")</f>
      </c>
      <c r="J7767" s="29">
        <f>IFERROR(VLOOKUP(F7767,CARTON_LOOKUP!$A:$E,2,0),"")</f>
      </c>
      <c r="K7767" s="29">
        <f>IFERROR(J7767*D7767,0)</f>
      </c>
      <c r="L7767" s="29">
        <f>IFERROR(E7767*C7767,0)</f>
      </c>
      <c r="M7767" s="29">
        <f>IFERROR((G7767*H7767*I7767/1000000)*D7767,0)</f>
      </c>
    </row>
    <row r="7768" spans="1:13" x14ac:dyDescent="0.25">
      <c r="A7768" s="16"/>
      <c r="E7768" s="27"/>
      <c r="F7768" t="s">
        <v>26</v>
      </c>
      <c r="G7768" s="28">
        <f>IFERROR(VLOOKUP(F7768,CARTON_LOOKUP!$A:$E,3,0),"")</f>
      </c>
      <c r="H7768" s="28">
        <f>IFERROR(VLOOKUP(F7768,CARTON_LOOKUP!$A:$E,4,0),"")</f>
      </c>
      <c r="I7768" s="28">
        <f>IFERROR(VLOOKUP(F7768,CARTON_LOOKUP!$A:$E,5,0),"")</f>
      </c>
      <c r="J7768" s="29">
        <f>IFERROR(VLOOKUP(F7768,CARTON_LOOKUP!$A:$E,2,0),"")</f>
      </c>
      <c r="K7768" s="29">
        <f>IFERROR(J7768*D7768,0)</f>
      </c>
      <c r="L7768" s="29">
        <f>IFERROR(E7768*C7768,0)</f>
      </c>
      <c r="M7768" s="29">
        <f>IFERROR((G7768*H7768*I7768/1000000)*D7768,0)</f>
      </c>
    </row>
    <row r="7769" spans="1:13" x14ac:dyDescent="0.25">
      <c r="A7769" s="16"/>
      <c r="E7769" s="27"/>
      <c r="F7769" t="s">
        <v>26</v>
      </c>
      <c r="G7769" s="28">
        <f>IFERROR(VLOOKUP(F7769,CARTON_LOOKUP!$A:$E,3,0),"")</f>
      </c>
      <c r="H7769" s="28">
        <f>IFERROR(VLOOKUP(F7769,CARTON_LOOKUP!$A:$E,4,0),"")</f>
      </c>
      <c r="I7769" s="28">
        <f>IFERROR(VLOOKUP(F7769,CARTON_LOOKUP!$A:$E,5,0),"")</f>
      </c>
      <c r="J7769" s="29">
        <f>IFERROR(VLOOKUP(F7769,CARTON_LOOKUP!$A:$E,2,0),"")</f>
      </c>
      <c r="K7769" s="29">
        <f>IFERROR(J7769*D7769,0)</f>
      </c>
      <c r="L7769" s="29">
        <f>IFERROR(E7769*C7769,0)</f>
      </c>
      <c r="M7769" s="29">
        <f>IFERROR((G7769*H7769*I7769/1000000)*D7769,0)</f>
      </c>
    </row>
    <row r="7770" spans="1:13" x14ac:dyDescent="0.25">
      <c r="A7770" s="16"/>
      <c r="E7770" s="27"/>
      <c r="F7770" t="s">
        <v>26</v>
      </c>
      <c r="G7770" s="28">
        <f>IFERROR(VLOOKUP(F7770,CARTON_LOOKUP!$A:$E,3,0),"")</f>
      </c>
      <c r="H7770" s="28">
        <f>IFERROR(VLOOKUP(F7770,CARTON_LOOKUP!$A:$E,4,0),"")</f>
      </c>
      <c r="I7770" s="28">
        <f>IFERROR(VLOOKUP(F7770,CARTON_LOOKUP!$A:$E,5,0),"")</f>
      </c>
      <c r="J7770" s="29">
        <f>IFERROR(VLOOKUP(F7770,CARTON_LOOKUP!$A:$E,2,0),"")</f>
      </c>
      <c r="K7770" s="29">
        <f>IFERROR(J7770*D7770,0)</f>
      </c>
      <c r="L7770" s="29">
        <f>IFERROR(E7770*C7770,0)</f>
      </c>
      <c r="M7770" s="29">
        <f>IFERROR((G7770*H7770*I7770/1000000)*D7770,0)</f>
      </c>
    </row>
    <row r="7771" spans="1:13" x14ac:dyDescent="0.25">
      <c r="A7771" s="16"/>
      <c r="E7771" s="27"/>
      <c r="F7771" t="s">
        <v>26</v>
      </c>
      <c r="G7771" s="28">
        <f>IFERROR(VLOOKUP(F7771,CARTON_LOOKUP!$A:$E,3,0),"")</f>
      </c>
      <c r="H7771" s="28">
        <f>IFERROR(VLOOKUP(F7771,CARTON_LOOKUP!$A:$E,4,0),"")</f>
      </c>
      <c r="I7771" s="28">
        <f>IFERROR(VLOOKUP(F7771,CARTON_LOOKUP!$A:$E,5,0),"")</f>
      </c>
      <c r="J7771" s="29">
        <f>IFERROR(VLOOKUP(F7771,CARTON_LOOKUP!$A:$E,2,0),"")</f>
      </c>
      <c r="K7771" s="29">
        <f>IFERROR(J7771*D7771,0)</f>
      </c>
      <c r="L7771" s="29">
        <f>IFERROR(E7771*C7771,0)</f>
      </c>
      <c r="M7771" s="29">
        <f>IFERROR((G7771*H7771*I7771/1000000)*D7771,0)</f>
      </c>
    </row>
    <row r="7772" spans="1:13" x14ac:dyDescent="0.25">
      <c r="A7772" s="16"/>
      <c r="E7772" s="27"/>
      <c r="F7772" t="s">
        <v>26</v>
      </c>
      <c r="G7772" s="28">
        <f>IFERROR(VLOOKUP(F7772,CARTON_LOOKUP!$A:$E,3,0),"")</f>
      </c>
      <c r="H7772" s="28">
        <f>IFERROR(VLOOKUP(F7772,CARTON_LOOKUP!$A:$E,4,0),"")</f>
      </c>
      <c r="I7772" s="28">
        <f>IFERROR(VLOOKUP(F7772,CARTON_LOOKUP!$A:$E,5,0),"")</f>
      </c>
      <c r="J7772" s="29">
        <f>IFERROR(VLOOKUP(F7772,CARTON_LOOKUP!$A:$E,2,0),"")</f>
      </c>
      <c r="K7772" s="29">
        <f>IFERROR(J7772*D7772,0)</f>
      </c>
      <c r="L7772" s="29">
        <f>IFERROR(E7772*C7772,0)</f>
      </c>
      <c r="M7772" s="29">
        <f>IFERROR((G7772*H7772*I7772/1000000)*D7772,0)</f>
      </c>
    </row>
    <row r="7773" spans="1:13" x14ac:dyDescent="0.25">
      <c r="A7773" s="16"/>
      <c r="E7773" s="27"/>
      <c r="F7773" t="s">
        <v>26</v>
      </c>
      <c r="G7773" s="28">
        <f>IFERROR(VLOOKUP(F7773,CARTON_LOOKUP!$A:$E,3,0),"")</f>
      </c>
      <c r="H7773" s="28">
        <f>IFERROR(VLOOKUP(F7773,CARTON_LOOKUP!$A:$E,4,0),"")</f>
      </c>
      <c r="I7773" s="28">
        <f>IFERROR(VLOOKUP(F7773,CARTON_LOOKUP!$A:$E,5,0),"")</f>
      </c>
      <c r="J7773" s="29">
        <f>IFERROR(VLOOKUP(F7773,CARTON_LOOKUP!$A:$E,2,0),"")</f>
      </c>
      <c r="K7773" s="29">
        <f>IFERROR(J7773*D7773,0)</f>
      </c>
      <c r="L7773" s="29">
        <f>IFERROR(E7773*C7773,0)</f>
      </c>
      <c r="M7773" s="29">
        <f>IFERROR((G7773*H7773*I7773/1000000)*D7773,0)</f>
      </c>
    </row>
    <row r="7774" spans="1:13" x14ac:dyDescent="0.25">
      <c r="A7774" s="16"/>
      <c r="E7774" s="27"/>
      <c r="F7774" t="s">
        <v>26</v>
      </c>
      <c r="G7774" s="28">
        <f>IFERROR(VLOOKUP(F7774,CARTON_LOOKUP!$A:$E,3,0),"")</f>
      </c>
      <c r="H7774" s="28">
        <f>IFERROR(VLOOKUP(F7774,CARTON_LOOKUP!$A:$E,4,0),"")</f>
      </c>
      <c r="I7774" s="28">
        <f>IFERROR(VLOOKUP(F7774,CARTON_LOOKUP!$A:$E,5,0),"")</f>
      </c>
      <c r="J7774" s="29">
        <f>IFERROR(VLOOKUP(F7774,CARTON_LOOKUP!$A:$E,2,0),"")</f>
      </c>
      <c r="K7774" s="29">
        <f>IFERROR(J7774*D7774,0)</f>
      </c>
      <c r="L7774" s="29">
        <f>IFERROR(E7774*C7774,0)</f>
      </c>
      <c r="M7774" s="29">
        <f>IFERROR((G7774*H7774*I7774/1000000)*D7774,0)</f>
      </c>
    </row>
    <row r="7775" spans="1:13" x14ac:dyDescent="0.25">
      <c r="A7775" s="16"/>
      <c r="E7775" s="27"/>
      <c r="F7775" t="s">
        <v>26</v>
      </c>
      <c r="G7775" s="28">
        <f>IFERROR(VLOOKUP(F7775,CARTON_LOOKUP!$A:$E,3,0),"")</f>
      </c>
      <c r="H7775" s="28">
        <f>IFERROR(VLOOKUP(F7775,CARTON_LOOKUP!$A:$E,4,0),"")</f>
      </c>
      <c r="I7775" s="28">
        <f>IFERROR(VLOOKUP(F7775,CARTON_LOOKUP!$A:$E,5,0),"")</f>
      </c>
      <c r="J7775" s="29">
        <f>IFERROR(VLOOKUP(F7775,CARTON_LOOKUP!$A:$E,2,0),"")</f>
      </c>
      <c r="K7775" s="29">
        <f>IFERROR(J7775*D7775,0)</f>
      </c>
      <c r="L7775" s="29">
        <f>IFERROR(E7775*C7775,0)</f>
      </c>
      <c r="M7775" s="29">
        <f>IFERROR((G7775*H7775*I7775/1000000)*D7775,0)</f>
      </c>
    </row>
    <row r="7776" spans="1:13" x14ac:dyDescent="0.25">
      <c r="A7776" s="16"/>
      <c r="E7776" s="27"/>
      <c r="F7776" t="s">
        <v>26</v>
      </c>
      <c r="G7776" s="28">
        <f>IFERROR(VLOOKUP(F7776,CARTON_LOOKUP!$A:$E,3,0),"")</f>
      </c>
      <c r="H7776" s="28">
        <f>IFERROR(VLOOKUP(F7776,CARTON_LOOKUP!$A:$E,4,0),"")</f>
      </c>
      <c r="I7776" s="28">
        <f>IFERROR(VLOOKUP(F7776,CARTON_LOOKUP!$A:$E,5,0),"")</f>
      </c>
      <c r="J7776" s="29">
        <f>IFERROR(VLOOKUP(F7776,CARTON_LOOKUP!$A:$E,2,0),"")</f>
      </c>
      <c r="K7776" s="29">
        <f>IFERROR(J7776*D7776,0)</f>
      </c>
      <c r="L7776" s="29">
        <f>IFERROR(E7776*C7776,0)</f>
      </c>
      <c r="M7776" s="29">
        <f>IFERROR((G7776*H7776*I7776/1000000)*D7776,0)</f>
      </c>
    </row>
    <row r="7777" spans="1:13" x14ac:dyDescent="0.25">
      <c r="A7777" s="16"/>
      <c r="E7777" s="27"/>
      <c r="F7777" t="s">
        <v>26</v>
      </c>
      <c r="G7777" s="28">
        <f>IFERROR(VLOOKUP(F7777,CARTON_LOOKUP!$A:$E,3,0),"")</f>
      </c>
      <c r="H7777" s="28">
        <f>IFERROR(VLOOKUP(F7777,CARTON_LOOKUP!$A:$E,4,0),"")</f>
      </c>
      <c r="I7777" s="28">
        <f>IFERROR(VLOOKUP(F7777,CARTON_LOOKUP!$A:$E,5,0),"")</f>
      </c>
      <c r="J7777" s="29">
        <f>IFERROR(VLOOKUP(F7777,CARTON_LOOKUP!$A:$E,2,0),"")</f>
      </c>
      <c r="K7777" s="29">
        <f>IFERROR(J7777*D7777,0)</f>
      </c>
      <c r="L7777" s="29">
        <f>IFERROR(E7777*C7777,0)</f>
      </c>
      <c r="M7777" s="29">
        <f>IFERROR((G7777*H7777*I7777/1000000)*D7777,0)</f>
      </c>
    </row>
    <row r="7778" spans="1:13" x14ac:dyDescent="0.25">
      <c r="A7778" s="16"/>
      <c r="E7778" s="27"/>
      <c r="F7778" t="s">
        <v>26</v>
      </c>
      <c r="G7778" s="28">
        <f>IFERROR(VLOOKUP(F7778,CARTON_LOOKUP!$A:$E,3,0),"")</f>
      </c>
      <c r="H7778" s="28">
        <f>IFERROR(VLOOKUP(F7778,CARTON_LOOKUP!$A:$E,4,0),"")</f>
      </c>
      <c r="I7778" s="28">
        <f>IFERROR(VLOOKUP(F7778,CARTON_LOOKUP!$A:$E,5,0),"")</f>
      </c>
      <c r="J7778" s="29">
        <f>IFERROR(VLOOKUP(F7778,CARTON_LOOKUP!$A:$E,2,0),"")</f>
      </c>
      <c r="K7778" s="29">
        <f>IFERROR(J7778*D7778,0)</f>
      </c>
      <c r="L7778" s="29">
        <f>IFERROR(E7778*C7778,0)</f>
      </c>
      <c r="M7778" s="29">
        <f>IFERROR((G7778*H7778*I7778/1000000)*D7778,0)</f>
      </c>
    </row>
    <row r="7779" spans="1:13" x14ac:dyDescent="0.25">
      <c r="A7779" s="16"/>
      <c r="E7779" s="27"/>
      <c r="F7779" t="s">
        <v>26</v>
      </c>
      <c r="G7779" s="28">
        <f>IFERROR(VLOOKUP(F7779,CARTON_LOOKUP!$A:$E,3,0),"")</f>
      </c>
      <c r="H7779" s="28">
        <f>IFERROR(VLOOKUP(F7779,CARTON_LOOKUP!$A:$E,4,0),"")</f>
      </c>
      <c r="I7779" s="28">
        <f>IFERROR(VLOOKUP(F7779,CARTON_LOOKUP!$A:$E,5,0),"")</f>
      </c>
      <c r="J7779" s="29">
        <f>IFERROR(VLOOKUP(F7779,CARTON_LOOKUP!$A:$E,2,0),"")</f>
      </c>
      <c r="K7779" s="29">
        <f>IFERROR(J7779*D7779,0)</f>
      </c>
      <c r="L7779" s="29">
        <f>IFERROR(E7779*C7779,0)</f>
      </c>
      <c r="M7779" s="29">
        <f>IFERROR((G7779*H7779*I7779/1000000)*D7779,0)</f>
      </c>
    </row>
    <row r="7780" spans="1:13" x14ac:dyDescent="0.25">
      <c r="A7780" s="16"/>
      <c r="E7780" s="27"/>
      <c r="F7780" t="s">
        <v>26</v>
      </c>
      <c r="G7780" s="28">
        <f>IFERROR(VLOOKUP(F7780,CARTON_LOOKUP!$A:$E,3,0),"")</f>
      </c>
      <c r="H7780" s="28">
        <f>IFERROR(VLOOKUP(F7780,CARTON_LOOKUP!$A:$E,4,0),"")</f>
      </c>
      <c r="I7780" s="28">
        <f>IFERROR(VLOOKUP(F7780,CARTON_LOOKUP!$A:$E,5,0),"")</f>
      </c>
      <c r="J7780" s="29">
        <f>IFERROR(VLOOKUP(F7780,CARTON_LOOKUP!$A:$E,2,0),"")</f>
      </c>
      <c r="K7780" s="29">
        <f>IFERROR(J7780*D7780,0)</f>
      </c>
      <c r="L7780" s="29">
        <f>IFERROR(E7780*C7780,0)</f>
      </c>
      <c r="M7780" s="29">
        <f>IFERROR((G7780*H7780*I7780/1000000)*D7780,0)</f>
      </c>
    </row>
    <row r="7781" spans="1:13" x14ac:dyDescent="0.25">
      <c r="A7781" s="16"/>
      <c r="E7781" s="27"/>
      <c r="F7781" t="s">
        <v>26</v>
      </c>
      <c r="G7781" s="28">
        <f>IFERROR(VLOOKUP(F7781,CARTON_LOOKUP!$A:$E,3,0),"")</f>
      </c>
      <c r="H7781" s="28">
        <f>IFERROR(VLOOKUP(F7781,CARTON_LOOKUP!$A:$E,4,0),"")</f>
      </c>
      <c r="I7781" s="28">
        <f>IFERROR(VLOOKUP(F7781,CARTON_LOOKUP!$A:$E,5,0),"")</f>
      </c>
      <c r="J7781" s="29">
        <f>IFERROR(VLOOKUP(F7781,CARTON_LOOKUP!$A:$E,2,0),"")</f>
      </c>
      <c r="K7781" s="29">
        <f>IFERROR(J7781*D7781,0)</f>
      </c>
      <c r="L7781" s="29">
        <f>IFERROR(E7781*C7781,0)</f>
      </c>
      <c r="M7781" s="29">
        <f>IFERROR((G7781*H7781*I7781/1000000)*D7781,0)</f>
      </c>
    </row>
    <row r="7782" spans="1:13" x14ac:dyDescent="0.25">
      <c r="A7782" s="16"/>
      <c r="E7782" s="27"/>
      <c r="F7782" t="s">
        <v>26</v>
      </c>
      <c r="G7782" s="28">
        <f>IFERROR(VLOOKUP(F7782,CARTON_LOOKUP!$A:$E,3,0),"")</f>
      </c>
      <c r="H7782" s="28">
        <f>IFERROR(VLOOKUP(F7782,CARTON_LOOKUP!$A:$E,4,0),"")</f>
      </c>
      <c r="I7782" s="28">
        <f>IFERROR(VLOOKUP(F7782,CARTON_LOOKUP!$A:$E,5,0),"")</f>
      </c>
      <c r="J7782" s="29">
        <f>IFERROR(VLOOKUP(F7782,CARTON_LOOKUP!$A:$E,2,0),"")</f>
      </c>
      <c r="K7782" s="29">
        <f>IFERROR(J7782*D7782,0)</f>
      </c>
      <c r="L7782" s="29">
        <f>IFERROR(E7782*C7782,0)</f>
      </c>
      <c r="M7782" s="29">
        <f>IFERROR((G7782*H7782*I7782/1000000)*D7782,0)</f>
      </c>
    </row>
    <row r="7783" spans="1:13" x14ac:dyDescent="0.25">
      <c r="A7783" s="16"/>
      <c r="E7783" s="27"/>
      <c r="F7783" t="s">
        <v>26</v>
      </c>
      <c r="G7783" s="28">
        <f>IFERROR(VLOOKUP(F7783,CARTON_LOOKUP!$A:$E,3,0),"")</f>
      </c>
      <c r="H7783" s="28">
        <f>IFERROR(VLOOKUP(F7783,CARTON_LOOKUP!$A:$E,4,0),"")</f>
      </c>
      <c r="I7783" s="28">
        <f>IFERROR(VLOOKUP(F7783,CARTON_LOOKUP!$A:$E,5,0),"")</f>
      </c>
      <c r="J7783" s="29">
        <f>IFERROR(VLOOKUP(F7783,CARTON_LOOKUP!$A:$E,2,0),"")</f>
      </c>
      <c r="K7783" s="29">
        <f>IFERROR(J7783*D7783,0)</f>
      </c>
      <c r="L7783" s="29">
        <f>IFERROR(E7783*C7783,0)</f>
      </c>
      <c r="M7783" s="29">
        <f>IFERROR((G7783*H7783*I7783/1000000)*D7783,0)</f>
      </c>
    </row>
    <row r="7784" spans="1:13" x14ac:dyDescent="0.25">
      <c r="A7784" s="16"/>
      <c r="E7784" s="27"/>
      <c r="F7784" t="s">
        <v>26</v>
      </c>
      <c r="G7784" s="28">
        <f>IFERROR(VLOOKUP(F7784,CARTON_LOOKUP!$A:$E,3,0),"")</f>
      </c>
      <c r="H7784" s="28">
        <f>IFERROR(VLOOKUP(F7784,CARTON_LOOKUP!$A:$E,4,0),"")</f>
      </c>
      <c r="I7784" s="28">
        <f>IFERROR(VLOOKUP(F7784,CARTON_LOOKUP!$A:$E,5,0),"")</f>
      </c>
      <c r="J7784" s="29">
        <f>IFERROR(VLOOKUP(F7784,CARTON_LOOKUP!$A:$E,2,0),"")</f>
      </c>
      <c r="K7784" s="29">
        <f>IFERROR(J7784*D7784,0)</f>
      </c>
      <c r="L7784" s="29">
        <f>IFERROR(E7784*C7784,0)</f>
      </c>
      <c r="M7784" s="29">
        <f>IFERROR((G7784*H7784*I7784/1000000)*D7784,0)</f>
      </c>
    </row>
    <row r="7785" spans="1:13" x14ac:dyDescent="0.25">
      <c r="A7785" s="16"/>
      <c r="E7785" s="27"/>
      <c r="F7785" t="s">
        <v>26</v>
      </c>
      <c r="G7785" s="28">
        <f>IFERROR(VLOOKUP(F7785,CARTON_LOOKUP!$A:$E,3,0),"")</f>
      </c>
      <c r="H7785" s="28">
        <f>IFERROR(VLOOKUP(F7785,CARTON_LOOKUP!$A:$E,4,0),"")</f>
      </c>
      <c r="I7785" s="28">
        <f>IFERROR(VLOOKUP(F7785,CARTON_LOOKUP!$A:$E,5,0),"")</f>
      </c>
      <c r="J7785" s="29">
        <f>IFERROR(VLOOKUP(F7785,CARTON_LOOKUP!$A:$E,2,0),"")</f>
      </c>
      <c r="K7785" s="29">
        <f>IFERROR(J7785*D7785,0)</f>
      </c>
      <c r="L7785" s="29">
        <f>IFERROR(E7785*C7785,0)</f>
      </c>
      <c r="M7785" s="29">
        <f>IFERROR((G7785*H7785*I7785/1000000)*D7785,0)</f>
      </c>
    </row>
    <row r="7786" spans="1:13" x14ac:dyDescent="0.25">
      <c r="A7786" s="16"/>
      <c r="E7786" s="27"/>
      <c r="F7786" t="s">
        <v>26</v>
      </c>
      <c r="G7786" s="28">
        <f>IFERROR(VLOOKUP(F7786,CARTON_LOOKUP!$A:$E,3,0),"")</f>
      </c>
      <c r="H7786" s="28">
        <f>IFERROR(VLOOKUP(F7786,CARTON_LOOKUP!$A:$E,4,0),"")</f>
      </c>
      <c r="I7786" s="28">
        <f>IFERROR(VLOOKUP(F7786,CARTON_LOOKUP!$A:$E,5,0),"")</f>
      </c>
      <c r="J7786" s="29">
        <f>IFERROR(VLOOKUP(F7786,CARTON_LOOKUP!$A:$E,2,0),"")</f>
      </c>
      <c r="K7786" s="29">
        <f>IFERROR(J7786*D7786,0)</f>
      </c>
      <c r="L7786" s="29">
        <f>IFERROR(E7786*C7786,0)</f>
      </c>
      <c r="M7786" s="29">
        <f>IFERROR((G7786*H7786*I7786/1000000)*D7786,0)</f>
      </c>
    </row>
    <row r="7787" spans="1:13" x14ac:dyDescent="0.25">
      <c r="A7787" s="16"/>
      <c r="E7787" s="27"/>
      <c r="F7787" t="s">
        <v>26</v>
      </c>
      <c r="G7787" s="28">
        <f>IFERROR(VLOOKUP(F7787,CARTON_LOOKUP!$A:$E,3,0),"")</f>
      </c>
      <c r="H7787" s="28">
        <f>IFERROR(VLOOKUP(F7787,CARTON_LOOKUP!$A:$E,4,0),"")</f>
      </c>
      <c r="I7787" s="28">
        <f>IFERROR(VLOOKUP(F7787,CARTON_LOOKUP!$A:$E,5,0),"")</f>
      </c>
      <c r="J7787" s="29">
        <f>IFERROR(VLOOKUP(F7787,CARTON_LOOKUP!$A:$E,2,0),"")</f>
      </c>
      <c r="K7787" s="29">
        <f>IFERROR(J7787*D7787,0)</f>
      </c>
      <c r="L7787" s="29">
        <f>IFERROR(E7787*C7787,0)</f>
      </c>
      <c r="M7787" s="29">
        <f>IFERROR((G7787*H7787*I7787/1000000)*D7787,0)</f>
      </c>
    </row>
    <row r="7788" spans="1:13" x14ac:dyDescent="0.25">
      <c r="A7788" s="16"/>
      <c r="E7788" s="27"/>
      <c r="F7788" t="s">
        <v>26</v>
      </c>
      <c r="G7788" s="28">
        <f>IFERROR(VLOOKUP(F7788,CARTON_LOOKUP!$A:$E,3,0),"")</f>
      </c>
      <c r="H7788" s="28">
        <f>IFERROR(VLOOKUP(F7788,CARTON_LOOKUP!$A:$E,4,0),"")</f>
      </c>
      <c r="I7788" s="28">
        <f>IFERROR(VLOOKUP(F7788,CARTON_LOOKUP!$A:$E,5,0),"")</f>
      </c>
      <c r="J7788" s="29">
        <f>IFERROR(VLOOKUP(F7788,CARTON_LOOKUP!$A:$E,2,0),"")</f>
      </c>
      <c r="K7788" s="29">
        <f>IFERROR(J7788*D7788,0)</f>
      </c>
      <c r="L7788" s="29">
        <f>IFERROR(E7788*C7788,0)</f>
      </c>
      <c r="M7788" s="29">
        <f>IFERROR((G7788*H7788*I7788/1000000)*D7788,0)</f>
      </c>
    </row>
    <row r="7789" spans="1:13" x14ac:dyDescent="0.25">
      <c r="A7789" s="16"/>
      <c r="E7789" s="27"/>
      <c r="F7789" t="s">
        <v>26</v>
      </c>
      <c r="G7789" s="28">
        <f>IFERROR(VLOOKUP(F7789,CARTON_LOOKUP!$A:$E,3,0),"")</f>
      </c>
      <c r="H7789" s="28">
        <f>IFERROR(VLOOKUP(F7789,CARTON_LOOKUP!$A:$E,4,0),"")</f>
      </c>
      <c r="I7789" s="28">
        <f>IFERROR(VLOOKUP(F7789,CARTON_LOOKUP!$A:$E,5,0),"")</f>
      </c>
      <c r="J7789" s="29">
        <f>IFERROR(VLOOKUP(F7789,CARTON_LOOKUP!$A:$E,2,0),"")</f>
      </c>
      <c r="K7789" s="29">
        <f>IFERROR(J7789*D7789,0)</f>
      </c>
      <c r="L7789" s="29">
        <f>IFERROR(E7789*C7789,0)</f>
      </c>
      <c r="M7789" s="29">
        <f>IFERROR((G7789*H7789*I7789/1000000)*D7789,0)</f>
      </c>
    </row>
    <row r="7790" spans="1:13" x14ac:dyDescent="0.25">
      <c r="A7790" s="16"/>
      <c r="E7790" s="27"/>
      <c r="F7790" t="s">
        <v>26</v>
      </c>
      <c r="G7790" s="28">
        <f>IFERROR(VLOOKUP(F7790,CARTON_LOOKUP!$A:$E,3,0),"")</f>
      </c>
      <c r="H7790" s="28">
        <f>IFERROR(VLOOKUP(F7790,CARTON_LOOKUP!$A:$E,4,0),"")</f>
      </c>
      <c r="I7790" s="28">
        <f>IFERROR(VLOOKUP(F7790,CARTON_LOOKUP!$A:$E,5,0),"")</f>
      </c>
      <c r="J7790" s="29">
        <f>IFERROR(VLOOKUP(F7790,CARTON_LOOKUP!$A:$E,2,0),"")</f>
      </c>
      <c r="K7790" s="29">
        <f>IFERROR(J7790*D7790,0)</f>
      </c>
      <c r="L7790" s="29">
        <f>IFERROR(E7790*C7790,0)</f>
      </c>
      <c r="M7790" s="29">
        <f>IFERROR((G7790*H7790*I7790/1000000)*D7790,0)</f>
      </c>
    </row>
    <row r="7791" spans="1:13" x14ac:dyDescent="0.25">
      <c r="A7791" s="16"/>
      <c r="E7791" s="27"/>
      <c r="F7791" t="s">
        <v>26</v>
      </c>
      <c r="G7791" s="28">
        <f>IFERROR(VLOOKUP(F7791,CARTON_LOOKUP!$A:$E,3,0),"")</f>
      </c>
      <c r="H7791" s="28">
        <f>IFERROR(VLOOKUP(F7791,CARTON_LOOKUP!$A:$E,4,0),"")</f>
      </c>
      <c r="I7791" s="28">
        <f>IFERROR(VLOOKUP(F7791,CARTON_LOOKUP!$A:$E,5,0),"")</f>
      </c>
      <c r="J7791" s="29">
        <f>IFERROR(VLOOKUP(F7791,CARTON_LOOKUP!$A:$E,2,0),"")</f>
      </c>
      <c r="K7791" s="29">
        <f>IFERROR(J7791*D7791,0)</f>
      </c>
      <c r="L7791" s="29">
        <f>IFERROR(E7791*C7791,0)</f>
      </c>
      <c r="M7791" s="29">
        <f>IFERROR((G7791*H7791*I7791/1000000)*D7791,0)</f>
      </c>
    </row>
    <row r="7792" spans="1:13" x14ac:dyDescent="0.25">
      <c r="A7792" s="16"/>
      <c r="E7792" s="27"/>
      <c r="F7792" t="s">
        <v>26</v>
      </c>
      <c r="G7792" s="28">
        <f>IFERROR(VLOOKUP(F7792,CARTON_LOOKUP!$A:$E,3,0),"")</f>
      </c>
      <c r="H7792" s="28">
        <f>IFERROR(VLOOKUP(F7792,CARTON_LOOKUP!$A:$E,4,0),"")</f>
      </c>
      <c r="I7792" s="28">
        <f>IFERROR(VLOOKUP(F7792,CARTON_LOOKUP!$A:$E,5,0),"")</f>
      </c>
      <c r="J7792" s="29">
        <f>IFERROR(VLOOKUP(F7792,CARTON_LOOKUP!$A:$E,2,0),"")</f>
      </c>
      <c r="K7792" s="29">
        <f>IFERROR(J7792*D7792,0)</f>
      </c>
      <c r="L7792" s="29">
        <f>IFERROR(E7792*C7792,0)</f>
      </c>
      <c r="M7792" s="29">
        <f>IFERROR((G7792*H7792*I7792/1000000)*D7792,0)</f>
      </c>
    </row>
    <row r="7793" spans="1:13" x14ac:dyDescent="0.25">
      <c r="A7793" s="16"/>
      <c r="E7793" s="27"/>
      <c r="F7793" t="s">
        <v>26</v>
      </c>
      <c r="G7793" s="28">
        <f>IFERROR(VLOOKUP(F7793,CARTON_LOOKUP!$A:$E,3,0),"")</f>
      </c>
      <c r="H7793" s="28">
        <f>IFERROR(VLOOKUP(F7793,CARTON_LOOKUP!$A:$E,4,0),"")</f>
      </c>
      <c r="I7793" s="28">
        <f>IFERROR(VLOOKUP(F7793,CARTON_LOOKUP!$A:$E,5,0),"")</f>
      </c>
      <c r="J7793" s="29">
        <f>IFERROR(VLOOKUP(F7793,CARTON_LOOKUP!$A:$E,2,0),"")</f>
      </c>
      <c r="K7793" s="29">
        <f>IFERROR(J7793*D7793,0)</f>
      </c>
      <c r="L7793" s="29">
        <f>IFERROR(E7793*C7793,0)</f>
      </c>
      <c r="M7793" s="29">
        <f>IFERROR((G7793*H7793*I7793/1000000)*D7793,0)</f>
      </c>
    </row>
    <row r="7794" spans="1:13" x14ac:dyDescent="0.25">
      <c r="A7794" s="16"/>
      <c r="E7794" s="27"/>
      <c r="F7794" t="s">
        <v>26</v>
      </c>
      <c r="G7794" s="28">
        <f>IFERROR(VLOOKUP(F7794,CARTON_LOOKUP!$A:$E,3,0),"")</f>
      </c>
      <c r="H7794" s="28">
        <f>IFERROR(VLOOKUP(F7794,CARTON_LOOKUP!$A:$E,4,0),"")</f>
      </c>
      <c r="I7794" s="28">
        <f>IFERROR(VLOOKUP(F7794,CARTON_LOOKUP!$A:$E,5,0),"")</f>
      </c>
      <c r="J7794" s="29">
        <f>IFERROR(VLOOKUP(F7794,CARTON_LOOKUP!$A:$E,2,0),"")</f>
      </c>
      <c r="K7794" s="29">
        <f>IFERROR(J7794*D7794,0)</f>
      </c>
      <c r="L7794" s="29">
        <f>IFERROR(E7794*C7794,0)</f>
      </c>
      <c r="M7794" s="29">
        <f>IFERROR((G7794*H7794*I7794/1000000)*D7794,0)</f>
      </c>
    </row>
    <row r="7795" spans="1:13" x14ac:dyDescent="0.25">
      <c r="A7795" s="16"/>
      <c r="E7795" s="27"/>
      <c r="F7795" t="s">
        <v>26</v>
      </c>
      <c r="G7795" s="28">
        <f>IFERROR(VLOOKUP(F7795,CARTON_LOOKUP!$A:$E,3,0),"")</f>
      </c>
      <c r="H7795" s="28">
        <f>IFERROR(VLOOKUP(F7795,CARTON_LOOKUP!$A:$E,4,0),"")</f>
      </c>
      <c r="I7795" s="28">
        <f>IFERROR(VLOOKUP(F7795,CARTON_LOOKUP!$A:$E,5,0),"")</f>
      </c>
      <c r="J7795" s="29">
        <f>IFERROR(VLOOKUP(F7795,CARTON_LOOKUP!$A:$E,2,0),"")</f>
      </c>
      <c r="K7795" s="29">
        <f>IFERROR(J7795*D7795,0)</f>
      </c>
      <c r="L7795" s="29">
        <f>IFERROR(E7795*C7795,0)</f>
      </c>
      <c r="M7795" s="29">
        <f>IFERROR((G7795*H7795*I7795/1000000)*D7795,0)</f>
      </c>
    </row>
    <row r="7796" spans="1:13" x14ac:dyDescent="0.25">
      <c r="A7796" s="16"/>
      <c r="E7796" s="27"/>
      <c r="F7796" t="s">
        <v>26</v>
      </c>
      <c r="G7796" s="28">
        <f>IFERROR(VLOOKUP(F7796,CARTON_LOOKUP!$A:$E,3,0),"")</f>
      </c>
      <c r="H7796" s="28">
        <f>IFERROR(VLOOKUP(F7796,CARTON_LOOKUP!$A:$E,4,0),"")</f>
      </c>
      <c r="I7796" s="28">
        <f>IFERROR(VLOOKUP(F7796,CARTON_LOOKUP!$A:$E,5,0),"")</f>
      </c>
      <c r="J7796" s="29">
        <f>IFERROR(VLOOKUP(F7796,CARTON_LOOKUP!$A:$E,2,0),"")</f>
      </c>
      <c r="K7796" s="29">
        <f>IFERROR(J7796*D7796,0)</f>
      </c>
      <c r="L7796" s="29">
        <f>IFERROR(E7796*C7796,0)</f>
      </c>
      <c r="M7796" s="29">
        <f>IFERROR((G7796*H7796*I7796/1000000)*D7796,0)</f>
      </c>
    </row>
    <row r="7797" spans="1:13" x14ac:dyDescent="0.25">
      <c r="A7797" s="16"/>
      <c r="E7797" s="27"/>
      <c r="F7797" t="s">
        <v>26</v>
      </c>
      <c r="G7797" s="28">
        <f>IFERROR(VLOOKUP(F7797,CARTON_LOOKUP!$A:$E,3,0),"")</f>
      </c>
      <c r="H7797" s="28">
        <f>IFERROR(VLOOKUP(F7797,CARTON_LOOKUP!$A:$E,4,0),"")</f>
      </c>
      <c r="I7797" s="28">
        <f>IFERROR(VLOOKUP(F7797,CARTON_LOOKUP!$A:$E,5,0),"")</f>
      </c>
      <c r="J7797" s="29">
        <f>IFERROR(VLOOKUP(F7797,CARTON_LOOKUP!$A:$E,2,0),"")</f>
      </c>
      <c r="K7797" s="29">
        <f>IFERROR(J7797*D7797,0)</f>
      </c>
      <c r="L7797" s="29">
        <f>IFERROR(E7797*C7797,0)</f>
      </c>
      <c r="M7797" s="29">
        <f>IFERROR((G7797*H7797*I7797/1000000)*D7797,0)</f>
      </c>
    </row>
    <row r="7798" spans="1:13" x14ac:dyDescent="0.25">
      <c r="A7798" s="16"/>
      <c r="E7798" s="27"/>
      <c r="F7798" t="s">
        <v>26</v>
      </c>
      <c r="G7798" s="28">
        <f>IFERROR(VLOOKUP(F7798,CARTON_LOOKUP!$A:$E,3,0),"")</f>
      </c>
      <c r="H7798" s="28">
        <f>IFERROR(VLOOKUP(F7798,CARTON_LOOKUP!$A:$E,4,0),"")</f>
      </c>
      <c r="I7798" s="28">
        <f>IFERROR(VLOOKUP(F7798,CARTON_LOOKUP!$A:$E,5,0),"")</f>
      </c>
      <c r="J7798" s="29">
        <f>IFERROR(VLOOKUP(F7798,CARTON_LOOKUP!$A:$E,2,0),"")</f>
      </c>
      <c r="K7798" s="29">
        <f>IFERROR(J7798*D7798,0)</f>
      </c>
      <c r="L7798" s="29">
        <f>IFERROR(E7798*C7798,0)</f>
      </c>
      <c r="M7798" s="29">
        <f>IFERROR((G7798*H7798*I7798/1000000)*D7798,0)</f>
      </c>
    </row>
    <row r="7799" spans="1:13" x14ac:dyDescent="0.25">
      <c r="A7799" s="16"/>
      <c r="E7799" s="27"/>
      <c r="F7799" t="s">
        <v>26</v>
      </c>
      <c r="G7799" s="28">
        <f>IFERROR(VLOOKUP(F7799,CARTON_LOOKUP!$A:$E,3,0),"")</f>
      </c>
      <c r="H7799" s="28">
        <f>IFERROR(VLOOKUP(F7799,CARTON_LOOKUP!$A:$E,4,0),"")</f>
      </c>
      <c r="I7799" s="28">
        <f>IFERROR(VLOOKUP(F7799,CARTON_LOOKUP!$A:$E,5,0),"")</f>
      </c>
      <c r="J7799" s="29">
        <f>IFERROR(VLOOKUP(F7799,CARTON_LOOKUP!$A:$E,2,0),"")</f>
      </c>
      <c r="K7799" s="29">
        <f>IFERROR(J7799*D7799,0)</f>
      </c>
      <c r="L7799" s="29">
        <f>IFERROR(E7799*C7799,0)</f>
      </c>
      <c r="M7799" s="29">
        <f>IFERROR((G7799*H7799*I7799/1000000)*D7799,0)</f>
      </c>
    </row>
    <row r="7800" spans="1:13" x14ac:dyDescent="0.25">
      <c r="A7800" s="16"/>
      <c r="E7800" s="27"/>
      <c r="F7800" t="s">
        <v>26</v>
      </c>
      <c r="G7800" s="28">
        <f>IFERROR(VLOOKUP(F7800,CARTON_LOOKUP!$A:$E,3,0),"")</f>
      </c>
      <c r="H7800" s="28">
        <f>IFERROR(VLOOKUP(F7800,CARTON_LOOKUP!$A:$E,4,0),"")</f>
      </c>
      <c r="I7800" s="28">
        <f>IFERROR(VLOOKUP(F7800,CARTON_LOOKUP!$A:$E,5,0),"")</f>
      </c>
      <c r="J7800" s="29">
        <f>IFERROR(VLOOKUP(F7800,CARTON_LOOKUP!$A:$E,2,0),"")</f>
      </c>
      <c r="K7800" s="29">
        <f>IFERROR(J7800*D7800,0)</f>
      </c>
      <c r="L7800" s="29">
        <f>IFERROR(E7800*C7800,0)</f>
      </c>
      <c r="M7800" s="29">
        <f>IFERROR((G7800*H7800*I7800/1000000)*D7800,0)</f>
      </c>
    </row>
    <row r="7801" spans="1:13" x14ac:dyDescent="0.25">
      <c r="A7801" s="16"/>
      <c r="E7801" s="27"/>
      <c r="F7801" t="s">
        <v>26</v>
      </c>
      <c r="G7801" s="28">
        <f>IFERROR(VLOOKUP(F7801,CARTON_LOOKUP!$A:$E,3,0),"")</f>
      </c>
      <c r="H7801" s="28">
        <f>IFERROR(VLOOKUP(F7801,CARTON_LOOKUP!$A:$E,4,0),"")</f>
      </c>
      <c r="I7801" s="28">
        <f>IFERROR(VLOOKUP(F7801,CARTON_LOOKUP!$A:$E,5,0),"")</f>
      </c>
      <c r="J7801" s="29">
        <f>IFERROR(VLOOKUP(F7801,CARTON_LOOKUP!$A:$E,2,0),"")</f>
      </c>
      <c r="K7801" s="29">
        <f>IFERROR(J7801*D7801,0)</f>
      </c>
      <c r="L7801" s="29">
        <f>IFERROR(E7801*C7801,0)</f>
      </c>
      <c r="M7801" s="29">
        <f>IFERROR((G7801*H7801*I7801/1000000)*D7801,0)</f>
      </c>
    </row>
    <row r="7802" spans="1:13" x14ac:dyDescent="0.25">
      <c r="A7802" s="16"/>
      <c r="E7802" s="27"/>
      <c r="F7802" t="s">
        <v>26</v>
      </c>
      <c r="G7802" s="28">
        <f>IFERROR(VLOOKUP(F7802,CARTON_LOOKUP!$A:$E,3,0),"")</f>
      </c>
      <c r="H7802" s="28">
        <f>IFERROR(VLOOKUP(F7802,CARTON_LOOKUP!$A:$E,4,0),"")</f>
      </c>
      <c r="I7802" s="28">
        <f>IFERROR(VLOOKUP(F7802,CARTON_LOOKUP!$A:$E,5,0),"")</f>
      </c>
      <c r="J7802" s="29">
        <f>IFERROR(VLOOKUP(F7802,CARTON_LOOKUP!$A:$E,2,0),"")</f>
      </c>
      <c r="K7802" s="29">
        <f>IFERROR(J7802*D7802,0)</f>
      </c>
      <c r="L7802" s="29">
        <f>IFERROR(E7802*C7802,0)</f>
      </c>
      <c r="M7802" s="29">
        <f>IFERROR((G7802*H7802*I7802/1000000)*D7802,0)</f>
      </c>
    </row>
    <row r="7803" spans="1:13" x14ac:dyDescent="0.25">
      <c r="A7803" s="16"/>
      <c r="E7803" s="27"/>
      <c r="F7803" t="s">
        <v>26</v>
      </c>
      <c r="G7803" s="28">
        <f>IFERROR(VLOOKUP(F7803,CARTON_LOOKUP!$A:$E,3,0),"")</f>
      </c>
      <c r="H7803" s="28">
        <f>IFERROR(VLOOKUP(F7803,CARTON_LOOKUP!$A:$E,4,0),"")</f>
      </c>
      <c r="I7803" s="28">
        <f>IFERROR(VLOOKUP(F7803,CARTON_LOOKUP!$A:$E,5,0),"")</f>
      </c>
      <c r="J7803" s="29">
        <f>IFERROR(VLOOKUP(F7803,CARTON_LOOKUP!$A:$E,2,0),"")</f>
      </c>
      <c r="K7803" s="29">
        <f>IFERROR(J7803*D7803,0)</f>
      </c>
      <c r="L7803" s="29">
        <f>IFERROR(E7803*C7803,0)</f>
      </c>
      <c r="M7803" s="29">
        <f>IFERROR((G7803*H7803*I7803/1000000)*D7803,0)</f>
      </c>
    </row>
    <row r="7804" spans="1:13" x14ac:dyDescent="0.25">
      <c r="A7804" s="16"/>
      <c r="E7804" s="27"/>
      <c r="F7804" t="s">
        <v>26</v>
      </c>
      <c r="G7804" s="28">
        <f>IFERROR(VLOOKUP(F7804,CARTON_LOOKUP!$A:$E,3,0),"")</f>
      </c>
      <c r="H7804" s="28">
        <f>IFERROR(VLOOKUP(F7804,CARTON_LOOKUP!$A:$E,4,0),"")</f>
      </c>
      <c r="I7804" s="28">
        <f>IFERROR(VLOOKUP(F7804,CARTON_LOOKUP!$A:$E,5,0),"")</f>
      </c>
      <c r="J7804" s="29">
        <f>IFERROR(VLOOKUP(F7804,CARTON_LOOKUP!$A:$E,2,0),"")</f>
      </c>
      <c r="K7804" s="29">
        <f>IFERROR(J7804*D7804,0)</f>
      </c>
      <c r="L7804" s="29">
        <f>IFERROR(E7804*C7804,0)</f>
      </c>
      <c r="M7804" s="29">
        <f>IFERROR((G7804*H7804*I7804/1000000)*D7804,0)</f>
      </c>
    </row>
    <row r="7805" spans="1:13" x14ac:dyDescent="0.25">
      <c r="A7805" s="16"/>
      <c r="E7805" s="27"/>
      <c r="F7805" t="s">
        <v>26</v>
      </c>
      <c r="G7805" s="28">
        <f>IFERROR(VLOOKUP(F7805,CARTON_LOOKUP!$A:$E,3,0),"")</f>
      </c>
      <c r="H7805" s="28">
        <f>IFERROR(VLOOKUP(F7805,CARTON_LOOKUP!$A:$E,4,0),"")</f>
      </c>
      <c r="I7805" s="28">
        <f>IFERROR(VLOOKUP(F7805,CARTON_LOOKUP!$A:$E,5,0),"")</f>
      </c>
      <c r="J7805" s="29">
        <f>IFERROR(VLOOKUP(F7805,CARTON_LOOKUP!$A:$E,2,0),"")</f>
      </c>
      <c r="K7805" s="29">
        <f>IFERROR(J7805*D7805,0)</f>
      </c>
      <c r="L7805" s="29">
        <f>IFERROR(E7805*C7805,0)</f>
      </c>
      <c r="M7805" s="29">
        <f>IFERROR((G7805*H7805*I7805/1000000)*D7805,0)</f>
      </c>
    </row>
    <row r="7806" spans="1:13" x14ac:dyDescent="0.25">
      <c r="A7806" s="16"/>
      <c r="E7806" s="27"/>
      <c r="F7806" t="s">
        <v>26</v>
      </c>
      <c r="G7806" s="28">
        <f>IFERROR(VLOOKUP(F7806,CARTON_LOOKUP!$A:$E,3,0),"")</f>
      </c>
      <c r="H7806" s="28">
        <f>IFERROR(VLOOKUP(F7806,CARTON_LOOKUP!$A:$E,4,0),"")</f>
      </c>
      <c r="I7806" s="28">
        <f>IFERROR(VLOOKUP(F7806,CARTON_LOOKUP!$A:$E,5,0),"")</f>
      </c>
      <c r="J7806" s="29">
        <f>IFERROR(VLOOKUP(F7806,CARTON_LOOKUP!$A:$E,2,0),"")</f>
      </c>
      <c r="K7806" s="29">
        <f>IFERROR(J7806*D7806,0)</f>
      </c>
      <c r="L7806" s="29">
        <f>IFERROR(E7806*C7806,0)</f>
      </c>
      <c r="M7806" s="29">
        <f>IFERROR((G7806*H7806*I7806/1000000)*D7806,0)</f>
      </c>
    </row>
    <row r="7807" spans="1:13" x14ac:dyDescent="0.25">
      <c r="A7807" s="16"/>
      <c r="E7807" s="27"/>
      <c r="F7807" t="s">
        <v>26</v>
      </c>
      <c r="G7807" s="28">
        <f>IFERROR(VLOOKUP(F7807,CARTON_LOOKUP!$A:$E,3,0),"")</f>
      </c>
      <c r="H7807" s="28">
        <f>IFERROR(VLOOKUP(F7807,CARTON_LOOKUP!$A:$E,4,0),"")</f>
      </c>
      <c r="I7807" s="28">
        <f>IFERROR(VLOOKUP(F7807,CARTON_LOOKUP!$A:$E,5,0),"")</f>
      </c>
      <c r="J7807" s="29">
        <f>IFERROR(VLOOKUP(F7807,CARTON_LOOKUP!$A:$E,2,0),"")</f>
      </c>
      <c r="K7807" s="29">
        <f>IFERROR(J7807*D7807,0)</f>
      </c>
      <c r="L7807" s="29">
        <f>IFERROR(E7807*C7807,0)</f>
      </c>
      <c r="M7807" s="29">
        <f>IFERROR((G7807*H7807*I7807/1000000)*D7807,0)</f>
      </c>
    </row>
    <row r="7808" spans="1:13" x14ac:dyDescent="0.25">
      <c r="A7808" s="16"/>
      <c r="E7808" s="27"/>
      <c r="F7808" t="s">
        <v>26</v>
      </c>
      <c r="G7808" s="28">
        <f>IFERROR(VLOOKUP(F7808,CARTON_LOOKUP!$A:$E,3,0),"")</f>
      </c>
      <c r="H7808" s="28">
        <f>IFERROR(VLOOKUP(F7808,CARTON_LOOKUP!$A:$E,4,0),"")</f>
      </c>
      <c r="I7808" s="28">
        <f>IFERROR(VLOOKUP(F7808,CARTON_LOOKUP!$A:$E,5,0),"")</f>
      </c>
      <c r="J7808" s="29">
        <f>IFERROR(VLOOKUP(F7808,CARTON_LOOKUP!$A:$E,2,0),"")</f>
      </c>
      <c r="K7808" s="29">
        <f>IFERROR(J7808*D7808,0)</f>
      </c>
      <c r="L7808" s="29">
        <f>IFERROR(E7808*C7808,0)</f>
      </c>
      <c r="M7808" s="29">
        <f>IFERROR((G7808*H7808*I7808/1000000)*D7808,0)</f>
      </c>
    </row>
    <row r="7809" spans="1:13" x14ac:dyDescent="0.25">
      <c r="A7809" s="16"/>
      <c r="E7809" s="27"/>
      <c r="F7809" t="s">
        <v>26</v>
      </c>
      <c r="G7809" s="28">
        <f>IFERROR(VLOOKUP(F7809,CARTON_LOOKUP!$A:$E,3,0),"")</f>
      </c>
      <c r="H7809" s="28">
        <f>IFERROR(VLOOKUP(F7809,CARTON_LOOKUP!$A:$E,4,0),"")</f>
      </c>
      <c r="I7809" s="28">
        <f>IFERROR(VLOOKUP(F7809,CARTON_LOOKUP!$A:$E,5,0),"")</f>
      </c>
      <c r="J7809" s="29">
        <f>IFERROR(VLOOKUP(F7809,CARTON_LOOKUP!$A:$E,2,0),"")</f>
      </c>
      <c r="K7809" s="29">
        <f>IFERROR(J7809*D7809,0)</f>
      </c>
      <c r="L7809" s="29">
        <f>IFERROR(E7809*C7809,0)</f>
      </c>
      <c r="M7809" s="29">
        <f>IFERROR((G7809*H7809*I7809/1000000)*D7809,0)</f>
      </c>
    </row>
    <row r="7810" spans="1:13" x14ac:dyDescent="0.25">
      <c r="A7810" s="16"/>
      <c r="E7810" s="27"/>
      <c r="F7810" t="s">
        <v>26</v>
      </c>
      <c r="G7810" s="28">
        <f>IFERROR(VLOOKUP(F7810,CARTON_LOOKUP!$A:$E,3,0),"")</f>
      </c>
      <c r="H7810" s="28">
        <f>IFERROR(VLOOKUP(F7810,CARTON_LOOKUP!$A:$E,4,0),"")</f>
      </c>
      <c r="I7810" s="28">
        <f>IFERROR(VLOOKUP(F7810,CARTON_LOOKUP!$A:$E,5,0),"")</f>
      </c>
      <c r="J7810" s="29">
        <f>IFERROR(VLOOKUP(F7810,CARTON_LOOKUP!$A:$E,2,0),"")</f>
      </c>
      <c r="K7810" s="29">
        <f>IFERROR(J7810*D7810,0)</f>
      </c>
      <c r="L7810" s="29">
        <f>IFERROR(E7810*C7810,0)</f>
      </c>
      <c r="M7810" s="29">
        <f>IFERROR((G7810*H7810*I7810/1000000)*D7810,0)</f>
      </c>
    </row>
    <row r="7811" spans="1:13" x14ac:dyDescent="0.25">
      <c r="A7811" s="16"/>
      <c r="E7811" s="27"/>
      <c r="F7811" t="s">
        <v>26</v>
      </c>
      <c r="G7811" s="28">
        <f>IFERROR(VLOOKUP(F7811,CARTON_LOOKUP!$A:$E,3,0),"")</f>
      </c>
      <c r="H7811" s="28">
        <f>IFERROR(VLOOKUP(F7811,CARTON_LOOKUP!$A:$E,4,0),"")</f>
      </c>
      <c r="I7811" s="28">
        <f>IFERROR(VLOOKUP(F7811,CARTON_LOOKUP!$A:$E,5,0),"")</f>
      </c>
      <c r="J7811" s="29">
        <f>IFERROR(VLOOKUP(F7811,CARTON_LOOKUP!$A:$E,2,0),"")</f>
      </c>
      <c r="K7811" s="29">
        <f>IFERROR(J7811*D7811,0)</f>
      </c>
      <c r="L7811" s="29">
        <f>IFERROR(E7811*C7811,0)</f>
      </c>
      <c r="M7811" s="29">
        <f>IFERROR((G7811*H7811*I7811/1000000)*D7811,0)</f>
      </c>
    </row>
    <row r="7812" spans="1:13" x14ac:dyDescent="0.25">
      <c r="A7812" s="16"/>
      <c r="E7812" s="27"/>
      <c r="F7812" t="s">
        <v>26</v>
      </c>
      <c r="G7812" s="28">
        <f>IFERROR(VLOOKUP(F7812,CARTON_LOOKUP!$A:$E,3,0),"")</f>
      </c>
      <c r="H7812" s="28">
        <f>IFERROR(VLOOKUP(F7812,CARTON_LOOKUP!$A:$E,4,0),"")</f>
      </c>
      <c r="I7812" s="28">
        <f>IFERROR(VLOOKUP(F7812,CARTON_LOOKUP!$A:$E,5,0),"")</f>
      </c>
      <c r="J7812" s="29">
        <f>IFERROR(VLOOKUP(F7812,CARTON_LOOKUP!$A:$E,2,0),"")</f>
      </c>
      <c r="K7812" s="29">
        <f>IFERROR(J7812*D7812,0)</f>
      </c>
      <c r="L7812" s="29">
        <f>IFERROR(E7812*C7812,0)</f>
      </c>
      <c r="M7812" s="29">
        <f>IFERROR((G7812*H7812*I7812/1000000)*D7812,0)</f>
      </c>
    </row>
    <row r="7813" spans="1:13" x14ac:dyDescent="0.25">
      <c r="A7813" s="16"/>
      <c r="E7813" s="27"/>
      <c r="F7813" t="s">
        <v>26</v>
      </c>
      <c r="G7813" s="28">
        <f>IFERROR(VLOOKUP(F7813,CARTON_LOOKUP!$A:$E,3,0),"")</f>
      </c>
      <c r="H7813" s="28">
        <f>IFERROR(VLOOKUP(F7813,CARTON_LOOKUP!$A:$E,4,0),"")</f>
      </c>
      <c r="I7813" s="28">
        <f>IFERROR(VLOOKUP(F7813,CARTON_LOOKUP!$A:$E,5,0),"")</f>
      </c>
      <c r="J7813" s="29">
        <f>IFERROR(VLOOKUP(F7813,CARTON_LOOKUP!$A:$E,2,0),"")</f>
      </c>
      <c r="K7813" s="29">
        <f>IFERROR(J7813*D7813,0)</f>
      </c>
      <c r="L7813" s="29">
        <f>IFERROR(E7813*C7813,0)</f>
      </c>
      <c r="M7813" s="29">
        <f>IFERROR((G7813*H7813*I7813/1000000)*D7813,0)</f>
      </c>
    </row>
    <row r="7814" spans="1:13" x14ac:dyDescent="0.25">
      <c r="A7814" s="16"/>
      <c r="E7814" s="27"/>
      <c r="F7814" t="s">
        <v>26</v>
      </c>
      <c r="G7814" s="28">
        <f>IFERROR(VLOOKUP(F7814,CARTON_LOOKUP!$A:$E,3,0),"")</f>
      </c>
      <c r="H7814" s="28">
        <f>IFERROR(VLOOKUP(F7814,CARTON_LOOKUP!$A:$E,4,0),"")</f>
      </c>
      <c r="I7814" s="28">
        <f>IFERROR(VLOOKUP(F7814,CARTON_LOOKUP!$A:$E,5,0),"")</f>
      </c>
      <c r="J7814" s="29">
        <f>IFERROR(VLOOKUP(F7814,CARTON_LOOKUP!$A:$E,2,0),"")</f>
      </c>
      <c r="K7814" s="29">
        <f>IFERROR(J7814*D7814,0)</f>
      </c>
      <c r="L7814" s="29">
        <f>IFERROR(E7814*C7814,0)</f>
      </c>
      <c r="M7814" s="29">
        <f>IFERROR((G7814*H7814*I7814/1000000)*D7814,0)</f>
      </c>
    </row>
    <row r="7815" spans="1:13" x14ac:dyDescent="0.25">
      <c r="A7815" s="16"/>
      <c r="E7815" s="27"/>
      <c r="F7815" t="s">
        <v>26</v>
      </c>
      <c r="G7815" s="28">
        <f>IFERROR(VLOOKUP(F7815,CARTON_LOOKUP!$A:$E,3,0),"")</f>
      </c>
      <c r="H7815" s="28">
        <f>IFERROR(VLOOKUP(F7815,CARTON_LOOKUP!$A:$E,4,0),"")</f>
      </c>
      <c r="I7815" s="28">
        <f>IFERROR(VLOOKUP(F7815,CARTON_LOOKUP!$A:$E,5,0),"")</f>
      </c>
      <c r="J7815" s="29">
        <f>IFERROR(VLOOKUP(F7815,CARTON_LOOKUP!$A:$E,2,0),"")</f>
      </c>
      <c r="K7815" s="29">
        <f>IFERROR(J7815*D7815,0)</f>
      </c>
      <c r="L7815" s="29">
        <f>IFERROR(E7815*C7815,0)</f>
      </c>
      <c r="M7815" s="29">
        <f>IFERROR((G7815*H7815*I7815/1000000)*D7815,0)</f>
      </c>
    </row>
    <row r="7816" spans="1:13" x14ac:dyDescent="0.25">
      <c r="A7816" s="16"/>
      <c r="E7816" s="27"/>
      <c r="F7816" t="s">
        <v>26</v>
      </c>
      <c r="G7816" s="28">
        <f>IFERROR(VLOOKUP(F7816,CARTON_LOOKUP!$A:$E,3,0),"")</f>
      </c>
      <c r="H7816" s="28">
        <f>IFERROR(VLOOKUP(F7816,CARTON_LOOKUP!$A:$E,4,0),"")</f>
      </c>
      <c r="I7816" s="28">
        <f>IFERROR(VLOOKUP(F7816,CARTON_LOOKUP!$A:$E,5,0),"")</f>
      </c>
      <c r="J7816" s="29">
        <f>IFERROR(VLOOKUP(F7816,CARTON_LOOKUP!$A:$E,2,0),"")</f>
      </c>
      <c r="K7816" s="29">
        <f>IFERROR(J7816*D7816,0)</f>
      </c>
      <c r="L7816" s="29">
        <f>IFERROR(E7816*C7816,0)</f>
      </c>
      <c r="M7816" s="29">
        <f>IFERROR((G7816*H7816*I7816/1000000)*D7816,0)</f>
      </c>
    </row>
    <row r="7817" spans="1:13" x14ac:dyDescent="0.25">
      <c r="A7817" s="16"/>
      <c r="E7817" s="27"/>
      <c r="F7817" t="s">
        <v>26</v>
      </c>
      <c r="G7817" s="28">
        <f>IFERROR(VLOOKUP(F7817,CARTON_LOOKUP!$A:$E,3,0),"")</f>
      </c>
      <c r="H7817" s="28">
        <f>IFERROR(VLOOKUP(F7817,CARTON_LOOKUP!$A:$E,4,0),"")</f>
      </c>
      <c r="I7817" s="28">
        <f>IFERROR(VLOOKUP(F7817,CARTON_LOOKUP!$A:$E,5,0),"")</f>
      </c>
      <c r="J7817" s="29">
        <f>IFERROR(VLOOKUP(F7817,CARTON_LOOKUP!$A:$E,2,0),"")</f>
      </c>
      <c r="K7817" s="29">
        <f>IFERROR(J7817*D7817,0)</f>
      </c>
      <c r="L7817" s="29">
        <f>IFERROR(E7817*C7817,0)</f>
      </c>
      <c r="M7817" s="29">
        <f>IFERROR((G7817*H7817*I7817/1000000)*D7817,0)</f>
      </c>
    </row>
    <row r="7818" spans="1:13" x14ac:dyDescent="0.25">
      <c r="A7818" s="16"/>
      <c r="E7818" s="27"/>
      <c r="F7818" t="s">
        <v>26</v>
      </c>
      <c r="G7818" s="28">
        <f>IFERROR(VLOOKUP(F7818,CARTON_LOOKUP!$A:$E,3,0),"")</f>
      </c>
      <c r="H7818" s="28">
        <f>IFERROR(VLOOKUP(F7818,CARTON_LOOKUP!$A:$E,4,0),"")</f>
      </c>
      <c r="I7818" s="28">
        <f>IFERROR(VLOOKUP(F7818,CARTON_LOOKUP!$A:$E,5,0),"")</f>
      </c>
      <c r="J7818" s="29">
        <f>IFERROR(VLOOKUP(F7818,CARTON_LOOKUP!$A:$E,2,0),"")</f>
      </c>
      <c r="K7818" s="29">
        <f>IFERROR(J7818*D7818,0)</f>
      </c>
      <c r="L7818" s="29">
        <f>IFERROR(E7818*C7818,0)</f>
      </c>
      <c r="M7818" s="29">
        <f>IFERROR((G7818*H7818*I7818/1000000)*D7818,0)</f>
      </c>
    </row>
    <row r="7819" spans="1:13" x14ac:dyDescent="0.25">
      <c r="A7819" s="16"/>
      <c r="E7819" s="27"/>
      <c r="F7819" t="s">
        <v>26</v>
      </c>
      <c r="G7819" s="28">
        <f>IFERROR(VLOOKUP(F7819,CARTON_LOOKUP!$A:$E,3,0),"")</f>
      </c>
      <c r="H7819" s="28">
        <f>IFERROR(VLOOKUP(F7819,CARTON_LOOKUP!$A:$E,4,0),"")</f>
      </c>
      <c r="I7819" s="28">
        <f>IFERROR(VLOOKUP(F7819,CARTON_LOOKUP!$A:$E,5,0),"")</f>
      </c>
      <c r="J7819" s="29">
        <f>IFERROR(VLOOKUP(F7819,CARTON_LOOKUP!$A:$E,2,0),"")</f>
      </c>
      <c r="K7819" s="29">
        <f>IFERROR(J7819*D7819,0)</f>
      </c>
      <c r="L7819" s="29">
        <f>IFERROR(E7819*C7819,0)</f>
      </c>
      <c r="M7819" s="29">
        <f>IFERROR((G7819*H7819*I7819/1000000)*D7819,0)</f>
      </c>
    </row>
    <row r="7820" spans="1:13" x14ac:dyDescent="0.25">
      <c r="A7820" s="16"/>
      <c r="E7820" s="27"/>
      <c r="F7820" t="s">
        <v>26</v>
      </c>
      <c r="G7820" s="28">
        <f>IFERROR(VLOOKUP(F7820,CARTON_LOOKUP!$A:$E,3,0),"")</f>
      </c>
      <c r="H7820" s="28">
        <f>IFERROR(VLOOKUP(F7820,CARTON_LOOKUP!$A:$E,4,0),"")</f>
      </c>
      <c r="I7820" s="28">
        <f>IFERROR(VLOOKUP(F7820,CARTON_LOOKUP!$A:$E,5,0),"")</f>
      </c>
      <c r="J7820" s="29">
        <f>IFERROR(VLOOKUP(F7820,CARTON_LOOKUP!$A:$E,2,0),"")</f>
      </c>
      <c r="K7820" s="29">
        <f>IFERROR(J7820*D7820,0)</f>
      </c>
      <c r="L7820" s="29">
        <f>IFERROR(E7820*C7820,0)</f>
      </c>
      <c r="M7820" s="29">
        <f>IFERROR((G7820*H7820*I7820/1000000)*D7820,0)</f>
      </c>
    </row>
    <row r="7821" spans="1:13" x14ac:dyDescent="0.25">
      <c r="A7821" s="16"/>
      <c r="E7821" s="27"/>
      <c r="F7821" t="s">
        <v>26</v>
      </c>
      <c r="G7821" s="28">
        <f>IFERROR(VLOOKUP(F7821,CARTON_LOOKUP!$A:$E,3,0),"")</f>
      </c>
      <c r="H7821" s="28">
        <f>IFERROR(VLOOKUP(F7821,CARTON_LOOKUP!$A:$E,4,0),"")</f>
      </c>
      <c r="I7821" s="28">
        <f>IFERROR(VLOOKUP(F7821,CARTON_LOOKUP!$A:$E,5,0),"")</f>
      </c>
      <c r="J7821" s="29">
        <f>IFERROR(VLOOKUP(F7821,CARTON_LOOKUP!$A:$E,2,0),"")</f>
      </c>
      <c r="K7821" s="29">
        <f>IFERROR(J7821*D7821,0)</f>
      </c>
      <c r="L7821" s="29">
        <f>IFERROR(E7821*C7821,0)</f>
      </c>
      <c r="M7821" s="29">
        <f>IFERROR((G7821*H7821*I7821/1000000)*D7821,0)</f>
      </c>
    </row>
    <row r="7822" spans="1:13" x14ac:dyDescent="0.25">
      <c r="A7822" s="16"/>
      <c r="E7822" s="27"/>
      <c r="F7822" t="s">
        <v>26</v>
      </c>
      <c r="G7822" s="28">
        <f>IFERROR(VLOOKUP(F7822,CARTON_LOOKUP!$A:$E,3,0),"")</f>
      </c>
      <c r="H7822" s="28">
        <f>IFERROR(VLOOKUP(F7822,CARTON_LOOKUP!$A:$E,4,0),"")</f>
      </c>
      <c r="I7822" s="28">
        <f>IFERROR(VLOOKUP(F7822,CARTON_LOOKUP!$A:$E,5,0),"")</f>
      </c>
      <c r="J7822" s="29">
        <f>IFERROR(VLOOKUP(F7822,CARTON_LOOKUP!$A:$E,2,0),"")</f>
      </c>
      <c r="K7822" s="29">
        <f>IFERROR(J7822*D7822,0)</f>
      </c>
      <c r="L7822" s="29">
        <f>IFERROR(E7822*C7822,0)</f>
      </c>
      <c r="M7822" s="29">
        <f>IFERROR((G7822*H7822*I7822/1000000)*D7822,0)</f>
      </c>
    </row>
    <row r="7823" spans="1:13" x14ac:dyDescent="0.25">
      <c r="A7823" s="16"/>
      <c r="E7823" s="27"/>
      <c r="F7823" t="s">
        <v>26</v>
      </c>
      <c r="G7823" s="28">
        <f>IFERROR(VLOOKUP(F7823,CARTON_LOOKUP!$A:$E,3,0),"")</f>
      </c>
      <c r="H7823" s="28">
        <f>IFERROR(VLOOKUP(F7823,CARTON_LOOKUP!$A:$E,4,0),"")</f>
      </c>
      <c r="I7823" s="28">
        <f>IFERROR(VLOOKUP(F7823,CARTON_LOOKUP!$A:$E,5,0),"")</f>
      </c>
      <c r="J7823" s="29">
        <f>IFERROR(VLOOKUP(F7823,CARTON_LOOKUP!$A:$E,2,0),"")</f>
      </c>
      <c r="K7823" s="29">
        <f>IFERROR(J7823*D7823,0)</f>
      </c>
      <c r="L7823" s="29">
        <f>IFERROR(E7823*C7823,0)</f>
      </c>
      <c r="M7823" s="29">
        <f>IFERROR((G7823*H7823*I7823/1000000)*D7823,0)</f>
      </c>
    </row>
    <row r="7824" spans="1:13" x14ac:dyDescent="0.25">
      <c r="A7824" s="16"/>
      <c r="E7824" s="27"/>
      <c r="F7824" t="s">
        <v>26</v>
      </c>
      <c r="G7824" s="28">
        <f>IFERROR(VLOOKUP(F7824,CARTON_LOOKUP!$A:$E,3,0),"")</f>
      </c>
      <c r="H7824" s="28">
        <f>IFERROR(VLOOKUP(F7824,CARTON_LOOKUP!$A:$E,4,0),"")</f>
      </c>
      <c r="I7824" s="28">
        <f>IFERROR(VLOOKUP(F7824,CARTON_LOOKUP!$A:$E,5,0),"")</f>
      </c>
      <c r="J7824" s="29">
        <f>IFERROR(VLOOKUP(F7824,CARTON_LOOKUP!$A:$E,2,0),"")</f>
      </c>
      <c r="K7824" s="29">
        <f>IFERROR(J7824*D7824,0)</f>
      </c>
      <c r="L7824" s="29">
        <f>IFERROR(E7824*C7824,0)</f>
      </c>
      <c r="M7824" s="29">
        <f>IFERROR((G7824*H7824*I7824/1000000)*D7824,0)</f>
      </c>
    </row>
    <row r="7825" spans="1:13" x14ac:dyDescent="0.25">
      <c r="A7825" s="16"/>
      <c r="E7825" s="27"/>
      <c r="F7825" t="s">
        <v>26</v>
      </c>
      <c r="G7825" s="28">
        <f>IFERROR(VLOOKUP(F7825,CARTON_LOOKUP!$A:$E,3,0),"")</f>
      </c>
      <c r="H7825" s="28">
        <f>IFERROR(VLOOKUP(F7825,CARTON_LOOKUP!$A:$E,4,0),"")</f>
      </c>
      <c r="I7825" s="28">
        <f>IFERROR(VLOOKUP(F7825,CARTON_LOOKUP!$A:$E,5,0),"")</f>
      </c>
      <c r="J7825" s="29">
        <f>IFERROR(VLOOKUP(F7825,CARTON_LOOKUP!$A:$E,2,0),"")</f>
      </c>
      <c r="K7825" s="29">
        <f>IFERROR(J7825*D7825,0)</f>
      </c>
      <c r="L7825" s="29">
        <f>IFERROR(E7825*C7825,0)</f>
      </c>
      <c r="M7825" s="29">
        <f>IFERROR((G7825*H7825*I7825/1000000)*D7825,0)</f>
      </c>
    </row>
    <row r="7826" spans="1:13" x14ac:dyDescent="0.25">
      <c r="A7826" s="16"/>
      <c r="E7826" s="27"/>
      <c r="F7826" t="s">
        <v>26</v>
      </c>
      <c r="G7826" s="28">
        <f>IFERROR(VLOOKUP(F7826,CARTON_LOOKUP!$A:$E,3,0),"")</f>
      </c>
      <c r="H7826" s="28">
        <f>IFERROR(VLOOKUP(F7826,CARTON_LOOKUP!$A:$E,4,0),"")</f>
      </c>
      <c r="I7826" s="28">
        <f>IFERROR(VLOOKUP(F7826,CARTON_LOOKUP!$A:$E,5,0),"")</f>
      </c>
      <c r="J7826" s="29">
        <f>IFERROR(VLOOKUP(F7826,CARTON_LOOKUP!$A:$E,2,0),"")</f>
      </c>
      <c r="K7826" s="29">
        <f>IFERROR(J7826*D7826,0)</f>
      </c>
      <c r="L7826" s="29">
        <f>IFERROR(E7826*C7826,0)</f>
      </c>
      <c r="M7826" s="29">
        <f>IFERROR((G7826*H7826*I7826/1000000)*D7826,0)</f>
      </c>
    </row>
    <row r="7827" spans="1:13" x14ac:dyDescent="0.25">
      <c r="A7827" s="16"/>
      <c r="E7827" s="27"/>
      <c r="F7827" t="s">
        <v>26</v>
      </c>
      <c r="G7827" s="28">
        <f>IFERROR(VLOOKUP(F7827,CARTON_LOOKUP!$A:$E,3,0),"")</f>
      </c>
      <c r="H7827" s="28">
        <f>IFERROR(VLOOKUP(F7827,CARTON_LOOKUP!$A:$E,4,0),"")</f>
      </c>
      <c r="I7827" s="28">
        <f>IFERROR(VLOOKUP(F7827,CARTON_LOOKUP!$A:$E,5,0),"")</f>
      </c>
      <c r="J7827" s="29">
        <f>IFERROR(VLOOKUP(F7827,CARTON_LOOKUP!$A:$E,2,0),"")</f>
      </c>
      <c r="K7827" s="29">
        <f>IFERROR(J7827*D7827,0)</f>
      </c>
      <c r="L7827" s="29">
        <f>IFERROR(E7827*C7827,0)</f>
      </c>
      <c r="M7827" s="29">
        <f>IFERROR((G7827*H7827*I7827/1000000)*D7827,0)</f>
      </c>
    </row>
    <row r="7828" spans="1:13" x14ac:dyDescent="0.25">
      <c r="A7828" s="16"/>
      <c r="E7828" s="27"/>
      <c r="F7828" t="s">
        <v>26</v>
      </c>
      <c r="G7828" s="28">
        <f>IFERROR(VLOOKUP(F7828,CARTON_LOOKUP!$A:$E,3,0),"")</f>
      </c>
      <c r="H7828" s="28">
        <f>IFERROR(VLOOKUP(F7828,CARTON_LOOKUP!$A:$E,4,0),"")</f>
      </c>
      <c r="I7828" s="28">
        <f>IFERROR(VLOOKUP(F7828,CARTON_LOOKUP!$A:$E,5,0),"")</f>
      </c>
      <c r="J7828" s="29">
        <f>IFERROR(VLOOKUP(F7828,CARTON_LOOKUP!$A:$E,2,0),"")</f>
      </c>
      <c r="K7828" s="29">
        <f>IFERROR(J7828*D7828,0)</f>
      </c>
      <c r="L7828" s="29">
        <f>IFERROR(E7828*C7828,0)</f>
      </c>
      <c r="M7828" s="29">
        <f>IFERROR((G7828*H7828*I7828/1000000)*D7828,0)</f>
      </c>
    </row>
    <row r="7829" spans="1:13" x14ac:dyDescent="0.25">
      <c r="A7829" s="16"/>
      <c r="E7829" s="27"/>
      <c r="F7829" t="s">
        <v>26</v>
      </c>
      <c r="G7829" s="28">
        <f>IFERROR(VLOOKUP(F7829,CARTON_LOOKUP!$A:$E,3,0),"")</f>
      </c>
      <c r="H7829" s="28">
        <f>IFERROR(VLOOKUP(F7829,CARTON_LOOKUP!$A:$E,4,0),"")</f>
      </c>
      <c r="I7829" s="28">
        <f>IFERROR(VLOOKUP(F7829,CARTON_LOOKUP!$A:$E,5,0),"")</f>
      </c>
      <c r="J7829" s="29">
        <f>IFERROR(VLOOKUP(F7829,CARTON_LOOKUP!$A:$E,2,0),"")</f>
      </c>
      <c r="K7829" s="29">
        <f>IFERROR(J7829*D7829,0)</f>
      </c>
      <c r="L7829" s="29">
        <f>IFERROR(E7829*C7829,0)</f>
      </c>
      <c r="M7829" s="29">
        <f>IFERROR((G7829*H7829*I7829/1000000)*D7829,0)</f>
      </c>
    </row>
    <row r="7830" spans="1:13" x14ac:dyDescent="0.25">
      <c r="A7830" s="16"/>
      <c r="E7830" s="27"/>
      <c r="F7830" t="s">
        <v>26</v>
      </c>
      <c r="G7830" s="28">
        <f>IFERROR(VLOOKUP(F7830,CARTON_LOOKUP!$A:$E,3,0),"")</f>
      </c>
      <c r="H7830" s="28">
        <f>IFERROR(VLOOKUP(F7830,CARTON_LOOKUP!$A:$E,4,0),"")</f>
      </c>
      <c r="I7830" s="28">
        <f>IFERROR(VLOOKUP(F7830,CARTON_LOOKUP!$A:$E,5,0),"")</f>
      </c>
      <c r="J7830" s="29">
        <f>IFERROR(VLOOKUP(F7830,CARTON_LOOKUP!$A:$E,2,0),"")</f>
      </c>
      <c r="K7830" s="29">
        <f>IFERROR(J7830*D7830,0)</f>
      </c>
      <c r="L7830" s="29">
        <f>IFERROR(E7830*C7830,0)</f>
      </c>
      <c r="M7830" s="29">
        <f>IFERROR((G7830*H7830*I7830/1000000)*D7830,0)</f>
      </c>
    </row>
    <row r="7831" spans="1:13" x14ac:dyDescent="0.25">
      <c r="A7831" s="16"/>
      <c r="E7831" s="27"/>
      <c r="F7831" t="s">
        <v>26</v>
      </c>
      <c r="G7831" s="28">
        <f>IFERROR(VLOOKUP(F7831,CARTON_LOOKUP!$A:$E,3,0),"")</f>
      </c>
      <c r="H7831" s="28">
        <f>IFERROR(VLOOKUP(F7831,CARTON_LOOKUP!$A:$E,4,0),"")</f>
      </c>
      <c r="I7831" s="28">
        <f>IFERROR(VLOOKUP(F7831,CARTON_LOOKUP!$A:$E,5,0),"")</f>
      </c>
      <c r="J7831" s="29">
        <f>IFERROR(VLOOKUP(F7831,CARTON_LOOKUP!$A:$E,2,0),"")</f>
      </c>
      <c r="K7831" s="29">
        <f>IFERROR(J7831*D7831,0)</f>
      </c>
      <c r="L7831" s="29">
        <f>IFERROR(E7831*C7831,0)</f>
      </c>
      <c r="M7831" s="29">
        <f>IFERROR((G7831*H7831*I7831/1000000)*D7831,0)</f>
      </c>
    </row>
    <row r="7832" spans="1:13" x14ac:dyDescent="0.25">
      <c r="A7832" s="16"/>
      <c r="E7832" s="27"/>
      <c r="F7832" t="s">
        <v>26</v>
      </c>
      <c r="G7832" s="28">
        <f>IFERROR(VLOOKUP(F7832,CARTON_LOOKUP!$A:$E,3,0),"")</f>
      </c>
      <c r="H7832" s="28">
        <f>IFERROR(VLOOKUP(F7832,CARTON_LOOKUP!$A:$E,4,0),"")</f>
      </c>
      <c r="I7832" s="28">
        <f>IFERROR(VLOOKUP(F7832,CARTON_LOOKUP!$A:$E,5,0),"")</f>
      </c>
      <c r="J7832" s="29">
        <f>IFERROR(VLOOKUP(F7832,CARTON_LOOKUP!$A:$E,2,0),"")</f>
      </c>
      <c r="K7832" s="29">
        <f>IFERROR(J7832*D7832,0)</f>
      </c>
      <c r="L7832" s="29">
        <f>IFERROR(E7832*C7832,0)</f>
      </c>
      <c r="M7832" s="29">
        <f>IFERROR((G7832*H7832*I7832/1000000)*D7832,0)</f>
      </c>
    </row>
    <row r="7833" spans="1:13" x14ac:dyDescent="0.25">
      <c r="A7833" s="16"/>
      <c r="E7833" s="27"/>
      <c r="F7833" t="s">
        <v>26</v>
      </c>
      <c r="G7833" s="28">
        <f>IFERROR(VLOOKUP(F7833,CARTON_LOOKUP!$A:$E,3,0),"")</f>
      </c>
      <c r="H7833" s="28">
        <f>IFERROR(VLOOKUP(F7833,CARTON_LOOKUP!$A:$E,4,0),"")</f>
      </c>
      <c r="I7833" s="28">
        <f>IFERROR(VLOOKUP(F7833,CARTON_LOOKUP!$A:$E,5,0),"")</f>
      </c>
      <c r="J7833" s="29">
        <f>IFERROR(VLOOKUP(F7833,CARTON_LOOKUP!$A:$E,2,0),"")</f>
      </c>
      <c r="K7833" s="29">
        <f>IFERROR(J7833*D7833,0)</f>
      </c>
      <c r="L7833" s="29">
        <f>IFERROR(E7833*C7833,0)</f>
      </c>
      <c r="M7833" s="29">
        <f>IFERROR((G7833*H7833*I7833/1000000)*D7833,0)</f>
      </c>
    </row>
    <row r="7834" spans="1:13" x14ac:dyDescent="0.25">
      <c r="A7834" s="16"/>
      <c r="E7834" s="27"/>
      <c r="F7834" t="s">
        <v>26</v>
      </c>
      <c r="G7834" s="28">
        <f>IFERROR(VLOOKUP(F7834,CARTON_LOOKUP!$A:$E,3,0),"")</f>
      </c>
      <c r="H7834" s="28">
        <f>IFERROR(VLOOKUP(F7834,CARTON_LOOKUP!$A:$E,4,0),"")</f>
      </c>
      <c r="I7834" s="28">
        <f>IFERROR(VLOOKUP(F7834,CARTON_LOOKUP!$A:$E,5,0),"")</f>
      </c>
      <c r="J7834" s="29">
        <f>IFERROR(VLOOKUP(F7834,CARTON_LOOKUP!$A:$E,2,0),"")</f>
      </c>
      <c r="K7834" s="29">
        <f>IFERROR(J7834*D7834,0)</f>
      </c>
      <c r="L7834" s="29">
        <f>IFERROR(E7834*C7834,0)</f>
      </c>
      <c r="M7834" s="29">
        <f>IFERROR((G7834*H7834*I7834/1000000)*D7834,0)</f>
      </c>
    </row>
    <row r="7835" spans="1:13" x14ac:dyDescent="0.25">
      <c r="A7835" s="16"/>
      <c r="E7835" s="27"/>
      <c r="F7835" t="s">
        <v>26</v>
      </c>
      <c r="G7835" s="28">
        <f>IFERROR(VLOOKUP(F7835,CARTON_LOOKUP!$A:$E,3,0),"")</f>
      </c>
      <c r="H7835" s="28">
        <f>IFERROR(VLOOKUP(F7835,CARTON_LOOKUP!$A:$E,4,0),"")</f>
      </c>
      <c r="I7835" s="28">
        <f>IFERROR(VLOOKUP(F7835,CARTON_LOOKUP!$A:$E,5,0),"")</f>
      </c>
      <c r="J7835" s="29">
        <f>IFERROR(VLOOKUP(F7835,CARTON_LOOKUP!$A:$E,2,0),"")</f>
      </c>
      <c r="K7835" s="29">
        <f>IFERROR(J7835*D7835,0)</f>
      </c>
      <c r="L7835" s="29">
        <f>IFERROR(E7835*C7835,0)</f>
      </c>
      <c r="M7835" s="29">
        <f>IFERROR((G7835*H7835*I7835/1000000)*D7835,0)</f>
      </c>
    </row>
    <row r="7836" spans="1:13" x14ac:dyDescent="0.25">
      <c r="A7836" s="16"/>
      <c r="E7836" s="27"/>
      <c r="F7836" t="s">
        <v>26</v>
      </c>
      <c r="G7836" s="28">
        <f>IFERROR(VLOOKUP(F7836,CARTON_LOOKUP!$A:$E,3,0),"")</f>
      </c>
      <c r="H7836" s="28">
        <f>IFERROR(VLOOKUP(F7836,CARTON_LOOKUP!$A:$E,4,0),"")</f>
      </c>
      <c r="I7836" s="28">
        <f>IFERROR(VLOOKUP(F7836,CARTON_LOOKUP!$A:$E,5,0),"")</f>
      </c>
      <c r="J7836" s="29">
        <f>IFERROR(VLOOKUP(F7836,CARTON_LOOKUP!$A:$E,2,0),"")</f>
      </c>
      <c r="K7836" s="29">
        <f>IFERROR(J7836*D7836,0)</f>
      </c>
      <c r="L7836" s="29">
        <f>IFERROR(E7836*C7836,0)</f>
      </c>
      <c r="M7836" s="29">
        <f>IFERROR((G7836*H7836*I7836/1000000)*D7836,0)</f>
      </c>
    </row>
    <row r="7837" spans="1:13" x14ac:dyDescent="0.25">
      <c r="A7837" s="16"/>
      <c r="E7837" s="27"/>
      <c r="F7837" t="s">
        <v>26</v>
      </c>
      <c r="G7837" s="28">
        <f>IFERROR(VLOOKUP(F7837,CARTON_LOOKUP!$A:$E,3,0),"")</f>
      </c>
      <c r="H7837" s="28">
        <f>IFERROR(VLOOKUP(F7837,CARTON_LOOKUP!$A:$E,4,0),"")</f>
      </c>
      <c r="I7837" s="28">
        <f>IFERROR(VLOOKUP(F7837,CARTON_LOOKUP!$A:$E,5,0),"")</f>
      </c>
      <c r="J7837" s="29">
        <f>IFERROR(VLOOKUP(F7837,CARTON_LOOKUP!$A:$E,2,0),"")</f>
      </c>
      <c r="K7837" s="29">
        <f>IFERROR(J7837*D7837,0)</f>
      </c>
      <c r="L7837" s="29">
        <f>IFERROR(E7837*C7837,0)</f>
      </c>
      <c r="M7837" s="29">
        <f>IFERROR((G7837*H7837*I7837/1000000)*D7837,0)</f>
      </c>
    </row>
    <row r="7838" spans="1:13" x14ac:dyDescent="0.25">
      <c r="A7838" s="16"/>
      <c r="E7838" s="27"/>
      <c r="F7838" t="s">
        <v>26</v>
      </c>
      <c r="G7838" s="28">
        <f>IFERROR(VLOOKUP(F7838,CARTON_LOOKUP!$A:$E,3,0),"")</f>
      </c>
      <c r="H7838" s="28">
        <f>IFERROR(VLOOKUP(F7838,CARTON_LOOKUP!$A:$E,4,0),"")</f>
      </c>
      <c r="I7838" s="28">
        <f>IFERROR(VLOOKUP(F7838,CARTON_LOOKUP!$A:$E,5,0),"")</f>
      </c>
      <c r="J7838" s="29">
        <f>IFERROR(VLOOKUP(F7838,CARTON_LOOKUP!$A:$E,2,0),"")</f>
      </c>
      <c r="K7838" s="29">
        <f>IFERROR(J7838*D7838,0)</f>
      </c>
      <c r="L7838" s="29">
        <f>IFERROR(E7838*C7838,0)</f>
      </c>
      <c r="M7838" s="29">
        <f>IFERROR((G7838*H7838*I7838/1000000)*D7838,0)</f>
      </c>
    </row>
    <row r="7839" spans="1:13" x14ac:dyDescent="0.25">
      <c r="A7839" s="16"/>
      <c r="E7839" s="27"/>
      <c r="F7839" t="s">
        <v>26</v>
      </c>
      <c r="G7839" s="28">
        <f>IFERROR(VLOOKUP(F7839,CARTON_LOOKUP!$A:$E,3,0),"")</f>
      </c>
      <c r="H7839" s="28">
        <f>IFERROR(VLOOKUP(F7839,CARTON_LOOKUP!$A:$E,4,0),"")</f>
      </c>
      <c r="I7839" s="28">
        <f>IFERROR(VLOOKUP(F7839,CARTON_LOOKUP!$A:$E,5,0),"")</f>
      </c>
      <c r="J7839" s="29">
        <f>IFERROR(VLOOKUP(F7839,CARTON_LOOKUP!$A:$E,2,0),"")</f>
      </c>
      <c r="K7839" s="29">
        <f>IFERROR(J7839*D7839,0)</f>
      </c>
      <c r="L7839" s="29">
        <f>IFERROR(E7839*C7839,0)</f>
      </c>
      <c r="M7839" s="29">
        <f>IFERROR((G7839*H7839*I7839/1000000)*D7839,0)</f>
      </c>
    </row>
    <row r="7840" spans="1:13" x14ac:dyDescent="0.25">
      <c r="A7840" s="16"/>
      <c r="E7840" s="27"/>
      <c r="F7840" t="s">
        <v>26</v>
      </c>
      <c r="G7840" s="28">
        <f>IFERROR(VLOOKUP(F7840,CARTON_LOOKUP!$A:$E,3,0),"")</f>
      </c>
      <c r="H7840" s="28">
        <f>IFERROR(VLOOKUP(F7840,CARTON_LOOKUP!$A:$E,4,0),"")</f>
      </c>
      <c r="I7840" s="28">
        <f>IFERROR(VLOOKUP(F7840,CARTON_LOOKUP!$A:$E,5,0),"")</f>
      </c>
      <c r="J7840" s="29">
        <f>IFERROR(VLOOKUP(F7840,CARTON_LOOKUP!$A:$E,2,0),"")</f>
      </c>
      <c r="K7840" s="29">
        <f>IFERROR(J7840*D7840,0)</f>
      </c>
      <c r="L7840" s="29">
        <f>IFERROR(E7840*C7840,0)</f>
      </c>
      <c r="M7840" s="29">
        <f>IFERROR((G7840*H7840*I7840/1000000)*D7840,0)</f>
      </c>
    </row>
    <row r="7841" spans="1:13" x14ac:dyDescent="0.25">
      <c r="A7841" s="16"/>
      <c r="E7841" s="27"/>
      <c r="F7841" t="s">
        <v>26</v>
      </c>
      <c r="G7841" s="28">
        <f>IFERROR(VLOOKUP(F7841,CARTON_LOOKUP!$A:$E,3,0),"")</f>
      </c>
      <c r="H7841" s="28">
        <f>IFERROR(VLOOKUP(F7841,CARTON_LOOKUP!$A:$E,4,0),"")</f>
      </c>
      <c r="I7841" s="28">
        <f>IFERROR(VLOOKUP(F7841,CARTON_LOOKUP!$A:$E,5,0),"")</f>
      </c>
      <c r="J7841" s="29">
        <f>IFERROR(VLOOKUP(F7841,CARTON_LOOKUP!$A:$E,2,0),"")</f>
      </c>
      <c r="K7841" s="29">
        <f>IFERROR(J7841*D7841,0)</f>
      </c>
      <c r="L7841" s="29">
        <f>IFERROR(E7841*C7841,0)</f>
      </c>
      <c r="M7841" s="29">
        <f>IFERROR((G7841*H7841*I7841/1000000)*D7841,0)</f>
      </c>
    </row>
    <row r="7842" spans="1:13" x14ac:dyDescent="0.25">
      <c r="A7842" s="16"/>
      <c r="E7842" s="27"/>
      <c r="F7842" t="s">
        <v>26</v>
      </c>
      <c r="G7842" s="28">
        <f>IFERROR(VLOOKUP(F7842,CARTON_LOOKUP!$A:$E,3,0),"")</f>
      </c>
      <c r="H7842" s="28">
        <f>IFERROR(VLOOKUP(F7842,CARTON_LOOKUP!$A:$E,4,0),"")</f>
      </c>
      <c r="I7842" s="28">
        <f>IFERROR(VLOOKUP(F7842,CARTON_LOOKUP!$A:$E,5,0),"")</f>
      </c>
      <c r="J7842" s="29">
        <f>IFERROR(VLOOKUP(F7842,CARTON_LOOKUP!$A:$E,2,0),"")</f>
      </c>
      <c r="K7842" s="29">
        <f>IFERROR(J7842*D7842,0)</f>
      </c>
      <c r="L7842" s="29">
        <f>IFERROR(E7842*C7842,0)</f>
      </c>
      <c r="M7842" s="29">
        <f>IFERROR((G7842*H7842*I7842/1000000)*D7842,0)</f>
      </c>
    </row>
    <row r="7843" spans="1:13" x14ac:dyDescent="0.25">
      <c r="A7843" s="16"/>
      <c r="E7843" s="27"/>
      <c r="F7843" t="s">
        <v>26</v>
      </c>
      <c r="G7843" s="28">
        <f>IFERROR(VLOOKUP(F7843,CARTON_LOOKUP!$A:$E,3,0),"")</f>
      </c>
      <c r="H7843" s="28">
        <f>IFERROR(VLOOKUP(F7843,CARTON_LOOKUP!$A:$E,4,0),"")</f>
      </c>
      <c r="I7843" s="28">
        <f>IFERROR(VLOOKUP(F7843,CARTON_LOOKUP!$A:$E,5,0),"")</f>
      </c>
      <c r="J7843" s="29">
        <f>IFERROR(VLOOKUP(F7843,CARTON_LOOKUP!$A:$E,2,0),"")</f>
      </c>
      <c r="K7843" s="29">
        <f>IFERROR(J7843*D7843,0)</f>
      </c>
      <c r="L7843" s="29">
        <f>IFERROR(E7843*C7843,0)</f>
      </c>
      <c r="M7843" s="29">
        <f>IFERROR((G7843*H7843*I7843/1000000)*D7843,0)</f>
      </c>
    </row>
    <row r="7844" spans="1:13" x14ac:dyDescent="0.25">
      <c r="A7844" s="16"/>
      <c r="E7844" s="27"/>
      <c r="F7844" t="s">
        <v>26</v>
      </c>
      <c r="G7844" s="28">
        <f>IFERROR(VLOOKUP(F7844,CARTON_LOOKUP!$A:$E,3,0),"")</f>
      </c>
      <c r="H7844" s="28">
        <f>IFERROR(VLOOKUP(F7844,CARTON_LOOKUP!$A:$E,4,0),"")</f>
      </c>
      <c r="I7844" s="28">
        <f>IFERROR(VLOOKUP(F7844,CARTON_LOOKUP!$A:$E,5,0),"")</f>
      </c>
      <c r="J7844" s="29">
        <f>IFERROR(VLOOKUP(F7844,CARTON_LOOKUP!$A:$E,2,0),"")</f>
      </c>
      <c r="K7844" s="29">
        <f>IFERROR(J7844*D7844,0)</f>
      </c>
      <c r="L7844" s="29">
        <f>IFERROR(E7844*C7844,0)</f>
      </c>
      <c r="M7844" s="29">
        <f>IFERROR((G7844*H7844*I7844/1000000)*D7844,0)</f>
      </c>
    </row>
    <row r="7845" spans="1:13" x14ac:dyDescent="0.25">
      <c r="A7845" s="16"/>
      <c r="E7845" s="27"/>
      <c r="F7845" t="s">
        <v>26</v>
      </c>
      <c r="G7845" s="28">
        <f>IFERROR(VLOOKUP(F7845,CARTON_LOOKUP!$A:$E,3,0),"")</f>
      </c>
      <c r="H7845" s="28">
        <f>IFERROR(VLOOKUP(F7845,CARTON_LOOKUP!$A:$E,4,0),"")</f>
      </c>
      <c r="I7845" s="28">
        <f>IFERROR(VLOOKUP(F7845,CARTON_LOOKUP!$A:$E,5,0),"")</f>
      </c>
      <c r="J7845" s="29">
        <f>IFERROR(VLOOKUP(F7845,CARTON_LOOKUP!$A:$E,2,0),"")</f>
      </c>
      <c r="K7845" s="29">
        <f>IFERROR(J7845*D7845,0)</f>
      </c>
      <c r="L7845" s="29">
        <f>IFERROR(E7845*C7845,0)</f>
      </c>
      <c r="M7845" s="29">
        <f>IFERROR((G7845*H7845*I7845/1000000)*D7845,0)</f>
      </c>
    </row>
    <row r="7846" spans="1:13" x14ac:dyDescent="0.25">
      <c r="A7846" s="16"/>
      <c r="E7846" s="27"/>
      <c r="F7846" t="s">
        <v>26</v>
      </c>
      <c r="G7846" s="28">
        <f>IFERROR(VLOOKUP(F7846,CARTON_LOOKUP!$A:$E,3,0),"")</f>
      </c>
      <c r="H7846" s="28">
        <f>IFERROR(VLOOKUP(F7846,CARTON_LOOKUP!$A:$E,4,0),"")</f>
      </c>
      <c r="I7846" s="28">
        <f>IFERROR(VLOOKUP(F7846,CARTON_LOOKUP!$A:$E,5,0),"")</f>
      </c>
      <c r="J7846" s="29">
        <f>IFERROR(VLOOKUP(F7846,CARTON_LOOKUP!$A:$E,2,0),"")</f>
      </c>
      <c r="K7846" s="29">
        <f>IFERROR(J7846*D7846,0)</f>
      </c>
      <c r="L7846" s="29">
        <f>IFERROR(E7846*C7846,0)</f>
      </c>
      <c r="M7846" s="29">
        <f>IFERROR((G7846*H7846*I7846/1000000)*D7846,0)</f>
      </c>
    </row>
    <row r="7847" spans="1:13" x14ac:dyDescent="0.25">
      <c r="A7847" s="16"/>
      <c r="E7847" s="27"/>
      <c r="F7847" t="s">
        <v>26</v>
      </c>
      <c r="G7847" s="28">
        <f>IFERROR(VLOOKUP(F7847,CARTON_LOOKUP!$A:$E,3,0),"")</f>
      </c>
      <c r="H7847" s="28">
        <f>IFERROR(VLOOKUP(F7847,CARTON_LOOKUP!$A:$E,4,0),"")</f>
      </c>
      <c r="I7847" s="28">
        <f>IFERROR(VLOOKUP(F7847,CARTON_LOOKUP!$A:$E,5,0),"")</f>
      </c>
      <c r="J7847" s="29">
        <f>IFERROR(VLOOKUP(F7847,CARTON_LOOKUP!$A:$E,2,0),"")</f>
      </c>
      <c r="K7847" s="29">
        <f>IFERROR(J7847*D7847,0)</f>
      </c>
      <c r="L7847" s="29">
        <f>IFERROR(E7847*C7847,0)</f>
      </c>
      <c r="M7847" s="29">
        <f>IFERROR((G7847*H7847*I7847/1000000)*D7847,0)</f>
      </c>
    </row>
    <row r="7848" spans="1:13" x14ac:dyDescent="0.25">
      <c r="A7848" s="16"/>
      <c r="E7848" s="27"/>
      <c r="F7848" t="s">
        <v>26</v>
      </c>
      <c r="G7848" s="28">
        <f>IFERROR(VLOOKUP(F7848,CARTON_LOOKUP!$A:$E,3,0),"")</f>
      </c>
      <c r="H7848" s="28">
        <f>IFERROR(VLOOKUP(F7848,CARTON_LOOKUP!$A:$E,4,0),"")</f>
      </c>
      <c r="I7848" s="28">
        <f>IFERROR(VLOOKUP(F7848,CARTON_LOOKUP!$A:$E,5,0),"")</f>
      </c>
      <c r="J7848" s="29">
        <f>IFERROR(VLOOKUP(F7848,CARTON_LOOKUP!$A:$E,2,0),"")</f>
      </c>
      <c r="K7848" s="29">
        <f>IFERROR(J7848*D7848,0)</f>
      </c>
      <c r="L7848" s="29">
        <f>IFERROR(E7848*C7848,0)</f>
      </c>
      <c r="M7848" s="29">
        <f>IFERROR((G7848*H7848*I7848/1000000)*D7848,0)</f>
      </c>
    </row>
    <row r="7849" spans="1:13" x14ac:dyDescent="0.25">
      <c r="A7849" s="16"/>
      <c r="E7849" s="27"/>
      <c r="F7849" t="s">
        <v>26</v>
      </c>
      <c r="G7849" s="28">
        <f>IFERROR(VLOOKUP(F7849,CARTON_LOOKUP!$A:$E,3,0),"")</f>
      </c>
      <c r="H7849" s="28">
        <f>IFERROR(VLOOKUP(F7849,CARTON_LOOKUP!$A:$E,4,0),"")</f>
      </c>
      <c r="I7849" s="28">
        <f>IFERROR(VLOOKUP(F7849,CARTON_LOOKUP!$A:$E,5,0),"")</f>
      </c>
      <c r="J7849" s="29">
        <f>IFERROR(VLOOKUP(F7849,CARTON_LOOKUP!$A:$E,2,0),"")</f>
      </c>
      <c r="K7849" s="29">
        <f>IFERROR(J7849*D7849,0)</f>
      </c>
      <c r="L7849" s="29">
        <f>IFERROR(E7849*C7849,0)</f>
      </c>
      <c r="M7849" s="29">
        <f>IFERROR((G7849*H7849*I7849/1000000)*D7849,0)</f>
      </c>
    </row>
    <row r="7850" spans="1:13" x14ac:dyDescent="0.25">
      <c r="A7850" s="16"/>
      <c r="E7850" s="27"/>
      <c r="F7850" t="s">
        <v>26</v>
      </c>
      <c r="G7850" s="28">
        <f>IFERROR(VLOOKUP(F7850,CARTON_LOOKUP!$A:$E,3,0),"")</f>
      </c>
      <c r="H7850" s="28">
        <f>IFERROR(VLOOKUP(F7850,CARTON_LOOKUP!$A:$E,4,0),"")</f>
      </c>
      <c r="I7850" s="28">
        <f>IFERROR(VLOOKUP(F7850,CARTON_LOOKUP!$A:$E,5,0),"")</f>
      </c>
      <c r="J7850" s="29">
        <f>IFERROR(VLOOKUP(F7850,CARTON_LOOKUP!$A:$E,2,0),"")</f>
      </c>
      <c r="K7850" s="29">
        <f>IFERROR(J7850*D7850,0)</f>
      </c>
      <c r="L7850" s="29">
        <f>IFERROR(E7850*C7850,0)</f>
      </c>
      <c r="M7850" s="29">
        <f>IFERROR((G7850*H7850*I7850/1000000)*D7850,0)</f>
      </c>
    </row>
    <row r="7851" spans="1:13" x14ac:dyDescent="0.25">
      <c r="A7851" s="16"/>
      <c r="E7851" s="27"/>
      <c r="F7851" t="s">
        <v>26</v>
      </c>
      <c r="G7851" s="28">
        <f>IFERROR(VLOOKUP(F7851,CARTON_LOOKUP!$A:$E,3,0),"")</f>
      </c>
      <c r="H7851" s="28">
        <f>IFERROR(VLOOKUP(F7851,CARTON_LOOKUP!$A:$E,4,0),"")</f>
      </c>
      <c r="I7851" s="28">
        <f>IFERROR(VLOOKUP(F7851,CARTON_LOOKUP!$A:$E,5,0),"")</f>
      </c>
      <c r="J7851" s="29">
        <f>IFERROR(VLOOKUP(F7851,CARTON_LOOKUP!$A:$E,2,0),"")</f>
      </c>
      <c r="K7851" s="29">
        <f>IFERROR(J7851*D7851,0)</f>
      </c>
      <c r="L7851" s="29">
        <f>IFERROR(E7851*C7851,0)</f>
      </c>
      <c r="M7851" s="29">
        <f>IFERROR((G7851*H7851*I7851/1000000)*D7851,0)</f>
      </c>
    </row>
    <row r="7852" spans="1:13" x14ac:dyDescent="0.25">
      <c r="A7852" s="16"/>
      <c r="E7852" s="27"/>
      <c r="F7852" t="s">
        <v>26</v>
      </c>
      <c r="G7852" s="28">
        <f>IFERROR(VLOOKUP(F7852,CARTON_LOOKUP!$A:$E,3,0),"")</f>
      </c>
      <c r="H7852" s="28">
        <f>IFERROR(VLOOKUP(F7852,CARTON_LOOKUP!$A:$E,4,0),"")</f>
      </c>
      <c r="I7852" s="28">
        <f>IFERROR(VLOOKUP(F7852,CARTON_LOOKUP!$A:$E,5,0),"")</f>
      </c>
      <c r="J7852" s="29">
        <f>IFERROR(VLOOKUP(F7852,CARTON_LOOKUP!$A:$E,2,0),"")</f>
      </c>
      <c r="K7852" s="29">
        <f>IFERROR(J7852*D7852,0)</f>
      </c>
      <c r="L7852" s="29">
        <f>IFERROR(E7852*C7852,0)</f>
      </c>
      <c r="M7852" s="29">
        <f>IFERROR((G7852*H7852*I7852/1000000)*D7852,0)</f>
      </c>
    </row>
    <row r="7853" spans="1:13" x14ac:dyDescent="0.25">
      <c r="A7853" s="16"/>
      <c r="E7853" s="27"/>
      <c r="F7853" t="s">
        <v>26</v>
      </c>
      <c r="G7853" s="28">
        <f>IFERROR(VLOOKUP(F7853,CARTON_LOOKUP!$A:$E,3,0),"")</f>
      </c>
      <c r="H7853" s="28">
        <f>IFERROR(VLOOKUP(F7853,CARTON_LOOKUP!$A:$E,4,0),"")</f>
      </c>
      <c r="I7853" s="28">
        <f>IFERROR(VLOOKUP(F7853,CARTON_LOOKUP!$A:$E,5,0),"")</f>
      </c>
      <c r="J7853" s="29">
        <f>IFERROR(VLOOKUP(F7853,CARTON_LOOKUP!$A:$E,2,0),"")</f>
      </c>
      <c r="K7853" s="29">
        <f>IFERROR(J7853*D7853,0)</f>
      </c>
      <c r="L7853" s="29">
        <f>IFERROR(E7853*C7853,0)</f>
      </c>
      <c r="M7853" s="29">
        <f>IFERROR((G7853*H7853*I7853/1000000)*D7853,0)</f>
      </c>
    </row>
    <row r="7854" spans="1:13" x14ac:dyDescent="0.25">
      <c r="A7854" s="16"/>
      <c r="E7854" s="27"/>
      <c r="F7854" t="s">
        <v>26</v>
      </c>
      <c r="G7854" s="28">
        <f>IFERROR(VLOOKUP(F7854,CARTON_LOOKUP!$A:$E,3,0),"")</f>
      </c>
      <c r="H7854" s="28">
        <f>IFERROR(VLOOKUP(F7854,CARTON_LOOKUP!$A:$E,4,0),"")</f>
      </c>
      <c r="I7854" s="28">
        <f>IFERROR(VLOOKUP(F7854,CARTON_LOOKUP!$A:$E,5,0),"")</f>
      </c>
      <c r="J7854" s="29">
        <f>IFERROR(VLOOKUP(F7854,CARTON_LOOKUP!$A:$E,2,0),"")</f>
      </c>
      <c r="K7854" s="29">
        <f>IFERROR(J7854*D7854,0)</f>
      </c>
      <c r="L7854" s="29">
        <f>IFERROR(E7854*C7854,0)</f>
      </c>
      <c r="M7854" s="29">
        <f>IFERROR((G7854*H7854*I7854/1000000)*D7854,0)</f>
      </c>
    </row>
    <row r="7855" spans="1:13" x14ac:dyDescent="0.25">
      <c r="A7855" s="16"/>
      <c r="E7855" s="27"/>
      <c r="F7855" t="s">
        <v>26</v>
      </c>
      <c r="G7855" s="28">
        <f>IFERROR(VLOOKUP(F7855,CARTON_LOOKUP!$A:$E,3,0),"")</f>
      </c>
      <c r="H7855" s="28">
        <f>IFERROR(VLOOKUP(F7855,CARTON_LOOKUP!$A:$E,4,0),"")</f>
      </c>
      <c r="I7855" s="28">
        <f>IFERROR(VLOOKUP(F7855,CARTON_LOOKUP!$A:$E,5,0),"")</f>
      </c>
      <c r="J7855" s="29">
        <f>IFERROR(VLOOKUP(F7855,CARTON_LOOKUP!$A:$E,2,0),"")</f>
      </c>
      <c r="K7855" s="29">
        <f>IFERROR(J7855*D7855,0)</f>
      </c>
      <c r="L7855" s="29">
        <f>IFERROR(E7855*C7855,0)</f>
      </c>
      <c r="M7855" s="29">
        <f>IFERROR((G7855*H7855*I7855/1000000)*D7855,0)</f>
      </c>
    </row>
    <row r="7856" spans="1:13" x14ac:dyDescent="0.25">
      <c r="A7856" s="16"/>
      <c r="E7856" s="27"/>
      <c r="F7856" t="s">
        <v>26</v>
      </c>
      <c r="G7856" s="28">
        <f>IFERROR(VLOOKUP(F7856,CARTON_LOOKUP!$A:$E,3,0),"")</f>
      </c>
      <c r="H7856" s="28">
        <f>IFERROR(VLOOKUP(F7856,CARTON_LOOKUP!$A:$E,4,0),"")</f>
      </c>
      <c r="I7856" s="28">
        <f>IFERROR(VLOOKUP(F7856,CARTON_LOOKUP!$A:$E,5,0),"")</f>
      </c>
      <c r="J7856" s="29">
        <f>IFERROR(VLOOKUP(F7856,CARTON_LOOKUP!$A:$E,2,0),"")</f>
      </c>
      <c r="K7856" s="29">
        <f>IFERROR(J7856*D7856,0)</f>
      </c>
      <c r="L7856" s="29">
        <f>IFERROR(E7856*C7856,0)</f>
      </c>
      <c r="M7856" s="29">
        <f>IFERROR((G7856*H7856*I7856/1000000)*D7856,0)</f>
      </c>
    </row>
    <row r="7857" spans="1:13" x14ac:dyDescent="0.25">
      <c r="A7857" s="16"/>
      <c r="E7857" s="27"/>
      <c r="F7857" t="s">
        <v>26</v>
      </c>
      <c r="G7857" s="28">
        <f>IFERROR(VLOOKUP(F7857,CARTON_LOOKUP!$A:$E,3,0),"")</f>
      </c>
      <c r="H7857" s="28">
        <f>IFERROR(VLOOKUP(F7857,CARTON_LOOKUP!$A:$E,4,0),"")</f>
      </c>
      <c r="I7857" s="28">
        <f>IFERROR(VLOOKUP(F7857,CARTON_LOOKUP!$A:$E,5,0),"")</f>
      </c>
      <c r="J7857" s="29">
        <f>IFERROR(VLOOKUP(F7857,CARTON_LOOKUP!$A:$E,2,0),"")</f>
      </c>
      <c r="K7857" s="29">
        <f>IFERROR(J7857*D7857,0)</f>
      </c>
      <c r="L7857" s="29">
        <f>IFERROR(E7857*C7857,0)</f>
      </c>
      <c r="M7857" s="29">
        <f>IFERROR((G7857*H7857*I7857/1000000)*D7857,0)</f>
      </c>
    </row>
    <row r="7858" spans="1:13" x14ac:dyDescent="0.25">
      <c r="A7858" s="16"/>
      <c r="E7858" s="27"/>
      <c r="F7858" t="s">
        <v>26</v>
      </c>
      <c r="G7858" s="28">
        <f>IFERROR(VLOOKUP(F7858,CARTON_LOOKUP!$A:$E,3,0),"")</f>
      </c>
      <c r="H7858" s="28">
        <f>IFERROR(VLOOKUP(F7858,CARTON_LOOKUP!$A:$E,4,0),"")</f>
      </c>
      <c r="I7858" s="28">
        <f>IFERROR(VLOOKUP(F7858,CARTON_LOOKUP!$A:$E,5,0),"")</f>
      </c>
      <c r="J7858" s="29">
        <f>IFERROR(VLOOKUP(F7858,CARTON_LOOKUP!$A:$E,2,0),"")</f>
      </c>
      <c r="K7858" s="29">
        <f>IFERROR(J7858*D7858,0)</f>
      </c>
      <c r="L7858" s="29">
        <f>IFERROR(E7858*C7858,0)</f>
      </c>
      <c r="M7858" s="29">
        <f>IFERROR((G7858*H7858*I7858/1000000)*D7858,0)</f>
      </c>
    </row>
    <row r="7859" spans="1:13" x14ac:dyDescent="0.25">
      <c r="A7859" s="16"/>
      <c r="E7859" s="27"/>
      <c r="F7859" t="s">
        <v>26</v>
      </c>
      <c r="G7859" s="28">
        <f>IFERROR(VLOOKUP(F7859,CARTON_LOOKUP!$A:$E,3,0),"")</f>
      </c>
      <c r="H7859" s="28">
        <f>IFERROR(VLOOKUP(F7859,CARTON_LOOKUP!$A:$E,4,0),"")</f>
      </c>
      <c r="I7859" s="28">
        <f>IFERROR(VLOOKUP(F7859,CARTON_LOOKUP!$A:$E,5,0),"")</f>
      </c>
      <c r="J7859" s="29">
        <f>IFERROR(VLOOKUP(F7859,CARTON_LOOKUP!$A:$E,2,0),"")</f>
      </c>
      <c r="K7859" s="29">
        <f>IFERROR(J7859*D7859,0)</f>
      </c>
      <c r="L7859" s="29">
        <f>IFERROR(E7859*C7859,0)</f>
      </c>
      <c r="M7859" s="29">
        <f>IFERROR((G7859*H7859*I7859/1000000)*D7859,0)</f>
      </c>
    </row>
    <row r="7860" spans="1:13" x14ac:dyDescent="0.25">
      <c r="A7860" s="16"/>
      <c r="E7860" s="27"/>
      <c r="F7860" t="s">
        <v>26</v>
      </c>
      <c r="G7860" s="28">
        <f>IFERROR(VLOOKUP(F7860,CARTON_LOOKUP!$A:$E,3,0),"")</f>
      </c>
      <c r="H7860" s="28">
        <f>IFERROR(VLOOKUP(F7860,CARTON_LOOKUP!$A:$E,4,0),"")</f>
      </c>
      <c r="I7860" s="28">
        <f>IFERROR(VLOOKUP(F7860,CARTON_LOOKUP!$A:$E,5,0),"")</f>
      </c>
      <c r="J7860" s="29">
        <f>IFERROR(VLOOKUP(F7860,CARTON_LOOKUP!$A:$E,2,0),"")</f>
      </c>
      <c r="K7860" s="29">
        <f>IFERROR(J7860*D7860,0)</f>
      </c>
      <c r="L7860" s="29">
        <f>IFERROR(E7860*C7860,0)</f>
      </c>
      <c r="M7860" s="29">
        <f>IFERROR((G7860*H7860*I7860/1000000)*D7860,0)</f>
      </c>
    </row>
    <row r="7861" spans="1:13" x14ac:dyDescent="0.25">
      <c r="A7861" s="16"/>
      <c r="E7861" s="27"/>
      <c r="F7861" t="s">
        <v>26</v>
      </c>
      <c r="G7861" s="28">
        <f>IFERROR(VLOOKUP(F7861,CARTON_LOOKUP!$A:$E,3,0),"")</f>
      </c>
      <c r="H7861" s="28">
        <f>IFERROR(VLOOKUP(F7861,CARTON_LOOKUP!$A:$E,4,0),"")</f>
      </c>
      <c r="I7861" s="28">
        <f>IFERROR(VLOOKUP(F7861,CARTON_LOOKUP!$A:$E,5,0),"")</f>
      </c>
      <c r="J7861" s="29">
        <f>IFERROR(VLOOKUP(F7861,CARTON_LOOKUP!$A:$E,2,0),"")</f>
      </c>
      <c r="K7861" s="29">
        <f>IFERROR(J7861*D7861,0)</f>
      </c>
      <c r="L7861" s="29">
        <f>IFERROR(E7861*C7861,0)</f>
      </c>
      <c r="M7861" s="29">
        <f>IFERROR((G7861*H7861*I7861/1000000)*D7861,0)</f>
      </c>
    </row>
    <row r="7862" spans="1:13" x14ac:dyDescent="0.25">
      <c r="A7862" s="16"/>
      <c r="E7862" s="27"/>
      <c r="F7862" t="s">
        <v>26</v>
      </c>
      <c r="G7862" s="28">
        <f>IFERROR(VLOOKUP(F7862,CARTON_LOOKUP!$A:$E,3,0),"")</f>
      </c>
      <c r="H7862" s="28">
        <f>IFERROR(VLOOKUP(F7862,CARTON_LOOKUP!$A:$E,4,0),"")</f>
      </c>
      <c r="I7862" s="28">
        <f>IFERROR(VLOOKUP(F7862,CARTON_LOOKUP!$A:$E,5,0),"")</f>
      </c>
      <c r="J7862" s="29">
        <f>IFERROR(VLOOKUP(F7862,CARTON_LOOKUP!$A:$E,2,0),"")</f>
      </c>
      <c r="K7862" s="29">
        <f>IFERROR(J7862*D7862,0)</f>
      </c>
      <c r="L7862" s="29">
        <f>IFERROR(E7862*C7862,0)</f>
      </c>
      <c r="M7862" s="29">
        <f>IFERROR((G7862*H7862*I7862/1000000)*D7862,0)</f>
      </c>
    </row>
    <row r="7863" spans="1:13" x14ac:dyDescent="0.25">
      <c r="A7863" s="16"/>
      <c r="E7863" s="27"/>
      <c r="F7863" t="s">
        <v>26</v>
      </c>
      <c r="G7863" s="28">
        <f>IFERROR(VLOOKUP(F7863,CARTON_LOOKUP!$A:$E,3,0),"")</f>
      </c>
      <c r="H7863" s="28">
        <f>IFERROR(VLOOKUP(F7863,CARTON_LOOKUP!$A:$E,4,0),"")</f>
      </c>
      <c r="I7863" s="28">
        <f>IFERROR(VLOOKUP(F7863,CARTON_LOOKUP!$A:$E,5,0),"")</f>
      </c>
      <c r="J7863" s="29">
        <f>IFERROR(VLOOKUP(F7863,CARTON_LOOKUP!$A:$E,2,0),"")</f>
      </c>
      <c r="K7863" s="29">
        <f>IFERROR(J7863*D7863,0)</f>
      </c>
      <c r="L7863" s="29">
        <f>IFERROR(E7863*C7863,0)</f>
      </c>
      <c r="M7863" s="29">
        <f>IFERROR((G7863*H7863*I7863/1000000)*D7863,0)</f>
      </c>
    </row>
    <row r="7864" spans="1:13" x14ac:dyDescent="0.25">
      <c r="A7864" s="16"/>
      <c r="E7864" s="27"/>
      <c r="F7864" t="s">
        <v>26</v>
      </c>
      <c r="G7864" s="28">
        <f>IFERROR(VLOOKUP(F7864,CARTON_LOOKUP!$A:$E,3,0),"")</f>
      </c>
      <c r="H7864" s="28">
        <f>IFERROR(VLOOKUP(F7864,CARTON_LOOKUP!$A:$E,4,0),"")</f>
      </c>
      <c r="I7864" s="28">
        <f>IFERROR(VLOOKUP(F7864,CARTON_LOOKUP!$A:$E,5,0),"")</f>
      </c>
      <c r="J7864" s="29">
        <f>IFERROR(VLOOKUP(F7864,CARTON_LOOKUP!$A:$E,2,0),"")</f>
      </c>
      <c r="K7864" s="29">
        <f>IFERROR(J7864*D7864,0)</f>
      </c>
      <c r="L7864" s="29">
        <f>IFERROR(E7864*C7864,0)</f>
      </c>
      <c r="M7864" s="29">
        <f>IFERROR((G7864*H7864*I7864/1000000)*D7864,0)</f>
      </c>
    </row>
    <row r="7865" spans="1:13" x14ac:dyDescent="0.25">
      <c r="A7865" s="16"/>
      <c r="E7865" s="27"/>
      <c r="F7865" t="s">
        <v>26</v>
      </c>
      <c r="G7865" s="28">
        <f>IFERROR(VLOOKUP(F7865,CARTON_LOOKUP!$A:$E,3,0),"")</f>
      </c>
      <c r="H7865" s="28">
        <f>IFERROR(VLOOKUP(F7865,CARTON_LOOKUP!$A:$E,4,0),"")</f>
      </c>
      <c r="I7865" s="28">
        <f>IFERROR(VLOOKUP(F7865,CARTON_LOOKUP!$A:$E,5,0),"")</f>
      </c>
      <c r="J7865" s="29">
        <f>IFERROR(VLOOKUP(F7865,CARTON_LOOKUP!$A:$E,2,0),"")</f>
      </c>
      <c r="K7865" s="29">
        <f>IFERROR(J7865*D7865,0)</f>
      </c>
      <c r="L7865" s="29">
        <f>IFERROR(E7865*C7865,0)</f>
      </c>
      <c r="M7865" s="29">
        <f>IFERROR((G7865*H7865*I7865/1000000)*D7865,0)</f>
      </c>
    </row>
    <row r="7866" spans="1:13" x14ac:dyDescent="0.25">
      <c r="A7866" s="16"/>
      <c r="E7866" s="27"/>
      <c r="F7866" t="s">
        <v>26</v>
      </c>
      <c r="G7866" s="28">
        <f>IFERROR(VLOOKUP(F7866,CARTON_LOOKUP!$A:$E,3,0),"")</f>
      </c>
      <c r="H7866" s="28">
        <f>IFERROR(VLOOKUP(F7866,CARTON_LOOKUP!$A:$E,4,0),"")</f>
      </c>
      <c r="I7866" s="28">
        <f>IFERROR(VLOOKUP(F7866,CARTON_LOOKUP!$A:$E,5,0),"")</f>
      </c>
      <c r="J7866" s="29">
        <f>IFERROR(VLOOKUP(F7866,CARTON_LOOKUP!$A:$E,2,0),"")</f>
      </c>
      <c r="K7866" s="29">
        <f>IFERROR(J7866*D7866,0)</f>
      </c>
      <c r="L7866" s="29">
        <f>IFERROR(E7866*C7866,0)</f>
      </c>
      <c r="M7866" s="29">
        <f>IFERROR((G7866*H7866*I7866/1000000)*D7866,0)</f>
      </c>
    </row>
    <row r="7867" spans="1:13" x14ac:dyDescent="0.25">
      <c r="A7867" s="16"/>
      <c r="E7867" s="27"/>
      <c r="F7867" t="s">
        <v>26</v>
      </c>
      <c r="G7867" s="28">
        <f>IFERROR(VLOOKUP(F7867,CARTON_LOOKUP!$A:$E,3,0),"")</f>
      </c>
      <c r="H7867" s="28">
        <f>IFERROR(VLOOKUP(F7867,CARTON_LOOKUP!$A:$E,4,0),"")</f>
      </c>
      <c r="I7867" s="28">
        <f>IFERROR(VLOOKUP(F7867,CARTON_LOOKUP!$A:$E,5,0),"")</f>
      </c>
      <c r="J7867" s="29">
        <f>IFERROR(VLOOKUP(F7867,CARTON_LOOKUP!$A:$E,2,0),"")</f>
      </c>
      <c r="K7867" s="29">
        <f>IFERROR(J7867*D7867,0)</f>
      </c>
      <c r="L7867" s="29">
        <f>IFERROR(E7867*C7867,0)</f>
      </c>
      <c r="M7867" s="29">
        <f>IFERROR((G7867*H7867*I7867/1000000)*D7867,0)</f>
      </c>
    </row>
    <row r="7868" spans="1:13" x14ac:dyDescent="0.25">
      <c r="A7868" s="16"/>
      <c r="E7868" s="27"/>
      <c r="F7868" t="s">
        <v>26</v>
      </c>
      <c r="G7868" s="28">
        <f>IFERROR(VLOOKUP(F7868,CARTON_LOOKUP!$A:$E,3,0),"")</f>
      </c>
      <c r="H7868" s="28">
        <f>IFERROR(VLOOKUP(F7868,CARTON_LOOKUP!$A:$E,4,0),"")</f>
      </c>
      <c r="I7868" s="28">
        <f>IFERROR(VLOOKUP(F7868,CARTON_LOOKUP!$A:$E,5,0),"")</f>
      </c>
      <c r="J7868" s="29">
        <f>IFERROR(VLOOKUP(F7868,CARTON_LOOKUP!$A:$E,2,0),"")</f>
      </c>
      <c r="K7868" s="29">
        <f>IFERROR(J7868*D7868,0)</f>
      </c>
      <c r="L7868" s="29">
        <f>IFERROR(E7868*C7868,0)</f>
      </c>
      <c r="M7868" s="29">
        <f>IFERROR((G7868*H7868*I7868/1000000)*D7868,0)</f>
      </c>
    </row>
    <row r="7869" spans="1:13" x14ac:dyDescent="0.25">
      <c r="A7869" s="16"/>
      <c r="E7869" s="27"/>
      <c r="F7869" t="s">
        <v>26</v>
      </c>
      <c r="G7869" s="28">
        <f>IFERROR(VLOOKUP(F7869,CARTON_LOOKUP!$A:$E,3,0),"")</f>
      </c>
      <c r="H7869" s="28">
        <f>IFERROR(VLOOKUP(F7869,CARTON_LOOKUP!$A:$E,4,0),"")</f>
      </c>
      <c r="I7869" s="28">
        <f>IFERROR(VLOOKUP(F7869,CARTON_LOOKUP!$A:$E,5,0),"")</f>
      </c>
      <c r="J7869" s="29">
        <f>IFERROR(VLOOKUP(F7869,CARTON_LOOKUP!$A:$E,2,0),"")</f>
      </c>
      <c r="K7869" s="29">
        <f>IFERROR(J7869*D7869,0)</f>
      </c>
      <c r="L7869" s="29">
        <f>IFERROR(E7869*C7869,0)</f>
      </c>
      <c r="M7869" s="29">
        <f>IFERROR((G7869*H7869*I7869/1000000)*D7869,0)</f>
      </c>
    </row>
    <row r="7870" spans="1:13" x14ac:dyDescent="0.25">
      <c r="A7870" s="16"/>
      <c r="E7870" s="27"/>
      <c r="F7870" t="s">
        <v>26</v>
      </c>
      <c r="G7870" s="28">
        <f>IFERROR(VLOOKUP(F7870,CARTON_LOOKUP!$A:$E,3,0),"")</f>
      </c>
      <c r="H7870" s="28">
        <f>IFERROR(VLOOKUP(F7870,CARTON_LOOKUP!$A:$E,4,0),"")</f>
      </c>
      <c r="I7870" s="28">
        <f>IFERROR(VLOOKUP(F7870,CARTON_LOOKUP!$A:$E,5,0),"")</f>
      </c>
      <c r="J7870" s="29">
        <f>IFERROR(VLOOKUP(F7870,CARTON_LOOKUP!$A:$E,2,0),"")</f>
      </c>
      <c r="K7870" s="29">
        <f>IFERROR(J7870*D7870,0)</f>
      </c>
      <c r="L7870" s="29">
        <f>IFERROR(E7870*C7870,0)</f>
      </c>
      <c r="M7870" s="29">
        <f>IFERROR((G7870*H7870*I7870/1000000)*D7870,0)</f>
      </c>
    </row>
    <row r="7871" spans="1:13" x14ac:dyDescent="0.25">
      <c r="A7871" s="16"/>
      <c r="E7871" s="27"/>
      <c r="F7871" t="s">
        <v>26</v>
      </c>
      <c r="G7871" s="28">
        <f>IFERROR(VLOOKUP(F7871,CARTON_LOOKUP!$A:$E,3,0),"")</f>
      </c>
      <c r="H7871" s="28">
        <f>IFERROR(VLOOKUP(F7871,CARTON_LOOKUP!$A:$E,4,0),"")</f>
      </c>
      <c r="I7871" s="28">
        <f>IFERROR(VLOOKUP(F7871,CARTON_LOOKUP!$A:$E,5,0),"")</f>
      </c>
      <c r="J7871" s="29">
        <f>IFERROR(VLOOKUP(F7871,CARTON_LOOKUP!$A:$E,2,0),"")</f>
      </c>
      <c r="K7871" s="29">
        <f>IFERROR(J7871*D7871,0)</f>
      </c>
      <c r="L7871" s="29">
        <f>IFERROR(E7871*C7871,0)</f>
      </c>
      <c r="M7871" s="29">
        <f>IFERROR((G7871*H7871*I7871/1000000)*D7871,0)</f>
      </c>
    </row>
    <row r="7872" spans="1:13" x14ac:dyDescent="0.25">
      <c r="A7872" s="16"/>
      <c r="E7872" s="27"/>
      <c r="F7872" t="s">
        <v>26</v>
      </c>
      <c r="G7872" s="28">
        <f>IFERROR(VLOOKUP(F7872,CARTON_LOOKUP!$A:$E,3,0),"")</f>
      </c>
      <c r="H7872" s="28">
        <f>IFERROR(VLOOKUP(F7872,CARTON_LOOKUP!$A:$E,4,0),"")</f>
      </c>
      <c r="I7872" s="28">
        <f>IFERROR(VLOOKUP(F7872,CARTON_LOOKUP!$A:$E,5,0),"")</f>
      </c>
      <c r="J7872" s="29">
        <f>IFERROR(VLOOKUP(F7872,CARTON_LOOKUP!$A:$E,2,0),"")</f>
      </c>
      <c r="K7872" s="29">
        <f>IFERROR(J7872*D7872,0)</f>
      </c>
      <c r="L7872" s="29">
        <f>IFERROR(E7872*C7872,0)</f>
      </c>
      <c r="M7872" s="29">
        <f>IFERROR((G7872*H7872*I7872/1000000)*D7872,0)</f>
      </c>
    </row>
    <row r="7873" spans="1:13" x14ac:dyDescent="0.25">
      <c r="A7873" s="16"/>
      <c r="E7873" s="27"/>
      <c r="F7873" t="s">
        <v>26</v>
      </c>
      <c r="G7873" s="28">
        <f>IFERROR(VLOOKUP(F7873,CARTON_LOOKUP!$A:$E,3,0),"")</f>
      </c>
      <c r="H7873" s="28">
        <f>IFERROR(VLOOKUP(F7873,CARTON_LOOKUP!$A:$E,4,0),"")</f>
      </c>
      <c r="I7873" s="28">
        <f>IFERROR(VLOOKUP(F7873,CARTON_LOOKUP!$A:$E,5,0),"")</f>
      </c>
      <c r="J7873" s="29">
        <f>IFERROR(VLOOKUP(F7873,CARTON_LOOKUP!$A:$E,2,0),"")</f>
      </c>
      <c r="K7873" s="29">
        <f>IFERROR(J7873*D7873,0)</f>
      </c>
      <c r="L7873" s="29">
        <f>IFERROR(E7873*C7873,0)</f>
      </c>
      <c r="M7873" s="29">
        <f>IFERROR((G7873*H7873*I7873/1000000)*D7873,0)</f>
      </c>
    </row>
    <row r="7874" spans="1:13" x14ac:dyDescent="0.25">
      <c r="A7874" s="16"/>
      <c r="E7874" s="27"/>
      <c r="F7874" t="s">
        <v>26</v>
      </c>
      <c r="G7874" s="28">
        <f>IFERROR(VLOOKUP(F7874,CARTON_LOOKUP!$A:$E,3,0),"")</f>
      </c>
      <c r="H7874" s="28">
        <f>IFERROR(VLOOKUP(F7874,CARTON_LOOKUP!$A:$E,4,0),"")</f>
      </c>
      <c r="I7874" s="28">
        <f>IFERROR(VLOOKUP(F7874,CARTON_LOOKUP!$A:$E,5,0),"")</f>
      </c>
      <c r="J7874" s="29">
        <f>IFERROR(VLOOKUP(F7874,CARTON_LOOKUP!$A:$E,2,0),"")</f>
      </c>
      <c r="K7874" s="29">
        <f>IFERROR(J7874*D7874,0)</f>
      </c>
      <c r="L7874" s="29">
        <f>IFERROR(E7874*C7874,0)</f>
      </c>
      <c r="M7874" s="29">
        <f>IFERROR((G7874*H7874*I7874/1000000)*D7874,0)</f>
      </c>
    </row>
    <row r="7875" spans="1:13" x14ac:dyDescent="0.25">
      <c r="A7875" s="16"/>
      <c r="E7875" s="27"/>
      <c r="F7875" t="s">
        <v>26</v>
      </c>
      <c r="G7875" s="28">
        <f>IFERROR(VLOOKUP(F7875,CARTON_LOOKUP!$A:$E,3,0),"")</f>
      </c>
      <c r="H7875" s="28">
        <f>IFERROR(VLOOKUP(F7875,CARTON_LOOKUP!$A:$E,4,0),"")</f>
      </c>
      <c r="I7875" s="28">
        <f>IFERROR(VLOOKUP(F7875,CARTON_LOOKUP!$A:$E,5,0),"")</f>
      </c>
      <c r="J7875" s="29">
        <f>IFERROR(VLOOKUP(F7875,CARTON_LOOKUP!$A:$E,2,0),"")</f>
      </c>
      <c r="K7875" s="29">
        <f>IFERROR(J7875*D7875,0)</f>
      </c>
      <c r="L7875" s="29">
        <f>IFERROR(E7875*C7875,0)</f>
      </c>
      <c r="M7875" s="29">
        <f>IFERROR((G7875*H7875*I7875/1000000)*D7875,0)</f>
      </c>
    </row>
    <row r="7876" spans="1:13" x14ac:dyDescent="0.25">
      <c r="A7876" s="16"/>
      <c r="E7876" s="27"/>
      <c r="F7876" t="s">
        <v>26</v>
      </c>
      <c r="G7876" s="28">
        <f>IFERROR(VLOOKUP(F7876,CARTON_LOOKUP!$A:$E,3,0),"")</f>
      </c>
      <c r="H7876" s="28">
        <f>IFERROR(VLOOKUP(F7876,CARTON_LOOKUP!$A:$E,4,0),"")</f>
      </c>
      <c r="I7876" s="28">
        <f>IFERROR(VLOOKUP(F7876,CARTON_LOOKUP!$A:$E,5,0),"")</f>
      </c>
      <c r="J7876" s="29">
        <f>IFERROR(VLOOKUP(F7876,CARTON_LOOKUP!$A:$E,2,0),"")</f>
      </c>
      <c r="K7876" s="29">
        <f>IFERROR(J7876*D7876,0)</f>
      </c>
      <c r="L7876" s="29">
        <f>IFERROR(E7876*C7876,0)</f>
      </c>
      <c r="M7876" s="29">
        <f>IFERROR((G7876*H7876*I7876/1000000)*D7876,0)</f>
      </c>
    </row>
    <row r="7877" spans="1:13" x14ac:dyDescent="0.25">
      <c r="A7877" s="16"/>
      <c r="E7877" s="27"/>
      <c r="F7877" t="s">
        <v>26</v>
      </c>
      <c r="G7877" s="28">
        <f>IFERROR(VLOOKUP(F7877,CARTON_LOOKUP!$A:$E,3,0),"")</f>
      </c>
      <c r="H7877" s="28">
        <f>IFERROR(VLOOKUP(F7877,CARTON_LOOKUP!$A:$E,4,0),"")</f>
      </c>
      <c r="I7877" s="28">
        <f>IFERROR(VLOOKUP(F7877,CARTON_LOOKUP!$A:$E,5,0),"")</f>
      </c>
      <c r="J7877" s="29">
        <f>IFERROR(VLOOKUP(F7877,CARTON_LOOKUP!$A:$E,2,0),"")</f>
      </c>
      <c r="K7877" s="29">
        <f>IFERROR(J7877*D7877,0)</f>
      </c>
      <c r="L7877" s="29">
        <f>IFERROR(E7877*C7877,0)</f>
      </c>
      <c r="M7877" s="29">
        <f>IFERROR((G7877*H7877*I7877/1000000)*D7877,0)</f>
      </c>
    </row>
    <row r="7878" spans="1:13" x14ac:dyDescent="0.25">
      <c r="A7878" s="16"/>
      <c r="E7878" s="27"/>
      <c r="F7878" t="s">
        <v>26</v>
      </c>
      <c r="G7878" s="28">
        <f>IFERROR(VLOOKUP(F7878,CARTON_LOOKUP!$A:$E,3,0),"")</f>
      </c>
      <c r="H7878" s="28">
        <f>IFERROR(VLOOKUP(F7878,CARTON_LOOKUP!$A:$E,4,0),"")</f>
      </c>
      <c r="I7878" s="28">
        <f>IFERROR(VLOOKUP(F7878,CARTON_LOOKUP!$A:$E,5,0),"")</f>
      </c>
      <c r="J7878" s="29">
        <f>IFERROR(VLOOKUP(F7878,CARTON_LOOKUP!$A:$E,2,0),"")</f>
      </c>
      <c r="K7878" s="29">
        <f>IFERROR(J7878*D7878,0)</f>
      </c>
      <c r="L7878" s="29">
        <f>IFERROR(E7878*C7878,0)</f>
      </c>
      <c r="M7878" s="29">
        <f>IFERROR((G7878*H7878*I7878/1000000)*D7878,0)</f>
      </c>
    </row>
    <row r="7879" spans="1:13" x14ac:dyDescent="0.25">
      <c r="A7879" s="16"/>
      <c r="E7879" s="27"/>
      <c r="F7879" t="s">
        <v>26</v>
      </c>
      <c r="G7879" s="28">
        <f>IFERROR(VLOOKUP(F7879,CARTON_LOOKUP!$A:$E,3,0),"")</f>
      </c>
      <c r="H7879" s="28">
        <f>IFERROR(VLOOKUP(F7879,CARTON_LOOKUP!$A:$E,4,0),"")</f>
      </c>
      <c r="I7879" s="28">
        <f>IFERROR(VLOOKUP(F7879,CARTON_LOOKUP!$A:$E,5,0),"")</f>
      </c>
      <c r="J7879" s="29">
        <f>IFERROR(VLOOKUP(F7879,CARTON_LOOKUP!$A:$E,2,0),"")</f>
      </c>
      <c r="K7879" s="29">
        <f>IFERROR(J7879*D7879,0)</f>
      </c>
      <c r="L7879" s="29">
        <f>IFERROR(E7879*C7879,0)</f>
      </c>
      <c r="M7879" s="29">
        <f>IFERROR((G7879*H7879*I7879/1000000)*D7879,0)</f>
      </c>
    </row>
    <row r="7880" spans="1:13" x14ac:dyDescent="0.25">
      <c r="A7880" s="16"/>
      <c r="E7880" s="27"/>
      <c r="F7880" t="s">
        <v>26</v>
      </c>
      <c r="G7880" s="28">
        <f>IFERROR(VLOOKUP(F7880,CARTON_LOOKUP!$A:$E,3,0),"")</f>
      </c>
      <c r="H7880" s="28">
        <f>IFERROR(VLOOKUP(F7880,CARTON_LOOKUP!$A:$E,4,0),"")</f>
      </c>
      <c r="I7880" s="28">
        <f>IFERROR(VLOOKUP(F7880,CARTON_LOOKUP!$A:$E,5,0),"")</f>
      </c>
      <c r="J7880" s="29">
        <f>IFERROR(VLOOKUP(F7880,CARTON_LOOKUP!$A:$E,2,0),"")</f>
      </c>
      <c r="K7880" s="29">
        <f>IFERROR(J7880*D7880,0)</f>
      </c>
      <c r="L7880" s="29">
        <f>IFERROR(E7880*C7880,0)</f>
      </c>
      <c r="M7880" s="29">
        <f>IFERROR((G7880*H7880*I7880/1000000)*D7880,0)</f>
      </c>
    </row>
    <row r="7881" spans="1:13" x14ac:dyDescent="0.25">
      <c r="A7881" s="16"/>
      <c r="E7881" s="27"/>
      <c r="F7881" t="s">
        <v>26</v>
      </c>
      <c r="G7881" s="28">
        <f>IFERROR(VLOOKUP(F7881,CARTON_LOOKUP!$A:$E,3,0),"")</f>
      </c>
      <c r="H7881" s="28">
        <f>IFERROR(VLOOKUP(F7881,CARTON_LOOKUP!$A:$E,4,0),"")</f>
      </c>
      <c r="I7881" s="28">
        <f>IFERROR(VLOOKUP(F7881,CARTON_LOOKUP!$A:$E,5,0),"")</f>
      </c>
      <c r="J7881" s="29">
        <f>IFERROR(VLOOKUP(F7881,CARTON_LOOKUP!$A:$E,2,0),"")</f>
      </c>
      <c r="K7881" s="29">
        <f>IFERROR(J7881*D7881,0)</f>
      </c>
      <c r="L7881" s="29">
        <f>IFERROR(E7881*C7881,0)</f>
      </c>
      <c r="M7881" s="29">
        <f>IFERROR((G7881*H7881*I7881/1000000)*D7881,0)</f>
      </c>
    </row>
    <row r="7882" spans="1:13" x14ac:dyDescent="0.25">
      <c r="A7882" s="16"/>
      <c r="E7882" s="27"/>
      <c r="F7882" t="s">
        <v>26</v>
      </c>
      <c r="G7882" s="28">
        <f>IFERROR(VLOOKUP(F7882,CARTON_LOOKUP!$A:$E,3,0),"")</f>
      </c>
      <c r="H7882" s="28">
        <f>IFERROR(VLOOKUP(F7882,CARTON_LOOKUP!$A:$E,4,0),"")</f>
      </c>
      <c r="I7882" s="28">
        <f>IFERROR(VLOOKUP(F7882,CARTON_LOOKUP!$A:$E,5,0),"")</f>
      </c>
      <c r="J7882" s="29">
        <f>IFERROR(VLOOKUP(F7882,CARTON_LOOKUP!$A:$E,2,0),"")</f>
      </c>
      <c r="K7882" s="29">
        <f>IFERROR(J7882*D7882,0)</f>
      </c>
      <c r="L7882" s="29">
        <f>IFERROR(E7882*C7882,0)</f>
      </c>
      <c r="M7882" s="29">
        <f>IFERROR((G7882*H7882*I7882/1000000)*D7882,0)</f>
      </c>
    </row>
    <row r="7883" spans="1:13" x14ac:dyDescent="0.25">
      <c r="A7883" s="16"/>
      <c r="E7883" s="27"/>
      <c r="F7883" t="s">
        <v>26</v>
      </c>
      <c r="G7883" s="28">
        <f>IFERROR(VLOOKUP(F7883,CARTON_LOOKUP!$A:$E,3,0),"")</f>
      </c>
      <c r="H7883" s="28">
        <f>IFERROR(VLOOKUP(F7883,CARTON_LOOKUP!$A:$E,4,0),"")</f>
      </c>
      <c r="I7883" s="28">
        <f>IFERROR(VLOOKUP(F7883,CARTON_LOOKUP!$A:$E,5,0),"")</f>
      </c>
      <c r="J7883" s="29">
        <f>IFERROR(VLOOKUP(F7883,CARTON_LOOKUP!$A:$E,2,0),"")</f>
      </c>
      <c r="K7883" s="29">
        <f>IFERROR(J7883*D7883,0)</f>
      </c>
      <c r="L7883" s="29">
        <f>IFERROR(E7883*C7883,0)</f>
      </c>
      <c r="M7883" s="29">
        <f>IFERROR((G7883*H7883*I7883/1000000)*D7883,0)</f>
      </c>
    </row>
    <row r="7884" spans="1:13" x14ac:dyDescent="0.25">
      <c r="A7884" s="16"/>
      <c r="E7884" s="27"/>
      <c r="F7884" t="s">
        <v>26</v>
      </c>
      <c r="G7884" s="28">
        <f>IFERROR(VLOOKUP(F7884,CARTON_LOOKUP!$A:$E,3,0),"")</f>
      </c>
      <c r="H7884" s="28">
        <f>IFERROR(VLOOKUP(F7884,CARTON_LOOKUP!$A:$E,4,0),"")</f>
      </c>
      <c r="I7884" s="28">
        <f>IFERROR(VLOOKUP(F7884,CARTON_LOOKUP!$A:$E,5,0),"")</f>
      </c>
      <c r="J7884" s="29">
        <f>IFERROR(VLOOKUP(F7884,CARTON_LOOKUP!$A:$E,2,0),"")</f>
      </c>
      <c r="K7884" s="29">
        <f>IFERROR(J7884*D7884,0)</f>
      </c>
      <c r="L7884" s="29">
        <f>IFERROR(E7884*C7884,0)</f>
      </c>
      <c r="M7884" s="29">
        <f>IFERROR((G7884*H7884*I7884/1000000)*D7884,0)</f>
      </c>
    </row>
    <row r="7885" spans="1:13" x14ac:dyDescent="0.25">
      <c r="A7885" s="16"/>
      <c r="E7885" s="27"/>
      <c r="F7885" t="s">
        <v>26</v>
      </c>
      <c r="G7885" s="28">
        <f>IFERROR(VLOOKUP(F7885,CARTON_LOOKUP!$A:$E,3,0),"")</f>
      </c>
      <c r="H7885" s="28">
        <f>IFERROR(VLOOKUP(F7885,CARTON_LOOKUP!$A:$E,4,0),"")</f>
      </c>
      <c r="I7885" s="28">
        <f>IFERROR(VLOOKUP(F7885,CARTON_LOOKUP!$A:$E,5,0),"")</f>
      </c>
      <c r="J7885" s="29">
        <f>IFERROR(VLOOKUP(F7885,CARTON_LOOKUP!$A:$E,2,0),"")</f>
      </c>
      <c r="K7885" s="29">
        <f>IFERROR(J7885*D7885,0)</f>
      </c>
      <c r="L7885" s="29">
        <f>IFERROR(E7885*C7885,0)</f>
      </c>
      <c r="M7885" s="29">
        <f>IFERROR((G7885*H7885*I7885/1000000)*D7885,0)</f>
      </c>
    </row>
    <row r="7886" spans="1:13" x14ac:dyDescent="0.25">
      <c r="A7886" s="16"/>
      <c r="E7886" s="27"/>
      <c r="F7886" t="s">
        <v>26</v>
      </c>
      <c r="G7886" s="28">
        <f>IFERROR(VLOOKUP(F7886,CARTON_LOOKUP!$A:$E,3,0),"")</f>
      </c>
      <c r="H7886" s="28">
        <f>IFERROR(VLOOKUP(F7886,CARTON_LOOKUP!$A:$E,4,0),"")</f>
      </c>
      <c r="I7886" s="28">
        <f>IFERROR(VLOOKUP(F7886,CARTON_LOOKUP!$A:$E,5,0),"")</f>
      </c>
      <c r="J7886" s="29">
        <f>IFERROR(VLOOKUP(F7886,CARTON_LOOKUP!$A:$E,2,0),"")</f>
      </c>
      <c r="K7886" s="29">
        <f>IFERROR(J7886*D7886,0)</f>
      </c>
      <c r="L7886" s="29">
        <f>IFERROR(E7886*C7886,0)</f>
      </c>
      <c r="M7886" s="29">
        <f>IFERROR((G7886*H7886*I7886/1000000)*D7886,0)</f>
      </c>
    </row>
    <row r="7887" spans="1:13" x14ac:dyDescent="0.25">
      <c r="A7887" s="16"/>
      <c r="E7887" s="27"/>
      <c r="F7887" t="s">
        <v>26</v>
      </c>
      <c r="G7887" s="28">
        <f>IFERROR(VLOOKUP(F7887,CARTON_LOOKUP!$A:$E,3,0),"")</f>
      </c>
      <c r="H7887" s="28">
        <f>IFERROR(VLOOKUP(F7887,CARTON_LOOKUP!$A:$E,4,0),"")</f>
      </c>
      <c r="I7887" s="28">
        <f>IFERROR(VLOOKUP(F7887,CARTON_LOOKUP!$A:$E,5,0),"")</f>
      </c>
      <c r="J7887" s="29">
        <f>IFERROR(VLOOKUP(F7887,CARTON_LOOKUP!$A:$E,2,0),"")</f>
      </c>
      <c r="K7887" s="29">
        <f>IFERROR(J7887*D7887,0)</f>
      </c>
      <c r="L7887" s="29">
        <f>IFERROR(E7887*C7887,0)</f>
      </c>
      <c r="M7887" s="29">
        <f>IFERROR((G7887*H7887*I7887/1000000)*D7887,0)</f>
      </c>
    </row>
    <row r="7888" spans="1:13" x14ac:dyDescent="0.25">
      <c r="A7888" s="16"/>
      <c r="E7888" s="27"/>
      <c r="F7888" t="s">
        <v>26</v>
      </c>
      <c r="G7888" s="28">
        <f>IFERROR(VLOOKUP(F7888,CARTON_LOOKUP!$A:$E,3,0),"")</f>
      </c>
      <c r="H7888" s="28">
        <f>IFERROR(VLOOKUP(F7888,CARTON_LOOKUP!$A:$E,4,0),"")</f>
      </c>
      <c r="I7888" s="28">
        <f>IFERROR(VLOOKUP(F7888,CARTON_LOOKUP!$A:$E,5,0),"")</f>
      </c>
      <c r="J7888" s="29">
        <f>IFERROR(VLOOKUP(F7888,CARTON_LOOKUP!$A:$E,2,0),"")</f>
      </c>
      <c r="K7888" s="29">
        <f>IFERROR(J7888*D7888,0)</f>
      </c>
      <c r="L7888" s="29">
        <f>IFERROR(E7888*C7888,0)</f>
      </c>
      <c r="M7888" s="29">
        <f>IFERROR((G7888*H7888*I7888/1000000)*D7888,0)</f>
      </c>
    </row>
    <row r="7889" spans="1:13" x14ac:dyDescent="0.25">
      <c r="A7889" s="16"/>
      <c r="E7889" s="27"/>
      <c r="F7889" t="s">
        <v>26</v>
      </c>
      <c r="G7889" s="28">
        <f>IFERROR(VLOOKUP(F7889,CARTON_LOOKUP!$A:$E,3,0),"")</f>
      </c>
      <c r="H7889" s="28">
        <f>IFERROR(VLOOKUP(F7889,CARTON_LOOKUP!$A:$E,4,0),"")</f>
      </c>
      <c r="I7889" s="28">
        <f>IFERROR(VLOOKUP(F7889,CARTON_LOOKUP!$A:$E,5,0),"")</f>
      </c>
      <c r="J7889" s="29">
        <f>IFERROR(VLOOKUP(F7889,CARTON_LOOKUP!$A:$E,2,0),"")</f>
      </c>
      <c r="K7889" s="29">
        <f>IFERROR(J7889*D7889,0)</f>
      </c>
      <c r="L7889" s="29">
        <f>IFERROR(E7889*C7889,0)</f>
      </c>
      <c r="M7889" s="29">
        <f>IFERROR((G7889*H7889*I7889/1000000)*D7889,0)</f>
      </c>
    </row>
    <row r="7890" spans="1:13" x14ac:dyDescent="0.25">
      <c r="A7890" s="16"/>
      <c r="E7890" s="27"/>
      <c r="F7890" t="s">
        <v>26</v>
      </c>
      <c r="G7890" s="28">
        <f>IFERROR(VLOOKUP(F7890,CARTON_LOOKUP!$A:$E,3,0),"")</f>
      </c>
      <c r="H7890" s="28">
        <f>IFERROR(VLOOKUP(F7890,CARTON_LOOKUP!$A:$E,4,0),"")</f>
      </c>
      <c r="I7890" s="28">
        <f>IFERROR(VLOOKUP(F7890,CARTON_LOOKUP!$A:$E,5,0),"")</f>
      </c>
      <c r="J7890" s="29">
        <f>IFERROR(VLOOKUP(F7890,CARTON_LOOKUP!$A:$E,2,0),"")</f>
      </c>
      <c r="K7890" s="29">
        <f>IFERROR(J7890*D7890,0)</f>
      </c>
      <c r="L7890" s="29">
        <f>IFERROR(E7890*C7890,0)</f>
      </c>
      <c r="M7890" s="29">
        <f>IFERROR((G7890*H7890*I7890/1000000)*D7890,0)</f>
      </c>
    </row>
    <row r="7891" spans="1:13" x14ac:dyDescent="0.25">
      <c r="A7891" s="16"/>
      <c r="E7891" s="27"/>
      <c r="F7891" t="s">
        <v>26</v>
      </c>
      <c r="G7891" s="28">
        <f>IFERROR(VLOOKUP(F7891,CARTON_LOOKUP!$A:$E,3,0),"")</f>
      </c>
      <c r="H7891" s="28">
        <f>IFERROR(VLOOKUP(F7891,CARTON_LOOKUP!$A:$E,4,0),"")</f>
      </c>
      <c r="I7891" s="28">
        <f>IFERROR(VLOOKUP(F7891,CARTON_LOOKUP!$A:$E,5,0),"")</f>
      </c>
      <c r="J7891" s="29">
        <f>IFERROR(VLOOKUP(F7891,CARTON_LOOKUP!$A:$E,2,0),"")</f>
      </c>
      <c r="K7891" s="29">
        <f>IFERROR(J7891*D7891,0)</f>
      </c>
      <c r="L7891" s="29">
        <f>IFERROR(E7891*C7891,0)</f>
      </c>
      <c r="M7891" s="29">
        <f>IFERROR((G7891*H7891*I7891/1000000)*D7891,0)</f>
      </c>
    </row>
    <row r="7892" spans="1:13" x14ac:dyDescent="0.25">
      <c r="A7892" s="16"/>
      <c r="E7892" s="27"/>
      <c r="F7892" t="s">
        <v>26</v>
      </c>
      <c r="G7892" s="28">
        <f>IFERROR(VLOOKUP(F7892,CARTON_LOOKUP!$A:$E,3,0),"")</f>
      </c>
      <c r="H7892" s="28">
        <f>IFERROR(VLOOKUP(F7892,CARTON_LOOKUP!$A:$E,4,0),"")</f>
      </c>
      <c r="I7892" s="28">
        <f>IFERROR(VLOOKUP(F7892,CARTON_LOOKUP!$A:$E,5,0),"")</f>
      </c>
      <c r="J7892" s="29">
        <f>IFERROR(VLOOKUP(F7892,CARTON_LOOKUP!$A:$E,2,0),"")</f>
      </c>
      <c r="K7892" s="29">
        <f>IFERROR(J7892*D7892,0)</f>
      </c>
      <c r="L7892" s="29">
        <f>IFERROR(E7892*C7892,0)</f>
      </c>
      <c r="M7892" s="29">
        <f>IFERROR((G7892*H7892*I7892/1000000)*D7892,0)</f>
      </c>
    </row>
    <row r="7893" spans="1:13" x14ac:dyDescent="0.25">
      <c r="A7893" s="16"/>
      <c r="E7893" s="27"/>
      <c r="F7893" t="s">
        <v>26</v>
      </c>
      <c r="G7893" s="28">
        <f>IFERROR(VLOOKUP(F7893,CARTON_LOOKUP!$A:$E,3,0),"")</f>
      </c>
      <c r="H7893" s="28">
        <f>IFERROR(VLOOKUP(F7893,CARTON_LOOKUP!$A:$E,4,0),"")</f>
      </c>
      <c r="I7893" s="28">
        <f>IFERROR(VLOOKUP(F7893,CARTON_LOOKUP!$A:$E,5,0),"")</f>
      </c>
      <c r="J7893" s="29">
        <f>IFERROR(VLOOKUP(F7893,CARTON_LOOKUP!$A:$E,2,0),"")</f>
      </c>
      <c r="K7893" s="29">
        <f>IFERROR(J7893*D7893,0)</f>
      </c>
      <c r="L7893" s="29">
        <f>IFERROR(E7893*C7893,0)</f>
      </c>
      <c r="M7893" s="29">
        <f>IFERROR((G7893*H7893*I7893/1000000)*D7893,0)</f>
      </c>
    </row>
    <row r="7894" spans="1:13" x14ac:dyDescent="0.25">
      <c r="A7894" s="16"/>
      <c r="E7894" s="27"/>
      <c r="F7894" t="s">
        <v>26</v>
      </c>
      <c r="G7894" s="28">
        <f>IFERROR(VLOOKUP(F7894,CARTON_LOOKUP!$A:$E,3,0),"")</f>
      </c>
      <c r="H7894" s="28">
        <f>IFERROR(VLOOKUP(F7894,CARTON_LOOKUP!$A:$E,4,0),"")</f>
      </c>
      <c r="I7894" s="28">
        <f>IFERROR(VLOOKUP(F7894,CARTON_LOOKUP!$A:$E,5,0),"")</f>
      </c>
      <c r="J7894" s="29">
        <f>IFERROR(VLOOKUP(F7894,CARTON_LOOKUP!$A:$E,2,0),"")</f>
      </c>
      <c r="K7894" s="29">
        <f>IFERROR(J7894*D7894,0)</f>
      </c>
      <c r="L7894" s="29">
        <f>IFERROR(E7894*C7894,0)</f>
      </c>
      <c r="M7894" s="29">
        <f>IFERROR((G7894*H7894*I7894/1000000)*D7894,0)</f>
      </c>
    </row>
    <row r="7895" spans="1:13" x14ac:dyDescent="0.25">
      <c r="A7895" s="16"/>
      <c r="E7895" s="27"/>
      <c r="F7895" t="s">
        <v>26</v>
      </c>
      <c r="G7895" s="28">
        <f>IFERROR(VLOOKUP(F7895,CARTON_LOOKUP!$A:$E,3,0),"")</f>
      </c>
      <c r="H7895" s="28">
        <f>IFERROR(VLOOKUP(F7895,CARTON_LOOKUP!$A:$E,4,0),"")</f>
      </c>
      <c r="I7895" s="28">
        <f>IFERROR(VLOOKUP(F7895,CARTON_LOOKUP!$A:$E,5,0),"")</f>
      </c>
      <c r="J7895" s="29">
        <f>IFERROR(VLOOKUP(F7895,CARTON_LOOKUP!$A:$E,2,0),"")</f>
      </c>
      <c r="K7895" s="29">
        <f>IFERROR(J7895*D7895,0)</f>
      </c>
      <c r="L7895" s="29">
        <f>IFERROR(E7895*C7895,0)</f>
      </c>
      <c r="M7895" s="29">
        <f>IFERROR((G7895*H7895*I7895/1000000)*D7895,0)</f>
      </c>
    </row>
    <row r="7896" spans="1:13" x14ac:dyDescent="0.25">
      <c r="A7896" s="16"/>
      <c r="E7896" s="27"/>
      <c r="F7896" t="s">
        <v>26</v>
      </c>
      <c r="G7896" s="28">
        <f>IFERROR(VLOOKUP(F7896,CARTON_LOOKUP!$A:$E,3,0),"")</f>
      </c>
      <c r="H7896" s="28">
        <f>IFERROR(VLOOKUP(F7896,CARTON_LOOKUP!$A:$E,4,0),"")</f>
      </c>
      <c r="I7896" s="28">
        <f>IFERROR(VLOOKUP(F7896,CARTON_LOOKUP!$A:$E,5,0),"")</f>
      </c>
      <c r="J7896" s="29">
        <f>IFERROR(VLOOKUP(F7896,CARTON_LOOKUP!$A:$E,2,0),"")</f>
      </c>
      <c r="K7896" s="29">
        <f>IFERROR(J7896*D7896,0)</f>
      </c>
      <c r="L7896" s="29">
        <f>IFERROR(E7896*C7896,0)</f>
      </c>
      <c r="M7896" s="29">
        <f>IFERROR((G7896*H7896*I7896/1000000)*D7896,0)</f>
      </c>
    </row>
    <row r="7897" spans="1:13" x14ac:dyDescent="0.25">
      <c r="A7897" s="16"/>
      <c r="E7897" s="27"/>
      <c r="F7897" t="s">
        <v>26</v>
      </c>
      <c r="G7897" s="28">
        <f>IFERROR(VLOOKUP(F7897,CARTON_LOOKUP!$A:$E,3,0),"")</f>
      </c>
      <c r="H7897" s="28">
        <f>IFERROR(VLOOKUP(F7897,CARTON_LOOKUP!$A:$E,4,0),"")</f>
      </c>
      <c r="I7897" s="28">
        <f>IFERROR(VLOOKUP(F7897,CARTON_LOOKUP!$A:$E,5,0),"")</f>
      </c>
      <c r="J7897" s="29">
        <f>IFERROR(VLOOKUP(F7897,CARTON_LOOKUP!$A:$E,2,0),"")</f>
      </c>
      <c r="K7897" s="29">
        <f>IFERROR(J7897*D7897,0)</f>
      </c>
      <c r="L7897" s="29">
        <f>IFERROR(E7897*C7897,0)</f>
      </c>
      <c r="M7897" s="29">
        <f>IFERROR((G7897*H7897*I7897/1000000)*D7897,0)</f>
      </c>
    </row>
    <row r="7898" spans="1:13" x14ac:dyDescent="0.25">
      <c r="A7898" s="16"/>
      <c r="E7898" s="27"/>
      <c r="F7898" t="s">
        <v>26</v>
      </c>
      <c r="G7898" s="28">
        <f>IFERROR(VLOOKUP(F7898,CARTON_LOOKUP!$A:$E,3,0),"")</f>
      </c>
      <c r="H7898" s="28">
        <f>IFERROR(VLOOKUP(F7898,CARTON_LOOKUP!$A:$E,4,0),"")</f>
      </c>
      <c r="I7898" s="28">
        <f>IFERROR(VLOOKUP(F7898,CARTON_LOOKUP!$A:$E,5,0),"")</f>
      </c>
      <c r="J7898" s="29">
        <f>IFERROR(VLOOKUP(F7898,CARTON_LOOKUP!$A:$E,2,0),"")</f>
      </c>
      <c r="K7898" s="29">
        <f>IFERROR(J7898*D7898,0)</f>
      </c>
      <c r="L7898" s="29">
        <f>IFERROR(E7898*C7898,0)</f>
      </c>
      <c r="M7898" s="29">
        <f>IFERROR((G7898*H7898*I7898/1000000)*D7898,0)</f>
      </c>
    </row>
    <row r="7899" spans="1:13" x14ac:dyDescent="0.25">
      <c r="A7899" s="16"/>
      <c r="E7899" s="27"/>
      <c r="F7899" t="s">
        <v>26</v>
      </c>
      <c r="G7899" s="28">
        <f>IFERROR(VLOOKUP(F7899,CARTON_LOOKUP!$A:$E,3,0),"")</f>
      </c>
      <c r="H7899" s="28">
        <f>IFERROR(VLOOKUP(F7899,CARTON_LOOKUP!$A:$E,4,0),"")</f>
      </c>
      <c r="I7899" s="28">
        <f>IFERROR(VLOOKUP(F7899,CARTON_LOOKUP!$A:$E,5,0),"")</f>
      </c>
      <c r="J7899" s="29">
        <f>IFERROR(VLOOKUP(F7899,CARTON_LOOKUP!$A:$E,2,0),"")</f>
      </c>
      <c r="K7899" s="29">
        <f>IFERROR(J7899*D7899,0)</f>
      </c>
      <c r="L7899" s="29">
        <f>IFERROR(E7899*C7899,0)</f>
      </c>
      <c r="M7899" s="29">
        <f>IFERROR((G7899*H7899*I7899/1000000)*D7899,0)</f>
      </c>
    </row>
    <row r="7900" spans="1:13" x14ac:dyDescent="0.25">
      <c r="A7900" s="16"/>
      <c r="E7900" s="27"/>
      <c r="F7900" t="s">
        <v>26</v>
      </c>
      <c r="G7900" s="28">
        <f>IFERROR(VLOOKUP(F7900,CARTON_LOOKUP!$A:$E,3,0),"")</f>
      </c>
      <c r="H7900" s="28">
        <f>IFERROR(VLOOKUP(F7900,CARTON_LOOKUP!$A:$E,4,0),"")</f>
      </c>
      <c r="I7900" s="28">
        <f>IFERROR(VLOOKUP(F7900,CARTON_LOOKUP!$A:$E,5,0),"")</f>
      </c>
      <c r="J7900" s="29">
        <f>IFERROR(VLOOKUP(F7900,CARTON_LOOKUP!$A:$E,2,0),"")</f>
      </c>
      <c r="K7900" s="29">
        <f>IFERROR(J7900*D7900,0)</f>
      </c>
      <c r="L7900" s="29">
        <f>IFERROR(E7900*C7900,0)</f>
      </c>
      <c r="M7900" s="29">
        <f>IFERROR((G7900*H7900*I7900/1000000)*D7900,0)</f>
      </c>
    </row>
    <row r="7901" spans="1:13" x14ac:dyDescent="0.25">
      <c r="A7901" s="16"/>
      <c r="E7901" s="27"/>
      <c r="F7901" t="s">
        <v>26</v>
      </c>
      <c r="G7901" s="28">
        <f>IFERROR(VLOOKUP(F7901,CARTON_LOOKUP!$A:$E,3,0),"")</f>
      </c>
      <c r="H7901" s="28">
        <f>IFERROR(VLOOKUP(F7901,CARTON_LOOKUP!$A:$E,4,0),"")</f>
      </c>
      <c r="I7901" s="28">
        <f>IFERROR(VLOOKUP(F7901,CARTON_LOOKUP!$A:$E,5,0),"")</f>
      </c>
      <c r="J7901" s="29">
        <f>IFERROR(VLOOKUP(F7901,CARTON_LOOKUP!$A:$E,2,0),"")</f>
      </c>
      <c r="K7901" s="29">
        <f>IFERROR(J7901*D7901,0)</f>
      </c>
      <c r="L7901" s="29">
        <f>IFERROR(E7901*C7901,0)</f>
      </c>
      <c r="M7901" s="29">
        <f>IFERROR((G7901*H7901*I7901/1000000)*D7901,0)</f>
      </c>
    </row>
    <row r="7902" spans="1:13" x14ac:dyDescent="0.25">
      <c r="A7902" s="16"/>
      <c r="E7902" s="27"/>
      <c r="F7902" t="s">
        <v>26</v>
      </c>
      <c r="G7902" s="28">
        <f>IFERROR(VLOOKUP(F7902,CARTON_LOOKUP!$A:$E,3,0),"")</f>
      </c>
      <c r="H7902" s="28">
        <f>IFERROR(VLOOKUP(F7902,CARTON_LOOKUP!$A:$E,4,0),"")</f>
      </c>
      <c r="I7902" s="28">
        <f>IFERROR(VLOOKUP(F7902,CARTON_LOOKUP!$A:$E,5,0),"")</f>
      </c>
      <c r="J7902" s="29">
        <f>IFERROR(VLOOKUP(F7902,CARTON_LOOKUP!$A:$E,2,0),"")</f>
      </c>
      <c r="K7902" s="29">
        <f>IFERROR(J7902*D7902,0)</f>
      </c>
      <c r="L7902" s="29">
        <f>IFERROR(E7902*C7902,0)</f>
      </c>
      <c r="M7902" s="29">
        <f>IFERROR((G7902*H7902*I7902/1000000)*D7902,0)</f>
      </c>
    </row>
    <row r="7903" spans="1:13" x14ac:dyDescent="0.25">
      <c r="A7903" s="16"/>
      <c r="E7903" s="27"/>
      <c r="F7903" t="s">
        <v>26</v>
      </c>
      <c r="G7903" s="28">
        <f>IFERROR(VLOOKUP(F7903,CARTON_LOOKUP!$A:$E,3,0),"")</f>
      </c>
      <c r="H7903" s="28">
        <f>IFERROR(VLOOKUP(F7903,CARTON_LOOKUP!$A:$E,4,0),"")</f>
      </c>
      <c r="I7903" s="28">
        <f>IFERROR(VLOOKUP(F7903,CARTON_LOOKUP!$A:$E,5,0),"")</f>
      </c>
      <c r="J7903" s="29">
        <f>IFERROR(VLOOKUP(F7903,CARTON_LOOKUP!$A:$E,2,0),"")</f>
      </c>
      <c r="K7903" s="29">
        <f>IFERROR(J7903*D7903,0)</f>
      </c>
      <c r="L7903" s="29">
        <f>IFERROR(E7903*C7903,0)</f>
      </c>
      <c r="M7903" s="29">
        <f>IFERROR((G7903*H7903*I7903/1000000)*D7903,0)</f>
      </c>
    </row>
    <row r="7904" spans="1:13" x14ac:dyDescent="0.25">
      <c r="A7904" s="16"/>
      <c r="E7904" s="27"/>
      <c r="F7904" t="s">
        <v>26</v>
      </c>
      <c r="G7904" s="28">
        <f>IFERROR(VLOOKUP(F7904,CARTON_LOOKUP!$A:$E,3,0),"")</f>
      </c>
      <c r="H7904" s="28">
        <f>IFERROR(VLOOKUP(F7904,CARTON_LOOKUP!$A:$E,4,0),"")</f>
      </c>
      <c r="I7904" s="28">
        <f>IFERROR(VLOOKUP(F7904,CARTON_LOOKUP!$A:$E,5,0),"")</f>
      </c>
      <c r="J7904" s="29">
        <f>IFERROR(VLOOKUP(F7904,CARTON_LOOKUP!$A:$E,2,0),"")</f>
      </c>
      <c r="K7904" s="29">
        <f>IFERROR(J7904*D7904,0)</f>
      </c>
      <c r="L7904" s="29">
        <f>IFERROR(E7904*C7904,0)</f>
      </c>
      <c r="M7904" s="29">
        <f>IFERROR((G7904*H7904*I7904/1000000)*D7904,0)</f>
      </c>
    </row>
    <row r="7905" spans="1:13" x14ac:dyDescent="0.25">
      <c r="A7905" s="16"/>
      <c r="E7905" s="27"/>
      <c r="F7905" t="s">
        <v>26</v>
      </c>
      <c r="G7905" s="28">
        <f>IFERROR(VLOOKUP(F7905,CARTON_LOOKUP!$A:$E,3,0),"")</f>
      </c>
      <c r="H7905" s="28">
        <f>IFERROR(VLOOKUP(F7905,CARTON_LOOKUP!$A:$E,4,0),"")</f>
      </c>
      <c r="I7905" s="28">
        <f>IFERROR(VLOOKUP(F7905,CARTON_LOOKUP!$A:$E,5,0),"")</f>
      </c>
      <c r="J7905" s="29">
        <f>IFERROR(VLOOKUP(F7905,CARTON_LOOKUP!$A:$E,2,0),"")</f>
      </c>
      <c r="K7905" s="29">
        <f>IFERROR(J7905*D7905,0)</f>
      </c>
      <c r="L7905" s="29">
        <f>IFERROR(E7905*C7905,0)</f>
      </c>
      <c r="M7905" s="29">
        <f>IFERROR((G7905*H7905*I7905/1000000)*D7905,0)</f>
      </c>
    </row>
    <row r="7906" spans="1:13" x14ac:dyDescent="0.25">
      <c r="A7906" s="16"/>
      <c r="E7906" s="27"/>
      <c r="F7906" t="s">
        <v>26</v>
      </c>
      <c r="G7906" s="28">
        <f>IFERROR(VLOOKUP(F7906,CARTON_LOOKUP!$A:$E,3,0),"")</f>
      </c>
      <c r="H7906" s="28">
        <f>IFERROR(VLOOKUP(F7906,CARTON_LOOKUP!$A:$E,4,0),"")</f>
      </c>
      <c r="I7906" s="28">
        <f>IFERROR(VLOOKUP(F7906,CARTON_LOOKUP!$A:$E,5,0),"")</f>
      </c>
      <c r="J7906" s="29">
        <f>IFERROR(VLOOKUP(F7906,CARTON_LOOKUP!$A:$E,2,0),"")</f>
      </c>
      <c r="K7906" s="29">
        <f>IFERROR(J7906*D7906,0)</f>
      </c>
      <c r="L7906" s="29">
        <f>IFERROR(E7906*C7906,0)</f>
      </c>
      <c r="M7906" s="29">
        <f>IFERROR((G7906*H7906*I7906/1000000)*D7906,0)</f>
      </c>
    </row>
    <row r="7907" spans="1:13" x14ac:dyDescent="0.25">
      <c r="A7907" s="16"/>
      <c r="E7907" s="27"/>
      <c r="F7907" t="s">
        <v>26</v>
      </c>
      <c r="G7907" s="28">
        <f>IFERROR(VLOOKUP(F7907,CARTON_LOOKUP!$A:$E,3,0),"")</f>
      </c>
      <c r="H7907" s="28">
        <f>IFERROR(VLOOKUP(F7907,CARTON_LOOKUP!$A:$E,4,0),"")</f>
      </c>
      <c r="I7907" s="28">
        <f>IFERROR(VLOOKUP(F7907,CARTON_LOOKUP!$A:$E,5,0),"")</f>
      </c>
      <c r="J7907" s="29">
        <f>IFERROR(VLOOKUP(F7907,CARTON_LOOKUP!$A:$E,2,0),"")</f>
      </c>
      <c r="K7907" s="29">
        <f>IFERROR(J7907*D7907,0)</f>
      </c>
      <c r="L7907" s="29">
        <f>IFERROR(E7907*C7907,0)</f>
      </c>
      <c r="M7907" s="29">
        <f>IFERROR((G7907*H7907*I7907/1000000)*D7907,0)</f>
      </c>
    </row>
    <row r="7908" spans="1:13" x14ac:dyDescent="0.25">
      <c r="A7908" s="16"/>
      <c r="E7908" s="27"/>
      <c r="F7908" t="s">
        <v>26</v>
      </c>
      <c r="G7908" s="28">
        <f>IFERROR(VLOOKUP(F7908,CARTON_LOOKUP!$A:$E,3,0),"")</f>
      </c>
      <c r="H7908" s="28">
        <f>IFERROR(VLOOKUP(F7908,CARTON_LOOKUP!$A:$E,4,0),"")</f>
      </c>
      <c r="I7908" s="28">
        <f>IFERROR(VLOOKUP(F7908,CARTON_LOOKUP!$A:$E,5,0),"")</f>
      </c>
      <c r="J7908" s="29">
        <f>IFERROR(VLOOKUP(F7908,CARTON_LOOKUP!$A:$E,2,0),"")</f>
      </c>
      <c r="K7908" s="29">
        <f>IFERROR(J7908*D7908,0)</f>
      </c>
      <c r="L7908" s="29">
        <f>IFERROR(E7908*C7908,0)</f>
      </c>
      <c r="M7908" s="29">
        <f>IFERROR((G7908*H7908*I7908/1000000)*D7908,0)</f>
      </c>
    </row>
    <row r="7909" spans="1:13" x14ac:dyDescent="0.25">
      <c r="A7909" s="16"/>
      <c r="E7909" s="27"/>
      <c r="F7909" t="s">
        <v>26</v>
      </c>
      <c r="G7909" s="28">
        <f>IFERROR(VLOOKUP(F7909,CARTON_LOOKUP!$A:$E,3,0),"")</f>
      </c>
      <c r="H7909" s="28">
        <f>IFERROR(VLOOKUP(F7909,CARTON_LOOKUP!$A:$E,4,0),"")</f>
      </c>
      <c r="I7909" s="28">
        <f>IFERROR(VLOOKUP(F7909,CARTON_LOOKUP!$A:$E,5,0),"")</f>
      </c>
      <c r="J7909" s="29">
        <f>IFERROR(VLOOKUP(F7909,CARTON_LOOKUP!$A:$E,2,0),"")</f>
      </c>
      <c r="K7909" s="29">
        <f>IFERROR(J7909*D7909,0)</f>
      </c>
      <c r="L7909" s="29">
        <f>IFERROR(E7909*C7909,0)</f>
      </c>
      <c r="M7909" s="29">
        <f>IFERROR((G7909*H7909*I7909/1000000)*D7909,0)</f>
      </c>
    </row>
    <row r="7910" spans="1:13" x14ac:dyDescent="0.25">
      <c r="A7910" s="16"/>
      <c r="E7910" s="27"/>
      <c r="F7910" t="s">
        <v>26</v>
      </c>
      <c r="G7910" s="28">
        <f>IFERROR(VLOOKUP(F7910,CARTON_LOOKUP!$A:$E,3,0),"")</f>
      </c>
      <c r="H7910" s="28">
        <f>IFERROR(VLOOKUP(F7910,CARTON_LOOKUP!$A:$E,4,0),"")</f>
      </c>
      <c r="I7910" s="28">
        <f>IFERROR(VLOOKUP(F7910,CARTON_LOOKUP!$A:$E,5,0),"")</f>
      </c>
      <c r="J7910" s="29">
        <f>IFERROR(VLOOKUP(F7910,CARTON_LOOKUP!$A:$E,2,0),"")</f>
      </c>
      <c r="K7910" s="29">
        <f>IFERROR(J7910*D7910,0)</f>
      </c>
      <c r="L7910" s="29">
        <f>IFERROR(E7910*C7910,0)</f>
      </c>
      <c r="M7910" s="29">
        <f>IFERROR((G7910*H7910*I7910/1000000)*D7910,0)</f>
      </c>
    </row>
    <row r="7911" spans="1:13" x14ac:dyDescent="0.25">
      <c r="A7911" s="16"/>
      <c r="E7911" s="27"/>
      <c r="F7911" t="s">
        <v>26</v>
      </c>
      <c r="G7911" s="28">
        <f>IFERROR(VLOOKUP(F7911,CARTON_LOOKUP!$A:$E,3,0),"")</f>
      </c>
      <c r="H7911" s="28">
        <f>IFERROR(VLOOKUP(F7911,CARTON_LOOKUP!$A:$E,4,0),"")</f>
      </c>
      <c r="I7911" s="28">
        <f>IFERROR(VLOOKUP(F7911,CARTON_LOOKUP!$A:$E,5,0),"")</f>
      </c>
      <c r="J7911" s="29">
        <f>IFERROR(VLOOKUP(F7911,CARTON_LOOKUP!$A:$E,2,0),"")</f>
      </c>
      <c r="K7911" s="29">
        <f>IFERROR(J7911*D7911,0)</f>
      </c>
      <c r="L7911" s="29">
        <f>IFERROR(E7911*C7911,0)</f>
      </c>
      <c r="M7911" s="29">
        <f>IFERROR((G7911*H7911*I7911/1000000)*D7911,0)</f>
      </c>
    </row>
    <row r="7912" spans="1:13" x14ac:dyDescent="0.25">
      <c r="A7912" s="16"/>
      <c r="E7912" s="27"/>
      <c r="F7912" t="s">
        <v>26</v>
      </c>
      <c r="G7912" s="28">
        <f>IFERROR(VLOOKUP(F7912,CARTON_LOOKUP!$A:$E,3,0),"")</f>
      </c>
      <c r="H7912" s="28">
        <f>IFERROR(VLOOKUP(F7912,CARTON_LOOKUP!$A:$E,4,0),"")</f>
      </c>
      <c r="I7912" s="28">
        <f>IFERROR(VLOOKUP(F7912,CARTON_LOOKUP!$A:$E,5,0),"")</f>
      </c>
      <c r="J7912" s="29">
        <f>IFERROR(VLOOKUP(F7912,CARTON_LOOKUP!$A:$E,2,0),"")</f>
      </c>
      <c r="K7912" s="29">
        <f>IFERROR(J7912*D7912,0)</f>
      </c>
      <c r="L7912" s="29">
        <f>IFERROR(E7912*C7912,0)</f>
      </c>
      <c r="M7912" s="29">
        <f>IFERROR((G7912*H7912*I7912/1000000)*D7912,0)</f>
      </c>
    </row>
    <row r="7913" spans="1:13" x14ac:dyDescent="0.25">
      <c r="A7913" s="16"/>
      <c r="E7913" s="27"/>
      <c r="F7913" t="s">
        <v>26</v>
      </c>
      <c r="G7913" s="28">
        <f>IFERROR(VLOOKUP(F7913,CARTON_LOOKUP!$A:$E,3,0),"")</f>
      </c>
      <c r="H7913" s="28">
        <f>IFERROR(VLOOKUP(F7913,CARTON_LOOKUP!$A:$E,4,0),"")</f>
      </c>
      <c r="I7913" s="28">
        <f>IFERROR(VLOOKUP(F7913,CARTON_LOOKUP!$A:$E,5,0),"")</f>
      </c>
      <c r="J7913" s="29">
        <f>IFERROR(VLOOKUP(F7913,CARTON_LOOKUP!$A:$E,2,0),"")</f>
      </c>
      <c r="K7913" s="29">
        <f>IFERROR(J7913*D7913,0)</f>
      </c>
      <c r="L7913" s="29">
        <f>IFERROR(E7913*C7913,0)</f>
      </c>
      <c r="M7913" s="29">
        <f>IFERROR((G7913*H7913*I7913/1000000)*D7913,0)</f>
      </c>
    </row>
    <row r="7914" spans="1:13" x14ac:dyDescent="0.25">
      <c r="A7914" s="16"/>
      <c r="E7914" s="27"/>
      <c r="F7914" t="s">
        <v>26</v>
      </c>
      <c r="G7914" s="28">
        <f>IFERROR(VLOOKUP(F7914,CARTON_LOOKUP!$A:$E,3,0),"")</f>
      </c>
      <c r="H7914" s="28">
        <f>IFERROR(VLOOKUP(F7914,CARTON_LOOKUP!$A:$E,4,0),"")</f>
      </c>
      <c r="I7914" s="28">
        <f>IFERROR(VLOOKUP(F7914,CARTON_LOOKUP!$A:$E,5,0),"")</f>
      </c>
      <c r="J7914" s="29">
        <f>IFERROR(VLOOKUP(F7914,CARTON_LOOKUP!$A:$E,2,0),"")</f>
      </c>
      <c r="K7914" s="29">
        <f>IFERROR(J7914*D7914,0)</f>
      </c>
      <c r="L7914" s="29">
        <f>IFERROR(E7914*C7914,0)</f>
      </c>
      <c r="M7914" s="29">
        <f>IFERROR((G7914*H7914*I7914/1000000)*D7914,0)</f>
      </c>
    </row>
    <row r="7915" spans="1:13" x14ac:dyDescent="0.25">
      <c r="A7915" s="16"/>
      <c r="E7915" s="27"/>
      <c r="F7915" t="s">
        <v>26</v>
      </c>
      <c r="G7915" s="28">
        <f>IFERROR(VLOOKUP(F7915,CARTON_LOOKUP!$A:$E,3,0),"")</f>
      </c>
      <c r="H7915" s="28">
        <f>IFERROR(VLOOKUP(F7915,CARTON_LOOKUP!$A:$E,4,0),"")</f>
      </c>
      <c r="I7915" s="28">
        <f>IFERROR(VLOOKUP(F7915,CARTON_LOOKUP!$A:$E,5,0),"")</f>
      </c>
      <c r="J7915" s="29">
        <f>IFERROR(VLOOKUP(F7915,CARTON_LOOKUP!$A:$E,2,0),"")</f>
      </c>
      <c r="K7915" s="29">
        <f>IFERROR(J7915*D7915,0)</f>
      </c>
      <c r="L7915" s="29">
        <f>IFERROR(E7915*C7915,0)</f>
      </c>
      <c r="M7915" s="29">
        <f>IFERROR((G7915*H7915*I7915/1000000)*D7915,0)</f>
      </c>
    </row>
    <row r="7916" spans="1:13" x14ac:dyDescent="0.25">
      <c r="A7916" s="16"/>
      <c r="E7916" s="27"/>
      <c r="F7916" t="s">
        <v>26</v>
      </c>
      <c r="G7916" s="28">
        <f>IFERROR(VLOOKUP(F7916,CARTON_LOOKUP!$A:$E,3,0),"")</f>
      </c>
      <c r="H7916" s="28">
        <f>IFERROR(VLOOKUP(F7916,CARTON_LOOKUP!$A:$E,4,0),"")</f>
      </c>
      <c r="I7916" s="28">
        <f>IFERROR(VLOOKUP(F7916,CARTON_LOOKUP!$A:$E,5,0),"")</f>
      </c>
      <c r="J7916" s="29">
        <f>IFERROR(VLOOKUP(F7916,CARTON_LOOKUP!$A:$E,2,0),"")</f>
      </c>
      <c r="K7916" s="29">
        <f>IFERROR(J7916*D7916,0)</f>
      </c>
      <c r="L7916" s="29">
        <f>IFERROR(E7916*C7916,0)</f>
      </c>
      <c r="M7916" s="29">
        <f>IFERROR((G7916*H7916*I7916/1000000)*D7916,0)</f>
      </c>
    </row>
    <row r="7917" spans="1:13" x14ac:dyDescent="0.25">
      <c r="A7917" s="16"/>
      <c r="E7917" s="27"/>
      <c r="F7917" t="s">
        <v>26</v>
      </c>
      <c r="G7917" s="28">
        <f>IFERROR(VLOOKUP(F7917,CARTON_LOOKUP!$A:$E,3,0),"")</f>
      </c>
      <c r="H7917" s="28">
        <f>IFERROR(VLOOKUP(F7917,CARTON_LOOKUP!$A:$E,4,0),"")</f>
      </c>
      <c r="I7917" s="28">
        <f>IFERROR(VLOOKUP(F7917,CARTON_LOOKUP!$A:$E,5,0),"")</f>
      </c>
      <c r="J7917" s="29">
        <f>IFERROR(VLOOKUP(F7917,CARTON_LOOKUP!$A:$E,2,0),"")</f>
      </c>
      <c r="K7917" s="29">
        <f>IFERROR(J7917*D7917,0)</f>
      </c>
      <c r="L7917" s="29">
        <f>IFERROR(E7917*C7917,0)</f>
      </c>
      <c r="M7917" s="29">
        <f>IFERROR((G7917*H7917*I7917/1000000)*D7917,0)</f>
      </c>
    </row>
    <row r="7918" spans="1:13" x14ac:dyDescent="0.25">
      <c r="A7918" s="16"/>
      <c r="E7918" s="27"/>
      <c r="F7918" t="s">
        <v>26</v>
      </c>
      <c r="G7918" s="28">
        <f>IFERROR(VLOOKUP(F7918,CARTON_LOOKUP!$A:$E,3,0),"")</f>
      </c>
      <c r="H7918" s="28">
        <f>IFERROR(VLOOKUP(F7918,CARTON_LOOKUP!$A:$E,4,0),"")</f>
      </c>
      <c r="I7918" s="28">
        <f>IFERROR(VLOOKUP(F7918,CARTON_LOOKUP!$A:$E,5,0),"")</f>
      </c>
      <c r="J7918" s="29">
        <f>IFERROR(VLOOKUP(F7918,CARTON_LOOKUP!$A:$E,2,0),"")</f>
      </c>
      <c r="K7918" s="29">
        <f>IFERROR(J7918*D7918,0)</f>
      </c>
      <c r="L7918" s="29">
        <f>IFERROR(E7918*C7918,0)</f>
      </c>
      <c r="M7918" s="29">
        <f>IFERROR((G7918*H7918*I7918/1000000)*D7918,0)</f>
      </c>
    </row>
    <row r="7919" spans="1:13" x14ac:dyDescent="0.25">
      <c r="A7919" s="16"/>
      <c r="E7919" s="27"/>
      <c r="F7919" t="s">
        <v>26</v>
      </c>
      <c r="G7919" s="28">
        <f>IFERROR(VLOOKUP(F7919,CARTON_LOOKUP!$A:$E,3,0),"")</f>
      </c>
      <c r="H7919" s="28">
        <f>IFERROR(VLOOKUP(F7919,CARTON_LOOKUP!$A:$E,4,0),"")</f>
      </c>
      <c r="I7919" s="28">
        <f>IFERROR(VLOOKUP(F7919,CARTON_LOOKUP!$A:$E,5,0),"")</f>
      </c>
      <c r="J7919" s="29">
        <f>IFERROR(VLOOKUP(F7919,CARTON_LOOKUP!$A:$E,2,0),"")</f>
      </c>
      <c r="K7919" s="29">
        <f>IFERROR(J7919*D7919,0)</f>
      </c>
      <c r="L7919" s="29">
        <f>IFERROR(E7919*C7919,0)</f>
      </c>
      <c r="M7919" s="29">
        <f>IFERROR((G7919*H7919*I7919/1000000)*D7919,0)</f>
      </c>
    </row>
    <row r="7920" spans="1:13" x14ac:dyDescent="0.25">
      <c r="A7920" s="16"/>
      <c r="E7920" s="27"/>
      <c r="F7920" t="s">
        <v>26</v>
      </c>
      <c r="G7920" s="28">
        <f>IFERROR(VLOOKUP(F7920,CARTON_LOOKUP!$A:$E,3,0),"")</f>
      </c>
      <c r="H7920" s="28">
        <f>IFERROR(VLOOKUP(F7920,CARTON_LOOKUP!$A:$E,4,0),"")</f>
      </c>
      <c r="I7920" s="28">
        <f>IFERROR(VLOOKUP(F7920,CARTON_LOOKUP!$A:$E,5,0),"")</f>
      </c>
      <c r="J7920" s="29">
        <f>IFERROR(VLOOKUP(F7920,CARTON_LOOKUP!$A:$E,2,0),"")</f>
      </c>
      <c r="K7920" s="29">
        <f>IFERROR(J7920*D7920,0)</f>
      </c>
      <c r="L7920" s="29">
        <f>IFERROR(E7920*C7920,0)</f>
      </c>
      <c r="M7920" s="29">
        <f>IFERROR((G7920*H7920*I7920/1000000)*D7920,0)</f>
      </c>
    </row>
    <row r="7921" spans="1:13" x14ac:dyDescent="0.25">
      <c r="A7921" s="16"/>
      <c r="E7921" s="27"/>
      <c r="F7921" t="s">
        <v>26</v>
      </c>
      <c r="G7921" s="28">
        <f>IFERROR(VLOOKUP(F7921,CARTON_LOOKUP!$A:$E,3,0),"")</f>
      </c>
      <c r="H7921" s="28">
        <f>IFERROR(VLOOKUP(F7921,CARTON_LOOKUP!$A:$E,4,0),"")</f>
      </c>
      <c r="I7921" s="28">
        <f>IFERROR(VLOOKUP(F7921,CARTON_LOOKUP!$A:$E,5,0),"")</f>
      </c>
      <c r="J7921" s="29">
        <f>IFERROR(VLOOKUP(F7921,CARTON_LOOKUP!$A:$E,2,0),"")</f>
      </c>
      <c r="K7921" s="29">
        <f>IFERROR(J7921*D7921,0)</f>
      </c>
      <c r="L7921" s="29">
        <f>IFERROR(E7921*C7921,0)</f>
      </c>
      <c r="M7921" s="29">
        <f>IFERROR((G7921*H7921*I7921/1000000)*D7921,0)</f>
      </c>
    </row>
    <row r="7922" spans="1:13" x14ac:dyDescent="0.25">
      <c r="A7922" s="16"/>
      <c r="E7922" s="27"/>
      <c r="F7922" t="s">
        <v>26</v>
      </c>
      <c r="G7922" s="28">
        <f>IFERROR(VLOOKUP(F7922,CARTON_LOOKUP!$A:$E,3,0),"")</f>
      </c>
      <c r="H7922" s="28">
        <f>IFERROR(VLOOKUP(F7922,CARTON_LOOKUP!$A:$E,4,0),"")</f>
      </c>
      <c r="I7922" s="28">
        <f>IFERROR(VLOOKUP(F7922,CARTON_LOOKUP!$A:$E,5,0),"")</f>
      </c>
      <c r="J7922" s="29">
        <f>IFERROR(VLOOKUP(F7922,CARTON_LOOKUP!$A:$E,2,0),"")</f>
      </c>
      <c r="K7922" s="29">
        <f>IFERROR(J7922*D7922,0)</f>
      </c>
      <c r="L7922" s="29">
        <f>IFERROR(E7922*C7922,0)</f>
      </c>
      <c r="M7922" s="29">
        <f>IFERROR((G7922*H7922*I7922/1000000)*D7922,0)</f>
      </c>
    </row>
    <row r="7923" spans="1:13" x14ac:dyDescent="0.25">
      <c r="A7923" s="16"/>
      <c r="E7923" s="27"/>
      <c r="F7923" t="s">
        <v>26</v>
      </c>
      <c r="G7923" s="28">
        <f>IFERROR(VLOOKUP(F7923,CARTON_LOOKUP!$A:$E,3,0),"")</f>
      </c>
      <c r="H7923" s="28">
        <f>IFERROR(VLOOKUP(F7923,CARTON_LOOKUP!$A:$E,4,0),"")</f>
      </c>
      <c r="I7923" s="28">
        <f>IFERROR(VLOOKUP(F7923,CARTON_LOOKUP!$A:$E,5,0),"")</f>
      </c>
      <c r="J7923" s="29">
        <f>IFERROR(VLOOKUP(F7923,CARTON_LOOKUP!$A:$E,2,0),"")</f>
      </c>
      <c r="K7923" s="29">
        <f>IFERROR(J7923*D7923,0)</f>
      </c>
      <c r="L7923" s="29">
        <f>IFERROR(E7923*C7923,0)</f>
      </c>
      <c r="M7923" s="29">
        <f>IFERROR((G7923*H7923*I7923/1000000)*D7923,0)</f>
      </c>
    </row>
    <row r="7924" spans="1:13" x14ac:dyDescent="0.25">
      <c r="A7924" s="16"/>
      <c r="E7924" s="27"/>
      <c r="F7924" t="s">
        <v>26</v>
      </c>
      <c r="G7924" s="28">
        <f>IFERROR(VLOOKUP(F7924,CARTON_LOOKUP!$A:$E,3,0),"")</f>
      </c>
      <c r="H7924" s="28">
        <f>IFERROR(VLOOKUP(F7924,CARTON_LOOKUP!$A:$E,4,0),"")</f>
      </c>
      <c r="I7924" s="28">
        <f>IFERROR(VLOOKUP(F7924,CARTON_LOOKUP!$A:$E,5,0),"")</f>
      </c>
      <c r="J7924" s="29">
        <f>IFERROR(VLOOKUP(F7924,CARTON_LOOKUP!$A:$E,2,0),"")</f>
      </c>
      <c r="K7924" s="29">
        <f>IFERROR(J7924*D7924,0)</f>
      </c>
      <c r="L7924" s="29">
        <f>IFERROR(E7924*C7924,0)</f>
      </c>
      <c r="M7924" s="29">
        <f>IFERROR((G7924*H7924*I7924/1000000)*D7924,0)</f>
      </c>
    </row>
    <row r="7925" spans="1:13" x14ac:dyDescent="0.25">
      <c r="A7925" s="16"/>
      <c r="E7925" s="27"/>
      <c r="F7925" t="s">
        <v>26</v>
      </c>
      <c r="G7925" s="28">
        <f>IFERROR(VLOOKUP(F7925,CARTON_LOOKUP!$A:$E,3,0),"")</f>
      </c>
      <c r="H7925" s="28">
        <f>IFERROR(VLOOKUP(F7925,CARTON_LOOKUP!$A:$E,4,0),"")</f>
      </c>
      <c r="I7925" s="28">
        <f>IFERROR(VLOOKUP(F7925,CARTON_LOOKUP!$A:$E,5,0),"")</f>
      </c>
      <c r="J7925" s="29">
        <f>IFERROR(VLOOKUP(F7925,CARTON_LOOKUP!$A:$E,2,0),"")</f>
      </c>
      <c r="K7925" s="29">
        <f>IFERROR(J7925*D7925,0)</f>
      </c>
      <c r="L7925" s="29">
        <f>IFERROR(E7925*C7925,0)</f>
      </c>
      <c r="M7925" s="29">
        <f>IFERROR((G7925*H7925*I7925/1000000)*D7925,0)</f>
      </c>
    </row>
    <row r="7926" spans="1:13" x14ac:dyDescent="0.25">
      <c r="A7926" s="16"/>
      <c r="E7926" s="27"/>
      <c r="F7926" t="s">
        <v>26</v>
      </c>
      <c r="G7926" s="28">
        <f>IFERROR(VLOOKUP(F7926,CARTON_LOOKUP!$A:$E,3,0),"")</f>
      </c>
      <c r="H7926" s="28">
        <f>IFERROR(VLOOKUP(F7926,CARTON_LOOKUP!$A:$E,4,0),"")</f>
      </c>
      <c r="I7926" s="28">
        <f>IFERROR(VLOOKUP(F7926,CARTON_LOOKUP!$A:$E,5,0),"")</f>
      </c>
      <c r="J7926" s="29">
        <f>IFERROR(VLOOKUP(F7926,CARTON_LOOKUP!$A:$E,2,0),"")</f>
      </c>
      <c r="K7926" s="29">
        <f>IFERROR(J7926*D7926,0)</f>
      </c>
      <c r="L7926" s="29">
        <f>IFERROR(E7926*C7926,0)</f>
      </c>
      <c r="M7926" s="29">
        <f>IFERROR((G7926*H7926*I7926/1000000)*D7926,0)</f>
      </c>
    </row>
    <row r="7927" spans="1:13" x14ac:dyDescent="0.25">
      <c r="A7927" s="16"/>
      <c r="E7927" s="27"/>
      <c r="F7927" t="s">
        <v>26</v>
      </c>
      <c r="G7927" s="28">
        <f>IFERROR(VLOOKUP(F7927,CARTON_LOOKUP!$A:$E,3,0),"")</f>
      </c>
      <c r="H7927" s="28">
        <f>IFERROR(VLOOKUP(F7927,CARTON_LOOKUP!$A:$E,4,0),"")</f>
      </c>
      <c r="I7927" s="28">
        <f>IFERROR(VLOOKUP(F7927,CARTON_LOOKUP!$A:$E,5,0),"")</f>
      </c>
      <c r="J7927" s="29">
        <f>IFERROR(VLOOKUP(F7927,CARTON_LOOKUP!$A:$E,2,0),"")</f>
      </c>
      <c r="K7927" s="29">
        <f>IFERROR(J7927*D7927,0)</f>
      </c>
      <c r="L7927" s="29">
        <f>IFERROR(E7927*C7927,0)</f>
      </c>
      <c r="M7927" s="29">
        <f>IFERROR((G7927*H7927*I7927/1000000)*D7927,0)</f>
      </c>
    </row>
    <row r="7928" spans="1:13" x14ac:dyDescent="0.25">
      <c r="A7928" s="16"/>
      <c r="E7928" s="27"/>
      <c r="F7928" t="s">
        <v>26</v>
      </c>
      <c r="G7928" s="28">
        <f>IFERROR(VLOOKUP(F7928,CARTON_LOOKUP!$A:$E,3,0),"")</f>
      </c>
      <c r="H7928" s="28">
        <f>IFERROR(VLOOKUP(F7928,CARTON_LOOKUP!$A:$E,4,0),"")</f>
      </c>
      <c r="I7928" s="28">
        <f>IFERROR(VLOOKUP(F7928,CARTON_LOOKUP!$A:$E,5,0),"")</f>
      </c>
      <c r="J7928" s="29">
        <f>IFERROR(VLOOKUP(F7928,CARTON_LOOKUP!$A:$E,2,0),"")</f>
      </c>
      <c r="K7928" s="29">
        <f>IFERROR(J7928*D7928,0)</f>
      </c>
      <c r="L7928" s="29">
        <f>IFERROR(E7928*C7928,0)</f>
      </c>
      <c r="M7928" s="29">
        <f>IFERROR((G7928*H7928*I7928/1000000)*D7928,0)</f>
      </c>
    </row>
    <row r="7929" spans="1:13" x14ac:dyDescent="0.25">
      <c r="A7929" s="16"/>
      <c r="E7929" s="27"/>
      <c r="F7929" t="s">
        <v>26</v>
      </c>
      <c r="G7929" s="28">
        <f>IFERROR(VLOOKUP(F7929,CARTON_LOOKUP!$A:$E,3,0),"")</f>
      </c>
      <c r="H7929" s="28">
        <f>IFERROR(VLOOKUP(F7929,CARTON_LOOKUP!$A:$E,4,0),"")</f>
      </c>
      <c r="I7929" s="28">
        <f>IFERROR(VLOOKUP(F7929,CARTON_LOOKUP!$A:$E,5,0),"")</f>
      </c>
      <c r="J7929" s="29">
        <f>IFERROR(VLOOKUP(F7929,CARTON_LOOKUP!$A:$E,2,0),"")</f>
      </c>
      <c r="K7929" s="29">
        <f>IFERROR(J7929*D7929,0)</f>
      </c>
      <c r="L7929" s="29">
        <f>IFERROR(E7929*C7929,0)</f>
      </c>
      <c r="M7929" s="29">
        <f>IFERROR((G7929*H7929*I7929/1000000)*D7929,0)</f>
      </c>
    </row>
    <row r="7930" spans="1:13" x14ac:dyDescent="0.25">
      <c r="A7930" s="16"/>
      <c r="E7930" s="27"/>
      <c r="F7930" t="s">
        <v>26</v>
      </c>
      <c r="G7930" s="28">
        <f>IFERROR(VLOOKUP(F7930,CARTON_LOOKUP!$A:$E,3,0),"")</f>
      </c>
      <c r="H7930" s="28">
        <f>IFERROR(VLOOKUP(F7930,CARTON_LOOKUP!$A:$E,4,0),"")</f>
      </c>
      <c r="I7930" s="28">
        <f>IFERROR(VLOOKUP(F7930,CARTON_LOOKUP!$A:$E,5,0),"")</f>
      </c>
      <c r="J7930" s="29">
        <f>IFERROR(VLOOKUP(F7930,CARTON_LOOKUP!$A:$E,2,0),"")</f>
      </c>
      <c r="K7930" s="29">
        <f>IFERROR(J7930*D7930,0)</f>
      </c>
      <c r="L7930" s="29">
        <f>IFERROR(E7930*C7930,0)</f>
      </c>
      <c r="M7930" s="29">
        <f>IFERROR((G7930*H7930*I7930/1000000)*D7930,0)</f>
      </c>
    </row>
    <row r="7931" spans="1:13" x14ac:dyDescent="0.25">
      <c r="A7931" s="16"/>
      <c r="E7931" s="27"/>
      <c r="F7931" t="s">
        <v>26</v>
      </c>
      <c r="G7931" s="28">
        <f>IFERROR(VLOOKUP(F7931,CARTON_LOOKUP!$A:$E,3,0),"")</f>
      </c>
      <c r="H7931" s="28">
        <f>IFERROR(VLOOKUP(F7931,CARTON_LOOKUP!$A:$E,4,0),"")</f>
      </c>
      <c r="I7931" s="28">
        <f>IFERROR(VLOOKUP(F7931,CARTON_LOOKUP!$A:$E,5,0),"")</f>
      </c>
      <c r="J7931" s="29">
        <f>IFERROR(VLOOKUP(F7931,CARTON_LOOKUP!$A:$E,2,0),"")</f>
      </c>
      <c r="K7931" s="29">
        <f>IFERROR(J7931*D7931,0)</f>
      </c>
      <c r="L7931" s="29">
        <f>IFERROR(E7931*C7931,0)</f>
      </c>
      <c r="M7931" s="29">
        <f>IFERROR((G7931*H7931*I7931/1000000)*D7931,0)</f>
      </c>
    </row>
    <row r="7932" spans="1:13" x14ac:dyDescent="0.25">
      <c r="A7932" s="16"/>
      <c r="E7932" s="27"/>
      <c r="F7932" t="s">
        <v>26</v>
      </c>
      <c r="G7932" s="28">
        <f>IFERROR(VLOOKUP(F7932,CARTON_LOOKUP!$A:$E,3,0),"")</f>
      </c>
      <c r="H7932" s="28">
        <f>IFERROR(VLOOKUP(F7932,CARTON_LOOKUP!$A:$E,4,0),"")</f>
      </c>
      <c r="I7932" s="28">
        <f>IFERROR(VLOOKUP(F7932,CARTON_LOOKUP!$A:$E,5,0),"")</f>
      </c>
      <c r="J7932" s="29">
        <f>IFERROR(VLOOKUP(F7932,CARTON_LOOKUP!$A:$E,2,0),"")</f>
      </c>
      <c r="K7932" s="29">
        <f>IFERROR(J7932*D7932,0)</f>
      </c>
      <c r="L7932" s="29">
        <f>IFERROR(E7932*C7932,0)</f>
      </c>
      <c r="M7932" s="29">
        <f>IFERROR((G7932*H7932*I7932/1000000)*D7932,0)</f>
      </c>
    </row>
    <row r="7933" spans="1:13" x14ac:dyDescent="0.25">
      <c r="A7933" s="16"/>
      <c r="E7933" s="27"/>
      <c r="F7933" t="s">
        <v>26</v>
      </c>
      <c r="G7933" s="28">
        <f>IFERROR(VLOOKUP(F7933,CARTON_LOOKUP!$A:$E,3,0),"")</f>
      </c>
      <c r="H7933" s="28">
        <f>IFERROR(VLOOKUP(F7933,CARTON_LOOKUP!$A:$E,4,0),"")</f>
      </c>
      <c r="I7933" s="28">
        <f>IFERROR(VLOOKUP(F7933,CARTON_LOOKUP!$A:$E,5,0),"")</f>
      </c>
      <c r="J7933" s="29">
        <f>IFERROR(VLOOKUP(F7933,CARTON_LOOKUP!$A:$E,2,0),"")</f>
      </c>
      <c r="K7933" s="29">
        <f>IFERROR(J7933*D7933,0)</f>
      </c>
      <c r="L7933" s="29">
        <f>IFERROR(E7933*C7933,0)</f>
      </c>
      <c r="M7933" s="29">
        <f>IFERROR((G7933*H7933*I7933/1000000)*D7933,0)</f>
      </c>
    </row>
    <row r="7934" spans="1:13" x14ac:dyDescent="0.25">
      <c r="A7934" s="16"/>
      <c r="E7934" s="27"/>
      <c r="F7934" t="s">
        <v>26</v>
      </c>
      <c r="G7934" s="28">
        <f>IFERROR(VLOOKUP(F7934,CARTON_LOOKUP!$A:$E,3,0),"")</f>
      </c>
      <c r="H7934" s="28">
        <f>IFERROR(VLOOKUP(F7934,CARTON_LOOKUP!$A:$E,4,0),"")</f>
      </c>
      <c r="I7934" s="28">
        <f>IFERROR(VLOOKUP(F7934,CARTON_LOOKUP!$A:$E,5,0),"")</f>
      </c>
      <c r="J7934" s="29">
        <f>IFERROR(VLOOKUP(F7934,CARTON_LOOKUP!$A:$E,2,0),"")</f>
      </c>
      <c r="K7934" s="29">
        <f>IFERROR(J7934*D7934,0)</f>
      </c>
      <c r="L7934" s="29">
        <f>IFERROR(E7934*C7934,0)</f>
      </c>
      <c r="M7934" s="29">
        <f>IFERROR((G7934*H7934*I7934/1000000)*D7934,0)</f>
      </c>
    </row>
    <row r="7935" spans="1:13" x14ac:dyDescent="0.25">
      <c r="A7935" s="16"/>
      <c r="E7935" s="27"/>
      <c r="F7935" t="s">
        <v>26</v>
      </c>
      <c r="G7935" s="28">
        <f>IFERROR(VLOOKUP(F7935,CARTON_LOOKUP!$A:$E,3,0),"")</f>
      </c>
      <c r="H7935" s="28">
        <f>IFERROR(VLOOKUP(F7935,CARTON_LOOKUP!$A:$E,4,0),"")</f>
      </c>
      <c r="I7935" s="28">
        <f>IFERROR(VLOOKUP(F7935,CARTON_LOOKUP!$A:$E,5,0),"")</f>
      </c>
      <c r="J7935" s="29">
        <f>IFERROR(VLOOKUP(F7935,CARTON_LOOKUP!$A:$E,2,0),"")</f>
      </c>
      <c r="K7935" s="29">
        <f>IFERROR(J7935*D7935,0)</f>
      </c>
      <c r="L7935" s="29">
        <f>IFERROR(E7935*C7935,0)</f>
      </c>
      <c r="M7935" s="29">
        <f>IFERROR((G7935*H7935*I7935/1000000)*D7935,0)</f>
      </c>
    </row>
    <row r="7936" spans="1:13" x14ac:dyDescent="0.25">
      <c r="A7936" s="16"/>
      <c r="E7936" s="27"/>
      <c r="F7936" t="s">
        <v>26</v>
      </c>
      <c r="G7936" s="28">
        <f>IFERROR(VLOOKUP(F7936,CARTON_LOOKUP!$A:$E,3,0),"")</f>
      </c>
      <c r="H7936" s="28">
        <f>IFERROR(VLOOKUP(F7936,CARTON_LOOKUP!$A:$E,4,0),"")</f>
      </c>
      <c r="I7936" s="28">
        <f>IFERROR(VLOOKUP(F7936,CARTON_LOOKUP!$A:$E,5,0),"")</f>
      </c>
      <c r="J7936" s="29">
        <f>IFERROR(VLOOKUP(F7936,CARTON_LOOKUP!$A:$E,2,0),"")</f>
      </c>
      <c r="K7936" s="29">
        <f>IFERROR(J7936*D7936,0)</f>
      </c>
      <c r="L7936" s="29">
        <f>IFERROR(E7936*C7936,0)</f>
      </c>
      <c r="M7936" s="29">
        <f>IFERROR((G7936*H7936*I7936/1000000)*D7936,0)</f>
      </c>
    </row>
    <row r="7937" spans="1:13" x14ac:dyDescent="0.25">
      <c r="A7937" s="16"/>
      <c r="E7937" s="27"/>
      <c r="F7937" t="s">
        <v>26</v>
      </c>
      <c r="G7937" s="28">
        <f>IFERROR(VLOOKUP(F7937,CARTON_LOOKUP!$A:$E,3,0),"")</f>
      </c>
      <c r="H7937" s="28">
        <f>IFERROR(VLOOKUP(F7937,CARTON_LOOKUP!$A:$E,4,0),"")</f>
      </c>
      <c r="I7937" s="28">
        <f>IFERROR(VLOOKUP(F7937,CARTON_LOOKUP!$A:$E,5,0),"")</f>
      </c>
      <c r="J7937" s="29">
        <f>IFERROR(VLOOKUP(F7937,CARTON_LOOKUP!$A:$E,2,0),"")</f>
      </c>
      <c r="K7937" s="29">
        <f>IFERROR(J7937*D7937,0)</f>
      </c>
      <c r="L7937" s="29">
        <f>IFERROR(E7937*C7937,0)</f>
      </c>
      <c r="M7937" s="29">
        <f>IFERROR((G7937*H7937*I7937/1000000)*D7937,0)</f>
      </c>
    </row>
    <row r="7938" spans="1:13" x14ac:dyDescent="0.25">
      <c r="A7938" s="16"/>
      <c r="E7938" s="27"/>
      <c r="F7938" t="s">
        <v>26</v>
      </c>
      <c r="G7938" s="28">
        <f>IFERROR(VLOOKUP(F7938,CARTON_LOOKUP!$A:$E,3,0),"")</f>
      </c>
      <c r="H7938" s="28">
        <f>IFERROR(VLOOKUP(F7938,CARTON_LOOKUP!$A:$E,4,0),"")</f>
      </c>
      <c r="I7938" s="28">
        <f>IFERROR(VLOOKUP(F7938,CARTON_LOOKUP!$A:$E,5,0),"")</f>
      </c>
      <c r="J7938" s="29">
        <f>IFERROR(VLOOKUP(F7938,CARTON_LOOKUP!$A:$E,2,0),"")</f>
      </c>
      <c r="K7938" s="29">
        <f>IFERROR(J7938*D7938,0)</f>
      </c>
      <c r="L7938" s="29">
        <f>IFERROR(E7938*C7938,0)</f>
      </c>
      <c r="M7938" s="29">
        <f>IFERROR((G7938*H7938*I7938/1000000)*D7938,0)</f>
      </c>
    </row>
    <row r="7939" spans="1:13" x14ac:dyDescent="0.25">
      <c r="A7939" s="16"/>
      <c r="E7939" s="27"/>
      <c r="F7939" t="s">
        <v>26</v>
      </c>
      <c r="G7939" s="28">
        <f>IFERROR(VLOOKUP(F7939,CARTON_LOOKUP!$A:$E,3,0),"")</f>
      </c>
      <c r="H7939" s="28">
        <f>IFERROR(VLOOKUP(F7939,CARTON_LOOKUP!$A:$E,4,0),"")</f>
      </c>
      <c r="I7939" s="28">
        <f>IFERROR(VLOOKUP(F7939,CARTON_LOOKUP!$A:$E,5,0),"")</f>
      </c>
      <c r="J7939" s="29">
        <f>IFERROR(VLOOKUP(F7939,CARTON_LOOKUP!$A:$E,2,0),"")</f>
      </c>
      <c r="K7939" s="29">
        <f>IFERROR(J7939*D7939,0)</f>
      </c>
      <c r="L7939" s="29">
        <f>IFERROR(E7939*C7939,0)</f>
      </c>
      <c r="M7939" s="29">
        <f>IFERROR((G7939*H7939*I7939/1000000)*D7939,0)</f>
      </c>
    </row>
    <row r="7940" spans="1:13" x14ac:dyDescent="0.25">
      <c r="A7940" s="16"/>
      <c r="E7940" s="27"/>
      <c r="F7940" t="s">
        <v>26</v>
      </c>
      <c r="G7940" s="28">
        <f>IFERROR(VLOOKUP(F7940,CARTON_LOOKUP!$A:$E,3,0),"")</f>
      </c>
      <c r="H7940" s="28">
        <f>IFERROR(VLOOKUP(F7940,CARTON_LOOKUP!$A:$E,4,0),"")</f>
      </c>
      <c r="I7940" s="28">
        <f>IFERROR(VLOOKUP(F7940,CARTON_LOOKUP!$A:$E,5,0),"")</f>
      </c>
      <c r="J7940" s="29">
        <f>IFERROR(VLOOKUP(F7940,CARTON_LOOKUP!$A:$E,2,0),"")</f>
      </c>
      <c r="K7940" s="29">
        <f>IFERROR(J7940*D7940,0)</f>
      </c>
      <c r="L7940" s="29">
        <f>IFERROR(E7940*C7940,0)</f>
      </c>
      <c r="M7940" s="29">
        <f>IFERROR((G7940*H7940*I7940/1000000)*D7940,0)</f>
      </c>
    </row>
    <row r="7941" spans="1:13" x14ac:dyDescent="0.25">
      <c r="A7941" s="16"/>
      <c r="E7941" s="27"/>
      <c r="F7941" t="s">
        <v>26</v>
      </c>
      <c r="G7941" s="28">
        <f>IFERROR(VLOOKUP(F7941,CARTON_LOOKUP!$A:$E,3,0),"")</f>
      </c>
      <c r="H7941" s="28">
        <f>IFERROR(VLOOKUP(F7941,CARTON_LOOKUP!$A:$E,4,0),"")</f>
      </c>
      <c r="I7941" s="28">
        <f>IFERROR(VLOOKUP(F7941,CARTON_LOOKUP!$A:$E,5,0),"")</f>
      </c>
      <c r="J7941" s="29">
        <f>IFERROR(VLOOKUP(F7941,CARTON_LOOKUP!$A:$E,2,0),"")</f>
      </c>
      <c r="K7941" s="29">
        <f>IFERROR(J7941*D7941,0)</f>
      </c>
      <c r="L7941" s="29">
        <f>IFERROR(E7941*C7941,0)</f>
      </c>
      <c r="M7941" s="29">
        <f>IFERROR((G7941*H7941*I7941/1000000)*D7941,0)</f>
      </c>
    </row>
    <row r="7942" spans="1:13" x14ac:dyDescent="0.25">
      <c r="A7942" s="16"/>
      <c r="E7942" s="27"/>
      <c r="F7942" t="s">
        <v>26</v>
      </c>
      <c r="G7942" s="28">
        <f>IFERROR(VLOOKUP(F7942,CARTON_LOOKUP!$A:$E,3,0),"")</f>
      </c>
      <c r="H7942" s="28">
        <f>IFERROR(VLOOKUP(F7942,CARTON_LOOKUP!$A:$E,4,0),"")</f>
      </c>
      <c r="I7942" s="28">
        <f>IFERROR(VLOOKUP(F7942,CARTON_LOOKUP!$A:$E,5,0),"")</f>
      </c>
      <c r="J7942" s="29">
        <f>IFERROR(VLOOKUP(F7942,CARTON_LOOKUP!$A:$E,2,0),"")</f>
      </c>
      <c r="K7942" s="29">
        <f>IFERROR(J7942*D7942,0)</f>
      </c>
      <c r="L7942" s="29">
        <f>IFERROR(E7942*C7942,0)</f>
      </c>
      <c r="M7942" s="29">
        <f>IFERROR((G7942*H7942*I7942/1000000)*D7942,0)</f>
      </c>
    </row>
    <row r="7943" spans="1:13" x14ac:dyDescent="0.25">
      <c r="A7943" s="16"/>
      <c r="E7943" s="27"/>
      <c r="F7943" t="s">
        <v>26</v>
      </c>
      <c r="G7943" s="28">
        <f>IFERROR(VLOOKUP(F7943,CARTON_LOOKUP!$A:$E,3,0),"")</f>
      </c>
      <c r="H7943" s="28">
        <f>IFERROR(VLOOKUP(F7943,CARTON_LOOKUP!$A:$E,4,0),"")</f>
      </c>
      <c r="I7943" s="28">
        <f>IFERROR(VLOOKUP(F7943,CARTON_LOOKUP!$A:$E,5,0),"")</f>
      </c>
      <c r="J7943" s="29">
        <f>IFERROR(VLOOKUP(F7943,CARTON_LOOKUP!$A:$E,2,0),"")</f>
      </c>
      <c r="K7943" s="29">
        <f>IFERROR(J7943*D7943,0)</f>
      </c>
      <c r="L7943" s="29">
        <f>IFERROR(E7943*C7943,0)</f>
      </c>
      <c r="M7943" s="29">
        <f>IFERROR((G7943*H7943*I7943/1000000)*D7943,0)</f>
      </c>
    </row>
    <row r="7944" spans="1:13" x14ac:dyDescent="0.25">
      <c r="A7944" s="16"/>
      <c r="E7944" s="27"/>
      <c r="F7944" t="s">
        <v>26</v>
      </c>
      <c r="G7944" s="28">
        <f>IFERROR(VLOOKUP(F7944,CARTON_LOOKUP!$A:$E,3,0),"")</f>
      </c>
      <c r="H7944" s="28">
        <f>IFERROR(VLOOKUP(F7944,CARTON_LOOKUP!$A:$E,4,0),"")</f>
      </c>
      <c r="I7944" s="28">
        <f>IFERROR(VLOOKUP(F7944,CARTON_LOOKUP!$A:$E,5,0),"")</f>
      </c>
      <c r="J7944" s="29">
        <f>IFERROR(VLOOKUP(F7944,CARTON_LOOKUP!$A:$E,2,0),"")</f>
      </c>
      <c r="K7944" s="29">
        <f>IFERROR(J7944*D7944,0)</f>
      </c>
      <c r="L7944" s="29">
        <f>IFERROR(E7944*C7944,0)</f>
      </c>
      <c r="M7944" s="29">
        <f>IFERROR((G7944*H7944*I7944/1000000)*D7944,0)</f>
      </c>
    </row>
    <row r="7945" spans="1:13" x14ac:dyDescent="0.25">
      <c r="A7945" s="16"/>
      <c r="E7945" s="27"/>
      <c r="F7945" t="s">
        <v>26</v>
      </c>
      <c r="G7945" s="28">
        <f>IFERROR(VLOOKUP(F7945,CARTON_LOOKUP!$A:$E,3,0),"")</f>
      </c>
      <c r="H7945" s="28">
        <f>IFERROR(VLOOKUP(F7945,CARTON_LOOKUP!$A:$E,4,0),"")</f>
      </c>
      <c r="I7945" s="28">
        <f>IFERROR(VLOOKUP(F7945,CARTON_LOOKUP!$A:$E,5,0),"")</f>
      </c>
      <c r="J7945" s="29">
        <f>IFERROR(VLOOKUP(F7945,CARTON_LOOKUP!$A:$E,2,0),"")</f>
      </c>
      <c r="K7945" s="29">
        <f>IFERROR(J7945*D7945,0)</f>
      </c>
      <c r="L7945" s="29">
        <f>IFERROR(E7945*C7945,0)</f>
      </c>
      <c r="M7945" s="29">
        <f>IFERROR((G7945*H7945*I7945/1000000)*D7945,0)</f>
      </c>
    </row>
    <row r="7946" spans="1:13" x14ac:dyDescent="0.25">
      <c r="A7946" s="16"/>
      <c r="E7946" s="27"/>
      <c r="F7946" t="s">
        <v>26</v>
      </c>
      <c r="G7946" s="28">
        <f>IFERROR(VLOOKUP(F7946,CARTON_LOOKUP!$A:$E,3,0),"")</f>
      </c>
      <c r="H7946" s="28">
        <f>IFERROR(VLOOKUP(F7946,CARTON_LOOKUP!$A:$E,4,0),"")</f>
      </c>
      <c r="I7946" s="28">
        <f>IFERROR(VLOOKUP(F7946,CARTON_LOOKUP!$A:$E,5,0),"")</f>
      </c>
      <c r="J7946" s="29">
        <f>IFERROR(VLOOKUP(F7946,CARTON_LOOKUP!$A:$E,2,0),"")</f>
      </c>
      <c r="K7946" s="29">
        <f>IFERROR(J7946*D7946,0)</f>
      </c>
      <c r="L7946" s="29">
        <f>IFERROR(E7946*C7946,0)</f>
      </c>
      <c r="M7946" s="29">
        <f>IFERROR((G7946*H7946*I7946/1000000)*D7946,0)</f>
      </c>
    </row>
    <row r="7947" spans="1:13" x14ac:dyDescent="0.25">
      <c r="A7947" s="16"/>
      <c r="E7947" s="27"/>
      <c r="F7947" t="s">
        <v>26</v>
      </c>
      <c r="G7947" s="28">
        <f>IFERROR(VLOOKUP(F7947,CARTON_LOOKUP!$A:$E,3,0),"")</f>
      </c>
      <c r="H7947" s="28">
        <f>IFERROR(VLOOKUP(F7947,CARTON_LOOKUP!$A:$E,4,0),"")</f>
      </c>
      <c r="I7947" s="28">
        <f>IFERROR(VLOOKUP(F7947,CARTON_LOOKUP!$A:$E,5,0),"")</f>
      </c>
      <c r="J7947" s="29">
        <f>IFERROR(VLOOKUP(F7947,CARTON_LOOKUP!$A:$E,2,0),"")</f>
      </c>
      <c r="K7947" s="29">
        <f>IFERROR(J7947*D7947,0)</f>
      </c>
      <c r="L7947" s="29">
        <f>IFERROR(E7947*C7947,0)</f>
      </c>
      <c r="M7947" s="29">
        <f>IFERROR((G7947*H7947*I7947/1000000)*D7947,0)</f>
      </c>
    </row>
    <row r="7948" spans="1:13" x14ac:dyDescent="0.25">
      <c r="A7948" s="16"/>
      <c r="E7948" s="27"/>
      <c r="F7948" t="s">
        <v>26</v>
      </c>
      <c r="G7948" s="28">
        <f>IFERROR(VLOOKUP(F7948,CARTON_LOOKUP!$A:$E,3,0),"")</f>
      </c>
      <c r="H7948" s="28">
        <f>IFERROR(VLOOKUP(F7948,CARTON_LOOKUP!$A:$E,4,0),"")</f>
      </c>
      <c r="I7948" s="28">
        <f>IFERROR(VLOOKUP(F7948,CARTON_LOOKUP!$A:$E,5,0),"")</f>
      </c>
      <c r="J7948" s="29">
        <f>IFERROR(VLOOKUP(F7948,CARTON_LOOKUP!$A:$E,2,0),"")</f>
      </c>
      <c r="K7948" s="29">
        <f>IFERROR(J7948*D7948,0)</f>
      </c>
      <c r="L7948" s="29">
        <f>IFERROR(E7948*C7948,0)</f>
      </c>
      <c r="M7948" s="29">
        <f>IFERROR((G7948*H7948*I7948/1000000)*D7948,0)</f>
      </c>
    </row>
    <row r="7949" spans="1:13" x14ac:dyDescent="0.25">
      <c r="A7949" s="16"/>
      <c r="E7949" s="27"/>
      <c r="F7949" t="s">
        <v>26</v>
      </c>
      <c r="G7949" s="28">
        <f>IFERROR(VLOOKUP(F7949,CARTON_LOOKUP!$A:$E,3,0),"")</f>
      </c>
      <c r="H7949" s="28">
        <f>IFERROR(VLOOKUP(F7949,CARTON_LOOKUP!$A:$E,4,0),"")</f>
      </c>
      <c r="I7949" s="28">
        <f>IFERROR(VLOOKUP(F7949,CARTON_LOOKUP!$A:$E,5,0),"")</f>
      </c>
      <c r="J7949" s="29">
        <f>IFERROR(VLOOKUP(F7949,CARTON_LOOKUP!$A:$E,2,0),"")</f>
      </c>
      <c r="K7949" s="29">
        <f>IFERROR(J7949*D7949,0)</f>
      </c>
      <c r="L7949" s="29">
        <f>IFERROR(E7949*C7949,0)</f>
      </c>
      <c r="M7949" s="29">
        <f>IFERROR((G7949*H7949*I7949/1000000)*D7949,0)</f>
      </c>
    </row>
    <row r="7950" spans="1:13" x14ac:dyDescent="0.25">
      <c r="A7950" s="16"/>
      <c r="E7950" s="27"/>
      <c r="F7950" t="s">
        <v>26</v>
      </c>
      <c r="G7950" s="28">
        <f>IFERROR(VLOOKUP(F7950,CARTON_LOOKUP!$A:$E,3,0),"")</f>
      </c>
      <c r="H7950" s="28">
        <f>IFERROR(VLOOKUP(F7950,CARTON_LOOKUP!$A:$E,4,0),"")</f>
      </c>
      <c r="I7950" s="28">
        <f>IFERROR(VLOOKUP(F7950,CARTON_LOOKUP!$A:$E,5,0),"")</f>
      </c>
      <c r="J7950" s="29">
        <f>IFERROR(VLOOKUP(F7950,CARTON_LOOKUP!$A:$E,2,0),"")</f>
      </c>
      <c r="K7950" s="29">
        <f>IFERROR(J7950*D7950,0)</f>
      </c>
      <c r="L7950" s="29">
        <f>IFERROR(E7950*C7950,0)</f>
      </c>
      <c r="M7950" s="29">
        <f>IFERROR((G7950*H7950*I7950/1000000)*D7950,0)</f>
      </c>
    </row>
    <row r="7951" spans="1:13" x14ac:dyDescent="0.25">
      <c r="A7951" s="16"/>
      <c r="E7951" s="27"/>
      <c r="F7951" t="s">
        <v>26</v>
      </c>
      <c r="G7951" s="28">
        <f>IFERROR(VLOOKUP(F7951,CARTON_LOOKUP!$A:$E,3,0),"")</f>
      </c>
      <c r="H7951" s="28">
        <f>IFERROR(VLOOKUP(F7951,CARTON_LOOKUP!$A:$E,4,0),"")</f>
      </c>
      <c r="I7951" s="28">
        <f>IFERROR(VLOOKUP(F7951,CARTON_LOOKUP!$A:$E,5,0),"")</f>
      </c>
      <c r="J7951" s="29">
        <f>IFERROR(VLOOKUP(F7951,CARTON_LOOKUP!$A:$E,2,0),"")</f>
      </c>
      <c r="K7951" s="29">
        <f>IFERROR(J7951*D7951,0)</f>
      </c>
      <c r="L7951" s="29">
        <f>IFERROR(E7951*C7951,0)</f>
      </c>
      <c r="M7951" s="29">
        <f>IFERROR((G7951*H7951*I7951/1000000)*D7951,0)</f>
      </c>
    </row>
    <row r="7952" spans="1:13" x14ac:dyDescent="0.25">
      <c r="A7952" s="16"/>
      <c r="E7952" s="27"/>
      <c r="F7952" t="s">
        <v>26</v>
      </c>
      <c r="G7952" s="28">
        <f>IFERROR(VLOOKUP(F7952,CARTON_LOOKUP!$A:$E,3,0),"")</f>
      </c>
      <c r="H7952" s="28">
        <f>IFERROR(VLOOKUP(F7952,CARTON_LOOKUP!$A:$E,4,0),"")</f>
      </c>
      <c r="I7952" s="28">
        <f>IFERROR(VLOOKUP(F7952,CARTON_LOOKUP!$A:$E,5,0),"")</f>
      </c>
      <c r="J7952" s="29">
        <f>IFERROR(VLOOKUP(F7952,CARTON_LOOKUP!$A:$E,2,0),"")</f>
      </c>
      <c r="K7952" s="29">
        <f>IFERROR(J7952*D7952,0)</f>
      </c>
      <c r="L7952" s="29">
        <f>IFERROR(E7952*C7952,0)</f>
      </c>
      <c r="M7952" s="29">
        <f>IFERROR((G7952*H7952*I7952/1000000)*D7952,0)</f>
      </c>
    </row>
    <row r="7953" spans="1:13" x14ac:dyDescent="0.25">
      <c r="A7953" s="16"/>
      <c r="E7953" s="27"/>
      <c r="F7953" t="s">
        <v>26</v>
      </c>
      <c r="G7953" s="28">
        <f>IFERROR(VLOOKUP(F7953,CARTON_LOOKUP!$A:$E,3,0),"")</f>
      </c>
      <c r="H7953" s="28">
        <f>IFERROR(VLOOKUP(F7953,CARTON_LOOKUP!$A:$E,4,0),"")</f>
      </c>
      <c r="I7953" s="28">
        <f>IFERROR(VLOOKUP(F7953,CARTON_LOOKUP!$A:$E,5,0),"")</f>
      </c>
      <c r="J7953" s="29">
        <f>IFERROR(VLOOKUP(F7953,CARTON_LOOKUP!$A:$E,2,0),"")</f>
      </c>
      <c r="K7953" s="29">
        <f>IFERROR(J7953*D7953,0)</f>
      </c>
      <c r="L7953" s="29">
        <f>IFERROR(E7953*C7953,0)</f>
      </c>
      <c r="M7953" s="29">
        <f>IFERROR((G7953*H7953*I7953/1000000)*D7953,0)</f>
      </c>
    </row>
    <row r="7954" spans="1:13" x14ac:dyDescent="0.25">
      <c r="A7954" s="16"/>
      <c r="E7954" s="27"/>
      <c r="F7954" t="s">
        <v>26</v>
      </c>
      <c r="G7954" s="28">
        <f>IFERROR(VLOOKUP(F7954,CARTON_LOOKUP!$A:$E,3,0),"")</f>
      </c>
      <c r="H7954" s="28">
        <f>IFERROR(VLOOKUP(F7954,CARTON_LOOKUP!$A:$E,4,0),"")</f>
      </c>
      <c r="I7954" s="28">
        <f>IFERROR(VLOOKUP(F7954,CARTON_LOOKUP!$A:$E,5,0),"")</f>
      </c>
      <c r="J7954" s="29">
        <f>IFERROR(VLOOKUP(F7954,CARTON_LOOKUP!$A:$E,2,0),"")</f>
      </c>
      <c r="K7954" s="29">
        <f>IFERROR(J7954*D7954,0)</f>
      </c>
      <c r="L7954" s="29">
        <f>IFERROR(E7954*C7954,0)</f>
      </c>
      <c r="M7954" s="29">
        <f>IFERROR((G7954*H7954*I7954/1000000)*D7954,0)</f>
      </c>
    </row>
    <row r="7955" spans="1:13" x14ac:dyDescent="0.25">
      <c r="A7955" s="16"/>
      <c r="E7955" s="27"/>
      <c r="F7955" t="s">
        <v>26</v>
      </c>
      <c r="G7955" s="28">
        <f>IFERROR(VLOOKUP(F7955,CARTON_LOOKUP!$A:$E,3,0),"")</f>
      </c>
      <c r="H7955" s="28">
        <f>IFERROR(VLOOKUP(F7955,CARTON_LOOKUP!$A:$E,4,0),"")</f>
      </c>
      <c r="I7955" s="28">
        <f>IFERROR(VLOOKUP(F7955,CARTON_LOOKUP!$A:$E,5,0),"")</f>
      </c>
      <c r="J7955" s="29">
        <f>IFERROR(VLOOKUP(F7955,CARTON_LOOKUP!$A:$E,2,0),"")</f>
      </c>
      <c r="K7955" s="29">
        <f>IFERROR(J7955*D7955,0)</f>
      </c>
      <c r="L7955" s="29">
        <f>IFERROR(E7955*C7955,0)</f>
      </c>
      <c r="M7955" s="29">
        <f>IFERROR((G7955*H7955*I7955/1000000)*D7955,0)</f>
      </c>
    </row>
    <row r="7956" spans="1:13" x14ac:dyDescent="0.25">
      <c r="A7956" s="16"/>
      <c r="E7956" s="27"/>
      <c r="F7956" t="s">
        <v>26</v>
      </c>
      <c r="G7956" s="28">
        <f>IFERROR(VLOOKUP(F7956,CARTON_LOOKUP!$A:$E,3,0),"")</f>
      </c>
      <c r="H7956" s="28">
        <f>IFERROR(VLOOKUP(F7956,CARTON_LOOKUP!$A:$E,4,0),"")</f>
      </c>
      <c r="I7956" s="28">
        <f>IFERROR(VLOOKUP(F7956,CARTON_LOOKUP!$A:$E,5,0),"")</f>
      </c>
      <c r="J7956" s="29">
        <f>IFERROR(VLOOKUP(F7956,CARTON_LOOKUP!$A:$E,2,0),"")</f>
      </c>
      <c r="K7956" s="29">
        <f>IFERROR(J7956*D7956,0)</f>
      </c>
      <c r="L7956" s="29">
        <f>IFERROR(E7956*C7956,0)</f>
      </c>
      <c r="M7956" s="29">
        <f>IFERROR((G7956*H7956*I7956/1000000)*D7956,0)</f>
      </c>
    </row>
    <row r="7957" spans="1:13" x14ac:dyDescent="0.25">
      <c r="A7957" s="16"/>
      <c r="E7957" s="27"/>
      <c r="F7957" t="s">
        <v>26</v>
      </c>
      <c r="G7957" s="28">
        <f>IFERROR(VLOOKUP(F7957,CARTON_LOOKUP!$A:$E,3,0),"")</f>
      </c>
      <c r="H7957" s="28">
        <f>IFERROR(VLOOKUP(F7957,CARTON_LOOKUP!$A:$E,4,0),"")</f>
      </c>
      <c r="I7957" s="28">
        <f>IFERROR(VLOOKUP(F7957,CARTON_LOOKUP!$A:$E,5,0),"")</f>
      </c>
      <c r="J7957" s="29">
        <f>IFERROR(VLOOKUP(F7957,CARTON_LOOKUP!$A:$E,2,0),"")</f>
      </c>
      <c r="K7957" s="29">
        <f>IFERROR(J7957*D7957,0)</f>
      </c>
      <c r="L7957" s="29">
        <f>IFERROR(E7957*C7957,0)</f>
      </c>
      <c r="M7957" s="29">
        <f>IFERROR((G7957*H7957*I7957/1000000)*D7957,0)</f>
      </c>
    </row>
    <row r="7958" spans="1:13" x14ac:dyDescent="0.25">
      <c r="A7958" s="16"/>
      <c r="E7958" s="27"/>
      <c r="F7958" t="s">
        <v>26</v>
      </c>
      <c r="G7958" s="28">
        <f>IFERROR(VLOOKUP(F7958,CARTON_LOOKUP!$A:$E,3,0),"")</f>
      </c>
      <c r="H7958" s="28">
        <f>IFERROR(VLOOKUP(F7958,CARTON_LOOKUP!$A:$E,4,0),"")</f>
      </c>
      <c r="I7958" s="28">
        <f>IFERROR(VLOOKUP(F7958,CARTON_LOOKUP!$A:$E,5,0),"")</f>
      </c>
      <c r="J7958" s="29">
        <f>IFERROR(VLOOKUP(F7958,CARTON_LOOKUP!$A:$E,2,0),"")</f>
      </c>
      <c r="K7958" s="29">
        <f>IFERROR(J7958*D7958,0)</f>
      </c>
      <c r="L7958" s="29">
        <f>IFERROR(E7958*C7958,0)</f>
      </c>
      <c r="M7958" s="29">
        <f>IFERROR((G7958*H7958*I7958/1000000)*D7958,0)</f>
      </c>
    </row>
    <row r="7959" spans="1:13" x14ac:dyDescent="0.25">
      <c r="A7959" s="16"/>
      <c r="E7959" s="27"/>
      <c r="F7959" t="s">
        <v>26</v>
      </c>
      <c r="G7959" s="28">
        <f>IFERROR(VLOOKUP(F7959,CARTON_LOOKUP!$A:$E,3,0),"")</f>
      </c>
      <c r="H7959" s="28">
        <f>IFERROR(VLOOKUP(F7959,CARTON_LOOKUP!$A:$E,4,0),"")</f>
      </c>
      <c r="I7959" s="28">
        <f>IFERROR(VLOOKUP(F7959,CARTON_LOOKUP!$A:$E,5,0),"")</f>
      </c>
      <c r="J7959" s="29">
        <f>IFERROR(VLOOKUP(F7959,CARTON_LOOKUP!$A:$E,2,0),"")</f>
      </c>
      <c r="K7959" s="29">
        <f>IFERROR(J7959*D7959,0)</f>
      </c>
      <c r="L7959" s="29">
        <f>IFERROR(E7959*C7959,0)</f>
      </c>
      <c r="M7959" s="29">
        <f>IFERROR((G7959*H7959*I7959/1000000)*D7959,0)</f>
      </c>
    </row>
    <row r="7960" spans="1:13" x14ac:dyDescent="0.25">
      <c r="A7960" s="16"/>
      <c r="E7960" s="27"/>
      <c r="F7960" t="s">
        <v>26</v>
      </c>
      <c r="G7960" s="28">
        <f>IFERROR(VLOOKUP(F7960,CARTON_LOOKUP!$A:$E,3,0),"")</f>
      </c>
      <c r="H7960" s="28">
        <f>IFERROR(VLOOKUP(F7960,CARTON_LOOKUP!$A:$E,4,0),"")</f>
      </c>
      <c r="I7960" s="28">
        <f>IFERROR(VLOOKUP(F7960,CARTON_LOOKUP!$A:$E,5,0),"")</f>
      </c>
      <c r="J7960" s="29">
        <f>IFERROR(VLOOKUP(F7960,CARTON_LOOKUP!$A:$E,2,0),"")</f>
      </c>
      <c r="K7960" s="29">
        <f>IFERROR(J7960*D7960,0)</f>
      </c>
      <c r="L7960" s="29">
        <f>IFERROR(E7960*C7960,0)</f>
      </c>
      <c r="M7960" s="29">
        <f>IFERROR((G7960*H7960*I7960/1000000)*D7960,0)</f>
      </c>
    </row>
    <row r="7961" spans="1:13" x14ac:dyDescent="0.25">
      <c r="A7961" s="16"/>
      <c r="E7961" s="27"/>
      <c r="F7961" t="s">
        <v>26</v>
      </c>
      <c r="G7961" s="28">
        <f>IFERROR(VLOOKUP(F7961,CARTON_LOOKUP!$A:$E,3,0),"")</f>
      </c>
      <c r="H7961" s="28">
        <f>IFERROR(VLOOKUP(F7961,CARTON_LOOKUP!$A:$E,4,0),"")</f>
      </c>
      <c r="I7961" s="28">
        <f>IFERROR(VLOOKUP(F7961,CARTON_LOOKUP!$A:$E,5,0),"")</f>
      </c>
      <c r="J7961" s="29">
        <f>IFERROR(VLOOKUP(F7961,CARTON_LOOKUP!$A:$E,2,0),"")</f>
      </c>
      <c r="K7961" s="29">
        <f>IFERROR(J7961*D7961,0)</f>
      </c>
      <c r="L7961" s="29">
        <f>IFERROR(E7961*C7961,0)</f>
      </c>
      <c r="M7961" s="29">
        <f>IFERROR((G7961*H7961*I7961/1000000)*D7961,0)</f>
      </c>
    </row>
    <row r="7962" spans="1:13" x14ac:dyDescent="0.25">
      <c r="A7962" s="16"/>
      <c r="E7962" s="27"/>
      <c r="F7962" t="s">
        <v>26</v>
      </c>
      <c r="G7962" s="28">
        <f>IFERROR(VLOOKUP(F7962,CARTON_LOOKUP!$A:$E,3,0),"")</f>
      </c>
      <c r="H7962" s="28">
        <f>IFERROR(VLOOKUP(F7962,CARTON_LOOKUP!$A:$E,4,0),"")</f>
      </c>
      <c r="I7962" s="28">
        <f>IFERROR(VLOOKUP(F7962,CARTON_LOOKUP!$A:$E,5,0),"")</f>
      </c>
      <c r="J7962" s="29">
        <f>IFERROR(VLOOKUP(F7962,CARTON_LOOKUP!$A:$E,2,0),"")</f>
      </c>
      <c r="K7962" s="29">
        <f>IFERROR(J7962*D7962,0)</f>
      </c>
      <c r="L7962" s="29">
        <f>IFERROR(E7962*C7962,0)</f>
      </c>
      <c r="M7962" s="29">
        <f>IFERROR((G7962*H7962*I7962/1000000)*D7962,0)</f>
      </c>
    </row>
    <row r="7963" spans="1:13" x14ac:dyDescent="0.25">
      <c r="A7963" s="16"/>
      <c r="E7963" s="27"/>
      <c r="F7963" t="s">
        <v>26</v>
      </c>
      <c r="G7963" s="28">
        <f>IFERROR(VLOOKUP(F7963,CARTON_LOOKUP!$A:$E,3,0),"")</f>
      </c>
      <c r="H7963" s="28">
        <f>IFERROR(VLOOKUP(F7963,CARTON_LOOKUP!$A:$E,4,0),"")</f>
      </c>
      <c r="I7963" s="28">
        <f>IFERROR(VLOOKUP(F7963,CARTON_LOOKUP!$A:$E,5,0),"")</f>
      </c>
      <c r="J7963" s="29">
        <f>IFERROR(VLOOKUP(F7963,CARTON_LOOKUP!$A:$E,2,0),"")</f>
      </c>
      <c r="K7963" s="29">
        <f>IFERROR(J7963*D7963,0)</f>
      </c>
      <c r="L7963" s="29">
        <f>IFERROR(E7963*C7963,0)</f>
      </c>
      <c r="M7963" s="29">
        <f>IFERROR((G7963*H7963*I7963/1000000)*D7963,0)</f>
      </c>
    </row>
    <row r="7964" spans="1:13" x14ac:dyDescent="0.25">
      <c r="A7964" s="16"/>
      <c r="E7964" s="27"/>
      <c r="F7964" t="s">
        <v>26</v>
      </c>
      <c r="G7964" s="28">
        <f>IFERROR(VLOOKUP(F7964,CARTON_LOOKUP!$A:$E,3,0),"")</f>
      </c>
      <c r="H7964" s="28">
        <f>IFERROR(VLOOKUP(F7964,CARTON_LOOKUP!$A:$E,4,0),"")</f>
      </c>
      <c r="I7964" s="28">
        <f>IFERROR(VLOOKUP(F7964,CARTON_LOOKUP!$A:$E,5,0),"")</f>
      </c>
      <c r="J7964" s="29">
        <f>IFERROR(VLOOKUP(F7964,CARTON_LOOKUP!$A:$E,2,0),"")</f>
      </c>
      <c r="K7964" s="29">
        <f>IFERROR(J7964*D7964,0)</f>
      </c>
      <c r="L7964" s="29">
        <f>IFERROR(E7964*C7964,0)</f>
      </c>
      <c r="M7964" s="29">
        <f>IFERROR((G7964*H7964*I7964/1000000)*D7964,0)</f>
      </c>
    </row>
    <row r="7965" spans="1:13" x14ac:dyDescent="0.25">
      <c r="A7965" s="16"/>
      <c r="E7965" s="27"/>
      <c r="F7965" t="s">
        <v>26</v>
      </c>
      <c r="G7965" s="28">
        <f>IFERROR(VLOOKUP(F7965,CARTON_LOOKUP!$A:$E,3,0),"")</f>
      </c>
      <c r="H7965" s="28">
        <f>IFERROR(VLOOKUP(F7965,CARTON_LOOKUP!$A:$E,4,0),"")</f>
      </c>
      <c r="I7965" s="28">
        <f>IFERROR(VLOOKUP(F7965,CARTON_LOOKUP!$A:$E,5,0),"")</f>
      </c>
      <c r="J7965" s="29">
        <f>IFERROR(VLOOKUP(F7965,CARTON_LOOKUP!$A:$E,2,0),"")</f>
      </c>
      <c r="K7965" s="29">
        <f>IFERROR(J7965*D7965,0)</f>
      </c>
      <c r="L7965" s="29">
        <f>IFERROR(E7965*C7965,0)</f>
      </c>
      <c r="M7965" s="29">
        <f>IFERROR((G7965*H7965*I7965/1000000)*D7965,0)</f>
      </c>
    </row>
    <row r="7966" spans="1:13" x14ac:dyDescent="0.25">
      <c r="A7966" s="16"/>
      <c r="E7966" s="27"/>
      <c r="F7966" t="s">
        <v>26</v>
      </c>
      <c r="G7966" s="28">
        <f>IFERROR(VLOOKUP(F7966,CARTON_LOOKUP!$A:$E,3,0),"")</f>
      </c>
      <c r="H7966" s="28">
        <f>IFERROR(VLOOKUP(F7966,CARTON_LOOKUP!$A:$E,4,0),"")</f>
      </c>
      <c r="I7966" s="28">
        <f>IFERROR(VLOOKUP(F7966,CARTON_LOOKUP!$A:$E,5,0),"")</f>
      </c>
      <c r="J7966" s="29">
        <f>IFERROR(VLOOKUP(F7966,CARTON_LOOKUP!$A:$E,2,0),"")</f>
      </c>
      <c r="K7966" s="29">
        <f>IFERROR(J7966*D7966,0)</f>
      </c>
      <c r="L7966" s="29">
        <f>IFERROR(E7966*C7966,0)</f>
      </c>
      <c r="M7966" s="29">
        <f>IFERROR((G7966*H7966*I7966/1000000)*D7966,0)</f>
      </c>
    </row>
    <row r="7967" spans="1:13" x14ac:dyDescent="0.25">
      <c r="A7967" s="16"/>
      <c r="E7967" s="27"/>
      <c r="F7967" t="s">
        <v>26</v>
      </c>
      <c r="G7967" s="28">
        <f>IFERROR(VLOOKUP(F7967,CARTON_LOOKUP!$A:$E,3,0),"")</f>
      </c>
      <c r="H7967" s="28">
        <f>IFERROR(VLOOKUP(F7967,CARTON_LOOKUP!$A:$E,4,0),"")</f>
      </c>
      <c r="I7967" s="28">
        <f>IFERROR(VLOOKUP(F7967,CARTON_LOOKUP!$A:$E,5,0),"")</f>
      </c>
      <c r="J7967" s="29">
        <f>IFERROR(VLOOKUP(F7967,CARTON_LOOKUP!$A:$E,2,0),"")</f>
      </c>
      <c r="K7967" s="29">
        <f>IFERROR(J7967*D7967,0)</f>
      </c>
      <c r="L7967" s="29">
        <f>IFERROR(E7967*C7967,0)</f>
      </c>
      <c r="M7967" s="29">
        <f>IFERROR((G7967*H7967*I7967/1000000)*D7967,0)</f>
      </c>
    </row>
    <row r="7968" spans="1:13" x14ac:dyDescent="0.25">
      <c r="A7968" s="16"/>
      <c r="E7968" s="27"/>
      <c r="F7968" t="s">
        <v>26</v>
      </c>
      <c r="G7968" s="28">
        <f>IFERROR(VLOOKUP(F7968,CARTON_LOOKUP!$A:$E,3,0),"")</f>
      </c>
      <c r="H7968" s="28">
        <f>IFERROR(VLOOKUP(F7968,CARTON_LOOKUP!$A:$E,4,0),"")</f>
      </c>
      <c r="I7968" s="28">
        <f>IFERROR(VLOOKUP(F7968,CARTON_LOOKUP!$A:$E,5,0),"")</f>
      </c>
      <c r="J7968" s="29">
        <f>IFERROR(VLOOKUP(F7968,CARTON_LOOKUP!$A:$E,2,0),"")</f>
      </c>
      <c r="K7968" s="29">
        <f>IFERROR(J7968*D7968,0)</f>
      </c>
      <c r="L7968" s="29">
        <f>IFERROR(E7968*C7968,0)</f>
      </c>
      <c r="M7968" s="29">
        <f>IFERROR((G7968*H7968*I7968/1000000)*D7968,0)</f>
      </c>
    </row>
    <row r="7969" spans="1:13" x14ac:dyDescent="0.25">
      <c r="A7969" s="16"/>
      <c r="E7969" s="27"/>
      <c r="F7969" t="s">
        <v>26</v>
      </c>
      <c r="G7969" s="28">
        <f>IFERROR(VLOOKUP(F7969,CARTON_LOOKUP!$A:$E,3,0),"")</f>
      </c>
      <c r="H7969" s="28">
        <f>IFERROR(VLOOKUP(F7969,CARTON_LOOKUP!$A:$E,4,0),"")</f>
      </c>
      <c r="I7969" s="28">
        <f>IFERROR(VLOOKUP(F7969,CARTON_LOOKUP!$A:$E,5,0),"")</f>
      </c>
      <c r="J7969" s="29">
        <f>IFERROR(VLOOKUP(F7969,CARTON_LOOKUP!$A:$E,2,0),"")</f>
      </c>
      <c r="K7969" s="29">
        <f>IFERROR(J7969*D7969,0)</f>
      </c>
      <c r="L7969" s="29">
        <f>IFERROR(E7969*C7969,0)</f>
      </c>
      <c r="M7969" s="29">
        <f>IFERROR((G7969*H7969*I7969/1000000)*D7969,0)</f>
      </c>
    </row>
    <row r="7970" spans="1:13" x14ac:dyDescent="0.25">
      <c r="A7970" s="16"/>
      <c r="E7970" s="27"/>
      <c r="F7970" t="s">
        <v>26</v>
      </c>
      <c r="G7970" s="28">
        <f>IFERROR(VLOOKUP(F7970,CARTON_LOOKUP!$A:$E,3,0),"")</f>
      </c>
      <c r="H7970" s="28">
        <f>IFERROR(VLOOKUP(F7970,CARTON_LOOKUP!$A:$E,4,0),"")</f>
      </c>
      <c r="I7970" s="28">
        <f>IFERROR(VLOOKUP(F7970,CARTON_LOOKUP!$A:$E,5,0),"")</f>
      </c>
      <c r="J7970" s="29">
        <f>IFERROR(VLOOKUP(F7970,CARTON_LOOKUP!$A:$E,2,0),"")</f>
      </c>
      <c r="K7970" s="29">
        <f>IFERROR(J7970*D7970,0)</f>
      </c>
      <c r="L7970" s="29">
        <f>IFERROR(E7970*C7970,0)</f>
      </c>
      <c r="M7970" s="29">
        <f>IFERROR((G7970*H7970*I7970/1000000)*D7970,0)</f>
      </c>
    </row>
    <row r="7971" spans="1:13" x14ac:dyDescent="0.25">
      <c r="A7971" s="16"/>
      <c r="E7971" s="27"/>
      <c r="F7971" t="s">
        <v>26</v>
      </c>
      <c r="G7971" s="28">
        <f>IFERROR(VLOOKUP(F7971,CARTON_LOOKUP!$A:$E,3,0),"")</f>
      </c>
      <c r="H7971" s="28">
        <f>IFERROR(VLOOKUP(F7971,CARTON_LOOKUP!$A:$E,4,0),"")</f>
      </c>
      <c r="I7971" s="28">
        <f>IFERROR(VLOOKUP(F7971,CARTON_LOOKUP!$A:$E,5,0),"")</f>
      </c>
      <c r="J7971" s="29">
        <f>IFERROR(VLOOKUP(F7971,CARTON_LOOKUP!$A:$E,2,0),"")</f>
      </c>
      <c r="K7971" s="29">
        <f>IFERROR(J7971*D7971,0)</f>
      </c>
      <c r="L7971" s="29">
        <f>IFERROR(E7971*C7971,0)</f>
      </c>
      <c r="M7971" s="29">
        <f>IFERROR((G7971*H7971*I7971/1000000)*D7971,0)</f>
      </c>
    </row>
    <row r="7972" spans="1:13" x14ac:dyDescent="0.25">
      <c r="A7972" s="16"/>
      <c r="E7972" s="27"/>
      <c r="F7972" t="s">
        <v>26</v>
      </c>
      <c r="G7972" s="28">
        <f>IFERROR(VLOOKUP(F7972,CARTON_LOOKUP!$A:$E,3,0),"")</f>
      </c>
      <c r="H7972" s="28">
        <f>IFERROR(VLOOKUP(F7972,CARTON_LOOKUP!$A:$E,4,0),"")</f>
      </c>
      <c r="I7972" s="28">
        <f>IFERROR(VLOOKUP(F7972,CARTON_LOOKUP!$A:$E,5,0),"")</f>
      </c>
      <c r="J7972" s="29">
        <f>IFERROR(VLOOKUP(F7972,CARTON_LOOKUP!$A:$E,2,0),"")</f>
      </c>
      <c r="K7972" s="29">
        <f>IFERROR(J7972*D7972,0)</f>
      </c>
      <c r="L7972" s="29">
        <f>IFERROR(E7972*C7972,0)</f>
      </c>
      <c r="M7972" s="29">
        <f>IFERROR((G7972*H7972*I7972/1000000)*D7972,0)</f>
      </c>
    </row>
    <row r="7973" spans="1:13" x14ac:dyDescent="0.25">
      <c r="A7973" s="16"/>
      <c r="E7973" s="27"/>
      <c r="F7973" t="s">
        <v>26</v>
      </c>
      <c r="G7973" s="28">
        <f>IFERROR(VLOOKUP(F7973,CARTON_LOOKUP!$A:$E,3,0),"")</f>
      </c>
      <c r="H7973" s="28">
        <f>IFERROR(VLOOKUP(F7973,CARTON_LOOKUP!$A:$E,4,0),"")</f>
      </c>
      <c r="I7973" s="28">
        <f>IFERROR(VLOOKUP(F7973,CARTON_LOOKUP!$A:$E,5,0),"")</f>
      </c>
      <c r="J7973" s="29">
        <f>IFERROR(VLOOKUP(F7973,CARTON_LOOKUP!$A:$E,2,0),"")</f>
      </c>
      <c r="K7973" s="29">
        <f>IFERROR(J7973*D7973,0)</f>
      </c>
      <c r="L7973" s="29">
        <f>IFERROR(E7973*C7973,0)</f>
      </c>
      <c r="M7973" s="29">
        <f>IFERROR((G7973*H7973*I7973/1000000)*D7973,0)</f>
      </c>
    </row>
    <row r="7974" spans="1:13" x14ac:dyDescent="0.25">
      <c r="A7974" s="16"/>
      <c r="E7974" s="27"/>
      <c r="F7974" t="s">
        <v>26</v>
      </c>
      <c r="G7974" s="28">
        <f>IFERROR(VLOOKUP(F7974,CARTON_LOOKUP!$A:$E,3,0),"")</f>
      </c>
      <c r="H7974" s="28">
        <f>IFERROR(VLOOKUP(F7974,CARTON_LOOKUP!$A:$E,4,0),"")</f>
      </c>
      <c r="I7974" s="28">
        <f>IFERROR(VLOOKUP(F7974,CARTON_LOOKUP!$A:$E,5,0),"")</f>
      </c>
      <c r="J7974" s="29">
        <f>IFERROR(VLOOKUP(F7974,CARTON_LOOKUP!$A:$E,2,0),"")</f>
      </c>
      <c r="K7974" s="29">
        <f>IFERROR(J7974*D7974,0)</f>
      </c>
      <c r="L7974" s="29">
        <f>IFERROR(E7974*C7974,0)</f>
      </c>
      <c r="M7974" s="29">
        <f>IFERROR((G7974*H7974*I7974/1000000)*D7974,0)</f>
      </c>
    </row>
    <row r="7975" spans="1:13" x14ac:dyDescent="0.25">
      <c r="A7975" s="16"/>
      <c r="E7975" s="27"/>
      <c r="F7975" t="s">
        <v>26</v>
      </c>
      <c r="G7975" s="28">
        <f>IFERROR(VLOOKUP(F7975,CARTON_LOOKUP!$A:$E,3,0),"")</f>
      </c>
      <c r="H7975" s="28">
        <f>IFERROR(VLOOKUP(F7975,CARTON_LOOKUP!$A:$E,4,0),"")</f>
      </c>
      <c r="I7975" s="28">
        <f>IFERROR(VLOOKUP(F7975,CARTON_LOOKUP!$A:$E,5,0),"")</f>
      </c>
      <c r="J7975" s="29">
        <f>IFERROR(VLOOKUP(F7975,CARTON_LOOKUP!$A:$E,2,0),"")</f>
      </c>
      <c r="K7975" s="29">
        <f>IFERROR(J7975*D7975,0)</f>
      </c>
      <c r="L7975" s="29">
        <f>IFERROR(E7975*C7975,0)</f>
      </c>
      <c r="M7975" s="29">
        <f>IFERROR((G7975*H7975*I7975/1000000)*D7975,0)</f>
      </c>
    </row>
    <row r="7976" spans="1:13" x14ac:dyDescent="0.25">
      <c r="A7976" s="16"/>
      <c r="E7976" s="27"/>
      <c r="F7976" t="s">
        <v>26</v>
      </c>
      <c r="G7976" s="28">
        <f>IFERROR(VLOOKUP(F7976,CARTON_LOOKUP!$A:$E,3,0),"")</f>
      </c>
      <c r="H7976" s="28">
        <f>IFERROR(VLOOKUP(F7976,CARTON_LOOKUP!$A:$E,4,0),"")</f>
      </c>
      <c r="I7976" s="28">
        <f>IFERROR(VLOOKUP(F7976,CARTON_LOOKUP!$A:$E,5,0),"")</f>
      </c>
      <c r="J7976" s="29">
        <f>IFERROR(VLOOKUP(F7976,CARTON_LOOKUP!$A:$E,2,0),"")</f>
      </c>
      <c r="K7976" s="29">
        <f>IFERROR(J7976*D7976,0)</f>
      </c>
      <c r="L7976" s="29">
        <f>IFERROR(E7976*C7976,0)</f>
      </c>
      <c r="M7976" s="29">
        <f>IFERROR((G7976*H7976*I7976/1000000)*D7976,0)</f>
      </c>
    </row>
    <row r="7977" spans="1:13" x14ac:dyDescent="0.25">
      <c r="A7977" s="16"/>
      <c r="E7977" s="27"/>
      <c r="F7977" t="s">
        <v>26</v>
      </c>
      <c r="G7977" s="28">
        <f>IFERROR(VLOOKUP(F7977,CARTON_LOOKUP!$A:$E,3,0),"")</f>
      </c>
      <c r="H7977" s="28">
        <f>IFERROR(VLOOKUP(F7977,CARTON_LOOKUP!$A:$E,4,0),"")</f>
      </c>
      <c r="I7977" s="28">
        <f>IFERROR(VLOOKUP(F7977,CARTON_LOOKUP!$A:$E,5,0),"")</f>
      </c>
      <c r="J7977" s="29">
        <f>IFERROR(VLOOKUP(F7977,CARTON_LOOKUP!$A:$E,2,0),"")</f>
      </c>
      <c r="K7977" s="29">
        <f>IFERROR(J7977*D7977,0)</f>
      </c>
      <c r="L7977" s="29">
        <f>IFERROR(E7977*C7977,0)</f>
      </c>
      <c r="M7977" s="29">
        <f>IFERROR((G7977*H7977*I7977/1000000)*D7977,0)</f>
      </c>
    </row>
    <row r="7978" spans="1:13" x14ac:dyDescent="0.25">
      <c r="A7978" s="16"/>
      <c r="E7978" s="27"/>
      <c r="F7978" t="s">
        <v>26</v>
      </c>
      <c r="G7978" s="28">
        <f>IFERROR(VLOOKUP(F7978,CARTON_LOOKUP!$A:$E,3,0),"")</f>
      </c>
      <c r="H7978" s="28">
        <f>IFERROR(VLOOKUP(F7978,CARTON_LOOKUP!$A:$E,4,0),"")</f>
      </c>
      <c r="I7978" s="28">
        <f>IFERROR(VLOOKUP(F7978,CARTON_LOOKUP!$A:$E,5,0),"")</f>
      </c>
      <c r="J7978" s="29">
        <f>IFERROR(VLOOKUP(F7978,CARTON_LOOKUP!$A:$E,2,0),"")</f>
      </c>
      <c r="K7978" s="29">
        <f>IFERROR(J7978*D7978,0)</f>
      </c>
      <c r="L7978" s="29">
        <f>IFERROR(E7978*C7978,0)</f>
      </c>
      <c r="M7978" s="29">
        <f>IFERROR((G7978*H7978*I7978/1000000)*D7978,0)</f>
      </c>
    </row>
    <row r="7979" spans="1:13" x14ac:dyDescent="0.25">
      <c r="A7979" s="16"/>
      <c r="E7979" s="27"/>
      <c r="F7979" t="s">
        <v>26</v>
      </c>
      <c r="G7979" s="28">
        <f>IFERROR(VLOOKUP(F7979,CARTON_LOOKUP!$A:$E,3,0),"")</f>
      </c>
      <c r="H7979" s="28">
        <f>IFERROR(VLOOKUP(F7979,CARTON_LOOKUP!$A:$E,4,0),"")</f>
      </c>
      <c r="I7979" s="28">
        <f>IFERROR(VLOOKUP(F7979,CARTON_LOOKUP!$A:$E,5,0),"")</f>
      </c>
      <c r="J7979" s="29">
        <f>IFERROR(VLOOKUP(F7979,CARTON_LOOKUP!$A:$E,2,0),"")</f>
      </c>
      <c r="K7979" s="29">
        <f>IFERROR(J7979*D7979,0)</f>
      </c>
      <c r="L7979" s="29">
        <f>IFERROR(E7979*C7979,0)</f>
      </c>
      <c r="M7979" s="29">
        <f>IFERROR((G7979*H7979*I7979/1000000)*D7979,0)</f>
      </c>
    </row>
    <row r="7980" spans="1:13" x14ac:dyDescent="0.25">
      <c r="A7980" s="16"/>
      <c r="E7980" s="27"/>
      <c r="F7980" t="s">
        <v>26</v>
      </c>
      <c r="G7980" s="28">
        <f>IFERROR(VLOOKUP(F7980,CARTON_LOOKUP!$A:$E,3,0),"")</f>
      </c>
      <c r="H7980" s="28">
        <f>IFERROR(VLOOKUP(F7980,CARTON_LOOKUP!$A:$E,4,0),"")</f>
      </c>
      <c r="I7980" s="28">
        <f>IFERROR(VLOOKUP(F7980,CARTON_LOOKUP!$A:$E,5,0),"")</f>
      </c>
      <c r="J7980" s="29">
        <f>IFERROR(VLOOKUP(F7980,CARTON_LOOKUP!$A:$E,2,0),"")</f>
      </c>
      <c r="K7980" s="29">
        <f>IFERROR(J7980*D7980,0)</f>
      </c>
      <c r="L7980" s="29">
        <f>IFERROR(E7980*C7980,0)</f>
      </c>
      <c r="M7980" s="29">
        <f>IFERROR((G7980*H7980*I7980/1000000)*D7980,0)</f>
      </c>
    </row>
    <row r="7981" spans="1:13" x14ac:dyDescent="0.25">
      <c r="A7981" s="16"/>
      <c r="E7981" s="27"/>
      <c r="F7981" t="s">
        <v>26</v>
      </c>
      <c r="G7981" s="28">
        <f>IFERROR(VLOOKUP(F7981,CARTON_LOOKUP!$A:$E,3,0),"")</f>
      </c>
      <c r="H7981" s="28">
        <f>IFERROR(VLOOKUP(F7981,CARTON_LOOKUP!$A:$E,4,0),"")</f>
      </c>
      <c r="I7981" s="28">
        <f>IFERROR(VLOOKUP(F7981,CARTON_LOOKUP!$A:$E,5,0),"")</f>
      </c>
      <c r="J7981" s="29">
        <f>IFERROR(VLOOKUP(F7981,CARTON_LOOKUP!$A:$E,2,0),"")</f>
      </c>
      <c r="K7981" s="29">
        <f>IFERROR(J7981*D7981,0)</f>
      </c>
      <c r="L7981" s="29">
        <f>IFERROR(E7981*C7981,0)</f>
      </c>
      <c r="M7981" s="29">
        <f>IFERROR((G7981*H7981*I7981/1000000)*D7981,0)</f>
      </c>
    </row>
    <row r="7982" spans="1:13" x14ac:dyDescent="0.25">
      <c r="A7982" s="16"/>
      <c r="E7982" s="27"/>
      <c r="F7982" t="s">
        <v>26</v>
      </c>
      <c r="G7982" s="28">
        <f>IFERROR(VLOOKUP(F7982,CARTON_LOOKUP!$A:$E,3,0),"")</f>
      </c>
      <c r="H7982" s="28">
        <f>IFERROR(VLOOKUP(F7982,CARTON_LOOKUP!$A:$E,4,0),"")</f>
      </c>
      <c r="I7982" s="28">
        <f>IFERROR(VLOOKUP(F7982,CARTON_LOOKUP!$A:$E,5,0),"")</f>
      </c>
      <c r="J7982" s="29">
        <f>IFERROR(VLOOKUP(F7982,CARTON_LOOKUP!$A:$E,2,0),"")</f>
      </c>
      <c r="K7982" s="29">
        <f>IFERROR(J7982*D7982,0)</f>
      </c>
      <c r="L7982" s="29">
        <f>IFERROR(E7982*C7982,0)</f>
      </c>
      <c r="M7982" s="29">
        <f>IFERROR((G7982*H7982*I7982/1000000)*D7982,0)</f>
      </c>
    </row>
    <row r="7983" spans="1:13" x14ac:dyDescent="0.25">
      <c r="A7983" s="16"/>
      <c r="E7983" s="27"/>
      <c r="F7983" t="s">
        <v>26</v>
      </c>
      <c r="G7983" s="28">
        <f>IFERROR(VLOOKUP(F7983,CARTON_LOOKUP!$A:$E,3,0),"")</f>
      </c>
      <c r="H7983" s="28">
        <f>IFERROR(VLOOKUP(F7983,CARTON_LOOKUP!$A:$E,4,0),"")</f>
      </c>
      <c r="I7983" s="28">
        <f>IFERROR(VLOOKUP(F7983,CARTON_LOOKUP!$A:$E,5,0),"")</f>
      </c>
      <c r="J7983" s="29">
        <f>IFERROR(VLOOKUP(F7983,CARTON_LOOKUP!$A:$E,2,0),"")</f>
      </c>
      <c r="K7983" s="29">
        <f>IFERROR(J7983*D7983,0)</f>
      </c>
      <c r="L7983" s="29">
        <f>IFERROR(E7983*C7983,0)</f>
      </c>
      <c r="M7983" s="29">
        <f>IFERROR((G7983*H7983*I7983/1000000)*D7983,0)</f>
      </c>
    </row>
    <row r="7984" spans="1:13" x14ac:dyDescent="0.25">
      <c r="A7984" s="16"/>
      <c r="E7984" s="27"/>
      <c r="F7984" t="s">
        <v>26</v>
      </c>
      <c r="G7984" s="28">
        <f>IFERROR(VLOOKUP(F7984,CARTON_LOOKUP!$A:$E,3,0),"")</f>
      </c>
      <c r="H7984" s="28">
        <f>IFERROR(VLOOKUP(F7984,CARTON_LOOKUP!$A:$E,4,0),"")</f>
      </c>
      <c r="I7984" s="28">
        <f>IFERROR(VLOOKUP(F7984,CARTON_LOOKUP!$A:$E,5,0),"")</f>
      </c>
      <c r="J7984" s="29">
        <f>IFERROR(VLOOKUP(F7984,CARTON_LOOKUP!$A:$E,2,0),"")</f>
      </c>
      <c r="K7984" s="29">
        <f>IFERROR(J7984*D7984,0)</f>
      </c>
      <c r="L7984" s="29">
        <f>IFERROR(E7984*C7984,0)</f>
      </c>
      <c r="M7984" s="29">
        <f>IFERROR((G7984*H7984*I7984/1000000)*D7984,0)</f>
      </c>
    </row>
    <row r="7985" spans="1:13" x14ac:dyDescent="0.25">
      <c r="A7985" s="16"/>
      <c r="E7985" s="27"/>
      <c r="F7985" t="s">
        <v>26</v>
      </c>
      <c r="G7985" s="28">
        <f>IFERROR(VLOOKUP(F7985,CARTON_LOOKUP!$A:$E,3,0),"")</f>
      </c>
      <c r="H7985" s="28">
        <f>IFERROR(VLOOKUP(F7985,CARTON_LOOKUP!$A:$E,4,0),"")</f>
      </c>
      <c r="I7985" s="28">
        <f>IFERROR(VLOOKUP(F7985,CARTON_LOOKUP!$A:$E,5,0),"")</f>
      </c>
      <c r="J7985" s="29">
        <f>IFERROR(VLOOKUP(F7985,CARTON_LOOKUP!$A:$E,2,0),"")</f>
      </c>
      <c r="K7985" s="29">
        <f>IFERROR(J7985*D7985,0)</f>
      </c>
      <c r="L7985" s="29">
        <f>IFERROR(E7985*C7985,0)</f>
      </c>
      <c r="M7985" s="29">
        <f>IFERROR((G7985*H7985*I7985/1000000)*D7985,0)</f>
      </c>
    </row>
    <row r="7986" spans="1:13" x14ac:dyDescent="0.25">
      <c r="A7986" s="16"/>
      <c r="E7986" s="27"/>
      <c r="F7986" t="s">
        <v>26</v>
      </c>
      <c r="G7986" s="28">
        <f>IFERROR(VLOOKUP(F7986,CARTON_LOOKUP!$A:$E,3,0),"")</f>
      </c>
      <c r="H7986" s="28">
        <f>IFERROR(VLOOKUP(F7986,CARTON_LOOKUP!$A:$E,4,0),"")</f>
      </c>
      <c r="I7986" s="28">
        <f>IFERROR(VLOOKUP(F7986,CARTON_LOOKUP!$A:$E,5,0),"")</f>
      </c>
      <c r="J7986" s="29">
        <f>IFERROR(VLOOKUP(F7986,CARTON_LOOKUP!$A:$E,2,0),"")</f>
      </c>
      <c r="K7986" s="29">
        <f>IFERROR(J7986*D7986,0)</f>
      </c>
      <c r="L7986" s="29">
        <f>IFERROR(E7986*C7986,0)</f>
      </c>
      <c r="M7986" s="29">
        <f>IFERROR((G7986*H7986*I7986/1000000)*D7986,0)</f>
      </c>
    </row>
    <row r="7987" spans="1:13" x14ac:dyDescent="0.25">
      <c r="A7987" s="16"/>
      <c r="E7987" s="27"/>
      <c r="F7987" t="s">
        <v>26</v>
      </c>
      <c r="G7987" s="28">
        <f>IFERROR(VLOOKUP(F7987,CARTON_LOOKUP!$A:$E,3,0),"")</f>
      </c>
      <c r="H7987" s="28">
        <f>IFERROR(VLOOKUP(F7987,CARTON_LOOKUP!$A:$E,4,0),"")</f>
      </c>
      <c r="I7987" s="28">
        <f>IFERROR(VLOOKUP(F7987,CARTON_LOOKUP!$A:$E,5,0),"")</f>
      </c>
      <c r="J7987" s="29">
        <f>IFERROR(VLOOKUP(F7987,CARTON_LOOKUP!$A:$E,2,0),"")</f>
      </c>
      <c r="K7987" s="29">
        <f>IFERROR(J7987*D7987,0)</f>
      </c>
      <c r="L7987" s="29">
        <f>IFERROR(E7987*C7987,0)</f>
      </c>
      <c r="M7987" s="29">
        <f>IFERROR((G7987*H7987*I7987/1000000)*D7987,0)</f>
      </c>
    </row>
    <row r="7988" spans="1:13" x14ac:dyDescent="0.25">
      <c r="A7988" s="16"/>
      <c r="E7988" s="27"/>
      <c r="F7988" t="s">
        <v>26</v>
      </c>
      <c r="G7988" s="28">
        <f>IFERROR(VLOOKUP(F7988,CARTON_LOOKUP!$A:$E,3,0),"")</f>
      </c>
      <c r="H7988" s="28">
        <f>IFERROR(VLOOKUP(F7988,CARTON_LOOKUP!$A:$E,4,0),"")</f>
      </c>
      <c r="I7988" s="28">
        <f>IFERROR(VLOOKUP(F7988,CARTON_LOOKUP!$A:$E,5,0),"")</f>
      </c>
      <c r="J7988" s="29">
        <f>IFERROR(VLOOKUP(F7988,CARTON_LOOKUP!$A:$E,2,0),"")</f>
      </c>
      <c r="K7988" s="29">
        <f>IFERROR(J7988*D7988,0)</f>
      </c>
      <c r="L7988" s="29">
        <f>IFERROR(E7988*C7988,0)</f>
      </c>
      <c r="M7988" s="29">
        <f>IFERROR((G7988*H7988*I7988/1000000)*D7988,0)</f>
      </c>
    </row>
    <row r="7989" spans="1:13" x14ac:dyDescent="0.25">
      <c r="A7989" s="16"/>
      <c r="E7989" s="27"/>
      <c r="F7989" t="s">
        <v>26</v>
      </c>
      <c r="G7989" s="28">
        <f>IFERROR(VLOOKUP(F7989,CARTON_LOOKUP!$A:$E,3,0),"")</f>
      </c>
      <c r="H7989" s="28">
        <f>IFERROR(VLOOKUP(F7989,CARTON_LOOKUP!$A:$E,4,0),"")</f>
      </c>
      <c r="I7989" s="28">
        <f>IFERROR(VLOOKUP(F7989,CARTON_LOOKUP!$A:$E,5,0),"")</f>
      </c>
      <c r="J7989" s="29">
        <f>IFERROR(VLOOKUP(F7989,CARTON_LOOKUP!$A:$E,2,0),"")</f>
      </c>
      <c r="K7989" s="29">
        <f>IFERROR(J7989*D7989,0)</f>
      </c>
      <c r="L7989" s="29">
        <f>IFERROR(E7989*C7989,0)</f>
      </c>
      <c r="M7989" s="29">
        <f>IFERROR((G7989*H7989*I7989/1000000)*D7989,0)</f>
      </c>
    </row>
    <row r="7990" spans="1:13" x14ac:dyDescent="0.25">
      <c r="A7990" s="16"/>
      <c r="E7990" s="27"/>
      <c r="F7990" t="s">
        <v>26</v>
      </c>
      <c r="G7990" s="28">
        <f>IFERROR(VLOOKUP(F7990,CARTON_LOOKUP!$A:$E,3,0),"")</f>
      </c>
      <c r="H7990" s="28">
        <f>IFERROR(VLOOKUP(F7990,CARTON_LOOKUP!$A:$E,4,0),"")</f>
      </c>
      <c r="I7990" s="28">
        <f>IFERROR(VLOOKUP(F7990,CARTON_LOOKUP!$A:$E,5,0),"")</f>
      </c>
      <c r="J7990" s="29">
        <f>IFERROR(VLOOKUP(F7990,CARTON_LOOKUP!$A:$E,2,0),"")</f>
      </c>
      <c r="K7990" s="29">
        <f>IFERROR(J7990*D7990,0)</f>
      </c>
      <c r="L7990" s="29">
        <f>IFERROR(E7990*C7990,0)</f>
      </c>
      <c r="M7990" s="29">
        <f>IFERROR((G7990*H7990*I7990/1000000)*D7990,0)</f>
      </c>
    </row>
    <row r="7991" spans="1:13" x14ac:dyDescent="0.25">
      <c r="A7991" s="16"/>
      <c r="E7991" s="27"/>
      <c r="F7991" t="s">
        <v>26</v>
      </c>
      <c r="G7991" s="28">
        <f>IFERROR(VLOOKUP(F7991,CARTON_LOOKUP!$A:$E,3,0),"")</f>
      </c>
      <c r="H7991" s="28">
        <f>IFERROR(VLOOKUP(F7991,CARTON_LOOKUP!$A:$E,4,0),"")</f>
      </c>
      <c r="I7991" s="28">
        <f>IFERROR(VLOOKUP(F7991,CARTON_LOOKUP!$A:$E,5,0),"")</f>
      </c>
      <c r="J7991" s="29">
        <f>IFERROR(VLOOKUP(F7991,CARTON_LOOKUP!$A:$E,2,0),"")</f>
      </c>
      <c r="K7991" s="29">
        <f>IFERROR(J7991*D7991,0)</f>
      </c>
      <c r="L7991" s="29">
        <f>IFERROR(E7991*C7991,0)</f>
      </c>
      <c r="M7991" s="29">
        <f>IFERROR((G7991*H7991*I7991/1000000)*D7991,0)</f>
      </c>
    </row>
    <row r="7992" spans="1:13" x14ac:dyDescent="0.25">
      <c r="A7992" s="16"/>
      <c r="E7992" s="27"/>
      <c r="F7992" t="s">
        <v>26</v>
      </c>
      <c r="G7992" s="28">
        <f>IFERROR(VLOOKUP(F7992,CARTON_LOOKUP!$A:$E,3,0),"")</f>
      </c>
      <c r="H7992" s="28">
        <f>IFERROR(VLOOKUP(F7992,CARTON_LOOKUP!$A:$E,4,0),"")</f>
      </c>
      <c r="I7992" s="28">
        <f>IFERROR(VLOOKUP(F7992,CARTON_LOOKUP!$A:$E,5,0),"")</f>
      </c>
      <c r="J7992" s="29">
        <f>IFERROR(VLOOKUP(F7992,CARTON_LOOKUP!$A:$E,2,0),"")</f>
      </c>
      <c r="K7992" s="29">
        <f>IFERROR(J7992*D7992,0)</f>
      </c>
      <c r="L7992" s="29">
        <f>IFERROR(E7992*C7992,0)</f>
      </c>
      <c r="M7992" s="29">
        <f>IFERROR((G7992*H7992*I7992/1000000)*D7992,0)</f>
      </c>
    </row>
    <row r="7993" spans="1:13" x14ac:dyDescent="0.25">
      <c r="A7993" s="16"/>
      <c r="E7993" s="27"/>
      <c r="F7993" t="s">
        <v>26</v>
      </c>
      <c r="G7993" s="28">
        <f>IFERROR(VLOOKUP(F7993,CARTON_LOOKUP!$A:$E,3,0),"")</f>
      </c>
      <c r="H7993" s="28">
        <f>IFERROR(VLOOKUP(F7993,CARTON_LOOKUP!$A:$E,4,0),"")</f>
      </c>
      <c r="I7993" s="28">
        <f>IFERROR(VLOOKUP(F7993,CARTON_LOOKUP!$A:$E,5,0),"")</f>
      </c>
      <c r="J7993" s="29">
        <f>IFERROR(VLOOKUP(F7993,CARTON_LOOKUP!$A:$E,2,0),"")</f>
      </c>
      <c r="K7993" s="29">
        <f>IFERROR(J7993*D7993,0)</f>
      </c>
      <c r="L7993" s="29">
        <f>IFERROR(E7993*C7993,0)</f>
      </c>
      <c r="M7993" s="29">
        <f>IFERROR((G7993*H7993*I7993/1000000)*D7993,0)</f>
      </c>
    </row>
    <row r="7994" spans="1:13" x14ac:dyDescent="0.25">
      <c r="A7994" s="16"/>
      <c r="E7994" s="27"/>
      <c r="F7994" t="s">
        <v>26</v>
      </c>
      <c r="G7994" s="28">
        <f>IFERROR(VLOOKUP(F7994,CARTON_LOOKUP!$A:$E,3,0),"")</f>
      </c>
      <c r="H7994" s="28">
        <f>IFERROR(VLOOKUP(F7994,CARTON_LOOKUP!$A:$E,4,0),"")</f>
      </c>
      <c r="I7994" s="28">
        <f>IFERROR(VLOOKUP(F7994,CARTON_LOOKUP!$A:$E,5,0),"")</f>
      </c>
      <c r="J7994" s="29">
        <f>IFERROR(VLOOKUP(F7994,CARTON_LOOKUP!$A:$E,2,0),"")</f>
      </c>
      <c r="K7994" s="29">
        <f>IFERROR(J7994*D7994,0)</f>
      </c>
      <c r="L7994" s="29">
        <f>IFERROR(E7994*C7994,0)</f>
      </c>
      <c r="M7994" s="29">
        <f>IFERROR((G7994*H7994*I7994/1000000)*D7994,0)</f>
      </c>
    </row>
    <row r="7995" spans="1:13" x14ac:dyDescent="0.25">
      <c r="A7995" s="16"/>
      <c r="E7995" s="27"/>
      <c r="F7995" t="s">
        <v>26</v>
      </c>
      <c r="G7995" s="28">
        <f>IFERROR(VLOOKUP(F7995,CARTON_LOOKUP!$A:$E,3,0),"")</f>
      </c>
      <c r="H7995" s="28">
        <f>IFERROR(VLOOKUP(F7995,CARTON_LOOKUP!$A:$E,4,0),"")</f>
      </c>
      <c r="I7995" s="28">
        <f>IFERROR(VLOOKUP(F7995,CARTON_LOOKUP!$A:$E,5,0),"")</f>
      </c>
      <c r="J7995" s="29">
        <f>IFERROR(VLOOKUP(F7995,CARTON_LOOKUP!$A:$E,2,0),"")</f>
      </c>
      <c r="K7995" s="29">
        <f>IFERROR(J7995*D7995,0)</f>
      </c>
      <c r="L7995" s="29">
        <f>IFERROR(E7995*C7995,0)</f>
      </c>
      <c r="M7995" s="29">
        <f>IFERROR((G7995*H7995*I7995/1000000)*D7995,0)</f>
      </c>
    </row>
    <row r="7996" spans="1:13" x14ac:dyDescent="0.25">
      <c r="A7996" s="16"/>
      <c r="E7996" s="27"/>
      <c r="F7996" t="s">
        <v>26</v>
      </c>
      <c r="G7996" s="28">
        <f>IFERROR(VLOOKUP(F7996,CARTON_LOOKUP!$A:$E,3,0),"")</f>
      </c>
      <c r="H7996" s="28">
        <f>IFERROR(VLOOKUP(F7996,CARTON_LOOKUP!$A:$E,4,0),"")</f>
      </c>
      <c r="I7996" s="28">
        <f>IFERROR(VLOOKUP(F7996,CARTON_LOOKUP!$A:$E,5,0),"")</f>
      </c>
      <c r="J7996" s="29">
        <f>IFERROR(VLOOKUP(F7996,CARTON_LOOKUP!$A:$E,2,0),"")</f>
      </c>
      <c r="K7996" s="29">
        <f>IFERROR(J7996*D7996,0)</f>
      </c>
      <c r="L7996" s="29">
        <f>IFERROR(E7996*C7996,0)</f>
      </c>
      <c r="M7996" s="29">
        <f>IFERROR((G7996*H7996*I7996/1000000)*D7996,0)</f>
      </c>
    </row>
    <row r="7997" spans="1:13" x14ac:dyDescent="0.25">
      <c r="A7997" s="16"/>
      <c r="E7997" s="27"/>
      <c r="F7997" t="s">
        <v>26</v>
      </c>
      <c r="G7997" s="28">
        <f>IFERROR(VLOOKUP(F7997,CARTON_LOOKUP!$A:$E,3,0),"")</f>
      </c>
      <c r="H7997" s="28">
        <f>IFERROR(VLOOKUP(F7997,CARTON_LOOKUP!$A:$E,4,0),"")</f>
      </c>
      <c r="I7997" s="28">
        <f>IFERROR(VLOOKUP(F7997,CARTON_LOOKUP!$A:$E,5,0),"")</f>
      </c>
      <c r="J7997" s="29">
        <f>IFERROR(VLOOKUP(F7997,CARTON_LOOKUP!$A:$E,2,0),"")</f>
      </c>
      <c r="K7997" s="29">
        <f>IFERROR(J7997*D7997,0)</f>
      </c>
      <c r="L7997" s="29">
        <f>IFERROR(E7997*C7997,0)</f>
      </c>
      <c r="M7997" s="29">
        <f>IFERROR((G7997*H7997*I7997/1000000)*D7997,0)</f>
      </c>
    </row>
    <row r="7998" spans="1:13" x14ac:dyDescent="0.25">
      <c r="A7998" s="16"/>
      <c r="E7998" s="27"/>
      <c r="F7998" t="s">
        <v>26</v>
      </c>
      <c r="G7998" s="28">
        <f>IFERROR(VLOOKUP(F7998,CARTON_LOOKUP!$A:$E,3,0),"")</f>
      </c>
      <c r="H7998" s="28">
        <f>IFERROR(VLOOKUP(F7998,CARTON_LOOKUP!$A:$E,4,0),"")</f>
      </c>
      <c r="I7998" s="28">
        <f>IFERROR(VLOOKUP(F7998,CARTON_LOOKUP!$A:$E,5,0),"")</f>
      </c>
      <c r="J7998" s="29">
        <f>IFERROR(VLOOKUP(F7998,CARTON_LOOKUP!$A:$E,2,0),"")</f>
      </c>
      <c r="K7998" s="29">
        <f>IFERROR(J7998*D7998,0)</f>
      </c>
      <c r="L7998" s="29">
        <f>IFERROR(E7998*C7998,0)</f>
      </c>
      <c r="M7998" s="29">
        <f>IFERROR((G7998*H7998*I7998/1000000)*D7998,0)</f>
      </c>
    </row>
    <row r="7999" spans="1:13" x14ac:dyDescent="0.25">
      <c r="A7999" s="16"/>
      <c r="E7999" s="27"/>
      <c r="F7999" t="s">
        <v>26</v>
      </c>
      <c r="G7999" s="28">
        <f>IFERROR(VLOOKUP(F7999,CARTON_LOOKUP!$A:$E,3,0),"")</f>
      </c>
      <c r="H7999" s="28">
        <f>IFERROR(VLOOKUP(F7999,CARTON_LOOKUP!$A:$E,4,0),"")</f>
      </c>
      <c r="I7999" s="28">
        <f>IFERROR(VLOOKUP(F7999,CARTON_LOOKUP!$A:$E,5,0),"")</f>
      </c>
      <c r="J7999" s="29">
        <f>IFERROR(VLOOKUP(F7999,CARTON_LOOKUP!$A:$E,2,0),"")</f>
      </c>
      <c r="K7999" s="29">
        <f>IFERROR(J7999*D7999,0)</f>
      </c>
      <c r="L7999" s="29">
        <f>IFERROR(E7999*C7999,0)</f>
      </c>
      <c r="M7999" s="29">
        <f>IFERROR((G7999*H7999*I7999/1000000)*D7999,0)</f>
      </c>
    </row>
    <row r="8000" spans="1:13" x14ac:dyDescent="0.25">
      <c r="A8000" s="16"/>
      <c r="E8000" s="27"/>
      <c r="F8000" t="s">
        <v>26</v>
      </c>
      <c r="G8000" s="28">
        <f>IFERROR(VLOOKUP(F8000,CARTON_LOOKUP!$A:$E,3,0),"")</f>
      </c>
      <c r="H8000" s="28">
        <f>IFERROR(VLOOKUP(F8000,CARTON_LOOKUP!$A:$E,4,0),"")</f>
      </c>
      <c r="I8000" s="28">
        <f>IFERROR(VLOOKUP(F8000,CARTON_LOOKUP!$A:$E,5,0),"")</f>
      </c>
      <c r="J8000" s="29">
        <f>IFERROR(VLOOKUP(F8000,CARTON_LOOKUP!$A:$E,2,0),"")</f>
      </c>
      <c r="K8000" s="29">
        <f>IFERROR(J8000*D8000,0)</f>
      </c>
      <c r="L8000" s="29">
        <f>IFERROR(E8000*C8000,0)</f>
      </c>
      <c r="M8000" s="29">
        <f>IFERROR((G8000*H8000*I8000/1000000)*D8000,0)</f>
      </c>
    </row>
    <row r="8001" spans="1:13" x14ac:dyDescent="0.25">
      <c r="A8001" s="16"/>
      <c r="E8001" s="27"/>
      <c r="F8001" t="s">
        <v>26</v>
      </c>
      <c r="G8001" s="28">
        <f>IFERROR(VLOOKUP(F8001,CARTON_LOOKUP!$A:$E,3,0),"")</f>
      </c>
      <c r="H8001" s="28">
        <f>IFERROR(VLOOKUP(F8001,CARTON_LOOKUP!$A:$E,4,0),"")</f>
      </c>
      <c r="I8001" s="28">
        <f>IFERROR(VLOOKUP(F8001,CARTON_LOOKUP!$A:$E,5,0),"")</f>
      </c>
      <c r="J8001" s="29">
        <f>IFERROR(VLOOKUP(F8001,CARTON_LOOKUP!$A:$E,2,0),"")</f>
      </c>
      <c r="K8001" s="29">
        <f>IFERROR(J8001*D8001,0)</f>
      </c>
      <c r="L8001" s="29">
        <f>IFERROR(E8001*C8001,0)</f>
      </c>
      <c r="M8001" s="29">
        <f>IFERROR((G8001*H8001*I8001/1000000)*D8001,0)</f>
      </c>
    </row>
    <row r="8002" spans="1:13" x14ac:dyDescent="0.25">
      <c r="A8002" s="16"/>
      <c r="E8002" s="27"/>
      <c r="F8002" t="s">
        <v>26</v>
      </c>
      <c r="G8002" s="28">
        <f>IFERROR(VLOOKUP(F8002,CARTON_LOOKUP!$A:$E,3,0),"")</f>
      </c>
      <c r="H8002" s="28">
        <f>IFERROR(VLOOKUP(F8002,CARTON_LOOKUP!$A:$E,4,0),"")</f>
      </c>
      <c r="I8002" s="28">
        <f>IFERROR(VLOOKUP(F8002,CARTON_LOOKUP!$A:$E,5,0),"")</f>
      </c>
      <c r="J8002" s="29">
        <f>IFERROR(VLOOKUP(F8002,CARTON_LOOKUP!$A:$E,2,0),"")</f>
      </c>
      <c r="K8002" s="29">
        <f>IFERROR(J8002*D8002,0)</f>
      </c>
      <c r="L8002" s="29">
        <f>IFERROR(E8002*C8002,0)</f>
      </c>
      <c r="M8002" s="29">
        <f>IFERROR((G8002*H8002*I8002/1000000)*D8002,0)</f>
      </c>
    </row>
    <row r="8003" spans="1:13" x14ac:dyDescent="0.25">
      <c r="A8003" s="16"/>
      <c r="E8003" s="27"/>
      <c r="F8003" t="s">
        <v>26</v>
      </c>
      <c r="G8003" s="28">
        <f>IFERROR(VLOOKUP(F8003,CARTON_LOOKUP!$A:$E,3,0),"")</f>
      </c>
      <c r="H8003" s="28">
        <f>IFERROR(VLOOKUP(F8003,CARTON_LOOKUP!$A:$E,4,0),"")</f>
      </c>
      <c r="I8003" s="28">
        <f>IFERROR(VLOOKUP(F8003,CARTON_LOOKUP!$A:$E,5,0),"")</f>
      </c>
      <c r="J8003" s="29">
        <f>IFERROR(VLOOKUP(F8003,CARTON_LOOKUP!$A:$E,2,0),"")</f>
      </c>
      <c r="K8003" s="29">
        <f>IFERROR(J8003*D8003,0)</f>
      </c>
      <c r="L8003" s="29">
        <f>IFERROR(E8003*C8003,0)</f>
      </c>
      <c r="M8003" s="29">
        <f>IFERROR((G8003*H8003*I8003/1000000)*D8003,0)</f>
      </c>
    </row>
    <row r="8004" spans="1:13" x14ac:dyDescent="0.25">
      <c r="A8004" s="16"/>
      <c r="E8004" s="27"/>
      <c r="F8004" t="s">
        <v>26</v>
      </c>
      <c r="G8004" s="28">
        <f>IFERROR(VLOOKUP(F8004,CARTON_LOOKUP!$A:$E,3,0),"")</f>
      </c>
      <c r="H8004" s="28">
        <f>IFERROR(VLOOKUP(F8004,CARTON_LOOKUP!$A:$E,4,0),"")</f>
      </c>
      <c r="I8004" s="28">
        <f>IFERROR(VLOOKUP(F8004,CARTON_LOOKUP!$A:$E,5,0),"")</f>
      </c>
      <c r="J8004" s="29">
        <f>IFERROR(VLOOKUP(F8004,CARTON_LOOKUP!$A:$E,2,0),"")</f>
      </c>
      <c r="K8004" s="29">
        <f>IFERROR(J8004*D8004,0)</f>
      </c>
      <c r="L8004" s="29">
        <f>IFERROR(E8004*C8004,0)</f>
      </c>
      <c r="M8004" s="29">
        <f>IFERROR((G8004*H8004*I8004/1000000)*D8004,0)</f>
      </c>
    </row>
    <row r="8005" spans="1:13" x14ac:dyDescent="0.25">
      <c r="A8005" s="16"/>
      <c r="E8005" s="27"/>
      <c r="F8005" t="s">
        <v>26</v>
      </c>
      <c r="G8005" s="28">
        <f>IFERROR(VLOOKUP(F8005,CARTON_LOOKUP!$A:$E,3,0),"")</f>
      </c>
      <c r="H8005" s="28">
        <f>IFERROR(VLOOKUP(F8005,CARTON_LOOKUP!$A:$E,4,0),"")</f>
      </c>
      <c r="I8005" s="28">
        <f>IFERROR(VLOOKUP(F8005,CARTON_LOOKUP!$A:$E,5,0),"")</f>
      </c>
      <c r="J8005" s="29">
        <f>IFERROR(VLOOKUP(F8005,CARTON_LOOKUP!$A:$E,2,0),"")</f>
      </c>
      <c r="K8005" s="29">
        <f>IFERROR(J8005*D8005,0)</f>
      </c>
      <c r="L8005" s="29">
        <f>IFERROR(E8005*C8005,0)</f>
      </c>
      <c r="M8005" s="29">
        <f>IFERROR((G8005*H8005*I8005/1000000)*D8005,0)</f>
      </c>
    </row>
    <row r="8006" spans="1:13" x14ac:dyDescent="0.25">
      <c r="A8006" s="16"/>
      <c r="E8006" s="27"/>
      <c r="F8006" t="s">
        <v>26</v>
      </c>
      <c r="G8006" s="28">
        <f>IFERROR(VLOOKUP(F8006,CARTON_LOOKUP!$A:$E,3,0),"")</f>
      </c>
      <c r="H8006" s="28">
        <f>IFERROR(VLOOKUP(F8006,CARTON_LOOKUP!$A:$E,4,0),"")</f>
      </c>
      <c r="I8006" s="28">
        <f>IFERROR(VLOOKUP(F8006,CARTON_LOOKUP!$A:$E,5,0),"")</f>
      </c>
      <c r="J8006" s="29">
        <f>IFERROR(VLOOKUP(F8006,CARTON_LOOKUP!$A:$E,2,0),"")</f>
      </c>
      <c r="K8006" s="29">
        <f>IFERROR(J8006*D8006,0)</f>
      </c>
      <c r="L8006" s="29">
        <f>IFERROR(E8006*C8006,0)</f>
      </c>
      <c r="M8006" s="29">
        <f>IFERROR((G8006*H8006*I8006/1000000)*D8006,0)</f>
      </c>
    </row>
    <row r="8007" spans="1:13" x14ac:dyDescent="0.25">
      <c r="A8007" s="16"/>
      <c r="E8007" s="27"/>
      <c r="F8007" t="s">
        <v>26</v>
      </c>
      <c r="G8007" s="28">
        <f>IFERROR(VLOOKUP(F8007,CARTON_LOOKUP!$A:$E,3,0),"")</f>
      </c>
      <c r="H8007" s="28">
        <f>IFERROR(VLOOKUP(F8007,CARTON_LOOKUP!$A:$E,4,0),"")</f>
      </c>
      <c r="I8007" s="28">
        <f>IFERROR(VLOOKUP(F8007,CARTON_LOOKUP!$A:$E,5,0),"")</f>
      </c>
      <c r="J8007" s="29">
        <f>IFERROR(VLOOKUP(F8007,CARTON_LOOKUP!$A:$E,2,0),"")</f>
      </c>
      <c r="K8007" s="29">
        <f>IFERROR(J8007*D8007,0)</f>
      </c>
      <c r="L8007" s="29">
        <f>IFERROR(E8007*C8007,0)</f>
      </c>
      <c r="M8007" s="29">
        <f>IFERROR((G8007*H8007*I8007/1000000)*D8007,0)</f>
      </c>
    </row>
    <row r="8008" spans="1:13" x14ac:dyDescent="0.25">
      <c r="A8008" s="16"/>
      <c r="E8008" s="27"/>
      <c r="F8008" t="s">
        <v>26</v>
      </c>
      <c r="G8008" s="28">
        <f>IFERROR(VLOOKUP(F8008,CARTON_LOOKUP!$A:$E,3,0),"")</f>
      </c>
      <c r="H8008" s="28">
        <f>IFERROR(VLOOKUP(F8008,CARTON_LOOKUP!$A:$E,4,0),"")</f>
      </c>
      <c r="I8008" s="28">
        <f>IFERROR(VLOOKUP(F8008,CARTON_LOOKUP!$A:$E,5,0),"")</f>
      </c>
      <c r="J8008" s="29">
        <f>IFERROR(VLOOKUP(F8008,CARTON_LOOKUP!$A:$E,2,0),"")</f>
      </c>
      <c r="K8008" s="29">
        <f>IFERROR(J8008*D8008,0)</f>
      </c>
      <c r="L8008" s="29">
        <f>IFERROR(E8008*C8008,0)</f>
      </c>
      <c r="M8008" s="29">
        <f>IFERROR((G8008*H8008*I8008/1000000)*D8008,0)</f>
      </c>
    </row>
    <row r="8009" spans="1:13" x14ac:dyDescent="0.25">
      <c r="A8009" s="16"/>
      <c r="E8009" s="27"/>
      <c r="F8009" t="s">
        <v>26</v>
      </c>
      <c r="G8009" s="28">
        <f>IFERROR(VLOOKUP(F8009,CARTON_LOOKUP!$A:$E,3,0),"")</f>
      </c>
      <c r="H8009" s="28">
        <f>IFERROR(VLOOKUP(F8009,CARTON_LOOKUP!$A:$E,4,0),"")</f>
      </c>
      <c r="I8009" s="28">
        <f>IFERROR(VLOOKUP(F8009,CARTON_LOOKUP!$A:$E,5,0),"")</f>
      </c>
      <c r="J8009" s="29">
        <f>IFERROR(VLOOKUP(F8009,CARTON_LOOKUP!$A:$E,2,0),"")</f>
      </c>
      <c r="K8009" s="29">
        <f>IFERROR(J8009*D8009,0)</f>
      </c>
      <c r="L8009" s="29">
        <f>IFERROR(E8009*C8009,0)</f>
      </c>
      <c r="M8009" s="29">
        <f>IFERROR((G8009*H8009*I8009/1000000)*D8009,0)</f>
      </c>
    </row>
    <row r="8010" spans="1:13" x14ac:dyDescent="0.25">
      <c r="A8010" s="16"/>
      <c r="E8010" s="27"/>
      <c r="F8010" t="s">
        <v>26</v>
      </c>
      <c r="G8010" s="28">
        <f>IFERROR(VLOOKUP(F8010,CARTON_LOOKUP!$A:$E,3,0),"")</f>
      </c>
      <c r="H8010" s="28">
        <f>IFERROR(VLOOKUP(F8010,CARTON_LOOKUP!$A:$E,4,0),"")</f>
      </c>
      <c r="I8010" s="28">
        <f>IFERROR(VLOOKUP(F8010,CARTON_LOOKUP!$A:$E,5,0),"")</f>
      </c>
      <c r="J8010" s="29">
        <f>IFERROR(VLOOKUP(F8010,CARTON_LOOKUP!$A:$E,2,0),"")</f>
      </c>
      <c r="K8010" s="29">
        <f>IFERROR(J8010*D8010,0)</f>
      </c>
      <c r="L8010" s="29">
        <f>IFERROR(E8010*C8010,0)</f>
      </c>
      <c r="M8010" s="29">
        <f>IFERROR((G8010*H8010*I8010/1000000)*D8010,0)</f>
      </c>
    </row>
    <row r="8011" spans="1:13" x14ac:dyDescent="0.25">
      <c r="A8011" s="16"/>
      <c r="E8011" s="27"/>
      <c r="F8011" t="s">
        <v>26</v>
      </c>
      <c r="G8011" s="28">
        <f>IFERROR(VLOOKUP(F8011,CARTON_LOOKUP!$A:$E,3,0),"")</f>
      </c>
      <c r="H8011" s="28">
        <f>IFERROR(VLOOKUP(F8011,CARTON_LOOKUP!$A:$E,4,0),"")</f>
      </c>
      <c r="I8011" s="28">
        <f>IFERROR(VLOOKUP(F8011,CARTON_LOOKUP!$A:$E,5,0),"")</f>
      </c>
      <c r="J8011" s="29">
        <f>IFERROR(VLOOKUP(F8011,CARTON_LOOKUP!$A:$E,2,0),"")</f>
      </c>
      <c r="K8011" s="29">
        <f>IFERROR(J8011*D8011,0)</f>
      </c>
      <c r="L8011" s="29">
        <f>IFERROR(E8011*C8011,0)</f>
      </c>
      <c r="M8011" s="29">
        <f>IFERROR((G8011*H8011*I8011/1000000)*D8011,0)</f>
      </c>
    </row>
    <row r="8012" spans="1:13" x14ac:dyDescent="0.25">
      <c r="A8012" s="16"/>
      <c r="E8012" s="27"/>
      <c r="F8012" t="s">
        <v>26</v>
      </c>
      <c r="G8012" s="28">
        <f>IFERROR(VLOOKUP(F8012,CARTON_LOOKUP!$A:$E,3,0),"")</f>
      </c>
      <c r="H8012" s="28">
        <f>IFERROR(VLOOKUP(F8012,CARTON_LOOKUP!$A:$E,4,0),"")</f>
      </c>
      <c r="I8012" s="28">
        <f>IFERROR(VLOOKUP(F8012,CARTON_LOOKUP!$A:$E,5,0),"")</f>
      </c>
      <c r="J8012" s="29">
        <f>IFERROR(VLOOKUP(F8012,CARTON_LOOKUP!$A:$E,2,0),"")</f>
      </c>
      <c r="K8012" s="29">
        <f>IFERROR(J8012*D8012,0)</f>
      </c>
      <c r="L8012" s="29">
        <f>IFERROR(E8012*C8012,0)</f>
      </c>
      <c r="M8012" s="29">
        <f>IFERROR((G8012*H8012*I8012/1000000)*D8012,0)</f>
      </c>
    </row>
    <row r="8013" spans="1:13" x14ac:dyDescent="0.25">
      <c r="A8013" s="16"/>
      <c r="E8013" s="27"/>
      <c r="F8013" t="s">
        <v>26</v>
      </c>
      <c r="G8013" s="28">
        <f>IFERROR(VLOOKUP(F8013,CARTON_LOOKUP!$A:$E,3,0),"")</f>
      </c>
      <c r="H8013" s="28">
        <f>IFERROR(VLOOKUP(F8013,CARTON_LOOKUP!$A:$E,4,0),"")</f>
      </c>
      <c r="I8013" s="28">
        <f>IFERROR(VLOOKUP(F8013,CARTON_LOOKUP!$A:$E,5,0),"")</f>
      </c>
      <c r="J8013" s="29">
        <f>IFERROR(VLOOKUP(F8013,CARTON_LOOKUP!$A:$E,2,0),"")</f>
      </c>
      <c r="K8013" s="29">
        <f>IFERROR(J8013*D8013,0)</f>
      </c>
      <c r="L8013" s="29">
        <f>IFERROR(E8013*C8013,0)</f>
      </c>
      <c r="M8013" s="29">
        <f>IFERROR((G8013*H8013*I8013/1000000)*D8013,0)</f>
      </c>
    </row>
    <row r="8014" spans="1:13" x14ac:dyDescent="0.25">
      <c r="A8014" s="16"/>
      <c r="E8014" s="27"/>
      <c r="F8014" t="s">
        <v>26</v>
      </c>
      <c r="G8014" s="28">
        <f>IFERROR(VLOOKUP(F8014,CARTON_LOOKUP!$A:$E,3,0),"")</f>
      </c>
      <c r="H8014" s="28">
        <f>IFERROR(VLOOKUP(F8014,CARTON_LOOKUP!$A:$E,4,0),"")</f>
      </c>
      <c r="I8014" s="28">
        <f>IFERROR(VLOOKUP(F8014,CARTON_LOOKUP!$A:$E,5,0),"")</f>
      </c>
      <c r="J8014" s="29">
        <f>IFERROR(VLOOKUP(F8014,CARTON_LOOKUP!$A:$E,2,0),"")</f>
      </c>
      <c r="K8014" s="29">
        <f>IFERROR(J8014*D8014,0)</f>
      </c>
      <c r="L8014" s="29">
        <f>IFERROR(E8014*C8014,0)</f>
      </c>
      <c r="M8014" s="29">
        <f>IFERROR((G8014*H8014*I8014/1000000)*D8014,0)</f>
      </c>
    </row>
    <row r="8015" spans="1:13" x14ac:dyDescent="0.25">
      <c r="A8015" s="16"/>
      <c r="E8015" s="27"/>
      <c r="F8015" t="s">
        <v>26</v>
      </c>
      <c r="G8015" s="28">
        <f>IFERROR(VLOOKUP(F8015,CARTON_LOOKUP!$A:$E,3,0),"")</f>
      </c>
      <c r="H8015" s="28">
        <f>IFERROR(VLOOKUP(F8015,CARTON_LOOKUP!$A:$E,4,0),"")</f>
      </c>
      <c r="I8015" s="28">
        <f>IFERROR(VLOOKUP(F8015,CARTON_LOOKUP!$A:$E,5,0),"")</f>
      </c>
      <c r="J8015" s="29">
        <f>IFERROR(VLOOKUP(F8015,CARTON_LOOKUP!$A:$E,2,0),"")</f>
      </c>
      <c r="K8015" s="29">
        <f>IFERROR(J8015*D8015,0)</f>
      </c>
      <c r="L8015" s="29">
        <f>IFERROR(E8015*C8015,0)</f>
      </c>
      <c r="M8015" s="29">
        <f>IFERROR((G8015*H8015*I8015/1000000)*D8015,0)</f>
      </c>
    </row>
    <row r="8016" spans="1:13" x14ac:dyDescent="0.25">
      <c r="A8016" s="16"/>
      <c r="E8016" s="27"/>
      <c r="F8016" t="s">
        <v>26</v>
      </c>
      <c r="G8016" s="28">
        <f>IFERROR(VLOOKUP(F8016,CARTON_LOOKUP!$A:$E,3,0),"")</f>
      </c>
      <c r="H8016" s="28">
        <f>IFERROR(VLOOKUP(F8016,CARTON_LOOKUP!$A:$E,4,0),"")</f>
      </c>
      <c r="I8016" s="28">
        <f>IFERROR(VLOOKUP(F8016,CARTON_LOOKUP!$A:$E,5,0),"")</f>
      </c>
      <c r="J8016" s="29">
        <f>IFERROR(VLOOKUP(F8016,CARTON_LOOKUP!$A:$E,2,0),"")</f>
      </c>
      <c r="K8016" s="29">
        <f>IFERROR(J8016*D8016,0)</f>
      </c>
      <c r="L8016" s="29">
        <f>IFERROR(E8016*C8016,0)</f>
      </c>
      <c r="M8016" s="29">
        <f>IFERROR((G8016*H8016*I8016/1000000)*D8016,0)</f>
      </c>
    </row>
    <row r="8017" spans="1:13" x14ac:dyDescent="0.25">
      <c r="A8017" s="16"/>
      <c r="E8017" s="27"/>
      <c r="F8017" t="s">
        <v>26</v>
      </c>
      <c r="G8017" s="28">
        <f>IFERROR(VLOOKUP(F8017,CARTON_LOOKUP!$A:$E,3,0),"")</f>
      </c>
      <c r="H8017" s="28">
        <f>IFERROR(VLOOKUP(F8017,CARTON_LOOKUP!$A:$E,4,0),"")</f>
      </c>
      <c r="I8017" s="28">
        <f>IFERROR(VLOOKUP(F8017,CARTON_LOOKUP!$A:$E,5,0),"")</f>
      </c>
      <c r="J8017" s="29">
        <f>IFERROR(VLOOKUP(F8017,CARTON_LOOKUP!$A:$E,2,0),"")</f>
      </c>
      <c r="K8017" s="29">
        <f>IFERROR(J8017*D8017,0)</f>
      </c>
      <c r="L8017" s="29">
        <f>IFERROR(E8017*C8017,0)</f>
      </c>
      <c r="M8017" s="29">
        <f>IFERROR((G8017*H8017*I8017/1000000)*D8017,0)</f>
      </c>
    </row>
    <row r="8018" spans="1:13" x14ac:dyDescent="0.25">
      <c r="A8018" s="16"/>
      <c r="E8018" s="27"/>
      <c r="F8018" t="s">
        <v>26</v>
      </c>
      <c r="G8018" s="28">
        <f>IFERROR(VLOOKUP(F8018,CARTON_LOOKUP!$A:$E,3,0),"")</f>
      </c>
      <c r="H8018" s="28">
        <f>IFERROR(VLOOKUP(F8018,CARTON_LOOKUP!$A:$E,4,0),"")</f>
      </c>
      <c r="I8018" s="28">
        <f>IFERROR(VLOOKUP(F8018,CARTON_LOOKUP!$A:$E,5,0),"")</f>
      </c>
      <c r="J8018" s="29">
        <f>IFERROR(VLOOKUP(F8018,CARTON_LOOKUP!$A:$E,2,0),"")</f>
      </c>
      <c r="K8018" s="29">
        <f>IFERROR(J8018*D8018,0)</f>
      </c>
      <c r="L8018" s="29">
        <f>IFERROR(E8018*C8018,0)</f>
      </c>
      <c r="M8018" s="29">
        <f>IFERROR((G8018*H8018*I8018/1000000)*D8018,0)</f>
      </c>
    </row>
    <row r="8019" spans="1:13" x14ac:dyDescent="0.25">
      <c r="A8019" s="16"/>
      <c r="E8019" s="27"/>
      <c r="F8019" t="s">
        <v>26</v>
      </c>
      <c r="G8019" s="28">
        <f>IFERROR(VLOOKUP(F8019,CARTON_LOOKUP!$A:$E,3,0),"")</f>
      </c>
      <c r="H8019" s="28">
        <f>IFERROR(VLOOKUP(F8019,CARTON_LOOKUP!$A:$E,4,0),"")</f>
      </c>
      <c r="I8019" s="28">
        <f>IFERROR(VLOOKUP(F8019,CARTON_LOOKUP!$A:$E,5,0),"")</f>
      </c>
      <c r="J8019" s="29">
        <f>IFERROR(VLOOKUP(F8019,CARTON_LOOKUP!$A:$E,2,0),"")</f>
      </c>
      <c r="K8019" s="29">
        <f>IFERROR(J8019*D8019,0)</f>
      </c>
      <c r="L8019" s="29">
        <f>IFERROR(E8019*C8019,0)</f>
      </c>
      <c r="M8019" s="29">
        <f>IFERROR((G8019*H8019*I8019/1000000)*D8019,0)</f>
      </c>
    </row>
    <row r="8020" spans="1:13" x14ac:dyDescent="0.25">
      <c r="A8020" s="16"/>
      <c r="E8020" s="27"/>
      <c r="F8020" t="s">
        <v>26</v>
      </c>
      <c r="G8020" s="28">
        <f>IFERROR(VLOOKUP(F8020,CARTON_LOOKUP!$A:$E,3,0),"")</f>
      </c>
      <c r="H8020" s="28">
        <f>IFERROR(VLOOKUP(F8020,CARTON_LOOKUP!$A:$E,4,0),"")</f>
      </c>
      <c r="I8020" s="28">
        <f>IFERROR(VLOOKUP(F8020,CARTON_LOOKUP!$A:$E,5,0),"")</f>
      </c>
      <c r="J8020" s="29">
        <f>IFERROR(VLOOKUP(F8020,CARTON_LOOKUP!$A:$E,2,0),"")</f>
      </c>
      <c r="K8020" s="29">
        <f>IFERROR(J8020*D8020,0)</f>
      </c>
      <c r="L8020" s="29">
        <f>IFERROR(E8020*C8020,0)</f>
      </c>
      <c r="M8020" s="29">
        <f>IFERROR((G8020*H8020*I8020/1000000)*D8020,0)</f>
      </c>
    </row>
    <row r="8021" spans="1:13" x14ac:dyDescent="0.25">
      <c r="A8021" s="16"/>
      <c r="E8021" s="27"/>
      <c r="F8021" t="s">
        <v>26</v>
      </c>
      <c r="G8021" s="28">
        <f>IFERROR(VLOOKUP(F8021,CARTON_LOOKUP!$A:$E,3,0),"")</f>
      </c>
      <c r="H8021" s="28">
        <f>IFERROR(VLOOKUP(F8021,CARTON_LOOKUP!$A:$E,4,0),"")</f>
      </c>
      <c r="I8021" s="28">
        <f>IFERROR(VLOOKUP(F8021,CARTON_LOOKUP!$A:$E,5,0),"")</f>
      </c>
      <c r="J8021" s="29">
        <f>IFERROR(VLOOKUP(F8021,CARTON_LOOKUP!$A:$E,2,0),"")</f>
      </c>
      <c r="K8021" s="29">
        <f>IFERROR(J8021*D8021,0)</f>
      </c>
      <c r="L8021" s="29">
        <f>IFERROR(E8021*C8021,0)</f>
      </c>
      <c r="M8021" s="29">
        <f>IFERROR((G8021*H8021*I8021/1000000)*D8021,0)</f>
      </c>
    </row>
    <row r="8022" spans="1:13" x14ac:dyDescent="0.25">
      <c r="A8022" s="16"/>
      <c r="E8022" s="27"/>
      <c r="F8022" t="s">
        <v>26</v>
      </c>
      <c r="G8022" s="28">
        <f>IFERROR(VLOOKUP(F8022,CARTON_LOOKUP!$A:$E,3,0),"")</f>
      </c>
      <c r="H8022" s="28">
        <f>IFERROR(VLOOKUP(F8022,CARTON_LOOKUP!$A:$E,4,0),"")</f>
      </c>
      <c r="I8022" s="28">
        <f>IFERROR(VLOOKUP(F8022,CARTON_LOOKUP!$A:$E,5,0),"")</f>
      </c>
      <c r="J8022" s="29">
        <f>IFERROR(VLOOKUP(F8022,CARTON_LOOKUP!$A:$E,2,0),"")</f>
      </c>
      <c r="K8022" s="29">
        <f>IFERROR(J8022*D8022,0)</f>
      </c>
      <c r="L8022" s="29">
        <f>IFERROR(E8022*C8022,0)</f>
      </c>
      <c r="M8022" s="29">
        <f>IFERROR((G8022*H8022*I8022/1000000)*D8022,0)</f>
      </c>
    </row>
    <row r="8023" spans="1:13" x14ac:dyDescent="0.25">
      <c r="A8023" s="16"/>
      <c r="E8023" s="27"/>
      <c r="F8023" t="s">
        <v>26</v>
      </c>
      <c r="G8023" s="28">
        <f>IFERROR(VLOOKUP(F8023,CARTON_LOOKUP!$A:$E,3,0),"")</f>
      </c>
      <c r="H8023" s="28">
        <f>IFERROR(VLOOKUP(F8023,CARTON_LOOKUP!$A:$E,4,0),"")</f>
      </c>
      <c r="I8023" s="28">
        <f>IFERROR(VLOOKUP(F8023,CARTON_LOOKUP!$A:$E,5,0),"")</f>
      </c>
      <c r="J8023" s="29">
        <f>IFERROR(VLOOKUP(F8023,CARTON_LOOKUP!$A:$E,2,0),"")</f>
      </c>
      <c r="K8023" s="29">
        <f>IFERROR(J8023*D8023,0)</f>
      </c>
      <c r="L8023" s="29">
        <f>IFERROR(E8023*C8023,0)</f>
      </c>
      <c r="M8023" s="29">
        <f>IFERROR((G8023*H8023*I8023/1000000)*D8023,0)</f>
      </c>
    </row>
    <row r="8024" spans="1:13" x14ac:dyDescent="0.25">
      <c r="A8024" s="16"/>
      <c r="E8024" s="27"/>
      <c r="F8024" t="s">
        <v>26</v>
      </c>
      <c r="G8024" s="28">
        <f>IFERROR(VLOOKUP(F8024,CARTON_LOOKUP!$A:$E,3,0),"")</f>
      </c>
      <c r="H8024" s="28">
        <f>IFERROR(VLOOKUP(F8024,CARTON_LOOKUP!$A:$E,4,0),"")</f>
      </c>
      <c r="I8024" s="28">
        <f>IFERROR(VLOOKUP(F8024,CARTON_LOOKUP!$A:$E,5,0),"")</f>
      </c>
      <c r="J8024" s="29">
        <f>IFERROR(VLOOKUP(F8024,CARTON_LOOKUP!$A:$E,2,0),"")</f>
      </c>
      <c r="K8024" s="29">
        <f>IFERROR(J8024*D8024,0)</f>
      </c>
      <c r="L8024" s="29">
        <f>IFERROR(E8024*C8024,0)</f>
      </c>
      <c r="M8024" s="29">
        <f>IFERROR((G8024*H8024*I8024/1000000)*D8024,0)</f>
      </c>
    </row>
    <row r="8025" spans="1:13" x14ac:dyDescent="0.25">
      <c r="A8025" s="16"/>
      <c r="E8025" s="27"/>
      <c r="F8025" t="s">
        <v>26</v>
      </c>
      <c r="G8025" s="28">
        <f>IFERROR(VLOOKUP(F8025,CARTON_LOOKUP!$A:$E,3,0),"")</f>
      </c>
      <c r="H8025" s="28">
        <f>IFERROR(VLOOKUP(F8025,CARTON_LOOKUP!$A:$E,4,0),"")</f>
      </c>
      <c r="I8025" s="28">
        <f>IFERROR(VLOOKUP(F8025,CARTON_LOOKUP!$A:$E,5,0),"")</f>
      </c>
      <c r="J8025" s="29">
        <f>IFERROR(VLOOKUP(F8025,CARTON_LOOKUP!$A:$E,2,0),"")</f>
      </c>
      <c r="K8025" s="29">
        <f>IFERROR(J8025*D8025,0)</f>
      </c>
      <c r="L8025" s="29">
        <f>IFERROR(E8025*C8025,0)</f>
      </c>
      <c r="M8025" s="29">
        <f>IFERROR((G8025*H8025*I8025/1000000)*D8025,0)</f>
      </c>
    </row>
    <row r="8026" spans="1:13" x14ac:dyDescent="0.25">
      <c r="A8026" s="16"/>
      <c r="E8026" s="27"/>
      <c r="F8026" t="s">
        <v>26</v>
      </c>
      <c r="G8026" s="28">
        <f>IFERROR(VLOOKUP(F8026,CARTON_LOOKUP!$A:$E,3,0),"")</f>
      </c>
      <c r="H8026" s="28">
        <f>IFERROR(VLOOKUP(F8026,CARTON_LOOKUP!$A:$E,4,0),"")</f>
      </c>
      <c r="I8026" s="28">
        <f>IFERROR(VLOOKUP(F8026,CARTON_LOOKUP!$A:$E,5,0),"")</f>
      </c>
      <c r="J8026" s="29">
        <f>IFERROR(VLOOKUP(F8026,CARTON_LOOKUP!$A:$E,2,0),"")</f>
      </c>
      <c r="K8026" s="29">
        <f>IFERROR(J8026*D8026,0)</f>
      </c>
      <c r="L8026" s="29">
        <f>IFERROR(E8026*C8026,0)</f>
      </c>
      <c r="M8026" s="29">
        <f>IFERROR((G8026*H8026*I8026/1000000)*D8026,0)</f>
      </c>
    </row>
    <row r="8027" spans="1:13" x14ac:dyDescent="0.25">
      <c r="A8027" s="16"/>
      <c r="E8027" s="27"/>
      <c r="F8027" t="s">
        <v>26</v>
      </c>
      <c r="G8027" s="28">
        <f>IFERROR(VLOOKUP(F8027,CARTON_LOOKUP!$A:$E,3,0),"")</f>
      </c>
      <c r="H8027" s="28">
        <f>IFERROR(VLOOKUP(F8027,CARTON_LOOKUP!$A:$E,4,0),"")</f>
      </c>
      <c r="I8027" s="28">
        <f>IFERROR(VLOOKUP(F8027,CARTON_LOOKUP!$A:$E,5,0),"")</f>
      </c>
      <c r="J8027" s="29">
        <f>IFERROR(VLOOKUP(F8027,CARTON_LOOKUP!$A:$E,2,0),"")</f>
      </c>
      <c r="K8027" s="29">
        <f>IFERROR(J8027*D8027,0)</f>
      </c>
      <c r="L8027" s="29">
        <f>IFERROR(E8027*C8027,0)</f>
      </c>
      <c r="M8027" s="29">
        <f>IFERROR((G8027*H8027*I8027/1000000)*D8027,0)</f>
      </c>
    </row>
    <row r="8028" spans="1:13" x14ac:dyDescent="0.25">
      <c r="A8028" s="16"/>
      <c r="E8028" s="27"/>
      <c r="F8028" t="s">
        <v>26</v>
      </c>
      <c r="G8028" s="28">
        <f>IFERROR(VLOOKUP(F8028,CARTON_LOOKUP!$A:$E,3,0),"")</f>
      </c>
      <c r="H8028" s="28">
        <f>IFERROR(VLOOKUP(F8028,CARTON_LOOKUP!$A:$E,4,0),"")</f>
      </c>
      <c r="I8028" s="28">
        <f>IFERROR(VLOOKUP(F8028,CARTON_LOOKUP!$A:$E,5,0),"")</f>
      </c>
      <c r="J8028" s="29">
        <f>IFERROR(VLOOKUP(F8028,CARTON_LOOKUP!$A:$E,2,0),"")</f>
      </c>
      <c r="K8028" s="29">
        <f>IFERROR(J8028*D8028,0)</f>
      </c>
      <c r="L8028" s="29">
        <f>IFERROR(E8028*C8028,0)</f>
      </c>
      <c r="M8028" s="29">
        <f>IFERROR((G8028*H8028*I8028/1000000)*D8028,0)</f>
      </c>
    </row>
    <row r="8029" spans="1:13" x14ac:dyDescent="0.25">
      <c r="A8029" s="16"/>
      <c r="E8029" s="27"/>
      <c r="F8029" t="s">
        <v>26</v>
      </c>
      <c r="G8029" s="28">
        <f>IFERROR(VLOOKUP(F8029,CARTON_LOOKUP!$A:$E,3,0),"")</f>
      </c>
      <c r="H8029" s="28">
        <f>IFERROR(VLOOKUP(F8029,CARTON_LOOKUP!$A:$E,4,0),"")</f>
      </c>
      <c r="I8029" s="28">
        <f>IFERROR(VLOOKUP(F8029,CARTON_LOOKUP!$A:$E,5,0),"")</f>
      </c>
      <c r="J8029" s="29">
        <f>IFERROR(VLOOKUP(F8029,CARTON_LOOKUP!$A:$E,2,0),"")</f>
      </c>
      <c r="K8029" s="29">
        <f>IFERROR(J8029*D8029,0)</f>
      </c>
      <c r="L8029" s="29">
        <f>IFERROR(E8029*C8029,0)</f>
      </c>
      <c r="M8029" s="29">
        <f>IFERROR((G8029*H8029*I8029/1000000)*D8029,0)</f>
      </c>
    </row>
    <row r="8030" spans="1:13" x14ac:dyDescent="0.25">
      <c r="A8030" s="16"/>
      <c r="E8030" s="27"/>
      <c r="F8030" t="s">
        <v>26</v>
      </c>
      <c r="G8030" s="28">
        <f>IFERROR(VLOOKUP(F8030,CARTON_LOOKUP!$A:$E,3,0),"")</f>
      </c>
      <c r="H8030" s="28">
        <f>IFERROR(VLOOKUP(F8030,CARTON_LOOKUP!$A:$E,4,0),"")</f>
      </c>
      <c r="I8030" s="28">
        <f>IFERROR(VLOOKUP(F8030,CARTON_LOOKUP!$A:$E,5,0),"")</f>
      </c>
      <c r="J8030" s="29">
        <f>IFERROR(VLOOKUP(F8030,CARTON_LOOKUP!$A:$E,2,0),"")</f>
      </c>
      <c r="K8030" s="29">
        <f>IFERROR(J8030*D8030,0)</f>
      </c>
      <c r="L8030" s="29">
        <f>IFERROR(E8030*C8030,0)</f>
      </c>
      <c r="M8030" s="29">
        <f>IFERROR((G8030*H8030*I8030/1000000)*D8030,0)</f>
      </c>
    </row>
    <row r="8031" spans="1:13" x14ac:dyDescent="0.25">
      <c r="A8031" s="16"/>
      <c r="E8031" s="27"/>
      <c r="F8031" t="s">
        <v>26</v>
      </c>
      <c r="G8031" s="28">
        <f>IFERROR(VLOOKUP(F8031,CARTON_LOOKUP!$A:$E,3,0),"")</f>
      </c>
      <c r="H8031" s="28">
        <f>IFERROR(VLOOKUP(F8031,CARTON_LOOKUP!$A:$E,4,0),"")</f>
      </c>
      <c r="I8031" s="28">
        <f>IFERROR(VLOOKUP(F8031,CARTON_LOOKUP!$A:$E,5,0),"")</f>
      </c>
      <c r="J8031" s="29">
        <f>IFERROR(VLOOKUP(F8031,CARTON_LOOKUP!$A:$E,2,0),"")</f>
      </c>
      <c r="K8031" s="29">
        <f>IFERROR(J8031*D8031,0)</f>
      </c>
      <c r="L8031" s="29">
        <f>IFERROR(E8031*C8031,0)</f>
      </c>
      <c r="M8031" s="29">
        <f>IFERROR((G8031*H8031*I8031/1000000)*D8031,0)</f>
      </c>
    </row>
    <row r="8032" spans="1:13" x14ac:dyDescent="0.25">
      <c r="A8032" s="16"/>
      <c r="E8032" s="27"/>
      <c r="F8032" t="s">
        <v>26</v>
      </c>
      <c r="G8032" s="28">
        <f>IFERROR(VLOOKUP(F8032,CARTON_LOOKUP!$A:$E,3,0),"")</f>
      </c>
      <c r="H8032" s="28">
        <f>IFERROR(VLOOKUP(F8032,CARTON_LOOKUP!$A:$E,4,0),"")</f>
      </c>
      <c r="I8032" s="28">
        <f>IFERROR(VLOOKUP(F8032,CARTON_LOOKUP!$A:$E,5,0),"")</f>
      </c>
      <c r="J8032" s="29">
        <f>IFERROR(VLOOKUP(F8032,CARTON_LOOKUP!$A:$E,2,0),"")</f>
      </c>
      <c r="K8032" s="29">
        <f>IFERROR(J8032*D8032,0)</f>
      </c>
      <c r="L8032" s="29">
        <f>IFERROR(E8032*C8032,0)</f>
      </c>
      <c r="M8032" s="29">
        <f>IFERROR((G8032*H8032*I8032/1000000)*D8032,0)</f>
      </c>
    </row>
    <row r="8033" spans="1:13" x14ac:dyDescent="0.25">
      <c r="A8033" s="16"/>
      <c r="E8033" s="27"/>
      <c r="F8033" t="s">
        <v>26</v>
      </c>
      <c r="G8033" s="28">
        <f>IFERROR(VLOOKUP(F8033,CARTON_LOOKUP!$A:$E,3,0),"")</f>
      </c>
      <c r="H8033" s="28">
        <f>IFERROR(VLOOKUP(F8033,CARTON_LOOKUP!$A:$E,4,0),"")</f>
      </c>
      <c r="I8033" s="28">
        <f>IFERROR(VLOOKUP(F8033,CARTON_LOOKUP!$A:$E,5,0),"")</f>
      </c>
      <c r="J8033" s="29">
        <f>IFERROR(VLOOKUP(F8033,CARTON_LOOKUP!$A:$E,2,0),"")</f>
      </c>
      <c r="K8033" s="29">
        <f>IFERROR(J8033*D8033,0)</f>
      </c>
      <c r="L8033" s="29">
        <f>IFERROR(E8033*C8033,0)</f>
      </c>
      <c r="M8033" s="29">
        <f>IFERROR((G8033*H8033*I8033/1000000)*D8033,0)</f>
      </c>
    </row>
    <row r="8034" spans="1:13" x14ac:dyDescent="0.25">
      <c r="A8034" s="16"/>
      <c r="E8034" s="27"/>
      <c r="F8034" t="s">
        <v>26</v>
      </c>
      <c r="G8034" s="28">
        <f>IFERROR(VLOOKUP(F8034,CARTON_LOOKUP!$A:$E,3,0),"")</f>
      </c>
      <c r="H8034" s="28">
        <f>IFERROR(VLOOKUP(F8034,CARTON_LOOKUP!$A:$E,4,0),"")</f>
      </c>
      <c r="I8034" s="28">
        <f>IFERROR(VLOOKUP(F8034,CARTON_LOOKUP!$A:$E,5,0),"")</f>
      </c>
      <c r="J8034" s="29">
        <f>IFERROR(VLOOKUP(F8034,CARTON_LOOKUP!$A:$E,2,0),"")</f>
      </c>
      <c r="K8034" s="29">
        <f>IFERROR(J8034*D8034,0)</f>
      </c>
      <c r="L8034" s="29">
        <f>IFERROR(E8034*C8034,0)</f>
      </c>
      <c r="M8034" s="29">
        <f>IFERROR((G8034*H8034*I8034/1000000)*D8034,0)</f>
      </c>
    </row>
    <row r="8035" spans="1:13" x14ac:dyDescent="0.25">
      <c r="A8035" s="16"/>
      <c r="E8035" s="27"/>
      <c r="F8035" t="s">
        <v>26</v>
      </c>
      <c r="G8035" s="28">
        <f>IFERROR(VLOOKUP(F8035,CARTON_LOOKUP!$A:$E,3,0),"")</f>
      </c>
      <c r="H8035" s="28">
        <f>IFERROR(VLOOKUP(F8035,CARTON_LOOKUP!$A:$E,4,0),"")</f>
      </c>
      <c r="I8035" s="28">
        <f>IFERROR(VLOOKUP(F8035,CARTON_LOOKUP!$A:$E,5,0),"")</f>
      </c>
      <c r="J8035" s="29">
        <f>IFERROR(VLOOKUP(F8035,CARTON_LOOKUP!$A:$E,2,0),"")</f>
      </c>
      <c r="K8035" s="29">
        <f>IFERROR(J8035*D8035,0)</f>
      </c>
      <c r="L8035" s="29">
        <f>IFERROR(E8035*C8035,0)</f>
      </c>
      <c r="M8035" s="29">
        <f>IFERROR((G8035*H8035*I8035/1000000)*D8035,0)</f>
      </c>
    </row>
    <row r="8036" spans="1:13" x14ac:dyDescent="0.25">
      <c r="A8036" s="16"/>
      <c r="E8036" s="27"/>
      <c r="F8036" t="s">
        <v>26</v>
      </c>
      <c r="G8036" s="28">
        <f>IFERROR(VLOOKUP(F8036,CARTON_LOOKUP!$A:$E,3,0),"")</f>
      </c>
      <c r="H8036" s="28">
        <f>IFERROR(VLOOKUP(F8036,CARTON_LOOKUP!$A:$E,4,0),"")</f>
      </c>
      <c r="I8036" s="28">
        <f>IFERROR(VLOOKUP(F8036,CARTON_LOOKUP!$A:$E,5,0),"")</f>
      </c>
      <c r="J8036" s="29">
        <f>IFERROR(VLOOKUP(F8036,CARTON_LOOKUP!$A:$E,2,0),"")</f>
      </c>
      <c r="K8036" s="29">
        <f>IFERROR(J8036*D8036,0)</f>
      </c>
      <c r="L8036" s="29">
        <f>IFERROR(E8036*C8036,0)</f>
      </c>
      <c r="M8036" s="29">
        <f>IFERROR((G8036*H8036*I8036/1000000)*D8036,0)</f>
      </c>
    </row>
    <row r="8037" spans="1:13" x14ac:dyDescent="0.25">
      <c r="A8037" s="16"/>
      <c r="E8037" s="27"/>
      <c r="F8037" t="s">
        <v>26</v>
      </c>
      <c r="G8037" s="28">
        <f>IFERROR(VLOOKUP(F8037,CARTON_LOOKUP!$A:$E,3,0),"")</f>
      </c>
      <c r="H8037" s="28">
        <f>IFERROR(VLOOKUP(F8037,CARTON_LOOKUP!$A:$E,4,0),"")</f>
      </c>
      <c r="I8037" s="28">
        <f>IFERROR(VLOOKUP(F8037,CARTON_LOOKUP!$A:$E,5,0),"")</f>
      </c>
      <c r="J8037" s="29">
        <f>IFERROR(VLOOKUP(F8037,CARTON_LOOKUP!$A:$E,2,0),"")</f>
      </c>
      <c r="K8037" s="29">
        <f>IFERROR(J8037*D8037,0)</f>
      </c>
      <c r="L8037" s="29">
        <f>IFERROR(E8037*C8037,0)</f>
      </c>
      <c r="M8037" s="29">
        <f>IFERROR((G8037*H8037*I8037/1000000)*D8037,0)</f>
      </c>
    </row>
    <row r="8038" spans="1:13" x14ac:dyDescent="0.25">
      <c r="A8038" s="16"/>
      <c r="E8038" s="27"/>
      <c r="F8038" t="s">
        <v>26</v>
      </c>
      <c r="G8038" s="28">
        <f>IFERROR(VLOOKUP(F8038,CARTON_LOOKUP!$A:$E,3,0),"")</f>
      </c>
      <c r="H8038" s="28">
        <f>IFERROR(VLOOKUP(F8038,CARTON_LOOKUP!$A:$E,4,0),"")</f>
      </c>
      <c r="I8038" s="28">
        <f>IFERROR(VLOOKUP(F8038,CARTON_LOOKUP!$A:$E,5,0),"")</f>
      </c>
      <c r="J8038" s="29">
        <f>IFERROR(VLOOKUP(F8038,CARTON_LOOKUP!$A:$E,2,0),"")</f>
      </c>
      <c r="K8038" s="29">
        <f>IFERROR(J8038*D8038,0)</f>
      </c>
      <c r="L8038" s="29">
        <f>IFERROR(E8038*C8038,0)</f>
      </c>
      <c r="M8038" s="29">
        <f>IFERROR((G8038*H8038*I8038/1000000)*D8038,0)</f>
      </c>
    </row>
    <row r="8039" spans="1:13" x14ac:dyDescent="0.25">
      <c r="A8039" s="16"/>
      <c r="E8039" s="27"/>
      <c r="F8039" t="s">
        <v>26</v>
      </c>
      <c r="G8039" s="28">
        <f>IFERROR(VLOOKUP(F8039,CARTON_LOOKUP!$A:$E,3,0),"")</f>
      </c>
      <c r="H8039" s="28">
        <f>IFERROR(VLOOKUP(F8039,CARTON_LOOKUP!$A:$E,4,0),"")</f>
      </c>
      <c r="I8039" s="28">
        <f>IFERROR(VLOOKUP(F8039,CARTON_LOOKUP!$A:$E,5,0),"")</f>
      </c>
      <c r="J8039" s="29">
        <f>IFERROR(VLOOKUP(F8039,CARTON_LOOKUP!$A:$E,2,0),"")</f>
      </c>
      <c r="K8039" s="29">
        <f>IFERROR(J8039*D8039,0)</f>
      </c>
      <c r="L8039" s="29">
        <f>IFERROR(E8039*C8039,0)</f>
      </c>
      <c r="M8039" s="29">
        <f>IFERROR((G8039*H8039*I8039/1000000)*D8039,0)</f>
      </c>
    </row>
    <row r="8040" spans="1:13" x14ac:dyDescent="0.25">
      <c r="A8040" s="16"/>
      <c r="E8040" s="27"/>
      <c r="F8040" t="s">
        <v>26</v>
      </c>
      <c r="G8040" s="28">
        <f>IFERROR(VLOOKUP(F8040,CARTON_LOOKUP!$A:$E,3,0),"")</f>
      </c>
      <c r="H8040" s="28">
        <f>IFERROR(VLOOKUP(F8040,CARTON_LOOKUP!$A:$E,4,0),"")</f>
      </c>
      <c r="I8040" s="28">
        <f>IFERROR(VLOOKUP(F8040,CARTON_LOOKUP!$A:$E,5,0),"")</f>
      </c>
      <c r="J8040" s="29">
        <f>IFERROR(VLOOKUP(F8040,CARTON_LOOKUP!$A:$E,2,0),"")</f>
      </c>
      <c r="K8040" s="29">
        <f>IFERROR(J8040*D8040,0)</f>
      </c>
      <c r="L8040" s="29">
        <f>IFERROR(E8040*C8040,0)</f>
      </c>
      <c r="M8040" s="29">
        <f>IFERROR((G8040*H8040*I8040/1000000)*D8040,0)</f>
      </c>
    </row>
    <row r="8041" spans="1:13" x14ac:dyDescent="0.25">
      <c r="A8041" s="16"/>
      <c r="E8041" s="27"/>
      <c r="F8041" t="s">
        <v>26</v>
      </c>
      <c r="G8041" s="28">
        <f>IFERROR(VLOOKUP(F8041,CARTON_LOOKUP!$A:$E,3,0),"")</f>
      </c>
      <c r="H8041" s="28">
        <f>IFERROR(VLOOKUP(F8041,CARTON_LOOKUP!$A:$E,4,0),"")</f>
      </c>
      <c r="I8041" s="28">
        <f>IFERROR(VLOOKUP(F8041,CARTON_LOOKUP!$A:$E,5,0),"")</f>
      </c>
      <c r="J8041" s="29">
        <f>IFERROR(VLOOKUP(F8041,CARTON_LOOKUP!$A:$E,2,0),"")</f>
      </c>
      <c r="K8041" s="29">
        <f>IFERROR(J8041*D8041,0)</f>
      </c>
      <c r="L8041" s="29">
        <f>IFERROR(E8041*C8041,0)</f>
      </c>
      <c r="M8041" s="29">
        <f>IFERROR((G8041*H8041*I8041/1000000)*D8041,0)</f>
      </c>
    </row>
    <row r="8042" spans="1:13" x14ac:dyDescent="0.25">
      <c r="A8042" s="16"/>
      <c r="E8042" s="27"/>
      <c r="F8042" t="s">
        <v>26</v>
      </c>
      <c r="G8042" s="28">
        <f>IFERROR(VLOOKUP(F8042,CARTON_LOOKUP!$A:$E,3,0),"")</f>
      </c>
      <c r="H8042" s="28">
        <f>IFERROR(VLOOKUP(F8042,CARTON_LOOKUP!$A:$E,4,0),"")</f>
      </c>
      <c r="I8042" s="28">
        <f>IFERROR(VLOOKUP(F8042,CARTON_LOOKUP!$A:$E,5,0),"")</f>
      </c>
      <c r="J8042" s="29">
        <f>IFERROR(VLOOKUP(F8042,CARTON_LOOKUP!$A:$E,2,0),"")</f>
      </c>
      <c r="K8042" s="29">
        <f>IFERROR(J8042*D8042,0)</f>
      </c>
      <c r="L8042" s="29">
        <f>IFERROR(E8042*C8042,0)</f>
      </c>
      <c r="M8042" s="29">
        <f>IFERROR((G8042*H8042*I8042/1000000)*D8042,0)</f>
      </c>
    </row>
    <row r="8043" spans="1:13" x14ac:dyDescent="0.25">
      <c r="A8043" s="16"/>
      <c r="E8043" s="27"/>
      <c r="F8043" t="s">
        <v>26</v>
      </c>
      <c r="G8043" s="28">
        <f>IFERROR(VLOOKUP(F8043,CARTON_LOOKUP!$A:$E,3,0),"")</f>
      </c>
      <c r="H8043" s="28">
        <f>IFERROR(VLOOKUP(F8043,CARTON_LOOKUP!$A:$E,4,0),"")</f>
      </c>
      <c r="I8043" s="28">
        <f>IFERROR(VLOOKUP(F8043,CARTON_LOOKUP!$A:$E,5,0),"")</f>
      </c>
      <c r="J8043" s="29">
        <f>IFERROR(VLOOKUP(F8043,CARTON_LOOKUP!$A:$E,2,0),"")</f>
      </c>
      <c r="K8043" s="29">
        <f>IFERROR(J8043*D8043,0)</f>
      </c>
      <c r="L8043" s="29">
        <f>IFERROR(E8043*C8043,0)</f>
      </c>
      <c r="M8043" s="29">
        <f>IFERROR((G8043*H8043*I8043/1000000)*D8043,0)</f>
      </c>
    </row>
    <row r="8044" spans="1:13" x14ac:dyDescent="0.25">
      <c r="A8044" s="16"/>
      <c r="E8044" s="27"/>
      <c r="F8044" t="s">
        <v>26</v>
      </c>
      <c r="G8044" s="28">
        <f>IFERROR(VLOOKUP(F8044,CARTON_LOOKUP!$A:$E,3,0),"")</f>
      </c>
      <c r="H8044" s="28">
        <f>IFERROR(VLOOKUP(F8044,CARTON_LOOKUP!$A:$E,4,0),"")</f>
      </c>
      <c r="I8044" s="28">
        <f>IFERROR(VLOOKUP(F8044,CARTON_LOOKUP!$A:$E,5,0),"")</f>
      </c>
      <c r="J8044" s="29">
        <f>IFERROR(VLOOKUP(F8044,CARTON_LOOKUP!$A:$E,2,0),"")</f>
      </c>
      <c r="K8044" s="29">
        <f>IFERROR(J8044*D8044,0)</f>
      </c>
      <c r="L8044" s="29">
        <f>IFERROR(E8044*C8044,0)</f>
      </c>
      <c r="M8044" s="29">
        <f>IFERROR((G8044*H8044*I8044/1000000)*D8044,0)</f>
      </c>
    </row>
    <row r="8045" spans="1:13" x14ac:dyDescent="0.25">
      <c r="A8045" s="16"/>
      <c r="E8045" s="27"/>
      <c r="F8045" t="s">
        <v>26</v>
      </c>
      <c r="G8045" s="28">
        <f>IFERROR(VLOOKUP(F8045,CARTON_LOOKUP!$A:$E,3,0),"")</f>
      </c>
      <c r="H8045" s="28">
        <f>IFERROR(VLOOKUP(F8045,CARTON_LOOKUP!$A:$E,4,0),"")</f>
      </c>
      <c r="I8045" s="28">
        <f>IFERROR(VLOOKUP(F8045,CARTON_LOOKUP!$A:$E,5,0),"")</f>
      </c>
      <c r="J8045" s="29">
        <f>IFERROR(VLOOKUP(F8045,CARTON_LOOKUP!$A:$E,2,0),"")</f>
      </c>
      <c r="K8045" s="29">
        <f>IFERROR(J8045*D8045,0)</f>
      </c>
      <c r="L8045" s="29">
        <f>IFERROR(E8045*C8045,0)</f>
      </c>
      <c r="M8045" s="29">
        <f>IFERROR((G8045*H8045*I8045/1000000)*D8045,0)</f>
      </c>
    </row>
    <row r="8046" spans="1:13" x14ac:dyDescent="0.25">
      <c r="A8046" s="16"/>
      <c r="E8046" s="27"/>
      <c r="F8046" t="s">
        <v>26</v>
      </c>
      <c r="G8046" s="28">
        <f>IFERROR(VLOOKUP(F8046,CARTON_LOOKUP!$A:$E,3,0),"")</f>
      </c>
      <c r="H8046" s="28">
        <f>IFERROR(VLOOKUP(F8046,CARTON_LOOKUP!$A:$E,4,0),"")</f>
      </c>
      <c r="I8046" s="28">
        <f>IFERROR(VLOOKUP(F8046,CARTON_LOOKUP!$A:$E,5,0),"")</f>
      </c>
      <c r="J8046" s="29">
        <f>IFERROR(VLOOKUP(F8046,CARTON_LOOKUP!$A:$E,2,0),"")</f>
      </c>
      <c r="K8046" s="29">
        <f>IFERROR(J8046*D8046,0)</f>
      </c>
      <c r="L8046" s="29">
        <f>IFERROR(E8046*C8046,0)</f>
      </c>
      <c r="M8046" s="29">
        <f>IFERROR((G8046*H8046*I8046/1000000)*D8046,0)</f>
      </c>
    </row>
    <row r="8047" spans="1:13" x14ac:dyDescent="0.25">
      <c r="A8047" s="16"/>
      <c r="E8047" s="27"/>
      <c r="F8047" t="s">
        <v>26</v>
      </c>
      <c r="G8047" s="28">
        <f>IFERROR(VLOOKUP(F8047,CARTON_LOOKUP!$A:$E,3,0),"")</f>
      </c>
      <c r="H8047" s="28">
        <f>IFERROR(VLOOKUP(F8047,CARTON_LOOKUP!$A:$E,4,0),"")</f>
      </c>
      <c r="I8047" s="28">
        <f>IFERROR(VLOOKUP(F8047,CARTON_LOOKUP!$A:$E,5,0),"")</f>
      </c>
      <c r="J8047" s="29">
        <f>IFERROR(VLOOKUP(F8047,CARTON_LOOKUP!$A:$E,2,0),"")</f>
      </c>
      <c r="K8047" s="29">
        <f>IFERROR(J8047*D8047,0)</f>
      </c>
      <c r="L8047" s="29">
        <f>IFERROR(E8047*C8047,0)</f>
      </c>
      <c r="M8047" s="29">
        <f>IFERROR((G8047*H8047*I8047/1000000)*D8047,0)</f>
      </c>
    </row>
    <row r="8048" spans="1:13" x14ac:dyDescent="0.25">
      <c r="A8048" s="16"/>
      <c r="E8048" s="27"/>
      <c r="F8048" t="s">
        <v>26</v>
      </c>
      <c r="G8048" s="28">
        <f>IFERROR(VLOOKUP(F8048,CARTON_LOOKUP!$A:$E,3,0),"")</f>
      </c>
      <c r="H8048" s="28">
        <f>IFERROR(VLOOKUP(F8048,CARTON_LOOKUP!$A:$E,4,0),"")</f>
      </c>
      <c r="I8048" s="28">
        <f>IFERROR(VLOOKUP(F8048,CARTON_LOOKUP!$A:$E,5,0),"")</f>
      </c>
      <c r="J8048" s="29">
        <f>IFERROR(VLOOKUP(F8048,CARTON_LOOKUP!$A:$E,2,0),"")</f>
      </c>
      <c r="K8048" s="29">
        <f>IFERROR(J8048*D8048,0)</f>
      </c>
      <c r="L8048" s="29">
        <f>IFERROR(E8048*C8048,0)</f>
      </c>
      <c r="M8048" s="29">
        <f>IFERROR((G8048*H8048*I8048/1000000)*D8048,0)</f>
      </c>
    </row>
    <row r="8049" spans="1:13" x14ac:dyDescent="0.25">
      <c r="A8049" s="16"/>
      <c r="E8049" s="27"/>
      <c r="F8049" t="s">
        <v>26</v>
      </c>
      <c r="G8049" s="28">
        <f>IFERROR(VLOOKUP(F8049,CARTON_LOOKUP!$A:$E,3,0),"")</f>
      </c>
      <c r="H8049" s="28">
        <f>IFERROR(VLOOKUP(F8049,CARTON_LOOKUP!$A:$E,4,0),"")</f>
      </c>
      <c r="I8049" s="28">
        <f>IFERROR(VLOOKUP(F8049,CARTON_LOOKUP!$A:$E,5,0),"")</f>
      </c>
      <c r="J8049" s="29">
        <f>IFERROR(VLOOKUP(F8049,CARTON_LOOKUP!$A:$E,2,0),"")</f>
      </c>
      <c r="K8049" s="29">
        <f>IFERROR(J8049*D8049,0)</f>
      </c>
      <c r="L8049" s="29">
        <f>IFERROR(E8049*C8049,0)</f>
      </c>
      <c r="M8049" s="29">
        <f>IFERROR((G8049*H8049*I8049/1000000)*D8049,0)</f>
      </c>
    </row>
    <row r="8050" spans="1:13" x14ac:dyDescent="0.25">
      <c r="A8050" s="16"/>
      <c r="E8050" s="27"/>
      <c r="F8050" t="s">
        <v>26</v>
      </c>
      <c r="G8050" s="28">
        <f>IFERROR(VLOOKUP(F8050,CARTON_LOOKUP!$A:$E,3,0),"")</f>
      </c>
      <c r="H8050" s="28">
        <f>IFERROR(VLOOKUP(F8050,CARTON_LOOKUP!$A:$E,4,0),"")</f>
      </c>
      <c r="I8050" s="28">
        <f>IFERROR(VLOOKUP(F8050,CARTON_LOOKUP!$A:$E,5,0),"")</f>
      </c>
      <c r="J8050" s="29">
        <f>IFERROR(VLOOKUP(F8050,CARTON_LOOKUP!$A:$E,2,0),"")</f>
      </c>
      <c r="K8050" s="29">
        <f>IFERROR(J8050*D8050,0)</f>
      </c>
      <c r="L8050" s="29">
        <f>IFERROR(E8050*C8050,0)</f>
      </c>
      <c r="M8050" s="29">
        <f>IFERROR((G8050*H8050*I8050/1000000)*D8050,0)</f>
      </c>
    </row>
    <row r="8051" spans="1:13" x14ac:dyDescent="0.25">
      <c r="A8051" s="16"/>
      <c r="E8051" s="27"/>
      <c r="F8051" t="s">
        <v>26</v>
      </c>
      <c r="G8051" s="28">
        <f>IFERROR(VLOOKUP(F8051,CARTON_LOOKUP!$A:$E,3,0),"")</f>
      </c>
      <c r="H8051" s="28">
        <f>IFERROR(VLOOKUP(F8051,CARTON_LOOKUP!$A:$E,4,0),"")</f>
      </c>
      <c r="I8051" s="28">
        <f>IFERROR(VLOOKUP(F8051,CARTON_LOOKUP!$A:$E,5,0),"")</f>
      </c>
      <c r="J8051" s="29">
        <f>IFERROR(VLOOKUP(F8051,CARTON_LOOKUP!$A:$E,2,0),"")</f>
      </c>
      <c r="K8051" s="29">
        <f>IFERROR(J8051*D8051,0)</f>
      </c>
      <c r="L8051" s="29">
        <f>IFERROR(E8051*C8051,0)</f>
      </c>
      <c r="M8051" s="29">
        <f>IFERROR((G8051*H8051*I8051/1000000)*D8051,0)</f>
      </c>
    </row>
    <row r="8052" spans="1:13" x14ac:dyDescent="0.25">
      <c r="A8052" s="16"/>
      <c r="E8052" s="27"/>
      <c r="F8052" t="s">
        <v>26</v>
      </c>
      <c r="G8052" s="28">
        <f>IFERROR(VLOOKUP(F8052,CARTON_LOOKUP!$A:$E,3,0),"")</f>
      </c>
      <c r="H8052" s="28">
        <f>IFERROR(VLOOKUP(F8052,CARTON_LOOKUP!$A:$E,4,0),"")</f>
      </c>
      <c r="I8052" s="28">
        <f>IFERROR(VLOOKUP(F8052,CARTON_LOOKUP!$A:$E,5,0),"")</f>
      </c>
      <c r="J8052" s="29">
        <f>IFERROR(VLOOKUP(F8052,CARTON_LOOKUP!$A:$E,2,0),"")</f>
      </c>
      <c r="K8052" s="29">
        <f>IFERROR(J8052*D8052,0)</f>
      </c>
      <c r="L8052" s="29">
        <f>IFERROR(E8052*C8052,0)</f>
      </c>
      <c r="M8052" s="29">
        <f>IFERROR((G8052*H8052*I8052/1000000)*D8052,0)</f>
      </c>
    </row>
    <row r="8053" spans="1:13" x14ac:dyDescent="0.25">
      <c r="A8053" s="16"/>
      <c r="E8053" s="27"/>
      <c r="F8053" t="s">
        <v>26</v>
      </c>
      <c r="G8053" s="28">
        <f>IFERROR(VLOOKUP(F8053,CARTON_LOOKUP!$A:$E,3,0),"")</f>
      </c>
      <c r="H8053" s="28">
        <f>IFERROR(VLOOKUP(F8053,CARTON_LOOKUP!$A:$E,4,0),"")</f>
      </c>
      <c r="I8053" s="28">
        <f>IFERROR(VLOOKUP(F8053,CARTON_LOOKUP!$A:$E,5,0),"")</f>
      </c>
      <c r="J8053" s="29">
        <f>IFERROR(VLOOKUP(F8053,CARTON_LOOKUP!$A:$E,2,0),"")</f>
      </c>
      <c r="K8053" s="29">
        <f>IFERROR(J8053*D8053,0)</f>
      </c>
      <c r="L8053" s="29">
        <f>IFERROR(E8053*C8053,0)</f>
      </c>
      <c r="M8053" s="29">
        <f>IFERROR((G8053*H8053*I8053/1000000)*D8053,0)</f>
      </c>
    </row>
    <row r="8054" spans="1:13" x14ac:dyDescent="0.25">
      <c r="A8054" s="16"/>
      <c r="E8054" s="27"/>
      <c r="F8054" t="s">
        <v>26</v>
      </c>
      <c r="G8054" s="28">
        <f>IFERROR(VLOOKUP(F8054,CARTON_LOOKUP!$A:$E,3,0),"")</f>
      </c>
      <c r="H8054" s="28">
        <f>IFERROR(VLOOKUP(F8054,CARTON_LOOKUP!$A:$E,4,0),"")</f>
      </c>
      <c r="I8054" s="28">
        <f>IFERROR(VLOOKUP(F8054,CARTON_LOOKUP!$A:$E,5,0),"")</f>
      </c>
      <c r="J8054" s="29">
        <f>IFERROR(VLOOKUP(F8054,CARTON_LOOKUP!$A:$E,2,0),"")</f>
      </c>
      <c r="K8054" s="29">
        <f>IFERROR(J8054*D8054,0)</f>
      </c>
      <c r="L8054" s="29">
        <f>IFERROR(E8054*C8054,0)</f>
      </c>
      <c r="M8054" s="29">
        <f>IFERROR((G8054*H8054*I8054/1000000)*D8054,0)</f>
      </c>
    </row>
    <row r="8055" spans="1:13" x14ac:dyDescent="0.25">
      <c r="A8055" s="16"/>
      <c r="E8055" s="27"/>
      <c r="F8055" t="s">
        <v>26</v>
      </c>
      <c r="G8055" s="28">
        <f>IFERROR(VLOOKUP(F8055,CARTON_LOOKUP!$A:$E,3,0),"")</f>
      </c>
      <c r="H8055" s="28">
        <f>IFERROR(VLOOKUP(F8055,CARTON_LOOKUP!$A:$E,4,0),"")</f>
      </c>
      <c r="I8055" s="28">
        <f>IFERROR(VLOOKUP(F8055,CARTON_LOOKUP!$A:$E,5,0),"")</f>
      </c>
      <c r="J8055" s="29">
        <f>IFERROR(VLOOKUP(F8055,CARTON_LOOKUP!$A:$E,2,0),"")</f>
      </c>
      <c r="K8055" s="29">
        <f>IFERROR(J8055*D8055,0)</f>
      </c>
      <c r="L8055" s="29">
        <f>IFERROR(E8055*C8055,0)</f>
      </c>
      <c r="M8055" s="29">
        <f>IFERROR((G8055*H8055*I8055/1000000)*D8055,0)</f>
      </c>
    </row>
    <row r="8056" spans="1:13" x14ac:dyDescent="0.25">
      <c r="A8056" s="16"/>
      <c r="E8056" s="27"/>
      <c r="F8056" t="s">
        <v>26</v>
      </c>
      <c r="G8056" s="28">
        <f>IFERROR(VLOOKUP(F8056,CARTON_LOOKUP!$A:$E,3,0),"")</f>
      </c>
      <c r="H8056" s="28">
        <f>IFERROR(VLOOKUP(F8056,CARTON_LOOKUP!$A:$E,4,0),"")</f>
      </c>
      <c r="I8056" s="28">
        <f>IFERROR(VLOOKUP(F8056,CARTON_LOOKUP!$A:$E,5,0),"")</f>
      </c>
      <c r="J8056" s="29">
        <f>IFERROR(VLOOKUP(F8056,CARTON_LOOKUP!$A:$E,2,0),"")</f>
      </c>
      <c r="K8056" s="29">
        <f>IFERROR(J8056*D8056,0)</f>
      </c>
      <c r="L8056" s="29">
        <f>IFERROR(E8056*C8056,0)</f>
      </c>
      <c r="M8056" s="29">
        <f>IFERROR((G8056*H8056*I8056/1000000)*D8056,0)</f>
      </c>
    </row>
    <row r="8057" spans="1:13" x14ac:dyDescent="0.25">
      <c r="A8057" s="16"/>
      <c r="E8057" s="27"/>
      <c r="F8057" t="s">
        <v>26</v>
      </c>
      <c r="G8057" s="28">
        <f>IFERROR(VLOOKUP(F8057,CARTON_LOOKUP!$A:$E,3,0),"")</f>
      </c>
      <c r="H8057" s="28">
        <f>IFERROR(VLOOKUP(F8057,CARTON_LOOKUP!$A:$E,4,0),"")</f>
      </c>
      <c r="I8057" s="28">
        <f>IFERROR(VLOOKUP(F8057,CARTON_LOOKUP!$A:$E,5,0),"")</f>
      </c>
      <c r="J8057" s="29">
        <f>IFERROR(VLOOKUP(F8057,CARTON_LOOKUP!$A:$E,2,0),"")</f>
      </c>
      <c r="K8057" s="29">
        <f>IFERROR(J8057*D8057,0)</f>
      </c>
      <c r="L8057" s="29">
        <f>IFERROR(E8057*C8057,0)</f>
      </c>
      <c r="M8057" s="29">
        <f>IFERROR((G8057*H8057*I8057/1000000)*D8057,0)</f>
      </c>
    </row>
    <row r="8058" spans="1:13" x14ac:dyDescent="0.25">
      <c r="A8058" s="16"/>
      <c r="E8058" s="27"/>
      <c r="F8058" t="s">
        <v>26</v>
      </c>
      <c r="G8058" s="28">
        <f>IFERROR(VLOOKUP(F8058,CARTON_LOOKUP!$A:$E,3,0),"")</f>
      </c>
      <c r="H8058" s="28">
        <f>IFERROR(VLOOKUP(F8058,CARTON_LOOKUP!$A:$E,4,0),"")</f>
      </c>
      <c r="I8058" s="28">
        <f>IFERROR(VLOOKUP(F8058,CARTON_LOOKUP!$A:$E,5,0),"")</f>
      </c>
      <c r="J8058" s="29">
        <f>IFERROR(VLOOKUP(F8058,CARTON_LOOKUP!$A:$E,2,0),"")</f>
      </c>
      <c r="K8058" s="29">
        <f>IFERROR(J8058*D8058,0)</f>
      </c>
      <c r="L8058" s="29">
        <f>IFERROR(E8058*C8058,0)</f>
      </c>
      <c r="M8058" s="29">
        <f>IFERROR((G8058*H8058*I8058/1000000)*D8058,0)</f>
      </c>
    </row>
    <row r="8059" spans="1:13" x14ac:dyDescent="0.25">
      <c r="A8059" s="16"/>
      <c r="E8059" s="27"/>
      <c r="F8059" t="s">
        <v>26</v>
      </c>
      <c r="G8059" s="28">
        <f>IFERROR(VLOOKUP(F8059,CARTON_LOOKUP!$A:$E,3,0),"")</f>
      </c>
      <c r="H8059" s="28">
        <f>IFERROR(VLOOKUP(F8059,CARTON_LOOKUP!$A:$E,4,0),"")</f>
      </c>
      <c r="I8059" s="28">
        <f>IFERROR(VLOOKUP(F8059,CARTON_LOOKUP!$A:$E,5,0),"")</f>
      </c>
      <c r="J8059" s="29">
        <f>IFERROR(VLOOKUP(F8059,CARTON_LOOKUP!$A:$E,2,0),"")</f>
      </c>
      <c r="K8059" s="29">
        <f>IFERROR(J8059*D8059,0)</f>
      </c>
      <c r="L8059" s="29">
        <f>IFERROR(E8059*C8059,0)</f>
      </c>
      <c r="M8059" s="29">
        <f>IFERROR((G8059*H8059*I8059/1000000)*D8059,0)</f>
      </c>
    </row>
    <row r="8060" spans="1:13" x14ac:dyDescent="0.25">
      <c r="A8060" s="16"/>
      <c r="E8060" s="27"/>
      <c r="F8060" t="s">
        <v>26</v>
      </c>
      <c r="G8060" s="28">
        <f>IFERROR(VLOOKUP(F8060,CARTON_LOOKUP!$A:$E,3,0),"")</f>
      </c>
      <c r="H8060" s="28">
        <f>IFERROR(VLOOKUP(F8060,CARTON_LOOKUP!$A:$E,4,0),"")</f>
      </c>
      <c r="I8060" s="28">
        <f>IFERROR(VLOOKUP(F8060,CARTON_LOOKUP!$A:$E,5,0),"")</f>
      </c>
      <c r="J8060" s="29">
        <f>IFERROR(VLOOKUP(F8060,CARTON_LOOKUP!$A:$E,2,0),"")</f>
      </c>
      <c r="K8060" s="29">
        <f>IFERROR(J8060*D8060,0)</f>
      </c>
      <c r="L8060" s="29">
        <f>IFERROR(E8060*C8060,0)</f>
      </c>
      <c r="M8060" s="29">
        <f>IFERROR((G8060*H8060*I8060/1000000)*D8060,0)</f>
      </c>
    </row>
    <row r="8061" spans="1:13" x14ac:dyDescent="0.25">
      <c r="A8061" s="16"/>
      <c r="E8061" s="27"/>
      <c r="F8061" t="s">
        <v>26</v>
      </c>
      <c r="G8061" s="28">
        <f>IFERROR(VLOOKUP(F8061,CARTON_LOOKUP!$A:$E,3,0),"")</f>
      </c>
      <c r="H8061" s="28">
        <f>IFERROR(VLOOKUP(F8061,CARTON_LOOKUP!$A:$E,4,0),"")</f>
      </c>
      <c r="I8061" s="28">
        <f>IFERROR(VLOOKUP(F8061,CARTON_LOOKUP!$A:$E,5,0),"")</f>
      </c>
      <c r="J8061" s="29">
        <f>IFERROR(VLOOKUP(F8061,CARTON_LOOKUP!$A:$E,2,0),"")</f>
      </c>
      <c r="K8061" s="29">
        <f>IFERROR(J8061*D8061,0)</f>
      </c>
      <c r="L8061" s="29">
        <f>IFERROR(E8061*C8061,0)</f>
      </c>
      <c r="M8061" s="29">
        <f>IFERROR((G8061*H8061*I8061/1000000)*D8061,0)</f>
      </c>
    </row>
    <row r="8062" spans="1:13" x14ac:dyDescent="0.25">
      <c r="A8062" s="16"/>
      <c r="E8062" s="27"/>
      <c r="F8062" t="s">
        <v>26</v>
      </c>
      <c r="G8062" s="28">
        <f>IFERROR(VLOOKUP(F8062,CARTON_LOOKUP!$A:$E,3,0),"")</f>
      </c>
      <c r="H8062" s="28">
        <f>IFERROR(VLOOKUP(F8062,CARTON_LOOKUP!$A:$E,4,0),"")</f>
      </c>
      <c r="I8062" s="28">
        <f>IFERROR(VLOOKUP(F8062,CARTON_LOOKUP!$A:$E,5,0),"")</f>
      </c>
      <c r="J8062" s="29">
        <f>IFERROR(VLOOKUP(F8062,CARTON_LOOKUP!$A:$E,2,0),"")</f>
      </c>
      <c r="K8062" s="29">
        <f>IFERROR(J8062*D8062,0)</f>
      </c>
      <c r="L8062" s="29">
        <f>IFERROR(E8062*C8062,0)</f>
      </c>
      <c r="M8062" s="29">
        <f>IFERROR((G8062*H8062*I8062/1000000)*D8062,0)</f>
      </c>
    </row>
    <row r="8063" spans="1:13" x14ac:dyDescent="0.25">
      <c r="A8063" s="16"/>
      <c r="E8063" s="27"/>
      <c r="F8063" t="s">
        <v>26</v>
      </c>
      <c r="G8063" s="28">
        <f>IFERROR(VLOOKUP(F8063,CARTON_LOOKUP!$A:$E,3,0),"")</f>
      </c>
      <c r="H8063" s="28">
        <f>IFERROR(VLOOKUP(F8063,CARTON_LOOKUP!$A:$E,4,0),"")</f>
      </c>
      <c r="I8063" s="28">
        <f>IFERROR(VLOOKUP(F8063,CARTON_LOOKUP!$A:$E,5,0),"")</f>
      </c>
      <c r="J8063" s="29">
        <f>IFERROR(VLOOKUP(F8063,CARTON_LOOKUP!$A:$E,2,0),"")</f>
      </c>
      <c r="K8063" s="29">
        <f>IFERROR(J8063*D8063,0)</f>
      </c>
      <c r="L8063" s="29">
        <f>IFERROR(E8063*C8063,0)</f>
      </c>
      <c r="M8063" s="29">
        <f>IFERROR((G8063*H8063*I8063/1000000)*D8063,0)</f>
      </c>
    </row>
    <row r="8064" spans="1:13" x14ac:dyDescent="0.25">
      <c r="A8064" s="16"/>
      <c r="E8064" s="27"/>
      <c r="F8064" t="s">
        <v>26</v>
      </c>
      <c r="G8064" s="28">
        <f>IFERROR(VLOOKUP(F8064,CARTON_LOOKUP!$A:$E,3,0),"")</f>
      </c>
      <c r="H8064" s="28">
        <f>IFERROR(VLOOKUP(F8064,CARTON_LOOKUP!$A:$E,4,0),"")</f>
      </c>
      <c r="I8064" s="28">
        <f>IFERROR(VLOOKUP(F8064,CARTON_LOOKUP!$A:$E,5,0),"")</f>
      </c>
      <c r="J8064" s="29">
        <f>IFERROR(VLOOKUP(F8064,CARTON_LOOKUP!$A:$E,2,0),"")</f>
      </c>
      <c r="K8064" s="29">
        <f>IFERROR(J8064*D8064,0)</f>
      </c>
      <c r="L8064" s="29">
        <f>IFERROR(E8064*C8064,0)</f>
      </c>
      <c r="M8064" s="29">
        <f>IFERROR((G8064*H8064*I8064/1000000)*D8064,0)</f>
      </c>
    </row>
    <row r="8065" spans="1:13" x14ac:dyDescent="0.25">
      <c r="A8065" s="16"/>
      <c r="E8065" s="27"/>
      <c r="F8065" t="s">
        <v>26</v>
      </c>
      <c r="G8065" s="28">
        <f>IFERROR(VLOOKUP(F8065,CARTON_LOOKUP!$A:$E,3,0),"")</f>
      </c>
      <c r="H8065" s="28">
        <f>IFERROR(VLOOKUP(F8065,CARTON_LOOKUP!$A:$E,4,0),"")</f>
      </c>
      <c r="I8065" s="28">
        <f>IFERROR(VLOOKUP(F8065,CARTON_LOOKUP!$A:$E,5,0),"")</f>
      </c>
      <c r="J8065" s="29">
        <f>IFERROR(VLOOKUP(F8065,CARTON_LOOKUP!$A:$E,2,0),"")</f>
      </c>
      <c r="K8065" s="29">
        <f>IFERROR(J8065*D8065,0)</f>
      </c>
      <c r="L8065" s="29">
        <f>IFERROR(E8065*C8065,0)</f>
      </c>
      <c r="M8065" s="29">
        <f>IFERROR((G8065*H8065*I8065/1000000)*D8065,0)</f>
      </c>
    </row>
    <row r="8066" spans="1:13" x14ac:dyDescent="0.25">
      <c r="A8066" s="16"/>
      <c r="E8066" s="27"/>
      <c r="F8066" t="s">
        <v>26</v>
      </c>
      <c r="G8066" s="28">
        <f>IFERROR(VLOOKUP(F8066,CARTON_LOOKUP!$A:$E,3,0),"")</f>
      </c>
      <c r="H8066" s="28">
        <f>IFERROR(VLOOKUP(F8066,CARTON_LOOKUP!$A:$E,4,0),"")</f>
      </c>
      <c r="I8066" s="28">
        <f>IFERROR(VLOOKUP(F8066,CARTON_LOOKUP!$A:$E,5,0),"")</f>
      </c>
      <c r="J8066" s="29">
        <f>IFERROR(VLOOKUP(F8066,CARTON_LOOKUP!$A:$E,2,0),"")</f>
      </c>
      <c r="K8066" s="29">
        <f>IFERROR(J8066*D8066,0)</f>
      </c>
      <c r="L8066" s="29">
        <f>IFERROR(E8066*C8066,0)</f>
      </c>
      <c r="M8066" s="29">
        <f>IFERROR((G8066*H8066*I8066/1000000)*D8066,0)</f>
      </c>
    </row>
    <row r="8067" spans="1:13" x14ac:dyDescent="0.25">
      <c r="A8067" s="16"/>
      <c r="E8067" s="27"/>
      <c r="F8067" t="s">
        <v>26</v>
      </c>
      <c r="G8067" s="28">
        <f>IFERROR(VLOOKUP(F8067,CARTON_LOOKUP!$A:$E,3,0),"")</f>
      </c>
      <c r="H8067" s="28">
        <f>IFERROR(VLOOKUP(F8067,CARTON_LOOKUP!$A:$E,4,0),"")</f>
      </c>
      <c r="I8067" s="28">
        <f>IFERROR(VLOOKUP(F8067,CARTON_LOOKUP!$A:$E,5,0),"")</f>
      </c>
      <c r="J8067" s="29">
        <f>IFERROR(VLOOKUP(F8067,CARTON_LOOKUP!$A:$E,2,0),"")</f>
      </c>
      <c r="K8067" s="29">
        <f>IFERROR(J8067*D8067,0)</f>
      </c>
      <c r="L8067" s="29">
        <f>IFERROR(E8067*C8067,0)</f>
      </c>
      <c r="M8067" s="29">
        <f>IFERROR((G8067*H8067*I8067/1000000)*D8067,0)</f>
      </c>
    </row>
    <row r="8068" spans="1:13" x14ac:dyDescent="0.25">
      <c r="A8068" s="16"/>
      <c r="E8068" s="27"/>
      <c r="F8068" t="s">
        <v>26</v>
      </c>
      <c r="G8068" s="28">
        <f>IFERROR(VLOOKUP(F8068,CARTON_LOOKUP!$A:$E,3,0),"")</f>
      </c>
      <c r="H8068" s="28">
        <f>IFERROR(VLOOKUP(F8068,CARTON_LOOKUP!$A:$E,4,0),"")</f>
      </c>
      <c r="I8068" s="28">
        <f>IFERROR(VLOOKUP(F8068,CARTON_LOOKUP!$A:$E,5,0),"")</f>
      </c>
      <c r="J8068" s="29">
        <f>IFERROR(VLOOKUP(F8068,CARTON_LOOKUP!$A:$E,2,0),"")</f>
      </c>
      <c r="K8068" s="29">
        <f>IFERROR(J8068*D8068,0)</f>
      </c>
      <c r="L8068" s="29">
        <f>IFERROR(E8068*C8068,0)</f>
      </c>
      <c r="M8068" s="29">
        <f>IFERROR((G8068*H8068*I8068/1000000)*D8068,0)</f>
      </c>
    </row>
    <row r="8069" spans="1:13" x14ac:dyDescent="0.25">
      <c r="A8069" s="16"/>
      <c r="E8069" s="27"/>
      <c r="F8069" t="s">
        <v>26</v>
      </c>
      <c r="G8069" s="28">
        <f>IFERROR(VLOOKUP(F8069,CARTON_LOOKUP!$A:$E,3,0),"")</f>
      </c>
      <c r="H8069" s="28">
        <f>IFERROR(VLOOKUP(F8069,CARTON_LOOKUP!$A:$E,4,0),"")</f>
      </c>
      <c r="I8069" s="28">
        <f>IFERROR(VLOOKUP(F8069,CARTON_LOOKUP!$A:$E,5,0),"")</f>
      </c>
      <c r="J8069" s="29">
        <f>IFERROR(VLOOKUP(F8069,CARTON_LOOKUP!$A:$E,2,0),"")</f>
      </c>
      <c r="K8069" s="29">
        <f>IFERROR(J8069*D8069,0)</f>
      </c>
      <c r="L8069" s="29">
        <f>IFERROR(E8069*C8069,0)</f>
      </c>
      <c r="M8069" s="29">
        <f>IFERROR((G8069*H8069*I8069/1000000)*D8069,0)</f>
      </c>
    </row>
    <row r="8070" spans="1:13" x14ac:dyDescent="0.25">
      <c r="A8070" s="16"/>
      <c r="E8070" s="27"/>
      <c r="F8070" t="s">
        <v>26</v>
      </c>
      <c r="G8070" s="28">
        <f>IFERROR(VLOOKUP(F8070,CARTON_LOOKUP!$A:$E,3,0),"")</f>
      </c>
      <c r="H8070" s="28">
        <f>IFERROR(VLOOKUP(F8070,CARTON_LOOKUP!$A:$E,4,0),"")</f>
      </c>
      <c r="I8070" s="28">
        <f>IFERROR(VLOOKUP(F8070,CARTON_LOOKUP!$A:$E,5,0),"")</f>
      </c>
      <c r="J8070" s="29">
        <f>IFERROR(VLOOKUP(F8070,CARTON_LOOKUP!$A:$E,2,0),"")</f>
      </c>
      <c r="K8070" s="29">
        <f>IFERROR(J8070*D8070,0)</f>
      </c>
      <c r="L8070" s="29">
        <f>IFERROR(E8070*C8070,0)</f>
      </c>
      <c r="M8070" s="29">
        <f>IFERROR((G8070*H8070*I8070/1000000)*D8070,0)</f>
      </c>
    </row>
    <row r="8071" spans="1:13" x14ac:dyDescent="0.25">
      <c r="A8071" s="16"/>
      <c r="E8071" s="27"/>
      <c r="F8071" t="s">
        <v>26</v>
      </c>
      <c r="G8071" s="28">
        <f>IFERROR(VLOOKUP(F8071,CARTON_LOOKUP!$A:$E,3,0),"")</f>
      </c>
      <c r="H8071" s="28">
        <f>IFERROR(VLOOKUP(F8071,CARTON_LOOKUP!$A:$E,4,0),"")</f>
      </c>
      <c r="I8071" s="28">
        <f>IFERROR(VLOOKUP(F8071,CARTON_LOOKUP!$A:$E,5,0),"")</f>
      </c>
      <c r="J8071" s="29">
        <f>IFERROR(VLOOKUP(F8071,CARTON_LOOKUP!$A:$E,2,0),"")</f>
      </c>
      <c r="K8071" s="29">
        <f>IFERROR(J8071*D8071,0)</f>
      </c>
      <c r="L8071" s="29">
        <f>IFERROR(E8071*C8071,0)</f>
      </c>
      <c r="M8071" s="29">
        <f>IFERROR((G8071*H8071*I8071/1000000)*D8071,0)</f>
      </c>
    </row>
    <row r="8072" spans="1:13" x14ac:dyDescent="0.25">
      <c r="A8072" s="16"/>
      <c r="E8072" s="27"/>
      <c r="F8072" t="s">
        <v>26</v>
      </c>
      <c r="G8072" s="28">
        <f>IFERROR(VLOOKUP(F8072,CARTON_LOOKUP!$A:$E,3,0),"")</f>
      </c>
      <c r="H8072" s="28">
        <f>IFERROR(VLOOKUP(F8072,CARTON_LOOKUP!$A:$E,4,0),"")</f>
      </c>
      <c r="I8072" s="28">
        <f>IFERROR(VLOOKUP(F8072,CARTON_LOOKUP!$A:$E,5,0),"")</f>
      </c>
      <c r="J8072" s="29">
        <f>IFERROR(VLOOKUP(F8072,CARTON_LOOKUP!$A:$E,2,0),"")</f>
      </c>
      <c r="K8072" s="29">
        <f>IFERROR(J8072*D8072,0)</f>
      </c>
      <c r="L8072" s="29">
        <f>IFERROR(E8072*C8072,0)</f>
      </c>
      <c r="M8072" s="29">
        <f>IFERROR((G8072*H8072*I8072/1000000)*D8072,0)</f>
      </c>
    </row>
    <row r="8073" spans="1:13" x14ac:dyDescent="0.25">
      <c r="A8073" s="16"/>
      <c r="E8073" s="27"/>
      <c r="F8073" t="s">
        <v>26</v>
      </c>
      <c r="G8073" s="28">
        <f>IFERROR(VLOOKUP(F8073,CARTON_LOOKUP!$A:$E,3,0),"")</f>
      </c>
      <c r="H8073" s="28">
        <f>IFERROR(VLOOKUP(F8073,CARTON_LOOKUP!$A:$E,4,0),"")</f>
      </c>
      <c r="I8073" s="28">
        <f>IFERROR(VLOOKUP(F8073,CARTON_LOOKUP!$A:$E,5,0),"")</f>
      </c>
      <c r="J8073" s="29">
        <f>IFERROR(VLOOKUP(F8073,CARTON_LOOKUP!$A:$E,2,0),"")</f>
      </c>
      <c r="K8073" s="29">
        <f>IFERROR(J8073*D8073,0)</f>
      </c>
      <c r="L8073" s="29">
        <f>IFERROR(E8073*C8073,0)</f>
      </c>
      <c r="M8073" s="29">
        <f>IFERROR((G8073*H8073*I8073/1000000)*D8073,0)</f>
      </c>
    </row>
    <row r="8074" spans="1:13" x14ac:dyDescent="0.25">
      <c r="A8074" s="16"/>
      <c r="E8074" s="27"/>
      <c r="F8074" t="s">
        <v>26</v>
      </c>
      <c r="G8074" s="28">
        <f>IFERROR(VLOOKUP(F8074,CARTON_LOOKUP!$A:$E,3,0),"")</f>
      </c>
      <c r="H8074" s="28">
        <f>IFERROR(VLOOKUP(F8074,CARTON_LOOKUP!$A:$E,4,0),"")</f>
      </c>
      <c r="I8074" s="28">
        <f>IFERROR(VLOOKUP(F8074,CARTON_LOOKUP!$A:$E,5,0),"")</f>
      </c>
      <c r="J8074" s="29">
        <f>IFERROR(VLOOKUP(F8074,CARTON_LOOKUP!$A:$E,2,0),"")</f>
      </c>
      <c r="K8074" s="29">
        <f>IFERROR(J8074*D8074,0)</f>
      </c>
      <c r="L8074" s="29">
        <f>IFERROR(E8074*C8074,0)</f>
      </c>
      <c r="M8074" s="29">
        <f>IFERROR((G8074*H8074*I8074/1000000)*D8074,0)</f>
      </c>
    </row>
    <row r="8075" spans="1:13" x14ac:dyDescent="0.25">
      <c r="A8075" s="16"/>
      <c r="E8075" s="27"/>
      <c r="F8075" t="s">
        <v>26</v>
      </c>
      <c r="G8075" s="28">
        <f>IFERROR(VLOOKUP(F8075,CARTON_LOOKUP!$A:$E,3,0),"")</f>
      </c>
      <c r="H8075" s="28">
        <f>IFERROR(VLOOKUP(F8075,CARTON_LOOKUP!$A:$E,4,0),"")</f>
      </c>
      <c r="I8075" s="28">
        <f>IFERROR(VLOOKUP(F8075,CARTON_LOOKUP!$A:$E,5,0),"")</f>
      </c>
      <c r="J8075" s="29">
        <f>IFERROR(VLOOKUP(F8075,CARTON_LOOKUP!$A:$E,2,0),"")</f>
      </c>
      <c r="K8075" s="29">
        <f>IFERROR(J8075*D8075,0)</f>
      </c>
      <c r="L8075" s="29">
        <f>IFERROR(E8075*C8075,0)</f>
      </c>
      <c r="M8075" s="29">
        <f>IFERROR((G8075*H8075*I8075/1000000)*D8075,0)</f>
      </c>
    </row>
    <row r="8076" spans="1:13" x14ac:dyDescent="0.25">
      <c r="A8076" s="16"/>
      <c r="E8076" s="27"/>
      <c r="F8076" t="s">
        <v>26</v>
      </c>
      <c r="G8076" s="28">
        <f>IFERROR(VLOOKUP(F8076,CARTON_LOOKUP!$A:$E,3,0),"")</f>
      </c>
      <c r="H8076" s="28">
        <f>IFERROR(VLOOKUP(F8076,CARTON_LOOKUP!$A:$E,4,0),"")</f>
      </c>
      <c r="I8076" s="28">
        <f>IFERROR(VLOOKUP(F8076,CARTON_LOOKUP!$A:$E,5,0),"")</f>
      </c>
      <c r="J8076" s="29">
        <f>IFERROR(VLOOKUP(F8076,CARTON_LOOKUP!$A:$E,2,0),"")</f>
      </c>
      <c r="K8076" s="29">
        <f>IFERROR(J8076*D8076,0)</f>
      </c>
      <c r="L8076" s="29">
        <f>IFERROR(E8076*C8076,0)</f>
      </c>
      <c r="M8076" s="29">
        <f>IFERROR((G8076*H8076*I8076/1000000)*D8076,0)</f>
      </c>
    </row>
    <row r="8077" spans="1:13" x14ac:dyDescent="0.25">
      <c r="A8077" s="16"/>
      <c r="E8077" s="27"/>
      <c r="F8077" t="s">
        <v>26</v>
      </c>
      <c r="G8077" s="28">
        <f>IFERROR(VLOOKUP(F8077,CARTON_LOOKUP!$A:$E,3,0),"")</f>
      </c>
      <c r="H8077" s="28">
        <f>IFERROR(VLOOKUP(F8077,CARTON_LOOKUP!$A:$E,4,0),"")</f>
      </c>
      <c r="I8077" s="28">
        <f>IFERROR(VLOOKUP(F8077,CARTON_LOOKUP!$A:$E,5,0),"")</f>
      </c>
      <c r="J8077" s="29">
        <f>IFERROR(VLOOKUP(F8077,CARTON_LOOKUP!$A:$E,2,0),"")</f>
      </c>
      <c r="K8077" s="29">
        <f>IFERROR(J8077*D8077,0)</f>
      </c>
      <c r="L8077" s="29">
        <f>IFERROR(E8077*C8077,0)</f>
      </c>
      <c r="M8077" s="29">
        <f>IFERROR((G8077*H8077*I8077/1000000)*D8077,0)</f>
      </c>
    </row>
    <row r="8078" spans="1:13" x14ac:dyDescent="0.25">
      <c r="A8078" s="16"/>
      <c r="E8078" s="27"/>
      <c r="F8078" t="s">
        <v>26</v>
      </c>
      <c r="G8078" s="28">
        <f>IFERROR(VLOOKUP(F8078,CARTON_LOOKUP!$A:$E,3,0),"")</f>
      </c>
      <c r="H8078" s="28">
        <f>IFERROR(VLOOKUP(F8078,CARTON_LOOKUP!$A:$E,4,0),"")</f>
      </c>
      <c r="I8078" s="28">
        <f>IFERROR(VLOOKUP(F8078,CARTON_LOOKUP!$A:$E,5,0),"")</f>
      </c>
      <c r="J8078" s="29">
        <f>IFERROR(VLOOKUP(F8078,CARTON_LOOKUP!$A:$E,2,0),"")</f>
      </c>
      <c r="K8078" s="29">
        <f>IFERROR(J8078*D8078,0)</f>
      </c>
      <c r="L8078" s="29">
        <f>IFERROR(E8078*C8078,0)</f>
      </c>
      <c r="M8078" s="29">
        <f>IFERROR((G8078*H8078*I8078/1000000)*D8078,0)</f>
      </c>
    </row>
    <row r="8079" spans="1:13" x14ac:dyDescent="0.25">
      <c r="A8079" s="16"/>
      <c r="E8079" s="27"/>
      <c r="F8079" t="s">
        <v>26</v>
      </c>
      <c r="G8079" s="28">
        <f>IFERROR(VLOOKUP(F8079,CARTON_LOOKUP!$A:$E,3,0),"")</f>
      </c>
      <c r="H8079" s="28">
        <f>IFERROR(VLOOKUP(F8079,CARTON_LOOKUP!$A:$E,4,0),"")</f>
      </c>
      <c r="I8079" s="28">
        <f>IFERROR(VLOOKUP(F8079,CARTON_LOOKUP!$A:$E,5,0),"")</f>
      </c>
      <c r="J8079" s="29">
        <f>IFERROR(VLOOKUP(F8079,CARTON_LOOKUP!$A:$E,2,0),"")</f>
      </c>
      <c r="K8079" s="29">
        <f>IFERROR(J8079*D8079,0)</f>
      </c>
      <c r="L8079" s="29">
        <f>IFERROR(E8079*C8079,0)</f>
      </c>
      <c r="M8079" s="29">
        <f>IFERROR((G8079*H8079*I8079/1000000)*D8079,0)</f>
      </c>
    </row>
    <row r="8080" spans="1:13" x14ac:dyDescent="0.25">
      <c r="A8080" s="16"/>
      <c r="E8080" s="27"/>
      <c r="F8080" t="s">
        <v>26</v>
      </c>
      <c r="G8080" s="28">
        <f>IFERROR(VLOOKUP(F8080,CARTON_LOOKUP!$A:$E,3,0),"")</f>
      </c>
      <c r="H8080" s="28">
        <f>IFERROR(VLOOKUP(F8080,CARTON_LOOKUP!$A:$E,4,0),"")</f>
      </c>
      <c r="I8080" s="28">
        <f>IFERROR(VLOOKUP(F8080,CARTON_LOOKUP!$A:$E,5,0),"")</f>
      </c>
      <c r="J8080" s="29">
        <f>IFERROR(VLOOKUP(F8080,CARTON_LOOKUP!$A:$E,2,0),"")</f>
      </c>
      <c r="K8080" s="29">
        <f>IFERROR(J8080*D8080,0)</f>
      </c>
      <c r="L8080" s="29">
        <f>IFERROR(E8080*C8080,0)</f>
      </c>
      <c r="M8080" s="29">
        <f>IFERROR((G8080*H8080*I8080/1000000)*D8080,0)</f>
      </c>
    </row>
    <row r="8081" spans="1:13" x14ac:dyDescent="0.25">
      <c r="A8081" s="16"/>
      <c r="E8081" s="27"/>
      <c r="F8081" t="s">
        <v>26</v>
      </c>
      <c r="G8081" s="28">
        <f>IFERROR(VLOOKUP(F8081,CARTON_LOOKUP!$A:$E,3,0),"")</f>
      </c>
      <c r="H8081" s="28">
        <f>IFERROR(VLOOKUP(F8081,CARTON_LOOKUP!$A:$E,4,0),"")</f>
      </c>
      <c r="I8081" s="28">
        <f>IFERROR(VLOOKUP(F8081,CARTON_LOOKUP!$A:$E,5,0),"")</f>
      </c>
      <c r="J8081" s="29">
        <f>IFERROR(VLOOKUP(F8081,CARTON_LOOKUP!$A:$E,2,0),"")</f>
      </c>
      <c r="K8081" s="29">
        <f>IFERROR(J8081*D8081,0)</f>
      </c>
      <c r="L8081" s="29">
        <f>IFERROR(E8081*C8081,0)</f>
      </c>
      <c r="M8081" s="29">
        <f>IFERROR((G8081*H8081*I8081/1000000)*D8081,0)</f>
      </c>
    </row>
    <row r="8082" spans="1:13" x14ac:dyDescent="0.25">
      <c r="A8082" s="16"/>
      <c r="E8082" s="27"/>
      <c r="F8082" t="s">
        <v>26</v>
      </c>
      <c r="G8082" s="28">
        <f>IFERROR(VLOOKUP(F8082,CARTON_LOOKUP!$A:$E,3,0),"")</f>
      </c>
      <c r="H8082" s="28">
        <f>IFERROR(VLOOKUP(F8082,CARTON_LOOKUP!$A:$E,4,0),"")</f>
      </c>
      <c r="I8082" s="28">
        <f>IFERROR(VLOOKUP(F8082,CARTON_LOOKUP!$A:$E,5,0),"")</f>
      </c>
      <c r="J8082" s="29">
        <f>IFERROR(VLOOKUP(F8082,CARTON_LOOKUP!$A:$E,2,0),"")</f>
      </c>
      <c r="K8082" s="29">
        <f>IFERROR(J8082*D8082,0)</f>
      </c>
      <c r="L8082" s="29">
        <f>IFERROR(E8082*C8082,0)</f>
      </c>
      <c r="M8082" s="29">
        <f>IFERROR((G8082*H8082*I8082/1000000)*D8082,0)</f>
      </c>
    </row>
    <row r="8083" spans="1:13" x14ac:dyDescent="0.25">
      <c r="A8083" s="16"/>
      <c r="E8083" s="27"/>
      <c r="F8083" t="s">
        <v>26</v>
      </c>
      <c r="G8083" s="28">
        <f>IFERROR(VLOOKUP(F8083,CARTON_LOOKUP!$A:$E,3,0),"")</f>
      </c>
      <c r="H8083" s="28">
        <f>IFERROR(VLOOKUP(F8083,CARTON_LOOKUP!$A:$E,4,0),"")</f>
      </c>
      <c r="I8083" s="28">
        <f>IFERROR(VLOOKUP(F8083,CARTON_LOOKUP!$A:$E,5,0),"")</f>
      </c>
      <c r="J8083" s="29">
        <f>IFERROR(VLOOKUP(F8083,CARTON_LOOKUP!$A:$E,2,0),"")</f>
      </c>
      <c r="K8083" s="29">
        <f>IFERROR(J8083*D8083,0)</f>
      </c>
      <c r="L8083" s="29">
        <f>IFERROR(E8083*C8083,0)</f>
      </c>
      <c r="M8083" s="29">
        <f>IFERROR((G8083*H8083*I8083/1000000)*D8083,0)</f>
      </c>
    </row>
    <row r="8084" spans="1:13" x14ac:dyDescent="0.25">
      <c r="A8084" s="16"/>
      <c r="E8084" s="27"/>
      <c r="F8084" t="s">
        <v>26</v>
      </c>
      <c r="G8084" s="28">
        <f>IFERROR(VLOOKUP(F8084,CARTON_LOOKUP!$A:$E,3,0),"")</f>
      </c>
      <c r="H8084" s="28">
        <f>IFERROR(VLOOKUP(F8084,CARTON_LOOKUP!$A:$E,4,0),"")</f>
      </c>
      <c r="I8084" s="28">
        <f>IFERROR(VLOOKUP(F8084,CARTON_LOOKUP!$A:$E,5,0),"")</f>
      </c>
      <c r="J8084" s="29">
        <f>IFERROR(VLOOKUP(F8084,CARTON_LOOKUP!$A:$E,2,0),"")</f>
      </c>
      <c r="K8084" s="29">
        <f>IFERROR(J8084*D8084,0)</f>
      </c>
      <c r="L8084" s="29">
        <f>IFERROR(E8084*C8084,0)</f>
      </c>
      <c r="M8084" s="29">
        <f>IFERROR((G8084*H8084*I8084/1000000)*D8084,0)</f>
      </c>
    </row>
    <row r="8085" spans="1:13" x14ac:dyDescent="0.25">
      <c r="A8085" s="16"/>
      <c r="E8085" s="27"/>
      <c r="F8085" t="s">
        <v>26</v>
      </c>
      <c r="G8085" s="28">
        <f>IFERROR(VLOOKUP(F8085,CARTON_LOOKUP!$A:$E,3,0),"")</f>
      </c>
      <c r="H8085" s="28">
        <f>IFERROR(VLOOKUP(F8085,CARTON_LOOKUP!$A:$E,4,0),"")</f>
      </c>
      <c r="I8085" s="28">
        <f>IFERROR(VLOOKUP(F8085,CARTON_LOOKUP!$A:$E,5,0),"")</f>
      </c>
      <c r="J8085" s="29">
        <f>IFERROR(VLOOKUP(F8085,CARTON_LOOKUP!$A:$E,2,0),"")</f>
      </c>
      <c r="K8085" s="29">
        <f>IFERROR(J8085*D8085,0)</f>
      </c>
      <c r="L8085" s="29">
        <f>IFERROR(E8085*C8085,0)</f>
      </c>
      <c r="M8085" s="29">
        <f>IFERROR((G8085*H8085*I8085/1000000)*D8085,0)</f>
      </c>
    </row>
    <row r="8086" spans="1:13" x14ac:dyDescent="0.25">
      <c r="A8086" s="16"/>
      <c r="E8086" s="27"/>
      <c r="F8086" t="s">
        <v>26</v>
      </c>
      <c r="G8086" s="28">
        <f>IFERROR(VLOOKUP(F8086,CARTON_LOOKUP!$A:$E,3,0),"")</f>
      </c>
      <c r="H8086" s="28">
        <f>IFERROR(VLOOKUP(F8086,CARTON_LOOKUP!$A:$E,4,0),"")</f>
      </c>
      <c r="I8086" s="28">
        <f>IFERROR(VLOOKUP(F8086,CARTON_LOOKUP!$A:$E,5,0),"")</f>
      </c>
      <c r="J8086" s="29">
        <f>IFERROR(VLOOKUP(F8086,CARTON_LOOKUP!$A:$E,2,0),"")</f>
      </c>
      <c r="K8086" s="29">
        <f>IFERROR(J8086*D8086,0)</f>
      </c>
      <c r="L8086" s="29">
        <f>IFERROR(E8086*C8086,0)</f>
      </c>
      <c r="M8086" s="29">
        <f>IFERROR((G8086*H8086*I8086/1000000)*D8086,0)</f>
      </c>
    </row>
    <row r="8087" spans="1:13" x14ac:dyDescent="0.25">
      <c r="A8087" s="16"/>
      <c r="E8087" s="27"/>
      <c r="F8087" t="s">
        <v>26</v>
      </c>
      <c r="G8087" s="28">
        <f>IFERROR(VLOOKUP(F8087,CARTON_LOOKUP!$A:$E,3,0),"")</f>
      </c>
      <c r="H8087" s="28">
        <f>IFERROR(VLOOKUP(F8087,CARTON_LOOKUP!$A:$E,4,0),"")</f>
      </c>
      <c r="I8087" s="28">
        <f>IFERROR(VLOOKUP(F8087,CARTON_LOOKUP!$A:$E,5,0),"")</f>
      </c>
      <c r="J8087" s="29">
        <f>IFERROR(VLOOKUP(F8087,CARTON_LOOKUP!$A:$E,2,0),"")</f>
      </c>
      <c r="K8087" s="29">
        <f>IFERROR(J8087*D8087,0)</f>
      </c>
      <c r="L8087" s="29">
        <f>IFERROR(E8087*C8087,0)</f>
      </c>
      <c r="M8087" s="29">
        <f>IFERROR((G8087*H8087*I8087/1000000)*D8087,0)</f>
      </c>
    </row>
    <row r="8088" spans="1:13" x14ac:dyDescent="0.25">
      <c r="A8088" s="16"/>
      <c r="E8088" s="27"/>
      <c r="F8088" t="s">
        <v>26</v>
      </c>
      <c r="G8088" s="28">
        <f>IFERROR(VLOOKUP(F8088,CARTON_LOOKUP!$A:$E,3,0),"")</f>
      </c>
      <c r="H8088" s="28">
        <f>IFERROR(VLOOKUP(F8088,CARTON_LOOKUP!$A:$E,4,0),"")</f>
      </c>
      <c r="I8088" s="28">
        <f>IFERROR(VLOOKUP(F8088,CARTON_LOOKUP!$A:$E,5,0),"")</f>
      </c>
      <c r="J8088" s="29">
        <f>IFERROR(VLOOKUP(F8088,CARTON_LOOKUP!$A:$E,2,0),"")</f>
      </c>
      <c r="K8088" s="29">
        <f>IFERROR(J8088*D8088,0)</f>
      </c>
      <c r="L8088" s="29">
        <f>IFERROR(E8088*C8088,0)</f>
      </c>
      <c r="M8088" s="29">
        <f>IFERROR((G8088*H8088*I8088/1000000)*D8088,0)</f>
      </c>
    </row>
    <row r="8089" spans="1:13" x14ac:dyDescent="0.25">
      <c r="A8089" s="16"/>
      <c r="E8089" s="27"/>
      <c r="F8089" t="s">
        <v>26</v>
      </c>
      <c r="G8089" s="28">
        <f>IFERROR(VLOOKUP(F8089,CARTON_LOOKUP!$A:$E,3,0),"")</f>
      </c>
      <c r="H8089" s="28">
        <f>IFERROR(VLOOKUP(F8089,CARTON_LOOKUP!$A:$E,4,0),"")</f>
      </c>
      <c r="I8089" s="28">
        <f>IFERROR(VLOOKUP(F8089,CARTON_LOOKUP!$A:$E,5,0),"")</f>
      </c>
      <c r="J8089" s="29">
        <f>IFERROR(VLOOKUP(F8089,CARTON_LOOKUP!$A:$E,2,0),"")</f>
      </c>
      <c r="K8089" s="29">
        <f>IFERROR(J8089*D8089,0)</f>
      </c>
      <c r="L8089" s="29">
        <f>IFERROR(E8089*C8089,0)</f>
      </c>
      <c r="M8089" s="29">
        <f>IFERROR((G8089*H8089*I8089/1000000)*D8089,0)</f>
      </c>
    </row>
    <row r="8090" spans="1:13" x14ac:dyDescent="0.25">
      <c r="A8090" s="16"/>
      <c r="E8090" s="27"/>
      <c r="F8090" t="s">
        <v>26</v>
      </c>
      <c r="G8090" s="28">
        <f>IFERROR(VLOOKUP(F8090,CARTON_LOOKUP!$A:$E,3,0),"")</f>
      </c>
      <c r="H8090" s="28">
        <f>IFERROR(VLOOKUP(F8090,CARTON_LOOKUP!$A:$E,4,0),"")</f>
      </c>
      <c r="I8090" s="28">
        <f>IFERROR(VLOOKUP(F8090,CARTON_LOOKUP!$A:$E,5,0),"")</f>
      </c>
      <c r="J8090" s="29">
        <f>IFERROR(VLOOKUP(F8090,CARTON_LOOKUP!$A:$E,2,0),"")</f>
      </c>
      <c r="K8090" s="29">
        <f>IFERROR(J8090*D8090,0)</f>
      </c>
      <c r="L8090" s="29">
        <f>IFERROR(E8090*C8090,0)</f>
      </c>
      <c r="M8090" s="29">
        <f>IFERROR((G8090*H8090*I8090/1000000)*D8090,0)</f>
      </c>
    </row>
    <row r="8091" spans="1:13" x14ac:dyDescent="0.25">
      <c r="A8091" s="16"/>
      <c r="E8091" s="27"/>
      <c r="F8091" t="s">
        <v>26</v>
      </c>
      <c r="G8091" s="28">
        <f>IFERROR(VLOOKUP(F8091,CARTON_LOOKUP!$A:$E,3,0),"")</f>
      </c>
      <c r="H8091" s="28">
        <f>IFERROR(VLOOKUP(F8091,CARTON_LOOKUP!$A:$E,4,0),"")</f>
      </c>
      <c r="I8091" s="28">
        <f>IFERROR(VLOOKUP(F8091,CARTON_LOOKUP!$A:$E,5,0),"")</f>
      </c>
      <c r="J8091" s="29">
        <f>IFERROR(VLOOKUP(F8091,CARTON_LOOKUP!$A:$E,2,0),"")</f>
      </c>
      <c r="K8091" s="29">
        <f>IFERROR(J8091*D8091,0)</f>
      </c>
      <c r="L8091" s="29">
        <f>IFERROR(E8091*C8091,0)</f>
      </c>
      <c r="M8091" s="29">
        <f>IFERROR((G8091*H8091*I8091/1000000)*D8091,0)</f>
      </c>
    </row>
    <row r="8092" spans="1:13" x14ac:dyDescent="0.25">
      <c r="A8092" s="16"/>
      <c r="E8092" s="27"/>
      <c r="F8092" t="s">
        <v>26</v>
      </c>
      <c r="G8092" s="28">
        <f>IFERROR(VLOOKUP(F8092,CARTON_LOOKUP!$A:$E,3,0),"")</f>
      </c>
      <c r="H8092" s="28">
        <f>IFERROR(VLOOKUP(F8092,CARTON_LOOKUP!$A:$E,4,0),"")</f>
      </c>
      <c r="I8092" s="28">
        <f>IFERROR(VLOOKUP(F8092,CARTON_LOOKUP!$A:$E,5,0),"")</f>
      </c>
      <c r="J8092" s="29">
        <f>IFERROR(VLOOKUP(F8092,CARTON_LOOKUP!$A:$E,2,0),"")</f>
      </c>
      <c r="K8092" s="29">
        <f>IFERROR(J8092*D8092,0)</f>
      </c>
      <c r="L8092" s="29">
        <f>IFERROR(E8092*C8092,0)</f>
      </c>
      <c r="M8092" s="29">
        <f>IFERROR((G8092*H8092*I8092/1000000)*D8092,0)</f>
      </c>
    </row>
    <row r="8093" spans="1:13" x14ac:dyDescent="0.25">
      <c r="A8093" s="16"/>
      <c r="E8093" s="27"/>
      <c r="F8093" t="s">
        <v>26</v>
      </c>
      <c r="G8093" s="28">
        <f>IFERROR(VLOOKUP(F8093,CARTON_LOOKUP!$A:$E,3,0),"")</f>
      </c>
      <c r="H8093" s="28">
        <f>IFERROR(VLOOKUP(F8093,CARTON_LOOKUP!$A:$E,4,0),"")</f>
      </c>
      <c r="I8093" s="28">
        <f>IFERROR(VLOOKUP(F8093,CARTON_LOOKUP!$A:$E,5,0),"")</f>
      </c>
      <c r="J8093" s="29">
        <f>IFERROR(VLOOKUP(F8093,CARTON_LOOKUP!$A:$E,2,0),"")</f>
      </c>
      <c r="K8093" s="29">
        <f>IFERROR(J8093*D8093,0)</f>
      </c>
      <c r="L8093" s="29">
        <f>IFERROR(E8093*C8093,0)</f>
      </c>
      <c r="M8093" s="29">
        <f>IFERROR((G8093*H8093*I8093/1000000)*D8093,0)</f>
      </c>
    </row>
    <row r="8094" spans="1:13" x14ac:dyDescent="0.25">
      <c r="A8094" s="16"/>
      <c r="E8094" s="27"/>
      <c r="F8094" t="s">
        <v>26</v>
      </c>
      <c r="G8094" s="28">
        <f>IFERROR(VLOOKUP(F8094,CARTON_LOOKUP!$A:$E,3,0),"")</f>
      </c>
      <c r="H8094" s="28">
        <f>IFERROR(VLOOKUP(F8094,CARTON_LOOKUP!$A:$E,4,0),"")</f>
      </c>
      <c r="I8094" s="28">
        <f>IFERROR(VLOOKUP(F8094,CARTON_LOOKUP!$A:$E,5,0),"")</f>
      </c>
      <c r="J8094" s="29">
        <f>IFERROR(VLOOKUP(F8094,CARTON_LOOKUP!$A:$E,2,0),"")</f>
      </c>
      <c r="K8094" s="29">
        <f>IFERROR(J8094*D8094,0)</f>
      </c>
      <c r="L8094" s="29">
        <f>IFERROR(E8094*C8094,0)</f>
      </c>
      <c r="M8094" s="29">
        <f>IFERROR((G8094*H8094*I8094/1000000)*D8094,0)</f>
      </c>
    </row>
    <row r="8095" spans="1:13" x14ac:dyDescent="0.25">
      <c r="A8095" s="16"/>
      <c r="E8095" s="27"/>
      <c r="F8095" t="s">
        <v>26</v>
      </c>
      <c r="G8095" s="28">
        <f>IFERROR(VLOOKUP(F8095,CARTON_LOOKUP!$A:$E,3,0),"")</f>
      </c>
      <c r="H8095" s="28">
        <f>IFERROR(VLOOKUP(F8095,CARTON_LOOKUP!$A:$E,4,0),"")</f>
      </c>
      <c r="I8095" s="28">
        <f>IFERROR(VLOOKUP(F8095,CARTON_LOOKUP!$A:$E,5,0),"")</f>
      </c>
      <c r="J8095" s="29">
        <f>IFERROR(VLOOKUP(F8095,CARTON_LOOKUP!$A:$E,2,0),"")</f>
      </c>
      <c r="K8095" s="29">
        <f>IFERROR(J8095*D8095,0)</f>
      </c>
      <c r="L8095" s="29">
        <f>IFERROR(E8095*C8095,0)</f>
      </c>
      <c r="M8095" s="29">
        <f>IFERROR((G8095*H8095*I8095/1000000)*D8095,0)</f>
      </c>
    </row>
    <row r="8096" spans="1:13" x14ac:dyDescent="0.25">
      <c r="A8096" s="16"/>
      <c r="E8096" s="27"/>
      <c r="F8096" t="s">
        <v>26</v>
      </c>
      <c r="G8096" s="28">
        <f>IFERROR(VLOOKUP(F8096,CARTON_LOOKUP!$A:$E,3,0),"")</f>
      </c>
      <c r="H8096" s="28">
        <f>IFERROR(VLOOKUP(F8096,CARTON_LOOKUP!$A:$E,4,0),"")</f>
      </c>
      <c r="I8096" s="28">
        <f>IFERROR(VLOOKUP(F8096,CARTON_LOOKUP!$A:$E,5,0),"")</f>
      </c>
      <c r="J8096" s="29">
        <f>IFERROR(VLOOKUP(F8096,CARTON_LOOKUP!$A:$E,2,0),"")</f>
      </c>
      <c r="K8096" s="29">
        <f>IFERROR(J8096*D8096,0)</f>
      </c>
      <c r="L8096" s="29">
        <f>IFERROR(E8096*C8096,0)</f>
      </c>
      <c r="M8096" s="29">
        <f>IFERROR((G8096*H8096*I8096/1000000)*D8096,0)</f>
      </c>
    </row>
    <row r="8097" spans="1:13" x14ac:dyDescent="0.25">
      <c r="A8097" s="16"/>
      <c r="E8097" s="27"/>
      <c r="F8097" t="s">
        <v>26</v>
      </c>
      <c r="G8097" s="28">
        <f>IFERROR(VLOOKUP(F8097,CARTON_LOOKUP!$A:$E,3,0),"")</f>
      </c>
      <c r="H8097" s="28">
        <f>IFERROR(VLOOKUP(F8097,CARTON_LOOKUP!$A:$E,4,0),"")</f>
      </c>
      <c r="I8097" s="28">
        <f>IFERROR(VLOOKUP(F8097,CARTON_LOOKUP!$A:$E,5,0),"")</f>
      </c>
      <c r="J8097" s="29">
        <f>IFERROR(VLOOKUP(F8097,CARTON_LOOKUP!$A:$E,2,0),"")</f>
      </c>
      <c r="K8097" s="29">
        <f>IFERROR(J8097*D8097,0)</f>
      </c>
      <c r="L8097" s="29">
        <f>IFERROR(E8097*C8097,0)</f>
      </c>
      <c r="M8097" s="29">
        <f>IFERROR((G8097*H8097*I8097/1000000)*D8097,0)</f>
      </c>
    </row>
    <row r="8098" spans="1:13" x14ac:dyDescent="0.25">
      <c r="A8098" s="16"/>
      <c r="E8098" s="27"/>
      <c r="F8098" t="s">
        <v>26</v>
      </c>
      <c r="G8098" s="28">
        <f>IFERROR(VLOOKUP(F8098,CARTON_LOOKUP!$A:$E,3,0),"")</f>
      </c>
      <c r="H8098" s="28">
        <f>IFERROR(VLOOKUP(F8098,CARTON_LOOKUP!$A:$E,4,0),"")</f>
      </c>
      <c r="I8098" s="28">
        <f>IFERROR(VLOOKUP(F8098,CARTON_LOOKUP!$A:$E,5,0),"")</f>
      </c>
      <c r="J8098" s="29">
        <f>IFERROR(VLOOKUP(F8098,CARTON_LOOKUP!$A:$E,2,0),"")</f>
      </c>
      <c r="K8098" s="29">
        <f>IFERROR(J8098*D8098,0)</f>
      </c>
      <c r="L8098" s="29">
        <f>IFERROR(E8098*C8098,0)</f>
      </c>
      <c r="M8098" s="29">
        <f>IFERROR((G8098*H8098*I8098/1000000)*D8098,0)</f>
      </c>
    </row>
    <row r="8099" spans="1:13" x14ac:dyDescent="0.25">
      <c r="A8099" s="16"/>
      <c r="E8099" s="27"/>
      <c r="F8099" t="s">
        <v>26</v>
      </c>
      <c r="G8099" s="28">
        <f>IFERROR(VLOOKUP(F8099,CARTON_LOOKUP!$A:$E,3,0),"")</f>
      </c>
      <c r="H8099" s="28">
        <f>IFERROR(VLOOKUP(F8099,CARTON_LOOKUP!$A:$E,4,0),"")</f>
      </c>
      <c r="I8099" s="28">
        <f>IFERROR(VLOOKUP(F8099,CARTON_LOOKUP!$A:$E,5,0),"")</f>
      </c>
      <c r="J8099" s="29">
        <f>IFERROR(VLOOKUP(F8099,CARTON_LOOKUP!$A:$E,2,0),"")</f>
      </c>
      <c r="K8099" s="29">
        <f>IFERROR(J8099*D8099,0)</f>
      </c>
      <c r="L8099" s="29">
        <f>IFERROR(E8099*C8099,0)</f>
      </c>
      <c r="M8099" s="29">
        <f>IFERROR((G8099*H8099*I8099/1000000)*D8099,0)</f>
      </c>
    </row>
    <row r="8100" spans="1:13" x14ac:dyDescent="0.25">
      <c r="A8100" s="16"/>
      <c r="E8100" s="27"/>
      <c r="F8100" t="s">
        <v>26</v>
      </c>
      <c r="G8100" s="28">
        <f>IFERROR(VLOOKUP(F8100,CARTON_LOOKUP!$A:$E,3,0),"")</f>
      </c>
      <c r="H8100" s="28">
        <f>IFERROR(VLOOKUP(F8100,CARTON_LOOKUP!$A:$E,4,0),"")</f>
      </c>
      <c r="I8100" s="28">
        <f>IFERROR(VLOOKUP(F8100,CARTON_LOOKUP!$A:$E,5,0),"")</f>
      </c>
      <c r="J8100" s="29">
        <f>IFERROR(VLOOKUP(F8100,CARTON_LOOKUP!$A:$E,2,0),"")</f>
      </c>
      <c r="K8100" s="29">
        <f>IFERROR(J8100*D8100,0)</f>
      </c>
      <c r="L8100" s="29">
        <f>IFERROR(E8100*C8100,0)</f>
      </c>
      <c r="M8100" s="29">
        <f>IFERROR((G8100*H8100*I8100/1000000)*D8100,0)</f>
      </c>
    </row>
    <row r="8101" spans="1:13" x14ac:dyDescent="0.25">
      <c r="A8101" s="16"/>
      <c r="E8101" s="27"/>
      <c r="F8101" t="s">
        <v>26</v>
      </c>
      <c r="G8101" s="28">
        <f>IFERROR(VLOOKUP(F8101,CARTON_LOOKUP!$A:$E,3,0),"")</f>
      </c>
      <c r="H8101" s="28">
        <f>IFERROR(VLOOKUP(F8101,CARTON_LOOKUP!$A:$E,4,0),"")</f>
      </c>
      <c r="I8101" s="28">
        <f>IFERROR(VLOOKUP(F8101,CARTON_LOOKUP!$A:$E,5,0),"")</f>
      </c>
      <c r="J8101" s="29">
        <f>IFERROR(VLOOKUP(F8101,CARTON_LOOKUP!$A:$E,2,0),"")</f>
      </c>
      <c r="K8101" s="29">
        <f>IFERROR(J8101*D8101,0)</f>
      </c>
      <c r="L8101" s="29">
        <f>IFERROR(E8101*C8101,0)</f>
      </c>
      <c r="M8101" s="29">
        <f>IFERROR((G8101*H8101*I8101/1000000)*D8101,0)</f>
      </c>
    </row>
    <row r="8102" spans="1:13" x14ac:dyDescent="0.25">
      <c r="A8102" s="16"/>
      <c r="E8102" s="27"/>
      <c r="F8102" t="s">
        <v>26</v>
      </c>
      <c r="G8102" s="28">
        <f>IFERROR(VLOOKUP(F8102,CARTON_LOOKUP!$A:$E,3,0),"")</f>
      </c>
      <c r="H8102" s="28">
        <f>IFERROR(VLOOKUP(F8102,CARTON_LOOKUP!$A:$E,4,0),"")</f>
      </c>
      <c r="I8102" s="28">
        <f>IFERROR(VLOOKUP(F8102,CARTON_LOOKUP!$A:$E,5,0),"")</f>
      </c>
      <c r="J8102" s="29">
        <f>IFERROR(VLOOKUP(F8102,CARTON_LOOKUP!$A:$E,2,0),"")</f>
      </c>
      <c r="K8102" s="29">
        <f>IFERROR(J8102*D8102,0)</f>
      </c>
      <c r="L8102" s="29">
        <f>IFERROR(E8102*C8102,0)</f>
      </c>
      <c r="M8102" s="29">
        <f>IFERROR((G8102*H8102*I8102/1000000)*D8102,0)</f>
      </c>
    </row>
    <row r="8103" spans="1:13" x14ac:dyDescent="0.25">
      <c r="A8103" s="16"/>
      <c r="E8103" s="27"/>
      <c r="F8103" t="s">
        <v>26</v>
      </c>
      <c r="G8103" s="28">
        <f>IFERROR(VLOOKUP(F8103,CARTON_LOOKUP!$A:$E,3,0),"")</f>
      </c>
      <c r="H8103" s="28">
        <f>IFERROR(VLOOKUP(F8103,CARTON_LOOKUP!$A:$E,4,0),"")</f>
      </c>
      <c r="I8103" s="28">
        <f>IFERROR(VLOOKUP(F8103,CARTON_LOOKUP!$A:$E,5,0),"")</f>
      </c>
      <c r="J8103" s="29">
        <f>IFERROR(VLOOKUP(F8103,CARTON_LOOKUP!$A:$E,2,0),"")</f>
      </c>
      <c r="K8103" s="29">
        <f>IFERROR(J8103*D8103,0)</f>
      </c>
      <c r="L8103" s="29">
        <f>IFERROR(E8103*C8103,0)</f>
      </c>
      <c r="M8103" s="29">
        <f>IFERROR((G8103*H8103*I8103/1000000)*D8103,0)</f>
      </c>
    </row>
    <row r="8104" spans="1:13" x14ac:dyDescent="0.25">
      <c r="A8104" s="16"/>
      <c r="E8104" s="27"/>
      <c r="F8104" t="s">
        <v>26</v>
      </c>
      <c r="G8104" s="28">
        <f>IFERROR(VLOOKUP(F8104,CARTON_LOOKUP!$A:$E,3,0),"")</f>
      </c>
      <c r="H8104" s="28">
        <f>IFERROR(VLOOKUP(F8104,CARTON_LOOKUP!$A:$E,4,0),"")</f>
      </c>
      <c r="I8104" s="28">
        <f>IFERROR(VLOOKUP(F8104,CARTON_LOOKUP!$A:$E,5,0),"")</f>
      </c>
      <c r="J8104" s="29">
        <f>IFERROR(VLOOKUP(F8104,CARTON_LOOKUP!$A:$E,2,0),"")</f>
      </c>
      <c r="K8104" s="29">
        <f>IFERROR(J8104*D8104,0)</f>
      </c>
      <c r="L8104" s="29">
        <f>IFERROR(E8104*C8104,0)</f>
      </c>
      <c r="M8104" s="29">
        <f>IFERROR((G8104*H8104*I8104/1000000)*D8104,0)</f>
      </c>
    </row>
    <row r="8105" spans="1:13" x14ac:dyDescent="0.25">
      <c r="A8105" s="16"/>
      <c r="E8105" s="27"/>
      <c r="F8105" t="s">
        <v>26</v>
      </c>
      <c r="G8105" s="28">
        <f>IFERROR(VLOOKUP(F8105,CARTON_LOOKUP!$A:$E,3,0),"")</f>
      </c>
      <c r="H8105" s="28">
        <f>IFERROR(VLOOKUP(F8105,CARTON_LOOKUP!$A:$E,4,0),"")</f>
      </c>
      <c r="I8105" s="28">
        <f>IFERROR(VLOOKUP(F8105,CARTON_LOOKUP!$A:$E,5,0),"")</f>
      </c>
      <c r="J8105" s="29">
        <f>IFERROR(VLOOKUP(F8105,CARTON_LOOKUP!$A:$E,2,0),"")</f>
      </c>
      <c r="K8105" s="29">
        <f>IFERROR(J8105*D8105,0)</f>
      </c>
      <c r="L8105" s="29">
        <f>IFERROR(E8105*C8105,0)</f>
      </c>
      <c r="M8105" s="29">
        <f>IFERROR((G8105*H8105*I8105/1000000)*D8105,0)</f>
      </c>
    </row>
    <row r="8106" spans="1:13" x14ac:dyDescent="0.25">
      <c r="A8106" s="16"/>
      <c r="E8106" s="27"/>
      <c r="F8106" t="s">
        <v>26</v>
      </c>
      <c r="G8106" s="28">
        <f>IFERROR(VLOOKUP(F8106,CARTON_LOOKUP!$A:$E,3,0),"")</f>
      </c>
      <c r="H8106" s="28">
        <f>IFERROR(VLOOKUP(F8106,CARTON_LOOKUP!$A:$E,4,0),"")</f>
      </c>
      <c r="I8106" s="28">
        <f>IFERROR(VLOOKUP(F8106,CARTON_LOOKUP!$A:$E,5,0),"")</f>
      </c>
      <c r="J8106" s="29">
        <f>IFERROR(VLOOKUP(F8106,CARTON_LOOKUP!$A:$E,2,0),"")</f>
      </c>
      <c r="K8106" s="29">
        <f>IFERROR(J8106*D8106,0)</f>
      </c>
      <c r="L8106" s="29">
        <f>IFERROR(E8106*C8106,0)</f>
      </c>
      <c r="M8106" s="29">
        <f>IFERROR((G8106*H8106*I8106/1000000)*D8106,0)</f>
      </c>
    </row>
    <row r="8107" spans="1:13" x14ac:dyDescent="0.25">
      <c r="A8107" s="16"/>
      <c r="E8107" s="27"/>
      <c r="F8107" t="s">
        <v>26</v>
      </c>
      <c r="G8107" s="28">
        <f>IFERROR(VLOOKUP(F8107,CARTON_LOOKUP!$A:$E,3,0),"")</f>
      </c>
      <c r="H8107" s="28">
        <f>IFERROR(VLOOKUP(F8107,CARTON_LOOKUP!$A:$E,4,0),"")</f>
      </c>
      <c r="I8107" s="28">
        <f>IFERROR(VLOOKUP(F8107,CARTON_LOOKUP!$A:$E,5,0),"")</f>
      </c>
      <c r="J8107" s="29">
        <f>IFERROR(VLOOKUP(F8107,CARTON_LOOKUP!$A:$E,2,0),"")</f>
      </c>
      <c r="K8107" s="29">
        <f>IFERROR(J8107*D8107,0)</f>
      </c>
      <c r="L8107" s="29">
        <f>IFERROR(E8107*C8107,0)</f>
      </c>
      <c r="M8107" s="29">
        <f>IFERROR((G8107*H8107*I8107/1000000)*D8107,0)</f>
      </c>
    </row>
    <row r="8108" spans="1:13" x14ac:dyDescent="0.25">
      <c r="A8108" s="16"/>
      <c r="E8108" s="27"/>
      <c r="F8108" t="s">
        <v>26</v>
      </c>
      <c r="G8108" s="28">
        <f>IFERROR(VLOOKUP(F8108,CARTON_LOOKUP!$A:$E,3,0),"")</f>
      </c>
      <c r="H8108" s="28">
        <f>IFERROR(VLOOKUP(F8108,CARTON_LOOKUP!$A:$E,4,0),"")</f>
      </c>
      <c r="I8108" s="28">
        <f>IFERROR(VLOOKUP(F8108,CARTON_LOOKUP!$A:$E,5,0),"")</f>
      </c>
      <c r="J8108" s="29">
        <f>IFERROR(VLOOKUP(F8108,CARTON_LOOKUP!$A:$E,2,0),"")</f>
      </c>
      <c r="K8108" s="29">
        <f>IFERROR(J8108*D8108,0)</f>
      </c>
      <c r="L8108" s="29">
        <f>IFERROR(E8108*C8108,0)</f>
      </c>
      <c r="M8108" s="29">
        <f>IFERROR((G8108*H8108*I8108/1000000)*D8108,0)</f>
      </c>
    </row>
    <row r="8109" spans="1:13" x14ac:dyDescent="0.25">
      <c r="A8109" s="16"/>
      <c r="E8109" s="27"/>
      <c r="F8109" t="s">
        <v>26</v>
      </c>
      <c r="G8109" s="28">
        <f>IFERROR(VLOOKUP(F8109,CARTON_LOOKUP!$A:$E,3,0),"")</f>
      </c>
      <c r="H8109" s="28">
        <f>IFERROR(VLOOKUP(F8109,CARTON_LOOKUP!$A:$E,4,0),"")</f>
      </c>
      <c r="I8109" s="28">
        <f>IFERROR(VLOOKUP(F8109,CARTON_LOOKUP!$A:$E,5,0),"")</f>
      </c>
      <c r="J8109" s="29">
        <f>IFERROR(VLOOKUP(F8109,CARTON_LOOKUP!$A:$E,2,0),"")</f>
      </c>
      <c r="K8109" s="29">
        <f>IFERROR(J8109*D8109,0)</f>
      </c>
      <c r="L8109" s="29">
        <f>IFERROR(E8109*C8109,0)</f>
      </c>
      <c r="M8109" s="29">
        <f>IFERROR((G8109*H8109*I8109/1000000)*D8109,0)</f>
      </c>
    </row>
    <row r="8110" spans="1:13" x14ac:dyDescent="0.25">
      <c r="A8110" s="16"/>
      <c r="E8110" s="27"/>
      <c r="F8110" t="s">
        <v>26</v>
      </c>
      <c r="G8110" s="28">
        <f>IFERROR(VLOOKUP(F8110,CARTON_LOOKUP!$A:$E,3,0),"")</f>
      </c>
      <c r="H8110" s="28">
        <f>IFERROR(VLOOKUP(F8110,CARTON_LOOKUP!$A:$E,4,0),"")</f>
      </c>
      <c r="I8110" s="28">
        <f>IFERROR(VLOOKUP(F8110,CARTON_LOOKUP!$A:$E,5,0),"")</f>
      </c>
      <c r="J8110" s="29">
        <f>IFERROR(VLOOKUP(F8110,CARTON_LOOKUP!$A:$E,2,0),"")</f>
      </c>
      <c r="K8110" s="29">
        <f>IFERROR(J8110*D8110,0)</f>
      </c>
      <c r="L8110" s="29">
        <f>IFERROR(E8110*C8110,0)</f>
      </c>
      <c r="M8110" s="29">
        <f>IFERROR((G8110*H8110*I8110/1000000)*D8110,0)</f>
      </c>
    </row>
    <row r="8111" spans="1:13" x14ac:dyDescent="0.25">
      <c r="A8111" s="16"/>
      <c r="E8111" s="27"/>
      <c r="F8111" t="s">
        <v>26</v>
      </c>
      <c r="G8111" s="28">
        <f>IFERROR(VLOOKUP(F8111,CARTON_LOOKUP!$A:$E,3,0),"")</f>
      </c>
      <c r="H8111" s="28">
        <f>IFERROR(VLOOKUP(F8111,CARTON_LOOKUP!$A:$E,4,0),"")</f>
      </c>
      <c r="I8111" s="28">
        <f>IFERROR(VLOOKUP(F8111,CARTON_LOOKUP!$A:$E,5,0),"")</f>
      </c>
      <c r="J8111" s="29">
        <f>IFERROR(VLOOKUP(F8111,CARTON_LOOKUP!$A:$E,2,0),"")</f>
      </c>
      <c r="K8111" s="29">
        <f>IFERROR(J8111*D8111,0)</f>
      </c>
      <c r="L8111" s="29">
        <f>IFERROR(E8111*C8111,0)</f>
      </c>
      <c r="M8111" s="29">
        <f>IFERROR((G8111*H8111*I8111/1000000)*D8111,0)</f>
      </c>
    </row>
    <row r="8112" spans="1:13" x14ac:dyDescent="0.25">
      <c r="A8112" s="16"/>
      <c r="E8112" s="27"/>
      <c r="F8112" t="s">
        <v>26</v>
      </c>
      <c r="G8112" s="28">
        <f>IFERROR(VLOOKUP(F8112,CARTON_LOOKUP!$A:$E,3,0),"")</f>
      </c>
      <c r="H8112" s="28">
        <f>IFERROR(VLOOKUP(F8112,CARTON_LOOKUP!$A:$E,4,0),"")</f>
      </c>
      <c r="I8112" s="28">
        <f>IFERROR(VLOOKUP(F8112,CARTON_LOOKUP!$A:$E,5,0),"")</f>
      </c>
      <c r="J8112" s="29">
        <f>IFERROR(VLOOKUP(F8112,CARTON_LOOKUP!$A:$E,2,0),"")</f>
      </c>
      <c r="K8112" s="29">
        <f>IFERROR(J8112*D8112,0)</f>
      </c>
      <c r="L8112" s="29">
        <f>IFERROR(E8112*C8112,0)</f>
      </c>
      <c r="M8112" s="29">
        <f>IFERROR((G8112*H8112*I8112/1000000)*D8112,0)</f>
      </c>
    </row>
    <row r="8113" spans="1:13" x14ac:dyDescent="0.25">
      <c r="A8113" s="16"/>
      <c r="E8113" s="27"/>
      <c r="F8113" t="s">
        <v>26</v>
      </c>
      <c r="G8113" s="28">
        <f>IFERROR(VLOOKUP(F8113,CARTON_LOOKUP!$A:$E,3,0),"")</f>
      </c>
      <c r="H8113" s="28">
        <f>IFERROR(VLOOKUP(F8113,CARTON_LOOKUP!$A:$E,4,0),"")</f>
      </c>
      <c r="I8113" s="28">
        <f>IFERROR(VLOOKUP(F8113,CARTON_LOOKUP!$A:$E,5,0),"")</f>
      </c>
      <c r="J8113" s="29">
        <f>IFERROR(VLOOKUP(F8113,CARTON_LOOKUP!$A:$E,2,0),"")</f>
      </c>
      <c r="K8113" s="29">
        <f>IFERROR(J8113*D8113,0)</f>
      </c>
      <c r="L8113" s="29">
        <f>IFERROR(E8113*C8113,0)</f>
      </c>
      <c r="M8113" s="29">
        <f>IFERROR((G8113*H8113*I8113/1000000)*D8113,0)</f>
      </c>
    </row>
    <row r="8114" spans="1:13" x14ac:dyDescent="0.25">
      <c r="A8114" s="16"/>
      <c r="E8114" s="27"/>
      <c r="F8114" t="s">
        <v>26</v>
      </c>
      <c r="G8114" s="28">
        <f>IFERROR(VLOOKUP(F8114,CARTON_LOOKUP!$A:$E,3,0),"")</f>
      </c>
      <c r="H8114" s="28">
        <f>IFERROR(VLOOKUP(F8114,CARTON_LOOKUP!$A:$E,4,0),"")</f>
      </c>
      <c r="I8114" s="28">
        <f>IFERROR(VLOOKUP(F8114,CARTON_LOOKUP!$A:$E,5,0),"")</f>
      </c>
      <c r="J8114" s="29">
        <f>IFERROR(VLOOKUP(F8114,CARTON_LOOKUP!$A:$E,2,0),"")</f>
      </c>
      <c r="K8114" s="29">
        <f>IFERROR(J8114*D8114,0)</f>
      </c>
      <c r="L8114" s="29">
        <f>IFERROR(E8114*C8114,0)</f>
      </c>
      <c r="M8114" s="29">
        <f>IFERROR((G8114*H8114*I8114/1000000)*D8114,0)</f>
      </c>
    </row>
    <row r="8115" spans="1:13" x14ac:dyDescent="0.25">
      <c r="A8115" s="16"/>
      <c r="E8115" s="27"/>
      <c r="F8115" t="s">
        <v>26</v>
      </c>
      <c r="G8115" s="28">
        <f>IFERROR(VLOOKUP(F8115,CARTON_LOOKUP!$A:$E,3,0),"")</f>
      </c>
      <c r="H8115" s="28">
        <f>IFERROR(VLOOKUP(F8115,CARTON_LOOKUP!$A:$E,4,0),"")</f>
      </c>
      <c r="I8115" s="28">
        <f>IFERROR(VLOOKUP(F8115,CARTON_LOOKUP!$A:$E,5,0),"")</f>
      </c>
      <c r="J8115" s="29">
        <f>IFERROR(VLOOKUP(F8115,CARTON_LOOKUP!$A:$E,2,0),"")</f>
      </c>
      <c r="K8115" s="29">
        <f>IFERROR(J8115*D8115,0)</f>
      </c>
      <c r="L8115" s="29">
        <f>IFERROR(E8115*C8115,0)</f>
      </c>
      <c r="M8115" s="29">
        <f>IFERROR((G8115*H8115*I8115/1000000)*D8115,0)</f>
      </c>
    </row>
    <row r="8116" spans="1:13" x14ac:dyDescent="0.25">
      <c r="A8116" s="16"/>
      <c r="E8116" s="27"/>
      <c r="F8116" t="s">
        <v>26</v>
      </c>
      <c r="G8116" s="28">
        <f>IFERROR(VLOOKUP(F8116,CARTON_LOOKUP!$A:$E,3,0),"")</f>
      </c>
      <c r="H8116" s="28">
        <f>IFERROR(VLOOKUP(F8116,CARTON_LOOKUP!$A:$E,4,0),"")</f>
      </c>
      <c r="I8116" s="28">
        <f>IFERROR(VLOOKUP(F8116,CARTON_LOOKUP!$A:$E,5,0),"")</f>
      </c>
      <c r="J8116" s="29">
        <f>IFERROR(VLOOKUP(F8116,CARTON_LOOKUP!$A:$E,2,0),"")</f>
      </c>
      <c r="K8116" s="29">
        <f>IFERROR(J8116*D8116,0)</f>
      </c>
      <c r="L8116" s="29">
        <f>IFERROR(E8116*C8116,0)</f>
      </c>
      <c r="M8116" s="29">
        <f>IFERROR((G8116*H8116*I8116/1000000)*D8116,0)</f>
      </c>
    </row>
    <row r="8117" spans="1:13" x14ac:dyDescent="0.25">
      <c r="A8117" s="16"/>
      <c r="E8117" s="27"/>
      <c r="F8117" t="s">
        <v>26</v>
      </c>
      <c r="G8117" s="28">
        <f>IFERROR(VLOOKUP(F8117,CARTON_LOOKUP!$A:$E,3,0),"")</f>
      </c>
      <c r="H8117" s="28">
        <f>IFERROR(VLOOKUP(F8117,CARTON_LOOKUP!$A:$E,4,0),"")</f>
      </c>
      <c r="I8117" s="28">
        <f>IFERROR(VLOOKUP(F8117,CARTON_LOOKUP!$A:$E,5,0),"")</f>
      </c>
      <c r="J8117" s="29">
        <f>IFERROR(VLOOKUP(F8117,CARTON_LOOKUP!$A:$E,2,0),"")</f>
      </c>
      <c r="K8117" s="29">
        <f>IFERROR(J8117*D8117,0)</f>
      </c>
      <c r="L8117" s="29">
        <f>IFERROR(E8117*C8117,0)</f>
      </c>
      <c r="M8117" s="29">
        <f>IFERROR((G8117*H8117*I8117/1000000)*D8117,0)</f>
      </c>
    </row>
    <row r="8118" spans="1:13" x14ac:dyDescent="0.25">
      <c r="A8118" s="16"/>
      <c r="E8118" s="27"/>
      <c r="F8118" t="s">
        <v>26</v>
      </c>
      <c r="G8118" s="28">
        <f>IFERROR(VLOOKUP(F8118,CARTON_LOOKUP!$A:$E,3,0),"")</f>
      </c>
      <c r="H8118" s="28">
        <f>IFERROR(VLOOKUP(F8118,CARTON_LOOKUP!$A:$E,4,0),"")</f>
      </c>
      <c r="I8118" s="28">
        <f>IFERROR(VLOOKUP(F8118,CARTON_LOOKUP!$A:$E,5,0),"")</f>
      </c>
      <c r="J8118" s="29">
        <f>IFERROR(VLOOKUP(F8118,CARTON_LOOKUP!$A:$E,2,0),"")</f>
      </c>
      <c r="K8118" s="29">
        <f>IFERROR(J8118*D8118,0)</f>
      </c>
      <c r="L8118" s="29">
        <f>IFERROR(E8118*C8118,0)</f>
      </c>
      <c r="M8118" s="29">
        <f>IFERROR((G8118*H8118*I8118/1000000)*D8118,0)</f>
      </c>
    </row>
    <row r="8119" spans="1:13" x14ac:dyDescent="0.25">
      <c r="A8119" s="16"/>
      <c r="E8119" s="27"/>
      <c r="F8119" t="s">
        <v>26</v>
      </c>
      <c r="G8119" s="28">
        <f>IFERROR(VLOOKUP(F8119,CARTON_LOOKUP!$A:$E,3,0),"")</f>
      </c>
      <c r="H8119" s="28">
        <f>IFERROR(VLOOKUP(F8119,CARTON_LOOKUP!$A:$E,4,0),"")</f>
      </c>
      <c r="I8119" s="28">
        <f>IFERROR(VLOOKUP(F8119,CARTON_LOOKUP!$A:$E,5,0),"")</f>
      </c>
      <c r="J8119" s="29">
        <f>IFERROR(VLOOKUP(F8119,CARTON_LOOKUP!$A:$E,2,0),"")</f>
      </c>
      <c r="K8119" s="29">
        <f>IFERROR(J8119*D8119,0)</f>
      </c>
      <c r="L8119" s="29">
        <f>IFERROR(E8119*C8119,0)</f>
      </c>
      <c r="M8119" s="29">
        <f>IFERROR((G8119*H8119*I8119/1000000)*D8119,0)</f>
      </c>
    </row>
    <row r="8120" spans="1:13" x14ac:dyDescent="0.25">
      <c r="A8120" s="16"/>
      <c r="E8120" s="27"/>
      <c r="F8120" t="s">
        <v>26</v>
      </c>
      <c r="G8120" s="28">
        <f>IFERROR(VLOOKUP(F8120,CARTON_LOOKUP!$A:$E,3,0),"")</f>
      </c>
      <c r="H8120" s="28">
        <f>IFERROR(VLOOKUP(F8120,CARTON_LOOKUP!$A:$E,4,0),"")</f>
      </c>
      <c r="I8120" s="28">
        <f>IFERROR(VLOOKUP(F8120,CARTON_LOOKUP!$A:$E,5,0),"")</f>
      </c>
      <c r="J8120" s="29">
        <f>IFERROR(VLOOKUP(F8120,CARTON_LOOKUP!$A:$E,2,0),"")</f>
      </c>
      <c r="K8120" s="29">
        <f>IFERROR(J8120*D8120,0)</f>
      </c>
      <c r="L8120" s="29">
        <f>IFERROR(E8120*C8120,0)</f>
      </c>
      <c r="M8120" s="29">
        <f>IFERROR((G8120*H8120*I8120/1000000)*D8120,0)</f>
      </c>
    </row>
    <row r="8121" spans="1:13" x14ac:dyDescent="0.25">
      <c r="A8121" s="16"/>
      <c r="E8121" s="27"/>
      <c r="F8121" t="s">
        <v>26</v>
      </c>
      <c r="G8121" s="28">
        <f>IFERROR(VLOOKUP(F8121,CARTON_LOOKUP!$A:$E,3,0),"")</f>
      </c>
      <c r="H8121" s="28">
        <f>IFERROR(VLOOKUP(F8121,CARTON_LOOKUP!$A:$E,4,0),"")</f>
      </c>
      <c r="I8121" s="28">
        <f>IFERROR(VLOOKUP(F8121,CARTON_LOOKUP!$A:$E,5,0),"")</f>
      </c>
      <c r="J8121" s="29">
        <f>IFERROR(VLOOKUP(F8121,CARTON_LOOKUP!$A:$E,2,0),"")</f>
      </c>
      <c r="K8121" s="29">
        <f>IFERROR(J8121*D8121,0)</f>
      </c>
      <c r="L8121" s="29">
        <f>IFERROR(E8121*C8121,0)</f>
      </c>
      <c r="M8121" s="29">
        <f>IFERROR((G8121*H8121*I8121/1000000)*D8121,0)</f>
      </c>
    </row>
    <row r="8122" spans="1:13" x14ac:dyDescent="0.25">
      <c r="A8122" s="16"/>
      <c r="E8122" s="27"/>
      <c r="F8122" t="s">
        <v>26</v>
      </c>
      <c r="G8122" s="28">
        <f>IFERROR(VLOOKUP(F8122,CARTON_LOOKUP!$A:$E,3,0),"")</f>
      </c>
      <c r="H8122" s="28">
        <f>IFERROR(VLOOKUP(F8122,CARTON_LOOKUP!$A:$E,4,0),"")</f>
      </c>
      <c r="I8122" s="28">
        <f>IFERROR(VLOOKUP(F8122,CARTON_LOOKUP!$A:$E,5,0),"")</f>
      </c>
      <c r="J8122" s="29">
        <f>IFERROR(VLOOKUP(F8122,CARTON_LOOKUP!$A:$E,2,0),"")</f>
      </c>
      <c r="K8122" s="29">
        <f>IFERROR(J8122*D8122,0)</f>
      </c>
      <c r="L8122" s="29">
        <f>IFERROR(E8122*C8122,0)</f>
      </c>
      <c r="M8122" s="29">
        <f>IFERROR((G8122*H8122*I8122/1000000)*D8122,0)</f>
      </c>
    </row>
    <row r="8123" spans="1:13" x14ac:dyDescent="0.25">
      <c r="A8123" s="16"/>
      <c r="E8123" s="27"/>
      <c r="F8123" t="s">
        <v>26</v>
      </c>
      <c r="G8123" s="28">
        <f>IFERROR(VLOOKUP(F8123,CARTON_LOOKUP!$A:$E,3,0),"")</f>
      </c>
      <c r="H8123" s="28">
        <f>IFERROR(VLOOKUP(F8123,CARTON_LOOKUP!$A:$E,4,0),"")</f>
      </c>
      <c r="I8123" s="28">
        <f>IFERROR(VLOOKUP(F8123,CARTON_LOOKUP!$A:$E,5,0),"")</f>
      </c>
      <c r="J8123" s="29">
        <f>IFERROR(VLOOKUP(F8123,CARTON_LOOKUP!$A:$E,2,0),"")</f>
      </c>
      <c r="K8123" s="29">
        <f>IFERROR(J8123*D8123,0)</f>
      </c>
      <c r="L8123" s="29">
        <f>IFERROR(E8123*C8123,0)</f>
      </c>
      <c r="M8123" s="29">
        <f>IFERROR((G8123*H8123*I8123/1000000)*D8123,0)</f>
      </c>
    </row>
    <row r="8124" spans="1:13" x14ac:dyDescent="0.25">
      <c r="A8124" s="16"/>
      <c r="E8124" s="27"/>
      <c r="F8124" t="s">
        <v>26</v>
      </c>
      <c r="G8124" s="28">
        <f>IFERROR(VLOOKUP(F8124,CARTON_LOOKUP!$A:$E,3,0),"")</f>
      </c>
      <c r="H8124" s="28">
        <f>IFERROR(VLOOKUP(F8124,CARTON_LOOKUP!$A:$E,4,0),"")</f>
      </c>
      <c r="I8124" s="28">
        <f>IFERROR(VLOOKUP(F8124,CARTON_LOOKUP!$A:$E,5,0),"")</f>
      </c>
      <c r="J8124" s="29">
        <f>IFERROR(VLOOKUP(F8124,CARTON_LOOKUP!$A:$E,2,0),"")</f>
      </c>
      <c r="K8124" s="29">
        <f>IFERROR(J8124*D8124,0)</f>
      </c>
      <c r="L8124" s="29">
        <f>IFERROR(E8124*C8124,0)</f>
      </c>
      <c r="M8124" s="29">
        <f>IFERROR((G8124*H8124*I8124/1000000)*D8124,0)</f>
      </c>
    </row>
    <row r="8125" spans="1:13" x14ac:dyDescent="0.25">
      <c r="A8125" s="16"/>
      <c r="E8125" s="27"/>
      <c r="F8125" t="s">
        <v>26</v>
      </c>
      <c r="G8125" s="28">
        <f>IFERROR(VLOOKUP(F8125,CARTON_LOOKUP!$A:$E,3,0),"")</f>
      </c>
      <c r="H8125" s="28">
        <f>IFERROR(VLOOKUP(F8125,CARTON_LOOKUP!$A:$E,4,0),"")</f>
      </c>
      <c r="I8125" s="28">
        <f>IFERROR(VLOOKUP(F8125,CARTON_LOOKUP!$A:$E,5,0),"")</f>
      </c>
      <c r="J8125" s="29">
        <f>IFERROR(VLOOKUP(F8125,CARTON_LOOKUP!$A:$E,2,0),"")</f>
      </c>
      <c r="K8125" s="29">
        <f>IFERROR(J8125*D8125,0)</f>
      </c>
      <c r="L8125" s="29">
        <f>IFERROR(E8125*C8125,0)</f>
      </c>
      <c r="M8125" s="29">
        <f>IFERROR((G8125*H8125*I8125/1000000)*D8125,0)</f>
      </c>
    </row>
    <row r="8126" spans="1:13" x14ac:dyDescent="0.25">
      <c r="A8126" s="16"/>
      <c r="E8126" s="27"/>
      <c r="F8126" t="s">
        <v>26</v>
      </c>
      <c r="G8126" s="28">
        <f>IFERROR(VLOOKUP(F8126,CARTON_LOOKUP!$A:$E,3,0),"")</f>
      </c>
      <c r="H8126" s="28">
        <f>IFERROR(VLOOKUP(F8126,CARTON_LOOKUP!$A:$E,4,0),"")</f>
      </c>
      <c r="I8126" s="28">
        <f>IFERROR(VLOOKUP(F8126,CARTON_LOOKUP!$A:$E,5,0),"")</f>
      </c>
      <c r="J8126" s="29">
        <f>IFERROR(VLOOKUP(F8126,CARTON_LOOKUP!$A:$E,2,0),"")</f>
      </c>
      <c r="K8126" s="29">
        <f>IFERROR(J8126*D8126,0)</f>
      </c>
      <c r="L8126" s="29">
        <f>IFERROR(E8126*C8126,0)</f>
      </c>
      <c r="M8126" s="29">
        <f>IFERROR((G8126*H8126*I8126/1000000)*D8126,0)</f>
      </c>
    </row>
    <row r="8127" spans="1:13" x14ac:dyDescent="0.25">
      <c r="A8127" s="16"/>
      <c r="E8127" s="27"/>
      <c r="F8127" t="s">
        <v>26</v>
      </c>
      <c r="G8127" s="28">
        <f>IFERROR(VLOOKUP(F8127,CARTON_LOOKUP!$A:$E,3,0),"")</f>
      </c>
      <c r="H8127" s="28">
        <f>IFERROR(VLOOKUP(F8127,CARTON_LOOKUP!$A:$E,4,0),"")</f>
      </c>
      <c r="I8127" s="28">
        <f>IFERROR(VLOOKUP(F8127,CARTON_LOOKUP!$A:$E,5,0),"")</f>
      </c>
      <c r="J8127" s="29">
        <f>IFERROR(VLOOKUP(F8127,CARTON_LOOKUP!$A:$E,2,0),"")</f>
      </c>
      <c r="K8127" s="29">
        <f>IFERROR(J8127*D8127,0)</f>
      </c>
      <c r="L8127" s="29">
        <f>IFERROR(E8127*C8127,0)</f>
      </c>
      <c r="M8127" s="29">
        <f>IFERROR((G8127*H8127*I8127/1000000)*D8127,0)</f>
      </c>
    </row>
    <row r="8128" spans="1:13" x14ac:dyDescent="0.25">
      <c r="A8128" s="16"/>
      <c r="E8128" s="27"/>
      <c r="F8128" t="s">
        <v>26</v>
      </c>
      <c r="G8128" s="28">
        <f>IFERROR(VLOOKUP(F8128,CARTON_LOOKUP!$A:$E,3,0),"")</f>
      </c>
      <c r="H8128" s="28">
        <f>IFERROR(VLOOKUP(F8128,CARTON_LOOKUP!$A:$E,4,0),"")</f>
      </c>
      <c r="I8128" s="28">
        <f>IFERROR(VLOOKUP(F8128,CARTON_LOOKUP!$A:$E,5,0),"")</f>
      </c>
      <c r="J8128" s="29">
        <f>IFERROR(VLOOKUP(F8128,CARTON_LOOKUP!$A:$E,2,0),"")</f>
      </c>
      <c r="K8128" s="29">
        <f>IFERROR(J8128*D8128,0)</f>
      </c>
      <c r="L8128" s="29">
        <f>IFERROR(E8128*C8128,0)</f>
      </c>
      <c r="M8128" s="29">
        <f>IFERROR((G8128*H8128*I8128/1000000)*D8128,0)</f>
      </c>
    </row>
    <row r="8129" spans="1:13" x14ac:dyDescent="0.25">
      <c r="A8129" s="16"/>
      <c r="E8129" s="27"/>
      <c r="F8129" t="s">
        <v>26</v>
      </c>
      <c r="G8129" s="28">
        <f>IFERROR(VLOOKUP(F8129,CARTON_LOOKUP!$A:$E,3,0),"")</f>
      </c>
      <c r="H8129" s="28">
        <f>IFERROR(VLOOKUP(F8129,CARTON_LOOKUP!$A:$E,4,0),"")</f>
      </c>
      <c r="I8129" s="28">
        <f>IFERROR(VLOOKUP(F8129,CARTON_LOOKUP!$A:$E,5,0),"")</f>
      </c>
      <c r="J8129" s="29">
        <f>IFERROR(VLOOKUP(F8129,CARTON_LOOKUP!$A:$E,2,0),"")</f>
      </c>
      <c r="K8129" s="29">
        <f>IFERROR(J8129*D8129,0)</f>
      </c>
      <c r="L8129" s="29">
        <f>IFERROR(E8129*C8129,0)</f>
      </c>
      <c r="M8129" s="29">
        <f>IFERROR((G8129*H8129*I8129/1000000)*D8129,0)</f>
      </c>
    </row>
    <row r="8130" spans="1:13" x14ac:dyDescent="0.25">
      <c r="A8130" s="16"/>
      <c r="E8130" s="27"/>
      <c r="F8130" t="s">
        <v>26</v>
      </c>
      <c r="G8130" s="28">
        <f>IFERROR(VLOOKUP(F8130,CARTON_LOOKUP!$A:$E,3,0),"")</f>
      </c>
      <c r="H8130" s="28">
        <f>IFERROR(VLOOKUP(F8130,CARTON_LOOKUP!$A:$E,4,0),"")</f>
      </c>
      <c r="I8130" s="28">
        <f>IFERROR(VLOOKUP(F8130,CARTON_LOOKUP!$A:$E,5,0),"")</f>
      </c>
      <c r="J8130" s="29">
        <f>IFERROR(VLOOKUP(F8130,CARTON_LOOKUP!$A:$E,2,0),"")</f>
      </c>
      <c r="K8130" s="29">
        <f>IFERROR(J8130*D8130,0)</f>
      </c>
      <c r="L8130" s="29">
        <f>IFERROR(E8130*C8130,0)</f>
      </c>
      <c r="M8130" s="29">
        <f>IFERROR((G8130*H8130*I8130/1000000)*D8130,0)</f>
      </c>
    </row>
    <row r="8131" spans="1:13" x14ac:dyDescent="0.25">
      <c r="A8131" s="16"/>
      <c r="E8131" s="27"/>
      <c r="F8131" t="s">
        <v>26</v>
      </c>
      <c r="G8131" s="28">
        <f>IFERROR(VLOOKUP(F8131,CARTON_LOOKUP!$A:$E,3,0),"")</f>
      </c>
      <c r="H8131" s="28">
        <f>IFERROR(VLOOKUP(F8131,CARTON_LOOKUP!$A:$E,4,0),"")</f>
      </c>
      <c r="I8131" s="28">
        <f>IFERROR(VLOOKUP(F8131,CARTON_LOOKUP!$A:$E,5,0),"")</f>
      </c>
      <c r="J8131" s="29">
        <f>IFERROR(VLOOKUP(F8131,CARTON_LOOKUP!$A:$E,2,0),"")</f>
      </c>
      <c r="K8131" s="29">
        <f>IFERROR(J8131*D8131,0)</f>
      </c>
      <c r="L8131" s="29">
        <f>IFERROR(E8131*C8131,0)</f>
      </c>
      <c r="M8131" s="29">
        <f>IFERROR((G8131*H8131*I8131/1000000)*D8131,0)</f>
      </c>
    </row>
    <row r="8132" spans="1:13" x14ac:dyDescent="0.25">
      <c r="A8132" s="16"/>
      <c r="E8132" s="27"/>
      <c r="F8132" t="s">
        <v>26</v>
      </c>
      <c r="G8132" s="28">
        <f>IFERROR(VLOOKUP(F8132,CARTON_LOOKUP!$A:$E,3,0),"")</f>
      </c>
      <c r="H8132" s="28">
        <f>IFERROR(VLOOKUP(F8132,CARTON_LOOKUP!$A:$E,4,0),"")</f>
      </c>
      <c r="I8132" s="28">
        <f>IFERROR(VLOOKUP(F8132,CARTON_LOOKUP!$A:$E,5,0),"")</f>
      </c>
      <c r="J8132" s="29">
        <f>IFERROR(VLOOKUP(F8132,CARTON_LOOKUP!$A:$E,2,0),"")</f>
      </c>
      <c r="K8132" s="29">
        <f>IFERROR(J8132*D8132,0)</f>
      </c>
      <c r="L8132" s="29">
        <f>IFERROR(E8132*C8132,0)</f>
      </c>
      <c r="M8132" s="29">
        <f>IFERROR((G8132*H8132*I8132/1000000)*D8132,0)</f>
      </c>
    </row>
    <row r="8133" spans="1:13" x14ac:dyDescent="0.25">
      <c r="A8133" s="16"/>
      <c r="E8133" s="27"/>
      <c r="F8133" t="s">
        <v>26</v>
      </c>
      <c r="G8133" s="28">
        <f>IFERROR(VLOOKUP(F8133,CARTON_LOOKUP!$A:$E,3,0),"")</f>
      </c>
      <c r="H8133" s="28">
        <f>IFERROR(VLOOKUP(F8133,CARTON_LOOKUP!$A:$E,4,0),"")</f>
      </c>
      <c r="I8133" s="28">
        <f>IFERROR(VLOOKUP(F8133,CARTON_LOOKUP!$A:$E,5,0),"")</f>
      </c>
      <c r="J8133" s="29">
        <f>IFERROR(VLOOKUP(F8133,CARTON_LOOKUP!$A:$E,2,0),"")</f>
      </c>
      <c r="K8133" s="29">
        <f>IFERROR(J8133*D8133,0)</f>
      </c>
      <c r="L8133" s="29">
        <f>IFERROR(E8133*C8133,0)</f>
      </c>
      <c r="M8133" s="29">
        <f>IFERROR((G8133*H8133*I8133/1000000)*D8133,0)</f>
      </c>
    </row>
    <row r="8134" spans="1:13" x14ac:dyDescent="0.25">
      <c r="A8134" s="16"/>
      <c r="E8134" s="27"/>
      <c r="F8134" t="s">
        <v>26</v>
      </c>
      <c r="G8134" s="28">
        <f>IFERROR(VLOOKUP(F8134,CARTON_LOOKUP!$A:$E,3,0),"")</f>
      </c>
      <c r="H8134" s="28">
        <f>IFERROR(VLOOKUP(F8134,CARTON_LOOKUP!$A:$E,4,0),"")</f>
      </c>
      <c r="I8134" s="28">
        <f>IFERROR(VLOOKUP(F8134,CARTON_LOOKUP!$A:$E,5,0),"")</f>
      </c>
      <c r="J8134" s="29">
        <f>IFERROR(VLOOKUP(F8134,CARTON_LOOKUP!$A:$E,2,0),"")</f>
      </c>
      <c r="K8134" s="29">
        <f>IFERROR(J8134*D8134,0)</f>
      </c>
      <c r="L8134" s="29">
        <f>IFERROR(E8134*C8134,0)</f>
      </c>
      <c r="M8134" s="29">
        <f>IFERROR((G8134*H8134*I8134/1000000)*D8134,0)</f>
      </c>
    </row>
    <row r="8135" spans="1:13" x14ac:dyDescent="0.25">
      <c r="A8135" s="16"/>
      <c r="E8135" s="27"/>
      <c r="F8135" t="s">
        <v>26</v>
      </c>
      <c r="G8135" s="28">
        <f>IFERROR(VLOOKUP(F8135,CARTON_LOOKUP!$A:$E,3,0),"")</f>
      </c>
      <c r="H8135" s="28">
        <f>IFERROR(VLOOKUP(F8135,CARTON_LOOKUP!$A:$E,4,0),"")</f>
      </c>
      <c r="I8135" s="28">
        <f>IFERROR(VLOOKUP(F8135,CARTON_LOOKUP!$A:$E,5,0),"")</f>
      </c>
      <c r="J8135" s="29">
        <f>IFERROR(VLOOKUP(F8135,CARTON_LOOKUP!$A:$E,2,0),"")</f>
      </c>
      <c r="K8135" s="29">
        <f>IFERROR(J8135*D8135,0)</f>
      </c>
      <c r="L8135" s="29">
        <f>IFERROR(E8135*C8135,0)</f>
      </c>
      <c r="M8135" s="29">
        <f>IFERROR((G8135*H8135*I8135/1000000)*D8135,0)</f>
      </c>
    </row>
    <row r="8136" spans="1:13" x14ac:dyDescent="0.25">
      <c r="A8136" s="16"/>
      <c r="E8136" s="27"/>
      <c r="F8136" t="s">
        <v>26</v>
      </c>
      <c r="G8136" s="28">
        <f>IFERROR(VLOOKUP(F8136,CARTON_LOOKUP!$A:$E,3,0),"")</f>
      </c>
      <c r="H8136" s="28">
        <f>IFERROR(VLOOKUP(F8136,CARTON_LOOKUP!$A:$E,4,0),"")</f>
      </c>
      <c r="I8136" s="28">
        <f>IFERROR(VLOOKUP(F8136,CARTON_LOOKUP!$A:$E,5,0),"")</f>
      </c>
      <c r="J8136" s="29">
        <f>IFERROR(VLOOKUP(F8136,CARTON_LOOKUP!$A:$E,2,0),"")</f>
      </c>
      <c r="K8136" s="29">
        <f>IFERROR(J8136*D8136,0)</f>
      </c>
      <c r="L8136" s="29">
        <f>IFERROR(E8136*C8136,0)</f>
      </c>
      <c r="M8136" s="29">
        <f>IFERROR((G8136*H8136*I8136/1000000)*D8136,0)</f>
      </c>
    </row>
    <row r="8137" spans="1:13" x14ac:dyDescent="0.25">
      <c r="A8137" s="16"/>
      <c r="E8137" s="27"/>
      <c r="F8137" t="s">
        <v>26</v>
      </c>
      <c r="G8137" s="28">
        <f>IFERROR(VLOOKUP(F8137,CARTON_LOOKUP!$A:$E,3,0),"")</f>
      </c>
      <c r="H8137" s="28">
        <f>IFERROR(VLOOKUP(F8137,CARTON_LOOKUP!$A:$E,4,0),"")</f>
      </c>
      <c r="I8137" s="28">
        <f>IFERROR(VLOOKUP(F8137,CARTON_LOOKUP!$A:$E,5,0),"")</f>
      </c>
      <c r="J8137" s="29">
        <f>IFERROR(VLOOKUP(F8137,CARTON_LOOKUP!$A:$E,2,0),"")</f>
      </c>
      <c r="K8137" s="29">
        <f>IFERROR(J8137*D8137,0)</f>
      </c>
      <c r="L8137" s="29">
        <f>IFERROR(E8137*C8137,0)</f>
      </c>
      <c r="M8137" s="29">
        <f>IFERROR((G8137*H8137*I8137/1000000)*D8137,0)</f>
      </c>
    </row>
    <row r="8138" spans="1:13" x14ac:dyDescent="0.25">
      <c r="A8138" s="16"/>
      <c r="E8138" s="27"/>
      <c r="F8138" t="s">
        <v>26</v>
      </c>
      <c r="G8138" s="28">
        <f>IFERROR(VLOOKUP(F8138,CARTON_LOOKUP!$A:$E,3,0),"")</f>
      </c>
      <c r="H8138" s="28">
        <f>IFERROR(VLOOKUP(F8138,CARTON_LOOKUP!$A:$E,4,0),"")</f>
      </c>
      <c r="I8138" s="28">
        <f>IFERROR(VLOOKUP(F8138,CARTON_LOOKUP!$A:$E,5,0),"")</f>
      </c>
      <c r="J8138" s="29">
        <f>IFERROR(VLOOKUP(F8138,CARTON_LOOKUP!$A:$E,2,0),"")</f>
      </c>
      <c r="K8138" s="29">
        <f>IFERROR(J8138*D8138,0)</f>
      </c>
      <c r="L8138" s="29">
        <f>IFERROR(E8138*C8138,0)</f>
      </c>
      <c r="M8138" s="29">
        <f>IFERROR((G8138*H8138*I8138/1000000)*D8138,0)</f>
      </c>
    </row>
    <row r="8139" spans="1:13" x14ac:dyDescent="0.25">
      <c r="A8139" s="16"/>
      <c r="E8139" s="27"/>
      <c r="F8139" t="s">
        <v>26</v>
      </c>
      <c r="G8139" s="28">
        <f>IFERROR(VLOOKUP(F8139,CARTON_LOOKUP!$A:$E,3,0),"")</f>
      </c>
      <c r="H8139" s="28">
        <f>IFERROR(VLOOKUP(F8139,CARTON_LOOKUP!$A:$E,4,0),"")</f>
      </c>
      <c r="I8139" s="28">
        <f>IFERROR(VLOOKUP(F8139,CARTON_LOOKUP!$A:$E,5,0),"")</f>
      </c>
      <c r="J8139" s="29">
        <f>IFERROR(VLOOKUP(F8139,CARTON_LOOKUP!$A:$E,2,0),"")</f>
      </c>
      <c r="K8139" s="29">
        <f>IFERROR(J8139*D8139,0)</f>
      </c>
      <c r="L8139" s="29">
        <f>IFERROR(E8139*C8139,0)</f>
      </c>
      <c r="M8139" s="29">
        <f>IFERROR((G8139*H8139*I8139/1000000)*D8139,0)</f>
      </c>
    </row>
    <row r="8140" spans="1:13" x14ac:dyDescent="0.25">
      <c r="A8140" s="16"/>
      <c r="E8140" s="27"/>
      <c r="F8140" t="s">
        <v>26</v>
      </c>
      <c r="G8140" s="28">
        <f>IFERROR(VLOOKUP(F8140,CARTON_LOOKUP!$A:$E,3,0),"")</f>
      </c>
      <c r="H8140" s="28">
        <f>IFERROR(VLOOKUP(F8140,CARTON_LOOKUP!$A:$E,4,0),"")</f>
      </c>
      <c r="I8140" s="28">
        <f>IFERROR(VLOOKUP(F8140,CARTON_LOOKUP!$A:$E,5,0),"")</f>
      </c>
      <c r="J8140" s="29">
        <f>IFERROR(VLOOKUP(F8140,CARTON_LOOKUP!$A:$E,2,0),"")</f>
      </c>
      <c r="K8140" s="29">
        <f>IFERROR(J8140*D8140,0)</f>
      </c>
      <c r="L8140" s="29">
        <f>IFERROR(E8140*C8140,0)</f>
      </c>
      <c r="M8140" s="29">
        <f>IFERROR((G8140*H8140*I8140/1000000)*D8140,0)</f>
      </c>
    </row>
    <row r="8141" spans="1:13" x14ac:dyDescent="0.25">
      <c r="A8141" s="16"/>
      <c r="E8141" s="27"/>
      <c r="F8141" t="s">
        <v>26</v>
      </c>
      <c r="G8141" s="28">
        <f>IFERROR(VLOOKUP(F8141,CARTON_LOOKUP!$A:$E,3,0),"")</f>
      </c>
      <c r="H8141" s="28">
        <f>IFERROR(VLOOKUP(F8141,CARTON_LOOKUP!$A:$E,4,0),"")</f>
      </c>
      <c r="I8141" s="28">
        <f>IFERROR(VLOOKUP(F8141,CARTON_LOOKUP!$A:$E,5,0),"")</f>
      </c>
      <c r="J8141" s="29">
        <f>IFERROR(VLOOKUP(F8141,CARTON_LOOKUP!$A:$E,2,0),"")</f>
      </c>
      <c r="K8141" s="29">
        <f>IFERROR(J8141*D8141,0)</f>
      </c>
      <c r="L8141" s="29">
        <f>IFERROR(E8141*C8141,0)</f>
      </c>
      <c r="M8141" s="29">
        <f>IFERROR((G8141*H8141*I8141/1000000)*D8141,0)</f>
      </c>
    </row>
    <row r="8142" spans="1:13" x14ac:dyDescent="0.25">
      <c r="A8142" s="16"/>
      <c r="E8142" s="27"/>
      <c r="F8142" t="s">
        <v>26</v>
      </c>
      <c r="G8142" s="28">
        <f>IFERROR(VLOOKUP(F8142,CARTON_LOOKUP!$A:$E,3,0),"")</f>
      </c>
      <c r="H8142" s="28">
        <f>IFERROR(VLOOKUP(F8142,CARTON_LOOKUP!$A:$E,4,0),"")</f>
      </c>
      <c r="I8142" s="28">
        <f>IFERROR(VLOOKUP(F8142,CARTON_LOOKUP!$A:$E,5,0),"")</f>
      </c>
      <c r="J8142" s="29">
        <f>IFERROR(VLOOKUP(F8142,CARTON_LOOKUP!$A:$E,2,0),"")</f>
      </c>
      <c r="K8142" s="29">
        <f>IFERROR(J8142*D8142,0)</f>
      </c>
      <c r="L8142" s="29">
        <f>IFERROR(E8142*C8142,0)</f>
      </c>
      <c r="M8142" s="29">
        <f>IFERROR((G8142*H8142*I8142/1000000)*D8142,0)</f>
      </c>
    </row>
    <row r="8143" spans="1:13" x14ac:dyDescent="0.25">
      <c r="A8143" s="16"/>
      <c r="E8143" s="27"/>
      <c r="F8143" t="s">
        <v>26</v>
      </c>
      <c r="G8143" s="28">
        <f>IFERROR(VLOOKUP(F8143,CARTON_LOOKUP!$A:$E,3,0),"")</f>
      </c>
      <c r="H8143" s="28">
        <f>IFERROR(VLOOKUP(F8143,CARTON_LOOKUP!$A:$E,4,0),"")</f>
      </c>
      <c r="I8143" s="28">
        <f>IFERROR(VLOOKUP(F8143,CARTON_LOOKUP!$A:$E,5,0),"")</f>
      </c>
      <c r="J8143" s="29">
        <f>IFERROR(VLOOKUP(F8143,CARTON_LOOKUP!$A:$E,2,0),"")</f>
      </c>
      <c r="K8143" s="29">
        <f>IFERROR(J8143*D8143,0)</f>
      </c>
      <c r="L8143" s="29">
        <f>IFERROR(E8143*C8143,0)</f>
      </c>
      <c r="M8143" s="29">
        <f>IFERROR((G8143*H8143*I8143/1000000)*D8143,0)</f>
      </c>
    </row>
    <row r="8144" spans="1:13" x14ac:dyDescent="0.25">
      <c r="A8144" s="16"/>
      <c r="E8144" s="27"/>
      <c r="F8144" t="s">
        <v>26</v>
      </c>
      <c r="G8144" s="28">
        <f>IFERROR(VLOOKUP(F8144,CARTON_LOOKUP!$A:$E,3,0),"")</f>
      </c>
      <c r="H8144" s="28">
        <f>IFERROR(VLOOKUP(F8144,CARTON_LOOKUP!$A:$E,4,0),"")</f>
      </c>
      <c r="I8144" s="28">
        <f>IFERROR(VLOOKUP(F8144,CARTON_LOOKUP!$A:$E,5,0),"")</f>
      </c>
      <c r="J8144" s="29">
        <f>IFERROR(VLOOKUP(F8144,CARTON_LOOKUP!$A:$E,2,0),"")</f>
      </c>
      <c r="K8144" s="29">
        <f>IFERROR(J8144*D8144,0)</f>
      </c>
      <c r="L8144" s="29">
        <f>IFERROR(E8144*C8144,0)</f>
      </c>
      <c r="M8144" s="29">
        <f>IFERROR((G8144*H8144*I8144/1000000)*D8144,0)</f>
      </c>
    </row>
    <row r="8145" spans="1:13" x14ac:dyDescent="0.25">
      <c r="A8145" s="16"/>
      <c r="E8145" s="27"/>
      <c r="F8145" t="s">
        <v>26</v>
      </c>
      <c r="G8145" s="28">
        <f>IFERROR(VLOOKUP(F8145,CARTON_LOOKUP!$A:$E,3,0),"")</f>
      </c>
      <c r="H8145" s="28">
        <f>IFERROR(VLOOKUP(F8145,CARTON_LOOKUP!$A:$E,4,0),"")</f>
      </c>
      <c r="I8145" s="28">
        <f>IFERROR(VLOOKUP(F8145,CARTON_LOOKUP!$A:$E,5,0),"")</f>
      </c>
      <c r="J8145" s="29">
        <f>IFERROR(VLOOKUP(F8145,CARTON_LOOKUP!$A:$E,2,0),"")</f>
      </c>
      <c r="K8145" s="29">
        <f>IFERROR(J8145*D8145,0)</f>
      </c>
      <c r="L8145" s="29">
        <f>IFERROR(E8145*C8145,0)</f>
      </c>
      <c r="M8145" s="29">
        <f>IFERROR((G8145*H8145*I8145/1000000)*D8145,0)</f>
      </c>
    </row>
    <row r="8146" spans="1:13" x14ac:dyDescent="0.25">
      <c r="A8146" s="16"/>
      <c r="E8146" s="27"/>
      <c r="F8146" t="s">
        <v>26</v>
      </c>
      <c r="G8146" s="28">
        <f>IFERROR(VLOOKUP(F8146,CARTON_LOOKUP!$A:$E,3,0),"")</f>
      </c>
      <c r="H8146" s="28">
        <f>IFERROR(VLOOKUP(F8146,CARTON_LOOKUP!$A:$E,4,0),"")</f>
      </c>
      <c r="I8146" s="28">
        <f>IFERROR(VLOOKUP(F8146,CARTON_LOOKUP!$A:$E,5,0),"")</f>
      </c>
      <c r="J8146" s="29">
        <f>IFERROR(VLOOKUP(F8146,CARTON_LOOKUP!$A:$E,2,0),"")</f>
      </c>
      <c r="K8146" s="29">
        <f>IFERROR(J8146*D8146,0)</f>
      </c>
      <c r="L8146" s="29">
        <f>IFERROR(E8146*C8146,0)</f>
      </c>
      <c r="M8146" s="29">
        <f>IFERROR((G8146*H8146*I8146/1000000)*D8146,0)</f>
      </c>
    </row>
    <row r="8147" spans="1:13" x14ac:dyDescent="0.25">
      <c r="A8147" s="16"/>
      <c r="E8147" s="27"/>
      <c r="F8147" t="s">
        <v>26</v>
      </c>
      <c r="G8147" s="28">
        <f>IFERROR(VLOOKUP(F8147,CARTON_LOOKUP!$A:$E,3,0),"")</f>
      </c>
      <c r="H8147" s="28">
        <f>IFERROR(VLOOKUP(F8147,CARTON_LOOKUP!$A:$E,4,0),"")</f>
      </c>
      <c r="I8147" s="28">
        <f>IFERROR(VLOOKUP(F8147,CARTON_LOOKUP!$A:$E,5,0),"")</f>
      </c>
      <c r="J8147" s="29">
        <f>IFERROR(VLOOKUP(F8147,CARTON_LOOKUP!$A:$E,2,0),"")</f>
      </c>
      <c r="K8147" s="29">
        <f>IFERROR(J8147*D8147,0)</f>
      </c>
      <c r="L8147" s="29">
        <f>IFERROR(E8147*C8147,0)</f>
      </c>
      <c r="M8147" s="29">
        <f>IFERROR((G8147*H8147*I8147/1000000)*D8147,0)</f>
      </c>
    </row>
    <row r="8148" spans="1:13" x14ac:dyDescent="0.25">
      <c r="A8148" s="16"/>
      <c r="E8148" s="27"/>
      <c r="F8148" t="s">
        <v>26</v>
      </c>
      <c r="G8148" s="28">
        <f>IFERROR(VLOOKUP(F8148,CARTON_LOOKUP!$A:$E,3,0),"")</f>
      </c>
      <c r="H8148" s="28">
        <f>IFERROR(VLOOKUP(F8148,CARTON_LOOKUP!$A:$E,4,0),"")</f>
      </c>
      <c r="I8148" s="28">
        <f>IFERROR(VLOOKUP(F8148,CARTON_LOOKUP!$A:$E,5,0),"")</f>
      </c>
      <c r="J8148" s="29">
        <f>IFERROR(VLOOKUP(F8148,CARTON_LOOKUP!$A:$E,2,0),"")</f>
      </c>
      <c r="K8148" s="29">
        <f>IFERROR(J8148*D8148,0)</f>
      </c>
      <c r="L8148" s="29">
        <f>IFERROR(E8148*C8148,0)</f>
      </c>
      <c r="M8148" s="29">
        <f>IFERROR((G8148*H8148*I8148/1000000)*D8148,0)</f>
      </c>
    </row>
    <row r="8149" spans="1:13" x14ac:dyDescent="0.25">
      <c r="A8149" s="16"/>
      <c r="E8149" s="27"/>
      <c r="F8149" t="s">
        <v>26</v>
      </c>
      <c r="G8149" s="28">
        <f>IFERROR(VLOOKUP(F8149,CARTON_LOOKUP!$A:$E,3,0),"")</f>
      </c>
      <c r="H8149" s="28">
        <f>IFERROR(VLOOKUP(F8149,CARTON_LOOKUP!$A:$E,4,0),"")</f>
      </c>
      <c r="I8149" s="28">
        <f>IFERROR(VLOOKUP(F8149,CARTON_LOOKUP!$A:$E,5,0),"")</f>
      </c>
      <c r="J8149" s="29">
        <f>IFERROR(VLOOKUP(F8149,CARTON_LOOKUP!$A:$E,2,0),"")</f>
      </c>
      <c r="K8149" s="29">
        <f>IFERROR(J8149*D8149,0)</f>
      </c>
      <c r="L8149" s="29">
        <f>IFERROR(E8149*C8149,0)</f>
      </c>
      <c r="M8149" s="29">
        <f>IFERROR((G8149*H8149*I8149/1000000)*D8149,0)</f>
      </c>
    </row>
    <row r="8150" spans="1:13" x14ac:dyDescent="0.25">
      <c r="A8150" s="16"/>
      <c r="E8150" s="27"/>
      <c r="F8150" t="s">
        <v>26</v>
      </c>
      <c r="G8150" s="28">
        <f>IFERROR(VLOOKUP(F8150,CARTON_LOOKUP!$A:$E,3,0),"")</f>
      </c>
      <c r="H8150" s="28">
        <f>IFERROR(VLOOKUP(F8150,CARTON_LOOKUP!$A:$E,4,0),"")</f>
      </c>
      <c r="I8150" s="28">
        <f>IFERROR(VLOOKUP(F8150,CARTON_LOOKUP!$A:$E,5,0),"")</f>
      </c>
      <c r="J8150" s="29">
        <f>IFERROR(VLOOKUP(F8150,CARTON_LOOKUP!$A:$E,2,0),"")</f>
      </c>
      <c r="K8150" s="29">
        <f>IFERROR(J8150*D8150,0)</f>
      </c>
      <c r="L8150" s="29">
        <f>IFERROR(E8150*C8150,0)</f>
      </c>
      <c r="M8150" s="29">
        <f>IFERROR((G8150*H8150*I8150/1000000)*D8150,0)</f>
      </c>
    </row>
    <row r="8151" spans="1:13" x14ac:dyDescent="0.25">
      <c r="A8151" s="16"/>
      <c r="E8151" s="27"/>
      <c r="F8151" t="s">
        <v>26</v>
      </c>
      <c r="G8151" s="28">
        <f>IFERROR(VLOOKUP(F8151,CARTON_LOOKUP!$A:$E,3,0),"")</f>
      </c>
      <c r="H8151" s="28">
        <f>IFERROR(VLOOKUP(F8151,CARTON_LOOKUP!$A:$E,4,0),"")</f>
      </c>
      <c r="I8151" s="28">
        <f>IFERROR(VLOOKUP(F8151,CARTON_LOOKUP!$A:$E,5,0),"")</f>
      </c>
      <c r="J8151" s="29">
        <f>IFERROR(VLOOKUP(F8151,CARTON_LOOKUP!$A:$E,2,0),"")</f>
      </c>
      <c r="K8151" s="29">
        <f>IFERROR(J8151*D8151,0)</f>
      </c>
      <c r="L8151" s="29">
        <f>IFERROR(E8151*C8151,0)</f>
      </c>
      <c r="M8151" s="29">
        <f>IFERROR((G8151*H8151*I8151/1000000)*D8151,0)</f>
      </c>
    </row>
    <row r="8152" spans="1:13" x14ac:dyDescent="0.25">
      <c r="A8152" s="16"/>
      <c r="E8152" s="27"/>
      <c r="F8152" t="s">
        <v>26</v>
      </c>
      <c r="G8152" s="28">
        <f>IFERROR(VLOOKUP(F8152,CARTON_LOOKUP!$A:$E,3,0),"")</f>
      </c>
      <c r="H8152" s="28">
        <f>IFERROR(VLOOKUP(F8152,CARTON_LOOKUP!$A:$E,4,0),"")</f>
      </c>
      <c r="I8152" s="28">
        <f>IFERROR(VLOOKUP(F8152,CARTON_LOOKUP!$A:$E,5,0),"")</f>
      </c>
      <c r="J8152" s="29">
        <f>IFERROR(VLOOKUP(F8152,CARTON_LOOKUP!$A:$E,2,0),"")</f>
      </c>
      <c r="K8152" s="29">
        <f>IFERROR(J8152*D8152,0)</f>
      </c>
      <c r="L8152" s="29">
        <f>IFERROR(E8152*C8152,0)</f>
      </c>
      <c r="M8152" s="29">
        <f>IFERROR((G8152*H8152*I8152/1000000)*D8152,0)</f>
      </c>
    </row>
    <row r="8153" spans="1:13" x14ac:dyDescent="0.25">
      <c r="A8153" s="16"/>
      <c r="E8153" s="27"/>
      <c r="F8153" t="s">
        <v>26</v>
      </c>
      <c r="G8153" s="28">
        <f>IFERROR(VLOOKUP(F8153,CARTON_LOOKUP!$A:$E,3,0),"")</f>
      </c>
      <c r="H8153" s="28">
        <f>IFERROR(VLOOKUP(F8153,CARTON_LOOKUP!$A:$E,4,0),"")</f>
      </c>
      <c r="I8153" s="28">
        <f>IFERROR(VLOOKUP(F8153,CARTON_LOOKUP!$A:$E,5,0),"")</f>
      </c>
      <c r="J8153" s="29">
        <f>IFERROR(VLOOKUP(F8153,CARTON_LOOKUP!$A:$E,2,0),"")</f>
      </c>
      <c r="K8153" s="29">
        <f>IFERROR(J8153*D8153,0)</f>
      </c>
      <c r="L8153" s="29">
        <f>IFERROR(E8153*C8153,0)</f>
      </c>
      <c r="M8153" s="29">
        <f>IFERROR((G8153*H8153*I8153/1000000)*D8153,0)</f>
      </c>
    </row>
    <row r="8154" spans="1:13" x14ac:dyDescent="0.25">
      <c r="A8154" s="16"/>
      <c r="E8154" s="27"/>
      <c r="F8154" t="s">
        <v>26</v>
      </c>
      <c r="G8154" s="28">
        <f>IFERROR(VLOOKUP(F8154,CARTON_LOOKUP!$A:$E,3,0),"")</f>
      </c>
      <c r="H8154" s="28">
        <f>IFERROR(VLOOKUP(F8154,CARTON_LOOKUP!$A:$E,4,0),"")</f>
      </c>
      <c r="I8154" s="28">
        <f>IFERROR(VLOOKUP(F8154,CARTON_LOOKUP!$A:$E,5,0),"")</f>
      </c>
      <c r="J8154" s="29">
        <f>IFERROR(VLOOKUP(F8154,CARTON_LOOKUP!$A:$E,2,0),"")</f>
      </c>
      <c r="K8154" s="29">
        <f>IFERROR(J8154*D8154,0)</f>
      </c>
      <c r="L8154" s="29">
        <f>IFERROR(E8154*C8154,0)</f>
      </c>
      <c r="M8154" s="29">
        <f>IFERROR((G8154*H8154*I8154/1000000)*D8154,0)</f>
      </c>
    </row>
    <row r="8155" spans="1:13" x14ac:dyDescent="0.25">
      <c r="A8155" s="16"/>
      <c r="E8155" s="27"/>
      <c r="F8155" t="s">
        <v>26</v>
      </c>
      <c r="G8155" s="28">
        <f>IFERROR(VLOOKUP(F8155,CARTON_LOOKUP!$A:$E,3,0),"")</f>
      </c>
      <c r="H8155" s="28">
        <f>IFERROR(VLOOKUP(F8155,CARTON_LOOKUP!$A:$E,4,0),"")</f>
      </c>
      <c r="I8155" s="28">
        <f>IFERROR(VLOOKUP(F8155,CARTON_LOOKUP!$A:$E,5,0),"")</f>
      </c>
      <c r="J8155" s="29">
        <f>IFERROR(VLOOKUP(F8155,CARTON_LOOKUP!$A:$E,2,0),"")</f>
      </c>
      <c r="K8155" s="29">
        <f>IFERROR(J8155*D8155,0)</f>
      </c>
      <c r="L8155" s="29">
        <f>IFERROR(E8155*C8155,0)</f>
      </c>
      <c r="M8155" s="29">
        <f>IFERROR((G8155*H8155*I8155/1000000)*D8155,0)</f>
      </c>
    </row>
    <row r="8156" spans="1:13" x14ac:dyDescent="0.25">
      <c r="A8156" s="16"/>
      <c r="E8156" s="27"/>
      <c r="F8156" t="s">
        <v>26</v>
      </c>
      <c r="G8156" s="28">
        <f>IFERROR(VLOOKUP(F8156,CARTON_LOOKUP!$A:$E,3,0),"")</f>
      </c>
      <c r="H8156" s="28">
        <f>IFERROR(VLOOKUP(F8156,CARTON_LOOKUP!$A:$E,4,0),"")</f>
      </c>
      <c r="I8156" s="28">
        <f>IFERROR(VLOOKUP(F8156,CARTON_LOOKUP!$A:$E,5,0),"")</f>
      </c>
      <c r="J8156" s="29">
        <f>IFERROR(VLOOKUP(F8156,CARTON_LOOKUP!$A:$E,2,0),"")</f>
      </c>
      <c r="K8156" s="29">
        <f>IFERROR(J8156*D8156,0)</f>
      </c>
      <c r="L8156" s="29">
        <f>IFERROR(E8156*C8156,0)</f>
      </c>
      <c r="M8156" s="29">
        <f>IFERROR((G8156*H8156*I8156/1000000)*D8156,0)</f>
      </c>
    </row>
    <row r="8157" spans="1:13" x14ac:dyDescent="0.25">
      <c r="A8157" s="16"/>
      <c r="E8157" s="27"/>
      <c r="F8157" t="s">
        <v>26</v>
      </c>
      <c r="G8157" s="28">
        <f>IFERROR(VLOOKUP(F8157,CARTON_LOOKUP!$A:$E,3,0),"")</f>
      </c>
      <c r="H8157" s="28">
        <f>IFERROR(VLOOKUP(F8157,CARTON_LOOKUP!$A:$E,4,0),"")</f>
      </c>
      <c r="I8157" s="28">
        <f>IFERROR(VLOOKUP(F8157,CARTON_LOOKUP!$A:$E,5,0),"")</f>
      </c>
      <c r="J8157" s="29">
        <f>IFERROR(VLOOKUP(F8157,CARTON_LOOKUP!$A:$E,2,0),"")</f>
      </c>
      <c r="K8157" s="29">
        <f>IFERROR(J8157*D8157,0)</f>
      </c>
      <c r="L8157" s="29">
        <f>IFERROR(E8157*C8157,0)</f>
      </c>
      <c r="M8157" s="29">
        <f>IFERROR((G8157*H8157*I8157/1000000)*D8157,0)</f>
      </c>
    </row>
    <row r="8158" spans="1:13" x14ac:dyDescent="0.25">
      <c r="A8158" s="16"/>
      <c r="E8158" s="27"/>
      <c r="F8158" t="s">
        <v>26</v>
      </c>
      <c r="G8158" s="28">
        <f>IFERROR(VLOOKUP(F8158,CARTON_LOOKUP!$A:$E,3,0),"")</f>
      </c>
      <c r="H8158" s="28">
        <f>IFERROR(VLOOKUP(F8158,CARTON_LOOKUP!$A:$E,4,0),"")</f>
      </c>
      <c r="I8158" s="28">
        <f>IFERROR(VLOOKUP(F8158,CARTON_LOOKUP!$A:$E,5,0),"")</f>
      </c>
      <c r="J8158" s="29">
        <f>IFERROR(VLOOKUP(F8158,CARTON_LOOKUP!$A:$E,2,0),"")</f>
      </c>
      <c r="K8158" s="29">
        <f>IFERROR(J8158*D8158,0)</f>
      </c>
      <c r="L8158" s="29">
        <f>IFERROR(E8158*C8158,0)</f>
      </c>
      <c r="M8158" s="29">
        <f>IFERROR((G8158*H8158*I8158/1000000)*D8158,0)</f>
      </c>
    </row>
    <row r="8159" spans="1:13" x14ac:dyDescent="0.25">
      <c r="A8159" s="16"/>
      <c r="E8159" s="27"/>
      <c r="F8159" t="s">
        <v>26</v>
      </c>
      <c r="G8159" s="28">
        <f>IFERROR(VLOOKUP(F8159,CARTON_LOOKUP!$A:$E,3,0),"")</f>
      </c>
      <c r="H8159" s="28">
        <f>IFERROR(VLOOKUP(F8159,CARTON_LOOKUP!$A:$E,4,0),"")</f>
      </c>
      <c r="I8159" s="28">
        <f>IFERROR(VLOOKUP(F8159,CARTON_LOOKUP!$A:$E,5,0),"")</f>
      </c>
      <c r="J8159" s="29">
        <f>IFERROR(VLOOKUP(F8159,CARTON_LOOKUP!$A:$E,2,0),"")</f>
      </c>
      <c r="K8159" s="29">
        <f>IFERROR(J8159*D8159,0)</f>
      </c>
      <c r="L8159" s="29">
        <f>IFERROR(E8159*C8159,0)</f>
      </c>
      <c r="M8159" s="29">
        <f>IFERROR((G8159*H8159*I8159/1000000)*D8159,0)</f>
      </c>
    </row>
    <row r="8160" spans="1:13" x14ac:dyDescent="0.25">
      <c r="A8160" s="16"/>
      <c r="E8160" s="27"/>
      <c r="F8160" t="s">
        <v>26</v>
      </c>
      <c r="G8160" s="28">
        <f>IFERROR(VLOOKUP(F8160,CARTON_LOOKUP!$A:$E,3,0),"")</f>
      </c>
      <c r="H8160" s="28">
        <f>IFERROR(VLOOKUP(F8160,CARTON_LOOKUP!$A:$E,4,0),"")</f>
      </c>
      <c r="I8160" s="28">
        <f>IFERROR(VLOOKUP(F8160,CARTON_LOOKUP!$A:$E,5,0),"")</f>
      </c>
      <c r="J8160" s="29">
        <f>IFERROR(VLOOKUP(F8160,CARTON_LOOKUP!$A:$E,2,0),"")</f>
      </c>
      <c r="K8160" s="29">
        <f>IFERROR(J8160*D8160,0)</f>
      </c>
      <c r="L8160" s="29">
        <f>IFERROR(E8160*C8160,0)</f>
      </c>
      <c r="M8160" s="29">
        <f>IFERROR((G8160*H8160*I8160/1000000)*D8160,0)</f>
      </c>
    </row>
    <row r="8161" spans="1:13" x14ac:dyDescent="0.25">
      <c r="A8161" s="16"/>
      <c r="E8161" s="27"/>
      <c r="F8161" t="s">
        <v>26</v>
      </c>
      <c r="G8161" s="28">
        <f>IFERROR(VLOOKUP(F8161,CARTON_LOOKUP!$A:$E,3,0),"")</f>
      </c>
      <c r="H8161" s="28">
        <f>IFERROR(VLOOKUP(F8161,CARTON_LOOKUP!$A:$E,4,0),"")</f>
      </c>
      <c r="I8161" s="28">
        <f>IFERROR(VLOOKUP(F8161,CARTON_LOOKUP!$A:$E,5,0),"")</f>
      </c>
      <c r="J8161" s="29">
        <f>IFERROR(VLOOKUP(F8161,CARTON_LOOKUP!$A:$E,2,0),"")</f>
      </c>
      <c r="K8161" s="29">
        <f>IFERROR(J8161*D8161,0)</f>
      </c>
      <c r="L8161" s="29">
        <f>IFERROR(E8161*C8161,0)</f>
      </c>
      <c r="M8161" s="29">
        <f>IFERROR((G8161*H8161*I8161/1000000)*D8161,0)</f>
      </c>
    </row>
    <row r="8162" spans="1:13" x14ac:dyDescent="0.25">
      <c r="A8162" s="16"/>
      <c r="E8162" s="27"/>
      <c r="F8162" t="s">
        <v>26</v>
      </c>
      <c r="G8162" s="28">
        <f>IFERROR(VLOOKUP(F8162,CARTON_LOOKUP!$A:$E,3,0),"")</f>
      </c>
      <c r="H8162" s="28">
        <f>IFERROR(VLOOKUP(F8162,CARTON_LOOKUP!$A:$E,4,0),"")</f>
      </c>
      <c r="I8162" s="28">
        <f>IFERROR(VLOOKUP(F8162,CARTON_LOOKUP!$A:$E,5,0),"")</f>
      </c>
      <c r="J8162" s="29">
        <f>IFERROR(VLOOKUP(F8162,CARTON_LOOKUP!$A:$E,2,0),"")</f>
      </c>
      <c r="K8162" s="29">
        <f>IFERROR(J8162*D8162,0)</f>
      </c>
      <c r="L8162" s="29">
        <f>IFERROR(E8162*C8162,0)</f>
      </c>
      <c r="M8162" s="29">
        <f>IFERROR((G8162*H8162*I8162/1000000)*D8162,0)</f>
      </c>
    </row>
    <row r="8163" spans="1:13" x14ac:dyDescent="0.25">
      <c r="A8163" s="16"/>
      <c r="E8163" s="27"/>
      <c r="F8163" t="s">
        <v>26</v>
      </c>
      <c r="G8163" s="28">
        <f>IFERROR(VLOOKUP(F8163,CARTON_LOOKUP!$A:$E,3,0),"")</f>
      </c>
      <c r="H8163" s="28">
        <f>IFERROR(VLOOKUP(F8163,CARTON_LOOKUP!$A:$E,4,0),"")</f>
      </c>
      <c r="I8163" s="28">
        <f>IFERROR(VLOOKUP(F8163,CARTON_LOOKUP!$A:$E,5,0),"")</f>
      </c>
      <c r="J8163" s="29">
        <f>IFERROR(VLOOKUP(F8163,CARTON_LOOKUP!$A:$E,2,0),"")</f>
      </c>
      <c r="K8163" s="29">
        <f>IFERROR(J8163*D8163,0)</f>
      </c>
      <c r="L8163" s="29">
        <f>IFERROR(E8163*C8163,0)</f>
      </c>
      <c r="M8163" s="29">
        <f>IFERROR((G8163*H8163*I8163/1000000)*D8163,0)</f>
      </c>
    </row>
    <row r="8164" spans="1:13" x14ac:dyDescent="0.25">
      <c r="A8164" s="16"/>
      <c r="E8164" s="27"/>
      <c r="F8164" t="s">
        <v>26</v>
      </c>
      <c r="G8164" s="28">
        <f>IFERROR(VLOOKUP(F8164,CARTON_LOOKUP!$A:$E,3,0),"")</f>
      </c>
      <c r="H8164" s="28">
        <f>IFERROR(VLOOKUP(F8164,CARTON_LOOKUP!$A:$E,4,0),"")</f>
      </c>
      <c r="I8164" s="28">
        <f>IFERROR(VLOOKUP(F8164,CARTON_LOOKUP!$A:$E,5,0),"")</f>
      </c>
      <c r="J8164" s="29">
        <f>IFERROR(VLOOKUP(F8164,CARTON_LOOKUP!$A:$E,2,0),"")</f>
      </c>
      <c r="K8164" s="29">
        <f>IFERROR(J8164*D8164,0)</f>
      </c>
      <c r="L8164" s="29">
        <f>IFERROR(E8164*C8164,0)</f>
      </c>
      <c r="M8164" s="29">
        <f>IFERROR((G8164*H8164*I8164/1000000)*D8164,0)</f>
      </c>
    </row>
    <row r="8165" spans="1:13" x14ac:dyDescent="0.25">
      <c r="A8165" s="16"/>
      <c r="E8165" s="27"/>
      <c r="F8165" t="s">
        <v>26</v>
      </c>
      <c r="G8165" s="28">
        <f>IFERROR(VLOOKUP(F8165,CARTON_LOOKUP!$A:$E,3,0),"")</f>
      </c>
      <c r="H8165" s="28">
        <f>IFERROR(VLOOKUP(F8165,CARTON_LOOKUP!$A:$E,4,0),"")</f>
      </c>
      <c r="I8165" s="28">
        <f>IFERROR(VLOOKUP(F8165,CARTON_LOOKUP!$A:$E,5,0),"")</f>
      </c>
      <c r="J8165" s="29">
        <f>IFERROR(VLOOKUP(F8165,CARTON_LOOKUP!$A:$E,2,0),"")</f>
      </c>
      <c r="K8165" s="29">
        <f>IFERROR(J8165*D8165,0)</f>
      </c>
      <c r="L8165" s="29">
        <f>IFERROR(E8165*C8165,0)</f>
      </c>
      <c r="M8165" s="29">
        <f>IFERROR((G8165*H8165*I8165/1000000)*D8165,0)</f>
      </c>
    </row>
    <row r="8166" spans="1:13" x14ac:dyDescent="0.25">
      <c r="A8166" s="16"/>
      <c r="E8166" s="27"/>
      <c r="F8166" t="s">
        <v>26</v>
      </c>
      <c r="G8166" s="28">
        <f>IFERROR(VLOOKUP(F8166,CARTON_LOOKUP!$A:$E,3,0),"")</f>
      </c>
      <c r="H8166" s="28">
        <f>IFERROR(VLOOKUP(F8166,CARTON_LOOKUP!$A:$E,4,0),"")</f>
      </c>
      <c r="I8166" s="28">
        <f>IFERROR(VLOOKUP(F8166,CARTON_LOOKUP!$A:$E,5,0),"")</f>
      </c>
      <c r="J8166" s="29">
        <f>IFERROR(VLOOKUP(F8166,CARTON_LOOKUP!$A:$E,2,0),"")</f>
      </c>
      <c r="K8166" s="29">
        <f>IFERROR(J8166*D8166,0)</f>
      </c>
      <c r="L8166" s="29">
        <f>IFERROR(E8166*C8166,0)</f>
      </c>
      <c r="M8166" s="29">
        <f>IFERROR((G8166*H8166*I8166/1000000)*D8166,0)</f>
      </c>
    </row>
    <row r="8167" spans="1:13" x14ac:dyDescent="0.25">
      <c r="A8167" s="16"/>
      <c r="E8167" s="27"/>
      <c r="F8167" t="s">
        <v>26</v>
      </c>
      <c r="G8167" s="28">
        <f>IFERROR(VLOOKUP(F8167,CARTON_LOOKUP!$A:$E,3,0),"")</f>
      </c>
      <c r="H8167" s="28">
        <f>IFERROR(VLOOKUP(F8167,CARTON_LOOKUP!$A:$E,4,0),"")</f>
      </c>
      <c r="I8167" s="28">
        <f>IFERROR(VLOOKUP(F8167,CARTON_LOOKUP!$A:$E,5,0),"")</f>
      </c>
      <c r="J8167" s="29">
        <f>IFERROR(VLOOKUP(F8167,CARTON_LOOKUP!$A:$E,2,0),"")</f>
      </c>
      <c r="K8167" s="29">
        <f>IFERROR(J8167*D8167,0)</f>
      </c>
      <c r="L8167" s="29">
        <f>IFERROR(E8167*C8167,0)</f>
      </c>
      <c r="M8167" s="29">
        <f>IFERROR((G8167*H8167*I8167/1000000)*D8167,0)</f>
      </c>
    </row>
    <row r="8168" spans="1:13" x14ac:dyDescent="0.25">
      <c r="A8168" s="16"/>
      <c r="E8168" s="27"/>
      <c r="F8168" t="s">
        <v>26</v>
      </c>
      <c r="G8168" s="28">
        <f>IFERROR(VLOOKUP(F8168,CARTON_LOOKUP!$A:$E,3,0),"")</f>
      </c>
      <c r="H8168" s="28">
        <f>IFERROR(VLOOKUP(F8168,CARTON_LOOKUP!$A:$E,4,0),"")</f>
      </c>
      <c r="I8168" s="28">
        <f>IFERROR(VLOOKUP(F8168,CARTON_LOOKUP!$A:$E,5,0),"")</f>
      </c>
      <c r="J8168" s="29">
        <f>IFERROR(VLOOKUP(F8168,CARTON_LOOKUP!$A:$E,2,0),"")</f>
      </c>
      <c r="K8168" s="29">
        <f>IFERROR(J8168*D8168,0)</f>
      </c>
      <c r="L8168" s="29">
        <f>IFERROR(E8168*C8168,0)</f>
      </c>
      <c r="M8168" s="29">
        <f>IFERROR((G8168*H8168*I8168/1000000)*D8168,0)</f>
      </c>
    </row>
    <row r="8169" spans="1:13" x14ac:dyDescent="0.25">
      <c r="A8169" s="16"/>
      <c r="E8169" s="27"/>
      <c r="F8169" t="s">
        <v>26</v>
      </c>
      <c r="G8169" s="28">
        <f>IFERROR(VLOOKUP(F8169,CARTON_LOOKUP!$A:$E,3,0),"")</f>
      </c>
      <c r="H8169" s="28">
        <f>IFERROR(VLOOKUP(F8169,CARTON_LOOKUP!$A:$E,4,0),"")</f>
      </c>
      <c r="I8169" s="28">
        <f>IFERROR(VLOOKUP(F8169,CARTON_LOOKUP!$A:$E,5,0),"")</f>
      </c>
      <c r="J8169" s="29">
        <f>IFERROR(VLOOKUP(F8169,CARTON_LOOKUP!$A:$E,2,0),"")</f>
      </c>
      <c r="K8169" s="29">
        <f>IFERROR(J8169*D8169,0)</f>
      </c>
      <c r="L8169" s="29">
        <f>IFERROR(E8169*C8169,0)</f>
      </c>
      <c r="M8169" s="29">
        <f>IFERROR((G8169*H8169*I8169/1000000)*D8169,0)</f>
      </c>
    </row>
    <row r="8170" spans="1:13" x14ac:dyDescent="0.25">
      <c r="A8170" s="16"/>
      <c r="E8170" s="27"/>
      <c r="F8170" t="s">
        <v>26</v>
      </c>
      <c r="G8170" s="28">
        <f>IFERROR(VLOOKUP(F8170,CARTON_LOOKUP!$A:$E,3,0),"")</f>
      </c>
      <c r="H8170" s="28">
        <f>IFERROR(VLOOKUP(F8170,CARTON_LOOKUP!$A:$E,4,0),"")</f>
      </c>
      <c r="I8170" s="28">
        <f>IFERROR(VLOOKUP(F8170,CARTON_LOOKUP!$A:$E,5,0),"")</f>
      </c>
      <c r="J8170" s="29">
        <f>IFERROR(VLOOKUP(F8170,CARTON_LOOKUP!$A:$E,2,0),"")</f>
      </c>
      <c r="K8170" s="29">
        <f>IFERROR(J8170*D8170,0)</f>
      </c>
      <c r="L8170" s="29">
        <f>IFERROR(E8170*C8170,0)</f>
      </c>
      <c r="M8170" s="29">
        <f>IFERROR((G8170*H8170*I8170/1000000)*D8170,0)</f>
      </c>
    </row>
    <row r="8171" spans="1:13" x14ac:dyDescent="0.25">
      <c r="A8171" s="16"/>
      <c r="E8171" s="27"/>
      <c r="F8171" t="s">
        <v>26</v>
      </c>
      <c r="G8171" s="28">
        <f>IFERROR(VLOOKUP(F8171,CARTON_LOOKUP!$A:$E,3,0),"")</f>
      </c>
      <c r="H8171" s="28">
        <f>IFERROR(VLOOKUP(F8171,CARTON_LOOKUP!$A:$E,4,0),"")</f>
      </c>
      <c r="I8171" s="28">
        <f>IFERROR(VLOOKUP(F8171,CARTON_LOOKUP!$A:$E,5,0),"")</f>
      </c>
      <c r="J8171" s="29">
        <f>IFERROR(VLOOKUP(F8171,CARTON_LOOKUP!$A:$E,2,0),"")</f>
      </c>
      <c r="K8171" s="29">
        <f>IFERROR(J8171*D8171,0)</f>
      </c>
      <c r="L8171" s="29">
        <f>IFERROR(E8171*C8171,0)</f>
      </c>
      <c r="M8171" s="29">
        <f>IFERROR((G8171*H8171*I8171/1000000)*D8171,0)</f>
      </c>
    </row>
    <row r="8172" spans="1:13" x14ac:dyDescent="0.25">
      <c r="A8172" s="16"/>
      <c r="E8172" s="27"/>
      <c r="F8172" t="s">
        <v>26</v>
      </c>
      <c r="G8172" s="28">
        <f>IFERROR(VLOOKUP(F8172,CARTON_LOOKUP!$A:$E,3,0),"")</f>
      </c>
      <c r="H8172" s="28">
        <f>IFERROR(VLOOKUP(F8172,CARTON_LOOKUP!$A:$E,4,0),"")</f>
      </c>
      <c r="I8172" s="28">
        <f>IFERROR(VLOOKUP(F8172,CARTON_LOOKUP!$A:$E,5,0),"")</f>
      </c>
      <c r="J8172" s="29">
        <f>IFERROR(VLOOKUP(F8172,CARTON_LOOKUP!$A:$E,2,0),"")</f>
      </c>
      <c r="K8172" s="29">
        <f>IFERROR(J8172*D8172,0)</f>
      </c>
      <c r="L8172" s="29">
        <f>IFERROR(E8172*C8172,0)</f>
      </c>
      <c r="M8172" s="29">
        <f>IFERROR((G8172*H8172*I8172/1000000)*D8172,0)</f>
      </c>
    </row>
    <row r="8173" spans="1:13" x14ac:dyDescent="0.25">
      <c r="A8173" s="16"/>
      <c r="E8173" s="27"/>
      <c r="F8173" t="s">
        <v>26</v>
      </c>
      <c r="G8173" s="28">
        <f>IFERROR(VLOOKUP(F8173,CARTON_LOOKUP!$A:$E,3,0),"")</f>
      </c>
      <c r="H8173" s="28">
        <f>IFERROR(VLOOKUP(F8173,CARTON_LOOKUP!$A:$E,4,0),"")</f>
      </c>
      <c r="I8173" s="28">
        <f>IFERROR(VLOOKUP(F8173,CARTON_LOOKUP!$A:$E,5,0),"")</f>
      </c>
      <c r="J8173" s="29">
        <f>IFERROR(VLOOKUP(F8173,CARTON_LOOKUP!$A:$E,2,0),"")</f>
      </c>
      <c r="K8173" s="29">
        <f>IFERROR(J8173*D8173,0)</f>
      </c>
      <c r="L8173" s="29">
        <f>IFERROR(E8173*C8173,0)</f>
      </c>
      <c r="M8173" s="29">
        <f>IFERROR((G8173*H8173*I8173/1000000)*D8173,0)</f>
      </c>
    </row>
    <row r="8174" spans="1:13" x14ac:dyDescent="0.25">
      <c r="A8174" s="16"/>
      <c r="E8174" s="27"/>
      <c r="F8174" t="s">
        <v>26</v>
      </c>
      <c r="G8174" s="28">
        <f>IFERROR(VLOOKUP(F8174,CARTON_LOOKUP!$A:$E,3,0),"")</f>
      </c>
      <c r="H8174" s="28">
        <f>IFERROR(VLOOKUP(F8174,CARTON_LOOKUP!$A:$E,4,0),"")</f>
      </c>
      <c r="I8174" s="28">
        <f>IFERROR(VLOOKUP(F8174,CARTON_LOOKUP!$A:$E,5,0),"")</f>
      </c>
      <c r="J8174" s="29">
        <f>IFERROR(VLOOKUP(F8174,CARTON_LOOKUP!$A:$E,2,0),"")</f>
      </c>
      <c r="K8174" s="29">
        <f>IFERROR(J8174*D8174,0)</f>
      </c>
      <c r="L8174" s="29">
        <f>IFERROR(E8174*C8174,0)</f>
      </c>
      <c r="M8174" s="29">
        <f>IFERROR((G8174*H8174*I8174/1000000)*D8174,0)</f>
      </c>
    </row>
    <row r="8175" spans="1:13" x14ac:dyDescent="0.25">
      <c r="A8175" s="16"/>
      <c r="E8175" s="27"/>
      <c r="F8175" t="s">
        <v>26</v>
      </c>
      <c r="G8175" s="28">
        <f>IFERROR(VLOOKUP(F8175,CARTON_LOOKUP!$A:$E,3,0),"")</f>
      </c>
      <c r="H8175" s="28">
        <f>IFERROR(VLOOKUP(F8175,CARTON_LOOKUP!$A:$E,4,0),"")</f>
      </c>
      <c r="I8175" s="28">
        <f>IFERROR(VLOOKUP(F8175,CARTON_LOOKUP!$A:$E,5,0),"")</f>
      </c>
      <c r="J8175" s="29">
        <f>IFERROR(VLOOKUP(F8175,CARTON_LOOKUP!$A:$E,2,0),"")</f>
      </c>
      <c r="K8175" s="29">
        <f>IFERROR(J8175*D8175,0)</f>
      </c>
      <c r="L8175" s="29">
        <f>IFERROR(E8175*C8175,0)</f>
      </c>
      <c r="M8175" s="29">
        <f>IFERROR((G8175*H8175*I8175/1000000)*D8175,0)</f>
      </c>
    </row>
    <row r="8176" spans="1:13" x14ac:dyDescent="0.25">
      <c r="A8176" s="16"/>
      <c r="E8176" s="27"/>
      <c r="F8176" t="s">
        <v>26</v>
      </c>
      <c r="G8176" s="28">
        <f>IFERROR(VLOOKUP(F8176,CARTON_LOOKUP!$A:$E,3,0),"")</f>
      </c>
      <c r="H8176" s="28">
        <f>IFERROR(VLOOKUP(F8176,CARTON_LOOKUP!$A:$E,4,0),"")</f>
      </c>
      <c r="I8176" s="28">
        <f>IFERROR(VLOOKUP(F8176,CARTON_LOOKUP!$A:$E,5,0),"")</f>
      </c>
      <c r="J8176" s="29">
        <f>IFERROR(VLOOKUP(F8176,CARTON_LOOKUP!$A:$E,2,0),"")</f>
      </c>
      <c r="K8176" s="29">
        <f>IFERROR(J8176*D8176,0)</f>
      </c>
      <c r="L8176" s="29">
        <f>IFERROR(E8176*C8176,0)</f>
      </c>
      <c r="M8176" s="29">
        <f>IFERROR((G8176*H8176*I8176/1000000)*D8176,0)</f>
      </c>
    </row>
    <row r="8177" spans="1:13" x14ac:dyDescent="0.25">
      <c r="A8177" s="16"/>
      <c r="E8177" s="27"/>
      <c r="F8177" t="s">
        <v>26</v>
      </c>
      <c r="G8177" s="28">
        <f>IFERROR(VLOOKUP(F8177,CARTON_LOOKUP!$A:$E,3,0),"")</f>
      </c>
      <c r="H8177" s="28">
        <f>IFERROR(VLOOKUP(F8177,CARTON_LOOKUP!$A:$E,4,0),"")</f>
      </c>
      <c r="I8177" s="28">
        <f>IFERROR(VLOOKUP(F8177,CARTON_LOOKUP!$A:$E,5,0),"")</f>
      </c>
      <c r="J8177" s="29">
        <f>IFERROR(VLOOKUP(F8177,CARTON_LOOKUP!$A:$E,2,0),"")</f>
      </c>
      <c r="K8177" s="29">
        <f>IFERROR(J8177*D8177,0)</f>
      </c>
      <c r="L8177" s="29">
        <f>IFERROR(E8177*C8177,0)</f>
      </c>
      <c r="M8177" s="29">
        <f>IFERROR((G8177*H8177*I8177/1000000)*D8177,0)</f>
      </c>
    </row>
    <row r="8178" spans="1:13" x14ac:dyDescent="0.25">
      <c r="A8178" s="16"/>
      <c r="E8178" s="27"/>
      <c r="F8178" t="s">
        <v>26</v>
      </c>
      <c r="G8178" s="28">
        <f>IFERROR(VLOOKUP(F8178,CARTON_LOOKUP!$A:$E,3,0),"")</f>
      </c>
      <c r="H8178" s="28">
        <f>IFERROR(VLOOKUP(F8178,CARTON_LOOKUP!$A:$E,4,0),"")</f>
      </c>
      <c r="I8178" s="28">
        <f>IFERROR(VLOOKUP(F8178,CARTON_LOOKUP!$A:$E,5,0),"")</f>
      </c>
      <c r="J8178" s="29">
        <f>IFERROR(VLOOKUP(F8178,CARTON_LOOKUP!$A:$E,2,0),"")</f>
      </c>
      <c r="K8178" s="29">
        <f>IFERROR(J8178*D8178,0)</f>
      </c>
      <c r="L8178" s="29">
        <f>IFERROR(E8178*C8178,0)</f>
      </c>
      <c r="M8178" s="29">
        <f>IFERROR((G8178*H8178*I8178/1000000)*D8178,0)</f>
      </c>
    </row>
    <row r="8179" spans="1:13" x14ac:dyDescent="0.25">
      <c r="A8179" s="16"/>
      <c r="E8179" s="27"/>
      <c r="F8179" t="s">
        <v>26</v>
      </c>
      <c r="G8179" s="28">
        <f>IFERROR(VLOOKUP(F8179,CARTON_LOOKUP!$A:$E,3,0),"")</f>
      </c>
      <c r="H8179" s="28">
        <f>IFERROR(VLOOKUP(F8179,CARTON_LOOKUP!$A:$E,4,0),"")</f>
      </c>
      <c r="I8179" s="28">
        <f>IFERROR(VLOOKUP(F8179,CARTON_LOOKUP!$A:$E,5,0),"")</f>
      </c>
      <c r="J8179" s="29">
        <f>IFERROR(VLOOKUP(F8179,CARTON_LOOKUP!$A:$E,2,0),"")</f>
      </c>
      <c r="K8179" s="29">
        <f>IFERROR(J8179*D8179,0)</f>
      </c>
      <c r="L8179" s="29">
        <f>IFERROR(E8179*C8179,0)</f>
      </c>
      <c r="M8179" s="29">
        <f>IFERROR((G8179*H8179*I8179/1000000)*D8179,0)</f>
      </c>
    </row>
    <row r="8180" spans="1:13" x14ac:dyDescent="0.25">
      <c r="A8180" s="16"/>
      <c r="E8180" s="27"/>
      <c r="F8180" t="s">
        <v>26</v>
      </c>
      <c r="G8180" s="28">
        <f>IFERROR(VLOOKUP(F8180,CARTON_LOOKUP!$A:$E,3,0),"")</f>
      </c>
      <c r="H8180" s="28">
        <f>IFERROR(VLOOKUP(F8180,CARTON_LOOKUP!$A:$E,4,0),"")</f>
      </c>
      <c r="I8180" s="28">
        <f>IFERROR(VLOOKUP(F8180,CARTON_LOOKUP!$A:$E,5,0),"")</f>
      </c>
      <c r="J8180" s="29">
        <f>IFERROR(VLOOKUP(F8180,CARTON_LOOKUP!$A:$E,2,0),"")</f>
      </c>
      <c r="K8180" s="29">
        <f>IFERROR(J8180*D8180,0)</f>
      </c>
      <c r="L8180" s="29">
        <f>IFERROR(E8180*C8180,0)</f>
      </c>
      <c r="M8180" s="29">
        <f>IFERROR((G8180*H8180*I8180/1000000)*D8180,0)</f>
      </c>
    </row>
    <row r="8181" spans="1:13" x14ac:dyDescent="0.25">
      <c r="A8181" s="16"/>
      <c r="E8181" s="27"/>
      <c r="F8181" t="s">
        <v>26</v>
      </c>
      <c r="G8181" s="28">
        <f>IFERROR(VLOOKUP(F8181,CARTON_LOOKUP!$A:$E,3,0),"")</f>
      </c>
      <c r="H8181" s="28">
        <f>IFERROR(VLOOKUP(F8181,CARTON_LOOKUP!$A:$E,4,0),"")</f>
      </c>
      <c r="I8181" s="28">
        <f>IFERROR(VLOOKUP(F8181,CARTON_LOOKUP!$A:$E,5,0),"")</f>
      </c>
      <c r="J8181" s="29">
        <f>IFERROR(VLOOKUP(F8181,CARTON_LOOKUP!$A:$E,2,0),"")</f>
      </c>
      <c r="K8181" s="29">
        <f>IFERROR(J8181*D8181,0)</f>
      </c>
      <c r="L8181" s="29">
        <f>IFERROR(E8181*C8181,0)</f>
      </c>
      <c r="M8181" s="29">
        <f>IFERROR((G8181*H8181*I8181/1000000)*D8181,0)</f>
      </c>
    </row>
    <row r="8182" spans="1:13" x14ac:dyDescent="0.25">
      <c r="A8182" s="16"/>
      <c r="E8182" s="27"/>
      <c r="F8182" t="s">
        <v>26</v>
      </c>
      <c r="G8182" s="28">
        <f>IFERROR(VLOOKUP(F8182,CARTON_LOOKUP!$A:$E,3,0),"")</f>
      </c>
      <c r="H8182" s="28">
        <f>IFERROR(VLOOKUP(F8182,CARTON_LOOKUP!$A:$E,4,0),"")</f>
      </c>
      <c r="I8182" s="28">
        <f>IFERROR(VLOOKUP(F8182,CARTON_LOOKUP!$A:$E,5,0),"")</f>
      </c>
      <c r="J8182" s="29">
        <f>IFERROR(VLOOKUP(F8182,CARTON_LOOKUP!$A:$E,2,0),"")</f>
      </c>
      <c r="K8182" s="29">
        <f>IFERROR(J8182*D8182,0)</f>
      </c>
      <c r="L8182" s="29">
        <f>IFERROR(E8182*C8182,0)</f>
      </c>
      <c r="M8182" s="29">
        <f>IFERROR((G8182*H8182*I8182/1000000)*D8182,0)</f>
      </c>
    </row>
    <row r="8183" spans="1:13" x14ac:dyDescent="0.25">
      <c r="A8183" s="16"/>
      <c r="E8183" s="27"/>
      <c r="F8183" t="s">
        <v>26</v>
      </c>
      <c r="G8183" s="28">
        <f>IFERROR(VLOOKUP(F8183,CARTON_LOOKUP!$A:$E,3,0),"")</f>
      </c>
      <c r="H8183" s="28">
        <f>IFERROR(VLOOKUP(F8183,CARTON_LOOKUP!$A:$E,4,0),"")</f>
      </c>
      <c r="I8183" s="28">
        <f>IFERROR(VLOOKUP(F8183,CARTON_LOOKUP!$A:$E,5,0),"")</f>
      </c>
      <c r="J8183" s="29">
        <f>IFERROR(VLOOKUP(F8183,CARTON_LOOKUP!$A:$E,2,0),"")</f>
      </c>
      <c r="K8183" s="29">
        <f>IFERROR(J8183*D8183,0)</f>
      </c>
      <c r="L8183" s="29">
        <f>IFERROR(E8183*C8183,0)</f>
      </c>
      <c r="M8183" s="29">
        <f>IFERROR((G8183*H8183*I8183/1000000)*D8183,0)</f>
      </c>
    </row>
    <row r="8184" spans="1:13" x14ac:dyDescent="0.25">
      <c r="A8184" s="16"/>
      <c r="E8184" s="27"/>
      <c r="F8184" t="s">
        <v>26</v>
      </c>
      <c r="G8184" s="28">
        <f>IFERROR(VLOOKUP(F8184,CARTON_LOOKUP!$A:$E,3,0),"")</f>
      </c>
      <c r="H8184" s="28">
        <f>IFERROR(VLOOKUP(F8184,CARTON_LOOKUP!$A:$E,4,0),"")</f>
      </c>
      <c r="I8184" s="28">
        <f>IFERROR(VLOOKUP(F8184,CARTON_LOOKUP!$A:$E,5,0),"")</f>
      </c>
      <c r="J8184" s="29">
        <f>IFERROR(VLOOKUP(F8184,CARTON_LOOKUP!$A:$E,2,0),"")</f>
      </c>
      <c r="K8184" s="29">
        <f>IFERROR(J8184*D8184,0)</f>
      </c>
      <c r="L8184" s="29">
        <f>IFERROR(E8184*C8184,0)</f>
      </c>
      <c r="M8184" s="29">
        <f>IFERROR((G8184*H8184*I8184/1000000)*D8184,0)</f>
      </c>
    </row>
    <row r="8185" spans="1:13" x14ac:dyDescent="0.25">
      <c r="A8185" s="16"/>
      <c r="E8185" s="27"/>
      <c r="F8185" t="s">
        <v>26</v>
      </c>
      <c r="G8185" s="28">
        <f>IFERROR(VLOOKUP(F8185,CARTON_LOOKUP!$A:$E,3,0),"")</f>
      </c>
      <c r="H8185" s="28">
        <f>IFERROR(VLOOKUP(F8185,CARTON_LOOKUP!$A:$E,4,0),"")</f>
      </c>
      <c r="I8185" s="28">
        <f>IFERROR(VLOOKUP(F8185,CARTON_LOOKUP!$A:$E,5,0),"")</f>
      </c>
      <c r="J8185" s="29">
        <f>IFERROR(VLOOKUP(F8185,CARTON_LOOKUP!$A:$E,2,0),"")</f>
      </c>
      <c r="K8185" s="29">
        <f>IFERROR(J8185*D8185,0)</f>
      </c>
      <c r="L8185" s="29">
        <f>IFERROR(E8185*C8185,0)</f>
      </c>
      <c r="M8185" s="29">
        <f>IFERROR((G8185*H8185*I8185/1000000)*D8185,0)</f>
      </c>
    </row>
    <row r="8186" spans="1:13" x14ac:dyDescent="0.25">
      <c r="A8186" s="16"/>
      <c r="E8186" s="27"/>
      <c r="F8186" t="s">
        <v>26</v>
      </c>
      <c r="G8186" s="28">
        <f>IFERROR(VLOOKUP(F8186,CARTON_LOOKUP!$A:$E,3,0),"")</f>
      </c>
      <c r="H8186" s="28">
        <f>IFERROR(VLOOKUP(F8186,CARTON_LOOKUP!$A:$E,4,0),"")</f>
      </c>
      <c r="I8186" s="28">
        <f>IFERROR(VLOOKUP(F8186,CARTON_LOOKUP!$A:$E,5,0),"")</f>
      </c>
      <c r="J8186" s="29">
        <f>IFERROR(VLOOKUP(F8186,CARTON_LOOKUP!$A:$E,2,0),"")</f>
      </c>
      <c r="K8186" s="29">
        <f>IFERROR(J8186*D8186,0)</f>
      </c>
      <c r="L8186" s="29">
        <f>IFERROR(E8186*C8186,0)</f>
      </c>
      <c r="M8186" s="29">
        <f>IFERROR((G8186*H8186*I8186/1000000)*D8186,0)</f>
      </c>
    </row>
    <row r="8187" spans="1:13" x14ac:dyDescent="0.25">
      <c r="A8187" s="16"/>
      <c r="E8187" s="27"/>
      <c r="F8187" t="s">
        <v>26</v>
      </c>
      <c r="G8187" s="28">
        <f>IFERROR(VLOOKUP(F8187,CARTON_LOOKUP!$A:$E,3,0),"")</f>
      </c>
      <c r="H8187" s="28">
        <f>IFERROR(VLOOKUP(F8187,CARTON_LOOKUP!$A:$E,4,0),"")</f>
      </c>
      <c r="I8187" s="28">
        <f>IFERROR(VLOOKUP(F8187,CARTON_LOOKUP!$A:$E,5,0),"")</f>
      </c>
      <c r="J8187" s="29">
        <f>IFERROR(VLOOKUP(F8187,CARTON_LOOKUP!$A:$E,2,0),"")</f>
      </c>
      <c r="K8187" s="29">
        <f>IFERROR(J8187*D8187,0)</f>
      </c>
      <c r="L8187" s="29">
        <f>IFERROR(E8187*C8187,0)</f>
      </c>
      <c r="M8187" s="29">
        <f>IFERROR((G8187*H8187*I8187/1000000)*D8187,0)</f>
      </c>
    </row>
    <row r="8188" spans="1:13" x14ac:dyDescent="0.25">
      <c r="A8188" s="16"/>
      <c r="E8188" s="27"/>
      <c r="F8188" t="s">
        <v>26</v>
      </c>
      <c r="G8188" s="28">
        <f>IFERROR(VLOOKUP(F8188,CARTON_LOOKUP!$A:$E,3,0),"")</f>
      </c>
      <c r="H8188" s="28">
        <f>IFERROR(VLOOKUP(F8188,CARTON_LOOKUP!$A:$E,4,0),"")</f>
      </c>
      <c r="I8188" s="28">
        <f>IFERROR(VLOOKUP(F8188,CARTON_LOOKUP!$A:$E,5,0),"")</f>
      </c>
      <c r="J8188" s="29">
        <f>IFERROR(VLOOKUP(F8188,CARTON_LOOKUP!$A:$E,2,0),"")</f>
      </c>
      <c r="K8188" s="29">
        <f>IFERROR(J8188*D8188,0)</f>
      </c>
      <c r="L8188" s="29">
        <f>IFERROR(E8188*C8188,0)</f>
      </c>
      <c r="M8188" s="29">
        <f>IFERROR((G8188*H8188*I8188/1000000)*D8188,0)</f>
      </c>
    </row>
    <row r="8189" spans="1:13" x14ac:dyDescent="0.25">
      <c r="A8189" s="16"/>
      <c r="E8189" s="27"/>
      <c r="F8189" t="s">
        <v>26</v>
      </c>
      <c r="G8189" s="28">
        <f>IFERROR(VLOOKUP(F8189,CARTON_LOOKUP!$A:$E,3,0),"")</f>
      </c>
      <c r="H8189" s="28">
        <f>IFERROR(VLOOKUP(F8189,CARTON_LOOKUP!$A:$E,4,0),"")</f>
      </c>
      <c r="I8189" s="28">
        <f>IFERROR(VLOOKUP(F8189,CARTON_LOOKUP!$A:$E,5,0),"")</f>
      </c>
      <c r="J8189" s="29">
        <f>IFERROR(VLOOKUP(F8189,CARTON_LOOKUP!$A:$E,2,0),"")</f>
      </c>
      <c r="K8189" s="29">
        <f>IFERROR(J8189*D8189,0)</f>
      </c>
      <c r="L8189" s="29">
        <f>IFERROR(E8189*C8189,0)</f>
      </c>
      <c r="M8189" s="29">
        <f>IFERROR((G8189*H8189*I8189/1000000)*D8189,0)</f>
      </c>
    </row>
    <row r="8190" spans="1:13" x14ac:dyDescent="0.25">
      <c r="A8190" s="16"/>
      <c r="E8190" s="27"/>
      <c r="F8190" t="s">
        <v>26</v>
      </c>
      <c r="G8190" s="28">
        <f>IFERROR(VLOOKUP(F8190,CARTON_LOOKUP!$A:$E,3,0),"")</f>
      </c>
      <c r="H8190" s="28">
        <f>IFERROR(VLOOKUP(F8190,CARTON_LOOKUP!$A:$E,4,0),"")</f>
      </c>
      <c r="I8190" s="28">
        <f>IFERROR(VLOOKUP(F8190,CARTON_LOOKUP!$A:$E,5,0),"")</f>
      </c>
      <c r="J8190" s="29">
        <f>IFERROR(VLOOKUP(F8190,CARTON_LOOKUP!$A:$E,2,0),"")</f>
      </c>
      <c r="K8190" s="29">
        <f>IFERROR(J8190*D8190,0)</f>
      </c>
      <c r="L8190" s="29">
        <f>IFERROR(E8190*C8190,0)</f>
      </c>
      <c r="M8190" s="29">
        <f>IFERROR((G8190*H8190*I8190/1000000)*D8190,0)</f>
      </c>
    </row>
    <row r="8191" spans="1:13" x14ac:dyDescent="0.25">
      <c r="A8191" s="16"/>
      <c r="E8191" s="27"/>
      <c r="F8191" t="s">
        <v>26</v>
      </c>
      <c r="G8191" s="28">
        <f>IFERROR(VLOOKUP(F8191,CARTON_LOOKUP!$A:$E,3,0),"")</f>
      </c>
      <c r="H8191" s="28">
        <f>IFERROR(VLOOKUP(F8191,CARTON_LOOKUP!$A:$E,4,0),"")</f>
      </c>
      <c r="I8191" s="28">
        <f>IFERROR(VLOOKUP(F8191,CARTON_LOOKUP!$A:$E,5,0),"")</f>
      </c>
      <c r="J8191" s="29">
        <f>IFERROR(VLOOKUP(F8191,CARTON_LOOKUP!$A:$E,2,0),"")</f>
      </c>
      <c r="K8191" s="29">
        <f>IFERROR(J8191*D8191,0)</f>
      </c>
      <c r="L8191" s="29">
        <f>IFERROR(E8191*C8191,0)</f>
      </c>
      <c r="M8191" s="29">
        <f>IFERROR((G8191*H8191*I8191/1000000)*D8191,0)</f>
      </c>
    </row>
    <row r="8192" spans="1:13" x14ac:dyDescent="0.25">
      <c r="A8192" s="16"/>
      <c r="E8192" s="27"/>
      <c r="F8192" t="s">
        <v>26</v>
      </c>
      <c r="G8192" s="28">
        <f>IFERROR(VLOOKUP(F8192,CARTON_LOOKUP!$A:$E,3,0),"")</f>
      </c>
      <c r="H8192" s="28">
        <f>IFERROR(VLOOKUP(F8192,CARTON_LOOKUP!$A:$E,4,0),"")</f>
      </c>
      <c r="I8192" s="28">
        <f>IFERROR(VLOOKUP(F8192,CARTON_LOOKUP!$A:$E,5,0),"")</f>
      </c>
      <c r="J8192" s="29">
        <f>IFERROR(VLOOKUP(F8192,CARTON_LOOKUP!$A:$E,2,0),"")</f>
      </c>
      <c r="K8192" s="29">
        <f>IFERROR(J8192*D8192,0)</f>
      </c>
      <c r="L8192" s="29">
        <f>IFERROR(E8192*C8192,0)</f>
      </c>
      <c r="M8192" s="29">
        <f>IFERROR((G8192*H8192*I8192/1000000)*D8192,0)</f>
      </c>
    </row>
    <row r="8193" spans="1:13" x14ac:dyDescent="0.25">
      <c r="A8193" s="16"/>
      <c r="E8193" s="27"/>
      <c r="F8193" t="s">
        <v>26</v>
      </c>
      <c r="G8193" s="28">
        <f>IFERROR(VLOOKUP(F8193,CARTON_LOOKUP!$A:$E,3,0),"")</f>
      </c>
      <c r="H8193" s="28">
        <f>IFERROR(VLOOKUP(F8193,CARTON_LOOKUP!$A:$E,4,0),"")</f>
      </c>
      <c r="I8193" s="28">
        <f>IFERROR(VLOOKUP(F8193,CARTON_LOOKUP!$A:$E,5,0),"")</f>
      </c>
      <c r="J8193" s="29">
        <f>IFERROR(VLOOKUP(F8193,CARTON_LOOKUP!$A:$E,2,0),"")</f>
      </c>
      <c r="K8193" s="29">
        <f>IFERROR(J8193*D8193,0)</f>
      </c>
      <c r="L8193" s="29">
        <f>IFERROR(E8193*C8193,0)</f>
      </c>
      <c r="M8193" s="29">
        <f>IFERROR((G8193*H8193*I8193/1000000)*D8193,0)</f>
      </c>
    </row>
    <row r="8194" spans="1:13" x14ac:dyDescent="0.25">
      <c r="A8194" s="16"/>
      <c r="E8194" s="27"/>
      <c r="F8194" t="s">
        <v>26</v>
      </c>
      <c r="G8194" s="28">
        <f>IFERROR(VLOOKUP(F8194,CARTON_LOOKUP!$A:$E,3,0),"")</f>
      </c>
      <c r="H8194" s="28">
        <f>IFERROR(VLOOKUP(F8194,CARTON_LOOKUP!$A:$E,4,0),"")</f>
      </c>
      <c r="I8194" s="28">
        <f>IFERROR(VLOOKUP(F8194,CARTON_LOOKUP!$A:$E,5,0),"")</f>
      </c>
      <c r="J8194" s="29">
        <f>IFERROR(VLOOKUP(F8194,CARTON_LOOKUP!$A:$E,2,0),"")</f>
      </c>
      <c r="K8194" s="29">
        <f>IFERROR(J8194*D8194,0)</f>
      </c>
      <c r="L8194" s="29">
        <f>IFERROR(E8194*C8194,0)</f>
      </c>
      <c r="M8194" s="29">
        <f>IFERROR((G8194*H8194*I8194/1000000)*D8194,0)</f>
      </c>
    </row>
    <row r="8195" spans="1:13" x14ac:dyDescent="0.25">
      <c r="A8195" s="16"/>
      <c r="E8195" s="27"/>
      <c r="F8195" t="s">
        <v>26</v>
      </c>
      <c r="G8195" s="28">
        <f>IFERROR(VLOOKUP(F8195,CARTON_LOOKUP!$A:$E,3,0),"")</f>
      </c>
      <c r="H8195" s="28">
        <f>IFERROR(VLOOKUP(F8195,CARTON_LOOKUP!$A:$E,4,0),"")</f>
      </c>
      <c r="I8195" s="28">
        <f>IFERROR(VLOOKUP(F8195,CARTON_LOOKUP!$A:$E,5,0),"")</f>
      </c>
      <c r="J8195" s="29">
        <f>IFERROR(VLOOKUP(F8195,CARTON_LOOKUP!$A:$E,2,0),"")</f>
      </c>
      <c r="K8195" s="29">
        <f>IFERROR(J8195*D8195,0)</f>
      </c>
      <c r="L8195" s="29">
        <f>IFERROR(E8195*C8195,0)</f>
      </c>
      <c r="M8195" s="29">
        <f>IFERROR((G8195*H8195*I8195/1000000)*D8195,0)</f>
      </c>
    </row>
    <row r="8196" spans="1:13" x14ac:dyDescent="0.25">
      <c r="A8196" s="16"/>
      <c r="E8196" s="27"/>
      <c r="F8196" t="s">
        <v>26</v>
      </c>
      <c r="G8196" s="28">
        <f>IFERROR(VLOOKUP(F8196,CARTON_LOOKUP!$A:$E,3,0),"")</f>
      </c>
      <c r="H8196" s="28">
        <f>IFERROR(VLOOKUP(F8196,CARTON_LOOKUP!$A:$E,4,0),"")</f>
      </c>
      <c r="I8196" s="28">
        <f>IFERROR(VLOOKUP(F8196,CARTON_LOOKUP!$A:$E,5,0),"")</f>
      </c>
      <c r="J8196" s="29">
        <f>IFERROR(VLOOKUP(F8196,CARTON_LOOKUP!$A:$E,2,0),"")</f>
      </c>
      <c r="K8196" s="29">
        <f>IFERROR(J8196*D8196,0)</f>
      </c>
      <c r="L8196" s="29">
        <f>IFERROR(E8196*C8196,0)</f>
      </c>
      <c r="M8196" s="29">
        <f>IFERROR((G8196*H8196*I8196/1000000)*D8196,0)</f>
      </c>
    </row>
    <row r="8197" spans="1:13" x14ac:dyDescent="0.25">
      <c r="A8197" s="16"/>
      <c r="E8197" s="27"/>
      <c r="F8197" t="s">
        <v>26</v>
      </c>
      <c r="G8197" s="28">
        <f>IFERROR(VLOOKUP(F8197,CARTON_LOOKUP!$A:$E,3,0),"")</f>
      </c>
      <c r="H8197" s="28">
        <f>IFERROR(VLOOKUP(F8197,CARTON_LOOKUP!$A:$E,4,0),"")</f>
      </c>
      <c r="I8197" s="28">
        <f>IFERROR(VLOOKUP(F8197,CARTON_LOOKUP!$A:$E,5,0),"")</f>
      </c>
      <c r="J8197" s="29">
        <f>IFERROR(VLOOKUP(F8197,CARTON_LOOKUP!$A:$E,2,0),"")</f>
      </c>
      <c r="K8197" s="29">
        <f>IFERROR(J8197*D8197,0)</f>
      </c>
      <c r="L8197" s="29">
        <f>IFERROR(E8197*C8197,0)</f>
      </c>
      <c r="M8197" s="29">
        <f>IFERROR((G8197*H8197*I8197/1000000)*D8197,0)</f>
      </c>
    </row>
    <row r="8198" spans="1:13" x14ac:dyDescent="0.25">
      <c r="A8198" s="16"/>
      <c r="E8198" s="27"/>
      <c r="F8198" t="s">
        <v>26</v>
      </c>
      <c r="G8198" s="28">
        <f>IFERROR(VLOOKUP(F8198,CARTON_LOOKUP!$A:$E,3,0),"")</f>
      </c>
      <c r="H8198" s="28">
        <f>IFERROR(VLOOKUP(F8198,CARTON_LOOKUP!$A:$E,4,0),"")</f>
      </c>
      <c r="I8198" s="28">
        <f>IFERROR(VLOOKUP(F8198,CARTON_LOOKUP!$A:$E,5,0),"")</f>
      </c>
      <c r="J8198" s="29">
        <f>IFERROR(VLOOKUP(F8198,CARTON_LOOKUP!$A:$E,2,0),"")</f>
      </c>
      <c r="K8198" s="29">
        <f>IFERROR(J8198*D8198,0)</f>
      </c>
      <c r="L8198" s="29">
        <f>IFERROR(E8198*C8198,0)</f>
      </c>
      <c r="M8198" s="29">
        <f>IFERROR((G8198*H8198*I8198/1000000)*D8198,0)</f>
      </c>
    </row>
    <row r="8199" spans="1:13" x14ac:dyDescent="0.25">
      <c r="A8199" s="16"/>
      <c r="E8199" s="27"/>
      <c r="F8199" t="s">
        <v>26</v>
      </c>
      <c r="G8199" s="28">
        <f>IFERROR(VLOOKUP(F8199,CARTON_LOOKUP!$A:$E,3,0),"")</f>
      </c>
      <c r="H8199" s="28">
        <f>IFERROR(VLOOKUP(F8199,CARTON_LOOKUP!$A:$E,4,0),"")</f>
      </c>
      <c r="I8199" s="28">
        <f>IFERROR(VLOOKUP(F8199,CARTON_LOOKUP!$A:$E,5,0),"")</f>
      </c>
      <c r="J8199" s="29">
        <f>IFERROR(VLOOKUP(F8199,CARTON_LOOKUP!$A:$E,2,0),"")</f>
      </c>
      <c r="K8199" s="29">
        <f>IFERROR(J8199*D8199,0)</f>
      </c>
      <c r="L8199" s="29">
        <f>IFERROR(E8199*C8199,0)</f>
      </c>
      <c r="M8199" s="29">
        <f>IFERROR((G8199*H8199*I8199/1000000)*D8199,0)</f>
      </c>
    </row>
    <row r="8200" spans="1:13" x14ac:dyDescent="0.25">
      <c r="A8200" s="16"/>
      <c r="E8200" s="27"/>
      <c r="F8200" t="s">
        <v>26</v>
      </c>
      <c r="G8200" s="28">
        <f>IFERROR(VLOOKUP(F8200,CARTON_LOOKUP!$A:$E,3,0),"")</f>
      </c>
      <c r="H8200" s="28">
        <f>IFERROR(VLOOKUP(F8200,CARTON_LOOKUP!$A:$E,4,0),"")</f>
      </c>
      <c r="I8200" s="28">
        <f>IFERROR(VLOOKUP(F8200,CARTON_LOOKUP!$A:$E,5,0),"")</f>
      </c>
      <c r="J8200" s="29">
        <f>IFERROR(VLOOKUP(F8200,CARTON_LOOKUP!$A:$E,2,0),"")</f>
      </c>
      <c r="K8200" s="29">
        <f>IFERROR(J8200*D8200,0)</f>
      </c>
      <c r="L8200" s="29">
        <f>IFERROR(E8200*C8200,0)</f>
      </c>
      <c r="M8200" s="29">
        <f>IFERROR((G8200*H8200*I8200/1000000)*D8200,0)</f>
      </c>
    </row>
    <row r="8201" spans="1:13" x14ac:dyDescent="0.25">
      <c r="A8201" s="16"/>
      <c r="E8201" s="27"/>
      <c r="F8201" t="s">
        <v>26</v>
      </c>
      <c r="G8201" s="28">
        <f>IFERROR(VLOOKUP(F8201,CARTON_LOOKUP!$A:$E,3,0),"")</f>
      </c>
      <c r="H8201" s="28">
        <f>IFERROR(VLOOKUP(F8201,CARTON_LOOKUP!$A:$E,4,0),"")</f>
      </c>
      <c r="I8201" s="28">
        <f>IFERROR(VLOOKUP(F8201,CARTON_LOOKUP!$A:$E,5,0),"")</f>
      </c>
      <c r="J8201" s="29">
        <f>IFERROR(VLOOKUP(F8201,CARTON_LOOKUP!$A:$E,2,0),"")</f>
      </c>
      <c r="K8201" s="29">
        <f>IFERROR(J8201*D8201,0)</f>
      </c>
      <c r="L8201" s="29">
        <f>IFERROR(E8201*C8201,0)</f>
      </c>
      <c r="M8201" s="29">
        <f>IFERROR((G8201*H8201*I8201/1000000)*D8201,0)</f>
      </c>
    </row>
    <row r="8202" spans="1:13" x14ac:dyDescent="0.25">
      <c r="A8202" s="16"/>
      <c r="E8202" s="27"/>
      <c r="F8202" t="s">
        <v>26</v>
      </c>
      <c r="G8202" s="28">
        <f>IFERROR(VLOOKUP(F8202,CARTON_LOOKUP!$A:$E,3,0),"")</f>
      </c>
      <c r="H8202" s="28">
        <f>IFERROR(VLOOKUP(F8202,CARTON_LOOKUP!$A:$E,4,0),"")</f>
      </c>
      <c r="I8202" s="28">
        <f>IFERROR(VLOOKUP(F8202,CARTON_LOOKUP!$A:$E,5,0),"")</f>
      </c>
      <c r="J8202" s="29">
        <f>IFERROR(VLOOKUP(F8202,CARTON_LOOKUP!$A:$E,2,0),"")</f>
      </c>
      <c r="K8202" s="29">
        <f>IFERROR(J8202*D8202,0)</f>
      </c>
      <c r="L8202" s="29">
        <f>IFERROR(E8202*C8202,0)</f>
      </c>
      <c r="M8202" s="29">
        <f>IFERROR((G8202*H8202*I8202/1000000)*D8202,0)</f>
      </c>
    </row>
    <row r="8203" spans="1:13" x14ac:dyDescent="0.25">
      <c r="A8203" s="16"/>
      <c r="E8203" s="27"/>
      <c r="F8203" t="s">
        <v>26</v>
      </c>
      <c r="G8203" s="28">
        <f>IFERROR(VLOOKUP(F8203,CARTON_LOOKUP!$A:$E,3,0),"")</f>
      </c>
      <c r="H8203" s="28">
        <f>IFERROR(VLOOKUP(F8203,CARTON_LOOKUP!$A:$E,4,0),"")</f>
      </c>
      <c r="I8203" s="28">
        <f>IFERROR(VLOOKUP(F8203,CARTON_LOOKUP!$A:$E,5,0),"")</f>
      </c>
      <c r="J8203" s="29">
        <f>IFERROR(VLOOKUP(F8203,CARTON_LOOKUP!$A:$E,2,0),"")</f>
      </c>
      <c r="K8203" s="29">
        <f>IFERROR(J8203*D8203,0)</f>
      </c>
      <c r="L8203" s="29">
        <f>IFERROR(E8203*C8203,0)</f>
      </c>
      <c r="M8203" s="29">
        <f>IFERROR((G8203*H8203*I8203/1000000)*D8203,0)</f>
      </c>
    </row>
    <row r="8204" spans="1:13" x14ac:dyDescent="0.25">
      <c r="A8204" s="16"/>
      <c r="E8204" s="27"/>
      <c r="F8204" t="s">
        <v>26</v>
      </c>
      <c r="G8204" s="28">
        <f>IFERROR(VLOOKUP(F8204,CARTON_LOOKUP!$A:$E,3,0),"")</f>
      </c>
      <c r="H8204" s="28">
        <f>IFERROR(VLOOKUP(F8204,CARTON_LOOKUP!$A:$E,4,0),"")</f>
      </c>
      <c r="I8204" s="28">
        <f>IFERROR(VLOOKUP(F8204,CARTON_LOOKUP!$A:$E,5,0),"")</f>
      </c>
      <c r="J8204" s="29">
        <f>IFERROR(VLOOKUP(F8204,CARTON_LOOKUP!$A:$E,2,0),"")</f>
      </c>
      <c r="K8204" s="29">
        <f>IFERROR(J8204*D8204,0)</f>
      </c>
      <c r="L8204" s="29">
        <f>IFERROR(E8204*C8204,0)</f>
      </c>
      <c r="M8204" s="29">
        <f>IFERROR((G8204*H8204*I8204/1000000)*D8204,0)</f>
      </c>
    </row>
    <row r="8205" spans="1:13" x14ac:dyDescent="0.25">
      <c r="A8205" s="16"/>
      <c r="E8205" s="27"/>
      <c r="F8205" t="s">
        <v>26</v>
      </c>
      <c r="G8205" s="28">
        <f>IFERROR(VLOOKUP(F8205,CARTON_LOOKUP!$A:$E,3,0),"")</f>
      </c>
      <c r="H8205" s="28">
        <f>IFERROR(VLOOKUP(F8205,CARTON_LOOKUP!$A:$E,4,0),"")</f>
      </c>
      <c r="I8205" s="28">
        <f>IFERROR(VLOOKUP(F8205,CARTON_LOOKUP!$A:$E,5,0),"")</f>
      </c>
      <c r="J8205" s="29">
        <f>IFERROR(VLOOKUP(F8205,CARTON_LOOKUP!$A:$E,2,0),"")</f>
      </c>
      <c r="K8205" s="29">
        <f>IFERROR(J8205*D8205,0)</f>
      </c>
      <c r="L8205" s="29">
        <f>IFERROR(E8205*C8205,0)</f>
      </c>
      <c r="M8205" s="29">
        <f>IFERROR((G8205*H8205*I8205/1000000)*D8205,0)</f>
      </c>
    </row>
    <row r="8206" spans="1:13" x14ac:dyDescent="0.25">
      <c r="A8206" s="16"/>
      <c r="E8206" s="27"/>
      <c r="F8206" t="s">
        <v>26</v>
      </c>
      <c r="G8206" s="28">
        <f>IFERROR(VLOOKUP(F8206,CARTON_LOOKUP!$A:$E,3,0),"")</f>
      </c>
      <c r="H8206" s="28">
        <f>IFERROR(VLOOKUP(F8206,CARTON_LOOKUP!$A:$E,4,0),"")</f>
      </c>
      <c r="I8206" s="28">
        <f>IFERROR(VLOOKUP(F8206,CARTON_LOOKUP!$A:$E,5,0),"")</f>
      </c>
      <c r="J8206" s="29">
        <f>IFERROR(VLOOKUP(F8206,CARTON_LOOKUP!$A:$E,2,0),"")</f>
      </c>
      <c r="K8206" s="29">
        <f>IFERROR(J8206*D8206,0)</f>
      </c>
      <c r="L8206" s="29">
        <f>IFERROR(E8206*C8206,0)</f>
      </c>
      <c r="M8206" s="29">
        <f>IFERROR((G8206*H8206*I8206/1000000)*D8206,0)</f>
      </c>
    </row>
    <row r="8207" spans="1:13" x14ac:dyDescent="0.25">
      <c r="A8207" s="16"/>
      <c r="E8207" s="27"/>
      <c r="F8207" t="s">
        <v>26</v>
      </c>
      <c r="G8207" s="28">
        <f>IFERROR(VLOOKUP(F8207,CARTON_LOOKUP!$A:$E,3,0),"")</f>
      </c>
      <c r="H8207" s="28">
        <f>IFERROR(VLOOKUP(F8207,CARTON_LOOKUP!$A:$E,4,0),"")</f>
      </c>
      <c r="I8207" s="28">
        <f>IFERROR(VLOOKUP(F8207,CARTON_LOOKUP!$A:$E,5,0),"")</f>
      </c>
      <c r="J8207" s="29">
        <f>IFERROR(VLOOKUP(F8207,CARTON_LOOKUP!$A:$E,2,0),"")</f>
      </c>
      <c r="K8207" s="29">
        <f>IFERROR(J8207*D8207,0)</f>
      </c>
      <c r="L8207" s="29">
        <f>IFERROR(E8207*C8207,0)</f>
      </c>
      <c r="M8207" s="29">
        <f>IFERROR((G8207*H8207*I8207/1000000)*D8207,0)</f>
      </c>
    </row>
    <row r="8208" spans="1:13" x14ac:dyDescent="0.25">
      <c r="A8208" s="16"/>
      <c r="E8208" s="27"/>
      <c r="F8208" t="s">
        <v>26</v>
      </c>
      <c r="G8208" s="28">
        <f>IFERROR(VLOOKUP(F8208,CARTON_LOOKUP!$A:$E,3,0),"")</f>
      </c>
      <c r="H8208" s="28">
        <f>IFERROR(VLOOKUP(F8208,CARTON_LOOKUP!$A:$E,4,0),"")</f>
      </c>
      <c r="I8208" s="28">
        <f>IFERROR(VLOOKUP(F8208,CARTON_LOOKUP!$A:$E,5,0),"")</f>
      </c>
      <c r="J8208" s="29">
        <f>IFERROR(VLOOKUP(F8208,CARTON_LOOKUP!$A:$E,2,0),"")</f>
      </c>
      <c r="K8208" s="29">
        <f>IFERROR(J8208*D8208,0)</f>
      </c>
      <c r="L8208" s="29">
        <f>IFERROR(E8208*C8208,0)</f>
      </c>
      <c r="M8208" s="29">
        <f>IFERROR((G8208*H8208*I8208/1000000)*D8208,0)</f>
      </c>
    </row>
    <row r="8209" spans="1:13" x14ac:dyDescent="0.25">
      <c r="A8209" s="16"/>
      <c r="E8209" s="27"/>
      <c r="F8209" t="s">
        <v>26</v>
      </c>
      <c r="G8209" s="28">
        <f>IFERROR(VLOOKUP(F8209,CARTON_LOOKUP!$A:$E,3,0),"")</f>
      </c>
      <c r="H8209" s="28">
        <f>IFERROR(VLOOKUP(F8209,CARTON_LOOKUP!$A:$E,4,0),"")</f>
      </c>
      <c r="I8209" s="28">
        <f>IFERROR(VLOOKUP(F8209,CARTON_LOOKUP!$A:$E,5,0),"")</f>
      </c>
      <c r="J8209" s="29">
        <f>IFERROR(VLOOKUP(F8209,CARTON_LOOKUP!$A:$E,2,0),"")</f>
      </c>
      <c r="K8209" s="29">
        <f>IFERROR(J8209*D8209,0)</f>
      </c>
      <c r="L8209" s="29">
        <f>IFERROR(E8209*C8209,0)</f>
      </c>
      <c r="M8209" s="29">
        <f>IFERROR((G8209*H8209*I8209/1000000)*D8209,0)</f>
      </c>
    </row>
    <row r="8210" spans="1:13" x14ac:dyDescent="0.25">
      <c r="A8210" s="16"/>
      <c r="E8210" s="27"/>
      <c r="F8210" t="s">
        <v>26</v>
      </c>
      <c r="G8210" s="28">
        <f>IFERROR(VLOOKUP(F8210,CARTON_LOOKUP!$A:$E,3,0),"")</f>
      </c>
      <c r="H8210" s="28">
        <f>IFERROR(VLOOKUP(F8210,CARTON_LOOKUP!$A:$E,4,0),"")</f>
      </c>
      <c r="I8210" s="28">
        <f>IFERROR(VLOOKUP(F8210,CARTON_LOOKUP!$A:$E,5,0),"")</f>
      </c>
      <c r="J8210" s="29">
        <f>IFERROR(VLOOKUP(F8210,CARTON_LOOKUP!$A:$E,2,0),"")</f>
      </c>
      <c r="K8210" s="29">
        <f>IFERROR(J8210*D8210,0)</f>
      </c>
      <c r="L8210" s="29">
        <f>IFERROR(E8210*C8210,0)</f>
      </c>
      <c r="M8210" s="29">
        <f>IFERROR((G8210*H8210*I8210/1000000)*D8210,0)</f>
      </c>
    </row>
    <row r="8211" spans="1:13" x14ac:dyDescent="0.25">
      <c r="A8211" s="16"/>
      <c r="E8211" s="27"/>
      <c r="F8211" t="s">
        <v>26</v>
      </c>
      <c r="G8211" s="28">
        <f>IFERROR(VLOOKUP(F8211,CARTON_LOOKUP!$A:$E,3,0),"")</f>
      </c>
      <c r="H8211" s="28">
        <f>IFERROR(VLOOKUP(F8211,CARTON_LOOKUP!$A:$E,4,0),"")</f>
      </c>
      <c r="I8211" s="28">
        <f>IFERROR(VLOOKUP(F8211,CARTON_LOOKUP!$A:$E,5,0),"")</f>
      </c>
      <c r="J8211" s="29">
        <f>IFERROR(VLOOKUP(F8211,CARTON_LOOKUP!$A:$E,2,0),"")</f>
      </c>
      <c r="K8211" s="29">
        <f>IFERROR(J8211*D8211,0)</f>
      </c>
      <c r="L8211" s="29">
        <f>IFERROR(E8211*C8211,0)</f>
      </c>
      <c r="M8211" s="29">
        <f>IFERROR((G8211*H8211*I8211/1000000)*D8211,0)</f>
      </c>
    </row>
    <row r="8212" spans="1:13" x14ac:dyDescent="0.25">
      <c r="A8212" s="16"/>
      <c r="E8212" s="27"/>
      <c r="F8212" t="s">
        <v>26</v>
      </c>
      <c r="G8212" s="28">
        <f>IFERROR(VLOOKUP(F8212,CARTON_LOOKUP!$A:$E,3,0),"")</f>
      </c>
      <c r="H8212" s="28">
        <f>IFERROR(VLOOKUP(F8212,CARTON_LOOKUP!$A:$E,4,0),"")</f>
      </c>
      <c r="I8212" s="28">
        <f>IFERROR(VLOOKUP(F8212,CARTON_LOOKUP!$A:$E,5,0),"")</f>
      </c>
      <c r="J8212" s="29">
        <f>IFERROR(VLOOKUP(F8212,CARTON_LOOKUP!$A:$E,2,0),"")</f>
      </c>
      <c r="K8212" s="29">
        <f>IFERROR(J8212*D8212,0)</f>
      </c>
      <c r="L8212" s="29">
        <f>IFERROR(E8212*C8212,0)</f>
      </c>
      <c r="M8212" s="29">
        <f>IFERROR((G8212*H8212*I8212/1000000)*D8212,0)</f>
      </c>
    </row>
    <row r="8213" spans="1:13" x14ac:dyDescent="0.25">
      <c r="A8213" s="16"/>
      <c r="E8213" s="27"/>
      <c r="F8213" t="s">
        <v>26</v>
      </c>
      <c r="G8213" s="28">
        <f>IFERROR(VLOOKUP(F8213,CARTON_LOOKUP!$A:$E,3,0),"")</f>
      </c>
      <c r="H8213" s="28">
        <f>IFERROR(VLOOKUP(F8213,CARTON_LOOKUP!$A:$E,4,0),"")</f>
      </c>
      <c r="I8213" s="28">
        <f>IFERROR(VLOOKUP(F8213,CARTON_LOOKUP!$A:$E,5,0),"")</f>
      </c>
      <c r="J8213" s="29">
        <f>IFERROR(VLOOKUP(F8213,CARTON_LOOKUP!$A:$E,2,0),"")</f>
      </c>
      <c r="K8213" s="29">
        <f>IFERROR(J8213*D8213,0)</f>
      </c>
      <c r="L8213" s="29">
        <f>IFERROR(E8213*C8213,0)</f>
      </c>
      <c r="M8213" s="29">
        <f>IFERROR((G8213*H8213*I8213/1000000)*D8213,0)</f>
      </c>
    </row>
    <row r="8214" spans="1:13" x14ac:dyDescent="0.25">
      <c r="A8214" s="16"/>
      <c r="E8214" s="27"/>
      <c r="F8214" t="s">
        <v>26</v>
      </c>
      <c r="G8214" s="28">
        <f>IFERROR(VLOOKUP(F8214,CARTON_LOOKUP!$A:$E,3,0),"")</f>
      </c>
      <c r="H8214" s="28">
        <f>IFERROR(VLOOKUP(F8214,CARTON_LOOKUP!$A:$E,4,0),"")</f>
      </c>
      <c r="I8214" s="28">
        <f>IFERROR(VLOOKUP(F8214,CARTON_LOOKUP!$A:$E,5,0),"")</f>
      </c>
      <c r="J8214" s="29">
        <f>IFERROR(VLOOKUP(F8214,CARTON_LOOKUP!$A:$E,2,0),"")</f>
      </c>
      <c r="K8214" s="29">
        <f>IFERROR(J8214*D8214,0)</f>
      </c>
      <c r="L8214" s="29">
        <f>IFERROR(E8214*C8214,0)</f>
      </c>
      <c r="M8214" s="29">
        <f>IFERROR((G8214*H8214*I8214/1000000)*D8214,0)</f>
      </c>
    </row>
    <row r="8215" spans="1:13" x14ac:dyDescent="0.25">
      <c r="A8215" s="16"/>
      <c r="E8215" s="27"/>
      <c r="F8215" t="s">
        <v>26</v>
      </c>
      <c r="G8215" s="28">
        <f>IFERROR(VLOOKUP(F8215,CARTON_LOOKUP!$A:$E,3,0),"")</f>
      </c>
      <c r="H8215" s="28">
        <f>IFERROR(VLOOKUP(F8215,CARTON_LOOKUP!$A:$E,4,0),"")</f>
      </c>
      <c r="I8215" s="28">
        <f>IFERROR(VLOOKUP(F8215,CARTON_LOOKUP!$A:$E,5,0),"")</f>
      </c>
      <c r="J8215" s="29">
        <f>IFERROR(VLOOKUP(F8215,CARTON_LOOKUP!$A:$E,2,0),"")</f>
      </c>
      <c r="K8215" s="29">
        <f>IFERROR(J8215*D8215,0)</f>
      </c>
      <c r="L8215" s="29">
        <f>IFERROR(E8215*C8215,0)</f>
      </c>
      <c r="M8215" s="29">
        <f>IFERROR((G8215*H8215*I8215/1000000)*D8215,0)</f>
      </c>
    </row>
    <row r="8216" spans="1:13" x14ac:dyDescent="0.25">
      <c r="A8216" s="16"/>
      <c r="E8216" s="27"/>
      <c r="F8216" t="s">
        <v>26</v>
      </c>
      <c r="G8216" s="28">
        <f>IFERROR(VLOOKUP(F8216,CARTON_LOOKUP!$A:$E,3,0),"")</f>
      </c>
      <c r="H8216" s="28">
        <f>IFERROR(VLOOKUP(F8216,CARTON_LOOKUP!$A:$E,4,0),"")</f>
      </c>
      <c r="I8216" s="28">
        <f>IFERROR(VLOOKUP(F8216,CARTON_LOOKUP!$A:$E,5,0),"")</f>
      </c>
      <c r="J8216" s="29">
        <f>IFERROR(VLOOKUP(F8216,CARTON_LOOKUP!$A:$E,2,0),"")</f>
      </c>
      <c r="K8216" s="29">
        <f>IFERROR(J8216*D8216,0)</f>
      </c>
      <c r="L8216" s="29">
        <f>IFERROR(E8216*C8216,0)</f>
      </c>
      <c r="M8216" s="29">
        <f>IFERROR((G8216*H8216*I8216/1000000)*D8216,0)</f>
      </c>
    </row>
    <row r="8217" spans="1:13" x14ac:dyDescent="0.25">
      <c r="A8217" s="16"/>
      <c r="E8217" s="27"/>
      <c r="F8217" t="s">
        <v>26</v>
      </c>
      <c r="G8217" s="28">
        <f>IFERROR(VLOOKUP(F8217,CARTON_LOOKUP!$A:$E,3,0),"")</f>
      </c>
      <c r="H8217" s="28">
        <f>IFERROR(VLOOKUP(F8217,CARTON_LOOKUP!$A:$E,4,0),"")</f>
      </c>
      <c r="I8217" s="28">
        <f>IFERROR(VLOOKUP(F8217,CARTON_LOOKUP!$A:$E,5,0),"")</f>
      </c>
      <c r="J8217" s="29">
        <f>IFERROR(VLOOKUP(F8217,CARTON_LOOKUP!$A:$E,2,0),"")</f>
      </c>
      <c r="K8217" s="29">
        <f>IFERROR(J8217*D8217,0)</f>
      </c>
      <c r="L8217" s="29">
        <f>IFERROR(E8217*C8217,0)</f>
      </c>
      <c r="M8217" s="29">
        <f>IFERROR((G8217*H8217*I8217/1000000)*D8217,0)</f>
      </c>
    </row>
    <row r="8218" spans="1:13" x14ac:dyDescent="0.25">
      <c r="A8218" s="16"/>
      <c r="E8218" s="27"/>
      <c r="F8218" t="s">
        <v>26</v>
      </c>
      <c r="G8218" s="28">
        <f>IFERROR(VLOOKUP(F8218,CARTON_LOOKUP!$A:$E,3,0),"")</f>
      </c>
      <c r="H8218" s="28">
        <f>IFERROR(VLOOKUP(F8218,CARTON_LOOKUP!$A:$E,4,0),"")</f>
      </c>
      <c r="I8218" s="28">
        <f>IFERROR(VLOOKUP(F8218,CARTON_LOOKUP!$A:$E,5,0),"")</f>
      </c>
      <c r="J8218" s="29">
        <f>IFERROR(VLOOKUP(F8218,CARTON_LOOKUP!$A:$E,2,0),"")</f>
      </c>
      <c r="K8218" s="29">
        <f>IFERROR(J8218*D8218,0)</f>
      </c>
      <c r="L8218" s="29">
        <f>IFERROR(E8218*C8218,0)</f>
      </c>
      <c r="M8218" s="29">
        <f>IFERROR((G8218*H8218*I8218/1000000)*D8218,0)</f>
      </c>
    </row>
    <row r="8219" spans="1:13" x14ac:dyDescent="0.25">
      <c r="A8219" s="16"/>
      <c r="E8219" s="27"/>
      <c r="F8219" t="s">
        <v>26</v>
      </c>
      <c r="G8219" s="28">
        <f>IFERROR(VLOOKUP(F8219,CARTON_LOOKUP!$A:$E,3,0),"")</f>
      </c>
      <c r="H8219" s="28">
        <f>IFERROR(VLOOKUP(F8219,CARTON_LOOKUP!$A:$E,4,0),"")</f>
      </c>
      <c r="I8219" s="28">
        <f>IFERROR(VLOOKUP(F8219,CARTON_LOOKUP!$A:$E,5,0),"")</f>
      </c>
      <c r="J8219" s="29">
        <f>IFERROR(VLOOKUP(F8219,CARTON_LOOKUP!$A:$E,2,0),"")</f>
      </c>
      <c r="K8219" s="29">
        <f>IFERROR(J8219*D8219,0)</f>
      </c>
      <c r="L8219" s="29">
        <f>IFERROR(E8219*C8219,0)</f>
      </c>
      <c r="M8219" s="29">
        <f>IFERROR((G8219*H8219*I8219/1000000)*D8219,0)</f>
      </c>
    </row>
    <row r="8220" spans="1:13" x14ac:dyDescent="0.25">
      <c r="A8220" s="16"/>
      <c r="E8220" s="27"/>
      <c r="F8220" t="s">
        <v>26</v>
      </c>
      <c r="G8220" s="28">
        <f>IFERROR(VLOOKUP(F8220,CARTON_LOOKUP!$A:$E,3,0),"")</f>
      </c>
      <c r="H8220" s="28">
        <f>IFERROR(VLOOKUP(F8220,CARTON_LOOKUP!$A:$E,4,0),"")</f>
      </c>
      <c r="I8220" s="28">
        <f>IFERROR(VLOOKUP(F8220,CARTON_LOOKUP!$A:$E,5,0),"")</f>
      </c>
      <c r="J8220" s="29">
        <f>IFERROR(VLOOKUP(F8220,CARTON_LOOKUP!$A:$E,2,0),"")</f>
      </c>
      <c r="K8220" s="29">
        <f>IFERROR(J8220*D8220,0)</f>
      </c>
      <c r="L8220" s="29">
        <f>IFERROR(E8220*C8220,0)</f>
      </c>
      <c r="M8220" s="29">
        <f>IFERROR((G8220*H8220*I8220/1000000)*D8220,0)</f>
      </c>
    </row>
    <row r="8221" spans="1:13" x14ac:dyDescent="0.25">
      <c r="A8221" s="16"/>
      <c r="E8221" s="27"/>
      <c r="F8221" t="s">
        <v>26</v>
      </c>
      <c r="G8221" s="28">
        <f>IFERROR(VLOOKUP(F8221,CARTON_LOOKUP!$A:$E,3,0),"")</f>
      </c>
      <c r="H8221" s="28">
        <f>IFERROR(VLOOKUP(F8221,CARTON_LOOKUP!$A:$E,4,0),"")</f>
      </c>
      <c r="I8221" s="28">
        <f>IFERROR(VLOOKUP(F8221,CARTON_LOOKUP!$A:$E,5,0),"")</f>
      </c>
      <c r="J8221" s="29">
        <f>IFERROR(VLOOKUP(F8221,CARTON_LOOKUP!$A:$E,2,0),"")</f>
      </c>
      <c r="K8221" s="29">
        <f>IFERROR(J8221*D8221,0)</f>
      </c>
      <c r="L8221" s="29">
        <f>IFERROR(E8221*C8221,0)</f>
      </c>
      <c r="M8221" s="29">
        <f>IFERROR((G8221*H8221*I8221/1000000)*D8221,0)</f>
      </c>
    </row>
    <row r="8222" spans="1:13" x14ac:dyDescent="0.25">
      <c r="A8222" s="16"/>
      <c r="E8222" s="27"/>
      <c r="F8222" t="s">
        <v>26</v>
      </c>
      <c r="G8222" s="28">
        <f>IFERROR(VLOOKUP(F8222,CARTON_LOOKUP!$A:$E,3,0),"")</f>
      </c>
      <c r="H8222" s="28">
        <f>IFERROR(VLOOKUP(F8222,CARTON_LOOKUP!$A:$E,4,0),"")</f>
      </c>
      <c r="I8222" s="28">
        <f>IFERROR(VLOOKUP(F8222,CARTON_LOOKUP!$A:$E,5,0),"")</f>
      </c>
      <c r="J8222" s="29">
        <f>IFERROR(VLOOKUP(F8222,CARTON_LOOKUP!$A:$E,2,0),"")</f>
      </c>
      <c r="K8222" s="29">
        <f>IFERROR(J8222*D8222,0)</f>
      </c>
      <c r="L8222" s="29">
        <f>IFERROR(E8222*C8222,0)</f>
      </c>
      <c r="M8222" s="29">
        <f>IFERROR((G8222*H8222*I8222/1000000)*D8222,0)</f>
      </c>
    </row>
    <row r="8223" spans="1:13" x14ac:dyDescent="0.25">
      <c r="A8223" s="16"/>
      <c r="E8223" s="27"/>
      <c r="F8223" t="s">
        <v>26</v>
      </c>
      <c r="G8223" s="28">
        <f>IFERROR(VLOOKUP(F8223,CARTON_LOOKUP!$A:$E,3,0),"")</f>
      </c>
      <c r="H8223" s="28">
        <f>IFERROR(VLOOKUP(F8223,CARTON_LOOKUP!$A:$E,4,0),"")</f>
      </c>
      <c r="I8223" s="28">
        <f>IFERROR(VLOOKUP(F8223,CARTON_LOOKUP!$A:$E,5,0),"")</f>
      </c>
      <c r="J8223" s="29">
        <f>IFERROR(VLOOKUP(F8223,CARTON_LOOKUP!$A:$E,2,0),"")</f>
      </c>
      <c r="K8223" s="29">
        <f>IFERROR(J8223*D8223,0)</f>
      </c>
      <c r="L8223" s="29">
        <f>IFERROR(E8223*C8223,0)</f>
      </c>
      <c r="M8223" s="29">
        <f>IFERROR((G8223*H8223*I8223/1000000)*D8223,0)</f>
      </c>
    </row>
    <row r="8224" spans="1:13" x14ac:dyDescent="0.25">
      <c r="A8224" s="16"/>
      <c r="E8224" s="27"/>
      <c r="F8224" t="s">
        <v>26</v>
      </c>
      <c r="G8224" s="28">
        <f>IFERROR(VLOOKUP(F8224,CARTON_LOOKUP!$A:$E,3,0),"")</f>
      </c>
      <c r="H8224" s="28">
        <f>IFERROR(VLOOKUP(F8224,CARTON_LOOKUP!$A:$E,4,0),"")</f>
      </c>
      <c r="I8224" s="28">
        <f>IFERROR(VLOOKUP(F8224,CARTON_LOOKUP!$A:$E,5,0),"")</f>
      </c>
      <c r="J8224" s="29">
        <f>IFERROR(VLOOKUP(F8224,CARTON_LOOKUP!$A:$E,2,0),"")</f>
      </c>
      <c r="K8224" s="29">
        <f>IFERROR(J8224*D8224,0)</f>
      </c>
      <c r="L8224" s="29">
        <f>IFERROR(E8224*C8224,0)</f>
      </c>
      <c r="M8224" s="29">
        <f>IFERROR((G8224*H8224*I8224/1000000)*D8224,0)</f>
      </c>
    </row>
    <row r="8225" spans="1:13" x14ac:dyDescent="0.25">
      <c r="A8225" s="16"/>
      <c r="E8225" s="27"/>
      <c r="F8225" t="s">
        <v>26</v>
      </c>
      <c r="G8225" s="28">
        <f>IFERROR(VLOOKUP(F8225,CARTON_LOOKUP!$A:$E,3,0),"")</f>
      </c>
      <c r="H8225" s="28">
        <f>IFERROR(VLOOKUP(F8225,CARTON_LOOKUP!$A:$E,4,0),"")</f>
      </c>
      <c r="I8225" s="28">
        <f>IFERROR(VLOOKUP(F8225,CARTON_LOOKUP!$A:$E,5,0),"")</f>
      </c>
      <c r="J8225" s="29">
        <f>IFERROR(VLOOKUP(F8225,CARTON_LOOKUP!$A:$E,2,0),"")</f>
      </c>
      <c r="K8225" s="29">
        <f>IFERROR(J8225*D8225,0)</f>
      </c>
      <c r="L8225" s="29">
        <f>IFERROR(E8225*C8225,0)</f>
      </c>
      <c r="M8225" s="29">
        <f>IFERROR((G8225*H8225*I8225/1000000)*D8225,0)</f>
      </c>
    </row>
    <row r="8226" spans="1:13" x14ac:dyDescent="0.25">
      <c r="A8226" s="16"/>
      <c r="E8226" s="27"/>
      <c r="F8226" t="s">
        <v>26</v>
      </c>
      <c r="G8226" s="28">
        <f>IFERROR(VLOOKUP(F8226,CARTON_LOOKUP!$A:$E,3,0),"")</f>
      </c>
      <c r="H8226" s="28">
        <f>IFERROR(VLOOKUP(F8226,CARTON_LOOKUP!$A:$E,4,0),"")</f>
      </c>
      <c r="I8226" s="28">
        <f>IFERROR(VLOOKUP(F8226,CARTON_LOOKUP!$A:$E,5,0),"")</f>
      </c>
      <c r="J8226" s="29">
        <f>IFERROR(VLOOKUP(F8226,CARTON_LOOKUP!$A:$E,2,0),"")</f>
      </c>
      <c r="K8226" s="29">
        <f>IFERROR(J8226*D8226,0)</f>
      </c>
      <c r="L8226" s="29">
        <f>IFERROR(E8226*C8226,0)</f>
      </c>
      <c r="M8226" s="29">
        <f>IFERROR((G8226*H8226*I8226/1000000)*D8226,0)</f>
      </c>
    </row>
    <row r="8227" spans="1:13" x14ac:dyDescent="0.25">
      <c r="A8227" s="16"/>
      <c r="E8227" s="27"/>
      <c r="F8227" t="s">
        <v>26</v>
      </c>
      <c r="G8227" s="28">
        <f>IFERROR(VLOOKUP(F8227,CARTON_LOOKUP!$A:$E,3,0),"")</f>
      </c>
      <c r="H8227" s="28">
        <f>IFERROR(VLOOKUP(F8227,CARTON_LOOKUP!$A:$E,4,0),"")</f>
      </c>
      <c r="I8227" s="28">
        <f>IFERROR(VLOOKUP(F8227,CARTON_LOOKUP!$A:$E,5,0),"")</f>
      </c>
      <c r="J8227" s="29">
        <f>IFERROR(VLOOKUP(F8227,CARTON_LOOKUP!$A:$E,2,0),"")</f>
      </c>
      <c r="K8227" s="29">
        <f>IFERROR(J8227*D8227,0)</f>
      </c>
      <c r="L8227" s="29">
        <f>IFERROR(E8227*C8227,0)</f>
      </c>
      <c r="M8227" s="29">
        <f>IFERROR((G8227*H8227*I8227/1000000)*D8227,0)</f>
      </c>
    </row>
    <row r="8228" spans="1:13" x14ac:dyDescent="0.25">
      <c r="A8228" s="16"/>
      <c r="E8228" s="27"/>
      <c r="F8228" t="s">
        <v>26</v>
      </c>
      <c r="G8228" s="28">
        <f>IFERROR(VLOOKUP(F8228,CARTON_LOOKUP!$A:$E,3,0),"")</f>
      </c>
      <c r="H8228" s="28">
        <f>IFERROR(VLOOKUP(F8228,CARTON_LOOKUP!$A:$E,4,0),"")</f>
      </c>
      <c r="I8228" s="28">
        <f>IFERROR(VLOOKUP(F8228,CARTON_LOOKUP!$A:$E,5,0),"")</f>
      </c>
      <c r="J8228" s="29">
        <f>IFERROR(VLOOKUP(F8228,CARTON_LOOKUP!$A:$E,2,0),"")</f>
      </c>
      <c r="K8228" s="29">
        <f>IFERROR(J8228*D8228,0)</f>
      </c>
      <c r="L8228" s="29">
        <f>IFERROR(E8228*C8228,0)</f>
      </c>
      <c r="M8228" s="29">
        <f>IFERROR((G8228*H8228*I8228/1000000)*D8228,0)</f>
      </c>
    </row>
    <row r="8229" spans="1:13" x14ac:dyDescent="0.25">
      <c r="A8229" s="16"/>
      <c r="E8229" s="27"/>
      <c r="F8229" t="s">
        <v>26</v>
      </c>
      <c r="G8229" s="28">
        <f>IFERROR(VLOOKUP(F8229,CARTON_LOOKUP!$A:$E,3,0),"")</f>
      </c>
      <c r="H8229" s="28">
        <f>IFERROR(VLOOKUP(F8229,CARTON_LOOKUP!$A:$E,4,0),"")</f>
      </c>
      <c r="I8229" s="28">
        <f>IFERROR(VLOOKUP(F8229,CARTON_LOOKUP!$A:$E,5,0),"")</f>
      </c>
      <c r="J8229" s="29">
        <f>IFERROR(VLOOKUP(F8229,CARTON_LOOKUP!$A:$E,2,0),"")</f>
      </c>
      <c r="K8229" s="29">
        <f>IFERROR(J8229*D8229,0)</f>
      </c>
      <c r="L8229" s="29">
        <f>IFERROR(E8229*C8229,0)</f>
      </c>
      <c r="M8229" s="29">
        <f>IFERROR((G8229*H8229*I8229/1000000)*D8229,0)</f>
      </c>
    </row>
    <row r="8230" spans="1:13" x14ac:dyDescent="0.25">
      <c r="A8230" s="16"/>
      <c r="E8230" s="27"/>
      <c r="F8230" t="s">
        <v>26</v>
      </c>
      <c r="G8230" s="28">
        <f>IFERROR(VLOOKUP(F8230,CARTON_LOOKUP!$A:$E,3,0),"")</f>
      </c>
      <c r="H8230" s="28">
        <f>IFERROR(VLOOKUP(F8230,CARTON_LOOKUP!$A:$E,4,0),"")</f>
      </c>
      <c r="I8230" s="28">
        <f>IFERROR(VLOOKUP(F8230,CARTON_LOOKUP!$A:$E,5,0),"")</f>
      </c>
      <c r="J8230" s="29">
        <f>IFERROR(VLOOKUP(F8230,CARTON_LOOKUP!$A:$E,2,0),"")</f>
      </c>
      <c r="K8230" s="29">
        <f>IFERROR(J8230*D8230,0)</f>
      </c>
      <c r="L8230" s="29">
        <f>IFERROR(E8230*C8230,0)</f>
      </c>
      <c r="M8230" s="29">
        <f>IFERROR((G8230*H8230*I8230/1000000)*D8230,0)</f>
      </c>
    </row>
    <row r="8231" spans="1:13" x14ac:dyDescent="0.25">
      <c r="A8231" s="16"/>
      <c r="E8231" s="27"/>
      <c r="F8231" t="s">
        <v>26</v>
      </c>
      <c r="G8231" s="28">
        <f>IFERROR(VLOOKUP(F8231,CARTON_LOOKUP!$A:$E,3,0),"")</f>
      </c>
      <c r="H8231" s="28">
        <f>IFERROR(VLOOKUP(F8231,CARTON_LOOKUP!$A:$E,4,0),"")</f>
      </c>
      <c r="I8231" s="28">
        <f>IFERROR(VLOOKUP(F8231,CARTON_LOOKUP!$A:$E,5,0),"")</f>
      </c>
      <c r="J8231" s="29">
        <f>IFERROR(VLOOKUP(F8231,CARTON_LOOKUP!$A:$E,2,0),"")</f>
      </c>
      <c r="K8231" s="29">
        <f>IFERROR(J8231*D8231,0)</f>
      </c>
      <c r="L8231" s="29">
        <f>IFERROR(E8231*C8231,0)</f>
      </c>
      <c r="M8231" s="29">
        <f>IFERROR((G8231*H8231*I8231/1000000)*D8231,0)</f>
      </c>
    </row>
    <row r="8232" spans="1:13" x14ac:dyDescent="0.25">
      <c r="A8232" s="16"/>
      <c r="E8232" s="27"/>
      <c r="F8232" t="s">
        <v>26</v>
      </c>
      <c r="G8232" s="28">
        <f>IFERROR(VLOOKUP(F8232,CARTON_LOOKUP!$A:$E,3,0),"")</f>
      </c>
      <c r="H8232" s="28">
        <f>IFERROR(VLOOKUP(F8232,CARTON_LOOKUP!$A:$E,4,0),"")</f>
      </c>
      <c r="I8232" s="28">
        <f>IFERROR(VLOOKUP(F8232,CARTON_LOOKUP!$A:$E,5,0),"")</f>
      </c>
      <c r="J8232" s="29">
        <f>IFERROR(VLOOKUP(F8232,CARTON_LOOKUP!$A:$E,2,0),"")</f>
      </c>
      <c r="K8232" s="29">
        <f>IFERROR(J8232*D8232,0)</f>
      </c>
      <c r="L8232" s="29">
        <f>IFERROR(E8232*C8232,0)</f>
      </c>
      <c r="M8232" s="29">
        <f>IFERROR((G8232*H8232*I8232/1000000)*D8232,0)</f>
      </c>
    </row>
    <row r="8233" spans="1:13" x14ac:dyDescent="0.25">
      <c r="A8233" s="16"/>
      <c r="E8233" s="27"/>
      <c r="F8233" t="s">
        <v>26</v>
      </c>
      <c r="G8233" s="28">
        <f>IFERROR(VLOOKUP(F8233,CARTON_LOOKUP!$A:$E,3,0),"")</f>
      </c>
      <c r="H8233" s="28">
        <f>IFERROR(VLOOKUP(F8233,CARTON_LOOKUP!$A:$E,4,0),"")</f>
      </c>
      <c r="I8233" s="28">
        <f>IFERROR(VLOOKUP(F8233,CARTON_LOOKUP!$A:$E,5,0),"")</f>
      </c>
      <c r="J8233" s="29">
        <f>IFERROR(VLOOKUP(F8233,CARTON_LOOKUP!$A:$E,2,0),"")</f>
      </c>
      <c r="K8233" s="29">
        <f>IFERROR(J8233*D8233,0)</f>
      </c>
      <c r="L8233" s="29">
        <f>IFERROR(E8233*C8233,0)</f>
      </c>
      <c r="M8233" s="29">
        <f>IFERROR((G8233*H8233*I8233/1000000)*D8233,0)</f>
      </c>
    </row>
    <row r="8234" spans="1:13" x14ac:dyDescent="0.25">
      <c r="A8234" s="16"/>
      <c r="E8234" s="27"/>
      <c r="F8234" t="s">
        <v>26</v>
      </c>
      <c r="G8234" s="28">
        <f>IFERROR(VLOOKUP(F8234,CARTON_LOOKUP!$A:$E,3,0),"")</f>
      </c>
      <c r="H8234" s="28">
        <f>IFERROR(VLOOKUP(F8234,CARTON_LOOKUP!$A:$E,4,0),"")</f>
      </c>
      <c r="I8234" s="28">
        <f>IFERROR(VLOOKUP(F8234,CARTON_LOOKUP!$A:$E,5,0),"")</f>
      </c>
      <c r="J8234" s="29">
        <f>IFERROR(VLOOKUP(F8234,CARTON_LOOKUP!$A:$E,2,0),"")</f>
      </c>
      <c r="K8234" s="29">
        <f>IFERROR(J8234*D8234,0)</f>
      </c>
      <c r="L8234" s="29">
        <f>IFERROR(E8234*C8234,0)</f>
      </c>
      <c r="M8234" s="29">
        <f>IFERROR((G8234*H8234*I8234/1000000)*D8234,0)</f>
      </c>
    </row>
    <row r="8235" spans="1:13" x14ac:dyDescent="0.25">
      <c r="A8235" s="16"/>
      <c r="E8235" s="27"/>
      <c r="F8235" t="s">
        <v>26</v>
      </c>
      <c r="G8235" s="28">
        <f>IFERROR(VLOOKUP(F8235,CARTON_LOOKUP!$A:$E,3,0),"")</f>
      </c>
      <c r="H8235" s="28">
        <f>IFERROR(VLOOKUP(F8235,CARTON_LOOKUP!$A:$E,4,0),"")</f>
      </c>
      <c r="I8235" s="28">
        <f>IFERROR(VLOOKUP(F8235,CARTON_LOOKUP!$A:$E,5,0),"")</f>
      </c>
      <c r="J8235" s="29">
        <f>IFERROR(VLOOKUP(F8235,CARTON_LOOKUP!$A:$E,2,0),"")</f>
      </c>
      <c r="K8235" s="29">
        <f>IFERROR(J8235*D8235,0)</f>
      </c>
      <c r="L8235" s="29">
        <f>IFERROR(E8235*C8235,0)</f>
      </c>
      <c r="M8235" s="29">
        <f>IFERROR((G8235*H8235*I8235/1000000)*D8235,0)</f>
      </c>
    </row>
    <row r="8236" spans="1:13" x14ac:dyDescent="0.25">
      <c r="A8236" s="16"/>
      <c r="E8236" s="27"/>
      <c r="F8236" t="s">
        <v>26</v>
      </c>
      <c r="G8236" s="28">
        <f>IFERROR(VLOOKUP(F8236,CARTON_LOOKUP!$A:$E,3,0),"")</f>
      </c>
      <c r="H8236" s="28">
        <f>IFERROR(VLOOKUP(F8236,CARTON_LOOKUP!$A:$E,4,0),"")</f>
      </c>
      <c r="I8236" s="28">
        <f>IFERROR(VLOOKUP(F8236,CARTON_LOOKUP!$A:$E,5,0),"")</f>
      </c>
      <c r="J8236" s="29">
        <f>IFERROR(VLOOKUP(F8236,CARTON_LOOKUP!$A:$E,2,0),"")</f>
      </c>
      <c r="K8236" s="29">
        <f>IFERROR(J8236*D8236,0)</f>
      </c>
      <c r="L8236" s="29">
        <f>IFERROR(E8236*C8236,0)</f>
      </c>
      <c r="M8236" s="29">
        <f>IFERROR((G8236*H8236*I8236/1000000)*D8236,0)</f>
      </c>
    </row>
    <row r="8237" spans="1:13" x14ac:dyDescent="0.25">
      <c r="A8237" s="16"/>
      <c r="E8237" s="27"/>
      <c r="F8237" t="s">
        <v>26</v>
      </c>
      <c r="G8237" s="28">
        <f>IFERROR(VLOOKUP(F8237,CARTON_LOOKUP!$A:$E,3,0),"")</f>
      </c>
      <c r="H8237" s="28">
        <f>IFERROR(VLOOKUP(F8237,CARTON_LOOKUP!$A:$E,4,0),"")</f>
      </c>
      <c r="I8237" s="28">
        <f>IFERROR(VLOOKUP(F8237,CARTON_LOOKUP!$A:$E,5,0),"")</f>
      </c>
      <c r="J8237" s="29">
        <f>IFERROR(VLOOKUP(F8237,CARTON_LOOKUP!$A:$E,2,0),"")</f>
      </c>
      <c r="K8237" s="29">
        <f>IFERROR(J8237*D8237,0)</f>
      </c>
      <c r="L8237" s="29">
        <f>IFERROR(E8237*C8237,0)</f>
      </c>
      <c r="M8237" s="29">
        <f>IFERROR((G8237*H8237*I8237/1000000)*D8237,0)</f>
      </c>
    </row>
    <row r="8238" spans="1:13" x14ac:dyDescent="0.25">
      <c r="A8238" s="16"/>
      <c r="E8238" s="27"/>
      <c r="F8238" t="s">
        <v>26</v>
      </c>
      <c r="G8238" s="28">
        <f>IFERROR(VLOOKUP(F8238,CARTON_LOOKUP!$A:$E,3,0),"")</f>
      </c>
      <c r="H8238" s="28">
        <f>IFERROR(VLOOKUP(F8238,CARTON_LOOKUP!$A:$E,4,0),"")</f>
      </c>
      <c r="I8238" s="28">
        <f>IFERROR(VLOOKUP(F8238,CARTON_LOOKUP!$A:$E,5,0),"")</f>
      </c>
      <c r="J8238" s="29">
        <f>IFERROR(VLOOKUP(F8238,CARTON_LOOKUP!$A:$E,2,0),"")</f>
      </c>
      <c r="K8238" s="29">
        <f>IFERROR(J8238*D8238,0)</f>
      </c>
      <c r="L8238" s="29">
        <f>IFERROR(E8238*C8238,0)</f>
      </c>
      <c r="M8238" s="29">
        <f>IFERROR((G8238*H8238*I8238/1000000)*D8238,0)</f>
      </c>
    </row>
    <row r="8239" spans="1:13" x14ac:dyDescent="0.25">
      <c r="A8239" s="16"/>
      <c r="E8239" s="27"/>
      <c r="F8239" t="s">
        <v>26</v>
      </c>
      <c r="G8239" s="28">
        <f>IFERROR(VLOOKUP(F8239,CARTON_LOOKUP!$A:$E,3,0),"")</f>
      </c>
      <c r="H8239" s="28">
        <f>IFERROR(VLOOKUP(F8239,CARTON_LOOKUP!$A:$E,4,0),"")</f>
      </c>
      <c r="I8239" s="28">
        <f>IFERROR(VLOOKUP(F8239,CARTON_LOOKUP!$A:$E,5,0),"")</f>
      </c>
      <c r="J8239" s="29">
        <f>IFERROR(VLOOKUP(F8239,CARTON_LOOKUP!$A:$E,2,0),"")</f>
      </c>
      <c r="K8239" s="29">
        <f>IFERROR(J8239*D8239,0)</f>
      </c>
      <c r="L8239" s="29">
        <f>IFERROR(E8239*C8239,0)</f>
      </c>
      <c r="M8239" s="29">
        <f>IFERROR((G8239*H8239*I8239/1000000)*D8239,0)</f>
      </c>
    </row>
    <row r="8240" spans="1:13" x14ac:dyDescent="0.25">
      <c r="A8240" s="16"/>
      <c r="E8240" s="27"/>
      <c r="F8240" t="s">
        <v>26</v>
      </c>
      <c r="G8240" s="28">
        <f>IFERROR(VLOOKUP(F8240,CARTON_LOOKUP!$A:$E,3,0),"")</f>
      </c>
      <c r="H8240" s="28">
        <f>IFERROR(VLOOKUP(F8240,CARTON_LOOKUP!$A:$E,4,0),"")</f>
      </c>
      <c r="I8240" s="28">
        <f>IFERROR(VLOOKUP(F8240,CARTON_LOOKUP!$A:$E,5,0),"")</f>
      </c>
      <c r="J8240" s="29">
        <f>IFERROR(VLOOKUP(F8240,CARTON_LOOKUP!$A:$E,2,0),"")</f>
      </c>
      <c r="K8240" s="29">
        <f>IFERROR(J8240*D8240,0)</f>
      </c>
      <c r="L8240" s="29">
        <f>IFERROR(E8240*C8240,0)</f>
      </c>
      <c r="M8240" s="29">
        <f>IFERROR((G8240*H8240*I8240/1000000)*D8240,0)</f>
      </c>
    </row>
    <row r="8241" spans="1:13" x14ac:dyDescent="0.25">
      <c r="A8241" s="16"/>
      <c r="E8241" s="27"/>
      <c r="F8241" t="s">
        <v>26</v>
      </c>
      <c r="G8241" s="28">
        <f>IFERROR(VLOOKUP(F8241,CARTON_LOOKUP!$A:$E,3,0),"")</f>
      </c>
      <c r="H8241" s="28">
        <f>IFERROR(VLOOKUP(F8241,CARTON_LOOKUP!$A:$E,4,0),"")</f>
      </c>
      <c r="I8241" s="28">
        <f>IFERROR(VLOOKUP(F8241,CARTON_LOOKUP!$A:$E,5,0),"")</f>
      </c>
      <c r="J8241" s="29">
        <f>IFERROR(VLOOKUP(F8241,CARTON_LOOKUP!$A:$E,2,0),"")</f>
      </c>
      <c r="K8241" s="29">
        <f>IFERROR(J8241*D8241,0)</f>
      </c>
      <c r="L8241" s="29">
        <f>IFERROR(E8241*C8241,0)</f>
      </c>
      <c r="M8241" s="29">
        <f>IFERROR((G8241*H8241*I8241/1000000)*D8241,0)</f>
      </c>
    </row>
    <row r="8242" spans="1:13" x14ac:dyDescent="0.25">
      <c r="A8242" s="16"/>
      <c r="E8242" s="27"/>
      <c r="F8242" t="s">
        <v>26</v>
      </c>
      <c r="G8242" s="28">
        <f>IFERROR(VLOOKUP(F8242,CARTON_LOOKUP!$A:$E,3,0),"")</f>
      </c>
      <c r="H8242" s="28">
        <f>IFERROR(VLOOKUP(F8242,CARTON_LOOKUP!$A:$E,4,0),"")</f>
      </c>
      <c r="I8242" s="28">
        <f>IFERROR(VLOOKUP(F8242,CARTON_LOOKUP!$A:$E,5,0),"")</f>
      </c>
      <c r="J8242" s="29">
        <f>IFERROR(VLOOKUP(F8242,CARTON_LOOKUP!$A:$E,2,0),"")</f>
      </c>
      <c r="K8242" s="29">
        <f>IFERROR(J8242*D8242,0)</f>
      </c>
      <c r="L8242" s="29">
        <f>IFERROR(E8242*C8242,0)</f>
      </c>
      <c r="M8242" s="29">
        <f>IFERROR((G8242*H8242*I8242/1000000)*D8242,0)</f>
      </c>
    </row>
    <row r="8243" spans="1:13" x14ac:dyDescent="0.25">
      <c r="A8243" s="16"/>
      <c r="E8243" s="27"/>
      <c r="F8243" t="s">
        <v>26</v>
      </c>
      <c r="G8243" s="28">
        <f>IFERROR(VLOOKUP(F8243,CARTON_LOOKUP!$A:$E,3,0),"")</f>
      </c>
      <c r="H8243" s="28">
        <f>IFERROR(VLOOKUP(F8243,CARTON_LOOKUP!$A:$E,4,0),"")</f>
      </c>
      <c r="I8243" s="28">
        <f>IFERROR(VLOOKUP(F8243,CARTON_LOOKUP!$A:$E,5,0),"")</f>
      </c>
      <c r="J8243" s="29">
        <f>IFERROR(VLOOKUP(F8243,CARTON_LOOKUP!$A:$E,2,0),"")</f>
      </c>
      <c r="K8243" s="29">
        <f>IFERROR(J8243*D8243,0)</f>
      </c>
      <c r="L8243" s="29">
        <f>IFERROR(E8243*C8243,0)</f>
      </c>
      <c r="M8243" s="29">
        <f>IFERROR((G8243*H8243*I8243/1000000)*D8243,0)</f>
      </c>
    </row>
    <row r="8244" spans="1:13" x14ac:dyDescent="0.25">
      <c r="A8244" s="16"/>
      <c r="E8244" s="27"/>
      <c r="F8244" t="s">
        <v>26</v>
      </c>
      <c r="G8244" s="28">
        <f>IFERROR(VLOOKUP(F8244,CARTON_LOOKUP!$A:$E,3,0),"")</f>
      </c>
      <c r="H8244" s="28">
        <f>IFERROR(VLOOKUP(F8244,CARTON_LOOKUP!$A:$E,4,0),"")</f>
      </c>
      <c r="I8244" s="28">
        <f>IFERROR(VLOOKUP(F8244,CARTON_LOOKUP!$A:$E,5,0),"")</f>
      </c>
      <c r="J8244" s="29">
        <f>IFERROR(VLOOKUP(F8244,CARTON_LOOKUP!$A:$E,2,0),"")</f>
      </c>
      <c r="K8244" s="29">
        <f>IFERROR(J8244*D8244,0)</f>
      </c>
      <c r="L8244" s="29">
        <f>IFERROR(E8244*C8244,0)</f>
      </c>
      <c r="M8244" s="29">
        <f>IFERROR((G8244*H8244*I8244/1000000)*D8244,0)</f>
      </c>
    </row>
    <row r="8245" spans="1:13" x14ac:dyDescent="0.25">
      <c r="A8245" s="16"/>
      <c r="E8245" s="27"/>
      <c r="F8245" t="s">
        <v>26</v>
      </c>
      <c r="G8245" s="28">
        <f>IFERROR(VLOOKUP(F8245,CARTON_LOOKUP!$A:$E,3,0),"")</f>
      </c>
      <c r="H8245" s="28">
        <f>IFERROR(VLOOKUP(F8245,CARTON_LOOKUP!$A:$E,4,0),"")</f>
      </c>
      <c r="I8245" s="28">
        <f>IFERROR(VLOOKUP(F8245,CARTON_LOOKUP!$A:$E,5,0),"")</f>
      </c>
      <c r="J8245" s="29">
        <f>IFERROR(VLOOKUP(F8245,CARTON_LOOKUP!$A:$E,2,0),"")</f>
      </c>
      <c r="K8245" s="29">
        <f>IFERROR(J8245*D8245,0)</f>
      </c>
      <c r="L8245" s="29">
        <f>IFERROR(E8245*C8245,0)</f>
      </c>
      <c r="M8245" s="29">
        <f>IFERROR((G8245*H8245*I8245/1000000)*D8245,0)</f>
      </c>
    </row>
    <row r="8246" spans="1:13" x14ac:dyDescent="0.25">
      <c r="A8246" s="16"/>
      <c r="E8246" s="27"/>
      <c r="F8246" t="s">
        <v>26</v>
      </c>
      <c r="G8246" s="28">
        <f>IFERROR(VLOOKUP(F8246,CARTON_LOOKUP!$A:$E,3,0),"")</f>
      </c>
      <c r="H8246" s="28">
        <f>IFERROR(VLOOKUP(F8246,CARTON_LOOKUP!$A:$E,4,0),"")</f>
      </c>
      <c r="I8246" s="28">
        <f>IFERROR(VLOOKUP(F8246,CARTON_LOOKUP!$A:$E,5,0),"")</f>
      </c>
      <c r="J8246" s="29">
        <f>IFERROR(VLOOKUP(F8246,CARTON_LOOKUP!$A:$E,2,0),"")</f>
      </c>
      <c r="K8246" s="29">
        <f>IFERROR(J8246*D8246,0)</f>
      </c>
      <c r="L8246" s="29">
        <f>IFERROR(E8246*C8246,0)</f>
      </c>
      <c r="M8246" s="29">
        <f>IFERROR((G8246*H8246*I8246/1000000)*D8246,0)</f>
      </c>
    </row>
    <row r="8247" spans="1:13" x14ac:dyDescent="0.25">
      <c r="A8247" s="16"/>
      <c r="E8247" s="27"/>
      <c r="F8247" t="s">
        <v>26</v>
      </c>
      <c r="G8247" s="28">
        <f>IFERROR(VLOOKUP(F8247,CARTON_LOOKUP!$A:$E,3,0),"")</f>
      </c>
      <c r="H8247" s="28">
        <f>IFERROR(VLOOKUP(F8247,CARTON_LOOKUP!$A:$E,4,0),"")</f>
      </c>
      <c r="I8247" s="28">
        <f>IFERROR(VLOOKUP(F8247,CARTON_LOOKUP!$A:$E,5,0),"")</f>
      </c>
      <c r="J8247" s="29">
        <f>IFERROR(VLOOKUP(F8247,CARTON_LOOKUP!$A:$E,2,0),"")</f>
      </c>
      <c r="K8247" s="29">
        <f>IFERROR(J8247*D8247,0)</f>
      </c>
      <c r="L8247" s="29">
        <f>IFERROR(E8247*C8247,0)</f>
      </c>
      <c r="M8247" s="29">
        <f>IFERROR((G8247*H8247*I8247/1000000)*D8247,0)</f>
      </c>
    </row>
    <row r="8248" spans="1:13" x14ac:dyDescent="0.25">
      <c r="A8248" s="16"/>
      <c r="E8248" s="27"/>
      <c r="F8248" t="s">
        <v>26</v>
      </c>
      <c r="G8248" s="28">
        <f>IFERROR(VLOOKUP(F8248,CARTON_LOOKUP!$A:$E,3,0),"")</f>
      </c>
      <c r="H8248" s="28">
        <f>IFERROR(VLOOKUP(F8248,CARTON_LOOKUP!$A:$E,4,0),"")</f>
      </c>
      <c r="I8248" s="28">
        <f>IFERROR(VLOOKUP(F8248,CARTON_LOOKUP!$A:$E,5,0),"")</f>
      </c>
      <c r="J8248" s="29">
        <f>IFERROR(VLOOKUP(F8248,CARTON_LOOKUP!$A:$E,2,0),"")</f>
      </c>
      <c r="K8248" s="29">
        <f>IFERROR(J8248*D8248,0)</f>
      </c>
      <c r="L8248" s="29">
        <f>IFERROR(E8248*C8248,0)</f>
      </c>
      <c r="M8248" s="29">
        <f>IFERROR((G8248*H8248*I8248/1000000)*D8248,0)</f>
      </c>
    </row>
    <row r="8249" spans="1:13" x14ac:dyDescent="0.25">
      <c r="A8249" s="16"/>
      <c r="E8249" s="27"/>
      <c r="F8249" t="s">
        <v>26</v>
      </c>
      <c r="G8249" s="28">
        <f>IFERROR(VLOOKUP(F8249,CARTON_LOOKUP!$A:$E,3,0),"")</f>
      </c>
      <c r="H8249" s="28">
        <f>IFERROR(VLOOKUP(F8249,CARTON_LOOKUP!$A:$E,4,0),"")</f>
      </c>
      <c r="I8249" s="28">
        <f>IFERROR(VLOOKUP(F8249,CARTON_LOOKUP!$A:$E,5,0),"")</f>
      </c>
      <c r="J8249" s="29">
        <f>IFERROR(VLOOKUP(F8249,CARTON_LOOKUP!$A:$E,2,0),"")</f>
      </c>
      <c r="K8249" s="29">
        <f>IFERROR(J8249*D8249,0)</f>
      </c>
      <c r="L8249" s="29">
        <f>IFERROR(E8249*C8249,0)</f>
      </c>
      <c r="M8249" s="29">
        <f>IFERROR((G8249*H8249*I8249/1000000)*D8249,0)</f>
      </c>
    </row>
    <row r="8250" spans="1:13" x14ac:dyDescent="0.25">
      <c r="A8250" s="16"/>
      <c r="E8250" s="27"/>
      <c r="F8250" t="s">
        <v>26</v>
      </c>
      <c r="G8250" s="28">
        <f>IFERROR(VLOOKUP(F8250,CARTON_LOOKUP!$A:$E,3,0),"")</f>
      </c>
      <c r="H8250" s="28">
        <f>IFERROR(VLOOKUP(F8250,CARTON_LOOKUP!$A:$E,4,0),"")</f>
      </c>
      <c r="I8250" s="28">
        <f>IFERROR(VLOOKUP(F8250,CARTON_LOOKUP!$A:$E,5,0),"")</f>
      </c>
      <c r="J8250" s="29">
        <f>IFERROR(VLOOKUP(F8250,CARTON_LOOKUP!$A:$E,2,0),"")</f>
      </c>
      <c r="K8250" s="29">
        <f>IFERROR(J8250*D8250,0)</f>
      </c>
      <c r="L8250" s="29">
        <f>IFERROR(E8250*C8250,0)</f>
      </c>
      <c r="M8250" s="29">
        <f>IFERROR((G8250*H8250*I8250/1000000)*D8250,0)</f>
      </c>
    </row>
    <row r="8251" spans="1:13" x14ac:dyDescent="0.25">
      <c r="A8251" s="16"/>
      <c r="E8251" s="27"/>
      <c r="F8251" t="s">
        <v>26</v>
      </c>
      <c r="G8251" s="28">
        <f>IFERROR(VLOOKUP(F8251,CARTON_LOOKUP!$A:$E,3,0),"")</f>
      </c>
      <c r="H8251" s="28">
        <f>IFERROR(VLOOKUP(F8251,CARTON_LOOKUP!$A:$E,4,0),"")</f>
      </c>
      <c r="I8251" s="28">
        <f>IFERROR(VLOOKUP(F8251,CARTON_LOOKUP!$A:$E,5,0),"")</f>
      </c>
      <c r="J8251" s="29">
        <f>IFERROR(VLOOKUP(F8251,CARTON_LOOKUP!$A:$E,2,0),"")</f>
      </c>
      <c r="K8251" s="29">
        <f>IFERROR(J8251*D8251,0)</f>
      </c>
      <c r="L8251" s="29">
        <f>IFERROR(E8251*C8251,0)</f>
      </c>
      <c r="M8251" s="29">
        <f>IFERROR((G8251*H8251*I8251/1000000)*D8251,0)</f>
      </c>
    </row>
    <row r="8252" spans="1:13" x14ac:dyDescent="0.25">
      <c r="A8252" s="16"/>
      <c r="E8252" s="27"/>
      <c r="F8252" t="s">
        <v>26</v>
      </c>
      <c r="G8252" s="28">
        <f>IFERROR(VLOOKUP(F8252,CARTON_LOOKUP!$A:$E,3,0),"")</f>
      </c>
      <c r="H8252" s="28">
        <f>IFERROR(VLOOKUP(F8252,CARTON_LOOKUP!$A:$E,4,0),"")</f>
      </c>
      <c r="I8252" s="28">
        <f>IFERROR(VLOOKUP(F8252,CARTON_LOOKUP!$A:$E,5,0),"")</f>
      </c>
      <c r="J8252" s="29">
        <f>IFERROR(VLOOKUP(F8252,CARTON_LOOKUP!$A:$E,2,0),"")</f>
      </c>
      <c r="K8252" s="29">
        <f>IFERROR(J8252*D8252,0)</f>
      </c>
      <c r="L8252" s="29">
        <f>IFERROR(E8252*C8252,0)</f>
      </c>
      <c r="M8252" s="29">
        <f>IFERROR((G8252*H8252*I8252/1000000)*D8252,0)</f>
      </c>
    </row>
    <row r="8253" spans="1:13" x14ac:dyDescent="0.25">
      <c r="A8253" s="16"/>
      <c r="E8253" s="27"/>
      <c r="F8253" t="s">
        <v>26</v>
      </c>
      <c r="G8253" s="28">
        <f>IFERROR(VLOOKUP(F8253,CARTON_LOOKUP!$A:$E,3,0),"")</f>
      </c>
      <c r="H8253" s="28">
        <f>IFERROR(VLOOKUP(F8253,CARTON_LOOKUP!$A:$E,4,0),"")</f>
      </c>
      <c r="I8253" s="28">
        <f>IFERROR(VLOOKUP(F8253,CARTON_LOOKUP!$A:$E,5,0),"")</f>
      </c>
      <c r="J8253" s="29">
        <f>IFERROR(VLOOKUP(F8253,CARTON_LOOKUP!$A:$E,2,0),"")</f>
      </c>
      <c r="K8253" s="29">
        <f>IFERROR(J8253*D8253,0)</f>
      </c>
      <c r="L8253" s="29">
        <f>IFERROR(E8253*C8253,0)</f>
      </c>
      <c r="M8253" s="29">
        <f>IFERROR((G8253*H8253*I8253/1000000)*D8253,0)</f>
      </c>
    </row>
    <row r="8254" spans="1:13" x14ac:dyDescent="0.25">
      <c r="A8254" s="16"/>
      <c r="E8254" s="27"/>
      <c r="F8254" t="s">
        <v>26</v>
      </c>
      <c r="G8254" s="28">
        <f>IFERROR(VLOOKUP(F8254,CARTON_LOOKUP!$A:$E,3,0),"")</f>
      </c>
      <c r="H8254" s="28">
        <f>IFERROR(VLOOKUP(F8254,CARTON_LOOKUP!$A:$E,4,0),"")</f>
      </c>
      <c r="I8254" s="28">
        <f>IFERROR(VLOOKUP(F8254,CARTON_LOOKUP!$A:$E,5,0),"")</f>
      </c>
      <c r="J8254" s="29">
        <f>IFERROR(VLOOKUP(F8254,CARTON_LOOKUP!$A:$E,2,0),"")</f>
      </c>
      <c r="K8254" s="29">
        <f>IFERROR(J8254*D8254,0)</f>
      </c>
      <c r="L8254" s="29">
        <f>IFERROR(E8254*C8254,0)</f>
      </c>
      <c r="M8254" s="29">
        <f>IFERROR((G8254*H8254*I8254/1000000)*D8254,0)</f>
      </c>
    </row>
    <row r="8255" spans="1:13" x14ac:dyDescent="0.25">
      <c r="A8255" s="16"/>
      <c r="E8255" s="27"/>
      <c r="F8255" t="s">
        <v>26</v>
      </c>
      <c r="G8255" s="28">
        <f>IFERROR(VLOOKUP(F8255,CARTON_LOOKUP!$A:$E,3,0),"")</f>
      </c>
      <c r="H8255" s="28">
        <f>IFERROR(VLOOKUP(F8255,CARTON_LOOKUP!$A:$E,4,0),"")</f>
      </c>
      <c r="I8255" s="28">
        <f>IFERROR(VLOOKUP(F8255,CARTON_LOOKUP!$A:$E,5,0),"")</f>
      </c>
      <c r="J8255" s="29">
        <f>IFERROR(VLOOKUP(F8255,CARTON_LOOKUP!$A:$E,2,0),"")</f>
      </c>
      <c r="K8255" s="29">
        <f>IFERROR(J8255*D8255,0)</f>
      </c>
      <c r="L8255" s="29">
        <f>IFERROR(E8255*C8255,0)</f>
      </c>
      <c r="M8255" s="29">
        <f>IFERROR((G8255*H8255*I8255/1000000)*D8255,0)</f>
      </c>
    </row>
    <row r="8256" spans="1:13" x14ac:dyDescent="0.25">
      <c r="A8256" s="16"/>
      <c r="E8256" s="27"/>
      <c r="F8256" t="s">
        <v>26</v>
      </c>
      <c r="G8256" s="28">
        <f>IFERROR(VLOOKUP(F8256,CARTON_LOOKUP!$A:$E,3,0),"")</f>
      </c>
      <c r="H8256" s="28">
        <f>IFERROR(VLOOKUP(F8256,CARTON_LOOKUP!$A:$E,4,0),"")</f>
      </c>
      <c r="I8256" s="28">
        <f>IFERROR(VLOOKUP(F8256,CARTON_LOOKUP!$A:$E,5,0),"")</f>
      </c>
      <c r="J8256" s="29">
        <f>IFERROR(VLOOKUP(F8256,CARTON_LOOKUP!$A:$E,2,0),"")</f>
      </c>
      <c r="K8256" s="29">
        <f>IFERROR(J8256*D8256,0)</f>
      </c>
      <c r="L8256" s="29">
        <f>IFERROR(E8256*C8256,0)</f>
      </c>
      <c r="M8256" s="29">
        <f>IFERROR((G8256*H8256*I8256/1000000)*D8256,0)</f>
      </c>
    </row>
    <row r="8257" spans="1:13" x14ac:dyDescent="0.25">
      <c r="A8257" s="16"/>
      <c r="E8257" s="27"/>
      <c r="F8257" t="s">
        <v>26</v>
      </c>
      <c r="G8257" s="28">
        <f>IFERROR(VLOOKUP(F8257,CARTON_LOOKUP!$A:$E,3,0),"")</f>
      </c>
      <c r="H8257" s="28">
        <f>IFERROR(VLOOKUP(F8257,CARTON_LOOKUP!$A:$E,4,0),"")</f>
      </c>
      <c r="I8257" s="28">
        <f>IFERROR(VLOOKUP(F8257,CARTON_LOOKUP!$A:$E,5,0),"")</f>
      </c>
      <c r="J8257" s="29">
        <f>IFERROR(VLOOKUP(F8257,CARTON_LOOKUP!$A:$E,2,0),"")</f>
      </c>
      <c r="K8257" s="29">
        <f>IFERROR(J8257*D8257,0)</f>
      </c>
      <c r="L8257" s="29">
        <f>IFERROR(E8257*C8257,0)</f>
      </c>
      <c r="M8257" s="29">
        <f>IFERROR((G8257*H8257*I8257/1000000)*D8257,0)</f>
      </c>
    </row>
    <row r="8258" spans="1:13" x14ac:dyDescent="0.25">
      <c r="A8258" s="16"/>
      <c r="E8258" s="27"/>
      <c r="F8258" t="s">
        <v>26</v>
      </c>
      <c r="G8258" s="28">
        <f>IFERROR(VLOOKUP(F8258,CARTON_LOOKUP!$A:$E,3,0),"")</f>
      </c>
      <c r="H8258" s="28">
        <f>IFERROR(VLOOKUP(F8258,CARTON_LOOKUP!$A:$E,4,0),"")</f>
      </c>
      <c r="I8258" s="28">
        <f>IFERROR(VLOOKUP(F8258,CARTON_LOOKUP!$A:$E,5,0),"")</f>
      </c>
      <c r="J8258" s="29">
        <f>IFERROR(VLOOKUP(F8258,CARTON_LOOKUP!$A:$E,2,0),"")</f>
      </c>
      <c r="K8258" s="29">
        <f>IFERROR(J8258*D8258,0)</f>
      </c>
      <c r="L8258" s="29">
        <f>IFERROR(E8258*C8258,0)</f>
      </c>
      <c r="M8258" s="29">
        <f>IFERROR((G8258*H8258*I8258/1000000)*D8258,0)</f>
      </c>
    </row>
    <row r="8259" spans="1:13" x14ac:dyDescent="0.25">
      <c r="A8259" s="16"/>
      <c r="E8259" s="27"/>
      <c r="F8259" t="s">
        <v>26</v>
      </c>
      <c r="G8259" s="28">
        <f>IFERROR(VLOOKUP(F8259,CARTON_LOOKUP!$A:$E,3,0),"")</f>
      </c>
      <c r="H8259" s="28">
        <f>IFERROR(VLOOKUP(F8259,CARTON_LOOKUP!$A:$E,4,0),"")</f>
      </c>
      <c r="I8259" s="28">
        <f>IFERROR(VLOOKUP(F8259,CARTON_LOOKUP!$A:$E,5,0),"")</f>
      </c>
      <c r="J8259" s="29">
        <f>IFERROR(VLOOKUP(F8259,CARTON_LOOKUP!$A:$E,2,0),"")</f>
      </c>
      <c r="K8259" s="29">
        <f>IFERROR(J8259*D8259,0)</f>
      </c>
      <c r="L8259" s="29">
        <f>IFERROR(E8259*C8259,0)</f>
      </c>
      <c r="M8259" s="29">
        <f>IFERROR((G8259*H8259*I8259/1000000)*D8259,0)</f>
      </c>
    </row>
    <row r="8260" spans="1:13" x14ac:dyDescent="0.25">
      <c r="A8260" s="16"/>
      <c r="E8260" s="27"/>
      <c r="F8260" t="s">
        <v>26</v>
      </c>
      <c r="G8260" s="28">
        <f>IFERROR(VLOOKUP(F8260,CARTON_LOOKUP!$A:$E,3,0),"")</f>
      </c>
      <c r="H8260" s="28">
        <f>IFERROR(VLOOKUP(F8260,CARTON_LOOKUP!$A:$E,4,0),"")</f>
      </c>
      <c r="I8260" s="28">
        <f>IFERROR(VLOOKUP(F8260,CARTON_LOOKUP!$A:$E,5,0),"")</f>
      </c>
      <c r="J8260" s="29">
        <f>IFERROR(VLOOKUP(F8260,CARTON_LOOKUP!$A:$E,2,0),"")</f>
      </c>
      <c r="K8260" s="29">
        <f>IFERROR(J8260*D8260,0)</f>
      </c>
      <c r="L8260" s="29">
        <f>IFERROR(E8260*C8260,0)</f>
      </c>
      <c r="M8260" s="29">
        <f>IFERROR((G8260*H8260*I8260/1000000)*D8260,0)</f>
      </c>
    </row>
    <row r="8261" spans="1:13" x14ac:dyDescent="0.25">
      <c r="A8261" s="16"/>
      <c r="E8261" s="27"/>
      <c r="F8261" t="s">
        <v>26</v>
      </c>
      <c r="G8261" s="28">
        <f>IFERROR(VLOOKUP(F8261,CARTON_LOOKUP!$A:$E,3,0),"")</f>
      </c>
      <c r="H8261" s="28">
        <f>IFERROR(VLOOKUP(F8261,CARTON_LOOKUP!$A:$E,4,0),"")</f>
      </c>
      <c r="I8261" s="28">
        <f>IFERROR(VLOOKUP(F8261,CARTON_LOOKUP!$A:$E,5,0),"")</f>
      </c>
      <c r="J8261" s="29">
        <f>IFERROR(VLOOKUP(F8261,CARTON_LOOKUP!$A:$E,2,0),"")</f>
      </c>
      <c r="K8261" s="29">
        <f>IFERROR(J8261*D8261,0)</f>
      </c>
      <c r="L8261" s="29">
        <f>IFERROR(E8261*C8261,0)</f>
      </c>
      <c r="M8261" s="29">
        <f>IFERROR((G8261*H8261*I8261/1000000)*D8261,0)</f>
      </c>
    </row>
    <row r="8262" spans="1:13" x14ac:dyDescent="0.25">
      <c r="A8262" s="16"/>
      <c r="E8262" s="27"/>
      <c r="F8262" t="s">
        <v>26</v>
      </c>
      <c r="G8262" s="28">
        <f>IFERROR(VLOOKUP(F8262,CARTON_LOOKUP!$A:$E,3,0),"")</f>
      </c>
      <c r="H8262" s="28">
        <f>IFERROR(VLOOKUP(F8262,CARTON_LOOKUP!$A:$E,4,0),"")</f>
      </c>
      <c r="I8262" s="28">
        <f>IFERROR(VLOOKUP(F8262,CARTON_LOOKUP!$A:$E,5,0),"")</f>
      </c>
      <c r="J8262" s="29">
        <f>IFERROR(VLOOKUP(F8262,CARTON_LOOKUP!$A:$E,2,0),"")</f>
      </c>
      <c r="K8262" s="29">
        <f>IFERROR(J8262*D8262,0)</f>
      </c>
      <c r="L8262" s="29">
        <f>IFERROR(E8262*C8262,0)</f>
      </c>
      <c r="M8262" s="29">
        <f>IFERROR((G8262*H8262*I8262/1000000)*D8262,0)</f>
      </c>
    </row>
    <row r="8263" spans="1:13" x14ac:dyDescent="0.25">
      <c r="A8263" s="16"/>
      <c r="E8263" s="27"/>
      <c r="F8263" t="s">
        <v>26</v>
      </c>
      <c r="G8263" s="28">
        <f>IFERROR(VLOOKUP(F8263,CARTON_LOOKUP!$A:$E,3,0),"")</f>
      </c>
      <c r="H8263" s="28">
        <f>IFERROR(VLOOKUP(F8263,CARTON_LOOKUP!$A:$E,4,0),"")</f>
      </c>
      <c r="I8263" s="28">
        <f>IFERROR(VLOOKUP(F8263,CARTON_LOOKUP!$A:$E,5,0),"")</f>
      </c>
      <c r="J8263" s="29">
        <f>IFERROR(VLOOKUP(F8263,CARTON_LOOKUP!$A:$E,2,0),"")</f>
      </c>
      <c r="K8263" s="29">
        <f>IFERROR(J8263*D8263,0)</f>
      </c>
      <c r="L8263" s="29">
        <f>IFERROR(E8263*C8263,0)</f>
      </c>
      <c r="M8263" s="29">
        <f>IFERROR((G8263*H8263*I8263/1000000)*D8263,0)</f>
      </c>
    </row>
    <row r="8264" spans="1:13" x14ac:dyDescent="0.25">
      <c r="A8264" s="16"/>
      <c r="E8264" s="27"/>
      <c r="F8264" t="s">
        <v>26</v>
      </c>
      <c r="G8264" s="28">
        <f>IFERROR(VLOOKUP(F8264,CARTON_LOOKUP!$A:$E,3,0),"")</f>
      </c>
      <c r="H8264" s="28">
        <f>IFERROR(VLOOKUP(F8264,CARTON_LOOKUP!$A:$E,4,0),"")</f>
      </c>
      <c r="I8264" s="28">
        <f>IFERROR(VLOOKUP(F8264,CARTON_LOOKUP!$A:$E,5,0),"")</f>
      </c>
      <c r="J8264" s="29">
        <f>IFERROR(VLOOKUP(F8264,CARTON_LOOKUP!$A:$E,2,0),"")</f>
      </c>
      <c r="K8264" s="29">
        <f>IFERROR(J8264*D8264,0)</f>
      </c>
      <c r="L8264" s="29">
        <f>IFERROR(E8264*C8264,0)</f>
      </c>
      <c r="M8264" s="29">
        <f>IFERROR((G8264*H8264*I8264/1000000)*D8264,0)</f>
      </c>
    </row>
    <row r="8265" spans="1:13" x14ac:dyDescent="0.25">
      <c r="A8265" s="16"/>
      <c r="E8265" s="27"/>
      <c r="F8265" t="s">
        <v>26</v>
      </c>
      <c r="G8265" s="28">
        <f>IFERROR(VLOOKUP(F8265,CARTON_LOOKUP!$A:$E,3,0),"")</f>
      </c>
      <c r="H8265" s="28">
        <f>IFERROR(VLOOKUP(F8265,CARTON_LOOKUP!$A:$E,4,0),"")</f>
      </c>
      <c r="I8265" s="28">
        <f>IFERROR(VLOOKUP(F8265,CARTON_LOOKUP!$A:$E,5,0),"")</f>
      </c>
      <c r="J8265" s="29">
        <f>IFERROR(VLOOKUP(F8265,CARTON_LOOKUP!$A:$E,2,0),"")</f>
      </c>
      <c r="K8265" s="29">
        <f>IFERROR(J8265*D8265,0)</f>
      </c>
      <c r="L8265" s="29">
        <f>IFERROR(E8265*C8265,0)</f>
      </c>
      <c r="M8265" s="29">
        <f>IFERROR((G8265*H8265*I8265/1000000)*D8265,0)</f>
      </c>
    </row>
    <row r="8266" spans="1:13" x14ac:dyDescent="0.25">
      <c r="A8266" s="16"/>
      <c r="E8266" s="27"/>
      <c r="F8266" t="s">
        <v>26</v>
      </c>
      <c r="G8266" s="28">
        <f>IFERROR(VLOOKUP(F8266,CARTON_LOOKUP!$A:$E,3,0),"")</f>
      </c>
      <c r="H8266" s="28">
        <f>IFERROR(VLOOKUP(F8266,CARTON_LOOKUP!$A:$E,4,0),"")</f>
      </c>
      <c r="I8266" s="28">
        <f>IFERROR(VLOOKUP(F8266,CARTON_LOOKUP!$A:$E,5,0),"")</f>
      </c>
      <c r="J8266" s="29">
        <f>IFERROR(VLOOKUP(F8266,CARTON_LOOKUP!$A:$E,2,0),"")</f>
      </c>
      <c r="K8266" s="29">
        <f>IFERROR(J8266*D8266,0)</f>
      </c>
      <c r="L8266" s="29">
        <f>IFERROR(E8266*C8266,0)</f>
      </c>
      <c r="M8266" s="29">
        <f>IFERROR((G8266*H8266*I8266/1000000)*D8266,0)</f>
      </c>
    </row>
    <row r="8267" spans="1:13" x14ac:dyDescent="0.25">
      <c r="A8267" s="16"/>
      <c r="E8267" s="27"/>
      <c r="F8267" t="s">
        <v>26</v>
      </c>
      <c r="G8267" s="28">
        <f>IFERROR(VLOOKUP(F8267,CARTON_LOOKUP!$A:$E,3,0),"")</f>
      </c>
      <c r="H8267" s="28">
        <f>IFERROR(VLOOKUP(F8267,CARTON_LOOKUP!$A:$E,4,0),"")</f>
      </c>
      <c r="I8267" s="28">
        <f>IFERROR(VLOOKUP(F8267,CARTON_LOOKUP!$A:$E,5,0),"")</f>
      </c>
      <c r="J8267" s="29">
        <f>IFERROR(VLOOKUP(F8267,CARTON_LOOKUP!$A:$E,2,0),"")</f>
      </c>
      <c r="K8267" s="29">
        <f>IFERROR(J8267*D8267,0)</f>
      </c>
      <c r="L8267" s="29">
        <f>IFERROR(E8267*C8267,0)</f>
      </c>
      <c r="M8267" s="29">
        <f>IFERROR((G8267*H8267*I8267/1000000)*D8267,0)</f>
      </c>
    </row>
    <row r="8268" spans="1:13" x14ac:dyDescent="0.25">
      <c r="A8268" s="16"/>
      <c r="E8268" s="27"/>
      <c r="F8268" t="s">
        <v>26</v>
      </c>
      <c r="G8268" s="28">
        <f>IFERROR(VLOOKUP(F8268,CARTON_LOOKUP!$A:$E,3,0),"")</f>
      </c>
      <c r="H8268" s="28">
        <f>IFERROR(VLOOKUP(F8268,CARTON_LOOKUP!$A:$E,4,0),"")</f>
      </c>
      <c r="I8268" s="28">
        <f>IFERROR(VLOOKUP(F8268,CARTON_LOOKUP!$A:$E,5,0),"")</f>
      </c>
      <c r="J8268" s="29">
        <f>IFERROR(VLOOKUP(F8268,CARTON_LOOKUP!$A:$E,2,0),"")</f>
      </c>
      <c r="K8268" s="29">
        <f>IFERROR(J8268*D8268,0)</f>
      </c>
      <c r="L8268" s="29">
        <f>IFERROR(E8268*C8268,0)</f>
      </c>
      <c r="M8268" s="29">
        <f>IFERROR((G8268*H8268*I8268/1000000)*D8268,0)</f>
      </c>
    </row>
    <row r="8269" spans="1:13" x14ac:dyDescent="0.25">
      <c r="A8269" s="16"/>
      <c r="E8269" s="27"/>
      <c r="F8269" t="s">
        <v>26</v>
      </c>
      <c r="G8269" s="28">
        <f>IFERROR(VLOOKUP(F8269,CARTON_LOOKUP!$A:$E,3,0),"")</f>
      </c>
      <c r="H8269" s="28">
        <f>IFERROR(VLOOKUP(F8269,CARTON_LOOKUP!$A:$E,4,0),"")</f>
      </c>
      <c r="I8269" s="28">
        <f>IFERROR(VLOOKUP(F8269,CARTON_LOOKUP!$A:$E,5,0),"")</f>
      </c>
      <c r="J8269" s="29">
        <f>IFERROR(VLOOKUP(F8269,CARTON_LOOKUP!$A:$E,2,0),"")</f>
      </c>
      <c r="K8269" s="29">
        <f>IFERROR(J8269*D8269,0)</f>
      </c>
      <c r="L8269" s="29">
        <f>IFERROR(E8269*C8269,0)</f>
      </c>
      <c r="M8269" s="29">
        <f>IFERROR((G8269*H8269*I8269/1000000)*D8269,0)</f>
      </c>
    </row>
    <row r="8270" spans="1:13" x14ac:dyDescent="0.25">
      <c r="A8270" s="16"/>
      <c r="E8270" s="27"/>
      <c r="F8270" t="s">
        <v>26</v>
      </c>
      <c r="G8270" s="28">
        <f>IFERROR(VLOOKUP(F8270,CARTON_LOOKUP!$A:$E,3,0),"")</f>
      </c>
      <c r="H8270" s="28">
        <f>IFERROR(VLOOKUP(F8270,CARTON_LOOKUP!$A:$E,4,0),"")</f>
      </c>
      <c r="I8270" s="28">
        <f>IFERROR(VLOOKUP(F8270,CARTON_LOOKUP!$A:$E,5,0),"")</f>
      </c>
      <c r="J8270" s="29">
        <f>IFERROR(VLOOKUP(F8270,CARTON_LOOKUP!$A:$E,2,0),"")</f>
      </c>
      <c r="K8270" s="29">
        <f>IFERROR(J8270*D8270,0)</f>
      </c>
      <c r="L8270" s="29">
        <f>IFERROR(E8270*C8270,0)</f>
      </c>
      <c r="M8270" s="29">
        <f>IFERROR((G8270*H8270*I8270/1000000)*D8270,0)</f>
      </c>
    </row>
    <row r="8271" spans="1:13" x14ac:dyDescent="0.25">
      <c r="A8271" s="16"/>
      <c r="E8271" s="27"/>
      <c r="F8271" t="s">
        <v>26</v>
      </c>
      <c r="G8271" s="28">
        <f>IFERROR(VLOOKUP(F8271,CARTON_LOOKUP!$A:$E,3,0),"")</f>
      </c>
      <c r="H8271" s="28">
        <f>IFERROR(VLOOKUP(F8271,CARTON_LOOKUP!$A:$E,4,0),"")</f>
      </c>
      <c r="I8271" s="28">
        <f>IFERROR(VLOOKUP(F8271,CARTON_LOOKUP!$A:$E,5,0),"")</f>
      </c>
      <c r="J8271" s="29">
        <f>IFERROR(VLOOKUP(F8271,CARTON_LOOKUP!$A:$E,2,0),"")</f>
      </c>
      <c r="K8271" s="29">
        <f>IFERROR(J8271*D8271,0)</f>
      </c>
      <c r="L8271" s="29">
        <f>IFERROR(E8271*C8271,0)</f>
      </c>
      <c r="M8271" s="29">
        <f>IFERROR((G8271*H8271*I8271/1000000)*D8271,0)</f>
      </c>
    </row>
    <row r="8272" spans="1:13" x14ac:dyDescent="0.25">
      <c r="A8272" s="16"/>
      <c r="E8272" s="27"/>
      <c r="F8272" t="s">
        <v>26</v>
      </c>
      <c r="G8272" s="28">
        <f>IFERROR(VLOOKUP(F8272,CARTON_LOOKUP!$A:$E,3,0),"")</f>
      </c>
      <c r="H8272" s="28">
        <f>IFERROR(VLOOKUP(F8272,CARTON_LOOKUP!$A:$E,4,0),"")</f>
      </c>
      <c r="I8272" s="28">
        <f>IFERROR(VLOOKUP(F8272,CARTON_LOOKUP!$A:$E,5,0),"")</f>
      </c>
      <c r="J8272" s="29">
        <f>IFERROR(VLOOKUP(F8272,CARTON_LOOKUP!$A:$E,2,0),"")</f>
      </c>
      <c r="K8272" s="29">
        <f>IFERROR(J8272*D8272,0)</f>
      </c>
      <c r="L8272" s="29">
        <f>IFERROR(E8272*C8272,0)</f>
      </c>
      <c r="M8272" s="29">
        <f>IFERROR((G8272*H8272*I8272/1000000)*D8272,0)</f>
      </c>
    </row>
    <row r="8273" spans="1:13" x14ac:dyDescent="0.25">
      <c r="A8273" s="16"/>
      <c r="E8273" s="27"/>
      <c r="F8273" t="s">
        <v>26</v>
      </c>
      <c r="G8273" s="28">
        <f>IFERROR(VLOOKUP(F8273,CARTON_LOOKUP!$A:$E,3,0),"")</f>
      </c>
      <c r="H8273" s="28">
        <f>IFERROR(VLOOKUP(F8273,CARTON_LOOKUP!$A:$E,4,0),"")</f>
      </c>
      <c r="I8273" s="28">
        <f>IFERROR(VLOOKUP(F8273,CARTON_LOOKUP!$A:$E,5,0),"")</f>
      </c>
      <c r="J8273" s="29">
        <f>IFERROR(VLOOKUP(F8273,CARTON_LOOKUP!$A:$E,2,0),"")</f>
      </c>
      <c r="K8273" s="29">
        <f>IFERROR(J8273*D8273,0)</f>
      </c>
      <c r="L8273" s="29">
        <f>IFERROR(E8273*C8273,0)</f>
      </c>
      <c r="M8273" s="29">
        <f>IFERROR((G8273*H8273*I8273/1000000)*D8273,0)</f>
      </c>
    </row>
    <row r="8274" spans="1:13" x14ac:dyDescent="0.25">
      <c r="A8274" s="16"/>
      <c r="E8274" s="27"/>
      <c r="F8274" t="s">
        <v>26</v>
      </c>
      <c r="G8274" s="28">
        <f>IFERROR(VLOOKUP(F8274,CARTON_LOOKUP!$A:$E,3,0),"")</f>
      </c>
      <c r="H8274" s="28">
        <f>IFERROR(VLOOKUP(F8274,CARTON_LOOKUP!$A:$E,4,0),"")</f>
      </c>
      <c r="I8274" s="28">
        <f>IFERROR(VLOOKUP(F8274,CARTON_LOOKUP!$A:$E,5,0),"")</f>
      </c>
      <c r="J8274" s="29">
        <f>IFERROR(VLOOKUP(F8274,CARTON_LOOKUP!$A:$E,2,0),"")</f>
      </c>
      <c r="K8274" s="29">
        <f>IFERROR(J8274*D8274,0)</f>
      </c>
      <c r="L8274" s="29">
        <f>IFERROR(E8274*C8274,0)</f>
      </c>
      <c r="M8274" s="29">
        <f>IFERROR((G8274*H8274*I8274/1000000)*D8274,0)</f>
      </c>
    </row>
    <row r="8275" spans="1:13" x14ac:dyDescent="0.25">
      <c r="A8275" s="16"/>
      <c r="E8275" s="27"/>
      <c r="F8275" t="s">
        <v>26</v>
      </c>
      <c r="G8275" s="28">
        <f>IFERROR(VLOOKUP(F8275,CARTON_LOOKUP!$A:$E,3,0),"")</f>
      </c>
      <c r="H8275" s="28">
        <f>IFERROR(VLOOKUP(F8275,CARTON_LOOKUP!$A:$E,4,0),"")</f>
      </c>
      <c r="I8275" s="28">
        <f>IFERROR(VLOOKUP(F8275,CARTON_LOOKUP!$A:$E,5,0),"")</f>
      </c>
      <c r="J8275" s="29">
        <f>IFERROR(VLOOKUP(F8275,CARTON_LOOKUP!$A:$E,2,0),"")</f>
      </c>
      <c r="K8275" s="29">
        <f>IFERROR(J8275*D8275,0)</f>
      </c>
      <c r="L8275" s="29">
        <f>IFERROR(E8275*C8275,0)</f>
      </c>
      <c r="M8275" s="29">
        <f>IFERROR((G8275*H8275*I8275/1000000)*D8275,0)</f>
      </c>
    </row>
    <row r="8276" spans="1:13" x14ac:dyDescent="0.25">
      <c r="A8276" s="16"/>
      <c r="E8276" s="27"/>
      <c r="F8276" t="s">
        <v>26</v>
      </c>
      <c r="G8276" s="28">
        <f>IFERROR(VLOOKUP(F8276,CARTON_LOOKUP!$A:$E,3,0),"")</f>
      </c>
      <c r="H8276" s="28">
        <f>IFERROR(VLOOKUP(F8276,CARTON_LOOKUP!$A:$E,4,0),"")</f>
      </c>
      <c r="I8276" s="28">
        <f>IFERROR(VLOOKUP(F8276,CARTON_LOOKUP!$A:$E,5,0),"")</f>
      </c>
      <c r="J8276" s="29">
        <f>IFERROR(VLOOKUP(F8276,CARTON_LOOKUP!$A:$E,2,0),"")</f>
      </c>
      <c r="K8276" s="29">
        <f>IFERROR(J8276*D8276,0)</f>
      </c>
      <c r="L8276" s="29">
        <f>IFERROR(E8276*C8276,0)</f>
      </c>
      <c r="M8276" s="29">
        <f>IFERROR((G8276*H8276*I8276/1000000)*D8276,0)</f>
      </c>
    </row>
    <row r="8277" spans="1:13" x14ac:dyDescent="0.25">
      <c r="A8277" s="16"/>
      <c r="E8277" s="27"/>
      <c r="F8277" t="s">
        <v>26</v>
      </c>
      <c r="G8277" s="28">
        <f>IFERROR(VLOOKUP(F8277,CARTON_LOOKUP!$A:$E,3,0),"")</f>
      </c>
      <c r="H8277" s="28">
        <f>IFERROR(VLOOKUP(F8277,CARTON_LOOKUP!$A:$E,4,0),"")</f>
      </c>
      <c r="I8277" s="28">
        <f>IFERROR(VLOOKUP(F8277,CARTON_LOOKUP!$A:$E,5,0),"")</f>
      </c>
      <c r="J8277" s="29">
        <f>IFERROR(VLOOKUP(F8277,CARTON_LOOKUP!$A:$E,2,0),"")</f>
      </c>
      <c r="K8277" s="29">
        <f>IFERROR(J8277*D8277,0)</f>
      </c>
      <c r="L8277" s="29">
        <f>IFERROR(E8277*C8277,0)</f>
      </c>
      <c r="M8277" s="29">
        <f>IFERROR((G8277*H8277*I8277/1000000)*D8277,0)</f>
      </c>
    </row>
    <row r="8278" spans="1:13" x14ac:dyDescent="0.25">
      <c r="A8278" s="16"/>
      <c r="E8278" s="27"/>
      <c r="F8278" t="s">
        <v>26</v>
      </c>
      <c r="G8278" s="28">
        <f>IFERROR(VLOOKUP(F8278,CARTON_LOOKUP!$A:$E,3,0),"")</f>
      </c>
      <c r="H8278" s="28">
        <f>IFERROR(VLOOKUP(F8278,CARTON_LOOKUP!$A:$E,4,0),"")</f>
      </c>
      <c r="I8278" s="28">
        <f>IFERROR(VLOOKUP(F8278,CARTON_LOOKUP!$A:$E,5,0),"")</f>
      </c>
      <c r="J8278" s="29">
        <f>IFERROR(VLOOKUP(F8278,CARTON_LOOKUP!$A:$E,2,0),"")</f>
      </c>
      <c r="K8278" s="29">
        <f>IFERROR(J8278*D8278,0)</f>
      </c>
      <c r="L8278" s="29">
        <f>IFERROR(E8278*C8278,0)</f>
      </c>
      <c r="M8278" s="29">
        <f>IFERROR((G8278*H8278*I8278/1000000)*D8278,0)</f>
      </c>
    </row>
    <row r="8279" spans="1:13" x14ac:dyDescent="0.25">
      <c r="A8279" s="16"/>
      <c r="E8279" s="27"/>
      <c r="F8279" t="s">
        <v>26</v>
      </c>
      <c r="G8279" s="28">
        <f>IFERROR(VLOOKUP(F8279,CARTON_LOOKUP!$A:$E,3,0),"")</f>
      </c>
      <c r="H8279" s="28">
        <f>IFERROR(VLOOKUP(F8279,CARTON_LOOKUP!$A:$E,4,0),"")</f>
      </c>
      <c r="I8279" s="28">
        <f>IFERROR(VLOOKUP(F8279,CARTON_LOOKUP!$A:$E,5,0),"")</f>
      </c>
      <c r="J8279" s="29">
        <f>IFERROR(VLOOKUP(F8279,CARTON_LOOKUP!$A:$E,2,0),"")</f>
      </c>
      <c r="K8279" s="29">
        <f>IFERROR(J8279*D8279,0)</f>
      </c>
      <c r="L8279" s="29">
        <f>IFERROR(E8279*C8279,0)</f>
      </c>
      <c r="M8279" s="29">
        <f>IFERROR((G8279*H8279*I8279/1000000)*D8279,0)</f>
      </c>
    </row>
    <row r="8280" spans="1:13" x14ac:dyDescent="0.25">
      <c r="A8280" s="16"/>
      <c r="E8280" s="27"/>
      <c r="F8280" t="s">
        <v>26</v>
      </c>
      <c r="G8280" s="28">
        <f>IFERROR(VLOOKUP(F8280,CARTON_LOOKUP!$A:$E,3,0),"")</f>
      </c>
      <c r="H8280" s="28">
        <f>IFERROR(VLOOKUP(F8280,CARTON_LOOKUP!$A:$E,4,0),"")</f>
      </c>
      <c r="I8280" s="28">
        <f>IFERROR(VLOOKUP(F8280,CARTON_LOOKUP!$A:$E,5,0),"")</f>
      </c>
      <c r="J8280" s="29">
        <f>IFERROR(VLOOKUP(F8280,CARTON_LOOKUP!$A:$E,2,0),"")</f>
      </c>
      <c r="K8280" s="29">
        <f>IFERROR(J8280*D8280,0)</f>
      </c>
      <c r="L8280" s="29">
        <f>IFERROR(E8280*C8280,0)</f>
      </c>
      <c r="M8280" s="29">
        <f>IFERROR((G8280*H8280*I8280/1000000)*D8280,0)</f>
      </c>
    </row>
    <row r="8281" spans="1:13" x14ac:dyDescent="0.25">
      <c r="A8281" s="16"/>
      <c r="E8281" s="27"/>
      <c r="F8281" t="s">
        <v>26</v>
      </c>
      <c r="G8281" s="28">
        <f>IFERROR(VLOOKUP(F8281,CARTON_LOOKUP!$A:$E,3,0),"")</f>
      </c>
      <c r="H8281" s="28">
        <f>IFERROR(VLOOKUP(F8281,CARTON_LOOKUP!$A:$E,4,0),"")</f>
      </c>
      <c r="I8281" s="28">
        <f>IFERROR(VLOOKUP(F8281,CARTON_LOOKUP!$A:$E,5,0),"")</f>
      </c>
      <c r="J8281" s="29">
        <f>IFERROR(VLOOKUP(F8281,CARTON_LOOKUP!$A:$E,2,0),"")</f>
      </c>
      <c r="K8281" s="29">
        <f>IFERROR(J8281*D8281,0)</f>
      </c>
      <c r="L8281" s="29">
        <f>IFERROR(E8281*C8281,0)</f>
      </c>
      <c r="M8281" s="29">
        <f>IFERROR((G8281*H8281*I8281/1000000)*D8281,0)</f>
      </c>
    </row>
    <row r="8282" spans="1:13" x14ac:dyDescent="0.25">
      <c r="A8282" s="16"/>
      <c r="E8282" s="27"/>
      <c r="F8282" t="s">
        <v>26</v>
      </c>
      <c r="G8282" s="28">
        <f>IFERROR(VLOOKUP(F8282,CARTON_LOOKUP!$A:$E,3,0),"")</f>
      </c>
      <c r="H8282" s="28">
        <f>IFERROR(VLOOKUP(F8282,CARTON_LOOKUP!$A:$E,4,0),"")</f>
      </c>
      <c r="I8282" s="28">
        <f>IFERROR(VLOOKUP(F8282,CARTON_LOOKUP!$A:$E,5,0),"")</f>
      </c>
      <c r="J8282" s="29">
        <f>IFERROR(VLOOKUP(F8282,CARTON_LOOKUP!$A:$E,2,0),"")</f>
      </c>
      <c r="K8282" s="29">
        <f>IFERROR(J8282*D8282,0)</f>
      </c>
      <c r="L8282" s="29">
        <f>IFERROR(E8282*C8282,0)</f>
      </c>
      <c r="M8282" s="29">
        <f>IFERROR((G8282*H8282*I8282/1000000)*D8282,0)</f>
      </c>
    </row>
    <row r="8283" spans="1:13" x14ac:dyDescent="0.25">
      <c r="A8283" s="16"/>
      <c r="E8283" s="27"/>
      <c r="F8283" t="s">
        <v>26</v>
      </c>
      <c r="G8283" s="28">
        <f>IFERROR(VLOOKUP(F8283,CARTON_LOOKUP!$A:$E,3,0),"")</f>
      </c>
      <c r="H8283" s="28">
        <f>IFERROR(VLOOKUP(F8283,CARTON_LOOKUP!$A:$E,4,0),"")</f>
      </c>
      <c r="I8283" s="28">
        <f>IFERROR(VLOOKUP(F8283,CARTON_LOOKUP!$A:$E,5,0),"")</f>
      </c>
      <c r="J8283" s="29">
        <f>IFERROR(VLOOKUP(F8283,CARTON_LOOKUP!$A:$E,2,0),"")</f>
      </c>
      <c r="K8283" s="29">
        <f>IFERROR(J8283*D8283,0)</f>
      </c>
      <c r="L8283" s="29">
        <f>IFERROR(E8283*C8283,0)</f>
      </c>
      <c r="M8283" s="29">
        <f>IFERROR((G8283*H8283*I8283/1000000)*D8283,0)</f>
      </c>
    </row>
    <row r="8284" spans="1:13" x14ac:dyDescent="0.25">
      <c r="A8284" s="16"/>
      <c r="E8284" s="27"/>
      <c r="F8284" t="s">
        <v>26</v>
      </c>
      <c r="G8284" s="28">
        <f>IFERROR(VLOOKUP(F8284,CARTON_LOOKUP!$A:$E,3,0),"")</f>
      </c>
      <c r="H8284" s="28">
        <f>IFERROR(VLOOKUP(F8284,CARTON_LOOKUP!$A:$E,4,0),"")</f>
      </c>
      <c r="I8284" s="28">
        <f>IFERROR(VLOOKUP(F8284,CARTON_LOOKUP!$A:$E,5,0),"")</f>
      </c>
      <c r="J8284" s="29">
        <f>IFERROR(VLOOKUP(F8284,CARTON_LOOKUP!$A:$E,2,0),"")</f>
      </c>
      <c r="K8284" s="29">
        <f>IFERROR(J8284*D8284,0)</f>
      </c>
      <c r="L8284" s="29">
        <f>IFERROR(E8284*C8284,0)</f>
      </c>
      <c r="M8284" s="29">
        <f>IFERROR((G8284*H8284*I8284/1000000)*D8284,0)</f>
      </c>
    </row>
    <row r="8285" spans="1:13" x14ac:dyDescent="0.25">
      <c r="A8285" s="16"/>
      <c r="E8285" s="27"/>
      <c r="F8285" t="s">
        <v>26</v>
      </c>
      <c r="G8285" s="28">
        <f>IFERROR(VLOOKUP(F8285,CARTON_LOOKUP!$A:$E,3,0),"")</f>
      </c>
      <c r="H8285" s="28">
        <f>IFERROR(VLOOKUP(F8285,CARTON_LOOKUP!$A:$E,4,0),"")</f>
      </c>
      <c r="I8285" s="28">
        <f>IFERROR(VLOOKUP(F8285,CARTON_LOOKUP!$A:$E,5,0),"")</f>
      </c>
      <c r="J8285" s="29">
        <f>IFERROR(VLOOKUP(F8285,CARTON_LOOKUP!$A:$E,2,0),"")</f>
      </c>
      <c r="K8285" s="29">
        <f>IFERROR(J8285*D8285,0)</f>
      </c>
      <c r="L8285" s="29">
        <f>IFERROR(E8285*C8285,0)</f>
      </c>
      <c r="M8285" s="29">
        <f>IFERROR((G8285*H8285*I8285/1000000)*D8285,0)</f>
      </c>
    </row>
    <row r="8286" spans="1:13" x14ac:dyDescent="0.25">
      <c r="A8286" s="16"/>
      <c r="E8286" s="27"/>
      <c r="F8286" t="s">
        <v>26</v>
      </c>
      <c r="G8286" s="28">
        <f>IFERROR(VLOOKUP(F8286,CARTON_LOOKUP!$A:$E,3,0),"")</f>
      </c>
      <c r="H8286" s="28">
        <f>IFERROR(VLOOKUP(F8286,CARTON_LOOKUP!$A:$E,4,0),"")</f>
      </c>
      <c r="I8286" s="28">
        <f>IFERROR(VLOOKUP(F8286,CARTON_LOOKUP!$A:$E,5,0),"")</f>
      </c>
      <c r="J8286" s="29">
        <f>IFERROR(VLOOKUP(F8286,CARTON_LOOKUP!$A:$E,2,0),"")</f>
      </c>
      <c r="K8286" s="29">
        <f>IFERROR(J8286*D8286,0)</f>
      </c>
      <c r="L8286" s="29">
        <f>IFERROR(E8286*C8286,0)</f>
      </c>
      <c r="M8286" s="29">
        <f>IFERROR((G8286*H8286*I8286/1000000)*D8286,0)</f>
      </c>
    </row>
    <row r="8287" spans="1:13" x14ac:dyDescent="0.25">
      <c r="A8287" s="16"/>
      <c r="E8287" s="27"/>
      <c r="F8287" t="s">
        <v>26</v>
      </c>
      <c r="G8287" s="28">
        <f>IFERROR(VLOOKUP(F8287,CARTON_LOOKUP!$A:$E,3,0),"")</f>
      </c>
      <c r="H8287" s="28">
        <f>IFERROR(VLOOKUP(F8287,CARTON_LOOKUP!$A:$E,4,0),"")</f>
      </c>
      <c r="I8287" s="28">
        <f>IFERROR(VLOOKUP(F8287,CARTON_LOOKUP!$A:$E,5,0),"")</f>
      </c>
      <c r="J8287" s="29">
        <f>IFERROR(VLOOKUP(F8287,CARTON_LOOKUP!$A:$E,2,0),"")</f>
      </c>
      <c r="K8287" s="29">
        <f>IFERROR(J8287*D8287,0)</f>
      </c>
      <c r="L8287" s="29">
        <f>IFERROR(E8287*C8287,0)</f>
      </c>
      <c r="M8287" s="29">
        <f>IFERROR((G8287*H8287*I8287/1000000)*D8287,0)</f>
      </c>
    </row>
    <row r="8288" spans="1:13" x14ac:dyDescent="0.25">
      <c r="A8288" s="16"/>
      <c r="E8288" s="27"/>
      <c r="F8288" t="s">
        <v>26</v>
      </c>
      <c r="G8288" s="28">
        <f>IFERROR(VLOOKUP(F8288,CARTON_LOOKUP!$A:$E,3,0),"")</f>
      </c>
      <c r="H8288" s="28">
        <f>IFERROR(VLOOKUP(F8288,CARTON_LOOKUP!$A:$E,4,0),"")</f>
      </c>
      <c r="I8288" s="28">
        <f>IFERROR(VLOOKUP(F8288,CARTON_LOOKUP!$A:$E,5,0),"")</f>
      </c>
      <c r="J8288" s="29">
        <f>IFERROR(VLOOKUP(F8288,CARTON_LOOKUP!$A:$E,2,0),"")</f>
      </c>
      <c r="K8288" s="29">
        <f>IFERROR(J8288*D8288,0)</f>
      </c>
      <c r="L8288" s="29">
        <f>IFERROR(E8288*C8288,0)</f>
      </c>
      <c r="M8288" s="29">
        <f>IFERROR((G8288*H8288*I8288/1000000)*D8288,0)</f>
      </c>
    </row>
    <row r="8289" spans="1:13" x14ac:dyDescent="0.25">
      <c r="A8289" s="16"/>
      <c r="E8289" s="27"/>
      <c r="F8289" t="s">
        <v>26</v>
      </c>
      <c r="G8289" s="28">
        <f>IFERROR(VLOOKUP(F8289,CARTON_LOOKUP!$A:$E,3,0),"")</f>
      </c>
      <c r="H8289" s="28">
        <f>IFERROR(VLOOKUP(F8289,CARTON_LOOKUP!$A:$E,4,0),"")</f>
      </c>
      <c r="I8289" s="28">
        <f>IFERROR(VLOOKUP(F8289,CARTON_LOOKUP!$A:$E,5,0),"")</f>
      </c>
      <c r="J8289" s="29">
        <f>IFERROR(VLOOKUP(F8289,CARTON_LOOKUP!$A:$E,2,0),"")</f>
      </c>
      <c r="K8289" s="29">
        <f>IFERROR(J8289*D8289,0)</f>
      </c>
      <c r="L8289" s="29">
        <f>IFERROR(E8289*C8289,0)</f>
      </c>
      <c r="M8289" s="29">
        <f>IFERROR((G8289*H8289*I8289/1000000)*D8289,0)</f>
      </c>
    </row>
    <row r="8290" spans="1:13" x14ac:dyDescent="0.25">
      <c r="A8290" s="16"/>
      <c r="E8290" s="27"/>
      <c r="F8290" t="s">
        <v>26</v>
      </c>
      <c r="G8290" s="28">
        <f>IFERROR(VLOOKUP(F8290,CARTON_LOOKUP!$A:$E,3,0),"")</f>
      </c>
      <c r="H8290" s="28">
        <f>IFERROR(VLOOKUP(F8290,CARTON_LOOKUP!$A:$E,4,0),"")</f>
      </c>
      <c r="I8290" s="28">
        <f>IFERROR(VLOOKUP(F8290,CARTON_LOOKUP!$A:$E,5,0),"")</f>
      </c>
      <c r="J8290" s="29">
        <f>IFERROR(VLOOKUP(F8290,CARTON_LOOKUP!$A:$E,2,0),"")</f>
      </c>
      <c r="K8290" s="29">
        <f>IFERROR(J8290*D8290,0)</f>
      </c>
      <c r="L8290" s="29">
        <f>IFERROR(E8290*C8290,0)</f>
      </c>
      <c r="M8290" s="29">
        <f>IFERROR((G8290*H8290*I8290/1000000)*D8290,0)</f>
      </c>
    </row>
    <row r="8291" spans="1:13" x14ac:dyDescent="0.25">
      <c r="A8291" s="16"/>
      <c r="E8291" s="27"/>
      <c r="F8291" t="s">
        <v>26</v>
      </c>
      <c r="G8291" s="28">
        <f>IFERROR(VLOOKUP(F8291,CARTON_LOOKUP!$A:$E,3,0),"")</f>
      </c>
      <c r="H8291" s="28">
        <f>IFERROR(VLOOKUP(F8291,CARTON_LOOKUP!$A:$E,4,0),"")</f>
      </c>
      <c r="I8291" s="28">
        <f>IFERROR(VLOOKUP(F8291,CARTON_LOOKUP!$A:$E,5,0),"")</f>
      </c>
      <c r="J8291" s="29">
        <f>IFERROR(VLOOKUP(F8291,CARTON_LOOKUP!$A:$E,2,0),"")</f>
      </c>
      <c r="K8291" s="29">
        <f>IFERROR(J8291*D8291,0)</f>
      </c>
      <c r="L8291" s="29">
        <f>IFERROR(E8291*C8291,0)</f>
      </c>
      <c r="M8291" s="29">
        <f>IFERROR((G8291*H8291*I8291/1000000)*D8291,0)</f>
      </c>
    </row>
    <row r="8292" spans="1:13" x14ac:dyDescent="0.25">
      <c r="A8292" s="16"/>
      <c r="E8292" s="27"/>
      <c r="F8292" t="s">
        <v>26</v>
      </c>
      <c r="G8292" s="28">
        <f>IFERROR(VLOOKUP(F8292,CARTON_LOOKUP!$A:$E,3,0),"")</f>
      </c>
      <c r="H8292" s="28">
        <f>IFERROR(VLOOKUP(F8292,CARTON_LOOKUP!$A:$E,4,0),"")</f>
      </c>
      <c r="I8292" s="28">
        <f>IFERROR(VLOOKUP(F8292,CARTON_LOOKUP!$A:$E,5,0),"")</f>
      </c>
      <c r="J8292" s="29">
        <f>IFERROR(VLOOKUP(F8292,CARTON_LOOKUP!$A:$E,2,0),"")</f>
      </c>
      <c r="K8292" s="29">
        <f>IFERROR(J8292*D8292,0)</f>
      </c>
      <c r="L8292" s="29">
        <f>IFERROR(E8292*C8292,0)</f>
      </c>
      <c r="M8292" s="29">
        <f>IFERROR((G8292*H8292*I8292/1000000)*D8292,0)</f>
      </c>
    </row>
    <row r="8293" spans="1:13" x14ac:dyDescent="0.25">
      <c r="A8293" s="16"/>
      <c r="E8293" s="27"/>
      <c r="F8293" t="s">
        <v>26</v>
      </c>
      <c r="G8293" s="28">
        <f>IFERROR(VLOOKUP(F8293,CARTON_LOOKUP!$A:$E,3,0),"")</f>
      </c>
      <c r="H8293" s="28">
        <f>IFERROR(VLOOKUP(F8293,CARTON_LOOKUP!$A:$E,4,0),"")</f>
      </c>
      <c r="I8293" s="28">
        <f>IFERROR(VLOOKUP(F8293,CARTON_LOOKUP!$A:$E,5,0),"")</f>
      </c>
      <c r="J8293" s="29">
        <f>IFERROR(VLOOKUP(F8293,CARTON_LOOKUP!$A:$E,2,0),"")</f>
      </c>
      <c r="K8293" s="29">
        <f>IFERROR(J8293*D8293,0)</f>
      </c>
      <c r="L8293" s="29">
        <f>IFERROR(E8293*C8293,0)</f>
      </c>
      <c r="M8293" s="29">
        <f>IFERROR((G8293*H8293*I8293/1000000)*D8293,0)</f>
      </c>
    </row>
    <row r="8294" spans="1:13" x14ac:dyDescent="0.25">
      <c r="A8294" s="16"/>
      <c r="E8294" s="27"/>
      <c r="F8294" t="s">
        <v>26</v>
      </c>
      <c r="G8294" s="28">
        <f>IFERROR(VLOOKUP(F8294,CARTON_LOOKUP!$A:$E,3,0),"")</f>
      </c>
      <c r="H8294" s="28">
        <f>IFERROR(VLOOKUP(F8294,CARTON_LOOKUP!$A:$E,4,0),"")</f>
      </c>
      <c r="I8294" s="28">
        <f>IFERROR(VLOOKUP(F8294,CARTON_LOOKUP!$A:$E,5,0),"")</f>
      </c>
      <c r="J8294" s="29">
        <f>IFERROR(VLOOKUP(F8294,CARTON_LOOKUP!$A:$E,2,0),"")</f>
      </c>
      <c r="K8294" s="29">
        <f>IFERROR(J8294*D8294,0)</f>
      </c>
      <c r="L8294" s="29">
        <f>IFERROR(E8294*C8294,0)</f>
      </c>
      <c r="M8294" s="29">
        <f>IFERROR((G8294*H8294*I8294/1000000)*D8294,0)</f>
      </c>
    </row>
    <row r="8295" spans="1:13" x14ac:dyDescent="0.25">
      <c r="A8295" s="16"/>
      <c r="E8295" s="27"/>
      <c r="F8295" t="s">
        <v>26</v>
      </c>
      <c r="G8295" s="28">
        <f>IFERROR(VLOOKUP(F8295,CARTON_LOOKUP!$A:$E,3,0),"")</f>
      </c>
      <c r="H8295" s="28">
        <f>IFERROR(VLOOKUP(F8295,CARTON_LOOKUP!$A:$E,4,0),"")</f>
      </c>
      <c r="I8295" s="28">
        <f>IFERROR(VLOOKUP(F8295,CARTON_LOOKUP!$A:$E,5,0),"")</f>
      </c>
      <c r="J8295" s="29">
        <f>IFERROR(VLOOKUP(F8295,CARTON_LOOKUP!$A:$E,2,0),"")</f>
      </c>
      <c r="K8295" s="29">
        <f>IFERROR(J8295*D8295,0)</f>
      </c>
      <c r="L8295" s="29">
        <f>IFERROR(E8295*C8295,0)</f>
      </c>
      <c r="M8295" s="29">
        <f>IFERROR((G8295*H8295*I8295/1000000)*D8295,0)</f>
      </c>
    </row>
    <row r="8296" spans="1:13" x14ac:dyDescent="0.25">
      <c r="A8296" s="16"/>
      <c r="E8296" s="27"/>
      <c r="F8296" t="s">
        <v>26</v>
      </c>
      <c r="G8296" s="28">
        <f>IFERROR(VLOOKUP(F8296,CARTON_LOOKUP!$A:$E,3,0),"")</f>
      </c>
      <c r="H8296" s="28">
        <f>IFERROR(VLOOKUP(F8296,CARTON_LOOKUP!$A:$E,4,0),"")</f>
      </c>
      <c r="I8296" s="28">
        <f>IFERROR(VLOOKUP(F8296,CARTON_LOOKUP!$A:$E,5,0),"")</f>
      </c>
      <c r="J8296" s="29">
        <f>IFERROR(VLOOKUP(F8296,CARTON_LOOKUP!$A:$E,2,0),"")</f>
      </c>
      <c r="K8296" s="29">
        <f>IFERROR(J8296*D8296,0)</f>
      </c>
      <c r="L8296" s="29">
        <f>IFERROR(E8296*C8296,0)</f>
      </c>
      <c r="M8296" s="29">
        <f>IFERROR((G8296*H8296*I8296/1000000)*D8296,0)</f>
      </c>
    </row>
    <row r="8297" spans="1:13" x14ac:dyDescent="0.25">
      <c r="A8297" s="16"/>
      <c r="E8297" s="27"/>
      <c r="F8297" t="s">
        <v>26</v>
      </c>
      <c r="G8297" s="28">
        <f>IFERROR(VLOOKUP(F8297,CARTON_LOOKUP!$A:$E,3,0),"")</f>
      </c>
      <c r="H8297" s="28">
        <f>IFERROR(VLOOKUP(F8297,CARTON_LOOKUP!$A:$E,4,0),"")</f>
      </c>
      <c r="I8297" s="28">
        <f>IFERROR(VLOOKUP(F8297,CARTON_LOOKUP!$A:$E,5,0),"")</f>
      </c>
      <c r="J8297" s="29">
        <f>IFERROR(VLOOKUP(F8297,CARTON_LOOKUP!$A:$E,2,0),"")</f>
      </c>
      <c r="K8297" s="29">
        <f>IFERROR(J8297*D8297,0)</f>
      </c>
      <c r="L8297" s="29">
        <f>IFERROR(E8297*C8297,0)</f>
      </c>
      <c r="M8297" s="29">
        <f>IFERROR((G8297*H8297*I8297/1000000)*D8297,0)</f>
      </c>
    </row>
    <row r="8298" spans="1:13" x14ac:dyDescent="0.25">
      <c r="A8298" s="16"/>
      <c r="E8298" s="27"/>
      <c r="F8298" t="s">
        <v>26</v>
      </c>
      <c r="G8298" s="28">
        <f>IFERROR(VLOOKUP(F8298,CARTON_LOOKUP!$A:$E,3,0),"")</f>
      </c>
      <c r="H8298" s="28">
        <f>IFERROR(VLOOKUP(F8298,CARTON_LOOKUP!$A:$E,4,0),"")</f>
      </c>
      <c r="I8298" s="28">
        <f>IFERROR(VLOOKUP(F8298,CARTON_LOOKUP!$A:$E,5,0),"")</f>
      </c>
      <c r="J8298" s="29">
        <f>IFERROR(VLOOKUP(F8298,CARTON_LOOKUP!$A:$E,2,0),"")</f>
      </c>
      <c r="K8298" s="29">
        <f>IFERROR(J8298*D8298,0)</f>
      </c>
      <c r="L8298" s="29">
        <f>IFERROR(E8298*C8298,0)</f>
      </c>
      <c r="M8298" s="29">
        <f>IFERROR((G8298*H8298*I8298/1000000)*D8298,0)</f>
      </c>
    </row>
    <row r="8299" spans="1:13" x14ac:dyDescent="0.25">
      <c r="A8299" s="16"/>
      <c r="E8299" s="27"/>
      <c r="F8299" t="s">
        <v>26</v>
      </c>
      <c r="G8299" s="28">
        <f>IFERROR(VLOOKUP(F8299,CARTON_LOOKUP!$A:$E,3,0),"")</f>
      </c>
      <c r="H8299" s="28">
        <f>IFERROR(VLOOKUP(F8299,CARTON_LOOKUP!$A:$E,4,0),"")</f>
      </c>
      <c r="I8299" s="28">
        <f>IFERROR(VLOOKUP(F8299,CARTON_LOOKUP!$A:$E,5,0),"")</f>
      </c>
      <c r="J8299" s="29">
        <f>IFERROR(VLOOKUP(F8299,CARTON_LOOKUP!$A:$E,2,0),"")</f>
      </c>
      <c r="K8299" s="29">
        <f>IFERROR(J8299*D8299,0)</f>
      </c>
      <c r="L8299" s="29">
        <f>IFERROR(E8299*C8299,0)</f>
      </c>
      <c r="M8299" s="29">
        <f>IFERROR((G8299*H8299*I8299/1000000)*D8299,0)</f>
      </c>
    </row>
    <row r="8300" spans="1:13" x14ac:dyDescent="0.25">
      <c r="A8300" s="16"/>
      <c r="E8300" s="27"/>
      <c r="F8300" t="s">
        <v>26</v>
      </c>
      <c r="G8300" s="28">
        <f>IFERROR(VLOOKUP(F8300,CARTON_LOOKUP!$A:$E,3,0),"")</f>
      </c>
      <c r="H8300" s="28">
        <f>IFERROR(VLOOKUP(F8300,CARTON_LOOKUP!$A:$E,4,0),"")</f>
      </c>
      <c r="I8300" s="28">
        <f>IFERROR(VLOOKUP(F8300,CARTON_LOOKUP!$A:$E,5,0),"")</f>
      </c>
      <c r="J8300" s="29">
        <f>IFERROR(VLOOKUP(F8300,CARTON_LOOKUP!$A:$E,2,0),"")</f>
      </c>
      <c r="K8300" s="29">
        <f>IFERROR(J8300*D8300,0)</f>
      </c>
      <c r="L8300" s="29">
        <f>IFERROR(E8300*C8300,0)</f>
      </c>
      <c r="M8300" s="29">
        <f>IFERROR((G8300*H8300*I8300/1000000)*D8300,0)</f>
      </c>
    </row>
    <row r="8301" spans="1:13" x14ac:dyDescent="0.25">
      <c r="A8301" s="16"/>
      <c r="E8301" s="27"/>
      <c r="F8301" t="s">
        <v>26</v>
      </c>
      <c r="G8301" s="28">
        <f>IFERROR(VLOOKUP(F8301,CARTON_LOOKUP!$A:$E,3,0),"")</f>
      </c>
      <c r="H8301" s="28">
        <f>IFERROR(VLOOKUP(F8301,CARTON_LOOKUP!$A:$E,4,0),"")</f>
      </c>
      <c r="I8301" s="28">
        <f>IFERROR(VLOOKUP(F8301,CARTON_LOOKUP!$A:$E,5,0),"")</f>
      </c>
      <c r="J8301" s="29">
        <f>IFERROR(VLOOKUP(F8301,CARTON_LOOKUP!$A:$E,2,0),"")</f>
      </c>
      <c r="K8301" s="29">
        <f>IFERROR(J8301*D8301,0)</f>
      </c>
      <c r="L8301" s="29">
        <f>IFERROR(E8301*C8301,0)</f>
      </c>
      <c r="M8301" s="29">
        <f>IFERROR((G8301*H8301*I8301/1000000)*D8301,0)</f>
      </c>
    </row>
    <row r="8302" spans="1:13" x14ac:dyDescent="0.25">
      <c r="A8302" s="16"/>
      <c r="E8302" s="27"/>
      <c r="F8302" t="s">
        <v>26</v>
      </c>
      <c r="G8302" s="28">
        <f>IFERROR(VLOOKUP(F8302,CARTON_LOOKUP!$A:$E,3,0),"")</f>
      </c>
      <c r="H8302" s="28">
        <f>IFERROR(VLOOKUP(F8302,CARTON_LOOKUP!$A:$E,4,0),"")</f>
      </c>
      <c r="I8302" s="28">
        <f>IFERROR(VLOOKUP(F8302,CARTON_LOOKUP!$A:$E,5,0),"")</f>
      </c>
      <c r="J8302" s="29">
        <f>IFERROR(VLOOKUP(F8302,CARTON_LOOKUP!$A:$E,2,0),"")</f>
      </c>
      <c r="K8302" s="29">
        <f>IFERROR(J8302*D8302,0)</f>
      </c>
      <c r="L8302" s="29">
        <f>IFERROR(E8302*C8302,0)</f>
      </c>
      <c r="M8302" s="29">
        <f>IFERROR((G8302*H8302*I8302/1000000)*D8302,0)</f>
      </c>
    </row>
    <row r="8303" spans="1:13" x14ac:dyDescent="0.25">
      <c r="A8303" s="16"/>
      <c r="E8303" s="27"/>
      <c r="F8303" t="s">
        <v>26</v>
      </c>
      <c r="G8303" s="28">
        <f>IFERROR(VLOOKUP(F8303,CARTON_LOOKUP!$A:$E,3,0),"")</f>
      </c>
      <c r="H8303" s="28">
        <f>IFERROR(VLOOKUP(F8303,CARTON_LOOKUP!$A:$E,4,0),"")</f>
      </c>
      <c r="I8303" s="28">
        <f>IFERROR(VLOOKUP(F8303,CARTON_LOOKUP!$A:$E,5,0),"")</f>
      </c>
      <c r="J8303" s="29">
        <f>IFERROR(VLOOKUP(F8303,CARTON_LOOKUP!$A:$E,2,0),"")</f>
      </c>
      <c r="K8303" s="29">
        <f>IFERROR(J8303*D8303,0)</f>
      </c>
      <c r="L8303" s="29">
        <f>IFERROR(E8303*C8303,0)</f>
      </c>
      <c r="M8303" s="29">
        <f>IFERROR((G8303*H8303*I8303/1000000)*D8303,0)</f>
      </c>
    </row>
    <row r="8304" spans="1:13" x14ac:dyDescent="0.25">
      <c r="A8304" s="16"/>
      <c r="E8304" s="27"/>
      <c r="F8304" t="s">
        <v>26</v>
      </c>
      <c r="G8304" s="28">
        <f>IFERROR(VLOOKUP(F8304,CARTON_LOOKUP!$A:$E,3,0),"")</f>
      </c>
      <c r="H8304" s="28">
        <f>IFERROR(VLOOKUP(F8304,CARTON_LOOKUP!$A:$E,4,0),"")</f>
      </c>
      <c r="I8304" s="28">
        <f>IFERROR(VLOOKUP(F8304,CARTON_LOOKUP!$A:$E,5,0),"")</f>
      </c>
      <c r="J8304" s="29">
        <f>IFERROR(VLOOKUP(F8304,CARTON_LOOKUP!$A:$E,2,0),"")</f>
      </c>
      <c r="K8304" s="29">
        <f>IFERROR(J8304*D8304,0)</f>
      </c>
      <c r="L8304" s="29">
        <f>IFERROR(E8304*C8304,0)</f>
      </c>
      <c r="M8304" s="29">
        <f>IFERROR((G8304*H8304*I8304/1000000)*D8304,0)</f>
      </c>
    </row>
    <row r="8305" spans="1:13" x14ac:dyDescent="0.25">
      <c r="A8305" s="16"/>
      <c r="E8305" s="27"/>
      <c r="F8305" t="s">
        <v>26</v>
      </c>
      <c r="G8305" s="28">
        <f>IFERROR(VLOOKUP(F8305,CARTON_LOOKUP!$A:$E,3,0),"")</f>
      </c>
      <c r="H8305" s="28">
        <f>IFERROR(VLOOKUP(F8305,CARTON_LOOKUP!$A:$E,4,0),"")</f>
      </c>
      <c r="I8305" s="28">
        <f>IFERROR(VLOOKUP(F8305,CARTON_LOOKUP!$A:$E,5,0),"")</f>
      </c>
      <c r="J8305" s="29">
        <f>IFERROR(VLOOKUP(F8305,CARTON_LOOKUP!$A:$E,2,0),"")</f>
      </c>
      <c r="K8305" s="29">
        <f>IFERROR(J8305*D8305,0)</f>
      </c>
      <c r="L8305" s="29">
        <f>IFERROR(E8305*C8305,0)</f>
      </c>
      <c r="M8305" s="29">
        <f>IFERROR((G8305*H8305*I8305/1000000)*D8305,0)</f>
      </c>
    </row>
    <row r="8306" spans="1:13" x14ac:dyDescent="0.25">
      <c r="A8306" s="16"/>
      <c r="E8306" s="27"/>
      <c r="F8306" t="s">
        <v>26</v>
      </c>
      <c r="G8306" s="28">
        <f>IFERROR(VLOOKUP(F8306,CARTON_LOOKUP!$A:$E,3,0),"")</f>
      </c>
      <c r="H8306" s="28">
        <f>IFERROR(VLOOKUP(F8306,CARTON_LOOKUP!$A:$E,4,0),"")</f>
      </c>
      <c r="I8306" s="28">
        <f>IFERROR(VLOOKUP(F8306,CARTON_LOOKUP!$A:$E,5,0),"")</f>
      </c>
      <c r="J8306" s="29">
        <f>IFERROR(VLOOKUP(F8306,CARTON_LOOKUP!$A:$E,2,0),"")</f>
      </c>
      <c r="K8306" s="29">
        <f>IFERROR(J8306*D8306,0)</f>
      </c>
      <c r="L8306" s="29">
        <f>IFERROR(E8306*C8306,0)</f>
      </c>
      <c r="M8306" s="29">
        <f>IFERROR((G8306*H8306*I8306/1000000)*D8306,0)</f>
      </c>
    </row>
    <row r="8307" spans="1:13" x14ac:dyDescent="0.25">
      <c r="A8307" s="16"/>
      <c r="E8307" s="27"/>
      <c r="F8307" t="s">
        <v>26</v>
      </c>
      <c r="G8307" s="28">
        <f>IFERROR(VLOOKUP(F8307,CARTON_LOOKUP!$A:$E,3,0),"")</f>
      </c>
      <c r="H8307" s="28">
        <f>IFERROR(VLOOKUP(F8307,CARTON_LOOKUP!$A:$E,4,0),"")</f>
      </c>
      <c r="I8307" s="28">
        <f>IFERROR(VLOOKUP(F8307,CARTON_LOOKUP!$A:$E,5,0),"")</f>
      </c>
      <c r="J8307" s="29">
        <f>IFERROR(VLOOKUP(F8307,CARTON_LOOKUP!$A:$E,2,0),"")</f>
      </c>
      <c r="K8307" s="29">
        <f>IFERROR(J8307*D8307,0)</f>
      </c>
      <c r="L8307" s="29">
        <f>IFERROR(E8307*C8307,0)</f>
      </c>
      <c r="M8307" s="29">
        <f>IFERROR((G8307*H8307*I8307/1000000)*D8307,0)</f>
      </c>
    </row>
    <row r="8308" spans="1:13" x14ac:dyDescent="0.25">
      <c r="A8308" s="16"/>
      <c r="E8308" s="27"/>
      <c r="F8308" t="s">
        <v>26</v>
      </c>
      <c r="G8308" s="28">
        <f>IFERROR(VLOOKUP(F8308,CARTON_LOOKUP!$A:$E,3,0),"")</f>
      </c>
      <c r="H8308" s="28">
        <f>IFERROR(VLOOKUP(F8308,CARTON_LOOKUP!$A:$E,4,0),"")</f>
      </c>
      <c r="I8308" s="28">
        <f>IFERROR(VLOOKUP(F8308,CARTON_LOOKUP!$A:$E,5,0),"")</f>
      </c>
      <c r="J8308" s="29">
        <f>IFERROR(VLOOKUP(F8308,CARTON_LOOKUP!$A:$E,2,0),"")</f>
      </c>
      <c r="K8308" s="29">
        <f>IFERROR(J8308*D8308,0)</f>
      </c>
      <c r="L8308" s="29">
        <f>IFERROR(E8308*C8308,0)</f>
      </c>
      <c r="M8308" s="29">
        <f>IFERROR((G8308*H8308*I8308/1000000)*D8308,0)</f>
      </c>
    </row>
    <row r="8309" spans="1:13" x14ac:dyDescent="0.25">
      <c r="A8309" s="16"/>
      <c r="E8309" s="27"/>
      <c r="F8309" t="s">
        <v>26</v>
      </c>
      <c r="G8309" s="28">
        <f>IFERROR(VLOOKUP(F8309,CARTON_LOOKUP!$A:$E,3,0),"")</f>
      </c>
      <c r="H8309" s="28">
        <f>IFERROR(VLOOKUP(F8309,CARTON_LOOKUP!$A:$E,4,0),"")</f>
      </c>
      <c r="I8309" s="28">
        <f>IFERROR(VLOOKUP(F8309,CARTON_LOOKUP!$A:$E,5,0),"")</f>
      </c>
      <c r="J8309" s="29">
        <f>IFERROR(VLOOKUP(F8309,CARTON_LOOKUP!$A:$E,2,0),"")</f>
      </c>
      <c r="K8309" s="29">
        <f>IFERROR(J8309*D8309,0)</f>
      </c>
      <c r="L8309" s="29">
        <f>IFERROR(E8309*C8309,0)</f>
      </c>
      <c r="M8309" s="29">
        <f>IFERROR((G8309*H8309*I8309/1000000)*D8309,0)</f>
      </c>
    </row>
    <row r="8310" spans="1:13" x14ac:dyDescent="0.25">
      <c r="A8310" s="16"/>
      <c r="E8310" s="27"/>
      <c r="F8310" t="s">
        <v>26</v>
      </c>
      <c r="G8310" s="28">
        <f>IFERROR(VLOOKUP(F8310,CARTON_LOOKUP!$A:$E,3,0),"")</f>
      </c>
      <c r="H8310" s="28">
        <f>IFERROR(VLOOKUP(F8310,CARTON_LOOKUP!$A:$E,4,0),"")</f>
      </c>
      <c r="I8310" s="28">
        <f>IFERROR(VLOOKUP(F8310,CARTON_LOOKUP!$A:$E,5,0),"")</f>
      </c>
      <c r="J8310" s="29">
        <f>IFERROR(VLOOKUP(F8310,CARTON_LOOKUP!$A:$E,2,0),"")</f>
      </c>
      <c r="K8310" s="29">
        <f>IFERROR(J8310*D8310,0)</f>
      </c>
      <c r="L8310" s="29">
        <f>IFERROR(E8310*C8310,0)</f>
      </c>
      <c r="M8310" s="29">
        <f>IFERROR((G8310*H8310*I8310/1000000)*D8310,0)</f>
      </c>
    </row>
    <row r="8311" spans="1:13" x14ac:dyDescent="0.25">
      <c r="A8311" s="16"/>
      <c r="E8311" s="27"/>
      <c r="F8311" t="s">
        <v>26</v>
      </c>
      <c r="G8311" s="28">
        <f>IFERROR(VLOOKUP(F8311,CARTON_LOOKUP!$A:$E,3,0),"")</f>
      </c>
      <c r="H8311" s="28">
        <f>IFERROR(VLOOKUP(F8311,CARTON_LOOKUP!$A:$E,4,0),"")</f>
      </c>
      <c r="I8311" s="28">
        <f>IFERROR(VLOOKUP(F8311,CARTON_LOOKUP!$A:$E,5,0),"")</f>
      </c>
      <c r="J8311" s="29">
        <f>IFERROR(VLOOKUP(F8311,CARTON_LOOKUP!$A:$E,2,0),"")</f>
      </c>
      <c r="K8311" s="29">
        <f>IFERROR(J8311*D8311,0)</f>
      </c>
      <c r="L8311" s="29">
        <f>IFERROR(E8311*C8311,0)</f>
      </c>
      <c r="M8311" s="29">
        <f>IFERROR((G8311*H8311*I8311/1000000)*D8311,0)</f>
      </c>
    </row>
    <row r="8312" spans="1:13" x14ac:dyDescent="0.25">
      <c r="A8312" s="16"/>
      <c r="E8312" s="27"/>
      <c r="F8312" t="s">
        <v>26</v>
      </c>
      <c r="G8312" s="28">
        <f>IFERROR(VLOOKUP(F8312,CARTON_LOOKUP!$A:$E,3,0),"")</f>
      </c>
      <c r="H8312" s="28">
        <f>IFERROR(VLOOKUP(F8312,CARTON_LOOKUP!$A:$E,4,0),"")</f>
      </c>
      <c r="I8312" s="28">
        <f>IFERROR(VLOOKUP(F8312,CARTON_LOOKUP!$A:$E,5,0),"")</f>
      </c>
      <c r="J8312" s="29">
        <f>IFERROR(VLOOKUP(F8312,CARTON_LOOKUP!$A:$E,2,0),"")</f>
      </c>
      <c r="K8312" s="29">
        <f>IFERROR(J8312*D8312,0)</f>
      </c>
      <c r="L8312" s="29">
        <f>IFERROR(E8312*C8312,0)</f>
      </c>
      <c r="M8312" s="29">
        <f>IFERROR((G8312*H8312*I8312/1000000)*D8312,0)</f>
      </c>
    </row>
    <row r="8313" spans="1:13" x14ac:dyDescent="0.25">
      <c r="A8313" s="16"/>
      <c r="E8313" s="27"/>
      <c r="F8313" t="s">
        <v>26</v>
      </c>
      <c r="G8313" s="28">
        <f>IFERROR(VLOOKUP(F8313,CARTON_LOOKUP!$A:$E,3,0),"")</f>
      </c>
      <c r="H8313" s="28">
        <f>IFERROR(VLOOKUP(F8313,CARTON_LOOKUP!$A:$E,4,0),"")</f>
      </c>
      <c r="I8313" s="28">
        <f>IFERROR(VLOOKUP(F8313,CARTON_LOOKUP!$A:$E,5,0),"")</f>
      </c>
      <c r="J8313" s="29">
        <f>IFERROR(VLOOKUP(F8313,CARTON_LOOKUP!$A:$E,2,0),"")</f>
      </c>
      <c r="K8313" s="29">
        <f>IFERROR(J8313*D8313,0)</f>
      </c>
      <c r="L8313" s="29">
        <f>IFERROR(E8313*C8313,0)</f>
      </c>
      <c r="M8313" s="29">
        <f>IFERROR((G8313*H8313*I8313/1000000)*D8313,0)</f>
      </c>
    </row>
    <row r="8314" spans="1:13" x14ac:dyDescent="0.25">
      <c r="A8314" s="16"/>
      <c r="E8314" s="27"/>
      <c r="F8314" t="s">
        <v>26</v>
      </c>
      <c r="G8314" s="28">
        <f>IFERROR(VLOOKUP(F8314,CARTON_LOOKUP!$A:$E,3,0),"")</f>
      </c>
      <c r="H8314" s="28">
        <f>IFERROR(VLOOKUP(F8314,CARTON_LOOKUP!$A:$E,4,0),"")</f>
      </c>
      <c r="I8314" s="28">
        <f>IFERROR(VLOOKUP(F8314,CARTON_LOOKUP!$A:$E,5,0),"")</f>
      </c>
      <c r="J8314" s="29">
        <f>IFERROR(VLOOKUP(F8314,CARTON_LOOKUP!$A:$E,2,0),"")</f>
      </c>
      <c r="K8314" s="29">
        <f>IFERROR(J8314*D8314,0)</f>
      </c>
      <c r="L8314" s="29">
        <f>IFERROR(E8314*C8314,0)</f>
      </c>
      <c r="M8314" s="29">
        <f>IFERROR((G8314*H8314*I8314/1000000)*D8314,0)</f>
      </c>
    </row>
    <row r="8315" spans="1:13" x14ac:dyDescent="0.25">
      <c r="A8315" s="16"/>
      <c r="E8315" s="27"/>
      <c r="F8315" t="s">
        <v>26</v>
      </c>
      <c r="G8315" s="28">
        <f>IFERROR(VLOOKUP(F8315,CARTON_LOOKUP!$A:$E,3,0),"")</f>
      </c>
      <c r="H8315" s="28">
        <f>IFERROR(VLOOKUP(F8315,CARTON_LOOKUP!$A:$E,4,0),"")</f>
      </c>
      <c r="I8315" s="28">
        <f>IFERROR(VLOOKUP(F8315,CARTON_LOOKUP!$A:$E,5,0),"")</f>
      </c>
      <c r="J8315" s="29">
        <f>IFERROR(VLOOKUP(F8315,CARTON_LOOKUP!$A:$E,2,0),"")</f>
      </c>
      <c r="K8315" s="29">
        <f>IFERROR(J8315*D8315,0)</f>
      </c>
      <c r="L8315" s="29">
        <f>IFERROR(E8315*C8315,0)</f>
      </c>
      <c r="M8315" s="29">
        <f>IFERROR((G8315*H8315*I8315/1000000)*D8315,0)</f>
      </c>
    </row>
    <row r="8316" spans="1:13" x14ac:dyDescent="0.25">
      <c r="A8316" s="16"/>
      <c r="E8316" s="27"/>
      <c r="F8316" t="s">
        <v>26</v>
      </c>
      <c r="G8316" s="28">
        <f>IFERROR(VLOOKUP(F8316,CARTON_LOOKUP!$A:$E,3,0),"")</f>
      </c>
      <c r="H8316" s="28">
        <f>IFERROR(VLOOKUP(F8316,CARTON_LOOKUP!$A:$E,4,0),"")</f>
      </c>
      <c r="I8316" s="28">
        <f>IFERROR(VLOOKUP(F8316,CARTON_LOOKUP!$A:$E,5,0),"")</f>
      </c>
      <c r="J8316" s="29">
        <f>IFERROR(VLOOKUP(F8316,CARTON_LOOKUP!$A:$E,2,0),"")</f>
      </c>
      <c r="K8316" s="29">
        <f>IFERROR(J8316*D8316,0)</f>
      </c>
      <c r="L8316" s="29">
        <f>IFERROR(E8316*C8316,0)</f>
      </c>
      <c r="M8316" s="29">
        <f>IFERROR((G8316*H8316*I8316/1000000)*D8316,0)</f>
      </c>
    </row>
    <row r="8317" spans="1:13" x14ac:dyDescent="0.25">
      <c r="A8317" s="16"/>
      <c r="E8317" s="27"/>
      <c r="F8317" t="s">
        <v>26</v>
      </c>
      <c r="G8317" s="28">
        <f>IFERROR(VLOOKUP(F8317,CARTON_LOOKUP!$A:$E,3,0),"")</f>
      </c>
      <c r="H8317" s="28">
        <f>IFERROR(VLOOKUP(F8317,CARTON_LOOKUP!$A:$E,4,0),"")</f>
      </c>
      <c r="I8317" s="28">
        <f>IFERROR(VLOOKUP(F8317,CARTON_LOOKUP!$A:$E,5,0),"")</f>
      </c>
      <c r="J8317" s="29">
        <f>IFERROR(VLOOKUP(F8317,CARTON_LOOKUP!$A:$E,2,0),"")</f>
      </c>
      <c r="K8317" s="29">
        <f>IFERROR(J8317*D8317,0)</f>
      </c>
      <c r="L8317" s="29">
        <f>IFERROR(E8317*C8317,0)</f>
      </c>
      <c r="M8317" s="29">
        <f>IFERROR((G8317*H8317*I8317/1000000)*D8317,0)</f>
      </c>
    </row>
    <row r="8318" spans="1:13" x14ac:dyDescent="0.25">
      <c r="A8318" s="16"/>
      <c r="E8318" s="27"/>
      <c r="F8318" t="s">
        <v>26</v>
      </c>
      <c r="G8318" s="28">
        <f>IFERROR(VLOOKUP(F8318,CARTON_LOOKUP!$A:$E,3,0),"")</f>
      </c>
      <c r="H8318" s="28">
        <f>IFERROR(VLOOKUP(F8318,CARTON_LOOKUP!$A:$E,4,0),"")</f>
      </c>
      <c r="I8318" s="28">
        <f>IFERROR(VLOOKUP(F8318,CARTON_LOOKUP!$A:$E,5,0),"")</f>
      </c>
      <c r="J8318" s="29">
        <f>IFERROR(VLOOKUP(F8318,CARTON_LOOKUP!$A:$E,2,0),"")</f>
      </c>
      <c r="K8318" s="29">
        <f>IFERROR(J8318*D8318,0)</f>
      </c>
      <c r="L8318" s="29">
        <f>IFERROR(E8318*C8318,0)</f>
      </c>
      <c r="M8318" s="29">
        <f>IFERROR((G8318*H8318*I8318/1000000)*D8318,0)</f>
      </c>
    </row>
    <row r="8319" spans="1:13" x14ac:dyDescent="0.25">
      <c r="A8319" s="16"/>
      <c r="E8319" s="27"/>
      <c r="F8319" t="s">
        <v>26</v>
      </c>
      <c r="G8319" s="28">
        <f>IFERROR(VLOOKUP(F8319,CARTON_LOOKUP!$A:$E,3,0),"")</f>
      </c>
      <c r="H8319" s="28">
        <f>IFERROR(VLOOKUP(F8319,CARTON_LOOKUP!$A:$E,4,0),"")</f>
      </c>
      <c r="I8319" s="28">
        <f>IFERROR(VLOOKUP(F8319,CARTON_LOOKUP!$A:$E,5,0),"")</f>
      </c>
      <c r="J8319" s="29">
        <f>IFERROR(VLOOKUP(F8319,CARTON_LOOKUP!$A:$E,2,0),"")</f>
      </c>
      <c r="K8319" s="29">
        <f>IFERROR(J8319*D8319,0)</f>
      </c>
      <c r="L8319" s="29">
        <f>IFERROR(E8319*C8319,0)</f>
      </c>
      <c r="M8319" s="29">
        <f>IFERROR((G8319*H8319*I8319/1000000)*D8319,0)</f>
      </c>
    </row>
    <row r="8320" spans="1:13" x14ac:dyDescent="0.25">
      <c r="A8320" s="16"/>
      <c r="E8320" s="27"/>
      <c r="F8320" t="s">
        <v>26</v>
      </c>
      <c r="G8320" s="28">
        <f>IFERROR(VLOOKUP(F8320,CARTON_LOOKUP!$A:$E,3,0),"")</f>
      </c>
      <c r="H8320" s="28">
        <f>IFERROR(VLOOKUP(F8320,CARTON_LOOKUP!$A:$E,4,0),"")</f>
      </c>
      <c r="I8320" s="28">
        <f>IFERROR(VLOOKUP(F8320,CARTON_LOOKUP!$A:$E,5,0),"")</f>
      </c>
      <c r="J8320" s="29">
        <f>IFERROR(VLOOKUP(F8320,CARTON_LOOKUP!$A:$E,2,0),"")</f>
      </c>
      <c r="K8320" s="29">
        <f>IFERROR(J8320*D8320,0)</f>
      </c>
      <c r="L8320" s="29">
        <f>IFERROR(E8320*C8320,0)</f>
      </c>
      <c r="M8320" s="29">
        <f>IFERROR((G8320*H8320*I8320/1000000)*D8320,0)</f>
      </c>
    </row>
    <row r="8321" spans="1:13" x14ac:dyDescent="0.25">
      <c r="A8321" s="16"/>
      <c r="E8321" s="27"/>
      <c r="F8321" t="s">
        <v>26</v>
      </c>
      <c r="G8321" s="28">
        <f>IFERROR(VLOOKUP(F8321,CARTON_LOOKUP!$A:$E,3,0),"")</f>
      </c>
      <c r="H8321" s="28">
        <f>IFERROR(VLOOKUP(F8321,CARTON_LOOKUP!$A:$E,4,0),"")</f>
      </c>
      <c r="I8321" s="28">
        <f>IFERROR(VLOOKUP(F8321,CARTON_LOOKUP!$A:$E,5,0),"")</f>
      </c>
      <c r="J8321" s="29">
        <f>IFERROR(VLOOKUP(F8321,CARTON_LOOKUP!$A:$E,2,0),"")</f>
      </c>
      <c r="K8321" s="29">
        <f>IFERROR(J8321*D8321,0)</f>
      </c>
      <c r="L8321" s="29">
        <f>IFERROR(E8321*C8321,0)</f>
      </c>
      <c r="M8321" s="29">
        <f>IFERROR((G8321*H8321*I8321/1000000)*D8321,0)</f>
      </c>
    </row>
    <row r="8322" spans="1:13" x14ac:dyDescent="0.25">
      <c r="A8322" s="16"/>
      <c r="E8322" s="27"/>
      <c r="F8322" t="s">
        <v>26</v>
      </c>
      <c r="G8322" s="28">
        <f>IFERROR(VLOOKUP(F8322,CARTON_LOOKUP!$A:$E,3,0),"")</f>
      </c>
      <c r="H8322" s="28">
        <f>IFERROR(VLOOKUP(F8322,CARTON_LOOKUP!$A:$E,4,0),"")</f>
      </c>
      <c r="I8322" s="28">
        <f>IFERROR(VLOOKUP(F8322,CARTON_LOOKUP!$A:$E,5,0),"")</f>
      </c>
      <c r="J8322" s="29">
        <f>IFERROR(VLOOKUP(F8322,CARTON_LOOKUP!$A:$E,2,0),"")</f>
      </c>
      <c r="K8322" s="29">
        <f>IFERROR(J8322*D8322,0)</f>
      </c>
      <c r="L8322" s="29">
        <f>IFERROR(E8322*C8322,0)</f>
      </c>
      <c r="M8322" s="29">
        <f>IFERROR((G8322*H8322*I8322/1000000)*D8322,0)</f>
      </c>
    </row>
    <row r="8323" spans="1:13" x14ac:dyDescent="0.25">
      <c r="A8323" s="16"/>
      <c r="E8323" s="27"/>
      <c r="F8323" t="s">
        <v>26</v>
      </c>
      <c r="G8323" s="28">
        <f>IFERROR(VLOOKUP(F8323,CARTON_LOOKUP!$A:$E,3,0),"")</f>
      </c>
      <c r="H8323" s="28">
        <f>IFERROR(VLOOKUP(F8323,CARTON_LOOKUP!$A:$E,4,0),"")</f>
      </c>
      <c r="I8323" s="28">
        <f>IFERROR(VLOOKUP(F8323,CARTON_LOOKUP!$A:$E,5,0),"")</f>
      </c>
      <c r="J8323" s="29">
        <f>IFERROR(VLOOKUP(F8323,CARTON_LOOKUP!$A:$E,2,0),"")</f>
      </c>
      <c r="K8323" s="29">
        <f>IFERROR(J8323*D8323,0)</f>
      </c>
      <c r="L8323" s="29">
        <f>IFERROR(E8323*C8323,0)</f>
      </c>
      <c r="M8323" s="29">
        <f>IFERROR((G8323*H8323*I8323/1000000)*D8323,0)</f>
      </c>
    </row>
    <row r="8324" spans="1:13" x14ac:dyDescent="0.25">
      <c r="A8324" s="16"/>
      <c r="E8324" s="27"/>
      <c r="F8324" t="s">
        <v>26</v>
      </c>
      <c r="G8324" s="28">
        <f>IFERROR(VLOOKUP(F8324,CARTON_LOOKUP!$A:$E,3,0),"")</f>
      </c>
      <c r="H8324" s="28">
        <f>IFERROR(VLOOKUP(F8324,CARTON_LOOKUP!$A:$E,4,0),"")</f>
      </c>
      <c r="I8324" s="28">
        <f>IFERROR(VLOOKUP(F8324,CARTON_LOOKUP!$A:$E,5,0),"")</f>
      </c>
      <c r="J8324" s="29">
        <f>IFERROR(VLOOKUP(F8324,CARTON_LOOKUP!$A:$E,2,0),"")</f>
      </c>
      <c r="K8324" s="29">
        <f>IFERROR(J8324*D8324,0)</f>
      </c>
      <c r="L8324" s="29">
        <f>IFERROR(E8324*C8324,0)</f>
      </c>
      <c r="M8324" s="29">
        <f>IFERROR((G8324*H8324*I8324/1000000)*D8324,0)</f>
      </c>
    </row>
    <row r="8325" spans="1:13" x14ac:dyDescent="0.25">
      <c r="A8325" s="16"/>
      <c r="E8325" s="27"/>
      <c r="F8325" t="s">
        <v>26</v>
      </c>
      <c r="G8325" s="28">
        <f>IFERROR(VLOOKUP(F8325,CARTON_LOOKUP!$A:$E,3,0),"")</f>
      </c>
      <c r="H8325" s="28">
        <f>IFERROR(VLOOKUP(F8325,CARTON_LOOKUP!$A:$E,4,0),"")</f>
      </c>
      <c r="I8325" s="28">
        <f>IFERROR(VLOOKUP(F8325,CARTON_LOOKUP!$A:$E,5,0),"")</f>
      </c>
      <c r="J8325" s="29">
        <f>IFERROR(VLOOKUP(F8325,CARTON_LOOKUP!$A:$E,2,0),"")</f>
      </c>
      <c r="K8325" s="29">
        <f>IFERROR(J8325*D8325,0)</f>
      </c>
      <c r="L8325" s="29">
        <f>IFERROR(E8325*C8325,0)</f>
      </c>
      <c r="M8325" s="29">
        <f>IFERROR((G8325*H8325*I8325/1000000)*D8325,0)</f>
      </c>
    </row>
    <row r="8326" spans="1:13" x14ac:dyDescent="0.25">
      <c r="A8326" s="16"/>
      <c r="E8326" s="27"/>
      <c r="F8326" t="s">
        <v>26</v>
      </c>
      <c r="G8326" s="28">
        <f>IFERROR(VLOOKUP(F8326,CARTON_LOOKUP!$A:$E,3,0),"")</f>
      </c>
      <c r="H8326" s="28">
        <f>IFERROR(VLOOKUP(F8326,CARTON_LOOKUP!$A:$E,4,0),"")</f>
      </c>
      <c r="I8326" s="28">
        <f>IFERROR(VLOOKUP(F8326,CARTON_LOOKUP!$A:$E,5,0),"")</f>
      </c>
      <c r="J8326" s="29">
        <f>IFERROR(VLOOKUP(F8326,CARTON_LOOKUP!$A:$E,2,0),"")</f>
      </c>
      <c r="K8326" s="29">
        <f>IFERROR(J8326*D8326,0)</f>
      </c>
      <c r="L8326" s="29">
        <f>IFERROR(E8326*C8326,0)</f>
      </c>
      <c r="M8326" s="29">
        <f>IFERROR((G8326*H8326*I8326/1000000)*D8326,0)</f>
      </c>
    </row>
    <row r="8327" spans="1:13" x14ac:dyDescent="0.25">
      <c r="A8327" s="16"/>
      <c r="E8327" s="27"/>
      <c r="F8327" t="s">
        <v>26</v>
      </c>
      <c r="G8327" s="28">
        <f>IFERROR(VLOOKUP(F8327,CARTON_LOOKUP!$A:$E,3,0),"")</f>
      </c>
      <c r="H8327" s="28">
        <f>IFERROR(VLOOKUP(F8327,CARTON_LOOKUP!$A:$E,4,0),"")</f>
      </c>
      <c r="I8327" s="28">
        <f>IFERROR(VLOOKUP(F8327,CARTON_LOOKUP!$A:$E,5,0),"")</f>
      </c>
      <c r="J8327" s="29">
        <f>IFERROR(VLOOKUP(F8327,CARTON_LOOKUP!$A:$E,2,0),"")</f>
      </c>
      <c r="K8327" s="29">
        <f>IFERROR(J8327*D8327,0)</f>
      </c>
      <c r="L8327" s="29">
        <f>IFERROR(E8327*C8327,0)</f>
      </c>
      <c r="M8327" s="29">
        <f>IFERROR((G8327*H8327*I8327/1000000)*D8327,0)</f>
      </c>
    </row>
    <row r="8328" spans="1:13" x14ac:dyDescent="0.25">
      <c r="A8328" s="16"/>
      <c r="E8328" s="27"/>
      <c r="F8328" t="s">
        <v>26</v>
      </c>
      <c r="G8328" s="28">
        <f>IFERROR(VLOOKUP(F8328,CARTON_LOOKUP!$A:$E,3,0),"")</f>
      </c>
      <c r="H8328" s="28">
        <f>IFERROR(VLOOKUP(F8328,CARTON_LOOKUP!$A:$E,4,0),"")</f>
      </c>
      <c r="I8328" s="28">
        <f>IFERROR(VLOOKUP(F8328,CARTON_LOOKUP!$A:$E,5,0),"")</f>
      </c>
      <c r="J8328" s="29">
        <f>IFERROR(VLOOKUP(F8328,CARTON_LOOKUP!$A:$E,2,0),"")</f>
      </c>
      <c r="K8328" s="29">
        <f>IFERROR(J8328*D8328,0)</f>
      </c>
      <c r="L8328" s="29">
        <f>IFERROR(E8328*C8328,0)</f>
      </c>
      <c r="M8328" s="29">
        <f>IFERROR((G8328*H8328*I8328/1000000)*D8328,0)</f>
      </c>
    </row>
    <row r="8329" spans="1:13" x14ac:dyDescent="0.25">
      <c r="A8329" s="16"/>
      <c r="E8329" s="27"/>
      <c r="F8329" t="s">
        <v>26</v>
      </c>
      <c r="G8329" s="28">
        <f>IFERROR(VLOOKUP(F8329,CARTON_LOOKUP!$A:$E,3,0),"")</f>
      </c>
      <c r="H8329" s="28">
        <f>IFERROR(VLOOKUP(F8329,CARTON_LOOKUP!$A:$E,4,0),"")</f>
      </c>
      <c r="I8329" s="28">
        <f>IFERROR(VLOOKUP(F8329,CARTON_LOOKUP!$A:$E,5,0),"")</f>
      </c>
      <c r="J8329" s="29">
        <f>IFERROR(VLOOKUP(F8329,CARTON_LOOKUP!$A:$E,2,0),"")</f>
      </c>
      <c r="K8329" s="29">
        <f>IFERROR(J8329*D8329,0)</f>
      </c>
      <c r="L8329" s="29">
        <f>IFERROR(E8329*C8329,0)</f>
      </c>
      <c r="M8329" s="29">
        <f>IFERROR((G8329*H8329*I8329/1000000)*D8329,0)</f>
      </c>
    </row>
    <row r="8330" spans="1:13" x14ac:dyDescent="0.25">
      <c r="A8330" s="16"/>
      <c r="E8330" s="27"/>
      <c r="F8330" t="s">
        <v>26</v>
      </c>
      <c r="G8330" s="28">
        <f>IFERROR(VLOOKUP(F8330,CARTON_LOOKUP!$A:$E,3,0),"")</f>
      </c>
      <c r="H8330" s="28">
        <f>IFERROR(VLOOKUP(F8330,CARTON_LOOKUP!$A:$E,4,0),"")</f>
      </c>
      <c r="I8330" s="28">
        <f>IFERROR(VLOOKUP(F8330,CARTON_LOOKUP!$A:$E,5,0),"")</f>
      </c>
      <c r="J8330" s="29">
        <f>IFERROR(VLOOKUP(F8330,CARTON_LOOKUP!$A:$E,2,0),"")</f>
      </c>
      <c r="K8330" s="29">
        <f>IFERROR(J8330*D8330,0)</f>
      </c>
      <c r="L8330" s="29">
        <f>IFERROR(E8330*C8330,0)</f>
      </c>
      <c r="M8330" s="29">
        <f>IFERROR((G8330*H8330*I8330/1000000)*D8330,0)</f>
      </c>
    </row>
    <row r="8331" spans="1:13" x14ac:dyDescent="0.25">
      <c r="A8331" s="16"/>
      <c r="E8331" s="27"/>
      <c r="F8331" t="s">
        <v>26</v>
      </c>
      <c r="G8331" s="28">
        <f>IFERROR(VLOOKUP(F8331,CARTON_LOOKUP!$A:$E,3,0),"")</f>
      </c>
      <c r="H8331" s="28">
        <f>IFERROR(VLOOKUP(F8331,CARTON_LOOKUP!$A:$E,4,0),"")</f>
      </c>
      <c r="I8331" s="28">
        <f>IFERROR(VLOOKUP(F8331,CARTON_LOOKUP!$A:$E,5,0),"")</f>
      </c>
      <c r="J8331" s="29">
        <f>IFERROR(VLOOKUP(F8331,CARTON_LOOKUP!$A:$E,2,0),"")</f>
      </c>
      <c r="K8331" s="29">
        <f>IFERROR(J8331*D8331,0)</f>
      </c>
      <c r="L8331" s="29">
        <f>IFERROR(E8331*C8331,0)</f>
      </c>
      <c r="M8331" s="29">
        <f>IFERROR((G8331*H8331*I8331/1000000)*D8331,0)</f>
      </c>
    </row>
    <row r="8332" spans="1:13" x14ac:dyDescent="0.25">
      <c r="A8332" s="16"/>
      <c r="E8332" s="27"/>
      <c r="F8332" t="s">
        <v>26</v>
      </c>
      <c r="G8332" s="28">
        <f>IFERROR(VLOOKUP(F8332,CARTON_LOOKUP!$A:$E,3,0),"")</f>
      </c>
      <c r="H8332" s="28">
        <f>IFERROR(VLOOKUP(F8332,CARTON_LOOKUP!$A:$E,4,0),"")</f>
      </c>
      <c r="I8332" s="28">
        <f>IFERROR(VLOOKUP(F8332,CARTON_LOOKUP!$A:$E,5,0),"")</f>
      </c>
      <c r="J8332" s="29">
        <f>IFERROR(VLOOKUP(F8332,CARTON_LOOKUP!$A:$E,2,0),"")</f>
      </c>
      <c r="K8332" s="29">
        <f>IFERROR(J8332*D8332,0)</f>
      </c>
      <c r="L8332" s="29">
        <f>IFERROR(E8332*C8332,0)</f>
      </c>
      <c r="M8332" s="29">
        <f>IFERROR((G8332*H8332*I8332/1000000)*D8332,0)</f>
      </c>
    </row>
    <row r="8333" spans="1:13" x14ac:dyDescent="0.25">
      <c r="A8333" s="16"/>
      <c r="E8333" s="27"/>
      <c r="F8333" t="s">
        <v>26</v>
      </c>
      <c r="G8333" s="28">
        <f>IFERROR(VLOOKUP(F8333,CARTON_LOOKUP!$A:$E,3,0),"")</f>
      </c>
      <c r="H8333" s="28">
        <f>IFERROR(VLOOKUP(F8333,CARTON_LOOKUP!$A:$E,4,0),"")</f>
      </c>
      <c r="I8333" s="28">
        <f>IFERROR(VLOOKUP(F8333,CARTON_LOOKUP!$A:$E,5,0),"")</f>
      </c>
      <c r="J8333" s="29">
        <f>IFERROR(VLOOKUP(F8333,CARTON_LOOKUP!$A:$E,2,0),"")</f>
      </c>
      <c r="K8333" s="29">
        <f>IFERROR(J8333*D8333,0)</f>
      </c>
      <c r="L8333" s="29">
        <f>IFERROR(E8333*C8333,0)</f>
      </c>
      <c r="M8333" s="29">
        <f>IFERROR((G8333*H8333*I8333/1000000)*D8333,0)</f>
      </c>
    </row>
    <row r="8334" spans="1:13" x14ac:dyDescent="0.25">
      <c r="A8334" s="16"/>
      <c r="E8334" s="27"/>
      <c r="F8334" t="s">
        <v>26</v>
      </c>
      <c r="G8334" s="28">
        <f>IFERROR(VLOOKUP(F8334,CARTON_LOOKUP!$A:$E,3,0),"")</f>
      </c>
      <c r="H8334" s="28">
        <f>IFERROR(VLOOKUP(F8334,CARTON_LOOKUP!$A:$E,4,0),"")</f>
      </c>
      <c r="I8334" s="28">
        <f>IFERROR(VLOOKUP(F8334,CARTON_LOOKUP!$A:$E,5,0),"")</f>
      </c>
      <c r="J8334" s="29">
        <f>IFERROR(VLOOKUP(F8334,CARTON_LOOKUP!$A:$E,2,0),"")</f>
      </c>
      <c r="K8334" s="29">
        <f>IFERROR(J8334*D8334,0)</f>
      </c>
      <c r="L8334" s="29">
        <f>IFERROR(E8334*C8334,0)</f>
      </c>
      <c r="M8334" s="29">
        <f>IFERROR((G8334*H8334*I8334/1000000)*D8334,0)</f>
      </c>
    </row>
    <row r="8335" spans="1:13" x14ac:dyDescent="0.25">
      <c r="A8335" s="16"/>
      <c r="E8335" s="27"/>
      <c r="F8335" t="s">
        <v>26</v>
      </c>
      <c r="G8335" s="28">
        <f>IFERROR(VLOOKUP(F8335,CARTON_LOOKUP!$A:$E,3,0),"")</f>
      </c>
      <c r="H8335" s="28">
        <f>IFERROR(VLOOKUP(F8335,CARTON_LOOKUP!$A:$E,4,0),"")</f>
      </c>
      <c r="I8335" s="28">
        <f>IFERROR(VLOOKUP(F8335,CARTON_LOOKUP!$A:$E,5,0),"")</f>
      </c>
      <c r="J8335" s="29">
        <f>IFERROR(VLOOKUP(F8335,CARTON_LOOKUP!$A:$E,2,0),"")</f>
      </c>
      <c r="K8335" s="29">
        <f>IFERROR(J8335*D8335,0)</f>
      </c>
      <c r="L8335" s="29">
        <f>IFERROR(E8335*C8335,0)</f>
      </c>
      <c r="M8335" s="29">
        <f>IFERROR((G8335*H8335*I8335/1000000)*D8335,0)</f>
      </c>
    </row>
    <row r="8336" spans="1:13" x14ac:dyDescent="0.25">
      <c r="A8336" s="16"/>
      <c r="E8336" s="27"/>
      <c r="F8336" t="s">
        <v>26</v>
      </c>
      <c r="G8336" s="28">
        <f>IFERROR(VLOOKUP(F8336,CARTON_LOOKUP!$A:$E,3,0),"")</f>
      </c>
      <c r="H8336" s="28">
        <f>IFERROR(VLOOKUP(F8336,CARTON_LOOKUP!$A:$E,4,0),"")</f>
      </c>
      <c r="I8336" s="28">
        <f>IFERROR(VLOOKUP(F8336,CARTON_LOOKUP!$A:$E,5,0),"")</f>
      </c>
      <c r="J8336" s="29">
        <f>IFERROR(VLOOKUP(F8336,CARTON_LOOKUP!$A:$E,2,0),"")</f>
      </c>
      <c r="K8336" s="29">
        <f>IFERROR(J8336*D8336,0)</f>
      </c>
      <c r="L8336" s="29">
        <f>IFERROR(E8336*C8336,0)</f>
      </c>
      <c r="M8336" s="29">
        <f>IFERROR((G8336*H8336*I8336/1000000)*D8336,0)</f>
      </c>
    </row>
    <row r="8337" spans="1:13" x14ac:dyDescent="0.25">
      <c r="A8337" s="16"/>
      <c r="E8337" s="27"/>
      <c r="F8337" t="s">
        <v>26</v>
      </c>
      <c r="G8337" s="28">
        <f>IFERROR(VLOOKUP(F8337,CARTON_LOOKUP!$A:$E,3,0),"")</f>
      </c>
      <c r="H8337" s="28">
        <f>IFERROR(VLOOKUP(F8337,CARTON_LOOKUP!$A:$E,4,0),"")</f>
      </c>
      <c r="I8337" s="28">
        <f>IFERROR(VLOOKUP(F8337,CARTON_LOOKUP!$A:$E,5,0),"")</f>
      </c>
      <c r="J8337" s="29">
        <f>IFERROR(VLOOKUP(F8337,CARTON_LOOKUP!$A:$E,2,0),"")</f>
      </c>
      <c r="K8337" s="29">
        <f>IFERROR(J8337*D8337,0)</f>
      </c>
      <c r="L8337" s="29">
        <f>IFERROR(E8337*C8337,0)</f>
      </c>
      <c r="M8337" s="29">
        <f>IFERROR((G8337*H8337*I8337/1000000)*D8337,0)</f>
      </c>
    </row>
    <row r="8338" spans="1:13" x14ac:dyDescent="0.25">
      <c r="A8338" s="16"/>
      <c r="E8338" s="27"/>
      <c r="F8338" t="s">
        <v>26</v>
      </c>
      <c r="G8338" s="28">
        <f>IFERROR(VLOOKUP(F8338,CARTON_LOOKUP!$A:$E,3,0),"")</f>
      </c>
      <c r="H8338" s="28">
        <f>IFERROR(VLOOKUP(F8338,CARTON_LOOKUP!$A:$E,4,0),"")</f>
      </c>
      <c r="I8338" s="28">
        <f>IFERROR(VLOOKUP(F8338,CARTON_LOOKUP!$A:$E,5,0),"")</f>
      </c>
      <c r="J8338" s="29">
        <f>IFERROR(VLOOKUP(F8338,CARTON_LOOKUP!$A:$E,2,0),"")</f>
      </c>
      <c r="K8338" s="29">
        <f>IFERROR(J8338*D8338,0)</f>
      </c>
      <c r="L8338" s="29">
        <f>IFERROR(E8338*C8338,0)</f>
      </c>
      <c r="M8338" s="29">
        <f>IFERROR((G8338*H8338*I8338/1000000)*D8338,0)</f>
      </c>
    </row>
    <row r="8339" spans="1:13" x14ac:dyDescent="0.25">
      <c r="A8339" s="16"/>
      <c r="E8339" s="27"/>
      <c r="F8339" t="s">
        <v>26</v>
      </c>
      <c r="G8339" s="28">
        <f>IFERROR(VLOOKUP(F8339,CARTON_LOOKUP!$A:$E,3,0),"")</f>
      </c>
      <c r="H8339" s="28">
        <f>IFERROR(VLOOKUP(F8339,CARTON_LOOKUP!$A:$E,4,0),"")</f>
      </c>
      <c r="I8339" s="28">
        <f>IFERROR(VLOOKUP(F8339,CARTON_LOOKUP!$A:$E,5,0),"")</f>
      </c>
      <c r="J8339" s="29">
        <f>IFERROR(VLOOKUP(F8339,CARTON_LOOKUP!$A:$E,2,0),"")</f>
      </c>
      <c r="K8339" s="29">
        <f>IFERROR(J8339*D8339,0)</f>
      </c>
      <c r="L8339" s="29">
        <f>IFERROR(E8339*C8339,0)</f>
      </c>
      <c r="M8339" s="29">
        <f>IFERROR((G8339*H8339*I8339/1000000)*D8339,0)</f>
      </c>
    </row>
    <row r="8340" spans="1:13" x14ac:dyDescent="0.25">
      <c r="A8340" s="16"/>
      <c r="E8340" s="27"/>
      <c r="F8340" t="s">
        <v>26</v>
      </c>
      <c r="G8340" s="28">
        <f>IFERROR(VLOOKUP(F8340,CARTON_LOOKUP!$A:$E,3,0),"")</f>
      </c>
      <c r="H8340" s="28">
        <f>IFERROR(VLOOKUP(F8340,CARTON_LOOKUP!$A:$E,4,0),"")</f>
      </c>
      <c r="I8340" s="28">
        <f>IFERROR(VLOOKUP(F8340,CARTON_LOOKUP!$A:$E,5,0),"")</f>
      </c>
      <c r="J8340" s="29">
        <f>IFERROR(VLOOKUP(F8340,CARTON_LOOKUP!$A:$E,2,0),"")</f>
      </c>
      <c r="K8340" s="29">
        <f>IFERROR(J8340*D8340,0)</f>
      </c>
      <c r="L8340" s="29">
        <f>IFERROR(E8340*C8340,0)</f>
      </c>
      <c r="M8340" s="29">
        <f>IFERROR((G8340*H8340*I8340/1000000)*D8340,0)</f>
      </c>
    </row>
    <row r="8341" spans="1:13" x14ac:dyDescent="0.25">
      <c r="A8341" s="16"/>
      <c r="E8341" s="27"/>
      <c r="F8341" t="s">
        <v>26</v>
      </c>
      <c r="G8341" s="28">
        <f>IFERROR(VLOOKUP(F8341,CARTON_LOOKUP!$A:$E,3,0),"")</f>
      </c>
      <c r="H8341" s="28">
        <f>IFERROR(VLOOKUP(F8341,CARTON_LOOKUP!$A:$E,4,0),"")</f>
      </c>
      <c r="I8341" s="28">
        <f>IFERROR(VLOOKUP(F8341,CARTON_LOOKUP!$A:$E,5,0),"")</f>
      </c>
      <c r="J8341" s="29">
        <f>IFERROR(VLOOKUP(F8341,CARTON_LOOKUP!$A:$E,2,0),"")</f>
      </c>
      <c r="K8341" s="29">
        <f>IFERROR(J8341*D8341,0)</f>
      </c>
      <c r="L8341" s="29">
        <f>IFERROR(E8341*C8341,0)</f>
      </c>
      <c r="M8341" s="29">
        <f>IFERROR((G8341*H8341*I8341/1000000)*D8341,0)</f>
      </c>
    </row>
    <row r="8342" spans="1:13" x14ac:dyDescent="0.25">
      <c r="A8342" s="16"/>
      <c r="E8342" s="27"/>
      <c r="F8342" t="s">
        <v>26</v>
      </c>
      <c r="G8342" s="28">
        <f>IFERROR(VLOOKUP(F8342,CARTON_LOOKUP!$A:$E,3,0),"")</f>
      </c>
      <c r="H8342" s="28">
        <f>IFERROR(VLOOKUP(F8342,CARTON_LOOKUP!$A:$E,4,0),"")</f>
      </c>
      <c r="I8342" s="28">
        <f>IFERROR(VLOOKUP(F8342,CARTON_LOOKUP!$A:$E,5,0),"")</f>
      </c>
      <c r="J8342" s="29">
        <f>IFERROR(VLOOKUP(F8342,CARTON_LOOKUP!$A:$E,2,0),"")</f>
      </c>
      <c r="K8342" s="29">
        <f>IFERROR(J8342*D8342,0)</f>
      </c>
      <c r="L8342" s="29">
        <f>IFERROR(E8342*C8342,0)</f>
      </c>
      <c r="M8342" s="29">
        <f>IFERROR((G8342*H8342*I8342/1000000)*D8342,0)</f>
      </c>
    </row>
    <row r="8343" spans="1:13" x14ac:dyDescent="0.25">
      <c r="A8343" s="16"/>
      <c r="E8343" s="27"/>
      <c r="F8343" t="s">
        <v>26</v>
      </c>
      <c r="G8343" s="28">
        <f>IFERROR(VLOOKUP(F8343,CARTON_LOOKUP!$A:$E,3,0),"")</f>
      </c>
      <c r="H8343" s="28">
        <f>IFERROR(VLOOKUP(F8343,CARTON_LOOKUP!$A:$E,4,0),"")</f>
      </c>
      <c r="I8343" s="28">
        <f>IFERROR(VLOOKUP(F8343,CARTON_LOOKUP!$A:$E,5,0),"")</f>
      </c>
      <c r="J8343" s="29">
        <f>IFERROR(VLOOKUP(F8343,CARTON_LOOKUP!$A:$E,2,0),"")</f>
      </c>
      <c r="K8343" s="29">
        <f>IFERROR(J8343*D8343,0)</f>
      </c>
      <c r="L8343" s="29">
        <f>IFERROR(E8343*C8343,0)</f>
      </c>
      <c r="M8343" s="29">
        <f>IFERROR((G8343*H8343*I8343/1000000)*D8343,0)</f>
      </c>
    </row>
    <row r="8344" spans="1:13" x14ac:dyDescent="0.25">
      <c r="A8344" s="16"/>
      <c r="E8344" s="27"/>
      <c r="F8344" t="s">
        <v>26</v>
      </c>
      <c r="G8344" s="28">
        <f>IFERROR(VLOOKUP(F8344,CARTON_LOOKUP!$A:$E,3,0),"")</f>
      </c>
      <c r="H8344" s="28">
        <f>IFERROR(VLOOKUP(F8344,CARTON_LOOKUP!$A:$E,4,0),"")</f>
      </c>
      <c r="I8344" s="28">
        <f>IFERROR(VLOOKUP(F8344,CARTON_LOOKUP!$A:$E,5,0),"")</f>
      </c>
      <c r="J8344" s="29">
        <f>IFERROR(VLOOKUP(F8344,CARTON_LOOKUP!$A:$E,2,0),"")</f>
      </c>
      <c r="K8344" s="29">
        <f>IFERROR(J8344*D8344,0)</f>
      </c>
      <c r="L8344" s="29">
        <f>IFERROR(E8344*C8344,0)</f>
      </c>
      <c r="M8344" s="29">
        <f>IFERROR((G8344*H8344*I8344/1000000)*D8344,0)</f>
      </c>
    </row>
    <row r="8345" spans="1:13" x14ac:dyDescent="0.25">
      <c r="A8345" s="16"/>
      <c r="E8345" s="27"/>
      <c r="F8345" t="s">
        <v>26</v>
      </c>
      <c r="G8345" s="28">
        <f>IFERROR(VLOOKUP(F8345,CARTON_LOOKUP!$A:$E,3,0),"")</f>
      </c>
      <c r="H8345" s="28">
        <f>IFERROR(VLOOKUP(F8345,CARTON_LOOKUP!$A:$E,4,0),"")</f>
      </c>
      <c r="I8345" s="28">
        <f>IFERROR(VLOOKUP(F8345,CARTON_LOOKUP!$A:$E,5,0),"")</f>
      </c>
      <c r="J8345" s="29">
        <f>IFERROR(VLOOKUP(F8345,CARTON_LOOKUP!$A:$E,2,0),"")</f>
      </c>
      <c r="K8345" s="29">
        <f>IFERROR(J8345*D8345,0)</f>
      </c>
      <c r="L8345" s="29">
        <f>IFERROR(E8345*C8345,0)</f>
      </c>
      <c r="M8345" s="29">
        <f>IFERROR((G8345*H8345*I8345/1000000)*D8345,0)</f>
      </c>
    </row>
    <row r="8346" spans="1:13" x14ac:dyDescent="0.25">
      <c r="A8346" s="16"/>
      <c r="E8346" s="27"/>
      <c r="F8346" t="s">
        <v>26</v>
      </c>
      <c r="G8346" s="28">
        <f>IFERROR(VLOOKUP(F8346,CARTON_LOOKUP!$A:$E,3,0),"")</f>
      </c>
      <c r="H8346" s="28">
        <f>IFERROR(VLOOKUP(F8346,CARTON_LOOKUP!$A:$E,4,0),"")</f>
      </c>
      <c r="I8346" s="28">
        <f>IFERROR(VLOOKUP(F8346,CARTON_LOOKUP!$A:$E,5,0),"")</f>
      </c>
      <c r="J8346" s="29">
        <f>IFERROR(VLOOKUP(F8346,CARTON_LOOKUP!$A:$E,2,0),"")</f>
      </c>
      <c r="K8346" s="29">
        <f>IFERROR(J8346*D8346,0)</f>
      </c>
      <c r="L8346" s="29">
        <f>IFERROR(E8346*C8346,0)</f>
      </c>
      <c r="M8346" s="29">
        <f>IFERROR((G8346*H8346*I8346/1000000)*D8346,0)</f>
      </c>
    </row>
    <row r="8347" spans="1:13" x14ac:dyDescent="0.25">
      <c r="A8347" s="16"/>
      <c r="E8347" s="27"/>
      <c r="F8347" t="s">
        <v>26</v>
      </c>
      <c r="G8347" s="28">
        <f>IFERROR(VLOOKUP(F8347,CARTON_LOOKUP!$A:$E,3,0),"")</f>
      </c>
      <c r="H8347" s="28">
        <f>IFERROR(VLOOKUP(F8347,CARTON_LOOKUP!$A:$E,4,0),"")</f>
      </c>
      <c r="I8347" s="28">
        <f>IFERROR(VLOOKUP(F8347,CARTON_LOOKUP!$A:$E,5,0),"")</f>
      </c>
      <c r="J8347" s="29">
        <f>IFERROR(VLOOKUP(F8347,CARTON_LOOKUP!$A:$E,2,0),"")</f>
      </c>
      <c r="K8347" s="29">
        <f>IFERROR(J8347*D8347,0)</f>
      </c>
      <c r="L8347" s="29">
        <f>IFERROR(E8347*C8347,0)</f>
      </c>
      <c r="M8347" s="29">
        <f>IFERROR((G8347*H8347*I8347/1000000)*D8347,0)</f>
      </c>
    </row>
    <row r="8348" spans="1:13" x14ac:dyDescent="0.25">
      <c r="A8348" s="16"/>
      <c r="E8348" s="27"/>
      <c r="F8348" t="s">
        <v>26</v>
      </c>
      <c r="G8348" s="28">
        <f>IFERROR(VLOOKUP(F8348,CARTON_LOOKUP!$A:$E,3,0),"")</f>
      </c>
      <c r="H8348" s="28">
        <f>IFERROR(VLOOKUP(F8348,CARTON_LOOKUP!$A:$E,4,0),"")</f>
      </c>
      <c r="I8348" s="28">
        <f>IFERROR(VLOOKUP(F8348,CARTON_LOOKUP!$A:$E,5,0),"")</f>
      </c>
      <c r="J8348" s="29">
        <f>IFERROR(VLOOKUP(F8348,CARTON_LOOKUP!$A:$E,2,0),"")</f>
      </c>
      <c r="K8348" s="29">
        <f>IFERROR(J8348*D8348,0)</f>
      </c>
      <c r="L8348" s="29">
        <f>IFERROR(E8348*C8348,0)</f>
      </c>
      <c r="M8348" s="29">
        <f>IFERROR((G8348*H8348*I8348/1000000)*D8348,0)</f>
      </c>
    </row>
    <row r="8349" spans="1:13" x14ac:dyDescent="0.25">
      <c r="A8349" s="16"/>
      <c r="E8349" s="27"/>
      <c r="F8349" t="s">
        <v>26</v>
      </c>
      <c r="G8349" s="28">
        <f>IFERROR(VLOOKUP(F8349,CARTON_LOOKUP!$A:$E,3,0),"")</f>
      </c>
      <c r="H8349" s="28">
        <f>IFERROR(VLOOKUP(F8349,CARTON_LOOKUP!$A:$E,4,0),"")</f>
      </c>
      <c r="I8349" s="28">
        <f>IFERROR(VLOOKUP(F8349,CARTON_LOOKUP!$A:$E,5,0),"")</f>
      </c>
      <c r="J8349" s="29">
        <f>IFERROR(VLOOKUP(F8349,CARTON_LOOKUP!$A:$E,2,0),"")</f>
      </c>
      <c r="K8349" s="29">
        <f>IFERROR(J8349*D8349,0)</f>
      </c>
      <c r="L8349" s="29">
        <f>IFERROR(E8349*C8349,0)</f>
      </c>
      <c r="M8349" s="29">
        <f>IFERROR((G8349*H8349*I8349/1000000)*D8349,0)</f>
      </c>
    </row>
    <row r="8350" spans="1:13" x14ac:dyDescent="0.25">
      <c r="A8350" s="16"/>
      <c r="E8350" s="27"/>
      <c r="F8350" t="s">
        <v>26</v>
      </c>
      <c r="G8350" s="28">
        <f>IFERROR(VLOOKUP(F8350,CARTON_LOOKUP!$A:$E,3,0),"")</f>
      </c>
      <c r="H8350" s="28">
        <f>IFERROR(VLOOKUP(F8350,CARTON_LOOKUP!$A:$E,4,0),"")</f>
      </c>
      <c r="I8350" s="28">
        <f>IFERROR(VLOOKUP(F8350,CARTON_LOOKUP!$A:$E,5,0),"")</f>
      </c>
      <c r="J8350" s="29">
        <f>IFERROR(VLOOKUP(F8350,CARTON_LOOKUP!$A:$E,2,0),"")</f>
      </c>
      <c r="K8350" s="29">
        <f>IFERROR(J8350*D8350,0)</f>
      </c>
      <c r="L8350" s="29">
        <f>IFERROR(E8350*C8350,0)</f>
      </c>
      <c r="M8350" s="29">
        <f>IFERROR((G8350*H8350*I8350/1000000)*D8350,0)</f>
      </c>
    </row>
    <row r="8351" spans="1:13" x14ac:dyDescent="0.25">
      <c r="A8351" s="16"/>
      <c r="E8351" s="27"/>
      <c r="F8351" t="s">
        <v>26</v>
      </c>
      <c r="G8351" s="28">
        <f>IFERROR(VLOOKUP(F8351,CARTON_LOOKUP!$A:$E,3,0),"")</f>
      </c>
      <c r="H8351" s="28">
        <f>IFERROR(VLOOKUP(F8351,CARTON_LOOKUP!$A:$E,4,0),"")</f>
      </c>
      <c r="I8351" s="28">
        <f>IFERROR(VLOOKUP(F8351,CARTON_LOOKUP!$A:$E,5,0),"")</f>
      </c>
      <c r="J8351" s="29">
        <f>IFERROR(VLOOKUP(F8351,CARTON_LOOKUP!$A:$E,2,0),"")</f>
      </c>
      <c r="K8351" s="29">
        <f>IFERROR(J8351*D8351,0)</f>
      </c>
      <c r="L8351" s="29">
        <f>IFERROR(E8351*C8351,0)</f>
      </c>
      <c r="M8351" s="29">
        <f>IFERROR((G8351*H8351*I8351/1000000)*D8351,0)</f>
      </c>
    </row>
    <row r="8352" spans="1:13" x14ac:dyDescent="0.25">
      <c r="A8352" s="16"/>
      <c r="E8352" s="27"/>
      <c r="F8352" t="s">
        <v>26</v>
      </c>
      <c r="G8352" s="28">
        <f>IFERROR(VLOOKUP(F8352,CARTON_LOOKUP!$A:$E,3,0),"")</f>
      </c>
      <c r="H8352" s="28">
        <f>IFERROR(VLOOKUP(F8352,CARTON_LOOKUP!$A:$E,4,0),"")</f>
      </c>
      <c r="I8352" s="28">
        <f>IFERROR(VLOOKUP(F8352,CARTON_LOOKUP!$A:$E,5,0),"")</f>
      </c>
      <c r="J8352" s="29">
        <f>IFERROR(VLOOKUP(F8352,CARTON_LOOKUP!$A:$E,2,0),"")</f>
      </c>
      <c r="K8352" s="29">
        <f>IFERROR(J8352*D8352,0)</f>
      </c>
      <c r="L8352" s="29">
        <f>IFERROR(E8352*C8352,0)</f>
      </c>
      <c r="M8352" s="29">
        <f>IFERROR((G8352*H8352*I8352/1000000)*D8352,0)</f>
      </c>
    </row>
    <row r="8353" spans="1:13" x14ac:dyDescent="0.25">
      <c r="A8353" s="16"/>
      <c r="E8353" s="27"/>
      <c r="F8353" t="s">
        <v>26</v>
      </c>
      <c r="G8353" s="28">
        <f>IFERROR(VLOOKUP(F8353,CARTON_LOOKUP!$A:$E,3,0),"")</f>
      </c>
      <c r="H8353" s="28">
        <f>IFERROR(VLOOKUP(F8353,CARTON_LOOKUP!$A:$E,4,0),"")</f>
      </c>
      <c r="I8353" s="28">
        <f>IFERROR(VLOOKUP(F8353,CARTON_LOOKUP!$A:$E,5,0),"")</f>
      </c>
      <c r="J8353" s="29">
        <f>IFERROR(VLOOKUP(F8353,CARTON_LOOKUP!$A:$E,2,0),"")</f>
      </c>
      <c r="K8353" s="29">
        <f>IFERROR(J8353*D8353,0)</f>
      </c>
      <c r="L8353" s="29">
        <f>IFERROR(E8353*C8353,0)</f>
      </c>
      <c r="M8353" s="29">
        <f>IFERROR((G8353*H8353*I8353/1000000)*D8353,0)</f>
      </c>
    </row>
    <row r="8354" spans="1:13" x14ac:dyDescent="0.25">
      <c r="A8354" s="16"/>
      <c r="E8354" s="27"/>
      <c r="F8354" t="s">
        <v>26</v>
      </c>
      <c r="G8354" s="28">
        <f>IFERROR(VLOOKUP(F8354,CARTON_LOOKUP!$A:$E,3,0),"")</f>
      </c>
      <c r="H8354" s="28">
        <f>IFERROR(VLOOKUP(F8354,CARTON_LOOKUP!$A:$E,4,0),"")</f>
      </c>
      <c r="I8354" s="28">
        <f>IFERROR(VLOOKUP(F8354,CARTON_LOOKUP!$A:$E,5,0),"")</f>
      </c>
      <c r="J8354" s="29">
        <f>IFERROR(VLOOKUP(F8354,CARTON_LOOKUP!$A:$E,2,0),"")</f>
      </c>
      <c r="K8354" s="29">
        <f>IFERROR(J8354*D8354,0)</f>
      </c>
      <c r="L8354" s="29">
        <f>IFERROR(E8354*C8354,0)</f>
      </c>
      <c r="M8354" s="29">
        <f>IFERROR((G8354*H8354*I8354/1000000)*D8354,0)</f>
      </c>
    </row>
    <row r="8355" spans="1:13" x14ac:dyDescent="0.25">
      <c r="A8355" s="16"/>
      <c r="E8355" s="27"/>
      <c r="F8355" t="s">
        <v>26</v>
      </c>
      <c r="G8355" s="28">
        <f>IFERROR(VLOOKUP(F8355,CARTON_LOOKUP!$A:$E,3,0),"")</f>
      </c>
      <c r="H8355" s="28">
        <f>IFERROR(VLOOKUP(F8355,CARTON_LOOKUP!$A:$E,4,0),"")</f>
      </c>
      <c r="I8355" s="28">
        <f>IFERROR(VLOOKUP(F8355,CARTON_LOOKUP!$A:$E,5,0),"")</f>
      </c>
      <c r="J8355" s="29">
        <f>IFERROR(VLOOKUP(F8355,CARTON_LOOKUP!$A:$E,2,0),"")</f>
      </c>
      <c r="K8355" s="29">
        <f>IFERROR(J8355*D8355,0)</f>
      </c>
      <c r="L8355" s="29">
        <f>IFERROR(E8355*C8355,0)</f>
      </c>
      <c r="M8355" s="29">
        <f>IFERROR((G8355*H8355*I8355/1000000)*D8355,0)</f>
      </c>
    </row>
    <row r="8356" spans="1:13" x14ac:dyDescent="0.25">
      <c r="A8356" s="16"/>
      <c r="E8356" s="27"/>
      <c r="F8356" t="s">
        <v>26</v>
      </c>
      <c r="G8356" s="28">
        <f>IFERROR(VLOOKUP(F8356,CARTON_LOOKUP!$A:$E,3,0),"")</f>
      </c>
      <c r="H8356" s="28">
        <f>IFERROR(VLOOKUP(F8356,CARTON_LOOKUP!$A:$E,4,0),"")</f>
      </c>
      <c r="I8356" s="28">
        <f>IFERROR(VLOOKUP(F8356,CARTON_LOOKUP!$A:$E,5,0),"")</f>
      </c>
      <c r="J8356" s="29">
        <f>IFERROR(VLOOKUP(F8356,CARTON_LOOKUP!$A:$E,2,0),"")</f>
      </c>
      <c r="K8356" s="29">
        <f>IFERROR(J8356*D8356,0)</f>
      </c>
      <c r="L8356" s="29">
        <f>IFERROR(E8356*C8356,0)</f>
      </c>
      <c r="M8356" s="29">
        <f>IFERROR((G8356*H8356*I8356/1000000)*D8356,0)</f>
      </c>
    </row>
    <row r="8357" spans="1:13" x14ac:dyDescent="0.25">
      <c r="A8357" s="16"/>
      <c r="E8357" s="27"/>
      <c r="F8357" t="s">
        <v>26</v>
      </c>
      <c r="G8357" s="28">
        <f>IFERROR(VLOOKUP(F8357,CARTON_LOOKUP!$A:$E,3,0),"")</f>
      </c>
      <c r="H8357" s="28">
        <f>IFERROR(VLOOKUP(F8357,CARTON_LOOKUP!$A:$E,4,0),"")</f>
      </c>
      <c r="I8357" s="28">
        <f>IFERROR(VLOOKUP(F8357,CARTON_LOOKUP!$A:$E,5,0),"")</f>
      </c>
      <c r="J8357" s="29">
        <f>IFERROR(VLOOKUP(F8357,CARTON_LOOKUP!$A:$E,2,0),"")</f>
      </c>
      <c r="K8357" s="29">
        <f>IFERROR(J8357*D8357,0)</f>
      </c>
      <c r="L8357" s="29">
        <f>IFERROR(E8357*C8357,0)</f>
      </c>
      <c r="M8357" s="29">
        <f>IFERROR((G8357*H8357*I8357/1000000)*D8357,0)</f>
      </c>
    </row>
    <row r="8358" spans="1:13" x14ac:dyDescent="0.25">
      <c r="A8358" s="16"/>
      <c r="E8358" s="27"/>
      <c r="F8358" t="s">
        <v>26</v>
      </c>
      <c r="G8358" s="28">
        <f>IFERROR(VLOOKUP(F8358,CARTON_LOOKUP!$A:$E,3,0),"")</f>
      </c>
      <c r="H8358" s="28">
        <f>IFERROR(VLOOKUP(F8358,CARTON_LOOKUP!$A:$E,4,0),"")</f>
      </c>
      <c r="I8358" s="28">
        <f>IFERROR(VLOOKUP(F8358,CARTON_LOOKUP!$A:$E,5,0),"")</f>
      </c>
      <c r="J8358" s="29">
        <f>IFERROR(VLOOKUP(F8358,CARTON_LOOKUP!$A:$E,2,0),"")</f>
      </c>
      <c r="K8358" s="29">
        <f>IFERROR(J8358*D8358,0)</f>
      </c>
      <c r="L8358" s="29">
        <f>IFERROR(E8358*C8358,0)</f>
      </c>
      <c r="M8358" s="29">
        <f>IFERROR((G8358*H8358*I8358/1000000)*D8358,0)</f>
      </c>
    </row>
    <row r="8359" spans="1:13" x14ac:dyDescent="0.25">
      <c r="A8359" s="16"/>
      <c r="E8359" s="27"/>
      <c r="F8359" t="s">
        <v>26</v>
      </c>
      <c r="G8359" s="28">
        <f>IFERROR(VLOOKUP(F8359,CARTON_LOOKUP!$A:$E,3,0),"")</f>
      </c>
      <c r="H8359" s="28">
        <f>IFERROR(VLOOKUP(F8359,CARTON_LOOKUP!$A:$E,4,0),"")</f>
      </c>
      <c r="I8359" s="28">
        <f>IFERROR(VLOOKUP(F8359,CARTON_LOOKUP!$A:$E,5,0),"")</f>
      </c>
      <c r="J8359" s="29">
        <f>IFERROR(VLOOKUP(F8359,CARTON_LOOKUP!$A:$E,2,0),"")</f>
      </c>
      <c r="K8359" s="29">
        <f>IFERROR(J8359*D8359,0)</f>
      </c>
      <c r="L8359" s="29">
        <f>IFERROR(E8359*C8359,0)</f>
      </c>
      <c r="M8359" s="29">
        <f>IFERROR((G8359*H8359*I8359/1000000)*D8359,0)</f>
      </c>
    </row>
    <row r="8360" spans="1:13" x14ac:dyDescent="0.25">
      <c r="A8360" s="16"/>
      <c r="E8360" s="27"/>
      <c r="F8360" t="s">
        <v>26</v>
      </c>
      <c r="G8360" s="28">
        <f>IFERROR(VLOOKUP(F8360,CARTON_LOOKUP!$A:$E,3,0),"")</f>
      </c>
      <c r="H8360" s="28">
        <f>IFERROR(VLOOKUP(F8360,CARTON_LOOKUP!$A:$E,4,0),"")</f>
      </c>
      <c r="I8360" s="28">
        <f>IFERROR(VLOOKUP(F8360,CARTON_LOOKUP!$A:$E,5,0),"")</f>
      </c>
      <c r="J8360" s="29">
        <f>IFERROR(VLOOKUP(F8360,CARTON_LOOKUP!$A:$E,2,0),"")</f>
      </c>
      <c r="K8360" s="29">
        <f>IFERROR(J8360*D8360,0)</f>
      </c>
      <c r="L8360" s="29">
        <f>IFERROR(E8360*C8360,0)</f>
      </c>
      <c r="M8360" s="29">
        <f>IFERROR((G8360*H8360*I8360/1000000)*D8360,0)</f>
      </c>
    </row>
    <row r="8361" spans="1:13" x14ac:dyDescent="0.25">
      <c r="A8361" s="16"/>
      <c r="E8361" s="27"/>
      <c r="F8361" t="s">
        <v>26</v>
      </c>
      <c r="G8361" s="28">
        <f>IFERROR(VLOOKUP(F8361,CARTON_LOOKUP!$A:$E,3,0),"")</f>
      </c>
      <c r="H8361" s="28">
        <f>IFERROR(VLOOKUP(F8361,CARTON_LOOKUP!$A:$E,4,0),"")</f>
      </c>
      <c r="I8361" s="28">
        <f>IFERROR(VLOOKUP(F8361,CARTON_LOOKUP!$A:$E,5,0),"")</f>
      </c>
      <c r="J8361" s="29">
        <f>IFERROR(VLOOKUP(F8361,CARTON_LOOKUP!$A:$E,2,0),"")</f>
      </c>
      <c r="K8361" s="29">
        <f>IFERROR(J8361*D8361,0)</f>
      </c>
      <c r="L8361" s="29">
        <f>IFERROR(E8361*C8361,0)</f>
      </c>
      <c r="M8361" s="29">
        <f>IFERROR((G8361*H8361*I8361/1000000)*D8361,0)</f>
      </c>
    </row>
    <row r="8362" spans="1:13" x14ac:dyDescent="0.25">
      <c r="A8362" s="16"/>
      <c r="E8362" s="27"/>
      <c r="F8362" t="s">
        <v>26</v>
      </c>
      <c r="G8362" s="28">
        <f>IFERROR(VLOOKUP(F8362,CARTON_LOOKUP!$A:$E,3,0),"")</f>
      </c>
      <c r="H8362" s="28">
        <f>IFERROR(VLOOKUP(F8362,CARTON_LOOKUP!$A:$E,4,0),"")</f>
      </c>
      <c r="I8362" s="28">
        <f>IFERROR(VLOOKUP(F8362,CARTON_LOOKUP!$A:$E,5,0),"")</f>
      </c>
      <c r="J8362" s="29">
        <f>IFERROR(VLOOKUP(F8362,CARTON_LOOKUP!$A:$E,2,0),"")</f>
      </c>
      <c r="K8362" s="29">
        <f>IFERROR(J8362*D8362,0)</f>
      </c>
      <c r="L8362" s="29">
        <f>IFERROR(E8362*C8362,0)</f>
      </c>
      <c r="M8362" s="29">
        <f>IFERROR((G8362*H8362*I8362/1000000)*D8362,0)</f>
      </c>
    </row>
    <row r="8363" spans="1:13" x14ac:dyDescent="0.25">
      <c r="A8363" s="16"/>
      <c r="E8363" s="27"/>
      <c r="F8363" t="s">
        <v>26</v>
      </c>
      <c r="G8363" s="28">
        <f>IFERROR(VLOOKUP(F8363,CARTON_LOOKUP!$A:$E,3,0),"")</f>
      </c>
      <c r="H8363" s="28">
        <f>IFERROR(VLOOKUP(F8363,CARTON_LOOKUP!$A:$E,4,0),"")</f>
      </c>
      <c r="I8363" s="28">
        <f>IFERROR(VLOOKUP(F8363,CARTON_LOOKUP!$A:$E,5,0),"")</f>
      </c>
      <c r="J8363" s="29">
        <f>IFERROR(VLOOKUP(F8363,CARTON_LOOKUP!$A:$E,2,0),"")</f>
      </c>
      <c r="K8363" s="29">
        <f>IFERROR(J8363*D8363,0)</f>
      </c>
      <c r="L8363" s="29">
        <f>IFERROR(E8363*C8363,0)</f>
      </c>
      <c r="M8363" s="29">
        <f>IFERROR((G8363*H8363*I8363/1000000)*D8363,0)</f>
      </c>
    </row>
    <row r="8364" spans="1:13" x14ac:dyDescent="0.25">
      <c r="A8364" s="16"/>
      <c r="E8364" s="27"/>
      <c r="F8364" t="s">
        <v>26</v>
      </c>
      <c r="G8364" s="28">
        <f>IFERROR(VLOOKUP(F8364,CARTON_LOOKUP!$A:$E,3,0),"")</f>
      </c>
      <c r="H8364" s="28">
        <f>IFERROR(VLOOKUP(F8364,CARTON_LOOKUP!$A:$E,4,0),"")</f>
      </c>
      <c r="I8364" s="28">
        <f>IFERROR(VLOOKUP(F8364,CARTON_LOOKUP!$A:$E,5,0),"")</f>
      </c>
      <c r="J8364" s="29">
        <f>IFERROR(VLOOKUP(F8364,CARTON_LOOKUP!$A:$E,2,0),"")</f>
      </c>
      <c r="K8364" s="29">
        <f>IFERROR(J8364*D8364,0)</f>
      </c>
      <c r="L8364" s="29">
        <f>IFERROR(E8364*C8364,0)</f>
      </c>
      <c r="M8364" s="29">
        <f>IFERROR((G8364*H8364*I8364/1000000)*D8364,0)</f>
      </c>
    </row>
    <row r="8365" spans="1:13" x14ac:dyDescent="0.25">
      <c r="A8365" s="16"/>
      <c r="E8365" s="27"/>
      <c r="F8365" t="s">
        <v>26</v>
      </c>
      <c r="G8365" s="28">
        <f>IFERROR(VLOOKUP(F8365,CARTON_LOOKUP!$A:$E,3,0),"")</f>
      </c>
      <c r="H8365" s="28">
        <f>IFERROR(VLOOKUP(F8365,CARTON_LOOKUP!$A:$E,4,0),"")</f>
      </c>
      <c r="I8365" s="28">
        <f>IFERROR(VLOOKUP(F8365,CARTON_LOOKUP!$A:$E,5,0),"")</f>
      </c>
      <c r="J8365" s="29">
        <f>IFERROR(VLOOKUP(F8365,CARTON_LOOKUP!$A:$E,2,0),"")</f>
      </c>
      <c r="K8365" s="29">
        <f>IFERROR(J8365*D8365,0)</f>
      </c>
      <c r="L8365" s="29">
        <f>IFERROR(E8365*C8365,0)</f>
      </c>
      <c r="M8365" s="29">
        <f>IFERROR((G8365*H8365*I8365/1000000)*D8365,0)</f>
      </c>
    </row>
    <row r="8366" spans="1:13" x14ac:dyDescent="0.25">
      <c r="A8366" s="16"/>
      <c r="E8366" s="27"/>
      <c r="F8366" t="s">
        <v>26</v>
      </c>
      <c r="G8366" s="28">
        <f>IFERROR(VLOOKUP(F8366,CARTON_LOOKUP!$A:$E,3,0),"")</f>
      </c>
      <c r="H8366" s="28">
        <f>IFERROR(VLOOKUP(F8366,CARTON_LOOKUP!$A:$E,4,0),"")</f>
      </c>
      <c r="I8366" s="28">
        <f>IFERROR(VLOOKUP(F8366,CARTON_LOOKUP!$A:$E,5,0),"")</f>
      </c>
      <c r="J8366" s="29">
        <f>IFERROR(VLOOKUP(F8366,CARTON_LOOKUP!$A:$E,2,0),"")</f>
      </c>
      <c r="K8366" s="29">
        <f>IFERROR(J8366*D8366,0)</f>
      </c>
      <c r="L8366" s="29">
        <f>IFERROR(E8366*C8366,0)</f>
      </c>
      <c r="M8366" s="29">
        <f>IFERROR((G8366*H8366*I8366/1000000)*D8366,0)</f>
      </c>
    </row>
    <row r="8367" spans="1:13" x14ac:dyDescent="0.25">
      <c r="A8367" s="16"/>
      <c r="E8367" s="27"/>
      <c r="F8367" t="s">
        <v>26</v>
      </c>
      <c r="G8367" s="28">
        <f>IFERROR(VLOOKUP(F8367,CARTON_LOOKUP!$A:$E,3,0),"")</f>
      </c>
      <c r="H8367" s="28">
        <f>IFERROR(VLOOKUP(F8367,CARTON_LOOKUP!$A:$E,4,0),"")</f>
      </c>
      <c r="I8367" s="28">
        <f>IFERROR(VLOOKUP(F8367,CARTON_LOOKUP!$A:$E,5,0),"")</f>
      </c>
      <c r="J8367" s="29">
        <f>IFERROR(VLOOKUP(F8367,CARTON_LOOKUP!$A:$E,2,0),"")</f>
      </c>
      <c r="K8367" s="29">
        <f>IFERROR(J8367*D8367,0)</f>
      </c>
      <c r="L8367" s="29">
        <f>IFERROR(E8367*C8367,0)</f>
      </c>
      <c r="M8367" s="29">
        <f>IFERROR((G8367*H8367*I8367/1000000)*D8367,0)</f>
      </c>
    </row>
    <row r="8368" spans="1:13" x14ac:dyDescent="0.25">
      <c r="A8368" s="16"/>
      <c r="E8368" s="27"/>
      <c r="F8368" t="s">
        <v>26</v>
      </c>
      <c r="G8368" s="28">
        <f>IFERROR(VLOOKUP(F8368,CARTON_LOOKUP!$A:$E,3,0),"")</f>
      </c>
      <c r="H8368" s="28">
        <f>IFERROR(VLOOKUP(F8368,CARTON_LOOKUP!$A:$E,4,0),"")</f>
      </c>
      <c r="I8368" s="28">
        <f>IFERROR(VLOOKUP(F8368,CARTON_LOOKUP!$A:$E,5,0),"")</f>
      </c>
      <c r="J8368" s="29">
        <f>IFERROR(VLOOKUP(F8368,CARTON_LOOKUP!$A:$E,2,0),"")</f>
      </c>
      <c r="K8368" s="29">
        <f>IFERROR(J8368*D8368,0)</f>
      </c>
      <c r="L8368" s="29">
        <f>IFERROR(E8368*C8368,0)</f>
      </c>
      <c r="M8368" s="29">
        <f>IFERROR((G8368*H8368*I8368/1000000)*D8368,0)</f>
      </c>
    </row>
    <row r="8369" spans="1:13" x14ac:dyDescent="0.25">
      <c r="A8369" s="16"/>
      <c r="E8369" s="27"/>
      <c r="F8369" t="s">
        <v>26</v>
      </c>
      <c r="G8369" s="28">
        <f>IFERROR(VLOOKUP(F8369,CARTON_LOOKUP!$A:$E,3,0),"")</f>
      </c>
      <c r="H8369" s="28">
        <f>IFERROR(VLOOKUP(F8369,CARTON_LOOKUP!$A:$E,4,0),"")</f>
      </c>
      <c r="I8369" s="28">
        <f>IFERROR(VLOOKUP(F8369,CARTON_LOOKUP!$A:$E,5,0),"")</f>
      </c>
      <c r="J8369" s="29">
        <f>IFERROR(VLOOKUP(F8369,CARTON_LOOKUP!$A:$E,2,0),"")</f>
      </c>
      <c r="K8369" s="29">
        <f>IFERROR(J8369*D8369,0)</f>
      </c>
      <c r="L8369" s="29">
        <f>IFERROR(E8369*C8369,0)</f>
      </c>
      <c r="M8369" s="29">
        <f>IFERROR((G8369*H8369*I8369/1000000)*D8369,0)</f>
      </c>
    </row>
    <row r="8370" spans="1:13" x14ac:dyDescent="0.25">
      <c r="A8370" s="16"/>
      <c r="E8370" s="27"/>
      <c r="F8370" t="s">
        <v>26</v>
      </c>
      <c r="G8370" s="28">
        <f>IFERROR(VLOOKUP(F8370,CARTON_LOOKUP!$A:$E,3,0),"")</f>
      </c>
      <c r="H8370" s="28">
        <f>IFERROR(VLOOKUP(F8370,CARTON_LOOKUP!$A:$E,4,0),"")</f>
      </c>
      <c r="I8370" s="28">
        <f>IFERROR(VLOOKUP(F8370,CARTON_LOOKUP!$A:$E,5,0),"")</f>
      </c>
      <c r="J8370" s="29">
        <f>IFERROR(VLOOKUP(F8370,CARTON_LOOKUP!$A:$E,2,0),"")</f>
      </c>
      <c r="K8370" s="29">
        <f>IFERROR(J8370*D8370,0)</f>
      </c>
      <c r="L8370" s="29">
        <f>IFERROR(E8370*C8370,0)</f>
      </c>
      <c r="M8370" s="29">
        <f>IFERROR((G8370*H8370*I8370/1000000)*D8370,0)</f>
      </c>
    </row>
    <row r="8371" spans="1:13" x14ac:dyDescent="0.25">
      <c r="A8371" s="16"/>
      <c r="E8371" s="27"/>
      <c r="F8371" t="s">
        <v>26</v>
      </c>
      <c r="G8371" s="28">
        <f>IFERROR(VLOOKUP(F8371,CARTON_LOOKUP!$A:$E,3,0),"")</f>
      </c>
      <c r="H8371" s="28">
        <f>IFERROR(VLOOKUP(F8371,CARTON_LOOKUP!$A:$E,4,0),"")</f>
      </c>
      <c r="I8371" s="28">
        <f>IFERROR(VLOOKUP(F8371,CARTON_LOOKUP!$A:$E,5,0),"")</f>
      </c>
      <c r="J8371" s="29">
        <f>IFERROR(VLOOKUP(F8371,CARTON_LOOKUP!$A:$E,2,0),"")</f>
      </c>
      <c r="K8371" s="29">
        <f>IFERROR(J8371*D8371,0)</f>
      </c>
      <c r="L8371" s="29">
        <f>IFERROR(E8371*C8371,0)</f>
      </c>
      <c r="M8371" s="29">
        <f>IFERROR((G8371*H8371*I8371/1000000)*D8371,0)</f>
      </c>
    </row>
    <row r="8372" spans="1:13" x14ac:dyDescent="0.25">
      <c r="A8372" s="16"/>
      <c r="E8372" s="27"/>
      <c r="F8372" t="s">
        <v>26</v>
      </c>
      <c r="G8372" s="28">
        <f>IFERROR(VLOOKUP(F8372,CARTON_LOOKUP!$A:$E,3,0),"")</f>
      </c>
      <c r="H8372" s="28">
        <f>IFERROR(VLOOKUP(F8372,CARTON_LOOKUP!$A:$E,4,0),"")</f>
      </c>
      <c r="I8372" s="28">
        <f>IFERROR(VLOOKUP(F8372,CARTON_LOOKUP!$A:$E,5,0),"")</f>
      </c>
      <c r="J8372" s="29">
        <f>IFERROR(VLOOKUP(F8372,CARTON_LOOKUP!$A:$E,2,0),"")</f>
      </c>
      <c r="K8372" s="29">
        <f>IFERROR(J8372*D8372,0)</f>
      </c>
      <c r="L8372" s="29">
        <f>IFERROR(E8372*C8372,0)</f>
      </c>
      <c r="M8372" s="29">
        <f>IFERROR((G8372*H8372*I8372/1000000)*D8372,0)</f>
      </c>
    </row>
    <row r="8373" spans="1:13" x14ac:dyDescent="0.25">
      <c r="A8373" s="16"/>
      <c r="E8373" s="27"/>
      <c r="F8373" t="s">
        <v>26</v>
      </c>
      <c r="G8373" s="28">
        <f>IFERROR(VLOOKUP(F8373,CARTON_LOOKUP!$A:$E,3,0),"")</f>
      </c>
      <c r="H8373" s="28">
        <f>IFERROR(VLOOKUP(F8373,CARTON_LOOKUP!$A:$E,4,0),"")</f>
      </c>
      <c r="I8373" s="28">
        <f>IFERROR(VLOOKUP(F8373,CARTON_LOOKUP!$A:$E,5,0),"")</f>
      </c>
      <c r="J8373" s="29">
        <f>IFERROR(VLOOKUP(F8373,CARTON_LOOKUP!$A:$E,2,0),"")</f>
      </c>
      <c r="K8373" s="29">
        <f>IFERROR(J8373*D8373,0)</f>
      </c>
      <c r="L8373" s="29">
        <f>IFERROR(E8373*C8373,0)</f>
      </c>
      <c r="M8373" s="29">
        <f>IFERROR((G8373*H8373*I8373/1000000)*D8373,0)</f>
      </c>
    </row>
    <row r="8374" spans="1:13" x14ac:dyDescent="0.25">
      <c r="A8374" s="16"/>
      <c r="E8374" s="27"/>
      <c r="F8374" t="s">
        <v>26</v>
      </c>
      <c r="G8374" s="28">
        <f>IFERROR(VLOOKUP(F8374,CARTON_LOOKUP!$A:$E,3,0),"")</f>
      </c>
      <c r="H8374" s="28">
        <f>IFERROR(VLOOKUP(F8374,CARTON_LOOKUP!$A:$E,4,0),"")</f>
      </c>
      <c r="I8374" s="28">
        <f>IFERROR(VLOOKUP(F8374,CARTON_LOOKUP!$A:$E,5,0),"")</f>
      </c>
      <c r="J8374" s="29">
        <f>IFERROR(VLOOKUP(F8374,CARTON_LOOKUP!$A:$E,2,0),"")</f>
      </c>
      <c r="K8374" s="29">
        <f>IFERROR(J8374*D8374,0)</f>
      </c>
      <c r="L8374" s="29">
        <f>IFERROR(E8374*C8374,0)</f>
      </c>
      <c r="M8374" s="29">
        <f>IFERROR((G8374*H8374*I8374/1000000)*D8374,0)</f>
      </c>
    </row>
    <row r="8375" spans="1:13" x14ac:dyDescent="0.25">
      <c r="A8375" s="16"/>
      <c r="E8375" s="27"/>
      <c r="F8375" t="s">
        <v>26</v>
      </c>
      <c r="G8375" s="28">
        <f>IFERROR(VLOOKUP(F8375,CARTON_LOOKUP!$A:$E,3,0),"")</f>
      </c>
      <c r="H8375" s="28">
        <f>IFERROR(VLOOKUP(F8375,CARTON_LOOKUP!$A:$E,4,0),"")</f>
      </c>
      <c r="I8375" s="28">
        <f>IFERROR(VLOOKUP(F8375,CARTON_LOOKUP!$A:$E,5,0),"")</f>
      </c>
      <c r="J8375" s="29">
        <f>IFERROR(VLOOKUP(F8375,CARTON_LOOKUP!$A:$E,2,0),"")</f>
      </c>
      <c r="K8375" s="29">
        <f>IFERROR(J8375*D8375,0)</f>
      </c>
      <c r="L8375" s="29">
        <f>IFERROR(E8375*C8375,0)</f>
      </c>
      <c r="M8375" s="29">
        <f>IFERROR((G8375*H8375*I8375/1000000)*D8375,0)</f>
      </c>
    </row>
    <row r="8376" spans="1:13" x14ac:dyDescent="0.25">
      <c r="A8376" s="16"/>
      <c r="E8376" s="27"/>
      <c r="F8376" t="s">
        <v>26</v>
      </c>
      <c r="G8376" s="28">
        <f>IFERROR(VLOOKUP(F8376,CARTON_LOOKUP!$A:$E,3,0),"")</f>
      </c>
      <c r="H8376" s="28">
        <f>IFERROR(VLOOKUP(F8376,CARTON_LOOKUP!$A:$E,4,0),"")</f>
      </c>
      <c r="I8376" s="28">
        <f>IFERROR(VLOOKUP(F8376,CARTON_LOOKUP!$A:$E,5,0),"")</f>
      </c>
      <c r="J8376" s="29">
        <f>IFERROR(VLOOKUP(F8376,CARTON_LOOKUP!$A:$E,2,0),"")</f>
      </c>
      <c r="K8376" s="29">
        <f>IFERROR(J8376*D8376,0)</f>
      </c>
      <c r="L8376" s="29">
        <f>IFERROR(E8376*C8376,0)</f>
      </c>
      <c r="M8376" s="29">
        <f>IFERROR((G8376*H8376*I8376/1000000)*D8376,0)</f>
      </c>
    </row>
    <row r="8377" spans="1:13" x14ac:dyDescent="0.25">
      <c r="A8377" s="16"/>
      <c r="E8377" s="27"/>
      <c r="F8377" t="s">
        <v>26</v>
      </c>
      <c r="G8377" s="28">
        <f>IFERROR(VLOOKUP(F8377,CARTON_LOOKUP!$A:$E,3,0),"")</f>
      </c>
      <c r="H8377" s="28">
        <f>IFERROR(VLOOKUP(F8377,CARTON_LOOKUP!$A:$E,4,0),"")</f>
      </c>
      <c r="I8377" s="28">
        <f>IFERROR(VLOOKUP(F8377,CARTON_LOOKUP!$A:$E,5,0),"")</f>
      </c>
      <c r="J8377" s="29">
        <f>IFERROR(VLOOKUP(F8377,CARTON_LOOKUP!$A:$E,2,0),"")</f>
      </c>
      <c r="K8377" s="29">
        <f>IFERROR(J8377*D8377,0)</f>
      </c>
      <c r="L8377" s="29">
        <f>IFERROR(E8377*C8377,0)</f>
      </c>
      <c r="M8377" s="29">
        <f>IFERROR((G8377*H8377*I8377/1000000)*D8377,0)</f>
      </c>
    </row>
    <row r="8378" spans="1:13" x14ac:dyDescent="0.25">
      <c r="A8378" s="16"/>
      <c r="E8378" s="27"/>
      <c r="F8378" t="s">
        <v>26</v>
      </c>
      <c r="G8378" s="28">
        <f>IFERROR(VLOOKUP(F8378,CARTON_LOOKUP!$A:$E,3,0),"")</f>
      </c>
      <c r="H8378" s="28">
        <f>IFERROR(VLOOKUP(F8378,CARTON_LOOKUP!$A:$E,4,0),"")</f>
      </c>
      <c r="I8378" s="28">
        <f>IFERROR(VLOOKUP(F8378,CARTON_LOOKUP!$A:$E,5,0),"")</f>
      </c>
      <c r="J8378" s="29">
        <f>IFERROR(VLOOKUP(F8378,CARTON_LOOKUP!$A:$E,2,0),"")</f>
      </c>
      <c r="K8378" s="29">
        <f>IFERROR(J8378*D8378,0)</f>
      </c>
      <c r="L8378" s="29">
        <f>IFERROR(E8378*C8378,0)</f>
      </c>
      <c r="M8378" s="29">
        <f>IFERROR((G8378*H8378*I8378/1000000)*D8378,0)</f>
      </c>
    </row>
    <row r="8379" spans="1:13" x14ac:dyDescent="0.25">
      <c r="A8379" s="16"/>
      <c r="E8379" s="27"/>
      <c r="F8379" t="s">
        <v>26</v>
      </c>
      <c r="G8379" s="28">
        <f>IFERROR(VLOOKUP(F8379,CARTON_LOOKUP!$A:$E,3,0),"")</f>
      </c>
      <c r="H8379" s="28">
        <f>IFERROR(VLOOKUP(F8379,CARTON_LOOKUP!$A:$E,4,0),"")</f>
      </c>
      <c r="I8379" s="28">
        <f>IFERROR(VLOOKUP(F8379,CARTON_LOOKUP!$A:$E,5,0),"")</f>
      </c>
      <c r="J8379" s="29">
        <f>IFERROR(VLOOKUP(F8379,CARTON_LOOKUP!$A:$E,2,0),"")</f>
      </c>
      <c r="K8379" s="29">
        <f>IFERROR(J8379*D8379,0)</f>
      </c>
      <c r="L8379" s="29">
        <f>IFERROR(E8379*C8379,0)</f>
      </c>
      <c r="M8379" s="29">
        <f>IFERROR((G8379*H8379*I8379/1000000)*D8379,0)</f>
      </c>
    </row>
    <row r="8380" spans="1:13" x14ac:dyDescent="0.25">
      <c r="A8380" s="16"/>
      <c r="E8380" s="27"/>
      <c r="F8380" t="s">
        <v>26</v>
      </c>
      <c r="G8380" s="28">
        <f>IFERROR(VLOOKUP(F8380,CARTON_LOOKUP!$A:$E,3,0),"")</f>
      </c>
      <c r="H8380" s="28">
        <f>IFERROR(VLOOKUP(F8380,CARTON_LOOKUP!$A:$E,4,0),"")</f>
      </c>
      <c r="I8380" s="28">
        <f>IFERROR(VLOOKUP(F8380,CARTON_LOOKUP!$A:$E,5,0),"")</f>
      </c>
      <c r="J8380" s="29">
        <f>IFERROR(VLOOKUP(F8380,CARTON_LOOKUP!$A:$E,2,0),"")</f>
      </c>
      <c r="K8380" s="29">
        <f>IFERROR(J8380*D8380,0)</f>
      </c>
      <c r="L8380" s="29">
        <f>IFERROR(E8380*C8380,0)</f>
      </c>
      <c r="M8380" s="29">
        <f>IFERROR((G8380*H8380*I8380/1000000)*D8380,0)</f>
      </c>
    </row>
    <row r="8381" spans="1:13" x14ac:dyDescent="0.25">
      <c r="A8381" s="16"/>
      <c r="E8381" s="27"/>
      <c r="F8381" t="s">
        <v>26</v>
      </c>
      <c r="G8381" s="28">
        <f>IFERROR(VLOOKUP(F8381,CARTON_LOOKUP!$A:$E,3,0),"")</f>
      </c>
      <c r="H8381" s="28">
        <f>IFERROR(VLOOKUP(F8381,CARTON_LOOKUP!$A:$E,4,0),"")</f>
      </c>
      <c r="I8381" s="28">
        <f>IFERROR(VLOOKUP(F8381,CARTON_LOOKUP!$A:$E,5,0),"")</f>
      </c>
      <c r="J8381" s="29">
        <f>IFERROR(VLOOKUP(F8381,CARTON_LOOKUP!$A:$E,2,0),"")</f>
      </c>
      <c r="K8381" s="29">
        <f>IFERROR(J8381*D8381,0)</f>
      </c>
      <c r="L8381" s="29">
        <f>IFERROR(E8381*C8381,0)</f>
      </c>
      <c r="M8381" s="29">
        <f>IFERROR((G8381*H8381*I8381/1000000)*D8381,0)</f>
      </c>
    </row>
    <row r="8382" spans="1:13" x14ac:dyDescent="0.25">
      <c r="A8382" s="16"/>
      <c r="E8382" s="27"/>
      <c r="F8382" t="s">
        <v>26</v>
      </c>
      <c r="G8382" s="28">
        <f>IFERROR(VLOOKUP(F8382,CARTON_LOOKUP!$A:$E,3,0),"")</f>
      </c>
      <c r="H8382" s="28">
        <f>IFERROR(VLOOKUP(F8382,CARTON_LOOKUP!$A:$E,4,0),"")</f>
      </c>
      <c r="I8382" s="28">
        <f>IFERROR(VLOOKUP(F8382,CARTON_LOOKUP!$A:$E,5,0),"")</f>
      </c>
      <c r="J8382" s="29">
        <f>IFERROR(VLOOKUP(F8382,CARTON_LOOKUP!$A:$E,2,0),"")</f>
      </c>
      <c r="K8382" s="29">
        <f>IFERROR(J8382*D8382,0)</f>
      </c>
      <c r="L8382" s="29">
        <f>IFERROR(E8382*C8382,0)</f>
      </c>
      <c r="M8382" s="29">
        <f>IFERROR((G8382*H8382*I8382/1000000)*D8382,0)</f>
      </c>
    </row>
    <row r="8383" spans="1:13" x14ac:dyDescent="0.25">
      <c r="A8383" s="16"/>
      <c r="E8383" s="27"/>
      <c r="F8383" t="s">
        <v>26</v>
      </c>
      <c r="G8383" s="28">
        <f>IFERROR(VLOOKUP(F8383,CARTON_LOOKUP!$A:$E,3,0),"")</f>
      </c>
      <c r="H8383" s="28">
        <f>IFERROR(VLOOKUP(F8383,CARTON_LOOKUP!$A:$E,4,0),"")</f>
      </c>
      <c r="I8383" s="28">
        <f>IFERROR(VLOOKUP(F8383,CARTON_LOOKUP!$A:$E,5,0),"")</f>
      </c>
      <c r="J8383" s="29">
        <f>IFERROR(VLOOKUP(F8383,CARTON_LOOKUP!$A:$E,2,0),"")</f>
      </c>
      <c r="K8383" s="29">
        <f>IFERROR(J8383*D8383,0)</f>
      </c>
      <c r="L8383" s="29">
        <f>IFERROR(E8383*C8383,0)</f>
      </c>
      <c r="M8383" s="29">
        <f>IFERROR((G8383*H8383*I8383/1000000)*D8383,0)</f>
      </c>
    </row>
    <row r="8384" spans="1:13" x14ac:dyDescent="0.25">
      <c r="A8384" s="16"/>
      <c r="E8384" s="27"/>
      <c r="F8384" t="s">
        <v>26</v>
      </c>
      <c r="G8384" s="28">
        <f>IFERROR(VLOOKUP(F8384,CARTON_LOOKUP!$A:$E,3,0),"")</f>
      </c>
      <c r="H8384" s="28">
        <f>IFERROR(VLOOKUP(F8384,CARTON_LOOKUP!$A:$E,4,0),"")</f>
      </c>
      <c r="I8384" s="28">
        <f>IFERROR(VLOOKUP(F8384,CARTON_LOOKUP!$A:$E,5,0),"")</f>
      </c>
      <c r="J8384" s="29">
        <f>IFERROR(VLOOKUP(F8384,CARTON_LOOKUP!$A:$E,2,0),"")</f>
      </c>
      <c r="K8384" s="29">
        <f>IFERROR(J8384*D8384,0)</f>
      </c>
      <c r="L8384" s="29">
        <f>IFERROR(E8384*C8384,0)</f>
      </c>
      <c r="M8384" s="29">
        <f>IFERROR((G8384*H8384*I8384/1000000)*D8384,0)</f>
      </c>
    </row>
    <row r="8385" spans="1:13" x14ac:dyDescent="0.25">
      <c r="A8385" s="16"/>
      <c r="E8385" s="27"/>
      <c r="F8385" t="s">
        <v>26</v>
      </c>
      <c r="G8385" s="28">
        <f>IFERROR(VLOOKUP(F8385,CARTON_LOOKUP!$A:$E,3,0),"")</f>
      </c>
      <c r="H8385" s="28">
        <f>IFERROR(VLOOKUP(F8385,CARTON_LOOKUP!$A:$E,4,0),"")</f>
      </c>
      <c r="I8385" s="28">
        <f>IFERROR(VLOOKUP(F8385,CARTON_LOOKUP!$A:$E,5,0),"")</f>
      </c>
      <c r="J8385" s="29">
        <f>IFERROR(VLOOKUP(F8385,CARTON_LOOKUP!$A:$E,2,0),"")</f>
      </c>
      <c r="K8385" s="29">
        <f>IFERROR(J8385*D8385,0)</f>
      </c>
      <c r="L8385" s="29">
        <f>IFERROR(E8385*C8385,0)</f>
      </c>
      <c r="M8385" s="29">
        <f>IFERROR((G8385*H8385*I8385/1000000)*D8385,0)</f>
      </c>
    </row>
    <row r="8386" spans="1:13" x14ac:dyDescent="0.25">
      <c r="A8386" s="16"/>
      <c r="E8386" s="27"/>
      <c r="F8386" t="s">
        <v>26</v>
      </c>
      <c r="G8386" s="28">
        <f>IFERROR(VLOOKUP(F8386,CARTON_LOOKUP!$A:$E,3,0),"")</f>
      </c>
      <c r="H8386" s="28">
        <f>IFERROR(VLOOKUP(F8386,CARTON_LOOKUP!$A:$E,4,0),"")</f>
      </c>
      <c r="I8386" s="28">
        <f>IFERROR(VLOOKUP(F8386,CARTON_LOOKUP!$A:$E,5,0),"")</f>
      </c>
      <c r="J8386" s="29">
        <f>IFERROR(VLOOKUP(F8386,CARTON_LOOKUP!$A:$E,2,0),"")</f>
      </c>
      <c r="K8386" s="29">
        <f>IFERROR(J8386*D8386,0)</f>
      </c>
      <c r="L8386" s="29">
        <f>IFERROR(E8386*C8386,0)</f>
      </c>
      <c r="M8386" s="29">
        <f>IFERROR((G8386*H8386*I8386/1000000)*D8386,0)</f>
      </c>
    </row>
    <row r="8387" spans="1:13" x14ac:dyDescent="0.25">
      <c r="A8387" s="16"/>
      <c r="E8387" s="27"/>
      <c r="F8387" t="s">
        <v>26</v>
      </c>
      <c r="G8387" s="28">
        <f>IFERROR(VLOOKUP(F8387,CARTON_LOOKUP!$A:$E,3,0),"")</f>
      </c>
      <c r="H8387" s="28">
        <f>IFERROR(VLOOKUP(F8387,CARTON_LOOKUP!$A:$E,4,0),"")</f>
      </c>
      <c r="I8387" s="28">
        <f>IFERROR(VLOOKUP(F8387,CARTON_LOOKUP!$A:$E,5,0),"")</f>
      </c>
      <c r="J8387" s="29">
        <f>IFERROR(VLOOKUP(F8387,CARTON_LOOKUP!$A:$E,2,0),"")</f>
      </c>
      <c r="K8387" s="29">
        <f>IFERROR(J8387*D8387,0)</f>
      </c>
      <c r="L8387" s="29">
        <f>IFERROR(E8387*C8387,0)</f>
      </c>
      <c r="M8387" s="29">
        <f>IFERROR((G8387*H8387*I8387/1000000)*D8387,0)</f>
      </c>
    </row>
    <row r="8388" spans="1:13" x14ac:dyDescent="0.25">
      <c r="A8388" s="16"/>
      <c r="E8388" s="27"/>
      <c r="F8388" t="s">
        <v>26</v>
      </c>
      <c r="G8388" s="28">
        <f>IFERROR(VLOOKUP(F8388,CARTON_LOOKUP!$A:$E,3,0),"")</f>
      </c>
      <c r="H8388" s="28">
        <f>IFERROR(VLOOKUP(F8388,CARTON_LOOKUP!$A:$E,4,0),"")</f>
      </c>
      <c r="I8388" s="28">
        <f>IFERROR(VLOOKUP(F8388,CARTON_LOOKUP!$A:$E,5,0),"")</f>
      </c>
      <c r="J8388" s="29">
        <f>IFERROR(VLOOKUP(F8388,CARTON_LOOKUP!$A:$E,2,0),"")</f>
      </c>
      <c r="K8388" s="29">
        <f>IFERROR(J8388*D8388,0)</f>
      </c>
      <c r="L8388" s="29">
        <f>IFERROR(E8388*C8388,0)</f>
      </c>
      <c r="M8388" s="29">
        <f>IFERROR((G8388*H8388*I8388/1000000)*D8388,0)</f>
      </c>
    </row>
    <row r="8389" spans="1:13" x14ac:dyDescent="0.25">
      <c r="A8389" s="16"/>
      <c r="E8389" s="27"/>
      <c r="F8389" t="s">
        <v>26</v>
      </c>
      <c r="G8389" s="28">
        <f>IFERROR(VLOOKUP(F8389,CARTON_LOOKUP!$A:$E,3,0),"")</f>
      </c>
      <c r="H8389" s="28">
        <f>IFERROR(VLOOKUP(F8389,CARTON_LOOKUP!$A:$E,4,0),"")</f>
      </c>
      <c r="I8389" s="28">
        <f>IFERROR(VLOOKUP(F8389,CARTON_LOOKUP!$A:$E,5,0),"")</f>
      </c>
      <c r="J8389" s="29">
        <f>IFERROR(VLOOKUP(F8389,CARTON_LOOKUP!$A:$E,2,0),"")</f>
      </c>
      <c r="K8389" s="29">
        <f>IFERROR(J8389*D8389,0)</f>
      </c>
      <c r="L8389" s="29">
        <f>IFERROR(E8389*C8389,0)</f>
      </c>
      <c r="M8389" s="29">
        <f>IFERROR((G8389*H8389*I8389/1000000)*D8389,0)</f>
      </c>
    </row>
    <row r="8390" spans="1:13" x14ac:dyDescent="0.25">
      <c r="A8390" s="16"/>
      <c r="E8390" s="27"/>
      <c r="F8390" t="s">
        <v>26</v>
      </c>
      <c r="G8390" s="28">
        <f>IFERROR(VLOOKUP(F8390,CARTON_LOOKUP!$A:$E,3,0),"")</f>
      </c>
      <c r="H8390" s="28">
        <f>IFERROR(VLOOKUP(F8390,CARTON_LOOKUP!$A:$E,4,0),"")</f>
      </c>
      <c r="I8390" s="28">
        <f>IFERROR(VLOOKUP(F8390,CARTON_LOOKUP!$A:$E,5,0),"")</f>
      </c>
      <c r="J8390" s="29">
        <f>IFERROR(VLOOKUP(F8390,CARTON_LOOKUP!$A:$E,2,0),"")</f>
      </c>
      <c r="K8390" s="29">
        <f>IFERROR(J8390*D8390,0)</f>
      </c>
      <c r="L8390" s="29">
        <f>IFERROR(E8390*C8390,0)</f>
      </c>
      <c r="M8390" s="29">
        <f>IFERROR((G8390*H8390*I8390/1000000)*D8390,0)</f>
      </c>
    </row>
    <row r="8391" spans="1:13" x14ac:dyDescent="0.25">
      <c r="A8391" s="16"/>
      <c r="E8391" s="27"/>
      <c r="F8391" t="s">
        <v>26</v>
      </c>
      <c r="G8391" s="28">
        <f>IFERROR(VLOOKUP(F8391,CARTON_LOOKUP!$A:$E,3,0),"")</f>
      </c>
      <c r="H8391" s="28">
        <f>IFERROR(VLOOKUP(F8391,CARTON_LOOKUP!$A:$E,4,0),"")</f>
      </c>
      <c r="I8391" s="28">
        <f>IFERROR(VLOOKUP(F8391,CARTON_LOOKUP!$A:$E,5,0),"")</f>
      </c>
      <c r="J8391" s="29">
        <f>IFERROR(VLOOKUP(F8391,CARTON_LOOKUP!$A:$E,2,0),"")</f>
      </c>
      <c r="K8391" s="29">
        <f>IFERROR(J8391*D8391,0)</f>
      </c>
      <c r="L8391" s="29">
        <f>IFERROR(E8391*C8391,0)</f>
      </c>
      <c r="M8391" s="29">
        <f>IFERROR((G8391*H8391*I8391/1000000)*D8391,0)</f>
      </c>
    </row>
    <row r="8392" spans="1:13" x14ac:dyDescent="0.25">
      <c r="A8392" s="16"/>
      <c r="E8392" s="27"/>
      <c r="F8392" t="s">
        <v>26</v>
      </c>
      <c r="G8392" s="28">
        <f>IFERROR(VLOOKUP(F8392,CARTON_LOOKUP!$A:$E,3,0),"")</f>
      </c>
      <c r="H8392" s="28">
        <f>IFERROR(VLOOKUP(F8392,CARTON_LOOKUP!$A:$E,4,0),"")</f>
      </c>
      <c r="I8392" s="28">
        <f>IFERROR(VLOOKUP(F8392,CARTON_LOOKUP!$A:$E,5,0),"")</f>
      </c>
      <c r="J8392" s="29">
        <f>IFERROR(VLOOKUP(F8392,CARTON_LOOKUP!$A:$E,2,0),"")</f>
      </c>
      <c r="K8392" s="29">
        <f>IFERROR(J8392*D8392,0)</f>
      </c>
      <c r="L8392" s="29">
        <f>IFERROR(E8392*C8392,0)</f>
      </c>
      <c r="M8392" s="29">
        <f>IFERROR((G8392*H8392*I8392/1000000)*D8392,0)</f>
      </c>
    </row>
    <row r="8393" spans="1:13" x14ac:dyDescent="0.25">
      <c r="A8393" s="16"/>
      <c r="E8393" s="27"/>
      <c r="F8393" t="s">
        <v>26</v>
      </c>
      <c r="G8393" s="28">
        <f>IFERROR(VLOOKUP(F8393,CARTON_LOOKUP!$A:$E,3,0),"")</f>
      </c>
      <c r="H8393" s="28">
        <f>IFERROR(VLOOKUP(F8393,CARTON_LOOKUP!$A:$E,4,0),"")</f>
      </c>
      <c r="I8393" s="28">
        <f>IFERROR(VLOOKUP(F8393,CARTON_LOOKUP!$A:$E,5,0),"")</f>
      </c>
      <c r="J8393" s="29">
        <f>IFERROR(VLOOKUP(F8393,CARTON_LOOKUP!$A:$E,2,0),"")</f>
      </c>
      <c r="K8393" s="29">
        <f>IFERROR(J8393*D8393,0)</f>
      </c>
      <c r="L8393" s="29">
        <f>IFERROR(E8393*C8393,0)</f>
      </c>
      <c r="M8393" s="29">
        <f>IFERROR((G8393*H8393*I8393/1000000)*D8393,0)</f>
      </c>
    </row>
    <row r="8394" spans="1:13" x14ac:dyDescent="0.25">
      <c r="A8394" s="16"/>
      <c r="E8394" s="27"/>
      <c r="F8394" t="s">
        <v>26</v>
      </c>
      <c r="G8394" s="28">
        <f>IFERROR(VLOOKUP(F8394,CARTON_LOOKUP!$A:$E,3,0),"")</f>
      </c>
      <c r="H8394" s="28">
        <f>IFERROR(VLOOKUP(F8394,CARTON_LOOKUP!$A:$E,4,0),"")</f>
      </c>
      <c r="I8394" s="28">
        <f>IFERROR(VLOOKUP(F8394,CARTON_LOOKUP!$A:$E,5,0),"")</f>
      </c>
      <c r="J8394" s="29">
        <f>IFERROR(VLOOKUP(F8394,CARTON_LOOKUP!$A:$E,2,0),"")</f>
      </c>
      <c r="K8394" s="29">
        <f>IFERROR(J8394*D8394,0)</f>
      </c>
      <c r="L8394" s="29">
        <f>IFERROR(E8394*C8394,0)</f>
      </c>
      <c r="M8394" s="29">
        <f>IFERROR((G8394*H8394*I8394/1000000)*D8394,0)</f>
      </c>
    </row>
    <row r="8395" spans="1:13" x14ac:dyDescent="0.25">
      <c r="A8395" s="16"/>
      <c r="E8395" s="27"/>
      <c r="F8395" t="s">
        <v>26</v>
      </c>
      <c r="G8395" s="28">
        <f>IFERROR(VLOOKUP(F8395,CARTON_LOOKUP!$A:$E,3,0),"")</f>
      </c>
      <c r="H8395" s="28">
        <f>IFERROR(VLOOKUP(F8395,CARTON_LOOKUP!$A:$E,4,0),"")</f>
      </c>
      <c r="I8395" s="28">
        <f>IFERROR(VLOOKUP(F8395,CARTON_LOOKUP!$A:$E,5,0),"")</f>
      </c>
      <c r="J8395" s="29">
        <f>IFERROR(VLOOKUP(F8395,CARTON_LOOKUP!$A:$E,2,0),"")</f>
      </c>
      <c r="K8395" s="29">
        <f>IFERROR(J8395*D8395,0)</f>
      </c>
      <c r="L8395" s="29">
        <f>IFERROR(E8395*C8395,0)</f>
      </c>
      <c r="M8395" s="29">
        <f>IFERROR((G8395*H8395*I8395/1000000)*D8395,0)</f>
      </c>
    </row>
    <row r="8396" spans="1:13" x14ac:dyDescent="0.25">
      <c r="A8396" s="16"/>
      <c r="E8396" s="27"/>
      <c r="F8396" t="s">
        <v>26</v>
      </c>
      <c r="G8396" s="28">
        <f>IFERROR(VLOOKUP(F8396,CARTON_LOOKUP!$A:$E,3,0),"")</f>
      </c>
      <c r="H8396" s="28">
        <f>IFERROR(VLOOKUP(F8396,CARTON_LOOKUP!$A:$E,4,0),"")</f>
      </c>
      <c r="I8396" s="28">
        <f>IFERROR(VLOOKUP(F8396,CARTON_LOOKUP!$A:$E,5,0),"")</f>
      </c>
      <c r="J8396" s="29">
        <f>IFERROR(VLOOKUP(F8396,CARTON_LOOKUP!$A:$E,2,0),"")</f>
      </c>
      <c r="K8396" s="29">
        <f>IFERROR(J8396*D8396,0)</f>
      </c>
      <c r="L8396" s="29">
        <f>IFERROR(E8396*C8396,0)</f>
      </c>
      <c r="M8396" s="29">
        <f>IFERROR((G8396*H8396*I8396/1000000)*D8396,0)</f>
      </c>
    </row>
    <row r="8397" spans="1:13" x14ac:dyDescent="0.25">
      <c r="A8397" s="16"/>
      <c r="E8397" s="27"/>
      <c r="F8397" t="s">
        <v>26</v>
      </c>
      <c r="G8397" s="28">
        <f>IFERROR(VLOOKUP(F8397,CARTON_LOOKUP!$A:$E,3,0),"")</f>
      </c>
      <c r="H8397" s="28">
        <f>IFERROR(VLOOKUP(F8397,CARTON_LOOKUP!$A:$E,4,0),"")</f>
      </c>
      <c r="I8397" s="28">
        <f>IFERROR(VLOOKUP(F8397,CARTON_LOOKUP!$A:$E,5,0),"")</f>
      </c>
      <c r="J8397" s="29">
        <f>IFERROR(VLOOKUP(F8397,CARTON_LOOKUP!$A:$E,2,0),"")</f>
      </c>
      <c r="K8397" s="29">
        <f>IFERROR(J8397*D8397,0)</f>
      </c>
      <c r="L8397" s="29">
        <f>IFERROR(E8397*C8397,0)</f>
      </c>
      <c r="M8397" s="29">
        <f>IFERROR((G8397*H8397*I8397/1000000)*D8397,0)</f>
      </c>
    </row>
    <row r="8398" spans="1:13" x14ac:dyDescent="0.25">
      <c r="A8398" s="16"/>
      <c r="E8398" s="27"/>
      <c r="F8398" t="s">
        <v>26</v>
      </c>
      <c r="G8398" s="28">
        <f>IFERROR(VLOOKUP(F8398,CARTON_LOOKUP!$A:$E,3,0),"")</f>
      </c>
      <c r="H8398" s="28">
        <f>IFERROR(VLOOKUP(F8398,CARTON_LOOKUP!$A:$E,4,0),"")</f>
      </c>
      <c r="I8398" s="28">
        <f>IFERROR(VLOOKUP(F8398,CARTON_LOOKUP!$A:$E,5,0),"")</f>
      </c>
      <c r="J8398" s="29">
        <f>IFERROR(VLOOKUP(F8398,CARTON_LOOKUP!$A:$E,2,0),"")</f>
      </c>
      <c r="K8398" s="29">
        <f>IFERROR(J8398*D8398,0)</f>
      </c>
      <c r="L8398" s="29">
        <f>IFERROR(E8398*C8398,0)</f>
      </c>
      <c r="M8398" s="29">
        <f>IFERROR((G8398*H8398*I8398/1000000)*D8398,0)</f>
      </c>
    </row>
    <row r="8399" spans="1:13" x14ac:dyDescent="0.25">
      <c r="A8399" s="16"/>
      <c r="E8399" s="27"/>
      <c r="F8399" t="s">
        <v>26</v>
      </c>
      <c r="G8399" s="28">
        <f>IFERROR(VLOOKUP(F8399,CARTON_LOOKUP!$A:$E,3,0),"")</f>
      </c>
      <c r="H8399" s="28">
        <f>IFERROR(VLOOKUP(F8399,CARTON_LOOKUP!$A:$E,4,0),"")</f>
      </c>
      <c r="I8399" s="28">
        <f>IFERROR(VLOOKUP(F8399,CARTON_LOOKUP!$A:$E,5,0),"")</f>
      </c>
      <c r="J8399" s="29">
        <f>IFERROR(VLOOKUP(F8399,CARTON_LOOKUP!$A:$E,2,0),"")</f>
      </c>
      <c r="K8399" s="29">
        <f>IFERROR(J8399*D8399,0)</f>
      </c>
      <c r="L8399" s="29">
        <f>IFERROR(E8399*C8399,0)</f>
      </c>
      <c r="M8399" s="29">
        <f>IFERROR((G8399*H8399*I8399/1000000)*D8399,0)</f>
      </c>
    </row>
    <row r="8400" spans="1:13" x14ac:dyDescent="0.25">
      <c r="A8400" s="16"/>
      <c r="E8400" s="27"/>
      <c r="F8400" t="s">
        <v>26</v>
      </c>
      <c r="G8400" s="28">
        <f>IFERROR(VLOOKUP(F8400,CARTON_LOOKUP!$A:$E,3,0),"")</f>
      </c>
      <c r="H8400" s="28">
        <f>IFERROR(VLOOKUP(F8400,CARTON_LOOKUP!$A:$E,4,0),"")</f>
      </c>
      <c r="I8400" s="28">
        <f>IFERROR(VLOOKUP(F8400,CARTON_LOOKUP!$A:$E,5,0),"")</f>
      </c>
      <c r="J8400" s="29">
        <f>IFERROR(VLOOKUP(F8400,CARTON_LOOKUP!$A:$E,2,0),"")</f>
      </c>
      <c r="K8400" s="29">
        <f>IFERROR(J8400*D8400,0)</f>
      </c>
      <c r="L8400" s="29">
        <f>IFERROR(E8400*C8400,0)</f>
      </c>
      <c r="M8400" s="29">
        <f>IFERROR((G8400*H8400*I8400/1000000)*D8400,0)</f>
      </c>
    </row>
    <row r="8401" spans="1:13" x14ac:dyDescent="0.25">
      <c r="A8401" s="16"/>
      <c r="E8401" s="27"/>
      <c r="F8401" t="s">
        <v>26</v>
      </c>
      <c r="G8401" s="28">
        <f>IFERROR(VLOOKUP(F8401,CARTON_LOOKUP!$A:$E,3,0),"")</f>
      </c>
      <c r="H8401" s="28">
        <f>IFERROR(VLOOKUP(F8401,CARTON_LOOKUP!$A:$E,4,0),"")</f>
      </c>
      <c r="I8401" s="28">
        <f>IFERROR(VLOOKUP(F8401,CARTON_LOOKUP!$A:$E,5,0),"")</f>
      </c>
      <c r="J8401" s="29">
        <f>IFERROR(VLOOKUP(F8401,CARTON_LOOKUP!$A:$E,2,0),"")</f>
      </c>
      <c r="K8401" s="29">
        <f>IFERROR(J8401*D8401,0)</f>
      </c>
      <c r="L8401" s="29">
        <f>IFERROR(E8401*C8401,0)</f>
      </c>
      <c r="M8401" s="29">
        <f>IFERROR((G8401*H8401*I8401/1000000)*D8401,0)</f>
      </c>
    </row>
    <row r="8402" spans="1:13" x14ac:dyDescent="0.25">
      <c r="A8402" s="16"/>
      <c r="E8402" s="27"/>
      <c r="F8402" t="s">
        <v>26</v>
      </c>
      <c r="G8402" s="28">
        <f>IFERROR(VLOOKUP(F8402,CARTON_LOOKUP!$A:$E,3,0),"")</f>
      </c>
      <c r="H8402" s="28">
        <f>IFERROR(VLOOKUP(F8402,CARTON_LOOKUP!$A:$E,4,0),"")</f>
      </c>
      <c r="I8402" s="28">
        <f>IFERROR(VLOOKUP(F8402,CARTON_LOOKUP!$A:$E,5,0),"")</f>
      </c>
      <c r="J8402" s="29">
        <f>IFERROR(VLOOKUP(F8402,CARTON_LOOKUP!$A:$E,2,0),"")</f>
      </c>
      <c r="K8402" s="29">
        <f>IFERROR(J8402*D8402,0)</f>
      </c>
      <c r="L8402" s="29">
        <f>IFERROR(E8402*C8402,0)</f>
      </c>
      <c r="M8402" s="29">
        <f>IFERROR((G8402*H8402*I8402/1000000)*D8402,0)</f>
      </c>
    </row>
    <row r="8403" spans="1:13" x14ac:dyDescent="0.25">
      <c r="A8403" s="16"/>
      <c r="E8403" s="27"/>
      <c r="F8403" t="s">
        <v>26</v>
      </c>
      <c r="G8403" s="28">
        <f>IFERROR(VLOOKUP(F8403,CARTON_LOOKUP!$A:$E,3,0),"")</f>
      </c>
      <c r="H8403" s="28">
        <f>IFERROR(VLOOKUP(F8403,CARTON_LOOKUP!$A:$E,4,0),"")</f>
      </c>
      <c r="I8403" s="28">
        <f>IFERROR(VLOOKUP(F8403,CARTON_LOOKUP!$A:$E,5,0),"")</f>
      </c>
      <c r="J8403" s="29">
        <f>IFERROR(VLOOKUP(F8403,CARTON_LOOKUP!$A:$E,2,0),"")</f>
      </c>
      <c r="K8403" s="29">
        <f>IFERROR(J8403*D8403,0)</f>
      </c>
      <c r="L8403" s="29">
        <f>IFERROR(E8403*C8403,0)</f>
      </c>
      <c r="M8403" s="29">
        <f>IFERROR((G8403*H8403*I8403/1000000)*D8403,0)</f>
      </c>
    </row>
    <row r="8404" spans="1:13" x14ac:dyDescent="0.25">
      <c r="A8404" s="16"/>
      <c r="E8404" s="27"/>
      <c r="F8404" t="s">
        <v>26</v>
      </c>
      <c r="G8404" s="28">
        <f>IFERROR(VLOOKUP(F8404,CARTON_LOOKUP!$A:$E,3,0),"")</f>
      </c>
      <c r="H8404" s="28">
        <f>IFERROR(VLOOKUP(F8404,CARTON_LOOKUP!$A:$E,4,0),"")</f>
      </c>
      <c r="I8404" s="28">
        <f>IFERROR(VLOOKUP(F8404,CARTON_LOOKUP!$A:$E,5,0),"")</f>
      </c>
      <c r="J8404" s="29">
        <f>IFERROR(VLOOKUP(F8404,CARTON_LOOKUP!$A:$E,2,0),"")</f>
      </c>
      <c r="K8404" s="29">
        <f>IFERROR(J8404*D8404,0)</f>
      </c>
      <c r="L8404" s="29">
        <f>IFERROR(E8404*C8404,0)</f>
      </c>
      <c r="M8404" s="29">
        <f>IFERROR((G8404*H8404*I8404/1000000)*D8404,0)</f>
      </c>
    </row>
    <row r="8405" spans="1:13" x14ac:dyDescent="0.25">
      <c r="A8405" s="16"/>
      <c r="E8405" s="27"/>
      <c r="F8405" t="s">
        <v>26</v>
      </c>
      <c r="G8405" s="28">
        <f>IFERROR(VLOOKUP(F8405,CARTON_LOOKUP!$A:$E,3,0),"")</f>
      </c>
      <c r="H8405" s="28">
        <f>IFERROR(VLOOKUP(F8405,CARTON_LOOKUP!$A:$E,4,0),"")</f>
      </c>
      <c r="I8405" s="28">
        <f>IFERROR(VLOOKUP(F8405,CARTON_LOOKUP!$A:$E,5,0),"")</f>
      </c>
      <c r="J8405" s="29">
        <f>IFERROR(VLOOKUP(F8405,CARTON_LOOKUP!$A:$E,2,0),"")</f>
      </c>
      <c r="K8405" s="29">
        <f>IFERROR(J8405*D8405,0)</f>
      </c>
      <c r="L8405" s="29">
        <f>IFERROR(E8405*C8405,0)</f>
      </c>
      <c r="M8405" s="29">
        <f>IFERROR((G8405*H8405*I8405/1000000)*D8405,0)</f>
      </c>
    </row>
    <row r="8406" spans="1:13" x14ac:dyDescent="0.25">
      <c r="A8406" s="16"/>
      <c r="E8406" s="27"/>
      <c r="F8406" t="s">
        <v>26</v>
      </c>
      <c r="G8406" s="28">
        <f>IFERROR(VLOOKUP(F8406,CARTON_LOOKUP!$A:$E,3,0),"")</f>
      </c>
      <c r="H8406" s="28">
        <f>IFERROR(VLOOKUP(F8406,CARTON_LOOKUP!$A:$E,4,0),"")</f>
      </c>
      <c r="I8406" s="28">
        <f>IFERROR(VLOOKUP(F8406,CARTON_LOOKUP!$A:$E,5,0),"")</f>
      </c>
      <c r="J8406" s="29">
        <f>IFERROR(VLOOKUP(F8406,CARTON_LOOKUP!$A:$E,2,0),"")</f>
      </c>
      <c r="K8406" s="29">
        <f>IFERROR(J8406*D8406,0)</f>
      </c>
      <c r="L8406" s="29">
        <f>IFERROR(E8406*C8406,0)</f>
      </c>
      <c r="M8406" s="29">
        <f>IFERROR((G8406*H8406*I8406/1000000)*D8406,0)</f>
      </c>
    </row>
    <row r="8407" spans="1:13" x14ac:dyDescent="0.25">
      <c r="A8407" s="16"/>
      <c r="E8407" s="27"/>
      <c r="F8407" t="s">
        <v>26</v>
      </c>
      <c r="G8407" s="28">
        <f>IFERROR(VLOOKUP(F8407,CARTON_LOOKUP!$A:$E,3,0),"")</f>
      </c>
      <c r="H8407" s="28">
        <f>IFERROR(VLOOKUP(F8407,CARTON_LOOKUP!$A:$E,4,0),"")</f>
      </c>
      <c r="I8407" s="28">
        <f>IFERROR(VLOOKUP(F8407,CARTON_LOOKUP!$A:$E,5,0),"")</f>
      </c>
      <c r="J8407" s="29">
        <f>IFERROR(VLOOKUP(F8407,CARTON_LOOKUP!$A:$E,2,0),"")</f>
      </c>
      <c r="K8407" s="29">
        <f>IFERROR(J8407*D8407,0)</f>
      </c>
      <c r="L8407" s="29">
        <f>IFERROR(E8407*C8407,0)</f>
      </c>
      <c r="M8407" s="29">
        <f>IFERROR((G8407*H8407*I8407/1000000)*D8407,0)</f>
      </c>
    </row>
    <row r="8408" spans="1:13" x14ac:dyDescent="0.25">
      <c r="A8408" s="16"/>
      <c r="E8408" s="27"/>
      <c r="F8408" t="s">
        <v>26</v>
      </c>
      <c r="G8408" s="28">
        <f>IFERROR(VLOOKUP(F8408,CARTON_LOOKUP!$A:$E,3,0),"")</f>
      </c>
      <c r="H8408" s="28">
        <f>IFERROR(VLOOKUP(F8408,CARTON_LOOKUP!$A:$E,4,0),"")</f>
      </c>
      <c r="I8408" s="28">
        <f>IFERROR(VLOOKUP(F8408,CARTON_LOOKUP!$A:$E,5,0),"")</f>
      </c>
      <c r="J8408" s="29">
        <f>IFERROR(VLOOKUP(F8408,CARTON_LOOKUP!$A:$E,2,0),"")</f>
      </c>
      <c r="K8408" s="29">
        <f>IFERROR(J8408*D8408,0)</f>
      </c>
      <c r="L8408" s="29">
        <f>IFERROR(E8408*C8408,0)</f>
      </c>
      <c r="M8408" s="29">
        <f>IFERROR((G8408*H8408*I8408/1000000)*D8408,0)</f>
      </c>
    </row>
    <row r="8409" spans="1:13" x14ac:dyDescent="0.25">
      <c r="A8409" s="16"/>
      <c r="E8409" s="27"/>
      <c r="F8409" t="s">
        <v>26</v>
      </c>
      <c r="G8409" s="28">
        <f>IFERROR(VLOOKUP(F8409,CARTON_LOOKUP!$A:$E,3,0),"")</f>
      </c>
      <c r="H8409" s="28">
        <f>IFERROR(VLOOKUP(F8409,CARTON_LOOKUP!$A:$E,4,0),"")</f>
      </c>
      <c r="I8409" s="28">
        <f>IFERROR(VLOOKUP(F8409,CARTON_LOOKUP!$A:$E,5,0),"")</f>
      </c>
      <c r="J8409" s="29">
        <f>IFERROR(VLOOKUP(F8409,CARTON_LOOKUP!$A:$E,2,0),"")</f>
      </c>
      <c r="K8409" s="29">
        <f>IFERROR(J8409*D8409,0)</f>
      </c>
      <c r="L8409" s="29">
        <f>IFERROR(E8409*C8409,0)</f>
      </c>
      <c r="M8409" s="29">
        <f>IFERROR((G8409*H8409*I8409/1000000)*D8409,0)</f>
      </c>
    </row>
    <row r="8410" spans="1:13" x14ac:dyDescent="0.25">
      <c r="A8410" s="16"/>
      <c r="E8410" s="27"/>
      <c r="F8410" t="s">
        <v>26</v>
      </c>
      <c r="G8410" s="28">
        <f>IFERROR(VLOOKUP(F8410,CARTON_LOOKUP!$A:$E,3,0),"")</f>
      </c>
      <c r="H8410" s="28">
        <f>IFERROR(VLOOKUP(F8410,CARTON_LOOKUP!$A:$E,4,0),"")</f>
      </c>
      <c r="I8410" s="28">
        <f>IFERROR(VLOOKUP(F8410,CARTON_LOOKUP!$A:$E,5,0),"")</f>
      </c>
      <c r="J8410" s="29">
        <f>IFERROR(VLOOKUP(F8410,CARTON_LOOKUP!$A:$E,2,0),"")</f>
      </c>
      <c r="K8410" s="29">
        <f>IFERROR(J8410*D8410,0)</f>
      </c>
      <c r="L8410" s="29">
        <f>IFERROR(E8410*C8410,0)</f>
      </c>
      <c r="M8410" s="29">
        <f>IFERROR((G8410*H8410*I8410/1000000)*D8410,0)</f>
      </c>
    </row>
    <row r="8411" spans="1:13" x14ac:dyDescent="0.25">
      <c r="A8411" s="16"/>
      <c r="E8411" s="27"/>
      <c r="F8411" t="s">
        <v>26</v>
      </c>
      <c r="G8411" s="28">
        <f>IFERROR(VLOOKUP(F8411,CARTON_LOOKUP!$A:$E,3,0),"")</f>
      </c>
      <c r="H8411" s="28">
        <f>IFERROR(VLOOKUP(F8411,CARTON_LOOKUP!$A:$E,4,0),"")</f>
      </c>
      <c r="I8411" s="28">
        <f>IFERROR(VLOOKUP(F8411,CARTON_LOOKUP!$A:$E,5,0),"")</f>
      </c>
      <c r="J8411" s="29">
        <f>IFERROR(VLOOKUP(F8411,CARTON_LOOKUP!$A:$E,2,0),"")</f>
      </c>
      <c r="K8411" s="29">
        <f>IFERROR(J8411*D8411,0)</f>
      </c>
      <c r="L8411" s="29">
        <f>IFERROR(E8411*C8411,0)</f>
      </c>
      <c r="M8411" s="29">
        <f>IFERROR((G8411*H8411*I8411/1000000)*D8411,0)</f>
      </c>
    </row>
    <row r="8412" spans="1:13" x14ac:dyDescent="0.25">
      <c r="A8412" s="16"/>
      <c r="E8412" s="27"/>
      <c r="F8412" t="s">
        <v>26</v>
      </c>
      <c r="G8412" s="28">
        <f>IFERROR(VLOOKUP(F8412,CARTON_LOOKUP!$A:$E,3,0),"")</f>
      </c>
      <c r="H8412" s="28">
        <f>IFERROR(VLOOKUP(F8412,CARTON_LOOKUP!$A:$E,4,0),"")</f>
      </c>
      <c r="I8412" s="28">
        <f>IFERROR(VLOOKUP(F8412,CARTON_LOOKUP!$A:$E,5,0),"")</f>
      </c>
      <c r="J8412" s="29">
        <f>IFERROR(VLOOKUP(F8412,CARTON_LOOKUP!$A:$E,2,0),"")</f>
      </c>
      <c r="K8412" s="29">
        <f>IFERROR(J8412*D8412,0)</f>
      </c>
      <c r="L8412" s="29">
        <f>IFERROR(E8412*C8412,0)</f>
      </c>
      <c r="M8412" s="29">
        <f>IFERROR((G8412*H8412*I8412/1000000)*D8412,0)</f>
      </c>
    </row>
    <row r="8413" spans="1:13" x14ac:dyDescent="0.25">
      <c r="A8413" s="16"/>
      <c r="E8413" s="27"/>
      <c r="F8413" t="s">
        <v>26</v>
      </c>
      <c r="G8413" s="28">
        <f>IFERROR(VLOOKUP(F8413,CARTON_LOOKUP!$A:$E,3,0),"")</f>
      </c>
      <c r="H8413" s="28">
        <f>IFERROR(VLOOKUP(F8413,CARTON_LOOKUP!$A:$E,4,0),"")</f>
      </c>
      <c r="I8413" s="28">
        <f>IFERROR(VLOOKUP(F8413,CARTON_LOOKUP!$A:$E,5,0),"")</f>
      </c>
      <c r="J8413" s="29">
        <f>IFERROR(VLOOKUP(F8413,CARTON_LOOKUP!$A:$E,2,0),"")</f>
      </c>
      <c r="K8413" s="29">
        <f>IFERROR(J8413*D8413,0)</f>
      </c>
      <c r="L8413" s="29">
        <f>IFERROR(E8413*C8413,0)</f>
      </c>
      <c r="M8413" s="29">
        <f>IFERROR((G8413*H8413*I8413/1000000)*D8413,0)</f>
      </c>
    </row>
    <row r="8414" spans="1:13" x14ac:dyDescent="0.25">
      <c r="A8414" s="16"/>
      <c r="E8414" s="27"/>
      <c r="F8414" t="s">
        <v>26</v>
      </c>
      <c r="G8414" s="28">
        <f>IFERROR(VLOOKUP(F8414,CARTON_LOOKUP!$A:$E,3,0),"")</f>
      </c>
      <c r="H8414" s="28">
        <f>IFERROR(VLOOKUP(F8414,CARTON_LOOKUP!$A:$E,4,0),"")</f>
      </c>
      <c r="I8414" s="28">
        <f>IFERROR(VLOOKUP(F8414,CARTON_LOOKUP!$A:$E,5,0),"")</f>
      </c>
      <c r="J8414" s="29">
        <f>IFERROR(VLOOKUP(F8414,CARTON_LOOKUP!$A:$E,2,0),"")</f>
      </c>
      <c r="K8414" s="29">
        <f>IFERROR(J8414*D8414,0)</f>
      </c>
      <c r="L8414" s="29">
        <f>IFERROR(E8414*C8414,0)</f>
      </c>
      <c r="M8414" s="29">
        <f>IFERROR((G8414*H8414*I8414/1000000)*D8414,0)</f>
      </c>
    </row>
    <row r="8415" spans="1:13" x14ac:dyDescent="0.25">
      <c r="A8415" s="16"/>
      <c r="E8415" s="27"/>
      <c r="F8415" t="s">
        <v>26</v>
      </c>
      <c r="G8415" s="28">
        <f>IFERROR(VLOOKUP(F8415,CARTON_LOOKUP!$A:$E,3,0),"")</f>
      </c>
      <c r="H8415" s="28">
        <f>IFERROR(VLOOKUP(F8415,CARTON_LOOKUP!$A:$E,4,0),"")</f>
      </c>
      <c r="I8415" s="28">
        <f>IFERROR(VLOOKUP(F8415,CARTON_LOOKUP!$A:$E,5,0),"")</f>
      </c>
      <c r="J8415" s="29">
        <f>IFERROR(VLOOKUP(F8415,CARTON_LOOKUP!$A:$E,2,0),"")</f>
      </c>
      <c r="K8415" s="29">
        <f>IFERROR(J8415*D8415,0)</f>
      </c>
      <c r="L8415" s="29">
        <f>IFERROR(E8415*C8415,0)</f>
      </c>
      <c r="M8415" s="29">
        <f>IFERROR((G8415*H8415*I8415/1000000)*D8415,0)</f>
      </c>
    </row>
    <row r="8416" spans="1:13" x14ac:dyDescent="0.25">
      <c r="A8416" s="16"/>
      <c r="E8416" s="27"/>
      <c r="F8416" t="s">
        <v>26</v>
      </c>
      <c r="G8416" s="28">
        <f>IFERROR(VLOOKUP(F8416,CARTON_LOOKUP!$A:$E,3,0),"")</f>
      </c>
      <c r="H8416" s="28">
        <f>IFERROR(VLOOKUP(F8416,CARTON_LOOKUP!$A:$E,4,0),"")</f>
      </c>
      <c r="I8416" s="28">
        <f>IFERROR(VLOOKUP(F8416,CARTON_LOOKUP!$A:$E,5,0),"")</f>
      </c>
      <c r="J8416" s="29">
        <f>IFERROR(VLOOKUP(F8416,CARTON_LOOKUP!$A:$E,2,0),"")</f>
      </c>
      <c r="K8416" s="29">
        <f>IFERROR(J8416*D8416,0)</f>
      </c>
      <c r="L8416" s="29">
        <f>IFERROR(E8416*C8416,0)</f>
      </c>
      <c r="M8416" s="29">
        <f>IFERROR((G8416*H8416*I8416/1000000)*D8416,0)</f>
      </c>
    </row>
    <row r="8417" spans="1:13" x14ac:dyDescent="0.25">
      <c r="A8417" s="16"/>
      <c r="E8417" s="27"/>
      <c r="F8417" t="s">
        <v>26</v>
      </c>
      <c r="G8417" s="28">
        <f>IFERROR(VLOOKUP(F8417,CARTON_LOOKUP!$A:$E,3,0),"")</f>
      </c>
      <c r="H8417" s="28">
        <f>IFERROR(VLOOKUP(F8417,CARTON_LOOKUP!$A:$E,4,0),"")</f>
      </c>
      <c r="I8417" s="28">
        <f>IFERROR(VLOOKUP(F8417,CARTON_LOOKUP!$A:$E,5,0),"")</f>
      </c>
      <c r="J8417" s="29">
        <f>IFERROR(VLOOKUP(F8417,CARTON_LOOKUP!$A:$E,2,0),"")</f>
      </c>
      <c r="K8417" s="29">
        <f>IFERROR(J8417*D8417,0)</f>
      </c>
      <c r="L8417" s="29">
        <f>IFERROR(E8417*C8417,0)</f>
      </c>
      <c r="M8417" s="29">
        <f>IFERROR((G8417*H8417*I8417/1000000)*D8417,0)</f>
      </c>
    </row>
    <row r="8418" spans="1:13" x14ac:dyDescent="0.25">
      <c r="A8418" s="16"/>
      <c r="E8418" s="27"/>
      <c r="F8418" t="s">
        <v>26</v>
      </c>
      <c r="G8418" s="28">
        <f>IFERROR(VLOOKUP(F8418,CARTON_LOOKUP!$A:$E,3,0),"")</f>
      </c>
      <c r="H8418" s="28">
        <f>IFERROR(VLOOKUP(F8418,CARTON_LOOKUP!$A:$E,4,0),"")</f>
      </c>
      <c r="I8418" s="28">
        <f>IFERROR(VLOOKUP(F8418,CARTON_LOOKUP!$A:$E,5,0),"")</f>
      </c>
      <c r="J8418" s="29">
        <f>IFERROR(VLOOKUP(F8418,CARTON_LOOKUP!$A:$E,2,0),"")</f>
      </c>
      <c r="K8418" s="29">
        <f>IFERROR(J8418*D8418,0)</f>
      </c>
      <c r="L8418" s="29">
        <f>IFERROR(E8418*C8418,0)</f>
      </c>
      <c r="M8418" s="29">
        <f>IFERROR((G8418*H8418*I8418/1000000)*D8418,0)</f>
      </c>
    </row>
    <row r="8419" spans="1:13" x14ac:dyDescent="0.25">
      <c r="A8419" s="16"/>
      <c r="E8419" s="27"/>
      <c r="F8419" t="s">
        <v>26</v>
      </c>
      <c r="G8419" s="28">
        <f>IFERROR(VLOOKUP(F8419,CARTON_LOOKUP!$A:$E,3,0),"")</f>
      </c>
      <c r="H8419" s="28">
        <f>IFERROR(VLOOKUP(F8419,CARTON_LOOKUP!$A:$E,4,0),"")</f>
      </c>
      <c r="I8419" s="28">
        <f>IFERROR(VLOOKUP(F8419,CARTON_LOOKUP!$A:$E,5,0),"")</f>
      </c>
      <c r="J8419" s="29">
        <f>IFERROR(VLOOKUP(F8419,CARTON_LOOKUP!$A:$E,2,0),"")</f>
      </c>
      <c r="K8419" s="29">
        <f>IFERROR(J8419*D8419,0)</f>
      </c>
      <c r="L8419" s="29">
        <f>IFERROR(E8419*C8419,0)</f>
      </c>
      <c r="M8419" s="29">
        <f>IFERROR((G8419*H8419*I8419/1000000)*D8419,0)</f>
      </c>
    </row>
    <row r="8420" spans="1:13" x14ac:dyDescent="0.25">
      <c r="A8420" s="16"/>
      <c r="E8420" s="27"/>
      <c r="F8420" t="s">
        <v>26</v>
      </c>
      <c r="G8420" s="28">
        <f>IFERROR(VLOOKUP(F8420,CARTON_LOOKUP!$A:$E,3,0),"")</f>
      </c>
      <c r="H8420" s="28">
        <f>IFERROR(VLOOKUP(F8420,CARTON_LOOKUP!$A:$E,4,0),"")</f>
      </c>
      <c r="I8420" s="28">
        <f>IFERROR(VLOOKUP(F8420,CARTON_LOOKUP!$A:$E,5,0),"")</f>
      </c>
      <c r="J8420" s="29">
        <f>IFERROR(VLOOKUP(F8420,CARTON_LOOKUP!$A:$E,2,0),"")</f>
      </c>
      <c r="K8420" s="29">
        <f>IFERROR(J8420*D8420,0)</f>
      </c>
      <c r="L8420" s="29">
        <f>IFERROR(E8420*C8420,0)</f>
      </c>
      <c r="M8420" s="29">
        <f>IFERROR((G8420*H8420*I8420/1000000)*D8420,0)</f>
      </c>
    </row>
    <row r="8421" spans="1:13" x14ac:dyDescent="0.25">
      <c r="A8421" s="16"/>
      <c r="E8421" s="27"/>
      <c r="F8421" t="s">
        <v>26</v>
      </c>
      <c r="G8421" s="28">
        <f>IFERROR(VLOOKUP(F8421,CARTON_LOOKUP!$A:$E,3,0),"")</f>
      </c>
      <c r="H8421" s="28">
        <f>IFERROR(VLOOKUP(F8421,CARTON_LOOKUP!$A:$E,4,0),"")</f>
      </c>
      <c r="I8421" s="28">
        <f>IFERROR(VLOOKUP(F8421,CARTON_LOOKUP!$A:$E,5,0),"")</f>
      </c>
      <c r="J8421" s="29">
        <f>IFERROR(VLOOKUP(F8421,CARTON_LOOKUP!$A:$E,2,0),"")</f>
      </c>
      <c r="K8421" s="29">
        <f>IFERROR(J8421*D8421,0)</f>
      </c>
      <c r="L8421" s="29">
        <f>IFERROR(E8421*C8421,0)</f>
      </c>
      <c r="M8421" s="29">
        <f>IFERROR((G8421*H8421*I8421/1000000)*D8421,0)</f>
      </c>
    </row>
    <row r="8422" spans="1:13" x14ac:dyDescent="0.25">
      <c r="A8422" s="16"/>
      <c r="E8422" s="27"/>
      <c r="F8422" t="s">
        <v>26</v>
      </c>
      <c r="G8422" s="28">
        <f>IFERROR(VLOOKUP(F8422,CARTON_LOOKUP!$A:$E,3,0),"")</f>
      </c>
      <c r="H8422" s="28">
        <f>IFERROR(VLOOKUP(F8422,CARTON_LOOKUP!$A:$E,4,0),"")</f>
      </c>
      <c r="I8422" s="28">
        <f>IFERROR(VLOOKUP(F8422,CARTON_LOOKUP!$A:$E,5,0),"")</f>
      </c>
      <c r="J8422" s="29">
        <f>IFERROR(VLOOKUP(F8422,CARTON_LOOKUP!$A:$E,2,0),"")</f>
      </c>
      <c r="K8422" s="29">
        <f>IFERROR(J8422*D8422,0)</f>
      </c>
      <c r="L8422" s="29">
        <f>IFERROR(E8422*C8422,0)</f>
      </c>
      <c r="M8422" s="29">
        <f>IFERROR((G8422*H8422*I8422/1000000)*D8422,0)</f>
      </c>
    </row>
    <row r="8423" spans="1:13" x14ac:dyDescent="0.25">
      <c r="A8423" s="16"/>
      <c r="E8423" s="27"/>
      <c r="F8423" t="s">
        <v>26</v>
      </c>
      <c r="G8423" s="28">
        <f>IFERROR(VLOOKUP(F8423,CARTON_LOOKUP!$A:$E,3,0),"")</f>
      </c>
      <c r="H8423" s="28">
        <f>IFERROR(VLOOKUP(F8423,CARTON_LOOKUP!$A:$E,4,0),"")</f>
      </c>
      <c r="I8423" s="28">
        <f>IFERROR(VLOOKUP(F8423,CARTON_LOOKUP!$A:$E,5,0),"")</f>
      </c>
      <c r="J8423" s="29">
        <f>IFERROR(VLOOKUP(F8423,CARTON_LOOKUP!$A:$E,2,0),"")</f>
      </c>
      <c r="K8423" s="29">
        <f>IFERROR(J8423*D8423,0)</f>
      </c>
      <c r="L8423" s="29">
        <f>IFERROR(E8423*C8423,0)</f>
      </c>
      <c r="M8423" s="29">
        <f>IFERROR((G8423*H8423*I8423/1000000)*D8423,0)</f>
      </c>
    </row>
    <row r="8424" spans="1:13" x14ac:dyDescent="0.25">
      <c r="A8424" s="16"/>
      <c r="E8424" s="27"/>
      <c r="F8424" t="s">
        <v>26</v>
      </c>
      <c r="G8424" s="28">
        <f>IFERROR(VLOOKUP(F8424,CARTON_LOOKUP!$A:$E,3,0),"")</f>
      </c>
      <c r="H8424" s="28">
        <f>IFERROR(VLOOKUP(F8424,CARTON_LOOKUP!$A:$E,4,0),"")</f>
      </c>
      <c r="I8424" s="28">
        <f>IFERROR(VLOOKUP(F8424,CARTON_LOOKUP!$A:$E,5,0),"")</f>
      </c>
      <c r="J8424" s="29">
        <f>IFERROR(VLOOKUP(F8424,CARTON_LOOKUP!$A:$E,2,0),"")</f>
      </c>
      <c r="K8424" s="29">
        <f>IFERROR(J8424*D8424,0)</f>
      </c>
      <c r="L8424" s="29">
        <f>IFERROR(E8424*C8424,0)</f>
      </c>
      <c r="M8424" s="29">
        <f>IFERROR((G8424*H8424*I8424/1000000)*D8424,0)</f>
      </c>
    </row>
    <row r="8425" spans="1:13" x14ac:dyDescent="0.25">
      <c r="A8425" s="16"/>
      <c r="E8425" s="27"/>
      <c r="F8425" t="s">
        <v>26</v>
      </c>
      <c r="G8425" s="28">
        <f>IFERROR(VLOOKUP(F8425,CARTON_LOOKUP!$A:$E,3,0),"")</f>
      </c>
      <c r="H8425" s="28">
        <f>IFERROR(VLOOKUP(F8425,CARTON_LOOKUP!$A:$E,4,0),"")</f>
      </c>
      <c r="I8425" s="28">
        <f>IFERROR(VLOOKUP(F8425,CARTON_LOOKUP!$A:$E,5,0),"")</f>
      </c>
      <c r="J8425" s="29">
        <f>IFERROR(VLOOKUP(F8425,CARTON_LOOKUP!$A:$E,2,0),"")</f>
      </c>
      <c r="K8425" s="29">
        <f>IFERROR(J8425*D8425,0)</f>
      </c>
      <c r="L8425" s="29">
        <f>IFERROR(E8425*C8425,0)</f>
      </c>
      <c r="M8425" s="29">
        <f>IFERROR((G8425*H8425*I8425/1000000)*D8425,0)</f>
      </c>
    </row>
    <row r="8426" spans="1:13" x14ac:dyDescent="0.25">
      <c r="A8426" s="16"/>
      <c r="E8426" s="27"/>
      <c r="F8426" t="s">
        <v>26</v>
      </c>
      <c r="G8426" s="28">
        <f>IFERROR(VLOOKUP(F8426,CARTON_LOOKUP!$A:$E,3,0),"")</f>
      </c>
      <c r="H8426" s="28">
        <f>IFERROR(VLOOKUP(F8426,CARTON_LOOKUP!$A:$E,4,0),"")</f>
      </c>
      <c r="I8426" s="28">
        <f>IFERROR(VLOOKUP(F8426,CARTON_LOOKUP!$A:$E,5,0),"")</f>
      </c>
      <c r="J8426" s="29">
        <f>IFERROR(VLOOKUP(F8426,CARTON_LOOKUP!$A:$E,2,0),"")</f>
      </c>
      <c r="K8426" s="29">
        <f>IFERROR(J8426*D8426,0)</f>
      </c>
      <c r="L8426" s="29">
        <f>IFERROR(E8426*C8426,0)</f>
      </c>
      <c r="M8426" s="29">
        <f>IFERROR((G8426*H8426*I8426/1000000)*D8426,0)</f>
      </c>
    </row>
    <row r="8427" spans="1:13" x14ac:dyDescent="0.25">
      <c r="A8427" s="16"/>
      <c r="E8427" s="27"/>
      <c r="F8427" t="s">
        <v>26</v>
      </c>
      <c r="G8427" s="28">
        <f>IFERROR(VLOOKUP(F8427,CARTON_LOOKUP!$A:$E,3,0),"")</f>
      </c>
      <c r="H8427" s="28">
        <f>IFERROR(VLOOKUP(F8427,CARTON_LOOKUP!$A:$E,4,0),"")</f>
      </c>
      <c r="I8427" s="28">
        <f>IFERROR(VLOOKUP(F8427,CARTON_LOOKUP!$A:$E,5,0),"")</f>
      </c>
      <c r="J8427" s="29">
        <f>IFERROR(VLOOKUP(F8427,CARTON_LOOKUP!$A:$E,2,0),"")</f>
      </c>
      <c r="K8427" s="29">
        <f>IFERROR(J8427*D8427,0)</f>
      </c>
      <c r="L8427" s="29">
        <f>IFERROR(E8427*C8427,0)</f>
      </c>
      <c r="M8427" s="29">
        <f>IFERROR((G8427*H8427*I8427/1000000)*D8427,0)</f>
      </c>
    </row>
    <row r="8428" spans="1:13" x14ac:dyDescent="0.25">
      <c r="A8428" s="16"/>
      <c r="E8428" s="27"/>
      <c r="F8428" t="s">
        <v>26</v>
      </c>
      <c r="G8428" s="28">
        <f>IFERROR(VLOOKUP(F8428,CARTON_LOOKUP!$A:$E,3,0),"")</f>
      </c>
      <c r="H8428" s="28">
        <f>IFERROR(VLOOKUP(F8428,CARTON_LOOKUP!$A:$E,4,0),"")</f>
      </c>
      <c r="I8428" s="28">
        <f>IFERROR(VLOOKUP(F8428,CARTON_LOOKUP!$A:$E,5,0),"")</f>
      </c>
      <c r="J8428" s="29">
        <f>IFERROR(VLOOKUP(F8428,CARTON_LOOKUP!$A:$E,2,0),"")</f>
      </c>
      <c r="K8428" s="29">
        <f>IFERROR(J8428*D8428,0)</f>
      </c>
      <c r="L8428" s="29">
        <f>IFERROR(E8428*C8428,0)</f>
      </c>
      <c r="M8428" s="29">
        <f>IFERROR((G8428*H8428*I8428/1000000)*D8428,0)</f>
      </c>
    </row>
    <row r="8429" spans="1:13" x14ac:dyDescent="0.25">
      <c r="A8429" s="16"/>
      <c r="E8429" s="27"/>
      <c r="F8429" t="s">
        <v>26</v>
      </c>
      <c r="G8429" s="28">
        <f>IFERROR(VLOOKUP(F8429,CARTON_LOOKUP!$A:$E,3,0),"")</f>
      </c>
      <c r="H8429" s="28">
        <f>IFERROR(VLOOKUP(F8429,CARTON_LOOKUP!$A:$E,4,0),"")</f>
      </c>
      <c r="I8429" s="28">
        <f>IFERROR(VLOOKUP(F8429,CARTON_LOOKUP!$A:$E,5,0),"")</f>
      </c>
      <c r="J8429" s="29">
        <f>IFERROR(VLOOKUP(F8429,CARTON_LOOKUP!$A:$E,2,0),"")</f>
      </c>
      <c r="K8429" s="29">
        <f>IFERROR(J8429*D8429,0)</f>
      </c>
      <c r="L8429" s="29">
        <f>IFERROR(E8429*C8429,0)</f>
      </c>
      <c r="M8429" s="29">
        <f>IFERROR((G8429*H8429*I8429/1000000)*D8429,0)</f>
      </c>
    </row>
    <row r="8430" spans="1:13" x14ac:dyDescent="0.25">
      <c r="A8430" s="16"/>
      <c r="E8430" s="27"/>
      <c r="F8430" t="s">
        <v>26</v>
      </c>
      <c r="G8430" s="28">
        <f>IFERROR(VLOOKUP(F8430,CARTON_LOOKUP!$A:$E,3,0),"")</f>
      </c>
      <c r="H8430" s="28">
        <f>IFERROR(VLOOKUP(F8430,CARTON_LOOKUP!$A:$E,4,0),"")</f>
      </c>
      <c r="I8430" s="28">
        <f>IFERROR(VLOOKUP(F8430,CARTON_LOOKUP!$A:$E,5,0),"")</f>
      </c>
      <c r="J8430" s="29">
        <f>IFERROR(VLOOKUP(F8430,CARTON_LOOKUP!$A:$E,2,0),"")</f>
      </c>
      <c r="K8430" s="29">
        <f>IFERROR(J8430*D8430,0)</f>
      </c>
      <c r="L8430" s="29">
        <f>IFERROR(E8430*C8430,0)</f>
      </c>
      <c r="M8430" s="29">
        <f>IFERROR((G8430*H8430*I8430/1000000)*D8430,0)</f>
      </c>
    </row>
    <row r="8431" spans="1:13" x14ac:dyDescent="0.25">
      <c r="A8431" s="16"/>
      <c r="E8431" s="27"/>
      <c r="F8431" t="s">
        <v>26</v>
      </c>
      <c r="G8431" s="28">
        <f>IFERROR(VLOOKUP(F8431,CARTON_LOOKUP!$A:$E,3,0),"")</f>
      </c>
      <c r="H8431" s="28">
        <f>IFERROR(VLOOKUP(F8431,CARTON_LOOKUP!$A:$E,4,0),"")</f>
      </c>
      <c r="I8431" s="28">
        <f>IFERROR(VLOOKUP(F8431,CARTON_LOOKUP!$A:$E,5,0),"")</f>
      </c>
      <c r="J8431" s="29">
        <f>IFERROR(VLOOKUP(F8431,CARTON_LOOKUP!$A:$E,2,0),"")</f>
      </c>
      <c r="K8431" s="29">
        <f>IFERROR(J8431*D8431,0)</f>
      </c>
      <c r="L8431" s="29">
        <f>IFERROR(E8431*C8431,0)</f>
      </c>
      <c r="M8431" s="29">
        <f>IFERROR((G8431*H8431*I8431/1000000)*D8431,0)</f>
      </c>
    </row>
    <row r="8432" spans="1:13" x14ac:dyDescent="0.25">
      <c r="A8432" s="16"/>
      <c r="E8432" s="27"/>
      <c r="F8432" t="s">
        <v>26</v>
      </c>
      <c r="G8432" s="28">
        <f>IFERROR(VLOOKUP(F8432,CARTON_LOOKUP!$A:$E,3,0),"")</f>
      </c>
      <c r="H8432" s="28">
        <f>IFERROR(VLOOKUP(F8432,CARTON_LOOKUP!$A:$E,4,0),"")</f>
      </c>
      <c r="I8432" s="28">
        <f>IFERROR(VLOOKUP(F8432,CARTON_LOOKUP!$A:$E,5,0),"")</f>
      </c>
      <c r="J8432" s="29">
        <f>IFERROR(VLOOKUP(F8432,CARTON_LOOKUP!$A:$E,2,0),"")</f>
      </c>
      <c r="K8432" s="29">
        <f>IFERROR(J8432*D8432,0)</f>
      </c>
      <c r="L8432" s="29">
        <f>IFERROR(E8432*C8432,0)</f>
      </c>
      <c r="M8432" s="29">
        <f>IFERROR((G8432*H8432*I8432/1000000)*D8432,0)</f>
      </c>
    </row>
    <row r="8433" spans="1:13" x14ac:dyDescent="0.25">
      <c r="A8433" s="16"/>
      <c r="E8433" s="27"/>
      <c r="F8433" t="s">
        <v>26</v>
      </c>
      <c r="G8433" s="28">
        <f>IFERROR(VLOOKUP(F8433,CARTON_LOOKUP!$A:$E,3,0),"")</f>
      </c>
      <c r="H8433" s="28">
        <f>IFERROR(VLOOKUP(F8433,CARTON_LOOKUP!$A:$E,4,0),"")</f>
      </c>
      <c r="I8433" s="28">
        <f>IFERROR(VLOOKUP(F8433,CARTON_LOOKUP!$A:$E,5,0),"")</f>
      </c>
      <c r="J8433" s="29">
        <f>IFERROR(VLOOKUP(F8433,CARTON_LOOKUP!$A:$E,2,0),"")</f>
      </c>
      <c r="K8433" s="29">
        <f>IFERROR(J8433*D8433,0)</f>
      </c>
      <c r="L8433" s="29">
        <f>IFERROR(E8433*C8433,0)</f>
      </c>
      <c r="M8433" s="29">
        <f>IFERROR((G8433*H8433*I8433/1000000)*D8433,0)</f>
      </c>
    </row>
    <row r="8434" spans="1:13" x14ac:dyDescent="0.25">
      <c r="A8434" s="16"/>
      <c r="E8434" s="27"/>
      <c r="F8434" t="s">
        <v>26</v>
      </c>
      <c r="G8434" s="28">
        <f>IFERROR(VLOOKUP(F8434,CARTON_LOOKUP!$A:$E,3,0),"")</f>
      </c>
      <c r="H8434" s="28">
        <f>IFERROR(VLOOKUP(F8434,CARTON_LOOKUP!$A:$E,4,0),"")</f>
      </c>
      <c r="I8434" s="28">
        <f>IFERROR(VLOOKUP(F8434,CARTON_LOOKUP!$A:$E,5,0),"")</f>
      </c>
      <c r="J8434" s="29">
        <f>IFERROR(VLOOKUP(F8434,CARTON_LOOKUP!$A:$E,2,0),"")</f>
      </c>
      <c r="K8434" s="29">
        <f>IFERROR(J8434*D8434,0)</f>
      </c>
      <c r="L8434" s="29">
        <f>IFERROR(E8434*C8434,0)</f>
      </c>
      <c r="M8434" s="29">
        <f>IFERROR((G8434*H8434*I8434/1000000)*D8434,0)</f>
      </c>
    </row>
    <row r="8435" spans="1:13" x14ac:dyDescent="0.25">
      <c r="A8435" s="16"/>
      <c r="E8435" s="27"/>
      <c r="F8435" t="s">
        <v>26</v>
      </c>
      <c r="G8435" s="28">
        <f>IFERROR(VLOOKUP(F8435,CARTON_LOOKUP!$A:$E,3,0),"")</f>
      </c>
      <c r="H8435" s="28">
        <f>IFERROR(VLOOKUP(F8435,CARTON_LOOKUP!$A:$E,4,0),"")</f>
      </c>
      <c r="I8435" s="28">
        <f>IFERROR(VLOOKUP(F8435,CARTON_LOOKUP!$A:$E,5,0),"")</f>
      </c>
      <c r="J8435" s="29">
        <f>IFERROR(VLOOKUP(F8435,CARTON_LOOKUP!$A:$E,2,0),"")</f>
      </c>
      <c r="K8435" s="29">
        <f>IFERROR(J8435*D8435,0)</f>
      </c>
      <c r="L8435" s="29">
        <f>IFERROR(E8435*C8435,0)</f>
      </c>
      <c r="M8435" s="29">
        <f>IFERROR((G8435*H8435*I8435/1000000)*D8435,0)</f>
      </c>
    </row>
    <row r="8436" spans="1:13" x14ac:dyDescent="0.25">
      <c r="A8436" s="16"/>
      <c r="E8436" s="27"/>
      <c r="F8436" t="s">
        <v>26</v>
      </c>
      <c r="G8436" s="28">
        <f>IFERROR(VLOOKUP(F8436,CARTON_LOOKUP!$A:$E,3,0),"")</f>
      </c>
      <c r="H8436" s="28">
        <f>IFERROR(VLOOKUP(F8436,CARTON_LOOKUP!$A:$E,4,0),"")</f>
      </c>
      <c r="I8436" s="28">
        <f>IFERROR(VLOOKUP(F8436,CARTON_LOOKUP!$A:$E,5,0),"")</f>
      </c>
      <c r="J8436" s="29">
        <f>IFERROR(VLOOKUP(F8436,CARTON_LOOKUP!$A:$E,2,0),"")</f>
      </c>
      <c r="K8436" s="29">
        <f>IFERROR(J8436*D8436,0)</f>
      </c>
      <c r="L8436" s="29">
        <f>IFERROR(E8436*C8436,0)</f>
      </c>
      <c r="M8436" s="29">
        <f>IFERROR((G8436*H8436*I8436/1000000)*D8436,0)</f>
      </c>
    </row>
    <row r="8437" spans="1:13" x14ac:dyDescent="0.25">
      <c r="A8437" s="16"/>
      <c r="E8437" s="27"/>
      <c r="F8437" t="s">
        <v>26</v>
      </c>
      <c r="G8437" s="28">
        <f>IFERROR(VLOOKUP(F8437,CARTON_LOOKUP!$A:$E,3,0),"")</f>
      </c>
      <c r="H8437" s="28">
        <f>IFERROR(VLOOKUP(F8437,CARTON_LOOKUP!$A:$E,4,0),"")</f>
      </c>
      <c r="I8437" s="28">
        <f>IFERROR(VLOOKUP(F8437,CARTON_LOOKUP!$A:$E,5,0),"")</f>
      </c>
      <c r="J8437" s="29">
        <f>IFERROR(VLOOKUP(F8437,CARTON_LOOKUP!$A:$E,2,0),"")</f>
      </c>
      <c r="K8437" s="29">
        <f>IFERROR(J8437*D8437,0)</f>
      </c>
      <c r="L8437" s="29">
        <f>IFERROR(E8437*C8437,0)</f>
      </c>
      <c r="M8437" s="29">
        <f>IFERROR((G8437*H8437*I8437/1000000)*D8437,0)</f>
      </c>
    </row>
    <row r="8438" spans="1:13" x14ac:dyDescent="0.25">
      <c r="A8438" s="16"/>
      <c r="E8438" s="27"/>
      <c r="F8438" t="s">
        <v>26</v>
      </c>
      <c r="G8438" s="28">
        <f>IFERROR(VLOOKUP(F8438,CARTON_LOOKUP!$A:$E,3,0),"")</f>
      </c>
      <c r="H8438" s="28">
        <f>IFERROR(VLOOKUP(F8438,CARTON_LOOKUP!$A:$E,4,0),"")</f>
      </c>
      <c r="I8438" s="28">
        <f>IFERROR(VLOOKUP(F8438,CARTON_LOOKUP!$A:$E,5,0),"")</f>
      </c>
      <c r="J8438" s="29">
        <f>IFERROR(VLOOKUP(F8438,CARTON_LOOKUP!$A:$E,2,0),"")</f>
      </c>
      <c r="K8438" s="29">
        <f>IFERROR(J8438*D8438,0)</f>
      </c>
      <c r="L8438" s="29">
        <f>IFERROR(E8438*C8438,0)</f>
      </c>
      <c r="M8438" s="29">
        <f>IFERROR((G8438*H8438*I8438/1000000)*D8438,0)</f>
      </c>
    </row>
    <row r="8439" spans="1:13" x14ac:dyDescent="0.25">
      <c r="A8439" s="16"/>
      <c r="E8439" s="27"/>
      <c r="F8439" t="s">
        <v>26</v>
      </c>
      <c r="G8439" s="28">
        <f>IFERROR(VLOOKUP(F8439,CARTON_LOOKUP!$A:$E,3,0),"")</f>
      </c>
      <c r="H8439" s="28">
        <f>IFERROR(VLOOKUP(F8439,CARTON_LOOKUP!$A:$E,4,0),"")</f>
      </c>
      <c r="I8439" s="28">
        <f>IFERROR(VLOOKUP(F8439,CARTON_LOOKUP!$A:$E,5,0),"")</f>
      </c>
      <c r="J8439" s="29">
        <f>IFERROR(VLOOKUP(F8439,CARTON_LOOKUP!$A:$E,2,0),"")</f>
      </c>
      <c r="K8439" s="29">
        <f>IFERROR(J8439*D8439,0)</f>
      </c>
      <c r="L8439" s="29">
        <f>IFERROR(E8439*C8439,0)</f>
      </c>
      <c r="M8439" s="29">
        <f>IFERROR((G8439*H8439*I8439/1000000)*D8439,0)</f>
      </c>
    </row>
    <row r="8440" spans="1:13" x14ac:dyDescent="0.25">
      <c r="A8440" s="16"/>
      <c r="E8440" s="27"/>
      <c r="F8440" t="s">
        <v>26</v>
      </c>
      <c r="G8440" s="28">
        <f>IFERROR(VLOOKUP(F8440,CARTON_LOOKUP!$A:$E,3,0),"")</f>
      </c>
      <c r="H8440" s="28">
        <f>IFERROR(VLOOKUP(F8440,CARTON_LOOKUP!$A:$E,4,0),"")</f>
      </c>
      <c r="I8440" s="28">
        <f>IFERROR(VLOOKUP(F8440,CARTON_LOOKUP!$A:$E,5,0),"")</f>
      </c>
      <c r="J8440" s="29">
        <f>IFERROR(VLOOKUP(F8440,CARTON_LOOKUP!$A:$E,2,0),"")</f>
      </c>
      <c r="K8440" s="29">
        <f>IFERROR(J8440*D8440,0)</f>
      </c>
      <c r="L8440" s="29">
        <f>IFERROR(E8440*C8440,0)</f>
      </c>
      <c r="M8440" s="29">
        <f>IFERROR((G8440*H8440*I8440/1000000)*D8440,0)</f>
      </c>
    </row>
    <row r="8441" spans="1:13" x14ac:dyDescent="0.25">
      <c r="A8441" s="16"/>
      <c r="E8441" s="27"/>
      <c r="F8441" t="s">
        <v>26</v>
      </c>
      <c r="G8441" s="28">
        <f>IFERROR(VLOOKUP(F8441,CARTON_LOOKUP!$A:$E,3,0),"")</f>
      </c>
      <c r="H8441" s="28">
        <f>IFERROR(VLOOKUP(F8441,CARTON_LOOKUP!$A:$E,4,0),"")</f>
      </c>
      <c r="I8441" s="28">
        <f>IFERROR(VLOOKUP(F8441,CARTON_LOOKUP!$A:$E,5,0),"")</f>
      </c>
      <c r="J8441" s="29">
        <f>IFERROR(VLOOKUP(F8441,CARTON_LOOKUP!$A:$E,2,0),"")</f>
      </c>
      <c r="K8441" s="29">
        <f>IFERROR(J8441*D8441,0)</f>
      </c>
      <c r="L8441" s="29">
        <f>IFERROR(E8441*C8441,0)</f>
      </c>
      <c r="M8441" s="29">
        <f>IFERROR((G8441*H8441*I8441/1000000)*D8441,0)</f>
      </c>
    </row>
    <row r="8442" spans="1:13" x14ac:dyDescent="0.25">
      <c r="A8442" s="16"/>
      <c r="E8442" s="27"/>
      <c r="F8442" t="s">
        <v>26</v>
      </c>
      <c r="G8442" s="28">
        <f>IFERROR(VLOOKUP(F8442,CARTON_LOOKUP!$A:$E,3,0),"")</f>
      </c>
      <c r="H8442" s="28">
        <f>IFERROR(VLOOKUP(F8442,CARTON_LOOKUP!$A:$E,4,0),"")</f>
      </c>
      <c r="I8442" s="28">
        <f>IFERROR(VLOOKUP(F8442,CARTON_LOOKUP!$A:$E,5,0),"")</f>
      </c>
      <c r="J8442" s="29">
        <f>IFERROR(VLOOKUP(F8442,CARTON_LOOKUP!$A:$E,2,0),"")</f>
      </c>
      <c r="K8442" s="29">
        <f>IFERROR(J8442*D8442,0)</f>
      </c>
      <c r="L8442" s="29">
        <f>IFERROR(E8442*C8442,0)</f>
      </c>
      <c r="M8442" s="29">
        <f>IFERROR((G8442*H8442*I8442/1000000)*D8442,0)</f>
      </c>
    </row>
    <row r="8443" spans="1:13" x14ac:dyDescent="0.25">
      <c r="A8443" s="16"/>
      <c r="E8443" s="27"/>
      <c r="F8443" t="s">
        <v>26</v>
      </c>
      <c r="G8443" s="28">
        <f>IFERROR(VLOOKUP(F8443,CARTON_LOOKUP!$A:$E,3,0),"")</f>
      </c>
      <c r="H8443" s="28">
        <f>IFERROR(VLOOKUP(F8443,CARTON_LOOKUP!$A:$E,4,0),"")</f>
      </c>
      <c r="I8443" s="28">
        <f>IFERROR(VLOOKUP(F8443,CARTON_LOOKUP!$A:$E,5,0),"")</f>
      </c>
      <c r="J8443" s="29">
        <f>IFERROR(VLOOKUP(F8443,CARTON_LOOKUP!$A:$E,2,0),"")</f>
      </c>
      <c r="K8443" s="29">
        <f>IFERROR(J8443*D8443,0)</f>
      </c>
      <c r="L8443" s="29">
        <f>IFERROR(E8443*C8443,0)</f>
      </c>
      <c r="M8443" s="29">
        <f>IFERROR((G8443*H8443*I8443/1000000)*D8443,0)</f>
      </c>
    </row>
    <row r="8444" spans="1:13" x14ac:dyDescent="0.25">
      <c r="A8444" s="16"/>
      <c r="E8444" s="27"/>
      <c r="F8444" t="s">
        <v>26</v>
      </c>
      <c r="G8444" s="28">
        <f>IFERROR(VLOOKUP(F8444,CARTON_LOOKUP!$A:$E,3,0),"")</f>
      </c>
      <c r="H8444" s="28">
        <f>IFERROR(VLOOKUP(F8444,CARTON_LOOKUP!$A:$E,4,0),"")</f>
      </c>
      <c r="I8444" s="28">
        <f>IFERROR(VLOOKUP(F8444,CARTON_LOOKUP!$A:$E,5,0),"")</f>
      </c>
      <c r="J8444" s="29">
        <f>IFERROR(VLOOKUP(F8444,CARTON_LOOKUP!$A:$E,2,0),"")</f>
      </c>
      <c r="K8444" s="29">
        <f>IFERROR(J8444*D8444,0)</f>
      </c>
      <c r="L8444" s="29">
        <f>IFERROR(E8444*C8444,0)</f>
      </c>
      <c r="M8444" s="29">
        <f>IFERROR((G8444*H8444*I8444/1000000)*D8444,0)</f>
      </c>
    </row>
    <row r="8445" spans="1:13" x14ac:dyDescent="0.25">
      <c r="A8445" s="16"/>
      <c r="E8445" s="27"/>
      <c r="F8445" t="s">
        <v>26</v>
      </c>
      <c r="G8445" s="28">
        <f>IFERROR(VLOOKUP(F8445,CARTON_LOOKUP!$A:$E,3,0),"")</f>
      </c>
      <c r="H8445" s="28">
        <f>IFERROR(VLOOKUP(F8445,CARTON_LOOKUP!$A:$E,4,0),"")</f>
      </c>
      <c r="I8445" s="28">
        <f>IFERROR(VLOOKUP(F8445,CARTON_LOOKUP!$A:$E,5,0),"")</f>
      </c>
      <c r="J8445" s="29">
        <f>IFERROR(VLOOKUP(F8445,CARTON_LOOKUP!$A:$E,2,0),"")</f>
      </c>
      <c r="K8445" s="29">
        <f>IFERROR(J8445*D8445,0)</f>
      </c>
      <c r="L8445" s="29">
        <f>IFERROR(E8445*C8445,0)</f>
      </c>
      <c r="M8445" s="29">
        <f>IFERROR((G8445*H8445*I8445/1000000)*D8445,0)</f>
      </c>
    </row>
    <row r="8446" spans="1:13" x14ac:dyDescent="0.25">
      <c r="A8446" s="16"/>
      <c r="E8446" s="27"/>
      <c r="F8446" t="s">
        <v>26</v>
      </c>
      <c r="G8446" s="28">
        <f>IFERROR(VLOOKUP(F8446,CARTON_LOOKUP!$A:$E,3,0),"")</f>
      </c>
      <c r="H8446" s="28">
        <f>IFERROR(VLOOKUP(F8446,CARTON_LOOKUP!$A:$E,4,0),"")</f>
      </c>
      <c r="I8446" s="28">
        <f>IFERROR(VLOOKUP(F8446,CARTON_LOOKUP!$A:$E,5,0),"")</f>
      </c>
      <c r="J8446" s="29">
        <f>IFERROR(VLOOKUP(F8446,CARTON_LOOKUP!$A:$E,2,0),"")</f>
      </c>
      <c r="K8446" s="29">
        <f>IFERROR(J8446*D8446,0)</f>
      </c>
      <c r="L8446" s="29">
        <f>IFERROR(E8446*C8446,0)</f>
      </c>
      <c r="M8446" s="29">
        <f>IFERROR((G8446*H8446*I8446/1000000)*D8446,0)</f>
      </c>
    </row>
    <row r="8447" spans="1:13" x14ac:dyDescent="0.25">
      <c r="A8447" s="16"/>
      <c r="E8447" s="27"/>
      <c r="F8447" t="s">
        <v>26</v>
      </c>
      <c r="G8447" s="28">
        <f>IFERROR(VLOOKUP(F8447,CARTON_LOOKUP!$A:$E,3,0),"")</f>
      </c>
      <c r="H8447" s="28">
        <f>IFERROR(VLOOKUP(F8447,CARTON_LOOKUP!$A:$E,4,0),"")</f>
      </c>
      <c r="I8447" s="28">
        <f>IFERROR(VLOOKUP(F8447,CARTON_LOOKUP!$A:$E,5,0),"")</f>
      </c>
      <c r="J8447" s="29">
        <f>IFERROR(VLOOKUP(F8447,CARTON_LOOKUP!$A:$E,2,0),"")</f>
      </c>
      <c r="K8447" s="29">
        <f>IFERROR(J8447*D8447,0)</f>
      </c>
      <c r="L8447" s="29">
        <f>IFERROR(E8447*C8447,0)</f>
      </c>
      <c r="M8447" s="29">
        <f>IFERROR((G8447*H8447*I8447/1000000)*D8447,0)</f>
      </c>
    </row>
    <row r="8448" spans="1:13" x14ac:dyDescent="0.25">
      <c r="A8448" s="16"/>
      <c r="E8448" s="27"/>
      <c r="F8448" t="s">
        <v>26</v>
      </c>
      <c r="G8448" s="28">
        <f>IFERROR(VLOOKUP(F8448,CARTON_LOOKUP!$A:$E,3,0),"")</f>
      </c>
      <c r="H8448" s="28">
        <f>IFERROR(VLOOKUP(F8448,CARTON_LOOKUP!$A:$E,4,0),"")</f>
      </c>
      <c r="I8448" s="28">
        <f>IFERROR(VLOOKUP(F8448,CARTON_LOOKUP!$A:$E,5,0),"")</f>
      </c>
      <c r="J8448" s="29">
        <f>IFERROR(VLOOKUP(F8448,CARTON_LOOKUP!$A:$E,2,0),"")</f>
      </c>
      <c r="K8448" s="29">
        <f>IFERROR(J8448*D8448,0)</f>
      </c>
      <c r="L8448" s="29">
        <f>IFERROR(E8448*C8448,0)</f>
      </c>
      <c r="M8448" s="29">
        <f>IFERROR((G8448*H8448*I8448/1000000)*D8448,0)</f>
      </c>
    </row>
    <row r="8449" spans="1:13" x14ac:dyDescent="0.25">
      <c r="A8449" s="16"/>
      <c r="E8449" s="27"/>
      <c r="F8449" t="s">
        <v>26</v>
      </c>
      <c r="G8449" s="28">
        <f>IFERROR(VLOOKUP(F8449,CARTON_LOOKUP!$A:$E,3,0),"")</f>
      </c>
      <c r="H8449" s="28">
        <f>IFERROR(VLOOKUP(F8449,CARTON_LOOKUP!$A:$E,4,0),"")</f>
      </c>
      <c r="I8449" s="28">
        <f>IFERROR(VLOOKUP(F8449,CARTON_LOOKUP!$A:$E,5,0),"")</f>
      </c>
      <c r="J8449" s="29">
        <f>IFERROR(VLOOKUP(F8449,CARTON_LOOKUP!$A:$E,2,0),"")</f>
      </c>
      <c r="K8449" s="29">
        <f>IFERROR(J8449*D8449,0)</f>
      </c>
      <c r="L8449" s="29">
        <f>IFERROR(E8449*C8449,0)</f>
      </c>
      <c r="M8449" s="29">
        <f>IFERROR((G8449*H8449*I8449/1000000)*D8449,0)</f>
      </c>
    </row>
    <row r="8450" spans="1:13" x14ac:dyDescent="0.25">
      <c r="A8450" s="16"/>
      <c r="E8450" s="27"/>
      <c r="F8450" t="s">
        <v>26</v>
      </c>
      <c r="G8450" s="28">
        <f>IFERROR(VLOOKUP(F8450,CARTON_LOOKUP!$A:$E,3,0),"")</f>
      </c>
      <c r="H8450" s="28">
        <f>IFERROR(VLOOKUP(F8450,CARTON_LOOKUP!$A:$E,4,0),"")</f>
      </c>
      <c r="I8450" s="28">
        <f>IFERROR(VLOOKUP(F8450,CARTON_LOOKUP!$A:$E,5,0),"")</f>
      </c>
      <c r="J8450" s="29">
        <f>IFERROR(VLOOKUP(F8450,CARTON_LOOKUP!$A:$E,2,0),"")</f>
      </c>
      <c r="K8450" s="29">
        <f>IFERROR(J8450*D8450,0)</f>
      </c>
      <c r="L8450" s="29">
        <f>IFERROR(E8450*C8450,0)</f>
      </c>
      <c r="M8450" s="29">
        <f>IFERROR((G8450*H8450*I8450/1000000)*D8450,0)</f>
      </c>
    </row>
    <row r="8451" spans="1:13" x14ac:dyDescent="0.25">
      <c r="A8451" s="16"/>
      <c r="E8451" s="27"/>
      <c r="F8451" t="s">
        <v>26</v>
      </c>
      <c r="G8451" s="28">
        <f>IFERROR(VLOOKUP(F8451,CARTON_LOOKUP!$A:$E,3,0),"")</f>
      </c>
      <c r="H8451" s="28">
        <f>IFERROR(VLOOKUP(F8451,CARTON_LOOKUP!$A:$E,4,0),"")</f>
      </c>
      <c r="I8451" s="28">
        <f>IFERROR(VLOOKUP(F8451,CARTON_LOOKUP!$A:$E,5,0),"")</f>
      </c>
      <c r="J8451" s="29">
        <f>IFERROR(VLOOKUP(F8451,CARTON_LOOKUP!$A:$E,2,0),"")</f>
      </c>
      <c r="K8451" s="29">
        <f>IFERROR(J8451*D8451,0)</f>
      </c>
      <c r="L8451" s="29">
        <f>IFERROR(E8451*C8451,0)</f>
      </c>
      <c r="M8451" s="29">
        <f>IFERROR((G8451*H8451*I8451/1000000)*D8451,0)</f>
      </c>
    </row>
    <row r="8452" spans="1:13" x14ac:dyDescent="0.25">
      <c r="A8452" s="16"/>
      <c r="E8452" s="27"/>
      <c r="F8452" t="s">
        <v>26</v>
      </c>
      <c r="G8452" s="28">
        <f>IFERROR(VLOOKUP(F8452,CARTON_LOOKUP!$A:$E,3,0),"")</f>
      </c>
      <c r="H8452" s="28">
        <f>IFERROR(VLOOKUP(F8452,CARTON_LOOKUP!$A:$E,4,0),"")</f>
      </c>
      <c r="I8452" s="28">
        <f>IFERROR(VLOOKUP(F8452,CARTON_LOOKUP!$A:$E,5,0),"")</f>
      </c>
      <c r="J8452" s="29">
        <f>IFERROR(VLOOKUP(F8452,CARTON_LOOKUP!$A:$E,2,0),"")</f>
      </c>
      <c r="K8452" s="29">
        <f>IFERROR(J8452*D8452,0)</f>
      </c>
      <c r="L8452" s="29">
        <f>IFERROR(E8452*C8452,0)</f>
      </c>
      <c r="M8452" s="29">
        <f>IFERROR((G8452*H8452*I8452/1000000)*D8452,0)</f>
      </c>
    </row>
    <row r="8453" spans="1:13" x14ac:dyDescent="0.25">
      <c r="A8453" s="16"/>
      <c r="E8453" s="27"/>
      <c r="F8453" t="s">
        <v>26</v>
      </c>
      <c r="G8453" s="28">
        <f>IFERROR(VLOOKUP(F8453,CARTON_LOOKUP!$A:$E,3,0),"")</f>
      </c>
      <c r="H8453" s="28">
        <f>IFERROR(VLOOKUP(F8453,CARTON_LOOKUP!$A:$E,4,0),"")</f>
      </c>
      <c r="I8453" s="28">
        <f>IFERROR(VLOOKUP(F8453,CARTON_LOOKUP!$A:$E,5,0),"")</f>
      </c>
      <c r="J8453" s="29">
        <f>IFERROR(VLOOKUP(F8453,CARTON_LOOKUP!$A:$E,2,0),"")</f>
      </c>
      <c r="K8453" s="29">
        <f>IFERROR(J8453*D8453,0)</f>
      </c>
      <c r="L8453" s="29">
        <f>IFERROR(E8453*C8453,0)</f>
      </c>
      <c r="M8453" s="29">
        <f>IFERROR((G8453*H8453*I8453/1000000)*D8453,0)</f>
      </c>
    </row>
    <row r="8454" spans="1:13" x14ac:dyDescent="0.25">
      <c r="A8454" s="16"/>
      <c r="E8454" s="27"/>
      <c r="F8454" t="s">
        <v>26</v>
      </c>
      <c r="G8454" s="28">
        <f>IFERROR(VLOOKUP(F8454,CARTON_LOOKUP!$A:$E,3,0),"")</f>
      </c>
      <c r="H8454" s="28">
        <f>IFERROR(VLOOKUP(F8454,CARTON_LOOKUP!$A:$E,4,0),"")</f>
      </c>
      <c r="I8454" s="28">
        <f>IFERROR(VLOOKUP(F8454,CARTON_LOOKUP!$A:$E,5,0),"")</f>
      </c>
      <c r="J8454" s="29">
        <f>IFERROR(VLOOKUP(F8454,CARTON_LOOKUP!$A:$E,2,0),"")</f>
      </c>
      <c r="K8454" s="29">
        <f>IFERROR(J8454*D8454,0)</f>
      </c>
      <c r="L8454" s="29">
        <f>IFERROR(E8454*C8454,0)</f>
      </c>
      <c r="M8454" s="29">
        <f>IFERROR((G8454*H8454*I8454/1000000)*D8454,0)</f>
      </c>
    </row>
    <row r="8455" spans="1:13" x14ac:dyDescent="0.25">
      <c r="A8455" s="16"/>
      <c r="E8455" s="27"/>
      <c r="F8455" t="s">
        <v>26</v>
      </c>
      <c r="G8455" s="28">
        <f>IFERROR(VLOOKUP(F8455,CARTON_LOOKUP!$A:$E,3,0),"")</f>
      </c>
      <c r="H8455" s="28">
        <f>IFERROR(VLOOKUP(F8455,CARTON_LOOKUP!$A:$E,4,0),"")</f>
      </c>
      <c r="I8455" s="28">
        <f>IFERROR(VLOOKUP(F8455,CARTON_LOOKUP!$A:$E,5,0),"")</f>
      </c>
      <c r="J8455" s="29">
        <f>IFERROR(VLOOKUP(F8455,CARTON_LOOKUP!$A:$E,2,0),"")</f>
      </c>
      <c r="K8455" s="29">
        <f>IFERROR(J8455*D8455,0)</f>
      </c>
      <c r="L8455" s="29">
        <f>IFERROR(E8455*C8455,0)</f>
      </c>
      <c r="M8455" s="29">
        <f>IFERROR((G8455*H8455*I8455/1000000)*D8455,0)</f>
      </c>
    </row>
    <row r="8456" spans="1:13" x14ac:dyDescent="0.25">
      <c r="A8456" s="16"/>
      <c r="E8456" s="27"/>
      <c r="F8456" t="s">
        <v>26</v>
      </c>
      <c r="G8456" s="28">
        <f>IFERROR(VLOOKUP(F8456,CARTON_LOOKUP!$A:$E,3,0),"")</f>
      </c>
      <c r="H8456" s="28">
        <f>IFERROR(VLOOKUP(F8456,CARTON_LOOKUP!$A:$E,4,0),"")</f>
      </c>
      <c r="I8456" s="28">
        <f>IFERROR(VLOOKUP(F8456,CARTON_LOOKUP!$A:$E,5,0),"")</f>
      </c>
      <c r="J8456" s="29">
        <f>IFERROR(VLOOKUP(F8456,CARTON_LOOKUP!$A:$E,2,0),"")</f>
      </c>
      <c r="K8456" s="29">
        <f>IFERROR(J8456*D8456,0)</f>
      </c>
      <c r="L8456" s="29">
        <f>IFERROR(E8456*C8456,0)</f>
      </c>
      <c r="M8456" s="29">
        <f>IFERROR((G8456*H8456*I8456/1000000)*D8456,0)</f>
      </c>
    </row>
    <row r="8457" spans="1:13" x14ac:dyDescent="0.25">
      <c r="A8457" s="16"/>
      <c r="E8457" s="27"/>
      <c r="F8457" t="s">
        <v>26</v>
      </c>
      <c r="G8457" s="28">
        <f>IFERROR(VLOOKUP(F8457,CARTON_LOOKUP!$A:$E,3,0),"")</f>
      </c>
      <c r="H8457" s="28">
        <f>IFERROR(VLOOKUP(F8457,CARTON_LOOKUP!$A:$E,4,0),"")</f>
      </c>
      <c r="I8457" s="28">
        <f>IFERROR(VLOOKUP(F8457,CARTON_LOOKUP!$A:$E,5,0),"")</f>
      </c>
      <c r="J8457" s="29">
        <f>IFERROR(VLOOKUP(F8457,CARTON_LOOKUP!$A:$E,2,0),"")</f>
      </c>
      <c r="K8457" s="29">
        <f>IFERROR(J8457*D8457,0)</f>
      </c>
      <c r="L8457" s="29">
        <f>IFERROR(E8457*C8457,0)</f>
      </c>
      <c r="M8457" s="29">
        <f>IFERROR((G8457*H8457*I8457/1000000)*D8457,0)</f>
      </c>
    </row>
    <row r="8458" spans="1:13" x14ac:dyDescent="0.25">
      <c r="A8458" s="16"/>
      <c r="E8458" s="27"/>
      <c r="F8458" t="s">
        <v>26</v>
      </c>
      <c r="G8458" s="28">
        <f>IFERROR(VLOOKUP(F8458,CARTON_LOOKUP!$A:$E,3,0),"")</f>
      </c>
      <c r="H8458" s="28">
        <f>IFERROR(VLOOKUP(F8458,CARTON_LOOKUP!$A:$E,4,0),"")</f>
      </c>
      <c r="I8458" s="28">
        <f>IFERROR(VLOOKUP(F8458,CARTON_LOOKUP!$A:$E,5,0),"")</f>
      </c>
      <c r="J8458" s="29">
        <f>IFERROR(VLOOKUP(F8458,CARTON_LOOKUP!$A:$E,2,0),"")</f>
      </c>
      <c r="K8458" s="29">
        <f>IFERROR(J8458*D8458,0)</f>
      </c>
      <c r="L8458" s="29">
        <f>IFERROR(E8458*C8458,0)</f>
      </c>
      <c r="M8458" s="29">
        <f>IFERROR((G8458*H8458*I8458/1000000)*D8458,0)</f>
      </c>
    </row>
    <row r="8459" spans="1:13" x14ac:dyDescent="0.25">
      <c r="A8459" s="16"/>
      <c r="E8459" s="27"/>
      <c r="F8459" t="s">
        <v>26</v>
      </c>
      <c r="G8459" s="28">
        <f>IFERROR(VLOOKUP(F8459,CARTON_LOOKUP!$A:$E,3,0),"")</f>
      </c>
      <c r="H8459" s="28">
        <f>IFERROR(VLOOKUP(F8459,CARTON_LOOKUP!$A:$E,4,0),"")</f>
      </c>
      <c r="I8459" s="28">
        <f>IFERROR(VLOOKUP(F8459,CARTON_LOOKUP!$A:$E,5,0),"")</f>
      </c>
      <c r="J8459" s="29">
        <f>IFERROR(VLOOKUP(F8459,CARTON_LOOKUP!$A:$E,2,0),"")</f>
      </c>
      <c r="K8459" s="29">
        <f>IFERROR(J8459*D8459,0)</f>
      </c>
      <c r="L8459" s="29">
        <f>IFERROR(E8459*C8459,0)</f>
      </c>
      <c r="M8459" s="29">
        <f>IFERROR((G8459*H8459*I8459/1000000)*D8459,0)</f>
      </c>
    </row>
    <row r="8460" spans="1:13" x14ac:dyDescent="0.25">
      <c r="A8460" s="16"/>
      <c r="E8460" s="27"/>
      <c r="F8460" t="s">
        <v>26</v>
      </c>
      <c r="G8460" s="28">
        <f>IFERROR(VLOOKUP(F8460,CARTON_LOOKUP!$A:$E,3,0),"")</f>
      </c>
      <c r="H8460" s="28">
        <f>IFERROR(VLOOKUP(F8460,CARTON_LOOKUP!$A:$E,4,0),"")</f>
      </c>
      <c r="I8460" s="28">
        <f>IFERROR(VLOOKUP(F8460,CARTON_LOOKUP!$A:$E,5,0),"")</f>
      </c>
      <c r="J8460" s="29">
        <f>IFERROR(VLOOKUP(F8460,CARTON_LOOKUP!$A:$E,2,0),"")</f>
      </c>
      <c r="K8460" s="29">
        <f>IFERROR(J8460*D8460,0)</f>
      </c>
      <c r="L8460" s="29">
        <f>IFERROR(E8460*C8460,0)</f>
      </c>
      <c r="M8460" s="29">
        <f>IFERROR((G8460*H8460*I8460/1000000)*D8460,0)</f>
      </c>
    </row>
    <row r="8461" spans="1:13" x14ac:dyDescent="0.25">
      <c r="A8461" s="16"/>
      <c r="E8461" s="27"/>
      <c r="F8461" t="s">
        <v>26</v>
      </c>
      <c r="G8461" s="28">
        <f>IFERROR(VLOOKUP(F8461,CARTON_LOOKUP!$A:$E,3,0),"")</f>
      </c>
      <c r="H8461" s="28">
        <f>IFERROR(VLOOKUP(F8461,CARTON_LOOKUP!$A:$E,4,0),"")</f>
      </c>
      <c r="I8461" s="28">
        <f>IFERROR(VLOOKUP(F8461,CARTON_LOOKUP!$A:$E,5,0),"")</f>
      </c>
      <c r="J8461" s="29">
        <f>IFERROR(VLOOKUP(F8461,CARTON_LOOKUP!$A:$E,2,0),"")</f>
      </c>
      <c r="K8461" s="29">
        <f>IFERROR(J8461*D8461,0)</f>
      </c>
      <c r="L8461" s="29">
        <f>IFERROR(E8461*C8461,0)</f>
      </c>
      <c r="M8461" s="29">
        <f>IFERROR((G8461*H8461*I8461/1000000)*D8461,0)</f>
      </c>
    </row>
    <row r="8462" spans="1:13" x14ac:dyDescent="0.25">
      <c r="A8462" s="16"/>
      <c r="E8462" s="27"/>
      <c r="F8462" t="s">
        <v>26</v>
      </c>
      <c r="G8462" s="28">
        <f>IFERROR(VLOOKUP(F8462,CARTON_LOOKUP!$A:$E,3,0),"")</f>
      </c>
      <c r="H8462" s="28">
        <f>IFERROR(VLOOKUP(F8462,CARTON_LOOKUP!$A:$E,4,0),"")</f>
      </c>
      <c r="I8462" s="28">
        <f>IFERROR(VLOOKUP(F8462,CARTON_LOOKUP!$A:$E,5,0),"")</f>
      </c>
      <c r="J8462" s="29">
        <f>IFERROR(VLOOKUP(F8462,CARTON_LOOKUP!$A:$E,2,0),"")</f>
      </c>
      <c r="K8462" s="29">
        <f>IFERROR(J8462*D8462,0)</f>
      </c>
      <c r="L8462" s="29">
        <f>IFERROR(E8462*C8462,0)</f>
      </c>
      <c r="M8462" s="29">
        <f>IFERROR((G8462*H8462*I8462/1000000)*D8462,0)</f>
      </c>
    </row>
    <row r="8463" spans="1:13" x14ac:dyDescent="0.25">
      <c r="A8463" s="16"/>
      <c r="E8463" s="27"/>
      <c r="F8463" t="s">
        <v>26</v>
      </c>
      <c r="G8463" s="28">
        <f>IFERROR(VLOOKUP(F8463,CARTON_LOOKUP!$A:$E,3,0),"")</f>
      </c>
      <c r="H8463" s="28">
        <f>IFERROR(VLOOKUP(F8463,CARTON_LOOKUP!$A:$E,4,0),"")</f>
      </c>
      <c r="I8463" s="28">
        <f>IFERROR(VLOOKUP(F8463,CARTON_LOOKUP!$A:$E,5,0),"")</f>
      </c>
      <c r="J8463" s="29">
        <f>IFERROR(VLOOKUP(F8463,CARTON_LOOKUP!$A:$E,2,0),"")</f>
      </c>
      <c r="K8463" s="29">
        <f>IFERROR(J8463*D8463,0)</f>
      </c>
      <c r="L8463" s="29">
        <f>IFERROR(E8463*C8463,0)</f>
      </c>
      <c r="M8463" s="29">
        <f>IFERROR((G8463*H8463*I8463/1000000)*D8463,0)</f>
      </c>
    </row>
    <row r="8464" spans="1:13" x14ac:dyDescent="0.25">
      <c r="A8464" s="16"/>
      <c r="E8464" s="27"/>
      <c r="F8464" t="s">
        <v>26</v>
      </c>
      <c r="G8464" s="28">
        <f>IFERROR(VLOOKUP(F8464,CARTON_LOOKUP!$A:$E,3,0),"")</f>
      </c>
      <c r="H8464" s="28">
        <f>IFERROR(VLOOKUP(F8464,CARTON_LOOKUP!$A:$E,4,0),"")</f>
      </c>
      <c r="I8464" s="28">
        <f>IFERROR(VLOOKUP(F8464,CARTON_LOOKUP!$A:$E,5,0),"")</f>
      </c>
      <c r="J8464" s="29">
        <f>IFERROR(VLOOKUP(F8464,CARTON_LOOKUP!$A:$E,2,0),"")</f>
      </c>
      <c r="K8464" s="29">
        <f>IFERROR(J8464*D8464,0)</f>
      </c>
      <c r="L8464" s="29">
        <f>IFERROR(E8464*C8464,0)</f>
      </c>
      <c r="M8464" s="29">
        <f>IFERROR((G8464*H8464*I8464/1000000)*D8464,0)</f>
      </c>
    </row>
    <row r="8465" spans="1:13" x14ac:dyDescent="0.25">
      <c r="A8465" s="16"/>
      <c r="E8465" s="27"/>
      <c r="F8465" t="s">
        <v>26</v>
      </c>
      <c r="G8465" s="28">
        <f>IFERROR(VLOOKUP(F8465,CARTON_LOOKUP!$A:$E,3,0),"")</f>
      </c>
      <c r="H8465" s="28">
        <f>IFERROR(VLOOKUP(F8465,CARTON_LOOKUP!$A:$E,4,0),"")</f>
      </c>
      <c r="I8465" s="28">
        <f>IFERROR(VLOOKUP(F8465,CARTON_LOOKUP!$A:$E,5,0),"")</f>
      </c>
      <c r="J8465" s="29">
        <f>IFERROR(VLOOKUP(F8465,CARTON_LOOKUP!$A:$E,2,0),"")</f>
      </c>
      <c r="K8465" s="29">
        <f>IFERROR(J8465*D8465,0)</f>
      </c>
      <c r="L8465" s="29">
        <f>IFERROR(E8465*C8465,0)</f>
      </c>
      <c r="M8465" s="29">
        <f>IFERROR((G8465*H8465*I8465/1000000)*D8465,0)</f>
      </c>
    </row>
    <row r="8466" spans="1:13" x14ac:dyDescent="0.25">
      <c r="A8466" s="16"/>
      <c r="E8466" s="27"/>
      <c r="F8466" t="s">
        <v>26</v>
      </c>
      <c r="G8466" s="28">
        <f>IFERROR(VLOOKUP(F8466,CARTON_LOOKUP!$A:$E,3,0),"")</f>
      </c>
      <c r="H8466" s="28">
        <f>IFERROR(VLOOKUP(F8466,CARTON_LOOKUP!$A:$E,4,0),"")</f>
      </c>
      <c r="I8466" s="28">
        <f>IFERROR(VLOOKUP(F8466,CARTON_LOOKUP!$A:$E,5,0),"")</f>
      </c>
      <c r="J8466" s="29">
        <f>IFERROR(VLOOKUP(F8466,CARTON_LOOKUP!$A:$E,2,0),"")</f>
      </c>
      <c r="K8466" s="29">
        <f>IFERROR(J8466*D8466,0)</f>
      </c>
      <c r="L8466" s="29">
        <f>IFERROR(E8466*C8466,0)</f>
      </c>
      <c r="M8466" s="29">
        <f>IFERROR((G8466*H8466*I8466/1000000)*D8466,0)</f>
      </c>
    </row>
    <row r="8467" spans="1:13" x14ac:dyDescent="0.25">
      <c r="A8467" s="16"/>
      <c r="E8467" s="27"/>
      <c r="F8467" t="s">
        <v>26</v>
      </c>
      <c r="G8467" s="28">
        <f>IFERROR(VLOOKUP(F8467,CARTON_LOOKUP!$A:$E,3,0),"")</f>
      </c>
      <c r="H8467" s="28">
        <f>IFERROR(VLOOKUP(F8467,CARTON_LOOKUP!$A:$E,4,0),"")</f>
      </c>
      <c r="I8467" s="28">
        <f>IFERROR(VLOOKUP(F8467,CARTON_LOOKUP!$A:$E,5,0),"")</f>
      </c>
      <c r="J8467" s="29">
        <f>IFERROR(VLOOKUP(F8467,CARTON_LOOKUP!$A:$E,2,0),"")</f>
      </c>
      <c r="K8467" s="29">
        <f>IFERROR(J8467*D8467,0)</f>
      </c>
      <c r="L8467" s="29">
        <f>IFERROR(E8467*C8467,0)</f>
      </c>
      <c r="M8467" s="29">
        <f>IFERROR((G8467*H8467*I8467/1000000)*D8467,0)</f>
      </c>
    </row>
    <row r="8468" spans="1:13" x14ac:dyDescent="0.25">
      <c r="A8468" s="16"/>
      <c r="E8468" s="27"/>
      <c r="F8468" t="s">
        <v>26</v>
      </c>
      <c r="G8468" s="28">
        <f>IFERROR(VLOOKUP(F8468,CARTON_LOOKUP!$A:$E,3,0),"")</f>
      </c>
      <c r="H8468" s="28">
        <f>IFERROR(VLOOKUP(F8468,CARTON_LOOKUP!$A:$E,4,0),"")</f>
      </c>
      <c r="I8468" s="28">
        <f>IFERROR(VLOOKUP(F8468,CARTON_LOOKUP!$A:$E,5,0),"")</f>
      </c>
      <c r="J8468" s="29">
        <f>IFERROR(VLOOKUP(F8468,CARTON_LOOKUP!$A:$E,2,0),"")</f>
      </c>
      <c r="K8468" s="29">
        <f>IFERROR(J8468*D8468,0)</f>
      </c>
      <c r="L8468" s="29">
        <f>IFERROR(E8468*C8468,0)</f>
      </c>
      <c r="M8468" s="29">
        <f>IFERROR((G8468*H8468*I8468/1000000)*D8468,0)</f>
      </c>
    </row>
    <row r="8469" spans="1:13" x14ac:dyDescent="0.25">
      <c r="A8469" s="16"/>
      <c r="E8469" s="27"/>
      <c r="F8469" t="s">
        <v>26</v>
      </c>
      <c r="G8469" s="28">
        <f>IFERROR(VLOOKUP(F8469,CARTON_LOOKUP!$A:$E,3,0),"")</f>
      </c>
      <c r="H8469" s="28">
        <f>IFERROR(VLOOKUP(F8469,CARTON_LOOKUP!$A:$E,4,0),"")</f>
      </c>
      <c r="I8469" s="28">
        <f>IFERROR(VLOOKUP(F8469,CARTON_LOOKUP!$A:$E,5,0),"")</f>
      </c>
      <c r="J8469" s="29">
        <f>IFERROR(VLOOKUP(F8469,CARTON_LOOKUP!$A:$E,2,0),"")</f>
      </c>
      <c r="K8469" s="29">
        <f>IFERROR(J8469*D8469,0)</f>
      </c>
      <c r="L8469" s="29">
        <f>IFERROR(E8469*C8469,0)</f>
      </c>
      <c r="M8469" s="29">
        <f>IFERROR((G8469*H8469*I8469/1000000)*D8469,0)</f>
      </c>
    </row>
    <row r="8470" spans="1:13" x14ac:dyDescent="0.25">
      <c r="A8470" s="16"/>
      <c r="E8470" s="27"/>
      <c r="F8470" t="s">
        <v>26</v>
      </c>
      <c r="G8470" s="28">
        <f>IFERROR(VLOOKUP(F8470,CARTON_LOOKUP!$A:$E,3,0),"")</f>
      </c>
      <c r="H8470" s="28">
        <f>IFERROR(VLOOKUP(F8470,CARTON_LOOKUP!$A:$E,4,0),"")</f>
      </c>
      <c r="I8470" s="28">
        <f>IFERROR(VLOOKUP(F8470,CARTON_LOOKUP!$A:$E,5,0),"")</f>
      </c>
      <c r="J8470" s="29">
        <f>IFERROR(VLOOKUP(F8470,CARTON_LOOKUP!$A:$E,2,0),"")</f>
      </c>
      <c r="K8470" s="29">
        <f>IFERROR(J8470*D8470,0)</f>
      </c>
      <c r="L8470" s="29">
        <f>IFERROR(E8470*C8470,0)</f>
      </c>
      <c r="M8470" s="29">
        <f>IFERROR((G8470*H8470*I8470/1000000)*D8470,0)</f>
      </c>
    </row>
    <row r="8471" spans="1:13" x14ac:dyDescent="0.25">
      <c r="A8471" s="16"/>
      <c r="E8471" s="27"/>
      <c r="F8471" t="s">
        <v>26</v>
      </c>
      <c r="G8471" s="28">
        <f>IFERROR(VLOOKUP(F8471,CARTON_LOOKUP!$A:$E,3,0),"")</f>
      </c>
      <c r="H8471" s="28">
        <f>IFERROR(VLOOKUP(F8471,CARTON_LOOKUP!$A:$E,4,0),"")</f>
      </c>
      <c r="I8471" s="28">
        <f>IFERROR(VLOOKUP(F8471,CARTON_LOOKUP!$A:$E,5,0),"")</f>
      </c>
      <c r="J8471" s="29">
        <f>IFERROR(VLOOKUP(F8471,CARTON_LOOKUP!$A:$E,2,0),"")</f>
      </c>
      <c r="K8471" s="29">
        <f>IFERROR(J8471*D8471,0)</f>
      </c>
      <c r="L8471" s="29">
        <f>IFERROR(E8471*C8471,0)</f>
      </c>
      <c r="M8471" s="29">
        <f>IFERROR((G8471*H8471*I8471/1000000)*D8471,0)</f>
      </c>
    </row>
    <row r="8472" spans="1:13" x14ac:dyDescent="0.25">
      <c r="A8472" s="16"/>
      <c r="E8472" s="27"/>
      <c r="F8472" t="s">
        <v>26</v>
      </c>
      <c r="G8472" s="28">
        <f>IFERROR(VLOOKUP(F8472,CARTON_LOOKUP!$A:$E,3,0),"")</f>
      </c>
      <c r="H8472" s="28">
        <f>IFERROR(VLOOKUP(F8472,CARTON_LOOKUP!$A:$E,4,0),"")</f>
      </c>
      <c r="I8472" s="28">
        <f>IFERROR(VLOOKUP(F8472,CARTON_LOOKUP!$A:$E,5,0),"")</f>
      </c>
      <c r="J8472" s="29">
        <f>IFERROR(VLOOKUP(F8472,CARTON_LOOKUP!$A:$E,2,0),"")</f>
      </c>
      <c r="K8472" s="29">
        <f>IFERROR(J8472*D8472,0)</f>
      </c>
      <c r="L8472" s="29">
        <f>IFERROR(E8472*C8472,0)</f>
      </c>
      <c r="M8472" s="29">
        <f>IFERROR((G8472*H8472*I8472/1000000)*D8472,0)</f>
      </c>
    </row>
    <row r="8473" spans="1:13" x14ac:dyDescent="0.25">
      <c r="A8473" s="16"/>
      <c r="E8473" s="27"/>
      <c r="F8473" t="s">
        <v>26</v>
      </c>
      <c r="G8473" s="28">
        <f>IFERROR(VLOOKUP(F8473,CARTON_LOOKUP!$A:$E,3,0),"")</f>
      </c>
      <c r="H8473" s="28">
        <f>IFERROR(VLOOKUP(F8473,CARTON_LOOKUP!$A:$E,4,0),"")</f>
      </c>
      <c r="I8473" s="28">
        <f>IFERROR(VLOOKUP(F8473,CARTON_LOOKUP!$A:$E,5,0),"")</f>
      </c>
      <c r="J8473" s="29">
        <f>IFERROR(VLOOKUP(F8473,CARTON_LOOKUP!$A:$E,2,0),"")</f>
      </c>
      <c r="K8473" s="29">
        <f>IFERROR(J8473*D8473,0)</f>
      </c>
      <c r="L8473" s="29">
        <f>IFERROR(E8473*C8473,0)</f>
      </c>
      <c r="M8473" s="29">
        <f>IFERROR((G8473*H8473*I8473/1000000)*D8473,0)</f>
      </c>
    </row>
    <row r="8474" spans="1:13" x14ac:dyDescent="0.25">
      <c r="A8474" s="16"/>
      <c r="E8474" s="27"/>
      <c r="F8474" t="s">
        <v>26</v>
      </c>
      <c r="G8474" s="28">
        <f>IFERROR(VLOOKUP(F8474,CARTON_LOOKUP!$A:$E,3,0),"")</f>
      </c>
      <c r="H8474" s="28">
        <f>IFERROR(VLOOKUP(F8474,CARTON_LOOKUP!$A:$E,4,0),"")</f>
      </c>
      <c r="I8474" s="28">
        <f>IFERROR(VLOOKUP(F8474,CARTON_LOOKUP!$A:$E,5,0),"")</f>
      </c>
      <c r="J8474" s="29">
        <f>IFERROR(VLOOKUP(F8474,CARTON_LOOKUP!$A:$E,2,0),"")</f>
      </c>
      <c r="K8474" s="29">
        <f>IFERROR(J8474*D8474,0)</f>
      </c>
      <c r="L8474" s="29">
        <f>IFERROR(E8474*C8474,0)</f>
      </c>
      <c r="M8474" s="29">
        <f>IFERROR((G8474*H8474*I8474/1000000)*D8474,0)</f>
      </c>
    </row>
    <row r="8475" spans="1:13" x14ac:dyDescent="0.25">
      <c r="A8475" s="16"/>
      <c r="E8475" s="27"/>
      <c r="F8475" t="s">
        <v>26</v>
      </c>
      <c r="G8475" s="28">
        <f>IFERROR(VLOOKUP(F8475,CARTON_LOOKUP!$A:$E,3,0),"")</f>
      </c>
      <c r="H8475" s="28">
        <f>IFERROR(VLOOKUP(F8475,CARTON_LOOKUP!$A:$E,4,0),"")</f>
      </c>
      <c r="I8475" s="28">
        <f>IFERROR(VLOOKUP(F8475,CARTON_LOOKUP!$A:$E,5,0),"")</f>
      </c>
      <c r="J8475" s="29">
        <f>IFERROR(VLOOKUP(F8475,CARTON_LOOKUP!$A:$E,2,0),"")</f>
      </c>
      <c r="K8475" s="29">
        <f>IFERROR(J8475*D8475,0)</f>
      </c>
      <c r="L8475" s="29">
        <f>IFERROR(E8475*C8475,0)</f>
      </c>
      <c r="M8475" s="29">
        <f>IFERROR((G8475*H8475*I8475/1000000)*D8475,0)</f>
      </c>
    </row>
    <row r="8476" spans="1:13" x14ac:dyDescent="0.25">
      <c r="A8476" s="16"/>
      <c r="E8476" s="27"/>
      <c r="F8476" t="s">
        <v>26</v>
      </c>
      <c r="G8476" s="28">
        <f>IFERROR(VLOOKUP(F8476,CARTON_LOOKUP!$A:$E,3,0),"")</f>
      </c>
      <c r="H8476" s="28">
        <f>IFERROR(VLOOKUP(F8476,CARTON_LOOKUP!$A:$E,4,0),"")</f>
      </c>
      <c r="I8476" s="28">
        <f>IFERROR(VLOOKUP(F8476,CARTON_LOOKUP!$A:$E,5,0),"")</f>
      </c>
      <c r="J8476" s="29">
        <f>IFERROR(VLOOKUP(F8476,CARTON_LOOKUP!$A:$E,2,0),"")</f>
      </c>
      <c r="K8476" s="29">
        <f>IFERROR(J8476*D8476,0)</f>
      </c>
      <c r="L8476" s="29">
        <f>IFERROR(E8476*C8476,0)</f>
      </c>
      <c r="M8476" s="29">
        <f>IFERROR((G8476*H8476*I8476/1000000)*D8476,0)</f>
      </c>
    </row>
    <row r="8477" spans="1:13" x14ac:dyDescent="0.25">
      <c r="A8477" s="16"/>
      <c r="E8477" s="27"/>
      <c r="F8477" t="s">
        <v>26</v>
      </c>
      <c r="G8477" s="28">
        <f>IFERROR(VLOOKUP(F8477,CARTON_LOOKUP!$A:$E,3,0),"")</f>
      </c>
      <c r="H8477" s="28">
        <f>IFERROR(VLOOKUP(F8477,CARTON_LOOKUP!$A:$E,4,0),"")</f>
      </c>
      <c r="I8477" s="28">
        <f>IFERROR(VLOOKUP(F8477,CARTON_LOOKUP!$A:$E,5,0),"")</f>
      </c>
      <c r="J8477" s="29">
        <f>IFERROR(VLOOKUP(F8477,CARTON_LOOKUP!$A:$E,2,0),"")</f>
      </c>
      <c r="K8477" s="29">
        <f>IFERROR(J8477*D8477,0)</f>
      </c>
      <c r="L8477" s="29">
        <f>IFERROR(E8477*C8477,0)</f>
      </c>
      <c r="M8477" s="29">
        <f>IFERROR((G8477*H8477*I8477/1000000)*D8477,0)</f>
      </c>
    </row>
    <row r="8478" spans="1:13" x14ac:dyDescent="0.25">
      <c r="A8478" s="16"/>
      <c r="E8478" s="27"/>
      <c r="F8478" t="s">
        <v>26</v>
      </c>
      <c r="G8478" s="28">
        <f>IFERROR(VLOOKUP(F8478,CARTON_LOOKUP!$A:$E,3,0),"")</f>
      </c>
      <c r="H8478" s="28">
        <f>IFERROR(VLOOKUP(F8478,CARTON_LOOKUP!$A:$E,4,0),"")</f>
      </c>
      <c r="I8478" s="28">
        <f>IFERROR(VLOOKUP(F8478,CARTON_LOOKUP!$A:$E,5,0),"")</f>
      </c>
      <c r="J8478" s="29">
        <f>IFERROR(VLOOKUP(F8478,CARTON_LOOKUP!$A:$E,2,0),"")</f>
      </c>
      <c r="K8478" s="29">
        <f>IFERROR(J8478*D8478,0)</f>
      </c>
      <c r="L8478" s="29">
        <f>IFERROR(E8478*C8478,0)</f>
      </c>
      <c r="M8478" s="29">
        <f>IFERROR((G8478*H8478*I8478/1000000)*D8478,0)</f>
      </c>
    </row>
    <row r="8479" spans="1:13" x14ac:dyDescent="0.25">
      <c r="A8479" s="16"/>
      <c r="E8479" s="27"/>
      <c r="F8479" t="s">
        <v>26</v>
      </c>
      <c r="G8479" s="28">
        <f>IFERROR(VLOOKUP(F8479,CARTON_LOOKUP!$A:$E,3,0),"")</f>
      </c>
      <c r="H8479" s="28">
        <f>IFERROR(VLOOKUP(F8479,CARTON_LOOKUP!$A:$E,4,0),"")</f>
      </c>
      <c r="I8479" s="28">
        <f>IFERROR(VLOOKUP(F8479,CARTON_LOOKUP!$A:$E,5,0),"")</f>
      </c>
      <c r="J8479" s="29">
        <f>IFERROR(VLOOKUP(F8479,CARTON_LOOKUP!$A:$E,2,0),"")</f>
      </c>
      <c r="K8479" s="29">
        <f>IFERROR(J8479*D8479,0)</f>
      </c>
      <c r="L8479" s="29">
        <f>IFERROR(E8479*C8479,0)</f>
      </c>
      <c r="M8479" s="29">
        <f>IFERROR((G8479*H8479*I8479/1000000)*D8479,0)</f>
      </c>
    </row>
    <row r="8480" spans="1:13" x14ac:dyDescent="0.25">
      <c r="A8480" s="16"/>
      <c r="E8480" s="27"/>
      <c r="F8480" t="s">
        <v>26</v>
      </c>
      <c r="G8480" s="28">
        <f>IFERROR(VLOOKUP(F8480,CARTON_LOOKUP!$A:$E,3,0),"")</f>
      </c>
      <c r="H8480" s="28">
        <f>IFERROR(VLOOKUP(F8480,CARTON_LOOKUP!$A:$E,4,0),"")</f>
      </c>
      <c r="I8480" s="28">
        <f>IFERROR(VLOOKUP(F8480,CARTON_LOOKUP!$A:$E,5,0),"")</f>
      </c>
      <c r="J8480" s="29">
        <f>IFERROR(VLOOKUP(F8480,CARTON_LOOKUP!$A:$E,2,0),"")</f>
      </c>
      <c r="K8480" s="29">
        <f>IFERROR(J8480*D8480,0)</f>
      </c>
      <c r="L8480" s="29">
        <f>IFERROR(E8480*C8480,0)</f>
      </c>
      <c r="M8480" s="29">
        <f>IFERROR((G8480*H8480*I8480/1000000)*D8480,0)</f>
      </c>
    </row>
    <row r="8481" spans="1:13" x14ac:dyDescent="0.25">
      <c r="A8481" s="16"/>
      <c r="E8481" s="27"/>
      <c r="F8481" t="s">
        <v>26</v>
      </c>
      <c r="G8481" s="28">
        <f>IFERROR(VLOOKUP(F8481,CARTON_LOOKUP!$A:$E,3,0),"")</f>
      </c>
      <c r="H8481" s="28">
        <f>IFERROR(VLOOKUP(F8481,CARTON_LOOKUP!$A:$E,4,0),"")</f>
      </c>
      <c r="I8481" s="28">
        <f>IFERROR(VLOOKUP(F8481,CARTON_LOOKUP!$A:$E,5,0),"")</f>
      </c>
      <c r="J8481" s="29">
        <f>IFERROR(VLOOKUP(F8481,CARTON_LOOKUP!$A:$E,2,0),"")</f>
      </c>
      <c r="K8481" s="29">
        <f>IFERROR(J8481*D8481,0)</f>
      </c>
      <c r="L8481" s="29">
        <f>IFERROR(E8481*C8481,0)</f>
      </c>
      <c r="M8481" s="29">
        <f>IFERROR((G8481*H8481*I8481/1000000)*D8481,0)</f>
      </c>
    </row>
    <row r="8482" spans="1:13" x14ac:dyDescent="0.25">
      <c r="A8482" s="16"/>
      <c r="E8482" s="27"/>
      <c r="F8482" t="s">
        <v>26</v>
      </c>
      <c r="G8482" s="28">
        <f>IFERROR(VLOOKUP(F8482,CARTON_LOOKUP!$A:$E,3,0),"")</f>
      </c>
      <c r="H8482" s="28">
        <f>IFERROR(VLOOKUP(F8482,CARTON_LOOKUP!$A:$E,4,0),"")</f>
      </c>
      <c r="I8482" s="28">
        <f>IFERROR(VLOOKUP(F8482,CARTON_LOOKUP!$A:$E,5,0),"")</f>
      </c>
      <c r="J8482" s="29">
        <f>IFERROR(VLOOKUP(F8482,CARTON_LOOKUP!$A:$E,2,0),"")</f>
      </c>
      <c r="K8482" s="29">
        <f>IFERROR(J8482*D8482,0)</f>
      </c>
      <c r="L8482" s="29">
        <f>IFERROR(E8482*C8482,0)</f>
      </c>
      <c r="M8482" s="29">
        <f>IFERROR((G8482*H8482*I8482/1000000)*D8482,0)</f>
      </c>
    </row>
    <row r="8483" spans="1:13" x14ac:dyDescent="0.25">
      <c r="A8483" s="16"/>
      <c r="E8483" s="27"/>
      <c r="F8483" t="s">
        <v>26</v>
      </c>
      <c r="G8483" s="28">
        <f>IFERROR(VLOOKUP(F8483,CARTON_LOOKUP!$A:$E,3,0),"")</f>
      </c>
      <c r="H8483" s="28">
        <f>IFERROR(VLOOKUP(F8483,CARTON_LOOKUP!$A:$E,4,0),"")</f>
      </c>
      <c r="I8483" s="28">
        <f>IFERROR(VLOOKUP(F8483,CARTON_LOOKUP!$A:$E,5,0),"")</f>
      </c>
      <c r="J8483" s="29">
        <f>IFERROR(VLOOKUP(F8483,CARTON_LOOKUP!$A:$E,2,0),"")</f>
      </c>
      <c r="K8483" s="29">
        <f>IFERROR(J8483*D8483,0)</f>
      </c>
      <c r="L8483" s="29">
        <f>IFERROR(E8483*C8483,0)</f>
      </c>
      <c r="M8483" s="29">
        <f>IFERROR((G8483*H8483*I8483/1000000)*D8483,0)</f>
      </c>
    </row>
    <row r="8484" spans="1:13" x14ac:dyDescent="0.25">
      <c r="A8484" s="16"/>
      <c r="E8484" s="27"/>
      <c r="F8484" t="s">
        <v>26</v>
      </c>
      <c r="G8484" s="28">
        <f>IFERROR(VLOOKUP(F8484,CARTON_LOOKUP!$A:$E,3,0),"")</f>
      </c>
      <c r="H8484" s="28">
        <f>IFERROR(VLOOKUP(F8484,CARTON_LOOKUP!$A:$E,4,0),"")</f>
      </c>
      <c r="I8484" s="28">
        <f>IFERROR(VLOOKUP(F8484,CARTON_LOOKUP!$A:$E,5,0),"")</f>
      </c>
      <c r="J8484" s="29">
        <f>IFERROR(VLOOKUP(F8484,CARTON_LOOKUP!$A:$E,2,0),"")</f>
      </c>
      <c r="K8484" s="29">
        <f>IFERROR(J8484*D8484,0)</f>
      </c>
      <c r="L8484" s="29">
        <f>IFERROR(E8484*C8484,0)</f>
      </c>
      <c r="M8484" s="29">
        <f>IFERROR((G8484*H8484*I8484/1000000)*D8484,0)</f>
      </c>
    </row>
    <row r="8485" spans="1:13" x14ac:dyDescent="0.25">
      <c r="A8485" s="16"/>
      <c r="E8485" s="27"/>
      <c r="F8485" t="s">
        <v>26</v>
      </c>
      <c r="G8485" s="28">
        <f>IFERROR(VLOOKUP(F8485,CARTON_LOOKUP!$A:$E,3,0),"")</f>
      </c>
      <c r="H8485" s="28">
        <f>IFERROR(VLOOKUP(F8485,CARTON_LOOKUP!$A:$E,4,0),"")</f>
      </c>
      <c r="I8485" s="28">
        <f>IFERROR(VLOOKUP(F8485,CARTON_LOOKUP!$A:$E,5,0),"")</f>
      </c>
      <c r="J8485" s="29">
        <f>IFERROR(VLOOKUP(F8485,CARTON_LOOKUP!$A:$E,2,0),"")</f>
      </c>
      <c r="K8485" s="29">
        <f>IFERROR(J8485*D8485,0)</f>
      </c>
      <c r="L8485" s="29">
        <f>IFERROR(E8485*C8485,0)</f>
      </c>
      <c r="M8485" s="29">
        <f>IFERROR((G8485*H8485*I8485/1000000)*D8485,0)</f>
      </c>
    </row>
    <row r="8486" spans="1:13" x14ac:dyDescent="0.25">
      <c r="A8486" s="16"/>
      <c r="E8486" s="27"/>
      <c r="F8486" t="s">
        <v>26</v>
      </c>
      <c r="G8486" s="28">
        <f>IFERROR(VLOOKUP(F8486,CARTON_LOOKUP!$A:$E,3,0),"")</f>
      </c>
      <c r="H8486" s="28">
        <f>IFERROR(VLOOKUP(F8486,CARTON_LOOKUP!$A:$E,4,0),"")</f>
      </c>
      <c r="I8486" s="28">
        <f>IFERROR(VLOOKUP(F8486,CARTON_LOOKUP!$A:$E,5,0),"")</f>
      </c>
      <c r="J8486" s="29">
        <f>IFERROR(VLOOKUP(F8486,CARTON_LOOKUP!$A:$E,2,0),"")</f>
      </c>
      <c r="K8486" s="29">
        <f>IFERROR(J8486*D8486,0)</f>
      </c>
      <c r="L8486" s="29">
        <f>IFERROR(E8486*C8486,0)</f>
      </c>
      <c r="M8486" s="29">
        <f>IFERROR((G8486*H8486*I8486/1000000)*D8486,0)</f>
      </c>
    </row>
    <row r="8487" spans="1:13" x14ac:dyDescent="0.25">
      <c r="A8487" s="16"/>
      <c r="E8487" s="27"/>
      <c r="F8487" t="s">
        <v>26</v>
      </c>
      <c r="G8487" s="28">
        <f>IFERROR(VLOOKUP(F8487,CARTON_LOOKUP!$A:$E,3,0),"")</f>
      </c>
      <c r="H8487" s="28">
        <f>IFERROR(VLOOKUP(F8487,CARTON_LOOKUP!$A:$E,4,0),"")</f>
      </c>
      <c r="I8487" s="28">
        <f>IFERROR(VLOOKUP(F8487,CARTON_LOOKUP!$A:$E,5,0),"")</f>
      </c>
      <c r="J8487" s="29">
        <f>IFERROR(VLOOKUP(F8487,CARTON_LOOKUP!$A:$E,2,0),"")</f>
      </c>
      <c r="K8487" s="29">
        <f>IFERROR(J8487*D8487,0)</f>
      </c>
      <c r="L8487" s="29">
        <f>IFERROR(E8487*C8487,0)</f>
      </c>
      <c r="M8487" s="29">
        <f>IFERROR((G8487*H8487*I8487/1000000)*D8487,0)</f>
      </c>
    </row>
    <row r="8488" spans="1:13" x14ac:dyDescent="0.25">
      <c r="A8488" s="16"/>
      <c r="E8488" s="27"/>
      <c r="F8488" t="s">
        <v>26</v>
      </c>
      <c r="G8488" s="28">
        <f>IFERROR(VLOOKUP(F8488,CARTON_LOOKUP!$A:$E,3,0),"")</f>
      </c>
      <c r="H8488" s="28">
        <f>IFERROR(VLOOKUP(F8488,CARTON_LOOKUP!$A:$E,4,0),"")</f>
      </c>
      <c r="I8488" s="28">
        <f>IFERROR(VLOOKUP(F8488,CARTON_LOOKUP!$A:$E,5,0),"")</f>
      </c>
      <c r="J8488" s="29">
        <f>IFERROR(VLOOKUP(F8488,CARTON_LOOKUP!$A:$E,2,0),"")</f>
      </c>
      <c r="K8488" s="29">
        <f>IFERROR(J8488*D8488,0)</f>
      </c>
      <c r="L8488" s="29">
        <f>IFERROR(E8488*C8488,0)</f>
      </c>
      <c r="M8488" s="29">
        <f>IFERROR((G8488*H8488*I8488/1000000)*D8488,0)</f>
      </c>
    </row>
    <row r="8489" spans="1:13" x14ac:dyDescent="0.25">
      <c r="A8489" s="16"/>
      <c r="E8489" s="27"/>
      <c r="F8489" t="s">
        <v>26</v>
      </c>
      <c r="G8489" s="28">
        <f>IFERROR(VLOOKUP(F8489,CARTON_LOOKUP!$A:$E,3,0),"")</f>
      </c>
      <c r="H8489" s="28">
        <f>IFERROR(VLOOKUP(F8489,CARTON_LOOKUP!$A:$E,4,0),"")</f>
      </c>
      <c r="I8489" s="28">
        <f>IFERROR(VLOOKUP(F8489,CARTON_LOOKUP!$A:$E,5,0),"")</f>
      </c>
      <c r="J8489" s="29">
        <f>IFERROR(VLOOKUP(F8489,CARTON_LOOKUP!$A:$E,2,0),"")</f>
      </c>
      <c r="K8489" s="29">
        <f>IFERROR(J8489*D8489,0)</f>
      </c>
      <c r="L8489" s="29">
        <f>IFERROR(E8489*C8489,0)</f>
      </c>
      <c r="M8489" s="29">
        <f>IFERROR((G8489*H8489*I8489/1000000)*D8489,0)</f>
      </c>
    </row>
    <row r="8490" spans="1:13" x14ac:dyDescent="0.25">
      <c r="A8490" s="16"/>
      <c r="E8490" s="27"/>
      <c r="F8490" t="s">
        <v>26</v>
      </c>
      <c r="G8490" s="28">
        <f>IFERROR(VLOOKUP(F8490,CARTON_LOOKUP!$A:$E,3,0),"")</f>
      </c>
      <c r="H8490" s="28">
        <f>IFERROR(VLOOKUP(F8490,CARTON_LOOKUP!$A:$E,4,0),"")</f>
      </c>
      <c r="I8490" s="28">
        <f>IFERROR(VLOOKUP(F8490,CARTON_LOOKUP!$A:$E,5,0),"")</f>
      </c>
      <c r="J8490" s="29">
        <f>IFERROR(VLOOKUP(F8490,CARTON_LOOKUP!$A:$E,2,0),"")</f>
      </c>
      <c r="K8490" s="29">
        <f>IFERROR(J8490*D8490,0)</f>
      </c>
      <c r="L8490" s="29">
        <f>IFERROR(E8490*C8490,0)</f>
      </c>
      <c r="M8490" s="29">
        <f>IFERROR((G8490*H8490*I8490/1000000)*D8490,0)</f>
      </c>
    </row>
    <row r="8491" spans="1:13" x14ac:dyDescent="0.25">
      <c r="A8491" s="16"/>
      <c r="E8491" s="27"/>
      <c r="F8491" t="s">
        <v>26</v>
      </c>
      <c r="G8491" s="28">
        <f>IFERROR(VLOOKUP(F8491,CARTON_LOOKUP!$A:$E,3,0),"")</f>
      </c>
      <c r="H8491" s="28">
        <f>IFERROR(VLOOKUP(F8491,CARTON_LOOKUP!$A:$E,4,0),"")</f>
      </c>
      <c r="I8491" s="28">
        <f>IFERROR(VLOOKUP(F8491,CARTON_LOOKUP!$A:$E,5,0),"")</f>
      </c>
      <c r="J8491" s="29">
        <f>IFERROR(VLOOKUP(F8491,CARTON_LOOKUP!$A:$E,2,0),"")</f>
      </c>
      <c r="K8491" s="29">
        <f>IFERROR(J8491*D8491,0)</f>
      </c>
      <c r="L8491" s="29">
        <f>IFERROR(E8491*C8491,0)</f>
      </c>
      <c r="M8491" s="29">
        <f>IFERROR((G8491*H8491*I8491/1000000)*D8491,0)</f>
      </c>
    </row>
    <row r="8492" spans="1:13" x14ac:dyDescent="0.25">
      <c r="A8492" s="16"/>
      <c r="E8492" s="27"/>
      <c r="F8492" t="s">
        <v>26</v>
      </c>
      <c r="G8492" s="28">
        <f>IFERROR(VLOOKUP(F8492,CARTON_LOOKUP!$A:$E,3,0),"")</f>
      </c>
      <c r="H8492" s="28">
        <f>IFERROR(VLOOKUP(F8492,CARTON_LOOKUP!$A:$E,4,0),"")</f>
      </c>
      <c r="I8492" s="28">
        <f>IFERROR(VLOOKUP(F8492,CARTON_LOOKUP!$A:$E,5,0),"")</f>
      </c>
      <c r="J8492" s="29">
        <f>IFERROR(VLOOKUP(F8492,CARTON_LOOKUP!$A:$E,2,0),"")</f>
      </c>
      <c r="K8492" s="29">
        <f>IFERROR(J8492*D8492,0)</f>
      </c>
      <c r="L8492" s="29">
        <f>IFERROR(E8492*C8492,0)</f>
      </c>
      <c r="M8492" s="29">
        <f>IFERROR((G8492*H8492*I8492/1000000)*D8492,0)</f>
      </c>
    </row>
    <row r="8493" spans="1:13" x14ac:dyDescent="0.25">
      <c r="A8493" s="16"/>
      <c r="E8493" s="27"/>
      <c r="F8493" t="s">
        <v>26</v>
      </c>
      <c r="G8493" s="28">
        <f>IFERROR(VLOOKUP(F8493,CARTON_LOOKUP!$A:$E,3,0),"")</f>
      </c>
      <c r="H8493" s="28">
        <f>IFERROR(VLOOKUP(F8493,CARTON_LOOKUP!$A:$E,4,0),"")</f>
      </c>
      <c r="I8493" s="28">
        <f>IFERROR(VLOOKUP(F8493,CARTON_LOOKUP!$A:$E,5,0),"")</f>
      </c>
      <c r="J8493" s="29">
        <f>IFERROR(VLOOKUP(F8493,CARTON_LOOKUP!$A:$E,2,0),"")</f>
      </c>
      <c r="K8493" s="29">
        <f>IFERROR(J8493*D8493,0)</f>
      </c>
      <c r="L8493" s="29">
        <f>IFERROR(E8493*C8493,0)</f>
      </c>
      <c r="M8493" s="29">
        <f>IFERROR((G8493*H8493*I8493/1000000)*D8493,0)</f>
      </c>
    </row>
    <row r="8494" spans="1:13" x14ac:dyDescent="0.25">
      <c r="A8494" s="16"/>
      <c r="E8494" s="27"/>
      <c r="F8494" t="s">
        <v>26</v>
      </c>
      <c r="G8494" s="28">
        <f>IFERROR(VLOOKUP(F8494,CARTON_LOOKUP!$A:$E,3,0),"")</f>
      </c>
      <c r="H8494" s="28">
        <f>IFERROR(VLOOKUP(F8494,CARTON_LOOKUP!$A:$E,4,0),"")</f>
      </c>
      <c r="I8494" s="28">
        <f>IFERROR(VLOOKUP(F8494,CARTON_LOOKUP!$A:$E,5,0),"")</f>
      </c>
      <c r="J8494" s="29">
        <f>IFERROR(VLOOKUP(F8494,CARTON_LOOKUP!$A:$E,2,0),"")</f>
      </c>
      <c r="K8494" s="29">
        <f>IFERROR(J8494*D8494,0)</f>
      </c>
      <c r="L8494" s="29">
        <f>IFERROR(E8494*C8494,0)</f>
      </c>
      <c r="M8494" s="29">
        <f>IFERROR((G8494*H8494*I8494/1000000)*D8494,0)</f>
      </c>
    </row>
    <row r="8495" spans="1:13" x14ac:dyDescent="0.25">
      <c r="A8495" s="16"/>
      <c r="E8495" s="27"/>
      <c r="F8495" t="s">
        <v>26</v>
      </c>
      <c r="G8495" s="28">
        <f>IFERROR(VLOOKUP(F8495,CARTON_LOOKUP!$A:$E,3,0),"")</f>
      </c>
      <c r="H8495" s="28">
        <f>IFERROR(VLOOKUP(F8495,CARTON_LOOKUP!$A:$E,4,0),"")</f>
      </c>
      <c r="I8495" s="28">
        <f>IFERROR(VLOOKUP(F8495,CARTON_LOOKUP!$A:$E,5,0),"")</f>
      </c>
      <c r="J8495" s="29">
        <f>IFERROR(VLOOKUP(F8495,CARTON_LOOKUP!$A:$E,2,0),"")</f>
      </c>
      <c r="K8495" s="29">
        <f>IFERROR(J8495*D8495,0)</f>
      </c>
      <c r="L8495" s="29">
        <f>IFERROR(E8495*C8495,0)</f>
      </c>
      <c r="M8495" s="29">
        <f>IFERROR((G8495*H8495*I8495/1000000)*D8495,0)</f>
      </c>
    </row>
    <row r="8496" spans="1:13" x14ac:dyDescent="0.25">
      <c r="A8496" s="16"/>
      <c r="E8496" s="27"/>
      <c r="F8496" t="s">
        <v>26</v>
      </c>
      <c r="G8496" s="28">
        <f>IFERROR(VLOOKUP(F8496,CARTON_LOOKUP!$A:$E,3,0),"")</f>
      </c>
      <c r="H8496" s="28">
        <f>IFERROR(VLOOKUP(F8496,CARTON_LOOKUP!$A:$E,4,0),"")</f>
      </c>
      <c r="I8496" s="28">
        <f>IFERROR(VLOOKUP(F8496,CARTON_LOOKUP!$A:$E,5,0),"")</f>
      </c>
      <c r="J8496" s="29">
        <f>IFERROR(VLOOKUP(F8496,CARTON_LOOKUP!$A:$E,2,0),"")</f>
      </c>
      <c r="K8496" s="29">
        <f>IFERROR(J8496*D8496,0)</f>
      </c>
      <c r="L8496" s="29">
        <f>IFERROR(E8496*C8496,0)</f>
      </c>
      <c r="M8496" s="29">
        <f>IFERROR((G8496*H8496*I8496/1000000)*D8496,0)</f>
      </c>
    </row>
    <row r="8497" spans="1:13" x14ac:dyDescent="0.25">
      <c r="A8497" s="16"/>
      <c r="E8497" s="27"/>
      <c r="F8497" t="s">
        <v>26</v>
      </c>
      <c r="G8497" s="28">
        <f>IFERROR(VLOOKUP(F8497,CARTON_LOOKUP!$A:$E,3,0),"")</f>
      </c>
      <c r="H8497" s="28">
        <f>IFERROR(VLOOKUP(F8497,CARTON_LOOKUP!$A:$E,4,0),"")</f>
      </c>
      <c r="I8497" s="28">
        <f>IFERROR(VLOOKUP(F8497,CARTON_LOOKUP!$A:$E,5,0),"")</f>
      </c>
      <c r="J8497" s="29">
        <f>IFERROR(VLOOKUP(F8497,CARTON_LOOKUP!$A:$E,2,0),"")</f>
      </c>
      <c r="K8497" s="29">
        <f>IFERROR(J8497*D8497,0)</f>
      </c>
      <c r="L8497" s="29">
        <f>IFERROR(E8497*C8497,0)</f>
      </c>
      <c r="M8497" s="29">
        <f>IFERROR((G8497*H8497*I8497/1000000)*D8497,0)</f>
      </c>
    </row>
    <row r="8498" spans="1:13" x14ac:dyDescent="0.25">
      <c r="A8498" s="16"/>
      <c r="E8498" s="27"/>
      <c r="F8498" t="s">
        <v>26</v>
      </c>
      <c r="G8498" s="28">
        <f>IFERROR(VLOOKUP(F8498,CARTON_LOOKUP!$A:$E,3,0),"")</f>
      </c>
      <c r="H8498" s="28">
        <f>IFERROR(VLOOKUP(F8498,CARTON_LOOKUP!$A:$E,4,0),"")</f>
      </c>
      <c r="I8498" s="28">
        <f>IFERROR(VLOOKUP(F8498,CARTON_LOOKUP!$A:$E,5,0),"")</f>
      </c>
      <c r="J8498" s="29">
        <f>IFERROR(VLOOKUP(F8498,CARTON_LOOKUP!$A:$E,2,0),"")</f>
      </c>
      <c r="K8498" s="29">
        <f>IFERROR(J8498*D8498,0)</f>
      </c>
      <c r="L8498" s="29">
        <f>IFERROR(E8498*C8498,0)</f>
      </c>
      <c r="M8498" s="29">
        <f>IFERROR((G8498*H8498*I8498/1000000)*D8498,0)</f>
      </c>
    </row>
    <row r="8499" spans="1:13" x14ac:dyDescent="0.25">
      <c r="A8499" s="16"/>
      <c r="E8499" s="27"/>
      <c r="F8499" t="s">
        <v>26</v>
      </c>
      <c r="G8499" s="28">
        <f>IFERROR(VLOOKUP(F8499,CARTON_LOOKUP!$A:$E,3,0),"")</f>
      </c>
      <c r="H8499" s="28">
        <f>IFERROR(VLOOKUP(F8499,CARTON_LOOKUP!$A:$E,4,0),"")</f>
      </c>
      <c r="I8499" s="28">
        <f>IFERROR(VLOOKUP(F8499,CARTON_LOOKUP!$A:$E,5,0),"")</f>
      </c>
      <c r="J8499" s="29">
        <f>IFERROR(VLOOKUP(F8499,CARTON_LOOKUP!$A:$E,2,0),"")</f>
      </c>
      <c r="K8499" s="29">
        <f>IFERROR(J8499*D8499,0)</f>
      </c>
      <c r="L8499" s="29">
        <f>IFERROR(E8499*C8499,0)</f>
      </c>
      <c r="M8499" s="29">
        <f>IFERROR((G8499*H8499*I8499/1000000)*D8499,0)</f>
      </c>
    </row>
    <row r="8500" spans="1:13" x14ac:dyDescent="0.25">
      <c r="A8500" s="16"/>
      <c r="E8500" s="27"/>
      <c r="F8500" t="s">
        <v>26</v>
      </c>
      <c r="G8500" s="28">
        <f>IFERROR(VLOOKUP(F8500,CARTON_LOOKUP!$A:$E,3,0),"")</f>
      </c>
      <c r="H8500" s="28">
        <f>IFERROR(VLOOKUP(F8500,CARTON_LOOKUP!$A:$E,4,0),"")</f>
      </c>
      <c r="I8500" s="28">
        <f>IFERROR(VLOOKUP(F8500,CARTON_LOOKUP!$A:$E,5,0),"")</f>
      </c>
      <c r="J8500" s="29">
        <f>IFERROR(VLOOKUP(F8500,CARTON_LOOKUP!$A:$E,2,0),"")</f>
      </c>
      <c r="K8500" s="29">
        <f>IFERROR(J8500*D8500,0)</f>
      </c>
      <c r="L8500" s="29">
        <f>IFERROR(E8500*C8500,0)</f>
      </c>
      <c r="M8500" s="29">
        <f>IFERROR((G8500*H8500*I8500/1000000)*D8500,0)</f>
      </c>
    </row>
    <row r="8501" spans="1:13" x14ac:dyDescent="0.25">
      <c r="A8501" s="16"/>
      <c r="E8501" s="27"/>
      <c r="F8501" t="s">
        <v>26</v>
      </c>
      <c r="G8501" s="28">
        <f>IFERROR(VLOOKUP(F8501,CARTON_LOOKUP!$A:$E,3,0),"")</f>
      </c>
      <c r="H8501" s="28">
        <f>IFERROR(VLOOKUP(F8501,CARTON_LOOKUP!$A:$E,4,0),"")</f>
      </c>
      <c r="I8501" s="28">
        <f>IFERROR(VLOOKUP(F8501,CARTON_LOOKUP!$A:$E,5,0),"")</f>
      </c>
      <c r="J8501" s="29">
        <f>IFERROR(VLOOKUP(F8501,CARTON_LOOKUP!$A:$E,2,0),"")</f>
      </c>
      <c r="K8501" s="29">
        <f>IFERROR(J8501*D8501,0)</f>
      </c>
      <c r="L8501" s="29">
        <f>IFERROR(E8501*C8501,0)</f>
      </c>
      <c r="M8501" s="29">
        <f>IFERROR((G8501*H8501*I8501/1000000)*D8501,0)</f>
      </c>
    </row>
    <row r="8502" spans="1:13" x14ac:dyDescent="0.25">
      <c r="A8502" s="16"/>
      <c r="E8502" s="27"/>
      <c r="F8502" t="s">
        <v>26</v>
      </c>
      <c r="G8502" s="28">
        <f>IFERROR(VLOOKUP(F8502,CARTON_LOOKUP!$A:$E,3,0),"")</f>
      </c>
      <c r="H8502" s="28">
        <f>IFERROR(VLOOKUP(F8502,CARTON_LOOKUP!$A:$E,4,0),"")</f>
      </c>
      <c r="I8502" s="28">
        <f>IFERROR(VLOOKUP(F8502,CARTON_LOOKUP!$A:$E,5,0),"")</f>
      </c>
      <c r="J8502" s="29">
        <f>IFERROR(VLOOKUP(F8502,CARTON_LOOKUP!$A:$E,2,0),"")</f>
      </c>
      <c r="K8502" s="29">
        <f>IFERROR(J8502*D8502,0)</f>
      </c>
      <c r="L8502" s="29">
        <f>IFERROR(E8502*C8502,0)</f>
      </c>
      <c r="M8502" s="29">
        <f>IFERROR((G8502*H8502*I8502/1000000)*D8502,0)</f>
      </c>
    </row>
    <row r="8503" spans="1:13" x14ac:dyDescent="0.25">
      <c r="A8503" s="16"/>
      <c r="E8503" s="27"/>
      <c r="F8503" t="s">
        <v>26</v>
      </c>
      <c r="G8503" s="28">
        <f>IFERROR(VLOOKUP(F8503,CARTON_LOOKUP!$A:$E,3,0),"")</f>
      </c>
      <c r="H8503" s="28">
        <f>IFERROR(VLOOKUP(F8503,CARTON_LOOKUP!$A:$E,4,0),"")</f>
      </c>
      <c r="I8503" s="28">
        <f>IFERROR(VLOOKUP(F8503,CARTON_LOOKUP!$A:$E,5,0),"")</f>
      </c>
      <c r="J8503" s="29">
        <f>IFERROR(VLOOKUP(F8503,CARTON_LOOKUP!$A:$E,2,0),"")</f>
      </c>
      <c r="K8503" s="29">
        <f>IFERROR(J8503*D8503,0)</f>
      </c>
      <c r="L8503" s="29">
        <f>IFERROR(E8503*C8503,0)</f>
      </c>
      <c r="M8503" s="29">
        <f>IFERROR((G8503*H8503*I8503/1000000)*D8503,0)</f>
      </c>
    </row>
    <row r="8504" spans="1:13" x14ac:dyDescent="0.25">
      <c r="A8504" s="16"/>
      <c r="E8504" s="27"/>
      <c r="F8504" t="s">
        <v>26</v>
      </c>
      <c r="G8504" s="28">
        <f>IFERROR(VLOOKUP(F8504,CARTON_LOOKUP!$A:$E,3,0),"")</f>
      </c>
      <c r="H8504" s="28">
        <f>IFERROR(VLOOKUP(F8504,CARTON_LOOKUP!$A:$E,4,0),"")</f>
      </c>
      <c r="I8504" s="28">
        <f>IFERROR(VLOOKUP(F8504,CARTON_LOOKUP!$A:$E,5,0),"")</f>
      </c>
      <c r="J8504" s="29">
        <f>IFERROR(VLOOKUP(F8504,CARTON_LOOKUP!$A:$E,2,0),"")</f>
      </c>
      <c r="K8504" s="29">
        <f>IFERROR(J8504*D8504,0)</f>
      </c>
      <c r="L8504" s="29">
        <f>IFERROR(E8504*C8504,0)</f>
      </c>
      <c r="M8504" s="29">
        <f>IFERROR((G8504*H8504*I8504/1000000)*D8504,0)</f>
      </c>
    </row>
    <row r="8505" spans="1:13" x14ac:dyDescent="0.25">
      <c r="A8505" s="16"/>
      <c r="E8505" s="27"/>
      <c r="F8505" t="s">
        <v>26</v>
      </c>
      <c r="G8505" s="28">
        <f>IFERROR(VLOOKUP(F8505,CARTON_LOOKUP!$A:$E,3,0),"")</f>
      </c>
      <c r="H8505" s="28">
        <f>IFERROR(VLOOKUP(F8505,CARTON_LOOKUP!$A:$E,4,0),"")</f>
      </c>
      <c r="I8505" s="28">
        <f>IFERROR(VLOOKUP(F8505,CARTON_LOOKUP!$A:$E,5,0),"")</f>
      </c>
      <c r="J8505" s="29">
        <f>IFERROR(VLOOKUP(F8505,CARTON_LOOKUP!$A:$E,2,0),"")</f>
      </c>
      <c r="K8505" s="29">
        <f>IFERROR(J8505*D8505,0)</f>
      </c>
      <c r="L8505" s="29">
        <f>IFERROR(E8505*C8505,0)</f>
      </c>
      <c r="M8505" s="29">
        <f>IFERROR((G8505*H8505*I8505/1000000)*D8505,0)</f>
      </c>
    </row>
    <row r="8506" spans="1:13" x14ac:dyDescent="0.25">
      <c r="A8506" s="16"/>
      <c r="E8506" s="27"/>
      <c r="F8506" t="s">
        <v>26</v>
      </c>
      <c r="G8506" s="28">
        <f>IFERROR(VLOOKUP(F8506,CARTON_LOOKUP!$A:$E,3,0),"")</f>
      </c>
      <c r="H8506" s="28">
        <f>IFERROR(VLOOKUP(F8506,CARTON_LOOKUP!$A:$E,4,0),"")</f>
      </c>
      <c r="I8506" s="28">
        <f>IFERROR(VLOOKUP(F8506,CARTON_LOOKUP!$A:$E,5,0),"")</f>
      </c>
      <c r="J8506" s="29">
        <f>IFERROR(VLOOKUP(F8506,CARTON_LOOKUP!$A:$E,2,0),"")</f>
      </c>
      <c r="K8506" s="29">
        <f>IFERROR(J8506*D8506,0)</f>
      </c>
      <c r="L8506" s="29">
        <f>IFERROR(E8506*C8506,0)</f>
      </c>
      <c r="M8506" s="29">
        <f>IFERROR((G8506*H8506*I8506/1000000)*D8506,0)</f>
      </c>
    </row>
    <row r="8507" spans="1:13" x14ac:dyDescent="0.25">
      <c r="A8507" s="16"/>
      <c r="E8507" s="27"/>
      <c r="F8507" t="s">
        <v>26</v>
      </c>
      <c r="G8507" s="28">
        <f>IFERROR(VLOOKUP(F8507,CARTON_LOOKUP!$A:$E,3,0),"")</f>
      </c>
      <c r="H8507" s="28">
        <f>IFERROR(VLOOKUP(F8507,CARTON_LOOKUP!$A:$E,4,0),"")</f>
      </c>
      <c r="I8507" s="28">
        <f>IFERROR(VLOOKUP(F8507,CARTON_LOOKUP!$A:$E,5,0),"")</f>
      </c>
      <c r="J8507" s="29">
        <f>IFERROR(VLOOKUP(F8507,CARTON_LOOKUP!$A:$E,2,0),"")</f>
      </c>
      <c r="K8507" s="29">
        <f>IFERROR(J8507*D8507,0)</f>
      </c>
      <c r="L8507" s="29">
        <f>IFERROR(E8507*C8507,0)</f>
      </c>
      <c r="M8507" s="29">
        <f>IFERROR((G8507*H8507*I8507/1000000)*D8507,0)</f>
      </c>
    </row>
    <row r="8508" spans="1:13" x14ac:dyDescent="0.25">
      <c r="A8508" s="16"/>
      <c r="E8508" s="27"/>
      <c r="F8508" t="s">
        <v>26</v>
      </c>
      <c r="G8508" s="28">
        <f>IFERROR(VLOOKUP(F8508,CARTON_LOOKUP!$A:$E,3,0),"")</f>
      </c>
      <c r="H8508" s="28">
        <f>IFERROR(VLOOKUP(F8508,CARTON_LOOKUP!$A:$E,4,0),"")</f>
      </c>
      <c r="I8508" s="28">
        <f>IFERROR(VLOOKUP(F8508,CARTON_LOOKUP!$A:$E,5,0),"")</f>
      </c>
      <c r="J8508" s="29">
        <f>IFERROR(VLOOKUP(F8508,CARTON_LOOKUP!$A:$E,2,0),"")</f>
      </c>
      <c r="K8508" s="29">
        <f>IFERROR(J8508*D8508,0)</f>
      </c>
      <c r="L8508" s="29">
        <f>IFERROR(E8508*C8508,0)</f>
      </c>
      <c r="M8508" s="29">
        <f>IFERROR((G8508*H8508*I8508/1000000)*D8508,0)</f>
      </c>
    </row>
    <row r="8509" spans="1:13" x14ac:dyDescent="0.25">
      <c r="A8509" s="16"/>
      <c r="E8509" s="27"/>
      <c r="F8509" t="s">
        <v>26</v>
      </c>
      <c r="G8509" s="28">
        <f>IFERROR(VLOOKUP(F8509,CARTON_LOOKUP!$A:$E,3,0),"")</f>
      </c>
      <c r="H8509" s="28">
        <f>IFERROR(VLOOKUP(F8509,CARTON_LOOKUP!$A:$E,4,0),"")</f>
      </c>
      <c r="I8509" s="28">
        <f>IFERROR(VLOOKUP(F8509,CARTON_LOOKUP!$A:$E,5,0),"")</f>
      </c>
      <c r="J8509" s="29">
        <f>IFERROR(VLOOKUP(F8509,CARTON_LOOKUP!$A:$E,2,0),"")</f>
      </c>
      <c r="K8509" s="29">
        <f>IFERROR(J8509*D8509,0)</f>
      </c>
      <c r="L8509" s="29">
        <f>IFERROR(E8509*C8509,0)</f>
      </c>
      <c r="M8509" s="29">
        <f>IFERROR((G8509*H8509*I8509/1000000)*D8509,0)</f>
      </c>
    </row>
    <row r="8510" spans="1:13" x14ac:dyDescent="0.25">
      <c r="A8510" s="16"/>
      <c r="E8510" s="27"/>
      <c r="F8510" t="s">
        <v>26</v>
      </c>
      <c r="G8510" s="28">
        <f>IFERROR(VLOOKUP(F8510,CARTON_LOOKUP!$A:$E,3,0),"")</f>
      </c>
      <c r="H8510" s="28">
        <f>IFERROR(VLOOKUP(F8510,CARTON_LOOKUP!$A:$E,4,0),"")</f>
      </c>
      <c r="I8510" s="28">
        <f>IFERROR(VLOOKUP(F8510,CARTON_LOOKUP!$A:$E,5,0),"")</f>
      </c>
      <c r="J8510" s="29">
        <f>IFERROR(VLOOKUP(F8510,CARTON_LOOKUP!$A:$E,2,0),"")</f>
      </c>
      <c r="K8510" s="29">
        <f>IFERROR(J8510*D8510,0)</f>
      </c>
      <c r="L8510" s="29">
        <f>IFERROR(E8510*C8510,0)</f>
      </c>
      <c r="M8510" s="29">
        <f>IFERROR((G8510*H8510*I8510/1000000)*D8510,0)</f>
      </c>
    </row>
    <row r="8511" spans="1:13" x14ac:dyDescent="0.25">
      <c r="A8511" s="16"/>
      <c r="E8511" s="27"/>
      <c r="F8511" t="s">
        <v>26</v>
      </c>
      <c r="G8511" s="28">
        <f>IFERROR(VLOOKUP(F8511,CARTON_LOOKUP!$A:$E,3,0),"")</f>
      </c>
      <c r="H8511" s="28">
        <f>IFERROR(VLOOKUP(F8511,CARTON_LOOKUP!$A:$E,4,0),"")</f>
      </c>
      <c r="I8511" s="28">
        <f>IFERROR(VLOOKUP(F8511,CARTON_LOOKUP!$A:$E,5,0),"")</f>
      </c>
      <c r="J8511" s="29">
        <f>IFERROR(VLOOKUP(F8511,CARTON_LOOKUP!$A:$E,2,0),"")</f>
      </c>
      <c r="K8511" s="29">
        <f>IFERROR(J8511*D8511,0)</f>
      </c>
      <c r="L8511" s="29">
        <f>IFERROR(E8511*C8511,0)</f>
      </c>
      <c r="M8511" s="29">
        <f>IFERROR((G8511*H8511*I8511/1000000)*D8511,0)</f>
      </c>
    </row>
    <row r="8512" spans="1:13" x14ac:dyDescent="0.25">
      <c r="A8512" s="16"/>
      <c r="E8512" s="27"/>
      <c r="F8512" t="s">
        <v>26</v>
      </c>
      <c r="G8512" s="28">
        <f>IFERROR(VLOOKUP(F8512,CARTON_LOOKUP!$A:$E,3,0),"")</f>
      </c>
      <c r="H8512" s="28">
        <f>IFERROR(VLOOKUP(F8512,CARTON_LOOKUP!$A:$E,4,0),"")</f>
      </c>
      <c r="I8512" s="28">
        <f>IFERROR(VLOOKUP(F8512,CARTON_LOOKUP!$A:$E,5,0),"")</f>
      </c>
      <c r="J8512" s="29">
        <f>IFERROR(VLOOKUP(F8512,CARTON_LOOKUP!$A:$E,2,0),"")</f>
      </c>
      <c r="K8512" s="29">
        <f>IFERROR(J8512*D8512,0)</f>
      </c>
      <c r="L8512" s="29">
        <f>IFERROR(E8512*C8512,0)</f>
      </c>
      <c r="M8512" s="29">
        <f>IFERROR((G8512*H8512*I8512/1000000)*D8512,0)</f>
      </c>
    </row>
    <row r="8513" spans="1:13" x14ac:dyDescent="0.25">
      <c r="A8513" s="16"/>
      <c r="E8513" s="27"/>
      <c r="F8513" t="s">
        <v>26</v>
      </c>
      <c r="G8513" s="28">
        <f>IFERROR(VLOOKUP(F8513,CARTON_LOOKUP!$A:$E,3,0),"")</f>
      </c>
      <c r="H8513" s="28">
        <f>IFERROR(VLOOKUP(F8513,CARTON_LOOKUP!$A:$E,4,0),"")</f>
      </c>
      <c r="I8513" s="28">
        <f>IFERROR(VLOOKUP(F8513,CARTON_LOOKUP!$A:$E,5,0),"")</f>
      </c>
      <c r="J8513" s="29">
        <f>IFERROR(VLOOKUP(F8513,CARTON_LOOKUP!$A:$E,2,0),"")</f>
      </c>
      <c r="K8513" s="29">
        <f>IFERROR(J8513*D8513,0)</f>
      </c>
      <c r="L8513" s="29">
        <f>IFERROR(E8513*C8513,0)</f>
      </c>
      <c r="M8513" s="29">
        <f>IFERROR((G8513*H8513*I8513/1000000)*D8513,0)</f>
      </c>
    </row>
    <row r="8514" spans="1:13" x14ac:dyDescent="0.25">
      <c r="A8514" s="16"/>
      <c r="E8514" s="27"/>
      <c r="F8514" t="s">
        <v>26</v>
      </c>
      <c r="G8514" s="28">
        <f>IFERROR(VLOOKUP(F8514,CARTON_LOOKUP!$A:$E,3,0),"")</f>
      </c>
      <c r="H8514" s="28">
        <f>IFERROR(VLOOKUP(F8514,CARTON_LOOKUP!$A:$E,4,0),"")</f>
      </c>
      <c r="I8514" s="28">
        <f>IFERROR(VLOOKUP(F8514,CARTON_LOOKUP!$A:$E,5,0),"")</f>
      </c>
      <c r="J8514" s="29">
        <f>IFERROR(VLOOKUP(F8514,CARTON_LOOKUP!$A:$E,2,0),"")</f>
      </c>
      <c r="K8514" s="29">
        <f>IFERROR(J8514*D8514,0)</f>
      </c>
      <c r="L8514" s="29">
        <f>IFERROR(E8514*C8514,0)</f>
      </c>
      <c r="M8514" s="29">
        <f>IFERROR((G8514*H8514*I8514/1000000)*D8514,0)</f>
      </c>
    </row>
    <row r="8515" spans="1:13" x14ac:dyDescent="0.25">
      <c r="A8515" s="16"/>
      <c r="E8515" s="27"/>
      <c r="F8515" t="s">
        <v>26</v>
      </c>
      <c r="G8515" s="28">
        <f>IFERROR(VLOOKUP(F8515,CARTON_LOOKUP!$A:$E,3,0),"")</f>
      </c>
      <c r="H8515" s="28">
        <f>IFERROR(VLOOKUP(F8515,CARTON_LOOKUP!$A:$E,4,0),"")</f>
      </c>
      <c r="I8515" s="28">
        <f>IFERROR(VLOOKUP(F8515,CARTON_LOOKUP!$A:$E,5,0),"")</f>
      </c>
      <c r="J8515" s="29">
        <f>IFERROR(VLOOKUP(F8515,CARTON_LOOKUP!$A:$E,2,0),"")</f>
      </c>
      <c r="K8515" s="29">
        <f>IFERROR(J8515*D8515,0)</f>
      </c>
      <c r="L8515" s="29">
        <f>IFERROR(E8515*C8515,0)</f>
      </c>
      <c r="M8515" s="29">
        <f>IFERROR((G8515*H8515*I8515/1000000)*D8515,0)</f>
      </c>
    </row>
    <row r="8516" spans="1:13" x14ac:dyDescent="0.25">
      <c r="A8516" s="16"/>
      <c r="E8516" s="27"/>
      <c r="F8516" t="s">
        <v>26</v>
      </c>
      <c r="G8516" s="28">
        <f>IFERROR(VLOOKUP(F8516,CARTON_LOOKUP!$A:$E,3,0),"")</f>
      </c>
      <c r="H8516" s="28">
        <f>IFERROR(VLOOKUP(F8516,CARTON_LOOKUP!$A:$E,4,0),"")</f>
      </c>
      <c r="I8516" s="28">
        <f>IFERROR(VLOOKUP(F8516,CARTON_LOOKUP!$A:$E,5,0),"")</f>
      </c>
      <c r="J8516" s="29">
        <f>IFERROR(VLOOKUP(F8516,CARTON_LOOKUP!$A:$E,2,0),"")</f>
      </c>
      <c r="K8516" s="29">
        <f>IFERROR(J8516*D8516,0)</f>
      </c>
      <c r="L8516" s="29">
        <f>IFERROR(E8516*C8516,0)</f>
      </c>
      <c r="M8516" s="29">
        <f>IFERROR((G8516*H8516*I8516/1000000)*D8516,0)</f>
      </c>
    </row>
    <row r="8517" spans="1:13" x14ac:dyDescent="0.25">
      <c r="A8517" s="16"/>
      <c r="E8517" s="27"/>
      <c r="F8517" t="s">
        <v>26</v>
      </c>
      <c r="G8517" s="28">
        <f>IFERROR(VLOOKUP(F8517,CARTON_LOOKUP!$A:$E,3,0),"")</f>
      </c>
      <c r="H8517" s="28">
        <f>IFERROR(VLOOKUP(F8517,CARTON_LOOKUP!$A:$E,4,0),"")</f>
      </c>
      <c r="I8517" s="28">
        <f>IFERROR(VLOOKUP(F8517,CARTON_LOOKUP!$A:$E,5,0),"")</f>
      </c>
      <c r="J8517" s="29">
        <f>IFERROR(VLOOKUP(F8517,CARTON_LOOKUP!$A:$E,2,0),"")</f>
      </c>
      <c r="K8517" s="29">
        <f>IFERROR(J8517*D8517,0)</f>
      </c>
      <c r="L8517" s="29">
        <f>IFERROR(E8517*C8517,0)</f>
      </c>
      <c r="M8517" s="29">
        <f>IFERROR((G8517*H8517*I8517/1000000)*D8517,0)</f>
      </c>
    </row>
    <row r="8518" spans="1:13" x14ac:dyDescent="0.25">
      <c r="A8518" s="16"/>
      <c r="E8518" s="27"/>
      <c r="F8518" t="s">
        <v>26</v>
      </c>
      <c r="G8518" s="28">
        <f>IFERROR(VLOOKUP(F8518,CARTON_LOOKUP!$A:$E,3,0),"")</f>
      </c>
      <c r="H8518" s="28">
        <f>IFERROR(VLOOKUP(F8518,CARTON_LOOKUP!$A:$E,4,0),"")</f>
      </c>
      <c r="I8518" s="28">
        <f>IFERROR(VLOOKUP(F8518,CARTON_LOOKUP!$A:$E,5,0),"")</f>
      </c>
      <c r="J8518" s="29">
        <f>IFERROR(VLOOKUP(F8518,CARTON_LOOKUP!$A:$E,2,0),"")</f>
      </c>
      <c r="K8518" s="29">
        <f>IFERROR(J8518*D8518,0)</f>
      </c>
      <c r="L8518" s="29">
        <f>IFERROR(E8518*C8518,0)</f>
      </c>
      <c r="M8518" s="29">
        <f>IFERROR((G8518*H8518*I8518/1000000)*D8518,0)</f>
      </c>
    </row>
    <row r="8519" spans="1:13" x14ac:dyDescent="0.25">
      <c r="A8519" s="16"/>
      <c r="E8519" s="27"/>
      <c r="F8519" t="s">
        <v>26</v>
      </c>
      <c r="G8519" s="28">
        <f>IFERROR(VLOOKUP(F8519,CARTON_LOOKUP!$A:$E,3,0),"")</f>
      </c>
      <c r="H8519" s="28">
        <f>IFERROR(VLOOKUP(F8519,CARTON_LOOKUP!$A:$E,4,0),"")</f>
      </c>
      <c r="I8519" s="28">
        <f>IFERROR(VLOOKUP(F8519,CARTON_LOOKUP!$A:$E,5,0),"")</f>
      </c>
      <c r="J8519" s="29">
        <f>IFERROR(VLOOKUP(F8519,CARTON_LOOKUP!$A:$E,2,0),"")</f>
      </c>
      <c r="K8519" s="29">
        <f>IFERROR(J8519*D8519,0)</f>
      </c>
      <c r="L8519" s="29">
        <f>IFERROR(E8519*C8519,0)</f>
      </c>
      <c r="M8519" s="29">
        <f>IFERROR((G8519*H8519*I8519/1000000)*D8519,0)</f>
      </c>
    </row>
    <row r="8520" spans="1:13" x14ac:dyDescent="0.25">
      <c r="A8520" s="16"/>
      <c r="E8520" s="27"/>
      <c r="F8520" t="s">
        <v>26</v>
      </c>
      <c r="G8520" s="28">
        <f>IFERROR(VLOOKUP(F8520,CARTON_LOOKUP!$A:$E,3,0),"")</f>
      </c>
      <c r="H8520" s="28">
        <f>IFERROR(VLOOKUP(F8520,CARTON_LOOKUP!$A:$E,4,0),"")</f>
      </c>
      <c r="I8520" s="28">
        <f>IFERROR(VLOOKUP(F8520,CARTON_LOOKUP!$A:$E,5,0),"")</f>
      </c>
      <c r="J8520" s="29">
        <f>IFERROR(VLOOKUP(F8520,CARTON_LOOKUP!$A:$E,2,0),"")</f>
      </c>
      <c r="K8520" s="29">
        <f>IFERROR(J8520*D8520,0)</f>
      </c>
      <c r="L8520" s="29">
        <f>IFERROR(E8520*C8520,0)</f>
      </c>
      <c r="M8520" s="29">
        <f>IFERROR((G8520*H8520*I8520/1000000)*D8520,0)</f>
      </c>
    </row>
    <row r="8521" spans="1:13" x14ac:dyDescent="0.25">
      <c r="A8521" s="16"/>
      <c r="E8521" s="27"/>
      <c r="F8521" t="s">
        <v>26</v>
      </c>
      <c r="G8521" s="28">
        <f>IFERROR(VLOOKUP(F8521,CARTON_LOOKUP!$A:$E,3,0),"")</f>
      </c>
      <c r="H8521" s="28">
        <f>IFERROR(VLOOKUP(F8521,CARTON_LOOKUP!$A:$E,4,0),"")</f>
      </c>
      <c r="I8521" s="28">
        <f>IFERROR(VLOOKUP(F8521,CARTON_LOOKUP!$A:$E,5,0),"")</f>
      </c>
      <c r="J8521" s="29">
        <f>IFERROR(VLOOKUP(F8521,CARTON_LOOKUP!$A:$E,2,0),"")</f>
      </c>
      <c r="K8521" s="29">
        <f>IFERROR(J8521*D8521,0)</f>
      </c>
      <c r="L8521" s="29">
        <f>IFERROR(E8521*C8521,0)</f>
      </c>
      <c r="M8521" s="29">
        <f>IFERROR((G8521*H8521*I8521/1000000)*D8521,0)</f>
      </c>
    </row>
    <row r="8522" spans="1:13" x14ac:dyDescent="0.25">
      <c r="A8522" s="16"/>
      <c r="E8522" s="27"/>
      <c r="F8522" t="s">
        <v>26</v>
      </c>
      <c r="G8522" s="28">
        <f>IFERROR(VLOOKUP(F8522,CARTON_LOOKUP!$A:$E,3,0),"")</f>
      </c>
      <c r="H8522" s="28">
        <f>IFERROR(VLOOKUP(F8522,CARTON_LOOKUP!$A:$E,4,0),"")</f>
      </c>
      <c r="I8522" s="28">
        <f>IFERROR(VLOOKUP(F8522,CARTON_LOOKUP!$A:$E,5,0),"")</f>
      </c>
      <c r="J8522" s="29">
        <f>IFERROR(VLOOKUP(F8522,CARTON_LOOKUP!$A:$E,2,0),"")</f>
      </c>
      <c r="K8522" s="29">
        <f>IFERROR(J8522*D8522,0)</f>
      </c>
      <c r="L8522" s="29">
        <f>IFERROR(E8522*C8522,0)</f>
      </c>
      <c r="M8522" s="29">
        <f>IFERROR((G8522*H8522*I8522/1000000)*D8522,0)</f>
      </c>
    </row>
    <row r="8523" spans="1:13" x14ac:dyDescent="0.25">
      <c r="A8523" s="16"/>
      <c r="E8523" s="27"/>
      <c r="F8523" t="s">
        <v>26</v>
      </c>
      <c r="G8523" s="28">
        <f>IFERROR(VLOOKUP(F8523,CARTON_LOOKUP!$A:$E,3,0),"")</f>
      </c>
      <c r="H8523" s="28">
        <f>IFERROR(VLOOKUP(F8523,CARTON_LOOKUP!$A:$E,4,0),"")</f>
      </c>
      <c r="I8523" s="28">
        <f>IFERROR(VLOOKUP(F8523,CARTON_LOOKUP!$A:$E,5,0),"")</f>
      </c>
      <c r="J8523" s="29">
        <f>IFERROR(VLOOKUP(F8523,CARTON_LOOKUP!$A:$E,2,0),"")</f>
      </c>
      <c r="K8523" s="29">
        <f>IFERROR(J8523*D8523,0)</f>
      </c>
      <c r="L8523" s="29">
        <f>IFERROR(E8523*C8523,0)</f>
      </c>
      <c r="M8523" s="29">
        <f>IFERROR((G8523*H8523*I8523/1000000)*D8523,0)</f>
      </c>
    </row>
    <row r="8524" spans="1:13" x14ac:dyDescent="0.25">
      <c r="A8524" s="16"/>
      <c r="E8524" s="27"/>
      <c r="F8524" t="s">
        <v>26</v>
      </c>
      <c r="G8524" s="28">
        <f>IFERROR(VLOOKUP(F8524,CARTON_LOOKUP!$A:$E,3,0),"")</f>
      </c>
      <c r="H8524" s="28">
        <f>IFERROR(VLOOKUP(F8524,CARTON_LOOKUP!$A:$E,4,0),"")</f>
      </c>
      <c r="I8524" s="28">
        <f>IFERROR(VLOOKUP(F8524,CARTON_LOOKUP!$A:$E,5,0),"")</f>
      </c>
      <c r="J8524" s="29">
        <f>IFERROR(VLOOKUP(F8524,CARTON_LOOKUP!$A:$E,2,0),"")</f>
      </c>
      <c r="K8524" s="29">
        <f>IFERROR(J8524*D8524,0)</f>
      </c>
      <c r="L8524" s="29">
        <f>IFERROR(E8524*C8524,0)</f>
      </c>
      <c r="M8524" s="29">
        <f>IFERROR((G8524*H8524*I8524/1000000)*D8524,0)</f>
      </c>
    </row>
    <row r="8525" spans="1:13" x14ac:dyDescent="0.25">
      <c r="A8525" s="16"/>
      <c r="E8525" s="27"/>
      <c r="F8525" t="s">
        <v>26</v>
      </c>
      <c r="G8525" s="28">
        <f>IFERROR(VLOOKUP(F8525,CARTON_LOOKUP!$A:$E,3,0),"")</f>
      </c>
      <c r="H8525" s="28">
        <f>IFERROR(VLOOKUP(F8525,CARTON_LOOKUP!$A:$E,4,0),"")</f>
      </c>
      <c r="I8525" s="28">
        <f>IFERROR(VLOOKUP(F8525,CARTON_LOOKUP!$A:$E,5,0),"")</f>
      </c>
      <c r="J8525" s="29">
        <f>IFERROR(VLOOKUP(F8525,CARTON_LOOKUP!$A:$E,2,0),"")</f>
      </c>
      <c r="K8525" s="29">
        <f>IFERROR(J8525*D8525,0)</f>
      </c>
      <c r="L8525" s="29">
        <f>IFERROR(E8525*C8525,0)</f>
      </c>
      <c r="M8525" s="29">
        <f>IFERROR((G8525*H8525*I8525/1000000)*D8525,0)</f>
      </c>
    </row>
    <row r="8526" spans="1:13" x14ac:dyDescent="0.25">
      <c r="A8526" s="16"/>
      <c r="E8526" s="27"/>
      <c r="F8526" t="s">
        <v>26</v>
      </c>
      <c r="G8526" s="28">
        <f>IFERROR(VLOOKUP(F8526,CARTON_LOOKUP!$A:$E,3,0),"")</f>
      </c>
      <c r="H8526" s="28">
        <f>IFERROR(VLOOKUP(F8526,CARTON_LOOKUP!$A:$E,4,0),"")</f>
      </c>
      <c r="I8526" s="28">
        <f>IFERROR(VLOOKUP(F8526,CARTON_LOOKUP!$A:$E,5,0),"")</f>
      </c>
      <c r="J8526" s="29">
        <f>IFERROR(VLOOKUP(F8526,CARTON_LOOKUP!$A:$E,2,0),"")</f>
      </c>
      <c r="K8526" s="29">
        <f>IFERROR(J8526*D8526,0)</f>
      </c>
      <c r="L8526" s="29">
        <f>IFERROR(E8526*C8526,0)</f>
      </c>
      <c r="M8526" s="29">
        <f>IFERROR((G8526*H8526*I8526/1000000)*D8526,0)</f>
      </c>
    </row>
    <row r="8527" spans="1:13" x14ac:dyDescent="0.25">
      <c r="A8527" s="16"/>
      <c r="E8527" s="27"/>
      <c r="F8527" t="s">
        <v>26</v>
      </c>
      <c r="G8527" s="28">
        <f>IFERROR(VLOOKUP(F8527,CARTON_LOOKUP!$A:$E,3,0),"")</f>
      </c>
      <c r="H8527" s="28">
        <f>IFERROR(VLOOKUP(F8527,CARTON_LOOKUP!$A:$E,4,0),"")</f>
      </c>
      <c r="I8527" s="28">
        <f>IFERROR(VLOOKUP(F8527,CARTON_LOOKUP!$A:$E,5,0),"")</f>
      </c>
      <c r="J8527" s="29">
        <f>IFERROR(VLOOKUP(F8527,CARTON_LOOKUP!$A:$E,2,0),"")</f>
      </c>
      <c r="K8527" s="29">
        <f>IFERROR(J8527*D8527,0)</f>
      </c>
      <c r="L8527" s="29">
        <f>IFERROR(E8527*C8527,0)</f>
      </c>
      <c r="M8527" s="29">
        <f>IFERROR((G8527*H8527*I8527/1000000)*D8527,0)</f>
      </c>
    </row>
    <row r="8528" spans="1:13" x14ac:dyDescent="0.25">
      <c r="A8528" s="16"/>
      <c r="E8528" s="27"/>
      <c r="F8528" t="s">
        <v>26</v>
      </c>
      <c r="G8528" s="28">
        <f>IFERROR(VLOOKUP(F8528,CARTON_LOOKUP!$A:$E,3,0),"")</f>
      </c>
      <c r="H8528" s="28">
        <f>IFERROR(VLOOKUP(F8528,CARTON_LOOKUP!$A:$E,4,0),"")</f>
      </c>
      <c r="I8528" s="28">
        <f>IFERROR(VLOOKUP(F8528,CARTON_LOOKUP!$A:$E,5,0),"")</f>
      </c>
      <c r="J8528" s="29">
        <f>IFERROR(VLOOKUP(F8528,CARTON_LOOKUP!$A:$E,2,0),"")</f>
      </c>
      <c r="K8528" s="29">
        <f>IFERROR(J8528*D8528,0)</f>
      </c>
      <c r="L8528" s="29">
        <f>IFERROR(E8528*C8528,0)</f>
      </c>
      <c r="M8528" s="29">
        <f>IFERROR((G8528*H8528*I8528/1000000)*D8528,0)</f>
      </c>
    </row>
    <row r="8529" spans="1:13" x14ac:dyDescent="0.25">
      <c r="A8529" s="16"/>
      <c r="E8529" s="27"/>
      <c r="F8529" t="s">
        <v>26</v>
      </c>
      <c r="G8529" s="28">
        <f>IFERROR(VLOOKUP(F8529,CARTON_LOOKUP!$A:$E,3,0),"")</f>
      </c>
      <c r="H8529" s="28">
        <f>IFERROR(VLOOKUP(F8529,CARTON_LOOKUP!$A:$E,4,0),"")</f>
      </c>
      <c r="I8529" s="28">
        <f>IFERROR(VLOOKUP(F8529,CARTON_LOOKUP!$A:$E,5,0),"")</f>
      </c>
      <c r="J8529" s="29">
        <f>IFERROR(VLOOKUP(F8529,CARTON_LOOKUP!$A:$E,2,0),"")</f>
      </c>
      <c r="K8529" s="29">
        <f>IFERROR(J8529*D8529,0)</f>
      </c>
      <c r="L8529" s="29">
        <f>IFERROR(E8529*C8529,0)</f>
      </c>
      <c r="M8529" s="29">
        <f>IFERROR((G8529*H8529*I8529/1000000)*D8529,0)</f>
      </c>
    </row>
    <row r="8530" spans="1:13" x14ac:dyDescent="0.25">
      <c r="A8530" s="16"/>
      <c r="E8530" s="27"/>
      <c r="F8530" t="s">
        <v>26</v>
      </c>
      <c r="G8530" s="28">
        <f>IFERROR(VLOOKUP(F8530,CARTON_LOOKUP!$A:$E,3,0),"")</f>
      </c>
      <c r="H8530" s="28">
        <f>IFERROR(VLOOKUP(F8530,CARTON_LOOKUP!$A:$E,4,0),"")</f>
      </c>
      <c r="I8530" s="28">
        <f>IFERROR(VLOOKUP(F8530,CARTON_LOOKUP!$A:$E,5,0),"")</f>
      </c>
      <c r="J8530" s="29">
        <f>IFERROR(VLOOKUP(F8530,CARTON_LOOKUP!$A:$E,2,0),"")</f>
      </c>
      <c r="K8530" s="29">
        <f>IFERROR(J8530*D8530,0)</f>
      </c>
      <c r="L8530" s="29">
        <f>IFERROR(E8530*C8530,0)</f>
      </c>
      <c r="M8530" s="29">
        <f>IFERROR((G8530*H8530*I8530/1000000)*D8530,0)</f>
      </c>
    </row>
    <row r="8531" spans="1:13" x14ac:dyDescent="0.25">
      <c r="A8531" s="16"/>
      <c r="E8531" s="27"/>
      <c r="F8531" t="s">
        <v>26</v>
      </c>
      <c r="G8531" s="28">
        <f>IFERROR(VLOOKUP(F8531,CARTON_LOOKUP!$A:$E,3,0),"")</f>
      </c>
      <c r="H8531" s="28">
        <f>IFERROR(VLOOKUP(F8531,CARTON_LOOKUP!$A:$E,4,0),"")</f>
      </c>
      <c r="I8531" s="28">
        <f>IFERROR(VLOOKUP(F8531,CARTON_LOOKUP!$A:$E,5,0),"")</f>
      </c>
      <c r="J8531" s="29">
        <f>IFERROR(VLOOKUP(F8531,CARTON_LOOKUP!$A:$E,2,0),"")</f>
      </c>
      <c r="K8531" s="29">
        <f>IFERROR(J8531*D8531,0)</f>
      </c>
      <c r="L8531" s="29">
        <f>IFERROR(E8531*C8531,0)</f>
      </c>
      <c r="M8531" s="29">
        <f>IFERROR((G8531*H8531*I8531/1000000)*D8531,0)</f>
      </c>
    </row>
    <row r="8532" spans="1:13" x14ac:dyDescent="0.25">
      <c r="A8532" s="16"/>
      <c r="E8532" s="27"/>
      <c r="F8532" t="s">
        <v>26</v>
      </c>
      <c r="G8532" s="28">
        <f>IFERROR(VLOOKUP(F8532,CARTON_LOOKUP!$A:$E,3,0),"")</f>
      </c>
      <c r="H8532" s="28">
        <f>IFERROR(VLOOKUP(F8532,CARTON_LOOKUP!$A:$E,4,0),"")</f>
      </c>
      <c r="I8532" s="28">
        <f>IFERROR(VLOOKUP(F8532,CARTON_LOOKUP!$A:$E,5,0),"")</f>
      </c>
      <c r="J8532" s="29">
        <f>IFERROR(VLOOKUP(F8532,CARTON_LOOKUP!$A:$E,2,0),"")</f>
      </c>
      <c r="K8532" s="29">
        <f>IFERROR(J8532*D8532,0)</f>
      </c>
      <c r="L8532" s="29">
        <f>IFERROR(E8532*C8532,0)</f>
      </c>
      <c r="M8532" s="29">
        <f>IFERROR((G8532*H8532*I8532/1000000)*D8532,0)</f>
      </c>
    </row>
    <row r="8533" spans="1:13" x14ac:dyDescent="0.25">
      <c r="A8533" s="16"/>
      <c r="E8533" s="27"/>
      <c r="F8533" t="s">
        <v>26</v>
      </c>
      <c r="G8533" s="28">
        <f>IFERROR(VLOOKUP(F8533,CARTON_LOOKUP!$A:$E,3,0),"")</f>
      </c>
      <c r="H8533" s="28">
        <f>IFERROR(VLOOKUP(F8533,CARTON_LOOKUP!$A:$E,4,0),"")</f>
      </c>
      <c r="I8533" s="28">
        <f>IFERROR(VLOOKUP(F8533,CARTON_LOOKUP!$A:$E,5,0),"")</f>
      </c>
      <c r="J8533" s="29">
        <f>IFERROR(VLOOKUP(F8533,CARTON_LOOKUP!$A:$E,2,0),"")</f>
      </c>
      <c r="K8533" s="29">
        <f>IFERROR(J8533*D8533,0)</f>
      </c>
      <c r="L8533" s="29">
        <f>IFERROR(E8533*C8533,0)</f>
      </c>
      <c r="M8533" s="29">
        <f>IFERROR((G8533*H8533*I8533/1000000)*D8533,0)</f>
      </c>
    </row>
    <row r="8534" spans="1:13" x14ac:dyDescent="0.25">
      <c r="A8534" s="16"/>
      <c r="E8534" s="27"/>
      <c r="F8534" t="s">
        <v>26</v>
      </c>
      <c r="G8534" s="28">
        <f>IFERROR(VLOOKUP(F8534,CARTON_LOOKUP!$A:$E,3,0),"")</f>
      </c>
      <c r="H8534" s="28">
        <f>IFERROR(VLOOKUP(F8534,CARTON_LOOKUP!$A:$E,4,0),"")</f>
      </c>
      <c r="I8534" s="28">
        <f>IFERROR(VLOOKUP(F8534,CARTON_LOOKUP!$A:$E,5,0),"")</f>
      </c>
      <c r="J8534" s="29">
        <f>IFERROR(VLOOKUP(F8534,CARTON_LOOKUP!$A:$E,2,0),"")</f>
      </c>
      <c r="K8534" s="29">
        <f>IFERROR(J8534*D8534,0)</f>
      </c>
      <c r="L8534" s="29">
        <f>IFERROR(E8534*C8534,0)</f>
      </c>
      <c r="M8534" s="29">
        <f>IFERROR((G8534*H8534*I8534/1000000)*D8534,0)</f>
      </c>
    </row>
    <row r="8535" spans="1:13" x14ac:dyDescent="0.25">
      <c r="A8535" s="16"/>
      <c r="E8535" s="27"/>
      <c r="F8535" t="s">
        <v>26</v>
      </c>
      <c r="G8535" s="28">
        <f>IFERROR(VLOOKUP(F8535,CARTON_LOOKUP!$A:$E,3,0),"")</f>
      </c>
      <c r="H8535" s="28">
        <f>IFERROR(VLOOKUP(F8535,CARTON_LOOKUP!$A:$E,4,0),"")</f>
      </c>
      <c r="I8535" s="28">
        <f>IFERROR(VLOOKUP(F8535,CARTON_LOOKUP!$A:$E,5,0),"")</f>
      </c>
      <c r="J8535" s="29">
        <f>IFERROR(VLOOKUP(F8535,CARTON_LOOKUP!$A:$E,2,0),"")</f>
      </c>
      <c r="K8535" s="29">
        <f>IFERROR(J8535*D8535,0)</f>
      </c>
      <c r="L8535" s="29">
        <f>IFERROR(E8535*C8535,0)</f>
      </c>
      <c r="M8535" s="29">
        <f>IFERROR((G8535*H8535*I8535/1000000)*D8535,0)</f>
      </c>
    </row>
    <row r="8536" spans="1:13" x14ac:dyDescent="0.25">
      <c r="A8536" s="16"/>
      <c r="E8536" s="27"/>
      <c r="F8536" t="s">
        <v>26</v>
      </c>
      <c r="G8536" s="28">
        <f>IFERROR(VLOOKUP(F8536,CARTON_LOOKUP!$A:$E,3,0),"")</f>
      </c>
      <c r="H8536" s="28">
        <f>IFERROR(VLOOKUP(F8536,CARTON_LOOKUP!$A:$E,4,0),"")</f>
      </c>
      <c r="I8536" s="28">
        <f>IFERROR(VLOOKUP(F8536,CARTON_LOOKUP!$A:$E,5,0),"")</f>
      </c>
      <c r="J8536" s="29">
        <f>IFERROR(VLOOKUP(F8536,CARTON_LOOKUP!$A:$E,2,0),"")</f>
      </c>
      <c r="K8536" s="29">
        <f>IFERROR(J8536*D8536,0)</f>
      </c>
      <c r="L8536" s="29">
        <f>IFERROR(E8536*C8536,0)</f>
      </c>
      <c r="M8536" s="29">
        <f>IFERROR((G8536*H8536*I8536/1000000)*D8536,0)</f>
      </c>
    </row>
    <row r="8537" spans="1:13" x14ac:dyDescent="0.25">
      <c r="A8537" s="16"/>
      <c r="E8537" s="27"/>
      <c r="F8537" t="s">
        <v>26</v>
      </c>
      <c r="G8537" s="28">
        <f>IFERROR(VLOOKUP(F8537,CARTON_LOOKUP!$A:$E,3,0),"")</f>
      </c>
      <c r="H8537" s="28">
        <f>IFERROR(VLOOKUP(F8537,CARTON_LOOKUP!$A:$E,4,0),"")</f>
      </c>
      <c r="I8537" s="28">
        <f>IFERROR(VLOOKUP(F8537,CARTON_LOOKUP!$A:$E,5,0),"")</f>
      </c>
      <c r="J8537" s="29">
        <f>IFERROR(VLOOKUP(F8537,CARTON_LOOKUP!$A:$E,2,0),"")</f>
      </c>
      <c r="K8537" s="29">
        <f>IFERROR(J8537*D8537,0)</f>
      </c>
      <c r="L8537" s="29">
        <f>IFERROR(E8537*C8537,0)</f>
      </c>
      <c r="M8537" s="29">
        <f>IFERROR((G8537*H8537*I8537/1000000)*D8537,0)</f>
      </c>
    </row>
    <row r="8538" spans="1:13" x14ac:dyDescent="0.25">
      <c r="A8538" s="16"/>
      <c r="E8538" s="27"/>
      <c r="F8538" t="s">
        <v>26</v>
      </c>
      <c r="G8538" s="28">
        <f>IFERROR(VLOOKUP(F8538,CARTON_LOOKUP!$A:$E,3,0),"")</f>
      </c>
      <c r="H8538" s="28">
        <f>IFERROR(VLOOKUP(F8538,CARTON_LOOKUP!$A:$E,4,0),"")</f>
      </c>
      <c r="I8538" s="28">
        <f>IFERROR(VLOOKUP(F8538,CARTON_LOOKUP!$A:$E,5,0),"")</f>
      </c>
      <c r="J8538" s="29">
        <f>IFERROR(VLOOKUP(F8538,CARTON_LOOKUP!$A:$E,2,0),"")</f>
      </c>
      <c r="K8538" s="29">
        <f>IFERROR(J8538*D8538,0)</f>
      </c>
      <c r="L8538" s="29">
        <f>IFERROR(E8538*C8538,0)</f>
      </c>
      <c r="M8538" s="29">
        <f>IFERROR((G8538*H8538*I8538/1000000)*D8538,0)</f>
      </c>
    </row>
    <row r="8539" spans="1:13" x14ac:dyDescent="0.25">
      <c r="A8539" s="16"/>
      <c r="E8539" s="27"/>
      <c r="F8539" t="s">
        <v>26</v>
      </c>
      <c r="G8539" s="28">
        <f>IFERROR(VLOOKUP(F8539,CARTON_LOOKUP!$A:$E,3,0),"")</f>
      </c>
      <c r="H8539" s="28">
        <f>IFERROR(VLOOKUP(F8539,CARTON_LOOKUP!$A:$E,4,0),"")</f>
      </c>
      <c r="I8539" s="28">
        <f>IFERROR(VLOOKUP(F8539,CARTON_LOOKUP!$A:$E,5,0),"")</f>
      </c>
      <c r="J8539" s="29">
        <f>IFERROR(VLOOKUP(F8539,CARTON_LOOKUP!$A:$E,2,0),"")</f>
      </c>
      <c r="K8539" s="29">
        <f>IFERROR(J8539*D8539,0)</f>
      </c>
      <c r="L8539" s="29">
        <f>IFERROR(E8539*C8539,0)</f>
      </c>
      <c r="M8539" s="29">
        <f>IFERROR((G8539*H8539*I8539/1000000)*D8539,0)</f>
      </c>
    </row>
    <row r="8540" spans="1:13" x14ac:dyDescent="0.25">
      <c r="A8540" s="16"/>
      <c r="E8540" s="27"/>
      <c r="F8540" t="s">
        <v>26</v>
      </c>
      <c r="G8540" s="28">
        <f>IFERROR(VLOOKUP(F8540,CARTON_LOOKUP!$A:$E,3,0),"")</f>
      </c>
      <c r="H8540" s="28">
        <f>IFERROR(VLOOKUP(F8540,CARTON_LOOKUP!$A:$E,4,0),"")</f>
      </c>
      <c r="I8540" s="28">
        <f>IFERROR(VLOOKUP(F8540,CARTON_LOOKUP!$A:$E,5,0),"")</f>
      </c>
      <c r="J8540" s="29">
        <f>IFERROR(VLOOKUP(F8540,CARTON_LOOKUP!$A:$E,2,0),"")</f>
      </c>
      <c r="K8540" s="29">
        <f>IFERROR(J8540*D8540,0)</f>
      </c>
      <c r="L8540" s="29">
        <f>IFERROR(E8540*C8540,0)</f>
      </c>
      <c r="M8540" s="29">
        <f>IFERROR((G8540*H8540*I8540/1000000)*D8540,0)</f>
      </c>
    </row>
    <row r="8541" spans="1:13" x14ac:dyDescent="0.25">
      <c r="A8541" s="16"/>
      <c r="E8541" s="27"/>
      <c r="F8541" t="s">
        <v>26</v>
      </c>
      <c r="G8541" s="28">
        <f>IFERROR(VLOOKUP(F8541,CARTON_LOOKUP!$A:$E,3,0),"")</f>
      </c>
      <c r="H8541" s="28">
        <f>IFERROR(VLOOKUP(F8541,CARTON_LOOKUP!$A:$E,4,0),"")</f>
      </c>
      <c r="I8541" s="28">
        <f>IFERROR(VLOOKUP(F8541,CARTON_LOOKUP!$A:$E,5,0),"")</f>
      </c>
      <c r="J8541" s="29">
        <f>IFERROR(VLOOKUP(F8541,CARTON_LOOKUP!$A:$E,2,0),"")</f>
      </c>
      <c r="K8541" s="29">
        <f>IFERROR(J8541*D8541,0)</f>
      </c>
      <c r="L8541" s="29">
        <f>IFERROR(E8541*C8541,0)</f>
      </c>
      <c r="M8541" s="29">
        <f>IFERROR((G8541*H8541*I8541/1000000)*D8541,0)</f>
      </c>
    </row>
    <row r="8542" spans="1:13" x14ac:dyDescent="0.25">
      <c r="A8542" s="16"/>
      <c r="E8542" s="27"/>
      <c r="F8542" t="s">
        <v>26</v>
      </c>
      <c r="G8542" s="28">
        <f>IFERROR(VLOOKUP(F8542,CARTON_LOOKUP!$A:$E,3,0),"")</f>
      </c>
      <c r="H8542" s="28">
        <f>IFERROR(VLOOKUP(F8542,CARTON_LOOKUP!$A:$E,4,0),"")</f>
      </c>
      <c r="I8542" s="28">
        <f>IFERROR(VLOOKUP(F8542,CARTON_LOOKUP!$A:$E,5,0),"")</f>
      </c>
      <c r="J8542" s="29">
        <f>IFERROR(VLOOKUP(F8542,CARTON_LOOKUP!$A:$E,2,0),"")</f>
      </c>
      <c r="K8542" s="29">
        <f>IFERROR(J8542*D8542,0)</f>
      </c>
      <c r="L8542" s="29">
        <f>IFERROR(E8542*C8542,0)</f>
      </c>
      <c r="M8542" s="29">
        <f>IFERROR((G8542*H8542*I8542/1000000)*D8542,0)</f>
      </c>
    </row>
    <row r="8543" spans="1:13" x14ac:dyDescent="0.25">
      <c r="A8543" s="16"/>
      <c r="E8543" s="27"/>
      <c r="F8543" t="s">
        <v>26</v>
      </c>
      <c r="G8543" s="28">
        <f>IFERROR(VLOOKUP(F8543,CARTON_LOOKUP!$A:$E,3,0),"")</f>
      </c>
      <c r="H8543" s="28">
        <f>IFERROR(VLOOKUP(F8543,CARTON_LOOKUP!$A:$E,4,0),"")</f>
      </c>
      <c r="I8543" s="28">
        <f>IFERROR(VLOOKUP(F8543,CARTON_LOOKUP!$A:$E,5,0),"")</f>
      </c>
      <c r="J8543" s="29">
        <f>IFERROR(VLOOKUP(F8543,CARTON_LOOKUP!$A:$E,2,0),"")</f>
      </c>
      <c r="K8543" s="29">
        <f>IFERROR(J8543*D8543,0)</f>
      </c>
      <c r="L8543" s="29">
        <f>IFERROR(E8543*C8543,0)</f>
      </c>
      <c r="M8543" s="29">
        <f>IFERROR((G8543*H8543*I8543/1000000)*D8543,0)</f>
      </c>
    </row>
    <row r="8544" spans="1:13" x14ac:dyDescent="0.25">
      <c r="A8544" s="16"/>
      <c r="E8544" s="27"/>
      <c r="F8544" t="s">
        <v>26</v>
      </c>
      <c r="G8544" s="28">
        <f>IFERROR(VLOOKUP(F8544,CARTON_LOOKUP!$A:$E,3,0),"")</f>
      </c>
      <c r="H8544" s="28">
        <f>IFERROR(VLOOKUP(F8544,CARTON_LOOKUP!$A:$E,4,0),"")</f>
      </c>
      <c r="I8544" s="28">
        <f>IFERROR(VLOOKUP(F8544,CARTON_LOOKUP!$A:$E,5,0),"")</f>
      </c>
      <c r="J8544" s="29">
        <f>IFERROR(VLOOKUP(F8544,CARTON_LOOKUP!$A:$E,2,0),"")</f>
      </c>
      <c r="K8544" s="29">
        <f>IFERROR(J8544*D8544,0)</f>
      </c>
      <c r="L8544" s="29">
        <f>IFERROR(E8544*C8544,0)</f>
      </c>
      <c r="M8544" s="29">
        <f>IFERROR((G8544*H8544*I8544/1000000)*D8544,0)</f>
      </c>
    </row>
    <row r="8545" spans="1:13" x14ac:dyDescent="0.25">
      <c r="A8545" s="16"/>
      <c r="E8545" s="27"/>
      <c r="F8545" t="s">
        <v>26</v>
      </c>
      <c r="G8545" s="28">
        <f>IFERROR(VLOOKUP(F8545,CARTON_LOOKUP!$A:$E,3,0),"")</f>
      </c>
      <c r="H8545" s="28">
        <f>IFERROR(VLOOKUP(F8545,CARTON_LOOKUP!$A:$E,4,0),"")</f>
      </c>
      <c r="I8545" s="28">
        <f>IFERROR(VLOOKUP(F8545,CARTON_LOOKUP!$A:$E,5,0),"")</f>
      </c>
      <c r="J8545" s="29">
        <f>IFERROR(VLOOKUP(F8545,CARTON_LOOKUP!$A:$E,2,0),"")</f>
      </c>
      <c r="K8545" s="29">
        <f>IFERROR(J8545*D8545,0)</f>
      </c>
      <c r="L8545" s="29">
        <f>IFERROR(E8545*C8545,0)</f>
      </c>
      <c r="M8545" s="29">
        <f>IFERROR((G8545*H8545*I8545/1000000)*D8545,0)</f>
      </c>
    </row>
    <row r="8546" spans="1:13" x14ac:dyDescent="0.25">
      <c r="A8546" s="16"/>
      <c r="E8546" s="27"/>
      <c r="F8546" t="s">
        <v>26</v>
      </c>
      <c r="G8546" s="28">
        <f>IFERROR(VLOOKUP(F8546,CARTON_LOOKUP!$A:$E,3,0),"")</f>
      </c>
      <c r="H8546" s="28">
        <f>IFERROR(VLOOKUP(F8546,CARTON_LOOKUP!$A:$E,4,0),"")</f>
      </c>
      <c r="I8546" s="28">
        <f>IFERROR(VLOOKUP(F8546,CARTON_LOOKUP!$A:$E,5,0),"")</f>
      </c>
      <c r="J8546" s="29">
        <f>IFERROR(VLOOKUP(F8546,CARTON_LOOKUP!$A:$E,2,0),"")</f>
      </c>
      <c r="K8546" s="29">
        <f>IFERROR(J8546*D8546,0)</f>
      </c>
      <c r="L8546" s="29">
        <f>IFERROR(E8546*C8546,0)</f>
      </c>
      <c r="M8546" s="29">
        <f>IFERROR((G8546*H8546*I8546/1000000)*D8546,0)</f>
      </c>
    </row>
    <row r="8547" spans="1:13" x14ac:dyDescent="0.25">
      <c r="A8547" s="16"/>
      <c r="E8547" s="27"/>
      <c r="F8547" t="s">
        <v>26</v>
      </c>
      <c r="G8547" s="28">
        <f>IFERROR(VLOOKUP(F8547,CARTON_LOOKUP!$A:$E,3,0),"")</f>
      </c>
      <c r="H8547" s="28">
        <f>IFERROR(VLOOKUP(F8547,CARTON_LOOKUP!$A:$E,4,0),"")</f>
      </c>
      <c r="I8547" s="28">
        <f>IFERROR(VLOOKUP(F8547,CARTON_LOOKUP!$A:$E,5,0),"")</f>
      </c>
      <c r="J8547" s="29">
        <f>IFERROR(VLOOKUP(F8547,CARTON_LOOKUP!$A:$E,2,0),"")</f>
      </c>
      <c r="K8547" s="29">
        <f>IFERROR(J8547*D8547,0)</f>
      </c>
      <c r="L8547" s="29">
        <f>IFERROR(E8547*C8547,0)</f>
      </c>
      <c r="M8547" s="29">
        <f>IFERROR((G8547*H8547*I8547/1000000)*D8547,0)</f>
      </c>
    </row>
    <row r="8548" spans="1:13" x14ac:dyDescent="0.25">
      <c r="A8548" s="16"/>
      <c r="E8548" s="27"/>
      <c r="F8548" t="s">
        <v>26</v>
      </c>
      <c r="G8548" s="28">
        <f>IFERROR(VLOOKUP(F8548,CARTON_LOOKUP!$A:$E,3,0),"")</f>
      </c>
      <c r="H8548" s="28">
        <f>IFERROR(VLOOKUP(F8548,CARTON_LOOKUP!$A:$E,4,0),"")</f>
      </c>
      <c r="I8548" s="28">
        <f>IFERROR(VLOOKUP(F8548,CARTON_LOOKUP!$A:$E,5,0),"")</f>
      </c>
      <c r="J8548" s="29">
        <f>IFERROR(VLOOKUP(F8548,CARTON_LOOKUP!$A:$E,2,0),"")</f>
      </c>
      <c r="K8548" s="29">
        <f>IFERROR(J8548*D8548,0)</f>
      </c>
      <c r="L8548" s="29">
        <f>IFERROR(E8548*C8548,0)</f>
      </c>
      <c r="M8548" s="29">
        <f>IFERROR((G8548*H8548*I8548/1000000)*D8548,0)</f>
      </c>
    </row>
    <row r="8549" spans="1:13" x14ac:dyDescent="0.25">
      <c r="A8549" s="16"/>
      <c r="E8549" s="27"/>
      <c r="F8549" t="s">
        <v>26</v>
      </c>
      <c r="G8549" s="28">
        <f>IFERROR(VLOOKUP(F8549,CARTON_LOOKUP!$A:$E,3,0),"")</f>
      </c>
      <c r="H8549" s="28">
        <f>IFERROR(VLOOKUP(F8549,CARTON_LOOKUP!$A:$E,4,0),"")</f>
      </c>
      <c r="I8549" s="28">
        <f>IFERROR(VLOOKUP(F8549,CARTON_LOOKUP!$A:$E,5,0),"")</f>
      </c>
      <c r="J8549" s="29">
        <f>IFERROR(VLOOKUP(F8549,CARTON_LOOKUP!$A:$E,2,0),"")</f>
      </c>
      <c r="K8549" s="29">
        <f>IFERROR(J8549*D8549,0)</f>
      </c>
      <c r="L8549" s="29">
        <f>IFERROR(E8549*C8549,0)</f>
      </c>
      <c r="M8549" s="29">
        <f>IFERROR((G8549*H8549*I8549/1000000)*D8549,0)</f>
      </c>
    </row>
    <row r="8550" spans="1:13" x14ac:dyDescent="0.25">
      <c r="A8550" s="16"/>
      <c r="E8550" s="27"/>
      <c r="F8550" t="s">
        <v>26</v>
      </c>
      <c r="G8550" s="28">
        <f>IFERROR(VLOOKUP(F8550,CARTON_LOOKUP!$A:$E,3,0),"")</f>
      </c>
      <c r="H8550" s="28">
        <f>IFERROR(VLOOKUP(F8550,CARTON_LOOKUP!$A:$E,4,0),"")</f>
      </c>
      <c r="I8550" s="28">
        <f>IFERROR(VLOOKUP(F8550,CARTON_LOOKUP!$A:$E,5,0),"")</f>
      </c>
      <c r="J8550" s="29">
        <f>IFERROR(VLOOKUP(F8550,CARTON_LOOKUP!$A:$E,2,0),"")</f>
      </c>
      <c r="K8550" s="29">
        <f>IFERROR(J8550*D8550,0)</f>
      </c>
      <c r="L8550" s="29">
        <f>IFERROR(E8550*C8550,0)</f>
      </c>
      <c r="M8550" s="29">
        <f>IFERROR((G8550*H8550*I8550/1000000)*D8550,0)</f>
      </c>
    </row>
    <row r="8551" spans="1:13" x14ac:dyDescent="0.25">
      <c r="A8551" s="16"/>
      <c r="E8551" s="27"/>
      <c r="F8551" t="s">
        <v>26</v>
      </c>
      <c r="G8551" s="28">
        <f>IFERROR(VLOOKUP(F8551,CARTON_LOOKUP!$A:$E,3,0),"")</f>
      </c>
      <c r="H8551" s="28">
        <f>IFERROR(VLOOKUP(F8551,CARTON_LOOKUP!$A:$E,4,0),"")</f>
      </c>
      <c r="I8551" s="28">
        <f>IFERROR(VLOOKUP(F8551,CARTON_LOOKUP!$A:$E,5,0),"")</f>
      </c>
      <c r="J8551" s="29">
        <f>IFERROR(VLOOKUP(F8551,CARTON_LOOKUP!$A:$E,2,0),"")</f>
      </c>
      <c r="K8551" s="29">
        <f>IFERROR(J8551*D8551,0)</f>
      </c>
      <c r="L8551" s="29">
        <f>IFERROR(E8551*C8551,0)</f>
      </c>
      <c r="M8551" s="29">
        <f>IFERROR((G8551*H8551*I8551/1000000)*D8551,0)</f>
      </c>
    </row>
    <row r="8552" spans="1:13" x14ac:dyDescent="0.25">
      <c r="A8552" s="16"/>
      <c r="E8552" s="27"/>
      <c r="F8552" t="s">
        <v>26</v>
      </c>
      <c r="G8552" s="28">
        <f>IFERROR(VLOOKUP(F8552,CARTON_LOOKUP!$A:$E,3,0),"")</f>
      </c>
      <c r="H8552" s="28">
        <f>IFERROR(VLOOKUP(F8552,CARTON_LOOKUP!$A:$E,4,0),"")</f>
      </c>
      <c r="I8552" s="28">
        <f>IFERROR(VLOOKUP(F8552,CARTON_LOOKUP!$A:$E,5,0),"")</f>
      </c>
      <c r="J8552" s="29">
        <f>IFERROR(VLOOKUP(F8552,CARTON_LOOKUP!$A:$E,2,0),"")</f>
      </c>
      <c r="K8552" s="29">
        <f>IFERROR(J8552*D8552,0)</f>
      </c>
      <c r="L8552" s="29">
        <f>IFERROR(E8552*C8552,0)</f>
      </c>
      <c r="M8552" s="29">
        <f>IFERROR((G8552*H8552*I8552/1000000)*D8552,0)</f>
      </c>
    </row>
    <row r="8553" spans="1:13" x14ac:dyDescent="0.25">
      <c r="A8553" s="16"/>
      <c r="E8553" s="27"/>
      <c r="F8553" t="s">
        <v>26</v>
      </c>
      <c r="G8553" s="28">
        <f>IFERROR(VLOOKUP(F8553,CARTON_LOOKUP!$A:$E,3,0),"")</f>
      </c>
      <c r="H8553" s="28">
        <f>IFERROR(VLOOKUP(F8553,CARTON_LOOKUP!$A:$E,4,0),"")</f>
      </c>
      <c r="I8553" s="28">
        <f>IFERROR(VLOOKUP(F8553,CARTON_LOOKUP!$A:$E,5,0),"")</f>
      </c>
      <c r="J8553" s="29">
        <f>IFERROR(VLOOKUP(F8553,CARTON_LOOKUP!$A:$E,2,0),"")</f>
      </c>
      <c r="K8553" s="29">
        <f>IFERROR(J8553*D8553,0)</f>
      </c>
      <c r="L8553" s="29">
        <f>IFERROR(E8553*C8553,0)</f>
      </c>
      <c r="M8553" s="29">
        <f>IFERROR((G8553*H8553*I8553/1000000)*D8553,0)</f>
      </c>
    </row>
    <row r="8554" spans="1:13" x14ac:dyDescent="0.25">
      <c r="A8554" s="16"/>
      <c r="E8554" s="27"/>
      <c r="F8554" t="s">
        <v>26</v>
      </c>
      <c r="G8554" s="28">
        <f>IFERROR(VLOOKUP(F8554,CARTON_LOOKUP!$A:$E,3,0),"")</f>
      </c>
      <c r="H8554" s="28">
        <f>IFERROR(VLOOKUP(F8554,CARTON_LOOKUP!$A:$E,4,0),"")</f>
      </c>
      <c r="I8554" s="28">
        <f>IFERROR(VLOOKUP(F8554,CARTON_LOOKUP!$A:$E,5,0),"")</f>
      </c>
      <c r="J8554" s="29">
        <f>IFERROR(VLOOKUP(F8554,CARTON_LOOKUP!$A:$E,2,0),"")</f>
      </c>
      <c r="K8554" s="29">
        <f>IFERROR(J8554*D8554,0)</f>
      </c>
      <c r="L8554" s="29">
        <f>IFERROR(E8554*C8554,0)</f>
      </c>
      <c r="M8554" s="29">
        <f>IFERROR((G8554*H8554*I8554/1000000)*D8554,0)</f>
      </c>
    </row>
    <row r="8555" spans="1:13" x14ac:dyDescent="0.25">
      <c r="A8555" s="16"/>
      <c r="E8555" s="27"/>
      <c r="F8555" t="s">
        <v>26</v>
      </c>
      <c r="G8555" s="28">
        <f>IFERROR(VLOOKUP(F8555,CARTON_LOOKUP!$A:$E,3,0),"")</f>
      </c>
      <c r="H8555" s="28">
        <f>IFERROR(VLOOKUP(F8555,CARTON_LOOKUP!$A:$E,4,0),"")</f>
      </c>
      <c r="I8555" s="28">
        <f>IFERROR(VLOOKUP(F8555,CARTON_LOOKUP!$A:$E,5,0),"")</f>
      </c>
      <c r="J8555" s="29">
        <f>IFERROR(VLOOKUP(F8555,CARTON_LOOKUP!$A:$E,2,0),"")</f>
      </c>
      <c r="K8555" s="29">
        <f>IFERROR(J8555*D8555,0)</f>
      </c>
      <c r="L8555" s="29">
        <f>IFERROR(E8555*C8555,0)</f>
      </c>
      <c r="M8555" s="29">
        <f>IFERROR((G8555*H8555*I8555/1000000)*D8555,0)</f>
      </c>
    </row>
    <row r="8556" spans="1:13" x14ac:dyDescent="0.25">
      <c r="A8556" s="16"/>
      <c r="E8556" s="27"/>
      <c r="F8556" t="s">
        <v>26</v>
      </c>
      <c r="G8556" s="28">
        <f>IFERROR(VLOOKUP(F8556,CARTON_LOOKUP!$A:$E,3,0),"")</f>
      </c>
      <c r="H8556" s="28">
        <f>IFERROR(VLOOKUP(F8556,CARTON_LOOKUP!$A:$E,4,0),"")</f>
      </c>
      <c r="I8556" s="28">
        <f>IFERROR(VLOOKUP(F8556,CARTON_LOOKUP!$A:$E,5,0),"")</f>
      </c>
      <c r="J8556" s="29">
        <f>IFERROR(VLOOKUP(F8556,CARTON_LOOKUP!$A:$E,2,0),"")</f>
      </c>
      <c r="K8556" s="29">
        <f>IFERROR(J8556*D8556,0)</f>
      </c>
      <c r="L8556" s="29">
        <f>IFERROR(E8556*C8556,0)</f>
      </c>
      <c r="M8556" s="29">
        <f>IFERROR((G8556*H8556*I8556/1000000)*D8556,0)</f>
      </c>
    </row>
    <row r="8557" spans="1:13" x14ac:dyDescent="0.25">
      <c r="A8557" s="16"/>
      <c r="E8557" s="27"/>
      <c r="F8557" t="s">
        <v>26</v>
      </c>
      <c r="G8557" s="28">
        <f>IFERROR(VLOOKUP(F8557,CARTON_LOOKUP!$A:$E,3,0),"")</f>
      </c>
      <c r="H8557" s="28">
        <f>IFERROR(VLOOKUP(F8557,CARTON_LOOKUP!$A:$E,4,0),"")</f>
      </c>
      <c r="I8557" s="28">
        <f>IFERROR(VLOOKUP(F8557,CARTON_LOOKUP!$A:$E,5,0),"")</f>
      </c>
      <c r="J8557" s="29">
        <f>IFERROR(VLOOKUP(F8557,CARTON_LOOKUP!$A:$E,2,0),"")</f>
      </c>
      <c r="K8557" s="29">
        <f>IFERROR(J8557*D8557,0)</f>
      </c>
      <c r="L8557" s="29">
        <f>IFERROR(E8557*C8557,0)</f>
      </c>
      <c r="M8557" s="29">
        <f>IFERROR((G8557*H8557*I8557/1000000)*D8557,0)</f>
      </c>
    </row>
    <row r="8558" spans="1:13" x14ac:dyDescent="0.25">
      <c r="A8558" s="16"/>
      <c r="E8558" s="27"/>
      <c r="F8558" t="s">
        <v>26</v>
      </c>
      <c r="G8558" s="28">
        <f>IFERROR(VLOOKUP(F8558,CARTON_LOOKUP!$A:$E,3,0),"")</f>
      </c>
      <c r="H8558" s="28">
        <f>IFERROR(VLOOKUP(F8558,CARTON_LOOKUP!$A:$E,4,0),"")</f>
      </c>
      <c r="I8558" s="28">
        <f>IFERROR(VLOOKUP(F8558,CARTON_LOOKUP!$A:$E,5,0),"")</f>
      </c>
      <c r="J8558" s="29">
        <f>IFERROR(VLOOKUP(F8558,CARTON_LOOKUP!$A:$E,2,0),"")</f>
      </c>
      <c r="K8558" s="29">
        <f>IFERROR(J8558*D8558,0)</f>
      </c>
      <c r="L8558" s="29">
        <f>IFERROR(E8558*C8558,0)</f>
      </c>
      <c r="M8558" s="29">
        <f>IFERROR((G8558*H8558*I8558/1000000)*D8558,0)</f>
      </c>
    </row>
    <row r="8559" spans="1:13" x14ac:dyDescent="0.25">
      <c r="A8559" s="16"/>
      <c r="E8559" s="27"/>
      <c r="F8559" t="s">
        <v>26</v>
      </c>
      <c r="G8559" s="28">
        <f>IFERROR(VLOOKUP(F8559,CARTON_LOOKUP!$A:$E,3,0),"")</f>
      </c>
      <c r="H8559" s="28">
        <f>IFERROR(VLOOKUP(F8559,CARTON_LOOKUP!$A:$E,4,0),"")</f>
      </c>
      <c r="I8559" s="28">
        <f>IFERROR(VLOOKUP(F8559,CARTON_LOOKUP!$A:$E,5,0),"")</f>
      </c>
      <c r="J8559" s="29">
        <f>IFERROR(VLOOKUP(F8559,CARTON_LOOKUP!$A:$E,2,0),"")</f>
      </c>
      <c r="K8559" s="29">
        <f>IFERROR(J8559*D8559,0)</f>
      </c>
      <c r="L8559" s="29">
        <f>IFERROR(E8559*C8559,0)</f>
      </c>
      <c r="M8559" s="29">
        <f>IFERROR((G8559*H8559*I8559/1000000)*D8559,0)</f>
      </c>
    </row>
    <row r="8560" spans="1:13" x14ac:dyDescent="0.25">
      <c r="A8560" s="16"/>
      <c r="E8560" s="27"/>
      <c r="F8560" t="s">
        <v>26</v>
      </c>
      <c r="G8560" s="28">
        <f>IFERROR(VLOOKUP(F8560,CARTON_LOOKUP!$A:$E,3,0),"")</f>
      </c>
      <c r="H8560" s="28">
        <f>IFERROR(VLOOKUP(F8560,CARTON_LOOKUP!$A:$E,4,0),"")</f>
      </c>
      <c r="I8560" s="28">
        <f>IFERROR(VLOOKUP(F8560,CARTON_LOOKUP!$A:$E,5,0),"")</f>
      </c>
      <c r="J8560" s="29">
        <f>IFERROR(VLOOKUP(F8560,CARTON_LOOKUP!$A:$E,2,0),"")</f>
      </c>
      <c r="K8560" s="29">
        <f>IFERROR(J8560*D8560,0)</f>
      </c>
      <c r="L8560" s="29">
        <f>IFERROR(E8560*C8560,0)</f>
      </c>
      <c r="M8560" s="29">
        <f>IFERROR((G8560*H8560*I8560/1000000)*D8560,0)</f>
      </c>
    </row>
    <row r="8561" spans="1:13" x14ac:dyDescent="0.25">
      <c r="A8561" s="16"/>
      <c r="E8561" s="27"/>
      <c r="F8561" t="s">
        <v>26</v>
      </c>
      <c r="G8561" s="28">
        <f>IFERROR(VLOOKUP(F8561,CARTON_LOOKUP!$A:$E,3,0),"")</f>
      </c>
      <c r="H8561" s="28">
        <f>IFERROR(VLOOKUP(F8561,CARTON_LOOKUP!$A:$E,4,0),"")</f>
      </c>
      <c r="I8561" s="28">
        <f>IFERROR(VLOOKUP(F8561,CARTON_LOOKUP!$A:$E,5,0),"")</f>
      </c>
      <c r="J8561" s="29">
        <f>IFERROR(VLOOKUP(F8561,CARTON_LOOKUP!$A:$E,2,0),"")</f>
      </c>
      <c r="K8561" s="29">
        <f>IFERROR(J8561*D8561,0)</f>
      </c>
      <c r="L8561" s="29">
        <f>IFERROR(E8561*C8561,0)</f>
      </c>
      <c r="M8561" s="29">
        <f>IFERROR((G8561*H8561*I8561/1000000)*D8561,0)</f>
      </c>
    </row>
    <row r="8562" spans="1:13" x14ac:dyDescent="0.25">
      <c r="A8562" s="16"/>
      <c r="E8562" s="27"/>
      <c r="F8562" t="s">
        <v>26</v>
      </c>
      <c r="G8562" s="28">
        <f>IFERROR(VLOOKUP(F8562,CARTON_LOOKUP!$A:$E,3,0),"")</f>
      </c>
      <c r="H8562" s="28">
        <f>IFERROR(VLOOKUP(F8562,CARTON_LOOKUP!$A:$E,4,0),"")</f>
      </c>
      <c r="I8562" s="28">
        <f>IFERROR(VLOOKUP(F8562,CARTON_LOOKUP!$A:$E,5,0),"")</f>
      </c>
      <c r="J8562" s="29">
        <f>IFERROR(VLOOKUP(F8562,CARTON_LOOKUP!$A:$E,2,0),"")</f>
      </c>
      <c r="K8562" s="29">
        <f>IFERROR(J8562*D8562,0)</f>
      </c>
      <c r="L8562" s="29">
        <f>IFERROR(E8562*C8562,0)</f>
      </c>
      <c r="M8562" s="29">
        <f>IFERROR((G8562*H8562*I8562/1000000)*D8562,0)</f>
      </c>
    </row>
    <row r="8563" spans="1:13" x14ac:dyDescent="0.25">
      <c r="A8563" s="16"/>
      <c r="E8563" s="27"/>
      <c r="F8563" t="s">
        <v>26</v>
      </c>
      <c r="G8563" s="28">
        <f>IFERROR(VLOOKUP(F8563,CARTON_LOOKUP!$A:$E,3,0),"")</f>
      </c>
      <c r="H8563" s="28">
        <f>IFERROR(VLOOKUP(F8563,CARTON_LOOKUP!$A:$E,4,0),"")</f>
      </c>
      <c r="I8563" s="28">
        <f>IFERROR(VLOOKUP(F8563,CARTON_LOOKUP!$A:$E,5,0),"")</f>
      </c>
      <c r="J8563" s="29">
        <f>IFERROR(VLOOKUP(F8563,CARTON_LOOKUP!$A:$E,2,0),"")</f>
      </c>
      <c r="K8563" s="29">
        <f>IFERROR(J8563*D8563,0)</f>
      </c>
      <c r="L8563" s="29">
        <f>IFERROR(E8563*C8563,0)</f>
      </c>
      <c r="M8563" s="29">
        <f>IFERROR((G8563*H8563*I8563/1000000)*D8563,0)</f>
      </c>
    </row>
    <row r="8564" spans="1:13" x14ac:dyDescent="0.25">
      <c r="A8564" s="16"/>
      <c r="E8564" s="27"/>
      <c r="F8564" t="s">
        <v>26</v>
      </c>
      <c r="G8564" s="28">
        <f>IFERROR(VLOOKUP(F8564,CARTON_LOOKUP!$A:$E,3,0),"")</f>
      </c>
      <c r="H8564" s="28">
        <f>IFERROR(VLOOKUP(F8564,CARTON_LOOKUP!$A:$E,4,0),"")</f>
      </c>
      <c r="I8564" s="28">
        <f>IFERROR(VLOOKUP(F8564,CARTON_LOOKUP!$A:$E,5,0),"")</f>
      </c>
      <c r="J8564" s="29">
        <f>IFERROR(VLOOKUP(F8564,CARTON_LOOKUP!$A:$E,2,0),"")</f>
      </c>
      <c r="K8564" s="29">
        <f>IFERROR(J8564*D8564,0)</f>
      </c>
      <c r="L8564" s="29">
        <f>IFERROR(E8564*C8564,0)</f>
      </c>
      <c r="M8564" s="29">
        <f>IFERROR((G8564*H8564*I8564/1000000)*D8564,0)</f>
      </c>
    </row>
    <row r="8565" spans="1:13" x14ac:dyDescent="0.25">
      <c r="A8565" s="16"/>
      <c r="E8565" s="27"/>
      <c r="F8565" t="s">
        <v>26</v>
      </c>
      <c r="G8565" s="28">
        <f>IFERROR(VLOOKUP(F8565,CARTON_LOOKUP!$A:$E,3,0),"")</f>
      </c>
      <c r="H8565" s="28">
        <f>IFERROR(VLOOKUP(F8565,CARTON_LOOKUP!$A:$E,4,0),"")</f>
      </c>
      <c r="I8565" s="28">
        <f>IFERROR(VLOOKUP(F8565,CARTON_LOOKUP!$A:$E,5,0),"")</f>
      </c>
      <c r="J8565" s="29">
        <f>IFERROR(VLOOKUP(F8565,CARTON_LOOKUP!$A:$E,2,0),"")</f>
      </c>
      <c r="K8565" s="29">
        <f>IFERROR(J8565*D8565,0)</f>
      </c>
      <c r="L8565" s="29">
        <f>IFERROR(E8565*C8565,0)</f>
      </c>
      <c r="M8565" s="29">
        <f>IFERROR((G8565*H8565*I8565/1000000)*D8565,0)</f>
      </c>
    </row>
    <row r="8566" spans="1:13" x14ac:dyDescent="0.25">
      <c r="A8566" s="16"/>
      <c r="E8566" s="27"/>
      <c r="F8566" t="s">
        <v>26</v>
      </c>
      <c r="G8566" s="28">
        <f>IFERROR(VLOOKUP(F8566,CARTON_LOOKUP!$A:$E,3,0),"")</f>
      </c>
      <c r="H8566" s="28">
        <f>IFERROR(VLOOKUP(F8566,CARTON_LOOKUP!$A:$E,4,0),"")</f>
      </c>
      <c r="I8566" s="28">
        <f>IFERROR(VLOOKUP(F8566,CARTON_LOOKUP!$A:$E,5,0),"")</f>
      </c>
      <c r="J8566" s="29">
        <f>IFERROR(VLOOKUP(F8566,CARTON_LOOKUP!$A:$E,2,0),"")</f>
      </c>
      <c r="K8566" s="29">
        <f>IFERROR(J8566*D8566,0)</f>
      </c>
      <c r="L8566" s="29">
        <f>IFERROR(E8566*C8566,0)</f>
      </c>
      <c r="M8566" s="29">
        <f>IFERROR((G8566*H8566*I8566/1000000)*D8566,0)</f>
      </c>
    </row>
    <row r="8567" spans="1:13" x14ac:dyDescent="0.25">
      <c r="A8567" s="16"/>
      <c r="E8567" s="27"/>
      <c r="F8567" t="s">
        <v>26</v>
      </c>
      <c r="G8567" s="28">
        <f>IFERROR(VLOOKUP(F8567,CARTON_LOOKUP!$A:$E,3,0),"")</f>
      </c>
      <c r="H8567" s="28">
        <f>IFERROR(VLOOKUP(F8567,CARTON_LOOKUP!$A:$E,4,0),"")</f>
      </c>
      <c r="I8567" s="28">
        <f>IFERROR(VLOOKUP(F8567,CARTON_LOOKUP!$A:$E,5,0),"")</f>
      </c>
      <c r="J8567" s="29">
        <f>IFERROR(VLOOKUP(F8567,CARTON_LOOKUP!$A:$E,2,0),"")</f>
      </c>
      <c r="K8567" s="29">
        <f>IFERROR(J8567*D8567,0)</f>
      </c>
      <c r="L8567" s="29">
        <f>IFERROR(E8567*C8567,0)</f>
      </c>
      <c r="M8567" s="29">
        <f>IFERROR((G8567*H8567*I8567/1000000)*D8567,0)</f>
      </c>
    </row>
    <row r="8568" spans="1:13" x14ac:dyDescent="0.25">
      <c r="A8568" s="16"/>
      <c r="E8568" s="27"/>
      <c r="F8568" t="s">
        <v>26</v>
      </c>
      <c r="G8568" s="28">
        <f>IFERROR(VLOOKUP(F8568,CARTON_LOOKUP!$A:$E,3,0),"")</f>
      </c>
      <c r="H8568" s="28">
        <f>IFERROR(VLOOKUP(F8568,CARTON_LOOKUP!$A:$E,4,0),"")</f>
      </c>
      <c r="I8568" s="28">
        <f>IFERROR(VLOOKUP(F8568,CARTON_LOOKUP!$A:$E,5,0),"")</f>
      </c>
      <c r="J8568" s="29">
        <f>IFERROR(VLOOKUP(F8568,CARTON_LOOKUP!$A:$E,2,0),"")</f>
      </c>
      <c r="K8568" s="29">
        <f>IFERROR(J8568*D8568,0)</f>
      </c>
      <c r="L8568" s="29">
        <f>IFERROR(E8568*C8568,0)</f>
      </c>
      <c r="M8568" s="29">
        <f>IFERROR((G8568*H8568*I8568/1000000)*D8568,0)</f>
      </c>
    </row>
    <row r="8569" spans="1:13" x14ac:dyDescent="0.25">
      <c r="A8569" s="16"/>
      <c r="E8569" s="27"/>
      <c r="F8569" t="s">
        <v>26</v>
      </c>
      <c r="G8569" s="28">
        <f>IFERROR(VLOOKUP(F8569,CARTON_LOOKUP!$A:$E,3,0),"")</f>
      </c>
      <c r="H8569" s="28">
        <f>IFERROR(VLOOKUP(F8569,CARTON_LOOKUP!$A:$E,4,0),"")</f>
      </c>
      <c r="I8569" s="28">
        <f>IFERROR(VLOOKUP(F8569,CARTON_LOOKUP!$A:$E,5,0),"")</f>
      </c>
      <c r="J8569" s="29">
        <f>IFERROR(VLOOKUP(F8569,CARTON_LOOKUP!$A:$E,2,0),"")</f>
      </c>
      <c r="K8569" s="29">
        <f>IFERROR(J8569*D8569,0)</f>
      </c>
      <c r="L8569" s="29">
        <f>IFERROR(E8569*C8569,0)</f>
      </c>
      <c r="M8569" s="29">
        <f>IFERROR((G8569*H8569*I8569/1000000)*D8569,0)</f>
      </c>
    </row>
    <row r="8570" spans="1:13" x14ac:dyDescent="0.25">
      <c r="A8570" s="16"/>
      <c r="E8570" s="27"/>
      <c r="F8570" t="s">
        <v>26</v>
      </c>
      <c r="G8570" s="28">
        <f>IFERROR(VLOOKUP(F8570,CARTON_LOOKUP!$A:$E,3,0),"")</f>
      </c>
      <c r="H8570" s="28">
        <f>IFERROR(VLOOKUP(F8570,CARTON_LOOKUP!$A:$E,4,0),"")</f>
      </c>
      <c r="I8570" s="28">
        <f>IFERROR(VLOOKUP(F8570,CARTON_LOOKUP!$A:$E,5,0),"")</f>
      </c>
      <c r="J8570" s="29">
        <f>IFERROR(VLOOKUP(F8570,CARTON_LOOKUP!$A:$E,2,0),"")</f>
      </c>
      <c r="K8570" s="29">
        <f>IFERROR(J8570*D8570,0)</f>
      </c>
      <c r="L8570" s="29">
        <f>IFERROR(E8570*C8570,0)</f>
      </c>
      <c r="M8570" s="29">
        <f>IFERROR((G8570*H8570*I8570/1000000)*D8570,0)</f>
      </c>
    </row>
    <row r="8571" spans="1:13" x14ac:dyDescent="0.25">
      <c r="A8571" s="16"/>
      <c r="E8571" s="27"/>
      <c r="F8571" t="s">
        <v>26</v>
      </c>
      <c r="G8571" s="28">
        <f>IFERROR(VLOOKUP(F8571,CARTON_LOOKUP!$A:$E,3,0),"")</f>
      </c>
      <c r="H8571" s="28">
        <f>IFERROR(VLOOKUP(F8571,CARTON_LOOKUP!$A:$E,4,0),"")</f>
      </c>
      <c r="I8571" s="28">
        <f>IFERROR(VLOOKUP(F8571,CARTON_LOOKUP!$A:$E,5,0),"")</f>
      </c>
      <c r="J8571" s="29">
        <f>IFERROR(VLOOKUP(F8571,CARTON_LOOKUP!$A:$E,2,0),"")</f>
      </c>
      <c r="K8571" s="29">
        <f>IFERROR(J8571*D8571,0)</f>
      </c>
      <c r="L8571" s="29">
        <f>IFERROR(E8571*C8571,0)</f>
      </c>
      <c r="M8571" s="29">
        <f>IFERROR((G8571*H8571*I8571/1000000)*D8571,0)</f>
      </c>
    </row>
    <row r="8572" spans="1:13" x14ac:dyDescent="0.25">
      <c r="A8572" s="16"/>
      <c r="E8572" s="27"/>
      <c r="F8572" t="s">
        <v>26</v>
      </c>
      <c r="G8572" s="28">
        <f>IFERROR(VLOOKUP(F8572,CARTON_LOOKUP!$A:$E,3,0),"")</f>
      </c>
      <c r="H8572" s="28">
        <f>IFERROR(VLOOKUP(F8572,CARTON_LOOKUP!$A:$E,4,0),"")</f>
      </c>
      <c r="I8572" s="28">
        <f>IFERROR(VLOOKUP(F8572,CARTON_LOOKUP!$A:$E,5,0),"")</f>
      </c>
      <c r="J8572" s="29">
        <f>IFERROR(VLOOKUP(F8572,CARTON_LOOKUP!$A:$E,2,0),"")</f>
      </c>
      <c r="K8572" s="29">
        <f>IFERROR(J8572*D8572,0)</f>
      </c>
      <c r="L8572" s="29">
        <f>IFERROR(E8572*C8572,0)</f>
      </c>
      <c r="M8572" s="29">
        <f>IFERROR((G8572*H8572*I8572/1000000)*D8572,0)</f>
      </c>
    </row>
    <row r="8573" spans="1:13" x14ac:dyDescent="0.25">
      <c r="A8573" s="16"/>
      <c r="E8573" s="27"/>
      <c r="F8573" t="s">
        <v>26</v>
      </c>
      <c r="G8573" s="28">
        <f>IFERROR(VLOOKUP(F8573,CARTON_LOOKUP!$A:$E,3,0),"")</f>
      </c>
      <c r="H8573" s="28">
        <f>IFERROR(VLOOKUP(F8573,CARTON_LOOKUP!$A:$E,4,0),"")</f>
      </c>
      <c r="I8573" s="28">
        <f>IFERROR(VLOOKUP(F8573,CARTON_LOOKUP!$A:$E,5,0),"")</f>
      </c>
      <c r="J8573" s="29">
        <f>IFERROR(VLOOKUP(F8573,CARTON_LOOKUP!$A:$E,2,0),"")</f>
      </c>
      <c r="K8573" s="29">
        <f>IFERROR(J8573*D8573,0)</f>
      </c>
      <c r="L8573" s="29">
        <f>IFERROR(E8573*C8573,0)</f>
      </c>
      <c r="M8573" s="29">
        <f>IFERROR((G8573*H8573*I8573/1000000)*D8573,0)</f>
      </c>
    </row>
    <row r="8574" spans="1:13" x14ac:dyDescent="0.25">
      <c r="A8574" s="16"/>
      <c r="E8574" s="27"/>
      <c r="F8574" t="s">
        <v>26</v>
      </c>
      <c r="G8574" s="28">
        <f>IFERROR(VLOOKUP(F8574,CARTON_LOOKUP!$A:$E,3,0),"")</f>
      </c>
      <c r="H8574" s="28">
        <f>IFERROR(VLOOKUP(F8574,CARTON_LOOKUP!$A:$E,4,0),"")</f>
      </c>
      <c r="I8574" s="28">
        <f>IFERROR(VLOOKUP(F8574,CARTON_LOOKUP!$A:$E,5,0),"")</f>
      </c>
      <c r="J8574" s="29">
        <f>IFERROR(VLOOKUP(F8574,CARTON_LOOKUP!$A:$E,2,0),"")</f>
      </c>
      <c r="K8574" s="29">
        <f>IFERROR(J8574*D8574,0)</f>
      </c>
      <c r="L8574" s="29">
        <f>IFERROR(E8574*C8574,0)</f>
      </c>
      <c r="M8574" s="29">
        <f>IFERROR((G8574*H8574*I8574/1000000)*D8574,0)</f>
      </c>
    </row>
    <row r="8575" spans="1:13" x14ac:dyDescent="0.25">
      <c r="A8575" s="16"/>
      <c r="E8575" s="27"/>
      <c r="F8575" t="s">
        <v>26</v>
      </c>
      <c r="G8575" s="28">
        <f>IFERROR(VLOOKUP(F8575,CARTON_LOOKUP!$A:$E,3,0),"")</f>
      </c>
      <c r="H8575" s="28">
        <f>IFERROR(VLOOKUP(F8575,CARTON_LOOKUP!$A:$E,4,0),"")</f>
      </c>
      <c r="I8575" s="28">
        <f>IFERROR(VLOOKUP(F8575,CARTON_LOOKUP!$A:$E,5,0),"")</f>
      </c>
      <c r="J8575" s="29">
        <f>IFERROR(VLOOKUP(F8575,CARTON_LOOKUP!$A:$E,2,0),"")</f>
      </c>
      <c r="K8575" s="29">
        <f>IFERROR(J8575*D8575,0)</f>
      </c>
      <c r="L8575" s="29">
        <f>IFERROR(E8575*C8575,0)</f>
      </c>
      <c r="M8575" s="29">
        <f>IFERROR((G8575*H8575*I8575/1000000)*D8575,0)</f>
      </c>
    </row>
    <row r="8576" spans="1:13" x14ac:dyDescent="0.25">
      <c r="A8576" s="16"/>
      <c r="E8576" s="27"/>
      <c r="F8576" t="s">
        <v>26</v>
      </c>
      <c r="G8576" s="28">
        <f>IFERROR(VLOOKUP(F8576,CARTON_LOOKUP!$A:$E,3,0),"")</f>
      </c>
      <c r="H8576" s="28">
        <f>IFERROR(VLOOKUP(F8576,CARTON_LOOKUP!$A:$E,4,0),"")</f>
      </c>
      <c r="I8576" s="28">
        <f>IFERROR(VLOOKUP(F8576,CARTON_LOOKUP!$A:$E,5,0),"")</f>
      </c>
      <c r="J8576" s="29">
        <f>IFERROR(VLOOKUP(F8576,CARTON_LOOKUP!$A:$E,2,0),"")</f>
      </c>
      <c r="K8576" s="29">
        <f>IFERROR(J8576*D8576,0)</f>
      </c>
      <c r="L8576" s="29">
        <f>IFERROR(E8576*C8576,0)</f>
      </c>
      <c r="M8576" s="29">
        <f>IFERROR((G8576*H8576*I8576/1000000)*D8576,0)</f>
      </c>
    </row>
    <row r="8577" spans="1:13" x14ac:dyDescent="0.25">
      <c r="A8577" s="16"/>
      <c r="E8577" s="27"/>
      <c r="F8577" t="s">
        <v>26</v>
      </c>
      <c r="G8577" s="28">
        <f>IFERROR(VLOOKUP(F8577,CARTON_LOOKUP!$A:$E,3,0),"")</f>
      </c>
      <c r="H8577" s="28">
        <f>IFERROR(VLOOKUP(F8577,CARTON_LOOKUP!$A:$E,4,0),"")</f>
      </c>
      <c r="I8577" s="28">
        <f>IFERROR(VLOOKUP(F8577,CARTON_LOOKUP!$A:$E,5,0),"")</f>
      </c>
      <c r="J8577" s="29">
        <f>IFERROR(VLOOKUP(F8577,CARTON_LOOKUP!$A:$E,2,0),"")</f>
      </c>
      <c r="K8577" s="29">
        <f>IFERROR(J8577*D8577,0)</f>
      </c>
      <c r="L8577" s="29">
        <f>IFERROR(E8577*C8577,0)</f>
      </c>
      <c r="M8577" s="29">
        <f>IFERROR((G8577*H8577*I8577/1000000)*D8577,0)</f>
      </c>
    </row>
    <row r="8578" spans="1:13" x14ac:dyDescent="0.25">
      <c r="A8578" s="16"/>
      <c r="E8578" s="27"/>
      <c r="F8578" t="s">
        <v>26</v>
      </c>
      <c r="G8578" s="28">
        <f>IFERROR(VLOOKUP(F8578,CARTON_LOOKUP!$A:$E,3,0),"")</f>
      </c>
      <c r="H8578" s="28">
        <f>IFERROR(VLOOKUP(F8578,CARTON_LOOKUP!$A:$E,4,0),"")</f>
      </c>
      <c r="I8578" s="28">
        <f>IFERROR(VLOOKUP(F8578,CARTON_LOOKUP!$A:$E,5,0),"")</f>
      </c>
      <c r="J8578" s="29">
        <f>IFERROR(VLOOKUP(F8578,CARTON_LOOKUP!$A:$E,2,0),"")</f>
      </c>
      <c r="K8578" s="29">
        <f>IFERROR(J8578*D8578,0)</f>
      </c>
      <c r="L8578" s="29">
        <f>IFERROR(E8578*C8578,0)</f>
      </c>
      <c r="M8578" s="29">
        <f>IFERROR((G8578*H8578*I8578/1000000)*D8578,0)</f>
      </c>
    </row>
    <row r="8579" spans="1:13" x14ac:dyDescent="0.25">
      <c r="A8579" s="16"/>
      <c r="E8579" s="27"/>
      <c r="F8579" t="s">
        <v>26</v>
      </c>
      <c r="G8579" s="28">
        <f>IFERROR(VLOOKUP(F8579,CARTON_LOOKUP!$A:$E,3,0),"")</f>
      </c>
      <c r="H8579" s="28">
        <f>IFERROR(VLOOKUP(F8579,CARTON_LOOKUP!$A:$E,4,0),"")</f>
      </c>
      <c r="I8579" s="28">
        <f>IFERROR(VLOOKUP(F8579,CARTON_LOOKUP!$A:$E,5,0),"")</f>
      </c>
      <c r="J8579" s="29">
        <f>IFERROR(VLOOKUP(F8579,CARTON_LOOKUP!$A:$E,2,0),"")</f>
      </c>
      <c r="K8579" s="29">
        <f>IFERROR(J8579*D8579,0)</f>
      </c>
      <c r="L8579" s="29">
        <f>IFERROR(E8579*C8579,0)</f>
      </c>
      <c r="M8579" s="29">
        <f>IFERROR((G8579*H8579*I8579/1000000)*D8579,0)</f>
      </c>
    </row>
    <row r="8580" spans="1:13" x14ac:dyDescent="0.25">
      <c r="A8580" s="16"/>
      <c r="E8580" s="27"/>
      <c r="F8580" t="s">
        <v>26</v>
      </c>
      <c r="G8580" s="28">
        <f>IFERROR(VLOOKUP(F8580,CARTON_LOOKUP!$A:$E,3,0),"")</f>
      </c>
      <c r="H8580" s="28">
        <f>IFERROR(VLOOKUP(F8580,CARTON_LOOKUP!$A:$E,4,0),"")</f>
      </c>
      <c r="I8580" s="28">
        <f>IFERROR(VLOOKUP(F8580,CARTON_LOOKUP!$A:$E,5,0),"")</f>
      </c>
      <c r="J8580" s="29">
        <f>IFERROR(VLOOKUP(F8580,CARTON_LOOKUP!$A:$E,2,0),"")</f>
      </c>
      <c r="K8580" s="29">
        <f>IFERROR(J8580*D8580,0)</f>
      </c>
      <c r="L8580" s="29">
        <f>IFERROR(E8580*C8580,0)</f>
      </c>
      <c r="M8580" s="29">
        <f>IFERROR((G8580*H8580*I8580/1000000)*D8580,0)</f>
      </c>
    </row>
    <row r="8581" spans="1:13" x14ac:dyDescent="0.25">
      <c r="A8581" s="16"/>
      <c r="E8581" s="27"/>
      <c r="F8581" t="s">
        <v>26</v>
      </c>
      <c r="G8581" s="28">
        <f>IFERROR(VLOOKUP(F8581,CARTON_LOOKUP!$A:$E,3,0),"")</f>
      </c>
      <c r="H8581" s="28">
        <f>IFERROR(VLOOKUP(F8581,CARTON_LOOKUP!$A:$E,4,0),"")</f>
      </c>
      <c r="I8581" s="28">
        <f>IFERROR(VLOOKUP(F8581,CARTON_LOOKUP!$A:$E,5,0),"")</f>
      </c>
      <c r="J8581" s="29">
        <f>IFERROR(VLOOKUP(F8581,CARTON_LOOKUP!$A:$E,2,0),"")</f>
      </c>
      <c r="K8581" s="29">
        <f>IFERROR(J8581*D8581,0)</f>
      </c>
      <c r="L8581" s="29">
        <f>IFERROR(E8581*C8581,0)</f>
      </c>
      <c r="M8581" s="29">
        <f>IFERROR((G8581*H8581*I8581/1000000)*D8581,0)</f>
      </c>
    </row>
    <row r="8582" spans="1:13" x14ac:dyDescent="0.25">
      <c r="A8582" s="16"/>
      <c r="E8582" s="27"/>
      <c r="F8582" t="s">
        <v>26</v>
      </c>
      <c r="G8582" s="28">
        <f>IFERROR(VLOOKUP(F8582,CARTON_LOOKUP!$A:$E,3,0),"")</f>
      </c>
      <c r="H8582" s="28">
        <f>IFERROR(VLOOKUP(F8582,CARTON_LOOKUP!$A:$E,4,0),"")</f>
      </c>
      <c r="I8582" s="28">
        <f>IFERROR(VLOOKUP(F8582,CARTON_LOOKUP!$A:$E,5,0),"")</f>
      </c>
      <c r="J8582" s="29">
        <f>IFERROR(VLOOKUP(F8582,CARTON_LOOKUP!$A:$E,2,0),"")</f>
      </c>
      <c r="K8582" s="29">
        <f>IFERROR(J8582*D8582,0)</f>
      </c>
      <c r="L8582" s="29">
        <f>IFERROR(E8582*C8582,0)</f>
      </c>
      <c r="M8582" s="29">
        <f>IFERROR((G8582*H8582*I8582/1000000)*D8582,0)</f>
      </c>
    </row>
    <row r="8583" spans="1:13" x14ac:dyDescent="0.25">
      <c r="A8583" s="16"/>
      <c r="E8583" s="27"/>
      <c r="F8583" t="s">
        <v>26</v>
      </c>
      <c r="G8583" s="28">
        <f>IFERROR(VLOOKUP(F8583,CARTON_LOOKUP!$A:$E,3,0),"")</f>
      </c>
      <c r="H8583" s="28">
        <f>IFERROR(VLOOKUP(F8583,CARTON_LOOKUP!$A:$E,4,0),"")</f>
      </c>
      <c r="I8583" s="28">
        <f>IFERROR(VLOOKUP(F8583,CARTON_LOOKUP!$A:$E,5,0),"")</f>
      </c>
      <c r="J8583" s="29">
        <f>IFERROR(VLOOKUP(F8583,CARTON_LOOKUP!$A:$E,2,0),"")</f>
      </c>
      <c r="K8583" s="29">
        <f>IFERROR(J8583*D8583,0)</f>
      </c>
      <c r="L8583" s="29">
        <f>IFERROR(E8583*C8583,0)</f>
      </c>
      <c r="M8583" s="29">
        <f>IFERROR((G8583*H8583*I8583/1000000)*D8583,0)</f>
      </c>
    </row>
    <row r="8584" spans="1:13" x14ac:dyDescent="0.25">
      <c r="A8584" s="16"/>
      <c r="E8584" s="27"/>
      <c r="F8584" t="s">
        <v>26</v>
      </c>
      <c r="G8584" s="28">
        <f>IFERROR(VLOOKUP(F8584,CARTON_LOOKUP!$A:$E,3,0),"")</f>
      </c>
      <c r="H8584" s="28">
        <f>IFERROR(VLOOKUP(F8584,CARTON_LOOKUP!$A:$E,4,0),"")</f>
      </c>
      <c r="I8584" s="28">
        <f>IFERROR(VLOOKUP(F8584,CARTON_LOOKUP!$A:$E,5,0),"")</f>
      </c>
      <c r="J8584" s="29">
        <f>IFERROR(VLOOKUP(F8584,CARTON_LOOKUP!$A:$E,2,0),"")</f>
      </c>
      <c r="K8584" s="29">
        <f>IFERROR(J8584*D8584,0)</f>
      </c>
      <c r="L8584" s="29">
        <f>IFERROR(E8584*C8584,0)</f>
      </c>
      <c r="M8584" s="29">
        <f>IFERROR((G8584*H8584*I8584/1000000)*D8584,0)</f>
      </c>
    </row>
    <row r="8585" spans="1:13" x14ac:dyDescent="0.25">
      <c r="A8585" s="16"/>
      <c r="E8585" s="27"/>
      <c r="F8585" t="s">
        <v>26</v>
      </c>
      <c r="G8585" s="28">
        <f>IFERROR(VLOOKUP(F8585,CARTON_LOOKUP!$A:$E,3,0),"")</f>
      </c>
      <c r="H8585" s="28">
        <f>IFERROR(VLOOKUP(F8585,CARTON_LOOKUP!$A:$E,4,0),"")</f>
      </c>
      <c r="I8585" s="28">
        <f>IFERROR(VLOOKUP(F8585,CARTON_LOOKUP!$A:$E,5,0),"")</f>
      </c>
      <c r="J8585" s="29">
        <f>IFERROR(VLOOKUP(F8585,CARTON_LOOKUP!$A:$E,2,0),"")</f>
      </c>
      <c r="K8585" s="29">
        <f>IFERROR(J8585*D8585,0)</f>
      </c>
      <c r="L8585" s="29">
        <f>IFERROR(E8585*C8585,0)</f>
      </c>
      <c r="M8585" s="29">
        <f>IFERROR((G8585*H8585*I8585/1000000)*D8585,0)</f>
      </c>
    </row>
    <row r="8586" spans="1:13" x14ac:dyDescent="0.25">
      <c r="A8586" s="16"/>
      <c r="E8586" s="27"/>
      <c r="F8586" t="s">
        <v>26</v>
      </c>
      <c r="G8586" s="28">
        <f>IFERROR(VLOOKUP(F8586,CARTON_LOOKUP!$A:$E,3,0),"")</f>
      </c>
      <c r="H8586" s="28">
        <f>IFERROR(VLOOKUP(F8586,CARTON_LOOKUP!$A:$E,4,0),"")</f>
      </c>
      <c r="I8586" s="28">
        <f>IFERROR(VLOOKUP(F8586,CARTON_LOOKUP!$A:$E,5,0),"")</f>
      </c>
      <c r="J8586" s="29">
        <f>IFERROR(VLOOKUP(F8586,CARTON_LOOKUP!$A:$E,2,0),"")</f>
      </c>
      <c r="K8586" s="29">
        <f>IFERROR(J8586*D8586,0)</f>
      </c>
      <c r="L8586" s="29">
        <f>IFERROR(E8586*C8586,0)</f>
      </c>
      <c r="M8586" s="29">
        <f>IFERROR((G8586*H8586*I8586/1000000)*D8586,0)</f>
      </c>
    </row>
    <row r="8587" spans="1:13" x14ac:dyDescent="0.25">
      <c r="A8587" s="16"/>
      <c r="E8587" s="27"/>
      <c r="F8587" t="s">
        <v>26</v>
      </c>
      <c r="G8587" s="28">
        <f>IFERROR(VLOOKUP(F8587,CARTON_LOOKUP!$A:$E,3,0),"")</f>
      </c>
      <c r="H8587" s="28">
        <f>IFERROR(VLOOKUP(F8587,CARTON_LOOKUP!$A:$E,4,0),"")</f>
      </c>
      <c r="I8587" s="28">
        <f>IFERROR(VLOOKUP(F8587,CARTON_LOOKUP!$A:$E,5,0),"")</f>
      </c>
      <c r="J8587" s="29">
        <f>IFERROR(VLOOKUP(F8587,CARTON_LOOKUP!$A:$E,2,0),"")</f>
      </c>
      <c r="K8587" s="29">
        <f>IFERROR(J8587*D8587,0)</f>
      </c>
      <c r="L8587" s="29">
        <f>IFERROR(E8587*C8587,0)</f>
      </c>
      <c r="M8587" s="29">
        <f>IFERROR((G8587*H8587*I8587/1000000)*D8587,0)</f>
      </c>
    </row>
    <row r="8588" spans="1:13" x14ac:dyDescent="0.25">
      <c r="A8588" s="16"/>
      <c r="E8588" s="27"/>
      <c r="F8588" t="s">
        <v>26</v>
      </c>
      <c r="G8588" s="28">
        <f>IFERROR(VLOOKUP(F8588,CARTON_LOOKUP!$A:$E,3,0),"")</f>
      </c>
      <c r="H8588" s="28">
        <f>IFERROR(VLOOKUP(F8588,CARTON_LOOKUP!$A:$E,4,0),"")</f>
      </c>
      <c r="I8588" s="28">
        <f>IFERROR(VLOOKUP(F8588,CARTON_LOOKUP!$A:$E,5,0),"")</f>
      </c>
      <c r="J8588" s="29">
        <f>IFERROR(VLOOKUP(F8588,CARTON_LOOKUP!$A:$E,2,0),"")</f>
      </c>
      <c r="K8588" s="29">
        <f>IFERROR(J8588*D8588,0)</f>
      </c>
      <c r="L8588" s="29">
        <f>IFERROR(E8588*C8588,0)</f>
      </c>
      <c r="M8588" s="29">
        <f>IFERROR((G8588*H8588*I8588/1000000)*D8588,0)</f>
      </c>
    </row>
    <row r="8589" spans="1:13" x14ac:dyDescent="0.25">
      <c r="A8589" s="16"/>
      <c r="E8589" s="27"/>
      <c r="F8589" t="s">
        <v>26</v>
      </c>
      <c r="G8589" s="28">
        <f>IFERROR(VLOOKUP(F8589,CARTON_LOOKUP!$A:$E,3,0),"")</f>
      </c>
      <c r="H8589" s="28">
        <f>IFERROR(VLOOKUP(F8589,CARTON_LOOKUP!$A:$E,4,0),"")</f>
      </c>
      <c r="I8589" s="28">
        <f>IFERROR(VLOOKUP(F8589,CARTON_LOOKUP!$A:$E,5,0),"")</f>
      </c>
      <c r="J8589" s="29">
        <f>IFERROR(VLOOKUP(F8589,CARTON_LOOKUP!$A:$E,2,0),"")</f>
      </c>
      <c r="K8589" s="29">
        <f>IFERROR(J8589*D8589,0)</f>
      </c>
      <c r="L8589" s="29">
        <f>IFERROR(E8589*C8589,0)</f>
      </c>
      <c r="M8589" s="29">
        <f>IFERROR((G8589*H8589*I8589/1000000)*D8589,0)</f>
      </c>
    </row>
    <row r="8590" spans="1:13" x14ac:dyDescent="0.25">
      <c r="A8590" s="16"/>
      <c r="E8590" s="27"/>
      <c r="F8590" t="s">
        <v>26</v>
      </c>
      <c r="G8590" s="28">
        <f>IFERROR(VLOOKUP(F8590,CARTON_LOOKUP!$A:$E,3,0),"")</f>
      </c>
      <c r="H8590" s="28">
        <f>IFERROR(VLOOKUP(F8590,CARTON_LOOKUP!$A:$E,4,0),"")</f>
      </c>
      <c r="I8590" s="28">
        <f>IFERROR(VLOOKUP(F8590,CARTON_LOOKUP!$A:$E,5,0),"")</f>
      </c>
      <c r="J8590" s="29">
        <f>IFERROR(VLOOKUP(F8590,CARTON_LOOKUP!$A:$E,2,0),"")</f>
      </c>
      <c r="K8590" s="29">
        <f>IFERROR(J8590*D8590,0)</f>
      </c>
      <c r="L8590" s="29">
        <f>IFERROR(E8590*C8590,0)</f>
      </c>
      <c r="M8590" s="29">
        <f>IFERROR((G8590*H8590*I8590/1000000)*D8590,0)</f>
      </c>
    </row>
    <row r="8591" spans="1:13" x14ac:dyDescent="0.25">
      <c r="A8591" s="16"/>
      <c r="E8591" s="27"/>
      <c r="F8591" t="s">
        <v>26</v>
      </c>
      <c r="G8591" s="28">
        <f>IFERROR(VLOOKUP(F8591,CARTON_LOOKUP!$A:$E,3,0),"")</f>
      </c>
      <c r="H8591" s="28">
        <f>IFERROR(VLOOKUP(F8591,CARTON_LOOKUP!$A:$E,4,0),"")</f>
      </c>
      <c r="I8591" s="28">
        <f>IFERROR(VLOOKUP(F8591,CARTON_LOOKUP!$A:$E,5,0),"")</f>
      </c>
      <c r="J8591" s="29">
        <f>IFERROR(VLOOKUP(F8591,CARTON_LOOKUP!$A:$E,2,0),"")</f>
      </c>
      <c r="K8591" s="29">
        <f>IFERROR(J8591*D8591,0)</f>
      </c>
      <c r="L8591" s="29">
        <f>IFERROR(E8591*C8591,0)</f>
      </c>
      <c r="M8591" s="29">
        <f>IFERROR((G8591*H8591*I8591/1000000)*D8591,0)</f>
      </c>
    </row>
    <row r="8592" spans="1:13" x14ac:dyDescent="0.25">
      <c r="A8592" s="16"/>
      <c r="E8592" s="27"/>
      <c r="F8592" t="s">
        <v>26</v>
      </c>
      <c r="G8592" s="28">
        <f>IFERROR(VLOOKUP(F8592,CARTON_LOOKUP!$A:$E,3,0),"")</f>
      </c>
      <c r="H8592" s="28">
        <f>IFERROR(VLOOKUP(F8592,CARTON_LOOKUP!$A:$E,4,0),"")</f>
      </c>
      <c r="I8592" s="28">
        <f>IFERROR(VLOOKUP(F8592,CARTON_LOOKUP!$A:$E,5,0),"")</f>
      </c>
      <c r="J8592" s="29">
        <f>IFERROR(VLOOKUP(F8592,CARTON_LOOKUP!$A:$E,2,0),"")</f>
      </c>
      <c r="K8592" s="29">
        <f>IFERROR(J8592*D8592,0)</f>
      </c>
      <c r="L8592" s="29">
        <f>IFERROR(E8592*C8592,0)</f>
      </c>
      <c r="M8592" s="29">
        <f>IFERROR((G8592*H8592*I8592/1000000)*D8592,0)</f>
      </c>
    </row>
    <row r="8593" spans="1:13" x14ac:dyDescent="0.25">
      <c r="A8593" s="16"/>
      <c r="E8593" s="27"/>
      <c r="F8593" t="s">
        <v>26</v>
      </c>
      <c r="G8593" s="28">
        <f>IFERROR(VLOOKUP(F8593,CARTON_LOOKUP!$A:$E,3,0),"")</f>
      </c>
      <c r="H8593" s="28">
        <f>IFERROR(VLOOKUP(F8593,CARTON_LOOKUP!$A:$E,4,0),"")</f>
      </c>
      <c r="I8593" s="28">
        <f>IFERROR(VLOOKUP(F8593,CARTON_LOOKUP!$A:$E,5,0),"")</f>
      </c>
      <c r="J8593" s="29">
        <f>IFERROR(VLOOKUP(F8593,CARTON_LOOKUP!$A:$E,2,0),"")</f>
      </c>
      <c r="K8593" s="29">
        <f>IFERROR(J8593*D8593,0)</f>
      </c>
      <c r="L8593" s="29">
        <f>IFERROR(E8593*C8593,0)</f>
      </c>
      <c r="M8593" s="29">
        <f>IFERROR((G8593*H8593*I8593/1000000)*D8593,0)</f>
      </c>
    </row>
    <row r="8594" spans="1:13" x14ac:dyDescent="0.25">
      <c r="A8594" s="16"/>
      <c r="E8594" s="27"/>
      <c r="F8594" t="s">
        <v>26</v>
      </c>
      <c r="G8594" s="28">
        <f>IFERROR(VLOOKUP(F8594,CARTON_LOOKUP!$A:$E,3,0),"")</f>
      </c>
      <c r="H8594" s="28">
        <f>IFERROR(VLOOKUP(F8594,CARTON_LOOKUP!$A:$E,4,0),"")</f>
      </c>
      <c r="I8594" s="28">
        <f>IFERROR(VLOOKUP(F8594,CARTON_LOOKUP!$A:$E,5,0),"")</f>
      </c>
      <c r="J8594" s="29">
        <f>IFERROR(VLOOKUP(F8594,CARTON_LOOKUP!$A:$E,2,0),"")</f>
      </c>
      <c r="K8594" s="29">
        <f>IFERROR(J8594*D8594,0)</f>
      </c>
      <c r="L8594" s="29">
        <f>IFERROR(E8594*C8594,0)</f>
      </c>
      <c r="M8594" s="29">
        <f>IFERROR((G8594*H8594*I8594/1000000)*D8594,0)</f>
      </c>
    </row>
    <row r="8595" spans="1:13" x14ac:dyDescent="0.25">
      <c r="A8595" s="16"/>
      <c r="E8595" s="27"/>
      <c r="F8595" t="s">
        <v>26</v>
      </c>
      <c r="G8595" s="28">
        <f>IFERROR(VLOOKUP(F8595,CARTON_LOOKUP!$A:$E,3,0),"")</f>
      </c>
      <c r="H8595" s="28">
        <f>IFERROR(VLOOKUP(F8595,CARTON_LOOKUP!$A:$E,4,0),"")</f>
      </c>
      <c r="I8595" s="28">
        <f>IFERROR(VLOOKUP(F8595,CARTON_LOOKUP!$A:$E,5,0),"")</f>
      </c>
      <c r="J8595" s="29">
        <f>IFERROR(VLOOKUP(F8595,CARTON_LOOKUP!$A:$E,2,0),"")</f>
      </c>
      <c r="K8595" s="29">
        <f>IFERROR(J8595*D8595,0)</f>
      </c>
      <c r="L8595" s="29">
        <f>IFERROR(E8595*C8595,0)</f>
      </c>
      <c r="M8595" s="29">
        <f>IFERROR((G8595*H8595*I8595/1000000)*D8595,0)</f>
      </c>
    </row>
    <row r="8596" spans="1:13" x14ac:dyDescent="0.25">
      <c r="A8596" s="16"/>
      <c r="E8596" s="27"/>
      <c r="F8596" t="s">
        <v>26</v>
      </c>
      <c r="G8596" s="28">
        <f>IFERROR(VLOOKUP(F8596,CARTON_LOOKUP!$A:$E,3,0),"")</f>
      </c>
      <c r="H8596" s="28">
        <f>IFERROR(VLOOKUP(F8596,CARTON_LOOKUP!$A:$E,4,0),"")</f>
      </c>
      <c r="I8596" s="28">
        <f>IFERROR(VLOOKUP(F8596,CARTON_LOOKUP!$A:$E,5,0),"")</f>
      </c>
      <c r="J8596" s="29">
        <f>IFERROR(VLOOKUP(F8596,CARTON_LOOKUP!$A:$E,2,0),"")</f>
      </c>
      <c r="K8596" s="29">
        <f>IFERROR(J8596*D8596,0)</f>
      </c>
      <c r="L8596" s="29">
        <f>IFERROR(E8596*C8596,0)</f>
      </c>
      <c r="M8596" s="29">
        <f>IFERROR((G8596*H8596*I8596/1000000)*D8596,0)</f>
      </c>
    </row>
    <row r="8597" spans="1:13" x14ac:dyDescent="0.25">
      <c r="A8597" s="16"/>
      <c r="E8597" s="27"/>
      <c r="F8597" t="s">
        <v>26</v>
      </c>
      <c r="G8597" s="28">
        <f>IFERROR(VLOOKUP(F8597,CARTON_LOOKUP!$A:$E,3,0),"")</f>
      </c>
      <c r="H8597" s="28">
        <f>IFERROR(VLOOKUP(F8597,CARTON_LOOKUP!$A:$E,4,0),"")</f>
      </c>
      <c r="I8597" s="28">
        <f>IFERROR(VLOOKUP(F8597,CARTON_LOOKUP!$A:$E,5,0),"")</f>
      </c>
      <c r="J8597" s="29">
        <f>IFERROR(VLOOKUP(F8597,CARTON_LOOKUP!$A:$E,2,0),"")</f>
      </c>
      <c r="K8597" s="29">
        <f>IFERROR(J8597*D8597,0)</f>
      </c>
      <c r="L8597" s="29">
        <f>IFERROR(E8597*C8597,0)</f>
      </c>
      <c r="M8597" s="29">
        <f>IFERROR((G8597*H8597*I8597/1000000)*D8597,0)</f>
      </c>
    </row>
    <row r="8598" spans="1:13" x14ac:dyDescent="0.25">
      <c r="A8598" s="16"/>
      <c r="E8598" s="27"/>
      <c r="F8598" t="s">
        <v>26</v>
      </c>
      <c r="G8598" s="28">
        <f>IFERROR(VLOOKUP(F8598,CARTON_LOOKUP!$A:$E,3,0),"")</f>
      </c>
      <c r="H8598" s="28">
        <f>IFERROR(VLOOKUP(F8598,CARTON_LOOKUP!$A:$E,4,0),"")</f>
      </c>
      <c r="I8598" s="28">
        <f>IFERROR(VLOOKUP(F8598,CARTON_LOOKUP!$A:$E,5,0),"")</f>
      </c>
      <c r="J8598" s="29">
        <f>IFERROR(VLOOKUP(F8598,CARTON_LOOKUP!$A:$E,2,0),"")</f>
      </c>
      <c r="K8598" s="29">
        <f>IFERROR(J8598*D8598,0)</f>
      </c>
      <c r="L8598" s="29">
        <f>IFERROR(E8598*C8598,0)</f>
      </c>
      <c r="M8598" s="29">
        <f>IFERROR((G8598*H8598*I8598/1000000)*D8598,0)</f>
      </c>
    </row>
    <row r="8599" spans="1:13" x14ac:dyDescent="0.25">
      <c r="A8599" s="16"/>
      <c r="E8599" s="27"/>
      <c r="F8599" t="s">
        <v>26</v>
      </c>
      <c r="G8599" s="28">
        <f>IFERROR(VLOOKUP(F8599,CARTON_LOOKUP!$A:$E,3,0),"")</f>
      </c>
      <c r="H8599" s="28">
        <f>IFERROR(VLOOKUP(F8599,CARTON_LOOKUP!$A:$E,4,0),"")</f>
      </c>
      <c r="I8599" s="28">
        <f>IFERROR(VLOOKUP(F8599,CARTON_LOOKUP!$A:$E,5,0),"")</f>
      </c>
      <c r="J8599" s="29">
        <f>IFERROR(VLOOKUP(F8599,CARTON_LOOKUP!$A:$E,2,0),"")</f>
      </c>
      <c r="K8599" s="29">
        <f>IFERROR(J8599*D8599,0)</f>
      </c>
      <c r="L8599" s="29">
        <f>IFERROR(E8599*C8599,0)</f>
      </c>
      <c r="M8599" s="29">
        <f>IFERROR((G8599*H8599*I8599/1000000)*D8599,0)</f>
      </c>
    </row>
    <row r="8600" spans="1:13" x14ac:dyDescent="0.25">
      <c r="A8600" s="16"/>
      <c r="E8600" s="27"/>
      <c r="F8600" t="s">
        <v>26</v>
      </c>
      <c r="G8600" s="28">
        <f>IFERROR(VLOOKUP(F8600,CARTON_LOOKUP!$A:$E,3,0),"")</f>
      </c>
      <c r="H8600" s="28">
        <f>IFERROR(VLOOKUP(F8600,CARTON_LOOKUP!$A:$E,4,0),"")</f>
      </c>
      <c r="I8600" s="28">
        <f>IFERROR(VLOOKUP(F8600,CARTON_LOOKUP!$A:$E,5,0),"")</f>
      </c>
      <c r="J8600" s="29">
        <f>IFERROR(VLOOKUP(F8600,CARTON_LOOKUP!$A:$E,2,0),"")</f>
      </c>
      <c r="K8600" s="29">
        <f>IFERROR(J8600*D8600,0)</f>
      </c>
      <c r="L8600" s="29">
        <f>IFERROR(E8600*C8600,0)</f>
      </c>
      <c r="M8600" s="29">
        <f>IFERROR((G8600*H8600*I8600/1000000)*D8600,0)</f>
      </c>
    </row>
    <row r="8601" spans="1:13" x14ac:dyDescent="0.25">
      <c r="A8601" s="16"/>
      <c r="E8601" s="27"/>
      <c r="F8601" t="s">
        <v>26</v>
      </c>
      <c r="G8601" s="28">
        <f>IFERROR(VLOOKUP(F8601,CARTON_LOOKUP!$A:$E,3,0),"")</f>
      </c>
      <c r="H8601" s="28">
        <f>IFERROR(VLOOKUP(F8601,CARTON_LOOKUP!$A:$E,4,0),"")</f>
      </c>
      <c r="I8601" s="28">
        <f>IFERROR(VLOOKUP(F8601,CARTON_LOOKUP!$A:$E,5,0),"")</f>
      </c>
      <c r="J8601" s="29">
        <f>IFERROR(VLOOKUP(F8601,CARTON_LOOKUP!$A:$E,2,0),"")</f>
      </c>
      <c r="K8601" s="29">
        <f>IFERROR(J8601*D8601,0)</f>
      </c>
      <c r="L8601" s="29">
        <f>IFERROR(E8601*C8601,0)</f>
      </c>
      <c r="M8601" s="29">
        <f>IFERROR((G8601*H8601*I8601/1000000)*D8601,0)</f>
      </c>
    </row>
    <row r="8602" spans="1:13" x14ac:dyDescent="0.25">
      <c r="A8602" s="16"/>
      <c r="E8602" s="27"/>
      <c r="F8602" t="s">
        <v>26</v>
      </c>
      <c r="G8602" s="28">
        <f>IFERROR(VLOOKUP(F8602,CARTON_LOOKUP!$A:$E,3,0),"")</f>
      </c>
      <c r="H8602" s="28">
        <f>IFERROR(VLOOKUP(F8602,CARTON_LOOKUP!$A:$E,4,0),"")</f>
      </c>
      <c r="I8602" s="28">
        <f>IFERROR(VLOOKUP(F8602,CARTON_LOOKUP!$A:$E,5,0),"")</f>
      </c>
      <c r="J8602" s="29">
        <f>IFERROR(VLOOKUP(F8602,CARTON_LOOKUP!$A:$E,2,0),"")</f>
      </c>
      <c r="K8602" s="29">
        <f>IFERROR(J8602*D8602,0)</f>
      </c>
      <c r="L8602" s="29">
        <f>IFERROR(E8602*C8602,0)</f>
      </c>
      <c r="M8602" s="29">
        <f>IFERROR((G8602*H8602*I8602/1000000)*D8602,0)</f>
      </c>
    </row>
    <row r="8603" spans="1:13" x14ac:dyDescent="0.25">
      <c r="A8603" s="16"/>
      <c r="E8603" s="27"/>
      <c r="F8603" t="s">
        <v>26</v>
      </c>
      <c r="G8603" s="28">
        <f>IFERROR(VLOOKUP(F8603,CARTON_LOOKUP!$A:$E,3,0),"")</f>
      </c>
      <c r="H8603" s="28">
        <f>IFERROR(VLOOKUP(F8603,CARTON_LOOKUP!$A:$E,4,0),"")</f>
      </c>
      <c r="I8603" s="28">
        <f>IFERROR(VLOOKUP(F8603,CARTON_LOOKUP!$A:$E,5,0),"")</f>
      </c>
      <c r="J8603" s="29">
        <f>IFERROR(VLOOKUP(F8603,CARTON_LOOKUP!$A:$E,2,0),"")</f>
      </c>
      <c r="K8603" s="29">
        <f>IFERROR(J8603*D8603,0)</f>
      </c>
      <c r="L8603" s="29">
        <f>IFERROR(E8603*C8603,0)</f>
      </c>
      <c r="M8603" s="29">
        <f>IFERROR((G8603*H8603*I8603/1000000)*D8603,0)</f>
      </c>
    </row>
    <row r="8604" spans="1:13" x14ac:dyDescent="0.25">
      <c r="A8604" s="16"/>
      <c r="E8604" s="27"/>
      <c r="F8604" t="s">
        <v>26</v>
      </c>
      <c r="G8604" s="28">
        <f>IFERROR(VLOOKUP(F8604,CARTON_LOOKUP!$A:$E,3,0),"")</f>
      </c>
      <c r="H8604" s="28">
        <f>IFERROR(VLOOKUP(F8604,CARTON_LOOKUP!$A:$E,4,0),"")</f>
      </c>
      <c r="I8604" s="28">
        <f>IFERROR(VLOOKUP(F8604,CARTON_LOOKUP!$A:$E,5,0),"")</f>
      </c>
      <c r="J8604" s="29">
        <f>IFERROR(VLOOKUP(F8604,CARTON_LOOKUP!$A:$E,2,0),"")</f>
      </c>
      <c r="K8604" s="29">
        <f>IFERROR(J8604*D8604,0)</f>
      </c>
      <c r="L8604" s="29">
        <f>IFERROR(E8604*C8604,0)</f>
      </c>
      <c r="M8604" s="29">
        <f>IFERROR((G8604*H8604*I8604/1000000)*D8604,0)</f>
      </c>
    </row>
    <row r="8605" spans="1:13" x14ac:dyDescent="0.25">
      <c r="A8605" s="16"/>
      <c r="E8605" s="27"/>
      <c r="F8605" t="s">
        <v>26</v>
      </c>
      <c r="G8605" s="28">
        <f>IFERROR(VLOOKUP(F8605,CARTON_LOOKUP!$A:$E,3,0),"")</f>
      </c>
      <c r="H8605" s="28">
        <f>IFERROR(VLOOKUP(F8605,CARTON_LOOKUP!$A:$E,4,0),"")</f>
      </c>
      <c r="I8605" s="28">
        <f>IFERROR(VLOOKUP(F8605,CARTON_LOOKUP!$A:$E,5,0),"")</f>
      </c>
      <c r="J8605" s="29">
        <f>IFERROR(VLOOKUP(F8605,CARTON_LOOKUP!$A:$E,2,0),"")</f>
      </c>
      <c r="K8605" s="29">
        <f>IFERROR(J8605*D8605,0)</f>
      </c>
      <c r="L8605" s="29">
        <f>IFERROR(E8605*C8605,0)</f>
      </c>
      <c r="M8605" s="29">
        <f>IFERROR((G8605*H8605*I8605/1000000)*D8605,0)</f>
      </c>
    </row>
    <row r="8606" spans="1:13" x14ac:dyDescent="0.25">
      <c r="A8606" s="16"/>
      <c r="E8606" s="27"/>
      <c r="F8606" t="s">
        <v>26</v>
      </c>
      <c r="G8606" s="28">
        <f>IFERROR(VLOOKUP(F8606,CARTON_LOOKUP!$A:$E,3,0),"")</f>
      </c>
      <c r="H8606" s="28">
        <f>IFERROR(VLOOKUP(F8606,CARTON_LOOKUP!$A:$E,4,0),"")</f>
      </c>
      <c r="I8606" s="28">
        <f>IFERROR(VLOOKUP(F8606,CARTON_LOOKUP!$A:$E,5,0),"")</f>
      </c>
      <c r="J8606" s="29">
        <f>IFERROR(VLOOKUP(F8606,CARTON_LOOKUP!$A:$E,2,0),"")</f>
      </c>
      <c r="K8606" s="29">
        <f>IFERROR(J8606*D8606,0)</f>
      </c>
      <c r="L8606" s="29">
        <f>IFERROR(E8606*C8606,0)</f>
      </c>
      <c r="M8606" s="29">
        <f>IFERROR((G8606*H8606*I8606/1000000)*D8606,0)</f>
      </c>
    </row>
    <row r="8607" spans="1:13" x14ac:dyDescent="0.25">
      <c r="A8607" s="16"/>
      <c r="E8607" s="27"/>
      <c r="F8607" t="s">
        <v>26</v>
      </c>
      <c r="G8607" s="28">
        <f>IFERROR(VLOOKUP(F8607,CARTON_LOOKUP!$A:$E,3,0),"")</f>
      </c>
      <c r="H8607" s="28">
        <f>IFERROR(VLOOKUP(F8607,CARTON_LOOKUP!$A:$E,4,0),"")</f>
      </c>
      <c r="I8607" s="28">
        <f>IFERROR(VLOOKUP(F8607,CARTON_LOOKUP!$A:$E,5,0),"")</f>
      </c>
      <c r="J8607" s="29">
        <f>IFERROR(VLOOKUP(F8607,CARTON_LOOKUP!$A:$E,2,0),"")</f>
      </c>
      <c r="K8607" s="29">
        <f>IFERROR(J8607*D8607,0)</f>
      </c>
      <c r="L8607" s="29">
        <f>IFERROR(E8607*C8607,0)</f>
      </c>
      <c r="M8607" s="29">
        <f>IFERROR((G8607*H8607*I8607/1000000)*D8607,0)</f>
      </c>
    </row>
    <row r="8608" spans="1:13" x14ac:dyDescent="0.25">
      <c r="A8608" s="16"/>
      <c r="E8608" s="27"/>
      <c r="F8608" t="s">
        <v>26</v>
      </c>
      <c r="G8608" s="28">
        <f>IFERROR(VLOOKUP(F8608,CARTON_LOOKUP!$A:$E,3,0),"")</f>
      </c>
      <c r="H8608" s="28">
        <f>IFERROR(VLOOKUP(F8608,CARTON_LOOKUP!$A:$E,4,0),"")</f>
      </c>
      <c r="I8608" s="28">
        <f>IFERROR(VLOOKUP(F8608,CARTON_LOOKUP!$A:$E,5,0),"")</f>
      </c>
      <c r="J8608" s="29">
        <f>IFERROR(VLOOKUP(F8608,CARTON_LOOKUP!$A:$E,2,0),"")</f>
      </c>
      <c r="K8608" s="29">
        <f>IFERROR(J8608*D8608,0)</f>
      </c>
      <c r="L8608" s="29">
        <f>IFERROR(E8608*C8608,0)</f>
      </c>
      <c r="M8608" s="29">
        <f>IFERROR((G8608*H8608*I8608/1000000)*D8608,0)</f>
      </c>
    </row>
    <row r="8609" spans="1:13" x14ac:dyDescent="0.25">
      <c r="A8609" s="16"/>
      <c r="E8609" s="27"/>
      <c r="F8609" t="s">
        <v>26</v>
      </c>
      <c r="G8609" s="28">
        <f>IFERROR(VLOOKUP(F8609,CARTON_LOOKUP!$A:$E,3,0),"")</f>
      </c>
      <c r="H8609" s="28">
        <f>IFERROR(VLOOKUP(F8609,CARTON_LOOKUP!$A:$E,4,0),"")</f>
      </c>
      <c r="I8609" s="28">
        <f>IFERROR(VLOOKUP(F8609,CARTON_LOOKUP!$A:$E,5,0),"")</f>
      </c>
      <c r="J8609" s="29">
        <f>IFERROR(VLOOKUP(F8609,CARTON_LOOKUP!$A:$E,2,0),"")</f>
      </c>
      <c r="K8609" s="29">
        <f>IFERROR(J8609*D8609,0)</f>
      </c>
      <c r="L8609" s="29">
        <f>IFERROR(E8609*C8609,0)</f>
      </c>
      <c r="M8609" s="29">
        <f>IFERROR((G8609*H8609*I8609/1000000)*D8609,0)</f>
      </c>
    </row>
    <row r="8610" spans="1:13" x14ac:dyDescent="0.25">
      <c r="A8610" s="16"/>
      <c r="E8610" s="27"/>
      <c r="F8610" t="s">
        <v>26</v>
      </c>
      <c r="G8610" s="28">
        <f>IFERROR(VLOOKUP(F8610,CARTON_LOOKUP!$A:$E,3,0),"")</f>
      </c>
      <c r="H8610" s="28">
        <f>IFERROR(VLOOKUP(F8610,CARTON_LOOKUP!$A:$E,4,0),"")</f>
      </c>
      <c r="I8610" s="28">
        <f>IFERROR(VLOOKUP(F8610,CARTON_LOOKUP!$A:$E,5,0),"")</f>
      </c>
      <c r="J8610" s="29">
        <f>IFERROR(VLOOKUP(F8610,CARTON_LOOKUP!$A:$E,2,0),"")</f>
      </c>
      <c r="K8610" s="29">
        <f>IFERROR(J8610*D8610,0)</f>
      </c>
      <c r="L8610" s="29">
        <f>IFERROR(E8610*C8610,0)</f>
      </c>
      <c r="M8610" s="29">
        <f>IFERROR((G8610*H8610*I8610/1000000)*D8610,0)</f>
      </c>
    </row>
    <row r="8611" spans="1:13" x14ac:dyDescent="0.25">
      <c r="A8611" s="16"/>
      <c r="E8611" s="27"/>
      <c r="F8611" t="s">
        <v>26</v>
      </c>
      <c r="G8611" s="28">
        <f>IFERROR(VLOOKUP(F8611,CARTON_LOOKUP!$A:$E,3,0),"")</f>
      </c>
      <c r="H8611" s="28">
        <f>IFERROR(VLOOKUP(F8611,CARTON_LOOKUP!$A:$E,4,0),"")</f>
      </c>
      <c r="I8611" s="28">
        <f>IFERROR(VLOOKUP(F8611,CARTON_LOOKUP!$A:$E,5,0),"")</f>
      </c>
      <c r="J8611" s="29">
        <f>IFERROR(VLOOKUP(F8611,CARTON_LOOKUP!$A:$E,2,0),"")</f>
      </c>
      <c r="K8611" s="29">
        <f>IFERROR(J8611*D8611,0)</f>
      </c>
      <c r="L8611" s="29">
        <f>IFERROR(E8611*C8611,0)</f>
      </c>
      <c r="M8611" s="29">
        <f>IFERROR((G8611*H8611*I8611/1000000)*D8611,0)</f>
      </c>
    </row>
    <row r="8612" spans="1:13" x14ac:dyDescent="0.25">
      <c r="A8612" s="16"/>
      <c r="E8612" s="27"/>
      <c r="F8612" t="s">
        <v>26</v>
      </c>
      <c r="G8612" s="28">
        <f>IFERROR(VLOOKUP(F8612,CARTON_LOOKUP!$A:$E,3,0),"")</f>
      </c>
      <c r="H8612" s="28">
        <f>IFERROR(VLOOKUP(F8612,CARTON_LOOKUP!$A:$E,4,0),"")</f>
      </c>
      <c r="I8612" s="28">
        <f>IFERROR(VLOOKUP(F8612,CARTON_LOOKUP!$A:$E,5,0),"")</f>
      </c>
      <c r="J8612" s="29">
        <f>IFERROR(VLOOKUP(F8612,CARTON_LOOKUP!$A:$E,2,0),"")</f>
      </c>
      <c r="K8612" s="29">
        <f>IFERROR(J8612*D8612,0)</f>
      </c>
      <c r="L8612" s="29">
        <f>IFERROR(E8612*C8612,0)</f>
      </c>
      <c r="M8612" s="29">
        <f>IFERROR((G8612*H8612*I8612/1000000)*D8612,0)</f>
      </c>
    </row>
    <row r="8613" spans="1:13" x14ac:dyDescent="0.25">
      <c r="A8613" s="16"/>
      <c r="E8613" s="27"/>
      <c r="F8613" t="s">
        <v>26</v>
      </c>
      <c r="G8613" s="28">
        <f>IFERROR(VLOOKUP(F8613,CARTON_LOOKUP!$A:$E,3,0),"")</f>
      </c>
      <c r="H8613" s="28">
        <f>IFERROR(VLOOKUP(F8613,CARTON_LOOKUP!$A:$E,4,0),"")</f>
      </c>
      <c r="I8613" s="28">
        <f>IFERROR(VLOOKUP(F8613,CARTON_LOOKUP!$A:$E,5,0),"")</f>
      </c>
      <c r="J8613" s="29">
        <f>IFERROR(VLOOKUP(F8613,CARTON_LOOKUP!$A:$E,2,0),"")</f>
      </c>
      <c r="K8613" s="29">
        <f>IFERROR(J8613*D8613,0)</f>
      </c>
      <c r="L8613" s="29">
        <f>IFERROR(E8613*C8613,0)</f>
      </c>
      <c r="M8613" s="29">
        <f>IFERROR((G8613*H8613*I8613/1000000)*D8613,0)</f>
      </c>
    </row>
    <row r="8614" spans="1:13" x14ac:dyDescent="0.25">
      <c r="A8614" s="16"/>
      <c r="E8614" s="27"/>
      <c r="F8614" t="s">
        <v>26</v>
      </c>
      <c r="G8614" s="28">
        <f>IFERROR(VLOOKUP(F8614,CARTON_LOOKUP!$A:$E,3,0),"")</f>
      </c>
      <c r="H8614" s="28">
        <f>IFERROR(VLOOKUP(F8614,CARTON_LOOKUP!$A:$E,4,0),"")</f>
      </c>
      <c r="I8614" s="28">
        <f>IFERROR(VLOOKUP(F8614,CARTON_LOOKUP!$A:$E,5,0),"")</f>
      </c>
      <c r="J8614" s="29">
        <f>IFERROR(VLOOKUP(F8614,CARTON_LOOKUP!$A:$E,2,0),"")</f>
      </c>
      <c r="K8614" s="29">
        <f>IFERROR(J8614*D8614,0)</f>
      </c>
      <c r="L8614" s="29">
        <f>IFERROR(E8614*C8614,0)</f>
      </c>
      <c r="M8614" s="29">
        <f>IFERROR((G8614*H8614*I8614/1000000)*D8614,0)</f>
      </c>
    </row>
    <row r="8615" spans="1:13" x14ac:dyDescent="0.25">
      <c r="A8615" s="16"/>
      <c r="E8615" s="27"/>
      <c r="F8615" t="s">
        <v>26</v>
      </c>
      <c r="G8615" s="28">
        <f>IFERROR(VLOOKUP(F8615,CARTON_LOOKUP!$A:$E,3,0),"")</f>
      </c>
      <c r="H8615" s="28">
        <f>IFERROR(VLOOKUP(F8615,CARTON_LOOKUP!$A:$E,4,0),"")</f>
      </c>
      <c r="I8615" s="28">
        <f>IFERROR(VLOOKUP(F8615,CARTON_LOOKUP!$A:$E,5,0),"")</f>
      </c>
      <c r="J8615" s="29">
        <f>IFERROR(VLOOKUP(F8615,CARTON_LOOKUP!$A:$E,2,0),"")</f>
      </c>
      <c r="K8615" s="29">
        <f>IFERROR(J8615*D8615,0)</f>
      </c>
      <c r="L8615" s="29">
        <f>IFERROR(E8615*C8615,0)</f>
      </c>
      <c r="M8615" s="29">
        <f>IFERROR((G8615*H8615*I8615/1000000)*D8615,0)</f>
      </c>
    </row>
    <row r="8616" spans="1:13" x14ac:dyDescent="0.25">
      <c r="A8616" s="16"/>
      <c r="E8616" s="27"/>
      <c r="F8616" t="s">
        <v>26</v>
      </c>
      <c r="G8616" s="28">
        <f>IFERROR(VLOOKUP(F8616,CARTON_LOOKUP!$A:$E,3,0),"")</f>
      </c>
      <c r="H8616" s="28">
        <f>IFERROR(VLOOKUP(F8616,CARTON_LOOKUP!$A:$E,4,0),"")</f>
      </c>
      <c r="I8616" s="28">
        <f>IFERROR(VLOOKUP(F8616,CARTON_LOOKUP!$A:$E,5,0),"")</f>
      </c>
      <c r="J8616" s="29">
        <f>IFERROR(VLOOKUP(F8616,CARTON_LOOKUP!$A:$E,2,0),"")</f>
      </c>
      <c r="K8616" s="29">
        <f>IFERROR(J8616*D8616,0)</f>
      </c>
      <c r="L8616" s="29">
        <f>IFERROR(E8616*C8616,0)</f>
      </c>
      <c r="M8616" s="29">
        <f>IFERROR((G8616*H8616*I8616/1000000)*D8616,0)</f>
      </c>
    </row>
    <row r="8617" spans="1:13" x14ac:dyDescent="0.25">
      <c r="A8617" s="16"/>
      <c r="E8617" s="27"/>
      <c r="F8617" t="s">
        <v>26</v>
      </c>
      <c r="G8617" s="28">
        <f>IFERROR(VLOOKUP(F8617,CARTON_LOOKUP!$A:$E,3,0),"")</f>
      </c>
      <c r="H8617" s="28">
        <f>IFERROR(VLOOKUP(F8617,CARTON_LOOKUP!$A:$E,4,0),"")</f>
      </c>
      <c r="I8617" s="28">
        <f>IFERROR(VLOOKUP(F8617,CARTON_LOOKUP!$A:$E,5,0),"")</f>
      </c>
      <c r="J8617" s="29">
        <f>IFERROR(VLOOKUP(F8617,CARTON_LOOKUP!$A:$E,2,0),"")</f>
      </c>
      <c r="K8617" s="29">
        <f>IFERROR(J8617*D8617,0)</f>
      </c>
      <c r="L8617" s="29">
        <f>IFERROR(E8617*C8617,0)</f>
      </c>
      <c r="M8617" s="29">
        <f>IFERROR((G8617*H8617*I8617/1000000)*D8617,0)</f>
      </c>
    </row>
    <row r="8618" spans="1:13" x14ac:dyDescent="0.25">
      <c r="A8618" s="16"/>
      <c r="E8618" s="27"/>
      <c r="F8618" t="s">
        <v>26</v>
      </c>
      <c r="G8618" s="28">
        <f>IFERROR(VLOOKUP(F8618,CARTON_LOOKUP!$A:$E,3,0),"")</f>
      </c>
      <c r="H8618" s="28">
        <f>IFERROR(VLOOKUP(F8618,CARTON_LOOKUP!$A:$E,4,0),"")</f>
      </c>
      <c r="I8618" s="28">
        <f>IFERROR(VLOOKUP(F8618,CARTON_LOOKUP!$A:$E,5,0),"")</f>
      </c>
      <c r="J8618" s="29">
        <f>IFERROR(VLOOKUP(F8618,CARTON_LOOKUP!$A:$E,2,0),"")</f>
      </c>
      <c r="K8618" s="29">
        <f>IFERROR(J8618*D8618,0)</f>
      </c>
      <c r="L8618" s="29">
        <f>IFERROR(E8618*C8618,0)</f>
      </c>
      <c r="M8618" s="29">
        <f>IFERROR((G8618*H8618*I8618/1000000)*D8618,0)</f>
      </c>
    </row>
    <row r="8619" spans="1:13" x14ac:dyDescent="0.25">
      <c r="A8619" s="16"/>
      <c r="E8619" s="27"/>
      <c r="F8619" t="s">
        <v>26</v>
      </c>
      <c r="G8619" s="28">
        <f>IFERROR(VLOOKUP(F8619,CARTON_LOOKUP!$A:$E,3,0),"")</f>
      </c>
      <c r="H8619" s="28">
        <f>IFERROR(VLOOKUP(F8619,CARTON_LOOKUP!$A:$E,4,0),"")</f>
      </c>
      <c r="I8619" s="28">
        <f>IFERROR(VLOOKUP(F8619,CARTON_LOOKUP!$A:$E,5,0),"")</f>
      </c>
      <c r="J8619" s="29">
        <f>IFERROR(VLOOKUP(F8619,CARTON_LOOKUP!$A:$E,2,0),"")</f>
      </c>
      <c r="K8619" s="29">
        <f>IFERROR(J8619*D8619,0)</f>
      </c>
      <c r="L8619" s="29">
        <f>IFERROR(E8619*C8619,0)</f>
      </c>
      <c r="M8619" s="29">
        <f>IFERROR((G8619*H8619*I8619/1000000)*D8619,0)</f>
      </c>
    </row>
    <row r="8620" spans="1:13" x14ac:dyDescent="0.25">
      <c r="A8620" s="16"/>
      <c r="E8620" s="27"/>
      <c r="F8620" t="s">
        <v>26</v>
      </c>
      <c r="G8620" s="28">
        <f>IFERROR(VLOOKUP(F8620,CARTON_LOOKUP!$A:$E,3,0),"")</f>
      </c>
      <c r="H8620" s="28">
        <f>IFERROR(VLOOKUP(F8620,CARTON_LOOKUP!$A:$E,4,0),"")</f>
      </c>
      <c r="I8620" s="28">
        <f>IFERROR(VLOOKUP(F8620,CARTON_LOOKUP!$A:$E,5,0),"")</f>
      </c>
      <c r="J8620" s="29">
        <f>IFERROR(VLOOKUP(F8620,CARTON_LOOKUP!$A:$E,2,0),"")</f>
      </c>
      <c r="K8620" s="29">
        <f>IFERROR(J8620*D8620,0)</f>
      </c>
      <c r="L8620" s="29">
        <f>IFERROR(E8620*C8620,0)</f>
      </c>
      <c r="M8620" s="29">
        <f>IFERROR((G8620*H8620*I8620/1000000)*D8620,0)</f>
      </c>
    </row>
    <row r="8621" spans="1:13" x14ac:dyDescent="0.25">
      <c r="A8621" s="16"/>
      <c r="E8621" s="27"/>
      <c r="F8621" t="s">
        <v>26</v>
      </c>
      <c r="G8621" s="28">
        <f>IFERROR(VLOOKUP(F8621,CARTON_LOOKUP!$A:$E,3,0),"")</f>
      </c>
      <c r="H8621" s="28">
        <f>IFERROR(VLOOKUP(F8621,CARTON_LOOKUP!$A:$E,4,0),"")</f>
      </c>
      <c r="I8621" s="28">
        <f>IFERROR(VLOOKUP(F8621,CARTON_LOOKUP!$A:$E,5,0),"")</f>
      </c>
      <c r="J8621" s="29">
        <f>IFERROR(VLOOKUP(F8621,CARTON_LOOKUP!$A:$E,2,0),"")</f>
      </c>
      <c r="K8621" s="29">
        <f>IFERROR(J8621*D8621,0)</f>
      </c>
      <c r="L8621" s="29">
        <f>IFERROR(E8621*C8621,0)</f>
      </c>
      <c r="M8621" s="29">
        <f>IFERROR((G8621*H8621*I8621/1000000)*D8621,0)</f>
      </c>
    </row>
    <row r="8622" spans="1:13" x14ac:dyDescent="0.25">
      <c r="A8622" s="16"/>
      <c r="E8622" s="27"/>
      <c r="F8622" t="s">
        <v>26</v>
      </c>
      <c r="G8622" s="28">
        <f>IFERROR(VLOOKUP(F8622,CARTON_LOOKUP!$A:$E,3,0),"")</f>
      </c>
      <c r="H8622" s="28">
        <f>IFERROR(VLOOKUP(F8622,CARTON_LOOKUP!$A:$E,4,0),"")</f>
      </c>
      <c r="I8622" s="28">
        <f>IFERROR(VLOOKUP(F8622,CARTON_LOOKUP!$A:$E,5,0),"")</f>
      </c>
      <c r="J8622" s="29">
        <f>IFERROR(VLOOKUP(F8622,CARTON_LOOKUP!$A:$E,2,0),"")</f>
      </c>
      <c r="K8622" s="29">
        <f>IFERROR(J8622*D8622,0)</f>
      </c>
      <c r="L8622" s="29">
        <f>IFERROR(E8622*C8622,0)</f>
      </c>
      <c r="M8622" s="29">
        <f>IFERROR((G8622*H8622*I8622/1000000)*D8622,0)</f>
      </c>
    </row>
    <row r="8623" spans="1:13" x14ac:dyDescent="0.25">
      <c r="A8623" s="16"/>
      <c r="E8623" s="27"/>
      <c r="F8623" t="s">
        <v>26</v>
      </c>
      <c r="G8623" s="28">
        <f>IFERROR(VLOOKUP(F8623,CARTON_LOOKUP!$A:$E,3,0),"")</f>
      </c>
      <c r="H8623" s="28">
        <f>IFERROR(VLOOKUP(F8623,CARTON_LOOKUP!$A:$E,4,0),"")</f>
      </c>
      <c r="I8623" s="28">
        <f>IFERROR(VLOOKUP(F8623,CARTON_LOOKUP!$A:$E,5,0),"")</f>
      </c>
      <c r="J8623" s="29">
        <f>IFERROR(VLOOKUP(F8623,CARTON_LOOKUP!$A:$E,2,0),"")</f>
      </c>
      <c r="K8623" s="29">
        <f>IFERROR(J8623*D8623,0)</f>
      </c>
      <c r="L8623" s="29">
        <f>IFERROR(E8623*C8623,0)</f>
      </c>
      <c r="M8623" s="29">
        <f>IFERROR((G8623*H8623*I8623/1000000)*D8623,0)</f>
      </c>
    </row>
    <row r="8624" spans="1:13" x14ac:dyDescent="0.25">
      <c r="A8624" s="16"/>
      <c r="E8624" s="27"/>
      <c r="F8624" t="s">
        <v>26</v>
      </c>
      <c r="G8624" s="28">
        <f>IFERROR(VLOOKUP(F8624,CARTON_LOOKUP!$A:$E,3,0),"")</f>
      </c>
      <c r="H8624" s="28">
        <f>IFERROR(VLOOKUP(F8624,CARTON_LOOKUP!$A:$E,4,0),"")</f>
      </c>
      <c r="I8624" s="28">
        <f>IFERROR(VLOOKUP(F8624,CARTON_LOOKUP!$A:$E,5,0),"")</f>
      </c>
      <c r="J8624" s="29">
        <f>IFERROR(VLOOKUP(F8624,CARTON_LOOKUP!$A:$E,2,0),"")</f>
      </c>
      <c r="K8624" s="29">
        <f>IFERROR(J8624*D8624,0)</f>
      </c>
      <c r="L8624" s="29">
        <f>IFERROR(E8624*C8624,0)</f>
      </c>
      <c r="M8624" s="29">
        <f>IFERROR((G8624*H8624*I8624/1000000)*D8624,0)</f>
      </c>
    </row>
    <row r="8625" spans="1:13" x14ac:dyDescent="0.25">
      <c r="A8625" s="16"/>
      <c r="E8625" s="27"/>
      <c r="F8625" t="s">
        <v>26</v>
      </c>
      <c r="G8625" s="28">
        <f>IFERROR(VLOOKUP(F8625,CARTON_LOOKUP!$A:$E,3,0),"")</f>
      </c>
      <c r="H8625" s="28">
        <f>IFERROR(VLOOKUP(F8625,CARTON_LOOKUP!$A:$E,4,0),"")</f>
      </c>
      <c r="I8625" s="28">
        <f>IFERROR(VLOOKUP(F8625,CARTON_LOOKUP!$A:$E,5,0),"")</f>
      </c>
      <c r="J8625" s="29">
        <f>IFERROR(VLOOKUP(F8625,CARTON_LOOKUP!$A:$E,2,0),"")</f>
      </c>
      <c r="K8625" s="29">
        <f>IFERROR(J8625*D8625,0)</f>
      </c>
      <c r="L8625" s="29">
        <f>IFERROR(E8625*C8625,0)</f>
      </c>
      <c r="M8625" s="29">
        <f>IFERROR((G8625*H8625*I8625/1000000)*D8625,0)</f>
      </c>
    </row>
    <row r="8626" spans="1:13" x14ac:dyDescent="0.25">
      <c r="A8626" s="16"/>
      <c r="E8626" s="27"/>
      <c r="F8626" t="s">
        <v>26</v>
      </c>
      <c r="G8626" s="28">
        <f>IFERROR(VLOOKUP(F8626,CARTON_LOOKUP!$A:$E,3,0),"")</f>
      </c>
      <c r="H8626" s="28">
        <f>IFERROR(VLOOKUP(F8626,CARTON_LOOKUP!$A:$E,4,0),"")</f>
      </c>
      <c r="I8626" s="28">
        <f>IFERROR(VLOOKUP(F8626,CARTON_LOOKUP!$A:$E,5,0),"")</f>
      </c>
      <c r="J8626" s="29">
        <f>IFERROR(VLOOKUP(F8626,CARTON_LOOKUP!$A:$E,2,0),"")</f>
      </c>
      <c r="K8626" s="29">
        <f>IFERROR(J8626*D8626,0)</f>
      </c>
      <c r="L8626" s="29">
        <f>IFERROR(E8626*C8626,0)</f>
      </c>
      <c r="M8626" s="29">
        <f>IFERROR((G8626*H8626*I8626/1000000)*D8626,0)</f>
      </c>
    </row>
    <row r="8627" spans="1:13" x14ac:dyDescent="0.25">
      <c r="A8627" s="16"/>
      <c r="E8627" s="27"/>
      <c r="F8627" t="s">
        <v>26</v>
      </c>
      <c r="G8627" s="28">
        <f>IFERROR(VLOOKUP(F8627,CARTON_LOOKUP!$A:$E,3,0),"")</f>
      </c>
      <c r="H8627" s="28">
        <f>IFERROR(VLOOKUP(F8627,CARTON_LOOKUP!$A:$E,4,0),"")</f>
      </c>
      <c r="I8627" s="28">
        <f>IFERROR(VLOOKUP(F8627,CARTON_LOOKUP!$A:$E,5,0),"")</f>
      </c>
      <c r="J8627" s="29">
        <f>IFERROR(VLOOKUP(F8627,CARTON_LOOKUP!$A:$E,2,0),"")</f>
      </c>
      <c r="K8627" s="29">
        <f>IFERROR(J8627*D8627,0)</f>
      </c>
      <c r="L8627" s="29">
        <f>IFERROR(E8627*C8627,0)</f>
      </c>
      <c r="M8627" s="29">
        <f>IFERROR((G8627*H8627*I8627/1000000)*D8627,0)</f>
      </c>
    </row>
    <row r="8628" spans="1:13" x14ac:dyDescent="0.25">
      <c r="A8628" s="16"/>
      <c r="E8628" s="27"/>
      <c r="F8628" t="s">
        <v>26</v>
      </c>
      <c r="G8628" s="28">
        <f>IFERROR(VLOOKUP(F8628,CARTON_LOOKUP!$A:$E,3,0),"")</f>
      </c>
      <c r="H8628" s="28">
        <f>IFERROR(VLOOKUP(F8628,CARTON_LOOKUP!$A:$E,4,0),"")</f>
      </c>
      <c r="I8628" s="28">
        <f>IFERROR(VLOOKUP(F8628,CARTON_LOOKUP!$A:$E,5,0),"")</f>
      </c>
      <c r="J8628" s="29">
        <f>IFERROR(VLOOKUP(F8628,CARTON_LOOKUP!$A:$E,2,0),"")</f>
      </c>
      <c r="K8628" s="29">
        <f>IFERROR(J8628*D8628,0)</f>
      </c>
      <c r="L8628" s="29">
        <f>IFERROR(E8628*C8628,0)</f>
      </c>
      <c r="M8628" s="29">
        <f>IFERROR((G8628*H8628*I8628/1000000)*D8628,0)</f>
      </c>
    </row>
    <row r="8629" spans="1:13" x14ac:dyDescent="0.25">
      <c r="A8629" s="16"/>
      <c r="E8629" s="27"/>
      <c r="F8629" t="s">
        <v>26</v>
      </c>
      <c r="G8629" s="28">
        <f>IFERROR(VLOOKUP(F8629,CARTON_LOOKUP!$A:$E,3,0),"")</f>
      </c>
      <c r="H8629" s="28">
        <f>IFERROR(VLOOKUP(F8629,CARTON_LOOKUP!$A:$E,4,0),"")</f>
      </c>
      <c r="I8629" s="28">
        <f>IFERROR(VLOOKUP(F8629,CARTON_LOOKUP!$A:$E,5,0),"")</f>
      </c>
      <c r="J8629" s="29">
        <f>IFERROR(VLOOKUP(F8629,CARTON_LOOKUP!$A:$E,2,0),"")</f>
      </c>
      <c r="K8629" s="29">
        <f>IFERROR(J8629*D8629,0)</f>
      </c>
      <c r="L8629" s="29">
        <f>IFERROR(E8629*C8629,0)</f>
      </c>
      <c r="M8629" s="29">
        <f>IFERROR((G8629*H8629*I8629/1000000)*D8629,0)</f>
      </c>
    </row>
    <row r="8630" spans="1:13" x14ac:dyDescent="0.25">
      <c r="A8630" s="16"/>
      <c r="E8630" s="27"/>
      <c r="F8630" t="s">
        <v>26</v>
      </c>
      <c r="G8630" s="28">
        <f>IFERROR(VLOOKUP(F8630,CARTON_LOOKUP!$A:$E,3,0),"")</f>
      </c>
      <c r="H8630" s="28">
        <f>IFERROR(VLOOKUP(F8630,CARTON_LOOKUP!$A:$E,4,0),"")</f>
      </c>
      <c r="I8630" s="28">
        <f>IFERROR(VLOOKUP(F8630,CARTON_LOOKUP!$A:$E,5,0),"")</f>
      </c>
      <c r="J8630" s="29">
        <f>IFERROR(VLOOKUP(F8630,CARTON_LOOKUP!$A:$E,2,0),"")</f>
      </c>
      <c r="K8630" s="29">
        <f>IFERROR(J8630*D8630,0)</f>
      </c>
      <c r="L8630" s="29">
        <f>IFERROR(E8630*C8630,0)</f>
      </c>
      <c r="M8630" s="29">
        <f>IFERROR((G8630*H8630*I8630/1000000)*D8630,0)</f>
      </c>
    </row>
    <row r="8631" spans="1:13" x14ac:dyDescent="0.25">
      <c r="A8631" s="16"/>
      <c r="E8631" s="27"/>
      <c r="F8631" t="s">
        <v>26</v>
      </c>
      <c r="G8631" s="28">
        <f>IFERROR(VLOOKUP(F8631,CARTON_LOOKUP!$A:$E,3,0),"")</f>
      </c>
      <c r="H8631" s="28">
        <f>IFERROR(VLOOKUP(F8631,CARTON_LOOKUP!$A:$E,4,0),"")</f>
      </c>
      <c r="I8631" s="28">
        <f>IFERROR(VLOOKUP(F8631,CARTON_LOOKUP!$A:$E,5,0),"")</f>
      </c>
      <c r="J8631" s="29">
        <f>IFERROR(VLOOKUP(F8631,CARTON_LOOKUP!$A:$E,2,0),"")</f>
      </c>
      <c r="K8631" s="29">
        <f>IFERROR(J8631*D8631,0)</f>
      </c>
      <c r="L8631" s="29">
        <f>IFERROR(E8631*C8631,0)</f>
      </c>
      <c r="M8631" s="29">
        <f>IFERROR((G8631*H8631*I8631/1000000)*D8631,0)</f>
      </c>
    </row>
    <row r="8632" spans="1:13" x14ac:dyDescent="0.25">
      <c r="A8632" s="16"/>
      <c r="E8632" s="27"/>
      <c r="F8632" t="s">
        <v>26</v>
      </c>
      <c r="G8632" s="28">
        <f>IFERROR(VLOOKUP(F8632,CARTON_LOOKUP!$A:$E,3,0),"")</f>
      </c>
      <c r="H8632" s="28">
        <f>IFERROR(VLOOKUP(F8632,CARTON_LOOKUP!$A:$E,4,0),"")</f>
      </c>
      <c r="I8632" s="28">
        <f>IFERROR(VLOOKUP(F8632,CARTON_LOOKUP!$A:$E,5,0),"")</f>
      </c>
      <c r="J8632" s="29">
        <f>IFERROR(VLOOKUP(F8632,CARTON_LOOKUP!$A:$E,2,0),"")</f>
      </c>
      <c r="K8632" s="29">
        <f>IFERROR(J8632*D8632,0)</f>
      </c>
      <c r="L8632" s="29">
        <f>IFERROR(E8632*C8632,0)</f>
      </c>
      <c r="M8632" s="29">
        <f>IFERROR((G8632*H8632*I8632/1000000)*D8632,0)</f>
      </c>
    </row>
    <row r="8633" spans="1:13" x14ac:dyDescent="0.25">
      <c r="A8633" s="16"/>
      <c r="E8633" s="27"/>
      <c r="F8633" t="s">
        <v>26</v>
      </c>
      <c r="G8633" s="28">
        <f>IFERROR(VLOOKUP(F8633,CARTON_LOOKUP!$A:$E,3,0),"")</f>
      </c>
      <c r="H8633" s="28">
        <f>IFERROR(VLOOKUP(F8633,CARTON_LOOKUP!$A:$E,4,0),"")</f>
      </c>
      <c r="I8633" s="28">
        <f>IFERROR(VLOOKUP(F8633,CARTON_LOOKUP!$A:$E,5,0),"")</f>
      </c>
      <c r="J8633" s="29">
        <f>IFERROR(VLOOKUP(F8633,CARTON_LOOKUP!$A:$E,2,0),"")</f>
      </c>
      <c r="K8633" s="29">
        <f>IFERROR(J8633*D8633,0)</f>
      </c>
      <c r="L8633" s="29">
        <f>IFERROR(E8633*C8633,0)</f>
      </c>
      <c r="M8633" s="29">
        <f>IFERROR((G8633*H8633*I8633/1000000)*D8633,0)</f>
      </c>
    </row>
    <row r="8634" spans="1:13" x14ac:dyDescent="0.25">
      <c r="A8634" s="16"/>
      <c r="E8634" s="27"/>
      <c r="F8634" t="s">
        <v>26</v>
      </c>
      <c r="G8634" s="28">
        <f>IFERROR(VLOOKUP(F8634,CARTON_LOOKUP!$A:$E,3,0),"")</f>
      </c>
      <c r="H8634" s="28">
        <f>IFERROR(VLOOKUP(F8634,CARTON_LOOKUP!$A:$E,4,0),"")</f>
      </c>
      <c r="I8634" s="28">
        <f>IFERROR(VLOOKUP(F8634,CARTON_LOOKUP!$A:$E,5,0),"")</f>
      </c>
      <c r="J8634" s="29">
        <f>IFERROR(VLOOKUP(F8634,CARTON_LOOKUP!$A:$E,2,0),"")</f>
      </c>
      <c r="K8634" s="29">
        <f>IFERROR(J8634*D8634,0)</f>
      </c>
      <c r="L8634" s="29">
        <f>IFERROR(E8634*C8634,0)</f>
      </c>
      <c r="M8634" s="29">
        <f>IFERROR((G8634*H8634*I8634/1000000)*D8634,0)</f>
      </c>
    </row>
    <row r="8635" spans="1:13" x14ac:dyDescent="0.25">
      <c r="A8635" s="16"/>
      <c r="E8635" s="27"/>
      <c r="F8635" t="s">
        <v>26</v>
      </c>
      <c r="G8635" s="28">
        <f>IFERROR(VLOOKUP(F8635,CARTON_LOOKUP!$A:$E,3,0),"")</f>
      </c>
      <c r="H8635" s="28">
        <f>IFERROR(VLOOKUP(F8635,CARTON_LOOKUP!$A:$E,4,0),"")</f>
      </c>
      <c r="I8635" s="28">
        <f>IFERROR(VLOOKUP(F8635,CARTON_LOOKUP!$A:$E,5,0),"")</f>
      </c>
      <c r="J8635" s="29">
        <f>IFERROR(VLOOKUP(F8635,CARTON_LOOKUP!$A:$E,2,0),"")</f>
      </c>
      <c r="K8635" s="29">
        <f>IFERROR(J8635*D8635,0)</f>
      </c>
      <c r="L8635" s="29">
        <f>IFERROR(E8635*C8635,0)</f>
      </c>
      <c r="M8635" s="29">
        <f>IFERROR((G8635*H8635*I8635/1000000)*D8635,0)</f>
      </c>
    </row>
    <row r="8636" spans="1:13" x14ac:dyDescent="0.25">
      <c r="A8636" s="16"/>
      <c r="E8636" s="27"/>
      <c r="F8636" t="s">
        <v>26</v>
      </c>
      <c r="G8636" s="28">
        <f>IFERROR(VLOOKUP(F8636,CARTON_LOOKUP!$A:$E,3,0),"")</f>
      </c>
      <c r="H8636" s="28">
        <f>IFERROR(VLOOKUP(F8636,CARTON_LOOKUP!$A:$E,4,0),"")</f>
      </c>
      <c r="I8636" s="28">
        <f>IFERROR(VLOOKUP(F8636,CARTON_LOOKUP!$A:$E,5,0),"")</f>
      </c>
      <c r="J8636" s="29">
        <f>IFERROR(VLOOKUP(F8636,CARTON_LOOKUP!$A:$E,2,0),"")</f>
      </c>
      <c r="K8636" s="29">
        <f>IFERROR(J8636*D8636,0)</f>
      </c>
      <c r="L8636" s="29">
        <f>IFERROR(E8636*C8636,0)</f>
      </c>
      <c r="M8636" s="29">
        <f>IFERROR((G8636*H8636*I8636/1000000)*D8636,0)</f>
      </c>
    </row>
    <row r="8637" spans="1:13" x14ac:dyDescent="0.25">
      <c r="A8637" s="16"/>
      <c r="E8637" s="27"/>
      <c r="F8637" t="s">
        <v>26</v>
      </c>
      <c r="G8637" s="28">
        <f>IFERROR(VLOOKUP(F8637,CARTON_LOOKUP!$A:$E,3,0),"")</f>
      </c>
      <c r="H8637" s="28">
        <f>IFERROR(VLOOKUP(F8637,CARTON_LOOKUP!$A:$E,4,0),"")</f>
      </c>
      <c r="I8637" s="28">
        <f>IFERROR(VLOOKUP(F8637,CARTON_LOOKUP!$A:$E,5,0),"")</f>
      </c>
      <c r="J8637" s="29">
        <f>IFERROR(VLOOKUP(F8637,CARTON_LOOKUP!$A:$E,2,0),"")</f>
      </c>
      <c r="K8637" s="29">
        <f>IFERROR(J8637*D8637,0)</f>
      </c>
      <c r="L8637" s="29">
        <f>IFERROR(E8637*C8637,0)</f>
      </c>
      <c r="M8637" s="29">
        <f>IFERROR((G8637*H8637*I8637/1000000)*D8637,0)</f>
      </c>
    </row>
    <row r="8638" spans="1:13" x14ac:dyDescent="0.25">
      <c r="A8638" s="16"/>
      <c r="E8638" s="27"/>
      <c r="F8638" t="s">
        <v>26</v>
      </c>
      <c r="G8638" s="28">
        <f>IFERROR(VLOOKUP(F8638,CARTON_LOOKUP!$A:$E,3,0),"")</f>
      </c>
      <c r="H8638" s="28">
        <f>IFERROR(VLOOKUP(F8638,CARTON_LOOKUP!$A:$E,4,0),"")</f>
      </c>
      <c r="I8638" s="28">
        <f>IFERROR(VLOOKUP(F8638,CARTON_LOOKUP!$A:$E,5,0),"")</f>
      </c>
      <c r="J8638" s="29">
        <f>IFERROR(VLOOKUP(F8638,CARTON_LOOKUP!$A:$E,2,0),"")</f>
      </c>
      <c r="K8638" s="29">
        <f>IFERROR(J8638*D8638,0)</f>
      </c>
      <c r="L8638" s="29">
        <f>IFERROR(E8638*C8638,0)</f>
      </c>
      <c r="M8638" s="29">
        <f>IFERROR((G8638*H8638*I8638/1000000)*D8638,0)</f>
      </c>
    </row>
    <row r="8639" spans="1:13" x14ac:dyDescent="0.25">
      <c r="A8639" s="16"/>
      <c r="E8639" s="27"/>
      <c r="F8639" t="s">
        <v>26</v>
      </c>
      <c r="G8639" s="28">
        <f>IFERROR(VLOOKUP(F8639,CARTON_LOOKUP!$A:$E,3,0),"")</f>
      </c>
      <c r="H8639" s="28">
        <f>IFERROR(VLOOKUP(F8639,CARTON_LOOKUP!$A:$E,4,0),"")</f>
      </c>
      <c r="I8639" s="28">
        <f>IFERROR(VLOOKUP(F8639,CARTON_LOOKUP!$A:$E,5,0),"")</f>
      </c>
      <c r="J8639" s="29">
        <f>IFERROR(VLOOKUP(F8639,CARTON_LOOKUP!$A:$E,2,0),"")</f>
      </c>
      <c r="K8639" s="29">
        <f>IFERROR(J8639*D8639,0)</f>
      </c>
      <c r="L8639" s="29">
        <f>IFERROR(E8639*C8639,0)</f>
      </c>
      <c r="M8639" s="29">
        <f>IFERROR((G8639*H8639*I8639/1000000)*D8639,0)</f>
      </c>
    </row>
    <row r="8640" spans="1:13" x14ac:dyDescent="0.25">
      <c r="A8640" s="16"/>
      <c r="E8640" s="27"/>
      <c r="F8640" t="s">
        <v>26</v>
      </c>
      <c r="G8640" s="28">
        <f>IFERROR(VLOOKUP(F8640,CARTON_LOOKUP!$A:$E,3,0),"")</f>
      </c>
      <c r="H8640" s="28">
        <f>IFERROR(VLOOKUP(F8640,CARTON_LOOKUP!$A:$E,4,0),"")</f>
      </c>
      <c r="I8640" s="28">
        <f>IFERROR(VLOOKUP(F8640,CARTON_LOOKUP!$A:$E,5,0),"")</f>
      </c>
      <c r="J8640" s="29">
        <f>IFERROR(VLOOKUP(F8640,CARTON_LOOKUP!$A:$E,2,0),"")</f>
      </c>
      <c r="K8640" s="29">
        <f>IFERROR(J8640*D8640,0)</f>
      </c>
      <c r="L8640" s="29">
        <f>IFERROR(E8640*C8640,0)</f>
      </c>
      <c r="M8640" s="29">
        <f>IFERROR((G8640*H8640*I8640/1000000)*D8640,0)</f>
      </c>
    </row>
    <row r="8641" spans="1:13" x14ac:dyDescent="0.25">
      <c r="A8641" s="16"/>
      <c r="E8641" s="27"/>
      <c r="F8641" t="s">
        <v>26</v>
      </c>
      <c r="G8641" s="28">
        <f>IFERROR(VLOOKUP(F8641,CARTON_LOOKUP!$A:$E,3,0),"")</f>
      </c>
      <c r="H8641" s="28">
        <f>IFERROR(VLOOKUP(F8641,CARTON_LOOKUP!$A:$E,4,0),"")</f>
      </c>
      <c r="I8641" s="28">
        <f>IFERROR(VLOOKUP(F8641,CARTON_LOOKUP!$A:$E,5,0),"")</f>
      </c>
      <c r="J8641" s="29">
        <f>IFERROR(VLOOKUP(F8641,CARTON_LOOKUP!$A:$E,2,0),"")</f>
      </c>
      <c r="K8641" s="29">
        <f>IFERROR(J8641*D8641,0)</f>
      </c>
      <c r="L8641" s="29">
        <f>IFERROR(E8641*C8641,0)</f>
      </c>
      <c r="M8641" s="29">
        <f>IFERROR((G8641*H8641*I8641/1000000)*D8641,0)</f>
      </c>
    </row>
    <row r="8642" spans="1:13" x14ac:dyDescent="0.25">
      <c r="A8642" s="16"/>
      <c r="E8642" s="27"/>
      <c r="F8642" t="s">
        <v>26</v>
      </c>
      <c r="G8642" s="28">
        <f>IFERROR(VLOOKUP(F8642,CARTON_LOOKUP!$A:$E,3,0),"")</f>
      </c>
      <c r="H8642" s="28">
        <f>IFERROR(VLOOKUP(F8642,CARTON_LOOKUP!$A:$E,4,0),"")</f>
      </c>
      <c r="I8642" s="28">
        <f>IFERROR(VLOOKUP(F8642,CARTON_LOOKUP!$A:$E,5,0),"")</f>
      </c>
      <c r="J8642" s="29">
        <f>IFERROR(VLOOKUP(F8642,CARTON_LOOKUP!$A:$E,2,0),"")</f>
      </c>
      <c r="K8642" s="29">
        <f>IFERROR(J8642*D8642,0)</f>
      </c>
      <c r="L8642" s="29">
        <f>IFERROR(E8642*C8642,0)</f>
      </c>
      <c r="M8642" s="29">
        <f>IFERROR((G8642*H8642*I8642/1000000)*D8642,0)</f>
      </c>
    </row>
    <row r="8643" spans="1:13" x14ac:dyDescent="0.25">
      <c r="A8643" s="16"/>
      <c r="E8643" s="27"/>
      <c r="F8643" t="s">
        <v>26</v>
      </c>
      <c r="G8643" s="28">
        <f>IFERROR(VLOOKUP(F8643,CARTON_LOOKUP!$A:$E,3,0),"")</f>
      </c>
      <c r="H8643" s="28">
        <f>IFERROR(VLOOKUP(F8643,CARTON_LOOKUP!$A:$E,4,0),"")</f>
      </c>
      <c r="I8643" s="28">
        <f>IFERROR(VLOOKUP(F8643,CARTON_LOOKUP!$A:$E,5,0),"")</f>
      </c>
      <c r="J8643" s="29">
        <f>IFERROR(VLOOKUP(F8643,CARTON_LOOKUP!$A:$E,2,0),"")</f>
      </c>
      <c r="K8643" s="29">
        <f>IFERROR(J8643*D8643,0)</f>
      </c>
      <c r="L8643" s="29">
        <f>IFERROR(E8643*C8643,0)</f>
      </c>
      <c r="M8643" s="29">
        <f>IFERROR((G8643*H8643*I8643/1000000)*D8643,0)</f>
      </c>
    </row>
    <row r="8644" spans="1:13" x14ac:dyDescent="0.25">
      <c r="A8644" s="16"/>
      <c r="E8644" s="27"/>
      <c r="F8644" t="s">
        <v>26</v>
      </c>
      <c r="G8644" s="28">
        <f>IFERROR(VLOOKUP(F8644,CARTON_LOOKUP!$A:$E,3,0),"")</f>
      </c>
      <c r="H8644" s="28">
        <f>IFERROR(VLOOKUP(F8644,CARTON_LOOKUP!$A:$E,4,0),"")</f>
      </c>
      <c r="I8644" s="28">
        <f>IFERROR(VLOOKUP(F8644,CARTON_LOOKUP!$A:$E,5,0),"")</f>
      </c>
      <c r="J8644" s="29">
        <f>IFERROR(VLOOKUP(F8644,CARTON_LOOKUP!$A:$E,2,0),"")</f>
      </c>
      <c r="K8644" s="29">
        <f>IFERROR(J8644*D8644,0)</f>
      </c>
      <c r="L8644" s="29">
        <f>IFERROR(E8644*C8644,0)</f>
      </c>
      <c r="M8644" s="29">
        <f>IFERROR((G8644*H8644*I8644/1000000)*D8644,0)</f>
      </c>
    </row>
    <row r="8645" spans="1:13" x14ac:dyDescent="0.25">
      <c r="A8645" s="16"/>
      <c r="E8645" s="27"/>
      <c r="F8645" t="s">
        <v>26</v>
      </c>
      <c r="G8645" s="28">
        <f>IFERROR(VLOOKUP(F8645,CARTON_LOOKUP!$A:$E,3,0),"")</f>
      </c>
      <c r="H8645" s="28">
        <f>IFERROR(VLOOKUP(F8645,CARTON_LOOKUP!$A:$E,4,0),"")</f>
      </c>
      <c r="I8645" s="28">
        <f>IFERROR(VLOOKUP(F8645,CARTON_LOOKUP!$A:$E,5,0),"")</f>
      </c>
      <c r="J8645" s="29">
        <f>IFERROR(VLOOKUP(F8645,CARTON_LOOKUP!$A:$E,2,0),"")</f>
      </c>
      <c r="K8645" s="29">
        <f>IFERROR(J8645*D8645,0)</f>
      </c>
      <c r="L8645" s="29">
        <f>IFERROR(E8645*C8645,0)</f>
      </c>
      <c r="M8645" s="29">
        <f>IFERROR((G8645*H8645*I8645/1000000)*D8645,0)</f>
      </c>
    </row>
    <row r="8646" spans="1:13" x14ac:dyDescent="0.25">
      <c r="A8646" s="16"/>
      <c r="E8646" s="27"/>
      <c r="F8646" t="s">
        <v>26</v>
      </c>
      <c r="G8646" s="28">
        <f>IFERROR(VLOOKUP(F8646,CARTON_LOOKUP!$A:$E,3,0),"")</f>
      </c>
      <c r="H8646" s="28">
        <f>IFERROR(VLOOKUP(F8646,CARTON_LOOKUP!$A:$E,4,0),"")</f>
      </c>
      <c r="I8646" s="28">
        <f>IFERROR(VLOOKUP(F8646,CARTON_LOOKUP!$A:$E,5,0),"")</f>
      </c>
      <c r="J8646" s="29">
        <f>IFERROR(VLOOKUP(F8646,CARTON_LOOKUP!$A:$E,2,0),"")</f>
      </c>
      <c r="K8646" s="29">
        <f>IFERROR(J8646*D8646,0)</f>
      </c>
      <c r="L8646" s="29">
        <f>IFERROR(E8646*C8646,0)</f>
      </c>
      <c r="M8646" s="29">
        <f>IFERROR((G8646*H8646*I8646/1000000)*D8646,0)</f>
      </c>
    </row>
    <row r="8647" spans="1:13" x14ac:dyDescent="0.25">
      <c r="A8647" s="16"/>
      <c r="E8647" s="27"/>
      <c r="F8647" t="s">
        <v>26</v>
      </c>
      <c r="G8647" s="28">
        <f>IFERROR(VLOOKUP(F8647,CARTON_LOOKUP!$A:$E,3,0),"")</f>
      </c>
      <c r="H8647" s="28">
        <f>IFERROR(VLOOKUP(F8647,CARTON_LOOKUP!$A:$E,4,0),"")</f>
      </c>
      <c r="I8647" s="28">
        <f>IFERROR(VLOOKUP(F8647,CARTON_LOOKUP!$A:$E,5,0),"")</f>
      </c>
      <c r="J8647" s="29">
        <f>IFERROR(VLOOKUP(F8647,CARTON_LOOKUP!$A:$E,2,0),"")</f>
      </c>
      <c r="K8647" s="29">
        <f>IFERROR(J8647*D8647,0)</f>
      </c>
      <c r="L8647" s="29">
        <f>IFERROR(E8647*C8647,0)</f>
      </c>
      <c r="M8647" s="29">
        <f>IFERROR((G8647*H8647*I8647/1000000)*D8647,0)</f>
      </c>
    </row>
    <row r="8648" spans="1:13" x14ac:dyDescent="0.25">
      <c r="A8648" s="16"/>
      <c r="E8648" s="27"/>
      <c r="F8648" t="s">
        <v>26</v>
      </c>
      <c r="G8648" s="28">
        <f>IFERROR(VLOOKUP(F8648,CARTON_LOOKUP!$A:$E,3,0),"")</f>
      </c>
      <c r="H8648" s="28">
        <f>IFERROR(VLOOKUP(F8648,CARTON_LOOKUP!$A:$E,4,0),"")</f>
      </c>
      <c r="I8648" s="28">
        <f>IFERROR(VLOOKUP(F8648,CARTON_LOOKUP!$A:$E,5,0),"")</f>
      </c>
      <c r="J8648" s="29">
        <f>IFERROR(VLOOKUP(F8648,CARTON_LOOKUP!$A:$E,2,0),"")</f>
      </c>
      <c r="K8648" s="29">
        <f>IFERROR(J8648*D8648,0)</f>
      </c>
      <c r="L8648" s="29">
        <f>IFERROR(E8648*C8648,0)</f>
      </c>
      <c r="M8648" s="29">
        <f>IFERROR((G8648*H8648*I8648/1000000)*D8648,0)</f>
      </c>
    </row>
    <row r="8649" spans="1:13" x14ac:dyDescent="0.25">
      <c r="A8649" s="16"/>
      <c r="E8649" s="27"/>
      <c r="F8649" t="s">
        <v>26</v>
      </c>
      <c r="G8649" s="28">
        <f>IFERROR(VLOOKUP(F8649,CARTON_LOOKUP!$A:$E,3,0),"")</f>
      </c>
      <c r="H8649" s="28">
        <f>IFERROR(VLOOKUP(F8649,CARTON_LOOKUP!$A:$E,4,0),"")</f>
      </c>
      <c r="I8649" s="28">
        <f>IFERROR(VLOOKUP(F8649,CARTON_LOOKUP!$A:$E,5,0),"")</f>
      </c>
      <c r="J8649" s="29">
        <f>IFERROR(VLOOKUP(F8649,CARTON_LOOKUP!$A:$E,2,0),"")</f>
      </c>
      <c r="K8649" s="29">
        <f>IFERROR(J8649*D8649,0)</f>
      </c>
      <c r="L8649" s="29">
        <f>IFERROR(E8649*C8649,0)</f>
      </c>
      <c r="M8649" s="29">
        <f>IFERROR((G8649*H8649*I8649/1000000)*D8649,0)</f>
      </c>
    </row>
    <row r="8650" spans="1:13" x14ac:dyDescent="0.25">
      <c r="A8650" s="16"/>
      <c r="E8650" s="27"/>
      <c r="F8650" t="s">
        <v>26</v>
      </c>
      <c r="G8650" s="28">
        <f>IFERROR(VLOOKUP(F8650,CARTON_LOOKUP!$A:$E,3,0),"")</f>
      </c>
      <c r="H8650" s="28">
        <f>IFERROR(VLOOKUP(F8650,CARTON_LOOKUP!$A:$E,4,0),"")</f>
      </c>
      <c r="I8650" s="28">
        <f>IFERROR(VLOOKUP(F8650,CARTON_LOOKUP!$A:$E,5,0),"")</f>
      </c>
      <c r="J8650" s="29">
        <f>IFERROR(VLOOKUP(F8650,CARTON_LOOKUP!$A:$E,2,0),"")</f>
      </c>
      <c r="K8650" s="29">
        <f>IFERROR(J8650*D8650,0)</f>
      </c>
      <c r="L8650" s="29">
        <f>IFERROR(E8650*C8650,0)</f>
      </c>
      <c r="M8650" s="29">
        <f>IFERROR((G8650*H8650*I8650/1000000)*D8650,0)</f>
      </c>
    </row>
    <row r="8651" spans="1:13" x14ac:dyDescent="0.25">
      <c r="A8651" s="16"/>
      <c r="E8651" s="27"/>
      <c r="F8651" t="s">
        <v>26</v>
      </c>
      <c r="G8651" s="28">
        <f>IFERROR(VLOOKUP(F8651,CARTON_LOOKUP!$A:$E,3,0),"")</f>
      </c>
      <c r="H8651" s="28">
        <f>IFERROR(VLOOKUP(F8651,CARTON_LOOKUP!$A:$E,4,0),"")</f>
      </c>
      <c r="I8651" s="28">
        <f>IFERROR(VLOOKUP(F8651,CARTON_LOOKUP!$A:$E,5,0),"")</f>
      </c>
      <c r="J8651" s="29">
        <f>IFERROR(VLOOKUP(F8651,CARTON_LOOKUP!$A:$E,2,0),"")</f>
      </c>
      <c r="K8651" s="29">
        <f>IFERROR(J8651*D8651,0)</f>
      </c>
      <c r="L8651" s="29">
        <f>IFERROR(E8651*C8651,0)</f>
      </c>
      <c r="M8651" s="29">
        <f>IFERROR((G8651*H8651*I8651/1000000)*D8651,0)</f>
      </c>
    </row>
    <row r="8652" spans="1:13" x14ac:dyDescent="0.25">
      <c r="A8652" s="16"/>
      <c r="E8652" s="27"/>
      <c r="F8652" t="s">
        <v>26</v>
      </c>
      <c r="G8652" s="28">
        <f>IFERROR(VLOOKUP(F8652,CARTON_LOOKUP!$A:$E,3,0),"")</f>
      </c>
      <c r="H8652" s="28">
        <f>IFERROR(VLOOKUP(F8652,CARTON_LOOKUP!$A:$E,4,0),"")</f>
      </c>
      <c r="I8652" s="28">
        <f>IFERROR(VLOOKUP(F8652,CARTON_LOOKUP!$A:$E,5,0),"")</f>
      </c>
      <c r="J8652" s="29">
        <f>IFERROR(VLOOKUP(F8652,CARTON_LOOKUP!$A:$E,2,0),"")</f>
      </c>
      <c r="K8652" s="29">
        <f>IFERROR(J8652*D8652,0)</f>
      </c>
      <c r="L8652" s="29">
        <f>IFERROR(E8652*C8652,0)</f>
      </c>
      <c r="M8652" s="29">
        <f>IFERROR((G8652*H8652*I8652/1000000)*D8652,0)</f>
      </c>
    </row>
    <row r="8653" spans="1:13" x14ac:dyDescent="0.25">
      <c r="A8653" s="16"/>
      <c r="E8653" s="27"/>
      <c r="F8653" t="s">
        <v>26</v>
      </c>
      <c r="G8653" s="28">
        <f>IFERROR(VLOOKUP(F8653,CARTON_LOOKUP!$A:$E,3,0),"")</f>
      </c>
      <c r="H8653" s="28">
        <f>IFERROR(VLOOKUP(F8653,CARTON_LOOKUP!$A:$E,4,0),"")</f>
      </c>
      <c r="I8653" s="28">
        <f>IFERROR(VLOOKUP(F8653,CARTON_LOOKUP!$A:$E,5,0),"")</f>
      </c>
      <c r="J8653" s="29">
        <f>IFERROR(VLOOKUP(F8653,CARTON_LOOKUP!$A:$E,2,0),"")</f>
      </c>
      <c r="K8653" s="29">
        <f>IFERROR(J8653*D8653,0)</f>
      </c>
      <c r="L8653" s="29">
        <f>IFERROR(E8653*C8653,0)</f>
      </c>
      <c r="M8653" s="29">
        <f>IFERROR((G8653*H8653*I8653/1000000)*D8653,0)</f>
      </c>
    </row>
    <row r="8654" spans="1:13" x14ac:dyDescent="0.25">
      <c r="A8654" s="16"/>
      <c r="E8654" s="27"/>
      <c r="F8654" t="s">
        <v>26</v>
      </c>
      <c r="G8654" s="28">
        <f>IFERROR(VLOOKUP(F8654,CARTON_LOOKUP!$A:$E,3,0),"")</f>
      </c>
      <c r="H8654" s="28">
        <f>IFERROR(VLOOKUP(F8654,CARTON_LOOKUP!$A:$E,4,0),"")</f>
      </c>
      <c r="I8654" s="28">
        <f>IFERROR(VLOOKUP(F8654,CARTON_LOOKUP!$A:$E,5,0),"")</f>
      </c>
      <c r="J8654" s="29">
        <f>IFERROR(VLOOKUP(F8654,CARTON_LOOKUP!$A:$E,2,0),"")</f>
      </c>
      <c r="K8654" s="29">
        <f>IFERROR(J8654*D8654,0)</f>
      </c>
      <c r="L8654" s="29">
        <f>IFERROR(E8654*C8654,0)</f>
      </c>
      <c r="M8654" s="29">
        <f>IFERROR((G8654*H8654*I8654/1000000)*D8654,0)</f>
      </c>
    </row>
    <row r="8655" spans="1:13" x14ac:dyDescent="0.25">
      <c r="A8655" s="16"/>
      <c r="E8655" s="27"/>
      <c r="F8655" t="s">
        <v>26</v>
      </c>
      <c r="G8655" s="28">
        <f>IFERROR(VLOOKUP(F8655,CARTON_LOOKUP!$A:$E,3,0),"")</f>
      </c>
      <c r="H8655" s="28">
        <f>IFERROR(VLOOKUP(F8655,CARTON_LOOKUP!$A:$E,4,0),"")</f>
      </c>
      <c r="I8655" s="28">
        <f>IFERROR(VLOOKUP(F8655,CARTON_LOOKUP!$A:$E,5,0),"")</f>
      </c>
      <c r="J8655" s="29">
        <f>IFERROR(VLOOKUP(F8655,CARTON_LOOKUP!$A:$E,2,0),"")</f>
      </c>
      <c r="K8655" s="29">
        <f>IFERROR(J8655*D8655,0)</f>
      </c>
      <c r="L8655" s="29">
        <f>IFERROR(E8655*C8655,0)</f>
      </c>
      <c r="M8655" s="29">
        <f>IFERROR((G8655*H8655*I8655/1000000)*D8655,0)</f>
      </c>
    </row>
    <row r="8656" spans="1:13" x14ac:dyDescent="0.25">
      <c r="A8656" s="16"/>
      <c r="E8656" s="27"/>
      <c r="F8656" t="s">
        <v>26</v>
      </c>
      <c r="G8656" s="28">
        <f>IFERROR(VLOOKUP(F8656,CARTON_LOOKUP!$A:$E,3,0),"")</f>
      </c>
      <c r="H8656" s="28">
        <f>IFERROR(VLOOKUP(F8656,CARTON_LOOKUP!$A:$E,4,0),"")</f>
      </c>
      <c r="I8656" s="28">
        <f>IFERROR(VLOOKUP(F8656,CARTON_LOOKUP!$A:$E,5,0),"")</f>
      </c>
      <c r="J8656" s="29">
        <f>IFERROR(VLOOKUP(F8656,CARTON_LOOKUP!$A:$E,2,0),"")</f>
      </c>
      <c r="K8656" s="29">
        <f>IFERROR(J8656*D8656,0)</f>
      </c>
      <c r="L8656" s="29">
        <f>IFERROR(E8656*C8656,0)</f>
      </c>
      <c r="M8656" s="29">
        <f>IFERROR((G8656*H8656*I8656/1000000)*D8656,0)</f>
      </c>
    </row>
    <row r="8657" spans="1:13" x14ac:dyDescent="0.25">
      <c r="A8657" s="16"/>
      <c r="E8657" s="27"/>
      <c r="F8657" t="s">
        <v>26</v>
      </c>
      <c r="G8657" s="28">
        <f>IFERROR(VLOOKUP(F8657,CARTON_LOOKUP!$A:$E,3,0),"")</f>
      </c>
      <c r="H8657" s="28">
        <f>IFERROR(VLOOKUP(F8657,CARTON_LOOKUP!$A:$E,4,0),"")</f>
      </c>
      <c r="I8657" s="28">
        <f>IFERROR(VLOOKUP(F8657,CARTON_LOOKUP!$A:$E,5,0),"")</f>
      </c>
      <c r="J8657" s="29">
        <f>IFERROR(VLOOKUP(F8657,CARTON_LOOKUP!$A:$E,2,0),"")</f>
      </c>
      <c r="K8657" s="29">
        <f>IFERROR(J8657*D8657,0)</f>
      </c>
      <c r="L8657" s="29">
        <f>IFERROR(E8657*C8657,0)</f>
      </c>
      <c r="M8657" s="29">
        <f>IFERROR((G8657*H8657*I8657/1000000)*D8657,0)</f>
      </c>
    </row>
    <row r="8658" spans="1:13" x14ac:dyDescent="0.25">
      <c r="A8658" s="16"/>
      <c r="E8658" s="27"/>
      <c r="F8658" t="s">
        <v>26</v>
      </c>
      <c r="G8658" s="28">
        <f>IFERROR(VLOOKUP(F8658,CARTON_LOOKUP!$A:$E,3,0),"")</f>
      </c>
      <c r="H8658" s="28">
        <f>IFERROR(VLOOKUP(F8658,CARTON_LOOKUP!$A:$E,4,0),"")</f>
      </c>
      <c r="I8658" s="28">
        <f>IFERROR(VLOOKUP(F8658,CARTON_LOOKUP!$A:$E,5,0),"")</f>
      </c>
      <c r="J8658" s="29">
        <f>IFERROR(VLOOKUP(F8658,CARTON_LOOKUP!$A:$E,2,0),"")</f>
      </c>
      <c r="K8658" s="29">
        <f>IFERROR(J8658*D8658,0)</f>
      </c>
      <c r="L8658" s="29">
        <f>IFERROR(E8658*C8658,0)</f>
      </c>
      <c r="M8658" s="29">
        <f>IFERROR((G8658*H8658*I8658/1000000)*D8658,0)</f>
      </c>
    </row>
    <row r="8659" spans="1:13" x14ac:dyDescent="0.25">
      <c r="A8659" s="16"/>
      <c r="E8659" s="27"/>
      <c r="F8659" t="s">
        <v>26</v>
      </c>
      <c r="G8659" s="28">
        <f>IFERROR(VLOOKUP(F8659,CARTON_LOOKUP!$A:$E,3,0),"")</f>
      </c>
      <c r="H8659" s="28">
        <f>IFERROR(VLOOKUP(F8659,CARTON_LOOKUP!$A:$E,4,0),"")</f>
      </c>
      <c r="I8659" s="28">
        <f>IFERROR(VLOOKUP(F8659,CARTON_LOOKUP!$A:$E,5,0),"")</f>
      </c>
      <c r="J8659" s="29">
        <f>IFERROR(VLOOKUP(F8659,CARTON_LOOKUP!$A:$E,2,0),"")</f>
      </c>
      <c r="K8659" s="29">
        <f>IFERROR(J8659*D8659,0)</f>
      </c>
      <c r="L8659" s="29">
        <f>IFERROR(E8659*C8659,0)</f>
      </c>
      <c r="M8659" s="29">
        <f>IFERROR((G8659*H8659*I8659/1000000)*D8659,0)</f>
      </c>
    </row>
    <row r="8660" spans="1:13" x14ac:dyDescent="0.25">
      <c r="A8660" s="16"/>
      <c r="E8660" s="27"/>
      <c r="F8660" t="s">
        <v>26</v>
      </c>
      <c r="G8660" s="28">
        <f>IFERROR(VLOOKUP(F8660,CARTON_LOOKUP!$A:$E,3,0),"")</f>
      </c>
      <c r="H8660" s="28">
        <f>IFERROR(VLOOKUP(F8660,CARTON_LOOKUP!$A:$E,4,0),"")</f>
      </c>
      <c r="I8660" s="28">
        <f>IFERROR(VLOOKUP(F8660,CARTON_LOOKUP!$A:$E,5,0),"")</f>
      </c>
      <c r="J8660" s="29">
        <f>IFERROR(VLOOKUP(F8660,CARTON_LOOKUP!$A:$E,2,0),"")</f>
      </c>
      <c r="K8660" s="29">
        <f>IFERROR(J8660*D8660,0)</f>
      </c>
      <c r="L8660" s="29">
        <f>IFERROR(E8660*C8660,0)</f>
      </c>
      <c r="M8660" s="29">
        <f>IFERROR((G8660*H8660*I8660/1000000)*D8660,0)</f>
      </c>
    </row>
    <row r="8661" spans="1:13" x14ac:dyDescent="0.25">
      <c r="A8661" s="16"/>
      <c r="E8661" s="27"/>
      <c r="F8661" t="s">
        <v>26</v>
      </c>
      <c r="G8661" s="28">
        <f>IFERROR(VLOOKUP(F8661,CARTON_LOOKUP!$A:$E,3,0),"")</f>
      </c>
      <c r="H8661" s="28">
        <f>IFERROR(VLOOKUP(F8661,CARTON_LOOKUP!$A:$E,4,0),"")</f>
      </c>
      <c r="I8661" s="28">
        <f>IFERROR(VLOOKUP(F8661,CARTON_LOOKUP!$A:$E,5,0),"")</f>
      </c>
      <c r="J8661" s="29">
        <f>IFERROR(VLOOKUP(F8661,CARTON_LOOKUP!$A:$E,2,0),"")</f>
      </c>
      <c r="K8661" s="29">
        <f>IFERROR(J8661*D8661,0)</f>
      </c>
      <c r="L8661" s="29">
        <f>IFERROR(E8661*C8661,0)</f>
      </c>
      <c r="M8661" s="29">
        <f>IFERROR((G8661*H8661*I8661/1000000)*D8661,0)</f>
      </c>
    </row>
    <row r="8662" spans="1:13" x14ac:dyDescent="0.25">
      <c r="A8662" s="16"/>
      <c r="E8662" s="27"/>
      <c r="F8662" t="s">
        <v>26</v>
      </c>
      <c r="G8662" s="28">
        <f>IFERROR(VLOOKUP(F8662,CARTON_LOOKUP!$A:$E,3,0),"")</f>
      </c>
      <c r="H8662" s="28">
        <f>IFERROR(VLOOKUP(F8662,CARTON_LOOKUP!$A:$E,4,0),"")</f>
      </c>
      <c r="I8662" s="28">
        <f>IFERROR(VLOOKUP(F8662,CARTON_LOOKUP!$A:$E,5,0),"")</f>
      </c>
      <c r="J8662" s="29">
        <f>IFERROR(VLOOKUP(F8662,CARTON_LOOKUP!$A:$E,2,0),"")</f>
      </c>
      <c r="K8662" s="29">
        <f>IFERROR(J8662*D8662,0)</f>
      </c>
      <c r="L8662" s="29">
        <f>IFERROR(E8662*C8662,0)</f>
      </c>
      <c r="M8662" s="29">
        <f>IFERROR((G8662*H8662*I8662/1000000)*D8662,0)</f>
      </c>
    </row>
    <row r="8663" spans="1:13" x14ac:dyDescent="0.25">
      <c r="A8663" s="16"/>
      <c r="E8663" s="27"/>
      <c r="F8663" t="s">
        <v>26</v>
      </c>
      <c r="G8663" s="28">
        <f>IFERROR(VLOOKUP(F8663,CARTON_LOOKUP!$A:$E,3,0),"")</f>
      </c>
      <c r="H8663" s="28">
        <f>IFERROR(VLOOKUP(F8663,CARTON_LOOKUP!$A:$E,4,0),"")</f>
      </c>
      <c r="I8663" s="28">
        <f>IFERROR(VLOOKUP(F8663,CARTON_LOOKUP!$A:$E,5,0),"")</f>
      </c>
      <c r="J8663" s="29">
        <f>IFERROR(VLOOKUP(F8663,CARTON_LOOKUP!$A:$E,2,0),"")</f>
      </c>
      <c r="K8663" s="29">
        <f>IFERROR(J8663*D8663,0)</f>
      </c>
      <c r="L8663" s="29">
        <f>IFERROR(E8663*C8663,0)</f>
      </c>
      <c r="M8663" s="29">
        <f>IFERROR((G8663*H8663*I8663/1000000)*D8663,0)</f>
      </c>
    </row>
    <row r="8664" spans="1:13" x14ac:dyDescent="0.25">
      <c r="A8664" s="16"/>
      <c r="E8664" s="27"/>
      <c r="F8664" t="s">
        <v>26</v>
      </c>
      <c r="G8664" s="28">
        <f>IFERROR(VLOOKUP(F8664,CARTON_LOOKUP!$A:$E,3,0),"")</f>
      </c>
      <c r="H8664" s="28">
        <f>IFERROR(VLOOKUP(F8664,CARTON_LOOKUP!$A:$E,4,0),"")</f>
      </c>
      <c r="I8664" s="28">
        <f>IFERROR(VLOOKUP(F8664,CARTON_LOOKUP!$A:$E,5,0),"")</f>
      </c>
      <c r="J8664" s="29">
        <f>IFERROR(VLOOKUP(F8664,CARTON_LOOKUP!$A:$E,2,0),"")</f>
      </c>
      <c r="K8664" s="29">
        <f>IFERROR(J8664*D8664,0)</f>
      </c>
      <c r="L8664" s="29">
        <f>IFERROR(E8664*C8664,0)</f>
      </c>
      <c r="M8664" s="29">
        <f>IFERROR((G8664*H8664*I8664/1000000)*D8664,0)</f>
      </c>
    </row>
    <row r="8665" spans="1:13" x14ac:dyDescent="0.25">
      <c r="A8665" s="16"/>
      <c r="E8665" s="27"/>
      <c r="F8665" t="s">
        <v>26</v>
      </c>
      <c r="G8665" s="28">
        <f>IFERROR(VLOOKUP(F8665,CARTON_LOOKUP!$A:$E,3,0),"")</f>
      </c>
      <c r="H8665" s="28">
        <f>IFERROR(VLOOKUP(F8665,CARTON_LOOKUP!$A:$E,4,0),"")</f>
      </c>
      <c r="I8665" s="28">
        <f>IFERROR(VLOOKUP(F8665,CARTON_LOOKUP!$A:$E,5,0),"")</f>
      </c>
      <c r="J8665" s="29">
        <f>IFERROR(VLOOKUP(F8665,CARTON_LOOKUP!$A:$E,2,0),"")</f>
      </c>
      <c r="K8665" s="29">
        <f>IFERROR(J8665*D8665,0)</f>
      </c>
      <c r="L8665" s="29">
        <f>IFERROR(E8665*C8665,0)</f>
      </c>
      <c r="M8665" s="29">
        <f>IFERROR((G8665*H8665*I8665/1000000)*D8665,0)</f>
      </c>
    </row>
    <row r="8666" spans="1:13" x14ac:dyDescent="0.25">
      <c r="A8666" s="16"/>
      <c r="E8666" s="27"/>
      <c r="F8666" t="s">
        <v>26</v>
      </c>
      <c r="G8666" s="28">
        <f>IFERROR(VLOOKUP(F8666,CARTON_LOOKUP!$A:$E,3,0),"")</f>
      </c>
      <c r="H8666" s="28">
        <f>IFERROR(VLOOKUP(F8666,CARTON_LOOKUP!$A:$E,4,0),"")</f>
      </c>
      <c r="I8666" s="28">
        <f>IFERROR(VLOOKUP(F8666,CARTON_LOOKUP!$A:$E,5,0),"")</f>
      </c>
      <c r="J8666" s="29">
        <f>IFERROR(VLOOKUP(F8666,CARTON_LOOKUP!$A:$E,2,0),"")</f>
      </c>
      <c r="K8666" s="29">
        <f>IFERROR(J8666*D8666,0)</f>
      </c>
      <c r="L8666" s="29">
        <f>IFERROR(E8666*C8666,0)</f>
      </c>
      <c r="M8666" s="29">
        <f>IFERROR((G8666*H8666*I8666/1000000)*D8666,0)</f>
      </c>
    </row>
    <row r="8667" spans="1:13" x14ac:dyDescent="0.25">
      <c r="A8667" s="16"/>
      <c r="E8667" s="27"/>
      <c r="F8667" t="s">
        <v>26</v>
      </c>
      <c r="G8667" s="28">
        <f>IFERROR(VLOOKUP(F8667,CARTON_LOOKUP!$A:$E,3,0),"")</f>
      </c>
      <c r="H8667" s="28">
        <f>IFERROR(VLOOKUP(F8667,CARTON_LOOKUP!$A:$E,4,0),"")</f>
      </c>
      <c r="I8667" s="28">
        <f>IFERROR(VLOOKUP(F8667,CARTON_LOOKUP!$A:$E,5,0),"")</f>
      </c>
      <c r="J8667" s="29">
        <f>IFERROR(VLOOKUP(F8667,CARTON_LOOKUP!$A:$E,2,0),"")</f>
      </c>
      <c r="K8667" s="29">
        <f>IFERROR(J8667*D8667,0)</f>
      </c>
      <c r="L8667" s="29">
        <f>IFERROR(E8667*C8667,0)</f>
      </c>
      <c r="M8667" s="29">
        <f>IFERROR((G8667*H8667*I8667/1000000)*D8667,0)</f>
      </c>
    </row>
    <row r="8668" spans="1:13" x14ac:dyDescent="0.25">
      <c r="A8668" s="16"/>
      <c r="E8668" s="27"/>
      <c r="F8668" t="s">
        <v>26</v>
      </c>
      <c r="G8668" s="28">
        <f>IFERROR(VLOOKUP(F8668,CARTON_LOOKUP!$A:$E,3,0),"")</f>
      </c>
      <c r="H8668" s="28">
        <f>IFERROR(VLOOKUP(F8668,CARTON_LOOKUP!$A:$E,4,0),"")</f>
      </c>
      <c r="I8668" s="28">
        <f>IFERROR(VLOOKUP(F8668,CARTON_LOOKUP!$A:$E,5,0),"")</f>
      </c>
      <c r="J8668" s="29">
        <f>IFERROR(VLOOKUP(F8668,CARTON_LOOKUP!$A:$E,2,0),"")</f>
      </c>
      <c r="K8668" s="29">
        <f>IFERROR(J8668*D8668,0)</f>
      </c>
      <c r="L8668" s="29">
        <f>IFERROR(E8668*C8668,0)</f>
      </c>
      <c r="M8668" s="29">
        <f>IFERROR((G8668*H8668*I8668/1000000)*D8668,0)</f>
      </c>
    </row>
    <row r="8669" spans="1:13" x14ac:dyDescent="0.25">
      <c r="A8669" s="16"/>
      <c r="E8669" s="27"/>
      <c r="F8669" t="s">
        <v>26</v>
      </c>
      <c r="G8669" s="28">
        <f>IFERROR(VLOOKUP(F8669,CARTON_LOOKUP!$A:$E,3,0),"")</f>
      </c>
      <c r="H8669" s="28">
        <f>IFERROR(VLOOKUP(F8669,CARTON_LOOKUP!$A:$E,4,0),"")</f>
      </c>
      <c r="I8669" s="28">
        <f>IFERROR(VLOOKUP(F8669,CARTON_LOOKUP!$A:$E,5,0),"")</f>
      </c>
      <c r="J8669" s="29">
        <f>IFERROR(VLOOKUP(F8669,CARTON_LOOKUP!$A:$E,2,0),"")</f>
      </c>
      <c r="K8669" s="29">
        <f>IFERROR(J8669*D8669,0)</f>
      </c>
      <c r="L8669" s="29">
        <f>IFERROR(E8669*C8669,0)</f>
      </c>
      <c r="M8669" s="29">
        <f>IFERROR((G8669*H8669*I8669/1000000)*D8669,0)</f>
      </c>
    </row>
    <row r="8670" spans="1:13" x14ac:dyDescent="0.25">
      <c r="A8670" s="16"/>
      <c r="E8670" s="27"/>
      <c r="F8670" t="s">
        <v>26</v>
      </c>
      <c r="G8670" s="28">
        <f>IFERROR(VLOOKUP(F8670,CARTON_LOOKUP!$A:$E,3,0),"")</f>
      </c>
      <c r="H8670" s="28">
        <f>IFERROR(VLOOKUP(F8670,CARTON_LOOKUP!$A:$E,4,0),"")</f>
      </c>
      <c r="I8670" s="28">
        <f>IFERROR(VLOOKUP(F8670,CARTON_LOOKUP!$A:$E,5,0),"")</f>
      </c>
      <c r="J8670" s="29">
        <f>IFERROR(VLOOKUP(F8670,CARTON_LOOKUP!$A:$E,2,0),"")</f>
      </c>
      <c r="K8670" s="29">
        <f>IFERROR(J8670*D8670,0)</f>
      </c>
      <c r="L8670" s="29">
        <f>IFERROR(E8670*C8670,0)</f>
      </c>
      <c r="M8670" s="29">
        <f>IFERROR((G8670*H8670*I8670/1000000)*D8670,0)</f>
      </c>
    </row>
    <row r="8671" spans="1:13" x14ac:dyDescent="0.25">
      <c r="A8671" s="16"/>
      <c r="E8671" s="27"/>
      <c r="F8671" t="s">
        <v>26</v>
      </c>
      <c r="G8671" s="28">
        <f>IFERROR(VLOOKUP(F8671,CARTON_LOOKUP!$A:$E,3,0),"")</f>
      </c>
      <c r="H8671" s="28">
        <f>IFERROR(VLOOKUP(F8671,CARTON_LOOKUP!$A:$E,4,0),"")</f>
      </c>
      <c r="I8671" s="28">
        <f>IFERROR(VLOOKUP(F8671,CARTON_LOOKUP!$A:$E,5,0),"")</f>
      </c>
      <c r="J8671" s="29">
        <f>IFERROR(VLOOKUP(F8671,CARTON_LOOKUP!$A:$E,2,0),"")</f>
      </c>
      <c r="K8671" s="29">
        <f>IFERROR(J8671*D8671,0)</f>
      </c>
      <c r="L8671" s="29">
        <f>IFERROR(E8671*C8671,0)</f>
      </c>
      <c r="M8671" s="29">
        <f>IFERROR((G8671*H8671*I8671/1000000)*D8671,0)</f>
      </c>
    </row>
    <row r="8672" spans="1:13" x14ac:dyDescent="0.25">
      <c r="A8672" s="16"/>
      <c r="E8672" s="27"/>
      <c r="F8672" t="s">
        <v>26</v>
      </c>
      <c r="G8672" s="28">
        <f>IFERROR(VLOOKUP(F8672,CARTON_LOOKUP!$A:$E,3,0),"")</f>
      </c>
      <c r="H8672" s="28">
        <f>IFERROR(VLOOKUP(F8672,CARTON_LOOKUP!$A:$E,4,0),"")</f>
      </c>
      <c r="I8672" s="28">
        <f>IFERROR(VLOOKUP(F8672,CARTON_LOOKUP!$A:$E,5,0),"")</f>
      </c>
      <c r="J8672" s="29">
        <f>IFERROR(VLOOKUP(F8672,CARTON_LOOKUP!$A:$E,2,0),"")</f>
      </c>
      <c r="K8672" s="29">
        <f>IFERROR(J8672*D8672,0)</f>
      </c>
      <c r="L8672" s="29">
        <f>IFERROR(E8672*C8672,0)</f>
      </c>
      <c r="M8672" s="29">
        <f>IFERROR((G8672*H8672*I8672/1000000)*D8672,0)</f>
      </c>
    </row>
    <row r="8673" spans="1:13" x14ac:dyDescent="0.25">
      <c r="A8673" s="16"/>
      <c r="E8673" s="27"/>
      <c r="F8673" t="s">
        <v>26</v>
      </c>
      <c r="G8673" s="28">
        <f>IFERROR(VLOOKUP(F8673,CARTON_LOOKUP!$A:$E,3,0),"")</f>
      </c>
      <c r="H8673" s="28">
        <f>IFERROR(VLOOKUP(F8673,CARTON_LOOKUP!$A:$E,4,0),"")</f>
      </c>
      <c r="I8673" s="28">
        <f>IFERROR(VLOOKUP(F8673,CARTON_LOOKUP!$A:$E,5,0),"")</f>
      </c>
      <c r="J8673" s="29">
        <f>IFERROR(VLOOKUP(F8673,CARTON_LOOKUP!$A:$E,2,0),"")</f>
      </c>
      <c r="K8673" s="29">
        <f>IFERROR(J8673*D8673,0)</f>
      </c>
      <c r="L8673" s="29">
        <f>IFERROR(E8673*C8673,0)</f>
      </c>
      <c r="M8673" s="29">
        <f>IFERROR((G8673*H8673*I8673/1000000)*D8673,0)</f>
      </c>
    </row>
    <row r="8674" spans="1:13" x14ac:dyDescent="0.25">
      <c r="A8674" s="16"/>
      <c r="E8674" s="27"/>
      <c r="F8674" t="s">
        <v>26</v>
      </c>
      <c r="G8674" s="28">
        <f>IFERROR(VLOOKUP(F8674,CARTON_LOOKUP!$A:$E,3,0),"")</f>
      </c>
      <c r="H8674" s="28">
        <f>IFERROR(VLOOKUP(F8674,CARTON_LOOKUP!$A:$E,4,0),"")</f>
      </c>
      <c r="I8674" s="28">
        <f>IFERROR(VLOOKUP(F8674,CARTON_LOOKUP!$A:$E,5,0),"")</f>
      </c>
      <c r="J8674" s="29">
        <f>IFERROR(VLOOKUP(F8674,CARTON_LOOKUP!$A:$E,2,0),"")</f>
      </c>
      <c r="K8674" s="29">
        <f>IFERROR(J8674*D8674,0)</f>
      </c>
      <c r="L8674" s="29">
        <f>IFERROR(E8674*C8674,0)</f>
      </c>
      <c r="M8674" s="29">
        <f>IFERROR((G8674*H8674*I8674/1000000)*D8674,0)</f>
      </c>
    </row>
    <row r="8675" spans="1:13" x14ac:dyDescent="0.25">
      <c r="A8675" s="16"/>
      <c r="E8675" s="27"/>
      <c r="F8675" t="s">
        <v>26</v>
      </c>
      <c r="G8675" s="28">
        <f>IFERROR(VLOOKUP(F8675,CARTON_LOOKUP!$A:$E,3,0),"")</f>
      </c>
      <c r="H8675" s="28">
        <f>IFERROR(VLOOKUP(F8675,CARTON_LOOKUP!$A:$E,4,0),"")</f>
      </c>
      <c r="I8675" s="28">
        <f>IFERROR(VLOOKUP(F8675,CARTON_LOOKUP!$A:$E,5,0),"")</f>
      </c>
      <c r="J8675" s="29">
        <f>IFERROR(VLOOKUP(F8675,CARTON_LOOKUP!$A:$E,2,0),"")</f>
      </c>
      <c r="K8675" s="29">
        <f>IFERROR(J8675*D8675,0)</f>
      </c>
      <c r="L8675" s="29">
        <f>IFERROR(E8675*C8675,0)</f>
      </c>
      <c r="M8675" s="29">
        <f>IFERROR((G8675*H8675*I8675/1000000)*D8675,0)</f>
      </c>
    </row>
    <row r="8676" spans="1:13" x14ac:dyDescent="0.25">
      <c r="A8676" s="16"/>
      <c r="E8676" s="27"/>
      <c r="F8676" t="s">
        <v>26</v>
      </c>
      <c r="G8676" s="28">
        <f>IFERROR(VLOOKUP(F8676,CARTON_LOOKUP!$A:$E,3,0),"")</f>
      </c>
      <c r="H8676" s="28">
        <f>IFERROR(VLOOKUP(F8676,CARTON_LOOKUP!$A:$E,4,0),"")</f>
      </c>
      <c r="I8676" s="28">
        <f>IFERROR(VLOOKUP(F8676,CARTON_LOOKUP!$A:$E,5,0),"")</f>
      </c>
      <c r="J8676" s="29">
        <f>IFERROR(VLOOKUP(F8676,CARTON_LOOKUP!$A:$E,2,0),"")</f>
      </c>
      <c r="K8676" s="29">
        <f>IFERROR(J8676*D8676,0)</f>
      </c>
      <c r="L8676" s="29">
        <f>IFERROR(E8676*C8676,0)</f>
      </c>
      <c r="M8676" s="29">
        <f>IFERROR((G8676*H8676*I8676/1000000)*D8676,0)</f>
      </c>
    </row>
    <row r="8677" spans="1:13" x14ac:dyDescent="0.25">
      <c r="A8677" s="16"/>
      <c r="E8677" s="27"/>
      <c r="F8677" t="s">
        <v>26</v>
      </c>
      <c r="G8677" s="28">
        <f>IFERROR(VLOOKUP(F8677,CARTON_LOOKUP!$A:$E,3,0),"")</f>
      </c>
      <c r="H8677" s="28">
        <f>IFERROR(VLOOKUP(F8677,CARTON_LOOKUP!$A:$E,4,0),"")</f>
      </c>
      <c r="I8677" s="28">
        <f>IFERROR(VLOOKUP(F8677,CARTON_LOOKUP!$A:$E,5,0),"")</f>
      </c>
      <c r="J8677" s="29">
        <f>IFERROR(VLOOKUP(F8677,CARTON_LOOKUP!$A:$E,2,0),"")</f>
      </c>
      <c r="K8677" s="29">
        <f>IFERROR(J8677*D8677,0)</f>
      </c>
      <c r="L8677" s="29">
        <f>IFERROR(E8677*C8677,0)</f>
      </c>
      <c r="M8677" s="29">
        <f>IFERROR((G8677*H8677*I8677/1000000)*D8677,0)</f>
      </c>
    </row>
    <row r="8678" spans="1:13" x14ac:dyDescent="0.25">
      <c r="A8678" s="16"/>
      <c r="E8678" s="27"/>
      <c r="F8678" t="s">
        <v>26</v>
      </c>
      <c r="G8678" s="28">
        <f>IFERROR(VLOOKUP(F8678,CARTON_LOOKUP!$A:$E,3,0),"")</f>
      </c>
      <c r="H8678" s="28">
        <f>IFERROR(VLOOKUP(F8678,CARTON_LOOKUP!$A:$E,4,0),"")</f>
      </c>
      <c r="I8678" s="28">
        <f>IFERROR(VLOOKUP(F8678,CARTON_LOOKUP!$A:$E,5,0),"")</f>
      </c>
      <c r="J8678" s="29">
        <f>IFERROR(VLOOKUP(F8678,CARTON_LOOKUP!$A:$E,2,0),"")</f>
      </c>
      <c r="K8678" s="29">
        <f>IFERROR(J8678*D8678,0)</f>
      </c>
      <c r="L8678" s="29">
        <f>IFERROR(E8678*C8678,0)</f>
      </c>
      <c r="M8678" s="29">
        <f>IFERROR((G8678*H8678*I8678/1000000)*D8678,0)</f>
      </c>
    </row>
    <row r="8679" spans="1:13" x14ac:dyDescent="0.25">
      <c r="A8679" s="16"/>
      <c r="E8679" s="27"/>
      <c r="F8679" t="s">
        <v>26</v>
      </c>
      <c r="G8679" s="28">
        <f>IFERROR(VLOOKUP(F8679,CARTON_LOOKUP!$A:$E,3,0),"")</f>
      </c>
      <c r="H8679" s="28">
        <f>IFERROR(VLOOKUP(F8679,CARTON_LOOKUP!$A:$E,4,0),"")</f>
      </c>
      <c r="I8679" s="28">
        <f>IFERROR(VLOOKUP(F8679,CARTON_LOOKUP!$A:$E,5,0),"")</f>
      </c>
      <c r="J8679" s="29">
        <f>IFERROR(VLOOKUP(F8679,CARTON_LOOKUP!$A:$E,2,0),"")</f>
      </c>
      <c r="K8679" s="29">
        <f>IFERROR(J8679*D8679,0)</f>
      </c>
      <c r="L8679" s="29">
        <f>IFERROR(E8679*C8679,0)</f>
      </c>
      <c r="M8679" s="29">
        <f>IFERROR((G8679*H8679*I8679/1000000)*D8679,0)</f>
      </c>
    </row>
    <row r="8680" spans="1:13" x14ac:dyDescent="0.25">
      <c r="A8680" s="16"/>
      <c r="E8680" s="27"/>
      <c r="F8680" t="s">
        <v>26</v>
      </c>
      <c r="G8680" s="28">
        <f>IFERROR(VLOOKUP(F8680,CARTON_LOOKUP!$A:$E,3,0),"")</f>
      </c>
      <c r="H8680" s="28">
        <f>IFERROR(VLOOKUP(F8680,CARTON_LOOKUP!$A:$E,4,0),"")</f>
      </c>
      <c r="I8680" s="28">
        <f>IFERROR(VLOOKUP(F8680,CARTON_LOOKUP!$A:$E,5,0),"")</f>
      </c>
      <c r="J8680" s="29">
        <f>IFERROR(VLOOKUP(F8680,CARTON_LOOKUP!$A:$E,2,0),"")</f>
      </c>
      <c r="K8680" s="29">
        <f>IFERROR(J8680*D8680,0)</f>
      </c>
      <c r="L8680" s="29">
        <f>IFERROR(E8680*C8680,0)</f>
      </c>
      <c r="M8680" s="29">
        <f>IFERROR((G8680*H8680*I8680/1000000)*D8680,0)</f>
      </c>
    </row>
    <row r="8681" spans="1:13" x14ac:dyDescent="0.25">
      <c r="A8681" s="16"/>
      <c r="E8681" s="27"/>
      <c r="F8681" t="s">
        <v>26</v>
      </c>
      <c r="G8681" s="28">
        <f>IFERROR(VLOOKUP(F8681,CARTON_LOOKUP!$A:$E,3,0),"")</f>
      </c>
      <c r="H8681" s="28">
        <f>IFERROR(VLOOKUP(F8681,CARTON_LOOKUP!$A:$E,4,0),"")</f>
      </c>
      <c r="I8681" s="28">
        <f>IFERROR(VLOOKUP(F8681,CARTON_LOOKUP!$A:$E,5,0),"")</f>
      </c>
      <c r="J8681" s="29">
        <f>IFERROR(VLOOKUP(F8681,CARTON_LOOKUP!$A:$E,2,0),"")</f>
      </c>
      <c r="K8681" s="29">
        <f>IFERROR(J8681*D8681,0)</f>
      </c>
      <c r="L8681" s="29">
        <f>IFERROR(E8681*C8681,0)</f>
      </c>
      <c r="M8681" s="29">
        <f>IFERROR((G8681*H8681*I8681/1000000)*D8681,0)</f>
      </c>
    </row>
    <row r="8682" spans="1:13" x14ac:dyDescent="0.25">
      <c r="A8682" s="16"/>
      <c r="E8682" s="27"/>
      <c r="F8682" t="s">
        <v>26</v>
      </c>
      <c r="G8682" s="28">
        <f>IFERROR(VLOOKUP(F8682,CARTON_LOOKUP!$A:$E,3,0),"")</f>
      </c>
      <c r="H8682" s="28">
        <f>IFERROR(VLOOKUP(F8682,CARTON_LOOKUP!$A:$E,4,0),"")</f>
      </c>
      <c r="I8682" s="28">
        <f>IFERROR(VLOOKUP(F8682,CARTON_LOOKUP!$A:$E,5,0),"")</f>
      </c>
      <c r="J8682" s="29">
        <f>IFERROR(VLOOKUP(F8682,CARTON_LOOKUP!$A:$E,2,0),"")</f>
      </c>
      <c r="K8682" s="29">
        <f>IFERROR(J8682*D8682,0)</f>
      </c>
      <c r="L8682" s="29">
        <f>IFERROR(E8682*C8682,0)</f>
      </c>
      <c r="M8682" s="29">
        <f>IFERROR((G8682*H8682*I8682/1000000)*D8682,0)</f>
      </c>
    </row>
    <row r="8683" spans="1:13" x14ac:dyDescent="0.25">
      <c r="A8683" s="16"/>
      <c r="E8683" s="27"/>
      <c r="F8683" t="s">
        <v>26</v>
      </c>
      <c r="G8683" s="28">
        <f>IFERROR(VLOOKUP(F8683,CARTON_LOOKUP!$A:$E,3,0),"")</f>
      </c>
      <c r="H8683" s="28">
        <f>IFERROR(VLOOKUP(F8683,CARTON_LOOKUP!$A:$E,4,0),"")</f>
      </c>
      <c r="I8683" s="28">
        <f>IFERROR(VLOOKUP(F8683,CARTON_LOOKUP!$A:$E,5,0),"")</f>
      </c>
      <c r="J8683" s="29">
        <f>IFERROR(VLOOKUP(F8683,CARTON_LOOKUP!$A:$E,2,0),"")</f>
      </c>
      <c r="K8683" s="29">
        <f>IFERROR(J8683*D8683,0)</f>
      </c>
      <c r="L8683" s="29">
        <f>IFERROR(E8683*C8683,0)</f>
      </c>
      <c r="M8683" s="29">
        <f>IFERROR((G8683*H8683*I8683/1000000)*D8683,0)</f>
      </c>
    </row>
    <row r="8684" spans="1:13" x14ac:dyDescent="0.25">
      <c r="A8684" s="16"/>
      <c r="E8684" s="27"/>
      <c r="F8684" t="s">
        <v>26</v>
      </c>
      <c r="G8684" s="28">
        <f>IFERROR(VLOOKUP(F8684,CARTON_LOOKUP!$A:$E,3,0),"")</f>
      </c>
      <c r="H8684" s="28">
        <f>IFERROR(VLOOKUP(F8684,CARTON_LOOKUP!$A:$E,4,0),"")</f>
      </c>
      <c r="I8684" s="28">
        <f>IFERROR(VLOOKUP(F8684,CARTON_LOOKUP!$A:$E,5,0),"")</f>
      </c>
      <c r="J8684" s="29">
        <f>IFERROR(VLOOKUP(F8684,CARTON_LOOKUP!$A:$E,2,0),"")</f>
      </c>
      <c r="K8684" s="29">
        <f>IFERROR(J8684*D8684,0)</f>
      </c>
      <c r="L8684" s="29">
        <f>IFERROR(E8684*C8684,0)</f>
      </c>
      <c r="M8684" s="29">
        <f>IFERROR((G8684*H8684*I8684/1000000)*D8684,0)</f>
      </c>
    </row>
    <row r="8685" spans="1:13" x14ac:dyDescent="0.25">
      <c r="A8685" s="16"/>
      <c r="E8685" s="27"/>
      <c r="F8685" t="s">
        <v>26</v>
      </c>
      <c r="G8685" s="28">
        <f>IFERROR(VLOOKUP(F8685,CARTON_LOOKUP!$A:$E,3,0),"")</f>
      </c>
      <c r="H8685" s="28">
        <f>IFERROR(VLOOKUP(F8685,CARTON_LOOKUP!$A:$E,4,0),"")</f>
      </c>
      <c r="I8685" s="28">
        <f>IFERROR(VLOOKUP(F8685,CARTON_LOOKUP!$A:$E,5,0),"")</f>
      </c>
      <c r="J8685" s="29">
        <f>IFERROR(VLOOKUP(F8685,CARTON_LOOKUP!$A:$E,2,0),"")</f>
      </c>
      <c r="K8685" s="29">
        <f>IFERROR(J8685*D8685,0)</f>
      </c>
      <c r="L8685" s="29">
        <f>IFERROR(E8685*C8685,0)</f>
      </c>
      <c r="M8685" s="29">
        <f>IFERROR((G8685*H8685*I8685/1000000)*D8685,0)</f>
      </c>
    </row>
    <row r="8686" spans="1:13" x14ac:dyDescent="0.25">
      <c r="A8686" s="16"/>
      <c r="E8686" s="27"/>
      <c r="F8686" t="s">
        <v>26</v>
      </c>
      <c r="G8686" s="28">
        <f>IFERROR(VLOOKUP(F8686,CARTON_LOOKUP!$A:$E,3,0),"")</f>
      </c>
      <c r="H8686" s="28">
        <f>IFERROR(VLOOKUP(F8686,CARTON_LOOKUP!$A:$E,4,0),"")</f>
      </c>
      <c r="I8686" s="28">
        <f>IFERROR(VLOOKUP(F8686,CARTON_LOOKUP!$A:$E,5,0),"")</f>
      </c>
      <c r="J8686" s="29">
        <f>IFERROR(VLOOKUP(F8686,CARTON_LOOKUP!$A:$E,2,0),"")</f>
      </c>
      <c r="K8686" s="29">
        <f>IFERROR(J8686*D8686,0)</f>
      </c>
      <c r="L8686" s="29">
        <f>IFERROR(E8686*C8686,0)</f>
      </c>
      <c r="M8686" s="29">
        <f>IFERROR((G8686*H8686*I8686/1000000)*D8686,0)</f>
      </c>
    </row>
    <row r="8687" spans="1:13" x14ac:dyDescent="0.25">
      <c r="A8687" s="16"/>
      <c r="E8687" s="27"/>
      <c r="F8687" t="s">
        <v>26</v>
      </c>
      <c r="G8687" s="28">
        <f>IFERROR(VLOOKUP(F8687,CARTON_LOOKUP!$A:$E,3,0),"")</f>
      </c>
      <c r="H8687" s="28">
        <f>IFERROR(VLOOKUP(F8687,CARTON_LOOKUP!$A:$E,4,0),"")</f>
      </c>
      <c r="I8687" s="28">
        <f>IFERROR(VLOOKUP(F8687,CARTON_LOOKUP!$A:$E,5,0),"")</f>
      </c>
      <c r="J8687" s="29">
        <f>IFERROR(VLOOKUP(F8687,CARTON_LOOKUP!$A:$E,2,0),"")</f>
      </c>
      <c r="K8687" s="29">
        <f>IFERROR(J8687*D8687,0)</f>
      </c>
      <c r="L8687" s="29">
        <f>IFERROR(E8687*C8687,0)</f>
      </c>
      <c r="M8687" s="29">
        <f>IFERROR((G8687*H8687*I8687/1000000)*D8687,0)</f>
      </c>
    </row>
    <row r="8688" spans="1:13" x14ac:dyDescent="0.25">
      <c r="A8688" s="16"/>
      <c r="E8688" s="27"/>
      <c r="F8688" t="s">
        <v>26</v>
      </c>
      <c r="G8688" s="28">
        <f>IFERROR(VLOOKUP(F8688,CARTON_LOOKUP!$A:$E,3,0),"")</f>
      </c>
      <c r="H8688" s="28">
        <f>IFERROR(VLOOKUP(F8688,CARTON_LOOKUP!$A:$E,4,0),"")</f>
      </c>
      <c r="I8688" s="28">
        <f>IFERROR(VLOOKUP(F8688,CARTON_LOOKUP!$A:$E,5,0),"")</f>
      </c>
      <c r="J8688" s="29">
        <f>IFERROR(VLOOKUP(F8688,CARTON_LOOKUP!$A:$E,2,0),"")</f>
      </c>
      <c r="K8688" s="29">
        <f>IFERROR(J8688*D8688,0)</f>
      </c>
      <c r="L8688" s="29">
        <f>IFERROR(E8688*C8688,0)</f>
      </c>
      <c r="M8688" s="29">
        <f>IFERROR((G8688*H8688*I8688/1000000)*D8688,0)</f>
      </c>
    </row>
    <row r="8689" spans="1:13" x14ac:dyDescent="0.25">
      <c r="A8689" s="16"/>
      <c r="E8689" s="27"/>
      <c r="F8689" t="s">
        <v>26</v>
      </c>
      <c r="G8689" s="28">
        <f>IFERROR(VLOOKUP(F8689,CARTON_LOOKUP!$A:$E,3,0),"")</f>
      </c>
      <c r="H8689" s="28">
        <f>IFERROR(VLOOKUP(F8689,CARTON_LOOKUP!$A:$E,4,0),"")</f>
      </c>
      <c r="I8689" s="28">
        <f>IFERROR(VLOOKUP(F8689,CARTON_LOOKUP!$A:$E,5,0),"")</f>
      </c>
      <c r="J8689" s="29">
        <f>IFERROR(VLOOKUP(F8689,CARTON_LOOKUP!$A:$E,2,0),"")</f>
      </c>
      <c r="K8689" s="29">
        <f>IFERROR(J8689*D8689,0)</f>
      </c>
      <c r="L8689" s="29">
        <f>IFERROR(E8689*C8689,0)</f>
      </c>
      <c r="M8689" s="29">
        <f>IFERROR((G8689*H8689*I8689/1000000)*D8689,0)</f>
      </c>
    </row>
    <row r="8690" spans="1:13" x14ac:dyDescent="0.25">
      <c r="A8690" s="16"/>
      <c r="E8690" s="27"/>
      <c r="F8690" t="s">
        <v>26</v>
      </c>
      <c r="G8690" s="28">
        <f>IFERROR(VLOOKUP(F8690,CARTON_LOOKUP!$A:$E,3,0),"")</f>
      </c>
      <c r="H8690" s="28">
        <f>IFERROR(VLOOKUP(F8690,CARTON_LOOKUP!$A:$E,4,0),"")</f>
      </c>
      <c r="I8690" s="28">
        <f>IFERROR(VLOOKUP(F8690,CARTON_LOOKUP!$A:$E,5,0),"")</f>
      </c>
      <c r="J8690" s="29">
        <f>IFERROR(VLOOKUP(F8690,CARTON_LOOKUP!$A:$E,2,0),"")</f>
      </c>
      <c r="K8690" s="29">
        <f>IFERROR(J8690*D8690,0)</f>
      </c>
      <c r="L8690" s="29">
        <f>IFERROR(E8690*C8690,0)</f>
      </c>
      <c r="M8690" s="29">
        <f>IFERROR((G8690*H8690*I8690/1000000)*D8690,0)</f>
      </c>
    </row>
    <row r="8691" spans="1:13" x14ac:dyDescent="0.25">
      <c r="A8691" s="16"/>
      <c r="E8691" s="27"/>
      <c r="F8691" t="s">
        <v>26</v>
      </c>
      <c r="G8691" s="28">
        <f>IFERROR(VLOOKUP(F8691,CARTON_LOOKUP!$A:$E,3,0),"")</f>
      </c>
      <c r="H8691" s="28">
        <f>IFERROR(VLOOKUP(F8691,CARTON_LOOKUP!$A:$E,4,0),"")</f>
      </c>
      <c r="I8691" s="28">
        <f>IFERROR(VLOOKUP(F8691,CARTON_LOOKUP!$A:$E,5,0),"")</f>
      </c>
      <c r="J8691" s="29">
        <f>IFERROR(VLOOKUP(F8691,CARTON_LOOKUP!$A:$E,2,0),"")</f>
      </c>
      <c r="K8691" s="29">
        <f>IFERROR(J8691*D8691,0)</f>
      </c>
      <c r="L8691" s="29">
        <f>IFERROR(E8691*C8691,0)</f>
      </c>
      <c r="M8691" s="29">
        <f>IFERROR((G8691*H8691*I8691/1000000)*D8691,0)</f>
      </c>
    </row>
    <row r="8692" spans="1:13" x14ac:dyDescent="0.25">
      <c r="A8692" s="16"/>
      <c r="E8692" s="27"/>
      <c r="F8692" t="s">
        <v>26</v>
      </c>
      <c r="G8692" s="28">
        <f>IFERROR(VLOOKUP(F8692,CARTON_LOOKUP!$A:$E,3,0),"")</f>
      </c>
      <c r="H8692" s="28">
        <f>IFERROR(VLOOKUP(F8692,CARTON_LOOKUP!$A:$E,4,0),"")</f>
      </c>
      <c r="I8692" s="28">
        <f>IFERROR(VLOOKUP(F8692,CARTON_LOOKUP!$A:$E,5,0),"")</f>
      </c>
      <c r="J8692" s="29">
        <f>IFERROR(VLOOKUP(F8692,CARTON_LOOKUP!$A:$E,2,0),"")</f>
      </c>
      <c r="K8692" s="29">
        <f>IFERROR(J8692*D8692,0)</f>
      </c>
      <c r="L8692" s="29">
        <f>IFERROR(E8692*C8692,0)</f>
      </c>
      <c r="M8692" s="29">
        <f>IFERROR((G8692*H8692*I8692/1000000)*D8692,0)</f>
      </c>
    </row>
    <row r="8693" spans="1:13" x14ac:dyDescent="0.25">
      <c r="A8693" s="16"/>
      <c r="E8693" s="27"/>
      <c r="F8693" t="s">
        <v>26</v>
      </c>
      <c r="G8693" s="28">
        <f>IFERROR(VLOOKUP(F8693,CARTON_LOOKUP!$A:$E,3,0),"")</f>
      </c>
      <c r="H8693" s="28">
        <f>IFERROR(VLOOKUP(F8693,CARTON_LOOKUP!$A:$E,4,0),"")</f>
      </c>
      <c r="I8693" s="28">
        <f>IFERROR(VLOOKUP(F8693,CARTON_LOOKUP!$A:$E,5,0),"")</f>
      </c>
      <c r="J8693" s="29">
        <f>IFERROR(VLOOKUP(F8693,CARTON_LOOKUP!$A:$E,2,0),"")</f>
      </c>
      <c r="K8693" s="29">
        <f>IFERROR(J8693*D8693,0)</f>
      </c>
      <c r="L8693" s="29">
        <f>IFERROR(E8693*C8693,0)</f>
      </c>
      <c r="M8693" s="29">
        <f>IFERROR((G8693*H8693*I8693/1000000)*D8693,0)</f>
      </c>
    </row>
    <row r="8694" spans="1:13" x14ac:dyDescent="0.25">
      <c r="A8694" s="16"/>
      <c r="E8694" s="27"/>
      <c r="F8694" t="s">
        <v>26</v>
      </c>
      <c r="G8694" s="28">
        <f>IFERROR(VLOOKUP(F8694,CARTON_LOOKUP!$A:$E,3,0),"")</f>
      </c>
      <c r="H8694" s="28">
        <f>IFERROR(VLOOKUP(F8694,CARTON_LOOKUP!$A:$E,4,0),"")</f>
      </c>
      <c r="I8694" s="28">
        <f>IFERROR(VLOOKUP(F8694,CARTON_LOOKUP!$A:$E,5,0),"")</f>
      </c>
      <c r="J8694" s="29">
        <f>IFERROR(VLOOKUP(F8694,CARTON_LOOKUP!$A:$E,2,0),"")</f>
      </c>
      <c r="K8694" s="29">
        <f>IFERROR(J8694*D8694,0)</f>
      </c>
      <c r="L8694" s="29">
        <f>IFERROR(E8694*C8694,0)</f>
      </c>
      <c r="M8694" s="29">
        <f>IFERROR((G8694*H8694*I8694/1000000)*D8694,0)</f>
      </c>
    </row>
    <row r="8695" spans="1:13" x14ac:dyDescent="0.25">
      <c r="A8695" s="16"/>
      <c r="E8695" s="27"/>
      <c r="F8695" t="s">
        <v>26</v>
      </c>
      <c r="G8695" s="28">
        <f>IFERROR(VLOOKUP(F8695,CARTON_LOOKUP!$A:$E,3,0),"")</f>
      </c>
      <c r="H8695" s="28">
        <f>IFERROR(VLOOKUP(F8695,CARTON_LOOKUP!$A:$E,4,0),"")</f>
      </c>
      <c r="I8695" s="28">
        <f>IFERROR(VLOOKUP(F8695,CARTON_LOOKUP!$A:$E,5,0),"")</f>
      </c>
      <c r="J8695" s="29">
        <f>IFERROR(VLOOKUP(F8695,CARTON_LOOKUP!$A:$E,2,0),"")</f>
      </c>
      <c r="K8695" s="29">
        <f>IFERROR(J8695*D8695,0)</f>
      </c>
      <c r="L8695" s="29">
        <f>IFERROR(E8695*C8695,0)</f>
      </c>
      <c r="M8695" s="29">
        <f>IFERROR((G8695*H8695*I8695/1000000)*D8695,0)</f>
      </c>
    </row>
    <row r="8696" spans="1:13" x14ac:dyDescent="0.25">
      <c r="A8696" s="16"/>
      <c r="E8696" s="27"/>
      <c r="F8696" t="s">
        <v>26</v>
      </c>
      <c r="G8696" s="28">
        <f>IFERROR(VLOOKUP(F8696,CARTON_LOOKUP!$A:$E,3,0),"")</f>
      </c>
      <c r="H8696" s="28">
        <f>IFERROR(VLOOKUP(F8696,CARTON_LOOKUP!$A:$E,4,0),"")</f>
      </c>
      <c r="I8696" s="28">
        <f>IFERROR(VLOOKUP(F8696,CARTON_LOOKUP!$A:$E,5,0),"")</f>
      </c>
      <c r="J8696" s="29">
        <f>IFERROR(VLOOKUP(F8696,CARTON_LOOKUP!$A:$E,2,0),"")</f>
      </c>
      <c r="K8696" s="29">
        <f>IFERROR(J8696*D8696,0)</f>
      </c>
      <c r="L8696" s="29">
        <f>IFERROR(E8696*C8696,0)</f>
      </c>
      <c r="M8696" s="29">
        <f>IFERROR((G8696*H8696*I8696/1000000)*D8696,0)</f>
      </c>
    </row>
    <row r="8697" spans="1:13" x14ac:dyDescent="0.25">
      <c r="A8697" s="16"/>
      <c r="E8697" s="27"/>
      <c r="F8697" t="s">
        <v>26</v>
      </c>
      <c r="G8697" s="28">
        <f>IFERROR(VLOOKUP(F8697,CARTON_LOOKUP!$A:$E,3,0),"")</f>
      </c>
      <c r="H8697" s="28">
        <f>IFERROR(VLOOKUP(F8697,CARTON_LOOKUP!$A:$E,4,0),"")</f>
      </c>
      <c r="I8697" s="28">
        <f>IFERROR(VLOOKUP(F8697,CARTON_LOOKUP!$A:$E,5,0),"")</f>
      </c>
      <c r="J8697" s="29">
        <f>IFERROR(VLOOKUP(F8697,CARTON_LOOKUP!$A:$E,2,0),"")</f>
      </c>
      <c r="K8697" s="29">
        <f>IFERROR(J8697*D8697,0)</f>
      </c>
      <c r="L8697" s="29">
        <f>IFERROR(E8697*C8697,0)</f>
      </c>
      <c r="M8697" s="29">
        <f>IFERROR((G8697*H8697*I8697/1000000)*D8697,0)</f>
      </c>
    </row>
    <row r="8698" spans="1:13" x14ac:dyDescent="0.25">
      <c r="A8698" s="16"/>
      <c r="E8698" s="27"/>
      <c r="F8698" t="s">
        <v>26</v>
      </c>
      <c r="G8698" s="28">
        <f>IFERROR(VLOOKUP(F8698,CARTON_LOOKUP!$A:$E,3,0),"")</f>
      </c>
      <c r="H8698" s="28">
        <f>IFERROR(VLOOKUP(F8698,CARTON_LOOKUP!$A:$E,4,0),"")</f>
      </c>
      <c r="I8698" s="28">
        <f>IFERROR(VLOOKUP(F8698,CARTON_LOOKUP!$A:$E,5,0),"")</f>
      </c>
      <c r="J8698" s="29">
        <f>IFERROR(VLOOKUP(F8698,CARTON_LOOKUP!$A:$E,2,0),"")</f>
      </c>
      <c r="K8698" s="29">
        <f>IFERROR(J8698*D8698,0)</f>
      </c>
      <c r="L8698" s="29">
        <f>IFERROR(E8698*C8698,0)</f>
      </c>
      <c r="M8698" s="29">
        <f>IFERROR((G8698*H8698*I8698/1000000)*D8698,0)</f>
      </c>
    </row>
    <row r="8699" spans="1:13" x14ac:dyDescent="0.25">
      <c r="A8699" s="16"/>
      <c r="E8699" s="27"/>
      <c r="F8699" t="s">
        <v>26</v>
      </c>
      <c r="G8699" s="28">
        <f>IFERROR(VLOOKUP(F8699,CARTON_LOOKUP!$A:$E,3,0),"")</f>
      </c>
      <c r="H8699" s="28">
        <f>IFERROR(VLOOKUP(F8699,CARTON_LOOKUP!$A:$E,4,0),"")</f>
      </c>
      <c r="I8699" s="28">
        <f>IFERROR(VLOOKUP(F8699,CARTON_LOOKUP!$A:$E,5,0),"")</f>
      </c>
      <c r="J8699" s="29">
        <f>IFERROR(VLOOKUP(F8699,CARTON_LOOKUP!$A:$E,2,0),"")</f>
      </c>
      <c r="K8699" s="29">
        <f>IFERROR(J8699*D8699,0)</f>
      </c>
      <c r="L8699" s="29">
        <f>IFERROR(E8699*C8699,0)</f>
      </c>
      <c r="M8699" s="29">
        <f>IFERROR((G8699*H8699*I8699/1000000)*D8699,0)</f>
      </c>
    </row>
    <row r="8700" spans="1:13" x14ac:dyDescent="0.25">
      <c r="A8700" s="16"/>
      <c r="E8700" s="27"/>
      <c r="F8700" t="s">
        <v>26</v>
      </c>
      <c r="G8700" s="28">
        <f>IFERROR(VLOOKUP(F8700,CARTON_LOOKUP!$A:$E,3,0),"")</f>
      </c>
      <c r="H8700" s="28">
        <f>IFERROR(VLOOKUP(F8700,CARTON_LOOKUP!$A:$E,4,0),"")</f>
      </c>
      <c r="I8700" s="28">
        <f>IFERROR(VLOOKUP(F8700,CARTON_LOOKUP!$A:$E,5,0),"")</f>
      </c>
      <c r="J8700" s="29">
        <f>IFERROR(VLOOKUP(F8700,CARTON_LOOKUP!$A:$E,2,0),"")</f>
      </c>
      <c r="K8700" s="29">
        <f>IFERROR(J8700*D8700,0)</f>
      </c>
      <c r="L8700" s="29">
        <f>IFERROR(E8700*C8700,0)</f>
      </c>
      <c r="M8700" s="29">
        <f>IFERROR((G8700*H8700*I8700/1000000)*D8700,0)</f>
      </c>
    </row>
    <row r="8701" spans="1:13" x14ac:dyDescent="0.25">
      <c r="A8701" s="16"/>
      <c r="E8701" s="27"/>
      <c r="F8701" t="s">
        <v>26</v>
      </c>
      <c r="G8701" s="28">
        <f>IFERROR(VLOOKUP(F8701,CARTON_LOOKUP!$A:$E,3,0),"")</f>
      </c>
      <c r="H8701" s="28">
        <f>IFERROR(VLOOKUP(F8701,CARTON_LOOKUP!$A:$E,4,0),"")</f>
      </c>
      <c r="I8701" s="28">
        <f>IFERROR(VLOOKUP(F8701,CARTON_LOOKUP!$A:$E,5,0),"")</f>
      </c>
      <c r="J8701" s="29">
        <f>IFERROR(VLOOKUP(F8701,CARTON_LOOKUP!$A:$E,2,0),"")</f>
      </c>
      <c r="K8701" s="29">
        <f>IFERROR(J8701*D8701,0)</f>
      </c>
      <c r="L8701" s="29">
        <f>IFERROR(E8701*C8701,0)</f>
      </c>
      <c r="M8701" s="29">
        <f>IFERROR((G8701*H8701*I8701/1000000)*D8701,0)</f>
      </c>
    </row>
    <row r="8702" spans="1:13" x14ac:dyDescent="0.25">
      <c r="A8702" s="16"/>
      <c r="E8702" s="27"/>
      <c r="F8702" t="s">
        <v>26</v>
      </c>
      <c r="G8702" s="28">
        <f>IFERROR(VLOOKUP(F8702,CARTON_LOOKUP!$A:$E,3,0),"")</f>
      </c>
      <c r="H8702" s="28">
        <f>IFERROR(VLOOKUP(F8702,CARTON_LOOKUP!$A:$E,4,0),"")</f>
      </c>
      <c r="I8702" s="28">
        <f>IFERROR(VLOOKUP(F8702,CARTON_LOOKUP!$A:$E,5,0),"")</f>
      </c>
      <c r="J8702" s="29">
        <f>IFERROR(VLOOKUP(F8702,CARTON_LOOKUP!$A:$E,2,0),"")</f>
      </c>
      <c r="K8702" s="29">
        <f>IFERROR(J8702*D8702,0)</f>
      </c>
      <c r="L8702" s="29">
        <f>IFERROR(E8702*C8702,0)</f>
      </c>
      <c r="M8702" s="29">
        <f>IFERROR((G8702*H8702*I8702/1000000)*D8702,0)</f>
      </c>
    </row>
    <row r="8703" spans="1:13" x14ac:dyDescent="0.25">
      <c r="A8703" s="16"/>
      <c r="E8703" s="27"/>
      <c r="F8703" t="s">
        <v>26</v>
      </c>
      <c r="G8703" s="28">
        <f>IFERROR(VLOOKUP(F8703,CARTON_LOOKUP!$A:$E,3,0),"")</f>
      </c>
      <c r="H8703" s="28">
        <f>IFERROR(VLOOKUP(F8703,CARTON_LOOKUP!$A:$E,4,0),"")</f>
      </c>
      <c r="I8703" s="28">
        <f>IFERROR(VLOOKUP(F8703,CARTON_LOOKUP!$A:$E,5,0),"")</f>
      </c>
      <c r="J8703" s="29">
        <f>IFERROR(VLOOKUP(F8703,CARTON_LOOKUP!$A:$E,2,0),"")</f>
      </c>
      <c r="K8703" s="29">
        <f>IFERROR(J8703*D8703,0)</f>
      </c>
      <c r="L8703" s="29">
        <f>IFERROR(E8703*C8703,0)</f>
      </c>
      <c r="M8703" s="29">
        <f>IFERROR((G8703*H8703*I8703/1000000)*D8703,0)</f>
      </c>
    </row>
    <row r="8704" spans="1:13" x14ac:dyDescent="0.25">
      <c r="A8704" s="16"/>
      <c r="E8704" s="27"/>
      <c r="F8704" t="s">
        <v>26</v>
      </c>
      <c r="G8704" s="28">
        <f>IFERROR(VLOOKUP(F8704,CARTON_LOOKUP!$A:$E,3,0),"")</f>
      </c>
      <c r="H8704" s="28">
        <f>IFERROR(VLOOKUP(F8704,CARTON_LOOKUP!$A:$E,4,0),"")</f>
      </c>
      <c r="I8704" s="28">
        <f>IFERROR(VLOOKUP(F8704,CARTON_LOOKUP!$A:$E,5,0),"")</f>
      </c>
      <c r="J8704" s="29">
        <f>IFERROR(VLOOKUP(F8704,CARTON_LOOKUP!$A:$E,2,0),"")</f>
      </c>
      <c r="K8704" s="29">
        <f>IFERROR(J8704*D8704,0)</f>
      </c>
      <c r="L8704" s="29">
        <f>IFERROR(E8704*C8704,0)</f>
      </c>
      <c r="M8704" s="29">
        <f>IFERROR((G8704*H8704*I8704/1000000)*D8704,0)</f>
      </c>
    </row>
    <row r="8705" spans="1:13" x14ac:dyDescent="0.25">
      <c r="A8705" s="16"/>
      <c r="E8705" s="27"/>
      <c r="F8705" t="s">
        <v>26</v>
      </c>
      <c r="G8705" s="28">
        <f>IFERROR(VLOOKUP(F8705,CARTON_LOOKUP!$A:$E,3,0),"")</f>
      </c>
      <c r="H8705" s="28">
        <f>IFERROR(VLOOKUP(F8705,CARTON_LOOKUP!$A:$E,4,0),"")</f>
      </c>
      <c r="I8705" s="28">
        <f>IFERROR(VLOOKUP(F8705,CARTON_LOOKUP!$A:$E,5,0),"")</f>
      </c>
      <c r="J8705" s="29">
        <f>IFERROR(VLOOKUP(F8705,CARTON_LOOKUP!$A:$E,2,0),"")</f>
      </c>
      <c r="K8705" s="29">
        <f>IFERROR(J8705*D8705,0)</f>
      </c>
      <c r="L8705" s="29">
        <f>IFERROR(E8705*C8705,0)</f>
      </c>
      <c r="M8705" s="29">
        <f>IFERROR((G8705*H8705*I8705/1000000)*D8705,0)</f>
      </c>
    </row>
    <row r="8706" spans="1:13" x14ac:dyDescent="0.25">
      <c r="A8706" s="16"/>
      <c r="E8706" s="27"/>
      <c r="F8706" t="s">
        <v>26</v>
      </c>
      <c r="G8706" s="28">
        <f>IFERROR(VLOOKUP(F8706,CARTON_LOOKUP!$A:$E,3,0),"")</f>
      </c>
      <c r="H8706" s="28">
        <f>IFERROR(VLOOKUP(F8706,CARTON_LOOKUP!$A:$E,4,0),"")</f>
      </c>
      <c r="I8706" s="28">
        <f>IFERROR(VLOOKUP(F8706,CARTON_LOOKUP!$A:$E,5,0),"")</f>
      </c>
      <c r="J8706" s="29">
        <f>IFERROR(VLOOKUP(F8706,CARTON_LOOKUP!$A:$E,2,0),"")</f>
      </c>
      <c r="K8706" s="29">
        <f>IFERROR(J8706*D8706,0)</f>
      </c>
      <c r="L8706" s="29">
        <f>IFERROR(E8706*C8706,0)</f>
      </c>
      <c r="M8706" s="29">
        <f>IFERROR((G8706*H8706*I8706/1000000)*D8706,0)</f>
      </c>
    </row>
    <row r="8707" spans="1:13" x14ac:dyDescent="0.25">
      <c r="A8707" s="16"/>
      <c r="E8707" s="27"/>
      <c r="F8707" t="s">
        <v>26</v>
      </c>
      <c r="G8707" s="28">
        <f>IFERROR(VLOOKUP(F8707,CARTON_LOOKUP!$A:$E,3,0),"")</f>
      </c>
      <c r="H8707" s="28">
        <f>IFERROR(VLOOKUP(F8707,CARTON_LOOKUP!$A:$E,4,0),"")</f>
      </c>
      <c r="I8707" s="28">
        <f>IFERROR(VLOOKUP(F8707,CARTON_LOOKUP!$A:$E,5,0),"")</f>
      </c>
      <c r="J8707" s="29">
        <f>IFERROR(VLOOKUP(F8707,CARTON_LOOKUP!$A:$E,2,0),"")</f>
      </c>
      <c r="K8707" s="29">
        <f>IFERROR(J8707*D8707,0)</f>
      </c>
      <c r="L8707" s="29">
        <f>IFERROR(E8707*C8707,0)</f>
      </c>
      <c r="M8707" s="29">
        <f>IFERROR((G8707*H8707*I8707/1000000)*D8707,0)</f>
      </c>
    </row>
    <row r="8708" spans="1:13" x14ac:dyDescent="0.25">
      <c r="A8708" s="16"/>
      <c r="E8708" s="27"/>
      <c r="F8708" t="s">
        <v>26</v>
      </c>
      <c r="G8708" s="28">
        <f>IFERROR(VLOOKUP(F8708,CARTON_LOOKUP!$A:$E,3,0),"")</f>
      </c>
      <c r="H8708" s="28">
        <f>IFERROR(VLOOKUP(F8708,CARTON_LOOKUP!$A:$E,4,0),"")</f>
      </c>
      <c r="I8708" s="28">
        <f>IFERROR(VLOOKUP(F8708,CARTON_LOOKUP!$A:$E,5,0),"")</f>
      </c>
      <c r="J8708" s="29">
        <f>IFERROR(VLOOKUP(F8708,CARTON_LOOKUP!$A:$E,2,0),"")</f>
      </c>
      <c r="K8708" s="29">
        <f>IFERROR(J8708*D8708,0)</f>
      </c>
      <c r="L8708" s="29">
        <f>IFERROR(E8708*C8708,0)</f>
      </c>
      <c r="M8708" s="29">
        <f>IFERROR((G8708*H8708*I8708/1000000)*D8708,0)</f>
      </c>
    </row>
    <row r="8709" spans="1:13" x14ac:dyDescent="0.25">
      <c r="A8709" s="16"/>
      <c r="E8709" s="27"/>
      <c r="F8709" t="s">
        <v>26</v>
      </c>
      <c r="G8709" s="28">
        <f>IFERROR(VLOOKUP(F8709,CARTON_LOOKUP!$A:$E,3,0),"")</f>
      </c>
      <c r="H8709" s="28">
        <f>IFERROR(VLOOKUP(F8709,CARTON_LOOKUP!$A:$E,4,0),"")</f>
      </c>
      <c r="I8709" s="28">
        <f>IFERROR(VLOOKUP(F8709,CARTON_LOOKUP!$A:$E,5,0),"")</f>
      </c>
      <c r="J8709" s="29">
        <f>IFERROR(VLOOKUP(F8709,CARTON_LOOKUP!$A:$E,2,0),"")</f>
      </c>
      <c r="K8709" s="29">
        <f>IFERROR(J8709*D8709,0)</f>
      </c>
      <c r="L8709" s="29">
        <f>IFERROR(E8709*C8709,0)</f>
      </c>
      <c r="M8709" s="29">
        <f>IFERROR((G8709*H8709*I8709/1000000)*D8709,0)</f>
      </c>
    </row>
    <row r="8710" spans="1:13" x14ac:dyDescent="0.25">
      <c r="A8710" s="16"/>
      <c r="E8710" s="27"/>
      <c r="F8710" t="s">
        <v>26</v>
      </c>
      <c r="G8710" s="28">
        <f>IFERROR(VLOOKUP(F8710,CARTON_LOOKUP!$A:$E,3,0),"")</f>
      </c>
      <c r="H8710" s="28">
        <f>IFERROR(VLOOKUP(F8710,CARTON_LOOKUP!$A:$E,4,0),"")</f>
      </c>
      <c r="I8710" s="28">
        <f>IFERROR(VLOOKUP(F8710,CARTON_LOOKUP!$A:$E,5,0),"")</f>
      </c>
      <c r="J8710" s="29">
        <f>IFERROR(VLOOKUP(F8710,CARTON_LOOKUP!$A:$E,2,0),"")</f>
      </c>
      <c r="K8710" s="29">
        <f>IFERROR(J8710*D8710,0)</f>
      </c>
      <c r="L8710" s="29">
        <f>IFERROR(E8710*C8710,0)</f>
      </c>
      <c r="M8710" s="29">
        <f>IFERROR((G8710*H8710*I8710/1000000)*D8710,0)</f>
      </c>
    </row>
    <row r="8711" spans="1:13" x14ac:dyDescent="0.25">
      <c r="A8711" s="16"/>
      <c r="E8711" s="27"/>
      <c r="F8711" t="s">
        <v>26</v>
      </c>
      <c r="G8711" s="28">
        <f>IFERROR(VLOOKUP(F8711,CARTON_LOOKUP!$A:$E,3,0),"")</f>
      </c>
      <c r="H8711" s="28">
        <f>IFERROR(VLOOKUP(F8711,CARTON_LOOKUP!$A:$E,4,0),"")</f>
      </c>
      <c r="I8711" s="28">
        <f>IFERROR(VLOOKUP(F8711,CARTON_LOOKUP!$A:$E,5,0),"")</f>
      </c>
      <c r="J8711" s="29">
        <f>IFERROR(VLOOKUP(F8711,CARTON_LOOKUP!$A:$E,2,0),"")</f>
      </c>
      <c r="K8711" s="29">
        <f>IFERROR(J8711*D8711,0)</f>
      </c>
      <c r="L8711" s="29">
        <f>IFERROR(E8711*C8711,0)</f>
      </c>
      <c r="M8711" s="29">
        <f>IFERROR((G8711*H8711*I8711/1000000)*D8711,0)</f>
      </c>
    </row>
    <row r="8712" spans="1:13" x14ac:dyDescent="0.25">
      <c r="A8712" s="16"/>
      <c r="E8712" s="27"/>
      <c r="F8712" t="s">
        <v>26</v>
      </c>
      <c r="G8712" s="28">
        <f>IFERROR(VLOOKUP(F8712,CARTON_LOOKUP!$A:$E,3,0),"")</f>
      </c>
      <c r="H8712" s="28">
        <f>IFERROR(VLOOKUP(F8712,CARTON_LOOKUP!$A:$E,4,0),"")</f>
      </c>
      <c r="I8712" s="28">
        <f>IFERROR(VLOOKUP(F8712,CARTON_LOOKUP!$A:$E,5,0),"")</f>
      </c>
      <c r="J8712" s="29">
        <f>IFERROR(VLOOKUP(F8712,CARTON_LOOKUP!$A:$E,2,0),"")</f>
      </c>
      <c r="K8712" s="29">
        <f>IFERROR(J8712*D8712,0)</f>
      </c>
      <c r="L8712" s="29">
        <f>IFERROR(E8712*C8712,0)</f>
      </c>
      <c r="M8712" s="29">
        <f>IFERROR((G8712*H8712*I8712/1000000)*D8712,0)</f>
      </c>
    </row>
    <row r="8713" spans="1:13" x14ac:dyDescent="0.25">
      <c r="A8713" s="16"/>
      <c r="E8713" s="27"/>
      <c r="F8713" t="s">
        <v>26</v>
      </c>
      <c r="G8713" s="28">
        <f>IFERROR(VLOOKUP(F8713,CARTON_LOOKUP!$A:$E,3,0),"")</f>
      </c>
      <c r="H8713" s="28">
        <f>IFERROR(VLOOKUP(F8713,CARTON_LOOKUP!$A:$E,4,0),"")</f>
      </c>
      <c r="I8713" s="28">
        <f>IFERROR(VLOOKUP(F8713,CARTON_LOOKUP!$A:$E,5,0),"")</f>
      </c>
      <c r="J8713" s="29">
        <f>IFERROR(VLOOKUP(F8713,CARTON_LOOKUP!$A:$E,2,0),"")</f>
      </c>
      <c r="K8713" s="29">
        <f>IFERROR(J8713*D8713,0)</f>
      </c>
      <c r="L8713" s="29">
        <f>IFERROR(E8713*C8713,0)</f>
      </c>
      <c r="M8713" s="29">
        <f>IFERROR((G8713*H8713*I8713/1000000)*D8713,0)</f>
      </c>
    </row>
    <row r="8714" spans="1:13" x14ac:dyDescent="0.25">
      <c r="A8714" s="16"/>
      <c r="E8714" s="27"/>
      <c r="F8714" t="s">
        <v>26</v>
      </c>
      <c r="G8714" s="28">
        <f>IFERROR(VLOOKUP(F8714,CARTON_LOOKUP!$A:$E,3,0),"")</f>
      </c>
      <c r="H8714" s="28">
        <f>IFERROR(VLOOKUP(F8714,CARTON_LOOKUP!$A:$E,4,0),"")</f>
      </c>
      <c r="I8714" s="28">
        <f>IFERROR(VLOOKUP(F8714,CARTON_LOOKUP!$A:$E,5,0),"")</f>
      </c>
      <c r="J8714" s="29">
        <f>IFERROR(VLOOKUP(F8714,CARTON_LOOKUP!$A:$E,2,0),"")</f>
      </c>
      <c r="K8714" s="29">
        <f>IFERROR(J8714*D8714,0)</f>
      </c>
      <c r="L8714" s="29">
        <f>IFERROR(E8714*C8714,0)</f>
      </c>
      <c r="M8714" s="29">
        <f>IFERROR((G8714*H8714*I8714/1000000)*D8714,0)</f>
      </c>
    </row>
    <row r="8715" spans="1:13" x14ac:dyDescent="0.25">
      <c r="A8715" s="16"/>
      <c r="E8715" s="27"/>
      <c r="F8715" t="s">
        <v>26</v>
      </c>
      <c r="G8715" s="28">
        <f>IFERROR(VLOOKUP(F8715,CARTON_LOOKUP!$A:$E,3,0),"")</f>
      </c>
      <c r="H8715" s="28">
        <f>IFERROR(VLOOKUP(F8715,CARTON_LOOKUP!$A:$E,4,0),"")</f>
      </c>
      <c r="I8715" s="28">
        <f>IFERROR(VLOOKUP(F8715,CARTON_LOOKUP!$A:$E,5,0),"")</f>
      </c>
      <c r="J8715" s="29">
        <f>IFERROR(VLOOKUP(F8715,CARTON_LOOKUP!$A:$E,2,0),"")</f>
      </c>
      <c r="K8715" s="29">
        <f>IFERROR(J8715*D8715,0)</f>
      </c>
      <c r="L8715" s="29">
        <f>IFERROR(E8715*C8715,0)</f>
      </c>
      <c r="M8715" s="29">
        <f>IFERROR((G8715*H8715*I8715/1000000)*D8715,0)</f>
      </c>
    </row>
    <row r="8716" spans="1:13" x14ac:dyDescent="0.25">
      <c r="A8716" s="16"/>
      <c r="E8716" s="27"/>
      <c r="F8716" t="s">
        <v>26</v>
      </c>
      <c r="G8716" s="28">
        <f>IFERROR(VLOOKUP(F8716,CARTON_LOOKUP!$A:$E,3,0),"")</f>
      </c>
      <c r="H8716" s="28">
        <f>IFERROR(VLOOKUP(F8716,CARTON_LOOKUP!$A:$E,4,0),"")</f>
      </c>
      <c r="I8716" s="28">
        <f>IFERROR(VLOOKUP(F8716,CARTON_LOOKUP!$A:$E,5,0),"")</f>
      </c>
      <c r="J8716" s="29">
        <f>IFERROR(VLOOKUP(F8716,CARTON_LOOKUP!$A:$E,2,0),"")</f>
      </c>
      <c r="K8716" s="29">
        <f>IFERROR(J8716*D8716,0)</f>
      </c>
      <c r="L8716" s="29">
        <f>IFERROR(E8716*C8716,0)</f>
      </c>
      <c r="M8716" s="29">
        <f>IFERROR((G8716*H8716*I8716/1000000)*D8716,0)</f>
      </c>
    </row>
    <row r="8717" spans="1:13" x14ac:dyDescent="0.25">
      <c r="A8717" s="16"/>
      <c r="E8717" s="27"/>
      <c r="F8717" t="s">
        <v>26</v>
      </c>
      <c r="G8717" s="28">
        <f>IFERROR(VLOOKUP(F8717,CARTON_LOOKUP!$A:$E,3,0),"")</f>
      </c>
      <c r="H8717" s="28">
        <f>IFERROR(VLOOKUP(F8717,CARTON_LOOKUP!$A:$E,4,0),"")</f>
      </c>
      <c r="I8717" s="28">
        <f>IFERROR(VLOOKUP(F8717,CARTON_LOOKUP!$A:$E,5,0),"")</f>
      </c>
      <c r="J8717" s="29">
        <f>IFERROR(VLOOKUP(F8717,CARTON_LOOKUP!$A:$E,2,0),"")</f>
      </c>
      <c r="K8717" s="29">
        <f>IFERROR(J8717*D8717,0)</f>
      </c>
      <c r="L8717" s="29">
        <f>IFERROR(E8717*C8717,0)</f>
      </c>
      <c r="M8717" s="29">
        <f>IFERROR((G8717*H8717*I8717/1000000)*D8717,0)</f>
      </c>
    </row>
    <row r="8718" spans="1:13" x14ac:dyDescent="0.25">
      <c r="A8718" s="16"/>
      <c r="E8718" s="27"/>
      <c r="F8718" t="s">
        <v>26</v>
      </c>
      <c r="G8718" s="28">
        <f>IFERROR(VLOOKUP(F8718,CARTON_LOOKUP!$A:$E,3,0),"")</f>
      </c>
      <c r="H8718" s="28">
        <f>IFERROR(VLOOKUP(F8718,CARTON_LOOKUP!$A:$E,4,0),"")</f>
      </c>
      <c r="I8718" s="28">
        <f>IFERROR(VLOOKUP(F8718,CARTON_LOOKUP!$A:$E,5,0),"")</f>
      </c>
      <c r="J8718" s="29">
        <f>IFERROR(VLOOKUP(F8718,CARTON_LOOKUP!$A:$E,2,0),"")</f>
      </c>
      <c r="K8718" s="29">
        <f>IFERROR(J8718*D8718,0)</f>
      </c>
      <c r="L8718" s="29">
        <f>IFERROR(E8718*C8718,0)</f>
      </c>
      <c r="M8718" s="29">
        <f>IFERROR((G8718*H8718*I8718/1000000)*D8718,0)</f>
      </c>
    </row>
    <row r="8719" spans="1:13" x14ac:dyDescent="0.25">
      <c r="A8719" s="16"/>
      <c r="E8719" s="27"/>
      <c r="F8719" t="s">
        <v>26</v>
      </c>
      <c r="G8719" s="28">
        <f>IFERROR(VLOOKUP(F8719,CARTON_LOOKUP!$A:$E,3,0),"")</f>
      </c>
      <c r="H8719" s="28">
        <f>IFERROR(VLOOKUP(F8719,CARTON_LOOKUP!$A:$E,4,0),"")</f>
      </c>
      <c r="I8719" s="28">
        <f>IFERROR(VLOOKUP(F8719,CARTON_LOOKUP!$A:$E,5,0),"")</f>
      </c>
      <c r="J8719" s="29">
        <f>IFERROR(VLOOKUP(F8719,CARTON_LOOKUP!$A:$E,2,0),"")</f>
      </c>
      <c r="K8719" s="29">
        <f>IFERROR(J8719*D8719,0)</f>
      </c>
      <c r="L8719" s="29">
        <f>IFERROR(E8719*C8719,0)</f>
      </c>
      <c r="M8719" s="29">
        <f>IFERROR((G8719*H8719*I8719/1000000)*D8719,0)</f>
      </c>
    </row>
    <row r="8720" spans="1:13" x14ac:dyDescent="0.25">
      <c r="A8720" s="16"/>
      <c r="E8720" s="27"/>
      <c r="F8720" t="s">
        <v>26</v>
      </c>
      <c r="G8720" s="28">
        <f>IFERROR(VLOOKUP(F8720,CARTON_LOOKUP!$A:$E,3,0),"")</f>
      </c>
      <c r="H8720" s="28">
        <f>IFERROR(VLOOKUP(F8720,CARTON_LOOKUP!$A:$E,4,0),"")</f>
      </c>
      <c r="I8720" s="28">
        <f>IFERROR(VLOOKUP(F8720,CARTON_LOOKUP!$A:$E,5,0),"")</f>
      </c>
      <c r="J8720" s="29">
        <f>IFERROR(VLOOKUP(F8720,CARTON_LOOKUP!$A:$E,2,0),"")</f>
      </c>
      <c r="K8720" s="29">
        <f>IFERROR(J8720*D8720,0)</f>
      </c>
      <c r="L8720" s="29">
        <f>IFERROR(E8720*C8720,0)</f>
      </c>
      <c r="M8720" s="29">
        <f>IFERROR((G8720*H8720*I8720/1000000)*D8720,0)</f>
      </c>
    </row>
    <row r="8721" spans="1:13" x14ac:dyDescent="0.25">
      <c r="A8721" s="16"/>
      <c r="E8721" s="27"/>
      <c r="F8721" t="s">
        <v>26</v>
      </c>
      <c r="G8721" s="28">
        <f>IFERROR(VLOOKUP(F8721,CARTON_LOOKUP!$A:$E,3,0),"")</f>
      </c>
      <c r="H8721" s="28">
        <f>IFERROR(VLOOKUP(F8721,CARTON_LOOKUP!$A:$E,4,0),"")</f>
      </c>
      <c r="I8721" s="28">
        <f>IFERROR(VLOOKUP(F8721,CARTON_LOOKUP!$A:$E,5,0),"")</f>
      </c>
      <c r="J8721" s="29">
        <f>IFERROR(VLOOKUP(F8721,CARTON_LOOKUP!$A:$E,2,0),"")</f>
      </c>
      <c r="K8721" s="29">
        <f>IFERROR(J8721*D8721,0)</f>
      </c>
      <c r="L8721" s="29">
        <f>IFERROR(E8721*C8721,0)</f>
      </c>
      <c r="M8721" s="29">
        <f>IFERROR((G8721*H8721*I8721/1000000)*D8721,0)</f>
      </c>
    </row>
    <row r="8722" spans="1:13" x14ac:dyDescent="0.25">
      <c r="A8722" s="16"/>
      <c r="E8722" s="27"/>
      <c r="F8722" t="s">
        <v>26</v>
      </c>
      <c r="G8722" s="28">
        <f>IFERROR(VLOOKUP(F8722,CARTON_LOOKUP!$A:$E,3,0),"")</f>
      </c>
      <c r="H8722" s="28">
        <f>IFERROR(VLOOKUP(F8722,CARTON_LOOKUP!$A:$E,4,0),"")</f>
      </c>
      <c r="I8722" s="28">
        <f>IFERROR(VLOOKUP(F8722,CARTON_LOOKUP!$A:$E,5,0),"")</f>
      </c>
      <c r="J8722" s="29">
        <f>IFERROR(VLOOKUP(F8722,CARTON_LOOKUP!$A:$E,2,0),"")</f>
      </c>
      <c r="K8722" s="29">
        <f>IFERROR(J8722*D8722,0)</f>
      </c>
      <c r="L8722" s="29">
        <f>IFERROR(E8722*C8722,0)</f>
      </c>
      <c r="M8722" s="29">
        <f>IFERROR((G8722*H8722*I8722/1000000)*D8722,0)</f>
      </c>
    </row>
    <row r="8723" spans="1:13" x14ac:dyDescent="0.25">
      <c r="A8723" s="16"/>
      <c r="E8723" s="27"/>
      <c r="F8723" t="s">
        <v>26</v>
      </c>
      <c r="G8723" s="28">
        <f>IFERROR(VLOOKUP(F8723,CARTON_LOOKUP!$A:$E,3,0),"")</f>
      </c>
      <c r="H8723" s="28">
        <f>IFERROR(VLOOKUP(F8723,CARTON_LOOKUP!$A:$E,4,0),"")</f>
      </c>
      <c r="I8723" s="28">
        <f>IFERROR(VLOOKUP(F8723,CARTON_LOOKUP!$A:$E,5,0),"")</f>
      </c>
      <c r="J8723" s="29">
        <f>IFERROR(VLOOKUP(F8723,CARTON_LOOKUP!$A:$E,2,0),"")</f>
      </c>
      <c r="K8723" s="29">
        <f>IFERROR(J8723*D8723,0)</f>
      </c>
      <c r="L8723" s="29">
        <f>IFERROR(E8723*C8723,0)</f>
      </c>
      <c r="M8723" s="29">
        <f>IFERROR((G8723*H8723*I8723/1000000)*D8723,0)</f>
      </c>
    </row>
    <row r="8724" spans="1:13" x14ac:dyDescent="0.25">
      <c r="A8724" s="16"/>
      <c r="E8724" s="27"/>
      <c r="F8724" t="s">
        <v>26</v>
      </c>
      <c r="G8724" s="28">
        <f>IFERROR(VLOOKUP(F8724,CARTON_LOOKUP!$A:$E,3,0),"")</f>
      </c>
      <c r="H8724" s="28">
        <f>IFERROR(VLOOKUP(F8724,CARTON_LOOKUP!$A:$E,4,0),"")</f>
      </c>
      <c r="I8724" s="28">
        <f>IFERROR(VLOOKUP(F8724,CARTON_LOOKUP!$A:$E,5,0),"")</f>
      </c>
      <c r="J8724" s="29">
        <f>IFERROR(VLOOKUP(F8724,CARTON_LOOKUP!$A:$E,2,0),"")</f>
      </c>
      <c r="K8724" s="29">
        <f>IFERROR(J8724*D8724,0)</f>
      </c>
      <c r="L8724" s="29">
        <f>IFERROR(E8724*C8724,0)</f>
      </c>
      <c r="M8724" s="29">
        <f>IFERROR((G8724*H8724*I8724/1000000)*D8724,0)</f>
      </c>
    </row>
    <row r="8725" spans="1:13" x14ac:dyDescent="0.25">
      <c r="A8725" s="16"/>
      <c r="E8725" s="27"/>
      <c r="F8725" t="s">
        <v>26</v>
      </c>
      <c r="G8725" s="28">
        <f>IFERROR(VLOOKUP(F8725,CARTON_LOOKUP!$A:$E,3,0),"")</f>
      </c>
      <c r="H8725" s="28">
        <f>IFERROR(VLOOKUP(F8725,CARTON_LOOKUP!$A:$E,4,0),"")</f>
      </c>
      <c r="I8725" s="28">
        <f>IFERROR(VLOOKUP(F8725,CARTON_LOOKUP!$A:$E,5,0),"")</f>
      </c>
      <c r="J8725" s="29">
        <f>IFERROR(VLOOKUP(F8725,CARTON_LOOKUP!$A:$E,2,0),"")</f>
      </c>
      <c r="K8725" s="29">
        <f>IFERROR(J8725*D8725,0)</f>
      </c>
      <c r="L8725" s="29">
        <f>IFERROR(E8725*C8725,0)</f>
      </c>
      <c r="M8725" s="29">
        <f>IFERROR((G8725*H8725*I8725/1000000)*D8725,0)</f>
      </c>
    </row>
    <row r="8726" spans="1:13" x14ac:dyDescent="0.25">
      <c r="A8726" s="16"/>
      <c r="E8726" s="27"/>
      <c r="F8726" t="s">
        <v>26</v>
      </c>
      <c r="G8726" s="28">
        <f>IFERROR(VLOOKUP(F8726,CARTON_LOOKUP!$A:$E,3,0),"")</f>
      </c>
      <c r="H8726" s="28">
        <f>IFERROR(VLOOKUP(F8726,CARTON_LOOKUP!$A:$E,4,0),"")</f>
      </c>
      <c r="I8726" s="28">
        <f>IFERROR(VLOOKUP(F8726,CARTON_LOOKUP!$A:$E,5,0),"")</f>
      </c>
      <c r="J8726" s="29">
        <f>IFERROR(VLOOKUP(F8726,CARTON_LOOKUP!$A:$E,2,0),"")</f>
      </c>
      <c r="K8726" s="29">
        <f>IFERROR(J8726*D8726,0)</f>
      </c>
      <c r="L8726" s="29">
        <f>IFERROR(E8726*C8726,0)</f>
      </c>
      <c r="M8726" s="29">
        <f>IFERROR((G8726*H8726*I8726/1000000)*D8726,0)</f>
      </c>
    </row>
    <row r="8727" spans="1:13" x14ac:dyDescent="0.25">
      <c r="A8727" s="16"/>
      <c r="E8727" s="27"/>
      <c r="F8727" t="s">
        <v>26</v>
      </c>
      <c r="G8727" s="28">
        <f>IFERROR(VLOOKUP(F8727,CARTON_LOOKUP!$A:$E,3,0),"")</f>
      </c>
      <c r="H8727" s="28">
        <f>IFERROR(VLOOKUP(F8727,CARTON_LOOKUP!$A:$E,4,0),"")</f>
      </c>
      <c r="I8727" s="28">
        <f>IFERROR(VLOOKUP(F8727,CARTON_LOOKUP!$A:$E,5,0),"")</f>
      </c>
      <c r="J8727" s="29">
        <f>IFERROR(VLOOKUP(F8727,CARTON_LOOKUP!$A:$E,2,0),"")</f>
      </c>
      <c r="K8727" s="29">
        <f>IFERROR(J8727*D8727,0)</f>
      </c>
      <c r="L8727" s="29">
        <f>IFERROR(E8727*C8727,0)</f>
      </c>
      <c r="M8727" s="29">
        <f>IFERROR((G8727*H8727*I8727/1000000)*D8727,0)</f>
      </c>
    </row>
    <row r="8728" spans="1:13" x14ac:dyDescent="0.25">
      <c r="A8728" s="16"/>
      <c r="E8728" s="27"/>
      <c r="F8728" t="s">
        <v>26</v>
      </c>
      <c r="G8728" s="28">
        <f>IFERROR(VLOOKUP(F8728,CARTON_LOOKUP!$A:$E,3,0),"")</f>
      </c>
      <c r="H8728" s="28">
        <f>IFERROR(VLOOKUP(F8728,CARTON_LOOKUP!$A:$E,4,0),"")</f>
      </c>
      <c r="I8728" s="28">
        <f>IFERROR(VLOOKUP(F8728,CARTON_LOOKUP!$A:$E,5,0),"")</f>
      </c>
      <c r="J8728" s="29">
        <f>IFERROR(VLOOKUP(F8728,CARTON_LOOKUP!$A:$E,2,0),"")</f>
      </c>
      <c r="K8728" s="29">
        <f>IFERROR(J8728*D8728,0)</f>
      </c>
      <c r="L8728" s="29">
        <f>IFERROR(E8728*C8728,0)</f>
      </c>
      <c r="M8728" s="29">
        <f>IFERROR((G8728*H8728*I8728/1000000)*D8728,0)</f>
      </c>
    </row>
    <row r="8729" spans="1:13" x14ac:dyDescent="0.25">
      <c r="A8729" s="16"/>
      <c r="E8729" s="27"/>
      <c r="F8729" t="s">
        <v>26</v>
      </c>
      <c r="G8729" s="28">
        <f>IFERROR(VLOOKUP(F8729,CARTON_LOOKUP!$A:$E,3,0),"")</f>
      </c>
      <c r="H8729" s="28">
        <f>IFERROR(VLOOKUP(F8729,CARTON_LOOKUP!$A:$E,4,0),"")</f>
      </c>
      <c r="I8729" s="28">
        <f>IFERROR(VLOOKUP(F8729,CARTON_LOOKUP!$A:$E,5,0),"")</f>
      </c>
      <c r="J8729" s="29">
        <f>IFERROR(VLOOKUP(F8729,CARTON_LOOKUP!$A:$E,2,0),"")</f>
      </c>
      <c r="K8729" s="29">
        <f>IFERROR(J8729*D8729,0)</f>
      </c>
      <c r="L8729" s="29">
        <f>IFERROR(E8729*C8729,0)</f>
      </c>
      <c r="M8729" s="29">
        <f>IFERROR((G8729*H8729*I8729/1000000)*D8729,0)</f>
      </c>
    </row>
    <row r="8730" spans="1:13" x14ac:dyDescent="0.25">
      <c r="A8730" s="16"/>
      <c r="E8730" s="27"/>
      <c r="F8730" t="s">
        <v>26</v>
      </c>
      <c r="G8730" s="28">
        <f>IFERROR(VLOOKUP(F8730,CARTON_LOOKUP!$A:$E,3,0),"")</f>
      </c>
      <c r="H8730" s="28">
        <f>IFERROR(VLOOKUP(F8730,CARTON_LOOKUP!$A:$E,4,0),"")</f>
      </c>
      <c r="I8730" s="28">
        <f>IFERROR(VLOOKUP(F8730,CARTON_LOOKUP!$A:$E,5,0),"")</f>
      </c>
      <c r="J8730" s="29">
        <f>IFERROR(VLOOKUP(F8730,CARTON_LOOKUP!$A:$E,2,0),"")</f>
      </c>
      <c r="K8730" s="29">
        <f>IFERROR(J8730*D8730,0)</f>
      </c>
      <c r="L8730" s="29">
        <f>IFERROR(E8730*C8730,0)</f>
      </c>
      <c r="M8730" s="29">
        <f>IFERROR((G8730*H8730*I8730/1000000)*D8730,0)</f>
      </c>
    </row>
    <row r="8731" spans="1:13" x14ac:dyDescent="0.25">
      <c r="A8731" s="16"/>
      <c r="E8731" s="27"/>
      <c r="F8731" t="s">
        <v>26</v>
      </c>
      <c r="G8731" s="28">
        <f>IFERROR(VLOOKUP(F8731,CARTON_LOOKUP!$A:$E,3,0),"")</f>
      </c>
      <c r="H8731" s="28">
        <f>IFERROR(VLOOKUP(F8731,CARTON_LOOKUP!$A:$E,4,0),"")</f>
      </c>
      <c r="I8731" s="28">
        <f>IFERROR(VLOOKUP(F8731,CARTON_LOOKUP!$A:$E,5,0),"")</f>
      </c>
      <c r="J8731" s="29">
        <f>IFERROR(VLOOKUP(F8731,CARTON_LOOKUP!$A:$E,2,0),"")</f>
      </c>
      <c r="K8731" s="29">
        <f>IFERROR(J8731*D8731,0)</f>
      </c>
      <c r="L8731" s="29">
        <f>IFERROR(E8731*C8731,0)</f>
      </c>
      <c r="M8731" s="29">
        <f>IFERROR((G8731*H8731*I8731/1000000)*D8731,0)</f>
      </c>
    </row>
    <row r="8732" spans="1:13" x14ac:dyDescent="0.25">
      <c r="A8732" s="16"/>
      <c r="E8732" s="27"/>
      <c r="F8732" t="s">
        <v>26</v>
      </c>
      <c r="G8732" s="28">
        <f>IFERROR(VLOOKUP(F8732,CARTON_LOOKUP!$A:$E,3,0),"")</f>
      </c>
      <c r="H8732" s="28">
        <f>IFERROR(VLOOKUP(F8732,CARTON_LOOKUP!$A:$E,4,0),"")</f>
      </c>
      <c r="I8732" s="28">
        <f>IFERROR(VLOOKUP(F8732,CARTON_LOOKUP!$A:$E,5,0),"")</f>
      </c>
      <c r="J8732" s="29">
        <f>IFERROR(VLOOKUP(F8732,CARTON_LOOKUP!$A:$E,2,0),"")</f>
      </c>
      <c r="K8732" s="29">
        <f>IFERROR(J8732*D8732,0)</f>
      </c>
      <c r="L8732" s="29">
        <f>IFERROR(E8732*C8732,0)</f>
      </c>
      <c r="M8732" s="29">
        <f>IFERROR((G8732*H8732*I8732/1000000)*D8732,0)</f>
      </c>
    </row>
    <row r="8733" spans="1:13" x14ac:dyDescent="0.25">
      <c r="A8733" s="16"/>
      <c r="E8733" s="27"/>
      <c r="F8733" t="s">
        <v>26</v>
      </c>
      <c r="G8733" s="28">
        <f>IFERROR(VLOOKUP(F8733,CARTON_LOOKUP!$A:$E,3,0),"")</f>
      </c>
      <c r="H8733" s="28">
        <f>IFERROR(VLOOKUP(F8733,CARTON_LOOKUP!$A:$E,4,0),"")</f>
      </c>
      <c r="I8733" s="28">
        <f>IFERROR(VLOOKUP(F8733,CARTON_LOOKUP!$A:$E,5,0),"")</f>
      </c>
      <c r="J8733" s="29">
        <f>IFERROR(VLOOKUP(F8733,CARTON_LOOKUP!$A:$E,2,0),"")</f>
      </c>
      <c r="K8733" s="29">
        <f>IFERROR(J8733*D8733,0)</f>
      </c>
      <c r="L8733" s="29">
        <f>IFERROR(E8733*C8733,0)</f>
      </c>
      <c r="M8733" s="29">
        <f>IFERROR((G8733*H8733*I8733/1000000)*D8733,0)</f>
      </c>
    </row>
    <row r="8734" spans="1:13" x14ac:dyDescent="0.25">
      <c r="A8734" s="16"/>
      <c r="E8734" s="27"/>
      <c r="F8734" t="s">
        <v>26</v>
      </c>
      <c r="G8734" s="28">
        <f>IFERROR(VLOOKUP(F8734,CARTON_LOOKUP!$A:$E,3,0),"")</f>
      </c>
      <c r="H8734" s="28">
        <f>IFERROR(VLOOKUP(F8734,CARTON_LOOKUP!$A:$E,4,0),"")</f>
      </c>
      <c r="I8734" s="28">
        <f>IFERROR(VLOOKUP(F8734,CARTON_LOOKUP!$A:$E,5,0),"")</f>
      </c>
      <c r="J8734" s="29">
        <f>IFERROR(VLOOKUP(F8734,CARTON_LOOKUP!$A:$E,2,0),"")</f>
      </c>
      <c r="K8734" s="29">
        <f>IFERROR(J8734*D8734,0)</f>
      </c>
      <c r="L8734" s="29">
        <f>IFERROR(E8734*C8734,0)</f>
      </c>
      <c r="M8734" s="29">
        <f>IFERROR((G8734*H8734*I8734/1000000)*D8734,0)</f>
      </c>
    </row>
    <row r="8735" spans="1:13" x14ac:dyDescent="0.25">
      <c r="A8735" s="16"/>
      <c r="E8735" s="27"/>
      <c r="F8735" t="s">
        <v>26</v>
      </c>
      <c r="G8735" s="28">
        <f>IFERROR(VLOOKUP(F8735,CARTON_LOOKUP!$A:$E,3,0),"")</f>
      </c>
      <c r="H8735" s="28">
        <f>IFERROR(VLOOKUP(F8735,CARTON_LOOKUP!$A:$E,4,0),"")</f>
      </c>
      <c r="I8735" s="28">
        <f>IFERROR(VLOOKUP(F8735,CARTON_LOOKUP!$A:$E,5,0),"")</f>
      </c>
      <c r="J8735" s="29">
        <f>IFERROR(VLOOKUP(F8735,CARTON_LOOKUP!$A:$E,2,0),"")</f>
      </c>
      <c r="K8735" s="29">
        <f>IFERROR(J8735*D8735,0)</f>
      </c>
      <c r="L8735" s="29">
        <f>IFERROR(E8735*C8735,0)</f>
      </c>
      <c r="M8735" s="29">
        <f>IFERROR((G8735*H8735*I8735/1000000)*D8735,0)</f>
      </c>
    </row>
    <row r="8736" spans="1:13" x14ac:dyDescent="0.25">
      <c r="A8736" s="16"/>
      <c r="E8736" s="27"/>
      <c r="F8736" t="s">
        <v>26</v>
      </c>
      <c r="G8736" s="28">
        <f>IFERROR(VLOOKUP(F8736,CARTON_LOOKUP!$A:$E,3,0),"")</f>
      </c>
      <c r="H8736" s="28">
        <f>IFERROR(VLOOKUP(F8736,CARTON_LOOKUP!$A:$E,4,0),"")</f>
      </c>
      <c r="I8736" s="28">
        <f>IFERROR(VLOOKUP(F8736,CARTON_LOOKUP!$A:$E,5,0),"")</f>
      </c>
      <c r="J8736" s="29">
        <f>IFERROR(VLOOKUP(F8736,CARTON_LOOKUP!$A:$E,2,0),"")</f>
      </c>
      <c r="K8736" s="29">
        <f>IFERROR(J8736*D8736,0)</f>
      </c>
      <c r="L8736" s="29">
        <f>IFERROR(E8736*C8736,0)</f>
      </c>
      <c r="M8736" s="29">
        <f>IFERROR((G8736*H8736*I8736/1000000)*D8736,0)</f>
      </c>
    </row>
    <row r="8737" spans="1:13" x14ac:dyDescent="0.25">
      <c r="A8737" s="16"/>
      <c r="E8737" s="27"/>
      <c r="F8737" t="s">
        <v>26</v>
      </c>
      <c r="G8737" s="28">
        <f>IFERROR(VLOOKUP(F8737,CARTON_LOOKUP!$A:$E,3,0),"")</f>
      </c>
      <c r="H8737" s="28">
        <f>IFERROR(VLOOKUP(F8737,CARTON_LOOKUP!$A:$E,4,0),"")</f>
      </c>
      <c r="I8737" s="28">
        <f>IFERROR(VLOOKUP(F8737,CARTON_LOOKUP!$A:$E,5,0),"")</f>
      </c>
      <c r="J8737" s="29">
        <f>IFERROR(VLOOKUP(F8737,CARTON_LOOKUP!$A:$E,2,0),"")</f>
      </c>
      <c r="K8737" s="29">
        <f>IFERROR(J8737*D8737,0)</f>
      </c>
      <c r="L8737" s="29">
        <f>IFERROR(E8737*C8737,0)</f>
      </c>
      <c r="M8737" s="29">
        <f>IFERROR((G8737*H8737*I8737/1000000)*D8737,0)</f>
      </c>
    </row>
    <row r="8738" spans="1:13" x14ac:dyDescent="0.25">
      <c r="A8738" s="16"/>
      <c r="E8738" s="27"/>
      <c r="F8738" t="s">
        <v>26</v>
      </c>
      <c r="G8738" s="28">
        <f>IFERROR(VLOOKUP(F8738,CARTON_LOOKUP!$A:$E,3,0),"")</f>
      </c>
      <c r="H8738" s="28">
        <f>IFERROR(VLOOKUP(F8738,CARTON_LOOKUP!$A:$E,4,0),"")</f>
      </c>
      <c r="I8738" s="28">
        <f>IFERROR(VLOOKUP(F8738,CARTON_LOOKUP!$A:$E,5,0),"")</f>
      </c>
      <c r="J8738" s="29">
        <f>IFERROR(VLOOKUP(F8738,CARTON_LOOKUP!$A:$E,2,0),"")</f>
      </c>
      <c r="K8738" s="29">
        <f>IFERROR(J8738*D8738,0)</f>
      </c>
      <c r="L8738" s="29">
        <f>IFERROR(E8738*C8738,0)</f>
      </c>
      <c r="M8738" s="29">
        <f>IFERROR((G8738*H8738*I8738/1000000)*D8738,0)</f>
      </c>
    </row>
    <row r="8739" spans="1:13" x14ac:dyDescent="0.25">
      <c r="A8739" s="16"/>
      <c r="E8739" s="27"/>
      <c r="F8739" t="s">
        <v>26</v>
      </c>
      <c r="G8739" s="28">
        <f>IFERROR(VLOOKUP(F8739,CARTON_LOOKUP!$A:$E,3,0),"")</f>
      </c>
      <c r="H8739" s="28">
        <f>IFERROR(VLOOKUP(F8739,CARTON_LOOKUP!$A:$E,4,0),"")</f>
      </c>
      <c r="I8739" s="28">
        <f>IFERROR(VLOOKUP(F8739,CARTON_LOOKUP!$A:$E,5,0),"")</f>
      </c>
      <c r="J8739" s="29">
        <f>IFERROR(VLOOKUP(F8739,CARTON_LOOKUP!$A:$E,2,0),"")</f>
      </c>
      <c r="K8739" s="29">
        <f>IFERROR(J8739*D8739,0)</f>
      </c>
      <c r="L8739" s="29">
        <f>IFERROR(E8739*C8739,0)</f>
      </c>
      <c r="M8739" s="29">
        <f>IFERROR((G8739*H8739*I8739/1000000)*D8739,0)</f>
      </c>
    </row>
    <row r="8740" spans="1:13" x14ac:dyDescent="0.25">
      <c r="A8740" s="16"/>
      <c r="E8740" s="27"/>
      <c r="F8740" t="s">
        <v>26</v>
      </c>
      <c r="G8740" s="28">
        <f>IFERROR(VLOOKUP(F8740,CARTON_LOOKUP!$A:$E,3,0),"")</f>
      </c>
      <c r="H8740" s="28">
        <f>IFERROR(VLOOKUP(F8740,CARTON_LOOKUP!$A:$E,4,0),"")</f>
      </c>
      <c r="I8740" s="28">
        <f>IFERROR(VLOOKUP(F8740,CARTON_LOOKUP!$A:$E,5,0),"")</f>
      </c>
      <c r="J8740" s="29">
        <f>IFERROR(VLOOKUP(F8740,CARTON_LOOKUP!$A:$E,2,0),"")</f>
      </c>
      <c r="K8740" s="29">
        <f>IFERROR(J8740*D8740,0)</f>
      </c>
      <c r="L8740" s="29">
        <f>IFERROR(E8740*C8740,0)</f>
      </c>
      <c r="M8740" s="29">
        <f>IFERROR((G8740*H8740*I8740/1000000)*D8740,0)</f>
      </c>
    </row>
    <row r="8741" spans="1:13" x14ac:dyDescent="0.25">
      <c r="A8741" s="16"/>
      <c r="E8741" s="27"/>
      <c r="F8741" t="s">
        <v>26</v>
      </c>
      <c r="G8741" s="28">
        <f>IFERROR(VLOOKUP(F8741,CARTON_LOOKUP!$A:$E,3,0),"")</f>
      </c>
      <c r="H8741" s="28">
        <f>IFERROR(VLOOKUP(F8741,CARTON_LOOKUP!$A:$E,4,0),"")</f>
      </c>
      <c r="I8741" s="28">
        <f>IFERROR(VLOOKUP(F8741,CARTON_LOOKUP!$A:$E,5,0),"")</f>
      </c>
      <c r="J8741" s="29">
        <f>IFERROR(VLOOKUP(F8741,CARTON_LOOKUP!$A:$E,2,0),"")</f>
      </c>
      <c r="K8741" s="29">
        <f>IFERROR(J8741*D8741,0)</f>
      </c>
      <c r="L8741" s="29">
        <f>IFERROR(E8741*C8741,0)</f>
      </c>
      <c r="M8741" s="29">
        <f>IFERROR((G8741*H8741*I8741/1000000)*D8741,0)</f>
      </c>
    </row>
    <row r="8742" spans="1:13" x14ac:dyDescent="0.25">
      <c r="A8742" s="16"/>
      <c r="E8742" s="27"/>
      <c r="F8742" t="s">
        <v>26</v>
      </c>
      <c r="G8742" s="28">
        <f>IFERROR(VLOOKUP(F8742,CARTON_LOOKUP!$A:$E,3,0),"")</f>
      </c>
      <c r="H8742" s="28">
        <f>IFERROR(VLOOKUP(F8742,CARTON_LOOKUP!$A:$E,4,0),"")</f>
      </c>
      <c r="I8742" s="28">
        <f>IFERROR(VLOOKUP(F8742,CARTON_LOOKUP!$A:$E,5,0),"")</f>
      </c>
      <c r="J8742" s="29">
        <f>IFERROR(VLOOKUP(F8742,CARTON_LOOKUP!$A:$E,2,0),"")</f>
      </c>
      <c r="K8742" s="29">
        <f>IFERROR(J8742*D8742,0)</f>
      </c>
      <c r="L8742" s="29">
        <f>IFERROR(E8742*C8742,0)</f>
      </c>
      <c r="M8742" s="29">
        <f>IFERROR((G8742*H8742*I8742/1000000)*D8742,0)</f>
      </c>
    </row>
    <row r="8743" spans="1:13" x14ac:dyDescent="0.25">
      <c r="A8743" s="16"/>
      <c r="E8743" s="27"/>
      <c r="F8743" t="s">
        <v>26</v>
      </c>
      <c r="G8743" s="28">
        <f>IFERROR(VLOOKUP(F8743,CARTON_LOOKUP!$A:$E,3,0),"")</f>
      </c>
      <c r="H8743" s="28">
        <f>IFERROR(VLOOKUP(F8743,CARTON_LOOKUP!$A:$E,4,0),"")</f>
      </c>
      <c r="I8743" s="28">
        <f>IFERROR(VLOOKUP(F8743,CARTON_LOOKUP!$A:$E,5,0),"")</f>
      </c>
      <c r="J8743" s="29">
        <f>IFERROR(VLOOKUP(F8743,CARTON_LOOKUP!$A:$E,2,0),"")</f>
      </c>
      <c r="K8743" s="29">
        <f>IFERROR(J8743*D8743,0)</f>
      </c>
      <c r="L8743" s="29">
        <f>IFERROR(E8743*C8743,0)</f>
      </c>
      <c r="M8743" s="29">
        <f>IFERROR((G8743*H8743*I8743/1000000)*D8743,0)</f>
      </c>
    </row>
    <row r="8744" spans="1:13" x14ac:dyDescent="0.25">
      <c r="A8744" s="16"/>
      <c r="E8744" s="27"/>
      <c r="F8744" t="s">
        <v>26</v>
      </c>
      <c r="G8744" s="28">
        <f>IFERROR(VLOOKUP(F8744,CARTON_LOOKUP!$A:$E,3,0),"")</f>
      </c>
      <c r="H8744" s="28">
        <f>IFERROR(VLOOKUP(F8744,CARTON_LOOKUP!$A:$E,4,0),"")</f>
      </c>
      <c r="I8744" s="28">
        <f>IFERROR(VLOOKUP(F8744,CARTON_LOOKUP!$A:$E,5,0),"")</f>
      </c>
      <c r="J8744" s="29">
        <f>IFERROR(VLOOKUP(F8744,CARTON_LOOKUP!$A:$E,2,0),"")</f>
      </c>
      <c r="K8744" s="29">
        <f>IFERROR(J8744*D8744,0)</f>
      </c>
      <c r="L8744" s="29">
        <f>IFERROR(E8744*C8744,0)</f>
      </c>
      <c r="M8744" s="29">
        <f>IFERROR((G8744*H8744*I8744/1000000)*D8744,0)</f>
      </c>
    </row>
    <row r="8745" spans="1:13" x14ac:dyDescent="0.25">
      <c r="A8745" s="16"/>
      <c r="E8745" s="27"/>
      <c r="F8745" t="s">
        <v>26</v>
      </c>
      <c r="G8745" s="28">
        <f>IFERROR(VLOOKUP(F8745,CARTON_LOOKUP!$A:$E,3,0),"")</f>
      </c>
      <c r="H8745" s="28">
        <f>IFERROR(VLOOKUP(F8745,CARTON_LOOKUP!$A:$E,4,0),"")</f>
      </c>
      <c r="I8745" s="28">
        <f>IFERROR(VLOOKUP(F8745,CARTON_LOOKUP!$A:$E,5,0),"")</f>
      </c>
      <c r="J8745" s="29">
        <f>IFERROR(VLOOKUP(F8745,CARTON_LOOKUP!$A:$E,2,0),"")</f>
      </c>
      <c r="K8745" s="29">
        <f>IFERROR(J8745*D8745,0)</f>
      </c>
      <c r="L8745" s="29">
        <f>IFERROR(E8745*C8745,0)</f>
      </c>
      <c r="M8745" s="29">
        <f>IFERROR((G8745*H8745*I8745/1000000)*D8745,0)</f>
      </c>
    </row>
    <row r="8746" spans="1:13" x14ac:dyDescent="0.25">
      <c r="A8746" s="16"/>
      <c r="E8746" s="27"/>
      <c r="F8746" t="s">
        <v>26</v>
      </c>
      <c r="G8746" s="28">
        <f>IFERROR(VLOOKUP(F8746,CARTON_LOOKUP!$A:$E,3,0),"")</f>
      </c>
      <c r="H8746" s="28">
        <f>IFERROR(VLOOKUP(F8746,CARTON_LOOKUP!$A:$E,4,0),"")</f>
      </c>
      <c r="I8746" s="28">
        <f>IFERROR(VLOOKUP(F8746,CARTON_LOOKUP!$A:$E,5,0),"")</f>
      </c>
      <c r="J8746" s="29">
        <f>IFERROR(VLOOKUP(F8746,CARTON_LOOKUP!$A:$E,2,0),"")</f>
      </c>
      <c r="K8746" s="29">
        <f>IFERROR(J8746*D8746,0)</f>
      </c>
      <c r="L8746" s="29">
        <f>IFERROR(E8746*C8746,0)</f>
      </c>
      <c r="M8746" s="29">
        <f>IFERROR((G8746*H8746*I8746/1000000)*D8746,0)</f>
      </c>
    </row>
    <row r="8747" spans="1:13" x14ac:dyDescent="0.25">
      <c r="A8747" s="16"/>
      <c r="E8747" s="27"/>
      <c r="F8747" t="s">
        <v>26</v>
      </c>
      <c r="G8747" s="28">
        <f>IFERROR(VLOOKUP(F8747,CARTON_LOOKUP!$A:$E,3,0),"")</f>
      </c>
      <c r="H8747" s="28">
        <f>IFERROR(VLOOKUP(F8747,CARTON_LOOKUP!$A:$E,4,0),"")</f>
      </c>
      <c r="I8747" s="28">
        <f>IFERROR(VLOOKUP(F8747,CARTON_LOOKUP!$A:$E,5,0),"")</f>
      </c>
      <c r="J8747" s="29">
        <f>IFERROR(VLOOKUP(F8747,CARTON_LOOKUP!$A:$E,2,0),"")</f>
      </c>
      <c r="K8747" s="29">
        <f>IFERROR(J8747*D8747,0)</f>
      </c>
      <c r="L8747" s="29">
        <f>IFERROR(E8747*C8747,0)</f>
      </c>
      <c r="M8747" s="29">
        <f>IFERROR((G8747*H8747*I8747/1000000)*D8747,0)</f>
      </c>
    </row>
    <row r="8748" spans="1:13" x14ac:dyDescent="0.25">
      <c r="A8748" s="16"/>
      <c r="E8748" s="27"/>
      <c r="F8748" t="s">
        <v>26</v>
      </c>
      <c r="G8748" s="28">
        <f>IFERROR(VLOOKUP(F8748,CARTON_LOOKUP!$A:$E,3,0),"")</f>
      </c>
      <c r="H8748" s="28">
        <f>IFERROR(VLOOKUP(F8748,CARTON_LOOKUP!$A:$E,4,0),"")</f>
      </c>
      <c r="I8748" s="28">
        <f>IFERROR(VLOOKUP(F8748,CARTON_LOOKUP!$A:$E,5,0),"")</f>
      </c>
      <c r="J8748" s="29">
        <f>IFERROR(VLOOKUP(F8748,CARTON_LOOKUP!$A:$E,2,0),"")</f>
      </c>
      <c r="K8748" s="29">
        <f>IFERROR(J8748*D8748,0)</f>
      </c>
      <c r="L8748" s="29">
        <f>IFERROR(E8748*C8748,0)</f>
      </c>
      <c r="M8748" s="29">
        <f>IFERROR((G8748*H8748*I8748/1000000)*D8748,0)</f>
      </c>
    </row>
    <row r="8749" spans="1:13" x14ac:dyDescent="0.25">
      <c r="A8749" s="16"/>
      <c r="E8749" s="27"/>
      <c r="F8749" t="s">
        <v>26</v>
      </c>
      <c r="G8749" s="28">
        <f>IFERROR(VLOOKUP(F8749,CARTON_LOOKUP!$A:$E,3,0),"")</f>
      </c>
      <c r="H8749" s="28">
        <f>IFERROR(VLOOKUP(F8749,CARTON_LOOKUP!$A:$E,4,0),"")</f>
      </c>
      <c r="I8749" s="28">
        <f>IFERROR(VLOOKUP(F8749,CARTON_LOOKUP!$A:$E,5,0),"")</f>
      </c>
      <c r="J8749" s="29">
        <f>IFERROR(VLOOKUP(F8749,CARTON_LOOKUP!$A:$E,2,0),"")</f>
      </c>
      <c r="K8749" s="29">
        <f>IFERROR(J8749*D8749,0)</f>
      </c>
      <c r="L8749" s="29">
        <f>IFERROR(E8749*C8749,0)</f>
      </c>
      <c r="M8749" s="29">
        <f>IFERROR((G8749*H8749*I8749/1000000)*D8749,0)</f>
      </c>
    </row>
    <row r="8750" spans="1:13" x14ac:dyDescent="0.25">
      <c r="A8750" s="16"/>
      <c r="E8750" s="27"/>
      <c r="F8750" t="s">
        <v>26</v>
      </c>
      <c r="G8750" s="28">
        <f>IFERROR(VLOOKUP(F8750,CARTON_LOOKUP!$A:$E,3,0),"")</f>
      </c>
      <c r="H8750" s="28">
        <f>IFERROR(VLOOKUP(F8750,CARTON_LOOKUP!$A:$E,4,0),"")</f>
      </c>
      <c r="I8750" s="28">
        <f>IFERROR(VLOOKUP(F8750,CARTON_LOOKUP!$A:$E,5,0),"")</f>
      </c>
      <c r="J8750" s="29">
        <f>IFERROR(VLOOKUP(F8750,CARTON_LOOKUP!$A:$E,2,0),"")</f>
      </c>
      <c r="K8750" s="29">
        <f>IFERROR(J8750*D8750,0)</f>
      </c>
      <c r="L8750" s="29">
        <f>IFERROR(E8750*C8750,0)</f>
      </c>
      <c r="M8750" s="29">
        <f>IFERROR((G8750*H8750*I8750/1000000)*D8750,0)</f>
      </c>
    </row>
    <row r="8751" spans="1:13" x14ac:dyDescent="0.25">
      <c r="A8751" s="16"/>
      <c r="E8751" s="27"/>
      <c r="F8751" t="s">
        <v>26</v>
      </c>
      <c r="G8751" s="28">
        <f>IFERROR(VLOOKUP(F8751,CARTON_LOOKUP!$A:$E,3,0),"")</f>
      </c>
      <c r="H8751" s="28">
        <f>IFERROR(VLOOKUP(F8751,CARTON_LOOKUP!$A:$E,4,0),"")</f>
      </c>
      <c r="I8751" s="28">
        <f>IFERROR(VLOOKUP(F8751,CARTON_LOOKUP!$A:$E,5,0),"")</f>
      </c>
      <c r="J8751" s="29">
        <f>IFERROR(VLOOKUP(F8751,CARTON_LOOKUP!$A:$E,2,0),"")</f>
      </c>
      <c r="K8751" s="29">
        <f>IFERROR(J8751*D8751,0)</f>
      </c>
      <c r="L8751" s="29">
        <f>IFERROR(E8751*C8751,0)</f>
      </c>
      <c r="M8751" s="29">
        <f>IFERROR((G8751*H8751*I8751/1000000)*D8751,0)</f>
      </c>
    </row>
    <row r="8752" spans="1:13" x14ac:dyDescent="0.25">
      <c r="A8752" s="16"/>
      <c r="E8752" s="27"/>
      <c r="F8752" t="s">
        <v>26</v>
      </c>
      <c r="G8752" s="28">
        <f>IFERROR(VLOOKUP(F8752,CARTON_LOOKUP!$A:$E,3,0),"")</f>
      </c>
      <c r="H8752" s="28">
        <f>IFERROR(VLOOKUP(F8752,CARTON_LOOKUP!$A:$E,4,0),"")</f>
      </c>
      <c r="I8752" s="28">
        <f>IFERROR(VLOOKUP(F8752,CARTON_LOOKUP!$A:$E,5,0),"")</f>
      </c>
      <c r="J8752" s="29">
        <f>IFERROR(VLOOKUP(F8752,CARTON_LOOKUP!$A:$E,2,0),"")</f>
      </c>
      <c r="K8752" s="29">
        <f>IFERROR(J8752*D8752,0)</f>
      </c>
      <c r="L8752" s="29">
        <f>IFERROR(E8752*C8752,0)</f>
      </c>
      <c r="M8752" s="29">
        <f>IFERROR((G8752*H8752*I8752/1000000)*D8752,0)</f>
      </c>
    </row>
    <row r="8753" spans="1:13" x14ac:dyDescent="0.25">
      <c r="A8753" s="16"/>
      <c r="E8753" s="27"/>
      <c r="F8753" t="s">
        <v>26</v>
      </c>
      <c r="G8753" s="28">
        <f>IFERROR(VLOOKUP(F8753,CARTON_LOOKUP!$A:$E,3,0),"")</f>
      </c>
      <c r="H8753" s="28">
        <f>IFERROR(VLOOKUP(F8753,CARTON_LOOKUP!$A:$E,4,0),"")</f>
      </c>
      <c r="I8753" s="28">
        <f>IFERROR(VLOOKUP(F8753,CARTON_LOOKUP!$A:$E,5,0),"")</f>
      </c>
      <c r="J8753" s="29">
        <f>IFERROR(VLOOKUP(F8753,CARTON_LOOKUP!$A:$E,2,0),"")</f>
      </c>
      <c r="K8753" s="29">
        <f>IFERROR(J8753*D8753,0)</f>
      </c>
      <c r="L8753" s="29">
        <f>IFERROR(E8753*C8753,0)</f>
      </c>
      <c r="M8753" s="29">
        <f>IFERROR((G8753*H8753*I8753/1000000)*D8753,0)</f>
      </c>
    </row>
    <row r="8754" spans="1:13" x14ac:dyDescent="0.25">
      <c r="A8754" s="16"/>
      <c r="E8754" s="27"/>
      <c r="F8754" t="s">
        <v>26</v>
      </c>
      <c r="G8754" s="28">
        <f>IFERROR(VLOOKUP(F8754,CARTON_LOOKUP!$A:$E,3,0),"")</f>
      </c>
      <c r="H8754" s="28">
        <f>IFERROR(VLOOKUP(F8754,CARTON_LOOKUP!$A:$E,4,0),"")</f>
      </c>
      <c r="I8754" s="28">
        <f>IFERROR(VLOOKUP(F8754,CARTON_LOOKUP!$A:$E,5,0),"")</f>
      </c>
      <c r="J8754" s="29">
        <f>IFERROR(VLOOKUP(F8754,CARTON_LOOKUP!$A:$E,2,0),"")</f>
      </c>
      <c r="K8754" s="29">
        <f>IFERROR(J8754*D8754,0)</f>
      </c>
      <c r="L8754" s="29">
        <f>IFERROR(E8754*C8754,0)</f>
      </c>
      <c r="M8754" s="29">
        <f>IFERROR((G8754*H8754*I8754/1000000)*D8754,0)</f>
      </c>
    </row>
    <row r="8755" spans="1:13" x14ac:dyDescent="0.25">
      <c r="A8755" s="16"/>
      <c r="E8755" s="27"/>
      <c r="F8755" t="s">
        <v>26</v>
      </c>
      <c r="G8755" s="28">
        <f>IFERROR(VLOOKUP(F8755,CARTON_LOOKUP!$A:$E,3,0),"")</f>
      </c>
      <c r="H8755" s="28">
        <f>IFERROR(VLOOKUP(F8755,CARTON_LOOKUP!$A:$E,4,0),"")</f>
      </c>
      <c r="I8755" s="28">
        <f>IFERROR(VLOOKUP(F8755,CARTON_LOOKUP!$A:$E,5,0),"")</f>
      </c>
      <c r="J8755" s="29">
        <f>IFERROR(VLOOKUP(F8755,CARTON_LOOKUP!$A:$E,2,0),"")</f>
      </c>
      <c r="K8755" s="29">
        <f>IFERROR(J8755*D8755,0)</f>
      </c>
      <c r="L8755" s="29">
        <f>IFERROR(E8755*C8755,0)</f>
      </c>
      <c r="M8755" s="29">
        <f>IFERROR((G8755*H8755*I8755/1000000)*D8755,0)</f>
      </c>
    </row>
    <row r="8756" spans="1:13" x14ac:dyDescent="0.25">
      <c r="A8756" s="16"/>
      <c r="E8756" s="27"/>
      <c r="F8756" t="s">
        <v>26</v>
      </c>
      <c r="G8756" s="28">
        <f>IFERROR(VLOOKUP(F8756,CARTON_LOOKUP!$A:$E,3,0),"")</f>
      </c>
      <c r="H8756" s="28">
        <f>IFERROR(VLOOKUP(F8756,CARTON_LOOKUP!$A:$E,4,0),"")</f>
      </c>
      <c r="I8756" s="28">
        <f>IFERROR(VLOOKUP(F8756,CARTON_LOOKUP!$A:$E,5,0),"")</f>
      </c>
      <c r="J8756" s="29">
        <f>IFERROR(VLOOKUP(F8756,CARTON_LOOKUP!$A:$E,2,0),"")</f>
      </c>
      <c r="K8756" s="29">
        <f>IFERROR(J8756*D8756,0)</f>
      </c>
      <c r="L8756" s="29">
        <f>IFERROR(E8756*C8756,0)</f>
      </c>
      <c r="M8756" s="29">
        <f>IFERROR((G8756*H8756*I8756/1000000)*D8756,0)</f>
      </c>
    </row>
    <row r="8757" spans="1:13" x14ac:dyDescent="0.25">
      <c r="A8757" s="16"/>
      <c r="E8757" s="27"/>
      <c r="F8757" t="s">
        <v>26</v>
      </c>
      <c r="G8757" s="28">
        <f>IFERROR(VLOOKUP(F8757,CARTON_LOOKUP!$A:$E,3,0),"")</f>
      </c>
      <c r="H8757" s="28">
        <f>IFERROR(VLOOKUP(F8757,CARTON_LOOKUP!$A:$E,4,0),"")</f>
      </c>
      <c r="I8757" s="28">
        <f>IFERROR(VLOOKUP(F8757,CARTON_LOOKUP!$A:$E,5,0),"")</f>
      </c>
      <c r="J8757" s="29">
        <f>IFERROR(VLOOKUP(F8757,CARTON_LOOKUP!$A:$E,2,0),"")</f>
      </c>
      <c r="K8757" s="29">
        <f>IFERROR(J8757*D8757,0)</f>
      </c>
      <c r="L8757" s="29">
        <f>IFERROR(E8757*C8757,0)</f>
      </c>
      <c r="M8757" s="29">
        <f>IFERROR((G8757*H8757*I8757/1000000)*D8757,0)</f>
      </c>
    </row>
    <row r="8758" spans="1:13" x14ac:dyDescent="0.25">
      <c r="A8758" s="16"/>
      <c r="E8758" s="27"/>
      <c r="F8758" t="s">
        <v>26</v>
      </c>
      <c r="G8758" s="28">
        <f>IFERROR(VLOOKUP(F8758,CARTON_LOOKUP!$A:$E,3,0),"")</f>
      </c>
      <c r="H8758" s="28">
        <f>IFERROR(VLOOKUP(F8758,CARTON_LOOKUP!$A:$E,4,0),"")</f>
      </c>
      <c r="I8758" s="28">
        <f>IFERROR(VLOOKUP(F8758,CARTON_LOOKUP!$A:$E,5,0),"")</f>
      </c>
      <c r="J8758" s="29">
        <f>IFERROR(VLOOKUP(F8758,CARTON_LOOKUP!$A:$E,2,0),"")</f>
      </c>
      <c r="K8758" s="29">
        <f>IFERROR(J8758*D8758,0)</f>
      </c>
      <c r="L8758" s="29">
        <f>IFERROR(E8758*C8758,0)</f>
      </c>
      <c r="M8758" s="29">
        <f>IFERROR((G8758*H8758*I8758/1000000)*D8758,0)</f>
      </c>
    </row>
    <row r="8759" spans="1:13" x14ac:dyDescent="0.25">
      <c r="A8759" s="16"/>
      <c r="E8759" s="27"/>
      <c r="F8759" t="s">
        <v>26</v>
      </c>
      <c r="G8759" s="28">
        <f>IFERROR(VLOOKUP(F8759,CARTON_LOOKUP!$A:$E,3,0),"")</f>
      </c>
      <c r="H8759" s="28">
        <f>IFERROR(VLOOKUP(F8759,CARTON_LOOKUP!$A:$E,4,0),"")</f>
      </c>
      <c r="I8759" s="28">
        <f>IFERROR(VLOOKUP(F8759,CARTON_LOOKUP!$A:$E,5,0),"")</f>
      </c>
      <c r="J8759" s="29">
        <f>IFERROR(VLOOKUP(F8759,CARTON_LOOKUP!$A:$E,2,0),"")</f>
      </c>
      <c r="K8759" s="29">
        <f>IFERROR(J8759*D8759,0)</f>
      </c>
      <c r="L8759" s="29">
        <f>IFERROR(E8759*C8759,0)</f>
      </c>
      <c r="M8759" s="29">
        <f>IFERROR((G8759*H8759*I8759/1000000)*D8759,0)</f>
      </c>
    </row>
    <row r="8760" spans="1:13" x14ac:dyDescent="0.25">
      <c r="A8760" s="16"/>
      <c r="E8760" s="27"/>
      <c r="F8760" t="s">
        <v>26</v>
      </c>
      <c r="G8760" s="28">
        <f>IFERROR(VLOOKUP(F8760,CARTON_LOOKUP!$A:$E,3,0),"")</f>
      </c>
      <c r="H8760" s="28">
        <f>IFERROR(VLOOKUP(F8760,CARTON_LOOKUP!$A:$E,4,0),"")</f>
      </c>
      <c r="I8760" s="28">
        <f>IFERROR(VLOOKUP(F8760,CARTON_LOOKUP!$A:$E,5,0),"")</f>
      </c>
      <c r="J8760" s="29">
        <f>IFERROR(VLOOKUP(F8760,CARTON_LOOKUP!$A:$E,2,0),"")</f>
      </c>
      <c r="K8760" s="29">
        <f>IFERROR(J8760*D8760,0)</f>
      </c>
      <c r="L8760" s="29">
        <f>IFERROR(E8760*C8760,0)</f>
      </c>
      <c r="M8760" s="29">
        <f>IFERROR((G8760*H8760*I8760/1000000)*D8760,0)</f>
      </c>
    </row>
    <row r="8761" spans="1:13" x14ac:dyDescent="0.25">
      <c r="A8761" s="16"/>
      <c r="E8761" s="27"/>
      <c r="F8761" t="s">
        <v>26</v>
      </c>
      <c r="G8761" s="28">
        <f>IFERROR(VLOOKUP(F8761,CARTON_LOOKUP!$A:$E,3,0),"")</f>
      </c>
      <c r="H8761" s="28">
        <f>IFERROR(VLOOKUP(F8761,CARTON_LOOKUP!$A:$E,4,0),"")</f>
      </c>
      <c r="I8761" s="28">
        <f>IFERROR(VLOOKUP(F8761,CARTON_LOOKUP!$A:$E,5,0),"")</f>
      </c>
      <c r="J8761" s="29">
        <f>IFERROR(VLOOKUP(F8761,CARTON_LOOKUP!$A:$E,2,0),"")</f>
      </c>
      <c r="K8761" s="29">
        <f>IFERROR(J8761*D8761,0)</f>
      </c>
      <c r="L8761" s="29">
        <f>IFERROR(E8761*C8761,0)</f>
      </c>
      <c r="M8761" s="29">
        <f>IFERROR((G8761*H8761*I8761/1000000)*D8761,0)</f>
      </c>
    </row>
    <row r="8762" spans="1:13" x14ac:dyDescent="0.25">
      <c r="A8762" s="16"/>
      <c r="E8762" s="27"/>
      <c r="F8762" t="s">
        <v>26</v>
      </c>
      <c r="G8762" s="28">
        <f>IFERROR(VLOOKUP(F8762,CARTON_LOOKUP!$A:$E,3,0),"")</f>
      </c>
      <c r="H8762" s="28">
        <f>IFERROR(VLOOKUP(F8762,CARTON_LOOKUP!$A:$E,4,0),"")</f>
      </c>
      <c r="I8762" s="28">
        <f>IFERROR(VLOOKUP(F8762,CARTON_LOOKUP!$A:$E,5,0),"")</f>
      </c>
      <c r="J8762" s="29">
        <f>IFERROR(VLOOKUP(F8762,CARTON_LOOKUP!$A:$E,2,0),"")</f>
      </c>
      <c r="K8762" s="29">
        <f>IFERROR(J8762*D8762,0)</f>
      </c>
      <c r="L8762" s="29">
        <f>IFERROR(E8762*C8762,0)</f>
      </c>
      <c r="M8762" s="29">
        <f>IFERROR((G8762*H8762*I8762/1000000)*D8762,0)</f>
      </c>
    </row>
    <row r="8763" spans="1:13" x14ac:dyDescent="0.25">
      <c r="A8763" s="16"/>
      <c r="E8763" s="27"/>
      <c r="F8763" t="s">
        <v>26</v>
      </c>
      <c r="G8763" s="28">
        <f>IFERROR(VLOOKUP(F8763,CARTON_LOOKUP!$A:$E,3,0),"")</f>
      </c>
      <c r="H8763" s="28">
        <f>IFERROR(VLOOKUP(F8763,CARTON_LOOKUP!$A:$E,4,0),"")</f>
      </c>
      <c r="I8763" s="28">
        <f>IFERROR(VLOOKUP(F8763,CARTON_LOOKUP!$A:$E,5,0),"")</f>
      </c>
      <c r="J8763" s="29">
        <f>IFERROR(VLOOKUP(F8763,CARTON_LOOKUP!$A:$E,2,0),"")</f>
      </c>
      <c r="K8763" s="29">
        <f>IFERROR(J8763*D8763,0)</f>
      </c>
      <c r="L8763" s="29">
        <f>IFERROR(E8763*C8763,0)</f>
      </c>
      <c r="M8763" s="29">
        <f>IFERROR((G8763*H8763*I8763/1000000)*D8763,0)</f>
      </c>
    </row>
    <row r="8764" spans="1:13" x14ac:dyDescent="0.25">
      <c r="A8764" s="16"/>
      <c r="E8764" s="27"/>
      <c r="F8764" t="s">
        <v>26</v>
      </c>
      <c r="G8764" s="28">
        <f>IFERROR(VLOOKUP(F8764,CARTON_LOOKUP!$A:$E,3,0),"")</f>
      </c>
      <c r="H8764" s="28">
        <f>IFERROR(VLOOKUP(F8764,CARTON_LOOKUP!$A:$E,4,0),"")</f>
      </c>
      <c r="I8764" s="28">
        <f>IFERROR(VLOOKUP(F8764,CARTON_LOOKUP!$A:$E,5,0),"")</f>
      </c>
      <c r="J8764" s="29">
        <f>IFERROR(VLOOKUP(F8764,CARTON_LOOKUP!$A:$E,2,0),"")</f>
      </c>
      <c r="K8764" s="29">
        <f>IFERROR(J8764*D8764,0)</f>
      </c>
      <c r="L8764" s="29">
        <f>IFERROR(E8764*C8764,0)</f>
      </c>
      <c r="M8764" s="29">
        <f>IFERROR((G8764*H8764*I8764/1000000)*D8764,0)</f>
      </c>
    </row>
    <row r="8765" spans="1:13" x14ac:dyDescent="0.25">
      <c r="A8765" s="16"/>
      <c r="E8765" s="27"/>
      <c r="F8765" t="s">
        <v>26</v>
      </c>
      <c r="G8765" s="28">
        <f>IFERROR(VLOOKUP(F8765,CARTON_LOOKUP!$A:$E,3,0),"")</f>
      </c>
      <c r="H8765" s="28">
        <f>IFERROR(VLOOKUP(F8765,CARTON_LOOKUP!$A:$E,4,0),"")</f>
      </c>
      <c r="I8765" s="28">
        <f>IFERROR(VLOOKUP(F8765,CARTON_LOOKUP!$A:$E,5,0),"")</f>
      </c>
      <c r="J8765" s="29">
        <f>IFERROR(VLOOKUP(F8765,CARTON_LOOKUP!$A:$E,2,0),"")</f>
      </c>
      <c r="K8765" s="29">
        <f>IFERROR(J8765*D8765,0)</f>
      </c>
      <c r="L8765" s="29">
        <f>IFERROR(E8765*C8765,0)</f>
      </c>
      <c r="M8765" s="29">
        <f>IFERROR((G8765*H8765*I8765/1000000)*D8765,0)</f>
      </c>
    </row>
    <row r="8766" spans="1:13" x14ac:dyDescent="0.25">
      <c r="A8766" s="16"/>
      <c r="E8766" s="27"/>
      <c r="F8766" t="s">
        <v>26</v>
      </c>
      <c r="G8766" s="28">
        <f>IFERROR(VLOOKUP(F8766,CARTON_LOOKUP!$A:$E,3,0),"")</f>
      </c>
      <c r="H8766" s="28">
        <f>IFERROR(VLOOKUP(F8766,CARTON_LOOKUP!$A:$E,4,0),"")</f>
      </c>
      <c r="I8766" s="28">
        <f>IFERROR(VLOOKUP(F8766,CARTON_LOOKUP!$A:$E,5,0),"")</f>
      </c>
      <c r="J8766" s="29">
        <f>IFERROR(VLOOKUP(F8766,CARTON_LOOKUP!$A:$E,2,0),"")</f>
      </c>
      <c r="K8766" s="29">
        <f>IFERROR(J8766*D8766,0)</f>
      </c>
      <c r="L8766" s="29">
        <f>IFERROR(E8766*C8766,0)</f>
      </c>
      <c r="M8766" s="29">
        <f>IFERROR((G8766*H8766*I8766/1000000)*D8766,0)</f>
      </c>
    </row>
    <row r="8767" spans="1:13" x14ac:dyDescent="0.25">
      <c r="A8767" s="16"/>
      <c r="E8767" s="27"/>
      <c r="F8767" t="s">
        <v>26</v>
      </c>
      <c r="G8767" s="28">
        <f>IFERROR(VLOOKUP(F8767,CARTON_LOOKUP!$A:$E,3,0),"")</f>
      </c>
      <c r="H8767" s="28">
        <f>IFERROR(VLOOKUP(F8767,CARTON_LOOKUP!$A:$E,4,0),"")</f>
      </c>
      <c r="I8767" s="28">
        <f>IFERROR(VLOOKUP(F8767,CARTON_LOOKUP!$A:$E,5,0),"")</f>
      </c>
      <c r="J8767" s="29">
        <f>IFERROR(VLOOKUP(F8767,CARTON_LOOKUP!$A:$E,2,0),"")</f>
      </c>
      <c r="K8767" s="29">
        <f>IFERROR(J8767*D8767,0)</f>
      </c>
      <c r="L8767" s="29">
        <f>IFERROR(E8767*C8767,0)</f>
      </c>
      <c r="M8767" s="29">
        <f>IFERROR((G8767*H8767*I8767/1000000)*D8767,0)</f>
      </c>
    </row>
    <row r="8768" spans="1:13" x14ac:dyDescent="0.25">
      <c r="A8768" s="16"/>
      <c r="E8768" s="27"/>
      <c r="F8768" t="s">
        <v>26</v>
      </c>
      <c r="G8768" s="28">
        <f>IFERROR(VLOOKUP(F8768,CARTON_LOOKUP!$A:$E,3,0),"")</f>
      </c>
      <c r="H8768" s="28">
        <f>IFERROR(VLOOKUP(F8768,CARTON_LOOKUP!$A:$E,4,0),"")</f>
      </c>
      <c r="I8768" s="28">
        <f>IFERROR(VLOOKUP(F8768,CARTON_LOOKUP!$A:$E,5,0),"")</f>
      </c>
      <c r="J8768" s="29">
        <f>IFERROR(VLOOKUP(F8768,CARTON_LOOKUP!$A:$E,2,0),"")</f>
      </c>
      <c r="K8768" s="29">
        <f>IFERROR(J8768*D8768,0)</f>
      </c>
      <c r="L8768" s="29">
        <f>IFERROR(E8768*C8768,0)</f>
      </c>
      <c r="M8768" s="29">
        <f>IFERROR((G8768*H8768*I8768/1000000)*D8768,0)</f>
      </c>
    </row>
    <row r="8769" spans="1:13" x14ac:dyDescent="0.25">
      <c r="A8769" s="16"/>
      <c r="E8769" s="27"/>
      <c r="F8769" t="s">
        <v>26</v>
      </c>
      <c r="G8769" s="28">
        <f>IFERROR(VLOOKUP(F8769,CARTON_LOOKUP!$A:$E,3,0),"")</f>
      </c>
      <c r="H8769" s="28">
        <f>IFERROR(VLOOKUP(F8769,CARTON_LOOKUP!$A:$E,4,0),"")</f>
      </c>
      <c r="I8769" s="28">
        <f>IFERROR(VLOOKUP(F8769,CARTON_LOOKUP!$A:$E,5,0),"")</f>
      </c>
      <c r="J8769" s="29">
        <f>IFERROR(VLOOKUP(F8769,CARTON_LOOKUP!$A:$E,2,0),"")</f>
      </c>
      <c r="K8769" s="29">
        <f>IFERROR(J8769*D8769,0)</f>
      </c>
      <c r="L8769" s="29">
        <f>IFERROR(E8769*C8769,0)</f>
      </c>
      <c r="M8769" s="29">
        <f>IFERROR((G8769*H8769*I8769/1000000)*D8769,0)</f>
      </c>
    </row>
    <row r="8770" spans="1:13" x14ac:dyDescent="0.25">
      <c r="A8770" s="16"/>
      <c r="E8770" s="27"/>
      <c r="F8770" t="s">
        <v>26</v>
      </c>
      <c r="G8770" s="28">
        <f>IFERROR(VLOOKUP(F8770,CARTON_LOOKUP!$A:$E,3,0),"")</f>
      </c>
      <c r="H8770" s="28">
        <f>IFERROR(VLOOKUP(F8770,CARTON_LOOKUP!$A:$E,4,0),"")</f>
      </c>
      <c r="I8770" s="28">
        <f>IFERROR(VLOOKUP(F8770,CARTON_LOOKUP!$A:$E,5,0),"")</f>
      </c>
      <c r="J8770" s="29">
        <f>IFERROR(VLOOKUP(F8770,CARTON_LOOKUP!$A:$E,2,0),"")</f>
      </c>
      <c r="K8770" s="29">
        <f>IFERROR(J8770*D8770,0)</f>
      </c>
      <c r="L8770" s="29">
        <f>IFERROR(E8770*C8770,0)</f>
      </c>
      <c r="M8770" s="29">
        <f>IFERROR((G8770*H8770*I8770/1000000)*D8770,0)</f>
      </c>
    </row>
    <row r="8771" spans="1:13" x14ac:dyDescent="0.25">
      <c r="A8771" s="16"/>
      <c r="E8771" s="27"/>
      <c r="F8771" t="s">
        <v>26</v>
      </c>
      <c r="G8771" s="28">
        <f>IFERROR(VLOOKUP(F8771,CARTON_LOOKUP!$A:$E,3,0),"")</f>
      </c>
      <c r="H8771" s="28">
        <f>IFERROR(VLOOKUP(F8771,CARTON_LOOKUP!$A:$E,4,0),"")</f>
      </c>
      <c r="I8771" s="28">
        <f>IFERROR(VLOOKUP(F8771,CARTON_LOOKUP!$A:$E,5,0),"")</f>
      </c>
      <c r="J8771" s="29">
        <f>IFERROR(VLOOKUP(F8771,CARTON_LOOKUP!$A:$E,2,0),"")</f>
      </c>
      <c r="K8771" s="29">
        <f>IFERROR(J8771*D8771,0)</f>
      </c>
      <c r="L8771" s="29">
        <f>IFERROR(E8771*C8771,0)</f>
      </c>
      <c r="M8771" s="29">
        <f>IFERROR((G8771*H8771*I8771/1000000)*D8771,0)</f>
      </c>
    </row>
    <row r="8772" spans="1:13" x14ac:dyDescent="0.25">
      <c r="A8772" s="16"/>
      <c r="E8772" s="27"/>
      <c r="F8772" t="s">
        <v>26</v>
      </c>
      <c r="G8772" s="28">
        <f>IFERROR(VLOOKUP(F8772,CARTON_LOOKUP!$A:$E,3,0),"")</f>
      </c>
      <c r="H8772" s="28">
        <f>IFERROR(VLOOKUP(F8772,CARTON_LOOKUP!$A:$E,4,0),"")</f>
      </c>
      <c r="I8772" s="28">
        <f>IFERROR(VLOOKUP(F8772,CARTON_LOOKUP!$A:$E,5,0),"")</f>
      </c>
      <c r="J8772" s="29">
        <f>IFERROR(VLOOKUP(F8772,CARTON_LOOKUP!$A:$E,2,0),"")</f>
      </c>
      <c r="K8772" s="29">
        <f>IFERROR(J8772*D8772,0)</f>
      </c>
      <c r="L8772" s="29">
        <f>IFERROR(E8772*C8772,0)</f>
      </c>
      <c r="M8772" s="29">
        <f>IFERROR((G8772*H8772*I8772/1000000)*D8772,0)</f>
      </c>
    </row>
    <row r="8773" spans="1:13" x14ac:dyDescent="0.25">
      <c r="A8773" s="16"/>
      <c r="E8773" s="27"/>
      <c r="F8773" t="s">
        <v>26</v>
      </c>
      <c r="G8773" s="28">
        <f>IFERROR(VLOOKUP(F8773,CARTON_LOOKUP!$A:$E,3,0),"")</f>
      </c>
      <c r="H8773" s="28">
        <f>IFERROR(VLOOKUP(F8773,CARTON_LOOKUP!$A:$E,4,0),"")</f>
      </c>
      <c r="I8773" s="28">
        <f>IFERROR(VLOOKUP(F8773,CARTON_LOOKUP!$A:$E,5,0),"")</f>
      </c>
      <c r="J8773" s="29">
        <f>IFERROR(VLOOKUP(F8773,CARTON_LOOKUP!$A:$E,2,0),"")</f>
      </c>
      <c r="K8773" s="29">
        <f>IFERROR(J8773*D8773,0)</f>
      </c>
      <c r="L8773" s="29">
        <f>IFERROR(E8773*C8773,0)</f>
      </c>
      <c r="M8773" s="29">
        <f>IFERROR((G8773*H8773*I8773/1000000)*D8773,0)</f>
      </c>
    </row>
    <row r="8774" spans="1:13" x14ac:dyDescent="0.25">
      <c r="A8774" s="16"/>
      <c r="E8774" s="27"/>
      <c r="F8774" t="s">
        <v>26</v>
      </c>
      <c r="G8774" s="28">
        <f>IFERROR(VLOOKUP(F8774,CARTON_LOOKUP!$A:$E,3,0),"")</f>
      </c>
      <c r="H8774" s="28">
        <f>IFERROR(VLOOKUP(F8774,CARTON_LOOKUP!$A:$E,4,0),"")</f>
      </c>
      <c r="I8774" s="28">
        <f>IFERROR(VLOOKUP(F8774,CARTON_LOOKUP!$A:$E,5,0),"")</f>
      </c>
      <c r="J8774" s="29">
        <f>IFERROR(VLOOKUP(F8774,CARTON_LOOKUP!$A:$E,2,0),"")</f>
      </c>
      <c r="K8774" s="29">
        <f>IFERROR(J8774*D8774,0)</f>
      </c>
      <c r="L8774" s="29">
        <f>IFERROR(E8774*C8774,0)</f>
      </c>
      <c r="M8774" s="29">
        <f>IFERROR((G8774*H8774*I8774/1000000)*D8774,0)</f>
      </c>
    </row>
    <row r="8775" spans="1:13" x14ac:dyDescent="0.25">
      <c r="A8775" s="16"/>
      <c r="E8775" s="27"/>
      <c r="F8775" t="s">
        <v>26</v>
      </c>
      <c r="G8775" s="28">
        <f>IFERROR(VLOOKUP(F8775,CARTON_LOOKUP!$A:$E,3,0),"")</f>
      </c>
      <c r="H8775" s="28">
        <f>IFERROR(VLOOKUP(F8775,CARTON_LOOKUP!$A:$E,4,0),"")</f>
      </c>
      <c r="I8775" s="28">
        <f>IFERROR(VLOOKUP(F8775,CARTON_LOOKUP!$A:$E,5,0),"")</f>
      </c>
      <c r="J8775" s="29">
        <f>IFERROR(VLOOKUP(F8775,CARTON_LOOKUP!$A:$E,2,0),"")</f>
      </c>
      <c r="K8775" s="29">
        <f>IFERROR(J8775*D8775,0)</f>
      </c>
      <c r="L8775" s="29">
        <f>IFERROR(E8775*C8775,0)</f>
      </c>
      <c r="M8775" s="29">
        <f>IFERROR((G8775*H8775*I8775/1000000)*D8775,0)</f>
      </c>
    </row>
    <row r="8776" spans="1:13" x14ac:dyDescent="0.25">
      <c r="A8776" s="16"/>
      <c r="E8776" s="27"/>
      <c r="F8776" t="s">
        <v>26</v>
      </c>
      <c r="G8776" s="28">
        <f>IFERROR(VLOOKUP(F8776,CARTON_LOOKUP!$A:$E,3,0),"")</f>
      </c>
      <c r="H8776" s="28">
        <f>IFERROR(VLOOKUP(F8776,CARTON_LOOKUP!$A:$E,4,0),"")</f>
      </c>
      <c r="I8776" s="28">
        <f>IFERROR(VLOOKUP(F8776,CARTON_LOOKUP!$A:$E,5,0),"")</f>
      </c>
      <c r="J8776" s="29">
        <f>IFERROR(VLOOKUP(F8776,CARTON_LOOKUP!$A:$E,2,0),"")</f>
      </c>
      <c r="K8776" s="29">
        <f>IFERROR(J8776*D8776,0)</f>
      </c>
      <c r="L8776" s="29">
        <f>IFERROR(E8776*C8776,0)</f>
      </c>
      <c r="M8776" s="29">
        <f>IFERROR((G8776*H8776*I8776/1000000)*D8776,0)</f>
      </c>
    </row>
    <row r="8777" spans="1:13" x14ac:dyDescent="0.25">
      <c r="A8777" s="16"/>
      <c r="E8777" s="27"/>
      <c r="F8777" t="s">
        <v>26</v>
      </c>
      <c r="G8777" s="28">
        <f>IFERROR(VLOOKUP(F8777,CARTON_LOOKUP!$A:$E,3,0),"")</f>
      </c>
      <c r="H8777" s="28">
        <f>IFERROR(VLOOKUP(F8777,CARTON_LOOKUP!$A:$E,4,0),"")</f>
      </c>
      <c r="I8777" s="28">
        <f>IFERROR(VLOOKUP(F8777,CARTON_LOOKUP!$A:$E,5,0),"")</f>
      </c>
      <c r="J8777" s="29">
        <f>IFERROR(VLOOKUP(F8777,CARTON_LOOKUP!$A:$E,2,0),"")</f>
      </c>
      <c r="K8777" s="29">
        <f>IFERROR(J8777*D8777,0)</f>
      </c>
      <c r="L8777" s="29">
        <f>IFERROR(E8777*C8777,0)</f>
      </c>
      <c r="M8777" s="29">
        <f>IFERROR((G8777*H8777*I8777/1000000)*D8777,0)</f>
      </c>
    </row>
    <row r="8778" spans="1:13" x14ac:dyDescent="0.25">
      <c r="A8778" s="16"/>
      <c r="E8778" s="27"/>
      <c r="F8778" t="s">
        <v>26</v>
      </c>
      <c r="G8778" s="28">
        <f>IFERROR(VLOOKUP(F8778,CARTON_LOOKUP!$A:$E,3,0),"")</f>
      </c>
      <c r="H8778" s="28">
        <f>IFERROR(VLOOKUP(F8778,CARTON_LOOKUP!$A:$E,4,0),"")</f>
      </c>
      <c r="I8778" s="28">
        <f>IFERROR(VLOOKUP(F8778,CARTON_LOOKUP!$A:$E,5,0),"")</f>
      </c>
      <c r="J8778" s="29">
        <f>IFERROR(VLOOKUP(F8778,CARTON_LOOKUP!$A:$E,2,0),"")</f>
      </c>
      <c r="K8778" s="29">
        <f>IFERROR(J8778*D8778,0)</f>
      </c>
      <c r="L8778" s="29">
        <f>IFERROR(E8778*C8778,0)</f>
      </c>
      <c r="M8778" s="29">
        <f>IFERROR((G8778*H8778*I8778/1000000)*D8778,0)</f>
      </c>
    </row>
    <row r="8779" spans="1:13" x14ac:dyDescent="0.25">
      <c r="A8779" s="16"/>
      <c r="E8779" s="27"/>
      <c r="F8779" t="s">
        <v>26</v>
      </c>
      <c r="G8779" s="28">
        <f>IFERROR(VLOOKUP(F8779,CARTON_LOOKUP!$A:$E,3,0),"")</f>
      </c>
      <c r="H8779" s="28">
        <f>IFERROR(VLOOKUP(F8779,CARTON_LOOKUP!$A:$E,4,0),"")</f>
      </c>
      <c r="I8779" s="28">
        <f>IFERROR(VLOOKUP(F8779,CARTON_LOOKUP!$A:$E,5,0),"")</f>
      </c>
      <c r="J8779" s="29">
        <f>IFERROR(VLOOKUP(F8779,CARTON_LOOKUP!$A:$E,2,0),"")</f>
      </c>
      <c r="K8779" s="29">
        <f>IFERROR(J8779*D8779,0)</f>
      </c>
      <c r="L8779" s="29">
        <f>IFERROR(E8779*C8779,0)</f>
      </c>
      <c r="M8779" s="29">
        <f>IFERROR((G8779*H8779*I8779/1000000)*D8779,0)</f>
      </c>
    </row>
    <row r="8780" spans="1:13" x14ac:dyDescent="0.25">
      <c r="A8780" s="16"/>
      <c r="E8780" s="27"/>
      <c r="F8780" t="s">
        <v>26</v>
      </c>
      <c r="G8780" s="28">
        <f>IFERROR(VLOOKUP(F8780,CARTON_LOOKUP!$A:$E,3,0),"")</f>
      </c>
      <c r="H8780" s="28">
        <f>IFERROR(VLOOKUP(F8780,CARTON_LOOKUP!$A:$E,4,0),"")</f>
      </c>
      <c r="I8780" s="28">
        <f>IFERROR(VLOOKUP(F8780,CARTON_LOOKUP!$A:$E,5,0),"")</f>
      </c>
      <c r="J8780" s="29">
        <f>IFERROR(VLOOKUP(F8780,CARTON_LOOKUP!$A:$E,2,0),"")</f>
      </c>
      <c r="K8780" s="29">
        <f>IFERROR(J8780*D8780,0)</f>
      </c>
      <c r="L8780" s="29">
        <f>IFERROR(E8780*C8780,0)</f>
      </c>
      <c r="M8780" s="29">
        <f>IFERROR((G8780*H8780*I8780/1000000)*D8780,0)</f>
      </c>
    </row>
    <row r="8781" spans="1:13" x14ac:dyDescent="0.25">
      <c r="A8781" s="16"/>
      <c r="E8781" s="27"/>
      <c r="F8781" t="s">
        <v>26</v>
      </c>
      <c r="G8781" s="28">
        <f>IFERROR(VLOOKUP(F8781,CARTON_LOOKUP!$A:$E,3,0),"")</f>
      </c>
      <c r="H8781" s="28">
        <f>IFERROR(VLOOKUP(F8781,CARTON_LOOKUP!$A:$E,4,0),"")</f>
      </c>
      <c r="I8781" s="28">
        <f>IFERROR(VLOOKUP(F8781,CARTON_LOOKUP!$A:$E,5,0),"")</f>
      </c>
      <c r="J8781" s="29">
        <f>IFERROR(VLOOKUP(F8781,CARTON_LOOKUP!$A:$E,2,0),"")</f>
      </c>
      <c r="K8781" s="29">
        <f>IFERROR(J8781*D8781,0)</f>
      </c>
      <c r="L8781" s="29">
        <f>IFERROR(E8781*C8781,0)</f>
      </c>
      <c r="M8781" s="29">
        <f>IFERROR((G8781*H8781*I8781/1000000)*D8781,0)</f>
      </c>
    </row>
    <row r="8782" spans="1:13" x14ac:dyDescent="0.25">
      <c r="A8782" s="16"/>
      <c r="E8782" s="27"/>
      <c r="F8782" t="s">
        <v>26</v>
      </c>
      <c r="G8782" s="28">
        <f>IFERROR(VLOOKUP(F8782,CARTON_LOOKUP!$A:$E,3,0),"")</f>
      </c>
      <c r="H8782" s="28">
        <f>IFERROR(VLOOKUP(F8782,CARTON_LOOKUP!$A:$E,4,0),"")</f>
      </c>
      <c r="I8782" s="28">
        <f>IFERROR(VLOOKUP(F8782,CARTON_LOOKUP!$A:$E,5,0),"")</f>
      </c>
      <c r="J8782" s="29">
        <f>IFERROR(VLOOKUP(F8782,CARTON_LOOKUP!$A:$E,2,0),"")</f>
      </c>
      <c r="K8782" s="29">
        <f>IFERROR(J8782*D8782,0)</f>
      </c>
      <c r="L8782" s="29">
        <f>IFERROR(E8782*C8782,0)</f>
      </c>
      <c r="M8782" s="29">
        <f>IFERROR((G8782*H8782*I8782/1000000)*D8782,0)</f>
      </c>
    </row>
    <row r="8783" spans="1:13" x14ac:dyDescent="0.25">
      <c r="A8783" s="16"/>
      <c r="E8783" s="27"/>
      <c r="F8783" t="s">
        <v>26</v>
      </c>
      <c r="G8783" s="28">
        <f>IFERROR(VLOOKUP(F8783,CARTON_LOOKUP!$A:$E,3,0),"")</f>
      </c>
      <c r="H8783" s="28">
        <f>IFERROR(VLOOKUP(F8783,CARTON_LOOKUP!$A:$E,4,0),"")</f>
      </c>
      <c r="I8783" s="28">
        <f>IFERROR(VLOOKUP(F8783,CARTON_LOOKUP!$A:$E,5,0),"")</f>
      </c>
      <c r="J8783" s="29">
        <f>IFERROR(VLOOKUP(F8783,CARTON_LOOKUP!$A:$E,2,0),"")</f>
      </c>
      <c r="K8783" s="29">
        <f>IFERROR(J8783*D8783,0)</f>
      </c>
      <c r="L8783" s="29">
        <f>IFERROR(E8783*C8783,0)</f>
      </c>
      <c r="M8783" s="29">
        <f>IFERROR((G8783*H8783*I8783/1000000)*D8783,0)</f>
      </c>
    </row>
    <row r="8784" spans="1:13" x14ac:dyDescent="0.25">
      <c r="A8784" s="16"/>
      <c r="E8784" s="27"/>
      <c r="F8784" t="s">
        <v>26</v>
      </c>
      <c r="G8784" s="28">
        <f>IFERROR(VLOOKUP(F8784,CARTON_LOOKUP!$A:$E,3,0),"")</f>
      </c>
      <c r="H8784" s="28">
        <f>IFERROR(VLOOKUP(F8784,CARTON_LOOKUP!$A:$E,4,0),"")</f>
      </c>
      <c r="I8784" s="28">
        <f>IFERROR(VLOOKUP(F8784,CARTON_LOOKUP!$A:$E,5,0),"")</f>
      </c>
      <c r="J8784" s="29">
        <f>IFERROR(VLOOKUP(F8784,CARTON_LOOKUP!$A:$E,2,0),"")</f>
      </c>
      <c r="K8784" s="29">
        <f>IFERROR(J8784*D8784,0)</f>
      </c>
      <c r="L8784" s="29">
        <f>IFERROR(E8784*C8784,0)</f>
      </c>
      <c r="M8784" s="29">
        <f>IFERROR((G8784*H8784*I8784/1000000)*D8784,0)</f>
      </c>
    </row>
    <row r="8785" spans="1:13" x14ac:dyDescent="0.25">
      <c r="A8785" s="16"/>
      <c r="E8785" s="27"/>
      <c r="F8785" t="s">
        <v>26</v>
      </c>
      <c r="G8785" s="28">
        <f>IFERROR(VLOOKUP(F8785,CARTON_LOOKUP!$A:$E,3,0),"")</f>
      </c>
      <c r="H8785" s="28">
        <f>IFERROR(VLOOKUP(F8785,CARTON_LOOKUP!$A:$E,4,0),"")</f>
      </c>
      <c r="I8785" s="28">
        <f>IFERROR(VLOOKUP(F8785,CARTON_LOOKUP!$A:$E,5,0),"")</f>
      </c>
      <c r="J8785" s="29">
        <f>IFERROR(VLOOKUP(F8785,CARTON_LOOKUP!$A:$E,2,0),"")</f>
      </c>
      <c r="K8785" s="29">
        <f>IFERROR(J8785*D8785,0)</f>
      </c>
      <c r="L8785" s="29">
        <f>IFERROR(E8785*C8785,0)</f>
      </c>
      <c r="M8785" s="29">
        <f>IFERROR((G8785*H8785*I8785/1000000)*D8785,0)</f>
      </c>
    </row>
    <row r="8786" spans="1:13" x14ac:dyDescent="0.25">
      <c r="A8786" s="16"/>
      <c r="E8786" s="27"/>
      <c r="F8786" t="s">
        <v>26</v>
      </c>
      <c r="G8786" s="28">
        <f>IFERROR(VLOOKUP(F8786,CARTON_LOOKUP!$A:$E,3,0),"")</f>
      </c>
      <c r="H8786" s="28">
        <f>IFERROR(VLOOKUP(F8786,CARTON_LOOKUP!$A:$E,4,0),"")</f>
      </c>
      <c r="I8786" s="28">
        <f>IFERROR(VLOOKUP(F8786,CARTON_LOOKUP!$A:$E,5,0),"")</f>
      </c>
      <c r="J8786" s="29">
        <f>IFERROR(VLOOKUP(F8786,CARTON_LOOKUP!$A:$E,2,0),"")</f>
      </c>
      <c r="K8786" s="29">
        <f>IFERROR(J8786*D8786,0)</f>
      </c>
      <c r="L8786" s="29">
        <f>IFERROR(E8786*C8786,0)</f>
      </c>
      <c r="M8786" s="29">
        <f>IFERROR((G8786*H8786*I8786/1000000)*D8786,0)</f>
      </c>
    </row>
    <row r="8787" spans="1:13" x14ac:dyDescent="0.25">
      <c r="A8787" s="16"/>
      <c r="E8787" s="27"/>
      <c r="F8787" t="s">
        <v>26</v>
      </c>
      <c r="G8787" s="28">
        <f>IFERROR(VLOOKUP(F8787,CARTON_LOOKUP!$A:$E,3,0),"")</f>
      </c>
      <c r="H8787" s="28">
        <f>IFERROR(VLOOKUP(F8787,CARTON_LOOKUP!$A:$E,4,0),"")</f>
      </c>
      <c r="I8787" s="28">
        <f>IFERROR(VLOOKUP(F8787,CARTON_LOOKUP!$A:$E,5,0),"")</f>
      </c>
      <c r="J8787" s="29">
        <f>IFERROR(VLOOKUP(F8787,CARTON_LOOKUP!$A:$E,2,0),"")</f>
      </c>
      <c r="K8787" s="29">
        <f>IFERROR(J8787*D8787,0)</f>
      </c>
      <c r="L8787" s="29">
        <f>IFERROR(E8787*C8787,0)</f>
      </c>
      <c r="M8787" s="29">
        <f>IFERROR((G8787*H8787*I8787/1000000)*D8787,0)</f>
      </c>
    </row>
    <row r="8788" spans="1:13" x14ac:dyDescent="0.25">
      <c r="A8788" s="16"/>
      <c r="E8788" s="27"/>
      <c r="F8788" t="s">
        <v>26</v>
      </c>
      <c r="G8788" s="28">
        <f>IFERROR(VLOOKUP(F8788,CARTON_LOOKUP!$A:$E,3,0),"")</f>
      </c>
      <c r="H8788" s="28">
        <f>IFERROR(VLOOKUP(F8788,CARTON_LOOKUP!$A:$E,4,0),"")</f>
      </c>
      <c r="I8788" s="28">
        <f>IFERROR(VLOOKUP(F8788,CARTON_LOOKUP!$A:$E,5,0),"")</f>
      </c>
      <c r="J8788" s="29">
        <f>IFERROR(VLOOKUP(F8788,CARTON_LOOKUP!$A:$E,2,0),"")</f>
      </c>
      <c r="K8788" s="29">
        <f>IFERROR(J8788*D8788,0)</f>
      </c>
      <c r="L8788" s="29">
        <f>IFERROR(E8788*C8788,0)</f>
      </c>
      <c r="M8788" s="29">
        <f>IFERROR((G8788*H8788*I8788/1000000)*D8788,0)</f>
      </c>
    </row>
    <row r="8789" spans="1:13" x14ac:dyDescent="0.25">
      <c r="A8789" s="16"/>
      <c r="E8789" s="27"/>
      <c r="F8789" t="s">
        <v>26</v>
      </c>
      <c r="G8789" s="28">
        <f>IFERROR(VLOOKUP(F8789,CARTON_LOOKUP!$A:$E,3,0),"")</f>
      </c>
      <c r="H8789" s="28">
        <f>IFERROR(VLOOKUP(F8789,CARTON_LOOKUP!$A:$E,4,0),"")</f>
      </c>
      <c r="I8789" s="28">
        <f>IFERROR(VLOOKUP(F8789,CARTON_LOOKUP!$A:$E,5,0),"")</f>
      </c>
      <c r="J8789" s="29">
        <f>IFERROR(VLOOKUP(F8789,CARTON_LOOKUP!$A:$E,2,0),"")</f>
      </c>
      <c r="K8789" s="29">
        <f>IFERROR(J8789*D8789,0)</f>
      </c>
      <c r="L8789" s="29">
        <f>IFERROR(E8789*C8789,0)</f>
      </c>
      <c r="M8789" s="29">
        <f>IFERROR((G8789*H8789*I8789/1000000)*D8789,0)</f>
      </c>
    </row>
    <row r="8790" spans="1:13" x14ac:dyDescent="0.25">
      <c r="A8790" s="16"/>
      <c r="E8790" s="27"/>
      <c r="F8790" t="s">
        <v>26</v>
      </c>
      <c r="G8790" s="28">
        <f>IFERROR(VLOOKUP(F8790,CARTON_LOOKUP!$A:$E,3,0),"")</f>
      </c>
      <c r="H8790" s="28">
        <f>IFERROR(VLOOKUP(F8790,CARTON_LOOKUP!$A:$E,4,0),"")</f>
      </c>
      <c r="I8790" s="28">
        <f>IFERROR(VLOOKUP(F8790,CARTON_LOOKUP!$A:$E,5,0),"")</f>
      </c>
      <c r="J8790" s="29">
        <f>IFERROR(VLOOKUP(F8790,CARTON_LOOKUP!$A:$E,2,0),"")</f>
      </c>
      <c r="K8790" s="29">
        <f>IFERROR(J8790*D8790,0)</f>
      </c>
      <c r="L8790" s="29">
        <f>IFERROR(E8790*C8790,0)</f>
      </c>
      <c r="M8790" s="29">
        <f>IFERROR((G8790*H8790*I8790/1000000)*D8790,0)</f>
      </c>
    </row>
    <row r="8791" spans="1:13" x14ac:dyDescent="0.25">
      <c r="A8791" s="16"/>
      <c r="E8791" s="27"/>
      <c r="F8791" t="s">
        <v>26</v>
      </c>
      <c r="G8791" s="28">
        <f>IFERROR(VLOOKUP(F8791,CARTON_LOOKUP!$A:$E,3,0),"")</f>
      </c>
      <c r="H8791" s="28">
        <f>IFERROR(VLOOKUP(F8791,CARTON_LOOKUP!$A:$E,4,0),"")</f>
      </c>
      <c r="I8791" s="28">
        <f>IFERROR(VLOOKUP(F8791,CARTON_LOOKUP!$A:$E,5,0),"")</f>
      </c>
      <c r="J8791" s="29">
        <f>IFERROR(VLOOKUP(F8791,CARTON_LOOKUP!$A:$E,2,0),"")</f>
      </c>
      <c r="K8791" s="29">
        <f>IFERROR(J8791*D8791,0)</f>
      </c>
      <c r="L8791" s="29">
        <f>IFERROR(E8791*C8791,0)</f>
      </c>
      <c r="M8791" s="29">
        <f>IFERROR((G8791*H8791*I8791/1000000)*D8791,0)</f>
      </c>
    </row>
    <row r="8792" spans="1:13" x14ac:dyDescent="0.25">
      <c r="A8792" s="16"/>
      <c r="E8792" s="27"/>
      <c r="F8792" t="s">
        <v>26</v>
      </c>
      <c r="G8792" s="28">
        <f>IFERROR(VLOOKUP(F8792,CARTON_LOOKUP!$A:$E,3,0),"")</f>
      </c>
      <c r="H8792" s="28">
        <f>IFERROR(VLOOKUP(F8792,CARTON_LOOKUP!$A:$E,4,0),"")</f>
      </c>
      <c r="I8792" s="28">
        <f>IFERROR(VLOOKUP(F8792,CARTON_LOOKUP!$A:$E,5,0),"")</f>
      </c>
      <c r="J8792" s="29">
        <f>IFERROR(VLOOKUP(F8792,CARTON_LOOKUP!$A:$E,2,0),"")</f>
      </c>
      <c r="K8792" s="29">
        <f>IFERROR(J8792*D8792,0)</f>
      </c>
      <c r="L8792" s="29">
        <f>IFERROR(E8792*C8792,0)</f>
      </c>
      <c r="M8792" s="29">
        <f>IFERROR((G8792*H8792*I8792/1000000)*D8792,0)</f>
      </c>
    </row>
    <row r="8793" spans="1:13" x14ac:dyDescent="0.25">
      <c r="A8793" s="16"/>
      <c r="E8793" s="27"/>
      <c r="F8793" t="s">
        <v>26</v>
      </c>
      <c r="G8793" s="28">
        <f>IFERROR(VLOOKUP(F8793,CARTON_LOOKUP!$A:$E,3,0),"")</f>
      </c>
      <c r="H8793" s="28">
        <f>IFERROR(VLOOKUP(F8793,CARTON_LOOKUP!$A:$E,4,0),"")</f>
      </c>
      <c r="I8793" s="28">
        <f>IFERROR(VLOOKUP(F8793,CARTON_LOOKUP!$A:$E,5,0),"")</f>
      </c>
      <c r="J8793" s="29">
        <f>IFERROR(VLOOKUP(F8793,CARTON_LOOKUP!$A:$E,2,0),"")</f>
      </c>
      <c r="K8793" s="29">
        <f>IFERROR(J8793*D8793,0)</f>
      </c>
      <c r="L8793" s="29">
        <f>IFERROR(E8793*C8793,0)</f>
      </c>
      <c r="M8793" s="29">
        <f>IFERROR((G8793*H8793*I8793/1000000)*D8793,0)</f>
      </c>
    </row>
    <row r="8794" spans="1:13" x14ac:dyDescent="0.25">
      <c r="A8794" s="16"/>
      <c r="E8794" s="27"/>
      <c r="F8794" t="s">
        <v>26</v>
      </c>
      <c r="G8794" s="28">
        <f>IFERROR(VLOOKUP(F8794,CARTON_LOOKUP!$A:$E,3,0),"")</f>
      </c>
      <c r="H8794" s="28">
        <f>IFERROR(VLOOKUP(F8794,CARTON_LOOKUP!$A:$E,4,0),"")</f>
      </c>
      <c r="I8794" s="28">
        <f>IFERROR(VLOOKUP(F8794,CARTON_LOOKUP!$A:$E,5,0),"")</f>
      </c>
      <c r="J8794" s="29">
        <f>IFERROR(VLOOKUP(F8794,CARTON_LOOKUP!$A:$E,2,0),"")</f>
      </c>
      <c r="K8794" s="29">
        <f>IFERROR(J8794*D8794,0)</f>
      </c>
      <c r="L8794" s="29">
        <f>IFERROR(E8794*C8794,0)</f>
      </c>
      <c r="M8794" s="29">
        <f>IFERROR((G8794*H8794*I8794/1000000)*D8794,0)</f>
      </c>
    </row>
    <row r="8795" spans="1:13" x14ac:dyDescent="0.25">
      <c r="A8795" s="16"/>
      <c r="E8795" s="27"/>
      <c r="F8795" t="s">
        <v>26</v>
      </c>
      <c r="G8795" s="28">
        <f>IFERROR(VLOOKUP(F8795,CARTON_LOOKUP!$A:$E,3,0),"")</f>
      </c>
      <c r="H8795" s="28">
        <f>IFERROR(VLOOKUP(F8795,CARTON_LOOKUP!$A:$E,4,0),"")</f>
      </c>
      <c r="I8795" s="28">
        <f>IFERROR(VLOOKUP(F8795,CARTON_LOOKUP!$A:$E,5,0),"")</f>
      </c>
      <c r="J8795" s="29">
        <f>IFERROR(VLOOKUP(F8795,CARTON_LOOKUP!$A:$E,2,0),"")</f>
      </c>
      <c r="K8795" s="29">
        <f>IFERROR(J8795*D8795,0)</f>
      </c>
      <c r="L8795" s="29">
        <f>IFERROR(E8795*C8795,0)</f>
      </c>
      <c r="M8795" s="29">
        <f>IFERROR((G8795*H8795*I8795/1000000)*D8795,0)</f>
      </c>
    </row>
    <row r="8796" spans="1:13" x14ac:dyDescent="0.25">
      <c r="A8796" s="16"/>
      <c r="E8796" s="27"/>
      <c r="F8796" t="s">
        <v>26</v>
      </c>
      <c r="G8796" s="28">
        <f>IFERROR(VLOOKUP(F8796,CARTON_LOOKUP!$A:$E,3,0),"")</f>
      </c>
      <c r="H8796" s="28">
        <f>IFERROR(VLOOKUP(F8796,CARTON_LOOKUP!$A:$E,4,0),"")</f>
      </c>
      <c r="I8796" s="28">
        <f>IFERROR(VLOOKUP(F8796,CARTON_LOOKUP!$A:$E,5,0),"")</f>
      </c>
      <c r="J8796" s="29">
        <f>IFERROR(VLOOKUP(F8796,CARTON_LOOKUP!$A:$E,2,0),"")</f>
      </c>
      <c r="K8796" s="29">
        <f>IFERROR(J8796*D8796,0)</f>
      </c>
      <c r="L8796" s="29">
        <f>IFERROR(E8796*C8796,0)</f>
      </c>
      <c r="M8796" s="29">
        <f>IFERROR((G8796*H8796*I8796/1000000)*D8796,0)</f>
      </c>
    </row>
    <row r="8797" spans="1:13" x14ac:dyDescent="0.25">
      <c r="A8797" s="16"/>
      <c r="E8797" s="27"/>
      <c r="F8797" t="s">
        <v>26</v>
      </c>
      <c r="G8797" s="28">
        <f>IFERROR(VLOOKUP(F8797,CARTON_LOOKUP!$A:$E,3,0),"")</f>
      </c>
      <c r="H8797" s="28">
        <f>IFERROR(VLOOKUP(F8797,CARTON_LOOKUP!$A:$E,4,0),"")</f>
      </c>
      <c r="I8797" s="28">
        <f>IFERROR(VLOOKUP(F8797,CARTON_LOOKUP!$A:$E,5,0),"")</f>
      </c>
      <c r="J8797" s="29">
        <f>IFERROR(VLOOKUP(F8797,CARTON_LOOKUP!$A:$E,2,0),"")</f>
      </c>
      <c r="K8797" s="29">
        <f>IFERROR(J8797*D8797,0)</f>
      </c>
      <c r="L8797" s="29">
        <f>IFERROR(E8797*C8797,0)</f>
      </c>
      <c r="M8797" s="29">
        <f>IFERROR((G8797*H8797*I8797/1000000)*D8797,0)</f>
      </c>
    </row>
    <row r="8798" spans="1:13" x14ac:dyDescent="0.25">
      <c r="A8798" s="16"/>
      <c r="E8798" s="27"/>
      <c r="F8798" t="s">
        <v>26</v>
      </c>
      <c r="G8798" s="28">
        <f>IFERROR(VLOOKUP(F8798,CARTON_LOOKUP!$A:$E,3,0),"")</f>
      </c>
      <c r="H8798" s="28">
        <f>IFERROR(VLOOKUP(F8798,CARTON_LOOKUP!$A:$E,4,0),"")</f>
      </c>
      <c r="I8798" s="28">
        <f>IFERROR(VLOOKUP(F8798,CARTON_LOOKUP!$A:$E,5,0),"")</f>
      </c>
      <c r="J8798" s="29">
        <f>IFERROR(VLOOKUP(F8798,CARTON_LOOKUP!$A:$E,2,0),"")</f>
      </c>
      <c r="K8798" s="29">
        <f>IFERROR(J8798*D8798,0)</f>
      </c>
      <c r="L8798" s="29">
        <f>IFERROR(E8798*C8798,0)</f>
      </c>
      <c r="M8798" s="29">
        <f>IFERROR((G8798*H8798*I8798/1000000)*D8798,0)</f>
      </c>
    </row>
    <row r="8799" spans="1:13" x14ac:dyDescent="0.25">
      <c r="A8799" s="16"/>
      <c r="E8799" s="27"/>
      <c r="F8799" t="s">
        <v>26</v>
      </c>
      <c r="G8799" s="28">
        <f>IFERROR(VLOOKUP(F8799,CARTON_LOOKUP!$A:$E,3,0),"")</f>
      </c>
      <c r="H8799" s="28">
        <f>IFERROR(VLOOKUP(F8799,CARTON_LOOKUP!$A:$E,4,0),"")</f>
      </c>
      <c r="I8799" s="28">
        <f>IFERROR(VLOOKUP(F8799,CARTON_LOOKUP!$A:$E,5,0),"")</f>
      </c>
      <c r="J8799" s="29">
        <f>IFERROR(VLOOKUP(F8799,CARTON_LOOKUP!$A:$E,2,0),"")</f>
      </c>
      <c r="K8799" s="29">
        <f>IFERROR(J8799*D8799,0)</f>
      </c>
      <c r="L8799" s="29">
        <f>IFERROR(E8799*C8799,0)</f>
      </c>
      <c r="M8799" s="29">
        <f>IFERROR((G8799*H8799*I8799/1000000)*D8799,0)</f>
      </c>
    </row>
    <row r="8800" spans="1:13" x14ac:dyDescent="0.25">
      <c r="A8800" s="16"/>
      <c r="E8800" s="27"/>
      <c r="F8800" t="s">
        <v>26</v>
      </c>
      <c r="G8800" s="28">
        <f>IFERROR(VLOOKUP(F8800,CARTON_LOOKUP!$A:$E,3,0),"")</f>
      </c>
      <c r="H8800" s="28">
        <f>IFERROR(VLOOKUP(F8800,CARTON_LOOKUP!$A:$E,4,0),"")</f>
      </c>
      <c r="I8800" s="28">
        <f>IFERROR(VLOOKUP(F8800,CARTON_LOOKUP!$A:$E,5,0),"")</f>
      </c>
      <c r="J8800" s="29">
        <f>IFERROR(VLOOKUP(F8800,CARTON_LOOKUP!$A:$E,2,0),"")</f>
      </c>
      <c r="K8800" s="29">
        <f>IFERROR(J8800*D8800,0)</f>
      </c>
      <c r="L8800" s="29">
        <f>IFERROR(E8800*C8800,0)</f>
      </c>
      <c r="M8800" s="29">
        <f>IFERROR((G8800*H8800*I8800/1000000)*D8800,0)</f>
      </c>
    </row>
    <row r="8801" spans="1:13" x14ac:dyDescent="0.25">
      <c r="A8801" s="16"/>
      <c r="E8801" s="27"/>
      <c r="F8801" t="s">
        <v>26</v>
      </c>
      <c r="G8801" s="28">
        <f>IFERROR(VLOOKUP(F8801,CARTON_LOOKUP!$A:$E,3,0),"")</f>
      </c>
      <c r="H8801" s="28">
        <f>IFERROR(VLOOKUP(F8801,CARTON_LOOKUP!$A:$E,4,0),"")</f>
      </c>
      <c r="I8801" s="28">
        <f>IFERROR(VLOOKUP(F8801,CARTON_LOOKUP!$A:$E,5,0),"")</f>
      </c>
      <c r="J8801" s="29">
        <f>IFERROR(VLOOKUP(F8801,CARTON_LOOKUP!$A:$E,2,0),"")</f>
      </c>
      <c r="K8801" s="29">
        <f>IFERROR(J8801*D8801,0)</f>
      </c>
      <c r="L8801" s="29">
        <f>IFERROR(E8801*C8801,0)</f>
      </c>
      <c r="M8801" s="29">
        <f>IFERROR((G8801*H8801*I8801/1000000)*D8801,0)</f>
      </c>
    </row>
    <row r="8802" spans="1:13" x14ac:dyDescent="0.25">
      <c r="A8802" s="16"/>
      <c r="E8802" s="27"/>
      <c r="F8802" t="s">
        <v>26</v>
      </c>
      <c r="G8802" s="28">
        <f>IFERROR(VLOOKUP(F8802,CARTON_LOOKUP!$A:$E,3,0),"")</f>
      </c>
      <c r="H8802" s="28">
        <f>IFERROR(VLOOKUP(F8802,CARTON_LOOKUP!$A:$E,4,0),"")</f>
      </c>
      <c r="I8802" s="28">
        <f>IFERROR(VLOOKUP(F8802,CARTON_LOOKUP!$A:$E,5,0),"")</f>
      </c>
      <c r="J8802" s="29">
        <f>IFERROR(VLOOKUP(F8802,CARTON_LOOKUP!$A:$E,2,0),"")</f>
      </c>
      <c r="K8802" s="29">
        <f>IFERROR(J8802*D8802,0)</f>
      </c>
      <c r="L8802" s="29">
        <f>IFERROR(E8802*C8802,0)</f>
      </c>
      <c r="M8802" s="29">
        <f>IFERROR((G8802*H8802*I8802/1000000)*D8802,0)</f>
      </c>
    </row>
    <row r="8803" spans="1:13" x14ac:dyDescent="0.25">
      <c r="A8803" s="16"/>
      <c r="E8803" s="27"/>
      <c r="F8803" t="s">
        <v>26</v>
      </c>
      <c r="G8803" s="28">
        <f>IFERROR(VLOOKUP(F8803,CARTON_LOOKUP!$A:$E,3,0),"")</f>
      </c>
      <c r="H8803" s="28">
        <f>IFERROR(VLOOKUP(F8803,CARTON_LOOKUP!$A:$E,4,0),"")</f>
      </c>
      <c r="I8803" s="28">
        <f>IFERROR(VLOOKUP(F8803,CARTON_LOOKUP!$A:$E,5,0),"")</f>
      </c>
      <c r="J8803" s="29">
        <f>IFERROR(VLOOKUP(F8803,CARTON_LOOKUP!$A:$E,2,0),"")</f>
      </c>
      <c r="K8803" s="29">
        <f>IFERROR(J8803*D8803,0)</f>
      </c>
      <c r="L8803" s="29">
        <f>IFERROR(E8803*C8803,0)</f>
      </c>
      <c r="M8803" s="29">
        <f>IFERROR((G8803*H8803*I8803/1000000)*D8803,0)</f>
      </c>
    </row>
    <row r="8804" spans="1:13" x14ac:dyDescent="0.25">
      <c r="A8804" s="16"/>
      <c r="E8804" s="27"/>
      <c r="F8804" t="s">
        <v>26</v>
      </c>
      <c r="G8804" s="28">
        <f>IFERROR(VLOOKUP(F8804,CARTON_LOOKUP!$A:$E,3,0),"")</f>
      </c>
      <c r="H8804" s="28">
        <f>IFERROR(VLOOKUP(F8804,CARTON_LOOKUP!$A:$E,4,0),"")</f>
      </c>
      <c r="I8804" s="28">
        <f>IFERROR(VLOOKUP(F8804,CARTON_LOOKUP!$A:$E,5,0),"")</f>
      </c>
      <c r="J8804" s="29">
        <f>IFERROR(VLOOKUP(F8804,CARTON_LOOKUP!$A:$E,2,0),"")</f>
      </c>
      <c r="K8804" s="29">
        <f>IFERROR(J8804*D8804,0)</f>
      </c>
      <c r="L8804" s="29">
        <f>IFERROR(E8804*C8804,0)</f>
      </c>
      <c r="M8804" s="29">
        <f>IFERROR((G8804*H8804*I8804/1000000)*D8804,0)</f>
      </c>
    </row>
    <row r="8805" spans="1:13" x14ac:dyDescent="0.25">
      <c r="A8805" s="16"/>
      <c r="E8805" s="27"/>
      <c r="F8805" t="s">
        <v>26</v>
      </c>
      <c r="G8805" s="28">
        <f>IFERROR(VLOOKUP(F8805,CARTON_LOOKUP!$A:$E,3,0),"")</f>
      </c>
      <c r="H8805" s="28">
        <f>IFERROR(VLOOKUP(F8805,CARTON_LOOKUP!$A:$E,4,0),"")</f>
      </c>
      <c r="I8805" s="28">
        <f>IFERROR(VLOOKUP(F8805,CARTON_LOOKUP!$A:$E,5,0),"")</f>
      </c>
      <c r="J8805" s="29">
        <f>IFERROR(VLOOKUP(F8805,CARTON_LOOKUP!$A:$E,2,0),"")</f>
      </c>
      <c r="K8805" s="29">
        <f>IFERROR(J8805*D8805,0)</f>
      </c>
      <c r="L8805" s="29">
        <f>IFERROR(E8805*C8805,0)</f>
      </c>
      <c r="M8805" s="29">
        <f>IFERROR((G8805*H8805*I8805/1000000)*D8805,0)</f>
      </c>
    </row>
    <row r="8806" spans="1:13" x14ac:dyDescent="0.25">
      <c r="A8806" s="16"/>
      <c r="E8806" s="27"/>
      <c r="F8806" t="s">
        <v>26</v>
      </c>
      <c r="G8806" s="28">
        <f>IFERROR(VLOOKUP(F8806,CARTON_LOOKUP!$A:$E,3,0),"")</f>
      </c>
      <c r="H8806" s="28">
        <f>IFERROR(VLOOKUP(F8806,CARTON_LOOKUP!$A:$E,4,0),"")</f>
      </c>
      <c r="I8806" s="28">
        <f>IFERROR(VLOOKUP(F8806,CARTON_LOOKUP!$A:$E,5,0),"")</f>
      </c>
      <c r="J8806" s="29">
        <f>IFERROR(VLOOKUP(F8806,CARTON_LOOKUP!$A:$E,2,0),"")</f>
      </c>
      <c r="K8806" s="29">
        <f>IFERROR(J8806*D8806,0)</f>
      </c>
      <c r="L8806" s="29">
        <f>IFERROR(E8806*C8806,0)</f>
      </c>
      <c r="M8806" s="29">
        <f>IFERROR((G8806*H8806*I8806/1000000)*D8806,0)</f>
      </c>
    </row>
    <row r="8807" spans="1:13" x14ac:dyDescent="0.25">
      <c r="A8807" s="16"/>
      <c r="E8807" s="27"/>
      <c r="F8807" t="s">
        <v>26</v>
      </c>
      <c r="G8807" s="28">
        <f>IFERROR(VLOOKUP(F8807,CARTON_LOOKUP!$A:$E,3,0),"")</f>
      </c>
      <c r="H8807" s="28">
        <f>IFERROR(VLOOKUP(F8807,CARTON_LOOKUP!$A:$E,4,0),"")</f>
      </c>
      <c r="I8807" s="28">
        <f>IFERROR(VLOOKUP(F8807,CARTON_LOOKUP!$A:$E,5,0),"")</f>
      </c>
      <c r="J8807" s="29">
        <f>IFERROR(VLOOKUP(F8807,CARTON_LOOKUP!$A:$E,2,0),"")</f>
      </c>
      <c r="K8807" s="29">
        <f>IFERROR(J8807*D8807,0)</f>
      </c>
      <c r="L8807" s="29">
        <f>IFERROR(E8807*C8807,0)</f>
      </c>
      <c r="M8807" s="29">
        <f>IFERROR((G8807*H8807*I8807/1000000)*D8807,0)</f>
      </c>
    </row>
    <row r="8808" spans="1:13" x14ac:dyDescent="0.25">
      <c r="A8808" s="16"/>
      <c r="E8808" s="27"/>
      <c r="F8808" t="s">
        <v>26</v>
      </c>
      <c r="G8808" s="28">
        <f>IFERROR(VLOOKUP(F8808,CARTON_LOOKUP!$A:$E,3,0),"")</f>
      </c>
      <c r="H8808" s="28">
        <f>IFERROR(VLOOKUP(F8808,CARTON_LOOKUP!$A:$E,4,0),"")</f>
      </c>
      <c r="I8808" s="28">
        <f>IFERROR(VLOOKUP(F8808,CARTON_LOOKUP!$A:$E,5,0),"")</f>
      </c>
      <c r="J8808" s="29">
        <f>IFERROR(VLOOKUP(F8808,CARTON_LOOKUP!$A:$E,2,0),"")</f>
      </c>
      <c r="K8808" s="29">
        <f>IFERROR(J8808*D8808,0)</f>
      </c>
      <c r="L8808" s="29">
        <f>IFERROR(E8808*C8808,0)</f>
      </c>
      <c r="M8808" s="29">
        <f>IFERROR((G8808*H8808*I8808/1000000)*D8808,0)</f>
      </c>
    </row>
    <row r="8809" spans="1:13" x14ac:dyDescent="0.25">
      <c r="A8809" s="16"/>
      <c r="E8809" s="27"/>
      <c r="F8809" t="s">
        <v>26</v>
      </c>
      <c r="G8809" s="28">
        <f>IFERROR(VLOOKUP(F8809,CARTON_LOOKUP!$A:$E,3,0),"")</f>
      </c>
      <c r="H8809" s="28">
        <f>IFERROR(VLOOKUP(F8809,CARTON_LOOKUP!$A:$E,4,0),"")</f>
      </c>
      <c r="I8809" s="28">
        <f>IFERROR(VLOOKUP(F8809,CARTON_LOOKUP!$A:$E,5,0),"")</f>
      </c>
      <c r="J8809" s="29">
        <f>IFERROR(VLOOKUP(F8809,CARTON_LOOKUP!$A:$E,2,0),"")</f>
      </c>
      <c r="K8809" s="29">
        <f>IFERROR(J8809*D8809,0)</f>
      </c>
      <c r="L8809" s="29">
        <f>IFERROR(E8809*C8809,0)</f>
      </c>
      <c r="M8809" s="29">
        <f>IFERROR((G8809*H8809*I8809/1000000)*D8809,0)</f>
      </c>
    </row>
    <row r="8810" spans="1:13" x14ac:dyDescent="0.25">
      <c r="A8810" s="16"/>
      <c r="E8810" s="27"/>
      <c r="F8810" t="s">
        <v>26</v>
      </c>
      <c r="G8810" s="28">
        <f>IFERROR(VLOOKUP(F8810,CARTON_LOOKUP!$A:$E,3,0),"")</f>
      </c>
      <c r="H8810" s="28">
        <f>IFERROR(VLOOKUP(F8810,CARTON_LOOKUP!$A:$E,4,0),"")</f>
      </c>
      <c r="I8810" s="28">
        <f>IFERROR(VLOOKUP(F8810,CARTON_LOOKUP!$A:$E,5,0),"")</f>
      </c>
      <c r="J8810" s="29">
        <f>IFERROR(VLOOKUP(F8810,CARTON_LOOKUP!$A:$E,2,0),"")</f>
      </c>
      <c r="K8810" s="29">
        <f>IFERROR(J8810*D8810,0)</f>
      </c>
      <c r="L8810" s="29">
        <f>IFERROR(E8810*C8810,0)</f>
      </c>
      <c r="M8810" s="29">
        <f>IFERROR((G8810*H8810*I8810/1000000)*D8810,0)</f>
      </c>
    </row>
    <row r="8811" spans="1:13" x14ac:dyDescent="0.25">
      <c r="A8811" s="16"/>
      <c r="E8811" s="27"/>
      <c r="F8811" t="s">
        <v>26</v>
      </c>
      <c r="G8811" s="28">
        <f>IFERROR(VLOOKUP(F8811,CARTON_LOOKUP!$A:$E,3,0),"")</f>
      </c>
      <c r="H8811" s="28">
        <f>IFERROR(VLOOKUP(F8811,CARTON_LOOKUP!$A:$E,4,0),"")</f>
      </c>
      <c r="I8811" s="28">
        <f>IFERROR(VLOOKUP(F8811,CARTON_LOOKUP!$A:$E,5,0),"")</f>
      </c>
      <c r="J8811" s="29">
        <f>IFERROR(VLOOKUP(F8811,CARTON_LOOKUP!$A:$E,2,0),"")</f>
      </c>
      <c r="K8811" s="29">
        <f>IFERROR(J8811*D8811,0)</f>
      </c>
      <c r="L8811" s="29">
        <f>IFERROR(E8811*C8811,0)</f>
      </c>
      <c r="M8811" s="29">
        <f>IFERROR((G8811*H8811*I8811/1000000)*D8811,0)</f>
      </c>
    </row>
    <row r="8812" spans="1:13" x14ac:dyDescent="0.25">
      <c r="A8812" s="16"/>
      <c r="E8812" s="27"/>
      <c r="F8812" t="s">
        <v>26</v>
      </c>
      <c r="G8812" s="28">
        <f>IFERROR(VLOOKUP(F8812,CARTON_LOOKUP!$A:$E,3,0),"")</f>
      </c>
      <c r="H8812" s="28">
        <f>IFERROR(VLOOKUP(F8812,CARTON_LOOKUP!$A:$E,4,0),"")</f>
      </c>
      <c r="I8812" s="28">
        <f>IFERROR(VLOOKUP(F8812,CARTON_LOOKUP!$A:$E,5,0),"")</f>
      </c>
      <c r="J8812" s="29">
        <f>IFERROR(VLOOKUP(F8812,CARTON_LOOKUP!$A:$E,2,0),"")</f>
      </c>
      <c r="K8812" s="29">
        <f>IFERROR(J8812*D8812,0)</f>
      </c>
      <c r="L8812" s="29">
        <f>IFERROR(E8812*C8812,0)</f>
      </c>
      <c r="M8812" s="29">
        <f>IFERROR((G8812*H8812*I8812/1000000)*D8812,0)</f>
      </c>
    </row>
    <row r="8813" spans="1:13" x14ac:dyDescent="0.25">
      <c r="A8813" s="16"/>
      <c r="E8813" s="27"/>
      <c r="F8813" t="s">
        <v>26</v>
      </c>
      <c r="G8813" s="28">
        <f>IFERROR(VLOOKUP(F8813,CARTON_LOOKUP!$A:$E,3,0),"")</f>
      </c>
      <c r="H8813" s="28">
        <f>IFERROR(VLOOKUP(F8813,CARTON_LOOKUP!$A:$E,4,0),"")</f>
      </c>
      <c r="I8813" s="28">
        <f>IFERROR(VLOOKUP(F8813,CARTON_LOOKUP!$A:$E,5,0),"")</f>
      </c>
      <c r="J8813" s="29">
        <f>IFERROR(VLOOKUP(F8813,CARTON_LOOKUP!$A:$E,2,0),"")</f>
      </c>
      <c r="K8813" s="29">
        <f>IFERROR(J8813*D8813,0)</f>
      </c>
      <c r="L8813" s="29">
        <f>IFERROR(E8813*C8813,0)</f>
      </c>
      <c r="M8813" s="29">
        <f>IFERROR((G8813*H8813*I8813/1000000)*D8813,0)</f>
      </c>
    </row>
    <row r="8814" spans="1:13" x14ac:dyDescent="0.25">
      <c r="A8814" s="16"/>
      <c r="E8814" s="27"/>
      <c r="F8814" t="s">
        <v>26</v>
      </c>
      <c r="G8814" s="28">
        <f>IFERROR(VLOOKUP(F8814,CARTON_LOOKUP!$A:$E,3,0),"")</f>
      </c>
      <c r="H8814" s="28">
        <f>IFERROR(VLOOKUP(F8814,CARTON_LOOKUP!$A:$E,4,0),"")</f>
      </c>
      <c r="I8814" s="28">
        <f>IFERROR(VLOOKUP(F8814,CARTON_LOOKUP!$A:$E,5,0),"")</f>
      </c>
      <c r="J8814" s="29">
        <f>IFERROR(VLOOKUP(F8814,CARTON_LOOKUP!$A:$E,2,0),"")</f>
      </c>
      <c r="K8814" s="29">
        <f>IFERROR(J8814*D8814,0)</f>
      </c>
      <c r="L8814" s="29">
        <f>IFERROR(E8814*C8814,0)</f>
      </c>
      <c r="M8814" s="29">
        <f>IFERROR((G8814*H8814*I8814/1000000)*D8814,0)</f>
      </c>
    </row>
    <row r="8815" spans="1:13" x14ac:dyDescent="0.25">
      <c r="A8815" s="16"/>
      <c r="E8815" s="27"/>
      <c r="F8815" t="s">
        <v>26</v>
      </c>
      <c r="G8815" s="28">
        <f>IFERROR(VLOOKUP(F8815,CARTON_LOOKUP!$A:$E,3,0),"")</f>
      </c>
      <c r="H8815" s="28">
        <f>IFERROR(VLOOKUP(F8815,CARTON_LOOKUP!$A:$E,4,0),"")</f>
      </c>
      <c r="I8815" s="28">
        <f>IFERROR(VLOOKUP(F8815,CARTON_LOOKUP!$A:$E,5,0),"")</f>
      </c>
      <c r="J8815" s="29">
        <f>IFERROR(VLOOKUP(F8815,CARTON_LOOKUP!$A:$E,2,0),"")</f>
      </c>
      <c r="K8815" s="29">
        <f>IFERROR(J8815*D8815,0)</f>
      </c>
      <c r="L8815" s="29">
        <f>IFERROR(E8815*C8815,0)</f>
      </c>
      <c r="M8815" s="29">
        <f>IFERROR((G8815*H8815*I8815/1000000)*D8815,0)</f>
      </c>
    </row>
    <row r="8816" spans="1:13" x14ac:dyDescent="0.25">
      <c r="A8816" s="16"/>
      <c r="E8816" s="27"/>
      <c r="F8816" t="s">
        <v>26</v>
      </c>
      <c r="G8816" s="28">
        <f>IFERROR(VLOOKUP(F8816,CARTON_LOOKUP!$A:$E,3,0),"")</f>
      </c>
      <c r="H8816" s="28">
        <f>IFERROR(VLOOKUP(F8816,CARTON_LOOKUP!$A:$E,4,0),"")</f>
      </c>
      <c r="I8816" s="28">
        <f>IFERROR(VLOOKUP(F8816,CARTON_LOOKUP!$A:$E,5,0),"")</f>
      </c>
      <c r="J8816" s="29">
        <f>IFERROR(VLOOKUP(F8816,CARTON_LOOKUP!$A:$E,2,0),"")</f>
      </c>
      <c r="K8816" s="29">
        <f>IFERROR(J8816*D8816,0)</f>
      </c>
      <c r="L8816" s="29">
        <f>IFERROR(E8816*C8816,0)</f>
      </c>
      <c r="M8816" s="29">
        <f>IFERROR((G8816*H8816*I8816/1000000)*D8816,0)</f>
      </c>
    </row>
    <row r="8817" spans="1:13" x14ac:dyDescent="0.25">
      <c r="A8817" s="16"/>
      <c r="E8817" s="27"/>
      <c r="F8817" t="s">
        <v>26</v>
      </c>
      <c r="G8817" s="28">
        <f>IFERROR(VLOOKUP(F8817,CARTON_LOOKUP!$A:$E,3,0),"")</f>
      </c>
      <c r="H8817" s="28">
        <f>IFERROR(VLOOKUP(F8817,CARTON_LOOKUP!$A:$E,4,0),"")</f>
      </c>
      <c r="I8817" s="28">
        <f>IFERROR(VLOOKUP(F8817,CARTON_LOOKUP!$A:$E,5,0),"")</f>
      </c>
      <c r="J8817" s="29">
        <f>IFERROR(VLOOKUP(F8817,CARTON_LOOKUP!$A:$E,2,0),"")</f>
      </c>
      <c r="K8817" s="29">
        <f>IFERROR(J8817*D8817,0)</f>
      </c>
      <c r="L8817" s="29">
        <f>IFERROR(E8817*C8817,0)</f>
      </c>
      <c r="M8817" s="29">
        <f>IFERROR((G8817*H8817*I8817/1000000)*D8817,0)</f>
      </c>
    </row>
    <row r="8818" spans="1:13" x14ac:dyDescent="0.25">
      <c r="A8818" s="16"/>
      <c r="E8818" s="27"/>
      <c r="F8818" t="s">
        <v>26</v>
      </c>
      <c r="G8818" s="28">
        <f>IFERROR(VLOOKUP(F8818,CARTON_LOOKUP!$A:$E,3,0),"")</f>
      </c>
      <c r="H8818" s="28">
        <f>IFERROR(VLOOKUP(F8818,CARTON_LOOKUP!$A:$E,4,0),"")</f>
      </c>
      <c r="I8818" s="28">
        <f>IFERROR(VLOOKUP(F8818,CARTON_LOOKUP!$A:$E,5,0),"")</f>
      </c>
      <c r="J8818" s="29">
        <f>IFERROR(VLOOKUP(F8818,CARTON_LOOKUP!$A:$E,2,0),"")</f>
      </c>
      <c r="K8818" s="29">
        <f>IFERROR(J8818*D8818,0)</f>
      </c>
      <c r="L8818" s="29">
        <f>IFERROR(E8818*C8818,0)</f>
      </c>
      <c r="M8818" s="29">
        <f>IFERROR((G8818*H8818*I8818/1000000)*D8818,0)</f>
      </c>
    </row>
    <row r="8819" spans="1:13" x14ac:dyDescent="0.25">
      <c r="A8819" s="16"/>
      <c r="E8819" s="27"/>
      <c r="F8819" t="s">
        <v>26</v>
      </c>
      <c r="G8819" s="28">
        <f>IFERROR(VLOOKUP(F8819,CARTON_LOOKUP!$A:$E,3,0),"")</f>
      </c>
      <c r="H8819" s="28">
        <f>IFERROR(VLOOKUP(F8819,CARTON_LOOKUP!$A:$E,4,0),"")</f>
      </c>
      <c r="I8819" s="28">
        <f>IFERROR(VLOOKUP(F8819,CARTON_LOOKUP!$A:$E,5,0),"")</f>
      </c>
      <c r="J8819" s="29">
        <f>IFERROR(VLOOKUP(F8819,CARTON_LOOKUP!$A:$E,2,0),"")</f>
      </c>
      <c r="K8819" s="29">
        <f>IFERROR(J8819*D8819,0)</f>
      </c>
      <c r="L8819" s="29">
        <f>IFERROR(E8819*C8819,0)</f>
      </c>
      <c r="M8819" s="29">
        <f>IFERROR((G8819*H8819*I8819/1000000)*D8819,0)</f>
      </c>
    </row>
    <row r="8820" spans="1:13" x14ac:dyDescent="0.25">
      <c r="A8820" s="16"/>
      <c r="E8820" s="27"/>
      <c r="F8820" t="s">
        <v>26</v>
      </c>
      <c r="G8820" s="28">
        <f>IFERROR(VLOOKUP(F8820,CARTON_LOOKUP!$A:$E,3,0),"")</f>
      </c>
      <c r="H8820" s="28">
        <f>IFERROR(VLOOKUP(F8820,CARTON_LOOKUP!$A:$E,4,0),"")</f>
      </c>
      <c r="I8820" s="28">
        <f>IFERROR(VLOOKUP(F8820,CARTON_LOOKUP!$A:$E,5,0),"")</f>
      </c>
      <c r="J8820" s="29">
        <f>IFERROR(VLOOKUP(F8820,CARTON_LOOKUP!$A:$E,2,0),"")</f>
      </c>
      <c r="K8820" s="29">
        <f>IFERROR(J8820*D8820,0)</f>
      </c>
      <c r="L8820" s="29">
        <f>IFERROR(E8820*C8820,0)</f>
      </c>
      <c r="M8820" s="29">
        <f>IFERROR((G8820*H8820*I8820/1000000)*D8820,0)</f>
      </c>
    </row>
    <row r="8821" spans="1:13" x14ac:dyDescent="0.25">
      <c r="A8821" s="16"/>
      <c r="E8821" s="27"/>
      <c r="F8821" t="s">
        <v>26</v>
      </c>
      <c r="G8821" s="28">
        <f>IFERROR(VLOOKUP(F8821,CARTON_LOOKUP!$A:$E,3,0),"")</f>
      </c>
      <c r="H8821" s="28">
        <f>IFERROR(VLOOKUP(F8821,CARTON_LOOKUP!$A:$E,4,0),"")</f>
      </c>
      <c r="I8821" s="28">
        <f>IFERROR(VLOOKUP(F8821,CARTON_LOOKUP!$A:$E,5,0),"")</f>
      </c>
      <c r="J8821" s="29">
        <f>IFERROR(VLOOKUP(F8821,CARTON_LOOKUP!$A:$E,2,0),"")</f>
      </c>
      <c r="K8821" s="29">
        <f>IFERROR(J8821*D8821,0)</f>
      </c>
      <c r="L8821" s="29">
        <f>IFERROR(E8821*C8821,0)</f>
      </c>
      <c r="M8821" s="29">
        <f>IFERROR((G8821*H8821*I8821/1000000)*D8821,0)</f>
      </c>
    </row>
    <row r="8822" spans="1:13" x14ac:dyDescent="0.25">
      <c r="A8822" s="16"/>
      <c r="E8822" s="27"/>
      <c r="F8822" t="s">
        <v>26</v>
      </c>
      <c r="G8822" s="28">
        <f>IFERROR(VLOOKUP(F8822,CARTON_LOOKUP!$A:$E,3,0),"")</f>
      </c>
      <c r="H8822" s="28">
        <f>IFERROR(VLOOKUP(F8822,CARTON_LOOKUP!$A:$E,4,0),"")</f>
      </c>
      <c r="I8822" s="28">
        <f>IFERROR(VLOOKUP(F8822,CARTON_LOOKUP!$A:$E,5,0),"")</f>
      </c>
      <c r="J8822" s="29">
        <f>IFERROR(VLOOKUP(F8822,CARTON_LOOKUP!$A:$E,2,0),"")</f>
      </c>
      <c r="K8822" s="29">
        <f>IFERROR(J8822*D8822,0)</f>
      </c>
      <c r="L8822" s="29">
        <f>IFERROR(E8822*C8822,0)</f>
      </c>
      <c r="M8822" s="29">
        <f>IFERROR((G8822*H8822*I8822/1000000)*D8822,0)</f>
      </c>
    </row>
    <row r="8823" spans="1:13" x14ac:dyDescent="0.25">
      <c r="A8823" s="16"/>
      <c r="E8823" s="27"/>
      <c r="F8823" t="s">
        <v>26</v>
      </c>
      <c r="G8823" s="28">
        <f>IFERROR(VLOOKUP(F8823,CARTON_LOOKUP!$A:$E,3,0),"")</f>
      </c>
      <c r="H8823" s="28">
        <f>IFERROR(VLOOKUP(F8823,CARTON_LOOKUP!$A:$E,4,0),"")</f>
      </c>
      <c r="I8823" s="28">
        <f>IFERROR(VLOOKUP(F8823,CARTON_LOOKUP!$A:$E,5,0),"")</f>
      </c>
      <c r="J8823" s="29">
        <f>IFERROR(VLOOKUP(F8823,CARTON_LOOKUP!$A:$E,2,0),"")</f>
      </c>
      <c r="K8823" s="29">
        <f>IFERROR(J8823*D8823,0)</f>
      </c>
      <c r="L8823" s="29">
        <f>IFERROR(E8823*C8823,0)</f>
      </c>
      <c r="M8823" s="29">
        <f>IFERROR((G8823*H8823*I8823/1000000)*D8823,0)</f>
      </c>
    </row>
    <row r="8824" spans="1:13" x14ac:dyDescent="0.25">
      <c r="A8824" s="16"/>
      <c r="E8824" s="27"/>
      <c r="F8824" t="s">
        <v>26</v>
      </c>
      <c r="G8824" s="28">
        <f>IFERROR(VLOOKUP(F8824,CARTON_LOOKUP!$A:$E,3,0),"")</f>
      </c>
      <c r="H8824" s="28">
        <f>IFERROR(VLOOKUP(F8824,CARTON_LOOKUP!$A:$E,4,0),"")</f>
      </c>
      <c r="I8824" s="28">
        <f>IFERROR(VLOOKUP(F8824,CARTON_LOOKUP!$A:$E,5,0),"")</f>
      </c>
      <c r="J8824" s="29">
        <f>IFERROR(VLOOKUP(F8824,CARTON_LOOKUP!$A:$E,2,0),"")</f>
      </c>
      <c r="K8824" s="29">
        <f>IFERROR(J8824*D8824,0)</f>
      </c>
      <c r="L8824" s="29">
        <f>IFERROR(E8824*C8824,0)</f>
      </c>
      <c r="M8824" s="29">
        <f>IFERROR((G8824*H8824*I8824/1000000)*D8824,0)</f>
      </c>
    </row>
    <row r="8825" spans="1:13" x14ac:dyDescent="0.25">
      <c r="A8825" s="16"/>
      <c r="E8825" s="27"/>
      <c r="F8825" t="s">
        <v>26</v>
      </c>
      <c r="G8825" s="28">
        <f>IFERROR(VLOOKUP(F8825,CARTON_LOOKUP!$A:$E,3,0),"")</f>
      </c>
      <c r="H8825" s="28">
        <f>IFERROR(VLOOKUP(F8825,CARTON_LOOKUP!$A:$E,4,0),"")</f>
      </c>
      <c r="I8825" s="28">
        <f>IFERROR(VLOOKUP(F8825,CARTON_LOOKUP!$A:$E,5,0),"")</f>
      </c>
      <c r="J8825" s="29">
        <f>IFERROR(VLOOKUP(F8825,CARTON_LOOKUP!$A:$E,2,0),"")</f>
      </c>
      <c r="K8825" s="29">
        <f>IFERROR(J8825*D8825,0)</f>
      </c>
      <c r="L8825" s="29">
        <f>IFERROR(E8825*C8825,0)</f>
      </c>
      <c r="M8825" s="29">
        <f>IFERROR((G8825*H8825*I8825/1000000)*D8825,0)</f>
      </c>
    </row>
    <row r="8826" spans="1:13" x14ac:dyDescent="0.25">
      <c r="A8826" s="16"/>
      <c r="E8826" s="27"/>
      <c r="F8826" t="s">
        <v>26</v>
      </c>
      <c r="G8826" s="28">
        <f>IFERROR(VLOOKUP(F8826,CARTON_LOOKUP!$A:$E,3,0),"")</f>
      </c>
      <c r="H8826" s="28">
        <f>IFERROR(VLOOKUP(F8826,CARTON_LOOKUP!$A:$E,4,0),"")</f>
      </c>
      <c r="I8826" s="28">
        <f>IFERROR(VLOOKUP(F8826,CARTON_LOOKUP!$A:$E,5,0),"")</f>
      </c>
      <c r="J8826" s="29">
        <f>IFERROR(VLOOKUP(F8826,CARTON_LOOKUP!$A:$E,2,0),"")</f>
      </c>
      <c r="K8826" s="29">
        <f>IFERROR(J8826*D8826,0)</f>
      </c>
      <c r="L8826" s="29">
        <f>IFERROR(E8826*C8826,0)</f>
      </c>
      <c r="M8826" s="29">
        <f>IFERROR((G8826*H8826*I8826/1000000)*D8826,0)</f>
      </c>
    </row>
    <row r="8827" spans="1:13" x14ac:dyDescent="0.25">
      <c r="A8827" s="16"/>
      <c r="E8827" s="27"/>
      <c r="F8827" t="s">
        <v>26</v>
      </c>
      <c r="G8827" s="28">
        <f>IFERROR(VLOOKUP(F8827,CARTON_LOOKUP!$A:$E,3,0),"")</f>
      </c>
      <c r="H8827" s="28">
        <f>IFERROR(VLOOKUP(F8827,CARTON_LOOKUP!$A:$E,4,0),"")</f>
      </c>
      <c r="I8827" s="28">
        <f>IFERROR(VLOOKUP(F8827,CARTON_LOOKUP!$A:$E,5,0),"")</f>
      </c>
      <c r="J8827" s="29">
        <f>IFERROR(VLOOKUP(F8827,CARTON_LOOKUP!$A:$E,2,0),"")</f>
      </c>
      <c r="K8827" s="29">
        <f>IFERROR(J8827*D8827,0)</f>
      </c>
      <c r="L8827" s="29">
        <f>IFERROR(E8827*C8827,0)</f>
      </c>
      <c r="M8827" s="29">
        <f>IFERROR((G8827*H8827*I8827/1000000)*D8827,0)</f>
      </c>
    </row>
    <row r="8828" spans="1:13" x14ac:dyDescent="0.25">
      <c r="A8828" s="16"/>
      <c r="E8828" s="27"/>
      <c r="F8828" t="s">
        <v>26</v>
      </c>
      <c r="G8828" s="28">
        <f>IFERROR(VLOOKUP(F8828,CARTON_LOOKUP!$A:$E,3,0),"")</f>
      </c>
      <c r="H8828" s="28">
        <f>IFERROR(VLOOKUP(F8828,CARTON_LOOKUP!$A:$E,4,0),"")</f>
      </c>
      <c r="I8828" s="28">
        <f>IFERROR(VLOOKUP(F8828,CARTON_LOOKUP!$A:$E,5,0),"")</f>
      </c>
      <c r="J8828" s="29">
        <f>IFERROR(VLOOKUP(F8828,CARTON_LOOKUP!$A:$E,2,0),"")</f>
      </c>
      <c r="K8828" s="29">
        <f>IFERROR(J8828*D8828,0)</f>
      </c>
      <c r="L8828" s="29">
        <f>IFERROR(E8828*C8828,0)</f>
      </c>
      <c r="M8828" s="29">
        <f>IFERROR((G8828*H8828*I8828/1000000)*D8828,0)</f>
      </c>
    </row>
    <row r="8829" spans="1:13" x14ac:dyDescent="0.25">
      <c r="A8829" s="16"/>
      <c r="E8829" s="27"/>
      <c r="F8829" t="s">
        <v>26</v>
      </c>
      <c r="G8829" s="28">
        <f>IFERROR(VLOOKUP(F8829,CARTON_LOOKUP!$A:$E,3,0),"")</f>
      </c>
      <c r="H8829" s="28">
        <f>IFERROR(VLOOKUP(F8829,CARTON_LOOKUP!$A:$E,4,0),"")</f>
      </c>
      <c r="I8829" s="28">
        <f>IFERROR(VLOOKUP(F8829,CARTON_LOOKUP!$A:$E,5,0),"")</f>
      </c>
      <c r="J8829" s="29">
        <f>IFERROR(VLOOKUP(F8829,CARTON_LOOKUP!$A:$E,2,0),"")</f>
      </c>
      <c r="K8829" s="29">
        <f>IFERROR(J8829*D8829,0)</f>
      </c>
      <c r="L8829" s="29">
        <f>IFERROR(E8829*C8829,0)</f>
      </c>
      <c r="M8829" s="29">
        <f>IFERROR((G8829*H8829*I8829/1000000)*D8829,0)</f>
      </c>
    </row>
    <row r="8830" spans="1:13" x14ac:dyDescent="0.25">
      <c r="A8830" s="16"/>
      <c r="E8830" s="27"/>
      <c r="F8830" t="s">
        <v>26</v>
      </c>
      <c r="G8830" s="28">
        <f>IFERROR(VLOOKUP(F8830,CARTON_LOOKUP!$A:$E,3,0),"")</f>
      </c>
      <c r="H8830" s="28">
        <f>IFERROR(VLOOKUP(F8830,CARTON_LOOKUP!$A:$E,4,0),"")</f>
      </c>
      <c r="I8830" s="28">
        <f>IFERROR(VLOOKUP(F8830,CARTON_LOOKUP!$A:$E,5,0),"")</f>
      </c>
      <c r="J8830" s="29">
        <f>IFERROR(VLOOKUP(F8830,CARTON_LOOKUP!$A:$E,2,0),"")</f>
      </c>
      <c r="K8830" s="29">
        <f>IFERROR(J8830*D8830,0)</f>
      </c>
      <c r="L8830" s="29">
        <f>IFERROR(E8830*C8830,0)</f>
      </c>
      <c r="M8830" s="29">
        <f>IFERROR((G8830*H8830*I8830/1000000)*D8830,0)</f>
      </c>
    </row>
    <row r="8831" spans="1:13" x14ac:dyDescent="0.25">
      <c r="A8831" s="16"/>
      <c r="E8831" s="27"/>
      <c r="F8831" t="s">
        <v>26</v>
      </c>
      <c r="G8831" s="28">
        <f>IFERROR(VLOOKUP(F8831,CARTON_LOOKUP!$A:$E,3,0),"")</f>
      </c>
      <c r="H8831" s="28">
        <f>IFERROR(VLOOKUP(F8831,CARTON_LOOKUP!$A:$E,4,0),"")</f>
      </c>
      <c r="I8831" s="28">
        <f>IFERROR(VLOOKUP(F8831,CARTON_LOOKUP!$A:$E,5,0),"")</f>
      </c>
      <c r="J8831" s="29">
        <f>IFERROR(VLOOKUP(F8831,CARTON_LOOKUP!$A:$E,2,0),"")</f>
      </c>
      <c r="K8831" s="29">
        <f>IFERROR(J8831*D8831,0)</f>
      </c>
      <c r="L8831" s="29">
        <f>IFERROR(E8831*C8831,0)</f>
      </c>
      <c r="M8831" s="29">
        <f>IFERROR((G8831*H8831*I8831/1000000)*D8831,0)</f>
      </c>
    </row>
    <row r="8832" spans="1:13" x14ac:dyDescent="0.25">
      <c r="A8832" s="16"/>
      <c r="E8832" s="27"/>
      <c r="F8832" t="s">
        <v>26</v>
      </c>
      <c r="G8832" s="28">
        <f>IFERROR(VLOOKUP(F8832,CARTON_LOOKUP!$A:$E,3,0),"")</f>
      </c>
      <c r="H8832" s="28">
        <f>IFERROR(VLOOKUP(F8832,CARTON_LOOKUP!$A:$E,4,0),"")</f>
      </c>
      <c r="I8832" s="28">
        <f>IFERROR(VLOOKUP(F8832,CARTON_LOOKUP!$A:$E,5,0),"")</f>
      </c>
      <c r="J8832" s="29">
        <f>IFERROR(VLOOKUP(F8832,CARTON_LOOKUP!$A:$E,2,0),"")</f>
      </c>
      <c r="K8832" s="29">
        <f>IFERROR(J8832*D8832,0)</f>
      </c>
      <c r="L8832" s="29">
        <f>IFERROR(E8832*C8832,0)</f>
      </c>
      <c r="M8832" s="29">
        <f>IFERROR((G8832*H8832*I8832/1000000)*D8832,0)</f>
      </c>
    </row>
    <row r="8833" spans="1:13" x14ac:dyDescent="0.25">
      <c r="A8833" s="16"/>
      <c r="E8833" s="27"/>
      <c r="F8833" t="s">
        <v>26</v>
      </c>
      <c r="G8833" s="28">
        <f>IFERROR(VLOOKUP(F8833,CARTON_LOOKUP!$A:$E,3,0),"")</f>
      </c>
      <c r="H8833" s="28">
        <f>IFERROR(VLOOKUP(F8833,CARTON_LOOKUP!$A:$E,4,0),"")</f>
      </c>
      <c r="I8833" s="28">
        <f>IFERROR(VLOOKUP(F8833,CARTON_LOOKUP!$A:$E,5,0),"")</f>
      </c>
      <c r="J8833" s="29">
        <f>IFERROR(VLOOKUP(F8833,CARTON_LOOKUP!$A:$E,2,0),"")</f>
      </c>
      <c r="K8833" s="29">
        <f>IFERROR(J8833*D8833,0)</f>
      </c>
      <c r="L8833" s="29">
        <f>IFERROR(E8833*C8833,0)</f>
      </c>
      <c r="M8833" s="29">
        <f>IFERROR((G8833*H8833*I8833/1000000)*D8833,0)</f>
      </c>
    </row>
    <row r="8834" spans="1:13" x14ac:dyDescent="0.25">
      <c r="A8834" s="16"/>
      <c r="E8834" s="27"/>
      <c r="F8834" t="s">
        <v>26</v>
      </c>
      <c r="G8834" s="28">
        <f>IFERROR(VLOOKUP(F8834,CARTON_LOOKUP!$A:$E,3,0),"")</f>
      </c>
      <c r="H8834" s="28">
        <f>IFERROR(VLOOKUP(F8834,CARTON_LOOKUP!$A:$E,4,0),"")</f>
      </c>
      <c r="I8834" s="28">
        <f>IFERROR(VLOOKUP(F8834,CARTON_LOOKUP!$A:$E,5,0),"")</f>
      </c>
      <c r="J8834" s="29">
        <f>IFERROR(VLOOKUP(F8834,CARTON_LOOKUP!$A:$E,2,0),"")</f>
      </c>
      <c r="K8834" s="29">
        <f>IFERROR(J8834*D8834,0)</f>
      </c>
      <c r="L8834" s="29">
        <f>IFERROR(E8834*C8834,0)</f>
      </c>
      <c r="M8834" s="29">
        <f>IFERROR((G8834*H8834*I8834/1000000)*D8834,0)</f>
      </c>
    </row>
    <row r="8835" spans="1:13" x14ac:dyDescent="0.25">
      <c r="A8835" s="16"/>
      <c r="E8835" s="27"/>
      <c r="F8835" t="s">
        <v>26</v>
      </c>
      <c r="G8835" s="28">
        <f>IFERROR(VLOOKUP(F8835,CARTON_LOOKUP!$A:$E,3,0),"")</f>
      </c>
      <c r="H8835" s="28">
        <f>IFERROR(VLOOKUP(F8835,CARTON_LOOKUP!$A:$E,4,0),"")</f>
      </c>
      <c r="I8835" s="28">
        <f>IFERROR(VLOOKUP(F8835,CARTON_LOOKUP!$A:$E,5,0),"")</f>
      </c>
      <c r="J8835" s="29">
        <f>IFERROR(VLOOKUP(F8835,CARTON_LOOKUP!$A:$E,2,0),"")</f>
      </c>
      <c r="K8835" s="29">
        <f>IFERROR(J8835*D8835,0)</f>
      </c>
      <c r="L8835" s="29">
        <f>IFERROR(E8835*C8835,0)</f>
      </c>
      <c r="M8835" s="29">
        <f>IFERROR((G8835*H8835*I8835/1000000)*D8835,0)</f>
      </c>
    </row>
    <row r="8836" spans="1:13" x14ac:dyDescent="0.25">
      <c r="A8836" s="16"/>
      <c r="E8836" s="27"/>
      <c r="F8836" t="s">
        <v>26</v>
      </c>
      <c r="G8836" s="28">
        <f>IFERROR(VLOOKUP(F8836,CARTON_LOOKUP!$A:$E,3,0),"")</f>
      </c>
      <c r="H8836" s="28">
        <f>IFERROR(VLOOKUP(F8836,CARTON_LOOKUP!$A:$E,4,0),"")</f>
      </c>
      <c r="I8836" s="28">
        <f>IFERROR(VLOOKUP(F8836,CARTON_LOOKUP!$A:$E,5,0),"")</f>
      </c>
      <c r="J8836" s="29">
        <f>IFERROR(VLOOKUP(F8836,CARTON_LOOKUP!$A:$E,2,0),"")</f>
      </c>
      <c r="K8836" s="29">
        <f>IFERROR(J8836*D8836,0)</f>
      </c>
      <c r="L8836" s="29">
        <f>IFERROR(E8836*C8836,0)</f>
      </c>
      <c r="M8836" s="29">
        <f>IFERROR((G8836*H8836*I8836/1000000)*D8836,0)</f>
      </c>
    </row>
    <row r="8837" spans="1:13" x14ac:dyDescent="0.25">
      <c r="A8837" s="16"/>
      <c r="E8837" s="27"/>
      <c r="F8837" t="s">
        <v>26</v>
      </c>
      <c r="G8837" s="28">
        <f>IFERROR(VLOOKUP(F8837,CARTON_LOOKUP!$A:$E,3,0),"")</f>
      </c>
      <c r="H8837" s="28">
        <f>IFERROR(VLOOKUP(F8837,CARTON_LOOKUP!$A:$E,4,0),"")</f>
      </c>
      <c r="I8837" s="28">
        <f>IFERROR(VLOOKUP(F8837,CARTON_LOOKUP!$A:$E,5,0),"")</f>
      </c>
      <c r="J8837" s="29">
        <f>IFERROR(VLOOKUP(F8837,CARTON_LOOKUP!$A:$E,2,0),"")</f>
      </c>
      <c r="K8837" s="29">
        <f>IFERROR(J8837*D8837,0)</f>
      </c>
      <c r="L8837" s="29">
        <f>IFERROR(E8837*C8837,0)</f>
      </c>
      <c r="M8837" s="29">
        <f>IFERROR((G8837*H8837*I8837/1000000)*D8837,0)</f>
      </c>
    </row>
    <row r="8838" spans="1:13" x14ac:dyDescent="0.25">
      <c r="A8838" s="16"/>
      <c r="E8838" s="27"/>
      <c r="F8838" t="s">
        <v>26</v>
      </c>
      <c r="G8838" s="28">
        <f>IFERROR(VLOOKUP(F8838,CARTON_LOOKUP!$A:$E,3,0),"")</f>
      </c>
      <c r="H8838" s="28">
        <f>IFERROR(VLOOKUP(F8838,CARTON_LOOKUP!$A:$E,4,0),"")</f>
      </c>
      <c r="I8838" s="28">
        <f>IFERROR(VLOOKUP(F8838,CARTON_LOOKUP!$A:$E,5,0),"")</f>
      </c>
      <c r="J8838" s="29">
        <f>IFERROR(VLOOKUP(F8838,CARTON_LOOKUP!$A:$E,2,0),"")</f>
      </c>
      <c r="K8838" s="29">
        <f>IFERROR(J8838*D8838,0)</f>
      </c>
      <c r="L8838" s="29">
        <f>IFERROR(E8838*C8838,0)</f>
      </c>
      <c r="M8838" s="29">
        <f>IFERROR((G8838*H8838*I8838/1000000)*D8838,0)</f>
      </c>
    </row>
    <row r="8839" spans="1:13" x14ac:dyDescent="0.25">
      <c r="A8839" s="16"/>
      <c r="E8839" s="27"/>
      <c r="F8839" t="s">
        <v>26</v>
      </c>
      <c r="G8839" s="28">
        <f>IFERROR(VLOOKUP(F8839,CARTON_LOOKUP!$A:$E,3,0),"")</f>
      </c>
      <c r="H8839" s="28">
        <f>IFERROR(VLOOKUP(F8839,CARTON_LOOKUP!$A:$E,4,0),"")</f>
      </c>
      <c r="I8839" s="28">
        <f>IFERROR(VLOOKUP(F8839,CARTON_LOOKUP!$A:$E,5,0),"")</f>
      </c>
      <c r="J8839" s="29">
        <f>IFERROR(VLOOKUP(F8839,CARTON_LOOKUP!$A:$E,2,0),"")</f>
      </c>
      <c r="K8839" s="29">
        <f>IFERROR(J8839*D8839,0)</f>
      </c>
      <c r="L8839" s="29">
        <f>IFERROR(E8839*C8839,0)</f>
      </c>
      <c r="M8839" s="29">
        <f>IFERROR((G8839*H8839*I8839/1000000)*D8839,0)</f>
      </c>
    </row>
    <row r="8840" spans="1:13" x14ac:dyDescent="0.25">
      <c r="A8840" s="16"/>
      <c r="E8840" s="27"/>
      <c r="F8840" t="s">
        <v>26</v>
      </c>
      <c r="G8840" s="28">
        <f>IFERROR(VLOOKUP(F8840,CARTON_LOOKUP!$A:$E,3,0),"")</f>
      </c>
      <c r="H8840" s="28">
        <f>IFERROR(VLOOKUP(F8840,CARTON_LOOKUP!$A:$E,4,0),"")</f>
      </c>
      <c r="I8840" s="28">
        <f>IFERROR(VLOOKUP(F8840,CARTON_LOOKUP!$A:$E,5,0),"")</f>
      </c>
      <c r="J8840" s="29">
        <f>IFERROR(VLOOKUP(F8840,CARTON_LOOKUP!$A:$E,2,0),"")</f>
      </c>
      <c r="K8840" s="29">
        <f>IFERROR(J8840*D8840,0)</f>
      </c>
      <c r="L8840" s="29">
        <f>IFERROR(E8840*C8840,0)</f>
      </c>
      <c r="M8840" s="29">
        <f>IFERROR((G8840*H8840*I8840/1000000)*D8840,0)</f>
      </c>
    </row>
    <row r="8841" spans="1:13" x14ac:dyDescent="0.25">
      <c r="A8841" s="16"/>
      <c r="E8841" s="27"/>
      <c r="F8841" t="s">
        <v>26</v>
      </c>
      <c r="G8841" s="28">
        <f>IFERROR(VLOOKUP(F8841,CARTON_LOOKUP!$A:$E,3,0),"")</f>
      </c>
      <c r="H8841" s="28">
        <f>IFERROR(VLOOKUP(F8841,CARTON_LOOKUP!$A:$E,4,0),"")</f>
      </c>
      <c r="I8841" s="28">
        <f>IFERROR(VLOOKUP(F8841,CARTON_LOOKUP!$A:$E,5,0),"")</f>
      </c>
      <c r="J8841" s="29">
        <f>IFERROR(VLOOKUP(F8841,CARTON_LOOKUP!$A:$E,2,0),"")</f>
      </c>
      <c r="K8841" s="29">
        <f>IFERROR(J8841*D8841,0)</f>
      </c>
      <c r="L8841" s="29">
        <f>IFERROR(E8841*C8841,0)</f>
      </c>
      <c r="M8841" s="29">
        <f>IFERROR((G8841*H8841*I8841/1000000)*D8841,0)</f>
      </c>
    </row>
    <row r="8842" spans="1:13" x14ac:dyDescent="0.25">
      <c r="A8842" s="16"/>
      <c r="E8842" s="27"/>
      <c r="F8842" t="s">
        <v>26</v>
      </c>
      <c r="G8842" s="28">
        <f>IFERROR(VLOOKUP(F8842,CARTON_LOOKUP!$A:$E,3,0),"")</f>
      </c>
      <c r="H8842" s="28">
        <f>IFERROR(VLOOKUP(F8842,CARTON_LOOKUP!$A:$E,4,0),"")</f>
      </c>
      <c r="I8842" s="28">
        <f>IFERROR(VLOOKUP(F8842,CARTON_LOOKUP!$A:$E,5,0),"")</f>
      </c>
      <c r="J8842" s="29">
        <f>IFERROR(VLOOKUP(F8842,CARTON_LOOKUP!$A:$E,2,0),"")</f>
      </c>
      <c r="K8842" s="29">
        <f>IFERROR(J8842*D8842,0)</f>
      </c>
      <c r="L8842" s="29">
        <f>IFERROR(E8842*C8842,0)</f>
      </c>
      <c r="M8842" s="29">
        <f>IFERROR((G8842*H8842*I8842/1000000)*D8842,0)</f>
      </c>
    </row>
    <row r="8843" spans="1:13" x14ac:dyDescent="0.25">
      <c r="A8843" s="16"/>
      <c r="E8843" s="27"/>
      <c r="F8843" t="s">
        <v>26</v>
      </c>
      <c r="G8843" s="28">
        <f>IFERROR(VLOOKUP(F8843,CARTON_LOOKUP!$A:$E,3,0),"")</f>
      </c>
      <c r="H8843" s="28">
        <f>IFERROR(VLOOKUP(F8843,CARTON_LOOKUP!$A:$E,4,0),"")</f>
      </c>
      <c r="I8843" s="28">
        <f>IFERROR(VLOOKUP(F8843,CARTON_LOOKUP!$A:$E,5,0),"")</f>
      </c>
      <c r="J8843" s="29">
        <f>IFERROR(VLOOKUP(F8843,CARTON_LOOKUP!$A:$E,2,0),"")</f>
      </c>
      <c r="K8843" s="29">
        <f>IFERROR(J8843*D8843,0)</f>
      </c>
      <c r="L8843" s="29">
        <f>IFERROR(E8843*C8843,0)</f>
      </c>
      <c r="M8843" s="29">
        <f>IFERROR((G8843*H8843*I8843/1000000)*D8843,0)</f>
      </c>
    </row>
    <row r="8844" spans="1:13" x14ac:dyDescent="0.25">
      <c r="A8844" s="16"/>
      <c r="E8844" s="27"/>
      <c r="F8844" t="s">
        <v>26</v>
      </c>
      <c r="G8844" s="28">
        <f>IFERROR(VLOOKUP(F8844,CARTON_LOOKUP!$A:$E,3,0),"")</f>
      </c>
      <c r="H8844" s="28">
        <f>IFERROR(VLOOKUP(F8844,CARTON_LOOKUP!$A:$E,4,0),"")</f>
      </c>
      <c r="I8844" s="28">
        <f>IFERROR(VLOOKUP(F8844,CARTON_LOOKUP!$A:$E,5,0),"")</f>
      </c>
      <c r="J8844" s="29">
        <f>IFERROR(VLOOKUP(F8844,CARTON_LOOKUP!$A:$E,2,0),"")</f>
      </c>
      <c r="K8844" s="29">
        <f>IFERROR(J8844*D8844,0)</f>
      </c>
      <c r="L8844" s="29">
        <f>IFERROR(E8844*C8844,0)</f>
      </c>
      <c r="M8844" s="29">
        <f>IFERROR((G8844*H8844*I8844/1000000)*D8844,0)</f>
      </c>
    </row>
    <row r="8845" spans="1:13" x14ac:dyDescent="0.25">
      <c r="A8845" s="16"/>
      <c r="E8845" s="27"/>
      <c r="F8845" t="s">
        <v>26</v>
      </c>
      <c r="G8845" s="28">
        <f>IFERROR(VLOOKUP(F8845,CARTON_LOOKUP!$A:$E,3,0),"")</f>
      </c>
      <c r="H8845" s="28">
        <f>IFERROR(VLOOKUP(F8845,CARTON_LOOKUP!$A:$E,4,0),"")</f>
      </c>
      <c r="I8845" s="28">
        <f>IFERROR(VLOOKUP(F8845,CARTON_LOOKUP!$A:$E,5,0),"")</f>
      </c>
      <c r="J8845" s="29">
        <f>IFERROR(VLOOKUP(F8845,CARTON_LOOKUP!$A:$E,2,0),"")</f>
      </c>
      <c r="K8845" s="29">
        <f>IFERROR(J8845*D8845,0)</f>
      </c>
      <c r="L8845" s="29">
        <f>IFERROR(E8845*C8845,0)</f>
      </c>
      <c r="M8845" s="29">
        <f>IFERROR((G8845*H8845*I8845/1000000)*D8845,0)</f>
      </c>
    </row>
    <row r="8846" spans="1:13" x14ac:dyDescent="0.25">
      <c r="A8846" s="16"/>
      <c r="E8846" s="27"/>
      <c r="F8846" t="s">
        <v>26</v>
      </c>
      <c r="G8846" s="28">
        <f>IFERROR(VLOOKUP(F8846,CARTON_LOOKUP!$A:$E,3,0),"")</f>
      </c>
      <c r="H8846" s="28">
        <f>IFERROR(VLOOKUP(F8846,CARTON_LOOKUP!$A:$E,4,0),"")</f>
      </c>
      <c r="I8846" s="28">
        <f>IFERROR(VLOOKUP(F8846,CARTON_LOOKUP!$A:$E,5,0),"")</f>
      </c>
      <c r="J8846" s="29">
        <f>IFERROR(VLOOKUP(F8846,CARTON_LOOKUP!$A:$E,2,0),"")</f>
      </c>
      <c r="K8846" s="29">
        <f>IFERROR(J8846*D8846,0)</f>
      </c>
      <c r="L8846" s="29">
        <f>IFERROR(E8846*C8846,0)</f>
      </c>
      <c r="M8846" s="29">
        <f>IFERROR((G8846*H8846*I8846/1000000)*D8846,0)</f>
      </c>
    </row>
    <row r="8847" spans="1:13" x14ac:dyDescent="0.25">
      <c r="A8847" s="16"/>
      <c r="E8847" s="27"/>
      <c r="F8847" t="s">
        <v>26</v>
      </c>
      <c r="G8847" s="28">
        <f>IFERROR(VLOOKUP(F8847,CARTON_LOOKUP!$A:$E,3,0),"")</f>
      </c>
      <c r="H8847" s="28">
        <f>IFERROR(VLOOKUP(F8847,CARTON_LOOKUP!$A:$E,4,0),"")</f>
      </c>
      <c r="I8847" s="28">
        <f>IFERROR(VLOOKUP(F8847,CARTON_LOOKUP!$A:$E,5,0),"")</f>
      </c>
      <c r="J8847" s="29">
        <f>IFERROR(VLOOKUP(F8847,CARTON_LOOKUP!$A:$E,2,0),"")</f>
      </c>
      <c r="K8847" s="29">
        <f>IFERROR(J8847*D8847,0)</f>
      </c>
      <c r="L8847" s="29">
        <f>IFERROR(E8847*C8847,0)</f>
      </c>
      <c r="M8847" s="29">
        <f>IFERROR((G8847*H8847*I8847/1000000)*D8847,0)</f>
      </c>
    </row>
    <row r="8848" spans="1:13" x14ac:dyDescent="0.25">
      <c r="A8848" s="16"/>
      <c r="E8848" s="27"/>
      <c r="F8848" t="s">
        <v>26</v>
      </c>
      <c r="G8848" s="28">
        <f>IFERROR(VLOOKUP(F8848,CARTON_LOOKUP!$A:$E,3,0),"")</f>
      </c>
      <c r="H8848" s="28">
        <f>IFERROR(VLOOKUP(F8848,CARTON_LOOKUP!$A:$E,4,0),"")</f>
      </c>
      <c r="I8848" s="28">
        <f>IFERROR(VLOOKUP(F8848,CARTON_LOOKUP!$A:$E,5,0),"")</f>
      </c>
      <c r="J8848" s="29">
        <f>IFERROR(VLOOKUP(F8848,CARTON_LOOKUP!$A:$E,2,0),"")</f>
      </c>
      <c r="K8848" s="29">
        <f>IFERROR(J8848*D8848,0)</f>
      </c>
      <c r="L8848" s="29">
        <f>IFERROR(E8848*C8848,0)</f>
      </c>
      <c r="M8848" s="29">
        <f>IFERROR((G8848*H8848*I8848/1000000)*D8848,0)</f>
      </c>
    </row>
    <row r="8849" spans="1:13" x14ac:dyDescent="0.25">
      <c r="A8849" s="16"/>
      <c r="E8849" s="27"/>
      <c r="F8849" t="s">
        <v>26</v>
      </c>
      <c r="G8849" s="28">
        <f>IFERROR(VLOOKUP(F8849,CARTON_LOOKUP!$A:$E,3,0),"")</f>
      </c>
      <c r="H8849" s="28">
        <f>IFERROR(VLOOKUP(F8849,CARTON_LOOKUP!$A:$E,4,0),"")</f>
      </c>
      <c r="I8849" s="28">
        <f>IFERROR(VLOOKUP(F8849,CARTON_LOOKUP!$A:$E,5,0),"")</f>
      </c>
      <c r="J8849" s="29">
        <f>IFERROR(VLOOKUP(F8849,CARTON_LOOKUP!$A:$E,2,0),"")</f>
      </c>
      <c r="K8849" s="29">
        <f>IFERROR(J8849*D8849,0)</f>
      </c>
      <c r="L8849" s="29">
        <f>IFERROR(E8849*C8849,0)</f>
      </c>
      <c r="M8849" s="29">
        <f>IFERROR((G8849*H8849*I8849/1000000)*D8849,0)</f>
      </c>
    </row>
    <row r="8850" spans="1:13" x14ac:dyDescent="0.25">
      <c r="A8850" s="16"/>
      <c r="E8850" s="27"/>
      <c r="F8850" t="s">
        <v>26</v>
      </c>
      <c r="G8850" s="28">
        <f>IFERROR(VLOOKUP(F8850,CARTON_LOOKUP!$A:$E,3,0),"")</f>
      </c>
      <c r="H8850" s="28">
        <f>IFERROR(VLOOKUP(F8850,CARTON_LOOKUP!$A:$E,4,0),"")</f>
      </c>
      <c r="I8850" s="28">
        <f>IFERROR(VLOOKUP(F8850,CARTON_LOOKUP!$A:$E,5,0),"")</f>
      </c>
      <c r="J8850" s="29">
        <f>IFERROR(VLOOKUP(F8850,CARTON_LOOKUP!$A:$E,2,0),"")</f>
      </c>
      <c r="K8850" s="29">
        <f>IFERROR(J8850*D8850,0)</f>
      </c>
      <c r="L8850" s="29">
        <f>IFERROR(E8850*C8850,0)</f>
      </c>
      <c r="M8850" s="29">
        <f>IFERROR((G8850*H8850*I8850/1000000)*D8850,0)</f>
      </c>
    </row>
    <row r="8851" spans="1:13" x14ac:dyDescent="0.25">
      <c r="A8851" s="16"/>
      <c r="E8851" s="27"/>
      <c r="F8851" t="s">
        <v>26</v>
      </c>
      <c r="G8851" s="28">
        <f>IFERROR(VLOOKUP(F8851,CARTON_LOOKUP!$A:$E,3,0),"")</f>
      </c>
      <c r="H8851" s="28">
        <f>IFERROR(VLOOKUP(F8851,CARTON_LOOKUP!$A:$E,4,0),"")</f>
      </c>
      <c r="I8851" s="28">
        <f>IFERROR(VLOOKUP(F8851,CARTON_LOOKUP!$A:$E,5,0),"")</f>
      </c>
      <c r="J8851" s="29">
        <f>IFERROR(VLOOKUP(F8851,CARTON_LOOKUP!$A:$E,2,0),"")</f>
      </c>
      <c r="K8851" s="29">
        <f>IFERROR(J8851*D8851,0)</f>
      </c>
      <c r="L8851" s="29">
        <f>IFERROR(E8851*C8851,0)</f>
      </c>
      <c r="M8851" s="29">
        <f>IFERROR((G8851*H8851*I8851/1000000)*D8851,0)</f>
      </c>
    </row>
    <row r="8852" spans="1:13" x14ac:dyDescent="0.25">
      <c r="A8852" s="16"/>
      <c r="E8852" s="27"/>
      <c r="F8852" t="s">
        <v>26</v>
      </c>
      <c r="G8852" s="28">
        <f>IFERROR(VLOOKUP(F8852,CARTON_LOOKUP!$A:$E,3,0),"")</f>
      </c>
      <c r="H8852" s="28">
        <f>IFERROR(VLOOKUP(F8852,CARTON_LOOKUP!$A:$E,4,0),"")</f>
      </c>
      <c r="I8852" s="28">
        <f>IFERROR(VLOOKUP(F8852,CARTON_LOOKUP!$A:$E,5,0),"")</f>
      </c>
      <c r="J8852" s="29">
        <f>IFERROR(VLOOKUP(F8852,CARTON_LOOKUP!$A:$E,2,0),"")</f>
      </c>
      <c r="K8852" s="29">
        <f>IFERROR(J8852*D8852,0)</f>
      </c>
      <c r="L8852" s="29">
        <f>IFERROR(E8852*C8852,0)</f>
      </c>
      <c r="M8852" s="29">
        <f>IFERROR((G8852*H8852*I8852/1000000)*D8852,0)</f>
      </c>
    </row>
    <row r="8853" spans="1:13" x14ac:dyDescent="0.25">
      <c r="A8853" s="16"/>
      <c r="E8853" s="27"/>
      <c r="F8853" t="s">
        <v>26</v>
      </c>
      <c r="G8853" s="28">
        <f>IFERROR(VLOOKUP(F8853,CARTON_LOOKUP!$A:$E,3,0),"")</f>
      </c>
      <c r="H8853" s="28">
        <f>IFERROR(VLOOKUP(F8853,CARTON_LOOKUP!$A:$E,4,0),"")</f>
      </c>
      <c r="I8853" s="28">
        <f>IFERROR(VLOOKUP(F8853,CARTON_LOOKUP!$A:$E,5,0),"")</f>
      </c>
      <c r="J8853" s="29">
        <f>IFERROR(VLOOKUP(F8853,CARTON_LOOKUP!$A:$E,2,0),"")</f>
      </c>
      <c r="K8853" s="29">
        <f>IFERROR(J8853*D8853,0)</f>
      </c>
      <c r="L8853" s="29">
        <f>IFERROR(E8853*C8853,0)</f>
      </c>
      <c r="M8853" s="29">
        <f>IFERROR((G8853*H8853*I8853/1000000)*D8853,0)</f>
      </c>
    </row>
    <row r="8854" spans="1:13" x14ac:dyDescent="0.25">
      <c r="A8854" s="16"/>
      <c r="E8854" s="27"/>
      <c r="F8854" t="s">
        <v>26</v>
      </c>
      <c r="G8854" s="28">
        <f>IFERROR(VLOOKUP(F8854,CARTON_LOOKUP!$A:$E,3,0),"")</f>
      </c>
      <c r="H8854" s="28">
        <f>IFERROR(VLOOKUP(F8854,CARTON_LOOKUP!$A:$E,4,0),"")</f>
      </c>
      <c r="I8854" s="28">
        <f>IFERROR(VLOOKUP(F8854,CARTON_LOOKUP!$A:$E,5,0),"")</f>
      </c>
      <c r="J8854" s="29">
        <f>IFERROR(VLOOKUP(F8854,CARTON_LOOKUP!$A:$E,2,0),"")</f>
      </c>
      <c r="K8854" s="29">
        <f>IFERROR(J8854*D8854,0)</f>
      </c>
      <c r="L8854" s="29">
        <f>IFERROR(E8854*C8854,0)</f>
      </c>
      <c r="M8854" s="29">
        <f>IFERROR((G8854*H8854*I8854/1000000)*D8854,0)</f>
      </c>
    </row>
    <row r="8855" spans="1:13" x14ac:dyDescent="0.25">
      <c r="A8855" s="16"/>
      <c r="E8855" s="27"/>
      <c r="F8855" t="s">
        <v>26</v>
      </c>
      <c r="G8855" s="28">
        <f>IFERROR(VLOOKUP(F8855,CARTON_LOOKUP!$A:$E,3,0),"")</f>
      </c>
      <c r="H8855" s="28">
        <f>IFERROR(VLOOKUP(F8855,CARTON_LOOKUP!$A:$E,4,0),"")</f>
      </c>
      <c r="I8855" s="28">
        <f>IFERROR(VLOOKUP(F8855,CARTON_LOOKUP!$A:$E,5,0),"")</f>
      </c>
      <c r="J8855" s="29">
        <f>IFERROR(VLOOKUP(F8855,CARTON_LOOKUP!$A:$E,2,0),"")</f>
      </c>
      <c r="K8855" s="29">
        <f>IFERROR(J8855*D8855,0)</f>
      </c>
      <c r="L8855" s="29">
        <f>IFERROR(E8855*C8855,0)</f>
      </c>
      <c r="M8855" s="29">
        <f>IFERROR((G8855*H8855*I8855/1000000)*D8855,0)</f>
      </c>
    </row>
    <row r="8856" spans="1:13" x14ac:dyDescent="0.25">
      <c r="A8856" s="16"/>
      <c r="E8856" s="27"/>
      <c r="F8856" t="s">
        <v>26</v>
      </c>
      <c r="G8856" s="28">
        <f>IFERROR(VLOOKUP(F8856,CARTON_LOOKUP!$A:$E,3,0),"")</f>
      </c>
      <c r="H8856" s="28">
        <f>IFERROR(VLOOKUP(F8856,CARTON_LOOKUP!$A:$E,4,0),"")</f>
      </c>
      <c r="I8856" s="28">
        <f>IFERROR(VLOOKUP(F8856,CARTON_LOOKUP!$A:$E,5,0),"")</f>
      </c>
      <c r="J8856" s="29">
        <f>IFERROR(VLOOKUP(F8856,CARTON_LOOKUP!$A:$E,2,0),"")</f>
      </c>
      <c r="K8856" s="29">
        <f>IFERROR(J8856*D8856,0)</f>
      </c>
      <c r="L8856" s="29">
        <f>IFERROR(E8856*C8856,0)</f>
      </c>
      <c r="M8856" s="29">
        <f>IFERROR((G8856*H8856*I8856/1000000)*D8856,0)</f>
      </c>
    </row>
    <row r="8857" spans="1:13" x14ac:dyDescent="0.25">
      <c r="A8857" s="16"/>
      <c r="E8857" s="27"/>
      <c r="F8857" t="s">
        <v>26</v>
      </c>
      <c r="G8857" s="28">
        <f>IFERROR(VLOOKUP(F8857,CARTON_LOOKUP!$A:$E,3,0),"")</f>
      </c>
      <c r="H8857" s="28">
        <f>IFERROR(VLOOKUP(F8857,CARTON_LOOKUP!$A:$E,4,0),"")</f>
      </c>
      <c r="I8857" s="28">
        <f>IFERROR(VLOOKUP(F8857,CARTON_LOOKUP!$A:$E,5,0),"")</f>
      </c>
      <c r="J8857" s="29">
        <f>IFERROR(VLOOKUP(F8857,CARTON_LOOKUP!$A:$E,2,0),"")</f>
      </c>
      <c r="K8857" s="29">
        <f>IFERROR(J8857*D8857,0)</f>
      </c>
      <c r="L8857" s="29">
        <f>IFERROR(E8857*C8857,0)</f>
      </c>
      <c r="M8857" s="29">
        <f>IFERROR((G8857*H8857*I8857/1000000)*D8857,0)</f>
      </c>
    </row>
    <row r="8858" spans="1:13" x14ac:dyDescent="0.25">
      <c r="A8858" s="16"/>
      <c r="E8858" s="27"/>
      <c r="F8858" t="s">
        <v>26</v>
      </c>
      <c r="G8858" s="28">
        <f>IFERROR(VLOOKUP(F8858,CARTON_LOOKUP!$A:$E,3,0),"")</f>
      </c>
      <c r="H8858" s="28">
        <f>IFERROR(VLOOKUP(F8858,CARTON_LOOKUP!$A:$E,4,0),"")</f>
      </c>
      <c r="I8858" s="28">
        <f>IFERROR(VLOOKUP(F8858,CARTON_LOOKUP!$A:$E,5,0),"")</f>
      </c>
      <c r="J8858" s="29">
        <f>IFERROR(VLOOKUP(F8858,CARTON_LOOKUP!$A:$E,2,0),"")</f>
      </c>
      <c r="K8858" s="29">
        <f>IFERROR(J8858*D8858,0)</f>
      </c>
      <c r="L8858" s="29">
        <f>IFERROR(E8858*C8858,0)</f>
      </c>
      <c r="M8858" s="29">
        <f>IFERROR((G8858*H8858*I8858/1000000)*D8858,0)</f>
      </c>
    </row>
    <row r="8859" spans="1:13" x14ac:dyDescent="0.25">
      <c r="A8859" s="16"/>
      <c r="E8859" s="27"/>
      <c r="F8859" t="s">
        <v>26</v>
      </c>
      <c r="G8859" s="28">
        <f>IFERROR(VLOOKUP(F8859,CARTON_LOOKUP!$A:$E,3,0),"")</f>
      </c>
      <c r="H8859" s="28">
        <f>IFERROR(VLOOKUP(F8859,CARTON_LOOKUP!$A:$E,4,0),"")</f>
      </c>
      <c r="I8859" s="28">
        <f>IFERROR(VLOOKUP(F8859,CARTON_LOOKUP!$A:$E,5,0),"")</f>
      </c>
      <c r="J8859" s="29">
        <f>IFERROR(VLOOKUP(F8859,CARTON_LOOKUP!$A:$E,2,0),"")</f>
      </c>
      <c r="K8859" s="29">
        <f>IFERROR(J8859*D8859,0)</f>
      </c>
      <c r="L8859" s="29">
        <f>IFERROR(E8859*C8859,0)</f>
      </c>
      <c r="M8859" s="29">
        <f>IFERROR((G8859*H8859*I8859/1000000)*D8859,0)</f>
      </c>
    </row>
    <row r="8860" spans="1:13" x14ac:dyDescent="0.25">
      <c r="A8860" s="16"/>
      <c r="E8860" s="27"/>
      <c r="F8860" t="s">
        <v>26</v>
      </c>
      <c r="G8860" s="28">
        <f>IFERROR(VLOOKUP(F8860,CARTON_LOOKUP!$A:$E,3,0),"")</f>
      </c>
      <c r="H8860" s="28">
        <f>IFERROR(VLOOKUP(F8860,CARTON_LOOKUP!$A:$E,4,0),"")</f>
      </c>
      <c r="I8860" s="28">
        <f>IFERROR(VLOOKUP(F8860,CARTON_LOOKUP!$A:$E,5,0),"")</f>
      </c>
      <c r="J8860" s="29">
        <f>IFERROR(VLOOKUP(F8860,CARTON_LOOKUP!$A:$E,2,0),"")</f>
      </c>
      <c r="K8860" s="29">
        <f>IFERROR(J8860*D8860,0)</f>
      </c>
      <c r="L8860" s="29">
        <f>IFERROR(E8860*C8860,0)</f>
      </c>
      <c r="M8860" s="29">
        <f>IFERROR((G8860*H8860*I8860/1000000)*D8860,0)</f>
      </c>
    </row>
    <row r="8861" spans="1:13" x14ac:dyDescent="0.25">
      <c r="A8861" s="16"/>
      <c r="E8861" s="27"/>
      <c r="F8861" t="s">
        <v>26</v>
      </c>
      <c r="G8861" s="28">
        <f>IFERROR(VLOOKUP(F8861,CARTON_LOOKUP!$A:$E,3,0),"")</f>
      </c>
      <c r="H8861" s="28">
        <f>IFERROR(VLOOKUP(F8861,CARTON_LOOKUP!$A:$E,4,0),"")</f>
      </c>
      <c r="I8861" s="28">
        <f>IFERROR(VLOOKUP(F8861,CARTON_LOOKUP!$A:$E,5,0),"")</f>
      </c>
      <c r="J8861" s="29">
        <f>IFERROR(VLOOKUP(F8861,CARTON_LOOKUP!$A:$E,2,0),"")</f>
      </c>
      <c r="K8861" s="29">
        <f>IFERROR(J8861*D8861,0)</f>
      </c>
      <c r="L8861" s="29">
        <f>IFERROR(E8861*C8861,0)</f>
      </c>
      <c r="M8861" s="29">
        <f>IFERROR((G8861*H8861*I8861/1000000)*D8861,0)</f>
      </c>
    </row>
    <row r="8862" spans="1:13" x14ac:dyDescent="0.25">
      <c r="A8862" s="16"/>
      <c r="E8862" s="27"/>
      <c r="F8862" t="s">
        <v>26</v>
      </c>
      <c r="G8862" s="28">
        <f>IFERROR(VLOOKUP(F8862,CARTON_LOOKUP!$A:$E,3,0),"")</f>
      </c>
      <c r="H8862" s="28">
        <f>IFERROR(VLOOKUP(F8862,CARTON_LOOKUP!$A:$E,4,0),"")</f>
      </c>
      <c r="I8862" s="28">
        <f>IFERROR(VLOOKUP(F8862,CARTON_LOOKUP!$A:$E,5,0),"")</f>
      </c>
      <c r="J8862" s="29">
        <f>IFERROR(VLOOKUP(F8862,CARTON_LOOKUP!$A:$E,2,0),"")</f>
      </c>
      <c r="K8862" s="29">
        <f>IFERROR(J8862*D8862,0)</f>
      </c>
      <c r="L8862" s="29">
        <f>IFERROR(E8862*C8862,0)</f>
      </c>
      <c r="M8862" s="29">
        <f>IFERROR((G8862*H8862*I8862/1000000)*D8862,0)</f>
      </c>
    </row>
    <row r="8863" spans="1:13" x14ac:dyDescent="0.25">
      <c r="A8863" s="16"/>
      <c r="E8863" s="27"/>
      <c r="F8863" t="s">
        <v>26</v>
      </c>
      <c r="G8863" s="28">
        <f>IFERROR(VLOOKUP(F8863,CARTON_LOOKUP!$A:$E,3,0),"")</f>
      </c>
      <c r="H8863" s="28">
        <f>IFERROR(VLOOKUP(F8863,CARTON_LOOKUP!$A:$E,4,0),"")</f>
      </c>
      <c r="I8863" s="28">
        <f>IFERROR(VLOOKUP(F8863,CARTON_LOOKUP!$A:$E,5,0),"")</f>
      </c>
      <c r="J8863" s="29">
        <f>IFERROR(VLOOKUP(F8863,CARTON_LOOKUP!$A:$E,2,0),"")</f>
      </c>
      <c r="K8863" s="29">
        <f>IFERROR(J8863*D8863,0)</f>
      </c>
      <c r="L8863" s="29">
        <f>IFERROR(E8863*C8863,0)</f>
      </c>
      <c r="M8863" s="29">
        <f>IFERROR((G8863*H8863*I8863/1000000)*D8863,0)</f>
      </c>
    </row>
    <row r="8864" spans="1:13" x14ac:dyDescent="0.25">
      <c r="A8864" s="16"/>
      <c r="E8864" s="27"/>
      <c r="F8864" t="s">
        <v>26</v>
      </c>
      <c r="G8864" s="28">
        <f>IFERROR(VLOOKUP(F8864,CARTON_LOOKUP!$A:$E,3,0),"")</f>
      </c>
      <c r="H8864" s="28">
        <f>IFERROR(VLOOKUP(F8864,CARTON_LOOKUP!$A:$E,4,0),"")</f>
      </c>
      <c r="I8864" s="28">
        <f>IFERROR(VLOOKUP(F8864,CARTON_LOOKUP!$A:$E,5,0),"")</f>
      </c>
      <c r="J8864" s="29">
        <f>IFERROR(VLOOKUP(F8864,CARTON_LOOKUP!$A:$E,2,0),"")</f>
      </c>
      <c r="K8864" s="29">
        <f>IFERROR(J8864*D8864,0)</f>
      </c>
      <c r="L8864" s="29">
        <f>IFERROR(E8864*C8864,0)</f>
      </c>
      <c r="M8864" s="29">
        <f>IFERROR((G8864*H8864*I8864/1000000)*D8864,0)</f>
      </c>
    </row>
    <row r="8865" spans="1:13" x14ac:dyDescent="0.25">
      <c r="A8865" s="16"/>
      <c r="E8865" s="27"/>
      <c r="F8865" t="s">
        <v>26</v>
      </c>
      <c r="G8865" s="28">
        <f>IFERROR(VLOOKUP(F8865,CARTON_LOOKUP!$A:$E,3,0),"")</f>
      </c>
      <c r="H8865" s="28">
        <f>IFERROR(VLOOKUP(F8865,CARTON_LOOKUP!$A:$E,4,0),"")</f>
      </c>
      <c r="I8865" s="28">
        <f>IFERROR(VLOOKUP(F8865,CARTON_LOOKUP!$A:$E,5,0),"")</f>
      </c>
      <c r="J8865" s="29">
        <f>IFERROR(VLOOKUP(F8865,CARTON_LOOKUP!$A:$E,2,0),"")</f>
      </c>
      <c r="K8865" s="29">
        <f>IFERROR(J8865*D8865,0)</f>
      </c>
      <c r="L8865" s="29">
        <f>IFERROR(E8865*C8865,0)</f>
      </c>
      <c r="M8865" s="29">
        <f>IFERROR((G8865*H8865*I8865/1000000)*D8865,0)</f>
      </c>
    </row>
    <row r="8866" spans="1:13" x14ac:dyDescent="0.25">
      <c r="A8866" s="16"/>
      <c r="E8866" s="27"/>
      <c r="F8866" t="s">
        <v>26</v>
      </c>
      <c r="G8866" s="28">
        <f>IFERROR(VLOOKUP(F8866,CARTON_LOOKUP!$A:$E,3,0),"")</f>
      </c>
      <c r="H8866" s="28">
        <f>IFERROR(VLOOKUP(F8866,CARTON_LOOKUP!$A:$E,4,0),"")</f>
      </c>
      <c r="I8866" s="28">
        <f>IFERROR(VLOOKUP(F8866,CARTON_LOOKUP!$A:$E,5,0),"")</f>
      </c>
      <c r="J8866" s="29">
        <f>IFERROR(VLOOKUP(F8866,CARTON_LOOKUP!$A:$E,2,0),"")</f>
      </c>
      <c r="K8866" s="29">
        <f>IFERROR(J8866*D8866,0)</f>
      </c>
      <c r="L8866" s="29">
        <f>IFERROR(E8866*C8866,0)</f>
      </c>
      <c r="M8866" s="29">
        <f>IFERROR((G8866*H8866*I8866/1000000)*D8866,0)</f>
      </c>
    </row>
    <row r="8867" spans="1:13" x14ac:dyDescent="0.25">
      <c r="A8867" s="16"/>
      <c r="E8867" s="27"/>
      <c r="F8867" t="s">
        <v>26</v>
      </c>
      <c r="G8867" s="28">
        <f>IFERROR(VLOOKUP(F8867,CARTON_LOOKUP!$A:$E,3,0),"")</f>
      </c>
      <c r="H8867" s="28">
        <f>IFERROR(VLOOKUP(F8867,CARTON_LOOKUP!$A:$E,4,0),"")</f>
      </c>
      <c r="I8867" s="28">
        <f>IFERROR(VLOOKUP(F8867,CARTON_LOOKUP!$A:$E,5,0),"")</f>
      </c>
      <c r="J8867" s="29">
        <f>IFERROR(VLOOKUP(F8867,CARTON_LOOKUP!$A:$E,2,0),"")</f>
      </c>
      <c r="K8867" s="29">
        <f>IFERROR(J8867*D8867,0)</f>
      </c>
      <c r="L8867" s="29">
        <f>IFERROR(E8867*C8867,0)</f>
      </c>
      <c r="M8867" s="29">
        <f>IFERROR((G8867*H8867*I8867/1000000)*D8867,0)</f>
      </c>
    </row>
    <row r="8868" spans="1:13" x14ac:dyDescent="0.25">
      <c r="A8868" s="16"/>
      <c r="E8868" s="27"/>
      <c r="F8868" t="s">
        <v>26</v>
      </c>
      <c r="G8868" s="28">
        <f>IFERROR(VLOOKUP(F8868,CARTON_LOOKUP!$A:$E,3,0),"")</f>
      </c>
      <c r="H8868" s="28">
        <f>IFERROR(VLOOKUP(F8868,CARTON_LOOKUP!$A:$E,4,0),"")</f>
      </c>
      <c r="I8868" s="28">
        <f>IFERROR(VLOOKUP(F8868,CARTON_LOOKUP!$A:$E,5,0),"")</f>
      </c>
      <c r="J8868" s="29">
        <f>IFERROR(VLOOKUP(F8868,CARTON_LOOKUP!$A:$E,2,0),"")</f>
      </c>
      <c r="K8868" s="29">
        <f>IFERROR(J8868*D8868,0)</f>
      </c>
      <c r="L8868" s="29">
        <f>IFERROR(E8868*C8868,0)</f>
      </c>
      <c r="M8868" s="29">
        <f>IFERROR((G8868*H8868*I8868/1000000)*D8868,0)</f>
      </c>
    </row>
    <row r="8869" spans="1:13" x14ac:dyDescent="0.25">
      <c r="A8869" s="16"/>
      <c r="E8869" s="27"/>
      <c r="F8869" t="s">
        <v>26</v>
      </c>
      <c r="G8869" s="28">
        <f>IFERROR(VLOOKUP(F8869,CARTON_LOOKUP!$A:$E,3,0),"")</f>
      </c>
      <c r="H8869" s="28">
        <f>IFERROR(VLOOKUP(F8869,CARTON_LOOKUP!$A:$E,4,0),"")</f>
      </c>
      <c r="I8869" s="28">
        <f>IFERROR(VLOOKUP(F8869,CARTON_LOOKUP!$A:$E,5,0),"")</f>
      </c>
      <c r="J8869" s="29">
        <f>IFERROR(VLOOKUP(F8869,CARTON_LOOKUP!$A:$E,2,0),"")</f>
      </c>
      <c r="K8869" s="29">
        <f>IFERROR(J8869*D8869,0)</f>
      </c>
      <c r="L8869" s="29">
        <f>IFERROR(E8869*C8869,0)</f>
      </c>
      <c r="M8869" s="29">
        <f>IFERROR((G8869*H8869*I8869/1000000)*D8869,0)</f>
      </c>
    </row>
    <row r="8870" spans="1:13" x14ac:dyDescent="0.25">
      <c r="A8870" s="16"/>
      <c r="E8870" s="27"/>
      <c r="F8870" t="s">
        <v>26</v>
      </c>
      <c r="G8870" s="28">
        <f>IFERROR(VLOOKUP(F8870,CARTON_LOOKUP!$A:$E,3,0),"")</f>
      </c>
      <c r="H8870" s="28">
        <f>IFERROR(VLOOKUP(F8870,CARTON_LOOKUP!$A:$E,4,0),"")</f>
      </c>
      <c r="I8870" s="28">
        <f>IFERROR(VLOOKUP(F8870,CARTON_LOOKUP!$A:$E,5,0),"")</f>
      </c>
      <c r="J8870" s="29">
        <f>IFERROR(VLOOKUP(F8870,CARTON_LOOKUP!$A:$E,2,0),"")</f>
      </c>
      <c r="K8870" s="29">
        <f>IFERROR(J8870*D8870,0)</f>
      </c>
      <c r="L8870" s="29">
        <f>IFERROR(E8870*C8870,0)</f>
      </c>
      <c r="M8870" s="29">
        <f>IFERROR((G8870*H8870*I8870/1000000)*D8870,0)</f>
      </c>
    </row>
    <row r="8871" spans="1:13" x14ac:dyDescent="0.25">
      <c r="A8871" s="16"/>
      <c r="E8871" s="27"/>
      <c r="F8871" t="s">
        <v>26</v>
      </c>
      <c r="G8871" s="28">
        <f>IFERROR(VLOOKUP(F8871,CARTON_LOOKUP!$A:$E,3,0),"")</f>
      </c>
      <c r="H8871" s="28">
        <f>IFERROR(VLOOKUP(F8871,CARTON_LOOKUP!$A:$E,4,0),"")</f>
      </c>
      <c r="I8871" s="28">
        <f>IFERROR(VLOOKUP(F8871,CARTON_LOOKUP!$A:$E,5,0),"")</f>
      </c>
      <c r="J8871" s="29">
        <f>IFERROR(VLOOKUP(F8871,CARTON_LOOKUP!$A:$E,2,0),"")</f>
      </c>
      <c r="K8871" s="29">
        <f>IFERROR(J8871*D8871,0)</f>
      </c>
      <c r="L8871" s="29">
        <f>IFERROR(E8871*C8871,0)</f>
      </c>
      <c r="M8871" s="29">
        <f>IFERROR((G8871*H8871*I8871/1000000)*D8871,0)</f>
      </c>
    </row>
    <row r="8872" spans="1:13" x14ac:dyDescent="0.25">
      <c r="A8872" s="16"/>
      <c r="E8872" s="27"/>
      <c r="F8872" t="s">
        <v>26</v>
      </c>
      <c r="G8872" s="28">
        <f>IFERROR(VLOOKUP(F8872,CARTON_LOOKUP!$A:$E,3,0),"")</f>
      </c>
      <c r="H8872" s="28">
        <f>IFERROR(VLOOKUP(F8872,CARTON_LOOKUP!$A:$E,4,0),"")</f>
      </c>
      <c r="I8872" s="28">
        <f>IFERROR(VLOOKUP(F8872,CARTON_LOOKUP!$A:$E,5,0),"")</f>
      </c>
      <c r="J8872" s="29">
        <f>IFERROR(VLOOKUP(F8872,CARTON_LOOKUP!$A:$E,2,0),"")</f>
      </c>
      <c r="K8872" s="29">
        <f>IFERROR(J8872*D8872,0)</f>
      </c>
      <c r="L8872" s="29">
        <f>IFERROR(E8872*C8872,0)</f>
      </c>
      <c r="M8872" s="29">
        <f>IFERROR((G8872*H8872*I8872/1000000)*D8872,0)</f>
      </c>
    </row>
    <row r="8873" spans="1:13" x14ac:dyDescent="0.25">
      <c r="A8873" s="16"/>
      <c r="E8873" s="27"/>
      <c r="F8873" t="s">
        <v>26</v>
      </c>
      <c r="G8873" s="28">
        <f>IFERROR(VLOOKUP(F8873,CARTON_LOOKUP!$A:$E,3,0),"")</f>
      </c>
      <c r="H8873" s="28">
        <f>IFERROR(VLOOKUP(F8873,CARTON_LOOKUP!$A:$E,4,0),"")</f>
      </c>
      <c r="I8873" s="28">
        <f>IFERROR(VLOOKUP(F8873,CARTON_LOOKUP!$A:$E,5,0),"")</f>
      </c>
      <c r="J8873" s="29">
        <f>IFERROR(VLOOKUP(F8873,CARTON_LOOKUP!$A:$E,2,0),"")</f>
      </c>
      <c r="K8873" s="29">
        <f>IFERROR(J8873*D8873,0)</f>
      </c>
      <c r="L8873" s="29">
        <f>IFERROR(E8873*C8873,0)</f>
      </c>
      <c r="M8873" s="29">
        <f>IFERROR((G8873*H8873*I8873/1000000)*D8873,0)</f>
      </c>
    </row>
    <row r="8874" spans="1:13" x14ac:dyDescent="0.25">
      <c r="A8874" s="16"/>
      <c r="E8874" s="27"/>
      <c r="F8874" t="s">
        <v>26</v>
      </c>
      <c r="G8874" s="28">
        <f>IFERROR(VLOOKUP(F8874,CARTON_LOOKUP!$A:$E,3,0),"")</f>
      </c>
      <c r="H8874" s="28">
        <f>IFERROR(VLOOKUP(F8874,CARTON_LOOKUP!$A:$E,4,0),"")</f>
      </c>
      <c r="I8874" s="28">
        <f>IFERROR(VLOOKUP(F8874,CARTON_LOOKUP!$A:$E,5,0),"")</f>
      </c>
      <c r="J8874" s="29">
        <f>IFERROR(VLOOKUP(F8874,CARTON_LOOKUP!$A:$E,2,0),"")</f>
      </c>
      <c r="K8874" s="29">
        <f>IFERROR(J8874*D8874,0)</f>
      </c>
      <c r="L8874" s="29">
        <f>IFERROR(E8874*C8874,0)</f>
      </c>
      <c r="M8874" s="29">
        <f>IFERROR((G8874*H8874*I8874/1000000)*D8874,0)</f>
      </c>
    </row>
    <row r="8875" spans="1:13" x14ac:dyDescent="0.25">
      <c r="A8875" s="16"/>
      <c r="E8875" s="27"/>
      <c r="F8875" t="s">
        <v>26</v>
      </c>
      <c r="G8875" s="28">
        <f>IFERROR(VLOOKUP(F8875,CARTON_LOOKUP!$A:$E,3,0),"")</f>
      </c>
      <c r="H8875" s="28">
        <f>IFERROR(VLOOKUP(F8875,CARTON_LOOKUP!$A:$E,4,0),"")</f>
      </c>
      <c r="I8875" s="28">
        <f>IFERROR(VLOOKUP(F8875,CARTON_LOOKUP!$A:$E,5,0),"")</f>
      </c>
      <c r="J8875" s="29">
        <f>IFERROR(VLOOKUP(F8875,CARTON_LOOKUP!$A:$E,2,0),"")</f>
      </c>
      <c r="K8875" s="29">
        <f>IFERROR(J8875*D8875,0)</f>
      </c>
      <c r="L8875" s="29">
        <f>IFERROR(E8875*C8875,0)</f>
      </c>
      <c r="M8875" s="29">
        <f>IFERROR((G8875*H8875*I8875/1000000)*D8875,0)</f>
      </c>
    </row>
    <row r="8876" spans="1:13" x14ac:dyDescent="0.25">
      <c r="A8876" s="16"/>
      <c r="E8876" s="27"/>
      <c r="F8876" t="s">
        <v>26</v>
      </c>
      <c r="G8876" s="28">
        <f>IFERROR(VLOOKUP(F8876,CARTON_LOOKUP!$A:$E,3,0),"")</f>
      </c>
      <c r="H8876" s="28">
        <f>IFERROR(VLOOKUP(F8876,CARTON_LOOKUP!$A:$E,4,0),"")</f>
      </c>
      <c r="I8876" s="28">
        <f>IFERROR(VLOOKUP(F8876,CARTON_LOOKUP!$A:$E,5,0),"")</f>
      </c>
      <c r="J8876" s="29">
        <f>IFERROR(VLOOKUP(F8876,CARTON_LOOKUP!$A:$E,2,0),"")</f>
      </c>
      <c r="K8876" s="29">
        <f>IFERROR(J8876*D8876,0)</f>
      </c>
      <c r="L8876" s="29">
        <f>IFERROR(E8876*C8876,0)</f>
      </c>
      <c r="M8876" s="29">
        <f>IFERROR((G8876*H8876*I8876/1000000)*D8876,0)</f>
      </c>
    </row>
    <row r="8877" spans="1:13" x14ac:dyDescent="0.25">
      <c r="A8877" s="16"/>
      <c r="E8877" s="27"/>
      <c r="F8877" t="s">
        <v>26</v>
      </c>
      <c r="G8877" s="28">
        <f>IFERROR(VLOOKUP(F8877,CARTON_LOOKUP!$A:$E,3,0),"")</f>
      </c>
      <c r="H8877" s="28">
        <f>IFERROR(VLOOKUP(F8877,CARTON_LOOKUP!$A:$E,4,0),"")</f>
      </c>
      <c r="I8877" s="28">
        <f>IFERROR(VLOOKUP(F8877,CARTON_LOOKUP!$A:$E,5,0),"")</f>
      </c>
      <c r="J8877" s="29">
        <f>IFERROR(VLOOKUP(F8877,CARTON_LOOKUP!$A:$E,2,0),"")</f>
      </c>
      <c r="K8877" s="29">
        <f>IFERROR(J8877*D8877,0)</f>
      </c>
      <c r="L8877" s="29">
        <f>IFERROR(E8877*C8877,0)</f>
      </c>
      <c r="M8877" s="29">
        <f>IFERROR((G8877*H8877*I8877/1000000)*D8877,0)</f>
      </c>
    </row>
    <row r="8878" spans="1:13" x14ac:dyDescent="0.25">
      <c r="A8878" s="16"/>
      <c r="E8878" s="27"/>
      <c r="F8878" t="s">
        <v>26</v>
      </c>
      <c r="G8878" s="28">
        <f>IFERROR(VLOOKUP(F8878,CARTON_LOOKUP!$A:$E,3,0),"")</f>
      </c>
      <c r="H8878" s="28">
        <f>IFERROR(VLOOKUP(F8878,CARTON_LOOKUP!$A:$E,4,0),"")</f>
      </c>
      <c r="I8878" s="28">
        <f>IFERROR(VLOOKUP(F8878,CARTON_LOOKUP!$A:$E,5,0),"")</f>
      </c>
      <c r="J8878" s="29">
        <f>IFERROR(VLOOKUP(F8878,CARTON_LOOKUP!$A:$E,2,0),"")</f>
      </c>
      <c r="K8878" s="29">
        <f>IFERROR(J8878*D8878,0)</f>
      </c>
      <c r="L8878" s="29">
        <f>IFERROR(E8878*C8878,0)</f>
      </c>
      <c r="M8878" s="29">
        <f>IFERROR((G8878*H8878*I8878/1000000)*D8878,0)</f>
      </c>
    </row>
    <row r="8879" spans="1:13" x14ac:dyDescent="0.25">
      <c r="A8879" s="16"/>
      <c r="E8879" s="27"/>
      <c r="F8879" t="s">
        <v>26</v>
      </c>
      <c r="G8879" s="28">
        <f>IFERROR(VLOOKUP(F8879,CARTON_LOOKUP!$A:$E,3,0),"")</f>
      </c>
      <c r="H8879" s="28">
        <f>IFERROR(VLOOKUP(F8879,CARTON_LOOKUP!$A:$E,4,0),"")</f>
      </c>
      <c r="I8879" s="28">
        <f>IFERROR(VLOOKUP(F8879,CARTON_LOOKUP!$A:$E,5,0),"")</f>
      </c>
      <c r="J8879" s="29">
        <f>IFERROR(VLOOKUP(F8879,CARTON_LOOKUP!$A:$E,2,0),"")</f>
      </c>
      <c r="K8879" s="29">
        <f>IFERROR(J8879*D8879,0)</f>
      </c>
      <c r="L8879" s="29">
        <f>IFERROR(E8879*C8879,0)</f>
      </c>
      <c r="M8879" s="29">
        <f>IFERROR((G8879*H8879*I8879/1000000)*D8879,0)</f>
      </c>
    </row>
    <row r="8880" spans="1:13" x14ac:dyDescent="0.25">
      <c r="A8880" s="16"/>
      <c r="E8880" s="27"/>
      <c r="F8880" t="s">
        <v>26</v>
      </c>
      <c r="G8880" s="28">
        <f>IFERROR(VLOOKUP(F8880,CARTON_LOOKUP!$A:$E,3,0),"")</f>
      </c>
      <c r="H8880" s="28">
        <f>IFERROR(VLOOKUP(F8880,CARTON_LOOKUP!$A:$E,4,0),"")</f>
      </c>
      <c r="I8880" s="28">
        <f>IFERROR(VLOOKUP(F8880,CARTON_LOOKUP!$A:$E,5,0),"")</f>
      </c>
      <c r="J8880" s="29">
        <f>IFERROR(VLOOKUP(F8880,CARTON_LOOKUP!$A:$E,2,0),"")</f>
      </c>
      <c r="K8880" s="29">
        <f>IFERROR(J8880*D8880,0)</f>
      </c>
      <c r="L8880" s="29">
        <f>IFERROR(E8880*C8880,0)</f>
      </c>
      <c r="M8880" s="29">
        <f>IFERROR((G8880*H8880*I8880/1000000)*D8880,0)</f>
      </c>
    </row>
    <row r="8881" spans="1:13" x14ac:dyDescent="0.25">
      <c r="A8881" s="16"/>
      <c r="E8881" s="27"/>
      <c r="F8881" t="s">
        <v>26</v>
      </c>
      <c r="G8881" s="28">
        <f>IFERROR(VLOOKUP(F8881,CARTON_LOOKUP!$A:$E,3,0),"")</f>
      </c>
      <c r="H8881" s="28">
        <f>IFERROR(VLOOKUP(F8881,CARTON_LOOKUP!$A:$E,4,0),"")</f>
      </c>
      <c r="I8881" s="28">
        <f>IFERROR(VLOOKUP(F8881,CARTON_LOOKUP!$A:$E,5,0),"")</f>
      </c>
      <c r="J8881" s="29">
        <f>IFERROR(VLOOKUP(F8881,CARTON_LOOKUP!$A:$E,2,0),"")</f>
      </c>
      <c r="K8881" s="29">
        <f>IFERROR(J8881*D8881,0)</f>
      </c>
      <c r="L8881" s="29">
        <f>IFERROR(E8881*C8881,0)</f>
      </c>
      <c r="M8881" s="29">
        <f>IFERROR((G8881*H8881*I8881/1000000)*D8881,0)</f>
      </c>
    </row>
    <row r="8882" spans="1:13" x14ac:dyDescent="0.25">
      <c r="A8882" s="16"/>
      <c r="E8882" s="27"/>
      <c r="F8882" t="s">
        <v>26</v>
      </c>
      <c r="G8882" s="28">
        <f>IFERROR(VLOOKUP(F8882,CARTON_LOOKUP!$A:$E,3,0),"")</f>
      </c>
      <c r="H8882" s="28">
        <f>IFERROR(VLOOKUP(F8882,CARTON_LOOKUP!$A:$E,4,0),"")</f>
      </c>
      <c r="I8882" s="28">
        <f>IFERROR(VLOOKUP(F8882,CARTON_LOOKUP!$A:$E,5,0),"")</f>
      </c>
      <c r="J8882" s="29">
        <f>IFERROR(VLOOKUP(F8882,CARTON_LOOKUP!$A:$E,2,0),"")</f>
      </c>
      <c r="K8882" s="29">
        <f>IFERROR(J8882*D8882,0)</f>
      </c>
      <c r="L8882" s="29">
        <f>IFERROR(E8882*C8882,0)</f>
      </c>
      <c r="M8882" s="29">
        <f>IFERROR((G8882*H8882*I8882/1000000)*D8882,0)</f>
      </c>
    </row>
    <row r="8883" spans="1:13" x14ac:dyDescent="0.25">
      <c r="A8883" s="16"/>
      <c r="E8883" s="27"/>
      <c r="F8883" t="s">
        <v>26</v>
      </c>
      <c r="G8883" s="28">
        <f>IFERROR(VLOOKUP(F8883,CARTON_LOOKUP!$A:$E,3,0),"")</f>
      </c>
      <c r="H8883" s="28">
        <f>IFERROR(VLOOKUP(F8883,CARTON_LOOKUP!$A:$E,4,0),"")</f>
      </c>
      <c r="I8883" s="28">
        <f>IFERROR(VLOOKUP(F8883,CARTON_LOOKUP!$A:$E,5,0),"")</f>
      </c>
      <c r="J8883" s="29">
        <f>IFERROR(VLOOKUP(F8883,CARTON_LOOKUP!$A:$E,2,0),"")</f>
      </c>
      <c r="K8883" s="29">
        <f>IFERROR(J8883*D8883,0)</f>
      </c>
      <c r="L8883" s="29">
        <f>IFERROR(E8883*C8883,0)</f>
      </c>
      <c r="M8883" s="29">
        <f>IFERROR((G8883*H8883*I8883/1000000)*D8883,0)</f>
      </c>
    </row>
    <row r="8884" spans="1:13" x14ac:dyDescent="0.25">
      <c r="A8884" s="16"/>
      <c r="E8884" s="27"/>
      <c r="F8884" t="s">
        <v>26</v>
      </c>
      <c r="G8884" s="28">
        <f>IFERROR(VLOOKUP(F8884,CARTON_LOOKUP!$A:$E,3,0),"")</f>
      </c>
      <c r="H8884" s="28">
        <f>IFERROR(VLOOKUP(F8884,CARTON_LOOKUP!$A:$E,4,0),"")</f>
      </c>
      <c r="I8884" s="28">
        <f>IFERROR(VLOOKUP(F8884,CARTON_LOOKUP!$A:$E,5,0),"")</f>
      </c>
      <c r="J8884" s="29">
        <f>IFERROR(VLOOKUP(F8884,CARTON_LOOKUP!$A:$E,2,0),"")</f>
      </c>
      <c r="K8884" s="29">
        <f>IFERROR(J8884*D8884,0)</f>
      </c>
      <c r="L8884" s="29">
        <f>IFERROR(E8884*C8884,0)</f>
      </c>
      <c r="M8884" s="29">
        <f>IFERROR((G8884*H8884*I8884/1000000)*D8884,0)</f>
      </c>
    </row>
    <row r="8885" spans="1:13" x14ac:dyDescent="0.25">
      <c r="A8885" s="16"/>
      <c r="E8885" s="27"/>
      <c r="F8885" t="s">
        <v>26</v>
      </c>
      <c r="G8885" s="28">
        <f>IFERROR(VLOOKUP(F8885,CARTON_LOOKUP!$A:$E,3,0),"")</f>
      </c>
      <c r="H8885" s="28">
        <f>IFERROR(VLOOKUP(F8885,CARTON_LOOKUP!$A:$E,4,0),"")</f>
      </c>
      <c r="I8885" s="28">
        <f>IFERROR(VLOOKUP(F8885,CARTON_LOOKUP!$A:$E,5,0),"")</f>
      </c>
      <c r="J8885" s="29">
        <f>IFERROR(VLOOKUP(F8885,CARTON_LOOKUP!$A:$E,2,0),"")</f>
      </c>
      <c r="K8885" s="29">
        <f>IFERROR(J8885*D8885,0)</f>
      </c>
      <c r="L8885" s="29">
        <f>IFERROR(E8885*C8885,0)</f>
      </c>
      <c r="M8885" s="29">
        <f>IFERROR((G8885*H8885*I8885/1000000)*D8885,0)</f>
      </c>
    </row>
    <row r="8886" spans="1:13" x14ac:dyDescent="0.25">
      <c r="A8886" s="16"/>
      <c r="E8886" s="27"/>
      <c r="F8886" t="s">
        <v>26</v>
      </c>
      <c r="G8886" s="28">
        <f>IFERROR(VLOOKUP(F8886,CARTON_LOOKUP!$A:$E,3,0),"")</f>
      </c>
      <c r="H8886" s="28">
        <f>IFERROR(VLOOKUP(F8886,CARTON_LOOKUP!$A:$E,4,0),"")</f>
      </c>
      <c r="I8886" s="28">
        <f>IFERROR(VLOOKUP(F8886,CARTON_LOOKUP!$A:$E,5,0),"")</f>
      </c>
      <c r="J8886" s="29">
        <f>IFERROR(VLOOKUP(F8886,CARTON_LOOKUP!$A:$E,2,0),"")</f>
      </c>
      <c r="K8886" s="29">
        <f>IFERROR(J8886*D8886,0)</f>
      </c>
      <c r="L8886" s="29">
        <f>IFERROR(E8886*C8886,0)</f>
      </c>
      <c r="M8886" s="29">
        <f>IFERROR((G8886*H8886*I8886/1000000)*D8886,0)</f>
      </c>
    </row>
    <row r="8887" spans="1:13" x14ac:dyDescent="0.25">
      <c r="A8887" s="16"/>
      <c r="E8887" s="27"/>
      <c r="F8887" t="s">
        <v>26</v>
      </c>
      <c r="G8887" s="28">
        <f>IFERROR(VLOOKUP(F8887,CARTON_LOOKUP!$A:$E,3,0),"")</f>
      </c>
      <c r="H8887" s="28">
        <f>IFERROR(VLOOKUP(F8887,CARTON_LOOKUP!$A:$E,4,0),"")</f>
      </c>
      <c r="I8887" s="28">
        <f>IFERROR(VLOOKUP(F8887,CARTON_LOOKUP!$A:$E,5,0),"")</f>
      </c>
      <c r="J8887" s="29">
        <f>IFERROR(VLOOKUP(F8887,CARTON_LOOKUP!$A:$E,2,0),"")</f>
      </c>
      <c r="K8887" s="29">
        <f>IFERROR(J8887*D8887,0)</f>
      </c>
      <c r="L8887" s="29">
        <f>IFERROR(E8887*C8887,0)</f>
      </c>
      <c r="M8887" s="29">
        <f>IFERROR((G8887*H8887*I8887/1000000)*D8887,0)</f>
      </c>
    </row>
    <row r="8888" spans="1:13" x14ac:dyDescent="0.25">
      <c r="A8888" s="16"/>
      <c r="E8888" s="27"/>
      <c r="F8888" t="s">
        <v>26</v>
      </c>
      <c r="G8888" s="28">
        <f>IFERROR(VLOOKUP(F8888,CARTON_LOOKUP!$A:$E,3,0),"")</f>
      </c>
      <c r="H8888" s="28">
        <f>IFERROR(VLOOKUP(F8888,CARTON_LOOKUP!$A:$E,4,0),"")</f>
      </c>
      <c r="I8888" s="28">
        <f>IFERROR(VLOOKUP(F8888,CARTON_LOOKUP!$A:$E,5,0),"")</f>
      </c>
      <c r="J8888" s="29">
        <f>IFERROR(VLOOKUP(F8888,CARTON_LOOKUP!$A:$E,2,0),"")</f>
      </c>
      <c r="K8888" s="29">
        <f>IFERROR(J8888*D8888,0)</f>
      </c>
      <c r="L8888" s="29">
        <f>IFERROR(E8888*C8888,0)</f>
      </c>
      <c r="M8888" s="29">
        <f>IFERROR((G8888*H8888*I8888/1000000)*D8888,0)</f>
      </c>
    </row>
    <row r="8889" spans="1:13" x14ac:dyDescent="0.25">
      <c r="A8889" s="16"/>
      <c r="E8889" s="27"/>
      <c r="F8889" t="s">
        <v>26</v>
      </c>
      <c r="G8889" s="28">
        <f>IFERROR(VLOOKUP(F8889,CARTON_LOOKUP!$A:$E,3,0),"")</f>
      </c>
      <c r="H8889" s="28">
        <f>IFERROR(VLOOKUP(F8889,CARTON_LOOKUP!$A:$E,4,0),"")</f>
      </c>
      <c r="I8889" s="28">
        <f>IFERROR(VLOOKUP(F8889,CARTON_LOOKUP!$A:$E,5,0),"")</f>
      </c>
      <c r="J8889" s="29">
        <f>IFERROR(VLOOKUP(F8889,CARTON_LOOKUP!$A:$E,2,0),"")</f>
      </c>
      <c r="K8889" s="29">
        <f>IFERROR(J8889*D8889,0)</f>
      </c>
      <c r="L8889" s="29">
        <f>IFERROR(E8889*C8889,0)</f>
      </c>
      <c r="M8889" s="29">
        <f>IFERROR((G8889*H8889*I8889/1000000)*D8889,0)</f>
      </c>
    </row>
    <row r="8890" spans="1:13" x14ac:dyDescent="0.25">
      <c r="A8890" s="16"/>
      <c r="E8890" s="27"/>
      <c r="F8890" t="s">
        <v>26</v>
      </c>
      <c r="G8890" s="28">
        <f>IFERROR(VLOOKUP(F8890,CARTON_LOOKUP!$A:$E,3,0),"")</f>
      </c>
      <c r="H8890" s="28">
        <f>IFERROR(VLOOKUP(F8890,CARTON_LOOKUP!$A:$E,4,0),"")</f>
      </c>
      <c r="I8890" s="28">
        <f>IFERROR(VLOOKUP(F8890,CARTON_LOOKUP!$A:$E,5,0),"")</f>
      </c>
      <c r="J8890" s="29">
        <f>IFERROR(VLOOKUP(F8890,CARTON_LOOKUP!$A:$E,2,0),"")</f>
      </c>
      <c r="K8890" s="29">
        <f>IFERROR(J8890*D8890,0)</f>
      </c>
      <c r="L8890" s="29">
        <f>IFERROR(E8890*C8890,0)</f>
      </c>
      <c r="M8890" s="29">
        <f>IFERROR((G8890*H8890*I8890/1000000)*D8890,0)</f>
      </c>
    </row>
    <row r="8891" spans="1:13" x14ac:dyDescent="0.25">
      <c r="A8891" s="16"/>
      <c r="E8891" s="27"/>
      <c r="F8891" t="s">
        <v>26</v>
      </c>
      <c r="G8891" s="28">
        <f>IFERROR(VLOOKUP(F8891,CARTON_LOOKUP!$A:$E,3,0),"")</f>
      </c>
      <c r="H8891" s="28">
        <f>IFERROR(VLOOKUP(F8891,CARTON_LOOKUP!$A:$E,4,0),"")</f>
      </c>
      <c r="I8891" s="28">
        <f>IFERROR(VLOOKUP(F8891,CARTON_LOOKUP!$A:$E,5,0),"")</f>
      </c>
      <c r="J8891" s="29">
        <f>IFERROR(VLOOKUP(F8891,CARTON_LOOKUP!$A:$E,2,0),"")</f>
      </c>
      <c r="K8891" s="29">
        <f>IFERROR(J8891*D8891,0)</f>
      </c>
      <c r="L8891" s="29">
        <f>IFERROR(E8891*C8891,0)</f>
      </c>
      <c r="M8891" s="29">
        <f>IFERROR((G8891*H8891*I8891/1000000)*D8891,0)</f>
      </c>
    </row>
    <row r="8892" spans="1:13" x14ac:dyDescent="0.25">
      <c r="A8892" s="16"/>
      <c r="E8892" s="27"/>
      <c r="F8892" t="s">
        <v>26</v>
      </c>
      <c r="G8892" s="28">
        <f>IFERROR(VLOOKUP(F8892,CARTON_LOOKUP!$A:$E,3,0),"")</f>
      </c>
      <c r="H8892" s="28">
        <f>IFERROR(VLOOKUP(F8892,CARTON_LOOKUP!$A:$E,4,0),"")</f>
      </c>
      <c r="I8892" s="28">
        <f>IFERROR(VLOOKUP(F8892,CARTON_LOOKUP!$A:$E,5,0),"")</f>
      </c>
      <c r="J8892" s="29">
        <f>IFERROR(VLOOKUP(F8892,CARTON_LOOKUP!$A:$E,2,0),"")</f>
      </c>
      <c r="K8892" s="29">
        <f>IFERROR(J8892*D8892,0)</f>
      </c>
      <c r="L8892" s="29">
        <f>IFERROR(E8892*C8892,0)</f>
      </c>
      <c r="M8892" s="29">
        <f>IFERROR((G8892*H8892*I8892/1000000)*D8892,0)</f>
      </c>
    </row>
    <row r="8893" spans="1:13" x14ac:dyDescent="0.25">
      <c r="A8893" s="16"/>
      <c r="E8893" s="27"/>
      <c r="F8893" t="s">
        <v>26</v>
      </c>
      <c r="G8893" s="28">
        <f>IFERROR(VLOOKUP(F8893,CARTON_LOOKUP!$A:$E,3,0),"")</f>
      </c>
      <c r="H8893" s="28">
        <f>IFERROR(VLOOKUP(F8893,CARTON_LOOKUP!$A:$E,4,0),"")</f>
      </c>
      <c r="I8893" s="28">
        <f>IFERROR(VLOOKUP(F8893,CARTON_LOOKUP!$A:$E,5,0),"")</f>
      </c>
      <c r="J8893" s="29">
        <f>IFERROR(VLOOKUP(F8893,CARTON_LOOKUP!$A:$E,2,0),"")</f>
      </c>
      <c r="K8893" s="29">
        <f>IFERROR(J8893*D8893,0)</f>
      </c>
      <c r="L8893" s="29">
        <f>IFERROR(E8893*C8893,0)</f>
      </c>
      <c r="M8893" s="29">
        <f>IFERROR((G8893*H8893*I8893/1000000)*D8893,0)</f>
      </c>
    </row>
    <row r="8894" spans="1:13" x14ac:dyDescent="0.25">
      <c r="A8894" s="16"/>
      <c r="E8894" s="27"/>
      <c r="F8894" t="s">
        <v>26</v>
      </c>
      <c r="G8894" s="28">
        <f>IFERROR(VLOOKUP(F8894,CARTON_LOOKUP!$A:$E,3,0),"")</f>
      </c>
      <c r="H8894" s="28">
        <f>IFERROR(VLOOKUP(F8894,CARTON_LOOKUP!$A:$E,4,0),"")</f>
      </c>
      <c r="I8894" s="28">
        <f>IFERROR(VLOOKUP(F8894,CARTON_LOOKUP!$A:$E,5,0),"")</f>
      </c>
      <c r="J8894" s="29">
        <f>IFERROR(VLOOKUP(F8894,CARTON_LOOKUP!$A:$E,2,0),"")</f>
      </c>
      <c r="K8894" s="29">
        <f>IFERROR(J8894*D8894,0)</f>
      </c>
      <c r="L8894" s="29">
        <f>IFERROR(E8894*C8894,0)</f>
      </c>
      <c r="M8894" s="29">
        <f>IFERROR((G8894*H8894*I8894/1000000)*D8894,0)</f>
      </c>
    </row>
    <row r="8895" spans="1:13" x14ac:dyDescent="0.25">
      <c r="A8895" s="16"/>
      <c r="E8895" s="27"/>
      <c r="F8895" t="s">
        <v>26</v>
      </c>
      <c r="G8895" s="28">
        <f>IFERROR(VLOOKUP(F8895,CARTON_LOOKUP!$A:$E,3,0),"")</f>
      </c>
      <c r="H8895" s="28">
        <f>IFERROR(VLOOKUP(F8895,CARTON_LOOKUP!$A:$E,4,0),"")</f>
      </c>
      <c r="I8895" s="28">
        <f>IFERROR(VLOOKUP(F8895,CARTON_LOOKUP!$A:$E,5,0),"")</f>
      </c>
      <c r="J8895" s="29">
        <f>IFERROR(VLOOKUP(F8895,CARTON_LOOKUP!$A:$E,2,0),"")</f>
      </c>
      <c r="K8895" s="29">
        <f>IFERROR(J8895*D8895,0)</f>
      </c>
      <c r="L8895" s="29">
        <f>IFERROR(E8895*C8895,0)</f>
      </c>
      <c r="M8895" s="29">
        <f>IFERROR((G8895*H8895*I8895/1000000)*D8895,0)</f>
      </c>
    </row>
    <row r="8896" spans="1:13" x14ac:dyDescent="0.25">
      <c r="A8896" s="16"/>
      <c r="E8896" s="27"/>
      <c r="F8896" t="s">
        <v>26</v>
      </c>
      <c r="G8896" s="28">
        <f>IFERROR(VLOOKUP(F8896,CARTON_LOOKUP!$A:$E,3,0),"")</f>
      </c>
      <c r="H8896" s="28">
        <f>IFERROR(VLOOKUP(F8896,CARTON_LOOKUP!$A:$E,4,0),"")</f>
      </c>
      <c r="I8896" s="28">
        <f>IFERROR(VLOOKUP(F8896,CARTON_LOOKUP!$A:$E,5,0),"")</f>
      </c>
      <c r="J8896" s="29">
        <f>IFERROR(VLOOKUP(F8896,CARTON_LOOKUP!$A:$E,2,0),"")</f>
      </c>
      <c r="K8896" s="29">
        <f>IFERROR(J8896*D8896,0)</f>
      </c>
      <c r="L8896" s="29">
        <f>IFERROR(E8896*C8896,0)</f>
      </c>
      <c r="M8896" s="29">
        <f>IFERROR((G8896*H8896*I8896/1000000)*D8896,0)</f>
      </c>
    </row>
    <row r="8897" spans="1:13" x14ac:dyDescent="0.25">
      <c r="A8897" s="16"/>
      <c r="E8897" s="27"/>
      <c r="F8897" t="s">
        <v>26</v>
      </c>
      <c r="G8897" s="28">
        <f>IFERROR(VLOOKUP(F8897,CARTON_LOOKUP!$A:$E,3,0),"")</f>
      </c>
      <c r="H8897" s="28">
        <f>IFERROR(VLOOKUP(F8897,CARTON_LOOKUP!$A:$E,4,0),"")</f>
      </c>
      <c r="I8897" s="28">
        <f>IFERROR(VLOOKUP(F8897,CARTON_LOOKUP!$A:$E,5,0),"")</f>
      </c>
      <c r="J8897" s="29">
        <f>IFERROR(VLOOKUP(F8897,CARTON_LOOKUP!$A:$E,2,0),"")</f>
      </c>
      <c r="K8897" s="29">
        <f>IFERROR(J8897*D8897,0)</f>
      </c>
      <c r="L8897" s="29">
        <f>IFERROR(E8897*C8897,0)</f>
      </c>
      <c r="M8897" s="29">
        <f>IFERROR((G8897*H8897*I8897/1000000)*D8897,0)</f>
      </c>
    </row>
    <row r="8898" spans="1:13" x14ac:dyDescent="0.25">
      <c r="A8898" s="16"/>
      <c r="E8898" s="27"/>
      <c r="F8898" t="s">
        <v>26</v>
      </c>
      <c r="G8898" s="28">
        <f>IFERROR(VLOOKUP(F8898,CARTON_LOOKUP!$A:$E,3,0),"")</f>
      </c>
      <c r="H8898" s="28">
        <f>IFERROR(VLOOKUP(F8898,CARTON_LOOKUP!$A:$E,4,0),"")</f>
      </c>
      <c r="I8898" s="28">
        <f>IFERROR(VLOOKUP(F8898,CARTON_LOOKUP!$A:$E,5,0),"")</f>
      </c>
      <c r="J8898" s="29">
        <f>IFERROR(VLOOKUP(F8898,CARTON_LOOKUP!$A:$E,2,0),"")</f>
      </c>
      <c r="K8898" s="29">
        <f>IFERROR(J8898*D8898,0)</f>
      </c>
      <c r="L8898" s="29">
        <f>IFERROR(E8898*C8898,0)</f>
      </c>
      <c r="M8898" s="29">
        <f>IFERROR((G8898*H8898*I8898/1000000)*D8898,0)</f>
      </c>
    </row>
    <row r="8899" spans="1:13" x14ac:dyDescent="0.25">
      <c r="A8899" s="16"/>
      <c r="E8899" s="27"/>
      <c r="F8899" t="s">
        <v>26</v>
      </c>
      <c r="G8899" s="28">
        <f>IFERROR(VLOOKUP(F8899,CARTON_LOOKUP!$A:$E,3,0),"")</f>
      </c>
      <c r="H8899" s="28">
        <f>IFERROR(VLOOKUP(F8899,CARTON_LOOKUP!$A:$E,4,0),"")</f>
      </c>
      <c r="I8899" s="28">
        <f>IFERROR(VLOOKUP(F8899,CARTON_LOOKUP!$A:$E,5,0),"")</f>
      </c>
      <c r="J8899" s="29">
        <f>IFERROR(VLOOKUP(F8899,CARTON_LOOKUP!$A:$E,2,0),"")</f>
      </c>
      <c r="K8899" s="29">
        <f>IFERROR(J8899*D8899,0)</f>
      </c>
      <c r="L8899" s="29">
        <f>IFERROR(E8899*C8899,0)</f>
      </c>
      <c r="M8899" s="29">
        <f>IFERROR((G8899*H8899*I8899/1000000)*D8899,0)</f>
      </c>
    </row>
    <row r="8900" spans="1:13" x14ac:dyDescent="0.25">
      <c r="A8900" s="16"/>
      <c r="E8900" s="27"/>
      <c r="F8900" t="s">
        <v>26</v>
      </c>
      <c r="G8900" s="28">
        <f>IFERROR(VLOOKUP(F8900,CARTON_LOOKUP!$A:$E,3,0),"")</f>
      </c>
      <c r="H8900" s="28">
        <f>IFERROR(VLOOKUP(F8900,CARTON_LOOKUP!$A:$E,4,0),"")</f>
      </c>
      <c r="I8900" s="28">
        <f>IFERROR(VLOOKUP(F8900,CARTON_LOOKUP!$A:$E,5,0),"")</f>
      </c>
      <c r="J8900" s="29">
        <f>IFERROR(VLOOKUP(F8900,CARTON_LOOKUP!$A:$E,2,0),"")</f>
      </c>
      <c r="K8900" s="29">
        <f>IFERROR(J8900*D8900,0)</f>
      </c>
      <c r="L8900" s="29">
        <f>IFERROR(E8900*C8900,0)</f>
      </c>
      <c r="M8900" s="29">
        <f>IFERROR((G8900*H8900*I8900/1000000)*D8900,0)</f>
      </c>
    </row>
    <row r="8901" spans="1:13" x14ac:dyDescent="0.25">
      <c r="A8901" s="16"/>
      <c r="E8901" s="27"/>
      <c r="F8901" t="s">
        <v>26</v>
      </c>
      <c r="G8901" s="28">
        <f>IFERROR(VLOOKUP(F8901,CARTON_LOOKUP!$A:$E,3,0),"")</f>
      </c>
      <c r="H8901" s="28">
        <f>IFERROR(VLOOKUP(F8901,CARTON_LOOKUP!$A:$E,4,0),"")</f>
      </c>
      <c r="I8901" s="28">
        <f>IFERROR(VLOOKUP(F8901,CARTON_LOOKUP!$A:$E,5,0),"")</f>
      </c>
      <c r="J8901" s="29">
        <f>IFERROR(VLOOKUP(F8901,CARTON_LOOKUP!$A:$E,2,0),"")</f>
      </c>
      <c r="K8901" s="29">
        <f>IFERROR(J8901*D8901,0)</f>
      </c>
      <c r="L8901" s="29">
        <f>IFERROR(E8901*C8901,0)</f>
      </c>
      <c r="M8901" s="29">
        <f>IFERROR((G8901*H8901*I8901/1000000)*D8901,0)</f>
      </c>
    </row>
    <row r="8902" spans="1:13" x14ac:dyDescent="0.25">
      <c r="A8902" s="16"/>
      <c r="E8902" s="27"/>
      <c r="F8902" t="s">
        <v>26</v>
      </c>
      <c r="G8902" s="28">
        <f>IFERROR(VLOOKUP(F8902,CARTON_LOOKUP!$A:$E,3,0),"")</f>
      </c>
      <c r="H8902" s="28">
        <f>IFERROR(VLOOKUP(F8902,CARTON_LOOKUP!$A:$E,4,0),"")</f>
      </c>
      <c r="I8902" s="28">
        <f>IFERROR(VLOOKUP(F8902,CARTON_LOOKUP!$A:$E,5,0),"")</f>
      </c>
      <c r="J8902" s="29">
        <f>IFERROR(VLOOKUP(F8902,CARTON_LOOKUP!$A:$E,2,0),"")</f>
      </c>
      <c r="K8902" s="29">
        <f>IFERROR(J8902*D8902,0)</f>
      </c>
      <c r="L8902" s="29">
        <f>IFERROR(E8902*C8902,0)</f>
      </c>
      <c r="M8902" s="29">
        <f>IFERROR((G8902*H8902*I8902/1000000)*D8902,0)</f>
      </c>
    </row>
    <row r="8903" spans="1:13" x14ac:dyDescent="0.25">
      <c r="A8903" s="16"/>
      <c r="E8903" s="27"/>
      <c r="F8903" t="s">
        <v>26</v>
      </c>
      <c r="G8903" s="28">
        <f>IFERROR(VLOOKUP(F8903,CARTON_LOOKUP!$A:$E,3,0),"")</f>
      </c>
      <c r="H8903" s="28">
        <f>IFERROR(VLOOKUP(F8903,CARTON_LOOKUP!$A:$E,4,0),"")</f>
      </c>
      <c r="I8903" s="28">
        <f>IFERROR(VLOOKUP(F8903,CARTON_LOOKUP!$A:$E,5,0),"")</f>
      </c>
      <c r="J8903" s="29">
        <f>IFERROR(VLOOKUP(F8903,CARTON_LOOKUP!$A:$E,2,0),"")</f>
      </c>
      <c r="K8903" s="29">
        <f>IFERROR(J8903*D8903,0)</f>
      </c>
      <c r="L8903" s="29">
        <f>IFERROR(E8903*C8903,0)</f>
      </c>
      <c r="M8903" s="29">
        <f>IFERROR((G8903*H8903*I8903/1000000)*D8903,0)</f>
      </c>
    </row>
    <row r="8904" spans="1:13" x14ac:dyDescent="0.25">
      <c r="A8904" s="16"/>
      <c r="E8904" s="27"/>
      <c r="F8904" t="s">
        <v>26</v>
      </c>
      <c r="G8904" s="28">
        <f>IFERROR(VLOOKUP(F8904,CARTON_LOOKUP!$A:$E,3,0),"")</f>
      </c>
      <c r="H8904" s="28">
        <f>IFERROR(VLOOKUP(F8904,CARTON_LOOKUP!$A:$E,4,0),"")</f>
      </c>
      <c r="I8904" s="28">
        <f>IFERROR(VLOOKUP(F8904,CARTON_LOOKUP!$A:$E,5,0),"")</f>
      </c>
      <c r="J8904" s="29">
        <f>IFERROR(VLOOKUP(F8904,CARTON_LOOKUP!$A:$E,2,0),"")</f>
      </c>
      <c r="K8904" s="29">
        <f>IFERROR(J8904*D8904,0)</f>
      </c>
      <c r="L8904" s="29">
        <f>IFERROR(E8904*C8904,0)</f>
      </c>
      <c r="M8904" s="29">
        <f>IFERROR((G8904*H8904*I8904/1000000)*D8904,0)</f>
      </c>
    </row>
    <row r="8905" spans="1:13" x14ac:dyDescent="0.25">
      <c r="A8905" s="16"/>
      <c r="E8905" s="27"/>
      <c r="F8905" t="s">
        <v>26</v>
      </c>
      <c r="G8905" s="28">
        <f>IFERROR(VLOOKUP(F8905,CARTON_LOOKUP!$A:$E,3,0),"")</f>
      </c>
      <c r="H8905" s="28">
        <f>IFERROR(VLOOKUP(F8905,CARTON_LOOKUP!$A:$E,4,0),"")</f>
      </c>
      <c r="I8905" s="28">
        <f>IFERROR(VLOOKUP(F8905,CARTON_LOOKUP!$A:$E,5,0),"")</f>
      </c>
      <c r="J8905" s="29">
        <f>IFERROR(VLOOKUP(F8905,CARTON_LOOKUP!$A:$E,2,0),"")</f>
      </c>
      <c r="K8905" s="29">
        <f>IFERROR(J8905*D8905,0)</f>
      </c>
      <c r="L8905" s="29">
        <f>IFERROR(E8905*C8905,0)</f>
      </c>
      <c r="M8905" s="29">
        <f>IFERROR((G8905*H8905*I8905/1000000)*D8905,0)</f>
      </c>
    </row>
    <row r="8906" spans="1:13" x14ac:dyDescent="0.25">
      <c r="A8906" s="16"/>
      <c r="E8906" s="27"/>
      <c r="F8906" t="s">
        <v>26</v>
      </c>
      <c r="G8906" s="28">
        <f>IFERROR(VLOOKUP(F8906,CARTON_LOOKUP!$A:$E,3,0),"")</f>
      </c>
      <c r="H8906" s="28">
        <f>IFERROR(VLOOKUP(F8906,CARTON_LOOKUP!$A:$E,4,0),"")</f>
      </c>
      <c r="I8906" s="28">
        <f>IFERROR(VLOOKUP(F8906,CARTON_LOOKUP!$A:$E,5,0),"")</f>
      </c>
      <c r="J8906" s="29">
        <f>IFERROR(VLOOKUP(F8906,CARTON_LOOKUP!$A:$E,2,0),"")</f>
      </c>
      <c r="K8906" s="29">
        <f>IFERROR(J8906*D8906,0)</f>
      </c>
      <c r="L8906" s="29">
        <f>IFERROR(E8906*C8906,0)</f>
      </c>
      <c r="M8906" s="29">
        <f>IFERROR((G8906*H8906*I8906/1000000)*D8906,0)</f>
      </c>
    </row>
    <row r="8907" spans="1:13" x14ac:dyDescent="0.25">
      <c r="A8907" s="16"/>
      <c r="E8907" s="27"/>
      <c r="F8907" t="s">
        <v>26</v>
      </c>
      <c r="G8907" s="28">
        <f>IFERROR(VLOOKUP(F8907,CARTON_LOOKUP!$A:$E,3,0),"")</f>
      </c>
      <c r="H8907" s="28">
        <f>IFERROR(VLOOKUP(F8907,CARTON_LOOKUP!$A:$E,4,0),"")</f>
      </c>
      <c r="I8907" s="28">
        <f>IFERROR(VLOOKUP(F8907,CARTON_LOOKUP!$A:$E,5,0),"")</f>
      </c>
      <c r="J8907" s="29">
        <f>IFERROR(VLOOKUP(F8907,CARTON_LOOKUP!$A:$E,2,0),"")</f>
      </c>
      <c r="K8907" s="29">
        <f>IFERROR(J8907*D8907,0)</f>
      </c>
      <c r="L8907" s="29">
        <f>IFERROR(E8907*C8907,0)</f>
      </c>
      <c r="M8907" s="29">
        <f>IFERROR((G8907*H8907*I8907/1000000)*D8907,0)</f>
      </c>
    </row>
    <row r="8908" spans="1:13" x14ac:dyDescent="0.25">
      <c r="A8908" s="16"/>
      <c r="E8908" s="27"/>
      <c r="F8908" t="s">
        <v>26</v>
      </c>
      <c r="G8908" s="28">
        <f>IFERROR(VLOOKUP(F8908,CARTON_LOOKUP!$A:$E,3,0),"")</f>
      </c>
      <c r="H8908" s="28">
        <f>IFERROR(VLOOKUP(F8908,CARTON_LOOKUP!$A:$E,4,0),"")</f>
      </c>
      <c r="I8908" s="28">
        <f>IFERROR(VLOOKUP(F8908,CARTON_LOOKUP!$A:$E,5,0),"")</f>
      </c>
      <c r="J8908" s="29">
        <f>IFERROR(VLOOKUP(F8908,CARTON_LOOKUP!$A:$E,2,0),"")</f>
      </c>
      <c r="K8908" s="29">
        <f>IFERROR(J8908*D8908,0)</f>
      </c>
      <c r="L8908" s="29">
        <f>IFERROR(E8908*C8908,0)</f>
      </c>
      <c r="M8908" s="29">
        <f>IFERROR((G8908*H8908*I8908/1000000)*D8908,0)</f>
      </c>
    </row>
    <row r="8909" spans="1:13" x14ac:dyDescent="0.25">
      <c r="A8909" s="16"/>
      <c r="E8909" s="27"/>
      <c r="F8909" t="s">
        <v>26</v>
      </c>
      <c r="G8909" s="28">
        <f>IFERROR(VLOOKUP(F8909,CARTON_LOOKUP!$A:$E,3,0),"")</f>
      </c>
      <c r="H8909" s="28">
        <f>IFERROR(VLOOKUP(F8909,CARTON_LOOKUP!$A:$E,4,0),"")</f>
      </c>
      <c r="I8909" s="28">
        <f>IFERROR(VLOOKUP(F8909,CARTON_LOOKUP!$A:$E,5,0),"")</f>
      </c>
      <c r="J8909" s="29">
        <f>IFERROR(VLOOKUP(F8909,CARTON_LOOKUP!$A:$E,2,0),"")</f>
      </c>
      <c r="K8909" s="29">
        <f>IFERROR(J8909*D8909,0)</f>
      </c>
      <c r="L8909" s="29">
        <f>IFERROR(E8909*C8909,0)</f>
      </c>
      <c r="M8909" s="29">
        <f>IFERROR((G8909*H8909*I8909/1000000)*D8909,0)</f>
      </c>
    </row>
    <row r="8910" spans="1:13" x14ac:dyDescent="0.25">
      <c r="A8910" s="16"/>
      <c r="E8910" s="27"/>
      <c r="F8910" t="s">
        <v>26</v>
      </c>
      <c r="G8910" s="28">
        <f>IFERROR(VLOOKUP(F8910,CARTON_LOOKUP!$A:$E,3,0),"")</f>
      </c>
      <c r="H8910" s="28">
        <f>IFERROR(VLOOKUP(F8910,CARTON_LOOKUP!$A:$E,4,0),"")</f>
      </c>
      <c r="I8910" s="28">
        <f>IFERROR(VLOOKUP(F8910,CARTON_LOOKUP!$A:$E,5,0),"")</f>
      </c>
      <c r="J8910" s="29">
        <f>IFERROR(VLOOKUP(F8910,CARTON_LOOKUP!$A:$E,2,0),"")</f>
      </c>
      <c r="K8910" s="29">
        <f>IFERROR(J8910*D8910,0)</f>
      </c>
      <c r="L8910" s="29">
        <f>IFERROR(E8910*C8910,0)</f>
      </c>
      <c r="M8910" s="29">
        <f>IFERROR((G8910*H8910*I8910/1000000)*D8910,0)</f>
      </c>
    </row>
    <row r="8911" spans="1:13" x14ac:dyDescent="0.25">
      <c r="A8911" s="16"/>
      <c r="E8911" s="27"/>
      <c r="F8911" t="s">
        <v>26</v>
      </c>
      <c r="G8911" s="28">
        <f>IFERROR(VLOOKUP(F8911,CARTON_LOOKUP!$A:$E,3,0),"")</f>
      </c>
      <c r="H8911" s="28">
        <f>IFERROR(VLOOKUP(F8911,CARTON_LOOKUP!$A:$E,4,0),"")</f>
      </c>
      <c r="I8911" s="28">
        <f>IFERROR(VLOOKUP(F8911,CARTON_LOOKUP!$A:$E,5,0),"")</f>
      </c>
      <c r="J8911" s="29">
        <f>IFERROR(VLOOKUP(F8911,CARTON_LOOKUP!$A:$E,2,0),"")</f>
      </c>
      <c r="K8911" s="29">
        <f>IFERROR(J8911*D8911,0)</f>
      </c>
      <c r="L8911" s="29">
        <f>IFERROR(E8911*C8911,0)</f>
      </c>
      <c r="M8911" s="29">
        <f>IFERROR((G8911*H8911*I8911/1000000)*D8911,0)</f>
      </c>
    </row>
    <row r="8912" spans="1:13" x14ac:dyDescent="0.25">
      <c r="A8912" s="16"/>
      <c r="E8912" s="27"/>
      <c r="F8912" t="s">
        <v>26</v>
      </c>
      <c r="G8912" s="28">
        <f>IFERROR(VLOOKUP(F8912,CARTON_LOOKUP!$A:$E,3,0),"")</f>
      </c>
      <c r="H8912" s="28">
        <f>IFERROR(VLOOKUP(F8912,CARTON_LOOKUP!$A:$E,4,0),"")</f>
      </c>
      <c r="I8912" s="28">
        <f>IFERROR(VLOOKUP(F8912,CARTON_LOOKUP!$A:$E,5,0),"")</f>
      </c>
      <c r="J8912" s="29">
        <f>IFERROR(VLOOKUP(F8912,CARTON_LOOKUP!$A:$E,2,0),"")</f>
      </c>
      <c r="K8912" s="29">
        <f>IFERROR(J8912*D8912,0)</f>
      </c>
      <c r="L8912" s="29">
        <f>IFERROR(E8912*C8912,0)</f>
      </c>
      <c r="M8912" s="29">
        <f>IFERROR((G8912*H8912*I8912/1000000)*D8912,0)</f>
      </c>
    </row>
    <row r="8913" spans="1:13" x14ac:dyDescent="0.25">
      <c r="A8913" s="16"/>
      <c r="E8913" s="27"/>
      <c r="F8913" t="s">
        <v>26</v>
      </c>
      <c r="G8913" s="28">
        <f>IFERROR(VLOOKUP(F8913,CARTON_LOOKUP!$A:$E,3,0),"")</f>
      </c>
      <c r="H8913" s="28">
        <f>IFERROR(VLOOKUP(F8913,CARTON_LOOKUP!$A:$E,4,0),"")</f>
      </c>
      <c r="I8913" s="28">
        <f>IFERROR(VLOOKUP(F8913,CARTON_LOOKUP!$A:$E,5,0),"")</f>
      </c>
      <c r="J8913" s="29">
        <f>IFERROR(VLOOKUP(F8913,CARTON_LOOKUP!$A:$E,2,0),"")</f>
      </c>
      <c r="K8913" s="29">
        <f>IFERROR(J8913*D8913,0)</f>
      </c>
      <c r="L8913" s="29">
        <f>IFERROR(E8913*C8913,0)</f>
      </c>
      <c r="M8913" s="29">
        <f>IFERROR((G8913*H8913*I8913/1000000)*D8913,0)</f>
      </c>
    </row>
    <row r="8914" spans="1:13" x14ac:dyDescent="0.25">
      <c r="A8914" s="16"/>
      <c r="E8914" s="27"/>
      <c r="F8914" t="s">
        <v>26</v>
      </c>
      <c r="G8914" s="28">
        <f>IFERROR(VLOOKUP(F8914,CARTON_LOOKUP!$A:$E,3,0),"")</f>
      </c>
      <c r="H8914" s="28">
        <f>IFERROR(VLOOKUP(F8914,CARTON_LOOKUP!$A:$E,4,0),"")</f>
      </c>
      <c r="I8914" s="28">
        <f>IFERROR(VLOOKUP(F8914,CARTON_LOOKUP!$A:$E,5,0),"")</f>
      </c>
      <c r="J8914" s="29">
        <f>IFERROR(VLOOKUP(F8914,CARTON_LOOKUP!$A:$E,2,0),"")</f>
      </c>
      <c r="K8914" s="29">
        <f>IFERROR(J8914*D8914,0)</f>
      </c>
      <c r="L8914" s="29">
        <f>IFERROR(E8914*C8914,0)</f>
      </c>
      <c r="M8914" s="29">
        <f>IFERROR((G8914*H8914*I8914/1000000)*D8914,0)</f>
      </c>
    </row>
    <row r="8915" spans="1:13" x14ac:dyDescent="0.25">
      <c r="A8915" s="16"/>
      <c r="E8915" s="27"/>
      <c r="F8915" t="s">
        <v>26</v>
      </c>
      <c r="G8915" s="28">
        <f>IFERROR(VLOOKUP(F8915,CARTON_LOOKUP!$A:$E,3,0),"")</f>
      </c>
      <c r="H8915" s="28">
        <f>IFERROR(VLOOKUP(F8915,CARTON_LOOKUP!$A:$E,4,0),"")</f>
      </c>
      <c r="I8915" s="28">
        <f>IFERROR(VLOOKUP(F8915,CARTON_LOOKUP!$A:$E,5,0),"")</f>
      </c>
      <c r="J8915" s="29">
        <f>IFERROR(VLOOKUP(F8915,CARTON_LOOKUP!$A:$E,2,0),"")</f>
      </c>
      <c r="K8915" s="29">
        <f>IFERROR(J8915*D8915,0)</f>
      </c>
      <c r="L8915" s="29">
        <f>IFERROR(E8915*C8915,0)</f>
      </c>
      <c r="M8915" s="29">
        <f>IFERROR((G8915*H8915*I8915/1000000)*D8915,0)</f>
      </c>
    </row>
    <row r="8916" spans="1:13" x14ac:dyDescent="0.25">
      <c r="A8916" s="16"/>
      <c r="E8916" s="27"/>
      <c r="F8916" t="s">
        <v>26</v>
      </c>
      <c r="G8916" s="28">
        <f>IFERROR(VLOOKUP(F8916,CARTON_LOOKUP!$A:$E,3,0),"")</f>
      </c>
      <c r="H8916" s="28">
        <f>IFERROR(VLOOKUP(F8916,CARTON_LOOKUP!$A:$E,4,0),"")</f>
      </c>
      <c r="I8916" s="28">
        <f>IFERROR(VLOOKUP(F8916,CARTON_LOOKUP!$A:$E,5,0),"")</f>
      </c>
      <c r="J8916" s="29">
        <f>IFERROR(VLOOKUP(F8916,CARTON_LOOKUP!$A:$E,2,0),"")</f>
      </c>
      <c r="K8916" s="29">
        <f>IFERROR(J8916*D8916,0)</f>
      </c>
      <c r="L8916" s="29">
        <f>IFERROR(E8916*C8916,0)</f>
      </c>
      <c r="M8916" s="29">
        <f>IFERROR((G8916*H8916*I8916/1000000)*D8916,0)</f>
      </c>
    </row>
    <row r="8917" spans="1:13" x14ac:dyDescent="0.25">
      <c r="A8917" s="16"/>
      <c r="E8917" s="27"/>
      <c r="F8917" t="s">
        <v>26</v>
      </c>
      <c r="G8917" s="28">
        <f>IFERROR(VLOOKUP(F8917,CARTON_LOOKUP!$A:$E,3,0),"")</f>
      </c>
      <c r="H8917" s="28">
        <f>IFERROR(VLOOKUP(F8917,CARTON_LOOKUP!$A:$E,4,0),"")</f>
      </c>
      <c r="I8917" s="28">
        <f>IFERROR(VLOOKUP(F8917,CARTON_LOOKUP!$A:$E,5,0),"")</f>
      </c>
      <c r="J8917" s="29">
        <f>IFERROR(VLOOKUP(F8917,CARTON_LOOKUP!$A:$E,2,0),"")</f>
      </c>
      <c r="K8917" s="29">
        <f>IFERROR(J8917*D8917,0)</f>
      </c>
      <c r="L8917" s="29">
        <f>IFERROR(E8917*C8917,0)</f>
      </c>
      <c r="M8917" s="29">
        <f>IFERROR((G8917*H8917*I8917/1000000)*D8917,0)</f>
      </c>
    </row>
    <row r="8918" spans="1:13" x14ac:dyDescent="0.25">
      <c r="A8918" s="16"/>
      <c r="E8918" s="27"/>
      <c r="F8918" t="s">
        <v>26</v>
      </c>
      <c r="G8918" s="28">
        <f>IFERROR(VLOOKUP(F8918,CARTON_LOOKUP!$A:$E,3,0),"")</f>
      </c>
      <c r="H8918" s="28">
        <f>IFERROR(VLOOKUP(F8918,CARTON_LOOKUP!$A:$E,4,0),"")</f>
      </c>
      <c r="I8918" s="28">
        <f>IFERROR(VLOOKUP(F8918,CARTON_LOOKUP!$A:$E,5,0),"")</f>
      </c>
      <c r="J8918" s="29">
        <f>IFERROR(VLOOKUP(F8918,CARTON_LOOKUP!$A:$E,2,0),"")</f>
      </c>
      <c r="K8918" s="29">
        <f>IFERROR(J8918*D8918,0)</f>
      </c>
      <c r="L8918" s="29">
        <f>IFERROR(E8918*C8918,0)</f>
      </c>
      <c r="M8918" s="29">
        <f>IFERROR((G8918*H8918*I8918/1000000)*D8918,0)</f>
      </c>
    </row>
    <row r="8919" spans="1:13" x14ac:dyDescent="0.25">
      <c r="A8919" s="16"/>
      <c r="E8919" s="27"/>
      <c r="F8919" t="s">
        <v>26</v>
      </c>
      <c r="G8919" s="28">
        <f>IFERROR(VLOOKUP(F8919,CARTON_LOOKUP!$A:$E,3,0),"")</f>
      </c>
      <c r="H8919" s="28">
        <f>IFERROR(VLOOKUP(F8919,CARTON_LOOKUP!$A:$E,4,0),"")</f>
      </c>
      <c r="I8919" s="28">
        <f>IFERROR(VLOOKUP(F8919,CARTON_LOOKUP!$A:$E,5,0),"")</f>
      </c>
      <c r="J8919" s="29">
        <f>IFERROR(VLOOKUP(F8919,CARTON_LOOKUP!$A:$E,2,0),"")</f>
      </c>
      <c r="K8919" s="29">
        <f>IFERROR(J8919*D8919,0)</f>
      </c>
      <c r="L8919" s="29">
        <f>IFERROR(E8919*C8919,0)</f>
      </c>
      <c r="M8919" s="29">
        <f>IFERROR((G8919*H8919*I8919/1000000)*D8919,0)</f>
      </c>
    </row>
    <row r="8920" spans="1:13" x14ac:dyDescent="0.25">
      <c r="A8920" s="16"/>
      <c r="E8920" s="27"/>
      <c r="F8920" t="s">
        <v>26</v>
      </c>
      <c r="G8920" s="28">
        <f>IFERROR(VLOOKUP(F8920,CARTON_LOOKUP!$A:$E,3,0),"")</f>
      </c>
      <c r="H8920" s="28">
        <f>IFERROR(VLOOKUP(F8920,CARTON_LOOKUP!$A:$E,4,0),"")</f>
      </c>
      <c r="I8920" s="28">
        <f>IFERROR(VLOOKUP(F8920,CARTON_LOOKUP!$A:$E,5,0),"")</f>
      </c>
      <c r="J8920" s="29">
        <f>IFERROR(VLOOKUP(F8920,CARTON_LOOKUP!$A:$E,2,0),"")</f>
      </c>
      <c r="K8920" s="29">
        <f>IFERROR(J8920*D8920,0)</f>
      </c>
      <c r="L8920" s="29">
        <f>IFERROR(E8920*C8920,0)</f>
      </c>
      <c r="M8920" s="29">
        <f>IFERROR((G8920*H8920*I8920/1000000)*D8920,0)</f>
      </c>
    </row>
    <row r="8921" spans="1:13" x14ac:dyDescent="0.25">
      <c r="A8921" s="16"/>
      <c r="E8921" s="27"/>
      <c r="F8921" t="s">
        <v>26</v>
      </c>
      <c r="G8921" s="28">
        <f>IFERROR(VLOOKUP(F8921,CARTON_LOOKUP!$A:$E,3,0),"")</f>
      </c>
      <c r="H8921" s="28">
        <f>IFERROR(VLOOKUP(F8921,CARTON_LOOKUP!$A:$E,4,0),"")</f>
      </c>
      <c r="I8921" s="28">
        <f>IFERROR(VLOOKUP(F8921,CARTON_LOOKUP!$A:$E,5,0),"")</f>
      </c>
      <c r="J8921" s="29">
        <f>IFERROR(VLOOKUP(F8921,CARTON_LOOKUP!$A:$E,2,0),"")</f>
      </c>
      <c r="K8921" s="29">
        <f>IFERROR(J8921*D8921,0)</f>
      </c>
      <c r="L8921" s="29">
        <f>IFERROR(E8921*C8921,0)</f>
      </c>
      <c r="M8921" s="29">
        <f>IFERROR((G8921*H8921*I8921/1000000)*D8921,0)</f>
      </c>
    </row>
    <row r="8922" spans="1:13" x14ac:dyDescent="0.25">
      <c r="A8922" s="16"/>
      <c r="E8922" s="27"/>
      <c r="F8922" t="s">
        <v>26</v>
      </c>
      <c r="G8922" s="28">
        <f>IFERROR(VLOOKUP(F8922,CARTON_LOOKUP!$A:$E,3,0),"")</f>
      </c>
      <c r="H8922" s="28">
        <f>IFERROR(VLOOKUP(F8922,CARTON_LOOKUP!$A:$E,4,0),"")</f>
      </c>
      <c r="I8922" s="28">
        <f>IFERROR(VLOOKUP(F8922,CARTON_LOOKUP!$A:$E,5,0),"")</f>
      </c>
      <c r="J8922" s="29">
        <f>IFERROR(VLOOKUP(F8922,CARTON_LOOKUP!$A:$E,2,0),"")</f>
      </c>
      <c r="K8922" s="29">
        <f>IFERROR(J8922*D8922,0)</f>
      </c>
      <c r="L8922" s="29">
        <f>IFERROR(E8922*C8922,0)</f>
      </c>
      <c r="M8922" s="29">
        <f>IFERROR((G8922*H8922*I8922/1000000)*D8922,0)</f>
      </c>
    </row>
    <row r="8923" spans="1:13" x14ac:dyDescent="0.25">
      <c r="A8923" s="16"/>
      <c r="E8923" s="27"/>
      <c r="F8923" t="s">
        <v>26</v>
      </c>
      <c r="G8923" s="28">
        <f>IFERROR(VLOOKUP(F8923,CARTON_LOOKUP!$A:$E,3,0),"")</f>
      </c>
      <c r="H8923" s="28">
        <f>IFERROR(VLOOKUP(F8923,CARTON_LOOKUP!$A:$E,4,0),"")</f>
      </c>
      <c r="I8923" s="28">
        <f>IFERROR(VLOOKUP(F8923,CARTON_LOOKUP!$A:$E,5,0),"")</f>
      </c>
      <c r="J8923" s="29">
        <f>IFERROR(VLOOKUP(F8923,CARTON_LOOKUP!$A:$E,2,0),"")</f>
      </c>
      <c r="K8923" s="29">
        <f>IFERROR(J8923*D8923,0)</f>
      </c>
      <c r="L8923" s="29">
        <f>IFERROR(E8923*C8923,0)</f>
      </c>
      <c r="M8923" s="29">
        <f>IFERROR((G8923*H8923*I8923/1000000)*D8923,0)</f>
      </c>
    </row>
    <row r="8924" spans="1:13" x14ac:dyDescent="0.25">
      <c r="A8924" s="16"/>
      <c r="E8924" s="27"/>
      <c r="F8924" t="s">
        <v>26</v>
      </c>
      <c r="G8924" s="28">
        <f>IFERROR(VLOOKUP(F8924,CARTON_LOOKUP!$A:$E,3,0),"")</f>
      </c>
      <c r="H8924" s="28">
        <f>IFERROR(VLOOKUP(F8924,CARTON_LOOKUP!$A:$E,4,0),"")</f>
      </c>
      <c r="I8924" s="28">
        <f>IFERROR(VLOOKUP(F8924,CARTON_LOOKUP!$A:$E,5,0),"")</f>
      </c>
      <c r="J8924" s="29">
        <f>IFERROR(VLOOKUP(F8924,CARTON_LOOKUP!$A:$E,2,0),"")</f>
      </c>
      <c r="K8924" s="29">
        <f>IFERROR(J8924*D8924,0)</f>
      </c>
      <c r="L8924" s="29">
        <f>IFERROR(E8924*C8924,0)</f>
      </c>
      <c r="M8924" s="29">
        <f>IFERROR((G8924*H8924*I8924/1000000)*D8924,0)</f>
      </c>
    </row>
    <row r="8925" spans="1:13" x14ac:dyDescent="0.25">
      <c r="A8925" s="16"/>
      <c r="E8925" s="27"/>
      <c r="F8925" t="s">
        <v>26</v>
      </c>
      <c r="G8925" s="28">
        <f>IFERROR(VLOOKUP(F8925,CARTON_LOOKUP!$A:$E,3,0),"")</f>
      </c>
      <c r="H8925" s="28">
        <f>IFERROR(VLOOKUP(F8925,CARTON_LOOKUP!$A:$E,4,0),"")</f>
      </c>
      <c r="I8925" s="28">
        <f>IFERROR(VLOOKUP(F8925,CARTON_LOOKUP!$A:$E,5,0),"")</f>
      </c>
      <c r="J8925" s="29">
        <f>IFERROR(VLOOKUP(F8925,CARTON_LOOKUP!$A:$E,2,0),"")</f>
      </c>
      <c r="K8925" s="29">
        <f>IFERROR(J8925*D8925,0)</f>
      </c>
      <c r="L8925" s="29">
        <f>IFERROR(E8925*C8925,0)</f>
      </c>
      <c r="M8925" s="29">
        <f>IFERROR((G8925*H8925*I8925/1000000)*D8925,0)</f>
      </c>
    </row>
    <row r="8926" spans="1:13" x14ac:dyDescent="0.25">
      <c r="A8926" s="16"/>
      <c r="E8926" s="27"/>
      <c r="F8926" t="s">
        <v>26</v>
      </c>
      <c r="G8926" s="28">
        <f>IFERROR(VLOOKUP(F8926,CARTON_LOOKUP!$A:$E,3,0),"")</f>
      </c>
      <c r="H8926" s="28">
        <f>IFERROR(VLOOKUP(F8926,CARTON_LOOKUP!$A:$E,4,0),"")</f>
      </c>
      <c r="I8926" s="28">
        <f>IFERROR(VLOOKUP(F8926,CARTON_LOOKUP!$A:$E,5,0),"")</f>
      </c>
      <c r="J8926" s="29">
        <f>IFERROR(VLOOKUP(F8926,CARTON_LOOKUP!$A:$E,2,0),"")</f>
      </c>
      <c r="K8926" s="29">
        <f>IFERROR(J8926*D8926,0)</f>
      </c>
      <c r="L8926" s="29">
        <f>IFERROR(E8926*C8926,0)</f>
      </c>
      <c r="M8926" s="29">
        <f>IFERROR((G8926*H8926*I8926/1000000)*D8926,0)</f>
      </c>
    </row>
    <row r="8927" spans="1:13" x14ac:dyDescent="0.25">
      <c r="A8927" s="16"/>
      <c r="E8927" s="27"/>
      <c r="F8927" t="s">
        <v>26</v>
      </c>
      <c r="G8927" s="28">
        <f>IFERROR(VLOOKUP(F8927,CARTON_LOOKUP!$A:$E,3,0),"")</f>
      </c>
      <c r="H8927" s="28">
        <f>IFERROR(VLOOKUP(F8927,CARTON_LOOKUP!$A:$E,4,0),"")</f>
      </c>
      <c r="I8927" s="28">
        <f>IFERROR(VLOOKUP(F8927,CARTON_LOOKUP!$A:$E,5,0),"")</f>
      </c>
      <c r="J8927" s="29">
        <f>IFERROR(VLOOKUP(F8927,CARTON_LOOKUP!$A:$E,2,0),"")</f>
      </c>
      <c r="K8927" s="29">
        <f>IFERROR(J8927*D8927,0)</f>
      </c>
      <c r="L8927" s="29">
        <f>IFERROR(E8927*C8927,0)</f>
      </c>
      <c r="M8927" s="29">
        <f>IFERROR((G8927*H8927*I8927/1000000)*D8927,0)</f>
      </c>
    </row>
    <row r="8928" spans="1:13" x14ac:dyDescent="0.25">
      <c r="A8928" s="16"/>
      <c r="E8928" s="27"/>
      <c r="F8928" t="s">
        <v>26</v>
      </c>
      <c r="G8928" s="28">
        <f>IFERROR(VLOOKUP(F8928,CARTON_LOOKUP!$A:$E,3,0),"")</f>
      </c>
      <c r="H8928" s="28">
        <f>IFERROR(VLOOKUP(F8928,CARTON_LOOKUP!$A:$E,4,0),"")</f>
      </c>
      <c r="I8928" s="28">
        <f>IFERROR(VLOOKUP(F8928,CARTON_LOOKUP!$A:$E,5,0),"")</f>
      </c>
      <c r="J8928" s="29">
        <f>IFERROR(VLOOKUP(F8928,CARTON_LOOKUP!$A:$E,2,0),"")</f>
      </c>
      <c r="K8928" s="29">
        <f>IFERROR(J8928*D8928,0)</f>
      </c>
      <c r="L8928" s="29">
        <f>IFERROR(E8928*C8928,0)</f>
      </c>
      <c r="M8928" s="29">
        <f>IFERROR((G8928*H8928*I8928/1000000)*D8928,0)</f>
      </c>
    </row>
    <row r="8929" spans="1:13" x14ac:dyDescent="0.25">
      <c r="A8929" s="16"/>
      <c r="E8929" s="27"/>
      <c r="F8929" t="s">
        <v>26</v>
      </c>
      <c r="G8929" s="28">
        <f>IFERROR(VLOOKUP(F8929,CARTON_LOOKUP!$A:$E,3,0),"")</f>
      </c>
      <c r="H8929" s="28">
        <f>IFERROR(VLOOKUP(F8929,CARTON_LOOKUP!$A:$E,4,0),"")</f>
      </c>
      <c r="I8929" s="28">
        <f>IFERROR(VLOOKUP(F8929,CARTON_LOOKUP!$A:$E,5,0),"")</f>
      </c>
      <c r="J8929" s="29">
        <f>IFERROR(VLOOKUP(F8929,CARTON_LOOKUP!$A:$E,2,0),"")</f>
      </c>
      <c r="K8929" s="29">
        <f>IFERROR(J8929*D8929,0)</f>
      </c>
      <c r="L8929" s="29">
        <f>IFERROR(E8929*C8929,0)</f>
      </c>
      <c r="M8929" s="29">
        <f>IFERROR((G8929*H8929*I8929/1000000)*D8929,0)</f>
      </c>
    </row>
    <row r="8930" spans="1:13" x14ac:dyDescent="0.25">
      <c r="A8930" s="16"/>
      <c r="E8930" s="27"/>
      <c r="F8930" t="s">
        <v>26</v>
      </c>
      <c r="G8930" s="28">
        <f>IFERROR(VLOOKUP(F8930,CARTON_LOOKUP!$A:$E,3,0),"")</f>
      </c>
      <c r="H8930" s="28">
        <f>IFERROR(VLOOKUP(F8930,CARTON_LOOKUP!$A:$E,4,0),"")</f>
      </c>
      <c r="I8930" s="28">
        <f>IFERROR(VLOOKUP(F8930,CARTON_LOOKUP!$A:$E,5,0),"")</f>
      </c>
      <c r="J8930" s="29">
        <f>IFERROR(VLOOKUP(F8930,CARTON_LOOKUP!$A:$E,2,0),"")</f>
      </c>
      <c r="K8930" s="29">
        <f>IFERROR(J8930*D8930,0)</f>
      </c>
      <c r="L8930" s="29">
        <f>IFERROR(E8930*C8930,0)</f>
      </c>
      <c r="M8930" s="29">
        <f>IFERROR((G8930*H8930*I8930/1000000)*D8930,0)</f>
      </c>
    </row>
    <row r="8931" spans="1:13" x14ac:dyDescent="0.25">
      <c r="A8931" s="16"/>
      <c r="E8931" s="27"/>
      <c r="F8931" t="s">
        <v>26</v>
      </c>
      <c r="G8931" s="28">
        <f>IFERROR(VLOOKUP(F8931,CARTON_LOOKUP!$A:$E,3,0),"")</f>
      </c>
      <c r="H8931" s="28">
        <f>IFERROR(VLOOKUP(F8931,CARTON_LOOKUP!$A:$E,4,0),"")</f>
      </c>
      <c r="I8931" s="28">
        <f>IFERROR(VLOOKUP(F8931,CARTON_LOOKUP!$A:$E,5,0),"")</f>
      </c>
      <c r="J8931" s="29">
        <f>IFERROR(VLOOKUP(F8931,CARTON_LOOKUP!$A:$E,2,0),"")</f>
      </c>
      <c r="K8931" s="29">
        <f>IFERROR(J8931*D8931,0)</f>
      </c>
      <c r="L8931" s="29">
        <f>IFERROR(E8931*C8931,0)</f>
      </c>
      <c r="M8931" s="29">
        <f>IFERROR((G8931*H8931*I8931/1000000)*D8931,0)</f>
      </c>
    </row>
    <row r="8932" spans="1:13" x14ac:dyDescent="0.25">
      <c r="A8932" s="16"/>
      <c r="E8932" s="27"/>
      <c r="F8932" t="s">
        <v>26</v>
      </c>
      <c r="G8932" s="28">
        <f>IFERROR(VLOOKUP(F8932,CARTON_LOOKUP!$A:$E,3,0),"")</f>
      </c>
      <c r="H8932" s="28">
        <f>IFERROR(VLOOKUP(F8932,CARTON_LOOKUP!$A:$E,4,0),"")</f>
      </c>
      <c r="I8932" s="28">
        <f>IFERROR(VLOOKUP(F8932,CARTON_LOOKUP!$A:$E,5,0),"")</f>
      </c>
      <c r="J8932" s="29">
        <f>IFERROR(VLOOKUP(F8932,CARTON_LOOKUP!$A:$E,2,0),"")</f>
      </c>
      <c r="K8932" s="29">
        <f>IFERROR(J8932*D8932,0)</f>
      </c>
      <c r="L8932" s="29">
        <f>IFERROR(E8932*C8932,0)</f>
      </c>
      <c r="M8932" s="29">
        <f>IFERROR((G8932*H8932*I8932/1000000)*D8932,0)</f>
      </c>
    </row>
    <row r="8933" spans="1:13" x14ac:dyDescent="0.25">
      <c r="A8933" s="16"/>
      <c r="E8933" s="27"/>
      <c r="F8933" t="s">
        <v>26</v>
      </c>
      <c r="G8933" s="28">
        <f>IFERROR(VLOOKUP(F8933,CARTON_LOOKUP!$A:$E,3,0),"")</f>
      </c>
      <c r="H8933" s="28">
        <f>IFERROR(VLOOKUP(F8933,CARTON_LOOKUP!$A:$E,4,0),"")</f>
      </c>
      <c r="I8933" s="28">
        <f>IFERROR(VLOOKUP(F8933,CARTON_LOOKUP!$A:$E,5,0),"")</f>
      </c>
      <c r="J8933" s="29">
        <f>IFERROR(VLOOKUP(F8933,CARTON_LOOKUP!$A:$E,2,0),"")</f>
      </c>
      <c r="K8933" s="29">
        <f>IFERROR(J8933*D8933,0)</f>
      </c>
      <c r="L8933" s="29">
        <f>IFERROR(E8933*C8933,0)</f>
      </c>
      <c r="M8933" s="29">
        <f>IFERROR((G8933*H8933*I8933/1000000)*D8933,0)</f>
      </c>
    </row>
    <row r="8934" spans="1:13" x14ac:dyDescent="0.25">
      <c r="A8934" s="16"/>
      <c r="E8934" s="27"/>
      <c r="F8934" t="s">
        <v>26</v>
      </c>
      <c r="G8934" s="28">
        <f>IFERROR(VLOOKUP(F8934,CARTON_LOOKUP!$A:$E,3,0),"")</f>
      </c>
      <c r="H8934" s="28">
        <f>IFERROR(VLOOKUP(F8934,CARTON_LOOKUP!$A:$E,4,0),"")</f>
      </c>
      <c r="I8934" s="28">
        <f>IFERROR(VLOOKUP(F8934,CARTON_LOOKUP!$A:$E,5,0),"")</f>
      </c>
      <c r="J8934" s="29">
        <f>IFERROR(VLOOKUP(F8934,CARTON_LOOKUP!$A:$E,2,0),"")</f>
      </c>
      <c r="K8934" s="29">
        <f>IFERROR(J8934*D8934,0)</f>
      </c>
      <c r="L8934" s="29">
        <f>IFERROR(E8934*C8934,0)</f>
      </c>
      <c r="M8934" s="29">
        <f>IFERROR((G8934*H8934*I8934/1000000)*D8934,0)</f>
      </c>
    </row>
    <row r="8935" spans="1:13" x14ac:dyDescent="0.25">
      <c r="A8935" s="16"/>
      <c r="E8935" s="27"/>
      <c r="F8935" t="s">
        <v>26</v>
      </c>
      <c r="G8935" s="28">
        <f>IFERROR(VLOOKUP(F8935,CARTON_LOOKUP!$A:$E,3,0),"")</f>
      </c>
      <c r="H8935" s="28">
        <f>IFERROR(VLOOKUP(F8935,CARTON_LOOKUP!$A:$E,4,0),"")</f>
      </c>
      <c r="I8935" s="28">
        <f>IFERROR(VLOOKUP(F8935,CARTON_LOOKUP!$A:$E,5,0),"")</f>
      </c>
      <c r="J8935" s="29">
        <f>IFERROR(VLOOKUP(F8935,CARTON_LOOKUP!$A:$E,2,0),"")</f>
      </c>
      <c r="K8935" s="29">
        <f>IFERROR(J8935*D8935,0)</f>
      </c>
      <c r="L8935" s="29">
        <f>IFERROR(E8935*C8935,0)</f>
      </c>
      <c r="M8935" s="29">
        <f>IFERROR((G8935*H8935*I8935/1000000)*D8935,0)</f>
      </c>
    </row>
    <row r="8936" spans="1:13" x14ac:dyDescent="0.25">
      <c r="A8936" s="16"/>
      <c r="E8936" s="27"/>
      <c r="F8936" t="s">
        <v>26</v>
      </c>
      <c r="G8936" s="28">
        <f>IFERROR(VLOOKUP(F8936,CARTON_LOOKUP!$A:$E,3,0),"")</f>
      </c>
      <c r="H8936" s="28">
        <f>IFERROR(VLOOKUP(F8936,CARTON_LOOKUP!$A:$E,4,0),"")</f>
      </c>
      <c r="I8936" s="28">
        <f>IFERROR(VLOOKUP(F8936,CARTON_LOOKUP!$A:$E,5,0),"")</f>
      </c>
      <c r="J8936" s="29">
        <f>IFERROR(VLOOKUP(F8936,CARTON_LOOKUP!$A:$E,2,0),"")</f>
      </c>
      <c r="K8936" s="29">
        <f>IFERROR(J8936*D8936,0)</f>
      </c>
      <c r="L8936" s="29">
        <f>IFERROR(E8936*C8936,0)</f>
      </c>
      <c r="M8936" s="29">
        <f>IFERROR((G8936*H8936*I8936/1000000)*D8936,0)</f>
      </c>
    </row>
    <row r="8937" spans="1:13" x14ac:dyDescent="0.25">
      <c r="A8937" s="16"/>
      <c r="E8937" s="27"/>
      <c r="F8937" t="s">
        <v>26</v>
      </c>
      <c r="G8937" s="28">
        <f>IFERROR(VLOOKUP(F8937,CARTON_LOOKUP!$A:$E,3,0),"")</f>
      </c>
      <c r="H8937" s="28">
        <f>IFERROR(VLOOKUP(F8937,CARTON_LOOKUP!$A:$E,4,0),"")</f>
      </c>
      <c r="I8937" s="28">
        <f>IFERROR(VLOOKUP(F8937,CARTON_LOOKUP!$A:$E,5,0),"")</f>
      </c>
      <c r="J8937" s="29">
        <f>IFERROR(VLOOKUP(F8937,CARTON_LOOKUP!$A:$E,2,0),"")</f>
      </c>
      <c r="K8937" s="29">
        <f>IFERROR(J8937*D8937,0)</f>
      </c>
      <c r="L8937" s="29">
        <f>IFERROR(E8937*C8937,0)</f>
      </c>
      <c r="M8937" s="29">
        <f>IFERROR((G8937*H8937*I8937/1000000)*D8937,0)</f>
      </c>
    </row>
    <row r="8938" spans="1:13" x14ac:dyDescent="0.25">
      <c r="A8938" s="16"/>
      <c r="E8938" s="27"/>
      <c r="F8938" t="s">
        <v>26</v>
      </c>
      <c r="G8938" s="28">
        <f>IFERROR(VLOOKUP(F8938,CARTON_LOOKUP!$A:$E,3,0),"")</f>
      </c>
      <c r="H8938" s="28">
        <f>IFERROR(VLOOKUP(F8938,CARTON_LOOKUP!$A:$E,4,0),"")</f>
      </c>
      <c r="I8938" s="28">
        <f>IFERROR(VLOOKUP(F8938,CARTON_LOOKUP!$A:$E,5,0),"")</f>
      </c>
      <c r="J8938" s="29">
        <f>IFERROR(VLOOKUP(F8938,CARTON_LOOKUP!$A:$E,2,0),"")</f>
      </c>
      <c r="K8938" s="29">
        <f>IFERROR(J8938*D8938,0)</f>
      </c>
      <c r="L8938" s="29">
        <f>IFERROR(E8938*C8938,0)</f>
      </c>
      <c r="M8938" s="29">
        <f>IFERROR((G8938*H8938*I8938/1000000)*D8938,0)</f>
      </c>
    </row>
    <row r="8939" spans="1:13" x14ac:dyDescent="0.25">
      <c r="A8939" s="16"/>
      <c r="E8939" s="27"/>
      <c r="F8939" t="s">
        <v>26</v>
      </c>
      <c r="G8939" s="28">
        <f>IFERROR(VLOOKUP(F8939,CARTON_LOOKUP!$A:$E,3,0),"")</f>
      </c>
      <c r="H8939" s="28">
        <f>IFERROR(VLOOKUP(F8939,CARTON_LOOKUP!$A:$E,4,0),"")</f>
      </c>
      <c r="I8939" s="28">
        <f>IFERROR(VLOOKUP(F8939,CARTON_LOOKUP!$A:$E,5,0),"")</f>
      </c>
      <c r="J8939" s="29">
        <f>IFERROR(VLOOKUP(F8939,CARTON_LOOKUP!$A:$E,2,0),"")</f>
      </c>
      <c r="K8939" s="29">
        <f>IFERROR(J8939*D8939,0)</f>
      </c>
      <c r="L8939" s="29">
        <f>IFERROR(E8939*C8939,0)</f>
      </c>
      <c r="M8939" s="29">
        <f>IFERROR((G8939*H8939*I8939/1000000)*D8939,0)</f>
      </c>
    </row>
    <row r="8940" spans="1:13" x14ac:dyDescent="0.25">
      <c r="A8940" s="16"/>
      <c r="E8940" s="27"/>
      <c r="F8940" t="s">
        <v>26</v>
      </c>
      <c r="G8940" s="28">
        <f>IFERROR(VLOOKUP(F8940,CARTON_LOOKUP!$A:$E,3,0),"")</f>
      </c>
      <c r="H8940" s="28">
        <f>IFERROR(VLOOKUP(F8940,CARTON_LOOKUP!$A:$E,4,0),"")</f>
      </c>
      <c r="I8940" s="28">
        <f>IFERROR(VLOOKUP(F8940,CARTON_LOOKUP!$A:$E,5,0),"")</f>
      </c>
      <c r="J8940" s="29">
        <f>IFERROR(VLOOKUP(F8940,CARTON_LOOKUP!$A:$E,2,0),"")</f>
      </c>
      <c r="K8940" s="29">
        <f>IFERROR(J8940*D8940,0)</f>
      </c>
      <c r="L8940" s="29">
        <f>IFERROR(E8940*C8940,0)</f>
      </c>
      <c r="M8940" s="29">
        <f>IFERROR((G8940*H8940*I8940/1000000)*D8940,0)</f>
      </c>
    </row>
    <row r="8941" spans="1:13" x14ac:dyDescent="0.25">
      <c r="A8941" s="16"/>
      <c r="E8941" s="27"/>
      <c r="F8941" t="s">
        <v>26</v>
      </c>
      <c r="G8941" s="28">
        <f>IFERROR(VLOOKUP(F8941,CARTON_LOOKUP!$A:$E,3,0),"")</f>
      </c>
      <c r="H8941" s="28">
        <f>IFERROR(VLOOKUP(F8941,CARTON_LOOKUP!$A:$E,4,0),"")</f>
      </c>
      <c r="I8941" s="28">
        <f>IFERROR(VLOOKUP(F8941,CARTON_LOOKUP!$A:$E,5,0),"")</f>
      </c>
      <c r="J8941" s="29">
        <f>IFERROR(VLOOKUP(F8941,CARTON_LOOKUP!$A:$E,2,0),"")</f>
      </c>
      <c r="K8941" s="29">
        <f>IFERROR(J8941*D8941,0)</f>
      </c>
      <c r="L8941" s="29">
        <f>IFERROR(E8941*C8941,0)</f>
      </c>
      <c r="M8941" s="29">
        <f>IFERROR((G8941*H8941*I8941/1000000)*D8941,0)</f>
      </c>
    </row>
    <row r="8942" spans="1:13" x14ac:dyDescent="0.25">
      <c r="A8942" s="16"/>
      <c r="E8942" s="27"/>
      <c r="F8942" t="s">
        <v>26</v>
      </c>
      <c r="G8942" s="28">
        <f>IFERROR(VLOOKUP(F8942,CARTON_LOOKUP!$A:$E,3,0),"")</f>
      </c>
      <c r="H8942" s="28">
        <f>IFERROR(VLOOKUP(F8942,CARTON_LOOKUP!$A:$E,4,0),"")</f>
      </c>
      <c r="I8942" s="28">
        <f>IFERROR(VLOOKUP(F8942,CARTON_LOOKUP!$A:$E,5,0),"")</f>
      </c>
      <c r="J8942" s="29">
        <f>IFERROR(VLOOKUP(F8942,CARTON_LOOKUP!$A:$E,2,0),"")</f>
      </c>
      <c r="K8942" s="29">
        <f>IFERROR(J8942*D8942,0)</f>
      </c>
      <c r="L8942" s="29">
        <f>IFERROR(E8942*C8942,0)</f>
      </c>
      <c r="M8942" s="29">
        <f>IFERROR((G8942*H8942*I8942/1000000)*D8942,0)</f>
      </c>
    </row>
    <row r="8943" spans="1:13" x14ac:dyDescent="0.25">
      <c r="A8943" s="16"/>
      <c r="E8943" s="27"/>
      <c r="F8943" t="s">
        <v>26</v>
      </c>
      <c r="G8943" s="28">
        <f>IFERROR(VLOOKUP(F8943,CARTON_LOOKUP!$A:$E,3,0),"")</f>
      </c>
      <c r="H8943" s="28">
        <f>IFERROR(VLOOKUP(F8943,CARTON_LOOKUP!$A:$E,4,0),"")</f>
      </c>
      <c r="I8943" s="28">
        <f>IFERROR(VLOOKUP(F8943,CARTON_LOOKUP!$A:$E,5,0),"")</f>
      </c>
      <c r="J8943" s="29">
        <f>IFERROR(VLOOKUP(F8943,CARTON_LOOKUP!$A:$E,2,0),"")</f>
      </c>
      <c r="K8943" s="29">
        <f>IFERROR(J8943*D8943,0)</f>
      </c>
      <c r="L8943" s="29">
        <f>IFERROR(E8943*C8943,0)</f>
      </c>
      <c r="M8943" s="29">
        <f>IFERROR((G8943*H8943*I8943/1000000)*D8943,0)</f>
      </c>
    </row>
    <row r="8944" spans="1:13" x14ac:dyDescent="0.25">
      <c r="A8944" s="16"/>
      <c r="E8944" s="27"/>
      <c r="F8944" t="s">
        <v>26</v>
      </c>
      <c r="G8944" s="28">
        <f>IFERROR(VLOOKUP(F8944,CARTON_LOOKUP!$A:$E,3,0),"")</f>
      </c>
      <c r="H8944" s="28">
        <f>IFERROR(VLOOKUP(F8944,CARTON_LOOKUP!$A:$E,4,0),"")</f>
      </c>
      <c r="I8944" s="28">
        <f>IFERROR(VLOOKUP(F8944,CARTON_LOOKUP!$A:$E,5,0),"")</f>
      </c>
      <c r="J8944" s="29">
        <f>IFERROR(VLOOKUP(F8944,CARTON_LOOKUP!$A:$E,2,0),"")</f>
      </c>
      <c r="K8944" s="29">
        <f>IFERROR(J8944*D8944,0)</f>
      </c>
      <c r="L8944" s="29">
        <f>IFERROR(E8944*C8944,0)</f>
      </c>
      <c r="M8944" s="29">
        <f>IFERROR((G8944*H8944*I8944/1000000)*D8944,0)</f>
      </c>
    </row>
    <row r="8945" spans="1:13" x14ac:dyDescent="0.25">
      <c r="A8945" s="16"/>
      <c r="E8945" s="27"/>
      <c r="F8945" t="s">
        <v>26</v>
      </c>
      <c r="G8945" s="28">
        <f>IFERROR(VLOOKUP(F8945,CARTON_LOOKUP!$A:$E,3,0),"")</f>
      </c>
      <c r="H8945" s="28">
        <f>IFERROR(VLOOKUP(F8945,CARTON_LOOKUP!$A:$E,4,0),"")</f>
      </c>
      <c r="I8945" s="28">
        <f>IFERROR(VLOOKUP(F8945,CARTON_LOOKUP!$A:$E,5,0),"")</f>
      </c>
      <c r="J8945" s="29">
        <f>IFERROR(VLOOKUP(F8945,CARTON_LOOKUP!$A:$E,2,0),"")</f>
      </c>
      <c r="K8945" s="29">
        <f>IFERROR(J8945*D8945,0)</f>
      </c>
      <c r="L8945" s="29">
        <f>IFERROR(E8945*C8945,0)</f>
      </c>
      <c r="M8945" s="29">
        <f>IFERROR((G8945*H8945*I8945/1000000)*D8945,0)</f>
      </c>
    </row>
    <row r="8946" spans="1:13" x14ac:dyDescent="0.25">
      <c r="A8946" s="16"/>
      <c r="E8946" s="27"/>
      <c r="F8946" t="s">
        <v>26</v>
      </c>
      <c r="G8946" s="28">
        <f>IFERROR(VLOOKUP(F8946,CARTON_LOOKUP!$A:$E,3,0),"")</f>
      </c>
      <c r="H8946" s="28">
        <f>IFERROR(VLOOKUP(F8946,CARTON_LOOKUP!$A:$E,4,0),"")</f>
      </c>
      <c r="I8946" s="28">
        <f>IFERROR(VLOOKUP(F8946,CARTON_LOOKUP!$A:$E,5,0),"")</f>
      </c>
      <c r="J8946" s="29">
        <f>IFERROR(VLOOKUP(F8946,CARTON_LOOKUP!$A:$E,2,0),"")</f>
      </c>
      <c r="K8946" s="29">
        <f>IFERROR(J8946*D8946,0)</f>
      </c>
      <c r="L8946" s="29">
        <f>IFERROR(E8946*C8946,0)</f>
      </c>
      <c r="M8946" s="29">
        <f>IFERROR((G8946*H8946*I8946/1000000)*D8946,0)</f>
      </c>
    </row>
    <row r="8947" spans="1:13" x14ac:dyDescent="0.25">
      <c r="A8947" s="16"/>
      <c r="E8947" s="27"/>
      <c r="F8947" t="s">
        <v>26</v>
      </c>
      <c r="G8947" s="28">
        <f>IFERROR(VLOOKUP(F8947,CARTON_LOOKUP!$A:$E,3,0),"")</f>
      </c>
      <c r="H8947" s="28">
        <f>IFERROR(VLOOKUP(F8947,CARTON_LOOKUP!$A:$E,4,0),"")</f>
      </c>
      <c r="I8947" s="28">
        <f>IFERROR(VLOOKUP(F8947,CARTON_LOOKUP!$A:$E,5,0),"")</f>
      </c>
      <c r="J8947" s="29">
        <f>IFERROR(VLOOKUP(F8947,CARTON_LOOKUP!$A:$E,2,0),"")</f>
      </c>
      <c r="K8947" s="29">
        <f>IFERROR(J8947*D8947,0)</f>
      </c>
      <c r="L8947" s="29">
        <f>IFERROR(E8947*C8947,0)</f>
      </c>
      <c r="M8947" s="29">
        <f>IFERROR((G8947*H8947*I8947/1000000)*D8947,0)</f>
      </c>
    </row>
    <row r="8948" spans="1:13" x14ac:dyDescent="0.25">
      <c r="A8948" s="16"/>
      <c r="E8948" s="27"/>
      <c r="F8948" t="s">
        <v>26</v>
      </c>
      <c r="G8948" s="28">
        <f>IFERROR(VLOOKUP(F8948,CARTON_LOOKUP!$A:$E,3,0),"")</f>
      </c>
      <c r="H8948" s="28">
        <f>IFERROR(VLOOKUP(F8948,CARTON_LOOKUP!$A:$E,4,0),"")</f>
      </c>
      <c r="I8948" s="28">
        <f>IFERROR(VLOOKUP(F8948,CARTON_LOOKUP!$A:$E,5,0),"")</f>
      </c>
      <c r="J8948" s="29">
        <f>IFERROR(VLOOKUP(F8948,CARTON_LOOKUP!$A:$E,2,0),"")</f>
      </c>
      <c r="K8948" s="29">
        <f>IFERROR(J8948*D8948,0)</f>
      </c>
      <c r="L8948" s="29">
        <f>IFERROR(E8948*C8948,0)</f>
      </c>
      <c r="M8948" s="29">
        <f>IFERROR((G8948*H8948*I8948/1000000)*D8948,0)</f>
      </c>
    </row>
    <row r="8949" spans="1:13" x14ac:dyDescent="0.25">
      <c r="A8949" s="16"/>
      <c r="E8949" s="27"/>
      <c r="F8949" t="s">
        <v>26</v>
      </c>
      <c r="G8949" s="28">
        <f>IFERROR(VLOOKUP(F8949,CARTON_LOOKUP!$A:$E,3,0),"")</f>
      </c>
      <c r="H8949" s="28">
        <f>IFERROR(VLOOKUP(F8949,CARTON_LOOKUP!$A:$E,4,0),"")</f>
      </c>
      <c r="I8949" s="28">
        <f>IFERROR(VLOOKUP(F8949,CARTON_LOOKUP!$A:$E,5,0),"")</f>
      </c>
      <c r="J8949" s="29">
        <f>IFERROR(VLOOKUP(F8949,CARTON_LOOKUP!$A:$E,2,0),"")</f>
      </c>
      <c r="K8949" s="29">
        <f>IFERROR(J8949*D8949,0)</f>
      </c>
      <c r="L8949" s="29">
        <f>IFERROR(E8949*C8949,0)</f>
      </c>
      <c r="M8949" s="29">
        <f>IFERROR((G8949*H8949*I8949/1000000)*D8949,0)</f>
      </c>
    </row>
    <row r="8950" spans="1:13" x14ac:dyDescent="0.25">
      <c r="A8950" s="16"/>
      <c r="E8950" s="27"/>
      <c r="F8950" t="s">
        <v>26</v>
      </c>
      <c r="G8950" s="28">
        <f>IFERROR(VLOOKUP(F8950,CARTON_LOOKUP!$A:$E,3,0),"")</f>
      </c>
      <c r="H8950" s="28">
        <f>IFERROR(VLOOKUP(F8950,CARTON_LOOKUP!$A:$E,4,0),"")</f>
      </c>
      <c r="I8950" s="28">
        <f>IFERROR(VLOOKUP(F8950,CARTON_LOOKUP!$A:$E,5,0),"")</f>
      </c>
      <c r="J8950" s="29">
        <f>IFERROR(VLOOKUP(F8950,CARTON_LOOKUP!$A:$E,2,0),"")</f>
      </c>
      <c r="K8950" s="29">
        <f>IFERROR(J8950*D8950,0)</f>
      </c>
      <c r="L8950" s="29">
        <f>IFERROR(E8950*C8950,0)</f>
      </c>
      <c r="M8950" s="29">
        <f>IFERROR((G8950*H8950*I8950/1000000)*D8950,0)</f>
      </c>
    </row>
    <row r="8951" spans="1:13" x14ac:dyDescent="0.25">
      <c r="A8951" s="16"/>
      <c r="E8951" s="27"/>
      <c r="F8951" t="s">
        <v>26</v>
      </c>
      <c r="G8951" s="28">
        <f>IFERROR(VLOOKUP(F8951,CARTON_LOOKUP!$A:$E,3,0),"")</f>
      </c>
      <c r="H8951" s="28">
        <f>IFERROR(VLOOKUP(F8951,CARTON_LOOKUP!$A:$E,4,0),"")</f>
      </c>
      <c r="I8951" s="28">
        <f>IFERROR(VLOOKUP(F8951,CARTON_LOOKUP!$A:$E,5,0),"")</f>
      </c>
      <c r="J8951" s="29">
        <f>IFERROR(VLOOKUP(F8951,CARTON_LOOKUP!$A:$E,2,0),"")</f>
      </c>
      <c r="K8951" s="29">
        <f>IFERROR(J8951*D8951,0)</f>
      </c>
      <c r="L8951" s="29">
        <f>IFERROR(E8951*C8951,0)</f>
      </c>
      <c r="M8951" s="29">
        <f>IFERROR((G8951*H8951*I8951/1000000)*D8951,0)</f>
      </c>
    </row>
    <row r="8952" spans="1:13" x14ac:dyDescent="0.25">
      <c r="A8952" s="16"/>
      <c r="E8952" s="27"/>
      <c r="F8952" t="s">
        <v>26</v>
      </c>
      <c r="G8952" s="28">
        <f>IFERROR(VLOOKUP(F8952,CARTON_LOOKUP!$A:$E,3,0),"")</f>
      </c>
      <c r="H8952" s="28">
        <f>IFERROR(VLOOKUP(F8952,CARTON_LOOKUP!$A:$E,4,0),"")</f>
      </c>
      <c r="I8952" s="28">
        <f>IFERROR(VLOOKUP(F8952,CARTON_LOOKUP!$A:$E,5,0),"")</f>
      </c>
      <c r="J8952" s="29">
        <f>IFERROR(VLOOKUP(F8952,CARTON_LOOKUP!$A:$E,2,0),"")</f>
      </c>
      <c r="K8952" s="29">
        <f>IFERROR(J8952*D8952,0)</f>
      </c>
      <c r="L8952" s="29">
        <f>IFERROR(E8952*C8952,0)</f>
      </c>
      <c r="M8952" s="29">
        <f>IFERROR((G8952*H8952*I8952/1000000)*D8952,0)</f>
      </c>
    </row>
    <row r="8953" spans="1:13" x14ac:dyDescent="0.25">
      <c r="A8953" s="16"/>
      <c r="E8953" s="27"/>
      <c r="F8953" t="s">
        <v>26</v>
      </c>
      <c r="G8953" s="28">
        <f>IFERROR(VLOOKUP(F8953,CARTON_LOOKUP!$A:$E,3,0),"")</f>
      </c>
      <c r="H8953" s="28">
        <f>IFERROR(VLOOKUP(F8953,CARTON_LOOKUP!$A:$E,4,0),"")</f>
      </c>
      <c r="I8953" s="28">
        <f>IFERROR(VLOOKUP(F8953,CARTON_LOOKUP!$A:$E,5,0),"")</f>
      </c>
      <c r="J8953" s="29">
        <f>IFERROR(VLOOKUP(F8953,CARTON_LOOKUP!$A:$E,2,0),"")</f>
      </c>
      <c r="K8953" s="29">
        <f>IFERROR(J8953*D8953,0)</f>
      </c>
      <c r="L8953" s="29">
        <f>IFERROR(E8953*C8953,0)</f>
      </c>
      <c r="M8953" s="29">
        <f>IFERROR((G8953*H8953*I8953/1000000)*D8953,0)</f>
      </c>
    </row>
    <row r="8954" spans="1:13" x14ac:dyDescent="0.25">
      <c r="A8954" s="16"/>
      <c r="E8954" s="27"/>
      <c r="F8954" t="s">
        <v>26</v>
      </c>
      <c r="G8954" s="28">
        <f>IFERROR(VLOOKUP(F8954,CARTON_LOOKUP!$A:$E,3,0),"")</f>
      </c>
      <c r="H8954" s="28">
        <f>IFERROR(VLOOKUP(F8954,CARTON_LOOKUP!$A:$E,4,0),"")</f>
      </c>
      <c r="I8954" s="28">
        <f>IFERROR(VLOOKUP(F8954,CARTON_LOOKUP!$A:$E,5,0),"")</f>
      </c>
      <c r="J8954" s="29">
        <f>IFERROR(VLOOKUP(F8954,CARTON_LOOKUP!$A:$E,2,0),"")</f>
      </c>
      <c r="K8954" s="29">
        <f>IFERROR(J8954*D8954,0)</f>
      </c>
      <c r="L8954" s="29">
        <f>IFERROR(E8954*C8954,0)</f>
      </c>
      <c r="M8954" s="29">
        <f>IFERROR((G8954*H8954*I8954/1000000)*D8954,0)</f>
      </c>
    </row>
    <row r="8955" spans="1:13" x14ac:dyDescent="0.25">
      <c r="A8955" s="16"/>
      <c r="E8955" s="27"/>
      <c r="F8955" t="s">
        <v>26</v>
      </c>
      <c r="G8955" s="28">
        <f>IFERROR(VLOOKUP(F8955,CARTON_LOOKUP!$A:$E,3,0),"")</f>
      </c>
      <c r="H8955" s="28">
        <f>IFERROR(VLOOKUP(F8955,CARTON_LOOKUP!$A:$E,4,0),"")</f>
      </c>
      <c r="I8955" s="28">
        <f>IFERROR(VLOOKUP(F8955,CARTON_LOOKUP!$A:$E,5,0),"")</f>
      </c>
      <c r="J8955" s="29">
        <f>IFERROR(VLOOKUP(F8955,CARTON_LOOKUP!$A:$E,2,0),"")</f>
      </c>
      <c r="K8955" s="29">
        <f>IFERROR(J8955*D8955,0)</f>
      </c>
      <c r="L8955" s="29">
        <f>IFERROR(E8955*C8955,0)</f>
      </c>
      <c r="M8955" s="29">
        <f>IFERROR((G8955*H8955*I8955/1000000)*D8955,0)</f>
      </c>
    </row>
    <row r="8956" spans="1:13" x14ac:dyDescent="0.25">
      <c r="A8956" s="16"/>
      <c r="E8956" s="27"/>
      <c r="F8956" t="s">
        <v>26</v>
      </c>
      <c r="G8956" s="28">
        <f>IFERROR(VLOOKUP(F8956,CARTON_LOOKUP!$A:$E,3,0),"")</f>
      </c>
      <c r="H8956" s="28">
        <f>IFERROR(VLOOKUP(F8956,CARTON_LOOKUP!$A:$E,4,0),"")</f>
      </c>
      <c r="I8956" s="28">
        <f>IFERROR(VLOOKUP(F8956,CARTON_LOOKUP!$A:$E,5,0),"")</f>
      </c>
      <c r="J8956" s="29">
        <f>IFERROR(VLOOKUP(F8956,CARTON_LOOKUP!$A:$E,2,0),"")</f>
      </c>
      <c r="K8956" s="29">
        <f>IFERROR(J8956*D8956,0)</f>
      </c>
      <c r="L8956" s="29">
        <f>IFERROR(E8956*C8956,0)</f>
      </c>
      <c r="M8956" s="29">
        <f>IFERROR((G8956*H8956*I8956/1000000)*D8956,0)</f>
      </c>
    </row>
    <row r="8957" spans="1:13" x14ac:dyDescent="0.25">
      <c r="A8957" s="16"/>
      <c r="E8957" s="27"/>
      <c r="F8957" t="s">
        <v>26</v>
      </c>
      <c r="G8957" s="28">
        <f>IFERROR(VLOOKUP(F8957,CARTON_LOOKUP!$A:$E,3,0),"")</f>
      </c>
      <c r="H8957" s="28">
        <f>IFERROR(VLOOKUP(F8957,CARTON_LOOKUP!$A:$E,4,0),"")</f>
      </c>
      <c r="I8957" s="28">
        <f>IFERROR(VLOOKUP(F8957,CARTON_LOOKUP!$A:$E,5,0),"")</f>
      </c>
      <c r="J8957" s="29">
        <f>IFERROR(VLOOKUP(F8957,CARTON_LOOKUP!$A:$E,2,0),"")</f>
      </c>
      <c r="K8957" s="29">
        <f>IFERROR(J8957*D8957,0)</f>
      </c>
      <c r="L8957" s="29">
        <f>IFERROR(E8957*C8957,0)</f>
      </c>
      <c r="M8957" s="29">
        <f>IFERROR((G8957*H8957*I8957/1000000)*D8957,0)</f>
      </c>
    </row>
    <row r="8958" spans="1:13" x14ac:dyDescent="0.25">
      <c r="A8958" s="16"/>
      <c r="E8958" s="27"/>
      <c r="F8958" t="s">
        <v>26</v>
      </c>
      <c r="G8958" s="28">
        <f>IFERROR(VLOOKUP(F8958,CARTON_LOOKUP!$A:$E,3,0),"")</f>
      </c>
      <c r="H8958" s="28">
        <f>IFERROR(VLOOKUP(F8958,CARTON_LOOKUP!$A:$E,4,0),"")</f>
      </c>
      <c r="I8958" s="28">
        <f>IFERROR(VLOOKUP(F8958,CARTON_LOOKUP!$A:$E,5,0),"")</f>
      </c>
      <c r="J8958" s="29">
        <f>IFERROR(VLOOKUP(F8958,CARTON_LOOKUP!$A:$E,2,0),"")</f>
      </c>
      <c r="K8958" s="29">
        <f>IFERROR(J8958*D8958,0)</f>
      </c>
      <c r="L8958" s="29">
        <f>IFERROR(E8958*C8958,0)</f>
      </c>
      <c r="M8958" s="29">
        <f>IFERROR((G8958*H8958*I8958/1000000)*D8958,0)</f>
      </c>
    </row>
    <row r="8959" spans="1:13" x14ac:dyDescent="0.25">
      <c r="A8959" s="16"/>
      <c r="E8959" s="27"/>
      <c r="F8959" t="s">
        <v>26</v>
      </c>
      <c r="G8959" s="28">
        <f>IFERROR(VLOOKUP(F8959,CARTON_LOOKUP!$A:$E,3,0),"")</f>
      </c>
      <c r="H8959" s="28">
        <f>IFERROR(VLOOKUP(F8959,CARTON_LOOKUP!$A:$E,4,0),"")</f>
      </c>
      <c r="I8959" s="28">
        <f>IFERROR(VLOOKUP(F8959,CARTON_LOOKUP!$A:$E,5,0),"")</f>
      </c>
      <c r="J8959" s="29">
        <f>IFERROR(VLOOKUP(F8959,CARTON_LOOKUP!$A:$E,2,0),"")</f>
      </c>
      <c r="K8959" s="29">
        <f>IFERROR(J8959*D8959,0)</f>
      </c>
      <c r="L8959" s="29">
        <f>IFERROR(E8959*C8959,0)</f>
      </c>
      <c r="M8959" s="29">
        <f>IFERROR((G8959*H8959*I8959/1000000)*D8959,0)</f>
      </c>
    </row>
    <row r="8960" spans="1:13" x14ac:dyDescent="0.25">
      <c r="A8960" s="16"/>
      <c r="E8960" s="27"/>
      <c r="F8960" t="s">
        <v>26</v>
      </c>
      <c r="G8960" s="28">
        <f>IFERROR(VLOOKUP(F8960,CARTON_LOOKUP!$A:$E,3,0),"")</f>
      </c>
      <c r="H8960" s="28">
        <f>IFERROR(VLOOKUP(F8960,CARTON_LOOKUP!$A:$E,4,0),"")</f>
      </c>
      <c r="I8960" s="28">
        <f>IFERROR(VLOOKUP(F8960,CARTON_LOOKUP!$A:$E,5,0),"")</f>
      </c>
      <c r="J8960" s="29">
        <f>IFERROR(VLOOKUP(F8960,CARTON_LOOKUP!$A:$E,2,0),"")</f>
      </c>
      <c r="K8960" s="29">
        <f>IFERROR(J8960*D8960,0)</f>
      </c>
      <c r="L8960" s="29">
        <f>IFERROR(E8960*C8960,0)</f>
      </c>
      <c r="M8960" s="29">
        <f>IFERROR((G8960*H8960*I8960/1000000)*D8960,0)</f>
      </c>
    </row>
    <row r="8961" spans="1:13" x14ac:dyDescent="0.25">
      <c r="A8961" s="16"/>
      <c r="E8961" s="27"/>
      <c r="F8961" t="s">
        <v>26</v>
      </c>
      <c r="G8961" s="28">
        <f>IFERROR(VLOOKUP(F8961,CARTON_LOOKUP!$A:$E,3,0),"")</f>
      </c>
      <c r="H8961" s="28">
        <f>IFERROR(VLOOKUP(F8961,CARTON_LOOKUP!$A:$E,4,0),"")</f>
      </c>
      <c r="I8961" s="28">
        <f>IFERROR(VLOOKUP(F8961,CARTON_LOOKUP!$A:$E,5,0),"")</f>
      </c>
      <c r="J8961" s="29">
        <f>IFERROR(VLOOKUP(F8961,CARTON_LOOKUP!$A:$E,2,0),"")</f>
      </c>
      <c r="K8961" s="29">
        <f>IFERROR(J8961*D8961,0)</f>
      </c>
      <c r="L8961" s="29">
        <f>IFERROR(E8961*C8961,0)</f>
      </c>
      <c r="M8961" s="29">
        <f>IFERROR((G8961*H8961*I8961/1000000)*D8961,0)</f>
      </c>
    </row>
    <row r="8962" spans="1:13" x14ac:dyDescent="0.25">
      <c r="A8962" s="16"/>
      <c r="E8962" s="27"/>
      <c r="F8962" t="s">
        <v>26</v>
      </c>
      <c r="G8962" s="28">
        <f>IFERROR(VLOOKUP(F8962,CARTON_LOOKUP!$A:$E,3,0),"")</f>
      </c>
      <c r="H8962" s="28">
        <f>IFERROR(VLOOKUP(F8962,CARTON_LOOKUP!$A:$E,4,0),"")</f>
      </c>
      <c r="I8962" s="28">
        <f>IFERROR(VLOOKUP(F8962,CARTON_LOOKUP!$A:$E,5,0),"")</f>
      </c>
      <c r="J8962" s="29">
        <f>IFERROR(VLOOKUP(F8962,CARTON_LOOKUP!$A:$E,2,0),"")</f>
      </c>
      <c r="K8962" s="29">
        <f>IFERROR(J8962*D8962,0)</f>
      </c>
      <c r="L8962" s="29">
        <f>IFERROR(E8962*C8962,0)</f>
      </c>
      <c r="M8962" s="29">
        <f>IFERROR((G8962*H8962*I8962/1000000)*D8962,0)</f>
      </c>
    </row>
    <row r="8963" spans="1:13" x14ac:dyDescent="0.25">
      <c r="A8963" s="16"/>
      <c r="E8963" s="27"/>
      <c r="F8963" t="s">
        <v>26</v>
      </c>
      <c r="G8963" s="28">
        <f>IFERROR(VLOOKUP(F8963,CARTON_LOOKUP!$A:$E,3,0),"")</f>
      </c>
      <c r="H8963" s="28">
        <f>IFERROR(VLOOKUP(F8963,CARTON_LOOKUP!$A:$E,4,0),"")</f>
      </c>
      <c r="I8963" s="28">
        <f>IFERROR(VLOOKUP(F8963,CARTON_LOOKUP!$A:$E,5,0),"")</f>
      </c>
      <c r="J8963" s="29">
        <f>IFERROR(VLOOKUP(F8963,CARTON_LOOKUP!$A:$E,2,0),"")</f>
      </c>
      <c r="K8963" s="29">
        <f>IFERROR(J8963*D8963,0)</f>
      </c>
      <c r="L8963" s="29">
        <f>IFERROR(E8963*C8963,0)</f>
      </c>
      <c r="M8963" s="29">
        <f>IFERROR((G8963*H8963*I8963/1000000)*D8963,0)</f>
      </c>
    </row>
    <row r="8964" spans="1:13" x14ac:dyDescent="0.25">
      <c r="A8964" s="16"/>
      <c r="E8964" s="27"/>
      <c r="F8964" t="s">
        <v>26</v>
      </c>
      <c r="G8964" s="28">
        <f>IFERROR(VLOOKUP(F8964,CARTON_LOOKUP!$A:$E,3,0),"")</f>
      </c>
      <c r="H8964" s="28">
        <f>IFERROR(VLOOKUP(F8964,CARTON_LOOKUP!$A:$E,4,0),"")</f>
      </c>
      <c r="I8964" s="28">
        <f>IFERROR(VLOOKUP(F8964,CARTON_LOOKUP!$A:$E,5,0),"")</f>
      </c>
      <c r="J8964" s="29">
        <f>IFERROR(VLOOKUP(F8964,CARTON_LOOKUP!$A:$E,2,0),"")</f>
      </c>
      <c r="K8964" s="29">
        <f>IFERROR(J8964*D8964,0)</f>
      </c>
      <c r="L8964" s="29">
        <f>IFERROR(E8964*C8964,0)</f>
      </c>
      <c r="M8964" s="29">
        <f>IFERROR((G8964*H8964*I8964/1000000)*D8964,0)</f>
      </c>
    </row>
    <row r="8965" spans="1:13" x14ac:dyDescent="0.25">
      <c r="A8965" s="16"/>
      <c r="E8965" s="27"/>
      <c r="F8965" t="s">
        <v>26</v>
      </c>
      <c r="G8965" s="28">
        <f>IFERROR(VLOOKUP(F8965,CARTON_LOOKUP!$A:$E,3,0),"")</f>
      </c>
      <c r="H8965" s="28">
        <f>IFERROR(VLOOKUP(F8965,CARTON_LOOKUP!$A:$E,4,0),"")</f>
      </c>
      <c r="I8965" s="28">
        <f>IFERROR(VLOOKUP(F8965,CARTON_LOOKUP!$A:$E,5,0),"")</f>
      </c>
      <c r="J8965" s="29">
        <f>IFERROR(VLOOKUP(F8965,CARTON_LOOKUP!$A:$E,2,0),"")</f>
      </c>
      <c r="K8965" s="29">
        <f>IFERROR(J8965*D8965,0)</f>
      </c>
      <c r="L8965" s="29">
        <f>IFERROR(E8965*C8965,0)</f>
      </c>
      <c r="M8965" s="29">
        <f>IFERROR((G8965*H8965*I8965/1000000)*D8965,0)</f>
      </c>
    </row>
    <row r="8966" spans="1:13" x14ac:dyDescent="0.25">
      <c r="A8966" s="16"/>
      <c r="E8966" s="27"/>
      <c r="F8966" t="s">
        <v>26</v>
      </c>
      <c r="G8966" s="28">
        <f>IFERROR(VLOOKUP(F8966,CARTON_LOOKUP!$A:$E,3,0),"")</f>
      </c>
      <c r="H8966" s="28">
        <f>IFERROR(VLOOKUP(F8966,CARTON_LOOKUP!$A:$E,4,0),"")</f>
      </c>
      <c r="I8966" s="28">
        <f>IFERROR(VLOOKUP(F8966,CARTON_LOOKUP!$A:$E,5,0),"")</f>
      </c>
      <c r="J8966" s="29">
        <f>IFERROR(VLOOKUP(F8966,CARTON_LOOKUP!$A:$E,2,0),"")</f>
      </c>
      <c r="K8966" s="29">
        <f>IFERROR(J8966*D8966,0)</f>
      </c>
      <c r="L8966" s="29">
        <f>IFERROR(E8966*C8966,0)</f>
      </c>
      <c r="M8966" s="29">
        <f>IFERROR((G8966*H8966*I8966/1000000)*D8966,0)</f>
      </c>
    </row>
    <row r="8967" spans="1:13" x14ac:dyDescent="0.25">
      <c r="A8967" s="16"/>
      <c r="E8967" s="27"/>
      <c r="F8967" t="s">
        <v>26</v>
      </c>
      <c r="G8967" s="28">
        <f>IFERROR(VLOOKUP(F8967,CARTON_LOOKUP!$A:$E,3,0),"")</f>
      </c>
      <c r="H8967" s="28">
        <f>IFERROR(VLOOKUP(F8967,CARTON_LOOKUP!$A:$E,4,0),"")</f>
      </c>
      <c r="I8967" s="28">
        <f>IFERROR(VLOOKUP(F8967,CARTON_LOOKUP!$A:$E,5,0),"")</f>
      </c>
      <c r="J8967" s="29">
        <f>IFERROR(VLOOKUP(F8967,CARTON_LOOKUP!$A:$E,2,0),"")</f>
      </c>
      <c r="K8967" s="29">
        <f>IFERROR(J8967*D8967,0)</f>
      </c>
      <c r="L8967" s="29">
        <f>IFERROR(E8967*C8967,0)</f>
      </c>
      <c r="M8967" s="29">
        <f>IFERROR((G8967*H8967*I8967/1000000)*D8967,0)</f>
      </c>
    </row>
    <row r="8968" spans="1:13" x14ac:dyDescent="0.25">
      <c r="A8968" s="16"/>
      <c r="E8968" s="27"/>
      <c r="F8968" t="s">
        <v>26</v>
      </c>
      <c r="G8968" s="28">
        <f>IFERROR(VLOOKUP(F8968,CARTON_LOOKUP!$A:$E,3,0),"")</f>
      </c>
      <c r="H8968" s="28">
        <f>IFERROR(VLOOKUP(F8968,CARTON_LOOKUP!$A:$E,4,0),"")</f>
      </c>
      <c r="I8968" s="28">
        <f>IFERROR(VLOOKUP(F8968,CARTON_LOOKUP!$A:$E,5,0),"")</f>
      </c>
      <c r="J8968" s="29">
        <f>IFERROR(VLOOKUP(F8968,CARTON_LOOKUP!$A:$E,2,0),"")</f>
      </c>
      <c r="K8968" s="29">
        <f>IFERROR(J8968*D8968,0)</f>
      </c>
      <c r="L8968" s="29">
        <f>IFERROR(E8968*C8968,0)</f>
      </c>
      <c r="M8968" s="29">
        <f>IFERROR((G8968*H8968*I8968/1000000)*D8968,0)</f>
      </c>
    </row>
    <row r="8969" spans="1:13" x14ac:dyDescent="0.25">
      <c r="A8969" s="16"/>
      <c r="E8969" s="27"/>
      <c r="F8969" t="s">
        <v>26</v>
      </c>
      <c r="G8969" s="28">
        <f>IFERROR(VLOOKUP(F8969,CARTON_LOOKUP!$A:$E,3,0),"")</f>
      </c>
      <c r="H8969" s="28">
        <f>IFERROR(VLOOKUP(F8969,CARTON_LOOKUP!$A:$E,4,0),"")</f>
      </c>
      <c r="I8969" s="28">
        <f>IFERROR(VLOOKUP(F8969,CARTON_LOOKUP!$A:$E,5,0),"")</f>
      </c>
      <c r="J8969" s="29">
        <f>IFERROR(VLOOKUP(F8969,CARTON_LOOKUP!$A:$E,2,0),"")</f>
      </c>
      <c r="K8969" s="29">
        <f>IFERROR(J8969*D8969,0)</f>
      </c>
      <c r="L8969" s="29">
        <f>IFERROR(E8969*C8969,0)</f>
      </c>
      <c r="M8969" s="29">
        <f>IFERROR((G8969*H8969*I8969/1000000)*D8969,0)</f>
      </c>
    </row>
    <row r="8970" spans="1:13" x14ac:dyDescent="0.25">
      <c r="A8970" s="16"/>
      <c r="E8970" s="27"/>
      <c r="F8970" t="s">
        <v>26</v>
      </c>
      <c r="G8970" s="28">
        <f>IFERROR(VLOOKUP(F8970,CARTON_LOOKUP!$A:$E,3,0),"")</f>
      </c>
      <c r="H8970" s="28">
        <f>IFERROR(VLOOKUP(F8970,CARTON_LOOKUP!$A:$E,4,0),"")</f>
      </c>
      <c r="I8970" s="28">
        <f>IFERROR(VLOOKUP(F8970,CARTON_LOOKUP!$A:$E,5,0),"")</f>
      </c>
      <c r="J8970" s="29">
        <f>IFERROR(VLOOKUP(F8970,CARTON_LOOKUP!$A:$E,2,0),"")</f>
      </c>
      <c r="K8970" s="29">
        <f>IFERROR(J8970*D8970,0)</f>
      </c>
      <c r="L8970" s="29">
        <f>IFERROR(E8970*C8970,0)</f>
      </c>
      <c r="M8970" s="29">
        <f>IFERROR((G8970*H8970*I8970/1000000)*D8970,0)</f>
      </c>
    </row>
    <row r="8971" spans="1:13" x14ac:dyDescent="0.25">
      <c r="A8971" s="16"/>
      <c r="E8971" s="27"/>
      <c r="F8971" t="s">
        <v>26</v>
      </c>
      <c r="G8971" s="28">
        <f>IFERROR(VLOOKUP(F8971,CARTON_LOOKUP!$A:$E,3,0),"")</f>
      </c>
      <c r="H8971" s="28">
        <f>IFERROR(VLOOKUP(F8971,CARTON_LOOKUP!$A:$E,4,0),"")</f>
      </c>
      <c r="I8971" s="28">
        <f>IFERROR(VLOOKUP(F8971,CARTON_LOOKUP!$A:$E,5,0),"")</f>
      </c>
      <c r="J8971" s="29">
        <f>IFERROR(VLOOKUP(F8971,CARTON_LOOKUP!$A:$E,2,0),"")</f>
      </c>
      <c r="K8971" s="29">
        <f>IFERROR(J8971*D8971,0)</f>
      </c>
      <c r="L8971" s="29">
        <f>IFERROR(E8971*C8971,0)</f>
      </c>
      <c r="M8971" s="29">
        <f>IFERROR((G8971*H8971*I8971/1000000)*D8971,0)</f>
      </c>
    </row>
    <row r="8972" spans="1:13" x14ac:dyDescent="0.25">
      <c r="A8972" s="16"/>
      <c r="E8972" s="27"/>
      <c r="F8972" t="s">
        <v>26</v>
      </c>
      <c r="G8972" s="28">
        <f>IFERROR(VLOOKUP(F8972,CARTON_LOOKUP!$A:$E,3,0),"")</f>
      </c>
      <c r="H8972" s="28">
        <f>IFERROR(VLOOKUP(F8972,CARTON_LOOKUP!$A:$E,4,0),"")</f>
      </c>
      <c r="I8972" s="28">
        <f>IFERROR(VLOOKUP(F8972,CARTON_LOOKUP!$A:$E,5,0),"")</f>
      </c>
      <c r="J8972" s="29">
        <f>IFERROR(VLOOKUP(F8972,CARTON_LOOKUP!$A:$E,2,0),"")</f>
      </c>
      <c r="K8972" s="29">
        <f>IFERROR(J8972*D8972,0)</f>
      </c>
      <c r="L8972" s="29">
        <f>IFERROR(E8972*C8972,0)</f>
      </c>
      <c r="M8972" s="29">
        <f>IFERROR((G8972*H8972*I8972/1000000)*D8972,0)</f>
      </c>
    </row>
    <row r="8973" spans="1:13" x14ac:dyDescent="0.25">
      <c r="A8973" s="16"/>
      <c r="E8973" s="27"/>
      <c r="F8973" t="s">
        <v>26</v>
      </c>
      <c r="G8973" s="28">
        <f>IFERROR(VLOOKUP(F8973,CARTON_LOOKUP!$A:$E,3,0),"")</f>
      </c>
      <c r="H8973" s="28">
        <f>IFERROR(VLOOKUP(F8973,CARTON_LOOKUP!$A:$E,4,0),"")</f>
      </c>
      <c r="I8973" s="28">
        <f>IFERROR(VLOOKUP(F8973,CARTON_LOOKUP!$A:$E,5,0),"")</f>
      </c>
      <c r="J8973" s="29">
        <f>IFERROR(VLOOKUP(F8973,CARTON_LOOKUP!$A:$E,2,0),"")</f>
      </c>
      <c r="K8973" s="29">
        <f>IFERROR(J8973*D8973,0)</f>
      </c>
      <c r="L8973" s="29">
        <f>IFERROR(E8973*C8973,0)</f>
      </c>
      <c r="M8973" s="29">
        <f>IFERROR((G8973*H8973*I8973/1000000)*D8973,0)</f>
      </c>
    </row>
    <row r="8974" spans="1:13" x14ac:dyDescent="0.25">
      <c r="A8974" s="16"/>
      <c r="E8974" s="27"/>
      <c r="F8974" t="s">
        <v>26</v>
      </c>
      <c r="G8974" s="28">
        <f>IFERROR(VLOOKUP(F8974,CARTON_LOOKUP!$A:$E,3,0),"")</f>
      </c>
      <c r="H8974" s="28">
        <f>IFERROR(VLOOKUP(F8974,CARTON_LOOKUP!$A:$E,4,0),"")</f>
      </c>
      <c r="I8974" s="28">
        <f>IFERROR(VLOOKUP(F8974,CARTON_LOOKUP!$A:$E,5,0),"")</f>
      </c>
      <c r="J8974" s="29">
        <f>IFERROR(VLOOKUP(F8974,CARTON_LOOKUP!$A:$E,2,0),"")</f>
      </c>
      <c r="K8974" s="29">
        <f>IFERROR(J8974*D8974,0)</f>
      </c>
      <c r="L8974" s="29">
        <f>IFERROR(E8974*C8974,0)</f>
      </c>
      <c r="M8974" s="29">
        <f>IFERROR((G8974*H8974*I8974/1000000)*D8974,0)</f>
      </c>
    </row>
    <row r="8975" spans="1:13" x14ac:dyDescent="0.25">
      <c r="A8975" s="16"/>
      <c r="E8975" s="27"/>
      <c r="F8975" t="s">
        <v>26</v>
      </c>
      <c r="G8975" s="28">
        <f>IFERROR(VLOOKUP(F8975,CARTON_LOOKUP!$A:$E,3,0),"")</f>
      </c>
      <c r="H8975" s="28">
        <f>IFERROR(VLOOKUP(F8975,CARTON_LOOKUP!$A:$E,4,0),"")</f>
      </c>
      <c r="I8975" s="28">
        <f>IFERROR(VLOOKUP(F8975,CARTON_LOOKUP!$A:$E,5,0),"")</f>
      </c>
      <c r="J8975" s="29">
        <f>IFERROR(VLOOKUP(F8975,CARTON_LOOKUP!$A:$E,2,0),"")</f>
      </c>
      <c r="K8975" s="29">
        <f>IFERROR(J8975*D8975,0)</f>
      </c>
      <c r="L8975" s="29">
        <f>IFERROR(E8975*C8975,0)</f>
      </c>
      <c r="M8975" s="29">
        <f>IFERROR((G8975*H8975*I8975/1000000)*D8975,0)</f>
      </c>
    </row>
    <row r="8976" spans="1:13" x14ac:dyDescent="0.25">
      <c r="A8976" s="16"/>
      <c r="E8976" s="27"/>
      <c r="F8976" t="s">
        <v>26</v>
      </c>
      <c r="G8976" s="28">
        <f>IFERROR(VLOOKUP(F8976,CARTON_LOOKUP!$A:$E,3,0),"")</f>
      </c>
      <c r="H8976" s="28">
        <f>IFERROR(VLOOKUP(F8976,CARTON_LOOKUP!$A:$E,4,0),"")</f>
      </c>
      <c r="I8976" s="28">
        <f>IFERROR(VLOOKUP(F8976,CARTON_LOOKUP!$A:$E,5,0),"")</f>
      </c>
      <c r="J8976" s="29">
        <f>IFERROR(VLOOKUP(F8976,CARTON_LOOKUP!$A:$E,2,0),"")</f>
      </c>
      <c r="K8976" s="29">
        <f>IFERROR(J8976*D8976,0)</f>
      </c>
      <c r="L8976" s="29">
        <f>IFERROR(E8976*C8976,0)</f>
      </c>
      <c r="M8976" s="29">
        <f>IFERROR((G8976*H8976*I8976/1000000)*D8976,0)</f>
      </c>
    </row>
    <row r="8977" spans="1:13" x14ac:dyDescent="0.25">
      <c r="A8977" s="16"/>
      <c r="E8977" s="27"/>
      <c r="F8977" t="s">
        <v>26</v>
      </c>
      <c r="G8977" s="28">
        <f>IFERROR(VLOOKUP(F8977,CARTON_LOOKUP!$A:$E,3,0),"")</f>
      </c>
      <c r="H8977" s="28">
        <f>IFERROR(VLOOKUP(F8977,CARTON_LOOKUP!$A:$E,4,0),"")</f>
      </c>
      <c r="I8977" s="28">
        <f>IFERROR(VLOOKUP(F8977,CARTON_LOOKUP!$A:$E,5,0),"")</f>
      </c>
      <c r="J8977" s="29">
        <f>IFERROR(VLOOKUP(F8977,CARTON_LOOKUP!$A:$E,2,0),"")</f>
      </c>
      <c r="K8977" s="29">
        <f>IFERROR(J8977*D8977,0)</f>
      </c>
      <c r="L8977" s="29">
        <f>IFERROR(E8977*C8977,0)</f>
      </c>
      <c r="M8977" s="29">
        <f>IFERROR((G8977*H8977*I8977/1000000)*D8977,0)</f>
      </c>
    </row>
    <row r="8978" spans="1:13" x14ac:dyDescent="0.25">
      <c r="A8978" s="16"/>
      <c r="E8978" s="27"/>
      <c r="F8978" t="s">
        <v>26</v>
      </c>
      <c r="G8978" s="28">
        <f>IFERROR(VLOOKUP(F8978,CARTON_LOOKUP!$A:$E,3,0),"")</f>
      </c>
      <c r="H8978" s="28">
        <f>IFERROR(VLOOKUP(F8978,CARTON_LOOKUP!$A:$E,4,0),"")</f>
      </c>
      <c r="I8978" s="28">
        <f>IFERROR(VLOOKUP(F8978,CARTON_LOOKUP!$A:$E,5,0),"")</f>
      </c>
      <c r="J8978" s="29">
        <f>IFERROR(VLOOKUP(F8978,CARTON_LOOKUP!$A:$E,2,0),"")</f>
      </c>
      <c r="K8978" s="29">
        <f>IFERROR(J8978*D8978,0)</f>
      </c>
      <c r="L8978" s="29">
        <f>IFERROR(E8978*C8978,0)</f>
      </c>
      <c r="M8978" s="29">
        <f>IFERROR((G8978*H8978*I8978/1000000)*D8978,0)</f>
      </c>
    </row>
    <row r="8979" spans="1:13" x14ac:dyDescent="0.25">
      <c r="A8979" s="16"/>
      <c r="E8979" s="27"/>
      <c r="F8979" t="s">
        <v>26</v>
      </c>
      <c r="G8979" s="28">
        <f>IFERROR(VLOOKUP(F8979,CARTON_LOOKUP!$A:$E,3,0),"")</f>
      </c>
      <c r="H8979" s="28">
        <f>IFERROR(VLOOKUP(F8979,CARTON_LOOKUP!$A:$E,4,0),"")</f>
      </c>
      <c r="I8979" s="28">
        <f>IFERROR(VLOOKUP(F8979,CARTON_LOOKUP!$A:$E,5,0),"")</f>
      </c>
      <c r="J8979" s="29">
        <f>IFERROR(VLOOKUP(F8979,CARTON_LOOKUP!$A:$E,2,0),"")</f>
      </c>
      <c r="K8979" s="29">
        <f>IFERROR(J8979*D8979,0)</f>
      </c>
      <c r="L8979" s="29">
        <f>IFERROR(E8979*C8979,0)</f>
      </c>
      <c r="M8979" s="29">
        <f>IFERROR((G8979*H8979*I8979/1000000)*D8979,0)</f>
      </c>
    </row>
    <row r="8980" spans="1:13" x14ac:dyDescent="0.25">
      <c r="A8980" s="16"/>
      <c r="E8980" s="27"/>
      <c r="F8980" t="s">
        <v>26</v>
      </c>
      <c r="G8980" s="28">
        <f>IFERROR(VLOOKUP(F8980,CARTON_LOOKUP!$A:$E,3,0),"")</f>
      </c>
      <c r="H8980" s="28">
        <f>IFERROR(VLOOKUP(F8980,CARTON_LOOKUP!$A:$E,4,0),"")</f>
      </c>
      <c r="I8980" s="28">
        <f>IFERROR(VLOOKUP(F8980,CARTON_LOOKUP!$A:$E,5,0),"")</f>
      </c>
      <c r="J8980" s="29">
        <f>IFERROR(VLOOKUP(F8980,CARTON_LOOKUP!$A:$E,2,0),"")</f>
      </c>
      <c r="K8980" s="29">
        <f>IFERROR(J8980*D8980,0)</f>
      </c>
      <c r="L8980" s="29">
        <f>IFERROR(E8980*C8980,0)</f>
      </c>
      <c r="M8980" s="29">
        <f>IFERROR((G8980*H8980*I8980/1000000)*D8980,0)</f>
      </c>
    </row>
    <row r="8981" spans="1:13" x14ac:dyDescent="0.25">
      <c r="A8981" s="16"/>
      <c r="E8981" s="27"/>
      <c r="F8981" t="s">
        <v>26</v>
      </c>
      <c r="G8981" s="28">
        <f>IFERROR(VLOOKUP(F8981,CARTON_LOOKUP!$A:$E,3,0),"")</f>
      </c>
      <c r="H8981" s="28">
        <f>IFERROR(VLOOKUP(F8981,CARTON_LOOKUP!$A:$E,4,0),"")</f>
      </c>
      <c r="I8981" s="28">
        <f>IFERROR(VLOOKUP(F8981,CARTON_LOOKUP!$A:$E,5,0),"")</f>
      </c>
      <c r="J8981" s="29">
        <f>IFERROR(VLOOKUP(F8981,CARTON_LOOKUP!$A:$E,2,0),"")</f>
      </c>
      <c r="K8981" s="29">
        <f>IFERROR(J8981*D8981,0)</f>
      </c>
      <c r="L8981" s="29">
        <f>IFERROR(E8981*C8981,0)</f>
      </c>
      <c r="M8981" s="29">
        <f>IFERROR((G8981*H8981*I8981/1000000)*D8981,0)</f>
      </c>
    </row>
    <row r="8982" spans="1:13" x14ac:dyDescent="0.25">
      <c r="A8982" s="16"/>
      <c r="E8982" s="27"/>
      <c r="F8982" t="s">
        <v>26</v>
      </c>
      <c r="G8982" s="28">
        <f>IFERROR(VLOOKUP(F8982,CARTON_LOOKUP!$A:$E,3,0),"")</f>
      </c>
      <c r="H8982" s="28">
        <f>IFERROR(VLOOKUP(F8982,CARTON_LOOKUP!$A:$E,4,0),"")</f>
      </c>
      <c r="I8982" s="28">
        <f>IFERROR(VLOOKUP(F8982,CARTON_LOOKUP!$A:$E,5,0),"")</f>
      </c>
      <c r="J8982" s="29">
        <f>IFERROR(VLOOKUP(F8982,CARTON_LOOKUP!$A:$E,2,0),"")</f>
      </c>
      <c r="K8982" s="29">
        <f>IFERROR(J8982*D8982,0)</f>
      </c>
      <c r="L8982" s="29">
        <f>IFERROR(E8982*C8982,0)</f>
      </c>
      <c r="M8982" s="29">
        <f>IFERROR((G8982*H8982*I8982/1000000)*D8982,0)</f>
      </c>
    </row>
    <row r="8983" spans="1:13" x14ac:dyDescent="0.25">
      <c r="A8983" s="16"/>
      <c r="E8983" s="27"/>
      <c r="F8983" t="s">
        <v>26</v>
      </c>
      <c r="G8983" s="28">
        <f>IFERROR(VLOOKUP(F8983,CARTON_LOOKUP!$A:$E,3,0),"")</f>
      </c>
      <c r="H8983" s="28">
        <f>IFERROR(VLOOKUP(F8983,CARTON_LOOKUP!$A:$E,4,0),"")</f>
      </c>
      <c r="I8983" s="28">
        <f>IFERROR(VLOOKUP(F8983,CARTON_LOOKUP!$A:$E,5,0),"")</f>
      </c>
      <c r="J8983" s="29">
        <f>IFERROR(VLOOKUP(F8983,CARTON_LOOKUP!$A:$E,2,0),"")</f>
      </c>
      <c r="K8983" s="29">
        <f>IFERROR(J8983*D8983,0)</f>
      </c>
      <c r="L8983" s="29">
        <f>IFERROR(E8983*C8983,0)</f>
      </c>
      <c r="M8983" s="29">
        <f>IFERROR((G8983*H8983*I8983/1000000)*D8983,0)</f>
      </c>
    </row>
    <row r="8984" spans="1:13" x14ac:dyDescent="0.25">
      <c r="A8984" s="16"/>
      <c r="E8984" s="27"/>
      <c r="F8984" t="s">
        <v>26</v>
      </c>
      <c r="G8984" s="28">
        <f>IFERROR(VLOOKUP(F8984,CARTON_LOOKUP!$A:$E,3,0),"")</f>
      </c>
      <c r="H8984" s="28">
        <f>IFERROR(VLOOKUP(F8984,CARTON_LOOKUP!$A:$E,4,0),"")</f>
      </c>
      <c r="I8984" s="28">
        <f>IFERROR(VLOOKUP(F8984,CARTON_LOOKUP!$A:$E,5,0),"")</f>
      </c>
      <c r="J8984" s="29">
        <f>IFERROR(VLOOKUP(F8984,CARTON_LOOKUP!$A:$E,2,0),"")</f>
      </c>
      <c r="K8984" s="29">
        <f>IFERROR(J8984*D8984,0)</f>
      </c>
      <c r="L8984" s="29">
        <f>IFERROR(E8984*C8984,0)</f>
      </c>
      <c r="M8984" s="29">
        <f>IFERROR((G8984*H8984*I8984/1000000)*D8984,0)</f>
      </c>
    </row>
    <row r="8985" spans="1:13" x14ac:dyDescent="0.25">
      <c r="A8985" s="16"/>
      <c r="E8985" s="27"/>
      <c r="F8985" t="s">
        <v>26</v>
      </c>
      <c r="G8985" s="28">
        <f>IFERROR(VLOOKUP(F8985,CARTON_LOOKUP!$A:$E,3,0),"")</f>
      </c>
      <c r="H8985" s="28">
        <f>IFERROR(VLOOKUP(F8985,CARTON_LOOKUP!$A:$E,4,0),"")</f>
      </c>
      <c r="I8985" s="28">
        <f>IFERROR(VLOOKUP(F8985,CARTON_LOOKUP!$A:$E,5,0),"")</f>
      </c>
      <c r="J8985" s="29">
        <f>IFERROR(VLOOKUP(F8985,CARTON_LOOKUP!$A:$E,2,0),"")</f>
      </c>
      <c r="K8985" s="29">
        <f>IFERROR(J8985*D8985,0)</f>
      </c>
      <c r="L8985" s="29">
        <f>IFERROR(E8985*C8985,0)</f>
      </c>
      <c r="M8985" s="29">
        <f>IFERROR((G8985*H8985*I8985/1000000)*D8985,0)</f>
      </c>
    </row>
    <row r="8986" spans="1:13" x14ac:dyDescent="0.25">
      <c r="A8986" s="16"/>
      <c r="E8986" s="27"/>
      <c r="F8986" t="s">
        <v>26</v>
      </c>
      <c r="G8986" s="28">
        <f>IFERROR(VLOOKUP(F8986,CARTON_LOOKUP!$A:$E,3,0),"")</f>
      </c>
      <c r="H8986" s="28">
        <f>IFERROR(VLOOKUP(F8986,CARTON_LOOKUP!$A:$E,4,0),"")</f>
      </c>
      <c r="I8986" s="28">
        <f>IFERROR(VLOOKUP(F8986,CARTON_LOOKUP!$A:$E,5,0),"")</f>
      </c>
      <c r="J8986" s="29">
        <f>IFERROR(VLOOKUP(F8986,CARTON_LOOKUP!$A:$E,2,0),"")</f>
      </c>
      <c r="K8986" s="29">
        <f>IFERROR(J8986*D8986,0)</f>
      </c>
      <c r="L8986" s="29">
        <f>IFERROR(E8986*C8986,0)</f>
      </c>
      <c r="M8986" s="29">
        <f>IFERROR((G8986*H8986*I8986/1000000)*D8986,0)</f>
      </c>
    </row>
    <row r="8987" spans="1:13" x14ac:dyDescent="0.25">
      <c r="A8987" s="16"/>
      <c r="E8987" s="27"/>
      <c r="F8987" t="s">
        <v>26</v>
      </c>
      <c r="G8987" s="28">
        <f>IFERROR(VLOOKUP(F8987,CARTON_LOOKUP!$A:$E,3,0),"")</f>
      </c>
      <c r="H8987" s="28">
        <f>IFERROR(VLOOKUP(F8987,CARTON_LOOKUP!$A:$E,4,0),"")</f>
      </c>
      <c r="I8987" s="28">
        <f>IFERROR(VLOOKUP(F8987,CARTON_LOOKUP!$A:$E,5,0),"")</f>
      </c>
      <c r="J8987" s="29">
        <f>IFERROR(VLOOKUP(F8987,CARTON_LOOKUP!$A:$E,2,0),"")</f>
      </c>
      <c r="K8987" s="29">
        <f>IFERROR(J8987*D8987,0)</f>
      </c>
      <c r="L8987" s="29">
        <f>IFERROR(E8987*C8987,0)</f>
      </c>
      <c r="M8987" s="29">
        <f>IFERROR((G8987*H8987*I8987/1000000)*D8987,0)</f>
      </c>
    </row>
    <row r="8988" spans="1:13" x14ac:dyDescent="0.25">
      <c r="A8988" s="16"/>
      <c r="E8988" s="27"/>
      <c r="F8988" t="s">
        <v>26</v>
      </c>
      <c r="G8988" s="28">
        <f>IFERROR(VLOOKUP(F8988,CARTON_LOOKUP!$A:$E,3,0),"")</f>
      </c>
      <c r="H8988" s="28">
        <f>IFERROR(VLOOKUP(F8988,CARTON_LOOKUP!$A:$E,4,0),"")</f>
      </c>
      <c r="I8988" s="28">
        <f>IFERROR(VLOOKUP(F8988,CARTON_LOOKUP!$A:$E,5,0),"")</f>
      </c>
      <c r="J8988" s="29">
        <f>IFERROR(VLOOKUP(F8988,CARTON_LOOKUP!$A:$E,2,0),"")</f>
      </c>
      <c r="K8988" s="29">
        <f>IFERROR(J8988*D8988,0)</f>
      </c>
      <c r="L8988" s="29">
        <f>IFERROR(E8988*C8988,0)</f>
      </c>
      <c r="M8988" s="29">
        <f>IFERROR((G8988*H8988*I8988/1000000)*D8988,0)</f>
      </c>
    </row>
    <row r="8989" spans="1:13" x14ac:dyDescent="0.25">
      <c r="A8989" s="16"/>
      <c r="E8989" s="27"/>
      <c r="F8989" t="s">
        <v>26</v>
      </c>
      <c r="G8989" s="28">
        <f>IFERROR(VLOOKUP(F8989,CARTON_LOOKUP!$A:$E,3,0),"")</f>
      </c>
      <c r="H8989" s="28">
        <f>IFERROR(VLOOKUP(F8989,CARTON_LOOKUP!$A:$E,4,0),"")</f>
      </c>
      <c r="I8989" s="28">
        <f>IFERROR(VLOOKUP(F8989,CARTON_LOOKUP!$A:$E,5,0),"")</f>
      </c>
      <c r="J8989" s="29">
        <f>IFERROR(VLOOKUP(F8989,CARTON_LOOKUP!$A:$E,2,0),"")</f>
      </c>
      <c r="K8989" s="29">
        <f>IFERROR(J8989*D8989,0)</f>
      </c>
      <c r="L8989" s="29">
        <f>IFERROR(E8989*C8989,0)</f>
      </c>
      <c r="M8989" s="29">
        <f>IFERROR((G8989*H8989*I8989/1000000)*D8989,0)</f>
      </c>
    </row>
    <row r="8990" spans="1:13" x14ac:dyDescent="0.25">
      <c r="A8990" s="16"/>
      <c r="E8990" s="27"/>
      <c r="F8990" t="s">
        <v>26</v>
      </c>
      <c r="G8990" s="28">
        <f>IFERROR(VLOOKUP(F8990,CARTON_LOOKUP!$A:$E,3,0),"")</f>
      </c>
      <c r="H8990" s="28">
        <f>IFERROR(VLOOKUP(F8990,CARTON_LOOKUP!$A:$E,4,0),"")</f>
      </c>
      <c r="I8990" s="28">
        <f>IFERROR(VLOOKUP(F8990,CARTON_LOOKUP!$A:$E,5,0),"")</f>
      </c>
      <c r="J8990" s="29">
        <f>IFERROR(VLOOKUP(F8990,CARTON_LOOKUP!$A:$E,2,0),"")</f>
      </c>
      <c r="K8990" s="29">
        <f>IFERROR(J8990*D8990,0)</f>
      </c>
      <c r="L8990" s="29">
        <f>IFERROR(E8990*C8990,0)</f>
      </c>
      <c r="M8990" s="29">
        <f>IFERROR((G8990*H8990*I8990/1000000)*D8990,0)</f>
      </c>
    </row>
    <row r="8991" spans="1:13" x14ac:dyDescent="0.25">
      <c r="A8991" s="16"/>
      <c r="E8991" s="27"/>
      <c r="F8991" t="s">
        <v>26</v>
      </c>
      <c r="G8991" s="28">
        <f>IFERROR(VLOOKUP(F8991,CARTON_LOOKUP!$A:$E,3,0),"")</f>
      </c>
      <c r="H8991" s="28">
        <f>IFERROR(VLOOKUP(F8991,CARTON_LOOKUP!$A:$E,4,0),"")</f>
      </c>
      <c r="I8991" s="28">
        <f>IFERROR(VLOOKUP(F8991,CARTON_LOOKUP!$A:$E,5,0),"")</f>
      </c>
      <c r="J8991" s="29">
        <f>IFERROR(VLOOKUP(F8991,CARTON_LOOKUP!$A:$E,2,0),"")</f>
      </c>
      <c r="K8991" s="29">
        <f>IFERROR(J8991*D8991,0)</f>
      </c>
      <c r="L8991" s="29">
        <f>IFERROR(E8991*C8991,0)</f>
      </c>
      <c r="M8991" s="29">
        <f>IFERROR((G8991*H8991*I8991/1000000)*D8991,0)</f>
      </c>
    </row>
    <row r="8992" spans="1:13" x14ac:dyDescent="0.25">
      <c r="A8992" s="16"/>
      <c r="E8992" s="27"/>
      <c r="F8992" t="s">
        <v>26</v>
      </c>
      <c r="G8992" s="28">
        <f>IFERROR(VLOOKUP(F8992,CARTON_LOOKUP!$A:$E,3,0),"")</f>
      </c>
      <c r="H8992" s="28">
        <f>IFERROR(VLOOKUP(F8992,CARTON_LOOKUP!$A:$E,4,0),"")</f>
      </c>
      <c r="I8992" s="28">
        <f>IFERROR(VLOOKUP(F8992,CARTON_LOOKUP!$A:$E,5,0),"")</f>
      </c>
      <c r="J8992" s="29">
        <f>IFERROR(VLOOKUP(F8992,CARTON_LOOKUP!$A:$E,2,0),"")</f>
      </c>
      <c r="K8992" s="29">
        <f>IFERROR(J8992*D8992,0)</f>
      </c>
      <c r="L8992" s="29">
        <f>IFERROR(E8992*C8992,0)</f>
      </c>
      <c r="M8992" s="29">
        <f>IFERROR((G8992*H8992*I8992/1000000)*D8992,0)</f>
      </c>
    </row>
    <row r="8993" spans="1:13" x14ac:dyDescent="0.25">
      <c r="A8993" s="16"/>
      <c r="E8993" s="27"/>
      <c r="F8993" t="s">
        <v>26</v>
      </c>
      <c r="G8993" s="28">
        <f>IFERROR(VLOOKUP(F8993,CARTON_LOOKUP!$A:$E,3,0),"")</f>
      </c>
      <c r="H8993" s="28">
        <f>IFERROR(VLOOKUP(F8993,CARTON_LOOKUP!$A:$E,4,0),"")</f>
      </c>
      <c r="I8993" s="28">
        <f>IFERROR(VLOOKUP(F8993,CARTON_LOOKUP!$A:$E,5,0),"")</f>
      </c>
      <c r="J8993" s="29">
        <f>IFERROR(VLOOKUP(F8993,CARTON_LOOKUP!$A:$E,2,0),"")</f>
      </c>
      <c r="K8993" s="29">
        <f>IFERROR(J8993*D8993,0)</f>
      </c>
      <c r="L8993" s="29">
        <f>IFERROR(E8993*C8993,0)</f>
      </c>
      <c r="M8993" s="29">
        <f>IFERROR((G8993*H8993*I8993/1000000)*D8993,0)</f>
      </c>
    </row>
    <row r="8994" spans="1:13" x14ac:dyDescent="0.25">
      <c r="A8994" s="16"/>
      <c r="E8994" s="27"/>
      <c r="F8994" t="s">
        <v>26</v>
      </c>
      <c r="G8994" s="28">
        <f>IFERROR(VLOOKUP(F8994,CARTON_LOOKUP!$A:$E,3,0),"")</f>
      </c>
      <c r="H8994" s="28">
        <f>IFERROR(VLOOKUP(F8994,CARTON_LOOKUP!$A:$E,4,0),"")</f>
      </c>
      <c r="I8994" s="28">
        <f>IFERROR(VLOOKUP(F8994,CARTON_LOOKUP!$A:$E,5,0),"")</f>
      </c>
      <c r="J8994" s="29">
        <f>IFERROR(VLOOKUP(F8994,CARTON_LOOKUP!$A:$E,2,0),"")</f>
      </c>
      <c r="K8994" s="29">
        <f>IFERROR(J8994*D8994,0)</f>
      </c>
      <c r="L8994" s="29">
        <f>IFERROR(E8994*C8994,0)</f>
      </c>
      <c r="M8994" s="29">
        <f>IFERROR((G8994*H8994*I8994/1000000)*D8994,0)</f>
      </c>
    </row>
    <row r="8995" spans="1:13" x14ac:dyDescent="0.25">
      <c r="A8995" s="16"/>
      <c r="E8995" s="27"/>
      <c r="F8995" t="s">
        <v>26</v>
      </c>
      <c r="G8995" s="28">
        <f>IFERROR(VLOOKUP(F8995,CARTON_LOOKUP!$A:$E,3,0),"")</f>
      </c>
      <c r="H8995" s="28">
        <f>IFERROR(VLOOKUP(F8995,CARTON_LOOKUP!$A:$E,4,0),"")</f>
      </c>
      <c r="I8995" s="28">
        <f>IFERROR(VLOOKUP(F8995,CARTON_LOOKUP!$A:$E,5,0),"")</f>
      </c>
      <c r="J8995" s="29">
        <f>IFERROR(VLOOKUP(F8995,CARTON_LOOKUP!$A:$E,2,0),"")</f>
      </c>
      <c r="K8995" s="29">
        <f>IFERROR(J8995*D8995,0)</f>
      </c>
      <c r="L8995" s="29">
        <f>IFERROR(E8995*C8995,0)</f>
      </c>
      <c r="M8995" s="29">
        <f>IFERROR((G8995*H8995*I8995/1000000)*D8995,0)</f>
      </c>
    </row>
    <row r="8996" spans="1:13" x14ac:dyDescent="0.25">
      <c r="A8996" s="16"/>
      <c r="E8996" s="27"/>
      <c r="F8996" t="s">
        <v>26</v>
      </c>
      <c r="G8996" s="28">
        <f>IFERROR(VLOOKUP(F8996,CARTON_LOOKUP!$A:$E,3,0),"")</f>
      </c>
      <c r="H8996" s="28">
        <f>IFERROR(VLOOKUP(F8996,CARTON_LOOKUP!$A:$E,4,0),"")</f>
      </c>
      <c r="I8996" s="28">
        <f>IFERROR(VLOOKUP(F8996,CARTON_LOOKUP!$A:$E,5,0),"")</f>
      </c>
      <c r="J8996" s="29">
        <f>IFERROR(VLOOKUP(F8996,CARTON_LOOKUP!$A:$E,2,0),"")</f>
      </c>
      <c r="K8996" s="29">
        <f>IFERROR(J8996*D8996,0)</f>
      </c>
      <c r="L8996" s="29">
        <f>IFERROR(E8996*C8996,0)</f>
      </c>
      <c r="M8996" s="29">
        <f>IFERROR((G8996*H8996*I8996/1000000)*D8996,0)</f>
      </c>
    </row>
    <row r="8997" spans="1:13" x14ac:dyDescent="0.25">
      <c r="A8997" s="16"/>
      <c r="E8997" s="27"/>
      <c r="F8997" t="s">
        <v>26</v>
      </c>
      <c r="G8997" s="28">
        <f>IFERROR(VLOOKUP(F8997,CARTON_LOOKUP!$A:$E,3,0),"")</f>
      </c>
      <c r="H8997" s="28">
        <f>IFERROR(VLOOKUP(F8997,CARTON_LOOKUP!$A:$E,4,0),"")</f>
      </c>
      <c r="I8997" s="28">
        <f>IFERROR(VLOOKUP(F8997,CARTON_LOOKUP!$A:$E,5,0),"")</f>
      </c>
      <c r="J8997" s="29">
        <f>IFERROR(VLOOKUP(F8997,CARTON_LOOKUP!$A:$E,2,0),"")</f>
      </c>
      <c r="K8997" s="29">
        <f>IFERROR(J8997*D8997,0)</f>
      </c>
      <c r="L8997" s="29">
        <f>IFERROR(E8997*C8997,0)</f>
      </c>
      <c r="M8997" s="29">
        <f>IFERROR((G8997*H8997*I8997/1000000)*D8997,0)</f>
      </c>
    </row>
    <row r="8998" spans="1:13" x14ac:dyDescent="0.25">
      <c r="A8998" s="16"/>
      <c r="E8998" s="27"/>
      <c r="F8998" t="s">
        <v>26</v>
      </c>
      <c r="G8998" s="28">
        <f>IFERROR(VLOOKUP(F8998,CARTON_LOOKUP!$A:$E,3,0),"")</f>
      </c>
      <c r="H8998" s="28">
        <f>IFERROR(VLOOKUP(F8998,CARTON_LOOKUP!$A:$E,4,0),"")</f>
      </c>
      <c r="I8998" s="28">
        <f>IFERROR(VLOOKUP(F8998,CARTON_LOOKUP!$A:$E,5,0),"")</f>
      </c>
      <c r="J8998" s="29">
        <f>IFERROR(VLOOKUP(F8998,CARTON_LOOKUP!$A:$E,2,0),"")</f>
      </c>
      <c r="K8998" s="29">
        <f>IFERROR(J8998*D8998,0)</f>
      </c>
      <c r="L8998" s="29">
        <f>IFERROR(E8998*C8998,0)</f>
      </c>
      <c r="M8998" s="29">
        <f>IFERROR((G8998*H8998*I8998/1000000)*D8998,0)</f>
      </c>
    </row>
    <row r="8999" spans="1:13" x14ac:dyDescent="0.25">
      <c r="A8999" s="16"/>
      <c r="E8999" s="27"/>
      <c r="F8999" t="s">
        <v>26</v>
      </c>
      <c r="G8999" s="28">
        <f>IFERROR(VLOOKUP(F8999,CARTON_LOOKUP!$A:$E,3,0),"")</f>
      </c>
      <c r="H8999" s="28">
        <f>IFERROR(VLOOKUP(F8999,CARTON_LOOKUP!$A:$E,4,0),"")</f>
      </c>
      <c r="I8999" s="28">
        <f>IFERROR(VLOOKUP(F8999,CARTON_LOOKUP!$A:$E,5,0),"")</f>
      </c>
      <c r="J8999" s="29">
        <f>IFERROR(VLOOKUP(F8999,CARTON_LOOKUP!$A:$E,2,0),"")</f>
      </c>
      <c r="K8999" s="29">
        <f>IFERROR(J8999*D8999,0)</f>
      </c>
      <c r="L8999" s="29">
        <f>IFERROR(E8999*C8999,0)</f>
      </c>
      <c r="M8999" s="29">
        <f>IFERROR((G8999*H8999*I8999/1000000)*D8999,0)</f>
      </c>
    </row>
    <row r="9000" spans="1:13" x14ac:dyDescent="0.25">
      <c r="A9000" s="16"/>
      <c r="E9000" s="27"/>
      <c r="F9000" t="s">
        <v>26</v>
      </c>
      <c r="G9000" s="28">
        <f>IFERROR(VLOOKUP(F9000,CARTON_LOOKUP!$A:$E,3,0),"")</f>
      </c>
      <c r="H9000" s="28">
        <f>IFERROR(VLOOKUP(F9000,CARTON_LOOKUP!$A:$E,4,0),"")</f>
      </c>
      <c r="I9000" s="28">
        <f>IFERROR(VLOOKUP(F9000,CARTON_LOOKUP!$A:$E,5,0),"")</f>
      </c>
      <c r="J9000" s="29">
        <f>IFERROR(VLOOKUP(F9000,CARTON_LOOKUP!$A:$E,2,0),"")</f>
      </c>
      <c r="K9000" s="29">
        <f>IFERROR(J9000*D9000,0)</f>
      </c>
      <c r="L9000" s="29">
        <f>IFERROR(E9000*C9000,0)</f>
      </c>
      <c r="M9000" s="29">
        <f>IFERROR((G9000*H9000*I9000/1000000)*D9000,0)</f>
      </c>
    </row>
    <row r="9001" spans="1:13" x14ac:dyDescent="0.25">
      <c r="A9001" s="16"/>
      <c r="E9001" s="27"/>
      <c r="F9001" t="s">
        <v>26</v>
      </c>
      <c r="G9001" s="28">
        <f>IFERROR(VLOOKUP(F9001,CARTON_LOOKUP!$A:$E,3,0),"")</f>
      </c>
      <c r="H9001" s="28">
        <f>IFERROR(VLOOKUP(F9001,CARTON_LOOKUP!$A:$E,4,0),"")</f>
      </c>
      <c r="I9001" s="28">
        <f>IFERROR(VLOOKUP(F9001,CARTON_LOOKUP!$A:$E,5,0),"")</f>
      </c>
      <c r="J9001" s="29">
        <f>IFERROR(VLOOKUP(F9001,CARTON_LOOKUP!$A:$E,2,0),"")</f>
      </c>
      <c r="K9001" s="29">
        <f>IFERROR(J9001*D9001,0)</f>
      </c>
      <c r="L9001" s="29">
        <f>IFERROR(E9001*C9001,0)</f>
      </c>
      <c r="M9001" s="29">
        <f>IFERROR((G9001*H9001*I9001/1000000)*D9001,0)</f>
      </c>
    </row>
    <row r="9002" spans="1:13" x14ac:dyDescent="0.25">
      <c r="A9002" s="16"/>
      <c r="E9002" s="27"/>
      <c r="F9002" t="s">
        <v>26</v>
      </c>
      <c r="G9002" s="28">
        <f>IFERROR(VLOOKUP(F9002,CARTON_LOOKUP!$A:$E,3,0),"")</f>
      </c>
      <c r="H9002" s="28">
        <f>IFERROR(VLOOKUP(F9002,CARTON_LOOKUP!$A:$E,4,0),"")</f>
      </c>
      <c r="I9002" s="28">
        <f>IFERROR(VLOOKUP(F9002,CARTON_LOOKUP!$A:$E,5,0),"")</f>
      </c>
      <c r="J9002" s="29">
        <f>IFERROR(VLOOKUP(F9002,CARTON_LOOKUP!$A:$E,2,0),"")</f>
      </c>
      <c r="K9002" s="29">
        <f>IFERROR(J9002*D9002,0)</f>
      </c>
      <c r="L9002" s="29">
        <f>IFERROR(E9002*C9002,0)</f>
      </c>
      <c r="M9002" s="29">
        <f>IFERROR((G9002*H9002*I9002/1000000)*D9002,0)</f>
      </c>
    </row>
    <row r="9003" spans="1:13" x14ac:dyDescent="0.25">
      <c r="A9003" s="16"/>
      <c r="E9003" s="27"/>
      <c r="F9003" t="s">
        <v>26</v>
      </c>
      <c r="G9003" s="28">
        <f>IFERROR(VLOOKUP(F9003,CARTON_LOOKUP!$A:$E,3,0),"")</f>
      </c>
      <c r="H9003" s="28">
        <f>IFERROR(VLOOKUP(F9003,CARTON_LOOKUP!$A:$E,4,0),"")</f>
      </c>
      <c r="I9003" s="28">
        <f>IFERROR(VLOOKUP(F9003,CARTON_LOOKUP!$A:$E,5,0),"")</f>
      </c>
      <c r="J9003" s="29">
        <f>IFERROR(VLOOKUP(F9003,CARTON_LOOKUP!$A:$E,2,0),"")</f>
      </c>
      <c r="K9003" s="29">
        <f>IFERROR(J9003*D9003,0)</f>
      </c>
      <c r="L9003" s="29">
        <f>IFERROR(E9003*C9003,0)</f>
      </c>
      <c r="M9003" s="29">
        <f>IFERROR((G9003*H9003*I9003/1000000)*D9003,0)</f>
      </c>
    </row>
    <row r="9004" spans="1:13" x14ac:dyDescent="0.25">
      <c r="A9004" s="16"/>
      <c r="E9004" s="27"/>
      <c r="F9004" t="s">
        <v>26</v>
      </c>
      <c r="G9004" s="28">
        <f>IFERROR(VLOOKUP(F9004,CARTON_LOOKUP!$A:$E,3,0),"")</f>
      </c>
      <c r="H9004" s="28">
        <f>IFERROR(VLOOKUP(F9004,CARTON_LOOKUP!$A:$E,4,0),"")</f>
      </c>
      <c r="I9004" s="28">
        <f>IFERROR(VLOOKUP(F9004,CARTON_LOOKUP!$A:$E,5,0),"")</f>
      </c>
      <c r="J9004" s="29">
        <f>IFERROR(VLOOKUP(F9004,CARTON_LOOKUP!$A:$E,2,0),"")</f>
      </c>
      <c r="K9004" s="29">
        <f>IFERROR(J9004*D9004,0)</f>
      </c>
      <c r="L9004" s="29">
        <f>IFERROR(E9004*C9004,0)</f>
      </c>
      <c r="M9004" s="29">
        <f>IFERROR((G9004*H9004*I9004/1000000)*D9004,0)</f>
      </c>
    </row>
    <row r="9005" spans="1:13" x14ac:dyDescent="0.25">
      <c r="A9005" s="16"/>
      <c r="E9005" s="27"/>
      <c r="F9005" t="s">
        <v>26</v>
      </c>
      <c r="G9005" s="28">
        <f>IFERROR(VLOOKUP(F9005,CARTON_LOOKUP!$A:$E,3,0),"")</f>
      </c>
      <c r="H9005" s="28">
        <f>IFERROR(VLOOKUP(F9005,CARTON_LOOKUP!$A:$E,4,0),"")</f>
      </c>
      <c r="I9005" s="28">
        <f>IFERROR(VLOOKUP(F9005,CARTON_LOOKUP!$A:$E,5,0),"")</f>
      </c>
      <c r="J9005" s="29">
        <f>IFERROR(VLOOKUP(F9005,CARTON_LOOKUP!$A:$E,2,0),"")</f>
      </c>
      <c r="K9005" s="29">
        <f>IFERROR(J9005*D9005,0)</f>
      </c>
      <c r="L9005" s="29">
        <f>IFERROR(E9005*C9005,0)</f>
      </c>
      <c r="M9005" s="29">
        <f>IFERROR((G9005*H9005*I9005/1000000)*D9005,0)</f>
      </c>
    </row>
    <row r="9006" spans="1:13" x14ac:dyDescent="0.25">
      <c r="A9006" s="16"/>
      <c r="E9006" s="27"/>
      <c r="F9006" t="s">
        <v>26</v>
      </c>
      <c r="G9006" s="28">
        <f>IFERROR(VLOOKUP(F9006,CARTON_LOOKUP!$A:$E,3,0),"")</f>
      </c>
      <c r="H9006" s="28">
        <f>IFERROR(VLOOKUP(F9006,CARTON_LOOKUP!$A:$E,4,0),"")</f>
      </c>
      <c r="I9006" s="28">
        <f>IFERROR(VLOOKUP(F9006,CARTON_LOOKUP!$A:$E,5,0),"")</f>
      </c>
      <c r="J9006" s="29">
        <f>IFERROR(VLOOKUP(F9006,CARTON_LOOKUP!$A:$E,2,0),"")</f>
      </c>
      <c r="K9006" s="29">
        <f>IFERROR(J9006*D9006,0)</f>
      </c>
      <c r="L9006" s="29">
        <f>IFERROR(E9006*C9006,0)</f>
      </c>
      <c r="M9006" s="29">
        <f>IFERROR((G9006*H9006*I9006/1000000)*D9006,0)</f>
      </c>
    </row>
    <row r="9007" spans="1:13" x14ac:dyDescent="0.25">
      <c r="A9007" s="16"/>
      <c r="E9007" s="27"/>
      <c r="F9007" t="s">
        <v>26</v>
      </c>
      <c r="G9007" s="28">
        <f>IFERROR(VLOOKUP(F9007,CARTON_LOOKUP!$A:$E,3,0),"")</f>
      </c>
      <c r="H9007" s="28">
        <f>IFERROR(VLOOKUP(F9007,CARTON_LOOKUP!$A:$E,4,0),"")</f>
      </c>
      <c r="I9007" s="28">
        <f>IFERROR(VLOOKUP(F9007,CARTON_LOOKUP!$A:$E,5,0),"")</f>
      </c>
      <c r="J9007" s="29">
        <f>IFERROR(VLOOKUP(F9007,CARTON_LOOKUP!$A:$E,2,0),"")</f>
      </c>
      <c r="K9007" s="29">
        <f>IFERROR(J9007*D9007,0)</f>
      </c>
      <c r="L9007" s="29">
        <f>IFERROR(E9007*C9007,0)</f>
      </c>
      <c r="M9007" s="29">
        <f>IFERROR((G9007*H9007*I9007/1000000)*D9007,0)</f>
      </c>
    </row>
    <row r="9008" spans="1:13" x14ac:dyDescent="0.25">
      <c r="A9008" s="16"/>
      <c r="E9008" s="27"/>
      <c r="F9008" t="s">
        <v>26</v>
      </c>
      <c r="G9008" s="28">
        <f>IFERROR(VLOOKUP(F9008,CARTON_LOOKUP!$A:$E,3,0),"")</f>
      </c>
      <c r="H9008" s="28">
        <f>IFERROR(VLOOKUP(F9008,CARTON_LOOKUP!$A:$E,4,0),"")</f>
      </c>
      <c r="I9008" s="28">
        <f>IFERROR(VLOOKUP(F9008,CARTON_LOOKUP!$A:$E,5,0),"")</f>
      </c>
      <c r="J9008" s="29">
        <f>IFERROR(VLOOKUP(F9008,CARTON_LOOKUP!$A:$E,2,0),"")</f>
      </c>
      <c r="K9008" s="29">
        <f>IFERROR(J9008*D9008,0)</f>
      </c>
      <c r="L9008" s="29">
        <f>IFERROR(E9008*C9008,0)</f>
      </c>
      <c r="M9008" s="29">
        <f>IFERROR((G9008*H9008*I9008/1000000)*D9008,0)</f>
      </c>
    </row>
    <row r="9009" spans="1:13" x14ac:dyDescent="0.25">
      <c r="A9009" s="16"/>
      <c r="E9009" s="27"/>
      <c r="F9009" t="s">
        <v>26</v>
      </c>
      <c r="G9009" s="28">
        <f>IFERROR(VLOOKUP(F9009,CARTON_LOOKUP!$A:$E,3,0),"")</f>
      </c>
      <c r="H9009" s="28">
        <f>IFERROR(VLOOKUP(F9009,CARTON_LOOKUP!$A:$E,4,0),"")</f>
      </c>
      <c r="I9009" s="28">
        <f>IFERROR(VLOOKUP(F9009,CARTON_LOOKUP!$A:$E,5,0),"")</f>
      </c>
      <c r="J9009" s="29">
        <f>IFERROR(VLOOKUP(F9009,CARTON_LOOKUP!$A:$E,2,0),"")</f>
      </c>
      <c r="K9009" s="29">
        <f>IFERROR(J9009*D9009,0)</f>
      </c>
      <c r="L9009" s="29">
        <f>IFERROR(E9009*C9009,0)</f>
      </c>
      <c r="M9009" s="29">
        <f>IFERROR((G9009*H9009*I9009/1000000)*D9009,0)</f>
      </c>
    </row>
    <row r="9010" spans="1:13" x14ac:dyDescent="0.25">
      <c r="A9010" s="16"/>
      <c r="E9010" s="27"/>
      <c r="F9010" t="s">
        <v>26</v>
      </c>
      <c r="G9010" s="28">
        <f>IFERROR(VLOOKUP(F9010,CARTON_LOOKUP!$A:$E,3,0),"")</f>
      </c>
      <c r="H9010" s="28">
        <f>IFERROR(VLOOKUP(F9010,CARTON_LOOKUP!$A:$E,4,0),"")</f>
      </c>
      <c r="I9010" s="28">
        <f>IFERROR(VLOOKUP(F9010,CARTON_LOOKUP!$A:$E,5,0),"")</f>
      </c>
      <c r="J9010" s="29">
        <f>IFERROR(VLOOKUP(F9010,CARTON_LOOKUP!$A:$E,2,0),"")</f>
      </c>
      <c r="K9010" s="29">
        <f>IFERROR(J9010*D9010,0)</f>
      </c>
      <c r="L9010" s="29">
        <f>IFERROR(E9010*C9010,0)</f>
      </c>
      <c r="M9010" s="29">
        <f>IFERROR((G9010*H9010*I9010/1000000)*D9010,0)</f>
      </c>
    </row>
    <row r="9011" spans="1:13" x14ac:dyDescent="0.25">
      <c r="A9011" s="16"/>
      <c r="E9011" s="27"/>
      <c r="F9011" t="s">
        <v>26</v>
      </c>
      <c r="G9011" s="28">
        <f>IFERROR(VLOOKUP(F9011,CARTON_LOOKUP!$A:$E,3,0),"")</f>
      </c>
      <c r="H9011" s="28">
        <f>IFERROR(VLOOKUP(F9011,CARTON_LOOKUP!$A:$E,4,0),"")</f>
      </c>
      <c r="I9011" s="28">
        <f>IFERROR(VLOOKUP(F9011,CARTON_LOOKUP!$A:$E,5,0),"")</f>
      </c>
      <c r="J9011" s="29">
        <f>IFERROR(VLOOKUP(F9011,CARTON_LOOKUP!$A:$E,2,0),"")</f>
      </c>
      <c r="K9011" s="29">
        <f>IFERROR(J9011*D9011,0)</f>
      </c>
      <c r="L9011" s="29">
        <f>IFERROR(E9011*C9011,0)</f>
      </c>
      <c r="M9011" s="29">
        <f>IFERROR((G9011*H9011*I9011/1000000)*D9011,0)</f>
      </c>
    </row>
    <row r="9012" spans="1:13" x14ac:dyDescent="0.25">
      <c r="A9012" s="16"/>
      <c r="E9012" s="27"/>
      <c r="F9012" t="s">
        <v>26</v>
      </c>
      <c r="G9012" s="28">
        <f>IFERROR(VLOOKUP(F9012,CARTON_LOOKUP!$A:$E,3,0),"")</f>
      </c>
      <c r="H9012" s="28">
        <f>IFERROR(VLOOKUP(F9012,CARTON_LOOKUP!$A:$E,4,0),"")</f>
      </c>
      <c r="I9012" s="28">
        <f>IFERROR(VLOOKUP(F9012,CARTON_LOOKUP!$A:$E,5,0),"")</f>
      </c>
      <c r="J9012" s="29">
        <f>IFERROR(VLOOKUP(F9012,CARTON_LOOKUP!$A:$E,2,0),"")</f>
      </c>
      <c r="K9012" s="29">
        <f>IFERROR(J9012*D9012,0)</f>
      </c>
      <c r="L9012" s="29">
        <f>IFERROR(E9012*C9012,0)</f>
      </c>
      <c r="M9012" s="29">
        <f>IFERROR((G9012*H9012*I9012/1000000)*D9012,0)</f>
      </c>
    </row>
    <row r="9013" spans="1:13" x14ac:dyDescent="0.25">
      <c r="A9013" s="16"/>
      <c r="E9013" s="27"/>
      <c r="F9013" t="s">
        <v>26</v>
      </c>
      <c r="G9013" s="28">
        <f>IFERROR(VLOOKUP(F9013,CARTON_LOOKUP!$A:$E,3,0),"")</f>
      </c>
      <c r="H9013" s="28">
        <f>IFERROR(VLOOKUP(F9013,CARTON_LOOKUP!$A:$E,4,0),"")</f>
      </c>
      <c r="I9013" s="28">
        <f>IFERROR(VLOOKUP(F9013,CARTON_LOOKUP!$A:$E,5,0),"")</f>
      </c>
      <c r="J9013" s="29">
        <f>IFERROR(VLOOKUP(F9013,CARTON_LOOKUP!$A:$E,2,0),"")</f>
      </c>
      <c r="K9013" s="29">
        <f>IFERROR(J9013*D9013,0)</f>
      </c>
      <c r="L9013" s="29">
        <f>IFERROR(E9013*C9013,0)</f>
      </c>
      <c r="M9013" s="29">
        <f>IFERROR((G9013*H9013*I9013/1000000)*D9013,0)</f>
      </c>
    </row>
    <row r="9014" spans="1:13" x14ac:dyDescent="0.25">
      <c r="A9014" s="16"/>
      <c r="E9014" s="27"/>
      <c r="F9014" t="s">
        <v>26</v>
      </c>
      <c r="G9014" s="28">
        <f>IFERROR(VLOOKUP(F9014,CARTON_LOOKUP!$A:$E,3,0),"")</f>
      </c>
      <c r="H9014" s="28">
        <f>IFERROR(VLOOKUP(F9014,CARTON_LOOKUP!$A:$E,4,0),"")</f>
      </c>
      <c r="I9014" s="28">
        <f>IFERROR(VLOOKUP(F9014,CARTON_LOOKUP!$A:$E,5,0),"")</f>
      </c>
      <c r="J9014" s="29">
        <f>IFERROR(VLOOKUP(F9014,CARTON_LOOKUP!$A:$E,2,0),"")</f>
      </c>
      <c r="K9014" s="29">
        <f>IFERROR(J9014*D9014,0)</f>
      </c>
      <c r="L9014" s="29">
        <f>IFERROR(E9014*C9014,0)</f>
      </c>
      <c r="M9014" s="29">
        <f>IFERROR((G9014*H9014*I9014/1000000)*D9014,0)</f>
      </c>
    </row>
    <row r="9015" spans="1:13" x14ac:dyDescent="0.25">
      <c r="A9015" s="16"/>
      <c r="E9015" s="27"/>
      <c r="F9015" t="s">
        <v>26</v>
      </c>
      <c r="G9015" s="28">
        <f>IFERROR(VLOOKUP(F9015,CARTON_LOOKUP!$A:$E,3,0),"")</f>
      </c>
      <c r="H9015" s="28">
        <f>IFERROR(VLOOKUP(F9015,CARTON_LOOKUP!$A:$E,4,0),"")</f>
      </c>
      <c r="I9015" s="28">
        <f>IFERROR(VLOOKUP(F9015,CARTON_LOOKUP!$A:$E,5,0),"")</f>
      </c>
      <c r="J9015" s="29">
        <f>IFERROR(VLOOKUP(F9015,CARTON_LOOKUP!$A:$E,2,0),"")</f>
      </c>
      <c r="K9015" s="29">
        <f>IFERROR(J9015*D9015,0)</f>
      </c>
      <c r="L9015" s="29">
        <f>IFERROR(E9015*C9015,0)</f>
      </c>
      <c r="M9015" s="29">
        <f>IFERROR((G9015*H9015*I9015/1000000)*D9015,0)</f>
      </c>
    </row>
    <row r="9016" spans="1:13" x14ac:dyDescent="0.25">
      <c r="A9016" s="16"/>
      <c r="E9016" s="27"/>
      <c r="F9016" t="s">
        <v>26</v>
      </c>
      <c r="G9016" s="28">
        <f>IFERROR(VLOOKUP(F9016,CARTON_LOOKUP!$A:$E,3,0),"")</f>
      </c>
      <c r="H9016" s="28">
        <f>IFERROR(VLOOKUP(F9016,CARTON_LOOKUP!$A:$E,4,0),"")</f>
      </c>
      <c r="I9016" s="28">
        <f>IFERROR(VLOOKUP(F9016,CARTON_LOOKUP!$A:$E,5,0),"")</f>
      </c>
      <c r="J9016" s="29">
        <f>IFERROR(VLOOKUP(F9016,CARTON_LOOKUP!$A:$E,2,0),"")</f>
      </c>
      <c r="K9016" s="29">
        <f>IFERROR(J9016*D9016,0)</f>
      </c>
      <c r="L9016" s="29">
        <f>IFERROR(E9016*C9016,0)</f>
      </c>
      <c r="M9016" s="29">
        <f>IFERROR((G9016*H9016*I9016/1000000)*D9016,0)</f>
      </c>
    </row>
    <row r="9017" spans="1:13" x14ac:dyDescent="0.25">
      <c r="A9017" s="16"/>
      <c r="E9017" s="27"/>
      <c r="F9017" t="s">
        <v>26</v>
      </c>
      <c r="G9017" s="28">
        <f>IFERROR(VLOOKUP(F9017,CARTON_LOOKUP!$A:$E,3,0),"")</f>
      </c>
      <c r="H9017" s="28">
        <f>IFERROR(VLOOKUP(F9017,CARTON_LOOKUP!$A:$E,4,0),"")</f>
      </c>
      <c r="I9017" s="28">
        <f>IFERROR(VLOOKUP(F9017,CARTON_LOOKUP!$A:$E,5,0),"")</f>
      </c>
      <c r="J9017" s="29">
        <f>IFERROR(VLOOKUP(F9017,CARTON_LOOKUP!$A:$E,2,0),"")</f>
      </c>
      <c r="K9017" s="29">
        <f>IFERROR(J9017*D9017,0)</f>
      </c>
      <c r="L9017" s="29">
        <f>IFERROR(E9017*C9017,0)</f>
      </c>
      <c r="M9017" s="29">
        <f>IFERROR((G9017*H9017*I9017/1000000)*D9017,0)</f>
      </c>
    </row>
    <row r="9018" spans="1:13" x14ac:dyDescent="0.25">
      <c r="A9018" s="16"/>
      <c r="E9018" s="27"/>
      <c r="F9018" t="s">
        <v>26</v>
      </c>
      <c r="G9018" s="28">
        <f>IFERROR(VLOOKUP(F9018,CARTON_LOOKUP!$A:$E,3,0),"")</f>
      </c>
      <c r="H9018" s="28">
        <f>IFERROR(VLOOKUP(F9018,CARTON_LOOKUP!$A:$E,4,0),"")</f>
      </c>
      <c r="I9018" s="28">
        <f>IFERROR(VLOOKUP(F9018,CARTON_LOOKUP!$A:$E,5,0),"")</f>
      </c>
      <c r="J9018" s="29">
        <f>IFERROR(VLOOKUP(F9018,CARTON_LOOKUP!$A:$E,2,0),"")</f>
      </c>
      <c r="K9018" s="29">
        <f>IFERROR(J9018*D9018,0)</f>
      </c>
      <c r="L9018" s="29">
        <f>IFERROR(E9018*C9018,0)</f>
      </c>
      <c r="M9018" s="29">
        <f>IFERROR((G9018*H9018*I9018/1000000)*D9018,0)</f>
      </c>
    </row>
    <row r="9019" spans="1:13" x14ac:dyDescent="0.25">
      <c r="A9019" s="16"/>
      <c r="E9019" s="27"/>
      <c r="F9019" t="s">
        <v>26</v>
      </c>
      <c r="G9019" s="28">
        <f>IFERROR(VLOOKUP(F9019,CARTON_LOOKUP!$A:$E,3,0),"")</f>
      </c>
      <c r="H9019" s="28">
        <f>IFERROR(VLOOKUP(F9019,CARTON_LOOKUP!$A:$E,4,0),"")</f>
      </c>
      <c r="I9019" s="28">
        <f>IFERROR(VLOOKUP(F9019,CARTON_LOOKUP!$A:$E,5,0),"")</f>
      </c>
      <c r="J9019" s="29">
        <f>IFERROR(VLOOKUP(F9019,CARTON_LOOKUP!$A:$E,2,0),"")</f>
      </c>
      <c r="K9019" s="29">
        <f>IFERROR(J9019*D9019,0)</f>
      </c>
      <c r="L9019" s="29">
        <f>IFERROR(E9019*C9019,0)</f>
      </c>
      <c r="M9019" s="29">
        <f>IFERROR((G9019*H9019*I9019/1000000)*D9019,0)</f>
      </c>
    </row>
    <row r="9020" spans="1:13" x14ac:dyDescent="0.25">
      <c r="A9020" s="16"/>
      <c r="E9020" s="27"/>
      <c r="F9020" t="s">
        <v>26</v>
      </c>
      <c r="G9020" s="28">
        <f>IFERROR(VLOOKUP(F9020,CARTON_LOOKUP!$A:$E,3,0),"")</f>
      </c>
      <c r="H9020" s="28">
        <f>IFERROR(VLOOKUP(F9020,CARTON_LOOKUP!$A:$E,4,0),"")</f>
      </c>
      <c r="I9020" s="28">
        <f>IFERROR(VLOOKUP(F9020,CARTON_LOOKUP!$A:$E,5,0),"")</f>
      </c>
      <c r="J9020" s="29">
        <f>IFERROR(VLOOKUP(F9020,CARTON_LOOKUP!$A:$E,2,0),"")</f>
      </c>
      <c r="K9020" s="29">
        <f>IFERROR(J9020*D9020,0)</f>
      </c>
      <c r="L9020" s="29">
        <f>IFERROR(E9020*C9020,0)</f>
      </c>
      <c r="M9020" s="29">
        <f>IFERROR((G9020*H9020*I9020/1000000)*D9020,0)</f>
      </c>
    </row>
    <row r="9021" spans="1:13" x14ac:dyDescent="0.25">
      <c r="A9021" s="16"/>
      <c r="E9021" s="27"/>
      <c r="F9021" t="s">
        <v>26</v>
      </c>
      <c r="G9021" s="28">
        <f>IFERROR(VLOOKUP(F9021,CARTON_LOOKUP!$A:$E,3,0),"")</f>
      </c>
      <c r="H9021" s="28">
        <f>IFERROR(VLOOKUP(F9021,CARTON_LOOKUP!$A:$E,4,0),"")</f>
      </c>
      <c r="I9021" s="28">
        <f>IFERROR(VLOOKUP(F9021,CARTON_LOOKUP!$A:$E,5,0),"")</f>
      </c>
      <c r="J9021" s="29">
        <f>IFERROR(VLOOKUP(F9021,CARTON_LOOKUP!$A:$E,2,0),"")</f>
      </c>
      <c r="K9021" s="29">
        <f>IFERROR(J9021*D9021,0)</f>
      </c>
      <c r="L9021" s="29">
        <f>IFERROR(E9021*C9021,0)</f>
      </c>
      <c r="M9021" s="29">
        <f>IFERROR((G9021*H9021*I9021/1000000)*D9021,0)</f>
      </c>
    </row>
    <row r="9022" spans="1:13" x14ac:dyDescent="0.25">
      <c r="A9022" s="16"/>
      <c r="E9022" s="27"/>
      <c r="F9022" t="s">
        <v>26</v>
      </c>
      <c r="G9022" s="28">
        <f>IFERROR(VLOOKUP(F9022,CARTON_LOOKUP!$A:$E,3,0),"")</f>
      </c>
      <c r="H9022" s="28">
        <f>IFERROR(VLOOKUP(F9022,CARTON_LOOKUP!$A:$E,4,0),"")</f>
      </c>
      <c r="I9022" s="28">
        <f>IFERROR(VLOOKUP(F9022,CARTON_LOOKUP!$A:$E,5,0),"")</f>
      </c>
      <c r="J9022" s="29">
        <f>IFERROR(VLOOKUP(F9022,CARTON_LOOKUP!$A:$E,2,0),"")</f>
      </c>
      <c r="K9022" s="29">
        <f>IFERROR(J9022*D9022,0)</f>
      </c>
      <c r="L9022" s="29">
        <f>IFERROR(E9022*C9022,0)</f>
      </c>
      <c r="M9022" s="29">
        <f>IFERROR((G9022*H9022*I9022/1000000)*D9022,0)</f>
      </c>
    </row>
    <row r="9023" spans="1:13" x14ac:dyDescent="0.25">
      <c r="A9023" s="16"/>
      <c r="E9023" s="27"/>
      <c r="F9023" t="s">
        <v>26</v>
      </c>
      <c r="G9023" s="28">
        <f>IFERROR(VLOOKUP(F9023,CARTON_LOOKUP!$A:$E,3,0),"")</f>
      </c>
      <c r="H9023" s="28">
        <f>IFERROR(VLOOKUP(F9023,CARTON_LOOKUP!$A:$E,4,0),"")</f>
      </c>
      <c r="I9023" s="28">
        <f>IFERROR(VLOOKUP(F9023,CARTON_LOOKUP!$A:$E,5,0),"")</f>
      </c>
      <c r="J9023" s="29">
        <f>IFERROR(VLOOKUP(F9023,CARTON_LOOKUP!$A:$E,2,0),"")</f>
      </c>
      <c r="K9023" s="29">
        <f>IFERROR(J9023*D9023,0)</f>
      </c>
      <c r="L9023" s="29">
        <f>IFERROR(E9023*C9023,0)</f>
      </c>
      <c r="M9023" s="29">
        <f>IFERROR((G9023*H9023*I9023/1000000)*D9023,0)</f>
      </c>
    </row>
    <row r="9024" spans="1:13" x14ac:dyDescent="0.25">
      <c r="A9024" s="16"/>
      <c r="E9024" s="27"/>
      <c r="F9024" t="s">
        <v>26</v>
      </c>
      <c r="G9024" s="28">
        <f>IFERROR(VLOOKUP(F9024,CARTON_LOOKUP!$A:$E,3,0),"")</f>
      </c>
      <c r="H9024" s="28">
        <f>IFERROR(VLOOKUP(F9024,CARTON_LOOKUP!$A:$E,4,0),"")</f>
      </c>
      <c r="I9024" s="28">
        <f>IFERROR(VLOOKUP(F9024,CARTON_LOOKUP!$A:$E,5,0),"")</f>
      </c>
      <c r="J9024" s="29">
        <f>IFERROR(VLOOKUP(F9024,CARTON_LOOKUP!$A:$E,2,0),"")</f>
      </c>
      <c r="K9024" s="29">
        <f>IFERROR(J9024*D9024,0)</f>
      </c>
      <c r="L9024" s="29">
        <f>IFERROR(E9024*C9024,0)</f>
      </c>
      <c r="M9024" s="29">
        <f>IFERROR((G9024*H9024*I9024/1000000)*D9024,0)</f>
      </c>
    </row>
    <row r="9025" spans="1:13" x14ac:dyDescent="0.25">
      <c r="A9025" s="16"/>
      <c r="E9025" s="27"/>
      <c r="F9025" t="s">
        <v>26</v>
      </c>
      <c r="G9025" s="28">
        <f>IFERROR(VLOOKUP(F9025,CARTON_LOOKUP!$A:$E,3,0),"")</f>
      </c>
      <c r="H9025" s="28">
        <f>IFERROR(VLOOKUP(F9025,CARTON_LOOKUP!$A:$E,4,0),"")</f>
      </c>
      <c r="I9025" s="28">
        <f>IFERROR(VLOOKUP(F9025,CARTON_LOOKUP!$A:$E,5,0),"")</f>
      </c>
      <c r="J9025" s="29">
        <f>IFERROR(VLOOKUP(F9025,CARTON_LOOKUP!$A:$E,2,0),"")</f>
      </c>
      <c r="K9025" s="29">
        <f>IFERROR(J9025*D9025,0)</f>
      </c>
      <c r="L9025" s="29">
        <f>IFERROR(E9025*C9025,0)</f>
      </c>
      <c r="M9025" s="29">
        <f>IFERROR((G9025*H9025*I9025/1000000)*D9025,0)</f>
      </c>
    </row>
    <row r="9026" spans="1:13" x14ac:dyDescent="0.25">
      <c r="A9026" s="16"/>
      <c r="E9026" s="27"/>
      <c r="F9026" t="s">
        <v>26</v>
      </c>
      <c r="G9026" s="28">
        <f>IFERROR(VLOOKUP(F9026,CARTON_LOOKUP!$A:$E,3,0),"")</f>
      </c>
      <c r="H9026" s="28">
        <f>IFERROR(VLOOKUP(F9026,CARTON_LOOKUP!$A:$E,4,0),"")</f>
      </c>
      <c r="I9026" s="28">
        <f>IFERROR(VLOOKUP(F9026,CARTON_LOOKUP!$A:$E,5,0),"")</f>
      </c>
      <c r="J9026" s="29">
        <f>IFERROR(VLOOKUP(F9026,CARTON_LOOKUP!$A:$E,2,0),"")</f>
      </c>
      <c r="K9026" s="29">
        <f>IFERROR(J9026*D9026,0)</f>
      </c>
      <c r="L9026" s="29">
        <f>IFERROR(E9026*C9026,0)</f>
      </c>
      <c r="M9026" s="29">
        <f>IFERROR((G9026*H9026*I9026/1000000)*D9026,0)</f>
      </c>
    </row>
    <row r="9027" spans="1:13" x14ac:dyDescent="0.25">
      <c r="A9027" s="16"/>
      <c r="E9027" s="27"/>
      <c r="F9027" t="s">
        <v>26</v>
      </c>
      <c r="G9027" s="28">
        <f>IFERROR(VLOOKUP(F9027,CARTON_LOOKUP!$A:$E,3,0),"")</f>
      </c>
      <c r="H9027" s="28">
        <f>IFERROR(VLOOKUP(F9027,CARTON_LOOKUP!$A:$E,4,0),"")</f>
      </c>
      <c r="I9027" s="28">
        <f>IFERROR(VLOOKUP(F9027,CARTON_LOOKUP!$A:$E,5,0),"")</f>
      </c>
      <c r="J9027" s="29">
        <f>IFERROR(VLOOKUP(F9027,CARTON_LOOKUP!$A:$E,2,0),"")</f>
      </c>
      <c r="K9027" s="29">
        <f>IFERROR(J9027*D9027,0)</f>
      </c>
      <c r="L9027" s="29">
        <f>IFERROR(E9027*C9027,0)</f>
      </c>
      <c r="M9027" s="29">
        <f>IFERROR((G9027*H9027*I9027/1000000)*D9027,0)</f>
      </c>
    </row>
    <row r="9028" spans="1:13" x14ac:dyDescent="0.25">
      <c r="A9028" s="16"/>
      <c r="E9028" s="27"/>
      <c r="F9028" t="s">
        <v>26</v>
      </c>
      <c r="G9028" s="28">
        <f>IFERROR(VLOOKUP(F9028,CARTON_LOOKUP!$A:$E,3,0),"")</f>
      </c>
      <c r="H9028" s="28">
        <f>IFERROR(VLOOKUP(F9028,CARTON_LOOKUP!$A:$E,4,0),"")</f>
      </c>
      <c r="I9028" s="28">
        <f>IFERROR(VLOOKUP(F9028,CARTON_LOOKUP!$A:$E,5,0),"")</f>
      </c>
      <c r="J9028" s="29">
        <f>IFERROR(VLOOKUP(F9028,CARTON_LOOKUP!$A:$E,2,0),"")</f>
      </c>
      <c r="K9028" s="29">
        <f>IFERROR(J9028*D9028,0)</f>
      </c>
      <c r="L9028" s="29">
        <f>IFERROR(E9028*C9028,0)</f>
      </c>
      <c r="M9028" s="29">
        <f>IFERROR((G9028*H9028*I9028/1000000)*D9028,0)</f>
      </c>
    </row>
    <row r="9029" spans="1:13" x14ac:dyDescent="0.25">
      <c r="A9029" s="16"/>
      <c r="E9029" s="27"/>
      <c r="F9029" t="s">
        <v>26</v>
      </c>
      <c r="G9029" s="28">
        <f>IFERROR(VLOOKUP(F9029,CARTON_LOOKUP!$A:$E,3,0),"")</f>
      </c>
      <c r="H9029" s="28">
        <f>IFERROR(VLOOKUP(F9029,CARTON_LOOKUP!$A:$E,4,0),"")</f>
      </c>
      <c r="I9029" s="28">
        <f>IFERROR(VLOOKUP(F9029,CARTON_LOOKUP!$A:$E,5,0),"")</f>
      </c>
      <c r="J9029" s="29">
        <f>IFERROR(VLOOKUP(F9029,CARTON_LOOKUP!$A:$E,2,0),"")</f>
      </c>
      <c r="K9029" s="29">
        <f>IFERROR(J9029*D9029,0)</f>
      </c>
      <c r="L9029" s="29">
        <f>IFERROR(E9029*C9029,0)</f>
      </c>
      <c r="M9029" s="29">
        <f>IFERROR((G9029*H9029*I9029/1000000)*D9029,0)</f>
      </c>
    </row>
    <row r="9030" spans="1:13" x14ac:dyDescent="0.25">
      <c r="A9030" s="16"/>
      <c r="E9030" s="27"/>
      <c r="F9030" t="s">
        <v>26</v>
      </c>
      <c r="G9030" s="28">
        <f>IFERROR(VLOOKUP(F9030,CARTON_LOOKUP!$A:$E,3,0),"")</f>
      </c>
      <c r="H9030" s="28">
        <f>IFERROR(VLOOKUP(F9030,CARTON_LOOKUP!$A:$E,4,0),"")</f>
      </c>
      <c r="I9030" s="28">
        <f>IFERROR(VLOOKUP(F9030,CARTON_LOOKUP!$A:$E,5,0),"")</f>
      </c>
      <c r="J9030" s="29">
        <f>IFERROR(VLOOKUP(F9030,CARTON_LOOKUP!$A:$E,2,0),"")</f>
      </c>
      <c r="K9030" s="29">
        <f>IFERROR(J9030*D9030,0)</f>
      </c>
      <c r="L9030" s="29">
        <f>IFERROR(E9030*C9030,0)</f>
      </c>
      <c r="M9030" s="29">
        <f>IFERROR((G9030*H9030*I9030/1000000)*D9030,0)</f>
      </c>
    </row>
    <row r="9031" spans="1:13" x14ac:dyDescent="0.25">
      <c r="A9031" s="16"/>
      <c r="E9031" s="27"/>
      <c r="F9031" t="s">
        <v>26</v>
      </c>
      <c r="G9031" s="28">
        <f>IFERROR(VLOOKUP(F9031,CARTON_LOOKUP!$A:$E,3,0),"")</f>
      </c>
      <c r="H9031" s="28">
        <f>IFERROR(VLOOKUP(F9031,CARTON_LOOKUP!$A:$E,4,0),"")</f>
      </c>
      <c r="I9031" s="28">
        <f>IFERROR(VLOOKUP(F9031,CARTON_LOOKUP!$A:$E,5,0),"")</f>
      </c>
      <c r="J9031" s="29">
        <f>IFERROR(VLOOKUP(F9031,CARTON_LOOKUP!$A:$E,2,0),"")</f>
      </c>
      <c r="K9031" s="29">
        <f>IFERROR(J9031*D9031,0)</f>
      </c>
      <c r="L9031" s="29">
        <f>IFERROR(E9031*C9031,0)</f>
      </c>
      <c r="M9031" s="29">
        <f>IFERROR((G9031*H9031*I9031/1000000)*D9031,0)</f>
      </c>
    </row>
    <row r="9032" spans="1:13" x14ac:dyDescent="0.25">
      <c r="A9032" s="16"/>
      <c r="E9032" s="27"/>
      <c r="F9032" t="s">
        <v>26</v>
      </c>
      <c r="G9032" s="28">
        <f>IFERROR(VLOOKUP(F9032,CARTON_LOOKUP!$A:$E,3,0),"")</f>
      </c>
      <c r="H9032" s="28">
        <f>IFERROR(VLOOKUP(F9032,CARTON_LOOKUP!$A:$E,4,0),"")</f>
      </c>
      <c r="I9032" s="28">
        <f>IFERROR(VLOOKUP(F9032,CARTON_LOOKUP!$A:$E,5,0),"")</f>
      </c>
      <c r="J9032" s="29">
        <f>IFERROR(VLOOKUP(F9032,CARTON_LOOKUP!$A:$E,2,0),"")</f>
      </c>
      <c r="K9032" s="29">
        <f>IFERROR(J9032*D9032,0)</f>
      </c>
      <c r="L9032" s="29">
        <f>IFERROR(E9032*C9032,0)</f>
      </c>
      <c r="M9032" s="29">
        <f>IFERROR((G9032*H9032*I9032/1000000)*D9032,0)</f>
      </c>
    </row>
    <row r="9033" spans="1:13" x14ac:dyDescent="0.25">
      <c r="A9033" s="16"/>
      <c r="E9033" s="27"/>
      <c r="F9033" t="s">
        <v>26</v>
      </c>
      <c r="G9033" s="28">
        <f>IFERROR(VLOOKUP(F9033,CARTON_LOOKUP!$A:$E,3,0),"")</f>
      </c>
      <c r="H9033" s="28">
        <f>IFERROR(VLOOKUP(F9033,CARTON_LOOKUP!$A:$E,4,0),"")</f>
      </c>
      <c r="I9033" s="28">
        <f>IFERROR(VLOOKUP(F9033,CARTON_LOOKUP!$A:$E,5,0),"")</f>
      </c>
      <c r="J9033" s="29">
        <f>IFERROR(VLOOKUP(F9033,CARTON_LOOKUP!$A:$E,2,0),"")</f>
      </c>
      <c r="K9033" s="29">
        <f>IFERROR(J9033*D9033,0)</f>
      </c>
      <c r="L9033" s="29">
        <f>IFERROR(E9033*C9033,0)</f>
      </c>
      <c r="M9033" s="29">
        <f>IFERROR((G9033*H9033*I9033/1000000)*D9033,0)</f>
      </c>
    </row>
    <row r="9034" spans="1:13" x14ac:dyDescent="0.25">
      <c r="A9034" s="16"/>
      <c r="E9034" s="27"/>
      <c r="F9034" t="s">
        <v>26</v>
      </c>
      <c r="G9034" s="28">
        <f>IFERROR(VLOOKUP(F9034,CARTON_LOOKUP!$A:$E,3,0),"")</f>
      </c>
      <c r="H9034" s="28">
        <f>IFERROR(VLOOKUP(F9034,CARTON_LOOKUP!$A:$E,4,0),"")</f>
      </c>
      <c r="I9034" s="28">
        <f>IFERROR(VLOOKUP(F9034,CARTON_LOOKUP!$A:$E,5,0),"")</f>
      </c>
      <c r="J9034" s="29">
        <f>IFERROR(VLOOKUP(F9034,CARTON_LOOKUP!$A:$E,2,0),"")</f>
      </c>
      <c r="K9034" s="29">
        <f>IFERROR(J9034*D9034,0)</f>
      </c>
      <c r="L9034" s="29">
        <f>IFERROR(E9034*C9034,0)</f>
      </c>
      <c r="M9034" s="29">
        <f>IFERROR((G9034*H9034*I9034/1000000)*D9034,0)</f>
      </c>
    </row>
    <row r="9035" spans="1:13" x14ac:dyDescent="0.25">
      <c r="A9035" s="16"/>
      <c r="E9035" s="27"/>
      <c r="F9035" t="s">
        <v>26</v>
      </c>
      <c r="G9035" s="28">
        <f>IFERROR(VLOOKUP(F9035,CARTON_LOOKUP!$A:$E,3,0),"")</f>
      </c>
      <c r="H9035" s="28">
        <f>IFERROR(VLOOKUP(F9035,CARTON_LOOKUP!$A:$E,4,0),"")</f>
      </c>
      <c r="I9035" s="28">
        <f>IFERROR(VLOOKUP(F9035,CARTON_LOOKUP!$A:$E,5,0),"")</f>
      </c>
      <c r="J9035" s="29">
        <f>IFERROR(VLOOKUP(F9035,CARTON_LOOKUP!$A:$E,2,0),"")</f>
      </c>
      <c r="K9035" s="29">
        <f>IFERROR(J9035*D9035,0)</f>
      </c>
      <c r="L9035" s="29">
        <f>IFERROR(E9035*C9035,0)</f>
      </c>
      <c r="M9035" s="29">
        <f>IFERROR((G9035*H9035*I9035/1000000)*D9035,0)</f>
      </c>
    </row>
    <row r="9036" spans="1:13" x14ac:dyDescent="0.25">
      <c r="A9036" s="16"/>
      <c r="E9036" s="27"/>
      <c r="F9036" t="s">
        <v>26</v>
      </c>
      <c r="G9036" s="28">
        <f>IFERROR(VLOOKUP(F9036,CARTON_LOOKUP!$A:$E,3,0),"")</f>
      </c>
      <c r="H9036" s="28">
        <f>IFERROR(VLOOKUP(F9036,CARTON_LOOKUP!$A:$E,4,0),"")</f>
      </c>
      <c r="I9036" s="28">
        <f>IFERROR(VLOOKUP(F9036,CARTON_LOOKUP!$A:$E,5,0),"")</f>
      </c>
      <c r="J9036" s="29">
        <f>IFERROR(VLOOKUP(F9036,CARTON_LOOKUP!$A:$E,2,0),"")</f>
      </c>
      <c r="K9036" s="29">
        <f>IFERROR(J9036*D9036,0)</f>
      </c>
      <c r="L9036" s="29">
        <f>IFERROR(E9036*C9036,0)</f>
      </c>
      <c r="M9036" s="29">
        <f>IFERROR((G9036*H9036*I9036/1000000)*D9036,0)</f>
      </c>
    </row>
    <row r="9037" spans="1:13" x14ac:dyDescent="0.25">
      <c r="A9037" s="16"/>
      <c r="E9037" s="27"/>
      <c r="F9037" t="s">
        <v>26</v>
      </c>
      <c r="G9037" s="28">
        <f>IFERROR(VLOOKUP(F9037,CARTON_LOOKUP!$A:$E,3,0),"")</f>
      </c>
      <c r="H9037" s="28">
        <f>IFERROR(VLOOKUP(F9037,CARTON_LOOKUP!$A:$E,4,0),"")</f>
      </c>
      <c r="I9037" s="28">
        <f>IFERROR(VLOOKUP(F9037,CARTON_LOOKUP!$A:$E,5,0),"")</f>
      </c>
      <c r="J9037" s="29">
        <f>IFERROR(VLOOKUP(F9037,CARTON_LOOKUP!$A:$E,2,0),"")</f>
      </c>
      <c r="K9037" s="29">
        <f>IFERROR(J9037*D9037,0)</f>
      </c>
      <c r="L9037" s="29">
        <f>IFERROR(E9037*C9037,0)</f>
      </c>
      <c r="M9037" s="29">
        <f>IFERROR((G9037*H9037*I9037/1000000)*D9037,0)</f>
      </c>
    </row>
    <row r="9038" spans="1:13" x14ac:dyDescent="0.25">
      <c r="A9038" s="16"/>
      <c r="E9038" s="27"/>
      <c r="F9038" t="s">
        <v>26</v>
      </c>
      <c r="G9038" s="28">
        <f>IFERROR(VLOOKUP(F9038,CARTON_LOOKUP!$A:$E,3,0),"")</f>
      </c>
      <c r="H9038" s="28">
        <f>IFERROR(VLOOKUP(F9038,CARTON_LOOKUP!$A:$E,4,0),"")</f>
      </c>
      <c r="I9038" s="28">
        <f>IFERROR(VLOOKUP(F9038,CARTON_LOOKUP!$A:$E,5,0),"")</f>
      </c>
      <c r="J9038" s="29">
        <f>IFERROR(VLOOKUP(F9038,CARTON_LOOKUP!$A:$E,2,0),"")</f>
      </c>
      <c r="K9038" s="29">
        <f>IFERROR(J9038*D9038,0)</f>
      </c>
      <c r="L9038" s="29">
        <f>IFERROR(E9038*C9038,0)</f>
      </c>
      <c r="M9038" s="29">
        <f>IFERROR((G9038*H9038*I9038/1000000)*D9038,0)</f>
      </c>
    </row>
    <row r="9039" spans="1:13" x14ac:dyDescent="0.25">
      <c r="A9039" s="16"/>
      <c r="E9039" s="27"/>
      <c r="F9039" t="s">
        <v>26</v>
      </c>
      <c r="G9039" s="28">
        <f>IFERROR(VLOOKUP(F9039,CARTON_LOOKUP!$A:$E,3,0),"")</f>
      </c>
      <c r="H9039" s="28">
        <f>IFERROR(VLOOKUP(F9039,CARTON_LOOKUP!$A:$E,4,0),"")</f>
      </c>
      <c r="I9039" s="28">
        <f>IFERROR(VLOOKUP(F9039,CARTON_LOOKUP!$A:$E,5,0),"")</f>
      </c>
      <c r="J9039" s="29">
        <f>IFERROR(VLOOKUP(F9039,CARTON_LOOKUP!$A:$E,2,0),"")</f>
      </c>
      <c r="K9039" s="29">
        <f>IFERROR(J9039*D9039,0)</f>
      </c>
      <c r="L9039" s="29">
        <f>IFERROR(E9039*C9039,0)</f>
      </c>
      <c r="M9039" s="29">
        <f>IFERROR((G9039*H9039*I9039/1000000)*D9039,0)</f>
      </c>
    </row>
    <row r="9040" spans="1:13" x14ac:dyDescent="0.25">
      <c r="A9040" s="16"/>
      <c r="E9040" s="27"/>
      <c r="F9040" t="s">
        <v>26</v>
      </c>
      <c r="G9040" s="28">
        <f>IFERROR(VLOOKUP(F9040,CARTON_LOOKUP!$A:$E,3,0),"")</f>
      </c>
      <c r="H9040" s="28">
        <f>IFERROR(VLOOKUP(F9040,CARTON_LOOKUP!$A:$E,4,0),"")</f>
      </c>
      <c r="I9040" s="28">
        <f>IFERROR(VLOOKUP(F9040,CARTON_LOOKUP!$A:$E,5,0),"")</f>
      </c>
      <c r="J9040" s="29">
        <f>IFERROR(VLOOKUP(F9040,CARTON_LOOKUP!$A:$E,2,0),"")</f>
      </c>
      <c r="K9040" s="29">
        <f>IFERROR(J9040*D9040,0)</f>
      </c>
      <c r="L9040" s="29">
        <f>IFERROR(E9040*C9040,0)</f>
      </c>
      <c r="M9040" s="29">
        <f>IFERROR((G9040*H9040*I9040/1000000)*D9040,0)</f>
      </c>
    </row>
    <row r="9041" spans="1:13" x14ac:dyDescent="0.25">
      <c r="A9041" s="16"/>
      <c r="E9041" s="27"/>
      <c r="F9041" t="s">
        <v>26</v>
      </c>
      <c r="G9041" s="28">
        <f>IFERROR(VLOOKUP(F9041,CARTON_LOOKUP!$A:$E,3,0),"")</f>
      </c>
      <c r="H9041" s="28">
        <f>IFERROR(VLOOKUP(F9041,CARTON_LOOKUP!$A:$E,4,0),"")</f>
      </c>
      <c r="I9041" s="28">
        <f>IFERROR(VLOOKUP(F9041,CARTON_LOOKUP!$A:$E,5,0),"")</f>
      </c>
      <c r="J9041" s="29">
        <f>IFERROR(VLOOKUP(F9041,CARTON_LOOKUP!$A:$E,2,0),"")</f>
      </c>
      <c r="K9041" s="29">
        <f>IFERROR(J9041*D9041,0)</f>
      </c>
      <c r="L9041" s="29">
        <f>IFERROR(E9041*C9041,0)</f>
      </c>
      <c r="M9041" s="29">
        <f>IFERROR((G9041*H9041*I9041/1000000)*D9041,0)</f>
      </c>
    </row>
    <row r="9042" spans="1:13" x14ac:dyDescent="0.25">
      <c r="A9042" s="16"/>
      <c r="E9042" s="27"/>
      <c r="F9042" t="s">
        <v>26</v>
      </c>
      <c r="G9042" s="28">
        <f>IFERROR(VLOOKUP(F9042,CARTON_LOOKUP!$A:$E,3,0),"")</f>
      </c>
      <c r="H9042" s="28">
        <f>IFERROR(VLOOKUP(F9042,CARTON_LOOKUP!$A:$E,4,0),"")</f>
      </c>
      <c r="I9042" s="28">
        <f>IFERROR(VLOOKUP(F9042,CARTON_LOOKUP!$A:$E,5,0),"")</f>
      </c>
      <c r="J9042" s="29">
        <f>IFERROR(VLOOKUP(F9042,CARTON_LOOKUP!$A:$E,2,0),"")</f>
      </c>
      <c r="K9042" s="29">
        <f>IFERROR(J9042*D9042,0)</f>
      </c>
      <c r="L9042" s="29">
        <f>IFERROR(E9042*C9042,0)</f>
      </c>
      <c r="M9042" s="29">
        <f>IFERROR((G9042*H9042*I9042/1000000)*D9042,0)</f>
      </c>
    </row>
    <row r="9043" spans="1:13" x14ac:dyDescent="0.25">
      <c r="A9043" s="16"/>
      <c r="E9043" s="27"/>
      <c r="F9043" t="s">
        <v>26</v>
      </c>
      <c r="G9043" s="28">
        <f>IFERROR(VLOOKUP(F9043,CARTON_LOOKUP!$A:$E,3,0),"")</f>
      </c>
      <c r="H9043" s="28">
        <f>IFERROR(VLOOKUP(F9043,CARTON_LOOKUP!$A:$E,4,0),"")</f>
      </c>
      <c r="I9043" s="28">
        <f>IFERROR(VLOOKUP(F9043,CARTON_LOOKUP!$A:$E,5,0),"")</f>
      </c>
      <c r="J9043" s="29">
        <f>IFERROR(VLOOKUP(F9043,CARTON_LOOKUP!$A:$E,2,0),"")</f>
      </c>
      <c r="K9043" s="29">
        <f>IFERROR(J9043*D9043,0)</f>
      </c>
      <c r="L9043" s="29">
        <f>IFERROR(E9043*C9043,0)</f>
      </c>
      <c r="M9043" s="29">
        <f>IFERROR((G9043*H9043*I9043/1000000)*D9043,0)</f>
      </c>
    </row>
    <row r="9044" spans="1:13" x14ac:dyDescent="0.25">
      <c r="A9044" s="16"/>
      <c r="E9044" s="27"/>
      <c r="F9044" t="s">
        <v>26</v>
      </c>
      <c r="G9044" s="28">
        <f>IFERROR(VLOOKUP(F9044,CARTON_LOOKUP!$A:$E,3,0),"")</f>
      </c>
      <c r="H9044" s="28">
        <f>IFERROR(VLOOKUP(F9044,CARTON_LOOKUP!$A:$E,4,0),"")</f>
      </c>
      <c r="I9044" s="28">
        <f>IFERROR(VLOOKUP(F9044,CARTON_LOOKUP!$A:$E,5,0),"")</f>
      </c>
      <c r="J9044" s="29">
        <f>IFERROR(VLOOKUP(F9044,CARTON_LOOKUP!$A:$E,2,0),"")</f>
      </c>
      <c r="K9044" s="29">
        <f>IFERROR(J9044*D9044,0)</f>
      </c>
      <c r="L9044" s="29">
        <f>IFERROR(E9044*C9044,0)</f>
      </c>
      <c r="M9044" s="29">
        <f>IFERROR((G9044*H9044*I9044/1000000)*D9044,0)</f>
      </c>
    </row>
    <row r="9045" spans="1:13" x14ac:dyDescent="0.25">
      <c r="A9045" s="16"/>
      <c r="E9045" s="27"/>
      <c r="F9045" t="s">
        <v>26</v>
      </c>
      <c r="G9045" s="28">
        <f>IFERROR(VLOOKUP(F9045,CARTON_LOOKUP!$A:$E,3,0),"")</f>
      </c>
      <c r="H9045" s="28">
        <f>IFERROR(VLOOKUP(F9045,CARTON_LOOKUP!$A:$E,4,0),"")</f>
      </c>
      <c r="I9045" s="28">
        <f>IFERROR(VLOOKUP(F9045,CARTON_LOOKUP!$A:$E,5,0),"")</f>
      </c>
      <c r="J9045" s="29">
        <f>IFERROR(VLOOKUP(F9045,CARTON_LOOKUP!$A:$E,2,0),"")</f>
      </c>
      <c r="K9045" s="29">
        <f>IFERROR(J9045*D9045,0)</f>
      </c>
      <c r="L9045" s="29">
        <f>IFERROR(E9045*C9045,0)</f>
      </c>
      <c r="M9045" s="29">
        <f>IFERROR((G9045*H9045*I9045/1000000)*D9045,0)</f>
      </c>
    </row>
    <row r="9046" spans="1:13" x14ac:dyDescent="0.25">
      <c r="A9046" s="16"/>
      <c r="E9046" s="27"/>
      <c r="F9046" t="s">
        <v>26</v>
      </c>
      <c r="G9046" s="28">
        <f>IFERROR(VLOOKUP(F9046,CARTON_LOOKUP!$A:$E,3,0),"")</f>
      </c>
      <c r="H9046" s="28">
        <f>IFERROR(VLOOKUP(F9046,CARTON_LOOKUP!$A:$E,4,0),"")</f>
      </c>
      <c r="I9046" s="28">
        <f>IFERROR(VLOOKUP(F9046,CARTON_LOOKUP!$A:$E,5,0),"")</f>
      </c>
      <c r="J9046" s="29">
        <f>IFERROR(VLOOKUP(F9046,CARTON_LOOKUP!$A:$E,2,0),"")</f>
      </c>
      <c r="K9046" s="29">
        <f>IFERROR(J9046*D9046,0)</f>
      </c>
      <c r="L9046" s="29">
        <f>IFERROR(E9046*C9046,0)</f>
      </c>
      <c r="M9046" s="29">
        <f>IFERROR((G9046*H9046*I9046/1000000)*D9046,0)</f>
      </c>
    </row>
    <row r="9047" spans="1:13" x14ac:dyDescent="0.25">
      <c r="A9047" s="16"/>
      <c r="E9047" s="27"/>
      <c r="F9047" t="s">
        <v>26</v>
      </c>
      <c r="G9047" s="28">
        <f>IFERROR(VLOOKUP(F9047,CARTON_LOOKUP!$A:$E,3,0),"")</f>
      </c>
      <c r="H9047" s="28">
        <f>IFERROR(VLOOKUP(F9047,CARTON_LOOKUP!$A:$E,4,0),"")</f>
      </c>
      <c r="I9047" s="28">
        <f>IFERROR(VLOOKUP(F9047,CARTON_LOOKUP!$A:$E,5,0),"")</f>
      </c>
      <c r="J9047" s="29">
        <f>IFERROR(VLOOKUP(F9047,CARTON_LOOKUP!$A:$E,2,0),"")</f>
      </c>
      <c r="K9047" s="29">
        <f>IFERROR(J9047*D9047,0)</f>
      </c>
      <c r="L9047" s="29">
        <f>IFERROR(E9047*C9047,0)</f>
      </c>
      <c r="M9047" s="29">
        <f>IFERROR((G9047*H9047*I9047/1000000)*D9047,0)</f>
      </c>
    </row>
    <row r="9048" spans="1:13" x14ac:dyDescent="0.25">
      <c r="A9048" s="16"/>
      <c r="E9048" s="27"/>
      <c r="F9048" t="s">
        <v>26</v>
      </c>
      <c r="G9048" s="28">
        <f>IFERROR(VLOOKUP(F9048,CARTON_LOOKUP!$A:$E,3,0),"")</f>
      </c>
      <c r="H9048" s="28">
        <f>IFERROR(VLOOKUP(F9048,CARTON_LOOKUP!$A:$E,4,0),"")</f>
      </c>
      <c r="I9048" s="28">
        <f>IFERROR(VLOOKUP(F9048,CARTON_LOOKUP!$A:$E,5,0),"")</f>
      </c>
      <c r="J9048" s="29">
        <f>IFERROR(VLOOKUP(F9048,CARTON_LOOKUP!$A:$E,2,0),"")</f>
      </c>
      <c r="K9048" s="29">
        <f>IFERROR(J9048*D9048,0)</f>
      </c>
      <c r="L9048" s="29">
        <f>IFERROR(E9048*C9048,0)</f>
      </c>
      <c r="M9048" s="29">
        <f>IFERROR((G9048*H9048*I9048/1000000)*D9048,0)</f>
      </c>
    </row>
    <row r="9049" spans="1:13" x14ac:dyDescent="0.25">
      <c r="A9049" s="16"/>
      <c r="E9049" s="27"/>
      <c r="F9049" t="s">
        <v>26</v>
      </c>
      <c r="G9049" s="28">
        <f>IFERROR(VLOOKUP(F9049,CARTON_LOOKUP!$A:$E,3,0),"")</f>
      </c>
      <c r="H9049" s="28">
        <f>IFERROR(VLOOKUP(F9049,CARTON_LOOKUP!$A:$E,4,0),"")</f>
      </c>
      <c r="I9049" s="28">
        <f>IFERROR(VLOOKUP(F9049,CARTON_LOOKUP!$A:$E,5,0),"")</f>
      </c>
      <c r="J9049" s="29">
        <f>IFERROR(VLOOKUP(F9049,CARTON_LOOKUP!$A:$E,2,0),"")</f>
      </c>
      <c r="K9049" s="29">
        <f>IFERROR(J9049*D9049,0)</f>
      </c>
      <c r="L9049" s="29">
        <f>IFERROR(E9049*C9049,0)</f>
      </c>
      <c r="M9049" s="29">
        <f>IFERROR((G9049*H9049*I9049/1000000)*D9049,0)</f>
      </c>
    </row>
    <row r="9050" spans="1:13" x14ac:dyDescent="0.25">
      <c r="A9050" s="16"/>
      <c r="E9050" s="27"/>
      <c r="F9050" t="s">
        <v>26</v>
      </c>
      <c r="G9050" s="28">
        <f>IFERROR(VLOOKUP(F9050,CARTON_LOOKUP!$A:$E,3,0),"")</f>
      </c>
      <c r="H9050" s="28">
        <f>IFERROR(VLOOKUP(F9050,CARTON_LOOKUP!$A:$E,4,0),"")</f>
      </c>
      <c r="I9050" s="28">
        <f>IFERROR(VLOOKUP(F9050,CARTON_LOOKUP!$A:$E,5,0),"")</f>
      </c>
      <c r="J9050" s="29">
        <f>IFERROR(VLOOKUP(F9050,CARTON_LOOKUP!$A:$E,2,0),"")</f>
      </c>
      <c r="K9050" s="29">
        <f>IFERROR(J9050*D9050,0)</f>
      </c>
      <c r="L9050" s="29">
        <f>IFERROR(E9050*C9050,0)</f>
      </c>
      <c r="M9050" s="29">
        <f>IFERROR((G9050*H9050*I9050/1000000)*D9050,0)</f>
      </c>
    </row>
    <row r="9051" spans="1:13" x14ac:dyDescent="0.25">
      <c r="A9051" s="16"/>
      <c r="E9051" s="27"/>
      <c r="F9051" t="s">
        <v>26</v>
      </c>
      <c r="G9051" s="28">
        <f>IFERROR(VLOOKUP(F9051,CARTON_LOOKUP!$A:$E,3,0),"")</f>
      </c>
      <c r="H9051" s="28">
        <f>IFERROR(VLOOKUP(F9051,CARTON_LOOKUP!$A:$E,4,0),"")</f>
      </c>
      <c r="I9051" s="28">
        <f>IFERROR(VLOOKUP(F9051,CARTON_LOOKUP!$A:$E,5,0),"")</f>
      </c>
      <c r="J9051" s="29">
        <f>IFERROR(VLOOKUP(F9051,CARTON_LOOKUP!$A:$E,2,0),"")</f>
      </c>
      <c r="K9051" s="29">
        <f>IFERROR(J9051*D9051,0)</f>
      </c>
      <c r="L9051" s="29">
        <f>IFERROR(E9051*C9051,0)</f>
      </c>
      <c r="M9051" s="29">
        <f>IFERROR((G9051*H9051*I9051/1000000)*D9051,0)</f>
      </c>
    </row>
    <row r="9052" spans="1:13" x14ac:dyDescent="0.25">
      <c r="A9052" s="16"/>
      <c r="E9052" s="27"/>
      <c r="F9052" t="s">
        <v>26</v>
      </c>
      <c r="G9052" s="28">
        <f>IFERROR(VLOOKUP(F9052,CARTON_LOOKUP!$A:$E,3,0),"")</f>
      </c>
      <c r="H9052" s="28">
        <f>IFERROR(VLOOKUP(F9052,CARTON_LOOKUP!$A:$E,4,0),"")</f>
      </c>
      <c r="I9052" s="28">
        <f>IFERROR(VLOOKUP(F9052,CARTON_LOOKUP!$A:$E,5,0),"")</f>
      </c>
      <c r="J9052" s="29">
        <f>IFERROR(VLOOKUP(F9052,CARTON_LOOKUP!$A:$E,2,0),"")</f>
      </c>
      <c r="K9052" s="29">
        <f>IFERROR(J9052*D9052,0)</f>
      </c>
      <c r="L9052" s="29">
        <f>IFERROR(E9052*C9052,0)</f>
      </c>
      <c r="M9052" s="29">
        <f>IFERROR((G9052*H9052*I9052/1000000)*D9052,0)</f>
      </c>
    </row>
    <row r="9053" spans="1:13" x14ac:dyDescent="0.25">
      <c r="A9053" s="16"/>
      <c r="E9053" s="27"/>
      <c r="F9053" t="s">
        <v>26</v>
      </c>
      <c r="G9053" s="28">
        <f>IFERROR(VLOOKUP(F9053,CARTON_LOOKUP!$A:$E,3,0),"")</f>
      </c>
      <c r="H9053" s="28">
        <f>IFERROR(VLOOKUP(F9053,CARTON_LOOKUP!$A:$E,4,0),"")</f>
      </c>
      <c r="I9053" s="28">
        <f>IFERROR(VLOOKUP(F9053,CARTON_LOOKUP!$A:$E,5,0),"")</f>
      </c>
      <c r="J9053" s="29">
        <f>IFERROR(VLOOKUP(F9053,CARTON_LOOKUP!$A:$E,2,0),"")</f>
      </c>
      <c r="K9053" s="29">
        <f>IFERROR(J9053*D9053,0)</f>
      </c>
      <c r="L9053" s="29">
        <f>IFERROR(E9053*C9053,0)</f>
      </c>
      <c r="M9053" s="29">
        <f>IFERROR((G9053*H9053*I9053/1000000)*D9053,0)</f>
      </c>
    </row>
    <row r="9054" spans="1:13" x14ac:dyDescent="0.25">
      <c r="A9054" s="16"/>
      <c r="E9054" s="27"/>
      <c r="F9054" t="s">
        <v>26</v>
      </c>
      <c r="G9054" s="28">
        <f>IFERROR(VLOOKUP(F9054,CARTON_LOOKUP!$A:$E,3,0),"")</f>
      </c>
      <c r="H9054" s="28">
        <f>IFERROR(VLOOKUP(F9054,CARTON_LOOKUP!$A:$E,4,0),"")</f>
      </c>
      <c r="I9054" s="28">
        <f>IFERROR(VLOOKUP(F9054,CARTON_LOOKUP!$A:$E,5,0),"")</f>
      </c>
      <c r="J9054" s="29">
        <f>IFERROR(VLOOKUP(F9054,CARTON_LOOKUP!$A:$E,2,0),"")</f>
      </c>
      <c r="K9054" s="29">
        <f>IFERROR(J9054*D9054,0)</f>
      </c>
      <c r="L9054" s="29">
        <f>IFERROR(E9054*C9054,0)</f>
      </c>
      <c r="M9054" s="29">
        <f>IFERROR((G9054*H9054*I9054/1000000)*D9054,0)</f>
      </c>
    </row>
    <row r="9055" spans="1:13" x14ac:dyDescent="0.25">
      <c r="A9055" s="16"/>
      <c r="E9055" s="27"/>
      <c r="F9055" t="s">
        <v>26</v>
      </c>
      <c r="G9055" s="28">
        <f>IFERROR(VLOOKUP(F9055,CARTON_LOOKUP!$A:$E,3,0),"")</f>
      </c>
      <c r="H9055" s="28">
        <f>IFERROR(VLOOKUP(F9055,CARTON_LOOKUP!$A:$E,4,0),"")</f>
      </c>
      <c r="I9055" s="28">
        <f>IFERROR(VLOOKUP(F9055,CARTON_LOOKUP!$A:$E,5,0),"")</f>
      </c>
      <c r="J9055" s="29">
        <f>IFERROR(VLOOKUP(F9055,CARTON_LOOKUP!$A:$E,2,0),"")</f>
      </c>
      <c r="K9055" s="29">
        <f>IFERROR(J9055*D9055,0)</f>
      </c>
      <c r="L9055" s="29">
        <f>IFERROR(E9055*C9055,0)</f>
      </c>
      <c r="M9055" s="29">
        <f>IFERROR((G9055*H9055*I9055/1000000)*D9055,0)</f>
      </c>
    </row>
    <row r="9056" spans="1:13" x14ac:dyDescent="0.25">
      <c r="A9056" s="16"/>
      <c r="E9056" s="27"/>
      <c r="F9056" t="s">
        <v>26</v>
      </c>
      <c r="G9056" s="28">
        <f>IFERROR(VLOOKUP(F9056,CARTON_LOOKUP!$A:$E,3,0),"")</f>
      </c>
      <c r="H9056" s="28">
        <f>IFERROR(VLOOKUP(F9056,CARTON_LOOKUP!$A:$E,4,0),"")</f>
      </c>
      <c r="I9056" s="28">
        <f>IFERROR(VLOOKUP(F9056,CARTON_LOOKUP!$A:$E,5,0),"")</f>
      </c>
      <c r="J9056" s="29">
        <f>IFERROR(VLOOKUP(F9056,CARTON_LOOKUP!$A:$E,2,0),"")</f>
      </c>
      <c r="K9056" s="29">
        <f>IFERROR(J9056*D9056,0)</f>
      </c>
      <c r="L9056" s="29">
        <f>IFERROR(E9056*C9056,0)</f>
      </c>
      <c r="M9056" s="29">
        <f>IFERROR((G9056*H9056*I9056/1000000)*D9056,0)</f>
      </c>
    </row>
    <row r="9057" spans="1:13" x14ac:dyDescent="0.25">
      <c r="A9057" s="16"/>
      <c r="E9057" s="27"/>
      <c r="F9057" t="s">
        <v>26</v>
      </c>
      <c r="G9057" s="28">
        <f>IFERROR(VLOOKUP(F9057,CARTON_LOOKUP!$A:$E,3,0),"")</f>
      </c>
      <c r="H9057" s="28">
        <f>IFERROR(VLOOKUP(F9057,CARTON_LOOKUP!$A:$E,4,0),"")</f>
      </c>
      <c r="I9057" s="28">
        <f>IFERROR(VLOOKUP(F9057,CARTON_LOOKUP!$A:$E,5,0),"")</f>
      </c>
      <c r="J9057" s="29">
        <f>IFERROR(VLOOKUP(F9057,CARTON_LOOKUP!$A:$E,2,0),"")</f>
      </c>
      <c r="K9057" s="29">
        <f>IFERROR(J9057*D9057,0)</f>
      </c>
      <c r="L9057" s="29">
        <f>IFERROR(E9057*C9057,0)</f>
      </c>
      <c r="M9057" s="29">
        <f>IFERROR((G9057*H9057*I9057/1000000)*D9057,0)</f>
      </c>
    </row>
    <row r="9058" spans="1:13" x14ac:dyDescent="0.25">
      <c r="A9058" s="16"/>
      <c r="E9058" s="27"/>
      <c r="F9058" t="s">
        <v>26</v>
      </c>
      <c r="G9058" s="28">
        <f>IFERROR(VLOOKUP(F9058,CARTON_LOOKUP!$A:$E,3,0),"")</f>
      </c>
      <c r="H9058" s="28">
        <f>IFERROR(VLOOKUP(F9058,CARTON_LOOKUP!$A:$E,4,0),"")</f>
      </c>
      <c r="I9058" s="28">
        <f>IFERROR(VLOOKUP(F9058,CARTON_LOOKUP!$A:$E,5,0),"")</f>
      </c>
      <c r="J9058" s="29">
        <f>IFERROR(VLOOKUP(F9058,CARTON_LOOKUP!$A:$E,2,0),"")</f>
      </c>
      <c r="K9058" s="29">
        <f>IFERROR(J9058*D9058,0)</f>
      </c>
      <c r="L9058" s="29">
        <f>IFERROR(E9058*C9058,0)</f>
      </c>
      <c r="M9058" s="29">
        <f>IFERROR((G9058*H9058*I9058/1000000)*D9058,0)</f>
      </c>
    </row>
    <row r="9059" spans="1:13" x14ac:dyDescent="0.25">
      <c r="A9059" s="16"/>
      <c r="E9059" s="27"/>
      <c r="F9059" t="s">
        <v>26</v>
      </c>
      <c r="G9059" s="28">
        <f>IFERROR(VLOOKUP(F9059,CARTON_LOOKUP!$A:$E,3,0),"")</f>
      </c>
      <c r="H9059" s="28">
        <f>IFERROR(VLOOKUP(F9059,CARTON_LOOKUP!$A:$E,4,0),"")</f>
      </c>
      <c r="I9059" s="28">
        <f>IFERROR(VLOOKUP(F9059,CARTON_LOOKUP!$A:$E,5,0),"")</f>
      </c>
      <c r="J9059" s="29">
        <f>IFERROR(VLOOKUP(F9059,CARTON_LOOKUP!$A:$E,2,0),"")</f>
      </c>
      <c r="K9059" s="29">
        <f>IFERROR(J9059*D9059,0)</f>
      </c>
      <c r="L9059" s="29">
        <f>IFERROR(E9059*C9059,0)</f>
      </c>
      <c r="M9059" s="29">
        <f>IFERROR((G9059*H9059*I9059/1000000)*D9059,0)</f>
      </c>
    </row>
    <row r="9060" spans="1:13" x14ac:dyDescent="0.25">
      <c r="A9060" s="16"/>
      <c r="E9060" s="27"/>
      <c r="F9060" t="s">
        <v>26</v>
      </c>
      <c r="G9060" s="28">
        <f>IFERROR(VLOOKUP(F9060,CARTON_LOOKUP!$A:$E,3,0),"")</f>
      </c>
      <c r="H9060" s="28">
        <f>IFERROR(VLOOKUP(F9060,CARTON_LOOKUP!$A:$E,4,0),"")</f>
      </c>
      <c r="I9060" s="28">
        <f>IFERROR(VLOOKUP(F9060,CARTON_LOOKUP!$A:$E,5,0),"")</f>
      </c>
      <c r="J9060" s="29">
        <f>IFERROR(VLOOKUP(F9060,CARTON_LOOKUP!$A:$E,2,0),"")</f>
      </c>
      <c r="K9060" s="29">
        <f>IFERROR(J9060*D9060,0)</f>
      </c>
      <c r="L9060" s="29">
        <f>IFERROR(E9060*C9060,0)</f>
      </c>
      <c r="M9060" s="29">
        <f>IFERROR((G9060*H9060*I9060/1000000)*D9060,0)</f>
      </c>
    </row>
    <row r="9061" spans="1:13" x14ac:dyDescent="0.25">
      <c r="A9061" s="16"/>
      <c r="E9061" s="27"/>
      <c r="F9061" t="s">
        <v>26</v>
      </c>
      <c r="G9061" s="28">
        <f>IFERROR(VLOOKUP(F9061,CARTON_LOOKUP!$A:$E,3,0),"")</f>
      </c>
      <c r="H9061" s="28">
        <f>IFERROR(VLOOKUP(F9061,CARTON_LOOKUP!$A:$E,4,0),"")</f>
      </c>
      <c r="I9061" s="28">
        <f>IFERROR(VLOOKUP(F9061,CARTON_LOOKUP!$A:$E,5,0),"")</f>
      </c>
      <c r="J9061" s="29">
        <f>IFERROR(VLOOKUP(F9061,CARTON_LOOKUP!$A:$E,2,0),"")</f>
      </c>
      <c r="K9061" s="29">
        <f>IFERROR(J9061*D9061,0)</f>
      </c>
      <c r="L9061" s="29">
        <f>IFERROR(E9061*C9061,0)</f>
      </c>
      <c r="M9061" s="29">
        <f>IFERROR((G9061*H9061*I9061/1000000)*D9061,0)</f>
      </c>
    </row>
    <row r="9062" spans="1:13" x14ac:dyDescent="0.25">
      <c r="A9062" s="16"/>
      <c r="E9062" s="27"/>
      <c r="F9062" t="s">
        <v>26</v>
      </c>
      <c r="G9062" s="28">
        <f>IFERROR(VLOOKUP(F9062,CARTON_LOOKUP!$A:$E,3,0),"")</f>
      </c>
      <c r="H9062" s="28">
        <f>IFERROR(VLOOKUP(F9062,CARTON_LOOKUP!$A:$E,4,0),"")</f>
      </c>
      <c r="I9062" s="28">
        <f>IFERROR(VLOOKUP(F9062,CARTON_LOOKUP!$A:$E,5,0),"")</f>
      </c>
      <c r="J9062" s="29">
        <f>IFERROR(VLOOKUP(F9062,CARTON_LOOKUP!$A:$E,2,0),"")</f>
      </c>
      <c r="K9062" s="29">
        <f>IFERROR(J9062*D9062,0)</f>
      </c>
      <c r="L9062" s="29">
        <f>IFERROR(E9062*C9062,0)</f>
      </c>
      <c r="M9062" s="29">
        <f>IFERROR((G9062*H9062*I9062/1000000)*D9062,0)</f>
      </c>
    </row>
    <row r="9063" spans="1:13" x14ac:dyDescent="0.25">
      <c r="A9063" s="16"/>
      <c r="E9063" s="27"/>
      <c r="F9063" t="s">
        <v>26</v>
      </c>
      <c r="G9063" s="28">
        <f>IFERROR(VLOOKUP(F9063,CARTON_LOOKUP!$A:$E,3,0),"")</f>
      </c>
      <c r="H9063" s="28">
        <f>IFERROR(VLOOKUP(F9063,CARTON_LOOKUP!$A:$E,4,0),"")</f>
      </c>
      <c r="I9063" s="28">
        <f>IFERROR(VLOOKUP(F9063,CARTON_LOOKUP!$A:$E,5,0),"")</f>
      </c>
      <c r="J9063" s="29">
        <f>IFERROR(VLOOKUP(F9063,CARTON_LOOKUP!$A:$E,2,0),"")</f>
      </c>
      <c r="K9063" s="29">
        <f>IFERROR(J9063*D9063,0)</f>
      </c>
      <c r="L9063" s="29">
        <f>IFERROR(E9063*C9063,0)</f>
      </c>
      <c r="M9063" s="29">
        <f>IFERROR((G9063*H9063*I9063/1000000)*D9063,0)</f>
      </c>
    </row>
    <row r="9064" spans="1:13" x14ac:dyDescent="0.25">
      <c r="A9064" s="16"/>
      <c r="E9064" s="27"/>
      <c r="F9064" t="s">
        <v>26</v>
      </c>
      <c r="G9064" s="28">
        <f>IFERROR(VLOOKUP(F9064,CARTON_LOOKUP!$A:$E,3,0),"")</f>
      </c>
      <c r="H9064" s="28">
        <f>IFERROR(VLOOKUP(F9064,CARTON_LOOKUP!$A:$E,4,0),"")</f>
      </c>
      <c r="I9064" s="28">
        <f>IFERROR(VLOOKUP(F9064,CARTON_LOOKUP!$A:$E,5,0),"")</f>
      </c>
      <c r="J9064" s="29">
        <f>IFERROR(VLOOKUP(F9064,CARTON_LOOKUP!$A:$E,2,0),"")</f>
      </c>
      <c r="K9064" s="29">
        <f>IFERROR(J9064*D9064,0)</f>
      </c>
      <c r="L9064" s="29">
        <f>IFERROR(E9064*C9064,0)</f>
      </c>
      <c r="M9064" s="29">
        <f>IFERROR((G9064*H9064*I9064/1000000)*D9064,0)</f>
      </c>
    </row>
    <row r="9065" spans="1:13" x14ac:dyDescent="0.25">
      <c r="A9065" s="16"/>
      <c r="E9065" s="27"/>
      <c r="F9065" t="s">
        <v>26</v>
      </c>
      <c r="G9065" s="28">
        <f>IFERROR(VLOOKUP(F9065,CARTON_LOOKUP!$A:$E,3,0),"")</f>
      </c>
      <c r="H9065" s="28">
        <f>IFERROR(VLOOKUP(F9065,CARTON_LOOKUP!$A:$E,4,0),"")</f>
      </c>
      <c r="I9065" s="28">
        <f>IFERROR(VLOOKUP(F9065,CARTON_LOOKUP!$A:$E,5,0),"")</f>
      </c>
      <c r="J9065" s="29">
        <f>IFERROR(VLOOKUP(F9065,CARTON_LOOKUP!$A:$E,2,0),"")</f>
      </c>
      <c r="K9065" s="29">
        <f>IFERROR(J9065*D9065,0)</f>
      </c>
      <c r="L9065" s="29">
        <f>IFERROR(E9065*C9065,0)</f>
      </c>
      <c r="M9065" s="29">
        <f>IFERROR((G9065*H9065*I9065/1000000)*D9065,0)</f>
      </c>
    </row>
    <row r="9066" spans="1:13" x14ac:dyDescent="0.25">
      <c r="A9066" s="16"/>
      <c r="E9066" s="27"/>
      <c r="F9066" t="s">
        <v>26</v>
      </c>
      <c r="G9066" s="28">
        <f>IFERROR(VLOOKUP(F9066,CARTON_LOOKUP!$A:$E,3,0),"")</f>
      </c>
      <c r="H9066" s="28">
        <f>IFERROR(VLOOKUP(F9066,CARTON_LOOKUP!$A:$E,4,0),"")</f>
      </c>
      <c r="I9066" s="28">
        <f>IFERROR(VLOOKUP(F9066,CARTON_LOOKUP!$A:$E,5,0),"")</f>
      </c>
      <c r="J9066" s="29">
        <f>IFERROR(VLOOKUP(F9066,CARTON_LOOKUP!$A:$E,2,0),"")</f>
      </c>
      <c r="K9066" s="29">
        <f>IFERROR(J9066*D9066,0)</f>
      </c>
      <c r="L9066" s="29">
        <f>IFERROR(E9066*C9066,0)</f>
      </c>
      <c r="M9066" s="29">
        <f>IFERROR((G9066*H9066*I9066/1000000)*D9066,0)</f>
      </c>
    </row>
    <row r="9067" spans="1:13" x14ac:dyDescent="0.25">
      <c r="A9067" s="16"/>
      <c r="E9067" s="27"/>
      <c r="F9067" t="s">
        <v>26</v>
      </c>
      <c r="G9067" s="28">
        <f>IFERROR(VLOOKUP(F9067,CARTON_LOOKUP!$A:$E,3,0),"")</f>
      </c>
      <c r="H9067" s="28">
        <f>IFERROR(VLOOKUP(F9067,CARTON_LOOKUP!$A:$E,4,0),"")</f>
      </c>
      <c r="I9067" s="28">
        <f>IFERROR(VLOOKUP(F9067,CARTON_LOOKUP!$A:$E,5,0),"")</f>
      </c>
      <c r="J9067" s="29">
        <f>IFERROR(VLOOKUP(F9067,CARTON_LOOKUP!$A:$E,2,0),"")</f>
      </c>
      <c r="K9067" s="29">
        <f>IFERROR(J9067*D9067,0)</f>
      </c>
      <c r="L9067" s="29">
        <f>IFERROR(E9067*C9067,0)</f>
      </c>
      <c r="M9067" s="29">
        <f>IFERROR((G9067*H9067*I9067/1000000)*D9067,0)</f>
      </c>
    </row>
    <row r="9068" spans="1:13" x14ac:dyDescent="0.25">
      <c r="A9068" s="16"/>
      <c r="E9068" s="27"/>
      <c r="F9068" t="s">
        <v>26</v>
      </c>
      <c r="G9068" s="28">
        <f>IFERROR(VLOOKUP(F9068,CARTON_LOOKUP!$A:$E,3,0),"")</f>
      </c>
      <c r="H9068" s="28">
        <f>IFERROR(VLOOKUP(F9068,CARTON_LOOKUP!$A:$E,4,0),"")</f>
      </c>
      <c r="I9068" s="28">
        <f>IFERROR(VLOOKUP(F9068,CARTON_LOOKUP!$A:$E,5,0),"")</f>
      </c>
      <c r="J9068" s="29">
        <f>IFERROR(VLOOKUP(F9068,CARTON_LOOKUP!$A:$E,2,0),"")</f>
      </c>
      <c r="K9068" s="29">
        <f>IFERROR(J9068*D9068,0)</f>
      </c>
      <c r="L9068" s="29">
        <f>IFERROR(E9068*C9068,0)</f>
      </c>
      <c r="M9068" s="29">
        <f>IFERROR((G9068*H9068*I9068/1000000)*D9068,0)</f>
      </c>
    </row>
    <row r="9069" spans="1:13" x14ac:dyDescent="0.25">
      <c r="A9069" s="16"/>
      <c r="E9069" s="27"/>
      <c r="F9069" t="s">
        <v>26</v>
      </c>
      <c r="G9069" s="28">
        <f>IFERROR(VLOOKUP(F9069,CARTON_LOOKUP!$A:$E,3,0),"")</f>
      </c>
      <c r="H9069" s="28">
        <f>IFERROR(VLOOKUP(F9069,CARTON_LOOKUP!$A:$E,4,0),"")</f>
      </c>
      <c r="I9069" s="28">
        <f>IFERROR(VLOOKUP(F9069,CARTON_LOOKUP!$A:$E,5,0),"")</f>
      </c>
      <c r="J9069" s="29">
        <f>IFERROR(VLOOKUP(F9069,CARTON_LOOKUP!$A:$E,2,0),"")</f>
      </c>
      <c r="K9069" s="29">
        <f>IFERROR(J9069*D9069,0)</f>
      </c>
      <c r="L9069" s="29">
        <f>IFERROR(E9069*C9069,0)</f>
      </c>
      <c r="M9069" s="29">
        <f>IFERROR((G9069*H9069*I9069/1000000)*D9069,0)</f>
      </c>
    </row>
    <row r="9070" spans="1:13" x14ac:dyDescent="0.25">
      <c r="A9070" s="16"/>
      <c r="E9070" s="27"/>
      <c r="F9070" t="s">
        <v>26</v>
      </c>
      <c r="G9070" s="28">
        <f>IFERROR(VLOOKUP(F9070,CARTON_LOOKUP!$A:$E,3,0),"")</f>
      </c>
      <c r="H9070" s="28">
        <f>IFERROR(VLOOKUP(F9070,CARTON_LOOKUP!$A:$E,4,0),"")</f>
      </c>
      <c r="I9070" s="28">
        <f>IFERROR(VLOOKUP(F9070,CARTON_LOOKUP!$A:$E,5,0),"")</f>
      </c>
      <c r="J9070" s="29">
        <f>IFERROR(VLOOKUP(F9070,CARTON_LOOKUP!$A:$E,2,0),"")</f>
      </c>
      <c r="K9070" s="29">
        <f>IFERROR(J9070*D9070,0)</f>
      </c>
      <c r="L9070" s="29">
        <f>IFERROR(E9070*C9070,0)</f>
      </c>
      <c r="M9070" s="29">
        <f>IFERROR((G9070*H9070*I9070/1000000)*D9070,0)</f>
      </c>
    </row>
    <row r="9071" spans="1:13" x14ac:dyDescent="0.25">
      <c r="A9071" s="16"/>
      <c r="E9071" s="27"/>
      <c r="F9071" t="s">
        <v>26</v>
      </c>
      <c r="G9071" s="28">
        <f>IFERROR(VLOOKUP(F9071,CARTON_LOOKUP!$A:$E,3,0),"")</f>
      </c>
      <c r="H9071" s="28">
        <f>IFERROR(VLOOKUP(F9071,CARTON_LOOKUP!$A:$E,4,0),"")</f>
      </c>
      <c r="I9071" s="28">
        <f>IFERROR(VLOOKUP(F9071,CARTON_LOOKUP!$A:$E,5,0),"")</f>
      </c>
      <c r="J9071" s="29">
        <f>IFERROR(VLOOKUP(F9071,CARTON_LOOKUP!$A:$E,2,0),"")</f>
      </c>
      <c r="K9071" s="29">
        <f>IFERROR(J9071*D9071,0)</f>
      </c>
      <c r="L9071" s="29">
        <f>IFERROR(E9071*C9071,0)</f>
      </c>
      <c r="M9071" s="29">
        <f>IFERROR((G9071*H9071*I9071/1000000)*D9071,0)</f>
      </c>
    </row>
    <row r="9072" spans="1:13" x14ac:dyDescent="0.25">
      <c r="A9072" s="16"/>
      <c r="E9072" s="27"/>
      <c r="F9072" t="s">
        <v>26</v>
      </c>
      <c r="G9072" s="28">
        <f>IFERROR(VLOOKUP(F9072,CARTON_LOOKUP!$A:$E,3,0),"")</f>
      </c>
      <c r="H9072" s="28">
        <f>IFERROR(VLOOKUP(F9072,CARTON_LOOKUP!$A:$E,4,0),"")</f>
      </c>
      <c r="I9072" s="28">
        <f>IFERROR(VLOOKUP(F9072,CARTON_LOOKUP!$A:$E,5,0),"")</f>
      </c>
      <c r="J9072" s="29">
        <f>IFERROR(VLOOKUP(F9072,CARTON_LOOKUP!$A:$E,2,0),"")</f>
      </c>
      <c r="K9072" s="29">
        <f>IFERROR(J9072*D9072,0)</f>
      </c>
      <c r="L9072" s="29">
        <f>IFERROR(E9072*C9072,0)</f>
      </c>
      <c r="M9072" s="29">
        <f>IFERROR((G9072*H9072*I9072/1000000)*D9072,0)</f>
      </c>
    </row>
    <row r="9073" spans="1:13" x14ac:dyDescent="0.25">
      <c r="A9073" s="16"/>
      <c r="E9073" s="27"/>
      <c r="F9073" t="s">
        <v>26</v>
      </c>
      <c r="G9073" s="28">
        <f>IFERROR(VLOOKUP(F9073,CARTON_LOOKUP!$A:$E,3,0),"")</f>
      </c>
      <c r="H9073" s="28">
        <f>IFERROR(VLOOKUP(F9073,CARTON_LOOKUP!$A:$E,4,0),"")</f>
      </c>
      <c r="I9073" s="28">
        <f>IFERROR(VLOOKUP(F9073,CARTON_LOOKUP!$A:$E,5,0),"")</f>
      </c>
      <c r="J9073" s="29">
        <f>IFERROR(VLOOKUP(F9073,CARTON_LOOKUP!$A:$E,2,0),"")</f>
      </c>
      <c r="K9073" s="29">
        <f>IFERROR(J9073*D9073,0)</f>
      </c>
      <c r="L9073" s="29">
        <f>IFERROR(E9073*C9073,0)</f>
      </c>
      <c r="M9073" s="29">
        <f>IFERROR((G9073*H9073*I9073/1000000)*D9073,0)</f>
      </c>
    </row>
    <row r="9074" spans="1:13" x14ac:dyDescent="0.25">
      <c r="A9074" s="16"/>
      <c r="E9074" s="27"/>
      <c r="F9074" t="s">
        <v>26</v>
      </c>
      <c r="G9074" s="28">
        <f>IFERROR(VLOOKUP(F9074,CARTON_LOOKUP!$A:$E,3,0),"")</f>
      </c>
      <c r="H9074" s="28">
        <f>IFERROR(VLOOKUP(F9074,CARTON_LOOKUP!$A:$E,4,0),"")</f>
      </c>
      <c r="I9074" s="28">
        <f>IFERROR(VLOOKUP(F9074,CARTON_LOOKUP!$A:$E,5,0),"")</f>
      </c>
      <c r="J9074" s="29">
        <f>IFERROR(VLOOKUP(F9074,CARTON_LOOKUP!$A:$E,2,0),"")</f>
      </c>
      <c r="K9074" s="29">
        <f>IFERROR(J9074*D9074,0)</f>
      </c>
      <c r="L9074" s="29">
        <f>IFERROR(E9074*C9074,0)</f>
      </c>
      <c r="M9074" s="29">
        <f>IFERROR((G9074*H9074*I9074/1000000)*D9074,0)</f>
      </c>
    </row>
    <row r="9075" spans="1:13" x14ac:dyDescent="0.25">
      <c r="A9075" s="16"/>
      <c r="E9075" s="27"/>
      <c r="F9075" t="s">
        <v>26</v>
      </c>
      <c r="G9075" s="28">
        <f>IFERROR(VLOOKUP(F9075,CARTON_LOOKUP!$A:$E,3,0),"")</f>
      </c>
      <c r="H9075" s="28">
        <f>IFERROR(VLOOKUP(F9075,CARTON_LOOKUP!$A:$E,4,0),"")</f>
      </c>
      <c r="I9075" s="28">
        <f>IFERROR(VLOOKUP(F9075,CARTON_LOOKUP!$A:$E,5,0),"")</f>
      </c>
      <c r="J9075" s="29">
        <f>IFERROR(VLOOKUP(F9075,CARTON_LOOKUP!$A:$E,2,0),"")</f>
      </c>
      <c r="K9075" s="29">
        <f>IFERROR(J9075*D9075,0)</f>
      </c>
      <c r="L9075" s="29">
        <f>IFERROR(E9075*C9075,0)</f>
      </c>
      <c r="M9075" s="29">
        <f>IFERROR((G9075*H9075*I9075/1000000)*D9075,0)</f>
      </c>
    </row>
    <row r="9076" spans="1:13" x14ac:dyDescent="0.25">
      <c r="A9076" s="16"/>
      <c r="E9076" s="27"/>
      <c r="F9076" t="s">
        <v>26</v>
      </c>
      <c r="G9076" s="28">
        <f>IFERROR(VLOOKUP(F9076,CARTON_LOOKUP!$A:$E,3,0),"")</f>
      </c>
      <c r="H9076" s="28">
        <f>IFERROR(VLOOKUP(F9076,CARTON_LOOKUP!$A:$E,4,0),"")</f>
      </c>
      <c r="I9076" s="28">
        <f>IFERROR(VLOOKUP(F9076,CARTON_LOOKUP!$A:$E,5,0),"")</f>
      </c>
      <c r="J9076" s="29">
        <f>IFERROR(VLOOKUP(F9076,CARTON_LOOKUP!$A:$E,2,0),"")</f>
      </c>
      <c r="K9076" s="29">
        <f>IFERROR(J9076*D9076,0)</f>
      </c>
      <c r="L9076" s="29">
        <f>IFERROR(E9076*C9076,0)</f>
      </c>
      <c r="M9076" s="29">
        <f>IFERROR((G9076*H9076*I9076/1000000)*D9076,0)</f>
      </c>
    </row>
    <row r="9077" spans="1:13" x14ac:dyDescent="0.25">
      <c r="A9077" s="16"/>
      <c r="E9077" s="27"/>
      <c r="F9077" t="s">
        <v>26</v>
      </c>
      <c r="G9077" s="28">
        <f>IFERROR(VLOOKUP(F9077,CARTON_LOOKUP!$A:$E,3,0),"")</f>
      </c>
      <c r="H9077" s="28">
        <f>IFERROR(VLOOKUP(F9077,CARTON_LOOKUP!$A:$E,4,0),"")</f>
      </c>
      <c r="I9077" s="28">
        <f>IFERROR(VLOOKUP(F9077,CARTON_LOOKUP!$A:$E,5,0),"")</f>
      </c>
      <c r="J9077" s="29">
        <f>IFERROR(VLOOKUP(F9077,CARTON_LOOKUP!$A:$E,2,0),"")</f>
      </c>
      <c r="K9077" s="29">
        <f>IFERROR(J9077*D9077,0)</f>
      </c>
      <c r="L9077" s="29">
        <f>IFERROR(E9077*C9077,0)</f>
      </c>
      <c r="M9077" s="29">
        <f>IFERROR((G9077*H9077*I9077/1000000)*D9077,0)</f>
      </c>
    </row>
    <row r="9078" spans="1:13" x14ac:dyDescent="0.25">
      <c r="A9078" s="16"/>
      <c r="E9078" s="27"/>
      <c r="F9078" t="s">
        <v>26</v>
      </c>
      <c r="G9078" s="28">
        <f>IFERROR(VLOOKUP(F9078,CARTON_LOOKUP!$A:$E,3,0),"")</f>
      </c>
      <c r="H9078" s="28">
        <f>IFERROR(VLOOKUP(F9078,CARTON_LOOKUP!$A:$E,4,0),"")</f>
      </c>
      <c r="I9078" s="28">
        <f>IFERROR(VLOOKUP(F9078,CARTON_LOOKUP!$A:$E,5,0),"")</f>
      </c>
      <c r="J9078" s="29">
        <f>IFERROR(VLOOKUP(F9078,CARTON_LOOKUP!$A:$E,2,0),"")</f>
      </c>
      <c r="K9078" s="29">
        <f>IFERROR(J9078*D9078,0)</f>
      </c>
      <c r="L9078" s="29">
        <f>IFERROR(E9078*C9078,0)</f>
      </c>
      <c r="M9078" s="29">
        <f>IFERROR((G9078*H9078*I9078/1000000)*D9078,0)</f>
      </c>
    </row>
    <row r="9079" spans="1:13" x14ac:dyDescent="0.25">
      <c r="A9079" s="16"/>
      <c r="E9079" s="27"/>
      <c r="F9079" t="s">
        <v>26</v>
      </c>
      <c r="G9079" s="28">
        <f>IFERROR(VLOOKUP(F9079,CARTON_LOOKUP!$A:$E,3,0),"")</f>
      </c>
      <c r="H9079" s="28">
        <f>IFERROR(VLOOKUP(F9079,CARTON_LOOKUP!$A:$E,4,0),"")</f>
      </c>
      <c r="I9079" s="28">
        <f>IFERROR(VLOOKUP(F9079,CARTON_LOOKUP!$A:$E,5,0),"")</f>
      </c>
      <c r="J9079" s="29">
        <f>IFERROR(VLOOKUP(F9079,CARTON_LOOKUP!$A:$E,2,0),"")</f>
      </c>
      <c r="K9079" s="29">
        <f>IFERROR(J9079*D9079,0)</f>
      </c>
      <c r="L9079" s="29">
        <f>IFERROR(E9079*C9079,0)</f>
      </c>
      <c r="M9079" s="29">
        <f>IFERROR((G9079*H9079*I9079/1000000)*D9079,0)</f>
      </c>
    </row>
    <row r="9080" spans="1:13" x14ac:dyDescent="0.25">
      <c r="A9080" s="16"/>
      <c r="E9080" s="27"/>
      <c r="F9080" t="s">
        <v>26</v>
      </c>
      <c r="G9080" s="28">
        <f>IFERROR(VLOOKUP(F9080,CARTON_LOOKUP!$A:$E,3,0),"")</f>
      </c>
      <c r="H9080" s="28">
        <f>IFERROR(VLOOKUP(F9080,CARTON_LOOKUP!$A:$E,4,0),"")</f>
      </c>
      <c r="I9080" s="28">
        <f>IFERROR(VLOOKUP(F9080,CARTON_LOOKUP!$A:$E,5,0),"")</f>
      </c>
      <c r="J9080" s="29">
        <f>IFERROR(VLOOKUP(F9080,CARTON_LOOKUP!$A:$E,2,0),"")</f>
      </c>
      <c r="K9080" s="29">
        <f>IFERROR(J9080*D9080,0)</f>
      </c>
      <c r="L9080" s="29">
        <f>IFERROR(E9080*C9080,0)</f>
      </c>
      <c r="M9080" s="29">
        <f>IFERROR((G9080*H9080*I9080/1000000)*D9080,0)</f>
      </c>
    </row>
    <row r="9081" spans="1:13" x14ac:dyDescent="0.25">
      <c r="A9081" s="16"/>
      <c r="E9081" s="27"/>
      <c r="F9081" t="s">
        <v>26</v>
      </c>
      <c r="G9081" s="28">
        <f>IFERROR(VLOOKUP(F9081,CARTON_LOOKUP!$A:$E,3,0),"")</f>
      </c>
      <c r="H9081" s="28">
        <f>IFERROR(VLOOKUP(F9081,CARTON_LOOKUP!$A:$E,4,0),"")</f>
      </c>
      <c r="I9081" s="28">
        <f>IFERROR(VLOOKUP(F9081,CARTON_LOOKUP!$A:$E,5,0),"")</f>
      </c>
      <c r="J9081" s="29">
        <f>IFERROR(VLOOKUP(F9081,CARTON_LOOKUP!$A:$E,2,0),"")</f>
      </c>
      <c r="K9081" s="29">
        <f>IFERROR(J9081*D9081,0)</f>
      </c>
      <c r="L9081" s="29">
        <f>IFERROR(E9081*C9081,0)</f>
      </c>
      <c r="M9081" s="29">
        <f>IFERROR((G9081*H9081*I9081/1000000)*D9081,0)</f>
      </c>
    </row>
    <row r="9082" spans="1:13" x14ac:dyDescent="0.25">
      <c r="A9082" s="16"/>
      <c r="E9082" s="27"/>
      <c r="F9082" t="s">
        <v>26</v>
      </c>
      <c r="G9082" s="28">
        <f>IFERROR(VLOOKUP(F9082,CARTON_LOOKUP!$A:$E,3,0),"")</f>
      </c>
      <c r="H9082" s="28">
        <f>IFERROR(VLOOKUP(F9082,CARTON_LOOKUP!$A:$E,4,0),"")</f>
      </c>
      <c r="I9082" s="28">
        <f>IFERROR(VLOOKUP(F9082,CARTON_LOOKUP!$A:$E,5,0),"")</f>
      </c>
      <c r="J9082" s="29">
        <f>IFERROR(VLOOKUP(F9082,CARTON_LOOKUP!$A:$E,2,0),"")</f>
      </c>
      <c r="K9082" s="29">
        <f>IFERROR(J9082*D9082,0)</f>
      </c>
      <c r="L9082" s="29">
        <f>IFERROR(E9082*C9082,0)</f>
      </c>
      <c r="M9082" s="29">
        <f>IFERROR((G9082*H9082*I9082/1000000)*D9082,0)</f>
      </c>
    </row>
    <row r="9083" spans="1:13" x14ac:dyDescent="0.25">
      <c r="A9083" s="16"/>
      <c r="E9083" s="27"/>
      <c r="F9083" t="s">
        <v>26</v>
      </c>
      <c r="G9083" s="28">
        <f>IFERROR(VLOOKUP(F9083,CARTON_LOOKUP!$A:$E,3,0),"")</f>
      </c>
      <c r="H9083" s="28">
        <f>IFERROR(VLOOKUP(F9083,CARTON_LOOKUP!$A:$E,4,0),"")</f>
      </c>
      <c r="I9083" s="28">
        <f>IFERROR(VLOOKUP(F9083,CARTON_LOOKUP!$A:$E,5,0),"")</f>
      </c>
      <c r="J9083" s="29">
        <f>IFERROR(VLOOKUP(F9083,CARTON_LOOKUP!$A:$E,2,0),"")</f>
      </c>
      <c r="K9083" s="29">
        <f>IFERROR(J9083*D9083,0)</f>
      </c>
      <c r="L9083" s="29">
        <f>IFERROR(E9083*C9083,0)</f>
      </c>
      <c r="M9083" s="29">
        <f>IFERROR((G9083*H9083*I9083/1000000)*D9083,0)</f>
      </c>
    </row>
    <row r="9084" spans="1:13" x14ac:dyDescent="0.25">
      <c r="A9084" s="16"/>
      <c r="E9084" s="27"/>
      <c r="F9084" t="s">
        <v>26</v>
      </c>
      <c r="G9084" s="28">
        <f>IFERROR(VLOOKUP(F9084,CARTON_LOOKUP!$A:$E,3,0),"")</f>
      </c>
      <c r="H9084" s="28">
        <f>IFERROR(VLOOKUP(F9084,CARTON_LOOKUP!$A:$E,4,0),"")</f>
      </c>
      <c r="I9084" s="28">
        <f>IFERROR(VLOOKUP(F9084,CARTON_LOOKUP!$A:$E,5,0),"")</f>
      </c>
      <c r="J9084" s="29">
        <f>IFERROR(VLOOKUP(F9084,CARTON_LOOKUP!$A:$E,2,0),"")</f>
      </c>
      <c r="K9084" s="29">
        <f>IFERROR(J9084*D9084,0)</f>
      </c>
      <c r="L9084" s="29">
        <f>IFERROR(E9084*C9084,0)</f>
      </c>
      <c r="M9084" s="29">
        <f>IFERROR((G9084*H9084*I9084/1000000)*D9084,0)</f>
      </c>
    </row>
    <row r="9085" spans="1:13" x14ac:dyDescent="0.25">
      <c r="A9085" s="16"/>
      <c r="E9085" s="27"/>
      <c r="F9085" t="s">
        <v>26</v>
      </c>
      <c r="G9085" s="28">
        <f>IFERROR(VLOOKUP(F9085,CARTON_LOOKUP!$A:$E,3,0),"")</f>
      </c>
      <c r="H9085" s="28">
        <f>IFERROR(VLOOKUP(F9085,CARTON_LOOKUP!$A:$E,4,0),"")</f>
      </c>
      <c r="I9085" s="28">
        <f>IFERROR(VLOOKUP(F9085,CARTON_LOOKUP!$A:$E,5,0),"")</f>
      </c>
      <c r="J9085" s="29">
        <f>IFERROR(VLOOKUP(F9085,CARTON_LOOKUP!$A:$E,2,0),"")</f>
      </c>
      <c r="K9085" s="29">
        <f>IFERROR(J9085*D9085,0)</f>
      </c>
      <c r="L9085" s="29">
        <f>IFERROR(E9085*C9085,0)</f>
      </c>
      <c r="M9085" s="29">
        <f>IFERROR((G9085*H9085*I9085/1000000)*D9085,0)</f>
      </c>
    </row>
    <row r="9086" spans="1:13" x14ac:dyDescent="0.25">
      <c r="A9086" s="16"/>
      <c r="E9086" s="27"/>
      <c r="F9086" t="s">
        <v>26</v>
      </c>
      <c r="G9086" s="28">
        <f>IFERROR(VLOOKUP(F9086,CARTON_LOOKUP!$A:$E,3,0),"")</f>
      </c>
      <c r="H9086" s="28">
        <f>IFERROR(VLOOKUP(F9086,CARTON_LOOKUP!$A:$E,4,0),"")</f>
      </c>
      <c r="I9086" s="28">
        <f>IFERROR(VLOOKUP(F9086,CARTON_LOOKUP!$A:$E,5,0),"")</f>
      </c>
      <c r="J9086" s="29">
        <f>IFERROR(VLOOKUP(F9086,CARTON_LOOKUP!$A:$E,2,0),"")</f>
      </c>
      <c r="K9086" s="29">
        <f>IFERROR(J9086*D9086,0)</f>
      </c>
      <c r="L9086" s="29">
        <f>IFERROR(E9086*C9086,0)</f>
      </c>
      <c r="M9086" s="29">
        <f>IFERROR((G9086*H9086*I9086/1000000)*D9086,0)</f>
      </c>
    </row>
    <row r="9087" spans="1:13" x14ac:dyDescent="0.25">
      <c r="A9087" s="16"/>
      <c r="E9087" s="27"/>
      <c r="F9087" t="s">
        <v>26</v>
      </c>
      <c r="G9087" s="28">
        <f>IFERROR(VLOOKUP(F9087,CARTON_LOOKUP!$A:$E,3,0),"")</f>
      </c>
      <c r="H9087" s="28">
        <f>IFERROR(VLOOKUP(F9087,CARTON_LOOKUP!$A:$E,4,0),"")</f>
      </c>
      <c r="I9087" s="28">
        <f>IFERROR(VLOOKUP(F9087,CARTON_LOOKUP!$A:$E,5,0),"")</f>
      </c>
      <c r="J9087" s="29">
        <f>IFERROR(VLOOKUP(F9087,CARTON_LOOKUP!$A:$E,2,0),"")</f>
      </c>
      <c r="K9087" s="29">
        <f>IFERROR(J9087*D9087,0)</f>
      </c>
      <c r="L9087" s="29">
        <f>IFERROR(E9087*C9087,0)</f>
      </c>
      <c r="M9087" s="29">
        <f>IFERROR((G9087*H9087*I9087/1000000)*D9087,0)</f>
      </c>
    </row>
    <row r="9088" spans="1:13" x14ac:dyDescent="0.25">
      <c r="A9088" s="16"/>
      <c r="E9088" s="27"/>
      <c r="F9088" t="s">
        <v>26</v>
      </c>
      <c r="G9088" s="28">
        <f>IFERROR(VLOOKUP(F9088,CARTON_LOOKUP!$A:$E,3,0),"")</f>
      </c>
      <c r="H9088" s="28">
        <f>IFERROR(VLOOKUP(F9088,CARTON_LOOKUP!$A:$E,4,0),"")</f>
      </c>
      <c r="I9088" s="28">
        <f>IFERROR(VLOOKUP(F9088,CARTON_LOOKUP!$A:$E,5,0),"")</f>
      </c>
      <c r="J9088" s="29">
        <f>IFERROR(VLOOKUP(F9088,CARTON_LOOKUP!$A:$E,2,0),"")</f>
      </c>
      <c r="K9088" s="29">
        <f>IFERROR(J9088*D9088,0)</f>
      </c>
      <c r="L9088" s="29">
        <f>IFERROR(E9088*C9088,0)</f>
      </c>
      <c r="M9088" s="29">
        <f>IFERROR((G9088*H9088*I9088/1000000)*D9088,0)</f>
      </c>
    </row>
    <row r="9089" spans="1:13" x14ac:dyDescent="0.25">
      <c r="A9089" s="16"/>
      <c r="E9089" s="27"/>
      <c r="F9089" t="s">
        <v>26</v>
      </c>
      <c r="G9089" s="28">
        <f>IFERROR(VLOOKUP(F9089,CARTON_LOOKUP!$A:$E,3,0),"")</f>
      </c>
      <c r="H9089" s="28">
        <f>IFERROR(VLOOKUP(F9089,CARTON_LOOKUP!$A:$E,4,0),"")</f>
      </c>
      <c r="I9089" s="28">
        <f>IFERROR(VLOOKUP(F9089,CARTON_LOOKUP!$A:$E,5,0),"")</f>
      </c>
      <c r="J9089" s="29">
        <f>IFERROR(VLOOKUP(F9089,CARTON_LOOKUP!$A:$E,2,0),"")</f>
      </c>
      <c r="K9089" s="29">
        <f>IFERROR(J9089*D9089,0)</f>
      </c>
      <c r="L9089" s="29">
        <f>IFERROR(E9089*C9089,0)</f>
      </c>
      <c r="M9089" s="29">
        <f>IFERROR((G9089*H9089*I9089/1000000)*D9089,0)</f>
      </c>
    </row>
    <row r="9090" spans="1:13" x14ac:dyDescent="0.25">
      <c r="A9090" s="16"/>
      <c r="E9090" s="27"/>
      <c r="F9090" t="s">
        <v>26</v>
      </c>
      <c r="G9090" s="28">
        <f>IFERROR(VLOOKUP(F9090,CARTON_LOOKUP!$A:$E,3,0),"")</f>
      </c>
      <c r="H9090" s="28">
        <f>IFERROR(VLOOKUP(F9090,CARTON_LOOKUP!$A:$E,4,0),"")</f>
      </c>
      <c r="I9090" s="28">
        <f>IFERROR(VLOOKUP(F9090,CARTON_LOOKUP!$A:$E,5,0),"")</f>
      </c>
      <c r="J9090" s="29">
        <f>IFERROR(VLOOKUP(F9090,CARTON_LOOKUP!$A:$E,2,0),"")</f>
      </c>
      <c r="K9090" s="29">
        <f>IFERROR(J9090*D9090,0)</f>
      </c>
      <c r="L9090" s="29">
        <f>IFERROR(E9090*C9090,0)</f>
      </c>
      <c r="M9090" s="29">
        <f>IFERROR((G9090*H9090*I9090/1000000)*D9090,0)</f>
      </c>
    </row>
    <row r="9091" spans="1:13" x14ac:dyDescent="0.25">
      <c r="A9091" s="16"/>
      <c r="E9091" s="27"/>
      <c r="F9091" t="s">
        <v>26</v>
      </c>
      <c r="G9091" s="28">
        <f>IFERROR(VLOOKUP(F9091,CARTON_LOOKUP!$A:$E,3,0),"")</f>
      </c>
      <c r="H9091" s="28">
        <f>IFERROR(VLOOKUP(F9091,CARTON_LOOKUP!$A:$E,4,0),"")</f>
      </c>
      <c r="I9091" s="28">
        <f>IFERROR(VLOOKUP(F9091,CARTON_LOOKUP!$A:$E,5,0),"")</f>
      </c>
      <c r="J9091" s="29">
        <f>IFERROR(VLOOKUP(F9091,CARTON_LOOKUP!$A:$E,2,0),"")</f>
      </c>
      <c r="K9091" s="29">
        <f>IFERROR(J9091*D9091,0)</f>
      </c>
      <c r="L9091" s="29">
        <f>IFERROR(E9091*C9091,0)</f>
      </c>
      <c r="M9091" s="29">
        <f>IFERROR((G9091*H9091*I9091/1000000)*D9091,0)</f>
      </c>
    </row>
    <row r="9092" spans="1:13" x14ac:dyDescent="0.25">
      <c r="A9092" s="16"/>
      <c r="E9092" s="27"/>
      <c r="F9092" t="s">
        <v>26</v>
      </c>
      <c r="G9092" s="28">
        <f>IFERROR(VLOOKUP(F9092,CARTON_LOOKUP!$A:$E,3,0),"")</f>
      </c>
      <c r="H9092" s="28">
        <f>IFERROR(VLOOKUP(F9092,CARTON_LOOKUP!$A:$E,4,0),"")</f>
      </c>
      <c r="I9092" s="28">
        <f>IFERROR(VLOOKUP(F9092,CARTON_LOOKUP!$A:$E,5,0),"")</f>
      </c>
      <c r="J9092" s="29">
        <f>IFERROR(VLOOKUP(F9092,CARTON_LOOKUP!$A:$E,2,0),"")</f>
      </c>
      <c r="K9092" s="29">
        <f>IFERROR(J9092*D9092,0)</f>
      </c>
      <c r="L9092" s="29">
        <f>IFERROR(E9092*C9092,0)</f>
      </c>
      <c r="M9092" s="29">
        <f>IFERROR((G9092*H9092*I9092/1000000)*D9092,0)</f>
      </c>
    </row>
    <row r="9093" spans="1:13" x14ac:dyDescent="0.25">
      <c r="A9093" s="16"/>
      <c r="E9093" s="27"/>
      <c r="F9093" t="s">
        <v>26</v>
      </c>
      <c r="G9093" s="28">
        <f>IFERROR(VLOOKUP(F9093,CARTON_LOOKUP!$A:$E,3,0),"")</f>
      </c>
      <c r="H9093" s="28">
        <f>IFERROR(VLOOKUP(F9093,CARTON_LOOKUP!$A:$E,4,0),"")</f>
      </c>
      <c r="I9093" s="28">
        <f>IFERROR(VLOOKUP(F9093,CARTON_LOOKUP!$A:$E,5,0),"")</f>
      </c>
      <c r="J9093" s="29">
        <f>IFERROR(VLOOKUP(F9093,CARTON_LOOKUP!$A:$E,2,0),"")</f>
      </c>
      <c r="K9093" s="29">
        <f>IFERROR(J9093*D9093,0)</f>
      </c>
      <c r="L9093" s="29">
        <f>IFERROR(E9093*C9093,0)</f>
      </c>
      <c r="M9093" s="29">
        <f>IFERROR((G9093*H9093*I9093/1000000)*D9093,0)</f>
      </c>
    </row>
    <row r="9094" spans="1:13" x14ac:dyDescent="0.25">
      <c r="A9094" s="16"/>
      <c r="E9094" s="27"/>
      <c r="F9094" t="s">
        <v>26</v>
      </c>
      <c r="G9094" s="28">
        <f>IFERROR(VLOOKUP(F9094,CARTON_LOOKUP!$A:$E,3,0),"")</f>
      </c>
      <c r="H9094" s="28">
        <f>IFERROR(VLOOKUP(F9094,CARTON_LOOKUP!$A:$E,4,0),"")</f>
      </c>
      <c r="I9094" s="28">
        <f>IFERROR(VLOOKUP(F9094,CARTON_LOOKUP!$A:$E,5,0),"")</f>
      </c>
      <c r="J9094" s="29">
        <f>IFERROR(VLOOKUP(F9094,CARTON_LOOKUP!$A:$E,2,0),"")</f>
      </c>
      <c r="K9094" s="29">
        <f>IFERROR(J9094*D9094,0)</f>
      </c>
      <c r="L9094" s="29">
        <f>IFERROR(E9094*C9094,0)</f>
      </c>
      <c r="M9094" s="29">
        <f>IFERROR((G9094*H9094*I9094/1000000)*D9094,0)</f>
      </c>
    </row>
    <row r="9095" spans="1:13" x14ac:dyDescent="0.25">
      <c r="A9095" s="16"/>
      <c r="E9095" s="27"/>
      <c r="F9095" t="s">
        <v>26</v>
      </c>
      <c r="G9095" s="28">
        <f>IFERROR(VLOOKUP(F9095,CARTON_LOOKUP!$A:$E,3,0),"")</f>
      </c>
      <c r="H9095" s="28">
        <f>IFERROR(VLOOKUP(F9095,CARTON_LOOKUP!$A:$E,4,0),"")</f>
      </c>
      <c r="I9095" s="28">
        <f>IFERROR(VLOOKUP(F9095,CARTON_LOOKUP!$A:$E,5,0),"")</f>
      </c>
      <c r="J9095" s="29">
        <f>IFERROR(VLOOKUP(F9095,CARTON_LOOKUP!$A:$E,2,0),"")</f>
      </c>
      <c r="K9095" s="29">
        <f>IFERROR(J9095*D9095,0)</f>
      </c>
      <c r="L9095" s="29">
        <f>IFERROR(E9095*C9095,0)</f>
      </c>
      <c r="M9095" s="29">
        <f>IFERROR((G9095*H9095*I9095/1000000)*D9095,0)</f>
      </c>
    </row>
    <row r="9096" spans="1:13" x14ac:dyDescent="0.25">
      <c r="A9096" s="16"/>
      <c r="E9096" s="27"/>
      <c r="F9096" t="s">
        <v>26</v>
      </c>
      <c r="G9096" s="28">
        <f>IFERROR(VLOOKUP(F9096,CARTON_LOOKUP!$A:$E,3,0),"")</f>
      </c>
      <c r="H9096" s="28">
        <f>IFERROR(VLOOKUP(F9096,CARTON_LOOKUP!$A:$E,4,0),"")</f>
      </c>
      <c r="I9096" s="28">
        <f>IFERROR(VLOOKUP(F9096,CARTON_LOOKUP!$A:$E,5,0),"")</f>
      </c>
      <c r="J9096" s="29">
        <f>IFERROR(VLOOKUP(F9096,CARTON_LOOKUP!$A:$E,2,0),"")</f>
      </c>
      <c r="K9096" s="29">
        <f>IFERROR(J9096*D9096,0)</f>
      </c>
      <c r="L9096" s="29">
        <f>IFERROR(E9096*C9096,0)</f>
      </c>
      <c r="M9096" s="29">
        <f>IFERROR((G9096*H9096*I9096/1000000)*D9096,0)</f>
      </c>
    </row>
    <row r="9097" spans="1:13" x14ac:dyDescent="0.25">
      <c r="A9097" s="16"/>
      <c r="E9097" s="27"/>
      <c r="F9097" t="s">
        <v>26</v>
      </c>
      <c r="G9097" s="28">
        <f>IFERROR(VLOOKUP(F9097,CARTON_LOOKUP!$A:$E,3,0),"")</f>
      </c>
      <c r="H9097" s="28">
        <f>IFERROR(VLOOKUP(F9097,CARTON_LOOKUP!$A:$E,4,0),"")</f>
      </c>
      <c r="I9097" s="28">
        <f>IFERROR(VLOOKUP(F9097,CARTON_LOOKUP!$A:$E,5,0),"")</f>
      </c>
      <c r="J9097" s="29">
        <f>IFERROR(VLOOKUP(F9097,CARTON_LOOKUP!$A:$E,2,0),"")</f>
      </c>
      <c r="K9097" s="29">
        <f>IFERROR(J9097*D9097,0)</f>
      </c>
      <c r="L9097" s="29">
        <f>IFERROR(E9097*C9097,0)</f>
      </c>
      <c r="M9097" s="29">
        <f>IFERROR((G9097*H9097*I9097/1000000)*D9097,0)</f>
      </c>
    </row>
    <row r="9098" spans="1:13" x14ac:dyDescent="0.25">
      <c r="A9098" s="16"/>
      <c r="E9098" s="27"/>
      <c r="F9098" t="s">
        <v>26</v>
      </c>
      <c r="G9098" s="28">
        <f>IFERROR(VLOOKUP(F9098,CARTON_LOOKUP!$A:$E,3,0),"")</f>
      </c>
      <c r="H9098" s="28">
        <f>IFERROR(VLOOKUP(F9098,CARTON_LOOKUP!$A:$E,4,0),"")</f>
      </c>
      <c r="I9098" s="28">
        <f>IFERROR(VLOOKUP(F9098,CARTON_LOOKUP!$A:$E,5,0),"")</f>
      </c>
      <c r="J9098" s="29">
        <f>IFERROR(VLOOKUP(F9098,CARTON_LOOKUP!$A:$E,2,0),"")</f>
      </c>
      <c r="K9098" s="29">
        <f>IFERROR(J9098*D9098,0)</f>
      </c>
      <c r="L9098" s="29">
        <f>IFERROR(E9098*C9098,0)</f>
      </c>
      <c r="M9098" s="29">
        <f>IFERROR((G9098*H9098*I9098/1000000)*D9098,0)</f>
      </c>
    </row>
    <row r="9099" spans="1:13" x14ac:dyDescent="0.25">
      <c r="A9099" s="16"/>
      <c r="E9099" s="27"/>
      <c r="F9099" t="s">
        <v>26</v>
      </c>
      <c r="G9099" s="28">
        <f>IFERROR(VLOOKUP(F9099,CARTON_LOOKUP!$A:$E,3,0),"")</f>
      </c>
      <c r="H9099" s="28">
        <f>IFERROR(VLOOKUP(F9099,CARTON_LOOKUP!$A:$E,4,0),"")</f>
      </c>
      <c r="I9099" s="28">
        <f>IFERROR(VLOOKUP(F9099,CARTON_LOOKUP!$A:$E,5,0),"")</f>
      </c>
      <c r="J9099" s="29">
        <f>IFERROR(VLOOKUP(F9099,CARTON_LOOKUP!$A:$E,2,0),"")</f>
      </c>
      <c r="K9099" s="29">
        <f>IFERROR(J9099*D9099,0)</f>
      </c>
      <c r="L9099" s="29">
        <f>IFERROR(E9099*C9099,0)</f>
      </c>
      <c r="M9099" s="29">
        <f>IFERROR((G9099*H9099*I9099/1000000)*D9099,0)</f>
      </c>
    </row>
    <row r="9100" spans="1:13" x14ac:dyDescent="0.25">
      <c r="A9100" s="16"/>
      <c r="E9100" s="27"/>
      <c r="F9100" t="s">
        <v>26</v>
      </c>
      <c r="G9100" s="28">
        <f>IFERROR(VLOOKUP(F9100,CARTON_LOOKUP!$A:$E,3,0),"")</f>
      </c>
      <c r="H9100" s="28">
        <f>IFERROR(VLOOKUP(F9100,CARTON_LOOKUP!$A:$E,4,0),"")</f>
      </c>
      <c r="I9100" s="28">
        <f>IFERROR(VLOOKUP(F9100,CARTON_LOOKUP!$A:$E,5,0),"")</f>
      </c>
      <c r="J9100" s="29">
        <f>IFERROR(VLOOKUP(F9100,CARTON_LOOKUP!$A:$E,2,0),"")</f>
      </c>
      <c r="K9100" s="29">
        <f>IFERROR(J9100*D9100,0)</f>
      </c>
      <c r="L9100" s="29">
        <f>IFERROR(E9100*C9100,0)</f>
      </c>
      <c r="M9100" s="29">
        <f>IFERROR((G9100*H9100*I9100/1000000)*D9100,0)</f>
      </c>
    </row>
    <row r="9101" spans="1:13" x14ac:dyDescent="0.25">
      <c r="A9101" s="16"/>
      <c r="E9101" s="27"/>
      <c r="F9101" t="s">
        <v>26</v>
      </c>
      <c r="G9101" s="28">
        <f>IFERROR(VLOOKUP(F9101,CARTON_LOOKUP!$A:$E,3,0),"")</f>
      </c>
      <c r="H9101" s="28">
        <f>IFERROR(VLOOKUP(F9101,CARTON_LOOKUP!$A:$E,4,0),"")</f>
      </c>
      <c r="I9101" s="28">
        <f>IFERROR(VLOOKUP(F9101,CARTON_LOOKUP!$A:$E,5,0),"")</f>
      </c>
      <c r="J9101" s="29">
        <f>IFERROR(VLOOKUP(F9101,CARTON_LOOKUP!$A:$E,2,0),"")</f>
      </c>
      <c r="K9101" s="29">
        <f>IFERROR(J9101*D9101,0)</f>
      </c>
      <c r="L9101" s="29">
        <f>IFERROR(E9101*C9101,0)</f>
      </c>
      <c r="M9101" s="29">
        <f>IFERROR((G9101*H9101*I9101/1000000)*D9101,0)</f>
      </c>
    </row>
    <row r="9102" spans="1:13" x14ac:dyDescent="0.25">
      <c r="A9102" s="16"/>
      <c r="E9102" s="27"/>
      <c r="F9102" t="s">
        <v>26</v>
      </c>
      <c r="G9102" s="28">
        <f>IFERROR(VLOOKUP(F9102,CARTON_LOOKUP!$A:$E,3,0),"")</f>
      </c>
      <c r="H9102" s="28">
        <f>IFERROR(VLOOKUP(F9102,CARTON_LOOKUP!$A:$E,4,0),"")</f>
      </c>
      <c r="I9102" s="28">
        <f>IFERROR(VLOOKUP(F9102,CARTON_LOOKUP!$A:$E,5,0),"")</f>
      </c>
      <c r="J9102" s="29">
        <f>IFERROR(VLOOKUP(F9102,CARTON_LOOKUP!$A:$E,2,0),"")</f>
      </c>
      <c r="K9102" s="29">
        <f>IFERROR(J9102*D9102,0)</f>
      </c>
      <c r="L9102" s="29">
        <f>IFERROR(E9102*C9102,0)</f>
      </c>
      <c r="M9102" s="29">
        <f>IFERROR((G9102*H9102*I9102/1000000)*D9102,0)</f>
      </c>
    </row>
    <row r="9103" spans="1:13" x14ac:dyDescent="0.25">
      <c r="A9103" s="16"/>
      <c r="E9103" s="27"/>
      <c r="F9103" t="s">
        <v>26</v>
      </c>
      <c r="G9103" s="28">
        <f>IFERROR(VLOOKUP(F9103,CARTON_LOOKUP!$A:$E,3,0),"")</f>
      </c>
      <c r="H9103" s="28">
        <f>IFERROR(VLOOKUP(F9103,CARTON_LOOKUP!$A:$E,4,0),"")</f>
      </c>
      <c r="I9103" s="28">
        <f>IFERROR(VLOOKUP(F9103,CARTON_LOOKUP!$A:$E,5,0),"")</f>
      </c>
      <c r="J9103" s="29">
        <f>IFERROR(VLOOKUP(F9103,CARTON_LOOKUP!$A:$E,2,0),"")</f>
      </c>
      <c r="K9103" s="29">
        <f>IFERROR(J9103*D9103,0)</f>
      </c>
      <c r="L9103" s="29">
        <f>IFERROR(E9103*C9103,0)</f>
      </c>
      <c r="M9103" s="29">
        <f>IFERROR((G9103*H9103*I9103/1000000)*D9103,0)</f>
      </c>
    </row>
    <row r="9104" spans="1:13" x14ac:dyDescent="0.25">
      <c r="A9104" s="16"/>
      <c r="E9104" s="27"/>
      <c r="F9104" t="s">
        <v>26</v>
      </c>
      <c r="G9104" s="28">
        <f>IFERROR(VLOOKUP(F9104,CARTON_LOOKUP!$A:$E,3,0),"")</f>
      </c>
      <c r="H9104" s="28">
        <f>IFERROR(VLOOKUP(F9104,CARTON_LOOKUP!$A:$E,4,0),"")</f>
      </c>
      <c r="I9104" s="28">
        <f>IFERROR(VLOOKUP(F9104,CARTON_LOOKUP!$A:$E,5,0),"")</f>
      </c>
      <c r="J9104" s="29">
        <f>IFERROR(VLOOKUP(F9104,CARTON_LOOKUP!$A:$E,2,0),"")</f>
      </c>
      <c r="K9104" s="29">
        <f>IFERROR(J9104*D9104,0)</f>
      </c>
      <c r="L9104" s="29">
        <f>IFERROR(E9104*C9104,0)</f>
      </c>
      <c r="M9104" s="29">
        <f>IFERROR((G9104*H9104*I9104/1000000)*D9104,0)</f>
      </c>
    </row>
    <row r="9105" spans="1:13" x14ac:dyDescent="0.25">
      <c r="A9105" s="16"/>
      <c r="E9105" s="27"/>
      <c r="F9105" t="s">
        <v>26</v>
      </c>
      <c r="G9105" s="28">
        <f>IFERROR(VLOOKUP(F9105,CARTON_LOOKUP!$A:$E,3,0),"")</f>
      </c>
      <c r="H9105" s="28">
        <f>IFERROR(VLOOKUP(F9105,CARTON_LOOKUP!$A:$E,4,0),"")</f>
      </c>
      <c r="I9105" s="28">
        <f>IFERROR(VLOOKUP(F9105,CARTON_LOOKUP!$A:$E,5,0),"")</f>
      </c>
      <c r="J9105" s="29">
        <f>IFERROR(VLOOKUP(F9105,CARTON_LOOKUP!$A:$E,2,0),"")</f>
      </c>
      <c r="K9105" s="29">
        <f>IFERROR(J9105*D9105,0)</f>
      </c>
      <c r="L9105" s="29">
        <f>IFERROR(E9105*C9105,0)</f>
      </c>
      <c r="M9105" s="29">
        <f>IFERROR((G9105*H9105*I9105/1000000)*D9105,0)</f>
      </c>
    </row>
    <row r="9106" spans="1:13" x14ac:dyDescent="0.25">
      <c r="A9106" s="16"/>
      <c r="E9106" s="27"/>
      <c r="F9106" t="s">
        <v>26</v>
      </c>
      <c r="G9106" s="28">
        <f>IFERROR(VLOOKUP(F9106,CARTON_LOOKUP!$A:$E,3,0),"")</f>
      </c>
      <c r="H9106" s="28">
        <f>IFERROR(VLOOKUP(F9106,CARTON_LOOKUP!$A:$E,4,0),"")</f>
      </c>
      <c r="I9106" s="28">
        <f>IFERROR(VLOOKUP(F9106,CARTON_LOOKUP!$A:$E,5,0),"")</f>
      </c>
      <c r="J9106" s="29">
        <f>IFERROR(VLOOKUP(F9106,CARTON_LOOKUP!$A:$E,2,0),"")</f>
      </c>
      <c r="K9106" s="29">
        <f>IFERROR(J9106*D9106,0)</f>
      </c>
      <c r="L9106" s="29">
        <f>IFERROR(E9106*C9106,0)</f>
      </c>
      <c r="M9106" s="29">
        <f>IFERROR((G9106*H9106*I9106/1000000)*D9106,0)</f>
      </c>
    </row>
    <row r="9107" spans="1:13" x14ac:dyDescent="0.25">
      <c r="A9107" s="16"/>
      <c r="E9107" s="27"/>
      <c r="F9107" t="s">
        <v>26</v>
      </c>
      <c r="G9107" s="28">
        <f>IFERROR(VLOOKUP(F9107,CARTON_LOOKUP!$A:$E,3,0),"")</f>
      </c>
      <c r="H9107" s="28">
        <f>IFERROR(VLOOKUP(F9107,CARTON_LOOKUP!$A:$E,4,0),"")</f>
      </c>
      <c r="I9107" s="28">
        <f>IFERROR(VLOOKUP(F9107,CARTON_LOOKUP!$A:$E,5,0),"")</f>
      </c>
      <c r="J9107" s="29">
        <f>IFERROR(VLOOKUP(F9107,CARTON_LOOKUP!$A:$E,2,0),"")</f>
      </c>
      <c r="K9107" s="29">
        <f>IFERROR(J9107*D9107,0)</f>
      </c>
      <c r="L9107" s="29">
        <f>IFERROR(E9107*C9107,0)</f>
      </c>
      <c r="M9107" s="29">
        <f>IFERROR((G9107*H9107*I9107/1000000)*D9107,0)</f>
      </c>
    </row>
    <row r="9108" spans="1:13" x14ac:dyDescent="0.25">
      <c r="A9108" s="16"/>
      <c r="E9108" s="27"/>
      <c r="F9108" t="s">
        <v>26</v>
      </c>
      <c r="G9108" s="28">
        <f>IFERROR(VLOOKUP(F9108,CARTON_LOOKUP!$A:$E,3,0),"")</f>
      </c>
      <c r="H9108" s="28">
        <f>IFERROR(VLOOKUP(F9108,CARTON_LOOKUP!$A:$E,4,0),"")</f>
      </c>
      <c r="I9108" s="28">
        <f>IFERROR(VLOOKUP(F9108,CARTON_LOOKUP!$A:$E,5,0),"")</f>
      </c>
      <c r="J9108" s="29">
        <f>IFERROR(VLOOKUP(F9108,CARTON_LOOKUP!$A:$E,2,0),"")</f>
      </c>
      <c r="K9108" s="29">
        <f>IFERROR(J9108*D9108,0)</f>
      </c>
      <c r="L9108" s="29">
        <f>IFERROR(E9108*C9108,0)</f>
      </c>
      <c r="M9108" s="29">
        <f>IFERROR((G9108*H9108*I9108/1000000)*D9108,0)</f>
      </c>
    </row>
    <row r="9109" spans="1:13" x14ac:dyDescent="0.25">
      <c r="A9109" s="16"/>
      <c r="E9109" s="27"/>
      <c r="F9109" t="s">
        <v>26</v>
      </c>
      <c r="G9109" s="28">
        <f>IFERROR(VLOOKUP(F9109,CARTON_LOOKUP!$A:$E,3,0),"")</f>
      </c>
      <c r="H9109" s="28">
        <f>IFERROR(VLOOKUP(F9109,CARTON_LOOKUP!$A:$E,4,0),"")</f>
      </c>
      <c r="I9109" s="28">
        <f>IFERROR(VLOOKUP(F9109,CARTON_LOOKUP!$A:$E,5,0),"")</f>
      </c>
      <c r="J9109" s="29">
        <f>IFERROR(VLOOKUP(F9109,CARTON_LOOKUP!$A:$E,2,0),"")</f>
      </c>
      <c r="K9109" s="29">
        <f>IFERROR(J9109*D9109,0)</f>
      </c>
      <c r="L9109" s="29">
        <f>IFERROR(E9109*C9109,0)</f>
      </c>
      <c r="M9109" s="29">
        <f>IFERROR((G9109*H9109*I9109/1000000)*D9109,0)</f>
      </c>
    </row>
    <row r="9110" spans="1:13" x14ac:dyDescent="0.25">
      <c r="A9110" s="16"/>
      <c r="E9110" s="27"/>
      <c r="F9110" t="s">
        <v>26</v>
      </c>
      <c r="G9110" s="28">
        <f>IFERROR(VLOOKUP(F9110,CARTON_LOOKUP!$A:$E,3,0),"")</f>
      </c>
      <c r="H9110" s="28">
        <f>IFERROR(VLOOKUP(F9110,CARTON_LOOKUP!$A:$E,4,0),"")</f>
      </c>
      <c r="I9110" s="28">
        <f>IFERROR(VLOOKUP(F9110,CARTON_LOOKUP!$A:$E,5,0),"")</f>
      </c>
      <c r="J9110" s="29">
        <f>IFERROR(VLOOKUP(F9110,CARTON_LOOKUP!$A:$E,2,0),"")</f>
      </c>
      <c r="K9110" s="29">
        <f>IFERROR(J9110*D9110,0)</f>
      </c>
      <c r="L9110" s="29">
        <f>IFERROR(E9110*C9110,0)</f>
      </c>
      <c r="M9110" s="29">
        <f>IFERROR((G9110*H9110*I9110/1000000)*D9110,0)</f>
      </c>
    </row>
    <row r="9111" spans="1:13" x14ac:dyDescent="0.25">
      <c r="A9111" s="16"/>
      <c r="E9111" s="27"/>
      <c r="F9111" t="s">
        <v>26</v>
      </c>
      <c r="G9111" s="28">
        <f>IFERROR(VLOOKUP(F9111,CARTON_LOOKUP!$A:$E,3,0),"")</f>
      </c>
      <c r="H9111" s="28">
        <f>IFERROR(VLOOKUP(F9111,CARTON_LOOKUP!$A:$E,4,0),"")</f>
      </c>
      <c r="I9111" s="28">
        <f>IFERROR(VLOOKUP(F9111,CARTON_LOOKUP!$A:$E,5,0),"")</f>
      </c>
      <c r="J9111" s="29">
        <f>IFERROR(VLOOKUP(F9111,CARTON_LOOKUP!$A:$E,2,0),"")</f>
      </c>
      <c r="K9111" s="29">
        <f>IFERROR(J9111*D9111,0)</f>
      </c>
      <c r="L9111" s="29">
        <f>IFERROR(E9111*C9111,0)</f>
      </c>
      <c r="M9111" s="29">
        <f>IFERROR((G9111*H9111*I9111/1000000)*D9111,0)</f>
      </c>
    </row>
    <row r="9112" spans="1:13" x14ac:dyDescent="0.25">
      <c r="A9112" s="16"/>
      <c r="E9112" s="27"/>
      <c r="F9112" t="s">
        <v>26</v>
      </c>
      <c r="G9112" s="28">
        <f>IFERROR(VLOOKUP(F9112,CARTON_LOOKUP!$A:$E,3,0),"")</f>
      </c>
      <c r="H9112" s="28">
        <f>IFERROR(VLOOKUP(F9112,CARTON_LOOKUP!$A:$E,4,0),"")</f>
      </c>
      <c r="I9112" s="28">
        <f>IFERROR(VLOOKUP(F9112,CARTON_LOOKUP!$A:$E,5,0),"")</f>
      </c>
      <c r="J9112" s="29">
        <f>IFERROR(VLOOKUP(F9112,CARTON_LOOKUP!$A:$E,2,0),"")</f>
      </c>
      <c r="K9112" s="29">
        <f>IFERROR(J9112*D9112,0)</f>
      </c>
      <c r="L9112" s="29">
        <f>IFERROR(E9112*C9112,0)</f>
      </c>
      <c r="M9112" s="29">
        <f>IFERROR((G9112*H9112*I9112/1000000)*D9112,0)</f>
      </c>
    </row>
    <row r="9113" spans="1:13" x14ac:dyDescent="0.25">
      <c r="A9113" s="16"/>
      <c r="E9113" s="27"/>
      <c r="F9113" t="s">
        <v>26</v>
      </c>
      <c r="G9113" s="28">
        <f>IFERROR(VLOOKUP(F9113,CARTON_LOOKUP!$A:$E,3,0),"")</f>
      </c>
      <c r="H9113" s="28">
        <f>IFERROR(VLOOKUP(F9113,CARTON_LOOKUP!$A:$E,4,0),"")</f>
      </c>
      <c r="I9113" s="28">
        <f>IFERROR(VLOOKUP(F9113,CARTON_LOOKUP!$A:$E,5,0),"")</f>
      </c>
      <c r="J9113" s="29">
        <f>IFERROR(VLOOKUP(F9113,CARTON_LOOKUP!$A:$E,2,0),"")</f>
      </c>
      <c r="K9113" s="29">
        <f>IFERROR(J9113*D9113,0)</f>
      </c>
      <c r="L9113" s="29">
        <f>IFERROR(E9113*C9113,0)</f>
      </c>
      <c r="M9113" s="29">
        <f>IFERROR((G9113*H9113*I9113/1000000)*D9113,0)</f>
      </c>
    </row>
    <row r="9114" spans="1:13" x14ac:dyDescent="0.25">
      <c r="A9114" s="16"/>
      <c r="E9114" s="27"/>
      <c r="F9114" t="s">
        <v>26</v>
      </c>
      <c r="G9114" s="28">
        <f>IFERROR(VLOOKUP(F9114,CARTON_LOOKUP!$A:$E,3,0),"")</f>
      </c>
      <c r="H9114" s="28">
        <f>IFERROR(VLOOKUP(F9114,CARTON_LOOKUP!$A:$E,4,0),"")</f>
      </c>
      <c r="I9114" s="28">
        <f>IFERROR(VLOOKUP(F9114,CARTON_LOOKUP!$A:$E,5,0),"")</f>
      </c>
      <c r="J9114" s="29">
        <f>IFERROR(VLOOKUP(F9114,CARTON_LOOKUP!$A:$E,2,0),"")</f>
      </c>
      <c r="K9114" s="29">
        <f>IFERROR(J9114*D9114,0)</f>
      </c>
      <c r="L9114" s="29">
        <f>IFERROR(E9114*C9114,0)</f>
      </c>
      <c r="M9114" s="29">
        <f>IFERROR((G9114*H9114*I9114/1000000)*D9114,0)</f>
      </c>
    </row>
    <row r="9115" spans="1:13" x14ac:dyDescent="0.25">
      <c r="A9115" s="16"/>
      <c r="E9115" s="27"/>
      <c r="F9115" t="s">
        <v>26</v>
      </c>
      <c r="G9115" s="28">
        <f>IFERROR(VLOOKUP(F9115,CARTON_LOOKUP!$A:$E,3,0),"")</f>
      </c>
      <c r="H9115" s="28">
        <f>IFERROR(VLOOKUP(F9115,CARTON_LOOKUP!$A:$E,4,0),"")</f>
      </c>
      <c r="I9115" s="28">
        <f>IFERROR(VLOOKUP(F9115,CARTON_LOOKUP!$A:$E,5,0),"")</f>
      </c>
      <c r="J9115" s="29">
        <f>IFERROR(VLOOKUP(F9115,CARTON_LOOKUP!$A:$E,2,0),"")</f>
      </c>
      <c r="K9115" s="29">
        <f>IFERROR(J9115*D9115,0)</f>
      </c>
      <c r="L9115" s="29">
        <f>IFERROR(E9115*C9115,0)</f>
      </c>
      <c r="M9115" s="29">
        <f>IFERROR((G9115*H9115*I9115/1000000)*D9115,0)</f>
      </c>
    </row>
    <row r="9116" spans="1:13" x14ac:dyDescent="0.25">
      <c r="A9116" s="16"/>
      <c r="E9116" s="27"/>
      <c r="F9116" t="s">
        <v>26</v>
      </c>
      <c r="G9116" s="28">
        <f>IFERROR(VLOOKUP(F9116,CARTON_LOOKUP!$A:$E,3,0),"")</f>
      </c>
      <c r="H9116" s="28">
        <f>IFERROR(VLOOKUP(F9116,CARTON_LOOKUP!$A:$E,4,0),"")</f>
      </c>
      <c r="I9116" s="28">
        <f>IFERROR(VLOOKUP(F9116,CARTON_LOOKUP!$A:$E,5,0),"")</f>
      </c>
      <c r="J9116" s="29">
        <f>IFERROR(VLOOKUP(F9116,CARTON_LOOKUP!$A:$E,2,0),"")</f>
      </c>
      <c r="K9116" s="29">
        <f>IFERROR(J9116*D9116,0)</f>
      </c>
      <c r="L9116" s="29">
        <f>IFERROR(E9116*C9116,0)</f>
      </c>
      <c r="M9116" s="29">
        <f>IFERROR((G9116*H9116*I9116/1000000)*D9116,0)</f>
      </c>
    </row>
    <row r="9117" spans="1:13" x14ac:dyDescent="0.25">
      <c r="A9117" s="16"/>
      <c r="E9117" s="27"/>
      <c r="F9117" t="s">
        <v>26</v>
      </c>
      <c r="G9117" s="28">
        <f>IFERROR(VLOOKUP(F9117,CARTON_LOOKUP!$A:$E,3,0),"")</f>
      </c>
      <c r="H9117" s="28">
        <f>IFERROR(VLOOKUP(F9117,CARTON_LOOKUP!$A:$E,4,0),"")</f>
      </c>
      <c r="I9117" s="28">
        <f>IFERROR(VLOOKUP(F9117,CARTON_LOOKUP!$A:$E,5,0),"")</f>
      </c>
      <c r="J9117" s="29">
        <f>IFERROR(VLOOKUP(F9117,CARTON_LOOKUP!$A:$E,2,0),"")</f>
      </c>
      <c r="K9117" s="29">
        <f>IFERROR(J9117*D9117,0)</f>
      </c>
      <c r="L9117" s="29">
        <f>IFERROR(E9117*C9117,0)</f>
      </c>
      <c r="M9117" s="29">
        <f>IFERROR((G9117*H9117*I9117/1000000)*D9117,0)</f>
      </c>
    </row>
    <row r="9118" spans="1:13" x14ac:dyDescent="0.25">
      <c r="A9118" s="16"/>
      <c r="E9118" s="27"/>
      <c r="F9118" t="s">
        <v>26</v>
      </c>
      <c r="G9118" s="28">
        <f>IFERROR(VLOOKUP(F9118,CARTON_LOOKUP!$A:$E,3,0),"")</f>
      </c>
      <c r="H9118" s="28">
        <f>IFERROR(VLOOKUP(F9118,CARTON_LOOKUP!$A:$E,4,0),"")</f>
      </c>
      <c r="I9118" s="28">
        <f>IFERROR(VLOOKUP(F9118,CARTON_LOOKUP!$A:$E,5,0),"")</f>
      </c>
      <c r="J9118" s="29">
        <f>IFERROR(VLOOKUP(F9118,CARTON_LOOKUP!$A:$E,2,0),"")</f>
      </c>
      <c r="K9118" s="29">
        <f>IFERROR(J9118*D9118,0)</f>
      </c>
      <c r="L9118" s="29">
        <f>IFERROR(E9118*C9118,0)</f>
      </c>
      <c r="M9118" s="29">
        <f>IFERROR((G9118*H9118*I9118/1000000)*D9118,0)</f>
      </c>
    </row>
    <row r="9119" spans="1:13" x14ac:dyDescent="0.25">
      <c r="A9119" s="16"/>
      <c r="E9119" s="27"/>
      <c r="F9119" t="s">
        <v>26</v>
      </c>
      <c r="G9119" s="28">
        <f>IFERROR(VLOOKUP(F9119,CARTON_LOOKUP!$A:$E,3,0),"")</f>
      </c>
      <c r="H9119" s="28">
        <f>IFERROR(VLOOKUP(F9119,CARTON_LOOKUP!$A:$E,4,0),"")</f>
      </c>
      <c r="I9119" s="28">
        <f>IFERROR(VLOOKUP(F9119,CARTON_LOOKUP!$A:$E,5,0),"")</f>
      </c>
      <c r="J9119" s="29">
        <f>IFERROR(VLOOKUP(F9119,CARTON_LOOKUP!$A:$E,2,0),"")</f>
      </c>
      <c r="K9119" s="29">
        <f>IFERROR(J9119*D9119,0)</f>
      </c>
      <c r="L9119" s="29">
        <f>IFERROR(E9119*C9119,0)</f>
      </c>
      <c r="M9119" s="29">
        <f>IFERROR((G9119*H9119*I9119/1000000)*D9119,0)</f>
      </c>
    </row>
    <row r="9120" spans="1:13" x14ac:dyDescent="0.25">
      <c r="A9120" s="16"/>
      <c r="E9120" s="27"/>
      <c r="F9120" t="s">
        <v>26</v>
      </c>
      <c r="G9120" s="28">
        <f>IFERROR(VLOOKUP(F9120,CARTON_LOOKUP!$A:$E,3,0),"")</f>
      </c>
      <c r="H9120" s="28">
        <f>IFERROR(VLOOKUP(F9120,CARTON_LOOKUP!$A:$E,4,0),"")</f>
      </c>
      <c r="I9120" s="28">
        <f>IFERROR(VLOOKUP(F9120,CARTON_LOOKUP!$A:$E,5,0),"")</f>
      </c>
      <c r="J9120" s="29">
        <f>IFERROR(VLOOKUP(F9120,CARTON_LOOKUP!$A:$E,2,0),"")</f>
      </c>
      <c r="K9120" s="29">
        <f>IFERROR(J9120*D9120,0)</f>
      </c>
      <c r="L9120" s="29">
        <f>IFERROR(E9120*C9120,0)</f>
      </c>
      <c r="M9120" s="29">
        <f>IFERROR((G9120*H9120*I9120/1000000)*D9120,0)</f>
      </c>
    </row>
    <row r="9121" spans="1:13" x14ac:dyDescent="0.25">
      <c r="A9121" s="16"/>
      <c r="E9121" s="27"/>
      <c r="F9121" t="s">
        <v>26</v>
      </c>
      <c r="G9121" s="28">
        <f>IFERROR(VLOOKUP(F9121,CARTON_LOOKUP!$A:$E,3,0),"")</f>
      </c>
      <c r="H9121" s="28">
        <f>IFERROR(VLOOKUP(F9121,CARTON_LOOKUP!$A:$E,4,0),"")</f>
      </c>
      <c r="I9121" s="28">
        <f>IFERROR(VLOOKUP(F9121,CARTON_LOOKUP!$A:$E,5,0),"")</f>
      </c>
      <c r="J9121" s="29">
        <f>IFERROR(VLOOKUP(F9121,CARTON_LOOKUP!$A:$E,2,0),"")</f>
      </c>
      <c r="K9121" s="29">
        <f>IFERROR(J9121*D9121,0)</f>
      </c>
      <c r="L9121" s="29">
        <f>IFERROR(E9121*C9121,0)</f>
      </c>
      <c r="M9121" s="29">
        <f>IFERROR((G9121*H9121*I9121/1000000)*D9121,0)</f>
      </c>
    </row>
    <row r="9122" spans="1:13" x14ac:dyDescent="0.25">
      <c r="A9122" s="16"/>
      <c r="E9122" s="27"/>
      <c r="F9122" t="s">
        <v>26</v>
      </c>
      <c r="G9122" s="28">
        <f>IFERROR(VLOOKUP(F9122,CARTON_LOOKUP!$A:$E,3,0),"")</f>
      </c>
      <c r="H9122" s="28">
        <f>IFERROR(VLOOKUP(F9122,CARTON_LOOKUP!$A:$E,4,0),"")</f>
      </c>
      <c r="I9122" s="28">
        <f>IFERROR(VLOOKUP(F9122,CARTON_LOOKUP!$A:$E,5,0),"")</f>
      </c>
      <c r="J9122" s="29">
        <f>IFERROR(VLOOKUP(F9122,CARTON_LOOKUP!$A:$E,2,0),"")</f>
      </c>
      <c r="K9122" s="29">
        <f>IFERROR(J9122*D9122,0)</f>
      </c>
      <c r="L9122" s="29">
        <f>IFERROR(E9122*C9122,0)</f>
      </c>
      <c r="M9122" s="29">
        <f>IFERROR((G9122*H9122*I9122/1000000)*D9122,0)</f>
      </c>
    </row>
    <row r="9123" spans="1:13" x14ac:dyDescent="0.25">
      <c r="A9123" s="16"/>
      <c r="E9123" s="27"/>
      <c r="F9123" t="s">
        <v>26</v>
      </c>
      <c r="G9123" s="28">
        <f>IFERROR(VLOOKUP(F9123,CARTON_LOOKUP!$A:$E,3,0),"")</f>
      </c>
      <c r="H9123" s="28">
        <f>IFERROR(VLOOKUP(F9123,CARTON_LOOKUP!$A:$E,4,0),"")</f>
      </c>
      <c r="I9123" s="28">
        <f>IFERROR(VLOOKUP(F9123,CARTON_LOOKUP!$A:$E,5,0),"")</f>
      </c>
      <c r="J9123" s="29">
        <f>IFERROR(VLOOKUP(F9123,CARTON_LOOKUP!$A:$E,2,0),"")</f>
      </c>
      <c r="K9123" s="29">
        <f>IFERROR(J9123*D9123,0)</f>
      </c>
      <c r="L9123" s="29">
        <f>IFERROR(E9123*C9123,0)</f>
      </c>
      <c r="M9123" s="29">
        <f>IFERROR((G9123*H9123*I9123/1000000)*D9123,0)</f>
      </c>
    </row>
    <row r="9124" spans="1:13" x14ac:dyDescent="0.25">
      <c r="A9124" s="16"/>
      <c r="E9124" s="27"/>
      <c r="F9124" t="s">
        <v>26</v>
      </c>
      <c r="G9124" s="28">
        <f>IFERROR(VLOOKUP(F9124,CARTON_LOOKUP!$A:$E,3,0),"")</f>
      </c>
      <c r="H9124" s="28">
        <f>IFERROR(VLOOKUP(F9124,CARTON_LOOKUP!$A:$E,4,0),"")</f>
      </c>
      <c r="I9124" s="28">
        <f>IFERROR(VLOOKUP(F9124,CARTON_LOOKUP!$A:$E,5,0),"")</f>
      </c>
      <c r="J9124" s="29">
        <f>IFERROR(VLOOKUP(F9124,CARTON_LOOKUP!$A:$E,2,0),"")</f>
      </c>
      <c r="K9124" s="29">
        <f>IFERROR(J9124*D9124,0)</f>
      </c>
      <c r="L9124" s="29">
        <f>IFERROR(E9124*C9124,0)</f>
      </c>
      <c r="M9124" s="29">
        <f>IFERROR((G9124*H9124*I9124/1000000)*D9124,0)</f>
      </c>
    </row>
    <row r="9125" spans="1:13" x14ac:dyDescent="0.25">
      <c r="A9125" s="16"/>
      <c r="E9125" s="27"/>
      <c r="F9125" t="s">
        <v>26</v>
      </c>
      <c r="G9125" s="28">
        <f>IFERROR(VLOOKUP(F9125,CARTON_LOOKUP!$A:$E,3,0),"")</f>
      </c>
      <c r="H9125" s="28">
        <f>IFERROR(VLOOKUP(F9125,CARTON_LOOKUP!$A:$E,4,0),"")</f>
      </c>
      <c r="I9125" s="28">
        <f>IFERROR(VLOOKUP(F9125,CARTON_LOOKUP!$A:$E,5,0),"")</f>
      </c>
      <c r="J9125" s="29">
        <f>IFERROR(VLOOKUP(F9125,CARTON_LOOKUP!$A:$E,2,0),"")</f>
      </c>
      <c r="K9125" s="29">
        <f>IFERROR(J9125*D9125,0)</f>
      </c>
      <c r="L9125" s="29">
        <f>IFERROR(E9125*C9125,0)</f>
      </c>
      <c r="M9125" s="29">
        <f>IFERROR((G9125*H9125*I9125/1000000)*D9125,0)</f>
      </c>
    </row>
    <row r="9126" spans="1:13" x14ac:dyDescent="0.25">
      <c r="A9126" s="16"/>
      <c r="E9126" s="27"/>
      <c r="F9126" t="s">
        <v>26</v>
      </c>
      <c r="G9126" s="28">
        <f>IFERROR(VLOOKUP(F9126,CARTON_LOOKUP!$A:$E,3,0),"")</f>
      </c>
      <c r="H9126" s="28">
        <f>IFERROR(VLOOKUP(F9126,CARTON_LOOKUP!$A:$E,4,0),"")</f>
      </c>
      <c r="I9126" s="28">
        <f>IFERROR(VLOOKUP(F9126,CARTON_LOOKUP!$A:$E,5,0),"")</f>
      </c>
      <c r="J9126" s="29">
        <f>IFERROR(VLOOKUP(F9126,CARTON_LOOKUP!$A:$E,2,0),"")</f>
      </c>
      <c r="K9126" s="29">
        <f>IFERROR(J9126*D9126,0)</f>
      </c>
      <c r="L9126" s="29">
        <f>IFERROR(E9126*C9126,0)</f>
      </c>
      <c r="M9126" s="29">
        <f>IFERROR((G9126*H9126*I9126/1000000)*D9126,0)</f>
      </c>
    </row>
    <row r="9127" spans="1:13" x14ac:dyDescent="0.25">
      <c r="A9127" s="16"/>
      <c r="E9127" s="27"/>
      <c r="F9127" t="s">
        <v>26</v>
      </c>
      <c r="G9127" s="28">
        <f>IFERROR(VLOOKUP(F9127,CARTON_LOOKUP!$A:$E,3,0),"")</f>
      </c>
      <c r="H9127" s="28">
        <f>IFERROR(VLOOKUP(F9127,CARTON_LOOKUP!$A:$E,4,0),"")</f>
      </c>
      <c r="I9127" s="28">
        <f>IFERROR(VLOOKUP(F9127,CARTON_LOOKUP!$A:$E,5,0),"")</f>
      </c>
      <c r="J9127" s="29">
        <f>IFERROR(VLOOKUP(F9127,CARTON_LOOKUP!$A:$E,2,0),"")</f>
      </c>
      <c r="K9127" s="29">
        <f>IFERROR(J9127*D9127,0)</f>
      </c>
      <c r="L9127" s="29">
        <f>IFERROR(E9127*C9127,0)</f>
      </c>
      <c r="M9127" s="29">
        <f>IFERROR((G9127*H9127*I9127/1000000)*D9127,0)</f>
      </c>
    </row>
    <row r="9128" spans="1:13" x14ac:dyDescent="0.25">
      <c r="A9128" s="16"/>
      <c r="E9128" s="27"/>
      <c r="F9128" t="s">
        <v>26</v>
      </c>
      <c r="G9128" s="28">
        <f>IFERROR(VLOOKUP(F9128,CARTON_LOOKUP!$A:$E,3,0),"")</f>
      </c>
      <c r="H9128" s="28">
        <f>IFERROR(VLOOKUP(F9128,CARTON_LOOKUP!$A:$E,4,0),"")</f>
      </c>
      <c r="I9128" s="28">
        <f>IFERROR(VLOOKUP(F9128,CARTON_LOOKUP!$A:$E,5,0),"")</f>
      </c>
      <c r="J9128" s="29">
        <f>IFERROR(VLOOKUP(F9128,CARTON_LOOKUP!$A:$E,2,0),"")</f>
      </c>
      <c r="K9128" s="29">
        <f>IFERROR(J9128*D9128,0)</f>
      </c>
      <c r="L9128" s="29">
        <f>IFERROR(E9128*C9128,0)</f>
      </c>
      <c r="M9128" s="29">
        <f>IFERROR((G9128*H9128*I9128/1000000)*D9128,0)</f>
      </c>
    </row>
    <row r="9129" spans="1:13" x14ac:dyDescent="0.25">
      <c r="A9129" s="16"/>
      <c r="E9129" s="27"/>
      <c r="F9129" t="s">
        <v>26</v>
      </c>
      <c r="G9129" s="28">
        <f>IFERROR(VLOOKUP(F9129,CARTON_LOOKUP!$A:$E,3,0),"")</f>
      </c>
      <c r="H9129" s="28">
        <f>IFERROR(VLOOKUP(F9129,CARTON_LOOKUP!$A:$E,4,0),"")</f>
      </c>
      <c r="I9129" s="28">
        <f>IFERROR(VLOOKUP(F9129,CARTON_LOOKUP!$A:$E,5,0),"")</f>
      </c>
      <c r="J9129" s="29">
        <f>IFERROR(VLOOKUP(F9129,CARTON_LOOKUP!$A:$E,2,0),"")</f>
      </c>
      <c r="K9129" s="29">
        <f>IFERROR(J9129*D9129,0)</f>
      </c>
      <c r="L9129" s="29">
        <f>IFERROR(E9129*C9129,0)</f>
      </c>
      <c r="M9129" s="29">
        <f>IFERROR((G9129*H9129*I9129/1000000)*D9129,0)</f>
      </c>
    </row>
    <row r="9130" spans="1:13" x14ac:dyDescent="0.25">
      <c r="A9130" s="16"/>
      <c r="E9130" s="27"/>
      <c r="F9130" t="s">
        <v>26</v>
      </c>
      <c r="G9130" s="28">
        <f>IFERROR(VLOOKUP(F9130,CARTON_LOOKUP!$A:$E,3,0),"")</f>
      </c>
      <c r="H9130" s="28">
        <f>IFERROR(VLOOKUP(F9130,CARTON_LOOKUP!$A:$E,4,0),"")</f>
      </c>
      <c r="I9130" s="28">
        <f>IFERROR(VLOOKUP(F9130,CARTON_LOOKUP!$A:$E,5,0),"")</f>
      </c>
      <c r="J9130" s="29">
        <f>IFERROR(VLOOKUP(F9130,CARTON_LOOKUP!$A:$E,2,0),"")</f>
      </c>
      <c r="K9130" s="29">
        <f>IFERROR(J9130*D9130,0)</f>
      </c>
      <c r="L9130" s="29">
        <f>IFERROR(E9130*C9130,0)</f>
      </c>
      <c r="M9130" s="29">
        <f>IFERROR((G9130*H9130*I9130/1000000)*D9130,0)</f>
      </c>
    </row>
    <row r="9131" spans="1:13" x14ac:dyDescent="0.25">
      <c r="A9131" s="16"/>
      <c r="E9131" s="27"/>
      <c r="F9131" t="s">
        <v>26</v>
      </c>
      <c r="G9131" s="28">
        <f>IFERROR(VLOOKUP(F9131,CARTON_LOOKUP!$A:$E,3,0),"")</f>
      </c>
      <c r="H9131" s="28">
        <f>IFERROR(VLOOKUP(F9131,CARTON_LOOKUP!$A:$E,4,0),"")</f>
      </c>
      <c r="I9131" s="28">
        <f>IFERROR(VLOOKUP(F9131,CARTON_LOOKUP!$A:$E,5,0),"")</f>
      </c>
      <c r="J9131" s="29">
        <f>IFERROR(VLOOKUP(F9131,CARTON_LOOKUP!$A:$E,2,0),"")</f>
      </c>
      <c r="K9131" s="29">
        <f>IFERROR(J9131*D9131,0)</f>
      </c>
      <c r="L9131" s="29">
        <f>IFERROR(E9131*C9131,0)</f>
      </c>
      <c r="M9131" s="29">
        <f>IFERROR((G9131*H9131*I9131/1000000)*D9131,0)</f>
      </c>
    </row>
    <row r="9132" spans="1:13" x14ac:dyDescent="0.25">
      <c r="A9132" s="16"/>
      <c r="E9132" s="27"/>
      <c r="F9132" t="s">
        <v>26</v>
      </c>
      <c r="G9132" s="28">
        <f>IFERROR(VLOOKUP(F9132,CARTON_LOOKUP!$A:$E,3,0),"")</f>
      </c>
      <c r="H9132" s="28">
        <f>IFERROR(VLOOKUP(F9132,CARTON_LOOKUP!$A:$E,4,0),"")</f>
      </c>
      <c r="I9132" s="28">
        <f>IFERROR(VLOOKUP(F9132,CARTON_LOOKUP!$A:$E,5,0),"")</f>
      </c>
      <c r="J9132" s="29">
        <f>IFERROR(VLOOKUP(F9132,CARTON_LOOKUP!$A:$E,2,0),"")</f>
      </c>
      <c r="K9132" s="29">
        <f>IFERROR(J9132*D9132,0)</f>
      </c>
      <c r="L9132" s="29">
        <f>IFERROR(E9132*C9132,0)</f>
      </c>
      <c r="M9132" s="29">
        <f>IFERROR((G9132*H9132*I9132/1000000)*D9132,0)</f>
      </c>
    </row>
    <row r="9133" spans="1:13" x14ac:dyDescent="0.25">
      <c r="A9133" s="16"/>
      <c r="E9133" s="27"/>
      <c r="F9133" t="s">
        <v>26</v>
      </c>
      <c r="G9133" s="28">
        <f>IFERROR(VLOOKUP(F9133,CARTON_LOOKUP!$A:$E,3,0),"")</f>
      </c>
      <c r="H9133" s="28">
        <f>IFERROR(VLOOKUP(F9133,CARTON_LOOKUP!$A:$E,4,0),"")</f>
      </c>
      <c r="I9133" s="28">
        <f>IFERROR(VLOOKUP(F9133,CARTON_LOOKUP!$A:$E,5,0),"")</f>
      </c>
      <c r="J9133" s="29">
        <f>IFERROR(VLOOKUP(F9133,CARTON_LOOKUP!$A:$E,2,0),"")</f>
      </c>
      <c r="K9133" s="29">
        <f>IFERROR(J9133*D9133,0)</f>
      </c>
      <c r="L9133" s="29">
        <f>IFERROR(E9133*C9133,0)</f>
      </c>
      <c r="M9133" s="29">
        <f>IFERROR((G9133*H9133*I9133/1000000)*D9133,0)</f>
      </c>
    </row>
    <row r="9134" spans="1:13" x14ac:dyDescent="0.25">
      <c r="A9134" s="16"/>
      <c r="E9134" s="27"/>
      <c r="F9134" t="s">
        <v>26</v>
      </c>
      <c r="G9134" s="28">
        <f>IFERROR(VLOOKUP(F9134,CARTON_LOOKUP!$A:$E,3,0),"")</f>
      </c>
      <c r="H9134" s="28">
        <f>IFERROR(VLOOKUP(F9134,CARTON_LOOKUP!$A:$E,4,0),"")</f>
      </c>
      <c r="I9134" s="28">
        <f>IFERROR(VLOOKUP(F9134,CARTON_LOOKUP!$A:$E,5,0),"")</f>
      </c>
      <c r="J9134" s="29">
        <f>IFERROR(VLOOKUP(F9134,CARTON_LOOKUP!$A:$E,2,0),"")</f>
      </c>
      <c r="K9134" s="29">
        <f>IFERROR(J9134*D9134,0)</f>
      </c>
      <c r="L9134" s="29">
        <f>IFERROR(E9134*C9134,0)</f>
      </c>
      <c r="M9134" s="29">
        <f>IFERROR((G9134*H9134*I9134/1000000)*D9134,0)</f>
      </c>
    </row>
    <row r="9135" spans="1:13" x14ac:dyDescent="0.25">
      <c r="A9135" s="16"/>
      <c r="E9135" s="27"/>
      <c r="F9135" t="s">
        <v>26</v>
      </c>
      <c r="G9135" s="28">
        <f>IFERROR(VLOOKUP(F9135,CARTON_LOOKUP!$A:$E,3,0),"")</f>
      </c>
      <c r="H9135" s="28">
        <f>IFERROR(VLOOKUP(F9135,CARTON_LOOKUP!$A:$E,4,0),"")</f>
      </c>
      <c r="I9135" s="28">
        <f>IFERROR(VLOOKUP(F9135,CARTON_LOOKUP!$A:$E,5,0),"")</f>
      </c>
      <c r="J9135" s="29">
        <f>IFERROR(VLOOKUP(F9135,CARTON_LOOKUP!$A:$E,2,0),"")</f>
      </c>
      <c r="K9135" s="29">
        <f>IFERROR(J9135*D9135,0)</f>
      </c>
      <c r="L9135" s="29">
        <f>IFERROR(E9135*C9135,0)</f>
      </c>
      <c r="M9135" s="29">
        <f>IFERROR((G9135*H9135*I9135/1000000)*D9135,0)</f>
      </c>
    </row>
    <row r="9136" spans="1:13" x14ac:dyDescent="0.25">
      <c r="A9136" s="16"/>
      <c r="E9136" s="27"/>
      <c r="F9136" t="s">
        <v>26</v>
      </c>
      <c r="G9136" s="28">
        <f>IFERROR(VLOOKUP(F9136,CARTON_LOOKUP!$A:$E,3,0),"")</f>
      </c>
      <c r="H9136" s="28">
        <f>IFERROR(VLOOKUP(F9136,CARTON_LOOKUP!$A:$E,4,0),"")</f>
      </c>
      <c r="I9136" s="28">
        <f>IFERROR(VLOOKUP(F9136,CARTON_LOOKUP!$A:$E,5,0),"")</f>
      </c>
      <c r="J9136" s="29">
        <f>IFERROR(VLOOKUP(F9136,CARTON_LOOKUP!$A:$E,2,0),"")</f>
      </c>
      <c r="K9136" s="29">
        <f>IFERROR(J9136*D9136,0)</f>
      </c>
      <c r="L9136" s="29">
        <f>IFERROR(E9136*C9136,0)</f>
      </c>
      <c r="M9136" s="29">
        <f>IFERROR((G9136*H9136*I9136/1000000)*D9136,0)</f>
      </c>
    </row>
    <row r="9137" spans="1:13" x14ac:dyDescent="0.25">
      <c r="A9137" s="16"/>
      <c r="E9137" s="27"/>
      <c r="F9137" t="s">
        <v>26</v>
      </c>
      <c r="G9137" s="28">
        <f>IFERROR(VLOOKUP(F9137,CARTON_LOOKUP!$A:$E,3,0),"")</f>
      </c>
      <c r="H9137" s="28">
        <f>IFERROR(VLOOKUP(F9137,CARTON_LOOKUP!$A:$E,4,0),"")</f>
      </c>
      <c r="I9137" s="28">
        <f>IFERROR(VLOOKUP(F9137,CARTON_LOOKUP!$A:$E,5,0),"")</f>
      </c>
      <c r="J9137" s="29">
        <f>IFERROR(VLOOKUP(F9137,CARTON_LOOKUP!$A:$E,2,0),"")</f>
      </c>
      <c r="K9137" s="29">
        <f>IFERROR(J9137*D9137,0)</f>
      </c>
      <c r="L9137" s="29">
        <f>IFERROR(E9137*C9137,0)</f>
      </c>
      <c r="M9137" s="29">
        <f>IFERROR((G9137*H9137*I9137/1000000)*D9137,0)</f>
      </c>
    </row>
    <row r="9138" spans="1:13" x14ac:dyDescent="0.25">
      <c r="A9138" s="16"/>
      <c r="E9138" s="27"/>
      <c r="F9138" t="s">
        <v>26</v>
      </c>
      <c r="G9138" s="28">
        <f>IFERROR(VLOOKUP(F9138,CARTON_LOOKUP!$A:$E,3,0),"")</f>
      </c>
      <c r="H9138" s="28">
        <f>IFERROR(VLOOKUP(F9138,CARTON_LOOKUP!$A:$E,4,0),"")</f>
      </c>
      <c r="I9138" s="28">
        <f>IFERROR(VLOOKUP(F9138,CARTON_LOOKUP!$A:$E,5,0),"")</f>
      </c>
      <c r="J9138" s="29">
        <f>IFERROR(VLOOKUP(F9138,CARTON_LOOKUP!$A:$E,2,0),"")</f>
      </c>
      <c r="K9138" s="29">
        <f>IFERROR(J9138*D9138,0)</f>
      </c>
      <c r="L9138" s="29">
        <f>IFERROR(E9138*C9138,0)</f>
      </c>
      <c r="M9138" s="29">
        <f>IFERROR((G9138*H9138*I9138/1000000)*D9138,0)</f>
      </c>
    </row>
    <row r="9139" spans="1:13" x14ac:dyDescent="0.25">
      <c r="A9139" s="16"/>
      <c r="E9139" s="27"/>
      <c r="F9139" t="s">
        <v>26</v>
      </c>
      <c r="G9139" s="28">
        <f>IFERROR(VLOOKUP(F9139,CARTON_LOOKUP!$A:$E,3,0),"")</f>
      </c>
      <c r="H9139" s="28">
        <f>IFERROR(VLOOKUP(F9139,CARTON_LOOKUP!$A:$E,4,0),"")</f>
      </c>
      <c r="I9139" s="28">
        <f>IFERROR(VLOOKUP(F9139,CARTON_LOOKUP!$A:$E,5,0),"")</f>
      </c>
      <c r="J9139" s="29">
        <f>IFERROR(VLOOKUP(F9139,CARTON_LOOKUP!$A:$E,2,0),"")</f>
      </c>
      <c r="K9139" s="29">
        <f>IFERROR(J9139*D9139,0)</f>
      </c>
      <c r="L9139" s="29">
        <f>IFERROR(E9139*C9139,0)</f>
      </c>
      <c r="M9139" s="29">
        <f>IFERROR((G9139*H9139*I9139/1000000)*D9139,0)</f>
      </c>
    </row>
    <row r="9140" spans="1:13" x14ac:dyDescent="0.25">
      <c r="A9140" s="16"/>
      <c r="E9140" s="27"/>
      <c r="F9140" t="s">
        <v>26</v>
      </c>
      <c r="G9140" s="28">
        <f>IFERROR(VLOOKUP(F9140,CARTON_LOOKUP!$A:$E,3,0),"")</f>
      </c>
      <c r="H9140" s="28">
        <f>IFERROR(VLOOKUP(F9140,CARTON_LOOKUP!$A:$E,4,0),"")</f>
      </c>
      <c r="I9140" s="28">
        <f>IFERROR(VLOOKUP(F9140,CARTON_LOOKUP!$A:$E,5,0),"")</f>
      </c>
      <c r="J9140" s="29">
        <f>IFERROR(VLOOKUP(F9140,CARTON_LOOKUP!$A:$E,2,0),"")</f>
      </c>
      <c r="K9140" s="29">
        <f>IFERROR(J9140*D9140,0)</f>
      </c>
      <c r="L9140" s="29">
        <f>IFERROR(E9140*C9140,0)</f>
      </c>
      <c r="M9140" s="29">
        <f>IFERROR((G9140*H9140*I9140/1000000)*D9140,0)</f>
      </c>
    </row>
    <row r="9141" spans="1:13" x14ac:dyDescent="0.25">
      <c r="A9141" s="16"/>
      <c r="E9141" s="27"/>
      <c r="F9141" t="s">
        <v>26</v>
      </c>
      <c r="G9141" s="28">
        <f>IFERROR(VLOOKUP(F9141,CARTON_LOOKUP!$A:$E,3,0),"")</f>
      </c>
      <c r="H9141" s="28">
        <f>IFERROR(VLOOKUP(F9141,CARTON_LOOKUP!$A:$E,4,0),"")</f>
      </c>
      <c r="I9141" s="28">
        <f>IFERROR(VLOOKUP(F9141,CARTON_LOOKUP!$A:$E,5,0),"")</f>
      </c>
      <c r="J9141" s="29">
        <f>IFERROR(VLOOKUP(F9141,CARTON_LOOKUP!$A:$E,2,0),"")</f>
      </c>
      <c r="K9141" s="29">
        <f>IFERROR(J9141*D9141,0)</f>
      </c>
      <c r="L9141" s="29">
        <f>IFERROR(E9141*C9141,0)</f>
      </c>
      <c r="M9141" s="29">
        <f>IFERROR((G9141*H9141*I9141/1000000)*D9141,0)</f>
      </c>
    </row>
    <row r="9142" spans="1:13" x14ac:dyDescent="0.25">
      <c r="A9142" s="16"/>
      <c r="E9142" s="27"/>
      <c r="F9142" t="s">
        <v>26</v>
      </c>
      <c r="G9142" s="28">
        <f>IFERROR(VLOOKUP(F9142,CARTON_LOOKUP!$A:$E,3,0),"")</f>
      </c>
      <c r="H9142" s="28">
        <f>IFERROR(VLOOKUP(F9142,CARTON_LOOKUP!$A:$E,4,0),"")</f>
      </c>
      <c r="I9142" s="28">
        <f>IFERROR(VLOOKUP(F9142,CARTON_LOOKUP!$A:$E,5,0),"")</f>
      </c>
      <c r="J9142" s="29">
        <f>IFERROR(VLOOKUP(F9142,CARTON_LOOKUP!$A:$E,2,0),"")</f>
      </c>
      <c r="K9142" s="29">
        <f>IFERROR(J9142*D9142,0)</f>
      </c>
      <c r="L9142" s="29">
        <f>IFERROR(E9142*C9142,0)</f>
      </c>
      <c r="M9142" s="29">
        <f>IFERROR((G9142*H9142*I9142/1000000)*D9142,0)</f>
      </c>
    </row>
    <row r="9143" spans="1:13" x14ac:dyDescent="0.25">
      <c r="A9143" s="16"/>
      <c r="E9143" s="27"/>
      <c r="F9143" t="s">
        <v>26</v>
      </c>
      <c r="G9143" s="28">
        <f>IFERROR(VLOOKUP(F9143,CARTON_LOOKUP!$A:$E,3,0),"")</f>
      </c>
      <c r="H9143" s="28">
        <f>IFERROR(VLOOKUP(F9143,CARTON_LOOKUP!$A:$E,4,0),"")</f>
      </c>
      <c r="I9143" s="28">
        <f>IFERROR(VLOOKUP(F9143,CARTON_LOOKUP!$A:$E,5,0),"")</f>
      </c>
      <c r="J9143" s="29">
        <f>IFERROR(VLOOKUP(F9143,CARTON_LOOKUP!$A:$E,2,0),"")</f>
      </c>
      <c r="K9143" s="29">
        <f>IFERROR(J9143*D9143,0)</f>
      </c>
      <c r="L9143" s="29">
        <f>IFERROR(E9143*C9143,0)</f>
      </c>
      <c r="M9143" s="29">
        <f>IFERROR((G9143*H9143*I9143/1000000)*D9143,0)</f>
      </c>
    </row>
    <row r="9144" spans="1:13" x14ac:dyDescent="0.25">
      <c r="A9144" s="16"/>
      <c r="E9144" s="27"/>
      <c r="F9144" t="s">
        <v>26</v>
      </c>
      <c r="G9144" s="28">
        <f>IFERROR(VLOOKUP(F9144,CARTON_LOOKUP!$A:$E,3,0),"")</f>
      </c>
      <c r="H9144" s="28">
        <f>IFERROR(VLOOKUP(F9144,CARTON_LOOKUP!$A:$E,4,0),"")</f>
      </c>
      <c r="I9144" s="28">
        <f>IFERROR(VLOOKUP(F9144,CARTON_LOOKUP!$A:$E,5,0),"")</f>
      </c>
      <c r="J9144" s="29">
        <f>IFERROR(VLOOKUP(F9144,CARTON_LOOKUP!$A:$E,2,0),"")</f>
      </c>
      <c r="K9144" s="29">
        <f>IFERROR(J9144*D9144,0)</f>
      </c>
      <c r="L9144" s="29">
        <f>IFERROR(E9144*C9144,0)</f>
      </c>
      <c r="M9144" s="29">
        <f>IFERROR((G9144*H9144*I9144/1000000)*D9144,0)</f>
      </c>
    </row>
    <row r="9145" spans="1:13" x14ac:dyDescent="0.25">
      <c r="A9145" s="16"/>
      <c r="E9145" s="27"/>
      <c r="F9145" t="s">
        <v>26</v>
      </c>
      <c r="G9145" s="28">
        <f>IFERROR(VLOOKUP(F9145,CARTON_LOOKUP!$A:$E,3,0),"")</f>
      </c>
      <c r="H9145" s="28">
        <f>IFERROR(VLOOKUP(F9145,CARTON_LOOKUP!$A:$E,4,0),"")</f>
      </c>
      <c r="I9145" s="28">
        <f>IFERROR(VLOOKUP(F9145,CARTON_LOOKUP!$A:$E,5,0),"")</f>
      </c>
      <c r="J9145" s="29">
        <f>IFERROR(VLOOKUP(F9145,CARTON_LOOKUP!$A:$E,2,0),"")</f>
      </c>
      <c r="K9145" s="29">
        <f>IFERROR(J9145*D9145,0)</f>
      </c>
      <c r="L9145" s="29">
        <f>IFERROR(E9145*C9145,0)</f>
      </c>
      <c r="M9145" s="29">
        <f>IFERROR((G9145*H9145*I9145/1000000)*D9145,0)</f>
      </c>
    </row>
    <row r="9146" spans="1:13" x14ac:dyDescent="0.25">
      <c r="A9146" s="16"/>
      <c r="E9146" s="27"/>
      <c r="F9146" t="s">
        <v>26</v>
      </c>
      <c r="G9146" s="28">
        <f>IFERROR(VLOOKUP(F9146,CARTON_LOOKUP!$A:$E,3,0),"")</f>
      </c>
      <c r="H9146" s="28">
        <f>IFERROR(VLOOKUP(F9146,CARTON_LOOKUP!$A:$E,4,0),"")</f>
      </c>
      <c r="I9146" s="28">
        <f>IFERROR(VLOOKUP(F9146,CARTON_LOOKUP!$A:$E,5,0),"")</f>
      </c>
      <c r="J9146" s="29">
        <f>IFERROR(VLOOKUP(F9146,CARTON_LOOKUP!$A:$E,2,0),"")</f>
      </c>
      <c r="K9146" s="29">
        <f>IFERROR(J9146*D9146,0)</f>
      </c>
      <c r="L9146" s="29">
        <f>IFERROR(E9146*C9146,0)</f>
      </c>
      <c r="M9146" s="29">
        <f>IFERROR((G9146*H9146*I9146/1000000)*D9146,0)</f>
      </c>
    </row>
    <row r="9147" spans="1:13" x14ac:dyDescent="0.25">
      <c r="A9147" s="16"/>
      <c r="E9147" s="27"/>
      <c r="F9147" t="s">
        <v>26</v>
      </c>
      <c r="G9147" s="28">
        <f>IFERROR(VLOOKUP(F9147,CARTON_LOOKUP!$A:$E,3,0),"")</f>
      </c>
      <c r="H9147" s="28">
        <f>IFERROR(VLOOKUP(F9147,CARTON_LOOKUP!$A:$E,4,0),"")</f>
      </c>
      <c r="I9147" s="28">
        <f>IFERROR(VLOOKUP(F9147,CARTON_LOOKUP!$A:$E,5,0),"")</f>
      </c>
      <c r="J9147" s="29">
        <f>IFERROR(VLOOKUP(F9147,CARTON_LOOKUP!$A:$E,2,0),"")</f>
      </c>
      <c r="K9147" s="29">
        <f>IFERROR(J9147*D9147,0)</f>
      </c>
      <c r="L9147" s="29">
        <f>IFERROR(E9147*C9147,0)</f>
      </c>
      <c r="M9147" s="29">
        <f>IFERROR((G9147*H9147*I9147/1000000)*D9147,0)</f>
      </c>
    </row>
    <row r="9148" spans="1:13" x14ac:dyDescent="0.25">
      <c r="A9148" s="16"/>
      <c r="E9148" s="27"/>
      <c r="F9148" t="s">
        <v>26</v>
      </c>
      <c r="G9148" s="28">
        <f>IFERROR(VLOOKUP(F9148,CARTON_LOOKUP!$A:$E,3,0),"")</f>
      </c>
      <c r="H9148" s="28">
        <f>IFERROR(VLOOKUP(F9148,CARTON_LOOKUP!$A:$E,4,0),"")</f>
      </c>
      <c r="I9148" s="28">
        <f>IFERROR(VLOOKUP(F9148,CARTON_LOOKUP!$A:$E,5,0),"")</f>
      </c>
      <c r="J9148" s="29">
        <f>IFERROR(VLOOKUP(F9148,CARTON_LOOKUP!$A:$E,2,0),"")</f>
      </c>
      <c r="K9148" s="29">
        <f>IFERROR(J9148*D9148,0)</f>
      </c>
      <c r="L9148" s="29">
        <f>IFERROR(E9148*C9148,0)</f>
      </c>
      <c r="M9148" s="29">
        <f>IFERROR((G9148*H9148*I9148/1000000)*D9148,0)</f>
      </c>
    </row>
    <row r="9149" spans="1:13" x14ac:dyDescent="0.25">
      <c r="A9149" s="16"/>
      <c r="E9149" s="27"/>
      <c r="F9149" t="s">
        <v>26</v>
      </c>
      <c r="G9149" s="28">
        <f>IFERROR(VLOOKUP(F9149,CARTON_LOOKUP!$A:$E,3,0),"")</f>
      </c>
      <c r="H9149" s="28">
        <f>IFERROR(VLOOKUP(F9149,CARTON_LOOKUP!$A:$E,4,0),"")</f>
      </c>
      <c r="I9149" s="28">
        <f>IFERROR(VLOOKUP(F9149,CARTON_LOOKUP!$A:$E,5,0),"")</f>
      </c>
      <c r="J9149" s="29">
        <f>IFERROR(VLOOKUP(F9149,CARTON_LOOKUP!$A:$E,2,0),"")</f>
      </c>
      <c r="K9149" s="29">
        <f>IFERROR(J9149*D9149,0)</f>
      </c>
      <c r="L9149" s="29">
        <f>IFERROR(E9149*C9149,0)</f>
      </c>
      <c r="M9149" s="29">
        <f>IFERROR((G9149*H9149*I9149/1000000)*D9149,0)</f>
      </c>
    </row>
    <row r="9150" spans="1:13" x14ac:dyDescent="0.25">
      <c r="A9150" s="16"/>
      <c r="E9150" s="27"/>
      <c r="F9150" t="s">
        <v>26</v>
      </c>
      <c r="G9150" s="28">
        <f>IFERROR(VLOOKUP(F9150,CARTON_LOOKUP!$A:$E,3,0),"")</f>
      </c>
      <c r="H9150" s="28">
        <f>IFERROR(VLOOKUP(F9150,CARTON_LOOKUP!$A:$E,4,0),"")</f>
      </c>
      <c r="I9150" s="28">
        <f>IFERROR(VLOOKUP(F9150,CARTON_LOOKUP!$A:$E,5,0),"")</f>
      </c>
      <c r="J9150" s="29">
        <f>IFERROR(VLOOKUP(F9150,CARTON_LOOKUP!$A:$E,2,0),"")</f>
      </c>
      <c r="K9150" s="29">
        <f>IFERROR(J9150*D9150,0)</f>
      </c>
      <c r="L9150" s="29">
        <f>IFERROR(E9150*C9150,0)</f>
      </c>
      <c r="M9150" s="29">
        <f>IFERROR((G9150*H9150*I9150/1000000)*D9150,0)</f>
      </c>
    </row>
    <row r="9151" spans="1:13" x14ac:dyDescent="0.25">
      <c r="A9151" s="16"/>
      <c r="E9151" s="27"/>
      <c r="F9151" t="s">
        <v>26</v>
      </c>
      <c r="G9151" s="28">
        <f>IFERROR(VLOOKUP(F9151,CARTON_LOOKUP!$A:$E,3,0),"")</f>
      </c>
      <c r="H9151" s="28">
        <f>IFERROR(VLOOKUP(F9151,CARTON_LOOKUP!$A:$E,4,0),"")</f>
      </c>
      <c r="I9151" s="28">
        <f>IFERROR(VLOOKUP(F9151,CARTON_LOOKUP!$A:$E,5,0),"")</f>
      </c>
      <c r="J9151" s="29">
        <f>IFERROR(VLOOKUP(F9151,CARTON_LOOKUP!$A:$E,2,0),"")</f>
      </c>
      <c r="K9151" s="29">
        <f>IFERROR(J9151*D9151,0)</f>
      </c>
      <c r="L9151" s="29">
        <f>IFERROR(E9151*C9151,0)</f>
      </c>
      <c r="M9151" s="29">
        <f>IFERROR((G9151*H9151*I9151/1000000)*D9151,0)</f>
      </c>
    </row>
    <row r="9152" spans="1:13" x14ac:dyDescent="0.25">
      <c r="A9152" s="16"/>
      <c r="E9152" s="27"/>
      <c r="F9152" t="s">
        <v>26</v>
      </c>
      <c r="G9152" s="28">
        <f>IFERROR(VLOOKUP(F9152,CARTON_LOOKUP!$A:$E,3,0),"")</f>
      </c>
      <c r="H9152" s="28">
        <f>IFERROR(VLOOKUP(F9152,CARTON_LOOKUP!$A:$E,4,0),"")</f>
      </c>
      <c r="I9152" s="28">
        <f>IFERROR(VLOOKUP(F9152,CARTON_LOOKUP!$A:$E,5,0),"")</f>
      </c>
      <c r="J9152" s="29">
        <f>IFERROR(VLOOKUP(F9152,CARTON_LOOKUP!$A:$E,2,0),"")</f>
      </c>
      <c r="K9152" s="29">
        <f>IFERROR(J9152*D9152,0)</f>
      </c>
      <c r="L9152" s="29">
        <f>IFERROR(E9152*C9152,0)</f>
      </c>
      <c r="M9152" s="29">
        <f>IFERROR((G9152*H9152*I9152/1000000)*D9152,0)</f>
      </c>
    </row>
    <row r="9153" spans="1:13" x14ac:dyDescent="0.25">
      <c r="A9153" s="16"/>
      <c r="E9153" s="27"/>
      <c r="F9153" t="s">
        <v>26</v>
      </c>
      <c r="G9153" s="28">
        <f>IFERROR(VLOOKUP(F9153,CARTON_LOOKUP!$A:$E,3,0),"")</f>
      </c>
      <c r="H9153" s="28">
        <f>IFERROR(VLOOKUP(F9153,CARTON_LOOKUP!$A:$E,4,0),"")</f>
      </c>
      <c r="I9153" s="28">
        <f>IFERROR(VLOOKUP(F9153,CARTON_LOOKUP!$A:$E,5,0),"")</f>
      </c>
      <c r="J9153" s="29">
        <f>IFERROR(VLOOKUP(F9153,CARTON_LOOKUP!$A:$E,2,0),"")</f>
      </c>
      <c r="K9153" s="29">
        <f>IFERROR(J9153*D9153,0)</f>
      </c>
      <c r="L9153" s="29">
        <f>IFERROR(E9153*C9153,0)</f>
      </c>
      <c r="M9153" s="29">
        <f>IFERROR((G9153*H9153*I9153/1000000)*D9153,0)</f>
      </c>
    </row>
    <row r="9154" spans="1:13" x14ac:dyDescent="0.25">
      <c r="A9154" s="16"/>
      <c r="E9154" s="27"/>
      <c r="F9154" t="s">
        <v>26</v>
      </c>
      <c r="G9154" s="28">
        <f>IFERROR(VLOOKUP(F9154,CARTON_LOOKUP!$A:$E,3,0),"")</f>
      </c>
      <c r="H9154" s="28">
        <f>IFERROR(VLOOKUP(F9154,CARTON_LOOKUP!$A:$E,4,0),"")</f>
      </c>
      <c r="I9154" s="28">
        <f>IFERROR(VLOOKUP(F9154,CARTON_LOOKUP!$A:$E,5,0),"")</f>
      </c>
      <c r="J9154" s="29">
        <f>IFERROR(VLOOKUP(F9154,CARTON_LOOKUP!$A:$E,2,0),"")</f>
      </c>
      <c r="K9154" s="29">
        <f>IFERROR(J9154*D9154,0)</f>
      </c>
      <c r="L9154" s="29">
        <f>IFERROR(E9154*C9154,0)</f>
      </c>
      <c r="M9154" s="29">
        <f>IFERROR((G9154*H9154*I9154/1000000)*D9154,0)</f>
      </c>
    </row>
    <row r="9155" spans="1:13" x14ac:dyDescent="0.25">
      <c r="A9155" s="16"/>
      <c r="E9155" s="27"/>
      <c r="F9155" t="s">
        <v>26</v>
      </c>
      <c r="G9155" s="28">
        <f>IFERROR(VLOOKUP(F9155,CARTON_LOOKUP!$A:$E,3,0),"")</f>
      </c>
      <c r="H9155" s="28">
        <f>IFERROR(VLOOKUP(F9155,CARTON_LOOKUP!$A:$E,4,0),"")</f>
      </c>
      <c r="I9155" s="28">
        <f>IFERROR(VLOOKUP(F9155,CARTON_LOOKUP!$A:$E,5,0),"")</f>
      </c>
      <c r="J9155" s="29">
        <f>IFERROR(VLOOKUP(F9155,CARTON_LOOKUP!$A:$E,2,0),"")</f>
      </c>
      <c r="K9155" s="29">
        <f>IFERROR(J9155*D9155,0)</f>
      </c>
      <c r="L9155" s="29">
        <f>IFERROR(E9155*C9155,0)</f>
      </c>
      <c r="M9155" s="29">
        <f>IFERROR((G9155*H9155*I9155/1000000)*D9155,0)</f>
      </c>
    </row>
    <row r="9156" spans="1:13" x14ac:dyDescent="0.25">
      <c r="A9156" s="16"/>
      <c r="E9156" s="27"/>
      <c r="F9156" t="s">
        <v>26</v>
      </c>
      <c r="G9156" s="28">
        <f>IFERROR(VLOOKUP(F9156,CARTON_LOOKUP!$A:$E,3,0),"")</f>
      </c>
      <c r="H9156" s="28">
        <f>IFERROR(VLOOKUP(F9156,CARTON_LOOKUP!$A:$E,4,0),"")</f>
      </c>
      <c r="I9156" s="28">
        <f>IFERROR(VLOOKUP(F9156,CARTON_LOOKUP!$A:$E,5,0),"")</f>
      </c>
      <c r="J9156" s="29">
        <f>IFERROR(VLOOKUP(F9156,CARTON_LOOKUP!$A:$E,2,0),"")</f>
      </c>
      <c r="K9156" s="29">
        <f>IFERROR(J9156*D9156,0)</f>
      </c>
      <c r="L9156" s="29">
        <f>IFERROR(E9156*C9156,0)</f>
      </c>
      <c r="M9156" s="29">
        <f>IFERROR((G9156*H9156*I9156/1000000)*D9156,0)</f>
      </c>
    </row>
    <row r="9157" spans="1:13" x14ac:dyDescent="0.25">
      <c r="A9157" s="16"/>
      <c r="E9157" s="27"/>
      <c r="F9157" t="s">
        <v>26</v>
      </c>
      <c r="G9157" s="28">
        <f>IFERROR(VLOOKUP(F9157,CARTON_LOOKUP!$A:$E,3,0),"")</f>
      </c>
      <c r="H9157" s="28">
        <f>IFERROR(VLOOKUP(F9157,CARTON_LOOKUP!$A:$E,4,0),"")</f>
      </c>
      <c r="I9157" s="28">
        <f>IFERROR(VLOOKUP(F9157,CARTON_LOOKUP!$A:$E,5,0),"")</f>
      </c>
      <c r="J9157" s="29">
        <f>IFERROR(VLOOKUP(F9157,CARTON_LOOKUP!$A:$E,2,0),"")</f>
      </c>
      <c r="K9157" s="29">
        <f>IFERROR(J9157*D9157,0)</f>
      </c>
      <c r="L9157" s="29">
        <f>IFERROR(E9157*C9157,0)</f>
      </c>
      <c r="M9157" s="29">
        <f>IFERROR((G9157*H9157*I9157/1000000)*D9157,0)</f>
      </c>
    </row>
    <row r="9158" spans="1:13" x14ac:dyDescent="0.25">
      <c r="A9158" s="16"/>
      <c r="E9158" s="27"/>
      <c r="F9158" t="s">
        <v>26</v>
      </c>
      <c r="G9158" s="28">
        <f>IFERROR(VLOOKUP(F9158,CARTON_LOOKUP!$A:$E,3,0),"")</f>
      </c>
      <c r="H9158" s="28">
        <f>IFERROR(VLOOKUP(F9158,CARTON_LOOKUP!$A:$E,4,0),"")</f>
      </c>
      <c r="I9158" s="28">
        <f>IFERROR(VLOOKUP(F9158,CARTON_LOOKUP!$A:$E,5,0),"")</f>
      </c>
      <c r="J9158" s="29">
        <f>IFERROR(VLOOKUP(F9158,CARTON_LOOKUP!$A:$E,2,0),"")</f>
      </c>
      <c r="K9158" s="29">
        <f>IFERROR(J9158*D9158,0)</f>
      </c>
      <c r="L9158" s="29">
        <f>IFERROR(E9158*C9158,0)</f>
      </c>
      <c r="M9158" s="29">
        <f>IFERROR((G9158*H9158*I9158/1000000)*D9158,0)</f>
      </c>
    </row>
    <row r="9159" spans="1:13" x14ac:dyDescent="0.25">
      <c r="A9159" s="16"/>
      <c r="E9159" s="27"/>
      <c r="F9159" t="s">
        <v>26</v>
      </c>
      <c r="G9159" s="28">
        <f>IFERROR(VLOOKUP(F9159,CARTON_LOOKUP!$A:$E,3,0),"")</f>
      </c>
      <c r="H9159" s="28">
        <f>IFERROR(VLOOKUP(F9159,CARTON_LOOKUP!$A:$E,4,0),"")</f>
      </c>
      <c r="I9159" s="28">
        <f>IFERROR(VLOOKUP(F9159,CARTON_LOOKUP!$A:$E,5,0),"")</f>
      </c>
      <c r="J9159" s="29">
        <f>IFERROR(VLOOKUP(F9159,CARTON_LOOKUP!$A:$E,2,0),"")</f>
      </c>
      <c r="K9159" s="29">
        <f>IFERROR(J9159*D9159,0)</f>
      </c>
      <c r="L9159" s="29">
        <f>IFERROR(E9159*C9159,0)</f>
      </c>
      <c r="M9159" s="29">
        <f>IFERROR((G9159*H9159*I9159/1000000)*D9159,0)</f>
      </c>
    </row>
    <row r="9160" spans="1:13" x14ac:dyDescent="0.25">
      <c r="A9160" s="16"/>
      <c r="E9160" s="27"/>
      <c r="F9160" t="s">
        <v>26</v>
      </c>
      <c r="G9160" s="28">
        <f>IFERROR(VLOOKUP(F9160,CARTON_LOOKUP!$A:$E,3,0),"")</f>
      </c>
      <c r="H9160" s="28">
        <f>IFERROR(VLOOKUP(F9160,CARTON_LOOKUP!$A:$E,4,0),"")</f>
      </c>
      <c r="I9160" s="28">
        <f>IFERROR(VLOOKUP(F9160,CARTON_LOOKUP!$A:$E,5,0),"")</f>
      </c>
      <c r="J9160" s="29">
        <f>IFERROR(VLOOKUP(F9160,CARTON_LOOKUP!$A:$E,2,0),"")</f>
      </c>
      <c r="K9160" s="29">
        <f>IFERROR(J9160*D9160,0)</f>
      </c>
      <c r="L9160" s="29">
        <f>IFERROR(E9160*C9160,0)</f>
      </c>
      <c r="M9160" s="29">
        <f>IFERROR((G9160*H9160*I9160/1000000)*D9160,0)</f>
      </c>
    </row>
    <row r="9161" spans="1:13" x14ac:dyDescent="0.25">
      <c r="A9161" s="16"/>
      <c r="E9161" s="27"/>
      <c r="F9161" t="s">
        <v>26</v>
      </c>
      <c r="G9161" s="28">
        <f>IFERROR(VLOOKUP(F9161,CARTON_LOOKUP!$A:$E,3,0),"")</f>
      </c>
      <c r="H9161" s="28">
        <f>IFERROR(VLOOKUP(F9161,CARTON_LOOKUP!$A:$E,4,0),"")</f>
      </c>
      <c r="I9161" s="28">
        <f>IFERROR(VLOOKUP(F9161,CARTON_LOOKUP!$A:$E,5,0),"")</f>
      </c>
      <c r="J9161" s="29">
        <f>IFERROR(VLOOKUP(F9161,CARTON_LOOKUP!$A:$E,2,0),"")</f>
      </c>
      <c r="K9161" s="29">
        <f>IFERROR(J9161*D9161,0)</f>
      </c>
      <c r="L9161" s="29">
        <f>IFERROR(E9161*C9161,0)</f>
      </c>
      <c r="M9161" s="29">
        <f>IFERROR((G9161*H9161*I9161/1000000)*D9161,0)</f>
      </c>
    </row>
    <row r="9162" spans="1:13" x14ac:dyDescent="0.25">
      <c r="A9162" s="16"/>
      <c r="E9162" s="27"/>
      <c r="F9162" t="s">
        <v>26</v>
      </c>
      <c r="G9162" s="28">
        <f>IFERROR(VLOOKUP(F9162,CARTON_LOOKUP!$A:$E,3,0),"")</f>
      </c>
      <c r="H9162" s="28">
        <f>IFERROR(VLOOKUP(F9162,CARTON_LOOKUP!$A:$E,4,0),"")</f>
      </c>
      <c r="I9162" s="28">
        <f>IFERROR(VLOOKUP(F9162,CARTON_LOOKUP!$A:$E,5,0),"")</f>
      </c>
      <c r="J9162" s="29">
        <f>IFERROR(VLOOKUP(F9162,CARTON_LOOKUP!$A:$E,2,0),"")</f>
      </c>
      <c r="K9162" s="29">
        <f>IFERROR(J9162*D9162,0)</f>
      </c>
      <c r="L9162" s="29">
        <f>IFERROR(E9162*C9162,0)</f>
      </c>
      <c r="M9162" s="29">
        <f>IFERROR((G9162*H9162*I9162/1000000)*D9162,0)</f>
      </c>
    </row>
    <row r="9163" spans="1:13" x14ac:dyDescent="0.25">
      <c r="A9163" s="16"/>
      <c r="E9163" s="27"/>
      <c r="F9163" t="s">
        <v>26</v>
      </c>
      <c r="G9163" s="28">
        <f>IFERROR(VLOOKUP(F9163,CARTON_LOOKUP!$A:$E,3,0),"")</f>
      </c>
      <c r="H9163" s="28">
        <f>IFERROR(VLOOKUP(F9163,CARTON_LOOKUP!$A:$E,4,0),"")</f>
      </c>
      <c r="I9163" s="28">
        <f>IFERROR(VLOOKUP(F9163,CARTON_LOOKUP!$A:$E,5,0),"")</f>
      </c>
      <c r="J9163" s="29">
        <f>IFERROR(VLOOKUP(F9163,CARTON_LOOKUP!$A:$E,2,0),"")</f>
      </c>
      <c r="K9163" s="29">
        <f>IFERROR(J9163*D9163,0)</f>
      </c>
      <c r="L9163" s="29">
        <f>IFERROR(E9163*C9163,0)</f>
      </c>
      <c r="M9163" s="29">
        <f>IFERROR((G9163*H9163*I9163/1000000)*D9163,0)</f>
      </c>
    </row>
    <row r="9164" spans="1:13" x14ac:dyDescent="0.25">
      <c r="A9164" s="16"/>
      <c r="E9164" s="27"/>
      <c r="F9164" t="s">
        <v>26</v>
      </c>
      <c r="G9164" s="28">
        <f>IFERROR(VLOOKUP(F9164,CARTON_LOOKUP!$A:$E,3,0),"")</f>
      </c>
      <c r="H9164" s="28">
        <f>IFERROR(VLOOKUP(F9164,CARTON_LOOKUP!$A:$E,4,0),"")</f>
      </c>
      <c r="I9164" s="28">
        <f>IFERROR(VLOOKUP(F9164,CARTON_LOOKUP!$A:$E,5,0),"")</f>
      </c>
      <c r="J9164" s="29">
        <f>IFERROR(VLOOKUP(F9164,CARTON_LOOKUP!$A:$E,2,0),"")</f>
      </c>
      <c r="K9164" s="29">
        <f>IFERROR(J9164*D9164,0)</f>
      </c>
      <c r="L9164" s="29">
        <f>IFERROR(E9164*C9164,0)</f>
      </c>
      <c r="M9164" s="29">
        <f>IFERROR((G9164*H9164*I9164/1000000)*D9164,0)</f>
      </c>
    </row>
    <row r="9165" spans="1:13" x14ac:dyDescent="0.25">
      <c r="A9165" s="16"/>
      <c r="E9165" s="27"/>
      <c r="F9165" t="s">
        <v>26</v>
      </c>
      <c r="G9165" s="28">
        <f>IFERROR(VLOOKUP(F9165,CARTON_LOOKUP!$A:$E,3,0),"")</f>
      </c>
      <c r="H9165" s="28">
        <f>IFERROR(VLOOKUP(F9165,CARTON_LOOKUP!$A:$E,4,0),"")</f>
      </c>
      <c r="I9165" s="28">
        <f>IFERROR(VLOOKUP(F9165,CARTON_LOOKUP!$A:$E,5,0),"")</f>
      </c>
      <c r="J9165" s="29">
        <f>IFERROR(VLOOKUP(F9165,CARTON_LOOKUP!$A:$E,2,0),"")</f>
      </c>
      <c r="K9165" s="29">
        <f>IFERROR(J9165*D9165,0)</f>
      </c>
      <c r="L9165" s="29">
        <f>IFERROR(E9165*C9165,0)</f>
      </c>
      <c r="M9165" s="29">
        <f>IFERROR((G9165*H9165*I9165/1000000)*D9165,0)</f>
      </c>
    </row>
    <row r="9166" spans="1:13" x14ac:dyDescent="0.25">
      <c r="A9166" s="16"/>
      <c r="E9166" s="27"/>
      <c r="F9166" t="s">
        <v>26</v>
      </c>
      <c r="G9166" s="28">
        <f>IFERROR(VLOOKUP(F9166,CARTON_LOOKUP!$A:$E,3,0),"")</f>
      </c>
      <c r="H9166" s="28">
        <f>IFERROR(VLOOKUP(F9166,CARTON_LOOKUP!$A:$E,4,0),"")</f>
      </c>
      <c r="I9166" s="28">
        <f>IFERROR(VLOOKUP(F9166,CARTON_LOOKUP!$A:$E,5,0),"")</f>
      </c>
      <c r="J9166" s="29">
        <f>IFERROR(VLOOKUP(F9166,CARTON_LOOKUP!$A:$E,2,0),"")</f>
      </c>
      <c r="K9166" s="29">
        <f>IFERROR(J9166*D9166,0)</f>
      </c>
      <c r="L9166" s="29">
        <f>IFERROR(E9166*C9166,0)</f>
      </c>
      <c r="M9166" s="29">
        <f>IFERROR((G9166*H9166*I9166/1000000)*D9166,0)</f>
      </c>
    </row>
    <row r="9167" spans="1:13" x14ac:dyDescent="0.25">
      <c r="A9167" s="16"/>
      <c r="E9167" s="27"/>
      <c r="F9167" t="s">
        <v>26</v>
      </c>
      <c r="G9167" s="28">
        <f>IFERROR(VLOOKUP(F9167,CARTON_LOOKUP!$A:$E,3,0),"")</f>
      </c>
      <c r="H9167" s="28">
        <f>IFERROR(VLOOKUP(F9167,CARTON_LOOKUP!$A:$E,4,0),"")</f>
      </c>
      <c r="I9167" s="28">
        <f>IFERROR(VLOOKUP(F9167,CARTON_LOOKUP!$A:$E,5,0),"")</f>
      </c>
      <c r="J9167" s="29">
        <f>IFERROR(VLOOKUP(F9167,CARTON_LOOKUP!$A:$E,2,0),"")</f>
      </c>
      <c r="K9167" s="29">
        <f>IFERROR(J9167*D9167,0)</f>
      </c>
      <c r="L9167" s="29">
        <f>IFERROR(E9167*C9167,0)</f>
      </c>
      <c r="M9167" s="29">
        <f>IFERROR((G9167*H9167*I9167/1000000)*D9167,0)</f>
      </c>
    </row>
    <row r="9168" spans="1:13" x14ac:dyDescent="0.25">
      <c r="A9168" s="16"/>
      <c r="E9168" s="27"/>
      <c r="F9168" t="s">
        <v>26</v>
      </c>
      <c r="G9168" s="28">
        <f>IFERROR(VLOOKUP(F9168,CARTON_LOOKUP!$A:$E,3,0),"")</f>
      </c>
      <c r="H9168" s="28">
        <f>IFERROR(VLOOKUP(F9168,CARTON_LOOKUP!$A:$E,4,0),"")</f>
      </c>
      <c r="I9168" s="28">
        <f>IFERROR(VLOOKUP(F9168,CARTON_LOOKUP!$A:$E,5,0),"")</f>
      </c>
      <c r="J9168" s="29">
        <f>IFERROR(VLOOKUP(F9168,CARTON_LOOKUP!$A:$E,2,0),"")</f>
      </c>
      <c r="K9168" s="29">
        <f>IFERROR(J9168*D9168,0)</f>
      </c>
      <c r="L9168" s="29">
        <f>IFERROR(E9168*C9168,0)</f>
      </c>
      <c r="M9168" s="29">
        <f>IFERROR((G9168*H9168*I9168/1000000)*D9168,0)</f>
      </c>
    </row>
    <row r="9169" spans="1:13" x14ac:dyDescent="0.25">
      <c r="A9169" s="16"/>
      <c r="E9169" s="27"/>
      <c r="F9169" t="s">
        <v>26</v>
      </c>
      <c r="G9169" s="28">
        <f>IFERROR(VLOOKUP(F9169,CARTON_LOOKUP!$A:$E,3,0),"")</f>
      </c>
      <c r="H9169" s="28">
        <f>IFERROR(VLOOKUP(F9169,CARTON_LOOKUP!$A:$E,4,0),"")</f>
      </c>
      <c r="I9169" s="28">
        <f>IFERROR(VLOOKUP(F9169,CARTON_LOOKUP!$A:$E,5,0),"")</f>
      </c>
      <c r="J9169" s="29">
        <f>IFERROR(VLOOKUP(F9169,CARTON_LOOKUP!$A:$E,2,0),"")</f>
      </c>
      <c r="K9169" s="29">
        <f>IFERROR(J9169*D9169,0)</f>
      </c>
      <c r="L9169" s="29">
        <f>IFERROR(E9169*C9169,0)</f>
      </c>
      <c r="M9169" s="29">
        <f>IFERROR((G9169*H9169*I9169/1000000)*D9169,0)</f>
      </c>
    </row>
    <row r="9170" spans="1:13" x14ac:dyDescent="0.25">
      <c r="A9170" s="16"/>
      <c r="E9170" s="27"/>
      <c r="F9170" t="s">
        <v>26</v>
      </c>
      <c r="G9170" s="28">
        <f>IFERROR(VLOOKUP(F9170,CARTON_LOOKUP!$A:$E,3,0),"")</f>
      </c>
      <c r="H9170" s="28">
        <f>IFERROR(VLOOKUP(F9170,CARTON_LOOKUP!$A:$E,4,0),"")</f>
      </c>
      <c r="I9170" s="28">
        <f>IFERROR(VLOOKUP(F9170,CARTON_LOOKUP!$A:$E,5,0),"")</f>
      </c>
      <c r="J9170" s="29">
        <f>IFERROR(VLOOKUP(F9170,CARTON_LOOKUP!$A:$E,2,0),"")</f>
      </c>
      <c r="K9170" s="29">
        <f>IFERROR(J9170*D9170,0)</f>
      </c>
      <c r="L9170" s="29">
        <f>IFERROR(E9170*C9170,0)</f>
      </c>
      <c r="M9170" s="29">
        <f>IFERROR((G9170*H9170*I9170/1000000)*D9170,0)</f>
      </c>
    </row>
    <row r="9171" spans="1:13" x14ac:dyDescent="0.25">
      <c r="A9171" s="16"/>
      <c r="E9171" s="27"/>
      <c r="F9171" t="s">
        <v>26</v>
      </c>
      <c r="G9171" s="28">
        <f>IFERROR(VLOOKUP(F9171,CARTON_LOOKUP!$A:$E,3,0),"")</f>
      </c>
      <c r="H9171" s="28">
        <f>IFERROR(VLOOKUP(F9171,CARTON_LOOKUP!$A:$E,4,0),"")</f>
      </c>
      <c r="I9171" s="28">
        <f>IFERROR(VLOOKUP(F9171,CARTON_LOOKUP!$A:$E,5,0),"")</f>
      </c>
      <c r="J9171" s="29">
        <f>IFERROR(VLOOKUP(F9171,CARTON_LOOKUP!$A:$E,2,0),"")</f>
      </c>
      <c r="K9171" s="29">
        <f>IFERROR(J9171*D9171,0)</f>
      </c>
      <c r="L9171" s="29">
        <f>IFERROR(E9171*C9171,0)</f>
      </c>
      <c r="M9171" s="29">
        <f>IFERROR((G9171*H9171*I9171/1000000)*D9171,0)</f>
      </c>
    </row>
    <row r="9172" spans="1:13" x14ac:dyDescent="0.25">
      <c r="A9172" s="16"/>
      <c r="E9172" s="27"/>
      <c r="F9172" t="s">
        <v>26</v>
      </c>
      <c r="G9172" s="28">
        <f>IFERROR(VLOOKUP(F9172,CARTON_LOOKUP!$A:$E,3,0),"")</f>
      </c>
      <c r="H9172" s="28">
        <f>IFERROR(VLOOKUP(F9172,CARTON_LOOKUP!$A:$E,4,0),"")</f>
      </c>
      <c r="I9172" s="28">
        <f>IFERROR(VLOOKUP(F9172,CARTON_LOOKUP!$A:$E,5,0),"")</f>
      </c>
      <c r="J9172" s="29">
        <f>IFERROR(VLOOKUP(F9172,CARTON_LOOKUP!$A:$E,2,0),"")</f>
      </c>
      <c r="K9172" s="29">
        <f>IFERROR(J9172*D9172,0)</f>
      </c>
      <c r="L9172" s="29">
        <f>IFERROR(E9172*C9172,0)</f>
      </c>
      <c r="M9172" s="29">
        <f>IFERROR((G9172*H9172*I9172/1000000)*D9172,0)</f>
      </c>
    </row>
    <row r="9173" spans="1:13" x14ac:dyDescent="0.25">
      <c r="A9173" s="16"/>
      <c r="E9173" s="27"/>
      <c r="F9173" t="s">
        <v>26</v>
      </c>
      <c r="G9173" s="28">
        <f>IFERROR(VLOOKUP(F9173,CARTON_LOOKUP!$A:$E,3,0),"")</f>
      </c>
      <c r="H9173" s="28">
        <f>IFERROR(VLOOKUP(F9173,CARTON_LOOKUP!$A:$E,4,0),"")</f>
      </c>
      <c r="I9173" s="28">
        <f>IFERROR(VLOOKUP(F9173,CARTON_LOOKUP!$A:$E,5,0),"")</f>
      </c>
      <c r="J9173" s="29">
        <f>IFERROR(VLOOKUP(F9173,CARTON_LOOKUP!$A:$E,2,0),"")</f>
      </c>
      <c r="K9173" s="29">
        <f>IFERROR(J9173*D9173,0)</f>
      </c>
      <c r="L9173" s="29">
        <f>IFERROR(E9173*C9173,0)</f>
      </c>
      <c r="M9173" s="29">
        <f>IFERROR((G9173*H9173*I9173/1000000)*D9173,0)</f>
      </c>
    </row>
    <row r="9174" spans="1:13" x14ac:dyDescent="0.25">
      <c r="A9174" s="16"/>
      <c r="E9174" s="27"/>
      <c r="F9174" t="s">
        <v>26</v>
      </c>
      <c r="G9174" s="28">
        <f>IFERROR(VLOOKUP(F9174,CARTON_LOOKUP!$A:$E,3,0),"")</f>
      </c>
      <c r="H9174" s="28">
        <f>IFERROR(VLOOKUP(F9174,CARTON_LOOKUP!$A:$E,4,0),"")</f>
      </c>
      <c r="I9174" s="28">
        <f>IFERROR(VLOOKUP(F9174,CARTON_LOOKUP!$A:$E,5,0),"")</f>
      </c>
      <c r="J9174" s="29">
        <f>IFERROR(VLOOKUP(F9174,CARTON_LOOKUP!$A:$E,2,0),"")</f>
      </c>
      <c r="K9174" s="29">
        <f>IFERROR(J9174*D9174,0)</f>
      </c>
      <c r="L9174" s="29">
        <f>IFERROR(E9174*C9174,0)</f>
      </c>
      <c r="M9174" s="29">
        <f>IFERROR((G9174*H9174*I9174/1000000)*D9174,0)</f>
      </c>
    </row>
    <row r="9175" spans="1:13" x14ac:dyDescent="0.25">
      <c r="A9175" s="16"/>
      <c r="E9175" s="27"/>
      <c r="F9175" t="s">
        <v>26</v>
      </c>
      <c r="G9175" s="28">
        <f>IFERROR(VLOOKUP(F9175,CARTON_LOOKUP!$A:$E,3,0),"")</f>
      </c>
      <c r="H9175" s="28">
        <f>IFERROR(VLOOKUP(F9175,CARTON_LOOKUP!$A:$E,4,0),"")</f>
      </c>
      <c r="I9175" s="28">
        <f>IFERROR(VLOOKUP(F9175,CARTON_LOOKUP!$A:$E,5,0),"")</f>
      </c>
      <c r="J9175" s="29">
        <f>IFERROR(VLOOKUP(F9175,CARTON_LOOKUP!$A:$E,2,0),"")</f>
      </c>
      <c r="K9175" s="29">
        <f>IFERROR(J9175*D9175,0)</f>
      </c>
      <c r="L9175" s="29">
        <f>IFERROR(E9175*C9175,0)</f>
      </c>
      <c r="M9175" s="29">
        <f>IFERROR((G9175*H9175*I9175/1000000)*D9175,0)</f>
      </c>
    </row>
    <row r="9176" spans="1:13" x14ac:dyDescent="0.25">
      <c r="A9176" s="16"/>
      <c r="E9176" s="27"/>
      <c r="F9176" t="s">
        <v>26</v>
      </c>
      <c r="G9176" s="28">
        <f>IFERROR(VLOOKUP(F9176,CARTON_LOOKUP!$A:$E,3,0),"")</f>
      </c>
      <c r="H9176" s="28">
        <f>IFERROR(VLOOKUP(F9176,CARTON_LOOKUP!$A:$E,4,0),"")</f>
      </c>
      <c r="I9176" s="28">
        <f>IFERROR(VLOOKUP(F9176,CARTON_LOOKUP!$A:$E,5,0),"")</f>
      </c>
      <c r="J9176" s="29">
        <f>IFERROR(VLOOKUP(F9176,CARTON_LOOKUP!$A:$E,2,0),"")</f>
      </c>
      <c r="K9176" s="29">
        <f>IFERROR(J9176*D9176,0)</f>
      </c>
      <c r="L9176" s="29">
        <f>IFERROR(E9176*C9176,0)</f>
      </c>
      <c r="M9176" s="29">
        <f>IFERROR((G9176*H9176*I9176/1000000)*D9176,0)</f>
      </c>
    </row>
    <row r="9177" spans="1:13" x14ac:dyDescent="0.25">
      <c r="A9177" s="16"/>
      <c r="E9177" s="27"/>
      <c r="F9177" t="s">
        <v>26</v>
      </c>
      <c r="G9177" s="28">
        <f>IFERROR(VLOOKUP(F9177,CARTON_LOOKUP!$A:$E,3,0),"")</f>
      </c>
      <c r="H9177" s="28">
        <f>IFERROR(VLOOKUP(F9177,CARTON_LOOKUP!$A:$E,4,0),"")</f>
      </c>
      <c r="I9177" s="28">
        <f>IFERROR(VLOOKUP(F9177,CARTON_LOOKUP!$A:$E,5,0),"")</f>
      </c>
      <c r="J9177" s="29">
        <f>IFERROR(VLOOKUP(F9177,CARTON_LOOKUP!$A:$E,2,0),"")</f>
      </c>
      <c r="K9177" s="29">
        <f>IFERROR(J9177*D9177,0)</f>
      </c>
      <c r="L9177" s="29">
        <f>IFERROR(E9177*C9177,0)</f>
      </c>
      <c r="M9177" s="29">
        <f>IFERROR((G9177*H9177*I9177/1000000)*D9177,0)</f>
      </c>
    </row>
    <row r="9178" spans="1:13" x14ac:dyDescent="0.25">
      <c r="A9178" s="16"/>
      <c r="E9178" s="27"/>
      <c r="F9178" t="s">
        <v>26</v>
      </c>
      <c r="G9178" s="28">
        <f>IFERROR(VLOOKUP(F9178,CARTON_LOOKUP!$A:$E,3,0),"")</f>
      </c>
      <c r="H9178" s="28">
        <f>IFERROR(VLOOKUP(F9178,CARTON_LOOKUP!$A:$E,4,0),"")</f>
      </c>
      <c r="I9178" s="28">
        <f>IFERROR(VLOOKUP(F9178,CARTON_LOOKUP!$A:$E,5,0),"")</f>
      </c>
      <c r="J9178" s="29">
        <f>IFERROR(VLOOKUP(F9178,CARTON_LOOKUP!$A:$E,2,0),"")</f>
      </c>
      <c r="K9178" s="29">
        <f>IFERROR(J9178*D9178,0)</f>
      </c>
      <c r="L9178" s="29">
        <f>IFERROR(E9178*C9178,0)</f>
      </c>
      <c r="M9178" s="29">
        <f>IFERROR((G9178*H9178*I9178/1000000)*D9178,0)</f>
      </c>
    </row>
    <row r="9179" spans="1:13" x14ac:dyDescent="0.25">
      <c r="A9179" s="16"/>
      <c r="E9179" s="27"/>
      <c r="F9179" t="s">
        <v>26</v>
      </c>
      <c r="G9179" s="28">
        <f>IFERROR(VLOOKUP(F9179,CARTON_LOOKUP!$A:$E,3,0),"")</f>
      </c>
      <c r="H9179" s="28">
        <f>IFERROR(VLOOKUP(F9179,CARTON_LOOKUP!$A:$E,4,0),"")</f>
      </c>
      <c r="I9179" s="28">
        <f>IFERROR(VLOOKUP(F9179,CARTON_LOOKUP!$A:$E,5,0),"")</f>
      </c>
      <c r="J9179" s="29">
        <f>IFERROR(VLOOKUP(F9179,CARTON_LOOKUP!$A:$E,2,0),"")</f>
      </c>
      <c r="K9179" s="29">
        <f>IFERROR(J9179*D9179,0)</f>
      </c>
      <c r="L9179" s="29">
        <f>IFERROR(E9179*C9179,0)</f>
      </c>
      <c r="M9179" s="29">
        <f>IFERROR((G9179*H9179*I9179/1000000)*D9179,0)</f>
      </c>
    </row>
    <row r="9180" spans="1:13" x14ac:dyDescent="0.25">
      <c r="A9180" s="16"/>
      <c r="E9180" s="27"/>
      <c r="F9180" t="s">
        <v>26</v>
      </c>
      <c r="G9180" s="28">
        <f>IFERROR(VLOOKUP(F9180,CARTON_LOOKUP!$A:$E,3,0),"")</f>
      </c>
      <c r="H9180" s="28">
        <f>IFERROR(VLOOKUP(F9180,CARTON_LOOKUP!$A:$E,4,0),"")</f>
      </c>
      <c r="I9180" s="28">
        <f>IFERROR(VLOOKUP(F9180,CARTON_LOOKUP!$A:$E,5,0),"")</f>
      </c>
      <c r="J9180" s="29">
        <f>IFERROR(VLOOKUP(F9180,CARTON_LOOKUP!$A:$E,2,0),"")</f>
      </c>
      <c r="K9180" s="29">
        <f>IFERROR(J9180*D9180,0)</f>
      </c>
      <c r="L9180" s="29">
        <f>IFERROR(E9180*C9180,0)</f>
      </c>
      <c r="M9180" s="29">
        <f>IFERROR((G9180*H9180*I9180/1000000)*D9180,0)</f>
      </c>
    </row>
    <row r="9181" spans="1:13" x14ac:dyDescent="0.25">
      <c r="A9181" s="16"/>
      <c r="E9181" s="27"/>
      <c r="F9181" t="s">
        <v>26</v>
      </c>
      <c r="G9181" s="28">
        <f>IFERROR(VLOOKUP(F9181,CARTON_LOOKUP!$A:$E,3,0),"")</f>
      </c>
      <c r="H9181" s="28">
        <f>IFERROR(VLOOKUP(F9181,CARTON_LOOKUP!$A:$E,4,0),"")</f>
      </c>
      <c r="I9181" s="28">
        <f>IFERROR(VLOOKUP(F9181,CARTON_LOOKUP!$A:$E,5,0),"")</f>
      </c>
      <c r="J9181" s="29">
        <f>IFERROR(VLOOKUP(F9181,CARTON_LOOKUP!$A:$E,2,0),"")</f>
      </c>
      <c r="K9181" s="29">
        <f>IFERROR(J9181*D9181,0)</f>
      </c>
      <c r="L9181" s="29">
        <f>IFERROR(E9181*C9181,0)</f>
      </c>
      <c r="M9181" s="29">
        <f>IFERROR((G9181*H9181*I9181/1000000)*D9181,0)</f>
      </c>
    </row>
    <row r="9182" spans="1:13" x14ac:dyDescent="0.25">
      <c r="A9182" s="16"/>
      <c r="E9182" s="27"/>
      <c r="F9182" t="s">
        <v>26</v>
      </c>
      <c r="G9182" s="28">
        <f>IFERROR(VLOOKUP(F9182,CARTON_LOOKUP!$A:$E,3,0),"")</f>
      </c>
      <c r="H9182" s="28">
        <f>IFERROR(VLOOKUP(F9182,CARTON_LOOKUP!$A:$E,4,0),"")</f>
      </c>
      <c r="I9182" s="28">
        <f>IFERROR(VLOOKUP(F9182,CARTON_LOOKUP!$A:$E,5,0),"")</f>
      </c>
      <c r="J9182" s="29">
        <f>IFERROR(VLOOKUP(F9182,CARTON_LOOKUP!$A:$E,2,0),"")</f>
      </c>
      <c r="K9182" s="29">
        <f>IFERROR(J9182*D9182,0)</f>
      </c>
      <c r="L9182" s="29">
        <f>IFERROR(E9182*C9182,0)</f>
      </c>
      <c r="M9182" s="29">
        <f>IFERROR((G9182*H9182*I9182/1000000)*D9182,0)</f>
      </c>
    </row>
    <row r="9183" spans="1:13" x14ac:dyDescent="0.25">
      <c r="A9183" s="16"/>
      <c r="E9183" s="27"/>
      <c r="F9183" t="s">
        <v>26</v>
      </c>
      <c r="G9183" s="28">
        <f>IFERROR(VLOOKUP(F9183,CARTON_LOOKUP!$A:$E,3,0),"")</f>
      </c>
      <c r="H9183" s="28">
        <f>IFERROR(VLOOKUP(F9183,CARTON_LOOKUP!$A:$E,4,0),"")</f>
      </c>
      <c r="I9183" s="28">
        <f>IFERROR(VLOOKUP(F9183,CARTON_LOOKUP!$A:$E,5,0),"")</f>
      </c>
      <c r="J9183" s="29">
        <f>IFERROR(VLOOKUP(F9183,CARTON_LOOKUP!$A:$E,2,0),"")</f>
      </c>
      <c r="K9183" s="29">
        <f>IFERROR(J9183*D9183,0)</f>
      </c>
      <c r="L9183" s="29">
        <f>IFERROR(E9183*C9183,0)</f>
      </c>
      <c r="M9183" s="29">
        <f>IFERROR((G9183*H9183*I9183/1000000)*D9183,0)</f>
      </c>
    </row>
    <row r="9184" spans="1:13" x14ac:dyDescent="0.25">
      <c r="A9184" s="16"/>
      <c r="E9184" s="27"/>
      <c r="F9184" t="s">
        <v>26</v>
      </c>
      <c r="G9184" s="28">
        <f>IFERROR(VLOOKUP(F9184,CARTON_LOOKUP!$A:$E,3,0),"")</f>
      </c>
      <c r="H9184" s="28">
        <f>IFERROR(VLOOKUP(F9184,CARTON_LOOKUP!$A:$E,4,0),"")</f>
      </c>
      <c r="I9184" s="28">
        <f>IFERROR(VLOOKUP(F9184,CARTON_LOOKUP!$A:$E,5,0),"")</f>
      </c>
      <c r="J9184" s="29">
        <f>IFERROR(VLOOKUP(F9184,CARTON_LOOKUP!$A:$E,2,0),"")</f>
      </c>
      <c r="K9184" s="29">
        <f>IFERROR(J9184*D9184,0)</f>
      </c>
      <c r="L9184" s="29">
        <f>IFERROR(E9184*C9184,0)</f>
      </c>
      <c r="M9184" s="29">
        <f>IFERROR((G9184*H9184*I9184/1000000)*D9184,0)</f>
      </c>
    </row>
    <row r="9185" spans="1:13" x14ac:dyDescent="0.25">
      <c r="A9185" s="16"/>
      <c r="E9185" s="27"/>
      <c r="F9185" t="s">
        <v>26</v>
      </c>
      <c r="G9185" s="28">
        <f>IFERROR(VLOOKUP(F9185,CARTON_LOOKUP!$A:$E,3,0),"")</f>
      </c>
      <c r="H9185" s="28">
        <f>IFERROR(VLOOKUP(F9185,CARTON_LOOKUP!$A:$E,4,0),"")</f>
      </c>
      <c r="I9185" s="28">
        <f>IFERROR(VLOOKUP(F9185,CARTON_LOOKUP!$A:$E,5,0),"")</f>
      </c>
      <c r="J9185" s="29">
        <f>IFERROR(VLOOKUP(F9185,CARTON_LOOKUP!$A:$E,2,0),"")</f>
      </c>
      <c r="K9185" s="29">
        <f>IFERROR(J9185*D9185,0)</f>
      </c>
      <c r="L9185" s="29">
        <f>IFERROR(E9185*C9185,0)</f>
      </c>
      <c r="M9185" s="29">
        <f>IFERROR((G9185*H9185*I9185/1000000)*D9185,0)</f>
      </c>
    </row>
    <row r="9186" spans="1:13" x14ac:dyDescent="0.25">
      <c r="A9186" s="16"/>
      <c r="E9186" s="27"/>
      <c r="F9186" t="s">
        <v>26</v>
      </c>
      <c r="G9186" s="28">
        <f>IFERROR(VLOOKUP(F9186,CARTON_LOOKUP!$A:$E,3,0),"")</f>
      </c>
      <c r="H9186" s="28">
        <f>IFERROR(VLOOKUP(F9186,CARTON_LOOKUP!$A:$E,4,0),"")</f>
      </c>
      <c r="I9186" s="28">
        <f>IFERROR(VLOOKUP(F9186,CARTON_LOOKUP!$A:$E,5,0),"")</f>
      </c>
      <c r="J9186" s="29">
        <f>IFERROR(VLOOKUP(F9186,CARTON_LOOKUP!$A:$E,2,0),"")</f>
      </c>
      <c r="K9186" s="29">
        <f>IFERROR(J9186*D9186,0)</f>
      </c>
      <c r="L9186" s="29">
        <f>IFERROR(E9186*C9186,0)</f>
      </c>
      <c r="M9186" s="29">
        <f>IFERROR((G9186*H9186*I9186/1000000)*D9186,0)</f>
      </c>
    </row>
    <row r="9187" spans="1:13" x14ac:dyDescent="0.25">
      <c r="A9187" s="16"/>
      <c r="E9187" s="27"/>
      <c r="F9187" t="s">
        <v>26</v>
      </c>
      <c r="G9187" s="28">
        <f>IFERROR(VLOOKUP(F9187,CARTON_LOOKUP!$A:$E,3,0),"")</f>
      </c>
      <c r="H9187" s="28">
        <f>IFERROR(VLOOKUP(F9187,CARTON_LOOKUP!$A:$E,4,0),"")</f>
      </c>
      <c r="I9187" s="28">
        <f>IFERROR(VLOOKUP(F9187,CARTON_LOOKUP!$A:$E,5,0),"")</f>
      </c>
      <c r="J9187" s="29">
        <f>IFERROR(VLOOKUP(F9187,CARTON_LOOKUP!$A:$E,2,0),"")</f>
      </c>
      <c r="K9187" s="29">
        <f>IFERROR(J9187*D9187,0)</f>
      </c>
      <c r="L9187" s="29">
        <f>IFERROR(E9187*C9187,0)</f>
      </c>
      <c r="M9187" s="29">
        <f>IFERROR((G9187*H9187*I9187/1000000)*D9187,0)</f>
      </c>
    </row>
    <row r="9188" spans="1:13" x14ac:dyDescent="0.25">
      <c r="A9188" s="16"/>
      <c r="E9188" s="27"/>
      <c r="F9188" t="s">
        <v>26</v>
      </c>
      <c r="G9188" s="28">
        <f>IFERROR(VLOOKUP(F9188,CARTON_LOOKUP!$A:$E,3,0),"")</f>
      </c>
      <c r="H9188" s="28">
        <f>IFERROR(VLOOKUP(F9188,CARTON_LOOKUP!$A:$E,4,0),"")</f>
      </c>
      <c r="I9188" s="28">
        <f>IFERROR(VLOOKUP(F9188,CARTON_LOOKUP!$A:$E,5,0),"")</f>
      </c>
      <c r="J9188" s="29">
        <f>IFERROR(VLOOKUP(F9188,CARTON_LOOKUP!$A:$E,2,0),"")</f>
      </c>
      <c r="K9188" s="29">
        <f>IFERROR(J9188*D9188,0)</f>
      </c>
      <c r="L9188" s="29">
        <f>IFERROR(E9188*C9188,0)</f>
      </c>
      <c r="M9188" s="29">
        <f>IFERROR((G9188*H9188*I9188/1000000)*D9188,0)</f>
      </c>
    </row>
    <row r="9189" spans="1:13" x14ac:dyDescent="0.25">
      <c r="A9189" s="16"/>
      <c r="E9189" s="27"/>
      <c r="F9189" t="s">
        <v>26</v>
      </c>
      <c r="G9189" s="28">
        <f>IFERROR(VLOOKUP(F9189,CARTON_LOOKUP!$A:$E,3,0),"")</f>
      </c>
      <c r="H9189" s="28">
        <f>IFERROR(VLOOKUP(F9189,CARTON_LOOKUP!$A:$E,4,0),"")</f>
      </c>
      <c r="I9189" s="28">
        <f>IFERROR(VLOOKUP(F9189,CARTON_LOOKUP!$A:$E,5,0),"")</f>
      </c>
      <c r="J9189" s="29">
        <f>IFERROR(VLOOKUP(F9189,CARTON_LOOKUP!$A:$E,2,0),"")</f>
      </c>
      <c r="K9189" s="29">
        <f>IFERROR(J9189*D9189,0)</f>
      </c>
      <c r="L9189" s="29">
        <f>IFERROR(E9189*C9189,0)</f>
      </c>
      <c r="M9189" s="29">
        <f>IFERROR((G9189*H9189*I9189/1000000)*D9189,0)</f>
      </c>
    </row>
    <row r="9190" spans="1:13" x14ac:dyDescent="0.25">
      <c r="A9190" s="16"/>
      <c r="E9190" s="27"/>
      <c r="F9190" t="s">
        <v>26</v>
      </c>
      <c r="G9190" s="28">
        <f>IFERROR(VLOOKUP(F9190,CARTON_LOOKUP!$A:$E,3,0),"")</f>
      </c>
      <c r="H9190" s="28">
        <f>IFERROR(VLOOKUP(F9190,CARTON_LOOKUP!$A:$E,4,0),"")</f>
      </c>
      <c r="I9190" s="28">
        <f>IFERROR(VLOOKUP(F9190,CARTON_LOOKUP!$A:$E,5,0),"")</f>
      </c>
      <c r="J9190" s="29">
        <f>IFERROR(VLOOKUP(F9190,CARTON_LOOKUP!$A:$E,2,0),"")</f>
      </c>
      <c r="K9190" s="29">
        <f>IFERROR(J9190*D9190,0)</f>
      </c>
      <c r="L9190" s="29">
        <f>IFERROR(E9190*C9190,0)</f>
      </c>
      <c r="M9190" s="29">
        <f>IFERROR((G9190*H9190*I9190/1000000)*D9190,0)</f>
      </c>
    </row>
    <row r="9191" spans="1:13" x14ac:dyDescent="0.25">
      <c r="A9191" s="16"/>
      <c r="E9191" s="27"/>
      <c r="F9191" t="s">
        <v>26</v>
      </c>
      <c r="G9191" s="28">
        <f>IFERROR(VLOOKUP(F9191,CARTON_LOOKUP!$A:$E,3,0),"")</f>
      </c>
      <c r="H9191" s="28">
        <f>IFERROR(VLOOKUP(F9191,CARTON_LOOKUP!$A:$E,4,0),"")</f>
      </c>
      <c r="I9191" s="28">
        <f>IFERROR(VLOOKUP(F9191,CARTON_LOOKUP!$A:$E,5,0),"")</f>
      </c>
      <c r="J9191" s="29">
        <f>IFERROR(VLOOKUP(F9191,CARTON_LOOKUP!$A:$E,2,0),"")</f>
      </c>
      <c r="K9191" s="29">
        <f>IFERROR(J9191*D9191,0)</f>
      </c>
      <c r="L9191" s="29">
        <f>IFERROR(E9191*C9191,0)</f>
      </c>
      <c r="M9191" s="29">
        <f>IFERROR((G9191*H9191*I9191/1000000)*D9191,0)</f>
      </c>
    </row>
    <row r="9192" spans="1:13" x14ac:dyDescent="0.25">
      <c r="A9192" s="16"/>
      <c r="E9192" s="27"/>
      <c r="F9192" t="s">
        <v>26</v>
      </c>
      <c r="G9192" s="28">
        <f>IFERROR(VLOOKUP(F9192,CARTON_LOOKUP!$A:$E,3,0),"")</f>
      </c>
      <c r="H9192" s="28">
        <f>IFERROR(VLOOKUP(F9192,CARTON_LOOKUP!$A:$E,4,0),"")</f>
      </c>
      <c r="I9192" s="28">
        <f>IFERROR(VLOOKUP(F9192,CARTON_LOOKUP!$A:$E,5,0),"")</f>
      </c>
      <c r="J9192" s="29">
        <f>IFERROR(VLOOKUP(F9192,CARTON_LOOKUP!$A:$E,2,0),"")</f>
      </c>
      <c r="K9192" s="29">
        <f>IFERROR(J9192*D9192,0)</f>
      </c>
      <c r="L9192" s="29">
        <f>IFERROR(E9192*C9192,0)</f>
      </c>
      <c r="M9192" s="29">
        <f>IFERROR((G9192*H9192*I9192/1000000)*D9192,0)</f>
      </c>
    </row>
    <row r="9193" spans="1:13" x14ac:dyDescent="0.25">
      <c r="A9193" s="16"/>
      <c r="E9193" s="27"/>
      <c r="F9193" t="s">
        <v>26</v>
      </c>
      <c r="G9193" s="28">
        <f>IFERROR(VLOOKUP(F9193,CARTON_LOOKUP!$A:$E,3,0),"")</f>
      </c>
      <c r="H9193" s="28">
        <f>IFERROR(VLOOKUP(F9193,CARTON_LOOKUP!$A:$E,4,0),"")</f>
      </c>
      <c r="I9193" s="28">
        <f>IFERROR(VLOOKUP(F9193,CARTON_LOOKUP!$A:$E,5,0),"")</f>
      </c>
      <c r="J9193" s="29">
        <f>IFERROR(VLOOKUP(F9193,CARTON_LOOKUP!$A:$E,2,0),"")</f>
      </c>
      <c r="K9193" s="29">
        <f>IFERROR(J9193*D9193,0)</f>
      </c>
      <c r="L9193" s="29">
        <f>IFERROR(E9193*C9193,0)</f>
      </c>
      <c r="M9193" s="29">
        <f>IFERROR((G9193*H9193*I9193/1000000)*D9193,0)</f>
      </c>
    </row>
    <row r="9194" spans="1:13" x14ac:dyDescent="0.25">
      <c r="A9194" s="16"/>
      <c r="E9194" s="27"/>
      <c r="F9194" t="s">
        <v>26</v>
      </c>
      <c r="G9194" s="28">
        <f>IFERROR(VLOOKUP(F9194,CARTON_LOOKUP!$A:$E,3,0),"")</f>
      </c>
      <c r="H9194" s="28">
        <f>IFERROR(VLOOKUP(F9194,CARTON_LOOKUP!$A:$E,4,0),"")</f>
      </c>
      <c r="I9194" s="28">
        <f>IFERROR(VLOOKUP(F9194,CARTON_LOOKUP!$A:$E,5,0),"")</f>
      </c>
      <c r="J9194" s="29">
        <f>IFERROR(VLOOKUP(F9194,CARTON_LOOKUP!$A:$E,2,0),"")</f>
      </c>
      <c r="K9194" s="29">
        <f>IFERROR(J9194*D9194,0)</f>
      </c>
      <c r="L9194" s="29">
        <f>IFERROR(E9194*C9194,0)</f>
      </c>
      <c r="M9194" s="29">
        <f>IFERROR((G9194*H9194*I9194/1000000)*D9194,0)</f>
      </c>
    </row>
    <row r="9195" spans="1:13" x14ac:dyDescent="0.25">
      <c r="A9195" s="16"/>
      <c r="E9195" s="27"/>
      <c r="F9195" t="s">
        <v>26</v>
      </c>
      <c r="G9195" s="28">
        <f>IFERROR(VLOOKUP(F9195,CARTON_LOOKUP!$A:$E,3,0),"")</f>
      </c>
      <c r="H9195" s="28">
        <f>IFERROR(VLOOKUP(F9195,CARTON_LOOKUP!$A:$E,4,0),"")</f>
      </c>
      <c r="I9195" s="28">
        <f>IFERROR(VLOOKUP(F9195,CARTON_LOOKUP!$A:$E,5,0),"")</f>
      </c>
      <c r="J9195" s="29">
        <f>IFERROR(VLOOKUP(F9195,CARTON_LOOKUP!$A:$E,2,0),"")</f>
      </c>
      <c r="K9195" s="29">
        <f>IFERROR(J9195*D9195,0)</f>
      </c>
      <c r="L9195" s="29">
        <f>IFERROR(E9195*C9195,0)</f>
      </c>
      <c r="M9195" s="29">
        <f>IFERROR((G9195*H9195*I9195/1000000)*D9195,0)</f>
      </c>
    </row>
    <row r="9196" spans="1:13" x14ac:dyDescent="0.25">
      <c r="A9196" s="16"/>
      <c r="E9196" s="27"/>
      <c r="F9196" t="s">
        <v>26</v>
      </c>
      <c r="G9196" s="28">
        <f>IFERROR(VLOOKUP(F9196,CARTON_LOOKUP!$A:$E,3,0),"")</f>
      </c>
      <c r="H9196" s="28">
        <f>IFERROR(VLOOKUP(F9196,CARTON_LOOKUP!$A:$E,4,0),"")</f>
      </c>
      <c r="I9196" s="28">
        <f>IFERROR(VLOOKUP(F9196,CARTON_LOOKUP!$A:$E,5,0),"")</f>
      </c>
      <c r="J9196" s="29">
        <f>IFERROR(VLOOKUP(F9196,CARTON_LOOKUP!$A:$E,2,0),"")</f>
      </c>
      <c r="K9196" s="29">
        <f>IFERROR(J9196*D9196,0)</f>
      </c>
      <c r="L9196" s="29">
        <f>IFERROR(E9196*C9196,0)</f>
      </c>
      <c r="M9196" s="29">
        <f>IFERROR((G9196*H9196*I9196/1000000)*D9196,0)</f>
      </c>
    </row>
    <row r="9197" spans="1:13" x14ac:dyDescent="0.25">
      <c r="A9197" s="16"/>
      <c r="E9197" s="27"/>
      <c r="F9197" t="s">
        <v>26</v>
      </c>
      <c r="G9197" s="28">
        <f>IFERROR(VLOOKUP(F9197,CARTON_LOOKUP!$A:$E,3,0),"")</f>
      </c>
      <c r="H9197" s="28">
        <f>IFERROR(VLOOKUP(F9197,CARTON_LOOKUP!$A:$E,4,0),"")</f>
      </c>
      <c r="I9197" s="28">
        <f>IFERROR(VLOOKUP(F9197,CARTON_LOOKUP!$A:$E,5,0),"")</f>
      </c>
      <c r="J9197" s="29">
        <f>IFERROR(VLOOKUP(F9197,CARTON_LOOKUP!$A:$E,2,0),"")</f>
      </c>
      <c r="K9197" s="29">
        <f>IFERROR(J9197*D9197,0)</f>
      </c>
      <c r="L9197" s="29">
        <f>IFERROR(E9197*C9197,0)</f>
      </c>
      <c r="M9197" s="29">
        <f>IFERROR((G9197*H9197*I9197/1000000)*D9197,0)</f>
      </c>
    </row>
    <row r="9198" spans="1:13" x14ac:dyDescent="0.25">
      <c r="A9198" s="16"/>
      <c r="E9198" s="27"/>
      <c r="F9198" t="s">
        <v>26</v>
      </c>
      <c r="G9198" s="28">
        <f>IFERROR(VLOOKUP(F9198,CARTON_LOOKUP!$A:$E,3,0),"")</f>
      </c>
      <c r="H9198" s="28">
        <f>IFERROR(VLOOKUP(F9198,CARTON_LOOKUP!$A:$E,4,0),"")</f>
      </c>
      <c r="I9198" s="28">
        <f>IFERROR(VLOOKUP(F9198,CARTON_LOOKUP!$A:$E,5,0),"")</f>
      </c>
      <c r="J9198" s="29">
        <f>IFERROR(VLOOKUP(F9198,CARTON_LOOKUP!$A:$E,2,0),"")</f>
      </c>
      <c r="K9198" s="29">
        <f>IFERROR(J9198*D9198,0)</f>
      </c>
      <c r="L9198" s="29">
        <f>IFERROR(E9198*C9198,0)</f>
      </c>
      <c r="M9198" s="29">
        <f>IFERROR((G9198*H9198*I9198/1000000)*D9198,0)</f>
      </c>
    </row>
    <row r="9199" spans="1:13" x14ac:dyDescent="0.25">
      <c r="A9199" s="16"/>
      <c r="E9199" s="27"/>
      <c r="F9199" t="s">
        <v>26</v>
      </c>
      <c r="G9199" s="28">
        <f>IFERROR(VLOOKUP(F9199,CARTON_LOOKUP!$A:$E,3,0),"")</f>
      </c>
      <c r="H9199" s="28">
        <f>IFERROR(VLOOKUP(F9199,CARTON_LOOKUP!$A:$E,4,0),"")</f>
      </c>
      <c r="I9199" s="28">
        <f>IFERROR(VLOOKUP(F9199,CARTON_LOOKUP!$A:$E,5,0),"")</f>
      </c>
      <c r="J9199" s="29">
        <f>IFERROR(VLOOKUP(F9199,CARTON_LOOKUP!$A:$E,2,0),"")</f>
      </c>
      <c r="K9199" s="29">
        <f>IFERROR(J9199*D9199,0)</f>
      </c>
      <c r="L9199" s="29">
        <f>IFERROR(E9199*C9199,0)</f>
      </c>
      <c r="M9199" s="29">
        <f>IFERROR((G9199*H9199*I9199/1000000)*D9199,0)</f>
      </c>
    </row>
    <row r="9200" spans="1:13" x14ac:dyDescent="0.25">
      <c r="A9200" s="16"/>
      <c r="E9200" s="27"/>
      <c r="F9200" t="s">
        <v>26</v>
      </c>
      <c r="G9200" s="28">
        <f>IFERROR(VLOOKUP(F9200,CARTON_LOOKUP!$A:$E,3,0),"")</f>
      </c>
      <c r="H9200" s="28">
        <f>IFERROR(VLOOKUP(F9200,CARTON_LOOKUP!$A:$E,4,0),"")</f>
      </c>
      <c r="I9200" s="28">
        <f>IFERROR(VLOOKUP(F9200,CARTON_LOOKUP!$A:$E,5,0),"")</f>
      </c>
      <c r="J9200" s="29">
        <f>IFERROR(VLOOKUP(F9200,CARTON_LOOKUP!$A:$E,2,0),"")</f>
      </c>
      <c r="K9200" s="29">
        <f>IFERROR(J9200*D9200,0)</f>
      </c>
      <c r="L9200" s="29">
        <f>IFERROR(E9200*C9200,0)</f>
      </c>
      <c r="M9200" s="29">
        <f>IFERROR((G9200*H9200*I9200/1000000)*D9200,0)</f>
      </c>
    </row>
    <row r="9201" spans="1:13" x14ac:dyDescent="0.25">
      <c r="A9201" s="16"/>
      <c r="E9201" s="27"/>
      <c r="F9201" t="s">
        <v>26</v>
      </c>
      <c r="G9201" s="28">
        <f>IFERROR(VLOOKUP(F9201,CARTON_LOOKUP!$A:$E,3,0),"")</f>
      </c>
      <c r="H9201" s="28">
        <f>IFERROR(VLOOKUP(F9201,CARTON_LOOKUP!$A:$E,4,0),"")</f>
      </c>
      <c r="I9201" s="28">
        <f>IFERROR(VLOOKUP(F9201,CARTON_LOOKUP!$A:$E,5,0),"")</f>
      </c>
      <c r="J9201" s="29">
        <f>IFERROR(VLOOKUP(F9201,CARTON_LOOKUP!$A:$E,2,0),"")</f>
      </c>
      <c r="K9201" s="29">
        <f>IFERROR(J9201*D9201,0)</f>
      </c>
      <c r="L9201" s="29">
        <f>IFERROR(E9201*C9201,0)</f>
      </c>
      <c r="M9201" s="29">
        <f>IFERROR((G9201*H9201*I9201/1000000)*D9201,0)</f>
      </c>
    </row>
    <row r="9202" spans="1:13" x14ac:dyDescent="0.25">
      <c r="A9202" s="16"/>
      <c r="E9202" s="27"/>
      <c r="F9202" t="s">
        <v>26</v>
      </c>
      <c r="G9202" s="28">
        <f>IFERROR(VLOOKUP(F9202,CARTON_LOOKUP!$A:$E,3,0),"")</f>
      </c>
      <c r="H9202" s="28">
        <f>IFERROR(VLOOKUP(F9202,CARTON_LOOKUP!$A:$E,4,0),"")</f>
      </c>
      <c r="I9202" s="28">
        <f>IFERROR(VLOOKUP(F9202,CARTON_LOOKUP!$A:$E,5,0),"")</f>
      </c>
      <c r="J9202" s="29">
        <f>IFERROR(VLOOKUP(F9202,CARTON_LOOKUP!$A:$E,2,0),"")</f>
      </c>
      <c r="K9202" s="29">
        <f>IFERROR(J9202*D9202,0)</f>
      </c>
      <c r="L9202" s="29">
        <f>IFERROR(E9202*C9202,0)</f>
      </c>
      <c r="M9202" s="29">
        <f>IFERROR((G9202*H9202*I9202/1000000)*D9202,0)</f>
      </c>
    </row>
    <row r="9203" spans="1:13" x14ac:dyDescent="0.25">
      <c r="A9203" s="16"/>
      <c r="E9203" s="27"/>
      <c r="F9203" t="s">
        <v>26</v>
      </c>
      <c r="G9203" s="28">
        <f>IFERROR(VLOOKUP(F9203,CARTON_LOOKUP!$A:$E,3,0),"")</f>
      </c>
      <c r="H9203" s="28">
        <f>IFERROR(VLOOKUP(F9203,CARTON_LOOKUP!$A:$E,4,0),"")</f>
      </c>
      <c r="I9203" s="28">
        <f>IFERROR(VLOOKUP(F9203,CARTON_LOOKUP!$A:$E,5,0),"")</f>
      </c>
      <c r="J9203" s="29">
        <f>IFERROR(VLOOKUP(F9203,CARTON_LOOKUP!$A:$E,2,0),"")</f>
      </c>
      <c r="K9203" s="29">
        <f>IFERROR(J9203*D9203,0)</f>
      </c>
      <c r="L9203" s="29">
        <f>IFERROR(E9203*C9203,0)</f>
      </c>
      <c r="M9203" s="29">
        <f>IFERROR((G9203*H9203*I9203/1000000)*D9203,0)</f>
      </c>
    </row>
    <row r="9204" spans="1:13" x14ac:dyDescent="0.25">
      <c r="A9204" s="16"/>
      <c r="E9204" s="27"/>
      <c r="F9204" t="s">
        <v>26</v>
      </c>
      <c r="G9204" s="28">
        <f>IFERROR(VLOOKUP(F9204,CARTON_LOOKUP!$A:$E,3,0),"")</f>
      </c>
      <c r="H9204" s="28">
        <f>IFERROR(VLOOKUP(F9204,CARTON_LOOKUP!$A:$E,4,0),"")</f>
      </c>
      <c r="I9204" s="28">
        <f>IFERROR(VLOOKUP(F9204,CARTON_LOOKUP!$A:$E,5,0),"")</f>
      </c>
      <c r="J9204" s="29">
        <f>IFERROR(VLOOKUP(F9204,CARTON_LOOKUP!$A:$E,2,0),"")</f>
      </c>
      <c r="K9204" s="29">
        <f>IFERROR(J9204*D9204,0)</f>
      </c>
      <c r="L9204" s="29">
        <f>IFERROR(E9204*C9204,0)</f>
      </c>
      <c r="M9204" s="29">
        <f>IFERROR((G9204*H9204*I9204/1000000)*D9204,0)</f>
      </c>
    </row>
    <row r="9205" spans="1:13" x14ac:dyDescent="0.25">
      <c r="A9205" s="16"/>
      <c r="E9205" s="27"/>
      <c r="F9205" t="s">
        <v>26</v>
      </c>
      <c r="G9205" s="28">
        <f>IFERROR(VLOOKUP(F9205,CARTON_LOOKUP!$A:$E,3,0),"")</f>
      </c>
      <c r="H9205" s="28">
        <f>IFERROR(VLOOKUP(F9205,CARTON_LOOKUP!$A:$E,4,0),"")</f>
      </c>
      <c r="I9205" s="28">
        <f>IFERROR(VLOOKUP(F9205,CARTON_LOOKUP!$A:$E,5,0),"")</f>
      </c>
      <c r="J9205" s="29">
        <f>IFERROR(VLOOKUP(F9205,CARTON_LOOKUP!$A:$E,2,0),"")</f>
      </c>
      <c r="K9205" s="29">
        <f>IFERROR(J9205*D9205,0)</f>
      </c>
      <c r="L9205" s="29">
        <f>IFERROR(E9205*C9205,0)</f>
      </c>
      <c r="M9205" s="29">
        <f>IFERROR((G9205*H9205*I9205/1000000)*D9205,0)</f>
      </c>
    </row>
    <row r="9206" spans="1:13" x14ac:dyDescent="0.25">
      <c r="A9206" s="16"/>
      <c r="E9206" s="27"/>
      <c r="F9206" t="s">
        <v>26</v>
      </c>
      <c r="G9206" s="28">
        <f>IFERROR(VLOOKUP(F9206,CARTON_LOOKUP!$A:$E,3,0),"")</f>
      </c>
      <c r="H9206" s="28">
        <f>IFERROR(VLOOKUP(F9206,CARTON_LOOKUP!$A:$E,4,0),"")</f>
      </c>
      <c r="I9206" s="28">
        <f>IFERROR(VLOOKUP(F9206,CARTON_LOOKUP!$A:$E,5,0),"")</f>
      </c>
      <c r="J9206" s="29">
        <f>IFERROR(VLOOKUP(F9206,CARTON_LOOKUP!$A:$E,2,0),"")</f>
      </c>
      <c r="K9206" s="29">
        <f>IFERROR(J9206*D9206,0)</f>
      </c>
      <c r="L9206" s="29">
        <f>IFERROR(E9206*C9206,0)</f>
      </c>
      <c r="M9206" s="29">
        <f>IFERROR((G9206*H9206*I9206/1000000)*D9206,0)</f>
      </c>
    </row>
    <row r="9207" spans="1:13" x14ac:dyDescent="0.25">
      <c r="A9207" s="16"/>
      <c r="E9207" s="27"/>
      <c r="F9207" t="s">
        <v>26</v>
      </c>
      <c r="G9207" s="28">
        <f>IFERROR(VLOOKUP(F9207,CARTON_LOOKUP!$A:$E,3,0),"")</f>
      </c>
      <c r="H9207" s="28">
        <f>IFERROR(VLOOKUP(F9207,CARTON_LOOKUP!$A:$E,4,0),"")</f>
      </c>
      <c r="I9207" s="28">
        <f>IFERROR(VLOOKUP(F9207,CARTON_LOOKUP!$A:$E,5,0),"")</f>
      </c>
      <c r="J9207" s="29">
        <f>IFERROR(VLOOKUP(F9207,CARTON_LOOKUP!$A:$E,2,0),"")</f>
      </c>
      <c r="K9207" s="29">
        <f>IFERROR(J9207*D9207,0)</f>
      </c>
      <c r="L9207" s="29">
        <f>IFERROR(E9207*C9207,0)</f>
      </c>
      <c r="M9207" s="29">
        <f>IFERROR((G9207*H9207*I9207/1000000)*D9207,0)</f>
      </c>
    </row>
    <row r="9208" spans="1:13" x14ac:dyDescent="0.25">
      <c r="A9208" s="16"/>
      <c r="E9208" s="27"/>
      <c r="F9208" t="s">
        <v>26</v>
      </c>
      <c r="G9208" s="28">
        <f>IFERROR(VLOOKUP(F9208,CARTON_LOOKUP!$A:$E,3,0),"")</f>
      </c>
      <c r="H9208" s="28">
        <f>IFERROR(VLOOKUP(F9208,CARTON_LOOKUP!$A:$E,4,0),"")</f>
      </c>
      <c r="I9208" s="28">
        <f>IFERROR(VLOOKUP(F9208,CARTON_LOOKUP!$A:$E,5,0),"")</f>
      </c>
      <c r="J9208" s="29">
        <f>IFERROR(VLOOKUP(F9208,CARTON_LOOKUP!$A:$E,2,0),"")</f>
      </c>
      <c r="K9208" s="29">
        <f>IFERROR(J9208*D9208,0)</f>
      </c>
      <c r="L9208" s="29">
        <f>IFERROR(E9208*C9208,0)</f>
      </c>
      <c r="M9208" s="29">
        <f>IFERROR((G9208*H9208*I9208/1000000)*D9208,0)</f>
      </c>
    </row>
    <row r="9209" spans="1:13" x14ac:dyDescent="0.25">
      <c r="A9209" s="16"/>
      <c r="E9209" s="27"/>
      <c r="F9209" t="s">
        <v>26</v>
      </c>
      <c r="G9209" s="28">
        <f>IFERROR(VLOOKUP(F9209,CARTON_LOOKUP!$A:$E,3,0),"")</f>
      </c>
      <c r="H9209" s="28">
        <f>IFERROR(VLOOKUP(F9209,CARTON_LOOKUP!$A:$E,4,0),"")</f>
      </c>
      <c r="I9209" s="28">
        <f>IFERROR(VLOOKUP(F9209,CARTON_LOOKUP!$A:$E,5,0),"")</f>
      </c>
      <c r="J9209" s="29">
        <f>IFERROR(VLOOKUP(F9209,CARTON_LOOKUP!$A:$E,2,0),"")</f>
      </c>
      <c r="K9209" s="29">
        <f>IFERROR(J9209*D9209,0)</f>
      </c>
      <c r="L9209" s="29">
        <f>IFERROR(E9209*C9209,0)</f>
      </c>
      <c r="M9209" s="29">
        <f>IFERROR((G9209*H9209*I9209/1000000)*D9209,0)</f>
      </c>
    </row>
    <row r="9210" spans="1:13" x14ac:dyDescent="0.25">
      <c r="A9210" s="16"/>
      <c r="E9210" s="27"/>
      <c r="F9210" t="s">
        <v>26</v>
      </c>
      <c r="G9210" s="28">
        <f>IFERROR(VLOOKUP(F9210,CARTON_LOOKUP!$A:$E,3,0),"")</f>
      </c>
      <c r="H9210" s="28">
        <f>IFERROR(VLOOKUP(F9210,CARTON_LOOKUP!$A:$E,4,0),"")</f>
      </c>
      <c r="I9210" s="28">
        <f>IFERROR(VLOOKUP(F9210,CARTON_LOOKUP!$A:$E,5,0),"")</f>
      </c>
      <c r="J9210" s="29">
        <f>IFERROR(VLOOKUP(F9210,CARTON_LOOKUP!$A:$E,2,0),"")</f>
      </c>
      <c r="K9210" s="29">
        <f>IFERROR(J9210*D9210,0)</f>
      </c>
      <c r="L9210" s="29">
        <f>IFERROR(E9210*C9210,0)</f>
      </c>
      <c r="M9210" s="29">
        <f>IFERROR((G9210*H9210*I9210/1000000)*D9210,0)</f>
      </c>
    </row>
    <row r="9211" spans="1:13" x14ac:dyDescent="0.25">
      <c r="A9211" s="16"/>
      <c r="E9211" s="27"/>
      <c r="F9211" t="s">
        <v>26</v>
      </c>
      <c r="G9211" s="28">
        <f>IFERROR(VLOOKUP(F9211,CARTON_LOOKUP!$A:$E,3,0),"")</f>
      </c>
      <c r="H9211" s="28">
        <f>IFERROR(VLOOKUP(F9211,CARTON_LOOKUP!$A:$E,4,0),"")</f>
      </c>
      <c r="I9211" s="28">
        <f>IFERROR(VLOOKUP(F9211,CARTON_LOOKUP!$A:$E,5,0),"")</f>
      </c>
      <c r="J9211" s="29">
        <f>IFERROR(VLOOKUP(F9211,CARTON_LOOKUP!$A:$E,2,0),"")</f>
      </c>
      <c r="K9211" s="29">
        <f>IFERROR(J9211*D9211,0)</f>
      </c>
      <c r="L9211" s="29">
        <f>IFERROR(E9211*C9211,0)</f>
      </c>
      <c r="M9211" s="29">
        <f>IFERROR((G9211*H9211*I9211/1000000)*D9211,0)</f>
      </c>
    </row>
    <row r="9212" spans="1:13" x14ac:dyDescent="0.25">
      <c r="A9212" s="16"/>
      <c r="E9212" s="27"/>
      <c r="F9212" t="s">
        <v>26</v>
      </c>
      <c r="G9212" s="28">
        <f>IFERROR(VLOOKUP(F9212,CARTON_LOOKUP!$A:$E,3,0),"")</f>
      </c>
      <c r="H9212" s="28">
        <f>IFERROR(VLOOKUP(F9212,CARTON_LOOKUP!$A:$E,4,0),"")</f>
      </c>
      <c r="I9212" s="28">
        <f>IFERROR(VLOOKUP(F9212,CARTON_LOOKUP!$A:$E,5,0),"")</f>
      </c>
      <c r="J9212" s="29">
        <f>IFERROR(VLOOKUP(F9212,CARTON_LOOKUP!$A:$E,2,0),"")</f>
      </c>
      <c r="K9212" s="29">
        <f>IFERROR(J9212*D9212,0)</f>
      </c>
      <c r="L9212" s="29">
        <f>IFERROR(E9212*C9212,0)</f>
      </c>
      <c r="M9212" s="29">
        <f>IFERROR((G9212*H9212*I9212/1000000)*D9212,0)</f>
      </c>
    </row>
    <row r="9213" spans="1:13" x14ac:dyDescent="0.25">
      <c r="A9213" s="16"/>
      <c r="E9213" s="27"/>
      <c r="F9213" t="s">
        <v>26</v>
      </c>
      <c r="G9213" s="28">
        <f>IFERROR(VLOOKUP(F9213,CARTON_LOOKUP!$A:$E,3,0),"")</f>
      </c>
      <c r="H9213" s="28">
        <f>IFERROR(VLOOKUP(F9213,CARTON_LOOKUP!$A:$E,4,0),"")</f>
      </c>
      <c r="I9213" s="28">
        <f>IFERROR(VLOOKUP(F9213,CARTON_LOOKUP!$A:$E,5,0),"")</f>
      </c>
      <c r="J9213" s="29">
        <f>IFERROR(VLOOKUP(F9213,CARTON_LOOKUP!$A:$E,2,0),"")</f>
      </c>
      <c r="K9213" s="29">
        <f>IFERROR(J9213*D9213,0)</f>
      </c>
      <c r="L9213" s="29">
        <f>IFERROR(E9213*C9213,0)</f>
      </c>
      <c r="M9213" s="29">
        <f>IFERROR((G9213*H9213*I9213/1000000)*D9213,0)</f>
      </c>
    </row>
    <row r="9214" spans="1:13" x14ac:dyDescent="0.25">
      <c r="A9214" s="16"/>
      <c r="E9214" s="27"/>
      <c r="F9214" t="s">
        <v>26</v>
      </c>
      <c r="G9214" s="28">
        <f>IFERROR(VLOOKUP(F9214,CARTON_LOOKUP!$A:$E,3,0),"")</f>
      </c>
      <c r="H9214" s="28">
        <f>IFERROR(VLOOKUP(F9214,CARTON_LOOKUP!$A:$E,4,0),"")</f>
      </c>
      <c r="I9214" s="28">
        <f>IFERROR(VLOOKUP(F9214,CARTON_LOOKUP!$A:$E,5,0),"")</f>
      </c>
      <c r="J9214" s="29">
        <f>IFERROR(VLOOKUP(F9214,CARTON_LOOKUP!$A:$E,2,0),"")</f>
      </c>
      <c r="K9214" s="29">
        <f>IFERROR(J9214*D9214,0)</f>
      </c>
      <c r="L9214" s="29">
        <f>IFERROR(E9214*C9214,0)</f>
      </c>
      <c r="M9214" s="29">
        <f>IFERROR((G9214*H9214*I9214/1000000)*D9214,0)</f>
      </c>
    </row>
    <row r="9215" spans="1:13" x14ac:dyDescent="0.25">
      <c r="A9215" s="16"/>
      <c r="E9215" s="27"/>
      <c r="F9215" t="s">
        <v>26</v>
      </c>
      <c r="G9215" s="28">
        <f>IFERROR(VLOOKUP(F9215,CARTON_LOOKUP!$A:$E,3,0),"")</f>
      </c>
      <c r="H9215" s="28">
        <f>IFERROR(VLOOKUP(F9215,CARTON_LOOKUP!$A:$E,4,0),"")</f>
      </c>
      <c r="I9215" s="28">
        <f>IFERROR(VLOOKUP(F9215,CARTON_LOOKUP!$A:$E,5,0),"")</f>
      </c>
      <c r="J9215" s="29">
        <f>IFERROR(VLOOKUP(F9215,CARTON_LOOKUP!$A:$E,2,0),"")</f>
      </c>
      <c r="K9215" s="29">
        <f>IFERROR(J9215*D9215,0)</f>
      </c>
      <c r="L9215" s="29">
        <f>IFERROR(E9215*C9215,0)</f>
      </c>
      <c r="M9215" s="29">
        <f>IFERROR((G9215*H9215*I9215/1000000)*D9215,0)</f>
      </c>
    </row>
    <row r="9216" spans="1:13" x14ac:dyDescent="0.25">
      <c r="A9216" s="16"/>
      <c r="E9216" s="27"/>
      <c r="F9216" t="s">
        <v>26</v>
      </c>
      <c r="G9216" s="28">
        <f>IFERROR(VLOOKUP(F9216,CARTON_LOOKUP!$A:$E,3,0),"")</f>
      </c>
      <c r="H9216" s="28">
        <f>IFERROR(VLOOKUP(F9216,CARTON_LOOKUP!$A:$E,4,0),"")</f>
      </c>
      <c r="I9216" s="28">
        <f>IFERROR(VLOOKUP(F9216,CARTON_LOOKUP!$A:$E,5,0),"")</f>
      </c>
      <c r="J9216" s="29">
        <f>IFERROR(VLOOKUP(F9216,CARTON_LOOKUP!$A:$E,2,0),"")</f>
      </c>
      <c r="K9216" s="29">
        <f>IFERROR(J9216*D9216,0)</f>
      </c>
      <c r="L9216" s="29">
        <f>IFERROR(E9216*C9216,0)</f>
      </c>
      <c r="M9216" s="29">
        <f>IFERROR((G9216*H9216*I9216/1000000)*D9216,0)</f>
      </c>
    </row>
    <row r="9217" spans="1:13" x14ac:dyDescent="0.25">
      <c r="A9217" s="16"/>
      <c r="E9217" s="27"/>
      <c r="F9217" t="s">
        <v>26</v>
      </c>
      <c r="G9217" s="28">
        <f>IFERROR(VLOOKUP(F9217,CARTON_LOOKUP!$A:$E,3,0),"")</f>
      </c>
      <c r="H9217" s="28">
        <f>IFERROR(VLOOKUP(F9217,CARTON_LOOKUP!$A:$E,4,0),"")</f>
      </c>
      <c r="I9217" s="28">
        <f>IFERROR(VLOOKUP(F9217,CARTON_LOOKUP!$A:$E,5,0),"")</f>
      </c>
      <c r="J9217" s="29">
        <f>IFERROR(VLOOKUP(F9217,CARTON_LOOKUP!$A:$E,2,0),"")</f>
      </c>
      <c r="K9217" s="29">
        <f>IFERROR(J9217*D9217,0)</f>
      </c>
      <c r="L9217" s="29">
        <f>IFERROR(E9217*C9217,0)</f>
      </c>
      <c r="M9217" s="29">
        <f>IFERROR((G9217*H9217*I9217/1000000)*D9217,0)</f>
      </c>
    </row>
    <row r="9218" spans="1:13" x14ac:dyDescent="0.25">
      <c r="A9218" s="16"/>
      <c r="E9218" s="27"/>
      <c r="F9218" t="s">
        <v>26</v>
      </c>
      <c r="G9218" s="28">
        <f>IFERROR(VLOOKUP(F9218,CARTON_LOOKUP!$A:$E,3,0),"")</f>
      </c>
      <c r="H9218" s="28">
        <f>IFERROR(VLOOKUP(F9218,CARTON_LOOKUP!$A:$E,4,0),"")</f>
      </c>
      <c r="I9218" s="28">
        <f>IFERROR(VLOOKUP(F9218,CARTON_LOOKUP!$A:$E,5,0),"")</f>
      </c>
      <c r="J9218" s="29">
        <f>IFERROR(VLOOKUP(F9218,CARTON_LOOKUP!$A:$E,2,0),"")</f>
      </c>
      <c r="K9218" s="29">
        <f>IFERROR(J9218*D9218,0)</f>
      </c>
      <c r="L9218" s="29">
        <f>IFERROR(E9218*C9218,0)</f>
      </c>
      <c r="M9218" s="29">
        <f>IFERROR((G9218*H9218*I9218/1000000)*D9218,0)</f>
      </c>
    </row>
    <row r="9219" spans="1:13" x14ac:dyDescent="0.25">
      <c r="A9219" s="16"/>
      <c r="E9219" s="27"/>
      <c r="F9219" t="s">
        <v>26</v>
      </c>
      <c r="G9219" s="28">
        <f>IFERROR(VLOOKUP(F9219,CARTON_LOOKUP!$A:$E,3,0),"")</f>
      </c>
      <c r="H9219" s="28">
        <f>IFERROR(VLOOKUP(F9219,CARTON_LOOKUP!$A:$E,4,0),"")</f>
      </c>
      <c r="I9219" s="28">
        <f>IFERROR(VLOOKUP(F9219,CARTON_LOOKUP!$A:$E,5,0),"")</f>
      </c>
      <c r="J9219" s="29">
        <f>IFERROR(VLOOKUP(F9219,CARTON_LOOKUP!$A:$E,2,0),"")</f>
      </c>
      <c r="K9219" s="29">
        <f>IFERROR(J9219*D9219,0)</f>
      </c>
      <c r="L9219" s="29">
        <f>IFERROR(E9219*C9219,0)</f>
      </c>
      <c r="M9219" s="29">
        <f>IFERROR((G9219*H9219*I9219/1000000)*D9219,0)</f>
      </c>
    </row>
    <row r="9220" spans="1:13" x14ac:dyDescent="0.25">
      <c r="A9220" s="16"/>
      <c r="E9220" s="27"/>
      <c r="F9220" t="s">
        <v>26</v>
      </c>
      <c r="G9220" s="28">
        <f>IFERROR(VLOOKUP(F9220,CARTON_LOOKUP!$A:$E,3,0),"")</f>
      </c>
      <c r="H9220" s="28">
        <f>IFERROR(VLOOKUP(F9220,CARTON_LOOKUP!$A:$E,4,0),"")</f>
      </c>
      <c r="I9220" s="28">
        <f>IFERROR(VLOOKUP(F9220,CARTON_LOOKUP!$A:$E,5,0),"")</f>
      </c>
      <c r="J9220" s="29">
        <f>IFERROR(VLOOKUP(F9220,CARTON_LOOKUP!$A:$E,2,0),"")</f>
      </c>
      <c r="K9220" s="29">
        <f>IFERROR(J9220*D9220,0)</f>
      </c>
      <c r="L9220" s="29">
        <f>IFERROR(E9220*C9220,0)</f>
      </c>
      <c r="M9220" s="29">
        <f>IFERROR((G9220*H9220*I9220/1000000)*D9220,0)</f>
      </c>
    </row>
    <row r="9221" spans="1:13" x14ac:dyDescent="0.25">
      <c r="A9221" s="16"/>
      <c r="E9221" s="27"/>
      <c r="F9221" t="s">
        <v>26</v>
      </c>
      <c r="G9221" s="28">
        <f>IFERROR(VLOOKUP(F9221,CARTON_LOOKUP!$A:$E,3,0),"")</f>
      </c>
      <c r="H9221" s="28">
        <f>IFERROR(VLOOKUP(F9221,CARTON_LOOKUP!$A:$E,4,0),"")</f>
      </c>
      <c r="I9221" s="28">
        <f>IFERROR(VLOOKUP(F9221,CARTON_LOOKUP!$A:$E,5,0),"")</f>
      </c>
      <c r="J9221" s="29">
        <f>IFERROR(VLOOKUP(F9221,CARTON_LOOKUP!$A:$E,2,0),"")</f>
      </c>
      <c r="K9221" s="29">
        <f>IFERROR(J9221*D9221,0)</f>
      </c>
      <c r="L9221" s="29">
        <f>IFERROR(E9221*C9221,0)</f>
      </c>
      <c r="M9221" s="29">
        <f>IFERROR((G9221*H9221*I9221/1000000)*D9221,0)</f>
      </c>
    </row>
    <row r="9222" spans="1:13" x14ac:dyDescent="0.25">
      <c r="A9222" s="16"/>
      <c r="E9222" s="27"/>
      <c r="F9222" t="s">
        <v>26</v>
      </c>
      <c r="G9222" s="28">
        <f>IFERROR(VLOOKUP(F9222,CARTON_LOOKUP!$A:$E,3,0),"")</f>
      </c>
      <c r="H9222" s="28">
        <f>IFERROR(VLOOKUP(F9222,CARTON_LOOKUP!$A:$E,4,0),"")</f>
      </c>
      <c r="I9222" s="28">
        <f>IFERROR(VLOOKUP(F9222,CARTON_LOOKUP!$A:$E,5,0),"")</f>
      </c>
      <c r="J9222" s="29">
        <f>IFERROR(VLOOKUP(F9222,CARTON_LOOKUP!$A:$E,2,0),"")</f>
      </c>
      <c r="K9222" s="29">
        <f>IFERROR(J9222*D9222,0)</f>
      </c>
      <c r="L9222" s="29">
        <f>IFERROR(E9222*C9222,0)</f>
      </c>
      <c r="M9222" s="29">
        <f>IFERROR((G9222*H9222*I9222/1000000)*D9222,0)</f>
      </c>
    </row>
    <row r="9223" spans="1:13" x14ac:dyDescent="0.25">
      <c r="A9223" s="16"/>
      <c r="E9223" s="27"/>
      <c r="F9223" t="s">
        <v>26</v>
      </c>
      <c r="G9223" s="28">
        <f>IFERROR(VLOOKUP(F9223,CARTON_LOOKUP!$A:$E,3,0),"")</f>
      </c>
      <c r="H9223" s="28">
        <f>IFERROR(VLOOKUP(F9223,CARTON_LOOKUP!$A:$E,4,0),"")</f>
      </c>
      <c r="I9223" s="28">
        <f>IFERROR(VLOOKUP(F9223,CARTON_LOOKUP!$A:$E,5,0),"")</f>
      </c>
      <c r="J9223" s="29">
        <f>IFERROR(VLOOKUP(F9223,CARTON_LOOKUP!$A:$E,2,0),"")</f>
      </c>
      <c r="K9223" s="29">
        <f>IFERROR(J9223*D9223,0)</f>
      </c>
      <c r="L9223" s="29">
        <f>IFERROR(E9223*C9223,0)</f>
      </c>
      <c r="M9223" s="29">
        <f>IFERROR((G9223*H9223*I9223/1000000)*D9223,0)</f>
      </c>
    </row>
    <row r="9224" spans="1:13" x14ac:dyDescent="0.25">
      <c r="A9224" s="16"/>
      <c r="E9224" s="27"/>
      <c r="F9224" t="s">
        <v>26</v>
      </c>
      <c r="G9224" s="28">
        <f>IFERROR(VLOOKUP(F9224,CARTON_LOOKUP!$A:$E,3,0),"")</f>
      </c>
      <c r="H9224" s="28">
        <f>IFERROR(VLOOKUP(F9224,CARTON_LOOKUP!$A:$E,4,0),"")</f>
      </c>
      <c r="I9224" s="28">
        <f>IFERROR(VLOOKUP(F9224,CARTON_LOOKUP!$A:$E,5,0),"")</f>
      </c>
      <c r="J9224" s="29">
        <f>IFERROR(VLOOKUP(F9224,CARTON_LOOKUP!$A:$E,2,0),"")</f>
      </c>
      <c r="K9224" s="29">
        <f>IFERROR(J9224*D9224,0)</f>
      </c>
      <c r="L9224" s="29">
        <f>IFERROR(E9224*C9224,0)</f>
      </c>
      <c r="M9224" s="29">
        <f>IFERROR((G9224*H9224*I9224/1000000)*D9224,0)</f>
      </c>
    </row>
    <row r="9225" spans="1:13" x14ac:dyDescent="0.25">
      <c r="A9225" s="16"/>
      <c r="E9225" s="27"/>
      <c r="F9225" t="s">
        <v>26</v>
      </c>
      <c r="G9225" s="28">
        <f>IFERROR(VLOOKUP(F9225,CARTON_LOOKUP!$A:$E,3,0),"")</f>
      </c>
      <c r="H9225" s="28">
        <f>IFERROR(VLOOKUP(F9225,CARTON_LOOKUP!$A:$E,4,0),"")</f>
      </c>
      <c r="I9225" s="28">
        <f>IFERROR(VLOOKUP(F9225,CARTON_LOOKUP!$A:$E,5,0),"")</f>
      </c>
      <c r="J9225" s="29">
        <f>IFERROR(VLOOKUP(F9225,CARTON_LOOKUP!$A:$E,2,0),"")</f>
      </c>
      <c r="K9225" s="29">
        <f>IFERROR(J9225*D9225,0)</f>
      </c>
      <c r="L9225" s="29">
        <f>IFERROR(E9225*C9225,0)</f>
      </c>
      <c r="M9225" s="29">
        <f>IFERROR((G9225*H9225*I9225/1000000)*D9225,0)</f>
      </c>
    </row>
    <row r="9226" spans="1:13" x14ac:dyDescent="0.25">
      <c r="A9226" s="16"/>
      <c r="E9226" s="27"/>
      <c r="F9226" t="s">
        <v>26</v>
      </c>
      <c r="G9226" s="28">
        <f>IFERROR(VLOOKUP(F9226,CARTON_LOOKUP!$A:$E,3,0),"")</f>
      </c>
      <c r="H9226" s="28">
        <f>IFERROR(VLOOKUP(F9226,CARTON_LOOKUP!$A:$E,4,0),"")</f>
      </c>
      <c r="I9226" s="28">
        <f>IFERROR(VLOOKUP(F9226,CARTON_LOOKUP!$A:$E,5,0),"")</f>
      </c>
      <c r="J9226" s="29">
        <f>IFERROR(VLOOKUP(F9226,CARTON_LOOKUP!$A:$E,2,0),"")</f>
      </c>
      <c r="K9226" s="29">
        <f>IFERROR(J9226*D9226,0)</f>
      </c>
      <c r="L9226" s="29">
        <f>IFERROR(E9226*C9226,0)</f>
      </c>
      <c r="M9226" s="29">
        <f>IFERROR((G9226*H9226*I9226/1000000)*D9226,0)</f>
      </c>
    </row>
    <row r="9227" spans="1:13" x14ac:dyDescent="0.25">
      <c r="A9227" s="16"/>
      <c r="E9227" s="27"/>
      <c r="F9227" t="s">
        <v>26</v>
      </c>
      <c r="G9227" s="28">
        <f>IFERROR(VLOOKUP(F9227,CARTON_LOOKUP!$A:$E,3,0),"")</f>
      </c>
      <c r="H9227" s="28">
        <f>IFERROR(VLOOKUP(F9227,CARTON_LOOKUP!$A:$E,4,0),"")</f>
      </c>
      <c r="I9227" s="28">
        <f>IFERROR(VLOOKUP(F9227,CARTON_LOOKUP!$A:$E,5,0),"")</f>
      </c>
      <c r="J9227" s="29">
        <f>IFERROR(VLOOKUP(F9227,CARTON_LOOKUP!$A:$E,2,0),"")</f>
      </c>
      <c r="K9227" s="29">
        <f>IFERROR(J9227*D9227,0)</f>
      </c>
      <c r="L9227" s="29">
        <f>IFERROR(E9227*C9227,0)</f>
      </c>
      <c r="M9227" s="29">
        <f>IFERROR((G9227*H9227*I9227/1000000)*D9227,0)</f>
      </c>
    </row>
    <row r="9228" spans="1:13" x14ac:dyDescent="0.25">
      <c r="A9228" s="16"/>
      <c r="E9228" s="27"/>
      <c r="F9228" t="s">
        <v>26</v>
      </c>
      <c r="G9228" s="28">
        <f>IFERROR(VLOOKUP(F9228,CARTON_LOOKUP!$A:$E,3,0),"")</f>
      </c>
      <c r="H9228" s="28">
        <f>IFERROR(VLOOKUP(F9228,CARTON_LOOKUP!$A:$E,4,0),"")</f>
      </c>
      <c r="I9228" s="28">
        <f>IFERROR(VLOOKUP(F9228,CARTON_LOOKUP!$A:$E,5,0),"")</f>
      </c>
      <c r="J9228" s="29">
        <f>IFERROR(VLOOKUP(F9228,CARTON_LOOKUP!$A:$E,2,0),"")</f>
      </c>
      <c r="K9228" s="29">
        <f>IFERROR(J9228*D9228,0)</f>
      </c>
      <c r="L9228" s="29">
        <f>IFERROR(E9228*C9228,0)</f>
      </c>
      <c r="M9228" s="29">
        <f>IFERROR((G9228*H9228*I9228/1000000)*D9228,0)</f>
      </c>
    </row>
    <row r="9229" spans="1:13" x14ac:dyDescent="0.25">
      <c r="A9229" s="16"/>
      <c r="E9229" s="27"/>
      <c r="F9229" t="s">
        <v>26</v>
      </c>
      <c r="G9229" s="28">
        <f>IFERROR(VLOOKUP(F9229,CARTON_LOOKUP!$A:$E,3,0),"")</f>
      </c>
      <c r="H9229" s="28">
        <f>IFERROR(VLOOKUP(F9229,CARTON_LOOKUP!$A:$E,4,0),"")</f>
      </c>
      <c r="I9229" s="28">
        <f>IFERROR(VLOOKUP(F9229,CARTON_LOOKUP!$A:$E,5,0),"")</f>
      </c>
      <c r="J9229" s="29">
        <f>IFERROR(VLOOKUP(F9229,CARTON_LOOKUP!$A:$E,2,0),"")</f>
      </c>
      <c r="K9229" s="29">
        <f>IFERROR(J9229*D9229,0)</f>
      </c>
      <c r="L9229" s="29">
        <f>IFERROR(E9229*C9229,0)</f>
      </c>
      <c r="M9229" s="29">
        <f>IFERROR((G9229*H9229*I9229/1000000)*D9229,0)</f>
      </c>
    </row>
    <row r="9230" spans="1:13" x14ac:dyDescent="0.25">
      <c r="A9230" s="16"/>
      <c r="E9230" s="27"/>
      <c r="F9230" t="s">
        <v>26</v>
      </c>
      <c r="G9230" s="28">
        <f>IFERROR(VLOOKUP(F9230,CARTON_LOOKUP!$A:$E,3,0),"")</f>
      </c>
      <c r="H9230" s="28">
        <f>IFERROR(VLOOKUP(F9230,CARTON_LOOKUP!$A:$E,4,0),"")</f>
      </c>
      <c r="I9230" s="28">
        <f>IFERROR(VLOOKUP(F9230,CARTON_LOOKUP!$A:$E,5,0),"")</f>
      </c>
      <c r="J9230" s="29">
        <f>IFERROR(VLOOKUP(F9230,CARTON_LOOKUP!$A:$E,2,0),"")</f>
      </c>
      <c r="K9230" s="29">
        <f>IFERROR(J9230*D9230,0)</f>
      </c>
      <c r="L9230" s="29">
        <f>IFERROR(E9230*C9230,0)</f>
      </c>
      <c r="M9230" s="29">
        <f>IFERROR((G9230*H9230*I9230/1000000)*D9230,0)</f>
      </c>
    </row>
    <row r="9231" spans="1:13" x14ac:dyDescent="0.25">
      <c r="A9231" s="16"/>
      <c r="E9231" s="27"/>
      <c r="F9231" t="s">
        <v>26</v>
      </c>
      <c r="G9231" s="28">
        <f>IFERROR(VLOOKUP(F9231,CARTON_LOOKUP!$A:$E,3,0),"")</f>
      </c>
      <c r="H9231" s="28">
        <f>IFERROR(VLOOKUP(F9231,CARTON_LOOKUP!$A:$E,4,0),"")</f>
      </c>
      <c r="I9231" s="28">
        <f>IFERROR(VLOOKUP(F9231,CARTON_LOOKUP!$A:$E,5,0),"")</f>
      </c>
      <c r="J9231" s="29">
        <f>IFERROR(VLOOKUP(F9231,CARTON_LOOKUP!$A:$E,2,0),"")</f>
      </c>
      <c r="K9231" s="29">
        <f>IFERROR(J9231*D9231,0)</f>
      </c>
      <c r="L9231" s="29">
        <f>IFERROR(E9231*C9231,0)</f>
      </c>
      <c r="M9231" s="29">
        <f>IFERROR((G9231*H9231*I9231/1000000)*D9231,0)</f>
      </c>
    </row>
    <row r="9232" spans="1:13" x14ac:dyDescent="0.25">
      <c r="A9232" s="16"/>
      <c r="E9232" s="27"/>
      <c r="F9232" t="s">
        <v>26</v>
      </c>
      <c r="G9232" s="28">
        <f>IFERROR(VLOOKUP(F9232,CARTON_LOOKUP!$A:$E,3,0),"")</f>
      </c>
      <c r="H9232" s="28">
        <f>IFERROR(VLOOKUP(F9232,CARTON_LOOKUP!$A:$E,4,0),"")</f>
      </c>
      <c r="I9232" s="28">
        <f>IFERROR(VLOOKUP(F9232,CARTON_LOOKUP!$A:$E,5,0),"")</f>
      </c>
      <c r="J9232" s="29">
        <f>IFERROR(VLOOKUP(F9232,CARTON_LOOKUP!$A:$E,2,0),"")</f>
      </c>
      <c r="K9232" s="29">
        <f>IFERROR(J9232*D9232,0)</f>
      </c>
      <c r="L9232" s="29">
        <f>IFERROR(E9232*C9232,0)</f>
      </c>
      <c r="M9232" s="29">
        <f>IFERROR((G9232*H9232*I9232/1000000)*D9232,0)</f>
      </c>
    </row>
    <row r="9233" spans="1:13" x14ac:dyDescent="0.25">
      <c r="A9233" s="16"/>
      <c r="E9233" s="27"/>
      <c r="F9233" t="s">
        <v>26</v>
      </c>
      <c r="G9233" s="28">
        <f>IFERROR(VLOOKUP(F9233,CARTON_LOOKUP!$A:$E,3,0),"")</f>
      </c>
      <c r="H9233" s="28">
        <f>IFERROR(VLOOKUP(F9233,CARTON_LOOKUP!$A:$E,4,0),"")</f>
      </c>
      <c r="I9233" s="28">
        <f>IFERROR(VLOOKUP(F9233,CARTON_LOOKUP!$A:$E,5,0),"")</f>
      </c>
      <c r="J9233" s="29">
        <f>IFERROR(VLOOKUP(F9233,CARTON_LOOKUP!$A:$E,2,0),"")</f>
      </c>
      <c r="K9233" s="29">
        <f>IFERROR(J9233*D9233,0)</f>
      </c>
      <c r="L9233" s="29">
        <f>IFERROR(E9233*C9233,0)</f>
      </c>
      <c r="M9233" s="29">
        <f>IFERROR((G9233*H9233*I9233/1000000)*D9233,0)</f>
      </c>
    </row>
    <row r="9234" spans="1:13" x14ac:dyDescent="0.25">
      <c r="A9234" s="16"/>
      <c r="E9234" s="27"/>
      <c r="F9234" t="s">
        <v>26</v>
      </c>
      <c r="G9234" s="28">
        <f>IFERROR(VLOOKUP(F9234,CARTON_LOOKUP!$A:$E,3,0),"")</f>
      </c>
      <c r="H9234" s="28">
        <f>IFERROR(VLOOKUP(F9234,CARTON_LOOKUP!$A:$E,4,0),"")</f>
      </c>
      <c r="I9234" s="28">
        <f>IFERROR(VLOOKUP(F9234,CARTON_LOOKUP!$A:$E,5,0),"")</f>
      </c>
      <c r="J9234" s="29">
        <f>IFERROR(VLOOKUP(F9234,CARTON_LOOKUP!$A:$E,2,0),"")</f>
      </c>
      <c r="K9234" s="29">
        <f>IFERROR(J9234*D9234,0)</f>
      </c>
      <c r="L9234" s="29">
        <f>IFERROR(E9234*C9234,0)</f>
      </c>
      <c r="M9234" s="29">
        <f>IFERROR((G9234*H9234*I9234/1000000)*D9234,0)</f>
      </c>
    </row>
    <row r="9235" spans="1:13" x14ac:dyDescent="0.25">
      <c r="A9235" s="16"/>
      <c r="E9235" s="27"/>
      <c r="F9235" t="s">
        <v>26</v>
      </c>
      <c r="G9235" s="28">
        <f>IFERROR(VLOOKUP(F9235,CARTON_LOOKUP!$A:$E,3,0),"")</f>
      </c>
      <c r="H9235" s="28">
        <f>IFERROR(VLOOKUP(F9235,CARTON_LOOKUP!$A:$E,4,0),"")</f>
      </c>
      <c r="I9235" s="28">
        <f>IFERROR(VLOOKUP(F9235,CARTON_LOOKUP!$A:$E,5,0),"")</f>
      </c>
      <c r="J9235" s="29">
        <f>IFERROR(VLOOKUP(F9235,CARTON_LOOKUP!$A:$E,2,0),"")</f>
      </c>
      <c r="K9235" s="29">
        <f>IFERROR(J9235*D9235,0)</f>
      </c>
      <c r="L9235" s="29">
        <f>IFERROR(E9235*C9235,0)</f>
      </c>
      <c r="M9235" s="29">
        <f>IFERROR((G9235*H9235*I9235/1000000)*D9235,0)</f>
      </c>
    </row>
    <row r="9236" spans="1:13" x14ac:dyDescent="0.25">
      <c r="A9236" s="16"/>
      <c r="E9236" s="27"/>
      <c r="F9236" t="s">
        <v>26</v>
      </c>
      <c r="G9236" s="28">
        <f>IFERROR(VLOOKUP(F9236,CARTON_LOOKUP!$A:$E,3,0),"")</f>
      </c>
      <c r="H9236" s="28">
        <f>IFERROR(VLOOKUP(F9236,CARTON_LOOKUP!$A:$E,4,0),"")</f>
      </c>
      <c r="I9236" s="28">
        <f>IFERROR(VLOOKUP(F9236,CARTON_LOOKUP!$A:$E,5,0),"")</f>
      </c>
      <c r="J9236" s="29">
        <f>IFERROR(VLOOKUP(F9236,CARTON_LOOKUP!$A:$E,2,0),"")</f>
      </c>
      <c r="K9236" s="29">
        <f>IFERROR(J9236*D9236,0)</f>
      </c>
      <c r="L9236" s="29">
        <f>IFERROR(E9236*C9236,0)</f>
      </c>
      <c r="M9236" s="29">
        <f>IFERROR((G9236*H9236*I9236/1000000)*D9236,0)</f>
      </c>
    </row>
    <row r="9237" spans="1:13" x14ac:dyDescent="0.25">
      <c r="A9237" s="16"/>
      <c r="E9237" s="27"/>
      <c r="F9237" t="s">
        <v>26</v>
      </c>
      <c r="G9237" s="28">
        <f>IFERROR(VLOOKUP(F9237,CARTON_LOOKUP!$A:$E,3,0),"")</f>
      </c>
      <c r="H9237" s="28">
        <f>IFERROR(VLOOKUP(F9237,CARTON_LOOKUP!$A:$E,4,0),"")</f>
      </c>
      <c r="I9237" s="28">
        <f>IFERROR(VLOOKUP(F9237,CARTON_LOOKUP!$A:$E,5,0),"")</f>
      </c>
      <c r="J9237" s="29">
        <f>IFERROR(VLOOKUP(F9237,CARTON_LOOKUP!$A:$E,2,0),"")</f>
      </c>
      <c r="K9237" s="29">
        <f>IFERROR(J9237*D9237,0)</f>
      </c>
      <c r="L9237" s="29">
        <f>IFERROR(E9237*C9237,0)</f>
      </c>
      <c r="M9237" s="29">
        <f>IFERROR((G9237*H9237*I9237/1000000)*D9237,0)</f>
      </c>
    </row>
    <row r="9238" spans="1:13" x14ac:dyDescent="0.25">
      <c r="A9238" s="16"/>
      <c r="E9238" s="27"/>
      <c r="F9238" t="s">
        <v>26</v>
      </c>
      <c r="G9238" s="28">
        <f>IFERROR(VLOOKUP(F9238,CARTON_LOOKUP!$A:$E,3,0),"")</f>
      </c>
      <c r="H9238" s="28">
        <f>IFERROR(VLOOKUP(F9238,CARTON_LOOKUP!$A:$E,4,0),"")</f>
      </c>
      <c r="I9238" s="28">
        <f>IFERROR(VLOOKUP(F9238,CARTON_LOOKUP!$A:$E,5,0),"")</f>
      </c>
      <c r="J9238" s="29">
        <f>IFERROR(VLOOKUP(F9238,CARTON_LOOKUP!$A:$E,2,0),"")</f>
      </c>
      <c r="K9238" s="29">
        <f>IFERROR(J9238*D9238,0)</f>
      </c>
      <c r="L9238" s="29">
        <f>IFERROR(E9238*C9238,0)</f>
      </c>
      <c r="M9238" s="29">
        <f>IFERROR((G9238*H9238*I9238/1000000)*D9238,0)</f>
      </c>
    </row>
    <row r="9239" spans="1:13" x14ac:dyDescent="0.25">
      <c r="A9239" s="16"/>
      <c r="E9239" s="27"/>
      <c r="F9239" t="s">
        <v>26</v>
      </c>
      <c r="G9239" s="28">
        <f>IFERROR(VLOOKUP(F9239,CARTON_LOOKUP!$A:$E,3,0),"")</f>
      </c>
      <c r="H9239" s="28">
        <f>IFERROR(VLOOKUP(F9239,CARTON_LOOKUP!$A:$E,4,0),"")</f>
      </c>
      <c r="I9239" s="28">
        <f>IFERROR(VLOOKUP(F9239,CARTON_LOOKUP!$A:$E,5,0),"")</f>
      </c>
      <c r="J9239" s="29">
        <f>IFERROR(VLOOKUP(F9239,CARTON_LOOKUP!$A:$E,2,0),"")</f>
      </c>
      <c r="K9239" s="29">
        <f>IFERROR(J9239*D9239,0)</f>
      </c>
      <c r="L9239" s="29">
        <f>IFERROR(E9239*C9239,0)</f>
      </c>
      <c r="M9239" s="29">
        <f>IFERROR((G9239*H9239*I9239/1000000)*D9239,0)</f>
      </c>
    </row>
    <row r="9240" spans="1:13" x14ac:dyDescent="0.25">
      <c r="A9240" s="16"/>
      <c r="E9240" s="27"/>
      <c r="F9240" t="s">
        <v>26</v>
      </c>
      <c r="G9240" s="28">
        <f>IFERROR(VLOOKUP(F9240,CARTON_LOOKUP!$A:$E,3,0),"")</f>
      </c>
      <c r="H9240" s="28">
        <f>IFERROR(VLOOKUP(F9240,CARTON_LOOKUP!$A:$E,4,0),"")</f>
      </c>
      <c r="I9240" s="28">
        <f>IFERROR(VLOOKUP(F9240,CARTON_LOOKUP!$A:$E,5,0),"")</f>
      </c>
      <c r="J9240" s="29">
        <f>IFERROR(VLOOKUP(F9240,CARTON_LOOKUP!$A:$E,2,0),"")</f>
      </c>
      <c r="K9240" s="29">
        <f>IFERROR(J9240*D9240,0)</f>
      </c>
      <c r="L9240" s="29">
        <f>IFERROR(E9240*C9240,0)</f>
      </c>
      <c r="M9240" s="29">
        <f>IFERROR((G9240*H9240*I9240/1000000)*D9240,0)</f>
      </c>
    </row>
    <row r="9241" spans="1:13" x14ac:dyDescent="0.25">
      <c r="A9241" s="16"/>
      <c r="E9241" s="27"/>
      <c r="F9241" t="s">
        <v>26</v>
      </c>
      <c r="G9241" s="28">
        <f>IFERROR(VLOOKUP(F9241,CARTON_LOOKUP!$A:$E,3,0),"")</f>
      </c>
      <c r="H9241" s="28">
        <f>IFERROR(VLOOKUP(F9241,CARTON_LOOKUP!$A:$E,4,0),"")</f>
      </c>
      <c r="I9241" s="28">
        <f>IFERROR(VLOOKUP(F9241,CARTON_LOOKUP!$A:$E,5,0),"")</f>
      </c>
      <c r="J9241" s="29">
        <f>IFERROR(VLOOKUP(F9241,CARTON_LOOKUP!$A:$E,2,0),"")</f>
      </c>
      <c r="K9241" s="29">
        <f>IFERROR(J9241*D9241,0)</f>
      </c>
      <c r="L9241" s="29">
        <f>IFERROR(E9241*C9241,0)</f>
      </c>
      <c r="M9241" s="29">
        <f>IFERROR((G9241*H9241*I9241/1000000)*D9241,0)</f>
      </c>
    </row>
    <row r="9242" spans="1:13" x14ac:dyDescent="0.25">
      <c r="A9242" s="16"/>
      <c r="E9242" s="27"/>
      <c r="F9242" t="s">
        <v>26</v>
      </c>
      <c r="G9242" s="28">
        <f>IFERROR(VLOOKUP(F9242,CARTON_LOOKUP!$A:$E,3,0),"")</f>
      </c>
      <c r="H9242" s="28">
        <f>IFERROR(VLOOKUP(F9242,CARTON_LOOKUP!$A:$E,4,0),"")</f>
      </c>
      <c r="I9242" s="28">
        <f>IFERROR(VLOOKUP(F9242,CARTON_LOOKUP!$A:$E,5,0),"")</f>
      </c>
      <c r="J9242" s="29">
        <f>IFERROR(VLOOKUP(F9242,CARTON_LOOKUP!$A:$E,2,0),"")</f>
      </c>
      <c r="K9242" s="29">
        <f>IFERROR(J9242*D9242,0)</f>
      </c>
      <c r="L9242" s="29">
        <f>IFERROR(E9242*C9242,0)</f>
      </c>
      <c r="M9242" s="29">
        <f>IFERROR((G9242*H9242*I9242/1000000)*D9242,0)</f>
      </c>
    </row>
    <row r="9243" spans="1:13" x14ac:dyDescent="0.25">
      <c r="A9243" s="16"/>
      <c r="E9243" s="27"/>
      <c r="F9243" t="s">
        <v>26</v>
      </c>
      <c r="G9243" s="28">
        <f>IFERROR(VLOOKUP(F9243,CARTON_LOOKUP!$A:$E,3,0),"")</f>
      </c>
      <c r="H9243" s="28">
        <f>IFERROR(VLOOKUP(F9243,CARTON_LOOKUP!$A:$E,4,0),"")</f>
      </c>
      <c r="I9243" s="28">
        <f>IFERROR(VLOOKUP(F9243,CARTON_LOOKUP!$A:$E,5,0),"")</f>
      </c>
      <c r="J9243" s="29">
        <f>IFERROR(VLOOKUP(F9243,CARTON_LOOKUP!$A:$E,2,0),"")</f>
      </c>
      <c r="K9243" s="29">
        <f>IFERROR(J9243*D9243,0)</f>
      </c>
      <c r="L9243" s="29">
        <f>IFERROR(E9243*C9243,0)</f>
      </c>
      <c r="M9243" s="29">
        <f>IFERROR((G9243*H9243*I9243/1000000)*D9243,0)</f>
      </c>
    </row>
    <row r="9244" spans="1:13" x14ac:dyDescent="0.25">
      <c r="A9244" s="16"/>
      <c r="E9244" s="27"/>
      <c r="F9244" t="s">
        <v>26</v>
      </c>
      <c r="G9244" s="28">
        <f>IFERROR(VLOOKUP(F9244,CARTON_LOOKUP!$A:$E,3,0),"")</f>
      </c>
      <c r="H9244" s="28">
        <f>IFERROR(VLOOKUP(F9244,CARTON_LOOKUP!$A:$E,4,0),"")</f>
      </c>
      <c r="I9244" s="28">
        <f>IFERROR(VLOOKUP(F9244,CARTON_LOOKUP!$A:$E,5,0),"")</f>
      </c>
      <c r="J9244" s="29">
        <f>IFERROR(VLOOKUP(F9244,CARTON_LOOKUP!$A:$E,2,0),"")</f>
      </c>
      <c r="K9244" s="29">
        <f>IFERROR(J9244*D9244,0)</f>
      </c>
      <c r="L9244" s="29">
        <f>IFERROR(E9244*C9244,0)</f>
      </c>
      <c r="M9244" s="29">
        <f>IFERROR((G9244*H9244*I9244/1000000)*D9244,0)</f>
      </c>
    </row>
    <row r="9245" spans="1:13" x14ac:dyDescent="0.25">
      <c r="A9245" s="16"/>
      <c r="E9245" s="27"/>
      <c r="F9245" t="s">
        <v>26</v>
      </c>
      <c r="G9245" s="28">
        <f>IFERROR(VLOOKUP(F9245,CARTON_LOOKUP!$A:$E,3,0),"")</f>
      </c>
      <c r="H9245" s="28">
        <f>IFERROR(VLOOKUP(F9245,CARTON_LOOKUP!$A:$E,4,0),"")</f>
      </c>
      <c r="I9245" s="28">
        <f>IFERROR(VLOOKUP(F9245,CARTON_LOOKUP!$A:$E,5,0),"")</f>
      </c>
      <c r="J9245" s="29">
        <f>IFERROR(VLOOKUP(F9245,CARTON_LOOKUP!$A:$E,2,0),"")</f>
      </c>
      <c r="K9245" s="29">
        <f>IFERROR(J9245*D9245,0)</f>
      </c>
      <c r="L9245" s="29">
        <f>IFERROR(E9245*C9245,0)</f>
      </c>
      <c r="M9245" s="29">
        <f>IFERROR((G9245*H9245*I9245/1000000)*D9245,0)</f>
      </c>
    </row>
    <row r="9246" spans="1:13" x14ac:dyDescent="0.25">
      <c r="A9246" s="16"/>
      <c r="E9246" s="27"/>
      <c r="F9246" t="s">
        <v>26</v>
      </c>
      <c r="G9246" s="28">
        <f>IFERROR(VLOOKUP(F9246,CARTON_LOOKUP!$A:$E,3,0),"")</f>
      </c>
      <c r="H9246" s="28">
        <f>IFERROR(VLOOKUP(F9246,CARTON_LOOKUP!$A:$E,4,0),"")</f>
      </c>
      <c r="I9246" s="28">
        <f>IFERROR(VLOOKUP(F9246,CARTON_LOOKUP!$A:$E,5,0),"")</f>
      </c>
      <c r="J9246" s="29">
        <f>IFERROR(VLOOKUP(F9246,CARTON_LOOKUP!$A:$E,2,0),"")</f>
      </c>
      <c r="K9246" s="29">
        <f>IFERROR(J9246*D9246,0)</f>
      </c>
      <c r="L9246" s="29">
        <f>IFERROR(E9246*C9246,0)</f>
      </c>
      <c r="M9246" s="29">
        <f>IFERROR((G9246*H9246*I9246/1000000)*D9246,0)</f>
      </c>
    </row>
    <row r="9247" spans="1:13" x14ac:dyDescent="0.25">
      <c r="A9247" s="16"/>
      <c r="E9247" s="27"/>
      <c r="F9247" t="s">
        <v>26</v>
      </c>
      <c r="G9247" s="28">
        <f>IFERROR(VLOOKUP(F9247,CARTON_LOOKUP!$A:$E,3,0),"")</f>
      </c>
      <c r="H9247" s="28">
        <f>IFERROR(VLOOKUP(F9247,CARTON_LOOKUP!$A:$E,4,0),"")</f>
      </c>
      <c r="I9247" s="28">
        <f>IFERROR(VLOOKUP(F9247,CARTON_LOOKUP!$A:$E,5,0),"")</f>
      </c>
      <c r="J9247" s="29">
        <f>IFERROR(VLOOKUP(F9247,CARTON_LOOKUP!$A:$E,2,0),"")</f>
      </c>
      <c r="K9247" s="29">
        <f>IFERROR(J9247*D9247,0)</f>
      </c>
      <c r="L9247" s="29">
        <f>IFERROR(E9247*C9247,0)</f>
      </c>
      <c r="M9247" s="29">
        <f>IFERROR((G9247*H9247*I9247/1000000)*D9247,0)</f>
      </c>
    </row>
    <row r="9248" spans="1:13" x14ac:dyDescent="0.25">
      <c r="A9248" s="16"/>
      <c r="E9248" s="27"/>
      <c r="F9248" t="s">
        <v>26</v>
      </c>
      <c r="G9248" s="28">
        <f>IFERROR(VLOOKUP(F9248,CARTON_LOOKUP!$A:$E,3,0),"")</f>
      </c>
      <c r="H9248" s="28">
        <f>IFERROR(VLOOKUP(F9248,CARTON_LOOKUP!$A:$E,4,0),"")</f>
      </c>
      <c r="I9248" s="28">
        <f>IFERROR(VLOOKUP(F9248,CARTON_LOOKUP!$A:$E,5,0),"")</f>
      </c>
      <c r="J9248" s="29">
        <f>IFERROR(VLOOKUP(F9248,CARTON_LOOKUP!$A:$E,2,0),"")</f>
      </c>
      <c r="K9248" s="29">
        <f>IFERROR(J9248*D9248,0)</f>
      </c>
      <c r="L9248" s="29">
        <f>IFERROR(E9248*C9248,0)</f>
      </c>
      <c r="M9248" s="29">
        <f>IFERROR((G9248*H9248*I9248/1000000)*D9248,0)</f>
      </c>
    </row>
    <row r="9249" spans="1:13" x14ac:dyDescent="0.25">
      <c r="A9249" s="16"/>
      <c r="E9249" s="27"/>
      <c r="F9249" t="s">
        <v>26</v>
      </c>
      <c r="G9249" s="28">
        <f>IFERROR(VLOOKUP(F9249,CARTON_LOOKUP!$A:$E,3,0),"")</f>
      </c>
      <c r="H9249" s="28">
        <f>IFERROR(VLOOKUP(F9249,CARTON_LOOKUP!$A:$E,4,0),"")</f>
      </c>
      <c r="I9249" s="28">
        <f>IFERROR(VLOOKUP(F9249,CARTON_LOOKUP!$A:$E,5,0),"")</f>
      </c>
      <c r="J9249" s="29">
        <f>IFERROR(VLOOKUP(F9249,CARTON_LOOKUP!$A:$E,2,0),"")</f>
      </c>
      <c r="K9249" s="29">
        <f>IFERROR(J9249*D9249,0)</f>
      </c>
      <c r="L9249" s="29">
        <f>IFERROR(E9249*C9249,0)</f>
      </c>
      <c r="M9249" s="29">
        <f>IFERROR((G9249*H9249*I9249/1000000)*D9249,0)</f>
      </c>
    </row>
    <row r="9250" spans="1:13" x14ac:dyDescent="0.25">
      <c r="A9250" s="16"/>
      <c r="E9250" s="27"/>
      <c r="F9250" t="s">
        <v>26</v>
      </c>
      <c r="G9250" s="28">
        <f>IFERROR(VLOOKUP(F9250,CARTON_LOOKUP!$A:$E,3,0),"")</f>
      </c>
      <c r="H9250" s="28">
        <f>IFERROR(VLOOKUP(F9250,CARTON_LOOKUP!$A:$E,4,0),"")</f>
      </c>
      <c r="I9250" s="28">
        <f>IFERROR(VLOOKUP(F9250,CARTON_LOOKUP!$A:$E,5,0),"")</f>
      </c>
      <c r="J9250" s="29">
        <f>IFERROR(VLOOKUP(F9250,CARTON_LOOKUP!$A:$E,2,0),"")</f>
      </c>
      <c r="K9250" s="29">
        <f>IFERROR(J9250*D9250,0)</f>
      </c>
      <c r="L9250" s="29">
        <f>IFERROR(E9250*C9250,0)</f>
      </c>
      <c r="M9250" s="29">
        <f>IFERROR((G9250*H9250*I9250/1000000)*D9250,0)</f>
      </c>
    </row>
    <row r="9251" spans="1:13" x14ac:dyDescent="0.25">
      <c r="A9251" s="16"/>
      <c r="E9251" s="27"/>
      <c r="F9251" t="s">
        <v>26</v>
      </c>
      <c r="G9251" s="28">
        <f>IFERROR(VLOOKUP(F9251,CARTON_LOOKUP!$A:$E,3,0),"")</f>
      </c>
      <c r="H9251" s="28">
        <f>IFERROR(VLOOKUP(F9251,CARTON_LOOKUP!$A:$E,4,0),"")</f>
      </c>
      <c r="I9251" s="28">
        <f>IFERROR(VLOOKUP(F9251,CARTON_LOOKUP!$A:$E,5,0),"")</f>
      </c>
      <c r="J9251" s="29">
        <f>IFERROR(VLOOKUP(F9251,CARTON_LOOKUP!$A:$E,2,0),"")</f>
      </c>
      <c r="K9251" s="29">
        <f>IFERROR(J9251*D9251,0)</f>
      </c>
      <c r="L9251" s="29">
        <f>IFERROR(E9251*C9251,0)</f>
      </c>
      <c r="M9251" s="29">
        <f>IFERROR((G9251*H9251*I9251/1000000)*D9251,0)</f>
      </c>
    </row>
    <row r="9252" spans="1:13" x14ac:dyDescent="0.25">
      <c r="A9252" s="16"/>
      <c r="E9252" s="27"/>
      <c r="F9252" t="s">
        <v>26</v>
      </c>
      <c r="G9252" s="28">
        <f>IFERROR(VLOOKUP(F9252,CARTON_LOOKUP!$A:$E,3,0),"")</f>
      </c>
      <c r="H9252" s="28">
        <f>IFERROR(VLOOKUP(F9252,CARTON_LOOKUP!$A:$E,4,0),"")</f>
      </c>
      <c r="I9252" s="28">
        <f>IFERROR(VLOOKUP(F9252,CARTON_LOOKUP!$A:$E,5,0),"")</f>
      </c>
      <c r="J9252" s="29">
        <f>IFERROR(VLOOKUP(F9252,CARTON_LOOKUP!$A:$E,2,0),"")</f>
      </c>
      <c r="K9252" s="29">
        <f>IFERROR(J9252*D9252,0)</f>
      </c>
      <c r="L9252" s="29">
        <f>IFERROR(E9252*C9252,0)</f>
      </c>
      <c r="M9252" s="29">
        <f>IFERROR((G9252*H9252*I9252/1000000)*D9252,0)</f>
      </c>
    </row>
    <row r="9253" spans="1:13" x14ac:dyDescent="0.25">
      <c r="A9253" s="16"/>
      <c r="E9253" s="27"/>
      <c r="F9253" t="s">
        <v>26</v>
      </c>
      <c r="G9253" s="28">
        <f>IFERROR(VLOOKUP(F9253,CARTON_LOOKUP!$A:$E,3,0),"")</f>
      </c>
      <c r="H9253" s="28">
        <f>IFERROR(VLOOKUP(F9253,CARTON_LOOKUP!$A:$E,4,0),"")</f>
      </c>
      <c r="I9253" s="28">
        <f>IFERROR(VLOOKUP(F9253,CARTON_LOOKUP!$A:$E,5,0),"")</f>
      </c>
      <c r="J9253" s="29">
        <f>IFERROR(VLOOKUP(F9253,CARTON_LOOKUP!$A:$E,2,0),"")</f>
      </c>
      <c r="K9253" s="29">
        <f>IFERROR(J9253*D9253,0)</f>
      </c>
      <c r="L9253" s="29">
        <f>IFERROR(E9253*C9253,0)</f>
      </c>
      <c r="M9253" s="29">
        <f>IFERROR((G9253*H9253*I9253/1000000)*D9253,0)</f>
      </c>
    </row>
    <row r="9254" spans="1:13" x14ac:dyDescent="0.25">
      <c r="A9254" s="16"/>
      <c r="E9254" s="27"/>
      <c r="F9254" t="s">
        <v>26</v>
      </c>
      <c r="G9254" s="28">
        <f>IFERROR(VLOOKUP(F9254,CARTON_LOOKUP!$A:$E,3,0),"")</f>
      </c>
      <c r="H9254" s="28">
        <f>IFERROR(VLOOKUP(F9254,CARTON_LOOKUP!$A:$E,4,0),"")</f>
      </c>
      <c r="I9254" s="28">
        <f>IFERROR(VLOOKUP(F9254,CARTON_LOOKUP!$A:$E,5,0),"")</f>
      </c>
      <c r="J9254" s="29">
        <f>IFERROR(VLOOKUP(F9254,CARTON_LOOKUP!$A:$E,2,0),"")</f>
      </c>
      <c r="K9254" s="29">
        <f>IFERROR(J9254*D9254,0)</f>
      </c>
      <c r="L9254" s="29">
        <f>IFERROR(E9254*C9254,0)</f>
      </c>
      <c r="M9254" s="29">
        <f>IFERROR((G9254*H9254*I9254/1000000)*D9254,0)</f>
      </c>
    </row>
    <row r="9255" spans="1:13" x14ac:dyDescent="0.25">
      <c r="A9255" s="16"/>
      <c r="E9255" s="27"/>
      <c r="F9255" t="s">
        <v>26</v>
      </c>
      <c r="G9255" s="28">
        <f>IFERROR(VLOOKUP(F9255,CARTON_LOOKUP!$A:$E,3,0),"")</f>
      </c>
      <c r="H9255" s="28">
        <f>IFERROR(VLOOKUP(F9255,CARTON_LOOKUP!$A:$E,4,0),"")</f>
      </c>
      <c r="I9255" s="28">
        <f>IFERROR(VLOOKUP(F9255,CARTON_LOOKUP!$A:$E,5,0),"")</f>
      </c>
      <c r="J9255" s="29">
        <f>IFERROR(VLOOKUP(F9255,CARTON_LOOKUP!$A:$E,2,0),"")</f>
      </c>
      <c r="K9255" s="29">
        <f>IFERROR(J9255*D9255,0)</f>
      </c>
      <c r="L9255" s="29">
        <f>IFERROR(E9255*C9255,0)</f>
      </c>
      <c r="M9255" s="29">
        <f>IFERROR((G9255*H9255*I9255/1000000)*D9255,0)</f>
      </c>
    </row>
    <row r="9256" spans="1:13" x14ac:dyDescent="0.25">
      <c r="A9256" s="16"/>
      <c r="E9256" s="27"/>
      <c r="F9256" t="s">
        <v>26</v>
      </c>
      <c r="G9256" s="28">
        <f>IFERROR(VLOOKUP(F9256,CARTON_LOOKUP!$A:$E,3,0),"")</f>
      </c>
      <c r="H9256" s="28">
        <f>IFERROR(VLOOKUP(F9256,CARTON_LOOKUP!$A:$E,4,0),"")</f>
      </c>
      <c r="I9256" s="28">
        <f>IFERROR(VLOOKUP(F9256,CARTON_LOOKUP!$A:$E,5,0),"")</f>
      </c>
      <c r="J9256" s="29">
        <f>IFERROR(VLOOKUP(F9256,CARTON_LOOKUP!$A:$E,2,0),"")</f>
      </c>
      <c r="K9256" s="29">
        <f>IFERROR(J9256*D9256,0)</f>
      </c>
      <c r="L9256" s="29">
        <f>IFERROR(E9256*C9256,0)</f>
      </c>
      <c r="M9256" s="29">
        <f>IFERROR((G9256*H9256*I9256/1000000)*D9256,0)</f>
      </c>
    </row>
    <row r="9257" spans="1:13" x14ac:dyDescent="0.25">
      <c r="A9257" s="16"/>
      <c r="E9257" s="27"/>
      <c r="F9257" t="s">
        <v>26</v>
      </c>
      <c r="G9257" s="28">
        <f>IFERROR(VLOOKUP(F9257,CARTON_LOOKUP!$A:$E,3,0),"")</f>
      </c>
      <c r="H9257" s="28">
        <f>IFERROR(VLOOKUP(F9257,CARTON_LOOKUP!$A:$E,4,0),"")</f>
      </c>
      <c r="I9257" s="28">
        <f>IFERROR(VLOOKUP(F9257,CARTON_LOOKUP!$A:$E,5,0),"")</f>
      </c>
      <c r="J9257" s="29">
        <f>IFERROR(VLOOKUP(F9257,CARTON_LOOKUP!$A:$E,2,0),"")</f>
      </c>
      <c r="K9257" s="29">
        <f>IFERROR(J9257*D9257,0)</f>
      </c>
      <c r="L9257" s="29">
        <f>IFERROR(E9257*C9257,0)</f>
      </c>
      <c r="M9257" s="29">
        <f>IFERROR((G9257*H9257*I9257/1000000)*D9257,0)</f>
      </c>
    </row>
    <row r="9258" spans="1:13" x14ac:dyDescent="0.25">
      <c r="A9258" s="16"/>
      <c r="E9258" s="27"/>
      <c r="F9258" t="s">
        <v>26</v>
      </c>
      <c r="G9258" s="28">
        <f>IFERROR(VLOOKUP(F9258,CARTON_LOOKUP!$A:$E,3,0),"")</f>
      </c>
      <c r="H9258" s="28">
        <f>IFERROR(VLOOKUP(F9258,CARTON_LOOKUP!$A:$E,4,0),"")</f>
      </c>
      <c r="I9258" s="28">
        <f>IFERROR(VLOOKUP(F9258,CARTON_LOOKUP!$A:$E,5,0),"")</f>
      </c>
      <c r="J9258" s="29">
        <f>IFERROR(VLOOKUP(F9258,CARTON_LOOKUP!$A:$E,2,0),"")</f>
      </c>
      <c r="K9258" s="29">
        <f>IFERROR(J9258*D9258,0)</f>
      </c>
      <c r="L9258" s="29">
        <f>IFERROR(E9258*C9258,0)</f>
      </c>
      <c r="M9258" s="29">
        <f>IFERROR((G9258*H9258*I9258/1000000)*D9258,0)</f>
      </c>
    </row>
    <row r="9259" spans="1:13" x14ac:dyDescent="0.25">
      <c r="A9259" s="16"/>
      <c r="E9259" s="27"/>
      <c r="F9259" t="s">
        <v>26</v>
      </c>
      <c r="G9259" s="28">
        <f>IFERROR(VLOOKUP(F9259,CARTON_LOOKUP!$A:$E,3,0),"")</f>
      </c>
      <c r="H9259" s="28">
        <f>IFERROR(VLOOKUP(F9259,CARTON_LOOKUP!$A:$E,4,0),"")</f>
      </c>
      <c r="I9259" s="28">
        <f>IFERROR(VLOOKUP(F9259,CARTON_LOOKUP!$A:$E,5,0),"")</f>
      </c>
      <c r="J9259" s="29">
        <f>IFERROR(VLOOKUP(F9259,CARTON_LOOKUP!$A:$E,2,0),"")</f>
      </c>
      <c r="K9259" s="29">
        <f>IFERROR(J9259*D9259,0)</f>
      </c>
      <c r="L9259" s="29">
        <f>IFERROR(E9259*C9259,0)</f>
      </c>
      <c r="M9259" s="29">
        <f>IFERROR((G9259*H9259*I9259/1000000)*D9259,0)</f>
      </c>
    </row>
    <row r="9260" spans="1:13" x14ac:dyDescent="0.25">
      <c r="A9260" s="16"/>
      <c r="E9260" s="27"/>
      <c r="F9260" t="s">
        <v>26</v>
      </c>
      <c r="G9260" s="28">
        <f>IFERROR(VLOOKUP(F9260,CARTON_LOOKUP!$A:$E,3,0),"")</f>
      </c>
      <c r="H9260" s="28">
        <f>IFERROR(VLOOKUP(F9260,CARTON_LOOKUP!$A:$E,4,0),"")</f>
      </c>
      <c r="I9260" s="28">
        <f>IFERROR(VLOOKUP(F9260,CARTON_LOOKUP!$A:$E,5,0),"")</f>
      </c>
      <c r="J9260" s="29">
        <f>IFERROR(VLOOKUP(F9260,CARTON_LOOKUP!$A:$E,2,0),"")</f>
      </c>
      <c r="K9260" s="29">
        <f>IFERROR(J9260*D9260,0)</f>
      </c>
      <c r="L9260" s="29">
        <f>IFERROR(E9260*C9260,0)</f>
      </c>
      <c r="M9260" s="29">
        <f>IFERROR((G9260*H9260*I9260/1000000)*D9260,0)</f>
      </c>
    </row>
    <row r="9261" spans="1:13" x14ac:dyDescent="0.25">
      <c r="A9261" s="16"/>
      <c r="E9261" s="27"/>
      <c r="F9261" t="s">
        <v>26</v>
      </c>
      <c r="G9261" s="28">
        <f>IFERROR(VLOOKUP(F9261,CARTON_LOOKUP!$A:$E,3,0),"")</f>
      </c>
      <c r="H9261" s="28">
        <f>IFERROR(VLOOKUP(F9261,CARTON_LOOKUP!$A:$E,4,0),"")</f>
      </c>
      <c r="I9261" s="28">
        <f>IFERROR(VLOOKUP(F9261,CARTON_LOOKUP!$A:$E,5,0),"")</f>
      </c>
      <c r="J9261" s="29">
        <f>IFERROR(VLOOKUP(F9261,CARTON_LOOKUP!$A:$E,2,0),"")</f>
      </c>
      <c r="K9261" s="29">
        <f>IFERROR(J9261*D9261,0)</f>
      </c>
      <c r="L9261" s="29">
        <f>IFERROR(E9261*C9261,0)</f>
      </c>
      <c r="M9261" s="29">
        <f>IFERROR((G9261*H9261*I9261/1000000)*D9261,0)</f>
      </c>
    </row>
    <row r="9262" spans="1:13" x14ac:dyDescent="0.25">
      <c r="A9262" s="16"/>
      <c r="E9262" s="27"/>
      <c r="F9262" t="s">
        <v>26</v>
      </c>
      <c r="G9262" s="28">
        <f>IFERROR(VLOOKUP(F9262,CARTON_LOOKUP!$A:$E,3,0),"")</f>
      </c>
      <c r="H9262" s="28">
        <f>IFERROR(VLOOKUP(F9262,CARTON_LOOKUP!$A:$E,4,0),"")</f>
      </c>
      <c r="I9262" s="28">
        <f>IFERROR(VLOOKUP(F9262,CARTON_LOOKUP!$A:$E,5,0),"")</f>
      </c>
      <c r="J9262" s="29">
        <f>IFERROR(VLOOKUP(F9262,CARTON_LOOKUP!$A:$E,2,0),"")</f>
      </c>
      <c r="K9262" s="29">
        <f>IFERROR(J9262*D9262,0)</f>
      </c>
      <c r="L9262" s="29">
        <f>IFERROR(E9262*C9262,0)</f>
      </c>
      <c r="M9262" s="29">
        <f>IFERROR((G9262*H9262*I9262/1000000)*D9262,0)</f>
      </c>
    </row>
    <row r="9263" spans="1:13" x14ac:dyDescent="0.25">
      <c r="A9263" s="16"/>
      <c r="E9263" s="27"/>
      <c r="F9263" t="s">
        <v>26</v>
      </c>
      <c r="G9263" s="28">
        <f>IFERROR(VLOOKUP(F9263,CARTON_LOOKUP!$A:$E,3,0),"")</f>
      </c>
      <c r="H9263" s="28">
        <f>IFERROR(VLOOKUP(F9263,CARTON_LOOKUP!$A:$E,4,0),"")</f>
      </c>
      <c r="I9263" s="28">
        <f>IFERROR(VLOOKUP(F9263,CARTON_LOOKUP!$A:$E,5,0),"")</f>
      </c>
      <c r="J9263" s="29">
        <f>IFERROR(VLOOKUP(F9263,CARTON_LOOKUP!$A:$E,2,0),"")</f>
      </c>
      <c r="K9263" s="29">
        <f>IFERROR(J9263*D9263,0)</f>
      </c>
      <c r="L9263" s="29">
        <f>IFERROR(E9263*C9263,0)</f>
      </c>
      <c r="M9263" s="29">
        <f>IFERROR((G9263*H9263*I9263/1000000)*D9263,0)</f>
      </c>
    </row>
    <row r="9264" spans="1:13" x14ac:dyDescent="0.25">
      <c r="A9264" s="16"/>
      <c r="E9264" s="27"/>
      <c r="F9264" t="s">
        <v>26</v>
      </c>
      <c r="G9264" s="28">
        <f>IFERROR(VLOOKUP(F9264,CARTON_LOOKUP!$A:$E,3,0),"")</f>
      </c>
      <c r="H9264" s="28">
        <f>IFERROR(VLOOKUP(F9264,CARTON_LOOKUP!$A:$E,4,0),"")</f>
      </c>
      <c r="I9264" s="28">
        <f>IFERROR(VLOOKUP(F9264,CARTON_LOOKUP!$A:$E,5,0),"")</f>
      </c>
      <c r="J9264" s="29">
        <f>IFERROR(VLOOKUP(F9264,CARTON_LOOKUP!$A:$E,2,0),"")</f>
      </c>
      <c r="K9264" s="29">
        <f>IFERROR(J9264*D9264,0)</f>
      </c>
      <c r="L9264" s="29">
        <f>IFERROR(E9264*C9264,0)</f>
      </c>
      <c r="M9264" s="29">
        <f>IFERROR((G9264*H9264*I9264/1000000)*D9264,0)</f>
      </c>
    </row>
    <row r="9265" spans="1:13" x14ac:dyDescent="0.25">
      <c r="A9265" s="16"/>
      <c r="E9265" s="27"/>
      <c r="F9265" t="s">
        <v>26</v>
      </c>
      <c r="G9265" s="28">
        <f>IFERROR(VLOOKUP(F9265,CARTON_LOOKUP!$A:$E,3,0),"")</f>
      </c>
      <c r="H9265" s="28">
        <f>IFERROR(VLOOKUP(F9265,CARTON_LOOKUP!$A:$E,4,0),"")</f>
      </c>
      <c r="I9265" s="28">
        <f>IFERROR(VLOOKUP(F9265,CARTON_LOOKUP!$A:$E,5,0),"")</f>
      </c>
      <c r="J9265" s="29">
        <f>IFERROR(VLOOKUP(F9265,CARTON_LOOKUP!$A:$E,2,0),"")</f>
      </c>
      <c r="K9265" s="29">
        <f>IFERROR(J9265*D9265,0)</f>
      </c>
      <c r="L9265" s="29">
        <f>IFERROR(E9265*C9265,0)</f>
      </c>
      <c r="M9265" s="29">
        <f>IFERROR((G9265*H9265*I9265/1000000)*D9265,0)</f>
      </c>
    </row>
    <row r="9266" spans="1:13" x14ac:dyDescent="0.25">
      <c r="A9266" s="16"/>
      <c r="E9266" s="27"/>
      <c r="F9266" t="s">
        <v>26</v>
      </c>
      <c r="G9266" s="28">
        <f>IFERROR(VLOOKUP(F9266,CARTON_LOOKUP!$A:$E,3,0),"")</f>
      </c>
      <c r="H9266" s="28">
        <f>IFERROR(VLOOKUP(F9266,CARTON_LOOKUP!$A:$E,4,0),"")</f>
      </c>
      <c r="I9266" s="28">
        <f>IFERROR(VLOOKUP(F9266,CARTON_LOOKUP!$A:$E,5,0),"")</f>
      </c>
      <c r="J9266" s="29">
        <f>IFERROR(VLOOKUP(F9266,CARTON_LOOKUP!$A:$E,2,0),"")</f>
      </c>
      <c r="K9266" s="29">
        <f>IFERROR(J9266*D9266,0)</f>
      </c>
      <c r="L9266" s="29">
        <f>IFERROR(E9266*C9266,0)</f>
      </c>
      <c r="M9266" s="29">
        <f>IFERROR((G9266*H9266*I9266/1000000)*D9266,0)</f>
      </c>
    </row>
    <row r="9267" spans="1:13" x14ac:dyDescent="0.25">
      <c r="A9267" s="16"/>
      <c r="E9267" s="27"/>
      <c r="F9267" t="s">
        <v>26</v>
      </c>
      <c r="G9267" s="28">
        <f>IFERROR(VLOOKUP(F9267,CARTON_LOOKUP!$A:$E,3,0),"")</f>
      </c>
      <c r="H9267" s="28">
        <f>IFERROR(VLOOKUP(F9267,CARTON_LOOKUP!$A:$E,4,0),"")</f>
      </c>
      <c r="I9267" s="28">
        <f>IFERROR(VLOOKUP(F9267,CARTON_LOOKUP!$A:$E,5,0),"")</f>
      </c>
      <c r="J9267" s="29">
        <f>IFERROR(VLOOKUP(F9267,CARTON_LOOKUP!$A:$E,2,0),"")</f>
      </c>
      <c r="K9267" s="29">
        <f>IFERROR(J9267*D9267,0)</f>
      </c>
      <c r="L9267" s="29">
        <f>IFERROR(E9267*C9267,0)</f>
      </c>
      <c r="M9267" s="29">
        <f>IFERROR((G9267*H9267*I9267/1000000)*D9267,0)</f>
      </c>
    </row>
    <row r="9268" spans="1:13" x14ac:dyDescent="0.25">
      <c r="A9268" s="16"/>
      <c r="E9268" s="27"/>
      <c r="F9268" t="s">
        <v>26</v>
      </c>
      <c r="G9268" s="28">
        <f>IFERROR(VLOOKUP(F9268,CARTON_LOOKUP!$A:$E,3,0),"")</f>
      </c>
      <c r="H9268" s="28">
        <f>IFERROR(VLOOKUP(F9268,CARTON_LOOKUP!$A:$E,4,0),"")</f>
      </c>
      <c r="I9268" s="28">
        <f>IFERROR(VLOOKUP(F9268,CARTON_LOOKUP!$A:$E,5,0),"")</f>
      </c>
      <c r="J9268" s="29">
        <f>IFERROR(VLOOKUP(F9268,CARTON_LOOKUP!$A:$E,2,0),"")</f>
      </c>
      <c r="K9268" s="29">
        <f>IFERROR(J9268*D9268,0)</f>
      </c>
      <c r="L9268" s="29">
        <f>IFERROR(E9268*C9268,0)</f>
      </c>
      <c r="M9268" s="29">
        <f>IFERROR((G9268*H9268*I9268/1000000)*D9268,0)</f>
      </c>
    </row>
    <row r="9269" spans="1:13" x14ac:dyDescent="0.25">
      <c r="A9269" s="16"/>
      <c r="E9269" s="27"/>
      <c r="F9269" t="s">
        <v>26</v>
      </c>
      <c r="G9269" s="28">
        <f>IFERROR(VLOOKUP(F9269,CARTON_LOOKUP!$A:$E,3,0),"")</f>
      </c>
      <c r="H9269" s="28">
        <f>IFERROR(VLOOKUP(F9269,CARTON_LOOKUP!$A:$E,4,0),"")</f>
      </c>
      <c r="I9269" s="28">
        <f>IFERROR(VLOOKUP(F9269,CARTON_LOOKUP!$A:$E,5,0),"")</f>
      </c>
      <c r="J9269" s="29">
        <f>IFERROR(VLOOKUP(F9269,CARTON_LOOKUP!$A:$E,2,0),"")</f>
      </c>
      <c r="K9269" s="29">
        <f>IFERROR(J9269*D9269,0)</f>
      </c>
      <c r="L9269" s="29">
        <f>IFERROR(E9269*C9269,0)</f>
      </c>
      <c r="M9269" s="29">
        <f>IFERROR((G9269*H9269*I9269/1000000)*D9269,0)</f>
      </c>
    </row>
    <row r="9270" spans="1:13" x14ac:dyDescent="0.25">
      <c r="A9270" s="16"/>
      <c r="E9270" s="27"/>
      <c r="F9270" t="s">
        <v>26</v>
      </c>
      <c r="G9270" s="28">
        <f>IFERROR(VLOOKUP(F9270,CARTON_LOOKUP!$A:$E,3,0),"")</f>
      </c>
      <c r="H9270" s="28">
        <f>IFERROR(VLOOKUP(F9270,CARTON_LOOKUP!$A:$E,4,0),"")</f>
      </c>
      <c r="I9270" s="28">
        <f>IFERROR(VLOOKUP(F9270,CARTON_LOOKUP!$A:$E,5,0),"")</f>
      </c>
      <c r="J9270" s="29">
        <f>IFERROR(VLOOKUP(F9270,CARTON_LOOKUP!$A:$E,2,0),"")</f>
      </c>
      <c r="K9270" s="29">
        <f>IFERROR(J9270*D9270,0)</f>
      </c>
      <c r="L9270" s="29">
        <f>IFERROR(E9270*C9270,0)</f>
      </c>
      <c r="M9270" s="29">
        <f>IFERROR((G9270*H9270*I9270/1000000)*D9270,0)</f>
      </c>
    </row>
    <row r="9271" spans="1:13" x14ac:dyDescent="0.25">
      <c r="A9271" s="16"/>
      <c r="E9271" s="27"/>
      <c r="F9271" t="s">
        <v>26</v>
      </c>
      <c r="G9271" s="28">
        <f>IFERROR(VLOOKUP(F9271,CARTON_LOOKUP!$A:$E,3,0),"")</f>
      </c>
      <c r="H9271" s="28">
        <f>IFERROR(VLOOKUP(F9271,CARTON_LOOKUP!$A:$E,4,0),"")</f>
      </c>
      <c r="I9271" s="28">
        <f>IFERROR(VLOOKUP(F9271,CARTON_LOOKUP!$A:$E,5,0),"")</f>
      </c>
      <c r="J9271" s="29">
        <f>IFERROR(VLOOKUP(F9271,CARTON_LOOKUP!$A:$E,2,0),"")</f>
      </c>
      <c r="K9271" s="29">
        <f>IFERROR(J9271*D9271,0)</f>
      </c>
      <c r="L9271" s="29">
        <f>IFERROR(E9271*C9271,0)</f>
      </c>
      <c r="M9271" s="29">
        <f>IFERROR((G9271*H9271*I9271/1000000)*D9271,0)</f>
      </c>
    </row>
    <row r="9272" spans="1:13" x14ac:dyDescent="0.25">
      <c r="A9272" s="16"/>
      <c r="E9272" s="27"/>
      <c r="F9272" t="s">
        <v>26</v>
      </c>
      <c r="G9272" s="28">
        <f>IFERROR(VLOOKUP(F9272,CARTON_LOOKUP!$A:$E,3,0),"")</f>
      </c>
      <c r="H9272" s="28">
        <f>IFERROR(VLOOKUP(F9272,CARTON_LOOKUP!$A:$E,4,0),"")</f>
      </c>
      <c r="I9272" s="28">
        <f>IFERROR(VLOOKUP(F9272,CARTON_LOOKUP!$A:$E,5,0),"")</f>
      </c>
      <c r="J9272" s="29">
        <f>IFERROR(VLOOKUP(F9272,CARTON_LOOKUP!$A:$E,2,0),"")</f>
      </c>
      <c r="K9272" s="29">
        <f>IFERROR(J9272*D9272,0)</f>
      </c>
      <c r="L9272" s="29">
        <f>IFERROR(E9272*C9272,0)</f>
      </c>
      <c r="M9272" s="29">
        <f>IFERROR((G9272*H9272*I9272/1000000)*D9272,0)</f>
      </c>
    </row>
    <row r="9273" spans="1:13" x14ac:dyDescent="0.25">
      <c r="A9273" s="16"/>
      <c r="E9273" s="27"/>
      <c r="F9273" t="s">
        <v>26</v>
      </c>
      <c r="G9273" s="28">
        <f>IFERROR(VLOOKUP(F9273,CARTON_LOOKUP!$A:$E,3,0),"")</f>
      </c>
      <c r="H9273" s="28">
        <f>IFERROR(VLOOKUP(F9273,CARTON_LOOKUP!$A:$E,4,0),"")</f>
      </c>
      <c r="I9273" s="28">
        <f>IFERROR(VLOOKUP(F9273,CARTON_LOOKUP!$A:$E,5,0),"")</f>
      </c>
      <c r="J9273" s="29">
        <f>IFERROR(VLOOKUP(F9273,CARTON_LOOKUP!$A:$E,2,0),"")</f>
      </c>
      <c r="K9273" s="29">
        <f>IFERROR(J9273*D9273,0)</f>
      </c>
      <c r="L9273" s="29">
        <f>IFERROR(E9273*C9273,0)</f>
      </c>
      <c r="M9273" s="29">
        <f>IFERROR((G9273*H9273*I9273/1000000)*D9273,0)</f>
      </c>
    </row>
    <row r="9274" spans="1:13" x14ac:dyDescent="0.25">
      <c r="A9274" s="16"/>
      <c r="E9274" s="27"/>
      <c r="F9274" t="s">
        <v>26</v>
      </c>
      <c r="G9274" s="28">
        <f>IFERROR(VLOOKUP(F9274,CARTON_LOOKUP!$A:$E,3,0),"")</f>
      </c>
      <c r="H9274" s="28">
        <f>IFERROR(VLOOKUP(F9274,CARTON_LOOKUP!$A:$E,4,0),"")</f>
      </c>
      <c r="I9274" s="28">
        <f>IFERROR(VLOOKUP(F9274,CARTON_LOOKUP!$A:$E,5,0),"")</f>
      </c>
      <c r="J9274" s="29">
        <f>IFERROR(VLOOKUP(F9274,CARTON_LOOKUP!$A:$E,2,0),"")</f>
      </c>
      <c r="K9274" s="29">
        <f>IFERROR(J9274*D9274,0)</f>
      </c>
      <c r="L9274" s="29">
        <f>IFERROR(E9274*C9274,0)</f>
      </c>
      <c r="M9274" s="29">
        <f>IFERROR((G9274*H9274*I9274/1000000)*D9274,0)</f>
      </c>
    </row>
    <row r="9275" spans="1:13" x14ac:dyDescent="0.25">
      <c r="A9275" s="16"/>
      <c r="E9275" s="27"/>
      <c r="F9275" t="s">
        <v>26</v>
      </c>
      <c r="G9275" s="28">
        <f>IFERROR(VLOOKUP(F9275,CARTON_LOOKUP!$A:$E,3,0),"")</f>
      </c>
      <c r="H9275" s="28">
        <f>IFERROR(VLOOKUP(F9275,CARTON_LOOKUP!$A:$E,4,0),"")</f>
      </c>
      <c r="I9275" s="28">
        <f>IFERROR(VLOOKUP(F9275,CARTON_LOOKUP!$A:$E,5,0),"")</f>
      </c>
      <c r="J9275" s="29">
        <f>IFERROR(VLOOKUP(F9275,CARTON_LOOKUP!$A:$E,2,0),"")</f>
      </c>
      <c r="K9275" s="29">
        <f>IFERROR(J9275*D9275,0)</f>
      </c>
      <c r="L9275" s="29">
        <f>IFERROR(E9275*C9275,0)</f>
      </c>
      <c r="M9275" s="29">
        <f>IFERROR((G9275*H9275*I9275/1000000)*D9275,0)</f>
      </c>
    </row>
    <row r="9276" spans="1:13" x14ac:dyDescent="0.25">
      <c r="A9276" s="16"/>
      <c r="E9276" s="27"/>
      <c r="F9276" t="s">
        <v>26</v>
      </c>
      <c r="G9276" s="28">
        <f>IFERROR(VLOOKUP(F9276,CARTON_LOOKUP!$A:$E,3,0),"")</f>
      </c>
      <c r="H9276" s="28">
        <f>IFERROR(VLOOKUP(F9276,CARTON_LOOKUP!$A:$E,4,0),"")</f>
      </c>
      <c r="I9276" s="28">
        <f>IFERROR(VLOOKUP(F9276,CARTON_LOOKUP!$A:$E,5,0),"")</f>
      </c>
      <c r="J9276" s="29">
        <f>IFERROR(VLOOKUP(F9276,CARTON_LOOKUP!$A:$E,2,0),"")</f>
      </c>
      <c r="K9276" s="29">
        <f>IFERROR(J9276*D9276,0)</f>
      </c>
      <c r="L9276" s="29">
        <f>IFERROR(E9276*C9276,0)</f>
      </c>
      <c r="M9276" s="29">
        <f>IFERROR((G9276*H9276*I9276/1000000)*D9276,0)</f>
      </c>
    </row>
    <row r="9277" spans="1:13" x14ac:dyDescent="0.25">
      <c r="A9277" s="16"/>
      <c r="E9277" s="27"/>
      <c r="F9277" t="s">
        <v>26</v>
      </c>
      <c r="G9277" s="28">
        <f>IFERROR(VLOOKUP(F9277,CARTON_LOOKUP!$A:$E,3,0),"")</f>
      </c>
      <c r="H9277" s="28">
        <f>IFERROR(VLOOKUP(F9277,CARTON_LOOKUP!$A:$E,4,0),"")</f>
      </c>
      <c r="I9277" s="28">
        <f>IFERROR(VLOOKUP(F9277,CARTON_LOOKUP!$A:$E,5,0),"")</f>
      </c>
      <c r="J9277" s="29">
        <f>IFERROR(VLOOKUP(F9277,CARTON_LOOKUP!$A:$E,2,0),"")</f>
      </c>
      <c r="K9277" s="29">
        <f>IFERROR(J9277*D9277,0)</f>
      </c>
      <c r="L9277" s="29">
        <f>IFERROR(E9277*C9277,0)</f>
      </c>
      <c r="M9277" s="29">
        <f>IFERROR((G9277*H9277*I9277/1000000)*D9277,0)</f>
      </c>
    </row>
    <row r="9278" spans="1:13" x14ac:dyDescent="0.25">
      <c r="A9278" s="16"/>
      <c r="E9278" s="27"/>
      <c r="F9278" t="s">
        <v>26</v>
      </c>
      <c r="G9278" s="28">
        <f>IFERROR(VLOOKUP(F9278,CARTON_LOOKUP!$A:$E,3,0),"")</f>
      </c>
      <c r="H9278" s="28">
        <f>IFERROR(VLOOKUP(F9278,CARTON_LOOKUP!$A:$E,4,0),"")</f>
      </c>
      <c r="I9278" s="28">
        <f>IFERROR(VLOOKUP(F9278,CARTON_LOOKUP!$A:$E,5,0),"")</f>
      </c>
      <c r="J9278" s="29">
        <f>IFERROR(VLOOKUP(F9278,CARTON_LOOKUP!$A:$E,2,0),"")</f>
      </c>
      <c r="K9278" s="29">
        <f>IFERROR(J9278*D9278,0)</f>
      </c>
      <c r="L9278" s="29">
        <f>IFERROR(E9278*C9278,0)</f>
      </c>
      <c r="M9278" s="29">
        <f>IFERROR((G9278*H9278*I9278/1000000)*D9278,0)</f>
      </c>
    </row>
    <row r="9279" spans="1:13" x14ac:dyDescent="0.25">
      <c r="A9279" s="16"/>
      <c r="E9279" s="27"/>
      <c r="F9279" t="s">
        <v>26</v>
      </c>
      <c r="G9279" s="28">
        <f>IFERROR(VLOOKUP(F9279,CARTON_LOOKUP!$A:$E,3,0),"")</f>
      </c>
      <c r="H9279" s="28">
        <f>IFERROR(VLOOKUP(F9279,CARTON_LOOKUP!$A:$E,4,0),"")</f>
      </c>
      <c r="I9279" s="28">
        <f>IFERROR(VLOOKUP(F9279,CARTON_LOOKUP!$A:$E,5,0),"")</f>
      </c>
      <c r="J9279" s="29">
        <f>IFERROR(VLOOKUP(F9279,CARTON_LOOKUP!$A:$E,2,0),"")</f>
      </c>
      <c r="K9279" s="29">
        <f>IFERROR(J9279*D9279,0)</f>
      </c>
      <c r="L9279" s="29">
        <f>IFERROR(E9279*C9279,0)</f>
      </c>
      <c r="M9279" s="29">
        <f>IFERROR((G9279*H9279*I9279/1000000)*D9279,0)</f>
      </c>
    </row>
    <row r="9280" spans="1:13" x14ac:dyDescent="0.25">
      <c r="A9280" s="16"/>
      <c r="E9280" s="27"/>
      <c r="F9280" t="s">
        <v>26</v>
      </c>
      <c r="G9280" s="28">
        <f>IFERROR(VLOOKUP(F9280,CARTON_LOOKUP!$A:$E,3,0),"")</f>
      </c>
      <c r="H9280" s="28">
        <f>IFERROR(VLOOKUP(F9280,CARTON_LOOKUP!$A:$E,4,0),"")</f>
      </c>
      <c r="I9280" s="28">
        <f>IFERROR(VLOOKUP(F9280,CARTON_LOOKUP!$A:$E,5,0),"")</f>
      </c>
      <c r="J9280" s="29">
        <f>IFERROR(VLOOKUP(F9280,CARTON_LOOKUP!$A:$E,2,0),"")</f>
      </c>
      <c r="K9280" s="29">
        <f>IFERROR(J9280*D9280,0)</f>
      </c>
      <c r="L9280" s="29">
        <f>IFERROR(E9280*C9280,0)</f>
      </c>
      <c r="M9280" s="29">
        <f>IFERROR((G9280*H9280*I9280/1000000)*D9280,0)</f>
      </c>
    </row>
    <row r="9281" spans="1:13" x14ac:dyDescent="0.25">
      <c r="A9281" s="16"/>
      <c r="E9281" s="27"/>
      <c r="F9281" t="s">
        <v>26</v>
      </c>
      <c r="G9281" s="28">
        <f>IFERROR(VLOOKUP(F9281,CARTON_LOOKUP!$A:$E,3,0),"")</f>
      </c>
      <c r="H9281" s="28">
        <f>IFERROR(VLOOKUP(F9281,CARTON_LOOKUP!$A:$E,4,0),"")</f>
      </c>
      <c r="I9281" s="28">
        <f>IFERROR(VLOOKUP(F9281,CARTON_LOOKUP!$A:$E,5,0),"")</f>
      </c>
      <c r="J9281" s="29">
        <f>IFERROR(VLOOKUP(F9281,CARTON_LOOKUP!$A:$E,2,0),"")</f>
      </c>
      <c r="K9281" s="29">
        <f>IFERROR(J9281*D9281,0)</f>
      </c>
      <c r="L9281" s="29">
        <f>IFERROR(E9281*C9281,0)</f>
      </c>
      <c r="M9281" s="29">
        <f>IFERROR((G9281*H9281*I9281/1000000)*D9281,0)</f>
      </c>
    </row>
    <row r="9282" spans="1:13" x14ac:dyDescent="0.25">
      <c r="A9282" s="16"/>
      <c r="E9282" s="27"/>
      <c r="F9282" t="s">
        <v>26</v>
      </c>
      <c r="G9282" s="28">
        <f>IFERROR(VLOOKUP(F9282,CARTON_LOOKUP!$A:$E,3,0),"")</f>
      </c>
      <c r="H9282" s="28">
        <f>IFERROR(VLOOKUP(F9282,CARTON_LOOKUP!$A:$E,4,0),"")</f>
      </c>
      <c r="I9282" s="28">
        <f>IFERROR(VLOOKUP(F9282,CARTON_LOOKUP!$A:$E,5,0),"")</f>
      </c>
      <c r="J9282" s="29">
        <f>IFERROR(VLOOKUP(F9282,CARTON_LOOKUP!$A:$E,2,0),"")</f>
      </c>
      <c r="K9282" s="29">
        <f>IFERROR(J9282*D9282,0)</f>
      </c>
      <c r="L9282" s="29">
        <f>IFERROR(E9282*C9282,0)</f>
      </c>
      <c r="M9282" s="29">
        <f>IFERROR((G9282*H9282*I9282/1000000)*D9282,0)</f>
      </c>
    </row>
    <row r="9283" spans="1:13" x14ac:dyDescent="0.25">
      <c r="A9283" s="16"/>
      <c r="E9283" s="27"/>
      <c r="F9283" t="s">
        <v>26</v>
      </c>
      <c r="G9283" s="28">
        <f>IFERROR(VLOOKUP(F9283,CARTON_LOOKUP!$A:$E,3,0),"")</f>
      </c>
      <c r="H9283" s="28">
        <f>IFERROR(VLOOKUP(F9283,CARTON_LOOKUP!$A:$E,4,0),"")</f>
      </c>
      <c r="I9283" s="28">
        <f>IFERROR(VLOOKUP(F9283,CARTON_LOOKUP!$A:$E,5,0),"")</f>
      </c>
      <c r="J9283" s="29">
        <f>IFERROR(VLOOKUP(F9283,CARTON_LOOKUP!$A:$E,2,0),"")</f>
      </c>
      <c r="K9283" s="29">
        <f>IFERROR(J9283*D9283,0)</f>
      </c>
      <c r="L9283" s="29">
        <f>IFERROR(E9283*C9283,0)</f>
      </c>
      <c r="M9283" s="29">
        <f>IFERROR((G9283*H9283*I9283/1000000)*D9283,0)</f>
      </c>
    </row>
    <row r="9284" spans="1:13" x14ac:dyDescent="0.25">
      <c r="A9284" s="16"/>
      <c r="E9284" s="27"/>
      <c r="F9284" t="s">
        <v>26</v>
      </c>
      <c r="G9284" s="28">
        <f>IFERROR(VLOOKUP(F9284,CARTON_LOOKUP!$A:$E,3,0),"")</f>
      </c>
      <c r="H9284" s="28">
        <f>IFERROR(VLOOKUP(F9284,CARTON_LOOKUP!$A:$E,4,0),"")</f>
      </c>
      <c r="I9284" s="28">
        <f>IFERROR(VLOOKUP(F9284,CARTON_LOOKUP!$A:$E,5,0),"")</f>
      </c>
      <c r="J9284" s="29">
        <f>IFERROR(VLOOKUP(F9284,CARTON_LOOKUP!$A:$E,2,0),"")</f>
      </c>
      <c r="K9284" s="29">
        <f>IFERROR(J9284*D9284,0)</f>
      </c>
      <c r="L9284" s="29">
        <f>IFERROR(E9284*C9284,0)</f>
      </c>
      <c r="M9284" s="29">
        <f>IFERROR((G9284*H9284*I9284/1000000)*D9284,0)</f>
      </c>
    </row>
    <row r="9285" spans="1:13" x14ac:dyDescent="0.25">
      <c r="A9285" s="16"/>
      <c r="E9285" s="27"/>
      <c r="F9285" t="s">
        <v>26</v>
      </c>
      <c r="G9285" s="28">
        <f>IFERROR(VLOOKUP(F9285,CARTON_LOOKUP!$A:$E,3,0),"")</f>
      </c>
      <c r="H9285" s="28">
        <f>IFERROR(VLOOKUP(F9285,CARTON_LOOKUP!$A:$E,4,0),"")</f>
      </c>
      <c r="I9285" s="28">
        <f>IFERROR(VLOOKUP(F9285,CARTON_LOOKUP!$A:$E,5,0),"")</f>
      </c>
      <c r="J9285" s="29">
        <f>IFERROR(VLOOKUP(F9285,CARTON_LOOKUP!$A:$E,2,0),"")</f>
      </c>
      <c r="K9285" s="29">
        <f>IFERROR(J9285*D9285,0)</f>
      </c>
      <c r="L9285" s="29">
        <f>IFERROR(E9285*C9285,0)</f>
      </c>
      <c r="M9285" s="29">
        <f>IFERROR((G9285*H9285*I9285/1000000)*D9285,0)</f>
      </c>
    </row>
    <row r="9286" spans="1:13" x14ac:dyDescent="0.25">
      <c r="A9286" s="16"/>
      <c r="E9286" s="27"/>
      <c r="F9286" t="s">
        <v>26</v>
      </c>
      <c r="G9286" s="28">
        <f>IFERROR(VLOOKUP(F9286,CARTON_LOOKUP!$A:$E,3,0),"")</f>
      </c>
      <c r="H9286" s="28">
        <f>IFERROR(VLOOKUP(F9286,CARTON_LOOKUP!$A:$E,4,0),"")</f>
      </c>
      <c r="I9286" s="28">
        <f>IFERROR(VLOOKUP(F9286,CARTON_LOOKUP!$A:$E,5,0),"")</f>
      </c>
      <c r="J9286" s="29">
        <f>IFERROR(VLOOKUP(F9286,CARTON_LOOKUP!$A:$E,2,0),"")</f>
      </c>
      <c r="K9286" s="29">
        <f>IFERROR(J9286*D9286,0)</f>
      </c>
      <c r="L9286" s="29">
        <f>IFERROR(E9286*C9286,0)</f>
      </c>
      <c r="M9286" s="29">
        <f>IFERROR((G9286*H9286*I9286/1000000)*D9286,0)</f>
      </c>
    </row>
    <row r="9287" spans="1:13" x14ac:dyDescent="0.25">
      <c r="A9287" s="16"/>
      <c r="E9287" s="27"/>
      <c r="F9287" t="s">
        <v>26</v>
      </c>
      <c r="G9287" s="28">
        <f>IFERROR(VLOOKUP(F9287,CARTON_LOOKUP!$A:$E,3,0),"")</f>
      </c>
      <c r="H9287" s="28">
        <f>IFERROR(VLOOKUP(F9287,CARTON_LOOKUP!$A:$E,4,0),"")</f>
      </c>
      <c r="I9287" s="28">
        <f>IFERROR(VLOOKUP(F9287,CARTON_LOOKUP!$A:$E,5,0),"")</f>
      </c>
      <c r="J9287" s="29">
        <f>IFERROR(VLOOKUP(F9287,CARTON_LOOKUP!$A:$E,2,0),"")</f>
      </c>
      <c r="K9287" s="29">
        <f>IFERROR(J9287*D9287,0)</f>
      </c>
      <c r="L9287" s="29">
        <f>IFERROR(E9287*C9287,0)</f>
      </c>
      <c r="M9287" s="29">
        <f>IFERROR((G9287*H9287*I9287/1000000)*D9287,0)</f>
      </c>
    </row>
    <row r="9288" spans="1:13" x14ac:dyDescent="0.25">
      <c r="A9288" s="16"/>
      <c r="E9288" s="27"/>
      <c r="F9288" t="s">
        <v>26</v>
      </c>
      <c r="G9288" s="28">
        <f>IFERROR(VLOOKUP(F9288,CARTON_LOOKUP!$A:$E,3,0),"")</f>
      </c>
      <c r="H9288" s="28">
        <f>IFERROR(VLOOKUP(F9288,CARTON_LOOKUP!$A:$E,4,0),"")</f>
      </c>
      <c r="I9288" s="28">
        <f>IFERROR(VLOOKUP(F9288,CARTON_LOOKUP!$A:$E,5,0),"")</f>
      </c>
      <c r="J9288" s="29">
        <f>IFERROR(VLOOKUP(F9288,CARTON_LOOKUP!$A:$E,2,0),"")</f>
      </c>
      <c r="K9288" s="29">
        <f>IFERROR(J9288*D9288,0)</f>
      </c>
      <c r="L9288" s="29">
        <f>IFERROR(E9288*C9288,0)</f>
      </c>
      <c r="M9288" s="29">
        <f>IFERROR((G9288*H9288*I9288/1000000)*D9288,0)</f>
      </c>
    </row>
    <row r="9289" spans="1:13" x14ac:dyDescent="0.25">
      <c r="A9289" s="16"/>
      <c r="E9289" s="27"/>
      <c r="F9289" t="s">
        <v>26</v>
      </c>
      <c r="G9289" s="28">
        <f>IFERROR(VLOOKUP(F9289,CARTON_LOOKUP!$A:$E,3,0),"")</f>
      </c>
      <c r="H9289" s="28">
        <f>IFERROR(VLOOKUP(F9289,CARTON_LOOKUP!$A:$E,4,0),"")</f>
      </c>
      <c r="I9289" s="28">
        <f>IFERROR(VLOOKUP(F9289,CARTON_LOOKUP!$A:$E,5,0),"")</f>
      </c>
      <c r="J9289" s="29">
        <f>IFERROR(VLOOKUP(F9289,CARTON_LOOKUP!$A:$E,2,0),"")</f>
      </c>
      <c r="K9289" s="29">
        <f>IFERROR(J9289*D9289,0)</f>
      </c>
      <c r="L9289" s="29">
        <f>IFERROR(E9289*C9289,0)</f>
      </c>
      <c r="M9289" s="29">
        <f>IFERROR((G9289*H9289*I9289/1000000)*D9289,0)</f>
      </c>
    </row>
    <row r="9290" spans="1:13" x14ac:dyDescent="0.25">
      <c r="A9290" s="16"/>
      <c r="E9290" s="27"/>
      <c r="F9290" t="s">
        <v>26</v>
      </c>
      <c r="G9290" s="28">
        <f>IFERROR(VLOOKUP(F9290,CARTON_LOOKUP!$A:$E,3,0),"")</f>
      </c>
      <c r="H9290" s="28">
        <f>IFERROR(VLOOKUP(F9290,CARTON_LOOKUP!$A:$E,4,0),"")</f>
      </c>
      <c r="I9290" s="28">
        <f>IFERROR(VLOOKUP(F9290,CARTON_LOOKUP!$A:$E,5,0),"")</f>
      </c>
      <c r="J9290" s="29">
        <f>IFERROR(VLOOKUP(F9290,CARTON_LOOKUP!$A:$E,2,0),"")</f>
      </c>
      <c r="K9290" s="29">
        <f>IFERROR(J9290*D9290,0)</f>
      </c>
      <c r="L9290" s="29">
        <f>IFERROR(E9290*C9290,0)</f>
      </c>
      <c r="M9290" s="29">
        <f>IFERROR((G9290*H9290*I9290/1000000)*D9290,0)</f>
      </c>
    </row>
    <row r="9291" spans="1:13" x14ac:dyDescent="0.25">
      <c r="A9291" s="16"/>
      <c r="E9291" s="27"/>
      <c r="F9291" t="s">
        <v>26</v>
      </c>
      <c r="G9291" s="28">
        <f>IFERROR(VLOOKUP(F9291,CARTON_LOOKUP!$A:$E,3,0),"")</f>
      </c>
      <c r="H9291" s="28">
        <f>IFERROR(VLOOKUP(F9291,CARTON_LOOKUP!$A:$E,4,0),"")</f>
      </c>
      <c r="I9291" s="28">
        <f>IFERROR(VLOOKUP(F9291,CARTON_LOOKUP!$A:$E,5,0),"")</f>
      </c>
      <c r="J9291" s="29">
        <f>IFERROR(VLOOKUP(F9291,CARTON_LOOKUP!$A:$E,2,0),"")</f>
      </c>
      <c r="K9291" s="29">
        <f>IFERROR(J9291*D9291,0)</f>
      </c>
      <c r="L9291" s="29">
        <f>IFERROR(E9291*C9291,0)</f>
      </c>
      <c r="M9291" s="29">
        <f>IFERROR((G9291*H9291*I9291/1000000)*D9291,0)</f>
      </c>
    </row>
    <row r="9292" spans="1:13" x14ac:dyDescent="0.25">
      <c r="A9292" s="16"/>
      <c r="E9292" s="27"/>
      <c r="F9292" t="s">
        <v>26</v>
      </c>
      <c r="G9292" s="28">
        <f>IFERROR(VLOOKUP(F9292,CARTON_LOOKUP!$A:$E,3,0),"")</f>
      </c>
      <c r="H9292" s="28">
        <f>IFERROR(VLOOKUP(F9292,CARTON_LOOKUP!$A:$E,4,0),"")</f>
      </c>
      <c r="I9292" s="28">
        <f>IFERROR(VLOOKUP(F9292,CARTON_LOOKUP!$A:$E,5,0),"")</f>
      </c>
      <c r="J9292" s="29">
        <f>IFERROR(VLOOKUP(F9292,CARTON_LOOKUP!$A:$E,2,0),"")</f>
      </c>
      <c r="K9292" s="29">
        <f>IFERROR(J9292*D9292,0)</f>
      </c>
      <c r="L9292" s="29">
        <f>IFERROR(E9292*C9292,0)</f>
      </c>
      <c r="M9292" s="29">
        <f>IFERROR((G9292*H9292*I9292/1000000)*D9292,0)</f>
      </c>
    </row>
    <row r="9293" spans="1:13" x14ac:dyDescent="0.25">
      <c r="A9293" s="16"/>
      <c r="E9293" s="27"/>
      <c r="F9293" t="s">
        <v>26</v>
      </c>
      <c r="G9293" s="28">
        <f>IFERROR(VLOOKUP(F9293,CARTON_LOOKUP!$A:$E,3,0),"")</f>
      </c>
      <c r="H9293" s="28">
        <f>IFERROR(VLOOKUP(F9293,CARTON_LOOKUP!$A:$E,4,0),"")</f>
      </c>
      <c r="I9293" s="28">
        <f>IFERROR(VLOOKUP(F9293,CARTON_LOOKUP!$A:$E,5,0),"")</f>
      </c>
      <c r="J9293" s="29">
        <f>IFERROR(VLOOKUP(F9293,CARTON_LOOKUP!$A:$E,2,0),"")</f>
      </c>
      <c r="K9293" s="29">
        <f>IFERROR(J9293*D9293,0)</f>
      </c>
      <c r="L9293" s="29">
        <f>IFERROR(E9293*C9293,0)</f>
      </c>
      <c r="M9293" s="29">
        <f>IFERROR((G9293*H9293*I9293/1000000)*D9293,0)</f>
      </c>
    </row>
    <row r="9294" spans="1:13" x14ac:dyDescent="0.25">
      <c r="A9294" s="16"/>
      <c r="E9294" s="27"/>
      <c r="F9294" t="s">
        <v>26</v>
      </c>
      <c r="G9294" s="28">
        <f>IFERROR(VLOOKUP(F9294,CARTON_LOOKUP!$A:$E,3,0),"")</f>
      </c>
      <c r="H9294" s="28">
        <f>IFERROR(VLOOKUP(F9294,CARTON_LOOKUP!$A:$E,4,0),"")</f>
      </c>
      <c r="I9294" s="28">
        <f>IFERROR(VLOOKUP(F9294,CARTON_LOOKUP!$A:$E,5,0),"")</f>
      </c>
      <c r="J9294" s="29">
        <f>IFERROR(VLOOKUP(F9294,CARTON_LOOKUP!$A:$E,2,0),"")</f>
      </c>
      <c r="K9294" s="29">
        <f>IFERROR(J9294*D9294,0)</f>
      </c>
      <c r="L9294" s="29">
        <f>IFERROR(E9294*C9294,0)</f>
      </c>
      <c r="M9294" s="29">
        <f>IFERROR((G9294*H9294*I9294/1000000)*D9294,0)</f>
      </c>
    </row>
    <row r="9295" spans="1:13" x14ac:dyDescent="0.25">
      <c r="A9295" s="16"/>
      <c r="E9295" s="27"/>
      <c r="F9295" t="s">
        <v>26</v>
      </c>
      <c r="G9295" s="28">
        <f>IFERROR(VLOOKUP(F9295,CARTON_LOOKUP!$A:$E,3,0),"")</f>
      </c>
      <c r="H9295" s="28">
        <f>IFERROR(VLOOKUP(F9295,CARTON_LOOKUP!$A:$E,4,0),"")</f>
      </c>
      <c r="I9295" s="28">
        <f>IFERROR(VLOOKUP(F9295,CARTON_LOOKUP!$A:$E,5,0),"")</f>
      </c>
      <c r="J9295" s="29">
        <f>IFERROR(VLOOKUP(F9295,CARTON_LOOKUP!$A:$E,2,0),"")</f>
      </c>
      <c r="K9295" s="29">
        <f>IFERROR(J9295*D9295,0)</f>
      </c>
      <c r="L9295" s="29">
        <f>IFERROR(E9295*C9295,0)</f>
      </c>
      <c r="M9295" s="29">
        <f>IFERROR((G9295*H9295*I9295/1000000)*D9295,0)</f>
      </c>
    </row>
    <row r="9296" spans="1:13" x14ac:dyDescent="0.25">
      <c r="A9296" s="16"/>
      <c r="E9296" s="27"/>
      <c r="F9296" t="s">
        <v>26</v>
      </c>
      <c r="G9296" s="28">
        <f>IFERROR(VLOOKUP(F9296,CARTON_LOOKUP!$A:$E,3,0),"")</f>
      </c>
      <c r="H9296" s="28">
        <f>IFERROR(VLOOKUP(F9296,CARTON_LOOKUP!$A:$E,4,0),"")</f>
      </c>
      <c r="I9296" s="28">
        <f>IFERROR(VLOOKUP(F9296,CARTON_LOOKUP!$A:$E,5,0),"")</f>
      </c>
      <c r="J9296" s="29">
        <f>IFERROR(VLOOKUP(F9296,CARTON_LOOKUP!$A:$E,2,0),"")</f>
      </c>
      <c r="K9296" s="29">
        <f>IFERROR(J9296*D9296,0)</f>
      </c>
      <c r="L9296" s="29">
        <f>IFERROR(E9296*C9296,0)</f>
      </c>
      <c r="M9296" s="29">
        <f>IFERROR((G9296*H9296*I9296/1000000)*D9296,0)</f>
      </c>
    </row>
    <row r="9297" spans="1:13" x14ac:dyDescent="0.25">
      <c r="A9297" s="16"/>
      <c r="E9297" s="27"/>
      <c r="F9297" t="s">
        <v>26</v>
      </c>
      <c r="G9297" s="28">
        <f>IFERROR(VLOOKUP(F9297,CARTON_LOOKUP!$A:$E,3,0),"")</f>
      </c>
      <c r="H9297" s="28">
        <f>IFERROR(VLOOKUP(F9297,CARTON_LOOKUP!$A:$E,4,0),"")</f>
      </c>
      <c r="I9297" s="28">
        <f>IFERROR(VLOOKUP(F9297,CARTON_LOOKUP!$A:$E,5,0),"")</f>
      </c>
      <c r="J9297" s="29">
        <f>IFERROR(VLOOKUP(F9297,CARTON_LOOKUP!$A:$E,2,0),"")</f>
      </c>
      <c r="K9297" s="29">
        <f>IFERROR(J9297*D9297,0)</f>
      </c>
      <c r="L9297" s="29">
        <f>IFERROR(E9297*C9297,0)</f>
      </c>
      <c r="M9297" s="29">
        <f>IFERROR((G9297*H9297*I9297/1000000)*D9297,0)</f>
      </c>
    </row>
    <row r="9298" spans="1:13" x14ac:dyDescent="0.25">
      <c r="A9298" s="16"/>
      <c r="E9298" s="27"/>
      <c r="F9298" t="s">
        <v>26</v>
      </c>
      <c r="G9298" s="28">
        <f>IFERROR(VLOOKUP(F9298,CARTON_LOOKUP!$A:$E,3,0),"")</f>
      </c>
      <c r="H9298" s="28">
        <f>IFERROR(VLOOKUP(F9298,CARTON_LOOKUP!$A:$E,4,0),"")</f>
      </c>
      <c r="I9298" s="28">
        <f>IFERROR(VLOOKUP(F9298,CARTON_LOOKUP!$A:$E,5,0),"")</f>
      </c>
      <c r="J9298" s="29">
        <f>IFERROR(VLOOKUP(F9298,CARTON_LOOKUP!$A:$E,2,0),"")</f>
      </c>
      <c r="K9298" s="29">
        <f>IFERROR(J9298*D9298,0)</f>
      </c>
      <c r="L9298" s="29">
        <f>IFERROR(E9298*C9298,0)</f>
      </c>
      <c r="M9298" s="29">
        <f>IFERROR((G9298*H9298*I9298/1000000)*D9298,0)</f>
      </c>
    </row>
    <row r="9299" spans="1:13" x14ac:dyDescent="0.25">
      <c r="A9299" s="16"/>
      <c r="E9299" s="27"/>
      <c r="F9299" t="s">
        <v>26</v>
      </c>
      <c r="G9299" s="28">
        <f>IFERROR(VLOOKUP(F9299,CARTON_LOOKUP!$A:$E,3,0),"")</f>
      </c>
      <c r="H9299" s="28">
        <f>IFERROR(VLOOKUP(F9299,CARTON_LOOKUP!$A:$E,4,0),"")</f>
      </c>
      <c r="I9299" s="28">
        <f>IFERROR(VLOOKUP(F9299,CARTON_LOOKUP!$A:$E,5,0),"")</f>
      </c>
      <c r="J9299" s="29">
        <f>IFERROR(VLOOKUP(F9299,CARTON_LOOKUP!$A:$E,2,0),"")</f>
      </c>
      <c r="K9299" s="29">
        <f>IFERROR(J9299*D9299,0)</f>
      </c>
      <c r="L9299" s="29">
        <f>IFERROR(E9299*C9299,0)</f>
      </c>
      <c r="M9299" s="29">
        <f>IFERROR((G9299*H9299*I9299/1000000)*D9299,0)</f>
      </c>
    </row>
    <row r="9300" spans="1:13" x14ac:dyDescent="0.25">
      <c r="A9300" s="16"/>
      <c r="E9300" s="27"/>
      <c r="F9300" t="s">
        <v>26</v>
      </c>
      <c r="G9300" s="28">
        <f>IFERROR(VLOOKUP(F9300,CARTON_LOOKUP!$A:$E,3,0),"")</f>
      </c>
      <c r="H9300" s="28">
        <f>IFERROR(VLOOKUP(F9300,CARTON_LOOKUP!$A:$E,4,0),"")</f>
      </c>
      <c r="I9300" s="28">
        <f>IFERROR(VLOOKUP(F9300,CARTON_LOOKUP!$A:$E,5,0),"")</f>
      </c>
      <c r="J9300" s="29">
        <f>IFERROR(VLOOKUP(F9300,CARTON_LOOKUP!$A:$E,2,0),"")</f>
      </c>
      <c r="K9300" s="29">
        <f>IFERROR(J9300*D9300,0)</f>
      </c>
      <c r="L9300" s="29">
        <f>IFERROR(E9300*C9300,0)</f>
      </c>
      <c r="M9300" s="29">
        <f>IFERROR((G9300*H9300*I9300/1000000)*D9300,0)</f>
      </c>
    </row>
    <row r="9301" spans="1:13" x14ac:dyDescent="0.25">
      <c r="A9301" s="16"/>
      <c r="E9301" s="27"/>
      <c r="F9301" t="s">
        <v>26</v>
      </c>
      <c r="G9301" s="28">
        <f>IFERROR(VLOOKUP(F9301,CARTON_LOOKUP!$A:$E,3,0),"")</f>
      </c>
      <c r="H9301" s="28">
        <f>IFERROR(VLOOKUP(F9301,CARTON_LOOKUP!$A:$E,4,0),"")</f>
      </c>
      <c r="I9301" s="28">
        <f>IFERROR(VLOOKUP(F9301,CARTON_LOOKUP!$A:$E,5,0),"")</f>
      </c>
      <c r="J9301" s="29">
        <f>IFERROR(VLOOKUP(F9301,CARTON_LOOKUP!$A:$E,2,0),"")</f>
      </c>
      <c r="K9301" s="29">
        <f>IFERROR(J9301*D9301,0)</f>
      </c>
      <c r="L9301" s="29">
        <f>IFERROR(E9301*C9301,0)</f>
      </c>
      <c r="M9301" s="29">
        <f>IFERROR((G9301*H9301*I9301/1000000)*D9301,0)</f>
      </c>
    </row>
    <row r="9302" spans="1:13" x14ac:dyDescent="0.25">
      <c r="A9302" s="16"/>
      <c r="E9302" s="27"/>
      <c r="F9302" t="s">
        <v>26</v>
      </c>
      <c r="G9302" s="28">
        <f>IFERROR(VLOOKUP(F9302,CARTON_LOOKUP!$A:$E,3,0),"")</f>
      </c>
      <c r="H9302" s="28">
        <f>IFERROR(VLOOKUP(F9302,CARTON_LOOKUP!$A:$E,4,0),"")</f>
      </c>
      <c r="I9302" s="28">
        <f>IFERROR(VLOOKUP(F9302,CARTON_LOOKUP!$A:$E,5,0),"")</f>
      </c>
      <c r="J9302" s="29">
        <f>IFERROR(VLOOKUP(F9302,CARTON_LOOKUP!$A:$E,2,0),"")</f>
      </c>
      <c r="K9302" s="29">
        <f>IFERROR(J9302*D9302,0)</f>
      </c>
      <c r="L9302" s="29">
        <f>IFERROR(E9302*C9302,0)</f>
      </c>
      <c r="M9302" s="29">
        <f>IFERROR((G9302*H9302*I9302/1000000)*D9302,0)</f>
      </c>
    </row>
    <row r="9303" spans="1:13" x14ac:dyDescent="0.25">
      <c r="A9303" s="16"/>
      <c r="E9303" s="27"/>
      <c r="F9303" t="s">
        <v>26</v>
      </c>
      <c r="G9303" s="28">
        <f>IFERROR(VLOOKUP(F9303,CARTON_LOOKUP!$A:$E,3,0),"")</f>
      </c>
      <c r="H9303" s="28">
        <f>IFERROR(VLOOKUP(F9303,CARTON_LOOKUP!$A:$E,4,0),"")</f>
      </c>
      <c r="I9303" s="28">
        <f>IFERROR(VLOOKUP(F9303,CARTON_LOOKUP!$A:$E,5,0),"")</f>
      </c>
      <c r="J9303" s="29">
        <f>IFERROR(VLOOKUP(F9303,CARTON_LOOKUP!$A:$E,2,0),"")</f>
      </c>
      <c r="K9303" s="29">
        <f>IFERROR(J9303*D9303,0)</f>
      </c>
      <c r="L9303" s="29">
        <f>IFERROR(E9303*C9303,0)</f>
      </c>
      <c r="M9303" s="29">
        <f>IFERROR((G9303*H9303*I9303/1000000)*D9303,0)</f>
      </c>
    </row>
    <row r="9304" spans="1:13" x14ac:dyDescent="0.25">
      <c r="A9304" s="16"/>
      <c r="E9304" s="27"/>
      <c r="F9304" t="s">
        <v>26</v>
      </c>
      <c r="G9304" s="28">
        <f>IFERROR(VLOOKUP(F9304,CARTON_LOOKUP!$A:$E,3,0),"")</f>
      </c>
      <c r="H9304" s="28">
        <f>IFERROR(VLOOKUP(F9304,CARTON_LOOKUP!$A:$E,4,0),"")</f>
      </c>
      <c r="I9304" s="28">
        <f>IFERROR(VLOOKUP(F9304,CARTON_LOOKUP!$A:$E,5,0),"")</f>
      </c>
      <c r="J9304" s="29">
        <f>IFERROR(VLOOKUP(F9304,CARTON_LOOKUP!$A:$E,2,0),"")</f>
      </c>
      <c r="K9304" s="29">
        <f>IFERROR(J9304*D9304,0)</f>
      </c>
      <c r="L9304" s="29">
        <f>IFERROR(E9304*C9304,0)</f>
      </c>
      <c r="M9304" s="29">
        <f>IFERROR((G9304*H9304*I9304/1000000)*D9304,0)</f>
      </c>
    </row>
    <row r="9305" spans="1:13" x14ac:dyDescent="0.25">
      <c r="A9305" s="16"/>
      <c r="E9305" s="27"/>
      <c r="F9305" t="s">
        <v>26</v>
      </c>
      <c r="G9305" s="28">
        <f>IFERROR(VLOOKUP(F9305,CARTON_LOOKUP!$A:$E,3,0),"")</f>
      </c>
      <c r="H9305" s="28">
        <f>IFERROR(VLOOKUP(F9305,CARTON_LOOKUP!$A:$E,4,0),"")</f>
      </c>
      <c r="I9305" s="28">
        <f>IFERROR(VLOOKUP(F9305,CARTON_LOOKUP!$A:$E,5,0),"")</f>
      </c>
      <c r="J9305" s="29">
        <f>IFERROR(VLOOKUP(F9305,CARTON_LOOKUP!$A:$E,2,0),"")</f>
      </c>
      <c r="K9305" s="29">
        <f>IFERROR(J9305*D9305,0)</f>
      </c>
      <c r="L9305" s="29">
        <f>IFERROR(E9305*C9305,0)</f>
      </c>
      <c r="M9305" s="29">
        <f>IFERROR((G9305*H9305*I9305/1000000)*D9305,0)</f>
      </c>
    </row>
    <row r="9306" spans="1:13" x14ac:dyDescent="0.25">
      <c r="A9306" s="16"/>
      <c r="E9306" s="27"/>
      <c r="F9306" t="s">
        <v>26</v>
      </c>
      <c r="G9306" s="28">
        <f>IFERROR(VLOOKUP(F9306,CARTON_LOOKUP!$A:$E,3,0),"")</f>
      </c>
      <c r="H9306" s="28">
        <f>IFERROR(VLOOKUP(F9306,CARTON_LOOKUP!$A:$E,4,0),"")</f>
      </c>
      <c r="I9306" s="28">
        <f>IFERROR(VLOOKUP(F9306,CARTON_LOOKUP!$A:$E,5,0),"")</f>
      </c>
      <c r="J9306" s="29">
        <f>IFERROR(VLOOKUP(F9306,CARTON_LOOKUP!$A:$E,2,0),"")</f>
      </c>
      <c r="K9306" s="29">
        <f>IFERROR(J9306*D9306,0)</f>
      </c>
      <c r="L9306" s="29">
        <f>IFERROR(E9306*C9306,0)</f>
      </c>
      <c r="M9306" s="29">
        <f>IFERROR((G9306*H9306*I9306/1000000)*D9306,0)</f>
      </c>
    </row>
    <row r="9307" spans="1:13" x14ac:dyDescent="0.25">
      <c r="A9307" s="16"/>
      <c r="E9307" s="27"/>
      <c r="F9307" t="s">
        <v>26</v>
      </c>
      <c r="G9307" s="28">
        <f>IFERROR(VLOOKUP(F9307,CARTON_LOOKUP!$A:$E,3,0),"")</f>
      </c>
      <c r="H9307" s="28">
        <f>IFERROR(VLOOKUP(F9307,CARTON_LOOKUP!$A:$E,4,0),"")</f>
      </c>
      <c r="I9307" s="28">
        <f>IFERROR(VLOOKUP(F9307,CARTON_LOOKUP!$A:$E,5,0),"")</f>
      </c>
      <c r="J9307" s="29">
        <f>IFERROR(VLOOKUP(F9307,CARTON_LOOKUP!$A:$E,2,0),"")</f>
      </c>
      <c r="K9307" s="29">
        <f>IFERROR(J9307*D9307,0)</f>
      </c>
      <c r="L9307" s="29">
        <f>IFERROR(E9307*C9307,0)</f>
      </c>
      <c r="M9307" s="29">
        <f>IFERROR((G9307*H9307*I9307/1000000)*D9307,0)</f>
      </c>
    </row>
    <row r="9308" spans="1:13" x14ac:dyDescent="0.25">
      <c r="A9308" s="16"/>
      <c r="E9308" s="27"/>
      <c r="F9308" t="s">
        <v>26</v>
      </c>
      <c r="G9308" s="28">
        <f>IFERROR(VLOOKUP(F9308,CARTON_LOOKUP!$A:$E,3,0),"")</f>
      </c>
      <c r="H9308" s="28">
        <f>IFERROR(VLOOKUP(F9308,CARTON_LOOKUP!$A:$E,4,0),"")</f>
      </c>
      <c r="I9308" s="28">
        <f>IFERROR(VLOOKUP(F9308,CARTON_LOOKUP!$A:$E,5,0),"")</f>
      </c>
      <c r="J9308" s="29">
        <f>IFERROR(VLOOKUP(F9308,CARTON_LOOKUP!$A:$E,2,0),"")</f>
      </c>
      <c r="K9308" s="29">
        <f>IFERROR(J9308*D9308,0)</f>
      </c>
      <c r="L9308" s="29">
        <f>IFERROR(E9308*C9308,0)</f>
      </c>
      <c r="M9308" s="29">
        <f>IFERROR((G9308*H9308*I9308/1000000)*D9308,0)</f>
      </c>
    </row>
    <row r="9309" spans="1:13" x14ac:dyDescent="0.25">
      <c r="A9309" s="16"/>
      <c r="E9309" s="27"/>
      <c r="F9309" t="s">
        <v>26</v>
      </c>
      <c r="G9309" s="28">
        <f>IFERROR(VLOOKUP(F9309,CARTON_LOOKUP!$A:$E,3,0),"")</f>
      </c>
      <c r="H9309" s="28">
        <f>IFERROR(VLOOKUP(F9309,CARTON_LOOKUP!$A:$E,4,0),"")</f>
      </c>
      <c r="I9309" s="28">
        <f>IFERROR(VLOOKUP(F9309,CARTON_LOOKUP!$A:$E,5,0),"")</f>
      </c>
      <c r="J9309" s="29">
        <f>IFERROR(VLOOKUP(F9309,CARTON_LOOKUP!$A:$E,2,0),"")</f>
      </c>
      <c r="K9309" s="29">
        <f>IFERROR(J9309*D9309,0)</f>
      </c>
      <c r="L9309" s="29">
        <f>IFERROR(E9309*C9309,0)</f>
      </c>
      <c r="M9309" s="29">
        <f>IFERROR((G9309*H9309*I9309/1000000)*D9309,0)</f>
      </c>
    </row>
    <row r="9310" spans="1:13" x14ac:dyDescent="0.25">
      <c r="A9310" s="16"/>
      <c r="E9310" s="27"/>
      <c r="F9310" t="s">
        <v>26</v>
      </c>
      <c r="G9310" s="28">
        <f>IFERROR(VLOOKUP(F9310,CARTON_LOOKUP!$A:$E,3,0),"")</f>
      </c>
      <c r="H9310" s="28">
        <f>IFERROR(VLOOKUP(F9310,CARTON_LOOKUP!$A:$E,4,0),"")</f>
      </c>
      <c r="I9310" s="28">
        <f>IFERROR(VLOOKUP(F9310,CARTON_LOOKUP!$A:$E,5,0),"")</f>
      </c>
      <c r="J9310" s="29">
        <f>IFERROR(VLOOKUP(F9310,CARTON_LOOKUP!$A:$E,2,0),"")</f>
      </c>
      <c r="K9310" s="29">
        <f>IFERROR(J9310*D9310,0)</f>
      </c>
      <c r="L9310" s="29">
        <f>IFERROR(E9310*C9310,0)</f>
      </c>
      <c r="M9310" s="29">
        <f>IFERROR((G9310*H9310*I9310/1000000)*D9310,0)</f>
      </c>
    </row>
    <row r="9311" spans="1:13" x14ac:dyDescent="0.25">
      <c r="A9311" s="16"/>
      <c r="E9311" s="27"/>
      <c r="F9311" t="s">
        <v>26</v>
      </c>
      <c r="G9311" s="28">
        <f>IFERROR(VLOOKUP(F9311,CARTON_LOOKUP!$A:$E,3,0),"")</f>
      </c>
      <c r="H9311" s="28">
        <f>IFERROR(VLOOKUP(F9311,CARTON_LOOKUP!$A:$E,4,0),"")</f>
      </c>
      <c r="I9311" s="28">
        <f>IFERROR(VLOOKUP(F9311,CARTON_LOOKUP!$A:$E,5,0),"")</f>
      </c>
      <c r="J9311" s="29">
        <f>IFERROR(VLOOKUP(F9311,CARTON_LOOKUP!$A:$E,2,0),"")</f>
      </c>
      <c r="K9311" s="29">
        <f>IFERROR(J9311*D9311,0)</f>
      </c>
      <c r="L9311" s="29">
        <f>IFERROR(E9311*C9311,0)</f>
      </c>
      <c r="M9311" s="29">
        <f>IFERROR((G9311*H9311*I9311/1000000)*D9311,0)</f>
      </c>
    </row>
    <row r="9312" spans="1:13" x14ac:dyDescent="0.25">
      <c r="A9312" s="16"/>
      <c r="E9312" s="27"/>
      <c r="F9312" t="s">
        <v>26</v>
      </c>
      <c r="G9312" s="28">
        <f>IFERROR(VLOOKUP(F9312,CARTON_LOOKUP!$A:$E,3,0),"")</f>
      </c>
      <c r="H9312" s="28">
        <f>IFERROR(VLOOKUP(F9312,CARTON_LOOKUP!$A:$E,4,0),"")</f>
      </c>
      <c r="I9312" s="28">
        <f>IFERROR(VLOOKUP(F9312,CARTON_LOOKUP!$A:$E,5,0),"")</f>
      </c>
      <c r="J9312" s="29">
        <f>IFERROR(VLOOKUP(F9312,CARTON_LOOKUP!$A:$E,2,0),"")</f>
      </c>
      <c r="K9312" s="29">
        <f>IFERROR(J9312*D9312,0)</f>
      </c>
      <c r="L9312" s="29">
        <f>IFERROR(E9312*C9312,0)</f>
      </c>
      <c r="M9312" s="29">
        <f>IFERROR((G9312*H9312*I9312/1000000)*D9312,0)</f>
      </c>
    </row>
    <row r="9313" spans="1:13" x14ac:dyDescent="0.25">
      <c r="A9313" s="16"/>
      <c r="E9313" s="27"/>
      <c r="F9313" t="s">
        <v>26</v>
      </c>
      <c r="G9313" s="28">
        <f>IFERROR(VLOOKUP(F9313,CARTON_LOOKUP!$A:$E,3,0),"")</f>
      </c>
      <c r="H9313" s="28">
        <f>IFERROR(VLOOKUP(F9313,CARTON_LOOKUP!$A:$E,4,0),"")</f>
      </c>
      <c r="I9313" s="28">
        <f>IFERROR(VLOOKUP(F9313,CARTON_LOOKUP!$A:$E,5,0),"")</f>
      </c>
      <c r="J9313" s="29">
        <f>IFERROR(VLOOKUP(F9313,CARTON_LOOKUP!$A:$E,2,0),"")</f>
      </c>
      <c r="K9313" s="29">
        <f>IFERROR(J9313*D9313,0)</f>
      </c>
      <c r="L9313" s="29">
        <f>IFERROR(E9313*C9313,0)</f>
      </c>
      <c r="M9313" s="29">
        <f>IFERROR((G9313*H9313*I9313/1000000)*D9313,0)</f>
      </c>
    </row>
    <row r="9314" spans="1:13" x14ac:dyDescent="0.25">
      <c r="A9314" s="16"/>
      <c r="E9314" s="27"/>
      <c r="F9314" t="s">
        <v>26</v>
      </c>
      <c r="G9314" s="28">
        <f>IFERROR(VLOOKUP(F9314,CARTON_LOOKUP!$A:$E,3,0),"")</f>
      </c>
      <c r="H9314" s="28">
        <f>IFERROR(VLOOKUP(F9314,CARTON_LOOKUP!$A:$E,4,0),"")</f>
      </c>
      <c r="I9314" s="28">
        <f>IFERROR(VLOOKUP(F9314,CARTON_LOOKUP!$A:$E,5,0),"")</f>
      </c>
      <c r="J9314" s="29">
        <f>IFERROR(VLOOKUP(F9314,CARTON_LOOKUP!$A:$E,2,0),"")</f>
      </c>
      <c r="K9314" s="29">
        <f>IFERROR(J9314*D9314,0)</f>
      </c>
      <c r="L9314" s="29">
        <f>IFERROR(E9314*C9314,0)</f>
      </c>
      <c r="M9314" s="29">
        <f>IFERROR((G9314*H9314*I9314/1000000)*D9314,0)</f>
      </c>
    </row>
    <row r="9315" spans="1:13" x14ac:dyDescent="0.25">
      <c r="A9315" s="16"/>
      <c r="E9315" s="27"/>
      <c r="F9315" t="s">
        <v>26</v>
      </c>
      <c r="G9315" s="28">
        <f>IFERROR(VLOOKUP(F9315,CARTON_LOOKUP!$A:$E,3,0),"")</f>
      </c>
      <c r="H9315" s="28">
        <f>IFERROR(VLOOKUP(F9315,CARTON_LOOKUP!$A:$E,4,0),"")</f>
      </c>
      <c r="I9315" s="28">
        <f>IFERROR(VLOOKUP(F9315,CARTON_LOOKUP!$A:$E,5,0),"")</f>
      </c>
      <c r="J9315" s="29">
        <f>IFERROR(VLOOKUP(F9315,CARTON_LOOKUP!$A:$E,2,0),"")</f>
      </c>
      <c r="K9315" s="29">
        <f>IFERROR(J9315*D9315,0)</f>
      </c>
      <c r="L9315" s="29">
        <f>IFERROR(E9315*C9315,0)</f>
      </c>
      <c r="M9315" s="29">
        <f>IFERROR((G9315*H9315*I9315/1000000)*D9315,0)</f>
      </c>
    </row>
    <row r="9316" spans="1:13" x14ac:dyDescent="0.25">
      <c r="A9316" s="16"/>
      <c r="E9316" s="27"/>
      <c r="F9316" t="s">
        <v>26</v>
      </c>
      <c r="G9316" s="28">
        <f>IFERROR(VLOOKUP(F9316,CARTON_LOOKUP!$A:$E,3,0),"")</f>
      </c>
      <c r="H9316" s="28">
        <f>IFERROR(VLOOKUP(F9316,CARTON_LOOKUP!$A:$E,4,0),"")</f>
      </c>
      <c r="I9316" s="28">
        <f>IFERROR(VLOOKUP(F9316,CARTON_LOOKUP!$A:$E,5,0),"")</f>
      </c>
      <c r="J9316" s="29">
        <f>IFERROR(VLOOKUP(F9316,CARTON_LOOKUP!$A:$E,2,0),"")</f>
      </c>
      <c r="K9316" s="29">
        <f>IFERROR(J9316*D9316,0)</f>
      </c>
      <c r="L9316" s="29">
        <f>IFERROR(E9316*C9316,0)</f>
      </c>
      <c r="M9316" s="29">
        <f>IFERROR((G9316*H9316*I9316/1000000)*D9316,0)</f>
      </c>
    </row>
    <row r="9317" spans="1:13" x14ac:dyDescent="0.25">
      <c r="A9317" s="16"/>
      <c r="E9317" s="27"/>
      <c r="F9317" t="s">
        <v>26</v>
      </c>
      <c r="G9317" s="28">
        <f>IFERROR(VLOOKUP(F9317,CARTON_LOOKUP!$A:$E,3,0),"")</f>
      </c>
      <c r="H9317" s="28">
        <f>IFERROR(VLOOKUP(F9317,CARTON_LOOKUP!$A:$E,4,0),"")</f>
      </c>
      <c r="I9317" s="28">
        <f>IFERROR(VLOOKUP(F9317,CARTON_LOOKUP!$A:$E,5,0),"")</f>
      </c>
      <c r="J9317" s="29">
        <f>IFERROR(VLOOKUP(F9317,CARTON_LOOKUP!$A:$E,2,0),"")</f>
      </c>
      <c r="K9317" s="29">
        <f>IFERROR(J9317*D9317,0)</f>
      </c>
      <c r="L9317" s="29">
        <f>IFERROR(E9317*C9317,0)</f>
      </c>
      <c r="M9317" s="29">
        <f>IFERROR((G9317*H9317*I9317/1000000)*D9317,0)</f>
      </c>
    </row>
    <row r="9318" spans="1:13" x14ac:dyDescent="0.25">
      <c r="A9318" s="16"/>
      <c r="E9318" s="27"/>
      <c r="F9318" t="s">
        <v>26</v>
      </c>
      <c r="G9318" s="28">
        <f>IFERROR(VLOOKUP(F9318,CARTON_LOOKUP!$A:$E,3,0),"")</f>
      </c>
      <c r="H9318" s="28">
        <f>IFERROR(VLOOKUP(F9318,CARTON_LOOKUP!$A:$E,4,0),"")</f>
      </c>
      <c r="I9318" s="28">
        <f>IFERROR(VLOOKUP(F9318,CARTON_LOOKUP!$A:$E,5,0),"")</f>
      </c>
      <c r="J9318" s="29">
        <f>IFERROR(VLOOKUP(F9318,CARTON_LOOKUP!$A:$E,2,0),"")</f>
      </c>
      <c r="K9318" s="29">
        <f>IFERROR(J9318*D9318,0)</f>
      </c>
      <c r="L9318" s="29">
        <f>IFERROR(E9318*C9318,0)</f>
      </c>
      <c r="M9318" s="29">
        <f>IFERROR((G9318*H9318*I9318/1000000)*D9318,0)</f>
      </c>
    </row>
    <row r="9319" spans="1:13" x14ac:dyDescent="0.25">
      <c r="A9319" s="16"/>
      <c r="E9319" s="27"/>
      <c r="F9319" t="s">
        <v>26</v>
      </c>
      <c r="G9319" s="28">
        <f>IFERROR(VLOOKUP(F9319,CARTON_LOOKUP!$A:$E,3,0),"")</f>
      </c>
      <c r="H9319" s="28">
        <f>IFERROR(VLOOKUP(F9319,CARTON_LOOKUP!$A:$E,4,0),"")</f>
      </c>
      <c r="I9319" s="28">
        <f>IFERROR(VLOOKUP(F9319,CARTON_LOOKUP!$A:$E,5,0),"")</f>
      </c>
      <c r="J9319" s="29">
        <f>IFERROR(VLOOKUP(F9319,CARTON_LOOKUP!$A:$E,2,0),"")</f>
      </c>
      <c r="K9319" s="29">
        <f>IFERROR(J9319*D9319,0)</f>
      </c>
      <c r="L9319" s="29">
        <f>IFERROR(E9319*C9319,0)</f>
      </c>
      <c r="M9319" s="29">
        <f>IFERROR((G9319*H9319*I9319/1000000)*D9319,0)</f>
      </c>
    </row>
    <row r="9320" spans="1:13" x14ac:dyDescent="0.25">
      <c r="A9320" s="16"/>
      <c r="E9320" s="27"/>
      <c r="F9320" t="s">
        <v>26</v>
      </c>
      <c r="G9320" s="28">
        <f>IFERROR(VLOOKUP(F9320,CARTON_LOOKUP!$A:$E,3,0),"")</f>
      </c>
      <c r="H9320" s="28">
        <f>IFERROR(VLOOKUP(F9320,CARTON_LOOKUP!$A:$E,4,0),"")</f>
      </c>
      <c r="I9320" s="28">
        <f>IFERROR(VLOOKUP(F9320,CARTON_LOOKUP!$A:$E,5,0),"")</f>
      </c>
      <c r="J9320" s="29">
        <f>IFERROR(VLOOKUP(F9320,CARTON_LOOKUP!$A:$E,2,0),"")</f>
      </c>
      <c r="K9320" s="29">
        <f>IFERROR(J9320*D9320,0)</f>
      </c>
      <c r="L9320" s="29">
        <f>IFERROR(E9320*C9320,0)</f>
      </c>
      <c r="M9320" s="29">
        <f>IFERROR((G9320*H9320*I9320/1000000)*D9320,0)</f>
      </c>
    </row>
    <row r="9321" spans="1:13" x14ac:dyDescent="0.25">
      <c r="A9321" s="16"/>
      <c r="E9321" s="27"/>
      <c r="F9321" t="s">
        <v>26</v>
      </c>
      <c r="G9321" s="28">
        <f>IFERROR(VLOOKUP(F9321,CARTON_LOOKUP!$A:$E,3,0),"")</f>
      </c>
      <c r="H9321" s="28">
        <f>IFERROR(VLOOKUP(F9321,CARTON_LOOKUP!$A:$E,4,0),"")</f>
      </c>
      <c r="I9321" s="28">
        <f>IFERROR(VLOOKUP(F9321,CARTON_LOOKUP!$A:$E,5,0),"")</f>
      </c>
      <c r="J9321" s="29">
        <f>IFERROR(VLOOKUP(F9321,CARTON_LOOKUP!$A:$E,2,0),"")</f>
      </c>
      <c r="K9321" s="29">
        <f>IFERROR(J9321*D9321,0)</f>
      </c>
      <c r="L9321" s="29">
        <f>IFERROR(E9321*C9321,0)</f>
      </c>
      <c r="M9321" s="29">
        <f>IFERROR((G9321*H9321*I9321/1000000)*D9321,0)</f>
      </c>
    </row>
    <row r="9322" spans="1:13" x14ac:dyDescent="0.25">
      <c r="A9322" s="16"/>
      <c r="E9322" s="27"/>
      <c r="F9322" t="s">
        <v>26</v>
      </c>
      <c r="G9322" s="28">
        <f>IFERROR(VLOOKUP(F9322,CARTON_LOOKUP!$A:$E,3,0),"")</f>
      </c>
      <c r="H9322" s="28">
        <f>IFERROR(VLOOKUP(F9322,CARTON_LOOKUP!$A:$E,4,0),"")</f>
      </c>
      <c r="I9322" s="28">
        <f>IFERROR(VLOOKUP(F9322,CARTON_LOOKUP!$A:$E,5,0),"")</f>
      </c>
      <c r="J9322" s="29">
        <f>IFERROR(VLOOKUP(F9322,CARTON_LOOKUP!$A:$E,2,0),"")</f>
      </c>
      <c r="K9322" s="29">
        <f>IFERROR(J9322*D9322,0)</f>
      </c>
      <c r="L9322" s="29">
        <f>IFERROR(E9322*C9322,0)</f>
      </c>
      <c r="M9322" s="29">
        <f>IFERROR((G9322*H9322*I9322/1000000)*D9322,0)</f>
      </c>
    </row>
    <row r="9323" spans="1:13" x14ac:dyDescent="0.25">
      <c r="A9323" s="16"/>
      <c r="E9323" s="27"/>
      <c r="F9323" t="s">
        <v>26</v>
      </c>
      <c r="G9323" s="28">
        <f>IFERROR(VLOOKUP(F9323,CARTON_LOOKUP!$A:$E,3,0),"")</f>
      </c>
      <c r="H9323" s="28">
        <f>IFERROR(VLOOKUP(F9323,CARTON_LOOKUP!$A:$E,4,0),"")</f>
      </c>
      <c r="I9323" s="28">
        <f>IFERROR(VLOOKUP(F9323,CARTON_LOOKUP!$A:$E,5,0),"")</f>
      </c>
      <c r="J9323" s="29">
        <f>IFERROR(VLOOKUP(F9323,CARTON_LOOKUP!$A:$E,2,0),"")</f>
      </c>
      <c r="K9323" s="29">
        <f>IFERROR(J9323*D9323,0)</f>
      </c>
      <c r="L9323" s="29">
        <f>IFERROR(E9323*C9323,0)</f>
      </c>
      <c r="M9323" s="29">
        <f>IFERROR((G9323*H9323*I9323/1000000)*D9323,0)</f>
      </c>
    </row>
    <row r="9324" spans="1:13" x14ac:dyDescent="0.25">
      <c r="A9324" s="16"/>
      <c r="E9324" s="27"/>
      <c r="F9324" t="s">
        <v>26</v>
      </c>
      <c r="G9324" s="28">
        <f>IFERROR(VLOOKUP(F9324,CARTON_LOOKUP!$A:$E,3,0),"")</f>
      </c>
      <c r="H9324" s="28">
        <f>IFERROR(VLOOKUP(F9324,CARTON_LOOKUP!$A:$E,4,0),"")</f>
      </c>
      <c r="I9324" s="28">
        <f>IFERROR(VLOOKUP(F9324,CARTON_LOOKUP!$A:$E,5,0),"")</f>
      </c>
      <c r="J9324" s="29">
        <f>IFERROR(VLOOKUP(F9324,CARTON_LOOKUP!$A:$E,2,0),"")</f>
      </c>
      <c r="K9324" s="29">
        <f>IFERROR(J9324*D9324,0)</f>
      </c>
      <c r="L9324" s="29">
        <f>IFERROR(E9324*C9324,0)</f>
      </c>
      <c r="M9324" s="29">
        <f>IFERROR((G9324*H9324*I9324/1000000)*D9324,0)</f>
      </c>
    </row>
    <row r="9325" spans="1:13" x14ac:dyDescent="0.25">
      <c r="A9325" s="16"/>
      <c r="E9325" s="27"/>
      <c r="F9325" t="s">
        <v>26</v>
      </c>
      <c r="G9325" s="28">
        <f>IFERROR(VLOOKUP(F9325,CARTON_LOOKUP!$A:$E,3,0),"")</f>
      </c>
      <c r="H9325" s="28">
        <f>IFERROR(VLOOKUP(F9325,CARTON_LOOKUP!$A:$E,4,0),"")</f>
      </c>
      <c r="I9325" s="28">
        <f>IFERROR(VLOOKUP(F9325,CARTON_LOOKUP!$A:$E,5,0),"")</f>
      </c>
      <c r="J9325" s="29">
        <f>IFERROR(VLOOKUP(F9325,CARTON_LOOKUP!$A:$E,2,0),"")</f>
      </c>
      <c r="K9325" s="29">
        <f>IFERROR(J9325*D9325,0)</f>
      </c>
      <c r="L9325" s="29">
        <f>IFERROR(E9325*C9325,0)</f>
      </c>
      <c r="M9325" s="29">
        <f>IFERROR((G9325*H9325*I9325/1000000)*D9325,0)</f>
      </c>
    </row>
    <row r="9326" spans="1:13" x14ac:dyDescent="0.25">
      <c r="A9326" s="16"/>
      <c r="E9326" s="27"/>
      <c r="F9326" t="s">
        <v>26</v>
      </c>
      <c r="G9326" s="28">
        <f>IFERROR(VLOOKUP(F9326,CARTON_LOOKUP!$A:$E,3,0),"")</f>
      </c>
      <c r="H9326" s="28">
        <f>IFERROR(VLOOKUP(F9326,CARTON_LOOKUP!$A:$E,4,0),"")</f>
      </c>
      <c r="I9326" s="28">
        <f>IFERROR(VLOOKUP(F9326,CARTON_LOOKUP!$A:$E,5,0),"")</f>
      </c>
      <c r="J9326" s="29">
        <f>IFERROR(VLOOKUP(F9326,CARTON_LOOKUP!$A:$E,2,0),"")</f>
      </c>
      <c r="K9326" s="29">
        <f>IFERROR(J9326*D9326,0)</f>
      </c>
      <c r="L9326" s="29">
        <f>IFERROR(E9326*C9326,0)</f>
      </c>
      <c r="M9326" s="29">
        <f>IFERROR((G9326*H9326*I9326/1000000)*D9326,0)</f>
      </c>
    </row>
    <row r="9327" spans="1:13" x14ac:dyDescent="0.25">
      <c r="A9327" s="16"/>
      <c r="E9327" s="27"/>
      <c r="F9327" t="s">
        <v>26</v>
      </c>
      <c r="G9327" s="28">
        <f>IFERROR(VLOOKUP(F9327,CARTON_LOOKUP!$A:$E,3,0),"")</f>
      </c>
      <c r="H9327" s="28">
        <f>IFERROR(VLOOKUP(F9327,CARTON_LOOKUP!$A:$E,4,0),"")</f>
      </c>
      <c r="I9327" s="28">
        <f>IFERROR(VLOOKUP(F9327,CARTON_LOOKUP!$A:$E,5,0),"")</f>
      </c>
      <c r="J9327" s="29">
        <f>IFERROR(VLOOKUP(F9327,CARTON_LOOKUP!$A:$E,2,0),"")</f>
      </c>
      <c r="K9327" s="29">
        <f>IFERROR(J9327*D9327,0)</f>
      </c>
      <c r="L9327" s="29">
        <f>IFERROR(E9327*C9327,0)</f>
      </c>
      <c r="M9327" s="29">
        <f>IFERROR((G9327*H9327*I9327/1000000)*D9327,0)</f>
      </c>
    </row>
    <row r="9328" spans="1:13" x14ac:dyDescent="0.25">
      <c r="A9328" s="16"/>
      <c r="E9328" s="27"/>
      <c r="F9328" t="s">
        <v>26</v>
      </c>
      <c r="G9328" s="28">
        <f>IFERROR(VLOOKUP(F9328,CARTON_LOOKUP!$A:$E,3,0),"")</f>
      </c>
      <c r="H9328" s="28">
        <f>IFERROR(VLOOKUP(F9328,CARTON_LOOKUP!$A:$E,4,0),"")</f>
      </c>
      <c r="I9328" s="28">
        <f>IFERROR(VLOOKUP(F9328,CARTON_LOOKUP!$A:$E,5,0),"")</f>
      </c>
      <c r="J9328" s="29">
        <f>IFERROR(VLOOKUP(F9328,CARTON_LOOKUP!$A:$E,2,0),"")</f>
      </c>
      <c r="K9328" s="29">
        <f>IFERROR(J9328*D9328,0)</f>
      </c>
      <c r="L9328" s="29">
        <f>IFERROR(E9328*C9328,0)</f>
      </c>
      <c r="M9328" s="29">
        <f>IFERROR((G9328*H9328*I9328/1000000)*D9328,0)</f>
      </c>
    </row>
    <row r="9329" spans="1:13" x14ac:dyDescent="0.25">
      <c r="A9329" s="16"/>
      <c r="E9329" s="27"/>
      <c r="F9329" t="s">
        <v>26</v>
      </c>
      <c r="G9329" s="28">
        <f>IFERROR(VLOOKUP(F9329,CARTON_LOOKUP!$A:$E,3,0),"")</f>
      </c>
      <c r="H9329" s="28">
        <f>IFERROR(VLOOKUP(F9329,CARTON_LOOKUP!$A:$E,4,0),"")</f>
      </c>
      <c r="I9329" s="28">
        <f>IFERROR(VLOOKUP(F9329,CARTON_LOOKUP!$A:$E,5,0),"")</f>
      </c>
      <c r="J9329" s="29">
        <f>IFERROR(VLOOKUP(F9329,CARTON_LOOKUP!$A:$E,2,0),"")</f>
      </c>
      <c r="K9329" s="29">
        <f>IFERROR(J9329*D9329,0)</f>
      </c>
      <c r="L9329" s="29">
        <f>IFERROR(E9329*C9329,0)</f>
      </c>
      <c r="M9329" s="29">
        <f>IFERROR((G9329*H9329*I9329/1000000)*D9329,0)</f>
      </c>
    </row>
    <row r="9330" spans="1:13" x14ac:dyDescent="0.25">
      <c r="A9330" s="16"/>
      <c r="E9330" s="27"/>
      <c r="F9330" t="s">
        <v>26</v>
      </c>
      <c r="G9330" s="28">
        <f>IFERROR(VLOOKUP(F9330,CARTON_LOOKUP!$A:$E,3,0),"")</f>
      </c>
      <c r="H9330" s="28">
        <f>IFERROR(VLOOKUP(F9330,CARTON_LOOKUP!$A:$E,4,0),"")</f>
      </c>
      <c r="I9330" s="28">
        <f>IFERROR(VLOOKUP(F9330,CARTON_LOOKUP!$A:$E,5,0),"")</f>
      </c>
      <c r="J9330" s="29">
        <f>IFERROR(VLOOKUP(F9330,CARTON_LOOKUP!$A:$E,2,0),"")</f>
      </c>
      <c r="K9330" s="29">
        <f>IFERROR(J9330*D9330,0)</f>
      </c>
      <c r="L9330" s="29">
        <f>IFERROR(E9330*C9330,0)</f>
      </c>
      <c r="M9330" s="29">
        <f>IFERROR((G9330*H9330*I9330/1000000)*D9330,0)</f>
      </c>
    </row>
    <row r="9331" spans="1:13" x14ac:dyDescent="0.25">
      <c r="A9331" s="16"/>
      <c r="E9331" s="27"/>
      <c r="F9331" t="s">
        <v>26</v>
      </c>
      <c r="G9331" s="28">
        <f>IFERROR(VLOOKUP(F9331,CARTON_LOOKUP!$A:$E,3,0),"")</f>
      </c>
      <c r="H9331" s="28">
        <f>IFERROR(VLOOKUP(F9331,CARTON_LOOKUP!$A:$E,4,0),"")</f>
      </c>
      <c r="I9331" s="28">
        <f>IFERROR(VLOOKUP(F9331,CARTON_LOOKUP!$A:$E,5,0),"")</f>
      </c>
      <c r="J9331" s="29">
        <f>IFERROR(VLOOKUP(F9331,CARTON_LOOKUP!$A:$E,2,0),"")</f>
      </c>
      <c r="K9331" s="29">
        <f>IFERROR(J9331*D9331,0)</f>
      </c>
      <c r="L9331" s="29">
        <f>IFERROR(E9331*C9331,0)</f>
      </c>
      <c r="M9331" s="29">
        <f>IFERROR((G9331*H9331*I9331/1000000)*D9331,0)</f>
      </c>
    </row>
    <row r="9332" spans="1:13" x14ac:dyDescent="0.25">
      <c r="A9332" s="16"/>
      <c r="E9332" s="27"/>
      <c r="F9332" t="s">
        <v>26</v>
      </c>
      <c r="G9332" s="28">
        <f>IFERROR(VLOOKUP(F9332,CARTON_LOOKUP!$A:$E,3,0),"")</f>
      </c>
      <c r="H9332" s="28">
        <f>IFERROR(VLOOKUP(F9332,CARTON_LOOKUP!$A:$E,4,0),"")</f>
      </c>
      <c r="I9332" s="28">
        <f>IFERROR(VLOOKUP(F9332,CARTON_LOOKUP!$A:$E,5,0),"")</f>
      </c>
      <c r="J9332" s="29">
        <f>IFERROR(VLOOKUP(F9332,CARTON_LOOKUP!$A:$E,2,0),"")</f>
      </c>
      <c r="K9332" s="29">
        <f>IFERROR(J9332*D9332,0)</f>
      </c>
      <c r="L9332" s="29">
        <f>IFERROR(E9332*C9332,0)</f>
      </c>
      <c r="M9332" s="29">
        <f>IFERROR((G9332*H9332*I9332/1000000)*D9332,0)</f>
      </c>
    </row>
    <row r="9333" spans="1:13" x14ac:dyDescent="0.25">
      <c r="A9333" s="16"/>
      <c r="E9333" s="27"/>
      <c r="F9333" t="s">
        <v>26</v>
      </c>
      <c r="G9333" s="28">
        <f>IFERROR(VLOOKUP(F9333,CARTON_LOOKUP!$A:$E,3,0),"")</f>
      </c>
      <c r="H9333" s="28">
        <f>IFERROR(VLOOKUP(F9333,CARTON_LOOKUP!$A:$E,4,0),"")</f>
      </c>
      <c r="I9333" s="28">
        <f>IFERROR(VLOOKUP(F9333,CARTON_LOOKUP!$A:$E,5,0),"")</f>
      </c>
      <c r="J9333" s="29">
        <f>IFERROR(VLOOKUP(F9333,CARTON_LOOKUP!$A:$E,2,0),"")</f>
      </c>
      <c r="K9333" s="29">
        <f>IFERROR(J9333*D9333,0)</f>
      </c>
      <c r="L9333" s="29">
        <f>IFERROR(E9333*C9333,0)</f>
      </c>
      <c r="M9333" s="29">
        <f>IFERROR((G9333*H9333*I9333/1000000)*D9333,0)</f>
      </c>
    </row>
    <row r="9334" spans="1:13" x14ac:dyDescent="0.25">
      <c r="A9334" s="16"/>
      <c r="E9334" s="27"/>
      <c r="F9334" t="s">
        <v>26</v>
      </c>
      <c r="G9334" s="28">
        <f>IFERROR(VLOOKUP(F9334,CARTON_LOOKUP!$A:$E,3,0),"")</f>
      </c>
      <c r="H9334" s="28">
        <f>IFERROR(VLOOKUP(F9334,CARTON_LOOKUP!$A:$E,4,0),"")</f>
      </c>
      <c r="I9334" s="28">
        <f>IFERROR(VLOOKUP(F9334,CARTON_LOOKUP!$A:$E,5,0),"")</f>
      </c>
      <c r="J9334" s="29">
        <f>IFERROR(VLOOKUP(F9334,CARTON_LOOKUP!$A:$E,2,0),"")</f>
      </c>
      <c r="K9334" s="29">
        <f>IFERROR(J9334*D9334,0)</f>
      </c>
      <c r="L9334" s="29">
        <f>IFERROR(E9334*C9334,0)</f>
      </c>
      <c r="M9334" s="29">
        <f>IFERROR((G9334*H9334*I9334/1000000)*D9334,0)</f>
      </c>
    </row>
    <row r="9335" spans="1:13" x14ac:dyDescent="0.25">
      <c r="A9335" s="16"/>
      <c r="E9335" s="27"/>
      <c r="F9335" t="s">
        <v>26</v>
      </c>
      <c r="G9335" s="28">
        <f>IFERROR(VLOOKUP(F9335,CARTON_LOOKUP!$A:$E,3,0),"")</f>
      </c>
      <c r="H9335" s="28">
        <f>IFERROR(VLOOKUP(F9335,CARTON_LOOKUP!$A:$E,4,0),"")</f>
      </c>
      <c r="I9335" s="28">
        <f>IFERROR(VLOOKUP(F9335,CARTON_LOOKUP!$A:$E,5,0),"")</f>
      </c>
      <c r="J9335" s="29">
        <f>IFERROR(VLOOKUP(F9335,CARTON_LOOKUP!$A:$E,2,0),"")</f>
      </c>
      <c r="K9335" s="29">
        <f>IFERROR(J9335*D9335,0)</f>
      </c>
      <c r="L9335" s="29">
        <f>IFERROR(E9335*C9335,0)</f>
      </c>
      <c r="M9335" s="29">
        <f>IFERROR((G9335*H9335*I9335/1000000)*D9335,0)</f>
      </c>
    </row>
    <row r="9336" spans="1:13" x14ac:dyDescent="0.25">
      <c r="A9336" s="16"/>
      <c r="E9336" s="27"/>
      <c r="F9336" t="s">
        <v>26</v>
      </c>
      <c r="G9336" s="28">
        <f>IFERROR(VLOOKUP(F9336,CARTON_LOOKUP!$A:$E,3,0),"")</f>
      </c>
      <c r="H9336" s="28">
        <f>IFERROR(VLOOKUP(F9336,CARTON_LOOKUP!$A:$E,4,0),"")</f>
      </c>
      <c r="I9336" s="28">
        <f>IFERROR(VLOOKUP(F9336,CARTON_LOOKUP!$A:$E,5,0),"")</f>
      </c>
      <c r="J9336" s="29">
        <f>IFERROR(VLOOKUP(F9336,CARTON_LOOKUP!$A:$E,2,0),"")</f>
      </c>
      <c r="K9336" s="29">
        <f>IFERROR(J9336*D9336,0)</f>
      </c>
      <c r="L9336" s="29">
        <f>IFERROR(E9336*C9336,0)</f>
      </c>
      <c r="M9336" s="29">
        <f>IFERROR((G9336*H9336*I9336/1000000)*D9336,0)</f>
      </c>
    </row>
    <row r="9337" spans="1:13" x14ac:dyDescent="0.25">
      <c r="A9337" s="16"/>
      <c r="E9337" s="27"/>
      <c r="F9337" t="s">
        <v>26</v>
      </c>
      <c r="G9337" s="28">
        <f>IFERROR(VLOOKUP(F9337,CARTON_LOOKUP!$A:$E,3,0),"")</f>
      </c>
      <c r="H9337" s="28">
        <f>IFERROR(VLOOKUP(F9337,CARTON_LOOKUP!$A:$E,4,0),"")</f>
      </c>
      <c r="I9337" s="28">
        <f>IFERROR(VLOOKUP(F9337,CARTON_LOOKUP!$A:$E,5,0),"")</f>
      </c>
      <c r="J9337" s="29">
        <f>IFERROR(VLOOKUP(F9337,CARTON_LOOKUP!$A:$E,2,0),"")</f>
      </c>
      <c r="K9337" s="29">
        <f>IFERROR(J9337*D9337,0)</f>
      </c>
      <c r="L9337" s="29">
        <f>IFERROR(E9337*C9337,0)</f>
      </c>
      <c r="M9337" s="29">
        <f>IFERROR((G9337*H9337*I9337/1000000)*D9337,0)</f>
      </c>
    </row>
    <row r="9338" spans="1:13" x14ac:dyDescent="0.25">
      <c r="A9338" s="16"/>
      <c r="E9338" s="27"/>
      <c r="F9338" t="s">
        <v>26</v>
      </c>
      <c r="G9338" s="28">
        <f>IFERROR(VLOOKUP(F9338,CARTON_LOOKUP!$A:$E,3,0),"")</f>
      </c>
      <c r="H9338" s="28">
        <f>IFERROR(VLOOKUP(F9338,CARTON_LOOKUP!$A:$E,4,0),"")</f>
      </c>
      <c r="I9338" s="28">
        <f>IFERROR(VLOOKUP(F9338,CARTON_LOOKUP!$A:$E,5,0),"")</f>
      </c>
      <c r="J9338" s="29">
        <f>IFERROR(VLOOKUP(F9338,CARTON_LOOKUP!$A:$E,2,0),"")</f>
      </c>
      <c r="K9338" s="29">
        <f>IFERROR(J9338*D9338,0)</f>
      </c>
      <c r="L9338" s="29">
        <f>IFERROR(E9338*C9338,0)</f>
      </c>
      <c r="M9338" s="29">
        <f>IFERROR((G9338*H9338*I9338/1000000)*D9338,0)</f>
      </c>
    </row>
    <row r="9339" spans="1:13" x14ac:dyDescent="0.25">
      <c r="A9339" s="16"/>
      <c r="E9339" s="27"/>
      <c r="F9339" t="s">
        <v>26</v>
      </c>
      <c r="G9339" s="28">
        <f>IFERROR(VLOOKUP(F9339,CARTON_LOOKUP!$A:$E,3,0),"")</f>
      </c>
      <c r="H9339" s="28">
        <f>IFERROR(VLOOKUP(F9339,CARTON_LOOKUP!$A:$E,4,0),"")</f>
      </c>
      <c r="I9339" s="28">
        <f>IFERROR(VLOOKUP(F9339,CARTON_LOOKUP!$A:$E,5,0),"")</f>
      </c>
      <c r="J9339" s="29">
        <f>IFERROR(VLOOKUP(F9339,CARTON_LOOKUP!$A:$E,2,0),"")</f>
      </c>
      <c r="K9339" s="29">
        <f>IFERROR(J9339*D9339,0)</f>
      </c>
      <c r="L9339" s="29">
        <f>IFERROR(E9339*C9339,0)</f>
      </c>
      <c r="M9339" s="29">
        <f>IFERROR((G9339*H9339*I9339/1000000)*D9339,0)</f>
      </c>
    </row>
    <row r="9340" spans="1:13" x14ac:dyDescent="0.25">
      <c r="A9340" s="16"/>
      <c r="E9340" s="27"/>
      <c r="F9340" t="s">
        <v>26</v>
      </c>
      <c r="G9340" s="28">
        <f>IFERROR(VLOOKUP(F9340,CARTON_LOOKUP!$A:$E,3,0),"")</f>
      </c>
      <c r="H9340" s="28">
        <f>IFERROR(VLOOKUP(F9340,CARTON_LOOKUP!$A:$E,4,0),"")</f>
      </c>
      <c r="I9340" s="28">
        <f>IFERROR(VLOOKUP(F9340,CARTON_LOOKUP!$A:$E,5,0),"")</f>
      </c>
      <c r="J9340" s="29">
        <f>IFERROR(VLOOKUP(F9340,CARTON_LOOKUP!$A:$E,2,0),"")</f>
      </c>
      <c r="K9340" s="29">
        <f>IFERROR(J9340*D9340,0)</f>
      </c>
      <c r="L9340" s="29">
        <f>IFERROR(E9340*C9340,0)</f>
      </c>
      <c r="M9340" s="29">
        <f>IFERROR((G9340*H9340*I9340/1000000)*D9340,0)</f>
      </c>
    </row>
    <row r="9341" spans="1:13" x14ac:dyDescent="0.25">
      <c r="A9341" s="16"/>
      <c r="E9341" s="27"/>
      <c r="F9341" t="s">
        <v>26</v>
      </c>
      <c r="G9341" s="28">
        <f>IFERROR(VLOOKUP(F9341,CARTON_LOOKUP!$A:$E,3,0),"")</f>
      </c>
      <c r="H9341" s="28">
        <f>IFERROR(VLOOKUP(F9341,CARTON_LOOKUP!$A:$E,4,0),"")</f>
      </c>
      <c r="I9341" s="28">
        <f>IFERROR(VLOOKUP(F9341,CARTON_LOOKUP!$A:$E,5,0),"")</f>
      </c>
      <c r="J9341" s="29">
        <f>IFERROR(VLOOKUP(F9341,CARTON_LOOKUP!$A:$E,2,0),"")</f>
      </c>
      <c r="K9341" s="29">
        <f>IFERROR(J9341*D9341,0)</f>
      </c>
      <c r="L9341" s="29">
        <f>IFERROR(E9341*C9341,0)</f>
      </c>
      <c r="M9341" s="29">
        <f>IFERROR((G9341*H9341*I9341/1000000)*D9341,0)</f>
      </c>
    </row>
    <row r="9342" spans="1:13" x14ac:dyDescent="0.25">
      <c r="A9342" s="16"/>
      <c r="E9342" s="27"/>
      <c r="F9342" t="s">
        <v>26</v>
      </c>
      <c r="G9342" s="28">
        <f>IFERROR(VLOOKUP(F9342,CARTON_LOOKUP!$A:$E,3,0),"")</f>
      </c>
      <c r="H9342" s="28">
        <f>IFERROR(VLOOKUP(F9342,CARTON_LOOKUP!$A:$E,4,0),"")</f>
      </c>
      <c r="I9342" s="28">
        <f>IFERROR(VLOOKUP(F9342,CARTON_LOOKUP!$A:$E,5,0),"")</f>
      </c>
      <c r="J9342" s="29">
        <f>IFERROR(VLOOKUP(F9342,CARTON_LOOKUP!$A:$E,2,0),"")</f>
      </c>
      <c r="K9342" s="29">
        <f>IFERROR(J9342*D9342,0)</f>
      </c>
      <c r="L9342" s="29">
        <f>IFERROR(E9342*C9342,0)</f>
      </c>
      <c r="M9342" s="29">
        <f>IFERROR((G9342*H9342*I9342/1000000)*D9342,0)</f>
      </c>
    </row>
    <row r="9343" spans="1:13" x14ac:dyDescent="0.25">
      <c r="A9343" s="16"/>
      <c r="E9343" s="27"/>
      <c r="F9343" t="s">
        <v>26</v>
      </c>
      <c r="G9343" s="28">
        <f>IFERROR(VLOOKUP(F9343,CARTON_LOOKUP!$A:$E,3,0),"")</f>
      </c>
      <c r="H9343" s="28">
        <f>IFERROR(VLOOKUP(F9343,CARTON_LOOKUP!$A:$E,4,0),"")</f>
      </c>
      <c r="I9343" s="28">
        <f>IFERROR(VLOOKUP(F9343,CARTON_LOOKUP!$A:$E,5,0),"")</f>
      </c>
      <c r="J9343" s="29">
        <f>IFERROR(VLOOKUP(F9343,CARTON_LOOKUP!$A:$E,2,0),"")</f>
      </c>
      <c r="K9343" s="29">
        <f>IFERROR(J9343*D9343,0)</f>
      </c>
      <c r="L9343" s="29">
        <f>IFERROR(E9343*C9343,0)</f>
      </c>
      <c r="M9343" s="29">
        <f>IFERROR((G9343*H9343*I9343/1000000)*D9343,0)</f>
      </c>
    </row>
    <row r="9344" spans="1:13" x14ac:dyDescent="0.25">
      <c r="A9344" s="16"/>
      <c r="E9344" s="27"/>
      <c r="F9344" t="s">
        <v>26</v>
      </c>
      <c r="G9344" s="28">
        <f>IFERROR(VLOOKUP(F9344,CARTON_LOOKUP!$A:$E,3,0),"")</f>
      </c>
      <c r="H9344" s="28">
        <f>IFERROR(VLOOKUP(F9344,CARTON_LOOKUP!$A:$E,4,0),"")</f>
      </c>
      <c r="I9344" s="28">
        <f>IFERROR(VLOOKUP(F9344,CARTON_LOOKUP!$A:$E,5,0),"")</f>
      </c>
      <c r="J9344" s="29">
        <f>IFERROR(VLOOKUP(F9344,CARTON_LOOKUP!$A:$E,2,0),"")</f>
      </c>
      <c r="K9344" s="29">
        <f>IFERROR(J9344*D9344,0)</f>
      </c>
      <c r="L9344" s="29">
        <f>IFERROR(E9344*C9344,0)</f>
      </c>
      <c r="M9344" s="29">
        <f>IFERROR((G9344*H9344*I9344/1000000)*D9344,0)</f>
      </c>
    </row>
    <row r="9345" spans="1:13" x14ac:dyDescent="0.25">
      <c r="A9345" s="16"/>
      <c r="E9345" s="27"/>
      <c r="F9345" t="s">
        <v>26</v>
      </c>
      <c r="G9345" s="28">
        <f>IFERROR(VLOOKUP(F9345,CARTON_LOOKUP!$A:$E,3,0),"")</f>
      </c>
      <c r="H9345" s="28">
        <f>IFERROR(VLOOKUP(F9345,CARTON_LOOKUP!$A:$E,4,0),"")</f>
      </c>
      <c r="I9345" s="28">
        <f>IFERROR(VLOOKUP(F9345,CARTON_LOOKUP!$A:$E,5,0),"")</f>
      </c>
      <c r="J9345" s="29">
        <f>IFERROR(VLOOKUP(F9345,CARTON_LOOKUP!$A:$E,2,0),"")</f>
      </c>
      <c r="K9345" s="29">
        <f>IFERROR(J9345*D9345,0)</f>
      </c>
      <c r="L9345" s="29">
        <f>IFERROR(E9345*C9345,0)</f>
      </c>
      <c r="M9345" s="29">
        <f>IFERROR((G9345*H9345*I9345/1000000)*D9345,0)</f>
      </c>
    </row>
    <row r="9346" spans="1:13" x14ac:dyDescent="0.25">
      <c r="A9346" s="16"/>
      <c r="E9346" s="27"/>
      <c r="F9346" t="s">
        <v>26</v>
      </c>
      <c r="G9346" s="28">
        <f>IFERROR(VLOOKUP(F9346,CARTON_LOOKUP!$A:$E,3,0),"")</f>
      </c>
      <c r="H9346" s="28">
        <f>IFERROR(VLOOKUP(F9346,CARTON_LOOKUP!$A:$E,4,0),"")</f>
      </c>
      <c r="I9346" s="28">
        <f>IFERROR(VLOOKUP(F9346,CARTON_LOOKUP!$A:$E,5,0),"")</f>
      </c>
      <c r="J9346" s="29">
        <f>IFERROR(VLOOKUP(F9346,CARTON_LOOKUP!$A:$E,2,0),"")</f>
      </c>
      <c r="K9346" s="29">
        <f>IFERROR(J9346*D9346,0)</f>
      </c>
      <c r="L9346" s="29">
        <f>IFERROR(E9346*C9346,0)</f>
      </c>
      <c r="M9346" s="29">
        <f>IFERROR((G9346*H9346*I9346/1000000)*D9346,0)</f>
      </c>
    </row>
    <row r="9347" spans="1:13" x14ac:dyDescent="0.25">
      <c r="A9347" s="16"/>
      <c r="E9347" s="27"/>
      <c r="F9347" t="s">
        <v>26</v>
      </c>
      <c r="G9347" s="28">
        <f>IFERROR(VLOOKUP(F9347,CARTON_LOOKUP!$A:$E,3,0),"")</f>
      </c>
      <c r="H9347" s="28">
        <f>IFERROR(VLOOKUP(F9347,CARTON_LOOKUP!$A:$E,4,0),"")</f>
      </c>
      <c r="I9347" s="28">
        <f>IFERROR(VLOOKUP(F9347,CARTON_LOOKUP!$A:$E,5,0),"")</f>
      </c>
      <c r="J9347" s="29">
        <f>IFERROR(VLOOKUP(F9347,CARTON_LOOKUP!$A:$E,2,0),"")</f>
      </c>
      <c r="K9347" s="29">
        <f>IFERROR(J9347*D9347,0)</f>
      </c>
      <c r="L9347" s="29">
        <f>IFERROR(E9347*C9347,0)</f>
      </c>
      <c r="M9347" s="29">
        <f>IFERROR((G9347*H9347*I9347/1000000)*D9347,0)</f>
      </c>
    </row>
    <row r="9348" spans="1:13" x14ac:dyDescent="0.25">
      <c r="A9348" s="16"/>
      <c r="E9348" s="27"/>
      <c r="F9348" t="s">
        <v>26</v>
      </c>
      <c r="G9348" s="28">
        <f>IFERROR(VLOOKUP(F9348,CARTON_LOOKUP!$A:$E,3,0),"")</f>
      </c>
      <c r="H9348" s="28">
        <f>IFERROR(VLOOKUP(F9348,CARTON_LOOKUP!$A:$E,4,0),"")</f>
      </c>
      <c r="I9348" s="28">
        <f>IFERROR(VLOOKUP(F9348,CARTON_LOOKUP!$A:$E,5,0),"")</f>
      </c>
      <c r="J9348" s="29">
        <f>IFERROR(VLOOKUP(F9348,CARTON_LOOKUP!$A:$E,2,0),"")</f>
      </c>
      <c r="K9348" s="29">
        <f>IFERROR(J9348*D9348,0)</f>
      </c>
      <c r="L9348" s="29">
        <f>IFERROR(E9348*C9348,0)</f>
      </c>
      <c r="M9348" s="29">
        <f>IFERROR((G9348*H9348*I9348/1000000)*D9348,0)</f>
      </c>
    </row>
    <row r="9349" spans="1:13" x14ac:dyDescent="0.25">
      <c r="A9349" s="16"/>
      <c r="E9349" s="27"/>
      <c r="F9349" t="s">
        <v>26</v>
      </c>
      <c r="G9349" s="28">
        <f>IFERROR(VLOOKUP(F9349,CARTON_LOOKUP!$A:$E,3,0),"")</f>
      </c>
      <c r="H9349" s="28">
        <f>IFERROR(VLOOKUP(F9349,CARTON_LOOKUP!$A:$E,4,0),"")</f>
      </c>
      <c r="I9349" s="28">
        <f>IFERROR(VLOOKUP(F9349,CARTON_LOOKUP!$A:$E,5,0),"")</f>
      </c>
      <c r="J9349" s="29">
        <f>IFERROR(VLOOKUP(F9349,CARTON_LOOKUP!$A:$E,2,0),"")</f>
      </c>
      <c r="K9349" s="29">
        <f>IFERROR(J9349*D9349,0)</f>
      </c>
      <c r="L9349" s="29">
        <f>IFERROR(E9349*C9349,0)</f>
      </c>
      <c r="M9349" s="29">
        <f>IFERROR((G9349*H9349*I9349/1000000)*D9349,0)</f>
      </c>
    </row>
    <row r="9350" spans="1:13" x14ac:dyDescent="0.25">
      <c r="A9350" s="16"/>
      <c r="E9350" s="27"/>
      <c r="F9350" t="s">
        <v>26</v>
      </c>
      <c r="G9350" s="28">
        <f>IFERROR(VLOOKUP(F9350,CARTON_LOOKUP!$A:$E,3,0),"")</f>
      </c>
      <c r="H9350" s="28">
        <f>IFERROR(VLOOKUP(F9350,CARTON_LOOKUP!$A:$E,4,0),"")</f>
      </c>
      <c r="I9350" s="28">
        <f>IFERROR(VLOOKUP(F9350,CARTON_LOOKUP!$A:$E,5,0),"")</f>
      </c>
      <c r="J9350" s="29">
        <f>IFERROR(VLOOKUP(F9350,CARTON_LOOKUP!$A:$E,2,0),"")</f>
      </c>
      <c r="K9350" s="29">
        <f>IFERROR(J9350*D9350,0)</f>
      </c>
      <c r="L9350" s="29">
        <f>IFERROR(E9350*C9350,0)</f>
      </c>
      <c r="M9350" s="29">
        <f>IFERROR((G9350*H9350*I9350/1000000)*D9350,0)</f>
      </c>
    </row>
    <row r="9351" spans="1:13" x14ac:dyDescent="0.25">
      <c r="A9351" s="16"/>
      <c r="E9351" s="27"/>
      <c r="F9351" t="s">
        <v>26</v>
      </c>
      <c r="G9351" s="28">
        <f>IFERROR(VLOOKUP(F9351,CARTON_LOOKUP!$A:$E,3,0),"")</f>
      </c>
      <c r="H9351" s="28">
        <f>IFERROR(VLOOKUP(F9351,CARTON_LOOKUP!$A:$E,4,0),"")</f>
      </c>
      <c r="I9351" s="28">
        <f>IFERROR(VLOOKUP(F9351,CARTON_LOOKUP!$A:$E,5,0),"")</f>
      </c>
      <c r="J9351" s="29">
        <f>IFERROR(VLOOKUP(F9351,CARTON_LOOKUP!$A:$E,2,0),"")</f>
      </c>
      <c r="K9351" s="29">
        <f>IFERROR(J9351*D9351,0)</f>
      </c>
      <c r="L9351" s="29">
        <f>IFERROR(E9351*C9351,0)</f>
      </c>
      <c r="M9351" s="29">
        <f>IFERROR((G9351*H9351*I9351/1000000)*D9351,0)</f>
      </c>
    </row>
    <row r="9352" spans="1:13" x14ac:dyDescent="0.25">
      <c r="A9352" s="16"/>
      <c r="E9352" s="27"/>
      <c r="F9352" t="s">
        <v>26</v>
      </c>
      <c r="G9352" s="28">
        <f>IFERROR(VLOOKUP(F9352,CARTON_LOOKUP!$A:$E,3,0),"")</f>
      </c>
      <c r="H9352" s="28">
        <f>IFERROR(VLOOKUP(F9352,CARTON_LOOKUP!$A:$E,4,0),"")</f>
      </c>
      <c r="I9352" s="28">
        <f>IFERROR(VLOOKUP(F9352,CARTON_LOOKUP!$A:$E,5,0),"")</f>
      </c>
      <c r="J9352" s="29">
        <f>IFERROR(VLOOKUP(F9352,CARTON_LOOKUP!$A:$E,2,0),"")</f>
      </c>
      <c r="K9352" s="29">
        <f>IFERROR(J9352*D9352,0)</f>
      </c>
      <c r="L9352" s="29">
        <f>IFERROR(E9352*C9352,0)</f>
      </c>
      <c r="M9352" s="29">
        <f>IFERROR((G9352*H9352*I9352/1000000)*D9352,0)</f>
      </c>
    </row>
    <row r="9353" spans="1:13" x14ac:dyDescent="0.25">
      <c r="A9353" s="16"/>
      <c r="E9353" s="27"/>
      <c r="F9353" t="s">
        <v>26</v>
      </c>
      <c r="G9353" s="28">
        <f>IFERROR(VLOOKUP(F9353,CARTON_LOOKUP!$A:$E,3,0),"")</f>
      </c>
      <c r="H9353" s="28">
        <f>IFERROR(VLOOKUP(F9353,CARTON_LOOKUP!$A:$E,4,0),"")</f>
      </c>
      <c r="I9353" s="28">
        <f>IFERROR(VLOOKUP(F9353,CARTON_LOOKUP!$A:$E,5,0),"")</f>
      </c>
      <c r="J9353" s="29">
        <f>IFERROR(VLOOKUP(F9353,CARTON_LOOKUP!$A:$E,2,0),"")</f>
      </c>
      <c r="K9353" s="29">
        <f>IFERROR(J9353*D9353,0)</f>
      </c>
      <c r="L9353" s="29">
        <f>IFERROR(E9353*C9353,0)</f>
      </c>
      <c r="M9353" s="29">
        <f>IFERROR((G9353*H9353*I9353/1000000)*D9353,0)</f>
      </c>
    </row>
    <row r="9354" spans="1:13" x14ac:dyDescent="0.25">
      <c r="A9354" s="16"/>
      <c r="E9354" s="27"/>
      <c r="F9354" t="s">
        <v>26</v>
      </c>
      <c r="G9354" s="28">
        <f>IFERROR(VLOOKUP(F9354,CARTON_LOOKUP!$A:$E,3,0),"")</f>
      </c>
      <c r="H9354" s="28">
        <f>IFERROR(VLOOKUP(F9354,CARTON_LOOKUP!$A:$E,4,0),"")</f>
      </c>
      <c r="I9354" s="28">
        <f>IFERROR(VLOOKUP(F9354,CARTON_LOOKUP!$A:$E,5,0),"")</f>
      </c>
      <c r="J9354" s="29">
        <f>IFERROR(VLOOKUP(F9354,CARTON_LOOKUP!$A:$E,2,0),"")</f>
      </c>
      <c r="K9354" s="29">
        <f>IFERROR(J9354*D9354,0)</f>
      </c>
      <c r="L9354" s="29">
        <f>IFERROR(E9354*C9354,0)</f>
      </c>
      <c r="M9354" s="29">
        <f>IFERROR((G9354*H9354*I9354/1000000)*D9354,0)</f>
      </c>
    </row>
    <row r="9355" spans="1:13" x14ac:dyDescent="0.25">
      <c r="A9355" s="16"/>
      <c r="E9355" s="27"/>
      <c r="F9355" t="s">
        <v>26</v>
      </c>
      <c r="G9355" s="28">
        <f>IFERROR(VLOOKUP(F9355,CARTON_LOOKUP!$A:$E,3,0),"")</f>
      </c>
      <c r="H9355" s="28">
        <f>IFERROR(VLOOKUP(F9355,CARTON_LOOKUP!$A:$E,4,0),"")</f>
      </c>
      <c r="I9355" s="28">
        <f>IFERROR(VLOOKUP(F9355,CARTON_LOOKUP!$A:$E,5,0),"")</f>
      </c>
      <c r="J9355" s="29">
        <f>IFERROR(VLOOKUP(F9355,CARTON_LOOKUP!$A:$E,2,0),"")</f>
      </c>
      <c r="K9355" s="29">
        <f>IFERROR(J9355*D9355,0)</f>
      </c>
      <c r="L9355" s="29">
        <f>IFERROR(E9355*C9355,0)</f>
      </c>
      <c r="M9355" s="29">
        <f>IFERROR((G9355*H9355*I9355/1000000)*D9355,0)</f>
      </c>
    </row>
    <row r="9356" spans="1:13" x14ac:dyDescent="0.25">
      <c r="A9356" s="16"/>
      <c r="E9356" s="27"/>
      <c r="F9356" t="s">
        <v>26</v>
      </c>
      <c r="G9356" s="28">
        <f>IFERROR(VLOOKUP(F9356,CARTON_LOOKUP!$A:$E,3,0),"")</f>
      </c>
      <c r="H9356" s="28">
        <f>IFERROR(VLOOKUP(F9356,CARTON_LOOKUP!$A:$E,4,0),"")</f>
      </c>
      <c r="I9356" s="28">
        <f>IFERROR(VLOOKUP(F9356,CARTON_LOOKUP!$A:$E,5,0),"")</f>
      </c>
      <c r="J9356" s="29">
        <f>IFERROR(VLOOKUP(F9356,CARTON_LOOKUP!$A:$E,2,0),"")</f>
      </c>
      <c r="K9356" s="29">
        <f>IFERROR(J9356*D9356,0)</f>
      </c>
      <c r="L9356" s="29">
        <f>IFERROR(E9356*C9356,0)</f>
      </c>
      <c r="M9356" s="29">
        <f>IFERROR((G9356*H9356*I9356/1000000)*D9356,0)</f>
      </c>
    </row>
    <row r="9357" spans="1:13" x14ac:dyDescent="0.25">
      <c r="A9357" s="16"/>
      <c r="E9357" s="27"/>
      <c r="F9357" t="s">
        <v>26</v>
      </c>
      <c r="G9357" s="28">
        <f>IFERROR(VLOOKUP(F9357,CARTON_LOOKUP!$A:$E,3,0),"")</f>
      </c>
      <c r="H9357" s="28">
        <f>IFERROR(VLOOKUP(F9357,CARTON_LOOKUP!$A:$E,4,0),"")</f>
      </c>
      <c r="I9357" s="28">
        <f>IFERROR(VLOOKUP(F9357,CARTON_LOOKUP!$A:$E,5,0),"")</f>
      </c>
      <c r="J9357" s="29">
        <f>IFERROR(VLOOKUP(F9357,CARTON_LOOKUP!$A:$E,2,0),"")</f>
      </c>
      <c r="K9357" s="29">
        <f>IFERROR(J9357*D9357,0)</f>
      </c>
      <c r="L9357" s="29">
        <f>IFERROR(E9357*C9357,0)</f>
      </c>
      <c r="M9357" s="29">
        <f>IFERROR((G9357*H9357*I9357/1000000)*D9357,0)</f>
      </c>
    </row>
    <row r="9358" spans="1:13" x14ac:dyDescent="0.25">
      <c r="A9358" s="16"/>
      <c r="E9358" s="27"/>
      <c r="F9358" t="s">
        <v>26</v>
      </c>
      <c r="G9358" s="28">
        <f>IFERROR(VLOOKUP(F9358,CARTON_LOOKUP!$A:$E,3,0),"")</f>
      </c>
      <c r="H9358" s="28">
        <f>IFERROR(VLOOKUP(F9358,CARTON_LOOKUP!$A:$E,4,0),"")</f>
      </c>
      <c r="I9358" s="28">
        <f>IFERROR(VLOOKUP(F9358,CARTON_LOOKUP!$A:$E,5,0),"")</f>
      </c>
      <c r="J9358" s="29">
        <f>IFERROR(VLOOKUP(F9358,CARTON_LOOKUP!$A:$E,2,0),"")</f>
      </c>
      <c r="K9358" s="29">
        <f>IFERROR(J9358*D9358,0)</f>
      </c>
      <c r="L9358" s="29">
        <f>IFERROR(E9358*C9358,0)</f>
      </c>
      <c r="M9358" s="29">
        <f>IFERROR((G9358*H9358*I9358/1000000)*D9358,0)</f>
      </c>
    </row>
    <row r="9359" spans="1:13" x14ac:dyDescent="0.25">
      <c r="A9359" s="16"/>
      <c r="E9359" s="27"/>
      <c r="F9359" t="s">
        <v>26</v>
      </c>
      <c r="G9359" s="28">
        <f>IFERROR(VLOOKUP(F9359,CARTON_LOOKUP!$A:$E,3,0),"")</f>
      </c>
      <c r="H9359" s="28">
        <f>IFERROR(VLOOKUP(F9359,CARTON_LOOKUP!$A:$E,4,0),"")</f>
      </c>
      <c r="I9359" s="28">
        <f>IFERROR(VLOOKUP(F9359,CARTON_LOOKUP!$A:$E,5,0),"")</f>
      </c>
      <c r="J9359" s="29">
        <f>IFERROR(VLOOKUP(F9359,CARTON_LOOKUP!$A:$E,2,0),"")</f>
      </c>
      <c r="K9359" s="29">
        <f>IFERROR(J9359*D9359,0)</f>
      </c>
      <c r="L9359" s="29">
        <f>IFERROR(E9359*C9359,0)</f>
      </c>
      <c r="M9359" s="29">
        <f>IFERROR((G9359*H9359*I9359/1000000)*D9359,0)</f>
      </c>
    </row>
    <row r="9360" spans="1:13" x14ac:dyDescent="0.25">
      <c r="A9360" s="16"/>
      <c r="E9360" s="27"/>
      <c r="F9360" t="s">
        <v>26</v>
      </c>
      <c r="G9360" s="28">
        <f>IFERROR(VLOOKUP(F9360,CARTON_LOOKUP!$A:$E,3,0),"")</f>
      </c>
      <c r="H9360" s="28">
        <f>IFERROR(VLOOKUP(F9360,CARTON_LOOKUP!$A:$E,4,0),"")</f>
      </c>
      <c r="I9360" s="28">
        <f>IFERROR(VLOOKUP(F9360,CARTON_LOOKUP!$A:$E,5,0),"")</f>
      </c>
      <c r="J9360" s="29">
        <f>IFERROR(VLOOKUP(F9360,CARTON_LOOKUP!$A:$E,2,0),"")</f>
      </c>
      <c r="K9360" s="29">
        <f>IFERROR(J9360*D9360,0)</f>
      </c>
      <c r="L9360" s="29">
        <f>IFERROR(E9360*C9360,0)</f>
      </c>
      <c r="M9360" s="29">
        <f>IFERROR((G9360*H9360*I9360/1000000)*D9360,0)</f>
      </c>
    </row>
    <row r="9361" spans="1:13" x14ac:dyDescent="0.25">
      <c r="A9361" s="16"/>
      <c r="E9361" s="27"/>
      <c r="F9361" t="s">
        <v>26</v>
      </c>
      <c r="G9361" s="28">
        <f>IFERROR(VLOOKUP(F9361,CARTON_LOOKUP!$A:$E,3,0),"")</f>
      </c>
      <c r="H9361" s="28">
        <f>IFERROR(VLOOKUP(F9361,CARTON_LOOKUP!$A:$E,4,0),"")</f>
      </c>
      <c r="I9361" s="28">
        <f>IFERROR(VLOOKUP(F9361,CARTON_LOOKUP!$A:$E,5,0),"")</f>
      </c>
      <c r="J9361" s="29">
        <f>IFERROR(VLOOKUP(F9361,CARTON_LOOKUP!$A:$E,2,0),"")</f>
      </c>
      <c r="K9361" s="29">
        <f>IFERROR(J9361*D9361,0)</f>
      </c>
      <c r="L9361" s="29">
        <f>IFERROR(E9361*C9361,0)</f>
      </c>
      <c r="M9361" s="29">
        <f>IFERROR((G9361*H9361*I9361/1000000)*D9361,0)</f>
      </c>
    </row>
    <row r="9362" spans="1:13" x14ac:dyDescent="0.25">
      <c r="A9362" s="16"/>
      <c r="E9362" s="27"/>
      <c r="F9362" t="s">
        <v>26</v>
      </c>
      <c r="G9362" s="28">
        <f>IFERROR(VLOOKUP(F9362,CARTON_LOOKUP!$A:$E,3,0),"")</f>
      </c>
      <c r="H9362" s="28">
        <f>IFERROR(VLOOKUP(F9362,CARTON_LOOKUP!$A:$E,4,0),"")</f>
      </c>
      <c r="I9362" s="28">
        <f>IFERROR(VLOOKUP(F9362,CARTON_LOOKUP!$A:$E,5,0),"")</f>
      </c>
      <c r="J9362" s="29">
        <f>IFERROR(VLOOKUP(F9362,CARTON_LOOKUP!$A:$E,2,0),"")</f>
      </c>
      <c r="K9362" s="29">
        <f>IFERROR(J9362*D9362,0)</f>
      </c>
      <c r="L9362" s="29">
        <f>IFERROR(E9362*C9362,0)</f>
      </c>
      <c r="M9362" s="29">
        <f>IFERROR((G9362*H9362*I9362/1000000)*D9362,0)</f>
      </c>
    </row>
    <row r="9363" spans="1:13" x14ac:dyDescent="0.25">
      <c r="A9363" s="16"/>
      <c r="E9363" s="27"/>
      <c r="F9363" t="s">
        <v>26</v>
      </c>
      <c r="G9363" s="28">
        <f>IFERROR(VLOOKUP(F9363,CARTON_LOOKUP!$A:$E,3,0),"")</f>
      </c>
      <c r="H9363" s="28">
        <f>IFERROR(VLOOKUP(F9363,CARTON_LOOKUP!$A:$E,4,0),"")</f>
      </c>
      <c r="I9363" s="28">
        <f>IFERROR(VLOOKUP(F9363,CARTON_LOOKUP!$A:$E,5,0),"")</f>
      </c>
      <c r="J9363" s="29">
        <f>IFERROR(VLOOKUP(F9363,CARTON_LOOKUP!$A:$E,2,0),"")</f>
      </c>
      <c r="K9363" s="29">
        <f>IFERROR(J9363*D9363,0)</f>
      </c>
      <c r="L9363" s="29">
        <f>IFERROR(E9363*C9363,0)</f>
      </c>
      <c r="M9363" s="29">
        <f>IFERROR((G9363*H9363*I9363/1000000)*D9363,0)</f>
      </c>
    </row>
    <row r="9364" spans="1:13" x14ac:dyDescent="0.25">
      <c r="A9364" s="16"/>
      <c r="E9364" s="27"/>
      <c r="F9364" t="s">
        <v>26</v>
      </c>
      <c r="G9364" s="28">
        <f>IFERROR(VLOOKUP(F9364,CARTON_LOOKUP!$A:$E,3,0),"")</f>
      </c>
      <c r="H9364" s="28">
        <f>IFERROR(VLOOKUP(F9364,CARTON_LOOKUP!$A:$E,4,0),"")</f>
      </c>
      <c r="I9364" s="28">
        <f>IFERROR(VLOOKUP(F9364,CARTON_LOOKUP!$A:$E,5,0),"")</f>
      </c>
      <c r="J9364" s="29">
        <f>IFERROR(VLOOKUP(F9364,CARTON_LOOKUP!$A:$E,2,0),"")</f>
      </c>
      <c r="K9364" s="29">
        <f>IFERROR(J9364*D9364,0)</f>
      </c>
      <c r="L9364" s="29">
        <f>IFERROR(E9364*C9364,0)</f>
      </c>
      <c r="M9364" s="29">
        <f>IFERROR((G9364*H9364*I9364/1000000)*D9364,0)</f>
      </c>
    </row>
    <row r="9365" spans="1:13" x14ac:dyDescent="0.25">
      <c r="A9365" s="16"/>
      <c r="E9365" s="27"/>
      <c r="F9365" t="s">
        <v>26</v>
      </c>
      <c r="G9365" s="28">
        <f>IFERROR(VLOOKUP(F9365,CARTON_LOOKUP!$A:$E,3,0),"")</f>
      </c>
      <c r="H9365" s="28">
        <f>IFERROR(VLOOKUP(F9365,CARTON_LOOKUP!$A:$E,4,0),"")</f>
      </c>
      <c r="I9365" s="28">
        <f>IFERROR(VLOOKUP(F9365,CARTON_LOOKUP!$A:$E,5,0),"")</f>
      </c>
      <c r="J9365" s="29">
        <f>IFERROR(VLOOKUP(F9365,CARTON_LOOKUP!$A:$E,2,0),"")</f>
      </c>
      <c r="K9365" s="29">
        <f>IFERROR(J9365*D9365,0)</f>
      </c>
      <c r="L9365" s="29">
        <f>IFERROR(E9365*C9365,0)</f>
      </c>
      <c r="M9365" s="29">
        <f>IFERROR((G9365*H9365*I9365/1000000)*D9365,0)</f>
      </c>
    </row>
    <row r="9366" spans="1:13" x14ac:dyDescent="0.25">
      <c r="A9366" s="16"/>
      <c r="E9366" s="27"/>
      <c r="F9366" t="s">
        <v>26</v>
      </c>
      <c r="G9366" s="28">
        <f>IFERROR(VLOOKUP(F9366,CARTON_LOOKUP!$A:$E,3,0),"")</f>
      </c>
      <c r="H9366" s="28">
        <f>IFERROR(VLOOKUP(F9366,CARTON_LOOKUP!$A:$E,4,0),"")</f>
      </c>
      <c r="I9366" s="28">
        <f>IFERROR(VLOOKUP(F9366,CARTON_LOOKUP!$A:$E,5,0),"")</f>
      </c>
      <c r="J9366" s="29">
        <f>IFERROR(VLOOKUP(F9366,CARTON_LOOKUP!$A:$E,2,0),"")</f>
      </c>
      <c r="K9366" s="29">
        <f>IFERROR(J9366*D9366,0)</f>
      </c>
      <c r="L9366" s="29">
        <f>IFERROR(E9366*C9366,0)</f>
      </c>
      <c r="M9366" s="29">
        <f>IFERROR((G9366*H9366*I9366/1000000)*D9366,0)</f>
      </c>
    </row>
    <row r="9367" spans="1:13" x14ac:dyDescent="0.25">
      <c r="A9367" s="16"/>
      <c r="E9367" s="27"/>
      <c r="F9367" t="s">
        <v>26</v>
      </c>
      <c r="G9367" s="28">
        <f>IFERROR(VLOOKUP(F9367,CARTON_LOOKUP!$A:$E,3,0),"")</f>
      </c>
      <c r="H9367" s="28">
        <f>IFERROR(VLOOKUP(F9367,CARTON_LOOKUP!$A:$E,4,0),"")</f>
      </c>
      <c r="I9367" s="28">
        <f>IFERROR(VLOOKUP(F9367,CARTON_LOOKUP!$A:$E,5,0),"")</f>
      </c>
      <c r="J9367" s="29">
        <f>IFERROR(VLOOKUP(F9367,CARTON_LOOKUP!$A:$E,2,0),"")</f>
      </c>
      <c r="K9367" s="29">
        <f>IFERROR(J9367*D9367,0)</f>
      </c>
      <c r="L9367" s="29">
        <f>IFERROR(E9367*C9367,0)</f>
      </c>
      <c r="M9367" s="29">
        <f>IFERROR((G9367*H9367*I9367/1000000)*D9367,0)</f>
      </c>
    </row>
    <row r="9368" spans="1:13" x14ac:dyDescent="0.25">
      <c r="A9368" s="16"/>
      <c r="E9368" s="27"/>
      <c r="F9368" t="s">
        <v>26</v>
      </c>
      <c r="G9368" s="28">
        <f>IFERROR(VLOOKUP(F9368,CARTON_LOOKUP!$A:$E,3,0),"")</f>
      </c>
      <c r="H9368" s="28">
        <f>IFERROR(VLOOKUP(F9368,CARTON_LOOKUP!$A:$E,4,0),"")</f>
      </c>
      <c r="I9368" s="28">
        <f>IFERROR(VLOOKUP(F9368,CARTON_LOOKUP!$A:$E,5,0),"")</f>
      </c>
      <c r="J9368" s="29">
        <f>IFERROR(VLOOKUP(F9368,CARTON_LOOKUP!$A:$E,2,0),"")</f>
      </c>
      <c r="K9368" s="29">
        <f>IFERROR(J9368*D9368,0)</f>
      </c>
      <c r="L9368" s="29">
        <f>IFERROR(E9368*C9368,0)</f>
      </c>
      <c r="M9368" s="29">
        <f>IFERROR((G9368*H9368*I9368/1000000)*D9368,0)</f>
      </c>
    </row>
    <row r="9369" spans="1:13" x14ac:dyDescent="0.25">
      <c r="A9369" s="16"/>
      <c r="E9369" s="27"/>
      <c r="F9369" t="s">
        <v>26</v>
      </c>
      <c r="G9369" s="28">
        <f>IFERROR(VLOOKUP(F9369,CARTON_LOOKUP!$A:$E,3,0),"")</f>
      </c>
      <c r="H9369" s="28">
        <f>IFERROR(VLOOKUP(F9369,CARTON_LOOKUP!$A:$E,4,0),"")</f>
      </c>
      <c r="I9369" s="28">
        <f>IFERROR(VLOOKUP(F9369,CARTON_LOOKUP!$A:$E,5,0),"")</f>
      </c>
      <c r="J9369" s="29">
        <f>IFERROR(VLOOKUP(F9369,CARTON_LOOKUP!$A:$E,2,0),"")</f>
      </c>
      <c r="K9369" s="29">
        <f>IFERROR(J9369*D9369,0)</f>
      </c>
      <c r="L9369" s="29">
        <f>IFERROR(E9369*C9369,0)</f>
      </c>
      <c r="M9369" s="29">
        <f>IFERROR((G9369*H9369*I9369/1000000)*D9369,0)</f>
      </c>
    </row>
    <row r="9370" spans="1:13" x14ac:dyDescent="0.25">
      <c r="A9370" s="16"/>
      <c r="E9370" s="27"/>
      <c r="F9370" t="s">
        <v>26</v>
      </c>
      <c r="G9370" s="28">
        <f>IFERROR(VLOOKUP(F9370,CARTON_LOOKUP!$A:$E,3,0),"")</f>
      </c>
      <c r="H9370" s="28">
        <f>IFERROR(VLOOKUP(F9370,CARTON_LOOKUP!$A:$E,4,0),"")</f>
      </c>
      <c r="I9370" s="28">
        <f>IFERROR(VLOOKUP(F9370,CARTON_LOOKUP!$A:$E,5,0),"")</f>
      </c>
      <c r="J9370" s="29">
        <f>IFERROR(VLOOKUP(F9370,CARTON_LOOKUP!$A:$E,2,0),"")</f>
      </c>
      <c r="K9370" s="29">
        <f>IFERROR(J9370*D9370,0)</f>
      </c>
      <c r="L9370" s="29">
        <f>IFERROR(E9370*C9370,0)</f>
      </c>
      <c r="M9370" s="29">
        <f>IFERROR((G9370*H9370*I9370/1000000)*D9370,0)</f>
      </c>
    </row>
    <row r="9371" spans="1:13" x14ac:dyDescent="0.25">
      <c r="A9371" s="16"/>
      <c r="E9371" s="27"/>
      <c r="F9371" t="s">
        <v>26</v>
      </c>
      <c r="G9371" s="28">
        <f>IFERROR(VLOOKUP(F9371,CARTON_LOOKUP!$A:$E,3,0),"")</f>
      </c>
      <c r="H9371" s="28">
        <f>IFERROR(VLOOKUP(F9371,CARTON_LOOKUP!$A:$E,4,0),"")</f>
      </c>
      <c r="I9371" s="28">
        <f>IFERROR(VLOOKUP(F9371,CARTON_LOOKUP!$A:$E,5,0),"")</f>
      </c>
      <c r="J9371" s="29">
        <f>IFERROR(VLOOKUP(F9371,CARTON_LOOKUP!$A:$E,2,0),"")</f>
      </c>
      <c r="K9371" s="29">
        <f>IFERROR(J9371*D9371,0)</f>
      </c>
      <c r="L9371" s="29">
        <f>IFERROR(E9371*C9371,0)</f>
      </c>
      <c r="M9371" s="29">
        <f>IFERROR((G9371*H9371*I9371/1000000)*D9371,0)</f>
      </c>
    </row>
    <row r="9372" spans="1:13" x14ac:dyDescent="0.25">
      <c r="A9372" s="16"/>
      <c r="E9372" s="27"/>
      <c r="F9372" t="s">
        <v>26</v>
      </c>
      <c r="G9372" s="28">
        <f>IFERROR(VLOOKUP(F9372,CARTON_LOOKUP!$A:$E,3,0),"")</f>
      </c>
      <c r="H9372" s="28">
        <f>IFERROR(VLOOKUP(F9372,CARTON_LOOKUP!$A:$E,4,0),"")</f>
      </c>
      <c r="I9372" s="28">
        <f>IFERROR(VLOOKUP(F9372,CARTON_LOOKUP!$A:$E,5,0),"")</f>
      </c>
      <c r="J9372" s="29">
        <f>IFERROR(VLOOKUP(F9372,CARTON_LOOKUP!$A:$E,2,0),"")</f>
      </c>
      <c r="K9372" s="29">
        <f>IFERROR(J9372*D9372,0)</f>
      </c>
      <c r="L9372" s="29">
        <f>IFERROR(E9372*C9372,0)</f>
      </c>
      <c r="M9372" s="29">
        <f>IFERROR((G9372*H9372*I9372/1000000)*D9372,0)</f>
      </c>
    </row>
    <row r="9373" spans="1:13" x14ac:dyDescent="0.25">
      <c r="A9373" s="16"/>
      <c r="E9373" s="27"/>
      <c r="F9373" t="s">
        <v>26</v>
      </c>
      <c r="G9373" s="28">
        <f>IFERROR(VLOOKUP(F9373,CARTON_LOOKUP!$A:$E,3,0),"")</f>
      </c>
      <c r="H9373" s="28">
        <f>IFERROR(VLOOKUP(F9373,CARTON_LOOKUP!$A:$E,4,0),"")</f>
      </c>
      <c r="I9373" s="28">
        <f>IFERROR(VLOOKUP(F9373,CARTON_LOOKUP!$A:$E,5,0),"")</f>
      </c>
      <c r="J9373" s="29">
        <f>IFERROR(VLOOKUP(F9373,CARTON_LOOKUP!$A:$E,2,0),"")</f>
      </c>
      <c r="K9373" s="29">
        <f>IFERROR(J9373*D9373,0)</f>
      </c>
      <c r="L9373" s="29">
        <f>IFERROR(E9373*C9373,0)</f>
      </c>
      <c r="M9373" s="29">
        <f>IFERROR((G9373*H9373*I9373/1000000)*D9373,0)</f>
      </c>
    </row>
    <row r="9374" spans="1:13" x14ac:dyDescent="0.25">
      <c r="A9374" s="16"/>
      <c r="E9374" s="27"/>
      <c r="F9374" t="s">
        <v>26</v>
      </c>
      <c r="G9374" s="28">
        <f>IFERROR(VLOOKUP(F9374,CARTON_LOOKUP!$A:$E,3,0),"")</f>
      </c>
      <c r="H9374" s="28">
        <f>IFERROR(VLOOKUP(F9374,CARTON_LOOKUP!$A:$E,4,0),"")</f>
      </c>
      <c r="I9374" s="28">
        <f>IFERROR(VLOOKUP(F9374,CARTON_LOOKUP!$A:$E,5,0),"")</f>
      </c>
      <c r="J9374" s="29">
        <f>IFERROR(VLOOKUP(F9374,CARTON_LOOKUP!$A:$E,2,0),"")</f>
      </c>
      <c r="K9374" s="29">
        <f>IFERROR(J9374*D9374,0)</f>
      </c>
      <c r="L9374" s="29">
        <f>IFERROR(E9374*C9374,0)</f>
      </c>
      <c r="M9374" s="29">
        <f>IFERROR((G9374*H9374*I9374/1000000)*D9374,0)</f>
      </c>
    </row>
    <row r="9375" spans="1:13" x14ac:dyDescent="0.25">
      <c r="A9375" s="16"/>
      <c r="E9375" s="27"/>
      <c r="F9375" t="s">
        <v>26</v>
      </c>
      <c r="G9375" s="28">
        <f>IFERROR(VLOOKUP(F9375,CARTON_LOOKUP!$A:$E,3,0),"")</f>
      </c>
      <c r="H9375" s="28">
        <f>IFERROR(VLOOKUP(F9375,CARTON_LOOKUP!$A:$E,4,0),"")</f>
      </c>
      <c r="I9375" s="28">
        <f>IFERROR(VLOOKUP(F9375,CARTON_LOOKUP!$A:$E,5,0),"")</f>
      </c>
      <c r="J9375" s="29">
        <f>IFERROR(VLOOKUP(F9375,CARTON_LOOKUP!$A:$E,2,0),"")</f>
      </c>
      <c r="K9375" s="29">
        <f>IFERROR(J9375*D9375,0)</f>
      </c>
      <c r="L9375" s="29">
        <f>IFERROR(E9375*C9375,0)</f>
      </c>
      <c r="M9375" s="29">
        <f>IFERROR((G9375*H9375*I9375/1000000)*D9375,0)</f>
      </c>
    </row>
    <row r="9376" spans="1:13" x14ac:dyDescent="0.25">
      <c r="A9376" s="16"/>
      <c r="E9376" s="27"/>
      <c r="F9376" t="s">
        <v>26</v>
      </c>
      <c r="G9376" s="28">
        <f>IFERROR(VLOOKUP(F9376,CARTON_LOOKUP!$A:$E,3,0),"")</f>
      </c>
      <c r="H9376" s="28">
        <f>IFERROR(VLOOKUP(F9376,CARTON_LOOKUP!$A:$E,4,0),"")</f>
      </c>
      <c r="I9376" s="28">
        <f>IFERROR(VLOOKUP(F9376,CARTON_LOOKUP!$A:$E,5,0),"")</f>
      </c>
      <c r="J9376" s="29">
        <f>IFERROR(VLOOKUP(F9376,CARTON_LOOKUP!$A:$E,2,0),"")</f>
      </c>
      <c r="K9376" s="29">
        <f>IFERROR(J9376*D9376,0)</f>
      </c>
      <c r="L9376" s="29">
        <f>IFERROR(E9376*C9376,0)</f>
      </c>
      <c r="M9376" s="29">
        <f>IFERROR((G9376*H9376*I9376/1000000)*D9376,0)</f>
      </c>
    </row>
    <row r="9377" spans="1:13" x14ac:dyDescent="0.25">
      <c r="A9377" s="16"/>
      <c r="E9377" s="27"/>
      <c r="F9377" t="s">
        <v>26</v>
      </c>
      <c r="G9377" s="28">
        <f>IFERROR(VLOOKUP(F9377,CARTON_LOOKUP!$A:$E,3,0),"")</f>
      </c>
      <c r="H9377" s="28">
        <f>IFERROR(VLOOKUP(F9377,CARTON_LOOKUP!$A:$E,4,0),"")</f>
      </c>
      <c r="I9377" s="28">
        <f>IFERROR(VLOOKUP(F9377,CARTON_LOOKUP!$A:$E,5,0),"")</f>
      </c>
      <c r="J9377" s="29">
        <f>IFERROR(VLOOKUP(F9377,CARTON_LOOKUP!$A:$E,2,0),"")</f>
      </c>
      <c r="K9377" s="29">
        <f>IFERROR(J9377*D9377,0)</f>
      </c>
      <c r="L9377" s="29">
        <f>IFERROR(E9377*C9377,0)</f>
      </c>
      <c r="M9377" s="29">
        <f>IFERROR((G9377*H9377*I9377/1000000)*D9377,0)</f>
      </c>
    </row>
    <row r="9378" spans="1:13" x14ac:dyDescent="0.25">
      <c r="A9378" s="16"/>
      <c r="E9378" s="27"/>
      <c r="F9378" t="s">
        <v>26</v>
      </c>
      <c r="G9378" s="28">
        <f>IFERROR(VLOOKUP(F9378,CARTON_LOOKUP!$A:$E,3,0),"")</f>
      </c>
      <c r="H9378" s="28">
        <f>IFERROR(VLOOKUP(F9378,CARTON_LOOKUP!$A:$E,4,0),"")</f>
      </c>
      <c r="I9378" s="28">
        <f>IFERROR(VLOOKUP(F9378,CARTON_LOOKUP!$A:$E,5,0),"")</f>
      </c>
      <c r="J9378" s="29">
        <f>IFERROR(VLOOKUP(F9378,CARTON_LOOKUP!$A:$E,2,0),"")</f>
      </c>
      <c r="K9378" s="29">
        <f>IFERROR(J9378*D9378,0)</f>
      </c>
      <c r="L9378" s="29">
        <f>IFERROR(E9378*C9378,0)</f>
      </c>
      <c r="M9378" s="29">
        <f>IFERROR((G9378*H9378*I9378/1000000)*D9378,0)</f>
      </c>
    </row>
    <row r="9379" spans="1:13" x14ac:dyDescent="0.25">
      <c r="A9379" s="16"/>
      <c r="E9379" s="27"/>
      <c r="F9379" t="s">
        <v>26</v>
      </c>
      <c r="G9379" s="28">
        <f>IFERROR(VLOOKUP(F9379,CARTON_LOOKUP!$A:$E,3,0),"")</f>
      </c>
      <c r="H9379" s="28">
        <f>IFERROR(VLOOKUP(F9379,CARTON_LOOKUP!$A:$E,4,0),"")</f>
      </c>
      <c r="I9379" s="28">
        <f>IFERROR(VLOOKUP(F9379,CARTON_LOOKUP!$A:$E,5,0),"")</f>
      </c>
      <c r="J9379" s="29">
        <f>IFERROR(VLOOKUP(F9379,CARTON_LOOKUP!$A:$E,2,0),"")</f>
      </c>
      <c r="K9379" s="29">
        <f>IFERROR(J9379*D9379,0)</f>
      </c>
      <c r="L9379" s="29">
        <f>IFERROR(E9379*C9379,0)</f>
      </c>
      <c r="M9379" s="29">
        <f>IFERROR((G9379*H9379*I9379/1000000)*D9379,0)</f>
      </c>
    </row>
    <row r="9380" spans="1:13" x14ac:dyDescent="0.25">
      <c r="A9380" s="16"/>
      <c r="E9380" s="27"/>
      <c r="F9380" t="s">
        <v>26</v>
      </c>
      <c r="G9380" s="28">
        <f>IFERROR(VLOOKUP(F9380,CARTON_LOOKUP!$A:$E,3,0),"")</f>
      </c>
      <c r="H9380" s="28">
        <f>IFERROR(VLOOKUP(F9380,CARTON_LOOKUP!$A:$E,4,0),"")</f>
      </c>
      <c r="I9380" s="28">
        <f>IFERROR(VLOOKUP(F9380,CARTON_LOOKUP!$A:$E,5,0),"")</f>
      </c>
      <c r="J9380" s="29">
        <f>IFERROR(VLOOKUP(F9380,CARTON_LOOKUP!$A:$E,2,0),"")</f>
      </c>
      <c r="K9380" s="29">
        <f>IFERROR(J9380*D9380,0)</f>
      </c>
      <c r="L9380" s="29">
        <f>IFERROR(E9380*C9380,0)</f>
      </c>
      <c r="M9380" s="29">
        <f>IFERROR((G9380*H9380*I9380/1000000)*D9380,0)</f>
      </c>
    </row>
    <row r="9381" spans="1:13" x14ac:dyDescent="0.25">
      <c r="A9381" s="16"/>
      <c r="E9381" s="27"/>
      <c r="F9381" t="s">
        <v>26</v>
      </c>
      <c r="G9381" s="28">
        <f>IFERROR(VLOOKUP(F9381,CARTON_LOOKUP!$A:$E,3,0),"")</f>
      </c>
      <c r="H9381" s="28">
        <f>IFERROR(VLOOKUP(F9381,CARTON_LOOKUP!$A:$E,4,0),"")</f>
      </c>
      <c r="I9381" s="28">
        <f>IFERROR(VLOOKUP(F9381,CARTON_LOOKUP!$A:$E,5,0),"")</f>
      </c>
      <c r="J9381" s="29">
        <f>IFERROR(VLOOKUP(F9381,CARTON_LOOKUP!$A:$E,2,0),"")</f>
      </c>
      <c r="K9381" s="29">
        <f>IFERROR(J9381*D9381,0)</f>
      </c>
      <c r="L9381" s="29">
        <f>IFERROR(E9381*C9381,0)</f>
      </c>
      <c r="M9381" s="29">
        <f>IFERROR((G9381*H9381*I9381/1000000)*D9381,0)</f>
      </c>
    </row>
    <row r="9382" spans="1:13" x14ac:dyDescent="0.25">
      <c r="A9382" s="16"/>
      <c r="E9382" s="27"/>
      <c r="F9382" t="s">
        <v>26</v>
      </c>
      <c r="G9382" s="28">
        <f>IFERROR(VLOOKUP(F9382,CARTON_LOOKUP!$A:$E,3,0),"")</f>
      </c>
      <c r="H9382" s="28">
        <f>IFERROR(VLOOKUP(F9382,CARTON_LOOKUP!$A:$E,4,0),"")</f>
      </c>
      <c r="I9382" s="28">
        <f>IFERROR(VLOOKUP(F9382,CARTON_LOOKUP!$A:$E,5,0),"")</f>
      </c>
      <c r="J9382" s="29">
        <f>IFERROR(VLOOKUP(F9382,CARTON_LOOKUP!$A:$E,2,0),"")</f>
      </c>
      <c r="K9382" s="29">
        <f>IFERROR(J9382*D9382,0)</f>
      </c>
      <c r="L9382" s="29">
        <f>IFERROR(E9382*C9382,0)</f>
      </c>
      <c r="M9382" s="29">
        <f>IFERROR((G9382*H9382*I9382/1000000)*D9382,0)</f>
      </c>
    </row>
    <row r="9383" spans="1:13" x14ac:dyDescent="0.25">
      <c r="A9383" s="16"/>
      <c r="E9383" s="27"/>
      <c r="F9383" t="s">
        <v>26</v>
      </c>
      <c r="G9383" s="28">
        <f>IFERROR(VLOOKUP(F9383,CARTON_LOOKUP!$A:$E,3,0),"")</f>
      </c>
      <c r="H9383" s="28">
        <f>IFERROR(VLOOKUP(F9383,CARTON_LOOKUP!$A:$E,4,0),"")</f>
      </c>
      <c r="I9383" s="28">
        <f>IFERROR(VLOOKUP(F9383,CARTON_LOOKUP!$A:$E,5,0),"")</f>
      </c>
      <c r="J9383" s="29">
        <f>IFERROR(VLOOKUP(F9383,CARTON_LOOKUP!$A:$E,2,0),"")</f>
      </c>
      <c r="K9383" s="29">
        <f>IFERROR(J9383*D9383,0)</f>
      </c>
      <c r="L9383" s="29">
        <f>IFERROR(E9383*C9383,0)</f>
      </c>
      <c r="M9383" s="29">
        <f>IFERROR((G9383*H9383*I9383/1000000)*D9383,0)</f>
      </c>
    </row>
    <row r="9384" spans="1:13" x14ac:dyDescent="0.25">
      <c r="A9384" s="16"/>
      <c r="E9384" s="27"/>
      <c r="F9384" t="s">
        <v>26</v>
      </c>
      <c r="G9384" s="28">
        <f>IFERROR(VLOOKUP(F9384,CARTON_LOOKUP!$A:$E,3,0),"")</f>
      </c>
      <c r="H9384" s="28">
        <f>IFERROR(VLOOKUP(F9384,CARTON_LOOKUP!$A:$E,4,0),"")</f>
      </c>
      <c r="I9384" s="28">
        <f>IFERROR(VLOOKUP(F9384,CARTON_LOOKUP!$A:$E,5,0),"")</f>
      </c>
      <c r="J9384" s="29">
        <f>IFERROR(VLOOKUP(F9384,CARTON_LOOKUP!$A:$E,2,0),"")</f>
      </c>
      <c r="K9384" s="29">
        <f>IFERROR(J9384*D9384,0)</f>
      </c>
      <c r="L9384" s="29">
        <f>IFERROR(E9384*C9384,0)</f>
      </c>
      <c r="M9384" s="29">
        <f>IFERROR((G9384*H9384*I9384/1000000)*D9384,0)</f>
      </c>
    </row>
    <row r="9385" spans="1:13" x14ac:dyDescent="0.25">
      <c r="A9385" s="16"/>
      <c r="E9385" s="27"/>
      <c r="F9385" t="s">
        <v>26</v>
      </c>
      <c r="G9385" s="28">
        <f>IFERROR(VLOOKUP(F9385,CARTON_LOOKUP!$A:$E,3,0),"")</f>
      </c>
      <c r="H9385" s="28">
        <f>IFERROR(VLOOKUP(F9385,CARTON_LOOKUP!$A:$E,4,0),"")</f>
      </c>
      <c r="I9385" s="28">
        <f>IFERROR(VLOOKUP(F9385,CARTON_LOOKUP!$A:$E,5,0),"")</f>
      </c>
      <c r="J9385" s="29">
        <f>IFERROR(VLOOKUP(F9385,CARTON_LOOKUP!$A:$E,2,0),"")</f>
      </c>
      <c r="K9385" s="29">
        <f>IFERROR(J9385*D9385,0)</f>
      </c>
      <c r="L9385" s="29">
        <f>IFERROR(E9385*C9385,0)</f>
      </c>
      <c r="M9385" s="29">
        <f>IFERROR((G9385*H9385*I9385/1000000)*D9385,0)</f>
      </c>
    </row>
    <row r="9386" spans="1:13" x14ac:dyDescent="0.25">
      <c r="A9386" s="16"/>
      <c r="E9386" s="27"/>
      <c r="F9386" t="s">
        <v>26</v>
      </c>
      <c r="G9386" s="28">
        <f>IFERROR(VLOOKUP(F9386,CARTON_LOOKUP!$A:$E,3,0),"")</f>
      </c>
      <c r="H9386" s="28">
        <f>IFERROR(VLOOKUP(F9386,CARTON_LOOKUP!$A:$E,4,0),"")</f>
      </c>
      <c r="I9386" s="28">
        <f>IFERROR(VLOOKUP(F9386,CARTON_LOOKUP!$A:$E,5,0),"")</f>
      </c>
      <c r="J9386" s="29">
        <f>IFERROR(VLOOKUP(F9386,CARTON_LOOKUP!$A:$E,2,0),"")</f>
      </c>
      <c r="K9386" s="29">
        <f>IFERROR(J9386*D9386,0)</f>
      </c>
      <c r="L9386" s="29">
        <f>IFERROR(E9386*C9386,0)</f>
      </c>
      <c r="M9386" s="29">
        <f>IFERROR((G9386*H9386*I9386/1000000)*D9386,0)</f>
      </c>
    </row>
    <row r="9387" spans="1:13" x14ac:dyDescent="0.25">
      <c r="A9387" s="16"/>
      <c r="E9387" s="27"/>
      <c r="F9387" t="s">
        <v>26</v>
      </c>
      <c r="G9387" s="28">
        <f>IFERROR(VLOOKUP(F9387,CARTON_LOOKUP!$A:$E,3,0),"")</f>
      </c>
      <c r="H9387" s="28">
        <f>IFERROR(VLOOKUP(F9387,CARTON_LOOKUP!$A:$E,4,0),"")</f>
      </c>
      <c r="I9387" s="28">
        <f>IFERROR(VLOOKUP(F9387,CARTON_LOOKUP!$A:$E,5,0),"")</f>
      </c>
      <c r="J9387" s="29">
        <f>IFERROR(VLOOKUP(F9387,CARTON_LOOKUP!$A:$E,2,0),"")</f>
      </c>
      <c r="K9387" s="29">
        <f>IFERROR(J9387*D9387,0)</f>
      </c>
      <c r="L9387" s="29">
        <f>IFERROR(E9387*C9387,0)</f>
      </c>
      <c r="M9387" s="29">
        <f>IFERROR((G9387*H9387*I9387/1000000)*D9387,0)</f>
      </c>
    </row>
    <row r="9388" spans="1:13" x14ac:dyDescent="0.25">
      <c r="A9388" s="16"/>
      <c r="E9388" s="27"/>
      <c r="F9388" t="s">
        <v>26</v>
      </c>
      <c r="G9388" s="28">
        <f>IFERROR(VLOOKUP(F9388,CARTON_LOOKUP!$A:$E,3,0),"")</f>
      </c>
      <c r="H9388" s="28">
        <f>IFERROR(VLOOKUP(F9388,CARTON_LOOKUP!$A:$E,4,0),"")</f>
      </c>
      <c r="I9388" s="28">
        <f>IFERROR(VLOOKUP(F9388,CARTON_LOOKUP!$A:$E,5,0),"")</f>
      </c>
      <c r="J9388" s="29">
        <f>IFERROR(VLOOKUP(F9388,CARTON_LOOKUP!$A:$E,2,0),"")</f>
      </c>
      <c r="K9388" s="29">
        <f>IFERROR(J9388*D9388,0)</f>
      </c>
      <c r="L9388" s="29">
        <f>IFERROR(E9388*C9388,0)</f>
      </c>
      <c r="M9388" s="29">
        <f>IFERROR((G9388*H9388*I9388/1000000)*D9388,0)</f>
      </c>
    </row>
    <row r="9389" spans="1:13" x14ac:dyDescent="0.25">
      <c r="A9389" s="16"/>
      <c r="E9389" s="27"/>
      <c r="F9389" t="s">
        <v>26</v>
      </c>
      <c r="G9389" s="28">
        <f>IFERROR(VLOOKUP(F9389,CARTON_LOOKUP!$A:$E,3,0),"")</f>
      </c>
      <c r="H9389" s="28">
        <f>IFERROR(VLOOKUP(F9389,CARTON_LOOKUP!$A:$E,4,0),"")</f>
      </c>
      <c r="I9389" s="28">
        <f>IFERROR(VLOOKUP(F9389,CARTON_LOOKUP!$A:$E,5,0),"")</f>
      </c>
      <c r="J9389" s="29">
        <f>IFERROR(VLOOKUP(F9389,CARTON_LOOKUP!$A:$E,2,0),"")</f>
      </c>
      <c r="K9389" s="29">
        <f>IFERROR(J9389*D9389,0)</f>
      </c>
      <c r="L9389" s="29">
        <f>IFERROR(E9389*C9389,0)</f>
      </c>
      <c r="M9389" s="29">
        <f>IFERROR((G9389*H9389*I9389/1000000)*D9389,0)</f>
      </c>
    </row>
    <row r="9390" spans="1:13" x14ac:dyDescent="0.25">
      <c r="A9390" s="16"/>
      <c r="E9390" s="27"/>
      <c r="F9390" t="s">
        <v>26</v>
      </c>
      <c r="G9390" s="28">
        <f>IFERROR(VLOOKUP(F9390,CARTON_LOOKUP!$A:$E,3,0),"")</f>
      </c>
      <c r="H9390" s="28">
        <f>IFERROR(VLOOKUP(F9390,CARTON_LOOKUP!$A:$E,4,0),"")</f>
      </c>
      <c r="I9390" s="28">
        <f>IFERROR(VLOOKUP(F9390,CARTON_LOOKUP!$A:$E,5,0),"")</f>
      </c>
      <c r="J9390" s="29">
        <f>IFERROR(VLOOKUP(F9390,CARTON_LOOKUP!$A:$E,2,0),"")</f>
      </c>
      <c r="K9390" s="29">
        <f>IFERROR(J9390*D9390,0)</f>
      </c>
      <c r="L9390" s="29">
        <f>IFERROR(E9390*C9390,0)</f>
      </c>
      <c r="M9390" s="29">
        <f>IFERROR((G9390*H9390*I9390/1000000)*D9390,0)</f>
      </c>
    </row>
    <row r="9391" spans="1:13" x14ac:dyDescent="0.25">
      <c r="A9391" s="16"/>
      <c r="E9391" s="27"/>
      <c r="F9391" t="s">
        <v>26</v>
      </c>
      <c r="G9391" s="28">
        <f>IFERROR(VLOOKUP(F9391,CARTON_LOOKUP!$A:$E,3,0),"")</f>
      </c>
      <c r="H9391" s="28">
        <f>IFERROR(VLOOKUP(F9391,CARTON_LOOKUP!$A:$E,4,0),"")</f>
      </c>
      <c r="I9391" s="28">
        <f>IFERROR(VLOOKUP(F9391,CARTON_LOOKUP!$A:$E,5,0),"")</f>
      </c>
      <c r="J9391" s="29">
        <f>IFERROR(VLOOKUP(F9391,CARTON_LOOKUP!$A:$E,2,0),"")</f>
      </c>
      <c r="K9391" s="29">
        <f>IFERROR(J9391*D9391,0)</f>
      </c>
      <c r="L9391" s="29">
        <f>IFERROR(E9391*C9391,0)</f>
      </c>
      <c r="M9391" s="29">
        <f>IFERROR((G9391*H9391*I9391/1000000)*D9391,0)</f>
      </c>
    </row>
    <row r="9392" spans="1:13" x14ac:dyDescent="0.25">
      <c r="A9392" s="16"/>
      <c r="E9392" s="27"/>
      <c r="F9392" t="s">
        <v>26</v>
      </c>
      <c r="G9392" s="28">
        <f>IFERROR(VLOOKUP(F9392,CARTON_LOOKUP!$A:$E,3,0),"")</f>
      </c>
      <c r="H9392" s="28">
        <f>IFERROR(VLOOKUP(F9392,CARTON_LOOKUP!$A:$E,4,0),"")</f>
      </c>
      <c r="I9392" s="28">
        <f>IFERROR(VLOOKUP(F9392,CARTON_LOOKUP!$A:$E,5,0),"")</f>
      </c>
      <c r="J9392" s="29">
        <f>IFERROR(VLOOKUP(F9392,CARTON_LOOKUP!$A:$E,2,0),"")</f>
      </c>
      <c r="K9392" s="29">
        <f>IFERROR(J9392*D9392,0)</f>
      </c>
      <c r="L9392" s="29">
        <f>IFERROR(E9392*C9392,0)</f>
      </c>
      <c r="M9392" s="29">
        <f>IFERROR((G9392*H9392*I9392/1000000)*D9392,0)</f>
      </c>
    </row>
    <row r="9393" spans="1:13" x14ac:dyDescent="0.25">
      <c r="A9393" s="16"/>
      <c r="E9393" s="27"/>
      <c r="F9393" t="s">
        <v>26</v>
      </c>
      <c r="G9393" s="28">
        <f>IFERROR(VLOOKUP(F9393,CARTON_LOOKUP!$A:$E,3,0),"")</f>
      </c>
      <c r="H9393" s="28">
        <f>IFERROR(VLOOKUP(F9393,CARTON_LOOKUP!$A:$E,4,0),"")</f>
      </c>
      <c r="I9393" s="28">
        <f>IFERROR(VLOOKUP(F9393,CARTON_LOOKUP!$A:$E,5,0),"")</f>
      </c>
      <c r="J9393" s="29">
        <f>IFERROR(VLOOKUP(F9393,CARTON_LOOKUP!$A:$E,2,0),"")</f>
      </c>
      <c r="K9393" s="29">
        <f>IFERROR(J9393*D9393,0)</f>
      </c>
      <c r="L9393" s="29">
        <f>IFERROR(E9393*C9393,0)</f>
      </c>
      <c r="M9393" s="29">
        <f>IFERROR((G9393*H9393*I9393/1000000)*D9393,0)</f>
      </c>
    </row>
    <row r="9394" spans="1:13" x14ac:dyDescent="0.25">
      <c r="A9394" s="16"/>
      <c r="E9394" s="27"/>
      <c r="F9394" t="s">
        <v>26</v>
      </c>
      <c r="G9394" s="28">
        <f>IFERROR(VLOOKUP(F9394,CARTON_LOOKUP!$A:$E,3,0),"")</f>
      </c>
      <c r="H9394" s="28">
        <f>IFERROR(VLOOKUP(F9394,CARTON_LOOKUP!$A:$E,4,0),"")</f>
      </c>
      <c r="I9394" s="28">
        <f>IFERROR(VLOOKUP(F9394,CARTON_LOOKUP!$A:$E,5,0),"")</f>
      </c>
      <c r="J9394" s="29">
        <f>IFERROR(VLOOKUP(F9394,CARTON_LOOKUP!$A:$E,2,0),"")</f>
      </c>
      <c r="K9394" s="29">
        <f>IFERROR(J9394*D9394,0)</f>
      </c>
      <c r="L9394" s="29">
        <f>IFERROR(E9394*C9394,0)</f>
      </c>
      <c r="M9394" s="29">
        <f>IFERROR((G9394*H9394*I9394/1000000)*D9394,0)</f>
      </c>
    </row>
    <row r="9395" spans="1:13" x14ac:dyDescent="0.25">
      <c r="A9395" s="16"/>
      <c r="E9395" s="27"/>
      <c r="F9395" t="s">
        <v>26</v>
      </c>
      <c r="G9395" s="28">
        <f>IFERROR(VLOOKUP(F9395,CARTON_LOOKUP!$A:$E,3,0),"")</f>
      </c>
      <c r="H9395" s="28">
        <f>IFERROR(VLOOKUP(F9395,CARTON_LOOKUP!$A:$E,4,0),"")</f>
      </c>
      <c r="I9395" s="28">
        <f>IFERROR(VLOOKUP(F9395,CARTON_LOOKUP!$A:$E,5,0),"")</f>
      </c>
      <c r="J9395" s="29">
        <f>IFERROR(VLOOKUP(F9395,CARTON_LOOKUP!$A:$E,2,0),"")</f>
      </c>
      <c r="K9395" s="29">
        <f>IFERROR(J9395*D9395,0)</f>
      </c>
      <c r="L9395" s="29">
        <f>IFERROR(E9395*C9395,0)</f>
      </c>
      <c r="M9395" s="29">
        <f>IFERROR((G9395*H9395*I9395/1000000)*D9395,0)</f>
      </c>
    </row>
    <row r="9396" spans="1:13" x14ac:dyDescent="0.25">
      <c r="A9396" s="16"/>
      <c r="E9396" s="27"/>
      <c r="F9396" t="s">
        <v>26</v>
      </c>
      <c r="G9396" s="28">
        <f>IFERROR(VLOOKUP(F9396,CARTON_LOOKUP!$A:$E,3,0),"")</f>
      </c>
      <c r="H9396" s="28">
        <f>IFERROR(VLOOKUP(F9396,CARTON_LOOKUP!$A:$E,4,0),"")</f>
      </c>
      <c r="I9396" s="28">
        <f>IFERROR(VLOOKUP(F9396,CARTON_LOOKUP!$A:$E,5,0),"")</f>
      </c>
      <c r="J9396" s="29">
        <f>IFERROR(VLOOKUP(F9396,CARTON_LOOKUP!$A:$E,2,0),"")</f>
      </c>
      <c r="K9396" s="29">
        <f>IFERROR(J9396*D9396,0)</f>
      </c>
      <c r="L9396" s="29">
        <f>IFERROR(E9396*C9396,0)</f>
      </c>
      <c r="M9396" s="29">
        <f>IFERROR((G9396*H9396*I9396/1000000)*D9396,0)</f>
      </c>
    </row>
    <row r="9397" spans="1:13" x14ac:dyDescent="0.25">
      <c r="A9397" s="16"/>
      <c r="E9397" s="27"/>
      <c r="F9397" t="s">
        <v>26</v>
      </c>
      <c r="G9397" s="28">
        <f>IFERROR(VLOOKUP(F9397,CARTON_LOOKUP!$A:$E,3,0),"")</f>
      </c>
      <c r="H9397" s="28">
        <f>IFERROR(VLOOKUP(F9397,CARTON_LOOKUP!$A:$E,4,0),"")</f>
      </c>
      <c r="I9397" s="28">
        <f>IFERROR(VLOOKUP(F9397,CARTON_LOOKUP!$A:$E,5,0),"")</f>
      </c>
      <c r="J9397" s="29">
        <f>IFERROR(VLOOKUP(F9397,CARTON_LOOKUP!$A:$E,2,0),"")</f>
      </c>
      <c r="K9397" s="29">
        <f>IFERROR(J9397*D9397,0)</f>
      </c>
      <c r="L9397" s="29">
        <f>IFERROR(E9397*C9397,0)</f>
      </c>
      <c r="M9397" s="29">
        <f>IFERROR((G9397*H9397*I9397/1000000)*D9397,0)</f>
      </c>
    </row>
    <row r="9398" spans="1:13" x14ac:dyDescent="0.25">
      <c r="A9398" s="16"/>
      <c r="E9398" s="27"/>
      <c r="F9398" t="s">
        <v>26</v>
      </c>
      <c r="G9398" s="28">
        <f>IFERROR(VLOOKUP(F9398,CARTON_LOOKUP!$A:$E,3,0),"")</f>
      </c>
      <c r="H9398" s="28">
        <f>IFERROR(VLOOKUP(F9398,CARTON_LOOKUP!$A:$E,4,0),"")</f>
      </c>
      <c r="I9398" s="28">
        <f>IFERROR(VLOOKUP(F9398,CARTON_LOOKUP!$A:$E,5,0),"")</f>
      </c>
      <c r="J9398" s="29">
        <f>IFERROR(VLOOKUP(F9398,CARTON_LOOKUP!$A:$E,2,0),"")</f>
      </c>
      <c r="K9398" s="29">
        <f>IFERROR(J9398*D9398,0)</f>
      </c>
      <c r="L9398" s="29">
        <f>IFERROR(E9398*C9398,0)</f>
      </c>
      <c r="M9398" s="29">
        <f>IFERROR((G9398*H9398*I9398/1000000)*D9398,0)</f>
      </c>
    </row>
    <row r="9399" spans="1:13" x14ac:dyDescent="0.25">
      <c r="A9399" s="16"/>
      <c r="E9399" s="27"/>
      <c r="F9399" t="s">
        <v>26</v>
      </c>
      <c r="G9399" s="28">
        <f>IFERROR(VLOOKUP(F9399,CARTON_LOOKUP!$A:$E,3,0),"")</f>
      </c>
      <c r="H9399" s="28">
        <f>IFERROR(VLOOKUP(F9399,CARTON_LOOKUP!$A:$E,4,0),"")</f>
      </c>
      <c r="I9399" s="28">
        <f>IFERROR(VLOOKUP(F9399,CARTON_LOOKUP!$A:$E,5,0),"")</f>
      </c>
      <c r="J9399" s="29">
        <f>IFERROR(VLOOKUP(F9399,CARTON_LOOKUP!$A:$E,2,0),"")</f>
      </c>
      <c r="K9399" s="29">
        <f>IFERROR(J9399*D9399,0)</f>
      </c>
      <c r="L9399" s="29">
        <f>IFERROR(E9399*C9399,0)</f>
      </c>
      <c r="M9399" s="29">
        <f>IFERROR((G9399*H9399*I9399/1000000)*D9399,0)</f>
      </c>
    </row>
    <row r="9400" spans="1:13" x14ac:dyDescent="0.25">
      <c r="A9400" s="16"/>
      <c r="E9400" s="27"/>
      <c r="F9400" t="s">
        <v>26</v>
      </c>
      <c r="G9400" s="28">
        <f>IFERROR(VLOOKUP(F9400,CARTON_LOOKUP!$A:$E,3,0),"")</f>
      </c>
      <c r="H9400" s="28">
        <f>IFERROR(VLOOKUP(F9400,CARTON_LOOKUP!$A:$E,4,0),"")</f>
      </c>
      <c r="I9400" s="28">
        <f>IFERROR(VLOOKUP(F9400,CARTON_LOOKUP!$A:$E,5,0),"")</f>
      </c>
      <c r="J9400" s="29">
        <f>IFERROR(VLOOKUP(F9400,CARTON_LOOKUP!$A:$E,2,0),"")</f>
      </c>
      <c r="K9400" s="29">
        <f>IFERROR(J9400*D9400,0)</f>
      </c>
      <c r="L9400" s="29">
        <f>IFERROR(E9400*C9400,0)</f>
      </c>
      <c r="M9400" s="29">
        <f>IFERROR((G9400*H9400*I9400/1000000)*D9400,0)</f>
      </c>
    </row>
    <row r="9401" spans="1:13" x14ac:dyDescent="0.25">
      <c r="A9401" s="16"/>
      <c r="E9401" s="27"/>
      <c r="F9401" t="s">
        <v>26</v>
      </c>
      <c r="G9401" s="28">
        <f>IFERROR(VLOOKUP(F9401,CARTON_LOOKUP!$A:$E,3,0),"")</f>
      </c>
      <c r="H9401" s="28">
        <f>IFERROR(VLOOKUP(F9401,CARTON_LOOKUP!$A:$E,4,0),"")</f>
      </c>
      <c r="I9401" s="28">
        <f>IFERROR(VLOOKUP(F9401,CARTON_LOOKUP!$A:$E,5,0),"")</f>
      </c>
      <c r="J9401" s="29">
        <f>IFERROR(VLOOKUP(F9401,CARTON_LOOKUP!$A:$E,2,0),"")</f>
      </c>
      <c r="K9401" s="29">
        <f>IFERROR(J9401*D9401,0)</f>
      </c>
      <c r="L9401" s="29">
        <f>IFERROR(E9401*C9401,0)</f>
      </c>
      <c r="M9401" s="29">
        <f>IFERROR((G9401*H9401*I9401/1000000)*D9401,0)</f>
      </c>
    </row>
    <row r="9402" spans="1:13" x14ac:dyDescent="0.25">
      <c r="A9402" s="16"/>
      <c r="E9402" s="27"/>
      <c r="F9402" t="s">
        <v>26</v>
      </c>
      <c r="G9402" s="28">
        <f>IFERROR(VLOOKUP(F9402,CARTON_LOOKUP!$A:$E,3,0),"")</f>
      </c>
      <c r="H9402" s="28">
        <f>IFERROR(VLOOKUP(F9402,CARTON_LOOKUP!$A:$E,4,0),"")</f>
      </c>
      <c r="I9402" s="28">
        <f>IFERROR(VLOOKUP(F9402,CARTON_LOOKUP!$A:$E,5,0),"")</f>
      </c>
      <c r="J9402" s="29">
        <f>IFERROR(VLOOKUP(F9402,CARTON_LOOKUP!$A:$E,2,0),"")</f>
      </c>
      <c r="K9402" s="29">
        <f>IFERROR(J9402*D9402,0)</f>
      </c>
      <c r="L9402" s="29">
        <f>IFERROR(E9402*C9402,0)</f>
      </c>
      <c r="M9402" s="29">
        <f>IFERROR((G9402*H9402*I9402/1000000)*D9402,0)</f>
      </c>
    </row>
    <row r="9403" spans="1:13" x14ac:dyDescent="0.25">
      <c r="A9403" s="16"/>
      <c r="E9403" s="27"/>
      <c r="F9403" t="s">
        <v>26</v>
      </c>
      <c r="G9403" s="28">
        <f>IFERROR(VLOOKUP(F9403,CARTON_LOOKUP!$A:$E,3,0),"")</f>
      </c>
      <c r="H9403" s="28">
        <f>IFERROR(VLOOKUP(F9403,CARTON_LOOKUP!$A:$E,4,0),"")</f>
      </c>
      <c r="I9403" s="28">
        <f>IFERROR(VLOOKUP(F9403,CARTON_LOOKUP!$A:$E,5,0),"")</f>
      </c>
      <c r="J9403" s="29">
        <f>IFERROR(VLOOKUP(F9403,CARTON_LOOKUP!$A:$E,2,0),"")</f>
      </c>
      <c r="K9403" s="29">
        <f>IFERROR(J9403*D9403,0)</f>
      </c>
      <c r="L9403" s="29">
        <f>IFERROR(E9403*C9403,0)</f>
      </c>
      <c r="M9403" s="29">
        <f>IFERROR((G9403*H9403*I9403/1000000)*D9403,0)</f>
      </c>
    </row>
    <row r="9404" spans="1:13" x14ac:dyDescent="0.25">
      <c r="A9404" s="16"/>
      <c r="E9404" s="27"/>
      <c r="F9404" t="s">
        <v>26</v>
      </c>
      <c r="G9404" s="28">
        <f>IFERROR(VLOOKUP(F9404,CARTON_LOOKUP!$A:$E,3,0),"")</f>
      </c>
      <c r="H9404" s="28">
        <f>IFERROR(VLOOKUP(F9404,CARTON_LOOKUP!$A:$E,4,0),"")</f>
      </c>
      <c r="I9404" s="28">
        <f>IFERROR(VLOOKUP(F9404,CARTON_LOOKUP!$A:$E,5,0),"")</f>
      </c>
      <c r="J9404" s="29">
        <f>IFERROR(VLOOKUP(F9404,CARTON_LOOKUP!$A:$E,2,0),"")</f>
      </c>
      <c r="K9404" s="29">
        <f>IFERROR(J9404*D9404,0)</f>
      </c>
      <c r="L9404" s="29">
        <f>IFERROR(E9404*C9404,0)</f>
      </c>
      <c r="M9404" s="29">
        <f>IFERROR((G9404*H9404*I9404/1000000)*D9404,0)</f>
      </c>
    </row>
    <row r="9405" spans="1:13" x14ac:dyDescent="0.25">
      <c r="A9405" s="16"/>
      <c r="E9405" s="27"/>
      <c r="F9405" t="s">
        <v>26</v>
      </c>
      <c r="G9405" s="28">
        <f>IFERROR(VLOOKUP(F9405,CARTON_LOOKUP!$A:$E,3,0),"")</f>
      </c>
      <c r="H9405" s="28">
        <f>IFERROR(VLOOKUP(F9405,CARTON_LOOKUP!$A:$E,4,0),"")</f>
      </c>
      <c r="I9405" s="28">
        <f>IFERROR(VLOOKUP(F9405,CARTON_LOOKUP!$A:$E,5,0),"")</f>
      </c>
      <c r="J9405" s="29">
        <f>IFERROR(VLOOKUP(F9405,CARTON_LOOKUP!$A:$E,2,0),"")</f>
      </c>
      <c r="K9405" s="29">
        <f>IFERROR(J9405*D9405,0)</f>
      </c>
      <c r="L9405" s="29">
        <f>IFERROR(E9405*C9405,0)</f>
      </c>
      <c r="M9405" s="29">
        <f>IFERROR((G9405*H9405*I9405/1000000)*D9405,0)</f>
      </c>
    </row>
    <row r="9406" spans="1:13" x14ac:dyDescent="0.25">
      <c r="A9406" s="16"/>
      <c r="E9406" s="27"/>
      <c r="F9406" t="s">
        <v>26</v>
      </c>
      <c r="G9406" s="28">
        <f>IFERROR(VLOOKUP(F9406,CARTON_LOOKUP!$A:$E,3,0),"")</f>
      </c>
      <c r="H9406" s="28">
        <f>IFERROR(VLOOKUP(F9406,CARTON_LOOKUP!$A:$E,4,0),"")</f>
      </c>
      <c r="I9406" s="28">
        <f>IFERROR(VLOOKUP(F9406,CARTON_LOOKUP!$A:$E,5,0),"")</f>
      </c>
      <c r="J9406" s="29">
        <f>IFERROR(VLOOKUP(F9406,CARTON_LOOKUP!$A:$E,2,0),"")</f>
      </c>
      <c r="K9406" s="29">
        <f>IFERROR(J9406*D9406,0)</f>
      </c>
      <c r="L9406" s="29">
        <f>IFERROR(E9406*C9406,0)</f>
      </c>
      <c r="M9406" s="29">
        <f>IFERROR((G9406*H9406*I9406/1000000)*D9406,0)</f>
      </c>
    </row>
    <row r="9407" spans="1:13" x14ac:dyDescent="0.25">
      <c r="A9407" s="16"/>
      <c r="E9407" s="27"/>
      <c r="F9407" t="s">
        <v>26</v>
      </c>
      <c r="G9407" s="28">
        <f>IFERROR(VLOOKUP(F9407,CARTON_LOOKUP!$A:$E,3,0),"")</f>
      </c>
      <c r="H9407" s="28">
        <f>IFERROR(VLOOKUP(F9407,CARTON_LOOKUP!$A:$E,4,0),"")</f>
      </c>
      <c r="I9407" s="28">
        <f>IFERROR(VLOOKUP(F9407,CARTON_LOOKUP!$A:$E,5,0),"")</f>
      </c>
      <c r="J9407" s="29">
        <f>IFERROR(VLOOKUP(F9407,CARTON_LOOKUP!$A:$E,2,0),"")</f>
      </c>
      <c r="K9407" s="29">
        <f>IFERROR(J9407*D9407,0)</f>
      </c>
      <c r="L9407" s="29">
        <f>IFERROR(E9407*C9407,0)</f>
      </c>
      <c r="M9407" s="29">
        <f>IFERROR((G9407*H9407*I9407/1000000)*D9407,0)</f>
      </c>
    </row>
    <row r="9408" spans="1:13" x14ac:dyDescent="0.25">
      <c r="A9408" s="16"/>
      <c r="E9408" s="27"/>
      <c r="F9408" t="s">
        <v>26</v>
      </c>
      <c r="G9408" s="28">
        <f>IFERROR(VLOOKUP(F9408,CARTON_LOOKUP!$A:$E,3,0),"")</f>
      </c>
      <c r="H9408" s="28">
        <f>IFERROR(VLOOKUP(F9408,CARTON_LOOKUP!$A:$E,4,0),"")</f>
      </c>
      <c r="I9408" s="28">
        <f>IFERROR(VLOOKUP(F9408,CARTON_LOOKUP!$A:$E,5,0),"")</f>
      </c>
      <c r="J9408" s="29">
        <f>IFERROR(VLOOKUP(F9408,CARTON_LOOKUP!$A:$E,2,0),"")</f>
      </c>
      <c r="K9408" s="29">
        <f>IFERROR(J9408*D9408,0)</f>
      </c>
      <c r="L9408" s="29">
        <f>IFERROR(E9408*C9408,0)</f>
      </c>
      <c r="M9408" s="29">
        <f>IFERROR((G9408*H9408*I9408/1000000)*D9408,0)</f>
      </c>
    </row>
    <row r="9409" spans="1:13" x14ac:dyDescent="0.25">
      <c r="A9409" s="16"/>
      <c r="E9409" s="27"/>
      <c r="F9409" t="s">
        <v>26</v>
      </c>
      <c r="G9409" s="28">
        <f>IFERROR(VLOOKUP(F9409,CARTON_LOOKUP!$A:$E,3,0),"")</f>
      </c>
      <c r="H9409" s="28">
        <f>IFERROR(VLOOKUP(F9409,CARTON_LOOKUP!$A:$E,4,0),"")</f>
      </c>
      <c r="I9409" s="28">
        <f>IFERROR(VLOOKUP(F9409,CARTON_LOOKUP!$A:$E,5,0),"")</f>
      </c>
      <c r="J9409" s="29">
        <f>IFERROR(VLOOKUP(F9409,CARTON_LOOKUP!$A:$E,2,0),"")</f>
      </c>
      <c r="K9409" s="29">
        <f>IFERROR(J9409*D9409,0)</f>
      </c>
      <c r="L9409" s="29">
        <f>IFERROR(E9409*C9409,0)</f>
      </c>
      <c r="M9409" s="29">
        <f>IFERROR((G9409*H9409*I9409/1000000)*D9409,0)</f>
      </c>
    </row>
    <row r="9410" spans="1:13" x14ac:dyDescent="0.25">
      <c r="A9410" s="16"/>
      <c r="E9410" s="27"/>
      <c r="F9410" t="s">
        <v>26</v>
      </c>
      <c r="G9410" s="28">
        <f>IFERROR(VLOOKUP(F9410,CARTON_LOOKUP!$A:$E,3,0),"")</f>
      </c>
      <c r="H9410" s="28">
        <f>IFERROR(VLOOKUP(F9410,CARTON_LOOKUP!$A:$E,4,0),"")</f>
      </c>
      <c r="I9410" s="28">
        <f>IFERROR(VLOOKUP(F9410,CARTON_LOOKUP!$A:$E,5,0),"")</f>
      </c>
      <c r="J9410" s="29">
        <f>IFERROR(VLOOKUP(F9410,CARTON_LOOKUP!$A:$E,2,0),"")</f>
      </c>
      <c r="K9410" s="29">
        <f>IFERROR(J9410*D9410,0)</f>
      </c>
      <c r="L9410" s="29">
        <f>IFERROR(E9410*C9410,0)</f>
      </c>
      <c r="M9410" s="29">
        <f>IFERROR((G9410*H9410*I9410/1000000)*D9410,0)</f>
      </c>
    </row>
    <row r="9411" spans="1:13" x14ac:dyDescent="0.25">
      <c r="A9411" s="16"/>
      <c r="E9411" s="27"/>
      <c r="F9411" t="s">
        <v>26</v>
      </c>
      <c r="G9411" s="28">
        <f>IFERROR(VLOOKUP(F9411,CARTON_LOOKUP!$A:$E,3,0),"")</f>
      </c>
      <c r="H9411" s="28">
        <f>IFERROR(VLOOKUP(F9411,CARTON_LOOKUP!$A:$E,4,0),"")</f>
      </c>
      <c r="I9411" s="28">
        <f>IFERROR(VLOOKUP(F9411,CARTON_LOOKUP!$A:$E,5,0),"")</f>
      </c>
      <c r="J9411" s="29">
        <f>IFERROR(VLOOKUP(F9411,CARTON_LOOKUP!$A:$E,2,0),"")</f>
      </c>
      <c r="K9411" s="29">
        <f>IFERROR(J9411*D9411,0)</f>
      </c>
      <c r="L9411" s="29">
        <f>IFERROR(E9411*C9411,0)</f>
      </c>
      <c r="M9411" s="29">
        <f>IFERROR((G9411*H9411*I9411/1000000)*D9411,0)</f>
      </c>
    </row>
    <row r="9412" spans="1:13" x14ac:dyDescent="0.25">
      <c r="A9412" s="16"/>
      <c r="E9412" s="27"/>
      <c r="F9412" t="s">
        <v>26</v>
      </c>
      <c r="G9412" s="28">
        <f>IFERROR(VLOOKUP(F9412,CARTON_LOOKUP!$A:$E,3,0),"")</f>
      </c>
      <c r="H9412" s="28">
        <f>IFERROR(VLOOKUP(F9412,CARTON_LOOKUP!$A:$E,4,0),"")</f>
      </c>
      <c r="I9412" s="28">
        <f>IFERROR(VLOOKUP(F9412,CARTON_LOOKUP!$A:$E,5,0),"")</f>
      </c>
      <c r="J9412" s="29">
        <f>IFERROR(VLOOKUP(F9412,CARTON_LOOKUP!$A:$E,2,0),"")</f>
      </c>
      <c r="K9412" s="29">
        <f>IFERROR(J9412*D9412,0)</f>
      </c>
      <c r="L9412" s="29">
        <f>IFERROR(E9412*C9412,0)</f>
      </c>
      <c r="M9412" s="29">
        <f>IFERROR((G9412*H9412*I9412/1000000)*D9412,0)</f>
      </c>
    </row>
    <row r="9413" spans="1:13" x14ac:dyDescent="0.25">
      <c r="A9413" s="16"/>
      <c r="E9413" s="27"/>
      <c r="F9413" t="s">
        <v>26</v>
      </c>
      <c r="G9413" s="28">
        <f>IFERROR(VLOOKUP(F9413,CARTON_LOOKUP!$A:$E,3,0),"")</f>
      </c>
      <c r="H9413" s="28">
        <f>IFERROR(VLOOKUP(F9413,CARTON_LOOKUP!$A:$E,4,0),"")</f>
      </c>
      <c r="I9413" s="28">
        <f>IFERROR(VLOOKUP(F9413,CARTON_LOOKUP!$A:$E,5,0),"")</f>
      </c>
      <c r="J9413" s="29">
        <f>IFERROR(VLOOKUP(F9413,CARTON_LOOKUP!$A:$E,2,0),"")</f>
      </c>
      <c r="K9413" s="29">
        <f>IFERROR(J9413*D9413,0)</f>
      </c>
      <c r="L9413" s="29">
        <f>IFERROR(E9413*C9413,0)</f>
      </c>
      <c r="M9413" s="29">
        <f>IFERROR((G9413*H9413*I9413/1000000)*D9413,0)</f>
      </c>
    </row>
    <row r="9414" spans="1:13" x14ac:dyDescent="0.25">
      <c r="A9414" s="16"/>
      <c r="E9414" s="27"/>
      <c r="F9414" t="s">
        <v>26</v>
      </c>
      <c r="G9414" s="28">
        <f>IFERROR(VLOOKUP(F9414,CARTON_LOOKUP!$A:$E,3,0),"")</f>
      </c>
      <c r="H9414" s="28">
        <f>IFERROR(VLOOKUP(F9414,CARTON_LOOKUP!$A:$E,4,0),"")</f>
      </c>
      <c r="I9414" s="28">
        <f>IFERROR(VLOOKUP(F9414,CARTON_LOOKUP!$A:$E,5,0),"")</f>
      </c>
      <c r="J9414" s="29">
        <f>IFERROR(VLOOKUP(F9414,CARTON_LOOKUP!$A:$E,2,0),"")</f>
      </c>
      <c r="K9414" s="29">
        <f>IFERROR(J9414*D9414,0)</f>
      </c>
      <c r="L9414" s="29">
        <f>IFERROR(E9414*C9414,0)</f>
      </c>
      <c r="M9414" s="29">
        <f>IFERROR((G9414*H9414*I9414/1000000)*D9414,0)</f>
      </c>
    </row>
    <row r="9415" spans="1:13" x14ac:dyDescent="0.25">
      <c r="A9415" s="16"/>
      <c r="E9415" s="27"/>
      <c r="F9415" t="s">
        <v>26</v>
      </c>
      <c r="G9415" s="28">
        <f>IFERROR(VLOOKUP(F9415,CARTON_LOOKUP!$A:$E,3,0),"")</f>
      </c>
      <c r="H9415" s="28">
        <f>IFERROR(VLOOKUP(F9415,CARTON_LOOKUP!$A:$E,4,0),"")</f>
      </c>
      <c r="I9415" s="28">
        <f>IFERROR(VLOOKUP(F9415,CARTON_LOOKUP!$A:$E,5,0),"")</f>
      </c>
      <c r="J9415" s="29">
        <f>IFERROR(VLOOKUP(F9415,CARTON_LOOKUP!$A:$E,2,0),"")</f>
      </c>
      <c r="K9415" s="29">
        <f>IFERROR(J9415*D9415,0)</f>
      </c>
      <c r="L9415" s="29">
        <f>IFERROR(E9415*C9415,0)</f>
      </c>
      <c r="M9415" s="29">
        <f>IFERROR((G9415*H9415*I9415/1000000)*D9415,0)</f>
      </c>
    </row>
    <row r="9416" spans="1:13" x14ac:dyDescent="0.25">
      <c r="A9416" s="16"/>
      <c r="E9416" s="27"/>
      <c r="F9416" t="s">
        <v>26</v>
      </c>
      <c r="G9416" s="28">
        <f>IFERROR(VLOOKUP(F9416,CARTON_LOOKUP!$A:$E,3,0),"")</f>
      </c>
      <c r="H9416" s="28">
        <f>IFERROR(VLOOKUP(F9416,CARTON_LOOKUP!$A:$E,4,0),"")</f>
      </c>
      <c r="I9416" s="28">
        <f>IFERROR(VLOOKUP(F9416,CARTON_LOOKUP!$A:$E,5,0),"")</f>
      </c>
      <c r="J9416" s="29">
        <f>IFERROR(VLOOKUP(F9416,CARTON_LOOKUP!$A:$E,2,0),"")</f>
      </c>
      <c r="K9416" s="29">
        <f>IFERROR(J9416*D9416,0)</f>
      </c>
      <c r="L9416" s="29">
        <f>IFERROR(E9416*C9416,0)</f>
      </c>
      <c r="M9416" s="29">
        <f>IFERROR((G9416*H9416*I9416/1000000)*D9416,0)</f>
      </c>
    </row>
    <row r="9417" spans="1:13" x14ac:dyDescent="0.25">
      <c r="A9417" s="16"/>
      <c r="E9417" s="27"/>
      <c r="F9417" t="s">
        <v>26</v>
      </c>
      <c r="G9417" s="28">
        <f>IFERROR(VLOOKUP(F9417,CARTON_LOOKUP!$A:$E,3,0),"")</f>
      </c>
      <c r="H9417" s="28">
        <f>IFERROR(VLOOKUP(F9417,CARTON_LOOKUP!$A:$E,4,0),"")</f>
      </c>
      <c r="I9417" s="28">
        <f>IFERROR(VLOOKUP(F9417,CARTON_LOOKUP!$A:$E,5,0),"")</f>
      </c>
      <c r="J9417" s="29">
        <f>IFERROR(VLOOKUP(F9417,CARTON_LOOKUP!$A:$E,2,0),"")</f>
      </c>
      <c r="K9417" s="29">
        <f>IFERROR(J9417*D9417,0)</f>
      </c>
      <c r="L9417" s="29">
        <f>IFERROR(E9417*C9417,0)</f>
      </c>
      <c r="M9417" s="29">
        <f>IFERROR((G9417*H9417*I9417/1000000)*D9417,0)</f>
      </c>
    </row>
    <row r="9418" spans="1:13" x14ac:dyDescent="0.25">
      <c r="A9418" s="16"/>
      <c r="E9418" s="27"/>
      <c r="F9418" t="s">
        <v>26</v>
      </c>
      <c r="G9418" s="28">
        <f>IFERROR(VLOOKUP(F9418,CARTON_LOOKUP!$A:$E,3,0),"")</f>
      </c>
      <c r="H9418" s="28">
        <f>IFERROR(VLOOKUP(F9418,CARTON_LOOKUP!$A:$E,4,0),"")</f>
      </c>
      <c r="I9418" s="28">
        <f>IFERROR(VLOOKUP(F9418,CARTON_LOOKUP!$A:$E,5,0),"")</f>
      </c>
      <c r="J9418" s="29">
        <f>IFERROR(VLOOKUP(F9418,CARTON_LOOKUP!$A:$E,2,0),"")</f>
      </c>
      <c r="K9418" s="29">
        <f>IFERROR(J9418*D9418,0)</f>
      </c>
      <c r="L9418" s="29">
        <f>IFERROR(E9418*C9418,0)</f>
      </c>
      <c r="M9418" s="29">
        <f>IFERROR((G9418*H9418*I9418/1000000)*D9418,0)</f>
      </c>
    </row>
    <row r="9419" spans="1:13" x14ac:dyDescent="0.25">
      <c r="A9419" s="16"/>
      <c r="E9419" s="27"/>
      <c r="F9419" t="s">
        <v>26</v>
      </c>
      <c r="G9419" s="28">
        <f>IFERROR(VLOOKUP(F9419,CARTON_LOOKUP!$A:$E,3,0),"")</f>
      </c>
      <c r="H9419" s="28">
        <f>IFERROR(VLOOKUP(F9419,CARTON_LOOKUP!$A:$E,4,0),"")</f>
      </c>
      <c r="I9419" s="28">
        <f>IFERROR(VLOOKUP(F9419,CARTON_LOOKUP!$A:$E,5,0),"")</f>
      </c>
      <c r="J9419" s="29">
        <f>IFERROR(VLOOKUP(F9419,CARTON_LOOKUP!$A:$E,2,0),"")</f>
      </c>
      <c r="K9419" s="29">
        <f>IFERROR(J9419*D9419,0)</f>
      </c>
      <c r="L9419" s="29">
        <f>IFERROR(E9419*C9419,0)</f>
      </c>
      <c r="M9419" s="29">
        <f>IFERROR((G9419*H9419*I9419/1000000)*D9419,0)</f>
      </c>
    </row>
    <row r="9420" spans="1:13" x14ac:dyDescent="0.25">
      <c r="A9420" s="16"/>
      <c r="E9420" s="27"/>
      <c r="F9420" t="s">
        <v>26</v>
      </c>
      <c r="G9420" s="28">
        <f>IFERROR(VLOOKUP(F9420,CARTON_LOOKUP!$A:$E,3,0),"")</f>
      </c>
      <c r="H9420" s="28">
        <f>IFERROR(VLOOKUP(F9420,CARTON_LOOKUP!$A:$E,4,0),"")</f>
      </c>
      <c r="I9420" s="28">
        <f>IFERROR(VLOOKUP(F9420,CARTON_LOOKUP!$A:$E,5,0),"")</f>
      </c>
      <c r="J9420" s="29">
        <f>IFERROR(VLOOKUP(F9420,CARTON_LOOKUP!$A:$E,2,0),"")</f>
      </c>
      <c r="K9420" s="29">
        <f>IFERROR(J9420*D9420,0)</f>
      </c>
      <c r="L9420" s="29">
        <f>IFERROR(E9420*C9420,0)</f>
      </c>
      <c r="M9420" s="29">
        <f>IFERROR((G9420*H9420*I9420/1000000)*D9420,0)</f>
      </c>
    </row>
    <row r="9421" spans="1:13" x14ac:dyDescent="0.25">
      <c r="A9421" s="16"/>
      <c r="E9421" s="27"/>
      <c r="F9421" t="s">
        <v>26</v>
      </c>
      <c r="G9421" s="28">
        <f>IFERROR(VLOOKUP(F9421,CARTON_LOOKUP!$A:$E,3,0),"")</f>
      </c>
      <c r="H9421" s="28">
        <f>IFERROR(VLOOKUP(F9421,CARTON_LOOKUP!$A:$E,4,0),"")</f>
      </c>
      <c r="I9421" s="28">
        <f>IFERROR(VLOOKUP(F9421,CARTON_LOOKUP!$A:$E,5,0),"")</f>
      </c>
      <c r="J9421" s="29">
        <f>IFERROR(VLOOKUP(F9421,CARTON_LOOKUP!$A:$E,2,0),"")</f>
      </c>
      <c r="K9421" s="29">
        <f>IFERROR(J9421*D9421,0)</f>
      </c>
      <c r="L9421" s="29">
        <f>IFERROR(E9421*C9421,0)</f>
      </c>
      <c r="M9421" s="29">
        <f>IFERROR((G9421*H9421*I9421/1000000)*D9421,0)</f>
      </c>
    </row>
    <row r="9422" spans="1:13" x14ac:dyDescent="0.25">
      <c r="A9422" s="16"/>
      <c r="E9422" s="27"/>
      <c r="F9422" t="s">
        <v>26</v>
      </c>
      <c r="G9422" s="28">
        <f>IFERROR(VLOOKUP(F9422,CARTON_LOOKUP!$A:$E,3,0),"")</f>
      </c>
      <c r="H9422" s="28">
        <f>IFERROR(VLOOKUP(F9422,CARTON_LOOKUP!$A:$E,4,0),"")</f>
      </c>
      <c r="I9422" s="28">
        <f>IFERROR(VLOOKUP(F9422,CARTON_LOOKUP!$A:$E,5,0),"")</f>
      </c>
      <c r="J9422" s="29">
        <f>IFERROR(VLOOKUP(F9422,CARTON_LOOKUP!$A:$E,2,0),"")</f>
      </c>
      <c r="K9422" s="29">
        <f>IFERROR(J9422*D9422,0)</f>
      </c>
      <c r="L9422" s="29">
        <f>IFERROR(E9422*C9422,0)</f>
      </c>
      <c r="M9422" s="29">
        <f>IFERROR((G9422*H9422*I9422/1000000)*D9422,0)</f>
      </c>
    </row>
    <row r="9423" spans="1:13" x14ac:dyDescent="0.25">
      <c r="A9423" s="16"/>
      <c r="E9423" s="27"/>
      <c r="F9423" t="s">
        <v>26</v>
      </c>
      <c r="G9423" s="28">
        <f>IFERROR(VLOOKUP(F9423,CARTON_LOOKUP!$A:$E,3,0),"")</f>
      </c>
      <c r="H9423" s="28">
        <f>IFERROR(VLOOKUP(F9423,CARTON_LOOKUP!$A:$E,4,0),"")</f>
      </c>
      <c r="I9423" s="28">
        <f>IFERROR(VLOOKUP(F9423,CARTON_LOOKUP!$A:$E,5,0),"")</f>
      </c>
      <c r="J9423" s="29">
        <f>IFERROR(VLOOKUP(F9423,CARTON_LOOKUP!$A:$E,2,0),"")</f>
      </c>
      <c r="K9423" s="29">
        <f>IFERROR(J9423*D9423,0)</f>
      </c>
      <c r="L9423" s="29">
        <f>IFERROR(E9423*C9423,0)</f>
      </c>
      <c r="M9423" s="29">
        <f>IFERROR((G9423*H9423*I9423/1000000)*D9423,0)</f>
      </c>
    </row>
    <row r="9424" spans="1:13" x14ac:dyDescent="0.25">
      <c r="A9424" s="16"/>
      <c r="E9424" s="27"/>
      <c r="F9424" t="s">
        <v>26</v>
      </c>
      <c r="G9424" s="28">
        <f>IFERROR(VLOOKUP(F9424,CARTON_LOOKUP!$A:$E,3,0),"")</f>
      </c>
      <c r="H9424" s="28">
        <f>IFERROR(VLOOKUP(F9424,CARTON_LOOKUP!$A:$E,4,0),"")</f>
      </c>
      <c r="I9424" s="28">
        <f>IFERROR(VLOOKUP(F9424,CARTON_LOOKUP!$A:$E,5,0),"")</f>
      </c>
      <c r="J9424" s="29">
        <f>IFERROR(VLOOKUP(F9424,CARTON_LOOKUP!$A:$E,2,0),"")</f>
      </c>
      <c r="K9424" s="29">
        <f>IFERROR(J9424*D9424,0)</f>
      </c>
      <c r="L9424" s="29">
        <f>IFERROR(E9424*C9424,0)</f>
      </c>
      <c r="M9424" s="29">
        <f>IFERROR((G9424*H9424*I9424/1000000)*D9424,0)</f>
      </c>
    </row>
    <row r="9425" spans="1:13" x14ac:dyDescent="0.25">
      <c r="A9425" s="16"/>
      <c r="E9425" s="27"/>
      <c r="F9425" t="s">
        <v>26</v>
      </c>
      <c r="G9425" s="28">
        <f>IFERROR(VLOOKUP(F9425,CARTON_LOOKUP!$A:$E,3,0),"")</f>
      </c>
      <c r="H9425" s="28">
        <f>IFERROR(VLOOKUP(F9425,CARTON_LOOKUP!$A:$E,4,0),"")</f>
      </c>
      <c r="I9425" s="28">
        <f>IFERROR(VLOOKUP(F9425,CARTON_LOOKUP!$A:$E,5,0),"")</f>
      </c>
      <c r="J9425" s="29">
        <f>IFERROR(VLOOKUP(F9425,CARTON_LOOKUP!$A:$E,2,0),"")</f>
      </c>
      <c r="K9425" s="29">
        <f>IFERROR(J9425*D9425,0)</f>
      </c>
      <c r="L9425" s="29">
        <f>IFERROR(E9425*C9425,0)</f>
      </c>
      <c r="M9425" s="29">
        <f>IFERROR((G9425*H9425*I9425/1000000)*D9425,0)</f>
      </c>
    </row>
    <row r="9426" spans="1:13" x14ac:dyDescent="0.25">
      <c r="A9426" s="16"/>
      <c r="E9426" s="27"/>
      <c r="F9426" t="s">
        <v>26</v>
      </c>
      <c r="G9426" s="28">
        <f>IFERROR(VLOOKUP(F9426,CARTON_LOOKUP!$A:$E,3,0),"")</f>
      </c>
      <c r="H9426" s="28">
        <f>IFERROR(VLOOKUP(F9426,CARTON_LOOKUP!$A:$E,4,0),"")</f>
      </c>
      <c r="I9426" s="28">
        <f>IFERROR(VLOOKUP(F9426,CARTON_LOOKUP!$A:$E,5,0),"")</f>
      </c>
      <c r="J9426" s="29">
        <f>IFERROR(VLOOKUP(F9426,CARTON_LOOKUP!$A:$E,2,0),"")</f>
      </c>
      <c r="K9426" s="29">
        <f>IFERROR(J9426*D9426,0)</f>
      </c>
      <c r="L9426" s="29">
        <f>IFERROR(E9426*C9426,0)</f>
      </c>
      <c r="M9426" s="29">
        <f>IFERROR((G9426*H9426*I9426/1000000)*D9426,0)</f>
      </c>
    </row>
    <row r="9427" spans="1:13" x14ac:dyDescent="0.25">
      <c r="A9427" s="16"/>
      <c r="E9427" s="27"/>
      <c r="F9427" t="s">
        <v>26</v>
      </c>
      <c r="G9427" s="28">
        <f>IFERROR(VLOOKUP(F9427,CARTON_LOOKUP!$A:$E,3,0),"")</f>
      </c>
      <c r="H9427" s="28">
        <f>IFERROR(VLOOKUP(F9427,CARTON_LOOKUP!$A:$E,4,0),"")</f>
      </c>
      <c r="I9427" s="28">
        <f>IFERROR(VLOOKUP(F9427,CARTON_LOOKUP!$A:$E,5,0),"")</f>
      </c>
      <c r="J9427" s="29">
        <f>IFERROR(VLOOKUP(F9427,CARTON_LOOKUP!$A:$E,2,0),"")</f>
      </c>
      <c r="K9427" s="29">
        <f>IFERROR(J9427*D9427,0)</f>
      </c>
      <c r="L9427" s="29">
        <f>IFERROR(E9427*C9427,0)</f>
      </c>
      <c r="M9427" s="29">
        <f>IFERROR((G9427*H9427*I9427/1000000)*D9427,0)</f>
      </c>
    </row>
    <row r="9428" spans="1:13" x14ac:dyDescent="0.25">
      <c r="A9428" s="16"/>
      <c r="E9428" s="27"/>
      <c r="F9428" t="s">
        <v>26</v>
      </c>
      <c r="G9428" s="28">
        <f>IFERROR(VLOOKUP(F9428,CARTON_LOOKUP!$A:$E,3,0),"")</f>
      </c>
      <c r="H9428" s="28">
        <f>IFERROR(VLOOKUP(F9428,CARTON_LOOKUP!$A:$E,4,0),"")</f>
      </c>
      <c r="I9428" s="28">
        <f>IFERROR(VLOOKUP(F9428,CARTON_LOOKUP!$A:$E,5,0),"")</f>
      </c>
      <c r="J9428" s="29">
        <f>IFERROR(VLOOKUP(F9428,CARTON_LOOKUP!$A:$E,2,0),"")</f>
      </c>
      <c r="K9428" s="29">
        <f>IFERROR(J9428*D9428,0)</f>
      </c>
      <c r="L9428" s="29">
        <f>IFERROR(E9428*C9428,0)</f>
      </c>
      <c r="M9428" s="29">
        <f>IFERROR((G9428*H9428*I9428/1000000)*D9428,0)</f>
      </c>
    </row>
    <row r="9429" spans="1:13" x14ac:dyDescent="0.25">
      <c r="A9429" s="16"/>
      <c r="E9429" s="27"/>
      <c r="F9429" t="s">
        <v>26</v>
      </c>
      <c r="G9429" s="28">
        <f>IFERROR(VLOOKUP(F9429,CARTON_LOOKUP!$A:$E,3,0),"")</f>
      </c>
      <c r="H9429" s="28">
        <f>IFERROR(VLOOKUP(F9429,CARTON_LOOKUP!$A:$E,4,0),"")</f>
      </c>
      <c r="I9429" s="28">
        <f>IFERROR(VLOOKUP(F9429,CARTON_LOOKUP!$A:$E,5,0),"")</f>
      </c>
      <c r="J9429" s="29">
        <f>IFERROR(VLOOKUP(F9429,CARTON_LOOKUP!$A:$E,2,0),"")</f>
      </c>
      <c r="K9429" s="29">
        <f>IFERROR(J9429*D9429,0)</f>
      </c>
      <c r="L9429" s="29">
        <f>IFERROR(E9429*C9429,0)</f>
      </c>
      <c r="M9429" s="29">
        <f>IFERROR((G9429*H9429*I9429/1000000)*D9429,0)</f>
      </c>
    </row>
    <row r="9430" spans="1:13" x14ac:dyDescent="0.25">
      <c r="A9430" s="16"/>
      <c r="E9430" s="27"/>
      <c r="F9430" t="s">
        <v>26</v>
      </c>
      <c r="G9430" s="28">
        <f>IFERROR(VLOOKUP(F9430,CARTON_LOOKUP!$A:$E,3,0),"")</f>
      </c>
      <c r="H9430" s="28">
        <f>IFERROR(VLOOKUP(F9430,CARTON_LOOKUP!$A:$E,4,0),"")</f>
      </c>
      <c r="I9430" s="28">
        <f>IFERROR(VLOOKUP(F9430,CARTON_LOOKUP!$A:$E,5,0),"")</f>
      </c>
      <c r="J9430" s="29">
        <f>IFERROR(VLOOKUP(F9430,CARTON_LOOKUP!$A:$E,2,0),"")</f>
      </c>
      <c r="K9430" s="29">
        <f>IFERROR(J9430*D9430,0)</f>
      </c>
      <c r="L9430" s="29">
        <f>IFERROR(E9430*C9430,0)</f>
      </c>
      <c r="M9430" s="29">
        <f>IFERROR((G9430*H9430*I9430/1000000)*D9430,0)</f>
      </c>
    </row>
    <row r="9431" spans="1:13" x14ac:dyDescent="0.25">
      <c r="A9431" s="16"/>
      <c r="E9431" s="27"/>
      <c r="F9431" t="s">
        <v>26</v>
      </c>
      <c r="G9431" s="28">
        <f>IFERROR(VLOOKUP(F9431,CARTON_LOOKUP!$A:$E,3,0),"")</f>
      </c>
      <c r="H9431" s="28">
        <f>IFERROR(VLOOKUP(F9431,CARTON_LOOKUP!$A:$E,4,0),"")</f>
      </c>
      <c r="I9431" s="28">
        <f>IFERROR(VLOOKUP(F9431,CARTON_LOOKUP!$A:$E,5,0),"")</f>
      </c>
      <c r="J9431" s="29">
        <f>IFERROR(VLOOKUP(F9431,CARTON_LOOKUP!$A:$E,2,0),"")</f>
      </c>
      <c r="K9431" s="29">
        <f>IFERROR(J9431*D9431,0)</f>
      </c>
      <c r="L9431" s="29">
        <f>IFERROR(E9431*C9431,0)</f>
      </c>
      <c r="M9431" s="29">
        <f>IFERROR((G9431*H9431*I9431/1000000)*D9431,0)</f>
      </c>
    </row>
    <row r="9432" spans="1:13" x14ac:dyDescent="0.25">
      <c r="A9432" s="16"/>
      <c r="E9432" s="27"/>
      <c r="F9432" t="s">
        <v>26</v>
      </c>
      <c r="G9432" s="28">
        <f>IFERROR(VLOOKUP(F9432,CARTON_LOOKUP!$A:$E,3,0),"")</f>
      </c>
      <c r="H9432" s="28">
        <f>IFERROR(VLOOKUP(F9432,CARTON_LOOKUP!$A:$E,4,0),"")</f>
      </c>
      <c r="I9432" s="28">
        <f>IFERROR(VLOOKUP(F9432,CARTON_LOOKUP!$A:$E,5,0),"")</f>
      </c>
      <c r="J9432" s="29">
        <f>IFERROR(VLOOKUP(F9432,CARTON_LOOKUP!$A:$E,2,0),"")</f>
      </c>
      <c r="K9432" s="29">
        <f>IFERROR(J9432*D9432,0)</f>
      </c>
      <c r="L9432" s="29">
        <f>IFERROR(E9432*C9432,0)</f>
      </c>
      <c r="M9432" s="29">
        <f>IFERROR((G9432*H9432*I9432/1000000)*D9432,0)</f>
      </c>
    </row>
    <row r="9433" spans="1:13" x14ac:dyDescent="0.25">
      <c r="A9433" s="16"/>
      <c r="E9433" s="27"/>
      <c r="F9433" t="s">
        <v>26</v>
      </c>
      <c r="G9433" s="28">
        <f>IFERROR(VLOOKUP(F9433,CARTON_LOOKUP!$A:$E,3,0),"")</f>
      </c>
      <c r="H9433" s="28">
        <f>IFERROR(VLOOKUP(F9433,CARTON_LOOKUP!$A:$E,4,0),"")</f>
      </c>
      <c r="I9433" s="28">
        <f>IFERROR(VLOOKUP(F9433,CARTON_LOOKUP!$A:$E,5,0),"")</f>
      </c>
      <c r="J9433" s="29">
        <f>IFERROR(VLOOKUP(F9433,CARTON_LOOKUP!$A:$E,2,0),"")</f>
      </c>
      <c r="K9433" s="29">
        <f>IFERROR(J9433*D9433,0)</f>
      </c>
      <c r="L9433" s="29">
        <f>IFERROR(E9433*C9433,0)</f>
      </c>
      <c r="M9433" s="29">
        <f>IFERROR((G9433*H9433*I9433/1000000)*D9433,0)</f>
      </c>
    </row>
    <row r="9434" spans="1:13" x14ac:dyDescent="0.25">
      <c r="A9434" s="16"/>
      <c r="E9434" s="27"/>
      <c r="F9434" t="s">
        <v>26</v>
      </c>
      <c r="G9434" s="28">
        <f>IFERROR(VLOOKUP(F9434,CARTON_LOOKUP!$A:$E,3,0),"")</f>
      </c>
      <c r="H9434" s="28">
        <f>IFERROR(VLOOKUP(F9434,CARTON_LOOKUP!$A:$E,4,0),"")</f>
      </c>
      <c r="I9434" s="28">
        <f>IFERROR(VLOOKUP(F9434,CARTON_LOOKUP!$A:$E,5,0),"")</f>
      </c>
      <c r="J9434" s="29">
        <f>IFERROR(VLOOKUP(F9434,CARTON_LOOKUP!$A:$E,2,0),"")</f>
      </c>
      <c r="K9434" s="29">
        <f>IFERROR(J9434*D9434,0)</f>
      </c>
      <c r="L9434" s="29">
        <f>IFERROR(E9434*C9434,0)</f>
      </c>
      <c r="M9434" s="29">
        <f>IFERROR((G9434*H9434*I9434/1000000)*D9434,0)</f>
      </c>
    </row>
    <row r="9435" spans="1:13" x14ac:dyDescent="0.25">
      <c r="A9435" s="16"/>
      <c r="E9435" s="27"/>
      <c r="F9435" t="s">
        <v>26</v>
      </c>
      <c r="G9435" s="28">
        <f>IFERROR(VLOOKUP(F9435,CARTON_LOOKUP!$A:$E,3,0),"")</f>
      </c>
      <c r="H9435" s="28">
        <f>IFERROR(VLOOKUP(F9435,CARTON_LOOKUP!$A:$E,4,0),"")</f>
      </c>
      <c r="I9435" s="28">
        <f>IFERROR(VLOOKUP(F9435,CARTON_LOOKUP!$A:$E,5,0),"")</f>
      </c>
      <c r="J9435" s="29">
        <f>IFERROR(VLOOKUP(F9435,CARTON_LOOKUP!$A:$E,2,0),"")</f>
      </c>
      <c r="K9435" s="29">
        <f>IFERROR(J9435*D9435,0)</f>
      </c>
      <c r="L9435" s="29">
        <f>IFERROR(E9435*C9435,0)</f>
      </c>
      <c r="M9435" s="29">
        <f>IFERROR((G9435*H9435*I9435/1000000)*D9435,0)</f>
      </c>
    </row>
    <row r="9436" spans="1:13" x14ac:dyDescent="0.25">
      <c r="A9436" s="16"/>
      <c r="E9436" s="27"/>
      <c r="F9436" t="s">
        <v>26</v>
      </c>
      <c r="G9436" s="28">
        <f>IFERROR(VLOOKUP(F9436,CARTON_LOOKUP!$A:$E,3,0),"")</f>
      </c>
      <c r="H9436" s="28">
        <f>IFERROR(VLOOKUP(F9436,CARTON_LOOKUP!$A:$E,4,0),"")</f>
      </c>
      <c r="I9436" s="28">
        <f>IFERROR(VLOOKUP(F9436,CARTON_LOOKUP!$A:$E,5,0),"")</f>
      </c>
      <c r="J9436" s="29">
        <f>IFERROR(VLOOKUP(F9436,CARTON_LOOKUP!$A:$E,2,0),"")</f>
      </c>
      <c r="K9436" s="29">
        <f>IFERROR(J9436*D9436,0)</f>
      </c>
      <c r="L9436" s="29">
        <f>IFERROR(E9436*C9436,0)</f>
      </c>
      <c r="M9436" s="29">
        <f>IFERROR((G9436*H9436*I9436/1000000)*D9436,0)</f>
      </c>
    </row>
    <row r="9437" spans="1:13" x14ac:dyDescent="0.25">
      <c r="A9437" s="16"/>
      <c r="E9437" s="27"/>
      <c r="F9437" t="s">
        <v>26</v>
      </c>
      <c r="G9437" s="28">
        <f>IFERROR(VLOOKUP(F9437,CARTON_LOOKUP!$A:$E,3,0),"")</f>
      </c>
      <c r="H9437" s="28">
        <f>IFERROR(VLOOKUP(F9437,CARTON_LOOKUP!$A:$E,4,0),"")</f>
      </c>
      <c r="I9437" s="28">
        <f>IFERROR(VLOOKUP(F9437,CARTON_LOOKUP!$A:$E,5,0),"")</f>
      </c>
      <c r="J9437" s="29">
        <f>IFERROR(VLOOKUP(F9437,CARTON_LOOKUP!$A:$E,2,0),"")</f>
      </c>
      <c r="K9437" s="29">
        <f>IFERROR(J9437*D9437,0)</f>
      </c>
      <c r="L9437" s="29">
        <f>IFERROR(E9437*C9437,0)</f>
      </c>
      <c r="M9437" s="29">
        <f>IFERROR((G9437*H9437*I9437/1000000)*D9437,0)</f>
      </c>
    </row>
    <row r="9438" spans="1:13" x14ac:dyDescent="0.25">
      <c r="A9438" s="16"/>
      <c r="E9438" s="27"/>
      <c r="F9438" t="s">
        <v>26</v>
      </c>
      <c r="G9438" s="28">
        <f>IFERROR(VLOOKUP(F9438,CARTON_LOOKUP!$A:$E,3,0),"")</f>
      </c>
      <c r="H9438" s="28">
        <f>IFERROR(VLOOKUP(F9438,CARTON_LOOKUP!$A:$E,4,0),"")</f>
      </c>
      <c r="I9438" s="28">
        <f>IFERROR(VLOOKUP(F9438,CARTON_LOOKUP!$A:$E,5,0),"")</f>
      </c>
      <c r="J9438" s="29">
        <f>IFERROR(VLOOKUP(F9438,CARTON_LOOKUP!$A:$E,2,0),"")</f>
      </c>
      <c r="K9438" s="29">
        <f>IFERROR(J9438*D9438,0)</f>
      </c>
      <c r="L9438" s="29">
        <f>IFERROR(E9438*C9438,0)</f>
      </c>
      <c r="M9438" s="29">
        <f>IFERROR((G9438*H9438*I9438/1000000)*D9438,0)</f>
      </c>
    </row>
    <row r="9439" spans="1:13" x14ac:dyDescent="0.25">
      <c r="A9439" s="16"/>
      <c r="E9439" s="27"/>
      <c r="F9439" t="s">
        <v>26</v>
      </c>
      <c r="G9439" s="28">
        <f>IFERROR(VLOOKUP(F9439,CARTON_LOOKUP!$A:$E,3,0),"")</f>
      </c>
      <c r="H9439" s="28">
        <f>IFERROR(VLOOKUP(F9439,CARTON_LOOKUP!$A:$E,4,0),"")</f>
      </c>
      <c r="I9439" s="28">
        <f>IFERROR(VLOOKUP(F9439,CARTON_LOOKUP!$A:$E,5,0),"")</f>
      </c>
      <c r="J9439" s="29">
        <f>IFERROR(VLOOKUP(F9439,CARTON_LOOKUP!$A:$E,2,0),"")</f>
      </c>
      <c r="K9439" s="29">
        <f>IFERROR(J9439*D9439,0)</f>
      </c>
      <c r="L9439" s="29">
        <f>IFERROR(E9439*C9439,0)</f>
      </c>
      <c r="M9439" s="29">
        <f>IFERROR((G9439*H9439*I9439/1000000)*D9439,0)</f>
      </c>
    </row>
    <row r="9440" spans="1:13" x14ac:dyDescent="0.25">
      <c r="A9440" s="16"/>
      <c r="E9440" s="27"/>
      <c r="F9440" t="s">
        <v>26</v>
      </c>
      <c r="G9440" s="28">
        <f>IFERROR(VLOOKUP(F9440,CARTON_LOOKUP!$A:$E,3,0),"")</f>
      </c>
      <c r="H9440" s="28">
        <f>IFERROR(VLOOKUP(F9440,CARTON_LOOKUP!$A:$E,4,0),"")</f>
      </c>
      <c r="I9440" s="28">
        <f>IFERROR(VLOOKUP(F9440,CARTON_LOOKUP!$A:$E,5,0),"")</f>
      </c>
      <c r="J9440" s="29">
        <f>IFERROR(VLOOKUP(F9440,CARTON_LOOKUP!$A:$E,2,0),"")</f>
      </c>
      <c r="K9440" s="29">
        <f>IFERROR(J9440*D9440,0)</f>
      </c>
      <c r="L9440" s="29">
        <f>IFERROR(E9440*C9440,0)</f>
      </c>
      <c r="M9440" s="29">
        <f>IFERROR((G9440*H9440*I9440/1000000)*D9440,0)</f>
      </c>
    </row>
    <row r="9441" spans="1:13" x14ac:dyDescent="0.25">
      <c r="A9441" s="16"/>
      <c r="E9441" s="27"/>
      <c r="F9441" t="s">
        <v>26</v>
      </c>
      <c r="G9441" s="28">
        <f>IFERROR(VLOOKUP(F9441,CARTON_LOOKUP!$A:$E,3,0),"")</f>
      </c>
      <c r="H9441" s="28">
        <f>IFERROR(VLOOKUP(F9441,CARTON_LOOKUP!$A:$E,4,0),"")</f>
      </c>
      <c r="I9441" s="28">
        <f>IFERROR(VLOOKUP(F9441,CARTON_LOOKUP!$A:$E,5,0),"")</f>
      </c>
      <c r="J9441" s="29">
        <f>IFERROR(VLOOKUP(F9441,CARTON_LOOKUP!$A:$E,2,0),"")</f>
      </c>
      <c r="K9441" s="29">
        <f>IFERROR(J9441*D9441,0)</f>
      </c>
      <c r="L9441" s="29">
        <f>IFERROR(E9441*C9441,0)</f>
      </c>
      <c r="M9441" s="29">
        <f>IFERROR((G9441*H9441*I9441/1000000)*D9441,0)</f>
      </c>
    </row>
    <row r="9442" spans="1:13" x14ac:dyDescent="0.25">
      <c r="A9442" s="16"/>
      <c r="E9442" s="27"/>
      <c r="F9442" t="s">
        <v>26</v>
      </c>
      <c r="G9442" s="28">
        <f>IFERROR(VLOOKUP(F9442,CARTON_LOOKUP!$A:$E,3,0),"")</f>
      </c>
      <c r="H9442" s="28">
        <f>IFERROR(VLOOKUP(F9442,CARTON_LOOKUP!$A:$E,4,0),"")</f>
      </c>
      <c r="I9442" s="28">
        <f>IFERROR(VLOOKUP(F9442,CARTON_LOOKUP!$A:$E,5,0),"")</f>
      </c>
      <c r="J9442" s="29">
        <f>IFERROR(VLOOKUP(F9442,CARTON_LOOKUP!$A:$E,2,0),"")</f>
      </c>
      <c r="K9442" s="29">
        <f>IFERROR(J9442*D9442,0)</f>
      </c>
      <c r="L9442" s="29">
        <f>IFERROR(E9442*C9442,0)</f>
      </c>
      <c r="M9442" s="29">
        <f>IFERROR((G9442*H9442*I9442/1000000)*D9442,0)</f>
      </c>
    </row>
    <row r="9443" spans="1:13" x14ac:dyDescent="0.25">
      <c r="A9443" s="16"/>
      <c r="E9443" s="27"/>
      <c r="F9443" t="s">
        <v>26</v>
      </c>
      <c r="G9443" s="28">
        <f>IFERROR(VLOOKUP(F9443,CARTON_LOOKUP!$A:$E,3,0),"")</f>
      </c>
      <c r="H9443" s="28">
        <f>IFERROR(VLOOKUP(F9443,CARTON_LOOKUP!$A:$E,4,0),"")</f>
      </c>
      <c r="I9443" s="28">
        <f>IFERROR(VLOOKUP(F9443,CARTON_LOOKUP!$A:$E,5,0),"")</f>
      </c>
      <c r="J9443" s="29">
        <f>IFERROR(VLOOKUP(F9443,CARTON_LOOKUP!$A:$E,2,0),"")</f>
      </c>
      <c r="K9443" s="29">
        <f>IFERROR(J9443*D9443,0)</f>
      </c>
      <c r="L9443" s="29">
        <f>IFERROR(E9443*C9443,0)</f>
      </c>
      <c r="M9443" s="29">
        <f>IFERROR((G9443*H9443*I9443/1000000)*D9443,0)</f>
      </c>
    </row>
    <row r="9444" spans="1:13" x14ac:dyDescent="0.25">
      <c r="A9444" s="16"/>
      <c r="E9444" s="27"/>
      <c r="F9444" t="s">
        <v>26</v>
      </c>
      <c r="G9444" s="28">
        <f>IFERROR(VLOOKUP(F9444,CARTON_LOOKUP!$A:$E,3,0),"")</f>
      </c>
      <c r="H9444" s="28">
        <f>IFERROR(VLOOKUP(F9444,CARTON_LOOKUP!$A:$E,4,0),"")</f>
      </c>
      <c r="I9444" s="28">
        <f>IFERROR(VLOOKUP(F9444,CARTON_LOOKUP!$A:$E,5,0),"")</f>
      </c>
      <c r="J9444" s="29">
        <f>IFERROR(VLOOKUP(F9444,CARTON_LOOKUP!$A:$E,2,0),"")</f>
      </c>
      <c r="K9444" s="29">
        <f>IFERROR(J9444*D9444,0)</f>
      </c>
      <c r="L9444" s="29">
        <f>IFERROR(E9444*C9444,0)</f>
      </c>
      <c r="M9444" s="29">
        <f>IFERROR((G9444*H9444*I9444/1000000)*D9444,0)</f>
      </c>
    </row>
    <row r="9445" spans="1:13" x14ac:dyDescent="0.25">
      <c r="A9445" s="16"/>
      <c r="E9445" s="27"/>
      <c r="F9445" t="s">
        <v>26</v>
      </c>
      <c r="G9445" s="28">
        <f>IFERROR(VLOOKUP(F9445,CARTON_LOOKUP!$A:$E,3,0),"")</f>
      </c>
      <c r="H9445" s="28">
        <f>IFERROR(VLOOKUP(F9445,CARTON_LOOKUP!$A:$E,4,0),"")</f>
      </c>
      <c r="I9445" s="28">
        <f>IFERROR(VLOOKUP(F9445,CARTON_LOOKUP!$A:$E,5,0),"")</f>
      </c>
      <c r="J9445" s="29">
        <f>IFERROR(VLOOKUP(F9445,CARTON_LOOKUP!$A:$E,2,0),"")</f>
      </c>
      <c r="K9445" s="29">
        <f>IFERROR(J9445*D9445,0)</f>
      </c>
      <c r="L9445" s="29">
        <f>IFERROR(E9445*C9445,0)</f>
      </c>
      <c r="M9445" s="29">
        <f>IFERROR((G9445*H9445*I9445/1000000)*D9445,0)</f>
      </c>
    </row>
    <row r="9446" spans="1:13" x14ac:dyDescent="0.25">
      <c r="A9446" s="16"/>
      <c r="E9446" s="27"/>
      <c r="F9446" t="s">
        <v>26</v>
      </c>
      <c r="G9446" s="28">
        <f>IFERROR(VLOOKUP(F9446,CARTON_LOOKUP!$A:$E,3,0),"")</f>
      </c>
      <c r="H9446" s="28">
        <f>IFERROR(VLOOKUP(F9446,CARTON_LOOKUP!$A:$E,4,0),"")</f>
      </c>
      <c r="I9446" s="28">
        <f>IFERROR(VLOOKUP(F9446,CARTON_LOOKUP!$A:$E,5,0),"")</f>
      </c>
      <c r="J9446" s="29">
        <f>IFERROR(VLOOKUP(F9446,CARTON_LOOKUP!$A:$E,2,0),"")</f>
      </c>
      <c r="K9446" s="29">
        <f>IFERROR(J9446*D9446,0)</f>
      </c>
      <c r="L9446" s="29">
        <f>IFERROR(E9446*C9446,0)</f>
      </c>
      <c r="M9446" s="29">
        <f>IFERROR((G9446*H9446*I9446/1000000)*D9446,0)</f>
      </c>
    </row>
    <row r="9447" spans="1:13" x14ac:dyDescent="0.25">
      <c r="A9447" s="16"/>
      <c r="E9447" s="27"/>
      <c r="F9447" t="s">
        <v>26</v>
      </c>
      <c r="G9447" s="28">
        <f>IFERROR(VLOOKUP(F9447,CARTON_LOOKUP!$A:$E,3,0),"")</f>
      </c>
      <c r="H9447" s="28">
        <f>IFERROR(VLOOKUP(F9447,CARTON_LOOKUP!$A:$E,4,0),"")</f>
      </c>
      <c r="I9447" s="28">
        <f>IFERROR(VLOOKUP(F9447,CARTON_LOOKUP!$A:$E,5,0),"")</f>
      </c>
      <c r="J9447" s="29">
        <f>IFERROR(VLOOKUP(F9447,CARTON_LOOKUP!$A:$E,2,0),"")</f>
      </c>
      <c r="K9447" s="29">
        <f>IFERROR(J9447*D9447,0)</f>
      </c>
      <c r="L9447" s="29">
        <f>IFERROR(E9447*C9447,0)</f>
      </c>
      <c r="M9447" s="29">
        <f>IFERROR((G9447*H9447*I9447/1000000)*D9447,0)</f>
      </c>
    </row>
    <row r="9448" spans="1:13" x14ac:dyDescent="0.25">
      <c r="A9448" s="16"/>
      <c r="E9448" s="27"/>
      <c r="F9448" t="s">
        <v>26</v>
      </c>
      <c r="G9448" s="28">
        <f>IFERROR(VLOOKUP(F9448,CARTON_LOOKUP!$A:$E,3,0),"")</f>
      </c>
      <c r="H9448" s="28">
        <f>IFERROR(VLOOKUP(F9448,CARTON_LOOKUP!$A:$E,4,0),"")</f>
      </c>
      <c r="I9448" s="28">
        <f>IFERROR(VLOOKUP(F9448,CARTON_LOOKUP!$A:$E,5,0),"")</f>
      </c>
      <c r="J9448" s="29">
        <f>IFERROR(VLOOKUP(F9448,CARTON_LOOKUP!$A:$E,2,0),"")</f>
      </c>
      <c r="K9448" s="29">
        <f>IFERROR(J9448*D9448,0)</f>
      </c>
      <c r="L9448" s="29">
        <f>IFERROR(E9448*C9448,0)</f>
      </c>
      <c r="M9448" s="29">
        <f>IFERROR((G9448*H9448*I9448/1000000)*D9448,0)</f>
      </c>
    </row>
    <row r="9449" spans="1:13" x14ac:dyDescent="0.25">
      <c r="A9449" s="16"/>
      <c r="E9449" s="27"/>
      <c r="F9449" t="s">
        <v>26</v>
      </c>
      <c r="G9449" s="28">
        <f>IFERROR(VLOOKUP(F9449,CARTON_LOOKUP!$A:$E,3,0),"")</f>
      </c>
      <c r="H9449" s="28">
        <f>IFERROR(VLOOKUP(F9449,CARTON_LOOKUP!$A:$E,4,0),"")</f>
      </c>
      <c r="I9449" s="28">
        <f>IFERROR(VLOOKUP(F9449,CARTON_LOOKUP!$A:$E,5,0),"")</f>
      </c>
      <c r="J9449" s="29">
        <f>IFERROR(VLOOKUP(F9449,CARTON_LOOKUP!$A:$E,2,0),"")</f>
      </c>
      <c r="K9449" s="29">
        <f>IFERROR(J9449*D9449,0)</f>
      </c>
      <c r="L9449" s="29">
        <f>IFERROR(E9449*C9449,0)</f>
      </c>
      <c r="M9449" s="29">
        <f>IFERROR((G9449*H9449*I9449/1000000)*D9449,0)</f>
      </c>
    </row>
    <row r="9450" spans="1:13" x14ac:dyDescent="0.25">
      <c r="A9450" s="16"/>
      <c r="E9450" s="27"/>
      <c r="F9450" t="s">
        <v>26</v>
      </c>
      <c r="G9450" s="28">
        <f>IFERROR(VLOOKUP(F9450,CARTON_LOOKUP!$A:$E,3,0),"")</f>
      </c>
      <c r="H9450" s="28">
        <f>IFERROR(VLOOKUP(F9450,CARTON_LOOKUP!$A:$E,4,0),"")</f>
      </c>
      <c r="I9450" s="28">
        <f>IFERROR(VLOOKUP(F9450,CARTON_LOOKUP!$A:$E,5,0),"")</f>
      </c>
      <c r="J9450" s="29">
        <f>IFERROR(VLOOKUP(F9450,CARTON_LOOKUP!$A:$E,2,0),"")</f>
      </c>
      <c r="K9450" s="29">
        <f>IFERROR(J9450*D9450,0)</f>
      </c>
      <c r="L9450" s="29">
        <f>IFERROR(E9450*C9450,0)</f>
      </c>
      <c r="M9450" s="29">
        <f>IFERROR((G9450*H9450*I9450/1000000)*D9450,0)</f>
      </c>
    </row>
    <row r="9451" spans="1:13" x14ac:dyDescent="0.25">
      <c r="A9451" s="16"/>
      <c r="E9451" s="27"/>
      <c r="F9451" t="s">
        <v>26</v>
      </c>
      <c r="G9451" s="28">
        <f>IFERROR(VLOOKUP(F9451,CARTON_LOOKUP!$A:$E,3,0),"")</f>
      </c>
      <c r="H9451" s="28">
        <f>IFERROR(VLOOKUP(F9451,CARTON_LOOKUP!$A:$E,4,0),"")</f>
      </c>
      <c r="I9451" s="28">
        <f>IFERROR(VLOOKUP(F9451,CARTON_LOOKUP!$A:$E,5,0),"")</f>
      </c>
      <c r="J9451" s="29">
        <f>IFERROR(VLOOKUP(F9451,CARTON_LOOKUP!$A:$E,2,0),"")</f>
      </c>
      <c r="K9451" s="29">
        <f>IFERROR(J9451*D9451,0)</f>
      </c>
      <c r="L9451" s="29">
        <f>IFERROR(E9451*C9451,0)</f>
      </c>
      <c r="M9451" s="29">
        <f>IFERROR((G9451*H9451*I9451/1000000)*D9451,0)</f>
      </c>
    </row>
    <row r="9452" spans="1:13" x14ac:dyDescent="0.25">
      <c r="A9452" s="16"/>
      <c r="E9452" s="27"/>
      <c r="F9452" t="s">
        <v>26</v>
      </c>
      <c r="G9452" s="28">
        <f>IFERROR(VLOOKUP(F9452,CARTON_LOOKUP!$A:$E,3,0),"")</f>
      </c>
      <c r="H9452" s="28">
        <f>IFERROR(VLOOKUP(F9452,CARTON_LOOKUP!$A:$E,4,0),"")</f>
      </c>
      <c r="I9452" s="28">
        <f>IFERROR(VLOOKUP(F9452,CARTON_LOOKUP!$A:$E,5,0),"")</f>
      </c>
      <c r="J9452" s="29">
        <f>IFERROR(VLOOKUP(F9452,CARTON_LOOKUP!$A:$E,2,0),"")</f>
      </c>
      <c r="K9452" s="29">
        <f>IFERROR(J9452*D9452,0)</f>
      </c>
      <c r="L9452" s="29">
        <f>IFERROR(E9452*C9452,0)</f>
      </c>
      <c r="M9452" s="29">
        <f>IFERROR((G9452*H9452*I9452/1000000)*D9452,0)</f>
      </c>
    </row>
    <row r="9453" spans="1:13" x14ac:dyDescent="0.25">
      <c r="A9453" s="16"/>
      <c r="E9453" s="27"/>
      <c r="F9453" t="s">
        <v>26</v>
      </c>
      <c r="G9453" s="28">
        <f>IFERROR(VLOOKUP(F9453,CARTON_LOOKUP!$A:$E,3,0),"")</f>
      </c>
      <c r="H9453" s="28">
        <f>IFERROR(VLOOKUP(F9453,CARTON_LOOKUP!$A:$E,4,0),"")</f>
      </c>
      <c r="I9453" s="28">
        <f>IFERROR(VLOOKUP(F9453,CARTON_LOOKUP!$A:$E,5,0),"")</f>
      </c>
      <c r="J9453" s="29">
        <f>IFERROR(VLOOKUP(F9453,CARTON_LOOKUP!$A:$E,2,0),"")</f>
      </c>
      <c r="K9453" s="29">
        <f>IFERROR(J9453*D9453,0)</f>
      </c>
      <c r="L9453" s="29">
        <f>IFERROR(E9453*C9453,0)</f>
      </c>
      <c r="M9453" s="29">
        <f>IFERROR((G9453*H9453*I9453/1000000)*D9453,0)</f>
      </c>
    </row>
    <row r="9454" spans="1:13" x14ac:dyDescent="0.25">
      <c r="A9454" s="16"/>
      <c r="E9454" s="27"/>
      <c r="F9454" t="s">
        <v>26</v>
      </c>
      <c r="G9454" s="28">
        <f>IFERROR(VLOOKUP(F9454,CARTON_LOOKUP!$A:$E,3,0),"")</f>
      </c>
      <c r="H9454" s="28">
        <f>IFERROR(VLOOKUP(F9454,CARTON_LOOKUP!$A:$E,4,0),"")</f>
      </c>
      <c r="I9454" s="28">
        <f>IFERROR(VLOOKUP(F9454,CARTON_LOOKUP!$A:$E,5,0),"")</f>
      </c>
      <c r="J9454" s="29">
        <f>IFERROR(VLOOKUP(F9454,CARTON_LOOKUP!$A:$E,2,0),"")</f>
      </c>
      <c r="K9454" s="29">
        <f>IFERROR(J9454*D9454,0)</f>
      </c>
      <c r="L9454" s="29">
        <f>IFERROR(E9454*C9454,0)</f>
      </c>
      <c r="M9454" s="29">
        <f>IFERROR((G9454*H9454*I9454/1000000)*D9454,0)</f>
      </c>
    </row>
    <row r="9455" spans="1:13" x14ac:dyDescent="0.25">
      <c r="A9455" s="16"/>
      <c r="E9455" s="27"/>
      <c r="F9455" t="s">
        <v>26</v>
      </c>
      <c r="G9455" s="28">
        <f>IFERROR(VLOOKUP(F9455,CARTON_LOOKUP!$A:$E,3,0),"")</f>
      </c>
      <c r="H9455" s="28">
        <f>IFERROR(VLOOKUP(F9455,CARTON_LOOKUP!$A:$E,4,0),"")</f>
      </c>
      <c r="I9455" s="28">
        <f>IFERROR(VLOOKUP(F9455,CARTON_LOOKUP!$A:$E,5,0),"")</f>
      </c>
      <c r="J9455" s="29">
        <f>IFERROR(VLOOKUP(F9455,CARTON_LOOKUP!$A:$E,2,0),"")</f>
      </c>
      <c r="K9455" s="29">
        <f>IFERROR(J9455*D9455,0)</f>
      </c>
      <c r="L9455" s="29">
        <f>IFERROR(E9455*C9455,0)</f>
      </c>
      <c r="M9455" s="29">
        <f>IFERROR((G9455*H9455*I9455/1000000)*D9455,0)</f>
      </c>
    </row>
    <row r="9456" spans="1:13" x14ac:dyDescent="0.25">
      <c r="A9456" s="16"/>
      <c r="E9456" s="27"/>
      <c r="F9456" t="s">
        <v>26</v>
      </c>
      <c r="G9456" s="28">
        <f>IFERROR(VLOOKUP(F9456,CARTON_LOOKUP!$A:$E,3,0),"")</f>
      </c>
      <c r="H9456" s="28">
        <f>IFERROR(VLOOKUP(F9456,CARTON_LOOKUP!$A:$E,4,0),"")</f>
      </c>
      <c r="I9456" s="28">
        <f>IFERROR(VLOOKUP(F9456,CARTON_LOOKUP!$A:$E,5,0),"")</f>
      </c>
      <c r="J9456" s="29">
        <f>IFERROR(VLOOKUP(F9456,CARTON_LOOKUP!$A:$E,2,0),"")</f>
      </c>
      <c r="K9456" s="29">
        <f>IFERROR(J9456*D9456,0)</f>
      </c>
      <c r="L9456" s="29">
        <f>IFERROR(E9456*C9456,0)</f>
      </c>
      <c r="M9456" s="29">
        <f>IFERROR((G9456*H9456*I9456/1000000)*D9456,0)</f>
      </c>
    </row>
    <row r="9457" spans="1:13" x14ac:dyDescent="0.25">
      <c r="A9457" s="16"/>
      <c r="E9457" s="27"/>
      <c r="F9457" t="s">
        <v>26</v>
      </c>
      <c r="G9457" s="28">
        <f>IFERROR(VLOOKUP(F9457,CARTON_LOOKUP!$A:$E,3,0),"")</f>
      </c>
      <c r="H9457" s="28">
        <f>IFERROR(VLOOKUP(F9457,CARTON_LOOKUP!$A:$E,4,0),"")</f>
      </c>
      <c r="I9457" s="28">
        <f>IFERROR(VLOOKUP(F9457,CARTON_LOOKUP!$A:$E,5,0),"")</f>
      </c>
      <c r="J9457" s="29">
        <f>IFERROR(VLOOKUP(F9457,CARTON_LOOKUP!$A:$E,2,0),"")</f>
      </c>
      <c r="K9457" s="29">
        <f>IFERROR(J9457*D9457,0)</f>
      </c>
      <c r="L9457" s="29">
        <f>IFERROR(E9457*C9457,0)</f>
      </c>
      <c r="M9457" s="29">
        <f>IFERROR((G9457*H9457*I9457/1000000)*D9457,0)</f>
      </c>
    </row>
    <row r="9458" spans="1:13" x14ac:dyDescent="0.25">
      <c r="A9458" s="16"/>
      <c r="E9458" s="27"/>
      <c r="F9458" t="s">
        <v>26</v>
      </c>
      <c r="G9458" s="28">
        <f>IFERROR(VLOOKUP(F9458,CARTON_LOOKUP!$A:$E,3,0),"")</f>
      </c>
      <c r="H9458" s="28">
        <f>IFERROR(VLOOKUP(F9458,CARTON_LOOKUP!$A:$E,4,0),"")</f>
      </c>
      <c r="I9458" s="28">
        <f>IFERROR(VLOOKUP(F9458,CARTON_LOOKUP!$A:$E,5,0),"")</f>
      </c>
      <c r="J9458" s="29">
        <f>IFERROR(VLOOKUP(F9458,CARTON_LOOKUP!$A:$E,2,0),"")</f>
      </c>
      <c r="K9458" s="29">
        <f>IFERROR(J9458*D9458,0)</f>
      </c>
      <c r="L9458" s="29">
        <f>IFERROR(E9458*C9458,0)</f>
      </c>
      <c r="M9458" s="29">
        <f>IFERROR((G9458*H9458*I9458/1000000)*D9458,0)</f>
      </c>
    </row>
    <row r="9459" spans="1:13" x14ac:dyDescent="0.25">
      <c r="A9459" s="16"/>
      <c r="E9459" s="27"/>
      <c r="F9459" t="s">
        <v>26</v>
      </c>
      <c r="G9459" s="28">
        <f>IFERROR(VLOOKUP(F9459,CARTON_LOOKUP!$A:$E,3,0),"")</f>
      </c>
      <c r="H9459" s="28">
        <f>IFERROR(VLOOKUP(F9459,CARTON_LOOKUP!$A:$E,4,0),"")</f>
      </c>
      <c r="I9459" s="28">
        <f>IFERROR(VLOOKUP(F9459,CARTON_LOOKUP!$A:$E,5,0),"")</f>
      </c>
      <c r="J9459" s="29">
        <f>IFERROR(VLOOKUP(F9459,CARTON_LOOKUP!$A:$E,2,0),"")</f>
      </c>
      <c r="K9459" s="29">
        <f>IFERROR(J9459*D9459,0)</f>
      </c>
      <c r="L9459" s="29">
        <f>IFERROR(E9459*C9459,0)</f>
      </c>
      <c r="M9459" s="29">
        <f>IFERROR((G9459*H9459*I9459/1000000)*D9459,0)</f>
      </c>
    </row>
    <row r="9460" spans="1:13" x14ac:dyDescent="0.25">
      <c r="A9460" s="16"/>
      <c r="E9460" s="27"/>
      <c r="F9460" t="s">
        <v>26</v>
      </c>
      <c r="G9460" s="28">
        <f>IFERROR(VLOOKUP(F9460,CARTON_LOOKUP!$A:$E,3,0),"")</f>
      </c>
      <c r="H9460" s="28">
        <f>IFERROR(VLOOKUP(F9460,CARTON_LOOKUP!$A:$E,4,0),"")</f>
      </c>
      <c r="I9460" s="28">
        <f>IFERROR(VLOOKUP(F9460,CARTON_LOOKUP!$A:$E,5,0),"")</f>
      </c>
      <c r="J9460" s="29">
        <f>IFERROR(VLOOKUP(F9460,CARTON_LOOKUP!$A:$E,2,0),"")</f>
      </c>
      <c r="K9460" s="29">
        <f>IFERROR(J9460*D9460,0)</f>
      </c>
      <c r="L9460" s="29">
        <f>IFERROR(E9460*C9460,0)</f>
      </c>
      <c r="M9460" s="29">
        <f>IFERROR((G9460*H9460*I9460/1000000)*D9460,0)</f>
      </c>
    </row>
    <row r="9461" spans="1:13" x14ac:dyDescent="0.25">
      <c r="A9461" s="16"/>
      <c r="E9461" s="27"/>
      <c r="F9461" t="s">
        <v>26</v>
      </c>
      <c r="G9461" s="28">
        <f>IFERROR(VLOOKUP(F9461,CARTON_LOOKUP!$A:$E,3,0),"")</f>
      </c>
      <c r="H9461" s="28">
        <f>IFERROR(VLOOKUP(F9461,CARTON_LOOKUP!$A:$E,4,0),"")</f>
      </c>
      <c r="I9461" s="28">
        <f>IFERROR(VLOOKUP(F9461,CARTON_LOOKUP!$A:$E,5,0),"")</f>
      </c>
      <c r="J9461" s="29">
        <f>IFERROR(VLOOKUP(F9461,CARTON_LOOKUP!$A:$E,2,0),"")</f>
      </c>
      <c r="K9461" s="29">
        <f>IFERROR(J9461*D9461,0)</f>
      </c>
      <c r="L9461" s="29">
        <f>IFERROR(E9461*C9461,0)</f>
      </c>
      <c r="M9461" s="29">
        <f>IFERROR((G9461*H9461*I9461/1000000)*D9461,0)</f>
      </c>
    </row>
    <row r="9462" spans="1:13" x14ac:dyDescent="0.25">
      <c r="A9462" s="16"/>
      <c r="E9462" s="27"/>
      <c r="F9462" t="s">
        <v>26</v>
      </c>
      <c r="G9462" s="28">
        <f>IFERROR(VLOOKUP(F9462,CARTON_LOOKUP!$A:$E,3,0),"")</f>
      </c>
      <c r="H9462" s="28">
        <f>IFERROR(VLOOKUP(F9462,CARTON_LOOKUP!$A:$E,4,0),"")</f>
      </c>
      <c r="I9462" s="28">
        <f>IFERROR(VLOOKUP(F9462,CARTON_LOOKUP!$A:$E,5,0),"")</f>
      </c>
      <c r="J9462" s="29">
        <f>IFERROR(VLOOKUP(F9462,CARTON_LOOKUP!$A:$E,2,0),"")</f>
      </c>
      <c r="K9462" s="29">
        <f>IFERROR(J9462*D9462,0)</f>
      </c>
      <c r="L9462" s="29">
        <f>IFERROR(E9462*C9462,0)</f>
      </c>
      <c r="M9462" s="29">
        <f>IFERROR((G9462*H9462*I9462/1000000)*D9462,0)</f>
      </c>
    </row>
    <row r="9463" spans="1:13" x14ac:dyDescent="0.25">
      <c r="A9463" s="16"/>
      <c r="E9463" s="27"/>
      <c r="F9463" t="s">
        <v>26</v>
      </c>
      <c r="G9463" s="28">
        <f>IFERROR(VLOOKUP(F9463,CARTON_LOOKUP!$A:$E,3,0),"")</f>
      </c>
      <c r="H9463" s="28">
        <f>IFERROR(VLOOKUP(F9463,CARTON_LOOKUP!$A:$E,4,0),"")</f>
      </c>
      <c r="I9463" s="28">
        <f>IFERROR(VLOOKUP(F9463,CARTON_LOOKUP!$A:$E,5,0),"")</f>
      </c>
      <c r="J9463" s="29">
        <f>IFERROR(VLOOKUP(F9463,CARTON_LOOKUP!$A:$E,2,0),"")</f>
      </c>
      <c r="K9463" s="29">
        <f>IFERROR(J9463*D9463,0)</f>
      </c>
      <c r="L9463" s="29">
        <f>IFERROR(E9463*C9463,0)</f>
      </c>
      <c r="M9463" s="29">
        <f>IFERROR((G9463*H9463*I9463/1000000)*D9463,0)</f>
      </c>
    </row>
    <row r="9464" spans="1:13" x14ac:dyDescent="0.25">
      <c r="A9464" s="16"/>
      <c r="E9464" s="27"/>
      <c r="F9464" t="s">
        <v>26</v>
      </c>
      <c r="G9464" s="28">
        <f>IFERROR(VLOOKUP(F9464,CARTON_LOOKUP!$A:$E,3,0),"")</f>
      </c>
      <c r="H9464" s="28">
        <f>IFERROR(VLOOKUP(F9464,CARTON_LOOKUP!$A:$E,4,0),"")</f>
      </c>
      <c r="I9464" s="28">
        <f>IFERROR(VLOOKUP(F9464,CARTON_LOOKUP!$A:$E,5,0),"")</f>
      </c>
      <c r="J9464" s="29">
        <f>IFERROR(VLOOKUP(F9464,CARTON_LOOKUP!$A:$E,2,0),"")</f>
      </c>
      <c r="K9464" s="29">
        <f>IFERROR(J9464*D9464,0)</f>
      </c>
      <c r="L9464" s="29">
        <f>IFERROR(E9464*C9464,0)</f>
      </c>
      <c r="M9464" s="29">
        <f>IFERROR((G9464*H9464*I9464/1000000)*D9464,0)</f>
      </c>
    </row>
    <row r="9465" spans="1:13" x14ac:dyDescent="0.25">
      <c r="A9465" s="16"/>
      <c r="E9465" s="27"/>
      <c r="F9465" t="s">
        <v>26</v>
      </c>
      <c r="G9465" s="28">
        <f>IFERROR(VLOOKUP(F9465,CARTON_LOOKUP!$A:$E,3,0),"")</f>
      </c>
      <c r="H9465" s="28">
        <f>IFERROR(VLOOKUP(F9465,CARTON_LOOKUP!$A:$E,4,0),"")</f>
      </c>
      <c r="I9465" s="28">
        <f>IFERROR(VLOOKUP(F9465,CARTON_LOOKUP!$A:$E,5,0),"")</f>
      </c>
      <c r="J9465" s="29">
        <f>IFERROR(VLOOKUP(F9465,CARTON_LOOKUP!$A:$E,2,0),"")</f>
      </c>
      <c r="K9465" s="29">
        <f>IFERROR(J9465*D9465,0)</f>
      </c>
      <c r="L9465" s="29">
        <f>IFERROR(E9465*C9465,0)</f>
      </c>
      <c r="M9465" s="29">
        <f>IFERROR((G9465*H9465*I9465/1000000)*D9465,0)</f>
      </c>
    </row>
    <row r="9466" spans="1:13" x14ac:dyDescent="0.25">
      <c r="A9466" s="16"/>
      <c r="E9466" s="27"/>
      <c r="F9466" t="s">
        <v>26</v>
      </c>
      <c r="G9466" s="28">
        <f>IFERROR(VLOOKUP(F9466,CARTON_LOOKUP!$A:$E,3,0),"")</f>
      </c>
      <c r="H9466" s="28">
        <f>IFERROR(VLOOKUP(F9466,CARTON_LOOKUP!$A:$E,4,0),"")</f>
      </c>
      <c r="I9466" s="28">
        <f>IFERROR(VLOOKUP(F9466,CARTON_LOOKUP!$A:$E,5,0),"")</f>
      </c>
      <c r="J9466" s="29">
        <f>IFERROR(VLOOKUP(F9466,CARTON_LOOKUP!$A:$E,2,0),"")</f>
      </c>
      <c r="K9466" s="29">
        <f>IFERROR(J9466*D9466,0)</f>
      </c>
      <c r="L9466" s="29">
        <f>IFERROR(E9466*C9466,0)</f>
      </c>
      <c r="M9466" s="29">
        <f>IFERROR((G9466*H9466*I9466/1000000)*D9466,0)</f>
      </c>
    </row>
    <row r="9467" spans="1:13" x14ac:dyDescent="0.25">
      <c r="A9467" s="16"/>
      <c r="E9467" s="27"/>
      <c r="F9467" t="s">
        <v>26</v>
      </c>
      <c r="G9467" s="28">
        <f>IFERROR(VLOOKUP(F9467,CARTON_LOOKUP!$A:$E,3,0),"")</f>
      </c>
      <c r="H9467" s="28">
        <f>IFERROR(VLOOKUP(F9467,CARTON_LOOKUP!$A:$E,4,0),"")</f>
      </c>
      <c r="I9467" s="28">
        <f>IFERROR(VLOOKUP(F9467,CARTON_LOOKUP!$A:$E,5,0),"")</f>
      </c>
      <c r="J9467" s="29">
        <f>IFERROR(VLOOKUP(F9467,CARTON_LOOKUP!$A:$E,2,0),"")</f>
      </c>
      <c r="K9467" s="29">
        <f>IFERROR(J9467*D9467,0)</f>
      </c>
      <c r="L9467" s="29">
        <f>IFERROR(E9467*C9467,0)</f>
      </c>
      <c r="M9467" s="29">
        <f>IFERROR((G9467*H9467*I9467/1000000)*D9467,0)</f>
      </c>
    </row>
    <row r="9468" spans="1:13" x14ac:dyDescent="0.25">
      <c r="A9468" s="16"/>
      <c r="E9468" s="27"/>
      <c r="F9468" t="s">
        <v>26</v>
      </c>
      <c r="G9468" s="28">
        <f>IFERROR(VLOOKUP(F9468,CARTON_LOOKUP!$A:$E,3,0),"")</f>
      </c>
      <c r="H9468" s="28">
        <f>IFERROR(VLOOKUP(F9468,CARTON_LOOKUP!$A:$E,4,0),"")</f>
      </c>
      <c r="I9468" s="28">
        <f>IFERROR(VLOOKUP(F9468,CARTON_LOOKUP!$A:$E,5,0),"")</f>
      </c>
      <c r="J9468" s="29">
        <f>IFERROR(VLOOKUP(F9468,CARTON_LOOKUP!$A:$E,2,0),"")</f>
      </c>
      <c r="K9468" s="29">
        <f>IFERROR(J9468*D9468,0)</f>
      </c>
      <c r="L9468" s="29">
        <f>IFERROR(E9468*C9468,0)</f>
      </c>
      <c r="M9468" s="29">
        <f>IFERROR((G9468*H9468*I9468/1000000)*D9468,0)</f>
      </c>
    </row>
    <row r="9469" spans="1:13" x14ac:dyDescent="0.25">
      <c r="A9469" s="16"/>
      <c r="E9469" s="27"/>
      <c r="F9469" t="s">
        <v>26</v>
      </c>
      <c r="G9469" s="28">
        <f>IFERROR(VLOOKUP(F9469,CARTON_LOOKUP!$A:$E,3,0),"")</f>
      </c>
      <c r="H9469" s="28">
        <f>IFERROR(VLOOKUP(F9469,CARTON_LOOKUP!$A:$E,4,0),"")</f>
      </c>
      <c r="I9469" s="28">
        <f>IFERROR(VLOOKUP(F9469,CARTON_LOOKUP!$A:$E,5,0),"")</f>
      </c>
      <c r="J9469" s="29">
        <f>IFERROR(VLOOKUP(F9469,CARTON_LOOKUP!$A:$E,2,0),"")</f>
      </c>
      <c r="K9469" s="29">
        <f>IFERROR(J9469*D9469,0)</f>
      </c>
      <c r="L9469" s="29">
        <f>IFERROR(E9469*C9469,0)</f>
      </c>
      <c r="M9469" s="29">
        <f>IFERROR((G9469*H9469*I9469/1000000)*D9469,0)</f>
      </c>
    </row>
    <row r="9470" spans="1:13" x14ac:dyDescent="0.25">
      <c r="A9470" s="16"/>
      <c r="E9470" s="27"/>
      <c r="F9470" t="s">
        <v>26</v>
      </c>
      <c r="G9470" s="28">
        <f>IFERROR(VLOOKUP(F9470,CARTON_LOOKUP!$A:$E,3,0),"")</f>
      </c>
      <c r="H9470" s="28">
        <f>IFERROR(VLOOKUP(F9470,CARTON_LOOKUP!$A:$E,4,0),"")</f>
      </c>
      <c r="I9470" s="28">
        <f>IFERROR(VLOOKUP(F9470,CARTON_LOOKUP!$A:$E,5,0),"")</f>
      </c>
      <c r="J9470" s="29">
        <f>IFERROR(VLOOKUP(F9470,CARTON_LOOKUP!$A:$E,2,0),"")</f>
      </c>
      <c r="K9470" s="29">
        <f>IFERROR(J9470*D9470,0)</f>
      </c>
      <c r="L9470" s="29">
        <f>IFERROR(E9470*C9470,0)</f>
      </c>
      <c r="M9470" s="29">
        <f>IFERROR((G9470*H9470*I9470/1000000)*D9470,0)</f>
      </c>
    </row>
    <row r="9471" spans="1:13" x14ac:dyDescent="0.25">
      <c r="A9471" s="16"/>
      <c r="E9471" s="27"/>
      <c r="F9471" t="s">
        <v>26</v>
      </c>
      <c r="G9471" s="28">
        <f>IFERROR(VLOOKUP(F9471,CARTON_LOOKUP!$A:$E,3,0),"")</f>
      </c>
      <c r="H9471" s="28">
        <f>IFERROR(VLOOKUP(F9471,CARTON_LOOKUP!$A:$E,4,0),"")</f>
      </c>
      <c r="I9471" s="28">
        <f>IFERROR(VLOOKUP(F9471,CARTON_LOOKUP!$A:$E,5,0),"")</f>
      </c>
      <c r="J9471" s="29">
        <f>IFERROR(VLOOKUP(F9471,CARTON_LOOKUP!$A:$E,2,0),"")</f>
      </c>
      <c r="K9471" s="29">
        <f>IFERROR(J9471*D9471,0)</f>
      </c>
      <c r="L9471" s="29">
        <f>IFERROR(E9471*C9471,0)</f>
      </c>
      <c r="M9471" s="29">
        <f>IFERROR((G9471*H9471*I9471/1000000)*D9471,0)</f>
      </c>
    </row>
    <row r="9472" spans="1:13" x14ac:dyDescent="0.25">
      <c r="A9472" s="16"/>
      <c r="E9472" s="27"/>
      <c r="F9472" t="s">
        <v>26</v>
      </c>
      <c r="G9472" s="28">
        <f>IFERROR(VLOOKUP(F9472,CARTON_LOOKUP!$A:$E,3,0),"")</f>
      </c>
      <c r="H9472" s="28">
        <f>IFERROR(VLOOKUP(F9472,CARTON_LOOKUP!$A:$E,4,0),"")</f>
      </c>
      <c r="I9472" s="28">
        <f>IFERROR(VLOOKUP(F9472,CARTON_LOOKUP!$A:$E,5,0),"")</f>
      </c>
      <c r="J9472" s="29">
        <f>IFERROR(VLOOKUP(F9472,CARTON_LOOKUP!$A:$E,2,0),"")</f>
      </c>
      <c r="K9472" s="29">
        <f>IFERROR(J9472*D9472,0)</f>
      </c>
      <c r="L9472" s="29">
        <f>IFERROR(E9472*C9472,0)</f>
      </c>
      <c r="M9472" s="29">
        <f>IFERROR((G9472*H9472*I9472/1000000)*D9472,0)</f>
      </c>
    </row>
    <row r="9473" spans="1:13" x14ac:dyDescent="0.25">
      <c r="A9473" s="16"/>
      <c r="E9473" s="27"/>
      <c r="F9473" t="s">
        <v>26</v>
      </c>
      <c r="G9473" s="28">
        <f>IFERROR(VLOOKUP(F9473,CARTON_LOOKUP!$A:$E,3,0),"")</f>
      </c>
      <c r="H9473" s="28">
        <f>IFERROR(VLOOKUP(F9473,CARTON_LOOKUP!$A:$E,4,0),"")</f>
      </c>
      <c r="I9473" s="28">
        <f>IFERROR(VLOOKUP(F9473,CARTON_LOOKUP!$A:$E,5,0),"")</f>
      </c>
      <c r="J9473" s="29">
        <f>IFERROR(VLOOKUP(F9473,CARTON_LOOKUP!$A:$E,2,0),"")</f>
      </c>
      <c r="K9473" s="29">
        <f>IFERROR(J9473*D9473,0)</f>
      </c>
      <c r="L9473" s="29">
        <f>IFERROR(E9473*C9473,0)</f>
      </c>
      <c r="M9473" s="29">
        <f>IFERROR((G9473*H9473*I9473/1000000)*D9473,0)</f>
      </c>
    </row>
    <row r="9474" spans="1:13" x14ac:dyDescent="0.25">
      <c r="A9474" s="16"/>
      <c r="E9474" s="27"/>
      <c r="F9474" t="s">
        <v>26</v>
      </c>
      <c r="G9474" s="28">
        <f>IFERROR(VLOOKUP(F9474,CARTON_LOOKUP!$A:$E,3,0),"")</f>
      </c>
      <c r="H9474" s="28">
        <f>IFERROR(VLOOKUP(F9474,CARTON_LOOKUP!$A:$E,4,0),"")</f>
      </c>
      <c r="I9474" s="28">
        <f>IFERROR(VLOOKUP(F9474,CARTON_LOOKUP!$A:$E,5,0),"")</f>
      </c>
      <c r="J9474" s="29">
        <f>IFERROR(VLOOKUP(F9474,CARTON_LOOKUP!$A:$E,2,0),"")</f>
      </c>
      <c r="K9474" s="29">
        <f>IFERROR(J9474*D9474,0)</f>
      </c>
      <c r="L9474" s="29">
        <f>IFERROR(E9474*C9474,0)</f>
      </c>
      <c r="M9474" s="29">
        <f>IFERROR((G9474*H9474*I9474/1000000)*D9474,0)</f>
      </c>
    </row>
    <row r="9475" spans="1:13" x14ac:dyDescent="0.25">
      <c r="A9475" s="16"/>
      <c r="E9475" s="27"/>
      <c r="F9475" t="s">
        <v>26</v>
      </c>
      <c r="G9475" s="28">
        <f>IFERROR(VLOOKUP(F9475,CARTON_LOOKUP!$A:$E,3,0),"")</f>
      </c>
      <c r="H9475" s="28">
        <f>IFERROR(VLOOKUP(F9475,CARTON_LOOKUP!$A:$E,4,0),"")</f>
      </c>
      <c r="I9475" s="28">
        <f>IFERROR(VLOOKUP(F9475,CARTON_LOOKUP!$A:$E,5,0),"")</f>
      </c>
      <c r="J9475" s="29">
        <f>IFERROR(VLOOKUP(F9475,CARTON_LOOKUP!$A:$E,2,0),"")</f>
      </c>
      <c r="K9475" s="29">
        <f>IFERROR(J9475*D9475,0)</f>
      </c>
      <c r="L9475" s="29">
        <f>IFERROR(E9475*C9475,0)</f>
      </c>
      <c r="M9475" s="29">
        <f>IFERROR((G9475*H9475*I9475/1000000)*D9475,0)</f>
      </c>
    </row>
    <row r="9476" spans="1:13" x14ac:dyDescent="0.25">
      <c r="A9476" s="16"/>
      <c r="E9476" s="27"/>
      <c r="F9476" t="s">
        <v>26</v>
      </c>
      <c r="G9476" s="28">
        <f>IFERROR(VLOOKUP(F9476,CARTON_LOOKUP!$A:$E,3,0),"")</f>
      </c>
      <c r="H9476" s="28">
        <f>IFERROR(VLOOKUP(F9476,CARTON_LOOKUP!$A:$E,4,0),"")</f>
      </c>
      <c r="I9476" s="28">
        <f>IFERROR(VLOOKUP(F9476,CARTON_LOOKUP!$A:$E,5,0),"")</f>
      </c>
      <c r="J9476" s="29">
        <f>IFERROR(VLOOKUP(F9476,CARTON_LOOKUP!$A:$E,2,0),"")</f>
      </c>
      <c r="K9476" s="29">
        <f>IFERROR(J9476*D9476,0)</f>
      </c>
      <c r="L9476" s="29">
        <f>IFERROR(E9476*C9476,0)</f>
      </c>
      <c r="M9476" s="29">
        <f>IFERROR((G9476*H9476*I9476/1000000)*D9476,0)</f>
      </c>
    </row>
    <row r="9477" spans="1:13" x14ac:dyDescent="0.25">
      <c r="A9477" s="16"/>
      <c r="E9477" s="27"/>
      <c r="F9477" t="s">
        <v>26</v>
      </c>
      <c r="G9477" s="28">
        <f>IFERROR(VLOOKUP(F9477,CARTON_LOOKUP!$A:$E,3,0),"")</f>
      </c>
      <c r="H9477" s="28">
        <f>IFERROR(VLOOKUP(F9477,CARTON_LOOKUP!$A:$E,4,0),"")</f>
      </c>
      <c r="I9477" s="28">
        <f>IFERROR(VLOOKUP(F9477,CARTON_LOOKUP!$A:$E,5,0),"")</f>
      </c>
      <c r="J9477" s="29">
        <f>IFERROR(VLOOKUP(F9477,CARTON_LOOKUP!$A:$E,2,0),"")</f>
      </c>
      <c r="K9477" s="29">
        <f>IFERROR(J9477*D9477,0)</f>
      </c>
      <c r="L9477" s="29">
        <f>IFERROR(E9477*C9477,0)</f>
      </c>
      <c r="M9477" s="29">
        <f>IFERROR((G9477*H9477*I9477/1000000)*D9477,0)</f>
      </c>
    </row>
    <row r="9478" spans="1:13" x14ac:dyDescent="0.25">
      <c r="A9478" s="16"/>
      <c r="E9478" s="27"/>
      <c r="F9478" t="s">
        <v>26</v>
      </c>
      <c r="G9478" s="28">
        <f>IFERROR(VLOOKUP(F9478,CARTON_LOOKUP!$A:$E,3,0),"")</f>
      </c>
      <c r="H9478" s="28">
        <f>IFERROR(VLOOKUP(F9478,CARTON_LOOKUP!$A:$E,4,0),"")</f>
      </c>
      <c r="I9478" s="28">
        <f>IFERROR(VLOOKUP(F9478,CARTON_LOOKUP!$A:$E,5,0),"")</f>
      </c>
      <c r="J9478" s="29">
        <f>IFERROR(VLOOKUP(F9478,CARTON_LOOKUP!$A:$E,2,0),"")</f>
      </c>
      <c r="K9478" s="29">
        <f>IFERROR(J9478*D9478,0)</f>
      </c>
      <c r="L9478" s="29">
        <f>IFERROR(E9478*C9478,0)</f>
      </c>
      <c r="M9478" s="29">
        <f>IFERROR((G9478*H9478*I9478/1000000)*D9478,0)</f>
      </c>
    </row>
    <row r="9479" spans="1:13" x14ac:dyDescent="0.25">
      <c r="A9479" s="16"/>
      <c r="E9479" s="27"/>
      <c r="F9479" t="s">
        <v>26</v>
      </c>
      <c r="G9479" s="28">
        <f>IFERROR(VLOOKUP(F9479,CARTON_LOOKUP!$A:$E,3,0),"")</f>
      </c>
      <c r="H9479" s="28">
        <f>IFERROR(VLOOKUP(F9479,CARTON_LOOKUP!$A:$E,4,0),"")</f>
      </c>
      <c r="I9479" s="28">
        <f>IFERROR(VLOOKUP(F9479,CARTON_LOOKUP!$A:$E,5,0),"")</f>
      </c>
      <c r="J9479" s="29">
        <f>IFERROR(VLOOKUP(F9479,CARTON_LOOKUP!$A:$E,2,0),"")</f>
      </c>
      <c r="K9479" s="29">
        <f>IFERROR(J9479*D9479,0)</f>
      </c>
      <c r="L9479" s="29">
        <f>IFERROR(E9479*C9479,0)</f>
      </c>
      <c r="M9479" s="29">
        <f>IFERROR((G9479*H9479*I9479/1000000)*D9479,0)</f>
      </c>
    </row>
    <row r="9480" spans="1:13" x14ac:dyDescent="0.25">
      <c r="A9480" s="16"/>
      <c r="E9480" s="27"/>
      <c r="F9480" t="s">
        <v>26</v>
      </c>
      <c r="G9480" s="28">
        <f>IFERROR(VLOOKUP(F9480,CARTON_LOOKUP!$A:$E,3,0),"")</f>
      </c>
      <c r="H9480" s="28">
        <f>IFERROR(VLOOKUP(F9480,CARTON_LOOKUP!$A:$E,4,0),"")</f>
      </c>
      <c r="I9480" s="28">
        <f>IFERROR(VLOOKUP(F9480,CARTON_LOOKUP!$A:$E,5,0),"")</f>
      </c>
      <c r="J9480" s="29">
        <f>IFERROR(VLOOKUP(F9480,CARTON_LOOKUP!$A:$E,2,0),"")</f>
      </c>
      <c r="K9480" s="29">
        <f>IFERROR(J9480*D9480,0)</f>
      </c>
      <c r="L9480" s="29">
        <f>IFERROR(E9480*C9480,0)</f>
      </c>
      <c r="M9480" s="29">
        <f>IFERROR((G9480*H9480*I9480/1000000)*D9480,0)</f>
      </c>
    </row>
    <row r="9481" spans="1:13" x14ac:dyDescent="0.25">
      <c r="A9481" s="16"/>
      <c r="E9481" s="27"/>
      <c r="F9481" t="s">
        <v>26</v>
      </c>
      <c r="G9481" s="28">
        <f>IFERROR(VLOOKUP(F9481,CARTON_LOOKUP!$A:$E,3,0),"")</f>
      </c>
      <c r="H9481" s="28">
        <f>IFERROR(VLOOKUP(F9481,CARTON_LOOKUP!$A:$E,4,0),"")</f>
      </c>
      <c r="I9481" s="28">
        <f>IFERROR(VLOOKUP(F9481,CARTON_LOOKUP!$A:$E,5,0),"")</f>
      </c>
      <c r="J9481" s="29">
        <f>IFERROR(VLOOKUP(F9481,CARTON_LOOKUP!$A:$E,2,0),"")</f>
      </c>
      <c r="K9481" s="29">
        <f>IFERROR(J9481*D9481,0)</f>
      </c>
      <c r="L9481" s="29">
        <f>IFERROR(E9481*C9481,0)</f>
      </c>
      <c r="M9481" s="29">
        <f>IFERROR((G9481*H9481*I9481/1000000)*D9481,0)</f>
      </c>
    </row>
    <row r="9482" spans="1:13" x14ac:dyDescent="0.25">
      <c r="A9482" s="16"/>
      <c r="E9482" s="27"/>
      <c r="F9482" t="s">
        <v>26</v>
      </c>
      <c r="G9482" s="28">
        <f>IFERROR(VLOOKUP(F9482,CARTON_LOOKUP!$A:$E,3,0),"")</f>
      </c>
      <c r="H9482" s="28">
        <f>IFERROR(VLOOKUP(F9482,CARTON_LOOKUP!$A:$E,4,0),"")</f>
      </c>
      <c r="I9482" s="28">
        <f>IFERROR(VLOOKUP(F9482,CARTON_LOOKUP!$A:$E,5,0),"")</f>
      </c>
      <c r="J9482" s="29">
        <f>IFERROR(VLOOKUP(F9482,CARTON_LOOKUP!$A:$E,2,0),"")</f>
      </c>
      <c r="K9482" s="29">
        <f>IFERROR(J9482*D9482,0)</f>
      </c>
      <c r="L9482" s="29">
        <f>IFERROR(E9482*C9482,0)</f>
      </c>
      <c r="M9482" s="29">
        <f>IFERROR((G9482*H9482*I9482/1000000)*D9482,0)</f>
      </c>
    </row>
    <row r="9483" spans="1:13" x14ac:dyDescent="0.25">
      <c r="A9483" s="16"/>
      <c r="E9483" s="27"/>
      <c r="F9483" t="s">
        <v>26</v>
      </c>
      <c r="G9483" s="28">
        <f>IFERROR(VLOOKUP(F9483,CARTON_LOOKUP!$A:$E,3,0),"")</f>
      </c>
      <c r="H9483" s="28">
        <f>IFERROR(VLOOKUP(F9483,CARTON_LOOKUP!$A:$E,4,0),"")</f>
      </c>
      <c r="I9483" s="28">
        <f>IFERROR(VLOOKUP(F9483,CARTON_LOOKUP!$A:$E,5,0),"")</f>
      </c>
      <c r="J9483" s="29">
        <f>IFERROR(VLOOKUP(F9483,CARTON_LOOKUP!$A:$E,2,0),"")</f>
      </c>
      <c r="K9483" s="29">
        <f>IFERROR(J9483*D9483,0)</f>
      </c>
      <c r="L9483" s="29">
        <f>IFERROR(E9483*C9483,0)</f>
      </c>
      <c r="M9483" s="29">
        <f>IFERROR((G9483*H9483*I9483/1000000)*D9483,0)</f>
      </c>
    </row>
    <row r="9484" spans="1:13" x14ac:dyDescent="0.25">
      <c r="A9484" s="16"/>
      <c r="E9484" s="27"/>
      <c r="F9484" t="s">
        <v>26</v>
      </c>
      <c r="G9484" s="28">
        <f>IFERROR(VLOOKUP(F9484,CARTON_LOOKUP!$A:$E,3,0),"")</f>
      </c>
      <c r="H9484" s="28">
        <f>IFERROR(VLOOKUP(F9484,CARTON_LOOKUP!$A:$E,4,0),"")</f>
      </c>
      <c r="I9484" s="28">
        <f>IFERROR(VLOOKUP(F9484,CARTON_LOOKUP!$A:$E,5,0),"")</f>
      </c>
      <c r="J9484" s="29">
        <f>IFERROR(VLOOKUP(F9484,CARTON_LOOKUP!$A:$E,2,0),"")</f>
      </c>
      <c r="K9484" s="29">
        <f>IFERROR(J9484*D9484,0)</f>
      </c>
      <c r="L9484" s="29">
        <f>IFERROR(E9484*C9484,0)</f>
      </c>
      <c r="M9484" s="29">
        <f>IFERROR((G9484*H9484*I9484/1000000)*D9484,0)</f>
      </c>
    </row>
    <row r="9485" spans="1:13" x14ac:dyDescent="0.25">
      <c r="A9485" s="16"/>
      <c r="E9485" s="27"/>
      <c r="F9485" t="s">
        <v>26</v>
      </c>
      <c r="G9485" s="28">
        <f>IFERROR(VLOOKUP(F9485,CARTON_LOOKUP!$A:$E,3,0),"")</f>
      </c>
      <c r="H9485" s="28">
        <f>IFERROR(VLOOKUP(F9485,CARTON_LOOKUP!$A:$E,4,0),"")</f>
      </c>
      <c r="I9485" s="28">
        <f>IFERROR(VLOOKUP(F9485,CARTON_LOOKUP!$A:$E,5,0),"")</f>
      </c>
      <c r="J9485" s="29">
        <f>IFERROR(VLOOKUP(F9485,CARTON_LOOKUP!$A:$E,2,0),"")</f>
      </c>
      <c r="K9485" s="29">
        <f>IFERROR(J9485*D9485,0)</f>
      </c>
      <c r="L9485" s="29">
        <f>IFERROR(E9485*C9485,0)</f>
      </c>
      <c r="M9485" s="29">
        <f>IFERROR((G9485*H9485*I9485/1000000)*D9485,0)</f>
      </c>
    </row>
    <row r="9486" spans="1:13" x14ac:dyDescent="0.25">
      <c r="A9486" s="16"/>
      <c r="E9486" s="27"/>
      <c r="F9486" t="s">
        <v>26</v>
      </c>
      <c r="G9486" s="28">
        <f>IFERROR(VLOOKUP(F9486,CARTON_LOOKUP!$A:$E,3,0),"")</f>
      </c>
      <c r="H9486" s="28">
        <f>IFERROR(VLOOKUP(F9486,CARTON_LOOKUP!$A:$E,4,0),"")</f>
      </c>
      <c r="I9486" s="28">
        <f>IFERROR(VLOOKUP(F9486,CARTON_LOOKUP!$A:$E,5,0),"")</f>
      </c>
      <c r="J9486" s="29">
        <f>IFERROR(VLOOKUP(F9486,CARTON_LOOKUP!$A:$E,2,0),"")</f>
      </c>
      <c r="K9486" s="29">
        <f>IFERROR(J9486*D9486,0)</f>
      </c>
      <c r="L9486" s="29">
        <f>IFERROR(E9486*C9486,0)</f>
      </c>
      <c r="M9486" s="29">
        <f>IFERROR((G9486*H9486*I9486/1000000)*D9486,0)</f>
      </c>
    </row>
    <row r="9487" spans="1:13" x14ac:dyDescent="0.25">
      <c r="A9487" s="16"/>
      <c r="E9487" s="27"/>
      <c r="F9487" t="s">
        <v>26</v>
      </c>
      <c r="G9487" s="28">
        <f>IFERROR(VLOOKUP(F9487,CARTON_LOOKUP!$A:$E,3,0),"")</f>
      </c>
      <c r="H9487" s="28">
        <f>IFERROR(VLOOKUP(F9487,CARTON_LOOKUP!$A:$E,4,0),"")</f>
      </c>
      <c r="I9487" s="28">
        <f>IFERROR(VLOOKUP(F9487,CARTON_LOOKUP!$A:$E,5,0),"")</f>
      </c>
      <c r="J9487" s="29">
        <f>IFERROR(VLOOKUP(F9487,CARTON_LOOKUP!$A:$E,2,0),"")</f>
      </c>
      <c r="K9487" s="29">
        <f>IFERROR(J9487*D9487,0)</f>
      </c>
      <c r="L9487" s="29">
        <f>IFERROR(E9487*C9487,0)</f>
      </c>
      <c r="M9487" s="29">
        <f>IFERROR((G9487*H9487*I9487/1000000)*D9487,0)</f>
      </c>
    </row>
    <row r="9488" spans="1:13" x14ac:dyDescent="0.25">
      <c r="A9488" s="16"/>
      <c r="E9488" s="27"/>
      <c r="F9488" t="s">
        <v>26</v>
      </c>
      <c r="G9488" s="28">
        <f>IFERROR(VLOOKUP(F9488,CARTON_LOOKUP!$A:$E,3,0),"")</f>
      </c>
      <c r="H9488" s="28">
        <f>IFERROR(VLOOKUP(F9488,CARTON_LOOKUP!$A:$E,4,0),"")</f>
      </c>
      <c r="I9488" s="28">
        <f>IFERROR(VLOOKUP(F9488,CARTON_LOOKUP!$A:$E,5,0),"")</f>
      </c>
      <c r="J9488" s="29">
        <f>IFERROR(VLOOKUP(F9488,CARTON_LOOKUP!$A:$E,2,0),"")</f>
      </c>
      <c r="K9488" s="29">
        <f>IFERROR(J9488*D9488,0)</f>
      </c>
      <c r="L9488" s="29">
        <f>IFERROR(E9488*C9488,0)</f>
      </c>
      <c r="M9488" s="29">
        <f>IFERROR((G9488*H9488*I9488/1000000)*D9488,0)</f>
      </c>
    </row>
    <row r="9489" spans="1:13" x14ac:dyDescent="0.25">
      <c r="A9489" s="16"/>
      <c r="E9489" s="27"/>
      <c r="F9489" t="s">
        <v>26</v>
      </c>
      <c r="G9489" s="28">
        <f>IFERROR(VLOOKUP(F9489,CARTON_LOOKUP!$A:$E,3,0),"")</f>
      </c>
      <c r="H9489" s="28">
        <f>IFERROR(VLOOKUP(F9489,CARTON_LOOKUP!$A:$E,4,0),"")</f>
      </c>
      <c r="I9489" s="28">
        <f>IFERROR(VLOOKUP(F9489,CARTON_LOOKUP!$A:$E,5,0),"")</f>
      </c>
      <c r="J9489" s="29">
        <f>IFERROR(VLOOKUP(F9489,CARTON_LOOKUP!$A:$E,2,0),"")</f>
      </c>
      <c r="K9489" s="29">
        <f>IFERROR(J9489*D9489,0)</f>
      </c>
      <c r="L9489" s="29">
        <f>IFERROR(E9489*C9489,0)</f>
      </c>
      <c r="M9489" s="29">
        <f>IFERROR((G9489*H9489*I9489/1000000)*D9489,0)</f>
      </c>
    </row>
    <row r="9490" spans="1:13" x14ac:dyDescent="0.25">
      <c r="A9490" s="16"/>
      <c r="E9490" s="27"/>
      <c r="F9490" t="s">
        <v>26</v>
      </c>
      <c r="G9490" s="28">
        <f>IFERROR(VLOOKUP(F9490,CARTON_LOOKUP!$A:$E,3,0),"")</f>
      </c>
      <c r="H9490" s="28">
        <f>IFERROR(VLOOKUP(F9490,CARTON_LOOKUP!$A:$E,4,0),"")</f>
      </c>
      <c r="I9490" s="28">
        <f>IFERROR(VLOOKUP(F9490,CARTON_LOOKUP!$A:$E,5,0),"")</f>
      </c>
      <c r="J9490" s="29">
        <f>IFERROR(VLOOKUP(F9490,CARTON_LOOKUP!$A:$E,2,0),"")</f>
      </c>
      <c r="K9490" s="29">
        <f>IFERROR(J9490*D9490,0)</f>
      </c>
      <c r="L9490" s="29">
        <f>IFERROR(E9490*C9490,0)</f>
      </c>
      <c r="M9490" s="29">
        <f>IFERROR((G9490*H9490*I9490/1000000)*D9490,0)</f>
      </c>
    </row>
    <row r="9491" spans="1:13" x14ac:dyDescent="0.25">
      <c r="A9491" s="16"/>
      <c r="E9491" s="27"/>
      <c r="F9491" t="s">
        <v>26</v>
      </c>
      <c r="G9491" s="28">
        <f>IFERROR(VLOOKUP(F9491,CARTON_LOOKUP!$A:$E,3,0),"")</f>
      </c>
      <c r="H9491" s="28">
        <f>IFERROR(VLOOKUP(F9491,CARTON_LOOKUP!$A:$E,4,0),"")</f>
      </c>
      <c r="I9491" s="28">
        <f>IFERROR(VLOOKUP(F9491,CARTON_LOOKUP!$A:$E,5,0),"")</f>
      </c>
      <c r="J9491" s="29">
        <f>IFERROR(VLOOKUP(F9491,CARTON_LOOKUP!$A:$E,2,0),"")</f>
      </c>
      <c r="K9491" s="29">
        <f>IFERROR(J9491*D9491,0)</f>
      </c>
      <c r="L9491" s="29">
        <f>IFERROR(E9491*C9491,0)</f>
      </c>
      <c r="M9491" s="29">
        <f>IFERROR((G9491*H9491*I9491/1000000)*D9491,0)</f>
      </c>
    </row>
    <row r="9492" spans="1:13" x14ac:dyDescent="0.25">
      <c r="A9492" s="16"/>
      <c r="E9492" s="27"/>
      <c r="F9492" t="s">
        <v>26</v>
      </c>
      <c r="G9492" s="28">
        <f>IFERROR(VLOOKUP(F9492,CARTON_LOOKUP!$A:$E,3,0),"")</f>
      </c>
      <c r="H9492" s="28">
        <f>IFERROR(VLOOKUP(F9492,CARTON_LOOKUP!$A:$E,4,0),"")</f>
      </c>
      <c r="I9492" s="28">
        <f>IFERROR(VLOOKUP(F9492,CARTON_LOOKUP!$A:$E,5,0),"")</f>
      </c>
      <c r="J9492" s="29">
        <f>IFERROR(VLOOKUP(F9492,CARTON_LOOKUP!$A:$E,2,0),"")</f>
      </c>
      <c r="K9492" s="29">
        <f>IFERROR(J9492*D9492,0)</f>
      </c>
      <c r="L9492" s="29">
        <f>IFERROR(E9492*C9492,0)</f>
      </c>
      <c r="M9492" s="29">
        <f>IFERROR((G9492*H9492*I9492/1000000)*D9492,0)</f>
      </c>
    </row>
    <row r="9493" spans="1:13" x14ac:dyDescent="0.25">
      <c r="A9493" s="16"/>
      <c r="E9493" s="27"/>
      <c r="F9493" t="s">
        <v>26</v>
      </c>
      <c r="G9493" s="28">
        <f>IFERROR(VLOOKUP(F9493,CARTON_LOOKUP!$A:$E,3,0),"")</f>
      </c>
      <c r="H9493" s="28">
        <f>IFERROR(VLOOKUP(F9493,CARTON_LOOKUP!$A:$E,4,0),"")</f>
      </c>
      <c r="I9493" s="28">
        <f>IFERROR(VLOOKUP(F9493,CARTON_LOOKUP!$A:$E,5,0),"")</f>
      </c>
      <c r="J9493" s="29">
        <f>IFERROR(VLOOKUP(F9493,CARTON_LOOKUP!$A:$E,2,0),"")</f>
      </c>
      <c r="K9493" s="29">
        <f>IFERROR(J9493*D9493,0)</f>
      </c>
      <c r="L9493" s="29">
        <f>IFERROR(E9493*C9493,0)</f>
      </c>
      <c r="M9493" s="29">
        <f>IFERROR((G9493*H9493*I9493/1000000)*D9493,0)</f>
      </c>
    </row>
    <row r="9494" spans="1:13" x14ac:dyDescent="0.25">
      <c r="A9494" s="16"/>
      <c r="E9494" s="27"/>
      <c r="F9494" t="s">
        <v>26</v>
      </c>
      <c r="G9494" s="28">
        <f>IFERROR(VLOOKUP(F9494,CARTON_LOOKUP!$A:$E,3,0),"")</f>
      </c>
      <c r="H9494" s="28">
        <f>IFERROR(VLOOKUP(F9494,CARTON_LOOKUP!$A:$E,4,0),"")</f>
      </c>
      <c r="I9494" s="28">
        <f>IFERROR(VLOOKUP(F9494,CARTON_LOOKUP!$A:$E,5,0),"")</f>
      </c>
      <c r="J9494" s="29">
        <f>IFERROR(VLOOKUP(F9494,CARTON_LOOKUP!$A:$E,2,0),"")</f>
      </c>
      <c r="K9494" s="29">
        <f>IFERROR(J9494*D9494,0)</f>
      </c>
      <c r="L9494" s="29">
        <f>IFERROR(E9494*C9494,0)</f>
      </c>
      <c r="M9494" s="29">
        <f>IFERROR((G9494*H9494*I9494/1000000)*D9494,0)</f>
      </c>
    </row>
    <row r="9495" spans="1:13" x14ac:dyDescent="0.25">
      <c r="A9495" s="16"/>
      <c r="E9495" s="27"/>
      <c r="F9495" t="s">
        <v>26</v>
      </c>
      <c r="G9495" s="28">
        <f>IFERROR(VLOOKUP(F9495,CARTON_LOOKUP!$A:$E,3,0),"")</f>
      </c>
      <c r="H9495" s="28">
        <f>IFERROR(VLOOKUP(F9495,CARTON_LOOKUP!$A:$E,4,0),"")</f>
      </c>
      <c r="I9495" s="28">
        <f>IFERROR(VLOOKUP(F9495,CARTON_LOOKUP!$A:$E,5,0),"")</f>
      </c>
      <c r="J9495" s="29">
        <f>IFERROR(VLOOKUP(F9495,CARTON_LOOKUP!$A:$E,2,0),"")</f>
      </c>
      <c r="K9495" s="29">
        <f>IFERROR(J9495*D9495,0)</f>
      </c>
      <c r="L9495" s="29">
        <f>IFERROR(E9495*C9495,0)</f>
      </c>
      <c r="M9495" s="29">
        <f>IFERROR((G9495*H9495*I9495/1000000)*D9495,0)</f>
      </c>
    </row>
    <row r="9496" spans="1:13" x14ac:dyDescent="0.25">
      <c r="A9496" s="16"/>
      <c r="E9496" s="27"/>
      <c r="F9496" t="s">
        <v>26</v>
      </c>
      <c r="G9496" s="28">
        <f>IFERROR(VLOOKUP(F9496,CARTON_LOOKUP!$A:$E,3,0),"")</f>
      </c>
      <c r="H9496" s="28">
        <f>IFERROR(VLOOKUP(F9496,CARTON_LOOKUP!$A:$E,4,0),"")</f>
      </c>
      <c r="I9496" s="28">
        <f>IFERROR(VLOOKUP(F9496,CARTON_LOOKUP!$A:$E,5,0),"")</f>
      </c>
      <c r="J9496" s="29">
        <f>IFERROR(VLOOKUP(F9496,CARTON_LOOKUP!$A:$E,2,0),"")</f>
      </c>
      <c r="K9496" s="29">
        <f>IFERROR(J9496*D9496,0)</f>
      </c>
      <c r="L9496" s="29">
        <f>IFERROR(E9496*C9496,0)</f>
      </c>
      <c r="M9496" s="29">
        <f>IFERROR((G9496*H9496*I9496/1000000)*D9496,0)</f>
      </c>
    </row>
    <row r="9497" spans="1:13" x14ac:dyDescent="0.25">
      <c r="A9497" s="16"/>
      <c r="E9497" s="27"/>
      <c r="F9497" t="s">
        <v>26</v>
      </c>
      <c r="G9497" s="28">
        <f>IFERROR(VLOOKUP(F9497,CARTON_LOOKUP!$A:$E,3,0),"")</f>
      </c>
      <c r="H9497" s="28">
        <f>IFERROR(VLOOKUP(F9497,CARTON_LOOKUP!$A:$E,4,0),"")</f>
      </c>
      <c r="I9497" s="28">
        <f>IFERROR(VLOOKUP(F9497,CARTON_LOOKUP!$A:$E,5,0),"")</f>
      </c>
      <c r="J9497" s="29">
        <f>IFERROR(VLOOKUP(F9497,CARTON_LOOKUP!$A:$E,2,0),"")</f>
      </c>
      <c r="K9497" s="29">
        <f>IFERROR(J9497*D9497,0)</f>
      </c>
      <c r="L9497" s="29">
        <f>IFERROR(E9497*C9497,0)</f>
      </c>
      <c r="M9497" s="29">
        <f>IFERROR((G9497*H9497*I9497/1000000)*D9497,0)</f>
      </c>
    </row>
    <row r="9498" spans="1:13" x14ac:dyDescent="0.25">
      <c r="A9498" s="16"/>
      <c r="E9498" s="27"/>
      <c r="F9498" t="s">
        <v>26</v>
      </c>
      <c r="G9498" s="28">
        <f>IFERROR(VLOOKUP(F9498,CARTON_LOOKUP!$A:$E,3,0),"")</f>
      </c>
      <c r="H9498" s="28">
        <f>IFERROR(VLOOKUP(F9498,CARTON_LOOKUP!$A:$E,4,0),"")</f>
      </c>
      <c r="I9498" s="28">
        <f>IFERROR(VLOOKUP(F9498,CARTON_LOOKUP!$A:$E,5,0),"")</f>
      </c>
      <c r="J9498" s="29">
        <f>IFERROR(VLOOKUP(F9498,CARTON_LOOKUP!$A:$E,2,0),"")</f>
      </c>
      <c r="K9498" s="29">
        <f>IFERROR(J9498*D9498,0)</f>
      </c>
      <c r="L9498" s="29">
        <f>IFERROR(E9498*C9498,0)</f>
      </c>
      <c r="M9498" s="29">
        <f>IFERROR((G9498*H9498*I9498/1000000)*D9498,0)</f>
      </c>
    </row>
    <row r="9499" spans="1:13" x14ac:dyDescent="0.25">
      <c r="A9499" s="16"/>
      <c r="E9499" s="27"/>
      <c r="F9499" t="s">
        <v>26</v>
      </c>
      <c r="G9499" s="28">
        <f>IFERROR(VLOOKUP(F9499,CARTON_LOOKUP!$A:$E,3,0),"")</f>
      </c>
      <c r="H9499" s="28">
        <f>IFERROR(VLOOKUP(F9499,CARTON_LOOKUP!$A:$E,4,0),"")</f>
      </c>
      <c r="I9499" s="28">
        <f>IFERROR(VLOOKUP(F9499,CARTON_LOOKUP!$A:$E,5,0),"")</f>
      </c>
      <c r="J9499" s="29">
        <f>IFERROR(VLOOKUP(F9499,CARTON_LOOKUP!$A:$E,2,0),"")</f>
      </c>
      <c r="K9499" s="29">
        <f>IFERROR(J9499*D9499,0)</f>
      </c>
      <c r="L9499" s="29">
        <f>IFERROR(E9499*C9499,0)</f>
      </c>
      <c r="M9499" s="29">
        <f>IFERROR((G9499*H9499*I9499/1000000)*D9499,0)</f>
      </c>
    </row>
    <row r="9500" spans="1:13" x14ac:dyDescent="0.25">
      <c r="A9500" s="16"/>
      <c r="E9500" s="27"/>
      <c r="F9500" t="s">
        <v>26</v>
      </c>
      <c r="G9500" s="28">
        <f>IFERROR(VLOOKUP(F9500,CARTON_LOOKUP!$A:$E,3,0),"")</f>
      </c>
      <c r="H9500" s="28">
        <f>IFERROR(VLOOKUP(F9500,CARTON_LOOKUP!$A:$E,4,0),"")</f>
      </c>
      <c r="I9500" s="28">
        <f>IFERROR(VLOOKUP(F9500,CARTON_LOOKUP!$A:$E,5,0),"")</f>
      </c>
      <c r="J9500" s="29">
        <f>IFERROR(VLOOKUP(F9500,CARTON_LOOKUP!$A:$E,2,0),"")</f>
      </c>
      <c r="K9500" s="29">
        <f>IFERROR(J9500*D9500,0)</f>
      </c>
      <c r="L9500" s="29">
        <f>IFERROR(E9500*C9500,0)</f>
      </c>
      <c r="M9500" s="29">
        <f>IFERROR((G9500*H9500*I9500/1000000)*D9500,0)</f>
      </c>
    </row>
    <row r="9501" spans="1:13" x14ac:dyDescent="0.25">
      <c r="A9501" s="16"/>
      <c r="E9501" s="27"/>
      <c r="F9501" t="s">
        <v>26</v>
      </c>
      <c r="G9501" s="28">
        <f>IFERROR(VLOOKUP(F9501,CARTON_LOOKUP!$A:$E,3,0),"")</f>
      </c>
      <c r="H9501" s="28">
        <f>IFERROR(VLOOKUP(F9501,CARTON_LOOKUP!$A:$E,4,0),"")</f>
      </c>
      <c r="I9501" s="28">
        <f>IFERROR(VLOOKUP(F9501,CARTON_LOOKUP!$A:$E,5,0),"")</f>
      </c>
      <c r="J9501" s="29">
        <f>IFERROR(VLOOKUP(F9501,CARTON_LOOKUP!$A:$E,2,0),"")</f>
      </c>
      <c r="K9501" s="29">
        <f>IFERROR(J9501*D9501,0)</f>
      </c>
      <c r="L9501" s="29">
        <f>IFERROR(E9501*C9501,0)</f>
      </c>
      <c r="M9501" s="29">
        <f>IFERROR((G9501*H9501*I9501/1000000)*D9501,0)</f>
      </c>
    </row>
    <row r="9502" spans="1:13" x14ac:dyDescent="0.25">
      <c r="A9502" s="16"/>
      <c r="E9502" s="27"/>
      <c r="F9502" t="s">
        <v>26</v>
      </c>
      <c r="G9502" s="28">
        <f>IFERROR(VLOOKUP(F9502,CARTON_LOOKUP!$A:$E,3,0),"")</f>
      </c>
      <c r="H9502" s="28">
        <f>IFERROR(VLOOKUP(F9502,CARTON_LOOKUP!$A:$E,4,0),"")</f>
      </c>
      <c r="I9502" s="28">
        <f>IFERROR(VLOOKUP(F9502,CARTON_LOOKUP!$A:$E,5,0),"")</f>
      </c>
      <c r="J9502" s="29">
        <f>IFERROR(VLOOKUP(F9502,CARTON_LOOKUP!$A:$E,2,0),"")</f>
      </c>
      <c r="K9502" s="29">
        <f>IFERROR(J9502*D9502,0)</f>
      </c>
      <c r="L9502" s="29">
        <f>IFERROR(E9502*C9502,0)</f>
      </c>
      <c r="M9502" s="29">
        <f>IFERROR((G9502*H9502*I9502/1000000)*D9502,0)</f>
      </c>
    </row>
    <row r="9503" spans="1:13" x14ac:dyDescent="0.25">
      <c r="A9503" s="16"/>
      <c r="E9503" s="27"/>
      <c r="F9503" t="s">
        <v>26</v>
      </c>
      <c r="G9503" s="28">
        <f>IFERROR(VLOOKUP(F9503,CARTON_LOOKUP!$A:$E,3,0),"")</f>
      </c>
      <c r="H9503" s="28">
        <f>IFERROR(VLOOKUP(F9503,CARTON_LOOKUP!$A:$E,4,0),"")</f>
      </c>
      <c r="I9503" s="28">
        <f>IFERROR(VLOOKUP(F9503,CARTON_LOOKUP!$A:$E,5,0),"")</f>
      </c>
      <c r="J9503" s="29">
        <f>IFERROR(VLOOKUP(F9503,CARTON_LOOKUP!$A:$E,2,0),"")</f>
      </c>
      <c r="K9503" s="29">
        <f>IFERROR(J9503*D9503,0)</f>
      </c>
      <c r="L9503" s="29">
        <f>IFERROR(E9503*C9503,0)</f>
      </c>
      <c r="M9503" s="29">
        <f>IFERROR((G9503*H9503*I9503/1000000)*D9503,0)</f>
      </c>
    </row>
    <row r="9504" spans="1:13" x14ac:dyDescent="0.25">
      <c r="A9504" s="16"/>
      <c r="E9504" s="27"/>
      <c r="F9504" t="s">
        <v>26</v>
      </c>
      <c r="G9504" s="28">
        <f>IFERROR(VLOOKUP(F9504,CARTON_LOOKUP!$A:$E,3,0),"")</f>
      </c>
      <c r="H9504" s="28">
        <f>IFERROR(VLOOKUP(F9504,CARTON_LOOKUP!$A:$E,4,0),"")</f>
      </c>
      <c r="I9504" s="28">
        <f>IFERROR(VLOOKUP(F9504,CARTON_LOOKUP!$A:$E,5,0),"")</f>
      </c>
      <c r="J9504" s="29">
        <f>IFERROR(VLOOKUP(F9504,CARTON_LOOKUP!$A:$E,2,0),"")</f>
      </c>
      <c r="K9504" s="29">
        <f>IFERROR(J9504*D9504,0)</f>
      </c>
      <c r="L9504" s="29">
        <f>IFERROR(E9504*C9504,0)</f>
      </c>
      <c r="M9504" s="29">
        <f>IFERROR((G9504*H9504*I9504/1000000)*D9504,0)</f>
      </c>
    </row>
    <row r="9505" spans="1:13" x14ac:dyDescent="0.25">
      <c r="A9505" s="16"/>
      <c r="E9505" s="27"/>
      <c r="F9505" t="s">
        <v>26</v>
      </c>
      <c r="G9505" s="28">
        <f>IFERROR(VLOOKUP(F9505,CARTON_LOOKUP!$A:$E,3,0),"")</f>
      </c>
      <c r="H9505" s="28">
        <f>IFERROR(VLOOKUP(F9505,CARTON_LOOKUP!$A:$E,4,0),"")</f>
      </c>
      <c r="I9505" s="28">
        <f>IFERROR(VLOOKUP(F9505,CARTON_LOOKUP!$A:$E,5,0),"")</f>
      </c>
      <c r="J9505" s="29">
        <f>IFERROR(VLOOKUP(F9505,CARTON_LOOKUP!$A:$E,2,0),"")</f>
      </c>
      <c r="K9505" s="29">
        <f>IFERROR(J9505*D9505,0)</f>
      </c>
      <c r="L9505" s="29">
        <f>IFERROR(E9505*C9505,0)</f>
      </c>
      <c r="M9505" s="29">
        <f>IFERROR((G9505*H9505*I9505/1000000)*D9505,0)</f>
      </c>
    </row>
    <row r="9506" spans="1:13" x14ac:dyDescent="0.25">
      <c r="A9506" s="16"/>
      <c r="E9506" s="27"/>
      <c r="F9506" t="s">
        <v>26</v>
      </c>
      <c r="G9506" s="28">
        <f>IFERROR(VLOOKUP(F9506,CARTON_LOOKUP!$A:$E,3,0),"")</f>
      </c>
      <c r="H9506" s="28">
        <f>IFERROR(VLOOKUP(F9506,CARTON_LOOKUP!$A:$E,4,0),"")</f>
      </c>
      <c r="I9506" s="28">
        <f>IFERROR(VLOOKUP(F9506,CARTON_LOOKUP!$A:$E,5,0),"")</f>
      </c>
      <c r="J9506" s="29">
        <f>IFERROR(VLOOKUP(F9506,CARTON_LOOKUP!$A:$E,2,0),"")</f>
      </c>
      <c r="K9506" s="29">
        <f>IFERROR(J9506*D9506,0)</f>
      </c>
      <c r="L9506" s="29">
        <f>IFERROR(E9506*C9506,0)</f>
      </c>
      <c r="M9506" s="29">
        <f>IFERROR((G9506*H9506*I9506/1000000)*D9506,0)</f>
      </c>
    </row>
    <row r="9507" spans="1:13" x14ac:dyDescent="0.25">
      <c r="A9507" s="16"/>
      <c r="E9507" s="27"/>
      <c r="F9507" t="s">
        <v>26</v>
      </c>
      <c r="G9507" s="28">
        <f>IFERROR(VLOOKUP(F9507,CARTON_LOOKUP!$A:$E,3,0),"")</f>
      </c>
      <c r="H9507" s="28">
        <f>IFERROR(VLOOKUP(F9507,CARTON_LOOKUP!$A:$E,4,0),"")</f>
      </c>
      <c r="I9507" s="28">
        <f>IFERROR(VLOOKUP(F9507,CARTON_LOOKUP!$A:$E,5,0),"")</f>
      </c>
      <c r="J9507" s="29">
        <f>IFERROR(VLOOKUP(F9507,CARTON_LOOKUP!$A:$E,2,0),"")</f>
      </c>
      <c r="K9507" s="29">
        <f>IFERROR(J9507*D9507,0)</f>
      </c>
      <c r="L9507" s="29">
        <f>IFERROR(E9507*C9507,0)</f>
      </c>
      <c r="M9507" s="29">
        <f>IFERROR((G9507*H9507*I9507/1000000)*D9507,0)</f>
      </c>
    </row>
    <row r="9508" spans="1:13" x14ac:dyDescent="0.25">
      <c r="A9508" s="16"/>
      <c r="E9508" s="27"/>
      <c r="F9508" t="s">
        <v>26</v>
      </c>
      <c r="G9508" s="28">
        <f>IFERROR(VLOOKUP(F9508,CARTON_LOOKUP!$A:$E,3,0),"")</f>
      </c>
      <c r="H9508" s="28">
        <f>IFERROR(VLOOKUP(F9508,CARTON_LOOKUP!$A:$E,4,0),"")</f>
      </c>
      <c r="I9508" s="28">
        <f>IFERROR(VLOOKUP(F9508,CARTON_LOOKUP!$A:$E,5,0),"")</f>
      </c>
      <c r="J9508" s="29">
        <f>IFERROR(VLOOKUP(F9508,CARTON_LOOKUP!$A:$E,2,0),"")</f>
      </c>
      <c r="K9508" s="29">
        <f>IFERROR(J9508*D9508,0)</f>
      </c>
      <c r="L9508" s="29">
        <f>IFERROR(E9508*C9508,0)</f>
      </c>
      <c r="M9508" s="29">
        <f>IFERROR((G9508*H9508*I9508/1000000)*D9508,0)</f>
      </c>
    </row>
    <row r="9509" spans="1:13" x14ac:dyDescent="0.25">
      <c r="A9509" s="16"/>
      <c r="E9509" s="27"/>
      <c r="F9509" t="s">
        <v>26</v>
      </c>
      <c r="G9509" s="28">
        <f>IFERROR(VLOOKUP(F9509,CARTON_LOOKUP!$A:$E,3,0),"")</f>
      </c>
      <c r="H9509" s="28">
        <f>IFERROR(VLOOKUP(F9509,CARTON_LOOKUP!$A:$E,4,0),"")</f>
      </c>
      <c r="I9509" s="28">
        <f>IFERROR(VLOOKUP(F9509,CARTON_LOOKUP!$A:$E,5,0),"")</f>
      </c>
      <c r="J9509" s="29">
        <f>IFERROR(VLOOKUP(F9509,CARTON_LOOKUP!$A:$E,2,0),"")</f>
      </c>
      <c r="K9509" s="29">
        <f>IFERROR(J9509*D9509,0)</f>
      </c>
      <c r="L9509" s="29">
        <f>IFERROR(E9509*C9509,0)</f>
      </c>
      <c r="M9509" s="29">
        <f>IFERROR((G9509*H9509*I9509/1000000)*D9509,0)</f>
      </c>
    </row>
    <row r="9510" spans="1:13" x14ac:dyDescent="0.25">
      <c r="A9510" s="16"/>
      <c r="E9510" s="27"/>
      <c r="F9510" t="s">
        <v>26</v>
      </c>
      <c r="G9510" s="28">
        <f>IFERROR(VLOOKUP(F9510,CARTON_LOOKUP!$A:$E,3,0),"")</f>
      </c>
      <c r="H9510" s="28">
        <f>IFERROR(VLOOKUP(F9510,CARTON_LOOKUP!$A:$E,4,0),"")</f>
      </c>
      <c r="I9510" s="28">
        <f>IFERROR(VLOOKUP(F9510,CARTON_LOOKUP!$A:$E,5,0),"")</f>
      </c>
      <c r="J9510" s="29">
        <f>IFERROR(VLOOKUP(F9510,CARTON_LOOKUP!$A:$E,2,0),"")</f>
      </c>
      <c r="K9510" s="29">
        <f>IFERROR(J9510*D9510,0)</f>
      </c>
      <c r="L9510" s="29">
        <f>IFERROR(E9510*C9510,0)</f>
      </c>
      <c r="M9510" s="29">
        <f>IFERROR((G9510*H9510*I9510/1000000)*D9510,0)</f>
      </c>
    </row>
    <row r="9511" spans="1:13" x14ac:dyDescent="0.25">
      <c r="A9511" s="16"/>
      <c r="E9511" s="27"/>
      <c r="F9511" t="s">
        <v>26</v>
      </c>
      <c r="G9511" s="28">
        <f>IFERROR(VLOOKUP(F9511,CARTON_LOOKUP!$A:$E,3,0),"")</f>
      </c>
      <c r="H9511" s="28">
        <f>IFERROR(VLOOKUP(F9511,CARTON_LOOKUP!$A:$E,4,0),"")</f>
      </c>
      <c r="I9511" s="28">
        <f>IFERROR(VLOOKUP(F9511,CARTON_LOOKUP!$A:$E,5,0),"")</f>
      </c>
      <c r="J9511" s="29">
        <f>IFERROR(VLOOKUP(F9511,CARTON_LOOKUP!$A:$E,2,0),"")</f>
      </c>
      <c r="K9511" s="29">
        <f>IFERROR(J9511*D9511,0)</f>
      </c>
      <c r="L9511" s="29">
        <f>IFERROR(E9511*C9511,0)</f>
      </c>
      <c r="M9511" s="29">
        <f>IFERROR((G9511*H9511*I9511/1000000)*D9511,0)</f>
      </c>
    </row>
    <row r="9512" spans="1:13" x14ac:dyDescent="0.25">
      <c r="A9512" s="16"/>
      <c r="E9512" s="27"/>
      <c r="F9512" t="s">
        <v>26</v>
      </c>
      <c r="G9512" s="28">
        <f>IFERROR(VLOOKUP(F9512,CARTON_LOOKUP!$A:$E,3,0),"")</f>
      </c>
      <c r="H9512" s="28">
        <f>IFERROR(VLOOKUP(F9512,CARTON_LOOKUP!$A:$E,4,0),"")</f>
      </c>
      <c r="I9512" s="28">
        <f>IFERROR(VLOOKUP(F9512,CARTON_LOOKUP!$A:$E,5,0),"")</f>
      </c>
      <c r="J9512" s="29">
        <f>IFERROR(VLOOKUP(F9512,CARTON_LOOKUP!$A:$E,2,0),"")</f>
      </c>
      <c r="K9512" s="29">
        <f>IFERROR(J9512*D9512,0)</f>
      </c>
      <c r="L9512" s="29">
        <f>IFERROR(E9512*C9512,0)</f>
      </c>
      <c r="M9512" s="29">
        <f>IFERROR((G9512*H9512*I9512/1000000)*D9512,0)</f>
      </c>
    </row>
    <row r="9513" spans="1:13" x14ac:dyDescent="0.25">
      <c r="A9513" s="16"/>
      <c r="E9513" s="27"/>
      <c r="F9513" t="s">
        <v>26</v>
      </c>
      <c r="G9513" s="28">
        <f>IFERROR(VLOOKUP(F9513,CARTON_LOOKUP!$A:$E,3,0),"")</f>
      </c>
      <c r="H9513" s="28">
        <f>IFERROR(VLOOKUP(F9513,CARTON_LOOKUP!$A:$E,4,0),"")</f>
      </c>
      <c r="I9513" s="28">
        <f>IFERROR(VLOOKUP(F9513,CARTON_LOOKUP!$A:$E,5,0),"")</f>
      </c>
      <c r="J9513" s="29">
        <f>IFERROR(VLOOKUP(F9513,CARTON_LOOKUP!$A:$E,2,0),"")</f>
      </c>
      <c r="K9513" s="29">
        <f>IFERROR(J9513*D9513,0)</f>
      </c>
      <c r="L9513" s="29">
        <f>IFERROR(E9513*C9513,0)</f>
      </c>
      <c r="M9513" s="29">
        <f>IFERROR((G9513*H9513*I9513/1000000)*D9513,0)</f>
      </c>
    </row>
    <row r="9514" spans="1:13" x14ac:dyDescent="0.25">
      <c r="A9514" s="16"/>
      <c r="E9514" s="27"/>
      <c r="F9514" t="s">
        <v>26</v>
      </c>
      <c r="G9514" s="28">
        <f>IFERROR(VLOOKUP(F9514,CARTON_LOOKUP!$A:$E,3,0),"")</f>
      </c>
      <c r="H9514" s="28">
        <f>IFERROR(VLOOKUP(F9514,CARTON_LOOKUP!$A:$E,4,0),"")</f>
      </c>
      <c r="I9514" s="28">
        <f>IFERROR(VLOOKUP(F9514,CARTON_LOOKUP!$A:$E,5,0),"")</f>
      </c>
      <c r="J9514" s="29">
        <f>IFERROR(VLOOKUP(F9514,CARTON_LOOKUP!$A:$E,2,0),"")</f>
      </c>
      <c r="K9514" s="29">
        <f>IFERROR(J9514*D9514,0)</f>
      </c>
      <c r="L9514" s="29">
        <f>IFERROR(E9514*C9514,0)</f>
      </c>
      <c r="M9514" s="29">
        <f>IFERROR((G9514*H9514*I9514/1000000)*D9514,0)</f>
      </c>
    </row>
    <row r="9515" spans="1:13" x14ac:dyDescent="0.25">
      <c r="A9515" s="16"/>
      <c r="E9515" s="27"/>
      <c r="F9515" t="s">
        <v>26</v>
      </c>
      <c r="G9515" s="28">
        <f>IFERROR(VLOOKUP(F9515,CARTON_LOOKUP!$A:$E,3,0),"")</f>
      </c>
      <c r="H9515" s="28">
        <f>IFERROR(VLOOKUP(F9515,CARTON_LOOKUP!$A:$E,4,0),"")</f>
      </c>
      <c r="I9515" s="28">
        <f>IFERROR(VLOOKUP(F9515,CARTON_LOOKUP!$A:$E,5,0),"")</f>
      </c>
      <c r="J9515" s="29">
        <f>IFERROR(VLOOKUP(F9515,CARTON_LOOKUP!$A:$E,2,0),"")</f>
      </c>
      <c r="K9515" s="29">
        <f>IFERROR(J9515*D9515,0)</f>
      </c>
      <c r="L9515" s="29">
        <f>IFERROR(E9515*C9515,0)</f>
      </c>
      <c r="M9515" s="29">
        <f>IFERROR((G9515*H9515*I9515/1000000)*D9515,0)</f>
      </c>
    </row>
    <row r="9516" spans="1:13" x14ac:dyDescent="0.25">
      <c r="A9516" s="16"/>
      <c r="E9516" s="27"/>
      <c r="F9516" t="s">
        <v>26</v>
      </c>
      <c r="G9516" s="28">
        <f>IFERROR(VLOOKUP(F9516,CARTON_LOOKUP!$A:$E,3,0),"")</f>
      </c>
      <c r="H9516" s="28">
        <f>IFERROR(VLOOKUP(F9516,CARTON_LOOKUP!$A:$E,4,0),"")</f>
      </c>
      <c r="I9516" s="28">
        <f>IFERROR(VLOOKUP(F9516,CARTON_LOOKUP!$A:$E,5,0),"")</f>
      </c>
      <c r="J9516" s="29">
        <f>IFERROR(VLOOKUP(F9516,CARTON_LOOKUP!$A:$E,2,0),"")</f>
      </c>
      <c r="K9516" s="29">
        <f>IFERROR(J9516*D9516,0)</f>
      </c>
      <c r="L9516" s="29">
        <f>IFERROR(E9516*C9516,0)</f>
      </c>
      <c r="M9516" s="29">
        <f>IFERROR((G9516*H9516*I9516/1000000)*D9516,0)</f>
      </c>
    </row>
    <row r="9517" spans="1:13" x14ac:dyDescent="0.25">
      <c r="A9517" s="16"/>
      <c r="E9517" s="27"/>
      <c r="F9517" t="s">
        <v>26</v>
      </c>
      <c r="G9517" s="28">
        <f>IFERROR(VLOOKUP(F9517,CARTON_LOOKUP!$A:$E,3,0),"")</f>
      </c>
      <c r="H9517" s="28">
        <f>IFERROR(VLOOKUP(F9517,CARTON_LOOKUP!$A:$E,4,0),"")</f>
      </c>
      <c r="I9517" s="28">
        <f>IFERROR(VLOOKUP(F9517,CARTON_LOOKUP!$A:$E,5,0),"")</f>
      </c>
      <c r="J9517" s="29">
        <f>IFERROR(VLOOKUP(F9517,CARTON_LOOKUP!$A:$E,2,0),"")</f>
      </c>
      <c r="K9517" s="29">
        <f>IFERROR(J9517*D9517,0)</f>
      </c>
      <c r="L9517" s="29">
        <f>IFERROR(E9517*C9517,0)</f>
      </c>
      <c r="M9517" s="29">
        <f>IFERROR((G9517*H9517*I9517/1000000)*D9517,0)</f>
      </c>
    </row>
    <row r="9518" spans="1:13" x14ac:dyDescent="0.25">
      <c r="A9518" s="16"/>
      <c r="E9518" s="27"/>
      <c r="F9518" t="s">
        <v>26</v>
      </c>
      <c r="G9518" s="28">
        <f>IFERROR(VLOOKUP(F9518,CARTON_LOOKUP!$A:$E,3,0),"")</f>
      </c>
      <c r="H9518" s="28">
        <f>IFERROR(VLOOKUP(F9518,CARTON_LOOKUP!$A:$E,4,0),"")</f>
      </c>
      <c r="I9518" s="28">
        <f>IFERROR(VLOOKUP(F9518,CARTON_LOOKUP!$A:$E,5,0),"")</f>
      </c>
      <c r="J9518" s="29">
        <f>IFERROR(VLOOKUP(F9518,CARTON_LOOKUP!$A:$E,2,0),"")</f>
      </c>
      <c r="K9518" s="29">
        <f>IFERROR(J9518*D9518,0)</f>
      </c>
      <c r="L9518" s="29">
        <f>IFERROR(E9518*C9518,0)</f>
      </c>
      <c r="M9518" s="29">
        <f>IFERROR((G9518*H9518*I9518/1000000)*D9518,0)</f>
      </c>
    </row>
    <row r="9519" spans="1:13" x14ac:dyDescent="0.25">
      <c r="A9519" s="16"/>
      <c r="E9519" s="27"/>
      <c r="F9519" t="s">
        <v>26</v>
      </c>
      <c r="G9519" s="28">
        <f>IFERROR(VLOOKUP(F9519,CARTON_LOOKUP!$A:$E,3,0),"")</f>
      </c>
      <c r="H9519" s="28">
        <f>IFERROR(VLOOKUP(F9519,CARTON_LOOKUP!$A:$E,4,0),"")</f>
      </c>
      <c r="I9519" s="28">
        <f>IFERROR(VLOOKUP(F9519,CARTON_LOOKUP!$A:$E,5,0),"")</f>
      </c>
      <c r="J9519" s="29">
        <f>IFERROR(VLOOKUP(F9519,CARTON_LOOKUP!$A:$E,2,0),"")</f>
      </c>
      <c r="K9519" s="29">
        <f>IFERROR(J9519*D9519,0)</f>
      </c>
      <c r="L9519" s="29">
        <f>IFERROR(E9519*C9519,0)</f>
      </c>
      <c r="M9519" s="29">
        <f>IFERROR((G9519*H9519*I9519/1000000)*D9519,0)</f>
      </c>
    </row>
    <row r="9520" spans="1:13" x14ac:dyDescent="0.25">
      <c r="A9520" s="16"/>
      <c r="E9520" s="27"/>
      <c r="F9520" t="s">
        <v>26</v>
      </c>
      <c r="G9520" s="28">
        <f>IFERROR(VLOOKUP(F9520,CARTON_LOOKUP!$A:$E,3,0),"")</f>
      </c>
      <c r="H9520" s="28">
        <f>IFERROR(VLOOKUP(F9520,CARTON_LOOKUP!$A:$E,4,0),"")</f>
      </c>
      <c r="I9520" s="28">
        <f>IFERROR(VLOOKUP(F9520,CARTON_LOOKUP!$A:$E,5,0),"")</f>
      </c>
      <c r="J9520" s="29">
        <f>IFERROR(VLOOKUP(F9520,CARTON_LOOKUP!$A:$E,2,0),"")</f>
      </c>
      <c r="K9520" s="29">
        <f>IFERROR(J9520*D9520,0)</f>
      </c>
      <c r="L9520" s="29">
        <f>IFERROR(E9520*C9520,0)</f>
      </c>
      <c r="M9520" s="29">
        <f>IFERROR((G9520*H9520*I9520/1000000)*D9520,0)</f>
      </c>
    </row>
    <row r="9521" spans="1:13" x14ac:dyDescent="0.25">
      <c r="A9521" s="16"/>
      <c r="E9521" s="27"/>
      <c r="F9521" t="s">
        <v>26</v>
      </c>
      <c r="G9521" s="28">
        <f>IFERROR(VLOOKUP(F9521,CARTON_LOOKUP!$A:$E,3,0),"")</f>
      </c>
      <c r="H9521" s="28">
        <f>IFERROR(VLOOKUP(F9521,CARTON_LOOKUP!$A:$E,4,0),"")</f>
      </c>
      <c r="I9521" s="28">
        <f>IFERROR(VLOOKUP(F9521,CARTON_LOOKUP!$A:$E,5,0),"")</f>
      </c>
      <c r="J9521" s="29">
        <f>IFERROR(VLOOKUP(F9521,CARTON_LOOKUP!$A:$E,2,0),"")</f>
      </c>
      <c r="K9521" s="29">
        <f>IFERROR(J9521*D9521,0)</f>
      </c>
      <c r="L9521" s="29">
        <f>IFERROR(E9521*C9521,0)</f>
      </c>
      <c r="M9521" s="29">
        <f>IFERROR((G9521*H9521*I9521/1000000)*D9521,0)</f>
      </c>
    </row>
    <row r="9522" spans="1:13" x14ac:dyDescent="0.25">
      <c r="A9522" s="16"/>
      <c r="E9522" s="27"/>
      <c r="F9522" t="s">
        <v>26</v>
      </c>
      <c r="G9522" s="28">
        <f>IFERROR(VLOOKUP(F9522,CARTON_LOOKUP!$A:$E,3,0),"")</f>
      </c>
      <c r="H9522" s="28">
        <f>IFERROR(VLOOKUP(F9522,CARTON_LOOKUP!$A:$E,4,0),"")</f>
      </c>
      <c r="I9522" s="28">
        <f>IFERROR(VLOOKUP(F9522,CARTON_LOOKUP!$A:$E,5,0),"")</f>
      </c>
      <c r="J9522" s="29">
        <f>IFERROR(VLOOKUP(F9522,CARTON_LOOKUP!$A:$E,2,0),"")</f>
      </c>
      <c r="K9522" s="29">
        <f>IFERROR(J9522*D9522,0)</f>
      </c>
      <c r="L9522" s="29">
        <f>IFERROR(E9522*C9522,0)</f>
      </c>
      <c r="M9522" s="29">
        <f>IFERROR((G9522*H9522*I9522/1000000)*D9522,0)</f>
      </c>
    </row>
    <row r="9523" spans="1:13" x14ac:dyDescent="0.25">
      <c r="A9523" s="16"/>
      <c r="E9523" s="27"/>
      <c r="F9523" t="s">
        <v>26</v>
      </c>
      <c r="G9523" s="28">
        <f>IFERROR(VLOOKUP(F9523,CARTON_LOOKUP!$A:$E,3,0),"")</f>
      </c>
      <c r="H9523" s="28">
        <f>IFERROR(VLOOKUP(F9523,CARTON_LOOKUP!$A:$E,4,0),"")</f>
      </c>
      <c r="I9523" s="28">
        <f>IFERROR(VLOOKUP(F9523,CARTON_LOOKUP!$A:$E,5,0),"")</f>
      </c>
      <c r="J9523" s="29">
        <f>IFERROR(VLOOKUP(F9523,CARTON_LOOKUP!$A:$E,2,0),"")</f>
      </c>
      <c r="K9523" s="29">
        <f>IFERROR(J9523*D9523,0)</f>
      </c>
      <c r="L9523" s="29">
        <f>IFERROR(E9523*C9523,0)</f>
      </c>
      <c r="M9523" s="29">
        <f>IFERROR((G9523*H9523*I9523/1000000)*D9523,0)</f>
      </c>
    </row>
    <row r="9524" spans="1:13" x14ac:dyDescent="0.25">
      <c r="A9524" s="16"/>
      <c r="E9524" s="27"/>
      <c r="F9524" t="s">
        <v>26</v>
      </c>
      <c r="G9524" s="28">
        <f>IFERROR(VLOOKUP(F9524,CARTON_LOOKUP!$A:$E,3,0),"")</f>
      </c>
      <c r="H9524" s="28">
        <f>IFERROR(VLOOKUP(F9524,CARTON_LOOKUP!$A:$E,4,0),"")</f>
      </c>
      <c r="I9524" s="28">
        <f>IFERROR(VLOOKUP(F9524,CARTON_LOOKUP!$A:$E,5,0),"")</f>
      </c>
      <c r="J9524" s="29">
        <f>IFERROR(VLOOKUP(F9524,CARTON_LOOKUP!$A:$E,2,0),"")</f>
      </c>
      <c r="K9524" s="29">
        <f>IFERROR(J9524*D9524,0)</f>
      </c>
      <c r="L9524" s="29">
        <f>IFERROR(E9524*C9524,0)</f>
      </c>
      <c r="M9524" s="29">
        <f>IFERROR((G9524*H9524*I9524/1000000)*D9524,0)</f>
      </c>
    </row>
    <row r="9525" spans="1:13" x14ac:dyDescent="0.25">
      <c r="A9525" s="16"/>
      <c r="E9525" s="27"/>
      <c r="F9525" t="s">
        <v>26</v>
      </c>
      <c r="G9525" s="28">
        <f>IFERROR(VLOOKUP(F9525,CARTON_LOOKUP!$A:$E,3,0),"")</f>
      </c>
      <c r="H9525" s="28">
        <f>IFERROR(VLOOKUP(F9525,CARTON_LOOKUP!$A:$E,4,0),"")</f>
      </c>
      <c r="I9525" s="28">
        <f>IFERROR(VLOOKUP(F9525,CARTON_LOOKUP!$A:$E,5,0),"")</f>
      </c>
      <c r="J9525" s="29">
        <f>IFERROR(VLOOKUP(F9525,CARTON_LOOKUP!$A:$E,2,0),"")</f>
      </c>
      <c r="K9525" s="29">
        <f>IFERROR(J9525*D9525,0)</f>
      </c>
      <c r="L9525" s="29">
        <f>IFERROR(E9525*C9525,0)</f>
      </c>
      <c r="M9525" s="29">
        <f>IFERROR((G9525*H9525*I9525/1000000)*D9525,0)</f>
      </c>
    </row>
    <row r="9526" spans="1:13" x14ac:dyDescent="0.25">
      <c r="A9526" s="16"/>
      <c r="E9526" s="27"/>
      <c r="F9526" t="s">
        <v>26</v>
      </c>
      <c r="G9526" s="28">
        <f>IFERROR(VLOOKUP(F9526,CARTON_LOOKUP!$A:$E,3,0),"")</f>
      </c>
      <c r="H9526" s="28">
        <f>IFERROR(VLOOKUP(F9526,CARTON_LOOKUP!$A:$E,4,0),"")</f>
      </c>
      <c r="I9526" s="28">
        <f>IFERROR(VLOOKUP(F9526,CARTON_LOOKUP!$A:$E,5,0),"")</f>
      </c>
      <c r="J9526" s="29">
        <f>IFERROR(VLOOKUP(F9526,CARTON_LOOKUP!$A:$E,2,0),"")</f>
      </c>
      <c r="K9526" s="29">
        <f>IFERROR(J9526*D9526,0)</f>
      </c>
      <c r="L9526" s="29">
        <f>IFERROR(E9526*C9526,0)</f>
      </c>
      <c r="M9526" s="29">
        <f>IFERROR((G9526*H9526*I9526/1000000)*D9526,0)</f>
      </c>
    </row>
    <row r="9527" spans="1:13" x14ac:dyDescent="0.25">
      <c r="A9527" s="16"/>
      <c r="E9527" s="27"/>
      <c r="F9527" t="s">
        <v>26</v>
      </c>
      <c r="G9527" s="28">
        <f>IFERROR(VLOOKUP(F9527,CARTON_LOOKUP!$A:$E,3,0),"")</f>
      </c>
      <c r="H9527" s="28">
        <f>IFERROR(VLOOKUP(F9527,CARTON_LOOKUP!$A:$E,4,0),"")</f>
      </c>
      <c r="I9527" s="28">
        <f>IFERROR(VLOOKUP(F9527,CARTON_LOOKUP!$A:$E,5,0),"")</f>
      </c>
      <c r="J9527" s="29">
        <f>IFERROR(VLOOKUP(F9527,CARTON_LOOKUP!$A:$E,2,0),"")</f>
      </c>
      <c r="K9527" s="29">
        <f>IFERROR(J9527*D9527,0)</f>
      </c>
      <c r="L9527" s="29">
        <f>IFERROR(E9527*C9527,0)</f>
      </c>
      <c r="M9527" s="29">
        <f>IFERROR((G9527*H9527*I9527/1000000)*D9527,0)</f>
      </c>
    </row>
    <row r="9528" spans="1:13" x14ac:dyDescent="0.25">
      <c r="A9528" s="16"/>
      <c r="E9528" s="27"/>
      <c r="F9528" t="s">
        <v>26</v>
      </c>
      <c r="G9528" s="28">
        <f>IFERROR(VLOOKUP(F9528,CARTON_LOOKUP!$A:$E,3,0),"")</f>
      </c>
      <c r="H9528" s="28">
        <f>IFERROR(VLOOKUP(F9528,CARTON_LOOKUP!$A:$E,4,0),"")</f>
      </c>
      <c r="I9528" s="28">
        <f>IFERROR(VLOOKUP(F9528,CARTON_LOOKUP!$A:$E,5,0),"")</f>
      </c>
      <c r="J9528" s="29">
        <f>IFERROR(VLOOKUP(F9528,CARTON_LOOKUP!$A:$E,2,0),"")</f>
      </c>
      <c r="K9528" s="29">
        <f>IFERROR(J9528*D9528,0)</f>
      </c>
      <c r="L9528" s="29">
        <f>IFERROR(E9528*C9528,0)</f>
      </c>
      <c r="M9528" s="29">
        <f>IFERROR((G9528*H9528*I9528/1000000)*D9528,0)</f>
      </c>
    </row>
    <row r="9529" spans="1:13" x14ac:dyDescent="0.25">
      <c r="A9529" s="16"/>
      <c r="E9529" s="27"/>
      <c r="F9529" t="s">
        <v>26</v>
      </c>
      <c r="G9529" s="28">
        <f>IFERROR(VLOOKUP(F9529,CARTON_LOOKUP!$A:$E,3,0),"")</f>
      </c>
      <c r="H9529" s="28">
        <f>IFERROR(VLOOKUP(F9529,CARTON_LOOKUP!$A:$E,4,0),"")</f>
      </c>
      <c r="I9529" s="28">
        <f>IFERROR(VLOOKUP(F9529,CARTON_LOOKUP!$A:$E,5,0),"")</f>
      </c>
      <c r="J9529" s="29">
        <f>IFERROR(VLOOKUP(F9529,CARTON_LOOKUP!$A:$E,2,0),"")</f>
      </c>
      <c r="K9529" s="29">
        <f>IFERROR(J9529*D9529,0)</f>
      </c>
      <c r="L9529" s="29">
        <f>IFERROR(E9529*C9529,0)</f>
      </c>
      <c r="M9529" s="29">
        <f>IFERROR((G9529*H9529*I9529/1000000)*D9529,0)</f>
      </c>
    </row>
    <row r="9530" spans="1:13" x14ac:dyDescent="0.25">
      <c r="A9530" s="16"/>
      <c r="E9530" s="27"/>
      <c r="F9530" t="s">
        <v>26</v>
      </c>
      <c r="G9530" s="28">
        <f>IFERROR(VLOOKUP(F9530,CARTON_LOOKUP!$A:$E,3,0),"")</f>
      </c>
      <c r="H9530" s="28">
        <f>IFERROR(VLOOKUP(F9530,CARTON_LOOKUP!$A:$E,4,0),"")</f>
      </c>
      <c r="I9530" s="28">
        <f>IFERROR(VLOOKUP(F9530,CARTON_LOOKUP!$A:$E,5,0),"")</f>
      </c>
      <c r="J9530" s="29">
        <f>IFERROR(VLOOKUP(F9530,CARTON_LOOKUP!$A:$E,2,0),"")</f>
      </c>
      <c r="K9530" s="29">
        <f>IFERROR(J9530*D9530,0)</f>
      </c>
      <c r="L9530" s="29">
        <f>IFERROR(E9530*C9530,0)</f>
      </c>
      <c r="M9530" s="29">
        <f>IFERROR((G9530*H9530*I9530/1000000)*D9530,0)</f>
      </c>
    </row>
    <row r="9531" spans="1:13" x14ac:dyDescent="0.25">
      <c r="A9531" s="16"/>
      <c r="E9531" s="27"/>
      <c r="F9531" t="s">
        <v>26</v>
      </c>
      <c r="G9531" s="28">
        <f>IFERROR(VLOOKUP(F9531,CARTON_LOOKUP!$A:$E,3,0),"")</f>
      </c>
      <c r="H9531" s="28">
        <f>IFERROR(VLOOKUP(F9531,CARTON_LOOKUP!$A:$E,4,0),"")</f>
      </c>
      <c r="I9531" s="28">
        <f>IFERROR(VLOOKUP(F9531,CARTON_LOOKUP!$A:$E,5,0),"")</f>
      </c>
      <c r="J9531" s="29">
        <f>IFERROR(VLOOKUP(F9531,CARTON_LOOKUP!$A:$E,2,0),"")</f>
      </c>
      <c r="K9531" s="29">
        <f>IFERROR(J9531*D9531,0)</f>
      </c>
      <c r="L9531" s="29">
        <f>IFERROR(E9531*C9531,0)</f>
      </c>
      <c r="M9531" s="29">
        <f>IFERROR((G9531*H9531*I9531/1000000)*D9531,0)</f>
      </c>
    </row>
    <row r="9532" spans="1:13" x14ac:dyDescent="0.25">
      <c r="A9532" s="16"/>
      <c r="E9532" s="27"/>
      <c r="F9532" t="s">
        <v>26</v>
      </c>
      <c r="G9532" s="28">
        <f>IFERROR(VLOOKUP(F9532,CARTON_LOOKUP!$A:$E,3,0),"")</f>
      </c>
      <c r="H9532" s="28">
        <f>IFERROR(VLOOKUP(F9532,CARTON_LOOKUP!$A:$E,4,0),"")</f>
      </c>
      <c r="I9532" s="28">
        <f>IFERROR(VLOOKUP(F9532,CARTON_LOOKUP!$A:$E,5,0),"")</f>
      </c>
      <c r="J9532" s="29">
        <f>IFERROR(VLOOKUP(F9532,CARTON_LOOKUP!$A:$E,2,0),"")</f>
      </c>
      <c r="K9532" s="29">
        <f>IFERROR(J9532*D9532,0)</f>
      </c>
      <c r="L9532" s="29">
        <f>IFERROR(E9532*C9532,0)</f>
      </c>
      <c r="M9532" s="29">
        <f>IFERROR((G9532*H9532*I9532/1000000)*D9532,0)</f>
      </c>
    </row>
    <row r="9533" spans="1:13" x14ac:dyDescent="0.25">
      <c r="A9533" s="16"/>
      <c r="E9533" s="27"/>
      <c r="F9533" t="s">
        <v>26</v>
      </c>
      <c r="G9533" s="28">
        <f>IFERROR(VLOOKUP(F9533,CARTON_LOOKUP!$A:$E,3,0),"")</f>
      </c>
      <c r="H9533" s="28">
        <f>IFERROR(VLOOKUP(F9533,CARTON_LOOKUP!$A:$E,4,0),"")</f>
      </c>
      <c r="I9533" s="28">
        <f>IFERROR(VLOOKUP(F9533,CARTON_LOOKUP!$A:$E,5,0),"")</f>
      </c>
      <c r="J9533" s="29">
        <f>IFERROR(VLOOKUP(F9533,CARTON_LOOKUP!$A:$E,2,0),"")</f>
      </c>
      <c r="K9533" s="29">
        <f>IFERROR(J9533*D9533,0)</f>
      </c>
      <c r="L9533" s="29">
        <f>IFERROR(E9533*C9533,0)</f>
      </c>
      <c r="M9533" s="29">
        <f>IFERROR((G9533*H9533*I9533/1000000)*D9533,0)</f>
      </c>
    </row>
    <row r="9534" spans="1:13" x14ac:dyDescent="0.25">
      <c r="A9534" s="16"/>
      <c r="E9534" s="27"/>
      <c r="F9534" t="s">
        <v>26</v>
      </c>
      <c r="G9534" s="28">
        <f>IFERROR(VLOOKUP(F9534,CARTON_LOOKUP!$A:$E,3,0),"")</f>
      </c>
      <c r="H9534" s="28">
        <f>IFERROR(VLOOKUP(F9534,CARTON_LOOKUP!$A:$E,4,0),"")</f>
      </c>
      <c r="I9534" s="28">
        <f>IFERROR(VLOOKUP(F9534,CARTON_LOOKUP!$A:$E,5,0),"")</f>
      </c>
      <c r="J9534" s="29">
        <f>IFERROR(VLOOKUP(F9534,CARTON_LOOKUP!$A:$E,2,0),"")</f>
      </c>
      <c r="K9534" s="29">
        <f>IFERROR(J9534*D9534,0)</f>
      </c>
      <c r="L9534" s="29">
        <f>IFERROR(E9534*C9534,0)</f>
      </c>
      <c r="M9534" s="29">
        <f>IFERROR((G9534*H9534*I9534/1000000)*D9534,0)</f>
      </c>
    </row>
    <row r="9535" spans="1:13" x14ac:dyDescent="0.25">
      <c r="A9535" s="16"/>
      <c r="E9535" s="27"/>
      <c r="F9535" t="s">
        <v>26</v>
      </c>
      <c r="G9535" s="28">
        <f>IFERROR(VLOOKUP(F9535,CARTON_LOOKUP!$A:$E,3,0),"")</f>
      </c>
      <c r="H9535" s="28">
        <f>IFERROR(VLOOKUP(F9535,CARTON_LOOKUP!$A:$E,4,0),"")</f>
      </c>
      <c r="I9535" s="28">
        <f>IFERROR(VLOOKUP(F9535,CARTON_LOOKUP!$A:$E,5,0),"")</f>
      </c>
      <c r="J9535" s="29">
        <f>IFERROR(VLOOKUP(F9535,CARTON_LOOKUP!$A:$E,2,0),"")</f>
      </c>
      <c r="K9535" s="29">
        <f>IFERROR(J9535*D9535,0)</f>
      </c>
      <c r="L9535" s="29">
        <f>IFERROR(E9535*C9535,0)</f>
      </c>
      <c r="M9535" s="29">
        <f>IFERROR((G9535*H9535*I9535/1000000)*D9535,0)</f>
      </c>
    </row>
    <row r="9536" spans="1:13" x14ac:dyDescent="0.25">
      <c r="A9536" s="16"/>
      <c r="E9536" s="27"/>
      <c r="F9536" t="s">
        <v>26</v>
      </c>
      <c r="G9536" s="28">
        <f>IFERROR(VLOOKUP(F9536,CARTON_LOOKUP!$A:$E,3,0),"")</f>
      </c>
      <c r="H9536" s="28">
        <f>IFERROR(VLOOKUP(F9536,CARTON_LOOKUP!$A:$E,4,0),"")</f>
      </c>
      <c r="I9536" s="28">
        <f>IFERROR(VLOOKUP(F9536,CARTON_LOOKUP!$A:$E,5,0),"")</f>
      </c>
      <c r="J9536" s="29">
        <f>IFERROR(VLOOKUP(F9536,CARTON_LOOKUP!$A:$E,2,0),"")</f>
      </c>
      <c r="K9536" s="29">
        <f>IFERROR(J9536*D9536,0)</f>
      </c>
      <c r="L9536" s="29">
        <f>IFERROR(E9536*C9536,0)</f>
      </c>
      <c r="M9536" s="29">
        <f>IFERROR((G9536*H9536*I9536/1000000)*D9536,0)</f>
      </c>
    </row>
    <row r="9537" spans="1:13" x14ac:dyDescent="0.25">
      <c r="A9537" s="16"/>
      <c r="E9537" s="27"/>
      <c r="F9537" t="s">
        <v>26</v>
      </c>
      <c r="G9537" s="28">
        <f>IFERROR(VLOOKUP(F9537,CARTON_LOOKUP!$A:$E,3,0),"")</f>
      </c>
      <c r="H9537" s="28">
        <f>IFERROR(VLOOKUP(F9537,CARTON_LOOKUP!$A:$E,4,0),"")</f>
      </c>
      <c r="I9537" s="28">
        <f>IFERROR(VLOOKUP(F9537,CARTON_LOOKUP!$A:$E,5,0),"")</f>
      </c>
      <c r="J9537" s="29">
        <f>IFERROR(VLOOKUP(F9537,CARTON_LOOKUP!$A:$E,2,0),"")</f>
      </c>
      <c r="K9537" s="29">
        <f>IFERROR(J9537*D9537,0)</f>
      </c>
      <c r="L9537" s="29">
        <f>IFERROR(E9537*C9537,0)</f>
      </c>
      <c r="M9537" s="29">
        <f>IFERROR((G9537*H9537*I9537/1000000)*D9537,0)</f>
      </c>
    </row>
    <row r="9538" spans="1:13" x14ac:dyDescent="0.25">
      <c r="A9538" s="16"/>
      <c r="E9538" s="27"/>
      <c r="F9538" t="s">
        <v>26</v>
      </c>
      <c r="G9538" s="28">
        <f>IFERROR(VLOOKUP(F9538,CARTON_LOOKUP!$A:$E,3,0),"")</f>
      </c>
      <c r="H9538" s="28">
        <f>IFERROR(VLOOKUP(F9538,CARTON_LOOKUP!$A:$E,4,0),"")</f>
      </c>
      <c r="I9538" s="28">
        <f>IFERROR(VLOOKUP(F9538,CARTON_LOOKUP!$A:$E,5,0),"")</f>
      </c>
      <c r="J9538" s="29">
        <f>IFERROR(VLOOKUP(F9538,CARTON_LOOKUP!$A:$E,2,0),"")</f>
      </c>
      <c r="K9538" s="29">
        <f>IFERROR(J9538*D9538,0)</f>
      </c>
      <c r="L9538" s="29">
        <f>IFERROR(E9538*C9538,0)</f>
      </c>
      <c r="M9538" s="29">
        <f>IFERROR((G9538*H9538*I9538/1000000)*D9538,0)</f>
      </c>
    </row>
    <row r="9539" spans="1:13" x14ac:dyDescent="0.25">
      <c r="A9539" s="16"/>
      <c r="E9539" s="27"/>
      <c r="F9539" t="s">
        <v>26</v>
      </c>
      <c r="G9539" s="28">
        <f>IFERROR(VLOOKUP(F9539,CARTON_LOOKUP!$A:$E,3,0),"")</f>
      </c>
      <c r="H9539" s="28">
        <f>IFERROR(VLOOKUP(F9539,CARTON_LOOKUP!$A:$E,4,0),"")</f>
      </c>
      <c r="I9539" s="28">
        <f>IFERROR(VLOOKUP(F9539,CARTON_LOOKUP!$A:$E,5,0),"")</f>
      </c>
      <c r="J9539" s="29">
        <f>IFERROR(VLOOKUP(F9539,CARTON_LOOKUP!$A:$E,2,0),"")</f>
      </c>
      <c r="K9539" s="29">
        <f>IFERROR(J9539*D9539,0)</f>
      </c>
      <c r="L9539" s="29">
        <f>IFERROR(E9539*C9539,0)</f>
      </c>
      <c r="M9539" s="29">
        <f>IFERROR((G9539*H9539*I9539/1000000)*D9539,0)</f>
      </c>
    </row>
    <row r="9540" spans="1:13" x14ac:dyDescent="0.25">
      <c r="A9540" s="16"/>
      <c r="E9540" s="27"/>
      <c r="F9540" t="s">
        <v>26</v>
      </c>
      <c r="G9540" s="28">
        <f>IFERROR(VLOOKUP(F9540,CARTON_LOOKUP!$A:$E,3,0),"")</f>
      </c>
      <c r="H9540" s="28">
        <f>IFERROR(VLOOKUP(F9540,CARTON_LOOKUP!$A:$E,4,0),"")</f>
      </c>
      <c r="I9540" s="28">
        <f>IFERROR(VLOOKUP(F9540,CARTON_LOOKUP!$A:$E,5,0),"")</f>
      </c>
      <c r="J9540" s="29">
        <f>IFERROR(VLOOKUP(F9540,CARTON_LOOKUP!$A:$E,2,0),"")</f>
      </c>
      <c r="K9540" s="29">
        <f>IFERROR(J9540*D9540,0)</f>
      </c>
      <c r="L9540" s="29">
        <f>IFERROR(E9540*C9540,0)</f>
      </c>
      <c r="M9540" s="29">
        <f>IFERROR((G9540*H9540*I9540/1000000)*D9540,0)</f>
      </c>
    </row>
    <row r="9541" spans="1:13" x14ac:dyDescent="0.25">
      <c r="A9541" s="16"/>
      <c r="E9541" s="27"/>
      <c r="F9541" t="s">
        <v>26</v>
      </c>
      <c r="G9541" s="28">
        <f>IFERROR(VLOOKUP(F9541,CARTON_LOOKUP!$A:$E,3,0),"")</f>
      </c>
      <c r="H9541" s="28">
        <f>IFERROR(VLOOKUP(F9541,CARTON_LOOKUP!$A:$E,4,0),"")</f>
      </c>
      <c r="I9541" s="28">
        <f>IFERROR(VLOOKUP(F9541,CARTON_LOOKUP!$A:$E,5,0),"")</f>
      </c>
      <c r="J9541" s="29">
        <f>IFERROR(VLOOKUP(F9541,CARTON_LOOKUP!$A:$E,2,0),"")</f>
      </c>
      <c r="K9541" s="29">
        <f>IFERROR(J9541*D9541,0)</f>
      </c>
      <c r="L9541" s="29">
        <f>IFERROR(E9541*C9541,0)</f>
      </c>
      <c r="M9541" s="29">
        <f>IFERROR((G9541*H9541*I9541/1000000)*D9541,0)</f>
      </c>
    </row>
    <row r="9542" spans="1:13" x14ac:dyDescent="0.25">
      <c r="A9542" s="16"/>
      <c r="E9542" s="27"/>
      <c r="F9542" t="s">
        <v>26</v>
      </c>
      <c r="G9542" s="28">
        <f>IFERROR(VLOOKUP(F9542,CARTON_LOOKUP!$A:$E,3,0),"")</f>
      </c>
      <c r="H9542" s="28">
        <f>IFERROR(VLOOKUP(F9542,CARTON_LOOKUP!$A:$E,4,0),"")</f>
      </c>
      <c r="I9542" s="28">
        <f>IFERROR(VLOOKUP(F9542,CARTON_LOOKUP!$A:$E,5,0),"")</f>
      </c>
      <c r="J9542" s="29">
        <f>IFERROR(VLOOKUP(F9542,CARTON_LOOKUP!$A:$E,2,0),"")</f>
      </c>
      <c r="K9542" s="29">
        <f>IFERROR(J9542*D9542,0)</f>
      </c>
      <c r="L9542" s="29">
        <f>IFERROR(E9542*C9542,0)</f>
      </c>
      <c r="M9542" s="29">
        <f>IFERROR((G9542*H9542*I9542/1000000)*D9542,0)</f>
      </c>
    </row>
    <row r="9543" spans="1:13" x14ac:dyDescent="0.25">
      <c r="A9543" s="16"/>
      <c r="E9543" s="27"/>
      <c r="F9543" t="s">
        <v>26</v>
      </c>
      <c r="G9543" s="28">
        <f>IFERROR(VLOOKUP(F9543,CARTON_LOOKUP!$A:$E,3,0),"")</f>
      </c>
      <c r="H9543" s="28">
        <f>IFERROR(VLOOKUP(F9543,CARTON_LOOKUP!$A:$E,4,0),"")</f>
      </c>
      <c r="I9543" s="28">
        <f>IFERROR(VLOOKUP(F9543,CARTON_LOOKUP!$A:$E,5,0),"")</f>
      </c>
      <c r="J9543" s="29">
        <f>IFERROR(VLOOKUP(F9543,CARTON_LOOKUP!$A:$E,2,0),"")</f>
      </c>
      <c r="K9543" s="29">
        <f>IFERROR(J9543*D9543,0)</f>
      </c>
      <c r="L9543" s="29">
        <f>IFERROR(E9543*C9543,0)</f>
      </c>
      <c r="M9543" s="29">
        <f>IFERROR((G9543*H9543*I9543/1000000)*D9543,0)</f>
      </c>
    </row>
    <row r="9544" spans="1:13" x14ac:dyDescent="0.25">
      <c r="A9544" s="16"/>
      <c r="E9544" s="27"/>
      <c r="F9544" t="s">
        <v>26</v>
      </c>
      <c r="G9544" s="28">
        <f>IFERROR(VLOOKUP(F9544,CARTON_LOOKUP!$A:$E,3,0),"")</f>
      </c>
      <c r="H9544" s="28">
        <f>IFERROR(VLOOKUP(F9544,CARTON_LOOKUP!$A:$E,4,0),"")</f>
      </c>
      <c r="I9544" s="28">
        <f>IFERROR(VLOOKUP(F9544,CARTON_LOOKUP!$A:$E,5,0),"")</f>
      </c>
      <c r="J9544" s="29">
        <f>IFERROR(VLOOKUP(F9544,CARTON_LOOKUP!$A:$E,2,0),"")</f>
      </c>
      <c r="K9544" s="29">
        <f>IFERROR(J9544*D9544,0)</f>
      </c>
      <c r="L9544" s="29">
        <f>IFERROR(E9544*C9544,0)</f>
      </c>
      <c r="M9544" s="29">
        <f>IFERROR((G9544*H9544*I9544/1000000)*D9544,0)</f>
      </c>
    </row>
    <row r="9545" spans="1:13" x14ac:dyDescent="0.25">
      <c r="A9545" s="16"/>
      <c r="E9545" s="27"/>
      <c r="F9545" t="s">
        <v>26</v>
      </c>
      <c r="G9545" s="28">
        <f>IFERROR(VLOOKUP(F9545,CARTON_LOOKUP!$A:$E,3,0),"")</f>
      </c>
      <c r="H9545" s="28">
        <f>IFERROR(VLOOKUP(F9545,CARTON_LOOKUP!$A:$E,4,0),"")</f>
      </c>
      <c r="I9545" s="28">
        <f>IFERROR(VLOOKUP(F9545,CARTON_LOOKUP!$A:$E,5,0),"")</f>
      </c>
      <c r="J9545" s="29">
        <f>IFERROR(VLOOKUP(F9545,CARTON_LOOKUP!$A:$E,2,0),"")</f>
      </c>
      <c r="K9545" s="29">
        <f>IFERROR(J9545*D9545,0)</f>
      </c>
      <c r="L9545" s="29">
        <f>IFERROR(E9545*C9545,0)</f>
      </c>
      <c r="M9545" s="29">
        <f>IFERROR((G9545*H9545*I9545/1000000)*D9545,0)</f>
      </c>
    </row>
    <row r="9546" spans="1:13" x14ac:dyDescent="0.25">
      <c r="A9546" s="16"/>
      <c r="E9546" s="27"/>
      <c r="F9546" t="s">
        <v>26</v>
      </c>
      <c r="G9546" s="28">
        <f>IFERROR(VLOOKUP(F9546,CARTON_LOOKUP!$A:$E,3,0),"")</f>
      </c>
      <c r="H9546" s="28">
        <f>IFERROR(VLOOKUP(F9546,CARTON_LOOKUP!$A:$E,4,0),"")</f>
      </c>
      <c r="I9546" s="28">
        <f>IFERROR(VLOOKUP(F9546,CARTON_LOOKUP!$A:$E,5,0),"")</f>
      </c>
      <c r="J9546" s="29">
        <f>IFERROR(VLOOKUP(F9546,CARTON_LOOKUP!$A:$E,2,0),"")</f>
      </c>
      <c r="K9546" s="29">
        <f>IFERROR(J9546*D9546,0)</f>
      </c>
      <c r="L9546" s="29">
        <f>IFERROR(E9546*C9546,0)</f>
      </c>
      <c r="M9546" s="29">
        <f>IFERROR((G9546*H9546*I9546/1000000)*D9546,0)</f>
      </c>
    </row>
    <row r="9547" spans="1:13" x14ac:dyDescent="0.25">
      <c r="A9547" s="16"/>
      <c r="E9547" s="27"/>
      <c r="F9547" t="s">
        <v>26</v>
      </c>
      <c r="G9547" s="28">
        <f>IFERROR(VLOOKUP(F9547,CARTON_LOOKUP!$A:$E,3,0),"")</f>
      </c>
      <c r="H9547" s="28">
        <f>IFERROR(VLOOKUP(F9547,CARTON_LOOKUP!$A:$E,4,0),"")</f>
      </c>
      <c r="I9547" s="28">
        <f>IFERROR(VLOOKUP(F9547,CARTON_LOOKUP!$A:$E,5,0),"")</f>
      </c>
      <c r="J9547" s="29">
        <f>IFERROR(VLOOKUP(F9547,CARTON_LOOKUP!$A:$E,2,0),"")</f>
      </c>
      <c r="K9547" s="29">
        <f>IFERROR(J9547*D9547,0)</f>
      </c>
      <c r="L9547" s="29">
        <f>IFERROR(E9547*C9547,0)</f>
      </c>
      <c r="M9547" s="29">
        <f>IFERROR((G9547*H9547*I9547/1000000)*D9547,0)</f>
      </c>
    </row>
    <row r="9548" spans="1:13" x14ac:dyDescent="0.25">
      <c r="A9548" s="16"/>
      <c r="E9548" s="27"/>
      <c r="F9548" t="s">
        <v>26</v>
      </c>
      <c r="G9548" s="28">
        <f>IFERROR(VLOOKUP(F9548,CARTON_LOOKUP!$A:$E,3,0),"")</f>
      </c>
      <c r="H9548" s="28">
        <f>IFERROR(VLOOKUP(F9548,CARTON_LOOKUP!$A:$E,4,0),"")</f>
      </c>
      <c r="I9548" s="28">
        <f>IFERROR(VLOOKUP(F9548,CARTON_LOOKUP!$A:$E,5,0),"")</f>
      </c>
      <c r="J9548" s="29">
        <f>IFERROR(VLOOKUP(F9548,CARTON_LOOKUP!$A:$E,2,0),"")</f>
      </c>
      <c r="K9548" s="29">
        <f>IFERROR(J9548*D9548,0)</f>
      </c>
      <c r="L9548" s="29">
        <f>IFERROR(E9548*C9548,0)</f>
      </c>
      <c r="M9548" s="29">
        <f>IFERROR((G9548*H9548*I9548/1000000)*D9548,0)</f>
      </c>
    </row>
    <row r="9549" spans="1:13" x14ac:dyDescent="0.25">
      <c r="A9549" s="16"/>
      <c r="E9549" s="27"/>
      <c r="F9549" t="s">
        <v>26</v>
      </c>
      <c r="G9549" s="28">
        <f>IFERROR(VLOOKUP(F9549,CARTON_LOOKUP!$A:$E,3,0),"")</f>
      </c>
      <c r="H9549" s="28">
        <f>IFERROR(VLOOKUP(F9549,CARTON_LOOKUP!$A:$E,4,0),"")</f>
      </c>
      <c r="I9549" s="28">
        <f>IFERROR(VLOOKUP(F9549,CARTON_LOOKUP!$A:$E,5,0),"")</f>
      </c>
      <c r="J9549" s="29">
        <f>IFERROR(VLOOKUP(F9549,CARTON_LOOKUP!$A:$E,2,0),"")</f>
      </c>
      <c r="K9549" s="29">
        <f>IFERROR(J9549*D9549,0)</f>
      </c>
      <c r="L9549" s="29">
        <f>IFERROR(E9549*C9549,0)</f>
      </c>
      <c r="M9549" s="29">
        <f>IFERROR((G9549*H9549*I9549/1000000)*D9549,0)</f>
      </c>
    </row>
    <row r="9550" spans="1:13" x14ac:dyDescent="0.25">
      <c r="A9550" s="16"/>
      <c r="E9550" s="27"/>
      <c r="F9550" t="s">
        <v>26</v>
      </c>
      <c r="G9550" s="28">
        <f>IFERROR(VLOOKUP(F9550,CARTON_LOOKUP!$A:$E,3,0),"")</f>
      </c>
      <c r="H9550" s="28">
        <f>IFERROR(VLOOKUP(F9550,CARTON_LOOKUP!$A:$E,4,0),"")</f>
      </c>
      <c r="I9550" s="28">
        <f>IFERROR(VLOOKUP(F9550,CARTON_LOOKUP!$A:$E,5,0),"")</f>
      </c>
      <c r="J9550" s="29">
        <f>IFERROR(VLOOKUP(F9550,CARTON_LOOKUP!$A:$E,2,0),"")</f>
      </c>
      <c r="K9550" s="29">
        <f>IFERROR(J9550*D9550,0)</f>
      </c>
      <c r="L9550" s="29">
        <f>IFERROR(E9550*C9550,0)</f>
      </c>
      <c r="M9550" s="29">
        <f>IFERROR((G9550*H9550*I9550/1000000)*D9550,0)</f>
      </c>
    </row>
    <row r="9551" spans="1:13" x14ac:dyDescent="0.25">
      <c r="A9551" s="16"/>
      <c r="E9551" s="27"/>
      <c r="F9551" t="s">
        <v>26</v>
      </c>
      <c r="G9551" s="28">
        <f>IFERROR(VLOOKUP(F9551,CARTON_LOOKUP!$A:$E,3,0),"")</f>
      </c>
      <c r="H9551" s="28">
        <f>IFERROR(VLOOKUP(F9551,CARTON_LOOKUP!$A:$E,4,0),"")</f>
      </c>
      <c r="I9551" s="28">
        <f>IFERROR(VLOOKUP(F9551,CARTON_LOOKUP!$A:$E,5,0),"")</f>
      </c>
      <c r="J9551" s="29">
        <f>IFERROR(VLOOKUP(F9551,CARTON_LOOKUP!$A:$E,2,0),"")</f>
      </c>
      <c r="K9551" s="29">
        <f>IFERROR(J9551*D9551,0)</f>
      </c>
      <c r="L9551" s="29">
        <f>IFERROR(E9551*C9551,0)</f>
      </c>
      <c r="M9551" s="29">
        <f>IFERROR((G9551*H9551*I9551/1000000)*D9551,0)</f>
      </c>
    </row>
    <row r="9552" spans="1:13" x14ac:dyDescent="0.25">
      <c r="A9552" s="16"/>
      <c r="E9552" s="27"/>
      <c r="F9552" t="s">
        <v>26</v>
      </c>
      <c r="G9552" s="28">
        <f>IFERROR(VLOOKUP(F9552,CARTON_LOOKUP!$A:$E,3,0),"")</f>
      </c>
      <c r="H9552" s="28">
        <f>IFERROR(VLOOKUP(F9552,CARTON_LOOKUP!$A:$E,4,0),"")</f>
      </c>
      <c r="I9552" s="28">
        <f>IFERROR(VLOOKUP(F9552,CARTON_LOOKUP!$A:$E,5,0),"")</f>
      </c>
      <c r="J9552" s="29">
        <f>IFERROR(VLOOKUP(F9552,CARTON_LOOKUP!$A:$E,2,0),"")</f>
      </c>
      <c r="K9552" s="29">
        <f>IFERROR(J9552*D9552,0)</f>
      </c>
      <c r="L9552" s="29">
        <f>IFERROR(E9552*C9552,0)</f>
      </c>
      <c r="M9552" s="29">
        <f>IFERROR((G9552*H9552*I9552/1000000)*D9552,0)</f>
      </c>
    </row>
    <row r="9553" spans="1:13" x14ac:dyDescent="0.25">
      <c r="A9553" s="16"/>
      <c r="E9553" s="27"/>
      <c r="F9553" t="s">
        <v>26</v>
      </c>
      <c r="G9553" s="28">
        <f>IFERROR(VLOOKUP(F9553,CARTON_LOOKUP!$A:$E,3,0),"")</f>
      </c>
      <c r="H9553" s="28">
        <f>IFERROR(VLOOKUP(F9553,CARTON_LOOKUP!$A:$E,4,0),"")</f>
      </c>
      <c r="I9553" s="28">
        <f>IFERROR(VLOOKUP(F9553,CARTON_LOOKUP!$A:$E,5,0),"")</f>
      </c>
      <c r="J9553" s="29">
        <f>IFERROR(VLOOKUP(F9553,CARTON_LOOKUP!$A:$E,2,0),"")</f>
      </c>
      <c r="K9553" s="29">
        <f>IFERROR(J9553*D9553,0)</f>
      </c>
      <c r="L9553" s="29">
        <f>IFERROR(E9553*C9553,0)</f>
      </c>
      <c r="M9553" s="29">
        <f>IFERROR((G9553*H9553*I9553/1000000)*D9553,0)</f>
      </c>
    </row>
    <row r="9554" spans="1:13" x14ac:dyDescent="0.25">
      <c r="A9554" s="16"/>
      <c r="E9554" s="27"/>
      <c r="F9554" t="s">
        <v>26</v>
      </c>
      <c r="G9554" s="28">
        <f>IFERROR(VLOOKUP(F9554,CARTON_LOOKUP!$A:$E,3,0),"")</f>
      </c>
      <c r="H9554" s="28">
        <f>IFERROR(VLOOKUP(F9554,CARTON_LOOKUP!$A:$E,4,0),"")</f>
      </c>
      <c r="I9554" s="28">
        <f>IFERROR(VLOOKUP(F9554,CARTON_LOOKUP!$A:$E,5,0),"")</f>
      </c>
      <c r="J9554" s="29">
        <f>IFERROR(VLOOKUP(F9554,CARTON_LOOKUP!$A:$E,2,0),"")</f>
      </c>
      <c r="K9554" s="29">
        <f>IFERROR(J9554*D9554,0)</f>
      </c>
      <c r="L9554" s="29">
        <f>IFERROR(E9554*C9554,0)</f>
      </c>
      <c r="M9554" s="29">
        <f>IFERROR((G9554*H9554*I9554/1000000)*D9554,0)</f>
      </c>
    </row>
    <row r="9555" spans="1:13" x14ac:dyDescent="0.25">
      <c r="A9555" s="16"/>
      <c r="E9555" s="27"/>
      <c r="F9555" t="s">
        <v>26</v>
      </c>
      <c r="G9555" s="28">
        <f>IFERROR(VLOOKUP(F9555,CARTON_LOOKUP!$A:$E,3,0),"")</f>
      </c>
      <c r="H9555" s="28">
        <f>IFERROR(VLOOKUP(F9555,CARTON_LOOKUP!$A:$E,4,0),"")</f>
      </c>
      <c r="I9555" s="28">
        <f>IFERROR(VLOOKUP(F9555,CARTON_LOOKUP!$A:$E,5,0),"")</f>
      </c>
      <c r="J9555" s="29">
        <f>IFERROR(VLOOKUP(F9555,CARTON_LOOKUP!$A:$E,2,0),"")</f>
      </c>
      <c r="K9555" s="29">
        <f>IFERROR(J9555*D9555,0)</f>
      </c>
      <c r="L9555" s="29">
        <f>IFERROR(E9555*C9555,0)</f>
      </c>
      <c r="M9555" s="29">
        <f>IFERROR((G9555*H9555*I9555/1000000)*D9555,0)</f>
      </c>
    </row>
    <row r="9556" spans="1:13" x14ac:dyDescent="0.25">
      <c r="A9556" s="16"/>
      <c r="E9556" s="27"/>
      <c r="F9556" t="s">
        <v>26</v>
      </c>
      <c r="G9556" s="28">
        <f>IFERROR(VLOOKUP(F9556,CARTON_LOOKUP!$A:$E,3,0),"")</f>
      </c>
      <c r="H9556" s="28">
        <f>IFERROR(VLOOKUP(F9556,CARTON_LOOKUP!$A:$E,4,0),"")</f>
      </c>
      <c r="I9556" s="28">
        <f>IFERROR(VLOOKUP(F9556,CARTON_LOOKUP!$A:$E,5,0),"")</f>
      </c>
      <c r="J9556" s="29">
        <f>IFERROR(VLOOKUP(F9556,CARTON_LOOKUP!$A:$E,2,0),"")</f>
      </c>
      <c r="K9556" s="29">
        <f>IFERROR(J9556*D9556,0)</f>
      </c>
      <c r="L9556" s="29">
        <f>IFERROR(E9556*C9556,0)</f>
      </c>
      <c r="M9556" s="29">
        <f>IFERROR((G9556*H9556*I9556/1000000)*D9556,0)</f>
      </c>
    </row>
    <row r="9557" spans="1:13" x14ac:dyDescent="0.25">
      <c r="A9557" s="16"/>
      <c r="E9557" s="27"/>
      <c r="F9557" t="s">
        <v>26</v>
      </c>
      <c r="G9557" s="28">
        <f>IFERROR(VLOOKUP(F9557,CARTON_LOOKUP!$A:$E,3,0),"")</f>
      </c>
      <c r="H9557" s="28">
        <f>IFERROR(VLOOKUP(F9557,CARTON_LOOKUP!$A:$E,4,0),"")</f>
      </c>
      <c r="I9557" s="28">
        <f>IFERROR(VLOOKUP(F9557,CARTON_LOOKUP!$A:$E,5,0),"")</f>
      </c>
      <c r="J9557" s="29">
        <f>IFERROR(VLOOKUP(F9557,CARTON_LOOKUP!$A:$E,2,0),"")</f>
      </c>
      <c r="K9557" s="29">
        <f>IFERROR(J9557*D9557,0)</f>
      </c>
      <c r="L9557" s="29">
        <f>IFERROR(E9557*C9557,0)</f>
      </c>
      <c r="M9557" s="29">
        <f>IFERROR((G9557*H9557*I9557/1000000)*D9557,0)</f>
      </c>
    </row>
    <row r="9558" spans="1:13" x14ac:dyDescent="0.25">
      <c r="A9558" s="16"/>
      <c r="E9558" s="27"/>
      <c r="F9558" t="s">
        <v>26</v>
      </c>
      <c r="G9558" s="28">
        <f>IFERROR(VLOOKUP(F9558,CARTON_LOOKUP!$A:$E,3,0),"")</f>
      </c>
      <c r="H9558" s="28">
        <f>IFERROR(VLOOKUP(F9558,CARTON_LOOKUP!$A:$E,4,0),"")</f>
      </c>
      <c r="I9558" s="28">
        <f>IFERROR(VLOOKUP(F9558,CARTON_LOOKUP!$A:$E,5,0),"")</f>
      </c>
      <c r="J9558" s="29">
        <f>IFERROR(VLOOKUP(F9558,CARTON_LOOKUP!$A:$E,2,0),"")</f>
      </c>
      <c r="K9558" s="29">
        <f>IFERROR(J9558*D9558,0)</f>
      </c>
      <c r="L9558" s="29">
        <f>IFERROR(E9558*C9558,0)</f>
      </c>
      <c r="M9558" s="29">
        <f>IFERROR((G9558*H9558*I9558/1000000)*D9558,0)</f>
      </c>
    </row>
    <row r="9559" spans="1:13" x14ac:dyDescent="0.25">
      <c r="A9559" s="16"/>
      <c r="E9559" s="27"/>
      <c r="F9559" t="s">
        <v>26</v>
      </c>
      <c r="G9559" s="28">
        <f>IFERROR(VLOOKUP(F9559,CARTON_LOOKUP!$A:$E,3,0),"")</f>
      </c>
      <c r="H9559" s="28">
        <f>IFERROR(VLOOKUP(F9559,CARTON_LOOKUP!$A:$E,4,0),"")</f>
      </c>
      <c r="I9559" s="28">
        <f>IFERROR(VLOOKUP(F9559,CARTON_LOOKUP!$A:$E,5,0),"")</f>
      </c>
      <c r="J9559" s="29">
        <f>IFERROR(VLOOKUP(F9559,CARTON_LOOKUP!$A:$E,2,0),"")</f>
      </c>
      <c r="K9559" s="29">
        <f>IFERROR(J9559*D9559,0)</f>
      </c>
      <c r="L9559" s="29">
        <f>IFERROR(E9559*C9559,0)</f>
      </c>
      <c r="M9559" s="29">
        <f>IFERROR((G9559*H9559*I9559/1000000)*D9559,0)</f>
      </c>
    </row>
    <row r="9560" spans="1:13" x14ac:dyDescent="0.25">
      <c r="A9560" s="16"/>
      <c r="E9560" s="27"/>
      <c r="F9560" t="s">
        <v>26</v>
      </c>
      <c r="G9560" s="28">
        <f>IFERROR(VLOOKUP(F9560,CARTON_LOOKUP!$A:$E,3,0),"")</f>
      </c>
      <c r="H9560" s="28">
        <f>IFERROR(VLOOKUP(F9560,CARTON_LOOKUP!$A:$E,4,0),"")</f>
      </c>
      <c r="I9560" s="28">
        <f>IFERROR(VLOOKUP(F9560,CARTON_LOOKUP!$A:$E,5,0),"")</f>
      </c>
      <c r="J9560" s="29">
        <f>IFERROR(VLOOKUP(F9560,CARTON_LOOKUP!$A:$E,2,0),"")</f>
      </c>
      <c r="K9560" s="29">
        <f>IFERROR(J9560*D9560,0)</f>
      </c>
      <c r="L9560" s="29">
        <f>IFERROR(E9560*C9560,0)</f>
      </c>
      <c r="M9560" s="29">
        <f>IFERROR((G9560*H9560*I9560/1000000)*D9560,0)</f>
      </c>
    </row>
    <row r="9561" spans="1:13" x14ac:dyDescent="0.25">
      <c r="A9561" s="16"/>
      <c r="E9561" s="27"/>
      <c r="F9561" t="s">
        <v>26</v>
      </c>
      <c r="G9561" s="28">
        <f>IFERROR(VLOOKUP(F9561,CARTON_LOOKUP!$A:$E,3,0),"")</f>
      </c>
      <c r="H9561" s="28">
        <f>IFERROR(VLOOKUP(F9561,CARTON_LOOKUP!$A:$E,4,0),"")</f>
      </c>
      <c r="I9561" s="28">
        <f>IFERROR(VLOOKUP(F9561,CARTON_LOOKUP!$A:$E,5,0),"")</f>
      </c>
      <c r="J9561" s="29">
        <f>IFERROR(VLOOKUP(F9561,CARTON_LOOKUP!$A:$E,2,0),"")</f>
      </c>
      <c r="K9561" s="29">
        <f>IFERROR(J9561*D9561,0)</f>
      </c>
      <c r="L9561" s="29">
        <f>IFERROR(E9561*C9561,0)</f>
      </c>
      <c r="M9561" s="29">
        <f>IFERROR((G9561*H9561*I9561/1000000)*D9561,0)</f>
      </c>
    </row>
    <row r="9562" spans="1:13" x14ac:dyDescent="0.25">
      <c r="A9562" s="16"/>
      <c r="E9562" s="27"/>
      <c r="F9562" t="s">
        <v>26</v>
      </c>
      <c r="G9562" s="28">
        <f>IFERROR(VLOOKUP(F9562,CARTON_LOOKUP!$A:$E,3,0),"")</f>
      </c>
      <c r="H9562" s="28">
        <f>IFERROR(VLOOKUP(F9562,CARTON_LOOKUP!$A:$E,4,0),"")</f>
      </c>
      <c r="I9562" s="28">
        <f>IFERROR(VLOOKUP(F9562,CARTON_LOOKUP!$A:$E,5,0),"")</f>
      </c>
      <c r="J9562" s="29">
        <f>IFERROR(VLOOKUP(F9562,CARTON_LOOKUP!$A:$E,2,0),"")</f>
      </c>
      <c r="K9562" s="29">
        <f>IFERROR(J9562*D9562,0)</f>
      </c>
      <c r="L9562" s="29">
        <f>IFERROR(E9562*C9562,0)</f>
      </c>
      <c r="M9562" s="29">
        <f>IFERROR((G9562*H9562*I9562/1000000)*D9562,0)</f>
      </c>
    </row>
    <row r="9563" spans="1:13" x14ac:dyDescent="0.25">
      <c r="A9563" s="16"/>
      <c r="E9563" s="27"/>
      <c r="F9563" t="s">
        <v>26</v>
      </c>
      <c r="G9563" s="28">
        <f>IFERROR(VLOOKUP(F9563,CARTON_LOOKUP!$A:$E,3,0),"")</f>
      </c>
      <c r="H9563" s="28">
        <f>IFERROR(VLOOKUP(F9563,CARTON_LOOKUP!$A:$E,4,0),"")</f>
      </c>
      <c r="I9563" s="28">
        <f>IFERROR(VLOOKUP(F9563,CARTON_LOOKUP!$A:$E,5,0),"")</f>
      </c>
      <c r="J9563" s="29">
        <f>IFERROR(VLOOKUP(F9563,CARTON_LOOKUP!$A:$E,2,0),"")</f>
      </c>
      <c r="K9563" s="29">
        <f>IFERROR(J9563*D9563,0)</f>
      </c>
      <c r="L9563" s="29">
        <f>IFERROR(E9563*C9563,0)</f>
      </c>
      <c r="M9563" s="29">
        <f>IFERROR((G9563*H9563*I9563/1000000)*D9563,0)</f>
      </c>
    </row>
    <row r="9564" spans="1:13" x14ac:dyDescent="0.25">
      <c r="A9564" s="16"/>
      <c r="E9564" s="27"/>
      <c r="F9564" t="s">
        <v>26</v>
      </c>
      <c r="G9564" s="28">
        <f>IFERROR(VLOOKUP(F9564,CARTON_LOOKUP!$A:$E,3,0),"")</f>
      </c>
      <c r="H9564" s="28">
        <f>IFERROR(VLOOKUP(F9564,CARTON_LOOKUP!$A:$E,4,0),"")</f>
      </c>
      <c r="I9564" s="28">
        <f>IFERROR(VLOOKUP(F9564,CARTON_LOOKUP!$A:$E,5,0),"")</f>
      </c>
      <c r="J9564" s="29">
        <f>IFERROR(VLOOKUP(F9564,CARTON_LOOKUP!$A:$E,2,0),"")</f>
      </c>
      <c r="K9564" s="29">
        <f>IFERROR(J9564*D9564,0)</f>
      </c>
      <c r="L9564" s="29">
        <f>IFERROR(E9564*C9564,0)</f>
      </c>
      <c r="M9564" s="29">
        <f>IFERROR((G9564*H9564*I9564/1000000)*D9564,0)</f>
      </c>
    </row>
    <row r="9565" spans="1:13" x14ac:dyDescent="0.25">
      <c r="A9565" s="16"/>
      <c r="E9565" s="27"/>
      <c r="F9565" t="s">
        <v>26</v>
      </c>
      <c r="G9565" s="28">
        <f>IFERROR(VLOOKUP(F9565,CARTON_LOOKUP!$A:$E,3,0),"")</f>
      </c>
      <c r="H9565" s="28">
        <f>IFERROR(VLOOKUP(F9565,CARTON_LOOKUP!$A:$E,4,0),"")</f>
      </c>
      <c r="I9565" s="28">
        <f>IFERROR(VLOOKUP(F9565,CARTON_LOOKUP!$A:$E,5,0),"")</f>
      </c>
      <c r="J9565" s="29">
        <f>IFERROR(VLOOKUP(F9565,CARTON_LOOKUP!$A:$E,2,0),"")</f>
      </c>
      <c r="K9565" s="29">
        <f>IFERROR(J9565*D9565,0)</f>
      </c>
      <c r="L9565" s="29">
        <f>IFERROR(E9565*C9565,0)</f>
      </c>
      <c r="M9565" s="29">
        <f>IFERROR((G9565*H9565*I9565/1000000)*D9565,0)</f>
      </c>
    </row>
    <row r="9566" spans="1:13" x14ac:dyDescent="0.25">
      <c r="A9566" s="16"/>
      <c r="E9566" s="27"/>
      <c r="F9566" t="s">
        <v>26</v>
      </c>
      <c r="G9566" s="28">
        <f>IFERROR(VLOOKUP(F9566,CARTON_LOOKUP!$A:$E,3,0),"")</f>
      </c>
      <c r="H9566" s="28">
        <f>IFERROR(VLOOKUP(F9566,CARTON_LOOKUP!$A:$E,4,0),"")</f>
      </c>
      <c r="I9566" s="28">
        <f>IFERROR(VLOOKUP(F9566,CARTON_LOOKUP!$A:$E,5,0),"")</f>
      </c>
      <c r="J9566" s="29">
        <f>IFERROR(VLOOKUP(F9566,CARTON_LOOKUP!$A:$E,2,0),"")</f>
      </c>
      <c r="K9566" s="29">
        <f>IFERROR(J9566*D9566,0)</f>
      </c>
      <c r="L9566" s="29">
        <f>IFERROR(E9566*C9566,0)</f>
      </c>
      <c r="M9566" s="29">
        <f>IFERROR((G9566*H9566*I9566/1000000)*D9566,0)</f>
      </c>
    </row>
    <row r="9567" spans="1:13" x14ac:dyDescent="0.25">
      <c r="A9567" s="16"/>
      <c r="E9567" s="27"/>
      <c r="F9567" t="s">
        <v>26</v>
      </c>
      <c r="G9567" s="28">
        <f>IFERROR(VLOOKUP(F9567,CARTON_LOOKUP!$A:$E,3,0),"")</f>
      </c>
      <c r="H9567" s="28">
        <f>IFERROR(VLOOKUP(F9567,CARTON_LOOKUP!$A:$E,4,0),"")</f>
      </c>
      <c r="I9567" s="28">
        <f>IFERROR(VLOOKUP(F9567,CARTON_LOOKUP!$A:$E,5,0),"")</f>
      </c>
      <c r="J9567" s="29">
        <f>IFERROR(VLOOKUP(F9567,CARTON_LOOKUP!$A:$E,2,0),"")</f>
      </c>
      <c r="K9567" s="29">
        <f>IFERROR(J9567*D9567,0)</f>
      </c>
      <c r="L9567" s="29">
        <f>IFERROR(E9567*C9567,0)</f>
      </c>
      <c r="M9567" s="29">
        <f>IFERROR((G9567*H9567*I9567/1000000)*D9567,0)</f>
      </c>
    </row>
    <row r="9568" spans="1:13" x14ac:dyDescent="0.25">
      <c r="A9568" s="16"/>
      <c r="E9568" s="27"/>
      <c r="F9568" t="s">
        <v>26</v>
      </c>
      <c r="G9568" s="28">
        <f>IFERROR(VLOOKUP(F9568,CARTON_LOOKUP!$A:$E,3,0),"")</f>
      </c>
      <c r="H9568" s="28">
        <f>IFERROR(VLOOKUP(F9568,CARTON_LOOKUP!$A:$E,4,0),"")</f>
      </c>
      <c r="I9568" s="28">
        <f>IFERROR(VLOOKUP(F9568,CARTON_LOOKUP!$A:$E,5,0),"")</f>
      </c>
      <c r="J9568" s="29">
        <f>IFERROR(VLOOKUP(F9568,CARTON_LOOKUP!$A:$E,2,0),"")</f>
      </c>
      <c r="K9568" s="29">
        <f>IFERROR(J9568*D9568,0)</f>
      </c>
      <c r="L9568" s="29">
        <f>IFERROR(E9568*C9568,0)</f>
      </c>
      <c r="M9568" s="29">
        <f>IFERROR((G9568*H9568*I9568/1000000)*D9568,0)</f>
      </c>
    </row>
    <row r="9569" spans="1:13" x14ac:dyDescent="0.25">
      <c r="A9569" s="16"/>
      <c r="E9569" s="27"/>
      <c r="F9569" t="s">
        <v>26</v>
      </c>
      <c r="G9569" s="28">
        <f>IFERROR(VLOOKUP(F9569,CARTON_LOOKUP!$A:$E,3,0),"")</f>
      </c>
      <c r="H9569" s="28">
        <f>IFERROR(VLOOKUP(F9569,CARTON_LOOKUP!$A:$E,4,0),"")</f>
      </c>
      <c r="I9569" s="28">
        <f>IFERROR(VLOOKUP(F9569,CARTON_LOOKUP!$A:$E,5,0),"")</f>
      </c>
      <c r="J9569" s="29">
        <f>IFERROR(VLOOKUP(F9569,CARTON_LOOKUP!$A:$E,2,0),"")</f>
      </c>
      <c r="K9569" s="29">
        <f>IFERROR(J9569*D9569,0)</f>
      </c>
      <c r="L9569" s="29">
        <f>IFERROR(E9569*C9569,0)</f>
      </c>
      <c r="M9569" s="29">
        <f>IFERROR((G9569*H9569*I9569/1000000)*D9569,0)</f>
      </c>
    </row>
    <row r="9570" spans="1:13" x14ac:dyDescent="0.25">
      <c r="A9570" s="16"/>
      <c r="E9570" s="27"/>
      <c r="F9570" t="s">
        <v>26</v>
      </c>
      <c r="G9570" s="28">
        <f>IFERROR(VLOOKUP(F9570,CARTON_LOOKUP!$A:$E,3,0),"")</f>
      </c>
      <c r="H9570" s="28">
        <f>IFERROR(VLOOKUP(F9570,CARTON_LOOKUP!$A:$E,4,0),"")</f>
      </c>
      <c r="I9570" s="28">
        <f>IFERROR(VLOOKUP(F9570,CARTON_LOOKUP!$A:$E,5,0),"")</f>
      </c>
      <c r="J9570" s="29">
        <f>IFERROR(VLOOKUP(F9570,CARTON_LOOKUP!$A:$E,2,0),"")</f>
      </c>
      <c r="K9570" s="29">
        <f>IFERROR(J9570*D9570,0)</f>
      </c>
      <c r="L9570" s="29">
        <f>IFERROR(E9570*C9570,0)</f>
      </c>
      <c r="M9570" s="29">
        <f>IFERROR((G9570*H9570*I9570/1000000)*D9570,0)</f>
      </c>
    </row>
    <row r="9571" spans="1:13" x14ac:dyDescent="0.25">
      <c r="A9571" s="16"/>
      <c r="E9571" s="27"/>
      <c r="F9571" t="s">
        <v>26</v>
      </c>
      <c r="G9571" s="28">
        <f>IFERROR(VLOOKUP(F9571,CARTON_LOOKUP!$A:$E,3,0),"")</f>
      </c>
      <c r="H9571" s="28">
        <f>IFERROR(VLOOKUP(F9571,CARTON_LOOKUP!$A:$E,4,0),"")</f>
      </c>
      <c r="I9571" s="28">
        <f>IFERROR(VLOOKUP(F9571,CARTON_LOOKUP!$A:$E,5,0),"")</f>
      </c>
      <c r="J9571" s="29">
        <f>IFERROR(VLOOKUP(F9571,CARTON_LOOKUP!$A:$E,2,0),"")</f>
      </c>
      <c r="K9571" s="29">
        <f>IFERROR(J9571*D9571,0)</f>
      </c>
      <c r="L9571" s="29">
        <f>IFERROR(E9571*C9571,0)</f>
      </c>
      <c r="M9571" s="29">
        <f>IFERROR((G9571*H9571*I9571/1000000)*D9571,0)</f>
      </c>
    </row>
    <row r="9572" spans="1:13" x14ac:dyDescent="0.25">
      <c r="A9572" s="16"/>
      <c r="E9572" s="27"/>
      <c r="F9572" t="s">
        <v>26</v>
      </c>
      <c r="G9572" s="28">
        <f>IFERROR(VLOOKUP(F9572,CARTON_LOOKUP!$A:$E,3,0),"")</f>
      </c>
      <c r="H9572" s="28">
        <f>IFERROR(VLOOKUP(F9572,CARTON_LOOKUP!$A:$E,4,0),"")</f>
      </c>
      <c r="I9572" s="28">
        <f>IFERROR(VLOOKUP(F9572,CARTON_LOOKUP!$A:$E,5,0),"")</f>
      </c>
      <c r="J9572" s="29">
        <f>IFERROR(VLOOKUP(F9572,CARTON_LOOKUP!$A:$E,2,0),"")</f>
      </c>
      <c r="K9572" s="29">
        <f>IFERROR(J9572*D9572,0)</f>
      </c>
      <c r="L9572" s="29">
        <f>IFERROR(E9572*C9572,0)</f>
      </c>
      <c r="M9572" s="29">
        <f>IFERROR((G9572*H9572*I9572/1000000)*D9572,0)</f>
      </c>
    </row>
    <row r="9573" spans="1:13" x14ac:dyDescent="0.25">
      <c r="A9573" s="16"/>
      <c r="E9573" s="27"/>
      <c r="F9573" t="s">
        <v>26</v>
      </c>
      <c r="G9573" s="28">
        <f>IFERROR(VLOOKUP(F9573,CARTON_LOOKUP!$A:$E,3,0),"")</f>
      </c>
      <c r="H9573" s="28">
        <f>IFERROR(VLOOKUP(F9573,CARTON_LOOKUP!$A:$E,4,0),"")</f>
      </c>
      <c r="I9573" s="28">
        <f>IFERROR(VLOOKUP(F9573,CARTON_LOOKUP!$A:$E,5,0),"")</f>
      </c>
      <c r="J9573" s="29">
        <f>IFERROR(VLOOKUP(F9573,CARTON_LOOKUP!$A:$E,2,0),"")</f>
      </c>
      <c r="K9573" s="29">
        <f>IFERROR(J9573*D9573,0)</f>
      </c>
      <c r="L9573" s="29">
        <f>IFERROR(E9573*C9573,0)</f>
      </c>
      <c r="M9573" s="29">
        <f>IFERROR((G9573*H9573*I9573/1000000)*D9573,0)</f>
      </c>
    </row>
    <row r="9574" spans="1:13" x14ac:dyDescent="0.25">
      <c r="A9574" s="16"/>
      <c r="E9574" s="27"/>
      <c r="F9574" t="s">
        <v>26</v>
      </c>
      <c r="G9574" s="28">
        <f>IFERROR(VLOOKUP(F9574,CARTON_LOOKUP!$A:$E,3,0),"")</f>
      </c>
      <c r="H9574" s="28">
        <f>IFERROR(VLOOKUP(F9574,CARTON_LOOKUP!$A:$E,4,0),"")</f>
      </c>
      <c r="I9574" s="28">
        <f>IFERROR(VLOOKUP(F9574,CARTON_LOOKUP!$A:$E,5,0),"")</f>
      </c>
      <c r="J9574" s="29">
        <f>IFERROR(VLOOKUP(F9574,CARTON_LOOKUP!$A:$E,2,0),"")</f>
      </c>
      <c r="K9574" s="29">
        <f>IFERROR(J9574*D9574,0)</f>
      </c>
      <c r="L9574" s="29">
        <f>IFERROR(E9574*C9574,0)</f>
      </c>
      <c r="M9574" s="29">
        <f>IFERROR((G9574*H9574*I9574/1000000)*D9574,0)</f>
      </c>
    </row>
    <row r="9575" spans="1:13" x14ac:dyDescent="0.25">
      <c r="A9575" s="16"/>
      <c r="E9575" s="27"/>
      <c r="F9575" t="s">
        <v>26</v>
      </c>
      <c r="G9575" s="28">
        <f>IFERROR(VLOOKUP(F9575,CARTON_LOOKUP!$A:$E,3,0),"")</f>
      </c>
      <c r="H9575" s="28">
        <f>IFERROR(VLOOKUP(F9575,CARTON_LOOKUP!$A:$E,4,0),"")</f>
      </c>
      <c r="I9575" s="28">
        <f>IFERROR(VLOOKUP(F9575,CARTON_LOOKUP!$A:$E,5,0),"")</f>
      </c>
      <c r="J9575" s="29">
        <f>IFERROR(VLOOKUP(F9575,CARTON_LOOKUP!$A:$E,2,0),"")</f>
      </c>
      <c r="K9575" s="29">
        <f>IFERROR(J9575*D9575,0)</f>
      </c>
      <c r="L9575" s="29">
        <f>IFERROR(E9575*C9575,0)</f>
      </c>
      <c r="M9575" s="29">
        <f>IFERROR((G9575*H9575*I9575/1000000)*D9575,0)</f>
      </c>
    </row>
    <row r="9576" spans="1:13" x14ac:dyDescent="0.25">
      <c r="A9576" s="16"/>
      <c r="E9576" s="27"/>
      <c r="F9576" t="s">
        <v>26</v>
      </c>
      <c r="G9576" s="28">
        <f>IFERROR(VLOOKUP(F9576,CARTON_LOOKUP!$A:$E,3,0),"")</f>
      </c>
      <c r="H9576" s="28">
        <f>IFERROR(VLOOKUP(F9576,CARTON_LOOKUP!$A:$E,4,0),"")</f>
      </c>
      <c r="I9576" s="28">
        <f>IFERROR(VLOOKUP(F9576,CARTON_LOOKUP!$A:$E,5,0),"")</f>
      </c>
      <c r="J9576" s="29">
        <f>IFERROR(VLOOKUP(F9576,CARTON_LOOKUP!$A:$E,2,0),"")</f>
      </c>
      <c r="K9576" s="29">
        <f>IFERROR(J9576*D9576,0)</f>
      </c>
      <c r="L9576" s="29">
        <f>IFERROR(E9576*C9576,0)</f>
      </c>
      <c r="M9576" s="29">
        <f>IFERROR((G9576*H9576*I9576/1000000)*D9576,0)</f>
      </c>
    </row>
    <row r="9577" spans="1:13" x14ac:dyDescent="0.25">
      <c r="A9577" s="16"/>
      <c r="E9577" s="27"/>
      <c r="F9577" t="s">
        <v>26</v>
      </c>
      <c r="G9577" s="28">
        <f>IFERROR(VLOOKUP(F9577,CARTON_LOOKUP!$A:$E,3,0),"")</f>
      </c>
      <c r="H9577" s="28">
        <f>IFERROR(VLOOKUP(F9577,CARTON_LOOKUP!$A:$E,4,0),"")</f>
      </c>
      <c r="I9577" s="28">
        <f>IFERROR(VLOOKUP(F9577,CARTON_LOOKUP!$A:$E,5,0),"")</f>
      </c>
      <c r="J9577" s="29">
        <f>IFERROR(VLOOKUP(F9577,CARTON_LOOKUP!$A:$E,2,0),"")</f>
      </c>
      <c r="K9577" s="29">
        <f>IFERROR(J9577*D9577,0)</f>
      </c>
      <c r="L9577" s="29">
        <f>IFERROR(E9577*C9577,0)</f>
      </c>
      <c r="M9577" s="29">
        <f>IFERROR((G9577*H9577*I9577/1000000)*D9577,0)</f>
      </c>
    </row>
    <row r="9578" spans="1:13" x14ac:dyDescent="0.25">
      <c r="A9578" s="16"/>
      <c r="E9578" s="27"/>
      <c r="F9578" t="s">
        <v>26</v>
      </c>
      <c r="G9578" s="28">
        <f>IFERROR(VLOOKUP(F9578,CARTON_LOOKUP!$A:$E,3,0),"")</f>
      </c>
      <c r="H9578" s="28">
        <f>IFERROR(VLOOKUP(F9578,CARTON_LOOKUP!$A:$E,4,0),"")</f>
      </c>
      <c r="I9578" s="28">
        <f>IFERROR(VLOOKUP(F9578,CARTON_LOOKUP!$A:$E,5,0),"")</f>
      </c>
      <c r="J9578" s="29">
        <f>IFERROR(VLOOKUP(F9578,CARTON_LOOKUP!$A:$E,2,0),"")</f>
      </c>
      <c r="K9578" s="29">
        <f>IFERROR(J9578*D9578,0)</f>
      </c>
      <c r="L9578" s="29">
        <f>IFERROR(E9578*C9578,0)</f>
      </c>
      <c r="M9578" s="29">
        <f>IFERROR((G9578*H9578*I9578/1000000)*D9578,0)</f>
      </c>
    </row>
    <row r="9579" spans="1:13" x14ac:dyDescent="0.25">
      <c r="A9579" s="16"/>
      <c r="E9579" s="27"/>
      <c r="F9579" t="s">
        <v>26</v>
      </c>
      <c r="G9579" s="28">
        <f>IFERROR(VLOOKUP(F9579,CARTON_LOOKUP!$A:$E,3,0),"")</f>
      </c>
      <c r="H9579" s="28">
        <f>IFERROR(VLOOKUP(F9579,CARTON_LOOKUP!$A:$E,4,0),"")</f>
      </c>
      <c r="I9579" s="28">
        <f>IFERROR(VLOOKUP(F9579,CARTON_LOOKUP!$A:$E,5,0),"")</f>
      </c>
      <c r="J9579" s="29">
        <f>IFERROR(VLOOKUP(F9579,CARTON_LOOKUP!$A:$E,2,0),"")</f>
      </c>
      <c r="K9579" s="29">
        <f>IFERROR(J9579*D9579,0)</f>
      </c>
      <c r="L9579" s="29">
        <f>IFERROR(E9579*C9579,0)</f>
      </c>
      <c r="M9579" s="29">
        <f>IFERROR((G9579*H9579*I9579/1000000)*D9579,0)</f>
      </c>
    </row>
    <row r="9580" spans="1:13" x14ac:dyDescent="0.25">
      <c r="A9580" s="16"/>
      <c r="E9580" s="27"/>
      <c r="F9580" t="s">
        <v>26</v>
      </c>
      <c r="G9580" s="28">
        <f>IFERROR(VLOOKUP(F9580,CARTON_LOOKUP!$A:$E,3,0),"")</f>
      </c>
      <c r="H9580" s="28">
        <f>IFERROR(VLOOKUP(F9580,CARTON_LOOKUP!$A:$E,4,0),"")</f>
      </c>
      <c r="I9580" s="28">
        <f>IFERROR(VLOOKUP(F9580,CARTON_LOOKUP!$A:$E,5,0),"")</f>
      </c>
      <c r="J9580" s="29">
        <f>IFERROR(VLOOKUP(F9580,CARTON_LOOKUP!$A:$E,2,0),"")</f>
      </c>
      <c r="K9580" s="29">
        <f>IFERROR(J9580*D9580,0)</f>
      </c>
      <c r="L9580" s="29">
        <f>IFERROR(E9580*C9580,0)</f>
      </c>
      <c r="M9580" s="29">
        <f>IFERROR((G9580*H9580*I9580/1000000)*D9580,0)</f>
      </c>
    </row>
    <row r="9581" spans="1:13" x14ac:dyDescent="0.25">
      <c r="A9581" s="16"/>
      <c r="E9581" s="27"/>
      <c r="F9581" t="s">
        <v>26</v>
      </c>
      <c r="G9581" s="28">
        <f>IFERROR(VLOOKUP(F9581,CARTON_LOOKUP!$A:$E,3,0),"")</f>
      </c>
      <c r="H9581" s="28">
        <f>IFERROR(VLOOKUP(F9581,CARTON_LOOKUP!$A:$E,4,0),"")</f>
      </c>
      <c r="I9581" s="28">
        <f>IFERROR(VLOOKUP(F9581,CARTON_LOOKUP!$A:$E,5,0),"")</f>
      </c>
      <c r="J9581" s="29">
        <f>IFERROR(VLOOKUP(F9581,CARTON_LOOKUP!$A:$E,2,0),"")</f>
      </c>
      <c r="K9581" s="29">
        <f>IFERROR(J9581*D9581,0)</f>
      </c>
      <c r="L9581" s="29">
        <f>IFERROR(E9581*C9581,0)</f>
      </c>
      <c r="M9581" s="29">
        <f>IFERROR((G9581*H9581*I9581/1000000)*D9581,0)</f>
      </c>
    </row>
    <row r="9582" spans="1:13" x14ac:dyDescent="0.25">
      <c r="A9582" s="16"/>
      <c r="E9582" s="27"/>
      <c r="F9582" t="s">
        <v>26</v>
      </c>
      <c r="G9582" s="28">
        <f>IFERROR(VLOOKUP(F9582,CARTON_LOOKUP!$A:$E,3,0),"")</f>
      </c>
      <c r="H9582" s="28">
        <f>IFERROR(VLOOKUP(F9582,CARTON_LOOKUP!$A:$E,4,0),"")</f>
      </c>
      <c r="I9582" s="28">
        <f>IFERROR(VLOOKUP(F9582,CARTON_LOOKUP!$A:$E,5,0),"")</f>
      </c>
      <c r="J9582" s="29">
        <f>IFERROR(VLOOKUP(F9582,CARTON_LOOKUP!$A:$E,2,0),"")</f>
      </c>
      <c r="K9582" s="29">
        <f>IFERROR(J9582*D9582,0)</f>
      </c>
      <c r="L9582" s="29">
        <f>IFERROR(E9582*C9582,0)</f>
      </c>
      <c r="M9582" s="29">
        <f>IFERROR((G9582*H9582*I9582/1000000)*D9582,0)</f>
      </c>
    </row>
    <row r="9583" spans="1:13" x14ac:dyDescent="0.25">
      <c r="A9583" s="16"/>
      <c r="E9583" s="27"/>
      <c r="F9583" t="s">
        <v>26</v>
      </c>
      <c r="G9583" s="28">
        <f>IFERROR(VLOOKUP(F9583,CARTON_LOOKUP!$A:$E,3,0),"")</f>
      </c>
      <c r="H9583" s="28">
        <f>IFERROR(VLOOKUP(F9583,CARTON_LOOKUP!$A:$E,4,0),"")</f>
      </c>
      <c r="I9583" s="28">
        <f>IFERROR(VLOOKUP(F9583,CARTON_LOOKUP!$A:$E,5,0),"")</f>
      </c>
      <c r="J9583" s="29">
        <f>IFERROR(VLOOKUP(F9583,CARTON_LOOKUP!$A:$E,2,0),"")</f>
      </c>
      <c r="K9583" s="29">
        <f>IFERROR(J9583*D9583,0)</f>
      </c>
      <c r="L9583" s="29">
        <f>IFERROR(E9583*C9583,0)</f>
      </c>
      <c r="M9583" s="29">
        <f>IFERROR((G9583*H9583*I9583/1000000)*D9583,0)</f>
      </c>
    </row>
    <row r="9584" spans="1:13" x14ac:dyDescent="0.25">
      <c r="A9584" s="16"/>
      <c r="E9584" s="27"/>
      <c r="F9584" t="s">
        <v>26</v>
      </c>
      <c r="G9584" s="28">
        <f>IFERROR(VLOOKUP(F9584,CARTON_LOOKUP!$A:$E,3,0),"")</f>
      </c>
      <c r="H9584" s="28">
        <f>IFERROR(VLOOKUP(F9584,CARTON_LOOKUP!$A:$E,4,0),"")</f>
      </c>
      <c r="I9584" s="28">
        <f>IFERROR(VLOOKUP(F9584,CARTON_LOOKUP!$A:$E,5,0),"")</f>
      </c>
      <c r="J9584" s="29">
        <f>IFERROR(VLOOKUP(F9584,CARTON_LOOKUP!$A:$E,2,0),"")</f>
      </c>
      <c r="K9584" s="29">
        <f>IFERROR(J9584*D9584,0)</f>
      </c>
      <c r="L9584" s="29">
        <f>IFERROR(E9584*C9584,0)</f>
      </c>
      <c r="M9584" s="29">
        <f>IFERROR((G9584*H9584*I9584/1000000)*D9584,0)</f>
      </c>
    </row>
    <row r="9585" spans="1:13" x14ac:dyDescent="0.25">
      <c r="A9585" s="16"/>
      <c r="E9585" s="27"/>
      <c r="F9585" t="s">
        <v>26</v>
      </c>
      <c r="G9585" s="28">
        <f>IFERROR(VLOOKUP(F9585,CARTON_LOOKUP!$A:$E,3,0),"")</f>
      </c>
      <c r="H9585" s="28">
        <f>IFERROR(VLOOKUP(F9585,CARTON_LOOKUP!$A:$E,4,0),"")</f>
      </c>
      <c r="I9585" s="28">
        <f>IFERROR(VLOOKUP(F9585,CARTON_LOOKUP!$A:$E,5,0),"")</f>
      </c>
      <c r="J9585" s="29">
        <f>IFERROR(VLOOKUP(F9585,CARTON_LOOKUP!$A:$E,2,0),"")</f>
      </c>
      <c r="K9585" s="29">
        <f>IFERROR(J9585*D9585,0)</f>
      </c>
      <c r="L9585" s="29">
        <f>IFERROR(E9585*C9585,0)</f>
      </c>
      <c r="M9585" s="29">
        <f>IFERROR((G9585*H9585*I9585/1000000)*D9585,0)</f>
      </c>
    </row>
    <row r="9586" spans="1:13" x14ac:dyDescent="0.25">
      <c r="A9586" s="16"/>
      <c r="E9586" s="27"/>
      <c r="F9586" t="s">
        <v>26</v>
      </c>
      <c r="G9586" s="28">
        <f>IFERROR(VLOOKUP(F9586,CARTON_LOOKUP!$A:$E,3,0),"")</f>
      </c>
      <c r="H9586" s="28">
        <f>IFERROR(VLOOKUP(F9586,CARTON_LOOKUP!$A:$E,4,0),"")</f>
      </c>
      <c r="I9586" s="28">
        <f>IFERROR(VLOOKUP(F9586,CARTON_LOOKUP!$A:$E,5,0),"")</f>
      </c>
      <c r="J9586" s="29">
        <f>IFERROR(VLOOKUP(F9586,CARTON_LOOKUP!$A:$E,2,0),"")</f>
      </c>
      <c r="K9586" s="29">
        <f>IFERROR(J9586*D9586,0)</f>
      </c>
      <c r="L9586" s="29">
        <f>IFERROR(E9586*C9586,0)</f>
      </c>
      <c r="M9586" s="29">
        <f>IFERROR((G9586*H9586*I9586/1000000)*D9586,0)</f>
      </c>
    </row>
    <row r="9587" spans="1:13" x14ac:dyDescent="0.25">
      <c r="A9587" s="16"/>
      <c r="E9587" s="27"/>
      <c r="F9587" t="s">
        <v>26</v>
      </c>
      <c r="G9587" s="28">
        <f>IFERROR(VLOOKUP(F9587,CARTON_LOOKUP!$A:$E,3,0),"")</f>
      </c>
      <c r="H9587" s="28">
        <f>IFERROR(VLOOKUP(F9587,CARTON_LOOKUP!$A:$E,4,0),"")</f>
      </c>
      <c r="I9587" s="28">
        <f>IFERROR(VLOOKUP(F9587,CARTON_LOOKUP!$A:$E,5,0),"")</f>
      </c>
      <c r="J9587" s="29">
        <f>IFERROR(VLOOKUP(F9587,CARTON_LOOKUP!$A:$E,2,0),"")</f>
      </c>
      <c r="K9587" s="29">
        <f>IFERROR(J9587*D9587,0)</f>
      </c>
      <c r="L9587" s="29">
        <f>IFERROR(E9587*C9587,0)</f>
      </c>
      <c r="M9587" s="29">
        <f>IFERROR((G9587*H9587*I9587/1000000)*D9587,0)</f>
      </c>
    </row>
    <row r="9588" spans="1:13" x14ac:dyDescent="0.25">
      <c r="A9588" s="16"/>
      <c r="E9588" s="27"/>
      <c r="F9588" t="s">
        <v>26</v>
      </c>
      <c r="G9588" s="28">
        <f>IFERROR(VLOOKUP(F9588,CARTON_LOOKUP!$A:$E,3,0),"")</f>
      </c>
      <c r="H9588" s="28">
        <f>IFERROR(VLOOKUP(F9588,CARTON_LOOKUP!$A:$E,4,0),"")</f>
      </c>
      <c r="I9588" s="28">
        <f>IFERROR(VLOOKUP(F9588,CARTON_LOOKUP!$A:$E,5,0),"")</f>
      </c>
      <c r="J9588" s="29">
        <f>IFERROR(VLOOKUP(F9588,CARTON_LOOKUP!$A:$E,2,0),"")</f>
      </c>
      <c r="K9588" s="29">
        <f>IFERROR(J9588*D9588,0)</f>
      </c>
      <c r="L9588" s="29">
        <f>IFERROR(E9588*C9588,0)</f>
      </c>
      <c r="M9588" s="29">
        <f>IFERROR((G9588*H9588*I9588/1000000)*D9588,0)</f>
      </c>
    </row>
    <row r="9589" spans="1:13" x14ac:dyDescent="0.25">
      <c r="A9589" s="16"/>
      <c r="E9589" s="27"/>
      <c r="F9589" t="s">
        <v>26</v>
      </c>
      <c r="G9589" s="28">
        <f>IFERROR(VLOOKUP(F9589,CARTON_LOOKUP!$A:$E,3,0),"")</f>
      </c>
      <c r="H9589" s="28">
        <f>IFERROR(VLOOKUP(F9589,CARTON_LOOKUP!$A:$E,4,0),"")</f>
      </c>
      <c r="I9589" s="28">
        <f>IFERROR(VLOOKUP(F9589,CARTON_LOOKUP!$A:$E,5,0),"")</f>
      </c>
      <c r="J9589" s="29">
        <f>IFERROR(VLOOKUP(F9589,CARTON_LOOKUP!$A:$E,2,0),"")</f>
      </c>
      <c r="K9589" s="29">
        <f>IFERROR(J9589*D9589,0)</f>
      </c>
      <c r="L9589" s="29">
        <f>IFERROR(E9589*C9589,0)</f>
      </c>
      <c r="M9589" s="29">
        <f>IFERROR((G9589*H9589*I9589/1000000)*D9589,0)</f>
      </c>
    </row>
    <row r="9590" spans="1:13" x14ac:dyDescent="0.25">
      <c r="A9590" s="16"/>
      <c r="E9590" s="27"/>
      <c r="F9590" t="s">
        <v>26</v>
      </c>
      <c r="G9590" s="28">
        <f>IFERROR(VLOOKUP(F9590,CARTON_LOOKUP!$A:$E,3,0),"")</f>
      </c>
      <c r="H9590" s="28">
        <f>IFERROR(VLOOKUP(F9590,CARTON_LOOKUP!$A:$E,4,0),"")</f>
      </c>
      <c r="I9590" s="28">
        <f>IFERROR(VLOOKUP(F9590,CARTON_LOOKUP!$A:$E,5,0),"")</f>
      </c>
      <c r="J9590" s="29">
        <f>IFERROR(VLOOKUP(F9590,CARTON_LOOKUP!$A:$E,2,0),"")</f>
      </c>
      <c r="K9590" s="29">
        <f>IFERROR(J9590*D9590,0)</f>
      </c>
      <c r="L9590" s="29">
        <f>IFERROR(E9590*C9590,0)</f>
      </c>
      <c r="M9590" s="29">
        <f>IFERROR((G9590*H9590*I9590/1000000)*D9590,0)</f>
      </c>
    </row>
    <row r="9591" spans="1:13" x14ac:dyDescent="0.25">
      <c r="A9591" s="16"/>
      <c r="E9591" s="27"/>
      <c r="F9591" t="s">
        <v>26</v>
      </c>
      <c r="G9591" s="28">
        <f>IFERROR(VLOOKUP(F9591,CARTON_LOOKUP!$A:$E,3,0),"")</f>
      </c>
      <c r="H9591" s="28">
        <f>IFERROR(VLOOKUP(F9591,CARTON_LOOKUP!$A:$E,4,0),"")</f>
      </c>
      <c r="I9591" s="28">
        <f>IFERROR(VLOOKUP(F9591,CARTON_LOOKUP!$A:$E,5,0),"")</f>
      </c>
      <c r="J9591" s="29">
        <f>IFERROR(VLOOKUP(F9591,CARTON_LOOKUP!$A:$E,2,0),"")</f>
      </c>
      <c r="K9591" s="29">
        <f>IFERROR(J9591*D9591,0)</f>
      </c>
      <c r="L9591" s="29">
        <f>IFERROR(E9591*C9591,0)</f>
      </c>
      <c r="M9591" s="29">
        <f>IFERROR((G9591*H9591*I9591/1000000)*D9591,0)</f>
      </c>
    </row>
    <row r="9592" spans="1:13" x14ac:dyDescent="0.25">
      <c r="A9592" s="16"/>
      <c r="E9592" s="27"/>
      <c r="F9592" t="s">
        <v>26</v>
      </c>
      <c r="G9592" s="28">
        <f>IFERROR(VLOOKUP(F9592,CARTON_LOOKUP!$A:$E,3,0),"")</f>
      </c>
      <c r="H9592" s="28">
        <f>IFERROR(VLOOKUP(F9592,CARTON_LOOKUP!$A:$E,4,0),"")</f>
      </c>
      <c r="I9592" s="28">
        <f>IFERROR(VLOOKUP(F9592,CARTON_LOOKUP!$A:$E,5,0),"")</f>
      </c>
      <c r="J9592" s="29">
        <f>IFERROR(VLOOKUP(F9592,CARTON_LOOKUP!$A:$E,2,0),"")</f>
      </c>
      <c r="K9592" s="29">
        <f>IFERROR(J9592*D9592,0)</f>
      </c>
      <c r="L9592" s="29">
        <f>IFERROR(E9592*C9592,0)</f>
      </c>
      <c r="M9592" s="29">
        <f>IFERROR((G9592*H9592*I9592/1000000)*D9592,0)</f>
      </c>
    </row>
    <row r="9593" spans="1:13" x14ac:dyDescent="0.25">
      <c r="A9593" s="16"/>
      <c r="E9593" s="27"/>
      <c r="F9593" t="s">
        <v>26</v>
      </c>
      <c r="G9593" s="28">
        <f>IFERROR(VLOOKUP(F9593,CARTON_LOOKUP!$A:$E,3,0),"")</f>
      </c>
      <c r="H9593" s="28">
        <f>IFERROR(VLOOKUP(F9593,CARTON_LOOKUP!$A:$E,4,0),"")</f>
      </c>
      <c r="I9593" s="28">
        <f>IFERROR(VLOOKUP(F9593,CARTON_LOOKUP!$A:$E,5,0),"")</f>
      </c>
      <c r="J9593" s="29">
        <f>IFERROR(VLOOKUP(F9593,CARTON_LOOKUP!$A:$E,2,0),"")</f>
      </c>
      <c r="K9593" s="29">
        <f>IFERROR(J9593*D9593,0)</f>
      </c>
      <c r="L9593" s="29">
        <f>IFERROR(E9593*C9593,0)</f>
      </c>
      <c r="M9593" s="29">
        <f>IFERROR((G9593*H9593*I9593/1000000)*D9593,0)</f>
      </c>
    </row>
    <row r="9594" spans="1:13" x14ac:dyDescent="0.25">
      <c r="A9594" s="16"/>
      <c r="E9594" s="27"/>
      <c r="F9594" t="s">
        <v>26</v>
      </c>
      <c r="G9594" s="28">
        <f>IFERROR(VLOOKUP(F9594,CARTON_LOOKUP!$A:$E,3,0),"")</f>
      </c>
      <c r="H9594" s="28">
        <f>IFERROR(VLOOKUP(F9594,CARTON_LOOKUP!$A:$E,4,0),"")</f>
      </c>
      <c r="I9594" s="28">
        <f>IFERROR(VLOOKUP(F9594,CARTON_LOOKUP!$A:$E,5,0),"")</f>
      </c>
      <c r="J9594" s="29">
        <f>IFERROR(VLOOKUP(F9594,CARTON_LOOKUP!$A:$E,2,0),"")</f>
      </c>
      <c r="K9594" s="29">
        <f>IFERROR(J9594*D9594,0)</f>
      </c>
      <c r="L9594" s="29">
        <f>IFERROR(E9594*C9594,0)</f>
      </c>
      <c r="M9594" s="29">
        <f>IFERROR((G9594*H9594*I9594/1000000)*D9594,0)</f>
      </c>
    </row>
    <row r="9595" spans="1:13" x14ac:dyDescent="0.25">
      <c r="A9595" s="16"/>
      <c r="E9595" s="27"/>
      <c r="F9595" t="s">
        <v>26</v>
      </c>
      <c r="G9595" s="28">
        <f>IFERROR(VLOOKUP(F9595,CARTON_LOOKUP!$A:$E,3,0),"")</f>
      </c>
      <c r="H9595" s="28">
        <f>IFERROR(VLOOKUP(F9595,CARTON_LOOKUP!$A:$E,4,0),"")</f>
      </c>
      <c r="I9595" s="28">
        <f>IFERROR(VLOOKUP(F9595,CARTON_LOOKUP!$A:$E,5,0),"")</f>
      </c>
      <c r="J9595" s="29">
        <f>IFERROR(VLOOKUP(F9595,CARTON_LOOKUP!$A:$E,2,0),"")</f>
      </c>
      <c r="K9595" s="29">
        <f>IFERROR(J9595*D9595,0)</f>
      </c>
      <c r="L9595" s="29">
        <f>IFERROR(E9595*C9595,0)</f>
      </c>
      <c r="M9595" s="29">
        <f>IFERROR((G9595*H9595*I9595/1000000)*D9595,0)</f>
      </c>
    </row>
    <row r="9596" spans="1:13" x14ac:dyDescent="0.25">
      <c r="A9596" s="16"/>
      <c r="E9596" s="27"/>
      <c r="F9596" t="s">
        <v>26</v>
      </c>
      <c r="G9596" s="28">
        <f>IFERROR(VLOOKUP(F9596,CARTON_LOOKUP!$A:$E,3,0),"")</f>
      </c>
      <c r="H9596" s="28">
        <f>IFERROR(VLOOKUP(F9596,CARTON_LOOKUP!$A:$E,4,0),"")</f>
      </c>
      <c r="I9596" s="28">
        <f>IFERROR(VLOOKUP(F9596,CARTON_LOOKUP!$A:$E,5,0),"")</f>
      </c>
      <c r="J9596" s="29">
        <f>IFERROR(VLOOKUP(F9596,CARTON_LOOKUP!$A:$E,2,0),"")</f>
      </c>
      <c r="K9596" s="29">
        <f>IFERROR(J9596*D9596,0)</f>
      </c>
      <c r="L9596" s="29">
        <f>IFERROR(E9596*C9596,0)</f>
      </c>
      <c r="M9596" s="29">
        <f>IFERROR((G9596*H9596*I9596/1000000)*D9596,0)</f>
      </c>
    </row>
    <row r="9597" spans="1:13" x14ac:dyDescent="0.25">
      <c r="A9597" s="16"/>
      <c r="E9597" s="27"/>
      <c r="F9597" t="s">
        <v>26</v>
      </c>
      <c r="G9597" s="28">
        <f>IFERROR(VLOOKUP(F9597,CARTON_LOOKUP!$A:$E,3,0),"")</f>
      </c>
      <c r="H9597" s="28">
        <f>IFERROR(VLOOKUP(F9597,CARTON_LOOKUP!$A:$E,4,0),"")</f>
      </c>
      <c r="I9597" s="28">
        <f>IFERROR(VLOOKUP(F9597,CARTON_LOOKUP!$A:$E,5,0),"")</f>
      </c>
      <c r="J9597" s="29">
        <f>IFERROR(VLOOKUP(F9597,CARTON_LOOKUP!$A:$E,2,0),"")</f>
      </c>
      <c r="K9597" s="29">
        <f>IFERROR(J9597*D9597,0)</f>
      </c>
      <c r="L9597" s="29">
        <f>IFERROR(E9597*C9597,0)</f>
      </c>
      <c r="M9597" s="29">
        <f>IFERROR((G9597*H9597*I9597/1000000)*D9597,0)</f>
      </c>
    </row>
    <row r="9598" spans="1:13" x14ac:dyDescent="0.25">
      <c r="A9598" s="16"/>
      <c r="E9598" s="27"/>
      <c r="F9598" t="s">
        <v>26</v>
      </c>
      <c r="G9598" s="28">
        <f>IFERROR(VLOOKUP(F9598,CARTON_LOOKUP!$A:$E,3,0),"")</f>
      </c>
      <c r="H9598" s="28">
        <f>IFERROR(VLOOKUP(F9598,CARTON_LOOKUP!$A:$E,4,0),"")</f>
      </c>
      <c r="I9598" s="28">
        <f>IFERROR(VLOOKUP(F9598,CARTON_LOOKUP!$A:$E,5,0),"")</f>
      </c>
      <c r="J9598" s="29">
        <f>IFERROR(VLOOKUP(F9598,CARTON_LOOKUP!$A:$E,2,0),"")</f>
      </c>
      <c r="K9598" s="29">
        <f>IFERROR(J9598*D9598,0)</f>
      </c>
      <c r="L9598" s="29">
        <f>IFERROR(E9598*C9598,0)</f>
      </c>
      <c r="M9598" s="29">
        <f>IFERROR((G9598*H9598*I9598/1000000)*D9598,0)</f>
      </c>
    </row>
    <row r="9599" spans="1:13" x14ac:dyDescent="0.25">
      <c r="A9599" s="16"/>
      <c r="E9599" s="27"/>
      <c r="F9599" t="s">
        <v>26</v>
      </c>
      <c r="G9599" s="28">
        <f>IFERROR(VLOOKUP(F9599,CARTON_LOOKUP!$A:$E,3,0),"")</f>
      </c>
      <c r="H9599" s="28">
        <f>IFERROR(VLOOKUP(F9599,CARTON_LOOKUP!$A:$E,4,0),"")</f>
      </c>
      <c r="I9599" s="28">
        <f>IFERROR(VLOOKUP(F9599,CARTON_LOOKUP!$A:$E,5,0),"")</f>
      </c>
      <c r="J9599" s="29">
        <f>IFERROR(VLOOKUP(F9599,CARTON_LOOKUP!$A:$E,2,0),"")</f>
      </c>
      <c r="K9599" s="29">
        <f>IFERROR(J9599*D9599,0)</f>
      </c>
      <c r="L9599" s="29">
        <f>IFERROR(E9599*C9599,0)</f>
      </c>
      <c r="M9599" s="29">
        <f>IFERROR((G9599*H9599*I9599/1000000)*D9599,0)</f>
      </c>
    </row>
    <row r="9600" spans="1:13" x14ac:dyDescent="0.25">
      <c r="A9600" s="16"/>
      <c r="E9600" s="27"/>
      <c r="F9600" t="s">
        <v>26</v>
      </c>
      <c r="G9600" s="28">
        <f>IFERROR(VLOOKUP(F9600,CARTON_LOOKUP!$A:$E,3,0),"")</f>
      </c>
      <c r="H9600" s="28">
        <f>IFERROR(VLOOKUP(F9600,CARTON_LOOKUP!$A:$E,4,0),"")</f>
      </c>
      <c r="I9600" s="28">
        <f>IFERROR(VLOOKUP(F9600,CARTON_LOOKUP!$A:$E,5,0),"")</f>
      </c>
      <c r="J9600" s="29">
        <f>IFERROR(VLOOKUP(F9600,CARTON_LOOKUP!$A:$E,2,0),"")</f>
      </c>
      <c r="K9600" s="29">
        <f>IFERROR(J9600*D9600,0)</f>
      </c>
      <c r="L9600" s="29">
        <f>IFERROR(E9600*C9600,0)</f>
      </c>
      <c r="M9600" s="29">
        <f>IFERROR((G9600*H9600*I9600/1000000)*D9600,0)</f>
      </c>
    </row>
    <row r="9601" spans="1:13" x14ac:dyDescent="0.25">
      <c r="A9601" s="16"/>
      <c r="E9601" s="27"/>
      <c r="F9601" t="s">
        <v>26</v>
      </c>
      <c r="G9601" s="28">
        <f>IFERROR(VLOOKUP(F9601,CARTON_LOOKUP!$A:$E,3,0),"")</f>
      </c>
      <c r="H9601" s="28">
        <f>IFERROR(VLOOKUP(F9601,CARTON_LOOKUP!$A:$E,4,0),"")</f>
      </c>
      <c r="I9601" s="28">
        <f>IFERROR(VLOOKUP(F9601,CARTON_LOOKUP!$A:$E,5,0),"")</f>
      </c>
      <c r="J9601" s="29">
        <f>IFERROR(VLOOKUP(F9601,CARTON_LOOKUP!$A:$E,2,0),"")</f>
      </c>
      <c r="K9601" s="29">
        <f>IFERROR(J9601*D9601,0)</f>
      </c>
      <c r="L9601" s="29">
        <f>IFERROR(E9601*C9601,0)</f>
      </c>
      <c r="M9601" s="29">
        <f>IFERROR((G9601*H9601*I9601/1000000)*D9601,0)</f>
      </c>
    </row>
    <row r="9602" spans="1:13" x14ac:dyDescent="0.25">
      <c r="A9602" s="16"/>
      <c r="E9602" s="27"/>
      <c r="F9602" t="s">
        <v>26</v>
      </c>
      <c r="G9602" s="28">
        <f>IFERROR(VLOOKUP(F9602,CARTON_LOOKUP!$A:$E,3,0),"")</f>
      </c>
      <c r="H9602" s="28">
        <f>IFERROR(VLOOKUP(F9602,CARTON_LOOKUP!$A:$E,4,0),"")</f>
      </c>
      <c r="I9602" s="28">
        <f>IFERROR(VLOOKUP(F9602,CARTON_LOOKUP!$A:$E,5,0),"")</f>
      </c>
      <c r="J9602" s="29">
        <f>IFERROR(VLOOKUP(F9602,CARTON_LOOKUP!$A:$E,2,0),"")</f>
      </c>
      <c r="K9602" s="29">
        <f>IFERROR(J9602*D9602,0)</f>
      </c>
      <c r="L9602" s="29">
        <f>IFERROR(E9602*C9602,0)</f>
      </c>
      <c r="M9602" s="29">
        <f>IFERROR((G9602*H9602*I9602/1000000)*D9602,0)</f>
      </c>
    </row>
    <row r="9603" spans="1:13" x14ac:dyDescent="0.25">
      <c r="A9603" s="16"/>
      <c r="E9603" s="27"/>
      <c r="F9603" t="s">
        <v>26</v>
      </c>
      <c r="G9603" s="28">
        <f>IFERROR(VLOOKUP(F9603,CARTON_LOOKUP!$A:$E,3,0),"")</f>
      </c>
      <c r="H9603" s="28">
        <f>IFERROR(VLOOKUP(F9603,CARTON_LOOKUP!$A:$E,4,0),"")</f>
      </c>
      <c r="I9603" s="28">
        <f>IFERROR(VLOOKUP(F9603,CARTON_LOOKUP!$A:$E,5,0),"")</f>
      </c>
      <c r="J9603" s="29">
        <f>IFERROR(VLOOKUP(F9603,CARTON_LOOKUP!$A:$E,2,0),"")</f>
      </c>
      <c r="K9603" s="29">
        <f>IFERROR(J9603*D9603,0)</f>
      </c>
      <c r="L9603" s="29">
        <f>IFERROR(E9603*C9603,0)</f>
      </c>
      <c r="M9603" s="29">
        <f>IFERROR((G9603*H9603*I9603/1000000)*D9603,0)</f>
      </c>
    </row>
    <row r="9604" spans="1:13" x14ac:dyDescent="0.25">
      <c r="A9604" s="16"/>
      <c r="E9604" s="27"/>
      <c r="F9604" t="s">
        <v>26</v>
      </c>
      <c r="G9604" s="28">
        <f>IFERROR(VLOOKUP(F9604,CARTON_LOOKUP!$A:$E,3,0),"")</f>
      </c>
      <c r="H9604" s="28">
        <f>IFERROR(VLOOKUP(F9604,CARTON_LOOKUP!$A:$E,4,0),"")</f>
      </c>
      <c r="I9604" s="28">
        <f>IFERROR(VLOOKUP(F9604,CARTON_LOOKUP!$A:$E,5,0),"")</f>
      </c>
      <c r="J9604" s="29">
        <f>IFERROR(VLOOKUP(F9604,CARTON_LOOKUP!$A:$E,2,0),"")</f>
      </c>
      <c r="K9604" s="29">
        <f>IFERROR(J9604*D9604,0)</f>
      </c>
      <c r="L9604" s="29">
        <f>IFERROR(E9604*C9604,0)</f>
      </c>
      <c r="M9604" s="29">
        <f>IFERROR((G9604*H9604*I9604/1000000)*D9604,0)</f>
      </c>
    </row>
    <row r="9605" spans="1:13" x14ac:dyDescent="0.25">
      <c r="A9605" s="16"/>
      <c r="E9605" s="27"/>
      <c r="F9605" t="s">
        <v>26</v>
      </c>
      <c r="G9605" s="28">
        <f>IFERROR(VLOOKUP(F9605,CARTON_LOOKUP!$A:$E,3,0),"")</f>
      </c>
      <c r="H9605" s="28">
        <f>IFERROR(VLOOKUP(F9605,CARTON_LOOKUP!$A:$E,4,0),"")</f>
      </c>
      <c r="I9605" s="28">
        <f>IFERROR(VLOOKUP(F9605,CARTON_LOOKUP!$A:$E,5,0),"")</f>
      </c>
      <c r="J9605" s="29">
        <f>IFERROR(VLOOKUP(F9605,CARTON_LOOKUP!$A:$E,2,0),"")</f>
      </c>
      <c r="K9605" s="29">
        <f>IFERROR(J9605*D9605,0)</f>
      </c>
      <c r="L9605" s="29">
        <f>IFERROR(E9605*C9605,0)</f>
      </c>
      <c r="M9605" s="29">
        <f>IFERROR((G9605*H9605*I9605/1000000)*D9605,0)</f>
      </c>
    </row>
    <row r="9606" spans="1:13" x14ac:dyDescent="0.25">
      <c r="A9606" s="16"/>
      <c r="E9606" s="27"/>
      <c r="F9606" t="s">
        <v>26</v>
      </c>
      <c r="G9606" s="28">
        <f>IFERROR(VLOOKUP(F9606,CARTON_LOOKUP!$A:$E,3,0),"")</f>
      </c>
      <c r="H9606" s="28">
        <f>IFERROR(VLOOKUP(F9606,CARTON_LOOKUP!$A:$E,4,0),"")</f>
      </c>
      <c r="I9606" s="28">
        <f>IFERROR(VLOOKUP(F9606,CARTON_LOOKUP!$A:$E,5,0),"")</f>
      </c>
      <c r="J9606" s="29">
        <f>IFERROR(VLOOKUP(F9606,CARTON_LOOKUP!$A:$E,2,0),"")</f>
      </c>
      <c r="K9606" s="29">
        <f>IFERROR(J9606*D9606,0)</f>
      </c>
      <c r="L9606" s="29">
        <f>IFERROR(E9606*C9606,0)</f>
      </c>
      <c r="M9606" s="29">
        <f>IFERROR((G9606*H9606*I9606/1000000)*D9606,0)</f>
      </c>
    </row>
    <row r="9607" spans="1:13" x14ac:dyDescent="0.25">
      <c r="A9607" s="16"/>
      <c r="E9607" s="27"/>
      <c r="F9607" t="s">
        <v>26</v>
      </c>
      <c r="G9607" s="28">
        <f>IFERROR(VLOOKUP(F9607,CARTON_LOOKUP!$A:$E,3,0),"")</f>
      </c>
      <c r="H9607" s="28">
        <f>IFERROR(VLOOKUP(F9607,CARTON_LOOKUP!$A:$E,4,0),"")</f>
      </c>
      <c r="I9607" s="28">
        <f>IFERROR(VLOOKUP(F9607,CARTON_LOOKUP!$A:$E,5,0),"")</f>
      </c>
      <c r="J9607" s="29">
        <f>IFERROR(VLOOKUP(F9607,CARTON_LOOKUP!$A:$E,2,0),"")</f>
      </c>
      <c r="K9607" s="29">
        <f>IFERROR(J9607*D9607,0)</f>
      </c>
      <c r="L9607" s="29">
        <f>IFERROR(E9607*C9607,0)</f>
      </c>
      <c r="M9607" s="29">
        <f>IFERROR((G9607*H9607*I9607/1000000)*D9607,0)</f>
      </c>
    </row>
    <row r="9608" spans="1:13" x14ac:dyDescent="0.25">
      <c r="A9608" s="16"/>
      <c r="E9608" s="27"/>
      <c r="F9608" t="s">
        <v>26</v>
      </c>
      <c r="G9608" s="28">
        <f>IFERROR(VLOOKUP(F9608,CARTON_LOOKUP!$A:$E,3,0),"")</f>
      </c>
      <c r="H9608" s="28">
        <f>IFERROR(VLOOKUP(F9608,CARTON_LOOKUP!$A:$E,4,0),"")</f>
      </c>
      <c r="I9608" s="28">
        <f>IFERROR(VLOOKUP(F9608,CARTON_LOOKUP!$A:$E,5,0),"")</f>
      </c>
      <c r="J9608" s="29">
        <f>IFERROR(VLOOKUP(F9608,CARTON_LOOKUP!$A:$E,2,0),"")</f>
      </c>
      <c r="K9608" s="29">
        <f>IFERROR(J9608*D9608,0)</f>
      </c>
      <c r="L9608" s="29">
        <f>IFERROR(E9608*C9608,0)</f>
      </c>
      <c r="M9608" s="29">
        <f>IFERROR((G9608*H9608*I9608/1000000)*D9608,0)</f>
      </c>
    </row>
    <row r="9609" spans="1:13" x14ac:dyDescent="0.25">
      <c r="A9609" s="16"/>
      <c r="E9609" s="27"/>
      <c r="F9609" t="s">
        <v>26</v>
      </c>
      <c r="G9609" s="28">
        <f>IFERROR(VLOOKUP(F9609,CARTON_LOOKUP!$A:$E,3,0),"")</f>
      </c>
      <c r="H9609" s="28">
        <f>IFERROR(VLOOKUP(F9609,CARTON_LOOKUP!$A:$E,4,0),"")</f>
      </c>
      <c r="I9609" s="28">
        <f>IFERROR(VLOOKUP(F9609,CARTON_LOOKUP!$A:$E,5,0),"")</f>
      </c>
      <c r="J9609" s="29">
        <f>IFERROR(VLOOKUP(F9609,CARTON_LOOKUP!$A:$E,2,0),"")</f>
      </c>
      <c r="K9609" s="29">
        <f>IFERROR(J9609*D9609,0)</f>
      </c>
      <c r="L9609" s="29">
        <f>IFERROR(E9609*C9609,0)</f>
      </c>
      <c r="M9609" s="29">
        <f>IFERROR((G9609*H9609*I9609/1000000)*D9609,0)</f>
      </c>
    </row>
    <row r="9610" spans="1:13" x14ac:dyDescent="0.25">
      <c r="A9610" s="16"/>
      <c r="E9610" s="27"/>
      <c r="F9610" t="s">
        <v>26</v>
      </c>
      <c r="G9610" s="28">
        <f>IFERROR(VLOOKUP(F9610,CARTON_LOOKUP!$A:$E,3,0),"")</f>
      </c>
      <c r="H9610" s="28">
        <f>IFERROR(VLOOKUP(F9610,CARTON_LOOKUP!$A:$E,4,0),"")</f>
      </c>
      <c r="I9610" s="28">
        <f>IFERROR(VLOOKUP(F9610,CARTON_LOOKUP!$A:$E,5,0),"")</f>
      </c>
      <c r="J9610" s="29">
        <f>IFERROR(VLOOKUP(F9610,CARTON_LOOKUP!$A:$E,2,0),"")</f>
      </c>
      <c r="K9610" s="29">
        <f>IFERROR(J9610*D9610,0)</f>
      </c>
      <c r="L9610" s="29">
        <f>IFERROR(E9610*C9610,0)</f>
      </c>
      <c r="M9610" s="29">
        <f>IFERROR((G9610*H9610*I9610/1000000)*D9610,0)</f>
      </c>
    </row>
    <row r="9611" spans="1:13" x14ac:dyDescent="0.25">
      <c r="A9611" s="16"/>
      <c r="E9611" s="27"/>
      <c r="F9611" t="s">
        <v>26</v>
      </c>
      <c r="G9611" s="28">
        <f>IFERROR(VLOOKUP(F9611,CARTON_LOOKUP!$A:$E,3,0),"")</f>
      </c>
      <c r="H9611" s="28">
        <f>IFERROR(VLOOKUP(F9611,CARTON_LOOKUP!$A:$E,4,0),"")</f>
      </c>
      <c r="I9611" s="28">
        <f>IFERROR(VLOOKUP(F9611,CARTON_LOOKUP!$A:$E,5,0),"")</f>
      </c>
      <c r="J9611" s="29">
        <f>IFERROR(VLOOKUP(F9611,CARTON_LOOKUP!$A:$E,2,0),"")</f>
      </c>
      <c r="K9611" s="29">
        <f>IFERROR(J9611*D9611,0)</f>
      </c>
      <c r="L9611" s="29">
        <f>IFERROR(E9611*C9611,0)</f>
      </c>
      <c r="M9611" s="29">
        <f>IFERROR((G9611*H9611*I9611/1000000)*D9611,0)</f>
      </c>
    </row>
    <row r="9612" spans="1:13" x14ac:dyDescent="0.25">
      <c r="A9612" s="16"/>
      <c r="E9612" s="27"/>
      <c r="F9612" t="s">
        <v>26</v>
      </c>
      <c r="G9612" s="28">
        <f>IFERROR(VLOOKUP(F9612,CARTON_LOOKUP!$A:$E,3,0),"")</f>
      </c>
      <c r="H9612" s="28">
        <f>IFERROR(VLOOKUP(F9612,CARTON_LOOKUP!$A:$E,4,0),"")</f>
      </c>
      <c r="I9612" s="28">
        <f>IFERROR(VLOOKUP(F9612,CARTON_LOOKUP!$A:$E,5,0),"")</f>
      </c>
      <c r="J9612" s="29">
        <f>IFERROR(VLOOKUP(F9612,CARTON_LOOKUP!$A:$E,2,0),"")</f>
      </c>
      <c r="K9612" s="29">
        <f>IFERROR(J9612*D9612,0)</f>
      </c>
      <c r="L9612" s="29">
        <f>IFERROR(E9612*C9612,0)</f>
      </c>
      <c r="M9612" s="29">
        <f>IFERROR((G9612*H9612*I9612/1000000)*D9612,0)</f>
      </c>
    </row>
    <row r="9613" spans="1:13" x14ac:dyDescent="0.25">
      <c r="A9613" s="16"/>
      <c r="E9613" s="27"/>
      <c r="F9613" t="s">
        <v>26</v>
      </c>
      <c r="G9613" s="28">
        <f>IFERROR(VLOOKUP(F9613,CARTON_LOOKUP!$A:$E,3,0),"")</f>
      </c>
      <c r="H9613" s="28">
        <f>IFERROR(VLOOKUP(F9613,CARTON_LOOKUP!$A:$E,4,0),"")</f>
      </c>
      <c r="I9613" s="28">
        <f>IFERROR(VLOOKUP(F9613,CARTON_LOOKUP!$A:$E,5,0),"")</f>
      </c>
      <c r="J9613" s="29">
        <f>IFERROR(VLOOKUP(F9613,CARTON_LOOKUP!$A:$E,2,0),"")</f>
      </c>
      <c r="K9613" s="29">
        <f>IFERROR(J9613*D9613,0)</f>
      </c>
      <c r="L9613" s="29">
        <f>IFERROR(E9613*C9613,0)</f>
      </c>
      <c r="M9613" s="29">
        <f>IFERROR((G9613*H9613*I9613/1000000)*D9613,0)</f>
      </c>
    </row>
    <row r="9614" spans="1:13" x14ac:dyDescent="0.25">
      <c r="A9614" s="16"/>
      <c r="E9614" s="27"/>
      <c r="F9614" t="s">
        <v>26</v>
      </c>
      <c r="G9614" s="28">
        <f>IFERROR(VLOOKUP(F9614,CARTON_LOOKUP!$A:$E,3,0),"")</f>
      </c>
      <c r="H9614" s="28">
        <f>IFERROR(VLOOKUP(F9614,CARTON_LOOKUP!$A:$E,4,0),"")</f>
      </c>
      <c r="I9614" s="28">
        <f>IFERROR(VLOOKUP(F9614,CARTON_LOOKUP!$A:$E,5,0),"")</f>
      </c>
      <c r="J9614" s="29">
        <f>IFERROR(VLOOKUP(F9614,CARTON_LOOKUP!$A:$E,2,0),"")</f>
      </c>
      <c r="K9614" s="29">
        <f>IFERROR(J9614*D9614,0)</f>
      </c>
      <c r="L9614" s="29">
        <f>IFERROR(E9614*C9614,0)</f>
      </c>
      <c r="M9614" s="29">
        <f>IFERROR((G9614*H9614*I9614/1000000)*D9614,0)</f>
      </c>
    </row>
    <row r="9615" spans="1:13" x14ac:dyDescent="0.25">
      <c r="A9615" s="16"/>
      <c r="E9615" s="27"/>
      <c r="F9615" t="s">
        <v>26</v>
      </c>
      <c r="G9615" s="28">
        <f>IFERROR(VLOOKUP(F9615,CARTON_LOOKUP!$A:$E,3,0),"")</f>
      </c>
      <c r="H9615" s="28">
        <f>IFERROR(VLOOKUP(F9615,CARTON_LOOKUP!$A:$E,4,0),"")</f>
      </c>
      <c r="I9615" s="28">
        <f>IFERROR(VLOOKUP(F9615,CARTON_LOOKUP!$A:$E,5,0),"")</f>
      </c>
      <c r="J9615" s="29">
        <f>IFERROR(VLOOKUP(F9615,CARTON_LOOKUP!$A:$E,2,0),"")</f>
      </c>
      <c r="K9615" s="29">
        <f>IFERROR(J9615*D9615,0)</f>
      </c>
      <c r="L9615" s="29">
        <f>IFERROR(E9615*C9615,0)</f>
      </c>
      <c r="M9615" s="29">
        <f>IFERROR((G9615*H9615*I9615/1000000)*D9615,0)</f>
      </c>
    </row>
    <row r="9616" spans="1:13" x14ac:dyDescent="0.25">
      <c r="A9616" s="16"/>
      <c r="E9616" s="27"/>
      <c r="F9616" t="s">
        <v>26</v>
      </c>
      <c r="G9616" s="28">
        <f>IFERROR(VLOOKUP(F9616,CARTON_LOOKUP!$A:$E,3,0),"")</f>
      </c>
      <c r="H9616" s="28">
        <f>IFERROR(VLOOKUP(F9616,CARTON_LOOKUP!$A:$E,4,0),"")</f>
      </c>
      <c r="I9616" s="28">
        <f>IFERROR(VLOOKUP(F9616,CARTON_LOOKUP!$A:$E,5,0),"")</f>
      </c>
      <c r="J9616" s="29">
        <f>IFERROR(VLOOKUP(F9616,CARTON_LOOKUP!$A:$E,2,0),"")</f>
      </c>
      <c r="K9616" s="29">
        <f>IFERROR(J9616*D9616,0)</f>
      </c>
      <c r="L9616" s="29">
        <f>IFERROR(E9616*C9616,0)</f>
      </c>
      <c r="M9616" s="29">
        <f>IFERROR((G9616*H9616*I9616/1000000)*D9616,0)</f>
      </c>
    </row>
    <row r="9617" spans="1:13" x14ac:dyDescent="0.25">
      <c r="A9617" s="16"/>
      <c r="E9617" s="27"/>
      <c r="F9617" t="s">
        <v>26</v>
      </c>
      <c r="G9617" s="28">
        <f>IFERROR(VLOOKUP(F9617,CARTON_LOOKUP!$A:$E,3,0),"")</f>
      </c>
      <c r="H9617" s="28">
        <f>IFERROR(VLOOKUP(F9617,CARTON_LOOKUP!$A:$E,4,0),"")</f>
      </c>
      <c r="I9617" s="28">
        <f>IFERROR(VLOOKUP(F9617,CARTON_LOOKUP!$A:$E,5,0),"")</f>
      </c>
      <c r="J9617" s="29">
        <f>IFERROR(VLOOKUP(F9617,CARTON_LOOKUP!$A:$E,2,0),"")</f>
      </c>
      <c r="K9617" s="29">
        <f>IFERROR(J9617*D9617,0)</f>
      </c>
      <c r="L9617" s="29">
        <f>IFERROR(E9617*C9617,0)</f>
      </c>
      <c r="M9617" s="29">
        <f>IFERROR((G9617*H9617*I9617/1000000)*D9617,0)</f>
      </c>
    </row>
    <row r="9618" spans="1:13" x14ac:dyDescent="0.25">
      <c r="A9618" s="16"/>
      <c r="E9618" s="27"/>
      <c r="F9618" t="s">
        <v>26</v>
      </c>
      <c r="G9618" s="28">
        <f>IFERROR(VLOOKUP(F9618,CARTON_LOOKUP!$A:$E,3,0),"")</f>
      </c>
      <c r="H9618" s="28">
        <f>IFERROR(VLOOKUP(F9618,CARTON_LOOKUP!$A:$E,4,0),"")</f>
      </c>
      <c r="I9618" s="28">
        <f>IFERROR(VLOOKUP(F9618,CARTON_LOOKUP!$A:$E,5,0),"")</f>
      </c>
      <c r="J9618" s="29">
        <f>IFERROR(VLOOKUP(F9618,CARTON_LOOKUP!$A:$E,2,0),"")</f>
      </c>
      <c r="K9618" s="29">
        <f>IFERROR(J9618*D9618,0)</f>
      </c>
      <c r="L9618" s="29">
        <f>IFERROR(E9618*C9618,0)</f>
      </c>
      <c r="M9618" s="29">
        <f>IFERROR((G9618*H9618*I9618/1000000)*D9618,0)</f>
      </c>
    </row>
    <row r="9619" spans="1:13" x14ac:dyDescent="0.25">
      <c r="A9619" s="16"/>
      <c r="E9619" s="27"/>
      <c r="F9619" t="s">
        <v>26</v>
      </c>
      <c r="G9619" s="28">
        <f>IFERROR(VLOOKUP(F9619,CARTON_LOOKUP!$A:$E,3,0),"")</f>
      </c>
      <c r="H9619" s="28">
        <f>IFERROR(VLOOKUP(F9619,CARTON_LOOKUP!$A:$E,4,0),"")</f>
      </c>
      <c r="I9619" s="28">
        <f>IFERROR(VLOOKUP(F9619,CARTON_LOOKUP!$A:$E,5,0),"")</f>
      </c>
      <c r="J9619" s="29">
        <f>IFERROR(VLOOKUP(F9619,CARTON_LOOKUP!$A:$E,2,0),"")</f>
      </c>
      <c r="K9619" s="29">
        <f>IFERROR(J9619*D9619,0)</f>
      </c>
      <c r="L9619" s="29">
        <f>IFERROR(E9619*C9619,0)</f>
      </c>
      <c r="M9619" s="29">
        <f>IFERROR((G9619*H9619*I9619/1000000)*D9619,0)</f>
      </c>
    </row>
    <row r="9620" spans="1:13" x14ac:dyDescent="0.25">
      <c r="A9620" s="16"/>
      <c r="E9620" s="27"/>
      <c r="F9620" t="s">
        <v>26</v>
      </c>
      <c r="G9620" s="28">
        <f>IFERROR(VLOOKUP(F9620,CARTON_LOOKUP!$A:$E,3,0),"")</f>
      </c>
      <c r="H9620" s="28">
        <f>IFERROR(VLOOKUP(F9620,CARTON_LOOKUP!$A:$E,4,0),"")</f>
      </c>
      <c r="I9620" s="28">
        <f>IFERROR(VLOOKUP(F9620,CARTON_LOOKUP!$A:$E,5,0),"")</f>
      </c>
      <c r="J9620" s="29">
        <f>IFERROR(VLOOKUP(F9620,CARTON_LOOKUP!$A:$E,2,0),"")</f>
      </c>
      <c r="K9620" s="29">
        <f>IFERROR(J9620*D9620,0)</f>
      </c>
      <c r="L9620" s="29">
        <f>IFERROR(E9620*C9620,0)</f>
      </c>
      <c r="M9620" s="29">
        <f>IFERROR((G9620*H9620*I9620/1000000)*D9620,0)</f>
      </c>
    </row>
    <row r="9621" spans="1:13" x14ac:dyDescent="0.25">
      <c r="A9621" s="16"/>
      <c r="E9621" s="27"/>
      <c r="F9621" t="s">
        <v>26</v>
      </c>
      <c r="G9621" s="28">
        <f>IFERROR(VLOOKUP(F9621,CARTON_LOOKUP!$A:$E,3,0),"")</f>
      </c>
      <c r="H9621" s="28">
        <f>IFERROR(VLOOKUP(F9621,CARTON_LOOKUP!$A:$E,4,0),"")</f>
      </c>
      <c r="I9621" s="28">
        <f>IFERROR(VLOOKUP(F9621,CARTON_LOOKUP!$A:$E,5,0),"")</f>
      </c>
      <c r="J9621" s="29">
        <f>IFERROR(VLOOKUP(F9621,CARTON_LOOKUP!$A:$E,2,0),"")</f>
      </c>
      <c r="K9621" s="29">
        <f>IFERROR(J9621*D9621,0)</f>
      </c>
      <c r="L9621" s="29">
        <f>IFERROR(E9621*C9621,0)</f>
      </c>
      <c r="M9621" s="29">
        <f>IFERROR((G9621*H9621*I9621/1000000)*D9621,0)</f>
      </c>
    </row>
    <row r="9622" spans="1:13" x14ac:dyDescent="0.25">
      <c r="A9622" s="16"/>
      <c r="E9622" s="27"/>
      <c r="F9622" t="s">
        <v>26</v>
      </c>
      <c r="G9622" s="28">
        <f>IFERROR(VLOOKUP(F9622,CARTON_LOOKUP!$A:$E,3,0),"")</f>
      </c>
      <c r="H9622" s="28">
        <f>IFERROR(VLOOKUP(F9622,CARTON_LOOKUP!$A:$E,4,0),"")</f>
      </c>
      <c r="I9622" s="28">
        <f>IFERROR(VLOOKUP(F9622,CARTON_LOOKUP!$A:$E,5,0),"")</f>
      </c>
      <c r="J9622" s="29">
        <f>IFERROR(VLOOKUP(F9622,CARTON_LOOKUP!$A:$E,2,0),"")</f>
      </c>
      <c r="K9622" s="29">
        <f>IFERROR(J9622*D9622,0)</f>
      </c>
      <c r="L9622" s="29">
        <f>IFERROR(E9622*C9622,0)</f>
      </c>
      <c r="M9622" s="29">
        <f>IFERROR((G9622*H9622*I9622/1000000)*D9622,0)</f>
      </c>
    </row>
    <row r="9623" spans="1:13" x14ac:dyDescent="0.25">
      <c r="A9623" s="16"/>
      <c r="E9623" s="27"/>
      <c r="F9623" t="s">
        <v>26</v>
      </c>
      <c r="G9623" s="28">
        <f>IFERROR(VLOOKUP(F9623,CARTON_LOOKUP!$A:$E,3,0),"")</f>
      </c>
      <c r="H9623" s="28">
        <f>IFERROR(VLOOKUP(F9623,CARTON_LOOKUP!$A:$E,4,0),"")</f>
      </c>
      <c r="I9623" s="28">
        <f>IFERROR(VLOOKUP(F9623,CARTON_LOOKUP!$A:$E,5,0),"")</f>
      </c>
      <c r="J9623" s="29">
        <f>IFERROR(VLOOKUP(F9623,CARTON_LOOKUP!$A:$E,2,0),"")</f>
      </c>
      <c r="K9623" s="29">
        <f>IFERROR(J9623*D9623,0)</f>
      </c>
      <c r="L9623" s="29">
        <f>IFERROR(E9623*C9623,0)</f>
      </c>
      <c r="M9623" s="29">
        <f>IFERROR((G9623*H9623*I9623/1000000)*D9623,0)</f>
      </c>
    </row>
    <row r="9624" spans="1:13" x14ac:dyDescent="0.25">
      <c r="A9624" s="16"/>
      <c r="E9624" s="27"/>
      <c r="F9624" t="s">
        <v>26</v>
      </c>
      <c r="G9624" s="28">
        <f>IFERROR(VLOOKUP(F9624,CARTON_LOOKUP!$A:$E,3,0),"")</f>
      </c>
      <c r="H9624" s="28">
        <f>IFERROR(VLOOKUP(F9624,CARTON_LOOKUP!$A:$E,4,0),"")</f>
      </c>
      <c r="I9624" s="28">
        <f>IFERROR(VLOOKUP(F9624,CARTON_LOOKUP!$A:$E,5,0),"")</f>
      </c>
      <c r="J9624" s="29">
        <f>IFERROR(VLOOKUP(F9624,CARTON_LOOKUP!$A:$E,2,0),"")</f>
      </c>
      <c r="K9624" s="29">
        <f>IFERROR(J9624*D9624,0)</f>
      </c>
      <c r="L9624" s="29">
        <f>IFERROR(E9624*C9624,0)</f>
      </c>
      <c r="M9624" s="29">
        <f>IFERROR((G9624*H9624*I9624/1000000)*D9624,0)</f>
      </c>
    </row>
    <row r="9625" spans="1:13" x14ac:dyDescent="0.25">
      <c r="A9625" s="16"/>
      <c r="E9625" s="27"/>
      <c r="F9625" t="s">
        <v>26</v>
      </c>
      <c r="G9625" s="28">
        <f>IFERROR(VLOOKUP(F9625,CARTON_LOOKUP!$A:$E,3,0),"")</f>
      </c>
      <c r="H9625" s="28">
        <f>IFERROR(VLOOKUP(F9625,CARTON_LOOKUP!$A:$E,4,0),"")</f>
      </c>
      <c r="I9625" s="28">
        <f>IFERROR(VLOOKUP(F9625,CARTON_LOOKUP!$A:$E,5,0),"")</f>
      </c>
      <c r="J9625" s="29">
        <f>IFERROR(VLOOKUP(F9625,CARTON_LOOKUP!$A:$E,2,0),"")</f>
      </c>
      <c r="K9625" s="29">
        <f>IFERROR(J9625*D9625,0)</f>
      </c>
      <c r="L9625" s="29">
        <f>IFERROR(E9625*C9625,0)</f>
      </c>
      <c r="M9625" s="29">
        <f>IFERROR((G9625*H9625*I9625/1000000)*D9625,0)</f>
      </c>
    </row>
    <row r="9626" spans="1:13" x14ac:dyDescent="0.25">
      <c r="A9626" s="16"/>
      <c r="E9626" s="27"/>
      <c r="F9626" t="s">
        <v>26</v>
      </c>
      <c r="G9626" s="28">
        <f>IFERROR(VLOOKUP(F9626,CARTON_LOOKUP!$A:$E,3,0),"")</f>
      </c>
      <c r="H9626" s="28">
        <f>IFERROR(VLOOKUP(F9626,CARTON_LOOKUP!$A:$E,4,0),"")</f>
      </c>
      <c r="I9626" s="28">
        <f>IFERROR(VLOOKUP(F9626,CARTON_LOOKUP!$A:$E,5,0),"")</f>
      </c>
      <c r="J9626" s="29">
        <f>IFERROR(VLOOKUP(F9626,CARTON_LOOKUP!$A:$E,2,0),"")</f>
      </c>
      <c r="K9626" s="29">
        <f>IFERROR(J9626*D9626,0)</f>
      </c>
      <c r="L9626" s="29">
        <f>IFERROR(E9626*C9626,0)</f>
      </c>
      <c r="M9626" s="29">
        <f>IFERROR((G9626*H9626*I9626/1000000)*D9626,0)</f>
      </c>
    </row>
    <row r="9627" spans="1:13" x14ac:dyDescent="0.25">
      <c r="A9627" s="16"/>
      <c r="E9627" s="27"/>
      <c r="F9627" t="s">
        <v>26</v>
      </c>
      <c r="G9627" s="28">
        <f>IFERROR(VLOOKUP(F9627,CARTON_LOOKUP!$A:$E,3,0),"")</f>
      </c>
      <c r="H9627" s="28">
        <f>IFERROR(VLOOKUP(F9627,CARTON_LOOKUP!$A:$E,4,0),"")</f>
      </c>
      <c r="I9627" s="28">
        <f>IFERROR(VLOOKUP(F9627,CARTON_LOOKUP!$A:$E,5,0),"")</f>
      </c>
      <c r="J9627" s="29">
        <f>IFERROR(VLOOKUP(F9627,CARTON_LOOKUP!$A:$E,2,0),"")</f>
      </c>
      <c r="K9627" s="29">
        <f>IFERROR(J9627*D9627,0)</f>
      </c>
      <c r="L9627" s="29">
        <f>IFERROR(E9627*C9627,0)</f>
      </c>
      <c r="M9627" s="29">
        <f>IFERROR((G9627*H9627*I9627/1000000)*D9627,0)</f>
      </c>
    </row>
    <row r="9628" spans="1:13" x14ac:dyDescent="0.25">
      <c r="A9628" s="16"/>
      <c r="E9628" s="27"/>
      <c r="F9628" t="s">
        <v>26</v>
      </c>
      <c r="G9628" s="28">
        <f>IFERROR(VLOOKUP(F9628,CARTON_LOOKUP!$A:$E,3,0),"")</f>
      </c>
      <c r="H9628" s="28">
        <f>IFERROR(VLOOKUP(F9628,CARTON_LOOKUP!$A:$E,4,0),"")</f>
      </c>
      <c r="I9628" s="28">
        <f>IFERROR(VLOOKUP(F9628,CARTON_LOOKUP!$A:$E,5,0),"")</f>
      </c>
      <c r="J9628" s="29">
        <f>IFERROR(VLOOKUP(F9628,CARTON_LOOKUP!$A:$E,2,0),"")</f>
      </c>
      <c r="K9628" s="29">
        <f>IFERROR(J9628*D9628,0)</f>
      </c>
      <c r="L9628" s="29">
        <f>IFERROR(E9628*C9628,0)</f>
      </c>
      <c r="M9628" s="29">
        <f>IFERROR((G9628*H9628*I9628/1000000)*D9628,0)</f>
      </c>
    </row>
    <row r="9629" spans="1:13" x14ac:dyDescent="0.25">
      <c r="A9629" s="16"/>
      <c r="E9629" s="27"/>
      <c r="F9629" t="s">
        <v>26</v>
      </c>
      <c r="G9629" s="28">
        <f>IFERROR(VLOOKUP(F9629,CARTON_LOOKUP!$A:$E,3,0),"")</f>
      </c>
      <c r="H9629" s="28">
        <f>IFERROR(VLOOKUP(F9629,CARTON_LOOKUP!$A:$E,4,0),"")</f>
      </c>
      <c r="I9629" s="28">
        <f>IFERROR(VLOOKUP(F9629,CARTON_LOOKUP!$A:$E,5,0),"")</f>
      </c>
      <c r="J9629" s="29">
        <f>IFERROR(VLOOKUP(F9629,CARTON_LOOKUP!$A:$E,2,0),"")</f>
      </c>
      <c r="K9629" s="29">
        <f>IFERROR(J9629*D9629,0)</f>
      </c>
      <c r="L9629" s="29">
        <f>IFERROR(E9629*C9629,0)</f>
      </c>
      <c r="M9629" s="29">
        <f>IFERROR((G9629*H9629*I9629/1000000)*D9629,0)</f>
      </c>
    </row>
    <row r="9630" spans="1:13" x14ac:dyDescent="0.25">
      <c r="A9630" s="16"/>
      <c r="E9630" s="27"/>
      <c r="F9630" t="s">
        <v>26</v>
      </c>
      <c r="G9630" s="28">
        <f>IFERROR(VLOOKUP(F9630,CARTON_LOOKUP!$A:$E,3,0),"")</f>
      </c>
      <c r="H9630" s="28">
        <f>IFERROR(VLOOKUP(F9630,CARTON_LOOKUP!$A:$E,4,0),"")</f>
      </c>
      <c r="I9630" s="28">
        <f>IFERROR(VLOOKUP(F9630,CARTON_LOOKUP!$A:$E,5,0),"")</f>
      </c>
      <c r="J9630" s="29">
        <f>IFERROR(VLOOKUP(F9630,CARTON_LOOKUP!$A:$E,2,0),"")</f>
      </c>
      <c r="K9630" s="29">
        <f>IFERROR(J9630*D9630,0)</f>
      </c>
      <c r="L9630" s="29">
        <f>IFERROR(E9630*C9630,0)</f>
      </c>
      <c r="M9630" s="29">
        <f>IFERROR((G9630*H9630*I9630/1000000)*D9630,0)</f>
      </c>
    </row>
    <row r="9631" spans="1:13" x14ac:dyDescent="0.25">
      <c r="A9631" s="16"/>
      <c r="E9631" s="27"/>
      <c r="F9631" t="s">
        <v>26</v>
      </c>
      <c r="G9631" s="28">
        <f>IFERROR(VLOOKUP(F9631,CARTON_LOOKUP!$A:$E,3,0),"")</f>
      </c>
      <c r="H9631" s="28">
        <f>IFERROR(VLOOKUP(F9631,CARTON_LOOKUP!$A:$E,4,0),"")</f>
      </c>
      <c r="I9631" s="28">
        <f>IFERROR(VLOOKUP(F9631,CARTON_LOOKUP!$A:$E,5,0),"")</f>
      </c>
      <c r="J9631" s="29">
        <f>IFERROR(VLOOKUP(F9631,CARTON_LOOKUP!$A:$E,2,0),"")</f>
      </c>
      <c r="K9631" s="29">
        <f>IFERROR(J9631*D9631,0)</f>
      </c>
      <c r="L9631" s="29">
        <f>IFERROR(E9631*C9631,0)</f>
      </c>
      <c r="M9631" s="29">
        <f>IFERROR((G9631*H9631*I9631/1000000)*D9631,0)</f>
      </c>
    </row>
    <row r="9632" spans="1:13" x14ac:dyDescent="0.25">
      <c r="A9632" s="16"/>
      <c r="E9632" s="27"/>
      <c r="F9632" t="s">
        <v>26</v>
      </c>
      <c r="G9632" s="28">
        <f>IFERROR(VLOOKUP(F9632,CARTON_LOOKUP!$A:$E,3,0),"")</f>
      </c>
      <c r="H9632" s="28">
        <f>IFERROR(VLOOKUP(F9632,CARTON_LOOKUP!$A:$E,4,0),"")</f>
      </c>
      <c r="I9632" s="28">
        <f>IFERROR(VLOOKUP(F9632,CARTON_LOOKUP!$A:$E,5,0),"")</f>
      </c>
      <c r="J9632" s="29">
        <f>IFERROR(VLOOKUP(F9632,CARTON_LOOKUP!$A:$E,2,0),"")</f>
      </c>
      <c r="K9632" s="29">
        <f>IFERROR(J9632*D9632,0)</f>
      </c>
      <c r="L9632" s="29">
        <f>IFERROR(E9632*C9632,0)</f>
      </c>
      <c r="M9632" s="29">
        <f>IFERROR((G9632*H9632*I9632/1000000)*D9632,0)</f>
      </c>
    </row>
    <row r="9633" spans="1:13" x14ac:dyDescent="0.25">
      <c r="A9633" s="16"/>
      <c r="E9633" s="27"/>
      <c r="F9633" t="s">
        <v>26</v>
      </c>
      <c r="G9633" s="28">
        <f>IFERROR(VLOOKUP(F9633,CARTON_LOOKUP!$A:$E,3,0),"")</f>
      </c>
      <c r="H9633" s="28">
        <f>IFERROR(VLOOKUP(F9633,CARTON_LOOKUP!$A:$E,4,0),"")</f>
      </c>
      <c r="I9633" s="28">
        <f>IFERROR(VLOOKUP(F9633,CARTON_LOOKUP!$A:$E,5,0),"")</f>
      </c>
      <c r="J9633" s="29">
        <f>IFERROR(VLOOKUP(F9633,CARTON_LOOKUP!$A:$E,2,0),"")</f>
      </c>
      <c r="K9633" s="29">
        <f>IFERROR(J9633*D9633,0)</f>
      </c>
      <c r="L9633" s="29">
        <f>IFERROR(E9633*C9633,0)</f>
      </c>
      <c r="M9633" s="29">
        <f>IFERROR((G9633*H9633*I9633/1000000)*D9633,0)</f>
      </c>
    </row>
    <row r="9634" spans="1:13" x14ac:dyDescent="0.25">
      <c r="A9634" s="16"/>
      <c r="E9634" s="27"/>
      <c r="F9634" t="s">
        <v>26</v>
      </c>
      <c r="G9634" s="28">
        <f>IFERROR(VLOOKUP(F9634,CARTON_LOOKUP!$A:$E,3,0),"")</f>
      </c>
      <c r="H9634" s="28">
        <f>IFERROR(VLOOKUP(F9634,CARTON_LOOKUP!$A:$E,4,0),"")</f>
      </c>
      <c r="I9634" s="28">
        <f>IFERROR(VLOOKUP(F9634,CARTON_LOOKUP!$A:$E,5,0),"")</f>
      </c>
      <c r="J9634" s="29">
        <f>IFERROR(VLOOKUP(F9634,CARTON_LOOKUP!$A:$E,2,0),"")</f>
      </c>
      <c r="K9634" s="29">
        <f>IFERROR(J9634*D9634,0)</f>
      </c>
      <c r="L9634" s="29">
        <f>IFERROR(E9634*C9634,0)</f>
      </c>
      <c r="M9634" s="29">
        <f>IFERROR((G9634*H9634*I9634/1000000)*D9634,0)</f>
      </c>
    </row>
    <row r="9635" spans="1:13" x14ac:dyDescent="0.25">
      <c r="A9635" s="16"/>
      <c r="E9635" s="27"/>
      <c r="F9635" t="s">
        <v>26</v>
      </c>
      <c r="G9635" s="28">
        <f>IFERROR(VLOOKUP(F9635,CARTON_LOOKUP!$A:$E,3,0),"")</f>
      </c>
      <c r="H9635" s="28">
        <f>IFERROR(VLOOKUP(F9635,CARTON_LOOKUP!$A:$E,4,0),"")</f>
      </c>
      <c r="I9635" s="28">
        <f>IFERROR(VLOOKUP(F9635,CARTON_LOOKUP!$A:$E,5,0),"")</f>
      </c>
      <c r="J9635" s="29">
        <f>IFERROR(VLOOKUP(F9635,CARTON_LOOKUP!$A:$E,2,0),"")</f>
      </c>
      <c r="K9635" s="29">
        <f>IFERROR(J9635*D9635,0)</f>
      </c>
      <c r="L9635" s="29">
        <f>IFERROR(E9635*C9635,0)</f>
      </c>
      <c r="M9635" s="29">
        <f>IFERROR((G9635*H9635*I9635/1000000)*D9635,0)</f>
      </c>
    </row>
    <row r="9636" spans="1:13" x14ac:dyDescent="0.25">
      <c r="A9636" s="16"/>
      <c r="E9636" s="27"/>
      <c r="F9636" t="s">
        <v>26</v>
      </c>
      <c r="G9636" s="28">
        <f>IFERROR(VLOOKUP(F9636,CARTON_LOOKUP!$A:$E,3,0),"")</f>
      </c>
      <c r="H9636" s="28">
        <f>IFERROR(VLOOKUP(F9636,CARTON_LOOKUP!$A:$E,4,0),"")</f>
      </c>
      <c r="I9636" s="28">
        <f>IFERROR(VLOOKUP(F9636,CARTON_LOOKUP!$A:$E,5,0),"")</f>
      </c>
      <c r="J9636" s="29">
        <f>IFERROR(VLOOKUP(F9636,CARTON_LOOKUP!$A:$E,2,0),"")</f>
      </c>
      <c r="K9636" s="29">
        <f>IFERROR(J9636*D9636,0)</f>
      </c>
      <c r="L9636" s="29">
        <f>IFERROR(E9636*C9636,0)</f>
      </c>
      <c r="M9636" s="29">
        <f>IFERROR((G9636*H9636*I9636/1000000)*D9636,0)</f>
      </c>
    </row>
    <row r="9637" spans="1:13" x14ac:dyDescent="0.25">
      <c r="A9637" s="16"/>
      <c r="E9637" s="27"/>
      <c r="F9637" t="s">
        <v>26</v>
      </c>
      <c r="G9637" s="28">
        <f>IFERROR(VLOOKUP(F9637,CARTON_LOOKUP!$A:$E,3,0),"")</f>
      </c>
      <c r="H9637" s="28">
        <f>IFERROR(VLOOKUP(F9637,CARTON_LOOKUP!$A:$E,4,0),"")</f>
      </c>
      <c r="I9637" s="28">
        <f>IFERROR(VLOOKUP(F9637,CARTON_LOOKUP!$A:$E,5,0),"")</f>
      </c>
      <c r="J9637" s="29">
        <f>IFERROR(VLOOKUP(F9637,CARTON_LOOKUP!$A:$E,2,0),"")</f>
      </c>
      <c r="K9637" s="29">
        <f>IFERROR(J9637*D9637,0)</f>
      </c>
      <c r="L9637" s="29">
        <f>IFERROR(E9637*C9637,0)</f>
      </c>
      <c r="M9637" s="29">
        <f>IFERROR((G9637*H9637*I9637/1000000)*D9637,0)</f>
      </c>
    </row>
    <row r="9638" spans="1:13" x14ac:dyDescent="0.25">
      <c r="A9638" s="16"/>
      <c r="E9638" s="27"/>
      <c r="F9638" t="s">
        <v>26</v>
      </c>
      <c r="G9638" s="28">
        <f>IFERROR(VLOOKUP(F9638,CARTON_LOOKUP!$A:$E,3,0),"")</f>
      </c>
      <c r="H9638" s="28">
        <f>IFERROR(VLOOKUP(F9638,CARTON_LOOKUP!$A:$E,4,0),"")</f>
      </c>
      <c r="I9638" s="28">
        <f>IFERROR(VLOOKUP(F9638,CARTON_LOOKUP!$A:$E,5,0),"")</f>
      </c>
      <c r="J9638" s="29">
        <f>IFERROR(VLOOKUP(F9638,CARTON_LOOKUP!$A:$E,2,0),"")</f>
      </c>
      <c r="K9638" s="29">
        <f>IFERROR(J9638*D9638,0)</f>
      </c>
      <c r="L9638" s="29">
        <f>IFERROR(E9638*C9638,0)</f>
      </c>
      <c r="M9638" s="29">
        <f>IFERROR((G9638*H9638*I9638/1000000)*D9638,0)</f>
      </c>
    </row>
    <row r="9639" spans="1:13" x14ac:dyDescent="0.25">
      <c r="A9639" s="16"/>
      <c r="E9639" s="27"/>
      <c r="F9639" t="s">
        <v>26</v>
      </c>
      <c r="G9639" s="28">
        <f>IFERROR(VLOOKUP(F9639,CARTON_LOOKUP!$A:$E,3,0),"")</f>
      </c>
      <c r="H9639" s="28">
        <f>IFERROR(VLOOKUP(F9639,CARTON_LOOKUP!$A:$E,4,0),"")</f>
      </c>
      <c r="I9639" s="28">
        <f>IFERROR(VLOOKUP(F9639,CARTON_LOOKUP!$A:$E,5,0),"")</f>
      </c>
      <c r="J9639" s="29">
        <f>IFERROR(VLOOKUP(F9639,CARTON_LOOKUP!$A:$E,2,0),"")</f>
      </c>
      <c r="K9639" s="29">
        <f>IFERROR(J9639*D9639,0)</f>
      </c>
      <c r="L9639" s="29">
        <f>IFERROR(E9639*C9639,0)</f>
      </c>
      <c r="M9639" s="29">
        <f>IFERROR((G9639*H9639*I9639/1000000)*D9639,0)</f>
      </c>
    </row>
    <row r="9640" spans="1:13" x14ac:dyDescent="0.25">
      <c r="A9640" s="16"/>
      <c r="E9640" s="27"/>
      <c r="F9640" t="s">
        <v>26</v>
      </c>
      <c r="G9640" s="28">
        <f>IFERROR(VLOOKUP(F9640,CARTON_LOOKUP!$A:$E,3,0),"")</f>
      </c>
      <c r="H9640" s="28">
        <f>IFERROR(VLOOKUP(F9640,CARTON_LOOKUP!$A:$E,4,0),"")</f>
      </c>
      <c r="I9640" s="28">
        <f>IFERROR(VLOOKUP(F9640,CARTON_LOOKUP!$A:$E,5,0),"")</f>
      </c>
      <c r="J9640" s="29">
        <f>IFERROR(VLOOKUP(F9640,CARTON_LOOKUP!$A:$E,2,0),"")</f>
      </c>
      <c r="K9640" s="29">
        <f>IFERROR(J9640*D9640,0)</f>
      </c>
      <c r="L9640" s="29">
        <f>IFERROR(E9640*C9640,0)</f>
      </c>
      <c r="M9640" s="29">
        <f>IFERROR((G9640*H9640*I9640/1000000)*D9640,0)</f>
      </c>
    </row>
    <row r="9641" spans="1:13" x14ac:dyDescent="0.25">
      <c r="A9641" s="16"/>
      <c r="E9641" s="27"/>
      <c r="F9641" t="s">
        <v>26</v>
      </c>
      <c r="G9641" s="28">
        <f>IFERROR(VLOOKUP(F9641,CARTON_LOOKUP!$A:$E,3,0),"")</f>
      </c>
      <c r="H9641" s="28">
        <f>IFERROR(VLOOKUP(F9641,CARTON_LOOKUP!$A:$E,4,0),"")</f>
      </c>
      <c r="I9641" s="28">
        <f>IFERROR(VLOOKUP(F9641,CARTON_LOOKUP!$A:$E,5,0),"")</f>
      </c>
      <c r="J9641" s="29">
        <f>IFERROR(VLOOKUP(F9641,CARTON_LOOKUP!$A:$E,2,0),"")</f>
      </c>
      <c r="K9641" s="29">
        <f>IFERROR(J9641*D9641,0)</f>
      </c>
      <c r="L9641" s="29">
        <f>IFERROR(E9641*C9641,0)</f>
      </c>
      <c r="M9641" s="29">
        <f>IFERROR((G9641*H9641*I9641/1000000)*D9641,0)</f>
      </c>
    </row>
    <row r="9642" spans="1:13" x14ac:dyDescent="0.25">
      <c r="A9642" s="16"/>
      <c r="E9642" s="27"/>
      <c r="F9642" t="s">
        <v>26</v>
      </c>
      <c r="G9642" s="28">
        <f>IFERROR(VLOOKUP(F9642,CARTON_LOOKUP!$A:$E,3,0),"")</f>
      </c>
      <c r="H9642" s="28">
        <f>IFERROR(VLOOKUP(F9642,CARTON_LOOKUP!$A:$E,4,0),"")</f>
      </c>
      <c r="I9642" s="28">
        <f>IFERROR(VLOOKUP(F9642,CARTON_LOOKUP!$A:$E,5,0),"")</f>
      </c>
      <c r="J9642" s="29">
        <f>IFERROR(VLOOKUP(F9642,CARTON_LOOKUP!$A:$E,2,0),"")</f>
      </c>
      <c r="K9642" s="29">
        <f>IFERROR(J9642*D9642,0)</f>
      </c>
      <c r="L9642" s="29">
        <f>IFERROR(E9642*C9642,0)</f>
      </c>
      <c r="M9642" s="29">
        <f>IFERROR((G9642*H9642*I9642/1000000)*D9642,0)</f>
      </c>
    </row>
    <row r="9643" spans="1:13" x14ac:dyDescent="0.25">
      <c r="A9643" s="16"/>
      <c r="E9643" s="27"/>
      <c r="F9643" t="s">
        <v>26</v>
      </c>
      <c r="G9643" s="28">
        <f>IFERROR(VLOOKUP(F9643,CARTON_LOOKUP!$A:$E,3,0),"")</f>
      </c>
      <c r="H9643" s="28">
        <f>IFERROR(VLOOKUP(F9643,CARTON_LOOKUP!$A:$E,4,0),"")</f>
      </c>
      <c r="I9643" s="28">
        <f>IFERROR(VLOOKUP(F9643,CARTON_LOOKUP!$A:$E,5,0),"")</f>
      </c>
      <c r="J9643" s="29">
        <f>IFERROR(VLOOKUP(F9643,CARTON_LOOKUP!$A:$E,2,0),"")</f>
      </c>
      <c r="K9643" s="29">
        <f>IFERROR(J9643*D9643,0)</f>
      </c>
      <c r="L9643" s="29">
        <f>IFERROR(E9643*C9643,0)</f>
      </c>
      <c r="M9643" s="29">
        <f>IFERROR((G9643*H9643*I9643/1000000)*D9643,0)</f>
      </c>
    </row>
    <row r="9644" spans="1:13" x14ac:dyDescent="0.25">
      <c r="A9644" s="16"/>
      <c r="E9644" s="27"/>
      <c r="F9644" t="s">
        <v>26</v>
      </c>
      <c r="G9644" s="28">
        <f>IFERROR(VLOOKUP(F9644,CARTON_LOOKUP!$A:$E,3,0),"")</f>
      </c>
      <c r="H9644" s="28">
        <f>IFERROR(VLOOKUP(F9644,CARTON_LOOKUP!$A:$E,4,0),"")</f>
      </c>
      <c r="I9644" s="28">
        <f>IFERROR(VLOOKUP(F9644,CARTON_LOOKUP!$A:$E,5,0),"")</f>
      </c>
      <c r="J9644" s="29">
        <f>IFERROR(VLOOKUP(F9644,CARTON_LOOKUP!$A:$E,2,0),"")</f>
      </c>
      <c r="K9644" s="29">
        <f>IFERROR(J9644*D9644,0)</f>
      </c>
      <c r="L9644" s="29">
        <f>IFERROR(E9644*C9644,0)</f>
      </c>
      <c r="M9644" s="29">
        <f>IFERROR((G9644*H9644*I9644/1000000)*D9644,0)</f>
      </c>
    </row>
    <row r="9645" spans="1:13" x14ac:dyDescent="0.25">
      <c r="A9645" s="16"/>
      <c r="E9645" s="27"/>
      <c r="F9645" t="s">
        <v>26</v>
      </c>
      <c r="G9645" s="28">
        <f>IFERROR(VLOOKUP(F9645,CARTON_LOOKUP!$A:$E,3,0),"")</f>
      </c>
      <c r="H9645" s="28">
        <f>IFERROR(VLOOKUP(F9645,CARTON_LOOKUP!$A:$E,4,0),"")</f>
      </c>
      <c r="I9645" s="28">
        <f>IFERROR(VLOOKUP(F9645,CARTON_LOOKUP!$A:$E,5,0),"")</f>
      </c>
      <c r="J9645" s="29">
        <f>IFERROR(VLOOKUP(F9645,CARTON_LOOKUP!$A:$E,2,0),"")</f>
      </c>
      <c r="K9645" s="29">
        <f>IFERROR(J9645*D9645,0)</f>
      </c>
      <c r="L9645" s="29">
        <f>IFERROR(E9645*C9645,0)</f>
      </c>
      <c r="M9645" s="29">
        <f>IFERROR((G9645*H9645*I9645/1000000)*D9645,0)</f>
      </c>
    </row>
    <row r="9646" spans="1:13" x14ac:dyDescent="0.25">
      <c r="A9646" s="16"/>
      <c r="E9646" s="27"/>
      <c r="F9646" t="s">
        <v>26</v>
      </c>
      <c r="G9646" s="28">
        <f>IFERROR(VLOOKUP(F9646,CARTON_LOOKUP!$A:$E,3,0),"")</f>
      </c>
      <c r="H9646" s="28">
        <f>IFERROR(VLOOKUP(F9646,CARTON_LOOKUP!$A:$E,4,0),"")</f>
      </c>
      <c r="I9646" s="28">
        <f>IFERROR(VLOOKUP(F9646,CARTON_LOOKUP!$A:$E,5,0),"")</f>
      </c>
      <c r="J9646" s="29">
        <f>IFERROR(VLOOKUP(F9646,CARTON_LOOKUP!$A:$E,2,0),"")</f>
      </c>
      <c r="K9646" s="29">
        <f>IFERROR(J9646*D9646,0)</f>
      </c>
      <c r="L9646" s="29">
        <f>IFERROR(E9646*C9646,0)</f>
      </c>
      <c r="M9646" s="29">
        <f>IFERROR((G9646*H9646*I9646/1000000)*D9646,0)</f>
      </c>
    </row>
    <row r="9647" spans="1:13" x14ac:dyDescent="0.25">
      <c r="A9647" s="16"/>
      <c r="E9647" s="27"/>
      <c r="F9647" t="s">
        <v>26</v>
      </c>
      <c r="G9647" s="28">
        <f>IFERROR(VLOOKUP(F9647,CARTON_LOOKUP!$A:$E,3,0),"")</f>
      </c>
      <c r="H9647" s="28">
        <f>IFERROR(VLOOKUP(F9647,CARTON_LOOKUP!$A:$E,4,0),"")</f>
      </c>
      <c r="I9647" s="28">
        <f>IFERROR(VLOOKUP(F9647,CARTON_LOOKUP!$A:$E,5,0),"")</f>
      </c>
      <c r="J9647" s="29">
        <f>IFERROR(VLOOKUP(F9647,CARTON_LOOKUP!$A:$E,2,0),"")</f>
      </c>
      <c r="K9647" s="29">
        <f>IFERROR(J9647*D9647,0)</f>
      </c>
      <c r="L9647" s="29">
        <f>IFERROR(E9647*C9647,0)</f>
      </c>
      <c r="M9647" s="29">
        <f>IFERROR((G9647*H9647*I9647/1000000)*D9647,0)</f>
      </c>
    </row>
    <row r="9648" spans="1:13" x14ac:dyDescent="0.25">
      <c r="A9648" s="16"/>
      <c r="E9648" s="27"/>
      <c r="F9648" t="s">
        <v>26</v>
      </c>
      <c r="G9648" s="28">
        <f>IFERROR(VLOOKUP(F9648,CARTON_LOOKUP!$A:$E,3,0),"")</f>
      </c>
      <c r="H9648" s="28">
        <f>IFERROR(VLOOKUP(F9648,CARTON_LOOKUP!$A:$E,4,0),"")</f>
      </c>
      <c r="I9648" s="28">
        <f>IFERROR(VLOOKUP(F9648,CARTON_LOOKUP!$A:$E,5,0),"")</f>
      </c>
      <c r="J9648" s="29">
        <f>IFERROR(VLOOKUP(F9648,CARTON_LOOKUP!$A:$E,2,0),"")</f>
      </c>
      <c r="K9648" s="29">
        <f>IFERROR(J9648*D9648,0)</f>
      </c>
      <c r="L9648" s="29">
        <f>IFERROR(E9648*C9648,0)</f>
      </c>
      <c r="M9648" s="29">
        <f>IFERROR((G9648*H9648*I9648/1000000)*D9648,0)</f>
      </c>
    </row>
    <row r="9649" spans="1:13" x14ac:dyDescent="0.25">
      <c r="A9649" s="16"/>
      <c r="E9649" s="27"/>
      <c r="F9649" t="s">
        <v>26</v>
      </c>
      <c r="G9649" s="28">
        <f>IFERROR(VLOOKUP(F9649,CARTON_LOOKUP!$A:$E,3,0),"")</f>
      </c>
      <c r="H9649" s="28">
        <f>IFERROR(VLOOKUP(F9649,CARTON_LOOKUP!$A:$E,4,0),"")</f>
      </c>
      <c r="I9649" s="28">
        <f>IFERROR(VLOOKUP(F9649,CARTON_LOOKUP!$A:$E,5,0),"")</f>
      </c>
      <c r="J9649" s="29">
        <f>IFERROR(VLOOKUP(F9649,CARTON_LOOKUP!$A:$E,2,0),"")</f>
      </c>
      <c r="K9649" s="29">
        <f>IFERROR(J9649*D9649,0)</f>
      </c>
      <c r="L9649" s="29">
        <f>IFERROR(E9649*C9649,0)</f>
      </c>
      <c r="M9649" s="29">
        <f>IFERROR((G9649*H9649*I9649/1000000)*D9649,0)</f>
      </c>
    </row>
    <row r="9650" spans="1:13" x14ac:dyDescent="0.25">
      <c r="A9650" s="16"/>
      <c r="E9650" s="27"/>
      <c r="F9650" t="s">
        <v>26</v>
      </c>
      <c r="G9650" s="28">
        <f>IFERROR(VLOOKUP(F9650,CARTON_LOOKUP!$A:$E,3,0),"")</f>
      </c>
      <c r="H9650" s="28">
        <f>IFERROR(VLOOKUP(F9650,CARTON_LOOKUP!$A:$E,4,0),"")</f>
      </c>
      <c r="I9650" s="28">
        <f>IFERROR(VLOOKUP(F9650,CARTON_LOOKUP!$A:$E,5,0),"")</f>
      </c>
      <c r="J9650" s="29">
        <f>IFERROR(VLOOKUP(F9650,CARTON_LOOKUP!$A:$E,2,0),"")</f>
      </c>
      <c r="K9650" s="29">
        <f>IFERROR(J9650*D9650,0)</f>
      </c>
      <c r="L9650" s="29">
        <f>IFERROR(E9650*C9650,0)</f>
      </c>
      <c r="M9650" s="29">
        <f>IFERROR((G9650*H9650*I9650/1000000)*D9650,0)</f>
      </c>
    </row>
    <row r="9651" spans="1:13" x14ac:dyDescent="0.25">
      <c r="A9651" s="16"/>
      <c r="E9651" s="27"/>
      <c r="F9651" t="s">
        <v>26</v>
      </c>
      <c r="G9651" s="28">
        <f>IFERROR(VLOOKUP(F9651,CARTON_LOOKUP!$A:$E,3,0),"")</f>
      </c>
      <c r="H9651" s="28">
        <f>IFERROR(VLOOKUP(F9651,CARTON_LOOKUP!$A:$E,4,0),"")</f>
      </c>
      <c r="I9651" s="28">
        <f>IFERROR(VLOOKUP(F9651,CARTON_LOOKUP!$A:$E,5,0),"")</f>
      </c>
      <c r="J9651" s="29">
        <f>IFERROR(VLOOKUP(F9651,CARTON_LOOKUP!$A:$E,2,0),"")</f>
      </c>
      <c r="K9651" s="29">
        <f>IFERROR(J9651*D9651,0)</f>
      </c>
      <c r="L9651" s="29">
        <f>IFERROR(E9651*C9651,0)</f>
      </c>
      <c r="M9651" s="29">
        <f>IFERROR((G9651*H9651*I9651/1000000)*D9651,0)</f>
      </c>
    </row>
    <row r="9652" spans="1:13" x14ac:dyDescent="0.25">
      <c r="A9652" s="16"/>
      <c r="E9652" s="27"/>
      <c r="F9652" t="s">
        <v>26</v>
      </c>
      <c r="G9652" s="28">
        <f>IFERROR(VLOOKUP(F9652,CARTON_LOOKUP!$A:$E,3,0),"")</f>
      </c>
      <c r="H9652" s="28">
        <f>IFERROR(VLOOKUP(F9652,CARTON_LOOKUP!$A:$E,4,0),"")</f>
      </c>
      <c r="I9652" s="28">
        <f>IFERROR(VLOOKUP(F9652,CARTON_LOOKUP!$A:$E,5,0),"")</f>
      </c>
      <c r="J9652" s="29">
        <f>IFERROR(VLOOKUP(F9652,CARTON_LOOKUP!$A:$E,2,0),"")</f>
      </c>
      <c r="K9652" s="29">
        <f>IFERROR(J9652*D9652,0)</f>
      </c>
      <c r="L9652" s="29">
        <f>IFERROR(E9652*C9652,0)</f>
      </c>
      <c r="M9652" s="29">
        <f>IFERROR((G9652*H9652*I9652/1000000)*D9652,0)</f>
      </c>
    </row>
    <row r="9653" spans="1:13" x14ac:dyDescent="0.25">
      <c r="A9653" s="16"/>
      <c r="E9653" s="27"/>
      <c r="F9653" t="s">
        <v>26</v>
      </c>
      <c r="G9653" s="28">
        <f>IFERROR(VLOOKUP(F9653,CARTON_LOOKUP!$A:$E,3,0),"")</f>
      </c>
      <c r="H9653" s="28">
        <f>IFERROR(VLOOKUP(F9653,CARTON_LOOKUP!$A:$E,4,0),"")</f>
      </c>
      <c r="I9653" s="28">
        <f>IFERROR(VLOOKUP(F9653,CARTON_LOOKUP!$A:$E,5,0),"")</f>
      </c>
      <c r="J9653" s="29">
        <f>IFERROR(VLOOKUP(F9653,CARTON_LOOKUP!$A:$E,2,0),"")</f>
      </c>
      <c r="K9653" s="29">
        <f>IFERROR(J9653*D9653,0)</f>
      </c>
      <c r="L9653" s="29">
        <f>IFERROR(E9653*C9653,0)</f>
      </c>
      <c r="M9653" s="29">
        <f>IFERROR((G9653*H9653*I9653/1000000)*D9653,0)</f>
      </c>
    </row>
    <row r="9654" spans="1:13" x14ac:dyDescent="0.25">
      <c r="A9654" s="16"/>
      <c r="E9654" s="27"/>
      <c r="F9654" t="s">
        <v>26</v>
      </c>
      <c r="G9654" s="28">
        <f>IFERROR(VLOOKUP(F9654,CARTON_LOOKUP!$A:$E,3,0),"")</f>
      </c>
      <c r="H9654" s="28">
        <f>IFERROR(VLOOKUP(F9654,CARTON_LOOKUP!$A:$E,4,0),"")</f>
      </c>
      <c r="I9654" s="28">
        <f>IFERROR(VLOOKUP(F9654,CARTON_LOOKUP!$A:$E,5,0),"")</f>
      </c>
      <c r="J9654" s="29">
        <f>IFERROR(VLOOKUP(F9654,CARTON_LOOKUP!$A:$E,2,0),"")</f>
      </c>
      <c r="K9654" s="29">
        <f>IFERROR(J9654*D9654,0)</f>
      </c>
      <c r="L9654" s="29">
        <f>IFERROR(E9654*C9654,0)</f>
      </c>
      <c r="M9654" s="29">
        <f>IFERROR((G9654*H9654*I9654/1000000)*D9654,0)</f>
      </c>
    </row>
    <row r="9655" spans="1:13" x14ac:dyDescent="0.25">
      <c r="A9655" s="16"/>
      <c r="E9655" s="27"/>
      <c r="F9655" t="s">
        <v>26</v>
      </c>
      <c r="G9655" s="28">
        <f>IFERROR(VLOOKUP(F9655,CARTON_LOOKUP!$A:$E,3,0),"")</f>
      </c>
      <c r="H9655" s="28">
        <f>IFERROR(VLOOKUP(F9655,CARTON_LOOKUP!$A:$E,4,0),"")</f>
      </c>
      <c r="I9655" s="28">
        <f>IFERROR(VLOOKUP(F9655,CARTON_LOOKUP!$A:$E,5,0),"")</f>
      </c>
      <c r="J9655" s="29">
        <f>IFERROR(VLOOKUP(F9655,CARTON_LOOKUP!$A:$E,2,0),"")</f>
      </c>
      <c r="K9655" s="29">
        <f>IFERROR(J9655*D9655,0)</f>
      </c>
      <c r="L9655" s="29">
        <f>IFERROR(E9655*C9655,0)</f>
      </c>
      <c r="M9655" s="29">
        <f>IFERROR((G9655*H9655*I9655/1000000)*D9655,0)</f>
      </c>
    </row>
    <row r="9656" spans="1:13" x14ac:dyDescent="0.25">
      <c r="A9656" s="16"/>
      <c r="E9656" s="27"/>
      <c r="F9656" t="s">
        <v>26</v>
      </c>
      <c r="G9656" s="28">
        <f>IFERROR(VLOOKUP(F9656,CARTON_LOOKUP!$A:$E,3,0),"")</f>
      </c>
      <c r="H9656" s="28">
        <f>IFERROR(VLOOKUP(F9656,CARTON_LOOKUP!$A:$E,4,0),"")</f>
      </c>
      <c r="I9656" s="28">
        <f>IFERROR(VLOOKUP(F9656,CARTON_LOOKUP!$A:$E,5,0),"")</f>
      </c>
      <c r="J9656" s="29">
        <f>IFERROR(VLOOKUP(F9656,CARTON_LOOKUP!$A:$E,2,0),"")</f>
      </c>
      <c r="K9656" s="29">
        <f>IFERROR(J9656*D9656,0)</f>
      </c>
      <c r="L9656" s="29">
        <f>IFERROR(E9656*C9656,0)</f>
      </c>
      <c r="M9656" s="29">
        <f>IFERROR((G9656*H9656*I9656/1000000)*D9656,0)</f>
      </c>
    </row>
    <row r="9657" spans="1:13" x14ac:dyDescent="0.25">
      <c r="A9657" s="16"/>
      <c r="E9657" s="27"/>
      <c r="F9657" t="s">
        <v>26</v>
      </c>
      <c r="G9657" s="28">
        <f>IFERROR(VLOOKUP(F9657,CARTON_LOOKUP!$A:$E,3,0),"")</f>
      </c>
      <c r="H9657" s="28">
        <f>IFERROR(VLOOKUP(F9657,CARTON_LOOKUP!$A:$E,4,0),"")</f>
      </c>
      <c r="I9657" s="28">
        <f>IFERROR(VLOOKUP(F9657,CARTON_LOOKUP!$A:$E,5,0),"")</f>
      </c>
      <c r="J9657" s="29">
        <f>IFERROR(VLOOKUP(F9657,CARTON_LOOKUP!$A:$E,2,0),"")</f>
      </c>
      <c r="K9657" s="29">
        <f>IFERROR(J9657*D9657,0)</f>
      </c>
      <c r="L9657" s="29">
        <f>IFERROR(E9657*C9657,0)</f>
      </c>
      <c r="M9657" s="29">
        <f>IFERROR((G9657*H9657*I9657/1000000)*D9657,0)</f>
      </c>
    </row>
    <row r="9658" spans="1:13" x14ac:dyDescent="0.25">
      <c r="A9658" s="16"/>
      <c r="E9658" s="27"/>
      <c r="F9658" t="s">
        <v>26</v>
      </c>
      <c r="G9658" s="28">
        <f>IFERROR(VLOOKUP(F9658,CARTON_LOOKUP!$A:$E,3,0),"")</f>
      </c>
      <c r="H9658" s="28">
        <f>IFERROR(VLOOKUP(F9658,CARTON_LOOKUP!$A:$E,4,0),"")</f>
      </c>
      <c r="I9658" s="28">
        <f>IFERROR(VLOOKUP(F9658,CARTON_LOOKUP!$A:$E,5,0),"")</f>
      </c>
      <c r="J9658" s="29">
        <f>IFERROR(VLOOKUP(F9658,CARTON_LOOKUP!$A:$E,2,0),"")</f>
      </c>
      <c r="K9658" s="29">
        <f>IFERROR(J9658*D9658,0)</f>
      </c>
      <c r="L9658" s="29">
        <f>IFERROR(E9658*C9658,0)</f>
      </c>
      <c r="M9658" s="29">
        <f>IFERROR((G9658*H9658*I9658/1000000)*D9658,0)</f>
      </c>
    </row>
    <row r="9659" spans="1:13" x14ac:dyDescent="0.25">
      <c r="A9659" s="16"/>
      <c r="E9659" s="27"/>
      <c r="F9659" t="s">
        <v>26</v>
      </c>
      <c r="G9659" s="28">
        <f>IFERROR(VLOOKUP(F9659,CARTON_LOOKUP!$A:$E,3,0),"")</f>
      </c>
      <c r="H9659" s="28">
        <f>IFERROR(VLOOKUP(F9659,CARTON_LOOKUP!$A:$E,4,0),"")</f>
      </c>
      <c r="I9659" s="28">
        <f>IFERROR(VLOOKUP(F9659,CARTON_LOOKUP!$A:$E,5,0),"")</f>
      </c>
      <c r="J9659" s="29">
        <f>IFERROR(VLOOKUP(F9659,CARTON_LOOKUP!$A:$E,2,0),"")</f>
      </c>
      <c r="K9659" s="29">
        <f>IFERROR(J9659*D9659,0)</f>
      </c>
      <c r="L9659" s="29">
        <f>IFERROR(E9659*C9659,0)</f>
      </c>
      <c r="M9659" s="29">
        <f>IFERROR((G9659*H9659*I9659/1000000)*D9659,0)</f>
      </c>
    </row>
    <row r="9660" spans="1:13" x14ac:dyDescent="0.25">
      <c r="A9660" s="16"/>
      <c r="E9660" s="27"/>
      <c r="F9660" t="s">
        <v>26</v>
      </c>
      <c r="G9660" s="28">
        <f>IFERROR(VLOOKUP(F9660,CARTON_LOOKUP!$A:$E,3,0),"")</f>
      </c>
      <c r="H9660" s="28">
        <f>IFERROR(VLOOKUP(F9660,CARTON_LOOKUP!$A:$E,4,0),"")</f>
      </c>
      <c r="I9660" s="28">
        <f>IFERROR(VLOOKUP(F9660,CARTON_LOOKUP!$A:$E,5,0),"")</f>
      </c>
      <c r="J9660" s="29">
        <f>IFERROR(VLOOKUP(F9660,CARTON_LOOKUP!$A:$E,2,0),"")</f>
      </c>
      <c r="K9660" s="29">
        <f>IFERROR(J9660*D9660,0)</f>
      </c>
      <c r="L9660" s="29">
        <f>IFERROR(E9660*C9660,0)</f>
      </c>
      <c r="M9660" s="29">
        <f>IFERROR((G9660*H9660*I9660/1000000)*D9660,0)</f>
      </c>
    </row>
    <row r="9661" spans="1:13" x14ac:dyDescent="0.25">
      <c r="A9661" s="16"/>
      <c r="E9661" s="27"/>
      <c r="F9661" t="s">
        <v>26</v>
      </c>
      <c r="G9661" s="28">
        <f>IFERROR(VLOOKUP(F9661,CARTON_LOOKUP!$A:$E,3,0),"")</f>
      </c>
      <c r="H9661" s="28">
        <f>IFERROR(VLOOKUP(F9661,CARTON_LOOKUP!$A:$E,4,0),"")</f>
      </c>
      <c r="I9661" s="28">
        <f>IFERROR(VLOOKUP(F9661,CARTON_LOOKUP!$A:$E,5,0),"")</f>
      </c>
      <c r="J9661" s="29">
        <f>IFERROR(VLOOKUP(F9661,CARTON_LOOKUP!$A:$E,2,0),"")</f>
      </c>
      <c r="K9661" s="29">
        <f>IFERROR(J9661*D9661,0)</f>
      </c>
      <c r="L9661" s="29">
        <f>IFERROR(E9661*C9661,0)</f>
      </c>
      <c r="M9661" s="29">
        <f>IFERROR((G9661*H9661*I9661/1000000)*D9661,0)</f>
      </c>
    </row>
    <row r="9662" spans="1:13" x14ac:dyDescent="0.25">
      <c r="A9662" s="16"/>
      <c r="E9662" s="27"/>
      <c r="F9662" t="s">
        <v>26</v>
      </c>
      <c r="G9662" s="28">
        <f>IFERROR(VLOOKUP(F9662,CARTON_LOOKUP!$A:$E,3,0),"")</f>
      </c>
      <c r="H9662" s="28">
        <f>IFERROR(VLOOKUP(F9662,CARTON_LOOKUP!$A:$E,4,0),"")</f>
      </c>
      <c r="I9662" s="28">
        <f>IFERROR(VLOOKUP(F9662,CARTON_LOOKUP!$A:$E,5,0),"")</f>
      </c>
      <c r="J9662" s="29">
        <f>IFERROR(VLOOKUP(F9662,CARTON_LOOKUP!$A:$E,2,0),"")</f>
      </c>
      <c r="K9662" s="29">
        <f>IFERROR(J9662*D9662,0)</f>
      </c>
      <c r="L9662" s="29">
        <f>IFERROR(E9662*C9662,0)</f>
      </c>
      <c r="M9662" s="29">
        <f>IFERROR((G9662*H9662*I9662/1000000)*D9662,0)</f>
      </c>
    </row>
    <row r="9663" spans="1:13" x14ac:dyDescent="0.25">
      <c r="A9663" s="16"/>
      <c r="E9663" s="27"/>
      <c r="F9663" t="s">
        <v>26</v>
      </c>
      <c r="G9663" s="28">
        <f>IFERROR(VLOOKUP(F9663,CARTON_LOOKUP!$A:$E,3,0),"")</f>
      </c>
      <c r="H9663" s="28">
        <f>IFERROR(VLOOKUP(F9663,CARTON_LOOKUP!$A:$E,4,0),"")</f>
      </c>
      <c r="I9663" s="28">
        <f>IFERROR(VLOOKUP(F9663,CARTON_LOOKUP!$A:$E,5,0),"")</f>
      </c>
      <c r="J9663" s="29">
        <f>IFERROR(VLOOKUP(F9663,CARTON_LOOKUP!$A:$E,2,0),"")</f>
      </c>
      <c r="K9663" s="29">
        <f>IFERROR(J9663*D9663,0)</f>
      </c>
      <c r="L9663" s="29">
        <f>IFERROR(E9663*C9663,0)</f>
      </c>
      <c r="M9663" s="29">
        <f>IFERROR((G9663*H9663*I9663/1000000)*D9663,0)</f>
      </c>
    </row>
    <row r="9664" spans="1:13" x14ac:dyDescent="0.25">
      <c r="A9664" s="16"/>
      <c r="E9664" s="27"/>
      <c r="F9664" t="s">
        <v>26</v>
      </c>
      <c r="G9664" s="28">
        <f>IFERROR(VLOOKUP(F9664,CARTON_LOOKUP!$A:$E,3,0),"")</f>
      </c>
      <c r="H9664" s="28">
        <f>IFERROR(VLOOKUP(F9664,CARTON_LOOKUP!$A:$E,4,0),"")</f>
      </c>
      <c r="I9664" s="28">
        <f>IFERROR(VLOOKUP(F9664,CARTON_LOOKUP!$A:$E,5,0),"")</f>
      </c>
      <c r="J9664" s="29">
        <f>IFERROR(VLOOKUP(F9664,CARTON_LOOKUP!$A:$E,2,0),"")</f>
      </c>
      <c r="K9664" s="29">
        <f>IFERROR(J9664*D9664,0)</f>
      </c>
      <c r="L9664" s="29">
        <f>IFERROR(E9664*C9664,0)</f>
      </c>
      <c r="M9664" s="29">
        <f>IFERROR((G9664*H9664*I9664/1000000)*D9664,0)</f>
      </c>
    </row>
    <row r="9665" spans="1:13" x14ac:dyDescent="0.25">
      <c r="A9665" s="16"/>
      <c r="E9665" s="27"/>
      <c r="F9665" t="s">
        <v>26</v>
      </c>
      <c r="G9665" s="28">
        <f>IFERROR(VLOOKUP(F9665,CARTON_LOOKUP!$A:$E,3,0),"")</f>
      </c>
      <c r="H9665" s="28">
        <f>IFERROR(VLOOKUP(F9665,CARTON_LOOKUP!$A:$E,4,0),"")</f>
      </c>
      <c r="I9665" s="28">
        <f>IFERROR(VLOOKUP(F9665,CARTON_LOOKUP!$A:$E,5,0),"")</f>
      </c>
      <c r="J9665" s="29">
        <f>IFERROR(VLOOKUP(F9665,CARTON_LOOKUP!$A:$E,2,0),"")</f>
      </c>
      <c r="K9665" s="29">
        <f>IFERROR(J9665*D9665,0)</f>
      </c>
      <c r="L9665" s="29">
        <f>IFERROR(E9665*C9665,0)</f>
      </c>
      <c r="M9665" s="29">
        <f>IFERROR((G9665*H9665*I9665/1000000)*D9665,0)</f>
      </c>
    </row>
    <row r="9666" spans="1:13" x14ac:dyDescent="0.25">
      <c r="A9666" s="16"/>
      <c r="E9666" s="27"/>
      <c r="F9666" t="s">
        <v>26</v>
      </c>
      <c r="G9666" s="28">
        <f>IFERROR(VLOOKUP(F9666,CARTON_LOOKUP!$A:$E,3,0),"")</f>
      </c>
      <c r="H9666" s="28">
        <f>IFERROR(VLOOKUP(F9666,CARTON_LOOKUP!$A:$E,4,0),"")</f>
      </c>
      <c r="I9666" s="28">
        <f>IFERROR(VLOOKUP(F9666,CARTON_LOOKUP!$A:$E,5,0),"")</f>
      </c>
      <c r="J9666" s="29">
        <f>IFERROR(VLOOKUP(F9666,CARTON_LOOKUP!$A:$E,2,0),"")</f>
      </c>
      <c r="K9666" s="29">
        <f>IFERROR(J9666*D9666,0)</f>
      </c>
      <c r="L9666" s="29">
        <f>IFERROR(E9666*C9666,0)</f>
      </c>
      <c r="M9666" s="29">
        <f>IFERROR((G9666*H9666*I9666/1000000)*D9666,0)</f>
      </c>
    </row>
    <row r="9667" spans="1:13" x14ac:dyDescent="0.25">
      <c r="A9667" s="16"/>
      <c r="E9667" s="27"/>
      <c r="F9667" t="s">
        <v>26</v>
      </c>
      <c r="G9667" s="28">
        <f>IFERROR(VLOOKUP(F9667,CARTON_LOOKUP!$A:$E,3,0),"")</f>
      </c>
      <c r="H9667" s="28">
        <f>IFERROR(VLOOKUP(F9667,CARTON_LOOKUP!$A:$E,4,0),"")</f>
      </c>
      <c r="I9667" s="28">
        <f>IFERROR(VLOOKUP(F9667,CARTON_LOOKUP!$A:$E,5,0),"")</f>
      </c>
      <c r="J9667" s="29">
        <f>IFERROR(VLOOKUP(F9667,CARTON_LOOKUP!$A:$E,2,0),"")</f>
      </c>
      <c r="K9667" s="29">
        <f>IFERROR(J9667*D9667,0)</f>
      </c>
      <c r="L9667" s="29">
        <f>IFERROR(E9667*C9667,0)</f>
      </c>
      <c r="M9667" s="29">
        <f>IFERROR((G9667*H9667*I9667/1000000)*D9667,0)</f>
      </c>
    </row>
    <row r="9668" spans="1:13" x14ac:dyDescent="0.25">
      <c r="A9668" s="16"/>
      <c r="E9668" s="27"/>
      <c r="F9668" t="s">
        <v>26</v>
      </c>
      <c r="G9668" s="28">
        <f>IFERROR(VLOOKUP(F9668,CARTON_LOOKUP!$A:$E,3,0),"")</f>
      </c>
      <c r="H9668" s="28">
        <f>IFERROR(VLOOKUP(F9668,CARTON_LOOKUP!$A:$E,4,0),"")</f>
      </c>
      <c r="I9668" s="28">
        <f>IFERROR(VLOOKUP(F9668,CARTON_LOOKUP!$A:$E,5,0),"")</f>
      </c>
      <c r="J9668" s="29">
        <f>IFERROR(VLOOKUP(F9668,CARTON_LOOKUP!$A:$E,2,0),"")</f>
      </c>
      <c r="K9668" s="29">
        <f>IFERROR(J9668*D9668,0)</f>
      </c>
      <c r="L9668" s="29">
        <f>IFERROR(E9668*C9668,0)</f>
      </c>
      <c r="M9668" s="29">
        <f>IFERROR((G9668*H9668*I9668/1000000)*D9668,0)</f>
      </c>
    </row>
    <row r="9669" spans="1:13" x14ac:dyDescent="0.25">
      <c r="A9669" s="16"/>
      <c r="E9669" s="27"/>
      <c r="F9669" t="s">
        <v>26</v>
      </c>
      <c r="G9669" s="28">
        <f>IFERROR(VLOOKUP(F9669,CARTON_LOOKUP!$A:$E,3,0),"")</f>
      </c>
      <c r="H9669" s="28">
        <f>IFERROR(VLOOKUP(F9669,CARTON_LOOKUP!$A:$E,4,0),"")</f>
      </c>
      <c r="I9669" s="28">
        <f>IFERROR(VLOOKUP(F9669,CARTON_LOOKUP!$A:$E,5,0),"")</f>
      </c>
      <c r="J9669" s="29">
        <f>IFERROR(VLOOKUP(F9669,CARTON_LOOKUP!$A:$E,2,0),"")</f>
      </c>
      <c r="K9669" s="29">
        <f>IFERROR(J9669*D9669,0)</f>
      </c>
      <c r="L9669" s="29">
        <f>IFERROR(E9669*C9669,0)</f>
      </c>
      <c r="M9669" s="29">
        <f>IFERROR((G9669*H9669*I9669/1000000)*D9669,0)</f>
      </c>
    </row>
    <row r="9670" spans="1:13" x14ac:dyDescent="0.25">
      <c r="A9670" s="16"/>
      <c r="E9670" s="27"/>
      <c r="F9670" t="s">
        <v>26</v>
      </c>
      <c r="G9670" s="28">
        <f>IFERROR(VLOOKUP(F9670,CARTON_LOOKUP!$A:$E,3,0),"")</f>
      </c>
      <c r="H9670" s="28">
        <f>IFERROR(VLOOKUP(F9670,CARTON_LOOKUP!$A:$E,4,0),"")</f>
      </c>
      <c r="I9670" s="28">
        <f>IFERROR(VLOOKUP(F9670,CARTON_LOOKUP!$A:$E,5,0),"")</f>
      </c>
      <c r="J9670" s="29">
        <f>IFERROR(VLOOKUP(F9670,CARTON_LOOKUP!$A:$E,2,0),"")</f>
      </c>
      <c r="K9670" s="29">
        <f>IFERROR(J9670*D9670,0)</f>
      </c>
      <c r="L9670" s="29">
        <f>IFERROR(E9670*C9670,0)</f>
      </c>
      <c r="M9670" s="29">
        <f>IFERROR((G9670*H9670*I9670/1000000)*D9670,0)</f>
      </c>
    </row>
    <row r="9671" spans="1:13" x14ac:dyDescent="0.25">
      <c r="A9671" s="16"/>
      <c r="E9671" s="27"/>
      <c r="F9671" t="s">
        <v>26</v>
      </c>
      <c r="G9671" s="28">
        <f>IFERROR(VLOOKUP(F9671,CARTON_LOOKUP!$A:$E,3,0),"")</f>
      </c>
      <c r="H9671" s="28">
        <f>IFERROR(VLOOKUP(F9671,CARTON_LOOKUP!$A:$E,4,0),"")</f>
      </c>
      <c r="I9671" s="28">
        <f>IFERROR(VLOOKUP(F9671,CARTON_LOOKUP!$A:$E,5,0),"")</f>
      </c>
      <c r="J9671" s="29">
        <f>IFERROR(VLOOKUP(F9671,CARTON_LOOKUP!$A:$E,2,0),"")</f>
      </c>
      <c r="K9671" s="29">
        <f>IFERROR(J9671*D9671,0)</f>
      </c>
      <c r="L9671" s="29">
        <f>IFERROR(E9671*C9671,0)</f>
      </c>
      <c r="M9671" s="29">
        <f>IFERROR((G9671*H9671*I9671/1000000)*D9671,0)</f>
      </c>
    </row>
    <row r="9672" spans="1:13" x14ac:dyDescent="0.25">
      <c r="A9672" s="16"/>
      <c r="E9672" s="27"/>
      <c r="F9672" t="s">
        <v>26</v>
      </c>
      <c r="G9672" s="28">
        <f>IFERROR(VLOOKUP(F9672,CARTON_LOOKUP!$A:$E,3,0),"")</f>
      </c>
      <c r="H9672" s="28">
        <f>IFERROR(VLOOKUP(F9672,CARTON_LOOKUP!$A:$E,4,0),"")</f>
      </c>
      <c r="I9672" s="28">
        <f>IFERROR(VLOOKUP(F9672,CARTON_LOOKUP!$A:$E,5,0),"")</f>
      </c>
      <c r="J9672" s="29">
        <f>IFERROR(VLOOKUP(F9672,CARTON_LOOKUP!$A:$E,2,0),"")</f>
      </c>
      <c r="K9672" s="29">
        <f>IFERROR(J9672*D9672,0)</f>
      </c>
      <c r="L9672" s="29">
        <f>IFERROR(E9672*C9672,0)</f>
      </c>
      <c r="M9672" s="29">
        <f>IFERROR((G9672*H9672*I9672/1000000)*D9672,0)</f>
      </c>
    </row>
    <row r="9673" spans="1:13" x14ac:dyDescent="0.25">
      <c r="A9673" s="16"/>
      <c r="E9673" s="27"/>
      <c r="F9673" t="s">
        <v>26</v>
      </c>
      <c r="G9673" s="28">
        <f>IFERROR(VLOOKUP(F9673,CARTON_LOOKUP!$A:$E,3,0),"")</f>
      </c>
      <c r="H9673" s="28">
        <f>IFERROR(VLOOKUP(F9673,CARTON_LOOKUP!$A:$E,4,0),"")</f>
      </c>
      <c r="I9673" s="28">
        <f>IFERROR(VLOOKUP(F9673,CARTON_LOOKUP!$A:$E,5,0),"")</f>
      </c>
      <c r="J9673" s="29">
        <f>IFERROR(VLOOKUP(F9673,CARTON_LOOKUP!$A:$E,2,0),"")</f>
      </c>
      <c r="K9673" s="29">
        <f>IFERROR(J9673*D9673,0)</f>
      </c>
      <c r="L9673" s="29">
        <f>IFERROR(E9673*C9673,0)</f>
      </c>
      <c r="M9673" s="29">
        <f>IFERROR((G9673*H9673*I9673/1000000)*D9673,0)</f>
      </c>
    </row>
    <row r="9674" spans="1:13" x14ac:dyDescent="0.25">
      <c r="A9674" s="16"/>
      <c r="E9674" s="27"/>
      <c r="F9674" t="s">
        <v>26</v>
      </c>
      <c r="G9674" s="28">
        <f>IFERROR(VLOOKUP(F9674,CARTON_LOOKUP!$A:$E,3,0),"")</f>
      </c>
      <c r="H9674" s="28">
        <f>IFERROR(VLOOKUP(F9674,CARTON_LOOKUP!$A:$E,4,0),"")</f>
      </c>
      <c r="I9674" s="28">
        <f>IFERROR(VLOOKUP(F9674,CARTON_LOOKUP!$A:$E,5,0),"")</f>
      </c>
      <c r="J9674" s="29">
        <f>IFERROR(VLOOKUP(F9674,CARTON_LOOKUP!$A:$E,2,0),"")</f>
      </c>
      <c r="K9674" s="29">
        <f>IFERROR(J9674*D9674,0)</f>
      </c>
      <c r="L9674" s="29">
        <f>IFERROR(E9674*C9674,0)</f>
      </c>
      <c r="M9674" s="29">
        <f>IFERROR((G9674*H9674*I9674/1000000)*D9674,0)</f>
      </c>
    </row>
    <row r="9675" spans="1:13" x14ac:dyDescent="0.25">
      <c r="A9675" s="16"/>
      <c r="E9675" s="27"/>
      <c r="F9675" t="s">
        <v>26</v>
      </c>
      <c r="G9675" s="28">
        <f>IFERROR(VLOOKUP(F9675,CARTON_LOOKUP!$A:$E,3,0),"")</f>
      </c>
      <c r="H9675" s="28">
        <f>IFERROR(VLOOKUP(F9675,CARTON_LOOKUP!$A:$E,4,0),"")</f>
      </c>
      <c r="I9675" s="28">
        <f>IFERROR(VLOOKUP(F9675,CARTON_LOOKUP!$A:$E,5,0),"")</f>
      </c>
      <c r="J9675" s="29">
        <f>IFERROR(VLOOKUP(F9675,CARTON_LOOKUP!$A:$E,2,0),"")</f>
      </c>
      <c r="K9675" s="29">
        <f>IFERROR(J9675*D9675,0)</f>
      </c>
      <c r="L9675" s="29">
        <f>IFERROR(E9675*C9675,0)</f>
      </c>
      <c r="M9675" s="29">
        <f>IFERROR((G9675*H9675*I9675/1000000)*D9675,0)</f>
      </c>
    </row>
    <row r="9676" spans="1:13" x14ac:dyDescent="0.25">
      <c r="A9676" s="16"/>
      <c r="E9676" s="27"/>
      <c r="F9676" t="s">
        <v>26</v>
      </c>
      <c r="G9676" s="28">
        <f>IFERROR(VLOOKUP(F9676,CARTON_LOOKUP!$A:$E,3,0),"")</f>
      </c>
      <c r="H9676" s="28">
        <f>IFERROR(VLOOKUP(F9676,CARTON_LOOKUP!$A:$E,4,0),"")</f>
      </c>
      <c r="I9676" s="28">
        <f>IFERROR(VLOOKUP(F9676,CARTON_LOOKUP!$A:$E,5,0),"")</f>
      </c>
      <c r="J9676" s="29">
        <f>IFERROR(VLOOKUP(F9676,CARTON_LOOKUP!$A:$E,2,0),"")</f>
      </c>
      <c r="K9676" s="29">
        <f>IFERROR(J9676*D9676,0)</f>
      </c>
      <c r="L9676" s="29">
        <f>IFERROR(E9676*C9676,0)</f>
      </c>
      <c r="M9676" s="29">
        <f>IFERROR((G9676*H9676*I9676/1000000)*D9676,0)</f>
      </c>
    </row>
    <row r="9677" spans="1:13" x14ac:dyDescent="0.25">
      <c r="A9677" s="16"/>
      <c r="E9677" s="27"/>
      <c r="F9677" t="s">
        <v>26</v>
      </c>
      <c r="G9677" s="28">
        <f>IFERROR(VLOOKUP(F9677,CARTON_LOOKUP!$A:$E,3,0),"")</f>
      </c>
      <c r="H9677" s="28">
        <f>IFERROR(VLOOKUP(F9677,CARTON_LOOKUP!$A:$E,4,0),"")</f>
      </c>
      <c r="I9677" s="28">
        <f>IFERROR(VLOOKUP(F9677,CARTON_LOOKUP!$A:$E,5,0),"")</f>
      </c>
      <c r="J9677" s="29">
        <f>IFERROR(VLOOKUP(F9677,CARTON_LOOKUP!$A:$E,2,0),"")</f>
      </c>
      <c r="K9677" s="29">
        <f>IFERROR(J9677*D9677,0)</f>
      </c>
      <c r="L9677" s="29">
        <f>IFERROR(E9677*C9677,0)</f>
      </c>
      <c r="M9677" s="29">
        <f>IFERROR((G9677*H9677*I9677/1000000)*D9677,0)</f>
      </c>
    </row>
    <row r="9678" spans="1:13" x14ac:dyDescent="0.25">
      <c r="A9678" s="16"/>
      <c r="E9678" s="27"/>
      <c r="F9678" t="s">
        <v>26</v>
      </c>
      <c r="G9678" s="28">
        <f>IFERROR(VLOOKUP(F9678,CARTON_LOOKUP!$A:$E,3,0),"")</f>
      </c>
      <c r="H9678" s="28">
        <f>IFERROR(VLOOKUP(F9678,CARTON_LOOKUP!$A:$E,4,0),"")</f>
      </c>
      <c r="I9678" s="28">
        <f>IFERROR(VLOOKUP(F9678,CARTON_LOOKUP!$A:$E,5,0),"")</f>
      </c>
      <c r="J9678" s="29">
        <f>IFERROR(VLOOKUP(F9678,CARTON_LOOKUP!$A:$E,2,0),"")</f>
      </c>
      <c r="K9678" s="29">
        <f>IFERROR(J9678*D9678,0)</f>
      </c>
      <c r="L9678" s="29">
        <f>IFERROR(E9678*C9678,0)</f>
      </c>
      <c r="M9678" s="29">
        <f>IFERROR((G9678*H9678*I9678/1000000)*D9678,0)</f>
      </c>
    </row>
    <row r="9679" spans="1:13" x14ac:dyDescent="0.25">
      <c r="A9679" s="16"/>
      <c r="E9679" s="27"/>
      <c r="F9679" t="s">
        <v>26</v>
      </c>
      <c r="G9679" s="28">
        <f>IFERROR(VLOOKUP(F9679,CARTON_LOOKUP!$A:$E,3,0),"")</f>
      </c>
      <c r="H9679" s="28">
        <f>IFERROR(VLOOKUP(F9679,CARTON_LOOKUP!$A:$E,4,0),"")</f>
      </c>
      <c r="I9679" s="28">
        <f>IFERROR(VLOOKUP(F9679,CARTON_LOOKUP!$A:$E,5,0),"")</f>
      </c>
      <c r="J9679" s="29">
        <f>IFERROR(VLOOKUP(F9679,CARTON_LOOKUP!$A:$E,2,0),"")</f>
      </c>
      <c r="K9679" s="29">
        <f>IFERROR(J9679*D9679,0)</f>
      </c>
      <c r="L9679" s="29">
        <f>IFERROR(E9679*C9679,0)</f>
      </c>
      <c r="M9679" s="29">
        <f>IFERROR((G9679*H9679*I9679/1000000)*D9679,0)</f>
      </c>
    </row>
    <row r="9680" spans="1:13" x14ac:dyDescent="0.25">
      <c r="A9680" s="16"/>
      <c r="E9680" s="27"/>
      <c r="F9680" t="s">
        <v>26</v>
      </c>
      <c r="G9680" s="28">
        <f>IFERROR(VLOOKUP(F9680,CARTON_LOOKUP!$A:$E,3,0),"")</f>
      </c>
      <c r="H9680" s="28">
        <f>IFERROR(VLOOKUP(F9680,CARTON_LOOKUP!$A:$E,4,0),"")</f>
      </c>
      <c r="I9680" s="28">
        <f>IFERROR(VLOOKUP(F9680,CARTON_LOOKUP!$A:$E,5,0),"")</f>
      </c>
      <c r="J9680" s="29">
        <f>IFERROR(VLOOKUP(F9680,CARTON_LOOKUP!$A:$E,2,0),"")</f>
      </c>
      <c r="K9680" s="29">
        <f>IFERROR(J9680*D9680,0)</f>
      </c>
      <c r="L9680" s="29">
        <f>IFERROR(E9680*C9680,0)</f>
      </c>
      <c r="M9680" s="29">
        <f>IFERROR((G9680*H9680*I9680/1000000)*D9680,0)</f>
      </c>
    </row>
    <row r="9681" spans="1:13" x14ac:dyDescent="0.25">
      <c r="A9681" s="16"/>
      <c r="E9681" s="27"/>
      <c r="F9681" t="s">
        <v>26</v>
      </c>
      <c r="G9681" s="28">
        <f>IFERROR(VLOOKUP(F9681,CARTON_LOOKUP!$A:$E,3,0),"")</f>
      </c>
      <c r="H9681" s="28">
        <f>IFERROR(VLOOKUP(F9681,CARTON_LOOKUP!$A:$E,4,0),"")</f>
      </c>
      <c r="I9681" s="28">
        <f>IFERROR(VLOOKUP(F9681,CARTON_LOOKUP!$A:$E,5,0),"")</f>
      </c>
      <c r="J9681" s="29">
        <f>IFERROR(VLOOKUP(F9681,CARTON_LOOKUP!$A:$E,2,0),"")</f>
      </c>
      <c r="K9681" s="29">
        <f>IFERROR(J9681*D9681,0)</f>
      </c>
      <c r="L9681" s="29">
        <f>IFERROR(E9681*C9681,0)</f>
      </c>
      <c r="M9681" s="29">
        <f>IFERROR((G9681*H9681*I9681/1000000)*D9681,0)</f>
      </c>
    </row>
    <row r="9682" spans="1:13" x14ac:dyDescent="0.25">
      <c r="A9682" s="16"/>
      <c r="E9682" s="27"/>
      <c r="F9682" t="s">
        <v>26</v>
      </c>
      <c r="G9682" s="28">
        <f>IFERROR(VLOOKUP(F9682,CARTON_LOOKUP!$A:$E,3,0),"")</f>
      </c>
      <c r="H9682" s="28">
        <f>IFERROR(VLOOKUP(F9682,CARTON_LOOKUP!$A:$E,4,0),"")</f>
      </c>
      <c r="I9682" s="28">
        <f>IFERROR(VLOOKUP(F9682,CARTON_LOOKUP!$A:$E,5,0),"")</f>
      </c>
      <c r="J9682" s="29">
        <f>IFERROR(VLOOKUP(F9682,CARTON_LOOKUP!$A:$E,2,0),"")</f>
      </c>
      <c r="K9682" s="29">
        <f>IFERROR(J9682*D9682,0)</f>
      </c>
      <c r="L9682" s="29">
        <f>IFERROR(E9682*C9682,0)</f>
      </c>
      <c r="M9682" s="29">
        <f>IFERROR((G9682*H9682*I9682/1000000)*D9682,0)</f>
      </c>
    </row>
    <row r="9683" spans="1:13" x14ac:dyDescent="0.25">
      <c r="A9683" s="16"/>
      <c r="E9683" s="27"/>
      <c r="F9683" t="s">
        <v>26</v>
      </c>
      <c r="G9683" s="28">
        <f>IFERROR(VLOOKUP(F9683,CARTON_LOOKUP!$A:$E,3,0),"")</f>
      </c>
      <c r="H9683" s="28">
        <f>IFERROR(VLOOKUP(F9683,CARTON_LOOKUP!$A:$E,4,0),"")</f>
      </c>
      <c r="I9683" s="28">
        <f>IFERROR(VLOOKUP(F9683,CARTON_LOOKUP!$A:$E,5,0),"")</f>
      </c>
      <c r="J9683" s="29">
        <f>IFERROR(VLOOKUP(F9683,CARTON_LOOKUP!$A:$E,2,0),"")</f>
      </c>
      <c r="K9683" s="29">
        <f>IFERROR(J9683*D9683,0)</f>
      </c>
      <c r="L9683" s="29">
        <f>IFERROR(E9683*C9683,0)</f>
      </c>
      <c r="M9683" s="29">
        <f>IFERROR((G9683*H9683*I9683/1000000)*D9683,0)</f>
      </c>
    </row>
    <row r="9684" spans="1:13" x14ac:dyDescent="0.25">
      <c r="A9684" s="16"/>
      <c r="E9684" s="27"/>
      <c r="F9684" t="s">
        <v>26</v>
      </c>
      <c r="G9684" s="28">
        <f>IFERROR(VLOOKUP(F9684,CARTON_LOOKUP!$A:$E,3,0),"")</f>
      </c>
      <c r="H9684" s="28">
        <f>IFERROR(VLOOKUP(F9684,CARTON_LOOKUP!$A:$E,4,0),"")</f>
      </c>
      <c r="I9684" s="28">
        <f>IFERROR(VLOOKUP(F9684,CARTON_LOOKUP!$A:$E,5,0),"")</f>
      </c>
      <c r="J9684" s="29">
        <f>IFERROR(VLOOKUP(F9684,CARTON_LOOKUP!$A:$E,2,0),"")</f>
      </c>
      <c r="K9684" s="29">
        <f>IFERROR(J9684*D9684,0)</f>
      </c>
      <c r="L9684" s="29">
        <f>IFERROR(E9684*C9684,0)</f>
      </c>
      <c r="M9684" s="29">
        <f>IFERROR((G9684*H9684*I9684/1000000)*D9684,0)</f>
      </c>
    </row>
    <row r="9685" spans="1:13" x14ac:dyDescent="0.25">
      <c r="A9685" s="16"/>
      <c r="E9685" s="27"/>
      <c r="F9685" t="s">
        <v>26</v>
      </c>
      <c r="G9685" s="28">
        <f>IFERROR(VLOOKUP(F9685,CARTON_LOOKUP!$A:$E,3,0),"")</f>
      </c>
      <c r="H9685" s="28">
        <f>IFERROR(VLOOKUP(F9685,CARTON_LOOKUP!$A:$E,4,0),"")</f>
      </c>
      <c r="I9685" s="28">
        <f>IFERROR(VLOOKUP(F9685,CARTON_LOOKUP!$A:$E,5,0),"")</f>
      </c>
      <c r="J9685" s="29">
        <f>IFERROR(VLOOKUP(F9685,CARTON_LOOKUP!$A:$E,2,0),"")</f>
      </c>
      <c r="K9685" s="29">
        <f>IFERROR(J9685*D9685,0)</f>
      </c>
      <c r="L9685" s="29">
        <f>IFERROR(E9685*C9685,0)</f>
      </c>
      <c r="M9685" s="29">
        <f>IFERROR((G9685*H9685*I9685/1000000)*D9685,0)</f>
      </c>
    </row>
    <row r="9686" spans="1:13" x14ac:dyDescent="0.25">
      <c r="A9686" s="16"/>
      <c r="E9686" s="27"/>
      <c r="F9686" t="s">
        <v>26</v>
      </c>
      <c r="G9686" s="28">
        <f>IFERROR(VLOOKUP(F9686,CARTON_LOOKUP!$A:$E,3,0),"")</f>
      </c>
      <c r="H9686" s="28">
        <f>IFERROR(VLOOKUP(F9686,CARTON_LOOKUP!$A:$E,4,0),"")</f>
      </c>
      <c r="I9686" s="28">
        <f>IFERROR(VLOOKUP(F9686,CARTON_LOOKUP!$A:$E,5,0),"")</f>
      </c>
      <c r="J9686" s="29">
        <f>IFERROR(VLOOKUP(F9686,CARTON_LOOKUP!$A:$E,2,0),"")</f>
      </c>
      <c r="K9686" s="29">
        <f>IFERROR(J9686*D9686,0)</f>
      </c>
      <c r="L9686" s="29">
        <f>IFERROR(E9686*C9686,0)</f>
      </c>
      <c r="M9686" s="29">
        <f>IFERROR((G9686*H9686*I9686/1000000)*D9686,0)</f>
      </c>
    </row>
    <row r="9687" spans="1:13" x14ac:dyDescent="0.25">
      <c r="A9687" s="16"/>
      <c r="E9687" s="27"/>
      <c r="F9687" t="s">
        <v>26</v>
      </c>
      <c r="G9687" s="28">
        <f>IFERROR(VLOOKUP(F9687,CARTON_LOOKUP!$A:$E,3,0),"")</f>
      </c>
      <c r="H9687" s="28">
        <f>IFERROR(VLOOKUP(F9687,CARTON_LOOKUP!$A:$E,4,0),"")</f>
      </c>
      <c r="I9687" s="28">
        <f>IFERROR(VLOOKUP(F9687,CARTON_LOOKUP!$A:$E,5,0),"")</f>
      </c>
      <c r="J9687" s="29">
        <f>IFERROR(VLOOKUP(F9687,CARTON_LOOKUP!$A:$E,2,0),"")</f>
      </c>
      <c r="K9687" s="29">
        <f>IFERROR(J9687*D9687,0)</f>
      </c>
      <c r="L9687" s="29">
        <f>IFERROR(E9687*C9687,0)</f>
      </c>
      <c r="M9687" s="29">
        <f>IFERROR((G9687*H9687*I9687/1000000)*D9687,0)</f>
      </c>
    </row>
    <row r="9688" spans="1:13" x14ac:dyDescent="0.25">
      <c r="A9688" s="16"/>
      <c r="E9688" s="27"/>
      <c r="F9688" t="s">
        <v>26</v>
      </c>
      <c r="G9688" s="28">
        <f>IFERROR(VLOOKUP(F9688,CARTON_LOOKUP!$A:$E,3,0),"")</f>
      </c>
      <c r="H9688" s="28">
        <f>IFERROR(VLOOKUP(F9688,CARTON_LOOKUP!$A:$E,4,0),"")</f>
      </c>
      <c r="I9688" s="28">
        <f>IFERROR(VLOOKUP(F9688,CARTON_LOOKUP!$A:$E,5,0),"")</f>
      </c>
      <c r="J9688" s="29">
        <f>IFERROR(VLOOKUP(F9688,CARTON_LOOKUP!$A:$E,2,0),"")</f>
      </c>
      <c r="K9688" s="29">
        <f>IFERROR(J9688*D9688,0)</f>
      </c>
      <c r="L9688" s="29">
        <f>IFERROR(E9688*C9688,0)</f>
      </c>
      <c r="M9688" s="29">
        <f>IFERROR((G9688*H9688*I9688/1000000)*D9688,0)</f>
      </c>
    </row>
    <row r="9689" spans="1:13" x14ac:dyDescent="0.25">
      <c r="A9689" s="16"/>
      <c r="E9689" s="27"/>
      <c r="F9689" t="s">
        <v>26</v>
      </c>
      <c r="G9689" s="28">
        <f>IFERROR(VLOOKUP(F9689,CARTON_LOOKUP!$A:$E,3,0),"")</f>
      </c>
      <c r="H9689" s="28">
        <f>IFERROR(VLOOKUP(F9689,CARTON_LOOKUP!$A:$E,4,0),"")</f>
      </c>
      <c r="I9689" s="28">
        <f>IFERROR(VLOOKUP(F9689,CARTON_LOOKUP!$A:$E,5,0),"")</f>
      </c>
      <c r="J9689" s="29">
        <f>IFERROR(VLOOKUP(F9689,CARTON_LOOKUP!$A:$E,2,0),"")</f>
      </c>
      <c r="K9689" s="29">
        <f>IFERROR(J9689*D9689,0)</f>
      </c>
      <c r="L9689" s="29">
        <f>IFERROR(E9689*C9689,0)</f>
      </c>
      <c r="M9689" s="29">
        <f>IFERROR((G9689*H9689*I9689/1000000)*D9689,0)</f>
      </c>
    </row>
    <row r="9690" spans="1:13" x14ac:dyDescent="0.25">
      <c r="A9690" s="16"/>
      <c r="E9690" s="27"/>
      <c r="F9690" t="s">
        <v>26</v>
      </c>
      <c r="G9690" s="28">
        <f>IFERROR(VLOOKUP(F9690,CARTON_LOOKUP!$A:$E,3,0),"")</f>
      </c>
      <c r="H9690" s="28">
        <f>IFERROR(VLOOKUP(F9690,CARTON_LOOKUP!$A:$E,4,0),"")</f>
      </c>
      <c r="I9690" s="28">
        <f>IFERROR(VLOOKUP(F9690,CARTON_LOOKUP!$A:$E,5,0),"")</f>
      </c>
      <c r="J9690" s="29">
        <f>IFERROR(VLOOKUP(F9690,CARTON_LOOKUP!$A:$E,2,0),"")</f>
      </c>
      <c r="K9690" s="29">
        <f>IFERROR(J9690*D9690,0)</f>
      </c>
      <c r="L9690" s="29">
        <f>IFERROR(E9690*C9690,0)</f>
      </c>
      <c r="M9690" s="29">
        <f>IFERROR((G9690*H9690*I9690/1000000)*D9690,0)</f>
      </c>
    </row>
    <row r="9691" spans="1:13" x14ac:dyDescent="0.25">
      <c r="A9691" s="16"/>
      <c r="E9691" s="27"/>
      <c r="F9691" t="s">
        <v>26</v>
      </c>
      <c r="G9691" s="28">
        <f>IFERROR(VLOOKUP(F9691,CARTON_LOOKUP!$A:$E,3,0),"")</f>
      </c>
      <c r="H9691" s="28">
        <f>IFERROR(VLOOKUP(F9691,CARTON_LOOKUP!$A:$E,4,0),"")</f>
      </c>
      <c r="I9691" s="28">
        <f>IFERROR(VLOOKUP(F9691,CARTON_LOOKUP!$A:$E,5,0),"")</f>
      </c>
      <c r="J9691" s="29">
        <f>IFERROR(VLOOKUP(F9691,CARTON_LOOKUP!$A:$E,2,0),"")</f>
      </c>
      <c r="K9691" s="29">
        <f>IFERROR(J9691*D9691,0)</f>
      </c>
      <c r="L9691" s="29">
        <f>IFERROR(E9691*C9691,0)</f>
      </c>
      <c r="M9691" s="29">
        <f>IFERROR((G9691*H9691*I9691/1000000)*D9691,0)</f>
      </c>
    </row>
    <row r="9692" spans="1:13" x14ac:dyDescent="0.25">
      <c r="A9692" s="16"/>
      <c r="E9692" s="27"/>
      <c r="F9692" t="s">
        <v>26</v>
      </c>
      <c r="G9692" s="28">
        <f>IFERROR(VLOOKUP(F9692,CARTON_LOOKUP!$A:$E,3,0),"")</f>
      </c>
      <c r="H9692" s="28">
        <f>IFERROR(VLOOKUP(F9692,CARTON_LOOKUP!$A:$E,4,0),"")</f>
      </c>
      <c r="I9692" s="28">
        <f>IFERROR(VLOOKUP(F9692,CARTON_LOOKUP!$A:$E,5,0),"")</f>
      </c>
      <c r="J9692" s="29">
        <f>IFERROR(VLOOKUP(F9692,CARTON_LOOKUP!$A:$E,2,0),"")</f>
      </c>
      <c r="K9692" s="29">
        <f>IFERROR(J9692*D9692,0)</f>
      </c>
      <c r="L9692" s="29">
        <f>IFERROR(E9692*C9692,0)</f>
      </c>
      <c r="M9692" s="29">
        <f>IFERROR((G9692*H9692*I9692/1000000)*D9692,0)</f>
      </c>
    </row>
    <row r="9693" spans="1:13" x14ac:dyDescent="0.25">
      <c r="A9693" s="16"/>
      <c r="E9693" s="27"/>
      <c r="F9693" t="s">
        <v>26</v>
      </c>
      <c r="G9693" s="28">
        <f>IFERROR(VLOOKUP(F9693,CARTON_LOOKUP!$A:$E,3,0),"")</f>
      </c>
      <c r="H9693" s="28">
        <f>IFERROR(VLOOKUP(F9693,CARTON_LOOKUP!$A:$E,4,0),"")</f>
      </c>
      <c r="I9693" s="28">
        <f>IFERROR(VLOOKUP(F9693,CARTON_LOOKUP!$A:$E,5,0),"")</f>
      </c>
      <c r="J9693" s="29">
        <f>IFERROR(VLOOKUP(F9693,CARTON_LOOKUP!$A:$E,2,0),"")</f>
      </c>
      <c r="K9693" s="29">
        <f>IFERROR(J9693*D9693,0)</f>
      </c>
      <c r="L9693" s="29">
        <f>IFERROR(E9693*C9693,0)</f>
      </c>
      <c r="M9693" s="29">
        <f>IFERROR((G9693*H9693*I9693/1000000)*D9693,0)</f>
      </c>
    </row>
    <row r="9694" spans="1:13" x14ac:dyDescent="0.25">
      <c r="A9694" s="16"/>
      <c r="E9694" s="27"/>
      <c r="F9694" t="s">
        <v>26</v>
      </c>
      <c r="G9694" s="28">
        <f>IFERROR(VLOOKUP(F9694,CARTON_LOOKUP!$A:$E,3,0),"")</f>
      </c>
      <c r="H9694" s="28">
        <f>IFERROR(VLOOKUP(F9694,CARTON_LOOKUP!$A:$E,4,0),"")</f>
      </c>
      <c r="I9694" s="28">
        <f>IFERROR(VLOOKUP(F9694,CARTON_LOOKUP!$A:$E,5,0),"")</f>
      </c>
      <c r="J9694" s="29">
        <f>IFERROR(VLOOKUP(F9694,CARTON_LOOKUP!$A:$E,2,0),"")</f>
      </c>
      <c r="K9694" s="29">
        <f>IFERROR(J9694*D9694,0)</f>
      </c>
      <c r="L9694" s="29">
        <f>IFERROR(E9694*C9694,0)</f>
      </c>
      <c r="M9694" s="29">
        <f>IFERROR((G9694*H9694*I9694/1000000)*D9694,0)</f>
      </c>
    </row>
    <row r="9695" spans="1:13" x14ac:dyDescent="0.25">
      <c r="A9695" s="16"/>
      <c r="E9695" s="27"/>
      <c r="F9695" t="s">
        <v>26</v>
      </c>
      <c r="G9695" s="28">
        <f>IFERROR(VLOOKUP(F9695,CARTON_LOOKUP!$A:$E,3,0),"")</f>
      </c>
      <c r="H9695" s="28">
        <f>IFERROR(VLOOKUP(F9695,CARTON_LOOKUP!$A:$E,4,0),"")</f>
      </c>
      <c r="I9695" s="28">
        <f>IFERROR(VLOOKUP(F9695,CARTON_LOOKUP!$A:$E,5,0),"")</f>
      </c>
      <c r="J9695" s="29">
        <f>IFERROR(VLOOKUP(F9695,CARTON_LOOKUP!$A:$E,2,0),"")</f>
      </c>
      <c r="K9695" s="29">
        <f>IFERROR(J9695*D9695,0)</f>
      </c>
      <c r="L9695" s="29">
        <f>IFERROR(E9695*C9695,0)</f>
      </c>
      <c r="M9695" s="29">
        <f>IFERROR((G9695*H9695*I9695/1000000)*D9695,0)</f>
      </c>
    </row>
    <row r="9696" spans="1:13" x14ac:dyDescent="0.25">
      <c r="A9696" s="16"/>
      <c r="E9696" s="27"/>
      <c r="F9696" t="s">
        <v>26</v>
      </c>
      <c r="G9696" s="28">
        <f>IFERROR(VLOOKUP(F9696,CARTON_LOOKUP!$A:$E,3,0),"")</f>
      </c>
      <c r="H9696" s="28">
        <f>IFERROR(VLOOKUP(F9696,CARTON_LOOKUP!$A:$E,4,0),"")</f>
      </c>
      <c r="I9696" s="28">
        <f>IFERROR(VLOOKUP(F9696,CARTON_LOOKUP!$A:$E,5,0),"")</f>
      </c>
      <c r="J9696" s="29">
        <f>IFERROR(VLOOKUP(F9696,CARTON_LOOKUP!$A:$E,2,0),"")</f>
      </c>
      <c r="K9696" s="29">
        <f>IFERROR(J9696*D9696,0)</f>
      </c>
      <c r="L9696" s="29">
        <f>IFERROR(E9696*C9696,0)</f>
      </c>
      <c r="M9696" s="29">
        <f>IFERROR((G9696*H9696*I9696/1000000)*D9696,0)</f>
      </c>
    </row>
    <row r="9697" spans="1:13" x14ac:dyDescent="0.25">
      <c r="A9697" s="16"/>
      <c r="E9697" s="27"/>
      <c r="F9697" t="s">
        <v>26</v>
      </c>
      <c r="G9697" s="28">
        <f>IFERROR(VLOOKUP(F9697,CARTON_LOOKUP!$A:$E,3,0),"")</f>
      </c>
      <c r="H9697" s="28">
        <f>IFERROR(VLOOKUP(F9697,CARTON_LOOKUP!$A:$E,4,0),"")</f>
      </c>
      <c r="I9697" s="28">
        <f>IFERROR(VLOOKUP(F9697,CARTON_LOOKUP!$A:$E,5,0),"")</f>
      </c>
      <c r="J9697" s="29">
        <f>IFERROR(VLOOKUP(F9697,CARTON_LOOKUP!$A:$E,2,0),"")</f>
      </c>
      <c r="K9697" s="29">
        <f>IFERROR(J9697*D9697,0)</f>
      </c>
      <c r="L9697" s="29">
        <f>IFERROR(E9697*C9697,0)</f>
      </c>
      <c r="M9697" s="29">
        <f>IFERROR((G9697*H9697*I9697/1000000)*D9697,0)</f>
      </c>
    </row>
    <row r="9698" spans="1:13" x14ac:dyDescent="0.25">
      <c r="A9698" s="16"/>
      <c r="E9698" s="27"/>
      <c r="F9698" t="s">
        <v>26</v>
      </c>
      <c r="G9698" s="28">
        <f>IFERROR(VLOOKUP(F9698,CARTON_LOOKUP!$A:$E,3,0),"")</f>
      </c>
      <c r="H9698" s="28">
        <f>IFERROR(VLOOKUP(F9698,CARTON_LOOKUP!$A:$E,4,0),"")</f>
      </c>
      <c r="I9698" s="28">
        <f>IFERROR(VLOOKUP(F9698,CARTON_LOOKUP!$A:$E,5,0),"")</f>
      </c>
      <c r="J9698" s="29">
        <f>IFERROR(VLOOKUP(F9698,CARTON_LOOKUP!$A:$E,2,0),"")</f>
      </c>
      <c r="K9698" s="29">
        <f>IFERROR(J9698*D9698,0)</f>
      </c>
      <c r="L9698" s="29">
        <f>IFERROR(E9698*C9698,0)</f>
      </c>
      <c r="M9698" s="29">
        <f>IFERROR((G9698*H9698*I9698/1000000)*D9698,0)</f>
      </c>
    </row>
    <row r="9699" spans="1:13" x14ac:dyDescent="0.25">
      <c r="A9699" s="16"/>
      <c r="E9699" s="27"/>
      <c r="F9699" t="s">
        <v>26</v>
      </c>
      <c r="G9699" s="28">
        <f>IFERROR(VLOOKUP(F9699,CARTON_LOOKUP!$A:$E,3,0),"")</f>
      </c>
      <c r="H9699" s="28">
        <f>IFERROR(VLOOKUP(F9699,CARTON_LOOKUP!$A:$E,4,0),"")</f>
      </c>
      <c r="I9699" s="28">
        <f>IFERROR(VLOOKUP(F9699,CARTON_LOOKUP!$A:$E,5,0),"")</f>
      </c>
      <c r="J9699" s="29">
        <f>IFERROR(VLOOKUP(F9699,CARTON_LOOKUP!$A:$E,2,0),"")</f>
      </c>
      <c r="K9699" s="29">
        <f>IFERROR(J9699*D9699,0)</f>
      </c>
      <c r="L9699" s="29">
        <f>IFERROR(E9699*C9699,0)</f>
      </c>
      <c r="M9699" s="29">
        <f>IFERROR((G9699*H9699*I9699/1000000)*D9699,0)</f>
      </c>
    </row>
    <row r="9700" spans="1:13" x14ac:dyDescent="0.25">
      <c r="A9700" s="16"/>
      <c r="E9700" s="27"/>
      <c r="F9700" t="s">
        <v>26</v>
      </c>
      <c r="G9700" s="28">
        <f>IFERROR(VLOOKUP(F9700,CARTON_LOOKUP!$A:$E,3,0),"")</f>
      </c>
      <c r="H9700" s="28">
        <f>IFERROR(VLOOKUP(F9700,CARTON_LOOKUP!$A:$E,4,0),"")</f>
      </c>
      <c r="I9700" s="28">
        <f>IFERROR(VLOOKUP(F9700,CARTON_LOOKUP!$A:$E,5,0),"")</f>
      </c>
      <c r="J9700" s="29">
        <f>IFERROR(VLOOKUP(F9700,CARTON_LOOKUP!$A:$E,2,0),"")</f>
      </c>
      <c r="K9700" s="29">
        <f>IFERROR(J9700*D9700,0)</f>
      </c>
      <c r="L9700" s="29">
        <f>IFERROR(E9700*C9700,0)</f>
      </c>
      <c r="M9700" s="29">
        <f>IFERROR((G9700*H9700*I9700/1000000)*D9700,0)</f>
      </c>
    </row>
    <row r="9701" spans="1:13" x14ac:dyDescent="0.25">
      <c r="A9701" s="16"/>
      <c r="E9701" s="27"/>
      <c r="F9701" t="s">
        <v>26</v>
      </c>
      <c r="G9701" s="28">
        <f>IFERROR(VLOOKUP(F9701,CARTON_LOOKUP!$A:$E,3,0),"")</f>
      </c>
      <c r="H9701" s="28">
        <f>IFERROR(VLOOKUP(F9701,CARTON_LOOKUP!$A:$E,4,0),"")</f>
      </c>
      <c r="I9701" s="28">
        <f>IFERROR(VLOOKUP(F9701,CARTON_LOOKUP!$A:$E,5,0),"")</f>
      </c>
      <c r="J9701" s="29">
        <f>IFERROR(VLOOKUP(F9701,CARTON_LOOKUP!$A:$E,2,0),"")</f>
      </c>
      <c r="K9701" s="29">
        <f>IFERROR(J9701*D9701,0)</f>
      </c>
      <c r="L9701" s="29">
        <f>IFERROR(E9701*C9701,0)</f>
      </c>
      <c r="M9701" s="29">
        <f>IFERROR((G9701*H9701*I9701/1000000)*D9701,0)</f>
      </c>
    </row>
    <row r="9702" spans="1:13" x14ac:dyDescent="0.25">
      <c r="A9702" s="16"/>
      <c r="E9702" s="27"/>
      <c r="F9702" t="s">
        <v>26</v>
      </c>
      <c r="G9702" s="28">
        <f>IFERROR(VLOOKUP(F9702,CARTON_LOOKUP!$A:$E,3,0),"")</f>
      </c>
      <c r="H9702" s="28">
        <f>IFERROR(VLOOKUP(F9702,CARTON_LOOKUP!$A:$E,4,0),"")</f>
      </c>
      <c r="I9702" s="28">
        <f>IFERROR(VLOOKUP(F9702,CARTON_LOOKUP!$A:$E,5,0),"")</f>
      </c>
      <c r="J9702" s="29">
        <f>IFERROR(VLOOKUP(F9702,CARTON_LOOKUP!$A:$E,2,0),"")</f>
      </c>
      <c r="K9702" s="29">
        <f>IFERROR(J9702*D9702,0)</f>
      </c>
      <c r="L9702" s="29">
        <f>IFERROR(E9702*C9702,0)</f>
      </c>
      <c r="M9702" s="29">
        <f>IFERROR((G9702*H9702*I9702/1000000)*D9702,0)</f>
      </c>
    </row>
    <row r="9703" spans="1:13" x14ac:dyDescent="0.25">
      <c r="A9703" s="16"/>
      <c r="E9703" s="27"/>
      <c r="F9703" t="s">
        <v>26</v>
      </c>
      <c r="G9703" s="28">
        <f>IFERROR(VLOOKUP(F9703,CARTON_LOOKUP!$A:$E,3,0),"")</f>
      </c>
      <c r="H9703" s="28">
        <f>IFERROR(VLOOKUP(F9703,CARTON_LOOKUP!$A:$E,4,0),"")</f>
      </c>
      <c r="I9703" s="28">
        <f>IFERROR(VLOOKUP(F9703,CARTON_LOOKUP!$A:$E,5,0),"")</f>
      </c>
      <c r="J9703" s="29">
        <f>IFERROR(VLOOKUP(F9703,CARTON_LOOKUP!$A:$E,2,0),"")</f>
      </c>
      <c r="K9703" s="29">
        <f>IFERROR(J9703*D9703,0)</f>
      </c>
      <c r="L9703" s="29">
        <f>IFERROR(E9703*C9703,0)</f>
      </c>
      <c r="M9703" s="29">
        <f>IFERROR((G9703*H9703*I9703/1000000)*D9703,0)</f>
      </c>
    </row>
    <row r="9704" spans="1:13" x14ac:dyDescent="0.25">
      <c r="A9704" s="16"/>
      <c r="E9704" s="27"/>
      <c r="F9704" t="s">
        <v>26</v>
      </c>
      <c r="G9704" s="28">
        <f>IFERROR(VLOOKUP(F9704,CARTON_LOOKUP!$A:$E,3,0),"")</f>
      </c>
      <c r="H9704" s="28">
        <f>IFERROR(VLOOKUP(F9704,CARTON_LOOKUP!$A:$E,4,0),"")</f>
      </c>
      <c r="I9704" s="28">
        <f>IFERROR(VLOOKUP(F9704,CARTON_LOOKUP!$A:$E,5,0),"")</f>
      </c>
      <c r="J9704" s="29">
        <f>IFERROR(VLOOKUP(F9704,CARTON_LOOKUP!$A:$E,2,0),"")</f>
      </c>
      <c r="K9704" s="29">
        <f>IFERROR(J9704*D9704,0)</f>
      </c>
      <c r="L9704" s="29">
        <f>IFERROR(E9704*C9704,0)</f>
      </c>
      <c r="M9704" s="29">
        <f>IFERROR((G9704*H9704*I9704/1000000)*D9704,0)</f>
      </c>
    </row>
    <row r="9705" spans="1:13" x14ac:dyDescent="0.25">
      <c r="A9705" s="16"/>
      <c r="E9705" s="27"/>
      <c r="F9705" t="s">
        <v>26</v>
      </c>
      <c r="G9705" s="28">
        <f>IFERROR(VLOOKUP(F9705,CARTON_LOOKUP!$A:$E,3,0),"")</f>
      </c>
      <c r="H9705" s="28">
        <f>IFERROR(VLOOKUP(F9705,CARTON_LOOKUP!$A:$E,4,0),"")</f>
      </c>
      <c r="I9705" s="28">
        <f>IFERROR(VLOOKUP(F9705,CARTON_LOOKUP!$A:$E,5,0),"")</f>
      </c>
      <c r="J9705" s="29">
        <f>IFERROR(VLOOKUP(F9705,CARTON_LOOKUP!$A:$E,2,0),"")</f>
      </c>
      <c r="K9705" s="29">
        <f>IFERROR(J9705*D9705,0)</f>
      </c>
      <c r="L9705" s="29">
        <f>IFERROR(E9705*C9705,0)</f>
      </c>
      <c r="M9705" s="29">
        <f>IFERROR((G9705*H9705*I9705/1000000)*D9705,0)</f>
      </c>
    </row>
    <row r="9706" spans="1:13" x14ac:dyDescent="0.25">
      <c r="A9706" s="16"/>
      <c r="E9706" s="27"/>
      <c r="F9706" t="s">
        <v>26</v>
      </c>
      <c r="G9706" s="28">
        <f>IFERROR(VLOOKUP(F9706,CARTON_LOOKUP!$A:$E,3,0),"")</f>
      </c>
      <c r="H9706" s="28">
        <f>IFERROR(VLOOKUP(F9706,CARTON_LOOKUP!$A:$E,4,0),"")</f>
      </c>
      <c r="I9706" s="28">
        <f>IFERROR(VLOOKUP(F9706,CARTON_LOOKUP!$A:$E,5,0),"")</f>
      </c>
      <c r="J9706" s="29">
        <f>IFERROR(VLOOKUP(F9706,CARTON_LOOKUP!$A:$E,2,0),"")</f>
      </c>
      <c r="K9706" s="29">
        <f>IFERROR(J9706*D9706,0)</f>
      </c>
      <c r="L9706" s="29">
        <f>IFERROR(E9706*C9706,0)</f>
      </c>
      <c r="M9706" s="29">
        <f>IFERROR((G9706*H9706*I9706/1000000)*D9706,0)</f>
      </c>
    </row>
    <row r="9707" spans="1:13" x14ac:dyDescent="0.25">
      <c r="A9707" s="16"/>
      <c r="E9707" s="27"/>
      <c r="F9707" t="s">
        <v>26</v>
      </c>
      <c r="G9707" s="28">
        <f>IFERROR(VLOOKUP(F9707,CARTON_LOOKUP!$A:$E,3,0),"")</f>
      </c>
      <c r="H9707" s="28">
        <f>IFERROR(VLOOKUP(F9707,CARTON_LOOKUP!$A:$E,4,0),"")</f>
      </c>
      <c r="I9707" s="28">
        <f>IFERROR(VLOOKUP(F9707,CARTON_LOOKUP!$A:$E,5,0),"")</f>
      </c>
      <c r="J9707" s="29">
        <f>IFERROR(VLOOKUP(F9707,CARTON_LOOKUP!$A:$E,2,0),"")</f>
      </c>
      <c r="K9707" s="29">
        <f>IFERROR(J9707*D9707,0)</f>
      </c>
      <c r="L9707" s="29">
        <f>IFERROR(E9707*C9707,0)</f>
      </c>
      <c r="M9707" s="29">
        <f>IFERROR((G9707*H9707*I9707/1000000)*D9707,0)</f>
      </c>
    </row>
    <row r="9708" spans="1:13" x14ac:dyDescent="0.25">
      <c r="A9708" s="16"/>
      <c r="E9708" s="27"/>
      <c r="F9708" t="s">
        <v>26</v>
      </c>
      <c r="G9708" s="28">
        <f>IFERROR(VLOOKUP(F9708,CARTON_LOOKUP!$A:$E,3,0),"")</f>
      </c>
      <c r="H9708" s="28">
        <f>IFERROR(VLOOKUP(F9708,CARTON_LOOKUP!$A:$E,4,0),"")</f>
      </c>
      <c r="I9708" s="28">
        <f>IFERROR(VLOOKUP(F9708,CARTON_LOOKUP!$A:$E,5,0),"")</f>
      </c>
      <c r="J9708" s="29">
        <f>IFERROR(VLOOKUP(F9708,CARTON_LOOKUP!$A:$E,2,0),"")</f>
      </c>
      <c r="K9708" s="29">
        <f>IFERROR(J9708*D9708,0)</f>
      </c>
      <c r="L9708" s="29">
        <f>IFERROR(E9708*C9708,0)</f>
      </c>
      <c r="M9708" s="29">
        <f>IFERROR((G9708*H9708*I9708/1000000)*D9708,0)</f>
      </c>
    </row>
    <row r="9709" spans="1:13" x14ac:dyDescent="0.25">
      <c r="A9709" s="16"/>
      <c r="E9709" s="27"/>
      <c r="F9709" t="s">
        <v>26</v>
      </c>
      <c r="G9709" s="28">
        <f>IFERROR(VLOOKUP(F9709,CARTON_LOOKUP!$A:$E,3,0),"")</f>
      </c>
      <c r="H9709" s="28">
        <f>IFERROR(VLOOKUP(F9709,CARTON_LOOKUP!$A:$E,4,0),"")</f>
      </c>
      <c r="I9709" s="28">
        <f>IFERROR(VLOOKUP(F9709,CARTON_LOOKUP!$A:$E,5,0),"")</f>
      </c>
      <c r="J9709" s="29">
        <f>IFERROR(VLOOKUP(F9709,CARTON_LOOKUP!$A:$E,2,0),"")</f>
      </c>
      <c r="K9709" s="29">
        <f>IFERROR(J9709*D9709,0)</f>
      </c>
      <c r="L9709" s="29">
        <f>IFERROR(E9709*C9709,0)</f>
      </c>
      <c r="M9709" s="29">
        <f>IFERROR((G9709*H9709*I9709/1000000)*D9709,0)</f>
      </c>
    </row>
    <row r="9710" spans="1:13" x14ac:dyDescent="0.25">
      <c r="A9710" s="16"/>
      <c r="E9710" s="27"/>
      <c r="F9710" t="s">
        <v>26</v>
      </c>
      <c r="G9710" s="28">
        <f>IFERROR(VLOOKUP(F9710,CARTON_LOOKUP!$A:$E,3,0),"")</f>
      </c>
      <c r="H9710" s="28">
        <f>IFERROR(VLOOKUP(F9710,CARTON_LOOKUP!$A:$E,4,0),"")</f>
      </c>
      <c r="I9710" s="28">
        <f>IFERROR(VLOOKUP(F9710,CARTON_LOOKUP!$A:$E,5,0),"")</f>
      </c>
      <c r="J9710" s="29">
        <f>IFERROR(VLOOKUP(F9710,CARTON_LOOKUP!$A:$E,2,0),"")</f>
      </c>
      <c r="K9710" s="29">
        <f>IFERROR(J9710*D9710,0)</f>
      </c>
      <c r="L9710" s="29">
        <f>IFERROR(E9710*C9710,0)</f>
      </c>
      <c r="M9710" s="29">
        <f>IFERROR((G9710*H9710*I9710/1000000)*D9710,0)</f>
      </c>
    </row>
    <row r="9711" spans="1:13" x14ac:dyDescent="0.25">
      <c r="A9711" s="16"/>
      <c r="E9711" s="27"/>
      <c r="F9711" t="s">
        <v>26</v>
      </c>
      <c r="G9711" s="28">
        <f>IFERROR(VLOOKUP(F9711,CARTON_LOOKUP!$A:$E,3,0),"")</f>
      </c>
      <c r="H9711" s="28">
        <f>IFERROR(VLOOKUP(F9711,CARTON_LOOKUP!$A:$E,4,0),"")</f>
      </c>
      <c r="I9711" s="28">
        <f>IFERROR(VLOOKUP(F9711,CARTON_LOOKUP!$A:$E,5,0),"")</f>
      </c>
      <c r="J9711" s="29">
        <f>IFERROR(VLOOKUP(F9711,CARTON_LOOKUP!$A:$E,2,0),"")</f>
      </c>
      <c r="K9711" s="29">
        <f>IFERROR(J9711*D9711,0)</f>
      </c>
      <c r="L9711" s="29">
        <f>IFERROR(E9711*C9711,0)</f>
      </c>
      <c r="M9711" s="29">
        <f>IFERROR((G9711*H9711*I9711/1000000)*D9711,0)</f>
      </c>
    </row>
    <row r="9712" spans="1:13" x14ac:dyDescent="0.25">
      <c r="A9712" s="16"/>
      <c r="E9712" s="27"/>
      <c r="F9712" t="s">
        <v>26</v>
      </c>
      <c r="G9712" s="28">
        <f>IFERROR(VLOOKUP(F9712,CARTON_LOOKUP!$A:$E,3,0),"")</f>
      </c>
      <c r="H9712" s="28">
        <f>IFERROR(VLOOKUP(F9712,CARTON_LOOKUP!$A:$E,4,0),"")</f>
      </c>
      <c r="I9712" s="28">
        <f>IFERROR(VLOOKUP(F9712,CARTON_LOOKUP!$A:$E,5,0),"")</f>
      </c>
      <c r="J9712" s="29">
        <f>IFERROR(VLOOKUP(F9712,CARTON_LOOKUP!$A:$E,2,0),"")</f>
      </c>
      <c r="K9712" s="29">
        <f>IFERROR(J9712*D9712,0)</f>
      </c>
      <c r="L9712" s="29">
        <f>IFERROR(E9712*C9712,0)</f>
      </c>
      <c r="M9712" s="29">
        <f>IFERROR((G9712*H9712*I9712/1000000)*D9712,0)</f>
      </c>
    </row>
    <row r="9713" spans="1:13" x14ac:dyDescent="0.25">
      <c r="A9713" s="16"/>
      <c r="E9713" s="27"/>
      <c r="F9713" t="s">
        <v>26</v>
      </c>
      <c r="G9713" s="28">
        <f>IFERROR(VLOOKUP(F9713,CARTON_LOOKUP!$A:$E,3,0),"")</f>
      </c>
      <c r="H9713" s="28">
        <f>IFERROR(VLOOKUP(F9713,CARTON_LOOKUP!$A:$E,4,0),"")</f>
      </c>
      <c r="I9713" s="28">
        <f>IFERROR(VLOOKUP(F9713,CARTON_LOOKUP!$A:$E,5,0),"")</f>
      </c>
      <c r="J9713" s="29">
        <f>IFERROR(VLOOKUP(F9713,CARTON_LOOKUP!$A:$E,2,0),"")</f>
      </c>
      <c r="K9713" s="29">
        <f>IFERROR(J9713*D9713,0)</f>
      </c>
      <c r="L9713" s="29">
        <f>IFERROR(E9713*C9713,0)</f>
      </c>
      <c r="M9713" s="29">
        <f>IFERROR((G9713*H9713*I9713/1000000)*D9713,0)</f>
      </c>
    </row>
    <row r="9714" spans="1:13" x14ac:dyDescent="0.25">
      <c r="A9714" s="16"/>
      <c r="E9714" s="27"/>
      <c r="F9714" t="s">
        <v>26</v>
      </c>
      <c r="G9714" s="28">
        <f>IFERROR(VLOOKUP(F9714,CARTON_LOOKUP!$A:$E,3,0),"")</f>
      </c>
      <c r="H9714" s="28">
        <f>IFERROR(VLOOKUP(F9714,CARTON_LOOKUP!$A:$E,4,0),"")</f>
      </c>
      <c r="I9714" s="28">
        <f>IFERROR(VLOOKUP(F9714,CARTON_LOOKUP!$A:$E,5,0),"")</f>
      </c>
      <c r="J9714" s="29">
        <f>IFERROR(VLOOKUP(F9714,CARTON_LOOKUP!$A:$E,2,0),"")</f>
      </c>
      <c r="K9714" s="29">
        <f>IFERROR(J9714*D9714,0)</f>
      </c>
      <c r="L9714" s="29">
        <f>IFERROR(E9714*C9714,0)</f>
      </c>
      <c r="M9714" s="29">
        <f>IFERROR((G9714*H9714*I9714/1000000)*D9714,0)</f>
      </c>
    </row>
    <row r="9715" spans="1:13" x14ac:dyDescent="0.25">
      <c r="A9715" s="16"/>
      <c r="E9715" s="27"/>
      <c r="F9715" t="s">
        <v>26</v>
      </c>
      <c r="G9715" s="28">
        <f>IFERROR(VLOOKUP(F9715,CARTON_LOOKUP!$A:$E,3,0),"")</f>
      </c>
      <c r="H9715" s="28">
        <f>IFERROR(VLOOKUP(F9715,CARTON_LOOKUP!$A:$E,4,0),"")</f>
      </c>
      <c r="I9715" s="28">
        <f>IFERROR(VLOOKUP(F9715,CARTON_LOOKUP!$A:$E,5,0),"")</f>
      </c>
      <c r="J9715" s="29">
        <f>IFERROR(VLOOKUP(F9715,CARTON_LOOKUP!$A:$E,2,0),"")</f>
      </c>
      <c r="K9715" s="29">
        <f>IFERROR(J9715*D9715,0)</f>
      </c>
      <c r="L9715" s="29">
        <f>IFERROR(E9715*C9715,0)</f>
      </c>
      <c r="M9715" s="29">
        <f>IFERROR((G9715*H9715*I9715/1000000)*D9715,0)</f>
      </c>
    </row>
    <row r="9716" spans="1:13" x14ac:dyDescent="0.25">
      <c r="A9716" s="16"/>
      <c r="E9716" s="27"/>
      <c r="F9716" t="s">
        <v>26</v>
      </c>
      <c r="G9716" s="28">
        <f>IFERROR(VLOOKUP(F9716,CARTON_LOOKUP!$A:$E,3,0),"")</f>
      </c>
      <c r="H9716" s="28">
        <f>IFERROR(VLOOKUP(F9716,CARTON_LOOKUP!$A:$E,4,0),"")</f>
      </c>
      <c r="I9716" s="28">
        <f>IFERROR(VLOOKUP(F9716,CARTON_LOOKUP!$A:$E,5,0),"")</f>
      </c>
      <c r="J9716" s="29">
        <f>IFERROR(VLOOKUP(F9716,CARTON_LOOKUP!$A:$E,2,0),"")</f>
      </c>
      <c r="K9716" s="29">
        <f>IFERROR(J9716*D9716,0)</f>
      </c>
      <c r="L9716" s="29">
        <f>IFERROR(E9716*C9716,0)</f>
      </c>
      <c r="M9716" s="29">
        <f>IFERROR((G9716*H9716*I9716/1000000)*D9716,0)</f>
      </c>
    </row>
    <row r="9717" spans="1:13" x14ac:dyDescent="0.25">
      <c r="A9717" s="16"/>
      <c r="E9717" s="27"/>
      <c r="F9717" t="s">
        <v>26</v>
      </c>
      <c r="G9717" s="28">
        <f>IFERROR(VLOOKUP(F9717,CARTON_LOOKUP!$A:$E,3,0),"")</f>
      </c>
      <c r="H9717" s="28">
        <f>IFERROR(VLOOKUP(F9717,CARTON_LOOKUP!$A:$E,4,0),"")</f>
      </c>
      <c r="I9717" s="28">
        <f>IFERROR(VLOOKUP(F9717,CARTON_LOOKUP!$A:$E,5,0),"")</f>
      </c>
      <c r="J9717" s="29">
        <f>IFERROR(VLOOKUP(F9717,CARTON_LOOKUP!$A:$E,2,0),"")</f>
      </c>
      <c r="K9717" s="29">
        <f>IFERROR(J9717*D9717,0)</f>
      </c>
      <c r="L9717" s="29">
        <f>IFERROR(E9717*C9717,0)</f>
      </c>
      <c r="M9717" s="29">
        <f>IFERROR((G9717*H9717*I9717/1000000)*D9717,0)</f>
      </c>
    </row>
    <row r="9718" spans="1:13" x14ac:dyDescent="0.25">
      <c r="A9718" s="16"/>
      <c r="E9718" s="27"/>
      <c r="F9718" t="s">
        <v>26</v>
      </c>
      <c r="G9718" s="28">
        <f>IFERROR(VLOOKUP(F9718,CARTON_LOOKUP!$A:$E,3,0),"")</f>
      </c>
      <c r="H9718" s="28">
        <f>IFERROR(VLOOKUP(F9718,CARTON_LOOKUP!$A:$E,4,0),"")</f>
      </c>
      <c r="I9718" s="28">
        <f>IFERROR(VLOOKUP(F9718,CARTON_LOOKUP!$A:$E,5,0),"")</f>
      </c>
      <c r="J9718" s="29">
        <f>IFERROR(VLOOKUP(F9718,CARTON_LOOKUP!$A:$E,2,0),"")</f>
      </c>
      <c r="K9718" s="29">
        <f>IFERROR(J9718*D9718,0)</f>
      </c>
      <c r="L9718" s="29">
        <f>IFERROR(E9718*C9718,0)</f>
      </c>
      <c r="M9718" s="29">
        <f>IFERROR((G9718*H9718*I9718/1000000)*D9718,0)</f>
      </c>
    </row>
    <row r="9719" spans="1:13" x14ac:dyDescent="0.25">
      <c r="A9719" s="16"/>
      <c r="E9719" s="27"/>
      <c r="F9719" t="s">
        <v>26</v>
      </c>
      <c r="G9719" s="28">
        <f>IFERROR(VLOOKUP(F9719,CARTON_LOOKUP!$A:$E,3,0),"")</f>
      </c>
      <c r="H9719" s="28">
        <f>IFERROR(VLOOKUP(F9719,CARTON_LOOKUP!$A:$E,4,0),"")</f>
      </c>
      <c r="I9719" s="28">
        <f>IFERROR(VLOOKUP(F9719,CARTON_LOOKUP!$A:$E,5,0),"")</f>
      </c>
      <c r="J9719" s="29">
        <f>IFERROR(VLOOKUP(F9719,CARTON_LOOKUP!$A:$E,2,0),"")</f>
      </c>
      <c r="K9719" s="29">
        <f>IFERROR(J9719*D9719,0)</f>
      </c>
      <c r="L9719" s="29">
        <f>IFERROR(E9719*C9719,0)</f>
      </c>
      <c r="M9719" s="29">
        <f>IFERROR((G9719*H9719*I9719/1000000)*D9719,0)</f>
      </c>
    </row>
    <row r="9720" spans="1:13" x14ac:dyDescent="0.25">
      <c r="A9720" s="16"/>
      <c r="E9720" s="27"/>
      <c r="F9720" t="s">
        <v>26</v>
      </c>
      <c r="G9720" s="28">
        <f>IFERROR(VLOOKUP(F9720,CARTON_LOOKUP!$A:$E,3,0),"")</f>
      </c>
      <c r="H9720" s="28">
        <f>IFERROR(VLOOKUP(F9720,CARTON_LOOKUP!$A:$E,4,0),"")</f>
      </c>
      <c r="I9720" s="28">
        <f>IFERROR(VLOOKUP(F9720,CARTON_LOOKUP!$A:$E,5,0),"")</f>
      </c>
      <c r="J9720" s="29">
        <f>IFERROR(VLOOKUP(F9720,CARTON_LOOKUP!$A:$E,2,0),"")</f>
      </c>
      <c r="K9720" s="29">
        <f>IFERROR(J9720*D9720,0)</f>
      </c>
      <c r="L9720" s="29">
        <f>IFERROR(E9720*C9720,0)</f>
      </c>
      <c r="M9720" s="29">
        <f>IFERROR((G9720*H9720*I9720/1000000)*D9720,0)</f>
      </c>
    </row>
    <row r="9721" spans="1:13" x14ac:dyDescent="0.25">
      <c r="A9721" s="16"/>
      <c r="E9721" s="27"/>
      <c r="F9721" t="s">
        <v>26</v>
      </c>
      <c r="G9721" s="28">
        <f>IFERROR(VLOOKUP(F9721,CARTON_LOOKUP!$A:$E,3,0),"")</f>
      </c>
      <c r="H9721" s="28">
        <f>IFERROR(VLOOKUP(F9721,CARTON_LOOKUP!$A:$E,4,0),"")</f>
      </c>
      <c r="I9721" s="28">
        <f>IFERROR(VLOOKUP(F9721,CARTON_LOOKUP!$A:$E,5,0),"")</f>
      </c>
      <c r="J9721" s="29">
        <f>IFERROR(VLOOKUP(F9721,CARTON_LOOKUP!$A:$E,2,0),"")</f>
      </c>
      <c r="K9721" s="29">
        <f>IFERROR(J9721*D9721,0)</f>
      </c>
      <c r="L9721" s="29">
        <f>IFERROR(E9721*C9721,0)</f>
      </c>
      <c r="M9721" s="29">
        <f>IFERROR((G9721*H9721*I9721/1000000)*D9721,0)</f>
      </c>
    </row>
    <row r="9722" spans="1:13" x14ac:dyDescent="0.25">
      <c r="A9722" s="16"/>
      <c r="E9722" s="27"/>
      <c r="F9722" t="s">
        <v>26</v>
      </c>
      <c r="G9722" s="28">
        <f>IFERROR(VLOOKUP(F9722,CARTON_LOOKUP!$A:$E,3,0),"")</f>
      </c>
      <c r="H9722" s="28">
        <f>IFERROR(VLOOKUP(F9722,CARTON_LOOKUP!$A:$E,4,0),"")</f>
      </c>
      <c r="I9722" s="28">
        <f>IFERROR(VLOOKUP(F9722,CARTON_LOOKUP!$A:$E,5,0),"")</f>
      </c>
      <c r="J9722" s="29">
        <f>IFERROR(VLOOKUP(F9722,CARTON_LOOKUP!$A:$E,2,0),"")</f>
      </c>
      <c r="K9722" s="29">
        <f>IFERROR(J9722*D9722,0)</f>
      </c>
      <c r="L9722" s="29">
        <f>IFERROR(E9722*C9722,0)</f>
      </c>
      <c r="M9722" s="29">
        <f>IFERROR((G9722*H9722*I9722/1000000)*D9722,0)</f>
      </c>
    </row>
    <row r="9723" spans="1:13" x14ac:dyDescent="0.25">
      <c r="A9723" s="16"/>
      <c r="E9723" s="27"/>
      <c r="F9723" t="s">
        <v>26</v>
      </c>
      <c r="G9723" s="28">
        <f>IFERROR(VLOOKUP(F9723,CARTON_LOOKUP!$A:$E,3,0),"")</f>
      </c>
      <c r="H9723" s="28">
        <f>IFERROR(VLOOKUP(F9723,CARTON_LOOKUP!$A:$E,4,0),"")</f>
      </c>
      <c r="I9723" s="28">
        <f>IFERROR(VLOOKUP(F9723,CARTON_LOOKUP!$A:$E,5,0),"")</f>
      </c>
      <c r="J9723" s="29">
        <f>IFERROR(VLOOKUP(F9723,CARTON_LOOKUP!$A:$E,2,0),"")</f>
      </c>
      <c r="K9723" s="29">
        <f>IFERROR(J9723*D9723,0)</f>
      </c>
      <c r="L9723" s="29">
        <f>IFERROR(E9723*C9723,0)</f>
      </c>
      <c r="M9723" s="29">
        <f>IFERROR((G9723*H9723*I9723/1000000)*D9723,0)</f>
      </c>
    </row>
    <row r="9724" spans="1:13" x14ac:dyDescent="0.25">
      <c r="A9724" s="16"/>
      <c r="E9724" s="27"/>
      <c r="F9724" t="s">
        <v>26</v>
      </c>
      <c r="G9724" s="28">
        <f>IFERROR(VLOOKUP(F9724,CARTON_LOOKUP!$A:$E,3,0),"")</f>
      </c>
      <c r="H9724" s="28">
        <f>IFERROR(VLOOKUP(F9724,CARTON_LOOKUP!$A:$E,4,0),"")</f>
      </c>
      <c r="I9724" s="28">
        <f>IFERROR(VLOOKUP(F9724,CARTON_LOOKUP!$A:$E,5,0),"")</f>
      </c>
      <c r="J9724" s="29">
        <f>IFERROR(VLOOKUP(F9724,CARTON_LOOKUP!$A:$E,2,0),"")</f>
      </c>
      <c r="K9724" s="29">
        <f>IFERROR(J9724*D9724,0)</f>
      </c>
      <c r="L9724" s="29">
        <f>IFERROR(E9724*C9724,0)</f>
      </c>
      <c r="M9724" s="29">
        <f>IFERROR((G9724*H9724*I9724/1000000)*D9724,0)</f>
      </c>
    </row>
    <row r="9725" spans="1:13" x14ac:dyDescent="0.25">
      <c r="A9725" s="16"/>
      <c r="E9725" s="27"/>
      <c r="F9725" t="s">
        <v>26</v>
      </c>
      <c r="G9725" s="28">
        <f>IFERROR(VLOOKUP(F9725,CARTON_LOOKUP!$A:$E,3,0),"")</f>
      </c>
      <c r="H9725" s="28">
        <f>IFERROR(VLOOKUP(F9725,CARTON_LOOKUP!$A:$E,4,0),"")</f>
      </c>
      <c r="I9725" s="28">
        <f>IFERROR(VLOOKUP(F9725,CARTON_LOOKUP!$A:$E,5,0),"")</f>
      </c>
      <c r="J9725" s="29">
        <f>IFERROR(VLOOKUP(F9725,CARTON_LOOKUP!$A:$E,2,0),"")</f>
      </c>
      <c r="K9725" s="29">
        <f>IFERROR(J9725*D9725,0)</f>
      </c>
      <c r="L9725" s="29">
        <f>IFERROR(E9725*C9725,0)</f>
      </c>
      <c r="M9725" s="29">
        <f>IFERROR((G9725*H9725*I9725/1000000)*D9725,0)</f>
      </c>
    </row>
    <row r="9726" spans="1:13" x14ac:dyDescent="0.25">
      <c r="A9726" s="16"/>
      <c r="E9726" s="27"/>
      <c r="F9726" t="s">
        <v>26</v>
      </c>
      <c r="G9726" s="28">
        <f>IFERROR(VLOOKUP(F9726,CARTON_LOOKUP!$A:$E,3,0),"")</f>
      </c>
      <c r="H9726" s="28">
        <f>IFERROR(VLOOKUP(F9726,CARTON_LOOKUP!$A:$E,4,0),"")</f>
      </c>
      <c r="I9726" s="28">
        <f>IFERROR(VLOOKUP(F9726,CARTON_LOOKUP!$A:$E,5,0),"")</f>
      </c>
      <c r="J9726" s="29">
        <f>IFERROR(VLOOKUP(F9726,CARTON_LOOKUP!$A:$E,2,0),"")</f>
      </c>
      <c r="K9726" s="29">
        <f>IFERROR(J9726*D9726,0)</f>
      </c>
      <c r="L9726" s="29">
        <f>IFERROR(E9726*C9726,0)</f>
      </c>
      <c r="M9726" s="29">
        <f>IFERROR((G9726*H9726*I9726/1000000)*D9726,0)</f>
      </c>
    </row>
    <row r="9727" spans="1:13" x14ac:dyDescent="0.25">
      <c r="A9727" s="16"/>
      <c r="E9727" s="27"/>
      <c r="F9727" t="s">
        <v>26</v>
      </c>
      <c r="G9727" s="28">
        <f>IFERROR(VLOOKUP(F9727,CARTON_LOOKUP!$A:$E,3,0),"")</f>
      </c>
      <c r="H9727" s="28">
        <f>IFERROR(VLOOKUP(F9727,CARTON_LOOKUP!$A:$E,4,0),"")</f>
      </c>
      <c r="I9727" s="28">
        <f>IFERROR(VLOOKUP(F9727,CARTON_LOOKUP!$A:$E,5,0),"")</f>
      </c>
      <c r="J9727" s="29">
        <f>IFERROR(VLOOKUP(F9727,CARTON_LOOKUP!$A:$E,2,0),"")</f>
      </c>
      <c r="K9727" s="29">
        <f>IFERROR(J9727*D9727,0)</f>
      </c>
      <c r="L9727" s="29">
        <f>IFERROR(E9727*C9727,0)</f>
      </c>
      <c r="M9727" s="29">
        <f>IFERROR((G9727*H9727*I9727/1000000)*D9727,0)</f>
      </c>
    </row>
    <row r="9728" spans="1:13" x14ac:dyDescent="0.25">
      <c r="A9728" s="16"/>
      <c r="E9728" s="27"/>
      <c r="F9728" t="s">
        <v>26</v>
      </c>
      <c r="G9728" s="28">
        <f>IFERROR(VLOOKUP(F9728,CARTON_LOOKUP!$A:$E,3,0),"")</f>
      </c>
      <c r="H9728" s="28">
        <f>IFERROR(VLOOKUP(F9728,CARTON_LOOKUP!$A:$E,4,0),"")</f>
      </c>
      <c r="I9728" s="28">
        <f>IFERROR(VLOOKUP(F9728,CARTON_LOOKUP!$A:$E,5,0),"")</f>
      </c>
      <c r="J9728" s="29">
        <f>IFERROR(VLOOKUP(F9728,CARTON_LOOKUP!$A:$E,2,0),"")</f>
      </c>
      <c r="K9728" s="29">
        <f>IFERROR(J9728*D9728,0)</f>
      </c>
      <c r="L9728" s="29">
        <f>IFERROR(E9728*C9728,0)</f>
      </c>
      <c r="M9728" s="29">
        <f>IFERROR((G9728*H9728*I9728/1000000)*D9728,0)</f>
      </c>
    </row>
    <row r="9729" spans="1:13" x14ac:dyDescent="0.25">
      <c r="A9729" s="16"/>
      <c r="E9729" s="27"/>
      <c r="F9729" t="s">
        <v>26</v>
      </c>
      <c r="G9729" s="28">
        <f>IFERROR(VLOOKUP(F9729,CARTON_LOOKUP!$A:$E,3,0),"")</f>
      </c>
      <c r="H9729" s="28">
        <f>IFERROR(VLOOKUP(F9729,CARTON_LOOKUP!$A:$E,4,0),"")</f>
      </c>
      <c r="I9729" s="28">
        <f>IFERROR(VLOOKUP(F9729,CARTON_LOOKUP!$A:$E,5,0),"")</f>
      </c>
      <c r="J9729" s="29">
        <f>IFERROR(VLOOKUP(F9729,CARTON_LOOKUP!$A:$E,2,0),"")</f>
      </c>
      <c r="K9729" s="29">
        <f>IFERROR(J9729*D9729,0)</f>
      </c>
      <c r="L9729" s="29">
        <f>IFERROR(E9729*C9729,0)</f>
      </c>
      <c r="M9729" s="29">
        <f>IFERROR((G9729*H9729*I9729/1000000)*D9729,0)</f>
      </c>
    </row>
    <row r="9730" spans="1:13" x14ac:dyDescent="0.25">
      <c r="A9730" s="16"/>
      <c r="E9730" s="27"/>
      <c r="F9730" t="s">
        <v>26</v>
      </c>
      <c r="G9730" s="28">
        <f>IFERROR(VLOOKUP(F9730,CARTON_LOOKUP!$A:$E,3,0),"")</f>
      </c>
      <c r="H9730" s="28">
        <f>IFERROR(VLOOKUP(F9730,CARTON_LOOKUP!$A:$E,4,0),"")</f>
      </c>
      <c r="I9730" s="28">
        <f>IFERROR(VLOOKUP(F9730,CARTON_LOOKUP!$A:$E,5,0),"")</f>
      </c>
      <c r="J9730" s="29">
        <f>IFERROR(VLOOKUP(F9730,CARTON_LOOKUP!$A:$E,2,0),"")</f>
      </c>
      <c r="K9730" s="29">
        <f>IFERROR(J9730*D9730,0)</f>
      </c>
      <c r="L9730" s="29">
        <f>IFERROR(E9730*C9730,0)</f>
      </c>
      <c r="M9730" s="29">
        <f>IFERROR((G9730*H9730*I9730/1000000)*D9730,0)</f>
      </c>
    </row>
    <row r="9731" spans="1:13" x14ac:dyDescent="0.25">
      <c r="A9731" s="16"/>
      <c r="E9731" s="27"/>
      <c r="F9731" t="s">
        <v>26</v>
      </c>
      <c r="G9731" s="28">
        <f>IFERROR(VLOOKUP(F9731,CARTON_LOOKUP!$A:$E,3,0),"")</f>
      </c>
      <c r="H9731" s="28">
        <f>IFERROR(VLOOKUP(F9731,CARTON_LOOKUP!$A:$E,4,0),"")</f>
      </c>
      <c r="I9731" s="28">
        <f>IFERROR(VLOOKUP(F9731,CARTON_LOOKUP!$A:$E,5,0),"")</f>
      </c>
      <c r="J9731" s="29">
        <f>IFERROR(VLOOKUP(F9731,CARTON_LOOKUP!$A:$E,2,0),"")</f>
      </c>
      <c r="K9731" s="29">
        <f>IFERROR(J9731*D9731,0)</f>
      </c>
      <c r="L9731" s="29">
        <f>IFERROR(E9731*C9731,0)</f>
      </c>
      <c r="M9731" s="29">
        <f>IFERROR((G9731*H9731*I9731/1000000)*D9731,0)</f>
      </c>
    </row>
    <row r="9732" spans="1:13" x14ac:dyDescent="0.25">
      <c r="A9732" s="16"/>
      <c r="E9732" s="27"/>
      <c r="F9732" t="s">
        <v>26</v>
      </c>
      <c r="G9732" s="28">
        <f>IFERROR(VLOOKUP(F9732,CARTON_LOOKUP!$A:$E,3,0),"")</f>
      </c>
      <c r="H9732" s="28">
        <f>IFERROR(VLOOKUP(F9732,CARTON_LOOKUP!$A:$E,4,0),"")</f>
      </c>
      <c r="I9732" s="28">
        <f>IFERROR(VLOOKUP(F9732,CARTON_LOOKUP!$A:$E,5,0),"")</f>
      </c>
      <c r="J9732" s="29">
        <f>IFERROR(VLOOKUP(F9732,CARTON_LOOKUP!$A:$E,2,0),"")</f>
      </c>
      <c r="K9732" s="29">
        <f>IFERROR(J9732*D9732,0)</f>
      </c>
      <c r="L9732" s="29">
        <f>IFERROR(E9732*C9732,0)</f>
      </c>
      <c r="M9732" s="29">
        <f>IFERROR((G9732*H9732*I9732/1000000)*D9732,0)</f>
      </c>
    </row>
    <row r="9733" spans="1:13" x14ac:dyDescent="0.25">
      <c r="A9733" s="16"/>
      <c r="E9733" s="27"/>
      <c r="F9733" t="s">
        <v>26</v>
      </c>
      <c r="G9733" s="28">
        <f>IFERROR(VLOOKUP(F9733,CARTON_LOOKUP!$A:$E,3,0),"")</f>
      </c>
      <c r="H9733" s="28">
        <f>IFERROR(VLOOKUP(F9733,CARTON_LOOKUP!$A:$E,4,0),"")</f>
      </c>
      <c r="I9733" s="28">
        <f>IFERROR(VLOOKUP(F9733,CARTON_LOOKUP!$A:$E,5,0),"")</f>
      </c>
      <c r="J9733" s="29">
        <f>IFERROR(VLOOKUP(F9733,CARTON_LOOKUP!$A:$E,2,0),"")</f>
      </c>
      <c r="K9733" s="29">
        <f>IFERROR(J9733*D9733,0)</f>
      </c>
      <c r="L9733" s="29">
        <f>IFERROR(E9733*C9733,0)</f>
      </c>
      <c r="M9733" s="29">
        <f>IFERROR((G9733*H9733*I9733/1000000)*D9733,0)</f>
      </c>
    </row>
    <row r="9734" spans="1:13" x14ac:dyDescent="0.25">
      <c r="A9734" s="16"/>
      <c r="E9734" s="27"/>
      <c r="F9734" t="s">
        <v>26</v>
      </c>
      <c r="G9734" s="28">
        <f>IFERROR(VLOOKUP(F9734,CARTON_LOOKUP!$A:$E,3,0),"")</f>
      </c>
      <c r="H9734" s="28">
        <f>IFERROR(VLOOKUP(F9734,CARTON_LOOKUP!$A:$E,4,0),"")</f>
      </c>
      <c r="I9734" s="28">
        <f>IFERROR(VLOOKUP(F9734,CARTON_LOOKUP!$A:$E,5,0),"")</f>
      </c>
      <c r="J9734" s="29">
        <f>IFERROR(VLOOKUP(F9734,CARTON_LOOKUP!$A:$E,2,0),"")</f>
      </c>
      <c r="K9734" s="29">
        <f>IFERROR(J9734*D9734,0)</f>
      </c>
      <c r="L9734" s="29">
        <f>IFERROR(E9734*C9734,0)</f>
      </c>
      <c r="M9734" s="29">
        <f>IFERROR((G9734*H9734*I9734/1000000)*D9734,0)</f>
      </c>
    </row>
    <row r="9735" spans="1:13" x14ac:dyDescent="0.25">
      <c r="A9735" s="16"/>
      <c r="E9735" s="27"/>
      <c r="F9735" t="s">
        <v>26</v>
      </c>
      <c r="G9735" s="28">
        <f>IFERROR(VLOOKUP(F9735,CARTON_LOOKUP!$A:$E,3,0),"")</f>
      </c>
      <c r="H9735" s="28">
        <f>IFERROR(VLOOKUP(F9735,CARTON_LOOKUP!$A:$E,4,0),"")</f>
      </c>
      <c r="I9735" s="28">
        <f>IFERROR(VLOOKUP(F9735,CARTON_LOOKUP!$A:$E,5,0),"")</f>
      </c>
      <c r="J9735" s="29">
        <f>IFERROR(VLOOKUP(F9735,CARTON_LOOKUP!$A:$E,2,0),"")</f>
      </c>
      <c r="K9735" s="29">
        <f>IFERROR(J9735*D9735,0)</f>
      </c>
      <c r="L9735" s="29">
        <f>IFERROR(E9735*C9735,0)</f>
      </c>
      <c r="M9735" s="29">
        <f>IFERROR((G9735*H9735*I9735/1000000)*D9735,0)</f>
      </c>
    </row>
    <row r="9736" spans="1:13" x14ac:dyDescent="0.25">
      <c r="A9736" s="16"/>
      <c r="E9736" s="27"/>
      <c r="F9736" t="s">
        <v>26</v>
      </c>
      <c r="G9736" s="28">
        <f>IFERROR(VLOOKUP(F9736,CARTON_LOOKUP!$A:$E,3,0),"")</f>
      </c>
      <c r="H9736" s="28">
        <f>IFERROR(VLOOKUP(F9736,CARTON_LOOKUP!$A:$E,4,0),"")</f>
      </c>
      <c r="I9736" s="28">
        <f>IFERROR(VLOOKUP(F9736,CARTON_LOOKUP!$A:$E,5,0),"")</f>
      </c>
      <c r="J9736" s="29">
        <f>IFERROR(VLOOKUP(F9736,CARTON_LOOKUP!$A:$E,2,0),"")</f>
      </c>
      <c r="K9736" s="29">
        <f>IFERROR(J9736*D9736,0)</f>
      </c>
      <c r="L9736" s="29">
        <f>IFERROR(E9736*C9736,0)</f>
      </c>
      <c r="M9736" s="29">
        <f>IFERROR((G9736*H9736*I9736/1000000)*D9736,0)</f>
      </c>
    </row>
    <row r="9737" spans="1:13" x14ac:dyDescent="0.25">
      <c r="A9737" s="16"/>
      <c r="E9737" s="27"/>
      <c r="F9737" t="s">
        <v>26</v>
      </c>
      <c r="G9737" s="28">
        <f>IFERROR(VLOOKUP(F9737,CARTON_LOOKUP!$A:$E,3,0),"")</f>
      </c>
      <c r="H9737" s="28">
        <f>IFERROR(VLOOKUP(F9737,CARTON_LOOKUP!$A:$E,4,0),"")</f>
      </c>
      <c r="I9737" s="28">
        <f>IFERROR(VLOOKUP(F9737,CARTON_LOOKUP!$A:$E,5,0),"")</f>
      </c>
      <c r="J9737" s="29">
        <f>IFERROR(VLOOKUP(F9737,CARTON_LOOKUP!$A:$E,2,0),"")</f>
      </c>
      <c r="K9737" s="29">
        <f>IFERROR(J9737*D9737,0)</f>
      </c>
      <c r="L9737" s="29">
        <f>IFERROR(E9737*C9737,0)</f>
      </c>
      <c r="M9737" s="29">
        <f>IFERROR((G9737*H9737*I9737/1000000)*D9737,0)</f>
      </c>
    </row>
    <row r="9738" spans="1:13" x14ac:dyDescent="0.25">
      <c r="A9738" s="16"/>
      <c r="E9738" s="27"/>
      <c r="F9738" t="s">
        <v>26</v>
      </c>
      <c r="G9738" s="28">
        <f>IFERROR(VLOOKUP(F9738,CARTON_LOOKUP!$A:$E,3,0),"")</f>
      </c>
      <c r="H9738" s="28">
        <f>IFERROR(VLOOKUP(F9738,CARTON_LOOKUP!$A:$E,4,0),"")</f>
      </c>
      <c r="I9738" s="28">
        <f>IFERROR(VLOOKUP(F9738,CARTON_LOOKUP!$A:$E,5,0),"")</f>
      </c>
      <c r="J9738" s="29">
        <f>IFERROR(VLOOKUP(F9738,CARTON_LOOKUP!$A:$E,2,0),"")</f>
      </c>
      <c r="K9738" s="29">
        <f>IFERROR(J9738*D9738,0)</f>
      </c>
      <c r="L9738" s="29">
        <f>IFERROR(E9738*C9738,0)</f>
      </c>
      <c r="M9738" s="29">
        <f>IFERROR((G9738*H9738*I9738/1000000)*D9738,0)</f>
      </c>
    </row>
    <row r="9739" spans="1:13" x14ac:dyDescent="0.25">
      <c r="A9739" s="16"/>
      <c r="E9739" s="27"/>
      <c r="F9739" t="s">
        <v>26</v>
      </c>
      <c r="G9739" s="28">
        <f>IFERROR(VLOOKUP(F9739,CARTON_LOOKUP!$A:$E,3,0),"")</f>
      </c>
      <c r="H9739" s="28">
        <f>IFERROR(VLOOKUP(F9739,CARTON_LOOKUP!$A:$E,4,0),"")</f>
      </c>
      <c r="I9739" s="28">
        <f>IFERROR(VLOOKUP(F9739,CARTON_LOOKUP!$A:$E,5,0),"")</f>
      </c>
      <c r="J9739" s="29">
        <f>IFERROR(VLOOKUP(F9739,CARTON_LOOKUP!$A:$E,2,0),"")</f>
      </c>
      <c r="K9739" s="29">
        <f>IFERROR(J9739*D9739,0)</f>
      </c>
      <c r="L9739" s="29">
        <f>IFERROR(E9739*C9739,0)</f>
      </c>
      <c r="M9739" s="29">
        <f>IFERROR((G9739*H9739*I9739/1000000)*D9739,0)</f>
      </c>
    </row>
    <row r="9740" spans="1:13" x14ac:dyDescent="0.25">
      <c r="A9740" s="16"/>
      <c r="E9740" s="27"/>
      <c r="F9740" t="s">
        <v>26</v>
      </c>
      <c r="G9740" s="28">
        <f>IFERROR(VLOOKUP(F9740,CARTON_LOOKUP!$A:$E,3,0),"")</f>
      </c>
      <c r="H9740" s="28">
        <f>IFERROR(VLOOKUP(F9740,CARTON_LOOKUP!$A:$E,4,0),"")</f>
      </c>
      <c r="I9740" s="28">
        <f>IFERROR(VLOOKUP(F9740,CARTON_LOOKUP!$A:$E,5,0),"")</f>
      </c>
      <c r="J9740" s="29">
        <f>IFERROR(VLOOKUP(F9740,CARTON_LOOKUP!$A:$E,2,0),"")</f>
      </c>
      <c r="K9740" s="29">
        <f>IFERROR(J9740*D9740,0)</f>
      </c>
      <c r="L9740" s="29">
        <f>IFERROR(E9740*C9740,0)</f>
      </c>
      <c r="M9740" s="29">
        <f>IFERROR((G9740*H9740*I9740/1000000)*D9740,0)</f>
      </c>
    </row>
    <row r="9741" spans="1:13" x14ac:dyDescent="0.25">
      <c r="A9741" s="16"/>
      <c r="E9741" s="27"/>
      <c r="F9741" t="s">
        <v>26</v>
      </c>
      <c r="G9741" s="28">
        <f>IFERROR(VLOOKUP(F9741,CARTON_LOOKUP!$A:$E,3,0),"")</f>
      </c>
      <c r="H9741" s="28">
        <f>IFERROR(VLOOKUP(F9741,CARTON_LOOKUP!$A:$E,4,0),"")</f>
      </c>
      <c r="I9741" s="28">
        <f>IFERROR(VLOOKUP(F9741,CARTON_LOOKUP!$A:$E,5,0),"")</f>
      </c>
      <c r="J9741" s="29">
        <f>IFERROR(VLOOKUP(F9741,CARTON_LOOKUP!$A:$E,2,0),"")</f>
      </c>
      <c r="K9741" s="29">
        <f>IFERROR(J9741*D9741,0)</f>
      </c>
      <c r="L9741" s="29">
        <f>IFERROR(E9741*C9741,0)</f>
      </c>
      <c r="M9741" s="29">
        <f>IFERROR((G9741*H9741*I9741/1000000)*D9741,0)</f>
      </c>
    </row>
    <row r="9742" spans="1:13" x14ac:dyDescent="0.25">
      <c r="A9742" s="16"/>
      <c r="E9742" s="27"/>
      <c r="F9742" t="s">
        <v>26</v>
      </c>
      <c r="G9742" s="28">
        <f>IFERROR(VLOOKUP(F9742,CARTON_LOOKUP!$A:$E,3,0),"")</f>
      </c>
      <c r="H9742" s="28">
        <f>IFERROR(VLOOKUP(F9742,CARTON_LOOKUP!$A:$E,4,0),"")</f>
      </c>
      <c r="I9742" s="28">
        <f>IFERROR(VLOOKUP(F9742,CARTON_LOOKUP!$A:$E,5,0),"")</f>
      </c>
      <c r="J9742" s="29">
        <f>IFERROR(VLOOKUP(F9742,CARTON_LOOKUP!$A:$E,2,0),"")</f>
      </c>
      <c r="K9742" s="29">
        <f>IFERROR(J9742*D9742,0)</f>
      </c>
      <c r="L9742" s="29">
        <f>IFERROR(E9742*C9742,0)</f>
      </c>
      <c r="M9742" s="29">
        <f>IFERROR((G9742*H9742*I9742/1000000)*D9742,0)</f>
      </c>
    </row>
    <row r="9743" spans="1:13" x14ac:dyDescent="0.25">
      <c r="A9743" s="16"/>
      <c r="E9743" s="27"/>
      <c r="F9743" t="s">
        <v>26</v>
      </c>
      <c r="G9743" s="28">
        <f>IFERROR(VLOOKUP(F9743,CARTON_LOOKUP!$A:$E,3,0),"")</f>
      </c>
      <c r="H9743" s="28">
        <f>IFERROR(VLOOKUP(F9743,CARTON_LOOKUP!$A:$E,4,0),"")</f>
      </c>
      <c r="I9743" s="28">
        <f>IFERROR(VLOOKUP(F9743,CARTON_LOOKUP!$A:$E,5,0),"")</f>
      </c>
      <c r="J9743" s="29">
        <f>IFERROR(VLOOKUP(F9743,CARTON_LOOKUP!$A:$E,2,0),"")</f>
      </c>
      <c r="K9743" s="29">
        <f>IFERROR(J9743*D9743,0)</f>
      </c>
      <c r="L9743" s="29">
        <f>IFERROR(E9743*C9743,0)</f>
      </c>
      <c r="M9743" s="29">
        <f>IFERROR((G9743*H9743*I9743/1000000)*D9743,0)</f>
      </c>
    </row>
    <row r="9744" spans="1:13" x14ac:dyDescent="0.25">
      <c r="A9744" s="16"/>
      <c r="E9744" s="27"/>
      <c r="F9744" t="s">
        <v>26</v>
      </c>
      <c r="G9744" s="28">
        <f>IFERROR(VLOOKUP(F9744,CARTON_LOOKUP!$A:$E,3,0),"")</f>
      </c>
      <c r="H9744" s="28">
        <f>IFERROR(VLOOKUP(F9744,CARTON_LOOKUP!$A:$E,4,0),"")</f>
      </c>
      <c r="I9744" s="28">
        <f>IFERROR(VLOOKUP(F9744,CARTON_LOOKUP!$A:$E,5,0),"")</f>
      </c>
      <c r="J9744" s="29">
        <f>IFERROR(VLOOKUP(F9744,CARTON_LOOKUP!$A:$E,2,0),"")</f>
      </c>
      <c r="K9744" s="29">
        <f>IFERROR(J9744*D9744,0)</f>
      </c>
      <c r="L9744" s="29">
        <f>IFERROR(E9744*C9744,0)</f>
      </c>
      <c r="M9744" s="29">
        <f>IFERROR((G9744*H9744*I9744/1000000)*D9744,0)</f>
      </c>
    </row>
    <row r="9745" spans="1:13" x14ac:dyDescent="0.25">
      <c r="A9745" s="16"/>
      <c r="E9745" s="27"/>
      <c r="F9745" t="s">
        <v>26</v>
      </c>
      <c r="G9745" s="28">
        <f>IFERROR(VLOOKUP(F9745,CARTON_LOOKUP!$A:$E,3,0),"")</f>
      </c>
      <c r="H9745" s="28">
        <f>IFERROR(VLOOKUP(F9745,CARTON_LOOKUP!$A:$E,4,0),"")</f>
      </c>
      <c r="I9745" s="28">
        <f>IFERROR(VLOOKUP(F9745,CARTON_LOOKUP!$A:$E,5,0),"")</f>
      </c>
      <c r="J9745" s="29">
        <f>IFERROR(VLOOKUP(F9745,CARTON_LOOKUP!$A:$E,2,0),"")</f>
      </c>
      <c r="K9745" s="29">
        <f>IFERROR(J9745*D9745,0)</f>
      </c>
      <c r="L9745" s="29">
        <f>IFERROR(E9745*C9745,0)</f>
      </c>
      <c r="M9745" s="29">
        <f>IFERROR((G9745*H9745*I9745/1000000)*D9745,0)</f>
      </c>
    </row>
    <row r="9746" spans="1:13" x14ac:dyDescent="0.25">
      <c r="A9746" s="16"/>
      <c r="E9746" s="27"/>
      <c r="F9746" t="s">
        <v>26</v>
      </c>
      <c r="G9746" s="28">
        <f>IFERROR(VLOOKUP(F9746,CARTON_LOOKUP!$A:$E,3,0),"")</f>
      </c>
      <c r="H9746" s="28">
        <f>IFERROR(VLOOKUP(F9746,CARTON_LOOKUP!$A:$E,4,0),"")</f>
      </c>
      <c r="I9746" s="28">
        <f>IFERROR(VLOOKUP(F9746,CARTON_LOOKUP!$A:$E,5,0),"")</f>
      </c>
      <c r="J9746" s="29">
        <f>IFERROR(VLOOKUP(F9746,CARTON_LOOKUP!$A:$E,2,0),"")</f>
      </c>
      <c r="K9746" s="29">
        <f>IFERROR(J9746*D9746,0)</f>
      </c>
      <c r="L9746" s="29">
        <f>IFERROR(E9746*C9746,0)</f>
      </c>
      <c r="M9746" s="29">
        <f>IFERROR((G9746*H9746*I9746/1000000)*D9746,0)</f>
      </c>
    </row>
    <row r="9747" spans="1:13" x14ac:dyDescent="0.25">
      <c r="A9747" s="16"/>
      <c r="E9747" s="27"/>
      <c r="F9747" t="s">
        <v>26</v>
      </c>
      <c r="G9747" s="28">
        <f>IFERROR(VLOOKUP(F9747,CARTON_LOOKUP!$A:$E,3,0),"")</f>
      </c>
      <c r="H9747" s="28">
        <f>IFERROR(VLOOKUP(F9747,CARTON_LOOKUP!$A:$E,4,0),"")</f>
      </c>
      <c r="I9747" s="28">
        <f>IFERROR(VLOOKUP(F9747,CARTON_LOOKUP!$A:$E,5,0),"")</f>
      </c>
      <c r="J9747" s="29">
        <f>IFERROR(VLOOKUP(F9747,CARTON_LOOKUP!$A:$E,2,0),"")</f>
      </c>
      <c r="K9747" s="29">
        <f>IFERROR(J9747*D9747,0)</f>
      </c>
      <c r="L9747" s="29">
        <f>IFERROR(E9747*C9747,0)</f>
      </c>
      <c r="M9747" s="29">
        <f>IFERROR((G9747*H9747*I9747/1000000)*D9747,0)</f>
      </c>
    </row>
    <row r="9748" spans="1:13" x14ac:dyDescent="0.25">
      <c r="A9748" s="16"/>
      <c r="E9748" s="27"/>
      <c r="F9748" t="s">
        <v>26</v>
      </c>
      <c r="G9748" s="28">
        <f>IFERROR(VLOOKUP(F9748,CARTON_LOOKUP!$A:$E,3,0),"")</f>
      </c>
      <c r="H9748" s="28">
        <f>IFERROR(VLOOKUP(F9748,CARTON_LOOKUP!$A:$E,4,0),"")</f>
      </c>
      <c r="I9748" s="28">
        <f>IFERROR(VLOOKUP(F9748,CARTON_LOOKUP!$A:$E,5,0),"")</f>
      </c>
      <c r="J9748" s="29">
        <f>IFERROR(VLOOKUP(F9748,CARTON_LOOKUP!$A:$E,2,0),"")</f>
      </c>
      <c r="K9748" s="29">
        <f>IFERROR(J9748*D9748,0)</f>
      </c>
      <c r="L9748" s="29">
        <f>IFERROR(E9748*C9748,0)</f>
      </c>
      <c r="M9748" s="29">
        <f>IFERROR((G9748*H9748*I9748/1000000)*D9748,0)</f>
      </c>
    </row>
    <row r="9749" spans="1:13" x14ac:dyDescent="0.25">
      <c r="A9749" s="16"/>
      <c r="E9749" s="27"/>
      <c r="F9749" t="s">
        <v>26</v>
      </c>
      <c r="G9749" s="28">
        <f>IFERROR(VLOOKUP(F9749,CARTON_LOOKUP!$A:$E,3,0),"")</f>
      </c>
      <c r="H9749" s="28">
        <f>IFERROR(VLOOKUP(F9749,CARTON_LOOKUP!$A:$E,4,0),"")</f>
      </c>
      <c r="I9749" s="28">
        <f>IFERROR(VLOOKUP(F9749,CARTON_LOOKUP!$A:$E,5,0),"")</f>
      </c>
      <c r="J9749" s="29">
        <f>IFERROR(VLOOKUP(F9749,CARTON_LOOKUP!$A:$E,2,0),"")</f>
      </c>
      <c r="K9749" s="29">
        <f>IFERROR(J9749*D9749,0)</f>
      </c>
      <c r="L9749" s="29">
        <f>IFERROR(E9749*C9749,0)</f>
      </c>
      <c r="M9749" s="29">
        <f>IFERROR((G9749*H9749*I9749/1000000)*D9749,0)</f>
      </c>
    </row>
    <row r="9750" spans="1:13" x14ac:dyDescent="0.25">
      <c r="A9750" s="16"/>
      <c r="E9750" s="27"/>
      <c r="F9750" t="s">
        <v>26</v>
      </c>
      <c r="G9750" s="28">
        <f>IFERROR(VLOOKUP(F9750,CARTON_LOOKUP!$A:$E,3,0),"")</f>
      </c>
      <c r="H9750" s="28">
        <f>IFERROR(VLOOKUP(F9750,CARTON_LOOKUP!$A:$E,4,0),"")</f>
      </c>
      <c r="I9750" s="28">
        <f>IFERROR(VLOOKUP(F9750,CARTON_LOOKUP!$A:$E,5,0),"")</f>
      </c>
      <c r="J9750" s="29">
        <f>IFERROR(VLOOKUP(F9750,CARTON_LOOKUP!$A:$E,2,0),"")</f>
      </c>
      <c r="K9750" s="29">
        <f>IFERROR(J9750*D9750,0)</f>
      </c>
      <c r="L9750" s="29">
        <f>IFERROR(E9750*C9750,0)</f>
      </c>
      <c r="M9750" s="29">
        <f>IFERROR((G9750*H9750*I9750/1000000)*D9750,0)</f>
      </c>
    </row>
    <row r="9751" spans="1:13" x14ac:dyDescent="0.25">
      <c r="A9751" s="16"/>
      <c r="E9751" s="27"/>
      <c r="F9751" t="s">
        <v>26</v>
      </c>
      <c r="G9751" s="28">
        <f>IFERROR(VLOOKUP(F9751,CARTON_LOOKUP!$A:$E,3,0),"")</f>
      </c>
      <c r="H9751" s="28">
        <f>IFERROR(VLOOKUP(F9751,CARTON_LOOKUP!$A:$E,4,0),"")</f>
      </c>
      <c r="I9751" s="28">
        <f>IFERROR(VLOOKUP(F9751,CARTON_LOOKUP!$A:$E,5,0),"")</f>
      </c>
      <c r="J9751" s="29">
        <f>IFERROR(VLOOKUP(F9751,CARTON_LOOKUP!$A:$E,2,0),"")</f>
      </c>
      <c r="K9751" s="29">
        <f>IFERROR(J9751*D9751,0)</f>
      </c>
      <c r="L9751" s="29">
        <f>IFERROR(E9751*C9751,0)</f>
      </c>
      <c r="M9751" s="29">
        <f>IFERROR((G9751*H9751*I9751/1000000)*D9751,0)</f>
      </c>
    </row>
    <row r="9752" spans="1:13" x14ac:dyDescent="0.25">
      <c r="A9752" s="16"/>
      <c r="E9752" s="27"/>
      <c r="F9752" t="s">
        <v>26</v>
      </c>
      <c r="G9752" s="28">
        <f>IFERROR(VLOOKUP(F9752,CARTON_LOOKUP!$A:$E,3,0),"")</f>
      </c>
      <c r="H9752" s="28">
        <f>IFERROR(VLOOKUP(F9752,CARTON_LOOKUP!$A:$E,4,0),"")</f>
      </c>
      <c r="I9752" s="28">
        <f>IFERROR(VLOOKUP(F9752,CARTON_LOOKUP!$A:$E,5,0),"")</f>
      </c>
      <c r="J9752" s="29">
        <f>IFERROR(VLOOKUP(F9752,CARTON_LOOKUP!$A:$E,2,0),"")</f>
      </c>
      <c r="K9752" s="29">
        <f>IFERROR(J9752*D9752,0)</f>
      </c>
      <c r="L9752" s="29">
        <f>IFERROR(E9752*C9752,0)</f>
      </c>
      <c r="M9752" s="29">
        <f>IFERROR((G9752*H9752*I9752/1000000)*D9752,0)</f>
      </c>
    </row>
    <row r="9753" spans="1:13" x14ac:dyDescent="0.25">
      <c r="A9753" s="16"/>
      <c r="E9753" s="27"/>
      <c r="F9753" t="s">
        <v>26</v>
      </c>
      <c r="G9753" s="28">
        <f>IFERROR(VLOOKUP(F9753,CARTON_LOOKUP!$A:$E,3,0),"")</f>
      </c>
      <c r="H9753" s="28">
        <f>IFERROR(VLOOKUP(F9753,CARTON_LOOKUP!$A:$E,4,0),"")</f>
      </c>
      <c r="I9753" s="28">
        <f>IFERROR(VLOOKUP(F9753,CARTON_LOOKUP!$A:$E,5,0),"")</f>
      </c>
      <c r="J9753" s="29">
        <f>IFERROR(VLOOKUP(F9753,CARTON_LOOKUP!$A:$E,2,0),"")</f>
      </c>
      <c r="K9753" s="29">
        <f>IFERROR(J9753*D9753,0)</f>
      </c>
      <c r="L9753" s="29">
        <f>IFERROR(E9753*C9753,0)</f>
      </c>
      <c r="M9753" s="29">
        <f>IFERROR((G9753*H9753*I9753/1000000)*D9753,0)</f>
      </c>
    </row>
    <row r="9754" spans="1:13" x14ac:dyDescent="0.25">
      <c r="A9754" s="16"/>
      <c r="E9754" s="27"/>
      <c r="F9754" t="s">
        <v>26</v>
      </c>
      <c r="G9754" s="28">
        <f>IFERROR(VLOOKUP(F9754,CARTON_LOOKUP!$A:$E,3,0),"")</f>
      </c>
      <c r="H9754" s="28">
        <f>IFERROR(VLOOKUP(F9754,CARTON_LOOKUP!$A:$E,4,0),"")</f>
      </c>
      <c r="I9754" s="28">
        <f>IFERROR(VLOOKUP(F9754,CARTON_LOOKUP!$A:$E,5,0),"")</f>
      </c>
      <c r="J9754" s="29">
        <f>IFERROR(VLOOKUP(F9754,CARTON_LOOKUP!$A:$E,2,0),"")</f>
      </c>
      <c r="K9754" s="29">
        <f>IFERROR(J9754*D9754,0)</f>
      </c>
      <c r="L9754" s="29">
        <f>IFERROR(E9754*C9754,0)</f>
      </c>
      <c r="M9754" s="29">
        <f>IFERROR((G9754*H9754*I9754/1000000)*D9754,0)</f>
      </c>
    </row>
    <row r="9755" spans="1:13" x14ac:dyDescent="0.25">
      <c r="A9755" s="16"/>
      <c r="E9755" s="27"/>
      <c r="F9755" t="s">
        <v>26</v>
      </c>
      <c r="G9755" s="28">
        <f>IFERROR(VLOOKUP(F9755,CARTON_LOOKUP!$A:$E,3,0),"")</f>
      </c>
      <c r="H9755" s="28">
        <f>IFERROR(VLOOKUP(F9755,CARTON_LOOKUP!$A:$E,4,0),"")</f>
      </c>
      <c r="I9755" s="28">
        <f>IFERROR(VLOOKUP(F9755,CARTON_LOOKUP!$A:$E,5,0),"")</f>
      </c>
      <c r="J9755" s="29">
        <f>IFERROR(VLOOKUP(F9755,CARTON_LOOKUP!$A:$E,2,0),"")</f>
      </c>
      <c r="K9755" s="29">
        <f>IFERROR(J9755*D9755,0)</f>
      </c>
      <c r="L9755" s="29">
        <f>IFERROR(E9755*C9755,0)</f>
      </c>
      <c r="M9755" s="29">
        <f>IFERROR((G9755*H9755*I9755/1000000)*D9755,0)</f>
      </c>
    </row>
    <row r="9756" spans="1:13" x14ac:dyDescent="0.25">
      <c r="A9756" s="16"/>
      <c r="E9756" s="27"/>
      <c r="F9756" t="s">
        <v>26</v>
      </c>
      <c r="G9756" s="28">
        <f>IFERROR(VLOOKUP(F9756,CARTON_LOOKUP!$A:$E,3,0),"")</f>
      </c>
      <c r="H9756" s="28">
        <f>IFERROR(VLOOKUP(F9756,CARTON_LOOKUP!$A:$E,4,0),"")</f>
      </c>
      <c r="I9756" s="28">
        <f>IFERROR(VLOOKUP(F9756,CARTON_LOOKUP!$A:$E,5,0),"")</f>
      </c>
      <c r="J9756" s="29">
        <f>IFERROR(VLOOKUP(F9756,CARTON_LOOKUP!$A:$E,2,0),"")</f>
      </c>
      <c r="K9756" s="29">
        <f>IFERROR(J9756*D9756,0)</f>
      </c>
      <c r="L9756" s="29">
        <f>IFERROR(E9756*C9756,0)</f>
      </c>
      <c r="M9756" s="29">
        <f>IFERROR((G9756*H9756*I9756/1000000)*D9756,0)</f>
      </c>
    </row>
    <row r="9757" spans="1:13" x14ac:dyDescent="0.25">
      <c r="A9757" s="16"/>
      <c r="E9757" s="27"/>
      <c r="F9757" t="s">
        <v>26</v>
      </c>
      <c r="G9757" s="28">
        <f>IFERROR(VLOOKUP(F9757,CARTON_LOOKUP!$A:$E,3,0),"")</f>
      </c>
      <c r="H9757" s="28">
        <f>IFERROR(VLOOKUP(F9757,CARTON_LOOKUP!$A:$E,4,0),"")</f>
      </c>
      <c r="I9757" s="28">
        <f>IFERROR(VLOOKUP(F9757,CARTON_LOOKUP!$A:$E,5,0),"")</f>
      </c>
      <c r="J9757" s="29">
        <f>IFERROR(VLOOKUP(F9757,CARTON_LOOKUP!$A:$E,2,0),"")</f>
      </c>
      <c r="K9757" s="29">
        <f>IFERROR(J9757*D9757,0)</f>
      </c>
      <c r="L9757" s="29">
        <f>IFERROR(E9757*C9757,0)</f>
      </c>
      <c r="M9757" s="29">
        <f>IFERROR((G9757*H9757*I9757/1000000)*D9757,0)</f>
      </c>
    </row>
    <row r="9758" spans="1:13" x14ac:dyDescent="0.25">
      <c r="A9758" s="16"/>
      <c r="E9758" s="27"/>
      <c r="F9758" t="s">
        <v>26</v>
      </c>
      <c r="G9758" s="28">
        <f>IFERROR(VLOOKUP(F9758,CARTON_LOOKUP!$A:$E,3,0),"")</f>
      </c>
      <c r="H9758" s="28">
        <f>IFERROR(VLOOKUP(F9758,CARTON_LOOKUP!$A:$E,4,0),"")</f>
      </c>
      <c r="I9758" s="28">
        <f>IFERROR(VLOOKUP(F9758,CARTON_LOOKUP!$A:$E,5,0),"")</f>
      </c>
      <c r="J9758" s="29">
        <f>IFERROR(VLOOKUP(F9758,CARTON_LOOKUP!$A:$E,2,0),"")</f>
      </c>
      <c r="K9758" s="29">
        <f>IFERROR(J9758*D9758,0)</f>
      </c>
      <c r="L9758" s="29">
        <f>IFERROR(E9758*C9758,0)</f>
      </c>
      <c r="M9758" s="29">
        <f>IFERROR((G9758*H9758*I9758/1000000)*D9758,0)</f>
      </c>
    </row>
    <row r="9759" spans="1:13" x14ac:dyDescent="0.25">
      <c r="A9759" s="16"/>
      <c r="E9759" s="27"/>
      <c r="F9759" t="s">
        <v>26</v>
      </c>
      <c r="G9759" s="28">
        <f>IFERROR(VLOOKUP(F9759,CARTON_LOOKUP!$A:$E,3,0),"")</f>
      </c>
      <c r="H9759" s="28">
        <f>IFERROR(VLOOKUP(F9759,CARTON_LOOKUP!$A:$E,4,0),"")</f>
      </c>
      <c r="I9759" s="28">
        <f>IFERROR(VLOOKUP(F9759,CARTON_LOOKUP!$A:$E,5,0),"")</f>
      </c>
      <c r="J9759" s="29">
        <f>IFERROR(VLOOKUP(F9759,CARTON_LOOKUP!$A:$E,2,0),"")</f>
      </c>
      <c r="K9759" s="29">
        <f>IFERROR(J9759*D9759,0)</f>
      </c>
      <c r="L9759" s="29">
        <f>IFERROR(E9759*C9759,0)</f>
      </c>
      <c r="M9759" s="29">
        <f>IFERROR((G9759*H9759*I9759/1000000)*D9759,0)</f>
      </c>
    </row>
    <row r="9760" spans="1:13" x14ac:dyDescent="0.25">
      <c r="A9760" s="16"/>
      <c r="E9760" s="27"/>
      <c r="F9760" t="s">
        <v>26</v>
      </c>
      <c r="G9760" s="28">
        <f>IFERROR(VLOOKUP(F9760,CARTON_LOOKUP!$A:$E,3,0),"")</f>
      </c>
      <c r="H9760" s="28">
        <f>IFERROR(VLOOKUP(F9760,CARTON_LOOKUP!$A:$E,4,0),"")</f>
      </c>
      <c r="I9760" s="28">
        <f>IFERROR(VLOOKUP(F9760,CARTON_LOOKUP!$A:$E,5,0),"")</f>
      </c>
      <c r="J9760" s="29">
        <f>IFERROR(VLOOKUP(F9760,CARTON_LOOKUP!$A:$E,2,0),"")</f>
      </c>
      <c r="K9760" s="29">
        <f>IFERROR(J9760*D9760,0)</f>
      </c>
      <c r="L9760" s="29">
        <f>IFERROR(E9760*C9760,0)</f>
      </c>
      <c r="M9760" s="29">
        <f>IFERROR((G9760*H9760*I9760/1000000)*D9760,0)</f>
      </c>
    </row>
    <row r="9761" spans="1:13" x14ac:dyDescent="0.25">
      <c r="A9761" s="16"/>
      <c r="E9761" s="27"/>
      <c r="F9761" t="s">
        <v>26</v>
      </c>
      <c r="G9761" s="28">
        <f>IFERROR(VLOOKUP(F9761,CARTON_LOOKUP!$A:$E,3,0),"")</f>
      </c>
      <c r="H9761" s="28">
        <f>IFERROR(VLOOKUP(F9761,CARTON_LOOKUP!$A:$E,4,0),"")</f>
      </c>
      <c r="I9761" s="28">
        <f>IFERROR(VLOOKUP(F9761,CARTON_LOOKUP!$A:$E,5,0),"")</f>
      </c>
      <c r="J9761" s="29">
        <f>IFERROR(VLOOKUP(F9761,CARTON_LOOKUP!$A:$E,2,0),"")</f>
      </c>
      <c r="K9761" s="29">
        <f>IFERROR(J9761*D9761,0)</f>
      </c>
      <c r="L9761" s="29">
        <f>IFERROR(E9761*C9761,0)</f>
      </c>
      <c r="M9761" s="29">
        <f>IFERROR((G9761*H9761*I9761/1000000)*D9761,0)</f>
      </c>
    </row>
    <row r="9762" spans="1:13" x14ac:dyDescent="0.25">
      <c r="A9762" s="16"/>
      <c r="E9762" s="27"/>
      <c r="F9762" t="s">
        <v>26</v>
      </c>
      <c r="G9762" s="28">
        <f>IFERROR(VLOOKUP(F9762,CARTON_LOOKUP!$A:$E,3,0),"")</f>
      </c>
      <c r="H9762" s="28">
        <f>IFERROR(VLOOKUP(F9762,CARTON_LOOKUP!$A:$E,4,0),"")</f>
      </c>
      <c r="I9762" s="28">
        <f>IFERROR(VLOOKUP(F9762,CARTON_LOOKUP!$A:$E,5,0),"")</f>
      </c>
      <c r="J9762" s="29">
        <f>IFERROR(VLOOKUP(F9762,CARTON_LOOKUP!$A:$E,2,0),"")</f>
      </c>
      <c r="K9762" s="29">
        <f>IFERROR(J9762*D9762,0)</f>
      </c>
      <c r="L9762" s="29">
        <f>IFERROR(E9762*C9762,0)</f>
      </c>
      <c r="M9762" s="29">
        <f>IFERROR((G9762*H9762*I9762/1000000)*D9762,0)</f>
      </c>
    </row>
    <row r="9763" spans="1:13" x14ac:dyDescent="0.25">
      <c r="A9763" s="16"/>
      <c r="E9763" s="27"/>
      <c r="F9763" t="s">
        <v>26</v>
      </c>
      <c r="G9763" s="28">
        <f>IFERROR(VLOOKUP(F9763,CARTON_LOOKUP!$A:$E,3,0),"")</f>
      </c>
      <c r="H9763" s="28">
        <f>IFERROR(VLOOKUP(F9763,CARTON_LOOKUP!$A:$E,4,0),"")</f>
      </c>
      <c r="I9763" s="28">
        <f>IFERROR(VLOOKUP(F9763,CARTON_LOOKUP!$A:$E,5,0),"")</f>
      </c>
      <c r="J9763" s="29">
        <f>IFERROR(VLOOKUP(F9763,CARTON_LOOKUP!$A:$E,2,0),"")</f>
      </c>
      <c r="K9763" s="29">
        <f>IFERROR(J9763*D9763,0)</f>
      </c>
      <c r="L9763" s="29">
        <f>IFERROR(E9763*C9763,0)</f>
      </c>
      <c r="M9763" s="29">
        <f>IFERROR((G9763*H9763*I9763/1000000)*D9763,0)</f>
      </c>
    </row>
    <row r="9764" spans="1:13" x14ac:dyDescent="0.25">
      <c r="A9764" s="16"/>
      <c r="E9764" s="27"/>
      <c r="F9764" t="s">
        <v>26</v>
      </c>
      <c r="G9764" s="28">
        <f>IFERROR(VLOOKUP(F9764,CARTON_LOOKUP!$A:$E,3,0),"")</f>
      </c>
      <c r="H9764" s="28">
        <f>IFERROR(VLOOKUP(F9764,CARTON_LOOKUP!$A:$E,4,0),"")</f>
      </c>
      <c r="I9764" s="28">
        <f>IFERROR(VLOOKUP(F9764,CARTON_LOOKUP!$A:$E,5,0),"")</f>
      </c>
      <c r="J9764" s="29">
        <f>IFERROR(VLOOKUP(F9764,CARTON_LOOKUP!$A:$E,2,0),"")</f>
      </c>
      <c r="K9764" s="29">
        <f>IFERROR(J9764*D9764,0)</f>
      </c>
      <c r="L9764" s="29">
        <f>IFERROR(E9764*C9764,0)</f>
      </c>
      <c r="M9764" s="29">
        <f>IFERROR((G9764*H9764*I9764/1000000)*D9764,0)</f>
      </c>
    </row>
    <row r="9765" spans="1:13" x14ac:dyDescent="0.25">
      <c r="A9765" s="16"/>
      <c r="E9765" s="27"/>
      <c r="F9765" t="s">
        <v>26</v>
      </c>
      <c r="G9765" s="28">
        <f>IFERROR(VLOOKUP(F9765,CARTON_LOOKUP!$A:$E,3,0),"")</f>
      </c>
      <c r="H9765" s="28">
        <f>IFERROR(VLOOKUP(F9765,CARTON_LOOKUP!$A:$E,4,0),"")</f>
      </c>
      <c r="I9765" s="28">
        <f>IFERROR(VLOOKUP(F9765,CARTON_LOOKUP!$A:$E,5,0),"")</f>
      </c>
      <c r="J9765" s="29">
        <f>IFERROR(VLOOKUP(F9765,CARTON_LOOKUP!$A:$E,2,0),"")</f>
      </c>
      <c r="K9765" s="29">
        <f>IFERROR(J9765*D9765,0)</f>
      </c>
      <c r="L9765" s="29">
        <f>IFERROR(E9765*C9765,0)</f>
      </c>
      <c r="M9765" s="29">
        <f>IFERROR((G9765*H9765*I9765/1000000)*D9765,0)</f>
      </c>
    </row>
    <row r="9766" spans="1:13" x14ac:dyDescent="0.25">
      <c r="A9766" s="16"/>
      <c r="E9766" s="27"/>
      <c r="F9766" t="s">
        <v>26</v>
      </c>
      <c r="G9766" s="28">
        <f>IFERROR(VLOOKUP(F9766,CARTON_LOOKUP!$A:$E,3,0),"")</f>
      </c>
      <c r="H9766" s="28">
        <f>IFERROR(VLOOKUP(F9766,CARTON_LOOKUP!$A:$E,4,0),"")</f>
      </c>
      <c r="I9766" s="28">
        <f>IFERROR(VLOOKUP(F9766,CARTON_LOOKUP!$A:$E,5,0),"")</f>
      </c>
      <c r="J9766" s="29">
        <f>IFERROR(VLOOKUP(F9766,CARTON_LOOKUP!$A:$E,2,0),"")</f>
      </c>
      <c r="K9766" s="29">
        <f>IFERROR(J9766*D9766,0)</f>
      </c>
      <c r="L9766" s="29">
        <f>IFERROR(E9766*C9766,0)</f>
      </c>
      <c r="M9766" s="29">
        <f>IFERROR((G9766*H9766*I9766/1000000)*D9766,0)</f>
      </c>
    </row>
    <row r="9767" spans="1:13" x14ac:dyDescent="0.25">
      <c r="A9767" s="16"/>
      <c r="E9767" s="27"/>
      <c r="F9767" t="s">
        <v>26</v>
      </c>
      <c r="G9767" s="28">
        <f>IFERROR(VLOOKUP(F9767,CARTON_LOOKUP!$A:$E,3,0),"")</f>
      </c>
      <c r="H9767" s="28">
        <f>IFERROR(VLOOKUP(F9767,CARTON_LOOKUP!$A:$E,4,0),"")</f>
      </c>
      <c r="I9767" s="28">
        <f>IFERROR(VLOOKUP(F9767,CARTON_LOOKUP!$A:$E,5,0),"")</f>
      </c>
      <c r="J9767" s="29">
        <f>IFERROR(VLOOKUP(F9767,CARTON_LOOKUP!$A:$E,2,0),"")</f>
      </c>
      <c r="K9767" s="29">
        <f>IFERROR(J9767*D9767,0)</f>
      </c>
      <c r="L9767" s="29">
        <f>IFERROR(E9767*C9767,0)</f>
      </c>
      <c r="M9767" s="29">
        <f>IFERROR((G9767*H9767*I9767/1000000)*D9767,0)</f>
      </c>
    </row>
    <row r="9768" spans="1:13" x14ac:dyDescent="0.25">
      <c r="A9768" s="16"/>
      <c r="E9768" s="27"/>
      <c r="F9768" t="s">
        <v>26</v>
      </c>
      <c r="G9768" s="28">
        <f>IFERROR(VLOOKUP(F9768,CARTON_LOOKUP!$A:$E,3,0),"")</f>
      </c>
      <c r="H9768" s="28">
        <f>IFERROR(VLOOKUP(F9768,CARTON_LOOKUP!$A:$E,4,0),"")</f>
      </c>
      <c r="I9768" s="28">
        <f>IFERROR(VLOOKUP(F9768,CARTON_LOOKUP!$A:$E,5,0),"")</f>
      </c>
      <c r="J9768" s="29">
        <f>IFERROR(VLOOKUP(F9768,CARTON_LOOKUP!$A:$E,2,0),"")</f>
      </c>
      <c r="K9768" s="29">
        <f>IFERROR(J9768*D9768,0)</f>
      </c>
      <c r="L9768" s="29">
        <f>IFERROR(E9768*C9768,0)</f>
      </c>
      <c r="M9768" s="29">
        <f>IFERROR((G9768*H9768*I9768/1000000)*D9768,0)</f>
      </c>
    </row>
    <row r="9769" spans="1:13" x14ac:dyDescent="0.25">
      <c r="A9769" s="16"/>
      <c r="E9769" s="27"/>
      <c r="F9769" t="s">
        <v>26</v>
      </c>
      <c r="G9769" s="28">
        <f>IFERROR(VLOOKUP(F9769,CARTON_LOOKUP!$A:$E,3,0),"")</f>
      </c>
      <c r="H9769" s="28">
        <f>IFERROR(VLOOKUP(F9769,CARTON_LOOKUP!$A:$E,4,0),"")</f>
      </c>
      <c r="I9769" s="28">
        <f>IFERROR(VLOOKUP(F9769,CARTON_LOOKUP!$A:$E,5,0),"")</f>
      </c>
      <c r="J9769" s="29">
        <f>IFERROR(VLOOKUP(F9769,CARTON_LOOKUP!$A:$E,2,0),"")</f>
      </c>
      <c r="K9769" s="29">
        <f>IFERROR(J9769*D9769,0)</f>
      </c>
      <c r="L9769" s="29">
        <f>IFERROR(E9769*C9769,0)</f>
      </c>
      <c r="M9769" s="29">
        <f>IFERROR((G9769*H9769*I9769/1000000)*D9769,0)</f>
      </c>
    </row>
    <row r="9770" spans="1:13" x14ac:dyDescent="0.25">
      <c r="A9770" s="16"/>
      <c r="E9770" s="27"/>
      <c r="F9770" t="s">
        <v>26</v>
      </c>
      <c r="G9770" s="28">
        <f>IFERROR(VLOOKUP(F9770,CARTON_LOOKUP!$A:$E,3,0),"")</f>
      </c>
      <c r="H9770" s="28">
        <f>IFERROR(VLOOKUP(F9770,CARTON_LOOKUP!$A:$E,4,0),"")</f>
      </c>
      <c r="I9770" s="28">
        <f>IFERROR(VLOOKUP(F9770,CARTON_LOOKUP!$A:$E,5,0),"")</f>
      </c>
      <c r="J9770" s="29">
        <f>IFERROR(VLOOKUP(F9770,CARTON_LOOKUP!$A:$E,2,0),"")</f>
      </c>
      <c r="K9770" s="29">
        <f>IFERROR(J9770*D9770,0)</f>
      </c>
      <c r="L9770" s="29">
        <f>IFERROR(E9770*C9770,0)</f>
      </c>
      <c r="M9770" s="29">
        <f>IFERROR((G9770*H9770*I9770/1000000)*D9770,0)</f>
      </c>
    </row>
    <row r="9771" spans="1:13" x14ac:dyDescent="0.25">
      <c r="A9771" s="16"/>
      <c r="E9771" s="27"/>
      <c r="F9771" t="s">
        <v>26</v>
      </c>
      <c r="G9771" s="28">
        <f>IFERROR(VLOOKUP(F9771,CARTON_LOOKUP!$A:$E,3,0),"")</f>
      </c>
      <c r="H9771" s="28">
        <f>IFERROR(VLOOKUP(F9771,CARTON_LOOKUP!$A:$E,4,0),"")</f>
      </c>
      <c r="I9771" s="28">
        <f>IFERROR(VLOOKUP(F9771,CARTON_LOOKUP!$A:$E,5,0),"")</f>
      </c>
      <c r="J9771" s="29">
        <f>IFERROR(VLOOKUP(F9771,CARTON_LOOKUP!$A:$E,2,0),"")</f>
      </c>
      <c r="K9771" s="29">
        <f>IFERROR(J9771*D9771,0)</f>
      </c>
      <c r="L9771" s="29">
        <f>IFERROR(E9771*C9771,0)</f>
      </c>
      <c r="M9771" s="29">
        <f>IFERROR((G9771*H9771*I9771/1000000)*D9771,0)</f>
      </c>
    </row>
    <row r="9772" spans="1:13" x14ac:dyDescent="0.25">
      <c r="A9772" s="16"/>
      <c r="E9772" s="27"/>
      <c r="F9772" t="s">
        <v>26</v>
      </c>
      <c r="G9772" s="28">
        <f>IFERROR(VLOOKUP(F9772,CARTON_LOOKUP!$A:$E,3,0),"")</f>
      </c>
      <c r="H9772" s="28">
        <f>IFERROR(VLOOKUP(F9772,CARTON_LOOKUP!$A:$E,4,0),"")</f>
      </c>
      <c r="I9772" s="28">
        <f>IFERROR(VLOOKUP(F9772,CARTON_LOOKUP!$A:$E,5,0),"")</f>
      </c>
      <c r="J9772" s="29">
        <f>IFERROR(VLOOKUP(F9772,CARTON_LOOKUP!$A:$E,2,0),"")</f>
      </c>
      <c r="K9772" s="29">
        <f>IFERROR(J9772*D9772,0)</f>
      </c>
      <c r="L9772" s="29">
        <f>IFERROR(E9772*C9772,0)</f>
      </c>
      <c r="M9772" s="29">
        <f>IFERROR((G9772*H9772*I9772/1000000)*D9772,0)</f>
      </c>
    </row>
    <row r="9773" spans="1:13" x14ac:dyDescent="0.25">
      <c r="A9773" s="16"/>
      <c r="E9773" s="27"/>
      <c r="F9773" t="s">
        <v>26</v>
      </c>
      <c r="G9773" s="28">
        <f>IFERROR(VLOOKUP(F9773,CARTON_LOOKUP!$A:$E,3,0),"")</f>
      </c>
      <c r="H9773" s="28">
        <f>IFERROR(VLOOKUP(F9773,CARTON_LOOKUP!$A:$E,4,0),"")</f>
      </c>
      <c r="I9773" s="28">
        <f>IFERROR(VLOOKUP(F9773,CARTON_LOOKUP!$A:$E,5,0),"")</f>
      </c>
      <c r="J9773" s="29">
        <f>IFERROR(VLOOKUP(F9773,CARTON_LOOKUP!$A:$E,2,0),"")</f>
      </c>
      <c r="K9773" s="29">
        <f>IFERROR(J9773*D9773,0)</f>
      </c>
      <c r="L9773" s="29">
        <f>IFERROR(E9773*C9773,0)</f>
      </c>
      <c r="M9773" s="29">
        <f>IFERROR((G9773*H9773*I9773/1000000)*D9773,0)</f>
      </c>
    </row>
    <row r="9774" spans="1:13" x14ac:dyDescent="0.25">
      <c r="A9774" s="16"/>
      <c r="E9774" s="27"/>
      <c r="F9774" t="s">
        <v>26</v>
      </c>
      <c r="G9774" s="28">
        <f>IFERROR(VLOOKUP(F9774,CARTON_LOOKUP!$A:$E,3,0),"")</f>
      </c>
      <c r="H9774" s="28">
        <f>IFERROR(VLOOKUP(F9774,CARTON_LOOKUP!$A:$E,4,0),"")</f>
      </c>
      <c r="I9774" s="28">
        <f>IFERROR(VLOOKUP(F9774,CARTON_LOOKUP!$A:$E,5,0),"")</f>
      </c>
      <c r="J9774" s="29">
        <f>IFERROR(VLOOKUP(F9774,CARTON_LOOKUP!$A:$E,2,0),"")</f>
      </c>
      <c r="K9774" s="29">
        <f>IFERROR(J9774*D9774,0)</f>
      </c>
      <c r="L9774" s="29">
        <f>IFERROR(E9774*C9774,0)</f>
      </c>
      <c r="M9774" s="29">
        <f>IFERROR((G9774*H9774*I9774/1000000)*D9774,0)</f>
      </c>
    </row>
    <row r="9775" spans="1:13" x14ac:dyDescent="0.25">
      <c r="A9775" s="16"/>
      <c r="E9775" s="27"/>
      <c r="F9775" t="s">
        <v>26</v>
      </c>
      <c r="G9775" s="28">
        <f>IFERROR(VLOOKUP(F9775,CARTON_LOOKUP!$A:$E,3,0),"")</f>
      </c>
      <c r="H9775" s="28">
        <f>IFERROR(VLOOKUP(F9775,CARTON_LOOKUP!$A:$E,4,0),"")</f>
      </c>
      <c r="I9775" s="28">
        <f>IFERROR(VLOOKUP(F9775,CARTON_LOOKUP!$A:$E,5,0),"")</f>
      </c>
      <c r="J9775" s="29">
        <f>IFERROR(VLOOKUP(F9775,CARTON_LOOKUP!$A:$E,2,0),"")</f>
      </c>
      <c r="K9775" s="29">
        <f>IFERROR(J9775*D9775,0)</f>
      </c>
      <c r="L9775" s="29">
        <f>IFERROR(E9775*C9775,0)</f>
      </c>
      <c r="M9775" s="29">
        <f>IFERROR((G9775*H9775*I9775/1000000)*D9775,0)</f>
      </c>
    </row>
    <row r="9776" spans="1:13" x14ac:dyDescent="0.25">
      <c r="A9776" s="16"/>
      <c r="E9776" s="27"/>
      <c r="F9776" t="s">
        <v>26</v>
      </c>
      <c r="G9776" s="28">
        <f>IFERROR(VLOOKUP(F9776,CARTON_LOOKUP!$A:$E,3,0),"")</f>
      </c>
      <c r="H9776" s="28">
        <f>IFERROR(VLOOKUP(F9776,CARTON_LOOKUP!$A:$E,4,0),"")</f>
      </c>
      <c r="I9776" s="28">
        <f>IFERROR(VLOOKUP(F9776,CARTON_LOOKUP!$A:$E,5,0),"")</f>
      </c>
      <c r="J9776" s="29">
        <f>IFERROR(VLOOKUP(F9776,CARTON_LOOKUP!$A:$E,2,0),"")</f>
      </c>
      <c r="K9776" s="29">
        <f>IFERROR(J9776*D9776,0)</f>
      </c>
      <c r="L9776" s="29">
        <f>IFERROR(E9776*C9776,0)</f>
      </c>
      <c r="M9776" s="29">
        <f>IFERROR((G9776*H9776*I9776/1000000)*D9776,0)</f>
      </c>
    </row>
    <row r="9777" spans="1:13" x14ac:dyDescent="0.25">
      <c r="A9777" s="16"/>
      <c r="E9777" s="27"/>
      <c r="F9777" t="s">
        <v>26</v>
      </c>
      <c r="G9777" s="28">
        <f>IFERROR(VLOOKUP(F9777,CARTON_LOOKUP!$A:$E,3,0),"")</f>
      </c>
      <c r="H9777" s="28">
        <f>IFERROR(VLOOKUP(F9777,CARTON_LOOKUP!$A:$E,4,0),"")</f>
      </c>
      <c r="I9777" s="28">
        <f>IFERROR(VLOOKUP(F9777,CARTON_LOOKUP!$A:$E,5,0),"")</f>
      </c>
      <c r="J9777" s="29">
        <f>IFERROR(VLOOKUP(F9777,CARTON_LOOKUP!$A:$E,2,0),"")</f>
      </c>
      <c r="K9777" s="29">
        <f>IFERROR(J9777*D9777,0)</f>
      </c>
      <c r="L9777" s="29">
        <f>IFERROR(E9777*C9777,0)</f>
      </c>
      <c r="M9777" s="29">
        <f>IFERROR((G9777*H9777*I9777/1000000)*D9777,0)</f>
      </c>
    </row>
    <row r="9778" spans="1:13" x14ac:dyDescent="0.25">
      <c r="A9778" s="16"/>
      <c r="E9778" s="27"/>
      <c r="F9778" t="s">
        <v>26</v>
      </c>
      <c r="G9778" s="28">
        <f>IFERROR(VLOOKUP(F9778,CARTON_LOOKUP!$A:$E,3,0),"")</f>
      </c>
      <c r="H9778" s="28">
        <f>IFERROR(VLOOKUP(F9778,CARTON_LOOKUP!$A:$E,4,0),"")</f>
      </c>
      <c r="I9778" s="28">
        <f>IFERROR(VLOOKUP(F9778,CARTON_LOOKUP!$A:$E,5,0),"")</f>
      </c>
      <c r="J9778" s="29">
        <f>IFERROR(VLOOKUP(F9778,CARTON_LOOKUP!$A:$E,2,0),"")</f>
      </c>
      <c r="K9778" s="29">
        <f>IFERROR(J9778*D9778,0)</f>
      </c>
      <c r="L9778" s="29">
        <f>IFERROR(E9778*C9778,0)</f>
      </c>
      <c r="M9778" s="29">
        <f>IFERROR((G9778*H9778*I9778/1000000)*D9778,0)</f>
      </c>
    </row>
    <row r="9779" spans="1:13" x14ac:dyDescent="0.25">
      <c r="A9779" s="16"/>
      <c r="E9779" s="27"/>
      <c r="F9779" t="s">
        <v>26</v>
      </c>
      <c r="G9779" s="28">
        <f>IFERROR(VLOOKUP(F9779,CARTON_LOOKUP!$A:$E,3,0),"")</f>
      </c>
      <c r="H9779" s="28">
        <f>IFERROR(VLOOKUP(F9779,CARTON_LOOKUP!$A:$E,4,0),"")</f>
      </c>
      <c r="I9779" s="28">
        <f>IFERROR(VLOOKUP(F9779,CARTON_LOOKUP!$A:$E,5,0),"")</f>
      </c>
      <c r="J9779" s="29">
        <f>IFERROR(VLOOKUP(F9779,CARTON_LOOKUP!$A:$E,2,0),"")</f>
      </c>
      <c r="K9779" s="29">
        <f>IFERROR(J9779*D9779,0)</f>
      </c>
      <c r="L9779" s="29">
        <f>IFERROR(E9779*C9779,0)</f>
      </c>
      <c r="M9779" s="29">
        <f>IFERROR((G9779*H9779*I9779/1000000)*D9779,0)</f>
      </c>
    </row>
    <row r="9780" spans="1:13" x14ac:dyDescent="0.25">
      <c r="A9780" s="16"/>
      <c r="E9780" s="27"/>
      <c r="F9780" t="s">
        <v>26</v>
      </c>
      <c r="G9780" s="28">
        <f>IFERROR(VLOOKUP(F9780,CARTON_LOOKUP!$A:$E,3,0),"")</f>
      </c>
      <c r="H9780" s="28">
        <f>IFERROR(VLOOKUP(F9780,CARTON_LOOKUP!$A:$E,4,0),"")</f>
      </c>
      <c r="I9780" s="28">
        <f>IFERROR(VLOOKUP(F9780,CARTON_LOOKUP!$A:$E,5,0),"")</f>
      </c>
      <c r="J9780" s="29">
        <f>IFERROR(VLOOKUP(F9780,CARTON_LOOKUP!$A:$E,2,0),"")</f>
      </c>
      <c r="K9780" s="29">
        <f>IFERROR(J9780*D9780,0)</f>
      </c>
      <c r="L9780" s="29">
        <f>IFERROR(E9780*C9780,0)</f>
      </c>
      <c r="M9780" s="29">
        <f>IFERROR((G9780*H9780*I9780/1000000)*D9780,0)</f>
      </c>
    </row>
    <row r="9781" spans="1:13" x14ac:dyDescent="0.25">
      <c r="A9781" s="16"/>
      <c r="E9781" s="27"/>
      <c r="F9781" t="s">
        <v>26</v>
      </c>
      <c r="G9781" s="28">
        <f>IFERROR(VLOOKUP(F9781,CARTON_LOOKUP!$A:$E,3,0),"")</f>
      </c>
      <c r="H9781" s="28">
        <f>IFERROR(VLOOKUP(F9781,CARTON_LOOKUP!$A:$E,4,0),"")</f>
      </c>
      <c r="I9781" s="28">
        <f>IFERROR(VLOOKUP(F9781,CARTON_LOOKUP!$A:$E,5,0),"")</f>
      </c>
      <c r="J9781" s="29">
        <f>IFERROR(VLOOKUP(F9781,CARTON_LOOKUP!$A:$E,2,0),"")</f>
      </c>
      <c r="K9781" s="29">
        <f>IFERROR(J9781*D9781,0)</f>
      </c>
      <c r="L9781" s="29">
        <f>IFERROR(E9781*C9781,0)</f>
      </c>
      <c r="M9781" s="29">
        <f>IFERROR((G9781*H9781*I9781/1000000)*D9781,0)</f>
      </c>
    </row>
    <row r="9782" spans="1:13" x14ac:dyDescent="0.25">
      <c r="A9782" s="16"/>
      <c r="E9782" s="27"/>
      <c r="F9782" t="s">
        <v>26</v>
      </c>
      <c r="G9782" s="28">
        <f>IFERROR(VLOOKUP(F9782,CARTON_LOOKUP!$A:$E,3,0),"")</f>
      </c>
      <c r="H9782" s="28">
        <f>IFERROR(VLOOKUP(F9782,CARTON_LOOKUP!$A:$E,4,0),"")</f>
      </c>
      <c r="I9782" s="28">
        <f>IFERROR(VLOOKUP(F9782,CARTON_LOOKUP!$A:$E,5,0),"")</f>
      </c>
      <c r="J9782" s="29">
        <f>IFERROR(VLOOKUP(F9782,CARTON_LOOKUP!$A:$E,2,0),"")</f>
      </c>
      <c r="K9782" s="29">
        <f>IFERROR(J9782*D9782,0)</f>
      </c>
      <c r="L9782" s="29">
        <f>IFERROR(E9782*C9782,0)</f>
      </c>
      <c r="M9782" s="29">
        <f>IFERROR((G9782*H9782*I9782/1000000)*D9782,0)</f>
      </c>
    </row>
    <row r="9783" spans="1:13" x14ac:dyDescent="0.25">
      <c r="A9783" s="16"/>
      <c r="E9783" s="27"/>
      <c r="F9783" t="s">
        <v>26</v>
      </c>
      <c r="G9783" s="28">
        <f>IFERROR(VLOOKUP(F9783,CARTON_LOOKUP!$A:$E,3,0),"")</f>
      </c>
      <c r="H9783" s="28">
        <f>IFERROR(VLOOKUP(F9783,CARTON_LOOKUP!$A:$E,4,0),"")</f>
      </c>
      <c r="I9783" s="28">
        <f>IFERROR(VLOOKUP(F9783,CARTON_LOOKUP!$A:$E,5,0),"")</f>
      </c>
      <c r="J9783" s="29">
        <f>IFERROR(VLOOKUP(F9783,CARTON_LOOKUP!$A:$E,2,0),"")</f>
      </c>
      <c r="K9783" s="29">
        <f>IFERROR(J9783*D9783,0)</f>
      </c>
      <c r="L9783" s="29">
        <f>IFERROR(E9783*C9783,0)</f>
      </c>
      <c r="M9783" s="29">
        <f>IFERROR((G9783*H9783*I9783/1000000)*D9783,0)</f>
      </c>
    </row>
    <row r="9784" spans="1:13" x14ac:dyDescent="0.25">
      <c r="A9784" s="16"/>
      <c r="E9784" s="27"/>
      <c r="F9784" t="s">
        <v>26</v>
      </c>
      <c r="G9784" s="28">
        <f>IFERROR(VLOOKUP(F9784,CARTON_LOOKUP!$A:$E,3,0),"")</f>
      </c>
      <c r="H9784" s="28">
        <f>IFERROR(VLOOKUP(F9784,CARTON_LOOKUP!$A:$E,4,0),"")</f>
      </c>
      <c r="I9784" s="28">
        <f>IFERROR(VLOOKUP(F9784,CARTON_LOOKUP!$A:$E,5,0),"")</f>
      </c>
      <c r="J9784" s="29">
        <f>IFERROR(VLOOKUP(F9784,CARTON_LOOKUP!$A:$E,2,0),"")</f>
      </c>
      <c r="K9784" s="29">
        <f>IFERROR(J9784*D9784,0)</f>
      </c>
      <c r="L9784" s="29">
        <f>IFERROR(E9784*C9784,0)</f>
      </c>
      <c r="M9784" s="29">
        <f>IFERROR((G9784*H9784*I9784/1000000)*D9784,0)</f>
      </c>
    </row>
    <row r="9785" spans="1:13" x14ac:dyDescent="0.25">
      <c r="A9785" s="16"/>
      <c r="E9785" s="27"/>
      <c r="F9785" t="s">
        <v>26</v>
      </c>
      <c r="G9785" s="28">
        <f>IFERROR(VLOOKUP(F9785,CARTON_LOOKUP!$A:$E,3,0),"")</f>
      </c>
      <c r="H9785" s="28">
        <f>IFERROR(VLOOKUP(F9785,CARTON_LOOKUP!$A:$E,4,0),"")</f>
      </c>
      <c r="I9785" s="28">
        <f>IFERROR(VLOOKUP(F9785,CARTON_LOOKUP!$A:$E,5,0),"")</f>
      </c>
      <c r="J9785" s="29">
        <f>IFERROR(VLOOKUP(F9785,CARTON_LOOKUP!$A:$E,2,0),"")</f>
      </c>
      <c r="K9785" s="29">
        <f>IFERROR(J9785*D9785,0)</f>
      </c>
      <c r="L9785" s="29">
        <f>IFERROR(E9785*C9785,0)</f>
      </c>
      <c r="M9785" s="29">
        <f>IFERROR((G9785*H9785*I9785/1000000)*D9785,0)</f>
      </c>
    </row>
    <row r="9786" spans="1:13" x14ac:dyDescent="0.25">
      <c r="A9786" s="16"/>
      <c r="E9786" s="27"/>
      <c r="F9786" t="s">
        <v>26</v>
      </c>
      <c r="G9786" s="28">
        <f>IFERROR(VLOOKUP(F9786,CARTON_LOOKUP!$A:$E,3,0),"")</f>
      </c>
      <c r="H9786" s="28">
        <f>IFERROR(VLOOKUP(F9786,CARTON_LOOKUP!$A:$E,4,0),"")</f>
      </c>
      <c r="I9786" s="28">
        <f>IFERROR(VLOOKUP(F9786,CARTON_LOOKUP!$A:$E,5,0),"")</f>
      </c>
      <c r="J9786" s="29">
        <f>IFERROR(VLOOKUP(F9786,CARTON_LOOKUP!$A:$E,2,0),"")</f>
      </c>
      <c r="K9786" s="29">
        <f>IFERROR(J9786*D9786,0)</f>
      </c>
      <c r="L9786" s="29">
        <f>IFERROR(E9786*C9786,0)</f>
      </c>
      <c r="M9786" s="29">
        <f>IFERROR((G9786*H9786*I9786/1000000)*D9786,0)</f>
      </c>
    </row>
    <row r="9787" spans="1:13" x14ac:dyDescent="0.25">
      <c r="A9787" s="16"/>
      <c r="E9787" s="27"/>
      <c r="F9787" t="s">
        <v>26</v>
      </c>
      <c r="G9787" s="28">
        <f>IFERROR(VLOOKUP(F9787,CARTON_LOOKUP!$A:$E,3,0),"")</f>
      </c>
      <c r="H9787" s="28">
        <f>IFERROR(VLOOKUP(F9787,CARTON_LOOKUP!$A:$E,4,0),"")</f>
      </c>
      <c r="I9787" s="28">
        <f>IFERROR(VLOOKUP(F9787,CARTON_LOOKUP!$A:$E,5,0),"")</f>
      </c>
      <c r="J9787" s="29">
        <f>IFERROR(VLOOKUP(F9787,CARTON_LOOKUP!$A:$E,2,0),"")</f>
      </c>
      <c r="K9787" s="29">
        <f>IFERROR(J9787*D9787,0)</f>
      </c>
      <c r="L9787" s="29">
        <f>IFERROR(E9787*C9787,0)</f>
      </c>
      <c r="M9787" s="29">
        <f>IFERROR((G9787*H9787*I9787/1000000)*D9787,0)</f>
      </c>
    </row>
    <row r="9788" spans="1:13" x14ac:dyDescent="0.25">
      <c r="A9788" s="16"/>
      <c r="E9788" s="27"/>
      <c r="F9788" t="s">
        <v>26</v>
      </c>
      <c r="G9788" s="28">
        <f>IFERROR(VLOOKUP(F9788,CARTON_LOOKUP!$A:$E,3,0),"")</f>
      </c>
      <c r="H9788" s="28">
        <f>IFERROR(VLOOKUP(F9788,CARTON_LOOKUP!$A:$E,4,0),"")</f>
      </c>
      <c r="I9788" s="28">
        <f>IFERROR(VLOOKUP(F9788,CARTON_LOOKUP!$A:$E,5,0),"")</f>
      </c>
      <c r="J9788" s="29">
        <f>IFERROR(VLOOKUP(F9788,CARTON_LOOKUP!$A:$E,2,0),"")</f>
      </c>
      <c r="K9788" s="29">
        <f>IFERROR(J9788*D9788,0)</f>
      </c>
      <c r="L9788" s="29">
        <f>IFERROR(E9788*C9788,0)</f>
      </c>
      <c r="M9788" s="29">
        <f>IFERROR((G9788*H9788*I9788/1000000)*D9788,0)</f>
      </c>
    </row>
    <row r="9789" spans="1:13" x14ac:dyDescent="0.25">
      <c r="A9789" s="16"/>
      <c r="E9789" s="27"/>
      <c r="F9789" t="s">
        <v>26</v>
      </c>
      <c r="G9789" s="28">
        <f>IFERROR(VLOOKUP(F9789,CARTON_LOOKUP!$A:$E,3,0),"")</f>
      </c>
      <c r="H9789" s="28">
        <f>IFERROR(VLOOKUP(F9789,CARTON_LOOKUP!$A:$E,4,0),"")</f>
      </c>
      <c r="I9789" s="28">
        <f>IFERROR(VLOOKUP(F9789,CARTON_LOOKUP!$A:$E,5,0),"")</f>
      </c>
      <c r="J9789" s="29">
        <f>IFERROR(VLOOKUP(F9789,CARTON_LOOKUP!$A:$E,2,0),"")</f>
      </c>
      <c r="K9789" s="29">
        <f>IFERROR(J9789*D9789,0)</f>
      </c>
      <c r="L9789" s="29">
        <f>IFERROR(E9789*C9789,0)</f>
      </c>
      <c r="M9789" s="29">
        <f>IFERROR((G9789*H9789*I9789/1000000)*D9789,0)</f>
      </c>
    </row>
    <row r="9790" spans="1:13" x14ac:dyDescent="0.25">
      <c r="A9790" s="16"/>
      <c r="E9790" s="27"/>
      <c r="F9790" t="s">
        <v>26</v>
      </c>
      <c r="G9790" s="28">
        <f>IFERROR(VLOOKUP(F9790,CARTON_LOOKUP!$A:$E,3,0),"")</f>
      </c>
      <c r="H9790" s="28">
        <f>IFERROR(VLOOKUP(F9790,CARTON_LOOKUP!$A:$E,4,0),"")</f>
      </c>
      <c r="I9790" s="28">
        <f>IFERROR(VLOOKUP(F9790,CARTON_LOOKUP!$A:$E,5,0),"")</f>
      </c>
      <c r="J9790" s="29">
        <f>IFERROR(VLOOKUP(F9790,CARTON_LOOKUP!$A:$E,2,0),"")</f>
      </c>
      <c r="K9790" s="29">
        <f>IFERROR(J9790*D9790,0)</f>
      </c>
      <c r="L9790" s="29">
        <f>IFERROR(E9790*C9790,0)</f>
      </c>
      <c r="M9790" s="29">
        <f>IFERROR((G9790*H9790*I9790/1000000)*D9790,0)</f>
      </c>
    </row>
    <row r="9791" spans="1:13" x14ac:dyDescent="0.25">
      <c r="A9791" s="16"/>
      <c r="E9791" s="27"/>
      <c r="F9791" t="s">
        <v>26</v>
      </c>
      <c r="G9791" s="28">
        <f>IFERROR(VLOOKUP(F9791,CARTON_LOOKUP!$A:$E,3,0),"")</f>
      </c>
      <c r="H9791" s="28">
        <f>IFERROR(VLOOKUP(F9791,CARTON_LOOKUP!$A:$E,4,0),"")</f>
      </c>
      <c r="I9791" s="28">
        <f>IFERROR(VLOOKUP(F9791,CARTON_LOOKUP!$A:$E,5,0),"")</f>
      </c>
      <c r="J9791" s="29">
        <f>IFERROR(VLOOKUP(F9791,CARTON_LOOKUP!$A:$E,2,0),"")</f>
      </c>
      <c r="K9791" s="29">
        <f>IFERROR(J9791*D9791,0)</f>
      </c>
      <c r="L9791" s="29">
        <f>IFERROR(E9791*C9791,0)</f>
      </c>
      <c r="M9791" s="29">
        <f>IFERROR((G9791*H9791*I9791/1000000)*D9791,0)</f>
      </c>
    </row>
    <row r="9792" spans="1:13" x14ac:dyDescent="0.25">
      <c r="A9792" s="16"/>
      <c r="E9792" s="27"/>
      <c r="F9792" t="s">
        <v>26</v>
      </c>
      <c r="G9792" s="28">
        <f>IFERROR(VLOOKUP(F9792,CARTON_LOOKUP!$A:$E,3,0),"")</f>
      </c>
      <c r="H9792" s="28">
        <f>IFERROR(VLOOKUP(F9792,CARTON_LOOKUP!$A:$E,4,0),"")</f>
      </c>
      <c r="I9792" s="28">
        <f>IFERROR(VLOOKUP(F9792,CARTON_LOOKUP!$A:$E,5,0),"")</f>
      </c>
      <c r="J9792" s="29">
        <f>IFERROR(VLOOKUP(F9792,CARTON_LOOKUP!$A:$E,2,0),"")</f>
      </c>
      <c r="K9792" s="29">
        <f>IFERROR(J9792*D9792,0)</f>
      </c>
      <c r="L9792" s="29">
        <f>IFERROR(E9792*C9792,0)</f>
      </c>
      <c r="M9792" s="29">
        <f>IFERROR((G9792*H9792*I9792/1000000)*D9792,0)</f>
      </c>
    </row>
    <row r="9793" spans="1:13" x14ac:dyDescent="0.25">
      <c r="A9793" s="16"/>
      <c r="E9793" s="27"/>
      <c r="F9793" t="s">
        <v>26</v>
      </c>
      <c r="G9793" s="28">
        <f>IFERROR(VLOOKUP(F9793,CARTON_LOOKUP!$A:$E,3,0),"")</f>
      </c>
      <c r="H9793" s="28">
        <f>IFERROR(VLOOKUP(F9793,CARTON_LOOKUP!$A:$E,4,0),"")</f>
      </c>
      <c r="I9793" s="28">
        <f>IFERROR(VLOOKUP(F9793,CARTON_LOOKUP!$A:$E,5,0),"")</f>
      </c>
      <c r="J9793" s="29">
        <f>IFERROR(VLOOKUP(F9793,CARTON_LOOKUP!$A:$E,2,0),"")</f>
      </c>
      <c r="K9793" s="29">
        <f>IFERROR(J9793*D9793,0)</f>
      </c>
      <c r="L9793" s="29">
        <f>IFERROR(E9793*C9793,0)</f>
      </c>
      <c r="M9793" s="29">
        <f>IFERROR((G9793*H9793*I9793/1000000)*D9793,0)</f>
      </c>
    </row>
    <row r="9794" spans="1:13" x14ac:dyDescent="0.25">
      <c r="A9794" s="16"/>
      <c r="E9794" s="27"/>
      <c r="F9794" t="s">
        <v>26</v>
      </c>
      <c r="G9794" s="28">
        <f>IFERROR(VLOOKUP(F9794,CARTON_LOOKUP!$A:$E,3,0),"")</f>
      </c>
      <c r="H9794" s="28">
        <f>IFERROR(VLOOKUP(F9794,CARTON_LOOKUP!$A:$E,4,0),"")</f>
      </c>
      <c r="I9794" s="28">
        <f>IFERROR(VLOOKUP(F9794,CARTON_LOOKUP!$A:$E,5,0),"")</f>
      </c>
      <c r="J9794" s="29">
        <f>IFERROR(VLOOKUP(F9794,CARTON_LOOKUP!$A:$E,2,0),"")</f>
      </c>
      <c r="K9794" s="29">
        <f>IFERROR(J9794*D9794,0)</f>
      </c>
      <c r="L9794" s="29">
        <f>IFERROR(E9794*C9794,0)</f>
      </c>
      <c r="M9794" s="29">
        <f>IFERROR((G9794*H9794*I9794/1000000)*D9794,0)</f>
      </c>
    </row>
    <row r="9795" spans="1:13" x14ac:dyDescent="0.25">
      <c r="A9795" s="16"/>
      <c r="E9795" s="27"/>
      <c r="F9795" t="s">
        <v>26</v>
      </c>
      <c r="G9795" s="28">
        <f>IFERROR(VLOOKUP(F9795,CARTON_LOOKUP!$A:$E,3,0),"")</f>
      </c>
      <c r="H9795" s="28">
        <f>IFERROR(VLOOKUP(F9795,CARTON_LOOKUP!$A:$E,4,0),"")</f>
      </c>
      <c r="I9795" s="28">
        <f>IFERROR(VLOOKUP(F9795,CARTON_LOOKUP!$A:$E,5,0),"")</f>
      </c>
      <c r="J9795" s="29">
        <f>IFERROR(VLOOKUP(F9795,CARTON_LOOKUP!$A:$E,2,0),"")</f>
      </c>
      <c r="K9795" s="29">
        <f>IFERROR(J9795*D9795,0)</f>
      </c>
      <c r="L9795" s="29">
        <f>IFERROR(E9795*C9795,0)</f>
      </c>
      <c r="M9795" s="29">
        <f>IFERROR((G9795*H9795*I9795/1000000)*D9795,0)</f>
      </c>
    </row>
    <row r="9796" spans="1:13" x14ac:dyDescent="0.25">
      <c r="A9796" s="16"/>
      <c r="E9796" s="27"/>
      <c r="F9796" t="s">
        <v>26</v>
      </c>
      <c r="G9796" s="28">
        <f>IFERROR(VLOOKUP(F9796,CARTON_LOOKUP!$A:$E,3,0),"")</f>
      </c>
      <c r="H9796" s="28">
        <f>IFERROR(VLOOKUP(F9796,CARTON_LOOKUP!$A:$E,4,0),"")</f>
      </c>
      <c r="I9796" s="28">
        <f>IFERROR(VLOOKUP(F9796,CARTON_LOOKUP!$A:$E,5,0),"")</f>
      </c>
      <c r="J9796" s="29">
        <f>IFERROR(VLOOKUP(F9796,CARTON_LOOKUP!$A:$E,2,0),"")</f>
      </c>
      <c r="K9796" s="29">
        <f>IFERROR(J9796*D9796,0)</f>
      </c>
      <c r="L9796" s="29">
        <f>IFERROR(E9796*C9796,0)</f>
      </c>
      <c r="M9796" s="29">
        <f>IFERROR((G9796*H9796*I9796/1000000)*D9796,0)</f>
      </c>
    </row>
    <row r="9797" spans="1:13" x14ac:dyDescent="0.25">
      <c r="A9797" s="16"/>
      <c r="E9797" s="27"/>
      <c r="F9797" t="s">
        <v>26</v>
      </c>
      <c r="G9797" s="28">
        <f>IFERROR(VLOOKUP(F9797,CARTON_LOOKUP!$A:$E,3,0),"")</f>
      </c>
      <c r="H9797" s="28">
        <f>IFERROR(VLOOKUP(F9797,CARTON_LOOKUP!$A:$E,4,0),"")</f>
      </c>
      <c r="I9797" s="28">
        <f>IFERROR(VLOOKUP(F9797,CARTON_LOOKUP!$A:$E,5,0),"")</f>
      </c>
      <c r="J9797" s="29">
        <f>IFERROR(VLOOKUP(F9797,CARTON_LOOKUP!$A:$E,2,0),"")</f>
      </c>
      <c r="K9797" s="29">
        <f>IFERROR(J9797*D9797,0)</f>
      </c>
      <c r="L9797" s="29">
        <f>IFERROR(E9797*C9797,0)</f>
      </c>
      <c r="M9797" s="29">
        <f>IFERROR((G9797*H9797*I9797/1000000)*D9797,0)</f>
      </c>
    </row>
    <row r="9798" spans="1:13" x14ac:dyDescent="0.25">
      <c r="A9798" s="16"/>
      <c r="E9798" s="27"/>
      <c r="F9798" t="s">
        <v>26</v>
      </c>
      <c r="G9798" s="28">
        <f>IFERROR(VLOOKUP(F9798,CARTON_LOOKUP!$A:$E,3,0),"")</f>
      </c>
      <c r="H9798" s="28">
        <f>IFERROR(VLOOKUP(F9798,CARTON_LOOKUP!$A:$E,4,0),"")</f>
      </c>
      <c r="I9798" s="28">
        <f>IFERROR(VLOOKUP(F9798,CARTON_LOOKUP!$A:$E,5,0),"")</f>
      </c>
      <c r="J9798" s="29">
        <f>IFERROR(VLOOKUP(F9798,CARTON_LOOKUP!$A:$E,2,0),"")</f>
      </c>
      <c r="K9798" s="29">
        <f>IFERROR(J9798*D9798,0)</f>
      </c>
      <c r="L9798" s="29">
        <f>IFERROR(E9798*C9798,0)</f>
      </c>
      <c r="M9798" s="29">
        <f>IFERROR((G9798*H9798*I9798/1000000)*D9798,0)</f>
      </c>
    </row>
    <row r="9799" spans="1:13" x14ac:dyDescent="0.25">
      <c r="A9799" s="16"/>
      <c r="E9799" s="27"/>
      <c r="F9799" t="s">
        <v>26</v>
      </c>
      <c r="G9799" s="28">
        <f>IFERROR(VLOOKUP(F9799,CARTON_LOOKUP!$A:$E,3,0),"")</f>
      </c>
      <c r="H9799" s="28">
        <f>IFERROR(VLOOKUP(F9799,CARTON_LOOKUP!$A:$E,4,0),"")</f>
      </c>
      <c r="I9799" s="28">
        <f>IFERROR(VLOOKUP(F9799,CARTON_LOOKUP!$A:$E,5,0),"")</f>
      </c>
      <c r="J9799" s="29">
        <f>IFERROR(VLOOKUP(F9799,CARTON_LOOKUP!$A:$E,2,0),"")</f>
      </c>
      <c r="K9799" s="29">
        <f>IFERROR(J9799*D9799,0)</f>
      </c>
      <c r="L9799" s="29">
        <f>IFERROR(E9799*C9799,0)</f>
      </c>
      <c r="M9799" s="29">
        <f>IFERROR((G9799*H9799*I9799/1000000)*D9799,0)</f>
      </c>
    </row>
    <row r="9800" spans="1:13" x14ac:dyDescent="0.25">
      <c r="A9800" s="16"/>
      <c r="E9800" s="27"/>
      <c r="F9800" t="s">
        <v>26</v>
      </c>
      <c r="G9800" s="28">
        <f>IFERROR(VLOOKUP(F9800,CARTON_LOOKUP!$A:$E,3,0),"")</f>
      </c>
      <c r="H9800" s="28">
        <f>IFERROR(VLOOKUP(F9800,CARTON_LOOKUP!$A:$E,4,0),"")</f>
      </c>
      <c r="I9800" s="28">
        <f>IFERROR(VLOOKUP(F9800,CARTON_LOOKUP!$A:$E,5,0),"")</f>
      </c>
      <c r="J9800" s="29">
        <f>IFERROR(VLOOKUP(F9800,CARTON_LOOKUP!$A:$E,2,0),"")</f>
      </c>
      <c r="K9800" s="29">
        <f>IFERROR(J9800*D9800,0)</f>
      </c>
      <c r="L9800" s="29">
        <f>IFERROR(E9800*C9800,0)</f>
      </c>
      <c r="M9800" s="29">
        <f>IFERROR((G9800*H9800*I9800/1000000)*D9800,0)</f>
      </c>
    </row>
    <row r="9801" spans="1:13" x14ac:dyDescent="0.25">
      <c r="A9801" s="16"/>
      <c r="E9801" s="27"/>
      <c r="F9801" t="s">
        <v>26</v>
      </c>
      <c r="G9801" s="28">
        <f>IFERROR(VLOOKUP(F9801,CARTON_LOOKUP!$A:$E,3,0),"")</f>
      </c>
      <c r="H9801" s="28">
        <f>IFERROR(VLOOKUP(F9801,CARTON_LOOKUP!$A:$E,4,0),"")</f>
      </c>
      <c r="I9801" s="28">
        <f>IFERROR(VLOOKUP(F9801,CARTON_LOOKUP!$A:$E,5,0),"")</f>
      </c>
      <c r="J9801" s="29">
        <f>IFERROR(VLOOKUP(F9801,CARTON_LOOKUP!$A:$E,2,0),"")</f>
      </c>
      <c r="K9801" s="29">
        <f>IFERROR(J9801*D9801,0)</f>
      </c>
      <c r="L9801" s="29">
        <f>IFERROR(E9801*C9801,0)</f>
      </c>
      <c r="M9801" s="29">
        <f>IFERROR((G9801*H9801*I9801/1000000)*D9801,0)</f>
      </c>
    </row>
    <row r="9802" spans="1:13" x14ac:dyDescent="0.25">
      <c r="A9802" s="16"/>
      <c r="E9802" s="27"/>
      <c r="F9802" t="s">
        <v>26</v>
      </c>
      <c r="G9802" s="28">
        <f>IFERROR(VLOOKUP(F9802,CARTON_LOOKUP!$A:$E,3,0),"")</f>
      </c>
      <c r="H9802" s="28">
        <f>IFERROR(VLOOKUP(F9802,CARTON_LOOKUP!$A:$E,4,0),"")</f>
      </c>
      <c r="I9802" s="28">
        <f>IFERROR(VLOOKUP(F9802,CARTON_LOOKUP!$A:$E,5,0),"")</f>
      </c>
      <c r="J9802" s="29">
        <f>IFERROR(VLOOKUP(F9802,CARTON_LOOKUP!$A:$E,2,0),"")</f>
      </c>
      <c r="K9802" s="29">
        <f>IFERROR(J9802*D9802,0)</f>
      </c>
      <c r="L9802" s="29">
        <f>IFERROR(E9802*C9802,0)</f>
      </c>
      <c r="M9802" s="29">
        <f>IFERROR((G9802*H9802*I9802/1000000)*D9802,0)</f>
      </c>
    </row>
    <row r="9803" spans="1:13" x14ac:dyDescent="0.25">
      <c r="A9803" s="16"/>
      <c r="E9803" s="27"/>
      <c r="F9803" t="s">
        <v>26</v>
      </c>
      <c r="G9803" s="28">
        <f>IFERROR(VLOOKUP(F9803,CARTON_LOOKUP!$A:$E,3,0),"")</f>
      </c>
      <c r="H9803" s="28">
        <f>IFERROR(VLOOKUP(F9803,CARTON_LOOKUP!$A:$E,4,0),"")</f>
      </c>
      <c r="I9803" s="28">
        <f>IFERROR(VLOOKUP(F9803,CARTON_LOOKUP!$A:$E,5,0),"")</f>
      </c>
      <c r="J9803" s="29">
        <f>IFERROR(VLOOKUP(F9803,CARTON_LOOKUP!$A:$E,2,0),"")</f>
      </c>
      <c r="K9803" s="29">
        <f>IFERROR(J9803*D9803,0)</f>
      </c>
      <c r="L9803" s="29">
        <f>IFERROR(E9803*C9803,0)</f>
      </c>
      <c r="M9803" s="29">
        <f>IFERROR((G9803*H9803*I9803/1000000)*D9803,0)</f>
      </c>
    </row>
    <row r="9804" spans="1:13" x14ac:dyDescent="0.25">
      <c r="A9804" s="16"/>
      <c r="E9804" s="27"/>
      <c r="F9804" t="s">
        <v>26</v>
      </c>
      <c r="G9804" s="28">
        <f>IFERROR(VLOOKUP(F9804,CARTON_LOOKUP!$A:$E,3,0),"")</f>
      </c>
      <c r="H9804" s="28">
        <f>IFERROR(VLOOKUP(F9804,CARTON_LOOKUP!$A:$E,4,0),"")</f>
      </c>
      <c r="I9804" s="28">
        <f>IFERROR(VLOOKUP(F9804,CARTON_LOOKUP!$A:$E,5,0),"")</f>
      </c>
      <c r="J9804" s="29">
        <f>IFERROR(VLOOKUP(F9804,CARTON_LOOKUP!$A:$E,2,0),"")</f>
      </c>
      <c r="K9804" s="29">
        <f>IFERROR(J9804*D9804,0)</f>
      </c>
      <c r="L9804" s="29">
        <f>IFERROR(E9804*C9804,0)</f>
      </c>
      <c r="M9804" s="29">
        <f>IFERROR((G9804*H9804*I9804/1000000)*D9804,0)</f>
      </c>
    </row>
    <row r="9805" spans="1:13" x14ac:dyDescent="0.25">
      <c r="A9805" s="16"/>
      <c r="E9805" s="27"/>
      <c r="F9805" t="s">
        <v>26</v>
      </c>
      <c r="G9805" s="28">
        <f>IFERROR(VLOOKUP(F9805,CARTON_LOOKUP!$A:$E,3,0),"")</f>
      </c>
      <c r="H9805" s="28">
        <f>IFERROR(VLOOKUP(F9805,CARTON_LOOKUP!$A:$E,4,0),"")</f>
      </c>
      <c r="I9805" s="28">
        <f>IFERROR(VLOOKUP(F9805,CARTON_LOOKUP!$A:$E,5,0),"")</f>
      </c>
      <c r="J9805" s="29">
        <f>IFERROR(VLOOKUP(F9805,CARTON_LOOKUP!$A:$E,2,0),"")</f>
      </c>
      <c r="K9805" s="29">
        <f>IFERROR(J9805*D9805,0)</f>
      </c>
      <c r="L9805" s="29">
        <f>IFERROR(E9805*C9805,0)</f>
      </c>
      <c r="M9805" s="29">
        <f>IFERROR((G9805*H9805*I9805/1000000)*D9805,0)</f>
      </c>
    </row>
    <row r="9806" spans="1:13" x14ac:dyDescent="0.25">
      <c r="A9806" s="16"/>
      <c r="E9806" s="27"/>
      <c r="F9806" t="s">
        <v>26</v>
      </c>
      <c r="G9806" s="28">
        <f>IFERROR(VLOOKUP(F9806,CARTON_LOOKUP!$A:$E,3,0),"")</f>
      </c>
      <c r="H9806" s="28">
        <f>IFERROR(VLOOKUP(F9806,CARTON_LOOKUP!$A:$E,4,0),"")</f>
      </c>
      <c r="I9806" s="28">
        <f>IFERROR(VLOOKUP(F9806,CARTON_LOOKUP!$A:$E,5,0),"")</f>
      </c>
      <c r="J9806" s="29">
        <f>IFERROR(VLOOKUP(F9806,CARTON_LOOKUP!$A:$E,2,0),"")</f>
      </c>
      <c r="K9806" s="29">
        <f>IFERROR(J9806*D9806,0)</f>
      </c>
      <c r="L9806" s="29">
        <f>IFERROR(E9806*C9806,0)</f>
      </c>
      <c r="M9806" s="29">
        <f>IFERROR((G9806*H9806*I9806/1000000)*D9806,0)</f>
      </c>
    </row>
    <row r="9807" spans="1:13" x14ac:dyDescent="0.25">
      <c r="A9807" s="16"/>
      <c r="E9807" s="27"/>
      <c r="F9807" t="s">
        <v>26</v>
      </c>
      <c r="G9807" s="28">
        <f>IFERROR(VLOOKUP(F9807,CARTON_LOOKUP!$A:$E,3,0),"")</f>
      </c>
      <c r="H9807" s="28">
        <f>IFERROR(VLOOKUP(F9807,CARTON_LOOKUP!$A:$E,4,0),"")</f>
      </c>
      <c r="I9807" s="28">
        <f>IFERROR(VLOOKUP(F9807,CARTON_LOOKUP!$A:$E,5,0),"")</f>
      </c>
      <c r="J9807" s="29">
        <f>IFERROR(VLOOKUP(F9807,CARTON_LOOKUP!$A:$E,2,0),"")</f>
      </c>
      <c r="K9807" s="29">
        <f>IFERROR(J9807*D9807,0)</f>
      </c>
      <c r="L9807" s="29">
        <f>IFERROR(E9807*C9807,0)</f>
      </c>
      <c r="M9807" s="29">
        <f>IFERROR((G9807*H9807*I9807/1000000)*D9807,0)</f>
      </c>
    </row>
    <row r="9808" spans="1:13" x14ac:dyDescent="0.25">
      <c r="A9808" s="16"/>
      <c r="E9808" s="27"/>
      <c r="F9808" t="s">
        <v>26</v>
      </c>
      <c r="G9808" s="28">
        <f>IFERROR(VLOOKUP(F9808,CARTON_LOOKUP!$A:$E,3,0),"")</f>
      </c>
      <c r="H9808" s="28">
        <f>IFERROR(VLOOKUP(F9808,CARTON_LOOKUP!$A:$E,4,0),"")</f>
      </c>
      <c r="I9808" s="28">
        <f>IFERROR(VLOOKUP(F9808,CARTON_LOOKUP!$A:$E,5,0),"")</f>
      </c>
      <c r="J9808" s="29">
        <f>IFERROR(VLOOKUP(F9808,CARTON_LOOKUP!$A:$E,2,0),"")</f>
      </c>
      <c r="K9808" s="29">
        <f>IFERROR(J9808*D9808,0)</f>
      </c>
      <c r="L9808" s="29">
        <f>IFERROR(E9808*C9808,0)</f>
      </c>
      <c r="M9808" s="29">
        <f>IFERROR((G9808*H9808*I9808/1000000)*D9808,0)</f>
      </c>
    </row>
    <row r="9809" spans="1:13" x14ac:dyDescent="0.25">
      <c r="A9809" s="16"/>
      <c r="E9809" s="27"/>
      <c r="F9809" t="s">
        <v>26</v>
      </c>
      <c r="G9809" s="28">
        <f>IFERROR(VLOOKUP(F9809,CARTON_LOOKUP!$A:$E,3,0),"")</f>
      </c>
      <c r="H9809" s="28">
        <f>IFERROR(VLOOKUP(F9809,CARTON_LOOKUP!$A:$E,4,0),"")</f>
      </c>
      <c r="I9809" s="28">
        <f>IFERROR(VLOOKUP(F9809,CARTON_LOOKUP!$A:$E,5,0),"")</f>
      </c>
      <c r="J9809" s="29">
        <f>IFERROR(VLOOKUP(F9809,CARTON_LOOKUP!$A:$E,2,0),"")</f>
      </c>
      <c r="K9809" s="29">
        <f>IFERROR(J9809*D9809,0)</f>
      </c>
      <c r="L9809" s="29">
        <f>IFERROR(E9809*C9809,0)</f>
      </c>
      <c r="M9809" s="29">
        <f>IFERROR((G9809*H9809*I9809/1000000)*D9809,0)</f>
      </c>
    </row>
    <row r="9810" spans="1:13" x14ac:dyDescent="0.25">
      <c r="A9810" s="16"/>
      <c r="E9810" s="27"/>
      <c r="F9810" t="s">
        <v>26</v>
      </c>
      <c r="G9810" s="28">
        <f>IFERROR(VLOOKUP(F9810,CARTON_LOOKUP!$A:$E,3,0),"")</f>
      </c>
      <c r="H9810" s="28">
        <f>IFERROR(VLOOKUP(F9810,CARTON_LOOKUP!$A:$E,4,0),"")</f>
      </c>
      <c r="I9810" s="28">
        <f>IFERROR(VLOOKUP(F9810,CARTON_LOOKUP!$A:$E,5,0),"")</f>
      </c>
      <c r="J9810" s="29">
        <f>IFERROR(VLOOKUP(F9810,CARTON_LOOKUP!$A:$E,2,0),"")</f>
      </c>
      <c r="K9810" s="29">
        <f>IFERROR(J9810*D9810,0)</f>
      </c>
      <c r="L9810" s="29">
        <f>IFERROR(E9810*C9810,0)</f>
      </c>
      <c r="M9810" s="29">
        <f>IFERROR((G9810*H9810*I9810/1000000)*D9810,0)</f>
      </c>
    </row>
    <row r="9811" spans="1:13" x14ac:dyDescent="0.25">
      <c r="A9811" s="16"/>
      <c r="E9811" s="27"/>
      <c r="F9811" t="s">
        <v>26</v>
      </c>
      <c r="G9811" s="28">
        <f>IFERROR(VLOOKUP(F9811,CARTON_LOOKUP!$A:$E,3,0),"")</f>
      </c>
      <c r="H9811" s="28">
        <f>IFERROR(VLOOKUP(F9811,CARTON_LOOKUP!$A:$E,4,0),"")</f>
      </c>
      <c r="I9811" s="28">
        <f>IFERROR(VLOOKUP(F9811,CARTON_LOOKUP!$A:$E,5,0),"")</f>
      </c>
      <c r="J9811" s="29">
        <f>IFERROR(VLOOKUP(F9811,CARTON_LOOKUP!$A:$E,2,0),"")</f>
      </c>
      <c r="K9811" s="29">
        <f>IFERROR(J9811*D9811,0)</f>
      </c>
      <c r="L9811" s="29">
        <f>IFERROR(E9811*C9811,0)</f>
      </c>
      <c r="M9811" s="29">
        <f>IFERROR((G9811*H9811*I9811/1000000)*D9811,0)</f>
      </c>
    </row>
    <row r="9812" spans="1:13" x14ac:dyDescent="0.25">
      <c r="A9812" s="16"/>
      <c r="E9812" s="27"/>
      <c r="F9812" t="s">
        <v>26</v>
      </c>
      <c r="G9812" s="28">
        <f>IFERROR(VLOOKUP(F9812,CARTON_LOOKUP!$A:$E,3,0),"")</f>
      </c>
      <c r="H9812" s="28">
        <f>IFERROR(VLOOKUP(F9812,CARTON_LOOKUP!$A:$E,4,0),"")</f>
      </c>
      <c r="I9812" s="28">
        <f>IFERROR(VLOOKUP(F9812,CARTON_LOOKUP!$A:$E,5,0),"")</f>
      </c>
      <c r="J9812" s="29">
        <f>IFERROR(VLOOKUP(F9812,CARTON_LOOKUP!$A:$E,2,0),"")</f>
      </c>
      <c r="K9812" s="29">
        <f>IFERROR(J9812*D9812,0)</f>
      </c>
      <c r="L9812" s="29">
        <f>IFERROR(E9812*C9812,0)</f>
      </c>
      <c r="M9812" s="29">
        <f>IFERROR((G9812*H9812*I9812/1000000)*D9812,0)</f>
      </c>
    </row>
    <row r="9813" spans="1:13" x14ac:dyDescent="0.25">
      <c r="A9813" s="16"/>
      <c r="E9813" s="27"/>
      <c r="F9813" t="s">
        <v>26</v>
      </c>
      <c r="G9813" s="28">
        <f>IFERROR(VLOOKUP(F9813,CARTON_LOOKUP!$A:$E,3,0),"")</f>
      </c>
      <c r="H9813" s="28">
        <f>IFERROR(VLOOKUP(F9813,CARTON_LOOKUP!$A:$E,4,0),"")</f>
      </c>
      <c r="I9813" s="28">
        <f>IFERROR(VLOOKUP(F9813,CARTON_LOOKUP!$A:$E,5,0),"")</f>
      </c>
      <c r="J9813" s="29">
        <f>IFERROR(VLOOKUP(F9813,CARTON_LOOKUP!$A:$E,2,0),"")</f>
      </c>
      <c r="K9813" s="29">
        <f>IFERROR(J9813*D9813,0)</f>
      </c>
      <c r="L9813" s="29">
        <f>IFERROR(E9813*C9813,0)</f>
      </c>
      <c r="M9813" s="29">
        <f>IFERROR((G9813*H9813*I9813/1000000)*D9813,0)</f>
      </c>
    </row>
    <row r="9814" spans="1:13" x14ac:dyDescent="0.25">
      <c r="A9814" s="16"/>
      <c r="E9814" s="27"/>
      <c r="F9814" t="s">
        <v>26</v>
      </c>
      <c r="G9814" s="28">
        <f>IFERROR(VLOOKUP(F9814,CARTON_LOOKUP!$A:$E,3,0),"")</f>
      </c>
      <c r="H9814" s="28">
        <f>IFERROR(VLOOKUP(F9814,CARTON_LOOKUP!$A:$E,4,0),"")</f>
      </c>
      <c r="I9814" s="28">
        <f>IFERROR(VLOOKUP(F9814,CARTON_LOOKUP!$A:$E,5,0),"")</f>
      </c>
      <c r="J9814" s="29">
        <f>IFERROR(VLOOKUP(F9814,CARTON_LOOKUP!$A:$E,2,0),"")</f>
      </c>
      <c r="K9814" s="29">
        <f>IFERROR(J9814*D9814,0)</f>
      </c>
      <c r="L9814" s="29">
        <f>IFERROR(E9814*C9814,0)</f>
      </c>
      <c r="M9814" s="29">
        <f>IFERROR((G9814*H9814*I9814/1000000)*D9814,0)</f>
      </c>
    </row>
    <row r="9815" spans="1:13" x14ac:dyDescent="0.25">
      <c r="A9815" s="16"/>
      <c r="E9815" s="27"/>
      <c r="F9815" t="s">
        <v>26</v>
      </c>
      <c r="G9815" s="28">
        <f>IFERROR(VLOOKUP(F9815,CARTON_LOOKUP!$A:$E,3,0),"")</f>
      </c>
      <c r="H9815" s="28">
        <f>IFERROR(VLOOKUP(F9815,CARTON_LOOKUP!$A:$E,4,0),"")</f>
      </c>
      <c r="I9815" s="28">
        <f>IFERROR(VLOOKUP(F9815,CARTON_LOOKUP!$A:$E,5,0),"")</f>
      </c>
      <c r="J9815" s="29">
        <f>IFERROR(VLOOKUP(F9815,CARTON_LOOKUP!$A:$E,2,0),"")</f>
      </c>
      <c r="K9815" s="29">
        <f>IFERROR(J9815*D9815,0)</f>
      </c>
      <c r="L9815" s="29">
        <f>IFERROR(E9815*C9815,0)</f>
      </c>
      <c r="M9815" s="29">
        <f>IFERROR((G9815*H9815*I9815/1000000)*D9815,0)</f>
      </c>
    </row>
    <row r="9816" spans="1:13" x14ac:dyDescent="0.25">
      <c r="A9816" s="16"/>
      <c r="E9816" s="27"/>
      <c r="F9816" t="s">
        <v>26</v>
      </c>
      <c r="G9816" s="28">
        <f>IFERROR(VLOOKUP(F9816,CARTON_LOOKUP!$A:$E,3,0),"")</f>
      </c>
      <c r="H9816" s="28">
        <f>IFERROR(VLOOKUP(F9816,CARTON_LOOKUP!$A:$E,4,0),"")</f>
      </c>
      <c r="I9816" s="28">
        <f>IFERROR(VLOOKUP(F9816,CARTON_LOOKUP!$A:$E,5,0),"")</f>
      </c>
      <c r="J9816" s="29">
        <f>IFERROR(VLOOKUP(F9816,CARTON_LOOKUP!$A:$E,2,0),"")</f>
      </c>
      <c r="K9816" s="29">
        <f>IFERROR(J9816*D9816,0)</f>
      </c>
      <c r="L9816" s="29">
        <f>IFERROR(E9816*C9816,0)</f>
      </c>
      <c r="M9816" s="29">
        <f>IFERROR((G9816*H9816*I9816/1000000)*D9816,0)</f>
      </c>
    </row>
    <row r="9817" spans="1:13" x14ac:dyDescent="0.25">
      <c r="A9817" s="16"/>
      <c r="E9817" s="27"/>
      <c r="F9817" t="s">
        <v>26</v>
      </c>
      <c r="G9817" s="28">
        <f>IFERROR(VLOOKUP(F9817,CARTON_LOOKUP!$A:$E,3,0),"")</f>
      </c>
      <c r="H9817" s="28">
        <f>IFERROR(VLOOKUP(F9817,CARTON_LOOKUP!$A:$E,4,0),"")</f>
      </c>
      <c r="I9817" s="28">
        <f>IFERROR(VLOOKUP(F9817,CARTON_LOOKUP!$A:$E,5,0),"")</f>
      </c>
      <c r="J9817" s="29">
        <f>IFERROR(VLOOKUP(F9817,CARTON_LOOKUP!$A:$E,2,0),"")</f>
      </c>
      <c r="K9817" s="29">
        <f>IFERROR(J9817*D9817,0)</f>
      </c>
      <c r="L9817" s="29">
        <f>IFERROR(E9817*C9817,0)</f>
      </c>
      <c r="M9817" s="29">
        <f>IFERROR((G9817*H9817*I9817/1000000)*D9817,0)</f>
      </c>
    </row>
    <row r="9818" spans="1:13" x14ac:dyDescent="0.25">
      <c r="A9818" s="16"/>
      <c r="E9818" s="27"/>
      <c r="F9818" t="s">
        <v>26</v>
      </c>
      <c r="G9818" s="28">
        <f>IFERROR(VLOOKUP(F9818,CARTON_LOOKUP!$A:$E,3,0),"")</f>
      </c>
      <c r="H9818" s="28">
        <f>IFERROR(VLOOKUP(F9818,CARTON_LOOKUP!$A:$E,4,0),"")</f>
      </c>
      <c r="I9818" s="28">
        <f>IFERROR(VLOOKUP(F9818,CARTON_LOOKUP!$A:$E,5,0),"")</f>
      </c>
      <c r="J9818" s="29">
        <f>IFERROR(VLOOKUP(F9818,CARTON_LOOKUP!$A:$E,2,0),"")</f>
      </c>
      <c r="K9818" s="29">
        <f>IFERROR(J9818*D9818,0)</f>
      </c>
      <c r="L9818" s="29">
        <f>IFERROR(E9818*C9818,0)</f>
      </c>
      <c r="M9818" s="29">
        <f>IFERROR((G9818*H9818*I9818/1000000)*D9818,0)</f>
      </c>
    </row>
    <row r="9819" spans="1:13" x14ac:dyDescent="0.25">
      <c r="A9819" s="16"/>
      <c r="E9819" s="27"/>
      <c r="F9819" t="s">
        <v>26</v>
      </c>
      <c r="G9819" s="28">
        <f>IFERROR(VLOOKUP(F9819,CARTON_LOOKUP!$A:$E,3,0),"")</f>
      </c>
      <c r="H9819" s="28">
        <f>IFERROR(VLOOKUP(F9819,CARTON_LOOKUP!$A:$E,4,0),"")</f>
      </c>
      <c r="I9819" s="28">
        <f>IFERROR(VLOOKUP(F9819,CARTON_LOOKUP!$A:$E,5,0),"")</f>
      </c>
      <c r="J9819" s="29">
        <f>IFERROR(VLOOKUP(F9819,CARTON_LOOKUP!$A:$E,2,0),"")</f>
      </c>
      <c r="K9819" s="29">
        <f>IFERROR(J9819*D9819,0)</f>
      </c>
      <c r="L9819" s="29">
        <f>IFERROR(E9819*C9819,0)</f>
      </c>
      <c r="M9819" s="29">
        <f>IFERROR((G9819*H9819*I9819/1000000)*D9819,0)</f>
      </c>
    </row>
    <row r="9820" spans="1:13" x14ac:dyDescent="0.25">
      <c r="A9820" s="16"/>
      <c r="E9820" s="27"/>
      <c r="F9820" t="s">
        <v>26</v>
      </c>
      <c r="G9820" s="28">
        <f>IFERROR(VLOOKUP(F9820,CARTON_LOOKUP!$A:$E,3,0),"")</f>
      </c>
      <c r="H9820" s="28">
        <f>IFERROR(VLOOKUP(F9820,CARTON_LOOKUP!$A:$E,4,0),"")</f>
      </c>
      <c r="I9820" s="28">
        <f>IFERROR(VLOOKUP(F9820,CARTON_LOOKUP!$A:$E,5,0),"")</f>
      </c>
      <c r="J9820" s="29">
        <f>IFERROR(VLOOKUP(F9820,CARTON_LOOKUP!$A:$E,2,0),"")</f>
      </c>
      <c r="K9820" s="29">
        <f>IFERROR(J9820*D9820,0)</f>
      </c>
      <c r="L9820" s="29">
        <f>IFERROR(E9820*C9820,0)</f>
      </c>
      <c r="M9820" s="29">
        <f>IFERROR((G9820*H9820*I9820/1000000)*D9820,0)</f>
      </c>
    </row>
    <row r="9821" spans="1:13" x14ac:dyDescent="0.25">
      <c r="A9821" s="16"/>
      <c r="E9821" s="27"/>
      <c r="F9821" t="s">
        <v>26</v>
      </c>
      <c r="G9821" s="28">
        <f>IFERROR(VLOOKUP(F9821,CARTON_LOOKUP!$A:$E,3,0),"")</f>
      </c>
      <c r="H9821" s="28">
        <f>IFERROR(VLOOKUP(F9821,CARTON_LOOKUP!$A:$E,4,0),"")</f>
      </c>
      <c r="I9821" s="28">
        <f>IFERROR(VLOOKUP(F9821,CARTON_LOOKUP!$A:$E,5,0),"")</f>
      </c>
      <c r="J9821" s="29">
        <f>IFERROR(VLOOKUP(F9821,CARTON_LOOKUP!$A:$E,2,0),"")</f>
      </c>
      <c r="K9821" s="29">
        <f>IFERROR(J9821*D9821,0)</f>
      </c>
      <c r="L9821" s="29">
        <f>IFERROR(E9821*C9821,0)</f>
      </c>
      <c r="M9821" s="29">
        <f>IFERROR((G9821*H9821*I9821/1000000)*D9821,0)</f>
      </c>
    </row>
    <row r="9822" spans="1:13" x14ac:dyDescent="0.25">
      <c r="A9822" s="16"/>
      <c r="E9822" s="27"/>
      <c r="F9822" t="s">
        <v>26</v>
      </c>
      <c r="G9822" s="28">
        <f>IFERROR(VLOOKUP(F9822,CARTON_LOOKUP!$A:$E,3,0),"")</f>
      </c>
      <c r="H9822" s="28">
        <f>IFERROR(VLOOKUP(F9822,CARTON_LOOKUP!$A:$E,4,0),"")</f>
      </c>
      <c r="I9822" s="28">
        <f>IFERROR(VLOOKUP(F9822,CARTON_LOOKUP!$A:$E,5,0),"")</f>
      </c>
      <c r="J9822" s="29">
        <f>IFERROR(VLOOKUP(F9822,CARTON_LOOKUP!$A:$E,2,0),"")</f>
      </c>
      <c r="K9822" s="29">
        <f>IFERROR(J9822*D9822,0)</f>
      </c>
      <c r="L9822" s="29">
        <f>IFERROR(E9822*C9822,0)</f>
      </c>
      <c r="M9822" s="29">
        <f>IFERROR((G9822*H9822*I9822/1000000)*D9822,0)</f>
      </c>
    </row>
    <row r="9823" spans="1:13" x14ac:dyDescent="0.25">
      <c r="A9823" s="16"/>
      <c r="E9823" s="27"/>
      <c r="F9823" t="s">
        <v>26</v>
      </c>
      <c r="G9823" s="28">
        <f>IFERROR(VLOOKUP(F9823,CARTON_LOOKUP!$A:$E,3,0),"")</f>
      </c>
      <c r="H9823" s="28">
        <f>IFERROR(VLOOKUP(F9823,CARTON_LOOKUP!$A:$E,4,0),"")</f>
      </c>
      <c r="I9823" s="28">
        <f>IFERROR(VLOOKUP(F9823,CARTON_LOOKUP!$A:$E,5,0),"")</f>
      </c>
      <c r="J9823" s="29">
        <f>IFERROR(VLOOKUP(F9823,CARTON_LOOKUP!$A:$E,2,0),"")</f>
      </c>
      <c r="K9823" s="29">
        <f>IFERROR(J9823*D9823,0)</f>
      </c>
      <c r="L9823" s="29">
        <f>IFERROR(E9823*C9823,0)</f>
      </c>
      <c r="M9823" s="29">
        <f>IFERROR((G9823*H9823*I9823/1000000)*D9823,0)</f>
      </c>
    </row>
    <row r="9824" spans="1:13" x14ac:dyDescent="0.25">
      <c r="A9824" s="16"/>
      <c r="E9824" s="27"/>
      <c r="F9824" t="s">
        <v>26</v>
      </c>
      <c r="G9824" s="28">
        <f>IFERROR(VLOOKUP(F9824,CARTON_LOOKUP!$A:$E,3,0),"")</f>
      </c>
      <c r="H9824" s="28">
        <f>IFERROR(VLOOKUP(F9824,CARTON_LOOKUP!$A:$E,4,0),"")</f>
      </c>
      <c r="I9824" s="28">
        <f>IFERROR(VLOOKUP(F9824,CARTON_LOOKUP!$A:$E,5,0),"")</f>
      </c>
      <c r="J9824" s="29">
        <f>IFERROR(VLOOKUP(F9824,CARTON_LOOKUP!$A:$E,2,0),"")</f>
      </c>
      <c r="K9824" s="29">
        <f>IFERROR(J9824*D9824,0)</f>
      </c>
      <c r="L9824" s="29">
        <f>IFERROR(E9824*C9824,0)</f>
      </c>
      <c r="M9824" s="29">
        <f>IFERROR((G9824*H9824*I9824/1000000)*D9824,0)</f>
      </c>
    </row>
    <row r="9825" spans="1:13" x14ac:dyDescent="0.25">
      <c r="A9825" s="16"/>
      <c r="E9825" s="27"/>
      <c r="F9825" t="s">
        <v>26</v>
      </c>
      <c r="G9825" s="28">
        <f>IFERROR(VLOOKUP(F9825,CARTON_LOOKUP!$A:$E,3,0),"")</f>
      </c>
      <c r="H9825" s="28">
        <f>IFERROR(VLOOKUP(F9825,CARTON_LOOKUP!$A:$E,4,0),"")</f>
      </c>
      <c r="I9825" s="28">
        <f>IFERROR(VLOOKUP(F9825,CARTON_LOOKUP!$A:$E,5,0),"")</f>
      </c>
      <c r="J9825" s="29">
        <f>IFERROR(VLOOKUP(F9825,CARTON_LOOKUP!$A:$E,2,0),"")</f>
      </c>
      <c r="K9825" s="29">
        <f>IFERROR(J9825*D9825,0)</f>
      </c>
      <c r="L9825" s="29">
        <f>IFERROR(E9825*C9825,0)</f>
      </c>
      <c r="M9825" s="29">
        <f>IFERROR((G9825*H9825*I9825/1000000)*D9825,0)</f>
      </c>
    </row>
    <row r="9826" spans="1:13" x14ac:dyDescent="0.25">
      <c r="A9826" s="16"/>
      <c r="E9826" s="27"/>
      <c r="F9826" t="s">
        <v>26</v>
      </c>
      <c r="G9826" s="28">
        <f>IFERROR(VLOOKUP(F9826,CARTON_LOOKUP!$A:$E,3,0),"")</f>
      </c>
      <c r="H9826" s="28">
        <f>IFERROR(VLOOKUP(F9826,CARTON_LOOKUP!$A:$E,4,0),"")</f>
      </c>
      <c r="I9826" s="28">
        <f>IFERROR(VLOOKUP(F9826,CARTON_LOOKUP!$A:$E,5,0),"")</f>
      </c>
      <c r="J9826" s="29">
        <f>IFERROR(VLOOKUP(F9826,CARTON_LOOKUP!$A:$E,2,0),"")</f>
      </c>
      <c r="K9826" s="29">
        <f>IFERROR(J9826*D9826,0)</f>
      </c>
      <c r="L9826" s="29">
        <f>IFERROR(E9826*C9826,0)</f>
      </c>
      <c r="M9826" s="29">
        <f>IFERROR((G9826*H9826*I9826/1000000)*D9826,0)</f>
      </c>
    </row>
    <row r="9827" spans="1:13" x14ac:dyDescent="0.25">
      <c r="A9827" s="16"/>
      <c r="E9827" s="27"/>
      <c r="F9827" t="s">
        <v>26</v>
      </c>
      <c r="G9827" s="28">
        <f>IFERROR(VLOOKUP(F9827,CARTON_LOOKUP!$A:$E,3,0),"")</f>
      </c>
      <c r="H9827" s="28">
        <f>IFERROR(VLOOKUP(F9827,CARTON_LOOKUP!$A:$E,4,0),"")</f>
      </c>
      <c r="I9827" s="28">
        <f>IFERROR(VLOOKUP(F9827,CARTON_LOOKUP!$A:$E,5,0),"")</f>
      </c>
      <c r="J9827" s="29">
        <f>IFERROR(VLOOKUP(F9827,CARTON_LOOKUP!$A:$E,2,0),"")</f>
      </c>
      <c r="K9827" s="29">
        <f>IFERROR(J9827*D9827,0)</f>
      </c>
      <c r="L9827" s="29">
        <f>IFERROR(E9827*C9827,0)</f>
      </c>
      <c r="M9827" s="29">
        <f>IFERROR((G9827*H9827*I9827/1000000)*D9827,0)</f>
      </c>
    </row>
    <row r="9828" spans="1:13" x14ac:dyDescent="0.25">
      <c r="A9828" s="16"/>
      <c r="E9828" s="27"/>
      <c r="F9828" t="s">
        <v>26</v>
      </c>
      <c r="G9828" s="28">
        <f>IFERROR(VLOOKUP(F9828,CARTON_LOOKUP!$A:$E,3,0),"")</f>
      </c>
      <c r="H9828" s="28">
        <f>IFERROR(VLOOKUP(F9828,CARTON_LOOKUP!$A:$E,4,0),"")</f>
      </c>
      <c r="I9828" s="28">
        <f>IFERROR(VLOOKUP(F9828,CARTON_LOOKUP!$A:$E,5,0),"")</f>
      </c>
      <c r="J9828" s="29">
        <f>IFERROR(VLOOKUP(F9828,CARTON_LOOKUP!$A:$E,2,0),"")</f>
      </c>
      <c r="K9828" s="29">
        <f>IFERROR(J9828*D9828,0)</f>
      </c>
      <c r="L9828" s="29">
        <f>IFERROR(E9828*C9828,0)</f>
      </c>
      <c r="M9828" s="29">
        <f>IFERROR((G9828*H9828*I9828/1000000)*D9828,0)</f>
      </c>
    </row>
    <row r="9829" spans="1:13" x14ac:dyDescent="0.25">
      <c r="A9829" s="16"/>
      <c r="E9829" s="27"/>
      <c r="F9829" t="s">
        <v>26</v>
      </c>
      <c r="G9829" s="28">
        <f>IFERROR(VLOOKUP(F9829,CARTON_LOOKUP!$A:$E,3,0),"")</f>
      </c>
      <c r="H9829" s="28">
        <f>IFERROR(VLOOKUP(F9829,CARTON_LOOKUP!$A:$E,4,0),"")</f>
      </c>
      <c r="I9829" s="28">
        <f>IFERROR(VLOOKUP(F9829,CARTON_LOOKUP!$A:$E,5,0),"")</f>
      </c>
      <c r="J9829" s="29">
        <f>IFERROR(VLOOKUP(F9829,CARTON_LOOKUP!$A:$E,2,0),"")</f>
      </c>
      <c r="K9829" s="29">
        <f>IFERROR(J9829*D9829,0)</f>
      </c>
      <c r="L9829" s="29">
        <f>IFERROR(E9829*C9829,0)</f>
      </c>
      <c r="M9829" s="29">
        <f>IFERROR((G9829*H9829*I9829/1000000)*D9829,0)</f>
      </c>
    </row>
    <row r="9830" spans="1:13" x14ac:dyDescent="0.25">
      <c r="A9830" s="16"/>
      <c r="E9830" s="27"/>
      <c r="F9830" t="s">
        <v>26</v>
      </c>
      <c r="G9830" s="28">
        <f>IFERROR(VLOOKUP(F9830,CARTON_LOOKUP!$A:$E,3,0),"")</f>
      </c>
      <c r="H9830" s="28">
        <f>IFERROR(VLOOKUP(F9830,CARTON_LOOKUP!$A:$E,4,0),"")</f>
      </c>
      <c r="I9830" s="28">
        <f>IFERROR(VLOOKUP(F9830,CARTON_LOOKUP!$A:$E,5,0),"")</f>
      </c>
      <c r="J9830" s="29">
        <f>IFERROR(VLOOKUP(F9830,CARTON_LOOKUP!$A:$E,2,0),"")</f>
      </c>
      <c r="K9830" s="29">
        <f>IFERROR(J9830*D9830,0)</f>
      </c>
      <c r="L9830" s="29">
        <f>IFERROR(E9830*C9830,0)</f>
      </c>
      <c r="M9830" s="29">
        <f>IFERROR((G9830*H9830*I9830/1000000)*D9830,0)</f>
      </c>
    </row>
    <row r="9831" spans="1:13" x14ac:dyDescent="0.25">
      <c r="A9831" s="16"/>
      <c r="E9831" s="27"/>
      <c r="F9831" t="s">
        <v>26</v>
      </c>
      <c r="G9831" s="28">
        <f>IFERROR(VLOOKUP(F9831,CARTON_LOOKUP!$A:$E,3,0),"")</f>
      </c>
      <c r="H9831" s="28">
        <f>IFERROR(VLOOKUP(F9831,CARTON_LOOKUP!$A:$E,4,0),"")</f>
      </c>
      <c r="I9831" s="28">
        <f>IFERROR(VLOOKUP(F9831,CARTON_LOOKUP!$A:$E,5,0),"")</f>
      </c>
      <c r="J9831" s="29">
        <f>IFERROR(VLOOKUP(F9831,CARTON_LOOKUP!$A:$E,2,0),"")</f>
      </c>
      <c r="K9831" s="29">
        <f>IFERROR(J9831*D9831,0)</f>
      </c>
      <c r="L9831" s="29">
        <f>IFERROR(E9831*C9831,0)</f>
      </c>
      <c r="M9831" s="29">
        <f>IFERROR((G9831*H9831*I9831/1000000)*D9831,0)</f>
      </c>
    </row>
    <row r="9832" spans="1:13" x14ac:dyDescent="0.25">
      <c r="A9832" s="16"/>
      <c r="E9832" s="27"/>
      <c r="F9832" t="s">
        <v>26</v>
      </c>
      <c r="G9832" s="28">
        <f>IFERROR(VLOOKUP(F9832,CARTON_LOOKUP!$A:$E,3,0),"")</f>
      </c>
      <c r="H9832" s="28">
        <f>IFERROR(VLOOKUP(F9832,CARTON_LOOKUP!$A:$E,4,0),"")</f>
      </c>
      <c r="I9832" s="28">
        <f>IFERROR(VLOOKUP(F9832,CARTON_LOOKUP!$A:$E,5,0),"")</f>
      </c>
      <c r="J9832" s="29">
        <f>IFERROR(VLOOKUP(F9832,CARTON_LOOKUP!$A:$E,2,0),"")</f>
      </c>
      <c r="K9832" s="29">
        <f>IFERROR(J9832*D9832,0)</f>
      </c>
      <c r="L9832" s="29">
        <f>IFERROR(E9832*C9832,0)</f>
      </c>
      <c r="M9832" s="29">
        <f>IFERROR((G9832*H9832*I9832/1000000)*D9832,0)</f>
      </c>
    </row>
    <row r="9833" spans="1:13" x14ac:dyDescent="0.25">
      <c r="A9833" s="16"/>
      <c r="E9833" s="27"/>
      <c r="F9833" t="s">
        <v>26</v>
      </c>
      <c r="G9833" s="28">
        <f>IFERROR(VLOOKUP(F9833,CARTON_LOOKUP!$A:$E,3,0),"")</f>
      </c>
      <c r="H9833" s="28">
        <f>IFERROR(VLOOKUP(F9833,CARTON_LOOKUP!$A:$E,4,0),"")</f>
      </c>
      <c r="I9833" s="28">
        <f>IFERROR(VLOOKUP(F9833,CARTON_LOOKUP!$A:$E,5,0),"")</f>
      </c>
      <c r="J9833" s="29">
        <f>IFERROR(VLOOKUP(F9833,CARTON_LOOKUP!$A:$E,2,0),"")</f>
      </c>
      <c r="K9833" s="29">
        <f>IFERROR(J9833*D9833,0)</f>
      </c>
      <c r="L9833" s="29">
        <f>IFERROR(E9833*C9833,0)</f>
      </c>
      <c r="M9833" s="29">
        <f>IFERROR((G9833*H9833*I9833/1000000)*D9833,0)</f>
      </c>
    </row>
    <row r="9834" spans="1:13" x14ac:dyDescent="0.25">
      <c r="A9834" s="16"/>
      <c r="E9834" s="27"/>
      <c r="F9834" t="s">
        <v>26</v>
      </c>
      <c r="G9834" s="28">
        <f>IFERROR(VLOOKUP(F9834,CARTON_LOOKUP!$A:$E,3,0),"")</f>
      </c>
      <c r="H9834" s="28">
        <f>IFERROR(VLOOKUP(F9834,CARTON_LOOKUP!$A:$E,4,0),"")</f>
      </c>
      <c r="I9834" s="28">
        <f>IFERROR(VLOOKUP(F9834,CARTON_LOOKUP!$A:$E,5,0),"")</f>
      </c>
      <c r="J9834" s="29">
        <f>IFERROR(VLOOKUP(F9834,CARTON_LOOKUP!$A:$E,2,0),"")</f>
      </c>
      <c r="K9834" s="29">
        <f>IFERROR(J9834*D9834,0)</f>
      </c>
      <c r="L9834" s="29">
        <f>IFERROR(E9834*C9834,0)</f>
      </c>
      <c r="M9834" s="29">
        <f>IFERROR((G9834*H9834*I9834/1000000)*D9834,0)</f>
      </c>
    </row>
    <row r="9835" spans="1:13" x14ac:dyDescent="0.25">
      <c r="A9835" s="16"/>
      <c r="E9835" s="27"/>
      <c r="F9835" t="s">
        <v>26</v>
      </c>
      <c r="G9835" s="28">
        <f>IFERROR(VLOOKUP(F9835,CARTON_LOOKUP!$A:$E,3,0),"")</f>
      </c>
      <c r="H9835" s="28">
        <f>IFERROR(VLOOKUP(F9835,CARTON_LOOKUP!$A:$E,4,0),"")</f>
      </c>
      <c r="I9835" s="28">
        <f>IFERROR(VLOOKUP(F9835,CARTON_LOOKUP!$A:$E,5,0),"")</f>
      </c>
      <c r="J9835" s="29">
        <f>IFERROR(VLOOKUP(F9835,CARTON_LOOKUP!$A:$E,2,0),"")</f>
      </c>
      <c r="K9835" s="29">
        <f>IFERROR(J9835*D9835,0)</f>
      </c>
      <c r="L9835" s="29">
        <f>IFERROR(E9835*C9835,0)</f>
      </c>
      <c r="M9835" s="29">
        <f>IFERROR((G9835*H9835*I9835/1000000)*D9835,0)</f>
      </c>
    </row>
    <row r="9836" spans="1:13" x14ac:dyDescent="0.25">
      <c r="A9836" s="16"/>
      <c r="E9836" s="27"/>
      <c r="F9836" t="s">
        <v>26</v>
      </c>
      <c r="G9836" s="28">
        <f>IFERROR(VLOOKUP(F9836,CARTON_LOOKUP!$A:$E,3,0),"")</f>
      </c>
      <c r="H9836" s="28">
        <f>IFERROR(VLOOKUP(F9836,CARTON_LOOKUP!$A:$E,4,0),"")</f>
      </c>
      <c r="I9836" s="28">
        <f>IFERROR(VLOOKUP(F9836,CARTON_LOOKUP!$A:$E,5,0),"")</f>
      </c>
      <c r="J9836" s="29">
        <f>IFERROR(VLOOKUP(F9836,CARTON_LOOKUP!$A:$E,2,0),"")</f>
      </c>
      <c r="K9836" s="29">
        <f>IFERROR(J9836*D9836,0)</f>
      </c>
      <c r="L9836" s="29">
        <f>IFERROR(E9836*C9836,0)</f>
      </c>
      <c r="M9836" s="29">
        <f>IFERROR((G9836*H9836*I9836/1000000)*D9836,0)</f>
      </c>
    </row>
    <row r="9837" spans="1:13" x14ac:dyDescent="0.25">
      <c r="A9837" s="16"/>
      <c r="E9837" s="27"/>
      <c r="F9837" t="s">
        <v>26</v>
      </c>
      <c r="G9837" s="28">
        <f>IFERROR(VLOOKUP(F9837,CARTON_LOOKUP!$A:$E,3,0),"")</f>
      </c>
      <c r="H9837" s="28">
        <f>IFERROR(VLOOKUP(F9837,CARTON_LOOKUP!$A:$E,4,0),"")</f>
      </c>
      <c r="I9837" s="28">
        <f>IFERROR(VLOOKUP(F9837,CARTON_LOOKUP!$A:$E,5,0),"")</f>
      </c>
      <c r="J9837" s="29">
        <f>IFERROR(VLOOKUP(F9837,CARTON_LOOKUP!$A:$E,2,0),"")</f>
      </c>
      <c r="K9837" s="29">
        <f>IFERROR(J9837*D9837,0)</f>
      </c>
      <c r="L9837" s="29">
        <f>IFERROR(E9837*C9837,0)</f>
      </c>
      <c r="M9837" s="29">
        <f>IFERROR((G9837*H9837*I9837/1000000)*D9837,0)</f>
      </c>
    </row>
    <row r="9838" spans="1:13" x14ac:dyDescent="0.25">
      <c r="A9838" s="16"/>
      <c r="E9838" s="27"/>
      <c r="F9838" t="s">
        <v>26</v>
      </c>
      <c r="G9838" s="28">
        <f>IFERROR(VLOOKUP(F9838,CARTON_LOOKUP!$A:$E,3,0),"")</f>
      </c>
      <c r="H9838" s="28">
        <f>IFERROR(VLOOKUP(F9838,CARTON_LOOKUP!$A:$E,4,0),"")</f>
      </c>
      <c r="I9838" s="28">
        <f>IFERROR(VLOOKUP(F9838,CARTON_LOOKUP!$A:$E,5,0),"")</f>
      </c>
      <c r="J9838" s="29">
        <f>IFERROR(VLOOKUP(F9838,CARTON_LOOKUP!$A:$E,2,0),"")</f>
      </c>
      <c r="K9838" s="29">
        <f>IFERROR(J9838*D9838,0)</f>
      </c>
      <c r="L9838" s="29">
        <f>IFERROR(E9838*C9838,0)</f>
      </c>
      <c r="M9838" s="29">
        <f>IFERROR((G9838*H9838*I9838/1000000)*D9838,0)</f>
      </c>
    </row>
    <row r="9839" spans="1:13" x14ac:dyDescent="0.25">
      <c r="A9839" s="16"/>
      <c r="E9839" s="27"/>
      <c r="F9839" t="s">
        <v>26</v>
      </c>
      <c r="G9839" s="28">
        <f>IFERROR(VLOOKUP(F9839,CARTON_LOOKUP!$A:$E,3,0),"")</f>
      </c>
      <c r="H9839" s="28">
        <f>IFERROR(VLOOKUP(F9839,CARTON_LOOKUP!$A:$E,4,0),"")</f>
      </c>
      <c r="I9839" s="28">
        <f>IFERROR(VLOOKUP(F9839,CARTON_LOOKUP!$A:$E,5,0),"")</f>
      </c>
      <c r="J9839" s="29">
        <f>IFERROR(VLOOKUP(F9839,CARTON_LOOKUP!$A:$E,2,0),"")</f>
      </c>
      <c r="K9839" s="29">
        <f>IFERROR(J9839*D9839,0)</f>
      </c>
      <c r="L9839" s="29">
        <f>IFERROR(E9839*C9839,0)</f>
      </c>
      <c r="M9839" s="29">
        <f>IFERROR((G9839*H9839*I9839/1000000)*D9839,0)</f>
      </c>
    </row>
    <row r="9840" spans="1:13" x14ac:dyDescent="0.25">
      <c r="A9840" s="16"/>
      <c r="E9840" s="27"/>
      <c r="F9840" t="s">
        <v>26</v>
      </c>
      <c r="G9840" s="28">
        <f>IFERROR(VLOOKUP(F9840,CARTON_LOOKUP!$A:$E,3,0),"")</f>
      </c>
      <c r="H9840" s="28">
        <f>IFERROR(VLOOKUP(F9840,CARTON_LOOKUP!$A:$E,4,0),"")</f>
      </c>
      <c r="I9840" s="28">
        <f>IFERROR(VLOOKUP(F9840,CARTON_LOOKUP!$A:$E,5,0),"")</f>
      </c>
      <c r="J9840" s="29">
        <f>IFERROR(VLOOKUP(F9840,CARTON_LOOKUP!$A:$E,2,0),"")</f>
      </c>
      <c r="K9840" s="29">
        <f>IFERROR(J9840*D9840,0)</f>
      </c>
      <c r="L9840" s="29">
        <f>IFERROR(E9840*C9840,0)</f>
      </c>
      <c r="M9840" s="29">
        <f>IFERROR((G9840*H9840*I9840/1000000)*D9840,0)</f>
      </c>
    </row>
    <row r="9841" spans="1:13" x14ac:dyDescent="0.25">
      <c r="A9841" s="16"/>
      <c r="E9841" s="27"/>
      <c r="F9841" t="s">
        <v>26</v>
      </c>
      <c r="G9841" s="28">
        <f>IFERROR(VLOOKUP(F9841,CARTON_LOOKUP!$A:$E,3,0),"")</f>
      </c>
      <c r="H9841" s="28">
        <f>IFERROR(VLOOKUP(F9841,CARTON_LOOKUP!$A:$E,4,0),"")</f>
      </c>
      <c r="I9841" s="28">
        <f>IFERROR(VLOOKUP(F9841,CARTON_LOOKUP!$A:$E,5,0),"")</f>
      </c>
      <c r="J9841" s="29">
        <f>IFERROR(VLOOKUP(F9841,CARTON_LOOKUP!$A:$E,2,0),"")</f>
      </c>
      <c r="K9841" s="29">
        <f>IFERROR(J9841*D9841,0)</f>
      </c>
      <c r="L9841" s="29">
        <f>IFERROR(E9841*C9841,0)</f>
      </c>
      <c r="M9841" s="29">
        <f>IFERROR((G9841*H9841*I9841/1000000)*D9841,0)</f>
      </c>
    </row>
    <row r="9842" spans="1:13" x14ac:dyDescent="0.25">
      <c r="A9842" s="16"/>
      <c r="E9842" s="27"/>
      <c r="F9842" t="s">
        <v>26</v>
      </c>
      <c r="G9842" s="28">
        <f>IFERROR(VLOOKUP(F9842,CARTON_LOOKUP!$A:$E,3,0),"")</f>
      </c>
      <c r="H9842" s="28">
        <f>IFERROR(VLOOKUP(F9842,CARTON_LOOKUP!$A:$E,4,0),"")</f>
      </c>
      <c r="I9842" s="28">
        <f>IFERROR(VLOOKUP(F9842,CARTON_LOOKUP!$A:$E,5,0),"")</f>
      </c>
      <c r="J9842" s="29">
        <f>IFERROR(VLOOKUP(F9842,CARTON_LOOKUP!$A:$E,2,0),"")</f>
      </c>
      <c r="K9842" s="29">
        <f>IFERROR(J9842*D9842,0)</f>
      </c>
      <c r="L9842" s="29">
        <f>IFERROR(E9842*C9842,0)</f>
      </c>
      <c r="M9842" s="29">
        <f>IFERROR((G9842*H9842*I9842/1000000)*D9842,0)</f>
      </c>
    </row>
    <row r="9843" spans="1:13" x14ac:dyDescent="0.25">
      <c r="A9843" s="16"/>
      <c r="E9843" s="27"/>
      <c r="F9843" t="s">
        <v>26</v>
      </c>
      <c r="G9843" s="28">
        <f>IFERROR(VLOOKUP(F9843,CARTON_LOOKUP!$A:$E,3,0),"")</f>
      </c>
      <c r="H9843" s="28">
        <f>IFERROR(VLOOKUP(F9843,CARTON_LOOKUP!$A:$E,4,0),"")</f>
      </c>
      <c r="I9843" s="28">
        <f>IFERROR(VLOOKUP(F9843,CARTON_LOOKUP!$A:$E,5,0),"")</f>
      </c>
      <c r="J9843" s="29">
        <f>IFERROR(VLOOKUP(F9843,CARTON_LOOKUP!$A:$E,2,0),"")</f>
      </c>
      <c r="K9843" s="29">
        <f>IFERROR(J9843*D9843,0)</f>
      </c>
      <c r="L9843" s="29">
        <f>IFERROR(E9843*C9843,0)</f>
      </c>
      <c r="M9843" s="29">
        <f>IFERROR((G9843*H9843*I9843/1000000)*D9843,0)</f>
      </c>
    </row>
    <row r="9844" spans="1:13" x14ac:dyDescent="0.25">
      <c r="A9844" s="16"/>
      <c r="E9844" s="27"/>
      <c r="F9844" t="s">
        <v>26</v>
      </c>
      <c r="G9844" s="28">
        <f>IFERROR(VLOOKUP(F9844,CARTON_LOOKUP!$A:$E,3,0),"")</f>
      </c>
      <c r="H9844" s="28">
        <f>IFERROR(VLOOKUP(F9844,CARTON_LOOKUP!$A:$E,4,0),"")</f>
      </c>
      <c r="I9844" s="28">
        <f>IFERROR(VLOOKUP(F9844,CARTON_LOOKUP!$A:$E,5,0),"")</f>
      </c>
      <c r="J9844" s="29">
        <f>IFERROR(VLOOKUP(F9844,CARTON_LOOKUP!$A:$E,2,0),"")</f>
      </c>
      <c r="K9844" s="29">
        <f>IFERROR(J9844*D9844,0)</f>
      </c>
      <c r="L9844" s="29">
        <f>IFERROR(E9844*C9844,0)</f>
      </c>
      <c r="M9844" s="29">
        <f>IFERROR((G9844*H9844*I9844/1000000)*D9844,0)</f>
      </c>
    </row>
    <row r="9845" spans="1:13" x14ac:dyDescent="0.25">
      <c r="A9845" s="16"/>
      <c r="E9845" s="27"/>
      <c r="F9845" t="s">
        <v>26</v>
      </c>
      <c r="G9845" s="28">
        <f>IFERROR(VLOOKUP(F9845,CARTON_LOOKUP!$A:$E,3,0),"")</f>
      </c>
      <c r="H9845" s="28">
        <f>IFERROR(VLOOKUP(F9845,CARTON_LOOKUP!$A:$E,4,0),"")</f>
      </c>
      <c r="I9845" s="28">
        <f>IFERROR(VLOOKUP(F9845,CARTON_LOOKUP!$A:$E,5,0),"")</f>
      </c>
      <c r="J9845" s="29">
        <f>IFERROR(VLOOKUP(F9845,CARTON_LOOKUP!$A:$E,2,0),"")</f>
      </c>
      <c r="K9845" s="29">
        <f>IFERROR(J9845*D9845,0)</f>
      </c>
      <c r="L9845" s="29">
        <f>IFERROR(E9845*C9845,0)</f>
      </c>
      <c r="M9845" s="29">
        <f>IFERROR((G9845*H9845*I9845/1000000)*D9845,0)</f>
      </c>
    </row>
    <row r="9846" spans="1:13" x14ac:dyDescent="0.25">
      <c r="A9846" s="16"/>
      <c r="E9846" s="27"/>
      <c r="F9846" t="s">
        <v>26</v>
      </c>
      <c r="G9846" s="28">
        <f>IFERROR(VLOOKUP(F9846,CARTON_LOOKUP!$A:$E,3,0),"")</f>
      </c>
      <c r="H9846" s="28">
        <f>IFERROR(VLOOKUP(F9846,CARTON_LOOKUP!$A:$E,4,0),"")</f>
      </c>
      <c r="I9846" s="28">
        <f>IFERROR(VLOOKUP(F9846,CARTON_LOOKUP!$A:$E,5,0),"")</f>
      </c>
      <c r="J9846" s="29">
        <f>IFERROR(VLOOKUP(F9846,CARTON_LOOKUP!$A:$E,2,0),"")</f>
      </c>
      <c r="K9846" s="29">
        <f>IFERROR(J9846*D9846,0)</f>
      </c>
      <c r="L9846" s="29">
        <f>IFERROR(E9846*C9846,0)</f>
      </c>
      <c r="M9846" s="29">
        <f>IFERROR((G9846*H9846*I9846/1000000)*D9846,0)</f>
      </c>
    </row>
    <row r="9847" spans="1:13" x14ac:dyDescent="0.25">
      <c r="A9847" s="16"/>
      <c r="E9847" s="27"/>
      <c r="F9847" t="s">
        <v>26</v>
      </c>
      <c r="G9847" s="28">
        <f>IFERROR(VLOOKUP(F9847,CARTON_LOOKUP!$A:$E,3,0),"")</f>
      </c>
      <c r="H9847" s="28">
        <f>IFERROR(VLOOKUP(F9847,CARTON_LOOKUP!$A:$E,4,0),"")</f>
      </c>
      <c r="I9847" s="28">
        <f>IFERROR(VLOOKUP(F9847,CARTON_LOOKUP!$A:$E,5,0),"")</f>
      </c>
      <c r="J9847" s="29">
        <f>IFERROR(VLOOKUP(F9847,CARTON_LOOKUP!$A:$E,2,0),"")</f>
      </c>
      <c r="K9847" s="29">
        <f>IFERROR(J9847*D9847,0)</f>
      </c>
      <c r="L9847" s="29">
        <f>IFERROR(E9847*C9847,0)</f>
      </c>
      <c r="M9847" s="29">
        <f>IFERROR((G9847*H9847*I9847/1000000)*D9847,0)</f>
      </c>
    </row>
    <row r="9848" spans="1:13" x14ac:dyDescent="0.25">
      <c r="A9848" s="16"/>
      <c r="E9848" s="27"/>
      <c r="F9848" t="s">
        <v>26</v>
      </c>
      <c r="G9848" s="28">
        <f>IFERROR(VLOOKUP(F9848,CARTON_LOOKUP!$A:$E,3,0),"")</f>
      </c>
      <c r="H9848" s="28">
        <f>IFERROR(VLOOKUP(F9848,CARTON_LOOKUP!$A:$E,4,0),"")</f>
      </c>
      <c r="I9848" s="28">
        <f>IFERROR(VLOOKUP(F9848,CARTON_LOOKUP!$A:$E,5,0),"")</f>
      </c>
      <c r="J9848" s="29">
        <f>IFERROR(VLOOKUP(F9848,CARTON_LOOKUP!$A:$E,2,0),"")</f>
      </c>
      <c r="K9848" s="29">
        <f>IFERROR(J9848*D9848,0)</f>
      </c>
      <c r="L9848" s="29">
        <f>IFERROR(E9848*C9848,0)</f>
      </c>
      <c r="M9848" s="29">
        <f>IFERROR((G9848*H9848*I9848/1000000)*D9848,0)</f>
      </c>
    </row>
    <row r="9849" spans="1:13" x14ac:dyDescent="0.25">
      <c r="A9849" s="16"/>
      <c r="E9849" s="27"/>
      <c r="F9849" t="s">
        <v>26</v>
      </c>
      <c r="G9849" s="28">
        <f>IFERROR(VLOOKUP(F9849,CARTON_LOOKUP!$A:$E,3,0),"")</f>
      </c>
      <c r="H9849" s="28">
        <f>IFERROR(VLOOKUP(F9849,CARTON_LOOKUP!$A:$E,4,0),"")</f>
      </c>
      <c r="I9849" s="28">
        <f>IFERROR(VLOOKUP(F9849,CARTON_LOOKUP!$A:$E,5,0),"")</f>
      </c>
      <c r="J9849" s="29">
        <f>IFERROR(VLOOKUP(F9849,CARTON_LOOKUP!$A:$E,2,0),"")</f>
      </c>
      <c r="K9849" s="29">
        <f>IFERROR(J9849*D9849,0)</f>
      </c>
      <c r="L9849" s="29">
        <f>IFERROR(E9849*C9849,0)</f>
      </c>
      <c r="M9849" s="29">
        <f>IFERROR((G9849*H9849*I9849/1000000)*D9849,0)</f>
      </c>
    </row>
    <row r="9850" spans="1:13" x14ac:dyDescent="0.25">
      <c r="A9850" s="16"/>
      <c r="E9850" s="27"/>
      <c r="F9850" t="s">
        <v>26</v>
      </c>
      <c r="G9850" s="28">
        <f>IFERROR(VLOOKUP(F9850,CARTON_LOOKUP!$A:$E,3,0),"")</f>
      </c>
      <c r="H9850" s="28">
        <f>IFERROR(VLOOKUP(F9850,CARTON_LOOKUP!$A:$E,4,0),"")</f>
      </c>
      <c r="I9850" s="28">
        <f>IFERROR(VLOOKUP(F9850,CARTON_LOOKUP!$A:$E,5,0),"")</f>
      </c>
      <c r="J9850" s="29">
        <f>IFERROR(VLOOKUP(F9850,CARTON_LOOKUP!$A:$E,2,0),"")</f>
      </c>
      <c r="K9850" s="29">
        <f>IFERROR(J9850*D9850,0)</f>
      </c>
      <c r="L9850" s="29">
        <f>IFERROR(E9850*C9850,0)</f>
      </c>
      <c r="M9850" s="29">
        <f>IFERROR((G9850*H9850*I9850/1000000)*D9850,0)</f>
      </c>
    </row>
    <row r="9851" spans="1:13" x14ac:dyDescent="0.25">
      <c r="A9851" s="16"/>
      <c r="E9851" s="27"/>
      <c r="F9851" t="s">
        <v>26</v>
      </c>
      <c r="G9851" s="28">
        <f>IFERROR(VLOOKUP(F9851,CARTON_LOOKUP!$A:$E,3,0),"")</f>
      </c>
      <c r="H9851" s="28">
        <f>IFERROR(VLOOKUP(F9851,CARTON_LOOKUP!$A:$E,4,0),"")</f>
      </c>
      <c r="I9851" s="28">
        <f>IFERROR(VLOOKUP(F9851,CARTON_LOOKUP!$A:$E,5,0),"")</f>
      </c>
      <c r="J9851" s="29">
        <f>IFERROR(VLOOKUP(F9851,CARTON_LOOKUP!$A:$E,2,0),"")</f>
      </c>
      <c r="K9851" s="29">
        <f>IFERROR(J9851*D9851,0)</f>
      </c>
      <c r="L9851" s="29">
        <f>IFERROR(E9851*C9851,0)</f>
      </c>
      <c r="M9851" s="29">
        <f>IFERROR((G9851*H9851*I9851/1000000)*D9851,0)</f>
      </c>
    </row>
    <row r="9852" spans="1:13" x14ac:dyDescent="0.25">
      <c r="A9852" s="16"/>
      <c r="E9852" s="27"/>
      <c r="F9852" t="s">
        <v>26</v>
      </c>
      <c r="G9852" s="28">
        <f>IFERROR(VLOOKUP(F9852,CARTON_LOOKUP!$A:$E,3,0),"")</f>
      </c>
      <c r="H9852" s="28">
        <f>IFERROR(VLOOKUP(F9852,CARTON_LOOKUP!$A:$E,4,0),"")</f>
      </c>
      <c r="I9852" s="28">
        <f>IFERROR(VLOOKUP(F9852,CARTON_LOOKUP!$A:$E,5,0),"")</f>
      </c>
      <c r="J9852" s="29">
        <f>IFERROR(VLOOKUP(F9852,CARTON_LOOKUP!$A:$E,2,0),"")</f>
      </c>
      <c r="K9852" s="29">
        <f>IFERROR(J9852*D9852,0)</f>
      </c>
      <c r="L9852" s="29">
        <f>IFERROR(E9852*C9852,0)</f>
      </c>
      <c r="M9852" s="29">
        <f>IFERROR((G9852*H9852*I9852/1000000)*D9852,0)</f>
      </c>
    </row>
    <row r="9853" spans="1:13" x14ac:dyDescent="0.25">
      <c r="A9853" s="16"/>
      <c r="E9853" s="27"/>
      <c r="F9853" t="s">
        <v>26</v>
      </c>
      <c r="G9853" s="28">
        <f>IFERROR(VLOOKUP(F9853,CARTON_LOOKUP!$A:$E,3,0),"")</f>
      </c>
      <c r="H9853" s="28">
        <f>IFERROR(VLOOKUP(F9853,CARTON_LOOKUP!$A:$E,4,0),"")</f>
      </c>
      <c r="I9853" s="28">
        <f>IFERROR(VLOOKUP(F9853,CARTON_LOOKUP!$A:$E,5,0),"")</f>
      </c>
      <c r="J9853" s="29">
        <f>IFERROR(VLOOKUP(F9853,CARTON_LOOKUP!$A:$E,2,0),"")</f>
      </c>
      <c r="K9853" s="29">
        <f>IFERROR(J9853*D9853,0)</f>
      </c>
      <c r="L9853" s="29">
        <f>IFERROR(E9853*C9853,0)</f>
      </c>
      <c r="M9853" s="29">
        <f>IFERROR((G9853*H9853*I9853/1000000)*D9853,0)</f>
      </c>
    </row>
    <row r="9854" spans="1:13" x14ac:dyDescent="0.25">
      <c r="A9854" s="16"/>
      <c r="E9854" s="27"/>
      <c r="F9854" t="s">
        <v>26</v>
      </c>
      <c r="G9854" s="28">
        <f>IFERROR(VLOOKUP(F9854,CARTON_LOOKUP!$A:$E,3,0),"")</f>
      </c>
      <c r="H9854" s="28">
        <f>IFERROR(VLOOKUP(F9854,CARTON_LOOKUP!$A:$E,4,0),"")</f>
      </c>
      <c r="I9854" s="28">
        <f>IFERROR(VLOOKUP(F9854,CARTON_LOOKUP!$A:$E,5,0),"")</f>
      </c>
      <c r="J9854" s="29">
        <f>IFERROR(VLOOKUP(F9854,CARTON_LOOKUP!$A:$E,2,0),"")</f>
      </c>
      <c r="K9854" s="29">
        <f>IFERROR(J9854*D9854,0)</f>
      </c>
      <c r="L9854" s="29">
        <f>IFERROR(E9854*C9854,0)</f>
      </c>
      <c r="M9854" s="29">
        <f>IFERROR((G9854*H9854*I9854/1000000)*D9854,0)</f>
      </c>
    </row>
    <row r="9855" spans="1:13" x14ac:dyDescent="0.25">
      <c r="A9855" s="16"/>
      <c r="E9855" s="27"/>
      <c r="F9855" t="s">
        <v>26</v>
      </c>
      <c r="G9855" s="28">
        <f>IFERROR(VLOOKUP(F9855,CARTON_LOOKUP!$A:$E,3,0),"")</f>
      </c>
      <c r="H9855" s="28">
        <f>IFERROR(VLOOKUP(F9855,CARTON_LOOKUP!$A:$E,4,0),"")</f>
      </c>
      <c r="I9855" s="28">
        <f>IFERROR(VLOOKUP(F9855,CARTON_LOOKUP!$A:$E,5,0),"")</f>
      </c>
      <c r="J9855" s="29">
        <f>IFERROR(VLOOKUP(F9855,CARTON_LOOKUP!$A:$E,2,0),"")</f>
      </c>
      <c r="K9855" s="29">
        <f>IFERROR(J9855*D9855,0)</f>
      </c>
      <c r="L9855" s="29">
        <f>IFERROR(E9855*C9855,0)</f>
      </c>
      <c r="M9855" s="29">
        <f>IFERROR((G9855*H9855*I9855/1000000)*D9855,0)</f>
      </c>
    </row>
    <row r="9856" spans="1:13" x14ac:dyDescent="0.25">
      <c r="A9856" s="16"/>
      <c r="E9856" s="27"/>
      <c r="F9856" t="s">
        <v>26</v>
      </c>
      <c r="G9856" s="28">
        <f>IFERROR(VLOOKUP(F9856,CARTON_LOOKUP!$A:$E,3,0),"")</f>
      </c>
      <c r="H9856" s="28">
        <f>IFERROR(VLOOKUP(F9856,CARTON_LOOKUP!$A:$E,4,0),"")</f>
      </c>
      <c r="I9856" s="28">
        <f>IFERROR(VLOOKUP(F9856,CARTON_LOOKUP!$A:$E,5,0),"")</f>
      </c>
      <c r="J9856" s="29">
        <f>IFERROR(VLOOKUP(F9856,CARTON_LOOKUP!$A:$E,2,0),"")</f>
      </c>
      <c r="K9856" s="29">
        <f>IFERROR(J9856*D9856,0)</f>
      </c>
      <c r="L9856" s="29">
        <f>IFERROR(E9856*C9856,0)</f>
      </c>
      <c r="M9856" s="29">
        <f>IFERROR((G9856*H9856*I9856/1000000)*D9856,0)</f>
      </c>
    </row>
    <row r="9857" spans="1:13" x14ac:dyDescent="0.25">
      <c r="A9857" s="16"/>
      <c r="E9857" s="27"/>
      <c r="F9857" t="s">
        <v>26</v>
      </c>
      <c r="G9857" s="28">
        <f>IFERROR(VLOOKUP(F9857,CARTON_LOOKUP!$A:$E,3,0),"")</f>
      </c>
      <c r="H9857" s="28">
        <f>IFERROR(VLOOKUP(F9857,CARTON_LOOKUP!$A:$E,4,0),"")</f>
      </c>
      <c r="I9857" s="28">
        <f>IFERROR(VLOOKUP(F9857,CARTON_LOOKUP!$A:$E,5,0),"")</f>
      </c>
      <c r="J9857" s="29">
        <f>IFERROR(VLOOKUP(F9857,CARTON_LOOKUP!$A:$E,2,0),"")</f>
      </c>
      <c r="K9857" s="29">
        <f>IFERROR(J9857*D9857,0)</f>
      </c>
      <c r="L9857" s="29">
        <f>IFERROR(E9857*C9857,0)</f>
      </c>
      <c r="M9857" s="29">
        <f>IFERROR((G9857*H9857*I9857/1000000)*D9857,0)</f>
      </c>
    </row>
    <row r="9858" spans="1:13" x14ac:dyDescent="0.25">
      <c r="A9858" s="16"/>
      <c r="E9858" s="27"/>
      <c r="F9858" t="s">
        <v>26</v>
      </c>
      <c r="G9858" s="28">
        <f>IFERROR(VLOOKUP(F9858,CARTON_LOOKUP!$A:$E,3,0),"")</f>
      </c>
      <c r="H9858" s="28">
        <f>IFERROR(VLOOKUP(F9858,CARTON_LOOKUP!$A:$E,4,0),"")</f>
      </c>
      <c r="I9858" s="28">
        <f>IFERROR(VLOOKUP(F9858,CARTON_LOOKUP!$A:$E,5,0),"")</f>
      </c>
      <c r="J9858" s="29">
        <f>IFERROR(VLOOKUP(F9858,CARTON_LOOKUP!$A:$E,2,0),"")</f>
      </c>
      <c r="K9858" s="29">
        <f>IFERROR(J9858*D9858,0)</f>
      </c>
      <c r="L9858" s="29">
        <f>IFERROR(E9858*C9858,0)</f>
      </c>
      <c r="M9858" s="29">
        <f>IFERROR((G9858*H9858*I9858/1000000)*D9858,0)</f>
      </c>
    </row>
    <row r="9859" spans="1:13" x14ac:dyDescent="0.25">
      <c r="A9859" s="16"/>
      <c r="E9859" s="27"/>
      <c r="F9859" t="s">
        <v>26</v>
      </c>
      <c r="G9859" s="28">
        <f>IFERROR(VLOOKUP(F9859,CARTON_LOOKUP!$A:$E,3,0),"")</f>
      </c>
      <c r="H9859" s="28">
        <f>IFERROR(VLOOKUP(F9859,CARTON_LOOKUP!$A:$E,4,0),"")</f>
      </c>
      <c r="I9859" s="28">
        <f>IFERROR(VLOOKUP(F9859,CARTON_LOOKUP!$A:$E,5,0),"")</f>
      </c>
      <c r="J9859" s="29">
        <f>IFERROR(VLOOKUP(F9859,CARTON_LOOKUP!$A:$E,2,0),"")</f>
      </c>
      <c r="K9859" s="29">
        <f>IFERROR(J9859*D9859,0)</f>
      </c>
      <c r="L9859" s="29">
        <f>IFERROR(E9859*C9859,0)</f>
      </c>
      <c r="M9859" s="29">
        <f>IFERROR((G9859*H9859*I9859/1000000)*D9859,0)</f>
      </c>
    </row>
    <row r="9860" spans="1:13" x14ac:dyDescent="0.25">
      <c r="A9860" s="16"/>
      <c r="E9860" s="27"/>
      <c r="F9860" t="s">
        <v>26</v>
      </c>
      <c r="G9860" s="28">
        <f>IFERROR(VLOOKUP(F9860,CARTON_LOOKUP!$A:$E,3,0),"")</f>
      </c>
      <c r="H9860" s="28">
        <f>IFERROR(VLOOKUP(F9860,CARTON_LOOKUP!$A:$E,4,0),"")</f>
      </c>
      <c r="I9860" s="28">
        <f>IFERROR(VLOOKUP(F9860,CARTON_LOOKUP!$A:$E,5,0),"")</f>
      </c>
      <c r="J9860" s="29">
        <f>IFERROR(VLOOKUP(F9860,CARTON_LOOKUP!$A:$E,2,0),"")</f>
      </c>
      <c r="K9860" s="29">
        <f>IFERROR(J9860*D9860,0)</f>
      </c>
      <c r="L9860" s="29">
        <f>IFERROR(E9860*C9860,0)</f>
      </c>
      <c r="M9860" s="29">
        <f>IFERROR((G9860*H9860*I9860/1000000)*D9860,0)</f>
      </c>
    </row>
    <row r="9861" spans="1:13" x14ac:dyDescent="0.25">
      <c r="A9861" s="16"/>
      <c r="E9861" s="27"/>
      <c r="F9861" t="s">
        <v>26</v>
      </c>
      <c r="G9861" s="28">
        <f>IFERROR(VLOOKUP(F9861,CARTON_LOOKUP!$A:$E,3,0),"")</f>
      </c>
      <c r="H9861" s="28">
        <f>IFERROR(VLOOKUP(F9861,CARTON_LOOKUP!$A:$E,4,0),"")</f>
      </c>
      <c r="I9861" s="28">
        <f>IFERROR(VLOOKUP(F9861,CARTON_LOOKUP!$A:$E,5,0),"")</f>
      </c>
      <c r="J9861" s="29">
        <f>IFERROR(VLOOKUP(F9861,CARTON_LOOKUP!$A:$E,2,0),"")</f>
      </c>
      <c r="K9861" s="29">
        <f>IFERROR(J9861*D9861,0)</f>
      </c>
      <c r="L9861" s="29">
        <f>IFERROR(E9861*C9861,0)</f>
      </c>
      <c r="M9861" s="29">
        <f>IFERROR((G9861*H9861*I9861/1000000)*D9861,0)</f>
      </c>
    </row>
    <row r="9862" spans="1:13" x14ac:dyDescent="0.25">
      <c r="A9862" s="16"/>
      <c r="E9862" s="27"/>
      <c r="F9862" t="s">
        <v>26</v>
      </c>
      <c r="G9862" s="28">
        <f>IFERROR(VLOOKUP(F9862,CARTON_LOOKUP!$A:$E,3,0),"")</f>
      </c>
      <c r="H9862" s="28">
        <f>IFERROR(VLOOKUP(F9862,CARTON_LOOKUP!$A:$E,4,0),"")</f>
      </c>
      <c r="I9862" s="28">
        <f>IFERROR(VLOOKUP(F9862,CARTON_LOOKUP!$A:$E,5,0),"")</f>
      </c>
      <c r="J9862" s="29">
        <f>IFERROR(VLOOKUP(F9862,CARTON_LOOKUP!$A:$E,2,0),"")</f>
      </c>
      <c r="K9862" s="29">
        <f>IFERROR(J9862*D9862,0)</f>
      </c>
      <c r="L9862" s="29">
        <f>IFERROR(E9862*C9862,0)</f>
      </c>
      <c r="M9862" s="29">
        <f>IFERROR((G9862*H9862*I9862/1000000)*D9862,0)</f>
      </c>
    </row>
    <row r="9863" spans="1:13" x14ac:dyDescent="0.25">
      <c r="A9863" s="16"/>
      <c r="E9863" s="27"/>
      <c r="F9863" t="s">
        <v>26</v>
      </c>
      <c r="G9863" s="28">
        <f>IFERROR(VLOOKUP(F9863,CARTON_LOOKUP!$A:$E,3,0),"")</f>
      </c>
      <c r="H9863" s="28">
        <f>IFERROR(VLOOKUP(F9863,CARTON_LOOKUP!$A:$E,4,0),"")</f>
      </c>
      <c r="I9863" s="28">
        <f>IFERROR(VLOOKUP(F9863,CARTON_LOOKUP!$A:$E,5,0),"")</f>
      </c>
      <c r="J9863" s="29">
        <f>IFERROR(VLOOKUP(F9863,CARTON_LOOKUP!$A:$E,2,0),"")</f>
      </c>
      <c r="K9863" s="29">
        <f>IFERROR(J9863*D9863,0)</f>
      </c>
      <c r="L9863" s="29">
        <f>IFERROR(E9863*C9863,0)</f>
      </c>
      <c r="M9863" s="29">
        <f>IFERROR((G9863*H9863*I9863/1000000)*D9863,0)</f>
      </c>
    </row>
    <row r="9864" spans="1:13" x14ac:dyDescent="0.25">
      <c r="A9864" s="16"/>
      <c r="E9864" s="27"/>
      <c r="F9864" t="s">
        <v>26</v>
      </c>
      <c r="G9864" s="28">
        <f>IFERROR(VLOOKUP(F9864,CARTON_LOOKUP!$A:$E,3,0),"")</f>
      </c>
      <c r="H9864" s="28">
        <f>IFERROR(VLOOKUP(F9864,CARTON_LOOKUP!$A:$E,4,0),"")</f>
      </c>
      <c r="I9864" s="28">
        <f>IFERROR(VLOOKUP(F9864,CARTON_LOOKUP!$A:$E,5,0),"")</f>
      </c>
      <c r="J9864" s="29">
        <f>IFERROR(VLOOKUP(F9864,CARTON_LOOKUP!$A:$E,2,0),"")</f>
      </c>
      <c r="K9864" s="29">
        <f>IFERROR(J9864*D9864,0)</f>
      </c>
      <c r="L9864" s="29">
        <f>IFERROR(E9864*C9864,0)</f>
      </c>
      <c r="M9864" s="29">
        <f>IFERROR((G9864*H9864*I9864/1000000)*D9864,0)</f>
      </c>
    </row>
    <row r="9865" spans="1:13" x14ac:dyDescent="0.25">
      <c r="A9865" s="16"/>
      <c r="E9865" s="27"/>
      <c r="F9865" t="s">
        <v>26</v>
      </c>
      <c r="G9865" s="28">
        <f>IFERROR(VLOOKUP(F9865,CARTON_LOOKUP!$A:$E,3,0),"")</f>
      </c>
      <c r="H9865" s="28">
        <f>IFERROR(VLOOKUP(F9865,CARTON_LOOKUP!$A:$E,4,0),"")</f>
      </c>
      <c r="I9865" s="28">
        <f>IFERROR(VLOOKUP(F9865,CARTON_LOOKUP!$A:$E,5,0),"")</f>
      </c>
      <c r="J9865" s="29">
        <f>IFERROR(VLOOKUP(F9865,CARTON_LOOKUP!$A:$E,2,0),"")</f>
      </c>
      <c r="K9865" s="29">
        <f>IFERROR(J9865*D9865,0)</f>
      </c>
      <c r="L9865" s="29">
        <f>IFERROR(E9865*C9865,0)</f>
      </c>
      <c r="M9865" s="29">
        <f>IFERROR((G9865*H9865*I9865/1000000)*D9865,0)</f>
      </c>
    </row>
    <row r="9866" spans="1:13" x14ac:dyDescent="0.25">
      <c r="A9866" s="16"/>
      <c r="E9866" s="27"/>
      <c r="F9866" t="s">
        <v>26</v>
      </c>
      <c r="G9866" s="28">
        <f>IFERROR(VLOOKUP(F9866,CARTON_LOOKUP!$A:$E,3,0),"")</f>
      </c>
      <c r="H9866" s="28">
        <f>IFERROR(VLOOKUP(F9866,CARTON_LOOKUP!$A:$E,4,0),"")</f>
      </c>
      <c r="I9866" s="28">
        <f>IFERROR(VLOOKUP(F9866,CARTON_LOOKUP!$A:$E,5,0),"")</f>
      </c>
      <c r="J9866" s="29">
        <f>IFERROR(VLOOKUP(F9866,CARTON_LOOKUP!$A:$E,2,0),"")</f>
      </c>
      <c r="K9866" s="29">
        <f>IFERROR(J9866*D9866,0)</f>
      </c>
      <c r="L9866" s="29">
        <f>IFERROR(E9866*C9866,0)</f>
      </c>
      <c r="M9866" s="29">
        <f>IFERROR((G9866*H9866*I9866/1000000)*D9866,0)</f>
      </c>
    </row>
    <row r="9867" spans="1:13" x14ac:dyDescent="0.25">
      <c r="A9867" s="16"/>
      <c r="E9867" s="27"/>
      <c r="F9867" t="s">
        <v>26</v>
      </c>
      <c r="G9867" s="28">
        <f>IFERROR(VLOOKUP(F9867,CARTON_LOOKUP!$A:$E,3,0),"")</f>
      </c>
      <c r="H9867" s="28">
        <f>IFERROR(VLOOKUP(F9867,CARTON_LOOKUP!$A:$E,4,0),"")</f>
      </c>
      <c r="I9867" s="28">
        <f>IFERROR(VLOOKUP(F9867,CARTON_LOOKUP!$A:$E,5,0),"")</f>
      </c>
      <c r="J9867" s="29">
        <f>IFERROR(VLOOKUP(F9867,CARTON_LOOKUP!$A:$E,2,0),"")</f>
      </c>
      <c r="K9867" s="29">
        <f>IFERROR(J9867*D9867,0)</f>
      </c>
      <c r="L9867" s="29">
        <f>IFERROR(E9867*C9867,0)</f>
      </c>
      <c r="M9867" s="29">
        <f>IFERROR((G9867*H9867*I9867/1000000)*D9867,0)</f>
      </c>
    </row>
    <row r="9868" spans="1:13" x14ac:dyDescent="0.25">
      <c r="A9868" s="16"/>
      <c r="E9868" s="27"/>
      <c r="F9868" t="s">
        <v>26</v>
      </c>
      <c r="G9868" s="28">
        <f>IFERROR(VLOOKUP(F9868,CARTON_LOOKUP!$A:$E,3,0),"")</f>
      </c>
      <c r="H9868" s="28">
        <f>IFERROR(VLOOKUP(F9868,CARTON_LOOKUP!$A:$E,4,0),"")</f>
      </c>
      <c r="I9868" s="28">
        <f>IFERROR(VLOOKUP(F9868,CARTON_LOOKUP!$A:$E,5,0),"")</f>
      </c>
      <c r="J9868" s="29">
        <f>IFERROR(VLOOKUP(F9868,CARTON_LOOKUP!$A:$E,2,0),"")</f>
      </c>
      <c r="K9868" s="29">
        <f>IFERROR(J9868*D9868,0)</f>
      </c>
      <c r="L9868" s="29">
        <f>IFERROR(E9868*C9868,0)</f>
      </c>
      <c r="M9868" s="29">
        <f>IFERROR((G9868*H9868*I9868/1000000)*D9868,0)</f>
      </c>
    </row>
    <row r="9869" spans="1:13" x14ac:dyDescent="0.25">
      <c r="A9869" s="16"/>
      <c r="E9869" s="27"/>
      <c r="F9869" t="s">
        <v>26</v>
      </c>
      <c r="G9869" s="28">
        <f>IFERROR(VLOOKUP(F9869,CARTON_LOOKUP!$A:$E,3,0),"")</f>
      </c>
      <c r="H9869" s="28">
        <f>IFERROR(VLOOKUP(F9869,CARTON_LOOKUP!$A:$E,4,0),"")</f>
      </c>
      <c r="I9869" s="28">
        <f>IFERROR(VLOOKUP(F9869,CARTON_LOOKUP!$A:$E,5,0),"")</f>
      </c>
      <c r="J9869" s="29">
        <f>IFERROR(VLOOKUP(F9869,CARTON_LOOKUP!$A:$E,2,0),"")</f>
      </c>
      <c r="K9869" s="29">
        <f>IFERROR(J9869*D9869,0)</f>
      </c>
      <c r="L9869" s="29">
        <f>IFERROR(E9869*C9869,0)</f>
      </c>
      <c r="M9869" s="29">
        <f>IFERROR((G9869*H9869*I9869/1000000)*D9869,0)</f>
      </c>
    </row>
    <row r="9870" spans="1:13" x14ac:dyDescent="0.25">
      <c r="A9870" s="16"/>
      <c r="E9870" s="27"/>
      <c r="F9870" t="s">
        <v>26</v>
      </c>
      <c r="G9870" s="28">
        <f>IFERROR(VLOOKUP(F9870,CARTON_LOOKUP!$A:$E,3,0),"")</f>
      </c>
      <c r="H9870" s="28">
        <f>IFERROR(VLOOKUP(F9870,CARTON_LOOKUP!$A:$E,4,0),"")</f>
      </c>
      <c r="I9870" s="28">
        <f>IFERROR(VLOOKUP(F9870,CARTON_LOOKUP!$A:$E,5,0),"")</f>
      </c>
      <c r="J9870" s="29">
        <f>IFERROR(VLOOKUP(F9870,CARTON_LOOKUP!$A:$E,2,0),"")</f>
      </c>
      <c r="K9870" s="29">
        <f>IFERROR(J9870*D9870,0)</f>
      </c>
      <c r="L9870" s="29">
        <f>IFERROR(E9870*C9870,0)</f>
      </c>
      <c r="M9870" s="29">
        <f>IFERROR((G9870*H9870*I9870/1000000)*D9870,0)</f>
      </c>
    </row>
    <row r="9871" spans="1:13" x14ac:dyDescent="0.25">
      <c r="A9871" s="16"/>
      <c r="E9871" s="27"/>
      <c r="F9871" t="s">
        <v>26</v>
      </c>
      <c r="G9871" s="28">
        <f>IFERROR(VLOOKUP(F9871,CARTON_LOOKUP!$A:$E,3,0),"")</f>
      </c>
      <c r="H9871" s="28">
        <f>IFERROR(VLOOKUP(F9871,CARTON_LOOKUP!$A:$E,4,0),"")</f>
      </c>
      <c r="I9871" s="28">
        <f>IFERROR(VLOOKUP(F9871,CARTON_LOOKUP!$A:$E,5,0),"")</f>
      </c>
      <c r="J9871" s="29">
        <f>IFERROR(VLOOKUP(F9871,CARTON_LOOKUP!$A:$E,2,0),"")</f>
      </c>
      <c r="K9871" s="29">
        <f>IFERROR(J9871*D9871,0)</f>
      </c>
      <c r="L9871" s="29">
        <f>IFERROR(E9871*C9871,0)</f>
      </c>
      <c r="M9871" s="29">
        <f>IFERROR((G9871*H9871*I9871/1000000)*D9871,0)</f>
      </c>
    </row>
    <row r="9872" spans="1:13" x14ac:dyDescent="0.25">
      <c r="A9872" s="16"/>
      <c r="E9872" s="27"/>
      <c r="F9872" t="s">
        <v>26</v>
      </c>
      <c r="G9872" s="28">
        <f>IFERROR(VLOOKUP(F9872,CARTON_LOOKUP!$A:$E,3,0),"")</f>
      </c>
      <c r="H9872" s="28">
        <f>IFERROR(VLOOKUP(F9872,CARTON_LOOKUP!$A:$E,4,0),"")</f>
      </c>
      <c r="I9872" s="28">
        <f>IFERROR(VLOOKUP(F9872,CARTON_LOOKUP!$A:$E,5,0),"")</f>
      </c>
      <c r="J9872" s="29">
        <f>IFERROR(VLOOKUP(F9872,CARTON_LOOKUP!$A:$E,2,0),"")</f>
      </c>
      <c r="K9872" s="29">
        <f>IFERROR(J9872*D9872,0)</f>
      </c>
      <c r="L9872" s="29">
        <f>IFERROR(E9872*C9872,0)</f>
      </c>
      <c r="M9872" s="29">
        <f>IFERROR((G9872*H9872*I9872/1000000)*D9872,0)</f>
      </c>
    </row>
    <row r="9873" spans="1:13" x14ac:dyDescent="0.25">
      <c r="A9873" s="16"/>
      <c r="E9873" s="27"/>
      <c r="F9873" t="s">
        <v>26</v>
      </c>
      <c r="G9873" s="28">
        <f>IFERROR(VLOOKUP(F9873,CARTON_LOOKUP!$A:$E,3,0),"")</f>
      </c>
      <c r="H9873" s="28">
        <f>IFERROR(VLOOKUP(F9873,CARTON_LOOKUP!$A:$E,4,0),"")</f>
      </c>
      <c r="I9873" s="28">
        <f>IFERROR(VLOOKUP(F9873,CARTON_LOOKUP!$A:$E,5,0),"")</f>
      </c>
      <c r="J9873" s="29">
        <f>IFERROR(VLOOKUP(F9873,CARTON_LOOKUP!$A:$E,2,0),"")</f>
      </c>
      <c r="K9873" s="29">
        <f>IFERROR(J9873*D9873,0)</f>
      </c>
      <c r="L9873" s="29">
        <f>IFERROR(E9873*C9873,0)</f>
      </c>
      <c r="M9873" s="29">
        <f>IFERROR((G9873*H9873*I9873/1000000)*D9873,0)</f>
      </c>
    </row>
    <row r="9874" spans="1:13" x14ac:dyDescent="0.25">
      <c r="A9874" s="16"/>
      <c r="E9874" s="27"/>
      <c r="F9874" t="s">
        <v>26</v>
      </c>
      <c r="G9874" s="28">
        <f>IFERROR(VLOOKUP(F9874,CARTON_LOOKUP!$A:$E,3,0),"")</f>
      </c>
      <c r="H9874" s="28">
        <f>IFERROR(VLOOKUP(F9874,CARTON_LOOKUP!$A:$E,4,0),"")</f>
      </c>
      <c r="I9874" s="28">
        <f>IFERROR(VLOOKUP(F9874,CARTON_LOOKUP!$A:$E,5,0),"")</f>
      </c>
      <c r="J9874" s="29">
        <f>IFERROR(VLOOKUP(F9874,CARTON_LOOKUP!$A:$E,2,0),"")</f>
      </c>
      <c r="K9874" s="29">
        <f>IFERROR(J9874*D9874,0)</f>
      </c>
      <c r="L9874" s="29">
        <f>IFERROR(E9874*C9874,0)</f>
      </c>
      <c r="M9874" s="29">
        <f>IFERROR((G9874*H9874*I9874/1000000)*D9874,0)</f>
      </c>
    </row>
    <row r="9875" spans="1:13" x14ac:dyDescent="0.25">
      <c r="A9875" s="16"/>
      <c r="E9875" s="27"/>
      <c r="F9875" t="s">
        <v>26</v>
      </c>
      <c r="G9875" s="28">
        <f>IFERROR(VLOOKUP(F9875,CARTON_LOOKUP!$A:$E,3,0),"")</f>
      </c>
      <c r="H9875" s="28">
        <f>IFERROR(VLOOKUP(F9875,CARTON_LOOKUP!$A:$E,4,0),"")</f>
      </c>
      <c r="I9875" s="28">
        <f>IFERROR(VLOOKUP(F9875,CARTON_LOOKUP!$A:$E,5,0),"")</f>
      </c>
      <c r="J9875" s="29">
        <f>IFERROR(VLOOKUP(F9875,CARTON_LOOKUP!$A:$E,2,0),"")</f>
      </c>
      <c r="K9875" s="29">
        <f>IFERROR(J9875*D9875,0)</f>
      </c>
      <c r="L9875" s="29">
        <f>IFERROR(E9875*C9875,0)</f>
      </c>
      <c r="M9875" s="29">
        <f>IFERROR((G9875*H9875*I9875/1000000)*D9875,0)</f>
      </c>
    </row>
    <row r="9876" spans="1:13" x14ac:dyDescent="0.25">
      <c r="A9876" s="16"/>
      <c r="E9876" s="27"/>
      <c r="F9876" t="s">
        <v>26</v>
      </c>
      <c r="G9876" s="28">
        <f>IFERROR(VLOOKUP(F9876,CARTON_LOOKUP!$A:$E,3,0),"")</f>
      </c>
      <c r="H9876" s="28">
        <f>IFERROR(VLOOKUP(F9876,CARTON_LOOKUP!$A:$E,4,0),"")</f>
      </c>
      <c r="I9876" s="28">
        <f>IFERROR(VLOOKUP(F9876,CARTON_LOOKUP!$A:$E,5,0),"")</f>
      </c>
      <c r="J9876" s="29">
        <f>IFERROR(VLOOKUP(F9876,CARTON_LOOKUP!$A:$E,2,0),"")</f>
      </c>
      <c r="K9876" s="29">
        <f>IFERROR(J9876*D9876,0)</f>
      </c>
      <c r="L9876" s="29">
        <f>IFERROR(E9876*C9876,0)</f>
      </c>
      <c r="M9876" s="29">
        <f>IFERROR((G9876*H9876*I9876/1000000)*D9876,0)</f>
      </c>
    </row>
    <row r="9877" spans="1:13" x14ac:dyDescent="0.25">
      <c r="A9877" s="16"/>
      <c r="E9877" s="27"/>
      <c r="F9877" t="s">
        <v>26</v>
      </c>
      <c r="G9877" s="28">
        <f>IFERROR(VLOOKUP(F9877,CARTON_LOOKUP!$A:$E,3,0),"")</f>
      </c>
      <c r="H9877" s="28">
        <f>IFERROR(VLOOKUP(F9877,CARTON_LOOKUP!$A:$E,4,0),"")</f>
      </c>
      <c r="I9877" s="28">
        <f>IFERROR(VLOOKUP(F9877,CARTON_LOOKUP!$A:$E,5,0),"")</f>
      </c>
      <c r="J9877" s="29">
        <f>IFERROR(VLOOKUP(F9877,CARTON_LOOKUP!$A:$E,2,0),"")</f>
      </c>
      <c r="K9877" s="29">
        <f>IFERROR(J9877*D9877,0)</f>
      </c>
      <c r="L9877" s="29">
        <f>IFERROR(E9877*C9877,0)</f>
      </c>
      <c r="M9877" s="29">
        <f>IFERROR((G9877*H9877*I9877/1000000)*D9877,0)</f>
      </c>
    </row>
    <row r="9878" spans="1:13" x14ac:dyDescent="0.25">
      <c r="A9878" s="16"/>
      <c r="E9878" s="27"/>
      <c r="F9878" t="s">
        <v>26</v>
      </c>
      <c r="G9878" s="28">
        <f>IFERROR(VLOOKUP(F9878,CARTON_LOOKUP!$A:$E,3,0),"")</f>
      </c>
      <c r="H9878" s="28">
        <f>IFERROR(VLOOKUP(F9878,CARTON_LOOKUP!$A:$E,4,0),"")</f>
      </c>
      <c r="I9878" s="28">
        <f>IFERROR(VLOOKUP(F9878,CARTON_LOOKUP!$A:$E,5,0),"")</f>
      </c>
      <c r="J9878" s="29">
        <f>IFERROR(VLOOKUP(F9878,CARTON_LOOKUP!$A:$E,2,0),"")</f>
      </c>
      <c r="K9878" s="29">
        <f>IFERROR(J9878*D9878,0)</f>
      </c>
      <c r="L9878" s="29">
        <f>IFERROR(E9878*C9878,0)</f>
      </c>
      <c r="M9878" s="29">
        <f>IFERROR((G9878*H9878*I9878/1000000)*D9878,0)</f>
      </c>
    </row>
    <row r="9879" spans="1:13" x14ac:dyDescent="0.25">
      <c r="A9879" s="16"/>
      <c r="E9879" s="27"/>
      <c r="F9879" t="s">
        <v>26</v>
      </c>
      <c r="G9879" s="28">
        <f>IFERROR(VLOOKUP(F9879,CARTON_LOOKUP!$A:$E,3,0),"")</f>
      </c>
      <c r="H9879" s="28">
        <f>IFERROR(VLOOKUP(F9879,CARTON_LOOKUP!$A:$E,4,0),"")</f>
      </c>
      <c r="I9879" s="28">
        <f>IFERROR(VLOOKUP(F9879,CARTON_LOOKUP!$A:$E,5,0),"")</f>
      </c>
      <c r="J9879" s="29">
        <f>IFERROR(VLOOKUP(F9879,CARTON_LOOKUP!$A:$E,2,0),"")</f>
      </c>
      <c r="K9879" s="29">
        <f>IFERROR(J9879*D9879,0)</f>
      </c>
      <c r="L9879" s="29">
        <f>IFERROR(E9879*C9879,0)</f>
      </c>
      <c r="M9879" s="29">
        <f>IFERROR((G9879*H9879*I9879/1000000)*D9879,0)</f>
      </c>
    </row>
    <row r="9880" spans="1:13" x14ac:dyDescent="0.25">
      <c r="A9880" s="16"/>
      <c r="E9880" s="27"/>
      <c r="F9880" t="s">
        <v>26</v>
      </c>
      <c r="G9880" s="28">
        <f>IFERROR(VLOOKUP(F9880,CARTON_LOOKUP!$A:$E,3,0),"")</f>
      </c>
      <c r="H9880" s="28">
        <f>IFERROR(VLOOKUP(F9880,CARTON_LOOKUP!$A:$E,4,0),"")</f>
      </c>
      <c r="I9880" s="28">
        <f>IFERROR(VLOOKUP(F9880,CARTON_LOOKUP!$A:$E,5,0),"")</f>
      </c>
      <c r="J9880" s="29">
        <f>IFERROR(VLOOKUP(F9880,CARTON_LOOKUP!$A:$E,2,0),"")</f>
      </c>
      <c r="K9880" s="29">
        <f>IFERROR(J9880*D9880,0)</f>
      </c>
      <c r="L9880" s="29">
        <f>IFERROR(E9880*C9880,0)</f>
      </c>
      <c r="M9880" s="29">
        <f>IFERROR((G9880*H9880*I9880/1000000)*D9880,0)</f>
      </c>
    </row>
    <row r="9881" spans="1:13" x14ac:dyDescent="0.25">
      <c r="A9881" s="16"/>
      <c r="E9881" s="27"/>
      <c r="F9881" t="s">
        <v>26</v>
      </c>
      <c r="G9881" s="28">
        <f>IFERROR(VLOOKUP(F9881,CARTON_LOOKUP!$A:$E,3,0),"")</f>
      </c>
      <c r="H9881" s="28">
        <f>IFERROR(VLOOKUP(F9881,CARTON_LOOKUP!$A:$E,4,0),"")</f>
      </c>
      <c r="I9881" s="28">
        <f>IFERROR(VLOOKUP(F9881,CARTON_LOOKUP!$A:$E,5,0),"")</f>
      </c>
      <c r="J9881" s="29">
        <f>IFERROR(VLOOKUP(F9881,CARTON_LOOKUP!$A:$E,2,0),"")</f>
      </c>
      <c r="K9881" s="29">
        <f>IFERROR(J9881*D9881,0)</f>
      </c>
      <c r="L9881" s="29">
        <f>IFERROR(E9881*C9881,0)</f>
      </c>
      <c r="M9881" s="29">
        <f>IFERROR((G9881*H9881*I9881/1000000)*D9881,0)</f>
      </c>
    </row>
    <row r="9882" spans="1:13" x14ac:dyDescent="0.25">
      <c r="A9882" s="16"/>
      <c r="E9882" s="27"/>
      <c r="F9882" t="s">
        <v>26</v>
      </c>
      <c r="G9882" s="28">
        <f>IFERROR(VLOOKUP(F9882,CARTON_LOOKUP!$A:$E,3,0),"")</f>
      </c>
      <c r="H9882" s="28">
        <f>IFERROR(VLOOKUP(F9882,CARTON_LOOKUP!$A:$E,4,0),"")</f>
      </c>
      <c r="I9882" s="28">
        <f>IFERROR(VLOOKUP(F9882,CARTON_LOOKUP!$A:$E,5,0),"")</f>
      </c>
      <c r="J9882" s="29">
        <f>IFERROR(VLOOKUP(F9882,CARTON_LOOKUP!$A:$E,2,0),"")</f>
      </c>
      <c r="K9882" s="29">
        <f>IFERROR(J9882*D9882,0)</f>
      </c>
      <c r="L9882" s="29">
        <f>IFERROR(E9882*C9882,0)</f>
      </c>
      <c r="M9882" s="29">
        <f>IFERROR((G9882*H9882*I9882/1000000)*D9882,0)</f>
      </c>
    </row>
    <row r="9883" spans="1:13" x14ac:dyDescent="0.25">
      <c r="A9883" s="16"/>
      <c r="E9883" s="27"/>
      <c r="F9883" t="s">
        <v>26</v>
      </c>
      <c r="G9883" s="28">
        <f>IFERROR(VLOOKUP(F9883,CARTON_LOOKUP!$A:$E,3,0),"")</f>
      </c>
      <c r="H9883" s="28">
        <f>IFERROR(VLOOKUP(F9883,CARTON_LOOKUP!$A:$E,4,0),"")</f>
      </c>
      <c r="I9883" s="28">
        <f>IFERROR(VLOOKUP(F9883,CARTON_LOOKUP!$A:$E,5,0),"")</f>
      </c>
      <c r="J9883" s="29">
        <f>IFERROR(VLOOKUP(F9883,CARTON_LOOKUP!$A:$E,2,0),"")</f>
      </c>
      <c r="K9883" s="29">
        <f>IFERROR(J9883*D9883,0)</f>
      </c>
      <c r="L9883" s="29">
        <f>IFERROR(E9883*C9883,0)</f>
      </c>
      <c r="M9883" s="29">
        <f>IFERROR((G9883*H9883*I9883/1000000)*D9883,0)</f>
      </c>
    </row>
    <row r="9884" spans="1:13" x14ac:dyDescent="0.25">
      <c r="A9884" s="16"/>
      <c r="E9884" s="27"/>
      <c r="F9884" t="s">
        <v>26</v>
      </c>
      <c r="G9884" s="28">
        <f>IFERROR(VLOOKUP(F9884,CARTON_LOOKUP!$A:$E,3,0),"")</f>
      </c>
      <c r="H9884" s="28">
        <f>IFERROR(VLOOKUP(F9884,CARTON_LOOKUP!$A:$E,4,0),"")</f>
      </c>
      <c r="I9884" s="28">
        <f>IFERROR(VLOOKUP(F9884,CARTON_LOOKUP!$A:$E,5,0),"")</f>
      </c>
      <c r="J9884" s="29">
        <f>IFERROR(VLOOKUP(F9884,CARTON_LOOKUP!$A:$E,2,0),"")</f>
      </c>
      <c r="K9884" s="29">
        <f>IFERROR(J9884*D9884,0)</f>
      </c>
      <c r="L9884" s="29">
        <f>IFERROR(E9884*C9884,0)</f>
      </c>
      <c r="M9884" s="29">
        <f>IFERROR((G9884*H9884*I9884/1000000)*D9884,0)</f>
      </c>
    </row>
    <row r="9885" spans="1:13" x14ac:dyDescent="0.25">
      <c r="A9885" s="16"/>
      <c r="E9885" s="27"/>
      <c r="F9885" t="s">
        <v>26</v>
      </c>
      <c r="G9885" s="28">
        <f>IFERROR(VLOOKUP(F9885,CARTON_LOOKUP!$A:$E,3,0),"")</f>
      </c>
      <c r="H9885" s="28">
        <f>IFERROR(VLOOKUP(F9885,CARTON_LOOKUP!$A:$E,4,0),"")</f>
      </c>
      <c r="I9885" s="28">
        <f>IFERROR(VLOOKUP(F9885,CARTON_LOOKUP!$A:$E,5,0),"")</f>
      </c>
      <c r="J9885" s="29">
        <f>IFERROR(VLOOKUP(F9885,CARTON_LOOKUP!$A:$E,2,0),"")</f>
      </c>
      <c r="K9885" s="29">
        <f>IFERROR(J9885*D9885,0)</f>
      </c>
      <c r="L9885" s="29">
        <f>IFERROR(E9885*C9885,0)</f>
      </c>
      <c r="M9885" s="29">
        <f>IFERROR((G9885*H9885*I9885/1000000)*D9885,0)</f>
      </c>
    </row>
    <row r="9886" spans="1:13" x14ac:dyDescent="0.25">
      <c r="A9886" s="16"/>
      <c r="E9886" s="27"/>
      <c r="F9886" t="s">
        <v>26</v>
      </c>
      <c r="G9886" s="28">
        <f>IFERROR(VLOOKUP(F9886,CARTON_LOOKUP!$A:$E,3,0),"")</f>
      </c>
      <c r="H9886" s="28">
        <f>IFERROR(VLOOKUP(F9886,CARTON_LOOKUP!$A:$E,4,0),"")</f>
      </c>
      <c r="I9886" s="28">
        <f>IFERROR(VLOOKUP(F9886,CARTON_LOOKUP!$A:$E,5,0),"")</f>
      </c>
      <c r="J9886" s="29">
        <f>IFERROR(VLOOKUP(F9886,CARTON_LOOKUP!$A:$E,2,0),"")</f>
      </c>
      <c r="K9886" s="29">
        <f>IFERROR(J9886*D9886,0)</f>
      </c>
      <c r="L9886" s="29">
        <f>IFERROR(E9886*C9886,0)</f>
      </c>
      <c r="M9886" s="29">
        <f>IFERROR((G9886*H9886*I9886/1000000)*D9886,0)</f>
      </c>
    </row>
    <row r="9887" spans="1:13" x14ac:dyDescent="0.25">
      <c r="A9887" s="16"/>
      <c r="E9887" s="27"/>
      <c r="F9887" t="s">
        <v>26</v>
      </c>
      <c r="G9887" s="28">
        <f>IFERROR(VLOOKUP(F9887,CARTON_LOOKUP!$A:$E,3,0),"")</f>
      </c>
      <c r="H9887" s="28">
        <f>IFERROR(VLOOKUP(F9887,CARTON_LOOKUP!$A:$E,4,0),"")</f>
      </c>
      <c r="I9887" s="28">
        <f>IFERROR(VLOOKUP(F9887,CARTON_LOOKUP!$A:$E,5,0),"")</f>
      </c>
      <c r="J9887" s="29">
        <f>IFERROR(VLOOKUP(F9887,CARTON_LOOKUP!$A:$E,2,0),"")</f>
      </c>
      <c r="K9887" s="29">
        <f>IFERROR(J9887*D9887,0)</f>
      </c>
      <c r="L9887" s="29">
        <f>IFERROR(E9887*C9887,0)</f>
      </c>
      <c r="M9887" s="29">
        <f>IFERROR((G9887*H9887*I9887/1000000)*D9887,0)</f>
      </c>
    </row>
    <row r="9888" spans="1:13" x14ac:dyDescent="0.25">
      <c r="A9888" s="16"/>
      <c r="E9888" s="27"/>
      <c r="F9888" t="s">
        <v>26</v>
      </c>
      <c r="G9888" s="28">
        <f>IFERROR(VLOOKUP(F9888,CARTON_LOOKUP!$A:$E,3,0),"")</f>
      </c>
      <c r="H9888" s="28">
        <f>IFERROR(VLOOKUP(F9888,CARTON_LOOKUP!$A:$E,4,0),"")</f>
      </c>
      <c r="I9888" s="28">
        <f>IFERROR(VLOOKUP(F9888,CARTON_LOOKUP!$A:$E,5,0),"")</f>
      </c>
      <c r="J9888" s="29">
        <f>IFERROR(VLOOKUP(F9888,CARTON_LOOKUP!$A:$E,2,0),"")</f>
      </c>
      <c r="K9888" s="29">
        <f>IFERROR(J9888*D9888,0)</f>
      </c>
      <c r="L9888" s="29">
        <f>IFERROR(E9888*C9888,0)</f>
      </c>
      <c r="M9888" s="29">
        <f>IFERROR((G9888*H9888*I9888/1000000)*D9888,0)</f>
      </c>
    </row>
    <row r="9889" spans="1:13" x14ac:dyDescent="0.25">
      <c r="A9889" s="16"/>
      <c r="E9889" s="27"/>
      <c r="F9889" t="s">
        <v>26</v>
      </c>
      <c r="G9889" s="28">
        <f>IFERROR(VLOOKUP(F9889,CARTON_LOOKUP!$A:$E,3,0),"")</f>
      </c>
      <c r="H9889" s="28">
        <f>IFERROR(VLOOKUP(F9889,CARTON_LOOKUP!$A:$E,4,0),"")</f>
      </c>
      <c r="I9889" s="28">
        <f>IFERROR(VLOOKUP(F9889,CARTON_LOOKUP!$A:$E,5,0),"")</f>
      </c>
      <c r="J9889" s="29">
        <f>IFERROR(VLOOKUP(F9889,CARTON_LOOKUP!$A:$E,2,0),"")</f>
      </c>
      <c r="K9889" s="29">
        <f>IFERROR(J9889*D9889,0)</f>
      </c>
      <c r="L9889" s="29">
        <f>IFERROR(E9889*C9889,0)</f>
      </c>
      <c r="M9889" s="29">
        <f>IFERROR((G9889*H9889*I9889/1000000)*D9889,0)</f>
      </c>
    </row>
    <row r="9890" spans="1:13" x14ac:dyDescent="0.25">
      <c r="A9890" s="16"/>
      <c r="E9890" s="27"/>
      <c r="F9890" t="s">
        <v>26</v>
      </c>
      <c r="G9890" s="28">
        <f>IFERROR(VLOOKUP(F9890,CARTON_LOOKUP!$A:$E,3,0),"")</f>
      </c>
      <c r="H9890" s="28">
        <f>IFERROR(VLOOKUP(F9890,CARTON_LOOKUP!$A:$E,4,0),"")</f>
      </c>
      <c r="I9890" s="28">
        <f>IFERROR(VLOOKUP(F9890,CARTON_LOOKUP!$A:$E,5,0),"")</f>
      </c>
      <c r="J9890" s="29">
        <f>IFERROR(VLOOKUP(F9890,CARTON_LOOKUP!$A:$E,2,0),"")</f>
      </c>
      <c r="K9890" s="29">
        <f>IFERROR(J9890*D9890,0)</f>
      </c>
      <c r="L9890" s="29">
        <f>IFERROR(E9890*C9890,0)</f>
      </c>
      <c r="M9890" s="29">
        <f>IFERROR((G9890*H9890*I9890/1000000)*D9890,0)</f>
      </c>
    </row>
    <row r="9891" spans="1:13" x14ac:dyDescent="0.25">
      <c r="A9891" s="16"/>
      <c r="E9891" s="27"/>
      <c r="F9891" t="s">
        <v>26</v>
      </c>
      <c r="G9891" s="28">
        <f>IFERROR(VLOOKUP(F9891,CARTON_LOOKUP!$A:$E,3,0),"")</f>
      </c>
      <c r="H9891" s="28">
        <f>IFERROR(VLOOKUP(F9891,CARTON_LOOKUP!$A:$E,4,0),"")</f>
      </c>
      <c r="I9891" s="28">
        <f>IFERROR(VLOOKUP(F9891,CARTON_LOOKUP!$A:$E,5,0),"")</f>
      </c>
      <c r="J9891" s="29">
        <f>IFERROR(VLOOKUP(F9891,CARTON_LOOKUP!$A:$E,2,0),"")</f>
      </c>
      <c r="K9891" s="29">
        <f>IFERROR(J9891*D9891,0)</f>
      </c>
      <c r="L9891" s="29">
        <f>IFERROR(E9891*C9891,0)</f>
      </c>
      <c r="M9891" s="29">
        <f>IFERROR((G9891*H9891*I9891/1000000)*D9891,0)</f>
      </c>
    </row>
    <row r="9892" spans="1:13" x14ac:dyDescent="0.25">
      <c r="A9892" s="16"/>
      <c r="E9892" s="27"/>
      <c r="F9892" t="s">
        <v>26</v>
      </c>
      <c r="G9892" s="28">
        <f>IFERROR(VLOOKUP(F9892,CARTON_LOOKUP!$A:$E,3,0),"")</f>
      </c>
      <c r="H9892" s="28">
        <f>IFERROR(VLOOKUP(F9892,CARTON_LOOKUP!$A:$E,4,0),"")</f>
      </c>
      <c r="I9892" s="28">
        <f>IFERROR(VLOOKUP(F9892,CARTON_LOOKUP!$A:$E,5,0),"")</f>
      </c>
      <c r="J9892" s="29">
        <f>IFERROR(VLOOKUP(F9892,CARTON_LOOKUP!$A:$E,2,0),"")</f>
      </c>
      <c r="K9892" s="29">
        <f>IFERROR(J9892*D9892,0)</f>
      </c>
      <c r="L9892" s="29">
        <f>IFERROR(E9892*C9892,0)</f>
      </c>
      <c r="M9892" s="29">
        <f>IFERROR((G9892*H9892*I9892/1000000)*D9892,0)</f>
      </c>
    </row>
    <row r="9893" spans="1:13" x14ac:dyDescent="0.25">
      <c r="A9893" s="16"/>
      <c r="E9893" s="27"/>
      <c r="F9893" t="s">
        <v>26</v>
      </c>
      <c r="G9893" s="28">
        <f>IFERROR(VLOOKUP(F9893,CARTON_LOOKUP!$A:$E,3,0),"")</f>
      </c>
      <c r="H9893" s="28">
        <f>IFERROR(VLOOKUP(F9893,CARTON_LOOKUP!$A:$E,4,0),"")</f>
      </c>
      <c r="I9893" s="28">
        <f>IFERROR(VLOOKUP(F9893,CARTON_LOOKUP!$A:$E,5,0),"")</f>
      </c>
      <c r="J9893" s="29">
        <f>IFERROR(VLOOKUP(F9893,CARTON_LOOKUP!$A:$E,2,0),"")</f>
      </c>
      <c r="K9893" s="29">
        <f>IFERROR(J9893*D9893,0)</f>
      </c>
      <c r="L9893" s="29">
        <f>IFERROR(E9893*C9893,0)</f>
      </c>
      <c r="M9893" s="29">
        <f>IFERROR((G9893*H9893*I9893/1000000)*D9893,0)</f>
      </c>
    </row>
    <row r="9894" spans="1:13" x14ac:dyDescent="0.25">
      <c r="A9894" s="16"/>
      <c r="E9894" s="27"/>
      <c r="F9894" t="s">
        <v>26</v>
      </c>
      <c r="G9894" s="28">
        <f>IFERROR(VLOOKUP(F9894,CARTON_LOOKUP!$A:$E,3,0),"")</f>
      </c>
      <c r="H9894" s="28">
        <f>IFERROR(VLOOKUP(F9894,CARTON_LOOKUP!$A:$E,4,0),"")</f>
      </c>
      <c r="I9894" s="28">
        <f>IFERROR(VLOOKUP(F9894,CARTON_LOOKUP!$A:$E,5,0),"")</f>
      </c>
      <c r="J9894" s="29">
        <f>IFERROR(VLOOKUP(F9894,CARTON_LOOKUP!$A:$E,2,0),"")</f>
      </c>
      <c r="K9894" s="29">
        <f>IFERROR(J9894*D9894,0)</f>
      </c>
      <c r="L9894" s="29">
        <f>IFERROR(E9894*C9894,0)</f>
      </c>
      <c r="M9894" s="29">
        <f>IFERROR((G9894*H9894*I9894/1000000)*D9894,0)</f>
      </c>
    </row>
    <row r="9895" spans="1:13" x14ac:dyDescent="0.25">
      <c r="A9895" s="16"/>
      <c r="E9895" s="27"/>
      <c r="F9895" t="s">
        <v>26</v>
      </c>
      <c r="G9895" s="28">
        <f>IFERROR(VLOOKUP(F9895,CARTON_LOOKUP!$A:$E,3,0),"")</f>
      </c>
      <c r="H9895" s="28">
        <f>IFERROR(VLOOKUP(F9895,CARTON_LOOKUP!$A:$E,4,0),"")</f>
      </c>
      <c r="I9895" s="28">
        <f>IFERROR(VLOOKUP(F9895,CARTON_LOOKUP!$A:$E,5,0),"")</f>
      </c>
      <c r="J9895" s="29">
        <f>IFERROR(VLOOKUP(F9895,CARTON_LOOKUP!$A:$E,2,0),"")</f>
      </c>
      <c r="K9895" s="29">
        <f>IFERROR(J9895*D9895,0)</f>
      </c>
      <c r="L9895" s="29">
        <f>IFERROR(E9895*C9895,0)</f>
      </c>
      <c r="M9895" s="29">
        <f>IFERROR((G9895*H9895*I9895/1000000)*D9895,0)</f>
      </c>
    </row>
    <row r="9896" spans="1:13" x14ac:dyDescent="0.25">
      <c r="A9896" s="16"/>
      <c r="E9896" s="27"/>
      <c r="F9896" t="s">
        <v>26</v>
      </c>
      <c r="G9896" s="28">
        <f>IFERROR(VLOOKUP(F9896,CARTON_LOOKUP!$A:$E,3,0),"")</f>
      </c>
      <c r="H9896" s="28">
        <f>IFERROR(VLOOKUP(F9896,CARTON_LOOKUP!$A:$E,4,0),"")</f>
      </c>
      <c r="I9896" s="28">
        <f>IFERROR(VLOOKUP(F9896,CARTON_LOOKUP!$A:$E,5,0),"")</f>
      </c>
      <c r="J9896" s="29">
        <f>IFERROR(VLOOKUP(F9896,CARTON_LOOKUP!$A:$E,2,0),"")</f>
      </c>
      <c r="K9896" s="29">
        <f>IFERROR(J9896*D9896,0)</f>
      </c>
      <c r="L9896" s="29">
        <f>IFERROR(E9896*C9896,0)</f>
      </c>
      <c r="M9896" s="29">
        <f>IFERROR((G9896*H9896*I9896/1000000)*D9896,0)</f>
      </c>
    </row>
    <row r="9897" spans="1:13" x14ac:dyDescent="0.25">
      <c r="A9897" s="16"/>
      <c r="E9897" s="27"/>
      <c r="F9897" t="s">
        <v>26</v>
      </c>
      <c r="G9897" s="28">
        <f>IFERROR(VLOOKUP(F9897,CARTON_LOOKUP!$A:$E,3,0),"")</f>
      </c>
      <c r="H9897" s="28">
        <f>IFERROR(VLOOKUP(F9897,CARTON_LOOKUP!$A:$E,4,0),"")</f>
      </c>
      <c r="I9897" s="28">
        <f>IFERROR(VLOOKUP(F9897,CARTON_LOOKUP!$A:$E,5,0),"")</f>
      </c>
      <c r="J9897" s="29">
        <f>IFERROR(VLOOKUP(F9897,CARTON_LOOKUP!$A:$E,2,0),"")</f>
      </c>
      <c r="K9897" s="29">
        <f>IFERROR(J9897*D9897,0)</f>
      </c>
      <c r="L9897" s="29">
        <f>IFERROR(E9897*C9897,0)</f>
      </c>
      <c r="M9897" s="29">
        <f>IFERROR((G9897*H9897*I9897/1000000)*D9897,0)</f>
      </c>
    </row>
    <row r="9898" spans="1:13" x14ac:dyDescent="0.25">
      <c r="A9898" s="16"/>
      <c r="E9898" s="27"/>
      <c r="F9898" t="s">
        <v>26</v>
      </c>
      <c r="G9898" s="28">
        <f>IFERROR(VLOOKUP(F9898,CARTON_LOOKUP!$A:$E,3,0),"")</f>
      </c>
      <c r="H9898" s="28">
        <f>IFERROR(VLOOKUP(F9898,CARTON_LOOKUP!$A:$E,4,0),"")</f>
      </c>
      <c r="I9898" s="28">
        <f>IFERROR(VLOOKUP(F9898,CARTON_LOOKUP!$A:$E,5,0),"")</f>
      </c>
      <c r="J9898" s="29">
        <f>IFERROR(VLOOKUP(F9898,CARTON_LOOKUP!$A:$E,2,0),"")</f>
      </c>
      <c r="K9898" s="29">
        <f>IFERROR(J9898*D9898,0)</f>
      </c>
      <c r="L9898" s="29">
        <f>IFERROR(E9898*C9898,0)</f>
      </c>
      <c r="M9898" s="29">
        <f>IFERROR((G9898*H9898*I9898/1000000)*D9898,0)</f>
      </c>
    </row>
    <row r="9899" spans="1:13" x14ac:dyDescent="0.25">
      <c r="A9899" s="16"/>
      <c r="E9899" s="27"/>
      <c r="F9899" t="s">
        <v>26</v>
      </c>
      <c r="G9899" s="28">
        <f>IFERROR(VLOOKUP(F9899,CARTON_LOOKUP!$A:$E,3,0),"")</f>
      </c>
      <c r="H9899" s="28">
        <f>IFERROR(VLOOKUP(F9899,CARTON_LOOKUP!$A:$E,4,0),"")</f>
      </c>
      <c r="I9899" s="28">
        <f>IFERROR(VLOOKUP(F9899,CARTON_LOOKUP!$A:$E,5,0),"")</f>
      </c>
      <c r="J9899" s="29">
        <f>IFERROR(VLOOKUP(F9899,CARTON_LOOKUP!$A:$E,2,0),"")</f>
      </c>
      <c r="K9899" s="29">
        <f>IFERROR(J9899*D9899,0)</f>
      </c>
      <c r="L9899" s="29">
        <f>IFERROR(E9899*C9899,0)</f>
      </c>
      <c r="M9899" s="29">
        <f>IFERROR((G9899*H9899*I9899/1000000)*D9899,0)</f>
      </c>
    </row>
    <row r="9900" spans="1:13" x14ac:dyDescent="0.25">
      <c r="A9900" s="16"/>
      <c r="E9900" s="27"/>
      <c r="F9900" t="s">
        <v>26</v>
      </c>
      <c r="G9900" s="28">
        <f>IFERROR(VLOOKUP(F9900,CARTON_LOOKUP!$A:$E,3,0),"")</f>
      </c>
      <c r="H9900" s="28">
        <f>IFERROR(VLOOKUP(F9900,CARTON_LOOKUP!$A:$E,4,0),"")</f>
      </c>
      <c r="I9900" s="28">
        <f>IFERROR(VLOOKUP(F9900,CARTON_LOOKUP!$A:$E,5,0),"")</f>
      </c>
      <c r="J9900" s="29">
        <f>IFERROR(VLOOKUP(F9900,CARTON_LOOKUP!$A:$E,2,0),"")</f>
      </c>
      <c r="K9900" s="29">
        <f>IFERROR(J9900*D9900,0)</f>
      </c>
      <c r="L9900" s="29">
        <f>IFERROR(E9900*C9900,0)</f>
      </c>
      <c r="M9900" s="29">
        <f>IFERROR((G9900*H9900*I9900/1000000)*D9900,0)</f>
      </c>
    </row>
    <row r="9901" spans="1:13" x14ac:dyDescent="0.25">
      <c r="A9901" s="16"/>
      <c r="E9901" s="27"/>
      <c r="F9901" t="s">
        <v>26</v>
      </c>
      <c r="G9901" s="28">
        <f>IFERROR(VLOOKUP(F9901,CARTON_LOOKUP!$A:$E,3,0),"")</f>
      </c>
      <c r="H9901" s="28">
        <f>IFERROR(VLOOKUP(F9901,CARTON_LOOKUP!$A:$E,4,0),"")</f>
      </c>
      <c r="I9901" s="28">
        <f>IFERROR(VLOOKUP(F9901,CARTON_LOOKUP!$A:$E,5,0),"")</f>
      </c>
      <c r="J9901" s="29">
        <f>IFERROR(VLOOKUP(F9901,CARTON_LOOKUP!$A:$E,2,0),"")</f>
      </c>
      <c r="K9901" s="29">
        <f>IFERROR(J9901*D9901,0)</f>
      </c>
      <c r="L9901" s="29">
        <f>IFERROR(E9901*C9901,0)</f>
      </c>
      <c r="M9901" s="29">
        <f>IFERROR((G9901*H9901*I9901/1000000)*D9901,0)</f>
      </c>
    </row>
    <row r="9902" spans="1:13" x14ac:dyDescent="0.25">
      <c r="A9902" s="16"/>
      <c r="E9902" s="27"/>
      <c r="F9902" t="s">
        <v>26</v>
      </c>
      <c r="G9902" s="28">
        <f>IFERROR(VLOOKUP(F9902,CARTON_LOOKUP!$A:$E,3,0),"")</f>
      </c>
      <c r="H9902" s="28">
        <f>IFERROR(VLOOKUP(F9902,CARTON_LOOKUP!$A:$E,4,0),"")</f>
      </c>
      <c r="I9902" s="28">
        <f>IFERROR(VLOOKUP(F9902,CARTON_LOOKUP!$A:$E,5,0),"")</f>
      </c>
      <c r="J9902" s="29">
        <f>IFERROR(VLOOKUP(F9902,CARTON_LOOKUP!$A:$E,2,0),"")</f>
      </c>
      <c r="K9902" s="29">
        <f>IFERROR(J9902*D9902,0)</f>
      </c>
      <c r="L9902" s="29">
        <f>IFERROR(E9902*C9902,0)</f>
      </c>
      <c r="M9902" s="29">
        <f>IFERROR((G9902*H9902*I9902/1000000)*D9902,0)</f>
      </c>
    </row>
    <row r="9903" spans="1:13" x14ac:dyDescent="0.25">
      <c r="A9903" s="16"/>
      <c r="E9903" s="27"/>
      <c r="F9903" t="s">
        <v>26</v>
      </c>
      <c r="G9903" s="28">
        <f>IFERROR(VLOOKUP(F9903,CARTON_LOOKUP!$A:$E,3,0),"")</f>
      </c>
      <c r="H9903" s="28">
        <f>IFERROR(VLOOKUP(F9903,CARTON_LOOKUP!$A:$E,4,0),"")</f>
      </c>
      <c r="I9903" s="28">
        <f>IFERROR(VLOOKUP(F9903,CARTON_LOOKUP!$A:$E,5,0),"")</f>
      </c>
      <c r="J9903" s="29">
        <f>IFERROR(VLOOKUP(F9903,CARTON_LOOKUP!$A:$E,2,0),"")</f>
      </c>
      <c r="K9903" s="29">
        <f>IFERROR(J9903*D9903,0)</f>
      </c>
      <c r="L9903" s="29">
        <f>IFERROR(E9903*C9903,0)</f>
      </c>
      <c r="M9903" s="29">
        <f>IFERROR((G9903*H9903*I9903/1000000)*D9903,0)</f>
      </c>
    </row>
    <row r="9904" spans="1:13" x14ac:dyDescent="0.25">
      <c r="A9904" s="16"/>
      <c r="E9904" s="27"/>
      <c r="F9904" t="s">
        <v>26</v>
      </c>
      <c r="G9904" s="28">
        <f>IFERROR(VLOOKUP(F9904,CARTON_LOOKUP!$A:$E,3,0),"")</f>
      </c>
      <c r="H9904" s="28">
        <f>IFERROR(VLOOKUP(F9904,CARTON_LOOKUP!$A:$E,4,0),"")</f>
      </c>
      <c r="I9904" s="28">
        <f>IFERROR(VLOOKUP(F9904,CARTON_LOOKUP!$A:$E,5,0),"")</f>
      </c>
      <c r="J9904" s="29">
        <f>IFERROR(VLOOKUP(F9904,CARTON_LOOKUP!$A:$E,2,0),"")</f>
      </c>
      <c r="K9904" s="29">
        <f>IFERROR(J9904*D9904,0)</f>
      </c>
      <c r="L9904" s="29">
        <f>IFERROR(E9904*C9904,0)</f>
      </c>
      <c r="M9904" s="29">
        <f>IFERROR((G9904*H9904*I9904/1000000)*D9904,0)</f>
      </c>
    </row>
    <row r="9905" spans="1:13" x14ac:dyDescent="0.25">
      <c r="A9905" s="16"/>
      <c r="E9905" s="27"/>
      <c r="F9905" t="s">
        <v>26</v>
      </c>
      <c r="G9905" s="28">
        <f>IFERROR(VLOOKUP(F9905,CARTON_LOOKUP!$A:$E,3,0),"")</f>
      </c>
      <c r="H9905" s="28">
        <f>IFERROR(VLOOKUP(F9905,CARTON_LOOKUP!$A:$E,4,0),"")</f>
      </c>
      <c r="I9905" s="28">
        <f>IFERROR(VLOOKUP(F9905,CARTON_LOOKUP!$A:$E,5,0),"")</f>
      </c>
      <c r="J9905" s="29">
        <f>IFERROR(VLOOKUP(F9905,CARTON_LOOKUP!$A:$E,2,0),"")</f>
      </c>
      <c r="K9905" s="29">
        <f>IFERROR(J9905*D9905,0)</f>
      </c>
      <c r="L9905" s="29">
        <f>IFERROR(E9905*C9905,0)</f>
      </c>
      <c r="M9905" s="29">
        <f>IFERROR((G9905*H9905*I9905/1000000)*D9905,0)</f>
      </c>
    </row>
    <row r="9906" spans="1:13" x14ac:dyDescent="0.25">
      <c r="A9906" s="16"/>
      <c r="E9906" s="27"/>
      <c r="F9906" t="s">
        <v>26</v>
      </c>
      <c r="G9906" s="28">
        <f>IFERROR(VLOOKUP(F9906,CARTON_LOOKUP!$A:$E,3,0),"")</f>
      </c>
      <c r="H9906" s="28">
        <f>IFERROR(VLOOKUP(F9906,CARTON_LOOKUP!$A:$E,4,0),"")</f>
      </c>
      <c r="I9906" s="28">
        <f>IFERROR(VLOOKUP(F9906,CARTON_LOOKUP!$A:$E,5,0),"")</f>
      </c>
      <c r="J9906" s="29">
        <f>IFERROR(VLOOKUP(F9906,CARTON_LOOKUP!$A:$E,2,0),"")</f>
      </c>
      <c r="K9906" s="29">
        <f>IFERROR(J9906*D9906,0)</f>
      </c>
      <c r="L9906" s="29">
        <f>IFERROR(E9906*C9906,0)</f>
      </c>
      <c r="M9906" s="29">
        <f>IFERROR((G9906*H9906*I9906/1000000)*D9906,0)</f>
      </c>
    </row>
    <row r="9907" spans="1:13" x14ac:dyDescent="0.25">
      <c r="A9907" s="16"/>
      <c r="E9907" s="27"/>
      <c r="F9907" t="s">
        <v>26</v>
      </c>
      <c r="G9907" s="28">
        <f>IFERROR(VLOOKUP(F9907,CARTON_LOOKUP!$A:$E,3,0),"")</f>
      </c>
      <c r="H9907" s="28">
        <f>IFERROR(VLOOKUP(F9907,CARTON_LOOKUP!$A:$E,4,0),"")</f>
      </c>
      <c r="I9907" s="28">
        <f>IFERROR(VLOOKUP(F9907,CARTON_LOOKUP!$A:$E,5,0),"")</f>
      </c>
      <c r="J9907" s="29">
        <f>IFERROR(VLOOKUP(F9907,CARTON_LOOKUP!$A:$E,2,0),"")</f>
      </c>
      <c r="K9907" s="29">
        <f>IFERROR(J9907*D9907,0)</f>
      </c>
      <c r="L9907" s="29">
        <f>IFERROR(E9907*C9907,0)</f>
      </c>
      <c r="M9907" s="29">
        <f>IFERROR((G9907*H9907*I9907/1000000)*D9907,0)</f>
      </c>
    </row>
    <row r="9908" spans="1:13" x14ac:dyDescent="0.25">
      <c r="A9908" s="16"/>
      <c r="E9908" s="27"/>
      <c r="F9908" t="s">
        <v>26</v>
      </c>
      <c r="G9908" s="28">
        <f>IFERROR(VLOOKUP(F9908,CARTON_LOOKUP!$A:$E,3,0),"")</f>
      </c>
      <c r="H9908" s="28">
        <f>IFERROR(VLOOKUP(F9908,CARTON_LOOKUP!$A:$E,4,0),"")</f>
      </c>
      <c r="I9908" s="28">
        <f>IFERROR(VLOOKUP(F9908,CARTON_LOOKUP!$A:$E,5,0),"")</f>
      </c>
      <c r="J9908" s="29">
        <f>IFERROR(VLOOKUP(F9908,CARTON_LOOKUP!$A:$E,2,0),"")</f>
      </c>
      <c r="K9908" s="29">
        <f>IFERROR(J9908*D9908,0)</f>
      </c>
      <c r="L9908" s="29">
        <f>IFERROR(E9908*C9908,0)</f>
      </c>
      <c r="M9908" s="29">
        <f>IFERROR((G9908*H9908*I9908/1000000)*D9908,0)</f>
      </c>
    </row>
    <row r="9909" spans="1:13" x14ac:dyDescent="0.25">
      <c r="A9909" s="16"/>
      <c r="E9909" s="27"/>
      <c r="F9909" t="s">
        <v>26</v>
      </c>
      <c r="G9909" s="28">
        <f>IFERROR(VLOOKUP(F9909,CARTON_LOOKUP!$A:$E,3,0),"")</f>
      </c>
      <c r="H9909" s="28">
        <f>IFERROR(VLOOKUP(F9909,CARTON_LOOKUP!$A:$E,4,0),"")</f>
      </c>
      <c r="I9909" s="28">
        <f>IFERROR(VLOOKUP(F9909,CARTON_LOOKUP!$A:$E,5,0),"")</f>
      </c>
      <c r="J9909" s="29">
        <f>IFERROR(VLOOKUP(F9909,CARTON_LOOKUP!$A:$E,2,0),"")</f>
      </c>
      <c r="K9909" s="29">
        <f>IFERROR(J9909*D9909,0)</f>
      </c>
      <c r="L9909" s="29">
        <f>IFERROR(E9909*C9909,0)</f>
      </c>
      <c r="M9909" s="29">
        <f>IFERROR((G9909*H9909*I9909/1000000)*D9909,0)</f>
      </c>
    </row>
    <row r="9910" spans="1:13" x14ac:dyDescent="0.25">
      <c r="A9910" s="16"/>
      <c r="E9910" s="27"/>
      <c r="F9910" t="s">
        <v>26</v>
      </c>
      <c r="G9910" s="28">
        <f>IFERROR(VLOOKUP(F9910,CARTON_LOOKUP!$A:$E,3,0),"")</f>
      </c>
      <c r="H9910" s="28">
        <f>IFERROR(VLOOKUP(F9910,CARTON_LOOKUP!$A:$E,4,0),"")</f>
      </c>
      <c r="I9910" s="28">
        <f>IFERROR(VLOOKUP(F9910,CARTON_LOOKUP!$A:$E,5,0),"")</f>
      </c>
      <c r="J9910" s="29">
        <f>IFERROR(VLOOKUP(F9910,CARTON_LOOKUP!$A:$E,2,0),"")</f>
      </c>
      <c r="K9910" s="29">
        <f>IFERROR(J9910*D9910,0)</f>
      </c>
      <c r="L9910" s="29">
        <f>IFERROR(E9910*C9910,0)</f>
      </c>
      <c r="M9910" s="29">
        <f>IFERROR((G9910*H9910*I9910/1000000)*D9910,0)</f>
      </c>
    </row>
    <row r="9911" spans="1:13" x14ac:dyDescent="0.25">
      <c r="A9911" s="16"/>
      <c r="E9911" s="27"/>
      <c r="F9911" t="s">
        <v>26</v>
      </c>
      <c r="G9911" s="28">
        <f>IFERROR(VLOOKUP(F9911,CARTON_LOOKUP!$A:$E,3,0),"")</f>
      </c>
      <c r="H9911" s="28">
        <f>IFERROR(VLOOKUP(F9911,CARTON_LOOKUP!$A:$E,4,0),"")</f>
      </c>
      <c r="I9911" s="28">
        <f>IFERROR(VLOOKUP(F9911,CARTON_LOOKUP!$A:$E,5,0),"")</f>
      </c>
      <c r="J9911" s="29">
        <f>IFERROR(VLOOKUP(F9911,CARTON_LOOKUP!$A:$E,2,0),"")</f>
      </c>
      <c r="K9911" s="29">
        <f>IFERROR(J9911*D9911,0)</f>
      </c>
      <c r="L9911" s="29">
        <f>IFERROR(E9911*C9911,0)</f>
      </c>
      <c r="M9911" s="29">
        <f>IFERROR((G9911*H9911*I9911/1000000)*D9911,0)</f>
      </c>
    </row>
    <row r="9912" spans="1:13" x14ac:dyDescent="0.25">
      <c r="A9912" s="16"/>
      <c r="E9912" s="27"/>
      <c r="F9912" t="s">
        <v>26</v>
      </c>
      <c r="G9912" s="28">
        <f>IFERROR(VLOOKUP(F9912,CARTON_LOOKUP!$A:$E,3,0),"")</f>
      </c>
      <c r="H9912" s="28">
        <f>IFERROR(VLOOKUP(F9912,CARTON_LOOKUP!$A:$E,4,0),"")</f>
      </c>
      <c r="I9912" s="28">
        <f>IFERROR(VLOOKUP(F9912,CARTON_LOOKUP!$A:$E,5,0),"")</f>
      </c>
      <c r="J9912" s="29">
        <f>IFERROR(VLOOKUP(F9912,CARTON_LOOKUP!$A:$E,2,0),"")</f>
      </c>
      <c r="K9912" s="29">
        <f>IFERROR(J9912*D9912,0)</f>
      </c>
      <c r="L9912" s="29">
        <f>IFERROR(E9912*C9912,0)</f>
      </c>
      <c r="M9912" s="29">
        <f>IFERROR((G9912*H9912*I9912/1000000)*D9912,0)</f>
      </c>
    </row>
    <row r="9913" spans="1:13" x14ac:dyDescent="0.25">
      <c r="A9913" s="16"/>
      <c r="E9913" s="27"/>
      <c r="F9913" t="s">
        <v>26</v>
      </c>
      <c r="G9913" s="28">
        <f>IFERROR(VLOOKUP(F9913,CARTON_LOOKUP!$A:$E,3,0),"")</f>
      </c>
      <c r="H9913" s="28">
        <f>IFERROR(VLOOKUP(F9913,CARTON_LOOKUP!$A:$E,4,0),"")</f>
      </c>
      <c r="I9913" s="28">
        <f>IFERROR(VLOOKUP(F9913,CARTON_LOOKUP!$A:$E,5,0),"")</f>
      </c>
      <c r="J9913" s="29">
        <f>IFERROR(VLOOKUP(F9913,CARTON_LOOKUP!$A:$E,2,0),"")</f>
      </c>
      <c r="K9913" s="29">
        <f>IFERROR(J9913*D9913,0)</f>
      </c>
      <c r="L9913" s="29">
        <f>IFERROR(E9913*C9913,0)</f>
      </c>
      <c r="M9913" s="29">
        <f>IFERROR((G9913*H9913*I9913/1000000)*D9913,0)</f>
      </c>
    </row>
    <row r="9914" spans="1:13" x14ac:dyDescent="0.25">
      <c r="A9914" s="16"/>
      <c r="E9914" s="27"/>
      <c r="F9914" t="s">
        <v>26</v>
      </c>
      <c r="G9914" s="28">
        <f>IFERROR(VLOOKUP(F9914,CARTON_LOOKUP!$A:$E,3,0),"")</f>
      </c>
      <c r="H9914" s="28">
        <f>IFERROR(VLOOKUP(F9914,CARTON_LOOKUP!$A:$E,4,0),"")</f>
      </c>
      <c r="I9914" s="28">
        <f>IFERROR(VLOOKUP(F9914,CARTON_LOOKUP!$A:$E,5,0),"")</f>
      </c>
      <c r="J9914" s="29">
        <f>IFERROR(VLOOKUP(F9914,CARTON_LOOKUP!$A:$E,2,0),"")</f>
      </c>
      <c r="K9914" s="29">
        <f>IFERROR(J9914*D9914,0)</f>
      </c>
      <c r="L9914" s="29">
        <f>IFERROR(E9914*C9914,0)</f>
      </c>
      <c r="M9914" s="29">
        <f>IFERROR((G9914*H9914*I9914/1000000)*D9914,0)</f>
      </c>
    </row>
    <row r="9915" spans="1:13" x14ac:dyDescent="0.25">
      <c r="A9915" s="16"/>
      <c r="E9915" s="27"/>
      <c r="F9915" t="s">
        <v>26</v>
      </c>
      <c r="G9915" s="28">
        <f>IFERROR(VLOOKUP(F9915,CARTON_LOOKUP!$A:$E,3,0),"")</f>
      </c>
      <c r="H9915" s="28">
        <f>IFERROR(VLOOKUP(F9915,CARTON_LOOKUP!$A:$E,4,0),"")</f>
      </c>
      <c r="I9915" s="28">
        <f>IFERROR(VLOOKUP(F9915,CARTON_LOOKUP!$A:$E,5,0),"")</f>
      </c>
      <c r="J9915" s="29">
        <f>IFERROR(VLOOKUP(F9915,CARTON_LOOKUP!$A:$E,2,0),"")</f>
      </c>
      <c r="K9915" s="29">
        <f>IFERROR(J9915*D9915,0)</f>
      </c>
      <c r="L9915" s="29">
        <f>IFERROR(E9915*C9915,0)</f>
      </c>
      <c r="M9915" s="29">
        <f>IFERROR((G9915*H9915*I9915/1000000)*D9915,0)</f>
      </c>
    </row>
    <row r="9916" spans="1:13" x14ac:dyDescent="0.25">
      <c r="A9916" s="16"/>
      <c r="E9916" s="27"/>
      <c r="F9916" t="s">
        <v>26</v>
      </c>
      <c r="G9916" s="28">
        <f>IFERROR(VLOOKUP(F9916,CARTON_LOOKUP!$A:$E,3,0),"")</f>
      </c>
      <c r="H9916" s="28">
        <f>IFERROR(VLOOKUP(F9916,CARTON_LOOKUP!$A:$E,4,0),"")</f>
      </c>
      <c r="I9916" s="28">
        <f>IFERROR(VLOOKUP(F9916,CARTON_LOOKUP!$A:$E,5,0),"")</f>
      </c>
      <c r="J9916" s="29">
        <f>IFERROR(VLOOKUP(F9916,CARTON_LOOKUP!$A:$E,2,0),"")</f>
      </c>
      <c r="K9916" s="29">
        <f>IFERROR(J9916*D9916,0)</f>
      </c>
      <c r="L9916" s="29">
        <f>IFERROR(E9916*C9916,0)</f>
      </c>
      <c r="M9916" s="29">
        <f>IFERROR((G9916*H9916*I9916/1000000)*D9916,0)</f>
      </c>
    </row>
    <row r="9917" spans="1:13" x14ac:dyDescent="0.25">
      <c r="A9917" s="16"/>
      <c r="E9917" s="27"/>
      <c r="F9917" t="s">
        <v>26</v>
      </c>
      <c r="G9917" s="28">
        <f>IFERROR(VLOOKUP(F9917,CARTON_LOOKUP!$A:$E,3,0),"")</f>
      </c>
      <c r="H9917" s="28">
        <f>IFERROR(VLOOKUP(F9917,CARTON_LOOKUP!$A:$E,4,0),"")</f>
      </c>
      <c r="I9917" s="28">
        <f>IFERROR(VLOOKUP(F9917,CARTON_LOOKUP!$A:$E,5,0),"")</f>
      </c>
      <c r="J9917" s="29">
        <f>IFERROR(VLOOKUP(F9917,CARTON_LOOKUP!$A:$E,2,0),"")</f>
      </c>
      <c r="K9917" s="29">
        <f>IFERROR(J9917*D9917,0)</f>
      </c>
      <c r="L9917" s="29">
        <f>IFERROR(E9917*C9917,0)</f>
      </c>
      <c r="M9917" s="29">
        <f>IFERROR((G9917*H9917*I9917/1000000)*D9917,0)</f>
      </c>
    </row>
    <row r="9918" spans="1:13" x14ac:dyDescent="0.25">
      <c r="A9918" s="16"/>
      <c r="E9918" s="27"/>
      <c r="F9918" t="s">
        <v>26</v>
      </c>
      <c r="G9918" s="28">
        <f>IFERROR(VLOOKUP(F9918,CARTON_LOOKUP!$A:$E,3,0),"")</f>
      </c>
      <c r="H9918" s="28">
        <f>IFERROR(VLOOKUP(F9918,CARTON_LOOKUP!$A:$E,4,0),"")</f>
      </c>
      <c r="I9918" s="28">
        <f>IFERROR(VLOOKUP(F9918,CARTON_LOOKUP!$A:$E,5,0),"")</f>
      </c>
      <c r="J9918" s="29">
        <f>IFERROR(VLOOKUP(F9918,CARTON_LOOKUP!$A:$E,2,0),"")</f>
      </c>
      <c r="K9918" s="29">
        <f>IFERROR(J9918*D9918,0)</f>
      </c>
      <c r="L9918" s="29">
        <f>IFERROR(E9918*C9918,0)</f>
      </c>
      <c r="M9918" s="29">
        <f>IFERROR((G9918*H9918*I9918/1000000)*D9918,0)</f>
      </c>
    </row>
    <row r="9919" spans="1:13" x14ac:dyDescent="0.25">
      <c r="A9919" s="16"/>
      <c r="E9919" s="27"/>
      <c r="F9919" t="s">
        <v>26</v>
      </c>
      <c r="G9919" s="28">
        <f>IFERROR(VLOOKUP(F9919,CARTON_LOOKUP!$A:$E,3,0),"")</f>
      </c>
      <c r="H9919" s="28">
        <f>IFERROR(VLOOKUP(F9919,CARTON_LOOKUP!$A:$E,4,0),"")</f>
      </c>
      <c r="I9919" s="28">
        <f>IFERROR(VLOOKUP(F9919,CARTON_LOOKUP!$A:$E,5,0),"")</f>
      </c>
      <c r="J9919" s="29">
        <f>IFERROR(VLOOKUP(F9919,CARTON_LOOKUP!$A:$E,2,0),"")</f>
      </c>
      <c r="K9919" s="29">
        <f>IFERROR(J9919*D9919,0)</f>
      </c>
      <c r="L9919" s="29">
        <f>IFERROR(E9919*C9919,0)</f>
      </c>
      <c r="M9919" s="29">
        <f>IFERROR((G9919*H9919*I9919/1000000)*D9919,0)</f>
      </c>
    </row>
    <row r="9920" spans="1:13" x14ac:dyDescent="0.25">
      <c r="A9920" s="16"/>
      <c r="E9920" s="27"/>
      <c r="F9920" t="s">
        <v>26</v>
      </c>
      <c r="G9920" s="28">
        <f>IFERROR(VLOOKUP(F9920,CARTON_LOOKUP!$A:$E,3,0),"")</f>
      </c>
      <c r="H9920" s="28">
        <f>IFERROR(VLOOKUP(F9920,CARTON_LOOKUP!$A:$E,4,0),"")</f>
      </c>
      <c r="I9920" s="28">
        <f>IFERROR(VLOOKUP(F9920,CARTON_LOOKUP!$A:$E,5,0),"")</f>
      </c>
      <c r="J9920" s="29">
        <f>IFERROR(VLOOKUP(F9920,CARTON_LOOKUP!$A:$E,2,0),"")</f>
      </c>
      <c r="K9920" s="29">
        <f>IFERROR(J9920*D9920,0)</f>
      </c>
      <c r="L9920" s="29">
        <f>IFERROR(E9920*C9920,0)</f>
      </c>
      <c r="M9920" s="29">
        <f>IFERROR((G9920*H9920*I9920/1000000)*D9920,0)</f>
      </c>
    </row>
    <row r="9921" spans="1:13" x14ac:dyDescent="0.25">
      <c r="A9921" s="16"/>
      <c r="E9921" s="27"/>
      <c r="F9921" t="s">
        <v>26</v>
      </c>
      <c r="G9921" s="28">
        <f>IFERROR(VLOOKUP(F9921,CARTON_LOOKUP!$A:$E,3,0),"")</f>
      </c>
      <c r="H9921" s="28">
        <f>IFERROR(VLOOKUP(F9921,CARTON_LOOKUP!$A:$E,4,0),"")</f>
      </c>
      <c r="I9921" s="28">
        <f>IFERROR(VLOOKUP(F9921,CARTON_LOOKUP!$A:$E,5,0),"")</f>
      </c>
      <c r="J9921" s="29">
        <f>IFERROR(VLOOKUP(F9921,CARTON_LOOKUP!$A:$E,2,0),"")</f>
      </c>
      <c r="K9921" s="29">
        <f>IFERROR(J9921*D9921,0)</f>
      </c>
      <c r="L9921" s="29">
        <f>IFERROR(E9921*C9921,0)</f>
      </c>
      <c r="M9921" s="29">
        <f>IFERROR((G9921*H9921*I9921/1000000)*D9921,0)</f>
      </c>
    </row>
    <row r="9922" spans="1:13" x14ac:dyDescent="0.25">
      <c r="A9922" s="16"/>
      <c r="E9922" s="27"/>
      <c r="F9922" t="s">
        <v>26</v>
      </c>
      <c r="G9922" s="28">
        <f>IFERROR(VLOOKUP(F9922,CARTON_LOOKUP!$A:$E,3,0),"")</f>
      </c>
      <c r="H9922" s="28">
        <f>IFERROR(VLOOKUP(F9922,CARTON_LOOKUP!$A:$E,4,0),"")</f>
      </c>
      <c r="I9922" s="28">
        <f>IFERROR(VLOOKUP(F9922,CARTON_LOOKUP!$A:$E,5,0),"")</f>
      </c>
      <c r="J9922" s="29">
        <f>IFERROR(VLOOKUP(F9922,CARTON_LOOKUP!$A:$E,2,0),"")</f>
      </c>
      <c r="K9922" s="29">
        <f>IFERROR(J9922*D9922,0)</f>
      </c>
      <c r="L9922" s="29">
        <f>IFERROR(E9922*C9922,0)</f>
      </c>
      <c r="M9922" s="29">
        <f>IFERROR((G9922*H9922*I9922/1000000)*D9922,0)</f>
      </c>
    </row>
    <row r="9923" spans="1:13" x14ac:dyDescent="0.25">
      <c r="A9923" s="16"/>
      <c r="E9923" s="27"/>
      <c r="F9923" t="s">
        <v>26</v>
      </c>
      <c r="G9923" s="28">
        <f>IFERROR(VLOOKUP(F9923,CARTON_LOOKUP!$A:$E,3,0),"")</f>
      </c>
      <c r="H9923" s="28">
        <f>IFERROR(VLOOKUP(F9923,CARTON_LOOKUP!$A:$E,4,0),"")</f>
      </c>
      <c r="I9923" s="28">
        <f>IFERROR(VLOOKUP(F9923,CARTON_LOOKUP!$A:$E,5,0),"")</f>
      </c>
      <c r="J9923" s="29">
        <f>IFERROR(VLOOKUP(F9923,CARTON_LOOKUP!$A:$E,2,0),"")</f>
      </c>
      <c r="K9923" s="29">
        <f>IFERROR(J9923*D9923,0)</f>
      </c>
      <c r="L9923" s="29">
        <f>IFERROR(E9923*C9923,0)</f>
      </c>
      <c r="M9923" s="29">
        <f>IFERROR((G9923*H9923*I9923/1000000)*D9923,0)</f>
      </c>
    </row>
    <row r="9924" spans="1:13" x14ac:dyDescent="0.25">
      <c r="A9924" s="16"/>
      <c r="E9924" s="27"/>
      <c r="F9924" t="s">
        <v>26</v>
      </c>
      <c r="G9924" s="28">
        <f>IFERROR(VLOOKUP(F9924,CARTON_LOOKUP!$A:$E,3,0),"")</f>
      </c>
      <c r="H9924" s="28">
        <f>IFERROR(VLOOKUP(F9924,CARTON_LOOKUP!$A:$E,4,0),"")</f>
      </c>
      <c r="I9924" s="28">
        <f>IFERROR(VLOOKUP(F9924,CARTON_LOOKUP!$A:$E,5,0),"")</f>
      </c>
      <c r="J9924" s="29">
        <f>IFERROR(VLOOKUP(F9924,CARTON_LOOKUP!$A:$E,2,0),"")</f>
      </c>
      <c r="K9924" s="29">
        <f>IFERROR(J9924*D9924,0)</f>
      </c>
      <c r="L9924" s="29">
        <f>IFERROR(E9924*C9924,0)</f>
      </c>
      <c r="M9924" s="29">
        <f>IFERROR((G9924*H9924*I9924/1000000)*D9924,0)</f>
      </c>
    </row>
    <row r="9925" spans="1:13" x14ac:dyDescent="0.25">
      <c r="A9925" s="16"/>
      <c r="E9925" s="27"/>
      <c r="F9925" t="s">
        <v>26</v>
      </c>
      <c r="G9925" s="28">
        <f>IFERROR(VLOOKUP(F9925,CARTON_LOOKUP!$A:$E,3,0),"")</f>
      </c>
      <c r="H9925" s="28">
        <f>IFERROR(VLOOKUP(F9925,CARTON_LOOKUP!$A:$E,4,0),"")</f>
      </c>
      <c r="I9925" s="28">
        <f>IFERROR(VLOOKUP(F9925,CARTON_LOOKUP!$A:$E,5,0),"")</f>
      </c>
      <c r="J9925" s="29">
        <f>IFERROR(VLOOKUP(F9925,CARTON_LOOKUP!$A:$E,2,0),"")</f>
      </c>
      <c r="K9925" s="29">
        <f>IFERROR(J9925*D9925,0)</f>
      </c>
      <c r="L9925" s="29">
        <f>IFERROR(E9925*C9925,0)</f>
      </c>
      <c r="M9925" s="29">
        <f>IFERROR((G9925*H9925*I9925/1000000)*D9925,0)</f>
      </c>
    </row>
    <row r="9926" spans="1:13" x14ac:dyDescent="0.25">
      <c r="A9926" s="16"/>
      <c r="E9926" s="27"/>
      <c r="F9926" t="s">
        <v>26</v>
      </c>
      <c r="G9926" s="28">
        <f>IFERROR(VLOOKUP(F9926,CARTON_LOOKUP!$A:$E,3,0),"")</f>
      </c>
      <c r="H9926" s="28">
        <f>IFERROR(VLOOKUP(F9926,CARTON_LOOKUP!$A:$E,4,0),"")</f>
      </c>
      <c r="I9926" s="28">
        <f>IFERROR(VLOOKUP(F9926,CARTON_LOOKUP!$A:$E,5,0),"")</f>
      </c>
      <c r="J9926" s="29">
        <f>IFERROR(VLOOKUP(F9926,CARTON_LOOKUP!$A:$E,2,0),"")</f>
      </c>
      <c r="K9926" s="29">
        <f>IFERROR(J9926*D9926,0)</f>
      </c>
      <c r="L9926" s="29">
        <f>IFERROR(E9926*C9926,0)</f>
      </c>
      <c r="M9926" s="29">
        <f>IFERROR((G9926*H9926*I9926/1000000)*D9926,0)</f>
      </c>
    </row>
    <row r="9927" spans="1:13" x14ac:dyDescent="0.25">
      <c r="A9927" s="16"/>
      <c r="E9927" s="27"/>
      <c r="F9927" t="s">
        <v>26</v>
      </c>
      <c r="G9927" s="28">
        <f>IFERROR(VLOOKUP(F9927,CARTON_LOOKUP!$A:$E,3,0),"")</f>
      </c>
      <c r="H9927" s="28">
        <f>IFERROR(VLOOKUP(F9927,CARTON_LOOKUP!$A:$E,4,0),"")</f>
      </c>
      <c r="I9927" s="28">
        <f>IFERROR(VLOOKUP(F9927,CARTON_LOOKUP!$A:$E,5,0),"")</f>
      </c>
      <c r="J9927" s="29">
        <f>IFERROR(VLOOKUP(F9927,CARTON_LOOKUP!$A:$E,2,0),"")</f>
      </c>
      <c r="K9927" s="29">
        <f>IFERROR(J9927*D9927,0)</f>
      </c>
      <c r="L9927" s="29">
        <f>IFERROR(E9927*C9927,0)</f>
      </c>
      <c r="M9927" s="29">
        <f>IFERROR((G9927*H9927*I9927/1000000)*D9927,0)</f>
      </c>
    </row>
    <row r="9928" spans="1:13" x14ac:dyDescent="0.25">
      <c r="A9928" s="16"/>
      <c r="E9928" s="27"/>
      <c r="F9928" t="s">
        <v>26</v>
      </c>
      <c r="G9928" s="28">
        <f>IFERROR(VLOOKUP(F9928,CARTON_LOOKUP!$A:$E,3,0),"")</f>
      </c>
      <c r="H9928" s="28">
        <f>IFERROR(VLOOKUP(F9928,CARTON_LOOKUP!$A:$E,4,0),"")</f>
      </c>
      <c r="I9928" s="28">
        <f>IFERROR(VLOOKUP(F9928,CARTON_LOOKUP!$A:$E,5,0),"")</f>
      </c>
      <c r="J9928" s="29">
        <f>IFERROR(VLOOKUP(F9928,CARTON_LOOKUP!$A:$E,2,0),"")</f>
      </c>
      <c r="K9928" s="29">
        <f>IFERROR(J9928*D9928,0)</f>
      </c>
      <c r="L9928" s="29">
        <f>IFERROR(E9928*C9928,0)</f>
      </c>
      <c r="M9928" s="29">
        <f>IFERROR((G9928*H9928*I9928/1000000)*D9928,0)</f>
      </c>
    </row>
    <row r="9929" spans="1:13" x14ac:dyDescent="0.25">
      <c r="A9929" s="16"/>
      <c r="E9929" s="27"/>
      <c r="F9929" t="s">
        <v>26</v>
      </c>
      <c r="G9929" s="28">
        <f>IFERROR(VLOOKUP(F9929,CARTON_LOOKUP!$A:$E,3,0),"")</f>
      </c>
      <c r="H9929" s="28">
        <f>IFERROR(VLOOKUP(F9929,CARTON_LOOKUP!$A:$E,4,0),"")</f>
      </c>
      <c r="I9929" s="28">
        <f>IFERROR(VLOOKUP(F9929,CARTON_LOOKUP!$A:$E,5,0),"")</f>
      </c>
      <c r="J9929" s="29">
        <f>IFERROR(VLOOKUP(F9929,CARTON_LOOKUP!$A:$E,2,0),"")</f>
      </c>
      <c r="K9929" s="29">
        <f>IFERROR(J9929*D9929,0)</f>
      </c>
      <c r="L9929" s="29">
        <f>IFERROR(E9929*C9929,0)</f>
      </c>
      <c r="M9929" s="29">
        <f>IFERROR((G9929*H9929*I9929/1000000)*D9929,0)</f>
      </c>
    </row>
    <row r="9930" spans="1:13" x14ac:dyDescent="0.25">
      <c r="A9930" s="16"/>
      <c r="E9930" s="27"/>
      <c r="F9930" t="s">
        <v>26</v>
      </c>
      <c r="G9930" s="28">
        <f>IFERROR(VLOOKUP(F9930,CARTON_LOOKUP!$A:$E,3,0),"")</f>
      </c>
      <c r="H9930" s="28">
        <f>IFERROR(VLOOKUP(F9930,CARTON_LOOKUP!$A:$E,4,0),"")</f>
      </c>
      <c r="I9930" s="28">
        <f>IFERROR(VLOOKUP(F9930,CARTON_LOOKUP!$A:$E,5,0),"")</f>
      </c>
      <c r="J9930" s="29">
        <f>IFERROR(VLOOKUP(F9930,CARTON_LOOKUP!$A:$E,2,0),"")</f>
      </c>
      <c r="K9930" s="29">
        <f>IFERROR(J9930*D9930,0)</f>
      </c>
      <c r="L9930" s="29">
        <f>IFERROR(E9930*C9930,0)</f>
      </c>
      <c r="M9930" s="29">
        <f>IFERROR((G9930*H9930*I9930/1000000)*D9930,0)</f>
      </c>
    </row>
    <row r="9931" spans="1:13" x14ac:dyDescent="0.25">
      <c r="A9931" s="16"/>
      <c r="E9931" s="27"/>
      <c r="F9931" t="s">
        <v>26</v>
      </c>
      <c r="G9931" s="28">
        <f>IFERROR(VLOOKUP(F9931,CARTON_LOOKUP!$A:$E,3,0),"")</f>
      </c>
      <c r="H9931" s="28">
        <f>IFERROR(VLOOKUP(F9931,CARTON_LOOKUP!$A:$E,4,0),"")</f>
      </c>
      <c r="I9931" s="28">
        <f>IFERROR(VLOOKUP(F9931,CARTON_LOOKUP!$A:$E,5,0),"")</f>
      </c>
      <c r="J9931" s="29">
        <f>IFERROR(VLOOKUP(F9931,CARTON_LOOKUP!$A:$E,2,0),"")</f>
      </c>
      <c r="K9931" s="29">
        <f>IFERROR(J9931*D9931,0)</f>
      </c>
      <c r="L9931" s="29">
        <f>IFERROR(E9931*C9931,0)</f>
      </c>
      <c r="M9931" s="29">
        <f>IFERROR((G9931*H9931*I9931/1000000)*D9931,0)</f>
      </c>
    </row>
    <row r="9932" spans="1:13" x14ac:dyDescent="0.25">
      <c r="A9932" s="16"/>
      <c r="E9932" s="27"/>
      <c r="F9932" t="s">
        <v>26</v>
      </c>
      <c r="G9932" s="28">
        <f>IFERROR(VLOOKUP(F9932,CARTON_LOOKUP!$A:$E,3,0),"")</f>
      </c>
      <c r="H9932" s="28">
        <f>IFERROR(VLOOKUP(F9932,CARTON_LOOKUP!$A:$E,4,0),"")</f>
      </c>
      <c r="I9932" s="28">
        <f>IFERROR(VLOOKUP(F9932,CARTON_LOOKUP!$A:$E,5,0),"")</f>
      </c>
      <c r="J9932" s="29">
        <f>IFERROR(VLOOKUP(F9932,CARTON_LOOKUP!$A:$E,2,0),"")</f>
      </c>
      <c r="K9932" s="29">
        <f>IFERROR(J9932*D9932,0)</f>
      </c>
      <c r="L9932" s="29">
        <f>IFERROR(E9932*C9932,0)</f>
      </c>
      <c r="M9932" s="29">
        <f>IFERROR((G9932*H9932*I9932/1000000)*D9932,0)</f>
      </c>
    </row>
    <row r="9933" spans="1:13" x14ac:dyDescent="0.25">
      <c r="A9933" s="16"/>
      <c r="E9933" s="27"/>
      <c r="F9933" t="s">
        <v>26</v>
      </c>
      <c r="G9933" s="28">
        <f>IFERROR(VLOOKUP(F9933,CARTON_LOOKUP!$A:$E,3,0),"")</f>
      </c>
      <c r="H9933" s="28">
        <f>IFERROR(VLOOKUP(F9933,CARTON_LOOKUP!$A:$E,4,0),"")</f>
      </c>
      <c r="I9933" s="28">
        <f>IFERROR(VLOOKUP(F9933,CARTON_LOOKUP!$A:$E,5,0),"")</f>
      </c>
      <c r="J9933" s="29">
        <f>IFERROR(VLOOKUP(F9933,CARTON_LOOKUP!$A:$E,2,0),"")</f>
      </c>
      <c r="K9933" s="29">
        <f>IFERROR(J9933*D9933,0)</f>
      </c>
      <c r="L9933" s="29">
        <f>IFERROR(E9933*C9933,0)</f>
      </c>
      <c r="M9933" s="29">
        <f>IFERROR((G9933*H9933*I9933/1000000)*D9933,0)</f>
      </c>
    </row>
    <row r="9934" spans="1:13" x14ac:dyDescent="0.25">
      <c r="A9934" s="16"/>
      <c r="E9934" s="27"/>
      <c r="F9934" t="s">
        <v>26</v>
      </c>
      <c r="G9934" s="28">
        <f>IFERROR(VLOOKUP(F9934,CARTON_LOOKUP!$A:$E,3,0),"")</f>
      </c>
      <c r="H9934" s="28">
        <f>IFERROR(VLOOKUP(F9934,CARTON_LOOKUP!$A:$E,4,0),"")</f>
      </c>
      <c r="I9934" s="28">
        <f>IFERROR(VLOOKUP(F9934,CARTON_LOOKUP!$A:$E,5,0),"")</f>
      </c>
      <c r="J9934" s="29">
        <f>IFERROR(VLOOKUP(F9934,CARTON_LOOKUP!$A:$E,2,0),"")</f>
      </c>
      <c r="K9934" s="29">
        <f>IFERROR(J9934*D9934,0)</f>
      </c>
      <c r="L9934" s="29">
        <f>IFERROR(E9934*C9934,0)</f>
      </c>
      <c r="M9934" s="29">
        <f>IFERROR((G9934*H9934*I9934/1000000)*D9934,0)</f>
      </c>
    </row>
    <row r="9935" spans="1:13" x14ac:dyDescent="0.25">
      <c r="A9935" s="16"/>
      <c r="E9935" s="27"/>
      <c r="F9935" t="s">
        <v>26</v>
      </c>
      <c r="G9935" s="28">
        <f>IFERROR(VLOOKUP(F9935,CARTON_LOOKUP!$A:$E,3,0),"")</f>
      </c>
      <c r="H9935" s="28">
        <f>IFERROR(VLOOKUP(F9935,CARTON_LOOKUP!$A:$E,4,0),"")</f>
      </c>
      <c r="I9935" s="28">
        <f>IFERROR(VLOOKUP(F9935,CARTON_LOOKUP!$A:$E,5,0),"")</f>
      </c>
      <c r="J9935" s="29">
        <f>IFERROR(VLOOKUP(F9935,CARTON_LOOKUP!$A:$E,2,0),"")</f>
      </c>
      <c r="K9935" s="29">
        <f>IFERROR(J9935*D9935,0)</f>
      </c>
      <c r="L9935" s="29">
        <f>IFERROR(E9935*C9935,0)</f>
      </c>
      <c r="M9935" s="29">
        <f>IFERROR((G9935*H9935*I9935/1000000)*D9935,0)</f>
      </c>
    </row>
    <row r="9936" spans="1:13" x14ac:dyDescent="0.25">
      <c r="A9936" s="16"/>
      <c r="E9936" s="27"/>
      <c r="F9936" t="s">
        <v>26</v>
      </c>
      <c r="G9936" s="28">
        <f>IFERROR(VLOOKUP(F9936,CARTON_LOOKUP!$A:$E,3,0),"")</f>
      </c>
      <c r="H9936" s="28">
        <f>IFERROR(VLOOKUP(F9936,CARTON_LOOKUP!$A:$E,4,0),"")</f>
      </c>
      <c r="I9936" s="28">
        <f>IFERROR(VLOOKUP(F9936,CARTON_LOOKUP!$A:$E,5,0),"")</f>
      </c>
      <c r="J9936" s="29">
        <f>IFERROR(VLOOKUP(F9936,CARTON_LOOKUP!$A:$E,2,0),"")</f>
      </c>
      <c r="K9936" s="29">
        <f>IFERROR(J9936*D9936,0)</f>
      </c>
      <c r="L9936" s="29">
        <f>IFERROR(E9936*C9936,0)</f>
      </c>
      <c r="M9936" s="29">
        <f>IFERROR((G9936*H9936*I9936/1000000)*D9936,0)</f>
      </c>
    </row>
    <row r="9937" spans="1:13" x14ac:dyDescent="0.25">
      <c r="A9937" s="16"/>
      <c r="E9937" s="27"/>
      <c r="F9937" t="s">
        <v>26</v>
      </c>
      <c r="G9937" s="28">
        <f>IFERROR(VLOOKUP(F9937,CARTON_LOOKUP!$A:$E,3,0),"")</f>
      </c>
      <c r="H9937" s="28">
        <f>IFERROR(VLOOKUP(F9937,CARTON_LOOKUP!$A:$E,4,0),"")</f>
      </c>
      <c r="I9937" s="28">
        <f>IFERROR(VLOOKUP(F9937,CARTON_LOOKUP!$A:$E,5,0),"")</f>
      </c>
      <c r="J9937" s="29">
        <f>IFERROR(VLOOKUP(F9937,CARTON_LOOKUP!$A:$E,2,0),"")</f>
      </c>
      <c r="K9937" s="29">
        <f>IFERROR(J9937*D9937,0)</f>
      </c>
      <c r="L9937" s="29">
        <f>IFERROR(E9937*C9937,0)</f>
      </c>
      <c r="M9937" s="29">
        <f>IFERROR((G9937*H9937*I9937/1000000)*D9937,0)</f>
      </c>
    </row>
    <row r="9938" spans="1:13" x14ac:dyDescent="0.25">
      <c r="A9938" s="16"/>
      <c r="E9938" s="27"/>
      <c r="F9938" t="s">
        <v>26</v>
      </c>
      <c r="G9938" s="28">
        <f>IFERROR(VLOOKUP(F9938,CARTON_LOOKUP!$A:$E,3,0),"")</f>
      </c>
      <c r="H9938" s="28">
        <f>IFERROR(VLOOKUP(F9938,CARTON_LOOKUP!$A:$E,4,0),"")</f>
      </c>
      <c r="I9938" s="28">
        <f>IFERROR(VLOOKUP(F9938,CARTON_LOOKUP!$A:$E,5,0),"")</f>
      </c>
      <c r="J9938" s="29">
        <f>IFERROR(VLOOKUP(F9938,CARTON_LOOKUP!$A:$E,2,0),"")</f>
      </c>
      <c r="K9938" s="29">
        <f>IFERROR(J9938*D9938,0)</f>
      </c>
      <c r="L9938" s="29">
        <f>IFERROR(E9938*C9938,0)</f>
      </c>
      <c r="M9938" s="29">
        <f>IFERROR((G9938*H9938*I9938/1000000)*D9938,0)</f>
      </c>
    </row>
    <row r="9939" spans="1:13" x14ac:dyDescent="0.25">
      <c r="A9939" s="16"/>
      <c r="E9939" s="27"/>
      <c r="F9939" t="s">
        <v>26</v>
      </c>
      <c r="G9939" s="28">
        <f>IFERROR(VLOOKUP(F9939,CARTON_LOOKUP!$A:$E,3,0),"")</f>
      </c>
      <c r="H9939" s="28">
        <f>IFERROR(VLOOKUP(F9939,CARTON_LOOKUP!$A:$E,4,0),"")</f>
      </c>
      <c r="I9939" s="28">
        <f>IFERROR(VLOOKUP(F9939,CARTON_LOOKUP!$A:$E,5,0),"")</f>
      </c>
      <c r="J9939" s="29">
        <f>IFERROR(VLOOKUP(F9939,CARTON_LOOKUP!$A:$E,2,0),"")</f>
      </c>
      <c r="K9939" s="29">
        <f>IFERROR(J9939*D9939,0)</f>
      </c>
      <c r="L9939" s="29">
        <f>IFERROR(E9939*C9939,0)</f>
      </c>
      <c r="M9939" s="29">
        <f>IFERROR((G9939*H9939*I9939/1000000)*D9939,0)</f>
      </c>
    </row>
    <row r="9940" spans="1:13" x14ac:dyDescent="0.25">
      <c r="A9940" s="16"/>
      <c r="E9940" s="27"/>
      <c r="F9940" t="s">
        <v>26</v>
      </c>
      <c r="G9940" s="28">
        <f>IFERROR(VLOOKUP(F9940,CARTON_LOOKUP!$A:$E,3,0),"")</f>
      </c>
      <c r="H9940" s="28">
        <f>IFERROR(VLOOKUP(F9940,CARTON_LOOKUP!$A:$E,4,0),"")</f>
      </c>
      <c r="I9940" s="28">
        <f>IFERROR(VLOOKUP(F9940,CARTON_LOOKUP!$A:$E,5,0),"")</f>
      </c>
      <c r="J9940" s="29">
        <f>IFERROR(VLOOKUP(F9940,CARTON_LOOKUP!$A:$E,2,0),"")</f>
      </c>
      <c r="K9940" s="29">
        <f>IFERROR(J9940*D9940,0)</f>
      </c>
      <c r="L9940" s="29">
        <f>IFERROR(E9940*C9940,0)</f>
      </c>
      <c r="M9940" s="29">
        <f>IFERROR((G9940*H9940*I9940/1000000)*D9940,0)</f>
      </c>
    </row>
    <row r="9941" spans="1:13" x14ac:dyDescent="0.25">
      <c r="A9941" s="16"/>
      <c r="E9941" s="27"/>
      <c r="F9941" t="s">
        <v>26</v>
      </c>
      <c r="G9941" s="28">
        <f>IFERROR(VLOOKUP(F9941,CARTON_LOOKUP!$A:$E,3,0),"")</f>
      </c>
      <c r="H9941" s="28">
        <f>IFERROR(VLOOKUP(F9941,CARTON_LOOKUP!$A:$E,4,0),"")</f>
      </c>
      <c r="I9941" s="28">
        <f>IFERROR(VLOOKUP(F9941,CARTON_LOOKUP!$A:$E,5,0),"")</f>
      </c>
      <c r="J9941" s="29">
        <f>IFERROR(VLOOKUP(F9941,CARTON_LOOKUP!$A:$E,2,0),"")</f>
      </c>
      <c r="K9941" s="29">
        <f>IFERROR(J9941*D9941,0)</f>
      </c>
      <c r="L9941" s="29">
        <f>IFERROR(E9941*C9941,0)</f>
      </c>
      <c r="M9941" s="29">
        <f>IFERROR((G9941*H9941*I9941/1000000)*D9941,0)</f>
      </c>
    </row>
    <row r="9942" spans="1:13" x14ac:dyDescent="0.25">
      <c r="A9942" s="16"/>
      <c r="E9942" s="27"/>
      <c r="F9942" t="s">
        <v>26</v>
      </c>
      <c r="G9942" s="28">
        <f>IFERROR(VLOOKUP(F9942,CARTON_LOOKUP!$A:$E,3,0),"")</f>
      </c>
      <c r="H9942" s="28">
        <f>IFERROR(VLOOKUP(F9942,CARTON_LOOKUP!$A:$E,4,0),"")</f>
      </c>
      <c r="I9942" s="28">
        <f>IFERROR(VLOOKUP(F9942,CARTON_LOOKUP!$A:$E,5,0),"")</f>
      </c>
      <c r="J9942" s="29">
        <f>IFERROR(VLOOKUP(F9942,CARTON_LOOKUP!$A:$E,2,0),"")</f>
      </c>
      <c r="K9942" s="29">
        <f>IFERROR(J9942*D9942,0)</f>
      </c>
      <c r="L9942" s="29">
        <f>IFERROR(E9942*C9942,0)</f>
      </c>
      <c r="M9942" s="29">
        <f>IFERROR((G9942*H9942*I9942/1000000)*D9942,0)</f>
      </c>
    </row>
    <row r="9943" spans="1:13" x14ac:dyDescent="0.25">
      <c r="A9943" s="16"/>
      <c r="E9943" s="27"/>
      <c r="F9943" t="s">
        <v>26</v>
      </c>
      <c r="G9943" s="28">
        <f>IFERROR(VLOOKUP(F9943,CARTON_LOOKUP!$A:$E,3,0),"")</f>
      </c>
      <c r="H9943" s="28">
        <f>IFERROR(VLOOKUP(F9943,CARTON_LOOKUP!$A:$E,4,0),"")</f>
      </c>
      <c r="I9943" s="28">
        <f>IFERROR(VLOOKUP(F9943,CARTON_LOOKUP!$A:$E,5,0),"")</f>
      </c>
      <c r="J9943" s="29">
        <f>IFERROR(VLOOKUP(F9943,CARTON_LOOKUP!$A:$E,2,0),"")</f>
      </c>
      <c r="K9943" s="29">
        <f>IFERROR(J9943*D9943,0)</f>
      </c>
      <c r="L9943" s="29">
        <f>IFERROR(E9943*C9943,0)</f>
      </c>
      <c r="M9943" s="29">
        <f>IFERROR((G9943*H9943*I9943/1000000)*D9943,0)</f>
      </c>
    </row>
    <row r="9944" spans="1:13" x14ac:dyDescent="0.25">
      <c r="A9944" s="16"/>
      <c r="E9944" s="27"/>
      <c r="F9944" t="s">
        <v>26</v>
      </c>
      <c r="G9944" s="28">
        <f>IFERROR(VLOOKUP(F9944,CARTON_LOOKUP!$A:$E,3,0),"")</f>
      </c>
      <c r="H9944" s="28">
        <f>IFERROR(VLOOKUP(F9944,CARTON_LOOKUP!$A:$E,4,0),"")</f>
      </c>
      <c r="I9944" s="28">
        <f>IFERROR(VLOOKUP(F9944,CARTON_LOOKUP!$A:$E,5,0),"")</f>
      </c>
      <c r="J9944" s="29">
        <f>IFERROR(VLOOKUP(F9944,CARTON_LOOKUP!$A:$E,2,0),"")</f>
      </c>
      <c r="K9944" s="29">
        <f>IFERROR(J9944*D9944,0)</f>
      </c>
      <c r="L9944" s="29">
        <f>IFERROR(E9944*C9944,0)</f>
      </c>
      <c r="M9944" s="29">
        <f>IFERROR((G9944*H9944*I9944/1000000)*D9944,0)</f>
      </c>
    </row>
    <row r="9945" spans="1:13" x14ac:dyDescent="0.25">
      <c r="A9945" s="16"/>
      <c r="E9945" s="27"/>
      <c r="F9945" t="s">
        <v>26</v>
      </c>
      <c r="G9945" s="28">
        <f>IFERROR(VLOOKUP(F9945,CARTON_LOOKUP!$A:$E,3,0),"")</f>
      </c>
      <c r="H9945" s="28">
        <f>IFERROR(VLOOKUP(F9945,CARTON_LOOKUP!$A:$E,4,0),"")</f>
      </c>
      <c r="I9945" s="28">
        <f>IFERROR(VLOOKUP(F9945,CARTON_LOOKUP!$A:$E,5,0),"")</f>
      </c>
      <c r="J9945" s="29">
        <f>IFERROR(VLOOKUP(F9945,CARTON_LOOKUP!$A:$E,2,0),"")</f>
      </c>
      <c r="K9945" s="29">
        <f>IFERROR(J9945*D9945,0)</f>
      </c>
      <c r="L9945" s="29">
        <f>IFERROR(E9945*C9945,0)</f>
      </c>
      <c r="M9945" s="29">
        <f>IFERROR((G9945*H9945*I9945/1000000)*D9945,0)</f>
      </c>
    </row>
    <row r="9946" spans="1:13" x14ac:dyDescent="0.25">
      <c r="A9946" s="16"/>
      <c r="E9946" s="27"/>
      <c r="F9946" t="s">
        <v>26</v>
      </c>
      <c r="G9946" s="28">
        <f>IFERROR(VLOOKUP(F9946,CARTON_LOOKUP!$A:$E,3,0),"")</f>
      </c>
      <c r="H9946" s="28">
        <f>IFERROR(VLOOKUP(F9946,CARTON_LOOKUP!$A:$E,4,0),"")</f>
      </c>
      <c r="I9946" s="28">
        <f>IFERROR(VLOOKUP(F9946,CARTON_LOOKUP!$A:$E,5,0),"")</f>
      </c>
      <c r="J9946" s="29">
        <f>IFERROR(VLOOKUP(F9946,CARTON_LOOKUP!$A:$E,2,0),"")</f>
      </c>
      <c r="K9946" s="29">
        <f>IFERROR(J9946*D9946,0)</f>
      </c>
      <c r="L9946" s="29">
        <f>IFERROR(E9946*C9946,0)</f>
      </c>
      <c r="M9946" s="29">
        <f>IFERROR((G9946*H9946*I9946/1000000)*D9946,0)</f>
      </c>
    </row>
    <row r="9947" spans="1:13" x14ac:dyDescent="0.25">
      <c r="A9947" s="16"/>
      <c r="E9947" s="27"/>
      <c r="F9947" t="s">
        <v>26</v>
      </c>
      <c r="G9947" s="28">
        <f>IFERROR(VLOOKUP(F9947,CARTON_LOOKUP!$A:$E,3,0),"")</f>
      </c>
      <c r="H9947" s="28">
        <f>IFERROR(VLOOKUP(F9947,CARTON_LOOKUP!$A:$E,4,0),"")</f>
      </c>
      <c r="I9947" s="28">
        <f>IFERROR(VLOOKUP(F9947,CARTON_LOOKUP!$A:$E,5,0),"")</f>
      </c>
      <c r="J9947" s="29">
        <f>IFERROR(VLOOKUP(F9947,CARTON_LOOKUP!$A:$E,2,0),"")</f>
      </c>
      <c r="K9947" s="29">
        <f>IFERROR(J9947*D9947,0)</f>
      </c>
      <c r="L9947" s="29">
        <f>IFERROR(E9947*C9947,0)</f>
      </c>
      <c r="M9947" s="29">
        <f>IFERROR((G9947*H9947*I9947/1000000)*D9947,0)</f>
      </c>
    </row>
    <row r="9948" spans="1:13" x14ac:dyDescent="0.25">
      <c r="A9948" s="16"/>
      <c r="E9948" s="27"/>
      <c r="F9948" t="s">
        <v>26</v>
      </c>
      <c r="G9948" s="28">
        <f>IFERROR(VLOOKUP(F9948,CARTON_LOOKUP!$A:$E,3,0),"")</f>
      </c>
      <c r="H9948" s="28">
        <f>IFERROR(VLOOKUP(F9948,CARTON_LOOKUP!$A:$E,4,0),"")</f>
      </c>
      <c r="I9948" s="28">
        <f>IFERROR(VLOOKUP(F9948,CARTON_LOOKUP!$A:$E,5,0),"")</f>
      </c>
      <c r="J9948" s="29">
        <f>IFERROR(VLOOKUP(F9948,CARTON_LOOKUP!$A:$E,2,0),"")</f>
      </c>
      <c r="K9948" s="29">
        <f>IFERROR(J9948*D9948,0)</f>
      </c>
      <c r="L9948" s="29">
        <f>IFERROR(E9948*C9948,0)</f>
      </c>
      <c r="M9948" s="29">
        <f>IFERROR((G9948*H9948*I9948/1000000)*D9948,0)</f>
      </c>
    </row>
    <row r="9949" spans="1:13" x14ac:dyDescent="0.25">
      <c r="A9949" s="16"/>
      <c r="E9949" s="27"/>
      <c r="F9949" t="s">
        <v>26</v>
      </c>
      <c r="G9949" s="28">
        <f>IFERROR(VLOOKUP(F9949,CARTON_LOOKUP!$A:$E,3,0),"")</f>
      </c>
      <c r="H9949" s="28">
        <f>IFERROR(VLOOKUP(F9949,CARTON_LOOKUP!$A:$E,4,0),"")</f>
      </c>
      <c r="I9949" s="28">
        <f>IFERROR(VLOOKUP(F9949,CARTON_LOOKUP!$A:$E,5,0),"")</f>
      </c>
      <c r="J9949" s="29">
        <f>IFERROR(VLOOKUP(F9949,CARTON_LOOKUP!$A:$E,2,0),"")</f>
      </c>
      <c r="K9949" s="29">
        <f>IFERROR(J9949*D9949,0)</f>
      </c>
      <c r="L9949" s="29">
        <f>IFERROR(E9949*C9949,0)</f>
      </c>
      <c r="M9949" s="29">
        <f>IFERROR((G9949*H9949*I9949/1000000)*D9949,0)</f>
      </c>
    </row>
    <row r="9950" spans="1:13" x14ac:dyDescent="0.25">
      <c r="A9950" s="16"/>
      <c r="E9950" s="27"/>
      <c r="F9950" t="s">
        <v>26</v>
      </c>
      <c r="G9950" s="28">
        <f>IFERROR(VLOOKUP(F9950,CARTON_LOOKUP!$A:$E,3,0),"")</f>
      </c>
      <c r="H9950" s="28">
        <f>IFERROR(VLOOKUP(F9950,CARTON_LOOKUP!$A:$E,4,0),"")</f>
      </c>
      <c r="I9950" s="28">
        <f>IFERROR(VLOOKUP(F9950,CARTON_LOOKUP!$A:$E,5,0),"")</f>
      </c>
      <c r="J9950" s="29">
        <f>IFERROR(VLOOKUP(F9950,CARTON_LOOKUP!$A:$E,2,0),"")</f>
      </c>
      <c r="K9950" s="29">
        <f>IFERROR(J9950*D9950,0)</f>
      </c>
      <c r="L9950" s="29">
        <f>IFERROR(E9950*C9950,0)</f>
      </c>
      <c r="M9950" s="29">
        <f>IFERROR((G9950*H9950*I9950/1000000)*D9950,0)</f>
      </c>
    </row>
    <row r="9951" spans="1:13" x14ac:dyDescent="0.25">
      <c r="A9951" s="16"/>
      <c r="E9951" s="27"/>
      <c r="F9951" t="s">
        <v>26</v>
      </c>
      <c r="G9951" s="28">
        <f>IFERROR(VLOOKUP(F9951,CARTON_LOOKUP!$A:$E,3,0),"")</f>
      </c>
      <c r="H9951" s="28">
        <f>IFERROR(VLOOKUP(F9951,CARTON_LOOKUP!$A:$E,4,0),"")</f>
      </c>
      <c r="I9951" s="28">
        <f>IFERROR(VLOOKUP(F9951,CARTON_LOOKUP!$A:$E,5,0),"")</f>
      </c>
      <c r="J9951" s="29">
        <f>IFERROR(VLOOKUP(F9951,CARTON_LOOKUP!$A:$E,2,0),"")</f>
      </c>
      <c r="K9951" s="29">
        <f>IFERROR(J9951*D9951,0)</f>
      </c>
      <c r="L9951" s="29">
        <f>IFERROR(E9951*C9951,0)</f>
      </c>
      <c r="M9951" s="29">
        <f>IFERROR((G9951*H9951*I9951/1000000)*D9951,0)</f>
      </c>
    </row>
    <row r="9952" spans="1:13" x14ac:dyDescent="0.25">
      <c r="A9952" s="16"/>
      <c r="E9952" s="27"/>
      <c r="F9952" t="s">
        <v>26</v>
      </c>
      <c r="G9952" s="28">
        <f>IFERROR(VLOOKUP(F9952,CARTON_LOOKUP!$A:$E,3,0),"")</f>
      </c>
      <c r="H9952" s="28">
        <f>IFERROR(VLOOKUP(F9952,CARTON_LOOKUP!$A:$E,4,0),"")</f>
      </c>
      <c r="I9952" s="28">
        <f>IFERROR(VLOOKUP(F9952,CARTON_LOOKUP!$A:$E,5,0),"")</f>
      </c>
      <c r="J9952" s="29">
        <f>IFERROR(VLOOKUP(F9952,CARTON_LOOKUP!$A:$E,2,0),"")</f>
      </c>
      <c r="K9952" s="29">
        <f>IFERROR(J9952*D9952,0)</f>
      </c>
      <c r="L9952" s="29">
        <f>IFERROR(E9952*C9952,0)</f>
      </c>
      <c r="M9952" s="29">
        <f>IFERROR((G9952*H9952*I9952/1000000)*D9952,0)</f>
      </c>
    </row>
    <row r="9953" spans="1:13" x14ac:dyDescent="0.25">
      <c r="A9953" s="16"/>
      <c r="E9953" s="27"/>
      <c r="F9953" t="s">
        <v>26</v>
      </c>
      <c r="G9953" s="28">
        <f>IFERROR(VLOOKUP(F9953,CARTON_LOOKUP!$A:$E,3,0),"")</f>
      </c>
      <c r="H9953" s="28">
        <f>IFERROR(VLOOKUP(F9953,CARTON_LOOKUP!$A:$E,4,0),"")</f>
      </c>
      <c r="I9953" s="28">
        <f>IFERROR(VLOOKUP(F9953,CARTON_LOOKUP!$A:$E,5,0),"")</f>
      </c>
      <c r="J9953" s="29">
        <f>IFERROR(VLOOKUP(F9953,CARTON_LOOKUP!$A:$E,2,0),"")</f>
      </c>
      <c r="K9953" s="29">
        <f>IFERROR(J9953*D9953,0)</f>
      </c>
      <c r="L9953" s="29">
        <f>IFERROR(E9953*C9953,0)</f>
      </c>
      <c r="M9953" s="29">
        <f>IFERROR((G9953*H9953*I9953/1000000)*D9953,0)</f>
      </c>
    </row>
    <row r="9954" spans="1:13" x14ac:dyDescent="0.25">
      <c r="A9954" s="16"/>
      <c r="E9954" s="27"/>
      <c r="F9954" t="s">
        <v>26</v>
      </c>
      <c r="G9954" s="28">
        <f>IFERROR(VLOOKUP(F9954,CARTON_LOOKUP!$A:$E,3,0),"")</f>
      </c>
      <c r="H9954" s="28">
        <f>IFERROR(VLOOKUP(F9954,CARTON_LOOKUP!$A:$E,4,0),"")</f>
      </c>
      <c r="I9954" s="28">
        <f>IFERROR(VLOOKUP(F9954,CARTON_LOOKUP!$A:$E,5,0),"")</f>
      </c>
      <c r="J9954" s="29">
        <f>IFERROR(VLOOKUP(F9954,CARTON_LOOKUP!$A:$E,2,0),"")</f>
      </c>
      <c r="K9954" s="29">
        <f>IFERROR(J9954*D9954,0)</f>
      </c>
      <c r="L9954" s="29">
        <f>IFERROR(E9954*C9954,0)</f>
      </c>
      <c r="M9954" s="29">
        <f>IFERROR((G9954*H9954*I9954/1000000)*D9954,0)</f>
      </c>
    </row>
    <row r="9955" spans="1:13" x14ac:dyDescent="0.25">
      <c r="A9955" s="16"/>
      <c r="E9955" s="27"/>
      <c r="F9955" t="s">
        <v>26</v>
      </c>
      <c r="G9955" s="28">
        <f>IFERROR(VLOOKUP(F9955,CARTON_LOOKUP!$A:$E,3,0),"")</f>
      </c>
      <c r="H9955" s="28">
        <f>IFERROR(VLOOKUP(F9955,CARTON_LOOKUP!$A:$E,4,0),"")</f>
      </c>
      <c r="I9955" s="28">
        <f>IFERROR(VLOOKUP(F9955,CARTON_LOOKUP!$A:$E,5,0),"")</f>
      </c>
      <c r="J9955" s="29">
        <f>IFERROR(VLOOKUP(F9955,CARTON_LOOKUP!$A:$E,2,0),"")</f>
      </c>
      <c r="K9955" s="29">
        <f>IFERROR(J9955*D9955,0)</f>
      </c>
      <c r="L9955" s="29">
        <f>IFERROR(E9955*C9955,0)</f>
      </c>
      <c r="M9955" s="29">
        <f>IFERROR((G9955*H9955*I9955/1000000)*D9955,0)</f>
      </c>
    </row>
    <row r="9956" spans="1:13" x14ac:dyDescent="0.25">
      <c r="A9956" s="16"/>
      <c r="E9956" s="27"/>
      <c r="F9956" t="s">
        <v>26</v>
      </c>
      <c r="G9956" s="28">
        <f>IFERROR(VLOOKUP(F9956,CARTON_LOOKUP!$A:$E,3,0),"")</f>
      </c>
      <c r="H9956" s="28">
        <f>IFERROR(VLOOKUP(F9956,CARTON_LOOKUP!$A:$E,4,0),"")</f>
      </c>
      <c r="I9956" s="28">
        <f>IFERROR(VLOOKUP(F9956,CARTON_LOOKUP!$A:$E,5,0),"")</f>
      </c>
      <c r="J9956" s="29">
        <f>IFERROR(VLOOKUP(F9956,CARTON_LOOKUP!$A:$E,2,0),"")</f>
      </c>
      <c r="K9956" s="29">
        <f>IFERROR(J9956*D9956,0)</f>
      </c>
      <c r="L9956" s="29">
        <f>IFERROR(E9956*C9956,0)</f>
      </c>
      <c r="M9956" s="29">
        <f>IFERROR((G9956*H9956*I9956/1000000)*D9956,0)</f>
      </c>
    </row>
    <row r="9957" spans="1:13" x14ac:dyDescent="0.25">
      <c r="A9957" s="16"/>
      <c r="E9957" s="27"/>
      <c r="F9957" t="s">
        <v>26</v>
      </c>
      <c r="G9957" s="28">
        <f>IFERROR(VLOOKUP(F9957,CARTON_LOOKUP!$A:$E,3,0),"")</f>
      </c>
      <c r="H9957" s="28">
        <f>IFERROR(VLOOKUP(F9957,CARTON_LOOKUP!$A:$E,4,0),"")</f>
      </c>
      <c r="I9957" s="28">
        <f>IFERROR(VLOOKUP(F9957,CARTON_LOOKUP!$A:$E,5,0),"")</f>
      </c>
      <c r="J9957" s="29">
        <f>IFERROR(VLOOKUP(F9957,CARTON_LOOKUP!$A:$E,2,0),"")</f>
      </c>
      <c r="K9957" s="29">
        <f>IFERROR(J9957*D9957,0)</f>
      </c>
      <c r="L9957" s="29">
        <f>IFERROR(E9957*C9957,0)</f>
      </c>
      <c r="M9957" s="29">
        <f>IFERROR((G9957*H9957*I9957/1000000)*D9957,0)</f>
      </c>
    </row>
    <row r="9958" spans="1:13" x14ac:dyDescent="0.25">
      <c r="A9958" s="16"/>
      <c r="E9958" s="27"/>
      <c r="F9958" t="s">
        <v>26</v>
      </c>
      <c r="G9958" s="28">
        <f>IFERROR(VLOOKUP(F9958,CARTON_LOOKUP!$A:$E,3,0),"")</f>
      </c>
      <c r="H9958" s="28">
        <f>IFERROR(VLOOKUP(F9958,CARTON_LOOKUP!$A:$E,4,0),"")</f>
      </c>
      <c r="I9958" s="28">
        <f>IFERROR(VLOOKUP(F9958,CARTON_LOOKUP!$A:$E,5,0),"")</f>
      </c>
      <c r="J9958" s="29">
        <f>IFERROR(VLOOKUP(F9958,CARTON_LOOKUP!$A:$E,2,0),"")</f>
      </c>
      <c r="K9958" s="29">
        <f>IFERROR(J9958*D9958,0)</f>
      </c>
      <c r="L9958" s="29">
        <f>IFERROR(E9958*C9958,0)</f>
      </c>
      <c r="M9958" s="29">
        <f>IFERROR((G9958*H9958*I9958/1000000)*D9958,0)</f>
      </c>
    </row>
    <row r="9959" spans="1:13" x14ac:dyDescent="0.25">
      <c r="A9959" s="16"/>
      <c r="E9959" s="27"/>
      <c r="F9959" t="s">
        <v>26</v>
      </c>
      <c r="G9959" s="28">
        <f>IFERROR(VLOOKUP(F9959,CARTON_LOOKUP!$A:$E,3,0),"")</f>
      </c>
      <c r="H9959" s="28">
        <f>IFERROR(VLOOKUP(F9959,CARTON_LOOKUP!$A:$E,4,0),"")</f>
      </c>
      <c r="I9959" s="28">
        <f>IFERROR(VLOOKUP(F9959,CARTON_LOOKUP!$A:$E,5,0),"")</f>
      </c>
      <c r="J9959" s="29">
        <f>IFERROR(VLOOKUP(F9959,CARTON_LOOKUP!$A:$E,2,0),"")</f>
      </c>
      <c r="K9959" s="29">
        <f>IFERROR(J9959*D9959,0)</f>
      </c>
      <c r="L9959" s="29">
        <f>IFERROR(E9959*C9959,0)</f>
      </c>
      <c r="M9959" s="29">
        <f>IFERROR((G9959*H9959*I9959/1000000)*D9959,0)</f>
      </c>
    </row>
    <row r="9960" spans="1:13" x14ac:dyDescent="0.25">
      <c r="A9960" s="16"/>
      <c r="E9960" s="27"/>
      <c r="F9960" t="s">
        <v>26</v>
      </c>
      <c r="G9960" s="28">
        <f>IFERROR(VLOOKUP(F9960,CARTON_LOOKUP!$A:$E,3,0),"")</f>
      </c>
      <c r="H9960" s="28">
        <f>IFERROR(VLOOKUP(F9960,CARTON_LOOKUP!$A:$E,4,0),"")</f>
      </c>
      <c r="I9960" s="28">
        <f>IFERROR(VLOOKUP(F9960,CARTON_LOOKUP!$A:$E,5,0),"")</f>
      </c>
      <c r="J9960" s="29">
        <f>IFERROR(VLOOKUP(F9960,CARTON_LOOKUP!$A:$E,2,0),"")</f>
      </c>
      <c r="K9960" s="29">
        <f>IFERROR(J9960*D9960,0)</f>
      </c>
      <c r="L9960" s="29">
        <f>IFERROR(E9960*C9960,0)</f>
      </c>
      <c r="M9960" s="29">
        <f>IFERROR((G9960*H9960*I9960/1000000)*D9960,0)</f>
      </c>
    </row>
    <row r="9961" spans="1:13" x14ac:dyDescent="0.25">
      <c r="A9961" s="16"/>
      <c r="E9961" s="27"/>
      <c r="F9961" t="s">
        <v>26</v>
      </c>
      <c r="G9961" s="28">
        <f>IFERROR(VLOOKUP(F9961,CARTON_LOOKUP!$A:$E,3,0),"")</f>
      </c>
      <c r="H9961" s="28">
        <f>IFERROR(VLOOKUP(F9961,CARTON_LOOKUP!$A:$E,4,0),"")</f>
      </c>
      <c r="I9961" s="28">
        <f>IFERROR(VLOOKUP(F9961,CARTON_LOOKUP!$A:$E,5,0),"")</f>
      </c>
      <c r="J9961" s="29">
        <f>IFERROR(VLOOKUP(F9961,CARTON_LOOKUP!$A:$E,2,0),"")</f>
      </c>
      <c r="K9961" s="29">
        <f>IFERROR(J9961*D9961,0)</f>
      </c>
      <c r="L9961" s="29">
        <f>IFERROR(E9961*C9961,0)</f>
      </c>
      <c r="M9961" s="29">
        <f>IFERROR((G9961*H9961*I9961/1000000)*D9961,0)</f>
      </c>
    </row>
    <row r="9962" spans="1:13" x14ac:dyDescent="0.25">
      <c r="A9962" s="16"/>
      <c r="E9962" s="27"/>
      <c r="F9962" t="s">
        <v>26</v>
      </c>
      <c r="G9962" s="28">
        <f>IFERROR(VLOOKUP(F9962,CARTON_LOOKUP!$A:$E,3,0),"")</f>
      </c>
      <c r="H9962" s="28">
        <f>IFERROR(VLOOKUP(F9962,CARTON_LOOKUP!$A:$E,4,0),"")</f>
      </c>
      <c r="I9962" s="28">
        <f>IFERROR(VLOOKUP(F9962,CARTON_LOOKUP!$A:$E,5,0),"")</f>
      </c>
      <c r="J9962" s="29">
        <f>IFERROR(VLOOKUP(F9962,CARTON_LOOKUP!$A:$E,2,0),"")</f>
      </c>
      <c r="K9962" s="29">
        <f>IFERROR(J9962*D9962,0)</f>
      </c>
      <c r="L9962" s="29">
        <f>IFERROR(E9962*C9962,0)</f>
      </c>
      <c r="M9962" s="29">
        <f>IFERROR((G9962*H9962*I9962/1000000)*D9962,0)</f>
      </c>
    </row>
    <row r="9963" spans="1:13" x14ac:dyDescent="0.25">
      <c r="A9963" s="16"/>
      <c r="E9963" s="27"/>
      <c r="F9963" t="s">
        <v>26</v>
      </c>
      <c r="G9963" s="28">
        <f>IFERROR(VLOOKUP(F9963,CARTON_LOOKUP!$A:$E,3,0),"")</f>
      </c>
      <c r="H9963" s="28">
        <f>IFERROR(VLOOKUP(F9963,CARTON_LOOKUP!$A:$E,4,0),"")</f>
      </c>
      <c r="I9963" s="28">
        <f>IFERROR(VLOOKUP(F9963,CARTON_LOOKUP!$A:$E,5,0),"")</f>
      </c>
      <c r="J9963" s="29">
        <f>IFERROR(VLOOKUP(F9963,CARTON_LOOKUP!$A:$E,2,0),"")</f>
      </c>
      <c r="K9963" s="29">
        <f>IFERROR(J9963*D9963,0)</f>
      </c>
      <c r="L9963" s="29">
        <f>IFERROR(E9963*C9963,0)</f>
      </c>
      <c r="M9963" s="29">
        <f>IFERROR((G9963*H9963*I9963/1000000)*D9963,0)</f>
      </c>
    </row>
    <row r="9964" spans="1:13" x14ac:dyDescent="0.25">
      <c r="A9964" s="16"/>
      <c r="E9964" s="27"/>
      <c r="F9964" t="s">
        <v>26</v>
      </c>
      <c r="G9964" s="28">
        <f>IFERROR(VLOOKUP(F9964,CARTON_LOOKUP!$A:$E,3,0),"")</f>
      </c>
      <c r="H9964" s="28">
        <f>IFERROR(VLOOKUP(F9964,CARTON_LOOKUP!$A:$E,4,0),"")</f>
      </c>
      <c r="I9964" s="28">
        <f>IFERROR(VLOOKUP(F9964,CARTON_LOOKUP!$A:$E,5,0),"")</f>
      </c>
      <c r="J9964" s="29">
        <f>IFERROR(VLOOKUP(F9964,CARTON_LOOKUP!$A:$E,2,0),"")</f>
      </c>
      <c r="K9964" s="29">
        <f>IFERROR(J9964*D9964,0)</f>
      </c>
      <c r="L9964" s="29">
        <f>IFERROR(E9964*C9964,0)</f>
      </c>
      <c r="M9964" s="29">
        <f>IFERROR((G9964*H9964*I9964/1000000)*D9964,0)</f>
      </c>
    </row>
    <row r="9965" spans="1:13" x14ac:dyDescent="0.25">
      <c r="A9965" s="16"/>
      <c r="E9965" s="27"/>
      <c r="F9965" t="s">
        <v>26</v>
      </c>
      <c r="G9965" s="28">
        <f>IFERROR(VLOOKUP(F9965,CARTON_LOOKUP!$A:$E,3,0),"")</f>
      </c>
      <c r="H9965" s="28">
        <f>IFERROR(VLOOKUP(F9965,CARTON_LOOKUP!$A:$E,4,0),"")</f>
      </c>
      <c r="I9965" s="28">
        <f>IFERROR(VLOOKUP(F9965,CARTON_LOOKUP!$A:$E,5,0),"")</f>
      </c>
      <c r="J9965" s="29">
        <f>IFERROR(VLOOKUP(F9965,CARTON_LOOKUP!$A:$E,2,0),"")</f>
      </c>
      <c r="K9965" s="29">
        <f>IFERROR(J9965*D9965,0)</f>
      </c>
      <c r="L9965" s="29">
        <f>IFERROR(E9965*C9965,0)</f>
      </c>
      <c r="M9965" s="29">
        <f>IFERROR((G9965*H9965*I9965/1000000)*D9965,0)</f>
      </c>
    </row>
    <row r="9966" spans="1:13" x14ac:dyDescent="0.25">
      <c r="A9966" s="16"/>
      <c r="E9966" s="27"/>
      <c r="F9966" t="s">
        <v>26</v>
      </c>
      <c r="G9966" s="28">
        <f>IFERROR(VLOOKUP(F9966,CARTON_LOOKUP!$A:$E,3,0),"")</f>
      </c>
      <c r="H9966" s="28">
        <f>IFERROR(VLOOKUP(F9966,CARTON_LOOKUP!$A:$E,4,0),"")</f>
      </c>
      <c r="I9966" s="28">
        <f>IFERROR(VLOOKUP(F9966,CARTON_LOOKUP!$A:$E,5,0),"")</f>
      </c>
      <c r="J9966" s="29">
        <f>IFERROR(VLOOKUP(F9966,CARTON_LOOKUP!$A:$E,2,0),"")</f>
      </c>
      <c r="K9966" s="29">
        <f>IFERROR(J9966*D9966,0)</f>
      </c>
      <c r="L9966" s="29">
        <f>IFERROR(E9966*C9966,0)</f>
      </c>
      <c r="M9966" s="29">
        <f>IFERROR((G9966*H9966*I9966/1000000)*D9966,0)</f>
      </c>
    </row>
    <row r="9967" spans="1:13" x14ac:dyDescent="0.25">
      <c r="A9967" s="16"/>
      <c r="E9967" s="27"/>
      <c r="F9967" t="s">
        <v>26</v>
      </c>
      <c r="G9967" s="28">
        <f>IFERROR(VLOOKUP(F9967,CARTON_LOOKUP!$A:$E,3,0),"")</f>
      </c>
      <c r="H9967" s="28">
        <f>IFERROR(VLOOKUP(F9967,CARTON_LOOKUP!$A:$E,4,0),"")</f>
      </c>
      <c r="I9967" s="28">
        <f>IFERROR(VLOOKUP(F9967,CARTON_LOOKUP!$A:$E,5,0),"")</f>
      </c>
      <c r="J9967" s="29">
        <f>IFERROR(VLOOKUP(F9967,CARTON_LOOKUP!$A:$E,2,0),"")</f>
      </c>
      <c r="K9967" s="29">
        <f>IFERROR(J9967*D9967,0)</f>
      </c>
      <c r="L9967" s="29">
        <f>IFERROR(E9967*C9967,0)</f>
      </c>
      <c r="M9967" s="29">
        <f>IFERROR((G9967*H9967*I9967/1000000)*D9967,0)</f>
      </c>
    </row>
    <row r="9968" spans="1:13" x14ac:dyDescent="0.25">
      <c r="A9968" s="16"/>
      <c r="E9968" s="27"/>
      <c r="F9968" t="s">
        <v>26</v>
      </c>
      <c r="G9968" s="28">
        <f>IFERROR(VLOOKUP(F9968,CARTON_LOOKUP!$A:$E,3,0),"")</f>
      </c>
      <c r="H9968" s="28">
        <f>IFERROR(VLOOKUP(F9968,CARTON_LOOKUP!$A:$E,4,0),"")</f>
      </c>
      <c r="I9968" s="28">
        <f>IFERROR(VLOOKUP(F9968,CARTON_LOOKUP!$A:$E,5,0),"")</f>
      </c>
      <c r="J9968" s="29">
        <f>IFERROR(VLOOKUP(F9968,CARTON_LOOKUP!$A:$E,2,0),"")</f>
      </c>
      <c r="K9968" s="29">
        <f>IFERROR(J9968*D9968,0)</f>
      </c>
      <c r="L9968" s="29">
        <f>IFERROR(E9968*C9968,0)</f>
      </c>
      <c r="M9968" s="29">
        <f>IFERROR((G9968*H9968*I9968/1000000)*D9968,0)</f>
      </c>
    </row>
    <row r="9969" spans="1:13" x14ac:dyDescent="0.25">
      <c r="A9969" s="16"/>
      <c r="E9969" s="27"/>
      <c r="F9969" t="s">
        <v>26</v>
      </c>
      <c r="G9969" s="28">
        <f>IFERROR(VLOOKUP(F9969,CARTON_LOOKUP!$A:$E,3,0),"")</f>
      </c>
      <c r="H9969" s="28">
        <f>IFERROR(VLOOKUP(F9969,CARTON_LOOKUP!$A:$E,4,0),"")</f>
      </c>
      <c r="I9969" s="28">
        <f>IFERROR(VLOOKUP(F9969,CARTON_LOOKUP!$A:$E,5,0),"")</f>
      </c>
      <c r="J9969" s="29">
        <f>IFERROR(VLOOKUP(F9969,CARTON_LOOKUP!$A:$E,2,0),"")</f>
      </c>
      <c r="K9969" s="29">
        <f>IFERROR(J9969*D9969,0)</f>
      </c>
      <c r="L9969" s="29">
        <f>IFERROR(E9969*C9969,0)</f>
      </c>
      <c r="M9969" s="29">
        <f>IFERROR((G9969*H9969*I9969/1000000)*D9969,0)</f>
      </c>
    </row>
    <row r="9970" spans="1:13" x14ac:dyDescent="0.25">
      <c r="A9970" s="16"/>
      <c r="E9970" s="27"/>
      <c r="F9970" t="s">
        <v>26</v>
      </c>
      <c r="G9970" s="28">
        <f>IFERROR(VLOOKUP(F9970,CARTON_LOOKUP!$A:$E,3,0),"")</f>
      </c>
      <c r="H9970" s="28">
        <f>IFERROR(VLOOKUP(F9970,CARTON_LOOKUP!$A:$E,4,0),"")</f>
      </c>
      <c r="I9970" s="28">
        <f>IFERROR(VLOOKUP(F9970,CARTON_LOOKUP!$A:$E,5,0),"")</f>
      </c>
      <c r="J9970" s="29">
        <f>IFERROR(VLOOKUP(F9970,CARTON_LOOKUP!$A:$E,2,0),"")</f>
      </c>
      <c r="K9970" s="29">
        <f>IFERROR(J9970*D9970,0)</f>
      </c>
      <c r="L9970" s="29">
        <f>IFERROR(E9970*C9970,0)</f>
      </c>
      <c r="M9970" s="29">
        <f>IFERROR((G9970*H9970*I9970/1000000)*D9970,0)</f>
      </c>
    </row>
    <row r="9971" spans="1:13" x14ac:dyDescent="0.25">
      <c r="A9971" s="16"/>
      <c r="E9971" s="27"/>
      <c r="F9971" t="s">
        <v>26</v>
      </c>
      <c r="G9971" s="28">
        <f>IFERROR(VLOOKUP(F9971,CARTON_LOOKUP!$A:$E,3,0),"")</f>
      </c>
      <c r="H9971" s="28">
        <f>IFERROR(VLOOKUP(F9971,CARTON_LOOKUP!$A:$E,4,0),"")</f>
      </c>
      <c r="I9971" s="28">
        <f>IFERROR(VLOOKUP(F9971,CARTON_LOOKUP!$A:$E,5,0),"")</f>
      </c>
      <c r="J9971" s="29">
        <f>IFERROR(VLOOKUP(F9971,CARTON_LOOKUP!$A:$E,2,0),"")</f>
      </c>
      <c r="K9971" s="29">
        <f>IFERROR(J9971*D9971,0)</f>
      </c>
      <c r="L9971" s="29">
        <f>IFERROR(E9971*C9971,0)</f>
      </c>
      <c r="M9971" s="29">
        <f>IFERROR((G9971*H9971*I9971/1000000)*D9971,0)</f>
      </c>
    </row>
    <row r="9972" spans="1:13" x14ac:dyDescent="0.25">
      <c r="A9972" s="16"/>
      <c r="E9972" s="27"/>
      <c r="F9972" t="s">
        <v>26</v>
      </c>
      <c r="G9972" s="28">
        <f>IFERROR(VLOOKUP(F9972,CARTON_LOOKUP!$A:$E,3,0),"")</f>
      </c>
      <c r="H9972" s="28">
        <f>IFERROR(VLOOKUP(F9972,CARTON_LOOKUP!$A:$E,4,0),"")</f>
      </c>
      <c r="I9972" s="28">
        <f>IFERROR(VLOOKUP(F9972,CARTON_LOOKUP!$A:$E,5,0),"")</f>
      </c>
      <c r="J9972" s="29">
        <f>IFERROR(VLOOKUP(F9972,CARTON_LOOKUP!$A:$E,2,0),"")</f>
      </c>
      <c r="K9972" s="29">
        <f>IFERROR(J9972*D9972,0)</f>
      </c>
      <c r="L9972" s="29">
        <f>IFERROR(E9972*C9972,0)</f>
      </c>
      <c r="M9972" s="29">
        <f>IFERROR((G9972*H9972*I9972/1000000)*D9972,0)</f>
      </c>
    </row>
    <row r="9973" spans="1:13" x14ac:dyDescent="0.25">
      <c r="A9973" s="16"/>
      <c r="E9973" s="27"/>
      <c r="F9973" t="s">
        <v>26</v>
      </c>
      <c r="G9973" s="28">
        <f>IFERROR(VLOOKUP(F9973,CARTON_LOOKUP!$A:$E,3,0),"")</f>
      </c>
      <c r="H9973" s="28">
        <f>IFERROR(VLOOKUP(F9973,CARTON_LOOKUP!$A:$E,4,0),"")</f>
      </c>
      <c r="I9973" s="28">
        <f>IFERROR(VLOOKUP(F9973,CARTON_LOOKUP!$A:$E,5,0),"")</f>
      </c>
      <c r="J9973" s="29">
        <f>IFERROR(VLOOKUP(F9973,CARTON_LOOKUP!$A:$E,2,0),"")</f>
      </c>
      <c r="K9973" s="29">
        <f>IFERROR(J9973*D9973,0)</f>
      </c>
      <c r="L9973" s="29">
        <f>IFERROR(E9973*C9973,0)</f>
      </c>
      <c r="M9973" s="29">
        <f>IFERROR((G9973*H9973*I9973/1000000)*D9973,0)</f>
      </c>
    </row>
    <row r="9974" spans="1:13" x14ac:dyDescent="0.25">
      <c r="A9974" s="16"/>
      <c r="E9974" s="27"/>
      <c r="F9974" t="s">
        <v>26</v>
      </c>
      <c r="G9974" s="28">
        <f>IFERROR(VLOOKUP(F9974,CARTON_LOOKUP!$A:$E,3,0),"")</f>
      </c>
      <c r="H9974" s="28">
        <f>IFERROR(VLOOKUP(F9974,CARTON_LOOKUP!$A:$E,4,0),"")</f>
      </c>
      <c r="I9974" s="28">
        <f>IFERROR(VLOOKUP(F9974,CARTON_LOOKUP!$A:$E,5,0),"")</f>
      </c>
      <c r="J9974" s="29">
        <f>IFERROR(VLOOKUP(F9974,CARTON_LOOKUP!$A:$E,2,0),"")</f>
      </c>
      <c r="K9974" s="29">
        <f>IFERROR(J9974*D9974,0)</f>
      </c>
      <c r="L9974" s="29">
        <f>IFERROR(E9974*C9974,0)</f>
      </c>
      <c r="M9974" s="29">
        <f>IFERROR((G9974*H9974*I9974/1000000)*D9974,0)</f>
      </c>
    </row>
    <row r="9975" spans="1:13" x14ac:dyDescent="0.25">
      <c r="A9975" s="16"/>
      <c r="E9975" s="27"/>
      <c r="F9975" t="s">
        <v>26</v>
      </c>
      <c r="G9975" s="28">
        <f>IFERROR(VLOOKUP(F9975,CARTON_LOOKUP!$A:$E,3,0),"")</f>
      </c>
      <c r="H9975" s="28">
        <f>IFERROR(VLOOKUP(F9975,CARTON_LOOKUP!$A:$E,4,0),"")</f>
      </c>
      <c r="I9975" s="28">
        <f>IFERROR(VLOOKUP(F9975,CARTON_LOOKUP!$A:$E,5,0),"")</f>
      </c>
      <c r="J9975" s="29">
        <f>IFERROR(VLOOKUP(F9975,CARTON_LOOKUP!$A:$E,2,0),"")</f>
      </c>
      <c r="K9975" s="29">
        <f>IFERROR(J9975*D9975,0)</f>
      </c>
      <c r="L9975" s="29">
        <f>IFERROR(E9975*C9975,0)</f>
      </c>
      <c r="M9975" s="29">
        <f>IFERROR((G9975*H9975*I9975/1000000)*D9975,0)</f>
      </c>
    </row>
    <row r="9976" spans="1:13" x14ac:dyDescent="0.25">
      <c r="A9976" s="16"/>
      <c r="E9976" s="27"/>
      <c r="F9976" t="s">
        <v>26</v>
      </c>
      <c r="G9976" s="28">
        <f>IFERROR(VLOOKUP(F9976,CARTON_LOOKUP!$A:$E,3,0),"")</f>
      </c>
      <c r="H9976" s="28">
        <f>IFERROR(VLOOKUP(F9976,CARTON_LOOKUP!$A:$E,4,0),"")</f>
      </c>
      <c r="I9976" s="28">
        <f>IFERROR(VLOOKUP(F9976,CARTON_LOOKUP!$A:$E,5,0),"")</f>
      </c>
      <c r="J9976" s="29">
        <f>IFERROR(VLOOKUP(F9976,CARTON_LOOKUP!$A:$E,2,0),"")</f>
      </c>
      <c r="K9976" s="29">
        <f>IFERROR(J9976*D9976,0)</f>
      </c>
      <c r="L9976" s="29">
        <f>IFERROR(E9976*C9976,0)</f>
      </c>
      <c r="M9976" s="29">
        <f>IFERROR((G9976*H9976*I9976/1000000)*D9976,0)</f>
      </c>
    </row>
    <row r="9977" spans="1:13" x14ac:dyDescent="0.25">
      <c r="A9977" s="16"/>
      <c r="E9977" s="27"/>
      <c r="F9977" t="s">
        <v>26</v>
      </c>
      <c r="G9977" s="28">
        <f>IFERROR(VLOOKUP(F9977,CARTON_LOOKUP!$A:$E,3,0),"")</f>
      </c>
      <c r="H9977" s="28">
        <f>IFERROR(VLOOKUP(F9977,CARTON_LOOKUP!$A:$E,4,0),"")</f>
      </c>
      <c r="I9977" s="28">
        <f>IFERROR(VLOOKUP(F9977,CARTON_LOOKUP!$A:$E,5,0),"")</f>
      </c>
      <c r="J9977" s="29">
        <f>IFERROR(VLOOKUP(F9977,CARTON_LOOKUP!$A:$E,2,0),"")</f>
      </c>
      <c r="K9977" s="29">
        <f>IFERROR(J9977*D9977,0)</f>
      </c>
      <c r="L9977" s="29">
        <f>IFERROR(E9977*C9977,0)</f>
      </c>
      <c r="M9977" s="29">
        <f>IFERROR((G9977*H9977*I9977/1000000)*D9977,0)</f>
      </c>
    </row>
    <row r="9978" spans="1:13" x14ac:dyDescent="0.25">
      <c r="A9978" s="16"/>
      <c r="E9978" s="27"/>
      <c r="F9978" t="s">
        <v>26</v>
      </c>
      <c r="G9978" s="28">
        <f>IFERROR(VLOOKUP(F9978,CARTON_LOOKUP!$A:$E,3,0),"")</f>
      </c>
      <c r="H9978" s="28">
        <f>IFERROR(VLOOKUP(F9978,CARTON_LOOKUP!$A:$E,4,0),"")</f>
      </c>
      <c r="I9978" s="28">
        <f>IFERROR(VLOOKUP(F9978,CARTON_LOOKUP!$A:$E,5,0),"")</f>
      </c>
      <c r="J9978" s="29">
        <f>IFERROR(VLOOKUP(F9978,CARTON_LOOKUP!$A:$E,2,0),"")</f>
      </c>
      <c r="K9978" s="29">
        <f>IFERROR(J9978*D9978,0)</f>
      </c>
      <c r="L9978" s="29">
        <f>IFERROR(E9978*C9978,0)</f>
      </c>
      <c r="M9978" s="29">
        <f>IFERROR((G9978*H9978*I9978/1000000)*D9978,0)</f>
      </c>
    </row>
    <row r="9979" spans="1:13" x14ac:dyDescent="0.25">
      <c r="A9979" s="16"/>
      <c r="E9979" s="27"/>
      <c r="F9979" t="s">
        <v>26</v>
      </c>
      <c r="G9979" s="28">
        <f>IFERROR(VLOOKUP(F9979,CARTON_LOOKUP!$A:$E,3,0),"")</f>
      </c>
      <c r="H9979" s="28">
        <f>IFERROR(VLOOKUP(F9979,CARTON_LOOKUP!$A:$E,4,0),"")</f>
      </c>
      <c r="I9979" s="28">
        <f>IFERROR(VLOOKUP(F9979,CARTON_LOOKUP!$A:$E,5,0),"")</f>
      </c>
      <c r="J9979" s="29">
        <f>IFERROR(VLOOKUP(F9979,CARTON_LOOKUP!$A:$E,2,0),"")</f>
      </c>
      <c r="K9979" s="29">
        <f>IFERROR(J9979*D9979,0)</f>
      </c>
      <c r="L9979" s="29">
        <f>IFERROR(E9979*C9979,0)</f>
      </c>
      <c r="M9979" s="29">
        <f>IFERROR((G9979*H9979*I9979/1000000)*D9979,0)</f>
      </c>
    </row>
    <row r="9980" spans="1:13" x14ac:dyDescent="0.25">
      <c r="A9980" s="16"/>
      <c r="E9980" s="27"/>
      <c r="F9980" t="s">
        <v>26</v>
      </c>
      <c r="G9980" s="28">
        <f>IFERROR(VLOOKUP(F9980,CARTON_LOOKUP!$A:$E,3,0),"")</f>
      </c>
      <c r="H9980" s="28">
        <f>IFERROR(VLOOKUP(F9980,CARTON_LOOKUP!$A:$E,4,0),"")</f>
      </c>
      <c r="I9980" s="28">
        <f>IFERROR(VLOOKUP(F9980,CARTON_LOOKUP!$A:$E,5,0),"")</f>
      </c>
      <c r="J9980" s="29">
        <f>IFERROR(VLOOKUP(F9980,CARTON_LOOKUP!$A:$E,2,0),"")</f>
      </c>
      <c r="K9980" s="29">
        <f>IFERROR(J9980*D9980,0)</f>
      </c>
      <c r="L9980" s="29">
        <f>IFERROR(E9980*C9980,0)</f>
      </c>
      <c r="M9980" s="29">
        <f>IFERROR((G9980*H9980*I9980/1000000)*D9980,0)</f>
      </c>
    </row>
    <row r="9981" spans="1:13" x14ac:dyDescent="0.25">
      <c r="A9981" s="16"/>
      <c r="E9981" s="27"/>
      <c r="F9981" t="s">
        <v>26</v>
      </c>
      <c r="G9981" s="28">
        <f>IFERROR(VLOOKUP(F9981,CARTON_LOOKUP!$A:$E,3,0),"")</f>
      </c>
      <c r="H9981" s="28">
        <f>IFERROR(VLOOKUP(F9981,CARTON_LOOKUP!$A:$E,4,0),"")</f>
      </c>
      <c r="I9981" s="28">
        <f>IFERROR(VLOOKUP(F9981,CARTON_LOOKUP!$A:$E,5,0),"")</f>
      </c>
      <c r="J9981" s="29">
        <f>IFERROR(VLOOKUP(F9981,CARTON_LOOKUP!$A:$E,2,0),"")</f>
      </c>
      <c r="K9981" s="29">
        <f>IFERROR(J9981*D9981,0)</f>
      </c>
      <c r="L9981" s="29">
        <f>IFERROR(E9981*C9981,0)</f>
      </c>
      <c r="M9981" s="29">
        <f>IFERROR((G9981*H9981*I9981/1000000)*D9981,0)</f>
      </c>
    </row>
    <row r="9982" spans="1:13" x14ac:dyDescent="0.25">
      <c r="A9982" s="16"/>
      <c r="E9982" s="27"/>
      <c r="F9982" t="s">
        <v>26</v>
      </c>
      <c r="G9982" s="28">
        <f>IFERROR(VLOOKUP(F9982,CARTON_LOOKUP!$A:$E,3,0),"")</f>
      </c>
      <c r="H9982" s="28">
        <f>IFERROR(VLOOKUP(F9982,CARTON_LOOKUP!$A:$E,4,0),"")</f>
      </c>
      <c r="I9982" s="28">
        <f>IFERROR(VLOOKUP(F9982,CARTON_LOOKUP!$A:$E,5,0),"")</f>
      </c>
      <c r="J9982" s="29">
        <f>IFERROR(VLOOKUP(F9982,CARTON_LOOKUP!$A:$E,2,0),"")</f>
      </c>
      <c r="K9982" s="29">
        <f>IFERROR(J9982*D9982,0)</f>
      </c>
      <c r="L9982" s="29">
        <f>IFERROR(E9982*C9982,0)</f>
      </c>
      <c r="M9982" s="29">
        <f>IFERROR((G9982*H9982*I9982/1000000)*D9982,0)</f>
      </c>
    </row>
    <row r="9983" spans="1:13" x14ac:dyDescent="0.25">
      <c r="A9983" s="16"/>
      <c r="E9983" s="27"/>
      <c r="F9983" t="s">
        <v>26</v>
      </c>
      <c r="G9983" s="28">
        <f>IFERROR(VLOOKUP(F9983,CARTON_LOOKUP!$A:$E,3,0),"")</f>
      </c>
      <c r="H9983" s="28">
        <f>IFERROR(VLOOKUP(F9983,CARTON_LOOKUP!$A:$E,4,0),"")</f>
      </c>
      <c r="I9983" s="28">
        <f>IFERROR(VLOOKUP(F9983,CARTON_LOOKUP!$A:$E,5,0),"")</f>
      </c>
      <c r="J9983" s="29">
        <f>IFERROR(VLOOKUP(F9983,CARTON_LOOKUP!$A:$E,2,0),"")</f>
      </c>
      <c r="K9983" s="29">
        <f>IFERROR(J9983*D9983,0)</f>
      </c>
      <c r="L9983" s="29">
        <f>IFERROR(E9983*C9983,0)</f>
      </c>
      <c r="M9983" s="29">
        <f>IFERROR((G9983*H9983*I9983/1000000)*D9983,0)</f>
      </c>
    </row>
    <row r="9984" spans="1:13" x14ac:dyDescent="0.25">
      <c r="A9984" s="16"/>
      <c r="E9984" s="27"/>
      <c r="F9984" t="s">
        <v>26</v>
      </c>
      <c r="G9984" s="28">
        <f>IFERROR(VLOOKUP(F9984,CARTON_LOOKUP!$A:$E,3,0),"")</f>
      </c>
      <c r="H9984" s="28">
        <f>IFERROR(VLOOKUP(F9984,CARTON_LOOKUP!$A:$E,4,0),"")</f>
      </c>
      <c r="I9984" s="28">
        <f>IFERROR(VLOOKUP(F9984,CARTON_LOOKUP!$A:$E,5,0),"")</f>
      </c>
      <c r="J9984" s="29">
        <f>IFERROR(VLOOKUP(F9984,CARTON_LOOKUP!$A:$E,2,0),"")</f>
      </c>
      <c r="K9984" s="29">
        <f>IFERROR(J9984*D9984,0)</f>
      </c>
      <c r="L9984" s="29">
        <f>IFERROR(E9984*C9984,0)</f>
      </c>
      <c r="M9984" s="29">
        <f>IFERROR((G9984*H9984*I9984/1000000)*D9984,0)</f>
      </c>
    </row>
    <row r="9985" spans="1:13" x14ac:dyDescent="0.25">
      <c r="A9985" s="16"/>
      <c r="E9985" s="27"/>
      <c r="F9985" t="s">
        <v>26</v>
      </c>
      <c r="G9985" s="28">
        <f>IFERROR(VLOOKUP(F9985,CARTON_LOOKUP!$A:$E,3,0),"")</f>
      </c>
      <c r="H9985" s="28">
        <f>IFERROR(VLOOKUP(F9985,CARTON_LOOKUP!$A:$E,4,0),"")</f>
      </c>
      <c r="I9985" s="28">
        <f>IFERROR(VLOOKUP(F9985,CARTON_LOOKUP!$A:$E,5,0),"")</f>
      </c>
      <c r="J9985" s="29">
        <f>IFERROR(VLOOKUP(F9985,CARTON_LOOKUP!$A:$E,2,0),"")</f>
      </c>
      <c r="K9985" s="29">
        <f>IFERROR(J9985*D9985,0)</f>
      </c>
      <c r="L9985" s="29">
        <f>IFERROR(E9985*C9985,0)</f>
      </c>
      <c r="M9985" s="29">
        <f>IFERROR((G9985*H9985*I9985/1000000)*D9985,0)</f>
      </c>
    </row>
    <row r="9986" spans="1:13" x14ac:dyDescent="0.25">
      <c r="A9986" s="16"/>
      <c r="E9986" s="27"/>
      <c r="F9986" t="s">
        <v>26</v>
      </c>
      <c r="G9986" s="28">
        <f>IFERROR(VLOOKUP(F9986,CARTON_LOOKUP!$A:$E,3,0),"")</f>
      </c>
      <c r="H9986" s="28">
        <f>IFERROR(VLOOKUP(F9986,CARTON_LOOKUP!$A:$E,4,0),"")</f>
      </c>
      <c r="I9986" s="28">
        <f>IFERROR(VLOOKUP(F9986,CARTON_LOOKUP!$A:$E,5,0),"")</f>
      </c>
      <c r="J9986" s="29">
        <f>IFERROR(VLOOKUP(F9986,CARTON_LOOKUP!$A:$E,2,0),"")</f>
      </c>
      <c r="K9986" s="29">
        <f>IFERROR(J9986*D9986,0)</f>
      </c>
      <c r="L9986" s="29">
        <f>IFERROR(E9986*C9986,0)</f>
      </c>
      <c r="M9986" s="29">
        <f>IFERROR((G9986*H9986*I9986/1000000)*D9986,0)</f>
      </c>
    </row>
    <row r="9987" spans="1:13" x14ac:dyDescent="0.25">
      <c r="A9987" s="16"/>
      <c r="E9987" s="27"/>
      <c r="F9987" t="s">
        <v>26</v>
      </c>
      <c r="G9987" s="28">
        <f>IFERROR(VLOOKUP(F9987,CARTON_LOOKUP!$A:$E,3,0),"")</f>
      </c>
      <c r="H9987" s="28">
        <f>IFERROR(VLOOKUP(F9987,CARTON_LOOKUP!$A:$E,4,0),"")</f>
      </c>
      <c r="I9987" s="28">
        <f>IFERROR(VLOOKUP(F9987,CARTON_LOOKUP!$A:$E,5,0),"")</f>
      </c>
      <c r="J9987" s="29">
        <f>IFERROR(VLOOKUP(F9987,CARTON_LOOKUP!$A:$E,2,0),"")</f>
      </c>
      <c r="K9987" s="29">
        <f>IFERROR(J9987*D9987,0)</f>
      </c>
      <c r="L9987" s="29">
        <f>IFERROR(E9987*C9987,0)</f>
      </c>
      <c r="M9987" s="29">
        <f>IFERROR((G9987*H9987*I9987/1000000)*D9987,0)</f>
      </c>
    </row>
    <row r="9988" spans="1:13" x14ac:dyDescent="0.25">
      <c r="A9988" s="16"/>
      <c r="E9988" s="27"/>
      <c r="F9988" t="s">
        <v>26</v>
      </c>
      <c r="G9988" s="28">
        <f>IFERROR(VLOOKUP(F9988,CARTON_LOOKUP!$A:$E,3,0),"")</f>
      </c>
      <c r="H9988" s="28">
        <f>IFERROR(VLOOKUP(F9988,CARTON_LOOKUP!$A:$E,4,0),"")</f>
      </c>
      <c r="I9988" s="28">
        <f>IFERROR(VLOOKUP(F9988,CARTON_LOOKUP!$A:$E,5,0),"")</f>
      </c>
      <c r="J9988" s="29">
        <f>IFERROR(VLOOKUP(F9988,CARTON_LOOKUP!$A:$E,2,0),"")</f>
      </c>
      <c r="K9988" s="29">
        <f>IFERROR(J9988*D9988,0)</f>
      </c>
      <c r="L9988" s="29">
        <f>IFERROR(E9988*C9988,0)</f>
      </c>
      <c r="M9988" s="29">
        <f>IFERROR((G9988*H9988*I9988/1000000)*D9988,0)</f>
      </c>
    </row>
    <row r="9989" spans="1:13" x14ac:dyDescent="0.25">
      <c r="A9989" s="16"/>
      <c r="E9989" s="27"/>
      <c r="F9989" t="s">
        <v>26</v>
      </c>
      <c r="G9989" s="28">
        <f>IFERROR(VLOOKUP(F9989,CARTON_LOOKUP!$A:$E,3,0),"")</f>
      </c>
      <c r="H9989" s="28">
        <f>IFERROR(VLOOKUP(F9989,CARTON_LOOKUP!$A:$E,4,0),"")</f>
      </c>
      <c r="I9989" s="28">
        <f>IFERROR(VLOOKUP(F9989,CARTON_LOOKUP!$A:$E,5,0),"")</f>
      </c>
      <c r="J9989" s="29">
        <f>IFERROR(VLOOKUP(F9989,CARTON_LOOKUP!$A:$E,2,0),"")</f>
      </c>
      <c r="K9989" s="29">
        <f>IFERROR(J9989*D9989,0)</f>
      </c>
      <c r="L9989" s="29">
        <f>IFERROR(E9989*C9989,0)</f>
      </c>
      <c r="M9989" s="29">
        <f>IFERROR((G9989*H9989*I9989/1000000)*D9989,0)</f>
      </c>
    </row>
    <row r="9990" spans="1:13" x14ac:dyDescent="0.25">
      <c r="A9990" s="16"/>
      <c r="E9990" s="27"/>
      <c r="F9990" t="s">
        <v>26</v>
      </c>
      <c r="G9990" s="28">
        <f>IFERROR(VLOOKUP(F9990,CARTON_LOOKUP!$A:$E,3,0),"")</f>
      </c>
      <c r="H9990" s="28">
        <f>IFERROR(VLOOKUP(F9990,CARTON_LOOKUP!$A:$E,4,0),"")</f>
      </c>
      <c r="I9990" s="28">
        <f>IFERROR(VLOOKUP(F9990,CARTON_LOOKUP!$A:$E,5,0),"")</f>
      </c>
      <c r="J9990" s="29">
        <f>IFERROR(VLOOKUP(F9990,CARTON_LOOKUP!$A:$E,2,0),"")</f>
      </c>
      <c r="K9990" s="29">
        <f>IFERROR(J9990*D9990,0)</f>
      </c>
      <c r="L9990" s="29">
        <f>IFERROR(E9990*C9990,0)</f>
      </c>
      <c r="M9990" s="29">
        <f>IFERROR((G9990*H9990*I9990/1000000)*D9990,0)</f>
      </c>
    </row>
    <row r="9991" spans="1:13" x14ac:dyDescent="0.25">
      <c r="A9991" s="16"/>
      <c r="E9991" s="27"/>
      <c r="F9991" t="s">
        <v>26</v>
      </c>
      <c r="G9991" s="28">
        <f>IFERROR(VLOOKUP(F9991,CARTON_LOOKUP!$A:$E,3,0),"")</f>
      </c>
      <c r="H9991" s="28">
        <f>IFERROR(VLOOKUP(F9991,CARTON_LOOKUP!$A:$E,4,0),"")</f>
      </c>
      <c r="I9991" s="28">
        <f>IFERROR(VLOOKUP(F9991,CARTON_LOOKUP!$A:$E,5,0),"")</f>
      </c>
      <c r="J9991" s="29">
        <f>IFERROR(VLOOKUP(F9991,CARTON_LOOKUP!$A:$E,2,0),"")</f>
      </c>
      <c r="K9991" s="29">
        <f>IFERROR(J9991*D9991,0)</f>
      </c>
      <c r="L9991" s="29">
        <f>IFERROR(E9991*C9991,0)</f>
      </c>
      <c r="M9991" s="29">
        <f>IFERROR((G9991*H9991*I9991/1000000)*D9991,0)</f>
      </c>
    </row>
    <row r="9992" spans="1:13" x14ac:dyDescent="0.25">
      <c r="A9992" s="16"/>
      <c r="E9992" s="27"/>
      <c r="F9992" t="s">
        <v>26</v>
      </c>
      <c r="G9992" s="28">
        <f>IFERROR(VLOOKUP(F9992,CARTON_LOOKUP!$A:$E,3,0),"")</f>
      </c>
      <c r="H9992" s="28">
        <f>IFERROR(VLOOKUP(F9992,CARTON_LOOKUP!$A:$E,4,0),"")</f>
      </c>
      <c r="I9992" s="28">
        <f>IFERROR(VLOOKUP(F9992,CARTON_LOOKUP!$A:$E,5,0),"")</f>
      </c>
      <c r="J9992" s="29">
        <f>IFERROR(VLOOKUP(F9992,CARTON_LOOKUP!$A:$E,2,0),"")</f>
      </c>
      <c r="K9992" s="29">
        <f>IFERROR(J9992*D9992,0)</f>
      </c>
      <c r="L9992" s="29">
        <f>IFERROR(E9992*C9992,0)</f>
      </c>
      <c r="M9992" s="29">
        <f>IFERROR((G9992*H9992*I9992/1000000)*D9992,0)</f>
      </c>
    </row>
    <row r="9993" spans="1:13" x14ac:dyDescent="0.25">
      <c r="A9993" s="16"/>
      <c r="E9993" s="27"/>
      <c r="F9993" t="s">
        <v>26</v>
      </c>
      <c r="G9993" s="28">
        <f>IFERROR(VLOOKUP(F9993,CARTON_LOOKUP!$A:$E,3,0),"")</f>
      </c>
      <c r="H9993" s="28">
        <f>IFERROR(VLOOKUP(F9993,CARTON_LOOKUP!$A:$E,4,0),"")</f>
      </c>
      <c r="I9993" s="28">
        <f>IFERROR(VLOOKUP(F9993,CARTON_LOOKUP!$A:$E,5,0),"")</f>
      </c>
      <c r="J9993" s="29">
        <f>IFERROR(VLOOKUP(F9993,CARTON_LOOKUP!$A:$E,2,0),"")</f>
      </c>
      <c r="K9993" s="29">
        <f>IFERROR(J9993*D9993,0)</f>
      </c>
      <c r="L9993" s="29">
        <f>IFERROR(E9993*C9993,0)</f>
      </c>
      <c r="M9993" s="29">
        <f>IFERROR((G9993*H9993*I9993/1000000)*D9993,0)</f>
      </c>
    </row>
    <row r="9994" spans="1:13" x14ac:dyDescent="0.25">
      <c r="A9994" s="16"/>
      <c r="E9994" s="27"/>
      <c r="F9994" t="s">
        <v>26</v>
      </c>
      <c r="G9994" s="28">
        <f>IFERROR(VLOOKUP(F9994,CARTON_LOOKUP!$A:$E,3,0),"")</f>
      </c>
      <c r="H9994" s="28">
        <f>IFERROR(VLOOKUP(F9994,CARTON_LOOKUP!$A:$E,4,0),"")</f>
      </c>
      <c r="I9994" s="28">
        <f>IFERROR(VLOOKUP(F9994,CARTON_LOOKUP!$A:$E,5,0),"")</f>
      </c>
      <c r="J9994" s="29">
        <f>IFERROR(VLOOKUP(F9994,CARTON_LOOKUP!$A:$E,2,0),"")</f>
      </c>
      <c r="K9994" s="29">
        <f>IFERROR(J9994*D9994,0)</f>
      </c>
      <c r="L9994" s="29">
        <f>IFERROR(E9994*C9994,0)</f>
      </c>
      <c r="M9994" s="29">
        <f>IFERROR((G9994*H9994*I9994/1000000)*D9994,0)</f>
      </c>
    </row>
    <row r="9995" spans="1:13" x14ac:dyDescent="0.25">
      <c r="A9995" s="16"/>
      <c r="E9995" s="27"/>
      <c r="F9995" t="s">
        <v>26</v>
      </c>
      <c r="G9995" s="28">
        <f>IFERROR(VLOOKUP(F9995,CARTON_LOOKUP!$A:$E,3,0),"")</f>
      </c>
      <c r="H9995" s="28">
        <f>IFERROR(VLOOKUP(F9995,CARTON_LOOKUP!$A:$E,4,0),"")</f>
      </c>
      <c r="I9995" s="28">
        <f>IFERROR(VLOOKUP(F9995,CARTON_LOOKUP!$A:$E,5,0),"")</f>
      </c>
      <c r="J9995" s="29">
        <f>IFERROR(VLOOKUP(F9995,CARTON_LOOKUP!$A:$E,2,0),"")</f>
      </c>
      <c r="K9995" s="29">
        <f>IFERROR(J9995*D9995,0)</f>
      </c>
      <c r="L9995" s="29">
        <f>IFERROR(E9995*C9995,0)</f>
      </c>
      <c r="M9995" s="29">
        <f>IFERROR((G9995*H9995*I9995/1000000)*D9995,0)</f>
      </c>
    </row>
    <row r="9996" spans="1:13" x14ac:dyDescent="0.25">
      <c r="A9996" s="16"/>
      <c r="E9996" s="27"/>
      <c r="F9996" t="s">
        <v>26</v>
      </c>
      <c r="G9996" s="28">
        <f>IFERROR(VLOOKUP(F9996,CARTON_LOOKUP!$A:$E,3,0),"")</f>
      </c>
      <c r="H9996" s="28">
        <f>IFERROR(VLOOKUP(F9996,CARTON_LOOKUP!$A:$E,4,0),"")</f>
      </c>
      <c r="I9996" s="28">
        <f>IFERROR(VLOOKUP(F9996,CARTON_LOOKUP!$A:$E,5,0),"")</f>
      </c>
      <c r="J9996" s="29">
        <f>IFERROR(VLOOKUP(F9996,CARTON_LOOKUP!$A:$E,2,0),"")</f>
      </c>
      <c r="K9996" s="29">
        <f>IFERROR(J9996*D9996,0)</f>
      </c>
      <c r="L9996" s="29">
        <f>IFERROR(E9996*C9996,0)</f>
      </c>
      <c r="M9996" s="29">
        <f>IFERROR((G9996*H9996*I9996/1000000)*D9996,0)</f>
      </c>
    </row>
    <row r="9997" spans="1:13" x14ac:dyDescent="0.25">
      <c r="A9997" s="16"/>
      <c r="E9997" s="27"/>
      <c r="F9997" t="s">
        <v>26</v>
      </c>
      <c r="G9997" s="28">
        <f>IFERROR(VLOOKUP(F9997,CARTON_LOOKUP!$A:$E,3,0),"")</f>
      </c>
      <c r="H9997" s="28">
        <f>IFERROR(VLOOKUP(F9997,CARTON_LOOKUP!$A:$E,4,0),"")</f>
      </c>
      <c r="I9997" s="28">
        <f>IFERROR(VLOOKUP(F9997,CARTON_LOOKUP!$A:$E,5,0),"")</f>
      </c>
      <c r="J9997" s="29">
        <f>IFERROR(VLOOKUP(F9997,CARTON_LOOKUP!$A:$E,2,0),"")</f>
      </c>
      <c r="K9997" s="29">
        <f>IFERROR(J9997*D9997,0)</f>
      </c>
      <c r="L9997" s="29">
        <f>IFERROR(E9997*C9997,0)</f>
      </c>
      <c r="M9997" s="29">
        <f>IFERROR((G9997*H9997*I9997/1000000)*D9997,0)</f>
      </c>
    </row>
    <row r="9998" spans="1:13" x14ac:dyDescent="0.25">
      <c r="A9998" s="16"/>
      <c r="E9998" s="27"/>
      <c r="F9998" t="s">
        <v>26</v>
      </c>
      <c r="G9998" s="28">
        <f>IFERROR(VLOOKUP(F9998,CARTON_LOOKUP!$A:$E,3,0),"")</f>
      </c>
      <c r="H9998" s="28">
        <f>IFERROR(VLOOKUP(F9998,CARTON_LOOKUP!$A:$E,4,0),"")</f>
      </c>
      <c r="I9998" s="28">
        <f>IFERROR(VLOOKUP(F9998,CARTON_LOOKUP!$A:$E,5,0),"")</f>
      </c>
      <c r="J9998" s="29">
        <f>IFERROR(VLOOKUP(F9998,CARTON_LOOKUP!$A:$E,2,0),"")</f>
      </c>
      <c r="K9998" s="29">
        <f>IFERROR(J9998*D9998,0)</f>
      </c>
      <c r="L9998" s="29">
        <f>IFERROR(E9998*C9998,0)</f>
      </c>
      <c r="M9998" s="29">
        <f>IFERROR((G9998*H9998*I9998/1000000)*D9998,0)</f>
      </c>
    </row>
    <row r="9999" spans="1:13" x14ac:dyDescent="0.25">
      <c r="A9999" s="16"/>
      <c r="E9999" s="27"/>
      <c r="F9999" t="s">
        <v>26</v>
      </c>
      <c r="G9999" s="28">
        <f>IFERROR(VLOOKUP(F9999,CARTON_LOOKUP!$A:$E,3,0),"")</f>
      </c>
      <c r="H9999" s="28">
        <f>IFERROR(VLOOKUP(F9999,CARTON_LOOKUP!$A:$E,4,0),"")</f>
      </c>
      <c r="I9999" s="28">
        <f>IFERROR(VLOOKUP(F9999,CARTON_LOOKUP!$A:$E,5,0),"")</f>
      </c>
      <c r="J9999" s="29">
        <f>IFERROR(VLOOKUP(F9999,CARTON_LOOKUP!$A:$E,2,0),"")</f>
      </c>
      <c r="K9999" s="29">
        <f>IFERROR(J9999*D9999,0)</f>
      </c>
      <c r="L9999" s="29">
        <f>IFERROR(E9999*C9999,0)</f>
      </c>
      <c r="M9999" s="29">
        <f>IFERROR((G9999*H9999*I9999/1000000)*D9999,0)</f>
      </c>
    </row>
    <row r="10000" spans="1:13" x14ac:dyDescent="0.25">
      <c r="A10000" s="16"/>
      <c r="E10000" s="27"/>
      <c r="F10000" t="s">
        <v>26</v>
      </c>
      <c r="G10000" s="28">
        <f>IFERROR(VLOOKUP(F10000,CARTON_LOOKUP!$A:$E,3,0),"")</f>
      </c>
      <c r="H10000" s="28">
        <f>IFERROR(VLOOKUP(F10000,CARTON_LOOKUP!$A:$E,4,0),"")</f>
      </c>
      <c r="I10000" s="28">
        <f>IFERROR(VLOOKUP(F10000,CARTON_LOOKUP!$A:$E,5,0),"")</f>
      </c>
      <c r="J10000" s="29">
        <f>IFERROR(VLOOKUP(F10000,CARTON_LOOKUP!$A:$E,2,0),"")</f>
      </c>
      <c r="K10000" s="29">
        <f>IFERROR(J10000*D10000,0)</f>
      </c>
      <c r="L10000" s="29">
        <f>IFERROR(E10000*C10000,0)</f>
      </c>
      <c r="M10000" s="29">
        <f>IFERROR((G10000*H10000*I10000/1000000)*D10000,0)</f>
      </c>
    </row>
    <row r="10001" spans="1:13" x14ac:dyDescent="0.25">
      <c r="A10001" s="16"/>
      <c r="E10001" s="27"/>
      <c r="F10001" t="s">
        <v>26</v>
      </c>
      <c r="G10001" s="28">
        <f>IFERROR(VLOOKUP(F10001,CARTON_LOOKUP!$A:$E,3,0),"")</f>
      </c>
      <c r="H10001" s="28">
        <f>IFERROR(VLOOKUP(F10001,CARTON_LOOKUP!$A:$E,4,0),"")</f>
      </c>
      <c r="I10001" s="28">
        <f>IFERROR(VLOOKUP(F10001,CARTON_LOOKUP!$A:$E,5,0),"")</f>
      </c>
      <c r="J10001" s="29">
        <f>IFERROR(VLOOKUP(F10001,CARTON_LOOKUP!$A:$E,2,0),"")</f>
      </c>
      <c r="K10001" s="29">
        <f>IFERROR(J10001*D10001,0)</f>
      </c>
      <c r="L10001" s="29">
        <f>IFERROR(E10001*C10001,0)</f>
      </c>
      <c r="M10001" s="29">
        <f>IFERROR((G10001*H10001*I10001/1000000)*D10001,0)</f>
      </c>
    </row>
    <row r="10002" spans="1:13" x14ac:dyDescent="0.25">
      <c r="A10002" s="16"/>
      <c r="E10002" s="27"/>
      <c r="F10002" t="s">
        <v>26</v>
      </c>
      <c r="G10002" s="28">
        <f>IFERROR(VLOOKUP(F10002,CARTON_LOOKUP!$A:$E,3,0),"")</f>
      </c>
      <c r="H10002" s="28">
        <f>IFERROR(VLOOKUP(F10002,CARTON_LOOKUP!$A:$E,4,0),"")</f>
      </c>
      <c r="I10002" s="28">
        <f>IFERROR(VLOOKUP(F10002,CARTON_LOOKUP!$A:$E,5,0),"")</f>
      </c>
      <c r="J10002" s="29">
        <f>IFERROR(VLOOKUP(F10002,CARTON_LOOKUP!$A:$E,2,0),"")</f>
      </c>
      <c r="K10002" s="29">
        <f>IFERROR(J10002*D10002,0)</f>
      </c>
      <c r="L10002" s="29">
        <f>IFERROR(E10002*C10002,0)</f>
      </c>
      <c r="M10002" s="29">
        <f>IFERROR((G10002*H10002*I10002/1000000)*D10002,0)</f>
      </c>
    </row>
  </sheetData>
  <conditionalFormatting sqref="A3:A10002">
    <cfRule type="expression" dxfId="1" priority="1">
      <formula>AND($A3&lt;&gt;"",COUNTIF('PO Header'!$A:$A,$A3)=0)</formula>
    </cfRule>
  </conditionalFormatting>
  <dataValidations count="12">
    <dataValidation type="textLength" operator="greaterThan" showErrorMessage="1" errorStyle="stop" errorTitle="Required" error="PO_Number cannot be blank" sqref="A10:A10002">
      <formula1>0</formula1>
    </dataValidation>
    <dataValidation type="textLength" operator="greaterThan" showErrorMessage="1" errorStyle="stop" errorTitle="Required" error="PO_Number cannot be blank" sqref="A3:A10002">
      <formula1>0</formula1>
    </dataValidation>
    <dataValidation type="textLength" operator="greaterThan" showErrorMessage="1" errorStyle="stop" errorTitle="Required" error="SKU cannot be blank" sqref="B10:B10002">
      <formula1>0</formula1>
    </dataValidation>
    <dataValidation type="textLength" operator="greaterThan" showErrorMessage="1" errorStyle="stop" errorTitle="Required" error="SKU cannot be blank" sqref="B3:B10002">
      <formula1>0</formula1>
    </dataValidation>
    <dataValidation type="whole" operator="greaterThan" showErrorMessage="1" errorStyle="stop" errorTitle="Invalid Booking Qty" error="Booking_Qty must be a whole number greater than 0" sqref="C10:C10002">
      <formula1>0</formula1>
    </dataValidation>
    <dataValidation type="whole" operator="greaterThan" showErrorMessage="1" errorStyle="stop" errorTitle="Invalid Booking Qty" error="Booking_Qty must be a whole number greater than 0" sqref="C3:C10002">
      <formula1>0</formula1>
    </dataValidation>
    <dataValidation type="whole" operator="greaterThan" showErrorMessage="1" errorStyle="stop" errorTitle="Invalid No of Cartons" error="Enter a whole number greater than 0" sqref="D10:D10002">
      <formula1>0</formula1>
    </dataValidation>
    <dataValidation type="whole" operator="greaterThan" showErrorMessage="1" errorStyle="stop" errorTitle="Invalid No of Cartons" error="Enter a whole number greater than 0" sqref="D3:D10002">
      <formula1>0</formula1>
    </dataValidation>
    <dataValidation type="decimal" operator="greaterThan" showErrorMessage="1" errorStyle="stop" errorTitle="Invalid Weight" error="Enter a positive weight in KG" sqref="E10:E10002">
      <formula1>0</formula1>
    </dataValidation>
    <dataValidation type="decimal" operator="greaterThan" showErrorMessage="1" errorStyle="stop" errorTitle="Invalid Weight" error="Enter a positive weight in KG" sqref="E3:E10002">
      <formula1>0</formula1>
    </dataValidation>
    <dataValidation type="list" showErrorMessage="1" errorStyle="stop" errorTitle="Invalid Carton Type" error="Select a carton type from the list" sqref="F10:F10002">
      <formula1>CARTON_LOOKUP!$A$2:$A$20</formula1>
    </dataValidation>
    <dataValidation type="list" showErrorMessage="1" errorStyle="stop" errorTitle="Invalid Carton Type" error="Select a carton type from the list" sqref="F3:F10002">
      <formula1>CARTON_LOOKUP!$A$2:$A$20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to use</vt:lpstr>
      <vt:lpstr>CARTON_LOOKUP</vt:lpstr>
      <vt:lpstr>LISTS_LOOKUP</vt:lpstr>
      <vt:lpstr>PO Header</vt:lpstr>
      <vt:lpstr>PO Lines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CarrierBookingStub</dc:creator>
  <dc:title/>
  <dc:subject/>
  <dc:description/>
  <cp:keywords/>
  <cp:category/>
  <cp:lastModifiedBy>Unknown</cp:lastModifiedBy>
  <dcterms:created xsi:type="dcterms:W3CDTF">2026-06-24T10:07:46Z</dcterms:created>
  <dcterms:modified xsi:type="dcterms:W3CDTF">2026-06-24T10:07:46Z</dcterms:modified>
</cp:coreProperties>
</file>