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ON_LOOKUP" state="veryHidden" r:id="rId4"/>
    <sheet sheetId="2" name="SUPPLIER_INPUT" state="visible" r:id="rId5"/>
  </sheets>
  <calcPr calcId="171027"/>
</workbook>
</file>

<file path=xl/sharedStrings.xml><?xml version="1.0" encoding="utf-8"?>
<sst xmlns="http://schemas.openxmlformats.org/spreadsheetml/2006/main" count="312" uniqueCount="65">
  <si>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</si>
  <si>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</si>
  <si>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</si>
  <si>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</si>
  <si>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</si>
  <si>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</si>
  <si>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</si>
  <si>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</si>
  <si>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</si>
  <si>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</si>
  <si>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</si>
  <si>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</si>
  <si>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</si>
  <si>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</si>
  <si>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</si>
  <si>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</si>
  <si>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</si>
  <si>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</si>
  <si>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</si>
  <si>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</si>
  <si>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</si>
  <si>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</si>
  <si>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</si>
  <si>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</si>
  <si>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⚠  INSTRUCTIONS: One row per SKU — fill in all RED columns for every SKU line. Multiple rows can share the same PO_Number. No_of_Cartons and Unit_Weight_KG must be filled per SKU row. Factory columns (Factory_Name through Factory_CountryCd) are mandatory — fill once per PO group. Carton dimensions auto-fill from Carton_Type. Dates in DD/MM/YYYY format. Do NOT modify column headers.</t>
  </si>
  <si>
    <t xml:space="preserve"> RED = Mandatory </t>
  </si>
  <si>
    <t xml:space="preserve"> GREEN = Has default </t>
  </si>
  <si>
    <t xml:space="preserve"> BLUE = Auto-calculated </t>
  </si>
  <si>
    <t xml:space="preserve"> GREY = Optional </t>
  </si>
  <si>
    <t>PO_Number</t>
  </si>
  <si>
    <t>SKU</t>
  </si>
  <si>
    <t>No_of_Cartons</t>
  </si>
  <si>
    <t>Unit_Weight_KG</t>
  </si>
  <si>
    <t>Cargo_Ready_Planned_Collection_Date</t>
  </si>
  <si>
    <t>Carrier_Booking_Request_Date</t>
  </si>
  <si>
    <t>Traffic_Mode</t>
  </si>
  <si>
    <t>Mode_Of_Transport</t>
  </si>
  <si>
    <t>Factory_Name</t>
  </si>
  <si>
    <t>Factory_ID</t>
  </si>
  <si>
    <t>Factory_Street1</t>
  </si>
  <si>
    <t>Factory_Street2</t>
  </si>
  <si>
    <t>Factory_City</t>
  </si>
  <si>
    <t>Factory_PostalCd</t>
  </si>
  <si>
    <t>Factory_CountryCd</t>
  </si>
  <si>
    <t>EAN_Barcode</t>
  </si>
  <si>
    <t>Colour_Code</t>
  </si>
  <si>
    <t>Size_Code</t>
  </si>
  <si>
    <t>Booking_Qty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</si>
  <si>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</si>
  <si>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</si>
  <si>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</si>
  <si>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</si>
  <si>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</si>
  <si>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</si>
  <si>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</si>
  <si>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Pack_Type</t>
  </si>
  <si>
    <t>Collection_Type</t>
  </si>
  <si>
    <t>Collection_Time (HH:MM)</t>
  </si>
  <si>
    <t>Hazardous</t>
  </si>
  <si>
    <t>Expected_Delivery_Date</t>
  </si>
  <si>
    <t>Remarks</t>
  </si>
  <si>
    <t>Sea</t>
  </si>
  <si>
    <t>Flat</t>
  </si>
  <si>
    <t>Delivery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</si>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</sst>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DD/MM/YYYY"/>
  </numFmts>
  <fonts count="5" x14ac:knownFonts="1">
    <font>
      <color theme="1"/>
      <family val="2"/>
      <scheme val="minor"/>
      <sz val="11"/>
      <name val="Calibri"/>
    </font>
    <font>
      <b/>
      <color rgb="FF7B3F00"/>
      <sz val="11"/>
    </font>
    <font>
      <b/>
      <color rgb="FFFFFFFF"/>
      <sz val="10"/>
    </font>
    <font>
      <b/>
      <color rgb="FFFFFFFF"/>
      <sz val="11"/>
    </font>
    <font>
      <color rgb="FF1A5276"/>
      <sz val="10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C0392B"/>
      </patternFill>
    </fill>
    <fill>
      <patternFill patternType="solid">
        <fgColor rgb="FF27AE60"/>
      </patternFill>
    </fill>
    <fill>
      <patternFill patternType="solid">
        <fgColor rgb="FF2E75B6"/>
      </patternFill>
    </fill>
    <fill>
      <patternFill patternType="solid">
        <fgColor rgb="FF555555"/>
      </patternFill>
    </fill>
    <fill>
      <patternFill patternType="solid">
        <fgColor rgb="FFD6E8F8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AAAAA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2" fontId="4" fillId="7" borderId="0" xfId="0" applyNumberFormat="1" applyFont="1" applyFill="1" applyProtection="1"/>
    <xf numFmtId="164" fontId="4" fillId="7" borderId="0" xfId="0" applyNumberFormat="1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6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7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8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9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10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11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12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13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14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15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16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17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18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19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20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21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22</v>
      </c>
    </row>
    <row r="20" spans="1:5" x14ac:dyDescent="0.25">
      <c r="A20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AG5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4" width="16" customWidth="1"/>
    <col min="5" max="5" width="34" customWidth="1"/>
    <col min="6" max="6" width="28" customWidth="1"/>
    <col min="7" max="7" width="14" customWidth="1"/>
    <col min="8" max="8" width="18" customWidth="1"/>
    <col min="9" max="9" width="28" customWidth="1"/>
    <col min="10" max="10" width="18" customWidth="1"/>
    <col min="11" max="11" width="30" customWidth="1"/>
    <col min="12" max="12" width="24" customWidth="1"/>
    <col min="13" max="13" width="20" customWidth="1"/>
    <col min="14" max="15" width="16" customWidth="1"/>
    <col min="16" max="16" width="18" customWidth="1"/>
    <col min="17" max="17" width="14" customWidth="1"/>
    <col min="18" max="18" width="12" customWidth="1"/>
    <col min="19" max="19" width="14" customWidth="1"/>
    <col min="20" max="20" width="22" customWidth="1"/>
    <col min="21" max="21" width="18" customWidth="1"/>
    <col min="22" max="23" width="17" customWidth="1"/>
    <col min="24" max="24" width="18" customWidth="1"/>
    <col min="25" max="25" width="17" customWidth="1"/>
    <col min="26" max="26" width="16" customWidth="1"/>
    <col min="27" max="27" width="13" customWidth="1"/>
    <col min="28" max="28" width="14" customWidth="1"/>
    <col min="29" max="29" width="18" customWidth="1"/>
    <col min="30" max="30" width="24" customWidth="1"/>
    <col min="31" max="31" width="20" customWidth="1"/>
    <col min="32" max="32" width="24" customWidth="1"/>
    <col min="33" max="33" width="30" customWidth="1"/>
  </cols>
  <sheetData>
    <row r="1" ht="32" customHeight="1" spans="1:33" x14ac:dyDescent="0.25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ht="22" customHeight="1" spans="1:4" x14ac:dyDescent="0.25">
      <c r="A2" s="2" t="s">
        <v>25</v>
      </c>
      <c r="B2" s="3" t="s">
        <v>26</v>
      </c>
      <c r="C2" s="4" t="s">
        <v>27</v>
      </c>
      <c r="D2" s="5" t="s">
        <v>28</v>
      </c>
    </row>
    <row r="3" ht="36" customHeight="1" spans="1:33" x14ac:dyDescent="0.25">
      <c r="A3" s="6" t="s">
        <v>29</v>
      </c>
      <c r="B3" s="6" t="s">
        <v>30</v>
      </c>
      <c r="C3" s="6" t="s">
        <v>31</v>
      </c>
      <c r="D3" s="6" t="s">
        <v>32</v>
      </c>
      <c r="E3" s="6" t="s">
        <v>33</v>
      </c>
      <c r="F3" s="6" t="s">
        <v>34</v>
      </c>
      <c r="G3" s="6" t="s">
        <v>35</v>
      </c>
      <c r="H3" s="6" t="s">
        <v>36</v>
      </c>
      <c r="I3" s="6" t="s">
        <v>37</v>
      </c>
      <c r="J3" s="6" t="s">
        <v>38</v>
      </c>
      <c r="K3" s="6" t="s">
        <v>39</v>
      </c>
      <c r="L3" s="7" t="s">
        <v>40</v>
      </c>
      <c r="M3" s="6" t="s">
        <v>41</v>
      </c>
      <c r="N3" s="6" t="s">
        <v>42</v>
      </c>
      <c r="O3" s="6" t="s">
        <v>43</v>
      </c>
      <c r="P3" s="7" t="s">
        <v>44</v>
      </c>
      <c r="Q3" s="7" t="s">
        <v>45</v>
      </c>
      <c r="R3" s="7" t="s">
        <v>46</v>
      </c>
      <c r="S3" s="6" t="s">
        <v>47</v>
      </c>
      <c r="T3" s="8" t="s">
        <v>0</v>
      </c>
      <c r="U3" s="9" t="s">
        <v>48</v>
      </c>
      <c r="V3" s="9" t="s">
        <v>49</v>
      </c>
      <c r="W3" s="9" t="s">
        <v>50</v>
      </c>
      <c r="X3" s="9" t="s">
        <v>51</v>
      </c>
      <c r="Y3" s="9" t="s">
        <v>52</v>
      </c>
      <c r="Z3" s="9" t="s">
        <v>53</v>
      </c>
      <c r="AA3" s="9" t="s">
        <v>54</v>
      </c>
      <c r="AB3" s="8" t="s">
        <v>55</v>
      </c>
      <c r="AC3" s="8" t="s">
        <v>56</v>
      </c>
      <c r="AD3" s="7" t="s">
        <v>57</v>
      </c>
      <c r="AE3" s="8" t="s">
        <v>58</v>
      </c>
      <c r="AF3" s="7" t="s">
        <v>59</v>
      </c>
      <c r="AG3" s="7" t="s">
        <v>60</v>
      </c>
    </row>
    <row r="4" spans="3:32" x14ac:dyDescent="0.25">
      <c r="D4" s="10"/>
      <c r="E4" s="11"/>
      <c r="F4" s="11"/>
      <c r="H4" t="s">
        <v>61</v>
      </c>
      <c r="T4" t="s">
        <v>5</v>
      </c>
      <c r="U4" s="12">
        <f>IFERROR(VLOOKUP(T4,CARTON_LOOKUP!$A:$E,3,0),"")</f>
      </c>
      <c r="V4" s="12">
        <f>IFERROR(VLOOKUP(T4,CARTON_LOOKUP!$A:$E,4,0),"")</f>
      </c>
      <c r="W4" s="12">
        <f>IFERROR(VLOOKUP(T4,CARTON_LOOKUP!$A:$E,5,0),"")</f>
      </c>
      <c r="X4" s="13">
        <f>IFERROR(VLOOKUP(T4,CARTON_LOOKUP!$A:$E,2,0),"")</f>
      </c>
      <c r="Y4" s="13">
        <f>IFERROR(X4*C4,0)</f>
      </c>
      <c r="Z4" s="13">
        <f>IFERROR(D4*S4,0)</f>
      </c>
      <c r="AA4" s="13">
        <f>IFERROR((U4*V4*W4/1000000)*C4,0)</f>
      </c>
      <c r="AB4" t="s">
        <v>62</v>
      </c>
      <c r="AC4" t="s">
        <v>63</v>
      </c>
      <c r="AE4" t="s">
        <v>64</v>
      </c>
      <c r="AF4" s="11"/>
    </row>
    <row r="5" spans="3:32" x14ac:dyDescent="0.25">
      <c r="D5" s="10"/>
      <c r="E5" s="11"/>
      <c r="F5" s="11"/>
      <c r="H5" t="s">
        <v>61</v>
      </c>
      <c r="T5" t="s">
        <v>5</v>
      </c>
      <c r="U5" s="12">
        <f>IFERROR(VLOOKUP(T5,CARTON_LOOKUP!$A:$E,3,0),"")</f>
      </c>
      <c r="V5" s="12">
        <f>IFERROR(VLOOKUP(T5,CARTON_LOOKUP!$A:$E,4,0),"")</f>
      </c>
      <c r="W5" s="12">
        <f>IFERROR(VLOOKUP(T5,CARTON_LOOKUP!$A:$E,5,0),"")</f>
      </c>
      <c r="X5" s="13">
        <f>IFERROR(VLOOKUP(T5,CARTON_LOOKUP!$A:$E,2,0),"")</f>
      </c>
      <c r="Y5" s="13">
        <f>IFERROR(X5*C5,0)</f>
      </c>
      <c r="Z5" s="13">
        <f>IFERROR(D5*S5,0)</f>
      </c>
      <c r="AA5" s="13">
        <f>IFERROR((U5*V5*W5/1000000)*C5,0)</f>
      </c>
      <c r="AB5" t="s">
        <v>62</v>
      </c>
      <c r="AC5" t="s">
        <v>63</v>
      </c>
      <c r="AE5" t="s">
        <v>64</v>
      </c>
      <c r="AF5" s="11"/>
    </row>
    <row r="6" spans="3:32" x14ac:dyDescent="0.25">
      <c r="D6" s="10"/>
      <c r="E6" s="11"/>
      <c r="F6" s="11"/>
      <c r="H6" t="s">
        <v>61</v>
      </c>
      <c r="T6" t="s">
        <v>5</v>
      </c>
      <c r="U6" s="12">
        <f>IFERROR(VLOOKUP(T6,CARTON_LOOKUP!$A:$E,3,0),"")</f>
      </c>
      <c r="V6" s="12">
        <f>IFERROR(VLOOKUP(T6,CARTON_LOOKUP!$A:$E,4,0),"")</f>
      </c>
      <c r="W6" s="12">
        <f>IFERROR(VLOOKUP(T6,CARTON_LOOKUP!$A:$E,5,0),"")</f>
      </c>
      <c r="X6" s="13">
        <f>IFERROR(VLOOKUP(T6,CARTON_LOOKUP!$A:$E,2,0),"")</f>
      </c>
      <c r="Y6" s="13">
        <f>IFERROR(X6*C6,0)</f>
      </c>
      <c r="Z6" s="13">
        <f>IFERROR(D6*S6,0)</f>
      </c>
      <c r="AA6" s="13">
        <f>IFERROR((U6*V6*W6/1000000)*C6,0)</f>
      </c>
      <c r="AB6" t="s">
        <v>62</v>
      </c>
      <c r="AC6" t="s">
        <v>63</v>
      </c>
      <c r="AE6" t="s">
        <v>64</v>
      </c>
      <c r="AF6" s="11"/>
    </row>
    <row r="7" spans="3:32" x14ac:dyDescent="0.25">
      <c r="D7" s="10"/>
      <c r="E7" s="11"/>
      <c r="F7" s="11"/>
      <c r="H7" t="s">
        <v>61</v>
      </c>
      <c r="T7" t="s">
        <v>5</v>
      </c>
      <c r="U7" s="12">
        <f>IFERROR(VLOOKUP(T7,CARTON_LOOKUP!$A:$E,3,0),"")</f>
      </c>
      <c r="V7" s="12">
        <f>IFERROR(VLOOKUP(T7,CARTON_LOOKUP!$A:$E,4,0),"")</f>
      </c>
      <c r="W7" s="12">
        <f>IFERROR(VLOOKUP(T7,CARTON_LOOKUP!$A:$E,5,0),"")</f>
      </c>
      <c r="X7" s="13">
        <f>IFERROR(VLOOKUP(T7,CARTON_LOOKUP!$A:$E,2,0),"")</f>
      </c>
      <c r="Y7" s="13">
        <f>IFERROR(X7*C7,0)</f>
      </c>
      <c r="Z7" s="13">
        <f>IFERROR(D7*S7,0)</f>
      </c>
      <c r="AA7" s="13">
        <f>IFERROR((U7*V7*W7/1000000)*C7,0)</f>
      </c>
      <c r="AB7" t="s">
        <v>62</v>
      </c>
      <c r="AC7" t="s">
        <v>63</v>
      </c>
      <c r="AE7" t="s">
        <v>64</v>
      </c>
      <c r="AF7" s="11"/>
    </row>
    <row r="8" spans="3:32" x14ac:dyDescent="0.25">
      <c r="D8" s="10"/>
      <c r="E8" s="11"/>
      <c r="F8" s="11"/>
      <c r="H8" t="s">
        <v>61</v>
      </c>
      <c r="T8" t="s">
        <v>5</v>
      </c>
      <c r="U8" s="12">
        <f>IFERROR(VLOOKUP(T8,CARTON_LOOKUP!$A:$E,3,0),"")</f>
      </c>
      <c r="V8" s="12">
        <f>IFERROR(VLOOKUP(T8,CARTON_LOOKUP!$A:$E,4,0),"")</f>
      </c>
      <c r="W8" s="12">
        <f>IFERROR(VLOOKUP(T8,CARTON_LOOKUP!$A:$E,5,0),"")</f>
      </c>
      <c r="X8" s="13">
        <f>IFERROR(VLOOKUP(T8,CARTON_LOOKUP!$A:$E,2,0),"")</f>
      </c>
      <c r="Y8" s="13">
        <f>IFERROR(X8*C8,0)</f>
      </c>
      <c r="Z8" s="13">
        <f>IFERROR(D8*S8,0)</f>
      </c>
      <c r="AA8" s="13">
        <f>IFERROR((U8*V8*W8/1000000)*C8,0)</f>
      </c>
      <c r="AB8" t="s">
        <v>62</v>
      </c>
      <c r="AC8" t="s">
        <v>63</v>
      </c>
      <c r="AE8" t="s">
        <v>64</v>
      </c>
      <c r="AF8" s="11"/>
    </row>
    <row r="9" spans="3:32" x14ac:dyDescent="0.25">
      <c r="D9" s="10"/>
      <c r="E9" s="11"/>
      <c r="F9" s="11"/>
      <c r="H9" t="s">
        <v>61</v>
      </c>
      <c r="T9" t="s">
        <v>5</v>
      </c>
      <c r="U9" s="12">
        <f>IFERROR(VLOOKUP(T9,CARTON_LOOKUP!$A:$E,3,0),"")</f>
      </c>
      <c r="V9" s="12">
        <f>IFERROR(VLOOKUP(T9,CARTON_LOOKUP!$A:$E,4,0),"")</f>
      </c>
      <c r="W9" s="12">
        <f>IFERROR(VLOOKUP(T9,CARTON_LOOKUP!$A:$E,5,0),"")</f>
      </c>
      <c r="X9" s="13">
        <f>IFERROR(VLOOKUP(T9,CARTON_LOOKUP!$A:$E,2,0),"")</f>
      </c>
      <c r="Y9" s="13">
        <f>IFERROR(X9*C9,0)</f>
      </c>
      <c r="Z9" s="13">
        <f>IFERROR(D9*S9,0)</f>
      </c>
      <c r="AA9" s="13">
        <f>IFERROR((U9*V9*W9/1000000)*C9,0)</f>
      </c>
      <c r="AB9" t="s">
        <v>62</v>
      </c>
      <c r="AC9" t="s">
        <v>63</v>
      </c>
      <c r="AE9" t="s">
        <v>64</v>
      </c>
      <c r="AF9" s="11"/>
    </row>
    <row r="10" spans="3:32" x14ac:dyDescent="0.25">
      <c r="D10" s="10"/>
      <c r="E10" s="11"/>
      <c r="F10" s="11"/>
      <c r="H10" t="s">
        <v>61</v>
      </c>
      <c r="T10" t="s">
        <v>5</v>
      </c>
      <c r="U10" s="12">
        <f>IFERROR(VLOOKUP(T10,CARTON_LOOKUP!$A:$E,3,0),"")</f>
      </c>
      <c r="V10" s="12">
        <f>IFERROR(VLOOKUP(T10,CARTON_LOOKUP!$A:$E,4,0),"")</f>
      </c>
      <c r="W10" s="12">
        <f>IFERROR(VLOOKUP(T10,CARTON_LOOKUP!$A:$E,5,0),"")</f>
      </c>
      <c r="X10" s="13">
        <f>IFERROR(VLOOKUP(T10,CARTON_LOOKUP!$A:$E,2,0),"")</f>
      </c>
      <c r="Y10" s="13">
        <f>IFERROR(X10*C10,0)</f>
      </c>
      <c r="Z10" s="13">
        <f>IFERROR(D10*S10,0)</f>
      </c>
      <c r="AA10" s="13">
        <f>IFERROR((U10*V10*W10/1000000)*C10,0)</f>
      </c>
      <c r="AB10" t="s">
        <v>62</v>
      </c>
      <c r="AC10" t="s">
        <v>63</v>
      </c>
      <c r="AE10" t="s">
        <v>64</v>
      </c>
      <c r="AF10" s="11"/>
    </row>
    <row r="11" spans="3:32" x14ac:dyDescent="0.25">
      <c r="D11" s="10"/>
      <c r="E11" s="11"/>
      <c r="F11" s="11"/>
      <c r="H11" t="s">
        <v>61</v>
      </c>
      <c r="T11" t="s">
        <v>5</v>
      </c>
      <c r="U11" s="12">
        <f>IFERROR(VLOOKUP(T11,CARTON_LOOKUP!$A:$E,3,0),"")</f>
      </c>
      <c r="V11" s="12">
        <f>IFERROR(VLOOKUP(T11,CARTON_LOOKUP!$A:$E,4,0),"")</f>
      </c>
      <c r="W11" s="12">
        <f>IFERROR(VLOOKUP(T11,CARTON_LOOKUP!$A:$E,5,0),"")</f>
      </c>
      <c r="X11" s="13">
        <f>IFERROR(VLOOKUP(T11,CARTON_LOOKUP!$A:$E,2,0),"")</f>
      </c>
      <c r="Y11" s="13">
        <f>IFERROR(X11*C11,0)</f>
      </c>
      <c r="Z11" s="13">
        <f>IFERROR(D11*S11,0)</f>
      </c>
      <c r="AA11" s="13">
        <f>IFERROR((U11*V11*W11/1000000)*C11,0)</f>
      </c>
      <c r="AB11" t="s">
        <v>62</v>
      </c>
      <c r="AC11" t="s">
        <v>63</v>
      </c>
      <c r="AE11" t="s">
        <v>64</v>
      </c>
      <c r="AF11" s="11"/>
    </row>
    <row r="12" spans="3:32" x14ac:dyDescent="0.25">
      <c r="D12" s="10"/>
      <c r="E12" s="11"/>
      <c r="F12" s="11"/>
      <c r="H12" t="s">
        <v>61</v>
      </c>
      <c r="T12" t="s">
        <v>5</v>
      </c>
      <c r="U12" s="12">
        <f>IFERROR(VLOOKUP(T12,CARTON_LOOKUP!$A:$E,3,0),"")</f>
      </c>
      <c r="V12" s="12">
        <f>IFERROR(VLOOKUP(T12,CARTON_LOOKUP!$A:$E,4,0),"")</f>
      </c>
      <c r="W12" s="12">
        <f>IFERROR(VLOOKUP(T12,CARTON_LOOKUP!$A:$E,5,0),"")</f>
      </c>
      <c r="X12" s="13">
        <f>IFERROR(VLOOKUP(T12,CARTON_LOOKUP!$A:$E,2,0),"")</f>
      </c>
      <c r="Y12" s="13">
        <f>IFERROR(X12*C12,0)</f>
      </c>
      <c r="Z12" s="13">
        <f>IFERROR(D12*S12,0)</f>
      </c>
      <c r="AA12" s="13">
        <f>IFERROR((U12*V12*W12/1000000)*C12,0)</f>
      </c>
      <c r="AB12" t="s">
        <v>62</v>
      </c>
      <c r="AC12" t="s">
        <v>63</v>
      </c>
      <c r="AE12" t="s">
        <v>64</v>
      </c>
      <c r="AF12" s="11"/>
    </row>
    <row r="13" spans="3:32" x14ac:dyDescent="0.25">
      <c r="D13" s="10"/>
      <c r="E13" s="11"/>
      <c r="F13" s="11"/>
      <c r="H13" t="s">
        <v>61</v>
      </c>
      <c r="T13" t="s">
        <v>5</v>
      </c>
      <c r="U13" s="12">
        <f>IFERROR(VLOOKUP(T13,CARTON_LOOKUP!$A:$E,3,0),"")</f>
      </c>
      <c r="V13" s="12">
        <f>IFERROR(VLOOKUP(T13,CARTON_LOOKUP!$A:$E,4,0),"")</f>
      </c>
      <c r="W13" s="12">
        <f>IFERROR(VLOOKUP(T13,CARTON_LOOKUP!$A:$E,5,0),"")</f>
      </c>
      <c r="X13" s="13">
        <f>IFERROR(VLOOKUP(T13,CARTON_LOOKUP!$A:$E,2,0),"")</f>
      </c>
      <c r="Y13" s="13">
        <f>IFERROR(X13*C13,0)</f>
      </c>
      <c r="Z13" s="13">
        <f>IFERROR(D13*S13,0)</f>
      </c>
      <c r="AA13" s="13">
        <f>IFERROR((U13*V13*W13/1000000)*C13,0)</f>
      </c>
      <c r="AB13" t="s">
        <v>62</v>
      </c>
      <c r="AC13" t="s">
        <v>63</v>
      </c>
      <c r="AE13" t="s">
        <v>64</v>
      </c>
      <c r="AF13" s="11"/>
    </row>
    <row r="14" spans="3:32" x14ac:dyDescent="0.25">
      <c r="D14" s="10"/>
      <c r="E14" s="11"/>
      <c r="F14" s="11"/>
      <c r="H14" t="s">
        <v>61</v>
      </c>
      <c r="T14" t="s">
        <v>5</v>
      </c>
      <c r="U14" s="12">
        <f>IFERROR(VLOOKUP(T14,CARTON_LOOKUP!$A:$E,3,0),"")</f>
      </c>
      <c r="V14" s="12">
        <f>IFERROR(VLOOKUP(T14,CARTON_LOOKUP!$A:$E,4,0),"")</f>
      </c>
      <c r="W14" s="12">
        <f>IFERROR(VLOOKUP(T14,CARTON_LOOKUP!$A:$E,5,0),"")</f>
      </c>
      <c r="X14" s="13">
        <f>IFERROR(VLOOKUP(T14,CARTON_LOOKUP!$A:$E,2,0),"")</f>
      </c>
      <c r="Y14" s="13">
        <f>IFERROR(X14*C14,0)</f>
      </c>
      <c r="Z14" s="13">
        <f>IFERROR(D14*S14,0)</f>
      </c>
      <c r="AA14" s="13">
        <f>IFERROR((U14*V14*W14/1000000)*C14,0)</f>
      </c>
      <c r="AB14" t="s">
        <v>62</v>
      </c>
      <c r="AC14" t="s">
        <v>63</v>
      </c>
      <c r="AE14" t="s">
        <v>64</v>
      </c>
      <c r="AF14" s="11"/>
    </row>
    <row r="15" spans="3:32" x14ac:dyDescent="0.25">
      <c r="D15" s="10"/>
      <c r="E15" s="11"/>
      <c r="F15" s="11"/>
      <c r="H15" t="s">
        <v>61</v>
      </c>
      <c r="T15" t="s">
        <v>5</v>
      </c>
      <c r="U15" s="12">
        <f>IFERROR(VLOOKUP(T15,CARTON_LOOKUP!$A:$E,3,0),"")</f>
      </c>
      <c r="V15" s="12">
        <f>IFERROR(VLOOKUP(T15,CARTON_LOOKUP!$A:$E,4,0),"")</f>
      </c>
      <c r="W15" s="12">
        <f>IFERROR(VLOOKUP(T15,CARTON_LOOKUP!$A:$E,5,0),"")</f>
      </c>
      <c r="X15" s="13">
        <f>IFERROR(VLOOKUP(T15,CARTON_LOOKUP!$A:$E,2,0),"")</f>
      </c>
      <c r="Y15" s="13">
        <f>IFERROR(X15*C15,0)</f>
      </c>
      <c r="Z15" s="13">
        <f>IFERROR(D15*S15,0)</f>
      </c>
      <c r="AA15" s="13">
        <f>IFERROR((U15*V15*W15/1000000)*C15,0)</f>
      </c>
      <c r="AB15" t="s">
        <v>62</v>
      </c>
      <c r="AC15" t="s">
        <v>63</v>
      </c>
      <c r="AE15" t="s">
        <v>64</v>
      </c>
      <c r="AF15" s="11"/>
    </row>
    <row r="16" spans="3:32" x14ac:dyDescent="0.25">
      <c r="D16" s="10"/>
      <c r="E16" s="11"/>
      <c r="F16" s="11"/>
      <c r="H16" t="s">
        <v>61</v>
      </c>
      <c r="T16" t="s">
        <v>5</v>
      </c>
      <c r="U16" s="12">
        <f>IFERROR(VLOOKUP(T16,CARTON_LOOKUP!$A:$E,3,0),"")</f>
      </c>
      <c r="V16" s="12">
        <f>IFERROR(VLOOKUP(T16,CARTON_LOOKUP!$A:$E,4,0),"")</f>
      </c>
      <c r="W16" s="12">
        <f>IFERROR(VLOOKUP(T16,CARTON_LOOKUP!$A:$E,5,0),"")</f>
      </c>
      <c r="X16" s="13">
        <f>IFERROR(VLOOKUP(T16,CARTON_LOOKUP!$A:$E,2,0),"")</f>
      </c>
      <c r="Y16" s="13">
        <f>IFERROR(X16*C16,0)</f>
      </c>
      <c r="Z16" s="13">
        <f>IFERROR(D16*S16,0)</f>
      </c>
      <c r="AA16" s="13">
        <f>IFERROR((U16*V16*W16/1000000)*C16,0)</f>
      </c>
      <c r="AB16" t="s">
        <v>62</v>
      </c>
      <c r="AC16" t="s">
        <v>63</v>
      </c>
      <c r="AE16" t="s">
        <v>64</v>
      </c>
      <c r="AF16" s="11"/>
    </row>
    <row r="17" spans="3:32" x14ac:dyDescent="0.25">
      <c r="D17" s="10"/>
      <c r="E17" s="11"/>
      <c r="F17" s="11"/>
      <c r="H17" t="s">
        <v>61</v>
      </c>
      <c r="T17" t="s">
        <v>5</v>
      </c>
      <c r="U17" s="12">
        <f>IFERROR(VLOOKUP(T17,CARTON_LOOKUP!$A:$E,3,0),"")</f>
      </c>
      <c r="V17" s="12">
        <f>IFERROR(VLOOKUP(T17,CARTON_LOOKUP!$A:$E,4,0),"")</f>
      </c>
      <c r="W17" s="12">
        <f>IFERROR(VLOOKUP(T17,CARTON_LOOKUP!$A:$E,5,0),"")</f>
      </c>
      <c r="X17" s="13">
        <f>IFERROR(VLOOKUP(T17,CARTON_LOOKUP!$A:$E,2,0),"")</f>
      </c>
      <c r="Y17" s="13">
        <f>IFERROR(X17*C17,0)</f>
      </c>
      <c r="Z17" s="13">
        <f>IFERROR(D17*S17,0)</f>
      </c>
      <c r="AA17" s="13">
        <f>IFERROR((U17*V17*W17/1000000)*C17,0)</f>
      </c>
      <c r="AB17" t="s">
        <v>62</v>
      </c>
      <c r="AC17" t="s">
        <v>63</v>
      </c>
      <c r="AE17" t="s">
        <v>64</v>
      </c>
      <c r="AF17" s="11"/>
    </row>
    <row r="18" spans="3:32" x14ac:dyDescent="0.25">
      <c r="D18" s="10"/>
      <c r="E18" s="11"/>
      <c r="F18" s="11"/>
      <c r="H18" t="s">
        <v>61</v>
      </c>
      <c r="T18" t="s">
        <v>5</v>
      </c>
      <c r="U18" s="12">
        <f>IFERROR(VLOOKUP(T18,CARTON_LOOKUP!$A:$E,3,0),"")</f>
      </c>
      <c r="V18" s="12">
        <f>IFERROR(VLOOKUP(T18,CARTON_LOOKUP!$A:$E,4,0),"")</f>
      </c>
      <c r="W18" s="12">
        <f>IFERROR(VLOOKUP(T18,CARTON_LOOKUP!$A:$E,5,0),"")</f>
      </c>
      <c r="X18" s="13">
        <f>IFERROR(VLOOKUP(T18,CARTON_LOOKUP!$A:$E,2,0),"")</f>
      </c>
      <c r="Y18" s="13">
        <f>IFERROR(X18*C18,0)</f>
      </c>
      <c r="Z18" s="13">
        <f>IFERROR(D18*S18,0)</f>
      </c>
      <c r="AA18" s="13">
        <f>IFERROR((U18*V18*W18/1000000)*C18,0)</f>
      </c>
      <c r="AB18" t="s">
        <v>62</v>
      </c>
      <c r="AC18" t="s">
        <v>63</v>
      </c>
      <c r="AE18" t="s">
        <v>64</v>
      </c>
      <c r="AF18" s="11"/>
    </row>
    <row r="19" spans="3:32" x14ac:dyDescent="0.25">
      <c r="D19" s="10"/>
      <c r="E19" s="11"/>
      <c r="F19" s="11"/>
      <c r="H19" t="s">
        <v>61</v>
      </c>
      <c r="T19" t="s">
        <v>5</v>
      </c>
      <c r="U19" s="12">
        <f>IFERROR(VLOOKUP(T19,CARTON_LOOKUP!$A:$E,3,0),"")</f>
      </c>
      <c r="V19" s="12">
        <f>IFERROR(VLOOKUP(T19,CARTON_LOOKUP!$A:$E,4,0),"")</f>
      </c>
      <c r="W19" s="12">
        <f>IFERROR(VLOOKUP(T19,CARTON_LOOKUP!$A:$E,5,0),"")</f>
      </c>
      <c r="X19" s="13">
        <f>IFERROR(VLOOKUP(T19,CARTON_LOOKUP!$A:$E,2,0),"")</f>
      </c>
      <c r="Y19" s="13">
        <f>IFERROR(X19*C19,0)</f>
      </c>
      <c r="Z19" s="13">
        <f>IFERROR(D19*S19,0)</f>
      </c>
      <c r="AA19" s="13">
        <f>IFERROR((U19*V19*W19/1000000)*C19,0)</f>
      </c>
      <c r="AB19" t="s">
        <v>62</v>
      </c>
      <c r="AC19" t="s">
        <v>63</v>
      </c>
      <c r="AE19" t="s">
        <v>64</v>
      </c>
      <c r="AF19" s="11"/>
    </row>
    <row r="20" spans="3:32" x14ac:dyDescent="0.25">
      <c r="D20" s="10"/>
      <c r="E20" s="11"/>
      <c r="F20" s="11"/>
      <c r="H20" t="s">
        <v>61</v>
      </c>
      <c r="T20" t="s">
        <v>5</v>
      </c>
      <c r="U20" s="12">
        <f>IFERROR(VLOOKUP(T20,CARTON_LOOKUP!$A:$E,3,0),"")</f>
      </c>
      <c r="V20" s="12">
        <f>IFERROR(VLOOKUP(T20,CARTON_LOOKUP!$A:$E,4,0),"")</f>
      </c>
      <c r="W20" s="12">
        <f>IFERROR(VLOOKUP(T20,CARTON_LOOKUP!$A:$E,5,0),"")</f>
      </c>
      <c r="X20" s="13">
        <f>IFERROR(VLOOKUP(T20,CARTON_LOOKUP!$A:$E,2,0),"")</f>
      </c>
      <c r="Y20" s="13">
        <f>IFERROR(X20*C20,0)</f>
      </c>
      <c r="Z20" s="13">
        <f>IFERROR(D20*S20,0)</f>
      </c>
      <c r="AA20" s="13">
        <f>IFERROR((U20*V20*W20/1000000)*C20,0)</f>
      </c>
      <c r="AB20" t="s">
        <v>62</v>
      </c>
      <c r="AC20" t="s">
        <v>63</v>
      </c>
      <c r="AE20" t="s">
        <v>64</v>
      </c>
      <c r="AF20" s="11"/>
    </row>
    <row r="21" spans="3:32" x14ac:dyDescent="0.25">
      <c r="D21" s="10"/>
      <c r="E21" s="11"/>
      <c r="F21" s="11"/>
      <c r="H21" t="s">
        <v>61</v>
      </c>
      <c r="T21" t="s">
        <v>5</v>
      </c>
      <c r="U21" s="12">
        <f>IFERROR(VLOOKUP(T21,CARTON_LOOKUP!$A:$E,3,0),"")</f>
      </c>
      <c r="V21" s="12">
        <f>IFERROR(VLOOKUP(T21,CARTON_LOOKUP!$A:$E,4,0),"")</f>
      </c>
      <c r="W21" s="12">
        <f>IFERROR(VLOOKUP(T21,CARTON_LOOKUP!$A:$E,5,0),"")</f>
      </c>
      <c r="X21" s="13">
        <f>IFERROR(VLOOKUP(T21,CARTON_LOOKUP!$A:$E,2,0),"")</f>
      </c>
      <c r="Y21" s="13">
        <f>IFERROR(X21*C21,0)</f>
      </c>
      <c r="Z21" s="13">
        <f>IFERROR(D21*S21,0)</f>
      </c>
      <c r="AA21" s="13">
        <f>IFERROR((U21*V21*W21/1000000)*C21,0)</f>
      </c>
      <c r="AB21" t="s">
        <v>62</v>
      </c>
      <c r="AC21" t="s">
        <v>63</v>
      </c>
      <c r="AE21" t="s">
        <v>64</v>
      </c>
      <c r="AF21" s="11"/>
    </row>
    <row r="22" spans="3:32" x14ac:dyDescent="0.25">
      <c r="D22" s="10"/>
      <c r="E22" s="11"/>
      <c r="F22" s="11"/>
      <c r="H22" t="s">
        <v>61</v>
      </c>
      <c r="T22" t="s">
        <v>5</v>
      </c>
      <c r="U22" s="12">
        <f>IFERROR(VLOOKUP(T22,CARTON_LOOKUP!$A:$E,3,0),"")</f>
      </c>
      <c r="V22" s="12">
        <f>IFERROR(VLOOKUP(T22,CARTON_LOOKUP!$A:$E,4,0),"")</f>
      </c>
      <c r="W22" s="12">
        <f>IFERROR(VLOOKUP(T22,CARTON_LOOKUP!$A:$E,5,0),"")</f>
      </c>
      <c r="X22" s="13">
        <f>IFERROR(VLOOKUP(T22,CARTON_LOOKUP!$A:$E,2,0),"")</f>
      </c>
      <c r="Y22" s="13">
        <f>IFERROR(X22*C22,0)</f>
      </c>
      <c r="Z22" s="13">
        <f>IFERROR(D22*S22,0)</f>
      </c>
      <c r="AA22" s="13">
        <f>IFERROR((U22*V22*W22/1000000)*C22,0)</f>
      </c>
      <c r="AB22" t="s">
        <v>62</v>
      </c>
      <c r="AC22" t="s">
        <v>63</v>
      </c>
      <c r="AE22" t="s">
        <v>64</v>
      </c>
      <c r="AF22" s="11"/>
    </row>
    <row r="23" spans="3:32" x14ac:dyDescent="0.25">
      <c r="D23" s="10"/>
      <c r="E23" s="11"/>
      <c r="F23" s="11"/>
      <c r="H23" t="s">
        <v>61</v>
      </c>
      <c r="T23" t="s">
        <v>5</v>
      </c>
      <c r="U23" s="12">
        <f>IFERROR(VLOOKUP(T23,CARTON_LOOKUP!$A:$E,3,0),"")</f>
      </c>
      <c r="V23" s="12">
        <f>IFERROR(VLOOKUP(T23,CARTON_LOOKUP!$A:$E,4,0),"")</f>
      </c>
      <c r="W23" s="12">
        <f>IFERROR(VLOOKUP(T23,CARTON_LOOKUP!$A:$E,5,0),"")</f>
      </c>
      <c r="X23" s="13">
        <f>IFERROR(VLOOKUP(T23,CARTON_LOOKUP!$A:$E,2,0),"")</f>
      </c>
      <c r="Y23" s="13">
        <f>IFERROR(X23*C23,0)</f>
      </c>
      <c r="Z23" s="13">
        <f>IFERROR(D23*S23,0)</f>
      </c>
      <c r="AA23" s="13">
        <f>IFERROR((U23*V23*W23/1000000)*C23,0)</f>
      </c>
      <c r="AB23" t="s">
        <v>62</v>
      </c>
      <c r="AC23" t="s">
        <v>63</v>
      </c>
      <c r="AE23" t="s">
        <v>64</v>
      </c>
      <c r="AF23" s="11"/>
    </row>
    <row r="24" spans="3:32" x14ac:dyDescent="0.25">
      <c r="D24" s="10"/>
      <c r="E24" s="11"/>
      <c r="F24" s="11"/>
      <c r="H24" t="s">
        <v>61</v>
      </c>
      <c r="T24" t="s">
        <v>5</v>
      </c>
      <c r="U24" s="12">
        <f>IFERROR(VLOOKUP(T24,CARTON_LOOKUP!$A:$E,3,0),"")</f>
      </c>
      <c r="V24" s="12">
        <f>IFERROR(VLOOKUP(T24,CARTON_LOOKUP!$A:$E,4,0),"")</f>
      </c>
      <c r="W24" s="12">
        <f>IFERROR(VLOOKUP(T24,CARTON_LOOKUP!$A:$E,5,0),"")</f>
      </c>
      <c r="X24" s="13">
        <f>IFERROR(VLOOKUP(T24,CARTON_LOOKUP!$A:$E,2,0),"")</f>
      </c>
      <c r="Y24" s="13">
        <f>IFERROR(X24*C24,0)</f>
      </c>
      <c r="Z24" s="13">
        <f>IFERROR(D24*S24,0)</f>
      </c>
      <c r="AA24" s="13">
        <f>IFERROR((U24*V24*W24/1000000)*C24,0)</f>
      </c>
      <c r="AB24" t="s">
        <v>62</v>
      </c>
      <c r="AC24" t="s">
        <v>63</v>
      </c>
      <c r="AE24" t="s">
        <v>64</v>
      </c>
      <c r="AF24" s="11"/>
    </row>
    <row r="25" spans="3:32" x14ac:dyDescent="0.25">
      <c r="D25" s="10"/>
      <c r="E25" s="11"/>
      <c r="F25" s="11"/>
      <c r="H25" t="s">
        <v>61</v>
      </c>
      <c r="T25" t="s">
        <v>5</v>
      </c>
      <c r="U25" s="12">
        <f>IFERROR(VLOOKUP(T25,CARTON_LOOKUP!$A:$E,3,0),"")</f>
      </c>
      <c r="V25" s="12">
        <f>IFERROR(VLOOKUP(T25,CARTON_LOOKUP!$A:$E,4,0),"")</f>
      </c>
      <c r="W25" s="12">
        <f>IFERROR(VLOOKUP(T25,CARTON_LOOKUP!$A:$E,5,0),"")</f>
      </c>
      <c r="X25" s="13">
        <f>IFERROR(VLOOKUP(T25,CARTON_LOOKUP!$A:$E,2,0),"")</f>
      </c>
      <c r="Y25" s="13">
        <f>IFERROR(X25*C25,0)</f>
      </c>
      <c r="Z25" s="13">
        <f>IFERROR(D25*S25,0)</f>
      </c>
      <c r="AA25" s="13">
        <f>IFERROR((U25*V25*W25/1000000)*C25,0)</f>
      </c>
      <c r="AB25" t="s">
        <v>62</v>
      </c>
      <c r="AC25" t="s">
        <v>63</v>
      </c>
      <c r="AE25" t="s">
        <v>64</v>
      </c>
      <c r="AF25" s="11"/>
    </row>
    <row r="26" spans="3:32" x14ac:dyDescent="0.25">
      <c r="D26" s="10"/>
      <c r="E26" s="11"/>
      <c r="F26" s="11"/>
      <c r="H26" t="s">
        <v>61</v>
      </c>
      <c r="T26" t="s">
        <v>5</v>
      </c>
      <c r="U26" s="12">
        <f>IFERROR(VLOOKUP(T26,CARTON_LOOKUP!$A:$E,3,0),"")</f>
      </c>
      <c r="V26" s="12">
        <f>IFERROR(VLOOKUP(T26,CARTON_LOOKUP!$A:$E,4,0),"")</f>
      </c>
      <c r="W26" s="12">
        <f>IFERROR(VLOOKUP(T26,CARTON_LOOKUP!$A:$E,5,0),"")</f>
      </c>
      <c r="X26" s="13">
        <f>IFERROR(VLOOKUP(T26,CARTON_LOOKUP!$A:$E,2,0),"")</f>
      </c>
      <c r="Y26" s="13">
        <f>IFERROR(X26*C26,0)</f>
      </c>
      <c r="Z26" s="13">
        <f>IFERROR(D26*S26,0)</f>
      </c>
      <c r="AA26" s="13">
        <f>IFERROR((U26*V26*W26/1000000)*C26,0)</f>
      </c>
      <c r="AB26" t="s">
        <v>62</v>
      </c>
      <c r="AC26" t="s">
        <v>63</v>
      </c>
      <c r="AE26" t="s">
        <v>64</v>
      </c>
      <c r="AF26" s="11"/>
    </row>
    <row r="27" spans="3:32" x14ac:dyDescent="0.25">
      <c r="D27" s="10"/>
      <c r="E27" s="11"/>
      <c r="F27" s="11"/>
      <c r="H27" t="s">
        <v>61</v>
      </c>
      <c r="T27" t="s">
        <v>5</v>
      </c>
      <c r="U27" s="12">
        <f>IFERROR(VLOOKUP(T27,CARTON_LOOKUP!$A:$E,3,0),"")</f>
      </c>
      <c r="V27" s="12">
        <f>IFERROR(VLOOKUP(T27,CARTON_LOOKUP!$A:$E,4,0),"")</f>
      </c>
      <c r="W27" s="12">
        <f>IFERROR(VLOOKUP(T27,CARTON_LOOKUP!$A:$E,5,0),"")</f>
      </c>
      <c r="X27" s="13">
        <f>IFERROR(VLOOKUP(T27,CARTON_LOOKUP!$A:$E,2,0),"")</f>
      </c>
      <c r="Y27" s="13">
        <f>IFERROR(X27*C27,0)</f>
      </c>
      <c r="Z27" s="13">
        <f>IFERROR(D27*S27,0)</f>
      </c>
      <c r="AA27" s="13">
        <f>IFERROR((U27*V27*W27/1000000)*C27,0)</f>
      </c>
      <c r="AB27" t="s">
        <v>62</v>
      </c>
      <c r="AC27" t="s">
        <v>63</v>
      </c>
      <c r="AE27" t="s">
        <v>64</v>
      </c>
      <c r="AF27" s="11"/>
    </row>
    <row r="28" spans="3:32" x14ac:dyDescent="0.25">
      <c r="D28" s="10"/>
      <c r="E28" s="11"/>
      <c r="F28" s="11"/>
      <c r="H28" t="s">
        <v>61</v>
      </c>
      <c r="T28" t="s">
        <v>5</v>
      </c>
      <c r="U28" s="12">
        <f>IFERROR(VLOOKUP(T28,CARTON_LOOKUP!$A:$E,3,0),"")</f>
      </c>
      <c r="V28" s="12">
        <f>IFERROR(VLOOKUP(T28,CARTON_LOOKUP!$A:$E,4,0),"")</f>
      </c>
      <c r="W28" s="12">
        <f>IFERROR(VLOOKUP(T28,CARTON_LOOKUP!$A:$E,5,0),"")</f>
      </c>
      <c r="X28" s="13">
        <f>IFERROR(VLOOKUP(T28,CARTON_LOOKUP!$A:$E,2,0),"")</f>
      </c>
      <c r="Y28" s="13">
        <f>IFERROR(X28*C28,0)</f>
      </c>
      <c r="Z28" s="13">
        <f>IFERROR(D28*S28,0)</f>
      </c>
      <c r="AA28" s="13">
        <f>IFERROR((U28*V28*W28/1000000)*C28,0)</f>
      </c>
      <c r="AB28" t="s">
        <v>62</v>
      </c>
      <c r="AC28" t="s">
        <v>63</v>
      </c>
      <c r="AE28" t="s">
        <v>64</v>
      </c>
      <c r="AF28" s="11"/>
    </row>
    <row r="29" spans="3:32" x14ac:dyDescent="0.25">
      <c r="D29" s="10"/>
      <c r="E29" s="11"/>
      <c r="F29" s="11"/>
      <c r="H29" t="s">
        <v>61</v>
      </c>
      <c r="T29" t="s">
        <v>5</v>
      </c>
      <c r="U29" s="12">
        <f>IFERROR(VLOOKUP(T29,CARTON_LOOKUP!$A:$E,3,0),"")</f>
      </c>
      <c r="V29" s="12">
        <f>IFERROR(VLOOKUP(T29,CARTON_LOOKUP!$A:$E,4,0),"")</f>
      </c>
      <c r="W29" s="12">
        <f>IFERROR(VLOOKUP(T29,CARTON_LOOKUP!$A:$E,5,0),"")</f>
      </c>
      <c r="X29" s="13">
        <f>IFERROR(VLOOKUP(T29,CARTON_LOOKUP!$A:$E,2,0),"")</f>
      </c>
      <c r="Y29" s="13">
        <f>IFERROR(X29*C29,0)</f>
      </c>
      <c r="Z29" s="13">
        <f>IFERROR(D29*S29,0)</f>
      </c>
      <c r="AA29" s="13">
        <f>IFERROR((U29*V29*W29/1000000)*C29,0)</f>
      </c>
      <c r="AB29" t="s">
        <v>62</v>
      </c>
      <c r="AC29" t="s">
        <v>63</v>
      </c>
      <c r="AE29" t="s">
        <v>64</v>
      </c>
      <c r="AF29" s="11"/>
    </row>
    <row r="30" spans="3:32" x14ac:dyDescent="0.25">
      <c r="D30" s="10"/>
      <c r="E30" s="11"/>
      <c r="F30" s="11"/>
      <c r="H30" t="s">
        <v>61</v>
      </c>
      <c r="T30" t="s">
        <v>5</v>
      </c>
      <c r="U30" s="12">
        <f>IFERROR(VLOOKUP(T30,CARTON_LOOKUP!$A:$E,3,0),"")</f>
      </c>
      <c r="V30" s="12">
        <f>IFERROR(VLOOKUP(T30,CARTON_LOOKUP!$A:$E,4,0),"")</f>
      </c>
      <c r="W30" s="12">
        <f>IFERROR(VLOOKUP(T30,CARTON_LOOKUP!$A:$E,5,0),"")</f>
      </c>
      <c r="X30" s="13">
        <f>IFERROR(VLOOKUP(T30,CARTON_LOOKUP!$A:$E,2,0),"")</f>
      </c>
      <c r="Y30" s="13">
        <f>IFERROR(X30*C30,0)</f>
      </c>
      <c r="Z30" s="13">
        <f>IFERROR(D30*S30,0)</f>
      </c>
      <c r="AA30" s="13">
        <f>IFERROR((U30*V30*W30/1000000)*C30,0)</f>
      </c>
      <c r="AB30" t="s">
        <v>62</v>
      </c>
      <c r="AC30" t="s">
        <v>63</v>
      </c>
      <c r="AE30" t="s">
        <v>64</v>
      </c>
      <c r="AF30" s="11"/>
    </row>
    <row r="31" spans="3:32" x14ac:dyDescent="0.25">
      <c r="D31" s="10"/>
      <c r="E31" s="11"/>
      <c r="F31" s="11"/>
      <c r="H31" t="s">
        <v>61</v>
      </c>
      <c r="T31" t="s">
        <v>5</v>
      </c>
      <c r="U31" s="12">
        <f>IFERROR(VLOOKUP(T31,CARTON_LOOKUP!$A:$E,3,0),"")</f>
      </c>
      <c r="V31" s="12">
        <f>IFERROR(VLOOKUP(T31,CARTON_LOOKUP!$A:$E,4,0),"")</f>
      </c>
      <c r="W31" s="12">
        <f>IFERROR(VLOOKUP(T31,CARTON_LOOKUP!$A:$E,5,0),"")</f>
      </c>
      <c r="X31" s="13">
        <f>IFERROR(VLOOKUP(T31,CARTON_LOOKUP!$A:$E,2,0),"")</f>
      </c>
      <c r="Y31" s="13">
        <f>IFERROR(X31*C31,0)</f>
      </c>
      <c r="Z31" s="13">
        <f>IFERROR(D31*S31,0)</f>
      </c>
      <c r="AA31" s="13">
        <f>IFERROR((U31*V31*W31/1000000)*C31,0)</f>
      </c>
      <c r="AB31" t="s">
        <v>62</v>
      </c>
      <c r="AC31" t="s">
        <v>63</v>
      </c>
      <c r="AE31" t="s">
        <v>64</v>
      </c>
      <c r="AF31" s="11"/>
    </row>
    <row r="32" spans="3:32" x14ac:dyDescent="0.25">
      <c r="D32" s="10"/>
      <c r="E32" s="11"/>
      <c r="F32" s="11"/>
      <c r="H32" t="s">
        <v>61</v>
      </c>
      <c r="T32" t="s">
        <v>5</v>
      </c>
      <c r="U32" s="12">
        <f>IFERROR(VLOOKUP(T32,CARTON_LOOKUP!$A:$E,3,0),"")</f>
      </c>
      <c r="V32" s="12">
        <f>IFERROR(VLOOKUP(T32,CARTON_LOOKUP!$A:$E,4,0),"")</f>
      </c>
      <c r="W32" s="12">
        <f>IFERROR(VLOOKUP(T32,CARTON_LOOKUP!$A:$E,5,0),"")</f>
      </c>
      <c r="X32" s="13">
        <f>IFERROR(VLOOKUP(T32,CARTON_LOOKUP!$A:$E,2,0),"")</f>
      </c>
      <c r="Y32" s="13">
        <f>IFERROR(X32*C32,0)</f>
      </c>
      <c r="Z32" s="13">
        <f>IFERROR(D32*S32,0)</f>
      </c>
      <c r="AA32" s="13">
        <f>IFERROR((U32*V32*W32/1000000)*C32,0)</f>
      </c>
      <c r="AB32" t="s">
        <v>62</v>
      </c>
      <c r="AC32" t="s">
        <v>63</v>
      </c>
      <c r="AE32" t="s">
        <v>64</v>
      </c>
      <c r="AF32" s="11"/>
    </row>
    <row r="33" spans="3:32" x14ac:dyDescent="0.25">
      <c r="D33" s="10"/>
      <c r="E33" s="11"/>
      <c r="F33" s="11"/>
      <c r="H33" t="s">
        <v>61</v>
      </c>
      <c r="T33" t="s">
        <v>5</v>
      </c>
      <c r="U33" s="12">
        <f>IFERROR(VLOOKUP(T33,CARTON_LOOKUP!$A:$E,3,0),"")</f>
      </c>
      <c r="V33" s="12">
        <f>IFERROR(VLOOKUP(T33,CARTON_LOOKUP!$A:$E,4,0),"")</f>
      </c>
      <c r="W33" s="12">
        <f>IFERROR(VLOOKUP(T33,CARTON_LOOKUP!$A:$E,5,0),"")</f>
      </c>
      <c r="X33" s="13">
        <f>IFERROR(VLOOKUP(T33,CARTON_LOOKUP!$A:$E,2,0),"")</f>
      </c>
      <c r="Y33" s="13">
        <f>IFERROR(X33*C33,0)</f>
      </c>
      <c r="Z33" s="13">
        <f>IFERROR(D33*S33,0)</f>
      </c>
      <c r="AA33" s="13">
        <f>IFERROR((U33*V33*W33/1000000)*C33,0)</f>
      </c>
      <c r="AB33" t="s">
        <v>62</v>
      </c>
      <c r="AC33" t="s">
        <v>63</v>
      </c>
      <c r="AE33" t="s">
        <v>64</v>
      </c>
      <c r="AF33" s="11"/>
    </row>
    <row r="34" spans="3:32" x14ac:dyDescent="0.25">
      <c r="D34" s="10"/>
      <c r="E34" s="11"/>
      <c r="F34" s="11"/>
      <c r="H34" t="s">
        <v>61</v>
      </c>
      <c r="T34" t="s">
        <v>5</v>
      </c>
      <c r="U34" s="12">
        <f>IFERROR(VLOOKUP(T34,CARTON_LOOKUP!$A:$E,3,0),"")</f>
      </c>
      <c r="V34" s="12">
        <f>IFERROR(VLOOKUP(T34,CARTON_LOOKUP!$A:$E,4,0),"")</f>
      </c>
      <c r="W34" s="12">
        <f>IFERROR(VLOOKUP(T34,CARTON_LOOKUP!$A:$E,5,0),"")</f>
      </c>
      <c r="X34" s="13">
        <f>IFERROR(VLOOKUP(T34,CARTON_LOOKUP!$A:$E,2,0),"")</f>
      </c>
      <c r="Y34" s="13">
        <f>IFERROR(X34*C34,0)</f>
      </c>
      <c r="Z34" s="13">
        <f>IFERROR(D34*S34,0)</f>
      </c>
      <c r="AA34" s="13">
        <f>IFERROR((U34*V34*W34/1000000)*C34,0)</f>
      </c>
      <c r="AB34" t="s">
        <v>62</v>
      </c>
      <c r="AC34" t="s">
        <v>63</v>
      </c>
      <c r="AE34" t="s">
        <v>64</v>
      </c>
      <c r="AF34" s="11"/>
    </row>
    <row r="35" spans="3:32" x14ac:dyDescent="0.25">
      <c r="D35" s="10"/>
      <c r="E35" s="11"/>
      <c r="F35" s="11"/>
      <c r="H35" t="s">
        <v>61</v>
      </c>
      <c r="T35" t="s">
        <v>5</v>
      </c>
      <c r="U35" s="12">
        <f>IFERROR(VLOOKUP(T35,CARTON_LOOKUP!$A:$E,3,0),"")</f>
      </c>
      <c r="V35" s="12">
        <f>IFERROR(VLOOKUP(T35,CARTON_LOOKUP!$A:$E,4,0),"")</f>
      </c>
      <c r="W35" s="12">
        <f>IFERROR(VLOOKUP(T35,CARTON_LOOKUP!$A:$E,5,0),"")</f>
      </c>
      <c r="X35" s="13">
        <f>IFERROR(VLOOKUP(T35,CARTON_LOOKUP!$A:$E,2,0),"")</f>
      </c>
      <c r="Y35" s="13">
        <f>IFERROR(X35*C35,0)</f>
      </c>
      <c r="Z35" s="13">
        <f>IFERROR(D35*S35,0)</f>
      </c>
      <c r="AA35" s="13">
        <f>IFERROR((U35*V35*W35/1000000)*C35,0)</f>
      </c>
      <c r="AB35" t="s">
        <v>62</v>
      </c>
      <c r="AC35" t="s">
        <v>63</v>
      </c>
      <c r="AE35" t="s">
        <v>64</v>
      </c>
      <c r="AF35" s="11"/>
    </row>
    <row r="36" spans="3:32" x14ac:dyDescent="0.25">
      <c r="D36" s="10"/>
      <c r="E36" s="11"/>
      <c r="F36" s="11"/>
      <c r="H36" t="s">
        <v>61</v>
      </c>
      <c r="T36" t="s">
        <v>5</v>
      </c>
      <c r="U36" s="12">
        <f>IFERROR(VLOOKUP(T36,CARTON_LOOKUP!$A:$E,3,0),"")</f>
      </c>
      <c r="V36" s="12">
        <f>IFERROR(VLOOKUP(T36,CARTON_LOOKUP!$A:$E,4,0),"")</f>
      </c>
      <c r="W36" s="12">
        <f>IFERROR(VLOOKUP(T36,CARTON_LOOKUP!$A:$E,5,0),"")</f>
      </c>
      <c r="X36" s="13">
        <f>IFERROR(VLOOKUP(T36,CARTON_LOOKUP!$A:$E,2,0),"")</f>
      </c>
      <c r="Y36" s="13">
        <f>IFERROR(X36*C36,0)</f>
      </c>
      <c r="Z36" s="13">
        <f>IFERROR(D36*S36,0)</f>
      </c>
      <c r="AA36" s="13">
        <f>IFERROR((U36*V36*W36/1000000)*C36,0)</f>
      </c>
      <c r="AB36" t="s">
        <v>62</v>
      </c>
      <c r="AC36" t="s">
        <v>63</v>
      </c>
      <c r="AE36" t="s">
        <v>64</v>
      </c>
      <c r="AF36" s="11"/>
    </row>
    <row r="37" spans="3:32" x14ac:dyDescent="0.25">
      <c r="D37" s="10"/>
      <c r="E37" s="11"/>
      <c r="F37" s="11"/>
      <c r="H37" t="s">
        <v>61</v>
      </c>
      <c r="T37" t="s">
        <v>5</v>
      </c>
      <c r="U37" s="12">
        <f>IFERROR(VLOOKUP(T37,CARTON_LOOKUP!$A:$E,3,0),"")</f>
      </c>
      <c r="V37" s="12">
        <f>IFERROR(VLOOKUP(T37,CARTON_LOOKUP!$A:$E,4,0),"")</f>
      </c>
      <c r="W37" s="12">
        <f>IFERROR(VLOOKUP(T37,CARTON_LOOKUP!$A:$E,5,0),"")</f>
      </c>
      <c r="X37" s="13">
        <f>IFERROR(VLOOKUP(T37,CARTON_LOOKUP!$A:$E,2,0),"")</f>
      </c>
      <c r="Y37" s="13">
        <f>IFERROR(X37*C37,0)</f>
      </c>
      <c r="Z37" s="13">
        <f>IFERROR(D37*S37,0)</f>
      </c>
      <c r="AA37" s="13">
        <f>IFERROR((U37*V37*W37/1000000)*C37,0)</f>
      </c>
      <c r="AB37" t="s">
        <v>62</v>
      </c>
      <c r="AC37" t="s">
        <v>63</v>
      </c>
      <c r="AE37" t="s">
        <v>64</v>
      </c>
      <c r="AF37" s="11"/>
    </row>
    <row r="38" spans="3:32" x14ac:dyDescent="0.25">
      <c r="D38" s="10"/>
      <c r="E38" s="11"/>
      <c r="F38" s="11"/>
      <c r="H38" t="s">
        <v>61</v>
      </c>
      <c r="T38" t="s">
        <v>5</v>
      </c>
      <c r="U38" s="12">
        <f>IFERROR(VLOOKUP(T38,CARTON_LOOKUP!$A:$E,3,0),"")</f>
      </c>
      <c r="V38" s="12">
        <f>IFERROR(VLOOKUP(T38,CARTON_LOOKUP!$A:$E,4,0),"")</f>
      </c>
      <c r="W38" s="12">
        <f>IFERROR(VLOOKUP(T38,CARTON_LOOKUP!$A:$E,5,0),"")</f>
      </c>
      <c r="X38" s="13">
        <f>IFERROR(VLOOKUP(T38,CARTON_LOOKUP!$A:$E,2,0),"")</f>
      </c>
      <c r="Y38" s="13">
        <f>IFERROR(X38*C38,0)</f>
      </c>
      <c r="Z38" s="13">
        <f>IFERROR(D38*S38,0)</f>
      </c>
      <c r="AA38" s="13">
        <f>IFERROR((U38*V38*W38/1000000)*C38,0)</f>
      </c>
      <c r="AB38" t="s">
        <v>62</v>
      </c>
      <c r="AC38" t="s">
        <v>63</v>
      </c>
      <c r="AE38" t="s">
        <v>64</v>
      </c>
      <c r="AF38" s="11"/>
    </row>
    <row r="39" spans="3:32" x14ac:dyDescent="0.25">
      <c r="D39" s="10"/>
      <c r="E39" s="11"/>
      <c r="F39" s="11"/>
      <c r="H39" t="s">
        <v>61</v>
      </c>
      <c r="T39" t="s">
        <v>5</v>
      </c>
      <c r="U39" s="12">
        <f>IFERROR(VLOOKUP(T39,CARTON_LOOKUP!$A:$E,3,0),"")</f>
      </c>
      <c r="V39" s="12">
        <f>IFERROR(VLOOKUP(T39,CARTON_LOOKUP!$A:$E,4,0),"")</f>
      </c>
      <c r="W39" s="12">
        <f>IFERROR(VLOOKUP(T39,CARTON_LOOKUP!$A:$E,5,0),"")</f>
      </c>
      <c r="X39" s="13">
        <f>IFERROR(VLOOKUP(T39,CARTON_LOOKUP!$A:$E,2,0),"")</f>
      </c>
      <c r="Y39" s="13">
        <f>IFERROR(X39*C39,0)</f>
      </c>
      <c r="Z39" s="13">
        <f>IFERROR(D39*S39,0)</f>
      </c>
      <c r="AA39" s="13">
        <f>IFERROR((U39*V39*W39/1000000)*C39,0)</f>
      </c>
      <c r="AB39" t="s">
        <v>62</v>
      </c>
      <c r="AC39" t="s">
        <v>63</v>
      </c>
      <c r="AE39" t="s">
        <v>64</v>
      </c>
      <c r="AF39" s="11"/>
    </row>
    <row r="40" spans="3:32" x14ac:dyDescent="0.25">
      <c r="D40" s="10"/>
      <c r="E40" s="11"/>
      <c r="F40" s="11"/>
      <c r="H40" t="s">
        <v>61</v>
      </c>
      <c r="T40" t="s">
        <v>5</v>
      </c>
      <c r="U40" s="12">
        <f>IFERROR(VLOOKUP(T40,CARTON_LOOKUP!$A:$E,3,0),"")</f>
      </c>
      <c r="V40" s="12">
        <f>IFERROR(VLOOKUP(T40,CARTON_LOOKUP!$A:$E,4,0),"")</f>
      </c>
      <c r="W40" s="12">
        <f>IFERROR(VLOOKUP(T40,CARTON_LOOKUP!$A:$E,5,0),"")</f>
      </c>
      <c r="X40" s="13">
        <f>IFERROR(VLOOKUP(T40,CARTON_LOOKUP!$A:$E,2,0),"")</f>
      </c>
      <c r="Y40" s="13">
        <f>IFERROR(X40*C40,0)</f>
      </c>
      <c r="Z40" s="13">
        <f>IFERROR(D40*S40,0)</f>
      </c>
      <c r="AA40" s="13">
        <f>IFERROR((U40*V40*W40/1000000)*C40,0)</f>
      </c>
      <c r="AB40" t="s">
        <v>62</v>
      </c>
      <c r="AC40" t="s">
        <v>63</v>
      </c>
      <c r="AE40" t="s">
        <v>64</v>
      </c>
      <c r="AF40" s="11"/>
    </row>
    <row r="41" spans="3:32" x14ac:dyDescent="0.25">
      <c r="D41" s="10"/>
      <c r="E41" s="11"/>
      <c r="F41" s="11"/>
      <c r="H41" t="s">
        <v>61</v>
      </c>
      <c r="T41" t="s">
        <v>5</v>
      </c>
      <c r="U41" s="12">
        <f>IFERROR(VLOOKUP(T41,CARTON_LOOKUP!$A:$E,3,0),"")</f>
      </c>
      <c r="V41" s="12">
        <f>IFERROR(VLOOKUP(T41,CARTON_LOOKUP!$A:$E,4,0),"")</f>
      </c>
      <c r="W41" s="12">
        <f>IFERROR(VLOOKUP(T41,CARTON_LOOKUP!$A:$E,5,0),"")</f>
      </c>
      <c r="X41" s="13">
        <f>IFERROR(VLOOKUP(T41,CARTON_LOOKUP!$A:$E,2,0),"")</f>
      </c>
      <c r="Y41" s="13">
        <f>IFERROR(X41*C41,0)</f>
      </c>
      <c r="Z41" s="13">
        <f>IFERROR(D41*S41,0)</f>
      </c>
      <c r="AA41" s="13">
        <f>IFERROR((U41*V41*W41/1000000)*C41,0)</f>
      </c>
      <c r="AB41" t="s">
        <v>62</v>
      </c>
      <c r="AC41" t="s">
        <v>63</v>
      </c>
      <c r="AE41" t="s">
        <v>64</v>
      </c>
      <c r="AF41" s="11"/>
    </row>
    <row r="42" spans="3:32" x14ac:dyDescent="0.25">
      <c r="D42" s="10"/>
      <c r="E42" s="11"/>
      <c r="F42" s="11"/>
      <c r="H42" t="s">
        <v>61</v>
      </c>
      <c r="T42" t="s">
        <v>5</v>
      </c>
      <c r="U42" s="12">
        <f>IFERROR(VLOOKUP(T42,CARTON_LOOKUP!$A:$E,3,0),"")</f>
      </c>
      <c r="V42" s="12">
        <f>IFERROR(VLOOKUP(T42,CARTON_LOOKUP!$A:$E,4,0),"")</f>
      </c>
      <c r="W42" s="12">
        <f>IFERROR(VLOOKUP(T42,CARTON_LOOKUP!$A:$E,5,0),"")</f>
      </c>
      <c r="X42" s="13">
        <f>IFERROR(VLOOKUP(T42,CARTON_LOOKUP!$A:$E,2,0),"")</f>
      </c>
      <c r="Y42" s="13">
        <f>IFERROR(X42*C42,0)</f>
      </c>
      <c r="Z42" s="13">
        <f>IFERROR(D42*S42,0)</f>
      </c>
      <c r="AA42" s="13">
        <f>IFERROR((U42*V42*W42/1000000)*C42,0)</f>
      </c>
      <c r="AB42" t="s">
        <v>62</v>
      </c>
      <c r="AC42" t="s">
        <v>63</v>
      </c>
      <c r="AE42" t="s">
        <v>64</v>
      </c>
      <c r="AF42" s="11"/>
    </row>
    <row r="43" spans="3:32" x14ac:dyDescent="0.25">
      <c r="D43" s="10"/>
      <c r="E43" s="11"/>
      <c r="F43" s="11"/>
      <c r="H43" t="s">
        <v>61</v>
      </c>
      <c r="T43" t="s">
        <v>5</v>
      </c>
      <c r="U43" s="12">
        <f>IFERROR(VLOOKUP(T43,CARTON_LOOKUP!$A:$E,3,0),"")</f>
      </c>
      <c r="V43" s="12">
        <f>IFERROR(VLOOKUP(T43,CARTON_LOOKUP!$A:$E,4,0),"")</f>
      </c>
      <c r="W43" s="12">
        <f>IFERROR(VLOOKUP(T43,CARTON_LOOKUP!$A:$E,5,0),"")</f>
      </c>
      <c r="X43" s="13">
        <f>IFERROR(VLOOKUP(T43,CARTON_LOOKUP!$A:$E,2,0),"")</f>
      </c>
      <c r="Y43" s="13">
        <f>IFERROR(X43*C43,0)</f>
      </c>
      <c r="Z43" s="13">
        <f>IFERROR(D43*S43,0)</f>
      </c>
      <c r="AA43" s="13">
        <f>IFERROR((U43*V43*W43/1000000)*C43,0)</f>
      </c>
      <c r="AB43" t="s">
        <v>62</v>
      </c>
      <c r="AC43" t="s">
        <v>63</v>
      </c>
      <c r="AE43" t="s">
        <v>64</v>
      </c>
      <c r="AF43" s="11"/>
    </row>
    <row r="44" spans="3:32" x14ac:dyDescent="0.25">
      <c r="D44" s="10"/>
      <c r="E44" s="11"/>
      <c r="F44" s="11"/>
      <c r="H44" t="s">
        <v>61</v>
      </c>
      <c r="T44" t="s">
        <v>5</v>
      </c>
      <c r="U44" s="12">
        <f>IFERROR(VLOOKUP(T44,CARTON_LOOKUP!$A:$E,3,0),"")</f>
      </c>
      <c r="V44" s="12">
        <f>IFERROR(VLOOKUP(T44,CARTON_LOOKUP!$A:$E,4,0),"")</f>
      </c>
      <c r="W44" s="12">
        <f>IFERROR(VLOOKUP(T44,CARTON_LOOKUP!$A:$E,5,0),"")</f>
      </c>
      <c r="X44" s="13">
        <f>IFERROR(VLOOKUP(T44,CARTON_LOOKUP!$A:$E,2,0),"")</f>
      </c>
      <c r="Y44" s="13">
        <f>IFERROR(X44*C44,0)</f>
      </c>
      <c r="Z44" s="13">
        <f>IFERROR(D44*S44,0)</f>
      </c>
      <c r="AA44" s="13">
        <f>IFERROR((U44*V44*W44/1000000)*C44,0)</f>
      </c>
      <c r="AB44" t="s">
        <v>62</v>
      </c>
      <c r="AC44" t="s">
        <v>63</v>
      </c>
      <c r="AE44" t="s">
        <v>64</v>
      </c>
      <c r="AF44" s="11"/>
    </row>
    <row r="45" spans="3:32" x14ac:dyDescent="0.25">
      <c r="D45" s="10"/>
      <c r="E45" s="11"/>
      <c r="F45" s="11"/>
      <c r="H45" t="s">
        <v>61</v>
      </c>
      <c r="T45" t="s">
        <v>5</v>
      </c>
      <c r="U45" s="12">
        <f>IFERROR(VLOOKUP(T45,CARTON_LOOKUP!$A:$E,3,0),"")</f>
      </c>
      <c r="V45" s="12">
        <f>IFERROR(VLOOKUP(T45,CARTON_LOOKUP!$A:$E,4,0),"")</f>
      </c>
      <c r="W45" s="12">
        <f>IFERROR(VLOOKUP(T45,CARTON_LOOKUP!$A:$E,5,0),"")</f>
      </c>
      <c r="X45" s="13">
        <f>IFERROR(VLOOKUP(T45,CARTON_LOOKUP!$A:$E,2,0),"")</f>
      </c>
      <c r="Y45" s="13">
        <f>IFERROR(X45*C45,0)</f>
      </c>
      <c r="Z45" s="13">
        <f>IFERROR(D45*S45,0)</f>
      </c>
      <c r="AA45" s="13">
        <f>IFERROR((U45*V45*W45/1000000)*C45,0)</f>
      </c>
      <c r="AB45" t="s">
        <v>62</v>
      </c>
      <c r="AC45" t="s">
        <v>63</v>
      </c>
      <c r="AE45" t="s">
        <v>64</v>
      </c>
      <c r="AF45" s="11"/>
    </row>
    <row r="46" spans="3:32" x14ac:dyDescent="0.25">
      <c r="D46" s="10"/>
      <c r="E46" s="11"/>
      <c r="F46" s="11"/>
      <c r="H46" t="s">
        <v>61</v>
      </c>
      <c r="T46" t="s">
        <v>5</v>
      </c>
      <c r="U46" s="12">
        <f>IFERROR(VLOOKUP(T46,CARTON_LOOKUP!$A:$E,3,0),"")</f>
      </c>
      <c r="V46" s="12">
        <f>IFERROR(VLOOKUP(T46,CARTON_LOOKUP!$A:$E,4,0),"")</f>
      </c>
      <c r="W46" s="12">
        <f>IFERROR(VLOOKUP(T46,CARTON_LOOKUP!$A:$E,5,0),"")</f>
      </c>
      <c r="X46" s="13">
        <f>IFERROR(VLOOKUP(T46,CARTON_LOOKUP!$A:$E,2,0),"")</f>
      </c>
      <c r="Y46" s="13">
        <f>IFERROR(X46*C46,0)</f>
      </c>
      <c r="Z46" s="13">
        <f>IFERROR(D46*S46,0)</f>
      </c>
      <c r="AA46" s="13">
        <f>IFERROR((U46*V46*W46/1000000)*C46,0)</f>
      </c>
      <c r="AB46" t="s">
        <v>62</v>
      </c>
      <c r="AC46" t="s">
        <v>63</v>
      </c>
      <c r="AE46" t="s">
        <v>64</v>
      </c>
      <c r="AF46" s="11"/>
    </row>
    <row r="47" spans="3:32" x14ac:dyDescent="0.25">
      <c r="D47" s="10"/>
      <c r="E47" s="11"/>
      <c r="F47" s="11"/>
      <c r="H47" t="s">
        <v>61</v>
      </c>
      <c r="T47" t="s">
        <v>5</v>
      </c>
      <c r="U47" s="12">
        <f>IFERROR(VLOOKUP(T47,CARTON_LOOKUP!$A:$E,3,0),"")</f>
      </c>
      <c r="V47" s="12">
        <f>IFERROR(VLOOKUP(T47,CARTON_LOOKUP!$A:$E,4,0),"")</f>
      </c>
      <c r="W47" s="12">
        <f>IFERROR(VLOOKUP(T47,CARTON_LOOKUP!$A:$E,5,0),"")</f>
      </c>
      <c r="X47" s="13">
        <f>IFERROR(VLOOKUP(T47,CARTON_LOOKUP!$A:$E,2,0),"")</f>
      </c>
      <c r="Y47" s="13">
        <f>IFERROR(X47*C47,0)</f>
      </c>
      <c r="Z47" s="13">
        <f>IFERROR(D47*S47,0)</f>
      </c>
      <c r="AA47" s="13">
        <f>IFERROR((U47*V47*W47/1000000)*C47,0)</f>
      </c>
      <c r="AB47" t="s">
        <v>62</v>
      </c>
      <c r="AC47" t="s">
        <v>63</v>
      </c>
      <c r="AE47" t="s">
        <v>64</v>
      </c>
      <c r="AF47" s="11"/>
    </row>
    <row r="48" spans="3:32" x14ac:dyDescent="0.25">
      <c r="D48" s="10"/>
      <c r="E48" s="11"/>
      <c r="F48" s="11"/>
      <c r="H48" t="s">
        <v>61</v>
      </c>
      <c r="T48" t="s">
        <v>5</v>
      </c>
      <c r="U48" s="12">
        <f>IFERROR(VLOOKUP(T48,CARTON_LOOKUP!$A:$E,3,0),"")</f>
      </c>
      <c r="V48" s="12">
        <f>IFERROR(VLOOKUP(T48,CARTON_LOOKUP!$A:$E,4,0),"")</f>
      </c>
      <c r="W48" s="12">
        <f>IFERROR(VLOOKUP(T48,CARTON_LOOKUP!$A:$E,5,0),"")</f>
      </c>
      <c r="X48" s="13">
        <f>IFERROR(VLOOKUP(T48,CARTON_LOOKUP!$A:$E,2,0),"")</f>
      </c>
      <c r="Y48" s="13">
        <f>IFERROR(X48*C48,0)</f>
      </c>
      <c r="Z48" s="13">
        <f>IFERROR(D48*S48,0)</f>
      </c>
      <c r="AA48" s="13">
        <f>IFERROR((U48*V48*W48/1000000)*C48,0)</f>
      </c>
      <c r="AB48" t="s">
        <v>62</v>
      </c>
      <c r="AC48" t="s">
        <v>63</v>
      </c>
      <c r="AE48" t="s">
        <v>64</v>
      </c>
      <c r="AF48" s="11"/>
    </row>
    <row r="49" spans="3:32" x14ac:dyDescent="0.25">
      <c r="D49" s="10"/>
      <c r="E49" s="11"/>
      <c r="F49" s="11"/>
      <c r="H49" t="s">
        <v>61</v>
      </c>
      <c r="T49" t="s">
        <v>5</v>
      </c>
      <c r="U49" s="12">
        <f>IFERROR(VLOOKUP(T49,CARTON_LOOKUP!$A:$E,3,0),"")</f>
      </c>
      <c r="V49" s="12">
        <f>IFERROR(VLOOKUP(T49,CARTON_LOOKUP!$A:$E,4,0),"")</f>
      </c>
      <c r="W49" s="12">
        <f>IFERROR(VLOOKUP(T49,CARTON_LOOKUP!$A:$E,5,0),"")</f>
      </c>
      <c r="X49" s="13">
        <f>IFERROR(VLOOKUP(T49,CARTON_LOOKUP!$A:$E,2,0),"")</f>
      </c>
      <c r="Y49" s="13">
        <f>IFERROR(X49*C49,0)</f>
      </c>
      <c r="Z49" s="13">
        <f>IFERROR(D49*S49,0)</f>
      </c>
      <c r="AA49" s="13">
        <f>IFERROR((U49*V49*W49/1000000)*C49,0)</f>
      </c>
      <c r="AB49" t="s">
        <v>62</v>
      </c>
      <c r="AC49" t="s">
        <v>63</v>
      </c>
      <c r="AE49" t="s">
        <v>64</v>
      </c>
      <c r="AF49" s="11"/>
    </row>
    <row r="50" spans="3:32" x14ac:dyDescent="0.25">
      <c r="D50" s="10"/>
      <c r="E50" s="11"/>
      <c r="F50" s="11"/>
      <c r="H50" t="s">
        <v>61</v>
      </c>
      <c r="T50" t="s">
        <v>5</v>
      </c>
      <c r="U50" s="12">
        <f>IFERROR(VLOOKUP(T50,CARTON_LOOKUP!$A:$E,3,0),"")</f>
      </c>
      <c r="V50" s="12">
        <f>IFERROR(VLOOKUP(T50,CARTON_LOOKUP!$A:$E,4,0),"")</f>
      </c>
      <c r="W50" s="12">
        <f>IFERROR(VLOOKUP(T50,CARTON_LOOKUP!$A:$E,5,0),"")</f>
      </c>
      <c r="X50" s="13">
        <f>IFERROR(VLOOKUP(T50,CARTON_LOOKUP!$A:$E,2,0),"")</f>
      </c>
      <c r="Y50" s="13">
        <f>IFERROR(X50*C50,0)</f>
      </c>
      <c r="Z50" s="13">
        <f>IFERROR(D50*S50,0)</f>
      </c>
      <c r="AA50" s="13">
        <f>IFERROR((U50*V50*W50/1000000)*C50,0)</f>
      </c>
      <c r="AB50" t="s">
        <v>62</v>
      </c>
      <c r="AC50" t="s">
        <v>63</v>
      </c>
      <c r="AE50" t="s">
        <v>64</v>
      </c>
      <c r="AF50" s="11"/>
    </row>
    <row r="51" spans="3:32" x14ac:dyDescent="0.25">
      <c r="D51" s="10"/>
      <c r="E51" s="11"/>
      <c r="F51" s="11"/>
      <c r="H51" t="s">
        <v>61</v>
      </c>
      <c r="T51" t="s">
        <v>5</v>
      </c>
      <c r="U51" s="12">
        <f>IFERROR(VLOOKUP(T51,CARTON_LOOKUP!$A:$E,3,0),"")</f>
      </c>
      <c r="V51" s="12">
        <f>IFERROR(VLOOKUP(T51,CARTON_LOOKUP!$A:$E,4,0),"")</f>
      </c>
      <c r="W51" s="12">
        <f>IFERROR(VLOOKUP(T51,CARTON_LOOKUP!$A:$E,5,0),"")</f>
      </c>
      <c r="X51" s="13">
        <f>IFERROR(VLOOKUP(T51,CARTON_LOOKUP!$A:$E,2,0),"")</f>
      </c>
      <c r="Y51" s="13">
        <f>IFERROR(X51*C51,0)</f>
      </c>
      <c r="Z51" s="13">
        <f>IFERROR(D51*S51,0)</f>
      </c>
      <c r="AA51" s="13">
        <f>IFERROR((U51*V51*W51/1000000)*C51,0)</f>
      </c>
      <c r="AB51" t="s">
        <v>62</v>
      </c>
      <c r="AC51" t="s">
        <v>63</v>
      </c>
      <c r="AE51" t="s">
        <v>64</v>
      </c>
      <c r="AF51" s="11"/>
    </row>
    <row r="52" spans="3:32" x14ac:dyDescent="0.25">
      <c r="D52" s="10"/>
      <c r="E52" s="11"/>
      <c r="F52" s="11"/>
      <c r="H52" t="s">
        <v>61</v>
      </c>
      <c r="T52" t="s">
        <v>5</v>
      </c>
      <c r="U52" s="12">
        <f>IFERROR(VLOOKUP(T52,CARTON_LOOKUP!$A:$E,3,0),"")</f>
      </c>
      <c r="V52" s="12">
        <f>IFERROR(VLOOKUP(T52,CARTON_LOOKUP!$A:$E,4,0),"")</f>
      </c>
      <c r="W52" s="12">
        <f>IFERROR(VLOOKUP(T52,CARTON_LOOKUP!$A:$E,5,0),"")</f>
      </c>
      <c r="X52" s="13">
        <f>IFERROR(VLOOKUP(T52,CARTON_LOOKUP!$A:$E,2,0),"")</f>
      </c>
      <c r="Y52" s="13">
        <f>IFERROR(X52*C52,0)</f>
      </c>
      <c r="Z52" s="13">
        <f>IFERROR(D52*S52,0)</f>
      </c>
      <c r="AA52" s="13">
        <f>IFERROR((U52*V52*W52/1000000)*C52,0)</f>
      </c>
      <c r="AB52" t="s">
        <v>62</v>
      </c>
      <c r="AC52" t="s">
        <v>63</v>
      </c>
      <c r="AE52" t="s">
        <v>64</v>
      </c>
      <c r="AF52" s="11"/>
    </row>
    <row r="53" spans="3:32" x14ac:dyDescent="0.25">
      <c r="D53" s="10"/>
      <c r="E53" s="11"/>
      <c r="F53" s="11"/>
      <c r="H53" t="s">
        <v>61</v>
      </c>
      <c r="T53" t="s">
        <v>5</v>
      </c>
      <c r="U53" s="12">
        <f>IFERROR(VLOOKUP(T53,CARTON_LOOKUP!$A:$E,3,0),"")</f>
      </c>
      <c r="V53" s="12">
        <f>IFERROR(VLOOKUP(T53,CARTON_LOOKUP!$A:$E,4,0),"")</f>
      </c>
      <c r="W53" s="12">
        <f>IFERROR(VLOOKUP(T53,CARTON_LOOKUP!$A:$E,5,0),"")</f>
      </c>
      <c r="X53" s="13">
        <f>IFERROR(VLOOKUP(T53,CARTON_LOOKUP!$A:$E,2,0),"")</f>
      </c>
      <c r="Y53" s="13">
        <f>IFERROR(X53*C53,0)</f>
      </c>
      <c r="Z53" s="13">
        <f>IFERROR(D53*S53,0)</f>
      </c>
      <c r="AA53" s="13">
        <f>IFERROR((U53*V53*W53/1000000)*C53,0)</f>
      </c>
      <c r="AB53" t="s">
        <v>62</v>
      </c>
      <c r="AC53" t="s">
        <v>63</v>
      </c>
      <c r="AE53" t="s">
        <v>64</v>
      </c>
      <c r="AF53" s="11"/>
    </row>
  </sheetData>
  <mergeCells count="1">
    <mergeCell ref="A1:AG1"/>
  </mergeCells>
  <dataValidations count="20">
    <dataValidation type="list" sqref="AB10:AB53">
      <formula1>"Flat,Bulk Flat,Hanging"</formula1>
    </dataValidation>
    <dataValidation type="list" sqref="AB4:AB53">
      <formula1>"Flat,Bulk Flat,Hanging"</formula1>
    </dataValidation>
    <dataValidation type="list" sqref="AC10:AC53">
      <formula1>"Collection,Delivery"</formula1>
    </dataValidation>
    <dataValidation type="list" sqref="AC4:AC53">
      <formula1>"Collection,Delivery"</formula1>
    </dataValidation>
    <dataValidation type="list" sqref="AE10:AE53">
      <formula1>"Flammable,Glass - Hazardous,Hazardous,N/A"</formula1>
    </dataValidation>
    <dataValidation type="list" sqref="AE4:AE53">
      <formula1>"Flammable,Glass - Hazardous,Hazardous,N/A"</formula1>
    </dataValidation>
    <dataValidation type="date" operator="greaterThan" showErrorMessage="1" errorTitle="Invalid date" error="Enter a valid date (DD/MM/YYYY format)" sqref="AF10:AF53">
      <formula1>43831</formula1>
    </dataValidation>
    <dataValidation type="date" operator="greaterThan" showErrorMessage="1" errorTitle="Invalid date" error="Enter a valid date (DD/MM/YYYY format)" sqref="AF4:AF53">
      <formula1>43831</formula1>
    </dataValidation>
    <dataValidation type="whole" operator="greaterThan" showErrorMessage="1" errorTitle="Invalid" error="Enter a whole number greater than 0" sqref="C10:C53">
      <formula1>0</formula1>
    </dataValidation>
    <dataValidation type="whole" operator="greaterThan" showErrorMessage="1" errorTitle="Invalid" error="Enter a whole number greater than 0" sqref="C4:C53">
      <formula1>0</formula1>
    </dataValidation>
    <dataValidation type="decimal" operator="greaterThan" showErrorMessage="1" errorTitle="Invalid" error="Enter a positive weight in KG" sqref="D10:D53">
      <formula1>0</formula1>
    </dataValidation>
    <dataValidation type="decimal" operator="greaterThan" showErrorMessage="1" errorTitle="Invalid" error="Enter a positive weight in KG" sqref="D4:D53">
      <formula1>0</formula1>
    </dataValidation>
    <dataValidation type="date" operator="greaterThan" showErrorMessage="1" errorTitle="Invalid date" error="Enter a valid date (DD/MM/YYYY format)" sqref="E10:F53">
      <formula1>43831</formula1>
    </dataValidation>
    <dataValidation type="date" operator="greaterThan" showErrorMessage="1" errorTitle="Invalid date" error="Enter a valid date (DD/MM/YYYY format)" sqref="E4:F53">
      <formula1>43831</formula1>
    </dataValidation>
    <dataValidation type="list" showErrorMessage="1" errorTitle="Invalid value" error="Please select CFS or CY" sqref="G10:G53">
      <formula1>"CFS,CY"</formula1>
    </dataValidation>
    <dataValidation type="list" showErrorMessage="1" errorTitle="Invalid value" error="Please select CFS or CY" sqref="G4:G53">
      <formula1>"CFS,CY"</formula1>
    </dataValidation>
    <dataValidation type="list" showErrorMessage="1" errorTitle="Invalid value" error="Please select Sea, Air, Road, Rail or Eco" sqref="H10:H53">
      <formula1>"Sea,Air,Road,Rail,Eco"</formula1>
    </dataValidation>
    <dataValidation type="list" showErrorMessage="1" errorTitle="Invalid value" error="Please select Sea, Air, Road, Rail or Eco" sqref="H4:H53">
      <formula1>"Sea,Air,Road,Rail,Eco"</formula1>
    </dataValidation>
    <dataValidation type="list" showErrorMessage="1" sqref="T10:T53">
      <formula1>CARTON_LOOKUP!$A$2:$A$20</formula1>
    </dataValidation>
    <dataValidation type="list" showErrorMessage="1" sqref="T4:T53">
      <formula1>CARTON_LOOKUP!$A$2:$A$20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CARTON_LOOKUP</vt:lpstr>
      <vt:lpstr>SUPPLIER_INPUT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2026-06-13T08:04:32Z</dcterms:created>
  <dcterms:modified xsi:type="dcterms:W3CDTF">2026-06-13T08:04:32Z</dcterms:modified>
</cp:coreProperties>
</file>