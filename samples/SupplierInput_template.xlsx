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RTON_LOOKUP" state="veryHidden" r:id="rId4"/>
    <sheet sheetId="2" name="SUPPLIER_INPUT" state="visible" r:id="rId5"/>
  </sheets>
  <calcPr calcId="171027"/>
</workbook>
</file>

<file path=xl/sharedStrings.xml><?xml version="1.0" encoding="utf-8"?>
<sst xmlns="http://schemas.openxmlformats.org/spreadsheetml/2006/main" count="259" uniqueCount="61">
  <si>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</si>
  <si>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</si>
  <si>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</si>
  <si>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</si>
  <si>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</si>
  <si>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</si>
  <si>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</si>
  <si>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</si>
  <si>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</si>
  <si>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</si>
  <si>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</si>
  <si>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</si>
  <si>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</si>
  <si>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</si>
  <si>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</si>
  <si>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</si>
  <si>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</si>
  <si>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</si>
  <si>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</si>
  <si>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</si>
  <si>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</si>
  <si>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</si>
  <si>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</si>
  <si>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</si>
  <si>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⚠  INSTRUCTIONS: One row per SKU — fill in all RED columns for every SKU line. Multiple rows can share the same PO_Number/ASN_Ref. No_of_Cartons and Unit_Weight_KG must be filled per SKU row. Carton dimensions auto-fill from Carton_Type. Dates in DD/MM/YYYY format. Do NOT modify column headers.</t>
  </si>
  <si>
    <t xml:space="preserve"> RED = Mandatory </t>
  </si>
  <si>
    <t xml:space="preserve"> GREEN = Has default </t>
  </si>
  <si>
    <t xml:space="preserve"> BLUE = Auto-calculated </t>
  </si>
  <si>
    <t xml:space="preserve"> GREY = Optional </t>
  </si>
  <si>
    <t>PO_Number</t>
  </si>
  <si>
    <t>ASN_Ref</t>
  </si>
  <si>
    <t>SKU</t>
  </si>
  <si>
    <t>No_of_Cartons</t>
  </si>
  <si>
    <t>Unit_Weight_KG</t>
  </si>
  <si>
    <t>Cargo_Ready_Planned_Collection_Date</t>
  </si>
  <si>
    <t>Carrier_Booking_Request_Date</t>
  </si>
  <si>
    <t>Traffic_Mode</t>
  </si>
  <si>
    <t>EAN_Barcode</t>
  </si>
  <si>
    <t>Colour_Code</t>
  </si>
  <si>
    <t>Size_Code</t>
  </si>
  <si>
    <t>Booking_Qty</t>
  </si>
  <si>
    <t>Carton_Length_cm</t>
  </si>
  <si>
    <t>Carton_Width_cm</t>
  </si>
  <si>
    <t>Carton_Height_cm</t>
  </si>
  <si>
    <t>Carton_Weight_KG</t>
  </si>
  <si>
    <t>Gross_Weight_KG</t>
  </si>
  <si>
    <t>Net_Weight_KG</t>
  </si>
  <si>
    <t>Volume_M3</t>
  </si>
  <si>
    <t>Pack_Type</t>
  </si>
  <si>
    <t>Collection_Type</t>
  </si>
  <si>
    <t>Collection_Time (HH:MM)</t>
  </si>
  <si>
    <t>Hazardous</t>
  </si>
  <si>
    <t>Expected_Delivery_Date</t>
  </si>
  <si>
    <t>ASN_Delivery_Date</t>
  </si>
  <si>
    <t>ASOS_Intake_Week</t>
  </si>
  <si>
    <t>Var_Unit</t>
  </si>
  <si>
    <t>Var_Pct</t>
  </si>
  <si>
    <t>Remarks</t>
  </si>
  <si>
    <t>Flat</t>
  </si>
  <si>
    <t>Delivery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</si>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</sst>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DD/MM/YYYY"/>
  </numFmts>
  <fonts count="5" x14ac:knownFonts="1">
    <font>
      <color theme="1"/>
      <family val="2"/>
      <scheme val="minor"/>
      <sz val="11"/>
      <name val="Calibri"/>
    </font>
    <font>
      <b/>
      <color rgb="FF7B3F00"/>
      <sz val="11"/>
    </font>
    <font>
      <b/>
      <color rgb="FFFFFFFF"/>
      <sz val="10"/>
    </font>
    <font>
      <b/>
      <color rgb="FFFFFFFF"/>
      <sz val="11"/>
    </font>
    <font>
      <color rgb="FF1A5276"/>
      <sz val="10"/>
    </font>
  </fonts>
  <fills count="8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C0392B"/>
      </patternFill>
    </fill>
    <fill>
      <patternFill patternType="solid">
        <fgColor rgb="FF27AE60"/>
      </patternFill>
    </fill>
    <fill>
      <patternFill patternType="solid">
        <fgColor rgb="FF2E75B6"/>
      </patternFill>
    </fill>
    <fill>
      <patternFill patternType="solid">
        <fgColor rgb="FF555555"/>
      </patternFill>
    </fill>
    <fill>
      <patternFill patternType="solid">
        <fgColor rgb="FFD6E8F8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AAAAAA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2" fontId="4" fillId="7" borderId="0" xfId="0" applyNumberFormat="1" applyFont="1" applyFill="1" applyProtection="1"/>
    <xf numFmtId="164" fontId="4" fillId="7" borderId="0" xfId="0" applyNumberFormat="1" applyFont="1" applyFill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1.4</v>
      </c>
      <c r="C2">
        <v>60</v>
      </c>
      <c r="D2">
        <v>30</v>
      </c>
      <c r="E2">
        <v>40</v>
      </c>
    </row>
    <row r="3" spans="1:5" x14ac:dyDescent="0.25">
      <c r="A3" t="s">
        <v>6</v>
      </c>
      <c r="B3">
        <v>1</v>
      </c>
      <c r="C3">
        <v>45</v>
      </c>
      <c r="D3">
        <v>29.5</v>
      </c>
      <c r="E3">
        <v>18.8</v>
      </c>
    </row>
    <row r="4" spans="1:5" x14ac:dyDescent="0.25">
      <c r="A4" t="s">
        <v>7</v>
      </c>
      <c r="B4">
        <v>1</v>
      </c>
      <c r="C4">
        <v>60</v>
      </c>
      <c r="D4">
        <v>30</v>
      </c>
      <c r="E4">
        <v>20</v>
      </c>
    </row>
    <row r="5" spans="1:5" x14ac:dyDescent="0.25">
      <c r="A5" t="s">
        <v>8</v>
      </c>
      <c r="B5">
        <v>1</v>
      </c>
      <c r="C5">
        <v>45</v>
      </c>
      <c r="D5">
        <v>60</v>
      </c>
      <c r="E5">
        <v>40</v>
      </c>
    </row>
    <row r="6" spans="1:5" x14ac:dyDescent="0.25">
      <c r="A6" t="s">
        <v>9</v>
      </c>
      <c r="B6">
        <v>1</v>
      </c>
      <c r="C6">
        <v>59.5</v>
      </c>
      <c r="D6">
        <v>28.5</v>
      </c>
      <c r="E6">
        <v>37.5</v>
      </c>
    </row>
    <row r="7" spans="1:5" x14ac:dyDescent="0.25">
      <c r="A7" t="s">
        <v>10</v>
      </c>
      <c r="B7">
        <v>1</v>
      </c>
      <c r="C7">
        <v>59.5</v>
      </c>
      <c r="D7">
        <v>28.5</v>
      </c>
      <c r="E7">
        <v>32.5</v>
      </c>
    </row>
    <row r="8" spans="1:5" x14ac:dyDescent="0.25">
      <c r="A8" t="s">
        <v>11</v>
      </c>
      <c r="B8">
        <v>1</v>
      </c>
      <c r="C8">
        <v>59.5</v>
      </c>
      <c r="D8">
        <v>28.5</v>
      </c>
      <c r="E8">
        <v>26</v>
      </c>
    </row>
    <row r="9" spans="1:5" x14ac:dyDescent="0.25">
      <c r="A9" t="s">
        <v>12</v>
      </c>
      <c r="B9">
        <v>1</v>
      </c>
      <c r="C9">
        <v>59.5</v>
      </c>
      <c r="D9">
        <v>28.5</v>
      </c>
      <c r="E9">
        <v>19</v>
      </c>
    </row>
    <row r="10" spans="1:5" x14ac:dyDescent="0.25">
      <c r="A10" t="s">
        <v>13</v>
      </c>
      <c r="B10">
        <v>1</v>
      </c>
      <c r="C10">
        <v>52</v>
      </c>
      <c r="D10">
        <v>25.5</v>
      </c>
      <c r="E10">
        <v>37.5</v>
      </c>
    </row>
    <row r="11" spans="1:5" x14ac:dyDescent="0.25">
      <c r="A11" t="s">
        <v>14</v>
      </c>
      <c r="B11">
        <v>1</v>
      </c>
      <c r="C11">
        <v>52</v>
      </c>
      <c r="D11">
        <v>25.5</v>
      </c>
      <c r="E11">
        <v>32.5</v>
      </c>
    </row>
    <row r="12" spans="1:5" x14ac:dyDescent="0.25">
      <c r="A12" t="s">
        <v>15</v>
      </c>
      <c r="B12">
        <v>1</v>
      </c>
      <c r="C12">
        <v>52</v>
      </c>
      <c r="D12">
        <v>25.5</v>
      </c>
      <c r="E12">
        <v>26</v>
      </c>
    </row>
    <row r="13" spans="1:5" x14ac:dyDescent="0.25">
      <c r="A13" t="s">
        <v>16</v>
      </c>
      <c r="B13">
        <v>1</v>
      </c>
      <c r="C13">
        <v>52</v>
      </c>
      <c r="D13">
        <v>25.5</v>
      </c>
      <c r="E13">
        <v>19</v>
      </c>
    </row>
    <row r="14" spans="1:5" x14ac:dyDescent="0.25">
      <c r="A14" t="s">
        <v>17</v>
      </c>
      <c r="B14">
        <v>1</v>
      </c>
      <c r="C14">
        <v>45</v>
      </c>
      <c r="D14">
        <v>28.5</v>
      </c>
      <c r="E14">
        <v>37.5</v>
      </c>
    </row>
    <row r="15" spans="1:5" x14ac:dyDescent="0.25">
      <c r="A15" t="s">
        <v>18</v>
      </c>
      <c r="B15">
        <v>1</v>
      </c>
      <c r="C15">
        <v>45</v>
      </c>
      <c r="D15">
        <v>28.5</v>
      </c>
      <c r="E15">
        <v>32.5</v>
      </c>
    </row>
    <row r="16" spans="1:5" x14ac:dyDescent="0.25">
      <c r="A16" t="s">
        <v>19</v>
      </c>
      <c r="B16">
        <v>1</v>
      </c>
      <c r="C16">
        <v>45</v>
      </c>
      <c r="D16">
        <v>28.5</v>
      </c>
      <c r="E16">
        <v>26</v>
      </c>
    </row>
    <row r="17" spans="1:5" x14ac:dyDescent="0.25">
      <c r="A17" t="s">
        <v>20</v>
      </c>
      <c r="B17">
        <v>1</v>
      </c>
      <c r="C17">
        <v>45</v>
      </c>
      <c r="D17">
        <v>28.5</v>
      </c>
      <c r="E17">
        <v>19</v>
      </c>
    </row>
    <row r="18" spans="1:5" x14ac:dyDescent="0.25">
      <c r="A18" t="s">
        <v>21</v>
      </c>
      <c r="B18">
        <v>0.7</v>
      </c>
      <c r="C18">
        <v>213</v>
      </c>
      <c r="D18">
        <v>94</v>
      </c>
      <c r="E18">
        <v>60</v>
      </c>
    </row>
    <row r="19" spans="1:5" x14ac:dyDescent="0.25">
      <c r="A19" t="s">
        <v>22</v>
      </c>
    </row>
    <row r="20" spans="1:5" x14ac:dyDescent="0.25">
      <c r="A20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AD5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16" customWidth="1"/>
    <col min="6" max="6" width="34" customWidth="1"/>
    <col min="7" max="7" width="28" customWidth="1"/>
    <col min="8" max="8" width="14" customWidth="1"/>
    <col min="9" max="9" width="18" customWidth="1"/>
    <col min="10" max="10" width="14" customWidth="1"/>
    <col min="11" max="11" width="12" customWidth="1"/>
    <col min="12" max="12" width="14" customWidth="1"/>
    <col min="13" max="13" width="22" customWidth="1"/>
    <col min="14" max="14" width="18" customWidth="1"/>
    <col min="15" max="16" width="17" customWidth="1"/>
    <col min="17" max="17" width="18" customWidth="1"/>
    <col min="18" max="18" width="17" customWidth="1"/>
    <col min="19" max="19" width="16" customWidth="1"/>
    <col min="20" max="20" width="13" customWidth="1"/>
    <col min="21" max="21" width="14" customWidth="1"/>
    <col min="22" max="22" width="18" customWidth="1"/>
    <col min="23" max="23" width="24" customWidth="1"/>
    <col min="24" max="24" width="20" customWidth="1"/>
    <col min="25" max="25" width="24" customWidth="1"/>
    <col min="26" max="26" width="20" customWidth="1"/>
    <col min="27" max="27" width="18" customWidth="1"/>
    <col min="28" max="29" width="11" customWidth="1"/>
    <col min="30" max="30" width="30" customWidth="1"/>
  </cols>
  <sheetData>
    <row r="1" ht="32" customHeight="1" spans="1:28" x14ac:dyDescent="0.25">
      <c r="A1" s="1" t="s">
        <v>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ht="22" customHeight="1" spans="1:4" x14ac:dyDescent="0.25">
      <c r="A2" s="2" t="s">
        <v>25</v>
      </c>
      <c r="B2" s="3" t="s">
        <v>26</v>
      </c>
      <c r="C2" s="4" t="s">
        <v>27</v>
      </c>
      <c r="D2" s="5" t="s">
        <v>28</v>
      </c>
    </row>
    <row r="3" ht="36" customHeight="1" spans="1:30" x14ac:dyDescent="0.25">
      <c r="A3" s="6" t="s">
        <v>29</v>
      </c>
      <c r="B3" s="6" t="s">
        <v>30</v>
      </c>
      <c r="C3" s="6" t="s">
        <v>31</v>
      </c>
      <c r="D3" s="6" t="s">
        <v>32</v>
      </c>
      <c r="E3" s="6" t="s">
        <v>33</v>
      </c>
      <c r="F3" s="6" t="s">
        <v>34</v>
      </c>
      <c r="G3" s="6" t="s">
        <v>35</v>
      </c>
      <c r="H3" s="6" t="s">
        <v>36</v>
      </c>
      <c r="I3" s="7" t="s">
        <v>37</v>
      </c>
      <c r="J3" s="7" t="s">
        <v>38</v>
      </c>
      <c r="K3" s="7" t="s">
        <v>39</v>
      </c>
      <c r="L3" s="6" t="s">
        <v>40</v>
      </c>
      <c r="M3" s="8" t="s">
        <v>0</v>
      </c>
      <c r="N3" s="9" t="s">
        <v>41</v>
      </c>
      <c r="O3" s="9" t="s">
        <v>42</v>
      </c>
      <c r="P3" s="9" t="s">
        <v>43</v>
      </c>
      <c r="Q3" s="9" t="s">
        <v>44</v>
      </c>
      <c r="R3" s="9" t="s">
        <v>45</v>
      </c>
      <c r="S3" s="9" t="s">
        <v>46</v>
      </c>
      <c r="T3" s="9" t="s">
        <v>47</v>
      </c>
      <c r="U3" s="8" t="s">
        <v>48</v>
      </c>
      <c r="V3" s="8" t="s">
        <v>49</v>
      </c>
      <c r="W3" s="7" t="s">
        <v>50</v>
      </c>
      <c r="X3" s="8" t="s">
        <v>51</v>
      </c>
      <c r="Y3" s="7" t="s">
        <v>52</v>
      </c>
      <c r="Z3" s="7" t="s">
        <v>53</v>
      </c>
      <c r="AA3" s="7" t="s">
        <v>54</v>
      </c>
      <c r="AB3" s="8" t="s">
        <v>55</v>
      </c>
      <c r="AC3" s="8" t="s">
        <v>56</v>
      </c>
      <c r="AD3" s="7" t="s">
        <v>57</v>
      </c>
    </row>
    <row r="4" spans="4:29" x14ac:dyDescent="0.25">
      <c r="E4" s="10"/>
      <c r="F4" s="11"/>
      <c r="G4" s="11"/>
      <c r="M4" t="s">
        <v>5</v>
      </c>
      <c r="N4" s="12">
        <f>IFERROR(VLOOKUP(M4,CARTON_LOOKUP!$A:$E,3,0),"")</f>
      </c>
      <c r="O4" s="12">
        <f>IFERROR(VLOOKUP(M4,CARTON_LOOKUP!$A:$E,4,0),"")</f>
      </c>
      <c r="P4" s="12">
        <f>IFERROR(VLOOKUP(M4,CARTON_LOOKUP!$A:$E,5,0),"")</f>
      </c>
      <c r="Q4" s="13">
        <f>IFERROR(VLOOKUP(M4,CARTON_LOOKUP!$A:$E,2,0),"")</f>
      </c>
      <c r="R4" s="13">
        <f>IFERROR(Q4*D4,0)</f>
      </c>
      <c r="S4" s="13">
        <f>IFERROR(E4*L4,0)</f>
      </c>
      <c r="T4" s="13">
        <f>IFERROR((N4*O4*P4/1000000)*D4,0)</f>
      </c>
      <c r="U4" t="s">
        <v>58</v>
      </c>
      <c r="V4" t="s">
        <v>59</v>
      </c>
      <c r="X4" t="s">
        <v>60</v>
      </c>
      <c r="Y4" s="11"/>
      <c r="Z4" s="11"/>
      <c r="AB4">
        <v>0</v>
      </c>
      <c r="AC4">
        <v>0</v>
      </c>
    </row>
    <row r="5" spans="4:29" x14ac:dyDescent="0.25">
      <c r="E5" s="10"/>
      <c r="F5" s="11"/>
      <c r="G5" s="11"/>
      <c r="M5" t="s">
        <v>5</v>
      </c>
      <c r="N5" s="12">
        <f>IFERROR(VLOOKUP(M5,CARTON_LOOKUP!$A:$E,3,0),"")</f>
      </c>
      <c r="O5" s="12">
        <f>IFERROR(VLOOKUP(M5,CARTON_LOOKUP!$A:$E,4,0),"")</f>
      </c>
      <c r="P5" s="12">
        <f>IFERROR(VLOOKUP(M5,CARTON_LOOKUP!$A:$E,5,0),"")</f>
      </c>
      <c r="Q5" s="13">
        <f>IFERROR(VLOOKUP(M5,CARTON_LOOKUP!$A:$E,2,0),"")</f>
      </c>
      <c r="R5" s="13">
        <f>IFERROR(Q5*D5,0)</f>
      </c>
      <c r="S5" s="13">
        <f>IFERROR(E5*L5,0)</f>
      </c>
      <c r="T5" s="13">
        <f>IFERROR((N5*O5*P5/1000000)*D5,0)</f>
      </c>
      <c r="U5" t="s">
        <v>58</v>
      </c>
      <c r="V5" t="s">
        <v>59</v>
      </c>
      <c r="X5" t="s">
        <v>60</v>
      </c>
      <c r="Y5" s="11"/>
      <c r="Z5" s="11"/>
      <c r="AB5">
        <v>0</v>
      </c>
      <c r="AC5">
        <v>0</v>
      </c>
    </row>
    <row r="6" spans="4:29" x14ac:dyDescent="0.25">
      <c r="E6" s="10"/>
      <c r="F6" s="11"/>
      <c r="G6" s="11"/>
      <c r="M6" t="s">
        <v>5</v>
      </c>
      <c r="N6" s="12">
        <f>IFERROR(VLOOKUP(M6,CARTON_LOOKUP!$A:$E,3,0),"")</f>
      </c>
      <c r="O6" s="12">
        <f>IFERROR(VLOOKUP(M6,CARTON_LOOKUP!$A:$E,4,0),"")</f>
      </c>
      <c r="P6" s="12">
        <f>IFERROR(VLOOKUP(M6,CARTON_LOOKUP!$A:$E,5,0),"")</f>
      </c>
      <c r="Q6" s="13">
        <f>IFERROR(VLOOKUP(M6,CARTON_LOOKUP!$A:$E,2,0),"")</f>
      </c>
      <c r="R6" s="13">
        <f>IFERROR(Q6*D6,0)</f>
      </c>
      <c r="S6" s="13">
        <f>IFERROR(E6*L6,0)</f>
      </c>
      <c r="T6" s="13">
        <f>IFERROR((N6*O6*P6/1000000)*D6,0)</f>
      </c>
      <c r="U6" t="s">
        <v>58</v>
      </c>
      <c r="V6" t="s">
        <v>59</v>
      </c>
      <c r="X6" t="s">
        <v>60</v>
      </c>
      <c r="Y6" s="11"/>
      <c r="Z6" s="11"/>
      <c r="AB6">
        <v>0</v>
      </c>
      <c r="AC6">
        <v>0</v>
      </c>
    </row>
    <row r="7" spans="4:29" x14ac:dyDescent="0.25">
      <c r="E7" s="10"/>
      <c r="F7" s="11"/>
      <c r="G7" s="11"/>
      <c r="M7" t="s">
        <v>5</v>
      </c>
      <c r="N7" s="12">
        <f>IFERROR(VLOOKUP(M7,CARTON_LOOKUP!$A:$E,3,0),"")</f>
      </c>
      <c r="O7" s="12">
        <f>IFERROR(VLOOKUP(M7,CARTON_LOOKUP!$A:$E,4,0),"")</f>
      </c>
      <c r="P7" s="12">
        <f>IFERROR(VLOOKUP(M7,CARTON_LOOKUP!$A:$E,5,0),"")</f>
      </c>
      <c r="Q7" s="13">
        <f>IFERROR(VLOOKUP(M7,CARTON_LOOKUP!$A:$E,2,0),"")</f>
      </c>
      <c r="R7" s="13">
        <f>IFERROR(Q7*D7,0)</f>
      </c>
      <c r="S7" s="13">
        <f>IFERROR(E7*L7,0)</f>
      </c>
      <c r="T7" s="13">
        <f>IFERROR((N7*O7*P7/1000000)*D7,0)</f>
      </c>
      <c r="U7" t="s">
        <v>58</v>
      </c>
      <c r="V7" t="s">
        <v>59</v>
      </c>
      <c r="X7" t="s">
        <v>60</v>
      </c>
      <c r="Y7" s="11"/>
      <c r="Z7" s="11"/>
      <c r="AB7">
        <v>0</v>
      </c>
      <c r="AC7">
        <v>0</v>
      </c>
    </row>
    <row r="8" spans="4:29" x14ac:dyDescent="0.25">
      <c r="E8" s="10"/>
      <c r="F8" s="11"/>
      <c r="G8" s="11"/>
      <c r="M8" t="s">
        <v>5</v>
      </c>
      <c r="N8" s="12">
        <f>IFERROR(VLOOKUP(M8,CARTON_LOOKUP!$A:$E,3,0),"")</f>
      </c>
      <c r="O8" s="12">
        <f>IFERROR(VLOOKUP(M8,CARTON_LOOKUP!$A:$E,4,0),"")</f>
      </c>
      <c r="P8" s="12">
        <f>IFERROR(VLOOKUP(M8,CARTON_LOOKUP!$A:$E,5,0),"")</f>
      </c>
      <c r="Q8" s="13">
        <f>IFERROR(VLOOKUP(M8,CARTON_LOOKUP!$A:$E,2,0),"")</f>
      </c>
      <c r="R8" s="13">
        <f>IFERROR(Q8*D8,0)</f>
      </c>
      <c r="S8" s="13">
        <f>IFERROR(E8*L8,0)</f>
      </c>
      <c r="T8" s="13">
        <f>IFERROR((N8*O8*P8/1000000)*D8,0)</f>
      </c>
      <c r="U8" t="s">
        <v>58</v>
      </c>
      <c r="V8" t="s">
        <v>59</v>
      </c>
      <c r="X8" t="s">
        <v>60</v>
      </c>
      <c r="Y8" s="11"/>
      <c r="Z8" s="11"/>
      <c r="AB8">
        <v>0</v>
      </c>
      <c r="AC8">
        <v>0</v>
      </c>
    </row>
    <row r="9" spans="4:29" x14ac:dyDescent="0.25">
      <c r="E9" s="10"/>
      <c r="F9" s="11"/>
      <c r="G9" s="11"/>
      <c r="M9" t="s">
        <v>5</v>
      </c>
      <c r="N9" s="12">
        <f>IFERROR(VLOOKUP(M9,CARTON_LOOKUP!$A:$E,3,0),"")</f>
      </c>
      <c r="O9" s="12">
        <f>IFERROR(VLOOKUP(M9,CARTON_LOOKUP!$A:$E,4,0),"")</f>
      </c>
      <c r="P9" s="12">
        <f>IFERROR(VLOOKUP(M9,CARTON_LOOKUP!$A:$E,5,0),"")</f>
      </c>
      <c r="Q9" s="13">
        <f>IFERROR(VLOOKUP(M9,CARTON_LOOKUP!$A:$E,2,0),"")</f>
      </c>
      <c r="R9" s="13">
        <f>IFERROR(Q9*D9,0)</f>
      </c>
      <c r="S9" s="13">
        <f>IFERROR(E9*L9,0)</f>
      </c>
      <c r="T9" s="13">
        <f>IFERROR((N9*O9*P9/1000000)*D9,0)</f>
      </c>
      <c r="U9" t="s">
        <v>58</v>
      </c>
      <c r="V9" t="s">
        <v>59</v>
      </c>
      <c r="X9" t="s">
        <v>60</v>
      </c>
      <c r="Y9" s="11"/>
      <c r="Z9" s="11"/>
      <c r="AB9">
        <v>0</v>
      </c>
      <c r="AC9">
        <v>0</v>
      </c>
    </row>
    <row r="10" spans="4:29" x14ac:dyDescent="0.25">
      <c r="E10" s="10"/>
      <c r="F10" s="11"/>
      <c r="G10" s="11"/>
      <c r="M10" t="s">
        <v>5</v>
      </c>
      <c r="N10" s="12">
        <f>IFERROR(VLOOKUP(M10,CARTON_LOOKUP!$A:$E,3,0),"")</f>
      </c>
      <c r="O10" s="12">
        <f>IFERROR(VLOOKUP(M10,CARTON_LOOKUP!$A:$E,4,0),"")</f>
      </c>
      <c r="P10" s="12">
        <f>IFERROR(VLOOKUP(M10,CARTON_LOOKUP!$A:$E,5,0),"")</f>
      </c>
      <c r="Q10" s="13">
        <f>IFERROR(VLOOKUP(M10,CARTON_LOOKUP!$A:$E,2,0),"")</f>
      </c>
      <c r="R10" s="13">
        <f>IFERROR(Q10*D10,0)</f>
      </c>
      <c r="S10" s="13">
        <f>IFERROR(E10*L10,0)</f>
      </c>
      <c r="T10" s="13">
        <f>IFERROR((N10*O10*P10/1000000)*D10,0)</f>
      </c>
      <c r="U10" t="s">
        <v>58</v>
      </c>
      <c r="V10" t="s">
        <v>59</v>
      </c>
      <c r="X10" t="s">
        <v>60</v>
      </c>
      <c r="Y10" s="11"/>
      <c r="Z10" s="11"/>
      <c r="AB10">
        <v>0</v>
      </c>
      <c r="AC10">
        <v>0</v>
      </c>
    </row>
    <row r="11" spans="4:29" x14ac:dyDescent="0.25">
      <c r="E11" s="10"/>
      <c r="F11" s="11"/>
      <c r="G11" s="11"/>
      <c r="M11" t="s">
        <v>5</v>
      </c>
      <c r="N11" s="12">
        <f>IFERROR(VLOOKUP(M11,CARTON_LOOKUP!$A:$E,3,0),"")</f>
      </c>
      <c r="O11" s="12">
        <f>IFERROR(VLOOKUP(M11,CARTON_LOOKUP!$A:$E,4,0),"")</f>
      </c>
      <c r="P11" s="12">
        <f>IFERROR(VLOOKUP(M11,CARTON_LOOKUP!$A:$E,5,0),"")</f>
      </c>
      <c r="Q11" s="13">
        <f>IFERROR(VLOOKUP(M11,CARTON_LOOKUP!$A:$E,2,0),"")</f>
      </c>
      <c r="R11" s="13">
        <f>IFERROR(Q11*D11,0)</f>
      </c>
      <c r="S11" s="13">
        <f>IFERROR(E11*L11,0)</f>
      </c>
      <c r="T11" s="13">
        <f>IFERROR((N11*O11*P11/1000000)*D11,0)</f>
      </c>
      <c r="U11" t="s">
        <v>58</v>
      </c>
      <c r="V11" t="s">
        <v>59</v>
      </c>
      <c r="X11" t="s">
        <v>60</v>
      </c>
      <c r="Y11" s="11"/>
      <c r="Z11" s="11"/>
      <c r="AB11">
        <v>0</v>
      </c>
      <c r="AC11">
        <v>0</v>
      </c>
    </row>
    <row r="12" spans="4:29" x14ac:dyDescent="0.25">
      <c r="E12" s="10"/>
      <c r="F12" s="11"/>
      <c r="G12" s="11"/>
      <c r="M12" t="s">
        <v>5</v>
      </c>
      <c r="N12" s="12">
        <f>IFERROR(VLOOKUP(M12,CARTON_LOOKUP!$A:$E,3,0),"")</f>
      </c>
      <c r="O12" s="12">
        <f>IFERROR(VLOOKUP(M12,CARTON_LOOKUP!$A:$E,4,0),"")</f>
      </c>
      <c r="P12" s="12">
        <f>IFERROR(VLOOKUP(M12,CARTON_LOOKUP!$A:$E,5,0),"")</f>
      </c>
      <c r="Q12" s="13">
        <f>IFERROR(VLOOKUP(M12,CARTON_LOOKUP!$A:$E,2,0),"")</f>
      </c>
      <c r="R12" s="13">
        <f>IFERROR(Q12*D12,0)</f>
      </c>
      <c r="S12" s="13">
        <f>IFERROR(E12*L12,0)</f>
      </c>
      <c r="T12" s="13">
        <f>IFERROR((N12*O12*P12/1000000)*D12,0)</f>
      </c>
      <c r="U12" t="s">
        <v>58</v>
      </c>
      <c r="V12" t="s">
        <v>59</v>
      </c>
      <c r="X12" t="s">
        <v>60</v>
      </c>
      <c r="Y12" s="11"/>
      <c r="Z12" s="11"/>
      <c r="AB12">
        <v>0</v>
      </c>
      <c r="AC12">
        <v>0</v>
      </c>
    </row>
    <row r="13" spans="4:29" x14ac:dyDescent="0.25">
      <c r="E13" s="10"/>
      <c r="F13" s="11"/>
      <c r="G13" s="11"/>
      <c r="M13" t="s">
        <v>5</v>
      </c>
      <c r="N13" s="12">
        <f>IFERROR(VLOOKUP(M13,CARTON_LOOKUP!$A:$E,3,0),"")</f>
      </c>
      <c r="O13" s="12">
        <f>IFERROR(VLOOKUP(M13,CARTON_LOOKUP!$A:$E,4,0),"")</f>
      </c>
      <c r="P13" s="12">
        <f>IFERROR(VLOOKUP(M13,CARTON_LOOKUP!$A:$E,5,0),"")</f>
      </c>
      <c r="Q13" s="13">
        <f>IFERROR(VLOOKUP(M13,CARTON_LOOKUP!$A:$E,2,0),"")</f>
      </c>
      <c r="R13" s="13">
        <f>IFERROR(Q13*D13,0)</f>
      </c>
      <c r="S13" s="13">
        <f>IFERROR(E13*L13,0)</f>
      </c>
      <c r="T13" s="13">
        <f>IFERROR((N13*O13*P13/1000000)*D13,0)</f>
      </c>
      <c r="U13" t="s">
        <v>58</v>
      </c>
      <c r="V13" t="s">
        <v>59</v>
      </c>
      <c r="X13" t="s">
        <v>60</v>
      </c>
      <c r="Y13" s="11"/>
      <c r="Z13" s="11"/>
      <c r="AB13">
        <v>0</v>
      </c>
      <c r="AC13">
        <v>0</v>
      </c>
    </row>
    <row r="14" spans="4:29" x14ac:dyDescent="0.25">
      <c r="E14" s="10"/>
      <c r="F14" s="11"/>
      <c r="G14" s="11"/>
      <c r="M14" t="s">
        <v>5</v>
      </c>
      <c r="N14" s="12">
        <f>IFERROR(VLOOKUP(M14,CARTON_LOOKUP!$A:$E,3,0),"")</f>
      </c>
      <c r="O14" s="12">
        <f>IFERROR(VLOOKUP(M14,CARTON_LOOKUP!$A:$E,4,0),"")</f>
      </c>
      <c r="P14" s="12">
        <f>IFERROR(VLOOKUP(M14,CARTON_LOOKUP!$A:$E,5,0),"")</f>
      </c>
      <c r="Q14" s="13">
        <f>IFERROR(VLOOKUP(M14,CARTON_LOOKUP!$A:$E,2,0),"")</f>
      </c>
      <c r="R14" s="13">
        <f>IFERROR(Q14*D14,0)</f>
      </c>
      <c r="S14" s="13">
        <f>IFERROR(E14*L14,0)</f>
      </c>
      <c r="T14" s="13">
        <f>IFERROR((N14*O14*P14/1000000)*D14,0)</f>
      </c>
      <c r="U14" t="s">
        <v>58</v>
      </c>
      <c r="V14" t="s">
        <v>59</v>
      </c>
      <c r="X14" t="s">
        <v>60</v>
      </c>
      <c r="Y14" s="11"/>
      <c r="Z14" s="11"/>
      <c r="AB14">
        <v>0</v>
      </c>
      <c r="AC14">
        <v>0</v>
      </c>
    </row>
    <row r="15" spans="4:29" x14ac:dyDescent="0.25">
      <c r="E15" s="10"/>
      <c r="F15" s="11"/>
      <c r="G15" s="11"/>
      <c r="M15" t="s">
        <v>5</v>
      </c>
      <c r="N15" s="12">
        <f>IFERROR(VLOOKUP(M15,CARTON_LOOKUP!$A:$E,3,0),"")</f>
      </c>
      <c r="O15" s="12">
        <f>IFERROR(VLOOKUP(M15,CARTON_LOOKUP!$A:$E,4,0),"")</f>
      </c>
      <c r="P15" s="12">
        <f>IFERROR(VLOOKUP(M15,CARTON_LOOKUP!$A:$E,5,0),"")</f>
      </c>
      <c r="Q15" s="13">
        <f>IFERROR(VLOOKUP(M15,CARTON_LOOKUP!$A:$E,2,0),"")</f>
      </c>
      <c r="R15" s="13">
        <f>IFERROR(Q15*D15,0)</f>
      </c>
      <c r="S15" s="13">
        <f>IFERROR(E15*L15,0)</f>
      </c>
      <c r="T15" s="13">
        <f>IFERROR((N15*O15*P15/1000000)*D15,0)</f>
      </c>
      <c r="U15" t="s">
        <v>58</v>
      </c>
      <c r="V15" t="s">
        <v>59</v>
      </c>
      <c r="X15" t="s">
        <v>60</v>
      </c>
      <c r="Y15" s="11"/>
      <c r="Z15" s="11"/>
      <c r="AB15">
        <v>0</v>
      </c>
      <c r="AC15">
        <v>0</v>
      </c>
    </row>
    <row r="16" spans="4:29" x14ac:dyDescent="0.25">
      <c r="E16" s="10"/>
      <c r="F16" s="11"/>
      <c r="G16" s="11"/>
      <c r="M16" t="s">
        <v>5</v>
      </c>
      <c r="N16" s="12">
        <f>IFERROR(VLOOKUP(M16,CARTON_LOOKUP!$A:$E,3,0),"")</f>
      </c>
      <c r="O16" s="12">
        <f>IFERROR(VLOOKUP(M16,CARTON_LOOKUP!$A:$E,4,0),"")</f>
      </c>
      <c r="P16" s="12">
        <f>IFERROR(VLOOKUP(M16,CARTON_LOOKUP!$A:$E,5,0),"")</f>
      </c>
      <c r="Q16" s="13">
        <f>IFERROR(VLOOKUP(M16,CARTON_LOOKUP!$A:$E,2,0),"")</f>
      </c>
      <c r="R16" s="13">
        <f>IFERROR(Q16*D16,0)</f>
      </c>
      <c r="S16" s="13">
        <f>IFERROR(E16*L16,0)</f>
      </c>
      <c r="T16" s="13">
        <f>IFERROR((N16*O16*P16/1000000)*D16,0)</f>
      </c>
      <c r="U16" t="s">
        <v>58</v>
      </c>
      <c r="V16" t="s">
        <v>59</v>
      </c>
      <c r="X16" t="s">
        <v>60</v>
      </c>
      <c r="Y16" s="11"/>
      <c r="Z16" s="11"/>
      <c r="AB16">
        <v>0</v>
      </c>
      <c r="AC16">
        <v>0</v>
      </c>
    </row>
    <row r="17" spans="4:29" x14ac:dyDescent="0.25">
      <c r="E17" s="10"/>
      <c r="F17" s="11"/>
      <c r="G17" s="11"/>
      <c r="M17" t="s">
        <v>5</v>
      </c>
      <c r="N17" s="12">
        <f>IFERROR(VLOOKUP(M17,CARTON_LOOKUP!$A:$E,3,0),"")</f>
      </c>
      <c r="O17" s="12">
        <f>IFERROR(VLOOKUP(M17,CARTON_LOOKUP!$A:$E,4,0),"")</f>
      </c>
      <c r="P17" s="12">
        <f>IFERROR(VLOOKUP(M17,CARTON_LOOKUP!$A:$E,5,0),"")</f>
      </c>
      <c r="Q17" s="13">
        <f>IFERROR(VLOOKUP(M17,CARTON_LOOKUP!$A:$E,2,0),"")</f>
      </c>
      <c r="R17" s="13">
        <f>IFERROR(Q17*D17,0)</f>
      </c>
      <c r="S17" s="13">
        <f>IFERROR(E17*L17,0)</f>
      </c>
      <c r="T17" s="13">
        <f>IFERROR((N17*O17*P17/1000000)*D17,0)</f>
      </c>
      <c r="U17" t="s">
        <v>58</v>
      </c>
      <c r="V17" t="s">
        <v>59</v>
      </c>
      <c r="X17" t="s">
        <v>60</v>
      </c>
      <c r="Y17" s="11"/>
      <c r="Z17" s="11"/>
      <c r="AB17">
        <v>0</v>
      </c>
      <c r="AC17">
        <v>0</v>
      </c>
    </row>
    <row r="18" spans="4:29" x14ac:dyDescent="0.25">
      <c r="E18" s="10"/>
      <c r="F18" s="11"/>
      <c r="G18" s="11"/>
      <c r="M18" t="s">
        <v>5</v>
      </c>
      <c r="N18" s="12">
        <f>IFERROR(VLOOKUP(M18,CARTON_LOOKUP!$A:$E,3,0),"")</f>
      </c>
      <c r="O18" s="12">
        <f>IFERROR(VLOOKUP(M18,CARTON_LOOKUP!$A:$E,4,0),"")</f>
      </c>
      <c r="P18" s="12">
        <f>IFERROR(VLOOKUP(M18,CARTON_LOOKUP!$A:$E,5,0),"")</f>
      </c>
      <c r="Q18" s="13">
        <f>IFERROR(VLOOKUP(M18,CARTON_LOOKUP!$A:$E,2,0),"")</f>
      </c>
      <c r="R18" s="13">
        <f>IFERROR(Q18*D18,0)</f>
      </c>
      <c r="S18" s="13">
        <f>IFERROR(E18*L18,0)</f>
      </c>
      <c r="T18" s="13">
        <f>IFERROR((N18*O18*P18/1000000)*D18,0)</f>
      </c>
      <c r="U18" t="s">
        <v>58</v>
      </c>
      <c r="V18" t="s">
        <v>59</v>
      </c>
      <c r="X18" t="s">
        <v>60</v>
      </c>
      <c r="Y18" s="11"/>
      <c r="Z18" s="11"/>
      <c r="AB18">
        <v>0</v>
      </c>
      <c r="AC18">
        <v>0</v>
      </c>
    </row>
    <row r="19" spans="4:29" x14ac:dyDescent="0.25">
      <c r="E19" s="10"/>
      <c r="F19" s="11"/>
      <c r="G19" s="11"/>
      <c r="M19" t="s">
        <v>5</v>
      </c>
      <c r="N19" s="12">
        <f>IFERROR(VLOOKUP(M19,CARTON_LOOKUP!$A:$E,3,0),"")</f>
      </c>
      <c r="O19" s="12">
        <f>IFERROR(VLOOKUP(M19,CARTON_LOOKUP!$A:$E,4,0),"")</f>
      </c>
      <c r="P19" s="12">
        <f>IFERROR(VLOOKUP(M19,CARTON_LOOKUP!$A:$E,5,0),"")</f>
      </c>
      <c r="Q19" s="13">
        <f>IFERROR(VLOOKUP(M19,CARTON_LOOKUP!$A:$E,2,0),"")</f>
      </c>
      <c r="R19" s="13">
        <f>IFERROR(Q19*D19,0)</f>
      </c>
      <c r="S19" s="13">
        <f>IFERROR(E19*L19,0)</f>
      </c>
      <c r="T19" s="13">
        <f>IFERROR((N19*O19*P19/1000000)*D19,0)</f>
      </c>
      <c r="U19" t="s">
        <v>58</v>
      </c>
      <c r="V19" t="s">
        <v>59</v>
      </c>
      <c r="X19" t="s">
        <v>60</v>
      </c>
      <c r="Y19" s="11"/>
      <c r="Z19" s="11"/>
      <c r="AB19">
        <v>0</v>
      </c>
      <c r="AC19">
        <v>0</v>
      </c>
    </row>
    <row r="20" spans="4:29" x14ac:dyDescent="0.25">
      <c r="E20" s="10"/>
      <c r="F20" s="11"/>
      <c r="G20" s="11"/>
      <c r="M20" t="s">
        <v>5</v>
      </c>
      <c r="N20" s="12">
        <f>IFERROR(VLOOKUP(M20,CARTON_LOOKUP!$A:$E,3,0),"")</f>
      </c>
      <c r="O20" s="12">
        <f>IFERROR(VLOOKUP(M20,CARTON_LOOKUP!$A:$E,4,0),"")</f>
      </c>
      <c r="P20" s="12">
        <f>IFERROR(VLOOKUP(M20,CARTON_LOOKUP!$A:$E,5,0),"")</f>
      </c>
      <c r="Q20" s="13">
        <f>IFERROR(VLOOKUP(M20,CARTON_LOOKUP!$A:$E,2,0),"")</f>
      </c>
      <c r="R20" s="13">
        <f>IFERROR(Q20*D20,0)</f>
      </c>
      <c r="S20" s="13">
        <f>IFERROR(E20*L20,0)</f>
      </c>
      <c r="T20" s="13">
        <f>IFERROR((N20*O20*P20/1000000)*D20,0)</f>
      </c>
      <c r="U20" t="s">
        <v>58</v>
      </c>
      <c r="V20" t="s">
        <v>59</v>
      </c>
      <c r="X20" t="s">
        <v>60</v>
      </c>
      <c r="Y20" s="11"/>
      <c r="Z20" s="11"/>
      <c r="AB20">
        <v>0</v>
      </c>
      <c r="AC20">
        <v>0</v>
      </c>
    </row>
    <row r="21" spans="4:29" x14ac:dyDescent="0.25">
      <c r="E21" s="10"/>
      <c r="F21" s="11"/>
      <c r="G21" s="11"/>
      <c r="M21" t="s">
        <v>5</v>
      </c>
      <c r="N21" s="12">
        <f>IFERROR(VLOOKUP(M21,CARTON_LOOKUP!$A:$E,3,0),"")</f>
      </c>
      <c r="O21" s="12">
        <f>IFERROR(VLOOKUP(M21,CARTON_LOOKUP!$A:$E,4,0),"")</f>
      </c>
      <c r="P21" s="12">
        <f>IFERROR(VLOOKUP(M21,CARTON_LOOKUP!$A:$E,5,0),"")</f>
      </c>
      <c r="Q21" s="13">
        <f>IFERROR(VLOOKUP(M21,CARTON_LOOKUP!$A:$E,2,0),"")</f>
      </c>
      <c r="R21" s="13">
        <f>IFERROR(Q21*D21,0)</f>
      </c>
      <c r="S21" s="13">
        <f>IFERROR(E21*L21,0)</f>
      </c>
      <c r="T21" s="13">
        <f>IFERROR((N21*O21*P21/1000000)*D21,0)</f>
      </c>
      <c r="U21" t="s">
        <v>58</v>
      </c>
      <c r="V21" t="s">
        <v>59</v>
      </c>
      <c r="X21" t="s">
        <v>60</v>
      </c>
      <c r="Y21" s="11"/>
      <c r="Z21" s="11"/>
      <c r="AB21">
        <v>0</v>
      </c>
      <c r="AC21">
        <v>0</v>
      </c>
    </row>
    <row r="22" spans="4:29" x14ac:dyDescent="0.25">
      <c r="E22" s="10"/>
      <c r="F22" s="11"/>
      <c r="G22" s="11"/>
      <c r="M22" t="s">
        <v>5</v>
      </c>
      <c r="N22" s="12">
        <f>IFERROR(VLOOKUP(M22,CARTON_LOOKUP!$A:$E,3,0),"")</f>
      </c>
      <c r="O22" s="12">
        <f>IFERROR(VLOOKUP(M22,CARTON_LOOKUP!$A:$E,4,0),"")</f>
      </c>
      <c r="P22" s="12">
        <f>IFERROR(VLOOKUP(M22,CARTON_LOOKUP!$A:$E,5,0),"")</f>
      </c>
      <c r="Q22" s="13">
        <f>IFERROR(VLOOKUP(M22,CARTON_LOOKUP!$A:$E,2,0),"")</f>
      </c>
      <c r="R22" s="13">
        <f>IFERROR(Q22*D22,0)</f>
      </c>
      <c r="S22" s="13">
        <f>IFERROR(E22*L22,0)</f>
      </c>
      <c r="T22" s="13">
        <f>IFERROR((N22*O22*P22/1000000)*D22,0)</f>
      </c>
      <c r="U22" t="s">
        <v>58</v>
      </c>
      <c r="V22" t="s">
        <v>59</v>
      </c>
      <c r="X22" t="s">
        <v>60</v>
      </c>
      <c r="Y22" s="11"/>
      <c r="Z22" s="11"/>
      <c r="AB22">
        <v>0</v>
      </c>
      <c r="AC22">
        <v>0</v>
      </c>
    </row>
    <row r="23" spans="4:29" x14ac:dyDescent="0.25">
      <c r="E23" s="10"/>
      <c r="F23" s="11"/>
      <c r="G23" s="11"/>
      <c r="M23" t="s">
        <v>5</v>
      </c>
      <c r="N23" s="12">
        <f>IFERROR(VLOOKUP(M23,CARTON_LOOKUP!$A:$E,3,0),"")</f>
      </c>
      <c r="O23" s="12">
        <f>IFERROR(VLOOKUP(M23,CARTON_LOOKUP!$A:$E,4,0),"")</f>
      </c>
      <c r="P23" s="12">
        <f>IFERROR(VLOOKUP(M23,CARTON_LOOKUP!$A:$E,5,0),"")</f>
      </c>
      <c r="Q23" s="13">
        <f>IFERROR(VLOOKUP(M23,CARTON_LOOKUP!$A:$E,2,0),"")</f>
      </c>
      <c r="R23" s="13">
        <f>IFERROR(Q23*D23,0)</f>
      </c>
      <c r="S23" s="13">
        <f>IFERROR(E23*L23,0)</f>
      </c>
      <c r="T23" s="13">
        <f>IFERROR((N23*O23*P23/1000000)*D23,0)</f>
      </c>
      <c r="U23" t="s">
        <v>58</v>
      </c>
      <c r="V23" t="s">
        <v>59</v>
      </c>
      <c r="X23" t="s">
        <v>60</v>
      </c>
      <c r="Y23" s="11"/>
      <c r="Z23" s="11"/>
      <c r="AB23">
        <v>0</v>
      </c>
      <c r="AC23">
        <v>0</v>
      </c>
    </row>
    <row r="24" spans="4:29" x14ac:dyDescent="0.25">
      <c r="E24" s="10"/>
      <c r="F24" s="11"/>
      <c r="G24" s="11"/>
      <c r="M24" t="s">
        <v>5</v>
      </c>
      <c r="N24" s="12">
        <f>IFERROR(VLOOKUP(M24,CARTON_LOOKUP!$A:$E,3,0),"")</f>
      </c>
      <c r="O24" s="12">
        <f>IFERROR(VLOOKUP(M24,CARTON_LOOKUP!$A:$E,4,0),"")</f>
      </c>
      <c r="P24" s="12">
        <f>IFERROR(VLOOKUP(M24,CARTON_LOOKUP!$A:$E,5,0),"")</f>
      </c>
      <c r="Q24" s="13">
        <f>IFERROR(VLOOKUP(M24,CARTON_LOOKUP!$A:$E,2,0),"")</f>
      </c>
      <c r="R24" s="13">
        <f>IFERROR(Q24*D24,0)</f>
      </c>
      <c r="S24" s="13">
        <f>IFERROR(E24*L24,0)</f>
      </c>
      <c r="T24" s="13">
        <f>IFERROR((N24*O24*P24/1000000)*D24,0)</f>
      </c>
      <c r="U24" t="s">
        <v>58</v>
      </c>
      <c r="V24" t="s">
        <v>59</v>
      </c>
      <c r="X24" t="s">
        <v>60</v>
      </c>
      <c r="Y24" s="11"/>
      <c r="Z24" s="11"/>
      <c r="AB24">
        <v>0</v>
      </c>
      <c r="AC24">
        <v>0</v>
      </c>
    </row>
    <row r="25" spans="4:29" x14ac:dyDescent="0.25">
      <c r="E25" s="10"/>
      <c r="F25" s="11"/>
      <c r="G25" s="11"/>
      <c r="M25" t="s">
        <v>5</v>
      </c>
      <c r="N25" s="12">
        <f>IFERROR(VLOOKUP(M25,CARTON_LOOKUP!$A:$E,3,0),"")</f>
      </c>
      <c r="O25" s="12">
        <f>IFERROR(VLOOKUP(M25,CARTON_LOOKUP!$A:$E,4,0),"")</f>
      </c>
      <c r="P25" s="12">
        <f>IFERROR(VLOOKUP(M25,CARTON_LOOKUP!$A:$E,5,0),"")</f>
      </c>
      <c r="Q25" s="13">
        <f>IFERROR(VLOOKUP(M25,CARTON_LOOKUP!$A:$E,2,0),"")</f>
      </c>
      <c r="R25" s="13">
        <f>IFERROR(Q25*D25,0)</f>
      </c>
      <c r="S25" s="13">
        <f>IFERROR(E25*L25,0)</f>
      </c>
      <c r="T25" s="13">
        <f>IFERROR((N25*O25*P25/1000000)*D25,0)</f>
      </c>
      <c r="U25" t="s">
        <v>58</v>
      </c>
      <c r="V25" t="s">
        <v>59</v>
      </c>
      <c r="X25" t="s">
        <v>60</v>
      </c>
      <c r="Y25" s="11"/>
      <c r="Z25" s="11"/>
      <c r="AB25">
        <v>0</v>
      </c>
      <c r="AC25">
        <v>0</v>
      </c>
    </row>
    <row r="26" spans="4:29" x14ac:dyDescent="0.25">
      <c r="E26" s="10"/>
      <c r="F26" s="11"/>
      <c r="G26" s="11"/>
      <c r="M26" t="s">
        <v>5</v>
      </c>
      <c r="N26" s="12">
        <f>IFERROR(VLOOKUP(M26,CARTON_LOOKUP!$A:$E,3,0),"")</f>
      </c>
      <c r="O26" s="12">
        <f>IFERROR(VLOOKUP(M26,CARTON_LOOKUP!$A:$E,4,0),"")</f>
      </c>
      <c r="P26" s="12">
        <f>IFERROR(VLOOKUP(M26,CARTON_LOOKUP!$A:$E,5,0),"")</f>
      </c>
      <c r="Q26" s="13">
        <f>IFERROR(VLOOKUP(M26,CARTON_LOOKUP!$A:$E,2,0),"")</f>
      </c>
      <c r="R26" s="13">
        <f>IFERROR(Q26*D26,0)</f>
      </c>
      <c r="S26" s="13">
        <f>IFERROR(E26*L26,0)</f>
      </c>
      <c r="T26" s="13">
        <f>IFERROR((N26*O26*P26/1000000)*D26,0)</f>
      </c>
      <c r="U26" t="s">
        <v>58</v>
      </c>
      <c r="V26" t="s">
        <v>59</v>
      </c>
      <c r="X26" t="s">
        <v>60</v>
      </c>
      <c r="Y26" s="11"/>
      <c r="Z26" s="11"/>
      <c r="AB26">
        <v>0</v>
      </c>
      <c r="AC26">
        <v>0</v>
      </c>
    </row>
    <row r="27" spans="4:29" x14ac:dyDescent="0.25">
      <c r="E27" s="10"/>
      <c r="F27" s="11"/>
      <c r="G27" s="11"/>
      <c r="M27" t="s">
        <v>5</v>
      </c>
      <c r="N27" s="12">
        <f>IFERROR(VLOOKUP(M27,CARTON_LOOKUP!$A:$E,3,0),"")</f>
      </c>
      <c r="O27" s="12">
        <f>IFERROR(VLOOKUP(M27,CARTON_LOOKUP!$A:$E,4,0),"")</f>
      </c>
      <c r="P27" s="12">
        <f>IFERROR(VLOOKUP(M27,CARTON_LOOKUP!$A:$E,5,0),"")</f>
      </c>
      <c r="Q27" s="13">
        <f>IFERROR(VLOOKUP(M27,CARTON_LOOKUP!$A:$E,2,0),"")</f>
      </c>
      <c r="R27" s="13">
        <f>IFERROR(Q27*D27,0)</f>
      </c>
      <c r="S27" s="13">
        <f>IFERROR(E27*L27,0)</f>
      </c>
      <c r="T27" s="13">
        <f>IFERROR((N27*O27*P27/1000000)*D27,0)</f>
      </c>
      <c r="U27" t="s">
        <v>58</v>
      </c>
      <c r="V27" t="s">
        <v>59</v>
      </c>
      <c r="X27" t="s">
        <v>60</v>
      </c>
      <c r="Y27" s="11"/>
      <c r="Z27" s="11"/>
      <c r="AB27">
        <v>0</v>
      </c>
      <c r="AC27">
        <v>0</v>
      </c>
    </row>
    <row r="28" spans="4:29" x14ac:dyDescent="0.25">
      <c r="E28" s="10"/>
      <c r="F28" s="11"/>
      <c r="G28" s="11"/>
      <c r="M28" t="s">
        <v>5</v>
      </c>
      <c r="N28" s="12">
        <f>IFERROR(VLOOKUP(M28,CARTON_LOOKUP!$A:$E,3,0),"")</f>
      </c>
      <c r="O28" s="12">
        <f>IFERROR(VLOOKUP(M28,CARTON_LOOKUP!$A:$E,4,0),"")</f>
      </c>
      <c r="P28" s="12">
        <f>IFERROR(VLOOKUP(M28,CARTON_LOOKUP!$A:$E,5,0),"")</f>
      </c>
      <c r="Q28" s="13">
        <f>IFERROR(VLOOKUP(M28,CARTON_LOOKUP!$A:$E,2,0),"")</f>
      </c>
      <c r="R28" s="13">
        <f>IFERROR(Q28*D28,0)</f>
      </c>
      <c r="S28" s="13">
        <f>IFERROR(E28*L28,0)</f>
      </c>
      <c r="T28" s="13">
        <f>IFERROR((N28*O28*P28/1000000)*D28,0)</f>
      </c>
      <c r="U28" t="s">
        <v>58</v>
      </c>
      <c r="V28" t="s">
        <v>59</v>
      </c>
      <c r="X28" t="s">
        <v>60</v>
      </c>
      <c r="Y28" s="11"/>
      <c r="Z28" s="11"/>
      <c r="AB28">
        <v>0</v>
      </c>
      <c r="AC28">
        <v>0</v>
      </c>
    </row>
    <row r="29" spans="4:29" x14ac:dyDescent="0.25">
      <c r="E29" s="10"/>
      <c r="F29" s="11"/>
      <c r="G29" s="11"/>
      <c r="M29" t="s">
        <v>5</v>
      </c>
      <c r="N29" s="12">
        <f>IFERROR(VLOOKUP(M29,CARTON_LOOKUP!$A:$E,3,0),"")</f>
      </c>
      <c r="O29" s="12">
        <f>IFERROR(VLOOKUP(M29,CARTON_LOOKUP!$A:$E,4,0),"")</f>
      </c>
      <c r="P29" s="12">
        <f>IFERROR(VLOOKUP(M29,CARTON_LOOKUP!$A:$E,5,0),"")</f>
      </c>
      <c r="Q29" s="13">
        <f>IFERROR(VLOOKUP(M29,CARTON_LOOKUP!$A:$E,2,0),"")</f>
      </c>
      <c r="R29" s="13">
        <f>IFERROR(Q29*D29,0)</f>
      </c>
      <c r="S29" s="13">
        <f>IFERROR(E29*L29,0)</f>
      </c>
      <c r="T29" s="13">
        <f>IFERROR((N29*O29*P29/1000000)*D29,0)</f>
      </c>
      <c r="U29" t="s">
        <v>58</v>
      </c>
      <c r="V29" t="s">
        <v>59</v>
      </c>
      <c r="X29" t="s">
        <v>60</v>
      </c>
      <c r="Y29" s="11"/>
      <c r="Z29" s="11"/>
      <c r="AB29">
        <v>0</v>
      </c>
      <c r="AC29">
        <v>0</v>
      </c>
    </row>
    <row r="30" spans="4:29" x14ac:dyDescent="0.25">
      <c r="E30" s="10"/>
      <c r="F30" s="11"/>
      <c r="G30" s="11"/>
      <c r="M30" t="s">
        <v>5</v>
      </c>
      <c r="N30" s="12">
        <f>IFERROR(VLOOKUP(M30,CARTON_LOOKUP!$A:$E,3,0),"")</f>
      </c>
      <c r="O30" s="12">
        <f>IFERROR(VLOOKUP(M30,CARTON_LOOKUP!$A:$E,4,0),"")</f>
      </c>
      <c r="P30" s="12">
        <f>IFERROR(VLOOKUP(M30,CARTON_LOOKUP!$A:$E,5,0),"")</f>
      </c>
      <c r="Q30" s="13">
        <f>IFERROR(VLOOKUP(M30,CARTON_LOOKUP!$A:$E,2,0),"")</f>
      </c>
      <c r="R30" s="13">
        <f>IFERROR(Q30*D30,0)</f>
      </c>
      <c r="S30" s="13">
        <f>IFERROR(E30*L30,0)</f>
      </c>
      <c r="T30" s="13">
        <f>IFERROR((N30*O30*P30/1000000)*D30,0)</f>
      </c>
      <c r="U30" t="s">
        <v>58</v>
      </c>
      <c r="V30" t="s">
        <v>59</v>
      </c>
      <c r="X30" t="s">
        <v>60</v>
      </c>
      <c r="Y30" s="11"/>
      <c r="Z30" s="11"/>
      <c r="AB30">
        <v>0</v>
      </c>
      <c r="AC30">
        <v>0</v>
      </c>
    </row>
    <row r="31" spans="4:29" x14ac:dyDescent="0.25">
      <c r="E31" s="10"/>
      <c r="F31" s="11"/>
      <c r="G31" s="11"/>
      <c r="M31" t="s">
        <v>5</v>
      </c>
      <c r="N31" s="12">
        <f>IFERROR(VLOOKUP(M31,CARTON_LOOKUP!$A:$E,3,0),"")</f>
      </c>
      <c r="O31" s="12">
        <f>IFERROR(VLOOKUP(M31,CARTON_LOOKUP!$A:$E,4,0),"")</f>
      </c>
      <c r="P31" s="12">
        <f>IFERROR(VLOOKUP(M31,CARTON_LOOKUP!$A:$E,5,0),"")</f>
      </c>
      <c r="Q31" s="13">
        <f>IFERROR(VLOOKUP(M31,CARTON_LOOKUP!$A:$E,2,0),"")</f>
      </c>
      <c r="R31" s="13">
        <f>IFERROR(Q31*D31,0)</f>
      </c>
      <c r="S31" s="13">
        <f>IFERROR(E31*L31,0)</f>
      </c>
      <c r="T31" s="13">
        <f>IFERROR((N31*O31*P31/1000000)*D31,0)</f>
      </c>
      <c r="U31" t="s">
        <v>58</v>
      </c>
      <c r="V31" t="s">
        <v>59</v>
      </c>
      <c r="X31" t="s">
        <v>60</v>
      </c>
      <c r="Y31" s="11"/>
      <c r="Z31" s="11"/>
      <c r="AB31">
        <v>0</v>
      </c>
      <c r="AC31">
        <v>0</v>
      </c>
    </row>
    <row r="32" spans="4:29" x14ac:dyDescent="0.25">
      <c r="E32" s="10"/>
      <c r="F32" s="11"/>
      <c r="G32" s="11"/>
      <c r="M32" t="s">
        <v>5</v>
      </c>
      <c r="N32" s="12">
        <f>IFERROR(VLOOKUP(M32,CARTON_LOOKUP!$A:$E,3,0),"")</f>
      </c>
      <c r="O32" s="12">
        <f>IFERROR(VLOOKUP(M32,CARTON_LOOKUP!$A:$E,4,0),"")</f>
      </c>
      <c r="P32" s="12">
        <f>IFERROR(VLOOKUP(M32,CARTON_LOOKUP!$A:$E,5,0),"")</f>
      </c>
      <c r="Q32" s="13">
        <f>IFERROR(VLOOKUP(M32,CARTON_LOOKUP!$A:$E,2,0),"")</f>
      </c>
      <c r="R32" s="13">
        <f>IFERROR(Q32*D32,0)</f>
      </c>
      <c r="S32" s="13">
        <f>IFERROR(E32*L32,0)</f>
      </c>
      <c r="T32" s="13">
        <f>IFERROR((N32*O32*P32/1000000)*D32,0)</f>
      </c>
      <c r="U32" t="s">
        <v>58</v>
      </c>
      <c r="V32" t="s">
        <v>59</v>
      </c>
      <c r="X32" t="s">
        <v>60</v>
      </c>
      <c r="Y32" s="11"/>
      <c r="Z32" s="11"/>
      <c r="AB32">
        <v>0</v>
      </c>
      <c r="AC32">
        <v>0</v>
      </c>
    </row>
    <row r="33" spans="4:29" x14ac:dyDescent="0.25">
      <c r="E33" s="10"/>
      <c r="F33" s="11"/>
      <c r="G33" s="11"/>
      <c r="M33" t="s">
        <v>5</v>
      </c>
      <c r="N33" s="12">
        <f>IFERROR(VLOOKUP(M33,CARTON_LOOKUP!$A:$E,3,0),"")</f>
      </c>
      <c r="O33" s="12">
        <f>IFERROR(VLOOKUP(M33,CARTON_LOOKUP!$A:$E,4,0),"")</f>
      </c>
      <c r="P33" s="12">
        <f>IFERROR(VLOOKUP(M33,CARTON_LOOKUP!$A:$E,5,0),"")</f>
      </c>
      <c r="Q33" s="13">
        <f>IFERROR(VLOOKUP(M33,CARTON_LOOKUP!$A:$E,2,0),"")</f>
      </c>
      <c r="R33" s="13">
        <f>IFERROR(Q33*D33,0)</f>
      </c>
      <c r="S33" s="13">
        <f>IFERROR(E33*L33,0)</f>
      </c>
      <c r="T33" s="13">
        <f>IFERROR((N33*O33*P33/1000000)*D33,0)</f>
      </c>
      <c r="U33" t="s">
        <v>58</v>
      </c>
      <c r="V33" t="s">
        <v>59</v>
      </c>
      <c r="X33" t="s">
        <v>60</v>
      </c>
      <c r="Y33" s="11"/>
      <c r="Z33" s="11"/>
      <c r="AB33">
        <v>0</v>
      </c>
      <c r="AC33">
        <v>0</v>
      </c>
    </row>
    <row r="34" spans="4:29" x14ac:dyDescent="0.25">
      <c r="E34" s="10"/>
      <c r="F34" s="11"/>
      <c r="G34" s="11"/>
      <c r="M34" t="s">
        <v>5</v>
      </c>
      <c r="N34" s="12">
        <f>IFERROR(VLOOKUP(M34,CARTON_LOOKUP!$A:$E,3,0),"")</f>
      </c>
      <c r="O34" s="12">
        <f>IFERROR(VLOOKUP(M34,CARTON_LOOKUP!$A:$E,4,0),"")</f>
      </c>
      <c r="P34" s="12">
        <f>IFERROR(VLOOKUP(M34,CARTON_LOOKUP!$A:$E,5,0),"")</f>
      </c>
      <c r="Q34" s="13">
        <f>IFERROR(VLOOKUP(M34,CARTON_LOOKUP!$A:$E,2,0),"")</f>
      </c>
      <c r="R34" s="13">
        <f>IFERROR(Q34*D34,0)</f>
      </c>
      <c r="S34" s="13">
        <f>IFERROR(E34*L34,0)</f>
      </c>
      <c r="T34" s="13">
        <f>IFERROR((N34*O34*P34/1000000)*D34,0)</f>
      </c>
      <c r="U34" t="s">
        <v>58</v>
      </c>
      <c r="V34" t="s">
        <v>59</v>
      </c>
      <c r="X34" t="s">
        <v>60</v>
      </c>
      <c r="Y34" s="11"/>
      <c r="Z34" s="11"/>
      <c r="AB34">
        <v>0</v>
      </c>
      <c r="AC34">
        <v>0</v>
      </c>
    </row>
    <row r="35" spans="4:29" x14ac:dyDescent="0.25">
      <c r="E35" s="10"/>
      <c r="F35" s="11"/>
      <c r="G35" s="11"/>
      <c r="M35" t="s">
        <v>5</v>
      </c>
      <c r="N35" s="12">
        <f>IFERROR(VLOOKUP(M35,CARTON_LOOKUP!$A:$E,3,0),"")</f>
      </c>
      <c r="O35" s="12">
        <f>IFERROR(VLOOKUP(M35,CARTON_LOOKUP!$A:$E,4,0),"")</f>
      </c>
      <c r="P35" s="12">
        <f>IFERROR(VLOOKUP(M35,CARTON_LOOKUP!$A:$E,5,0),"")</f>
      </c>
      <c r="Q35" s="13">
        <f>IFERROR(VLOOKUP(M35,CARTON_LOOKUP!$A:$E,2,0),"")</f>
      </c>
      <c r="R35" s="13">
        <f>IFERROR(Q35*D35,0)</f>
      </c>
      <c r="S35" s="13">
        <f>IFERROR(E35*L35,0)</f>
      </c>
      <c r="T35" s="13">
        <f>IFERROR((N35*O35*P35/1000000)*D35,0)</f>
      </c>
      <c r="U35" t="s">
        <v>58</v>
      </c>
      <c r="V35" t="s">
        <v>59</v>
      </c>
      <c r="X35" t="s">
        <v>60</v>
      </c>
      <c r="Y35" s="11"/>
      <c r="Z35" s="11"/>
      <c r="AB35">
        <v>0</v>
      </c>
      <c r="AC35">
        <v>0</v>
      </c>
    </row>
    <row r="36" spans="4:29" x14ac:dyDescent="0.25">
      <c r="E36" s="10"/>
      <c r="F36" s="11"/>
      <c r="G36" s="11"/>
      <c r="M36" t="s">
        <v>5</v>
      </c>
      <c r="N36" s="12">
        <f>IFERROR(VLOOKUP(M36,CARTON_LOOKUP!$A:$E,3,0),"")</f>
      </c>
      <c r="O36" s="12">
        <f>IFERROR(VLOOKUP(M36,CARTON_LOOKUP!$A:$E,4,0),"")</f>
      </c>
      <c r="P36" s="12">
        <f>IFERROR(VLOOKUP(M36,CARTON_LOOKUP!$A:$E,5,0),"")</f>
      </c>
      <c r="Q36" s="13">
        <f>IFERROR(VLOOKUP(M36,CARTON_LOOKUP!$A:$E,2,0),"")</f>
      </c>
      <c r="R36" s="13">
        <f>IFERROR(Q36*D36,0)</f>
      </c>
      <c r="S36" s="13">
        <f>IFERROR(E36*L36,0)</f>
      </c>
      <c r="T36" s="13">
        <f>IFERROR((N36*O36*P36/1000000)*D36,0)</f>
      </c>
      <c r="U36" t="s">
        <v>58</v>
      </c>
      <c r="V36" t="s">
        <v>59</v>
      </c>
      <c r="X36" t="s">
        <v>60</v>
      </c>
      <c r="Y36" s="11"/>
      <c r="Z36" s="11"/>
      <c r="AB36">
        <v>0</v>
      </c>
      <c r="AC36">
        <v>0</v>
      </c>
    </row>
    <row r="37" spans="4:29" x14ac:dyDescent="0.25">
      <c r="E37" s="10"/>
      <c r="F37" s="11"/>
      <c r="G37" s="11"/>
      <c r="M37" t="s">
        <v>5</v>
      </c>
      <c r="N37" s="12">
        <f>IFERROR(VLOOKUP(M37,CARTON_LOOKUP!$A:$E,3,0),"")</f>
      </c>
      <c r="O37" s="12">
        <f>IFERROR(VLOOKUP(M37,CARTON_LOOKUP!$A:$E,4,0),"")</f>
      </c>
      <c r="P37" s="12">
        <f>IFERROR(VLOOKUP(M37,CARTON_LOOKUP!$A:$E,5,0),"")</f>
      </c>
      <c r="Q37" s="13">
        <f>IFERROR(VLOOKUP(M37,CARTON_LOOKUP!$A:$E,2,0),"")</f>
      </c>
      <c r="R37" s="13">
        <f>IFERROR(Q37*D37,0)</f>
      </c>
      <c r="S37" s="13">
        <f>IFERROR(E37*L37,0)</f>
      </c>
      <c r="T37" s="13">
        <f>IFERROR((N37*O37*P37/1000000)*D37,0)</f>
      </c>
      <c r="U37" t="s">
        <v>58</v>
      </c>
      <c r="V37" t="s">
        <v>59</v>
      </c>
      <c r="X37" t="s">
        <v>60</v>
      </c>
      <c r="Y37" s="11"/>
      <c r="Z37" s="11"/>
      <c r="AB37">
        <v>0</v>
      </c>
      <c r="AC37">
        <v>0</v>
      </c>
    </row>
    <row r="38" spans="4:29" x14ac:dyDescent="0.25">
      <c r="E38" s="10"/>
      <c r="F38" s="11"/>
      <c r="G38" s="11"/>
      <c r="M38" t="s">
        <v>5</v>
      </c>
      <c r="N38" s="12">
        <f>IFERROR(VLOOKUP(M38,CARTON_LOOKUP!$A:$E,3,0),"")</f>
      </c>
      <c r="O38" s="12">
        <f>IFERROR(VLOOKUP(M38,CARTON_LOOKUP!$A:$E,4,0),"")</f>
      </c>
      <c r="P38" s="12">
        <f>IFERROR(VLOOKUP(M38,CARTON_LOOKUP!$A:$E,5,0),"")</f>
      </c>
      <c r="Q38" s="13">
        <f>IFERROR(VLOOKUP(M38,CARTON_LOOKUP!$A:$E,2,0),"")</f>
      </c>
      <c r="R38" s="13">
        <f>IFERROR(Q38*D38,0)</f>
      </c>
      <c r="S38" s="13">
        <f>IFERROR(E38*L38,0)</f>
      </c>
      <c r="T38" s="13">
        <f>IFERROR((N38*O38*P38/1000000)*D38,0)</f>
      </c>
      <c r="U38" t="s">
        <v>58</v>
      </c>
      <c r="V38" t="s">
        <v>59</v>
      </c>
      <c r="X38" t="s">
        <v>60</v>
      </c>
      <c r="Y38" s="11"/>
      <c r="Z38" s="11"/>
      <c r="AB38">
        <v>0</v>
      </c>
      <c r="AC38">
        <v>0</v>
      </c>
    </row>
    <row r="39" spans="4:29" x14ac:dyDescent="0.25">
      <c r="E39" s="10"/>
      <c r="F39" s="11"/>
      <c r="G39" s="11"/>
      <c r="M39" t="s">
        <v>5</v>
      </c>
      <c r="N39" s="12">
        <f>IFERROR(VLOOKUP(M39,CARTON_LOOKUP!$A:$E,3,0),"")</f>
      </c>
      <c r="O39" s="12">
        <f>IFERROR(VLOOKUP(M39,CARTON_LOOKUP!$A:$E,4,0),"")</f>
      </c>
      <c r="P39" s="12">
        <f>IFERROR(VLOOKUP(M39,CARTON_LOOKUP!$A:$E,5,0),"")</f>
      </c>
      <c r="Q39" s="13">
        <f>IFERROR(VLOOKUP(M39,CARTON_LOOKUP!$A:$E,2,0),"")</f>
      </c>
      <c r="R39" s="13">
        <f>IFERROR(Q39*D39,0)</f>
      </c>
      <c r="S39" s="13">
        <f>IFERROR(E39*L39,0)</f>
      </c>
      <c r="T39" s="13">
        <f>IFERROR((N39*O39*P39/1000000)*D39,0)</f>
      </c>
      <c r="U39" t="s">
        <v>58</v>
      </c>
      <c r="V39" t="s">
        <v>59</v>
      </c>
      <c r="X39" t="s">
        <v>60</v>
      </c>
      <c r="Y39" s="11"/>
      <c r="Z39" s="11"/>
      <c r="AB39">
        <v>0</v>
      </c>
      <c r="AC39">
        <v>0</v>
      </c>
    </row>
    <row r="40" spans="4:29" x14ac:dyDescent="0.25">
      <c r="E40" s="10"/>
      <c r="F40" s="11"/>
      <c r="G40" s="11"/>
      <c r="M40" t="s">
        <v>5</v>
      </c>
      <c r="N40" s="12">
        <f>IFERROR(VLOOKUP(M40,CARTON_LOOKUP!$A:$E,3,0),"")</f>
      </c>
      <c r="O40" s="12">
        <f>IFERROR(VLOOKUP(M40,CARTON_LOOKUP!$A:$E,4,0),"")</f>
      </c>
      <c r="P40" s="12">
        <f>IFERROR(VLOOKUP(M40,CARTON_LOOKUP!$A:$E,5,0),"")</f>
      </c>
      <c r="Q40" s="13">
        <f>IFERROR(VLOOKUP(M40,CARTON_LOOKUP!$A:$E,2,0),"")</f>
      </c>
      <c r="R40" s="13">
        <f>IFERROR(Q40*D40,0)</f>
      </c>
      <c r="S40" s="13">
        <f>IFERROR(E40*L40,0)</f>
      </c>
      <c r="T40" s="13">
        <f>IFERROR((N40*O40*P40/1000000)*D40,0)</f>
      </c>
      <c r="U40" t="s">
        <v>58</v>
      </c>
      <c r="V40" t="s">
        <v>59</v>
      </c>
      <c r="X40" t="s">
        <v>60</v>
      </c>
      <c r="Y40" s="11"/>
      <c r="Z40" s="11"/>
      <c r="AB40">
        <v>0</v>
      </c>
      <c r="AC40">
        <v>0</v>
      </c>
    </row>
    <row r="41" spans="4:29" x14ac:dyDescent="0.25">
      <c r="E41" s="10"/>
      <c r="F41" s="11"/>
      <c r="G41" s="11"/>
      <c r="M41" t="s">
        <v>5</v>
      </c>
      <c r="N41" s="12">
        <f>IFERROR(VLOOKUP(M41,CARTON_LOOKUP!$A:$E,3,0),"")</f>
      </c>
      <c r="O41" s="12">
        <f>IFERROR(VLOOKUP(M41,CARTON_LOOKUP!$A:$E,4,0),"")</f>
      </c>
      <c r="P41" s="12">
        <f>IFERROR(VLOOKUP(M41,CARTON_LOOKUP!$A:$E,5,0),"")</f>
      </c>
      <c r="Q41" s="13">
        <f>IFERROR(VLOOKUP(M41,CARTON_LOOKUP!$A:$E,2,0),"")</f>
      </c>
      <c r="R41" s="13">
        <f>IFERROR(Q41*D41,0)</f>
      </c>
      <c r="S41" s="13">
        <f>IFERROR(E41*L41,0)</f>
      </c>
      <c r="T41" s="13">
        <f>IFERROR((N41*O41*P41/1000000)*D41,0)</f>
      </c>
      <c r="U41" t="s">
        <v>58</v>
      </c>
      <c r="V41" t="s">
        <v>59</v>
      </c>
      <c r="X41" t="s">
        <v>60</v>
      </c>
      <c r="Y41" s="11"/>
      <c r="Z41" s="11"/>
      <c r="AB41">
        <v>0</v>
      </c>
      <c r="AC41">
        <v>0</v>
      </c>
    </row>
    <row r="42" spans="4:29" x14ac:dyDescent="0.25">
      <c r="E42" s="10"/>
      <c r="F42" s="11"/>
      <c r="G42" s="11"/>
      <c r="M42" t="s">
        <v>5</v>
      </c>
      <c r="N42" s="12">
        <f>IFERROR(VLOOKUP(M42,CARTON_LOOKUP!$A:$E,3,0),"")</f>
      </c>
      <c r="O42" s="12">
        <f>IFERROR(VLOOKUP(M42,CARTON_LOOKUP!$A:$E,4,0),"")</f>
      </c>
      <c r="P42" s="12">
        <f>IFERROR(VLOOKUP(M42,CARTON_LOOKUP!$A:$E,5,0),"")</f>
      </c>
      <c r="Q42" s="13">
        <f>IFERROR(VLOOKUP(M42,CARTON_LOOKUP!$A:$E,2,0),"")</f>
      </c>
      <c r="R42" s="13">
        <f>IFERROR(Q42*D42,0)</f>
      </c>
      <c r="S42" s="13">
        <f>IFERROR(E42*L42,0)</f>
      </c>
      <c r="T42" s="13">
        <f>IFERROR((N42*O42*P42/1000000)*D42,0)</f>
      </c>
      <c r="U42" t="s">
        <v>58</v>
      </c>
      <c r="V42" t="s">
        <v>59</v>
      </c>
      <c r="X42" t="s">
        <v>60</v>
      </c>
      <c r="Y42" s="11"/>
      <c r="Z42" s="11"/>
      <c r="AB42">
        <v>0</v>
      </c>
      <c r="AC42">
        <v>0</v>
      </c>
    </row>
    <row r="43" spans="4:29" x14ac:dyDescent="0.25">
      <c r="E43" s="10"/>
      <c r="F43" s="11"/>
      <c r="G43" s="11"/>
      <c r="M43" t="s">
        <v>5</v>
      </c>
      <c r="N43" s="12">
        <f>IFERROR(VLOOKUP(M43,CARTON_LOOKUP!$A:$E,3,0),"")</f>
      </c>
      <c r="O43" s="12">
        <f>IFERROR(VLOOKUP(M43,CARTON_LOOKUP!$A:$E,4,0),"")</f>
      </c>
      <c r="P43" s="12">
        <f>IFERROR(VLOOKUP(M43,CARTON_LOOKUP!$A:$E,5,0),"")</f>
      </c>
      <c r="Q43" s="13">
        <f>IFERROR(VLOOKUP(M43,CARTON_LOOKUP!$A:$E,2,0),"")</f>
      </c>
      <c r="R43" s="13">
        <f>IFERROR(Q43*D43,0)</f>
      </c>
      <c r="S43" s="13">
        <f>IFERROR(E43*L43,0)</f>
      </c>
      <c r="T43" s="13">
        <f>IFERROR((N43*O43*P43/1000000)*D43,0)</f>
      </c>
      <c r="U43" t="s">
        <v>58</v>
      </c>
      <c r="V43" t="s">
        <v>59</v>
      </c>
      <c r="X43" t="s">
        <v>60</v>
      </c>
      <c r="Y43" s="11"/>
      <c r="Z43" s="11"/>
      <c r="AB43">
        <v>0</v>
      </c>
      <c r="AC43">
        <v>0</v>
      </c>
    </row>
    <row r="44" spans="4:29" x14ac:dyDescent="0.25">
      <c r="E44" s="10"/>
      <c r="F44" s="11"/>
      <c r="G44" s="11"/>
      <c r="M44" t="s">
        <v>5</v>
      </c>
      <c r="N44" s="12">
        <f>IFERROR(VLOOKUP(M44,CARTON_LOOKUP!$A:$E,3,0),"")</f>
      </c>
      <c r="O44" s="12">
        <f>IFERROR(VLOOKUP(M44,CARTON_LOOKUP!$A:$E,4,0),"")</f>
      </c>
      <c r="P44" s="12">
        <f>IFERROR(VLOOKUP(M44,CARTON_LOOKUP!$A:$E,5,0),"")</f>
      </c>
      <c r="Q44" s="13">
        <f>IFERROR(VLOOKUP(M44,CARTON_LOOKUP!$A:$E,2,0),"")</f>
      </c>
      <c r="R44" s="13">
        <f>IFERROR(Q44*D44,0)</f>
      </c>
      <c r="S44" s="13">
        <f>IFERROR(E44*L44,0)</f>
      </c>
      <c r="T44" s="13">
        <f>IFERROR((N44*O44*P44/1000000)*D44,0)</f>
      </c>
      <c r="U44" t="s">
        <v>58</v>
      </c>
      <c r="V44" t="s">
        <v>59</v>
      </c>
      <c r="X44" t="s">
        <v>60</v>
      </c>
      <c r="Y44" s="11"/>
      <c r="Z44" s="11"/>
      <c r="AB44">
        <v>0</v>
      </c>
      <c r="AC44">
        <v>0</v>
      </c>
    </row>
    <row r="45" spans="4:29" x14ac:dyDescent="0.25">
      <c r="E45" s="10"/>
      <c r="F45" s="11"/>
      <c r="G45" s="11"/>
      <c r="M45" t="s">
        <v>5</v>
      </c>
      <c r="N45" s="12">
        <f>IFERROR(VLOOKUP(M45,CARTON_LOOKUP!$A:$E,3,0),"")</f>
      </c>
      <c r="O45" s="12">
        <f>IFERROR(VLOOKUP(M45,CARTON_LOOKUP!$A:$E,4,0),"")</f>
      </c>
      <c r="P45" s="12">
        <f>IFERROR(VLOOKUP(M45,CARTON_LOOKUP!$A:$E,5,0),"")</f>
      </c>
      <c r="Q45" s="13">
        <f>IFERROR(VLOOKUP(M45,CARTON_LOOKUP!$A:$E,2,0),"")</f>
      </c>
      <c r="R45" s="13">
        <f>IFERROR(Q45*D45,0)</f>
      </c>
      <c r="S45" s="13">
        <f>IFERROR(E45*L45,0)</f>
      </c>
      <c r="T45" s="13">
        <f>IFERROR((N45*O45*P45/1000000)*D45,0)</f>
      </c>
      <c r="U45" t="s">
        <v>58</v>
      </c>
      <c r="V45" t="s">
        <v>59</v>
      </c>
      <c r="X45" t="s">
        <v>60</v>
      </c>
      <c r="Y45" s="11"/>
      <c r="Z45" s="11"/>
      <c r="AB45">
        <v>0</v>
      </c>
      <c r="AC45">
        <v>0</v>
      </c>
    </row>
    <row r="46" spans="4:29" x14ac:dyDescent="0.25">
      <c r="E46" s="10"/>
      <c r="F46" s="11"/>
      <c r="G46" s="11"/>
      <c r="M46" t="s">
        <v>5</v>
      </c>
      <c r="N46" s="12">
        <f>IFERROR(VLOOKUP(M46,CARTON_LOOKUP!$A:$E,3,0),"")</f>
      </c>
      <c r="O46" s="12">
        <f>IFERROR(VLOOKUP(M46,CARTON_LOOKUP!$A:$E,4,0),"")</f>
      </c>
      <c r="P46" s="12">
        <f>IFERROR(VLOOKUP(M46,CARTON_LOOKUP!$A:$E,5,0),"")</f>
      </c>
      <c r="Q46" s="13">
        <f>IFERROR(VLOOKUP(M46,CARTON_LOOKUP!$A:$E,2,0),"")</f>
      </c>
      <c r="R46" s="13">
        <f>IFERROR(Q46*D46,0)</f>
      </c>
      <c r="S46" s="13">
        <f>IFERROR(E46*L46,0)</f>
      </c>
      <c r="T46" s="13">
        <f>IFERROR((N46*O46*P46/1000000)*D46,0)</f>
      </c>
      <c r="U46" t="s">
        <v>58</v>
      </c>
      <c r="V46" t="s">
        <v>59</v>
      </c>
      <c r="X46" t="s">
        <v>60</v>
      </c>
      <c r="Y46" s="11"/>
      <c r="Z46" s="11"/>
      <c r="AB46">
        <v>0</v>
      </c>
      <c r="AC46">
        <v>0</v>
      </c>
    </row>
    <row r="47" spans="4:29" x14ac:dyDescent="0.25">
      <c r="E47" s="10"/>
      <c r="F47" s="11"/>
      <c r="G47" s="11"/>
      <c r="M47" t="s">
        <v>5</v>
      </c>
      <c r="N47" s="12">
        <f>IFERROR(VLOOKUP(M47,CARTON_LOOKUP!$A:$E,3,0),"")</f>
      </c>
      <c r="O47" s="12">
        <f>IFERROR(VLOOKUP(M47,CARTON_LOOKUP!$A:$E,4,0),"")</f>
      </c>
      <c r="P47" s="12">
        <f>IFERROR(VLOOKUP(M47,CARTON_LOOKUP!$A:$E,5,0),"")</f>
      </c>
      <c r="Q47" s="13">
        <f>IFERROR(VLOOKUP(M47,CARTON_LOOKUP!$A:$E,2,0),"")</f>
      </c>
      <c r="R47" s="13">
        <f>IFERROR(Q47*D47,0)</f>
      </c>
      <c r="S47" s="13">
        <f>IFERROR(E47*L47,0)</f>
      </c>
      <c r="T47" s="13">
        <f>IFERROR((N47*O47*P47/1000000)*D47,0)</f>
      </c>
      <c r="U47" t="s">
        <v>58</v>
      </c>
      <c r="V47" t="s">
        <v>59</v>
      </c>
      <c r="X47" t="s">
        <v>60</v>
      </c>
      <c r="Y47" s="11"/>
      <c r="Z47" s="11"/>
      <c r="AB47">
        <v>0</v>
      </c>
      <c r="AC47">
        <v>0</v>
      </c>
    </row>
    <row r="48" spans="4:29" x14ac:dyDescent="0.25">
      <c r="E48" s="10"/>
      <c r="F48" s="11"/>
      <c r="G48" s="11"/>
      <c r="M48" t="s">
        <v>5</v>
      </c>
      <c r="N48" s="12">
        <f>IFERROR(VLOOKUP(M48,CARTON_LOOKUP!$A:$E,3,0),"")</f>
      </c>
      <c r="O48" s="12">
        <f>IFERROR(VLOOKUP(M48,CARTON_LOOKUP!$A:$E,4,0),"")</f>
      </c>
      <c r="P48" s="12">
        <f>IFERROR(VLOOKUP(M48,CARTON_LOOKUP!$A:$E,5,0),"")</f>
      </c>
      <c r="Q48" s="13">
        <f>IFERROR(VLOOKUP(M48,CARTON_LOOKUP!$A:$E,2,0),"")</f>
      </c>
      <c r="R48" s="13">
        <f>IFERROR(Q48*D48,0)</f>
      </c>
      <c r="S48" s="13">
        <f>IFERROR(E48*L48,0)</f>
      </c>
      <c r="T48" s="13">
        <f>IFERROR((N48*O48*P48/1000000)*D48,0)</f>
      </c>
      <c r="U48" t="s">
        <v>58</v>
      </c>
      <c r="V48" t="s">
        <v>59</v>
      </c>
      <c r="X48" t="s">
        <v>60</v>
      </c>
      <c r="Y48" s="11"/>
      <c r="Z48" s="11"/>
      <c r="AB48">
        <v>0</v>
      </c>
      <c r="AC48">
        <v>0</v>
      </c>
    </row>
    <row r="49" spans="4:29" x14ac:dyDescent="0.25">
      <c r="E49" s="10"/>
      <c r="F49" s="11"/>
      <c r="G49" s="11"/>
      <c r="M49" t="s">
        <v>5</v>
      </c>
      <c r="N49" s="12">
        <f>IFERROR(VLOOKUP(M49,CARTON_LOOKUP!$A:$E,3,0),"")</f>
      </c>
      <c r="O49" s="12">
        <f>IFERROR(VLOOKUP(M49,CARTON_LOOKUP!$A:$E,4,0),"")</f>
      </c>
      <c r="P49" s="12">
        <f>IFERROR(VLOOKUP(M49,CARTON_LOOKUP!$A:$E,5,0),"")</f>
      </c>
      <c r="Q49" s="13">
        <f>IFERROR(VLOOKUP(M49,CARTON_LOOKUP!$A:$E,2,0),"")</f>
      </c>
      <c r="R49" s="13">
        <f>IFERROR(Q49*D49,0)</f>
      </c>
      <c r="S49" s="13">
        <f>IFERROR(E49*L49,0)</f>
      </c>
      <c r="T49" s="13">
        <f>IFERROR((N49*O49*P49/1000000)*D49,0)</f>
      </c>
      <c r="U49" t="s">
        <v>58</v>
      </c>
      <c r="V49" t="s">
        <v>59</v>
      </c>
      <c r="X49" t="s">
        <v>60</v>
      </c>
      <c r="Y49" s="11"/>
      <c r="Z49" s="11"/>
      <c r="AB49">
        <v>0</v>
      </c>
      <c r="AC49">
        <v>0</v>
      </c>
    </row>
    <row r="50" spans="4:29" x14ac:dyDescent="0.25">
      <c r="E50" s="10"/>
      <c r="F50" s="11"/>
      <c r="G50" s="11"/>
      <c r="M50" t="s">
        <v>5</v>
      </c>
      <c r="N50" s="12">
        <f>IFERROR(VLOOKUP(M50,CARTON_LOOKUP!$A:$E,3,0),"")</f>
      </c>
      <c r="O50" s="12">
        <f>IFERROR(VLOOKUP(M50,CARTON_LOOKUP!$A:$E,4,0),"")</f>
      </c>
      <c r="P50" s="12">
        <f>IFERROR(VLOOKUP(M50,CARTON_LOOKUP!$A:$E,5,0),"")</f>
      </c>
      <c r="Q50" s="13">
        <f>IFERROR(VLOOKUP(M50,CARTON_LOOKUP!$A:$E,2,0),"")</f>
      </c>
      <c r="R50" s="13">
        <f>IFERROR(Q50*D50,0)</f>
      </c>
      <c r="S50" s="13">
        <f>IFERROR(E50*L50,0)</f>
      </c>
      <c r="T50" s="13">
        <f>IFERROR((N50*O50*P50/1000000)*D50,0)</f>
      </c>
      <c r="U50" t="s">
        <v>58</v>
      </c>
      <c r="V50" t="s">
        <v>59</v>
      </c>
      <c r="X50" t="s">
        <v>60</v>
      </c>
      <c r="Y50" s="11"/>
      <c r="Z50" s="11"/>
      <c r="AB50">
        <v>0</v>
      </c>
      <c r="AC50">
        <v>0</v>
      </c>
    </row>
    <row r="51" spans="4:29" x14ac:dyDescent="0.25">
      <c r="E51" s="10"/>
      <c r="F51" s="11"/>
      <c r="G51" s="11"/>
      <c r="M51" t="s">
        <v>5</v>
      </c>
      <c r="N51" s="12">
        <f>IFERROR(VLOOKUP(M51,CARTON_LOOKUP!$A:$E,3,0),"")</f>
      </c>
      <c r="O51" s="12">
        <f>IFERROR(VLOOKUP(M51,CARTON_LOOKUP!$A:$E,4,0),"")</f>
      </c>
      <c r="P51" s="12">
        <f>IFERROR(VLOOKUP(M51,CARTON_LOOKUP!$A:$E,5,0),"")</f>
      </c>
      <c r="Q51" s="13">
        <f>IFERROR(VLOOKUP(M51,CARTON_LOOKUP!$A:$E,2,0),"")</f>
      </c>
      <c r="R51" s="13">
        <f>IFERROR(Q51*D51,0)</f>
      </c>
      <c r="S51" s="13">
        <f>IFERROR(E51*L51,0)</f>
      </c>
      <c r="T51" s="13">
        <f>IFERROR((N51*O51*P51/1000000)*D51,0)</f>
      </c>
      <c r="U51" t="s">
        <v>58</v>
      </c>
      <c r="V51" t="s">
        <v>59</v>
      </c>
      <c r="X51" t="s">
        <v>60</v>
      </c>
      <c r="Y51" s="11"/>
      <c r="Z51" s="11"/>
      <c r="AB51">
        <v>0</v>
      </c>
      <c r="AC51">
        <v>0</v>
      </c>
    </row>
    <row r="52" spans="4:29" x14ac:dyDescent="0.25">
      <c r="E52" s="10"/>
      <c r="F52" s="11"/>
      <c r="G52" s="11"/>
      <c r="M52" t="s">
        <v>5</v>
      </c>
      <c r="N52" s="12">
        <f>IFERROR(VLOOKUP(M52,CARTON_LOOKUP!$A:$E,3,0),"")</f>
      </c>
      <c r="O52" s="12">
        <f>IFERROR(VLOOKUP(M52,CARTON_LOOKUP!$A:$E,4,0),"")</f>
      </c>
      <c r="P52" s="12">
        <f>IFERROR(VLOOKUP(M52,CARTON_LOOKUP!$A:$E,5,0),"")</f>
      </c>
      <c r="Q52" s="13">
        <f>IFERROR(VLOOKUP(M52,CARTON_LOOKUP!$A:$E,2,0),"")</f>
      </c>
      <c r="R52" s="13">
        <f>IFERROR(Q52*D52,0)</f>
      </c>
      <c r="S52" s="13">
        <f>IFERROR(E52*L52,0)</f>
      </c>
      <c r="T52" s="13">
        <f>IFERROR((N52*O52*P52/1000000)*D52,0)</f>
      </c>
      <c r="U52" t="s">
        <v>58</v>
      </c>
      <c r="V52" t="s">
        <v>59</v>
      </c>
      <c r="X52" t="s">
        <v>60</v>
      </c>
      <c r="Y52" s="11"/>
      <c r="Z52" s="11"/>
      <c r="AB52">
        <v>0</v>
      </c>
      <c r="AC52">
        <v>0</v>
      </c>
    </row>
    <row r="53" spans="4:29" x14ac:dyDescent="0.25">
      <c r="E53" s="10"/>
      <c r="F53" s="11"/>
      <c r="G53" s="11"/>
      <c r="M53" t="s">
        <v>5</v>
      </c>
      <c r="N53" s="12">
        <f>IFERROR(VLOOKUP(M53,CARTON_LOOKUP!$A:$E,3,0),"")</f>
      </c>
      <c r="O53" s="12">
        <f>IFERROR(VLOOKUP(M53,CARTON_LOOKUP!$A:$E,4,0),"")</f>
      </c>
      <c r="P53" s="12">
        <f>IFERROR(VLOOKUP(M53,CARTON_LOOKUP!$A:$E,5,0),"")</f>
      </c>
      <c r="Q53" s="13">
        <f>IFERROR(VLOOKUP(M53,CARTON_LOOKUP!$A:$E,2,0),"")</f>
      </c>
      <c r="R53" s="13">
        <f>IFERROR(Q53*D53,0)</f>
      </c>
      <c r="S53" s="13">
        <f>IFERROR(E53*L53,0)</f>
      </c>
      <c r="T53" s="13">
        <f>IFERROR((N53*O53*P53/1000000)*D53,0)</f>
      </c>
      <c r="U53" t="s">
        <v>58</v>
      </c>
      <c r="V53" t="s">
        <v>59</v>
      </c>
      <c r="X53" t="s">
        <v>60</v>
      </c>
      <c r="Y53" s="11"/>
      <c r="Z53" s="11"/>
      <c r="AB53">
        <v>0</v>
      </c>
      <c r="AC53">
        <v>0</v>
      </c>
    </row>
  </sheetData>
  <mergeCells count="1">
    <mergeCell ref="A1:AB1"/>
  </mergeCells>
  <dataValidations count="18">
    <dataValidation type="whole" operator="greaterThan" showErrorMessage="1" errorTitle="Invalid" error="Enter a whole number greater than 0" sqref="D10:D53">
      <formula1>0</formula1>
    </dataValidation>
    <dataValidation type="whole" operator="greaterThan" showErrorMessage="1" errorTitle="Invalid" error="Enter a whole number greater than 0" sqref="D4:D53">
      <formula1>0</formula1>
    </dataValidation>
    <dataValidation type="decimal" operator="greaterThan" showErrorMessage="1" errorTitle="Invalid" error="Enter a positive weight in KG" sqref="E10:E53">
      <formula1>0</formula1>
    </dataValidation>
    <dataValidation type="decimal" operator="greaterThan" showErrorMessage="1" errorTitle="Invalid" error="Enter a positive weight in KG" sqref="E4:E53">
      <formula1>0</formula1>
    </dataValidation>
    <dataValidation type="date" operator="greaterThan" showErrorMessage="1" errorTitle="Invalid date" error="Enter a valid date (DD/MM/YYYY format)" sqref="F10:G53">
      <formula1>43831</formula1>
    </dataValidation>
    <dataValidation type="date" operator="greaterThan" showErrorMessage="1" errorTitle="Invalid date" error="Enter a valid date (DD/MM/YYYY format)" sqref="F4:G53">
      <formula1>43831</formula1>
    </dataValidation>
    <dataValidation type="list" showErrorMessage="1" errorTitle="Invalid value" error="Please select CFS or CY" sqref="H10:H53">
      <formula1>"CFS,CY"</formula1>
    </dataValidation>
    <dataValidation type="list" showErrorMessage="1" errorTitle="Invalid value" error="Please select CFS or CY" sqref="H4:H53">
      <formula1>"CFS,CY"</formula1>
    </dataValidation>
    <dataValidation type="list" showErrorMessage="1" sqref="M10:M53">
      <formula1>CARTON_LOOKUP!$A$2:$A$20</formula1>
    </dataValidation>
    <dataValidation type="list" showErrorMessage="1" sqref="M4:M53">
      <formula1>CARTON_LOOKUP!$A$2:$A$20</formula1>
    </dataValidation>
    <dataValidation type="list" sqref="U10:U53">
      <formula1>"Flat,Bulk Flat,Hanging"</formula1>
    </dataValidation>
    <dataValidation type="list" sqref="U4:U53">
      <formula1>"Flat,Bulk Flat,Hanging"</formula1>
    </dataValidation>
    <dataValidation type="list" sqref="V10:V53">
      <formula1>"Collection,Delivery"</formula1>
    </dataValidation>
    <dataValidation type="list" sqref="V4:V53">
      <formula1>"Collection,Delivery"</formula1>
    </dataValidation>
    <dataValidation type="list" sqref="X10:X53">
      <formula1>"Flammable,Glass - Hazardous,Hazardous,N/A"</formula1>
    </dataValidation>
    <dataValidation type="list" sqref="X4:X53">
      <formula1>"Flammable,Glass - Hazardous,Hazardous,N/A"</formula1>
    </dataValidation>
    <dataValidation type="date" operator="greaterThan" showErrorMessage="1" errorTitle="Invalid date" error="Enter a valid date (DD/MM/YYYY format)" sqref="Y10:Z53">
      <formula1>43831</formula1>
    </dataValidation>
    <dataValidation type="date" operator="greaterThan" showErrorMessage="1" errorTitle="Invalid date" error="Enter a valid date (DD/MM/YYYY format)" sqref="Y4:Z53">
      <formula1>43831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CARTON_LOOKUP</vt:lpstr>
      <vt:lpstr>SUPPLIER_INPUT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CarrierBookingStub</dc:creator>
  <dc:title/>
  <dc:subject/>
  <dc:description/>
  <cp:keywords/>
  <cp:category/>
  <cp:lastModifiedBy>Unknown</cp:lastModifiedBy>
  <dcterms:created xsi:type="dcterms:W3CDTF">2026-06-05T10:07:32Z</dcterms:created>
  <dcterms:modified xsi:type="dcterms:W3CDTF">2026-06-05T10:07:32Z</dcterms:modified>
</cp:coreProperties>
</file>